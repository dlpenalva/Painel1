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_DesktopReal\144.COLETA_COMPAT_RETRO_2\tests\fixtures\coletas_compat\"/>
    </mc:Choice>
  </mc:AlternateContent>
  <xr:revisionPtr revIDLastSave="0" documentId="8_{A9042118-41BA-4526-B592-F63E45118581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CONTROLE" sheetId="1" r:id="rId1"/>
    <sheet name="parametros" sheetId="2" r:id="rId2"/>
    <sheet name="financeiro" sheetId="3" r:id="rId3"/>
    <sheet name="itens_Remanesc" sheetId="4" r:id="rId4"/>
    <sheet name="itens_Consumidos" sheetId="5" r:id="rId5"/>
    <sheet name="itens_PC" sheetId="6" r:id="rId6"/>
    <sheet name="aditivos" sheetId="7" r:id="rId7"/>
    <sheet name="posicao_contratual" sheetId="8" r:id="rId8"/>
    <sheet name="itens_RC" sheetId="9" r:id="rId9"/>
    <sheet name="historico_VU" sheetId="10" r:id="rId10"/>
    <sheet name="RESULTADOS" sheetId="11" r:id="rId11"/>
  </sheets>
  <definedNames>
    <definedName name="AJUSTE_MANUAL_VTA">RESULTADOS!B24</definedName>
    <definedName name="JUSTIFICATIVA_RETRO">RESULTADOS!D5</definedName>
    <definedName name="METODO_RETROATIVO">RESULTADOS!B4</definedName>
    <definedName name="QTD_REM_OFICIAL">RESULTADOS!B35</definedName>
    <definedName name="REM_ATUALIZADO_OFICIAL">RESULTADOS!D35</definedName>
    <definedName name="REM_BASE_OFICIAL">RESULTADOS!C35</definedName>
    <definedName name="RETRO_FIN">RESULTADOS!B15</definedName>
    <definedName name="RETRO_ITENS">RESULTADOS!D15</definedName>
    <definedName name="RETRO_OFICIAL">RESULTADOS!B16</definedName>
    <definedName name="RETRO_PC">RESULTADOS!C15</definedName>
    <definedName name="TOLERANCIA_DIVERGENCIA">RESULTADOS!D4</definedName>
    <definedName name="VALOR_MANUAL_RETRO">RESULTADOS!B5</definedName>
    <definedName name="VTA_CALCULADO">RESULTADOS!B23</definedName>
    <definedName name="VTA_FINAL">RESULTADOS!B26</definedName>
    <definedName name="VTA_MANUAL_OFICIAL">RESULTADOS!B25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3" i="11" l="1"/>
  <c r="Q253" i="11" s="1"/>
  <c r="A253" i="11"/>
  <c r="L252" i="11"/>
  <c r="J252" i="11"/>
  <c r="P252" i="11" s="1"/>
  <c r="J251" i="11"/>
  <c r="J250" i="11"/>
  <c r="J249" i="11"/>
  <c r="L249" i="11" s="1"/>
  <c r="J248" i="11"/>
  <c r="Q248" i="11" s="1"/>
  <c r="J247" i="11"/>
  <c r="M247" i="11" s="1"/>
  <c r="J246" i="11"/>
  <c r="J245" i="11"/>
  <c r="J244" i="11"/>
  <c r="K244" i="11" s="1"/>
  <c r="J243" i="11"/>
  <c r="J242" i="11"/>
  <c r="J241" i="11"/>
  <c r="J240" i="11"/>
  <c r="P240" i="11" s="1"/>
  <c r="N239" i="11"/>
  <c r="K239" i="11"/>
  <c r="J239" i="11"/>
  <c r="Q239" i="11" s="1"/>
  <c r="J238" i="11"/>
  <c r="K238" i="11" s="1"/>
  <c r="J237" i="11"/>
  <c r="P237" i="11" s="1"/>
  <c r="J236" i="11"/>
  <c r="J235" i="11"/>
  <c r="N235" i="11" s="1"/>
  <c r="J234" i="11"/>
  <c r="J233" i="11"/>
  <c r="Q233" i="11" s="1"/>
  <c r="K232" i="11"/>
  <c r="J232" i="11"/>
  <c r="N232" i="11" s="1"/>
  <c r="J231" i="11"/>
  <c r="K231" i="11" s="1"/>
  <c r="J230" i="11"/>
  <c r="J229" i="11"/>
  <c r="K229" i="11" s="1"/>
  <c r="Q228" i="11"/>
  <c r="K228" i="11"/>
  <c r="J228" i="11"/>
  <c r="P228" i="11" s="1"/>
  <c r="J227" i="11"/>
  <c r="J226" i="11"/>
  <c r="N226" i="11" s="1"/>
  <c r="Q225" i="11"/>
  <c r="N225" i="11"/>
  <c r="M225" i="11"/>
  <c r="L225" i="11"/>
  <c r="J225" i="11"/>
  <c r="P225" i="11" s="1"/>
  <c r="J224" i="11"/>
  <c r="O224" i="11" s="1"/>
  <c r="J223" i="11"/>
  <c r="K223" i="11" s="1"/>
  <c r="J222" i="11"/>
  <c r="M222" i="11" s="1"/>
  <c r="J221" i="11"/>
  <c r="J220" i="11"/>
  <c r="K220" i="11" s="1"/>
  <c r="J219" i="11"/>
  <c r="M219" i="11" s="1"/>
  <c r="Q218" i="11"/>
  <c r="J218" i="11"/>
  <c r="K218" i="11" s="1"/>
  <c r="J217" i="11"/>
  <c r="K217" i="11" s="1"/>
  <c r="N216" i="11"/>
  <c r="J216" i="11"/>
  <c r="M216" i="11" s="1"/>
  <c r="J215" i="11"/>
  <c r="J214" i="11"/>
  <c r="J213" i="11"/>
  <c r="J212" i="11"/>
  <c r="J211" i="11"/>
  <c r="N211" i="11" s="1"/>
  <c r="J210" i="11"/>
  <c r="O209" i="11"/>
  <c r="J209" i="11"/>
  <c r="N209" i="11" s="1"/>
  <c r="J208" i="11"/>
  <c r="J207" i="11"/>
  <c r="J206" i="11"/>
  <c r="Q205" i="11"/>
  <c r="J205" i="11"/>
  <c r="P205" i="11" s="1"/>
  <c r="N204" i="11"/>
  <c r="M204" i="11"/>
  <c r="L204" i="11"/>
  <c r="J204" i="11"/>
  <c r="J203" i="11"/>
  <c r="N203" i="11" s="1"/>
  <c r="J202" i="11"/>
  <c r="J201" i="11"/>
  <c r="O201" i="11" s="1"/>
  <c r="Q200" i="11"/>
  <c r="J200" i="11"/>
  <c r="J199" i="11"/>
  <c r="Q198" i="11"/>
  <c r="O198" i="11"/>
  <c r="M198" i="11"/>
  <c r="J198" i="11"/>
  <c r="L198" i="11" s="1"/>
  <c r="J197" i="11"/>
  <c r="L197" i="11" s="1"/>
  <c r="Q196" i="11"/>
  <c r="J196" i="11"/>
  <c r="K196" i="11" s="1"/>
  <c r="M195" i="11"/>
  <c r="J195" i="11"/>
  <c r="K195" i="11" s="1"/>
  <c r="J194" i="11"/>
  <c r="P194" i="11" s="1"/>
  <c r="J193" i="11"/>
  <c r="J192" i="11"/>
  <c r="Q192" i="11" s="1"/>
  <c r="J191" i="11"/>
  <c r="J190" i="11"/>
  <c r="M189" i="11"/>
  <c r="J189" i="11"/>
  <c r="L189" i="11" s="1"/>
  <c r="J188" i="11"/>
  <c r="O188" i="11" s="1"/>
  <c r="J187" i="11"/>
  <c r="M187" i="11" s="1"/>
  <c r="M186" i="11"/>
  <c r="J186" i="11"/>
  <c r="J185" i="11"/>
  <c r="O184" i="11"/>
  <c r="J184" i="11"/>
  <c r="N184" i="11" s="1"/>
  <c r="J183" i="11"/>
  <c r="J182" i="11"/>
  <c r="J181" i="11"/>
  <c r="J180" i="11"/>
  <c r="L180" i="11" s="1"/>
  <c r="N179" i="11"/>
  <c r="K179" i="11"/>
  <c r="J179" i="11"/>
  <c r="O179" i="11" s="1"/>
  <c r="J178" i="11"/>
  <c r="L178" i="11" s="1"/>
  <c r="J177" i="11"/>
  <c r="J176" i="11"/>
  <c r="P176" i="11" s="1"/>
  <c r="J175" i="11"/>
  <c r="M175" i="11" s="1"/>
  <c r="J174" i="11"/>
  <c r="J173" i="11"/>
  <c r="J172" i="11"/>
  <c r="L171" i="11"/>
  <c r="J171" i="11"/>
  <c r="N171" i="11" s="1"/>
  <c r="M170" i="11"/>
  <c r="K170" i="11"/>
  <c r="J170" i="11"/>
  <c r="J169" i="11"/>
  <c r="J168" i="11"/>
  <c r="L168" i="11" s="1"/>
  <c r="J167" i="11"/>
  <c r="O167" i="11" s="1"/>
  <c r="J166" i="11"/>
  <c r="J165" i="11"/>
  <c r="P165" i="11" s="1"/>
  <c r="Q164" i="11"/>
  <c r="P164" i="11"/>
  <c r="O164" i="11"/>
  <c r="N164" i="11"/>
  <c r="K164" i="11"/>
  <c r="J164" i="11"/>
  <c r="M164" i="11" s="1"/>
  <c r="O163" i="11"/>
  <c r="N163" i="11"/>
  <c r="L163" i="11"/>
  <c r="J163" i="11"/>
  <c r="P163" i="11" s="1"/>
  <c r="M162" i="11"/>
  <c r="J162" i="11"/>
  <c r="L162" i="11" s="1"/>
  <c r="O161" i="11"/>
  <c r="M161" i="11"/>
  <c r="L161" i="11"/>
  <c r="J161" i="11"/>
  <c r="J160" i="11"/>
  <c r="P160" i="11" s="1"/>
  <c r="J159" i="11"/>
  <c r="J158" i="11"/>
  <c r="N158" i="11" s="1"/>
  <c r="P157" i="11"/>
  <c r="J157" i="11"/>
  <c r="O157" i="11" s="1"/>
  <c r="J156" i="11"/>
  <c r="L156" i="11" s="1"/>
  <c r="Q155" i="11"/>
  <c r="P155" i="11"/>
  <c r="O155" i="11"/>
  <c r="N155" i="11"/>
  <c r="M155" i="11"/>
  <c r="J155" i="11"/>
  <c r="L155" i="11" s="1"/>
  <c r="J154" i="11"/>
  <c r="J153" i="11"/>
  <c r="Q152" i="11"/>
  <c r="P152" i="11"/>
  <c r="O152" i="11"/>
  <c r="L152" i="11"/>
  <c r="K152" i="11"/>
  <c r="J152" i="11"/>
  <c r="N152" i="11" s="1"/>
  <c r="J151" i="11"/>
  <c r="O151" i="11" s="1"/>
  <c r="Q150" i="11"/>
  <c r="J150" i="11"/>
  <c r="L150" i="11" s="1"/>
  <c r="J149" i="11"/>
  <c r="L149" i="11" s="1"/>
  <c r="J148" i="11"/>
  <c r="N148" i="11" s="1"/>
  <c r="J147" i="11"/>
  <c r="Q146" i="11"/>
  <c r="P146" i="11"/>
  <c r="O146" i="11"/>
  <c r="N146" i="11"/>
  <c r="K146" i="11"/>
  <c r="J146" i="11"/>
  <c r="M146" i="11" s="1"/>
  <c r="J145" i="11"/>
  <c r="O145" i="11" s="1"/>
  <c r="J144" i="11"/>
  <c r="Q144" i="11" s="1"/>
  <c r="J143" i="11"/>
  <c r="J142" i="11"/>
  <c r="J141" i="11"/>
  <c r="Q140" i="11"/>
  <c r="O140" i="11"/>
  <c r="L140" i="11"/>
  <c r="J140" i="11"/>
  <c r="K140" i="11" s="1"/>
  <c r="L139" i="11"/>
  <c r="J139" i="11"/>
  <c r="P139" i="11" s="1"/>
  <c r="K138" i="11"/>
  <c r="J138" i="11"/>
  <c r="J137" i="11"/>
  <c r="L137" i="11" s="1"/>
  <c r="J136" i="11"/>
  <c r="J135" i="11"/>
  <c r="L135" i="11" s="1"/>
  <c r="J134" i="11"/>
  <c r="N134" i="11" s="1"/>
  <c r="J133" i="11"/>
  <c r="Q132" i="11"/>
  <c r="J132" i="11"/>
  <c r="N132" i="11" s="1"/>
  <c r="J131" i="11"/>
  <c r="M131" i="11" s="1"/>
  <c r="Q130" i="11"/>
  <c r="P130" i="11"/>
  <c r="J130" i="11"/>
  <c r="J129" i="11"/>
  <c r="J128" i="11"/>
  <c r="J127" i="11"/>
  <c r="O126" i="11"/>
  <c r="J126" i="11"/>
  <c r="Q126" i="11" s="1"/>
  <c r="J125" i="11"/>
  <c r="Q124" i="11"/>
  <c r="P124" i="11"/>
  <c r="O124" i="11"/>
  <c r="N124" i="11"/>
  <c r="M124" i="11"/>
  <c r="L124" i="11"/>
  <c r="J124" i="11"/>
  <c r="K124" i="11" s="1"/>
  <c r="K123" i="11"/>
  <c r="J123" i="11"/>
  <c r="M123" i="11" s="1"/>
  <c r="J122" i="11"/>
  <c r="O122" i="11" s="1"/>
  <c r="J121" i="11"/>
  <c r="J120" i="11"/>
  <c r="P120" i="11" s="1"/>
  <c r="L119" i="11"/>
  <c r="J119" i="11"/>
  <c r="J118" i="11"/>
  <c r="M118" i="11" s="1"/>
  <c r="J117" i="11"/>
  <c r="J116" i="11"/>
  <c r="M116" i="11" s="1"/>
  <c r="K115" i="11"/>
  <c r="J115" i="11"/>
  <c r="J114" i="11"/>
  <c r="P114" i="11" s="1"/>
  <c r="J113" i="11"/>
  <c r="N113" i="11" s="1"/>
  <c r="M112" i="11"/>
  <c r="J112" i="11"/>
  <c r="L112" i="11" s="1"/>
  <c r="Q111" i="11"/>
  <c r="P111" i="11"/>
  <c r="J111" i="11"/>
  <c r="N111" i="11" s="1"/>
  <c r="J110" i="11"/>
  <c r="O110" i="11" s="1"/>
  <c r="P109" i="11"/>
  <c r="O109" i="11"/>
  <c r="J109" i="11"/>
  <c r="L109" i="11" s="1"/>
  <c r="J108" i="11"/>
  <c r="Q107" i="11"/>
  <c r="J107" i="11"/>
  <c r="K107" i="11" s="1"/>
  <c r="K106" i="11"/>
  <c r="J106" i="11"/>
  <c r="J105" i="11"/>
  <c r="J104" i="11"/>
  <c r="K103" i="11"/>
  <c r="J103" i="11"/>
  <c r="L102" i="11"/>
  <c r="J102" i="11"/>
  <c r="K102" i="11" s="1"/>
  <c r="J101" i="11"/>
  <c r="L101" i="11" s="1"/>
  <c r="P100" i="11"/>
  <c r="N100" i="11"/>
  <c r="M100" i="11"/>
  <c r="L100" i="11"/>
  <c r="J100" i="11"/>
  <c r="Q100" i="11" s="1"/>
  <c r="J99" i="11"/>
  <c r="J98" i="11"/>
  <c r="J97" i="11"/>
  <c r="Q96" i="11"/>
  <c r="P96" i="11"/>
  <c r="O96" i="11"/>
  <c r="J96" i="11"/>
  <c r="M96" i="11" s="1"/>
  <c r="J95" i="11"/>
  <c r="K95" i="11" s="1"/>
  <c r="Q94" i="11"/>
  <c r="K94" i="11"/>
  <c r="J94" i="11"/>
  <c r="M94" i="11" s="1"/>
  <c r="J93" i="11"/>
  <c r="M92" i="11"/>
  <c r="J92" i="11"/>
  <c r="Q92" i="11" s="1"/>
  <c r="J91" i="11"/>
  <c r="J90" i="11"/>
  <c r="Q90" i="11" s="1"/>
  <c r="J89" i="11"/>
  <c r="K89" i="11" s="1"/>
  <c r="J88" i="11"/>
  <c r="Q87" i="11"/>
  <c r="P87" i="11"/>
  <c r="O87" i="11"/>
  <c r="M87" i="11"/>
  <c r="J87" i="11"/>
  <c r="N87" i="11" s="1"/>
  <c r="J86" i="11"/>
  <c r="Q85" i="11"/>
  <c r="P85" i="11"/>
  <c r="J85" i="11"/>
  <c r="K85" i="11" s="1"/>
  <c r="J84" i="11"/>
  <c r="M83" i="11"/>
  <c r="J83" i="11"/>
  <c r="J82" i="11"/>
  <c r="J81" i="11"/>
  <c r="L81" i="11" s="1"/>
  <c r="J80" i="11"/>
  <c r="N80" i="11" s="1"/>
  <c r="O79" i="11"/>
  <c r="K79" i="11"/>
  <c r="J79" i="11"/>
  <c r="J78" i="11"/>
  <c r="J77" i="11"/>
  <c r="J76" i="11"/>
  <c r="M76" i="11" s="1"/>
  <c r="J75" i="11"/>
  <c r="K75" i="11" s="1"/>
  <c r="J74" i="11"/>
  <c r="J73" i="11"/>
  <c r="M73" i="11" s="1"/>
  <c r="J72" i="11"/>
  <c r="J71" i="11"/>
  <c r="J70" i="11"/>
  <c r="K70" i="11" s="1"/>
  <c r="J69" i="11"/>
  <c r="J68" i="11"/>
  <c r="Q68" i="11" s="1"/>
  <c r="J67" i="11"/>
  <c r="J66" i="11"/>
  <c r="J65" i="11"/>
  <c r="J64" i="11"/>
  <c r="Q63" i="11"/>
  <c r="M63" i="11"/>
  <c r="J63" i="11"/>
  <c r="L63" i="11" s="1"/>
  <c r="J62" i="11"/>
  <c r="P62" i="11" s="1"/>
  <c r="J61" i="11"/>
  <c r="L60" i="11"/>
  <c r="J60" i="11"/>
  <c r="J59" i="11"/>
  <c r="Q59" i="11" s="1"/>
  <c r="J58" i="11"/>
  <c r="K58" i="11" s="1"/>
  <c r="J57" i="11"/>
  <c r="K57" i="11" s="1"/>
  <c r="J56" i="11"/>
  <c r="J55" i="11"/>
  <c r="J54" i="11"/>
  <c r="M54" i="11" s="1"/>
  <c r="B45" i="11"/>
  <c r="J44" i="11"/>
  <c r="F35" i="11"/>
  <c r="D16" i="11"/>
  <c r="D10" i="11"/>
  <c r="H4" i="11"/>
  <c r="F4" i="11"/>
  <c r="C200" i="10"/>
  <c r="A200" i="10"/>
  <c r="T200" i="10" s="1"/>
  <c r="C199" i="10"/>
  <c r="A199" i="10"/>
  <c r="U198" i="10"/>
  <c r="R198" i="10"/>
  <c r="C198" i="10"/>
  <c r="A198" i="10"/>
  <c r="V197" i="10"/>
  <c r="T197" i="10"/>
  <c r="Q197" i="10"/>
  <c r="P197" i="10"/>
  <c r="C197" i="10"/>
  <c r="A197" i="10"/>
  <c r="W197" i="10" s="1"/>
  <c r="C196" i="10"/>
  <c r="A196" i="10"/>
  <c r="Q195" i="10"/>
  <c r="C195" i="10"/>
  <c r="A195" i="10"/>
  <c r="W195" i="10" s="1"/>
  <c r="C194" i="10"/>
  <c r="A194" i="10"/>
  <c r="W193" i="10"/>
  <c r="Q193" i="10"/>
  <c r="P193" i="10"/>
  <c r="N193" i="10"/>
  <c r="C193" i="10"/>
  <c r="A193" i="10"/>
  <c r="C192" i="10"/>
  <c r="A192" i="10"/>
  <c r="R192" i="10" s="1"/>
  <c r="C191" i="10"/>
  <c r="A191" i="10"/>
  <c r="O191" i="10" s="1"/>
  <c r="C190" i="10"/>
  <c r="A190" i="10"/>
  <c r="C189" i="10"/>
  <c r="A189" i="10"/>
  <c r="S189" i="10" s="1"/>
  <c r="W188" i="10"/>
  <c r="V188" i="10"/>
  <c r="S188" i="10"/>
  <c r="R188" i="10"/>
  <c r="Q188" i="10"/>
  <c r="C188" i="10"/>
  <c r="A188" i="10"/>
  <c r="P188" i="10" s="1"/>
  <c r="C187" i="10"/>
  <c r="A187" i="10"/>
  <c r="C186" i="10"/>
  <c r="A186" i="10"/>
  <c r="S185" i="10"/>
  <c r="R185" i="10"/>
  <c r="P185" i="10"/>
  <c r="N185" i="10"/>
  <c r="C185" i="10"/>
  <c r="A185" i="10"/>
  <c r="C184" i="10"/>
  <c r="A184" i="10"/>
  <c r="Q184" i="10" s="1"/>
  <c r="T183" i="10"/>
  <c r="N183" i="10"/>
  <c r="C183" i="10"/>
  <c r="A183" i="10"/>
  <c r="W183" i="10" s="1"/>
  <c r="V182" i="10"/>
  <c r="U182" i="10"/>
  <c r="S182" i="10"/>
  <c r="C182" i="10"/>
  <c r="A182" i="10"/>
  <c r="P182" i="10" s="1"/>
  <c r="N181" i="10"/>
  <c r="C181" i="10"/>
  <c r="A181" i="10"/>
  <c r="V181" i="10" s="1"/>
  <c r="R180" i="10"/>
  <c r="Q180" i="10"/>
  <c r="C180" i="10"/>
  <c r="A180" i="10"/>
  <c r="P180" i="10" s="1"/>
  <c r="C179" i="10"/>
  <c r="A179" i="10"/>
  <c r="N179" i="10" s="1"/>
  <c r="V178" i="10"/>
  <c r="C178" i="10"/>
  <c r="A178" i="10"/>
  <c r="C177" i="10"/>
  <c r="A177" i="10"/>
  <c r="W176" i="10"/>
  <c r="C176" i="10"/>
  <c r="A176" i="10"/>
  <c r="U176" i="10" s="1"/>
  <c r="C175" i="10"/>
  <c r="A175" i="10"/>
  <c r="W175" i="10" s="1"/>
  <c r="C174" i="10"/>
  <c r="A174" i="10"/>
  <c r="C173" i="10"/>
  <c r="A173" i="10"/>
  <c r="C172" i="10"/>
  <c r="A172" i="10"/>
  <c r="S172" i="10" s="1"/>
  <c r="V171" i="10"/>
  <c r="S171" i="10"/>
  <c r="C171" i="10"/>
  <c r="A171" i="10"/>
  <c r="C170" i="10"/>
  <c r="A170" i="10"/>
  <c r="Q169" i="10"/>
  <c r="P169" i="10"/>
  <c r="O169" i="10"/>
  <c r="N169" i="10"/>
  <c r="C169" i="10"/>
  <c r="A169" i="10"/>
  <c r="T169" i="10" s="1"/>
  <c r="C168" i="10"/>
  <c r="A168" i="10"/>
  <c r="R168" i="10" s="1"/>
  <c r="C167" i="10"/>
  <c r="A167" i="10"/>
  <c r="C166" i="10"/>
  <c r="A166" i="10"/>
  <c r="W165" i="10"/>
  <c r="C165" i="10"/>
  <c r="A165" i="10"/>
  <c r="S165" i="10" s="1"/>
  <c r="C164" i="10"/>
  <c r="A164" i="10"/>
  <c r="R164" i="10" s="1"/>
  <c r="C163" i="10"/>
  <c r="A163" i="10"/>
  <c r="C162" i="10"/>
  <c r="A162" i="10"/>
  <c r="P162" i="10" s="1"/>
  <c r="C161" i="10"/>
  <c r="A161" i="10"/>
  <c r="S161" i="10" s="1"/>
  <c r="R160" i="10"/>
  <c r="C160" i="10"/>
  <c r="A160" i="10"/>
  <c r="C159" i="10"/>
  <c r="A159" i="10"/>
  <c r="C158" i="10"/>
  <c r="A158" i="10"/>
  <c r="N157" i="10"/>
  <c r="C157" i="10"/>
  <c r="A157" i="10"/>
  <c r="W157" i="10" s="1"/>
  <c r="V156" i="10"/>
  <c r="Q156" i="10"/>
  <c r="N156" i="10"/>
  <c r="C156" i="10"/>
  <c r="A156" i="10"/>
  <c r="C155" i="10"/>
  <c r="A155" i="10"/>
  <c r="R154" i="10"/>
  <c r="P154" i="10"/>
  <c r="C154" i="10"/>
  <c r="A154" i="10"/>
  <c r="U154" i="10" s="1"/>
  <c r="C153" i="10"/>
  <c r="A153" i="10"/>
  <c r="C152" i="10"/>
  <c r="A152" i="10"/>
  <c r="C151" i="10"/>
  <c r="A151" i="10"/>
  <c r="W151" i="10" s="1"/>
  <c r="C150" i="10"/>
  <c r="A150" i="10"/>
  <c r="C149" i="10"/>
  <c r="A149" i="10"/>
  <c r="C148" i="10"/>
  <c r="A148" i="10"/>
  <c r="V148" i="10" s="1"/>
  <c r="C147" i="10"/>
  <c r="A147" i="10"/>
  <c r="V146" i="10"/>
  <c r="U146" i="10"/>
  <c r="T146" i="10"/>
  <c r="P146" i="10"/>
  <c r="C146" i="10"/>
  <c r="A146" i="10"/>
  <c r="C145" i="10"/>
  <c r="A145" i="10"/>
  <c r="C144" i="10"/>
  <c r="A144" i="10"/>
  <c r="C143" i="10"/>
  <c r="A143" i="10"/>
  <c r="C142" i="10"/>
  <c r="A142" i="10"/>
  <c r="R142" i="10" s="1"/>
  <c r="Q141" i="10"/>
  <c r="P141" i="10"/>
  <c r="O141" i="10"/>
  <c r="C141" i="10"/>
  <c r="A141" i="10"/>
  <c r="S141" i="10" s="1"/>
  <c r="C140" i="10"/>
  <c r="A140" i="10"/>
  <c r="C139" i="10"/>
  <c r="A139" i="10"/>
  <c r="C138" i="10"/>
  <c r="A138" i="10"/>
  <c r="V138" i="10" s="1"/>
  <c r="V137" i="10"/>
  <c r="C137" i="10"/>
  <c r="A137" i="10"/>
  <c r="C136" i="10"/>
  <c r="A136" i="10"/>
  <c r="O136" i="10" s="1"/>
  <c r="U135" i="10"/>
  <c r="Q135" i="10"/>
  <c r="C135" i="10"/>
  <c r="A135" i="10"/>
  <c r="V135" i="10" s="1"/>
  <c r="C134" i="10"/>
  <c r="A134" i="10"/>
  <c r="O134" i="10" s="1"/>
  <c r="V133" i="10"/>
  <c r="C133" i="10"/>
  <c r="A133" i="10"/>
  <c r="R133" i="10" s="1"/>
  <c r="T132" i="10"/>
  <c r="S132" i="10"/>
  <c r="R132" i="10"/>
  <c r="C132" i="10"/>
  <c r="A132" i="10"/>
  <c r="V131" i="10"/>
  <c r="U131" i="10"/>
  <c r="C131" i="10"/>
  <c r="A131" i="10"/>
  <c r="S131" i="10" s="1"/>
  <c r="C130" i="10"/>
  <c r="A130" i="10"/>
  <c r="T129" i="10"/>
  <c r="R129" i="10"/>
  <c r="P129" i="10"/>
  <c r="O129" i="10"/>
  <c r="N129" i="10"/>
  <c r="C129" i="10"/>
  <c r="A129" i="10"/>
  <c r="S129" i="10" s="1"/>
  <c r="U128" i="10"/>
  <c r="T128" i="10"/>
  <c r="S128" i="10"/>
  <c r="R128" i="10"/>
  <c r="C128" i="10"/>
  <c r="A128" i="10"/>
  <c r="W128" i="10" s="1"/>
  <c r="C127" i="10"/>
  <c r="A127" i="10"/>
  <c r="S127" i="10" s="1"/>
  <c r="W126" i="10"/>
  <c r="C126" i="10"/>
  <c r="A126" i="10"/>
  <c r="V126" i="10" s="1"/>
  <c r="C125" i="10"/>
  <c r="A125" i="10"/>
  <c r="C124" i="10"/>
  <c r="A124" i="10"/>
  <c r="C123" i="10"/>
  <c r="A123" i="10"/>
  <c r="C122" i="10"/>
  <c r="A122" i="10"/>
  <c r="C121" i="10"/>
  <c r="A121" i="10"/>
  <c r="U121" i="10" s="1"/>
  <c r="C120" i="10"/>
  <c r="A120" i="10"/>
  <c r="P119" i="10"/>
  <c r="C119" i="10"/>
  <c r="A119" i="10"/>
  <c r="C118" i="10"/>
  <c r="A118" i="10"/>
  <c r="O118" i="10" s="1"/>
  <c r="C117" i="10"/>
  <c r="A117" i="10"/>
  <c r="U117" i="10" s="1"/>
  <c r="C116" i="10"/>
  <c r="A116" i="10"/>
  <c r="C115" i="10"/>
  <c r="A115" i="10"/>
  <c r="V115" i="10" s="1"/>
  <c r="C114" i="10"/>
  <c r="A114" i="10"/>
  <c r="C113" i="10"/>
  <c r="A113" i="10"/>
  <c r="U112" i="10"/>
  <c r="C112" i="10"/>
  <c r="A112" i="10"/>
  <c r="R112" i="10" s="1"/>
  <c r="U111" i="10"/>
  <c r="R111" i="10"/>
  <c r="Q111" i="10"/>
  <c r="P111" i="10"/>
  <c r="O111" i="10"/>
  <c r="C111" i="10"/>
  <c r="A111" i="10"/>
  <c r="S111" i="10" s="1"/>
  <c r="P110" i="10"/>
  <c r="N110" i="10"/>
  <c r="C110" i="10"/>
  <c r="A110" i="10"/>
  <c r="C109" i="10"/>
  <c r="A109" i="10"/>
  <c r="W108" i="10"/>
  <c r="T108" i="10"/>
  <c r="P108" i="10"/>
  <c r="C108" i="10"/>
  <c r="A108" i="10"/>
  <c r="U108" i="10" s="1"/>
  <c r="C107" i="10"/>
  <c r="A107" i="10"/>
  <c r="C106" i="10"/>
  <c r="A106" i="10"/>
  <c r="W106" i="10" s="1"/>
  <c r="S105" i="10"/>
  <c r="O105" i="10"/>
  <c r="C105" i="10"/>
  <c r="A105" i="10"/>
  <c r="C104" i="10"/>
  <c r="A104" i="10"/>
  <c r="C103" i="10"/>
  <c r="A103" i="10"/>
  <c r="T103" i="10" s="1"/>
  <c r="W102" i="10"/>
  <c r="U102" i="10"/>
  <c r="T102" i="10"/>
  <c r="C102" i="10"/>
  <c r="A102" i="10"/>
  <c r="P102" i="10" s="1"/>
  <c r="C101" i="10"/>
  <c r="A101" i="10"/>
  <c r="C100" i="10"/>
  <c r="A100" i="10"/>
  <c r="S99" i="10"/>
  <c r="R99" i="10"/>
  <c r="P99" i="10"/>
  <c r="O99" i="10"/>
  <c r="N99" i="10"/>
  <c r="C99" i="10"/>
  <c r="A99" i="10"/>
  <c r="Q99" i="10" s="1"/>
  <c r="C98" i="10"/>
  <c r="A98" i="10"/>
  <c r="C97" i="10"/>
  <c r="A97" i="10"/>
  <c r="C96" i="10"/>
  <c r="A96" i="10"/>
  <c r="V95" i="10"/>
  <c r="U95" i="10"/>
  <c r="T95" i="10"/>
  <c r="C95" i="10"/>
  <c r="A95" i="10"/>
  <c r="R94" i="10"/>
  <c r="P94" i="10"/>
  <c r="C94" i="10"/>
  <c r="A94" i="10"/>
  <c r="C93" i="10"/>
  <c r="A93" i="10"/>
  <c r="T93" i="10" s="1"/>
  <c r="C92" i="10"/>
  <c r="A92" i="10"/>
  <c r="C91" i="10"/>
  <c r="A91" i="10"/>
  <c r="C90" i="10"/>
  <c r="A90" i="10"/>
  <c r="V90" i="10" s="1"/>
  <c r="V89" i="10"/>
  <c r="R89" i="10"/>
  <c r="C89" i="10"/>
  <c r="A89" i="10"/>
  <c r="T89" i="10" s="1"/>
  <c r="C88" i="10"/>
  <c r="A88" i="10"/>
  <c r="R88" i="10" s="1"/>
  <c r="C87" i="10"/>
  <c r="A87" i="10"/>
  <c r="C86" i="10"/>
  <c r="A86" i="10"/>
  <c r="C85" i="10"/>
  <c r="A85" i="10"/>
  <c r="W84" i="10"/>
  <c r="V84" i="10"/>
  <c r="T84" i="10"/>
  <c r="C84" i="10"/>
  <c r="A84" i="10"/>
  <c r="P84" i="10" s="1"/>
  <c r="C83" i="10"/>
  <c r="A83" i="10"/>
  <c r="W82" i="10"/>
  <c r="C82" i="10"/>
  <c r="A82" i="10"/>
  <c r="S82" i="10" s="1"/>
  <c r="C81" i="10"/>
  <c r="A81" i="10"/>
  <c r="P81" i="10" s="1"/>
  <c r="T80" i="10"/>
  <c r="S80" i="10"/>
  <c r="R80" i="10"/>
  <c r="N80" i="10"/>
  <c r="C80" i="10"/>
  <c r="A80" i="10"/>
  <c r="C79" i="10"/>
  <c r="A79" i="10"/>
  <c r="V78" i="10"/>
  <c r="U78" i="10"/>
  <c r="T78" i="10"/>
  <c r="R78" i="10"/>
  <c r="C78" i="10"/>
  <c r="A78" i="10"/>
  <c r="P78" i="10" s="1"/>
  <c r="R77" i="10"/>
  <c r="O77" i="10"/>
  <c r="N77" i="10"/>
  <c r="C77" i="10"/>
  <c r="A77" i="10"/>
  <c r="C76" i="10"/>
  <c r="A76" i="10"/>
  <c r="V76" i="10" s="1"/>
  <c r="U75" i="10"/>
  <c r="C75" i="10"/>
  <c r="A75" i="10"/>
  <c r="C74" i="10"/>
  <c r="A74" i="10"/>
  <c r="C73" i="10"/>
  <c r="A73" i="10"/>
  <c r="P73" i="10" s="1"/>
  <c r="C72" i="10"/>
  <c r="A72" i="10"/>
  <c r="P71" i="10"/>
  <c r="C71" i="10"/>
  <c r="A71" i="10"/>
  <c r="V71" i="10" s="1"/>
  <c r="W70" i="10"/>
  <c r="V70" i="10"/>
  <c r="U70" i="10"/>
  <c r="C70" i="10"/>
  <c r="A70" i="10"/>
  <c r="T70" i="10" s="1"/>
  <c r="C69" i="10"/>
  <c r="A69" i="10"/>
  <c r="V68" i="10"/>
  <c r="C68" i="10"/>
  <c r="A68" i="10"/>
  <c r="C67" i="10"/>
  <c r="A67" i="10"/>
  <c r="R66" i="10"/>
  <c r="P66" i="10"/>
  <c r="C66" i="10"/>
  <c r="A66" i="10"/>
  <c r="S65" i="10"/>
  <c r="C65" i="10"/>
  <c r="A65" i="10"/>
  <c r="O65" i="10" s="1"/>
  <c r="C64" i="10"/>
  <c r="A64" i="10"/>
  <c r="U64" i="10" s="1"/>
  <c r="C63" i="10"/>
  <c r="A63" i="10"/>
  <c r="V62" i="10"/>
  <c r="U62" i="10"/>
  <c r="T62" i="10"/>
  <c r="R62" i="10"/>
  <c r="C62" i="10"/>
  <c r="A62" i="10"/>
  <c r="P62" i="10" s="1"/>
  <c r="C61" i="10"/>
  <c r="A61" i="10"/>
  <c r="C60" i="10"/>
  <c r="A60" i="10"/>
  <c r="V59" i="10"/>
  <c r="S59" i="10"/>
  <c r="P59" i="10"/>
  <c r="O59" i="10"/>
  <c r="N59" i="10"/>
  <c r="C59" i="10"/>
  <c r="A59" i="10"/>
  <c r="R59" i="10" s="1"/>
  <c r="C58" i="10"/>
  <c r="A58" i="10"/>
  <c r="S57" i="10"/>
  <c r="C57" i="10"/>
  <c r="A57" i="10"/>
  <c r="P56" i="10"/>
  <c r="C56" i="10"/>
  <c r="A56" i="10"/>
  <c r="T56" i="10" s="1"/>
  <c r="C55" i="10"/>
  <c r="A55" i="10"/>
  <c r="P55" i="10" s="1"/>
  <c r="C54" i="10"/>
  <c r="A54" i="10"/>
  <c r="C53" i="10"/>
  <c r="A53" i="10"/>
  <c r="S53" i="10" s="1"/>
  <c r="C52" i="10"/>
  <c r="A52" i="10"/>
  <c r="N52" i="10" s="1"/>
  <c r="U51" i="10"/>
  <c r="S51" i="10"/>
  <c r="R51" i="10"/>
  <c r="C51" i="10"/>
  <c r="A51" i="10"/>
  <c r="Q51" i="10" s="1"/>
  <c r="V50" i="10"/>
  <c r="S50" i="10"/>
  <c r="P50" i="10"/>
  <c r="C50" i="10"/>
  <c r="A50" i="10"/>
  <c r="T50" i="10" s="1"/>
  <c r="C49" i="10"/>
  <c r="A49" i="10"/>
  <c r="W48" i="10"/>
  <c r="R48" i="10"/>
  <c r="P48" i="10"/>
  <c r="O48" i="10"/>
  <c r="C48" i="10"/>
  <c r="A48" i="10"/>
  <c r="N48" i="10" s="1"/>
  <c r="C47" i="10"/>
  <c r="A47" i="10"/>
  <c r="W46" i="10"/>
  <c r="V46" i="10"/>
  <c r="R46" i="10"/>
  <c r="P46" i="10"/>
  <c r="O46" i="10"/>
  <c r="N46" i="10"/>
  <c r="C46" i="10"/>
  <c r="A46" i="10"/>
  <c r="Q46" i="10" s="1"/>
  <c r="C45" i="10"/>
  <c r="A45" i="10"/>
  <c r="N45" i="10" s="1"/>
  <c r="C44" i="10"/>
  <c r="A44" i="10"/>
  <c r="N43" i="10"/>
  <c r="C43" i="10"/>
  <c r="A43" i="10"/>
  <c r="C42" i="10"/>
  <c r="A42" i="10"/>
  <c r="C41" i="10"/>
  <c r="A41" i="10"/>
  <c r="S40" i="10"/>
  <c r="O40" i="10"/>
  <c r="C40" i="10"/>
  <c r="A40" i="10"/>
  <c r="R40" i="10" s="1"/>
  <c r="C39" i="10"/>
  <c r="A39" i="10"/>
  <c r="U38" i="10"/>
  <c r="T38" i="10"/>
  <c r="C38" i="10"/>
  <c r="A38" i="10"/>
  <c r="V37" i="10"/>
  <c r="U37" i="10"/>
  <c r="S37" i="10"/>
  <c r="P37" i="10"/>
  <c r="O37" i="10"/>
  <c r="N37" i="10"/>
  <c r="C37" i="10"/>
  <c r="A37" i="10"/>
  <c r="R37" i="10" s="1"/>
  <c r="S36" i="10"/>
  <c r="N36" i="10"/>
  <c r="C36" i="10"/>
  <c r="A36" i="10"/>
  <c r="W36" i="10" s="1"/>
  <c r="C35" i="10"/>
  <c r="A35" i="10"/>
  <c r="O35" i="10" s="1"/>
  <c r="V34" i="10"/>
  <c r="N34" i="10"/>
  <c r="C34" i="10"/>
  <c r="A34" i="10"/>
  <c r="O33" i="10"/>
  <c r="C33" i="10"/>
  <c r="A33" i="10"/>
  <c r="R32" i="10"/>
  <c r="C32" i="10"/>
  <c r="A32" i="10"/>
  <c r="C31" i="10"/>
  <c r="A31" i="10"/>
  <c r="U31" i="10" s="1"/>
  <c r="C30" i="10"/>
  <c r="A30" i="10"/>
  <c r="C29" i="10"/>
  <c r="A29" i="10"/>
  <c r="V28" i="10"/>
  <c r="T28" i="10"/>
  <c r="N28" i="10"/>
  <c r="C28" i="10"/>
  <c r="A28" i="10"/>
  <c r="S28" i="10" s="1"/>
  <c r="U27" i="10"/>
  <c r="S27" i="10"/>
  <c r="R27" i="10"/>
  <c r="N27" i="10"/>
  <c r="C27" i="10"/>
  <c r="A27" i="10"/>
  <c r="V27" i="10" s="1"/>
  <c r="N26" i="10"/>
  <c r="C26" i="10"/>
  <c r="A26" i="10"/>
  <c r="O25" i="10"/>
  <c r="C25" i="10"/>
  <c r="A25" i="10"/>
  <c r="C24" i="10"/>
  <c r="A24" i="10"/>
  <c r="V23" i="10"/>
  <c r="O23" i="10"/>
  <c r="C23" i="10"/>
  <c r="A23" i="10"/>
  <c r="C22" i="10"/>
  <c r="A22" i="10"/>
  <c r="A74" i="11" s="1"/>
  <c r="U21" i="10"/>
  <c r="T21" i="10"/>
  <c r="S21" i="10"/>
  <c r="C21" i="10"/>
  <c r="A21" i="10"/>
  <c r="V20" i="10"/>
  <c r="C20" i="10"/>
  <c r="A20" i="10"/>
  <c r="C19" i="10"/>
  <c r="A19" i="10"/>
  <c r="C18" i="10"/>
  <c r="A18" i="10"/>
  <c r="U18" i="10" s="1"/>
  <c r="C17" i="10"/>
  <c r="A17" i="10"/>
  <c r="C16" i="10"/>
  <c r="A16" i="10"/>
  <c r="R16" i="10" s="1"/>
  <c r="Q15" i="10"/>
  <c r="C15" i="10"/>
  <c r="A15" i="10"/>
  <c r="U14" i="10"/>
  <c r="T14" i="10"/>
  <c r="N14" i="10"/>
  <c r="C14" i="10"/>
  <c r="A14" i="10"/>
  <c r="W14" i="10" s="1"/>
  <c r="C13" i="10"/>
  <c r="A13" i="10"/>
  <c r="S13" i="10" s="1"/>
  <c r="V12" i="10"/>
  <c r="T12" i="10"/>
  <c r="C12" i="10"/>
  <c r="A12" i="10"/>
  <c r="S11" i="10"/>
  <c r="R11" i="10"/>
  <c r="Q11" i="10"/>
  <c r="C11" i="10"/>
  <c r="A11" i="10"/>
  <c r="P11" i="10" s="1"/>
  <c r="C10" i="10"/>
  <c r="A10" i="10"/>
  <c r="R9" i="10"/>
  <c r="C9" i="10"/>
  <c r="A9" i="10"/>
  <c r="C8" i="10"/>
  <c r="A8" i="10"/>
  <c r="C7" i="10"/>
  <c r="A7" i="10"/>
  <c r="S7" i="10" s="1"/>
  <c r="K6" i="10"/>
  <c r="C6" i="10"/>
  <c r="A6" i="10"/>
  <c r="K5" i="10"/>
  <c r="C5" i="10"/>
  <c r="A5" i="10"/>
  <c r="K4" i="10"/>
  <c r="C4" i="10"/>
  <c r="A4" i="10"/>
  <c r="A56" i="11" s="1"/>
  <c r="K3" i="10"/>
  <c r="C3" i="10"/>
  <c r="A3" i="10"/>
  <c r="K2" i="10"/>
  <c r="C2" i="10"/>
  <c r="A2" i="10"/>
  <c r="O202" i="9"/>
  <c r="L202" i="9"/>
  <c r="I202" i="9"/>
  <c r="F202" i="9"/>
  <c r="C202" i="9"/>
  <c r="A202" i="9"/>
  <c r="A201" i="9"/>
  <c r="D201" i="9" s="1"/>
  <c r="A200" i="9"/>
  <c r="A199" i="9"/>
  <c r="A198" i="9"/>
  <c r="A197" i="9"/>
  <c r="A196" i="9"/>
  <c r="D196" i="9" s="1"/>
  <c r="A195" i="9"/>
  <c r="D195" i="9" s="1"/>
  <c r="A194" i="9"/>
  <c r="D193" i="9"/>
  <c r="A193" i="9"/>
  <c r="A192" i="9"/>
  <c r="D192" i="9" s="1"/>
  <c r="A191" i="9"/>
  <c r="A190" i="9"/>
  <c r="A189" i="9"/>
  <c r="A188" i="9"/>
  <c r="A187" i="9"/>
  <c r="A186" i="9"/>
  <c r="D186" i="9" s="1"/>
  <c r="A185" i="9"/>
  <c r="D184" i="9"/>
  <c r="A184" i="9"/>
  <c r="A183" i="9"/>
  <c r="D183" i="9" s="1"/>
  <c r="A182" i="9"/>
  <c r="A181" i="9"/>
  <c r="A180" i="9"/>
  <c r="A179" i="9"/>
  <c r="A178" i="9"/>
  <c r="D178" i="9" s="1"/>
  <c r="D177" i="9"/>
  <c r="A177" i="9"/>
  <c r="A176" i="9"/>
  <c r="A175" i="9"/>
  <c r="D175" i="9" s="1"/>
  <c r="A174" i="9"/>
  <c r="D174" i="9" s="1"/>
  <c r="A173" i="9"/>
  <c r="A172" i="9"/>
  <c r="A171" i="9"/>
  <c r="A170" i="9"/>
  <c r="A169" i="9"/>
  <c r="D169" i="9" s="1"/>
  <c r="A168" i="9"/>
  <c r="D168" i="9" s="1"/>
  <c r="A167" i="9"/>
  <c r="A166" i="9"/>
  <c r="A165" i="9"/>
  <c r="A164" i="9"/>
  <c r="A163" i="9"/>
  <c r="A162" i="9"/>
  <c r="A161" i="9"/>
  <c r="A160" i="9"/>
  <c r="D159" i="9"/>
  <c r="A159" i="9"/>
  <c r="A158" i="9"/>
  <c r="A157" i="9"/>
  <c r="D157" i="9" s="1"/>
  <c r="A156" i="9"/>
  <c r="A155" i="9"/>
  <c r="A154" i="9"/>
  <c r="A153" i="9"/>
  <c r="A152" i="9"/>
  <c r="A151" i="9"/>
  <c r="D151" i="9" s="1"/>
  <c r="A150" i="9"/>
  <c r="D150" i="9" s="1"/>
  <c r="A149" i="9"/>
  <c r="A148" i="9"/>
  <c r="A147" i="9"/>
  <c r="D147" i="9" s="1"/>
  <c r="A146" i="9"/>
  <c r="A145" i="9"/>
  <c r="A144" i="9"/>
  <c r="D144" i="9" s="1"/>
  <c r="A143" i="9"/>
  <c r="A142" i="9"/>
  <c r="A141" i="9"/>
  <c r="A140" i="9"/>
  <c r="A139" i="9"/>
  <c r="D139" i="9" s="1"/>
  <c r="D138" i="9"/>
  <c r="A138" i="9"/>
  <c r="A137" i="9"/>
  <c r="A136" i="9"/>
  <c r="A135" i="9"/>
  <c r="A134" i="9"/>
  <c r="D133" i="9"/>
  <c r="A133" i="9"/>
  <c r="A132" i="9"/>
  <c r="C131" i="9"/>
  <c r="A131" i="9"/>
  <c r="A130" i="9"/>
  <c r="D130" i="9" s="1"/>
  <c r="A129" i="9"/>
  <c r="A128" i="9"/>
  <c r="A127" i="9"/>
  <c r="D127" i="9" s="1"/>
  <c r="A126" i="9"/>
  <c r="A125" i="9"/>
  <c r="A124" i="9"/>
  <c r="D124" i="9" s="1"/>
  <c r="A123" i="9"/>
  <c r="D123" i="9" s="1"/>
  <c r="A122" i="9"/>
  <c r="I121" i="9"/>
  <c r="A121" i="9"/>
  <c r="D121" i="9" s="1"/>
  <c r="A120" i="9"/>
  <c r="A119" i="9"/>
  <c r="A118" i="9"/>
  <c r="A117" i="9"/>
  <c r="D117" i="9" s="1"/>
  <c r="A116" i="9"/>
  <c r="A115" i="9"/>
  <c r="A114" i="9"/>
  <c r="D114" i="9" s="1"/>
  <c r="A113" i="9"/>
  <c r="A112" i="9"/>
  <c r="A111" i="9"/>
  <c r="D111" i="9" s="1"/>
  <c r="A110" i="9"/>
  <c r="A109" i="9"/>
  <c r="D108" i="9"/>
  <c r="A108" i="9"/>
  <c r="A107" i="9"/>
  <c r="A106" i="9"/>
  <c r="O105" i="9"/>
  <c r="D105" i="9"/>
  <c r="A105" i="9"/>
  <c r="A104" i="9"/>
  <c r="A103" i="9"/>
  <c r="A102" i="9"/>
  <c r="D102" i="9" s="1"/>
  <c r="A101" i="9"/>
  <c r="A100" i="9"/>
  <c r="A99" i="9"/>
  <c r="D99" i="9" s="1"/>
  <c r="A98" i="9"/>
  <c r="A97" i="9"/>
  <c r="D97" i="9" s="1"/>
  <c r="A96" i="9"/>
  <c r="A95" i="9"/>
  <c r="A94" i="9"/>
  <c r="D94" i="9" s="1"/>
  <c r="A93" i="9"/>
  <c r="D93" i="9" s="1"/>
  <c r="A92" i="9"/>
  <c r="A91" i="9"/>
  <c r="A90" i="9"/>
  <c r="A89" i="9"/>
  <c r="A88" i="9"/>
  <c r="D88" i="9" s="1"/>
  <c r="A87" i="9"/>
  <c r="A86" i="9"/>
  <c r="A85" i="9"/>
  <c r="D85" i="9" s="1"/>
  <c r="A84" i="9"/>
  <c r="A83" i="9"/>
  <c r="A82" i="9"/>
  <c r="A81" i="9"/>
  <c r="D81" i="9" s="1"/>
  <c r="A80" i="9"/>
  <c r="A79" i="9"/>
  <c r="A78" i="9"/>
  <c r="D78" i="9" s="1"/>
  <c r="A77" i="9"/>
  <c r="A76" i="9"/>
  <c r="D76" i="9" s="1"/>
  <c r="A75" i="9"/>
  <c r="D75" i="9" s="1"/>
  <c r="A74" i="9"/>
  <c r="A73" i="9"/>
  <c r="D73" i="9" s="1"/>
  <c r="A72" i="9"/>
  <c r="A71" i="9"/>
  <c r="A70" i="9"/>
  <c r="A69" i="9"/>
  <c r="D69" i="9" s="1"/>
  <c r="A68" i="9"/>
  <c r="A67" i="9"/>
  <c r="A66" i="9"/>
  <c r="D66" i="9" s="1"/>
  <c r="A65" i="9"/>
  <c r="A64" i="9"/>
  <c r="D64" i="9" s="1"/>
  <c r="A63" i="9"/>
  <c r="D63" i="9" s="1"/>
  <c r="A62" i="9"/>
  <c r="A61" i="9"/>
  <c r="A60" i="9"/>
  <c r="A59" i="9"/>
  <c r="A58" i="9"/>
  <c r="A57" i="9"/>
  <c r="A56" i="9"/>
  <c r="A55" i="9"/>
  <c r="A54" i="9"/>
  <c r="D54" i="9" s="1"/>
  <c r="A53" i="9"/>
  <c r="D52" i="9"/>
  <c r="A52" i="9"/>
  <c r="A51" i="9"/>
  <c r="D51" i="9" s="1"/>
  <c r="A50" i="9"/>
  <c r="A49" i="9"/>
  <c r="A48" i="9"/>
  <c r="D48" i="9" s="1"/>
  <c r="A47" i="9"/>
  <c r="A46" i="9"/>
  <c r="D46" i="9" s="1"/>
  <c r="A45" i="9"/>
  <c r="D45" i="9" s="1"/>
  <c r="A44" i="9"/>
  <c r="A43" i="9"/>
  <c r="A42" i="9"/>
  <c r="A41" i="9"/>
  <c r="A40" i="9"/>
  <c r="A39" i="9"/>
  <c r="D39" i="9" s="1"/>
  <c r="A38" i="9"/>
  <c r="A37" i="9"/>
  <c r="D37" i="9" s="1"/>
  <c r="D36" i="9"/>
  <c r="A36" i="9"/>
  <c r="A35" i="9"/>
  <c r="A34" i="9"/>
  <c r="D34" i="9" s="1"/>
  <c r="A33" i="9"/>
  <c r="D33" i="9" s="1"/>
  <c r="A32" i="9"/>
  <c r="A31" i="9"/>
  <c r="D31" i="9" s="1"/>
  <c r="A30" i="9"/>
  <c r="D30" i="9" s="1"/>
  <c r="A29" i="9"/>
  <c r="A28" i="9"/>
  <c r="D28" i="9" s="1"/>
  <c r="A27" i="9"/>
  <c r="D27" i="9" s="1"/>
  <c r="A26" i="9"/>
  <c r="A25" i="9"/>
  <c r="A24" i="9"/>
  <c r="D24" i="9" s="1"/>
  <c r="A23" i="9"/>
  <c r="A22" i="9"/>
  <c r="D21" i="9"/>
  <c r="A21" i="9"/>
  <c r="A20" i="9"/>
  <c r="D19" i="9"/>
  <c r="A19" i="9"/>
  <c r="A18" i="9"/>
  <c r="D18" i="9" s="1"/>
  <c r="A17" i="9"/>
  <c r="A16" i="9"/>
  <c r="A15" i="9"/>
  <c r="D15" i="9" s="1"/>
  <c r="A14" i="9"/>
  <c r="D13" i="9"/>
  <c r="A13" i="9"/>
  <c r="A12" i="9"/>
  <c r="A11" i="9"/>
  <c r="A10" i="9"/>
  <c r="A9" i="9"/>
  <c r="A8" i="9"/>
  <c r="A7" i="9"/>
  <c r="D7" i="9" s="1"/>
  <c r="A6" i="9"/>
  <c r="A5" i="9"/>
  <c r="A4" i="9"/>
  <c r="A3" i="9"/>
  <c r="T200" i="8"/>
  <c r="A200" i="8"/>
  <c r="A199" i="8"/>
  <c r="T198" i="8"/>
  <c r="Q198" i="8"/>
  <c r="P198" i="8"/>
  <c r="N198" i="8"/>
  <c r="D198" i="8"/>
  <c r="A198" i="8"/>
  <c r="U197" i="8"/>
  <c r="M197" i="8"/>
  <c r="F197" i="8"/>
  <c r="A197" i="8"/>
  <c r="R196" i="8"/>
  <c r="M196" i="8"/>
  <c r="A196" i="8"/>
  <c r="A195" i="8"/>
  <c r="A194" i="8"/>
  <c r="M194" i="8" s="1"/>
  <c r="U193" i="8"/>
  <c r="A193" i="8"/>
  <c r="A192" i="8"/>
  <c r="A191" i="8"/>
  <c r="V191" i="8" s="1"/>
  <c r="Q190" i="8"/>
  <c r="C190" i="8"/>
  <c r="A190" i="8"/>
  <c r="Q189" i="8"/>
  <c r="C189" i="8"/>
  <c r="A189" i="8"/>
  <c r="I188" i="8"/>
  <c r="G188" i="8"/>
  <c r="E188" i="8"/>
  <c r="C188" i="8"/>
  <c r="A188" i="8"/>
  <c r="F189" i="9" s="1"/>
  <c r="A187" i="8"/>
  <c r="J186" i="8"/>
  <c r="AB186" i="4" s="1"/>
  <c r="G186" i="8"/>
  <c r="E186" i="8"/>
  <c r="D186" i="8"/>
  <c r="A186" i="8"/>
  <c r="A185" i="8"/>
  <c r="D184" i="8"/>
  <c r="A184" i="8"/>
  <c r="N183" i="8"/>
  <c r="A183" i="8"/>
  <c r="B183" i="8" s="1"/>
  <c r="A182" i="8"/>
  <c r="V182" i="8" s="1"/>
  <c r="F181" i="8"/>
  <c r="A181" i="8"/>
  <c r="A180" i="8"/>
  <c r="E180" i="8" s="1"/>
  <c r="R179" i="8"/>
  <c r="A179" i="8"/>
  <c r="V179" i="8" s="1"/>
  <c r="A178" i="8"/>
  <c r="G178" i="8" s="1"/>
  <c r="A177" i="8"/>
  <c r="V176" i="8"/>
  <c r="W176" i="8" s="1"/>
  <c r="M176" i="8"/>
  <c r="A176" i="8"/>
  <c r="A175" i="8"/>
  <c r="J175" i="8" s="1"/>
  <c r="U174" i="8"/>
  <c r="R174" i="8"/>
  <c r="J174" i="8"/>
  <c r="K174" i="8" s="1"/>
  <c r="I174" i="8"/>
  <c r="H174" i="8"/>
  <c r="F174" i="8"/>
  <c r="A174" i="8"/>
  <c r="P174" i="8" s="1"/>
  <c r="A173" i="8"/>
  <c r="A172" i="8"/>
  <c r="C172" i="8" s="1"/>
  <c r="A171" i="8"/>
  <c r="U170" i="8"/>
  <c r="K170" i="8"/>
  <c r="J170" i="8"/>
  <c r="F170" i="8"/>
  <c r="A170" i="8"/>
  <c r="V169" i="8"/>
  <c r="A169" i="8"/>
  <c r="I169" i="8" s="1"/>
  <c r="I168" i="8"/>
  <c r="A168" i="8"/>
  <c r="A167" i="8"/>
  <c r="T166" i="8"/>
  <c r="F166" i="8"/>
  <c r="D166" i="8"/>
  <c r="C166" i="8"/>
  <c r="B166" i="8"/>
  <c r="A166" i="8"/>
  <c r="R166" i="8" s="1"/>
  <c r="S166" i="8" s="1"/>
  <c r="A165" i="8"/>
  <c r="E164" i="8"/>
  <c r="A164" i="8"/>
  <c r="A163" i="8"/>
  <c r="U163" i="8" s="1"/>
  <c r="A162" i="8"/>
  <c r="V162" i="8" s="1"/>
  <c r="W162" i="8" s="1"/>
  <c r="A161" i="8"/>
  <c r="B161" i="8" s="1"/>
  <c r="Q160" i="8"/>
  <c r="P160" i="8"/>
  <c r="A160" i="8"/>
  <c r="A159" i="8"/>
  <c r="A158" i="8"/>
  <c r="M158" i="8" s="1"/>
  <c r="Q157" i="8"/>
  <c r="P157" i="8"/>
  <c r="N157" i="8"/>
  <c r="J157" i="8"/>
  <c r="G157" i="8"/>
  <c r="F157" i="8"/>
  <c r="E157" i="8"/>
  <c r="AB157" i="4" s="1"/>
  <c r="D157" i="8"/>
  <c r="C157" i="8"/>
  <c r="A157" i="8"/>
  <c r="I157" i="8" s="1"/>
  <c r="I156" i="8"/>
  <c r="F156" i="8"/>
  <c r="C156" i="8"/>
  <c r="A156" i="8"/>
  <c r="A155" i="8"/>
  <c r="V155" i="8" s="1"/>
  <c r="A154" i="8"/>
  <c r="P153" i="8"/>
  <c r="C153" i="8"/>
  <c r="A153" i="8"/>
  <c r="V152" i="8"/>
  <c r="T152" i="8"/>
  <c r="N152" i="8"/>
  <c r="O152" i="8" s="1"/>
  <c r="M152" i="8"/>
  <c r="A152" i="8"/>
  <c r="F153" i="9" s="1"/>
  <c r="V151" i="8"/>
  <c r="W151" i="8" s="1"/>
  <c r="P151" i="8"/>
  <c r="M151" i="8"/>
  <c r="K151" i="8"/>
  <c r="J151" i="8"/>
  <c r="H151" i="8"/>
  <c r="G151" i="8"/>
  <c r="F151" i="8"/>
  <c r="E151" i="8"/>
  <c r="D151" i="8"/>
  <c r="C151" i="8"/>
  <c r="A151" i="8"/>
  <c r="R151" i="8" s="1"/>
  <c r="S151" i="8" s="1"/>
  <c r="A150" i="8"/>
  <c r="N150" i="8" s="1"/>
  <c r="N149" i="8"/>
  <c r="A149" i="8"/>
  <c r="H149" i="8" s="1"/>
  <c r="A148" i="8"/>
  <c r="C147" i="8"/>
  <c r="A147" i="8"/>
  <c r="E147" i="8" s="1"/>
  <c r="A146" i="8"/>
  <c r="N145" i="8"/>
  <c r="M145" i="8"/>
  <c r="H145" i="8"/>
  <c r="A145" i="8"/>
  <c r="U144" i="8"/>
  <c r="T144" i="8"/>
  <c r="Q144" i="8"/>
  <c r="G144" i="8"/>
  <c r="F144" i="8"/>
  <c r="E144" i="8"/>
  <c r="A144" i="8"/>
  <c r="A143" i="8"/>
  <c r="V143" i="8" s="1"/>
  <c r="A142" i="8"/>
  <c r="N142" i="8" s="1"/>
  <c r="Q141" i="8"/>
  <c r="M141" i="8"/>
  <c r="E141" i="8"/>
  <c r="A141" i="8"/>
  <c r="J140" i="8"/>
  <c r="G140" i="8"/>
  <c r="C140" i="8"/>
  <c r="A140" i="8"/>
  <c r="A139" i="8"/>
  <c r="U138" i="8"/>
  <c r="N138" i="8"/>
  <c r="O138" i="8" s="1"/>
  <c r="M138" i="8"/>
  <c r="L138" i="8"/>
  <c r="I138" i="8"/>
  <c r="A138" i="8"/>
  <c r="P138" i="8" s="1"/>
  <c r="A137" i="8"/>
  <c r="A136" i="8"/>
  <c r="X136" i="8" s="1"/>
  <c r="N135" i="8"/>
  <c r="M135" i="8"/>
  <c r="L135" i="8"/>
  <c r="I135" i="8"/>
  <c r="A135" i="8"/>
  <c r="X134" i="8"/>
  <c r="U134" i="8"/>
  <c r="P134" i="8"/>
  <c r="A134" i="8"/>
  <c r="M134" i="8" s="1"/>
  <c r="X133" i="8"/>
  <c r="V133" i="8"/>
  <c r="W133" i="8" s="1"/>
  <c r="U133" i="8"/>
  <c r="Q133" i="8"/>
  <c r="L133" i="8"/>
  <c r="I133" i="8"/>
  <c r="C133" i="8"/>
  <c r="B133" i="8"/>
  <c r="A133" i="8"/>
  <c r="P133" i="8" s="1"/>
  <c r="A132" i="8"/>
  <c r="E131" i="8"/>
  <c r="A131" i="8"/>
  <c r="U130" i="8"/>
  <c r="Q130" i="8"/>
  <c r="J130" i="8"/>
  <c r="AB130" i="4" s="1"/>
  <c r="I130" i="8"/>
  <c r="E130" i="8"/>
  <c r="D130" i="8"/>
  <c r="A130" i="8"/>
  <c r="A129" i="8"/>
  <c r="A128" i="8"/>
  <c r="J127" i="8"/>
  <c r="A127" i="8"/>
  <c r="A126" i="8"/>
  <c r="U126" i="8" s="1"/>
  <c r="A125" i="8"/>
  <c r="X124" i="8"/>
  <c r="E124" i="8"/>
  <c r="A124" i="8"/>
  <c r="A123" i="8"/>
  <c r="A122" i="8"/>
  <c r="U122" i="8" s="1"/>
  <c r="A121" i="8"/>
  <c r="V120" i="8"/>
  <c r="W120" i="8" s="1"/>
  <c r="T120" i="8"/>
  <c r="N120" i="8"/>
  <c r="L120" i="8"/>
  <c r="I120" i="8"/>
  <c r="H120" i="8"/>
  <c r="E120" i="8"/>
  <c r="A120" i="8"/>
  <c r="U120" i="8" s="1"/>
  <c r="X119" i="8"/>
  <c r="V119" i="8"/>
  <c r="U119" i="8"/>
  <c r="P119" i="8"/>
  <c r="G119" i="8"/>
  <c r="E119" i="8"/>
  <c r="A119" i="8"/>
  <c r="A118" i="8"/>
  <c r="V117" i="8"/>
  <c r="W117" i="8" s="1"/>
  <c r="U117" i="8"/>
  <c r="P117" i="8"/>
  <c r="I117" i="8"/>
  <c r="G117" i="8"/>
  <c r="E117" i="8"/>
  <c r="D117" i="8"/>
  <c r="B117" i="8"/>
  <c r="A117" i="8"/>
  <c r="M117" i="8" s="1"/>
  <c r="P116" i="8"/>
  <c r="M116" i="8"/>
  <c r="L116" i="8"/>
  <c r="H116" i="8"/>
  <c r="B116" i="8"/>
  <c r="A116" i="8"/>
  <c r="A115" i="8"/>
  <c r="X115" i="8" s="1"/>
  <c r="X114" i="8"/>
  <c r="P114" i="8"/>
  <c r="M114" i="8"/>
  <c r="L114" i="8"/>
  <c r="J114" i="8"/>
  <c r="K114" i="8" s="1"/>
  <c r="G114" i="8"/>
  <c r="C114" i="8"/>
  <c r="B114" i="8"/>
  <c r="A114" i="8"/>
  <c r="A113" i="8"/>
  <c r="A112" i="8"/>
  <c r="P112" i="8" s="1"/>
  <c r="V111" i="8"/>
  <c r="L111" i="8"/>
  <c r="H111" i="8"/>
  <c r="A111" i="8"/>
  <c r="A110" i="8"/>
  <c r="X109" i="8"/>
  <c r="N109" i="8"/>
  <c r="O109" i="8" s="1"/>
  <c r="A109" i="8"/>
  <c r="J109" i="8" s="1"/>
  <c r="U108" i="8"/>
  <c r="N108" i="8"/>
  <c r="E108" i="8"/>
  <c r="B108" i="8"/>
  <c r="A108" i="8"/>
  <c r="T108" i="8" s="1"/>
  <c r="A107" i="8"/>
  <c r="L107" i="8" s="1"/>
  <c r="T106" i="8"/>
  <c r="E106" i="8"/>
  <c r="D106" i="8"/>
  <c r="C106" i="8"/>
  <c r="B106" i="8"/>
  <c r="A106" i="8"/>
  <c r="P106" i="8" s="1"/>
  <c r="M105" i="8"/>
  <c r="L105" i="8"/>
  <c r="J105" i="8"/>
  <c r="I105" i="8"/>
  <c r="A105" i="8"/>
  <c r="Q104" i="8"/>
  <c r="E104" i="8"/>
  <c r="C104" i="8"/>
  <c r="B104" i="8"/>
  <c r="A104" i="8"/>
  <c r="A103" i="8"/>
  <c r="I103" i="8" s="1"/>
  <c r="A102" i="8"/>
  <c r="I102" i="8" s="1"/>
  <c r="V101" i="8"/>
  <c r="U101" i="8"/>
  <c r="T101" i="8"/>
  <c r="E101" i="8"/>
  <c r="AB101" i="4" s="1"/>
  <c r="C101" i="8"/>
  <c r="A101" i="8"/>
  <c r="J101" i="8" s="1"/>
  <c r="I100" i="8"/>
  <c r="G100" i="8"/>
  <c r="D100" i="8"/>
  <c r="C100" i="8"/>
  <c r="A100" i="8"/>
  <c r="X100" i="8" s="1"/>
  <c r="A99" i="8"/>
  <c r="U99" i="8" s="1"/>
  <c r="L98" i="8"/>
  <c r="A98" i="8"/>
  <c r="A97" i="8"/>
  <c r="B97" i="8" s="1"/>
  <c r="A96" i="8"/>
  <c r="V95" i="8"/>
  <c r="T95" i="8"/>
  <c r="Q95" i="8"/>
  <c r="N95" i="8"/>
  <c r="L95" i="8"/>
  <c r="J95" i="8"/>
  <c r="I95" i="8"/>
  <c r="H95" i="8"/>
  <c r="E95" i="8"/>
  <c r="A95" i="8"/>
  <c r="A94" i="8"/>
  <c r="V93" i="8"/>
  <c r="W93" i="8" s="1"/>
  <c r="T93" i="8"/>
  <c r="N93" i="8"/>
  <c r="O93" i="8" s="1"/>
  <c r="L93" i="8"/>
  <c r="I93" i="8"/>
  <c r="G93" i="8"/>
  <c r="E93" i="8"/>
  <c r="C93" i="8"/>
  <c r="A93" i="8"/>
  <c r="P92" i="8"/>
  <c r="G92" i="8"/>
  <c r="B92" i="8"/>
  <c r="A92" i="8"/>
  <c r="C92" i="8" s="1"/>
  <c r="A91" i="8"/>
  <c r="J90" i="8"/>
  <c r="A90" i="8"/>
  <c r="X90" i="8" s="1"/>
  <c r="A89" i="8"/>
  <c r="V89" i="8" s="1"/>
  <c r="A88" i="8"/>
  <c r="D88" i="8" s="1"/>
  <c r="U87" i="8"/>
  <c r="N87" i="8"/>
  <c r="O87" i="8" s="1"/>
  <c r="L87" i="8"/>
  <c r="J87" i="8"/>
  <c r="H87" i="8"/>
  <c r="G87" i="8"/>
  <c r="D87" i="8"/>
  <c r="B87" i="8"/>
  <c r="A87" i="8"/>
  <c r="I87" i="8" s="1"/>
  <c r="A86" i="8"/>
  <c r="P85" i="8"/>
  <c r="A85" i="8"/>
  <c r="X84" i="8"/>
  <c r="M84" i="8"/>
  <c r="K84" i="8"/>
  <c r="J84" i="8"/>
  <c r="A84" i="8"/>
  <c r="T83" i="8"/>
  <c r="Q83" i="8"/>
  <c r="N83" i="8"/>
  <c r="L83" i="8"/>
  <c r="A83" i="8"/>
  <c r="C83" i="8" s="1"/>
  <c r="A82" i="8"/>
  <c r="L81" i="8"/>
  <c r="A81" i="8"/>
  <c r="C81" i="8" s="1"/>
  <c r="A80" i="8"/>
  <c r="A79" i="8"/>
  <c r="U78" i="8"/>
  <c r="T78" i="8"/>
  <c r="N78" i="8"/>
  <c r="O78" i="8" s="1"/>
  <c r="M78" i="8"/>
  <c r="J78" i="8"/>
  <c r="E78" i="8"/>
  <c r="A78" i="8"/>
  <c r="A77" i="8"/>
  <c r="E77" i="8" s="1"/>
  <c r="A76" i="8"/>
  <c r="U75" i="8"/>
  <c r="P75" i="8"/>
  <c r="N75" i="8"/>
  <c r="O75" i="8" s="1"/>
  <c r="J75" i="8"/>
  <c r="D75" i="8"/>
  <c r="A75" i="8"/>
  <c r="B75" i="8" s="1"/>
  <c r="J74" i="8"/>
  <c r="K74" i="8" s="1"/>
  <c r="B74" i="8"/>
  <c r="A74" i="8"/>
  <c r="G74" i="8" s="1"/>
  <c r="A73" i="8"/>
  <c r="P73" i="8" s="1"/>
  <c r="A72" i="8"/>
  <c r="X72" i="8" s="1"/>
  <c r="T71" i="8"/>
  <c r="N71" i="8"/>
  <c r="J71" i="8"/>
  <c r="M71" i="4" s="1"/>
  <c r="H71" i="8"/>
  <c r="G71" i="8"/>
  <c r="A71" i="8"/>
  <c r="E71" i="8" s="1"/>
  <c r="L70" i="8"/>
  <c r="D70" i="8"/>
  <c r="A70" i="8"/>
  <c r="J70" i="8" s="1"/>
  <c r="U69" i="8"/>
  <c r="P69" i="8"/>
  <c r="L69" i="8"/>
  <c r="G69" i="8"/>
  <c r="D69" i="8"/>
  <c r="C69" i="8"/>
  <c r="A69" i="8"/>
  <c r="G68" i="8"/>
  <c r="E68" i="8"/>
  <c r="A68" i="8"/>
  <c r="X67" i="8"/>
  <c r="U67" i="8"/>
  <c r="Q67" i="8"/>
  <c r="M67" i="8"/>
  <c r="L67" i="8"/>
  <c r="J67" i="8"/>
  <c r="H67" i="8"/>
  <c r="E67" i="8"/>
  <c r="D67" i="8"/>
  <c r="B67" i="8"/>
  <c r="A67" i="8"/>
  <c r="V67" i="8" s="1"/>
  <c r="W67" i="8" s="1"/>
  <c r="A66" i="8"/>
  <c r="U65" i="8"/>
  <c r="N65" i="8"/>
  <c r="L65" i="8"/>
  <c r="J65" i="8"/>
  <c r="H65" i="8"/>
  <c r="D65" i="8"/>
  <c r="A65" i="8"/>
  <c r="P65" i="8" s="1"/>
  <c r="J64" i="8"/>
  <c r="K64" i="8" s="1"/>
  <c r="I64" i="8"/>
  <c r="H64" i="8"/>
  <c r="G64" i="8"/>
  <c r="E64" i="8"/>
  <c r="D64" i="8"/>
  <c r="A64" i="8"/>
  <c r="U64" i="8" s="1"/>
  <c r="A63" i="8"/>
  <c r="U62" i="8"/>
  <c r="A62" i="8"/>
  <c r="X62" i="8" s="1"/>
  <c r="A61" i="8"/>
  <c r="U61" i="8" s="1"/>
  <c r="X60" i="8"/>
  <c r="U60" i="8"/>
  <c r="A60" i="8"/>
  <c r="L59" i="8"/>
  <c r="A59" i="8"/>
  <c r="D59" i="8" s="1"/>
  <c r="E58" i="8"/>
  <c r="D58" i="8"/>
  <c r="A58" i="8"/>
  <c r="V58" i="8" s="1"/>
  <c r="J57" i="8"/>
  <c r="H57" i="8"/>
  <c r="D57" i="8"/>
  <c r="C57" i="8"/>
  <c r="A57" i="8"/>
  <c r="F58" i="9" s="1"/>
  <c r="H56" i="8"/>
  <c r="A56" i="8"/>
  <c r="C56" i="8" s="1"/>
  <c r="A55" i="8"/>
  <c r="N55" i="8" s="1"/>
  <c r="A54" i="8"/>
  <c r="H54" i="8" s="1"/>
  <c r="T53" i="8"/>
  <c r="N53" i="8"/>
  <c r="E53" i="8"/>
  <c r="C53" i="8"/>
  <c r="A53" i="8"/>
  <c r="X53" i="8" s="1"/>
  <c r="N52" i="8"/>
  <c r="L52" i="8"/>
  <c r="J52" i="8"/>
  <c r="G52" i="8"/>
  <c r="A52" i="8"/>
  <c r="D52" i="8" s="1"/>
  <c r="A51" i="8"/>
  <c r="A50" i="8"/>
  <c r="L50" i="8" s="1"/>
  <c r="A49" i="8"/>
  <c r="X48" i="8"/>
  <c r="V48" i="8"/>
  <c r="U48" i="8"/>
  <c r="P48" i="8"/>
  <c r="L48" i="8"/>
  <c r="I48" i="8"/>
  <c r="G48" i="8"/>
  <c r="E48" i="8"/>
  <c r="A48" i="8"/>
  <c r="C48" i="8" s="1"/>
  <c r="T47" i="8"/>
  <c r="Q47" i="8"/>
  <c r="N47" i="8"/>
  <c r="M47" i="8"/>
  <c r="H47" i="8"/>
  <c r="G47" i="8"/>
  <c r="A47" i="8"/>
  <c r="L47" i="8" s="1"/>
  <c r="A46" i="8"/>
  <c r="F45" i="8"/>
  <c r="A45" i="8"/>
  <c r="J45" i="8" s="1"/>
  <c r="K45" i="8" s="1"/>
  <c r="U44" i="8"/>
  <c r="T44" i="8"/>
  <c r="S44" i="8"/>
  <c r="R44" i="8"/>
  <c r="K44" i="8"/>
  <c r="I44" i="8"/>
  <c r="G44" i="8"/>
  <c r="F44" i="8"/>
  <c r="E44" i="8"/>
  <c r="C44" i="8"/>
  <c r="A44" i="8"/>
  <c r="J44" i="8" s="1"/>
  <c r="A43" i="8"/>
  <c r="E43" i="8" s="1"/>
  <c r="V42" i="8"/>
  <c r="W42" i="8" s="1"/>
  <c r="T42" i="8"/>
  <c r="N42" i="8"/>
  <c r="O42" i="8" s="1"/>
  <c r="I42" i="8"/>
  <c r="G42" i="8"/>
  <c r="F42" i="8"/>
  <c r="E42" i="8"/>
  <c r="A42" i="8"/>
  <c r="M42" i="8" s="1"/>
  <c r="P41" i="8"/>
  <c r="M41" i="8"/>
  <c r="G41" i="8"/>
  <c r="A41" i="8"/>
  <c r="Q41" i="8" s="1"/>
  <c r="P40" i="8"/>
  <c r="M40" i="8"/>
  <c r="H40" i="8"/>
  <c r="G40" i="8"/>
  <c r="F40" i="8"/>
  <c r="A40" i="8"/>
  <c r="T40" i="8" s="1"/>
  <c r="A39" i="8"/>
  <c r="Q39" i="8" s="1"/>
  <c r="U38" i="8"/>
  <c r="E38" i="8"/>
  <c r="D38" i="8"/>
  <c r="C38" i="8"/>
  <c r="B38" i="8"/>
  <c r="A38" i="8"/>
  <c r="N38" i="8" s="1"/>
  <c r="A37" i="8"/>
  <c r="A36" i="8"/>
  <c r="T36" i="8" s="1"/>
  <c r="A35" i="8"/>
  <c r="V35" i="8" s="1"/>
  <c r="A34" i="8"/>
  <c r="T34" i="8" s="1"/>
  <c r="A33" i="8"/>
  <c r="T32" i="8"/>
  <c r="H32" i="8"/>
  <c r="E32" i="8"/>
  <c r="A32" i="8"/>
  <c r="I33" i="9" s="1"/>
  <c r="X31" i="8"/>
  <c r="J31" i="8"/>
  <c r="K31" i="8" s="1"/>
  <c r="E31" i="8"/>
  <c r="A31" i="8"/>
  <c r="B31" i="8" s="1"/>
  <c r="A30" i="8"/>
  <c r="A29" i="8"/>
  <c r="T29" i="8" s="1"/>
  <c r="U28" i="8"/>
  <c r="N28" i="8"/>
  <c r="J28" i="8"/>
  <c r="H28" i="8"/>
  <c r="G28" i="8"/>
  <c r="F28" i="8"/>
  <c r="C28" i="8"/>
  <c r="A28" i="8"/>
  <c r="R28" i="8" s="1"/>
  <c r="A27" i="8"/>
  <c r="Q27" i="8" s="1"/>
  <c r="A26" i="8"/>
  <c r="V26" i="8" s="1"/>
  <c r="A25" i="8"/>
  <c r="A24" i="8"/>
  <c r="C23" i="8"/>
  <c r="A23" i="8"/>
  <c r="A22" i="8"/>
  <c r="S21" i="8"/>
  <c r="A21" i="8"/>
  <c r="R21" i="8" s="1"/>
  <c r="E20" i="8"/>
  <c r="A20" i="8"/>
  <c r="A19" i="8"/>
  <c r="T18" i="8"/>
  <c r="A18" i="8"/>
  <c r="F18" i="8" s="1"/>
  <c r="X17" i="8"/>
  <c r="H17" i="8"/>
  <c r="A17" i="8"/>
  <c r="V17" i="8" s="1"/>
  <c r="W17" i="8" s="1"/>
  <c r="Q16" i="8"/>
  <c r="J16" i="8"/>
  <c r="M16" i="4" s="1"/>
  <c r="I16" i="8"/>
  <c r="G16" i="8"/>
  <c r="F16" i="8"/>
  <c r="E16" i="8"/>
  <c r="B16" i="8"/>
  <c r="A16" i="8"/>
  <c r="N16" i="8" s="1"/>
  <c r="A15" i="8"/>
  <c r="B15" i="8" s="1"/>
  <c r="A14" i="8"/>
  <c r="V13" i="8"/>
  <c r="J13" i="8"/>
  <c r="K13" i="8" s="1"/>
  <c r="H13" i="8"/>
  <c r="G13" i="8"/>
  <c r="F13" i="8"/>
  <c r="B13" i="8"/>
  <c r="A13" i="8"/>
  <c r="T13" i="8" s="1"/>
  <c r="Q12" i="8"/>
  <c r="G12" i="8"/>
  <c r="A12" i="8"/>
  <c r="A11" i="8"/>
  <c r="Q11" i="8" s="1"/>
  <c r="Q10" i="8"/>
  <c r="L10" i="8"/>
  <c r="J10" i="8"/>
  <c r="A10" i="8"/>
  <c r="T10" i="8" s="1"/>
  <c r="A9" i="8"/>
  <c r="A8" i="8"/>
  <c r="X8" i="8" s="1"/>
  <c r="T7" i="8"/>
  <c r="Q7" i="8"/>
  <c r="I7" i="8"/>
  <c r="H7" i="8"/>
  <c r="G7" i="8"/>
  <c r="F7" i="8"/>
  <c r="B7" i="8"/>
  <c r="A7" i="8"/>
  <c r="L7" i="8" s="1"/>
  <c r="A6" i="8"/>
  <c r="U6" i="8" s="1"/>
  <c r="V5" i="8"/>
  <c r="Q5" i="8"/>
  <c r="L5" i="8"/>
  <c r="J5" i="8"/>
  <c r="K5" i="8" s="1"/>
  <c r="I5" i="8"/>
  <c r="H5" i="8"/>
  <c r="B5" i="8"/>
  <c r="A5" i="8"/>
  <c r="X5" i="8" s="1"/>
  <c r="L4" i="8"/>
  <c r="J4" i="8"/>
  <c r="H4" i="8"/>
  <c r="F4" i="8"/>
  <c r="C4" i="8"/>
  <c r="B4" i="8"/>
  <c r="A4" i="8"/>
  <c r="O3" i="8"/>
  <c r="N3" i="8"/>
  <c r="B3" i="8"/>
  <c r="A3" i="8"/>
  <c r="R3" i="8" s="1"/>
  <c r="R2" i="8"/>
  <c r="N2" i="8"/>
  <c r="O2" i="8" s="1"/>
  <c r="J2" i="8"/>
  <c r="K2" i="8" s="1"/>
  <c r="AJ2" i="4" s="1"/>
  <c r="C2" i="8"/>
  <c r="A2" i="8"/>
  <c r="M200" i="7"/>
  <c r="F200" i="7"/>
  <c r="C200" i="7"/>
  <c r="L200" i="7" s="1"/>
  <c r="M199" i="7"/>
  <c r="F199" i="7"/>
  <c r="G199" i="7" s="1"/>
  <c r="C199" i="7"/>
  <c r="L199" i="7" s="1"/>
  <c r="M198" i="7"/>
  <c r="L198" i="7"/>
  <c r="F198" i="7"/>
  <c r="G198" i="7" s="1"/>
  <c r="C198" i="7"/>
  <c r="M197" i="7"/>
  <c r="F197" i="7"/>
  <c r="G197" i="7" s="1"/>
  <c r="C197" i="7"/>
  <c r="L197" i="7" s="1"/>
  <c r="J197" i="7" s="1"/>
  <c r="M196" i="7"/>
  <c r="F196" i="7"/>
  <c r="G196" i="7" s="1"/>
  <c r="C196" i="7"/>
  <c r="L196" i="7" s="1"/>
  <c r="J196" i="7" s="1"/>
  <c r="M195" i="7"/>
  <c r="F195" i="7"/>
  <c r="G195" i="7" s="1"/>
  <c r="C195" i="7"/>
  <c r="L195" i="7" s="1"/>
  <c r="J195" i="7" s="1"/>
  <c r="M194" i="7"/>
  <c r="F194" i="7"/>
  <c r="G194" i="7" s="1"/>
  <c r="C194" i="7"/>
  <c r="L194" i="7" s="1"/>
  <c r="M193" i="7"/>
  <c r="F193" i="7"/>
  <c r="G193" i="7" s="1"/>
  <c r="C193" i="7"/>
  <c r="L193" i="7" s="1"/>
  <c r="M192" i="7"/>
  <c r="F192" i="7"/>
  <c r="C192" i="7"/>
  <c r="L192" i="7" s="1"/>
  <c r="M191" i="7"/>
  <c r="G191" i="7"/>
  <c r="F191" i="7"/>
  <c r="C191" i="7"/>
  <c r="L191" i="7" s="1"/>
  <c r="J191" i="7" s="1"/>
  <c r="M190" i="7"/>
  <c r="L190" i="7"/>
  <c r="F190" i="7"/>
  <c r="G190" i="7" s="1"/>
  <c r="C190" i="7"/>
  <c r="M189" i="7"/>
  <c r="F189" i="7"/>
  <c r="G189" i="7" s="1"/>
  <c r="C189" i="7"/>
  <c r="M188" i="7"/>
  <c r="F188" i="7"/>
  <c r="G188" i="7" s="1"/>
  <c r="C188" i="7"/>
  <c r="M187" i="7"/>
  <c r="F187" i="7"/>
  <c r="G187" i="7" s="1"/>
  <c r="C187" i="7"/>
  <c r="L187" i="7" s="1"/>
  <c r="M186" i="7"/>
  <c r="G186" i="7"/>
  <c r="F186" i="7"/>
  <c r="C186" i="7"/>
  <c r="L186" i="7" s="1"/>
  <c r="M185" i="7"/>
  <c r="F185" i="7"/>
  <c r="G185" i="7" s="1"/>
  <c r="C185" i="7"/>
  <c r="L185" i="7" s="1"/>
  <c r="J185" i="7" s="1"/>
  <c r="M184" i="7"/>
  <c r="F184" i="7"/>
  <c r="G184" i="7" s="1"/>
  <c r="C184" i="7"/>
  <c r="L184" i="7" s="1"/>
  <c r="M183" i="7"/>
  <c r="F183" i="7"/>
  <c r="G183" i="7" s="1"/>
  <c r="C183" i="7"/>
  <c r="L183" i="7" s="1"/>
  <c r="M182" i="7"/>
  <c r="F182" i="7"/>
  <c r="G182" i="7" s="1"/>
  <c r="C182" i="7"/>
  <c r="M181" i="7"/>
  <c r="F181" i="7"/>
  <c r="G181" i="7" s="1"/>
  <c r="C181" i="7"/>
  <c r="L181" i="7" s="1"/>
  <c r="M180" i="7"/>
  <c r="G180" i="7"/>
  <c r="F180" i="7"/>
  <c r="J180" i="7" s="1"/>
  <c r="C180" i="7"/>
  <c r="L180" i="7" s="1"/>
  <c r="M179" i="7"/>
  <c r="F179" i="7"/>
  <c r="G179" i="7" s="1"/>
  <c r="C179" i="7"/>
  <c r="L179" i="7" s="1"/>
  <c r="J179" i="7" s="1"/>
  <c r="M178" i="7"/>
  <c r="F178" i="7"/>
  <c r="G178" i="7" s="1"/>
  <c r="C178" i="7"/>
  <c r="M177" i="7"/>
  <c r="L177" i="7"/>
  <c r="J177" i="7" s="1"/>
  <c r="F177" i="7"/>
  <c r="G177" i="7" s="1"/>
  <c r="C177" i="7"/>
  <c r="M176" i="7"/>
  <c r="F176" i="7"/>
  <c r="G176" i="7" s="1"/>
  <c r="C176" i="7"/>
  <c r="L176" i="7" s="1"/>
  <c r="M175" i="7"/>
  <c r="F175" i="7"/>
  <c r="C175" i="7"/>
  <c r="L175" i="7" s="1"/>
  <c r="M174" i="7"/>
  <c r="F174" i="7"/>
  <c r="C174" i="7"/>
  <c r="L174" i="7" s="1"/>
  <c r="M173" i="7"/>
  <c r="L173" i="7"/>
  <c r="J173" i="7" s="1"/>
  <c r="F173" i="7"/>
  <c r="G173" i="7" s="1"/>
  <c r="C173" i="7"/>
  <c r="M172" i="7"/>
  <c r="F172" i="7"/>
  <c r="G172" i="7" s="1"/>
  <c r="C172" i="7"/>
  <c r="L172" i="7" s="1"/>
  <c r="J172" i="7" s="1"/>
  <c r="M171" i="7"/>
  <c r="F171" i="7"/>
  <c r="G171" i="7" s="1"/>
  <c r="C171" i="7"/>
  <c r="L171" i="7" s="1"/>
  <c r="M170" i="7"/>
  <c r="F170" i="7"/>
  <c r="G170" i="7" s="1"/>
  <c r="C170" i="7"/>
  <c r="L170" i="7" s="1"/>
  <c r="M169" i="7"/>
  <c r="F169" i="7"/>
  <c r="G169" i="7" s="1"/>
  <c r="C169" i="7"/>
  <c r="L169" i="7" s="1"/>
  <c r="M168" i="7"/>
  <c r="F168" i="7"/>
  <c r="G168" i="7" s="1"/>
  <c r="C168" i="7"/>
  <c r="L168" i="7" s="1"/>
  <c r="J168" i="7" s="1"/>
  <c r="M167" i="7"/>
  <c r="L167" i="7"/>
  <c r="F167" i="7"/>
  <c r="G167" i="7" s="1"/>
  <c r="C167" i="7"/>
  <c r="M166" i="7"/>
  <c r="L166" i="7"/>
  <c r="G166" i="7"/>
  <c r="F166" i="7"/>
  <c r="C166" i="7"/>
  <c r="M165" i="7"/>
  <c r="F165" i="7"/>
  <c r="G165" i="7" s="1"/>
  <c r="C165" i="7"/>
  <c r="L165" i="7" s="1"/>
  <c r="J165" i="7" s="1"/>
  <c r="M164" i="7"/>
  <c r="F164" i="7"/>
  <c r="G164" i="7" s="1"/>
  <c r="C164" i="7"/>
  <c r="L164" i="7" s="1"/>
  <c r="M163" i="7"/>
  <c r="F163" i="7"/>
  <c r="G163" i="7" s="1"/>
  <c r="C163" i="7"/>
  <c r="M162" i="7"/>
  <c r="F162" i="7"/>
  <c r="G162" i="7" s="1"/>
  <c r="C162" i="7"/>
  <c r="M161" i="7"/>
  <c r="F161" i="7"/>
  <c r="G161" i="7" s="1"/>
  <c r="C161" i="7"/>
  <c r="M160" i="7"/>
  <c r="F160" i="7"/>
  <c r="G160" i="7" s="1"/>
  <c r="C160" i="7"/>
  <c r="M159" i="7"/>
  <c r="F159" i="7"/>
  <c r="G159" i="7" s="1"/>
  <c r="C159" i="7"/>
  <c r="M158" i="7"/>
  <c r="F158" i="7"/>
  <c r="G158" i="7" s="1"/>
  <c r="C158" i="7"/>
  <c r="M157" i="7"/>
  <c r="F157" i="7"/>
  <c r="G157" i="7" s="1"/>
  <c r="C157" i="7"/>
  <c r="L157" i="7" s="1"/>
  <c r="J157" i="7" s="1"/>
  <c r="M156" i="7"/>
  <c r="G156" i="7"/>
  <c r="F156" i="7"/>
  <c r="C156" i="7"/>
  <c r="L156" i="7" s="1"/>
  <c r="J156" i="7" s="1"/>
  <c r="M155" i="7"/>
  <c r="F155" i="7"/>
  <c r="G155" i="7" s="1"/>
  <c r="C155" i="7"/>
  <c r="M154" i="7"/>
  <c r="F154" i="7"/>
  <c r="G154" i="7" s="1"/>
  <c r="C154" i="7"/>
  <c r="L154" i="7" s="1"/>
  <c r="M153" i="7"/>
  <c r="F153" i="7"/>
  <c r="G153" i="7" s="1"/>
  <c r="C153" i="7"/>
  <c r="L153" i="7" s="1"/>
  <c r="M152" i="7"/>
  <c r="F152" i="7"/>
  <c r="G152" i="7" s="1"/>
  <c r="C152" i="7"/>
  <c r="L152" i="7" s="1"/>
  <c r="J152" i="7" s="1"/>
  <c r="M151" i="7"/>
  <c r="F151" i="7"/>
  <c r="G151" i="7" s="1"/>
  <c r="C151" i="7"/>
  <c r="L151" i="7" s="1"/>
  <c r="J151" i="7" s="1"/>
  <c r="M150" i="7"/>
  <c r="F150" i="7"/>
  <c r="G150" i="7" s="1"/>
  <c r="C150" i="7"/>
  <c r="L150" i="7" s="1"/>
  <c r="M149" i="7"/>
  <c r="F149" i="7"/>
  <c r="G149" i="7" s="1"/>
  <c r="C149" i="7"/>
  <c r="L149" i="7" s="1"/>
  <c r="M148" i="7"/>
  <c r="F148" i="7"/>
  <c r="G148" i="7" s="1"/>
  <c r="C148" i="7"/>
  <c r="L148" i="7" s="1"/>
  <c r="J148" i="7" s="1"/>
  <c r="M147" i="7"/>
  <c r="F147" i="7"/>
  <c r="G147" i="7" s="1"/>
  <c r="C147" i="7"/>
  <c r="L147" i="7" s="1"/>
  <c r="M146" i="7"/>
  <c r="F146" i="7"/>
  <c r="G146" i="7" s="1"/>
  <c r="C146" i="7"/>
  <c r="L146" i="7" s="1"/>
  <c r="J146" i="7" s="1"/>
  <c r="M145" i="7"/>
  <c r="F145" i="7"/>
  <c r="G145" i="7" s="1"/>
  <c r="C145" i="7"/>
  <c r="M144" i="7"/>
  <c r="G144" i="7"/>
  <c r="F144" i="7"/>
  <c r="C144" i="7"/>
  <c r="M143" i="7"/>
  <c r="F143" i="7"/>
  <c r="G143" i="7" s="1"/>
  <c r="C143" i="7"/>
  <c r="M142" i="7"/>
  <c r="F142" i="7"/>
  <c r="G142" i="7" s="1"/>
  <c r="C142" i="7"/>
  <c r="M141" i="7"/>
  <c r="F141" i="7"/>
  <c r="G141" i="7" s="1"/>
  <c r="C141" i="7"/>
  <c r="M140" i="7"/>
  <c r="F140" i="7"/>
  <c r="C140" i="7"/>
  <c r="L140" i="7" s="1"/>
  <c r="M139" i="7"/>
  <c r="F139" i="7"/>
  <c r="C139" i="7"/>
  <c r="L139" i="7" s="1"/>
  <c r="M138" i="7"/>
  <c r="F138" i="7"/>
  <c r="G138" i="7" s="1"/>
  <c r="C138" i="7"/>
  <c r="L138" i="7" s="1"/>
  <c r="M137" i="7"/>
  <c r="F137" i="7"/>
  <c r="C137" i="7"/>
  <c r="L137" i="7" s="1"/>
  <c r="M136" i="7"/>
  <c r="F136" i="7"/>
  <c r="G136" i="7" s="1"/>
  <c r="C136" i="7"/>
  <c r="L136" i="7" s="1"/>
  <c r="J136" i="7" s="1"/>
  <c r="M135" i="7"/>
  <c r="F135" i="7"/>
  <c r="G135" i="7" s="1"/>
  <c r="C135" i="7"/>
  <c r="L135" i="7" s="1"/>
  <c r="J135" i="7" s="1"/>
  <c r="M134" i="7"/>
  <c r="G134" i="7"/>
  <c r="F134" i="7"/>
  <c r="C134" i="7"/>
  <c r="L134" i="7" s="1"/>
  <c r="J134" i="7" s="1"/>
  <c r="M133" i="7"/>
  <c r="G133" i="7"/>
  <c r="F133" i="7"/>
  <c r="C133" i="7"/>
  <c r="L133" i="7" s="1"/>
  <c r="J133" i="7" s="1"/>
  <c r="M132" i="7"/>
  <c r="F132" i="7"/>
  <c r="G132" i="7" s="1"/>
  <c r="C132" i="7"/>
  <c r="L132" i="7" s="1"/>
  <c r="J132" i="7" s="1"/>
  <c r="M131" i="7"/>
  <c r="F131" i="7"/>
  <c r="G131" i="7" s="1"/>
  <c r="C131" i="7"/>
  <c r="L131" i="7" s="1"/>
  <c r="M130" i="7"/>
  <c r="F130" i="7"/>
  <c r="C130" i="7"/>
  <c r="L130" i="7" s="1"/>
  <c r="M129" i="7"/>
  <c r="F129" i="7"/>
  <c r="G129" i="7" s="1"/>
  <c r="C129" i="7"/>
  <c r="M128" i="7"/>
  <c r="F128" i="7"/>
  <c r="G128" i="7" s="1"/>
  <c r="C128" i="7"/>
  <c r="L128" i="7" s="1"/>
  <c r="J128" i="7" s="1"/>
  <c r="M127" i="7"/>
  <c r="F127" i="7"/>
  <c r="G127" i="7" s="1"/>
  <c r="C127" i="7"/>
  <c r="L127" i="7" s="1"/>
  <c r="M126" i="7"/>
  <c r="F126" i="7"/>
  <c r="G126" i="7" s="1"/>
  <c r="C126" i="7"/>
  <c r="M125" i="7"/>
  <c r="F125" i="7"/>
  <c r="G125" i="7" s="1"/>
  <c r="C125" i="7"/>
  <c r="L125" i="7" s="1"/>
  <c r="J125" i="7" s="1"/>
  <c r="M124" i="7"/>
  <c r="F124" i="7"/>
  <c r="G124" i="7" s="1"/>
  <c r="C124" i="7"/>
  <c r="M123" i="7"/>
  <c r="F123" i="7"/>
  <c r="G123" i="7" s="1"/>
  <c r="C123" i="7"/>
  <c r="L123" i="7" s="1"/>
  <c r="M122" i="7"/>
  <c r="F122" i="7"/>
  <c r="C122" i="7"/>
  <c r="L122" i="7" s="1"/>
  <c r="M121" i="7"/>
  <c r="F121" i="7"/>
  <c r="G121" i="7" s="1"/>
  <c r="C121" i="7"/>
  <c r="L121" i="7" s="1"/>
  <c r="M120" i="7"/>
  <c r="F120" i="7"/>
  <c r="G120" i="7" s="1"/>
  <c r="C120" i="7"/>
  <c r="L120" i="7" s="1"/>
  <c r="J120" i="7" s="1"/>
  <c r="M119" i="7"/>
  <c r="F119" i="7"/>
  <c r="G119" i="7" s="1"/>
  <c r="C119" i="7"/>
  <c r="L119" i="7" s="1"/>
  <c r="M118" i="7"/>
  <c r="F118" i="7"/>
  <c r="G118" i="7" s="1"/>
  <c r="C118" i="7"/>
  <c r="L118" i="7" s="1"/>
  <c r="M117" i="7"/>
  <c r="F117" i="7"/>
  <c r="G117" i="7" s="1"/>
  <c r="C117" i="7"/>
  <c r="L117" i="7" s="1"/>
  <c r="M116" i="7"/>
  <c r="F116" i="7"/>
  <c r="G116" i="7" s="1"/>
  <c r="C116" i="7"/>
  <c r="L116" i="7" s="1"/>
  <c r="J116" i="7" s="1"/>
  <c r="M115" i="7"/>
  <c r="F115" i="7"/>
  <c r="G115" i="7" s="1"/>
  <c r="C115" i="7"/>
  <c r="M114" i="7"/>
  <c r="F114" i="7"/>
  <c r="G114" i="7" s="1"/>
  <c r="C114" i="7"/>
  <c r="L114" i="7" s="1"/>
  <c r="M113" i="7"/>
  <c r="F113" i="7"/>
  <c r="G113" i="7" s="1"/>
  <c r="C113" i="7"/>
  <c r="M112" i="7"/>
  <c r="F112" i="7"/>
  <c r="G112" i="7" s="1"/>
  <c r="C112" i="7"/>
  <c r="L112" i="7" s="1"/>
  <c r="J112" i="7" s="1"/>
  <c r="M111" i="7"/>
  <c r="F111" i="7"/>
  <c r="G111" i="7" s="1"/>
  <c r="C111" i="7"/>
  <c r="M110" i="7"/>
  <c r="F110" i="7"/>
  <c r="G110" i="7" s="1"/>
  <c r="C110" i="7"/>
  <c r="L110" i="7" s="1"/>
  <c r="J110" i="7" s="1"/>
  <c r="M109" i="7"/>
  <c r="G109" i="7"/>
  <c r="F109" i="7"/>
  <c r="C109" i="7"/>
  <c r="L109" i="7" s="1"/>
  <c r="M108" i="7"/>
  <c r="G108" i="7"/>
  <c r="F108" i="7"/>
  <c r="C108" i="7"/>
  <c r="M107" i="7"/>
  <c r="F107" i="7"/>
  <c r="G107" i="7" s="1"/>
  <c r="C107" i="7"/>
  <c r="L107" i="7" s="1"/>
  <c r="J107" i="7" s="1"/>
  <c r="M106" i="7"/>
  <c r="F106" i="7"/>
  <c r="G106" i="7" s="1"/>
  <c r="C106" i="7"/>
  <c r="M105" i="7"/>
  <c r="F105" i="7"/>
  <c r="G105" i="7" s="1"/>
  <c r="C105" i="7"/>
  <c r="L105" i="7" s="1"/>
  <c r="M104" i="7"/>
  <c r="F104" i="7"/>
  <c r="C104" i="7"/>
  <c r="L104" i="7" s="1"/>
  <c r="M103" i="7"/>
  <c r="F103" i="7"/>
  <c r="G103" i="7" s="1"/>
  <c r="C103" i="7"/>
  <c r="L103" i="7" s="1"/>
  <c r="M102" i="7"/>
  <c r="F102" i="7"/>
  <c r="G102" i="7" s="1"/>
  <c r="C102" i="7"/>
  <c r="L102" i="7" s="1"/>
  <c r="J102" i="7" s="1"/>
  <c r="M101" i="7"/>
  <c r="L101" i="7"/>
  <c r="G101" i="7"/>
  <c r="F101" i="7"/>
  <c r="C101" i="7"/>
  <c r="M100" i="7"/>
  <c r="F100" i="7"/>
  <c r="G100" i="7" s="1"/>
  <c r="C100" i="7"/>
  <c r="M99" i="7"/>
  <c r="F99" i="7"/>
  <c r="G99" i="7" s="1"/>
  <c r="C99" i="7"/>
  <c r="L99" i="7" s="1"/>
  <c r="M98" i="7"/>
  <c r="F98" i="7"/>
  <c r="G98" i="7" s="1"/>
  <c r="C98" i="7"/>
  <c r="M97" i="7"/>
  <c r="F97" i="7"/>
  <c r="G97" i="7" s="1"/>
  <c r="C97" i="7"/>
  <c r="M96" i="7"/>
  <c r="F96" i="7"/>
  <c r="G96" i="7" s="1"/>
  <c r="C96" i="7"/>
  <c r="M95" i="7"/>
  <c r="F95" i="7"/>
  <c r="C95" i="7"/>
  <c r="L95" i="7" s="1"/>
  <c r="M94" i="7"/>
  <c r="F94" i="7"/>
  <c r="C94" i="7"/>
  <c r="L94" i="7" s="1"/>
  <c r="M93" i="7"/>
  <c r="G93" i="7"/>
  <c r="F93" i="7"/>
  <c r="C93" i="7"/>
  <c r="M92" i="7"/>
  <c r="L92" i="7"/>
  <c r="G92" i="7"/>
  <c r="F92" i="7"/>
  <c r="C92" i="7"/>
  <c r="M91" i="7"/>
  <c r="F91" i="7"/>
  <c r="J91" i="7" s="1"/>
  <c r="C91" i="7"/>
  <c r="L91" i="7" s="1"/>
  <c r="M90" i="7"/>
  <c r="F90" i="7"/>
  <c r="G90" i="7" s="1"/>
  <c r="C90" i="7"/>
  <c r="L90" i="7" s="1"/>
  <c r="M89" i="7"/>
  <c r="F89" i="7"/>
  <c r="G89" i="7" s="1"/>
  <c r="C89" i="7"/>
  <c r="L89" i="7" s="1"/>
  <c r="M88" i="7"/>
  <c r="L88" i="7"/>
  <c r="F88" i="7"/>
  <c r="G88" i="7" s="1"/>
  <c r="C88" i="7"/>
  <c r="M87" i="7"/>
  <c r="G87" i="7"/>
  <c r="F87" i="7"/>
  <c r="C87" i="7"/>
  <c r="L87" i="7" s="1"/>
  <c r="M86" i="7"/>
  <c r="F86" i="7"/>
  <c r="G86" i="7" s="1"/>
  <c r="C86" i="7"/>
  <c r="L86" i="7" s="1"/>
  <c r="M85" i="7"/>
  <c r="F85" i="7"/>
  <c r="G85" i="7" s="1"/>
  <c r="C85" i="7"/>
  <c r="L85" i="7" s="1"/>
  <c r="M84" i="7"/>
  <c r="F84" i="7"/>
  <c r="G84" i="7" s="1"/>
  <c r="C84" i="7"/>
  <c r="L84" i="7" s="1"/>
  <c r="M83" i="7"/>
  <c r="G83" i="7"/>
  <c r="F83" i="7"/>
  <c r="C83" i="7"/>
  <c r="M82" i="7"/>
  <c r="F82" i="7"/>
  <c r="C82" i="7"/>
  <c r="L82" i="7" s="1"/>
  <c r="M81" i="7"/>
  <c r="F81" i="7"/>
  <c r="G81" i="7" s="1"/>
  <c r="C81" i="7"/>
  <c r="M80" i="7"/>
  <c r="F80" i="7"/>
  <c r="C80" i="7"/>
  <c r="L80" i="7" s="1"/>
  <c r="M79" i="7"/>
  <c r="F79" i="7"/>
  <c r="G79" i="7" s="1"/>
  <c r="C79" i="7"/>
  <c r="M78" i="7"/>
  <c r="L78" i="7"/>
  <c r="F78" i="7"/>
  <c r="C78" i="7"/>
  <c r="M77" i="7"/>
  <c r="F77" i="7"/>
  <c r="G77" i="7" s="1"/>
  <c r="C77" i="7"/>
  <c r="M76" i="7"/>
  <c r="F76" i="7"/>
  <c r="G76" i="7" s="1"/>
  <c r="C76" i="7"/>
  <c r="L76" i="7" s="1"/>
  <c r="M75" i="7"/>
  <c r="F75" i="7"/>
  <c r="G75" i="7" s="1"/>
  <c r="C75" i="7"/>
  <c r="L75" i="7" s="1"/>
  <c r="M74" i="7"/>
  <c r="L74" i="7"/>
  <c r="F74" i="7"/>
  <c r="G74" i="7" s="1"/>
  <c r="C74" i="7"/>
  <c r="M73" i="7"/>
  <c r="F73" i="7"/>
  <c r="G73" i="7" s="1"/>
  <c r="C73" i="7"/>
  <c r="L73" i="7" s="1"/>
  <c r="M72" i="7"/>
  <c r="G72" i="7"/>
  <c r="F72" i="7"/>
  <c r="C72" i="7"/>
  <c r="L72" i="7" s="1"/>
  <c r="J72" i="7" s="1"/>
  <c r="M71" i="7"/>
  <c r="F71" i="7"/>
  <c r="G71" i="7" s="1"/>
  <c r="C71" i="7"/>
  <c r="L71" i="7" s="1"/>
  <c r="J71" i="7" s="1"/>
  <c r="M70" i="7"/>
  <c r="L70" i="7"/>
  <c r="J70" i="7" s="1"/>
  <c r="F70" i="7"/>
  <c r="G70" i="7" s="1"/>
  <c r="C70" i="7"/>
  <c r="M69" i="7"/>
  <c r="F69" i="7"/>
  <c r="G69" i="7" s="1"/>
  <c r="C69" i="7"/>
  <c r="M68" i="7"/>
  <c r="F68" i="7"/>
  <c r="C68" i="7"/>
  <c r="L68" i="7" s="1"/>
  <c r="M67" i="7"/>
  <c r="L67" i="7"/>
  <c r="F67" i="7"/>
  <c r="G67" i="7" s="1"/>
  <c r="C67" i="7"/>
  <c r="M66" i="7"/>
  <c r="F66" i="7"/>
  <c r="G66" i="7" s="1"/>
  <c r="C66" i="7"/>
  <c r="L66" i="7" s="1"/>
  <c r="M65" i="7"/>
  <c r="L65" i="7"/>
  <c r="F65" i="7"/>
  <c r="C65" i="7"/>
  <c r="M64" i="7"/>
  <c r="F64" i="7"/>
  <c r="G64" i="7" s="1"/>
  <c r="C64" i="7"/>
  <c r="M63" i="7"/>
  <c r="F63" i="7"/>
  <c r="C63" i="7"/>
  <c r="L63" i="7" s="1"/>
  <c r="M62" i="7"/>
  <c r="F62" i="7"/>
  <c r="G62" i="7" s="1"/>
  <c r="C62" i="7"/>
  <c r="L62" i="7" s="1"/>
  <c r="M61" i="7"/>
  <c r="L61" i="7"/>
  <c r="F61" i="7"/>
  <c r="G61" i="7" s="1"/>
  <c r="C61" i="7"/>
  <c r="M60" i="7"/>
  <c r="F60" i="7"/>
  <c r="G60" i="7" s="1"/>
  <c r="C60" i="7"/>
  <c r="L60" i="7" s="1"/>
  <c r="M59" i="7"/>
  <c r="F59" i="7"/>
  <c r="G59" i="7" s="1"/>
  <c r="C59" i="7"/>
  <c r="M58" i="7"/>
  <c r="L58" i="7"/>
  <c r="J58" i="7" s="1"/>
  <c r="F58" i="7"/>
  <c r="G58" i="7" s="1"/>
  <c r="C58" i="7"/>
  <c r="M57" i="7"/>
  <c r="G57" i="7"/>
  <c r="F57" i="7"/>
  <c r="C57" i="7"/>
  <c r="L57" i="7" s="1"/>
  <c r="J57" i="7" s="1"/>
  <c r="M56" i="7"/>
  <c r="F56" i="7"/>
  <c r="G56" i="7" s="1"/>
  <c r="C56" i="7"/>
  <c r="L56" i="7" s="1"/>
  <c r="M55" i="7"/>
  <c r="F55" i="7"/>
  <c r="G55" i="7" s="1"/>
  <c r="C55" i="7"/>
  <c r="M54" i="7"/>
  <c r="L54" i="7"/>
  <c r="F54" i="7"/>
  <c r="C54" i="7"/>
  <c r="M53" i="7"/>
  <c r="F53" i="7"/>
  <c r="G53" i="7" s="1"/>
  <c r="C53" i="7"/>
  <c r="M52" i="7"/>
  <c r="F52" i="7"/>
  <c r="G52" i="7" s="1"/>
  <c r="C52" i="7"/>
  <c r="L52" i="7" s="1"/>
  <c r="M51" i="7"/>
  <c r="F51" i="7"/>
  <c r="G51" i="7" s="1"/>
  <c r="C51" i="7"/>
  <c r="M50" i="7"/>
  <c r="F50" i="7"/>
  <c r="G50" i="7" s="1"/>
  <c r="C50" i="7"/>
  <c r="M49" i="7"/>
  <c r="G49" i="7"/>
  <c r="F49" i="7"/>
  <c r="C49" i="7"/>
  <c r="L49" i="7" s="1"/>
  <c r="M48" i="7"/>
  <c r="F48" i="7"/>
  <c r="G48" i="7" s="1"/>
  <c r="C48" i="7"/>
  <c r="M47" i="7"/>
  <c r="G47" i="7"/>
  <c r="F47" i="7"/>
  <c r="C47" i="7"/>
  <c r="L47" i="7" s="1"/>
  <c r="M46" i="7"/>
  <c r="F46" i="7"/>
  <c r="G46" i="7" s="1"/>
  <c r="C46" i="7"/>
  <c r="L46" i="7" s="1"/>
  <c r="J46" i="7" s="1"/>
  <c r="M45" i="7"/>
  <c r="F45" i="7"/>
  <c r="G45" i="7" s="1"/>
  <c r="C45" i="7"/>
  <c r="L45" i="7" s="1"/>
  <c r="M44" i="7"/>
  <c r="F44" i="7"/>
  <c r="G44" i="7" s="1"/>
  <c r="C44" i="7"/>
  <c r="L44" i="7" s="1"/>
  <c r="M43" i="7"/>
  <c r="L43" i="7"/>
  <c r="G43" i="7"/>
  <c r="F43" i="7"/>
  <c r="C43" i="7"/>
  <c r="M42" i="7"/>
  <c r="F42" i="7"/>
  <c r="G42" i="7" s="1"/>
  <c r="C42" i="7"/>
  <c r="L42" i="7" s="1"/>
  <c r="M41" i="7"/>
  <c r="F41" i="7"/>
  <c r="J41" i="7" s="1"/>
  <c r="C41" i="7"/>
  <c r="L41" i="7" s="1"/>
  <c r="M40" i="7"/>
  <c r="F40" i="7"/>
  <c r="G40" i="7" s="1"/>
  <c r="C40" i="7"/>
  <c r="L40" i="7" s="1"/>
  <c r="M39" i="7"/>
  <c r="F39" i="7"/>
  <c r="G39" i="7" s="1"/>
  <c r="C39" i="7"/>
  <c r="L39" i="7" s="1"/>
  <c r="J39" i="7" s="1"/>
  <c r="M38" i="7"/>
  <c r="F38" i="7"/>
  <c r="G38" i="7" s="1"/>
  <c r="C38" i="7"/>
  <c r="L38" i="7" s="1"/>
  <c r="J38" i="7" s="1"/>
  <c r="M37" i="7"/>
  <c r="G37" i="7"/>
  <c r="F37" i="7"/>
  <c r="C37" i="7"/>
  <c r="L37" i="7" s="1"/>
  <c r="J37" i="7" s="1"/>
  <c r="M36" i="7"/>
  <c r="F36" i="7"/>
  <c r="G36" i="7" s="1"/>
  <c r="C36" i="7"/>
  <c r="M35" i="7"/>
  <c r="F35" i="7"/>
  <c r="G35" i="7" s="1"/>
  <c r="C35" i="7"/>
  <c r="M34" i="7"/>
  <c r="F34" i="7"/>
  <c r="G34" i="7" s="1"/>
  <c r="C34" i="7"/>
  <c r="L34" i="7" s="1"/>
  <c r="J34" i="7" s="1"/>
  <c r="M33" i="7"/>
  <c r="F33" i="7"/>
  <c r="G33" i="7" s="1"/>
  <c r="C33" i="7"/>
  <c r="L33" i="7" s="1"/>
  <c r="M32" i="7"/>
  <c r="F32" i="7"/>
  <c r="C32" i="7"/>
  <c r="L32" i="7" s="1"/>
  <c r="M31" i="7"/>
  <c r="F31" i="7"/>
  <c r="G31" i="7" s="1"/>
  <c r="C31" i="7"/>
  <c r="L31" i="7" s="1"/>
  <c r="J31" i="7" s="1"/>
  <c r="M30" i="7"/>
  <c r="F30" i="7"/>
  <c r="G30" i="7" s="1"/>
  <c r="C30" i="7"/>
  <c r="L30" i="7" s="1"/>
  <c r="M29" i="7"/>
  <c r="L29" i="7"/>
  <c r="G29" i="7"/>
  <c r="F29" i="7"/>
  <c r="C29" i="7"/>
  <c r="M28" i="7"/>
  <c r="F28" i="7"/>
  <c r="G28" i="7" s="1"/>
  <c r="C28" i="7"/>
  <c r="M27" i="7"/>
  <c r="F27" i="7"/>
  <c r="G27" i="7" s="1"/>
  <c r="C27" i="7"/>
  <c r="L27" i="7" s="1"/>
  <c r="M26" i="7"/>
  <c r="F26" i="7"/>
  <c r="G26" i="7" s="1"/>
  <c r="C26" i="7"/>
  <c r="M25" i="7"/>
  <c r="F25" i="7"/>
  <c r="G25" i="7" s="1"/>
  <c r="C25" i="7"/>
  <c r="L25" i="7" s="1"/>
  <c r="M24" i="7"/>
  <c r="F24" i="7"/>
  <c r="G24" i="7" s="1"/>
  <c r="C24" i="7"/>
  <c r="L24" i="7" s="1"/>
  <c r="J24" i="7" s="1"/>
  <c r="M23" i="7"/>
  <c r="F23" i="7"/>
  <c r="G23" i="7" s="1"/>
  <c r="C23" i="7"/>
  <c r="M22" i="7"/>
  <c r="G22" i="7"/>
  <c r="F22" i="7"/>
  <c r="C22" i="7"/>
  <c r="L22" i="7" s="1"/>
  <c r="M21" i="7"/>
  <c r="F21" i="7"/>
  <c r="G21" i="7" s="1"/>
  <c r="C21" i="7"/>
  <c r="M20" i="7"/>
  <c r="L20" i="7"/>
  <c r="F20" i="7"/>
  <c r="G20" i="7" s="1"/>
  <c r="C20" i="7"/>
  <c r="M19" i="7"/>
  <c r="F19" i="7"/>
  <c r="G19" i="7" s="1"/>
  <c r="C19" i="7"/>
  <c r="L19" i="7" s="1"/>
  <c r="M18" i="7"/>
  <c r="F18" i="7"/>
  <c r="G18" i="7" s="1"/>
  <c r="C18" i="7"/>
  <c r="L18" i="7" s="1"/>
  <c r="M17" i="7"/>
  <c r="F17" i="7"/>
  <c r="G17" i="7" s="1"/>
  <c r="C17" i="7"/>
  <c r="M16" i="7"/>
  <c r="F16" i="7"/>
  <c r="G16" i="7" s="1"/>
  <c r="C16" i="7"/>
  <c r="L16" i="7" s="1"/>
  <c r="J16" i="7" s="1"/>
  <c r="M15" i="7"/>
  <c r="F15" i="7"/>
  <c r="G15" i="7" s="1"/>
  <c r="C15" i="7"/>
  <c r="L15" i="7" s="1"/>
  <c r="M14" i="7"/>
  <c r="G14" i="7"/>
  <c r="F14" i="7"/>
  <c r="C14" i="7"/>
  <c r="M13" i="7"/>
  <c r="F13" i="7"/>
  <c r="G13" i="7" s="1"/>
  <c r="C13" i="7"/>
  <c r="L13" i="7" s="1"/>
  <c r="J13" i="7" s="1"/>
  <c r="M12" i="7"/>
  <c r="F12" i="7"/>
  <c r="G12" i="7" s="1"/>
  <c r="C12" i="7"/>
  <c r="M11" i="7"/>
  <c r="G11" i="7"/>
  <c r="F11" i="7"/>
  <c r="C11" i="7"/>
  <c r="M10" i="7"/>
  <c r="F10" i="7"/>
  <c r="G10" i="7" s="1"/>
  <c r="C10" i="7"/>
  <c r="M9" i="7"/>
  <c r="F9" i="7"/>
  <c r="C9" i="7"/>
  <c r="L9" i="7" s="1"/>
  <c r="M8" i="7"/>
  <c r="F8" i="7"/>
  <c r="G8" i="7" s="1"/>
  <c r="C8" i="7"/>
  <c r="L8" i="7" s="1"/>
  <c r="M7" i="7"/>
  <c r="G7" i="7"/>
  <c r="F7" i="7"/>
  <c r="C7" i="7"/>
  <c r="L7" i="7" s="1"/>
  <c r="J7" i="7" s="1"/>
  <c r="M6" i="7"/>
  <c r="F6" i="7"/>
  <c r="G6" i="7" s="1"/>
  <c r="C6" i="7"/>
  <c r="M5" i="7"/>
  <c r="J5" i="7"/>
  <c r="G5" i="7"/>
  <c r="C5" i="7"/>
  <c r="L5" i="7" s="1"/>
  <c r="M4" i="7"/>
  <c r="F4" i="7"/>
  <c r="G4" i="7" s="1"/>
  <c r="C4" i="7"/>
  <c r="M3" i="7"/>
  <c r="F3" i="7"/>
  <c r="G3" i="7" s="1"/>
  <c r="C3" i="7"/>
  <c r="F2" i="7"/>
  <c r="G2" i="7" s="1"/>
  <c r="C2" i="7"/>
  <c r="Q200" i="5"/>
  <c r="P200" i="5"/>
  <c r="O200" i="5"/>
  <c r="D200" i="5"/>
  <c r="Q199" i="5"/>
  <c r="P199" i="5"/>
  <c r="O199" i="5"/>
  <c r="D199" i="5"/>
  <c r="Q198" i="5"/>
  <c r="P198" i="5"/>
  <c r="O198" i="5"/>
  <c r="D198" i="5"/>
  <c r="Q197" i="5"/>
  <c r="P197" i="5"/>
  <c r="O197" i="5"/>
  <c r="D197" i="5"/>
  <c r="Q196" i="5"/>
  <c r="P196" i="5"/>
  <c r="O196" i="5"/>
  <c r="D196" i="5"/>
  <c r="Q195" i="5"/>
  <c r="P195" i="5"/>
  <c r="O195" i="5"/>
  <c r="D195" i="5"/>
  <c r="Q194" i="5"/>
  <c r="P194" i="5"/>
  <c r="O194" i="5"/>
  <c r="D194" i="5"/>
  <c r="Q193" i="5"/>
  <c r="P193" i="5"/>
  <c r="O193" i="5"/>
  <c r="D193" i="5"/>
  <c r="Q192" i="5"/>
  <c r="P192" i="5"/>
  <c r="O192" i="5"/>
  <c r="D192" i="5"/>
  <c r="Q191" i="5"/>
  <c r="P191" i="5"/>
  <c r="O191" i="5"/>
  <c r="D191" i="5"/>
  <c r="Q190" i="5"/>
  <c r="P190" i="5"/>
  <c r="O190" i="5"/>
  <c r="D190" i="5"/>
  <c r="Q189" i="5"/>
  <c r="P189" i="5"/>
  <c r="O189" i="5"/>
  <c r="D189" i="5"/>
  <c r="Q188" i="5"/>
  <c r="P188" i="5"/>
  <c r="O188" i="5"/>
  <c r="D188" i="5"/>
  <c r="Q187" i="5"/>
  <c r="P187" i="5"/>
  <c r="O187" i="5"/>
  <c r="D187" i="5"/>
  <c r="Q186" i="5"/>
  <c r="P186" i="5"/>
  <c r="O186" i="5"/>
  <c r="D186" i="5"/>
  <c r="Q185" i="5"/>
  <c r="P185" i="5"/>
  <c r="O185" i="5"/>
  <c r="D185" i="5"/>
  <c r="Q184" i="5"/>
  <c r="P184" i="5"/>
  <c r="O184" i="5"/>
  <c r="D184" i="5"/>
  <c r="Q183" i="5"/>
  <c r="P183" i="5"/>
  <c r="O183" i="5"/>
  <c r="D183" i="5"/>
  <c r="Q182" i="5"/>
  <c r="P182" i="5"/>
  <c r="O182" i="5"/>
  <c r="D182" i="5"/>
  <c r="Q181" i="5"/>
  <c r="P181" i="5"/>
  <c r="O181" i="5"/>
  <c r="D181" i="5"/>
  <c r="Q180" i="5"/>
  <c r="P180" i="5"/>
  <c r="O180" i="5"/>
  <c r="D180" i="5"/>
  <c r="Q179" i="5"/>
  <c r="P179" i="5"/>
  <c r="O179" i="5"/>
  <c r="D179" i="5"/>
  <c r="Q178" i="5"/>
  <c r="P178" i="5"/>
  <c r="O178" i="5"/>
  <c r="D178" i="5"/>
  <c r="Q177" i="5"/>
  <c r="P177" i="5"/>
  <c r="O177" i="5"/>
  <c r="D177" i="5"/>
  <c r="Q176" i="5"/>
  <c r="P176" i="5"/>
  <c r="O176" i="5"/>
  <c r="D176" i="5"/>
  <c r="Q175" i="5"/>
  <c r="P175" i="5"/>
  <c r="O175" i="5"/>
  <c r="D175" i="5"/>
  <c r="Q174" i="5"/>
  <c r="P174" i="5"/>
  <c r="O174" i="5"/>
  <c r="D174" i="5"/>
  <c r="Q173" i="5"/>
  <c r="P173" i="5"/>
  <c r="O173" i="5"/>
  <c r="D173" i="5"/>
  <c r="Q172" i="5"/>
  <c r="P172" i="5"/>
  <c r="O172" i="5"/>
  <c r="D172" i="5"/>
  <c r="Q171" i="5"/>
  <c r="P171" i="5"/>
  <c r="O171" i="5"/>
  <c r="D171" i="5"/>
  <c r="Q170" i="5"/>
  <c r="P170" i="5"/>
  <c r="O170" i="5"/>
  <c r="D170" i="5"/>
  <c r="Q169" i="5"/>
  <c r="P169" i="5"/>
  <c r="O169" i="5"/>
  <c r="D169" i="5"/>
  <c r="Q168" i="5"/>
  <c r="P168" i="5"/>
  <c r="O168" i="5"/>
  <c r="D168" i="5"/>
  <c r="Q167" i="5"/>
  <c r="P167" i="5"/>
  <c r="O167" i="5"/>
  <c r="D167" i="5"/>
  <c r="Q166" i="5"/>
  <c r="P166" i="5"/>
  <c r="O166" i="5"/>
  <c r="D166" i="5"/>
  <c r="Q165" i="5"/>
  <c r="P165" i="5"/>
  <c r="O165" i="5"/>
  <c r="D165" i="5"/>
  <c r="Q164" i="5"/>
  <c r="P164" i="5"/>
  <c r="O164" i="5"/>
  <c r="D164" i="5"/>
  <c r="Q163" i="5"/>
  <c r="P163" i="5"/>
  <c r="O163" i="5"/>
  <c r="D163" i="5"/>
  <c r="Q162" i="5"/>
  <c r="P162" i="5"/>
  <c r="O162" i="5"/>
  <c r="D162" i="5"/>
  <c r="Q161" i="5"/>
  <c r="P161" i="5"/>
  <c r="O161" i="5"/>
  <c r="D161" i="5"/>
  <c r="Q160" i="5"/>
  <c r="P160" i="5"/>
  <c r="O160" i="5"/>
  <c r="D160" i="5"/>
  <c r="Q159" i="5"/>
  <c r="P159" i="5"/>
  <c r="O159" i="5"/>
  <c r="D159" i="5"/>
  <c r="Q158" i="5"/>
  <c r="P158" i="5"/>
  <c r="O158" i="5"/>
  <c r="D158" i="5"/>
  <c r="Q157" i="5"/>
  <c r="P157" i="5"/>
  <c r="O157" i="5"/>
  <c r="D157" i="5"/>
  <c r="Q156" i="5"/>
  <c r="P156" i="5"/>
  <c r="O156" i="5"/>
  <c r="D156" i="5"/>
  <c r="Q155" i="5"/>
  <c r="P155" i="5"/>
  <c r="O155" i="5"/>
  <c r="D155" i="5"/>
  <c r="Q154" i="5"/>
  <c r="P154" i="5"/>
  <c r="O154" i="5"/>
  <c r="D154" i="5"/>
  <c r="Q153" i="5"/>
  <c r="P153" i="5"/>
  <c r="O153" i="5"/>
  <c r="D153" i="5"/>
  <c r="Q152" i="5"/>
  <c r="P152" i="5"/>
  <c r="O152" i="5"/>
  <c r="D152" i="5"/>
  <c r="Q151" i="5"/>
  <c r="P151" i="5"/>
  <c r="O151" i="5"/>
  <c r="D151" i="5"/>
  <c r="Q150" i="5"/>
  <c r="P150" i="5"/>
  <c r="O150" i="5"/>
  <c r="D150" i="5"/>
  <c r="Q149" i="5"/>
  <c r="P149" i="5"/>
  <c r="O149" i="5"/>
  <c r="D149" i="5"/>
  <c r="Q148" i="5"/>
  <c r="P148" i="5"/>
  <c r="O148" i="5"/>
  <c r="D148" i="5"/>
  <c r="Q147" i="5"/>
  <c r="P147" i="5"/>
  <c r="O147" i="5"/>
  <c r="D147" i="5"/>
  <c r="Q146" i="5"/>
  <c r="P146" i="5"/>
  <c r="O146" i="5"/>
  <c r="D146" i="5"/>
  <c r="Q145" i="5"/>
  <c r="P145" i="5"/>
  <c r="O145" i="5"/>
  <c r="D145" i="5"/>
  <c r="Q144" i="5"/>
  <c r="P144" i="5"/>
  <c r="O144" i="5"/>
  <c r="D144" i="5"/>
  <c r="Q143" i="5"/>
  <c r="P143" i="5"/>
  <c r="O143" i="5"/>
  <c r="D143" i="5"/>
  <c r="Q142" i="5"/>
  <c r="P142" i="5"/>
  <c r="O142" i="5"/>
  <c r="D142" i="5"/>
  <c r="Q141" i="5"/>
  <c r="P141" i="5"/>
  <c r="O141" i="5"/>
  <c r="D141" i="5"/>
  <c r="Q140" i="5"/>
  <c r="P140" i="5"/>
  <c r="O140" i="5"/>
  <c r="D140" i="5"/>
  <c r="Q139" i="5"/>
  <c r="P139" i="5"/>
  <c r="O139" i="5"/>
  <c r="D139" i="5"/>
  <c r="Q138" i="5"/>
  <c r="P138" i="5"/>
  <c r="O138" i="5"/>
  <c r="D138" i="5"/>
  <c r="Q137" i="5"/>
  <c r="P137" i="5"/>
  <c r="O137" i="5"/>
  <c r="D137" i="5"/>
  <c r="Q136" i="5"/>
  <c r="P136" i="5"/>
  <c r="O136" i="5"/>
  <c r="D136" i="5"/>
  <c r="Q135" i="5"/>
  <c r="P135" i="5"/>
  <c r="O135" i="5"/>
  <c r="D135" i="5"/>
  <c r="Q134" i="5"/>
  <c r="P134" i="5"/>
  <c r="O134" i="5"/>
  <c r="D134" i="5"/>
  <c r="Q133" i="5"/>
  <c r="P133" i="5"/>
  <c r="O133" i="5"/>
  <c r="D133" i="5"/>
  <c r="Q132" i="5"/>
  <c r="P132" i="5"/>
  <c r="O132" i="5"/>
  <c r="D132" i="5"/>
  <c r="Q131" i="5"/>
  <c r="P131" i="5"/>
  <c r="O131" i="5"/>
  <c r="D131" i="5"/>
  <c r="Q130" i="5"/>
  <c r="P130" i="5"/>
  <c r="O130" i="5"/>
  <c r="D130" i="5"/>
  <c r="Q129" i="5"/>
  <c r="P129" i="5"/>
  <c r="O129" i="5"/>
  <c r="D129" i="5"/>
  <c r="Q128" i="5"/>
  <c r="P128" i="5"/>
  <c r="O128" i="5"/>
  <c r="D128" i="5"/>
  <c r="Q127" i="5"/>
  <c r="P127" i="5"/>
  <c r="O127" i="5"/>
  <c r="D127" i="5"/>
  <c r="Q126" i="5"/>
  <c r="P126" i="5"/>
  <c r="O126" i="5"/>
  <c r="D126" i="5"/>
  <c r="Q125" i="5"/>
  <c r="P125" i="5"/>
  <c r="O125" i="5"/>
  <c r="D125" i="5"/>
  <c r="Q124" i="5"/>
  <c r="P124" i="5"/>
  <c r="O124" i="5"/>
  <c r="D124" i="5"/>
  <c r="Q123" i="5"/>
  <c r="P123" i="5"/>
  <c r="O123" i="5"/>
  <c r="D123" i="5"/>
  <c r="Q122" i="5"/>
  <c r="P122" i="5"/>
  <c r="O122" i="5"/>
  <c r="D122" i="5"/>
  <c r="Q121" i="5"/>
  <c r="P121" i="5"/>
  <c r="O121" i="5"/>
  <c r="D121" i="5"/>
  <c r="Q120" i="5"/>
  <c r="P120" i="5"/>
  <c r="O120" i="5"/>
  <c r="D120" i="5"/>
  <c r="Q119" i="5"/>
  <c r="P119" i="5"/>
  <c r="O119" i="5"/>
  <c r="D119" i="5"/>
  <c r="Q118" i="5"/>
  <c r="P118" i="5"/>
  <c r="O118" i="5"/>
  <c r="D118" i="5"/>
  <c r="Q117" i="5"/>
  <c r="P117" i="5"/>
  <c r="O117" i="5"/>
  <c r="D117" i="5"/>
  <c r="Q116" i="5"/>
  <c r="P116" i="5"/>
  <c r="O116" i="5"/>
  <c r="D116" i="5"/>
  <c r="Q115" i="5"/>
  <c r="P115" i="5"/>
  <c r="O115" i="5"/>
  <c r="D115" i="5"/>
  <c r="Q114" i="5"/>
  <c r="P114" i="5"/>
  <c r="O114" i="5"/>
  <c r="D114" i="5"/>
  <c r="Q113" i="5"/>
  <c r="P113" i="5"/>
  <c r="O113" i="5"/>
  <c r="D113" i="5"/>
  <c r="Q112" i="5"/>
  <c r="P112" i="5"/>
  <c r="O112" i="5"/>
  <c r="D112" i="5"/>
  <c r="Q111" i="5"/>
  <c r="P111" i="5"/>
  <c r="O111" i="5"/>
  <c r="D111" i="5"/>
  <c r="Q110" i="5"/>
  <c r="P110" i="5"/>
  <c r="O110" i="5"/>
  <c r="D110" i="5"/>
  <c r="Q109" i="5"/>
  <c r="P109" i="5"/>
  <c r="O109" i="5"/>
  <c r="D109" i="5"/>
  <c r="Q108" i="5"/>
  <c r="P108" i="5"/>
  <c r="O108" i="5"/>
  <c r="D108" i="5"/>
  <c r="Q107" i="5"/>
  <c r="P107" i="5"/>
  <c r="O107" i="5"/>
  <c r="D107" i="5"/>
  <c r="Q106" i="5"/>
  <c r="P106" i="5"/>
  <c r="O106" i="5"/>
  <c r="D106" i="5"/>
  <c r="Q105" i="5"/>
  <c r="P105" i="5"/>
  <c r="O105" i="5"/>
  <c r="D105" i="5"/>
  <c r="Q104" i="5"/>
  <c r="P104" i="5"/>
  <c r="O104" i="5"/>
  <c r="D104" i="5"/>
  <c r="Q103" i="5"/>
  <c r="P103" i="5"/>
  <c r="O103" i="5"/>
  <c r="D103" i="5"/>
  <c r="Q102" i="5"/>
  <c r="P102" i="5"/>
  <c r="O102" i="5"/>
  <c r="D102" i="5"/>
  <c r="Q101" i="5"/>
  <c r="P101" i="5"/>
  <c r="O101" i="5"/>
  <c r="D101" i="5"/>
  <c r="Q100" i="5"/>
  <c r="P100" i="5"/>
  <c r="O100" i="5"/>
  <c r="D100" i="5"/>
  <c r="Q99" i="5"/>
  <c r="P99" i="5"/>
  <c r="O99" i="5"/>
  <c r="D99" i="5"/>
  <c r="Q98" i="5"/>
  <c r="P98" i="5"/>
  <c r="O98" i="5"/>
  <c r="D98" i="5"/>
  <c r="Q97" i="5"/>
  <c r="P97" i="5"/>
  <c r="O97" i="5"/>
  <c r="D97" i="5"/>
  <c r="Q96" i="5"/>
  <c r="P96" i="5"/>
  <c r="O96" i="5"/>
  <c r="D96" i="5"/>
  <c r="Q95" i="5"/>
  <c r="P95" i="5"/>
  <c r="O95" i="5"/>
  <c r="D95" i="5"/>
  <c r="Q94" i="5"/>
  <c r="P94" i="5"/>
  <c r="O94" i="5"/>
  <c r="D94" i="5"/>
  <c r="Q93" i="5"/>
  <c r="P93" i="5"/>
  <c r="O93" i="5"/>
  <c r="D93" i="5"/>
  <c r="Q92" i="5"/>
  <c r="P92" i="5"/>
  <c r="O92" i="5"/>
  <c r="D92" i="5"/>
  <c r="Q91" i="5"/>
  <c r="P91" i="5"/>
  <c r="O91" i="5"/>
  <c r="D91" i="5"/>
  <c r="Q90" i="5"/>
  <c r="P90" i="5"/>
  <c r="O90" i="5"/>
  <c r="D90" i="5"/>
  <c r="Q89" i="5"/>
  <c r="P89" i="5"/>
  <c r="O89" i="5"/>
  <c r="D89" i="5"/>
  <c r="Q88" i="5"/>
  <c r="P88" i="5"/>
  <c r="O88" i="5"/>
  <c r="D88" i="5"/>
  <c r="Q87" i="5"/>
  <c r="P87" i="5"/>
  <c r="O87" i="5"/>
  <c r="D87" i="5"/>
  <c r="Q86" i="5"/>
  <c r="P86" i="5"/>
  <c r="O86" i="5"/>
  <c r="D86" i="5"/>
  <c r="Q85" i="5"/>
  <c r="P85" i="5"/>
  <c r="O85" i="5"/>
  <c r="D85" i="5"/>
  <c r="Q84" i="5"/>
  <c r="P84" i="5"/>
  <c r="O84" i="5"/>
  <c r="D84" i="5"/>
  <c r="Q83" i="5"/>
  <c r="P83" i="5"/>
  <c r="O83" i="5"/>
  <c r="D83" i="5"/>
  <c r="Q82" i="5"/>
  <c r="P82" i="5"/>
  <c r="O82" i="5"/>
  <c r="D82" i="5"/>
  <c r="Q81" i="5"/>
  <c r="P81" i="5"/>
  <c r="O81" i="5"/>
  <c r="D81" i="5"/>
  <c r="Q80" i="5"/>
  <c r="P80" i="5"/>
  <c r="O80" i="5"/>
  <c r="D80" i="5"/>
  <c r="Q79" i="5"/>
  <c r="P79" i="5"/>
  <c r="O79" i="5"/>
  <c r="D79" i="5"/>
  <c r="Q78" i="5"/>
  <c r="P78" i="5"/>
  <c r="O78" i="5"/>
  <c r="D78" i="5"/>
  <c r="Q77" i="5"/>
  <c r="P77" i="5"/>
  <c r="O77" i="5"/>
  <c r="D77" i="5"/>
  <c r="Q76" i="5"/>
  <c r="P76" i="5"/>
  <c r="O76" i="5"/>
  <c r="D76" i="5"/>
  <c r="Q75" i="5"/>
  <c r="P75" i="5"/>
  <c r="O75" i="5"/>
  <c r="D75" i="5"/>
  <c r="Q74" i="5"/>
  <c r="P74" i="5"/>
  <c r="O74" i="5"/>
  <c r="D74" i="5"/>
  <c r="Q73" i="5"/>
  <c r="P73" i="5"/>
  <c r="O73" i="5"/>
  <c r="D73" i="5"/>
  <c r="Q72" i="5"/>
  <c r="P72" i="5"/>
  <c r="O72" i="5"/>
  <c r="D72" i="5"/>
  <c r="Q71" i="5"/>
  <c r="P71" i="5"/>
  <c r="O71" i="5"/>
  <c r="D71" i="5"/>
  <c r="Q70" i="5"/>
  <c r="P70" i="5"/>
  <c r="O70" i="5"/>
  <c r="D70" i="5"/>
  <c r="Q69" i="5"/>
  <c r="P69" i="5"/>
  <c r="O69" i="5"/>
  <c r="D69" i="5"/>
  <c r="Q68" i="5"/>
  <c r="P68" i="5"/>
  <c r="O68" i="5"/>
  <c r="D68" i="5"/>
  <c r="Q67" i="5"/>
  <c r="P67" i="5"/>
  <c r="O67" i="5"/>
  <c r="D67" i="5"/>
  <c r="Q66" i="5"/>
  <c r="P66" i="5"/>
  <c r="O66" i="5"/>
  <c r="D66" i="5"/>
  <c r="Q65" i="5"/>
  <c r="P65" i="5"/>
  <c r="O65" i="5"/>
  <c r="D65" i="5"/>
  <c r="Q64" i="5"/>
  <c r="P64" i="5"/>
  <c r="O64" i="5"/>
  <c r="D64" i="5"/>
  <c r="Q63" i="5"/>
  <c r="P63" i="5"/>
  <c r="O63" i="5"/>
  <c r="D63" i="5"/>
  <c r="Q62" i="5"/>
  <c r="P62" i="5"/>
  <c r="O62" i="5"/>
  <c r="D62" i="5"/>
  <c r="Q61" i="5"/>
  <c r="P61" i="5"/>
  <c r="O61" i="5"/>
  <c r="D61" i="5"/>
  <c r="Q60" i="5"/>
  <c r="P60" i="5"/>
  <c r="O60" i="5"/>
  <c r="D60" i="5"/>
  <c r="Q59" i="5"/>
  <c r="P59" i="5"/>
  <c r="O59" i="5"/>
  <c r="D59" i="5"/>
  <c r="Q58" i="5"/>
  <c r="P58" i="5"/>
  <c r="O58" i="5"/>
  <c r="D58" i="5"/>
  <c r="Q57" i="5"/>
  <c r="P57" i="5"/>
  <c r="O57" i="5"/>
  <c r="D57" i="5"/>
  <c r="Q56" i="5"/>
  <c r="P56" i="5"/>
  <c r="O56" i="5"/>
  <c r="D56" i="5"/>
  <c r="Q55" i="5"/>
  <c r="P55" i="5"/>
  <c r="O55" i="5"/>
  <c r="D55" i="5"/>
  <c r="Q54" i="5"/>
  <c r="P54" i="5"/>
  <c r="O54" i="5"/>
  <c r="D54" i="5"/>
  <c r="Q53" i="5"/>
  <c r="P53" i="5"/>
  <c r="O53" i="5"/>
  <c r="D53" i="5"/>
  <c r="Q52" i="5"/>
  <c r="P52" i="5"/>
  <c r="O52" i="5"/>
  <c r="D52" i="5"/>
  <c r="Q51" i="5"/>
  <c r="P51" i="5"/>
  <c r="O51" i="5"/>
  <c r="D51" i="5"/>
  <c r="Q50" i="5"/>
  <c r="P50" i="5"/>
  <c r="O50" i="5"/>
  <c r="D50" i="5"/>
  <c r="Q49" i="5"/>
  <c r="P49" i="5"/>
  <c r="O49" i="5"/>
  <c r="D49" i="5"/>
  <c r="Q48" i="5"/>
  <c r="P48" i="5"/>
  <c r="O48" i="5"/>
  <c r="D48" i="5"/>
  <c r="Q47" i="5"/>
  <c r="P47" i="5"/>
  <c r="O47" i="5"/>
  <c r="D47" i="5"/>
  <c r="Q46" i="5"/>
  <c r="P46" i="5"/>
  <c r="O46" i="5"/>
  <c r="D46" i="5"/>
  <c r="Q45" i="5"/>
  <c r="P45" i="5"/>
  <c r="O45" i="5"/>
  <c r="D45" i="5"/>
  <c r="Q44" i="5"/>
  <c r="P44" i="5"/>
  <c r="O44" i="5"/>
  <c r="D44" i="5"/>
  <c r="Q43" i="5"/>
  <c r="P43" i="5"/>
  <c r="O43" i="5"/>
  <c r="D43" i="5"/>
  <c r="Q42" i="5"/>
  <c r="P42" i="5"/>
  <c r="O42" i="5"/>
  <c r="D42" i="5"/>
  <c r="Q41" i="5"/>
  <c r="P41" i="5"/>
  <c r="O41" i="5"/>
  <c r="D41" i="5"/>
  <c r="Q40" i="5"/>
  <c r="P40" i="5"/>
  <c r="O40" i="5"/>
  <c r="D40" i="5"/>
  <c r="Q39" i="5"/>
  <c r="P39" i="5"/>
  <c r="O39" i="5"/>
  <c r="D39" i="5"/>
  <c r="Q38" i="5"/>
  <c r="P38" i="5"/>
  <c r="O38" i="5"/>
  <c r="D38" i="5"/>
  <c r="Q37" i="5"/>
  <c r="P37" i="5"/>
  <c r="O37" i="5"/>
  <c r="D37" i="5"/>
  <c r="Q36" i="5"/>
  <c r="P36" i="5"/>
  <c r="O36" i="5"/>
  <c r="D36" i="5"/>
  <c r="Q35" i="5"/>
  <c r="P35" i="5"/>
  <c r="O35" i="5"/>
  <c r="D35" i="5"/>
  <c r="Q34" i="5"/>
  <c r="P34" i="5"/>
  <c r="O34" i="5"/>
  <c r="D34" i="5"/>
  <c r="Q33" i="5"/>
  <c r="P33" i="5"/>
  <c r="O33" i="5"/>
  <c r="D33" i="5"/>
  <c r="Q32" i="5"/>
  <c r="P32" i="5"/>
  <c r="O32" i="5"/>
  <c r="D32" i="5"/>
  <c r="Q31" i="5"/>
  <c r="P31" i="5"/>
  <c r="O31" i="5"/>
  <c r="D31" i="5"/>
  <c r="Q30" i="5"/>
  <c r="P30" i="5"/>
  <c r="O30" i="5"/>
  <c r="D30" i="5"/>
  <c r="Q29" i="5"/>
  <c r="P29" i="5"/>
  <c r="O29" i="5"/>
  <c r="D29" i="5"/>
  <c r="Q28" i="5"/>
  <c r="P28" i="5"/>
  <c r="O28" i="5"/>
  <c r="D28" i="5"/>
  <c r="Q27" i="5"/>
  <c r="P27" i="5"/>
  <c r="O27" i="5"/>
  <c r="D27" i="5"/>
  <c r="Q26" i="5"/>
  <c r="P26" i="5"/>
  <c r="O26" i="5"/>
  <c r="D26" i="5"/>
  <c r="Q25" i="5"/>
  <c r="P25" i="5"/>
  <c r="O25" i="5"/>
  <c r="D25" i="5"/>
  <c r="Q24" i="5"/>
  <c r="P24" i="5"/>
  <c r="O24" i="5"/>
  <c r="D24" i="5"/>
  <c r="Q23" i="5"/>
  <c r="P23" i="5"/>
  <c r="O23" i="5"/>
  <c r="D23" i="5"/>
  <c r="Q22" i="5"/>
  <c r="P22" i="5"/>
  <c r="O22" i="5"/>
  <c r="D22" i="5"/>
  <c r="Q21" i="5"/>
  <c r="P21" i="5"/>
  <c r="O21" i="5"/>
  <c r="D21" i="5"/>
  <c r="Q20" i="5"/>
  <c r="P20" i="5"/>
  <c r="O20" i="5"/>
  <c r="D20" i="5"/>
  <c r="Q19" i="5"/>
  <c r="P19" i="5"/>
  <c r="O19" i="5"/>
  <c r="D19" i="5"/>
  <c r="Q18" i="5"/>
  <c r="P18" i="5"/>
  <c r="O18" i="5"/>
  <c r="D18" i="5"/>
  <c r="Q17" i="5"/>
  <c r="P17" i="5"/>
  <c r="O17" i="5"/>
  <c r="D17" i="5"/>
  <c r="Q16" i="5"/>
  <c r="P16" i="5"/>
  <c r="O16" i="5"/>
  <c r="D16" i="5"/>
  <c r="Q15" i="5"/>
  <c r="P15" i="5"/>
  <c r="O15" i="5"/>
  <c r="D15" i="5"/>
  <c r="Q14" i="5"/>
  <c r="P14" i="5"/>
  <c r="O14" i="5"/>
  <c r="D14" i="5"/>
  <c r="Q13" i="5"/>
  <c r="P13" i="5"/>
  <c r="O13" i="5"/>
  <c r="D13" i="5"/>
  <c r="Q12" i="5"/>
  <c r="P12" i="5"/>
  <c r="O12" i="5"/>
  <c r="D12" i="5"/>
  <c r="Q11" i="5"/>
  <c r="P11" i="5"/>
  <c r="O11" i="5"/>
  <c r="D11" i="5"/>
  <c r="Q10" i="5"/>
  <c r="P10" i="5"/>
  <c r="O10" i="5"/>
  <c r="D10" i="5"/>
  <c r="Q9" i="5"/>
  <c r="P9" i="5"/>
  <c r="O9" i="5"/>
  <c r="D9" i="5"/>
  <c r="Q8" i="5"/>
  <c r="P8" i="5"/>
  <c r="O8" i="5"/>
  <c r="D8" i="5"/>
  <c r="Q7" i="5"/>
  <c r="P7" i="5"/>
  <c r="O7" i="5"/>
  <c r="D7" i="5"/>
  <c r="T6" i="5"/>
  <c r="S6" i="5"/>
  <c r="Q6" i="5"/>
  <c r="P6" i="5"/>
  <c r="O6" i="5"/>
  <c r="D6" i="5"/>
  <c r="T5" i="5"/>
  <c r="S5" i="5"/>
  <c r="Q5" i="5"/>
  <c r="P5" i="5"/>
  <c r="O5" i="5"/>
  <c r="D5" i="5"/>
  <c r="T4" i="5"/>
  <c r="S4" i="5"/>
  <c r="O4" i="5"/>
  <c r="Q4" i="5" s="1"/>
  <c r="D4" i="5"/>
  <c r="T3" i="5"/>
  <c r="S3" i="5"/>
  <c r="O3" i="5"/>
  <c r="Q3" i="5" s="1"/>
  <c r="D3" i="5"/>
  <c r="T2" i="5"/>
  <c r="S2" i="5"/>
  <c r="O2" i="5"/>
  <c r="D2" i="5"/>
  <c r="U201" i="4"/>
  <c r="D201" i="4"/>
  <c r="AN200" i="4"/>
  <c r="AM200" i="4"/>
  <c r="AL200" i="4"/>
  <c r="AK200" i="4"/>
  <c r="AJ200" i="4"/>
  <c r="AI200" i="4"/>
  <c r="AH200" i="4"/>
  <c r="AG200" i="4"/>
  <c r="AF200" i="4"/>
  <c r="AE200" i="4"/>
  <c r="AD200" i="4"/>
  <c r="V200" i="4"/>
  <c r="U200" i="4"/>
  <c r="D200" i="4"/>
  <c r="AN199" i="4"/>
  <c r="AM199" i="4"/>
  <c r="AL199" i="4"/>
  <c r="AK199" i="4"/>
  <c r="AJ199" i="4"/>
  <c r="AI199" i="4"/>
  <c r="AH199" i="4"/>
  <c r="AG199" i="4"/>
  <c r="AF199" i="4"/>
  <c r="AE199" i="4"/>
  <c r="AD199" i="4"/>
  <c r="V199" i="4"/>
  <c r="U199" i="4"/>
  <c r="D199" i="4"/>
  <c r="AN198" i="4"/>
  <c r="AM198" i="4"/>
  <c r="AL198" i="4"/>
  <c r="AK198" i="4"/>
  <c r="AJ198" i="4"/>
  <c r="AI198" i="4"/>
  <c r="AH198" i="4"/>
  <c r="AG198" i="4"/>
  <c r="AF198" i="4"/>
  <c r="AE198" i="4"/>
  <c r="AD198" i="4"/>
  <c r="V198" i="4"/>
  <c r="U198" i="4"/>
  <c r="D198" i="4"/>
  <c r="AN197" i="4"/>
  <c r="AM197" i="4"/>
  <c r="AL197" i="4"/>
  <c r="AK197" i="4"/>
  <c r="AJ197" i="4"/>
  <c r="AI197" i="4"/>
  <c r="AH197" i="4"/>
  <c r="AG197" i="4"/>
  <c r="AF197" i="4"/>
  <c r="AE197" i="4"/>
  <c r="AD197" i="4"/>
  <c r="V197" i="4"/>
  <c r="U197" i="4"/>
  <c r="D197" i="4"/>
  <c r="AN196" i="4"/>
  <c r="AM196" i="4"/>
  <c r="AL196" i="4"/>
  <c r="AK196" i="4"/>
  <c r="AJ196" i="4"/>
  <c r="AI196" i="4"/>
  <c r="AH196" i="4"/>
  <c r="AG196" i="4"/>
  <c r="AF196" i="4"/>
  <c r="AE196" i="4"/>
  <c r="AD196" i="4"/>
  <c r="V196" i="4"/>
  <c r="U196" i="4"/>
  <c r="D196" i="4"/>
  <c r="AN195" i="4"/>
  <c r="AM195" i="4"/>
  <c r="AL195" i="4"/>
  <c r="AK195" i="4"/>
  <c r="AJ195" i="4"/>
  <c r="AI195" i="4"/>
  <c r="AH195" i="4"/>
  <c r="AG195" i="4"/>
  <c r="AF195" i="4"/>
  <c r="AE195" i="4"/>
  <c r="AD195" i="4"/>
  <c r="V195" i="4"/>
  <c r="U195" i="4"/>
  <c r="D195" i="4"/>
  <c r="AN194" i="4"/>
  <c r="AM194" i="4"/>
  <c r="AL194" i="4"/>
  <c r="AK194" i="4"/>
  <c r="AJ194" i="4"/>
  <c r="AI194" i="4"/>
  <c r="AH194" i="4"/>
  <c r="AG194" i="4"/>
  <c r="AF194" i="4"/>
  <c r="AE194" i="4"/>
  <c r="AD194" i="4"/>
  <c r="V194" i="4"/>
  <c r="U194" i="4"/>
  <c r="D194" i="4"/>
  <c r="AN193" i="4"/>
  <c r="AM193" i="4"/>
  <c r="AL193" i="4"/>
  <c r="AK193" i="4"/>
  <c r="AJ193" i="4"/>
  <c r="AI193" i="4"/>
  <c r="AH193" i="4"/>
  <c r="AG193" i="4"/>
  <c r="AF193" i="4"/>
  <c r="AE193" i="4"/>
  <c r="AD193" i="4"/>
  <c r="V193" i="4"/>
  <c r="U193" i="4"/>
  <c r="D193" i="4"/>
  <c r="AN192" i="4"/>
  <c r="AM192" i="4"/>
  <c r="AL192" i="4"/>
  <c r="AK192" i="4"/>
  <c r="AJ192" i="4"/>
  <c r="AI192" i="4"/>
  <c r="AH192" i="4"/>
  <c r="AG192" i="4"/>
  <c r="AF192" i="4"/>
  <c r="AE192" i="4"/>
  <c r="AD192" i="4"/>
  <c r="V192" i="4"/>
  <c r="U192" i="4"/>
  <c r="D192" i="4"/>
  <c r="AN191" i="4"/>
  <c r="AM191" i="4"/>
  <c r="AL191" i="4"/>
  <c r="AK191" i="4"/>
  <c r="AJ191" i="4"/>
  <c r="AI191" i="4"/>
  <c r="AH191" i="4"/>
  <c r="AG191" i="4"/>
  <c r="AF191" i="4"/>
  <c r="AE191" i="4"/>
  <c r="AD191" i="4"/>
  <c r="V191" i="4"/>
  <c r="U191" i="4"/>
  <c r="D191" i="4"/>
  <c r="AN190" i="4"/>
  <c r="AM190" i="4"/>
  <c r="AL190" i="4"/>
  <c r="AK190" i="4"/>
  <c r="AJ190" i="4"/>
  <c r="AI190" i="4"/>
  <c r="AH190" i="4"/>
  <c r="AG190" i="4"/>
  <c r="AF190" i="4"/>
  <c r="AE190" i="4"/>
  <c r="AD190" i="4"/>
  <c r="V190" i="4"/>
  <c r="U190" i="4"/>
  <c r="D190" i="4"/>
  <c r="AN189" i="4"/>
  <c r="AM189" i="4"/>
  <c r="AL189" i="4"/>
  <c r="AK189" i="4"/>
  <c r="AJ189" i="4"/>
  <c r="AI189" i="4"/>
  <c r="AH189" i="4"/>
  <c r="AG189" i="4"/>
  <c r="AF189" i="4"/>
  <c r="AE189" i="4"/>
  <c r="AD189" i="4"/>
  <c r="V189" i="4"/>
  <c r="U189" i="4"/>
  <c r="D189" i="4"/>
  <c r="AN188" i="4"/>
  <c r="AM188" i="4"/>
  <c r="AL188" i="4"/>
  <c r="AK188" i="4"/>
  <c r="AJ188" i="4"/>
  <c r="AI188" i="4"/>
  <c r="AH188" i="4"/>
  <c r="AG188" i="4"/>
  <c r="AF188" i="4"/>
  <c r="AE188" i="4"/>
  <c r="AD188" i="4"/>
  <c r="V188" i="4"/>
  <c r="U188" i="4"/>
  <c r="D188" i="4"/>
  <c r="AN187" i="4"/>
  <c r="AM187" i="4"/>
  <c r="AL187" i="4"/>
  <c r="AK187" i="4"/>
  <c r="AJ187" i="4"/>
  <c r="AI187" i="4"/>
  <c r="AH187" i="4"/>
  <c r="AG187" i="4"/>
  <c r="AF187" i="4"/>
  <c r="AE187" i="4"/>
  <c r="AD187" i="4"/>
  <c r="V187" i="4"/>
  <c r="U187" i="4"/>
  <c r="D187" i="4"/>
  <c r="AN186" i="4"/>
  <c r="AM186" i="4"/>
  <c r="AL186" i="4"/>
  <c r="AK186" i="4"/>
  <c r="AJ186" i="4"/>
  <c r="AI186" i="4"/>
  <c r="AH186" i="4"/>
  <c r="AG186" i="4"/>
  <c r="AF186" i="4"/>
  <c r="AE186" i="4"/>
  <c r="AD186" i="4"/>
  <c r="V186" i="4"/>
  <c r="U186" i="4"/>
  <c r="D186" i="4"/>
  <c r="AN185" i="4"/>
  <c r="AM185" i="4"/>
  <c r="AL185" i="4"/>
  <c r="AK185" i="4"/>
  <c r="AJ185" i="4"/>
  <c r="AI185" i="4"/>
  <c r="AH185" i="4"/>
  <c r="AG185" i="4"/>
  <c r="AF185" i="4"/>
  <c r="AE185" i="4"/>
  <c r="AD185" i="4"/>
  <c r="V185" i="4"/>
  <c r="U185" i="4"/>
  <c r="D185" i="4"/>
  <c r="AN184" i="4"/>
  <c r="AM184" i="4"/>
  <c r="AL184" i="4"/>
  <c r="AK184" i="4"/>
  <c r="AJ184" i="4"/>
  <c r="AI184" i="4"/>
  <c r="AH184" i="4"/>
  <c r="AG184" i="4"/>
  <c r="AF184" i="4"/>
  <c r="AE184" i="4"/>
  <c r="AD184" i="4"/>
  <c r="V184" i="4"/>
  <c r="U184" i="4"/>
  <c r="D184" i="4"/>
  <c r="AN183" i="4"/>
  <c r="AM183" i="4"/>
  <c r="AL183" i="4"/>
  <c r="AK183" i="4"/>
  <c r="AJ183" i="4"/>
  <c r="AI183" i="4"/>
  <c r="AH183" i="4"/>
  <c r="AG183" i="4"/>
  <c r="AF183" i="4"/>
  <c r="AE183" i="4"/>
  <c r="AD183" i="4"/>
  <c r="V183" i="4"/>
  <c r="U183" i="4"/>
  <c r="D183" i="4"/>
  <c r="AN182" i="4"/>
  <c r="AM182" i="4"/>
  <c r="AL182" i="4"/>
  <c r="AK182" i="4"/>
  <c r="AJ182" i="4"/>
  <c r="AI182" i="4"/>
  <c r="AH182" i="4"/>
  <c r="AG182" i="4"/>
  <c r="AF182" i="4"/>
  <c r="AE182" i="4"/>
  <c r="AD182" i="4"/>
  <c r="V182" i="4"/>
  <c r="U182" i="4"/>
  <c r="D182" i="4"/>
  <c r="AN181" i="4"/>
  <c r="AM181" i="4"/>
  <c r="AL181" i="4"/>
  <c r="AK181" i="4"/>
  <c r="AJ181" i="4"/>
  <c r="AI181" i="4"/>
  <c r="AH181" i="4"/>
  <c r="AG181" i="4"/>
  <c r="AF181" i="4"/>
  <c r="AE181" i="4"/>
  <c r="AD181" i="4"/>
  <c r="V181" i="4"/>
  <c r="U181" i="4"/>
  <c r="D181" i="4"/>
  <c r="AN180" i="4"/>
  <c r="AM180" i="4"/>
  <c r="AL180" i="4"/>
  <c r="AK180" i="4"/>
  <c r="AJ180" i="4"/>
  <c r="AI180" i="4"/>
  <c r="AH180" i="4"/>
  <c r="AG180" i="4"/>
  <c r="AF180" i="4"/>
  <c r="AE180" i="4"/>
  <c r="AD180" i="4"/>
  <c r="V180" i="4"/>
  <c r="U180" i="4"/>
  <c r="D180" i="4"/>
  <c r="AN179" i="4"/>
  <c r="AM179" i="4"/>
  <c r="AL179" i="4"/>
  <c r="AK179" i="4"/>
  <c r="AJ179" i="4"/>
  <c r="AI179" i="4"/>
  <c r="AH179" i="4"/>
  <c r="AG179" i="4"/>
  <c r="AF179" i="4"/>
  <c r="AE179" i="4"/>
  <c r="AD179" i="4"/>
  <c r="V179" i="4"/>
  <c r="U179" i="4"/>
  <c r="Q179" i="4"/>
  <c r="D179" i="4"/>
  <c r="AN178" i="4"/>
  <c r="AM178" i="4"/>
  <c r="AL178" i="4"/>
  <c r="AK178" i="4"/>
  <c r="AJ178" i="4"/>
  <c r="AI178" i="4"/>
  <c r="AH178" i="4"/>
  <c r="AG178" i="4"/>
  <c r="AF178" i="4"/>
  <c r="AE178" i="4"/>
  <c r="AD178" i="4"/>
  <c r="V178" i="4"/>
  <c r="U178" i="4"/>
  <c r="D178" i="4"/>
  <c r="AN177" i="4"/>
  <c r="AM177" i="4"/>
  <c r="AL177" i="4"/>
  <c r="AK177" i="4"/>
  <c r="AJ177" i="4"/>
  <c r="AI177" i="4"/>
  <c r="AH177" i="4"/>
  <c r="AG177" i="4"/>
  <c r="AF177" i="4"/>
  <c r="AE177" i="4"/>
  <c r="AD177" i="4"/>
  <c r="V177" i="4"/>
  <c r="U177" i="4"/>
  <c r="D177" i="4"/>
  <c r="AN176" i="4"/>
  <c r="AM176" i="4"/>
  <c r="AL176" i="4"/>
  <c r="AK176" i="4"/>
  <c r="AJ176" i="4"/>
  <c r="AI176" i="4"/>
  <c r="AH176" i="4"/>
  <c r="AG176" i="4"/>
  <c r="AF176" i="4"/>
  <c r="AE176" i="4"/>
  <c r="AD176" i="4"/>
  <c r="V176" i="4"/>
  <c r="U176" i="4"/>
  <c r="D176" i="4"/>
  <c r="AN175" i="4"/>
  <c r="AM175" i="4"/>
  <c r="AL175" i="4"/>
  <c r="AK175" i="4"/>
  <c r="AJ175" i="4"/>
  <c r="AI175" i="4"/>
  <c r="AH175" i="4"/>
  <c r="AG175" i="4"/>
  <c r="AF175" i="4"/>
  <c r="AE175" i="4"/>
  <c r="AD175" i="4"/>
  <c r="V175" i="4"/>
  <c r="U175" i="4"/>
  <c r="D175" i="4"/>
  <c r="AN174" i="4"/>
  <c r="AM174" i="4"/>
  <c r="AL174" i="4"/>
  <c r="AK174" i="4"/>
  <c r="AJ174" i="4"/>
  <c r="AI174" i="4"/>
  <c r="AH174" i="4"/>
  <c r="AG174" i="4"/>
  <c r="AF174" i="4"/>
  <c r="AE174" i="4"/>
  <c r="AD174" i="4"/>
  <c r="V174" i="4"/>
  <c r="U174" i="4"/>
  <c r="D174" i="4"/>
  <c r="AN173" i="4"/>
  <c r="AM173" i="4"/>
  <c r="AL173" i="4"/>
  <c r="AK173" i="4"/>
  <c r="AJ173" i="4"/>
  <c r="AI173" i="4"/>
  <c r="AH173" i="4"/>
  <c r="AG173" i="4"/>
  <c r="AF173" i="4"/>
  <c r="AE173" i="4"/>
  <c r="AD173" i="4"/>
  <c r="V173" i="4"/>
  <c r="U173" i="4"/>
  <c r="D173" i="4"/>
  <c r="AN172" i="4"/>
  <c r="AM172" i="4"/>
  <c r="AL172" i="4"/>
  <c r="AK172" i="4"/>
  <c r="AJ172" i="4"/>
  <c r="AI172" i="4"/>
  <c r="AH172" i="4"/>
  <c r="AG172" i="4"/>
  <c r="AF172" i="4"/>
  <c r="AE172" i="4"/>
  <c r="AD172" i="4"/>
  <c r="V172" i="4"/>
  <c r="U172" i="4"/>
  <c r="D172" i="4"/>
  <c r="AN171" i="4"/>
  <c r="AM171" i="4"/>
  <c r="AL171" i="4"/>
  <c r="AK171" i="4"/>
  <c r="AJ171" i="4"/>
  <c r="AI171" i="4"/>
  <c r="AH171" i="4"/>
  <c r="AG171" i="4"/>
  <c r="AF171" i="4"/>
  <c r="AE171" i="4"/>
  <c r="AD171" i="4"/>
  <c r="V171" i="4"/>
  <c r="U171" i="4"/>
  <c r="D171" i="4"/>
  <c r="AN170" i="4"/>
  <c r="AM170" i="4"/>
  <c r="AL170" i="4"/>
  <c r="AK170" i="4"/>
  <c r="AJ170" i="4"/>
  <c r="AI170" i="4"/>
  <c r="AH170" i="4"/>
  <c r="AG170" i="4"/>
  <c r="AF170" i="4"/>
  <c r="AE170" i="4"/>
  <c r="AD170" i="4"/>
  <c r="V170" i="4"/>
  <c r="U170" i="4"/>
  <c r="D170" i="4"/>
  <c r="AN169" i="4"/>
  <c r="AM169" i="4"/>
  <c r="AL169" i="4"/>
  <c r="AK169" i="4"/>
  <c r="AJ169" i="4"/>
  <c r="AI169" i="4"/>
  <c r="AH169" i="4"/>
  <c r="AG169" i="4"/>
  <c r="AF169" i="4"/>
  <c r="AE169" i="4"/>
  <c r="AD169" i="4"/>
  <c r="V169" i="4"/>
  <c r="U169" i="4"/>
  <c r="D169" i="4"/>
  <c r="AN168" i="4"/>
  <c r="AM168" i="4"/>
  <c r="AL168" i="4"/>
  <c r="AK168" i="4"/>
  <c r="AJ168" i="4"/>
  <c r="AI168" i="4"/>
  <c r="AH168" i="4"/>
  <c r="AG168" i="4"/>
  <c r="AF168" i="4"/>
  <c r="AE168" i="4"/>
  <c r="AD168" i="4"/>
  <c r="V168" i="4"/>
  <c r="U168" i="4"/>
  <c r="D168" i="4"/>
  <c r="AN167" i="4"/>
  <c r="AM167" i="4"/>
  <c r="AL167" i="4"/>
  <c r="AK167" i="4"/>
  <c r="AJ167" i="4"/>
  <c r="AI167" i="4"/>
  <c r="AH167" i="4"/>
  <c r="AG167" i="4"/>
  <c r="AF167" i="4"/>
  <c r="AE167" i="4"/>
  <c r="AD167" i="4"/>
  <c r="V167" i="4"/>
  <c r="U167" i="4"/>
  <c r="D167" i="4"/>
  <c r="AN166" i="4"/>
  <c r="AM166" i="4"/>
  <c r="AL166" i="4"/>
  <c r="AK166" i="4"/>
  <c r="AJ166" i="4"/>
  <c r="AI166" i="4"/>
  <c r="AH166" i="4"/>
  <c r="AG166" i="4"/>
  <c r="AF166" i="4"/>
  <c r="AE166" i="4"/>
  <c r="AD166" i="4"/>
  <c r="V166" i="4"/>
  <c r="U166" i="4"/>
  <c r="D166" i="4"/>
  <c r="AN165" i="4"/>
  <c r="AM165" i="4"/>
  <c r="AL165" i="4"/>
  <c r="AK165" i="4"/>
  <c r="AJ165" i="4"/>
  <c r="AI165" i="4"/>
  <c r="AH165" i="4"/>
  <c r="AG165" i="4"/>
  <c r="AF165" i="4"/>
  <c r="AE165" i="4"/>
  <c r="AD165" i="4"/>
  <c r="V165" i="4"/>
  <c r="U165" i="4"/>
  <c r="D165" i="4"/>
  <c r="AN164" i="4"/>
  <c r="AM164" i="4"/>
  <c r="AL164" i="4"/>
  <c r="AK164" i="4"/>
  <c r="AJ164" i="4"/>
  <c r="AI164" i="4"/>
  <c r="AH164" i="4"/>
  <c r="AG164" i="4"/>
  <c r="AF164" i="4"/>
  <c r="AE164" i="4"/>
  <c r="AD164" i="4"/>
  <c r="V164" i="4"/>
  <c r="U164" i="4"/>
  <c r="D164" i="4"/>
  <c r="AN163" i="4"/>
  <c r="AM163" i="4"/>
  <c r="AL163" i="4"/>
  <c r="AK163" i="4"/>
  <c r="AJ163" i="4"/>
  <c r="AI163" i="4"/>
  <c r="AH163" i="4"/>
  <c r="AG163" i="4"/>
  <c r="AF163" i="4"/>
  <c r="AE163" i="4"/>
  <c r="AD163" i="4"/>
  <c r="V163" i="4"/>
  <c r="U163" i="4"/>
  <c r="D163" i="4"/>
  <c r="AN162" i="4"/>
  <c r="AM162" i="4"/>
  <c r="AL162" i="4"/>
  <c r="AK162" i="4"/>
  <c r="AJ162" i="4"/>
  <c r="AI162" i="4"/>
  <c r="AH162" i="4"/>
  <c r="AG162" i="4"/>
  <c r="AF162" i="4"/>
  <c r="AE162" i="4"/>
  <c r="AD162" i="4"/>
  <c r="V162" i="4"/>
  <c r="U162" i="4"/>
  <c r="D162" i="4"/>
  <c r="AN161" i="4"/>
  <c r="AM161" i="4"/>
  <c r="AL161" i="4"/>
  <c r="AK161" i="4"/>
  <c r="AJ161" i="4"/>
  <c r="AI161" i="4"/>
  <c r="AH161" i="4"/>
  <c r="AG161" i="4"/>
  <c r="AF161" i="4"/>
  <c r="AE161" i="4"/>
  <c r="AD161" i="4"/>
  <c r="V161" i="4"/>
  <c r="U161" i="4"/>
  <c r="D161" i="4"/>
  <c r="AN160" i="4"/>
  <c r="AM160" i="4"/>
  <c r="AL160" i="4"/>
  <c r="AK160" i="4"/>
  <c r="AJ160" i="4"/>
  <c r="AI160" i="4"/>
  <c r="AH160" i="4"/>
  <c r="AG160" i="4"/>
  <c r="AF160" i="4"/>
  <c r="AE160" i="4"/>
  <c r="AD160" i="4"/>
  <c r="V160" i="4"/>
  <c r="U160" i="4"/>
  <c r="D160" i="4"/>
  <c r="AN159" i="4"/>
  <c r="AM159" i="4"/>
  <c r="AL159" i="4"/>
  <c r="AK159" i="4"/>
  <c r="AJ159" i="4"/>
  <c r="AI159" i="4"/>
  <c r="AH159" i="4"/>
  <c r="AG159" i="4"/>
  <c r="AF159" i="4"/>
  <c r="AE159" i="4"/>
  <c r="AD159" i="4"/>
  <c r="V159" i="4"/>
  <c r="U159" i="4"/>
  <c r="D159" i="4"/>
  <c r="AN158" i="4"/>
  <c r="AM158" i="4"/>
  <c r="AL158" i="4"/>
  <c r="AK158" i="4"/>
  <c r="AJ158" i="4"/>
  <c r="AI158" i="4"/>
  <c r="AH158" i="4"/>
  <c r="AG158" i="4"/>
  <c r="AF158" i="4"/>
  <c r="AE158" i="4"/>
  <c r="AD158" i="4"/>
  <c r="V158" i="4"/>
  <c r="U158" i="4"/>
  <c r="D158" i="4"/>
  <c r="AN157" i="4"/>
  <c r="AM157" i="4"/>
  <c r="AL157" i="4"/>
  <c r="AK157" i="4"/>
  <c r="AJ157" i="4"/>
  <c r="AI157" i="4"/>
  <c r="AH157" i="4"/>
  <c r="AG157" i="4"/>
  <c r="AF157" i="4"/>
  <c r="AE157" i="4"/>
  <c r="AD157" i="4"/>
  <c r="V157" i="4"/>
  <c r="U157" i="4"/>
  <c r="M157" i="4"/>
  <c r="D157" i="4"/>
  <c r="AN156" i="4"/>
  <c r="AM156" i="4"/>
  <c r="AL156" i="4"/>
  <c r="AK156" i="4"/>
  <c r="AJ156" i="4"/>
  <c r="AI156" i="4"/>
  <c r="AH156" i="4"/>
  <c r="AG156" i="4"/>
  <c r="AF156" i="4"/>
  <c r="AE156" i="4"/>
  <c r="AD156" i="4"/>
  <c r="V156" i="4"/>
  <c r="U156" i="4"/>
  <c r="D156" i="4"/>
  <c r="AN155" i="4"/>
  <c r="AM155" i="4"/>
  <c r="AL155" i="4"/>
  <c r="AK155" i="4"/>
  <c r="AJ155" i="4"/>
  <c r="AI155" i="4"/>
  <c r="AH155" i="4"/>
  <c r="AG155" i="4"/>
  <c r="AF155" i="4"/>
  <c r="AE155" i="4"/>
  <c r="AD155" i="4"/>
  <c r="V155" i="4"/>
  <c r="U155" i="4"/>
  <c r="D155" i="4"/>
  <c r="AN154" i="4"/>
  <c r="AM154" i="4"/>
  <c r="AL154" i="4"/>
  <c r="AK154" i="4"/>
  <c r="AJ154" i="4"/>
  <c r="AI154" i="4"/>
  <c r="AH154" i="4"/>
  <c r="AG154" i="4"/>
  <c r="AF154" i="4"/>
  <c r="AE154" i="4"/>
  <c r="AD154" i="4"/>
  <c r="V154" i="4"/>
  <c r="U154" i="4"/>
  <c r="D154" i="4"/>
  <c r="AN153" i="4"/>
  <c r="AM153" i="4"/>
  <c r="AL153" i="4"/>
  <c r="AK153" i="4"/>
  <c r="AJ153" i="4"/>
  <c r="AI153" i="4"/>
  <c r="AH153" i="4"/>
  <c r="AG153" i="4"/>
  <c r="AF153" i="4"/>
  <c r="AE153" i="4"/>
  <c r="AD153" i="4"/>
  <c r="V153" i="4"/>
  <c r="U153" i="4"/>
  <c r="D153" i="4"/>
  <c r="AN152" i="4"/>
  <c r="AM152" i="4"/>
  <c r="AL152" i="4"/>
  <c r="AK152" i="4"/>
  <c r="AJ152" i="4"/>
  <c r="AI152" i="4"/>
  <c r="AH152" i="4"/>
  <c r="AG152" i="4"/>
  <c r="AF152" i="4"/>
  <c r="AE152" i="4"/>
  <c r="AD152" i="4"/>
  <c r="V152" i="4"/>
  <c r="U152" i="4"/>
  <c r="D152" i="4"/>
  <c r="AN151" i="4"/>
  <c r="AM151" i="4"/>
  <c r="AL151" i="4"/>
  <c r="AK151" i="4"/>
  <c r="AJ151" i="4"/>
  <c r="AI151" i="4"/>
  <c r="AH151" i="4"/>
  <c r="AG151" i="4"/>
  <c r="AF151" i="4"/>
  <c r="AE151" i="4"/>
  <c r="AD151" i="4"/>
  <c r="AB151" i="4"/>
  <c r="V151" i="4"/>
  <c r="U151" i="4"/>
  <c r="Q151" i="4"/>
  <c r="D151" i="4"/>
  <c r="AN150" i="4"/>
  <c r="AM150" i="4"/>
  <c r="AL150" i="4"/>
  <c r="AK150" i="4"/>
  <c r="AJ150" i="4"/>
  <c r="AI150" i="4"/>
  <c r="AH150" i="4"/>
  <c r="AG150" i="4"/>
  <c r="AF150" i="4"/>
  <c r="AE150" i="4"/>
  <c r="AD150" i="4"/>
  <c r="V150" i="4"/>
  <c r="U150" i="4"/>
  <c r="D150" i="4"/>
  <c r="AN149" i="4"/>
  <c r="AM149" i="4"/>
  <c r="AL149" i="4"/>
  <c r="AK149" i="4"/>
  <c r="AJ149" i="4"/>
  <c r="AI149" i="4"/>
  <c r="AH149" i="4"/>
  <c r="AG149" i="4"/>
  <c r="AF149" i="4"/>
  <c r="AE149" i="4"/>
  <c r="AD149" i="4"/>
  <c r="V149" i="4"/>
  <c r="U149" i="4"/>
  <c r="D149" i="4"/>
  <c r="AN148" i="4"/>
  <c r="AM148" i="4"/>
  <c r="AL148" i="4"/>
  <c r="AK148" i="4"/>
  <c r="AJ148" i="4"/>
  <c r="AI148" i="4"/>
  <c r="AH148" i="4"/>
  <c r="AG148" i="4"/>
  <c r="AF148" i="4"/>
  <c r="AE148" i="4"/>
  <c r="AD148" i="4"/>
  <c r="V148" i="4"/>
  <c r="U148" i="4"/>
  <c r="D148" i="4"/>
  <c r="AN147" i="4"/>
  <c r="AM147" i="4"/>
  <c r="AL147" i="4"/>
  <c r="AK147" i="4"/>
  <c r="AJ147" i="4"/>
  <c r="AI147" i="4"/>
  <c r="AH147" i="4"/>
  <c r="AG147" i="4"/>
  <c r="AF147" i="4"/>
  <c r="AE147" i="4"/>
  <c r="AD147" i="4"/>
  <c r="V147" i="4"/>
  <c r="U147" i="4"/>
  <c r="D147" i="4"/>
  <c r="AN146" i="4"/>
  <c r="AM146" i="4"/>
  <c r="AL146" i="4"/>
  <c r="AK146" i="4"/>
  <c r="AJ146" i="4"/>
  <c r="AI146" i="4"/>
  <c r="AH146" i="4"/>
  <c r="AG146" i="4"/>
  <c r="AF146" i="4"/>
  <c r="AE146" i="4"/>
  <c r="AD146" i="4"/>
  <c r="V146" i="4"/>
  <c r="U146" i="4"/>
  <c r="D146" i="4"/>
  <c r="AN145" i="4"/>
  <c r="AM145" i="4"/>
  <c r="AL145" i="4"/>
  <c r="AK145" i="4"/>
  <c r="AJ145" i="4"/>
  <c r="AI145" i="4"/>
  <c r="AH145" i="4"/>
  <c r="AG145" i="4"/>
  <c r="AF145" i="4"/>
  <c r="AE145" i="4"/>
  <c r="AD145" i="4"/>
  <c r="V145" i="4"/>
  <c r="U145" i="4"/>
  <c r="D145" i="4"/>
  <c r="AN144" i="4"/>
  <c r="AM144" i="4"/>
  <c r="AL144" i="4"/>
  <c r="AK144" i="4"/>
  <c r="AJ144" i="4"/>
  <c r="AI144" i="4"/>
  <c r="AH144" i="4"/>
  <c r="AG144" i="4"/>
  <c r="AF144" i="4"/>
  <c r="AE144" i="4"/>
  <c r="AD144" i="4"/>
  <c r="V144" i="4"/>
  <c r="U144" i="4"/>
  <c r="D144" i="4"/>
  <c r="AN143" i="4"/>
  <c r="AM143" i="4"/>
  <c r="AL143" i="4"/>
  <c r="AK143" i="4"/>
  <c r="AJ143" i="4"/>
  <c r="AI143" i="4"/>
  <c r="AH143" i="4"/>
  <c r="AG143" i="4"/>
  <c r="AF143" i="4"/>
  <c r="AE143" i="4"/>
  <c r="AD143" i="4"/>
  <c r="V143" i="4"/>
  <c r="U143" i="4"/>
  <c r="D143" i="4"/>
  <c r="AN142" i="4"/>
  <c r="AM142" i="4"/>
  <c r="AL142" i="4"/>
  <c r="AK142" i="4"/>
  <c r="AJ142" i="4"/>
  <c r="AI142" i="4"/>
  <c r="AH142" i="4"/>
  <c r="AG142" i="4"/>
  <c r="AF142" i="4"/>
  <c r="AE142" i="4"/>
  <c r="AD142" i="4"/>
  <c r="V142" i="4"/>
  <c r="U142" i="4"/>
  <c r="D142" i="4"/>
  <c r="AN141" i="4"/>
  <c r="AM141" i="4"/>
  <c r="AL141" i="4"/>
  <c r="AK141" i="4"/>
  <c r="AJ141" i="4"/>
  <c r="AI141" i="4"/>
  <c r="AH141" i="4"/>
  <c r="AG141" i="4"/>
  <c r="AF141" i="4"/>
  <c r="AE141" i="4"/>
  <c r="AD141" i="4"/>
  <c r="V141" i="4"/>
  <c r="U141" i="4"/>
  <c r="D141" i="4"/>
  <c r="AN140" i="4"/>
  <c r="AM140" i="4"/>
  <c r="AL140" i="4"/>
  <c r="AK140" i="4"/>
  <c r="AJ140" i="4"/>
  <c r="AI140" i="4"/>
  <c r="AH140" i="4"/>
  <c r="AG140" i="4"/>
  <c r="AF140" i="4"/>
  <c r="AE140" i="4"/>
  <c r="AD140" i="4"/>
  <c r="V140" i="4"/>
  <c r="U140" i="4"/>
  <c r="D140" i="4"/>
  <c r="AN139" i="4"/>
  <c r="AM139" i="4"/>
  <c r="AL139" i="4"/>
  <c r="AK139" i="4"/>
  <c r="AJ139" i="4"/>
  <c r="AI139" i="4"/>
  <c r="AH139" i="4"/>
  <c r="AG139" i="4"/>
  <c r="AF139" i="4"/>
  <c r="AE139" i="4"/>
  <c r="AD139" i="4"/>
  <c r="V139" i="4"/>
  <c r="U139" i="4"/>
  <c r="D139" i="4"/>
  <c r="AN138" i="4"/>
  <c r="AM138" i="4"/>
  <c r="AL138" i="4"/>
  <c r="AK138" i="4"/>
  <c r="AJ138" i="4"/>
  <c r="AI138" i="4"/>
  <c r="AH138" i="4"/>
  <c r="AG138" i="4"/>
  <c r="AF138" i="4"/>
  <c r="AE138" i="4"/>
  <c r="AD138" i="4"/>
  <c r="V138" i="4"/>
  <c r="U138" i="4"/>
  <c r="D138" i="4"/>
  <c r="AN137" i="4"/>
  <c r="AM137" i="4"/>
  <c r="AL137" i="4"/>
  <c r="AK137" i="4"/>
  <c r="AJ137" i="4"/>
  <c r="AI137" i="4"/>
  <c r="AH137" i="4"/>
  <c r="AG137" i="4"/>
  <c r="AF137" i="4"/>
  <c r="AE137" i="4"/>
  <c r="AD137" i="4"/>
  <c r="V137" i="4"/>
  <c r="U137" i="4"/>
  <c r="D137" i="4"/>
  <c r="AN136" i="4"/>
  <c r="AM136" i="4"/>
  <c r="AL136" i="4"/>
  <c r="AK136" i="4"/>
  <c r="AJ136" i="4"/>
  <c r="AI136" i="4"/>
  <c r="AH136" i="4"/>
  <c r="AG136" i="4"/>
  <c r="AF136" i="4"/>
  <c r="AE136" i="4"/>
  <c r="AD136" i="4"/>
  <c r="V136" i="4"/>
  <c r="U136" i="4"/>
  <c r="D136" i="4"/>
  <c r="AN135" i="4"/>
  <c r="AM135" i="4"/>
  <c r="AL135" i="4"/>
  <c r="AK135" i="4"/>
  <c r="AJ135" i="4"/>
  <c r="AI135" i="4"/>
  <c r="AH135" i="4"/>
  <c r="AG135" i="4"/>
  <c r="AF135" i="4"/>
  <c r="AE135" i="4"/>
  <c r="AD135" i="4"/>
  <c r="V135" i="4"/>
  <c r="U135" i="4"/>
  <c r="D135" i="4"/>
  <c r="AN134" i="4"/>
  <c r="AM134" i="4"/>
  <c r="AL134" i="4"/>
  <c r="AK134" i="4"/>
  <c r="AJ134" i="4"/>
  <c r="AI134" i="4"/>
  <c r="AH134" i="4"/>
  <c r="AG134" i="4"/>
  <c r="AF134" i="4"/>
  <c r="AE134" i="4"/>
  <c r="AD134" i="4"/>
  <c r="V134" i="4"/>
  <c r="U134" i="4"/>
  <c r="D134" i="4"/>
  <c r="AN133" i="4"/>
  <c r="AM133" i="4"/>
  <c r="AL133" i="4"/>
  <c r="AK133" i="4"/>
  <c r="AJ133" i="4"/>
  <c r="AI133" i="4"/>
  <c r="AH133" i="4"/>
  <c r="AG133" i="4"/>
  <c r="AF133" i="4"/>
  <c r="AE133" i="4"/>
  <c r="AD133" i="4"/>
  <c r="V133" i="4"/>
  <c r="U133" i="4"/>
  <c r="D133" i="4"/>
  <c r="AN132" i="4"/>
  <c r="AM132" i="4"/>
  <c r="AL132" i="4"/>
  <c r="AK132" i="4"/>
  <c r="AJ132" i="4"/>
  <c r="AI132" i="4"/>
  <c r="AH132" i="4"/>
  <c r="AG132" i="4"/>
  <c r="AF132" i="4"/>
  <c r="AE132" i="4"/>
  <c r="AD132" i="4"/>
  <c r="V132" i="4"/>
  <c r="U132" i="4"/>
  <c r="D132" i="4"/>
  <c r="AN131" i="4"/>
  <c r="AM131" i="4"/>
  <c r="AL131" i="4"/>
  <c r="AK131" i="4"/>
  <c r="AJ131" i="4"/>
  <c r="AI131" i="4"/>
  <c r="AH131" i="4"/>
  <c r="AG131" i="4"/>
  <c r="AF131" i="4"/>
  <c r="AE131" i="4"/>
  <c r="AD131" i="4"/>
  <c r="V131" i="4"/>
  <c r="U131" i="4"/>
  <c r="D131" i="4"/>
  <c r="AN130" i="4"/>
  <c r="AM130" i="4"/>
  <c r="AL130" i="4"/>
  <c r="AK130" i="4"/>
  <c r="AJ130" i="4"/>
  <c r="AI130" i="4"/>
  <c r="AH130" i="4"/>
  <c r="AG130" i="4"/>
  <c r="AF130" i="4"/>
  <c r="AE130" i="4"/>
  <c r="AD130" i="4"/>
  <c r="V130" i="4"/>
  <c r="U130" i="4"/>
  <c r="D130" i="4"/>
  <c r="AN129" i="4"/>
  <c r="AM129" i="4"/>
  <c r="AL129" i="4"/>
  <c r="AK129" i="4"/>
  <c r="AJ129" i="4"/>
  <c r="AI129" i="4"/>
  <c r="AH129" i="4"/>
  <c r="AG129" i="4"/>
  <c r="AF129" i="4"/>
  <c r="AE129" i="4"/>
  <c r="AD129" i="4"/>
  <c r="V129" i="4"/>
  <c r="U129" i="4"/>
  <c r="D129" i="4"/>
  <c r="AN128" i="4"/>
  <c r="AM128" i="4"/>
  <c r="AL128" i="4"/>
  <c r="AK128" i="4"/>
  <c r="AJ128" i="4"/>
  <c r="AI128" i="4"/>
  <c r="AH128" i="4"/>
  <c r="AG128" i="4"/>
  <c r="AF128" i="4"/>
  <c r="AE128" i="4"/>
  <c r="AD128" i="4"/>
  <c r="V128" i="4"/>
  <c r="U128" i="4"/>
  <c r="D128" i="4"/>
  <c r="AN127" i="4"/>
  <c r="AM127" i="4"/>
  <c r="AL127" i="4"/>
  <c r="AK127" i="4"/>
  <c r="AJ127" i="4"/>
  <c r="AI127" i="4"/>
  <c r="AH127" i="4"/>
  <c r="AG127" i="4"/>
  <c r="AF127" i="4"/>
  <c r="AE127" i="4"/>
  <c r="AD127" i="4"/>
  <c r="V127" i="4"/>
  <c r="U127" i="4"/>
  <c r="D127" i="4"/>
  <c r="AN126" i="4"/>
  <c r="AM126" i="4"/>
  <c r="AL126" i="4"/>
  <c r="AK126" i="4"/>
  <c r="AJ126" i="4"/>
  <c r="AI126" i="4"/>
  <c r="AH126" i="4"/>
  <c r="AG126" i="4"/>
  <c r="AF126" i="4"/>
  <c r="AE126" i="4"/>
  <c r="AD126" i="4"/>
  <c r="V126" i="4"/>
  <c r="U126" i="4"/>
  <c r="D126" i="4"/>
  <c r="AN125" i="4"/>
  <c r="AM125" i="4"/>
  <c r="AL125" i="4"/>
  <c r="AK125" i="4"/>
  <c r="AJ125" i="4"/>
  <c r="AI125" i="4"/>
  <c r="AH125" i="4"/>
  <c r="AG125" i="4"/>
  <c r="AF125" i="4"/>
  <c r="AE125" i="4"/>
  <c r="AD125" i="4"/>
  <c r="V125" i="4"/>
  <c r="U125" i="4"/>
  <c r="D125" i="4"/>
  <c r="AN124" i="4"/>
  <c r="AM124" i="4"/>
  <c r="AL124" i="4"/>
  <c r="AK124" i="4"/>
  <c r="AJ124" i="4"/>
  <c r="AI124" i="4"/>
  <c r="AH124" i="4"/>
  <c r="AG124" i="4"/>
  <c r="AF124" i="4"/>
  <c r="AE124" i="4"/>
  <c r="AD124" i="4"/>
  <c r="V124" i="4"/>
  <c r="U124" i="4"/>
  <c r="D124" i="4"/>
  <c r="AN123" i="4"/>
  <c r="AM123" i="4"/>
  <c r="AL123" i="4"/>
  <c r="AK123" i="4"/>
  <c r="AJ123" i="4"/>
  <c r="AI123" i="4"/>
  <c r="AH123" i="4"/>
  <c r="AG123" i="4"/>
  <c r="AF123" i="4"/>
  <c r="AE123" i="4"/>
  <c r="AD123" i="4"/>
  <c r="V123" i="4"/>
  <c r="U123" i="4"/>
  <c r="D123" i="4"/>
  <c r="AN122" i="4"/>
  <c r="AM122" i="4"/>
  <c r="AL122" i="4"/>
  <c r="AK122" i="4"/>
  <c r="AJ122" i="4"/>
  <c r="AI122" i="4"/>
  <c r="AH122" i="4"/>
  <c r="AG122" i="4"/>
  <c r="AF122" i="4"/>
  <c r="AE122" i="4"/>
  <c r="AD122" i="4"/>
  <c r="V122" i="4"/>
  <c r="U122" i="4"/>
  <c r="D122" i="4"/>
  <c r="AN121" i="4"/>
  <c r="AM121" i="4"/>
  <c r="AL121" i="4"/>
  <c r="AK121" i="4"/>
  <c r="AJ121" i="4"/>
  <c r="AI121" i="4"/>
  <c r="AH121" i="4"/>
  <c r="AG121" i="4"/>
  <c r="AF121" i="4"/>
  <c r="AE121" i="4"/>
  <c r="AD121" i="4"/>
  <c r="V121" i="4"/>
  <c r="U121" i="4"/>
  <c r="D121" i="4"/>
  <c r="AN120" i="4"/>
  <c r="AM120" i="4"/>
  <c r="AL120" i="4"/>
  <c r="AK120" i="4"/>
  <c r="AJ120" i="4"/>
  <c r="AI120" i="4"/>
  <c r="AH120" i="4"/>
  <c r="AG120" i="4"/>
  <c r="AF120" i="4"/>
  <c r="AE120" i="4"/>
  <c r="AD120" i="4"/>
  <c r="V120" i="4"/>
  <c r="U120" i="4"/>
  <c r="D120" i="4"/>
  <c r="AN119" i="4"/>
  <c r="AM119" i="4"/>
  <c r="AL119" i="4"/>
  <c r="AK119" i="4"/>
  <c r="AJ119" i="4"/>
  <c r="AI119" i="4"/>
  <c r="AH119" i="4"/>
  <c r="AG119" i="4"/>
  <c r="AF119" i="4"/>
  <c r="AE119" i="4"/>
  <c r="AD119" i="4"/>
  <c r="V119" i="4"/>
  <c r="U119" i="4"/>
  <c r="D119" i="4"/>
  <c r="AN118" i="4"/>
  <c r="AM118" i="4"/>
  <c r="AL118" i="4"/>
  <c r="AK118" i="4"/>
  <c r="AJ118" i="4"/>
  <c r="AI118" i="4"/>
  <c r="AH118" i="4"/>
  <c r="AG118" i="4"/>
  <c r="AF118" i="4"/>
  <c r="AE118" i="4"/>
  <c r="AD118" i="4"/>
  <c r="V118" i="4"/>
  <c r="U118" i="4"/>
  <c r="D118" i="4"/>
  <c r="AN117" i="4"/>
  <c r="AM117" i="4"/>
  <c r="AL117" i="4"/>
  <c r="AK117" i="4"/>
  <c r="AJ117" i="4"/>
  <c r="AI117" i="4"/>
  <c r="AH117" i="4"/>
  <c r="AG117" i="4"/>
  <c r="AF117" i="4"/>
  <c r="AE117" i="4"/>
  <c r="AD117" i="4"/>
  <c r="V117" i="4"/>
  <c r="U117" i="4"/>
  <c r="D117" i="4"/>
  <c r="AN116" i="4"/>
  <c r="AM116" i="4"/>
  <c r="AL116" i="4"/>
  <c r="AK116" i="4"/>
  <c r="AJ116" i="4"/>
  <c r="AI116" i="4"/>
  <c r="AH116" i="4"/>
  <c r="AG116" i="4"/>
  <c r="AF116" i="4"/>
  <c r="AE116" i="4"/>
  <c r="AD116" i="4"/>
  <c r="V116" i="4"/>
  <c r="U116" i="4"/>
  <c r="D116" i="4"/>
  <c r="AN115" i="4"/>
  <c r="AM115" i="4"/>
  <c r="AL115" i="4"/>
  <c r="AK115" i="4"/>
  <c r="AJ115" i="4"/>
  <c r="AI115" i="4"/>
  <c r="AH115" i="4"/>
  <c r="AG115" i="4"/>
  <c r="AF115" i="4"/>
  <c r="AE115" i="4"/>
  <c r="AD115" i="4"/>
  <c r="V115" i="4"/>
  <c r="U115" i="4"/>
  <c r="D115" i="4"/>
  <c r="AN114" i="4"/>
  <c r="AM114" i="4"/>
  <c r="AL114" i="4"/>
  <c r="AK114" i="4"/>
  <c r="AJ114" i="4"/>
  <c r="AI114" i="4"/>
  <c r="AH114" i="4"/>
  <c r="AG114" i="4"/>
  <c r="AF114" i="4"/>
  <c r="AE114" i="4"/>
  <c r="AD114" i="4"/>
  <c r="V114" i="4"/>
  <c r="U114" i="4"/>
  <c r="D114" i="4"/>
  <c r="AN113" i="4"/>
  <c r="AM113" i="4"/>
  <c r="AL113" i="4"/>
  <c r="AK113" i="4"/>
  <c r="AJ113" i="4"/>
  <c r="AI113" i="4"/>
  <c r="AH113" i="4"/>
  <c r="AG113" i="4"/>
  <c r="AF113" i="4"/>
  <c r="AE113" i="4"/>
  <c r="AD113" i="4"/>
  <c r="V113" i="4"/>
  <c r="U113" i="4"/>
  <c r="D113" i="4"/>
  <c r="AN112" i="4"/>
  <c r="AM112" i="4"/>
  <c r="AL112" i="4"/>
  <c r="AK112" i="4"/>
  <c r="AJ112" i="4"/>
  <c r="AI112" i="4"/>
  <c r="AH112" i="4"/>
  <c r="AG112" i="4"/>
  <c r="AF112" i="4"/>
  <c r="AE112" i="4"/>
  <c r="AD112" i="4"/>
  <c r="V112" i="4"/>
  <c r="U112" i="4"/>
  <c r="D112" i="4"/>
  <c r="AN111" i="4"/>
  <c r="AM111" i="4"/>
  <c r="AL111" i="4"/>
  <c r="AK111" i="4"/>
  <c r="AJ111" i="4"/>
  <c r="AI111" i="4"/>
  <c r="AH111" i="4"/>
  <c r="AG111" i="4"/>
  <c r="AF111" i="4"/>
  <c r="AE111" i="4"/>
  <c r="AD111" i="4"/>
  <c r="V111" i="4"/>
  <c r="U111" i="4"/>
  <c r="D111" i="4"/>
  <c r="AN110" i="4"/>
  <c r="AM110" i="4"/>
  <c r="AL110" i="4"/>
  <c r="AK110" i="4"/>
  <c r="AJ110" i="4"/>
  <c r="AI110" i="4"/>
  <c r="AH110" i="4"/>
  <c r="AG110" i="4"/>
  <c r="AF110" i="4"/>
  <c r="AE110" i="4"/>
  <c r="AD110" i="4"/>
  <c r="V110" i="4"/>
  <c r="U110" i="4"/>
  <c r="D110" i="4"/>
  <c r="AN109" i="4"/>
  <c r="AM109" i="4"/>
  <c r="AL109" i="4"/>
  <c r="AK109" i="4"/>
  <c r="AJ109" i="4"/>
  <c r="AI109" i="4"/>
  <c r="AH109" i="4"/>
  <c r="AG109" i="4"/>
  <c r="AF109" i="4"/>
  <c r="AE109" i="4"/>
  <c r="AD109" i="4"/>
  <c r="V109" i="4"/>
  <c r="U109" i="4"/>
  <c r="M109" i="4"/>
  <c r="D109" i="4"/>
  <c r="AN108" i="4"/>
  <c r="AM108" i="4"/>
  <c r="AL108" i="4"/>
  <c r="AK108" i="4"/>
  <c r="AJ108" i="4"/>
  <c r="AI108" i="4"/>
  <c r="AH108" i="4"/>
  <c r="AG108" i="4"/>
  <c r="AF108" i="4"/>
  <c r="AE108" i="4"/>
  <c r="AD108" i="4"/>
  <c r="V108" i="4"/>
  <c r="U108" i="4"/>
  <c r="D108" i="4"/>
  <c r="AN107" i="4"/>
  <c r="AM107" i="4"/>
  <c r="AL107" i="4"/>
  <c r="AK107" i="4"/>
  <c r="AJ107" i="4"/>
  <c r="AI107" i="4"/>
  <c r="AH107" i="4"/>
  <c r="AG107" i="4"/>
  <c r="AF107" i="4"/>
  <c r="AE107" i="4"/>
  <c r="AD107" i="4"/>
  <c r="V107" i="4"/>
  <c r="U107" i="4"/>
  <c r="D107" i="4"/>
  <c r="AN106" i="4"/>
  <c r="AM106" i="4"/>
  <c r="AL106" i="4"/>
  <c r="AK106" i="4"/>
  <c r="AJ106" i="4"/>
  <c r="AI106" i="4"/>
  <c r="AH106" i="4"/>
  <c r="AG106" i="4"/>
  <c r="AF106" i="4"/>
  <c r="AE106" i="4"/>
  <c r="AD106" i="4"/>
  <c r="V106" i="4"/>
  <c r="U106" i="4"/>
  <c r="D106" i="4"/>
  <c r="AN105" i="4"/>
  <c r="AM105" i="4"/>
  <c r="AL105" i="4"/>
  <c r="AK105" i="4"/>
  <c r="AJ105" i="4"/>
  <c r="AI105" i="4"/>
  <c r="AH105" i="4"/>
  <c r="AG105" i="4"/>
  <c r="AF105" i="4"/>
  <c r="AE105" i="4"/>
  <c r="AD105" i="4"/>
  <c r="V105" i="4"/>
  <c r="U105" i="4"/>
  <c r="D105" i="4"/>
  <c r="AN104" i="4"/>
  <c r="AM104" i="4"/>
  <c r="AL104" i="4"/>
  <c r="AK104" i="4"/>
  <c r="AJ104" i="4"/>
  <c r="AI104" i="4"/>
  <c r="AH104" i="4"/>
  <c r="AG104" i="4"/>
  <c r="AF104" i="4"/>
  <c r="AE104" i="4"/>
  <c r="AD104" i="4"/>
  <c r="V104" i="4"/>
  <c r="U104" i="4"/>
  <c r="D104" i="4"/>
  <c r="AN103" i="4"/>
  <c r="AM103" i="4"/>
  <c r="AL103" i="4"/>
  <c r="AK103" i="4"/>
  <c r="AJ103" i="4"/>
  <c r="AI103" i="4"/>
  <c r="AH103" i="4"/>
  <c r="AG103" i="4"/>
  <c r="AF103" i="4"/>
  <c r="AE103" i="4"/>
  <c r="AD103" i="4"/>
  <c r="V103" i="4"/>
  <c r="U103" i="4"/>
  <c r="D103" i="4"/>
  <c r="AN102" i="4"/>
  <c r="AM102" i="4"/>
  <c r="AL102" i="4"/>
  <c r="AK102" i="4"/>
  <c r="AJ102" i="4"/>
  <c r="AI102" i="4"/>
  <c r="AH102" i="4"/>
  <c r="AG102" i="4"/>
  <c r="AF102" i="4"/>
  <c r="AE102" i="4"/>
  <c r="AD102" i="4"/>
  <c r="V102" i="4"/>
  <c r="U102" i="4"/>
  <c r="D102" i="4"/>
  <c r="AN101" i="4"/>
  <c r="AM101" i="4"/>
  <c r="AL101" i="4"/>
  <c r="AK101" i="4"/>
  <c r="AJ101" i="4"/>
  <c r="AI101" i="4"/>
  <c r="AH101" i="4"/>
  <c r="AG101" i="4"/>
  <c r="AF101" i="4"/>
  <c r="AE101" i="4"/>
  <c r="AD101" i="4"/>
  <c r="V101" i="4"/>
  <c r="U101" i="4"/>
  <c r="D101" i="4"/>
  <c r="AN100" i="4"/>
  <c r="AM100" i="4"/>
  <c r="AL100" i="4"/>
  <c r="AK100" i="4"/>
  <c r="AJ100" i="4"/>
  <c r="AI100" i="4"/>
  <c r="AH100" i="4"/>
  <c r="AG100" i="4"/>
  <c r="AF100" i="4"/>
  <c r="AE100" i="4"/>
  <c r="AD100" i="4"/>
  <c r="V100" i="4"/>
  <c r="U100" i="4"/>
  <c r="D100" i="4"/>
  <c r="AN99" i="4"/>
  <c r="AM99" i="4"/>
  <c r="AL99" i="4"/>
  <c r="AK99" i="4"/>
  <c r="AJ99" i="4"/>
  <c r="AI99" i="4"/>
  <c r="AH99" i="4"/>
  <c r="AG99" i="4"/>
  <c r="AF99" i="4"/>
  <c r="AE99" i="4"/>
  <c r="AD99" i="4"/>
  <c r="V99" i="4"/>
  <c r="U99" i="4"/>
  <c r="D99" i="4"/>
  <c r="AN98" i="4"/>
  <c r="AM98" i="4"/>
  <c r="AL98" i="4"/>
  <c r="AK98" i="4"/>
  <c r="AJ98" i="4"/>
  <c r="AI98" i="4"/>
  <c r="AH98" i="4"/>
  <c r="AG98" i="4"/>
  <c r="AF98" i="4"/>
  <c r="AE98" i="4"/>
  <c r="AD98" i="4"/>
  <c r="V98" i="4"/>
  <c r="U98" i="4"/>
  <c r="D98" i="4"/>
  <c r="AN97" i="4"/>
  <c r="AM97" i="4"/>
  <c r="AL97" i="4"/>
  <c r="AK97" i="4"/>
  <c r="AJ97" i="4"/>
  <c r="AI97" i="4"/>
  <c r="AH97" i="4"/>
  <c r="AG97" i="4"/>
  <c r="AF97" i="4"/>
  <c r="AE97" i="4"/>
  <c r="AD97" i="4"/>
  <c r="V97" i="4"/>
  <c r="U97" i="4"/>
  <c r="D97" i="4"/>
  <c r="AN96" i="4"/>
  <c r="AM96" i="4"/>
  <c r="AL96" i="4"/>
  <c r="AK96" i="4"/>
  <c r="AJ96" i="4"/>
  <c r="AI96" i="4"/>
  <c r="AH96" i="4"/>
  <c r="AG96" i="4"/>
  <c r="AF96" i="4"/>
  <c r="AE96" i="4"/>
  <c r="AD96" i="4"/>
  <c r="V96" i="4"/>
  <c r="U96" i="4"/>
  <c r="D96" i="4"/>
  <c r="AN95" i="4"/>
  <c r="AM95" i="4"/>
  <c r="AL95" i="4"/>
  <c r="AK95" i="4"/>
  <c r="AJ95" i="4"/>
  <c r="AI95" i="4"/>
  <c r="AH95" i="4"/>
  <c r="AG95" i="4"/>
  <c r="AF95" i="4"/>
  <c r="AE95" i="4"/>
  <c r="AD95" i="4"/>
  <c r="AB95" i="4"/>
  <c r="AC95" i="4" s="1"/>
  <c r="V95" i="4"/>
  <c r="U95" i="4"/>
  <c r="M95" i="4"/>
  <c r="D95" i="4"/>
  <c r="AN94" i="4"/>
  <c r="AM94" i="4"/>
  <c r="AL94" i="4"/>
  <c r="AK94" i="4"/>
  <c r="AJ94" i="4"/>
  <c r="AI94" i="4"/>
  <c r="AH94" i="4"/>
  <c r="AG94" i="4"/>
  <c r="AF94" i="4"/>
  <c r="AE94" i="4"/>
  <c r="AD94" i="4"/>
  <c r="V94" i="4"/>
  <c r="U94" i="4"/>
  <c r="D94" i="4"/>
  <c r="AN93" i="4"/>
  <c r="AM93" i="4"/>
  <c r="AL93" i="4"/>
  <c r="AK93" i="4"/>
  <c r="AJ93" i="4"/>
  <c r="AI93" i="4"/>
  <c r="AH93" i="4"/>
  <c r="AG93" i="4"/>
  <c r="AF93" i="4"/>
  <c r="AE93" i="4"/>
  <c r="AD93" i="4"/>
  <c r="V93" i="4"/>
  <c r="U93" i="4"/>
  <c r="D93" i="4"/>
  <c r="AN92" i="4"/>
  <c r="AM92" i="4"/>
  <c r="AL92" i="4"/>
  <c r="AK92" i="4"/>
  <c r="AJ92" i="4"/>
  <c r="AI92" i="4"/>
  <c r="AH92" i="4"/>
  <c r="AG92" i="4"/>
  <c r="AF92" i="4"/>
  <c r="AE92" i="4"/>
  <c r="AD92" i="4"/>
  <c r="V92" i="4"/>
  <c r="U92" i="4"/>
  <c r="D92" i="4"/>
  <c r="AN91" i="4"/>
  <c r="AM91" i="4"/>
  <c r="AL91" i="4"/>
  <c r="AK91" i="4"/>
  <c r="AJ91" i="4"/>
  <c r="AI91" i="4"/>
  <c r="AH91" i="4"/>
  <c r="AG91" i="4"/>
  <c r="AF91" i="4"/>
  <c r="AE91" i="4"/>
  <c r="AD91" i="4"/>
  <c r="V91" i="4"/>
  <c r="U91" i="4"/>
  <c r="D91" i="4"/>
  <c r="AN90" i="4"/>
  <c r="AM90" i="4"/>
  <c r="AL90" i="4"/>
  <c r="AK90" i="4"/>
  <c r="AJ90" i="4"/>
  <c r="AI90" i="4"/>
  <c r="AH90" i="4"/>
  <c r="AG90" i="4"/>
  <c r="AF90" i="4"/>
  <c r="AE90" i="4"/>
  <c r="AD90" i="4"/>
  <c r="V90" i="4"/>
  <c r="U90" i="4"/>
  <c r="D90" i="4"/>
  <c r="AN89" i="4"/>
  <c r="AM89" i="4"/>
  <c r="AL89" i="4"/>
  <c r="AK89" i="4"/>
  <c r="AJ89" i="4"/>
  <c r="AI89" i="4"/>
  <c r="AH89" i="4"/>
  <c r="AG89" i="4"/>
  <c r="AF89" i="4"/>
  <c r="AE89" i="4"/>
  <c r="AD89" i="4"/>
  <c r="V89" i="4"/>
  <c r="U89" i="4"/>
  <c r="D89" i="4"/>
  <c r="AN88" i="4"/>
  <c r="AM88" i="4"/>
  <c r="AL88" i="4"/>
  <c r="AK88" i="4"/>
  <c r="AJ88" i="4"/>
  <c r="AI88" i="4"/>
  <c r="AH88" i="4"/>
  <c r="AG88" i="4"/>
  <c r="AF88" i="4"/>
  <c r="AE88" i="4"/>
  <c r="AD88" i="4"/>
  <c r="V88" i="4"/>
  <c r="U88" i="4"/>
  <c r="D88" i="4"/>
  <c r="AN87" i="4"/>
  <c r="AM87" i="4"/>
  <c r="AL87" i="4"/>
  <c r="AK87" i="4"/>
  <c r="AJ87" i="4"/>
  <c r="AI87" i="4"/>
  <c r="AH87" i="4"/>
  <c r="AG87" i="4"/>
  <c r="AF87" i="4"/>
  <c r="AE87" i="4"/>
  <c r="AD87" i="4"/>
  <c r="V87" i="4"/>
  <c r="U87" i="4"/>
  <c r="D87" i="4"/>
  <c r="AN86" i="4"/>
  <c r="AM86" i="4"/>
  <c r="AL86" i="4"/>
  <c r="AK86" i="4"/>
  <c r="AJ86" i="4"/>
  <c r="AI86" i="4"/>
  <c r="AH86" i="4"/>
  <c r="AG86" i="4"/>
  <c r="AF86" i="4"/>
  <c r="AE86" i="4"/>
  <c r="AD86" i="4"/>
  <c r="V86" i="4"/>
  <c r="U86" i="4"/>
  <c r="D86" i="4"/>
  <c r="AN85" i="4"/>
  <c r="AM85" i="4"/>
  <c r="AL85" i="4"/>
  <c r="AK85" i="4"/>
  <c r="AJ85" i="4"/>
  <c r="AI85" i="4"/>
  <c r="AH85" i="4"/>
  <c r="AG85" i="4"/>
  <c r="AF85" i="4"/>
  <c r="AE85" i="4"/>
  <c r="AD85" i="4"/>
  <c r="V85" i="4"/>
  <c r="U85" i="4"/>
  <c r="D85" i="4"/>
  <c r="AN84" i="4"/>
  <c r="AM84" i="4"/>
  <c r="AL84" i="4"/>
  <c r="AK84" i="4"/>
  <c r="AJ84" i="4"/>
  <c r="AI84" i="4"/>
  <c r="AH84" i="4"/>
  <c r="AG84" i="4"/>
  <c r="AF84" i="4"/>
  <c r="AE84" i="4"/>
  <c r="AD84" i="4"/>
  <c r="V84" i="4"/>
  <c r="U84" i="4"/>
  <c r="D84" i="4"/>
  <c r="AN83" i="4"/>
  <c r="AM83" i="4"/>
  <c r="AL83" i="4"/>
  <c r="AK83" i="4"/>
  <c r="AJ83" i="4"/>
  <c r="AI83" i="4"/>
  <c r="AH83" i="4"/>
  <c r="AG83" i="4"/>
  <c r="AF83" i="4"/>
  <c r="AE83" i="4"/>
  <c r="AD83" i="4"/>
  <c r="V83" i="4"/>
  <c r="U83" i="4"/>
  <c r="D83" i="4"/>
  <c r="AN82" i="4"/>
  <c r="AM82" i="4"/>
  <c r="AL82" i="4"/>
  <c r="AK82" i="4"/>
  <c r="AJ82" i="4"/>
  <c r="AI82" i="4"/>
  <c r="AH82" i="4"/>
  <c r="AG82" i="4"/>
  <c r="AF82" i="4"/>
  <c r="AE82" i="4"/>
  <c r="AD82" i="4"/>
  <c r="V82" i="4"/>
  <c r="U82" i="4"/>
  <c r="D82" i="4"/>
  <c r="AN81" i="4"/>
  <c r="AM81" i="4"/>
  <c r="AL81" i="4"/>
  <c r="AK81" i="4"/>
  <c r="AJ81" i="4"/>
  <c r="AI81" i="4"/>
  <c r="AH81" i="4"/>
  <c r="AG81" i="4"/>
  <c r="AF81" i="4"/>
  <c r="AE81" i="4"/>
  <c r="AD81" i="4"/>
  <c r="V81" i="4"/>
  <c r="U81" i="4"/>
  <c r="D81" i="4"/>
  <c r="AN80" i="4"/>
  <c r="AM80" i="4"/>
  <c r="AL80" i="4"/>
  <c r="AK80" i="4"/>
  <c r="AJ80" i="4"/>
  <c r="AI80" i="4"/>
  <c r="AH80" i="4"/>
  <c r="AG80" i="4"/>
  <c r="AF80" i="4"/>
  <c r="AE80" i="4"/>
  <c r="AD80" i="4"/>
  <c r="V80" i="4"/>
  <c r="U80" i="4"/>
  <c r="D80" i="4"/>
  <c r="AN79" i="4"/>
  <c r="AM79" i="4"/>
  <c r="AL79" i="4"/>
  <c r="AK79" i="4"/>
  <c r="AJ79" i="4"/>
  <c r="AI79" i="4"/>
  <c r="AH79" i="4"/>
  <c r="AG79" i="4"/>
  <c r="AF79" i="4"/>
  <c r="AE79" i="4"/>
  <c r="AD79" i="4"/>
  <c r="V79" i="4"/>
  <c r="U79" i="4"/>
  <c r="D79" i="4"/>
  <c r="AN78" i="4"/>
  <c r="AM78" i="4"/>
  <c r="AL78" i="4"/>
  <c r="AK78" i="4"/>
  <c r="AJ78" i="4"/>
  <c r="AI78" i="4"/>
  <c r="AH78" i="4"/>
  <c r="AG78" i="4"/>
  <c r="AF78" i="4"/>
  <c r="AE78" i="4"/>
  <c r="AD78" i="4"/>
  <c r="AB78" i="4"/>
  <c r="V78" i="4"/>
  <c r="U78" i="4"/>
  <c r="D78" i="4"/>
  <c r="AN77" i="4"/>
  <c r="AM77" i="4"/>
  <c r="AL77" i="4"/>
  <c r="AK77" i="4"/>
  <c r="AJ77" i="4"/>
  <c r="AI77" i="4"/>
  <c r="AH77" i="4"/>
  <c r="AG77" i="4"/>
  <c r="AF77" i="4"/>
  <c r="AE77" i="4"/>
  <c r="AD77" i="4"/>
  <c r="V77" i="4"/>
  <c r="U77" i="4"/>
  <c r="D77" i="4"/>
  <c r="AN76" i="4"/>
  <c r="AM76" i="4"/>
  <c r="AL76" i="4"/>
  <c r="AK76" i="4"/>
  <c r="AJ76" i="4"/>
  <c r="AI76" i="4"/>
  <c r="AH76" i="4"/>
  <c r="AG76" i="4"/>
  <c r="AF76" i="4"/>
  <c r="AE76" i="4"/>
  <c r="AD76" i="4"/>
  <c r="V76" i="4"/>
  <c r="U76" i="4"/>
  <c r="D76" i="4"/>
  <c r="AN75" i="4"/>
  <c r="AM75" i="4"/>
  <c r="AL75" i="4"/>
  <c r="AK75" i="4"/>
  <c r="AJ75" i="4"/>
  <c r="AI75" i="4"/>
  <c r="AH75" i="4"/>
  <c r="AG75" i="4"/>
  <c r="AF75" i="4"/>
  <c r="AE75" i="4"/>
  <c r="AD75" i="4"/>
  <c r="V75" i="4"/>
  <c r="U75" i="4"/>
  <c r="M75" i="4"/>
  <c r="D75" i="4"/>
  <c r="AN74" i="4"/>
  <c r="AM74" i="4"/>
  <c r="AL74" i="4"/>
  <c r="AK74" i="4"/>
  <c r="AJ74" i="4"/>
  <c r="AI74" i="4"/>
  <c r="AH74" i="4"/>
  <c r="AG74" i="4"/>
  <c r="AF74" i="4"/>
  <c r="AE74" i="4"/>
  <c r="AD74" i="4"/>
  <c r="V74" i="4"/>
  <c r="U74" i="4"/>
  <c r="D74" i="4"/>
  <c r="AN73" i="4"/>
  <c r="AM73" i="4"/>
  <c r="AL73" i="4"/>
  <c r="AK73" i="4"/>
  <c r="AJ73" i="4"/>
  <c r="AI73" i="4"/>
  <c r="AH73" i="4"/>
  <c r="AG73" i="4"/>
  <c r="AF73" i="4"/>
  <c r="AE73" i="4"/>
  <c r="AD73" i="4"/>
  <c r="V73" i="4"/>
  <c r="U73" i="4"/>
  <c r="D73" i="4"/>
  <c r="AN72" i="4"/>
  <c r="AM72" i="4"/>
  <c r="AL72" i="4"/>
  <c r="AK72" i="4"/>
  <c r="AJ72" i="4"/>
  <c r="AI72" i="4"/>
  <c r="AH72" i="4"/>
  <c r="AG72" i="4"/>
  <c r="AF72" i="4"/>
  <c r="AE72" i="4"/>
  <c r="AD72" i="4"/>
  <c r="V72" i="4"/>
  <c r="U72" i="4"/>
  <c r="D72" i="4"/>
  <c r="AN71" i="4"/>
  <c r="AM71" i="4"/>
  <c r="AL71" i="4"/>
  <c r="AK71" i="4"/>
  <c r="AJ71" i="4"/>
  <c r="AI71" i="4"/>
  <c r="AH71" i="4"/>
  <c r="AG71" i="4"/>
  <c r="AF71" i="4"/>
  <c r="AE71" i="4"/>
  <c r="AD71" i="4"/>
  <c r="V71" i="4"/>
  <c r="U71" i="4"/>
  <c r="D71" i="4"/>
  <c r="AN70" i="4"/>
  <c r="AM70" i="4"/>
  <c r="AL70" i="4"/>
  <c r="AK70" i="4"/>
  <c r="AJ70" i="4"/>
  <c r="AI70" i="4"/>
  <c r="AH70" i="4"/>
  <c r="AG70" i="4"/>
  <c r="AF70" i="4"/>
  <c r="AE70" i="4"/>
  <c r="AD70" i="4"/>
  <c r="V70" i="4"/>
  <c r="U70" i="4"/>
  <c r="D70" i="4"/>
  <c r="AN69" i="4"/>
  <c r="AM69" i="4"/>
  <c r="AL69" i="4"/>
  <c r="AK69" i="4"/>
  <c r="AJ69" i="4"/>
  <c r="AI69" i="4"/>
  <c r="AH69" i="4"/>
  <c r="AG69" i="4"/>
  <c r="AF69" i="4"/>
  <c r="AE69" i="4"/>
  <c r="AD69" i="4"/>
  <c r="V69" i="4"/>
  <c r="U69" i="4"/>
  <c r="D69" i="4"/>
  <c r="AN68" i="4"/>
  <c r="AM68" i="4"/>
  <c r="AL68" i="4"/>
  <c r="AK68" i="4"/>
  <c r="AJ68" i="4"/>
  <c r="AI68" i="4"/>
  <c r="AH68" i="4"/>
  <c r="AG68" i="4"/>
  <c r="AF68" i="4"/>
  <c r="AE68" i="4"/>
  <c r="AD68" i="4"/>
  <c r="V68" i="4"/>
  <c r="U68" i="4"/>
  <c r="D68" i="4"/>
  <c r="AN67" i="4"/>
  <c r="AM67" i="4"/>
  <c r="AL67" i="4"/>
  <c r="AK67" i="4"/>
  <c r="AJ67" i="4"/>
  <c r="AI67" i="4"/>
  <c r="AH67" i="4"/>
  <c r="AG67" i="4"/>
  <c r="AF67" i="4"/>
  <c r="AE67" i="4"/>
  <c r="AD67" i="4"/>
  <c r="V67" i="4"/>
  <c r="U67" i="4"/>
  <c r="D67" i="4"/>
  <c r="AN66" i="4"/>
  <c r="AM66" i="4"/>
  <c r="AL66" i="4"/>
  <c r="AK66" i="4"/>
  <c r="AJ66" i="4"/>
  <c r="AI66" i="4"/>
  <c r="AH66" i="4"/>
  <c r="AG66" i="4"/>
  <c r="AF66" i="4"/>
  <c r="AE66" i="4"/>
  <c r="AD66" i="4"/>
  <c r="V66" i="4"/>
  <c r="U66" i="4"/>
  <c r="D66" i="4"/>
  <c r="AN65" i="4"/>
  <c r="AM65" i="4"/>
  <c r="AL65" i="4"/>
  <c r="AK65" i="4"/>
  <c r="AJ65" i="4"/>
  <c r="AI65" i="4"/>
  <c r="AH65" i="4"/>
  <c r="AG65" i="4"/>
  <c r="AF65" i="4"/>
  <c r="AE65" i="4"/>
  <c r="AD65" i="4"/>
  <c r="V65" i="4"/>
  <c r="U65" i="4"/>
  <c r="D65" i="4"/>
  <c r="AN64" i="4"/>
  <c r="AM64" i="4"/>
  <c r="AL64" i="4"/>
  <c r="AK64" i="4"/>
  <c r="AJ64" i="4"/>
  <c r="AI64" i="4"/>
  <c r="AH64" i="4"/>
  <c r="AG64" i="4"/>
  <c r="AF64" i="4"/>
  <c r="AE64" i="4"/>
  <c r="AD64" i="4"/>
  <c r="V64" i="4"/>
  <c r="U64" i="4"/>
  <c r="D64" i="4"/>
  <c r="AN63" i="4"/>
  <c r="AM63" i="4"/>
  <c r="AL63" i="4"/>
  <c r="AK63" i="4"/>
  <c r="AJ63" i="4"/>
  <c r="AI63" i="4"/>
  <c r="AH63" i="4"/>
  <c r="AG63" i="4"/>
  <c r="AF63" i="4"/>
  <c r="AE63" i="4"/>
  <c r="AD63" i="4"/>
  <c r="V63" i="4"/>
  <c r="U63" i="4"/>
  <c r="D63" i="4"/>
  <c r="AN62" i="4"/>
  <c r="AM62" i="4"/>
  <c r="AL62" i="4"/>
  <c r="AK62" i="4"/>
  <c r="AJ62" i="4"/>
  <c r="AI62" i="4"/>
  <c r="AH62" i="4"/>
  <c r="AG62" i="4"/>
  <c r="AF62" i="4"/>
  <c r="AE62" i="4"/>
  <c r="AD62" i="4"/>
  <c r="V62" i="4"/>
  <c r="U62" i="4"/>
  <c r="D62" i="4"/>
  <c r="AN61" i="4"/>
  <c r="AM61" i="4"/>
  <c r="AL61" i="4"/>
  <c r="AK61" i="4"/>
  <c r="AJ61" i="4"/>
  <c r="AI61" i="4"/>
  <c r="AH61" i="4"/>
  <c r="AG61" i="4"/>
  <c r="AF61" i="4"/>
  <c r="AE61" i="4"/>
  <c r="AD61" i="4"/>
  <c r="V61" i="4"/>
  <c r="U61" i="4"/>
  <c r="D61" i="4"/>
  <c r="AN60" i="4"/>
  <c r="AM60" i="4"/>
  <c r="AL60" i="4"/>
  <c r="AK60" i="4"/>
  <c r="AJ60" i="4"/>
  <c r="AI60" i="4"/>
  <c r="AH60" i="4"/>
  <c r="AG60" i="4"/>
  <c r="AF60" i="4"/>
  <c r="AE60" i="4"/>
  <c r="AD60" i="4"/>
  <c r="V60" i="4"/>
  <c r="U60" i="4"/>
  <c r="D60" i="4"/>
  <c r="AN59" i="4"/>
  <c r="AM59" i="4"/>
  <c r="AL59" i="4"/>
  <c r="AK59" i="4"/>
  <c r="AJ59" i="4"/>
  <c r="AI59" i="4"/>
  <c r="AH59" i="4"/>
  <c r="AG59" i="4"/>
  <c r="AF59" i="4"/>
  <c r="AE59" i="4"/>
  <c r="AD59" i="4"/>
  <c r="V59" i="4"/>
  <c r="U59" i="4"/>
  <c r="D59" i="4"/>
  <c r="AN58" i="4"/>
  <c r="AM58" i="4"/>
  <c r="AL58" i="4"/>
  <c r="AK58" i="4"/>
  <c r="AJ58" i="4"/>
  <c r="AI58" i="4"/>
  <c r="AH58" i="4"/>
  <c r="AG58" i="4"/>
  <c r="AF58" i="4"/>
  <c r="AE58" i="4"/>
  <c r="AD58" i="4"/>
  <c r="V58" i="4"/>
  <c r="U58" i="4"/>
  <c r="D58" i="4"/>
  <c r="AN57" i="4"/>
  <c r="AM57" i="4"/>
  <c r="AL57" i="4"/>
  <c r="AK57" i="4"/>
  <c r="AJ57" i="4"/>
  <c r="AI57" i="4"/>
  <c r="AH57" i="4"/>
  <c r="AG57" i="4"/>
  <c r="AF57" i="4"/>
  <c r="AE57" i="4"/>
  <c r="AD57" i="4"/>
  <c r="V57" i="4"/>
  <c r="U57" i="4"/>
  <c r="D57" i="4"/>
  <c r="AN56" i="4"/>
  <c r="AM56" i="4"/>
  <c r="AL56" i="4"/>
  <c r="AK56" i="4"/>
  <c r="AJ56" i="4"/>
  <c r="AI56" i="4"/>
  <c r="AH56" i="4"/>
  <c r="AG56" i="4"/>
  <c r="AF56" i="4"/>
  <c r="AE56" i="4"/>
  <c r="AD56" i="4"/>
  <c r="V56" i="4"/>
  <c r="U56" i="4"/>
  <c r="D56" i="4"/>
  <c r="AN55" i="4"/>
  <c r="AM55" i="4"/>
  <c r="AL55" i="4"/>
  <c r="AK55" i="4"/>
  <c r="AJ55" i="4"/>
  <c r="AI55" i="4"/>
  <c r="AH55" i="4"/>
  <c r="AG55" i="4"/>
  <c r="AF55" i="4"/>
  <c r="AE55" i="4"/>
  <c r="AD55" i="4"/>
  <c r="V55" i="4"/>
  <c r="U55" i="4"/>
  <c r="D55" i="4"/>
  <c r="AN54" i="4"/>
  <c r="AM54" i="4"/>
  <c r="AL54" i="4"/>
  <c r="AK54" i="4"/>
  <c r="AJ54" i="4"/>
  <c r="AI54" i="4"/>
  <c r="AH54" i="4"/>
  <c r="AG54" i="4"/>
  <c r="AF54" i="4"/>
  <c r="AE54" i="4"/>
  <c r="AD54" i="4"/>
  <c r="V54" i="4"/>
  <c r="U54" i="4"/>
  <c r="D54" i="4"/>
  <c r="AN53" i="4"/>
  <c r="AM53" i="4"/>
  <c r="AL53" i="4"/>
  <c r="AK53" i="4"/>
  <c r="AJ53" i="4"/>
  <c r="AI53" i="4"/>
  <c r="AH53" i="4"/>
  <c r="AG53" i="4"/>
  <c r="AF53" i="4"/>
  <c r="AE53" i="4"/>
  <c r="AD53" i="4"/>
  <c r="V53" i="4"/>
  <c r="U53" i="4"/>
  <c r="D53" i="4"/>
  <c r="AN52" i="4"/>
  <c r="AM52" i="4"/>
  <c r="AL52" i="4"/>
  <c r="AK52" i="4"/>
  <c r="AJ52" i="4"/>
  <c r="AI52" i="4"/>
  <c r="AH52" i="4"/>
  <c r="AG52" i="4"/>
  <c r="AF52" i="4"/>
  <c r="AE52" i="4"/>
  <c r="AD52" i="4"/>
  <c r="V52" i="4"/>
  <c r="U52" i="4"/>
  <c r="M52" i="4"/>
  <c r="D52" i="4"/>
  <c r="AN51" i="4"/>
  <c r="AM51" i="4"/>
  <c r="AL51" i="4"/>
  <c r="AK51" i="4"/>
  <c r="AJ51" i="4"/>
  <c r="AI51" i="4"/>
  <c r="AH51" i="4"/>
  <c r="AG51" i="4"/>
  <c r="AF51" i="4"/>
  <c r="AE51" i="4"/>
  <c r="AD51" i="4"/>
  <c r="V51" i="4"/>
  <c r="U51" i="4"/>
  <c r="D51" i="4"/>
  <c r="AN50" i="4"/>
  <c r="AM50" i="4"/>
  <c r="AL50" i="4"/>
  <c r="AK50" i="4"/>
  <c r="AJ50" i="4"/>
  <c r="AI50" i="4"/>
  <c r="AH50" i="4"/>
  <c r="AG50" i="4"/>
  <c r="AF50" i="4"/>
  <c r="AE50" i="4"/>
  <c r="AD50" i="4"/>
  <c r="V50" i="4"/>
  <c r="U50" i="4"/>
  <c r="D50" i="4"/>
  <c r="AN49" i="4"/>
  <c r="AM49" i="4"/>
  <c r="AL49" i="4"/>
  <c r="AK49" i="4"/>
  <c r="AJ49" i="4"/>
  <c r="AI49" i="4"/>
  <c r="AH49" i="4"/>
  <c r="AG49" i="4"/>
  <c r="AF49" i="4"/>
  <c r="AE49" i="4"/>
  <c r="AD49" i="4"/>
  <c r="V49" i="4"/>
  <c r="U49" i="4"/>
  <c r="D49" i="4"/>
  <c r="AN48" i="4"/>
  <c r="AM48" i="4"/>
  <c r="AL48" i="4"/>
  <c r="AK48" i="4"/>
  <c r="AJ48" i="4"/>
  <c r="AI48" i="4"/>
  <c r="AH48" i="4"/>
  <c r="AG48" i="4"/>
  <c r="AF48" i="4"/>
  <c r="AE48" i="4"/>
  <c r="AD48" i="4"/>
  <c r="V48" i="4"/>
  <c r="U48" i="4"/>
  <c r="D48" i="4"/>
  <c r="AN47" i="4"/>
  <c r="AM47" i="4"/>
  <c r="AL47" i="4"/>
  <c r="AK47" i="4"/>
  <c r="AJ47" i="4"/>
  <c r="AI47" i="4"/>
  <c r="AH47" i="4"/>
  <c r="AG47" i="4"/>
  <c r="AF47" i="4"/>
  <c r="AE47" i="4"/>
  <c r="AD47" i="4"/>
  <c r="V47" i="4"/>
  <c r="U47" i="4"/>
  <c r="D47" i="4"/>
  <c r="AN46" i="4"/>
  <c r="AM46" i="4"/>
  <c r="AL46" i="4"/>
  <c r="AK46" i="4"/>
  <c r="AJ46" i="4"/>
  <c r="AI46" i="4"/>
  <c r="AH46" i="4"/>
  <c r="AG46" i="4"/>
  <c r="AF46" i="4"/>
  <c r="AE46" i="4"/>
  <c r="AD46" i="4"/>
  <c r="V46" i="4"/>
  <c r="U46" i="4"/>
  <c r="D46" i="4"/>
  <c r="AN45" i="4"/>
  <c r="AM45" i="4"/>
  <c r="AL45" i="4"/>
  <c r="AK45" i="4"/>
  <c r="AJ45" i="4"/>
  <c r="AI45" i="4"/>
  <c r="AH45" i="4"/>
  <c r="AG45" i="4"/>
  <c r="AF45" i="4"/>
  <c r="AE45" i="4"/>
  <c r="AD45" i="4"/>
  <c r="V45" i="4"/>
  <c r="U45" i="4"/>
  <c r="D45" i="4"/>
  <c r="AN44" i="4"/>
  <c r="AM44" i="4"/>
  <c r="AL44" i="4"/>
  <c r="AK44" i="4"/>
  <c r="AJ44" i="4"/>
  <c r="AI44" i="4"/>
  <c r="AH44" i="4"/>
  <c r="AG44" i="4"/>
  <c r="AF44" i="4"/>
  <c r="AE44" i="4"/>
  <c r="AD44" i="4"/>
  <c r="AB44" i="4"/>
  <c r="V44" i="4"/>
  <c r="U44" i="4"/>
  <c r="D44" i="4"/>
  <c r="AN43" i="4"/>
  <c r="AM43" i="4"/>
  <c r="AL43" i="4"/>
  <c r="AK43" i="4"/>
  <c r="AJ43" i="4"/>
  <c r="AI43" i="4"/>
  <c r="AH43" i="4"/>
  <c r="AG43" i="4"/>
  <c r="AF43" i="4"/>
  <c r="AE43" i="4"/>
  <c r="AD43" i="4"/>
  <c r="V43" i="4"/>
  <c r="U43" i="4"/>
  <c r="D43" i="4"/>
  <c r="AN42" i="4"/>
  <c r="AM42" i="4"/>
  <c r="AL42" i="4"/>
  <c r="AK42" i="4"/>
  <c r="AJ42" i="4"/>
  <c r="AI42" i="4"/>
  <c r="AH42" i="4"/>
  <c r="AG42" i="4"/>
  <c r="AF42" i="4"/>
  <c r="AE42" i="4"/>
  <c r="AD42" i="4"/>
  <c r="V42" i="4"/>
  <c r="U42" i="4"/>
  <c r="D42" i="4"/>
  <c r="AN41" i="4"/>
  <c r="AM41" i="4"/>
  <c r="AL41" i="4"/>
  <c r="AK41" i="4"/>
  <c r="AJ41" i="4"/>
  <c r="AI41" i="4"/>
  <c r="AH41" i="4"/>
  <c r="AG41" i="4"/>
  <c r="AF41" i="4"/>
  <c r="AE41" i="4"/>
  <c r="AD41" i="4"/>
  <c r="V41" i="4"/>
  <c r="U41" i="4"/>
  <c r="D41" i="4"/>
  <c r="AN40" i="4"/>
  <c r="AM40" i="4"/>
  <c r="AL40" i="4"/>
  <c r="AK40" i="4"/>
  <c r="AJ40" i="4"/>
  <c r="AI40" i="4"/>
  <c r="AH40" i="4"/>
  <c r="AG40" i="4"/>
  <c r="AF40" i="4"/>
  <c r="AE40" i="4"/>
  <c r="AD40" i="4"/>
  <c r="V40" i="4"/>
  <c r="U40" i="4"/>
  <c r="D40" i="4"/>
  <c r="AN39" i="4"/>
  <c r="AM39" i="4"/>
  <c r="AL39" i="4"/>
  <c r="AK39" i="4"/>
  <c r="AJ39" i="4"/>
  <c r="AI39" i="4"/>
  <c r="AH39" i="4"/>
  <c r="AG39" i="4"/>
  <c r="AF39" i="4"/>
  <c r="AE39" i="4"/>
  <c r="AD39" i="4"/>
  <c r="V39" i="4"/>
  <c r="U39" i="4"/>
  <c r="D39" i="4"/>
  <c r="AN38" i="4"/>
  <c r="AM38" i="4"/>
  <c r="AL38" i="4"/>
  <c r="AK38" i="4"/>
  <c r="AJ38" i="4"/>
  <c r="AI38" i="4"/>
  <c r="AH38" i="4"/>
  <c r="AG38" i="4"/>
  <c r="AF38" i="4"/>
  <c r="AE38" i="4"/>
  <c r="AD38" i="4"/>
  <c r="V38" i="4"/>
  <c r="U38" i="4"/>
  <c r="D38" i="4"/>
  <c r="AN37" i="4"/>
  <c r="AM37" i="4"/>
  <c r="AL37" i="4"/>
  <c r="AK37" i="4"/>
  <c r="AJ37" i="4"/>
  <c r="AI37" i="4"/>
  <c r="AH37" i="4"/>
  <c r="AG37" i="4"/>
  <c r="AF37" i="4"/>
  <c r="AE37" i="4"/>
  <c r="AD37" i="4"/>
  <c r="V37" i="4"/>
  <c r="U37" i="4"/>
  <c r="D37" i="4"/>
  <c r="AN36" i="4"/>
  <c r="AM36" i="4"/>
  <c r="AL36" i="4"/>
  <c r="AK36" i="4"/>
  <c r="AJ36" i="4"/>
  <c r="AI36" i="4"/>
  <c r="AH36" i="4"/>
  <c r="AG36" i="4"/>
  <c r="AF36" i="4"/>
  <c r="AE36" i="4"/>
  <c r="AD36" i="4"/>
  <c r="V36" i="4"/>
  <c r="U36" i="4"/>
  <c r="D36" i="4"/>
  <c r="AN35" i="4"/>
  <c r="AM35" i="4"/>
  <c r="AL35" i="4"/>
  <c r="AK35" i="4"/>
  <c r="AJ35" i="4"/>
  <c r="AI35" i="4"/>
  <c r="AH35" i="4"/>
  <c r="AG35" i="4"/>
  <c r="AF35" i="4"/>
  <c r="AE35" i="4"/>
  <c r="AD35" i="4"/>
  <c r="V35" i="4"/>
  <c r="U35" i="4"/>
  <c r="D35" i="4"/>
  <c r="AN34" i="4"/>
  <c r="AM34" i="4"/>
  <c r="AL34" i="4"/>
  <c r="AK34" i="4"/>
  <c r="AJ34" i="4"/>
  <c r="AI34" i="4"/>
  <c r="AH34" i="4"/>
  <c r="AG34" i="4"/>
  <c r="AF34" i="4"/>
  <c r="AE34" i="4"/>
  <c r="AD34" i="4"/>
  <c r="V34" i="4"/>
  <c r="U34" i="4"/>
  <c r="D34" i="4"/>
  <c r="AN33" i="4"/>
  <c r="AM33" i="4"/>
  <c r="AL33" i="4"/>
  <c r="AK33" i="4"/>
  <c r="AJ33" i="4"/>
  <c r="AI33" i="4"/>
  <c r="AH33" i="4"/>
  <c r="AG33" i="4"/>
  <c r="AF33" i="4"/>
  <c r="AE33" i="4"/>
  <c r="AD33" i="4"/>
  <c r="V33" i="4"/>
  <c r="U33" i="4"/>
  <c r="D33" i="4"/>
  <c r="AN32" i="4"/>
  <c r="AM32" i="4"/>
  <c r="AL32" i="4"/>
  <c r="AK32" i="4"/>
  <c r="AJ32" i="4"/>
  <c r="AI32" i="4"/>
  <c r="AH32" i="4"/>
  <c r="AG32" i="4"/>
  <c r="AF32" i="4"/>
  <c r="AE32" i="4"/>
  <c r="AD32" i="4"/>
  <c r="V32" i="4"/>
  <c r="U32" i="4"/>
  <c r="D32" i="4"/>
  <c r="AN31" i="4"/>
  <c r="AM31" i="4"/>
  <c r="AL31" i="4"/>
  <c r="AK31" i="4"/>
  <c r="AJ31" i="4"/>
  <c r="AI31" i="4"/>
  <c r="AH31" i="4"/>
  <c r="AG31" i="4"/>
  <c r="AF31" i="4"/>
  <c r="AE31" i="4"/>
  <c r="AD31" i="4"/>
  <c r="AB31" i="4"/>
  <c r="V31" i="4"/>
  <c r="U31" i="4"/>
  <c r="D31" i="4"/>
  <c r="AN30" i="4"/>
  <c r="AM30" i="4"/>
  <c r="AL30" i="4"/>
  <c r="AK30" i="4"/>
  <c r="AJ30" i="4"/>
  <c r="AI30" i="4"/>
  <c r="AH30" i="4"/>
  <c r="AG30" i="4"/>
  <c r="AF30" i="4"/>
  <c r="AE30" i="4"/>
  <c r="AD30" i="4"/>
  <c r="V30" i="4"/>
  <c r="U30" i="4"/>
  <c r="D30" i="4"/>
  <c r="AN29" i="4"/>
  <c r="AM29" i="4"/>
  <c r="AL29" i="4"/>
  <c r="AK29" i="4"/>
  <c r="AJ29" i="4"/>
  <c r="AI29" i="4"/>
  <c r="AH29" i="4"/>
  <c r="AG29" i="4"/>
  <c r="AF29" i="4"/>
  <c r="AE29" i="4"/>
  <c r="AD29" i="4"/>
  <c r="V29" i="4"/>
  <c r="U29" i="4"/>
  <c r="D29" i="4"/>
  <c r="AN28" i="4"/>
  <c r="AM28" i="4"/>
  <c r="AL28" i="4"/>
  <c r="AK28" i="4"/>
  <c r="AJ28" i="4"/>
  <c r="AI28" i="4"/>
  <c r="AH28" i="4"/>
  <c r="AG28" i="4"/>
  <c r="AF28" i="4"/>
  <c r="AE28" i="4"/>
  <c r="AD28" i="4"/>
  <c r="V28" i="4"/>
  <c r="U28" i="4"/>
  <c r="O28" i="4"/>
  <c r="M28" i="4"/>
  <c r="D28" i="4"/>
  <c r="AN27" i="4"/>
  <c r="AM27" i="4"/>
  <c r="AL27" i="4"/>
  <c r="AK27" i="4"/>
  <c r="AJ27" i="4"/>
  <c r="AI27" i="4"/>
  <c r="AH27" i="4"/>
  <c r="AG27" i="4"/>
  <c r="AF27" i="4"/>
  <c r="AE27" i="4"/>
  <c r="AD27" i="4"/>
  <c r="V27" i="4"/>
  <c r="U27" i="4"/>
  <c r="D27" i="4"/>
  <c r="AN26" i="4"/>
  <c r="AM26" i="4"/>
  <c r="AL26" i="4"/>
  <c r="AK26" i="4"/>
  <c r="AJ26" i="4"/>
  <c r="AI26" i="4"/>
  <c r="AH26" i="4"/>
  <c r="AG26" i="4"/>
  <c r="AF26" i="4"/>
  <c r="AE26" i="4"/>
  <c r="AD26" i="4"/>
  <c r="V26" i="4"/>
  <c r="U26" i="4"/>
  <c r="D26" i="4"/>
  <c r="AN25" i="4"/>
  <c r="AM25" i="4"/>
  <c r="AL25" i="4"/>
  <c r="AK25" i="4"/>
  <c r="AJ25" i="4"/>
  <c r="AI25" i="4"/>
  <c r="AH25" i="4"/>
  <c r="AG25" i="4"/>
  <c r="AF25" i="4"/>
  <c r="AE25" i="4"/>
  <c r="AD25" i="4"/>
  <c r="V25" i="4"/>
  <c r="U25" i="4"/>
  <c r="D25" i="4"/>
  <c r="AN24" i="4"/>
  <c r="AM24" i="4"/>
  <c r="AL24" i="4"/>
  <c r="AK24" i="4"/>
  <c r="AJ24" i="4"/>
  <c r="AI24" i="4"/>
  <c r="AH24" i="4"/>
  <c r="AG24" i="4"/>
  <c r="AF24" i="4"/>
  <c r="AE24" i="4"/>
  <c r="AD24" i="4"/>
  <c r="V24" i="4"/>
  <c r="U24" i="4"/>
  <c r="D24" i="4"/>
  <c r="AN23" i="4"/>
  <c r="AM23" i="4"/>
  <c r="AL23" i="4"/>
  <c r="AK23" i="4"/>
  <c r="AJ23" i="4"/>
  <c r="AI23" i="4"/>
  <c r="AH23" i="4"/>
  <c r="AG23" i="4"/>
  <c r="AF23" i="4"/>
  <c r="AE23" i="4"/>
  <c r="AD23" i="4"/>
  <c r="V23" i="4"/>
  <c r="U23" i="4"/>
  <c r="D23" i="4"/>
  <c r="AN22" i="4"/>
  <c r="AM22" i="4"/>
  <c r="AL22" i="4"/>
  <c r="AK22" i="4"/>
  <c r="AJ22" i="4"/>
  <c r="AI22" i="4"/>
  <c r="AH22" i="4"/>
  <c r="AG22" i="4"/>
  <c r="AF22" i="4"/>
  <c r="AE22" i="4"/>
  <c r="AD22" i="4"/>
  <c r="V22" i="4"/>
  <c r="U22" i="4"/>
  <c r="D22" i="4"/>
  <c r="AN21" i="4"/>
  <c r="AM21" i="4"/>
  <c r="AL21" i="4"/>
  <c r="AK21" i="4"/>
  <c r="AJ21" i="4"/>
  <c r="AI21" i="4"/>
  <c r="AH21" i="4"/>
  <c r="AG21" i="4"/>
  <c r="AF21" i="4"/>
  <c r="AE21" i="4"/>
  <c r="AD21" i="4"/>
  <c r="V21" i="4"/>
  <c r="U21" i="4"/>
  <c r="D21" i="4"/>
  <c r="AN20" i="4"/>
  <c r="AM20" i="4"/>
  <c r="AL20" i="4"/>
  <c r="AK20" i="4"/>
  <c r="AJ20" i="4"/>
  <c r="AI20" i="4"/>
  <c r="AH20" i="4"/>
  <c r="AG20" i="4"/>
  <c r="AF20" i="4"/>
  <c r="AE20" i="4"/>
  <c r="AD20" i="4"/>
  <c r="V20" i="4"/>
  <c r="U20" i="4"/>
  <c r="D20" i="4"/>
  <c r="AN19" i="4"/>
  <c r="AM19" i="4"/>
  <c r="AL19" i="4"/>
  <c r="AK19" i="4"/>
  <c r="AJ19" i="4"/>
  <c r="AI19" i="4"/>
  <c r="AH19" i="4"/>
  <c r="AG19" i="4"/>
  <c r="AF19" i="4"/>
  <c r="AE19" i="4"/>
  <c r="AD19" i="4"/>
  <c r="V19" i="4"/>
  <c r="U19" i="4"/>
  <c r="D19" i="4"/>
  <c r="AN18" i="4"/>
  <c r="AM18" i="4"/>
  <c r="AL18" i="4"/>
  <c r="AK18" i="4"/>
  <c r="AJ18" i="4"/>
  <c r="AI18" i="4"/>
  <c r="AH18" i="4"/>
  <c r="AG18" i="4"/>
  <c r="AF18" i="4"/>
  <c r="AE18" i="4"/>
  <c r="AD18" i="4"/>
  <c r="V18" i="4"/>
  <c r="U18" i="4"/>
  <c r="D18" i="4"/>
  <c r="AN17" i="4"/>
  <c r="AM17" i="4"/>
  <c r="AL17" i="4"/>
  <c r="AK17" i="4"/>
  <c r="AJ17" i="4"/>
  <c r="AI17" i="4"/>
  <c r="AH17" i="4"/>
  <c r="AG17" i="4"/>
  <c r="AF17" i="4"/>
  <c r="AE17" i="4"/>
  <c r="AD17" i="4"/>
  <c r="V17" i="4"/>
  <c r="U17" i="4"/>
  <c r="D17" i="4"/>
  <c r="AN16" i="4"/>
  <c r="AM16" i="4"/>
  <c r="AL16" i="4"/>
  <c r="AK16" i="4"/>
  <c r="AJ16" i="4"/>
  <c r="AI16" i="4"/>
  <c r="AH16" i="4"/>
  <c r="AG16" i="4"/>
  <c r="AF16" i="4"/>
  <c r="AE16" i="4"/>
  <c r="AD16" i="4"/>
  <c r="V16" i="4"/>
  <c r="U16" i="4"/>
  <c r="D16" i="4"/>
  <c r="AN15" i="4"/>
  <c r="AM15" i="4"/>
  <c r="AL15" i="4"/>
  <c r="AK15" i="4"/>
  <c r="AJ15" i="4"/>
  <c r="AI15" i="4"/>
  <c r="AH15" i="4"/>
  <c r="AG15" i="4"/>
  <c r="AF15" i="4"/>
  <c r="AE15" i="4"/>
  <c r="AD15" i="4"/>
  <c r="V15" i="4"/>
  <c r="U15" i="4"/>
  <c r="D15" i="4"/>
  <c r="AN14" i="4"/>
  <c r="AM14" i="4"/>
  <c r="AL14" i="4"/>
  <c r="AK14" i="4"/>
  <c r="AJ14" i="4"/>
  <c r="AI14" i="4"/>
  <c r="AH14" i="4"/>
  <c r="AG14" i="4"/>
  <c r="AF14" i="4"/>
  <c r="AE14" i="4"/>
  <c r="AD14" i="4"/>
  <c r="V14" i="4"/>
  <c r="U14" i="4"/>
  <c r="D14" i="4"/>
  <c r="AN13" i="4"/>
  <c r="AM13" i="4"/>
  <c r="AL13" i="4"/>
  <c r="AK13" i="4"/>
  <c r="AJ13" i="4"/>
  <c r="AI13" i="4"/>
  <c r="AH13" i="4"/>
  <c r="AG13" i="4"/>
  <c r="AF13" i="4"/>
  <c r="AE13" i="4"/>
  <c r="AD13" i="4"/>
  <c r="V13" i="4"/>
  <c r="U13" i="4"/>
  <c r="D13" i="4"/>
  <c r="AN12" i="4"/>
  <c r="AM12" i="4"/>
  <c r="AL12" i="4"/>
  <c r="AK12" i="4"/>
  <c r="AJ12" i="4"/>
  <c r="AI12" i="4"/>
  <c r="AH12" i="4"/>
  <c r="AG12" i="4"/>
  <c r="AF12" i="4"/>
  <c r="AE12" i="4"/>
  <c r="AD12" i="4"/>
  <c r="V12" i="4"/>
  <c r="U12" i="4"/>
  <c r="D12" i="4"/>
  <c r="AN11" i="4"/>
  <c r="AM11" i="4"/>
  <c r="AL11" i="4"/>
  <c r="AK11" i="4"/>
  <c r="AJ11" i="4"/>
  <c r="AI11" i="4"/>
  <c r="AH11" i="4"/>
  <c r="AG11" i="4"/>
  <c r="AF11" i="4"/>
  <c r="AE11" i="4"/>
  <c r="AD11" i="4"/>
  <c r="V11" i="4"/>
  <c r="U11" i="4"/>
  <c r="D11" i="4"/>
  <c r="AN10" i="4"/>
  <c r="AM10" i="4"/>
  <c r="AL10" i="4"/>
  <c r="AK10" i="4"/>
  <c r="AJ10" i="4"/>
  <c r="AI10" i="4"/>
  <c r="AH10" i="4"/>
  <c r="AG10" i="4"/>
  <c r="AF10" i="4"/>
  <c r="AE10" i="4"/>
  <c r="AD10" i="4"/>
  <c r="V10" i="4"/>
  <c r="U10" i="4"/>
  <c r="D10" i="4"/>
  <c r="AN9" i="4"/>
  <c r="AM9" i="4"/>
  <c r="AL9" i="4"/>
  <c r="AK9" i="4"/>
  <c r="AJ9" i="4"/>
  <c r="AI9" i="4"/>
  <c r="AH9" i="4"/>
  <c r="AG9" i="4"/>
  <c r="AF9" i="4"/>
  <c r="AE9" i="4"/>
  <c r="AD9" i="4"/>
  <c r="V9" i="4"/>
  <c r="U9" i="4"/>
  <c r="D9" i="4"/>
  <c r="AN8" i="4"/>
  <c r="AM8" i="4"/>
  <c r="AL8" i="4"/>
  <c r="AK8" i="4"/>
  <c r="AJ8" i="4"/>
  <c r="AI8" i="4"/>
  <c r="AH8" i="4"/>
  <c r="AG8" i="4"/>
  <c r="AF8" i="4"/>
  <c r="AE8" i="4"/>
  <c r="AD8" i="4"/>
  <c r="V8" i="4"/>
  <c r="U8" i="4"/>
  <c r="D8" i="4"/>
  <c r="AN7" i="4"/>
  <c r="AM7" i="4"/>
  <c r="AL7" i="4"/>
  <c r="AK7" i="4"/>
  <c r="AJ7" i="4"/>
  <c r="AI7" i="4"/>
  <c r="AH7" i="4"/>
  <c r="AG7" i="4"/>
  <c r="AF7" i="4"/>
  <c r="AE7" i="4"/>
  <c r="AD7" i="4"/>
  <c r="V7" i="4"/>
  <c r="U7" i="4"/>
  <c r="D7" i="4"/>
  <c r="AN6" i="4"/>
  <c r="AM6" i="4"/>
  <c r="AL6" i="4"/>
  <c r="AK6" i="4"/>
  <c r="AJ6" i="4"/>
  <c r="AI6" i="4"/>
  <c r="AH6" i="4"/>
  <c r="AG6" i="4"/>
  <c r="AF6" i="4"/>
  <c r="AE6" i="4"/>
  <c r="AD6" i="4"/>
  <c r="Y6" i="4"/>
  <c r="X6" i="4"/>
  <c r="V6" i="4"/>
  <c r="U6" i="4"/>
  <c r="D6" i="4"/>
  <c r="AN5" i="4"/>
  <c r="AM5" i="4"/>
  <c r="AL5" i="4"/>
  <c r="AK5" i="4"/>
  <c r="AJ5" i="4"/>
  <c r="AI5" i="4"/>
  <c r="AH5" i="4"/>
  <c r="AG5" i="4"/>
  <c r="AF5" i="4"/>
  <c r="AE5" i="4"/>
  <c r="AD5" i="4"/>
  <c r="Y5" i="4"/>
  <c r="X5" i="4"/>
  <c r="V5" i="4"/>
  <c r="U5" i="4"/>
  <c r="Y4" i="4"/>
  <c r="X4" i="4"/>
  <c r="D4" i="4"/>
  <c r="AK3" i="4"/>
  <c r="Y3" i="4"/>
  <c r="X3" i="4"/>
  <c r="D3" i="4"/>
  <c r="AK2" i="4"/>
  <c r="Z2" i="4"/>
  <c r="Y2" i="4"/>
  <c r="X2" i="4"/>
  <c r="D2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B73" i="3"/>
  <c r="D73" i="3" s="1"/>
  <c r="E73" i="3" s="1"/>
  <c r="F73" i="3" s="1"/>
  <c r="B72" i="3"/>
  <c r="D72" i="3" s="1"/>
  <c r="E72" i="3" s="1"/>
  <c r="F72" i="3" s="1"/>
  <c r="B71" i="3"/>
  <c r="D71" i="3" s="1"/>
  <c r="E71" i="3" s="1"/>
  <c r="F71" i="3" s="1"/>
  <c r="B70" i="3"/>
  <c r="D70" i="3" s="1"/>
  <c r="E70" i="3" s="1"/>
  <c r="F70" i="3" s="1"/>
  <c r="B69" i="3"/>
  <c r="D69" i="3" s="1"/>
  <c r="E69" i="3" s="1"/>
  <c r="F69" i="3" s="1"/>
  <c r="B68" i="3"/>
  <c r="D68" i="3" s="1"/>
  <c r="E68" i="3" s="1"/>
  <c r="F68" i="3" s="1"/>
  <c r="B67" i="3"/>
  <c r="D67" i="3" s="1"/>
  <c r="E67" i="3" s="1"/>
  <c r="F67" i="3" s="1"/>
  <c r="E66" i="3"/>
  <c r="F66" i="3" s="1"/>
  <c r="B66" i="3"/>
  <c r="D66" i="3" s="1"/>
  <c r="B65" i="3"/>
  <c r="D65" i="3" s="1"/>
  <c r="E65" i="3" s="1"/>
  <c r="F65" i="3" s="1"/>
  <c r="B64" i="3"/>
  <c r="D64" i="3" s="1"/>
  <c r="E64" i="3" s="1"/>
  <c r="F64" i="3" s="1"/>
  <c r="B63" i="3"/>
  <c r="D63" i="3" s="1"/>
  <c r="E63" i="3" s="1"/>
  <c r="F63" i="3" s="1"/>
  <c r="B62" i="3"/>
  <c r="D62" i="3" s="1"/>
  <c r="E62" i="3" s="1"/>
  <c r="F62" i="3" s="1"/>
  <c r="B61" i="3"/>
  <c r="D61" i="3" s="1"/>
  <c r="E61" i="3" s="1"/>
  <c r="F61" i="3" s="1"/>
  <c r="B60" i="3"/>
  <c r="D60" i="3" s="1"/>
  <c r="E60" i="3" s="1"/>
  <c r="F60" i="3" s="1"/>
  <c r="B59" i="3"/>
  <c r="D59" i="3" s="1"/>
  <c r="E59" i="3" s="1"/>
  <c r="F59" i="3" s="1"/>
  <c r="B58" i="3"/>
  <c r="D58" i="3" s="1"/>
  <c r="E58" i="3" s="1"/>
  <c r="F58" i="3" s="1"/>
  <c r="B57" i="3"/>
  <c r="D57" i="3" s="1"/>
  <c r="E57" i="3" s="1"/>
  <c r="F57" i="3" s="1"/>
  <c r="B56" i="3"/>
  <c r="D56" i="3" s="1"/>
  <c r="E56" i="3" s="1"/>
  <c r="F56" i="3" s="1"/>
  <c r="B55" i="3"/>
  <c r="D55" i="3" s="1"/>
  <c r="E55" i="3" s="1"/>
  <c r="F55" i="3" s="1"/>
  <c r="E54" i="3"/>
  <c r="F54" i="3" s="1"/>
  <c r="B54" i="3"/>
  <c r="D54" i="3" s="1"/>
  <c r="D53" i="3"/>
  <c r="E53" i="3" s="1"/>
  <c r="F53" i="3" s="1"/>
  <c r="B53" i="3"/>
  <c r="B52" i="3"/>
  <c r="D52" i="3" s="1"/>
  <c r="E52" i="3" s="1"/>
  <c r="F52" i="3" s="1"/>
  <c r="B51" i="3"/>
  <c r="D51" i="3" s="1"/>
  <c r="E51" i="3" s="1"/>
  <c r="F51" i="3" s="1"/>
  <c r="B50" i="3"/>
  <c r="D50" i="3" s="1"/>
  <c r="E50" i="3" s="1"/>
  <c r="F50" i="3" s="1"/>
  <c r="D49" i="3"/>
  <c r="E49" i="3" s="1"/>
  <c r="F49" i="3" s="1"/>
  <c r="B49" i="3"/>
  <c r="B48" i="3"/>
  <c r="D48" i="3" s="1"/>
  <c r="E48" i="3" s="1"/>
  <c r="F48" i="3" s="1"/>
  <c r="B47" i="3"/>
  <c r="D47" i="3" s="1"/>
  <c r="E47" i="3" s="1"/>
  <c r="F47" i="3" s="1"/>
  <c r="B46" i="3"/>
  <c r="D46" i="3" s="1"/>
  <c r="E46" i="3" s="1"/>
  <c r="F46" i="3" s="1"/>
  <c r="B45" i="3"/>
  <c r="D45" i="3" s="1"/>
  <c r="E45" i="3" s="1"/>
  <c r="F45" i="3" s="1"/>
  <c r="B44" i="3"/>
  <c r="D44" i="3" s="1"/>
  <c r="E44" i="3" s="1"/>
  <c r="F44" i="3" s="1"/>
  <c r="B43" i="3"/>
  <c r="D43" i="3" s="1"/>
  <c r="E43" i="3" s="1"/>
  <c r="F43" i="3" s="1"/>
  <c r="F42" i="3"/>
  <c r="B42" i="3"/>
  <c r="D42" i="3" s="1"/>
  <c r="E42" i="3" s="1"/>
  <c r="B41" i="3"/>
  <c r="D41" i="3" s="1"/>
  <c r="E41" i="3" s="1"/>
  <c r="F41" i="3" s="1"/>
  <c r="B40" i="3"/>
  <c r="D40" i="3" s="1"/>
  <c r="E40" i="3" s="1"/>
  <c r="F40" i="3" s="1"/>
  <c r="E39" i="3"/>
  <c r="F39" i="3" s="1"/>
  <c r="B39" i="3"/>
  <c r="D39" i="3" s="1"/>
  <c r="B38" i="3"/>
  <c r="D38" i="3" s="1"/>
  <c r="E38" i="3" s="1"/>
  <c r="F38" i="3" s="1"/>
  <c r="D37" i="3"/>
  <c r="E37" i="3" s="1"/>
  <c r="F37" i="3" s="1"/>
  <c r="B37" i="3"/>
  <c r="D36" i="3"/>
  <c r="E36" i="3" s="1"/>
  <c r="F36" i="3" s="1"/>
  <c r="B36" i="3"/>
  <c r="B35" i="3"/>
  <c r="D35" i="3" s="1"/>
  <c r="E35" i="3" s="1"/>
  <c r="F35" i="3" s="1"/>
  <c r="B34" i="3"/>
  <c r="D34" i="3" s="1"/>
  <c r="E34" i="3" s="1"/>
  <c r="F34" i="3" s="1"/>
  <c r="B33" i="3"/>
  <c r="D33" i="3" s="1"/>
  <c r="E33" i="3" s="1"/>
  <c r="F33" i="3" s="1"/>
  <c r="B32" i="3"/>
  <c r="D32" i="3" s="1"/>
  <c r="E32" i="3" s="1"/>
  <c r="F32" i="3" s="1"/>
  <c r="B31" i="3"/>
  <c r="D31" i="3" s="1"/>
  <c r="E31" i="3" s="1"/>
  <c r="F31" i="3" s="1"/>
  <c r="B30" i="3"/>
  <c r="D30" i="3" s="1"/>
  <c r="E30" i="3" s="1"/>
  <c r="F30" i="3" s="1"/>
  <c r="B29" i="3"/>
  <c r="D29" i="3" s="1"/>
  <c r="E29" i="3" s="1"/>
  <c r="F29" i="3" s="1"/>
  <c r="B28" i="3"/>
  <c r="D28" i="3" s="1"/>
  <c r="E28" i="3" s="1"/>
  <c r="F28" i="3" s="1"/>
  <c r="B27" i="3"/>
  <c r="D27" i="3" s="1"/>
  <c r="E27" i="3" s="1"/>
  <c r="F27" i="3" s="1"/>
  <c r="B26" i="3"/>
  <c r="D26" i="3" s="1"/>
  <c r="E26" i="3" s="1"/>
  <c r="F26" i="3" s="1"/>
  <c r="B25" i="3"/>
  <c r="D25" i="3" s="1"/>
  <c r="E25" i="3" s="1"/>
  <c r="F25" i="3" s="1"/>
  <c r="D24" i="3"/>
  <c r="E24" i="3" s="1"/>
  <c r="F24" i="3" s="1"/>
  <c r="B24" i="3"/>
  <c r="B23" i="3"/>
  <c r="D23" i="3" s="1"/>
  <c r="E23" i="3" s="1"/>
  <c r="F23" i="3" s="1"/>
  <c r="B22" i="3"/>
  <c r="D22" i="3" s="1"/>
  <c r="E22" i="3" s="1"/>
  <c r="F22" i="3" s="1"/>
  <c r="D21" i="3"/>
  <c r="E21" i="3" s="1"/>
  <c r="F21" i="3" s="1"/>
  <c r="B21" i="3"/>
  <c r="B20" i="3"/>
  <c r="D20" i="3" s="1"/>
  <c r="E20" i="3" s="1"/>
  <c r="F20" i="3" s="1"/>
  <c r="B19" i="3"/>
  <c r="D19" i="3" s="1"/>
  <c r="E19" i="3" s="1"/>
  <c r="F19" i="3" s="1"/>
  <c r="B18" i="3"/>
  <c r="D18" i="3" s="1"/>
  <c r="E18" i="3" s="1"/>
  <c r="F18" i="3" s="1"/>
  <c r="B17" i="3"/>
  <c r="D17" i="3" s="1"/>
  <c r="E17" i="3" s="1"/>
  <c r="F17" i="3" s="1"/>
  <c r="B16" i="3"/>
  <c r="D16" i="3" s="1"/>
  <c r="E16" i="3" s="1"/>
  <c r="F16" i="3" s="1"/>
  <c r="B15" i="3"/>
  <c r="D15" i="3" s="1"/>
  <c r="E15" i="3" s="1"/>
  <c r="F15" i="3" s="1"/>
  <c r="B14" i="3"/>
  <c r="D14" i="3" s="1"/>
  <c r="E14" i="3" s="1"/>
  <c r="F14" i="3" s="1"/>
  <c r="B13" i="3"/>
  <c r="D13" i="3" s="1"/>
  <c r="E13" i="3" s="1"/>
  <c r="F13" i="3" s="1"/>
  <c r="B12" i="3"/>
  <c r="D12" i="3" s="1"/>
  <c r="E12" i="3" s="1"/>
  <c r="F12" i="3" s="1"/>
  <c r="B11" i="3"/>
  <c r="D11" i="3" s="1"/>
  <c r="E11" i="3" s="1"/>
  <c r="F11" i="3" s="1"/>
  <c r="B10" i="3"/>
  <c r="D10" i="3" s="1"/>
  <c r="E10" i="3" s="1"/>
  <c r="F10" i="3" s="1"/>
  <c r="B9" i="3"/>
  <c r="D9" i="3" s="1"/>
  <c r="E9" i="3" s="1"/>
  <c r="F9" i="3" s="1"/>
  <c r="B8" i="3"/>
  <c r="D8" i="3" s="1"/>
  <c r="E8" i="3" s="1"/>
  <c r="F8" i="3" s="1"/>
  <c r="B7" i="3"/>
  <c r="D7" i="3" s="1"/>
  <c r="E7" i="3" s="1"/>
  <c r="F7" i="3" s="1"/>
  <c r="B6" i="3"/>
  <c r="D6" i="3" s="1"/>
  <c r="E6" i="3" s="1"/>
  <c r="F6" i="3" s="1"/>
  <c r="B5" i="3"/>
  <c r="D5" i="3" s="1"/>
  <c r="E5" i="3" s="1"/>
  <c r="F5" i="3" s="1"/>
  <c r="B4" i="3"/>
  <c r="D4" i="3" s="1"/>
  <c r="E4" i="3" s="1"/>
  <c r="F4" i="3" s="1"/>
  <c r="B3" i="3"/>
  <c r="D3" i="3" s="1"/>
  <c r="E3" i="3" s="1"/>
  <c r="F3" i="3" s="1"/>
  <c r="B2" i="3"/>
  <c r="B15" i="2"/>
  <c r="F15" i="2" s="1"/>
  <c r="B14" i="2"/>
  <c r="F14" i="2" s="1"/>
  <c r="B13" i="2"/>
  <c r="F13" i="2" s="1"/>
  <c r="B12" i="2"/>
  <c r="F12" i="2" s="1"/>
  <c r="E11" i="2"/>
  <c r="D11" i="2"/>
  <c r="B11" i="2"/>
  <c r="F6" i="2"/>
  <c r="Z6" i="4" s="1"/>
  <c r="F3" i="2"/>
  <c r="F2" i="2"/>
  <c r="B14" i="1"/>
  <c r="B13" i="1"/>
  <c r="B12" i="1"/>
  <c r="B9" i="1"/>
  <c r="J100" i="6"/>
  <c r="I100" i="6"/>
  <c r="H100" i="6"/>
  <c r="C100" i="6"/>
  <c r="J99" i="6"/>
  <c r="I99" i="6"/>
  <c r="H99" i="6"/>
  <c r="C99" i="6"/>
  <c r="E99" i="6" s="1"/>
  <c r="F99" i="6" s="1"/>
  <c r="J98" i="6"/>
  <c r="I98" i="6"/>
  <c r="H98" i="6"/>
  <c r="C98" i="6"/>
  <c r="J97" i="6"/>
  <c r="I97" i="6"/>
  <c r="H97" i="6"/>
  <c r="C97" i="6"/>
  <c r="J96" i="6"/>
  <c r="I96" i="6"/>
  <c r="H96" i="6"/>
  <c r="C96" i="6"/>
  <c r="E96" i="6" s="1"/>
  <c r="F96" i="6" s="1"/>
  <c r="J95" i="6"/>
  <c r="I95" i="6"/>
  <c r="H95" i="6"/>
  <c r="C95" i="6"/>
  <c r="E95" i="6" s="1"/>
  <c r="F95" i="6" s="1"/>
  <c r="J94" i="6"/>
  <c r="I94" i="6"/>
  <c r="H94" i="6"/>
  <c r="C94" i="6"/>
  <c r="E94" i="6" s="1"/>
  <c r="J93" i="6"/>
  <c r="I93" i="6"/>
  <c r="H93" i="6"/>
  <c r="C93" i="6"/>
  <c r="J92" i="6"/>
  <c r="I92" i="6"/>
  <c r="H92" i="6"/>
  <c r="E92" i="6"/>
  <c r="F92" i="6" s="1"/>
  <c r="K92" i="6" s="1"/>
  <c r="C92" i="6"/>
  <c r="J91" i="6"/>
  <c r="I91" i="6"/>
  <c r="H91" i="6"/>
  <c r="C91" i="6"/>
  <c r="J90" i="6"/>
  <c r="I90" i="6"/>
  <c r="H90" i="6"/>
  <c r="C90" i="6"/>
  <c r="J89" i="6"/>
  <c r="I89" i="6"/>
  <c r="H89" i="6"/>
  <c r="C89" i="6"/>
  <c r="E89" i="6" s="1"/>
  <c r="F89" i="6" s="1"/>
  <c r="K89" i="6" s="1"/>
  <c r="J88" i="6"/>
  <c r="I88" i="6"/>
  <c r="H88" i="6"/>
  <c r="C88" i="6"/>
  <c r="J87" i="6"/>
  <c r="I87" i="6"/>
  <c r="H87" i="6"/>
  <c r="C87" i="6"/>
  <c r="E87" i="6" s="1"/>
  <c r="F87" i="6" s="1"/>
  <c r="J86" i="6"/>
  <c r="I86" i="6"/>
  <c r="H86" i="6"/>
  <c r="C86" i="6"/>
  <c r="J85" i="6"/>
  <c r="I85" i="6"/>
  <c r="H85" i="6"/>
  <c r="C85" i="6"/>
  <c r="E85" i="6" s="1"/>
  <c r="F85" i="6" s="1"/>
  <c r="J84" i="6"/>
  <c r="I84" i="6"/>
  <c r="H84" i="6"/>
  <c r="C84" i="6"/>
  <c r="E84" i="6" s="1"/>
  <c r="F84" i="6" s="1"/>
  <c r="J83" i="6"/>
  <c r="I83" i="6"/>
  <c r="H83" i="6"/>
  <c r="C83" i="6"/>
  <c r="E83" i="6" s="1"/>
  <c r="F83" i="6" s="1"/>
  <c r="J82" i="6"/>
  <c r="I82" i="6"/>
  <c r="H82" i="6"/>
  <c r="C82" i="6"/>
  <c r="E82" i="6" s="1"/>
  <c r="J81" i="6"/>
  <c r="I81" i="6"/>
  <c r="H81" i="6"/>
  <c r="C81" i="6"/>
  <c r="E81" i="6" s="1"/>
  <c r="F81" i="6" s="1"/>
  <c r="J80" i="6"/>
  <c r="I80" i="6"/>
  <c r="H80" i="6"/>
  <c r="E80" i="6"/>
  <c r="F80" i="6" s="1"/>
  <c r="C80" i="6"/>
  <c r="J79" i="6"/>
  <c r="I79" i="6"/>
  <c r="H79" i="6"/>
  <c r="C79" i="6"/>
  <c r="J78" i="6"/>
  <c r="I78" i="6"/>
  <c r="H78" i="6"/>
  <c r="C78" i="6"/>
  <c r="J77" i="6"/>
  <c r="I77" i="6"/>
  <c r="H77" i="6"/>
  <c r="C77" i="6"/>
  <c r="E77" i="6" s="1"/>
  <c r="F77" i="6" s="1"/>
  <c r="K77" i="6" s="1"/>
  <c r="J76" i="6"/>
  <c r="I76" i="6"/>
  <c r="H76" i="6"/>
  <c r="C76" i="6"/>
  <c r="J75" i="6"/>
  <c r="I75" i="6"/>
  <c r="H75" i="6"/>
  <c r="C75" i="6"/>
  <c r="E75" i="6" s="1"/>
  <c r="F75" i="6" s="1"/>
  <c r="J74" i="6"/>
  <c r="I74" i="6"/>
  <c r="H74" i="6"/>
  <c r="C74" i="6"/>
  <c r="J73" i="6"/>
  <c r="I73" i="6"/>
  <c r="H73" i="6"/>
  <c r="C73" i="6"/>
  <c r="J72" i="6"/>
  <c r="I72" i="6"/>
  <c r="H72" i="6"/>
  <c r="C72" i="6"/>
  <c r="E72" i="6" s="1"/>
  <c r="F72" i="6" s="1"/>
  <c r="J71" i="6"/>
  <c r="I71" i="6"/>
  <c r="H71" i="6"/>
  <c r="C71" i="6"/>
  <c r="E71" i="6" s="1"/>
  <c r="F71" i="6" s="1"/>
  <c r="J70" i="6"/>
  <c r="I70" i="6"/>
  <c r="H70" i="6"/>
  <c r="C70" i="6"/>
  <c r="E70" i="6" s="1"/>
  <c r="J69" i="6"/>
  <c r="I69" i="6"/>
  <c r="H69" i="6"/>
  <c r="C69" i="6"/>
  <c r="E69" i="6" s="1"/>
  <c r="F69" i="6" s="1"/>
  <c r="J68" i="6"/>
  <c r="I68" i="6"/>
  <c r="H68" i="6"/>
  <c r="C68" i="6"/>
  <c r="E68" i="6" s="1"/>
  <c r="F68" i="6" s="1"/>
  <c r="J67" i="6"/>
  <c r="I67" i="6"/>
  <c r="H67" i="6"/>
  <c r="C67" i="6"/>
  <c r="J66" i="6"/>
  <c r="I66" i="6"/>
  <c r="H66" i="6"/>
  <c r="C66" i="6"/>
  <c r="J65" i="6"/>
  <c r="I65" i="6"/>
  <c r="H65" i="6"/>
  <c r="E65" i="6"/>
  <c r="F65" i="6" s="1"/>
  <c r="K65" i="6" s="1"/>
  <c r="C65" i="6"/>
  <c r="J64" i="6"/>
  <c r="I64" i="6"/>
  <c r="H64" i="6"/>
  <c r="C64" i="6"/>
  <c r="J63" i="6"/>
  <c r="I63" i="6"/>
  <c r="H63" i="6"/>
  <c r="C63" i="6"/>
  <c r="E63" i="6" s="1"/>
  <c r="F63" i="6" s="1"/>
  <c r="J62" i="6"/>
  <c r="I62" i="6"/>
  <c r="H62" i="6"/>
  <c r="C62" i="6"/>
  <c r="J61" i="6"/>
  <c r="I61" i="6"/>
  <c r="H61" i="6"/>
  <c r="C61" i="6"/>
  <c r="J60" i="6"/>
  <c r="I60" i="6"/>
  <c r="H60" i="6"/>
  <c r="C60" i="6"/>
  <c r="E60" i="6" s="1"/>
  <c r="F60" i="6" s="1"/>
  <c r="J59" i="6"/>
  <c r="I59" i="6"/>
  <c r="H59" i="6"/>
  <c r="C59" i="6"/>
  <c r="E59" i="6" s="1"/>
  <c r="F59" i="6" s="1"/>
  <c r="J58" i="6"/>
  <c r="I58" i="6"/>
  <c r="H58" i="6"/>
  <c r="C58" i="6"/>
  <c r="E58" i="6" s="1"/>
  <c r="J57" i="6"/>
  <c r="I57" i="6"/>
  <c r="H57" i="6"/>
  <c r="C57" i="6"/>
  <c r="J56" i="6"/>
  <c r="I56" i="6"/>
  <c r="H56" i="6"/>
  <c r="C56" i="6"/>
  <c r="E56" i="6" s="1"/>
  <c r="F56" i="6" s="1"/>
  <c r="J55" i="6"/>
  <c r="I55" i="6"/>
  <c r="H55" i="6"/>
  <c r="C55" i="6"/>
  <c r="J54" i="6"/>
  <c r="I54" i="6"/>
  <c r="H54" i="6"/>
  <c r="C54" i="6"/>
  <c r="J53" i="6"/>
  <c r="I53" i="6"/>
  <c r="H53" i="6"/>
  <c r="C53" i="6"/>
  <c r="E53" i="6" s="1"/>
  <c r="F53" i="6" s="1"/>
  <c r="K53" i="6" s="1"/>
  <c r="J52" i="6"/>
  <c r="I52" i="6"/>
  <c r="H52" i="6"/>
  <c r="C52" i="6"/>
  <c r="J51" i="6"/>
  <c r="I51" i="6"/>
  <c r="H51" i="6"/>
  <c r="C51" i="6"/>
  <c r="E51" i="6" s="1"/>
  <c r="F51" i="6" s="1"/>
  <c r="J50" i="6"/>
  <c r="I50" i="6"/>
  <c r="H50" i="6"/>
  <c r="C50" i="6"/>
  <c r="J49" i="6"/>
  <c r="I49" i="6"/>
  <c r="H49" i="6"/>
  <c r="C49" i="6"/>
  <c r="E49" i="6" s="1"/>
  <c r="F49" i="6" s="1"/>
  <c r="J48" i="6"/>
  <c r="I48" i="6"/>
  <c r="H48" i="6"/>
  <c r="C48" i="6"/>
  <c r="E48" i="6" s="1"/>
  <c r="F48" i="6" s="1"/>
  <c r="J47" i="6"/>
  <c r="I47" i="6"/>
  <c r="H47" i="6"/>
  <c r="E47" i="6"/>
  <c r="F47" i="6" s="1"/>
  <c r="C47" i="6"/>
  <c r="J46" i="6"/>
  <c r="I46" i="6"/>
  <c r="H46" i="6"/>
  <c r="C46" i="6"/>
  <c r="E46" i="6" s="1"/>
  <c r="J45" i="6"/>
  <c r="I45" i="6"/>
  <c r="H45" i="6"/>
  <c r="C45" i="6"/>
  <c r="E45" i="6" s="1"/>
  <c r="F45" i="6" s="1"/>
  <c r="K45" i="6" s="1"/>
  <c r="J44" i="6"/>
  <c r="I44" i="6"/>
  <c r="H44" i="6"/>
  <c r="C44" i="6"/>
  <c r="E44" i="6" s="1"/>
  <c r="F44" i="6" s="1"/>
  <c r="K44" i="6" s="1"/>
  <c r="J43" i="6"/>
  <c r="I43" i="6"/>
  <c r="H43" i="6"/>
  <c r="C43" i="6"/>
  <c r="J42" i="6"/>
  <c r="I42" i="6"/>
  <c r="H42" i="6"/>
  <c r="C42" i="6"/>
  <c r="J41" i="6"/>
  <c r="I41" i="6"/>
  <c r="H41" i="6"/>
  <c r="C41" i="6"/>
  <c r="E41" i="6" s="1"/>
  <c r="F41" i="6" s="1"/>
  <c r="K41" i="6" s="1"/>
  <c r="J40" i="6"/>
  <c r="I40" i="6"/>
  <c r="H40" i="6"/>
  <c r="C40" i="6"/>
  <c r="J39" i="6"/>
  <c r="I39" i="6"/>
  <c r="H39" i="6"/>
  <c r="C39" i="6"/>
  <c r="E39" i="6" s="1"/>
  <c r="F39" i="6" s="1"/>
  <c r="J38" i="6"/>
  <c r="I38" i="6"/>
  <c r="H38" i="6"/>
  <c r="C38" i="6"/>
  <c r="J37" i="6"/>
  <c r="I37" i="6"/>
  <c r="H37" i="6"/>
  <c r="C37" i="6"/>
  <c r="E37" i="6" s="1"/>
  <c r="F37" i="6" s="1"/>
  <c r="J36" i="6"/>
  <c r="I36" i="6"/>
  <c r="H36" i="6"/>
  <c r="C36" i="6"/>
  <c r="J35" i="6"/>
  <c r="I35" i="6"/>
  <c r="H35" i="6"/>
  <c r="C35" i="6"/>
  <c r="E35" i="6" s="1"/>
  <c r="F35" i="6" s="1"/>
  <c r="J34" i="6"/>
  <c r="I34" i="6"/>
  <c r="H34" i="6"/>
  <c r="C34" i="6"/>
  <c r="E34" i="6" s="1"/>
  <c r="J33" i="6"/>
  <c r="I33" i="6"/>
  <c r="H33" i="6"/>
  <c r="C33" i="6"/>
  <c r="E33" i="6" s="1"/>
  <c r="J32" i="6"/>
  <c r="I32" i="6"/>
  <c r="H32" i="6"/>
  <c r="C32" i="6"/>
  <c r="E32" i="6" s="1"/>
  <c r="F32" i="6" s="1"/>
  <c r="K32" i="6" s="1"/>
  <c r="J31" i="6"/>
  <c r="I31" i="6"/>
  <c r="H31" i="6"/>
  <c r="C31" i="6"/>
  <c r="J30" i="6"/>
  <c r="I30" i="6"/>
  <c r="H30" i="6"/>
  <c r="C30" i="6"/>
  <c r="J29" i="6"/>
  <c r="I29" i="6"/>
  <c r="H29" i="6"/>
  <c r="C29" i="6"/>
  <c r="E29" i="6" s="1"/>
  <c r="F29" i="6" s="1"/>
  <c r="K29" i="6" s="1"/>
  <c r="J28" i="6"/>
  <c r="I28" i="6"/>
  <c r="H28" i="6"/>
  <c r="C28" i="6"/>
  <c r="J27" i="6"/>
  <c r="I27" i="6"/>
  <c r="H27" i="6"/>
  <c r="C27" i="6"/>
  <c r="E27" i="6" s="1"/>
  <c r="F27" i="6" s="1"/>
  <c r="J26" i="6"/>
  <c r="I26" i="6"/>
  <c r="H26" i="6"/>
  <c r="C26" i="6"/>
  <c r="J25" i="6"/>
  <c r="I25" i="6"/>
  <c r="H25" i="6"/>
  <c r="C25" i="6"/>
  <c r="E25" i="6" s="1"/>
  <c r="F25" i="6" s="1"/>
  <c r="J24" i="6"/>
  <c r="I24" i="6"/>
  <c r="H24" i="6"/>
  <c r="C24" i="6"/>
  <c r="E24" i="6" s="1"/>
  <c r="F24" i="6" s="1"/>
  <c r="J23" i="6"/>
  <c r="I23" i="6"/>
  <c r="H23" i="6"/>
  <c r="C23" i="6"/>
  <c r="E23" i="6" s="1"/>
  <c r="F23" i="6" s="1"/>
  <c r="J22" i="6"/>
  <c r="I22" i="6"/>
  <c r="H22" i="6"/>
  <c r="C22" i="6"/>
  <c r="E22" i="6" s="1"/>
  <c r="J21" i="6"/>
  <c r="I21" i="6"/>
  <c r="H21" i="6"/>
  <c r="C21" i="6"/>
  <c r="E21" i="6" s="1"/>
  <c r="J20" i="6"/>
  <c r="I20" i="6"/>
  <c r="H20" i="6"/>
  <c r="E20" i="6"/>
  <c r="F20" i="6" s="1"/>
  <c r="K20" i="6" s="1"/>
  <c r="C20" i="6"/>
  <c r="J19" i="6"/>
  <c r="I19" i="6"/>
  <c r="H19" i="6"/>
  <c r="C19" i="6"/>
  <c r="E19" i="6" s="1"/>
  <c r="F19" i="6" s="1"/>
  <c r="J18" i="6"/>
  <c r="I18" i="6"/>
  <c r="H18" i="6"/>
  <c r="C18" i="6"/>
  <c r="J17" i="6"/>
  <c r="I17" i="6"/>
  <c r="H17" i="6"/>
  <c r="E17" i="6"/>
  <c r="F17" i="6" s="1"/>
  <c r="K17" i="6" s="1"/>
  <c r="C17" i="6"/>
  <c r="J16" i="6"/>
  <c r="I16" i="6"/>
  <c r="H16" i="6"/>
  <c r="C16" i="6"/>
  <c r="J15" i="6"/>
  <c r="I15" i="6"/>
  <c r="H15" i="6"/>
  <c r="C15" i="6"/>
  <c r="E15" i="6" s="1"/>
  <c r="F15" i="6" s="1"/>
  <c r="J14" i="6"/>
  <c r="I14" i="6"/>
  <c r="H14" i="6"/>
  <c r="C14" i="6"/>
  <c r="J13" i="6"/>
  <c r="I13" i="6"/>
  <c r="H13" i="6"/>
  <c r="C13" i="6"/>
  <c r="E13" i="6" s="1"/>
  <c r="F13" i="6" s="1"/>
  <c r="J12" i="6"/>
  <c r="I12" i="6"/>
  <c r="H12" i="6"/>
  <c r="C12" i="6"/>
  <c r="E12" i="6" s="1"/>
  <c r="F12" i="6" s="1"/>
  <c r="J11" i="6"/>
  <c r="I11" i="6"/>
  <c r="H11" i="6"/>
  <c r="C11" i="6"/>
  <c r="E11" i="6" s="1"/>
  <c r="F11" i="6" s="1"/>
  <c r="J10" i="6"/>
  <c r="I10" i="6"/>
  <c r="H10" i="6"/>
  <c r="C10" i="6"/>
  <c r="E10" i="6" s="1"/>
  <c r="J9" i="6"/>
  <c r="I9" i="6"/>
  <c r="H9" i="6"/>
  <c r="E9" i="6"/>
  <c r="C9" i="6"/>
  <c r="J8" i="6"/>
  <c r="I8" i="6"/>
  <c r="H8" i="6"/>
  <c r="C8" i="6"/>
  <c r="E8" i="6" s="1"/>
  <c r="F8" i="6" s="1"/>
  <c r="K8" i="6" s="1"/>
  <c r="J7" i="6"/>
  <c r="I7" i="6"/>
  <c r="H7" i="6"/>
  <c r="C7" i="6"/>
  <c r="J6" i="6"/>
  <c r="I6" i="6"/>
  <c r="H6" i="6"/>
  <c r="C6" i="6"/>
  <c r="J5" i="6"/>
  <c r="I5" i="6"/>
  <c r="H5" i="6"/>
  <c r="C5" i="6"/>
  <c r="H4" i="6"/>
  <c r="C4" i="6"/>
  <c r="J3" i="6"/>
  <c r="I3" i="6"/>
  <c r="C3" i="6"/>
  <c r="J2" i="6"/>
  <c r="I2" i="6"/>
  <c r="C2" i="6"/>
  <c r="L133" i="4" l="1"/>
  <c r="J121" i="7"/>
  <c r="J150" i="7"/>
  <c r="J154" i="7"/>
  <c r="J23" i="8"/>
  <c r="I23" i="8"/>
  <c r="H23" i="8"/>
  <c r="G23" i="8"/>
  <c r="V23" i="8"/>
  <c r="W23" i="8" s="1"/>
  <c r="L23" i="4" s="1"/>
  <c r="T23" i="8"/>
  <c r="R23" i="8"/>
  <c r="N23" i="8"/>
  <c r="L23" i="8"/>
  <c r="M27" i="8"/>
  <c r="U29" i="8"/>
  <c r="K65" i="8"/>
  <c r="M65" i="4"/>
  <c r="T72" i="8"/>
  <c r="X131" i="8"/>
  <c r="F132" i="9"/>
  <c r="L131" i="8"/>
  <c r="J131" i="8"/>
  <c r="N131" i="8"/>
  <c r="M131" i="4" s="1"/>
  <c r="M131" i="8"/>
  <c r="I131" i="8"/>
  <c r="H131" i="8"/>
  <c r="V131" i="8"/>
  <c r="W131" i="8" s="1"/>
  <c r="L131" i="4" s="1"/>
  <c r="Q131" i="8"/>
  <c r="I181" i="8"/>
  <c r="G181" i="8"/>
  <c r="T87" i="10"/>
  <c r="Q87" i="10"/>
  <c r="P87" i="10"/>
  <c r="O87" i="10"/>
  <c r="V87" i="10"/>
  <c r="S87" i="10"/>
  <c r="E97" i="6"/>
  <c r="F97" i="6" s="1"/>
  <c r="M181" i="8"/>
  <c r="J11" i="8"/>
  <c r="K11" i="8" s="1"/>
  <c r="F23" i="8"/>
  <c r="W121" i="8"/>
  <c r="L121" i="4" s="1"/>
  <c r="Q128" i="8"/>
  <c r="N128" i="8"/>
  <c r="L128" i="8"/>
  <c r="E128" i="8"/>
  <c r="G171" i="8"/>
  <c r="D171" i="8"/>
  <c r="V171" i="8"/>
  <c r="W171" i="8" s="1"/>
  <c r="E36" i="6"/>
  <c r="F36" i="6" s="1"/>
  <c r="K36" i="6"/>
  <c r="E96" i="8"/>
  <c r="V96" i="8"/>
  <c r="N96" i="8"/>
  <c r="I96" i="8"/>
  <c r="G154" i="8"/>
  <c r="E154" i="8"/>
  <c r="C154" i="8"/>
  <c r="U195" i="8"/>
  <c r="I195" i="8"/>
  <c r="G195" i="8"/>
  <c r="V195" i="8"/>
  <c r="N195" i="8"/>
  <c r="J195" i="8"/>
  <c r="E195" i="8"/>
  <c r="D195" i="8"/>
  <c r="G41" i="7"/>
  <c r="J167" i="7"/>
  <c r="F39" i="8"/>
  <c r="R39" i="8"/>
  <c r="C195" i="8"/>
  <c r="J175" i="7"/>
  <c r="R33" i="8"/>
  <c r="T33" i="8"/>
  <c r="M33" i="8"/>
  <c r="D33" i="8"/>
  <c r="H39" i="8"/>
  <c r="Q30" i="10"/>
  <c r="T30" i="10"/>
  <c r="R30" i="10"/>
  <c r="P30" i="10"/>
  <c r="N30" i="10"/>
  <c r="W30" i="10"/>
  <c r="V30" i="10"/>
  <c r="U30" i="10"/>
  <c r="O30" i="10"/>
  <c r="R91" i="10"/>
  <c r="U91" i="10"/>
  <c r="S91" i="10"/>
  <c r="E27" i="8"/>
  <c r="M39" i="8"/>
  <c r="T145" i="10"/>
  <c r="V145" i="10"/>
  <c r="U145" i="10"/>
  <c r="R158" i="10"/>
  <c r="Q158" i="10"/>
  <c r="P158" i="10"/>
  <c r="N158" i="10"/>
  <c r="U158" i="10"/>
  <c r="S158" i="10"/>
  <c r="J198" i="7"/>
  <c r="Q86" i="8"/>
  <c r="N86" i="8"/>
  <c r="M86" i="8"/>
  <c r="C15" i="2"/>
  <c r="D15" i="2" s="1"/>
  <c r="J86" i="7"/>
  <c r="X23" i="8"/>
  <c r="J86" i="8"/>
  <c r="M86" i="4" s="1"/>
  <c r="M121" i="8"/>
  <c r="I171" i="8"/>
  <c r="C14" i="2"/>
  <c r="D14" i="2" s="1"/>
  <c r="E23" i="8"/>
  <c r="G142" i="8"/>
  <c r="D142" i="8"/>
  <c r="R142" i="8"/>
  <c r="S142" i="8" s="1"/>
  <c r="L24" i="8"/>
  <c r="J24" i="8"/>
  <c r="K24" i="8" s="1"/>
  <c r="I24" i="8"/>
  <c r="X24" i="8"/>
  <c r="R24" i="8"/>
  <c r="S24" i="8" s="1"/>
  <c r="M24" i="8"/>
  <c r="AB71" i="4"/>
  <c r="L86" i="8"/>
  <c r="V121" i="8"/>
  <c r="V139" i="8"/>
  <c r="W139" i="8" s="1"/>
  <c r="L139" i="4" s="1"/>
  <c r="M139" i="8"/>
  <c r="H139" i="8"/>
  <c r="J150" i="8"/>
  <c r="K150" i="8" s="1"/>
  <c r="G11" i="8"/>
  <c r="V11" i="8"/>
  <c r="U11" i="8"/>
  <c r="J192" i="7"/>
  <c r="G192" i="7"/>
  <c r="C24" i="8"/>
  <c r="I184" i="8"/>
  <c r="F184" i="8"/>
  <c r="R184" i="8"/>
  <c r="S184" i="8" s="1"/>
  <c r="Q184" i="8"/>
  <c r="M184" i="8"/>
  <c r="J184" i="8"/>
  <c r="K184" i="8" s="1"/>
  <c r="K80" i="6"/>
  <c r="H72" i="8"/>
  <c r="G72" i="8"/>
  <c r="B72" i="8"/>
  <c r="P72" i="8"/>
  <c r="N72" i="8"/>
  <c r="O72" i="8" s="1"/>
  <c r="M72" i="8"/>
  <c r="L72" i="8"/>
  <c r="J72" i="8"/>
  <c r="M72" i="4" s="1"/>
  <c r="C77" i="9"/>
  <c r="I76" i="8"/>
  <c r="AB131" i="4"/>
  <c r="U24" i="10"/>
  <c r="N24" i="10"/>
  <c r="W24" i="10"/>
  <c r="R24" i="10"/>
  <c r="O24" i="10"/>
  <c r="I167" i="7"/>
  <c r="J65" i="7"/>
  <c r="N20" i="8"/>
  <c r="O20" i="4" s="1"/>
  <c r="L20" i="8"/>
  <c r="I20" i="8"/>
  <c r="R20" i="8"/>
  <c r="E24" i="8"/>
  <c r="AB24" i="4" s="1"/>
  <c r="C184" i="8"/>
  <c r="N44" i="10"/>
  <c r="P44" i="10"/>
  <c r="P167" i="10"/>
  <c r="V167" i="10"/>
  <c r="S167" i="10"/>
  <c r="Q167" i="10"/>
  <c r="O167" i="10"/>
  <c r="W167" i="10"/>
  <c r="W187" i="10"/>
  <c r="T187" i="10"/>
  <c r="S187" i="10"/>
  <c r="J33" i="7"/>
  <c r="J119" i="7"/>
  <c r="P38" i="8"/>
  <c r="X64" i="8"/>
  <c r="C78" i="8"/>
  <c r="L78" i="8"/>
  <c r="L89" i="8"/>
  <c r="Q100" i="8"/>
  <c r="N118" i="8"/>
  <c r="C118" i="8"/>
  <c r="J182" i="8"/>
  <c r="T189" i="8"/>
  <c r="R189" i="8"/>
  <c r="F196" i="8"/>
  <c r="C196" i="8"/>
  <c r="R75" i="10"/>
  <c r="N75" i="10"/>
  <c r="W130" i="10"/>
  <c r="U130" i="10"/>
  <c r="N130" i="10"/>
  <c r="W173" i="10"/>
  <c r="Q173" i="10"/>
  <c r="Q38" i="8"/>
  <c r="T89" i="8"/>
  <c r="Q119" i="8"/>
  <c r="M119" i="8"/>
  <c r="H119" i="8"/>
  <c r="C165" i="8"/>
  <c r="D165" i="8"/>
  <c r="V170" i="8"/>
  <c r="I170" i="8"/>
  <c r="G170" i="8"/>
  <c r="U182" i="8"/>
  <c r="V15" i="10"/>
  <c r="P15" i="10"/>
  <c r="U32" i="10"/>
  <c r="T32" i="10"/>
  <c r="S32" i="10"/>
  <c r="N32" i="10"/>
  <c r="P38" i="10"/>
  <c r="V38" i="10"/>
  <c r="R38" i="10"/>
  <c r="V42" i="10"/>
  <c r="U42" i="10"/>
  <c r="T42" i="10"/>
  <c r="N42" i="10"/>
  <c r="M57" i="11"/>
  <c r="O90" i="11"/>
  <c r="J43" i="7"/>
  <c r="J47" i="7"/>
  <c r="J131" i="7"/>
  <c r="J137" i="7"/>
  <c r="J164" i="7"/>
  <c r="J166" i="7"/>
  <c r="J184" i="7"/>
  <c r="J194" i="7"/>
  <c r="C5" i="8"/>
  <c r="C7" i="8"/>
  <c r="H10" i="8"/>
  <c r="C16" i="8"/>
  <c r="N21" i="8"/>
  <c r="T38" i="8"/>
  <c r="C47" i="8"/>
  <c r="D56" i="8"/>
  <c r="B64" i="8"/>
  <c r="C65" i="8"/>
  <c r="G78" i="8"/>
  <c r="D119" i="8"/>
  <c r="C141" i="8"/>
  <c r="B141" i="8"/>
  <c r="E170" i="8"/>
  <c r="AB170" i="4" s="1"/>
  <c r="N189" i="8"/>
  <c r="O189" i="4" s="1"/>
  <c r="N196" i="8"/>
  <c r="O196" i="4" s="1"/>
  <c r="S75" i="10"/>
  <c r="P166" i="10"/>
  <c r="N166" i="10"/>
  <c r="Q78" i="11"/>
  <c r="K78" i="11"/>
  <c r="Q236" i="11"/>
  <c r="O236" i="11"/>
  <c r="M78" i="4"/>
  <c r="M87" i="4"/>
  <c r="T100" i="8"/>
  <c r="U100" i="8"/>
  <c r="E100" i="8"/>
  <c r="W111" i="8"/>
  <c r="J111" i="8"/>
  <c r="I160" i="8"/>
  <c r="F160" i="8"/>
  <c r="J27" i="7"/>
  <c r="J85" i="7"/>
  <c r="J92" i="7"/>
  <c r="J99" i="7"/>
  <c r="J153" i="7"/>
  <c r="D32" i="8"/>
  <c r="V38" i="8"/>
  <c r="W38" i="8" s="1"/>
  <c r="AB64" i="4"/>
  <c r="K78" i="8"/>
  <c r="E83" i="8"/>
  <c r="I90" i="8"/>
  <c r="B100" i="8"/>
  <c r="E111" i="8"/>
  <c r="P126" i="8"/>
  <c r="P135" i="8"/>
  <c r="O135" i="8"/>
  <c r="D135" i="8"/>
  <c r="B135" i="8"/>
  <c r="D160" i="8"/>
  <c r="E197" i="8"/>
  <c r="D197" i="8"/>
  <c r="V197" i="8"/>
  <c r="V9" i="10"/>
  <c r="T9" i="10"/>
  <c r="S33" i="10"/>
  <c r="V33" i="10"/>
  <c r="P57" i="10"/>
  <c r="V57" i="10"/>
  <c r="R57" i="10"/>
  <c r="O57" i="10"/>
  <c r="P68" i="10"/>
  <c r="T68" i="10"/>
  <c r="S68" i="10"/>
  <c r="R68" i="10"/>
  <c r="S166" i="10"/>
  <c r="T170" i="10"/>
  <c r="U170" i="10"/>
  <c r="N170" i="10"/>
  <c r="M133" i="11"/>
  <c r="L133" i="11"/>
  <c r="K133" i="11"/>
  <c r="Q191" i="8"/>
  <c r="P191" i="8"/>
  <c r="E191" i="8"/>
  <c r="B191" i="8"/>
  <c r="N197" i="8"/>
  <c r="L101" i="9"/>
  <c r="U54" i="10"/>
  <c r="O54" i="10"/>
  <c r="T57" i="10"/>
  <c r="W68" i="10"/>
  <c r="L143" i="11"/>
  <c r="Q143" i="11"/>
  <c r="W89" i="8"/>
  <c r="C89" i="8"/>
  <c r="Q89" i="8"/>
  <c r="T182" i="8"/>
  <c r="G182" i="8"/>
  <c r="F182" i="8"/>
  <c r="F191" i="8"/>
  <c r="W18" i="10"/>
  <c r="S18" i="10"/>
  <c r="O18" i="10"/>
  <c r="N18" i="10"/>
  <c r="T104" i="10"/>
  <c r="P104" i="10"/>
  <c r="J18" i="7"/>
  <c r="J56" i="7"/>
  <c r="J62" i="7"/>
  <c r="J90" i="7"/>
  <c r="J114" i="7"/>
  <c r="J199" i="7"/>
  <c r="R4" i="8"/>
  <c r="S4" i="8" s="1"/>
  <c r="W5" i="8"/>
  <c r="V7" i="8"/>
  <c r="W7" i="8" s="1"/>
  <c r="R16" i="8"/>
  <c r="F38" i="8"/>
  <c r="X47" i="8"/>
  <c r="U53" i="8"/>
  <c r="M57" i="8"/>
  <c r="P64" i="8"/>
  <c r="V65" i="8"/>
  <c r="X78" i="8"/>
  <c r="U83" i="8"/>
  <c r="E89" i="8"/>
  <c r="AB89" i="4" s="1"/>
  <c r="AC89" i="4" s="1"/>
  <c r="X95" i="8"/>
  <c r="P95" i="8"/>
  <c r="C95" i="8"/>
  <c r="J100" i="8"/>
  <c r="V108" i="8"/>
  <c r="W108" i="8" s="1"/>
  <c r="L108" i="4" s="1"/>
  <c r="I112" i="8"/>
  <c r="N116" i="8"/>
  <c r="O116" i="8" s="1"/>
  <c r="G116" i="8"/>
  <c r="E116" i="8"/>
  <c r="T116" i="8"/>
  <c r="Q135" i="8"/>
  <c r="C182" i="8"/>
  <c r="H191" i="8"/>
  <c r="V54" i="10"/>
  <c r="R100" i="10"/>
  <c r="W100" i="10"/>
  <c r="V100" i="10"/>
  <c r="U100" i="10"/>
  <c r="S100" i="10"/>
  <c r="L83" i="11"/>
  <c r="P83" i="11"/>
  <c r="O83" i="11"/>
  <c r="N83" i="11"/>
  <c r="P129" i="11"/>
  <c r="K129" i="11"/>
  <c r="O138" i="11"/>
  <c r="Q138" i="11"/>
  <c r="N138" i="11"/>
  <c r="M138" i="11"/>
  <c r="L138" i="11"/>
  <c r="T4" i="8"/>
  <c r="X7" i="8"/>
  <c r="T16" i="8"/>
  <c r="G38" i="8"/>
  <c r="Q57" i="8"/>
  <c r="Q64" i="8"/>
  <c r="H89" i="8"/>
  <c r="L100" i="8"/>
  <c r="H124" i="8"/>
  <c r="G124" i="8"/>
  <c r="H144" i="8"/>
  <c r="C144" i="8"/>
  <c r="V144" i="8"/>
  <c r="W144" i="8" s="1"/>
  <c r="B144" i="8"/>
  <c r="N144" i="8"/>
  <c r="O144" i="8" s="1"/>
  <c r="L145" i="9"/>
  <c r="I144" i="8"/>
  <c r="P152" i="8"/>
  <c r="J152" i="8"/>
  <c r="I152" i="8"/>
  <c r="I153" i="9"/>
  <c r="E182" i="8"/>
  <c r="AB182" i="4" s="1"/>
  <c r="I191" i="8"/>
  <c r="P18" i="10"/>
  <c r="W54" i="10"/>
  <c r="W66" i="10"/>
  <c r="U66" i="10"/>
  <c r="S66" i="10"/>
  <c r="O66" i="10"/>
  <c r="N66" i="10"/>
  <c r="R97" i="10"/>
  <c r="N97" i="10"/>
  <c r="M206" i="11"/>
  <c r="K206" i="11"/>
  <c r="AC31" i="4"/>
  <c r="J22" i="7"/>
  <c r="J87" i="7"/>
  <c r="J101" i="7"/>
  <c r="J193" i="7"/>
  <c r="F3" i="8"/>
  <c r="V4" i="8"/>
  <c r="W4" i="8" s="1"/>
  <c r="L4" i="4" s="1"/>
  <c r="U16" i="8"/>
  <c r="E28" i="8"/>
  <c r="AB28" i="4" s="1"/>
  <c r="AC28" i="4" s="1"/>
  <c r="J38" i="8"/>
  <c r="K38" i="8" s="1"/>
  <c r="E40" i="8"/>
  <c r="C42" i="8"/>
  <c r="D44" i="8"/>
  <c r="U45" i="8"/>
  <c r="J89" i="8"/>
  <c r="P93" i="8"/>
  <c r="B93" i="8"/>
  <c r="N100" i="8"/>
  <c r="O100" i="8" s="1"/>
  <c r="T104" i="8"/>
  <c r="P104" i="8"/>
  <c r="B109" i="8"/>
  <c r="V114" i="8"/>
  <c r="W114" i="8" s="1"/>
  <c r="L114" i="4" s="1"/>
  <c r="I114" i="8"/>
  <c r="H114" i="8"/>
  <c r="T114" i="8"/>
  <c r="D124" i="8"/>
  <c r="V130" i="8"/>
  <c r="W130" i="8" s="1"/>
  <c r="L130" i="4" s="1"/>
  <c r="H130" i="8"/>
  <c r="G130" i="8"/>
  <c r="D144" i="8"/>
  <c r="C146" i="8"/>
  <c r="B146" i="8"/>
  <c r="G152" i="8"/>
  <c r="O157" i="9"/>
  <c r="Q156" i="8"/>
  <c r="H182" i="8"/>
  <c r="M191" i="8"/>
  <c r="I94" i="9"/>
  <c r="C145" i="9"/>
  <c r="R18" i="10"/>
  <c r="T41" i="10"/>
  <c r="R41" i="10"/>
  <c r="W94" i="10"/>
  <c r="V94" i="10"/>
  <c r="U94" i="10"/>
  <c r="T94" i="10"/>
  <c r="O94" i="10"/>
  <c r="N94" i="10"/>
  <c r="Q83" i="11"/>
  <c r="P138" i="11"/>
  <c r="O174" i="11"/>
  <c r="Q174" i="11"/>
  <c r="P174" i="11"/>
  <c r="N174" i="11"/>
  <c r="M174" i="11"/>
  <c r="S180" i="10"/>
  <c r="Q160" i="11"/>
  <c r="N196" i="11"/>
  <c r="K235" i="11"/>
  <c r="K248" i="11"/>
  <c r="I106" i="8"/>
  <c r="M133" i="8"/>
  <c r="T151" i="8"/>
  <c r="U157" i="8"/>
  <c r="I166" i="8"/>
  <c r="J188" i="8"/>
  <c r="AB188" i="4" s="1"/>
  <c r="AC188" i="4" s="1"/>
  <c r="V11" i="10"/>
  <c r="V14" i="10"/>
  <c r="T46" i="10"/>
  <c r="S48" i="10"/>
  <c r="W50" i="10"/>
  <c r="Q59" i="10"/>
  <c r="U141" i="10"/>
  <c r="V180" i="10"/>
  <c r="O100" i="11"/>
  <c r="M109" i="11"/>
  <c r="K112" i="11"/>
  <c r="O116" i="11"/>
  <c r="M120" i="11"/>
  <c r="O196" i="11"/>
  <c r="N218" i="11"/>
  <c r="N229" i="11"/>
  <c r="M235" i="11"/>
  <c r="N240" i="11"/>
  <c r="B138" i="8"/>
  <c r="U151" i="8"/>
  <c r="V157" i="8"/>
  <c r="W157" i="8" s="1"/>
  <c r="C174" i="8"/>
  <c r="R188" i="8"/>
  <c r="U46" i="10"/>
  <c r="U48" i="10"/>
  <c r="R102" i="10"/>
  <c r="N108" i="10"/>
  <c r="U138" i="10"/>
  <c r="V141" i="10"/>
  <c r="N154" i="10"/>
  <c r="L87" i="11"/>
  <c r="N109" i="11"/>
  <c r="P116" i="11"/>
  <c r="P196" i="11"/>
  <c r="O218" i="11"/>
  <c r="Q240" i="11"/>
  <c r="V102" i="10"/>
  <c r="T154" i="10"/>
  <c r="L107" i="11"/>
  <c r="Q109" i="11"/>
  <c r="L113" i="11"/>
  <c r="K118" i="11"/>
  <c r="K131" i="11"/>
  <c r="L148" i="11"/>
  <c r="K197" i="11"/>
  <c r="M201" i="11"/>
  <c r="K219" i="11"/>
  <c r="L75" i="11"/>
  <c r="L85" i="11"/>
  <c r="M107" i="11"/>
  <c r="M113" i="11"/>
  <c r="N118" i="11"/>
  <c r="N201" i="11"/>
  <c r="L219" i="11"/>
  <c r="N237" i="11"/>
  <c r="P7" i="10"/>
  <c r="N11" i="10"/>
  <c r="Q37" i="10"/>
  <c r="P76" i="10"/>
  <c r="U106" i="10"/>
  <c r="N151" i="10"/>
  <c r="Q161" i="10"/>
  <c r="N182" i="10"/>
  <c r="Q75" i="11"/>
  <c r="M85" i="11"/>
  <c r="N94" i="11"/>
  <c r="O102" i="11"/>
  <c r="N107" i="11"/>
  <c r="O118" i="11"/>
  <c r="L123" i="11"/>
  <c r="P126" i="11"/>
  <c r="N139" i="11"/>
  <c r="P145" i="11"/>
  <c r="N162" i="11"/>
  <c r="Q184" i="11"/>
  <c r="K216" i="11"/>
  <c r="M232" i="11"/>
  <c r="Q237" i="11"/>
  <c r="M244" i="11"/>
  <c r="I151" i="8"/>
  <c r="C155" i="8"/>
  <c r="H157" i="8"/>
  <c r="N174" i="8"/>
  <c r="O11" i="10"/>
  <c r="N50" i="10"/>
  <c r="O73" i="10"/>
  <c r="T82" i="10"/>
  <c r="V106" i="10"/>
  <c r="N121" i="10"/>
  <c r="U126" i="10"/>
  <c r="Q133" i="10"/>
  <c r="R161" i="10"/>
  <c r="N165" i="10"/>
  <c r="R169" i="10"/>
  <c r="Q172" i="10"/>
  <c r="T176" i="10"/>
  <c r="N180" i="10"/>
  <c r="Q182" i="10"/>
  <c r="N59" i="11"/>
  <c r="M81" i="11"/>
  <c r="N85" i="11"/>
  <c r="O94" i="11"/>
  <c r="P102" i="11"/>
  <c r="O107" i="11"/>
  <c r="K111" i="11"/>
  <c r="P118" i="11"/>
  <c r="O132" i="11"/>
  <c r="K137" i="11"/>
  <c r="Q145" i="11"/>
  <c r="K158" i="11"/>
  <c r="Q162" i="11"/>
  <c r="L165" i="11"/>
  <c r="K198" i="11"/>
  <c r="L216" i="11"/>
  <c r="O50" i="10"/>
  <c r="V82" i="10"/>
  <c r="P89" i="10"/>
  <c r="P103" i="10"/>
  <c r="R121" i="10"/>
  <c r="N141" i="10"/>
  <c r="T161" i="10"/>
  <c r="T165" i="10"/>
  <c r="R182" i="10"/>
  <c r="P59" i="11"/>
  <c r="O76" i="11"/>
  <c r="O85" i="11"/>
  <c r="P94" i="11"/>
  <c r="K100" i="11"/>
  <c r="Q102" i="11"/>
  <c r="P107" i="11"/>
  <c r="O111" i="11"/>
  <c r="Q118" i="11"/>
  <c r="P132" i="11"/>
  <c r="N150" i="11"/>
  <c r="P158" i="11"/>
  <c r="M165" i="11"/>
  <c r="M209" i="11"/>
  <c r="K253" i="11"/>
  <c r="D113" i="8"/>
  <c r="I114" i="9"/>
  <c r="U113" i="8"/>
  <c r="Q113" i="8"/>
  <c r="P113" i="8"/>
  <c r="N113" i="8"/>
  <c r="J94" i="7"/>
  <c r="G94" i="7"/>
  <c r="M26" i="8"/>
  <c r="C35" i="8"/>
  <c r="AB40" i="4"/>
  <c r="AC40" i="4" s="1"/>
  <c r="N66" i="8"/>
  <c r="O66" i="8" s="1"/>
  <c r="I67" i="9"/>
  <c r="E66" i="8"/>
  <c r="V66" i="8"/>
  <c r="W66" i="8" s="1"/>
  <c r="L66" i="4" s="1"/>
  <c r="U66" i="8"/>
  <c r="P66" i="8"/>
  <c r="M66" i="8"/>
  <c r="H66" i="8"/>
  <c r="G66" i="8"/>
  <c r="T177" i="10"/>
  <c r="R177" i="10"/>
  <c r="P177" i="10"/>
  <c r="O177" i="10"/>
  <c r="Q177" i="10"/>
  <c r="W177" i="10"/>
  <c r="N177" i="10"/>
  <c r="J20" i="7"/>
  <c r="J67" i="7"/>
  <c r="J84" i="7"/>
  <c r="U26" i="8"/>
  <c r="U35" i="8"/>
  <c r="C66" i="8"/>
  <c r="T110" i="8"/>
  <c r="C110" i="8"/>
  <c r="E110" i="8"/>
  <c r="P110" i="8"/>
  <c r="L110" i="8"/>
  <c r="U110" i="8"/>
  <c r="N110" i="8"/>
  <c r="O110" i="8" s="1"/>
  <c r="G110" i="8"/>
  <c r="D110" i="8"/>
  <c r="B110" i="8"/>
  <c r="O142" i="4"/>
  <c r="O142" i="8"/>
  <c r="K85" i="6"/>
  <c r="R6" i="8"/>
  <c r="S6" i="8" s="1"/>
  <c r="Q6" i="8"/>
  <c r="N6" i="8"/>
  <c r="O6" i="4" s="1"/>
  <c r="M6" i="8"/>
  <c r="L6" i="8"/>
  <c r="H6" i="8"/>
  <c r="G6" i="8"/>
  <c r="K90" i="8"/>
  <c r="G167" i="8"/>
  <c r="R167" i="8"/>
  <c r="S167" i="8" s="1"/>
  <c r="F168" i="9"/>
  <c r="T167" i="8"/>
  <c r="N167" i="8"/>
  <c r="M167" i="8"/>
  <c r="I167" i="8"/>
  <c r="H167" i="8"/>
  <c r="D167" i="8"/>
  <c r="C167" i="8"/>
  <c r="V167" i="8"/>
  <c r="O174" i="9"/>
  <c r="G173" i="8"/>
  <c r="T173" i="8"/>
  <c r="D173" i="8"/>
  <c r="P173" i="8"/>
  <c r="Q173" i="8"/>
  <c r="I174" i="9"/>
  <c r="N173" i="8"/>
  <c r="O173" i="4" s="1"/>
  <c r="F174" i="9"/>
  <c r="M173" i="8"/>
  <c r="I173" i="8"/>
  <c r="H173" i="8"/>
  <c r="F173" i="8"/>
  <c r="C173" i="8"/>
  <c r="B173" i="8"/>
  <c r="V173" i="8"/>
  <c r="U173" i="8"/>
  <c r="S173" i="8"/>
  <c r="R173" i="8"/>
  <c r="E173" i="8"/>
  <c r="AB16" i="4"/>
  <c r="K35" i="6"/>
  <c r="E73" i="6"/>
  <c r="F73" i="6" s="1"/>
  <c r="W4" i="10"/>
  <c r="AM4" i="4"/>
  <c r="E6" i="8"/>
  <c r="P103" i="8"/>
  <c r="J103" i="8"/>
  <c r="K103" i="8" s="1"/>
  <c r="C103" i="8"/>
  <c r="D103" i="8"/>
  <c r="X103" i="8"/>
  <c r="U103" i="8"/>
  <c r="M103" i="8"/>
  <c r="E167" i="8"/>
  <c r="G65" i="7"/>
  <c r="J190" i="7"/>
  <c r="AB111" i="4"/>
  <c r="J132" i="8"/>
  <c r="T132" i="8"/>
  <c r="B132" i="8"/>
  <c r="C132" i="8"/>
  <c r="X132" i="8"/>
  <c r="P132" i="8"/>
  <c r="N132" i="8"/>
  <c r="O132" i="8" s="1"/>
  <c r="M132" i="8"/>
  <c r="L132" i="8"/>
  <c r="E132" i="8"/>
  <c r="S20" i="8"/>
  <c r="E129" i="8"/>
  <c r="V129" i="8"/>
  <c r="H129" i="8"/>
  <c r="M129" i="8"/>
  <c r="C129" i="8"/>
  <c r="K56" i="6"/>
  <c r="M35" i="8"/>
  <c r="T35" i="8"/>
  <c r="R35" i="8"/>
  <c r="Q35" i="4" s="1"/>
  <c r="Q35" i="8"/>
  <c r="N35" i="8"/>
  <c r="L35" i="8"/>
  <c r="J35" i="8"/>
  <c r="M35" i="4" s="1"/>
  <c r="H35" i="8"/>
  <c r="F35" i="8"/>
  <c r="E35" i="8"/>
  <c r="D35" i="8"/>
  <c r="K68" i="6"/>
  <c r="J103" i="7"/>
  <c r="T30" i="8"/>
  <c r="J30" i="8"/>
  <c r="K67" i="8"/>
  <c r="AB67" i="4"/>
  <c r="D82" i="8"/>
  <c r="C82" i="8"/>
  <c r="E94" i="8"/>
  <c r="Q94" i="8"/>
  <c r="J94" i="8"/>
  <c r="B129" i="8"/>
  <c r="N107" i="8"/>
  <c r="P107" i="8"/>
  <c r="M107" i="8"/>
  <c r="O149" i="9"/>
  <c r="V148" i="8"/>
  <c r="W148" i="8" s="1"/>
  <c r="E148" i="8"/>
  <c r="I149" i="9"/>
  <c r="Q148" i="8"/>
  <c r="C149" i="9"/>
  <c r="P148" i="8"/>
  <c r="M148" i="8"/>
  <c r="J148" i="8"/>
  <c r="M148" i="4" s="1"/>
  <c r="I148" i="8"/>
  <c r="F148" i="8"/>
  <c r="T148" i="8"/>
  <c r="R148" i="8"/>
  <c r="N148" i="8"/>
  <c r="O148" i="4" s="1"/>
  <c r="G148" i="8"/>
  <c r="D148" i="8"/>
  <c r="C148" i="8"/>
  <c r="B148" i="8"/>
  <c r="C178" i="9"/>
  <c r="G177" i="8"/>
  <c r="V177" i="8"/>
  <c r="N177" i="8"/>
  <c r="O177" i="8" s="1"/>
  <c r="J177" i="8"/>
  <c r="K177" i="8" s="1"/>
  <c r="T177" i="8"/>
  <c r="P177" i="8"/>
  <c r="I177" i="8"/>
  <c r="C177" i="8"/>
  <c r="J118" i="7"/>
  <c r="J171" i="7"/>
  <c r="J181" i="7"/>
  <c r="M10" i="4"/>
  <c r="C62" i="9"/>
  <c r="L61" i="8"/>
  <c r="I61" i="8"/>
  <c r="P61" i="8"/>
  <c r="N61" i="8"/>
  <c r="M61" i="8"/>
  <c r="J61" i="8"/>
  <c r="M61" i="4" s="1"/>
  <c r="H61" i="8"/>
  <c r="E61" i="8"/>
  <c r="X61" i="8"/>
  <c r="D61" i="8"/>
  <c r="W61" i="8"/>
  <c r="C61" i="8"/>
  <c r="V61" i="8"/>
  <c r="B61" i="8"/>
  <c r="I137" i="9"/>
  <c r="T136" i="8"/>
  <c r="C136" i="8"/>
  <c r="C137" i="9"/>
  <c r="I136" i="8"/>
  <c r="H136" i="8"/>
  <c r="N136" i="8"/>
  <c r="K136" i="8"/>
  <c r="V136" i="8"/>
  <c r="W136" i="8" s="1"/>
  <c r="U136" i="8"/>
  <c r="Q136" i="8"/>
  <c r="P136" i="8"/>
  <c r="L136" i="8"/>
  <c r="J136" i="8"/>
  <c r="G136" i="8"/>
  <c r="E136" i="8"/>
  <c r="AB136" i="4" s="1"/>
  <c r="D136" i="8"/>
  <c r="B136" i="8"/>
  <c r="Q26" i="8"/>
  <c r="N26" i="8"/>
  <c r="L26" i="8"/>
  <c r="J26" i="8"/>
  <c r="I26" i="8"/>
  <c r="H26" i="8"/>
  <c r="F26" i="8"/>
  <c r="E26" i="8"/>
  <c r="X26" i="8"/>
  <c r="C26" i="8"/>
  <c r="W26" i="8"/>
  <c r="B26" i="8"/>
  <c r="J73" i="7"/>
  <c r="J139" i="7"/>
  <c r="G139" i="7"/>
  <c r="T25" i="8"/>
  <c r="Q61" i="8"/>
  <c r="V85" i="8"/>
  <c r="U85" i="8"/>
  <c r="Q85" i="8"/>
  <c r="L193" i="9"/>
  <c r="V192" i="8"/>
  <c r="H192" i="8"/>
  <c r="R192" i="8"/>
  <c r="G192" i="8"/>
  <c r="C192" i="8"/>
  <c r="C193" i="9"/>
  <c r="T192" i="8"/>
  <c r="E61" i="6"/>
  <c r="F61" i="6" s="1"/>
  <c r="K61" i="6"/>
  <c r="E93" i="6"/>
  <c r="F93" i="6" s="1"/>
  <c r="Q18" i="8"/>
  <c r="H22" i="8"/>
  <c r="T22" i="8"/>
  <c r="R22" i="8"/>
  <c r="S22" i="8" s="1"/>
  <c r="Q22" i="8"/>
  <c r="I22" i="8"/>
  <c r="F22" i="8"/>
  <c r="E22" i="8"/>
  <c r="V25" i="8"/>
  <c r="W25" i="8" s="1"/>
  <c r="L25" i="4" s="1"/>
  <c r="D137" i="8"/>
  <c r="M137" i="8"/>
  <c r="V137" i="8"/>
  <c r="W137" i="8" s="1"/>
  <c r="L137" i="4" s="1"/>
  <c r="X137" i="8"/>
  <c r="U137" i="8"/>
  <c r="P137" i="8"/>
  <c r="H137" i="8"/>
  <c r="P56" i="8"/>
  <c r="G58" i="8"/>
  <c r="M60" i="8"/>
  <c r="V60" i="8"/>
  <c r="W60" i="8" s="1"/>
  <c r="L60" i="4" s="1"/>
  <c r="L60" i="8"/>
  <c r="M63" i="8"/>
  <c r="H63" i="8"/>
  <c r="L90" i="8"/>
  <c r="K81" i="6"/>
  <c r="M195" i="4"/>
  <c r="J68" i="7"/>
  <c r="J174" i="7"/>
  <c r="R10" i="8"/>
  <c r="U12" i="8"/>
  <c r="M12" i="8"/>
  <c r="X20" i="8"/>
  <c r="F20" i="8"/>
  <c r="U20" i="8"/>
  <c r="C36" i="8"/>
  <c r="I58" i="8"/>
  <c r="C60" i="8"/>
  <c r="C63" i="8"/>
  <c r="P86" i="8"/>
  <c r="N90" i="8"/>
  <c r="M90" i="4" s="1"/>
  <c r="N90" i="4" s="1"/>
  <c r="P98" i="8"/>
  <c r="H98" i="8"/>
  <c r="G98" i="8"/>
  <c r="P111" i="8"/>
  <c r="T122" i="8"/>
  <c r="L140" i="9"/>
  <c r="D139" i="8"/>
  <c r="P139" i="8"/>
  <c r="E139" i="8"/>
  <c r="B139" i="8"/>
  <c r="Q145" i="8"/>
  <c r="O169" i="9"/>
  <c r="P168" i="8"/>
  <c r="U168" i="8"/>
  <c r="N193" i="8"/>
  <c r="Q193" i="8"/>
  <c r="P193" i="8"/>
  <c r="W96" i="10"/>
  <c r="U96" i="10"/>
  <c r="S96" i="10"/>
  <c r="R96" i="10"/>
  <c r="P96" i="10"/>
  <c r="N96" i="10"/>
  <c r="O96" i="10"/>
  <c r="U119" i="10"/>
  <c r="T119" i="10"/>
  <c r="O119" i="10"/>
  <c r="T149" i="10"/>
  <c r="R149" i="10"/>
  <c r="W149" i="10"/>
  <c r="S149" i="10"/>
  <c r="Q149" i="10"/>
  <c r="P149" i="10"/>
  <c r="J42" i="7"/>
  <c r="J60" i="7"/>
  <c r="J122" i="7"/>
  <c r="C12" i="8"/>
  <c r="C20" i="8"/>
  <c r="V20" i="8"/>
  <c r="W20" i="8" s="1"/>
  <c r="L20" i="4" s="1"/>
  <c r="F28" i="9"/>
  <c r="U27" i="8"/>
  <c r="Q31" i="8"/>
  <c r="N31" i="8"/>
  <c r="C39" i="8"/>
  <c r="E45" i="8"/>
  <c r="AB45" i="4" s="1"/>
  <c r="M53" i="8"/>
  <c r="P53" i="8"/>
  <c r="E54" i="8"/>
  <c r="J58" i="8"/>
  <c r="AB58" i="4" s="1"/>
  <c r="AC58" i="4" s="1"/>
  <c r="E60" i="8"/>
  <c r="G63" i="8"/>
  <c r="T75" i="8"/>
  <c r="I75" i="8"/>
  <c r="E76" i="8"/>
  <c r="O84" i="9"/>
  <c r="I83" i="8"/>
  <c r="G83" i="8"/>
  <c r="V83" i="8"/>
  <c r="W83" i="8" s="1"/>
  <c r="O90" i="8"/>
  <c r="I97" i="9"/>
  <c r="X96" i="8"/>
  <c r="G96" i="8"/>
  <c r="W96" i="8"/>
  <c r="L96" i="4" s="1"/>
  <c r="J98" i="8"/>
  <c r="K98" i="8" s="1"/>
  <c r="X108" i="8"/>
  <c r="H108" i="8"/>
  <c r="M108" i="8"/>
  <c r="J108" i="8"/>
  <c r="K108" i="8" s="1"/>
  <c r="L108" i="8"/>
  <c r="I108" i="8"/>
  <c r="Q109" i="8"/>
  <c r="C110" i="9"/>
  <c r="H109" i="8"/>
  <c r="D109" i="8"/>
  <c r="K109" i="8"/>
  <c r="I109" i="8"/>
  <c r="T111" i="8"/>
  <c r="G118" i="8"/>
  <c r="I118" i="8"/>
  <c r="U118" i="8"/>
  <c r="U127" i="8"/>
  <c r="L128" i="9"/>
  <c r="M127" i="8"/>
  <c r="K127" i="8"/>
  <c r="I127" i="8"/>
  <c r="C139" i="8"/>
  <c r="R145" i="8"/>
  <c r="O145" i="4" s="1"/>
  <c r="R153" i="8"/>
  <c r="C154" i="9"/>
  <c r="D153" i="8"/>
  <c r="I154" i="9"/>
  <c r="Q153" i="8"/>
  <c r="B155" i="8"/>
  <c r="N161" i="8"/>
  <c r="O161" i="8" s="1"/>
  <c r="F162" i="9"/>
  <c r="M161" i="8"/>
  <c r="H161" i="8"/>
  <c r="G161" i="8"/>
  <c r="I162" i="9"/>
  <c r="U161" i="8"/>
  <c r="P161" i="8"/>
  <c r="B168" i="8"/>
  <c r="L179" i="9"/>
  <c r="J178" i="8"/>
  <c r="E178" i="8"/>
  <c r="C179" i="9"/>
  <c r="T178" i="8"/>
  <c r="V178" i="8"/>
  <c r="Q178" i="8"/>
  <c r="P178" i="8"/>
  <c r="I179" i="9"/>
  <c r="F178" i="8"/>
  <c r="C178" i="8"/>
  <c r="B178" i="8"/>
  <c r="I193" i="8"/>
  <c r="V200" i="8"/>
  <c r="R200" i="8"/>
  <c r="B200" i="8"/>
  <c r="H200" i="8"/>
  <c r="G200" i="8"/>
  <c r="E200" i="8"/>
  <c r="I63" i="9"/>
  <c r="D62" i="8"/>
  <c r="B62" i="8"/>
  <c r="D73" i="8"/>
  <c r="X73" i="8"/>
  <c r="T145" i="8"/>
  <c r="D159" i="8"/>
  <c r="M159" i="8"/>
  <c r="U159" i="8"/>
  <c r="R159" i="8"/>
  <c r="P159" i="8"/>
  <c r="J159" i="8"/>
  <c r="I159" i="8"/>
  <c r="T72" i="10"/>
  <c r="N72" i="10"/>
  <c r="H74" i="11"/>
  <c r="F74" i="11"/>
  <c r="E74" i="11"/>
  <c r="C74" i="11"/>
  <c r="P117" i="11"/>
  <c r="K117" i="11"/>
  <c r="N10" i="8"/>
  <c r="F10" i="8"/>
  <c r="U10" i="8"/>
  <c r="V37" i="8"/>
  <c r="C37" i="8"/>
  <c r="G60" i="8"/>
  <c r="P63" i="8"/>
  <c r="C87" i="9"/>
  <c r="O87" i="9"/>
  <c r="T86" i="8"/>
  <c r="C86" i="8"/>
  <c r="X86" i="8"/>
  <c r="D86" i="8"/>
  <c r="U86" i="8"/>
  <c r="P90" i="8"/>
  <c r="U121" i="8"/>
  <c r="H121" i="8"/>
  <c r="N121" i="8"/>
  <c r="J121" i="8"/>
  <c r="M121" i="4" s="1"/>
  <c r="D121" i="8"/>
  <c r="J105" i="7"/>
  <c r="J117" i="7"/>
  <c r="J123" i="7"/>
  <c r="G137" i="7"/>
  <c r="J149" i="7"/>
  <c r="C3" i="8"/>
  <c r="N4" i="8"/>
  <c r="O4" i="4" s="1"/>
  <c r="N5" i="8"/>
  <c r="O5" i="8" s="1"/>
  <c r="J7" i="8"/>
  <c r="B10" i="8"/>
  <c r="V10" i="8"/>
  <c r="W10" i="8" s="1"/>
  <c r="L10" i="4" s="1"/>
  <c r="L12" i="8"/>
  <c r="H20" i="8"/>
  <c r="C21" i="8"/>
  <c r="S23" i="8"/>
  <c r="N24" i="8"/>
  <c r="L27" i="8"/>
  <c r="M28" i="8"/>
  <c r="C31" i="8"/>
  <c r="E33" i="8"/>
  <c r="B37" i="8"/>
  <c r="I38" i="8"/>
  <c r="I39" i="8"/>
  <c r="V47" i="8"/>
  <c r="D53" i="8"/>
  <c r="E55" i="8"/>
  <c r="L58" i="8"/>
  <c r="H60" i="8"/>
  <c r="C62" i="8"/>
  <c r="L65" i="9"/>
  <c r="L64" i="8"/>
  <c r="N64" i="8"/>
  <c r="M64" i="4" s="1"/>
  <c r="T64" i="8"/>
  <c r="M65" i="8"/>
  <c r="U70" i="8"/>
  <c r="I71" i="9"/>
  <c r="C70" i="8"/>
  <c r="E73" i="8"/>
  <c r="C75" i="8"/>
  <c r="D83" i="8"/>
  <c r="X83" i="8"/>
  <c r="B86" i="8"/>
  <c r="M87" i="8"/>
  <c r="Q87" i="8"/>
  <c r="V87" i="8"/>
  <c r="W87" i="8" s="1"/>
  <c r="U89" i="8"/>
  <c r="U90" i="8"/>
  <c r="H96" i="8"/>
  <c r="X98" i="8"/>
  <c r="C108" i="8"/>
  <c r="C109" i="8"/>
  <c r="L118" i="8"/>
  <c r="B121" i="8"/>
  <c r="T128" i="8"/>
  <c r="J128" i="8"/>
  <c r="C128" i="8"/>
  <c r="I139" i="8"/>
  <c r="B143" i="8"/>
  <c r="E153" i="8"/>
  <c r="E155" i="8"/>
  <c r="B159" i="8"/>
  <c r="E161" i="8"/>
  <c r="Q168" i="8"/>
  <c r="B175" i="10"/>
  <c r="D175" i="8"/>
  <c r="V175" i="8"/>
  <c r="U175" i="8"/>
  <c r="T175" i="8"/>
  <c r="M178" i="8"/>
  <c r="U200" i="8"/>
  <c r="C10" i="8"/>
  <c r="E21" i="8"/>
  <c r="E37" i="8"/>
  <c r="V41" i="8"/>
  <c r="I42" i="9"/>
  <c r="H55" i="8"/>
  <c r="N58" i="8"/>
  <c r="O58" i="8" s="1"/>
  <c r="I60" i="8"/>
  <c r="G62" i="8"/>
  <c r="H73" i="8"/>
  <c r="E86" i="8"/>
  <c r="AB86" i="4" s="1"/>
  <c r="AC86" i="4" s="1"/>
  <c r="L102" i="8"/>
  <c r="U102" i="8"/>
  <c r="M111" i="8"/>
  <c r="U111" i="8"/>
  <c r="D111" i="8"/>
  <c r="I111" i="8"/>
  <c r="Q111" i="8"/>
  <c r="N111" i="8"/>
  <c r="M111" i="4" s="1"/>
  <c r="H112" i="8"/>
  <c r="X112" i="8"/>
  <c r="D112" i="8"/>
  <c r="U112" i="8"/>
  <c r="E121" i="8"/>
  <c r="B134" i="8"/>
  <c r="G134" i="8"/>
  <c r="L134" i="8"/>
  <c r="H134" i="8"/>
  <c r="G153" i="8"/>
  <c r="F155" i="8"/>
  <c r="E159" i="8"/>
  <c r="E162" i="8"/>
  <c r="H162" i="8"/>
  <c r="F162" i="8"/>
  <c r="C162" i="8"/>
  <c r="R168" i="8"/>
  <c r="S168" i="8" s="1"/>
  <c r="N178" i="8"/>
  <c r="I188" i="9"/>
  <c r="J187" i="8"/>
  <c r="M187" i="4" s="1"/>
  <c r="E187" i="8"/>
  <c r="R187" i="8"/>
  <c r="S187" i="8" s="1"/>
  <c r="P187" i="8"/>
  <c r="N187" i="8"/>
  <c r="K187" i="8"/>
  <c r="T187" i="8"/>
  <c r="M187" i="8"/>
  <c r="H187" i="8"/>
  <c r="D187" i="8"/>
  <c r="C74" i="9"/>
  <c r="T8" i="10"/>
  <c r="P8" i="10"/>
  <c r="N8" i="10"/>
  <c r="U8" i="10"/>
  <c r="Q22" i="10"/>
  <c r="V22" i="10"/>
  <c r="U22" i="10"/>
  <c r="T22" i="10"/>
  <c r="P22" i="10"/>
  <c r="O22" i="10"/>
  <c r="W22" i="10"/>
  <c r="R22" i="10"/>
  <c r="N22" i="10"/>
  <c r="T39" i="10"/>
  <c r="V39" i="10"/>
  <c r="S39" i="10"/>
  <c r="Q39" i="10"/>
  <c r="O39" i="10"/>
  <c r="P39" i="10"/>
  <c r="R72" i="10"/>
  <c r="K69" i="6"/>
  <c r="K57" i="6"/>
  <c r="J88" i="7"/>
  <c r="R5" i="6"/>
  <c r="K49" i="6"/>
  <c r="E57" i="6"/>
  <c r="F57" i="6" s="1"/>
  <c r="M150" i="4"/>
  <c r="G91" i="7"/>
  <c r="G175" i="7"/>
  <c r="H3" i="8"/>
  <c r="R5" i="8"/>
  <c r="Q5" i="4" s="1"/>
  <c r="E10" i="8"/>
  <c r="AB10" i="4" s="1"/>
  <c r="H11" i="8"/>
  <c r="J20" i="8"/>
  <c r="L21" i="8"/>
  <c r="U23" i="8"/>
  <c r="N27" i="8"/>
  <c r="O27" i="8" s="1"/>
  <c r="T28" i="8"/>
  <c r="I31" i="8"/>
  <c r="Q33" i="8"/>
  <c r="G37" i="8"/>
  <c r="N39" i="8"/>
  <c r="O39" i="4" s="1"/>
  <c r="B41" i="8"/>
  <c r="N48" i="8"/>
  <c r="O48" i="8" s="1"/>
  <c r="J48" i="8"/>
  <c r="M48" i="4" s="1"/>
  <c r="G50" i="8"/>
  <c r="G53" i="8"/>
  <c r="I55" i="8"/>
  <c r="T58" i="8"/>
  <c r="N60" i="8"/>
  <c r="H62" i="8"/>
  <c r="C64" i="8"/>
  <c r="V64" i="8"/>
  <c r="W64" i="8" s="1"/>
  <c r="L68" i="9"/>
  <c r="C67" i="8"/>
  <c r="I67" i="8"/>
  <c r="I70" i="8"/>
  <c r="I73" i="8"/>
  <c r="E75" i="8"/>
  <c r="AB75" i="4" s="1"/>
  <c r="I79" i="9"/>
  <c r="I78" i="8"/>
  <c r="B78" i="8"/>
  <c r="H83" i="8"/>
  <c r="G86" i="8"/>
  <c r="C87" i="8"/>
  <c r="H91" i="8"/>
  <c r="I91" i="8"/>
  <c r="J96" i="8"/>
  <c r="B99" i="8"/>
  <c r="C102" i="8"/>
  <c r="G108" i="8"/>
  <c r="L109" i="8"/>
  <c r="B111" i="8"/>
  <c r="B112" i="8"/>
  <c r="O118" i="8"/>
  <c r="X120" i="8"/>
  <c r="C120" i="8"/>
  <c r="J120" i="8"/>
  <c r="O120" i="8"/>
  <c r="G120" i="8"/>
  <c r="B120" i="8"/>
  <c r="H128" i="8"/>
  <c r="L134" i="9"/>
  <c r="I134" i="9"/>
  <c r="H133" i="8"/>
  <c r="N133" i="8"/>
  <c r="E133" i="8"/>
  <c r="J133" i="8"/>
  <c r="D133" i="8"/>
  <c r="D134" i="8"/>
  <c r="Q139" i="8"/>
  <c r="H153" i="8"/>
  <c r="I155" i="8"/>
  <c r="G159" i="8"/>
  <c r="I162" i="8"/>
  <c r="Q175" i="8"/>
  <c r="C187" i="8"/>
  <c r="T61" i="10"/>
  <c r="V61" i="10"/>
  <c r="Q61" i="10"/>
  <c r="P61" i="10"/>
  <c r="O61" i="10"/>
  <c r="S61" i="10"/>
  <c r="U85" i="10"/>
  <c r="S85" i="10"/>
  <c r="R85" i="10"/>
  <c r="Q85" i="10"/>
  <c r="P85" i="10"/>
  <c r="O85" i="10"/>
  <c r="N85" i="10"/>
  <c r="V85" i="10"/>
  <c r="J25" i="7"/>
  <c r="J74" i="7"/>
  <c r="J89" i="7"/>
  <c r="J127" i="7"/>
  <c r="J138" i="7"/>
  <c r="J147" i="7"/>
  <c r="J170" i="7"/>
  <c r="J183" i="7"/>
  <c r="G10" i="8"/>
  <c r="I11" i="8"/>
  <c r="M21" i="8"/>
  <c r="R37" i="8"/>
  <c r="D41" i="8"/>
  <c r="I53" i="8"/>
  <c r="L55" i="8"/>
  <c r="P60" i="8"/>
  <c r="N62" i="8"/>
  <c r="O62" i="8" s="1"/>
  <c r="N73" i="8"/>
  <c r="G75" i="8"/>
  <c r="J83" i="8"/>
  <c r="H86" i="8"/>
  <c r="F90" i="9"/>
  <c r="G89" i="8"/>
  <c r="M89" i="8"/>
  <c r="X89" i="8"/>
  <c r="L96" i="8"/>
  <c r="G102" i="8"/>
  <c r="M109" i="8"/>
  <c r="C111" i="8"/>
  <c r="C112" i="8"/>
  <c r="P118" i="8"/>
  <c r="L121" i="8"/>
  <c r="J134" i="8"/>
  <c r="M134" i="4" s="1"/>
  <c r="U139" i="8"/>
  <c r="T142" i="8"/>
  <c r="C142" i="8"/>
  <c r="C143" i="9"/>
  <c r="I142" i="8"/>
  <c r="I143" i="9"/>
  <c r="V142" i="8"/>
  <c r="M142" i="8"/>
  <c r="J142" i="8"/>
  <c r="F142" i="8"/>
  <c r="V149" i="8"/>
  <c r="U149" i="8"/>
  <c r="N153" i="8"/>
  <c r="O153" i="4" s="1"/>
  <c r="N159" i="8"/>
  <c r="R162" i="8"/>
  <c r="Q162" i="4" s="1"/>
  <c r="I176" i="8"/>
  <c r="E176" i="8"/>
  <c r="AB176" i="4" s="1"/>
  <c r="AC176" i="4" s="1"/>
  <c r="T176" i="8"/>
  <c r="G176" i="8"/>
  <c r="C176" i="8"/>
  <c r="B176" i="8"/>
  <c r="K176" i="8"/>
  <c r="J176" i="8"/>
  <c r="H176" i="8"/>
  <c r="I177" i="9"/>
  <c r="I187" i="8"/>
  <c r="W8" i="10"/>
  <c r="P19" i="10"/>
  <c r="N19" i="10"/>
  <c r="U19" i="10"/>
  <c r="V19" i="10"/>
  <c r="S19" i="10"/>
  <c r="F59" i="9"/>
  <c r="H58" i="8"/>
  <c r="U58" i="8"/>
  <c r="W58" i="8"/>
  <c r="L58" i="4" s="1"/>
  <c r="B90" i="8"/>
  <c r="M90" i="8"/>
  <c r="O146" i="9"/>
  <c r="L146" i="9"/>
  <c r="I146" i="9"/>
  <c r="V145" i="8"/>
  <c r="W145" i="8" s="1"/>
  <c r="L145" i="4" s="1"/>
  <c r="E145" i="8"/>
  <c r="C146" i="9"/>
  <c r="J145" i="8"/>
  <c r="I145" i="8"/>
  <c r="F145" i="8"/>
  <c r="D145" i="8"/>
  <c r="C145" i="8"/>
  <c r="U145" i="8"/>
  <c r="N5" i="10"/>
  <c r="W5" i="10"/>
  <c r="V5" i="10"/>
  <c r="U5" i="10"/>
  <c r="P5" i="10"/>
  <c r="T5" i="10"/>
  <c r="Q5" i="10"/>
  <c r="O5" i="10"/>
  <c r="J29" i="7"/>
  <c r="J32" i="7"/>
  <c r="J49" i="7"/>
  <c r="J61" i="7"/>
  <c r="J109" i="7"/>
  <c r="J176" i="7"/>
  <c r="N7" i="8"/>
  <c r="O7" i="8" s="1"/>
  <c r="L8" i="9"/>
  <c r="U7" i="8"/>
  <c r="I10" i="8"/>
  <c r="L11" i="8"/>
  <c r="M20" i="8"/>
  <c r="B24" i="10"/>
  <c r="H24" i="8"/>
  <c r="O39" i="9"/>
  <c r="C39" i="9"/>
  <c r="H38" i="8"/>
  <c r="R38" i="8"/>
  <c r="V40" i="8"/>
  <c r="W40" i="8" s="1"/>
  <c r="L40" i="4" s="1"/>
  <c r="J40" i="8"/>
  <c r="H41" i="8"/>
  <c r="E47" i="8"/>
  <c r="Q53" i="8"/>
  <c r="C58" i="8"/>
  <c r="X58" i="8"/>
  <c r="P62" i="8"/>
  <c r="X65" i="8"/>
  <c r="G65" i="8"/>
  <c r="I65" i="8"/>
  <c r="W65" i="8"/>
  <c r="L65" i="4" s="1"/>
  <c r="T69" i="8"/>
  <c r="B69" i="8"/>
  <c r="X74" i="8"/>
  <c r="P74" i="8"/>
  <c r="M75" i="8"/>
  <c r="J81" i="8"/>
  <c r="M83" i="8"/>
  <c r="K86" i="8"/>
  <c r="D89" i="8"/>
  <c r="G90" i="8"/>
  <c r="P96" i="8"/>
  <c r="M102" i="8"/>
  <c r="P108" i="8"/>
  <c r="V109" i="8"/>
  <c r="W109" i="8" s="1"/>
  <c r="G111" i="8"/>
  <c r="N112" i="8"/>
  <c r="O112" i="8" s="1"/>
  <c r="P121" i="8"/>
  <c r="N134" i="8"/>
  <c r="F141" i="9"/>
  <c r="E140" i="8"/>
  <c r="AB140" i="4" s="1"/>
  <c r="T140" i="8"/>
  <c r="H140" i="8"/>
  <c r="E142" i="8"/>
  <c r="AB142" i="4" s="1"/>
  <c r="AC142" i="4" s="1"/>
  <c r="G145" i="8"/>
  <c r="I149" i="8"/>
  <c r="V153" i="8"/>
  <c r="R176" i="8"/>
  <c r="L191" i="9"/>
  <c r="V190" i="8"/>
  <c r="P190" i="8"/>
  <c r="R190" i="8"/>
  <c r="N190" i="8"/>
  <c r="A78" i="11"/>
  <c r="W26" i="10"/>
  <c r="V26" i="10"/>
  <c r="S26" i="10"/>
  <c r="R26" i="10"/>
  <c r="O26" i="10"/>
  <c r="U26" i="10"/>
  <c r="U43" i="10"/>
  <c r="S43" i="10"/>
  <c r="R43" i="10"/>
  <c r="Q43" i="10"/>
  <c r="P43" i="10"/>
  <c r="Q121" i="11"/>
  <c r="P121" i="11"/>
  <c r="O121" i="11"/>
  <c r="N121" i="11"/>
  <c r="M121" i="11"/>
  <c r="K121" i="11"/>
  <c r="L121" i="11"/>
  <c r="V44" i="8"/>
  <c r="Q44" i="4" s="1"/>
  <c r="T84" i="8"/>
  <c r="I84" i="8"/>
  <c r="H93" i="8"/>
  <c r="J93" i="8"/>
  <c r="Q101" i="8"/>
  <c r="X101" i="8"/>
  <c r="D101" i="8"/>
  <c r="G101" i="8"/>
  <c r="I124" i="8"/>
  <c r="V124" i="8"/>
  <c r="W124" i="8" s="1"/>
  <c r="V150" i="8"/>
  <c r="T150" i="8"/>
  <c r="Q150" i="8"/>
  <c r="B165" i="8"/>
  <c r="D169" i="8"/>
  <c r="Q169" i="8"/>
  <c r="N169" i="8"/>
  <c r="M169" i="8"/>
  <c r="T170" i="8"/>
  <c r="T199" i="8"/>
  <c r="I199" i="8"/>
  <c r="Q199" i="8"/>
  <c r="M199" i="8"/>
  <c r="J199" i="8"/>
  <c r="H199" i="8"/>
  <c r="T155" i="10"/>
  <c r="Q155" i="10"/>
  <c r="P155" i="10"/>
  <c r="W155" i="10"/>
  <c r="R155" i="10"/>
  <c r="O155" i="10"/>
  <c r="P97" i="11"/>
  <c r="O97" i="11"/>
  <c r="N97" i="11"/>
  <c r="M97" i="11"/>
  <c r="L97" i="11"/>
  <c r="Q97" i="11"/>
  <c r="K97" i="11"/>
  <c r="W74" i="10"/>
  <c r="V74" i="10"/>
  <c r="U74" i="10"/>
  <c r="S74" i="10"/>
  <c r="P74" i="10"/>
  <c r="O74" i="10"/>
  <c r="N74" i="10"/>
  <c r="R74" i="10"/>
  <c r="O144" i="10"/>
  <c r="N144" i="10"/>
  <c r="W144" i="10"/>
  <c r="U144" i="10"/>
  <c r="S144" i="10"/>
  <c r="P144" i="10"/>
  <c r="Q65" i="11"/>
  <c r="P65" i="11"/>
  <c r="K65" i="11"/>
  <c r="P98" i="11"/>
  <c r="N98" i="11"/>
  <c r="L98" i="11"/>
  <c r="Q105" i="8"/>
  <c r="H105" i="8"/>
  <c r="K131" i="8"/>
  <c r="T131" i="8"/>
  <c r="C131" i="8"/>
  <c r="E160" i="8"/>
  <c r="T160" i="8"/>
  <c r="G166" i="8"/>
  <c r="P166" i="8"/>
  <c r="N166" i="8"/>
  <c r="O166" i="4" s="1"/>
  <c r="M166" i="8"/>
  <c r="J166" i="8"/>
  <c r="J183" i="8"/>
  <c r="M183" i="4" s="1"/>
  <c r="U183" i="8"/>
  <c r="O196" i="8"/>
  <c r="C197" i="9"/>
  <c r="J196" i="8"/>
  <c r="L197" i="9"/>
  <c r="V196" i="8"/>
  <c r="Q196" i="4" s="1"/>
  <c r="P196" i="8"/>
  <c r="O161" i="9"/>
  <c r="P26" i="10"/>
  <c r="W152" i="10"/>
  <c r="T152" i="10"/>
  <c r="N155" i="10"/>
  <c r="N177" i="11"/>
  <c r="Q177" i="11"/>
  <c r="M177" i="11"/>
  <c r="K177" i="11"/>
  <c r="I171" i="9"/>
  <c r="F171" i="9"/>
  <c r="R170" i="8"/>
  <c r="B170" i="8"/>
  <c r="C171" i="9"/>
  <c r="W170" i="8"/>
  <c r="H170" i="8"/>
  <c r="P170" i="8"/>
  <c r="N170" i="8"/>
  <c r="M170" i="8"/>
  <c r="F172" i="9"/>
  <c r="N171" i="8"/>
  <c r="R171" i="8"/>
  <c r="Q171" i="4" s="1"/>
  <c r="P171" i="8"/>
  <c r="J171" i="8"/>
  <c r="V107" i="10"/>
  <c r="S107" i="10"/>
  <c r="R107" i="10"/>
  <c r="Q107" i="10"/>
  <c r="O107" i="10"/>
  <c r="P107" i="10"/>
  <c r="N107" i="10"/>
  <c r="W122" i="10"/>
  <c r="V122" i="10"/>
  <c r="U122" i="10"/>
  <c r="S122" i="10"/>
  <c r="R122" i="10"/>
  <c r="P122" i="10"/>
  <c r="N122" i="10"/>
  <c r="O122" i="10"/>
  <c r="R144" i="10"/>
  <c r="O67" i="11"/>
  <c r="M67" i="11"/>
  <c r="K67" i="11"/>
  <c r="C170" i="8"/>
  <c r="C171" i="8"/>
  <c r="F188" i="8"/>
  <c r="V188" i="8"/>
  <c r="Q188" i="4" s="1"/>
  <c r="B188" i="8"/>
  <c r="P188" i="8"/>
  <c r="U188" i="8"/>
  <c r="T188" i="8"/>
  <c r="M188" i="8"/>
  <c r="I196" i="9"/>
  <c r="C196" i="9"/>
  <c r="Q195" i="8"/>
  <c r="B195" i="8"/>
  <c r="M195" i="8"/>
  <c r="W195" i="8"/>
  <c r="H195" i="8"/>
  <c r="T195" i="8"/>
  <c r="R195" i="8"/>
  <c r="P195" i="8"/>
  <c r="L196" i="9"/>
  <c r="K195" i="8"/>
  <c r="I199" i="9"/>
  <c r="J198" i="8"/>
  <c r="V198" i="8"/>
  <c r="W198" i="8" s="1"/>
  <c r="G198" i="8"/>
  <c r="R198" i="8"/>
  <c r="C198" i="8"/>
  <c r="L199" i="9"/>
  <c r="I198" i="8"/>
  <c r="H198" i="8"/>
  <c r="F198" i="8"/>
  <c r="E198" i="8"/>
  <c r="U198" i="8"/>
  <c r="B198" i="8"/>
  <c r="I172" i="9"/>
  <c r="U113" i="10"/>
  <c r="T113" i="10"/>
  <c r="O113" i="10"/>
  <c r="Q82" i="11"/>
  <c r="P82" i="11"/>
  <c r="O82" i="11"/>
  <c r="N82" i="11"/>
  <c r="M82" i="11"/>
  <c r="K82" i="11"/>
  <c r="L82" i="11"/>
  <c r="N162" i="10"/>
  <c r="W162" i="10"/>
  <c r="R162" i="10"/>
  <c r="V162" i="10"/>
  <c r="P194" i="8"/>
  <c r="C194" i="8"/>
  <c r="V17" i="10"/>
  <c r="T17" i="10"/>
  <c r="R17" i="10"/>
  <c r="P17" i="10"/>
  <c r="S29" i="10"/>
  <c r="R29" i="10"/>
  <c r="P29" i="10"/>
  <c r="N29" i="10"/>
  <c r="U29" i="10"/>
  <c r="T53" i="10"/>
  <c r="V79" i="10"/>
  <c r="T79" i="10"/>
  <c r="O183" i="11"/>
  <c r="Q183" i="11"/>
  <c r="P183" i="11"/>
  <c r="M183" i="11"/>
  <c r="N183" i="11"/>
  <c r="T117" i="8"/>
  <c r="C117" i="8"/>
  <c r="L130" i="8"/>
  <c r="X130" i="8"/>
  <c r="C130" i="8"/>
  <c r="V186" i="8"/>
  <c r="B186" i="8"/>
  <c r="U186" i="8"/>
  <c r="N194" i="8"/>
  <c r="O194" i="8" s="1"/>
  <c r="O17" i="10"/>
  <c r="O29" i="10"/>
  <c r="W86" i="10"/>
  <c r="V86" i="10"/>
  <c r="U86" i="10"/>
  <c r="T86" i="10"/>
  <c r="R86" i="10"/>
  <c r="O86" i="10"/>
  <c r="N86" i="10"/>
  <c r="T92" i="10"/>
  <c r="N92" i="10"/>
  <c r="U120" i="10"/>
  <c r="S120" i="10"/>
  <c r="P120" i="10"/>
  <c r="O120" i="10"/>
  <c r="P154" i="11"/>
  <c r="O154" i="11"/>
  <c r="L154" i="11"/>
  <c r="N154" i="11"/>
  <c r="C185" i="9"/>
  <c r="E184" i="8"/>
  <c r="AB184" i="4" s="1"/>
  <c r="AC184" i="4" s="1"/>
  <c r="T184" i="8"/>
  <c r="B184" i="8"/>
  <c r="N184" i="8"/>
  <c r="T191" i="8"/>
  <c r="N191" i="8"/>
  <c r="O191" i="8" s="1"/>
  <c r="G191" i="8"/>
  <c r="P197" i="8"/>
  <c r="Q197" i="8"/>
  <c r="G197" i="8"/>
  <c r="B197" i="8"/>
  <c r="S17" i="10"/>
  <c r="T98" i="10"/>
  <c r="W98" i="10"/>
  <c r="V98" i="10"/>
  <c r="S98" i="10"/>
  <c r="P98" i="10"/>
  <c r="O98" i="10"/>
  <c r="N98" i="10"/>
  <c r="T109" i="10"/>
  <c r="S109" i="10"/>
  <c r="R109" i="10"/>
  <c r="Q109" i="10"/>
  <c r="P109" i="10"/>
  <c r="T125" i="10"/>
  <c r="U125" i="10"/>
  <c r="S174" i="10"/>
  <c r="T174" i="10"/>
  <c r="Q174" i="10"/>
  <c r="U196" i="10"/>
  <c r="S196" i="10"/>
  <c r="N196" i="10"/>
  <c r="Q196" i="10"/>
  <c r="Q127" i="11"/>
  <c r="P127" i="11"/>
  <c r="O127" i="11"/>
  <c r="N127" i="11"/>
  <c r="M127" i="11"/>
  <c r="L127" i="11"/>
  <c r="K127" i="11"/>
  <c r="Q173" i="11"/>
  <c r="P173" i="11"/>
  <c r="O173" i="11"/>
  <c r="N173" i="11"/>
  <c r="M173" i="11"/>
  <c r="L173" i="11"/>
  <c r="I189" i="8"/>
  <c r="V189" i="8"/>
  <c r="V194" i="8"/>
  <c r="P12" i="10"/>
  <c r="N12" i="10"/>
  <c r="S12" i="10"/>
  <c r="U45" i="10"/>
  <c r="Q45" i="10"/>
  <c r="U49" i="10"/>
  <c r="R49" i="10"/>
  <c r="O49" i="10"/>
  <c r="N49" i="10"/>
  <c r="S83" i="10"/>
  <c r="U83" i="10"/>
  <c r="Q83" i="10"/>
  <c r="P86" i="10"/>
  <c r="P92" i="10"/>
  <c r="W164" i="10"/>
  <c r="V164" i="10"/>
  <c r="S164" i="10"/>
  <c r="U164" i="10"/>
  <c r="P164" i="10"/>
  <c r="K173" i="11"/>
  <c r="P20" i="10"/>
  <c r="W20" i="10"/>
  <c r="T20" i="10"/>
  <c r="S20" i="10"/>
  <c r="R20" i="10"/>
  <c r="U109" i="10"/>
  <c r="S117" i="10"/>
  <c r="P117" i="10"/>
  <c r="T117" i="10"/>
  <c r="N174" i="10"/>
  <c r="W186" i="10"/>
  <c r="V186" i="10"/>
  <c r="T186" i="10"/>
  <c r="P186" i="10"/>
  <c r="N186" i="10"/>
  <c r="U186" i="10"/>
  <c r="O91" i="11"/>
  <c r="N91" i="11"/>
  <c r="M91" i="11"/>
  <c r="L91" i="11"/>
  <c r="K91" i="11"/>
  <c r="P91" i="11"/>
  <c r="Q91" i="11"/>
  <c r="Q151" i="11"/>
  <c r="P151" i="11"/>
  <c r="L151" i="11"/>
  <c r="P222" i="11"/>
  <c r="Q222" i="11"/>
  <c r="N222" i="11"/>
  <c r="L222" i="11"/>
  <c r="K222" i="11"/>
  <c r="W52" i="10"/>
  <c r="V52" i="10"/>
  <c r="U52" i="10"/>
  <c r="S52" i="10"/>
  <c r="R52" i="10"/>
  <c r="P52" i="10"/>
  <c r="T55" i="10"/>
  <c r="S55" i="10"/>
  <c r="Q55" i="10"/>
  <c r="O55" i="10"/>
  <c r="V60" i="10"/>
  <c r="T60" i="10"/>
  <c r="S60" i="10"/>
  <c r="P60" i="10"/>
  <c r="N60" i="10"/>
  <c r="S77" i="10"/>
  <c r="U77" i="10"/>
  <c r="P77" i="10"/>
  <c r="W110" i="10"/>
  <c r="V110" i="10"/>
  <c r="U110" i="10"/>
  <c r="T110" i="10"/>
  <c r="R110" i="10"/>
  <c r="O110" i="10"/>
  <c r="S130" i="10"/>
  <c r="P130" i="10"/>
  <c r="O130" i="10"/>
  <c r="V130" i="10"/>
  <c r="U184" i="10"/>
  <c r="S184" i="10"/>
  <c r="W184" i="10"/>
  <c r="R184" i="10"/>
  <c r="P184" i="10"/>
  <c r="W199" i="10"/>
  <c r="Q199" i="10"/>
  <c r="Q77" i="11"/>
  <c r="P77" i="11"/>
  <c r="N77" i="11"/>
  <c r="K77" i="11"/>
  <c r="K142" i="11"/>
  <c r="P142" i="11"/>
  <c r="O142" i="11"/>
  <c r="N142" i="11"/>
  <c r="L142" i="11"/>
  <c r="Q161" i="11"/>
  <c r="P161" i="11"/>
  <c r="N161" i="11"/>
  <c r="R144" i="8"/>
  <c r="T157" i="8"/>
  <c r="P36" i="10"/>
  <c r="V36" i="10"/>
  <c r="T36" i="10"/>
  <c r="R36" i="10"/>
  <c r="P105" i="10"/>
  <c r="V105" i="10"/>
  <c r="T105" i="10"/>
  <c r="R105" i="10"/>
  <c r="W160" i="10"/>
  <c r="N160" i="10"/>
  <c r="V160" i="10"/>
  <c r="S160" i="10"/>
  <c r="V166" i="10"/>
  <c r="R166" i="10"/>
  <c r="U166" i="10"/>
  <c r="Q166" i="10"/>
  <c r="W168" i="10"/>
  <c r="T168" i="10"/>
  <c r="P168" i="10"/>
  <c r="L110" i="11"/>
  <c r="K161" i="11"/>
  <c r="U136" i="10"/>
  <c r="T136" i="10"/>
  <c r="N184" i="10"/>
  <c r="T199" i="10"/>
  <c r="Q131" i="11"/>
  <c r="P131" i="11"/>
  <c r="O131" i="11"/>
  <c r="N131" i="11"/>
  <c r="L131" i="11"/>
  <c r="Q156" i="11"/>
  <c r="P156" i="11"/>
  <c r="Q197" i="11"/>
  <c r="P197" i="11"/>
  <c r="O197" i="11"/>
  <c r="N197" i="11"/>
  <c r="M197" i="11"/>
  <c r="P231" i="11"/>
  <c r="Q231" i="11"/>
  <c r="N231" i="11"/>
  <c r="M231" i="11"/>
  <c r="L231" i="11"/>
  <c r="M241" i="11"/>
  <c r="K241" i="11"/>
  <c r="P86" i="11"/>
  <c r="O86" i="11"/>
  <c r="L86" i="11"/>
  <c r="Q103" i="11"/>
  <c r="P103" i="11"/>
  <c r="O103" i="11"/>
  <c r="N103" i="11"/>
  <c r="M103" i="11"/>
  <c r="T23" i="10"/>
  <c r="S23" i="10"/>
  <c r="P23" i="10"/>
  <c r="P25" i="10"/>
  <c r="T25" i="10"/>
  <c r="S25" i="10"/>
  <c r="R25" i="10"/>
  <c r="N25" i="10"/>
  <c r="W34" i="10"/>
  <c r="T34" i="10"/>
  <c r="S34" i="10"/>
  <c r="O34" i="10"/>
  <c r="V65" i="10"/>
  <c r="T65" i="10"/>
  <c r="R65" i="10"/>
  <c r="L103" i="11"/>
  <c r="Q201" i="11"/>
  <c r="P9" i="10"/>
  <c r="S9" i="10"/>
  <c r="O9" i="10"/>
  <c r="S67" i="10"/>
  <c r="U67" i="10"/>
  <c r="P67" i="10"/>
  <c r="U127" i="10"/>
  <c r="T127" i="10"/>
  <c r="V127" i="10"/>
  <c r="R127" i="10"/>
  <c r="W134" i="10"/>
  <c r="V134" i="10"/>
  <c r="U134" i="10"/>
  <c r="T134" i="10"/>
  <c r="R134" i="10"/>
  <c r="P134" i="10"/>
  <c r="N134" i="10"/>
  <c r="Q84" i="11"/>
  <c r="P84" i="11"/>
  <c r="O84" i="11"/>
  <c r="M84" i="11"/>
  <c r="V106" i="8"/>
  <c r="W106" i="8" s="1"/>
  <c r="R23" i="10"/>
  <c r="V25" i="10"/>
  <c r="P34" i="10"/>
  <c r="P65" i="10"/>
  <c r="W153" i="10"/>
  <c r="S153" i="10"/>
  <c r="P153" i="10"/>
  <c r="O153" i="10"/>
  <c r="N153" i="10"/>
  <c r="P172" i="10"/>
  <c r="V172" i="10"/>
  <c r="U172" i="10"/>
  <c r="R172" i="10"/>
  <c r="L187" i="11"/>
  <c r="P246" i="11"/>
  <c r="Q246" i="11"/>
  <c r="N246" i="11"/>
  <c r="M246" i="11"/>
  <c r="L246" i="11"/>
  <c r="K246" i="11"/>
  <c r="W38" i="10"/>
  <c r="W62" i="10"/>
  <c r="W78" i="10"/>
  <c r="W118" i="10"/>
  <c r="V118" i="10"/>
  <c r="O142" i="10"/>
  <c r="N142" i="10"/>
  <c r="U192" i="10"/>
  <c r="S192" i="10"/>
  <c r="Q192" i="10"/>
  <c r="P192" i="10"/>
  <c r="Q170" i="11"/>
  <c r="P170" i="11"/>
  <c r="O170" i="11"/>
  <c r="N170" i="11"/>
  <c r="P195" i="11"/>
  <c r="Q195" i="11"/>
  <c r="O195" i="11"/>
  <c r="N195" i="11"/>
  <c r="Q206" i="11"/>
  <c r="P206" i="11"/>
  <c r="K236" i="11"/>
  <c r="K252" i="11"/>
  <c r="Q14" i="10"/>
  <c r="A66" i="11"/>
  <c r="F66" i="11" s="1"/>
  <c r="O15" i="10"/>
  <c r="P41" i="10"/>
  <c r="N54" i="10"/>
  <c r="Q70" i="10"/>
  <c r="A122" i="11"/>
  <c r="O71" i="10"/>
  <c r="N73" i="10"/>
  <c r="N76" i="10"/>
  <c r="U99" i="10"/>
  <c r="O103" i="10"/>
  <c r="V111" i="10"/>
  <c r="N118" i="10"/>
  <c r="O126" i="10"/>
  <c r="N126" i="10"/>
  <c r="U133" i="10"/>
  <c r="S133" i="10"/>
  <c r="U140" i="10"/>
  <c r="T140" i="10"/>
  <c r="N140" i="10"/>
  <c r="P142" i="10"/>
  <c r="W171" i="10"/>
  <c r="T171" i="10"/>
  <c r="P178" i="10"/>
  <c r="W178" i="10"/>
  <c r="N192" i="10"/>
  <c r="Q95" i="11"/>
  <c r="P95" i="11"/>
  <c r="O95" i="11"/>
  <c r="N95" i="11"/>
  <c r="M95" i="11"/>
  <c r="Q106" i="11"/>
  <c r="P106" i="11"/>
  <c r="O106" i="11"/>
  <c r="Q108" i="11"/>
  <c r="M108" i="11"/>
  <c r="P115" i="11"/>
  <c r="O115" i="11"/>
  <c r="N115" i="11"/>
  <c r="M115" i="11"/>
  <c r="L115" i="11"/>
  <c r="O158" i="11"/>
  <c r="L170" i="11"/>
  <c r="L195" i="11"/>
  <c r="Q202" i="11"/>
  <c r="O202" i="11"/>
  <c r="N202" i="11"/>
  <c r="M202" i="11"/>
  <c r="K202" i="11"/>
  <c r="L206" i="11"/>
  <c r="M252" i="11"/>
  <c r="S137" i="10"/>
  <c r="P137" i="10"/>
  <c r="O137" i="10"/>
  <c r="W147" i="10"/>
  <c r="T147" i="10"/>
  <c r="P147" i="10"/>
  <c r="Q163" i="10"/>
  <c r="W163" i="10"/>
  <c r="V163" i="10"/>
  <c r="P163" i="10"/>
  <c r="P88" i="11"/>
  <c r="O88" i="11"/>
  <c r="N88" i="11"/>
  <c r="M88" i="11"/>
  <c r="L88" i="11"/>
  <c r="N191" i="11"/>
  <c r="Q191" i="11"/>
  <c r="P191" i="11"/>
  <c r="P213" i="11"/>
  <c r="Q213" i="11"/>
  <c r="N213" i="11"/>
  <c r="M213" i="11"/>
  <c r="L213" i="11"/>
  <c r="K213" i="11"/>
  <c r="N252" i="11"/>
  <c r="V41" i="10"/>
  <c r="P54" i="10"/>
  <c r="N70" i="10"/>
  <c r="R71" i="10"/>
  <c r="R73" i="10"/>
  <c r="R76" i="10"/>
  <c r="N82" i="10"/>
  <c r="O88" i="10"/>
  <c r="N91" i="10"/>
  <c r="N102" i="10"/>
  <c r="Q103" i="10"/>
  <c r="P118" i="10"/>
  <c r="P126" i="10"/>
  <c r="Q131" i="10"/>
  <c r="N133" i="10"/>
  <c r="T142" i="10"/>
  <c r="N171" i="10"/>
  <c r="T173" i="10"/>
  <c r="R173" i="10"/>
  <c r="P173" i="10"/>
  <c r="N173" i="10"/>
  <c r="N178" i="10"/>
  <c r="P187" i="10"/>
  <c r="Q189" i="10"/>
  <c r="W189" i="10"/>
  <c r="R189" i="10"/>
  <c r="P189" i="10"/>
  <c r="V192" i="10"/>
  <c r="N195" i="10"/>
  <c r="K88" i="11"/>
  <c r="O92" i="11"/>
  <c r="L95" i="11"/>
  <c r="L106" i="11"/>
  <c r="Q112" i="11"/>
  <c r="P112" i="11"/>
  <c r="O112" i="11"/>
  <c r="N112" i="11"/>
  <c r="Q115" i="11"/>
  <c r="L122" i="11"/>
  <c r="L129" i="11"/>
  <c r="Q137" i="11"/>
  <c r="P137" i="11"/>
  <c r="O137" i="11"/>
  <c r="N137" i="11"/>
  <c r="M137" i="11"/>
  <c r="Q158" i="11"/>
  <c r="K191" i="11"/>
  <c r="N206" i="11"/>
  <c r="P219" i="11"/>
  <c r="Q219" i="11"/>
  <c r="N219" i="11"/>
  <c r="O233" i="11"/>
  <c r="N248" i="11"/>
  <c r="Q252" i="11"/>
  <c r="O14" i="10"/>
  <c r="T15" i="10"/>
  <c r="P28" i="10"/>
  <c r="T31" i="10"/>
  <c r="P33" i="10"/>
  <c r="N38" i="10"/>
  <c r="N51" i="10"/>
  <c r="R54" i="10"/>
  <c r="N62" i="10"/>
  <c r="S64" i="10"/>
  <c r="O70" i="10"/>
  <c r="S71" i="10"/>
  <c r="S73" i="10"/>
  <c r="S76" i="10"/>
  <c r="N78" i="10"/>
  <c r="O82" i="10"/>
  <c r="N84" i="10"/>
  <c r="S88" i="10"/>
  <c r="P91" i="10"/>
  <c r="N93" i="10"/>
  <c r="N100" i="10"/>
  <c r="O102" i="10"/>
  <c r="S103" i="10"/>
  <c r="N112" i="10"/>
  <c r="R118" i="10"/>
  <c r="R126" i="10"/>
  <c r="N128" i="10"/>
  <c r="R131" i="10"/>
  <c r="O133" i="10"/>
  <c r="N137" i="10"/>
  <c r="U142" i="10"/>
  <c r="O147" i="10"/>
  <c r="N163" i="10"/>
  <c r="P171" i="10"/>
  <c r="R178" i="10"/>
  <c r="Q187" i="10"/>
  <c r="W192" i="10"/>
  <c r="O195" i="10"/>
  <c r="W200" i="10"/>
  <c r="Q88" i="11"/>
  <c r="P92" i="11"/>
  <c r="N99" i="11"/>
  <c r="Q99" i="11"/>
  <c r="P99" i="11"/>
  <c r="O99" i="11"/>
  <c r="M99" i="11"/>
  <c r="L99" i="11"/>
  <c r="M106" i="11"/>
  <c r="Q119" i="11"/>
  <c r="P119" i="11"/>
  <c r="O119" i="11"/>
  <c r="N119" i="11"/>
  <c r="M119" i="11"/>
  <c r="Q125" i="11"/>
  <c r="O125" i="11"/>
  <c r="M125" i="11"/>
  <c r="L125" i="11"/>
  <c r="K125" i="11"/>
  <c r="M129" i="11"/>
  <c r="Q159" i="11"/>
  <c r="N159" i="11"/>
  <c r="Q175" i="11"/>
  <c r="O175" i="11"/>
  <c r="N175" i="11"/>
  <c r="L191" i="11"/>
  <c r="P204" i="11"/>
  <c r="Q204" i="11"/>
  <c r="O204" i="11"/>
  <c r="O206" i="11"/>
  <c r="P243" i="11"/>
  <c r="Q243" i="11"/>
  <c r="N243" i="11"/>
  <c r="M243" i="11"/>
  <c r="L243" i="11"/>
  <c r="K243" i="11"/>
  <c r="P14" i="10"/>
  <c r="U15" i="10"/>
  <c r="R28" i="10"/>
  <c r="R33" i="10"/>
  <c r="O38" i="10"/>
  <c r="O51" i="10"/>
  <c r="T54" i="10"/>
  <c r="O62" i="10"/>
  <c r="T64" i="10"/>
  <c r="P70" i="10"/>
  <c r="T71" i="10"/>
  <c r="T73" i="10"/>
  <c r="T76" i="10"/>
  <c r="O78" i="10"/>
  <c r="P82" i="10"/>
  <c r="R84" i="10"/>
  <c r="Q91" i="10"/>
  <c r="Q93" i="10"/>
  <c r="P100" i="10"/>
  <c r="S112" i="10"/>
  <c r="T118" i="10"/>
  <c r="T126" i="10"/>
  <c r="O128" i="10"/>
  <c r="P133" i="10"/>
  <c r="R137" i="10"/>
  <c r="V142" i="10"/>
  <c r="Q147" i="10"/>
  <c r="R163" i="10"/>
  <c r="Q171" i="10"/>
  <c r="S178" i="10"/>
  <c r="R187" i="10"/>
  <c r="O193" i="10"/>
  <c r="T193" i="10"/>
  <c r="R193" i="10"/>
  <c r="P195" i="10"/>
  <c r="T198" i="10"/>
  <c r="S198" i="10"/>
  <c r="Q198" i="10"/>
  <c r="K99" i="11"/>
  <c r="N106" i="11"/>
  <c r="K119" i="11"/>
  <c r="N123" i="11"/>
  <c r="Q123" i="11"/>
  <c r="P123" i="11"/>
  <c r="O123" i="11"/>
  <c r="L175" i="11"/>
  <c r="M191" i="11"/>
  <c r="K204" i="11"/>
  <c r="P216" i="11"/>
  <c r="Q216" i="11"/>
  <c r="P234" i="11"/>
  <c r="Q234" i="11"/>
  <c r="N234" i="11"/>
  <c r="M234" i="11"/>
  <c r="L234" i="11"/>
  <c r="K234" i="11"/>
  <c r="P249" i="11"/>
  <c r="Q249" i="11"/>
  <c r="N249" i="11"/>
  <c r="M249" i="11"/>
  <c r="R14" i="10"/>
  <c r="P51" i="10"/>
  <c r="R70" i="10"/>
  <c r="V73" i="10"/>
  <c r="S84" i="10"/>
  <c r="Q94" i="10"/>
  <c r="A146" i="11"/>
  <c r="G146" i="11" s="1"/>
  <c r="T112" i="10"/>
  <c r="U118" i="10"/>
  <c r="P128" i="10"/>
  <c r="U137" i="10"/>
  <c r="W142" i="10"/>
  <c r="S147" i="10"/>
  <c r="S163" i="10"/>
  <c r="Q69" i="11"/>
  <c r="M69" i="11"/>
  <c r="K69" i="11"/>
  <c r="Q80" i="11"/>
  <c r="P80" i="11"/>
  <c r="O130" i="11"/>
  <c r="N130" i="11"/>
  <c r="M130" i="11"/>
  <c r="L130" i="11"/>
  <c r="K130" i="11"/>
  <c r="Q133" i="11"/>
  <c r="P133" i="11"/>
  <c r="O133" i="11"/>
  <c r="N133" i="11"/>
  <c r="O191" i="11"/>
  <c r="N200" i="11"/>
  <c r="P200" i="11"/>
  <c r="O200" i="11"/>
  <c r="M200" i="11"/>
  <c r="L200" i="11"/>
  <c r="K200" i="11"/>
  <c r="K249" i="11"/>
  <c r="L184" i="11"/>
  <c r="L228" i="11"/>
  <c r="K237" i="11"/>
  <c r="K240" i="11"/>
  <c r="M253" i="11"/>
  <c r="R165" i="10"/>
  <c r="R170" i="10"/>
  <c r="P181" i="10"/>
  <c r="Q183" i="10"/>
  <c r="N188" i="10"/>
  <c r="K81" i="11"/>
  <c r="K83" i="11"/>
  <c r="L94" i="11"/>
  <c r="K109" i="11"/>
  <c r="L111" i="11"/>
  <c r="L118" i="11"/>
  <c r="L146" i="11"/>
  <c r="M152" i="11"/>
  <c r="K155" i="11"/>
  <c r="L157" i="11"/>
  <c r="O160" i="11"/>
  <c r="K162" i="11"/>
  <c r="L164" i="11"/>
  <c r="L167" i="11"/>
  <c r="M184" i="11"/>
  <c r="L192" i="11"/>
  <c r="N205" i="11"/>
  <c r="M228" i="11"/>
  <c r="L237" i="11"/>
  <c r="L240" i="11"/>
  <c r="N253" i="11"/>
  <c r="S183" i="10"/>
  <c r="K87" i="11"/>
  <c r="M111" i="11"/>
  <c r="M132" i="11"/>
  <c r="K209" i="11"/>
  <c r="K225" i="11"/>
  <c r="N228" i="11"/>
  <c r="M237" i="11"/>
  <c r="M240" i="11"/>
  <c r="O253" i="11"/>
  <c r="F22" i="6"/>
  <c r="K22" i="6" s="1"/>
  <c r="K12" i="6"/>
  <c r="K24" i="6"/>
  <c r="E55" i="6"/>
  <c r="F55" i="6" s="1"/>
  <c r="E67" i="6"/>
  <c r="F67" i="6" s="1"/>
  <c r="E79" i="6"/>
  <c r="F79" i="6" s="1"/>
  <c r="E91" i="6"/>
  <c r="F91" i="6" s="1"/>
  <c r="E42" i="6"/>
  <c r="F42" i="6" s="1"/>
  <c r="T4" i="6"/>
  <c r="P6" i="6"/>
  <c r="K11" i="6"/>
  <c r="E18" i="6"/>
  <c r="F18" i="6" s="1"/>
  <c r="K23" i="6"/>
  <c r="E30" i="6"/>
  <c r="F30" i="6" s="1"/>
  <c r="AC201" i="4"/>
  <c r="AC170" i="4"/>
  <c r="AC131" i="4"/>
  <c r="AC101" i="4"/>
  <c r="AC151" i="4"/>
  <c r="AC44" i="4"/>
  <c r="AC10" i="4"/>
  <c r="AC157" i="4"/>
  <c r="AC71" i="4"/>
  <c r="AC64" i="4"/>
  <c r="AC67" i="4"/>
  <c r="Q6" i="6"/>
  <c r="O6" i="6"/>
  <c r="E7" i="6"/>
  <c r="F7" i="6" s="1"/>
  <c r="AC16" i="4"/>
  <c r="Q2" i="6"/>
  <c r="E43" i="6"/>
  <c r="F43" i="6" s="1"/>
  <c r="F94" i="6"/>
  <c r="K94" i="6" s="1"/>
  <c r="AC24" i="4"/>
  <c r="AC78" i="4"/>
  <c r="K37" i="6"/>
  <c r="F82" i="6"/>
  <c r="K82" i="6" s="1"/>
  <c r="K13" i="6"/>
  <c r="K19" i="6"/>
  <c r="K25" i="6"/>
  <c r="E31" i="6"/>
  <c r="F31" i="6" s="1"/>
  <c r="F46" i="6"/>
  <c r="K46" i="6" s="1"/>
  <c r="F70" i="6"/>
  <c r="K70" i="6" s="1"/>
  <c r="E14" i="6"/>
  <c r="F14" i="6" s="1"/>
  <c r="E26" i="6"/>
  <c r="F26" i="6" s="1"/>
  <c r="K48" i="6"/>
  <c r="K60" i="6"/>
  <c r="K72" i="6"/>
  <c r="K84" i="6"/>
  <c r="K96" i="6"/>
  <c r="AC140" i="4"/>
  <c r="B13" i="11"/>
  <c r="B12" i="11"/>
  <c r="B44" i="11"/>
  <c r="B11" i="11"/>
  <c r="B14" i="11"/>
  <c r="D2" i="3"/>
  <c r="E2" i="3" s="1"/>
  <c r="F2" i="3" s="1"/>
  <c r="B10" i="11" s="1"/>
  <c r="F10" i="6"/>
  <c r="K10" i="6" s="1"/>
  <c r="N5" i="6"/>
  <c r="T2" i="6"/>
  <c r="N4" i="6"/>
  <c r="R2" i="6"/>
  <c r="P4" i="6"/>
  <c r="K5" i="6"/>
  <c r="T6" i="6"/>
  <c r="N3" i="6"/>
  <c r="P2" i="6"/>
  <c r="S6" i="6"/>
  <c r="O2" i="6"/>
  <c r="E5" i="6"/>
  <c r="F5" i="6" s="1"/>
  <c r="F58" i="6"/>
  <c r="K58" i="6" s="1"/>
  <c r="O3" i="6"/>
  <c r="S5" i="6"/>
  <c r="F34" i="6"/>
  <c r="K34" i="6" s="1"/>
  <c r="K47" i="6"/>
  <c r="E54" i="6"/>
  <c r="F54" i="6" s="1"/>
  <c r="K59" i="6"/>
  <c r="E66" i="6"/>
  <c r="F66" i="6" s="1"/>
  <c r="K71" i="6"/>
  <c r="E78" i="6"/>
  <c r="F78" i="6" s="1"/>
  <c r="K83" i="6"/>
  <c r="E90" i="6"/>
  <c r="F90" i="6" s="1"/>
  <c r="K95" i="6"/>
  <c r="L3" i="10"/>
  <c r="E201" i="9"/>
  <c r="E193" i="9"/>
  <c r="E186" i="9"/>
  <c r="E199" i="9"/>
  <c r="E191" i="9"/>
  <c r="E183" i="9"/>
  <c r="E175" i="9"/>
  <c r="E168" i="9"/>
  <c r="G168" i="9" s="1"/>
  <c r="E160" i="9"/>
  <c r="E145" i="9"/>
  <c r="E137" i="9"/>
  <c r="E125" i="9"/>
  <c r="E116" i="9"/>
  <c r="E107" i="9"/>
  <c r="E98" i="9"/>
  <c r="E89" i="9"/>
  <c r="E80" i="9"/>
  <c r="E71" i="9"/>
  <c r="E62" i="9"/>
  <c r="E53" i="9"/>
  <c r="E44" i="9"/>
  <c r="E35" i="9"/>
  <c r="E26" i="9"/>
  <c r="E17" i="9"/>
  <c r="E8" i="9"/>
  <c r="E190" i="9"/>
  <c r="E172" i="9"/>
  <c r="G172" i="9" s="1"/>
  <c r="E171" i="9"/>
  <c r="E128" i="9"/>
  <c r="E111" i="9"/>
  <c r="E103" i="9"/>
  <c r="E95" i="9"/>
  <c r="E78" i="9"/>
  <c r="E192" i="9"/>
  <c r="E170" i="9"/>
  <c r="E146" i="9"/>
  <c r="E144" i="9"/>
  <c r="E127" i="9"/>
  <c r="E119" i="9"/>
  <c r="D33" i="11"/>
  <c r="E163" i="9"/>
  <c r="E162" i="9"/>
  <c r="E138" i="9"/>
  <c r="E124" i="9"/>
  <c r="E108" i="9"/>
  <c r="E91" i="9"/>
  <c r="E83" i="9"/>
  <c r="E66" i="9"/>
  <c r="E58" i="9"/>
  <c r="G58" i="9" s="1"/>
  <c r="E50" i="9"/>
  <c r="E33" i="9"/>
  <c r="E16" i="9"/>
  <c r="E197" i="9"/>
  <c r="E182" i="9"/>
  <c r="E181" i="9"/>
  <c r="E179" i="9"/>
  <c r="E178" i="9"/>
  <c r="E195" i="9"/>
  <c r="E139" i="9"/>
  <c r="E134" i="9"/>
  <c r="E121" i="9"/>
  <c r="E115" i="9"/>
  <c r="E198" i="9"/>
  <c r="E165" i="9"/>
  <c r="E156" i="9"/>
  <c r="E150" i="9"/>
  <c r="E129" i="9"/>
  <c r="E122" i="9"/>
  <c r="E99" i="9"/>
  <c r="E82" i="9"/>
  <c r="E81" i="9"/>
  <c r="E69" i="9"/>
  <c r="E38" i="9"/>
  <c r="E37" i="9"/>
  <c r="E187" i="9"/>
  <c r="E184" i="9"/>
  <c r="E177" i="9"/>
  <c r="E173" i="9"/>
  <c r="E151" i="9"/>
  <c r="E135" i="9"/>
  <c r="E130" i="9"/>
  <c r="E123" i="9"/>
  <c r="E102" i="9"/>
  <c r="E100" i="9"/>
  <c r="E152" i="9"/>
  <c r="E131" i="9"/>
  <c r="E86" i="9"/>
  <c r="E63" i="9"/>
  <c r="E61" i="9"/>
  <c r="E147" i="9"/>
  <c r="E132" i="9"/>
  <c r="G132" i="9" s="1"/>
  <c r="E90" i="9"/>
  <c r="E54" i="9"/>
  <c r="E52" i="9"/>
  <c r="E25" i="9"/>
  <c r="E24" i="9"/>
  <c r="E167" i="9"/>
  <c r="E161" i="9"/>
  <c r="E153" i="9"/>
  <c r="E140" i="9"/>
  <c r="E136" i="9"/>
  <c r="E75" i="9"/>
  <c r="E47" i="9"/>
  <c r="E15" i="9"/>
  <c r="E188" i="9"/>
  <c r="E169" i="9"/>
  <c r="E155" i="9"/>
  <c r="E142" i="9"/>
  <c r="E93" i="9"/>
  <c r="E126" i="9"/>
  <c r="E117" i="9"/>
  <c r="E112" i="9"/>
  <c r="E105" i="9"/>
  <c r="E96" i="9"/>
  <c r="E88" i="9"/>
  <c r="E85" i="9"/>
  <c r="E68" i="9"/>
  <c r="E65" i="9"/>
  <c r="E51" i="9"/>
  <c r="E48" i="9"/>
  <c r="E39" i="9"/>
  <c r="E21" i="9"/>
  <c r="E20" i="9"/>
  <c r="E18" i="9"/>
  <c r="E11" i="9"/>
  <c r="E10" i="9"/>
  <c r="E185" i="9"/>
  <c r="E196" i="9"/>
  <c r="E149" i="9"/>
  <c r="E110" i="9"/>
  <c r="E55" i="9"/>
  <c r="E23" i="9"/>
  <c r="E5" i="9"/>
  <c r="E4" i="9"/>
  <c r="E3" i="9"/>
  <c r="E202" i="9"/>
  <c r="E180" i="9"/>
  <c r="E76" i="9"/>
  <c r="E49" i="9"/>
  <c r="E12" i="9"/>
  <c r="E109" i="9"/>
  <c r="E104" i="9"/>
  <c r="E189" i="9"/>
  <c r="E157" i="9"/>
  <c r="E141" i="9"/>
  <c r="E97" i="9"/>
  <c r="E79" i="9"/>
  <c r="E74" i="9"/>
  <c r="E67" i="9"/>
  <c r="E60" i="9"/>
  <c r="E34" i="9"/>
  <c r="E30" i="9"/>
  <c r="E9" i="9"/>
  <c r="E94" i="9"/>
  <c r="E64" i="9"/>
  <c r="E46" i="9"/>
  <c r="E29" i="9"/>
  <c r="E176" i="9"/>
  <c r="E133" i="9"/>
  <c r="E114" i="9"/>
  <c r="E84" i="9"/>
  <c r="E27" i="9"/>
  <c r="E6" i="9"/>
  <c r="E194" i="9"/>
  <c r="E166" i="9"/>
  <c r="E159" i="9"/>
  <c r="E72" i="9"/>
  <c r="E70" i="9"/>
  <c r="E57" i="9"/>
  <c r="E200" i="9"/>
  <c r="E32" i="9"/>
  <c r="E143" i="9"/>
  <c r="E120" i="9"/>
  <c r="E158" i="9"/>
  <c r="E41" i="9"/>
  <c r="E113" i="9"/>
  <c r="E87" i="9"/>
  <c r="E118" i="9"/>
  <c r="E101" i="9"/>
  <c r="E73" i="9"/>
  <c r="E22" i="9"/>
  <c r="E19" i="9"/>
  <c r="E7" i="9"/>
  <c r="E43" i="9"/>
  <c r="E40" i="9"/>
  <c r="E56" i="9"/>
  <c r="E148" i="9"/>
  <c r="E14" i="9"/>
  <c r="E106" i="9"/>
  <c r="E59" i="9"/>
  <c r="E42" i="9"/>
  <c r="E154" i="9"/>
  <c r="E36" i="9"/>
  <c r="E31" i="9"/>
  <c r="E13" i="9"/>
  <c r="E164" i="9"/>
  <c r="E92" i="9"/>
  <c r="E77" i="9"/>
  <c r="E174" i="9"/>
  <c r="E28" i="9"/>
  <c r="E45" i="9"/>
  <c r="U3" i="5"/>
  <c r="F4" i="2"/>
  <c r="Z3" i="4"/>
  <c r="AC136" i="4"/>
  <c r="N2" i="6"/>
  <c r="T5" i="6"/>
  <c r="R6" i="6"/>
  <c r="K15" i="6"/>
  <c r="K27" i="6"/>
  <c r="E38" i="6"/>
  <c r="F38" i="6" s="1"/>
  <c r="K39" i="6"/>
  <c r="E50" i="6"/>
  <c r="K51" i="6"/>
  <c r="E62" i="6"/>
  <c r="F62" i="6" s="1"/>
  <c r="K63" i="6"/>
  <c r="E74" i="6"/>
  <c r="K75" i="6"/>
  <c r="E86" i="6"/>
  <c r="F86" i="6" s="1"/>
  <c r="K87" i="6"/>
  <c r="E98" i="6"/>
  <c r="F98" i="6" s="1"/>
  <c r="K99" i="6"/>
  <c r="C12" i="2"/>
  <c r="D12" i="2" s="1"/>
  <c r="E12" i="2" s="1"/>
  <c r="E13" i="2" s="1"/>
  <c r="E14" i="2" s="1"/>
  <c r="E15" i="2" s="1"/>
  <c r="L42" i="4"/>
  <c r="AC45" i="4"/>
  <c r="I175" i="7"/>
  <c r="E6" i="6"/>
  <c r="F6" i="6" s="1"/>
  <c r="F9" i="6"/>
  <c r="K9" i="6" s="1"/>
  <c r="E16" i="6"/>
  <c r="F16" i="6" s="1"/>
  <c r="F21" i="6"/>
  <c r="K21" i="6" s="1"/>
  <c r="E28" i="6"/>
  <c r="F28" i="6" s="1"/>
  <c r="F33" i="6"/>
  <c r="K33" i="6" s="1"/>
  <c r="E40" i="6"/>
  <c r="E52" i="6"/>
  <c r="F52" i="6" s="1"/>
  <c r="E64" i="6"/>
  <c r="F64" i="6" s="1"/>
  <c r="E76" i="6"/>
  <c r="E88" i="6"/>
  <c r="E100" i="6"/>
  <c r="F100" i="6" s="1"/>
  <c r="L2" i="10"/>
  <c r="B195" i="9"/>
  <c r="B200" i="9"/>
  <c r="B177" i="9"/>
  <c r="B162" i="9"/>
  <c r="B154" i="9"/>
  <c r="B146" i="9"/>
  <c r="B126" i="9"/>
  <c r="B117" i="9"/>
  <c r="B108" i="9"/>
  <c r="B99" i="9"/>
  <c r="B90" i="9"/>
  <c r="B81" i="9"/>
  <c r="B72" i="9"/>
  <c r="B63" i="9"/>
  <c r="B54" i="9"/>
  <c r="B45" i="9"/>
  <c r="B36" i="9"/>
  <c r="B27" i="9"/>
  <c r="B18" i="9"/>
  <c r="B9" i="9"/>
  <c r="B199" i="9"/>
  <c r="B198" i="9"/>
  <c r="B186" i="9"/>
  <c r="B175" i="9"/>
  <c r="B151" i="9"/>
  <c r="B150" i="9"/>
  <c r="B149" i="9"/>
  <c r="B121" i="9"/>
  <c r="B113" i="9"/>
  <c r="B105" i="9"/>
  <c r="B88" i="9"/>
  <c r="B188" i="9"/>
  <c r="B187" i="9"/>
  <c r="B174" i="9"/>
  <c r="B173" i="9"/>
  <c r="B148" i="9"/>
  <c r="B129" i="9"/>
  <c r="B201" i="9"/>
  <c r="B194" i="9"/>
  <c r="B166" i="9"/>
  <c r="B142" i="9"/>
  <c r="B141" i="9"/>
  <c r="B140" i="9"/>
  <c r="B118" i="9"/>
  <c r="B101" i="9"/>
  <c r="B93" i="9"/>
  <c r="B76" i="9"/>
  <c r="B68" i="9"/>
  <c r="B60" i="9"/>
  <c r="B43" i="9"/>
  <c r="B26" i="9"/>
  <c r="B10" i="9"/>
  <c r="B192" i="9"/>
  <c r="B176" i="9"/>
  <c r="B164" i="9"/>
  <c r="B143" i="9"/>
  <c r="B138" i="9"/>
  <c r="B133" i="9"/>
  <c r="B128" i="9"/>
  <c r="B120" i="9"/>
  <c r="B183" i="9"/>
  <c r="B180" i="9"/>
  <c r="B169" i="9"/>
  <c r="B155" i="9"/>
  <c r="B95" i="9"/>
  <c r="B77" i="9"/>
  <c r="B75" i="9"/>
  <c r="B74" i="9"/>
  <c r="B46" i="9"/>
  <c r="B44" i="9"/>
  <c r="B160" i="9"/>
  <c r="B144" i="9"/>
  <c r="B139" i="9"/>
  <c r="B134" i="9"/>
  <c r="B114" i="9"/>
  <c r="B98" i="9"/>
  <c r="B97" i="9"/>
  <c r="B96" i="9"/>
  <c r="B80" i="9"/>
  <c r="B79" i="9"/>
  <c r="B78" i="9"/>
  <c r="B73" i="9"/>
  <c r="B71" i="9"/>
  <c r="B193" i="9"/>
  <c r="B184" i="9"/>
  <c r="B170" i="9"/>
  <c r="B161" i="9"/>
  <c r="B156" i="9"/>
  <c r="B145" i="9"/>
  <c r="B130" i="9"/>
  <c r="B116" i="9"/>
  <c r="B100" i="9"/>
  <c r="B83" i="9"/>
  <c r="B82" i="9"/>
  <c r="B69" i="9"/>
  <c r="B67" i="9"/>
  <c r="B191" i="9"/>
  <c r="B185" i="9"/>
  <c r="B167" i="9"/>
  <c r="B136" i="9"/>
  <c r="B125" i="9"/>
  <c r="B87" i="9"/>
  <c r="B61" i="9"/>
  <c r="B59" i="9"/>
  <c r="B58" i="9"/>
  <c r="B30" i="9"/>
  <c r="B29" i="9"/>
  <c r="B202" i="9"/>
  <c r="B197" i="9"/>
  <c r="B179" i="9"/>
  <c r="B84" i="9"/>
  <c r="B50" i="9"/>
  <c r="B42" i="9"/>
  <c r="B181" i="9"/>
  <c r="B165" i="9"/>
  <c r="B159" i="9"/>
  <c r="B157" i="9"/>
  <c r="B153" i="9"/>
  <c r="B132" i="9"/>
  <c r="B109" i="9"/>
  <c r="B107" i="9"/>
  <c r="B190" i="9"/>
  <c r="B47" i="9"/>
  <c r="B38" i="9"/>
  <c r="B17" i="9"/>
  <c r="B16" i="9"/>
  <c r="B171" i="9"/>
  <c r="B163" i="9"/>
  <c r="B112" i="9"/>
  <c r="B124" i="9"/>
  <c r="B119" i="9"/>
  <c r="B115" i="9"/>
  <c r="B85" i="9"/>
  <c r="B51" i="9"/>
  <c r="B39" i="9"/>
  <c r="B20" i="9"/>
  <c r="B19" i="9"/>
  <c r="B12" i="9"/>
  <c r="B11" i="9"/>
  <c r="B8" i="9"/>
  <c r="B158" i="9"/>
  <c r="B122" i="9"/>
  <c r="B55" i="9"/>
  <c r="B32" i="9"/>
  <c r="B7" i="9"/>
  <c r="B196" i="9"/>
  <c r="B172" i="9"/>
  <c r="B102" i="9"/>
  <c r="B89" i="9"/>
  <c r="B49" i="9"/>
  <c r="B22" i="9"/>
  <c r="B127" i="9"/>
  <c r="B65" i="9"/>
  <c r="B40" i="9"/>
  <c r="B37" i="9"/>
  <c r="B14" i="9"/>
  <c r="B168" i="9"/>
  <c r="B147" i="9"/>
  <c r="B92" i="9"/>
  <c r="B53" i="9"/>
  <c r="B31" i="9"/>
  <c r="B24" i="9"/>
  <c r="B62" i="9"/>
  <c r="B48" i="9"/>
  <c r="B152" i="9"/>
  <c r="B137" i="9"/>
  <c r="B94" i="9"/>
  <c r="B86" i="9"/>
  <c r="B66" i="9"/>
  <c r="B64" i="9"/>
  <c r="B34" i="9"/>
  <c r="B111" i="9"/>
  <c r="B91" i="9"/>
  <c r="B15" i="9"/>
  <c r="B6" i="9"/>
  <c r="B178" i="9"/>
  <c r="B70" i="9"/>
  <c r="B57" i="9"/>
  <c r="B25" i="9"/>
  <c r="B182" i="9"/>
  <c r="B28" i="9"/>
  <c r="B123" i="9"/>
  <c r="B41" i="9"/>
  <c r="B131" i="9"/>
  <c r="B104" i="9"/>
  <c r="B33" i="9"/>
  <c r="B135" i="9"/>
  <c r="B35" i="9"/>
  <c r="B3" i="9"/>
  <c r="B56" i="9"/>
  <c r="B5" i="9"/>
  <c r="B189" i="9"/>
  <c r="B103" i="9"/>
  <c r="B52" i="9"/>
  <c r="B21" i="9"/>
  <c r="B4" i="9"/>
  <c r="B13" i="9"/>
  <c r="B106" i="9"/>
  <c r="B23" i="9"/>
  <c r="B110" i="9"/>
  <c r="U2" i="5"/>
  <c r="B20" i="11"/>
  <c r="L198" i="4"/>
  <c r="L171" i="4"/>
  <c r="L117" i="4"/>
  <c r="L111" i="4"/>
  <c r="L170" i="4"/>
  <c r="L201" i="4"/>
  <c r="L157" i="4"/>
  <c r="L195" i="4"/>
  <c r="L124" i="4"/>
  <c r="L106" i="4"/>
  <c r="L151" i="4"/>
  <c r="L93" i="4"/>
  <c r="L87" i="4"/>
  <c r="L144" i="4"/>
  <c r="L38" i="4"/>
  <c r="L26" i="4"/>
  <c r="L136" i="4"/>
  <c r="L67" i="4"/>
  <c r="L61" i="4"/>
  <c r="L176" i="4"/>
  <c r="L162" i="4"/>
  <c r="AC75" i="4"/>
  <c r="C10" i="11"/>
  <c r="C14" i="11"/>
  <c r="C13" i="11"/>
  <c r="C12" i="11"/>
  <c r="S2" i="6"/>
  <c r="O4" i="6"/>
  <c r="C13" i="2"/>
  <c r="D13" i="2" s="1"/>
  <c r="L120" i="4"/>
  <c r="L148" i="4"/>
  <c r="L48" i="7"/>
  <c r="J48" i="7" s="1"/>
  <c r="I48" i="7"/>
  <c r="N200" i="9"/>
  <c r="N191" i="9"/>
  <c r="N182" i="9"/>
  <c r="P182" i="9" s="1"/>
  <c r="N173" i="9"/>
  <c r="N164" i="9"/>
  <c r="N155" i="9"/>
  <c r="N146" i="9"/>
  <c r="N137" i="9"/>
  <c r="D14" i="11"/>
  <c r="L6" i="10"/>
  <c r="N189" i="9"/>
  <c r="N181" i="9"/>
  <c r="N186" i="9"/>
  <c r="N171" i="9"/>
  <c r="N163" i="9"/>
  <c r="N132" i="9"/>
  <c r="N195" i="9"/>
  <c r="N157" i="9"/>
  <c r="P157" i="9" s="1"/>
  <c r="N135" i="9"/>
  <c r="N134" i="9"/>
  <c r="N131" i="9"/>
  <c r="N123" i="9"/>
  <c r="N106" i="9"/>
  <c r="N89" i="9"/>
  <c r="N81" i="9"/>
  <c r="N196" i="9"/>
  <c r="N180" i="9"/>
  <c r="N179" i="9"/>
  <c r="N178" i="9"/>
  <c r="N156" i="9"/>
  <c r="N154" i="9"/>
  <c r="N133" i="9"/>
  <c r="N122" i="9"/>
  <c r="N114" i="9"/>
  <c r="N198" i="9"/>
  <c r="N187" i="9"/>
  <c r="N172" i="9"/>
  <c r="N170" i="9"/>
  <c r="N119" i="9"/>
  <c r="N111" i="9"/>
  <c r="N94" i="9"/>
  <c r="N86" i="9"/>
  <c r="N78" i="9"/>
  <c r="N61" i="9"/>
  <c r="N44" i="9"/>
  <c r="N36" i="9"/>
  <c r="N28" i="9"/>
  <c r="N11" i="9"/>
  <c r="N3" i="9"/>
  <c r="N202" i="9"/>
  <c r="N193" i="9"/>
  <c r="N185" i="9"/>
  <c r="N153" i="9"/>
  <c r="N125" i="9"/>
  <c r="N107" i="9"/>
  <c r="N199" i="9"/>
  <c r="N188" i="9"/>
  <c r="N174" i="9"/>
  <c r="N167" i="9"/>
  <c r="N162" i="9"/>
  <c r="N147" i="9"/>
  <c r="N141" i="9"/>
  <c r="N136" i="9"/>
  <c r="N118" i="9"/>
  <c r="N110" i="9"/>
  <c r="N108" i="9"/>
  <c r="N90" i="9"/>
  <c r="N158" i="9"/>
  <c r="N126" i="9"/>
  <c r="N109" i="9"/>
  <c r="N92" i="9"/>
  <c r="N91" i="9"/>
  <c r="N51" i="9"/>
  <c r="N50" i="9"/>
  <c r="N49" i="9"/>
  <c r="N194" i="9"/>
  <c r="N168" i="9"/>
  <c r="N148" i="9"/>
  <c r="N142" i="9"/>
  <c r="N113" i="9"/>
  <c r="N77" i="9"/>
  <c r="N76" i="9"/>
  <c r="N75" i="9"/>
  <c r="N74" i="9"/>
  <c r="N46" i="9"/>
  <c r="N45" i="9"/>
  <c r="N43" i="9"/>
  <c r="N192" i="9"/>
  <c r="N183" i="9"/>
  <c r="N169" i="9"/>
  <c r="N150" i="9"/>
  <c r="N144" i="9"/>
  <c r="N139" i="9"/>
  <c r="N129" i="9"/>
  <c r="N99" i="9"/>
  <c r="N68" i="9"/>
  <c r="N67" i="9"/>
  <c r="P67" i="9" s="1"/>
  <c r="N37" i="9"/>
  <c r="N190" i="9"/>
  <c r="N124" i="9"/>
  <c r="N117" i="9"/>
  <c r="N115" i="9"/>
  <c r="N97" i="9"/>
  <c r="N34" i="9"/>
  <c r="N33" i="9"/>
  <c r="N32" i="9"/>
  <c r="N31" i="9"/>
  <c r="N29" i="9"/>
  <c r="N100" i="9"/>
  <c r="N201" i="9"/>
  <c r="N176" i="9"/>
  <c r="N103" i="9"/>
  <c r="N83" i="9"/>
  <c r="N70" i="9"/>
  <c r="N41" i="9"/>
  <c r="N160" i="9"/>
  <c r="N152" i="9"/>
  <c r="N145" i="9"/>
  <c r="N143" i="9"/>
  <c r="N127" i="9"/>
  <c r="N120" i="9"/>
  <c r="N95" i="9"/>
  <c r="N63" i="9"/>
  <c r="N56" i="9"/>
  <c r="N93" i="9"/>
  <c r="N65" i="9"/>
  <c r="N60" i="9"/>
  <c r="N40" i="9"/>
  <c r="N30" i="9"/>
  <c r="N4" i="9"/>
  <c r="N166" i="9"/>
  <c r="N149" i="9"/>
  <c r="P149" i="9" s="1"/>
  <c r="N121" i="9"/>
  <c r="N38" i="9"/>
  <c r="N20" i="9"/>
  <c r="P20" i="9" s="1"/>
  <c r="N16" i="9"/>
  <c r="P16" i="9" s="1"/>
  <c r="N5" i="9"/>
  <c r="N151" i="9"/>
  <c r="N101" i="9"/>
  <c r="N48" i="9"/>
  <c r="N6" i="9"/>
  <c r="N197" i="9"/>
  <c r="N159" i="9"/>
  <c r="N102" i="9"/>
  <c r="N57" i="9"/>
  <c r="N55" i="9"/>
  <c r="N39" i="9"/>
  <c r="N25" i="9"/>
  <c r="N18" i="9"/>
  <c r="N12" i="9"/>
  <c r="N7" i="9"/>
  <c r="N140" i="9"/>
  <c r="N72" i="9"/>
  <c r="N59" i="9"/>
  <c r="N13" i="9"/>
  <c r="N104" i="9"/>
  <c r="N88" i="9"/>
  <c r="N52" i="9"/>
  <c r="P52" i="9" s="1"/>
  <c r="N23" i="9"/>
  <c r="N21" i="9"/>
  <c r="N175" i="9"/>
  <c r="N96" i="9"/>
  <c r="P96" i="9" s="1"/>
  <c r="N47" i="9"/>
  <c r="N35" i="9"/>
  <c r="N10" i="9"/>
  <c r="N116" i="9"/>
  <c r="N85" i="9"/>
  <c r="N80" i="9"/>
  <c r="P80" i="9" s="1"/>
  <c r="N54" i="9"/>
  <c r="N19" i="9"/>
  <c r="N8" i="9"/>
  <c r="N22" i="9"/>
  <c r="N66" i="9"/>
  <c r="N53" i="9"/>
  <c r="N82" i="9"/>
  <c r="N79" i="9"/>
  <c r="N27" i="9"/>
  <c r="N14" i="9"/>
  <c r="N112" i="9"/>
  <c r="N69" i="9"/>
  <c r="N24" i="9"/>
  <c r="N130" i="9"/>
  <c r="N9" i="9"/>
  <c r="P9" i="9" s="1"/>
  <c r="N184" i="9"/>
  <c r="N165" i="9"/>
  <c r="N161" i="9"/>
  <c r="N71" i="9"/>
  <c r="N42" i="9"/>
  <c r="N138" i="9"/>
  <c r="N26" i="9"/>
  <c r="N84" i="9"/>
  <c r="N73" i="9"/>
  <c r="N58" i="9"/>
  <c r="N17" i="9"/>
  <c r="N105" i="9"/>
  <c r="P105" i="9" s="1"/>
  <c r="N87" i="9"/>
  <c r="P87" i="9" s="1"/>
  <c r="N64" i="9"/>
  <c r="N128" i="9"/>
  <c r="N98" i="9"/>
  <c r="N177" i="9"/>
  <c r="N62" i="9"/>
  <c r="N15" i="9"/>
  <c r="U6" i="5"/>
  <c r="L89" i="4"/>
  <c r="J45" i="7"/>
  <c r="Q4" i="6"/>
  <c r="I173" i="7"/>
  <c r="I186" i="7"/>
  <c r="I146" i="7"/>
  <c r="I118" i="7"/>
  <c r="I116" i="7"/>
  <c r="I112" i="7"/>
  <c r="I101" i="7"/>
  <c r="I56" i="7"/>
  <c r="I187" i="7"/>
  <c r="I114" i="7"/>
  <c r="I99" i="7"/>
  <c r="I67" i="7"/>
  <c r="I199" i="7"/>
  <c r="I180" i="7"/>
  <c r="I157" i="7"/>
  <c r="I140" i="7"/>
  <c r="I110" i="7"/>
  <c r="I82" i="7"/>
  <c r="I80" i="7"/>
  <c r="I76" i="7"/>
  <c r="I31" i="7"/>
  <c r="I191" i="7"/>
  <c r="I166" i="7"/>
  <c r="I164" i="7"/>
  <c r="I117" i="7"/>
  <c r="I130" i="7"/>
  <c r="I181" i="7"/>
  <c r="I128" i="7"/>
  <c r="I49" i="7"/>
  <c r="I32" i="7"/>
  <c r="I170" i="7"/>
  <c r="I137" i="7"/>
  <c r="I105" i="7"/>
  <c r="I103" i="7"/>
  <c r="I41" i="7"/>
  <c r="I7" i="7"/>
  <c r="I200" i="7"/>
  <c r="I184" i="7"/>
  <c r="I121" i="7"/>
  <c r="I68" i="7"/>
  <c r="I179" i="7"/>
  <c r="I150" i="7"/>
  <c r="I139" i="7"/>
  <c r="I43" i="7"/>
  <c r="I29" i="7"/>
  <c r="I9" i="7"/>
  <c r="I174" i="7"/>
  <c r="I154" i="7"/>
  <c r="I92" i="7"/>
  <c r="I85" i="7"/>
  <c r="I74" i="7"/>
  <c r="I65" i="7"/>
  <c r="I58" i="7"/>
  <c r="I45" i="7"/>
  <c r="I13" i="7"/>
  <c r="I156" i="7"/>
  <c r="I149" i="7"/>
  <c r="I104" i="7"/>
  <c r="I62" i="7"/>
  <c r="I22" i="7"/>
  <c r="I171" i="7"/>
  <c r="I138" i="7"/>
  <c r="I122" i="7"/>
  <c r="I24" i="7"/>
  <c r="I8" i="7"/>
  <c r="I151" i="7"/>
  <c r="I120" i="7"/>
  <c r="I185" i="7"/>
  <c r="I153" i="7"/>
  <c r="I133" i="7"/>
  <c r="I44" i="7"/>
  <c r="I30" i="7"/>
  <c r="I20" i="7"/>
  <c r="I109" i="7"/>
  <c r="I39" i="7"/>
  <c r="I198" i="7"/>
  <c r="I152" i="7"/>
  <c r="I135" i="7"/>
  <c r="I168" i="7"/>
  <c r="I60" i="7"/>
  <c r="I5" i="7"/>
  <c r="I192" i="7"/>
  <c r="I183" i="7"/>
  <c r="I19" i="7"/>
  <c r="I46" i="7"/>
  <c r="I148" i="7"/>
  <c r="I94" i="7"/>
  <c r="I75" i="7"/>
  <c r="I73" i="7"/>
  <c r="I40" i="7"/>
  <c r="I169" i="7"/>
  <c r="I86" i="7"/>
  <c r="I102" i="7"/>
  <c r="I136" i="7"/>
  <c r="I37" i="7"/>
  <c r="L7" i="4"/>
  <c r="L17" i="4"/>
  <c r="L83" i="4"/>
  <c r="O5" i="6"/>
  <c r="R4" i="6"/>
  <c r="P5" i="6"/>
  <c r="N6" i="6"/>
  <c r="C11" i="2"/>
  <c r="D5" i="4"/>
  <c r="S4" i="6"/>
  <c r="Q5" i="6"/>
  <c r="L64" i="4"/>
  <c r="L109" i="4"/>
  <c r="I26" i="7"/>
  <c r="I35" i="7"/>
  <c r="L35" i="7"/>
  <c r="J35" i="7" s="1"/>
  <c r="L26" i="7"/>
  <c r="J26" i="7" s="1"/>
  <c r="G32" i="7"/>
  <c r="R79" i="8"/>
  <c r="S79" i="8" s="1"/>
  <c r="F79" i="8"/>
  <c r="O80" i="9"/>
  <c r="T79" i="8"/>
  <c r="G79" i="8"/>
  <c r="C80" i="9"/>
  <c r="L80" i="9"/>
  <c r="I80" i="9"/>
  <c r="L79" i="8"/>
  <c r="X79" i="8"/>
  <c r="I79" i="8"/>
  <c r="F80" i="9"/>
  <c r="J79" i="8"/>
  <c r="V79" i="8"/>
  <c r="W79" i="8" s="1"/>
  <c r="L79" i="4" s="1"/>
  <c r="D79" i="8"/>
  <c r="B79" i="10"/>
  <c r="B79" i="8"/>
  <c r="Q79" i="8"/>
  <c r="P79" i="8"/>
  <c r="O79" i="8"/>
  <c r="N79" i="8"/>
  <c r="M79" i="8"/>
  <c r="C79" i="8"/>
  <c r="U79" i="8"/>
  <c r="H79" i="8"/>
  <c r="E79" i="8"/>
  <c r="AC182" i="4"/>
  <c r="C33" i="11"/>
  <c r="B33" i="11"/>
  <c r="L54" i="11"/>
  <c r="Q2" i="5"/>
  <c r="F44" i="11" s="1"/>
  <c r="G9" i="7"/>
  <c r="J9" i="7"/>
  <c r="L100" i="7"/>
  <c r="J100" i="7" s="1"/>
  <c r="I100" i="7"/>
  <c r="AC111" i="4"/>
  <c r="AC130" i="4"/>
  <c r="L97" i="7"/>
  <c r="J97" i="7" s="1"/>
  <c r="I97" i="7"/>
  <c r="L10" i="9"/>
  <c r="B9" i="10"/>
  <c r="C10" i="9"/>
  <c r="O10" i="9"/>
  <c r="P9" i="8"/>
  <c r="D9" i="8"/>
  <c r="F10" i="9"/>
  <c r="V9" i="8"/>
  <c r="W9" i="8" s="1"/>
  <c r="L9" i="4" s="1"/>
  <c r="I9" i="8"/>
  <c r="X9" i="8"/>
  <c r="J9" i="8"/>
  <c r="H9" i="8"/>
  <c r="I10" i="9"/>
  <c r="E9" i="8"/>
  <c r="Q9" i="8"/>
  <c r="N9" i="8"/>
  <c r="O9" i="8" s="1"/>
  <c r="M9" i="8"/>
  <c r="L9" i="8"/>
  <c r="G9" i="8"/>
  <c r="F9" i="8"/>
  <c r="C9" i="8"/>
  <c r="B9" i="8"/>
  <c r="U9" i="8"/>
  <c r="T9" i="8"/>
  <c r="R9" i="8"/>
  <c r="I4" i="7"/>
  <c r="L4" i="7"/>
  <c r="J4" i="7" s="1"/>
  <c r="L10" i="7"/>
  <c r="J10" i="7" s="1"/>
  <c r="I10" i="7"/>
  <c r="G78" i="7"/>
  <c r="J78" i="7"/>
  <c r="J30" i="7"/>
  <c r="I38" i="7"/>
  <c r="I126" i="7"/>
  <c r="L126" i="7"/>
  <c r="J126" i="7" s="1"/>
  <c r="I163" i="7"/>
  <c r="L163" i="7"/>
  <c r="J163" i="7" s="1"/>
  <c r="B49" i="10"/>
  <c r="R49" i="8"/>
  <c r="F49" i="8"/>
  <c r="T49" i="8"/>
  <c r="G49" i="8"/>
  <c r="O50" i="9"/>
  <c r="Q49" i="8"/>
  <c r="C49" i="8"/>
  <c r="L50" i="9"/>
  <c r="N49" i="8"/>
  <c r="O49" i="8" s="1"/>
  <c r="I50" i="9"/>
  <c r="F50" i="9"/>
  <c r="C50" i="9"/>
  <c r="L49" i="8"/>
  <c r="X49" i="8"/>
  <c r="H49" i="8"/>
  <c r="V49" i="8"/>
  <c r="W49" i="8" s="1"/>
  <c r="L49" i="4" s="1"/>
  <c r="D49" i="8"/>
  <c r="P49" i="8"/>
  <c r="M49" i="8"/>
  <c r="E49" i="8"/>
  <c r="U49" i="8"/>
  <c r="J49" i="8"/>
  <c r="K49" i="8" s="1"/>
  <c r="F49" i="4" s="1"/>
  <c r="I49" i="8"/>
  <c r="B49" i="8"/>
  <c r="B19" i="10"/>
  <c r="I20" i="9"/>
  <c r="F20" i="9"/>
  <c r="G20" i="9" s="1"/>
  <c r="P19" i="8"/>
  <c r="D19" i="8"/>
  <c r="C20" i="9"/>
  <c r="R19" i="8"/>
  <c r="E19" i="8"/>
  <c r="N19" i="8"/>
  <c r="O19" i="8" s="1"/>
  <c r="M19" i="8"/>
  <c r="L19" i="8"/>
  <c r="V19" i="8"/>
  <c r="W19" i="8" s="1"/>
  <c r="L19" i="4" s="1"/>
  <c r="H19" i="8"/>
  <c r="T19" i="8"/>
  <c r="S19" i="8"/>
  <c r="Q19" i="8"/>
  <c r="J19" i="8"/>
  <c r="I19" i="8"/>
  <c r="G19" i="8"/>
  <c r="F19" i="8"/>
  <c r="C19" i="8"/>
  <c r="X19" i="8"/>
  <c r="O20" i="9"/>
  <c r="L20" i="9"/>
  <c r="U19" i="8"/>
  <c r="B19" i="8"/>
  <c r="I36" i="7"/>
  <c r="J200" i="7"/>
  <c r="G200" i="7"/>
  <c r="L15" i="9"/>
  <c r="B14" i="10"/>
  <c r="C15" i="9"/>
  <c r="I15" i="9"/>
  <c r="F15" i="9"/>
  <c r="P14" i="8"/>
  <c r="D14" i="8"/>
  <c r="T14" i="8"/>
  <c r="G14" i="8"/>
  <c r="E14" i="8"/>
  <c r="R14" i="8"/>
  <c r="S14" i="8" s="1"/>
  <c r="C14" i="8"/>
  <c r="Q14" i="8"/>
  <c r="B14" i="8"/>
  <c r="M14" i="8"/>
  <c r="V14" i="8"/>
  <c r="W14" i="8" s="1"/>
  <c r="L14" i="4" s="1"/>
  <c r="U14" i="8"/>
  <c r="N14" i="8"/>
  <c r="L14" i="8"/>
  <c r="O15" i="9"/>
  <c r="J14" i="8"/>
  <c r="K14" i="8" s="1"/>
  <c r="F14" i="4" s="1"/>
  <c r="I14" i="8"/>
  <c r="X14" i="8"/>
  <c r="H14" i="8"/>
  <c r="F14" i="8"/>
  <c r="G63" i="7"/>
  <c r="J63" i="7"/>
  <c r="L106" i="7"/>
  <c r="J106" i="7" s="1"/>
  <c r="I106" i="7"/>
  <c r="J140" i="7"/>
  <c r="G140" i="7"/>
  <c r="I195" i="7"/>
  <c r="L16" i="9"/>
  <c r="P15" i="8"/>
  <c r="D15" i="8"/>
  <c r="O16" i="9"/>
  <c r="B15" i="10"/>
  <c r="I16" i="9"/>
  <c r="V15" i="8"/>
  <c r="I15" i="8"/>
  <c r="F16" i="9"/>
  <c r="C16" i="9"/>
  <c r="X15" i="8"/>
  <c r="J15" i="8"/>
  <c r="W15" i="8"/>
  <c r="L15" i="4" s="1"/>
  <c r="H15" i="8"/>
  <c r="U15" i="8"/>
  <c r="G15" i="8"/>
  <c r="R15" i="8"/>
  <c r="C15" i="8"/>
  <c r="Q15" i="8"/>
  <c r="N15" i="8"/>
  <c r="M15" i="8"/>
  <c r="L15" i="8"/>
  <c r="K15" i="8"/>
  <c r="F15" i="8"/>
  <c r="E15" i="8"/>
  <c r="AB15" i="4" s="1"/>
  <c r="AC15" i="4" s="1"/>
  <c r="T15" i="8"/>
  <c r="L2" i="7"/>
  <c r="J2" i="7" s="1"/>
  <c r="M2" i="7"/>
  <c r="I2" i="7"/>
  <c r="L2" i="8"/>
  <c r="O2" i="4" s="1"/>
  <c r="I25" i="7"/>
  <c r="L28" i="7"/>
  <c r="J28" i="7" s="1"/>
  <c r="I28" i="7"/>
  <c r="L36" i="7"/>
  <c r="J36" i="7" s="1"/>
  <c r="L69" i="7"/>
  <c r="J69" i="7" s="1"/>
  <c r="I69" i="7"/>
  <c r="B51" i="10"/>
  <c r="R51" i="8"/>
  <c r="F51" i="8"/>
  <c r="O52" i="9"/>
  <c r="X51" i="8"/>
  <c r="L52" i="9"/>
  <c r="F52" i="9"/>
  <c r="M51" i="8"/>
  <c r="I52" i="9"/>
  <c r="N51" i="8"/>
  <c r="O51" i="8" s="1"/>
  <c r="C52" i="9"/>
  <c r="P51" i="8"/>
  <c r="I51" i="8"/>
  <c r="G51" i="8"/>
  <c r="U51" i="8"/>
  <c r="T51" i="8"/>
  <c r="Q51" i="8"/>
  <c r="H51" i="8"/>
  <c r="V51" i="8"/>
  <c r="W51" i="8" s="1"/>
  <c r="L51" i="4" s="1"/>
  <c r="L51" i="8"/>
  <c r="J51" i="8"/>
  <c r="E51" i="8"/>
  <c r="D51" i="8"/>
  <c r="C51" i="8"/>
  <c r="B51" i="8"/>
  <c r="L17" i="7"/>
  <c r="J17" i="7" s="1"/>
  <c r="I17" i="7"/>
  <c r="J66" i="7"/>
  <c r="I83" i="7"/>
  <c r="L83" i="7"/>
  <c r="J83" i="7" s="1"/>
  <c r="I161" i="7"/>
  <c r="L161" i="7"/>
  <c r="J161" i="7" s="1"/>
  <c r="L64" i="7"/>
  <c r="J64" i="7" s="1"/>
  <c r="I64" i="7"/>
  <c r="J130" i="7"/>
  <c r="G130" i="7"/>
  <c r="L3" i="7"/>
  <c r="J3" i="7" s="1"/>
  <c r="I3" i="7"/>
  <c r="L50" i="7"/>
  <c r="J50" i="7" s="1"/>
  <c r="I50" i="7"/>
  <c r="L53" i="7"/>
  <c r="J53" i="7" s="1"/>
  <c r="I53" i="7"/>
  <c r="I70" i="7"/>
  <c r="J80" i="7"/>
  <c r="G80" i="7"/>
  <c r="L158" i="7"/>
  <c r="J158" i="7" s="1"/>
  <c r="I158" i="7"/>
  <c r="I96" i="7"/>
  <c r="L96" i="7"/>
  <c r="J96" i="7" s="1"/>
  <c r="L145" i="7"/>
  <c r="J145" i="7" s="1"/>
  <c r="I145" i="7"/>
  <c r="L188" i="7"/>
  <c r="J188" i="7" s="1"/>
  <c r="I188" i="7"/>
  <c r="L55" i="7"/>
  <c r="J55" i="7" s="1"/>
  <c r="I55" i="7"/>
  <c r="L111" i="7"/>
  <c r="J111" i="7" s="1"/>
  <c r="I111" i="7"/>
  <c r="I144" i="7"/>
  <c r="L144" i="7"/>
  <c r="J144" i="7" s="1"/>
  <c r="J44" i="7"/>
  <c r="L79" i="7"/>
  <c r="J79" i="7" s="1"/>
  <c r="I79" i="7"/>
  <c r="J82" i="7"/>
  <c r="G82" i="7"/>
  <c r="G122" i="7"/>
  <c r="L6" i="7"/>
  <c r="J6" i="7" s="1"/>
  <c r="I6" i="7"/>
  <c r="J15" i="7"/>
  <c r="J40" i="7"/>
  <c r="J104" i="7"/>
  <c r="G104" i="7"/>
  <c r="L115" i="7"/>
  <c r="J115" i="7" s="1"/>
  <c r="I115" i="7"/>
  <c r="L141" i="7"/>
  <c r="J141" i="7" s="1"/>
  <c r="I141" i="7"/>
  <c r="I159" i="7"/>
  <c r="J8" i="7"/>
  <c r="I11" i="7"/>
  <c r="I162" i="7"/>
  <c r="L162" i="7"/>
  <c r="J162" i="7" s="1"/>
  <c r="I197" i="7"/>
  <c r="B123" i="10"/>
  <c r="R123" i="8"/>
  <c r="F123" i="8"/>
  <c r="L124" i="9"/>
  <c r="X123" i="8"/>
  <c r="I124" i="9"/>
  <c r="F124" i="9"/>
  <c r="G124" i="9" s="1"/>
  <c r="C124" i="9"/>
  <c r="M123" i="8"/>
  <c r="O124" i="9"/>
  <c r="V123" i="8"/>
  <c r="W123" i="8" s="1"/>
  <c r="L123" i="4" s="1"/>
  <c r="G123" i="8"/>
  <c r="I123" i="8"/>
  <c r="H123" i="8"/>
  <c r="E123" i="8"/>
  <c r="U123" i="8"/>
  <c r="D123" i="8"/>
  <c r="T123" i="8"/>
  <c r="C123" i="8"/>
  <c r="B123" i="8"/>
  <c r="P123" i="8"/>
  <c r="Q123" i="8"/>
  <c r="L123" i="8"/>
  <c r="N123" i="8"/>
  <c r="O123" i="8" s="1"/>
  <c r="J123" i="8"/>
  <c r="I15" i="7"/>
  <c r="I33" i="7"/>
  <c r="I63" i="7"/>
  <c r="L77" i="7"/>
  <c r="J77" i="7" s="1"/>
  <c r="I77" i="7"/>
  <c r="L129" i="7"/>
  <c r="J129" i="7" s="1"/>
  <c r="I129" i="7"/>
  <c r="I132" i="7"/>
  <c r="L142" i="7"/>
  <c r="J142" i="7" s="1"/>
  <c r="I142" i="7"/>
  <c r="L159" i="7"/>
  <c r="J159" i="7" s="1"/>
  <c r="J169" i="7"/>
  <c r="B25" i="10"/>
  <c r="F26" i="9"/>
  <c r="G26" i="9" s="1"/>
  <c r="I26" i="9"/>
  <c r="L26" i="9"/>
  <c r="C26" i="9"/>
  <c r="P25" i="8"/>
  <c r="D25" i="8"/>
  <c r="R25" i="8"/>
  <c r="Q25" i="4" s="1"/>
  <c r="E25" i="8"/>
  <c r="O26" i="9"/>
  <c r="M25" i="8"/>
  <c r="L25" i="8"/>
  <c r="X25" i="8"/>
  <c r="J25" i="8"/>
  <c r="U25" i="8"/>
  <c r="G25" i="8"/>
  <c r="Q25" i="8"/>
  <c r="O25" i="8"/>
  <c r="N25" i="8"/>
  <c r="I25" i="8"/>
  <c r="H25" i="8"/>
  <c r="F25" i="8"/>
  <c r="C25" i="8"/>
  <c r="B25" i="8"/>
  <c r="B97" i="10"/>
  <c r="R97" i="8"/>
  <c r="F97" i="8"/>
  <c r="T97" i="8"/>
  <c r="G97" i="8"/>
  <c r="C98" i="9"/>
  <c r="L98" i="9"/>
  <c r="O98" i="9"/>
  <c r="P98" i="9" s="1"/>
  <c r="I97" i="8"/>
  <c r="F98" i="9"/>
  <c r="M97" i="8"/>
  <c r="L97" i="8"/>
  <c r="J97" i="8"/>
  <c r="H97" i="8"/>
  <c r="X97" i="8"/>
  <c r="E97" i="8"/>
  <c r="U97" i="8"/>
  <c r="C97" i="8"/>
  <c r="V97" i="8"/>
  <c r="W97" i="8" s="1"/>
  <c r="L97" i="4" s="1"/>
  <c r="S97" i="8"/>
  <c r="I98" i="9"/>
  <c r="Q97" i="8"/>
  <c r="P97" i="8"/>
  <c r="N97" i="8"/>
  <c r="D97" i="8"/>
  <c r="D154" i="9"/>
  <c r="AC186" i="4"/>
  <c r="L11" i="7"/>
  <c r="J11" i="7" s="1"/>
  <c r="I23" i="7"/>
  <c r="L23" i="7"/>
  <c r="J23" i="7" s="1"/>
  <c r="I34" i="7"/>
  <c r="I61" i="7"/>
  <c r="L113" i="7"/>
  <c r="J113" i="7" s="1"/>
  <c r="I113" i="7"/>
  <c r="I160" i="7"/>
  <c r="L160" i="7"/>
  <c r="J160" i="7" s="1"/>
  <c r="L9" i="9"/>
  <c r="O9" i="9"/>
  <c r="B8" i="10"/>
  <c r="F9" i="9"/>
  <c r="C9" i="9"/>
  <c r="I9" i="9"/>
  <c r="P8" i="8"/>
  <c r="D8" i="8"/>
  <c r="T8" i="8"/>
  <c r="G8" i="8"/>
  <c r="U8" i="8"/>
  <c r="F8" i="8"/>
  <c r="E8" i="8"/>
  <c r="R8" i="8"/>
  <c r="C8" i="8"/>
  <c r="N8" i="8"/>
  <c r="O8" i="8" s="1"/>
  <c r="V8" i="8"/>
  <c r="W8" i="8" s="1"/>
  <c r="L8" i="4" s="1"/>
  <c r="Q8" i="8"/>
  <c r="M8" i="8"/>
  <c r="L8" i="8"/>
  <c r="J8" i="8"/>
  <c r="I8" i="8"/>
  <c r="H8" i="8"/>
  <c r="J19" i="7"/>
  <c r="L21" i="7"/>
  <c r="J21" i="7" s="1"/>
  <c r="I21" i="7"/>
  <c r="L51" i="7"/>
  <c r="J51" i="7" s="1"/>
  <c r="I51" i="7"/>
  <c r="J75" i="7"/>
  <c r="J95" i="7"/>
  <c r="G95" i="7"/>
  <c r="L98" i="7"/>
  <c r="J98" i="7" s="1"/>
  <c r="I98" i="7"/>
  <c r="I124" i="7"/>
  <c r="L124" i="7"/>
  <c r="J124" i="7" s="1"/>
  <c r="B8" i="8"/>
  <c r="L12" i="7"/>
  <c r="J12" i="7" s="1"/>
  <c r="I12" i="7"/>
  <c r="L14" i="7"/>
  <c r="J14" i="7" s="1"/>
  <c r="I14" i="7"/>
  <c r="G54" i="7"/>
  <c r="J54" i="7"/>
  <c r="I66" i="7"/>
  <c r="I71" i="7"/>
  <c r="I78" i="7"/>
  <c r="L81" i="7"/>
  <c r="J81" i="7" s="1"/>
  <c r="I81" i="7"/>
  <c r="I84" i="7"/>
  <c r="L93" i="7"/>
  <c r="J93" i="7" s="1"/>
  <c r="I93" i="7"/>
  <c r="I143" i="7"/>
  <c r="L143" i="7"/>
  <c r="J143" i="7" s="1"/>
  <c r="L182" i="7"/>
  <c r="J182" i="7" s="1"/>
  <c r="I182" i="7"/>
  <c r="I193" i="7"/>
  <c r="B88" i="10"/>
  <c r="R88" i="8"/>
  <c r="F88" i="8"/>
  <c r="I89" i="9"/>
  <c r="M88" i="8"/>
  <c r="L89" i="9"/>
  <c r="C89" i="9"/>
  <c r="X88" i="8"/>
  <c r="J88" i="8"/>
  <c r="F89" i="9"/>
  <c r="H88" i="8"/>
  <c r="G88" i="8"/>
  <c r="V88" i="8"/>
  <c r="W88" i="8" s="1"/>
  <c r="L88" i="4" s="1"/>
  <c r="E88" i="8"/>
  <c r="O89" i="9"/>
  <c r="T88" i="8"/>
  <c r="C88" i="8"/>
  <c r="B88" i="8"/>
  <c r="P88" i="8"/>
  <c r="U88" i="8"/>
  <c r="Q88" i="8"/>
  <c r="N88" i="8"/>
  <c r="I88" i="8"/>
  <c r="L88" i="8"/>
  <c r="I72" i="7"/>
  <c r="I119" i="7"/>
  <c r="L18" i="9"/>
  <c r="O18" i="9"/>
  <c r="B17" i="10"/>
  <c r="C18" i="9"/>
  <c r="I18" i="9"/>
  <c r="P17" i="8"/>
  <c r="D17" i="8"/>
  <c r="F18" i="9"/>
  <c r="M17" i="8"/>
  <c r="T17" i="8"/>
  <c r="F17" i="8"/>
  <c r="S17" i="8"/>
  <c r="E17" i="8"/>
  <c r="R17" i="8"/>
  <c r="Q17" i="4" s="1"/>
  <c r="C17" i="8"/>
  <c r="Q17" i="8"/>
  <c r="B17" i="8"/>
  <c r="L17" i="8"/>
  <c r="L19" i="9"/>
  <c r="B18" i="10"/>
  <c r="O19" i="9"/>
  <c r="F19" i="9"/>
  <c r="I19" i="9"/>
  <c r="P18" i="8"/>
  <c r="D18" i="8"/>
  <c r="C19" i="9"/>
  <c r="B18" i="8"/>
  <c r="X18" i="8"/>
  <c r="J18" i="8"/>
  <c r="K18" i="8" s="1"/>
  <c r="I18" i="8"/>
  <c r="V18" i="8"/>
  <c r="W18" i="8" s="1"/>
  <c r="L18" i="4" s="1"/>
  <c r="H18" i="8"/>
  <c r="U18" i="8"/>
  <c r="G18" i="8"/>
  <c r="R18" i="8"/>
  <c r="C18" i="8"/>
  <c r="B43" i="10"/>
  <c r="X43" i="8"/>
  <c r="L43" i="8"/>
  <c r="F44" i="9"/>
  <c r="C44" i="9"/>
  <c r="W43" i="8"/>
  <c r="L43" i="4" s="1"/>
  <c r="J43" i="8"/>
  <c r="K43" i="8" s="1"/>
  <c r="F43" i="4" s="1"/>
  <c r="V43" i="8"/>
  <c r="H43" i="8"/>
  <c r="O44" i="9"/>
  <c r="L44" i="9"/>
  <c r="I43" i="8"/>
  <c r="I44" i="9"/>
  <c r="G43" i="8"/>
  <c r="D43" i="8"/>
  <c r="Q43" i="8"/>
  <c r="B43" i="8"/>
  <c r="U43" i="8"/>
  <c r="T43" i="8"/>
  <c r="R43" i="8"/>
  <c r="P43" i="8"/>
  <c r="M43" i="8"/>
  <c r="L55" i="9"/>
  <c r="R54" i="8"/>
  <c r="S54" i="8" s="1"/>
  <c r="F54" i="8"/>
  <c r="B54" i="10"/>
  <c r="Q54" i="8"/>
  <c r="D54" i="8"/>
  <c r="O55" i="9"/>
  <c r="I55" i="9"/>
  <c r="L54" i="8"/>
  <c r="T54" i="8"/>
  <c r="C54" i="8"/>
  <c r="F55" i="9"/>
  <c r="G55" i="9" s="1"/>
  <c r="C55" i="9"/>
  <c r="J54" i="8"/>
  <c r="G54" i="8"/>
  <c r="U54" i="8"/>
  <c r="B54" i="8"/>
  <c r="X54" i="8"/>
  <c r="V54" i="8"/>
  <c r="W54" i="8" s="1"/>
  <c r="L54" i="4" s="1"/>
  <c r="P54" i="8"/>
  <c r="I54" i="8"/>
  <c r="L69" i="9"/>
  <c r="B68" i="10"/>
  <c r="R68" i="8"/>
  <c r="S68" i="8" s="1"/>
  <c r="F68" i="8"/>
  <c r="O69" i="9"/>
  <c r="V68" i="8"/>
  <c r="W68" i="8" s="1"/>
  <c r="L68" i="4" s="1"/>
  <c r="I68" i="8"/>
  <c r="F69" i="9"/>
  <c r="I69" i="9"/>
  <c r="D68" i="8"/>
  <c r="X68" i="8"/>
  <c r="H68" i="8"/>
  <c r="U68" i="8"/>
  <c r="C68" i="8"/>
  <c r="T68" i="8"/>
  <c r="B68" i="8"/>
  <c r="C69" i="9"/>
  <c r="M68" i="8"/>
  <c r="Q68" i="8"/>
  <c r="P68" i="8"/>
  <c r="N68" i="8"/>
  <c r="J68" i="8"/>
  <c r="B82" i="10"/>
  <c r="I83" i="9"/>
  <c r="R82" i="8"/>
  <c r="S82" i="8" s="1"/>
  <c r="F82" i="8"/>
  <c r="M82" i="8"/>
  <c r="F83" i="9"/>
  <c r="O83" i="9"/>
  <c r="L83" i="9"/>
  <c r="K82" i="8"/>
  <c r="F82" i="4" s="1"/>
  <c r="C83" i="9"/>
  <c r="G82" i="8"/>
  <c r="V82" i="8"/>
  <c r="W82" i="8" s="1"/>
  <c r="L82" i="4" s="1"/>
  <c r="E82" i="8"/>
  <c r="AB82" i="4" s="1"/>
  <c r="AC82" i="4" s="1"/>
  <c r="B82" i="8"/>
  <c r="P82" i="8"/>
  <c r="X82" i="8"/>
  <c r="U82" i="8"/>
  <c r="T82" i="8"/>
  <c r="Q82" i="8"/>
  <c r="N82" i="8"/>
  <c r="I82" i="8"/>
  <c r="B99" i="10"/>
  <c r="L100" i="9"/>
  <c r="R99" i="8"/>
  <c r="F99" i="8"/>
  <c r="X99" i="8"/>
  <c r="F100" i="9"/>
  <c r="O100" i="9"/>
  <c r="P100" i="9" s="1"/>
  <c r="I100" i="9"/>
  <c r="Q99" i="8"/>
  <c r="C99" i="8"/>
  <c r="I99" i="8"/>
  <c r="P99" i="8"/>
  <c r="N99" i="8"/>
  <c r="M99" i="8"/>
  <c r="L99" i="8"/>
  <c r="C100" i="9"/>
  <c r="J99" i="8"/>
  <c r="G99" i="8"/>
  <c r="T99" i="8"/>
  <c r="H99" i="8"/>
  <c r="E99" i="8"/>
  <c r="D99" i="8"/>
  <c r="B172" i="10"/>
  <c r="X172" i="8"/>
  <c r="L172" i="8"/>
  <c r="I173" i="9"/>
  <c r="U172" i="8"/>
  <c r="H172" i="8"/>
  <c r="C173" i="9"/>
  <c r="L173" i="9"/>
  <c r="J172" i="8"/>
  <c r="K172" i="8" s="1"/>
  <c r="F173" i="9"/>
  <c r="I172" i="8"/>
  <c r="S172" i="8"/>
  <c r="D172" i="8"/>
  <c r="T172" i="8"/>
  <c r="B172" i="8"/>
  <c r="Q172" i="8"/>
  <c r="R172" i="8"/>
  <c r="P172" i="8"/>
  <c r="O173" i="9"/>
  <c r="P173" i="9" s="1"/>
  <c r="M172" i="8"/>
  <c r="V172" i="8"/>
  <c r="W172" i="8" s="1"/>
  <c r="L172" i="4" s="1"/>
  <c r="N172" i="8"/>
  <c r="G172" i="8"/>
  <c r="F172" i="8"/>
  <c r="E172" i="8"/>
  <c r="Q64" i="11"/>
  <c r="P64" i="11"/>
  <c r="L64" i="11"/>
  <c r="N64" i="11"/>
  <c r="O64" i="11"/>
  <c r="M64" i="11"/>
  <c r="K64" i="11"/>
  <c r="I59" i="7"/>
  <c r="G68" i="7"/>
  <c r="N12" i="8"/>
  <c r="G17" i="8"/>
  <c r="E18" i="8"/>
  <c r="AB18" i="4" s="1"/>
  <c r="AC18" i="4" s="1"/>
  <c r="B30" i="10"/>
  <c r="C31" i="9"/>
  <c r="I31" i="9"/>
  <c r="L31" i="9"/>
  <c r="G30" i="8"/>
  <c r="O31" i="9"/>
  <c r="Q30" i="8"/>
  <c r="D30" i="8"/>
  <c r="V30" i="8"/>
  <c r="W30" i="8" s="1"/>
  <c r="L30" i="4" s="1"/>
  <c r="H30" i="8"/>
  <c r="P30" i="8"/>
  <c r="B30" i="8"/>
  <c r="N30" i="8"/>
  <c r="O30" i="8" s="1"/>
  <c r="I30" i="8"/>
  <c r="F30" i="8"/>
  <c r="F31" i="9"/>
  <c r="X30" i="8"/>
  <c r="E30" i="8"/>
  <c r="AB30" i="4" s="1"/>
  <c r="AC30" i="4" s="1"/>
  <c r="C30" i="8"/>
  <c r="R30" i="8"/>
  <c r="R32" i="8"/>
  <c r="S32" i="8" s="1"/>
  <c r="B36" i="10"/>
  <c r="L37" i="9"/>
  <c r="X36" i="8"/>
  <c r="L36" i="8"/>
  <c r="C37" i="9"/>
  <c r="I37" i="9"/>
  <c r="U36" i="8"/>
  <c r="H36" i="8"/>
  <c r="F37" i="9"/>
  <c r="O37" i="9"/>
  <c r="E36" i="8"/>
  <c r="W36" i="8"/>
  <c r="L36" i="4" s="1"/>
  <c r="G36" i="8"/>
  <c r="V36" i="8"/>
  <c r="Q36" i="8"/>
  <c r="B36" i="8"/>
  <c r="P36" i="8"/>
  <c r="N36" i="8"/>
  <c r="O36" i="8" s="1"/>
  <c r="M36" i="8"/>
  <c r="F36" i="8"/>
  <c r="C43" i="8"/>
  <c r="L78" i="9"/>
  <c r="B77" i="10"/>
  <c r="R77" i="8"/>
  <c r="F77" i="8"/>
  <c r="B77" i="8"/>
  <c r="C78" i="9"/>
  <c r="Q77" i="8"/>
  <c r="C77" i="8"/>
  <c r="J77" i="8"/>
  <c r="O78" i="9"/>
  <c r="P78" i="9" s="1"/>
  <c r="I78" i="9"/>
  <c r="I77" i="8"/>
  <c r="X77" i="8"/>
  <c r="H77" i="8"/>
  <c r="U77" i="8"/>
  <c r="D77" i="8"/>
  <c r="F78" i="9"/>
  <c r="V77" i="8"/>
  <c r="W77" i="8" s="1"/>
  <c r="L77" i="4" s="1"/>
  <c r="T77" i="8"/>
  <c r="P77" i="8"/>
  <c r="N77" i="8"/>
  <c r="K77" i="8"/>
  <c r="L126" i="9"/>
  <c r="O126" i="9"/>
  <c r="P126" i="9" s="1"/>
  <c r="R125" i="8"/>
  <c r="Q125" i="4" s="1"/>
  <c r="F125" i="8"/>
  <c r="B125" i="10"/>
  <c r="C126" i="9"/>
  <c r="B125" i="8"/>
  <c r="F126" i="9"/>
  <c r="I126" i="9"/>
  <c r="V125" i="8"/>
  <c r="W125" i="8" s="1"/>
  <c r="L125" i="4" s="1"/>
  <c r="H125" i="8"/>
  <c r="Q125" i="8"/>
  <c r="C125" i="8"/>
  <c r="J125" i="8"/>
  <c r="K125" i="8" s="1"/>
  <c r="P125" i="8"/>
  <c r="N125" i="8"/>
  <c r="M125" i="8"/>
  <c r="L125" i="8"/>
  <c r="I125" i="8"/>
  <c r="X125" i="8"/>
  <c r="E125" i="8"/>
  <c r="U125" i="8"/>
  <c r="T125" i="8"/>
  <c r="G125" i="8"/>
  <c r="D125" i="8"/>
  <c r="D103" i="9"/>
  <c r="I108" i="7"/>
  <c r="I155" i="7"/>
  <c r="I178" i="7"/>
  <c r="I189" i="7"/>
  <c r="L30" i="9"/>
  <c r="F30" i="9"/>
  <c r="B29" i="10"/>
  <c r="O30" i="9"/>
  <c r="P30" i="9" s="1"/>
  <c r="I30" i="9"/>
  <c r="P29" i="8"/>
  <c r="D29" i="8"/>
  <c r="R29" i="8"/>
  <c r="E29" i="8"/>
  <c r="C30" i="9"/>
  <c r="M29" i="8"/>
  <c r="X29" i="8"/>
  <c r="N29" i="8"/>
  <c r="L29" i="8"/>
  <c r="J29" i="8"/>
  <c r="I29" i="8"/>
  <c r="V29" i="8"/>
  <c r="W29" i="8" s="1"/>
  <c r="L29" i="4" s="1"/>
  <c r="F29" i="8"/>
  <c r="B34" i="10"/>
  <c r="O35" i="9"/>
  <c r="L35" i="9"/>
  <c r="G34" i="8"/>
  <c r="M34" i="8"/>
  <c r="I35" i="9"/>
  <c r="F35" i="9"/>
  <c r="C35" i="9"/>
  <c r="U34" i="8"/>
  <c r="F34" i="8"/>
  <c r="R34" i="8"/>
  <c r="D34" i="8"/>
  <c r="H34" i="8"/>
  <c r="X34" i="8"/>
  <c r="E34" i="8"/>
  <c r="C34" i="8"/>
  <c r="V34" i="8"/>
  <c r="W34" i="8" s="1"/>
  <c r="L34" i="4" s="1"/>
  <c r="B34" i="8"/>
  <c r="P34" i="8"/>
  <c r="B46" i="10"/>
  <c r="I47" i="9"/>
  <c r="R46" i="8"/>
  <c r="F46" i="8"/>
  <c r="M46" i="8"/>
  <c r="O47" i="9"/>
  <c r="D46" i="8"/>
  <c r="F47" i="9"/>
  <c r="X46" i="8"/>
  <c r="I46" i="8"/>
  <c r="L47" i="9"/>
  <c r="C47" i="9"/>
  <c r="P46" i="8"/>
  <c r="H46" i="8"/>
  <c r="U46" i="8"/>
  <c r="T46" i="8"/>
  <c r="Q46" i="8"/>
  <c r="N46" i="8"/>
  <c r="O46" i="8" s="1"/>
  <c r="G46" i="8"/>
  <c r="L81" i="9"/>
  <c r="O81" i="9"/>
  <c r="R80" i="8"/>
  <c r="F80" i="8"/>
  <c r="B80" i="10"/>
  <c r="V80" i="8"/>
  <c r="I80" i="8"/>
  <c r="P80" i="8"/>
  <c r="B80" i="8"/>
  <c r="C81" i="9"/>
  <c r="I81" i="9"/>
  <c r="F81" i="9"/>
  <c r="U80" i="8"/>
  <c r="D80" i="8"/>
  <c r="T80" i="8"/>
  <c r="C80" i="8"/>
  <c r="N80" i="8"/>
  <c r="L80" i="8"/>
  <c r="W80" i="8"/>
  <c r="L80" i="4" s="1"/>
  <c r="Q80" i="8"/>
  <c r="M80" i="8"/>
  <c r="G80" i="8"/>
  <c r="I16" i="7"/>
  <c r="I18" i="7"/>
  <c r="I27" i="7"/>
  <c r="I42" i="7"/>
  <c r="I57" i="7"/>
  <c r="I87" i="7"/>
  <c r="I89" i="7"/>
  <c r="I91" i="7"/>
  <c r="I95" i="7"/>
  <c r="I134" i="7"/>
  <c r="I147" i="7"/>
  <c r="I172" i="7"/>
  <c r="G174" i="7"/>
  <c r="J186" i="7"/>
  <c r="F3" i="9"/>
  <c r="G3" i="9" s="1"/>
  <c r="P2" i="8"/>
  <c r="D2" i="8"/>
  <c r="E2" i="8" s="1"/>
  <c r="I3" i="9"/>
  <c r="T2" i="8"/>
  <c r="V2" i="8"/>
  <c r="H2" i="8"/>
  <c r="F2" i="8"/>
  <c r="S2" i="8"/>
  <c r="L3" i="9" s="1"/>
  <c r="W2" i="8"/>
  <c r="W2" i="10" s="1"/>
  <c r="R12" i="8"/>
  <c r="S12" i="8" s="1"/>
  <c r="Q13" i="8"/>
  <c r="I17" i="8"/>
  <c r="B22" i="10"/>
  <c r="F23" i="9"/>
  <c r="G23" i="9" s="1"/>
  <c r="I23" i="9"/>
  <c r="O23" i="9"/>
  <c r="L23" i="9"/>
  <c r="P22" i="8"/>
  <c r="D22" i="8"/>
  <c r="C23" i="9"/>
  <c r="X22" i="8"/>
  <c r="K22" i="8"/>
  <c r="N22" i="8"/>
  <c r="M22" i="8"/>
  <c r="L22" i="8"/>
  <c r="J22" i="8"/>
  <c r="U22" i="8"/>
  <c r="G22" i="8"/>
  <c r="V22" i="8"/>
  <c r="Q22" i="4" s="1"/>
  <c r="B29" i="8"/>
  <c r="K30" i="8"/>
  <c r="U32" i="8"/>
  <c r="I34" i="8"/>
  <c r="D36" i="8"/>
  <c r="T37" i="8"/>
  <c r="F43" i="8"/>
  <c r="B46" i="8"/>
  <c r="M54" i="8"/>
  <c r="K68" i="8"/>
  <c r="G77" i="8"/>
  <c r="E80" i="8"/>
  <c r="H82" i="8"/>
  <c r="B94" i="10"/>
  <c r="R94" i="8"/>
  <c r="F94" i="8"/>
  <c r="L95" i="9"/>
  <c r="M94" i="8"/>
  <c r="O95" i="9"/>
  <c r="I94" i="8"/>
  <c r="F95" i="9"/>
  <c r="T94" i="8"/>
  <c r="D94" i="8"/>
  <c r="P94" i="8"/>
  <c r="N94" i="8"/>
  <c r="O94" i="8" s="1"/>
  <c r="L94" i="8"/>
  <c r="K94" i="8"/>
  <c r="F94" i="4" s="1"/>
  <c r="I95" i="9"/>
  <c r="H94" i="8"/>
  <c r="X94" i="8"/>
  <c r="V94" i="8"/>
  <c r="W94" i="8" s="1"/>
  <c r="L94" i="4" s="1"/>
  <c r="C95" i="9"/>
  <c r="U94" i="8"/>
  <c r="G94" i="8"/>
  <c r="V99" i="8"/>
  <c r="W99" i="8" s="1"/>
  <c r="L99" i="4" s="1"/>
  <c r="B115" i="10"/>
  <c r="R115" i="8"/>
  <c r="S115" i="8" s="1"/>
  <c r="F115" i="8"/>
  <c r="F116" i="9"/>
  <c r="G116" i="9" s="1"/>
  <c r="T115" i="8"/>
  <c r="G115" i="8"/>
  <c r="I116" i="9"/>
  <c r="O116" i="9"/>
  <c r="D115" i="8"/>
  <c r="C116" i="9"/>
  <c r="L115" i="8"/>
  <c r="L116" i="9"/>
  <c r="N115" i="8"/>
  <c r="M115" i="8"/>
  <c r="J115" i="8"/>
  <c r="I115" i="8"/>
  <c r="E115" i="8"/>
  <c r="Q115" i="8"/>
  <c r="P115" i="8"/>
  <c r="H115" i="8"/>
  <c r="C115" i="8"/>
  <c r="B115" i="8"/>
  <c r="B126" i="10"/>
  <c r="L127" i="9"/>
  <c r="R126" i="8"/>
  <c r="S126" i="8" s="1"/>
  <c r="F126" i="8"/>
  <c r="F127" i="9"/>
  <c r="O127" i="9"/>
  <c r="Q126" i="8"/>
  <c r="D126" i="8"/>
  <c r="I127" i="9"/>
  <c r="L126" i="8"/>
  <c r="X126" i="8"/>
  <c r="V126" i="8"/>
  <c r="W126" i="8" s="1"/>
  <c r="L126" i="4" s="1"/>
  <c r="H126" i="8"/>
  <c r="T126" i="8"/>
  <c r="B126" i="8"/>
  <c r="C127" i="9"/>
  <c r="J126" i="8"/>
  <c r="K126" i="8" s="1"/>
  <c r="F126" i="4" s="1"/>
  <c r="I126" i="8"/>
  <c r="G126" i="8"/>
  <c r="E126" i="8"/>
  <c r="C126" i="8"/>
  <c r="B2" i="8"/>
  <c r="B6" i="10"/>
  <c r="F7" i="9"/>
  <c r="G7" i="9" s="1"/>
  <c r="C7" i="9"/>
  <c r="O7" i="9"/>
  <c r="P6" i="8"/>
  <c r="D6" i="8"/>
  <c r="I7" i="9"/>
  <c r="L7" i="9"/>
  <c r="O6" i="8"/>
  <c r="B6" i="8"/>
  <c r="X6" i="8"/>
  <c r="J6" i="8"/>
  <c r="K6" i="8" s="1"/>
  <c r="I6" i="8"/>
  <c r="T6" i="8"/>
  <c r="F6" i="8"/>
  <c r="V6" i="8"/>
  <c r="Q6" i="4" s="1"/>
  <c r="B11" i="10"/>
  <c r="L12" i="9"/>
  <c r="F12" i="9"/>
  <c r="G12" i="9" s="1"/>
  <c r="P11" i="8"/>
  <c r="D11" i="8"/>
  <c r="I12" i="9"/>
  <c r="O12" i="9"/>
  <c r="C12" i="9"/>
  <c r="M11" i="8"/>
  <c r="T11" i="8"/>
  <c r="F11" i="8"/>
  <c r="E11" i="8"/>
  <c r="AB11" i="4" s="1"/>
  <c r="AC11" i="4" s="1"/>
  <c r="R11" i="8"/>
  <c r="Q11" i="4" s="1"/>
  <c r="C11" i="8"/>
  <c r="N11" i="8"/>
  <c r="W11" i="8"/>
  <c r="L11" i="4" s="1"/>
  <c r="T12" i="8"/>
  <c r="J17" i="8"/>
  <c r="L18" i="8"/>
  <c r="B22" i="8"/>
  <c r="B27" i="10"/>
  <c r="L28" i="9"/>
  <c r="C28" i="9"/>
  <c r="P27" i="8"/>
  <c r="D27" i="8"/>
  <c r="O28" i="9"/>
  <c r="I28" i="9"/>
  <c r="V27" i="8"/>
  <c r="W27" i="8" s="1"/>
  <c r="L27" i="4" s="1"/>
  <c r="I27" i="8"/>
  <c r="T27" i="8"/>
  <c r="G27" i="8"/>
  <c r="J27" i="8"/>
  <c r="X27" i="8"/>
  <c r="H27" i="8"/>
  <c r="F27" i="8"/>
  <c r="R27" i="8"/>
  <c r="B27" i="8"/>
  <c r="C29" i="8"/>
  <c r="L30" i="8"/>
  <c r="J34" i="8"/>
  <c r="I36" i="8"/>
  <c r="C46" i="8"/>
  <c r="L51" i="9"/>
  <c r="R50" i="8"/>
  <c r="Q50" i="4" s="1"/>
  <c r="F50" i="8"/>
  <c r="C51" i="9"/>
  <c r="V50" i="8"/>
  <c r="I50" i="8"/>
  <c r="O51" i="9"/>
  <c r="F51" i="9"/>
  <c r="G51" i="9" s="1"/>
  <c r="W50" i="8"/>
  <c r="L50" i="4" s="1"/>
  <c r="H50" i="8"/>
  <c r="U50" i="8"/>
  <c r="E50" i="8"/>
  <c r="B50" i="10"/>
  <c r="X50" i="8"/>
  <c r="D50" i="8"/>
  <c r="T50" i="8"/>
  <c r="C50" i="8"/>
  <c r="P50" i="8"/>
  <c r="N50" i="8"/>
  <c r="Q50" i="8"/>
  <c r="O50" i="8"/>
  <c r="I51" i="9"/>
  <c r="M50" i="8"/>
  <c r="J50" i="8"/>
  <c r="N54" i="8"/>
  <c r="L68" i="8"/>
  <c r="L77" i="8"/>
  <c r="H80" i="8"/>
  <c r="J82" i="8"/>
  <c r="B91" i="10"/>
  <c r="I92" i="9"/>
  <c r="R91" i="8"/>
  <c r="S91" i="8" s="1"/>
  <c r="F91" i="8"/>
  <c r="C92" i="9"/>
  <c r="T91" i="8"/>
  <c r="G91" i="8"/>
  <c r="O92" i="9"/>
  <c r="P92" i="9" s="1"/>
  <c r="L92" i="9"/>
  <c r="X91" i="8"/>
  <c r="J91" i="8"/>
  <c r="M91" i="4" s="1"/>
  <c r="N91" i="8"/>
  <c r="U91" i="8"/>
  <c r="C91" i="8"/>
  <c r="B91" i="8"/>
  <c r="P91" i="8"/>
  <c r="O91" i="8"/>
  <c r="F92" i="9"/>
  <c r="L91" i="8"/>
  <c r="V91" i="8"/>
  <c r="W91" i="8" s="1"/>
  <c r="L91" i="4" s="1"/>
  <c r="Q91" i="8"/>
  <c r="M91" i="8"/>
  <c r="E91" i="8"/>
  <c r="B94" i="8"/>
  <c r="U115" i="8"/>
  <c r="M126" i="8"/>
  <c r="I52" i="7"/>
  <c r="I54" i="7"/>
  <c r="L59" i="7"/>
  <c r="J59" i="7" s="1"/>
  <c r="I123" i="7"/>
  <c r="I125" i="7"/>
  <c r="I127" i="7"/>
  <c r="I131" i="7"/>
  <c r="I176" i="7"/>
  <c r="P3" i="8"/>
  <c r="D3" i="8"/>
  <c r="E3" i="8" s="1"/>
  <c r="I4" i="9"/>
  <c r="V3" i="8"/>
  <c r="L3" i="8"/>
  <c r="O3" i="4" s="1"/>
  <c r="J3" i="8"/>
  <c r="K3" i="8" s="1"/>
  <c r="T3" i="8"/>
  <c r="S3" i="8"/>
  <c r="V3" i="10" s="1"/>
  <c r="C6" i="8"/>
  <c r="B11" i="8"/>
  <c r="X11" i="8"/>
  <c r="M18" i="8"/>
  <c r="C22" i="9"/>
  <c r="B21" i="10"/>
  <c r="F22" i="9"/>
  <c r="I22" i="9"/>
  <c r="P21" i="8"/>
  <c r="D21" i="8"/>
  <c r="L22" i="9"/>
  <c r="V21" i="8"/>
  <c r="Q21" i="4" s="1"/>
  <c r="I21" i="8"/>
  <c r="O22" i="9"/>
  <c r="X21" i="8"/>
  <c r="J21" i="8"/>
  <c r="H21" i="8"/>
  <c r="U21" i="8"/>
  <c r="G21" i="8"/>
  <c r="T21" i="8"/>
  <c r="F21" i="8"/>
  <c r="Q21" i="8"/>
  <c r="B21" i="8"/>
  <c r="C22" i="8"/>
  <c r="C27" i="8"/>
  <c r="G29" i="8"/>
  <c r="M30" i="8"/>
  <c r="B33" i="10"/>
  <c r="C34" i="9"/>
  <c r="O34" i="9"/>
  <c r="L34" i="9"/>
  <c r="S33" i="8"/>
  <c r="G33" i="8"/>
  <c r="I34" i="9"/>
  <c r="F34" i="9"/>
  <c r="G34" i="9" s="1"/>
  <c r="X33" i="8"/>
  <c r="U33" i="8"/>
  <c r="F33" i="8"/>
  <c r="P33" i="8"/>
  <c r="B33" i="8"/>
  <c r="N33" i="8"/>
  <c r="L33" i="8"/>
  <c r="J33" i="8"/>
  <c r="I33" i="8"/>
  <c r="H33" i="8"/>
  <c r="V33" i="8"/>
  <c r="C33" i="8"/>
  <c r="L34" i="8"/>
  <c r="J36" i="8"/>
  <c r="N43" i="8"/>
  <c r="E46" i="8"/>
  <c r="B50" i="8"/>
  <c r="R52" i="8"/>
  <c r="S52" i="8" s="1"/>
  <c r="F52" i="8"/>
  <c r="M52" i="8"/>
  <c r="L53" i="9"/>
  <c r="B52" i="10"/>
  <c r="I53" i="9"/>
  <c r="F53" i="9"/>
  <c r="O53" i="9"/>
  <c r="C53" i="9"/>
  <c r="Q52" i="8"/>
  <c r="C52" i="8"/>
  <c r="U52" i="8"/>
  <c r="E52" i="8"/>
  <c r="AB52" i="4" s="1"/>
  <c r="AC52" i="4" s="1"/>
  <c r="I52" i="8"/>
  <c r="X52" i="8"/>
  <c r="H52" i="8"/>
  <c r="T52" i="8"/>
  <c r="B52" i="8"/>
  <c r="P52" i="8"/>
  <c r="V52" i="8"/>
  <c r="W52" i="8" s="1"/>
  <c r="L52" i="4" s="1"/>
  <c r="O52" i="8"/>
  <c r="K52" i="8"/>
  <c r="B55" i="10"/>
  <c r="I56" i="9"/>
  <c r="R55" i="8"/>
  <c r="F55" i="8"/>
  <c r="T55" i="8"/>
  <c r="G55" i="8"/>
  <c r="L56" i="9"/>
  <c r="C56" i="9"/>
  <c r="P55" i="8"/>
  <c r="B55" i="8"/>
  <c r="F56" i="9"/>
  <c r="V55" i="8"/>
  <c r="D55" i="8"/>
  <c r="U55" i="8"/>
  <c r="C55" i="8"/>
  <c r="O56" i="9"/>
  <c r="O55" i="8"/>
  <c r="M55" i="8"/>
  <c r="X55" i="8"/>
  <c r="W55" i="8"/>
  <c r="L55" i="4" s="1"/>
  <c r="Q55" i="8"/>
  <c r="J55" i="8"/>
  <c r="M77" i="8"/>
  <c r="J80" i="8"/>
  <c r="L82" i="8"/>
  <c r="D91" i="8"/>
  <c r="C94" i="8"/>
  <c r="V115" i="8"/>
  <c r="W115" i="8" s="1"/>
  <c r="L115" i="4" s="1"/>
  <c r="O121" i="8"/>
  <c r="N126" i="8"/>
  <c r="L108" i="7"/>
  <c r="J108" i="7" s="1"/>
  <c r="L155" i="7"/>
  <c r="J155" i="7" s="1"/>
  <c r="I165" i="7"/>
  <c r="L178" i="7"/>
  <c r="J178" i="7" s="1"/>
  <c r="L189" i="7"/>
  <c r="J189" i="7" s="1"/>
  <c r="C13" i="9"/>
  <c r="B12" i="10"/>
  <c r="F13" i="9"/>
  <c r="O13" i="9"/>
  <c r="P12" i="8"/>
  <c r="D12" i="8"/>
  <c r="L13" i="9"/>
  <c r="O12" i="8"/>
  <c r="B12" i="8"/>
  <c r="X12" i="8"/>
  <c r="J12" i="8"/>
  <c r="I12" i="8"/>
  <c r="V12" i="8"/>
  <c r="W12" i="8" s="1"/>
  <c r="L12" i="4" s="1"/>
  <c r="H12" i="8"/>
  <c r="E12" i="8"/>
  <c r="B13" i="10"/>
  <c r="I14" i="9"/>
  <c r="F14" i="9"/>
  <c r="C14" i="9"/>
  <c r="P13" i="8"/>
  <c r="D13" i="8"/>
  <c r="O14" i="9"/>
  <c r="P14" i="9" s="1"/>
  <c r="L14" i="9"/>
  <c r="R13" i="8"/>
  <c r="Q13" i="4" s="1"/>
  <c r="E13" i="8"/>
  <c r="AB13" i="4" s="1"/>
  <c r="AC13" i="4" s="1"/>
  <c r="N13" i="8"/>
  <c r="M13" i="8"/>
  <c r="L13" i="8"/>
  <c r="W13" i="8"/>
  <c r="L13" i="4" s="1"/>
  <c r="I13" i="8"/>
  <c r="U13" i="8"/>
  <c r="N17" i="8"/>
  <c r="N18" i="8"/>
  <c r="H29" i="8"/>
  <c r="N34" i="8"/>
  <c r="R36" i="8"/>
  <c r="O43" i="8"/>
  <c r="J46" i="8"/>
  <c r="B59" i="10"/>
  <c r="L60" i="9"/>
  <c r="R59" i="8"/>
  <c r="S59" i="8" s="1"/>
  <c r="F59" i="8"/>
  <c r="B59" i="8"/>
  <c r="I60" i="9"/>
  <c r="F60" i="9"/>
  <c r="C60" i="9"/>
  <c r="U59" i="8"/>
  <c r="G59" i="8"/>
  <c r="X59" i="8"/>
  <c r="I59" i="8"/>
  <c r="J59" i="8"/>
  <c r="K59" i="8" s="1"/>
  <c r="F59" i="4" s="1"/>
  <c r="O60" i="9"/>
  <c r="P60" i="9" s="1"/>
  <c r="H59" i="8"/>
  <c r="T59" i="8"/>
  <c r="C59" i="8"/>
  <c r="Q59" i="8"/>
  <c r="V59" i="8"/>
  <c r="W59" i="8" s="1"/>
  <c r="L59" i="4" s="1"/>
  <c r="P59" i="8"/>
  <c r="N59" i="8"/>
  <c r="M59" i="8"/>
  <c r="E59" i="8"/>
  <c r="R76" i="8"/>
  <c r="S76" i="8" s="1"/>
  <c r="F76" i="8"/>
  <c r="O77" i="9"/>
  <c r="P77" i="9" s="1"/>
  <c r="M76" i="8"/>
  <c r="B76" i="10"/>
  <c r="L76" i="8"/>
  <c r="L77" i="9"/>
  <c r="F77" i="9"/>
  <c r="C76" i="8"/>
  <c r="P76" i="8"/>
  <c r="J76" i="8"/>
  <c r="X76" i="8"/>
  <c r="H76" i="8"/>
  <c r="V76" i="8"/>
  <c r="W76" i="8" s="1"/>
  <c r="L76" i="4" s="1"/>
  <c r="U76" i="8"/>
  <c r="T76" i="8"/>
  <c r="Q76" i="8"/>
  <c r="I77" i="9"/>
  <c r="N76" i="8"/>
  <c r="G76" i="8"/>
  <c r="X80" i="8"/>
  <c r="J76" i="7"/>
  <c r="I88" i="7"/>
  <c r="I90" i="7"/>
  <c r="O29" i="8"/>
  <c r="L33" i="9"/>
  <c r="B32" i="10"/>
  <c r="F33" i="9"/>
  <c r="G32" i="8"/>
  <c r="C33" i="9"/>
  <c r="V32" i="8"/>
  <c r="W32" i="8" s="1"/>
  <c r="L32" i="4" s="1"/>
  <c r="I32" i="8"/>
  <c r="O33" i="9"/>
  <c r="P33" i="9" s="1"/>
  <c r="P32" i="8"/>
  <c r="B32" i="8"/>
  <c r="L32" i="8"/>
  <c r="X32" i="8"/>
  <c r="J32" i="8"/>
  <c r="Q32" i="8"/>
  <c r="N32" i="8"/>
  <c r="O32" i="8" s="1"/>
  <c r="M32" i="8"/>
  <c r="F32" i="8"/>
  <c r="L46" i="8"/>
  <c r="B76" i="8"/>
  <c r="B81" i="10"/>
  <c r="L82" i="9"/>
  <c r="R81" i="8"/>
  <c r="F81" i="8"/>
  <c r="F82" i="9"/>
  <c r="X81" i="8"/>
  <c r="K81" i="8"/>
  <c r="O82" i="9"/>
  <c r="U81" i="8"/>
  <c r="G81" i="8"/>
  <c r="H81" i="8"/>
  <c r="N81" i="8"/>
  <c r="O81" i="8" s="1"/>
  <c r="M81" i="8"/>
  <c r="I82" i="9"/>
  <c r="C82" i="9"/>
  <c r="I81" i="8"/>
  <c r="V81" i="8"/>
  <c r="W81" i="8" s="1"/>
  <c r="L81" i="4" s="1"/>
  <c r="D81" i="8"/>
  <c r="T81" i="8"/>
  <c r="Q81" i="8"/>
  <c r="P81" i="8"/>
  <c r="E81" i="8"/>
  <c r="AB81" i="4" s="1"/>
  <c r="AC81" i="4" s="1"/>
  <c r="L123" i="9"/>
  <c r="B122" i="10"/>
  <c r="R122" i="8"/>
  <c r="F122" i="8"/>
  <c r="V122" i="8"/>
  <c r="W122" i="8" s="1"/>
  <c r="L122" i="4" s="1"/>
  <c r="I122" i="8"/>
  <c r="F123" i="9"/>
  <c r="G123" i="9" s="1"/>
  <c r="C123" i="9"/>
  <c r="H122" i="8"/>
  <c r="O123" i="9"/>
  <c r="I123" i="9"/>
  <c r="P122" i="8"/>
  <c r="N122" i="8"/>
  <c r="M122" i="8"/>
  <c r="L122" i="8"/>
  <c r="J122" i="8"/>
  <c r="X122" i="8"/>
  <c r="E122" i="8"/>
  <c r="Q122" i="8"/>
  <c r="G122" i="8"/>
  <c r="D122" i="8"/>
  <c r="C122" i="8"/>
  <c r="P26" i="9"/>
  <c r="D26" i="9"/>
  <c r="I47" i="7"/>
  <c r="J52" i="7"/>
  <c r="I107" i="7"/>
  <c r="J187" i="7"/>
  <c r="I190" i="7"/>
  <c r="F12" i="8"/>
  <c r="C13" i="8"/>
  <c r="X13" i="8"/>
  <c r="U17" i="8"/>
  <c r="S18" i="8"/>
  <c r="Q29" i="8"/>
  <c r="U30" i="8"/>
  <c r="C32" i="8"/>
  <c r="Q34" i="8"/>
  <c r="I38" i="9"/>
  <c r="B37" i="10"/>
  <c r="X37" i="8"/>
  <c r="L37" i="8"/>
  <c r="F38" i="9"/>
  <c r="W37" i="8"/>
  <c r="L37" i="4" s="1"/>
  <c r="J37" i="8"/>
  <c r="K37" i="8" s="1"/>
  <c r="I37" i="8"/>
  <c r="C38" i="9"/>
  <c r="N37" i="8"/>
  <c r="H37" i="8"/>
  <c r="U37" i="8"/>
  <c r="F37" i="8"/>
  <c r="Q37" i="8"/>
  <c r="P37" i="8"/>
  <c r="M37" i="8"/>
  <c r="O38" i="9"/>
  <c r="D37" i="8"/>
  <c r="L38" i="9"/>
  <c r="B45" i="10"/>
  <c r="L46" i="9"/>
  <c r="X45" i="8"/>
  <c r="L45" i="8"/>
  <c r="I46" i="9"/>
  <c r="O46" i="9"/>
  <c r="P46" i="9" s="1"/>
  <c r="O45" i="8"/>
  <c r="B45" i="8"/>
  <c r="R45" i="8"/>
  <c r="D45" i="8"/>
  <c r="C46" i="9"/>
  <c r="H45" i="8"/>
  <c r="V45" i="8"/>
  <c r="W45" i="8" s="1"/>
  <c r="L45" i="4" s="1"/>
  <c r="G45" i="8"/>
  <c r="F46" i="9"/>
  <c r="S45" i="8"/>
  <c r="C45" i="8"/>
  <c r="P45" i="8"/>
  <c r="T45" i="8"/>
  <c r="Q45" i="8"/>
  <c r="N45" i="8"/>
  <c r="M45" i="8"/>
  <c r="I45" i="8"/>
  <c r="V46" i="8"/>
  <c r="W46" i="8" s="1"/>
  <c r="L46" i="4" s="1"/>
  <c r="D76" i="8"/>
  <c r="B81" i="8"/>
  <c r="R85" i="8"/>
  <c r="Q85" i="4" s="1"/>
  <c r="F85" i="8"/>
  <c r="F86" i="9"/>
  <c r="T85" i="8"/>
  <c r="G85" i="8"/>
  <c r="I86" i="9"/>
  <c r="B85" i="10"/>
  <c r="L86" i="9"/>
  <c r="O86" i="9"/>
  <c r="P86" i="9" s="1"/>
  <c r="C85" i="8"/>
  <c r="C86" i="9"/>
  <c r="N85" i="8"/>
  <c r="L85" i="8"/>
  <c r="J85" i="8"/>
  <c r="K85" i="8" s="1"/>
  <c r="F85" i="4" s="1"/>
  <c r="X85" i="8"/>
  <c r="H85" i="8"/>
  <c r="M85" i="8"/>
  <c r="I85" i="8"/>
  <c r="E85" i="8"/>
  <c r="D85" i="8"/>
  <c r="B85" i="8"/>
  <c r="W85" i="8"/>
  <c r="L85" i="4" s="1"/>
  <c r="L93" i="9"/>
  <c r="B92" i="10"/>
  <c r="F93" i="9"/>
  <c r="R92" i="8"/>
  <c r="S92" i="8" s="1"/>
  <c r="F92" i="8"/>
  <c r="V92" i="8"/>
  <c r="I92" i="8"/>
  <c r="O93" i="9"/>
  <c r="P93" i="9" s="1"/>
  <c r="I93" i="9"/>
  <c r="N92" i="8"/>
  <c r="C93" i="9"/>
  <c r="U92" i="8"/>
  <c r="E92" i="8"/>
  <c r="M92" i="8"/>
  <c r="L92" i="8"/>
  <c r="J92" i="8"/>
  <c r="K92" i="8" s="1"/>
  <c r="F92" i="4" s="1"/>
  <c r="H92" i="8"/>
  <c r="W92" i="8"/>
  <c r="L92" i="4" s="1"/>
  <c r="D92" i="8"/>
  <c r="X92" i="8"/>
  <c r="T92" i="8"/>
  <c r="Q92" i="8"/>
  <c r="B122" i="8"/>
  <c r="L147" i="9"/>
  <c r="X146" i="8"/>
  <c r="L146" i="8"/>
  <c r="O147" i="9"/>
  <c r="Q146" i="8"/>
  <c r="D146" i="8"/>
  <c r="B146" i="10"/>
  <c r="C147" i="9"/>
  <c r="T146" i="8"/>
  <c r="F146" i="8"/>
  <c r="I147" i="9"/>
  <c r="F147" i="9"/>
  <c r="M146" i="8"/>
  <c r="J146" i="8"/>
  <c r="K146" i="8" s="1"/>
  <c r="F146" i="4" s="1"/>
  <c r="H146" i="8"/>
  <c r="P146" i="8"/>
  <c r="U146" i="8"/>
  <c r="R146" i="8"/>
  <c r="N146" i="8"/>
  <c r="I146" i="8"/>
  <c r="G146" i="8"/>
  <c r="E146" i="8"/>
  <c r="V146" i="8"/>
  <c r="W146" i="8" s="1"/>
  <c r="L146" i="4" s="1"/>
  <c r="I13" i="9"/>
  <c r="X154" i="8"/>
  <c r="L154" i="8"/>
  <c r="B154" i="10"/>
  <c r="U154" i="8"/>
  <c r="H154" i="8"/>
  <c r="O155" i="9"/>
  <c r="P155" i="9" s="1"/>
  <c r="L155" i="9"/>
  <c r="N154" i="8"/>
  <c r="O154" i="8" s="1"/>
  <c r="C155" i="9"/>
  <c r="F155" i="9"/>
  <c r="I155" i="9"/>
  <c r="V154" i="8"/>
  <c r="W154" i="8" s="1"/>
  <c r="L154" i="4" s="1"/>
  <c r="F154" i="8"/>
  <c r="D154" i="8"/>
  <c r="Q154" i="8"/>
  <c r="B154" i="8"/>
  <c r="R154" i="8"/>
  <c r="P154" i="8"/>
  <c r="T154" i="8"/>
  <c r="M154" i="8"/>
  <c r="J154" i="8"/>
  <c r="K154" i="8" s="1"/>
  <c r="F154" i="4" s="1"/>
  <c r="I154" i="8"/>
  <c r="F71" i="9"/>
  <c r="L6" i="9"/>
  <c r="B5" i="10"/>
  <c r="I6" i="9"/>
  <c r="F6" i="9"/>
  <c r="P5" i="8"/>
  <c r="D5" i="8"/>
  <c r="M5" i="8"/>
  <c r="O6" i="9"/>
  <c r="H16" i="8"/>
  <c r="V16" i="8"/>
  <c r="I25" i="9"/>
  <c r="C25" i="9"/>
  <c r="P24" i="8"/>
  <c r="D24" i="8"/>
  <c r="L25" i="9"/>
  <c r="F25" i="9"/>
  <c r="G25" i="9" s="1"/>
  <c r="O25" i="9"/>
  <c r="O24" i="8"/>
  <c r="B24" i="8"/>
  <c r="Q24" i="8"/>
  <c r="L28" i="8"/>
  <c r="M31" i="8"/>
  <c r="P39" i="8"/>
  <c r="L56" i="8"/>
  <c r="N57" i="8"/>
  <c r="N63" i="8"/>
  <c r="J69" i="8"/>
  <c r="K70" i="8"/>
  <c r="L71" i="8"/>
  <c r="J73" i="8"/>
  <c r="K73" i="8" s="1"/>
  <c r="F73" i="4" s="1"/>
  <c r="N74" i="8"/>
  <c r="B147" i="10"/>
  <c r="X147" i="8"/>
  <c r="L147" i="8"/>
  <c r="I148" i="9"/>
  <c r="F147" i="8"/>
  <c r="C148" i="9"/>
  <c r="L148" i="9"/>
  <c r="J147" i="8"/>
  <c r="K147" i="8" s="1"/>
  <c r="T147" i="8"/>
  <c r="D147" i="8"/>
  <c r="Q147" i="8"/>
  <c r="B147" i="8"/>
  <c r="M147" i="8"/>
  <c r="O148" i="9"/>
  <c r="P148" i="9" s="1"/>
  <c r="V147" i="8"/>
  <c r="W147" i="8" s="1"/>
  <c r="L147" i="4" s="1"/>
  <c r="U147" i="8"/>
  <c r="R147" i="8"/>
  <c r="Q147" i="4" s="1"/>
  <c r="P147" i="8"/>
  <c r="N147" i="8"/>
  <c r="O147" i="8" s="1"/>
  <c r="F148" i="9"/>
  <c r="I147" i="8"/>
  <c r="H147" i="8"/>
  <c r="G147" i="8"/>
  <c r="C6" i="9"/>
  <c r="I177" i="7"/>
  <c r="E5" i="8"/>
  <c r="AB5" i="4" s="1"/>
  <c r="M7" i="8"/>
  <c r="M10" i="8"/>
  <c r="L16" i="8"/>
  <c r="L21" i="9"/>
  <c r="F21" i="9"/>
  <c r="G21" i="9" s="1"/>
  <c r="B20" i="10"/>
  <c r="I21" i="9"/>
  <c r="C21" i="9"/>
  <c r="P20" i="8"/>
  <c r="D20" i="8"/>
  <c r="O21" i="9"/>
  <c r="P21" i="9" s="1"/>
  <c r="T20" i="8"/>
  <c r="G20" i="8"/>
  <c r="O20" i="8"/>
  <c r="L24" i="9"/>
  <c r="F24" i="9"/>
  <c r="B23" i="10"/>
  <c r="I24" i="9"/>
  <c r="O24" i="9"/>
  <c r="P23" i="8"/>
  <c r="D23" i="8"/>
  <c r="M23" i="8"/>
  <c r="C24" i="9"/>
  <c r="O23" i="8"/>
  <c r="F24" i="8"/>
  <c r="T24" i="8"/>
  <c r="Q28" i="8"/>
  <c r="P31" i="8"/>
  <c r="U39" i="8"/>
  <c r="U40" i="8"/>
  <c r="T41" i="8"/>
  <c r="T57" i="8"/>
  <c r="Q63" i="8"/>
  <c r="Q69" i="8"/>
  <c r="Q70" i="8"/>
  <c r="U71" i="8"/>
  <c r="Q73" i="8"/>
  <c r="B84" i="10"/>
  <c r="C85" i="9"/>
  <c r="R84" i="8"/>
  <c r="F84" i="8"/>
  <c r="O85" i="9"/>
  <c r="P85" i="9" s="1"/>
  <c r="Q84" i="8"/>
  <c r="D84" i="8"/>
  <c r="I85" i="9"/>
  <c r="F85" i="9"/>
  <c r="L85" i="9"/>
  <c r="U84" i="8"/>
  <c r="G84" i="8"/>
  <c r="L84" i="8"/>
  <c r="E84" i="8"/>
  <c r="AB84" i="4" s="1"/>
  <c r="AC84" i="4" s="1"/>
  <c r="V84" i="8"/>
  <c r="W84" i="8" s="1"/>
  <c r="L84" i="4" s="1"/>
  <c r="C84" i="8"/>
  <c r="P84" i="8"/>
  <c r="N84" i="8"/>
  <c r="D16" i="9"/>
  <c r="I194" i="7"/>
  <c r="I196" i="7"/>
  <c r="I5" i="9"/>
  <c r="P4" i="8"/>
  <c r="Q4" i="4" s="1"/>
  <c r="D4" i="8"/>
  <c r="E4" i="8" s="1"/>
  <c r="O5" i="9"/>
  <c r="P5" i="9" s="1"/>
  <c r="K4" i="8"/>
  <c r="F5" i="9" s="1"/>
  <c r="O4" i="8"/>
  <c r="F5" i="8"/>
  <c r="T5" i="8"/>
  <c r="M16" i="8"/>
  <c r="B20" i="8"/>
  <c r="Q20" i="8"/>
  <c r="B23" i="8"/>
  <c r="Q23" i="8"/>
  <c r="G24" i="8"/>
  <c r="U24" i="8"/>
  <c r="L27" i="9"/>
  <c r="O27" i="9"/>
  <c r="B26" i="10"/>
  <c r="I27" i="9"/>
  <c r="F27" i="9"/>
  <c r="P26" i="8"/>
  <c r="D26" i="8"/>
  <c r="C27" i="9"/>
  <c r="T26" i="8"/>
  <c r="G26" i="8"/>
  <c r="R26" i="8"/>
  <c r="O26" i="8"/>
  <c r="T56" i="8"/>
  <c r="U57" i="8"/>
  <c r="U63" i="8"/>
  <c r="T70" i="8"/>
  <c r="V71" i="8"/>
  <c r="W71" i="8" s="1"/>
  <c r="L71" i="4" s="1"/>
  <c r="V73" i="8"/>
  <c r="W73" i="8" s="1"/>
  <c r="L73" i="4" s="1"/>
  <c r="U74" i="8"/>
  <c r="B84" i="8"/>
  <c r="L114" i="9"/>
  <c r="R113" i="8"/>
  <c r="F113" i="8"/>
  <c r="O114" i="9"/>
  <c r="O113" i="8"/>
  <c r="B113" i="8"/>
  <c r="B113" i="10"/>
  <c r="C114" i="9"/>
  <c r="F114" i="9"/>
  <c r="X113" i="8"/>
  <c r="J113" i="8"/>
  <c r="M113" i="4" s="1"/>
  <c r="M113" i="8"/>
  <c r="L113" i="8"/>
  <c r="I113" i="8"/>
  <c r="H113" i="8"/>
  <c r="G113" i="8"/>
  <c r="V113" i="8"/>
  <c r="W113" i="8" s="1"/>
  <c r="L113" i="4" s="1"/>
  <c r="E113" i="8"/>
  <c r="T113" i="8"/>
  <c r="C113" i="8"/>
  <c r="B180" i="10"/>
  <c r="X180" i="8"/>
  <c r="L180" i="8"/>
  <c r="M180" i="8"/>
  <c r="O181" i="9"/>
  <c r="I181" i="9"/>
  <c r="R180" i="8"/>
  <c r="D180" i="8"/>
  <c r="L181" i="9"/>
  <c r="C181" i="9"/>
  <c r="F181" i="9"/>
  <c r="S180" i="8"/>
  <c r="C180" i="8"/>
  <c r="N180" i="8"/>
  <c r="H180" i="8"/>
  <c r="F180" i="8"/>
  <c r="U180" i="8"/>
  <c r="B180" i="8"/>
  <c r="V180" i="8"/>
  <c r="W180" i="8" s="1"/>
  <c r="L180" i="4" s="1"/>
  <c r="T180" i="8"/>
  <c r="P180" i="8"/>
  <c r="O180" i="8"/>
  <c r="Q180" i="8"/>
  <c r="K180" i="8"/>
  <c r="F180" i="4" s="1"/>
  <c r="J180" i="8"/>
  <c r="I180" i="8"/>
  <c r="G180" i="8"/>
  <c r="G5" i="8"/>
  <c r="U5" i="8"/>
  <c r="B7" i="10"/>
  <c r="F8" i="9"/>
  <c r="G8" i="9" s="1"/>
  <c r="I8" i="9"/>
  <c r="P7" i="8"/>
  <c r="D7" i="8"/>
  <c r="O8" i="9"/>
  <c r="R7" i="8"/>
  <c r="E7" i="8"/>
  <c r="AB7" i="4" s="1"/>
  <c r="AC7" i="4" s="1"/>
  <c r="I11" i="9"/>
  <c r="B10" i="10"/>
  <c r="F11" i="9"/>
  <c r="P10" i="8"/>
  <c r="D10" i="8"/>
  <c r="C11" i="9"/>
  <c r="O11" i="9"/>
  <c r="P11" i="9" s="1"/>
  <c r="X10" i="8"/>
  <c r="K10" i="8"/>
  <c r="L11" i="9"/>
  <c r="O10" i="8"/>
  <c r="V24" i="8"/>
  <c r="I29" i="9"/>
  <c r="L29" i="9"/>
  <c r="B28" i="10"/>
  <c r="F29" i="9"/>
  <c r="C29" i="9"/>
  <c r="P28" i="8"/>
  <c r="D28" i="8"/>
  <c r="O28" i="8"/>
  <c r="B28" i="8"/>
  <c r="O29" i="9"/>
  <c r="P29" i="9" s="1"/>
  <c r="X28" i="8"/>
  <c r="K28" i="8"/>
  <c r="V28" i="8"/>
  <c r="I28" i="8"/>
  <c r="S28" i="8"/>
  <c r="B31" i="10"/>
  <c r="I32" i="9"/>
  <c r="G31" i="8"/>
  <c r="L32" i="9"/>
  <c r="T31" i="8"/>
  <c r="F31" i="8"/>
  <c r="F32" i="9"/>
  <c r="L31" i="8"/>
  <c r="O32" i="9"/>
  <c r="P32" i="9" s="1"/>
  <c r="C32" i="9"/>
  <c r="V31" i="8"/>
  <c r="W31" i="8" s="1"/>
  <c r="L31" i="4" s="1"/>
  <c r="H31" i="8"/>
  <c r="R31" i="8"/>
  <c r="S31" i="8" s="1"/>
  <c r="D31" i="8"/>
  <c r="U31" i="8"/>
  <c r="C40" i="9"/>
  <c r="B39" i="10"/>
  <c r="X39" i="8"/>
  <c r="L39" i="8"/>
  <c r="O40" i="9"/>
  <c r="P40" i="9" s="1"/>
  <c r="L40" i="9"/>
  <c r="F40" i="9"/>
  <c r="G40" i="9" s="1"/>
  <c r="B39" i="8"/>
  <c r="I40" i="9"/>
  <c r="S39" i="8"/>
  <c r="E39" i="8"/>
  <c r="J39" i="8"/>
  <c r="K39" i="8" s="1"/>
  <c r="F39" i="4" s="1"/>
  <c r="V39" i="8"/>
  <c r="G39" i="8"/>
  <c r="T39" i="8"/>
  <c r="D39" i="8"/>
  <c r="B40" i="10"/>
  <c r="F41" i="9"/>
  <c r="X40" i="8"/>
  <c r="L40" i="8"/>
  <c r="C41" i="9"/>
  <c r="O41" i="9"/>
  <c r="P41" i="9" s="1"/>
  <c r="Q40" i="8"/>
  <c r="D40" i="8"/>
  <c r="I40" i="8"/>
  <c r="L41" i="9"/>
  <c r="I41" i="9"/>
  <c r="C40" i="8"/>
  <c r="R40" i="8"/>
  <c r="B40" i="8"/>
  <c r="N40" i="8"/>
  <c r="O40" i="8" s="1"/>
  <c r="K40" i="8"/>
  <c r="F40" i="4" s="1"/>
  <c r="L42" i="9"/>
  <c r="X41" i="8"/>
  <c r="L41" i="8"/>
  <c r="B41" i="10"/>
  <c r="C42" i="9"/>
  <c r="O42" i="9"/>
  <c r="F41" i="8"/>
  <c r="F42" i="9"/>
  <c r="N41" i="8"/>
  <c r="O41" i="8" s="1"/>
  <c r="J41" i="8"/>
  <c r="I41" i="8"/>
  <c r="U41" i="8"/>
  <c r="E41" i="8"/>
  <c r="R41" i="8"/>
  <c r="Q41" i="4" s="1"/>
  <c r="C41" i="8"/>
  <c r="W41" i="8"/>
  <c r="L41" i="4" s="1"/>
  <c r="H84" i="8"/>
  <c r="L105" i="9"/>
  <c r="B104" i="10"/>
  <c r="R104" i="8"/>
  <c r="F104" i="8"/>
  <c r="I105" i="9"/>
  <c r="V104" i="8"/>
  <c r="W104" i="8" s="1"/>
  <c r="L104" i="4" s="1"/>
  <c r="I104" i="8"/>
  <c r="F105" i="9"/>
  <c r="C105" i="9"/>
  <c r="L104" i="8"/>
  <c r="N104" i="8"/>
  <c r="M104" i="8"/>
  <c r="J104" i="8"/>
  <c r="K104" i="8" s="1"/>
  <c r="F104" i="4" s="1"/>
  <c r="H104" i="8"/>
  <c r="X104" i="8"/>
  <c r="G104" i="8"/>
  <c r="U104" i="8"/>
  <c r="D104" i="8"/>
  <c r="S129" i="8"/>
  <c r="B164" i="10"/>
  <c r="L165" i="9"/>
  <c r="X164" i="8"/>
  <c r="L164" i="8"/>
  <c r="I165" i="9"/>
  <c r="Q164" i="8"/>
  <c r="D164" i="8"/>
  <c r="C165" i="9"/>
  <c r="P164" i="8"/>
  <c r="B164" i="8"/>
  <c r="F165" i="9"/>
  <c r="O164" i="8"/>
  <c r="T164" i="8"/>
  <c r="C164" i="8"/>
  <c r="R164" i="8"/>
  <c r="S164" i="8" s="1"/>
  <c r="M164" i="8"/>
  <c r="N164" i="8"/>
  <c r="J164" i="8"/>
  <c r="K164" i="8" s="1"/>
  <c r="F164" i="4" s="1"/>
  <c r="O165" i="9"/>
  <c r="V164" i="8"/>
  <c r="W164" i="8" s="1"/>
  <c r="L164" i="4" s="1"/>
  <c r="U164" i="8"/>
  <c r="I164" i="8"/>
  <c r="H164" i="8"/>
  <c r="G164" i="8"/>
  <c r="F164" i="8"/>
  <c r="B16" i="10"/>
  <c r="C17" i="9"/>
  <c r="O17" i="9"/>
  <c r="P17" i="9" s="1"/>
  <c r="P16" i="8"/>
  <c r="D16" i="8"/>
  <c r="F17" i="9"/>
  <c r="G17" i="9" s="1"/>
  <c r="L17" i="9"/>
  <c r="I17" i="9"/>
  <c r="X16" i="8"/>
  <c r="K16" i="8"/>
  <c r="O16" i="8"/>
  <c r="B57" i="10"/>
  <c r="C58" i="9"/>
  <c r="R57" i="8"/>
  <c r="F57" i="8"/>
  <c r="X57" i="8"/>
  <c r="K57" i="8"/>
  <c r="F57" i="4" s="1"/>
  <c r="I58" i="9"/>
  <c r="O58" i="9"/>
  <c r="P58" i="9" s="1"/>
  <c r="L57" i="8"/>
  <c r="L58" i="9"/>
  <c r="I57" i="8"/>
  <c r="G57" i="8"/>
  <c r="V57" i="8"/>
  <c r="W57" i="8" s="1"/>
  <c r="L57" i="4" s="1"/>
  <c r="E57" i="8"/>
  <c r="AB57" i="4" s="1"/>
  <c r="AC57" i="4" s="1"/>
  <c r="S57" i="8"/>
  <c r="B57" i="8"/>
  <c r="P57" i="8"/>
  <c r="L72" i="9"/>
  <c r="B71" i="10"/>
  <c r="O72" i="9"/>
  <c r="P72" i="9" s="1"/>
  <c r="R71" i="8"/>
  <c r="F71" i="8"/>
  <c r="I72" i="9"/>
  <c r="O71" i="8"/>
  <c r="B71" i="8"/>
  <c r="C72" i="9"/>
  <c r="F72" i="9"/>
  <c r="D71" i="8"/>
  <c r="M71" i="8"/>
  <c r="Q71" i="8"/>
  <c r="P71" i="8"/>
  <c r="K71" i="8"/>
  <c r="I71" i="8"/>
  <c r="X71" i="8"/>
  <c r="L159" i="9"/>
  <c r="X158" i="8"/>
  <c r="L158" i="8"/>
  <c r="C159" i="9"/>
  <c r="Q158" i="8"/>
  <c r="D158" i="8"/>
  <c r="B158" i="10"/>
  <c r="F159" i="9"/>
  <c r="G159" i="9" s="1"/>
  <c r="R158" i="8"/>
  <c r="C158" i="8"/>
  <c r="O159" i="9"/>
  <c r="P159" i="9" s="1"/>
  <c r="I159" i="9"/>
  <c r="T158" i="8"/>
  <c r="E158" i="8"/>
  <c r="J158" i="8"/>
  <c r="H158" i="8"/>
  <c r="V158" i="8"/>
  <c r="W158" i="8" s="1"/>
  <c r="L158" i="4" s="1"/>
  <c r="F158" i="8"/>
  <c r="G158" i="8"/>
  <c r="B158" i="8"/>
  <c r="U158" i="8"/>
  <c r="S158" i="8"/>
  <c r="P158" i="8"/>
  <c r="N158" i="8"/>
  <c r="S181" i="8"/>
  <c r="B185" i="10"/>
  <c r="L186" i="9"/>
  <c r="X185" i="8"/>
  <c r="L185" i="8"/>
  <c r="C186" i="9"/>
  <c r="W185" i="8"/>
  <c r="L185" i="4" s="1"/>
  <c r="J185" i="8"/>
  <c r="K185" i="8" s="1"/>
  <c r="F185" i="4" s="1"/>
  <c r="M185" i="8"/>
  <c r="O186" i="9"/>
  <c r="P186" i="9" s="1"/>
  <c r="I186" i="9"/>
  <c r="V185" i="8"/>
  <c r="G185" i="8"/>
  <c r="R185" i="8"/>
  <c r="C185" i="8"/>
  <c r="Q185" i="8"/>
  <c r="T185" i="8"/>
  <c r="S185" i="8"/>
  <c r="F186" i="9"/>
  <c r="N185" i="8"/>
  <c r="O185" i="8" s="1"/>
  <c r="I185" i="8"/>
  <c r="U185" i="8"/>
  <c r="P185" i="8"/>
  <c r="H185" i="8"/>
  <c r="F185" i="8"/>
  <c r="E185" i="8"/>
  <c r="D185" i="8"/>
  <c r="C8" i="9"/>
  <c r="D68" i="9"/>
  <c r="L57" i="9"/>
  <c r="B56" i="10"/>
  <c r="F57" i="9"/>
  <c r="R56" i="8"/>
  <c r="S56" i="8" s="1"/>
  <c r="F56" i="8"/>
  <c r="V56" i="8"/>
  <c r="W56" i="8" s="1"/>
  <c r="L56" i="4" s="1"/>
  <c r="I56" i="8"/>
  <c r="C57" i="9"/>
  <c r="U56" i="8"/>
  <c r="G56" i="8"/>
  <c r="Q56" i="8"/>
  <c r="B56" i="8"/>
  <c r="I57" i="9"/>
  <c r="O57" i="9"/>
  <c r="N56" i="8"/>
  <c r="M56" i="8"/>
  <c r="J56" i="8"/>
  <c r="X56" i="8"/>
  <c r="E56" i="8"/>
  <c r="L64" i="9"/>
  <c r="R63" i="8"/>
  <c r="S63" i="8" s="1"/>
  <c r="F63" i="8"/>
  <c r="B63" i="10"/>
  <c r="I64" i="9"/>
  <c r="X63" i="8"/>
  <c r="F64" i="9"/>
  <c r="C64" i="9"/>
  <c r="J63" i="8"/>
  <c r="T63" i="8"/>
  <c r="D63" i="8"/>
  <c r="L63" i="8"/>
  <c r="I63" i="8"/>
  <c r="V63" i="8"/>
  <c r="W63" i="8" s="1"/>
  <c r="L63" i="4" s="1"/>
  <c r="E63" i="8"/>
  <c r="O64" i="9"/>
  <c r="P64" i="9" s="1"/>
  <c r="B63" i="8"/>
  <c r="R69" i="8"/>
  <c r="S69" i="8" s="1"/>
  <c r="F69" i="8"/>
  <c r="B69" i="10"/>
  <c r="X69" i="8"/>
  <c r="K69" i="8"/>
  <c r="F69" i="4" s="1"/>
  <c r="C70" i="9"/>
  <c r="L70" i="9"/>
  <c r="I69" i="8"/>
  <c r="O70" i="9"/>
  <c r="I70" i="9"/>
  <c r="F70" i="9"/>
  <c r="N69" i="8"/>
  <c r="O69" i="4" s="1"/>
  <c r="M69" i="8"/>
  <c r="H69" i="8"/>
  <c r="V69" i="8"/>
  <c r="W69" i="8" s="1"/>
  <c r="L69" i="4" s="1"/>
  <c r="E69" i="8"/>
  <c r="B70" i="10"/>
  <c r="R70" i="8"/>
  <c r="F70" i="8"/>
  <c r="M70" i="8"/>
  <c r="C71" i="9"/>
  <c r="O71" i="9"/>
  <c r="P71" i="9" s="1"/>
  <c r="L71" i="9"/>
  <c r="N70" i="8"/>
  <c r="V70" i="8"/>
  <c r="W70" i="8" s="1"/>
  <c r="L70" i="4" s="1"/>
  <c r="G70" i="8"/>
  <c r="X70" i="8"/>
  <c r="H70" i="8"/>
  <c r="E70" i="8"/>
  <c r="AB70" i="4" s="1"/>
  <c r="AC70" i="4" s="1"/>
  <c r="S70" i="8"/>
  <c r="B70" i="8"/>
  <c r="P70" i="8"/>
  <c r="C71" i="8"/>
  <c r="B73" i="10"/>
  <c r="I74" i="9"/>
  <c r="R73" i="8"/>
  <c r="F73" i="8"/>
  <c r="F74" i="9"/>
  <c r="T73" i="8"/>
  <c r="G73" i="8"/>
  <c r="L74" i="9"/>
  <c r="M73" i="8"/>
  <c r="L73" i="8"/>
  <c r="O74" i="9"/>
  <c r="U73" i="8"/>
  <c r="C73" i="8"/>
  <c r="B73" i="8"/>
  <c r="O73" i="8"/>
  <c r="L75" i="9"/>
  <c r="F75" i="9"/>
  <c r="R74" i="8"/>
  <c r="F74" i="8"/>
  <c r="V74" i="8"/>
  <c r="W74" i="8" s="1"/>
  <c r="L74" i="4" s="1"/>
  <c r="I74" i="8"/>
  <c r="Q74" i="8"/>
  <c r="C74" i="8"/>
  <c r="C75" i="9"/>
  <c r="T74" i="8"/>
  <c r="D74" i="8"/>
  <c r="M74" i="8"/>
  <c r="B74" i="10"/>
  <c r="L74" i="8"/>
  <c r="O75" i="9"/>
  <c r="I75" i="9"/>
  <c r="H74" i="8"/>
  <c r="E74" i="8"/>
  <c r="AB74" i="4" s="1"/>
  <c r="AC74" i="4" s="1"/>
  <c r="B107" i="10"/>
  <c r="L108" i="9"/>
  <c r="O108" i="9"/>
  <c r="R107" i="8"/>
  <c r="F107" i="8"/>
  <c r="O107" i="8"/>
  <c r="B107" i="8"/>
  <c r="I108" i="9"/>
  <c r="F108" i="9"/>
  <c r="G108" i="9" s="1"/>
  <c r="C108" i="9"/>
  <c r="T107" i="8"/>
  <c r="D107" i="8"/>
  <c r="J107" i="8"/>
  <c r="M107" i="4" s="1"/>
  <c r="N107" i="4" s="1"/>
  <c r="I107" i="8"/>
  <c r="X107" i="8"/>
  <c r="H107" i="8"/>
  <c r="G107" i="8"/>
  <c r="V107" i="8"/>
  <c r="W107" i="8" s="1"/>
  <c r="L107" i="4" s="1"/>
  <c r="E107" i="8"/>
  <c r="U107" i="8"/>
  <c r="C107" i="8"/>
  <c r="Q107" i="8"/>
  <c r="L144" i="9"/>
  <c r="X143" i="8"/>
  <c r="L143" i="8"/>
  <c r="F144" i="9"/>
  <c r="W143" i="8"/>
  <c r="L143" i="4" s="1"/>
  <c r="J143" i="8"/>
  <c r="K143" i="8" s="1"/>
  <c r="F143" i="4" s="1"/>
  <c r="B143" i="10"/>
  <c r="T143" i="8"/>
  <c r="F143" i="8"/>
  <c r="C144" i="9"/>
  <c r="I144" i="9"/>
  <c r="O144" i="9"/>
  <c r="H143" i="8"/>
  <c r="U143" i="8"/>
  <c r="E143" i="8"/>
  <c r="R143" i="8"/>
  <c r="C143" i="8"/>
  <c r="Q143" i="8"/>
  <c r="P143" i="8"/>
  <c r="N143" i="8"/>
  <c r="M143" i="8"/>
  <c r="I143" i="8"/>
  <c r="G143" i="8"/>
  <c r="D143" i="8"/>
  <c r="I158" i="8"/>
  <c r="X165" i="8"/>
  <c r="L165" i="8"/>
  <c r="B165" i="10"/>
  <c r="I166" i="9"/>
  <c r="F165" i="8"/>
  <c r="F166" i="9"/>
  <c r="G166" i="9" s="1"/>
  <c r="U165" i="8"/>
  <c r="G165" i="8"/>
  <c r="L166" i="9"/>
  <c r="H165" i="8"/>
  <c r="O166" i="9"/>
  <c r="M165" i="8"/>
  <c r="J165" i="8"/>
  <c r="C166" i="9"/>
  <c r="E165" i="8"/>
  <c r="P165" i="8"/>
  <c r="V165" i="8"/>
  <c r="W165" i="8" s="1"/>
  <c r="L165" i="4" s="1"/>
  <c r="T165" i="8"/>
  <c r="R165" i="8"/>
  <c r="Q165" i="8"/>
  <c r="N165" i="8"/>
  <c r="I165" i="8"/>
  <c r="B185" i="8"/>
  <c r="G18" i="9"/>
  <c r="P23" i="9"/>
  <c r="D23" i="9"/>
  <c r="D59" i="9"/>
  <c r="G59" i="9"/>
  <c r="G63" i="10"/>
  <c r="I35" i="8"/>
  <c r="W35" i="8"/>
  <c r="L35" i="4" s="1"/>
  <c r="J42" i="8"/>
  <c r="H44" i="8"/>
  <c r="W44" i="8"/>
  <c r="L44" i="4" s="1"/>
  <c r="L48" i="9"/>
  <c r="F48" i="9"/>
  <c r="R47" i="8"/>
  <c r="F47" i="8"/>
  <c r="B47" i="10"/>
  <c r="O47" i="8"/>
  <c r="B47" i="8"/>
  <c r="O48" i="9"/>
  <c r="P48" i="9" s="1"/>
  <c r="I48" i="9"/>
  <c r="C48" i="9"/>
  <c r="W47" i="8"/>
  <c r="L47" i="4" s="1"/>
  <c r="I47" i="8"/>
  <c r="P47" i="8"/>
  <c r="K48" i="8"/>
  <c r="J53" i="8"/>
  <c r="J60" i="8"/>
  <c r="K60" i="8" s="1"/>
  <c r="F60" i="4" s="1"/>
  <c r="J62" i="8"/>
  <c r="L66" i="8"/>
  <c r="B72" i="10"/>
  <c r="L73" i="9"/>
  <c r="R72" i="8"/>
  <c r="F72" i="8"/>
  <c r="Q72" i="8"/>
  <c r="D72" i="8"/>
  <c r="C73" i="9"/>
  <c r="O73" i="9"/>
  <c r="I73" i="9"/>
  <c r="I72" i="8"/>
  <c r="U72" i="8"/>
  <c r="E72" i="8"/>
  <c r="AB72" i="4" s="1"/>
  <c r="AC72" i="4" s="1"/>
  <c r="I89" i="8"/>
  <c r="L91" i="9"/>
  <c r="R90" i="8"/>
  <c r="S90" i="8" s="1"/>
  <c r="F90" i="8"/>
  <c r="B90" i="10"/>
  <c r="Q90" i="8"/>
  <c r="D90" i="8"/>
  <c r="O91" i="9"/>
  <c r="F91" i="9"/>
  <c r="I91" i="9"/>
  <c r="T90" i="8"/>
  <c r="E90" i="8"/>
  <c r="AB90" i="4" s="1"/>
  <c r="AC90" i="4" s="1"/>
  <c r="C91" i="9"/>
  <c r="H90" i="8"/>
  <c r="L96" i="9"/>
  <c r="R95" i="8"/>
  <c r="F95" i="8"/>
  <c r="C96" i="9"/>
  <c r="O95" i="8"/>
  <c r="B95" i="8"/>
  <c r="B95" i="10"/>
  <c r="F96" i="9"/>
  <c r="M95" i="8"/>
  <c r="K95" i="8"/>
  <c r="F95" i="4" s="1"/>
  <c r="O96" i="9"/>
  <c r="I96" i="9"/>
  <c r="K96" i="8"/>
  <c r="N98" i="8"/>
  <c r="I101" i="8"/>
  <c r="C103" i="9"/>
  <c r="R102" i="8"/>
  <c r="F102" i="8"/>
  <c r="Q102" i="8"/>
  <c r="D102" i="8"/>
  <c r="I103" i="9"/>
  <c r="B102" i="10"/>
  <c r="O103" i="9"/>
  <c r="P103" i="9" s="1"/>
  <c r="P102" i="8"/>
  <c r="B102" i="8"/>
  <c r="N102" i="8"/>
  <c r="T102" i="8"/>
  <c r="L103" i="8"/>
  <c r="N105" i="8"/>
  <c r="H106" i="8"/>
  <c r="X106" i="8"/>
  <c r="J110" i="8"/>
  <c r="J112" i="8"/>
  <c r="H117" i="8"/>
  <c r="B118" i="10"/>
  <c r="I119" i="9"/>
  <c r="R118" i="8"/>
  <c r="F118" i="8"/>
  <c r="F119" i="9"/>
  <c r="M118" i="8"/>
  <c r="O119" i="9"/>
  <c r="P119" i="9" s="1"/>
  <c r="L119" i="9"/>
  <c r="C119" i="9"/>
  <c r="D118" i="8"/>
  <c r="Q118" i="8"/>
  <c r="B118" i="8"/>
  <c r="T118" i="8"/>
  <c r="L119" i="8"/>
  <c r="J124" i="8"/>
  <c r="Q127" i="8"/>
  <c r="M128" i="8"/>
  <c r="J129" i="8"/>
  <c r="L138" i="9"/>
  <c r="B137" i="10"/>
  <c r="C138" i="9"/>
  <c r="R137" i="8"/>
  <c r="F137" i="8"/>
  <c r="I138" i="9"/>
  <c r="B137" i="8"/>
  <c r="F138" i="9"/>
  <c r="T137" i="8"/>
  <c r="E137" i="8"/>
  <c r="O138" i="9"/>
  <c r="Q137" i="8"/>
  <c r="C137" i="8"/>
  <c r="N137" i="8"/>
  <c r="O137" i="8" s="1"/>
  <c r="J137" i="8"/>
  <c r="K140" i="8"/>
  <c r="F140" i="4" s="1"/>
  <c r="N141" i="8"/>
  <c r="P149" i="8"/>
  <c r="R150" i="8"/>
  <c r="S150" i="8" s="1"/>
  <c r="G155" i="8"/>
  <c r="P156" i="8"/>
  <c r="X175" i="8"/>
  <c r="L175" i="8"/>
  <c r="F176" i="9"/>
  <c r="C176" i="9"/>
  <c r="B175" i="8"/>
  <c r="O176" i="9"/>
  <c r="P176" i="9" s="1"/>
  <c r="W175" i="8"/>
  <c r="L175" i="4" s="1"/>
  <c r="I175" i="8"/>
  <c r="L176" i="9"/>
  <c r="N175" i="8"/>
  <c r="H175" i="8"/>
  <c r="R175" i="8"/>
  <c r="Q175" i="4" s="1"/>
  <c r="P175" i="8"/>
  <c r="K175" i="8"/>
  <c r="F175" i="4" s="1"/>
  <c r="F175" i="8"/>
  <c r="E175" i="8"/>
  <c r="AB175" i="4" s="1"/>
  <c r="AC175" i="4" s="1"/>
  <c r="C175" i="8"/>
  <c r="X183" i="8"/>
  <c r="L183" i="8"/>
  <c r="B183" i="10"/>
  <c r="I184" i="9"/>
  <c r="C184" i="9"/>
  <c r="F183" i="8"/>
  <c r="L184" i="9"/>
  <c r="Q183" i="8"/>
  <c r="C183" i="8"/>
  <c r="F184" i="9"/>
  <c r="I183" i="8"/>
  <c r="T183" i="8"/>
  <c r="D183" i="8"/>
  <c r="K183" i="8"/>
  <c r="F183" i="4" s="1"/>
  <c r="H183" i="8"/>
  <c r="E183" i="8"/>
  <c r="AB183" i="4" s="1"/>
  <c r="AC183" i="4" s="1"/>
  <c r="V183" i="8"/>
  <c r="W183" i="8" s="1"/>
  <c r="L183" i="4" s="1"/>
  <c r="R183" i="8"/>
  <c r="P183" i="8"/>
  <c r="R186" i="8"/>
  <c r="Q186" i="4" s="1"/>
  <c r="N199" i="8"/>
  <c r="I36" i="9"/>
  <c r="P56" i="9"/>
  <c r="D56" i="9"/>
  <c r="G56" i="9"/>
  <c r="F125" i="9"/>
  <c r="X163" i="8"/>
  <c r="L163" i="8"/>
  <c r="B163" i="10"/>
  <c r="B163" i="8"/>
  <c r="I164" i="9"/>
  <c r="C164" i="9"/>
  <c r="L164" i="9"/>
  <c r="H163" i="8"/>
  <c r="O164" i="9"/>
  <c r="F164" i="9"/>
  <c r="I163" i="8"/>
  <c r="V163" i="8"/>
  <c r="W163" i="8" s="1"/>
  <c r="L163" i="4" s="1"/>
  <c r="F163" i="8"/>
  <c r="T163" i="8"/>
  <c r="D163" i="8"/>
  <c r="R163" i="8"/>
  <c r="Q163" i="8"/>
  <c r="N163" i="8"/>
  <c r="O163" i="8" s="1"/>
  <c r="L180" i="9"/>
  <c r="X179" i="8"/>
  <c r="L179" i="8"/>
  <c r="B179" i="10"/>
  <c r="W179" i="8"/>
  <c r="L179" i="4" s="1"/>
  <c r="J179" i="8"/>
  <c r="M179" i="4" s="1"/>
  <c r="O180" i="9"/>
  <c r="P180" i="9" s="1"/>
  <c r="N179" i="8"/>
  <c r="O179" i="4" s="1"/>
  <c r="C180" i="9"/>
  <c r="I180" i="9"/>
  <c r="U179" i="8"/>
  <c r="F179" i="8"/>
  <c r="I179" i="8"/>
  <c r="G179" i="8"/>
  <c r="T179" i="8"/>
  <c r="S179" i="8"/>
  <c r="Q179" i="8"/>
  <c r="P179" i="8"/>
  <c r="D9" i="9"/>
  <c r="C63" i="9"/>
  <c r="D96" i="9"/>
  <c r="G96" i="9"/>
  <c r="F103" i="9"/>
  <c r="D47" i="8"/>
  <c r="U47" i="8"/>
  <c r="L62" i="8"/>
  <c r="C72" i="8"/>
  <c r="V72" i="8"/>
  <c r="W72" i="8" s="1"/>
  <c r="L72" i="4" s="1"/>
  <c r="B75" i="10"/>
  <c r="C76" i="9"/>
  <c r="R75" i="8"/>
  <c r="F75" i="8"/>
  <c r="I76" i="9"/>
  <c r="X75" i="8"/>
  <c r="K75" i="8"/>
  <c r="F75" i="4" s="1"/>
  <c r="F76" i="9"/>
  <c r="V75" i="8"/>
  <c r="W75" i="8" s="1"/>
  <c r="L75" i="4" s="1"/>
  <c r="H75" i="8"/>
  <c r="L75" i="8"/>
  <c r="O76" i="9"/>
  <c r="P76" i="9" s="1"/>
  <c r="L76" i="9"/>
  <c r="Q75" i="8"/>
  <c r="K89" i="8"/>
  <c r="C90" i="8"/>
  <c r="V90" i="8"/>
  <c r="W90" i="8" s="1"/>
  <c r="L90" i="4" s="1"/>
  <c r="B93" i="10"/>
  <c r="C94" i="9"/>
  <c r="R93" i="8"/>
  <c r="F93" i="8"/>
  <c r="F94" i="9"/>
  <c r="X93" i="8"/>
  <c r="K93" i="8"/>
  <c r="F93" i="4" s="1"/>
  <c r="O94" i="9"/>
  <c r="P94" i="9" s="1"/>
  <c r="L94" i="9"/>
  <c r="S93" i="8"/>
  <c r="D93" i="8"/>
  <c r="M93" i="8"/>
  <c r="Q93" i="8"/>
  <c r="D95" i="8"/>
  <c r="U95" i="8"/>
  <c r="M96" i="8"/>
  <c r="K101" i="8"/>
  <c r="F101" i="4" s="1"/>
  <c r="E102" i="8"/>
  <c r="V102" i="8"/>
  <c r="W102" i="8" s="1"/>
  <c r="L102" i="4" s="1"/>
  <c r="N103" i="8"/>
  <c r="J106" i="8"/>
  <c r="K106" i="8" s="1"/>
  <c r="F106" i="4" s="1"/>
  <c r="M110" i="8"/>
  <c r="L112" i="8"/>
  <c r="L117" i="9"/>
  <c r="O117" i="9"/>
  <c r="R116" i="8"/>
  <c r="S116" i="8" s="1"/>
  <c r="F116" i="8"/>
  <c r="I117" i="9"/>
  <c r="V116" i="8"/>
  <c r="W116" i="8" s="1"/>
  <c r="L116" i="4" s="1"/>
  <c r="I116" i="8"/>
  <c r="B116" i="10"/>
  <c r="F117" i="9"/>
  <c r="C117" i="9"/>
  <c r="X116" i="8"/>
  <c r="J116" i="8"/>
  <c r="C116" i="8"/>
  <c r="Q116" i="8"/>
  <c r="L117" i="8"/>
  <c r="E118" i="8"/>
  <c r="V118" i="8"/>
  <c r="W118" i="8" s="1"/>
  <c r="L118" i="4" s="1"/>
  <c r="N119" i="8"/>
  <c r="N124" i="8"/>
  <c r="O128" i="8"/>
  <c r="N129" i="8"/>
  <c r="R135" i="8"/>
  <c r="F135" i="8"/>
  <c r="L136" i="9"/>
  <c r="F136" i="9"/>
  <c r="G136" i="9" s="1"/>
  <c r="X135" i="8"/>
  <c r="O136" i="9"/>
  <c r="I136" i="9"/>
  <c r="B135" i="10"/>
  <c r="C136" i="9"/>
  <c r="J135" i="8"/>
  <c r="M135" i="4" s="1"/>
  <c r="N135" i="4" s="1"/>
  <c r="V135" i="8"/>
  <c r="W135" i="8" s="1"/>
  <c r="L135" i="4" s="1"/>
  <c r="H135" i="8"/>
  <c r="T135" i="8"/>
  <c r="E135" i="8"/>
  <c r="G135" i="8"/>
  <c r="U135" i="8"/>
  <c r="G137" i="8"/>
  <c r="I139" i="9"/>
  <c r="O139" i="9"/>
  <c r="R138" i="8"/>
  <c r="F138" i="8"/>
  <c r="B138" i="10"/>
  <c r="C139" i="9"/>
  <c r="Q138" i="8"/>
  <c r="D138" i="8"/>
  <c r="L139" i="9"/>
  <c r="X138" i="8"/>
  <c r="J138" i="8"/>
  <c r="V138" i="8"/>
  <c r="W138" i="8" s="1"/>
  <c r="L138" i="4" s="1"/>
  <c r="H138" i="8"/>
  <c r="T138" i="8"/>
  <c r="E138" i="8"/>
  <c r="AB138" i="4" s="1"/>
  <c r="AC138" i="4" s="1"/>
  <c r="C138" i="8"/>
  <c r="F139" i="9"/>
  <c r="Q140" i="8"/>
  <c r="P141" i="8"/>
  <c r="M155" i="8"/>
  <c r="B162" i="10"/>
  <c r="X162" i="8"/>
  <c r="L162" i="8"/>
  <c r="M162" i="8"/>
  <c r="U162" i="8"/>
  <c r="G162" i="8"/>
  <c r="I163" i="9"/>
  <c r="Q162" i="8"/>
  <c r="B162" i="8"/>
  <c r="F163" i="9"/>
  <c r="G163" i="9" s="1"/>
  <c r="C163" i="9"/>
  <c r="P162" i="8"/>
  <c r="N162" i="8"/>
  <c r="O162" i="4" s="1"/>
  <c r="L163" i="9"/>
  <c r="J162" i="8"/>
  <c r="T162" i="8"/>
  <c r="O163" i="9"/>
  <c r="S162" i="8"/>
  <c r="C163" i="8"/>
  <c r="G175" i="8"/>
  <c r="B179" i="8"/>
  <c r="G183" i="8"/>
  <c r="X193" i="8"/>
  <c r="L193" i="8"/>
  <c r="F194" i="9"/>
  <c r="G194" i="9" s="1"/>
  <c r="B193" i="10"/>
  <c r="C194" i="9"/>
  <c r="O193" i="8"/>
  <c r="B193" i="8"/>
  <c r="I194" i="9"/>
  <c r="T193" i="8"/>
  <c r="F193" i="8"/>
  <c r="R193" i="8"/>
  <c r="C193" i="8"/>
  <c r="O194" i="9"/>
  <c r="P194" i="9" s="1"/>
  <c r="L194" i="9"/>
  <c r="M193" i="8"/>
  <c r="J193" i="8"/>
  <c r="M193" i="4" s="1"/>
  <c r="N193" i="4" s="1"/>
  <c r="H193" i="8"/>
  <c r="E193" i="8"/>
  <c r="G193" i="8"/>
  <c r="D193" i="8"/>
  <c r="V193" i="8"/>
  <c r="W193" i="8" s="1"/>
  <c r="L193" i="4" s="1"/>
  <c r="D40" i="9"/>
  <c r="D43" i="9"/>
  <c r="D49" i="9"/>
  <c r="P116" i="9"/>
  <c r="D116" i="9"/>
  <c r="D145" i="9"/>
  <c r="I156" i="9"/>
  <c r="H150" i="10"/>
  <c r="L99" i="9"/>
  <c r="B98" i="10"/>
  <c r="O99" i="9"/>
  <c r="R98" i="8"/>
  <c r="S98" i="8" s="1"/>
  <c r="F98" i="8"/>
  <c r="F99" i="9"/>
  <c r="V98" i="8"/>
  <c r="W98" i="8" s="1"/>
  <c r="L98" i="4" s="1"/>
  <c r="I98" i="8"/>
  <c r="C99" i="9"/>
  <c r="M98" i="8"/>
  <c r="Q98" i="8"/>
  <c r="B98" i="8"/>
  <c r="I99" i="9"/>
  <c r="M101" i="8"/>
  <c r="B105" i="10"/>
  <c r="R105" i="8"/>
  <c r="F105" i="8"/>
  <c r="I106" i="9"/>
  <c r="X105" i="8"/>
  <c r="K105" i="8"/>
  <c r="F105" i="4" s="1"/>
  <c r="L106" i="9"/>
  <c r="F106" i="9"/>
  <c r="G106" i="9" s="1"/>
  <c r="C106" i="9"/>
  <c r="O106" i="9"/>
  <c r="P105" i="8"/>
  <c r="B105" i="8"/>
  <c r="U105" i="8"/>
  <c r="E105" i="8"/>
  <c r="AB105" i="4" s="1"/>
  <c r="AC105" i="4" s="1"/>
  <c r="S105" i="8"/>
  <c r="B127" i="10"/>
  <c r="I128" i="9"/>
  <c r="R127" i="8"/>
  <c r="F127" i="8"/>
  <c r="C128" i="9"/>
  <c r="T127" i="8"/>
  <c r="G127" i="8"/>
  <c r="O128" i="9"/>
  <c r="P128" i="9" s="1"/>
  <c r="F128" i="9"/>
  <c r="P127" i="8"/>
  <c r="B127" i="8"/>
  <c r="N127" i="8"/>
  <c r="O127" i="8" s="1"/>
  <c r="L127" i="8"/>
  <c r="V127" i="8"/>
  <c r="W127" i="8" s="1"/>
  <c r="L127" i="4" s="1"/>
  <c r="L150" i="9"/>
  <c r="X149" i="8"/>
  <c r="L149" i="8"/>
  <c r="B149" i="10"/>
  <c r="C150" i="9"/>
  <c r="I150" i="9"/>
  <c r="W149" i="8"/>
  <c r="L149" i="4" s="1"/>
  <c r="J149" i="8"/>
  <c r="S149" i="8"/>
  <c r="E149" i="8"/>
  <c r="F150" i="9"/>
  <c r="O150" i="9"/>
  <c r="P150" i="9" s="1"/>
  <c r="Q149" i="8"/>
  <c r="B149" i="8"/>
  <c r="O149" i="8"/>
  <c r="M149" i="8"/>
  <c r="T149" i="8"/>
  <c r="R149" i="8"/>
  <c r="X150" i="8"/>
  <c r="L150" i="8"/>
  <c r="M150" i="8"/>
  <c r="B150" i="10"/>
  <c r="W150" i="8"/>
  <c r="L150" i="4" s="1"/>
  <c r="I150" i="8"/>
  <c r="I151" i="9"/>
  <c r="F151" i="9"/>
  <c r="G151" i="9" s="1"/>
  <c r="C151" i="9"/>
  <c r="H150" i="8"/>
  <c r="U150" i="8"/>
  <c r="F150" i="8"/>
  <c r="D150" i="8"/>
  <c r="P150" i="8"/>
  <c r="O150" i="8"/>
  <c r="O151" i="9"/>
  <c r="P151" i="9" s="1"/>
  <c r="L151" i="9"/>
  <c r="E163" i="8"/>
  <c r="C179" i="8"/>
  <c r="P37" i="9"/>
  <c r="F63" i="9"/>
  <c r="L103" i="9"/>
  <c r="D135" i="9"/>
  <c r="G162" i="9"/>
  <c r="D162" i="9"/>
  <c r="O184" i="9"/>
  <c r="U93" i="8"/>
  <c r="G95" i="8"/>
  <c r="W95" i="8"/>
  <c r="L95" i="4" s="1"/>
  <c r="O96" i="8"/>
  <c r="C98" i="8"/>
  <c r="T98" i="8"/>
  <c r="N101" i="8"/>
  <c r="O101" i="8" s="1"/>
  <c r="H102" i="8"/>
  <c r="X102" i="8"/>
  <c r="C105" i="8"/>
  <c r="T105" i="8"/>
  <c r="N106" i="8"/>
  <c r="R114" i="8"/>
  <c r="Q114" i="4" s="1"/>
  <c r="F114" i="8"/>
  <c r="L115" i="9"/>
  <c r="B114" i="10"/>
  <c r="F115" i="9"/>
  <c r="G115" i="9" s="1"/>
  <c r="Q114" i="8"/>
  <c r="D114" i="8"/>
  <c r="C115" i="9"/>
  <c r="O115" i="9"/>
  <c r="I115" i="9"/>
  <c r="N114" i="8"/>
  <c r="O114" i="8" s="1"/>
  <c r="U114" i="8"/>
  <c r="E114" i="8"/>
  <c r="AB114" i="4" s="1"/>
  <c r="AC114" i="4" s="1"/>
  <c r="D116" i="8"/>
  <c r="U116" i="8"/>
  <c r="H118" i="8"/>
  <c r="X118" i="8"/>
  <c r="B121" i="10"/>
  <c r="R121" i="8"/>
  <c r="S121" i="8" s="1"/>
  <c r="F121" i="8"/>
  <c r="O122" i="9"/>
  <c r="P122" i="9" s="1"/>
  <c r="I122" i="9"/>
  <c r="T121" i="8"/>
  <c r="G121" i="8"/>
  <c r="F122" i="9"/>
  <c r="C122" i="9"/>
  <c r="L122" i="9"/>
  <c r="Q121" i="8"/>
  <c r="C121" i="8"/>
  <c r="X121" i="8"/>
  <c r="I121" i="8"/>
  <c r="C127" i="8"/>
  <c r="P129" i="8"/>
  <c r="B132" i="10"/>
  <c r="L133" i="9"/>
  <c r="R132" i="8"/>
  <c r="F132" i="8"/>
  <c r="O133" i="9"/>
  <c r="Q132" i="8"/>
  <c r="D132" i="8"/>
  <c r="I133" i="9"/>
  <c r="F133" i="9"/>
  <c r="G133" i="9" s="1"/>
  <c r="K132" i="8"/>
  <c r="I132" i="8"/>
  <c r="U132" i="8"/>
  <c r="G132" i="8"/>
  <c r="H132" i="8"/>
  <c r="C133" i="9"/>
  <c r="V132" i="8"/>
  <c r="W132" i="8" s="1"/>
  <c r="L132" i="4" s="1"/>
  <c r="C135" i="8"/>
  <c r="I137" i="8"/>
  <c r="G138" i="8"/>
  <c r="U140" i="8"/>
  <c r="R141" i="8"/>
  <c r="C149" i="8"/>
  <c r="B150" i="8"/>
  <c r="T155" i="8"/>
  <c r="D162" i="8"/>
  <c r="G163" i="8"/>
  <c r="M175" i="8"/>
  <c r="D179" i="8"/>
  <c r="M183" i="8"/>
  <c r="G30" i="9"/>
  <c r="P101" i="9"/>
  <c r="D101" i="9"/>
  <c r="D141" i="9"/>
  <c r="H7" i="10"/>
  <c r="B42" i="10"/>
  <c r="X42" i="8"/>
  <c r="L42" i="8"/>
  <c r="C43" i="9"/>
  <c r="F43" i="9"/>
  <c r="G43" i="9" s="1"/>
  <c r="U42" i="8"/>
  <c r="H42" i="8"/>
  <c r="O43" i="9"/>
  <c r="L43" i="9"/>
  <c r="R42" i="8"/>
  <c r="D42" i="8"/>
  <c r="I43" i="9"/>
  <c r="P42" i="8"/>
  <c r="L45" i="9"/>
  <c r="B44" i="10"/>
  <c r="O45" i="9"/>
  <c r="P45" i="9" s="1"/>
  <c r="X44" i="8"/>
  <c r="L44" i="8"/>
  <c r="C45" i="9"/>
  <c r="I45" i="9"/>
  <c r="M44" i="8"/>
  <c r="F45" i="9"/>
  <c r="G45" i="9" s="1"/>
  <c r="N44" i="8"/>
  <c r="P44" i="8"/>
  <c r="C49" i="9"/>
  <c r="R48" i="8"/>
  <c r="S48" i="8" s="1"/>
  <c r="F48" i="8"/>
  <c r="B48" i="10"/>
  <c r="F49" i="9"/>
  <c r="G49" i="9" s="1"/>
  <c r="Q48" i="8"/>
  <c r="D48" i="8"/>
  <c r="O49" i="9"/>
  <c r="L49" i="9"/>
  <c r="I49" i="9"/>
  <c r="M48" i="8"/>
  <c r="W48" i="8"/>
  <c r="L48" i="4" s="1"/>
  <c r="H48" i="8"/>
  <c r="R60" i="8"/>
  <c r="S60" i="8" s="1"/>
  <c r="F60" i="8"/>
  <c r="Q60" i="8"/>
  <c r="D60" i="8"/>
  <c r="B60" i="10"/>
  <c r="I61" i="9"/>
  <c r="L61" i="9"/>
  <c r="F61" i="9"/>
  <c r="G61" i="9" s="1"/>
  <c r="C61" i="9"/>
  <c r="O60" i="8"/>
  <c r="O61" i="9"/>
  <c r="P61" i="9" s="1"/>
  <c r="B66" i="10"/>
  <c r="C67" i="9"/>
  <c r="R66" i="8"/>
  <c r="S66" i="8" s="1"/>
  <c r="F66" i="8"/>
  <c r="Q66" i="8"/>
  <c r="D66" i="8"/>
  <c r="F67" i="9"/>
  <c r="G67" i="9" s="1"/>
  <c r="O67" i="9"/>
  <c r="L67" i="9"/>
  <c r="X66" i="8"/>
  <c r="J66" i="8"/>
  <c r="I66" i="8"/>
  <c r="D98" i="8"/>
  <c r="U98" i="8"/>
  <c r="P101" i="8"/>
  <c r="B103" i="10"/>
  <c r="R103" i="8"/>
  <c r="F103" i="8"/>
  <c r="C104" i="9"/>
  <c r="T103" i="8"/>
  <c r="G103" i="8"/>
  <c r="I104" i="9"/>
  <c r="F104" i="9"/>
  <c r="V103" i="8"/>
  <c r="W103" i="8" s="1"/>
  <c r="L103" i="4" s="1"/>
  <c r="H103" i="8"/>
  <c r="E103" i="8"/>
  <c r="AB103" i="4" s="1"/>
  <c r="AC103" i="4" s="1"/>
  <c r="O104" i="9"/>
  <c r="P104" i="9" s="1"/>
  <c r="L104" i="9"/>
  <c r="Q103" i="8"/>
  <c r="D105" i="8"/>
  <c r="V105" i="8"/>
  <c r="W105" i="8" s="1"/>
  <c r="L105" i="4" s="1"/>
  <c r="L120" i="9"/>
  <c r="B119" i="10"/>
  <c r="F120" i="9"/>
  <c r="R119" i="8"/>
  <c r="Q119" i="4" s="1"/>
  <c r="F119" i="8"/>
  <c r="C120" i="9"/>
  <c r="O119" i="8"/>
  <c r="B119" i="8"/>
  <c r="O120" i="9"/>
  <c r="W119" i="8"/>
  <c r="L119" i="4" s="1"/>
  <c r="I119" i="8"/>
  <c r="J119" i="8"/>
  <c r="I120" i="9"/>
  <c r="R124" i="8"/>
  <c r="Q124" i="4" s="1"/>
  <c r="F124" i="8"/>
  <c r="I125" i="9"/>
  <c r="C125" i="9"/>
  <c r="M124" i="8"/>
  <c r="B124" i="10"/>
  <c r="L125" i="9"/>
  <c r="Q124" i="8"/>
  <c r="C124" i="8"/>
  <c r="L124" i="8"/>
  <c r="P124" i="8"/>
  <c r="O125" i="9"/>
  <c r="T124" i="8"/>
  <c r="D127" i="8"/>
  <c r="X127" i="8"/>
  <c r="Q129" i="8"/>
  <c r="U141" i="8"/>
  <c r="D149" i="8"/>
  <c r="C150" i="8"/>
  <c r="U155" i="8"/>
  <c r="J163" i="8"/>
  <c r="E179" i="8"/>
  <c r="X181" i="8"/>
  <c r="L181" i="8"/>
  <c r="B181" i="10"/>
  <c r="B181" i="8"/>
  <c r="O182" i="9"/>
  <c r="I182" i="9"/>
  <c r="V181" i="8"/>
  <c r="W181" i="8" s="1"/>
  <c r="L181" i="4" s="1"/>
  <c r="H181" i="8"/>
  <c r="L182" i="9"/>
  <c r="F182" i="9"/>
  <c r="J181" i="8"/>
  <c r="T181" i="8"/>
  <c r="E181" i="8"/>
  <c r="AB181" i="4" s="1"/>
  <c r="AC181" i="4" s="1"/>
  <c r="U181" i="8"/>
  <c r="C181" i="8"/>
  <c r="R181" i="8"/>
  <c r="P181" i="8"/>
  <c r="Q181" i="8"/>
  <c r="C182" i="9"/>
  <c r="N181" i="8"/>
  <c r="P10" i="9"/>
  <c r="G10" i="9"/>
  <c r="P38" i="9"/>
  <c r="D38" i="9"/>
  <c r="D41" i="9"/>
  <c r="P50" i="9"/>
  <c r="D50" i="9"/>
  <c r="G50" i="9"/>
  <c r="I176" i="9"/>
  <c r="F180" i="9"/>
  <c r="G180" i="9" s="1"/>
  <c r="B35" i="10"/>
  <c r="L36" i="9"/>
  <c r="O36" i="9"/>
  <c r="X35" i="8"/>
  <c r="F36" i="9"/>
  <c r="S35" i="8"/>
  <c r="G35" i="8"/>
  <c r="O35" i="8"/>
  <c r="B35" i="8"/>
  <c r="C36" i="9"/>
  <c r="P35" i="8"/>
  <c r="B42" i="8"/>
  <c r="Q42" i="8"/>
  <c r="B44" i="8"/>
  <c r="Q44" i="8"/>
  <c r="J47" i="8"/>
  <c r="B48" i="8"/>
  <c r="T48" i="8"/>
  <c r="L54" i="9"/>
  <c r="O54" i="9"/>
  <c r="P54" i="9" s="1"/>
  <c r="R53" i="8"/>
  <c r="S53" i="8" s="1"/>
  <c r="F53" i="8"/>
  <c r="B53" i="10"/>
  <c r="O53" i="8"/>
  <c r="B53" i="8"/>
  <c r="F54" i="9"/>
  <c r="C54" i="9"/>
  <c r="V53" i="8"/>
  <c r="W53" i="8" s="1"/>
  <c r="L53" i="4" s="1"/>
  <c r="H53" i="8"/>
  <c r="I54" i="9"/>
  <c r="L53" i="8"/>
  <c r="B60" i="8"/>
  <c r="T60" i="8"/>
  <c r="L63" i="9"/>
  <c r="B62" i="10"/>
  <c r="O63" i="9"/>
  <c r="R62" i="8"/>
  <c r="F62" i="8"/>
  <c r="V62" i="8"/>
  <c r="W62" i="8" s="1"/>
  <c r="L62" i="4" s="1"/>
  <c r="I62" i="8"/>
  <c r="T62" i="8"/>
  <c r="E62" i="8"/>
  <c r="M62" i="8"/>
  <c r="Q62" i="8"/>
  <c r="B66" i="8"/>
  <c r="T66" i="8"/>
  <c r="K72" i="8"/>
  <c r="F72" i="4" s="1"/>
  <c r="L90" i="9"/>
  <c r="O90" i="9"/>
  <c r="R89" i="8"/>
  <c r="F89" i="8"/>
  <c r="B89" i="8"/>
  <c r="I90" i="9"/>
  <c r="C90" i="9"/>
  <c r="B89" i="10"/>
  <c r="N89" i="8"/>
  <c r="O89" i="8" s="1"/>
  <c r="P89" i="8"/>
  <c r="R96" i="8"/>
  <c r="F96" i="8"/>
  <c r="B96" i="10"/>
  <c r="O97" i="9"/>
  <c r="Q96" i="8"/>
  <c r="D96" i="8"/>
  <c r="C97" i="9"/>
  <c r="L97" i="9"/>
  <c r="F97" i="9"/>
  <c r="G97" i="9" s="1"/>
  <c r="S96" i="8"/>
  <c r="C96" i="8"/>
  <c r="T96" i="8"/>
  <c r="B96" i="8"/>
  <c r="U96" i="8"/>
  <c r="E98" i="8"/>
  <c r="AB98" i="4" s="1"/>
  <c r="AC98" i="4" s="1"/>
  <c r="J102" i="8"/>
  <c r="B103" i="8"/>
  <c r="S103" i="8"/>
  <c r="G105" i="8"/>
  <c r="L111" i="9"/>
  <c r="B110" i="10"/>
  <c r="F111" i="9"/>
  <c r="R110" i="8"/>
  <c r="F110" i="8"/>
  <c r="V110" i="8"/>
  <c r="W110" i="8" s="1"/>
  <c r="L110" i="4" s="1"/>
  <c r="I110" i="8"/>
  <c r="O111" i="9"/>
  <c r="P111" i="9" s="1"/>
  <c r="K110" i="8"/>
  <c r="I111" i="9"/>
  <c r="X110" i="8"/>
  <c r="H110" i="8"/>
  <c r="C111" i="9"/>
  <c r="Q110" i="8"/>
  <c r="B112" i="10"/>
  <c r="R112" i="8"/>
  <c r="F112" i="8"/>
  <c r="O113" i="9"/>
  <c r="P113" i="9" s="1"/>
  <c r="M112" i="8"/>
  <c r="C113" i="9"/>
  <c r="I113" i="9"/>
  <c r="L113" i="9"/>
  <c r="T112" i="8"/>
  <c r="E112" i="8"/>
  <c r="V112" i="8"/>
  <c r="W112" i="8" s="1"/>
  <c r="L112" i="4" s="1"/>
  <c r="G112" i="8"/>
  <c r="F113" i="9"/>
  <c r="Q112" i="8"/>
  <c r="L118" i="9"/>
  <c r="R117" i="8"/>
  <c r="F117" i="8"/>
  <c r="B117" i="10"/>
  <c r="F118" i="9"/>
  <c r="G118" i="9" s="1"/>
  <c r="X117" i="8"/>
  <c r="O118" i="9"/>
  <c r="P118" i="9" s="1"/>
  <c r="N117" i="8"/>
  <c r="C118" i="9"/>
  <c r="J117" i="8"/>
  <c r="K117" i="8" s="1"/>
  <c r="F117" i="4" s="1"/>
  <c r="Q117" i="8"/>
  <c r="J118" i="8"/>
  <c r="C119" i="8"/>
  <c r="T119" i="8"/>
  <c r="B124" i="8"/>
  <c r="U124" i="8"/>
  <c r="E127" i="8"/>
  <c r="AB127" i="4" s="1"/>
  <c r="AC127" i="4" s="1"/>
  <c r="L129" i="9"/>
  <c r="B128" i="10"/>
  <c r="F129" i="9"/>
  <c r="R128" i="8"/>
  <c r="S128" i="8" s="1"/>
  <c r="F128" i="8"/>
  <c r="C129" i="9"/>
  <c r="V128" i="8"/>
  <c r="W128" i="8" s="1"/>
  <c r="L128" i="4" s="1"/>
  <c r="I128" i="8"/>
  <c r="O129" i="9"/>
  <c r="U128" i="8"/>
  <c r="G128" i="8"/>
  <c r="D128" i="8"/>
  <c r="I129" i="9"/>
  <c r="P128" i="8"/>
  <c r="B128" i="8"/>
  <c r="K128" i="8"/>
  <c r="X128" i="8"/>
  <c r="L137" i="8"/>
  <c r="L141" i="9"/>
  <c r="C141" i="9"/>
  <c r="R140" i="8"/>
  <c r="F140" i="8"/>
  <c r="B140" i="10"/>
  <c r="V140" i="8"/>
  <c r="W140" i="8" s="1"/>
  <c r="L140" i="4" s="1"/>
  <c r="I140" i="8"/>
  <c r="O141" i="9"/>
  <c r="P141" i="9" s="1"/>
  <c r="I141" i="9"/>
  <c r="D140" i="8"/>
  <c r="P140" i="8"/>
  <c r="B140" i="8"/>
  <c r="N140" i="8"/>
  <c r="M140" i="8"/>
  <c r="L140" i="8"/>
  <c r="X140" i="8"/>
  <c r="F149" i="8"/>
  <c r="E150" i="8"/>
  <c r="AB150" i="4" s="1"/>
  <c r="AC150" i="4" s="1"/>
  <c r="M163" i="8"/>
  <c r="S175" i="8"/>
  <c r="H179" i="8"/>
  <c r="D181" i="8"/>
  <c r="O183" i="8"/>
  <c r="X186" i="8"/>
  <c r="L186" i="8"/>
  <c r="B186" i="10"/>
  <c r="C187" i="9"/>
  <c r="L187" i="9"/>
  <c r="M186" i="8"/>
  <c r="Q186" i="8"/>
  <c r="C186" i="8"/>
  <c r="I187" i="9"/>
  <c r="F187" i="9"/>
  <c r="G187" i="9" s="1"/>
  <c r="O187" i="9"/>
  <c r="I186" i="8"/>
  <c r="K186" i="8"/>
  <c r="F186" i="4" s="1"/>
  <c r="H186" i="8"/>
  <c r="W186" i="8"/>
  <c r="L186" i="4" s="1"/>
  <c r="F186" i="8"/>
  <c r="T186" i="8"/>
  <c r="P186" i="8"/>
  <c r="N186" i="8"/>
  <c r="D10" i="9"/>
  <c r="F73" i="9"/>
  <c r="P83" i="9"/>
  <c r="D83" i="9"/>
  <c r="G83" i="9"/>
  <c r="I118" i="9"/>
  <c r="D158" i="9"/>
  <c r="L102" i="9"/>
  <c r="F102" i="9"/>
  <c r="R101" i="8"/>
  <c r="Q101" i="4" s="1"/>
  <c r="F101" i="8"/>
  <c r="B101" i="10"/>
  <c r="O102" i="9"/>
  <c r="B101" i="8"/>
  <c r="C102" i="9"/>
  <c r="I102" i="9"/>
  <c r="L101" i="8"/>
  <c r="W101" i="8"/>
  <c r="L101" i="4" s="1"/>
  <c r="H101" i="8"/>
  <c r="R106" i="8"/>
  <c r="F106" i="8"/>
  <c r="L107" i="9"/>
  <c r="B106" i="10"/>
  <c r="M106" i="8"/>
  <c r="I107" i="9"/>
  <c r="C107" i="9"/>
  <c r="F107" i="9"/>
  <c r="G107" i="9" s="1"/>
  <c r="U106" i="8"/>
  <c r="G106" i="8"/>
  <c r="L106" i="8"/>
  <c r="O107" i="9"/>
  <c r="Q106" i="8"/>
  <c r="H127" i="8"/>
  <c r="B129" i="10"/>
  <c r="I130" i="9"/>
  <c r="C130" i="9"/>
  <c r="R129" i="8"/>
  <c r="Q129" i="4" s="1"/>
  <c r="F129" i="8"/>
  <c r="O130" i="9"/>
  <c r="P130" i="9" s="1"/>
  <c r="X129" i="8"/>
  <c r="F130" i="9"/>
  <c r="L130" i="9"/>
  <c r="L129" i="8"/>
  <c r="W129" i="8"/>
  <c r="L129" i="4" s="1"/>
  <c r="I129" i="8"/>
  <c r="U129" i="8"/>
  <c r="G129" i="8"/>
  <c r="D129" i="8"/>
  <c r="T129" i="8"/>
  <c r="X141" i="8"/>
  <c r="L141" i="8"/>
  <c r="F141" i="8"/>
  <c r="F142" i="9"/>
  <c r="B141" i="10"/>
  <c r="I142" i="9"/>
  <c r="C142" i="9"/>
  <c r="L142" i="9"/>
  <c r="I141" i="8"/>
  <c r="V141" i="8"/>
  <c r="W141" i="8" s="1"/>
  <c r="L141" i="4" s="1"/>
  <c r="G141" i="8"/>
  <c r="T141" i="8"/>
  <c r="D141" i="8"/>
  <c r="J141" i="8"/>
  <c r="K141" i="8" s="1"/>
  <c r="F141" i="4" s="1"/>
  <c r="H141" i="8"/>
  <c r="G149" i="8"/>
  <c r="G150" i="8"/>
  <c r="L156" i="9"/>
  <c r="X155" i="8"/>
  <c r="L155" i="8"/>
  <c r="B155" i="10"/>
  <c r="W155" i="8"/>
  <c r="L155" i="4" s="1"/>
  <c r="J155" i="8"/>
  <c r="K155" i="8" s="1"/>
  <c r="F155" i="4" s="1"/>
  <c r="O156" i="9"/>
  <c r="R155" i="8"/>
  <c r="D155" i="8"/>
  <c r="F156" i="9"/>
  <c r="G156" i="9" s="1"/>
  <c r="N155" i="8"/>
  <c r="O155" i="8"/>
  <c r="H155" i="8"/>
  <c r="Q155" i="8"/>
  <c r="C156" i="9"/>
  <c r="P155" i="8"/>
  <c r="B156" i="10"/>
  <c r="X156" i="8"/>
  <c r="L156" i="8"/>
  <c r="I157" i="9"/>
  <c r="M156" i="8"/>
  <c r="F157" i="9"/>
  <c r="G157" i="9" s="1"/>
  <c r="V156" i="8"/>
  <c r="W156" i="8" s="1"/>
  <c r="L156" i="4" s="1"/>
  <c r="H156" i="8"/>
  <c r="L157" i="9"/>
  <c r="C157" i="9"/>
  <c r="T156" i="8"/>
  <c r="E156" i="8"/>
  <c r="G156" i="8"/>
  <c r="U156" i="8"/>
  <c r="D156" i="8"/>
  <c r="R156" i="8"/>
  <c r="B156" i="8"/>
  <c r="N156" i="8"/>
  <c r="J156" i="8"/>
  <c r="P163" i="8"/>
  <c r="M179" i="8"/>
  <c r="B199" i="10"/>
  <c r="X199" i="8"/>
  <c r="L199" i="8"/>
  <c r="O199" i="8"/>
  <c r="B199" i="8"/>
  <c r="F200" i="9"/>
  <c r="E199" i="8"/>
  <c r="AB199" i="4" s="1"/>
  <c r="AC199" i="4" s="1"/>
  <c r="L200" i="9"/>
  <c r="K199" i="8"/>
  <c r="V199" i="8"/>
  <c r="W199" i="8" s="1"/>
  <c r="L199" i="4" s="1"/>
  <c r="G199" i="8"/>
  <c r="U199" i="8"/>
  <c r="C199" i="8"/>
  <c r="R199" i="8"/>
  <c r="S199" i="8" s="1"/>
  <c r="P199" i="8"/>
  <c r="F199" i="8"/>
  <c r="O200" i="9"/>
  <c r="P200" i="9" s="1"/>
  <c r="D199" i="8"/>
  <c r="I200" i="9"/>
  <c r="C200" i="9"/>
  <c r="D61" i="9"/>
  <c r="D67" i="9"/>
  <c r="O142" i="9"/>
  <c r="P142" i="9" s="1"/>
  <c r="P129" i="9"/>
  <c r="D129" i="9"/>
  <c r="D166" i="9"/>
  <c r="D194" i="9"/>
  <c r="A110" i="11"/>
  <c r="Q58" i="10"/>
  <c r="G58" i="10"/>
  <c r="T58" i="10"/>
  <c r="S58" i="10"/>
  <c r="R58" i="10"/>
  <c r="P58" i="10"/>
  <c r="O58" i="10"/>
  <c r="N58" i="10"/>
  <c r="D58" i="10"/>
  <c r="U58" i="10"/>
  <c r="W58" i="10"/>
  <c r="V58" i="10"/>
  <c r="X168" i="8"/>
  <c r="L168" i="8"/>
  <c r="B168" i="10"/>
  <c r="C169" i="9"/>
  <c r="M168" i="8"/>
  <c r="F169" i="9"/>
  <c r="T168" i="8"/>
  <c r="F168" i="8"/>
  <c r="L169" i="9"/>
  <c r="I169" i="9"/>
  <c r="N168" i="8"/>
  <c r="H168" i="8"/>
  <c r="J168" i="8"/>
  <c r="G168" i="8"/>
  <c r="V168" i="8"/>
  <c r="Q168" i="4" s="1"/>
  <c r="D168" i="8"/>
  <c r="X169" i="8"/>
  <c r="L169" i="8"/>
  <c r="B169" i="10"/>
  <c r="O170" i="9"/>
  <c r="P170" i="9" s="1"/>
  <c r="O169" i="8"/>
  <c r="B169" i="8"/>
  <c r="F170" i="9"/>
  <c r="J169" i="8"/>
  <c r="I170" i="9"/>
  <c r="T169" i="8"/>
  <c r="E169" i="8"/>
  <c r="P169" i="8"/>
  <c r="W169" i="8"/>
  <c r="L169" i="4" s="1"/>
  <c r="F169" i="8"/>
  <c r="U169" i="8"/>
  <c r="C169" i="8"/>
  <c r="R169" i="8"/>
  <c r="B189" i="10"/>
  <c r="X189" i="8"/>
  <c r="L189" i="8"/>
  <c r="L190" i="9"/>
  <c r="S189" i="8"/>
  <c r="F189" i="8"/>
  <c r="C190" i="9"/>
  <c r="O190" i="9"/>
  <c r="P189" i="8"/>
  <c r="B189" i="8"/>
  <c r="I190" i="9"/>
  <c r="F190" i="9"/>
  <c r="U189" i="8"/>
  <c r="E189" i="8"/>
  <c r="AB189" i="4" s="1"/>
  <c r="AC189" i="4" s="1"/>
  <c r="O189" i="8"/>
  <c r="M189" i="8"/>
  <c r="J189" i="8"/>
  <c r="H189" i="8"/>
  <c r="X190" i="8"/>
  <c r="L190" i="8"/>
  <c r="B190" i="10"/>
  <c r="I191" i="9"/>
  <c r="U190" i="8"/>
  <c r="H190" i="8"/>
  <c r="F191" i="9"/>
  <c r="C191" i="9"/>
  <c r="O191" i="9"/>
  <c r="P191" i="9" s="1"/>
  <c r="T190" i="8"/>
  <c r="F190" i="8"/>
  <c r="M190" i="8"/>
  <c r="W190" i="8"/>
  <c r="L190" i="4" s="1"/>
  <c r="G190" i="8"/>
  <c r="I190" i="8"/>
  <c r="D190" i="8"/>
  <c r="S190" i="8"/>
  <c r="B190" i="8"/>
  <c r="X192" i="8"/>
  <c r="L192" i="8"/>
  <c r="I193" i="9"/>
  <c r="B192" i="10"/>
  <c r="O193" i="9"/>
  <c r="M192" i="8"/>
  <c r="F193" i="9"/>
  <c r="P192" i="8"/>
  <c r="B192" i="8"/>
  <c r="J192" i="8"/>
  <c r="U192" i="8"/>
  <c r="F192" i="8"/>
  <c r="Q192" i="8"/>
  <c r="N192" i="8"/>
  <c r="I192" i="8"/>
  <c r="W192" i="8"/>
  <c r="L192" i="4" s="1"/>
  <c r="L195" i="9"/>
  <c r="X194" i="8"/>
  <c r="L194" i="8"/>
  <c r="C195" i="9"/>
  <c r="B194" i="10"/>
  <c r="Q194" i="8"/>
  <c r="D194" i="8"/>
  <c r="I195" i="9"/>
  <c r="F195" i="9"/>
  <c r="J194" i="8"/>
  <c r="I194" i="8"/>
  <c r="T194" i="8"/>
  <c r="E194" i="8"/>
  <c r="W194" i="8"/>
  <c r="L194" i="4" s="1"/>
  <c r="F194" i="8"/>
  <c r="U194" i="8"/>
  <c r="B194" i="8"/>
  <c r="O195" i="9"/>
  <c r="P195" i="9" s="1"/>
  <c r="R194" i="8"/>
  <c r="B200" i="10"/>
  <c r="L201" i="9"/>
  <c r="X200" i="8"/>
  <c r="L200" i="8"/>
  <c r="O201" i="9"/>
  <c r="Q200" i="8"/>
  <c r="D200" i="8"/>
  <c r="W200" i="8"/>
  <c r="L200" i="4" s="1"/>
  <c r="I200" i="8"/>
  <c r="I201" i="9"/>
  <c r="F201" i="9"/>
  <c r="C201" i="9"/>
  <c r="S200" i="8"/>
  <c r="C200" i="8"/>
  <c r="N200" i="8"/>
  <c r="P200" i="8"/>
  <c r="M200" i="8"/>
  <c r="J200" i="8"/>
  <c r="D55" i="9"/>
  <c r="P66" i="9"/>
  <c r="H23" i="10"/>
  <c r="G23" i="10"/>
  <c r="D23" i="10"/>
  <c r="D26" i="10"/>
  <c r="A115" i="11"/>
  <c r="W63" i="10"/>
  <c r="N63" i="10"/>
  <c r="S63" i="10"/>
  <c r="T63" i="10"/>
  <c r="R63" i="10"/>
  <c r="Q63" i="10"/>
  <c r="P63" i="10"/>
  <c r="O63" i="10"/>
  <c r="H63" i="10"/>
  <c r="D63" i="10"/>
  <c r="V63" i="10"/>
  <c r="U63" i="10"/>
  <c r="G131" i="10"/>
  <c r="D11" i="9"/>
  <c r="G11" i="9"/>
  <c r="D20" i="9"/>
  <c r="D84" i="9"/>
  <c r="P84" i="9"/>
  <c r="D156" i="9"/>
  <c r="C170" i="9"/>
  <c r="L153" i="9"/>
  <c r="X152" i="8"/>
  <c r="L152" i="8"/>
  <c r="B152" i="10"/>
  <c r="Q152" i="8"/>
  <c r="D152" i="8"/>
  <c r="O153" i="9"/>
  <c r="P153" i="9" s="1"/>
  <c r="E152" i="8"/>
  <c r="AB152" i="4" s="1"/>
  <c r="AC152" i="4" s="1"/>
  <c r="C153" i="9"/>
  <c r="W152" i="8"/>
  <c r="L152" i="4" s="1"/>
  <c r="H152" i="8"/>
  <c r="U152" i="8"/>
  <c r="F152" i="8"/>
  <c r="R152" i="8"/>
  <c r="B152" i="8"/>
  <c r="X153" i="8"/>
  <c r="L153" i="8"/>
  <c r="B153" i="10"/>
  <c r="S153" i="8"/>
  <c r="F153" i="8"/>
  <c r="O154" i="9"/>
  <c r="P154" i="9" s="1"/>
  <c r="W153" i="8"/>
  <c r="L153" i="4" s="1"/>
  <c r="I153" i="8"/>
  <c r="L154" i="9"/>
  <c r="O153" i="8"/>
  <c r="M153" i="8"/>
  <c r="F154" i="9"/>
  <c r="G154" i="9" s="1"/>
  <c r="J153" i="8"/>
  <c r="T153" i="8"/>
  <c r="X160" i="8"/>
  <c r="L160" i="8"/>
  <c r="B160" i="10"/>
  <c r="C161" i="9"/>
  <c r="U160" i="8"/>
  <c r="H160" i="8"/>
  <c r="L161" i="9"/>
  <c r="F161" i="9"/>
  <c r="G161" i="9" s="1"/>
  <c r="M160" i="8"/>
  <c r="I161" i="9"/>
  <c r="R160" i="8"/>
  <c r="C160" i="8"/>
  <c r="N160" i="8"/>
  <c r="J160" i="8"/>
  <c r="G160" i="8"/>
  <c r="V160" i="8"/>
  <c r="W160" i="8" s="1"/>
  <c r="L160" i="4" s="1"/>
  <c r="C168" i="8"/>
  <c r="G169" i="8"/>
  <c r="D189" i="8"/>
  <c r="E190" i="8"/>
  <c r="AB190" i="4" s="1"/>
  <c r="AC190" i="4" s="1"/>
  <c r="D192" i="8"/>
  <c r="G194" i="8"/>
  <c r="D29" i="9"/>
  <c r="P44" i="9"/>
  <c r="D44" i="9"/>
  <c r="D89" i="9"/>
  <c r="G89" i="9"/>
  <c r="D118" i="9"/>
  <c r="L170" i="9"/>
  <c r="D187" i="9"/>
  <c r="L39" i="9"/>
  <c r="F39" i="9"/>
  <c r="B38" i="10"/>
  <c r="I39" i="9"/>
  <c r="X38" i="8"/>
  <c r="L38" i="8"/>
  <c r="M38" i="8"/>
  <c r="O38" i="8"/>
  <c r="R58" i="8"/>
  <c r="F58" i="8"/>
  <c r="C59" i="9"/>
  <c r="M58" i="8"/>
  <c r="I59" i="9"/>
  <c r="B58" i="10"/>
  <c r="O59" i="9"/>
  <c r="P59" i="9" s="1"/>
  <c r="L59" i="9"/>
  <c r="P58" i="8"/>
  <c r="B58" i="8"/>
  <c r="Q58" i="8"/>
  <c r="L66" i="9"/>
  <c r="F66" i="9"/>
  <c r="R65" i="8"/>
  <c r="F65" i="8"/>
  <c r="B65" i="10"/>
  <c r="O65" i="8"/>
  <c r="B65" i="8"/>
  <c r="C66" i="9"/>
  <c r="O66" i="9"/>
  <c r="T65" i="8"/>
  <c r="E65" i="8"/>
  <c r="AB65" i="4" s="1"/>
  <c r="AC65" i="4" s="1"/>
  <c r="Q65" i="8"/>
  <c r="B67" i="10"/>
  <c r="R67" i="8"/>
  <c r="F67" i="8"/>
  <c r="T67" i="8"/>
  <c r="G67" i="8"/>
  <c r="F68" i="9"/>
  <c r="G68" i="9" s="1"/>
  <c r="C68" i="9"/>
  <c r="I68" i="9"/>
  <c r="N67" i="8"/>
  <c r="P67" i="8"/>
  <c r="B78" i="10"/>
  <c r="R78" i="8"/>
  <c r="F78" i="8"/>
  <c r="C79" i="9"/>
  <c r="L79" i="9"/>
  <c r="Q78" i="8"/>
  <c r="D78" i="8"/>
  <c r="F79" i="9"/>
  <c r="G79" i="9" s="1"/>
  <c r="O79" i="9"/>
  <c r="P79" i="9" s="1"/>
  <c r="V78" i="8"/>
  <c r="W78" i="8" s="1"/>
  <c r="L78" i="4" s="1"/>
  <c r="H78" i="8"/>
  <c r="P78" i="8"/>
  <c r="B87" i="10"/>
  <c r="R87" i="8"/>
  <c r="F87" i="8"/>
  <c r="X87" i="8"/>
  <c r="K87" i="8"/>
  <c r="F87" i="4" s="1"/>
  <c r="L88" i="9"/>
  <c r="F88" i="9"/>
  <c r="C88" i="9"/>
  <c r="I88" i="9"/>
  <c r="T87" i="8"/>
  <c r="E87" i="8"/>
  <c r="AB87" i="4" s="1"/>
  <c r="AC87" i="4" s="1"/>
  <c r="O88" i="9"/>
  <c r="P87" i="8"/>
  <c r="I101" i="9"/>
  <c r="R100" i="8"/>
  <c r="F100" i="8"/>
  <c r="B100" i="10"/>
  <c r="M100" i="8"/>
  <c r="F101" i="9"/>
  <c r="G101" i="9" s="1"/>
  <c r="C101" i="9"/>
  <c r="O101" i="9"/>
  <c r="V100" i="8"/>
  <c r="W100" i="8" s="1"/>
  <c r="L100" i="4" s="1"/>
  <c r="H100" i="8"/>
  <c r="P100" i="8"/>
  <c r="B109" i="10"/>
  <c r="I110" i="9"/>
  <c r="R109" i="8"/>
  <c r="F109" i="8"/>
  <c r="O110" i="9"/>
  <c r="P110" i="9" s="1"/>
  <c r="T109" i="8"/>
  <c r="G109" i="8"/>
  <c r="F110" i="9"/>
  <c r="L110" i="9"/>
  <c r="U109" i="8"/>
  <c r="E109" i="8"/>
  <c r="AB109" i="4" s="1"/>
  <c r="AC109" i="4" s="1"/>
  <c r="P109" i="8"/>
  <c r="B120" i="10"/>
  <c r="C121" i="9"/>
  <c r="R120" i="8"/>
  <c r="F120" i="8"/>
  <c r="O121" i="9"/>
  <c r="P121" i="9" s="1"/>
  <c r="Q120" i="8"/>
  <c r="D120" i="8"/>
  <c r="L121" i="9"/>
  <c r="F121" i="9"/>
  <c r="M120" i="8"/>
  <c r="P120" i="8"/>
  <c r="F131" i="9"/>
  <c r="B130" i="10"/>
  <c r="O131" i="9"/>
  <c r="R130" i="8"/>
  <c r="F130" i="8"/>
  <c r="I131" i="9"/>
  <c r="M130" i="8"/>
  <c r="L131" i="9"/>
  <c r="P130" i="8"/>
  <c r="B130" i="8"/>
  <c r="N130" i="8"/>
  <c r="K130" i="8"/>
  <c r="T130" i="8"/>
  <c r="B139" i="10"/>
  <c r="F140" i="9"/>
  <c r="G140" i="9" s="1"/>
  <c r="R139" i="8"/>
  <c r="Q139" i="4" s="1"/>
  <c r="F139" i="8"/>
  <c r="I140" i="9"/>
  <c r="T139" i="8"/>
  <c r="G139" i="8"/>
  <c r="C140" i="9"/>
  <c r="N139" i="8"/>
  <c r="L139" i="8"/>
  <c r="X139" i="8"/>
  <c r="J139" i="8"/>
  <c r="C152" i="8"/>
  <c r="B153" i="8"/>
  <c r="U153" i="8"/>
  <c r="B160" i="8"/>
  <c r="E168" i="8"/>
  <c r="H169" i="8"/>
  <c r="X177" i="8"/>
  <c r="L177" i="8"/>
  <c r="O178" i="9"/>
  <c r="F177" i="8"/>
  <c r="B177" i="10"/>
  <c r="I178" i="9"/>
  <c r="R177" i="8"/>
  <c r="D177" i="8"/>
  <c r="M177" i="8"/>
  <c r="L178" i="9"/>
  <c r="F178" i="9"/>
  <c r="W177" i="8"/>
  <c r="L177" i="4" s="1"/>
  <c r="H177" i="8"/>
  <c r="E177" i="8"/>
  <c r="AB177" i="4" s="1"/>
  <c r="AC177" i="4" s="1"/>
  <c r="U177" i="8"/>
  <c r="B177" i="8"/>
  <c r="Q177" i="8"/>
  <c r="L183" i="9"/>
  <c r="X182" i="8"/>
  <c r="L182" i="8"/>
  <c r="B182" i="10"/>
  <c r="I183" i="9"/>
  <c r="Q182" i="8"/>
  <c r="D182" i="8"/>
  <c r="M182" i="8"/>
  <c r="F183" i="9"/>
  <c r="C183" i="9"/>
  <c r="R182" i="8"/>
  <c r="B182" i="8"/>
  <c r="K182" i="8"/>
  <c r="F182" i="4" s="1"/>
  <c r="O183" i="9"/>
  <c r="P182" i="8"/>
  <c r="N182" i="8"/>
  <c r="I182" i="8"/>
  <c r="W182" i="8"/>
  <c r="L182" i="4" s="1"/>
  <c r="G189" i="8"/>
  <c r="J190" i="8"/>
  <c r="E192" i="8"/>
  <c r="AB192" i="4" s="1"/>
  <c r="AC192" i="4" s="1"/>
  <c r="H194" i="8"/>
  <c r="F200" i="8"/>
  <c r="P22" i="9"/>
  <c r="D22" i="9"/>
  <c r="G44" i="9"/>
  <c r="D60" i="9"/>
  <c r="I66" i="9"/>
  <c r="O68" i="9"/>
  <c r="O140" i="9"/>
  <c r="P140" i="9" s="1"/>
  <c r="B131" i="10"/>
  <c r="L132" i="9"/>
  <c r="C132" i="9"/>
  <c r="R131" i="8"/>
  <c r="S131" i="8" s="1"/>
  <c r="F131" i="8"/>
  <c r="O132" i="9"/>
  <c r="P132" i="9" s="1"/>
  <c r="O131" i="8"/>
  <c r="B131" i="8"/>
  <c r="I132" i="9"/>
  <c r="P131" i="8"/>
  <c r="L135" i="9"/>
  <c r="B134" i="10"/>
  <c r="I135" i="9"/>
  <c r="R134" i="8"/>
  <c r="F134" i="8"/>
  <c r="F135" i="9"/>
  <c r="G135" i="9" s="1"/>
  <c r="V134" i="8"/>
  <c r="W134" i="8" s="1"/>
  <c r="L134" i="4" s="1"/>
  <c r="I134" i="8"/>
  <c r="C135" i="9"/>
  <c r="O135" i="9"/>
  <c r="P135" i="9" s="1"/>
  <c r="O134" i="8"/>
  <c r="L162" i="9"/>
  <c r="X161" i="8"/>
  <c r="L161" i="8"/>
  <c r="B161" i="10"/>
  <c r="J161" i="8"/>
  <c r="Q161" i="8"/>
  <c r="C161" i="8"/>
  <c r="O162" i="9"/>
  <c r="C162" i="9"/>
  <c r="I161" i="8"/>
  <c r="R161" i="8"/>
  <c r="X166" i="8"/>
  <c r="L166" i="8"/>
  <c r="F167" i="9"/>
  <c r="U166" i="8"/>
  <c r="H166" i="8"/>
  <c r="B166" i="10"/>
  <c r="I167" i="9"/>
  <c r="K166" i="8"/>
  <c r="F166" i="4" s="1"/>
  <c r="O167" i="9"/>
  <c r="L167" i="9"/>
  <c r="C167" i="9"/>
  <c r="Q166" i="8"/>
  <c r="X171" i="8"/>
  <c r="L171" i="8"/>
  <c r="B171" i="10"/>
  <c r="L172" i="9"/>
  <c r="S171" i="8"/>
  <c r="F171" i="8"/>
  <c r="C172" i="9"/>
  <c r="T171" i="8"/>
  <c r="E171" i="8"/>
  <c r="AB171" i="4" s="1"/>
  <c r="AC171" i="4" s="1"/>
  <c r="Q171" i="8"/>
  <c r="B171" i="8"/>
  <c r="O172" i="9"/>
  <c r="M171" i="8"/>
  <c r="U171" i="8"/>
  <c r="B196" i="10"/>
  <c r="X196" i="8"/>
  <c r="L196" i="8"/>
  <c r="U196" i="8"/>
  <c r="H196" i="8"/>
  <c r="F197" i="9"/>
  <c r="S196" i="8"/>
  <c r="E196" i="8"/>
  <c r="AB196" i="4" s="1"/>
  <c r="AC196" i="4" s="1"/>
  <c r="O197" i="9"/>
  <c r="P197" i="9" s="1"/>
  <c r="I197" i="9"/>
  <c r="W196" i="8"/>
  <c r="L196" i="4" s="1"/>
  <c r="G196" i="8"/>
  <c r="Q196" i="8"/>
  <c r="B196" i="8"/>
  <c r="T196" i="8"/>
  <c r="D42" i="9"/>
  <c r="P42" i="9"/>
  <c r="D58" i="9"/>
  <c r="D91" i="9"/>
  <c r="D119" i="9"/>
  <c r="G119" i="9"/>
  <c r="D160" i="9"/>
  <c r="Q10" i="10"/>
  <c r="G10" i="10"/>
  <c r="S10" i="10"/>
  <c r="A62" i="11"/>
  <c r="N10" i="10"/>
  <c r="P10" i="10"/>
  <c r="O10" i="10"/>
  <c r="V10" i="10"/>
  <c r="W10" i="10"/>
  <c r="U10" i="10"/>
  <c r="R10" i="10"/>
  <c r="T10" i="10"/>
  <c r="H10" i="10"/>
  <c r="D10" i="10"/>
  <c r="D131" i="8"/>
  <c r="C134" i="8"/>
  <c r="Q134" i="8"/>
  <c r="X159" i="8"/>
  <c r="L159" i="8"/>
  <c r="S159" i="8"/>
  <c r="F159" i="8"/>
  <c r="L160" i="9"/>
  <c r="B159" i="10"/>
  <c r="F160" i="9"/>
  <c r="V159" i="8"/>
  <c r="H159" i="8"/>
  <c r="C160" i="9"/>
  <c r="O160" i="9"/>
  <c r="P160" i="9" s="1"/>
  <c r="K159" i="8"/>
  <c r="F159" i="4" s="1"/>
  <c r="Q159" i="8"/>
  <c r="D161" i="8"/>
  <c r="T161" i="8"/>
  <c r="B174" i="10"/>
  <c r="X174" i="8"/>
  <c r="L174" i="8"/>
  <c r="I175" i="9"/>
  <c r="M174" i="8"/>
  <c r="L175" i="9"/>
  <c r="S174" i="8"/>
  <c r="E174" i="8"/>
  <c r="AB174" i="4" s="1"/>
  <c r="AC174" i="4" s="1"/>
  <c r="O175" i="9"/>
  <c r="P175" i="9" s="1"/>
  <c r="F175" i="9"/>
  <c r="V174" i="8"/>
  <c r="Q174" i="4" s="1"/>
  <c r="G174" i="8"/>
  <c r="C175" i="9"/>
  <c r="Q174" i="8"/>
  <c r="B174" i="8"/>
  <c r="T174" i="8"/>
  <c r="L192" i="9"/>
  <c r="X191" i="8"/>
  <c r="L191" i="8"/>
  <c r="B191" i="10"/>
  <c r="C192" i="9"/>
  <c r="W191" i="8"/>
  <c r="L191" i="4" s="1"/>
  <c r="J191" i="8"/>
  <c r="O192" i="9"/>
  <c r="F192" i="9"/>
  <c r="G192" i="9" s="1"/>
  <c r="D191" i="8"/>
  <c r="I192" i="9"/>
  <c r="R191" i="8"/>
  <c r="D196" i="8"/>
  <c r="L198" i="9"/>
  <c r="X197" i="8"/>
  <c r="L197" i="8"/>
  <c r="B197" i="10"/>
  <c r="F198" i="9"/>
  <c r="G198" i="9" s="1"/>
  <c r="W197" i="8"/>
  <c r="L197" i="4" s="1"/>
  <c r="J197" i="8"/>
  <c r="I197" i="8"/>
  <c r="I198" i="9"/>
  <c r="C198" i="9"/>
  <c r="O197" i="8"/>
  <c r="O198" i="9"/>
  <c r="H197" i="8"/>
  <c r="R197" i="8"/>
  <c r="P8" i="9"/>
  <c r="D8" i="9"/>
  <c r="D12" i="9"/>
  <c r="D25" i="9"/>
  <c r="D53" i="9"/>
  <c r="D98" i="9"/>
  <c r="D100" i="9"/>
  <c r="D106" i="9"/>
  <c r="I160" i="9"/>
  <c r="Q6" i="10"/>
  <c r="S6" i="10"/>
  <c r="A58" i="11"/>
  <c r="W6" i="10"/>
  <c r="U6" i="10"/>
  <c r="D6" i="10"/>
  <c r="T6" i="10"/>
  <c r="O6" i="10"/>
  <c r="R6" i="10"/>
  <c r="P6" i="10"/>
  <c r="N6" i="10"/>
  <c r="V6" i="10"/>
  <c r="H105" i="10"/>
  <c r="G105" i="10"/>
  <c r="D105" i="10"/>
  <c r="B61" i="10"/>
  <c r="R61" i="8"/>
  <c r="F61" i="8"/>
  <c r="L62" i="9"/>
  <c r="T61" i="8"/>
  <c r="G61" i="8"/>
  <c r="I62" i="9"/>
  <c r="F62" i="9"/>
  <c r="O62" i="9"/>
  <c r="P62" i="9" s="1"/>
  <c r="O61" i="8"/>
  <c r="I65" i="9"/>
  <c r="R64" i="8"/>
  <c r="F64" i="8"/>
  <c r="B64" i="10"/>
  <c r="M64" i="8"/>
  <c r="F65" i="9"/>
  <c r="G65" i="9" s="1"/>
  <c r="C65" i="9"/>
  <c r="O65" i="9"/>
  <c r="B83" i="10"/>
  <c r="L84" i="9"/>
  <c r="F84" i="9"/>
  <c r="G84" i="9" s="1"/>
  <c r="R83" i="8"/>
  <c r="F83" i="8"/>
  <c r="I84" i="9"/>
  <c r="C84" i="9"/>
  <c r="O83" i="8"/>
  <c r="B83" i="8"/>
  <c r="P83" i="8"/>
  <c r="L87" i="9"/>
  <c r="R86" i="8"/>
  <c r="F86" i="8"/>
  <c r="B86" i="10"/>
  <c r="V86" i="8"/>
  <c r="W86" i="8" s="1"/>
  <c r="L86" i="4" s="1"/>
  <c r="I86" i="8"/>
  <c r="I87" i="9"/>
  <c r="F87" i="9"/>
  <c r="O86" i="8"/>
  <c r="L109" i="9"/>
  <c r="R108" i="8"/>
  <c r="F108" i="8"/>
  <c r="I109" i="9"/>
  <c r="C109" i="9"/>
  <c r="Q108" i="8"/>
  <c r="D108" i="8"/>
  <c r="O109" i="9"/>
  <c r="P109" i="9" s="1"/>
  <c r="F109" i="9"/>
  <c r="B108" i="10"/>
  <c r="O108" i="8"/>
  <c r="B111" i="10"/>
  <c r="C112" i="9"/>
  <c r="R111" i="8"/>
  <c r="F111" i="8"/>
  <c r="L112" i="9"/>
  <c r="X111" i="8"/>
  <c r="K111" i="8"/>
  <c r="F111" i="4" s="1"/>
  <c r="O112" i="9"/>
  <c r="I112" i="9"/>
  <c r="F112" i="9"/>
  <c r="O111" i="8"/>
  <c r="G131" i="8"/>
  <c r="U131" i="8"/>
  <c r="B133" i="10"/>
  <c r="R133" i="8"/>
  <c r="F133" i="8"/>
  <c r="T133" i="8"/>
  <c r="G133" i="8"/>
  <c r="C134" i="9"/>
  <c r="O134" i="9"/>
  <c r="P134" i="9" s="1"/>
  <c r="F134" i="9"/>
  <c r="G134" i="9" s="1"/>
  <c r="O133" i="8"/>
  <c r="E134" i="8"/>
  <c r="AB134" i="4" s="1"/>
  <c r="AC134" i="4" s="1"/>
  <c r="T134" i="8"/>
  <c r="R136" i="8"/>
  <c r="F136" i="8"/>
  <c r="B136" i="10"/>
  <c r="F137" i="9"/>
  <c r="M136" i="8"/>
  <c r="O137" i="9"/>
  <c r="L137" i="9"/>
  <c r="O136" i="8"/>
  <c r="X142" i="8"/>
  <c r="L142" i="8"/>
  <c r="U142" i="8"/>
  <c r="H142" i="8"/>
  <c r="F143" i="9"/>
  <c r="P142" i="8"/>
  <c r="B142" i="8"/>
  <c r="B142" i="10"/>
  <c r="O143" i="9"/>
  <c r="L143" i="9"/>
  <c r="Q142" i="8"/>
  <c r="X144" i="8"/>
  <c r="L144" i="8"/>
  <c r="B144" i="10"/>
  <c r="M144" i="8"/>
  <c r="F145" i="9"/>
  <c r="G145" i="9" s="1"/>
  <c r="O145" i="9"/>
  <c r="P145" i="9" s="1"/>
  <c r="J144" i="8"/>
  <c r="I145" i="9"/>
  <c r="P144" i="8"/>
  <c r="B151" i="10"/>
  <c r="X151" i="8"/>
  <c r="L151" i="8"/>
  <c r="F152" i="9"/>
  <c r="B151" i="8"/>
  <c r="O152" i="9"/>
  <c r="P152" i="9" s="1"/>
  <c r="N151" i="8"/>
  <c r="L152" i="9"/>
  <c r="I152" i="9"/>
  <c r="Q151" i="8"/>
  <c r="X157" i="8"/>
  <c r="L157" i="8"/>
  <c r="F158" i="9"/>
  <c r="G158" i="9" s="1"/>
  <c r="I158" i="9"/>
  <c r="O157" i="8"/>
  <c r="B157" i="8"/>
  <c r="B157" i="10"/>
  <c r="L158" i="9"/>
  <c r="M157" i="8"/>
  <c r="O158" i="9"/>
  <c r="P158" i="9" s="1"/>
  <c r="C158" i="9"/>
  <c r="K157" i="8"/>
  <c r="R157" i="8"/>
  <c r="C159" i="8"/>
  <c r="T159" i="8"/>
  <c r="F161" i="8"/>
  <c r="V161" i="8"/>
  <c r="W161" i="8" s="1"/>
  <c r="L161" i="4" s="1"/>
  <c r="E166" i="8"/>
  <c r="AB166" i="4" s="1"/>
  <c r="AC166" i="4" s="1"/>
  <c r="V166" i="8"/>
  <c r="H171" i="8"/>
  <c r="D174" i="8"/>
  <c r="B178" i="10"/>
  <c r="X178" i="8"/>
  <c r="L178" i="8"/>
  <c r="U178" i="8"/>
  <c r="H178" i="8"/>
  <c r="O179" i="9"/>
  <c r="P179" i="9" s="1"/>
  <c r="W178" i="8"/>
  <c r="L178" i="4" s="1"/>
  <c r="I178" i="8"/>
  <c r="F179" i="9"/>
  <c r="D178" i="8"/>
  <c r="O178" i="8"/>
  <c r="R178" i="8"/>
  <c r="S178" i="8" s="1"/>
  <c r="B188" i="10"/>
  <c r="L189" i="9"/>
  <c r="X188" i="8"/>
  <c r="L188" i="8"/>
  <c r="I189" i="9"/>
  <c r="Q188" i="8"/>
  <c r="D188" i="8"/>
  <c r="C189" i="9"/>
  <c r="O189" i="9"/>
  <c r="K188" i="8"/>
  <c r="F188" i="4" s="1"/>
  <c r="N188" i="8"/>
  <c r="W188" i="8"/>
  <c r="L188" i="4" s="1"/>
  <c r="H188" i="8"/>
  <c r="S188" i="8"/>
  <c r="C191" i="8"/>
  <c r="U191" i="8"/>
  <c r="I196" i="8"/>
  <c r="C197" i="8"/>
  <c r="T197" i="8"/>
  <c r="D17" i="9"/>
  <c r="G28" i="9"/>
  <c r="P73" i="9"/>
  <c r="D92" i="9"/>
  <c r="G92" i="9"/>
  <c r="G98" i="9"/>
  <c r="D125" i="9"/>
  <c r="C152" i="9"/>
  <c r="G15" i="10"/>
  <c r="D15" i="10"/>
  <c r="G20" i="10"/>
  <c r="H20" i="10"/>
  <c r="A153" i="11"/>
  <c r="W101" i="10"/>
  <c r="P101" i="10"/>
  <c r="R101" i="10"/>
  <c r="Q101" i="10"/>
  <c r="O101" i="10"/>
  <c r="N101" i="10"/>
  <c r="H101" i="10"/>
  <c r="G101" i="10"/>
  <c r="V101" i="10"/>
  <c r="U101" i="10"/>
  <c r="T101" i="10"/>
  <c r="S101" i="10"/>
  <c r="D101" i="10"/>
  <c r="L168" i="9"/>
  <c r="X167" i="8"/>
  <c r="L167" i="8"/>
  <c r="B167" i="10"/>
  <c r="C168" i="9"/>
  <c r="W167" i="8"/>
  <c r="L167" i="4" s="1"/>
  <c r="J167" i="8"/>
  <c r="P167" i="8"/>
  <c r="B167" i="8"/>
  <c r="I168" i="9"/>
  <c r="Q167" i="8"/>
  <c r="L177" i="9"/>
  <c r="X176" i="8"/>
  <c r="L176" i="8"/>
  <c r="C177" i="9"/>
  <c r="B176" i="10"/>
  <c r="Q176" i="8"/>
  <c r="D176" i="8"/>
  <c r="O177" i="9"/>
  <c r="N176" i="8"/>
  <c r="F177" i="9"/>
  <c r="P176" i="8"/>
  <c r="X187" i="8"/>
  <c r="L187" i="8"/>
  <c r="B187" i="10"/>
  <c r="O188" i="9"/>
  <c r="P188" i="9" s="1"/>
  <c r="O187" i="8"/>
  <c r="B187" i="8"/>
  <c r="C188" i="9"/>
  <c r="U187" i="8"/>
  <c r="G187" i="8"/>
  <c r="L188" i="9"/>
  <c r="Q187" i="8"/>
  <c r="D14" i="9"/>
  <c r="G15" i="9"/>
  <c r="P15" i="9"/>
  <c r="D65" i="9"/>
  <c r="D72" i="9"/>
  <c r="D79" i="9"/>
  <c r="D82" i="9"/>
  <c r="P88" i="9"/>
  <c r="G126" i="9"/>
  <c r="D163" i="9"/>
  <c r="O168" i="9"/>
  <c r="P168" i="9" s="1"/>
  <c r="G171" i="9"/>
  <c r="D171" i="9"/>
  <c r="T2" i="10"/>
  <c r="D2" i="10"/>
  <c r="A54" i="11"/>
  <c r="H2" i="10"/>
  <c r="U2" i="10"/>
  <c r="H5" i="10"/>
  <c r="G5" i="10"/>
  <c r="D5" i="10"/>
  <c r="W13" i="10"/>
  <c r="N13" i="10"/>
  <c r="D13" i="10"/>
  <c r="A65" i="11"/>
  <c r="T13" i="10"/>
  <c r="R13" i="10"/>
  <c r="P13" i="10"/>
  <c r="O13" i="10"/>
  <c r="V13" i="10"/>
  <c r="H13" i="10"/>
  <c r="A99" i="11"/>
  <c r="W47" i="10"/>
  <c r="N47" i="10"/>
  <c r="D47" i="10"/>
  <c r="S47" i="10"/>
  <c r="R47" i="10"/>
  <c r="Q47" i="10"/>
  <c r="O47" i="10"/>
  <c r="H47" i="10"/>
  <c r="U47" i="10"/>
  <c r="T47" i="10"/>
  <c r="P47" i="10"/>
  <c r="V47" i="10"/>
  <c r="G47" i="10"/>
  <c r="H137" i="10"/>
  <c r="G137" i="10"/>
  <c r="D126" i="9"/>
  <c r="D137" i="10"/>
  <c r="A195" i="11"/>
  <c r="W143" i="10"/>
  <c r="N143" i="10"/>
  <c r="G143" i="10"/>
  <c r="D143" i="10"/>
  <c r="T143" i="10"/>
  <c r="S143" i="10"/>
  <c r="R143" i="10"/>
  <c r="Q143" i="10"/>
  <c r="P143" i="10"/>
  <c r="O143" i="10"/>
  <c r="V143" i="10"/>
  <c r="U143" i="10"/>
  <c r="H143" i="10"/>
  <c r="G90" i="9"/>
  <c r="P107" i="9"/>
  <c r="D107" i="9"/>
  <c r="D136" i="9"/>
  <c r="D142" i="9"/>
  <c r="P165" i="9"/>
  <c r="D181" i="9"/>
  <c r="G181" i="9"/>
  <c r="W7" i="10"/>
  <c r="N7" i="10"/>
  <c r="A59" i="11"/>
  <c r="U7" i="10"/>
  <c r="T7" i="10"/>
  <c r="R7" i="10"/>
  <c r="G7" i="10"/>
  <c r="D7" i="10"/>
  <c r="Q7" i="10"/>
  <c r="V7" i="10"/>
  <c r="O7" i="10"/>
  <c r="Q13" i="10"/>
  <c r="Q16" i="10"/>
  <c r="V16" i="10"/>
  <c r="D16" i="10"/>
  <c r="A68" i="11"/>
  <c r="O16" i="10"/>
  <c r="P16" i="10"/>
  <c r="N16" i="10"/>
  <c r="H16" i="10"/>
  <c r="U16" i="10"/>
  <c r="W16" i="10"/>
  <c r="T16" i="10"/>
  <c r="S16" i="10"/>
  <c r="A176" i="11"/>
  <c r="Q124" i="10"/>
  <c r="O124" i="10"/>
  <c r="G124" i="10"/>
  <c r="U124" i="10"/>
  <c r="T124" i="10"/>
  <c r="S124" i="10"/>
  <c r="R124" i="10"/>
  <c r="P124" i="10"/>
  <c r="N124" i="10"/>
  <c r="D124" i="10"/>
  <c r="W124" i="10"/>
  <c r="V124" i="10"/>
  <c r="D134" i="9"/>
  <c r="D140" i="9"/>
  <c r="G148" i="9"/>
  <c r="D161" i="9"/>
  <c r="D179" i="9"/>
  <c r="D197" i="9"/>
  <c r="P202" i="9"/>
  <c r="G202" i="9"/>
  <c r="D202" i="9"/>
  <c r="A133" i="11"/>
  <c r="W81" i="10"/>
  <c r="Q81" i="10"/>
  <c r="U81" i="10"/>
  <c r="N81" i="10"/>
  <c r="H81" i="10"/>
  <c r="G81" i="10"/>
  <c r="D81" i="10"/>
  <c r="T81" i="10"/>
  <c r="S81" i="10"/>
  <c r="R81" i="10"/>
  <c r="O81" i="10"/>
  <c r="V81" i="10"/>
  <c r="F167" i="8"/>
  <c r="U167" i="8"/>
  <c r="F176" i="8"/>
  <c r="U176" i="8"/>
  <c r="X184" i="8"/>
  <c r="L184" i="8"/>
  <c r="B184" i="10"/>
  <c r="F185" i="9"/>
  <c r="O185" i="9"/>
  <c r="P185" i="9" s="1"/>
  <c r="U184" i="8"/>
  <c r="H184" i="8"/>
  <c r="V184" i="8"/>
  <c r="G184" i="8"/>
  <c r="L185" i="9"/>
  <c r="I185" i="9"/>
  <c r="P184" i="8"/>
  <c r="F187" i="8"/>
  <c r="V187" i="8"/>
  <c r="D57" i="9"/>
  <c r="D71" i="9"/>
  <c r="D87" i="9"/>
  <c r="D90" i="9"/>
  <c r="D109" i="9"/>
  <c r="D132" i="9"/>
  <c r="D148" i="9"/>
  <c r="F188" i="9"/>
  <c r="H9" i="10"/>
  <c r="G9" i="10"/>
  <c r="D9" i="10"/>
  <c r="U13" i="10"/>
  <c r="H21" i="10"/>
  <c r="A131" i="11"/>
  <c r="W79" i="10"/>
  <c r="N79" i="10"/>
  <c r="O79" i="10"/>
  <c r="S79" i="10"/>
  <c r="R79" i="10"/>
  <c r="Q79" i="10"/>
  <c r="P79" i="10"/>
  <c r="H79" i="10"/>
  <c r="G79" i="10"/>
  <c r="D79" i="10"/>
  <c r="U79" i="10"/>
  <c r="H85" i="10"/>
  <c r="D135" i="10"/>
  <c r="P31" i="9"/>
  <c r="D32" i="9"/>
  <c r="G32" i="9"/>
  <c r="D62" i="9"/>
  <c r="D86" i="9"/>
  <c r="D104" i="9"/>
  <c r="G174" i="9"/>
  <c r="D199" i="9"/>
  <c r="P199" i="9"/>
  <c r="D14" i="10"/>
  <c r="A87" i="11"/>
  <c r="W35" i="10"/>
  <c r="T35" i="10"/>
  <c r="N35" i="10"/>
  <c r="D35" i="10"/>
  <c r="S35" i="10"/>
  <c r="R35" i="10"/>
  <c r="P35" i="10"/>
  <c r="V35" i="10"/>
  <c r="U35" i="10"/>
  <c r="H35" i="10"/>
  <c r="A121" i="11"/>
  <c r="W69" i="10"/>
  <c r="G69" i="10"/>
  <c r="S69" i="10"/>
  <c r="R69" i="10"/>
  <c r="Q69" i="10"/>
  <c r="P69" i="10"/>
  <c r="O69" i="10"/>
  <c r="N69" i="10"/>
  <c r="D69" i="10"/>
  <c r="V69" i="10"/>
  <c r="U69" i="10"/>
  <c r="T69" i="10"/>
  <c r="H78" i="10"/>
  <c r="H86" i="10"/>
  <c r="G86" i="10"/>
  <c r="D86" i="10"/>
  <c r="H89" i="10"/>
  <c r="D89" i="10"/>
  <c r="H96" i="10"/>
  <c r="G96" i="10"/>
  <c r="A166" i="11"/>
  <c r="Q114" i="10"/>
  <c r="G114" i="10"/>
  <c r="W114" i="10"/>
  <c r="D114" i="10"/>
  <c r="V114" i="10"/>
  <c r="T114" i="10"/>
  <c r="S114" i="10"/>
  <c r="R114" i="10"/>
  <c r="P114" i="10"/>
  <c r="O114" i="10"/>
  <c r="N114" i="10"/>
  <c r="U114" i="10"/>
  <c r="H114" i="10"/>
  <c r="P39" i="9"/>
  <c r="P70" i="9"/>
  <c r="D190" i="9"/>
  <c r="G190" i="9"/>
  <c r="H30" i="10"/>
  <c r="A83" i="11"/>
  <c r="W31" i="10"/>
  <c r="N31" i="10"/>
  <c r="O31" i="10"/>
  <c r="S31" i="10"/>
  <c r="R31" i="10"/>
  <c r="G31" i="10"/>
  <c r="D31" i="10"/>
  <c r="V31" i="10"/>
  <c r="Q31" i="10"/>
  <c r="H34" i="10"/>
  <c r="G71" i="10"/>
  <c r="H74" i="10"/>
  <c r="D74" i="10"/>
  <c r="H41" i="10"/>
  <c r="H84" i="10"/>
  <c r="G84" i="10"/>
  <c r="D84" i="10"/>
  <c r="A142" i="11"/>
  <c r="Q90" i="10"/>
  <c r="G90" i="10"/>
  <c r="O90" i="10"/>
  <c r="S90" i="10"/>
  <c r="R90" i="10"/>
  <c r="P90" i="10"/>
  <c r="N90" i="10"/>
  <c r="H90" i="10"/>
  <c r="D90" i="10"/>
  <c r="W90" i="10"/>
  <c r="H142" i="10"/>
  <c r="G142" i="10"/>
  <c r="G63" i="9"/>
  <c r="D74" i="9"/>
  <c r="P95" i="9"/>
  <c r="D95" i="9"/>
  <c r="D165" i="9"/>
  <c r="D180" i="9"/>
  <c r="A55" i="11"/>
  <c r="D3" i="10"/>
  <c r="U3" i="10"/>
  <c r="W21" i="10"/>
  <c r="G21" i="10"/>
  <c r="A73" i="11"/>
  <c r="R21" i="10"/>
  <c r="N21" i="10"/>
  <c r="D21" i="10"/>
  <c r="Q21" i="10"/>
  <c r="P21" i="10"/>
  <c r="O21" i="10"/>
  <c r="V21" i="10"/>
  <c r="H25" i="10"/>
  <c r="G25" i="10"/>
  <c r="Q35" i="10"/>
  <c r="H37" i="10"/>
  <c r="D37" i="10"/>
  <c r="H39" i="10"/>
  <c r="D41" i="10"/>
  <c r="H94" i="10"/>
  <c r="H100" i="10"/>
  <c r="G100" i="10"/>
  <c r="D100" i="10"/>
  <c r="D142" i="10"/>
  <c r="P47" i="9"/>
  <c r="D47" i="9"/>
  <c r="D70" i="9"/>
  <c r="D115" i="9"/>
  <c r="D120" i="9"/>
  <c r="D128" i="9"/>
  <c r="H48" i="10"/>
  <c r="G48" i="10"/>
  <c r="H52" i="10"/>
  <c r="D52" i="10"/>
  <c r="G68" i="10"/>
  <c r="H68" i="10"/>
  <c r="D68" i="10"/>
  <c r="T90" i="10"/>
  <c r="A168" i="11"/>
  <c r="Q116" i="10"/>
  <c r="O116" i="10"/>
  <c r="P116" i="10"/>
  <c r="N116" i="10"/>
  <c r="T116" i="10"/>
  <c r="S116" i="10"/>
  <c r="R116" i="10"/>
  <c r="H116" i="10"/>
  <c r="G116" i="10"/>
  <c r="D116" i="10"/>
  <c r="W116" i="10"/>
  <c r="V116" i="10"/>
  <c r="U116" i="10"/>
  <c r="D112" i="9"/>
  <c r="D172" i="9"/>
  <c r="G189" i="9"/>
  <c r="D189" i="9"/>
  <c r="P31" i="10"/>
  <c r="H36" i="10"/>
  <c r="G36" i="10"/>
  <c r="G52" i="10"/>
  <c r="U90" i="10"/>
  <c r="A211" i="11"/>
  <c r="U159" i="10"/>
  <c r="D159" i="10"/>
  <c r="R159" i="10"/>
  <c r="S159" i="10"/>
  <c r="P159" i="10"/>
  <c r="O159" i="10"/>
  <c r="H159" i="10"/>
  <c r="G159" i="10"/>
  <c r="W159" i="10"/>
  <c r="V159" i="10"/>
  <c r="T159" i="10"/>
  <c r="N159" i="10"/>
  <c r="Q159" i="10"/>
  <c r="A96" i="11"/>
  <c r="Q44" i="10"/>
  <c r="O44" i="10"/>
  <c r="V44" i="10"/>
  <c r="G44" i="10"/>
  <c r="W44" i="10"/>
  <c r="U44" i="10"/>
  <c r="S44" i="10"/>
  <c r="R44" i="10"/>
  <c r="A105" i="11"/>
  <c r="W53" i="10"/>
  <c r="P53" i="10"/>
  <c r="R53" i="10"/>
  <c r="Q53" i="10"/>
  <c r="O53" i="10"/>
  <c r="G53" i="10"/>
  <c r="V53" i="10"/>
  <c r="H73" i="10"/>
  <c r="A149" i="11"/>
  <c r="W97" i="10"/>
  <c r="Q97" i="10"/>
  <c r="P97" i="10"/>
  <c r="H97" i="10"/>
  <c r="G97" i="10"/>
  <c r="D97" i="10"/>
  <c r="V97" i="10"/>
  <c r="T97" i="10"/>
  <c r="S97" i="10"/>
  <c r="A191" i="11"/>
  <c r="W139" i="10"/>
  <c r="T139" i="10"/>
  <c r="N139" i="10"/>
  <c r="H139" i="10"/>
  <c r="V139" i="10"/>
  <c r="U139" i="10"/>
  <c r="S139" i="10"/>
  <c r="R139" i="10"/>
  <c r="Q139" i="10"/>
  <c r="O139" i="10"/>
  <c r="H141" i="10"/>
  <c r="G141" i="10"/>
  <c r="H149" i="10"/>
  <c r="G151" i="10"/>
  <c r="C56" i="11"/>
  <c r="H91" i="10"/>
  <c r="H112" i="10"/>
  <c r="D141" i="10"/>
  <c r="H145" i="10"/>
  <c r="G149" i="10"/>
  <c r="D192" i="10"/>
  <c r="G192" i="10"/>
  <c r="X145" i="8"/>
  <c r="L145" i="8"/>
  <c r="O145" i="8"/>
  <c r="B145" i="8"/>
  <c r="B145" i="10"/>
  <c r="P145" i="8"/>
  <c r="B148" i="10"/>
  <c r="X148" i="8"/>
  <c r="L148" i="8"/>
  <c r="F149" i="9"/>
  <c r="U148" i="8"/>
  <c r="H148" i="8"/>
  <c r="O148" i="8"/>
  <c r="L171" i="9"/>
  <c r="X170" i="8"/>
  <c r="L170" i="8"/>
  <c r="B170" i="10"/>
  <c r="Q170" i="8"/>
  <c r="D170" i="8"/>
  <c r="O170" i="8"/>
  <c r="B173" i="10"/>
  <c r="L174" i="9"/>
  <c r="X173" i="8"/>
  <c r="L173" i="8"/>
  <c r="W173" i="8"/>
  <c r="L173" i="4" s="1"/>
  <c r="J173" i="8"/>
  <c r="O173" i="8"/>
  <c r="B195" i="10"/>
  <c r="X195" i="8"/>
  <c r="L195" i="8"/>
  <c r="O196" i="9"/>
  <c r="S195" i="8"/>
  <c r="F195" i="8"/>
  <c r="O195" i="8"/>
  <c r="X198" i="8"/>
  <c r="L198" i="8"/>
  <c r="B198" i="10"/>
  <c r="M198" i="8"/>
  <c r="O198" i="8"/>
  <c r="P35" i="9"/>
  <c r="D35" i="9"/>
  <c r="G52" i="9"/>
  <c r="D77" i="9"/>
  <c r="D110" i="9"/>
  <c r="D143" i="9"/>
  <c r="P144" i="9"/>
  <c r="L149" i="9"/>
  <c r="D167" i="9"/>
  <c r="P169" i="9"/>
  <c r="O171" i="9"/>
  <c r="P171" i="9" s="1"/>
  <c r="F196" i="9"/>
  <c r="O199" i="9"/>
  <c r="Q8" i="10"/>
  <c r="V8" i="10"/>
  <c r="D8" i="10"/>
  <c r="R8" i="10"/>
  <c r="S8" i="10"/>
  <c r="O8" i="10"/>
  <c r="A60" i="11"/>
  <c r="W15" i="10"/>
  <c r="A67" i="11"/>
  <c r="N15" i="10"/>
  <c r="S15" i="10"/>
  <c r="R15" i="10"/>
  <c r="H15" i="10"/>
  <c r="W19" i="10"/>
  <c r="A71" i="11"/>
  <c r="T19" i="10"/>
  <c r="R19" i="10"/>
  <c r="Q19" i="10"/>
  <c r="O19" i="10"/>
  <c r="Q24" i="10"/>
  <c r="V24" i="10"/>
  <c r="D24" i="10"/>
  <c r="A76" i="11"/>
  <c r="H24" i="10"/>
  <c r="T24" i="10"/>
  <c r="S24" i="10"/>
  <c r="P24" i="10"/>
  <c r="W27" i="10"/>
  <c r="A79" i="11"/>
  <c r="T27" i="10"/>
  <c r="P27" i="10"/>
  <c r="Q27" i="10"/>
  <c r="O27" i="10"/>
  <c r="G27" i="10"/>
  <c r="A85" i="11"/>
  <c r="W33" i="10"/>
  <c r="Q33" i="10"/>
  <c r="U33" i="10"/>
  <c r="N33" i="10"/>
  <c r="D33" i="10"/>
  <c r="T33" i="10"/>
  <c r="H44" i="10"/>
  <c r="H46" i="10"/>
  <c r="G46" i="10"/>
  <c r="N53" i="10"/>
  <c r="O97" i="10"/>
  <c r="A184" i="11"/>
  <c r="Q132" i="10"/>
  <c r="O132" i="10"/>
  <c r="G132" i="10"/>
  <c r="P132" i="10"/>
  <c r="N132" i="10"/>
  <c r="H132" i="10"/>
  <c r="D132" i="10"/>
  <c r="V132" i="10"/>
  <c r="U132" i="10"/>
  <c r="P139" i="10"/>
  <c r="H188" i="10"/>
  <c r="G188" i="10"/>
  <c r="D188" i="10"/>
  <c r="P66" i="11"/>
  <c r="N66" i="11"/>
  <c r="Q66" i="11"/>
  <c r="O66" i="11"/>
  <c r="M66" i="11"/>
  <c r="L66" i="11"/>
  <c r="K66" i="11"/>
  <c r="U97" i="10"/>
  <c r="A158" i="11"/>
  <c r="Q106" i="10"/>
  <c r="G106" i="10"/>
  <c r="T106" i="10"/>
  <c r="S106" i="10"/>
  <c r="R106" i="10"/>
  <c r="P106" i="10"/>
  <c r="O106" i="10"/>
  <c r="N106" i="10"/>
  <c r="D106" i="10"/>
  <c r="A177" i="11"/>
  <c r="W125" i="10"/>
  <c r="D125" i="10"/>
  <c r="V125" i="10"/>
  <c r="R125" i="10"/>
  <c r="Q125" i="10"/>
  <c r="P125" i="10"/>
  <c r="O125" i="10"/>
  <c r="N125" i="10"/>
  <c r="H125" i="10"/>
  <c r="D178" i="10"/>
  <c r="T44" i="10"/>
  <c r="U53" i="10"/>
  <c r="G61" i="10"/>
  <c r="H80" i="10"/>
  <c r="D113" i="9"/>
  <c r="D149" i="9"/>
  <c r="D198" i="9"/>
  <c r="C199" i="9"/>
  <c r="A84" i="11"/>
  <c r="Q32" i="10"/>
  <c r="V32" i="10"/>
  <c r="D32" i="10"/>
  <c r="P32" i="10"/>
  <c r="O32" i="10"/>
  <c r="G32" i="10"/>
  <c r="W32" i="10"/>
  <c r="Q42" i="10"/>
  <c r="A94" i="11"/>
  <c r="G42" i="10"/>
  <c r="O42" i="10"/>
  <c r="S42" i="10"/>
  <c r="R42" i="10"/>
  <c r="P42" i="10"/>
  <c r="H42" i="10"/>
  <c r="D42" i="10"/>
  <c r="W42" i="10"/>
  <c r="W45" i="10"/>
  <c r="A97" i="11"/>
  <c r="R45" i="10"/>
  <c r="D45" i="10"/>
  <c r="V45" i="10"/>
  <c r="T45" i="10"/>
  <c r="S45" i="10"/>
  <c r="P45" i="10"/>
  <c r="O45" i="10"/>
  <c r="G55" i="10"/>
  <c r="A167" i="11"/>
  <c r="W115" i="10"/>
  <c r="T115" i="10"/>
  <c r="S115" i="10"/>
  <c r="R115" i="10"/>
  <c r="U115" i="10"/>
  <c r="Q115" i="10"/>
  <c r="P115" i="10"/>
  <c r="O115" i="10"/>
  <c r="N115" i="10"/>
  <c r="D115" i="10"/>
  <c r="A175" i="11"/>
  <c r="W123" i="10"/>
  <c r="T123" i="10"/>
  <c r="Q123" i="10"/>
  <c r="P123" i="10"/>
  <c r="V123" i="10"/>
  <c r="U123" i="10"/>
  <c r="S123" i="10"/>
  <c r="R123" i="10"/>
  <c r="O123" i="10"/>
  <c r="N123" i="10"/>
  <c r="G123" i="10"/>
  <c r="G125" i="10"/>
  <c r="A200" i="11"/>
  <c r="O148" i="10"/>
  <c r="T148" i="10"/>
  <c r="R148" i="10"/>
  <c r="D148" i="10"/>
  <c r="W148" i="10"/>
  <c r="U148" i="10"/>
  <c r="S148" i="10"/>
  <c r="Q148" i="10"/>
  <c r="P148" i="10"/>
  <c r="N148" i="10"/>
  <c r="H148" i="10"/>
  <c r="A202" i="11"/>
  <c r="O150" i="10"/>
  <c r="W150" i="10"/>
  <c r="T150" i="10"/>
  <c r="S150" i="10"/>
  <c r="R150" i="10"/>
  <c r="V150" i="10"/>
  <c r="U150" i="10"/>
  <c r="Q150" i="10"/>
  <c r="P150" i="10"/>
  <c r="N150" i="10"/>
  <c r="G150" i="10"/>
  <c r="D150" i="10"/>
  <c r="A208" i="11"/>
  <c r="O156" i="10"/>
  <c r="T156" i="10"/>
  <c r="P156" i="10"/>
  <c r="W156" i="10"/>
  <c r="U156" i="10"/>
  <c r="S156" i="10"/>
  <c r="R156" i="10"/>
  <c r="H156" i="10"/>
  <c r="G156" i="10"/>
  <c r="D156" i="10"/>
  <c r="D80" i="9"/>
  <c r="D122" i="9"/>
  <c r="F146" i="9"/>
  <c r="D152" i="9"/>
  <c r="G153" i="9"/>
  <c r="D153" i="9"/>
  <c r="C174" i="9"/>
  <c r="D176" i="9"/>
  <c r="P177" i="9"/>
  <c r="G184" i="9"/>
  <c r="F199" i="9"/>
  <c r="H38" i="10"/>
  <c r="D38" i="10"/>
  <c r="W49" i="10"/>
  <c r="Q49" i="10"/>
  <c r="A101" i="11"/>
  <c r="P49" i="10"/>
  <c r="H49" i="10"/>
  <c r="G49" i="10"/>
  <c r="V49" i="10"/>
  <c r="T49" i="10"/>
  <c r="S49" i="10"/>
  <c r="H57" i="10"/>
  <c r="G57" i="10"/>
  <c r="A116" i="11"/>
  <c r="Q64" i="10"/>
  <c r="V64" i="10"/>
  <c r="D64" i="10"/>
  <c r="O64" i="10"/>
  <c r="R64" i="10"/>
  <c r="P64" i="10"/>
  <c r="N64" i="10"/>
  <c r="H64" i="10"/>
  <c r="G64" i="10"/>
  <c r="W64" i="10"/>
  <c r="A144" i="11"/>
  <c r="Q92" i="10"/>
  <c r="O92" i="10"/>
  <c r="V92" i="10"/>
  <c r="G92" i="10"/>
  <c r="D92" i="10"/>
  <c r="W92" i="10"/>
  <c r="U92" i="10"/>
  <c r="S92" i="10"/>
  <c r="R92" i="10"/>
  <c r="A147" i="11"/>
  <c r="W95" i="10"/>
  <c r="N95" i="10"/>
  <c r="D95" i="10"/>
  <c r="S95" i="10"/>
  <c r="R95" i="10"/>
  <c r="Q95" i="10"/>
  <c r="P95" i="10"/>
  <c r="O95" i="10"/>
  <c r="H95" i="10"/>
  <c r="H106" i="10"/>
  <c r="S125" i="10"/>
  <c r="W132" i="10"/>
  <c r="A227" i="11"/>
  <c r="U175" i="10"/>
  <c r="D175" i="10"/>
  <c r="R175" i="10"/>
  <c r="S175" i="10"/>
  <c r="Q175" i="10"/>
  <c r="N175" i="10"/>
  <c r="G175" i="10"/>
  <c r="P175" i="10"/>
  <c r="O175" i="10"/>
  <c r="H175" i="10"/>
  <c r="V175" i="10"/>
  <c r="T175" i="10"/>
  <c r="H40" i="10"/>
  <c r="N56" i="10"/>
  <c r="N67" i="10"/>
  <c r="O72" i="10"/>
  <c r="A127" i="11"/>
  <c r="W75" i="10"/>
  <c r="T75" i="10"/>
  <c r="P75" i="10"/>
  <c r="V75" i="10"/>
  <c r="A132" i="11"/>
  <c r="Q80" i="10"/>
  <c r="V80" i="10"/>
  <c r="D80" i="10"/>
  <c r="U80" i="10"/>
  <c r="O83" i="10"/>
  <c r="H88" i="10"/>
  <c r="O93" i="10"/>
  <c r="N104" i="10"/>
  <c r="A169" i="11"/>
  <c r="W117" i="10"/>
  <c r="H117" i="10"/>
  <c r="G117" i="10"/>
  <c r="V117" i="10"/>
  <c r="O121" i="10"/>
  <c r="A197" i="11"/>
  <c r="W145" i="10"/>
  <c r="Q145" i="10"/>
  <c r="S145" i="10"/>
  <c r="R145" i="10"/>
  <c r="P145" i="10"/>
  <c r="Q146" i="10"/>
  <c r="A198" i="11"/>
  <c r="G146" i="10"/>
  <c r="O146" i="10"/>
  <c r="N146" i="10"/>
  <c r="H146" i="10"/>
  <c r="W146" i="10"/>
  <c r="Q152" i="10"/>
  <c r="Q153" i="10"/>
  <c r="A209" i="11"/>
  <c r="U157" i="10"/>
  <c r="D157" i="10"/>
  <c r="O157" i="10"/>
  <c r="G157" i="10"/>
  <c r="T157" i="10"/>
  <c r="R157" i="10"/>
  <c r="Q157" i="10"/>
  <c r="P157" i="10"/>
  <c r="T160" i="10"/>
  <c r="H180" i="10"/>
  <c r="G180" i="10"/>
  <c r="A242" i="11"/>
  <c r="O190" i="10"/>
  <c r="W190" i="10"/>
  <c r="R190" i="10"/>
  <c r="Q190" i="10"/>
  <c r="H190" i="10"/>
  <c r="U190" i="10"/>
  <c r="T190" i="10"/>
  <c r="S190" i="10"/>
  <c r="P190" i="10"/>
  <c r="N190" i="10"/>
  <c r="G190" i="10"/>
  <c r="Q12" i="10"/>
  <c r="O12" i="10"/>
  <c r="A64" i="11"/>
  <c r="R12" i="10"/>
  <c r="U12" i="10"/>
  <c r="W17" i="10"/>
  <c r="Q17" i="10"/>
  <c r="G17" i="10"/>
  <c r="A69" i="11"/>
  <c r="U17" i="10"/>
  <c r="Q28" i="10"/>
  <c r="O28" i="10"/>
  <c r="A80" i="11"/>
  <c r="G28" i="10"/>
  <c r="U28" i="10"/>
  <c r="Q29" i="10"/>
  <c r="R39" i="10"/>
  <c r="N40" i="10"/>
  <c r="G41" i="10"/>
  <c r="A95" i="11"/>
  <c r="W43" i="10"/>
  <c r="T43" i="10"/>
  <c r="G43" i="10"/>
  <c r="V43" i="10"/>
  <c r="R50" i="10"/>
  <c r="R55" i="10"/>
  <c r="O56" i="10"/>
  <c r="A112" i="11"/>
  <c r="Q60" i="10"/>
  <c r="O60" i="10"/>
  <c r="R60" i="10"/>
  <c r="U60" i="10"/>
  <c r="R61" i="10"/>
  <c r="A117" i="11"/>
  <c r="W65" i="10"/>
  <c r="Q65" i="10"/>
  <c r="G65" i="10"/>
  <c r="U65" i="10"/>
  <c r="O67" i="10"/>
  <c r="P72" i="10"/>
  <c r="A128" i="11"/>
  <c r="Q76" i="10"/>
  <c r="O76" i="10"/>
  <c r="G76" i="10"/>
  <c r="U76" i="10"/>
  <c r="Q77" i="10"/>
  <c r="W80" i="10"/>
  <c r="P83" i="10"/>
  <c r="D85" i="10"/>
  <c r="R87" i="10"/>
  <c r="N88" i="10"/>
  <c r="G89" i="10"/>
  <c r="A143" i="11"/>
  <c r="W91" i="10"/>
  <c r="T91" i="10"/>
  <c r="G91" i="10"/>
  <c r="V91" i="10"/>
  <c r="P93" i="10"/>
  <c r="R98" i="10"/>
  <c r="R103" i="10"/>
  <c r="O104" i="10"/>
  <c r="A160" i="11"/>
  <c r="Q108" i="10"/>
  <c r="O108" i="10"/>
  <c r="S108" i="10"/>
  <c r="R108" i="10"/>
  <c r="V108" i="10"/>
  <c r="N113" i="10"/>
  <c r="S119" i="10"/>
  <c r="R120" i="10"/>
  <c r="P121" i="10"/>
  <c r="P135" i="10"/>
  <c r="N136" i="10"/>
  <c r="H140" i="10"/>
  <c r="A199" i="11"/>
  <c r="U147" i="10"/>
  <c r="D147" i="10"/>
  <c r="G147" i="10"/>
  <c r="V147" i="10"/>
  <c r="H147" i="10"/>
  <c r="H151" i="10"/>
  <c r="S152" i="10"/>
  <c r="R153" i="10"/>
  <c r="S154" i="10"/>
  <c r="U160" i="10"/>
  <c r="A214" i="11"/>
  <c r="O162" i="10"/>
  <c r="Q162" i="10"/>
  <c r="U162" i="10"/>
  <c r="S162" i="10"/>
  <c r="H162" i="10"/>
  <c r="D162" i="10"/>
  <c r="S168" i="10"/>
  <c r="D42" i="11"/>
  <c r="B42" i="11"/>
  <c r="K54" i="11"/>
  <c r="P131" i="9"/>
  <c r="D131" i="9"/>
  <c r="D170" i="9"/>
  <c r="D185" i="9"/>
  <c r="U4" i="10"/>
  <c r="H4" i="10"/>
  <c r="H56" i="11" s="1"/>
  <c r="W12" i="10"/>
  <c r="Q18" i="10"/>
  <c r="A70" i="11"/>
  <c r="G18" i="10"/>
  <c r="V18" i="10"/>
  <c r="T18" i="10"/>
  <c r="W23" i="10"/>
  <c r="N23" i="10"/>
  <c r="A75" i="11"/>
  <c r="Q23" i="10"/>
  <c r="U23" i="10"/>
  <c r="W28" i="10"/>
  <c r="Q34" i="10"/>
  <c r="A86" i="11"/>
  <c r="G34" i="10"/>
  <c r="R34" i="10"/>
  <c r="U34" i="10"/>
  <c r="P40" i="10"/>
  <c r="N41" i="10"/>
  <c r="D43" i="10"/>
  <c r="S56" i="10"/>
  <c r="W60" i="10"/>
  <c r="A118" i="11"/>
  <c r="Q66" i="10"/>
  <c r="G66" i="10"/>
  <c r="V66" i="10"/>
  <c r="T66" i="10"/>
  <c r="Q67" i="10"/>
  <c r="A123" i="11"/>
  <c r="W71" i="10"/>
  <c r="N71" i="10"/>
  <c r="Q71" i="10"/>
  <c r="U71" i="10"/>
  <c r="S72" i="10"/>
  <c r="W76" i="10"/>
  <c r="A134" i="11"/>
  <c r="Q82" i="10"/>
  <c r="G82" i="10"/>
  <c r="R82" i="10"/>
  <c r="U82" i="10"/>
  <c r="R83" i="10"/>
  <c r="P88" i="10"/>
  <c r="N89" i="10"/>
  <c r="D91" i="10"/>
  <c r="S93" i="10"/>
  <c r="S104" i="10"/>
  <c r="W109" i="10"/>
  <c r="A161" i="11"/>
  <c r="O109" i="10"/>
  <c r="N109" i="10"/>
  <c r="V109" i="10"/>
  <c r="P113" i="10"/>
  <c r="D117" i="10"/>
  <c r="T120" i="10"/>
  <c r="S121" i="10"/>
  <c r="A179" i="11"/>
  <c r="W127" i="10"/>
  <c r="N127" i="10"/>
  <c r="Q127" i="10"/>
  <c r="P127" i="10"/>
  <c r="O127" i="10"/>
  <c r="A180" i="11"/>
  <c r="Q128" i="10"/>
  <c r="V128" i="10"/>
  <c r="D128" i="10"/>
  <c r="H128" i="10"/>
  <c r="G128" i="10"/>
  <c r="A181" i="11"/>
  <c r="W129" i="10"/>
  <c r="Q129" i="10"/>
  <c r="D129" i="10"/>
  <c r="V129" i="10"/>
  <c r="U129" i="10"/>
  <c r="A183" i="11"/>
  <c r="W131" i="10"/>
  <c r="T131" i="10"/>
  <c r="P131" i="10"/>
  <c r="O131" i="10"/>
  <c r="N131" i="10"/>
  <c r="R135" i="10"/>
  <c r="P136" i="10"/>
  <c r="N138" i="10"/>
  <c r="P140" i="10"/>
  <c r="D145" i="10"/>
  <c r="D146" i="10"/>
  <c r="N147" i="10"/>
  <c r="S151" i="10"/>
  <c r="U152" i="10"/>
  <c r="T153" i="10"/>
  <c r="G162" i="10"/>
  <c r="U168" i="10"/>
  <c r="A226" i="11"/>
  <c r="O174" i="10"/>
  <c r="W174" i="10"/>
  <c r="V174" i="10"/>
  <c r="U174" i="10"/>
  <c r="R174" i="10"/>
  <c r="P174" i="10"/>
  <c r="H174" i="10"/>
  <c r="G174" i="10"/>
  <c r="D174" i="10"/>
  <c r="A228" i="11"/>
  <c r="O176" i="10"/>
  <c r="H176" i="10"/>
  <c r="P176" i="10"/>
  <c r="N176" i="10"/>
  <c r="V176" i="10"/>
  <c r="S176" i="10"/>
  <c r="R176" i="10"/>
  <c r="Q176" i="10"/>
  <c r="G176" i="10"/>
  <c r="V190" i="10"/>
  <c r="A251" i="11"/>
  <c r="U199" i="10"/>
  <c r="D199" i="10"/>
  <c r="R199" i="10"/>
  <c r="V199" i="10"/>
  <c r="S199" i="10"/>
  <c r="P199" i="10"/>
  <c r="O199" i="10"/>
  <c r="N199" i="10"/>
  <c r="H199" i="10"/>
  <c r="W29" i="10"/>
  <c r="A81" i="11"/>
  <c r="V29" i="10"/>
  <c r="T29" i="10"/>
  <c r="A91" i="11"/>
  <c r="W39" i="10"/>
  <c r="N39" i="10"/>
  <c r="G39" i="10"/>
  <c r="U39" i="10"/>
  <c r="O41" i="10"/>
  <c r="A102" i="11"/>
  <c r="Q50" i="10"/>
  <c r="H50" i="10"/>
  <c r="U50" i="10"/>
  <c r="A107" i="11"/>
  <c r="W55" i="10"/>
  <c r="N55" i="10"/>
  <c r="U55" i="10"/>
  <c r="V55" i="10"/>
  <c r="W61" i="10"/>
  <c r="A113" i="11"/>
  <c r="N61" i="10"/>
  <c r="U61" i="10"/>
  <c r="G75" i="10"/>
  <c r="A129" i="11"/>
  <c r="W77" i="10"/>
  <c r="V77" i="10"/>
  <c r="T77" i="10"/>
  <c r="G80" i="10"/>
  <c r="W87" i="10"/>
  <c r="A139" i="11"/>
  <c r="N87" i="10"/>
  <c r="G87" i="10"/>
  <c r="U87" i="10"/>
  <c r="O89" i="10"/>
  <c r="A150" i="11"/>
  <c r="Q98" i="10"/>
  <c r="G98" i="10"/>
  <c r="H98" i="10"/>
  <c r="U98" i="10"/>
  <c r="A155" i="11"/>
  <c r="W103" i="10"/>
  <c r="N103" i="10"/>
  <c r="U103" i="10"/>
  <c r="V103" i="10"/>
  <c r="R113" i="10"/>
  <c r="N117" i="10"/>
  <c r="A171" i="11"/>
  <c r="W119" i="10"/>
  <c r="N119" i="10"/>
  <c r="R119" i="10"/>
  <c r="Q119" i="10"/>
  <c r="V119" i="10"/>
  <c r="T121" i="10"/>
  <c r="S135" i="10"/>
  <c r="R136" i="10"/>
  <c r="S138" i="10"/>
  <c r="R140" i="10"/>
  <c r="T151" i="10"/>
  <c r="V152" i="10"/>
  <c r="A213" i="11"/>
  <c r="U161" i="10"/>
  <c r="D161" i="10"/>
  <c r="V161" i="10"/>
  <c r="N161" i="10"/>
  <c r="W161" i="10"/>
  <c r="H161" i="10"/>
  <c r="A217" i="11"/>
  <c r="U165" i="10"/>
  <c r="D165" i="10"/>
  <c r="O165" i="10"/>
  <c r="H165" i="10"/>
  <c r="V165" i="10"/>
  <c r="P165" i="10"/>
  <c r="G165" i="10"/>
  <c r="V168" i="10"/>
  <c r="A243" i="11"/>
  <c r="U191" i="10"/>
  <c r="D191" i="10"/>
  <c r="R191" i="10"/>
  <c r="N191" i="10"/>
  <c r="H191" i="10"/>
  <c r="V191" i="10"/>
  <c r="W191" i="10"/>
  <c r="T191" i="10"/>
  <c r="S191" i="10"/>
  <c r="Q191" i="10"/>
  <c r="P191" i="10"/>
  <c r="G191" i="10"/>
  <c r="A108" i="11"/>
  <c r="Q56" i="10"/>
  <c r="V56" i="10"/>
  <c r="D56" i="10"/>
  <c r="R56" i="10"/>
  <c r="U56" i="10"/>
  <c r="Q72" i="10"/>
  <c r="V72" i="10"/>
  <c r="D72" i="10"/>
  <c r="A124" i="11"/>
  <c r="H72" i="10"/>
  <c r="U72" i="10"/>
  <c r="A145" i="11"/>
  <c r="W93" i="10"/>
  <c r="R93" i="10"/>
  <c r="U93" i="10"/>
  <c r="Q104" i="10"/>
  <c r="A156" i="11"/>
  <c r="V104" i="10"/>
  <c r="D104" i="10"/>
  <c r="R104" i="10"/>
  <c r="U104" i="10"/>
  <c r="S113" i="10"/>
  <c r="O117" i="10"/>
  <c r="A172" i="11"/>
  <c r="Q120" i="10"/>
  <c r="V120" i="10"/>
  <c r="D120" i="10"/>
  <c r="N120" i="10"/>
  <c r="H120" i="10"/>
  <c r="W120" i="10"/>
  <c r="T135" i="10"/>
  <c r="S136" i="10"/>
  <c r="T138" i="10"/>
  <c r="S140" i="10"/>
  <c r="A206" i="11"/>
  <c r="O154" i="10"/>
  <c r="Q154" i="10"/>
  <c r="W154" i="10"/>
  <c r="D154" i="10"/>
  <c r="V154" i="10"/>
  <c r="H157" i="10"/>
  <c r="A246" i="11"/>
  <c r="O194" i="10"/>
  <c r="Q194" i="10"/>
  <c r="P194" i="10"/>
  <c r="N194" i="10"/>
  <c r="W194" i="10"/>
  <c r="D194" i="10"/>
  <c r="V194" i="10"/>
  <c r="U194" i="10"/>
  <c r="T194" i="10"/>
  <c r="S194" i="10"/>
  <c r="R194" i="10"/>
  <c r="Q40" i="10"/>
  <c r="V40" i="10"/>
  <c r="D40" i="10"/>
  <c r="A92" i="11"/>
  <c r="W40" i="10"/>
  <c r="T40" i="10"/>
  <c r="D55" i="10"/>
  <c r="W56" i="10"/>
  <c r="A119" i="11"/>
  <c r="W67" i="10"/>
  <c r="T67" i="10"/>
  <c r="R67" i="10"/>
  <c r="V67" i="10"/>
  <c r="D71" i="10"/>
  <c r="W72" i="10"/>
  <c r="D82" i="10"/>
  <c r="A135" i="11"/>
  <c r="W83" i="10"/>
  <c r="T83" i="10"/>
  <c r="N83" i="10"/>
  <c r="V83" i="10"/>
  <c r="A140" i="11"/>
  <c r="Q88" i="10"/>
  <c r="V88" i="10"/>
  <c r="D88" i="10"/>
  <c r="W88" i="10"/>
  <c r="T88" i="10"/>
  <c r="V93" i="10"/>
  <c r="D103" i="10"/>
  <c r="W104" i="10"/>
  <c r="D110" i="10"/>
  <c r="A173" i="11"/>
  <c r="W121" i="10"/>
  <c r="Q121" i="10"/>
  <c r="D121" i="10"/>
  <c r="V121" i="10"/>
  <c r="A204" i="11"/>
  <c r="O152" i="10"/>
  <c r="H152" i="10"/>
  <c r="R152" i="10"/>
  <c r="P152" i="10"/>
  <c r="N152" i="10"/>
  <c r="G152" i="10"/>
  <c r="A205" i="11"/>
  <c r="U153" i="10"/>
  <c r="D153" i="10"/>
  <c r="V153" i="10"/>
  <c r="H153" i="10"/>
  <c r="G153" i="10"/>
  <c r="A212" i="11"/>
  <c r="O160" i="10"/>
  <c r="P160" i="10"/>
  <c r="G160" i="10"/>
  <c r="Q160" i="10"/>
  <c r="D160" i="10"/>
  <c r="A231" i="11"/>
  <c r="U179" i="10"/>
  <c r="D179" i="10"/>
  <c r="G179" i="10"/>
  <c r="Q179" i="10"/>
  <c r="P179" i="10"/>
  <c r="H179" i="10"/>
  <c r="W179" i="10"/>
  <c r="V179" i="10"/>
  <c r="T179" i="10"/>
  <c r="S179" i="10"/>
  <c r="R179" i="10"/>
  <c r="O179" i="10"/>
  <c r="M71" i="11"/>
  <c r="L71" i="11"/>
  <c r="O71" i="11"/>
  <c r="P71" i="11"/>
  <c r="Q71" i="11"/>
  <c r="N71" i="11"/>
  <c r="K71" i="11"/>
  <c r="H78" i="11"/>
  <c r="G78" i="11"/>
  <c r="C78" i="11"/>
  <c r="D78" i="11"/>
  <c r="E78" i="11"/>
  <c r="B78" i="11"/>
  <c r="F78" i="11"/>
  <c r="D188" i="9"/>
  <c r="A57" i="11"/>
  <c r="R5" i="10"/>
  <c r="S5" i="10"/>
  <c r="W9" i="10"/>
  <c r="Q9" i="10"/>
  <c r="A61" i="11"/>
  <c r="N9" i="10"/>
  <c r="U9" i="10"/>
  <c r="N17" i="10"/>
  <c r="Q20" i="10"/>
  <c r="O20" i="10"/>
  <c r="A72" i="11"/>
  <c r="N20" i="10"/>
  <c r="U20" i="10"/>
  <c r="W25" i="10"/>
  <c r="Q25" i="10"/>
  <c r="A77" i="11"/>
  <c r="D25" i="10"/>
  <c r="U25" i="10"/>
  <c r="H28" i="10"/>
  <c r="D29" i="10"/>
  <c r="A88" i="11"/>
  <c r="Q36" i="10"/>
  <c r="O36" i="10"/>
  <c r="U36" i="10"/>
  <c r="D39" i="10"/>
  <c r="U40" i="10"/>
  <c r="O43" i="10"/>
  <c r="D50" i="10"/>
  <c r="A103" i="11"/>
  <c r="W51" i="10"/>
  <c r="T51" i="10"/>
  <c r="D51" i="10"/>
  <c r="V51" i="10"/>
  <c r="W57" i="10"/>
  <c r="A109" i="11"/>
  <c r="Q57" i="10"/>
  <c r="N57" i="10"/>
  <c r="U57" i="10"/>
  <c r="G60" i="10"/>
  <c r="D61" i="10"/>
  <c r="N65" i="10"/>
  <c r="A120" i="11"/>
  <c r="Q68" i="10"/>
  <c r="O68" i="10"/>
  <c r="N68" i="10"/>
  <c r="U68" i="10"/>
  <c r="W73" i="10"/>
  <c r="Q73" i="10"/>
  <c r="A125" i="11"/>
  <c r="D73" i="10"/>
  <c r="U73" i="10"/>
  <c r="O75" i="10"/>
  <c r="H76" i="10"/>
  <c r="D77" i="10"/>
  <c r="O80" i="10"/>
  <c r="A136" i="11"/>
  <c r="Q84" i="10"/>
  <c r="O84" i="10"/>
  <c r="U84" i="10"/>
  <c r="D87" i="10"/>
  <c r="U88" i="10"/>
  <c r="O91" i="10"/>
  <c r="D98" i="10"/>
  <c r="A151" i="11"/>
  <c r="W99" i="10"/>
  <c r="T99" i="10"/>
  <c r="D99" i="10"/>
  <c r="V99" i="10"/>
  <c r="W105" i="10"/>
  <c r="A157" i="11"/>
  <c r="Q105" i="10"/>
  <c r="N105" i="10"/>
  <c r="U105" i="10"/>
  <c r="G108" i="10"/>
  <c r="A164" i="11"/>
  <c r="Q112" i="10"/>
  <c r="V112" i="10"/>
  <c r="D112" i="10"/>
  <c r="P112" i="10"/>
  <c r="O112" i="10"/>
  <c r="W112" i="10"/>
  <c r="Q117" i="10"/>
  <c r="D119" i="10"/>
  <c r="D134" i="10"/>
  <c r="N145" i="10"/>
  <c r="R146" i="10"/>
  <c r="R147" i="10"/>
  <c r="H155" i="10"/>
  <c r="S157" i="10"/>
  <c r="O161" i="10"/>
  <c r="T162" i="10"/>
  <c r="A216" i="11"/>
  <c r="O164" i="10"/>
  <c r="T164" i="10"/>
  <c r="Q164" i="10"/>
  <c r="H164" i="10"/>
  <c r="N164" i="10"/>
  <c r="D164" i="10"/>
  <c r="Q165" i="10"/>
  <c r="H189" i="10"/>
  <c r="G189" i="10"/>
  <c r="A93" i="11"/>
  <c r="W41" i="10"/>
  <c r="Q41" i="10"/>
  <c r="S41" i="10"/>
  <c r="U41" i="10"/>
  <c r="D62" i="10"/>
  <c r="D67" i="10"/>
  <c r="Q75" i="10"/>
  <c r="P80" i="10"/>
  <c r="D83" i="10"/>
  <c r="A141" i="11"/>
  <c r="W89" i="10"/>
  <c r="Q89" i="10"/>
  <c r="S89" i="10"/>
  <c r="U89" i="10"/>
  <c r="D93" i="10"/>
  <c r="G110" i="10"/>
  <c r="A165" i="11"/>
  <c r="W113" i="10"/>
  <c r="Q113" i="10"/>
  <c r="H113" i="10"/>
  <c r="G113" i="10"/>
  <c r="V113" i="10"/>
  <c r="R117" i="10"/>
  <c r="A187" i="11"/>
  <c r="W135" i="10"/>
  <c r="N135" i="10"/>
  <c r="O135" i="10"/>
  <c r="H135" i="10"/>
  <c r="G135" i="10"/>
  <c r="A188" i="11"/>
  <c r="Q136" i="10"/>
  <c r="V136" i="10"/>
  <c r="D136" i="10"/>
  <c r="W136" i="10"/>
  <c r="A190" i="11"/>
  <c r="Q138" i="10"/>
  <c r="G138" i="10"/>
  <c r="R138" i="10"/>
  <c r="P138" i="10"/>
  <c r="O138" i="10"/>
  <c r="W138" i="10"/>
  <c r="A192" i="11"/>
  <c r="Q140" i="10"/>
  <c r="O140" i="10"/>
  <c r="W140" i="10"/>
  <c r="D140" i="10"/>
  <c r="V140" i="10"/>
  <c r="O145" i="10"/>
  <c r="S146" i="10"/>
  <c r="A203" i="11"/>
  <c r="U151" i="10"/>
  <c r="D151" i="10"/>
  <c r="R151" i="10"/>
  <c r="V151" i="10"/>
  <c r="Q151" i="10"/>
  <c r="P151" i="10"/>
  <c r="O151" i="10"/>
  <c r="V157" i="10"/>
  <c r="P161" i="10"/>
  <c r="O168" i="10"/>
  <c r="A220" i="11"/>
  <c r="H168" i="10"/>
  <c r="Q168" i="10"/>
  <c r="G168" i="10"/>
  <c r="N168" i="10"/>
  <c r="D168" i="10"/>
  <c r="A252" i="11"/>
  <c r="O200" i="10"/>
  <c r="H200" i="10"/>
  <c r="V200" i="10"/>
  <c r="U200" i="10"/>
  <c r="R200" i="10"/>
  <c r="P200" i="10"/>
  <c r="M62" i="11"/>
  <c r="L62" i="11"/>
  <c r="O62" i="11"/>
  <c r="K62" i="11"/>
  <c r="Q62" i="11"/>
  <c r="Q58" i="11"/>
  <c r="P58" i="11"/>
  <c r="L58" i="11"/>
  <c r="N58" i="11"/>
  <c r="P60" i="11"/>
  <c r="N60" i="11"/>
  <c r="Q60" i="11"/>
  <c r="O60" i="11"/>
  <c r="M60" i="11"/>
  <c r="K60" i="11"/>
  <c r="N62" i="11"/>
  <c r="P137" i="9"/>
  <c r="D137" i="9"/>
  <c r="P146" i="9"/>
  <c r="D146" i="9"/>
  <c r="D155" i="9"/>
  <c r="P164" i="9"/>
  <c r="D164" i="9"/>
  <c r="D173" i="9"/>
  <c r="D182" i="9"/>
  <c r="D191" i="9"/>
  <c r="D200" i="9"/>
  <c r="W11" i="10"/>
  <c r="T11" i="10"/>
  <c r="A63" i="11"/>
  <c r="U11" i="10"/>
  <c r="Q26" i="10"/>
  <c r="G26" i="10"/>
  <c r="T26" i="10"/>
  <c r="W37" i="10"/>
  <c r="A89" i="11"/>
  <c r="T37" i="10"/>
  <c r="A100" i="11"/>
  <c r="Q48" i="10"/>
  <c r="V48" i="10"/>
  <c r="D48" i="10"/>
  <c r="T48" i="10"/>
  <c r="Q52" i="10"/>
  <c r="O52" i="10"/>
  <c r="A104" i="11"/>
  <c r="T52" i="10"/>
  <c r="A111" i="11"/>
  <c r="W59" i="10"/>
  <c r="T59" i="10"/>
  <c r="U59" i="10"/>
  <c r="A126" i="11"/>
  <c r="Q74" i="10"/>
  <c r="G74" i="10"/>
  <c r="T74" i="10"/>
  <c r="A137" i="11"/>
  <c r="W85" i="10"/>
  <c r="T85" i="10"/>
  <c r="A148" i="11"/>
  <c r="Q96" i="10"/>
  <c r="V96" i="10"/>
  <c r="D96" i="10"/>
  <c r="T96" i="10"/>
  <c r="A152" i="11"/>
  <c r="Q100" i="10"/>
  <c r="O100" i="10"/>
  <c r="T100" i="10"/>
  <c r="A159" i="11"/>
  <c r="W107" i="10"/>
  <c r="T107" i="10"/>
  <c r="U107" i="10"/>
  <c r="A174" i="11"/>
  <c r="Q122" i="10"/>
  <c r="G122" i="10"/>
  <c r="T122" i="10"/>
  <c r="R130" i="10"/>
  <c r="W133" i="10"/>
  <c r="A185" i="11"/>
  <c r="T133" i="10"/>
  <c r="R141" i="10"/>
  <c r="A196" i="11"/>
  <c r="Q144" i="10"/>
  <c r="V144" i="10"/>
  <c r="D144" i="10"/>
  <c r="T144" i="10"/>
  <c r="D166" i="10"/>
  <c r="A222" i="11"/>
  <c r="O170" i="10"/>
  <c r="Q170" i="10"/>
  <c r="V170" i="10"/>
  <c r="S170" i="10"/>
  <c r="P170" i="10"/>
  <c r="W170" i="10"/>
  <c r="A225" i="11"/>
  <c r="U173" i="10"/>
  <c r="D173" i="10"/>
  <c r="O173" i="10"/>
  <c r="V173" i="10"/>
  <c r="S173" i="10"/>
  <c r="R181" i="10"/>
  <c r="V183" i="10"/>
  <c r="O186" i="10"/>
  <c r="A238" i="11"/>
  <c r="Q186" i="10"/>
  <c r="S186" i="10"/>
  <c r="R186" i="10"/>
  <c r="H186" i="10"/>
  <c r="A239" i="11"/>
  <c r="U187" i="10"/>
  <c r="D187" i="10"/>
  <c r="G187" i="10"/>
  <c r="O187" i="10"/>
  <c r="N187" i="10"/>
  <c r="V187" i="10"/>
  <c r="R195" i="10"/>
  <c r="A250" i="11"/>
  <c r="O198" i="10"/>
  <c r="W198" i="10"/>
  <c r="P198" i="10"/>
  <c r="N198" i="10"/>
  <c r="V198" i="10"/>
  <c r="M58" i="11"/>
  <c r="A163" i="11"/>
  <c r="W111" i="10"/>
  <c r="N111" i="10"/>
  <c r="T111" i="10"/>
  <c r="A189" i="11"/>
  <c r="W137" i="10"/>
  <c r="Q137" i="10"/>
  <c r="T137" i="10"/>
  <c r="A201" i="11"/>
  <c r="U149" i="10"/>
  <c r="D149" i="10"/>
  <c r="O149" i="10"/>
  <c r="N149" i="10"/>
  <c r="V149" i="10"/>
  <c r="A207" i="11"/>
  <c r="U155" i="10"/>
  <c r="D155" i="10"/>
  <c r="G155" i="10"/>
  <c r="S155" i="10"/>
  <c r="V155" i="10"/>
  <c r="A223" i="11"/>
  <c r="U171" i="10"/>
  <c r="D171" i="10"/>
  <c r="G171" i="10"/>
  <c r="R171" i="10"/>
  <c r="O171" i="10"/>
  <c r="H171" i="10"/>
  <c r="A224" i="11"/>
  <c r="O172" i="10"/>
  <c r="T172" i="10"/>
  <c r="N172" i="10"/>
  <c r="W172" i="10"/>
  <c r="D172" i="10"/>
  <c r="T181" i="10"/>
  <c r="T195" i="10"/>
  <c r="U197" i="10"/>
  <c r="D197" i="10"/>
  <c r="O197" i="10"/>
  <c r="S197" i="10"/>
  <c r="R197" i="10"/>
  <c r="N197" i="10"/>
  <c r="G197" i="10"/>
  <c r="A249" i="11"/>
  <c r="O58" i="11"/>
  <c r="A182" i="11"/>
  <c r="Q130" i="10"/>
  <c r="G130" i="10"/>
  <c r="T130" i="10"/>
  <c r="A193" i="11"/>
  <c r="W141" i="10"/>
  <c r="T141" i="10"/>
  <c r="A237" i="11"/>
  <c r="U185" i="10"/>
  <c r="D185" i="10"/>
  <c r="V185" i="10"/>
  <c r="W185" i="10"/>
  <c r="T185" i="10"/>
  <c r="Q185" i="10"/>
  <c r="O185" i="10"/>
  <c r="G200" i="10"/>
  <c r="A235" i="11"/>
  <c r="U183" i="10"/>
  <c r="D183" i="10"/>
  <c r="R183" i="10"/>
  <c r="P183" i="10"/>
  <c r="O183" i="10"/>
  <c r="G183" i="10"/>
  <c r="A248" i="11"/>
  <c r="O196" i="10"/>
  <c r="T196" i="10"/>
  <c r="W196" i="10"/>
  <c r="D196" i="10"/>
  <c r="V196" i="10"/>
  <c r="R196" i="10"/>
  <c r="P196" i="10"/>
  <c r="N200" i="10"/>
  <c r="P72" i="11"/>
  <c r="N72" i="11"/>
  <c r="M72" i="11"/>
  <c r="L72" i="11"/>
  <c r="K72" i="11"/>
  <c r="M74" i="11"/>
  <c r="L74" i="11"/>
  <c r="O74" i="11"/>
  <c r="K74" i="11"/>
  <c r="Q74" i="11"/>
  <c r="P74" i="11"/>
  <c r="N74" i="11"/>
  <c r="A233" i="11"/>
  <c r="U181" i="10"/>
  <c r="D181" i="10"/>
  <c r="O181" i="10"/>
  <c r="W181" i="10"/>
  <c r="S181" i="10"/>
  <c r="Q181" i="10"/>
  <c r="Q200" i="10"/>
  <c r="Q61" i="11"/>
  <c r="P61" i="11"/>
  <c r="L61" i="11"/>
  <c r="N61" i="11"/>
  <c r="O61" i="11"/>
  <c r="K61" i="11"/>
  <c r="O72" i="11"/>
  <c r="A247" i="11"/>
  <c r="U195" i="10"/>
  <c r="D195" i="10"/>
  <c r="G195" i="10"/>
  <c r="H195" i="10"/>
  <c r="V195" i="10"/>
  <c r="S195" i="10"/>
  <c r="S200" i="10"/>
  <c r="P57" i="11"/>
  <c r="N57" i="11"/>
  <c r="O57" i="11"/>
  <c r="Q57" i="11"/>
  <c r="L57" i="11"/>
  <c r="M61" i="11"/>
  <c r="Q72" i="11"/>
  <c r="P75" i="11"/>
  <c r="N75" i="11"/>
  <c r="O75" i="11"/>
  <c r="M75" i="11"/>
  <c r="Q79" i="11"/>
  <c r="P79" i="11"/>
  <c r="L79" i="11"/>
  <c r="N79" i="11"/>
  <c r="P89" i="11"/>
  <c r="N89" i="11"/>
  <c r="Q122" i="11"/>
  <c r="M122" i="11"/>
  <c r="K122" i="11"/>
  <c r="P122" i="11"/>
  <c r="N122" i="11"/>
  <c r="O135" i="11"/>
  <c r="P135" i="11"/>
  <c r="Q135" i="11"/>
  <c r="N135" i="11"/>
  <c r="M135" i="11"/>
  <c r="K135" i="11"/>
  <c r="K172" i="11"/>
  <c r="Q172" i="11"/>
  <c r="P172" i="11"/>
  <c r="M172" i="11"/>
  <c r="O172" i="11"/>
  <c r="L172" i="11"/>
  <c r="N105" i="11"/>
  <c r="Q105" i="11"/>
  <c r="O153" i="11"/>
  <c r="P153" i="11"/>
  <c r="Q153" i="11"/>
  <c r="N153" i="11"/>
  <c r="M153" i="11"/>
  <c r="L153" i="11"/>
  <c r="K153" i="11"/>
  <c r="N172" i="11"/>
  <c r="Q70" i="11"/>
  <c r="P70" i="11"/>
  <c r="L70" i="11"/>
  <c r="N70" i="11"/>
  <c r="P78" i="11"/>
  <c r="N78" i="11"/>
  <c r="M79" i="11"/>
  <c r="L89" i="11"/>
  <c r="N93" i="11"/>
  <c r="Q93" i="11"/>
  <c r="O93" i="11"/>
  <c r="L93" i="11"/>
  <c r="K105" i="11"/>
  <c r="K166" i="11"/>
  <c r="Q166" i="11"/>
  <c r="P166" i="11"/>
  <c r="N166" i="11"/>
  <c r="O166" i="11"/>
  <c r="M166" i="11"/>
  <c r="L166" i="11"/>
  <c r="M89" i="11"/>
  <c r="K93" i="11"/>
  <c r="P101" i="11"/>
  <c r="Q101" i="11"/>
  <c r="L105" i="11"/>
  <c r="A210" i="11"/>
  <c r="O158" i="10"/>
  <c r="W158" i="10"/>
  <c r="T158" i="10"/>
  <c r="O163" i="10"/>
  <c r="N167" i="10"/>
  <c r="A221" i="11"/>
  <c r="U169" i="10"/>
  <c r="D169" i="10"/>
  <c r="V169" i="10"/>
  <c r="S169" i="10"/>
  <c r="H178" i="10"/>
  <c r="A232" i="11"/>
  <c r="O180" i="10"/>
  <c r="T180" i="10"/>
  <c r="U180" i="10"/>
  <c r="H182" i="10"/>
  <c r="A236" i="11"/>
  <c r="O184" i="10"/>
  <c r="H184" i="10"/>
  <c r="T184" i="10"/>
  <c r="N189" i="10"/>
  <c r="H193" i="10"/>
  <c r="M65" i="11"/>
  <c r="L65" i="11"/>
  <c r="O65" i="11"/>
  <c r="P69" i="11"/>
  <c r="N69" i="11"/>
  <c r="O69" i="11"/>
  <c r="M70" i="11"/>
  <c r="L78" i="11"/>
  <c r="Q86" i="11"/>
  <c r="M86" i="11"/>
  <c r="K86" i="11"/>
  <c r="O89" i="11"/>
  <c r="M93" i="11"/>
  <c r="K101" i="11"/>
  <c r="M105" i="11"/>
  <c r="N108" i="11"/>
  <c r="L108" i="11"/>
  <c r="K108" i="11"/>
  <c r="O108" i="11"/>
  <c r="O70" i="11"/>
  <c r="Q73" i="11"/>
  <c r="P73" i="11"/>
  <c r="L73" i="11"/>
  <c r="N73" i="11"/>
  <c r="M78" i="11"/>
  <c r="Q89" i="11"/>
  <c r="P93" i="11"/>
  <c r="O105" i="11"/>
  <c r="L128" i="11"/>
  <c r="K128" i="11"/>
  <c r="Q128" i="11"/>
  <c r="N128" i="11"/>
  <c r="M128" i="11"/>
  <c r="K136" i="11"/>
  <c r="M136" i="11"/>
  <c r="P136" i="11"/>
  <c r="O136" i="11"/>
  <c r="N136" i="11"/>
  <c r="L136" i="11"/>
  <c r="Q136" i="11"/>
  <c r="O147" i="11"/>
  <c r="Q147" i="11"/>
  <c r="N147" i="11"/>
  <c r="P147" i="11"/>
  <c r="M147" i="11"/>
  <c r="L147" i="11"/>
  <c r="K147" i="11"/>
  <c r="S14" i="10"/>
  <c r="S22" i="10"/>
  <c r="S30" i="10"/>
  <c r="A90" i="11"/>
  <c r="Q38" i="10"/>
  <c r="S38" i="10"/>
  <c r="S46" i="10"/>
  <c r="A106" i="11"/>
  <c r="Q54" i="10"/>
  <c r="S54" i="10"/>
  <c r="A114" i="11"/>
  <c r="Q62" i="10"/>
  <c r="S62" i="10"/>
  <c r="S70" i="10"/>
  <c r="A130" i="11"/>
  <c r="Q78" i="10"/>
  <c r="S78" i="10"/>
  <c r="A138" i="11"/>
  <c r="Q86" i="10"/>
  <c r="S86" i="10"/>
  <c r="S94" i="10"/>
  <c r="A154" i="11"/>
  <c r="Q102" i="10"/>
  <c r="S102" i="10"/>
  <c r="A162" i="11"/>
  <c r="Q110" i="10"/>
  <c r="S110" i="10"/>
  <c r="A170" i="11"/>
  <c r="Q118" i="10"/>
  <c r="S118" i="10"/>
  <c r="A178" i="11"/>
  <c r="Q126" i="10"/>
  <c r="S126" i="10"/>
  <c r="A186" i="11"/>
  <c r="Q134" i="10"/>
  <c r="S134" i="10"/>
  <c r="A194" i="11"/>
  <c r="Q142" i="10"/>
  <c r="S142" i="10"/>
  <c r="V158" i="10"/>
  <c r="A218" i="11"/>
  <c r="O166" i="10"/>
  <c r="W166" i="10"/>
  <c r="T166" i="10"/>
  <c r="W169" i="10"/>
  <c r="A229" i="11"/>
  <c r="U177" i="10"/>
  <c r="D177" i="10"/>
  <c r="V177" i="10"/>
  <c r="S177" i="10"/>
  <c r="D180" i="10"/>
  <c r="W180" i="10"/>
  <c r="V184" i="10"/>
  <c r="A240" i="11"/>
  <c r="O188" i="10"/>
  <c r="T188" i="10"/>
  <c r="U188" i="10"/>
  <c r="A244" i="11"/>
  <c r="O192" i="10"/>
  <c r="H192" i="10"/>
  <c r="T192" i="10"/>
  <c r="M56" i="11"/>
  <c r="L56" i="11"/>
  <c r="O56" i="11"/>
  <c r="K56" i="11"/>
  <c r="N65" i="11"/>
  <c r="L69" i="11"/>
  <c r="K73" i="11"/>
  <c r="M77" i="11"/>
  <c r="L77" i="11"/>
  <c r="O77" i="11"/>
  <c r="O78" i="11"/>
  <c r="N81" i="11"/>
  <c r="Q81" i="11"/>
  <c r="O81" i="11"/>
  <c r="P81" i="11"/>
  <c r="N86" i="11"/>
  <c r="L92" i="11"/>
  <c r="K92" i="11"/>
  <c r="N92" i="11"/>
  <c r="A98" i="11"/>
  <c r="M101" i="11"/>
  <c r="P105" i="11"/>
  <c r="P108" i="11"/>
  <c r="N114" i="11"/>
  <c r="M114" i="11"/>
  <c r="K114" i="11"/>
  <c r="L114" i="11"/>
  <c r="Q114" i="11"/>
  <c r="O114" i="11"/>
  <c r="O128" i="11"/>
  <c r="N101" i="11"/>
  <c r="N120" i="11"/>
  <c r="L120" i="11"/>
  <c r="K120" i="11"/>
  <c r="Q120" i="11"/>
  <c r="O120" i="11"/>
  <c r="P128" i="11"/>
  <c r="M221" i="11"/>
  <c r="L221" i="11"/>
  <c r="P221" i="11"/>
  <c r="Q221" i="11"/>
  <c r="K221" i="11"/>
  <c r="O221" i="11"/>
  <c r="N221" i="11"/>
  <c r="L55" i="11"/>
  <c r="N55" i="11"/>
  <c r="P55" i="11" s="1"/>
  <c r="M68" i="11"/>
  <c r="L68" i="11"/>
  <c r="O68" i="11"/>
  <c r="K68" i="11"/>
  <c r="O73" i="11"/>
  <c r="O101" i="11"/>
  <c r="L104" i="11"/>
  <c r="K104" i="11"/>
  <c r="P104" i="11"/>
  <c r="O104" i="11"/>
  <c r="M104" i="11"/>
  <c r="Q134" i="11"/>
  <c r="P134" i="11"/>
  <c r="O134" i="11"/>
  <c r="M134" i="11"/>
  <c r="K134" i="11"/>
  <c r="L134" i="11"/>
  <c r="F146" i="11"/>
  <c r="H146" i="11"/>
  <c r="D146" i="11"/>
  <c r="B146" i="11"/>
  <c r="C146" i="11"/>
  <c r="A215" i="11"/>
  <c r="U163" i="10"/>
  <c r="D163" i="10"/>
  <c r="G163" i="10"/>
  <c r="T163" i="10"/>
  <c r="A219" i="11"/>
  <c r="U167" i="10"/>
  <c r="D167" i="10"/>
  <c r="R167" i="10"/>
  <c r="T167" i="10"/>
  <c r="O178" i="10"/>
  <c r="A230" i="11"/>
  <c r="Q178" i="10"/>
  <c r="T178" i="10"/>
  <c r="A241" i="11"/>
  <c r="U189" i="10"/>
  <c r="D189" i="10"/>
  <c r="O189" i="10"/>
  <c r="T189" i="10"/>
  <c r="K55" i="11"/>
  <c r="M59" i="11"/>
  <c r="L59" i="11"/>
  <c r="O59" i="11"/>
  <c r="P63" i="11"/>
  <c r="N63" i="11"/>
  <c r="O63" i="11"/>
  <c r="H66" i="11"/>
  <c r="G66" i="11"/>
  <c r="C66" i="11"/>
  <c r="D66" i="11"/>
  <c r="E66" i="11"/>
  <c r="N68" i="11"/>
  <c r="G74" i="11"/>
  <c r="D74" i="11"/>
  <c r="Q76" i="11"/>
  <c r="P76" i="11"/>
  <c r="L76" i="11"/>
  <c r="N76" i="11"/>
  <c r="N90" i="11"/>
  <c r="M90" i="11"/>
  <c r="P90" i="11"/>
  <c r="N104" i="11"/>
  <c r="E122" i="11"/>
  <c r="D122" i="11"/>
  <c r="C122" i="11"/>
  <c r="H122" i="11"/>
  <c r="G122" i="11"/>
  <c r="L185" i="11"/>
  <c r="Q185" i="11"/>
  <c r="P185" i="11"/>
  <c r="O185" i="11"/>
  <c r="N185" i="11"/>
  <c r="M185" i="11"/>
  <c r="K185" i="11"/>
  <c r="U178" i="10"/>
  <c r="A234" i="11"/>
  <c r="O182" i="10"/>
  <c r="W182" i="10"/>
  <c r="T182" i="10"/>
  <c r="V189" i="10"/>
  <c r="A245" i="11"/>
  <c r="U193" i="10"/>
  <c r="D193" i="10"/>
  <c r="V193" i="10"/>
  <c r="S193" i="10"/>
  <c r="N54" i="11"/>
  <c r="M55" i="11"/>
  <c r="Q55" i="11" s="1"/>
  <c r="K59" i="11"/>
  <c r="K63" i="11"/>
  <c r="B66" i="11"/>
  <c r="Q67" i="11"/>
  <c r="P67" i="11"/>
  <c r="L67" i="11"/>
  <c r="N67" i="11"/>
  <c r="P68" i="11"/>
  <c r="B74" i="11"/>
  <c r="K76" i="11"/>
  <c r="M80" i="11"/>
  <c r="L80" i="11"/>
  <c r="O80" i="11"/>
  <c r="K80" i="11"/>
  <c r="A82" i="11"/>
  <c r="K90" i="11"/>
  <c r="Q98" i="11"/>
  <c r="M98" i="11"/>
  <c r="K98" i="11"/>
  <c r="O98" i="11"/>
  <c r="Q104" i="11"/>
  <c r="Q110" i="11"/>
  <c r="M110" i="11"/>
  <c r="N110" i="11"/>
  <c r="K110" i="11"/>
  <c r="P110" i="11"/>
  <c r="P113" i="11"/>
  <c r="Q113" i="11"/>
  <c r="O113" i="11"/>
  <c r="K113" i="11"/>
  <c r="B122" i="11"/>
  <c r="O165" i="11"/>
  <c r="K165" i="11"/>
  <c r="Q165" i="11"/>
  <c r="N165" i="11"/>
  <c r="L90" i="11"/>
  <c r="F122" i="11"/>
  <c r="O141" i="11"/>
  <c r="K141" i="11"/>
  <c r="Q141" i="11"/>
  <c r="N141" i="11"/>
  <c r="L141" i="11"/>
  <c r="P141" i="11"/>
  <c r="M141" i="11"/>
  <c r="N117" i="11"/>
  <c r="Q117" i="11"/>
  <c r="O117" i="11"/>
  <c r="M117" i="11"/>
  <c r="N102" i="11"/>
  <c r="M102" i="11"/>
  <c r="L117" i="11"/>
  <c r="K148" i="11"/>
  <c r="Q148" i="11"/>
  <c r="P148" i="11"/>
  <c r="O148" i="11"/>
  <c r="M148" i="11"/>
  <c r="L116" i="11"/>
  <c r="K116" i="11"/>
  <c r="Q116" i="11"/>
  <c r="K139" i="11"/>
  <c r="Q139" i="11"/>
  <c r="O139" i="11"/>
  <c r="O168" i="11"/>
  <c r="P168" i="11"/>
  <c r="K168" i="11"/>
  <c r="Q168" i="11"/>
  <c r="M168" i="11"/>
  <c r="P178" i="11"/>
  <c r="K178" i="11"/>
  <c r="N178" i="11"/>
  <c r="Q178" i="11"/>
  <c r="M178" i="11"/>
  <c r="O186" i="11"/>
  <c r="P186" i="11"/>
  <c r="Q186" i="11"/>
  <c r="N186" i="11"/>
  <c r="L186" i="11"/>
  <c r="K186" i="11"/>
  <c r="N84" i="11"/>
  <c r="L84" i="11"/>
  <c r="K84" i="11"/>
  <c r="N116" i="11"/>
  <c r="N129" i="11"/>
  <c r="Q129" i="11"/>
  <c r="O129" i="11"/>
  <c r="M139" i="11"/>
  <c r="O144" i="11"/>
  <c r="P144" i="11"/>
  <c r="N144" i="11"/>
  <c r="M144" i="11"/>
  <c r="L144" i="11"/>
  <c r="K144" i="11"/>
  <c r="N149" i="11"/>
  <c r="Q149" i="11"/>
  <c r="P149" i="11"/>
  <c r="O149" i="11"/>
  <c r="M149" i="11"/>
  <c r="K149" i="11"/>
  <c r="N168" i="11"/>
  <c r="O178" i="11"/>
  <c r="P187" i="11"/>
  <c r="K187" i="11"/>
  <c r="N187" i="11"/>
  <c r="Q187" i="11"/>
  <c r="O187" i="11"/>
  <c r="P210" i="11"/>
  <c r="K210" i="11"/>
  <c r="Q210" i="11"/>
  <c r="O210" i="11"/>
  <c r="L210" i="11"/>
  <c r="N210" i="11"/>
  <c r="M210" i="11"/>
  <c r="M230" i="11"/>
  <c r="L230" i="11"/>
  <c r="P230" i="11"/>
  <c r="Q230" i="11"/>
  <c r="N230" i="11"/>
  <c r="O230" i="11"/>
  <c r="K230" i="11"/>
  <c r="D253" i="11"/>
  <c r="C253" i="11"/>
  <c r="H253" i="11"/>
  <c r="F253" i="11"/>
  <c r="G253" i="11"/>
  <c r="B253" i="11"/>
  <c r="E253" i="11"/>
  <c r="P181" i="11"/>
  <c r="K181" i="11"/>
  <c r="O181" i="11"/>
  <c r="N181" i="11"/>
  <c r="M181" i="11"/>
  <c r="Q181" i="11"/>
  <c r="L181" i="11"/>
  <c r="P207" i="11"/>
  <c r="N207" i="11"/>
  <c r="Q207" i="11"/>
  <c r="L207" i="11"/>
  <c r="O207" i="11"/>
  <c r="M207" i="11"/>
  <c r="K207" i="11"/>
  <c r="L211" i="11"/>
  <c r="P211" i="11"/>
  <c r="Q211" i="11"/>
  <c r="O211" i="11"/>
  <c r="K211" i="11"/>
  <c r="M203" i="11"/>
  <c r="Q203" i="11"/>
  <c r="P203" i="11"/>
  <c r="O203" i="11"/>
  <c r="L203" i="11"/>
  <c r="K203" i="11"/>
  <c r="M211" i="11"/>
  <c r="K169" i="11"/>
  <c r="M169" i="11"/>
  <c r="Q169" i="11"/>
  <c r="P169" i="11"/>
  <c r="N169" i="11"/>
  <c r="L199" i="11"/>
  <c r="Q199" i="11"/>
  <c r="K199" i="11"/>
  <c r="P199" i="11"/>
  <c r="O199" i="11"/>
  <c r="N199" i="11"/>
  <c r="M199" i="11"/>
  <c r="Q250" i="11"/>
  <c r="P250" i="11"/>
  <c r="L250" i="11"/>
  <c r="O250" i="11"/>
  <c r="N250" i="11"/>
  <c r="K250" i="11"/>
  <c r="N126" i="11"/>
  <c r="M126" i="11"/>
  <c r="K126" i="11"/>
  <c r="N167" i="11"/>
  <c r="Q167" i="11"/>
  <c r="P167" i="11"/>
  <c r="M167" i="11"/>
  <c r="L169" i="11"/>
  <c r="O171" i="11"/>
  <c r="P171" i="11"/>
  <c r="Q171" i="11"/>
  <c r="M171" i="11"/>
  <c r="L182" i="11"/>
  <c r="N182" i="11"/>
  <c r="M182" i="11"/>
  <c r="K182" i="11"/>
  <c r="P182" i="11"/>
  <c r="O182" i="11"/>
  <c r="L208" i="11"/>
  <c r="Q208" i="11"/>
  <c r="K208" i="11"/>
  <c r="P208" i="11"/>
  <c r="M208" i="11"/>
  <c r="O208" i="11"/>
  <c r="N208" i="11"/>
  <c r="Q214" i="11"/>
  <c r="P214" i="11"/>
  <c r="L214" i="11"/>
  <c r="O214" i="11"/>
  <c r="K214" i="11"/>
  <c r="N214" i="11"/>
  <c r="M250" i="11"/>
  <c r="N96" i="11"/>
  <c r="L96" i="11"/>
  <c r="K96" i="11"/>
  <c r="P125" i="11"/>
  <c r="N125" i="11"/>
  <c r="L126" i="11"/>
  <c r="N140" i="11"/>
  <c r="P140" i="11"/>
  <c r="M140" i="11"/>
  <c r="P143" i="11"/>
  <c r="O143" i="11"/>
  <c r="N143" i="11"/>
  <c r="M143" i="11"/>
  <c r="K143" i="11"/>
  <c r="K167" i="11"/>
  <c r="O169" i="11"/>
  <c r="K171" i="11"/>
  <c r="Q182" i="11"/>
  <c r="M214" i="11"/>
  <c r="M251" i="11"/>
  <c r="L251" i="11"/>
  <c r="P251" i="11"/>
  <c r="O251" i="11"/>
  <c r="Q251" i="11"/>
  <c r="N251" i="11"/>
  <c r="K251" i="11"/>
  <c r="L190" i="11"/>
  <c r="Q190" i="11"/>
  <c r="K190" i="11"/>
  <c r="P190" i="11"/>
  <c r="O190" i="11"/>
  <c r="N190" i="11"/>
  <c r="M194" i="11"/>
  <c r="O194" i="11"/>
  <c r="N194" i="11"/>
  <c r="L194" i="11"/>
  <c r="O150" i="11"/>
  <c r="P150" i="11"/>
  <c r="K150" i="11"/>
  <c r="K151" i="11"/>
  <c r="M151" i="11"/>
  <c r="O177" i="11"/>
  <c r="P177" i="11"/>
  <c r="M190" i="11"/>
  <c r="K194" i="11"/>
  <c r="Q223" i="11"/>
  <c r="P223" i="11"/>
  <c r="L223" i="11"/>
  <c r="O223" i="11"/>
  <c r="M223" i="11"/>
  <c r="Q238" i="11"/>
  <c r="P238" i="11"/>
  <c r="L238" i="11"/>
  <c r="O238" i="11"/>
  <c r="N238" i="11"/>
  <c r="M245" i="11"/>
  <c r="L245" i="11"/>
  <c r="P245" i="11"/>
  <c r="O245" i="11"/>
  <c r="Q245" i="11"/>
  <c r="N245" i="11"/>
  <c r="K245" i="11"/>
  <c r="M142" i="11"/>
  <c r="M150" i="11"/>
  <c r="N151" i="11"/>
  <c r="K154" i="11"/>
  <c r="Q154" i="11"/>
  <c r="M154" i="11"/>
  <c r="L177" i="11"/>
  <c r="O189" i="11"/>
  <c r="Q189" i="11"/>
  <c r="P189" i="11"/>
  <c r="N189" i="11"/>
  <c r="K189" i="11"/>
  <c r="Q194" i="11"/>
  <c r="L202" i="11"/>
  <c r="P202" i="11"/>
  <c r="N223" i="11"/>
  <c r="M238" i="11"/>
  <c r="Q247" i="11"/>
  <c r="P247" i="11"/>
  <c r="L247" i="11"/>
  <c r="O247" i="11"/>
  <c r="N247" i="11"/>
  <c r="K247" i="11"/>
  <c r="L176" i="11"/>
  <c r="Q176" i="11"/>
  <c r="L193" i="11"/>
  <c r="P193" i="11"/>
  <c r="O193" i="11"/>
  <c r="N193" i="11"/>
  <c r="M193" i="11"/>
  <c r="M212" i="11"/>
  <c r="Q212" i="11"/>
  <c r="P212" i="11"/>
  <c r="O212" i="11"/>
  <c r="K212" i="11"/>
  <c r="M215" i="11"/>
  <c r="L215" i="11"/>
  <c r="P215" i="11"/>
  <c r="O215" i="11"/>
  <c r="K215" i="11"/>
  <c r="M227" i="11"/>
  <c r="L227" i="11"/>
  <c r="P227" i="11"/>
  <c r="Q227" i="11"/>
  <c r="O227" i="11"/>
  <c r="N227" i="11"/>
  <c r="O156" i="11"/>
  <c r="K156" i="11"/>
  <c r="K157" i="11"/>
  <c r="Q157" i="11"/>
  <c r="K176" i="11"/>
  <c r="O180" i="11"/>
  <c r="Q180" i="11"/>
  <c r="P180" i="11"/>
  <c r="N180" i="11"/>
  <c r="K180" i="11"/>
  <c r="K193" i="11"/>
  <c r="L212" i="11"/>
  <c r="N215" i="11"/>
  <c r="Q217" i="11"/>
  <c r="P217" i="11"/>
  <c r="L217" i="11"/>
  <c r="O217" i="11"/>
  <c r="Q220" i="11"/>
  <c r="P220" i="11"/>
  <c r="L220" i="11"/>
  <c r="O220" i="11"/>
  <c r="N220" i="11"/>
  <c r="M220" i="11"/>
  <c r="K227" i="11"/>
  <c r="K145" i="11"/>
  <c r="M145" i="11"/>
  <c r="O159" i="11"/>
  <c r="P159" i="11"/>
  <c r="K159" i="11"/>
  <c r="K160" i="11"/>
  <c r="M160" i="11"/>
  <c r="M176" i="11"/>
  <c r="L188" i="11"/>
  <c r="Q188" i="11"/>
  <c r="P188" i="11"/>
  <c r="M188" i="11"/>
  <c r="Q193" i="11"/>
  <c r="N212" i="11"/>
  <c r="Q215" i="11"/>
  <c r="M224" i="11"/>
  <c r="L224" i="11"/>
  <c r="P224" i="11"/>
  <c r="Q224" i="11"/>
  <c r="M242" i="11"/>
  <c r="L242" i="11"/>
  <c r="P242" i="11"/>
  <c r="O242" i="11"/>
  <c r="Q242" i="11"/>
  <c r="K242" i="11"/>
  <c r="K132" i="11"/>
  <c r="Q142" i="11"/>
  <c r="L145" i="11"/>
  <c r="M156" i="11"/>
  <c r="M157" i="11"/>
  <c r="L158" i="11"/>
  <c r="L159" i="11"/>
  <c r="L160" i="11"/>
  <c r="O162" i="11"/>
  <c r="P162" i="11"/>
  <c r="N176" i="11"/>
  <c r="M180" i="11"/>
  <c r="K188" i="11"/>
  <c r="P201" i="11"/>
  <c r="K201" i="11"/>
  <c r="L205" i="11"/>
  <c r="M205" i="11"/>
  <c r="O205" i="11"/>
  <c r="M217" i="11"/>
  <c r="K224" i="11"/>
  <c r="N242" i="11"/>
  <c r="L132" i="11"/>
  <c r="N145" i="11"/>
  <c r="N156" i="11"/>
  <c r="N157" i="11"/>
  <c r="M158" i="11"/>
  <c r="M159" i="11"/>
  <c r="N160" i="11"/>
  <c r="K163" i="11"/>
  <c r="Q163" i="11"/>
  <c r="M163" i="11"/>
  <c r="O176" i="11"/>
  <c r="L179" i="11"/>
  <c r="Q179" i="11"/>
  <c r="P179" i="11"/>
  <c r="M179" i="11"/>
  <c r="N188" i="11"/>
  <c r="P192" i="11"/>
  <c r="K192" i="11"/>
  <c r="O192" i="11"/>
  <c r="N192" i="11"/>
  <c r="M192" i="11"/>
  <c r="L201" i="11"/>
  <c r="K205" i="11"/>
  <c r="N217" i="11"/>
  <c r="N224" i="11"/>
  <c r="Q229" i="11"/>
  <c r="P229" i="11"/>
  <c r="L229" i="11"/>
  <c r="O229" i="11"/>
  <c r="M236" i="11"/>
  <c r="L236" i="11"/>
  <c r="P236" i="11"/>
  <c r="L209" i="11"/>
  <c r="M229" i="11"/>
  <c r="Q235" i="11"/>
  <c r="P235" i="11"/>
  <c r="L235" i="11"/>
  <c r="O235" i="11"/>
  <c r="N236" i="11"/>
  <c r="Q241" i="11"/>
  <c r="P241" i="11"/>
  <c r="L241" i="11"/>
  <c r="O241" i="11"/>
  <c r="N241" i="11"/>
  <c r="P209" i="11"/>
  <c r="Q226" i="11"/>
  <c r="P226" i="11"/>
  <c r="L226" i="11"/>
  <c r="O226" i="11"/>
  <c r="M233" i="11"/>
  <c r="L233" i="11"/>
  <c r="P233" i="11"/>
  <c r="K174" i="11"/>
  <c r="K183" i="11"/>
  <c r="L196" i="11"/>
  <c r="M196" i="11"/>
  <c r="Q209" i="11"/>
  <c r="M218" i="11"/>
  <c r="L218" i="11"/>
  <c r="P218" i="11"/>
  <c r="K226" i="11"/>
  <c r="K233" i="11"/>
  <c r="M239" i="11"/>
  <c r="L239" i="11"/>
  <c r="P239" i="11"/>
  <c r="O239" i="11"/>
  <c r="L174" i="11"/>
  <c r="P175" i="11"/>
  <c r="K175" i="11"/>
  <c r="L183" i="11"/>
  <c r="P184" i="11"/>
  <c r="K184" i="11"/>
  <c r="P198" i="11"/>
  <c r="N198" i="11"/>
  <c r="M226" i="11"/>
  <c r="Q232" i="11"/>
  <c r="P232" i="11"/>
  <c r="L232" i="11"/>
  <c r="O232" i="11"/>
  <c r="N233" i="11"/>
  <c r="Q244" i="11"/>
  <c r="P244" i="11"/>
  <c r="L244" i="11"/>
  <c r="O244" i="11"/>
  <c r="N244" i="11"/>
  <c r="M248" i="11"/>
  <c r="L248" i="11"/>
  <c r="P248" i="11"/>
  <c r="O248" i="11"/>
  <c r="O213" i="11"/>
  <c r="O216" i="11"/>
  <c r="O219" i="11"/>
  <c r="O222" i="11"/>
  <c r="O225" i="11"/>
  <c r="O228" i="11"/>
  <c r="O231" i="11"/>
  <c r="O234" i="11"/>
  <c r="O237" i="11"/>
  <c r="O240" i="11"/>
  <c r="O243" i="11"/>
  <c r="O246" i="11"/>
  <c r="O249" i="11"/>
  <c r="O252" i="11"/>
  <c r="L253" i="11"/>
  <c r="P253" i="11"/>
  <c r="V4" i="10" l="1"/>
  <c r="AL4" i="4"/>
  <c r="L5" i="9"/>
  <c r="M163" i="4"/>
  <c r="N163" i="4" s="1"/>
  <c r="O59" i="4"/>
  <c r="O23" i="4"/>
  <c r="Q23" i="4"/>
  <c r="Q30" i="4"/>
  <c r="AB38" i="4"/>
  <c r="AC38" i="4" s="1"/>
  <c r="G16" i="9"/>
  <c r="K58" i="8"/>
  <c r="K73" i="6"/>
  <c r="K100" i="8"/>
  <c r="M100" i="4"/>
  <c r="S186" i="8"/>
  <c r="O106" i="4"/>
  <c r="AB41" i="4"/>
  <c r="AC41" i="4" s="1"/>
  <c r="AB39" i="4"/>
  <c r="AC39" i="4" s="1"/>
  <c r="S16" i="8"/>
  <c r="O16" i="4"/>
  <c r="Q9" i="4"/>
  <c r="F33" i="11"/>
  <c r="P161" i="9"/>
  <c r="AB159" i="4"/>
  <c r="AC159" i="4" s="1"/>
  <c r="K152" i="8"/>
  <c r="M152" i="4"/>
  <c r="O64" i="8"/>
  <c r="P163" i="9"/>
  <c r="O179" i="8"/>
  <c r="K107" i="8"/>
  <c r="F107" i="4" s="1"/>
  <c r="E33" i="11"/>
  <c r="Q172" i="4"/>
  <c r="P74" i="9"/>
  <c r="P89" i="9"/>
  <c r="P181" i="9"/>
  <c r="G57" i="9"/>
  <c r="G141" i="9"/>
  <c r="G93" i="9"/>
  <c r="AB133" i="4"/>
  <c r="AC133" i="4" s="1"/>
  <c r="Q192" i="4"/>
  <c r="O174" i="4"/>
  <c r="M174" i="4"/>
  <c r="O174" i="8"/>
  <c r="K23" i="8"/>
  <c r="M23" i="4"/>
  <c r="Q158" i="4"/>
  <c r="S11" i="8"/>
  <c r="G9" i="9"/>
  <c r="Q19" i="4"/>
  <c r="P143" i="9"/>
  <c r="P75" i="9"/>
  <c r="N148" i="4"/>
  <c r="G73" i="9"/>
  <c r="G70" i="9"/>
  <c r="G142" i="9"/>
  <c r="G24" i="9"/>
  <c r="D11" i="11"/>
  <c r="M38" i="4"/>
  <c r="O10" i="4"/>
  <c r="AB94" i="4"/>
  <c r="AC94" i="4" s="1"/>
  <c r="Q173" i="4"/>
  <c r="AB23" i="4"/>
  <c r="AC23" i="4" s="1"/>
  <c r="AB195" i="4"/>
  <c r="AC195" i="4" s="1"/>
  <c r="AB158" i="4"/>
  <c r="AC158" i="4" s="1"/>
  <c r="M63" i="4"/>
  <c r="N63" i="4" s="1"/>
  <c r="O68" i="4"/>
  <c r="M19" i="4"/>
  <c r="N19" i="4" s="1"/>
  <c r="K148" i="8"/>
  <c r="AB172" i="4"/>
  <c r="AC172" i="4" s="1"/>
  <c r="M79" i="4"/>
  <c r="Q200" i="4"/>
  <c r="AB178" i="4"/>
  <c r="AC178" i="4" s="1"/>
  <c r="K97" i="6"/>
  <c r="O166" i="8"/>
  <c r="W168" i="8"/>
  <c r="L168" i="4" s="1"/>
  <c r="AB62" i="4"/>
  <c r="AC62" i="4" s="1"/>
  <c r="AB179" i="4"/>
  <c r="AC179" i="4" s="1"/>
  <c r="P49" i="9"/>
  <c r="O164" i="4"/>
  <c r="K134" i="8"/>
  <c r="O35" i="4"/>
  <c r="M36" i="4"/>
  <c r="K79" i="6"/>
  <c r="AB26" i="4"/>
  <c r="AC26" i="4" s="1"/>
  <c r="AB100" i="4"/>
  <c r="AC100" i="4" s="1"/>
  <c r="O21" i="8"/>
  <c r="O21" i="4"/>
  <c r="Q181" i="4"/>
  <c r="W6" i="8"/>
  <c r="L6" i="4" s="1"/>
  <c r="N64" i="4"/>
  <c r="S144" i="8"/>
  <c r="Q144" i="4"/>
  <c r="O144" i="4"/>
  <c r="Q195" i="4"/>
  <c r="O195" i="4"/>
  <c r="S38" i="8"/>
  <c r="Q38" i="4"/>
  <c r="K120" i="8"/>
  <c r="AB120" i="4"/>
  <c r="AC120" i="4" s="1"/>
  <c r="M120" i="4"/>
  <c r="N120" i="4" s="1"/>
  <c r="K61" i="8"/>
  <c r="P112" i="9"/>
  <c r="P167" i="9"/>
  <c r="P162" i="9"/>
  <c r="AB156" i="4"/>
  <c r="AC156" i="4" s="1"/>
  <c r="O106" i="8"/>
  <c r="K163" i="8"/>
  <c r="F163" i="4" s="1"/>
  <c r="F48" i="4"/>
  <c r="G144" i="9"/>
  <c r="O39" i="8"/>
  <c r="F70" i="4"/>
  <c r="S85" i="8"/>
  <c r="P13" i="9"/>
  <c r="M17" i="4"/>
  <c r="N17" i="4" s="1"/>
  <c r="F6" i="4"/>
  <c r="Q34" i="4"/>
  <c r="F172" i="4"/>
  <c r="S25" i="8"/>
  <c r="P174" i="9"/>
  <c r="O184" i="8"/>
  <c r="O184" i="4"/>
  <c r="M184" i="4"/>
  <c r="N184" i="4" s="1"/>
  <c r="K171" i="8"/>
  <c r="F171" i="4" s="1"/>
  <c r="M171" i="4"/>
  <c r="S170" i="8"/>
  <c r="Q170" i="4"/>
  <c r="K133" i="8"/>
  <c r="F133" i="4" s="1"/>
  <c r="M133" i="4"/>
  <c r="N133" i="4" s="1"/>
  <c r="O187" i="4"/>
  <c r="M7" i="4"/>
  <c r="K7" i="8"/>
  <c r="Q153" i="4"/>
  <c r="M136" i="4"/>
  <c r="N136" i="4" s="1"/>
  <c r="S125" i="8"/>
  <c r="O159" i="8"/>
  <c r="O159" i="4"/>
  <c r="S37" i="8"/>
  <c r="Q37" i="4"/>
  <c r="O5" i="4"/>
  <c r="M5" i="4"/>
  <c r="S145" i="8"/>
  <c r="Q145" i="4"/>
  <c r="K93" i="6"/>
  <c r="AB148" i="4"/>
  <c r="AC148" i="4" s="1"/>
  <c r="AB48" i="4"/>
  <c r="AC48" i="4" s="1"/>
  <c r="AB112" i="4"/>
  <c r="AC112" i="4" s="1"/>
  <c r="P91" i="9"/>
  <c r="Q40" i="4"/>
  <c r="AB146" i="4"/>
  <c r="AC146" i="4" s="1"/>
  <c r="O122" i="4"/>
  <c r="G22" i="9"/>
  <c r="M69" i="4"/>
  <c r="N69" i="4" s="1"/>
  <c r="Q91" i="4"/>
  <c r="F68" i="4"/>
  <c r="F130" i="4"/>
  <c r="F110" i="4"/>
  <c r="F89" i="4"/>
  <c r="P166" i="9"/>
  <c r="N113" i="4"/>
  <c r="AB85" i="4"/>
  <c r="AC85" i="4" s="1"/>
  <c r="S50" i="8"/>
  <c r="F77" i="4"/>
  <c r="Q97" i="4"/>
  <c r="K19" i="8"/>
  <c r="F19" i="4" s="1"/>
  <c r="N195" i="4"/>
  <c r="K28" i="6"/>
  <c r="M93" i="4"/>
  <c r="AB93" i="4"/>
  <c r="AC93" i="4" s="1"/>
  <c r="O190" i="8"/>
  <c r="O190" i="4"/>
  <c r="AB128" i="4"/>
  <c r="AC128" i="4" s="1"/>
  <c r="M128" i="4"/>
  <c r="N128" i="4" s="1"/>
  <c r="M177" i="4"/>
  <c r="S148" i="8"/>
  <c r="Q148" i="4"/>
  <c r="S5" i="8"/>
  <c r="O122" i="8"/>
  <c r="O76" i="4"/>
  <c r="O34" i="4"/>
  <c r="M80" i="4"/>
  <c r="N80" i="4" s="1"/>
  <c r="F52" i="4"/>
  <c r="K17" i="8"/>
  <c r="F17" i="4" s="1"/>
  <c r="L4" i="9"/>
  <c r="AB91" i="4"/>
  <c r="AC91" i="4" s="1"/>
  <c r="O36" i="4"/>
  <c r="G100" i="9"/>
  <c r="O68" i="8"/>
  <c r="G113" i="9"/>
  <c r="G196" i="9"/>
  <c r="K90" i="6"/>
  <c r="K31" i="6"/>
  <c r="K86" i="6"/>
  <c r="W189" i="8"/>
  <c r="L189" i="4" s="1"/>
  <c r="Q189" i="4"/>
  <c r="Q198" i="4"/>
  <c r="O198" i="4"/>
  <c r="S198" i="8"/>
  <c r="O171" i="8"/>
  <c r="O171" i="4"/>
  <c r="K196" i="8"/>
  <c r="M196" i="4"/>
  <c r="Q190" i="4"/>
  <c r="M159" i="4"/>
  <c r="M58" i="4"/>
  <c r="Q20" i="4"/>
  <c r="Q156" i="4"/>
  <c r="O117" i="4"/>
  <c r="S119" i="8"/>
  <c r="M185" i="4"/>
  <c r="N185" i="4" s="1"/>
  <c r="AB92" i="4"/>
  <c r="AC92" i="4" s="1"/>
  <c r="Q76" i="4"/>
  <c r="S156" i="8"/>
  <c r="AB135" i="4"/>
  <c r="AC135" i="4" s="1"/>
  <c r="AB143" i="4"/>
  <c r="AC143" i="4" s="1"/>
  <c r="S40" i="8"/>
  <c r="O181" i="4"/>
  <c r="F132" i="4"/>
  <c r="F28" i="4"/>
  <c r="F96" i="4"/>
  <c r="O165" i="4"/>
  <c r="S147" i="8"/>
  <c r="Q154" i="4"/>
  <c r="Q146" i="4"/>
  <c r="O32" i="4"/>
  <c r="K91" i="8"/>
  <c r="F91" i="4" s="1"/>
  <c r="AB126" i="4"/>
  <c r="AC126" i="4" s="1"/>
  <c r="S30" i="8"/>
  <c r="O97" i="4"/>
  <c r="P53" i="9"/>
  <c r="P65" i="9"/>
  <c r="P115" i="9"/>
  <c r="P108" i="9"/>
  <c r="P125" i="9"/>
  <c r="P156" i="9"/>
  <c r="G41" i="9"/>
  <c r="G88" i="9"/>
  <c r="G47" i="9"/>
  <c r="G129" i="9"/>
  <c r="G138" i="9"/>
  <c r="G103" i="9"/>
  <c r="K100" i="6"/>
  <c r="AB187" i="4"/>
  <c r="AC187" i="4" s="1"/>
  <c r="S10" i="8"/>
  <c r="Q10" i="4"/>
  <c r="K26" i="8"/>
  <c r="M26" i="4"/>
  <c r="M132" i="4"/>
  <c r="N132" i="4" s="1"/>
  <c r="Q82" i="4"/>
  <c r="AB88" i="4"/>
  <c r="AC88" i="4" s="1"/>
  <c r="G173" i="9"/>
  <c r="O7" i="6"/>
  <c r="K52" i="6"/>
  <c r="K83" i="8"/>
  <c r="F83" i="4" s="1"/>
  <c r="M83" i="4"/>
  <c r="AB83" i="4"/>
  <c r="AC83" i="4" s="1"/>
  <c r="M24" i="4"/>
  <c r="O24" i="4"/>
  <c r="S192" i="8"/>
  <c r="O167" i="8"/>
  <c r="O167" i="4"/>
  <c r="F147" i="4"/>
  <c r="F37" i="4"/>
  <c r="F81" i="4"/>
  <c r="N36" i="4"/>
  <c r="N91" i="4"/>
  <c r="E146" i="11"/>
  <c r="F157" i="4"/>
  <c r="G167" i="9"/>
  <c r="P68" i="9"/>
  <c r="F199" i="4"/>
  <c r="P106" i="9"/>
  <c r="N179" i="4"/>
  <c r="Q165" i="4"/>
  <c r="F16" i="4"/>
  <c r="M39" i="4"/>
  <c r="N39" i="4" s="1"/>
  <c r="F10" i="4"/>
  <c r="F22" i="4"/>
  <c r="Q123" i="4"/>
  <c r="N79" i="4"/>
  <c r="N109" i="4"/>
  <c r="K30" i="6"/>
  <c r="K198" i="8"/>
  <c r="M198" i="4"/>
  <c r="O170" i="4"/>
  <c r="M170" i="4"/>
  <c r="K145" i="8"/>
  <c r="F145" i="4" s="1"/>
  <c r="M145" i="4"/>
  <c r="K142" i="8"/>
  <c r="M142" i="4"/>
  <c r="N142" i="4" s="1"/>
  <c r="K35" i="8"/>
  <c r="F125" i="4"/>
  <c r="AB14" i="4"/>
  <c r="AC14" i="4" s="1"/>
  <c r="M49" i="4"/>
  <c r="N49" i="4" s="1"/>
  <c r="G164" i="9"/>
  <c r="K67" i="6"/>
  <c r="S176" i="8"/>
  <c r="Q176" i="4"/>
  <c r="K121" i="8"/>
  <c r="K20" i="8"/>
  <c r="M20" i="4"/>
  <c r="N20" i="4" s="1"/>
  <c r="AB20" i="4"/>
  <c r="AC20" i="4" s="1"/>
  <c r="AB132" i="4"/>
  <c r="AC132" i="4" s="1"/>
  <c r="O38" i="4"/>
  <c r="AB51" i="4"/>
  <c r="AC51" i="4" s="1"/>
  <c r="M166" i="4"/>
  <c r="AB145" i="4"/>
  <c r="AC145" i="4" s="1"/>
  <c r="W142" i="8"/>
  <c r="L142" i="4" s="1"/>
  <c r="Q142" i="4"/>
  <c r="K178" i="8"/>
  <c r="M178" i="4"/>
  <c r="N178" i="4" s="1"/>
  <c r="AB108" i="4"/>
  <c r="AC108" i="4" s="1"/>
  <c r="M108" i="4"/>
  <c r="AB61" i="4"/>
  <c r="AC61" i="4" s="1"/>
  <c r="AB35" i="4"/>
  <c r="AC35" i="4" s="1"/>
  <c r="P54" i="11"/>
  <c r="G66" i="9"/>
  <c r="P187" i="9"/>
  <c r="F128" i="4"/>
  <c r="F71" i="4"/>
  <c r="O85" i="4"/>
  <c r="O126" i="4"/>
  <c r="W22" i="8"/>
  <c r="L22" i="4" s="1"/>
  <c r="F30" i="4"/>
  <c r="F15" i="4"/>
  <c r="AB198" i="4"/>
  <c r="AC198" i="4" s="1"/>
  <c r="AB96" i="4"/>
  <c r="AC96" i="4" s="1"/>
  <c r="M96" i="4"/>
  <c r="N96" i="4" s="1"/>
  <c r="AB121" i="4"/>
  <c r="AC121" i="4" s="1"/>
  <c r="O31" i="8"/>
  <c r="M31" i="4"/>
  <c r="N31" i="4" s="1"/>
  <c r="Q167" i="4"/>
  <c r="G3" i="8"/>
  <c r="AD3" i="4"/>
  <c r="AB3" i="4"/>
  <c r="AC3" i="4" s="1"/>
  <c r="I3" i="8"/>
  <c r="N3" i="10"/>
  <c r="B3" i="10"/>
  <c r="I2" i="8"/>
  <c r="AB2" i="4"/>
  <c r="AC2" i="4" s="1"/>
  <c r="AD2" i="4"/>
  <c r="G2" i="8"/>
  <c r="B2" i="10"/>
  <c r="N2" i="10"/>
  <c r="T3" i="10"/>
  <c r="F3" i="4"/>
  <c r="AJ3" i="4"/>
  <c r="F4" i="9"/>
  <c r="G4" i="9" s="1"/>
  <c r="P12" i="9"/>
  <c r="G185" i="9"/>
  <c r="G62" i="9"/>
  <c r="G175" i="9"/>
  <c r="O186" i="4"/>
  <c r="M186" i="4"/>
  <c r="N186" i="4" s="1"/>
  <c r="Q53" i="4"/>
  <c r="O53" i="4"/>
  <c r="O60" i="4"/>
  <c r="Q60" i="4"/>
  <c r="Q183" i="4"/>
  <c r="O183" i="4"/>
  <c r="S183" i="8"/>
  <c r="AB129" i="4"/>
  <c r="AC129" i="4" s="1"/>
  <c r="M129" i="4"/>
  <c r="N129" i="4" s="1"/>
  <c r="O105" i="8"/>
  <c r="O105" i="4"/>
  <c r="M105" i="4"/>
  <c r="N105" i="4" s="1"/>
  <c r="S102" i="8"/>
  <c r="Q102" i="4"/>
  <c r="M165" i="4"/>
  <c r="N165" i="4" s="1"/>
  <c r="AB56" i="4"/>
  <c r="AC56" i="4" s="1"/>
  <c r="Q71" i="4"/>
  <c r="O71" i="4"/>
  <c r="O146" i="4"/>
  <c r="O146" i="8"/>
  <c r="O92" i="8"/>
  <c r="O92" i="4"/>
  <c r="M122" i="4"/>
  <c r="N122" i="4" s="1"/>
  <c r="K122" i="8"/>
  <c r="F122" i="4" s="1"/>
  <c r="M115" i="4"/>
  <c r="N115" i="4" s="1"/>
  <c r="K115" i="8"/>
  <c r="F115" i="4" s="1"/>
  <c r="Q46" i="4"/>
  <c r="S46" i="8"/>
  <c r="O125" i="4"/>
  <c r="O125" i="8"/>
  <c r="O99" i="4"/>
  <c r="O99" i="8"/>
  <c r="M8" i="4"/>
  <c r="N8" i="4" s="1"/>
  <c r="K8" i="8"/>
  <c r="F8" i="4" s="1"/>
  <c r="M97" i="4"/>
  <c r="N97" i="4" s="1"/>
  <c r="F74" i="6"/>
  <c r="K74" i="6" s="1"/>
  <c r="K91" i="6"/>
  <c r="F88" i="6"/>
  <c r="K88" i="6" s="1"/>
  <c r="B15" i="11"/>
  <c r="E10" i="11"/>
  <c r="F10" i="11" s="1"/>
  <c r="P43" i="9"/>
  <c r="F198" i="5"/>
  <c r="F188" i="5"/>
  <c r="F200" i="5"/>
  <c r="F197" i="5"/>
  <c r="F181" i="5"/>
  <c r="F174" i="5"/>
  <c r="F164" i="5"/>
  <c r="F160" i="5"/>
  <c r="F156" i="5"/>
  <c r="F152" i="5"/>
  <c r="F148" i="5"/>
  <c r="F144" i="5"/>
  <c r="F140" i="5"/>
  <c r="F136" i="5"/>
  <c r="F132" i="5"/>
  <c r="F128" i="5"/>
  <c r="F124" i="5"/>
  <c r="F120" i="5"/>
  <c r="F116" i="5"/>
  <c r="F112" i="5"/>
  <c r="F108" i="5"/>
  <c r="F104" i="5"/>
  <c r="F100" i="5"/>
  <c r="F96" i="5"/>
  <c r="F92" i="5"/>
  <c r="F88" i="5"/>
  <c r="F84" i="5"/>
  <c r="F80" i="5"/>
  <c r="F76" i="5"/>
  <c r="F72" i="5"/>
  <c r="F68" i="5"/>
  <c r="F64" i="5"/>
  <c r="F60" i="5"/>
  <c r="F56" i="5"/>
  <c r="F52" i="5"/>
  <c r="F48" i="5"/>
  <c r="F44" i="5"/>
  <c r="F40" i="5"/>
  <c r="F36" i="5"/>
  <c r="F32" i="5"/>
  <c r="F28" i="5"/>
  <c r="F24" i="5"/>
  <c r="F20" i="5"/>
  <c r="F16" i="5"/>
  <c r="F12" i="5"/>
  <c r="F8" i="5"/>
  <c r="F185" i="5"/>
  <c r="F178" i="5"/>
  <c r="F168" i="5"/>
  <c r="F187" i="5"/>
  <c r="F176" i="5"/>
  <c r="F190" i="5"/>
  <c r="F179" i="5"/>
  <c r="F153" i="5"/>
  <c r="F141" i="5"/>
  <c r="F129" i="5"/>
  <c r="F117" i="5"/>
  <c r="F105" i="5"/>
  <c r="F93" i="5"/>
  <c r="F81" i="5"/>
  <c r="F69" i="5"/>
  <c r="F57" i="5"/>
  <c r="F45" i="5"/>
  <c r="F33" i="5"/>
  <c r="F21" i="5"/>
  <c r="F9" i="5"/>
  <c r="F193" i="5"/>
  <c r="F182" i="5"/>
  <c r="F171" i="5"/>
  <c r="F165" i="5"/>
  <c r="F162" i="5"/>
  <c r="F159" i="5"/>
  <c r="F150" i="5"/>
  <c r="F147" i="5"/>
  <c r="F138" i="5"/>
  <c r="F135" i="5"/>
  <c r="F126" i="5"/>
  <c r="F123" i="5"/>
  <c r="F114" i="5"/>
  <c r="F111" i="5"/>
  <c r="F102" i="5"/>
  <c r="F99" i="5"/>
  <c r="F90" i="5"/>
  <c r="F87" i="5"/>
  <c r="F78" i="5"/>
  <c r="F75" i="5"/>
  <c r="F66" i="5"/>
  <c r="F63" i="5"/>
  <c r="F54" i="5"/>
  <c r="F51" i="5"/>
  <c r="F42" i="5"/>
  <c r="F39" i="5"/>
  <c r="F30" i="5"/>
  <c r="F27" i="5"/>
  <c r="F18" i="5"/>
  <c r="F15" i="5"/>
  <c r="F191" i="5"/>
  <c r="F177" i="5"/>
  <c r="F3" i="5"/>
  <c r="F194" i="5"/>
  <c r="F172" i="5"/>
  <c r="F163" i="5"/>
  <c r="F154" i="5"/>
  <c r="F151" i="5"/>
  <c r="F142" i="5"/>
  <c r="F139" i="5"/>
  <c r="F130" i="5"/>
  <c r="F127" i="5"/>
  <c r="F118" i="5"/>
  <c r="F115" i="5"/>
  <c r="F106" i="5"/>
  <c r="F103" i="5"/>
  <c r="F94" i="5"/>
  <c r="F91" i="5"/>
  <c r="F82" i="5"/>
  <c r="F79" i="5"/>
  <c r="F70" i="5"/>
  <c r="F67" i="5"/>
  <c r="F58" i="5"/>
  <c r="F55" i="5"/>
  <c r="F46" i="5"/>
  <c r="F43" i="5"/>
  <c r="F34" i="5"/>
  <c r="F31" i="5"/>
  <c r="F183" i="5"/>
  <c r="F175" i="5"/>
  <c r="F169" i="5"/>
  <c r="F166" i="5"/>
  <c r="F192" i="5"/>
  <c r="F189" i="5"/>
  <c r="F186" i="5"/>
  <c r="F161" i="5"/>
  <c r="F149" i="5"/>
  <c r="F137" i="5"/>
  <c r="F125" i="5"/>
  <c r="F113" i="5"/>
  <c r="F101" i="5"/>
  <c r="F89" i="5"/>
  <c r="F77" i="5"/>
  <c r="F65" i="5"/>
  <c r="F53" i="5"/>
  <c r="F41" i="5"/>
  <c r="F29" i="5"/>
  <c r="F17" i="5"/>
  <c r="F157" i="5"/>
  <c r="F121" i="5"/>
  <c r="F85" i="5"/>
  <c r="F49" i="5"/>
  <c r="F47" i="5"/>
  <c r="F22" i="5"/>
  <c r="F2" i="5"/>
  <c r="F199" i="5"/>
  <c r="F180" i="5"/>
  <c r="F6" i="5"/>
  <c r="F173" i="5"/>
  <c r="F134" i="5"/>
  <c r="F98" i="5"/>
  <c r="F62" i="5"/>
  <c r="F38" i="5"/>
  <c r="F14" i="5"/>
  <c r="F143" i="5"/>
  <c r="F107" i="5"/>
  <c r="F71" i="5"/>
  <c r="F7" i="5"/>
  <c r="F145" i="5"/>
  <c r="F109" i="5"/>
  <c r="F73" i="5"/>
  <c r="F25" i="5"/>
  <c r="F196" i="5"/>
  <c r="F184" i="5"/>
  <c r="F23" i="5"/>
  <c r="F170" i="5"/>
  <c r="F158" i="5"/>
  <c r="F122" i="5"/>
  <c r="F86" i="5"/>
  <c r="F50" i="5"/>
  <c r="F10" i="5"/>
  <c r="F131" i="5"/>
  <c r="F95" i="5"/>
  <c r="F59" i="5"/>
  <c r="F19" i="5"/>
  <c r="F4" i="5"/>
  <c r="F167" i="5"/>
  <c r="F133" i="5"/>
  <c r="F97" i="5"/>
  <c r="F61" i="5"/>
  <c r="F37" i="5"/>
  <c r="F35" i="5"/>
  <c r="F13" i="5"/>
  <c r="F146" i="5"/>
  <c r="F110" i="5"/>
  <c r="F74" i="5"/>
  <c r="F5" i="5"/>
  <c r="F11" i="5"/>
  <c r="F26" i="5"/>
  <c r="F195" i="5"/>
  <c r="F155" i="5"/>
  <c r="F119" i="5"/>
  <c r="F83" i="5"/>
  <c r="F76" i="6"/>
  <c r="K76" i="6" s="1"/>
  <c r="G143" i="9"/>
  <c r="G114" i="9"/>
  <c r="G74" i="9"/>
  <c r="G112" i="9"/>
  <c r="G165" i="9"/>
  <c r="G199" i="9"/>
  <c r="S65" i="8"/>
  <c r="Q65" i="4"/>
  <c r="O65" i="4"/>
  <c r="K168" i="8"/>
  <c r="F168" i="4" s="1"/>
  <c r="M168" i="4"/>
  <c r="N168" i="4" s="1"/>
  <c r="S7" i="8"/>
  <c r="Q7" i="4"/>
  <c r="O7" i="4"/>
  <c r="S124" i="8"/>
  <c r="O13" i="8"/>
  <c r="O13" i="4"/>
  <c r="M13" i="4"/>
  <c r="N13" i="4" s="1"/>
  <c r="O22" i="8"/>
  <c r="O22" i="4"/>
  <c r="H109" i="11"/>
  <c r="G109" i="11"/>
  <c r="C109" i="11"/>
  <c r="D109" i="11"/>
  <c r="B109" i="11"/>
  <c r="F109" i="11"/>
  <c r="E109" i="11"/>
  <c r="G183" i="11"/>
  <c r="B183" i="11"/>
  <c r="E183" i="11"/>
  <c r="H183" i="11"/>
  <c r="F183" i="11"/>
  <c r="D183" i="11"/>
  <c r="C183" i="11"/>
  <c r="Q177" i="4"/>
  <c r="O177" i="4"/>
  <c r="S160" i="8"/>
  <c r="Q160" i="4"/>
  <c r="F84" i="11"/>
  <c r="H84" i="11"/>
  <c r="G84" i="11"/>
  <c r="D84" i="11"/>
  <c r="C84" i="11"/>
  <c r="B84" i="11"/>
  <c r="E84" i="11"/>
  <c r="O200" i="8"/>
  <c r="O200" i="4"/>
  <c r="O192" i="8"/>
  <c r="O192" i="4"/>
  <c r="M34" i="4"/>
  <c r="N34" i="4" s="1"/>
  <c r="K34" i="8"/>
  <c r="F34" i="4" s="1"/>
  <c r="F167" i="11"/>
  <c r="D167" i="11"/>
  <c r="G167" i="11"/>
  <c r="E167" i="11"/>
  <c r="C167" i="11"/>
  <c r="B167" i="11"/>
  <c r="H167" i="11"/>
  <c r="S161" i="8"/>
  <c r="Q161" i="4"/>
  <c r="O161" i="4"/>
  <c r="K181" i="8"/>
  <c r="F181" i="4" s="1"/>
  <c r="M181" i="4"/>
  <c r="N181" i="4" s="1"/>
  <c r="Q141" i="4"/>
  <c r="S193" i="8"/>
  <c r="Q193" i="4"/>
  <c r="O193" i="4"/>
  <c r="S135" i="8"/>
  <c r="O135" i="4"/>
  <c r="Q135" i="4"/>
  <c r="Q73" i="4"/>
  <c r="O73" i="4"/>
  <c r="O88" i="4"/>
  <c r="O88" i="8"/>
  <c r="G221" i="11"/>
  <c r="H221" i="11"/>
  <c r="F221" i="11"/>
  <c r="C221" i="11"/>
  <c r="B221" i="11"/>
  <c r="E221" i="11"/>
  <c r="D221" i="11"/>
  <c r="D235" i="11"/>
  <c r="C235" i="11"/>
  <c r="H235" i="11"/>
  <c r="F235" i="11"/>
  <c r="E235" i="11"/>
  <c r="B235" i="11"/>
  <c r="G235" i="11"/>
  <c r="H222" i="11"/>
  <c r="G222" i="11"/>
  <c r="C222" i="11"/>
  <c r="B222" i="11"/>
  <c r="F222" i="11"/>
  <c r="E222" i="11"/>
  <c r="D222" i="11"/>
  <c r="C192" i="11"/>
  <c r="E192" i="11"/>
  <c r="H192" i="11"/>
  <c r="G192" i="11"/>
  <c r="F192" i="11"/>
  <c r="D192" i="11"/>
  <c r="B192" i="11"/>
  <c r="G206" i="11"/>
  <c r="C206" i="11"/>
  <c r="D206" i="11"/>
  <c r="B206" i="11"/>
  <c r="F206" i="11"/>
  <c r="E206" i="11"/>
  <c r="H206" i="11"/>
  <c r="C172" i="11"/>
  <c r="B172" i="11"/>
  <c r="G172" i="11"/>
  <c r="F172" i="11"/>
  <c r="E172" i="11"/>
  <c r="D172" i="11"/>
  <c r="H172" i="11"/>
  <c r="C139" i="11"/>
  <c r="H139" i="11"/>
  <c r="G139" i="11"/>
  <c r="F139" i="11"/>
  <c r="E139" i="11"/>
  <c r="B139" i="11"/>
  <c r="D139" i="11"/>
  <c r="E113" i="11"/>
  <c r="H113" i="11"/>
  <c r="G113" i="11"/>
  <c r="B113" i="11"/>
  <c r="F113" i="11"/>
  <c r="D113" i="11"/>
  <c r="C113" i="11"/>
  <c r="E102" i="11"/>
  <c r="D102" i="11"/>
  <c r="H102" i="11"/>
  <c r="G102" i="11"/>
  <c r="C102" i="11"/>
  <c r="F102" i="11"/>
  <c r="B102" i="11"/>
  <c r="G71" i="11"/>
  <c r="D71" i="11"/>
  <c r="B71" i="11"/>
  <c r="H71" i="11"/>
  <c r="F71" i="11"/>
  <c r="E71" i="11"/>
  <c r="C71" i="11"/>
  <c r="H60" i="11"/>
  <c r="G60" i="11"/>
  <c r="C60" i="11"/>
  <c r="D60" i="11"/>
  <c r="E60" i="11"/>
  <c r="F60" i="11"/>
  <c r="B60" i="11"/>
  <c r="G142" i="11"/>
  <c r="C142" i="11"/>
  <c r="B142" i="11"/>
  <c r="E142" i="11"/>
  <c r="D142" i="11"/>
  <c r="H142" i="11"/>
  <c r="F142" i="11"/>
  <c r="G59" i="11"/>
  <c r="D59" i="11"/>
  <c r="B59" i="11"/>
  <c r="H59" i="11"/>
  <c r="E59" i="11"/>
  <c r="F59" i="11"/>
  <c r="C59" i="11"/>
  <c r="S182" i="8"/>
  <c r="Q182" i="4"/>
  <c r="S139" i="8"/>
  <c r="E110" i="11"/>
  <c r="D110" i="11"/>
  <c r="C110" i="11"/>
  <c r="B110" i="11"/>
  <c r="H110" i="11"/>
  <c r="G110" i="11"/>
  <c r="F110" i="11"/>
  <c r="K156" i="8"/>
  <c r="F156" i="4" s="1"/>
  <c r="M156" i="4"/>
  <c r="N156" i="4" s="1"/>
  <c r="AB163" i="4"/>
  <c r="AC163" i="4" s="1"/>
  <c r="Q150" i="4"/>
  <c r="O150" i="4"/>
  <c r="K124" i="8"/>
  <c r="F124" i="4" s="1"/>
  <c r="AB124" i="4"/>
  <c r="AC124" i="4" s="1"/>
  <c r="M124" i="4"/>
  <c r="N124" i="4" s="1"/>
  <c r="O102" i="8"/>
  <c r="O102" i="4"/>
  <c r="O98" i="8"/>
  <c r="O98" i="4"/>
  <c r="M98" i="4"/>
  <c r="N98" i="4" s="1"/>
  <c r="K53" i="8"/>
  <c r="F53" i="4" s="1"/>
  <c r="M53" i="4"/>
  <c r="N53" i="4" s="1"/>
  <c r="AB53" i="4"/>
  <c r="AC53" i="4" s="1"/>
  <c r="S73" i="8"/>
  <c r="O70" i="8"/>
  <c r="O70" i="4"/>
  <c r="M70" i="4"/>
  <c r="N70" i="4" s="1"/>
  <c r="Q56" i="4"/>
  <c r="K41" i="8"/>
  <c r="F41" i="4" s="1"/>
  <c r="M41" i="4"/>
  <c r="N41" i="4" s="1"/>
  <c r="O40" i="4"/>
  <c r="M40" i="4"/>
  <c r="N40" i="4" s="1"/>
  <c r="W16" i="8"/>
  <c r="L16" i="4" s="1"/>
  <c r="Q16" i="4"/>
  <c r="S154" i="8"/>
  <c r="Q122" i="4"/>
  <c r="AB32" i="4"/>
  <c r="AC32" i="4" s="1"/>
  <c r="M32" i="4"/>
  <c r="N32" i="4" s="1"/>
  <c r="K32" i="8"/>
  <c r="F32" i="4" s="1"/>
  <c r="O50" i="4"/>
  <c r="O126" i="8"/>
  <c r="L2" i="4"/>
  <c r="AM2" i="4"/>
  <c r="O3" i="9"/>
  <c r="Q80" i="4"/>
  <c r="S80" i="8"/>
  <c r="M29" i="4"/>
  <c r="N29" i="4" s="1"/>
  <c r="K29" i="8"/>
  <c r="F29" i="4" s="1"/>
  <c r="AB123" i="4"/>
  <c r="AC123" i="4" s="1"/>
  <c r="Q15" i="4"/>
  <c r="S15" i="8"/>
  <c r="K14" i="6"/>
  <c r="G194" i="11"/>
  <c r="D194" i="11"/>
  <c r="H194" i="11"/>
  <c r="B194" i="11"/>
  <c r="E194" i="11"/>
  <c r="F194" i="11"/>
  <c r="C194" i="11"/>
  <c r="C201" i="11"/>
  <c r="E201" i="11"/>
  <c r="H201" i="11"/>
  <c r="G201" i="11"/>
  <c r="F201" i="11"/>
  <c r="D201" i="11"/>
  <c r="B201" i="11"/>
  <c r="B111" i="11"/>
  <c r="E111" i="11"/>
  <c r="D111" i="11"/>
  <c r="F111" i="11"/>
  <c r="H111" i="11"/>
  <c r="G111" i="11"/>
  <c r="C111" i="11"/>
  <c r="G77" i="11"/>
  <c r="D77" i="11"/>
  <c r="B77" i="11"/>
  <c r="H77" i="11"/>
  <c r="F77" i="11"/>
  <c r="C77" i="11"/>
  <c r="E77" i="11"/>
  <c r="Q39" i="4"/>
  <c r="W39" i="8"/>
  <c r="L39" i="4" s="1"/>
  <c r="D229" i="11"/>
  <c r="C229" i="11"/>
  <c r="H229" i="11"/>
  <c r="G229" i="11"/>
  <c r="F229" i="11"/>
  <c r="E229" i="11"/>
  <c r="B229" i="11"/>
  <c r="E104" i="11"/>
  <c r="F104" i="11"/>
  <c r="D104" i="11"/>
  <c r="C104" i="11"/>
  <c r="H104" i="11"/>
  <c r="G104" i="11"/>
  <c r="B104" i="11"/>
  <c r="G227" i="11"/>
  <c r="H227" i="11"/>
  <c r="F227" i="11"/>
  <c r="D227" i="11"/>
  <c r="E227" i="11"/>
  <c r="B227" i="11"/>
  <c r="C227" i="11"/>
  <c r="G68" i="11"/>
  <c r="D68" i="11"/>
  <c r="F68" i="11"/>
  <c r="E68" i="11"/>
  <c r="C68" i="11"/>
  <c r="B68" i="11"/>
  <c r="H68" i="11"/>
  <c r="D58" i="11"/>
  <c r="C58" i="11"/>
  <c r="E58" i="11"/>
  <c r="G58" i="11"/>
  <c r="F58" i="11"/>
  <c r="B58" i="11"/>
  <c r="H58" i="11"/>
  <c r="K194" i="8"/>
  <c r="F194" i="4" s="1"/>
  <c r="M194" i="4"/>
  <c r="N194" i="4" s="1"/>
  <c r="K66" i="8"/>
  <c r="F66" i="4" s="1"/>
  <c r="M66" i="4"/>
  <c r="N66" i="4" s="1"/>
  <c r="AB66" i="4"/>
  <c r="AC66" i="4" s="1"/>
  <c r="O114" i="4"/>
  <c r="M114" i="4"/>
  <c r="N114" i="4" s="1"/>
  <c r="K116" i="8"/>
  <c r="F116" i="4" s="1"/>
  <c r="AB116" i="4"/>
  <c r="AC116" i="4" s="1"/>
  <c r="M116" i="4"/>
  <c r="N116" i="4" s="1"/>
  <c r="F164" i="11"/>
  <c r="H164" i="11"/>
  <c r="G164" i="11"/>
  <c r="E164" i="11"/>
  <c r="D164" i="11"/>
  <c r="C164" i="11"/>
  <c r="B164" i="11"/>
  <c r="G209" i="11"/>
  <c r="H209" i="11"/>
  <c r="B209" i="11"/>
  <c r="F209" i="11"/>
  <c r="E209" i="11"/>
  <c r="D209" i="11"/>
  <c r="C209" i="11"/>
  <c r="H105" i="11"/>
  <c r="G105" i="11"/>
  <c r="C105" i="11"/>
  <c r="F105" i="11"/>
  <c r="E105" i="11"/>
  <c r="B105" i="11"/>
  <c r="D105" i="11"/>
  <c r="K119" i="8"/>
  <c r="F119" i="4" s="1"/>
  <c r="AB119" i="4"/>
  <c r="AC119" i="4" s="1"/>
  <c r="M119" i="4"/>
  <c r="N119" i="4" s="1"/>
  <c r="S75" i="8"/>
  <c r="Q75" i="4"/>
  <c r="O75" i="4"/>
  <c r="S84" i="8"/>
  <c r="Q84" i="4"/>
  <c r="O94" i="4"/>
  <c r="M94" i="4"/>
  <c r="N94" i="4" s="1"/>
  <c r="M25" i="4"/>
  <c r="N25" i="4" s="1"/>
  <c r="K25" i="8"/>
  <c r="F25" i="4" s="1"/>
  <c r="H219" i="11"/>
  <c r="G219" i="11"/>
  <c r="C219" i="11"/>
  <c r="E219" i="11"/>
  <c r="B219" i="11"/>
  <c r="F219" i="11"/>
  <c r="D219" i="11"/>
  <c r="E106" i="11"/>
  <c r="D106" i="11"/>
  <c r="H106" i="11"/>
  <c r="G106" i="11"/>
  <c r="F106" i="11"/>
  <c r="B106" i="11"/>
  <c r="C106" i="11"/>
  <c r="G236" i="11"/>
  <c r="H236" i="11"/>
  <c r="B236" i="11"/>
  <c r="D236" i="11"/>
  <c r="C236" i="11"/>
  <c r="E236" i="11"/>
  <c r="F236" i="11"/>
  <c r="G224" i="11"/>
  <c r="H224" i="11"/>
  <c r="F224" i="11"/>
  <c r="E224" i="11"/>
  <c r="D224" i="11"/>
  <c r="C224" i="11"/>
  <c r="B224" i="11"/>
  <c r="G189" i="11"/>
  <c r="B189" i="11"/>
  <c r="F189" i="11"/>
  <c r="E189" i="11"/>
  <c r="H189" i="11"/>
  <c r="D189" i="11"/>
  <c r="C189" i="11"/>
  <c r="G239" i="11"/>
  <c r="H239" i="11"/>
  <c r="F239" i="11"/>
  <c r="C239" i="11"/>
  <c r="E239" i="11"/>
  <c r="D239" i="11"/>
  <c r="B239" i="11"/>
  <c r="G151" i="11"/>
  <c r="C151" i="11"/>
  <c r="B151" i="11"/>
  <c r="H151" i="11"/>
  <c r="F151" i="11"/>
  <c r="D151" i="11"/>
  <c r="E151" i="11"/>
  <c r="G251" i="11"/>
  <c r="H251" i="11"/>
  <c r="E251" i="11"/>
  <c r="D251" i="11"/>
  <c r="C251" i="11"/>
  <c r="B251" i="11"/>
  <c r="F251" i="11"/>
  <c r="H228" i="11"/>
  <c r="G228" i="11"/>
  <c r="C228" i="11"/>
  <c r="F228" i="11"/>
  <c r="D228" i="11"/>
  <c r="B228" i="11"/>
  <c r="E228" i="11"/>
  <c r="D226" i="11"/>
  <c r="C226" i="11"/>
  <c r="H226" i="11"/>
  <c r="E226" i="11"/>
  <c r="F226" i="11"/>
  <c r="B226" i="11"/>
  <c r="G226" i="11"/>
  <c r="H69" i="11"/>
  <c r="G69" i="11"/>
  <c r="C69" i="11"/>
  <c r="D69" i="11"/>
  <c r="F69" i="11"/>
  <c r="B69" i="11"/>
  <c r="E69" i="11"/>
  <c r="E101" i="11"/>
  <c r="H101" i="11"/>
  <c r="G101" i="11"/>
  <c r="B101" i="11"/>
  <c r="F101" i="11"/>
  <c r="D101" i="11"/>
  <c r="C101" i="11"/>
  <c r="W184" i="8"/>
  <c r="L184" i="4" s="1"/>
  <c r="Q184" i="4"/>
  <c r="G65" i="11"/>
  <c r="D65" i="11"/>
  <c r="B65" i="11"/>
  <c r="H65" i="11"/>
  <c r="E65" i="11"/>
  <c r="C65" i="11"/>
  <c r="F65" i="11"/>
  <c r="S133" i="8"/>
  <c r="Q133" i="4"/>
  <c r="O133" i="4"/>
  <c r="S111" i="8"/>
  <c r="Q111" i="4"/>
  <c r="O111" i="4"/>
  <c r="S108" i="8"/>
  <c r="Q108" i="4"/>
  <c r="O108" i="4"/>
  <c r="S177" i="8"/>
  <c r="K139" i="8"/>
  <c r="F139" i="4" s="1"/>
  <c r="AB139" i="4"/>
  <c r="AC139" i="4" s="1"/>
  <c r="M139" i="4"/>
  <c r="N139" i="4" s="1"/>
  <c r="S194" i="8"/>
  <c r="Q194" i="4"/>
  <c r="O194" i="4"/>
  <c r="O156" i="4"/>
  <c r="O44" i="8"/>
  <c r="O44" i="4"/>
  <c r="M44" i="4"/>
  <c r="N44" i="4" s="1"/>
  <c r="Q121" i="4"/>
  <c r="O121" i="4"/>
  <c r="S127" i="8"/>
  <c r="Q127" i="4"/>
  <c r="O103" i="8"/>
  <c r="O103" i="4"/>
  <c r="M103" i="4"/>
  <c r="N103" i="4" s="1"/>
  <c r="Q118" i="4"/>
  <c r="O118" i="4"/>
  <c r="Q95" i="4"/>
  <c r="O95" i="4"/>
  <c r="Q47" i="4"/>
  <c r="O47" i="4"/>
  <c r="Q69" i="4"/>
  <c r="O56" i="8"/>
  <c r="O56" i="4"/>
  <c r="AB185" i="4"/>
  <c r="AC185" i="4" s="1"/>
  <c r="O41" i="4"/>
  <c r="Q31" i="4"/>
  <c r="O31" i="4"/>
  <c r="Q180" i="4"/>
  <c r="AK4" i="4"/>
  <c r="Q81" i="4"/>
  <c r="O18" i="4"/>
  <c r="O18" i="8"/>
  <c r="K12" i="8"/>
  <c r="F12" i="4" s="1"/>
  <c r="M12" i="4"/>
  <c r="N12" i="4" s="1"/>
  <c r="Q52" i="4"/>
  <c r="O52" i="4"/>
  <c r="O33" i="8"/>
  <c r="O33" i="4"/>
  <c r="O11" i="8"/>
  <c r="O11" i="4"/>
  <c r="M11" i="4"/>
  <c r="N11" i="4" s="1"/>
  <c r="K36" i="8"/>
  <c r="F36" i="4" s="1"/>
  <c r="O172" i="4"/>
  <c r="O172" i="8"/>
  <c r="O97" i="8"/>
  <c r="K97" i="8"/>
  <c r="F97" i="4" s="1"/>
  <c r="M123" i="4"/>
  <c r="N123" i="4" s="1"/>
  <c r="K123" i="8"/>
  <c r="F123" i="4" s="1"/>
  <c r="F50" i="6"/>
  <c r="K50" i="6" s="1"/>
  <c r="G191" i="11"/>
  <c r="H191" i="11"/>
  <c r="F191" i="11"/>
  <c r="E191" i="11"/>
  <c r="D191" i="11"/>
  <c r="C191" i="11"/>
  <c r="B191" i="11"/>
  <c r="H72" i="11"/>
  <c r="G72" i="11"/>
  <c r="C72" i="11"/>
  <c r="D72" i="11"/>
  <c r="E72" i="11"/>
  <c r="F72" i="11"/>
  <c r="B72" i="11"/>
  <c r="F161" i="11"/>
  <c r="D161" i="11"/>
  <c r="H161" i="11"/>
  <c r="G161" i="11"/>
  <c r="E161" i="11"/>
  <c r="B161" i="11"/>
  <c r="C161" i="11"/>
  <c r="B123" i="11"/>
  <c r="G123" i="11"/>
  <c r="D123" i="11"/>
  <c r="C123" i="11"/>
  <c r="H123" i="11"/>
  <c r="F123" i="11"/>
  <c r="E123" i="11"/>
  <c r="Q178" i="4"/>
  <c r="O178" i="4"/>
  <c r="O67" i="8"/>
  <c r="O67" i="4"/>
  <c r="M67" i="4"/>
  <c r="N67" i="4" s="1"/>
  <c r="K192" i="8"/>
  <c r="F192" i="4" s="1"/>
  <c r="M192" i="4"/>
  <c r="N192" i="4" s="1"/>
  <c r="O156" i="8"/>
  <c r="O155" i="4"/>
  <c r="S106" i="8"/>
  <c r="Q106" i="4"/>
  <c r="Q140" i="4"/>
  <c r="S140" i="8"/>
  <c r="K102" i="8"/>
  <c r="F102" i="4" s="1"/>
  <c r="M102" i="4"/>
  <c r="N102" i="4" s="1"/>
  <c r="K47" i="8"/>
  <c r="F47" i="4" s="1"/>
  <c r="AB47" i="4"/>
  <c r="AC47" i="4" s="1"/>
  <c r="M47" i="4"/>
  <c r="N47" i="4" s="1"/>
  <c r="S42" i="8"/>
  <c r="O42" i="4"/>
  <c r="Q42" i="4"/>
  <c r="K193" i="8"/>
  <c r="F193" i="4" s="1"/>
  <c r="O101" i="4"/>
  <c r="M101" i="4"/>
  <c r="N101" i="4" s="1"/>
  <c r="O162" i="8"/>
  <c r="O124" i="8"/>
  <c r="O124" i="4"/>
  <c r="O141" i="8"/>
  <c r="O141" i="4"/>
  <c r="S95" i="8"/>
  <c r="S47" i="8"/>
  <c r="K63" i="8"/>
  <c r="F63" i="4" s="1"/>
  <c r="S71" i="8"/>
  <c r="AB164" i="4"/>
  <c r="AC164" i="4" s="1"/>
  <c r="M164" i="4"/>
  <c r="N164" i="4" s="1"/>
  <c r="S104" i="8"/>
  <c r="Q104" i="4"/>
  <c r="T4" i="10"/>
  <c r="F4" i="4"/>
  <c r="AJ4" i="4"/>
  <c r="M73" i="4"/>
  <c r="N73" i="4" s="1"/>
  <c r="AB73" i="4"/>
  <c r="AC73" i="4" s="1"/>
  <c r="M37" i="4"/>
  <c r="N37" i="4" s="1"/>
  <c r="AB37" i="4"/>
  <c r="AC37" i="4" s="1"/>
  <c r="O59" i="8"/>
  <c r="O17" i="8"/>
  <c r="O17" i="4"/>
  <c r="M55" i="4"/>
  <c r="N55" i="4" s="1"/>
  <c r="AB55" i="4"/>
  <c r="AC55" i="4" s="1"/>
  <c r="K55" i="8"/>
  <c r="F55" i="4" s="1"/>
  <c r="S27" i="8"/>
  <c r="Q27" i="4"/>
  <c r="O27" i="4"/>
  <c r="AB77" i="4"/>
  <c r="AC77" i="4" s="1"/>
  <c r="M77" i="4"/>
  <c r="N77" i="4" s="1"/>
  <c r="M172" i="4"/>
  <c r="N172" i="4" s="1"/>
  <c r="Q51" i="4"/>
  <c r="S51" i="8"/>
  <c r="M9" i="4"/>
  <c r="N9" i="4" s="1"/>
  <c r="K9" i="8"/>
  <c r="F9" i="4" s="1"/>
  <c r="F40" i="6"/>
  <c r="K40" i="6" s="1"/>
  <c r="E12" i="11"/>
  <c r="D223" i="11"/>
  <c r="C223" i="11"/>
  <c r="H223" i="11"/>
  <c r="E223" i="11"/>
  <c r="B223" i="11"/>
  <c r="G223" i="11"/>
  <c r="F223" i="11"/>
  <c r="E89" i="11"/>
  <c r="H89" i="11"/>
  <c r="G89" i="11"/>
  <c r="B89" i="11"/>
  <c r="F89" i="11"/>
  <c r="D89" i="11"/>
  <c r="C89" i="11"/>
  <c r="D61" i="11"/>
  <c r="C61" i="11"/>
  <c r="E61" i="11"/>
  <c r="H61" i="11"/>
  <c r="G61" i="11"/>
  <c r="F61" i="11"/>
  <c r="B61" i="11"/>
  <c r="H249" i="11"/>
  <c r="G249" i="11"/>
  <c r="C249" i="11"/>
  <c r="E249" i="11"/>
  <c r="F249" i="11"/>
  <c r="B249" i="11"/>
  <c r="D249" i="11"/>
  <c r="H252" i="11"/>
  <c r="G252" i="11"/>
  <c r="C252" i="11"/>
  <c r="E252" i="11"/>
  <c r="B252" i="11"/>
  <c r="F252" i="11"/>
  <c r="D252" i="11"/>
  <c r="H136" i="11"/>
  <c r="F136" i="11"/>
  <c r="D136" i="11"/>
  <c r="C136" i="11"/>
  <c r="G136" i="11"/>
  <c r="E136" i="11"/>
  <c r="B136" i="11"/>
  <c r="B135" i="11"/>
  <c r="C135" i="11"/>
  <c r="H135" i="11"/>
  <c r="G135" i="11"/>
  <c r="E135" i="11"/>
  <c r="F135" i="11"/>
  <c r="D135" i="11"/>
  <c r="Q54" i="11"/>
  <c r="O54" i="11"/>
  <c r="G80" i="11"/>
  <c r="D80" i="11"/>
  <c r="H80" i="11"/>
  <c r="F80" i="11"/>
  <c r="C80" i="11"/>
  <c r="B80" i="11"/>
  <c r="E80" i="11"/>
  <c r="B168" i="11"/>
  <c r="F168" i="11"/>
  <c r="E168" i="11"/>
  <c r="D168" i="11"/>
  <c r="C168" i="11"/>
  <c r="H168" i="11"/>
  <c r="G168" i="11"/>
  <c r="S67" i="8"/>
  <c r="Q67" i="4"/>
  <c r="K153" i="8"/>
  <c r="F153" i="4" s="1"/>
  <c r="M153" i="4"/>
  <c r="N153" i="4" s="1"/>
  <c r="AB153" i="4"/>
  <c r="AC153" i="4" s="1"/>
  <c r="K169" i="8"/>
  <c r="F169" i="4" s="1"/>
  <c r="M169" i="4"/>
  <c r="N169" i="4" s="1"/>
  <c r="S86" i="8"/>
  <c r="O86" i="4"/>
  <c r="Q86" i="4"/>
  <c r="AB191" i="4"/>
  <c r="AC191" i="4" s="1"/>
  <c r="M191" i="4"/>
  <c r="N191" i="4" s="1"/>
  <c r="S130" i="8"/>
  <c r="Q130" i="4"/>
  <c r="S120" i="8"/>
  <c r="Q120" i="4"/>
  <c r="O120" i="4"/>
  <c r="S109" i="8"/>
  <c r="Q109" i="4"/>
  <c r="O109" i="4"/>
  <c r="S100" i="8"/>
  <c r="Q100" i="4"/>
  <c r="O100" i="4"/>
  <c r="O48" i="4"/>
  <c r="Q48" i="4"/>
  <c r="Q107" i="4"/>
  <c r="O107" i="4"/>
  <c r="B4" i="10"/>
  <c r="B56" i="11" s="1"/>
  <c r="S13" i="8"/>
  <c r="M6" i="4"/>
  <c r="N6" i="4" s="1"/>
  <c r="AB6" i="4"/>
  <c r="AC6" i="4" s="1"/>
  <c r="O55" i="11"/>
  <c r="C154" i="11"/>
  <c r="G154" i="11"/>
  <c r="H154" i="11"/>
  <c r="F154" i="11"/>
  <c r="E154" i="11"/>
  <c r="D154" i="11"/>
  <c r="B154" i="11"/>
  <c r="F137" i="11"/>
  <c r="G137" i="11"/>
  <c r="D137" i="11"/>
  <c r="H137" i="11"/>
  <c r="C137" i="11"/>
  <c r="E137" i="11"/>
  <c r="B137" i="11"/>
  <c r="G180" i="11"/>
  <c r="B180" i="11"/>
  <c r="H180" i="11"/>
  <c r="F180" i="11"/>
  <c r="D180" i="11"/>
  <c r="C180" i="11"/>
  <c r="E180" i="11"/>
  <c r="H117" i="11"/>
  <c r="G117" i="11"/>
  <c r="C117" i="11"/>
  <c r="E117" i="11"/>
  <c r="D117" i="11"/>
  <c r="F117" i="11"/>
  <c r="B117" i="11"/>
  <c r="G169" i="11"/>
  <c r="E169" i="11"/>
  <c r="D169" i="11"/>
  <c r="C169" i="11"/>
  <c r="B169" i="11"/>
  <c r="H169" i="11"/>
  <c r="F169" i="11"/>
  <c r="C184" i="11"/>
  <c r="H184" i="11"/>
  <c r="G184" i="11"/>
  <c r="D184" i="11"/>
  <c r="F184" i="11"/>
  <c r="E184" i="11"/>
  <c r="B184" i="11"/>
  <c r="F149" i="11"/>
  <c r="D149" i="11"/>
  <c r="C149" i="11"/>
  <c r="B149" i="11"/>
  <c r="G149" i="11"/>
  <c r="H149" i="11"/>
  <c r="E149" i="11"/>
  <c r="S197" i="8"/>
  <c r="Q197" i="4"/>
  <c r="O197" i="4"/>
  <c r="S87" i="8"/>
  <c r="Q87" i="4"/>
  <c r="O87" i="4"/>
  <c r="S78" i="8"/>
  <c r="Q78" i="4"/>
  <c r="O78" i="4"/>
  <c r="Q152" i="4"/>
  <c r="O152" i="4"/>
  <c r="O168" i="8"/>
  <c r="O168" i="4"/>
  <c r="M175" i="4"/>
  <c r="N175" i="4" s="1"/>
  <c r="O175" i="4"/>
  <c r="M60" i="4"/>
  <c r="N60" i="4" s="1"/>
  <c r="AB60" i="4"/>
  <c r="AC60" i="4" s="1"/>
  <c r="Q143" i="4"/>
  <c r="S143" i="8"/>
  <c r="K56" i="8"/>
  <c r="F56" i="4" s="1"/>
  <c r="M56" i="4"/>
  <c r="N56" i="4" s="1"/>
  <c r="AB113" i="4"/>
  <c r="AC113" i="4" s="1"/>
  <c r="S146" i="8"/>
  <c r="O37" i="4"/>
  <c r="O37" i="8"/>
  <c r="Q55" i="4"/>
  <c r="O55" i="4"/>
  <c r="M33" i="4"/>
  <c r="N33" i="4" s="1"/>
  <c r="AB33" i="4"/>
  <c r="AC33" i="4" s="1"/>
  <c r="O115" i="4"/>
  <c r="O115" i="8"/>
  <c r="Q94" i="4"/>
  <c r="S94" i="8"/>
  <c r="Q43" i="4"/>
  <c r="S43" i="8"/>
  <c r="H240" i="11"/>
  <c r="G240" i="11"/>
  <c r="C240" i="11"/>
  <c r="F240" i="11"/>
  <c r="D240" i="11"/>
  <c r="E240" i="11"/>
  <c r="B240" i="11"/>
  <c r="C178" i="11"/>
  <c r="E178" i="11"/>
  <c r="D178" i="11"/>
  <c r="B178" i="11"/>
  <c r="F178" i="11"/>
  <c r="H178" i="11"/>
  <c r="G178" i="11"/>
  <c r="D247" i="11"/>
  <c r="C247" i="11"/>
  <c r="H247" i="11"/>
  <c r="F247" i="11"/>
  <c r="E247" i="11"/>
  <c r="B247" i="11"/>
  <c r="G247" i="11"/>
  <c r="G193" i="11"/>
  <c r="B193" i="11"/>
  <c r="H193" i="11"/>
  <c r="F193" i="11"/>
  <c r="D193" i="11"/>
  <c r="C193" i="11"/>
  <c r="E193" i="11"/>
  <c r="C207" i="11"/>
  <c r="F207" i="11"/>
  <c r="B207" i="11"/>
  <c r="H207" i="11"/>
  <c r="G207" i="11"/>
  <c r="E207" i="11"/>
  <c r="D207" i="11"/>
  <c r="F152" i="11"/>
  <c r="D152" i="11"/>
  <c r="B152" i="11"/>
  <c r="H152" i="11"/>
  <c r="C152" i="11"/>
  <c r="G152" i="11"/>
  <c r="E152" i="11"/>
  <c r="H63" i="11"/>
  <c r="G63" i="11"/>
  <c r="C63" i="11"/>
  <c r="D63" i="11"/>
  <c r="F63" i="11"/>
  <c r="B63" i="11"/>
  <c r="E63" i="11"/>
  <c r="F188" i="11"/>
  <c r="C188" i="11"/>
  <c r="B188" i="11"/>
  <c r="H188" i="11"/>
  <c r="G188" i="11"/>
  <c r="E188" i="11"/>
  <c r="D188" i="11"/>
  <c r="B141" i="11"/>
  <c r="E141" i="11"/>
  <c r="D141" i="11"/>
  <c r="C141" i="11"/>
  <c r="H141" i="11"/>
  <c r="F141" i="11"/>
  <c r="G141" i="11"/>
  <c r="F120" i="11"/>
  <c r="D120" i="11"/>
  <c r="E120" i="11"/>
  <c r="C120" i="11"/>
  <c r="B120" i="11"/>
  <c r="H120" i="11"/>
  <c r="G120" i="11"/>
  <c r="H57" i="11"/>
  <c r="G57" i="11"/>
  <c r="C57" i="11"/>
  <c r="D57" i="11"/>
  <c r="F57" i="11"/>
  <c r="E57" i="11"/>
  <c r="B57" i="11"/>
  <c r="F205" i="11"/>
  <c r="D205" i="11"/>
  <c r="C205" i="11"/>
  <c r="B205" i="11"/>
  <c r="H205" i="11"/>
  <c r="G205" i="11"/>
  <c r="E205" i="11"/>
  <c r="H145" i="11"/>
  <c r="F145" i="11"/>
  <c r="D145" i="11"/>
  <c r="E145" i="11"/>
  <c r="C145" i="11"/>
  <c r="B145" i="11"/>
  <c r="G145" i="11"/>
  <c r="F108" i="11"/>
  <c r="C108" i="11"/>
  <c r="B108" i="11"/>
  <c r="H108" i="11"/>
  <c r="E108" i="11"/>
  <c r="G108" i="11"/>
  <c r="D108" i="11"/>
  <c r="F155" i="11"/>
  <c r="G155" i="11"/>
  <c r="H155" i="11"/>
  <c r="E155" i="11"/>
  <c r="D155" i="11"/>
  <c r="B155" i="11"/>
  <c r="C155" i="11"/>
  <c r="E95" i="11"/>
  <c r="F95" i="11"/>
  <c r="H95" i="11"/>
  <c r="G95" i="11"/>
  <c r="D95" i="11"/>
  <c r="C95" i="11"/>
  <c r="B95" i="11"/>
  <c r="H85" i="11"/>
  <c r="G85" i="11"/>
  <c r="C85" i="11"/>
  <c r="B85" i="11"/>
  <c r="F85" i="11"/>
  <c r="E85" i="11"/>
  <c r="D85" i="11"/>
  <c r="E83" i="11"/>
  <c r="C83" i="11"/>
  <c r="B83" i="11"/>
  <c r="G83" i="11"/>
  <c r="F83" i="11"/>
  <c r="D83" i="11"/>
  <c r="H83" i="11"/>
  <c r="B153" i="11"/>
  <c r="F153" i="11"/>
  <c r="H153" i="11"/>
  <c r="G153" i="11"/>
  <c r="D153" i="11"/>
  <c r="C153" i="11"/>
  <c r="E153" i="11"/>
  <c r="K144" i="8"/>
  <c r="F144" i="4" s="1"/>
  <c r="M144" i="4"/>
  <c r="N144" i="4" s="1"/>
  <c r="AB144" i="4"/>
  <c r="AC144" i="4" s="1"/>
  <c r="Q191" i="4"/>
  <c r="O191" i="4"/>
  <c r="B138" i="11"/>
  <c r="F138" i="11"/>
  <c r="H138" i="11"/>
  <c r="G138" i="11"/>
  <c r="D138" i="11"/>
  <c r="E138" i="11"/>
  <c r="C138" i="11"/>
  <c r="E126" i="11"/>
  <c r="D126" i="11"/>
  <c r="C126" i="11"/>
  <c r="G126" i="11"/>
  <c r="H126" i="11"/>
  <c r="F126" i="11"/>
  <c r="B126" i="11"/>
  <c r="G203" i="11"/>
  <c r="D203" i="11"/>
  <c r="H203" i="11"/>
  <c r="F203" i="11"/>
  <c r="E203" i="11"/>
  <c r="C203" i="11"/>
  <c r="B203" i="11"/>
  <c r="H93" i="11"/>
  <c r="G93" i="11"/>
  <c r="C93" i="11"/>
  <c r="F93" i="11"/>
  <c r="B93" i="11"/>
  <c r="E93" i="11"/>
  <c r="D93" i="11"/>
  <c r="F88" i="11"/>
  <c r="H88" i="11"/>
  <c r="E88" i="11"/>
  <c r="D88" i="11"/>
  <c r="C88" i="11"/>
  <c r="B88" i="11"/>
  <c r="G88" i="11"/>
  <c r="F140" i="11"/>
  <c r="G140" i="11"/>
  <c r="E140" i="11"/>
  <c r="D140" i="11"/>
  <c r="C140" i="11"/>
  <c r="H140" i="11"/>
  <c r="B140" i="11"/>
  <c r="H246" i="11"/>
  <c r="G246" i="11"/>
  <c r="C246" i="11"/>
  <c r="F246" i="11"/>
  <c r="E246" i="11"/>
  <c r="D246" i="11"/>
  <c r="B246" i="11"/>
  <c r="D214" i="11"/>
  <c r="C214" i="11"/>
  <c r="H214" i="11"/>
  <c r="G214" i="11"/>
  <c r="E214" i="11"/>
  <c r="B214" i="11"/>
  <c r="F214" i="11"/>
  <c r="F143" i="11"/>
  <c r="D143" i="11"/>
  <c r="H143" i="11"/>
  <c r="G143" i="11"/>
  <c r="E143" i="11"/>
  <c r="C143" i="11"/>
  <c r="B143" i="11"/>
  <c r="E128" i="11"/>
  <c r="F128" i="11"/>
  <c r="C128" i="11"/>
  <c r="D128" i="11"/>
  <c r="H128" i="11"/>
  <c r="G128" i="11"/>
  <c r="B128" i="11"/>
  <c r="G197" i="11"/>
  <c r="C197" i="11"/>
  <c r="H197" i="11"/>
  <c r="D197" i="11"/>
  <c r="F197" i="11"/>
  <c r="E197" i="11"/>
  <c r="B197" i="11"/>
  <c r="B127" i="11"/>
  <c r="G127" i="11"/>
  <c r="F127" i="11"/>
  <c r="D127" i="11"/>
  <c r="H127" i="11"/>
  <c r="E127" i="11"/>
  <c r="C127" i="11"/>
  <c r="C208" i="11"/>
  <c r="B208" i="11"/>
  <c r="F208" i="11"/>
  <c r="E208" i="11"/>
  <c r="D208" i="11"/>
  <c r="H208" i="11"/>
  <c r="G208" i="11"/>
  <c r="H170" i="4"/>
  <c r="H133" i="11"/>
  <c r="G133" i="11"/>
  <c r="F133" i="11"/>
  <c r="E133" i="11"/>
  <c r="C133" i="11"/>
  <c r="B133" i="11"/>
  <c r="D133" i="11"/>
  <c r="O188" i="8"/>
  <c r="O188" i="4"/>
  <c r="M188" i="4"/>
  <c r="N188" i="4" s="1"/>
  <c r="W174" i="8"/>
  <c r="L174" i="4" s="1"/>
  <c r="S136" i="8"/>
  <c r="Q136" i="4"/>
  <c r="O136" i="4"/>
  <c r="S61" i="8"/>
  <c r="Q61" i="4"/>
  <c r="O61" i="4"/>
  <c r="G62" i="11"/>
  <c r="D62" i="11"/>
  <c r="E62" i="11"/>
  <c r="C62" i="11"/>
  <c r="B62" i="11"/>
  <c r="H62" i="11"/>
  <c r="F62" i="11"/>
  <c r="Q131" i="4"/>
  <c r="O131" i="4"/>
  <c r="K190" i="8"/>
  <c r="F190" i="4" s="1"/>
  <c r="M190" i="4"/>
  <c r="N190" i="4" s="1"/>
  <c r="O130" i="8"/>
  <c r="M130" i="4"/>
  <c r="N130" i="4" s="1"/>
  <c r="O130" i="4"/>
  <c r="S101" i="8"/>
  <c r="Q89" i="4"/>
  <c r="S89" i="8"/>
  <c r="Q103" i="4"/>
  <c r="AB193" i="4"/>
  <c r="AC193" i="4" s="1"/>
  <c r="S138" i="8"/>
  <c r="Q138" i="4"/>
  <c r="O138" i="4"/>
  <c r="O119" i="4"/>
  <c r="AB102" i="4"/>
  <c r="AC102" i="4" s="1"/>
  <c r="O163" i="4"/>
  <c r="O69" i="8"/>
  <c r="Q185" i="4"/>
  <c r="Q57" i="4"/>
  <c r="AB104" i="4"/>
  <c r="AC104" i="4" s="1"/>
  <c r="M104" i="4"/>
  <c r="N104" i="4" s="1"/>
  <c r="O147" i="4"/>
  <c r="M92" i="4"/>
  <c r="N92" i="4" s="1"/>
  <c r="Q92" i="4"/>
  <c r="M85" i="4"/>
  <c r="N85" i="4" s="1"/>
  <c r="M45" i="4"/>
  <c r="N45" i="4" s="1"/>
  <c r="O45" i="4"/>
  <c r="M81" i="4"/>
  <c r="N81" i="4" s="1"/>
  <c r="O81" i="4"/>
  <c r="AB46" i="4"/>
  <c r="AC46" i="4" s="1"/>
  <c r="W21" i="8"/>
  <c r="L21" i="4" s="1"/>
  <c r="E2" i="6"/>
  <c r="E4" i="6"/>
  <c r="E3" i="6"/>
  <c r="E118" i="11"/>
  <c r="D118" i="11"/>
  <c r="H118" i="11"/>
  <c r="G118" i="11"/>
  <c r="F118" i="11"/>
  <c r="C118" i="11"/>
  <c r="B118" i="11"/>
  <c r="O89" i="4"/>
  <c r="M89" i="4"/>
  <c r="N89" i="4" s="1"/>
  <c r="N4" i="10"/>
  <c r="I4" i="8"/>
  <c r="G4" i="8"/>
  <c r="AD4" i="4"/>
  <c r="AB4" i="4"/>
  <c r="AC4" i="4" s="1"/>
  <c r="H237" i="11"/>
  <c r="G237" i="11"/>
  <c r="C237" i="11"/>
  <c r="D237" i="11"/>
  <c r="B237" i="11"/>
  <c r="F237" i="11"/>
  <c r="E237" i="11"/>
  <c r="H132" i="11"/>
  <c r="F132" i="11"/>
  <c r="D132" i="11"/>
  <c r="E132" i="11"/>
  <c r="G132" i="11"/>
  <c r="C132" i="11"/>
  <c r="B132" i="11"/>
  <c r="S58" i="8"/>
  <c r="Q58" i="4"/>
  <c r="O58" i="4"/>
  <c r="E92" i="11"/>
  <c r="F92" i="11"/>
  <c r="D92" i="11"/>
  <c r="G92" i="11"/>
  <c r="H92" i="11"/>
  <c r="C92" i="11"/>
  <c r="B92" i="11"/>
  <c r="B115" i="11"/>
  <c r="G115" i="11"/>
  <c r="D115" i="11"/>
  <c r="C115" i="11"/>
  <c r="H115" i="11"/>
  <c r="F115" i="11"/>
  <c r="E115" i="11"/>
  <c r="G218" i="11"/>
  <c r="H218" i="11"/>
  <c r="F218" i="11"/>
  <c r="C218" i="11"/>
  <c r="D218" i="11"/>
  <c r="B218" i="11"/>
  <c r="E218" i="11"/>
  <c r="G248" i="11"/>
  <c r="H248" i="11"/>
  <c r="E248" i="11"/>
  <c r="F248" i="11"/>
  <c r="D248" i="11"/>
  <c r="C248" i="11"/>
  <c r="B248" i="11"/>
  <c r="D250" i="11"/>
  <c r="C250" i="11"/>
  <c r="H250" i="11"/>
  <c r="F250" i="11"/>
  <c r="G250" i="11"/>
  <c r="B250" i="11"/>
  <c r="E250" i="11"/>
  <c r="D220" i="11"/>
  <c r="C220" i="11"/>
  <c r="H220" i="11"/>
  <c r="G220" i="11"/>
  <c r="E220" i="11"/>
  <c r="F220" i="11"/>
  <c r="B220" i="11"/>
  <c r="D217" i="11"/>
  <c r="C217" i="11"/>
  <c r="H217" i="11"/>
  <c r="G217" i="11"/>
  <c r="F217" i="11"/>
  <c r="E217" i="11"/>
  <c r="B217" i="11"/>
  <c r="C181" i="11"/>
  <c r="H181" i="11"/>
  <c r="G181" i="11"/>
  <c r="F181" i="11"/>
  <c r="D181" i="11"/>
  <c r="B181" i="11"/>
  <c r="E181" i="11"/>
  <c r="C199" i="11"/>
  <c r="H199" i="11"/>
  <c r="G199" i="11"/>
  <c r="F199" i="11"/>
  <c r="B199" i="11"/>
  <c r="E199" i="11"/>
  <c r="D199" i="11"/>
  <c r="D76" i="11"/>
  <c r="C76" i="11"/>
  <c r="E76" i="11"/>
  <c r="H76" i="11"/>
  <c r="F76" i="11"/>
  <c r="B76" i="11"/>
  <c r="G76" i="11"/>
  <c r="D73" i="11"/>
  <c r="C73" i="11"/>
  <c r="E73" i="11"/>
  <c r="H73" i="11"/>
  <c r="G73" i="11"/>
  <c r="B73" i="11"/>
  <c r="F73" i="11"/>
  <c r="D55" i="11"/>
  <c r="C55" i="11"/>
  <c r="B55" i="11"/>
  <c r="G166" i="11"/>
  <c r="C166" i="11"/>
  <c r="F166" i="11"/>
  <c r="E166" i="11"/>
  <c r="D166" i="11"/>
  <c r="B166" i="11"/>
  <c r="H166" i="11"/>
  <c r="H54" i="11"/>
  <c r="C54" i="11"/>
  <c r="D54" i="11"/>
  <c r="B54" i="11"/>
  <c r="K167" i="8"/>
  <c r="F167" i="4" s="1"/>
  <c r="M167" i="4"/>
  <c r="N167" i="4" s="1"/>
  <c r="AB167" i="4"/>
  <c r="AC167" i="4" s="1"/>
  <c r="M151" i="4"/>
  <c r="N151" i="4" s="1"/>
  <c r="O151" i="4"/>
  <c r="W159" i="8"/>
  <c r="L159" i="4" s="1"/>
  <c r="Q159" i="4"/>
  <c r="AB141" i="4"/>
  <c r="AC141" i="4" s="1"/>
  <c r="M141" i="4"/>
  <c r="N141" i="4" s="1"/>
  <c r="O140" i="8"/>
  <c r="O140" i="4"/>
  <c r="M140" i="4"/>
  <c r="N140" i="4" s="1"/>
  <c r="S117" i="8"/>
  <c r="Q117" i="4"/>
  <c r="S62" i="8"/>
  <c r="O62" i="4"/>
  <c r="Q62" i="4"/>
  <c r="O127" i="4"/>
  <c r="M127" i="4"/>
  <c r="N127" i="4" s="1"/>
  <c r="Q90" i="4"/>
  <c r="O90" i="4"/>
  <c r="K165" i="8"/>
  <c r="F165" i="4" s="1"/>
  <c r="K158" i="8"/>
  <c r="F158" i="4" s="1"/>
  <c r="M158" i="4"/>
  <c r="N158" i="4" s="1"/>
  <c r="S41" i="8"/>
  <c r="AB147" i="4"/>
  <c r="AC147" i="4" s="1"/>
  <c r="M147" i="4"/>
  <c r="N147" i="4" s="1"/>
  <c r="M146" i="4"/>
  <c r="N146" i="4" s="1"/>
  <c r="Q45" i="4"/>
  <c r="K76" i="8"/>
  <c r="F76" i="4" s="1"/>
  <c r="AB76" i="4"/>
  <c r="AC76" i="4" s="1"/>
  <c r="M76" i="4"/>
  <c r="N76" i="4" s="1"/>
  <c r="Q59" i="4"/>
  <c r="S55" i="8"/>
  <c r="O43" i="4"/>
  <c r="K21" i="8"/>
  <c r="F21" i="4" s="1"/>
  <c r="AB21" i="4"/>
  <c r="AC21" i="4" s="1"/>
  <c r="M21" i="4"/>
  <c r="N21" i="4" s="1"/>
  <c r="W3" i="8"/>
  <c r="Q3" i="4"/>
  <c r="S107" i="8"/>
  <c r="P36" i="9"/>
  <c r="P114" i="9"/>
  <c r="P123" i="9"/>
  <c r="G184" i="10"/>
  <c r="G169" i="10"/>
  <c r="H198" i="10"/>
  <c r="G186" i="10"/>
  <c r="G198" i="10"/>
  <c r="H173" i="10"/>
  <c r="G172" i="10"/>
  <c r="G167" i="10"/>
  <c r="H163" i="10"/>
  <c r="H187" i="10"/>
  <c r="G173" i="10"/>
  <c r="G166" i="10"/>
  <c r="H158" i="10"/>
  <c r="H177" i="10"/>
  <c r="G158" i="10"/>
  <c r="H196" i="10"/>
  <c r="H194" i="10"/>
  <c r="G182" i="10"/>
  <c r="H170" i="10"/>
  <c r="G154" i="10"/>
  <c r="H131" i="10"/>
  <c r="H130" i="10"/>
  <c r="G127" i="10"/>
  <c r="H109" i="10"/>
  <c r="H108" i="10"/>
  <c r="G77" i="10"/>
  <c r="H60" i="10"/>
  <c r="G29" i="10"/>
  <c r="G196" i="10"/>
  <c r="G170" i="10"/>
  <c r="H133" i="10"/>
  <c r="H129" i="10"/>
  <c r="H118" i="10"/>
  <c r="H102" i="10"/>
  <c r="H54" i="10"/>
  <c r="H183" i="10"/>
  <c r="G161" i="10"/>
  <c r="G133" i="10"/>
  <c r="G129" i="10"/>
  <c r="H126" i="10"/>
  <c r="G118" i="10"/>
  <c r="G102" i="10"/>
  <c r="H70" i="10"/>
  <c r="H65" i="10"/>
  <c r="G54" i="10"/>
  <c r="G126" i="10"/>
  <c r="H107" i="10"/>
  <c r="H75" i="10"/>
  <c r="G70" i="10"/>
  <c r="H59" i="10"/>
  <c r="H144" i="10"/>
  <c r="G107" i="10"/>
  <c r="G59" i="10"/>
  <c r="H166" i="10"/>
  <c r="G144" i="10"/>
  <c r="H181" i="10"/>
  <c r="G177" i="10"/>
  <c r="H185" i="10"/>
  <c r="G181" i="10"/>
  <c r="H172" i="10"/>
  <c r="G140" i="10"/>
  <c r="H136" i="10"/>
  <c r="H122" i="10"/>
  <c r="H111" i="10"/>
  <c r="G78" i="10"/>
  <c r="H62" i="10"/>
  <c r="G120" i="10"/>
  <c r="H87" i="10"/>
  <c r="G72" i="10"/>
  <c r="H55" i="10"/>
  <c r="G40" i="10"/>
  <c r="G24" i="10"/>
  <c r="H19" i="10"/>
  <c r="H12" i="10"/>
  <c r="G8" i="10"/>
  <c r="H99" i="10"/>
  <c r="H83" i="10"/>
  <c r="H82" i="10"/>
  <c r="H61" i="10"/>
  <c r="G19" i="10"/>
  <c r="H18" i="10"/>
  <c r="H17" i="10"/>
  <c r="G185" i="10"/>
  <c r="H154" i="10"/>
  <c r="H104" i="10"/>
  <c r="G99" i="10"/>
  <c r="G88" i="10"/>
  <c r="G83" i="10"/>
  <c r="G33" i="10"/>
  <c r="H27" i="10"/>
  <c r="H22" i="10"/>
  <c r="G136" i="10"/>
  <c r="G111" i="10"/>
  <c r="G104" i="10"/>
  <c r="H93" i="10"/>
  <c r="H110" i="10"/>
  <c r="H121" i="10"/>
  <c r="H77" i="10"/>
  <c r="G193" i="10"/>
  <c r="H169" i="10"/>
  <c r="H119" i="10"/>
  <c r="H197" i="10"/>
  <c r="H127" i="10"/>
  <c r="G119" i="10"/>
  <c r="G67" i="10"/>
  <c r="H123" i="10"/>
  <c r="G95" i="10"/>
  <c r="H92" i="10"/>
  <c r="G73" i="10"/>
  <c r="H43" i="10"/>
  <c r="G38" i="10"/>
  <c r="G37" i="10"/>
  <c r="G30" i="10"/>
  <c r="G4" i="10"/>
  <c r="G56" i="11" s="1"/>
  <c r="H103" i="10"/>
  <c r="G115" i="10"/>
  <c r="H71" i="10"/>
  <c r="H66" i="10"/>
  <c r="H56" i="10"/>
  <c r="G35" i="10"/>
  <c r="H14" i="10"/>
  <c r="H134" i="10"/>
  <c r="H32" i="10"/>
  <c r="G51" i="10"/>
  <c r="G16" i="10"/>
  <c r="G2" i="10"/>
  <c r="G54" i="11" s="1"/>
  <c r="H29" i="10"/>
  <c r="H167" i="10"/>
  <c r="G164" i="10"/>
  <c r="H69" i="10"/>
  <c r="H67" i="10"/>
  <c r="H138" i="10"/>
  <c r="G62" i="10"/>
  <c r="G45" i="10"/>
  <c r="G11" i="10"/>
  <c r="G22" i="10"/>
  <c r="G56" i="10"/>
  <c r="G14" i="10"/>
  <c r="G148" i="10"/>
  <c r="G134" i="10"/>
  <c r="H51" i="10"/>
  <c r="G93" i="10"/>
  <c r="H8" i="10"/>
  <c r="H45" i="10"/>
  <c r="G121" i="10"/>
  <c r="G85" i="10"/>
  <c r="H11" i="10"/>
  <c r="H3" i="10"/>
  <c r="H55" i="11" s="1"/>
  <c r="G3" i="10"/>
  <c r="G55" i="11" s="1"/>
  <c r="H58" i="10"/>
  <c r="H26" i="10"/>
  <c r="H6" i="10"/>
  <c r="G6" i="10"/>
  <c r="G13" i="10"/>
  <c r="H124" i="10"/>
  <c r="H31" i="10"/>
  <c r="G94" i="10"/>
  <c r="H53" i="10"/>
  <c r="G139" i="10"/>
  <c r="G112" i="10"/>
  <c r="H33" i="10"/>
  <c r="G178" i="10"/>
  <c r="G109" i="10"/>
  <c r="H115" i="10"/>
  <c r="G103" i="10"/>
  <c r="G199" i="10"/>
  <c r="G50" i="10"/>
  <c r="G145" i="10"/>
  <c r="G194" i="10"/>
  <c r="H160" i="10"/>
  <c r="G12" i="10"/>
  <c r="B162" i="11"/>
  <c r="F162" i="11"/>
  <c r="H162" i="11"/>
  <c r="G162" i="11"/>
  <c r="E162" i="11"/>
  <c r="D162" i="11"/>
  <c r="C162" i="11"/>
  <c r="E107" i="11"/>
  <c r="F107" i="11"/>
  <c r="D107" i="11"/>
  <c r="H107" i="11"/>
  <c r="C107" i="11"/>
  <c r="G107" i="11"/>
  <c r="B107" i="11"/>
  <c r="Q128" i="4"/>
  <c r="O128" i="4"/>
  <c r="W33" i="8"/>
  <c r="L33" i="4" s="1"/>
  <c r="Q33" i="4"/>
  <c r="C187" i="11"/>
  <c r="E187" i="11"/>
  <c r="D187" i="11"/>
  <c r="B187" i="11"/>
  <c r="H187" i="11"/>
  <c r="G187" i="11"/>
  <c r="F187" i="11"/>
  <c r="C204" i="11"/>
  <c r="G204" i="11"/>
  <c r="F204" i="11"/>
  <c r="E204" i="11"/>
  <c r="H204" i="11"/>
  <c r="D204" i="11"/>
  <c r="B204" i="11"/>
  <c r="D79" i="11"/>
  <c r="C79" i="11"/>
  <c r="E79" i="11"/>
  <c r="H79" i="11"/>
  <c r="F79" i="11"/>
  <c r="B79" i="11"/>
  <c r="G79" i="11"/>
  <c r="K173" i="8"/>
  <c r="F173" i="4" s="1"/>
  <c r="M173" i="4"/>
  <c r="N173" i="4" s="1"/>
  <c r="AB173" i="4"/>
  <c r="AC173" i="4" s="1"/>
  <c r="D244" i="11"/>
  <c r="C244" i="11"/>
  <c r="H244" i="11"/>
  <c r="G244" i="11"/>
  <c r="F244" i="11"/>
  <c r="E244" i="11"/>
  <c r="B244" i="11"/>
  <c r="E114" i="11"/>
  <c r="D114" i="11"/>
  <c r="H114" i="11"/>
  <c r="G114" i="11"/>
  <c r="F114" i="11"/>
  <c r="C114" i="11"/>
  <c r="B114" i="11"/>
  <c r="H231" i="11"/>
  <c r="G231" i="11"/>
  <c r="C231" i="11"/>
  <c r="F231" i="11"/>
  <c r="E231" i="11"/>
  <c r="D231" i="11"/>
  <c r="B231" i="11"/>
  <c r="F176" i="11"/>
  <c r="H176" i="11"/>
  <c r="G176" i="11"/>
  <c r="E176" i="11"/>
  <c r="B176" i="11"/>
  <c r="D176" i="11"/>
  <c r="C176" i="11"/>
  <c r="E125" i="11"/>
  <c r="H125" i="11"/>
  <c r="G125" i="11"/>
  <c r="B125" i="11"/>
  <c r="F125" i="11"/>
  <c r="C125" i="11"/>
  <c r="D125" i="11"/>
  <c r="B87" i="11"/>
  <c r="C87" i="11"/>
  <c r="D87" i="11"/>
  <c r="G87" i="11"/>
  <c r="F87" i="11"/>
  <c r="E87" i="11"/>
  <c r="H87" i="11"/>
  <c r="S141" i="8"/>
  <c r="AB63" i="4"/>
  <c r="AC63" i="4" s="1"/>
  <c r="O158" i="4"/>
  <c r="O54" i="4"/>
  <c r="O54" i="8"/>
  <c r="M22" i="4"/>
  <c r="N22" i="4" s="1"/>
  <c r="AB22" i="4"/>
  <c r="AC22" i="4" s="1"/>
  <c r="K80" i="8"/>
  <c r="F80" i="4" s="1"/>
  <c r="S34" i="8"/>
  <c r="M99" i="4"/>
  <c r="N99" i="4" s="1"/>
  <c r="K99" i="8"/>
  <c r="F99" i="4" s="1"/>
  <c r="Q8" i="4"/>
  <c r="S8" i="8"/>
  <c r="M51" i="4"/>
  <c r="N51" i="4" s="1"/>
  <c r="K51" i="8"/>
  <c r="F51" i="4" s="1"/>
  <c r="P138" i="9"/>
  <c r="P27" i="9"/>
  <c r="P139" i="9"/>
  <c r="H129" i="11"/>
  <c r="G129" i="11"/>
  <c r="C129" i="11"/>
  <c r="E129" i="11"/>
  <c r="D129" i="11"/>
  <c r="F129" i="11"/>
  <c r="B129" i="11"/>
  <c r="D64" i="11"/>
  <c r="C64" i="11"/>
  <c r="E64" i="11"/>
  <c r="H64" i="11"/>
  <c r="G64" i="11"/>
  <c r="F64" i="11"/>
  <c r="B64" i="11"/>
  <c r="H42" i="11"/>
  <c r="F42" i="11"/>
  <c r="C175" i="11"/>
  <c r="H175" i="11"/>
  <c r="G175" i="11"/>
  <c r="D175" i="11"/>
  <c r="F175" i="11"/>
  <c r="E175" i="11"/>
  <c r="B175" i="11"/>
  <c r="F96" i="11"/>
  <c r="C96" i="11"/>
  <c r="G96" i="11"/>
  <c r="E96" i="11"/>
  <c r="D96" i="11"/>
  <c r="B96" i="11"/>
  <c r="H96" i="11"/>
  <c r="E16" i="2"/>
  <c r="F16" i="2" s="1"/>
  <c r="D16" i="2"/>
  <c r="E98" i="11"/>
  <c r="D98" i="11"/>
  <c r="C98" i="11"/>
  <c r="B98" i="11"/>
  <c r="H98" i="11"/>
  <c r="G98" i="11"/>
  <c r="F98" i="11"/>
  <c r="H75" i="11"/>
  <c r="G75" i="11"/>
  <c r="C75" i="11"/>
  <c r="D75" i="11"/>
  <c r="F75" i="11"/>
  <c r="E75" i="11"/>
  <c r="B75" i="11"/>
  <c r="F170" i="11"/>
  <c r="H170" i="11"/>
  <c r="D170" i="11"/>
  <c r="E170" i="11"/>
  <c r="C170" i="11"/>
  <c r="B170" i="11"/>
  <c r="G170" i="11"/>
  <c r="H225" i="11"/>
  <c r="G225" i="11"/>
  <c r="C225" i="11"/>
  <c r="F225" i="11"/>
  <c r="B225" i="11"/>
  <c r="E225" i="11"/>
  <c r="D225" i="11"/>
  <c r="F100" i="11"/>
  <c r="H100" i="11"/>
  <c r="B100" i="11"/>
  <c r="G100" i="11"/>
  <c r="E100" i="11"/>
  <c r="D100" i="11"/>
  <c r="C100" i="11"/>
  <c r="G157" i="11"/>
  <c r="C157" i="11"/>
  <c r="H157" i="11"/>
  <c r="F157" i="11"/>
  <c r="D157" i="11"/>
  <c r="E157" i="11"/>
  <c r="B157" i="11"/>
  <c r="F124" i="11"/>
  <c r="D124" i="11"/>
  <c r="H124" i="11"/>
  <c r="B124" i="11"/>
  <c r="C124" i="11"/>
  <c r="G124" i="11"/>
  <c r="E124" i="11"/>
  <c r="G202" i="11"/>
  <c r="B202" i="11"/>
  <c r="H202" i="11"/>
  <c r="F202" i="11"/>
  <c r="E202" i="11"/>
  <c r="C202" i="11"/>
  <c r="D202" i="11"/>
  <c r="S155" i="8"/>
  <c r="Q155" i="4"/>
  <c r="K129" i="8"/>
  <c r="F129" i="4" s="1"/>
  <c r="K118" i="8"/>
  <c r="F118" i="4" s="1"/>
  <c r="M118" i="4"/>
  <c r="N118" i="4" s="1"/>
  <c r="K149" i="8"/>
  <c r="F149" i="4" s="1"/>
  <c r="M149" i="4"/>
  <c r="N149" i="4" s="1"/>
  <c r="S163" i="8"/>
  <c r="Q163" i="4"/>
  <c r="S113" i="8"/>
  <c r="Q113" i="4"/>
  <c r="O113" i="4"/>
  <c r="D232" i="11"/>
  <c r="C232" i="11"/>
  <c r="H232" i="11"/>
  <c r="G232" i="11"/>
  <c r="F232" i="11"/>
  <c r="B232" i="11"/>
  <c r="E232" i="11"/>
  <c r="B99" i="11"/>
  <c r="E99" i="11"/>
  <c r="C99" i="11"/>
  <c r="H99" i="11"/>
  <c r="G99" i="11"/>
  <c r="F99" i="11"/>
  <c r="D99" i="11"/>
  <c r="W166" i="8"/>
  <c r="L166" i="4" s="1"/>
  <c r="Q166" i="4"/>
  <c r="S83" i="8"/>
  <c r="Q83" i="4"/>
  <c r="O83" i="4"/>
  <c r="K197" i="8"/>
  <c r="F197" i="4" s="1"/>
  <c r="AB197" i="4"/>
  <c r="AC197" i="4" s="1"/>
  <c r="M197" i="4"/>
  <c r="N197" i="4" s="1"/>
  <c r="S191" i="8"/>
  <c r="AB168" i="4"/>
  <c r="AC168" i="4" s="1"/>
  <c r="K160" i="8"/>
  <c r="F160" i="4" s="1"/>
  <c r="AB160" i="4"/>
  <c r="AC160" i="4" s="1"/>
  <c r="M160" i="4"/>
  <c r="N160" i="4" s="1"/>
  <c r="S152" i="8"/>
  <c r="AB169" i="4"/>
  <c r="AC169" i="4" s="1"/>
  <c r="S112" i="8"/>
  <c r="Q112" i="4"/>
  <c r="O112" i="4"/>
  <c r="S110" i="8"/>
  <c r="Q110" i="4"/>
  <c r="O110" i="4"/>
  <c r="Q96" i="4"/>
  <c r="O96" i="4"/>
  <c r="Q66" i="4"/>
  <c r="O66" i="4"/>
  <c r="S132" i="8"/>
  <c r="O132" i="4"/>
  <c r="Q132" i="4"/>
  <c r="Q105" i="4"/>
  <c r="K162" i="8"/>
  <c r="F162" i="4" s="1"/>
  <c r="AB162" i="4"/>
  <c r="AC162" i="4" s="1"/>
  <c r="M162" i="4"/>
  <c r="N162" i="4" s="1"/>
  <c r="K135" i="8"/>
  <c r="F135" i="4" s="1"/>
  <c r="Q93" i="4"/>
  <c r="O93" i="4"/>
  <c r="O199" i="4"/>
  <c r="M199" i="4"/>
  <c r="N199" i="4" s="1"/>
  <c r="O137" i="4"/>
  <c r="S118" i="8"/>
  <c r="AB110" i="4"/>
  <c r="AC110" i="4" s="1"/>
  <c r="M110" i="4"/>
  <c r="N110" i="4" s="1"/>
  <c r="Q72" i="4"/>
  <c r="O72" i="4"/>
  <c r="K42" i="8"/>
  <c r="F42" i="4" s="1"/>
  <c r="M42" i="4"/>
  <c r="N42" i="4" s="1"/>
  <c r="AB42" i="4"/>
  <c r="AC42" i="4" s="1"/>
  <c r="O143" i="4"/>
  <c r="AB107" i="4"/>
  <c r="AC107" i="4" s="1"/>
  <c r="Q74" i="4"/>
  <c r="S74" i="8"/>
  <c r="Q70" i="4"/>
  <c r="O158" i="8"/>
  <c r="O104" i="4"/>
  <c r="O104" i="8"/>
  <c r="W24" i="8"/>
  <c r="L24" i="4" s="1"/>
  <c r="Q24" i="4"/>
  <c r="O180" i="4"/>
  <c r="O63" i="8"/>
  <c r="O63" i="4"/>
  <c r="O154" i="4"/>
  <c r="O85" i="8"/>
  <c r="S122" i="8"/>
  <c r="O34" i="8"/>
  <c r="AB59" i="4"/>
  <c r="AC59" i="4" s="1"/>
  <c r="K33" i="8"/>
  <c r="F33" i="4" s="1"/>
  <c r="K50" i="8"/>
  <c r="F50" i="4" s="1"/>
  <c r="M50" i="4"/>
  <c r="N50" i="4" s="1"/>
  <c r="AB27" i="4"/>
  <c r="AC27" i="4" s="1"/>
  <c r="M27" i="4"/>
  <c r="N27" i="4" s="1"/>
  <c r="K27" i="8"/>
  <c r="F27" i="4" s="1"/>
  <c r="AB115" i="4"/>
  <c r="AC115" i="4" s="1"/>
  <c r="Q2" i="4"/>
  <c r="H234" i="11"/>
  <c r="G234" i="11"/>
  <c r="C234" i="11"/>
  <c r="F234" i="11"/>
  <c r="D234" i="11"/>
  <c r="E234" i="11"/>
  <c r="B234" i="11"/>
  <c r="G186" i="11"/>
  <c r="B186" i="11"/>
  <c r="F186" i="11"/>
  <c r="E186" i="11"/>
  <c r="D186" i="11"/>
  <c r="H186" i="11"/>
  <c r="C186" i="11"/>
  <c r="G242" i="11"/>
  <c r="H242" i="11"/>
  <c r="C242" i="11"/>
  <c r="B242" i="11"/>
  <c r="F242" i="11"/>
  <c r="E242" i="11"/>
  <c r="D242" i="11"/>
  <c r="D241" i="11"/>
  <c r="C241" i="11"/>
  <c r="H241" i="11"/>
  <c r="F241" i="11"/>
  <c r="G241" i="11"/>
  <c r="E241" i="11"/>
  <c r="B241" i="11"/>
  <c r="G245" i="11"/>
  <c r="H245" i="11"/>
  <c r="E245" i="11"/>
  <c r="C245" i="11"/>
  <c r="F245" i="11"/>
  <c r="D245" i="11"/>
  <c r="B245" i="11"/>
  <c r="E90" i="11"/>
  <c r="D90" i="11"/>
  <c r="H90" i="11"/>
  <c r="C90" i="11"/>
  <c r="G90" i="11"/>
  <c r="F90" i="11"/>
  <c r="B90" i="11"/>
  <c r="B174" i="11"/>
  <c r="F174" i="11"/>
  <c r="G174" i="11"/>
  <c r="E174" i="11"/>
  <c r="D174" i="11"/>
  <c r="C174" i="11"/>
  <c r="H174" i="11"/>
  <c r="B165" i="11"/>
  <c r="F165" i="11"/>
  <c r="G165" i="11"/>
  <c r="E165" i="11"/>
  <c r="D165" i="11"/>
  <c r="C165" i="11"/>
  <c r="H165" i="11"/>
  <c r="H216" i="11"/>
  <c r="G216" i="11"/>
  <c r="C216" i="11"/>
  <c r="E216" i="11"/>
  <c r="D216" i="11"/>
  <c r="B216" i="11"/>
  <c r="F216" i="11"/>
  <c r="E119" i="11"/>
  <c r="G119" i="11"/>
  <c r="F119" i="11"/>
  <c r="D119" i="11"/>
  <c r="H119" i="11"/>
  <c r="C119" i="11"/>
  <c r="B119" i="11"/>
  <c r="H243" i="11"/>
  <c r="G243" i="11"/>
  <c r="C243" i="11"/>
  <c r="F243" i="11"/>
  <c r="E243" i="11"/>
  <c r="D243" i="11"/>
  <c r="B243" i="11"/>
  <c r="E134" i="11"/>
  <c r="D134" i="11"/>
  <c r="C134" i="11"/>
  <c r="B134" i="11"/>
  <c r="H134" i="11"/>
  <c r="G134" i="11"/>
  <c r="F134" i="11"/>
  <c r="S64" i="8"/>
  <c r="Q64" i="4"/>
  <c r="O64" i="4"/>
  <c r="K161" i="8"/>
  <c r="F161" i="4" s="1"/>
  <c r="AB161" i="4"/>
  <c r="AC161" i="4" s="1"/>
  <c r="M161" i="4"/>
  <c r="N161" i="4" s="1"/>
  <c r="AB118" i="4"/>
  <c r="AC118" i="4" s="1"/>
  <c r="K179" i="8"/>
  <c r="F179" i="4" s="1"/>
  <c r="O175" i="8"/>
  <c r="K137" i="8"/>
  <c r="F137" i="4" s="1"/>
  <c r="M137" i="4"/>
  <c r="N137" i="4" s="1"/>
  <c r="S137" i="8"/>
  <c r="Q137" i="4"/>
  <c r="K112" i="8"/>
  <c r="F112" i="4" s="1"/>
  <c r="M112" i="4"/>
  <c r="N112" i="4" s="1"/>
  <c r="O165" i="8"/>
  <c r="K113" i="8"/>
  <c r="F113" i="4" s="1"/>
  <c r="S26" i="8"/>
  <c r="Q26" i="4"/>
  <c r="O26" i="4"/>
  <c r="O76" i="8"/>
  <c r="M59" i="4"/>
  <c r="N59" i="4" s="1"/>
  <c r="G215" i="11"/>
  <c r="H215" i="11"/>
  <c r="C215" i="11"/>
  <c r="B215" i="11"/>
  <c r="F215" i="11"/>
  <c r="D215" i="11"/>
  <c r="E215" i="11"/>
  <c r="Q56" i="11"/>
  <c r="E130" i="11"/>
  <c r="D130" i="11"/>
  <c r="H130" i="11"/>
  <c r="G130" i="11"/>
  <c r="F130" i="11"/>
  <c r="C130" i="11"/>
  <c r="B130" i="11"/>
  <c r="F182" i="11"/>
  <c r="G182" i="11"/>
  <c r="D182" i="11"/>
  <c r="C182" i="11"/>
  <c r="B182" i="11"/>
  <c r="H182" i="11"/>
  <c r="E182" i="11"/>
  <c r="C163" i="11"/>
  <c r="H163" i="11"/>
  <c r="G163" i="11"/>
  <c r="F163" i="11"/>
  <c r="E163" i="11"/>
  <c r="D163" i="11"/>
  <c r="B163" i="11"/>
  <c r="F196" i="11"/>
  <c r="H196" i="11"/>
  <c r="D196" i="11"/>
  <c r="G196" i="11"/>
  <c r="E196" i="11"/>
  <c r="C196" i="11"/>
  <c r="B196" i="11"/>
  <c r="G212" i="11"/>
  <c r="D212" i="11"/>
  <c r="H212" i="11"/>
  <c r="F212" i="11"/>
  <c r="C212" i="11"/>
  <c r="B212" i="11"/>
  <c r="E212" i="11"/>
  <c r="B171" i="11"/>
  <c r="F171" i="11"/>
  <c r="E171" i="11"/>
  <c r="G171" i="11"/>
  <c r="D171" i="11"/>
  <c r="C171" i="11"/>
  <c r="H171" i="11"/>
  <c r="F179" i="11"/>
  <c r="C179" i="11"/>
  <c r="B179" i="11"/>
  <c r="H179" i="11"/>
  <c r="G179" i="11"/>
  <c r="E179" i="11"/>
  <c r="D179" i="11"/>
  <c r="E86" i="11"/>
  <c r="D86" i="11"/>
  <c r="C86" i="11"/>
  <c r="G86" i="11"/>
  <c r="F86" i="11"/>
  <c r="B86" i="11"/>
  <c r="H86" i="11"/>
  <c r="D70" i="11"/>
  <c r="C70" i="11"/>
  <c r="E70" i="11"/>
  <c r="B70" i="11"/>
  <c r="F70" i="11"/>
  <c r="H70" i="11"/>
  <c r="G70" i="11"/>
  <c r="G177" i="11"/>
  <c r="B177" i="11"/>
  <c r="F177" i="11"/>
  <c r="E177" i="11"/>
  <c r="D177" i="11"/>
  <c r="H177" i="11"/>
  <c r="C177" i="11"/>
  <c r="F158" i="11"/>
  <c r="D158" i="11"/>
  <c r="H158" i="11"/>
  <c r="G158" i="11"/>
  <c r="C158" i="11"/>
  <c r="E158" i="11"/>
  <c r="B158" i="11"/>
  <c r="H121" i="11"/>
  <c r="G121" i="11"/>
  <c r="C121" i="11"/>
  <c r="F121" i="11"/>
  <c r="D121" i="11"/>
  <c r="B121" i="11"/>
  <c r="E121" i="11"/>
  <c r="E82" i="11"/>
  <c r="D82" i="11"/>
  <c r="F82" i="11"/>
  <c r="B82" i="11"/>
  <c r="H82" i="11"/>
  <c r="C82" i="11"/>
  <c r="G82" i="11"/>
  <c r="G230" i="11"/>
  <c r="H230" i="11"/>
  <c r="D230" i="11"/>
  <c r="C230" i="11"/>
  <c r="B230" i="11"/>
  <c r="F230" i="11"/>
  <c r="E230" i="11"/>
  <c r="C210" i="11"/>
  <c r="E210" i="11"/>
  <c r="H210" i="11"/>
  <c r="G210" i="11"/>
  <c r="F210" i="11"/>
  <c r="B210" i="11"/>
  <c r="D210" i="11"/>
  <c r="G233" i="11"/>
  <c r="H233" i="11"/>
  <c r="D233" i="11"/>
  <c r="B233" i="11"/>
  <c r="C233" i="11"/>
  <c r="F233" i="11"/>
  <c r="E233" i="11"/>
  <c r="D238" i="11"/>
  <c r="C238" i="11"/>
  <c r="H238" i="11"/>
  <c r="F238" i="11"/>
  <c r="E238" i="11"/>
  <c r="B238" i="11"/>
  <c r="G238" i="11"/>
  <c r="C148" i="11"/>
  <c r="F148" i="11"/>
  <c r="E148" i="11"/>
  <c r="D148" i="11"/>
  <c r="B148" i="11"/>
  <c r="H148" i="11"/>
  <c r="G148" i="11"/>
  <c r="C190" i="11"/>
  <c r="H190" i="11"/>
  <c r="D190" i="11"/>
  <c r="B190" i="11"/>
  <c r="G190" i="11"/>
  <c r="F190" i="11"/>
  <c r="E190" i="11"/>
  <c r="B156" i="11"/>
  <c r="F156" i="11"/>
  <c r="H156" i="11"/>
  <c r="G156" i="11"/>
  <c r="D156" i="11"/>
  <c r="E156" i="11"/>
  <c r="C156" i="11"/>
  <c r="B150" i="11"/>
  <c r="D150" i="11"/>
  <c r="C150" i="11"/>
  <c r="H150" i="11"/>
  <c r="G150" i="11"/>
  <c r="F150" i="11"/>
  <c r="E150" i="11"/>
  <c r="B91" i="11"/>
  <c r="H91" i="11"/>
  <c r="G91" i="11"/>
  <c r="F91" i="11"/>
  <c r="E91" i="11"/>
  <c r="D91" i="11"/>
  <c r="C91" i="11"/>
  <c r="C198" i="11"/>
  <c r="F198" i="11"/>
  <c r="H198" i="11"/>
  <c r="G198" i="11"/>
  <c r="B198" i="11"/>
  <c r="E198" i="11"/>
  <c r="D198" i="11"/>
  <c r="G200" i="11"/>
  <c r="H200" i="11"/>
  <c r="F200" i="11"/>
  <c r="E200" i="11"/>
  <c r="B200" i="11"/>
  <c r="C200" i="11"/>
  <c r="D200" i="11"/>
  <c r="W187" i="8"/>
  <c r="L187" i="4" s="1"/>
  <c r="Q187" i="4"/>
  <c r="O151" i="8"/>
  <c r="H61" i="4"/>
  <c r="K191" i="8"/>
  <c r="F191" i="4" s="1"/>
  <c r="O182" i="8"/>
  <c r="O182" i="4"/>
  <c r="M182" i="4"/>
  <c r="N182" i="4" s="1"/>
  <c r="O160" i="8"/>
  <c r="O160" i="4"/>
  <c r="K200" i="8"/>
  <c r="F200" i="4" s="1"/>
  <c r="AB200" i="4"/>
  <c r="AC200" i="4" s="1"/>
  <c r="M200" i="4"/>
  <c r="N200" i="4" s="1"/>
  <c r="AB194" i="4"/>
  <c r="AC194" i="4" s="1"/>
  <c r="K189" i="8"/>
  <c r="F189" i="4" s="1"/>
  <c r="M189" i="4"/>
  <c r="N189" i="4" s="1"/>
  <c r="Q199" i="4"/>
  <c r="M155" i="4"/>
  <c r="N155" i="4" s="1"/>
  <c r="AB155" i="4"/>
  <c r="AC155" i="4" s="1"/>
  <c r="O186" i="8"/>
  <c r="O181" i="8"/>
  <c r="S114" i="8"/>
  <c r="Q149" i="4"/>
  <c r="O149" i="4"/>
  <c r="Q98" i="4"/>
  <c r="K138" i="8"/>
  <c r="F138" i="4" s="1"/>
  <c r="M138" i="4"/>
  <c r="N138" i="4" s="1"/>
  <c r="Q116" i="4"/>
  <c r="O116" i="4"/>
  <c r="S72" i="8"/>
  <c r="AB165" i="4"/>
  <c r="AC165" i="4" s="1"/>
  <c r="S165" i="8"/>
  <c r="O143" i="8"/>
  <c r="Q63" i="4"/>
  <c r="M180" i="4"/>
  <c r="N180" i="4" s="1"/>
  <c r="AB180" i="4"/>
  <c r="AC180" i="4" s="1"/>
  <c r="O84" i="8"/>
  <c r="O84" i="4"/>
  <c r="M84" i="4"/>
  <c r="N84" i="4" s="1"/>
  <c r="O57" i="8"/>
  <c r="H57" i="4" s="1"/>
  <c r="O57" i="4"/>
  <c r="M57" i="4"/>
  <c r="N57" i="4" s="1"/>
  <c r="AB122" i="4"/>
  <c r="AC122" i="4" s="1"/>
  <c r="S81" i="8"/>
  <c r="M46" i="4"/>
  <c r="N46" i="4" s="1"/>
  <c r="K46" i="8"/>
  <c r="F46" i="4" s="1"/>
  <c r="AB12" i="4"/>
  <c r="AC12" i="4" s="1"/>
  <c r="O117" i="8"/>
  <c r="AB50" i="4"/>
  <c r="AC50" i="4" s="1"/>
  <c r="M126" i="4"/>
  <c r="N126" i="4" s="1"/>
  <c r="S29" i="8"/>
  <c r="Q29" i="4"/>
  <c r="Q99" i="4"/>
  <c r="S99" i="8"/>
  <c r="M54" i="4"/>
  <c r="N54" i="4" s="1"/>
  <c r="AB54" i="4"/>
  <c r="AC54" i="4" s="1"/>
  <c r="K54" i="8"/>
  <c r="F54" i="4" s="1"/>
  <c r="Q88" i="4"/>
  <c r="S88" i="8"/>
  <c r="Q49" i="4"/>
  <c r="S49" i="8"/>
  <c r="G14" i="9"/>
  <c r="G85" i="9"/>
  <c r="G122" i="9"/>
  <c r="G179" i="9"/>
  <c r="G95" i="9"/>
  <c r="G53" i="9"/>
  <c r="Q77" i="4"/>
  <c r="M30" i="4"/>
  <c r="N30" i="4" s="1"/>
  <c r="O30" i="4"/>
  <c r="O15" i="4"/>
  <c r="P63" i="9"/>
  <c r="P190" i="9"/>
  <c r="P136" i="9"/>
  <c r="P193" i="9"/>
  <c r="G36" i="9"/>
  <c r="G29" i="9"/>
  <c r="G5" i="9"/>
  <c r="G6" i="9" s="1"/>
  <c r="G39" i="9"/>
  <c r="G152" i="9"/>
  <c r="G38" i="9"/>
  <c r="G121" i="9"/>
  <c r="G201" i="9"/>
  <c r="AB34" i="4"/>
  <c r="AC34" i="4" s="1"/>
  <c r="Q18" i="4"/>
  <c r="AB17" i="4"/>
  <c r="AC17" i="4" s="1"/>
  <c r="O15" i="8"/>
  <c r="H15" i="4" s="1"/>
  <c r="AB9" i="4"/>
  <c r="AC9" i="4" s="1"/>
  <c r="P19" i="9"/>
  <c r="P55" i="9"/>
  <c r="P201" i="9"/>
  <c r="P196" i="9"/>
  <c r="F198" i="4"/>
  <c r="F196" i="4"/>
  <c r="F187" i="4"/>
  <c r="F177" i="4"/>
  <c r="N198" i="4"/>
  <c r="F176" i="4"/>
  <c r="N171" i="4"/>
  <c r="N170" i="4"/>
  <c r="F174" i="4"/>
  <c r="F151" i="4"/>
  <c r="F150" i="4"/>
  <c r="N201" i="4"/>
  <c r="F148" i="4"/>
  <c r="F136" i="4"/>
  <c r="N187" i="4"/>
  <c r="N177" i="4"/>
  <c r="F170" i="4"/>
  <c r="F65" i="4"/>
  <c r="F142" i="4"/>
  <c r="F127" i="4"/>
  <c r="F121" i="4"/>
  <c r="F120" i="4"/>
  <c r="F114" i="4"/>
  <c r="F109" i="4"/>
  <c r="F108" i="4"/>
  <c r="F103" i="4"/>
  <c r="N86" i="4"/>
  <c r="F134" i="4"/>
  <c r="F131" i="4"/>
  <c r="F64" i="4"/>
  <c r="F152" i="4"/>
  <c r="N145" i="4"/>
  <c r="F100" i="4"/>
  <c r="F45" i="4"/>
  <c r="N174" i="4"/>
  <c r="N78" i="4"/>
  <c r="N72" i="4"/>
  <c r="N48" i="4"/>
  <c r="N24" i="4"/>
  <c r="F178" i="4"/>
  <c r="N157" i="4"/>
  <c r="F98" i="4"/>
  <c r="F86" i="4"/>
  <c r="F74" i="4"/>
  <c r="F44" i="4"/>
  <c r="F38" i="4"/>
  <c r="F26" i="4"/>
  <c r="F20" i="4"/>
  <c r="N4" i="4"/>
  <c r="F2" i="4"/>
  <c r="N71" i="4"/>
  <c r="F67" i="4"/>
  <c r="F201" i="4"/>
  <c r="F195" i="4"/>
  <c r="N7" i="4"/>
  <c r="N3" i="4"/>
  <c r="F184" i="4"/>
  <c r="N100" i="4"/>
  <c r="N152" i="4"/>
  <c r="N111" i="4"/>
  <c r="F61" i="4"/>
  <c r="N52" i="4"/>
  <c r="F31" i="4"/>
  <c r="N150" i="4"/>
  <c r="N87" i="4"/>
  <c r="N2" i="4"/>
  <c r="F7" i="4"/>
  <c r="F78" i="4"/>
  <c r="N159" i="4"/>
  <c r="F58" i="4"/>
  <c r="F84" i="4"/>
  <c r="N26" i="4"/>
  <c r="N10" i="4"/>
  <c r="F24" i="4"/>
  <c r="F23" i="4"/>
  <c r="F13" i="4"/>
  <c r="F90" i="4"/>
  <c r="N75" i="4"/>
  <c r="N93" i="4"/>
  <c r="N65" i="4"/>
  <c r="N38" i="4"/>
  <c r="F11" i="4"/>
  <c r="F35" i="4"/>
  <c r="G46" i="9"/>
  <c r="G48" i="9"/>
  <c r="G69" i="9"/>
  <c r="G146" i="9"/>
  <c r="G125" i="9"/>
  <c r="N28" i="4"/>
  <c r="K42" i="6"/>
  <c r="K62" i="6"/>
  <c r="O14" i="4"/>
  <c r="O19" i="4"/>
  <c r="N166" i="4"/>
  <c r="N134" i="4"/>
  <c r="S9" i="8"/>
  <c r="K79" i="8"/>
  <c r="F79" i="4" s="1"/>
  <c r="Q79" i="4"/>
  <c r="N95" i="4"/>
  <c r="P24" i="9"/>
  <c r="P57" i="9"/>
  <c r="P120" i="9"/>
  <c r="P51" i="9"/>
  <c r="P147" i="9"/>
  <c r="P3" i="9"/>
  <c r="P172" i="9"/>
  <c r="P81" i="9"/>
  <c r="H202" i="9"/>
  <c r="J202" i="9" s="1"/>
  <c r="H199" i="9"/>
  <c r="J199" i="9" s="1"/>
  <c r="H196" i="9"/>
  <c r="J196" i="9" s="1"/>
  <c r="H193" i="9"/>
  <c r="J193" i="9" s="1"/>
  <c r="H190" i="9"/>
  <c r="J190" i="9" s="1"/>
  <c r="H187" i="9"/>
  <c r="J187" i="9" s="1"/>
  <c r="H184" i="9"/>
  <c r="J184" i="9" s="1"/>
  <c r="H181" i="9"/>
  <c r="J181" i="9" s="1"/>
  <c r="H178" i="9"/>
  <c r="J178" i="9" s="1"/>
  <c r="H175" i="9"/>
  <c r="J175" i="9" s="1"/>
  <c r="H172" i="9"/>
  <c r="J172" i="9" s="1"/>
  <c r="H169" i="9"/>
  <c r="J169" i="9" s="1"/>
  <c r="H166" i="9"/>
  <c r="J166" i="9" s="1"/>
  <c r="H163" i="9"/>
  <c r="J163" i="9" s="1"/>
  <c r="H160" i="9"/>
  <c r="J160" i="9" s="1"/>
  <c r="H157" i="9"/>
  <c r="J157" i="9" s="1"/>
  <c r="H154" i="9"/>
  <c r="J154" i="9" s="1"/>
  <c r="H151" i="9"/>
  <c r="J151" i="9" s="1"/>
  <c r="H148" i="9"/>
  <c r="J148" i="9" s="1"/>
  <c r="H145" i="9"/>
  <c r="J145" i="9" s="1"/>
  <c r="H142" i="9"/>
  <c r="J142" i="9" s="1"/>
  <c r="H139" i="9"/>
  <c r="J139" i="9" s="1"/>
  <c r="H136" i="9"/>
  <c r="J136" i="9" s="1"/>
  <c r="H133" i="9"/>
  <c r="J133" i="9" s="1"/>
  <c r="H130" i="9"/>
  <c r="J130" i="9" s="1"/>
  <c r="H127" i="9"/>
  <c r="J127" i="9" s="1"/>
  <c r="H124" i="9"/>
  <c r="J124" i="9" s="1"/>
  <c r="H121" i="9"/>
  <c r="J121" i="9" s="1"/>
  <c r="H118" i="9"/>
  <c r="J118" i="9" s="1"/>
  <c r="H115" i="9"/>
  <c r="J115" i="9" s="1"/>
  <c r="H112" i="9"/>
  <c r="J112" i="9" s="1"/>
  <c r="H109" i="9"/>
  <c r="J109" i="9" s="1"/>
  <c r="H106" i="9"/>
  <c r="J106" i="9" s="1"/>
  <c r="H103" i="9"/>
  <c r="J103" i="9" s="1"/>
  <c r="H100" i="9"/>
  <c r="J100" i="9" s="1"/>
  <c r="H97" i="9"/>
  <c r="J97" i="9" s="1"/>
  <c r="H94" i="9"/>
  <c r="J94" i="9" s="1"/>
  <c r="H91" i="9"/>
  <c r="J91" i="9" s="1"/>
  <c r="H88" i="9"/>
  <c r="J88" i="9" s="1"/>
  <c r="H85" i="9"/>
  <c r="J85" i="9" s="1"/>
  <c r="H82" i="9"/>
  <c r="J82" i="9" s="1"/>
  <c r="H79" i="9"/>
  <c r="J79" i="9" s="1"/>
  <c r="H76" i="9"/>
  <c r="J76" i="9" s="1"/>
  <c r="H73" i="9"/>
  <c r="J73" i="9" s="1"/>
  <c r="H70" i="9"/>
  <c r="J70" i="9" s="1"/>
  <c r="H67" i="9"/>
  <c r="J67" i="9" s="1"/>
  <c r="H64" i="9"/>
  <c r="J64" i="9" s="1"/>
  <c r="H61" i="9"/>
  <c r="J61" i="9" s="1"/>
  <c r="H58" i="9"/>
  <c r="J58" i="9" s="1"/>
  <c r="H55" i="9"/>
  <c r="J55" i="9" s="1"/>
  <c r="H52" i="9"/>
  <c r="J52" i="9" s="1"/>
  <c r="H49" i="9"/>
  <c r="J49" i="9" s="1"/>
  <c r="H46" i="9"/>
  <c r="J46" i="9" s="1"/>
  <c r="H43" i="9"/>
  <c r="J43" i="9" s="1"/>
  <c r="H40" i="9"/>
  <c r="J40" i="9" s="1"/>
  <c r="H37" i="9"/>
  <c r="J37" i="9" s="1"/>
  <c r="H34" i="9"/>
  <c r="J34" i="9" s="1"/>
  <c r="H31" i="9"/>
  <c r="J31" i="9" s="1"/>
  <c r="H28" i="9"/>
  <c r="J28" i="9" s="1"/>
  <c r="H25" i="9"/>
  <c r="J25" i="9" s="1"/>
  <c r="H22" i="9"/>
  <c r="J22" i="9" s="1"/>
  <c r="H19" i="9"/>
  <c r="J19" i="9" s="1"/>
  <c r="H16" i="9"/>
  <c r="J16" i="9" s="1"/>
  <c r="H13" i="9"/>
  <c r="J13" i="9" s="1"/>
  <c r="H10" i="9"/>
  <c r="J10" i="9" s="1"/>
  <c r="H7" i="9"/>
  <c r="J7" i="9" s="1"/>
  <c r="H4" i="9"/>
  <c r="J4" i="9" s="1"/>
  <c r="D12" i="11"/>
  <c r="F12" i="11" s="1"/>
  <c r="H197" i="9"/>
  <c r="J197" i="9" s="1"/>
  <c r="H143" i="9"/>
  <c r="J143" i="9" s="1"/>
  <c r="L4" i="10"/>
  <c r="H201" i="9"/>
  <c r="J201" i="9" s="1"/>
  <c r="H200" i="9"/>
  <c r="J200" i="9" s="1"/>
  <c r="H168" i="9"/>
  <c r="J168" i="9" s="1"/>
  <c r="H165" i="9"/>
  <c r="J165" i="9" s="1"/>
  <c r="H144" i="9"/>
  <c r="J144" i="9" s="1"/>
  <c r="H141" i="9"/>
  <c r="J141" i="9" s="1"/>
  <c r="H126" i="9"/>
  <c r="J126" i="9" s="1"/>
  <c r="H101" i="9"/>
  <c r="J101" i="9" s="1"/>
  <c r="H93" i="9"/>
  <c r="J93" i="9" s="1"/>
  <c r="H167" i="9"/>
  <c r="J167" i="9" s="1"/>
  <c r="H164" i="9"/>
  <c r="J164" i="9" s="1"/>
  <c r="H140" i="9"/>
  <c r="J140" i="9" s="1"/>
  <c r="H117" i="9"/>
  <c r="J117" i="9" s="1"/>
  <c r="H180" i="9"/>
  <c r="J180" i="9" s="1"/>
  <c r="H179" i="9"/>
  <c r="J179" i="9" s="1"/>
  <c r="H155" i="9"/>
  <c r="J155" i="9" s="1"/>
  <c r="H132" i="9"/>
  <c r="J132" i="9" s="1"/>
  <c r="H114" i="9"/>
  <c r="J114" i="9" s="1"/>
  <c r="H98" i="9"/>
  <c r="J98" i="9" s="1"/>
  <c r="H81" i="9"/>
  <c r="J81" i="9" s="1"/>
  <c r="H56" i="9"/>
  <c r="J56" i="9" s="1"/>
  <c r="H48" i="9"/>
  <c r="J48" i="9" s="1"/>
  <c r="H23" i="9"/>
  <c r="J23" i="9" s="1"/>
  <c r="H6" i="9"/>
  <c r="H188" i="9"/>
  <c r="J188" i="9" s="1"/>
  <c r="H186" i="9"/>
  <c r="J186" i="9" s="1"/>
  <c r="H185" i="9"/>
  <c r="J185" i="9" s="1"/>
  <c r="H176" i="9"/>
  <c r="J176" i="9" s="1"/>
  <c r="H174" i="9"/>
  <c r="J174" i="9" s="1"/>
  <c r="H173" i="9"/>
  <c r="J173" i="9" s="1"/>
  <c r="H198" i="9"/>
  <c r="J198" i="9" s="1"/>
  <c r="H177" i="9"/>
  <c r="J177" i="9" s="1"/>
  <c r="H123" i="9"/>
  <c r="J123" i="9" s="1"/>
  <c r="H170" i="9"/>
  <c r="J170" i="9" s="1"/>
  <c r="H161" i="9"/>
  <c r="J161" i="9" s="1"/>
  <c r="H135" i="9"/>
  <c r="J135" i="9" s="1"/>
  <c r="H116" i="9"/>
  <c r="J116" i="9" s="1"/>
  <c r="H102" i="9"/>
  <c r="J102" i="9" s="1"/>
  <c r="H84" i="9"/>
  <c r="J84" i="9" s="1"/>
  <c r="H66" i="9"/>
  <c r="J66" i="9" s="1"/>
  <c r="H65" i="9"/>
  <c r="J65" i="9" s="1"/>
  <c r="H63" i="9"/>
  <c r="J63" i="9" s="1"/>
  <c r="H152" i="9"/>
  <c r="J152" i="9" s="1"/>
  <c r="H131" i="9"/>
  <c r="J131" i="9" s="1"/>
  <c r="H105" i="9"/>
  <c r="J105" i="9" s="1"/>
  <c r="H104" i="9"/>
  <c r="J104" i="9" s="1"/>
  <c r="H87" i="9"/>
  <c r="J87" i="9" s="1"/>
  <c r="H86" i="9"/>
  <c r="J86" i="9" s="1"/>
  <c r="H62" i="9"/>
  <c r="J62" i="9" s="1"/>
  <c r="H60" i="9"/>
  <c r="J60" i="9" s="1"/>
  <c r="H162" i="9"/>
  <c r="J162" i="9" s="1"/>
  <c r="H153" i="9"/>
  <c r="J153" i="9" s="1"/>
  <c r="H147" i="9"/>
  <c r="J147" i="9" s="1"/>
  <c r="H146" i="9"/>
  <c r="J146" i="9" s="1"/>
  <c r="H125" i="9"/>
  <c r="J125" i="9" s="1"/>
  <c r="H89" i="9"/>
  <c r="J89" i="9" s="1"/>
  <c r="H57" i="9"/>
  <c r="J57" i="9" s="1"/>
  <c r="H54" i="9"/>
  <c r="J54" i="9" s="1"/>
  <c r="H119" i="9"/>
  <c r="J119" i="9" s="1"/>
  <c r="H111" i="9"/>
  <c r="J111" i="9" s="1"/>
  <c r="H50" i="9"/>
  <c r="J50" i="9" s="1"/>
  <c r="H47" i="9"/>
  <c r="J47" i="9" s="1"/>
  <c r="H171" i="9"/>
  <c r="J171" i="9" s="1"/>
  <c r="H99" i="9"/>
  <c r="J99" i="9" s="1"/>
  <c r="H72" i="9"/>
  <c r="J72" i="9" s="1"/>
  <c r="H51" i="9"/>
  <c r="J51" i="9" s="1"/>
  <c r="H39" i="9"/>
  <c r="J39" i="9" s="1"/>
  <c r="H20" i="9"/>
  <c r="J20" i="9" s="1"/>
  <c r="H9" i="9"/>
  <c r="J9" i="9" s="1"/>
  <c r="H183" i="9"/>
  <c r="J183" i="9" s="1"/>
  <c r="H149" i="9"/>
  <c r="J149" i="9" s="1"/>
  <c r="H69" i="9"/>
  <c r="J69" i="9" s="1"/>
  <c r="H44" i="9"/>
  <c r="J44" i="9" s="1"/>
  <c r="H122" i="9"/>
  <c r="J122" i="9" s="1"/>
  <c r="H110" i="9"/>
  <c r="J110" i="9" s="1"/>
  <c r="H192" i="9"/>
  <c r="J192" i="9" s="1"/>
  <c r="H158" i="9"/>
  <c r="J158" i="9" s="1"/>
  <c r="H113" i="9"/>
  <c r="J113" i="9" s="1"/>
  <c r="H108" i="9"/>
  <c r="J108" i="9" s="1"/>
  <c r="H77" i="9"/>
  <c r="J77" i="9" s="1"/>
  <c r="H45" i="9"/>
  <c r="J45" i="9" s="1"/>
  <c r="H33" i="9"/>
  <c r="J33" i="9" s="1"/>
  <c r="H29" i="9"/>
  <c r="J29" i="9" s="1"/>
  <c r="H42" i="9"/>
  <c r="J42" i="9" s="1"/>
  <c r="H18" i="9"/>
  <c r="J18" i="9" s="1"/>
  <c r="H8" i="9"/>
  <c r="J8" i="9" s="1"/>
  <c r="H189" i="9"/>
  <c r="J189" i="9" s="1"/>
  <c r="H95" i="9"/>
  <c r="J95" i="9" s="1"/>
  <c r="H74" i="9"/>
  <c r="J74" i="9" s="1"/>
  <c r="H30" i="9"/>
  <c r="J30" i="9" s="1"/>
  <c r="H26" i="9"/>
  <c r="J26" i="9" s="1"/>
  <c r="H3" i="9"/>
  <c r="J3" i="9" s="1"/>
  <c r="H138" i="9"/>
  <c r="J138" i="9" s="1"/>
  <c r="H27" i="9"/>
  <c r="J27" i="9" s="1"/>
  <c r="H191" i="9"/>
  <c r="J191" i="9" s="1"/>
  <c r="H156" i="9"/>
  <c r="J156" i="9" s="1"/>
  <c r="H137" i="9"/>
  <c r="J137" i="9" s="1"/>
  <c r="H17" i="9"/>
  <c r="J17" i="9" s="1"/>
  <c r="H15" i="9"/>
  <c r="J15" i="9" s="1"/>
  <c r="H194" i="9"/>
  <c r="J194" i="9" s="1"/>
  <c r="H159" i="9"/>
  <c r="J159" i="9" s="1"/>
  <c r="H32" i="9"/>
  <c r="J32" i="9" s="1"/>
  <c r="H182" i="9"/>
  <c r="J182" i="9" s="1"/>
  <c r="H59" i="9"/>
  <c r="J59" i="9" s="1"/>
  <c r="H41" i="9"/>
  <c r="J41" i="9" s="1"/>
  <c r="H129" i="9"/>
  <c r="J129" i="9" s="1"/>
  <c r="H120" i="9"/>
  <c r="J120" i="9" s="1"/>
  <c r="H107" i="9"/>
  <c r="J107" i="9" s="1"/>
  <c r="H83" i="9"/>
  <c r="J83" i="9" s="1"/>
  <c r="H78" i="9"/>
  <c r="J78" i="9" s="1"/>
  <c r="H68" i="9"/>
  <c r="J68" i="9" s="1"/>
  <c r="H12" i="9"/>
  <c r="J12" i="9" s="1"/>
  <c r="H90" i="9"/>
  <c r="J90" i="9" s="1"/>
  <c r="H35" i="9"/>
  <c r="J35" i="9" s="1"/>
  <c r="H5" i="9"/>
  <c r="J5" i="9" s="1"/>
  <c r="H53" i="9"/>
  <c r="J53" i="9" s="1"/>
  <c r="H96" i="9"/>
  <c r="J96" i="9" s="1"/>
  <c r="H24" i="9"/>
  <c r="J24" i="9" s="1"/>
  <c r="H21" i="9"/>
  <c r="J21" i="9" s="1"/>
  <c r="H14" i="9"/>
  <c r="J14" i="9" s="1"/>
  <c r="H195" i="9"/>
  <c r="J195" i="9" s="1"/>
  <c r="H92" i="9"/>
  <c r="J92" i="9" s="1"/>
  <c r="H75" i="9"/>
  <c r="J75" i="9" s="1"/>
  <c r="H150" i="9"/>
  <c r="J150" i="9" s="1"/>
  <c r="H134" i="9"/>
  <c r="J134" i="9" s="1"/>
  <c r="H36" i="9"/>
  <c r="J36" i="9" s="1"/>
  <c r="H128" i="9"/>
  <c r="J128" i="9" s="1"/>
  <c r="H71" i="9"/>
  <c r="J71" i="9" s="1"/>
  <c r="H11" i="9"/>
  <c r="J11" i="9" s="1"/>
  <c r="H80" i="9"/>
  <c r="J80" i="9" s="1"/>
  <c r="H38" i="9"/>
  <c r="J38" i="9" s="1"/>
  <c r="U4" i="5"/>
  <c r="Z4" i="4"/>
  <c r="H19" i="4" s="1"/>
  <c r="F5" i="2"/>
  <c r="G42" i="9"/>
  <c r="G72" i="9"/>
  <c r="G64" i="9"/>
  <c r="G155" i="9"/>
  <c r="G102" i="9"/>
  <c r="G81" i="9"/>
  <c r="G139" i="9"/>
  <c r="G170" i="9"/>
  <c r="G137" i="9"/>
  <c r="D184" i="10"/>
  <c r="D198" i="10"/>
  <c r="D186" i="10"/>
  <c r="D170" i="10"/>
  <c r="D182" i="10"/>
  <c r="D176" i="10"/>
  <c r="D127" i="10"/>
  <c r="D109" i="10"/>
  <c r="D66" i="10"/>
  <c r="D133" i="10"/>
  <c r="D131" i="10"/>
  <c r="D130" i="10"/>
  <c r="D108" i="10"/>
  <c r="D102" i="10"/>
  <c r="D76" i="10"/>
  <c r="D65" i="10"/>
  <c r="D60" i="10"/>
  <c r="D54" i="10"/>
  <c r="D28" i="10"/>
  <c r="D118" i="10"/>
  <c r="D158" i="10"/>
  <c r="D200" i="10"/>
  <c r="D190" i="10"/>
  <c r="D122" i="10"/>
  <c r="D152" i="10"/>
  <c r="D111" i="10"/>
  <c r="D22" i="10"/>
  <c r="D126" i="10"/>
  <c r="D138" i="10"/>
  <c r="D57" i="10"/>
  <c r="D123" i="10"/>
  <c r="D94" i="10"/>
  <c r="D107" i="10"/>
  <c r="D70" i="10"/>
  <c r="D53" i="10"/>
  <c r="D18" i="10"/>
  <c r="D4" i="10"/>
  <c r="D49" i="10"/>
  <c r="D34" i="10"/>
  <c r="D30" i="10"/>
  <c r="D46" i="10"/>
  <c r="D44" i="10"/>
  <c r="D19" i="10"/>
  <c r="D139" i="10"/>
  <c r="D36" i="10"/>
  <c r="D27" i="10"/>
  <c r="D17" i="10"/>
  <c r="D12" i="10"/>
  <c r="D11" i="10"/>
  <c r="D59" i="10"/>
  <c r="D20" i="10"/>
  <c r="D75" i="10"/>
  <c r="D78" i="10"/>
  <c r="D113" i="10"/>
  <c r="K54" i="6"/>
  <c r="N58" i="4"/>
  <c r="K7" i="6"/>
  <c r="F185" i="11"/>
  <c r="H185" i="11"/>
  <c r="G185" i="11"/>
  <c r="E185" i="11"/>
  <c r="B185" i="11"/>
  <c r="D185" i="11"/>
  <c r="C185" i="11"/>
  <c r="B159" i="11"/>
  <c r="H159" i="11"/>
  <c r="G159" i="11"/>
  <c r="F159" i="11"/>
  <c r="D159" i="11"/>
  <c r="E159" i="11"/>
  <c r="C159" i="11"/>
  <c r="B103" i="11"/>
  <c r="H103" i="11"/>
  <c r="G103" i="11"/>
  <c r="C103" i="11"/>
  <c r="F103" i="11"/>
  <c r="E103" i="11"/>
  <c r="D103" i="11"/>
  <c r="F173" i="11"/>
  <c r="H173" i="11"/>
  <c r="G173" i="11"/>
  <c r="E173" i="11"/>
  <c r="D173" i="11"/>
  <c r="C173" i="11"/>
  <c r="B173" i="11"/>
  <c r="C213" i="11"/>
  <c r="G213" i="11"/>
  <c r="D213" i="11"/>
  <c r="B213" i="11"/>
  <c r="H213" i="11"/>
  <c r="F213" i="11"/>
  <c r="E213" i="11"/>
  <c r="H81" i="11"/>
  <c r="G81" i="11"/>
  <c r="C81" i="11"/>
  <c r="D81" i="11"/>
  <c r="F81" i="11"/>
  <c r="E81" i="11"/>
  <c r="B81" i="11"/>
  <c r="G160" i="11"/>
  <c r="H160" i="11"/>
  <c r="F160" i="11"/>
  <c r="E160" i="11"/>
  <c r="C160" i="11"/>
  <c r="D160" i="11"/>
  <c r="B160" i="11"/>
  <c r="F112" i="11"/>
  <c r="B112" i="11"/>
  <c r="H112" i="11"/>
  <c r="E112" i="11"/>
  <c r="C112" i="11"/>
  <c r="D112" i="11"/>
  <c r="G112" i="11"/>
  <c r="B147" i="11"/>
  <c r="F147" i="11"/>
  <c r="H147" i="11"/>
  <c r="G147" i="11"/>
  <c r="E147" i="11"/>
  <c r="D147" i="11"/>
  <c r="C147" i="11"/>
  <c r="B144" i="11"/>
  <c r="H144" i="11"/>
  <c r="F144" i="11"/>
  <c r="E144" i="11"/>
  <c r="D144" i="11"/>
  <c r="C144" i="11"/>
  <c r="G144" i="11"/>
  <c r="E116" i="11"/>
  <c r="F116" i="11"/>
  <c r="C116" i="11"/>
  <c r="B116" i="11"/>
  <c r="H116" i="11"/>
  <c r="G116" i="11"/>
  <c r="D116" i="11"/>
  <c r="H97" i="11"/>
  <c r="G97" i="11"/>
  <c r="C97" i="11"/>
  <c r="D97" i="11"/>
  <c r="F97" i="11"/>
  <c r="E97" i="11"/>
  <c r="B97" i="11"/>
  <c r="E94" i="11"/>
  <c r="D94" i="11"/>
  <c r="H94" i="11"/>
  <c r="G94" i="11"/>
  <c r="F94" i="11"/>
  <c r="C94" i="11"/>
  <c r="B94" i="11"/>
  <c r="D67" i="11"/>
  <c r="C67" i="11"/>
  <c r="E67" i="11"/>
  <c r="H67" i="11"/>
  <c r="G67" i="11"/>
  <c r="F67" i="11"/>
  <c r="B67" i="11"/>
  <c r="H198" i="4"/>
  <c r="H173" i="4"/>
  <c r="H145" i="4"/>
  <c r="G211" i="11"/>
  <c r="B211" i="11"/>
  <c r="H211" i="11"/>
  <c r="F211" i="11"/>
  <c r="E211" i="11"/>
  <c r="D211" i="11"/>
  <c r="C211" i="11"/>
  <c r="E131" i="11"/>
  <c r="G131" i="11"/>
  <c r="F131" i="11"/>
  <c r="H131" i="11"/>
  <c r="D131" i="11"/>
  <c r="C131" i="11"/>
  <c r="B131" i="11"/>
  <c r="C195" i="11"/>
  <c r="G195" i="11"/>
  <c r="H195" i="11"/>
  <c r="F195" i="11"/>
  <c r="E195" i="11"/>
  <c r="D195" i="11"/>
  <c r="B195" i="11"/>
  <c r="O176" i="8"/>
  <c r="H176" i="4" s="1"/>
  <c r="O176" i="4"/>
  <c r="P176" i="4" s="1"/>
  <c r="M176" i="4"/>
  <c r="N176" i="4" s="1"/>
  <c r="S157" i="8"/>
  <c r="O157" i="4"/>
  <c r="Q157" i="4"/>
  <c r="S134" i="8"/>
  <c r="Q134" i="4"/>
  <c r="O134" i="4"/>
  <c r="P134" i="4" s="1"/>
  <c r="O139" i="8"/>
  <c r="O139" i="4"/>
  <c r="S169" i="8"/>
  <c r="Q169" i="4"/>
  <c r="O169" i="4"/>
  <c r="P169" i="4" s="1"/>
  <c r="H169" i="4"/>
  <c r="AB117" i="4"/>
  <c r="AC117" i="4" s="1"/>
  <c r="M117" i="4"/>
  <c r="N117" i="4" s="1"/>
  <c r="H150" i="4"/>
  <c r="AB149" i="4"/>
  <c r="AC149" i="4" s="1"/>
  <c r="O129" i="8"/>
  <c r="H129" i="4" s="1"/>
  <c r="O129" i="4"/>
  <c r="AB106" i="4"/>
  <c r="AC106" i="4" s="1"/>
  <c r="M106" i="4"/>
  <c r="N106" i="4" s="1"/>
  <c r="AB137" i="4"/>
  <c r="AC137" i="4" s="1"/>
  <c r="H95" i="4"/>
  <c r="K62" i="8"/>
  <c r="F62" i="4" s="1"/>
  <c r="M62" i="4"/>
  <c r="N62" i="4" s="1"/>
  <c r="M143" i="4"/>
  <c r="N143" i="4" s="1"/>
  <c r="H107" i="4"/>
  <c r="AB69" i="4"/>
  <c r="AC69" i="4" s="1"/>
  <c r="O185" i="4"/>
  <c r="P185" i="4" s="1"/>
  <c r="Q164" i="4"/>
  <c r="W28" i="8"/>
  <c r="L28" i="4" s="1"/>
  <c r="Q28" i="4"/>
  <c r="H26" i="4"/>
  <c r="O74" i="8"/>
  <c r="H74" i="4" s="1"/>
  <c r="O74" i="4"/>
  <c r="P74" i="4" s="1"/>
  <c r="M74" i="4"/>
  <c r="N74" i="4" s="1"/>
  <c r="AB154" i="4"/>
  <c r="AC154" i="4" s="1"/>
  <c r="M154" i="4"/>
  <c r="N154" i="4" s="1"/>
  <c r="P32" i="4"/>
  <c r="Q36" i="4"/>
  <c r="AL3" i="4"/>
  <c r="AB80" i="4"/>
  <c r="AC80" i="4" s="1"/>
  <c r="V2" i="10"/>
  <c r="AL2" i="4"/>
  <c r="O80" i="4"/>
  <c r="P80" i="4" s="1"/>
  <c r="AB125" i="4"/>
  <c r="AC125" i="4" s="1"/>
  <c r="O77" i="4"/>
  <c r="P77" i="4" s="1"/>
  <c r="AB36" i="4"/>
  <c r="AC36" i="4" s="1"/>
  <c r="Q32" i="4"/>
  <c r="O14" i="8"/>
  <c r="AB19" i="4"/>
  <c r="AC19" i="4" s="1"/>
  <c r="N196" i="4"/>
  <c r="N83" i="4"/>
  <c r="P69" i="9"/>
  <c r="P102" i="9"/>
  <c r="P127" i="9"/>
  <c r="H200" i="5"/>
  <c r="H196" i="5"/>
  <c r="H192" i="5"/>
  <c r="H188" i="5"/>
  <c r="H184" i="5"/>
  <c r="H180" i="5"/>
  <c r="H176" i="5"/>
  <c r="H172" i="5"/>
  <c r="H168" i="5"/>
  <c r="H164" i="5"/>
  <c r="H195" i="5"/>
  <c r="H194" i="5"/>
  <c r="H191" i="5"/>
  <c r="H171" i="5"/>
  <c r="H175" i="5"/>
  <c r="H161" i="5"/>
  <c r="H157" i="5"/>
  <c r="H153" i="5"/>
  <c r="H149" i="5"/>
  <c r="H145" i="5"/>
  <c r="H141" i="5"/>
  <c r="H137" i="5"/>
  <c r="H133" i="5"/>
  <c r="H129" i="5"/>
  <c r="H125" i="5"/>
  <c r="H121" i="5"/>
  <c r="H117" i="5"/>
  <c r="H113" i="5"/>
  <c r="H109" i="5"/>
  <c r="H105" i="5"/>
  <c r="H101" i="5"/>
  <c r="H97" i="5"/>
  <c r="H93" i="5"/>
  <c r="H89" i="5"/>
  <c r="H85" i="5"/>
  <c r="H81" i="5"/>
  <c r="H77" i="5"/>
  <c r="H73" i="5"/>
  <c r="H69" i="5"/>
  <c r="H65" i="5"/>
  <c r="H61" i="5"/>
  <c r="H57" i="5"/>
  <c r="H53" i="5"/>
  <c r="H49" i="5"/>
  <c r="H45" i="5"/>
  <c r="H41" i="5"/>
  <c r="H37" i="5"/>
  <c r="H33" i="5"/>
  <c r="H29" i="5"/>
  <c r="H25" i="5"/>
  <c r="H21" i="5"/>
  <c r="H17" i="5"/>
  <c r="H13" i="5"/>
  <c r="H9" i="5"/>
  <c r="H198" i="5"/>
  <c r="H190" i="5"/>
  <c r="H179" i="5"/>
  <c r="H193" i="5"/>
  <c r="H182" i="5"/>
  <c r="H165" i="5"/>
  <c r="H162" i="5"/>
  <c r="H159" i="5"/>
  <c r="H156" i="5"/>
  <c r="H150" i="5"/>
  <c r="H147" i="5"/>
  <c r="H144" i="5"/>
  <c r="H138" i="5"/>
  <c r="H135" i="5"/>
  <c r="H132" i="5"/>
  <c r="H126" i="5"/>
  <c r="H123" i="5"/>
  <c r="H120" i="5"/>
  <c r="H114" i="5"/>
  <c r="H111" i="5"/>
  <c r="H108" i="5"/>
  <c r="H102" i="5"/>
  <c r="H99" i="5"/>
  <c r="H96" i="5"/>
  <c r="H90" i="5"/>
  <c r="H87" i="5"/>
  <c r="H84" i="5"/>
  <c r="H78" i="5"/>
  <c r="H75" i="5"/>
  <c r="H72" i="5"/>
  <c r="H66" i="5"/>
  <c r="H63" i="5"/>
  <c r="H60" i="5"/>
  <c r="H54" i="5"/>
  <c r="H51" i="5"/>
  <c r="H48" i="5"/>
  <c r="H42" i="5"/>
  <c r="H39" i="5"/>
  <c r="H36" i="5"/>
  <c r="H30" i="5"/>
  <c r="H27" i="5"/>
  <c r="H24" i="5"/>
  <c r="H18" i="5"/>
  <c r="H15" i="5"/>
  <c r="H12" i="5"/>
  <c r="H185" i="5"/>
  <c r="H2" i="5"/>
  <c r="H199" i="5"/>
  <c r="H4" i="5"/>
  <c r="H183" i="5"/>
  <c r="H169" i="5"/>
  <c r="H166" i="5"/>
  <c r="H197" i="5"/>
  <c r="H189" i="5"/>
  <c r="H186" i="5"/>
  <c r="H178" i="5"/>
  <c r="H181" i="5"/>
  <c r="H167" i="5"/>
  <c r="H158" i="5"/>
  <c r="H155" i="5"/>
  <c r="H152" i="5"/>
  <c r="H146" i="5"/>
  <c r="H143" i="5"/>
  <c r="H140" i="5"/>
  <c r="H134" i="5"/>
  <c r="H131" i="5"/>
  <c r="H128" i="5"/>
  <c r="H122" i="5"/>
  <c r="H119" i="5"/>
  <c r="H116" i="5"/>
  <c r="H110" i="5"/>
  <c r="H107" i="5"/>
  <c r="H104" i="5"/>
  <c r="H98" i="5"/>
  <c r="H95" i="5"/>
  <c r="H92" i="5"/>
  <c r="H86" i="5"/>
  <c r="H83" i="5"/>
  <c r="H80" i="5"/>
  <c r="H74" i="5"/>
  <c r="H71" i="5"/>
  <c r="H68" i="5"/>
  <c r="H62" i="5"/>
  <c r="H59" i="5"/>
  <c r="H56" i="5"/>
  <c r="H50" i="5"/>
  <c r="H47" i="5"/>
  <c r="H44" i="5"/>
  <c r="H38" i="5"/>
  <c r="H35" i="5"/>
  <c r="H32" i="5"/>
  <c r="H26" i="5"/>
  <c r="H23" i="5"/>
  <c r="H20" i="5"/>
  <c r="H139" i="5"/>
  <c r="H103" i="5"/>
  <c r="H67" i="5"/>
  <c r="H16" i="5"/>
  <c r="H6" i="5"/>
  <c r="H173" i="5"/>
  <c r="H130" i="5"/>
  <c r="H94" i="5"/>
  <c r="H58" i="5"/>
  <c r="H14" i="5"/>
  <c r="H40" i="5"/>
  <c r="H34" i="5"/>
  <c r="H7" i="5"/>
  <c r="H187" i="5"/>
  <c r="H136" i="5"/>
  <c r="H100" i="5"/>
  <c r="H64" i="5"/>
  <c r="H3" i="5"/>
  <c r="H177" i="5"/>
  <c r="H163" i="5"/>
  <c r="H127" i="5"/>
  <c r="H91" i="5"/>
  <c r="H55" i="5"/>
  <c r="H170" i="5"/>
  <c r="H154" i="5"/>
  <c r="H118" i="5"/>
  <c r="H82" i="5"/>
  <c r="H10" i="5"/>
  <c r="H46" i="5"/>
  <c r="H31" i="5"/>
  <c r="H19" i="5"/>
  <c r="H160" i="5"/>
  <c r="H124" i="5"/>
  <c r="H88" i="5"/>
  <c r="H52" i="5"/>
  <c r="H174" i="5"/>
  <c r="H151" i="5"/>
  <c r="H115" i="5"/>
  <c r="H79" i="5"/>
  <c r="H8" i="5"/>
  <c r="H5" i="5"/>
  <c r="H22" i="5"/>
  <c r="H11" i="5"/>
  <c r="H148" i="5"/>
  <c r="H112" i="5"/>
  <c r="H76" i="5"/>
  <c r="H43" i="5"/>
  <c r="H28" i="5"/>
  <c r="H70" i="5"/>
  <c r="H106" i="5"/>
  <c r="H142" i="5"/>
  <c r="G94" i="9"/>
  <c r="G104" i="9"/>
  <c r="G110" i="9"/>
  <c r="G169" i="9"/>
  <c r="G82" i="9"/>
  <c r="G195" i="9"/>
  <c r="G91" i="9"/>
  <c r="G35" i="9"/>
  <c r="F14" i="11"/>
  <c r="E14" i="11"/>
  <c r="N23" i="4"/>
  <c r="K16" i="6"/>
  <c r="N35" i="4"/>
  <c r="K55" i="6"/>
  <c r="AB29" i="4"/>
  <c r="AC29" i="4" s="1"/>
  <c r="S36" i="8"/>
  <c r="O12" i="4"/>
  <c r="P12" i="4" s="1"/>
  <c r="M43" i="4"/>
  <c r="N43" i="4" s="1"/>
  <c r="AB43" i="4"/>
  <c r="AC43" i="4" s="1"/>
  <c r="O8" i="4"/>
  <c r="P8" i="4" s="1"/>
  <c r="S123" i="8"/>
  <c r="N183" i="4"/>
  <c r="O79" i="4"/>
  <c r="P79" i="4" s="1"/>
  <c r="N197" i="5"/>
  <c r="N193" i="5"/>
  <c r="N189" i="5"/>
  <c r="N185" i="5"/>
  <c r="N181" i="5"/>
  <c r="N177" i="5"/>
  <c r="N173" i="5"/>
  <c r="N169" i="5"/>
  <c r="N165" i="5"/>
  <c r="N182" i="5"/>
  <c r="N192" i="5"/>
  <c r="N162" i="5"/>
  <c r="N158" i="5"/>
  <c r="N154" i="5"/>
  <c r="N150" i="5"/>
  <c r="N146" i="5"/>
  <c r="N142" i="5"/>
  <c r="N138" i="5"/>
  <c r="N134" i="5"/>
  <c r="N130" i="5"/>
  <c r="N126" i="5"/>
  <c r="N122" i="5"/>
  <c r="N118" i="5"/>
  <c r="N114" i="5"/>
  <c r="N110" i="5"/>
  <c r="N106" i="5"/>
  <c r="N102" i="5"/>
  <c r="N98" i="5"/>
  <c r="N94" i="5"/>
  <c r="N90" i="5"/>
  <c r="N86" i="5"/>
  <c r="N82" i="5"/>
  <c r="N78" i="5"/>
  <c r="N74" i="5"/>
  <c r="N70" i="5"/>
  <c r="N66" i="5"/>
  <c r="N62" i="5"/>
  <c r="N58" i="5"/>
  <c r="N54" i="5"/>
  <c r="N50" i="5"/>
  <c r="N46" i="5"/>
  <c r="N42" i="5"/>
  <c r="N38" i="5"/>
  <c r="N34" i="5"/>
  <c r="N30" i="5"/>
  <c r="N26" i="5"/>
  <c r="N22" i="5"/>
  <c r="N18" i="5"/>
  <c r="N14" i="5"/>
  <c r="N10" i="5"/>
  <c r="N196" i="5"/>
  <c r="N174" i="5"/>
  <c r="N168" i="5"/>
  <c r="N191" i="5"/>
  <c r="N4" i="5"/>
  <c r="N199" i="5"/>
  <c r="N188" i="5"/>
  <c r="N180" i="5"/>
  <c r="N163" i="5"/>
  <c r="N160" i="5"/>
  <c r="N151" i="5"/>
  <c r="N148" i="5"/>
  <c r="N139" i="5"/>
  <c r="N136" i="5"/>
  <c r="N127" i="5"/>
  <c r="N124" i="5"/>
  <c r="N115" i="5"/>
  <c r="N112" i="5"/>
  <c r="N103" i="5"/>
  <c r="N100" i="5"/>
  <c r="N91" i="5"/>
  <c r="N88" i="5"/>
  <c r="N79" i="5"/>
  <c r="N76" i="5"/>
  <c r="N67" i="5"/>
  <c r="N64" i="5"/>
  <c r="N55" i="5"/>
  <c r="N52" i="5"/>
  <c r="N43" i="5"/>
  <c r="N40" i="5"/>
  <c r="N31" i="5"/>
  <c r="N28" i="5"/>
  <c r="N19" i="5"/>
  <c r="N16" i="5"/>
  <c r="N7" i="5"/>
  <c r="N6" i="5"/>
  <c r="N5" i="5"/>
  <c r="N172" i="5"/>
  <c r="N178" i="5"/>
  <c r="N167" i="5"/>
  <c r="N155" i="5"/>
  <c r="N152" i="5"/>
  <c r="N143" i="5"/>
  <c r="N140" i="5"/>
  <c r="N131" i="5"/>
  <c r="N128" i="5"/>
  <c r="N119" i="5"/>
  <c r="N116" i="5"/>
  <c r="N107" i="5"/>
  <c r="N104" i="5"/>
  <c r="N95" i="5"/>
  <c r="N92" i="5"/>
  <c r="N83" i="5"/>
  <c r="N80" i="5"/>
  <c r="N71" i="5"/>
  <c r="N68" i="5"/>
  <c r="N59" i="5"/>
  <c r="N56" i="5"/>
  <c r="N47" i="5"/>
  <c r="N44" i="5"/>
  <c r="N35" i="5"/>
  <c r="N32" i="5"/>
  <c r="N200" i="5"/>
  <c r="N184" i="5"/>
  <c r="N170" i="5"/>
  <c r="N164" i="5"/>
  <c r="N161" i="5"/>
  <c r="N149" i="5"/>
  <c r="N137" i="5"/>
  <c r="N125" i="5"/>
  <c r="N113" i="5"/>
  <c r="N101" i="5"/>
  <c r="N89" i="5"/>
  <c r="N77" i="5"/>
  <c r="N65" i="5"/>
  <c r="N53" i="5"/>
  <c r="N41" i="5"/>
  <c r="N29" i="5"/>
  <c r="N195" i="5"/>
  <c r="N187" i="5"/>
  <c r="N190" i="5"/>
  <c r="N176" i="5"/>
  <c r="N171" i="5"/>
  <c r="N159" i="5"/>
  <c r="N123" i="5"/>
  <c r="N87" i="5"/>
  <c r="N51" i="5"/>
  <c r="N166" i="5"/>
  <c r="N132" i="5"/>
  <c r="N96" i="5"/>
  <c r="N60" i="5"/>
  <c r="N36" i="5"/>
  <c r="N12" i="5"/>
  <c r="N141" i="5"/>
  <c r="N105" i="5"/>
  <c r="N69" i="5"/>
  <c r="N3" i="5"/>
  <c r="N194" i="5"/>
  <c r="N175" i="5"/>
  <c r="N145" i="5"/>
  <c r="N109" i="5"/>
  <c r="N73" i="5"/>
  <c r="N27" i="5"/>
  <c r="N25" i="5"/>
  <c r="N23" i="5"/>
  <c r="N147" i="5"/>
  <c r="N111" i="5"/>
  <c r="N75" i="5"/>
  <c r="N156" i="5"/>
  <c r="N120" i="5"/>
  <c r="N84" i="5"/>
  <c r="N48" i="5"/>
  <c r="N21" i="5"/>
  <c r="N17" i="5"/>
  <c r="N15" i="5"/>
  <c r="N8" i="5"/>
  <c r="N198" i="5"/>
  <c r="N179" i="5"/>
  <c r="N129" i="5"/>
  <c r="N93" i="5"/>
  <c r="N57" i="5"/>
  <c r="N133" i="5"/>
  <c r="N97" i="5"/>
  <c r="N61" i="5"/>
  <c r="N39" i="5"/>
  <c r="N37" i="5"/>
  <c r="N33" i="5"/>
  <c r="N13" i="5"/>
  <c r="N11" i="5"/>
  <c r="N186" i="5"/>
  <c r="N135" i="5"/>
  <c r="N99" i="5"/>
  <c r="N63" i="5"/>
  <c r="N183" i="5"/>
  <c r="N144" i="5"/>
  <c r="N108" i="5"/>
  <c r="N72" i="5"/>
  <c r="N20" i="5"/>
  <c r="N157" i="5"/>
  <c r="N121" i="5"/>
  <c r="N85" i="5"/>
  <c r="N49" i="5"/>
  <c r="N9" i="5"/>
  <c r="N24" i="5"/>
  <c r="N2" i="5"/>
  <c r="N153" i="5"/>
  <c r="N117" i="5"/>
  <c r="N81" i="5"/>
  <c r="N45" i="5"/>
  <c r="P99" i="9"/>
  <c r="P28" i="9"/>
  <c r="P198" i="9"/>
  <c r="P189" i="9"/>
  <c r="N7" i="6"/>
  <c r="G87" i="9"/>
  <c r="G109" i="9"/>
  <c r="G149" i="9"/>
  <c r="G188" i="9"/>
  <c r="G54" i="9"/>
  <c r="G130" i="9"/>
  <c r="G99" i="9"/>
  <c r="G178" i="9"/>
  <c r="G78" i="9"/>
  <c r="G160" i="9"/>
  <c r="K6" i="6"/>
  <c r="E11" i="11"/>
  <c r="K26" i="6"/>
  <c r="N16" i="4"/>
  <c r="K98" i="6"/>
  <c r="AB8" i="4"/>
  <c r="AC8" i="4" s="1"/>
  <c r="P34" i="9"/>
  <c r="P133" i="9"/>
  <c r="G77" i="9"/>
  <c r="G27" i="9"/>
  <c r="G60" i="9"/>
  <c r="G76" i="9"/>
  <c r="G75" i="9"/>
  <c r="G147" i="9"/>
  <c r="G150" i="9"/>
  <c r="G182" i="9"/>
  <c r="G111" i="9"/>
  <c r="G71" i="9"/>
  <c r="G183" i="9"/>
  <c r="E13" i="11"/>
  <c r="O91" i="4"/>
  <c r="P91" i="4" s="1"/>
  <c r="M82" i="4"/>
  <c r="N82" i="4" s="1"/>
  <c r="Q126" i="4"/>
  <c r="F18" i="4"/>
  <c r="S77" i="8"/>
  <c r="AB99" i="4"/>
  <c r="AC99" i="4" s="1"/>
  <c r="Q68" i="4"/>
  <c r="M18" i="4"/>
  <c r="N18" i="4" s="1"/>
  <c r="O51" i="4"/>
  <c r="AB49" i="4"/>
  <c r="AC49" i="4" s="1"/>
  <c r="N61" i="4"/>
  <c r="P82" i="9"/>
  <c r="P7" i="9"/>
  <c r="P97" i="9"/>
  <c r="P90" i="9"/>
  <c r="N108" i="4"/>
  <c r="N121" i="4"/>
  <c r="G120" i="9"/>
  <c r="G105" i="9"/>
  <c r="G177" i="9"/>
  <c r="G197" i="9"/>
  <c r="G128" i="9"/>
  <c r="G80" i="9"/>
  <c r="G191" i="9"/>
  <c r="K78" i="6"/>
  <c r="K18" i="6"/>
  <c r="O80" i="8"/>
  <c r="O77" i="8"/>
  <c r="O82" i="4"/>
  <c r="O82" i="8"/>
  <c r="H82" i="4" s="1"/>
  <c r="M68" i="4"/>
  <c r="N68" i="4" s="1"/>
  <c r="AB68" i="4"/>
  <c r="AC68" i="4" s="1"/>
  <c r="Q54" i="4"/>
  <c r="K88" i="8"/>
  <c r="F88" i="4" s="1"/>
  <c r="M88" i="4"/>
  <c r="N88" i="4" s="1"/>
  <c r="O123" i="4"/>
  <c r="P123" i="4" s="1"/>
  <c r="M15" i="4"/>
  <c r="N15" i="4" s="1"/>
  <c r="M14" i="4"/>
  <c r="N14" i="4" s="1"/>
  <c r="O49" i="4"/>
  <c r="O9" i="4"/>
  <c r="AB79" i="4"/>
  <c r="AC79" i="4" s="1"/>
  <c r="P18" i="9"/>
  <c r="P117" i="9"/>
  <c r="P183" i="9"/>
  <c r="P178" i="9"/>
  <c r="G13" i="9"/>
  <c r="G117" i="9"/>
  <c r="G86" i="9"/>
  <c r="G33" i="9"/>
  <c r="G186" i="9"/>
  <c r="K64" i="6"/>
  <c r="Q115" i="4"/>
  <c r="Q12" i="4"/>
  <c r="O46" i="4"/>
  <c r="P46" i="4" s="1"/>
  <c r="O29" i="4"/>
  <c r="M125" i="4"/>
  <c r="N125" i="4" s="1"/>
  <c r="P68" i="4"/>
  <c r="AB97" i="4"/>
  <c r="AC97" i="4" s="1"/>
  <c r="O25" i="4"/>
  <c r="P25" i="4" s="1"/>
  <c r="AB25" i="4"/>
  <c r="AC25" i="4" s="1"/>
  <c r="Q14" i="4"/>
  <c r="P184" i="9"/>
  <c r="P25" i="9"/>
  <c r="P124" i="9"/>
  <c r="P192" i="9"/>
  <c r="N131" i="4"/>
  <c r="G31" i="9"/>
  <c r="G19" i="9"/>
  <c r="G200" i="9"/>
  <c r="G176" i="9"/>
  <c r="G131" i="9"/>
  <c r="G37" i="9"/>
  <c r="G127" i="9"/>
  <c r="G193" i="9"/>
  <c r="K66" i="6"/>
  <c r="K43" i="6"/>
  <c r="K38" i="6"/>
  <c r="P19" i="4" l="1"/>
  <c r="H186" i="4"/>
  <c r="H45" i="4"/>
  <c r="P114" i="4"/>
  <c r="P139" i="4"/>
  <c r="P57" i="4"/>
  <c r="H9" i="4"/>
  <c r="H6" i="4"/>
  <c r="P9" i="4"/>
  <c r="P82" i="4"/>
  <c r="H14" i="4"/>
  <c r="H53" i="4"/>
  <c r="F5" i="4"/>
  <c r="H124" i="4"/>
  <c r="P178" i="4"/>
  <c r="P49" i="4"/>
  <c r="H77" i="4"/>
  <c r="H47" i="4"/>
  <c r="P157" i="4"/>
  <c r="H123" i="4"/>
  <c r="H49" i="4"/>
  <c r="H80" i="4"/>
  <c r="H25" i="4"/>
  <c r="P112" i="4"/>
  <c r="P160" i="4"/>
  <c r="P104" i="4"/>
  <c r="P29" i="4"/>
  <c r="P51" i="4"/>
  <c r="P36" i="4"/>
  <c r="H181" i="4"/>
  <c r="H160" i="4"/>
  <c r="P168" i="4"/>
  <c r="P56" i="4"/>
  <c r="P127" i="4"/>
  <c r="H16" i="4"/>
  <c r="P129" i="4"/>
  <c r="H139" i="4"/>
  <c r="N5" i="4"/>
  <c r="H34" i="4"/>
  <c r="H71" i="4"/>
  <c r="H147" i="4"/>
  <c r="P86" i="4"/>
  <c r="H97" i="4"/>
  <c r="P183" i="4"/>
  <c r="H127" i="4"/>
  <c r="H158" i="4"/>
  <c r="P128" i="4"/>
  <c r="H67" i="4"/>
  <c r="D32" i="11"/>
  <c r="D35" i="11" s="1"/>
  <c r="H23" i="4"/>
  <c r="H162" i="4"/>
  <c r="P161" i="4"/>
  <c r="H40" i="4"/>
  <c r="H131" i="4"/>
  <c r="P53" i="4"/>
  <c r="P85" i="4"/>
  <c r="P191" i="4"/>
  <c r="H155" i="4"/>
  <c r="H166" i="4"/>
  <c r="P165" i="4"/>
  <c r="H84" i="4"/>
  <c r="P96" i="4"/>
  <c r="H17" i="4"/>
  <c r="P156" i="4"/>
  <c r="P15" i="4"/>
  <c r="H117" i="4"/>
  <c r="P149" i="4"/>
  <c r="H59" i="4"/>
  <c r="H98" i="4"/>
  <c r="H65" i="4"/>
  <c r="P197" i="4"/>
  <c r="P103" i="4"/>
  <c r="H185" i="4"/>
  <c r="P102" i="4"/>
  <c r="P162" i="4"/>
  <c r="P126" i="4"/>
  <c r="H43" i="4"/>
  <c r="P43" i="4"/>
  <c r="H52" i="4"/>
  <c r="P131" i="4"/>
  <c r="H30" i="4"/>
  <c r="P175" i="4"/>
  <c r="P87" i="4"/>
  <c r="P48" i="4"/>
  <c r="P33" i="4"/>
  <c r="H73" i="4"/>
  <c r="H126" i="4"/>
  <c r="H153" i="4"/>
  <c r="H200" i="4"/>
  <c r="P59" i="4"/>
  <c r="H136" i="4"/>
  <c r="H41" i="4"/>
  <c r="H105" i="4"/>
  <c r="M2" i="8"/>
  <c r="AE2" i="4"/>
  <c r="O2" i="10"/>
  <c r="H143" i="4"/>
  <c r="P26" i="4"/>
  <c r="H175" i="4"/>
  <c r="H111" i="4"/>
  <c r="H121" i="4"/>
  <c r="H133" i="4"/>
  <c r="P158" i="4"/>
  <c r="P76" i="4"/>
  <c r="H154" i="4"/>
  <c r="P90" i="4"/>
  <c r="P81" i="4"/>
  <c r="P164" i="4"/>
  <c r="H86" i="4"/>
  <c r="H37" i="4"/>
  <c r="H35" i="4"/>
  <c r="P141" i="4"/>
  <c r="H33" i="4"/>
  <c r="P31" i="4"/>
  <c r="P118" i="4"/>
  <c r="P44" i="4"/>
  <c r="P94" i="4"/>
  <c r="H55" i="4"/>
  <c r="P50" i="4"/>
  <c r="P40" i="4"/>
  <c r="H88" i="4"/>
  <c r="H106" i="4"/>
  <c r="H38" i="4"/>
  <c r="P177" i="4"/>
  <c r="P60" i="4"/>
  <c r="H104" i="4"/>
  <c r="P72" i="4"/>
  <c r="P110" i="4"/>
  <c r="H96" i="4"/>
  <c r="H36" i="4"/>
  <c r="H24" i="4"/>
  <c r="P140" i="4"/>
  <c r="AI4" i="4"/>
  <c r="C5" i="9"/>
  <c r="D5" i="9" s="1"/>
  <c r="S4" i="10"/>
  <c r="P136" i="4"/>
  <c r="P37" i="4"/>
  <c r="H101" i="4"/>
  <c r="H141" i="4"/>
  <c r="P52" i="4"/>
  <c r="H44" i="4"/>
  <c r="H148" i="4"/>
  <c r="P88" i="4"/>
  <c r="H134" i="4"/>
  <c r="H164" i="4"/>
  <c r="H137" i="4"/>
  <c r="H12" i="4"/>
  <c r="H193" i="4"/>
  <c r="H140" i="4"/>
  <c r="O4" i="10"/>
  <c r="M4" i="8"/>
  <c r="AE4" i="4"/>
  <c r="P45" i="4"/>
  <c r="H60" i="4"/>
  <c r="P100" i="4"/>
  <c r="P17" i="4"/>
  <c r="H113" i="4"/>
  <c r="P124" i="4"/>
  <c r="P67" i="4"/>
  <c r="P41" i="4"/>
  <c r="H179" i="4"/>
  <c r="P181" i="4"/>
  <c r="P108" i="4"/>
  <c r="P98" i="4"/>
  <c r="P73" i="4"/>
  <c r="P7" i="4"/>
  <c r="P97" i="4"/>
  <c r="H50" i="4"/>
  <c r="P71" i="4"/>
  <c r="P201" i="4"/>
  <c r="H174" i="4"/>
  <c r="H144" i="4"/>
  <c r="H190" i="4"/>
  <c r="H161" i="4"/>
  <c r="H118" i="4"/>
  <c r="H112" i="4"/>
  <c r="H171" i="4"/>
  <c r="H159" i="4"/>
  <c r="H135" i="4"/>
  <c r="P196" i="4"/>
  <c r="H201" i="4"/>
  <c r="H194" i="4"/>
  <c r="H196" i="4"/>
  <c r="H177" i="4"/>
  <c r="H167" i="4"/>
  <c r="H142" i="4"/>
  <c r="H132" i="4"/>
  <c r="H120" i="4"/>
  <c r="H116" i="4"/>
  <c r="H110" i="4"/>
  <c r="H109" i="4"/>
  <c r="P145" i="4"/>
  <c r="H152" i="4"/>
  <c r="P170" i="4"/>
  <c r="H100" i="4"/>
  <c r="H93" i="4"/>
  <c r="H87" i="4"/>
  <c r="H75" i="4"/>
  <c r="H27" i="4"/>
  <c r="H21" i="4"/>
  <c r="H62" i="4"/>
  <c r="P35" i="4"/>
  <c r="P23" i="4"/>
  <c r="H184" i="4"/>
  <c r="H72" i="4"/>
  <c r="H31" i="4"/>
  <c r="P198" i="4"/>
  <c r="P21" i="4"/>
  <c r="P20" i="4"/>
  <c r="H3" i="4"/>
  <c r="H78" i="4"/>
  <c r="P167" i="4"/>
  <c r="H90" i="4"/>
  <c r="H48" i="4"/>
  <c r="P10" i="4"/>
  <c r="H58" i="4"/>
  <c r="H42" i="4"/>
  <c r="H2" i="4"/>
  <c r="H66" i="4"/>
  <c r="P16" i="4"/>
  <c r="P174" i="4"/>
  <c r="P4" i="4"/>
  <c r="P159" i="4"/>
  <c r="P38" i="4"/>
  <c r="P6" i="4"/>
  <c r="P190" i="4"/>
  <c r="P24" i="4"/>
  <c r="P173" i="4"/>
  <c r="P187" i="4"/>
  <c r="P39" i="4"/>
  <c r="P148" i="4"/>
  <c r="P144" i="4"/>
  <c r="P189" i="4"/>
  <c r="P142" i="4"/>
  <c r="P195" i="4"/>
  <c r="P171" i="4"/>
  <c r="P28" i="4"/>
  <c r="P166" i="4"/>
  <c r="H138" i="4"/>
  <c r="P184" i="4"/>
  <c r="P153" i="4"/>
  <c r="P2" i="4"/>
  <c r="P179" i="4"/>
  <c r="H165" i="4"/>
  <c r="H85" i="4"/>
  <c r="H189" i="4"/>
  <c r="F4" i="6"/>
  <c r="K4" i="6" s="1"/>
  <c r="H69" i="4"/>
  <c r="H178" i="4"/>
  <c r="H115" i="4"/>
  <c r="H168" i="4"/>
  <c r="H28" i="4"/>
  <c r="P109" i="4"/>
  <c r="H29" i="4"/>
  <c r="H172" i="4"/>
  <c r="H18" i="4"/>
  <c r="H56" i="4"/>
  <c r="H103" i="4"/>
  <c r="P111" i="4"/>
  <c r="P75" i="4"/>
  <c r="H64" i="4"/>
  <c r="P122" i="4"/>
  <c r="P69" i="4"/>
  <c r="H102" i="4"/>
  <c r="P22" i="4"/>
  <c r="H163" i="4"/>
  <c r="H99" i="4"/>
  <c r="H114" i="4"/>
  <c r="M3" i="8"/>
  <c r="AE3" i="4"/>
  <c r="O3" i="10"/>
  <c r="D56" i="11"/>
  <c r="N56" i="11"/>
  <c r="P56" i="11" s="1"/>
  <c r="J185" i="5"/>
  <c r="J178" i="5"/>
  <c r="J182" i="5"/>
  <c r="J165" i="5"/>
  <c r="J193" i="5"/>
  <c r="J162" i="5"/>
  <c r="J159" i="5"/>
  <c r="J156" i="5"/>
  <c r="J153" i="5"/>
  <c r="J150" i="5"/>
  <c r="J147" i="5"/>
  <c r="J144" i="5"/>
  <c r="J141" i="5"/>
  <c r="J138" i="5"/>
  <c r="J135" i="5"/>
  <c r="J132" i="5"/>
  <c r="J129" i="5"/>
  <c r="J126" i="5"/>
  <c r="J123" i="5"/>
  <c r="J120" i="5"/>
  <c r="J117" i="5"/>
  <c r="J114" i="5"/>
  <c r="J111" i="5"/>
  <c r="J108" i="5"/>
  <c r="J105" i="5"/>
  <c r="J102" i="5"/>
  <c r="J99" i="5"/>
  <c r="J96" i="5"/>
  <c r="J93" i="5"/>
  <c r="J90" i="5"/>
  <c r="J87" i="5"/>
  <c r="J84" i="5"/>
  <c r="J81" i="5"/>
  <c r="J78" i="5"/>
  <c r="J75" i="5"/>
  <c r="J72" i="5"/>
  <c r="J69" i="5"/>
  <c r="J66" i="5"/>
  <c r="J63" i="5"/>
  <c r="J60" i="5"/>
  <c r="J57" i="5"/>
  <c r="J54" i="5"/>
  <c r="J51" i="5"/>
  <c r="J48" i="5"/>
  <c r="J45" i="5"/>
  <c r="J42" i="5"/>
  <c r="J39" i="5"/>
  <c r="J36" i="5"/>
  <c r="J33" i="5"/>
  <c r="J30" i="5"/>
  <c r="J27" i="5"/>
  <c r="J24" i="5"/>
  <c r="J21" i="5"/>
  <c r="J18" i="5"/>
  <c r="J15" i="5"/>
  <c r="J12" i="5"/>
  <c r="J171" i="5"/>
  <c r="J168" i="5"/>
  <c r="J2" i="5"/>
  <c r="J196" i="5"/>
  <c r="J177" i="5"/>
  <c r="J174" i="5"/>
  <c r="J3" i="5"/>
  <c r="J180" i="5"/>
  <c r="J163" i="5"/>
  <c r="J160" i="5"/>
  <c r="J157" i="5"/>
  <c r="J154" i="5"/>
  <c r="J151" i="5"/>
  <c r="J148" i="5"/>
  <c r="J145" i="5"/>
  <c r="J142" i="5"/>
  <c r="J139" i="5"/>
  <c r="J136" i="5"/>
  <c r="J133" i="5"/>
  <c r="J130" i="5"/>
  <c r="J127" i="5"/>
  <c r="J124" i="5"/>
  <c r="J121" i="5"/>
  <c r="J118" i="5"/>
  <c r="J115" i="5"/>
  <c r="J112" i="5"/>
  <c r="J109" i="5"/>
  <c r="J106" i="5"/>
  <c r="J103" i="5"/>
  <c r="J100" i="5"/>
  <c r="J97" i="5"/>
  <c r="J94" i="5"/>
  <c r="J91" i="5"/>
  <c r="J88" i="5"/>
  <c r="J85" i="5"/>
  <c r="J82" i="5"/>
  <c r="J79" i="5"/>
  <c r="J76" i="5"/>
  <c r="J73" i="5"/>
  <c r="J70" i="5"/>
  <c r="J67" i="5"/>
  <c r="J64" i="5"/>
  <c r="J61" i="5"/>
  <c r="J58" i="5"/>
  <c r="J55" i="5"/>
  <c r="J52" i="5"/>
  <c r="J49" i="5"/>
  <c r="J46" i="5"/>
  <c r="J43" i="5"/>
  <c r="J40" i="5"/>
  <c r="J37" i="5"/>
  <c r="J34" i="5"/>
  <c r="J31" i="5"/>
  <c r="J28" i="5"/>
  <c r="J25" i="5"/>
  <c r="J22" i="5"/>
  <c r="J19" i="5"/>
  <c r="J16" i="5"/>
  <c r="J13" i="5"/>
  <c r="J10" i="5"/>
  <c r="J7" i="5"/>
  <c r="J6" i="5"/>
  <c r="J5" i="5"/>
  <c r="J197" i="5"/>
  <c r="J175" i="5"/>
  <c r="J192" i="5"/>
  <c r="J189" i="5"/>
  <c r="J186" i="5"/>
  <c r="J181" i="5"/>
  <c r="J167" i="5"/>
  <c r="J161" i="5"/>
  <c r="J158" i="5"/>
  <c r="J155" i="5"/>
  <c r="J152" i="5"/>
  <c r="J149" i="5"/>
  <c r="J146" i="5"/>
  <c r="J143" i="5"/>
  <c r="J140" i="5"/>
  <c r="J137" i="5"/>
  <c r="J134" i="5"/>
  <c r="J131" i="5"/>
  <c r="J128" i="5"/>
  <c r="J125" i="5"/>
  <c r="J122" i="5"/>
  <c r="J119" i="5"/>
  <c r="J116" i="5"/>
  <c r="J113" i="5"/>
  <c r="J110" i="5"/>
  <c r="J107" i="5"/>
  <c r="J104" i="5"/>
  <c r="J101" i="5"/>
  <c r="J98" i="5"/>
  <c r="J95" i="5"/>
  <c r="J92" i="5"/>
  <c r="J89" i="5"/>
  <c r="J86" i="5"/>
  <c r="J83" i="5"/>
  <c r="J80" i="5"/>
  <c r="J77" i="5"/>
  <c r="J74" i="5"/>
  <c r="J71" i="5"/>
  <c r="J68" i="5"/>
  <c r="J65" i="5"/>
  <c r="J62" i="5"/>
  <c r="J59" i="5"/>
  <c r="J56" i="5"/>
  <c r="J53" i="5"/>
  <c r="J50" i="5"/>
  <c r="J200" i="5"/>
  <c r="J195" i="5"/>
  <c r="J184" i="5"/>
  <c r="J173" i="5"/>
  <c r="J170" i="5"/>
  <c r="J164" i="5"/>
  <c r="J199" i="5"/>
  <c r="J190" i="5"/>
  <c r="J32" i="5"/>
  <c r="J20" i="5"/>
  <c r="J14" i="5"/>
  <c r="J9" i="5"/>
  <c r="J38" i="5"/>
  <c r="J187" i="5"/>
  <c r="J166" i="5"/>
  <c r="J194" i="5"/>
  <c r="J44" i="5"/>
  <c r="J29" i="5"/>
  <c r="J23" i="5"/>
  <c r="J191" i="5"/>
  <c r="J17" i="5"/>
  <c r="J4" i="5"/>
  <c r="J198" i="5"/>
  <c r="J179" i="5"/>
  <c r="J172" i="5"/>
  <c r="J35" i="5"/>
  <c r="J8" i="5"/>
  <c r="J41" i="5"/>
  <c r="J169" i="5"/>
  <c r="J183" i="5"/>
  <c r="J188" i="5"/>
  <c r="J11" i="5"/>
  <c r="J26" i="5"/>
  <c r="J176" i="5"/>
  <c r="J47" i="5"/>
  <c r="E177" i="10"/>
  <c r="E186" i="10"/>
  <c r="E185" i="10"/>
  <c r="E170" i="10"/>
  <c r="E172" i="10"/>
  <c r="E173" i="10"/>
  <c r="E167" i="10"/>
  <c r="E163" i="10"/>
  <c r="E193" i="10"/>
  <c r="E169" i="10"/>
  <c r="E120" i="10"/>
  <c r="E66" i="10"/>
  <c r="E18" i="10"/>
  <c r="E4" i="10"/>
  <c r="E56" i="11" s="1"/>
  <c r="E131" i="10"/>
  <c r="E130" i="10"/>
  <c r="E128" i="10"/>
  <c r="E129" i="10"/>
  <c r="E108" i="10"/>
  <c r="E102" i="10"/>
  <c r="E76" i="10"/>
  <c r="E65" i="10"/>
  <c r="E60" i="10"/>
  <c r="E54" i="10"/>
  <c r="E118" i="10"/>
  <c r="E184" i="10"/>
  <c r="E144" i="10"/>
  <c r="E152" i="10"/>
  <c r="E40" i="10"/>
  <c r="E24" i="10"/>
  <c r="E19" i="10"/>
  <c r="E17" i="10"/>
  <c r="E99" i="10"/>
  <c r="E111" i="10"/>
  <c r="E62" i="10"/>
  <c r="E51" i="10"/>
  <c r="E28" i="10"/>
  <c r="E78" i="10"/>
  <c r="E94" i="10"/>
  <c r="E8" i="10"/>
  <c r="E3" i="10"/>
  <c r="E55" i="11" s="1"/>
  <c r="E122" i="10"/>
  <c r="E88" i="10"/>
  <c r="E25" i="10"/>
  <c r="E73" i="10"/>
  <c r="E30" i="10"/>
  <c r="E46" i="10"/>
  <c r="E83" i="10"/>
  <c r="E42" i="10"/>
  <c r="E112" i="10"/>
  <c r="E64" i="10"/>
  <c r="E35" i="10"/>
  <c r="E116" i="10"/>
  <c r="E67" i="10"/>
  <c r="E12" i="10"/>
  <c r="E57" i="10"/>
  <c r="E33" i="10"/>
  <c r="E20" i="10"/>
  <c r="E137" i="10"/>
  <c r="E142" i="10"/>
  <c r="E97" i="10"/>
  <c r="E149" i="10"/>
  <c r="E75" i="10"/>
  <c r="E176" i="10"/>
  <c r="E61" i="10"/>
  <c r="E84" i="10"/>
  <c r="E103" i="10"/>
  <c r="E81" i="10"/>
  <c r="E14" i="10"/>
  <c r="E41" i="10"/>
  <c r="E154" i="10"/>
  <c r="E153" i="10"/>
  <c r="E104" i="10"/>
  <c r="E37" i="10"/>
  <c r="E187" i="10"/>
  <c r="E132" i="10"/>
  <c r="E80" i="10"/>
  <c r="E145" i="10"/>
  <c r="E110" i="10"/>
  <c r="E72" i="10"/>
  <c r="E196" i="10"/>
  <c r="E127" i="10"/>
  <c r="E9" i="10"/>
  <c r="E96" i="10"/>
  <c r="E180" i="10"/>
  <c r="E77" i="10"/>
  <c r="E146" i="10"/>
  <c r="E161" i="10"/>
  <c r="E138" i="10"/>
  <c r="E191" i="10"/>
  <c r="E93" i="10"/>
  <c r="E141" i="10"/>
  <c r="E197" i="10"/>
  <c r="E50" i="10"/>
  <c r="E113" i="10"/>
  <c r="E22" i="10"/>
  <c r="E21" i="10"/>
  <c r="E188" i="10"/>
  <c r="E10" i="10"/>
  <c r="E74" i="10"/>
  <c r="E39" i="10"/>
  <c r="E100" i="10"/>
  <c r="E23" i="10"/>
  <c r="E70" i="10"/>
  <c r="E38" i="10"/>
  <c r="E155" i="10"/>
  <c r="E183" i="10"/>
  <c r="E45" i="10"/>
  <c r="E174" i="10"/>
  <c r="E92" i="10"/>
  <c r="E71" i="10"/>
  <c r="E56" i="10"/>
  <c r="E6" i="10"/>
  <c r="E178" i="10"/>
  <c r="E182" i="10"/>
  <c r="E13" i="10"/>
  <c r="E2" i="10"/>
  <c r="E54" i="11" s="1"/>
  <c r="E69" i="10"/>
  <c r="E195" i="10"/>
  <c r="E52" i="10"/>
  <c r="E44" i="10"/>
  <c r="E156" i="10"/>
  <c r="E95" i="10"/>
  <c r="E157" i="10"/>
  <c r="E189" i="10"/>
  <c r="E158" i="10"/>
  <c r="E89" i="10"/>
  <c r="E164" i="10"/>
  <c r="E5" i="10"/>
  <c r="E107" i="10"/>
  <c r="E47" i="10"/>
  <c r="E53" i="10"/>
  <c r="E200" i="10"/>
  <c r="E114" i="10"/>
  <c r="E151" i="10"/>
  <c r="E15" i="10"/>
  <c r="E27" i="10"/>
  <c r="E106" i="10"/>
  <c r="E125" i="10"/>
  <c r="E148" i="10"/>
  <c r="E109" i="10"/>
  <c r="E179" i="10"/>
  <c r="E181" i="10"/>
  <c r="E119" i="10"/>
  <c r="E143" i="10"/>
  <c r="E34" i="10"/>
  <c r="E32" i="10"/>
  <c r="E150" i="10"/>
  <c r="E194" i="10"/>
  <c r="E63" i="10"/>
  <c r="E101" i="10"/>
  <c r="E11" i="10"/>
  <c r="E91" i="10"/>
  <c r="E58" i="10"/>
  <c r="E123" i="10"/>
  <c r="E147" i="10"/>
  <c r="E136" i="10"/>
  <c r="E85" i="10"/>
  <c r="E133" i="10"/>
  <c r="E48" i="10"/>
  <c r="E192" i="10"/>
  <c r="E199" i="10"/>
  <c r="E26" i="10"/>
  <c r="E124" i="10"/>
  <c r="E43" i="10"/>
  <c r="E159" i="10"/>
  <c r="E59" i="10"/>
  <c r="E87" i="10"/>
  <c r="E198" i="10"/>
  <c r="E166" i="10"/>
  <c r="E31" i="10"/>
  <c r="E139" i="10"/>
  <c r="E135" i="10"/>
  <c r="E82" i="10"/>
  <c r="E105" i="10"/>
  <c r="E117" i="10"/>
  <c r="E190" i="10"/>
  <c r="E16" i="10"/>
  <c r="E79" i="10"/>
  <c r="E86" i="10"/>
  <c r="E90" i="10"/>
  <c r="E68" i="10"/>
  <c r="E126" i="10"/>
  <c r="E98" i="10"/>
  <c r="E115" i="10"/>
  <c r="E134" i="10"/>
  <c r="E162" i="10"/>
  <c r="E121" i="10"/>
  <c r="E160" i="10"/>
  <c r="E36" i="10"/>
  <c r="E55" i="10"/>
  <c r="E168" i="10"/>
  <c r="E29" i="10"/>
  <c r="E165" i="10"/>
  <c r="E7" i="10"/>
  <c r="E171" i="10"/>
  <c r="E175" i="10"/>
  <c r="E49" i="10"/>
  <c r="E140" i="10"/>
  <c r="H8" i="4"/>
  <c r="P30" i="4"/>
  <c r="H91" i="4"/>
  <c r="P84" i="4"/>
  <c r="P116" i="4"/>
  <c r="P182" i="4"/>
  <c r="P154" i="4"/>
  <c r="P137" i="4"/>
  <c r="P132" i="4"/>
  <c r="P113" i="4"/>
  <c r="H187" i="4"/>
  <c r="H119" i="4"/>
  <c r="P58" i="4"/>
  <c r="F2" i="6"/>
  <c r="K2" i="6" s="1"/>
  <c r="P163" i="4"/>
  <c r="P130" i="4"/>
  <c r="H197" i="4"/>
  <c r="P115" i="4"/>
  <c r="P152" i="4"/>
  <c r="P101" i="4"/>
  <c r="P172" i="4"/>
  <c r="P18" i="4"/>
  <c r="H128" i="4"/>
  <c r="P194" i="4"/>
  <c r="P135" i="4"/>
  <c r="H180" i="4"/>
  <c r="H22" i="4"/>
  <c r="B41" i="11"/>
  <c r="E15" i="11"/>
  <c r="P99" i="4"/>
  <c r="P92" i="4"/>
  <c r="P117" i="4"/>
  <c r="H89" i="4"/>
  <c r="L5" i="10"/>
  <c r="K201" i="9"/>
  <c r="M201" i="9" s="1"/>
  <c r="K192" i="9"/>
  <c r="M192" i="9" s="1"/>
  <c r="K183" i="9"/>
  <c r="M183" i="9" s="1"/>
  <c r="K174" i="9"/>
  <c r="M174" i="9" s="1"/>
  <c r="K165" i="9"/>
  <c r="M165" i="9" s="1"/>
  <c r="K156" i="9"/>
  <c r="M156" i="9" s="1"/>
  <c r="K147" i="9"/>
  <c r="M147" i="9" s="1"/>
  <c r="K138" i="9"/>
  <c r="M138" i="9" s="1"/>
  <c r="K198" i="9"/>
  <c r="M198" i="9" s="1"/>
  <c r="K182" i="9"/>
  <c r="M182" i="9" s="1"/>
  <c r="D13" i="11"/>
  <c r="F13" i="11" s="1"/>
  <c r="K195" i="9"/>
  <c r="M195" i="9" s="1"/>
  <c r="K188" i="9"/>
  <c r="M188" i="9" s="1"/>
  <c r="K180" i="9"/>
  <c r="M180" i="9" s="1"/>
  <c r="K164" i="9"/>
  <c r="M164" i="9" s="1"/>
  <c r="K157" i="9"/>
  <c r="M157" i="9" s="1"/>
  <c r="K149" i="9"/>
  <c r="M149" i="9" s="1"/>
  <c r="K141" i="9"/>
  <c r="M141" i="9" s="1"/>
  <c r="K134" i="9"/>
  <c r="M134" i="9" s="1"/>
  <c r="K194" i="9"/>
  <c r="M194" i="9" s="1"/>
  <c r="K163" i="9"/>
  <c r="M163" i="9" s="1"/>
  <c r="K162" i="9"/>
  <c r="M162" i="9" s="1"/>
  <c r="K137" i="9"/>
  <c r="M137" i="9" s="1"/>
  <c r="K116" i="9"/>
  <c r="M116" i="9" s="1"/>
  <c r="K99" i="9"/>
  <c r="M99" i="9" s="1"/>
  <c r="K91" i="9"/>
  <c r="M91" i="9" s="1"/>
  <c r="K83" i="9"/>
  <c r="M83" i="9" s="1"/>
  <c r="K161" i="9"/>
  <c r="M161" i="9" s="1"/>
  <c r="K160" i="9"/>
  <c r="M160" i="9" s="1"/>
  <c r="K159" i="9"/>
  <c r="M159" i="9" s="1"/>
  <c r="K124" i="9"/>
  <c r="M124" i="9" s="1"/>
  <c r="K197" i="9"/>
  <c r="M197" i="9" s="1"/>
  <c r="K186" i="9"/>
  <c r="M186" i="9" s="1"/>
  <c r="K185" i="9"/>
  <c r="M185" i="9" s="1"/>
  <c r="K176" i="9"/>
  <c r="M176" i="9" s="1"/>
  <c r="K152" i="9"/>
  <c r="M152" i="9" s="1"/>
  <c r="K151" i="9"/>
  <c r="M151" i="9" s="1"/>
  <c r="K150" i="9"/>
  <c r="M150" i="9" s="1"/>
  <c r="K130" i="9"/>
  <c r="M130" i="9" s="1"/>
  <c r="K129" i="9"/>
  <c r="M129" i="9" s="1"/>
  <c r="K121" i="9"/>
  <c r="M121" i="9" s="1"/>
  <c r="K104" i="9"/>
  <c r="M104" i="9" s="1"/>
  <c r="K96" i="9"/>
  <c r="M96" i="9" s="1"/>
  <c r="K88" i="9"/>
  <c r="M88" i="9" s="1"/>
  <c r="K71" i="9"/>
  <c r="M71" i="9" s="1"/>
  <c r="K54" i="9"/>
  <c r="M54" i="9" s="1"/>
  <c r="K46" i="9"/>
  <c r="M46" i="9" s="1"/>
  <c r="K38" i="9"/>
  <c r="M38" i="9" s="1"/>
  <c r="K21" i="9"/>
  <c r="M21" i="9" s="1"/>
  <c r="K13" i="9"/>
  <c r="M13" i="9" s="1"/>
  <c r="K191" i="9"/>
  <c r="M191" i="9" s="1"/>
  <c r="K190" i="9"/>
  <c r="M190" i="9" s="1"/>
  <c r="K170" i="9"/>
  <c r="M170" i="9" s="1"/>
  <c r="K193" i="9"/>
  <c r="M193" i="9" s="1"/>
  <c r="K184" i="9"/>
  <c r="M184" i="9" s="1"/>
  <c r="K178" i="9"/>
  <c r="M178" i="9" s="1"/>
  <c r="K145" i="9"/>
  <c r="M145" i="9" s="1"/>
  <c r="K140" i="9"/>
  <c r="M140" i="9" s="1"/>
  <c r="K131" i="9"/>
  <c r="M131" i="9" s="1"/>
  <c r="K196" i="9"/>
  <c r="M196" i="9" s="1"/>
  <c r="K181" i="9"/>
  <c r="M181" i="9" s="1"/>
  <c r="K146" i="9"/>
  <c r="M146" i="9" s="1"/>
  <c r="K117" i="9"/>
  <c r="M117" i="9" s="1"/>
  <c r="K105" i="9"/>
  <c r="M105" i="9" s="1"/>
  <c r="K58" i="9"/>
  <c r="M58" i="9" s="1"/>
  <c r="K57" i="9"/>
  <c r="M57" i="9" s="1"/>
  <c r="K166" i="9"/>
  <c r="M166" i="9" s="1"/>
  <c r="K153" i="9"/>
  <c r="M153" i="9" s="1"/>
  <c r="K136" i="9"/>
  <c r="M136" i="9" s="1"/>
  <c r="K132" i="9"/>
  <c r="M132" i="9" s="1"/>
  <c r="K107" i="9"/>
  <c r="M107" i="9" s="1"/>
  <c r="K106" i="9"/>
  <c r="M106" i="9" s="1"/>
  <c r="K90" i="9"/>
  <c r="M90" i="9" s="1"/>
  <c r="K89" i="9"/>
  <c r="M89" i="9" s="1"/>
  <c r="K56" i="9"/>
  <c r="M56" i="9" s="1"/>
  <c r="K55" i="9"/>
  <c r="M55" i="9" s="1"/>
  <c r="K53" i="9"/>
  <c r="M53" i="9" s="1"/>
  <c r="K199" i="9"/>
  <c r="M199" i="9" s="1"/>
  <c r="K179" i="9"/>
  <c r="M179" i="9" s="1"/>
  <c r="K126" i="9"/>
  <c r="M126" i="9" s="1"/>
  <c r="K111" i="9"/>
  <c r="M111" i="9" s="1"/>
  <c r="K110" i="9"/>
  <c r="M110" i="9" s="1"/>
  <c r="K109" i="9"/>
  <c r="M109" i="9" s="1"/>
  <c r="K51" i="9"/>
  <c r="M51" i="9" s="1"/>
  <c r="K50" i="9"/>
  <c r="M50" i="9" s="1"/>
  <c r="K200" i="9"/>
  <c r="M200" i="9" s="1"/>
  <c r="K189" i="9"/>
  <c r="M189" i="9" s="1"/>
  <c r="K172" i="9"/>
  <c r="M172" i="9" s="1"/>
  <c r="K128" i="9"/>
  <c r="M128" i="9" s="1"/>
  <c r="K114" i="9"/>
  <c r="M114" i="9" s="1"/>
  <c r="K78" i="9"/>
  <c r="M78" i="9" s="1"/>
  <c r="K76" i="9"/>
  <c r="M76" i="9" s="1"/>
  <c r="K74" i="9"/>
  <c r="M74" i="9" s="1"/>
  <c r="K73" i="9"/>
  <c r="M73" i="9" s="1"/>
  <c r="K72" i="9"/>
  <c r="M72" i="9" s="1"/>
  <c r="K43" i="9"/>
  <c r="M43" i="9" s="1"/>
  <c r="K42" i="9"/>
  <c r="M42" i="9" s="1"/>
  <c r="K41" i="9"/>
  <c r="M41" i="9" s="1"/>
  <c r="K16" i="9"/>
  <c r="M16" i="9" s="1"/>
  <c r="K173" i="9"/>
  <c r="M173" i="9" s="1"/>
  <c r="K142" i="9"/>
  <c r="M142" i="9" s="1"/>
  <c r="K119" i="9"/>
  <c r="M119" i="9" s="1"/>
  <c r="K85" i="9"/>
  <c r="M85" i="9" s="1"/>
  <c r="K69" i="9"/>
  <c r="M69" i="9" s="1"/>
  <c r="K65" i="9"/>
  <c r="M65" i="9" s="1"/>
  <c r="K44" i="9"/>
  <c r="M44" i="9" s="1"/>
  <c r="K27" i="9"/>
  <c r="M27" i="9" s="1"/>
  <c r="K23" i="9"/>
  <c r="M23" i="9" s="1"/>
  <c r="K22" i="9"/>
  <c r="M22" i="9" s="1"/>
  <c r="K122" i="9"/>
  <c r="M122" i="9" s="1"/>
  <c r="K115" i="9"/>
  <c r="M115" i="9" s="1"/>
  <c r="K133" i="9"/>
  <c r="M133" i="9" s="1"/>
  <c r="K97" i="9"/>
  <c r="M97" i="9" s="1"/>
  <c r="K94" i="9"/>
  <c r="M94" i="9" s="1"/>
  <c r="K77" i="9"/>
  <c r="M77" i="9" s="1"/>
  <c r="K52" i="9"/>
  <c r="M52" i="9" s="1"/>
  <c r="K45" i="9"/>
  <c r="M45" i="9" s="1"/>
  <c r="K33" i="9"/>
  <c r="M33" i="9" s="1"/>
  <c r="K32" i="9"/>
  <c r="M32" i="9" s="1"/>
  <c r="K29" i="9"/>
  <c r="M29" i="9" s="1"/>
  <c r="K26" i="9"/>
  <c r="M26" i="9" s="1"/>
  <c r="K25" i="9"/>
  <c r="M25" i="9" s="1"/>
  <c r="K158" i="9"/>
  <c r="M158" i="9" s="1"/>
  <c r="K113" i="9"/>
  <c r="M113" i="9" s="1"/>
  <c r="K108" i="9"/>
  <c r="M108" i="9" s="1"/>
  <c r="K154" i="9"/>
  <c r="M154" i="9" s="1"/>
  <c r="K127" i="9"/>
  <c r="M127" i="9" s="1"/>
  <c r="K103" i="9"/>
  <c r="M103" i="9" s="1"/>
  <c r="K36" i="9"/>
  <c r="M36" i="9" s="1"/>
  <c r="K167" i="9"/>
  <c r="M167" i="9" s="1"/>
  <c r="K102" i="9"/>
  <c r="M102" i="9" s="1"/>
  <c r="K95" i="9"/>
  <c r="M95" i="9" s="1"/>
  <c r="K62" i="9"/>
  <c r="M62" i="9" s="1"/>
  <c r="K47" i="9"/>
  <c r="M47" i="9" s="1"/>
  <c r="K19" i="9"/>
  <c r="M19" i="9" s="1"/>
  <c r="K9" i="9"/>
  <c r="M9" i="9" s="1"/>
  <c r="K3" i="9"/>
  <c r="M3" i="9" s="1"/>
  <c r="K169" i="9"/>
  <c r="M169" i="9" s="1"/>
  <c r="K144" i="9"/>
  <c r="M144" i="9" s="1"/>
  <c r="K79" i="9"/>
  <c r="M79" i="9" s="1"/>
  <c r="K60" i="9"/>
  <c r="M60" i="9" s="1"/>
  <c r="K4" i="9"/>
  <c r="M4" i="9" s="1"/>
  <c r="K171" i="9"/>
  <c r="M171" i="9" s="1"/>
  <c r="K70" i="9"/>
  <c r="M70" i="9" s="1"/>
  <c r="K35" i="9"/>
  <c r="M35" i="9" s="1"/>
  <c r="K31" i="9"/>
  <c r="M31" i="9" s="1"/>
  <c r="K20" i="9"/>
  <c r="M20" i="9" s="1"/>
  <c r="K5" i="9"/>
  <c r="M5" i="9" s="1"/>
  <c r="K81" i="9"/>
  <c r="M81" i="9" s="1"/>
  <c r="K15" i="9"/>
  <c r="M15" i="9" s="1"/>
  <c r="K39" i="9"/>
  <c r="M39" i="9" s="1"/>
  <c r="K37" i="9"/>
  <c r="M37" i="9" s="1"/>
  <c r="K12" i="9"/>
  <c r="M12" i="9" s="1"/>
  <c r="K120" i="9"/>
  <c r="M120" i="9" s="1"/>
  <c r="K68" i="9"/>
  <c r="M68" i="9" s="1"/>
  <c r="K59" i="9"/>
  <c r="M59" i="9" s="1"/>
  <c r="K18" i="9"/>
  <c r="M18" i="9" s="1"/>
  <c r="K155" i="9"/>
  <c r="M155" i="9" s="1"/>
  <c r="K143" i="9"/>
  <c r="M143" i="9" s="1"/>
  <c r="K123" i="9"/>
  <c r="M123" i="9" s="1"/>
  <c r="K30" i="9"/>
  <c r="M30" i="9" s="1"/>
  <c r="K28" i="9"/>
  <c r="M28" i="9" s="1"/>
  <c r="K7" i="9"/>
  <c r="M7" i="9" s="1"/>
  <c r="K175" i="9"/>
  <c r="M175" i="9" s="1"/>
  <c r="K139" i="9"/>
  <c r="M139" i="9" s="1"/>
  <c r="K93" i="9"/>
  <c r="M93" i="9" s="1"/>
  <c r="K10" i="9"/>
  <c r="M10" i="9" s="1"/>
  <c r="K118" i="9"/>
  <c r="M118" i="9" s="1"/>
  <c r="K101" i="9"/>
  <c r="M101" i="9" s="1"/>
  <c r="K87" i="9"/>
  <c r="M87" i="9" s="1"/>
  <c r="K17" i="9"/>
  <c r="M17" i="9" s="1"/>
  <c r="K135" i="9"/>
  <c r="M135" i="9" s="1"/>
  <c r="K66" i="9"/>
  <c r="M66" i="9" s="1"/>
  <c r="K63" i="9"/>
  <c r="M63" i="9" s="1"/>
  <c r="K148" i="9"/>
  <c r="M148" i="9" s="1"/>
  <c r="K86" i="9"/>
  <c r="M86" i="9" s="1"/>
  <c r="K82" i="9"/>
  <c r="M82" i="9" s="1"/>
  <c r="K49" i="9"/>
  <c r="M49" i="9" s="1"/>
  <c r="K40" i="9"/>
  <c r="M40" i="9" s="1"/>
  <c r="K112" i="9"/>
  <c r="M112" i="9" s="1"/>
  <c r="K100" i="9"/>
  <c r="M100" i="9" s="1"/>
  <c r="K75" i="9"/>
  <c r="M75" i="9" s="1"/>
  <c r="K24" i="9"/>
  <c r="M24" i="9" s="1"/>
  <c r="K14" i="9"/>
  <c r="M14" i="9" s="1"/>
  <c r="K125" i="9"/>
  <c r="M125" i="9" s="1"/>
  <c r="K92" i="9"/>
  <c r="M92" i="9" s="1"/>
  <c r="K48" i="9"/>
  <c r="M48" i="9" s="1"/>
  <c r="K34" i="9"/>
  <c r="M34" i="9" s="1"/>
  <c r="K11" i="9"/>
  <c r="M11" i="9" s="1"/>
  <c r="K177" i="9"/>
  <c r="M177" i="9" s="1"/>
  <c r="K168" i="9"/>
  <c r="M168" i="9" s="1"/>
  <c r="K84" i="9"/>
  <c r="M84" i="9" s="1"/>
  <c r="K67" i="9"/>
  <c r="M67" i="9" s="1"/>
  <c r="K202" i="9"/>
  <c r="M202" i="9" s="1"/>
  <c r="K98" i="9"/>
  <c r="M98" i="9" s="1"/>
  <c r="K80" i="9"/>
  <c r="M80" i="9" s="1"/>
  <c r="K61" i="9"/>
  <c r="M61" i="9" s="1"/>
  <c r="K6" i="9"/>
  <c r="K187" i="9"/>
  <c r="M187" i="9" s="1"/>
  <c r="K64" i="9"/>
  <c r="M64" i="9" s="1"/>
  <c r="K8" i="9"/>
  <c r="M8" i="9" s="1"/>
  <c r="U5" i="5"/>
  <c r="B10" i="1"/>
  <c r="Z5" i="4"/>
  <c r="J95" i="4" s="1"/>
  <c r="B11" i="1"/>
  <c r="F3" i="6"/>
  <c r="H3" i="6" s="1"/>
  <c r="P6" i="9"/>
  <c r="R88" i="4"/>
  <c r="H182" i="4"/>
  <c r="P63" i="4"/>
  <c r="H183" i="4"/>
  <c r="W3" i="10"/>
  <c r="L3" i="4"/>
  <c r="L5" i="4" s="1"/>
  <c r="AM3" i="4"/>
  <c r="O4" i="9"/>
  <c r="P4" i="9" s="1"/>
  <c r="H51" i="4"/>
  <c r="P147" i="4"/>
  <c r="P188" i="4"/>
  <c r="H83" i="4"/>
  <c r="P107" i="4"/>
  <c r="P27" i="4"/>
  <c r="R106" i="4"/>
  <c r="P70" i="4"/>
  <c r="H125" i="4"/>
  <c r="H92" i="4"/>
  <c r="H94" i="4"/>
  <c r="J29" i="4"/>
  <c r="R100" i="4"/>
  <c r="R104" i="4"/>
  <c r="R14" i="4"/>
  <c r="P14" i="4"/>
  <c r="H63" i="4"/>
  <c r="P199" i="4"/>
  <c r="P66" i="4"/>
  <c r="H199" i="4"/>
  <c r="H81" i="4"/>
  <c r="P62" i="4"/>
  <c r="H108" i="4"/>
  <c r="J58" i="4"/>
  <c r="P89" i="4"/>
  <c r="P119" i="4"/>
  <c r="H130" i="4"/>
  <c r="H191" i="4"/>
  <c r="H188" i="4"/>
  <c r="P78" i="4"/>
  <c r="H79" i="4"/>
  <c r="P120" i="4"/>
  <c r="P47" i="4"/>
  <c r="P133" i="4"/>
  <c r="H195" i="4"/>
  <c r="P34" i="4"/>
  <c r="H70" i="4"/>
  <c r="P193" i="4"/>
  <c r="P192" i="4"/>
  <c r="P65" i="4"/>
  <c r="P125" i="4"/>
  <c r="B32" i="11"/>
  <c r="AI2" i="4"/>
  <c r="S2" i="10"/>
  <c r="C3" i="9"/>
  <c r="D3" i="9" s="1"/>
  <c r="S3" i="10"/>
  <c r="AI3" i="4"/>
  <c r="C4" i="9"/>
  <c r="D4" i="9" s="1"/>
  <c r="R71" i="4"/>
  <c r="D15" i="11"/>
  <c r="F41" i="11" s="1"/>
  <c r="P64" i="4"/>
  <c r="P180" i="4"/>
  <c r="P143" i="4"/>
  <c r="P93" i="4"/>
  <c r="P83" i="4"/>
  <c r="R8" i="4"/>
  <c r="H54" i="4"/>
  <c r="H122" i="4"/>
  <c r="P151" i="4"/>
  <c r="H39" i="4"/>
  <c r="P138" i="4"/>
  <c r="P61" i="4"/>
  <c r="P55" i="4"/>
  <c r="H46" i="4"/>
  <c r="H149" i="4"/>
  <c r="H157" i="4"/>
  <c r="P42" i="4"/>
  <c r="P155" i="4"/>
  <c r="P11" i="4"/>
  <c r="R47" i="4"/>
  <c r="P121" i="4"/>
  <c r="H32" i="4"/>
  <c r="P150" i="4"/>
  <c r="R193" i="4"/>
  <c r="H192" i="4"/>
  <c r="P13" i="4"/>
  <c r="H146" i="4"/>
  <c r="P186" i="4"/>
  <c r="C32" i="11"/>
  <c r="R86" i="4"/>
  <c r="J6" i="9"/>
  <c r="H10" i="4"/>
  <c r="R98" i="4"/>
  <c r="H151" i="4"/>
  <c r="H76" i="4"/>
  <c r="R64" i="4"/>
  <c r="H7" i="4"/>
  <c r="H68" i="4"/>
  <c r="P54" i="4"/>
  <c r="R138" i="4"/>
  <c r="R61" i="4"/>
  <c r="R48" i="4"/>
  <c r="J120" i="4"/>
  <c r="P3" i="4"/>
  <c r="H20" i="4"/>
  <c r="H156" i="4"/>
  <c r="H11" i="4"/>
  <c r="H4" i="4"/>
  <c r="P95" i="4"/>
  <c r="R150" i="4"/>
  <c r="J193" i="4"/>
  <c r="P200" i="4"/>
  <c r="R160" i="4"/>
  <c r="H13" i="4"/>
  <c r="P146" i="4"/>
  <c r="P105" i="4"/>
  <c r="P106" i="4"/>
  <c r="AC5" i="4"/>
  <c r="R42" i="4" l="1"/>
  <c r="J133" i="4"/>
  <c r="R83" i="4"/>
  <c r="R120" i="4"/>
  <c r="J71" i="4"/>
  <c r="R93" i="4"/>
  <c r="J102" i="4"/>
  <c r="J8" i="4"/>
  <c r="R16" i="4"/>
  <c r="M6" i="9"/>
  <c r="J99" i="4"/>
  <c r="R27" i="4"/>
  <c r="J140" i="4"/>
  <c r="J75" i="4"/>
  <c r="R32" i="4"/>
  <c r="R112" i="4"/>
  <c r="R118" i="4"/>
  <c r="J111" i="4"/>
  <c r="R94" i="4"/>
  <c r="J78" i="4"/>
  <c r="J27" i="4"/>
  <c r="R33" i="4"/>
  <c r="J89" i="4"/>
  <c r="R107" i="4"/>
  <c r="R73" i="4"/>
  <c r="R194" i="4"/>
  <c r="R111" i="4"/>
  <c r="J41" i="4"/>
  <c r="J114" i="4"/>
  <c r="R117" i="4"/>
  <c r="R163" i="4"/>
  <c r="R143" i="4"/>
  <c r="J109" i="4"/>
  <c r="R113" i="4"/>
  <c r="R53" i="4"/>
  <c r="J157" i="4"/>
  <c r="J117" i="4"/>
  <c r="R102" i="4"/>
  <c r="J46" i="4"/>
  <c r="R134" i="4"/>
  <c r="R66" i="4"/>
  <c r="R152" i="4"/>
  <c r="R45" i="4"/>
  <c r="R78" i="4"/>
  <c r="J194" i="4"/>
  <c r="R74" i="4"/>
  <c r="J65" i="4"/>
  <c r="J42" i="4"/>
  <c r="J77" i="4"/>
  <c r="R133" i="4"/>
  <c r="J127" i="4"/>
  <c r="R77" i="4"/>
  <c r="J143" i="4"/>
  <c r="R161" i="4"/>
  <c r="J73" i="4"/>
  <c r="J47" i="4"/>
  <c r="J163" i="4"/>
  <c r="R7" i="4"/>
  <c r="R18" i="4"/>
  <c r="J135" i="4"/>
  <c r="P4" i="10"/>
  <c r="Q4" i="8"/>
  <c r="AF4" i="4"/>
  <c r="R109" i="4"/>
  <c r="R3" i="4"/>
  <c r="R122" i="4"/>
  <c r="R191" i="4"/>
  <c r="R132" i="4"/>
  <c r="R56" i="4"/>
  <c r="R31" i="4"/>
  <c r="J165" i="4"/>
  <c r="J67" i="4"/>
  <c r="R157" i="4"/>
  <c r="R46" i="4"/>
  <c r="R179" i="4"/>
  <c r="J173" i="4"/>
  <c r="R167" i="4"/>
  <c r="J148" i="4"/>
  <c r="R201" i="4"/>
  <c r="J198" i="4"/>
  <c r="R195" i="4"/>
  <c r="R189" i="4"/>
  <c r="J192" i="4"/>
  <c r="J170" i="4"/>
  <c r="J201" i="4"/>
  <c r="R162" i="4"/>
  <c r="J184" i="4"/>
  <c r="J168" i="4"/>
  <c r="J167" i="4"/>
  <c r="J187" i="4"/>
  <c r="J151" i="4"/>
  <c r="J144" i="4"/>
  <c r="J44" i="4"/>
  <c r="J145" i="4"/>
  <c r="J37" i="4"/>
  <c r="J176" i="4"/>
  <c r="R153" i="4"/>
  <c r="J142" i="4"/>
  <c r="J4" i="4"/>
  <c r="R38" i="4"/>
  <c r="J166" i="4"/>
  <c r="R145" i="4"/>
  <c r="J16" i="4"/>
  <c r="R10" i="4"/>
  <c r="J24" i="4"/>
  <c r="J23" i="4"/>
  <c r="J22" i="4"/>
  <c r="J20" i="4"/>
  <c r="J38" i="4"/>
  <c r="J21" i="4"/>
  <c r="R144" i="4"/>
  <c r="R44" i="4"/>
  <c r="J10" i="4"/>
  <c r="J6" i="4"/>
  <c r="R170" i="4"/>
  <c r="R173" i="4"/>
  <c r="R142" i="4"/>
  <c r="R190" i="4"/>
  <c r="R37" i="4"/>
  <c r="R20" i="4"/>
  <c r="R35" i="4"/>
  <c r="R171" i="4"/>
  <c r="R192" i="4"/>
  <c r="R151" i="4"/>
  <c r="R200" i="4"/>
  <c r="R198" i="4"/>
  <c r="R148" i="4"/>
  <c r="R196" i="4"/>
  <c r="R23" i="4"/>
  <c r="R188" i="4"/>
  <c r="R176" i="4"/>
  <c r="J69" i="4"/>
  <c r="J39" i="4"/>
  <c r="R146" i="4"/>
  <c r="J181" i="4"/>
  <c r="J158" i="4"/>
  <c r="R181" i="4"/>
  <c r="J199" i="4"/>
  <c r="J98" i="4"/>
  <c r="R34" i="4"/>
  <c r="J31" i="4"/>
  <c r="R139" i="4"/>
  <c r="R168" i="4"/>
  <c r="J125" i="4"/>
  <c r="J68" i="4"/>
  <c r="J180" i="4"/>
  <c r="R40" i="4"/>
  <c r="J156" i="4"/>
  <c r="J92" i="4"/>
  <c r="J18" i="4"/>
  <c r="J28" i="4"/>
  <c r="R11" i="4"/>
  <c r="R50" i="4"/>
  <c r="J171" i="4"/>
  <c r="J189" i="4"/>
  <c r="J17" i="4"/>
  <c r="J97" i="4"/>
  <c r="J126" i="4"/>
  <c r="J54" i="4"/>
  <c r="J30" i="4"/>
  <c r="J70" i="4"/>
  <c r="R17" i="4"/>
  <c r="J186" i="4"/>
  <c r="J174" i="4"/>
  <c r="R124" i="4"/>
  <c r="J82" i="4"/>
  <c r="J175" i="4"/>
  <c r="J116" i="4"/>
  <c r="R21" i="4"/>
  <c r="J53" i="4"/>
  <c r="R165" i="4"/>
  <c r="J164" i="4"/>
  <c r="J11" i="4"/>
  <c r="J150" i="4"/>
  <c r="J188" i="4"/>
  <c r="J179" i="4"/>
  <c r="R41" i="4"/>
  <c r="R101" i="4"/>
  <c r="R158" i="4"/>
  <c r="J66" i="4"/>
  <c r="R6" i="4"/>
  <c r="J200" i="4"/>
  <c r="J3" i="4"/>
  <c r="R97" i="4"/>
  <c r="J19" i="4"/>
  <c r="J121" i="4"/>
  <c r="J96" i="4"/>
  <c r="J85" i="4"/>
  <c r="J59" i="4"/>
  <c r="J190" i="4"/>
  <c r="J195" i="4"/>
  <c r="J147" i="4"/>
  <c r="R156" i="4"/>
  <c r="J149" i="4"/>
  <c r="J40" i="4"/>
  <c r="J115" i="4"/>
  <c r="J48" i="4"/>
  <c r="R147" i="4"/>
  <c r="R172" i="4"/>
  <c r="J185" i="4"/>
  <c r="R13" i="4"/>
  <c r="J63" i="4"/>
  <c r="J12" i="4"/>
  <c r="R76" i="4"/>
  <c r="R186" i="4"/>
  <c r="R22" i="4"/>
  <c r="R19" i="4"/>
  <c r="J90" i="4"/>
  <c r="J128" i="4"/>
  <c r="J119" i="4"/>
  <c r="R175" i="4"/>
  <c r="J159" i="4"/>
  <c r="R174" i="4"/>
  <c r="R154" i="4"/>
  <c r="J33" i="4"/>
  <c r="J32" i="4"/>
  <c r="J172" i="4"/>
  <c r="J131" i="4"/>
  <c r="J57" i="4"/>
  <c r="R4" i="4"/>
  <c r="R82" i="4"/>
  <c r="R119" i="4"/>
  <c r="R25" i="4"/>
  <c r="R9" i="4"/>
  <c r="J14" i="4"/>
  <c r="J60" i="4"/>
  <c r="J103" i="4"/>
  <c r="J76" i="4"/>
  <c r="J50" i="4"/>
  <c r="J196" i="4"/>
  <c r="J91" i="4"/>
  <c r="J93" i="4"/>
  <c r="J45" i="4"/>
  <c r="J178" i="4"/>
  <c r="R85" i="4"/>
  <c r="R123" i="4"/>
  <c r="R129" i="4"/>
  <c r="R125" i="4"/>
  <c r="J105" i="4"/>
  <c r="J129" i="4"/>
  <c r="J56" i="4"/>
  <c r="J35" i="4"/>
  <c r="J162" i="4"/>
  <c r="J52" i="4"/>
  <c r="R114" i="4"/>
  <c r="J153" i="4"/>
  <c r="J2" i="4"/>
  <c r="R30" i="4"/>
  <c r="J25" i="4"/>
  <c r="J79" i="4"/>
  <c r="R91" i="4"/>
  <c r="F177" i="10"/>
  <c r="F184" i="10"/>
  <c r="F185" i="10"/>
  <c r="F169" i="10"/>
  <c r="F187" i="10"/>
  <c r="F166" i="10"/>
  <c r="F193" i="10"/>
  <c r="F66" i="10"/>
  <c r="F182" i="10"/>
  <c r="F196" i="10"/>
  <c r="F170" i="10"/>
  <c r="F155" i="10"/>
  <c r="F108" i="10"/>
  <c r="F76" i="10"/>
  <c r="F60" i="10"/>
  <c r="F183" i="10"/>
  <c r="F118" i="10"/>
  <c r="F126" i="10"/>
  <c r="F70" i="10"/>
  <c r="F171" i="10"/>
  <c r="F167" i="10"/>
  <c r="F163" i="10"/>
  <c r="F152" i="10"/>
  <c r="F98" i="10"/>
  <c r="F168" i="10"/>
  <c r="F158" i="10"/>
  <c r="F140" i="10"/>
  <c r="F120" i="10"/>
  <c r="F72" i="10"/>
  <c r="F40" i="10"/>
  <c r="F24" i="10"/>
  <c r="F12" i="10"/>
  <c r="F8" i="10"/>
  <c r="F50" i="10"/>
  <c r="F18" i="10"/>
  <c r="F180" i="10"/>
  <c r="F144" i="10"/>
  <c r="F104" i="10"/>
  <c r="F56" i="10"/>
  <c r="F179" i="10"/>
  <c r="F78" i="10"/>
  <c r="F30" i="10"/>
  <c r="F122" i="10"/>
  <c r="F88" i="10"/>
  <c r="F38" i="10"/>
  <c r="F134" i="10"/>
  <c r="F124" i="10"/>
  <c r="F14" i="10"/>
  <c r="F151" i="10"/>
  <c r="F28" i="10"/>
  <c r="F62" i="10"/>
  <c r="F36" i="10"/>
  <c r="F22" i="10"/>
  <c r="F181" i="10"/>
  <c r="F192" i="10"/>
  <c r="F2" i="10"/>
  <c r="F54" i="11" s="1"/>
  <c r="F35" i="10"/>
  <c r="F69" i="10"/>
  <c r="F96" i="10"/>
  <c r="F74" i="10"/>
  <c r="F68" i="10"/>
  <c r="F150" i="10"/>
  <c r="F49" i="10"/>
  <c r="F190" i="10"/>
  <c r="F138" i="10"/>
  <c r="F87" i="10"/>
  <c r="F67" i="10"/>
  <c r="F37" i="10"/>
  <c r="F85" i="10"/>
  <c r="F16" i="10"/>
  <c r="F21" i="10"/>
  <c r="F149" i="10"/>
  <c r="F130" i="10"/>
  <c r="F132" i="10"/>
  <c r="F188" i="10"/>
  <c r="F102" i="10"/>
  <c r="F131" i="10"/>
  <c r="F165" i="10"/>
  <c r="F83" i="10"/>
  <c r="F73" i="10"/>
  <c r="F135" i="10"/>
  <c r="F32" i="10"/>
  <c r="F148" i="10"/>
  <c r="F55" i="10"/>
  <c r="F77" i="10"/>
  <c r="F105" i="10"/>
  <c r="F59" i="10"/>
  <c r="F143" i="10"/>
  <c r="F44" i="10"/>
  <c r="F80" i="10"/>
  <c r="F128" i="10"/>
  <c r="F39" i="10"/>
  <c r="F175" i="10"/>
  <c r="F54" i="10"/>
  <c r="F6" i="10"/>
  <c r="F159" i="10"/>
  <c r="F97" i="10"/>
  <c r="F195" i="10"/>
  <c r="F63" i="10"/>
  <c r="F162" i="10"/>
  <c r="F13" i="10"/>
  <c r="F52" i="10"/>
  <c r="F156" i="10"/>
  <c r="F64" i="10"/>
  <c r="F189" i="10"/>
  <c r="F57" i="10"/>
  <c r="F154" i="10"/>
  <c r="F136" i="10"/>
  <c r="F198" i="10"/>
  <c r="F100" i="10"/>
  <c r="F139" i="10"/>
  <c r="F47" i="10"/>
  <c r="F114" i="10"/>
  <c r="F125" i="10"/>
  <c r="F42" i="10"/>
  <c r="F17" i="10"/>
  <c r="F197" i="10"/>
  <c r="F109" i="10"/>
  <c r="F127" i="10"/>
  <c r="F119" i="10"/>
  <c r="F51" i="10"/>
  <c r="F11" i="10"/>
  <c r="F111" i="10"/>
  <c r="F92" i="10"/>
  <c r="F48" i="10"/>
  <c r="F53" i="10"/>
  <c r="F20" i="10"/>
  <c r="F34" i="10"/>
  <c r="F90" i="10"/>
  <c r="F46" i="10"/>
  <c r="F174" i="10"/>
  <c r="F176" i="10"/>
  <c r="F191" i="10"/>
  <c r="F113" i="10"/>
  <c r="F7" i="10"/>
  <c r="F84" i="10"/>
  <c r="F121" i="10"/>
  <c r="F186" i="10"/>
  <c r="F99" i="10"/>
  <c r="F133" i="10"/>
  <c r="F142" i="10"/>
  <c r="F15" i="10"/>
  <c r="F178" i="10"/>
  <c r="F115" i="10"/>
  <c r="F65" i="10"/>
  <c r="F172" i="10"/>
  <c r="F5" i="10"/>
  <c r="F153" i="10"/>
  <c r="F58" i="10"/>
  <c r="F129" i="10"/>
  <c r="F157" i="10"/>
  <c r="F10" i="10"/>
  <c r="F81" i="10"/>
  <c r="F86" i="10"/>
  <c r="F3" i="10"/>
  <c r="F55" i="11" s="1"/>
  <c r="F19" i="10"/>
  <c r="F82" i="10"/>
  <c r="F95" i="10"/>
  <c r="F75" i="10"/>
  <c r="F145" i="10"/>
  <c r="F91" i="10"/>
  <c r="F23" i="10"/>
  <c r="F61" i="10"/>
  <c r="F146" i="10"/>
  <c r="F160" i="10"/>
  <c r="F41" i="10"/>
  <c r="F173" i="10"/>
  <c r="F79" i="10"/>
  <c r="F94" i="10"/>
  <c r="F116" i="10"/>
  <c r="F25" i="10"/>
  <c r="F106" i="10"/>
  <c r="F123" i="10"/>
  <c r="F26" i="10"/>
  <c r="F101" i="10"/>
  <c r="F31" i="10"/>
  <c r="F33" i="10"/>
  <c r="F112" i="10"/>
  <c r="F45" i="10"/>
  <c r="F43" i="10"/>
  <c r="F4" i="10"/>
  <c r="F56" i="11" s="1"/>
  <c r="F71" i="10"/>
  <c r="F29" i="10"/>
  <c r="F103" i="10"/>
  <c r="F93" i="10"/>
  <c r="F110" i="10"/>
  <c r="F164" i="10"/>
  <c r="F89" i="10"/>
  <c r="F141" i="10"/>
  <c r="F137" i="10"/>
  <c r="F27" i="10"/>
  <c r="F147" i="10"/>
  <c r="F194" i="10"/>
  <c r="F9" i="10"/>
  <c r="F117" i="10"/>
  <c r="F199" i="10"/>
  <c r="F161" i="10"/>
  <c r="F107" i="10"/>
  <c r="F200" i="10"/>
  <c r="J154" i="4"/>
  <c r="J88" i="4"/>
  <c r="J108" i="4"/>
  <c r="J161" i="4"/>
  <c r="J118" i="4"/>
  <c r="J84" i="4"/>
  <c r="R90" i="4"/>
  <c r="R99" i="4"/>
  <c r="J139" i="4"/>
  <c r="J130" i="4"/>
  <c r="J36" i="4"/>
  <c r="R67" i="4"/>
  <c r="B35" i="11"/>
  <c r="R58" i="4"/>
  <c r="J122" i="4"/>
  <c r="J80" i="4"/>
  <c r="J155" i="4"/>
  <c r="J100" i="4"/>
  <c r="R135" i="4"/>
  <c r="R178" i="4"/>
  <c r="J101" i="4"/>
  <c r="R70" i="4"/>
  <c r="J49" i="4"/>
  <c r="R126" i="4"/>
  <c r="J134" i="4"/>
  <c r="R130" i="4"/>
  <c r="E32" i="11"/>
  <c r="C35" i="11"/>
  <c r="R28" i="4"/>
  <c r="R127" i="4"/>
  <c r="R199" i="4"/>
  <c r="R121" i="4"/>
  <c r="R55" i="4"/>
  <c r="R65" i="4"/>
  <c r="J62" i="4"/>
  <c r="J137" i="4"/>
  <c r="J106" i="4"/>
  <c r="R137" i="4"/>
  <c r="R81" i="4"/>
  <c r="R62" i="4"/>
  <c r="R116" i="4"/>
  <c r="L199" i="5"/>
  <c r="L192" i="5"/>
  <c r="L188" i="5"/>
  <c r="L185" i="5"/>
  <c r="L175" i="5"/>
  <c r="L168" i="5"/>
  <c r="L161" i="5"/>
  <c r="L157" i="5"/>
  <c r="L153" i="5"/>
  <c r="L149" i="5"/>
  <c r="L145" i="5"/>
  <c r="L141" i="5"/>
  <c r="L137" i="5"/>
  <c r="L133" i="5"/>
  <c r="L129" i="5"/>
  <c r="L125" i="5"/>
  <c r="L121" i="5"/>
  <c r="L117" i="5"/>
  <c r="L113" i="5"/>
  <c r="L109" i="5"/>
  <c r="L105" i="5"/>
  <c r="L101" i="5"/>
  <c r="L97" i="5"/>
  <c r="L93" i="5"/>
  <c r="L89" i="5"/>
  <c r="L85" i="5"/>
  <c r="L81" i="5"/>
  <c r="L77" i="5"/>
  <c r="L73" i="5"/>
  <c r="L69" i="5"/>
  <c r="L65" i="5"/>
  <c r="L61" i="5"/>
  <c r="L57" i="5"/>
  <c r="L53" i="5"/>
  <c r="L49" i="5"/>
  <c r="L45" i="5"/>
  <c r="L41" i="5"/>
  <c r="L37" i="5"/>
  <c r="L33" i="5"/>
  <c r="L29" i="5"/>
  <c r="L25" i="5"/>
  <c r="L21" i="5"/>
  <c r="L17" i="5"/>
  <c r="L13" i="5"/>
  <c r="L9" i="5"/>
  <c r="L198" i="5"/>
  <c r="L195" i="5"/>
  <c r="L179" i="5"/>
  <c r="L172" i="5"/>
  <c r="L182" i="5"/>
  <c r="L171" i="5"/>
  <c r="L165" i="5"/>
  <c r="L196" i="5"/>
  <c r="L177" i="5"/>
  <c r="L174" i="5"/>
  <c r="L3" i="5"/>
  <c r="P3" i="5" s="1"/>
  <c r="L191" i="5"/>
  <c r="L4" i="5"/>
  <c r="P4" i="5" s="1"/>
  <c r="L194" i="5"/>
  <c r="L183" i="5"/>
  <c r="L169" i="5"/>
  <c r="L166" i="5"/>
  <c r="L189" i="5"/>
  <c r="L186" i="5"/>
  <c r="L181" i="5"/>
  <c r="L178" i="5"/>
  <c r="L167" i="5"/>
  <c r="L158" i="5"/>
  <c r="L155" i="5"/>
  <c r="L152" i="5"/>
  <c r="L146" i="5"/>
  <c r="L143" i="5"/>
  <c r="L140" i="5"/>
  <c r="L134" i="5"/>
  <c r="L131" i="5"/>
  <c r="L128" i="5"/>
  <c r="L122" i="5"/>
  <c r="L119" i="5"/>
  <c r="L116" i="5"/>
  <c r="L110" i="5"/>
  <c r="L107" i="5"/>
  <c r="L104" i="5"/>
  <c r="L98" i="5"/>
  <c r="L95" i="5"/>
  <c r="L92" i="5"/>
  <c r="L86" i="5"/>
  <c r="L83" i="5"/>
  <c r="L80" i="5"/>
  <c r="L74" i="5"/>
  <c r="L71" i="5"/>
  <c r="L68" i="5"/>
  <c r="L62" i="5"/>
  <c r="L59" i="5"/>
  <c r="L56" i="5"/>
  <c r="L50" i="5"/>
  <c r="L47" i="5"/>
  <c r="L44" i="5"/>
  <c r="L38" i="5"/>
  <c r="L35" i="5"/>
  <c r="L32" i="5"/>
  <c r="L26" i="5"/>
  <c r="L23" i="5"/>
  <c r="L200" i="5"/>
  <c r="L184" i="5"/>
  <c r="L173" i="5"/>
  <c r="L170" i="5"/>
  <c r="L164" i="5"/>
  <c r="L187" i="5"/>
  <c r="L197" i="5"/>
  <c r="L180" i="5"/>
  <c r="L130" i="5"/>
  <c r="L94" i="5"/>
  <c r="L58" i="5"/>
  <c r="L18" i="5"/>
  <c r="L159" i="5"/>
  <c r="L150" i="5"/>
  <c r="L123" i="5"/>
  <c r="L114" i="5"/>
  <c r="L87" i="5"/>
  <c r="L78" i="5"/>
  <c r="L51" i="5"/>
  <c r="L40" i="5"/>
  <c r="L34" i="5"/>
  <c r="L7" i="5"/>
  <c r="L136" i="5"/>
  <c r="L132" i="5"/>
  <c r="L100" i="5"/>
  <c r="L96" i="5"/>
  <c r="L64" i="5"/>
  <c r="L60" i="5"/>
  <c r="L36" i="5"/>
  <c r="L12" i="5"/>
  <c r="L163" i="5"/>
  <c r="L127" i="5"/>
  <c r="L91" i="5"/>
  <c r="L55" i="5"/>
  <c r="L42" i="5"/>
  <c r="L154" i="5"/>
  <c r="L118" i="5"/>
  <c r="L82" i="5"/>
  <c r="L27" i="5"/>
  <c r="L10" i="5"/>
  <c r="L147" i="5"/>
  <c r="L138" i="5"/>
  <c r="L111" i="5"/>
  <c r="L102" i="5"/>
  <c r="L75" i="5"/>
  <c r="L66" i="5"/>
  <c r="L46" i="5"/>
  <c r="L31" i="5"/>
  <c r="L19" i="5"/>
  <c r="L160" i="5"/>
  <c r="L156" i="5"/>
  <c r="L124" i="5"/>
  <c r="L120" i="5"/>
  <c r="L88" i="5"/>
  <c r="L84" i="5"/>
  <c r="L52" i="5"/>
  <c r="L48" i="5"/>
  <c r="L15" i="5"/>
  <c r="L8" i="5"/>
  <c r="L151" i="5"/>
  <c r="L115" i="5"/>
  <c r="L79" i="5"/>
  <c r="L142" i="5"/>
  <c r="L106" i="5"/>
  <c r="L70" i="5"/>
  <c r="L39" i="5"/>
  <c r="L11" i="5"/>
  <c r="L144" i="5"/>
  <c r="L108" i="5"/>
  <c r="L72" i="5"/>
  <c r="L20" i="5"/>
  <c r="L5" i="5"/>
  <c r="L22" i="5"/>
  <c r="L14" i="5"/>
  <c r="L135" i="5"/>
  <c r="L99" i="5"/>
  <c r="L63" i="5"/>
  <c r="L193" i="5"/>
  <c r="L162" i="5"/>
  <c r="L148" i="5"/>
  <c r="L126" i="5"/>
  <c r="L112" i="5"/>
  <c r="L90" i="5"/>
  <c r="L76" i="5"/>
  <c r="L54" i="5"/>
  <c r="L43" i="5"/>
  <c r="L24" i="5"/>
  <c r="L190" i="5"/>
  <c r="L176" i="5"/>
  <c r="L16" i="5"/>
  <c r="L6" i="5"/>
  <c r="L2" i="5"/>
  <c r="P2" i="5" s="1"/>
  <c r="L28" i="5"/>
  <c r="L67" i="5"/>
  <c r="L139" i="5"/>
  <c r="L30" i="5"/>
  <c r="L103" i="5"/>
  <c r="J72" i="4"/>
  <c r="R75" i="4"/>
  <c r="R89" i="4"/>
  <c r="R140" i="4"/>
  <c r="R54" i="4"/>
  <c r="J182" i="4"/>
  <c r="J51" i="4"/>
  <c r="J124" i="4"/>
  <c r="J55" i="4"/>
  <c r="R169" i="4"/>
  <c r="J13" i="4"/>
  <c r="J9" i="4"/>
  <c r="J160" i="4"/>
  <c r="R184" i="4"/>
  <c r="J112" i="4"/>
  <c r="R2" i="4"/>
  <c r="J104" i="4"/>
  <c r="R92" i="4"/>
  <c r="R108" i="4"/>
  <c r="J141" i="4"/>
  <c r="R177" i="4"/>
  <c r="J87" i="4"/>
  <c r="J183" i="4"/>
  <c r="R87" i="4"/>
  <c r="R96" i="4"/>
  <c r="R84" i="4"/>
  <c r="J83" i="4"/>
  <c r="R51" i="4"/>
  <c r="R15" i="4"/>
  <c r="J34" i="4"/>
  <c r="R185" i="4"/>
  <c r="J110" i="4"/>
  <c r="R141" i="4"/>
  <c r="J152" i="4"/>
  <c r="R36" i="4"/>
  <c r="R39" i="4"/>
  <c r="J86" i="4"/>
  <c r="J4" i="6"/>
  <c r="I4" i="6"/>
  <c r="R3" i="6" s="1"/>
  <c r="R7" i="6" s="1"/>
  <c r="R49" i="4"/>
  <c r="J94" i="4"/>
  <c r="J146" i="4"/>
  <c r="R110" i="4"/>
  <c r="R43" i="4"/>
  <c r="R166" i="4"/>
  <c r="R59" i="4"/>
  <c r="J177" i="4"/>
  <c r="J43" i="4"/>
  <c r="R24" i="4"/>
  <c r="H2" i="6"/>
  <c r="P3" i="6"/>
  <c r="P7" i="6" s="1"/>
  <c r="J74" i="4"/>
  <c r="P3" i="10"/>
  <c r="AF3" i="4"/>
  <c r="Q3" i="8"/>
  <c r="P5" i="4"/>
  <c r="H5" i="4"/>
  <c r="J136" i="4"/>
  <c r="R136" i="4"/>
  <c r="R72" i="4"/>
  <c r="R182" i="4"/>
  <c r="J61" i="4"/>
  <c r="J64" i="4"/>
  <c r="R68" i="4"/>
  <c r="F15" i="11"/>
  <c r="B16" i="11"/>
  <c r="R69" i="4"/>
  <c r="J123" i="4"/>
  <c r="R128" i="4"/>
  <c r="J169" i="4"/>
  <c r="J107" i="4"/>
  <c r="R103" i="4"/>
  <c r="J26" i="4"/>
  <c r="J15" i="4"/>
  <c r="R57" i="4"/>
  <c r="R131" i="4"/>
  <c r="P2" i="10"/>
  <c r="Q2" i="8"/>
  <c r="AF2" i="4"/>
  <c r="R187" i="4"/>
  <c r="R159" i="4"/>
  <c r="R115" i="4"/>
  <c r="R183" i="4"/>
  <c r="J197" i="4"/>
  <c r="R155" i="4"/>
  <c r="R164" i="4"/>
  <c r="R105" i="4"/>
  <c r="R29" i="4"/>
  <c r="R149" i="4"/>
  <c r="R60" i="4"/>
  <c r="R95" i="4"/>
  <c r="J138" i="4"/>
  <c r="R63" i="4"/>
  <c r="D6" i="9"/>
  <c r="J113" i="4"/>
  <c r="R197" i="4"/>
  <c r="R80" i="4"/>
  <c r="J132" i="4"/>
  <c r="K3" i="6"/>
  <c r="D44" i="11" s="1"/>
  <c r="J7" i="4"/>
  <c r="J191" i="4"/>
  <c r="R12" i="4"/>
  <c r="R52" i="4"/>
  <c r="R79" i="4"/>
  <c r="R26" i="4"/>
  <c r="R180" i="4"/>
  <c r="J81" i="4"/>
  <c r="J5" i="4" l="1"/>
  <c r="R5" i="4"/>
  <c r="Q2" i="10"/>
  <c r="AG2" i="4"/>
  <c r="U2" i="8"/>
  <c r="H41" i="11"/>
  <c r="B21" i="11"/>
  <c r="U3" i="8"/>
  <c r="AG3" i="4"/>
  <c r="Q3" i="10"/>
  <c r="Q4" i="10"/>
  <c r="U4" i="8"/>
  <c r="AG4" i="4"/>
  <c r="B22" i="11"/>
  <c r="E35" i="11"/>
  <c r="T3" i="6"/>
  <c r="T7" i="6" s="1"/>
  <c r="Q3" i="6"/>
  <c r="Q7" i="6" s="1"/>
  <c r="C11" i="11"/>
  <c r="D45" i="11"/>
  <c r="S3" i="6"/>
  <c r="S7" i="6" s="1"/>
  <c r="B23" i="11" l="1"/>
  <c r="F11" i="11"/>
  <c r="C15" i="11"/>
  <c r="AH3" i="4"/>
  <c r="R3" i="10"/>
  <c r="X3" i="8"/>
  <c r="AH4" i="4"/>
  <c r="R4" i="10"/>
  <c r="B26" i="11"/>
  <c r="AH2" i="4"/>
  <c r="R2" i="10"/>
  <c r="X2" i="8"/>
  <c r="X4" i="8"/>
  <c r="V2" i="4" l="1"/>
  <c r="U2" i="4"/>
  <c r="AN2" i="4"/>
  <c r="AN3" i="4"/>
  <c r="V3" i="4"/>
  <c r="U3" i="4"/>
  <c r="D41" i="11"/>
  <c r="F16" i="11"/>
  <c r="AN4" i="4"/>
  <c r="V4" i="4"/>
  <c r="U4" i="4"/>
  <c r="J41" i="11" l="1"/>
  <c r="H44" i="11"/>
  <c r="F32" i="11" l="1"/>
  <c r="F36" i="11"/>
  <c r="E26" i="11" s="1"/>
  <c r="J4" i="11" s="1"/>
</calcChain>
</file>

<file path=xl/sharedStrings.xml><?xml version="1.0" encoding="utf-8"?>
<sst xmlns="http://schemas.openxmlformats.org/spreadsheetml/2006/main" count="1155" uniqueCount="239">
  <si>
    <t>NUMERO_PC</t>
  </si>
  <si>
    <t>DATA_PC</t>
  </si>
  <si>
    <t>CICLO_PC</t>
  </si>
  <si>
    <t>VALOR_PC</t>
  </si>
  <si>
    <t>FATOR_ACUMULADO</t>
  </si>
  <si>
    <t>VALOR_ATUALIZADO</t>
  </si>
  <si>
    <t>PC_PAGO_A_CONTRATADA</t>
  </si>
  <si>
    <t>RETROATIVO_RECONHECIDO_A_PAGAR</t>
  </si>
  <si>
    <t>VALOR_ATUALIZADO_EM_ANALISE</t>
  </si>
  <si>
    <t>DELTA_POTENCIAL</t>
  </si>
  <si>
    <t>CHECK_PC_FINANCEIRO</t>
  </si>
  <si>
    <t>CICLO</t>
  </si>
  <si>
    <t>QTD_PC</t>
  </si>
  <si>
    <t>VALOR_PC_TOTAL</t>
  </si>
  <si>
    <t>VALOR_ATUALIZADO_TOTAL</t>
  </si>
  <si>
    <t>QTD_COM_CHECK</t>
  </si>
  <si>
    <t>COMPUTA_VTA</t>
  </si>
  <si>
    <t>TIPO_PARCELA</t>
  </si>
  <si>
    <t>ORIGEM_DADO</t>
  </si>
  <si>
    <t>TIPO_FINANCEIRO</t>
  </si>
  <si>
    <t>FONTE_PARCELA</t>
  </si>
  <si>
    <t>JA_REFLETIDO_EM</t>
  </si>
  <si>
    <t>STATUS_CONSOLIDACAO</t>
  </si>
  <si>
    <t>JUSTIFICATIVA_VTA</t>
  </si>
  <si>
    <t>PC-2024-001</t>
  </si>
  <si>
    <t>Sim</t>
  </si>
  <si>
    <t>C0</t>
  </si>
  <si>
    <t>Nao</t>
  </si>
  <si>
    <t>PC em analise</t>
  </si>
  <si>
    <t>Pedido de Compra</t>
  </si>
  <si>
    <t>Impacto Potencial</t>
  </si>
  <si>
    <t>PC</t>
  </si>
  <si>
    <t>NAO_COMPUTADO</t>
  </si>
  <si>
    <t>Estrutura Fase 1: sem impacto no VTA oficial</t>
  </si>
  <si>
    <t>PC-2024-002</t>
  </si>
  <si>
    <t>C1</t>
  </si>
  <si>
    <t>PC-2024-003</t>
  </si>
  <si>
    <t>C2</t>
  </si>
  <si>
    <t>C3</t>
  </si>
  <si>
    <t>C4</t>
  </si>
  <si>
    <t>TOTAL</t>
  </si>
  <si>
    <t>MODO DE LEITURA</t>
  </si>
  <si>
    <t>Principal</t>
  </si>
  <si>
    <t>Principal = pago + remanescente | D = consumo por ciclo</t>
  </si>
  <si>
    <t>Ciclo vigente (em execução)</t>
  </si>
  <si>
    <t>Data de corte (única p/ contrato)</t>
  </si>
  <si>
    <t>C0 e ciclos fora da analise</t>
  </si>
  <si>
    <t>Preencher FINANCEIRO: coluna B com o nome do ciclo (ex: c0, c1), coluna C com o valor efetivamente pago. Se vazio, o sistema usa calculo por itens/estoque.</t>
  </si>
  <si>
    <t>RESUMO DO REAJUSTE</t>
  </si>
  <si>
    <t>VALOR</t>
  </si>
  <si>
    <t>Índice utilizado</t>
  </si>
  <si>
    <t>IST (Anatel)</t>
  </si>
  <si>
    <t>Data-base original</t>
  </si>
  <si>
    <t>Quantidade de ciclos desta análise</t>
  </si>
  <si>
    <t>Variação acumulada final</t>
  </si>
  <si>
    <t>Fator acumulado total</t>
  </si>
  <si>
    <t>Último ciclo considerado nesta apuração</t>
  </si>
  <si>
    <t>Início do último ciclo considerado</t>
  </si>
  <si>
    <t>Data de geracao do arquivo</t>
  </si>
  <si>
    <t>COMPUTAR_NESTA_APURACAO</t>
  </si>
  <si>
    <t>DATA_INICIO</t>
  </si>
  <si>
    <t>DATA_FIM</t>
  </si>
  <si>
    <t>PERCENTUAL_DO_CICLO</t>
  </si>
  <si>
    <t>SITUACAO</t>
  </si>
  <si>
    <t>Base</t>
  </si>
  <si>
    <t>TEMPESTIVO</t>
  </si>
  <si>
    <t>MEMORIA DO FATOR APLICAVEL A APURACAO</t>
  </si>
  <si>
    <t>COMPUTA?</t>
  </si>
  <si>
    <t>PERCENTUAL</t>
  </si>
  <si>
    <t>FATOR</t>
  </si>
  <si>
    <t>FATOR_ACUMULADO_APURACAO</t>
  </si>
  <si>
    <t>STATUS</t>
  </si>
  <si>
    <t>TOTAL APURACAO</t>
  </si>
  <si>
    <t>COMPETENCIA</t>
  </si>
  <si>
    <t>VALOR_PAGO</t>
  </si>
  <si>
    <t>FATOR_APLICAVEL</t>
  </si>
  <si>
    <t>DELTA</t>
  </si>
  <si>
    <t>EFEITO_FINANCEIRO</t>
  </si>
  <si>
    <t>ITEM</t>
  </si>
  <si>
    <t>QTD_BASE_ORIGINAL
(0 PARA NOVO ITEM FORMALIZADO)</t>
  </si>
  <si>
    <t>VU_ORIGINAL</t>
  </si>
  <si>
    <t>VALOR_TOTAL</t>
  </si>
  <si>
    <t>CHECK</t>
  </si>
  <si>
    <t>CHECK_QTD</t>
  </si>
  <si>
    <t>FATOR_PROPRIO</t>
  </si>
  <si>
    <t>EXECUÇÃO IMPLÍCITA C0 — INFORMATIVO</t>
  </si>
  <si>
    <t>QTD_EXECUTADA_C0</t>
  </si>
  <si>
    <t>VALOR_EXECUTADO_C0</t>
  </si>
  <si>
    <t>QTD_CONTRATADA_VIGENTE_C0</t>
  </si>
  <si>
    <t>QTD_CONTRATADA_VIGENTE_C1</t>
  </si>
  <si>
    <t>QTD_CONTRATADA_VIGENTE_C2</t>
  </si>
  <si>
    <t>QTD_CONTRATADA_VIGENTE_C3</t>
  </si>
  <si>
    <t>QTD_CONTRATADA_VIGENTE_C4</t>
  </si>
  <si>
    <t>QTD_REM_AJUSTADA_C0</t>
  </si>
  <si>
    <t>QTD_REM_AJUSTADA_C1</t>
  </si>
  <si>
    <t>QTD_REM_AJUSTADA_C2</t>
  </si>
  <si>
    <t>QTD_REM_AJUSTADA_C3</t>
  </si>
  <si>
    <t>QTD_REM_AJUSTADA_C4</t>
  </si>
  <si>
    <t>CHECK_POSICAO_CONTRATUAL</t>
  </si>
  <si>
    <t>ITEM-001</t>
  </si>
  <si>
    <t>ITEM-002</t>
  </si>
  <si>
    <t>ITEM-003</t>
  </si>
  <si>
    <t>QTD_CONTRATADA</t>
  </si>
  <si>
    <t>QTD_CONS_C0</t>
  </si>
  <si>
    <t>VALOR_CONS_C0</t>
  </si>
  <si>
    <t>QTD_CONS_C1</t>
  </si>
  <si>
    <t>VALOR_CONS_C1</t>
  </si>
  <si>
    <t>QTD_CONS_C2</t>
  </si>
  <si>
    <t>VALOR_CONS_C2</t>
  </si>
  <si>
    <t>QTD_CONS_C3</t>
  </si>
  <si>
    <t>VALOR_CONS_C3</t>
  </si>
  <si>
    <t>QTD_CONS_C4</t>
  </si>
  <si>
    <t>VALOR_CONS_C4</t>
  </si>
  <si>
    <t>CONS_QTD_TOTAL</t>
  </si>
  <si>
    <t>CONS_VALOR_TOTAL</t>
  </si>
  <si>
    <t>ITEM
(NOVO ITEM: CADASTRAR EM itens_Remanesc COM BASE 0)</t>
  </si>
  <si>
    <t>Data do aditivo</t>
  </si>
  <si>
    <t>Ciclo/Marco</t>
  </si>
  <si>
    <t>TIPO DE ALTERAÇÃO FORMALIZADA</t>
  </si>
  <si>
    <t>Quantidade acrescida/suprimida</t>
  </si>
  <si>
    <t>Valor unitario original</t>
  </si>
  <si>
    <t>Valor original da alteracao</t>
  </si>
  <si>
    <t>Aplicar reajuste? (Sim/Nao)</t>
  </si>
  <si>
    <t>Fator acumulado aplicavel</t>
  </si>
  <si>
    <t>Valor atualizado da alteracao</t>
  </si>
  <si>
    <t>CONSIDERADO NO CÁLCULO FINANCEIRO? (SIM/NÃO)</t>
  </si>
  <si>
    <t>DELTA_QTD_CONTRATUAL</t>
  </si>
  <si>
    <t>Acrescimo</t>
  </si>
  <si>
    <t>QTD_BASE_ORIGINAL</t>
  </si>
  <si>
    <t>DELTA_C0</t>
  </si>
  <si>
    <t>QTD_CONTRATADA_C0</t>
  </si>
  <si>
    <t>QTD_REM_BASE_C0</t>
  </si>
  <si>
    <t>DELTA_C1</t>
  </si>
  <si>
    <t>QTD_CONTRATADA_C1</t>
  </si>
  <si>
    <t>QTD_REM_BASE_C1</t>
  </si>
  <si>
    <t>DELTA_C2</t>
  </si>
  <si>
    <t>QTD_CONTRATADA_C2</t>
  </si>
  <si>
    <t>QTD_REM_BASE_C2</t>
  </si>
  <si>
    <t>DELTA_C3</t>
  </si>
  <si>
    <t>QTD_CONTRATADA_C3</t>
  </si>
  <si>
    <t>QTD_REM_BASE_C3</t>
  </si>
  <si>
    <t>DELTA_C4</t>
  </si>
  <si>
    <t>QTD_CONTRATADA_C4</t>
  </si>
  <si>
    <t>QTD_REM_BASE_C4</t>
  </si>
  <si>
    <t>Item</t>
  </si>
  <si>
    <t>VU atualizado</t>
  </si>
  <si>
    <t>Qtd restante</t>
  </si>
  <si>
    <t>Total R$</t>
  </si>
  <si>
    <t>QTD_C0</t>
  </si>
  <si>
    <t>VU_C0</t>
  </si>
  <si>
    <t>VU_C1</t>
  </si>
  <si>
    <t>VU_C2</t>
  </si>
  <si>
    <t>VU_C3</t>
  </si>
  <si>
    <t>VU_C4</t>
  </si>
  <si>
    <t>VARIACAO_ACUMULADA</t>
  </si>
  <si>
    <t>QTD_VIGENTE_C0</t>
  </si>
  <si>
    <t>QTD_VIGENTE_C1</t>
  </si>
  <si>
    <t>QTD_VIGENTE_C2</t>
  </si>
  <si>
    <t>QTD_VIGENTE_C3</t>
  </si>
  <si>
    <t>QTD_VIGENTE_C4</t>
  </si>
  <si>
    <t>RESULTADOS CONSOLIDADOS — REAJUSTE CONTRATUAL</t>
  </si>
  <si>
    <t>Regra essencial: resultado incompleto ou manual é preferível a uma conclusão sem base. Nenhuma fonte substitui outra silenciosamente e nenhum método de retroativo é somado a outro.</t>
  </si>
  <si>
    <t>Método oficial do retroativo</t>
  </si>
  <si>
    <t>Financeiro</t>
  </si>
  <si>
    <t>Tolerância</t>
  </si>
  <si>
    <t>Ciclo vigente</t>
  </si>
  <si>
    <t>Origem do remanescente</t>
  </si>
  <si>
    <t>Status geral</t>
  </si>
  <si>
    <t>Retroativo manual oficial</t>
  </si>
  <si>
    <t>Justificativa do retroativo manual</t>
  </si>
  <si>
    <t>Preencha o valor manual somente quando a apuração exigir decisão humana. A justificativa é obrigatória e o valor manual prevalece apenas no total oficial, sem criar rateio fictício por ciclo.</t>
  </si>
  <si>
    <t>EIXO 1 — VALOR RETROATIVO | um método oficial; os demais são conferência</t>
  </si>
  <si>
    <t>Ciclo</t>
  </si>
  <si>
    <t>Financeiro pago</t>
  </si>
  <si>
    <t>PCs pagos</t>
  </si>
  <si>
    <t>Itens consumidos</t>
  </si>
  <si>
    <t>Método selecionado</t>
  </si>
  <si>
    <t>Situação do ciclo</t>
  </si>
  <si>
    <t>RETROATIVO OFICIAL</t>
  </si>
  <si>
    <t>Origem</t>
  </si>
  <si>
    <t>Status</t>
  </si>
  <si>
    <t>EIXO 2 — VU REAJUSTADO: evolução cronológica item a item disponível na memória detalhada a partir da linha 62.</t>
  </si>
  <si>
    <t>EIXO 3 — VTA | composição automática somente quando a base é segura</t>
  </si>
  <si>
    <t>Valor original do contrato</t>
  </si>
  <si>
    <t>Retroativo oficial</t>
  </si>
  <si>
    <t>Ajuste do remanescente</t>
  </si>
  <si>
    <t>VTA calculado</t>
  </si>
  <si>
    <t>Ajuste manual (+/-)</t>
  </si>
  <si>
    <t>Justificativa do ajuste</t>
  </si>
  <si>
    <t>VTA manual oficial</t>
  </si>
  <si>
    <t>Justificativa do VTA manual</t>
  </si>
  <si>
    <t>VTA FINAL</t>
  </si>
  <si>
    <t>Aditivos marcados como considerados não são somados automaticamente ao VTA: sem confirmação de que a base contratual já os incorpora, a planilha exige cálculo manual para impedir dupla contagem.</t>
  </si>
  <si>
    <t>EIXO 4 — QUANTIDADE E VALOR REMANESCENTE | sem e com reajuste</t>
  </si>
  <si>
    <t>Fonte</t>
  </si>
  <si>
    <t>Quantidade</t>
  </si>
  <si>
    <t>Valor sem reajuste</t>
  </si>
  <si>
    <t>Valor com reajuste</t>
  </si>
  <si>
    <t>Ajuste</t>
  </si>
  <si>
    <t>Status / origem</t>
  </si>
  <si>
    <t>Informado em itens_Remanesc</t>
  </si>
  <si>
    <t>Derivado de itens_Consumidos</t>
  </si>
  <si>
    <t>Físico por PC</t>
  </si>
  <si>
    <t>NÃO DISPONÍVEL — SEM INFERÊNCIA</t>
  </si>
  <si>
    <t>OFICIAL (conforme CONTROLE)</t>
  </si>
  <si>
    <t>STATUS DO REMANESCENTE</t>
  </si>
  <si>
    <t>APOIO AO CÁLCULO MANUAL | dados mínimos, sem criar resultado</t>
  </si>
  <si>
    <t>Retro Financeiro</t>
  </si>
  <si>
    <t>Retro PCs</t>
  </si>
  <si>
    <t>Retro Itens</t>
  </si>
  <si>
    <t>Retro oficial</t>
  </si>
  <si>
    <t>Fator cheio do ciclo</t>
  </si>
  <si>
    <t>Fator da apuração</t>
  </si>
  <si>
    <t>Base praticada</t>
  </si>
  <si>
    <t>Delta de fator</t>
  </si>
  <si>
    <t>Linhas incompletas — Financeiro</t>
  </si>
  <si>
    <t>Erros — PCs</t>
  </si>
  <si>
    <t>Erros — Itens</t>
  </si>
  <si>
    <t>Erros — Remanescente</t>
  </si>
  <si>
    <t>Itens-base incompletos</t>
  </si>
  <si>
    <t>Aditivos marcados como considerados</t>
  </si>
  <si>
    <t>Delta potencial de PCs não pagos</t>
  </si>
  <si>
    <t>Referência do retroativo por itens: Σ quantidade consumida no ciclo × VU original × (fator cheio do ciclo − fator-base praticado). O fator-base praticado é o fator cheio dividido pelo fator desta apuração.</t>
  </si>
  <si>
    <t>Referência do VTA: valor original do contrato + retroativo oficial + (remanescente atualizado − remanescente em base original). Aditivos ou bases contraditórias impedem o fechamento automático.</t>
  </si>
  <si>
    <t>EIXO 2 — EVOLUÇÃO DO VU POR ITEM | somente valores unitários</t>
  </si>
  <si>
    <t>MEMÓRIA DO REMANESCENTE POR ITEM</t>
  </si>
  <si>
    <t>QTD BASE</t>
  </si>
  <si>
    <t>VU C0</t>
  </si>
  <si>
    <t>VU C1</t>
  </si>
  <si>
    <t>VU C2</t>
  </si>
  <si>
    <t>VU C3</t>
  </si>
  <si>
    <t>VU C4</t>
  </si>
  <si>
    <t>VARIAÇÃO ACUMULADA</t>
  </si>
  <si>
    <t>QTD INFORMADA</t>
  </si>
  <si>
    <t>QTD DERIVADA</t>
  </si>
  <si>
    <t>VU ORIGINAL</t>
  </si>
  <si>
    <t>VU VIGENTE</t>
  </si>
  <si>
    <t>VALOR SEM</t>
  </si>
  <si>
    <t>VALOR 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</si>
</sst>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#,##0.0000"/>
    <numFmt numFmtId="165" formatCode="0.0000"/>
    <numFmt numFmtId="166" formatCode="\R\$\ #,##0.00"/>
    <numFmt numFmtId="167" formatCode="mm/yyyy"/>
    <numFmt numFmtId="168" formatCode="\R\$\ #,##0.00;[Red]\-\R\$\ #,##0.00"/>
    <numFmt numFmtId="169" formatCode="0.0%"/>
    <numFmt numFmtId="170" formatCode="0.000000"/>
    <numFmt numFmtId="171" formatCode="\R\$\ #,##0.0000;[Red]\-\R\$\ #,##0.0000"/>
    <numFmt numFmtId="172" formatCode="dd/mm/\y\y\y\y"/>
  </numFmts>
  <fonts count="35" x14ac:knownFonts="1">
    <font>
      <sz val="11"/>
      <color theme="1"/>
      <name val="Calibri"/>
    </font>
    <font>
      <b/>
      <sz val="11"/>
      <color rgb="FF065F46"/>
      <name val="Calibri"/>
    </font>
    <font>
      <b/>
      <sz val="11"/>
      <name val="Calibri"/>
    </font>
    <font>
      <sz val="11"/>
      <color theme="1"/>
      <name val="Calibri"/>
    </font>
    <font>
      <sz val="11"/>
      <name val="Calibri"/>
    </font>
    <font>
      <i/>
      <sz val="10"/>
      <color rgb="FF595959"/>
      <name val="Calibri"/>
    </font>
    <font>
      <sz val="10"/>
      <name val="Calibri"/>
    </font>
    <font>
      <b/>
      <sz val="10"/>
      <color rgb="FF1F4E79"/>
      <name val="Calibri"/>
    </font>
    <font>
      <b/>
      <sz val="10"/>
      <color rgb="FF1F3864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000000"/>
      <name val="Calibri"/>
    </font>
    <font>
      <b/>
      <sz val="10"/>
      <color rgb="FF4472C4"/>
      <name val="Calibri"/>
    </font>
    <font>
      <b/>
      <sz val="10"/>
      <color rgb="FFFFFFFF"/>
      <name val="Calibri"/>
    </font>
    <font>
      <sz val="10"/>
      <color theme="1"/>
      <name val="Calibri"/>
    </font>
    <font>
      <sz val="10"/>
      <color theme="1"/>
      <name val="Aptos"/>
    </font>
    <font>
      <b/>
      <sz val="10"/>
      <color theme="1"/>
      <name val="Calibri"/>
    </font>
    <font>
      <b/>
      <sz val="10"/>
      <color theme="1"/>
      <name val="Aptos"/>
    </font>
    <font>
      <b/>
      <sz val="10"/>
      <color rgb="FF9C0006"/>
      <name val="Aptos"/>
    </font>
    <font>
      <sz val="10"/>
      <color theme="1"/>
      <name val="Calibri"/>
    </font>
    <font>
      <sz val="10"/>
      <name val="Calibri"/>
    </font>
    <font>
      <i/>
      <sz val="10"/>
      <color rgb="FF595959"/>
      <name val="Calibri"/>
    </font>
    <font>
      <b/>
      <i/>
      <sz val="10"/>
      <color rgb="FF595959"/>
      <name val="Calibri"/>
    </font>
    <font>
      <sz val="10"/>
      <color rgb="FF595959"/>
      <name val="Calibri"/>
    </font>
    <font>
      <b/>
      <sz val="9"/>
      <color rgb="FF595959"/>
      <name val="Calibri"/>
    </font>
    <font>
      <b/>
      <sz val="10"/>
      <color rgb="FF595959"/>
      <name val="Calibri"/>
    </font>
    <font>
      <sz val="10"/>
      <color rgb="FF172B4D"/>
      <name val="Aptos"/>
    </font>
    <font>
      <b/>
      <sz val="10"/>
      <color rgb="FF0B2D5C"/>
      <name val="Aptos"/>
    </font>
    <font>
      <i/>
      <sz val="10"/>
      <color rgb="FF7A4E00"/>
      <name val="Calibri"/>
    </font>
    <font>
      <b/>
      <sz val="10"/>
      <color rgb="FF0B2D5C"/>
      <name val="Calibri"/>
    </font>
    <font>
      <i/>
      <sz val="10"/>
      <color rgb="FF5B6573"/>
      <name val="Calibri"/>
    </font>
    <font>
      <sz val="10"/>
      <color rgb="FF172B4D"/>
      <name val="Calibri"/>
    </font>
    <font>
      <b/>
      <sz val="10"/>
      <color rgb="FF123B63"/>
      <name val="Calibri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F3F4F6"/>
      </patternFill>
    </fill>
    <fill>
      <patternFill patternType="solid">
        <fgColor rgb="FFEAF2F8"/>
      </patternFill>
    </fill>
    <fill>
      <patternFill patternType="solid">
        <fgColor rgb="FF1F4E79"/>
      </patternFill>
    </fill>
    <fill>
      <patternFill patternType="solid">
        <fgColor rgb="FFE2F0D9"/>
      </patternFill>
    </fill>
    <fill>
      <patternFill patternType="solid">
        <fgColor rgb="FFC0C0C0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DEDED"/>
      </patternFill>
    </fill>
    <fill>
      <patternFill patternType="solid">
        <fgColor rgb="FF9CA3AF"/>
      </patternFill>
    </fill>
    <fill>
      <patternFill patternType="solid">
        <fgColor rgb="FF8BAD9A"/>
      </patternFill>
    </fill>
    <fill>
      <patternFill patternType="solid">
        <fgColor rgb="FFE5EAF0"/>
      </patternFill>
    </fill>
    <fill>
      <patternFill patternType="solid">
        <fgColor rgb="FFFFEB9C"/>
      </patternFill>
    </fill>
    <fill>
      <patternFill patternType="solid">
        <fgColor rgb="FFE2EFDA"/>
      </patternFill>
    </fill>
    <fill>
      <patternFill patternType="solid">
        <fgColor rgb="FF404040"/>
      </patternFill>
    </fill>
    <fill>
      <patternFill patternType="solid">
        <fgColor rgb="FFEBF3FB"/>
      </patternFill>
    </fill>
    <fill>
      <patternFill patternType="solid">
        <fgColor rgb="FFFFE699"/>
      </patternFill>
    </fill>
    <fill>
      <patternFill patternType="solid">
        <fgColor rgb="FF375623"/>
      </patternFill>
    </fill>
    <fill>
      <patternFill patternType="solid">
        <fgColor rgb="FF70AD47"/>
      </patternFill>
    </fill>
    <fill>
      <patternFill patternType="solid">
        <fgColor rgb="FF7F3F00"/>
      </patternFill>
    </fill>
    <fill>
      <patternFill patternType="solid">
        <fgColor rgb="FFBF5700"/>
      </patternFill>
    </fill>
    <fill>
      <patternFill patternType="solid">
        <fgColor rgb="FFD9EAD3"/>
      </patternFill>
    </fill>
    <fill>
      <patternFill patternType="solid">
        <fgColor rgb="FF4472C4"/>
      </patternFill>
    </fill>
    <fill>
      <patternFill patternType="solid">
        <fgColor rgb="FF806000"/>
      </patternFill>
    </fill>
    <fill>
      <patternFill patternType="solid">
        <fgColor rgb="FF7030A0"/>
      </patternFill>
    </fill>
    <fill>
      <patternFill patternType="solid">
        <fgColor rgb="FFEADCF8"/>
      </patternFill>
    </fill>
    <fill>
      <patternFill patternType="solid">
        <fgColor rgb="FFD6E4F0"/>
      </patternFill>
    </fill>
    <fill>
      <patternFill patternType="solid">
        <fgColor rgb="FFD9E1F2"/>
      </patternFill>
    </fill>
    <fill>
      <patternFill patternType="solid">
        <fgColor theme="6" tint="0.79989013336588644"/>
        <bgColor indexed="65"/>
      </patternFill>
    </fill>
    <fill>
      <patternFill patternType="solid">
        <fgColor rgb="FFEDEDED"/>
      </patternFill>
    </fill>
    <fill>
      <patternFill patternType="solid">
        <fgColor rgb="FFFCE4D6"/>
      </patternFill>
    </fill>
    <fill>
      <patternFill patternType="solid">
        <fgColor theme="8" tint="0.79989013336588644"/>
        <bgColor indexed="65"/>
      </patternFill>
    </fill>
    <fill>
      <patternFill patternType="solid">
        <fgColor rgb="FF0B2D5C"/>
      </patternFill>
    </fill>
    <fill>
      <patternFill patternType="solid">
        <fgColor rgb="FFFFF7E6"/>
      </patternFill>
    </fill>
    <fill>
      <patternFill patternType="solid">
        <fgColor rgb="FFC6D9E8"/>
      </patternFill>
    </fill>
    <fill>
      <patternFill patternType="solid">
        <fgColor rgb="FFF7E7B2"/>
      </patternFill>
    </fill>
    <fill>
      <patternFill patternType="solid">
        <fgColor rgb="FFEEF4F8"/>
      </patternFill>
    </fill>
    <fill>
      <patternFill patternType="solid">
        <fgColor rgb="FFF3F3F3"/>
      </patternFill>
    </fill>
    <fill>
      <patternFill patternType="solid">
        <fgColor rgb="FF8A1538"/>
      </patternFill>
    </fill>
    <fill>
      <patternFill patternType="solid">
        <fgColor rgb="FFFAFCFD"/>
      </patternFill>
    </fill>
    <fill>
      <patternFill patternType="solid">
        <fgColor rgb="FFF7E7B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2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AB7C4"/>
      </left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  <border>
      <left style="hair">
        <color rgb="FFD3DBE2"/>
      </left>
      <right style="hair">
        <color rgb="FFD3DBE2"/>
      </right>
      <top style="hair">
        <color rgb="FFD3DBE2"/>
      </top>
      <bottom style="hair">
        <color rgb="FFD3DBE2"/>
      </bottom>
      <diagonal/>
    </border>
    <border>
      <left/>
      <right/>
      <top style="thin">
        <color rgb="FFB8C4CE"/>
      </top>
      <bottom style="thin">
        <color rgb="FFB8C4CE"/>
      </bottom>
      <diagonal/>
    </border>
    <border>
      <left/>
      <right style="thin">
        <color rgb="FFB8C4CE"/>
      </right>
      <top style="thin">
        <color rgb="FFB8C4CE"/>
      </top>
      <bottom style="thin">
        <color rgb="FFB8C4CE"/>
      </bottom>
      <diagonal/>
    </border>
    <border>
      <left/>
      <right/>
      <top style="thin">
        <color rgb="FFAAB7C4"/>
      </top>
      <bottom style="thin">
        <color rgb="FFAAB7C4"/>
      </bottom>
      <diagonal/>
    </border>
    <border>
      <left/>
      <right style="thin">
        <color rgb="FFAAB7C4"/>
      </right>
      <top style="thin">
        <color rgb="FFAAB7C4"/>
      </top>
      <bottom style="thin">
        <color rgb="FFAAB7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rgb="FFD9D9D9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D9D9D9"/>
      </right>
      <top style="thin">
        <color indexed="64"/>
      </top>
      <bottom style="thin">
        <color indexed="64"/>
      </bottom>
      <diagonal/>
    </border>
    <border>
      <left style="medium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/>
      <bottom style="hair">
        <color rgb="FFD3DBE2"/>
      </bottom>
      <diagonal/>
    </border>
  </borders>
  <cellStyleXfs count="1">
    <xf numFmtId="0" fontId="0" fillId="0" borderId="2"/>
  </cellStyleXfs>
  <cellXfs count="234">
    <xf numFmtId="0" fontId="0" fillId="0" borderId="0" xfId="0" applyBorder="1"/>
    <xf numFmtId="0" fontId="1" fillId="0" borderId="0" xfId="0" applyFont="1" applyBorder="1"/>
    <xf numFmtId="0" fontId="3" fillId="0" borderId="0" xfId="0" applyFont="1" applyBorder="1"/>
    <xf numFmtId="0" fontId="0" fillId="13" borderId="0" xfId="0" applyFill="1" applyBorder="1"/>
    <xf numFmtId="0" fontId="4" fillId="0" borderId="2" xfId="0" applyFont="1"/>
    <xf numFmtId="0" fontId="9" fillId="5" borderId="3" xfId="0" applyFont="1" applyFill="1" applyBorder="1" applyAlignment="1">
      <alignment horizontal="center" vertical="center"/>
    </xf>
    <xf numFmtId="0" fontId="10" fillId="28" borderId="3" xfId="0" applyFont="1" applyFill="1" applyBorder="1" applyAlignment="1">
      <alignment vertical="center"/>
    </xf>
    <xf numFmtId="49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horizontal="center" vertical="center" wrapText="1"/>
    </xf>
    <xf numFmtId="0" fontId="4" fillId="0" borderId="2" xfId="0" applyFont="1" applyAlignment="1">
      <alignment horizontal="left" vertical="center" wrapText="1"/>
    </xf>
    <xf numFmtId="1" fontId="6" fillId="17" borderId="3" xfId="0" applyNumberFormat="1" applyFont="1" applyFill="1" applyBorder="1" applyAlignment="1">
      <alignment horizontal="center" vertical="center"/>
    </xf>
    <xf numFmtId="10" fontId="6" fillId="17" borderId="3" xfId="0" applyNumberFormat="1" applyFont="1" applyFill="1" applyBorder="1" applyAlignment="1">
      <alignment horizontal="center" vertical="center"/>
    </xf>
    <xf numFmtId="164" fontId="6" fillId="17" borderId="3" xfId="0" applyNumberFormat="1" applyFont="1" applyFill="1" applyBorder="1" applyAlignment="1">
      <alignment horizontal="center" vertical="center"/>
    </xf>
    <xf numFmtId="0" fontId="4" fillId="0" borderId="2" xfId="0" applyFont="1" applyAlignment="1">
      <alignment wrapText="1"/>
    </xf>
    <xf numFmtId="0" fontId="9" fillId="0" borderId="2" xfId="0" applyFont="1" applyAlignment="1">
      <alignment horizontal="center" vertical="center" wrapText="1"/>
    </xf>
    <xf numFmtId="0" fontId="14" fillId="0" borderId="2" xfId="0" applyFont="1"/>
    <xf numFmtId="0" fontId="14" fillId="0" borderId="7" xfId="0" applyFont="1" applyBorder="1"/>
    <xf numFmtId="14" fontId="14" fillId="0" borderId="7" xfId="0" applyNumberFormat="1" applyFont="1" applyBorder="1"/>
    <xf numFmtId="165" fontId="14" fillId="0" borderId="7" xfId="0" applyNumberFormat="1" applyFont="1" applyBorder="1"/>
    <xf numFmtId="0" fontId="16" fillId="0" borderId="2" xfId="0" applyFont="1"/>
    <xf numFmtId="0" fontId="11" fillId="20" borderId="3" xfId="0" applyFont="1" applyFill="1" applyBorder="1" applyAlignment="1">
      <alignment horizontal="center" vertical="center" wrapText="1"/>
    </xf>
    <xf numFmtId="0" fontId="11" fillId="22" borderId="3" xfId="0" applyFont="1" applyFill="1" applyBorder="1" applyAlignment="1">
      <alignment horizontal="center" vertical="center" wrapText="1"/>
    </xf>
    <xf numFmtId="0" fontId="12" fillId="0" borderId="2" xfId="0" applyFont="1" applyAlignment="1">
      <alignment horizontal="center" vertical="center" wrapText="1"/>
    </xf>
    <xf numFmtId="0" fontId="13" fillId="24" borderId="3" xfId="0" applyFont="1" applyFill="1" applyBorder="1" applyAlignment="1">
      <alignment horizontal="center" vertical="center" wrapText="1"/>
    </xf>
    <xf numFmtId="4" fontId="15" fillId="0" borderId="7" xfId="0" applyNumberFormat="1" applyFont="1" applyBorder="1"/>
    <xf numFmtId="166" fontId="15" fillId="0" borderId="7" xfId="0" applyNumberFormat="1" applyFont="1" applyBorder="1"/>
    <xf numFmtId="0" fontId="10" fillId="10" borderId="7" xfId="0" applyFont="1" applyFill="1" applyBorder="1" applyAlignment="1">
      <alignment horizontal="center"/>
    </xf>
    <xf numFmtId="4" fontId="10" fillId="23" borderId="3" xfId="0" applyNumberFormat="1" applyFont="1" applyFill="1" applyBorder="1" applyAlignment="1">
      <alignment horizontal="center" vertical="center" wrapText="1"/>
    </xf>
    <xf numFmtId="166" fontId="10" fillId="23" borderId="3" xfId="0" applyNumberFormat="1" applyFont="1" applyFill="1" applyBorder="1" applyAlignment="1">
      <alignment horizontal="center" vertical="center" wrapText="1"/>
    </xf>
    <xf numFmtId="0" fontId="17" fillId="0" borderId="2" xfId="0" applyFont="1"/>
    <xf numFmtId="0" fontId="18" fillId="0" borderId="2" xfId="0" applyFont="1"/>
    <xf numFmtId="0" fontId="14" fillId="0" borderId="0" xfId="0" applyFont="1" applyBorder="1"/>
    <xf numFmtId="0" fontId="13" fillId="25" borderId="3" xfId="0" applyFont="1" applyFill="1" applyBorder="1" applyAlignment="1">
      <alignment horizontal="center" vertical="center" wrapText="1"/>
    </xf>
    <xf numFmtId="0" fontId="13" fillId="26" borderId="3" xfId="0" applyFont="1" applyFill="1" applyBorder="1" applyAlignment="1">
      <alignment horizontal="center" vertical="center" wrapText="1"/>
    </xf>
    <xf numFmtId="0" fontId="10" fillId="23" borderId="7" xfId="0" applyFont="1" applyFill="1" applyBorder="1" applyAlignment="1">
      <alignment horizontal="center" vertical="center" wrapText="1"/>
    </xf>
    <xf numFmtId="3" fontId="10" fillId="23" borderId="7" xfId="0" applyNumberFormat="1" applyFont="1" applyFill="1" applyBorder="1" applyAlignment="1">
      <alignment horizontal="center" vertical="center" wrapText="1"/>
    </xf>
    <xf numFmtId="166" fontId="10" fillId="23" borderId="7" xfId="0" applyNumberFormat="1" applyFont="1" applyFill="1" applyBorder="1" applyAlignment="1">
      <alignment horizontal="center" vertical="center" wrapText="1"/>
    </xf>
    <xf numFmtId="14" fontId="14" fillId="0" borderId="2" xfId="0" applyNumberFormat="1" applyFont="1"/>
    <xf numFmtId="0" fontId="6" fillId="0" borderId="2" xfId="0" applyFont="1"/>
    <xf numFmtId="166" fontId="11" fillId="20" borderId="3" xfId="0" applyNumberFormat="1" applyFont="1" applyFill="1" applyBorder="1" applyAlignment="1">
      <alignment horizontal="center" vertical="center" wrapText="1"/>
    </xf>
    <xf numFmtId="0" fontId="5" fillId="0" borderId="7" xfId="0" applyFont="1" applyBorder="1"/>
    <xf numFmtId="4" fontId="14" fillId="0" borderId="2" xfId="0" applyNumberFormat="1" applyFont="1"/>
    <xf numFmtId="166" fontId="14" fillId="0" borderId="2" xfId="0" applyNumberFormat="1" applyFont="1"/>
    <xf numFmtId="0" fontId="13" fillId="21" borderId="6" xfId="0" applyFont="1" applyFill="1" applyBorder="1" applyAlignment="1">
      <alignment horizontal="center" vertical="center" wrapText="1"/>
    </xf>
    <xf numFmtId="14" fontId="20" fillId="0" borderId="10" xfId="0" applyNumberFormat="1" applyFont="1" applyBorder="1"/>
    <xf numFmtId="0" fontId="21" fillId="31" borderId="10" xfId="0" applyFont="1" applyFill="1" applyBorder="1" applyAlignment="1">
      <alignment horizontal="center"/>
    </xf>
    <xf numFmtId="166" fontId="20" fillId="0" borderId="10" xfId="0" applyNumberFormat="1" applyFont="1" applyBorder="1"/>
    <xf numFmtId="164" fontId="21" fillId="31" borderId="10" xfId="0" applyNumberFormat="1" applyFont="1" applyFill="1" applyBorder="1"/>
    <xf numFmtId="166" fontId="21" fillId="31" borderId="10" xfId="0" applyNumberFormat="1" applyFont="1" applyFill="1" applyBorder="1"/>
    <xf numFmtId="0" fontId="20" fillId="32" borderId="10" xfId="0" applyFont="1" applyFill="1" applyBorder="1" applyAlignment="1">
      <alignment horizontal="center" vertical="center" wrapText="1"/>
    </xf>
    <xf numFmtId="0" fontId="21" fillId="31" borderId="10" xfId="0" applyFont="1" applyFill="1" applyBorder="1" applyAlignment="1">
      <alignment horizontal="center" vertical="center" wrapText="1"/>
    </xf>
    <xf numFmtId="166" fontId="22" fillId="31" borderId="10" xfId="0" applyNumberFormat="1" applyFont="1" applyFill="1" applyBorder="1" applyAlignment="1">
      <alignment horizontal="center" vertical="center" wrapText="1"/>
    </xf>
    <xf numFmtId="167" fontId="3" fillId="2" borderId="1" xfId="0" applyNumberFormat="1" applyFont="1" applyFill="1" applyBorder="1"/>
    <xf numFmtId="167" fontId="6" fillId="17" borderId="3" xfId="0" applyNumberFormat="1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 wrapText="1"/>
    </xf>
    <xf numFmtId="0" fontId="13" fillId="19" borderId="3" xfId="0" applyFont="1" applyFill="1" applyBorder="1" applyAlignment="1">
      <alignment horizontal="center" vertical="center" wrapText="1"/>
    </xf>
    <xf numFmtId="0" fontId="13" fillId="21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4" fontId="15" fillId="0" borderId="2" xfId="0" applyNumberFormat="1" applyFont="1"/>
    <xf numFmtId="166" fontId="15" fillId="0" borderId="2" xfId="0" applyNumberFormat="1" applyFont="1"/>
    <xf numFmtId="0" fontId="13" fillId="5" borderId="3" xfId="0" applyFont="1" applyFill="1" applyBorder="1" applyAlignment="1">
      <alignment horizontal="center" vertical="center"/>
    </xf>
    <xf numFmtId="4" fontId="13" fillId="5" borderId="3" xfId="0" applyNumberFormat="1" applyFont="1" applyFill="1" applyBorder="1" applyAlignment="1">
      <alignment horizontal="center" vertical="center"/>
    </xf>
    <xf numFmtId="166" fontId="13" fillId="5" borderId="3" xfId="0" applyNumberFormat="1" applyFont="1" applyFill="1" applyBorder="1" applyAlignment="1">
      <alignment horizontal="center" vertical="center"/>
    </xf>
    <xf numFmtId="4" fontId="7" fillId="9" borderId="3" xfId="0" applyNumberFormat="1" applyFont="1" applyFill="1" applyBorder="1" applyAlignment="1">
      <alignment horizontal="center" vertical="center"/>
    </xf>
    <xf numFmtId="166" fontId="7" fillId="9" borderId="3" xfId="0" applyNumberFormat="1" applyFont="1" applyFill="1" applyBorder="1" applyAlignment="1">
      <alignment horizontal="center" vertical="center"/>
    </xf>
    <xf numFmtId="4" fontId="7" fillId="14" borderId="3" xfId="0" applyNumberFormat="1" applyFont="1" applyFill="1" applyBorder="1" applyAlignment="1">
      <alignment horizontal="center" vertical="center"/>
    </xf>
    <xf numFmtId="166" fontId="7" fillId="14" borderId="3" xfId="0" applyNumberFormat="1" applyFont="1" applyFill="1" applyBorder="1" applyAlignment="1">
      <alignment horizontal="center" vertical="center"/>
    </xf>
    <xf numFmtId="0" fontId="13" fillId="0" borderId="2" xfId="0" applyFont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4" fontId="13" fillId="5" borderId="3" xfId="0" applyNumberFormat="1" applyFont="1" applyFill="1" applyBorder="1" applyAlignment="1">
      <alignment horizontal="center" vertical="center" wrapText="1"/>
    </xf>
    <xf numFmtId="166" fontId="13" fillId="5" borderId="3" xfId="0" applyNumberFormat="1" applyFont="1" applyFill="1" applyBorder="1" applyAlignment="1">
      <alignment horizontal="center" vertical="center" wrapText="1"/>
    </xf>
    <xf numFmtId="0" fontId="13" fillId="11" borderId="7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 vertical="center" wrapText="1"/>
    </xf>
    <xf numFmtId="0" fontId="10" fillId="7" borderId="11" xfId="0" applyFont="1" applyFill="1" applyBorder="1"/>
    <xf numFmtId="166" fontId="10" fillId="7" borderId="11" xfId="0" applyNumberFormat="1" applyFont="1" applyFill="1" applyBorder="1"/>
    <xf numFmtId="166" fontId="13" fillId="19" borderId="3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6" fillId="0" borderId="12" xfId="0" applyFont="1" applyBorder="1" applyAlignment="1">
      <alignment vertical="center"/>
    </xf>
    <xf numFmtId="0" fontId="26" fillId="0" borderId="13" xfId="0" applyFont="1" applyBorder="1" applyAlignment="1">
      <alignment vertical="center"/>
    </xf>
    <xf numFmtId="168" fontId="26" fillId="37" borderId="12" xfId="0" applyNumberFormat="1" applyFont="1" applyFill="1" applyBorder="1" applyAlignment="1">
      <alignment vertical="center"/>
    </xf>
    <xf numFmtId="2" fontId="26" fillId="38" borderId="13" xfId="0" applyNumberFormat="1" applyFont="1" applyFill="1" applyBorder="1" applyAlignment="1">
      <alignment vertical="center"/>
    </xf>
    <xf numFmtId="168" fontId="26" fillId="38" borderId="13" xfId="0" applyNumberFormat="1" applyFont="1" applyFill="1" applyBorder="1" applyAlignment="1">
      <alignment vertical="center"/>
    </xf>
    <xf numFmtId="0" fontId="13" fillId="8" borderId="19" xfId="0" applyFont="1" applyFill="1" applyBorder="1" applyAlignment="1">
      <alignment horizontal="center" vertical="center" wrapText="1"/>
    </xf>
    <xf numFmtId="0" fontId="23" fillId="9" borderId="19" xfId="0" applyFont="1" applyFill="1" applyBorder="1" applyAlignment="1">
      <alignment vertical="center"/>
    </xf>
    <xf numFmtId="0" fontId="23" fillId="0" borderId="19" xfId="0" applyFont="1" applyBorder="1" applyAlignment="1">
      <alignment vertical="center"/>
    </xf>
    <xf numFmtId="167" fontId="23" fillId="0" borderId="19" xfId="0" applyNumberFormat="1" applyFont="1" applyBorder="1" applyAlignment="1">
      <alignment vertical="center"/>
    </xf>
    <xf numFmtId="10" fontId="23" fillId="9" borderId="19" xfId="0" applyNumberFormat="1" applyFont="1" applyFill="1" applyBorder="1" applyAlignment="1">
      <alignment vertical="center"/>
    </xf>
    <xf numFmtId="164" fontId="23" fillId="31" borderId="19" xfId="0" applyNumberFormat="1" applyFont="1" applyFill="1" applyBorder="1" applyAlignment="1">
      <alignment vertical="center"/>
    </xf>
    <xf numFmtId="0" fontId="23" fillId="18" borderId="19" xfId="0" applyFont="1" applyFill="1" applyBorder="1" applyAlignment="1">
      <alignment vertical="center"/>
    </xf>
    <xf numFmtId="14" fontId="13" fillId="8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/>
    </xf>
    <xf numFmtId="10" fontId="23" fillId="31" borderId="19" xfId="0" applyNumberFormat="1" applyFont="1" applyFill="1" applyBorder="1" applyAlignment="1">
      <alignment horizontal="center" vertical="center"/>
    </xf>
    <xf numFmtId="164" fontId="23" fillId="31" borderId="19" xfId="0" applyNumberFormat="1" applyFont="1" applyFill="1" applyBorder="1" applyAlignment="1">
      <alignment horizontal="center" vertical="center"/>
    </xf>
    <xf numFmtId="0" fontId="23" fillId="15" borderId="19" xfId="0" applyFont="1" applyFill="1" applyBorder="1" applyAlignment="1">
      <alignment horizontal="center" vertical="center"/>
    </xf>
    <xf numFmtId="10" fontId="23" fillId="15" borderId="19" xfId="0" applyNumberFormat="1" applyFont="1" applyFill="1" applyBorder="1" applyAlignment="1">
      <alignment horizontal="center" vertical="center"/>
    </xf>
    <xf numFmtId="164" fontId="23" fillId="15" borderId="19" xfId="0" applyNumberFormat="1" applyFont="1" applyFill="1" applyBorder="1" applyAlignment="1">
      <alignment horizontal="center" vertical="center"/>
    </xf>
    <xf numFmtId="0" fontId="25" fillId="29" borderId="19" xfId="0" applyFont="1" applyFill="1" applyBorder="1" applyAlignment="1">
      <alignment horizontal="center" vertical="center"/>
    </xf>
    <xf numFmtId="0" fontId="24" fillId="29" borderId="19" xfId="0" applyFont="1" applyFill="1" applyBorder="1" applyAlignment="1">
      <alignment horizontal="center" vertical="center"/>
    </xf>
    <xf numFmtId="14" fontId="24" fillId="29" borderId="19" xfId="0" applyNumberFormat="1" applyFont="1" applyFill="1" applyBorder="1" applyAlignment="1">
      <alignment horizontal="center" vertical="center"/>
    </xf>
    <xf numFmtId="164" fontId="25" fillId="29" borderId="19" xfId="0" applyNumberFormat="1" applyFont="1" applyFill="1" applyBorder="1" applyAlignment="1">
      <alignment horizontal="center" vertical="center"/>
    </xf>
    <xf numFmtId="167" fontId="23" fillId="0" borderId="19" xfId="0" applyNumberFormat="1" applyFont="1" applyBorder="1"/>
    <xf numFmtId="166" fontId="23" fillId="9" borderId="19" xfId="0" applyNumberFormat="1" applyFont="1" applyFill="1" applyBorder="1"/>
    <xf numFmtId="164" fontId="23" fillId="31" borderId="19" xfId="0" applyNumberFormat="1" applyFont="1" applyFill="1" applyBorder="1"/>
    <xf numFmtId="166" fontId="23" fillId="31" borderId="19" xfId="0" applyNumberFormat="1" applyFont="1" applyFill="1" applyBorder="1"/>
    <xf numFmtId="0" fontId="23" fillId="0" borderId="19" xfId="0" applyFont="1" applyBorder="1" applyAlignment="1">
      <alignment horizontal="center"/>
    </xf>
    <xf numFmtId="0" fontId="15" fillId="9" borderId="19" xfId="0" applyFont="1" applyFill="1" applyBorder="1"/>
    <xf numFmtId="4" fontId="15" fillId="9" borderId="19" xfId="0" applyNumberFormat="1" applyFont="1" applyFill="1" applyBorder="1"/>
    <xf numFmtId="166" fontId="15" fillId="9" borderId="19" xfId="0" applyNumberFormat="1" applyFont="1" applyFill="1" applyBorder="1"/>
    <xf numFmtId="4" fontId="8" fillId="9" borderId="19" xfId="0" applyNumberFormat="1" applyFont="1" applyFill="1" applyBorder="1"/>
    <xf numFmtId="4" fontId="23" fillId="31" borderId="19" xfId="0" applyNumberFormat="1" applyFont="1" applyFill="1" applyBorder="1"/>
    <xf numFmtId="0" fontId="23" fillId="31" borderId="19" xfId="0" applyFont="1" applyFill="1" applyBorder="1"/>
    <xf numFmtId="0" fontId="10" fillId="31" borderId="19" xfId="0" applyFont="1" applyFill="1" applyBorder="1" applyAlignment="1">
      <alignment horizontal="center"/>
    </xf>
    <xf numFmtId="0" fontId="21" fillId="31" borderId="19" xfId="0" applyFont="1" applyFill="1" applyBorder="1" applyAlignment="1">
      <alignment horizontal="center"/>
    </xf>
    <xf numFmtId="10" fontId="21" fillId="31" borderId="19" xfId="0" applyNumberFormat="1" applyFont="1" applyFill="1" applyBorder="1"/>
    <xf numFmtId="164" fontId="21" fillId="31" borderId="19" xfId="0" applyNumberFormat="1" applyFont="1" applyFill="1" applyBorder="1"/>
    <xf numFmtId="0" fontId="10" fillId="9" borderId="19" xfId="0" applyFont="1" applyFill="1" applyBorder="1" applyAlignment="1">
      <alignment horizontal="center" vertical="center" wrapText="1"/>
    </xf>
    <xf numFmtId="4" fontId="10" fillId="9" borderId="19" xfId="0" applyNumberFormat="1" applyFont="1" applyFill="1" applyBorder="1" applyAlignment="1">
      <alignment horizontal="center" vertical="center" wrapText="1"/>
    </xf>
    <xf numFmtId="166" fontId="10" fillId="9" borderId="19" xfId="0" applyNumberFormat="1" applyFont="1" applyFill="1" applyBorder="1" applyAlignment="1">
      <alignment horizontal="center" vertical="center" wrapText="1"/>
    </xf>
    <xf numFmtId="166" fontId="23" fillId="31" borderId="19" xfId="0" applyNumberFormat="1" applyFont="1" applyFill="1" applyBorder="1" applyAlignment="1">
      <alignment horizontal="center" vertical="center" wrapText="1"/>
    </xf>
    <xf numFmtId="4" fontId="23" fillId="31" borderId="19" xfId="0" applyNumberFormat="1" applyFont="1" applyFill="1" applyBorder="1" applyAlignment="1">
      <alignment horizontal="center" vertical="center" wrapText="1"/>
    </xf>
    <xf numFmtId="0" fontId="23" fillId="31" borderId="19" xfId="0" applyFont="1" applyFill="1" applyBorder="1" applyAlignment="1">
      <alignment horizontal="center" vertical="center" wrapText="1"/>
    </xf>
    <xf numFmtId="0" fontId="14" fillId="9" borderId="19" xfId="0" applyFont="1" applyFill="1" applyBorder="1"/>
    <xf numFmtId="4" fontId="14" fillId="9" borderId="19" xfId="0" applyNumberFormat="1" applyFont="1" applyFill="1" applyBorder="1"/>
    <xf numFmtId="166" fontId="14" fillId="9" borderId="19" xfId="0" applyNumberFormat="1" applyFont="1" applyFill="1" applyBorder="1"/>
    <xf numFmtId="0" fontId="21" fillId="10" borderId="7" xfId="0" applyFont="1" applyFill="1" applyBorder="1" applyAlignment="1">
      <alignment horizontal="center"/>
    </xf>
    <xf numFmtId="10" fontId="21" fillId="10" borderId="7" xfId="0" applyNumberFormat="1" applyFont="1" applyFill="1" applyBorder="1"/>
    <xf numFmtId="164" fontId="21" fillId="10" borderId="7" xfId="0" applyNumberFormat="1" applyFont="1" applyFill="1" applyBorder="1"/>
    <xf numFmtId="0" fontId="23" fillId="31" borderId="19" xfId="0" applyFont="1" applyFill="1" applyBorder="1" applyAlignment="1">
      <alignment horizontal="center"/>
    </xf>
    <xf numFmtId="166" fontId="6" fillId="9" borderId="19" xfId="0" applyNumberFormat="1" applyFont="1" applyFill="1" applyBorder="1"/>
    <xf numFmtId="0" fontId="6" fillId="9" borderId="19" xfId="0" applyFont="1" applyFill="1" applyBorder="1" applyAlignment="1">
      <alignment horizontal="center" vertical="center" wrapText="1"/>
    </xf>
    <xf numFmtId="0" fontId="20" fillId="9" borderId="7" xfId="0" applyFont="1" applyFill="1" applyBorder="1" applyAlignment="1">
      <alignment horizontal="center" vertical="center" wrapText="1"/>
    </xf>
    <xf numFmtId="3" fontId="20" fillId="9" borderId="7" xfId="0" applyNumberFormat="1" applyFont="1" applyFill="1" applyBorder="1" applyAlignment="1">
      <alignment horizontal="center" vertical="center" wrapText="1"/>
    </xf>
    <xf numFmtId="166" fontId="20" fillId="9" borderId="7" xfId="0" applyNumberFormat="1" applyFont="1" applyFill="1" applyBorder="1" applyAlignment="1">
      <alignment horizontal="center" vertical="center" wrapText="1"/>
    </xf>
    <xf numFmtId="0" fontId="20" fillId="27" borderId="7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center" vertical="center" wrapText="1"/>
    </xf>
    <xf numFmtId="0" fontId="20" fillId="27" borderId="3" xfId="0" applyFont="1" applyFill="1" applyBorder="1" applyAlignment="1">
      <alignment horizontal="left" vertical="center" wrapText="1"/>
    </xf>
    <xf numFmtId="0" fontId="6" fillId="9" borderId="19" xfId="0" applyFont="1" applyFill="1" applyBorder="1" applyAlignment="1">
      <alignment vertical="center"/>
    </xf>
    <xf numFmtId="167" fontId="6" fillId="9" borderId="19" xfId="0" applyNumberFormat="1" applyFont="1" applyFill="1" applyBorder="1" applyAlignment="1">
      <alignment vertical="center"/>
    </xf>
    <xf numFmtId="4" fontId="6" fillId="9" borderId="19" xfId="0" applyNumberFormat="1" applyFont="1" applyFill="1" applyBorder="1" applyAlignment="1">
      <alignment vertical="center"/>
    </xf>
    <xf numFmtId="166" fontId="23" fillId="31" borderId="19" xfId="0" applyNumberFormat="1" applyFont="1" applyFill="1" applyBorder="1" applyAlignment="1">
      <alignment vertical="center"/>
    </xf>
    <xf numFmtId="0" fontId="19" fillId="3" borderId="19" xfId="0" applyFont="1" applyFill="1" applyBorder="1"/>
    <xf numFmtId="166" fontId="19" fillId="4" borderId="19" xfId="0" applyNumberFormat="1" applyFont="1" applyFill="1" applyBorder="1"/>
    <xf numFmtId="4" fontId="19" fillId="4" borderId="19" xfId="0" applyNumberFormat="1" applyFont="1" applyFill="1" applyBorder="1"/>
    <xf numFmtId="166" fontId="19" fillId="6" borderId="19" xfId="0" applyNumberFormat="1" applyFont="1" applyFill="1" applyBorder="1"/>
    <xf numFmtId="4" fontId="19" fillId="6" borderId="19" xfId="0" applyNumberFormat="1" applyFont="1" applyFill="1" applyBorder="1"/>
    <xf numFmtId="166" fontId="19" fillId="33" borderId="19" xfId="0" applyNumberFormat="1" applyFont="1" applyFill="1" applyBorder="1"/>
    <xf numFmtId="166" fontId="19" fillId="30" borderId="19" xfId="0" applyNumberFormat="1" applyFont="1" applyFill="1" applyBorder="1"/>
    <xf numFmtId="0" fontId="19" fillId="0" borderId="19" xfId="0" applyFont="1" applyBorder="1"/>
    <xf numFmtId="10" fontId="23" fillId="31" borderId="19" xfId="0" applyNumberFormat="1" applyFont="1" applyFill="1" applyBorder="1"/>
    <xf numFmtId="0" fontId="29" fillId="36" borderId="12" xfId="0" applyFont="1" applyFill="1" applyBorder="1" applyAlignment="1">
      <alignment vertical="center" wrapText="1"/>
    </xf>
    <xf numFmtId="169" fontId="29" fillId="37" borderId="12" xfId="0" applyNumberFormat="1" applyFont="1" applyFill="1" applyBorder="1" applyAlignment="1">
      <alignment vertical="center"/>
    </xf>
    <xf numFmtId="0" fontId="29" fillId="38" borderId="12" xfId="0" applyFont="1" applyFill="1" applyBorder="1" applyAlignment="1">
      <alignment vertical="center" wrapText="1"/>
    </xf>
    <xf numFmtId="0" fontId="13" fillId="34" borderId="13" xfId="0" applyFont="1" applyFill="1" applyBorder="1" applyAlignment="1">
      <alignment horizontal="center" vertical="center" wrapText="1"/>
    </xf>
    <xf numFmtId="0" fontId="31" fillId="0" borderId="13" xfId="0" applyFont="1" applyBorder="1" applyAlignment="1">
      <alignment vertical="center"/>
    </xf>
    <xf numFmtId="168" fontId="31" fillId="0" borderId="13" xfId="0" applyNumberFormat="1" applyFont="1" applyBorder="1" applyAlignment="1">
      <alignment vertical="center"/>
    </xf>
    <xf numFmtId="0" fontId="31" fillId="0" borderId="13" xfId="0" applyFont="1" applyBorder="1" applyAlignment="1">
      <alignment vertical="center" wrapText="1"/>
    </xf>
    <xf numFmtId="0" fontId="29" fillId="36" borderId="13" xfId="0" applyFont="1" applyFill="1" applyBorder="1" applyAlignment="1">
      <alignment vertical="center"/>
    </xf>
    <xf numFmtId="168" fontId="29" fillId="36" borderId="13" xfId="0" applyNumberFormat="1" applyFont="1" applyFill="1" applyBorder="1" applyAlignment="1">
      <alignment vertical="center"/>
    </xf>
    <xf numFmtId="0" fontId="29" fillId="36" borderId="13" xfId="0" applyFont="1" applyFill="1" applyBorder="1" applyAlignment="1">
      <alignment vertical="center" wrapText="1"/>
    </xf>
    <xf numFmtId="168" fontId="29" fillId="38" borderId="12" xfId="0" applyNumberFormat="1" applyFont="1" applyFill="1" applyBorder="1" applyAlignment="1">
      <alignment vertical="center" wrapText="1"/>
    </xf>
    <xf numFmtId="168" fontId="31" fillId="38" borderId="12" xfId="0" applyNumberFormat="1" applyFont="1" applyFill="1" applyBorder="1" applyAlignment="1">
      <alignment vertical="center"/>
    </xf>
    <xf numFmtId="168" fontId="29" fillId="38" borderId="12" xfId="0" applyNumberFormat="1" applyFont="1" applyFill="1" applyBorder="1" applyAlignment="1">
      <alignment vertical="center"/>
    </xf>
    <xf numFmtId="2" fontId="31" fillId="38" borderId="13" xfId="0" applyNumberFormat="1" applyFont="1" applyFill="1" applyBorder="1" applyAlignment="1">
      <alignment vertical="center"/>
    </xf>
    <xf numFmtId="168" fontId="31" fillId="38" borderId="13" xfId="0" applyNumberFormat="1" applyFont="1" applyFill="1" applyBorder="1" applyAlignment="1">
      <alignment vertical="center"/>
    </xf>
    <xf numFmtId="0" fontId="31" fillId="38" borderId="13" xfId="0" applyFont="1" applyFill="1" applyBorder="1" applyAlignment="1">
      <alignment vertical="center" wrapText="1"/>
    </xf>
    <xf numFmtId="0" fontId="29" fillId="38" borderId="13" xfId="0" applyFont="1" applyFill="1" applyBorder="1" applyAlignment="1">
      <alignment vertical="center" wrapText="1"/>
    </xf>
    <xf numFmtId="168" fontId="29" fillId="36" borderId="13" xfId="0" applyNumberFormat="1" applyFont="1" applyFill="1" applyBorder="1" applyAlignment="1">
      <alignment vertical="center" wrapText="1"/>
    </xf>
    <xf numFmtId="0" fontId="31" fillId="38" borderId="13" xfId="0" applyFont="1" applyFill="1" applyBorder="1" applyAlignment="1">
      <alignment vertical="center"/>
    </xf>
    <xf numFmtId="170" fontId="31" fillId="38" borderId="13" xfId="0" applyNumberFormat="1" applyFont="1" applyFill="1" applyBorder="1" applyAlignment="1">
      <alignment vertical="center"/>
    </xf>
    <xf numFmtId="170" fontId="29" fillId="36" borderId="13" xfId="0" applyNumberFormat="1" applyFont="1" applyFill="1" applyBorder="1" applyAlignment="1">
      <alignment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31" fillId="41" borderId="14" xfId="0" applyFont="1" applyFill="1" applyBorder="1" applyAlignment="1">
      <alignment vertical="center"/>
    </xf>
    <xf numFmtId="2" fontId="31" fillId="41" borderId="14" xfId="0" applyNumberFormat="1" applyFont="1" applyFill="1" applyBorder="1" applyAlignment="1">
      <alignment vertical="center"/>
    </xf>
    <xf numFmtId="171" fontId="31" fillId="41" borderId="14" xfId="0" applyNumberFormat="1" applyFont="1" applyFill="1" applyBorder="1" applyAlignment="1">
      <alignment vertical="center"/>
    </xf>
    <xf numFmtId="10" fontId="31" fillId="41" borderId="14" xfId="0" applyNumberFormat="1" applyFont="1" applyFill="1" applyBorder="1" applyAlignment="1">
      <alignment vertical="center"/>
    </xf>
    <xf numFmtId="168" fontId="31" fillId="41" borderId="14" xfId="0" applyNumberFormat="1" applyFont="1" applyFill="1" applyBorder="1" applyAlignment="1">
      <alignment vertical="center"/>
    </xf>
    <xf numFmtId="0" fontId="31" fillId="41" borderId="14" xfId="0" applyFont="1" applyFill="1" applyBorder="1" applyAlignment="1">
      <alignment vertical="center" wrapText="1"/>
    </xf>
    <xf numFmtId="167" fontId="23" fillId="31" borderId="19" xfId="0" applyNumberFormat="1" applyFont="1" applyFill="1" applyBorder="1"/>
    <xf numFmtId="10" fontId="25" fillId="29" borderId="19" xfId="0" applyNumberFormat="1" applyFont="1" applyFill="1" applyBorder="1"/>
    <xf numFmtId="4" fontId="19" fillId="31" borderId="19" xfId="0" applyNumberFormat="1" applyFont="1" applyFill="1" applyBorder="1"/>
    <xf numFmtId="0" fontId="19" fillId="31" borderId="19" xfId="0" applyFont="1" applyFill="1" applyBorder="1"/>
    <xf numFmtId="4" fontId="21" fillId="31" borderId="19" xfId="0" applyNumberFormat="1" applyFont="1" applyFill="1" applyBorder="1"/>
    <xf numFmtId="0" fontId="23" fillId="31" borderId="19" xfId="0" applyFont="1" applyFill="1" applyBorder="1" applyAlignment="1">
      <alignment vertical="center"/>
    </xf>
    <xf numFmtId="167" fontId="23" fillId="31" borderId="19" xfId="0" applyNumberFormat="1" applyFont="1" applyFill="1" applyBorder="1" applyAlignment="1">
      <alignment vertical="center"/>
    </xf>
    <xf numFmtId="10" fontId="23" fillId="31" borderId="19" xfId="0" applyNumberFormat="1" applyFont="1" applyFill="1" applyBorder="1" applyAlignment="1">
      <alignment vertical="center"/>
    </xf>
    <xf numFmtId="0" fontId="32" fillId="31" borderId="19" xfId="0" applyFont="1" applyFill="1" applyBorder="1" applyAlignment="1">
      <alignment vertical="center"/>
    </xf>
    <xf numFmtId="167" fontId="32" fillId="31" borderId="19" xfId="0" applyNumberFormat="1" applyFont="1" applyFill="1" applyBorder="1" applyAlignment="1">
      <alignment vertical="center"/>
    </xf>
    <xf numFmtId="10" fontId="32" fillId="31" borderId="19" xfId="0" applyNumberFormat="1" applyFont="1" applyFill="1" applyBorder="1" applyAlignment="1">
      <alignment vertical="center"/>
    </xf>
    <xf numFmtId="167" fontId="32" fillId="31" borderId="19" xfId="0" applyNumberFormat="1" applyFont="1" applyFill="1" applyBorder="1"/>
    <xf numFmtId="0" fontId="32" fillId="31" borderId="19" xfId="0" applyFont="1" applyFill="1" applyBorder="1" applyAlignment="1">
      <alignment horizontal="center"/>
    </xf>
    <xf numFmtId="0" fontId="0" fillId="0" borderId="2" xfId="0"/>
    <xf numFmtId="0" fontId="2" fillId="2" borderId="20" xfId="0" applyFont="1" applyFill="1" applyBorder="1"/>
    <xf numFmtId="0" fontId="33" fillId="42" borderId="21" xfId="0" applyFont="1" applyFill="1" applyBorder="1" applyAlignment="1" applyProtection="1">
      <alignment horizontal="center" vertical="center"/>
      <protection locked="0"/>
    </xf>
    <xf numFmtId="49" fontId="0" fillId="43" borderId="22" xfId="0" applyNumberFormat="1" applyFill="1" applyBorder="1" applyAlignment="1">
      <alignment horizontal="left"/>
    </xf>
    <xf numFmtId="49" fontId="0" fillId="43" borderId="23" xfId="0" applyNumberFormat="1" applyFill="1" applyBorder="1" applyAlignment="1">
      <alignment horizontal="left"/>
    </xf>
    <xf numFmtId="172" fontId="6" fillId="9" borderId="19" xfId="0" applyNumberFormat="1" applyFont="1" applyFill="1" applyBorder="1"/>
    <xf numFmtId="0" fontId="34" fillId="44" borderId="19" xfId="0" applyFont="1" applyFill="1" applyBorder="1" applyAlignment="1">
      <alignment horizontal="center" vertical="center" wrapText="1"/>
    </xf>
    <xf numFmtId="4" fontId="19" fillId="45" borderId="19" xfId="0" applyNumberFormat="1" applyFont="1" applyFill="1" applyBorder="1"/>
    <xf numFmtId="0" fontId="13" fillId="8" borderId="25" xfId="0" applyFont="1" applyFill="1" applyBorder="1" applyAlignment="1">
      <alignment horizontal="center" vertical="center" wrapText="1"/>
    </xf>
    <xf numFmtId="4" fontId="19" fillId="31" borderId="25" xfId="0" applyNumberFormat="1" applyFont="1" applyFill="1" applyBorder="1"/>
    <xf numFmtId="0" fontId="34" fillId="44" borderId="24" xfId="0" applyFont="1" applyFill="1" applyBorder="1" applyAlignment="1">
      <alignment horizontal="center" vertical="center" wrapText="1"/>
    </xf>
    <xf numFmtId="4" fontId="19" fillId="45" borderId="24" xfId="0" applyNumberFormat="1" applyFont="1" applyFill="1" applyBorder="1"/>
    <xf numFmtId="0" fontId="34" fillId="46" borderId="19" xfId="0" applyFont="1" applyFill="1" applyBorder="1" applyAlignment="1">
      <alignment horizontal="center" vertical="center" wrapText="1"/>
    </xf>
    <xf numFmtId="4" fontId="19" fillId="47" borderId="19" xfId="0" applyNumberFormat="1" applyFont="1" applyFill="1" applyBorder="1"/>
    <xf numFmtId="0" fontId="34" fillId="44" borderId="25" xfId="0" applyFont="1" applyFill="1" applyBorder="1" applyAlignment="1">
      <alignment horizontal="center" vertical="center" wrapText="1"/>
    </xf>
    <xf numFmtId="4" fontId="19" fillId="45" borderId="25" xfId="0" applyNumberFormat="1" applyFont="1" applyFill="1" applyBorder="1"/>
    <xf numFmtId="0" fontId="34" fillId="46" borderId="24" xfId="0" applyFont="1" applyFill="1" applyBorder="1" applyAlignment="1">
      <alignment horizontal="center" vertical="center" wrapText="1"/>
    </xf>
    <xf numFmtId="4" fontId="19" fillId="47" borderId="24" xfId="0" applyNumberFormat="1" applyFont="1" applyFill="1" applyBorder="1"/>
    <xf numFmtId="0" fontId="34" fillId="46" borderId="25" xfId="0" applyFont="1" applyFill="1" applyBorder="1" applyAlignment="1">
      <alignment horizontal="center" vertical="center" wrapText="1"/>
    </xf>
    <xf numFmtId="4" fontId="19" fillId="47" borderId="25" xfId="0" applyNumberFormat="1" applyFont="1" applyFill="1" applyBorder="1"/>
    <xf numFmtId="0" fontId="29" fillId="42" borderId="12" xfId="0" applyFont="1" applyFill="1" applyBorder="1" applyAlignment="1">
      <alignment vertical="center"/>
    </xf>
    <xf numFmtId="0" fontId="7" fillId="0" borderId="19" xfId="0" applyFont="1" applyBorder="1"/>
    <xf numFmtId="0" fontId="0" fillId="0" borderId="8" xfId="0" applyBorder="1"/>
    <xf numFmtId="0" fontId="0" fillId="0" borderId="9" xfId="0" applyBorder="1"/>
    <xf numFmtId="0" fontId="1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3" fillId="34" borderId="2" xfId="0" applyFont="1" applyFill="1" applyAlignment="1">
      <alignment horizontal="left" vertical="center"/>
    </xf>
    <xf numFmtId="0" fontId="0" fillId="0" borderId="0" xfId="0" applyBorder="1"/>
    <xf numFmtId="0" fontId="27" fillId="38" borderId="13" xfId="0" applyFont="1" applyFill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13" fillId="40" borderId="2" xfId="0" applyFont="1" applyFill="1" applyAlignment="1">
      <alignment horizontal="left" vertical="center"/>
    </xf>
    <xf numFmtId="0" fontId="30" fillId="39" borderId="2" xfId="0" applyFont="1" applyFill="1" applyAlignment="1">
      <alignment vertical="center" wrapText="1"/>
    </xf>
    <xf numFmtId="0" fontId="29" fillId="36" borderId="2" xfId="0" applyFont="1" applyFill="1" applyAlignment="1">
      <alignment vertical="center" wrapText="1"/>
    </xf>
    <xf numFmtId="0" fontId="28" fillId="35" borderId="2" xfId="0" applyFont="1" applyFill="1" applyAlignment="1">
      <alignment vertical="center" wrapText="1"/>
    </xf>
    <xf numFmtId="0" fontId="13" fillId="40" borderId="26" xfId="0" applyFont="1" applyFill="1" applyBorder="1" applyAlignment="1">
      <alignment horizontal="left" vertical="center"/>
    </xf>
    <xf numFmtId="0" fontId="0" fillId="0" borderId="26" xfId="0" applyBorder="1"/>
    <xf numFmtId="0" fontId="26" fillId="37" borderId="12" xfId="0" applyFont="1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29" fillId="38" borderId="12" xfId="0" applyFont="1" applyFill="1" applyBorder="1" applyAlignment="1">
      <alignment vertical="center" wrapText="1"/>
    </xf>
  </cellXfs>
  <cellStyles count="1">
    <cellStyle name="Normal" xfId="0" builtinId="0"/>
  </cellStyles>
  <dxfs count="15"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8A1538"/>
      </font>
      <fill>
        <patternFill patternType="solid">
          <bgColor rgb="FFF4CCCC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ill>
        <patternFill>
          <bgColor rgb="FFEBE0F5"/>
        </patternFill>
      </fill>
    </dxf>
    <dxf>
      <fill>
        <patternFill>
          <bgColor rgb="FFFCE4D6"/>
        </patternFill>
      </fill>
    </dxf>
    <dxf>
      <fill>
        <patternFill>
          <bgColor rgb="FFFFF9C3"/>
        </patternFill>
      </fill>
    </dxf>
    <dxf>
      <fill>
        <patternFill>
          <bgColor rgb="FFE2F0D9"/>
        </patternFill>
      </fill>
    </dxf>
    <dxf>
      <fill>
        <patternFill>
          <bgColor rgb="FFEAF2F8"/>
        </patternFill>
      </fill>
    </dxf>
    <dxf>
      <font>
        <color rgb="FF9C0006"/>
      </font>
      <fill>
        <patternFill patternType="solid">
          <fgColor rgb="FFFFC7CE"/>
        </patternFill>
      </fill>
    </dxf>
    <dxf>
      <font>
        <sz val="11"/>
        <color rgb="FF9C0006"/>
        <name val="Calibri"/>
      </font>
      <fill>
        <patternFill>
          <bgColor rgb="FFFFC7CE"/>
        </patternFill>
      </fill>
    </dxf>
    <dxf>
      <font>
        <b/>
        <color rgb="FF1F4E79"/>
      </font>
      <fill>
        <patternFill patternType="solid">
          <fgColor rgb="FFD9E1F2"/>
        </patternFill>
      </fill>
    </dxf>
    <dxf>
      <font>
        <b/>
        <color rgb="FF9C5700"/>
      </font>
      <fill>
        <patternFill patternType="solid">
          <f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EF9C3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003300"/>
      <rgbColor rgb="FF333300"/>
      <rgbColor rgb="FF993300"/>
      <rgbColor rgb="FF993366"/>
      <rgbColor rgb="FF6D28D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workbookViewId="0">
      <selection activeCell="C9" sqref="C9"/>
    </sheetView>
  </sheetViews>
  <sheetFormatPr defaultColWidth="30" defaultRowHeight="14.5" x14ac:dyDescent="0.35"/>
  <cols>
    <col min="1" max="1" width="36" style="2" customWidth="1"/>
    <col min="2" max="2" width="22" style="2" customWidth="1"/>
    <col min="3" max="3" width="48" style="2" customWidth="1"/>
    <col min="4" max="4" width="30" style="2" customWidth="1"/>
    <col min="5" max="5" width="28" customWidth="1"/>
    <col min="6" max="11" width="30" style="2" customWidth="1"/>
    <col min="12" max="16384" width="30" style="2"/>
  </cols>
  <sheetData>
    <row r="1" spans="1:7" ht="15.75" customHeight="1" x14ac:dyDescent="0.35">
      <c r="A1" s="1" t="s">
        <v>41</v>
      </c>
      <c r="B1" s="193" t="s">
        <v>42</v>
      </c>
      <c r="C1" s="2" t="s">
        <v>43</v>
      </c>
    </row>
    <row r="2" spans="1:7" x14ac:dyDescent="0.35">
      <c r="A2" s="1" t="s">
        <v>44</v>
      </c>
      <c r="B2" s="192" t="s">
        <v>35</v>
      </c>
    </row>
    <row r="3" spans="1:7" x14ac:dyDescent="0.35">
      <c r="A3" s="1" t="s">
        <v>45</v>
      </c>
      <c r="B3" s="52">
        <v>45657</v>
      </c>
    </row>
    <row r="4" spans="1:7" hidden="1" x14ac:dyDescent="0.35">
      <c r="A4" s="2" t="s">
        <v>46</v>
      </c>
      <c r="B4" s="2" t="s">
        <v>47</v>
      </c>
    </row>
    <row r="5" spans="1:7" ht="5" customHeight="1" x14ac:dyDescent="0.35">
      <c r="A5" s="3"/>
    </row>
    <row r="6" spans="1:7" ht="22" customHeight="1" x14ac:dyDescent="0.35">
      <c r="A6" s="5" t="s">
        <v>48</v>
      </c>
      <c r="B6" s="5" t="s">
        <v>49</v>
      </c>
      <c r="C6" s="4"/>
      <c r="D6" s="4"/>
      <c r="E6" s="4"/>
      <c r="F6" s="4"/>
      <c r="G6" s="4"/>
    </row>
    <row r="7" spans="1:7" ht="18" customHeight="1" x14ac:dyDescent="0.35">
      <c r="A7" s="6" t="s">
        <v>50</v>
      </c>
      <c r="B7" s="7" t="s">
        <v>51</v>
      </c>
      <c r="C7" s="8"/>
      <c r="D7" s="8"/>
      <c r="E7" s="8"/>
      <c r="F7" s="4"/>
      <c r="G7" s="4"/>
    </row>
    <row r="8" spans="1:7" ht="28" customHeight="1" x14ac:dyDescent="0.35">
      <c r="A8" s="6" t="s">
        <v>52</v>
      </c>
      <c r="B8" s="53">
        <v>44927</v>
      </c>
      <c r="C8" s="9"/>
      <c r="D8" s="9"/>
      <c r="E8" s="9"/>
      <c r="F8" s="4"/>
      <c r="G8" s="4"/>
    </row>
    <row r="9" spans="1:7" ht="28" customHeight="1" x14ac:dyDescent="0.35">
      <c r="A9" s="6" t="s">
        <v>53</v>
      </c>
      <c r="B9" s="10">
        <f>COUNTIF(parametros!A2:A6,"Sim")</f>
        <v>1</v>
      </c>
      <c r="C9" s="9"/>
      <c r="D9" s="9"/>
      <c r="E9" s="9"/>
      <c r="F9" s="4"/>
      <c r="G9" s="4"/>
    </row>
    <row r="10" spans="1:7" ht="28" customHeight="1" x14ac:dyDescent="0.35">
      <c r="A10" s="6" t="s">
        <v>54</v>
      </c>
      <c r="B10" s="11">
        <f>IFERROR(IF(ISNUMBER(parametros!F6),parametros!F6-1,IF(ISNUMBER(parametros!F5),parametros!F5-1,IF(ISNUMBER(parametros!F4),parametros!F4-1,IF(ISNUMBER(parametros!F3),parametros!F3-1,IF(ISNUMBER(parametros!F2),parametros!F2-1,""))))),"")</f>
        <v>0.12203076003199986</v>
      </c>
      <c r="C10" s="9"/>
      <c r="D10" s="9"/>
      <c r="E10" s="9"/>
      <c r="F10" s="4"/>
      <c r="G10" s="4"/>
    </row>
    <row r="11" spans="1:7" ht="28" customHeight="1" x14ac:dyDescent="0.35">
      <c r="A11" s="6" t="s">
        <v>55</v>
      </c>
      <c r="B11" s="12">
        <f>IFERROR(IF(ISNUMBER(parametros!F6),parametros!F6,IF(ISNUMBER(parametros!F5),parametros!F5,IF(ISNUMBER(parametros!F4),parametros!F4,IF(ISNUMBER(parametros!F3),parametros!F3,IF(ISNUMBER(parametros!F2),parametros!F2,""))))),"")</f>
        <v>1.1220307600319999</v>
      </c>
      <c r="C11" s="9"/>
      <c r="D11" s="9"/>
      <c r="E11" s="9"/>
      <c r="F11" s="4"/>
      <c r="G11" s="4"/>
    </row>
    <row r="12" spans="1:7" ht="28" customHeight="1" x14ac:dyDescent="0.35">
      <c r="A12" s="6" t="s">
        <v>56</v>
      </c>
      <c r="B12" s="7" t="str">
        <f>IFERROR(IF(parametros!A6="Sim",parametros!B6,IF(parametros!A5="Sim",parametros!B5,IF(parametros!A4="Sim",parametros!B4,IF(parametros!A3="Sim",parametros!B3,IF(parametros!A2="Sim",parametros!B2,"Nenhum"))))),"Nenhum")</f>
        <v>C1</v>
      </c>
      <c r="C12" s="9"/>
      <c r="D12" s="9"/>
      <c r="E12" s="9"/>
      <c r="F12" s="4"/>
      <c r="G12" s="4"/>
    </row>
    <row r="13" spans="1:7" ht="20.149999999999999" customHeight="1" x14ac:dyDescent="0.35">
      <c r="A13" s="6" t="s">
        <v>57</v>
      </c>
      <c r="B13" s="53">
        <f>IFERROR(IF(parametros!A6="Sim",parametros!C6,IF(parametros!A5="Sim",parametros!C5,IF(parametros!A4="Sim",parametros!C4,IF(parametros!A3="Sim",parametros!C3,IF(parametros!A2="Sim",parametros!C2,""))))),"")</f>
        <v>45292</v>
      </c>
      <c r="C13" s="4"/>
      <c r="D13" s="4"/>
      <c r="E13" s="4"/>
      <c r="F13" s="4"/>
      <c r="G13" s="4"/>
    </row>
    <row r="14" spans="1:7" ht="5" hidden="1" customHeight="1" x14ac:dyDescent="0.35">
      <c r="A14" s="6" t="s">
        <v>58</v>
      </c>
      <c r="B14" s="53">
        <f ca="1">NOW()</f>
        <v>46295.819947453703</v>
      </c>
      <c r="C14" s="4"/>
      <c r="D14" s="4"/>
      <c r="E14" s="4"/>
      <c r="F14" s="4"/>
      <c r="G14" s="4"/>
    </row>
    <row r="15" spans="1:7" ht="22" hidden="1" customHeight="1" x14ac:dyDescent="0.35">
      <c r="A15" s="8"/>
      <c r="B15" s="4"/>
      <c r="C15" s="4"/>
      <c r="D15" s="4"/>
      <c r="E15" s="4"/>
      <c r="F15" s="4"/>
      <c r="G15" s="4"/>
    </row>
    <row r="16" spans="1:7" ht="40" hidden="1" customHeight="1" x14ac:dyDescent="0.35">
      <c r="A16" s="9"/>
      <c r="B16" s="4"/>
      <c r="C16" s="4"/>
      <c r="D16" s="4"/>
      <c r="E16" s="4"/>
      <c r="F16" s="4"/>
      <c r="G16" s="4"/>
    </row>
    <row r="17" spans="1:7" hidden="1" x14ac:dyDescent="0.35">
      <c r="A17" s="4"/>
      <c r="B17" s="4"/>
      <c r="C17" s="4"/>
      <c r="D17" s="4"/>
      <c r="E17" s="4"/>
      <c r="F17" s="4"/>
      <c r="G17" s="4"/>
    </row>
    <row r="18" spans="1:7" ht="40" hidden="1" customHeight="1" x14ac:dyDescent="0.35">
      <c r="A18" s="13"/>
      <c r="B18" s="4"/>
      <c r="C18" s="4"/>
      <c r="D18" s="4"/>
      <c r="E18" s="4"/>
      <c r="F18" s="4"/>
      <c r="G18" s="4"/>
    </row>
    <row r="19" spans="1:7" x14ac:dyDescent="0.35">
      <c r="A19" s="4"/>
      <c r="B19" s="4"/>
      <c r="C19" s="4"/>
      <c r="D19" s="4"/>
      <c r="E19" s="4"/>
      <c r="F19" s="4"/>
      <c r="G19" s="4"/>
    </row>
    <row r="20" spans="1:7" x14ac:dyDescent="0.35">
      <c r="A20" s="4"/>
      <c r="B20" s="4"/>
      <c r="C20" s="4"/>
      <c r="D20" s="4"/>
      <c r="E20" s="4"/>
      <c r="F20" s="4"/>
      <c r="G20" s="4"/>
    </row>
    <row r="21" spans="1:7" x14ac:dyDescent="0.35">
      <c r="A21" s="4"/>
      <c r="B21" s="4"/>
      <c r="C21" s="4"/>
      <c r="D21" s="4"/>
      <c r="E21" s="4"/>
      <c r="F21" s="4"/>
      <c r="G21" s="4"/>
    </row>
    <row r="22" spans="1:7" x14ac:dyDescent="0.35">
      <c r="A22" s="4"/>
      <c r="B22" s="4"/>
      <c r="C22" s="4"/>
      <c r="D22" s="4"/>
      <c r="E22" s="4"/>
      <c r="F22" s="4"/>
      <c r="G22" s="4"/>
    </row>
    <row r="23" spans="1:7" x14ac:dyDescent="0.35">
      <c r="A23" s="4"/>
      <c r="B23" s="4"/>
      <c r="C23" s="4"/>
      <c r="D23" s="4"/>
      <c r="E23" s="4"/>
      <c r="F23" s="4"/>
      <c r="G23" s="4"/>
    </row>
    <row r="24" spans="1:7" x14ac:dyDescent="0.35">
      <c r="A24" s="4"/>
      <c r="B24" s="4"/>
      <c r="C24" s="4"/>
      <c r="D24" s="4"/>
      <c r="E24" s="4"/>
      <c r="F24" s="4"/>
      <c r="G24" s="4"/>
    </row>
    <row r="25" spans="1:7" x14ac:dyDescent="0.35">
      <c r="A25" s="4"/>
      <c r="B25" s="4"/>
      <c r="C25" s="4"/>
      <c r="D25" s="4"/>
      <c r="E25" s="4"/>
      <c r="F25" s="4"/>
      <c r="G25" s="4"/>
    </row>
    <row r="26" spans="1:7" x14ac:dyDescent="0.35">
      <c r="A26" s="4"/>
      <c r="B26" s="4"/>
      <c r="C26" s="4"/>
      <c r="D26" s="4"/>
      <c r="E26" s="4"/>
      <c r="F26" s="4"/>
      <c r="G26" s="4"/>
    </row>
    <row r="27" spans="1:7" x14ac:dyDescent="0.35">
      <c r="A27" s="4"/>
      <c r="B27" s="4"/>
      <c r="C27" s="4"/>
      <c r="D27" s="4"/>
      <c r="E27" s="4"/>
      <c r="F27" s="4"/>
      <c r="G27" s="4"/>
    </row>
    <row r="28" spans="1:7" x14ac:dyDescent="0.35">
      <c r="A28" s="4"/>
      <c r="B28" s="4"/>
      <c r="C28" s="4"/>
      <c r="D28" s="4"/>
      <c r="E28" s="4"/>
      <c r="F28" s="4"/>
      <c r="G28" s="4"/>
    </row>
    <row r="29" spans="1:7" x14ac:dyDescent="0.35">
      <c r="A29" s="4"/>
      <c r="B29" s="4"/>
      <c r="C29" s="4"/>
      <c r="D29" s="4"/>
      <c r="E29" s="4"/>
      <c r="F29" s="4"/>
      <c r="G29" s="4"/>
    </row>
    <row r="30" spans="1:7" x14ac:dyDescent="0.35">
      <c r="A30" s="4"/>
      <c r="B30" s="4"/>
      <c r="C30" s="4"/>
      <c r="D30" s="4"/>
      <c r="E30" s="4"/>
      <c r="F30" s="4"/>
      <c r="G30" s="4"/>
    </row>
    <row r="31" spans="1:7" x14ac:dyDescent="0.35">
      <c r="A31" s="4"/>
      <c r="B31" s="4"/>
      <c r="C31" s="4"/>
      <c r="D31" s="4"/>
      <c r="E31" s="4"/>
      <c r="F31" s="4"/>
      <c r="G31" s="4"/>
    </row>
    <row r="32" spans="1:7" x14ac:dyDescent="0.35">
      <c r="A32" s="4"/>
      <c r="B32" s="4"/>
      <c r="C32" s="4"/>
      <c r="D32" s="4"/>
      <c r="E32" s="4"/>
      <c r="F32" s="4"/>
      <c r="G32" s="4"/>
    </row>
    <row r="33" spans="1:7" x14ac:dyDescent="0.35">
      <c r="A33" s="4"/>
      <c r="B33" s="4"/>
      <c r="C33" s="4"/>
      <c r="D33" s="4"/>
      <c r="E33" s="4"/>
      <c r="F33" s="4"/>
      <c r="G33" s="4"/>
    </row>
    <row r="34" spans="1:7" x14ac:dyDescent="0.35">
      <c r="A34" s="4"/>
      <c r="B34" s="4"/>
      <c r="C34" s="4"/>
      <c r="D34" s="4"/>
      <c r="E34" s="4"/>
      <c r="F34" s="4"/>
      <c r="G34" s="4"/>
    </row>
    <row r="35" spans="1:7" x14ac:dyDescent="0.35">
      <c r="A35" s="4"/>
      <c r="B35" s="4"/>
      <c r="C35" s="4"/>
      <c r="D35" s="4"/>
      <c r="E35" s="4"/>
      <c r="F35" s="4"/>
      <c r="G35" s="4"/>
    </row>
    <row r="36" spans="1:7" x14ac:dyDescent="0.35">
      <c r="A36" s="4"/>
      <c r="B36" s="4"/>
      <c r="C36" s="4"/>
      <c r="D36" s="4"/>
      <c r="E36" s="4"/>
      <c r="F36" s="4"/>
      <c r="G36" s="4"/>
    </row>
    <row r="37" spans="1:7" x14ac:dyDescent="0.35">
      <c r="A37" s="4"/>
      <c r="B37" s="4"/>
      <c r="C37" s="4"/>
      <c r="D37" s="4"/>
      <c r="E37" s="4"/>
      <c r="F37" s="4"/>
      <c r="G37" s="4"/>
    </row>
    <row r="38" spans="1:7" x14ac:dyDescent="0.35">
      <c r="A38" s="4"/>
      <c r="B38" s="4"/>
      <c r="C38" s="4"/>
      <c r="D38" s="4"/>
      <c r="E38" s="4"/>
      <c r="F38" s="4"/>
      <c r="G38" s="4"/>
    </row>
    <row r="39" spans="1:7" x14ac:dyDescent="0.35">
      <c r="A39" s="4"/>
      <c r="B39" s="4"/>
      <c r="C39" s="4"/>
      <c r="D39" s="4"/>
      <c r="E39" s="4"/>
      <c r="F39" s="4"/>
      <c r="G39" s="4"/>
    </row>
    <row r="40" spans="1:7" x14ac:dyDescent="0.35">
      <c r="A40" s="4"/>
      <c r="B40" s="4"/>
      <c r="C40" s="4"/>
      <c r="D40" s="4"/>
      <c r="E40" s="4"/>
      <c r="F40" s="4"/>
      <c r="G40" s="4"/>
    </row>
  </sheetData>
  <sheetProtection sheet="1" objects="1" scenarios="1"/>
  <dataValidations count="2">
    <dataValidation type="list" sqref="B2" xr:uid="{00000000-0002-0000-0000-000000000000}">
      <formula1>"C0,C1,C2,C3,C4"</formula1>
      <formula2>0</formula2>
    </dataValidation>
    <dataValidation type="list" showInputMessage="1" showErrorMessage="1" errorTitle="Modo inválido" error="Escolha: Principal, Itens Consumidos ou Pedidos de Compras." promptTitle="Modo de leitura" prompt="Principal = financeiro mensal / itens remanescentes._x000a_Itens Consumidos = quantidades consumidas por ciclo._x000a_Pedidos de Compras = marco do Pedido de Compra." sqref="B1" xr:uid="{00000000-0002-0000-0000-000001000000}">
      <formula1>"Principal,Itens Consumidos,Pedidos de Compras"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30" style="2" customWidth="1"/>
    <col min="2" max="2" width="10" style="2" customWidth="1"/>
    <col min="3" max="3" width="16" style="2" customWidth="1"/>
    <col min="4" max="4" width="16" customWidth="1"/>
    <col min="5" max="5" width="23" style="2" customWidth="1"/>
    <col min="6" max="6" width="20" customWidth="1"/>
    <col min="7" max="7" width="28" style="2" customWidth="1"/>
    <col min="8" max="8" width="28" customWidth="1"/>
    <col min="9" max="9" width="14" style="2" customWidth="1"/>
    <col min="10" max="16" width="8.54296875" style="2" customWidth="1"/>
    <col min="17" max="16384" width="8.54296875" style="2"/>
  </cols>
  <sheetData>
    <row r="1" spans="1:7" ht="32" customHeight="1" x14ac:dyDescent="0.35">
      <c r="A1" s="83" t="s">
        <v>59</v>
      </c>
      <c r="B1" s="83" t="s">
        <v>11</v>
      </c>
      <c r="C1" s="83" t="s">
        <v>60</v>
      </c>
      <c r="D1" s="83" t="s">
        <v>61</v>
      </c>
      <c r="E1" s="83" t="s">
        <v>62</v>
      </c>
      <c r="F1" s="83" t="s">
        <v>4</v>
      </c>
      <c r="G1" s="83" t="s">
        <v>63</v>
      </c>
    </row>
    <row r="2" spans="1:7" x14ac:dyDescent="0.35">
      <c r="A2" s="183" t="s">
        <v>27</v>
      </c>
      <c r="B2" s="183" t="s">
        <v>26</v>
      </c>
      <c r="C2" s="184">
        <v>44927</v>
      </c>
      <c r="D2" s="184">
        <v>45291</v>
      </c>
      <c r="E2" s="185">
        <v>0</v>
      </c>
      <c r="F2" s="88">
        <f>1</f>
        <v>1</v>
      </c>
      <c r="G2" s="183" t="s">
        <v>64</v>
      </c>
    </row>
    <row r="3" spans="1:7" x14ac:dyDescent="0.35">
      <c r="A3" s="186" t="s">
        <v>25</v>
      </c>
      <c r="B3" s="186" t="s">
        <v>35</v>
      </c>
      <c r="C3" s="187">
        <v>45292</v>
      </c>
      <c r="D3" s="187">
        <v>45657</v>
      </c>
      <c r="E3" s="188">
        <v>5.1200000000000002E-2</v>
      </c>
      <c r="F3" s="88">
        <f>IF(E3="","",IF(NOT(ISNUMBER(E3)),"",IF(NOT(ISNUMBER(F2)),"",F2*(1+E3))))</f>
        <v>1.0511999999999999</v>
      </c>
      <c r="G3" s="186" t="s">
        <v>65</v>
      </c>
    </row>
    <row r="4" spans="1:7" x14ac:dyDescent="0.35">
      <c r="A4" s="186" t="s">
        <v>27</v>
      </c>
      <c r="B4" s="186" t="s">
        <v>37</v>
      </c>
      <c r="C4" s="187">
        <v>45658</v>
      </c>
      <c r="D4" s="187">
        <v>46022</v>
      </c>
      <c r="E4" s="188">
        <v>3.7400000000000003E-2</v>
      </c>
      <c r="F4" s="88">
        <f>IF(E4="","",IF(NOT(ISNUMBER(E4)),"",IF(NOT(ISNUMBER(F3)),"",F3*(1+E4))))</f>
        <v>1.09051488</v>
      </c>
      <c r="G4" s="186" t="s">
        <v>65</v>
      </c>
    </row>
    <row r="5" spans="1:7" x14ac:dyDescent="0.35">
      <c r="A5" s="84" t="s">
        <v>27</v>
      </c>
      <c r="B5" s="85" t="s">
        <v>38</v>
      </c>
      <c r="C5" s="86">
        <v>46023</v>
      </c>
      <c r="D5" s="86">
        <v>46387</v>
      </c>
      <c r="E5" s="87">
        <v>2.8899999999999999E-2</v>
      </c>
      <c r="F5" s="88">
        <f>IF(E5="","",IF(NOT(ISNUMBER(E5)),"",IF(NOT(ISNUMBER(F4)),"",F4*(1+E5))))</f>
        <v>1.1220307600319999</v>
      </c>
      <c r="G5" s="89" t="s">
        <v>65</v>
      </c>
    </row>
    <row r="6" spans="1:7" x14ac:dyDescent="0.35">
      <c r="A6" s="84" t="s">
        <v>27</v>
      </c>
      <c r="B6" s="85" t="s">
        <v>39</v>
      </c>
      <c r="C6" s="86">
        <v>46388</v>
      </c>
      <c r="D6" s="86">
        <v>46752</v>
      </c>
      <c r="E6" s="87"/>
      <c r="F6" s="88" t="str">
        <f>IF(E6="","",IF(NOT(ISNUMBER(E6)),"",IF(NOT(ISNUMBER(F5)),"",F5*(1+E6))))</f>
        <v/>
      </c>
      <c r="G6" s="89"/>
    </row>
    <row r="7" spans="1:7" x14ac:dyDescent="0.35">
      <c r="A7" s="16"/>
      <c r="B7" s="16"/>
      <c r="C7" s="17"/>
      <c r="D7" s="17"/>
      <c r="E7" s="16"/>
      <c r="F7" s="16"/>
      <c r="G7" s="16"/>
    </row>
    <row r="8" spans="1:7" x14ac:dyDescent="0.35">
      <c r="A8" s="16"/>
      <c r="B8" s="16"/>
      <c r="C8" s="17"/>
      <c r="D8" s="17"/>
      <c r="E8" s="16"/>
      <c r="F8" s="16"/>
      <c r="G8" s="16"/>
    </row>
    <row r="9" spans="1:7" x14ac:dyDescent="0.35">
      <c r="A9" s="212" t="s">
        <v>66</v>
      </c>
      <c r="B9" s="213"/>
      <c r="C9" s="213"/>
      <c r="D9" s="213"/>
      <c r="E9" s="213"/>
      <c r="F9" s="214"/>
      <c r="G9" s="16"/>
    </row>
    <row r="10" spans="1:7" ht="26" customHeight="1" x14ac:dyDescent="0.35">
      <c r="A10" s="83" t="s">
        <v>11</v>
      </c>
      <c r="B10" s="83" t="s">
        <v>67</v>
      </c>
      <c r="C10" s="90" t="s">
        <v>68</v>
      </c>
      <c r="D10" s="90" t="s">
        <v>69</v>
      </c>
      <c r="E10" s="83" t="s">
        <v>70</v>
      </c>
      <c r="F10" s="83" t="s">
        <v>71</v>
      </c>
      <c r="G10" s="16"/>
    </row>
    <row r="11" spans="1:7" x14ac:dyDescent="0.35">
      <c r="A11" s="91" t="s">
        <v>26</v>
      </c>
      <c r="B11" s="91" t="str">
        <f>A2</f>
        <v>Nao</v>
      </c>
      <c r="C11" s="92" t="str">
        <f>IF(B11="Sim",E2,"")</f>
        <v/>
      </c>
      <c r="D11" s="93">
        <f>1</f>
        <v>1</v>
      </c>
      <c r="E11" s="93">
        <f>1</f>
        <v>1</v>
      </c>
      <c r="F11" s="91" t="s">
        <v>64</v>
      </c>
      <c r="G11" s="16"/>
    </row>
    <row r="12" spans="1:7" x14ac:dyDescent="0.35">
      <c r="A12" s="94" t="s">
        <v>35</v>
      </c>
      <c r="B12" s="94" t="str">
        <f>A3</f>
        <v>Sim</v>
      </c>
      <c r="C12" s="95">
        <f>IF(B12="Sim",E3,"")</f>
        <v>5.1200000000000002E-2</v>
      </c>
      <c r="D12" s="96">
        <f>IF(C12="","",1+C12)</f>
        <v>1.0511999999999999</v>
      </c>
      <c r="E12" s="96">
        <f>IF(B12="Sim",E11*D12,E11)</f>
        <v>1.0511999999999999</v>
      </c>
      <c r="F12" s="94" t="str">
        <f>IF(B12="Sim","Aplicado","Fora da apuracao")</f>
        <v>Aplicado</v>
      </c>
      <c r="G12" s="16"/>
    </row>
    <row r="13" spans="1:7" x14ac:dyDescent="0.35">
      <c r="A13" s="94" t="s">
        <v>37</v>
      </c>
      <c r="B13" s="94" t="str">
        <f>A4</f>
        <v>Nao</v>
      </c>
      <c r="C13" s="95" t="str">
        <f>IF(B13="Sim",E4,"")</f>
        <v/>
      </c>
      <c r="D13" s="96" t="str">
        <f>IF(C13="","",1+C13)</f>
        <v/>
      </c>
      <c r="E13" s="96">
        <f>IF(B13="Sim",E12*D13,E12)</f>
        <v>1.0511999999999999</v>
      </c>
      <c r="F13" s="94" t="str">
        <f>IF(B13="Sim","Aplicado","Fora da apuracao")</f>
        <v>Fora da apuracao</v>
      </c>
      <c r="G13" s="16"/>
    </row>
    <row r="14" spans="1:7" x14ac:dyDescent="0.35">
      <c r="A14" s="94" t="s">
        <v>38</v>
      </c>
      <c r="B14" s="94" t="str">
        <f>A5</f>
        <v>Nao</v>
      </c>
      <c r="C14" s="95" t="str">
        <f>IF(B14="Sim",E5,"")</f>
        <v/>
      </c>
      <c r="D14" s="96" t="str">
        <f>IF(C14="","",1+C14)</f>
        <v/>
      </c>
      <c r="E14" s="96">
        <f>IF(B14="Sim",E13*D14,E13)</f>
        <v>1.0511999999999999</v>
      </c>
      <c r="F14" s="94" t="str">
        <f>IF(B14="Sim","Aplicado","Fora da apuracao")</f>
        <v>Fora da apuracao</v>
      </c>
      <c r="G14" s="16"/>
    </row>
    <row r="15" spans="1:7" x14ac:dyDescent="0.35">
      <c r="A15" s="94" t="s">
        <v>39</v>
      </c>
      <c r="B15" s="94" t="str">
        <f>A6</f>
        <v>Nao</v>
      </c>
      <c r="C15" s="95" t="str">
        <f>IF(B15="Sim",E6,"")</f>
        <v/>
      </c>
      <c r="D15" s="96" t="str">
        <f>IF(C15="","",1+C15)</f>
        <v/>
      </c>
      <c r="E15" s="96">
        <f>IF(B15="Sim",E14*D15,E14)</f>
        <v>1.0511999999999999</v>
      </c>
      <c r="F15" s="94" t="str">
        <f>IF(B15="Sim","Aplicado","Fora da apuracao")</f>
        <v>Fora da apuracao</v>
      </c>
      <c r="G15" s="16"/>
    </row>
    <row r="16" spans="1:7" x14ac:dyDescent="0.35">
      <c r="A16" s="97" t="s">
        <v>72</v>
      </c>
      <c r="B16" s="98"/>
      <c r="C16" s="99"/>
      <c r="D16" s="100">
        <f>E15</f>
        <v>1.0511999999999999</v>
      </c>
      <c r="E16" s="100">
        <f>E15</f>
        <v>1.0511999999999999</v>
      </c>
      <c r="F16" s="179">
        <f>E16-1</f>
        <v>5.1199999999999912E-2</v>
      </c>
      <c r="G16" s="16"/>
    </row>
    <row r="17" spans="1:7" x14ac:dyDescent="0.35">
      <c r="A17" s="16"/>
      <c r="B17" s="16"/>
      <c r="C17" s="17"/>
      <c r="D17" s="17"/>
      <c r="E17" s="18"/>
      <c r="F17" s="18"/>
      <c r="G17" s="16"/>
    </row>
    <row r="18" spans="1:7" x14ac:dyDescent="0.35">
      <c r="A18" s="16"/>
      <c r="B18" s="16"/>
      <c r="C18" s="17"/>
      <c r="D18" s="17"/>
      <c r="E18" s="18"/>
      <c r="F18" s="18"/>
      <c r="G18" s="16"/>
    </row>
    <row r="19" spans="1:7" x14ac:dyDescent="0.35">
      <c r="A19" s="16"/>
      <c r="B19" s="16"/>
      <c r="C19" s="17"/>
      <c r="D19" s="17"/>
      <c r="E19" s="18"/>
      <c r="F19" s="18"/>
      <c r="G19" s="16"/>
    </row>
    <row r="20" spans="1:7" x14ac:dyDescent="0.35">
      <c r="A20" s="16"/>
      <c r="B20" s="16"/>
      <c r="C20" s="17"/>
      <c r="D20" s="17"/>
      <c r="E20" s="18"/>
      <c r="F20" s="18"/>
      <c r="G20" s="16"/>
    </row>
  </sheetData>
  <mergeCells count="1">
    <mergeCell ref="A9:F9"/>
  </mergeCells>
  <conditionalFormatting sqref="E3:F6">
    <cfRule type="expression" dxfId="14" priority="2">
      <formula>AND($A3="Nao",$C3&lt;&gt;"",$E3="")</formula>
    </cfRule>
  </conditionalFormatting>
  <dataValidations count="1">
    <dataValidation type="list" sqref="A2:A6" xr:uid="{00000000-0002-0000-0100-000000000000}">
      <formula1>"Sim,Nao"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"/>
  <sheetViews>
    <sheetView showGridLines="0" workbookViewId="0">
      <selection activeCell="C14" sqref="C14:C33"/>
    </sheetView>
  </sheetViews>
  <sheetFormatPr defaultColWidth="8.54296875" defaultRowHeight="14.5" x14ac:dyDescent="0.35"/>
  <cols>
    <col min="1" max="1" width="16" customWidth="1"/>
    <col min="2" max="2" width="14" customWidth="1"/>
    <col min="3" max="3" width="18" customWidth="1"/>
    <col min="4" max="4" width="17" customWidth="1"/>
    <col min="5" max="5" width="19" customWidth="1"/>
    <col min="6" max="6" width="18" customWidth="1"/>
    <col min="7" max="7" width="19" customWidth="1"/>
    <col min="13" max="13" width="12.7265625" customWidth="1"/>
  </cols>
  <sheetData>
    <row r="1" spans="1:7" ht="32" customHeight="1" x14ac:dyDescent="0.35">
      <c r="A1" s="54" t="s">
        <v>73</v>
      </c>
      <c r="B1" s="54" t="s">
        <v>11</v>
      </c>
      <c r="C1" s="54" t="s">
        <v>74</v>
      </c>
      <c r="D1" s="54" t="s">
        <v>75</v>
      </c>
      <c r="E1" s="54" t="s">
        <v>5</v>
      </c>
      <c r="F1" s="54" t="s">
        <v>76</v>
      </c>
      <c r="G1" s="54" t="s">
        <v>77</v>
      </c>
    </row>
    <row r="2" spans="1:7" x14ac:dyDescent="0.35">
      <c r="A2" s="178">
        <v>44927</v>
      </c>
      <c r="B2" s="178" t="str">
        <f>IF(A2="","",IF(OR(A2&lt;MIN(parametros!$C$2:$C$6),A2&gt;MAX(parametros!$D$2:$D$6)),"Fora dos ciclos",LOWER(LOOKUP(A2,parametros!$C$2:$C$6,parametros!$B$2:$B$6))))</f>
        <v>c0</v>
      </c>
      <c r="C2" s="102">
        <v>42500</v>
      </c>
      <c r="D2" s="103">
        <f>IF(B2="","",IF(B2="c0",1,IF(B2="c1",IF(parametros!$A$3&lt;&gt;"Sim","",IF(NOT(ISNUMBER(parametros!$E$3)),"",1+parametros!$E$3)),IF(B2="c2",IF(parametros!$A$4&lt;&gt;"Sim","",IF(NOT(ISNUMBER(parametros!$E$4)),"",IF(parametros!$A$3="Sim",1+parametros!$E$3,1)*(1+parametros!$E$4))),IF(B2="c3",IF(parametros!$A$5&lt;&gt;"Sim","",IF(NOT(ISNUMBER(parametros!$E$5)),"",IF(parametros!$A$3="Sim",1+parametros!$E$3,1)*IF(parametros!$A$4="Sim",1+parametros!$E$4,1)*(1+parametros!$E$5))),IF(B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2" s="104">
        <f t="shared" ref="E2:E33" si="0">IF(OR(C2="",NOT(ISNUMBER(D2))),"",ROUND(C2*D2,2))</f>
        <v>42500</v>
      </c>
      <c r="F2" s="104">
        <f t="shared" ref="F2:F33" si="1">IF(OR(C2="",E2=""),"",IF(G2&lt;&gt;"Sim",0,ROUND(E2-C2,2)))</f>
        <v>0</v>
      </c>
      <c r="G2" s="128" t="s">
        <v>25</v>
      </c>
    </row>
    <row r="3" spans="1:7" x14ac:dyDescent="0.35">
      <c r="A3" s="178">
        <v>44958</v>
      </c>
      <c r="B3" s="178" t="str">
        <f>IF(A3="","",IF(OR(A3&lt;MIN(parametros!$C$2:$C$6),A3&gt;MAX(parametros!$D$2:$D$6)),"Fora dos ciclos",LOWER(LOOKUP(A3,parametros!$C$2:$C$6,parametros!$B$2:$B$6))))</f>
        <v>c0</v>
      </c>
      <c r="C3" s="102">
        <v>42500</v>
      </c>
      <c r="D3" s="103">
        <f>IF(B3="","",IF(B3="c0",1,IF(B3="c1",IF(parametros!$A$3&lt;&gt;"Sim","",IF(NOT(ISNUMBER(parametros!$E$3)),"",1+parametros!$E$3)),IF(B3="c2",IF(parametros!$A$4&lt;&gt;"Sim","",IF(NOT(ISNUMBER(parametros!$E$4)),"",IF(parametros!$A$3="Sim",1+parametros!$E$3,1)*(1+parametros!$E$4))),IF(B3="c3",IF(parametros!$A$5&lt;&gt;"Sim","",IF(NOT(ISNUMBER(parametros!$E$5)),"",IF(parametros!$A$3="Sim",1+parametros!$E$3,1)*IF(parametros!$A$4="Sim",1+parametros!$E$4,1)*(1+parametros!$E$5))),IF(B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3" s="104">
        <f t="shared" si="0"/>
        <v>42500</v>
      </c>
      <c r="F3" s="104">
        <f t="shared" si="1"/>
        <v>0</v>
      </c>
      <c r="G3" s="128" t="s">
        <v>25</v>
      </c>
    </row>
    <row r="4" spans="1:7" x14ac:dyDescent="0.35">
      <c r="A4" s="178">
        <v>44986</v>
      </c>
      <c r="B4" s="178" t="str">
        <f>IF(A4="","",IF(OR(A4&lt;MIN(parametros!$C$2:$C$6),A4&gt;MAX(parametros!$D$2:$D$6)),"Fora dos ciclos",LOWER(LOOKUP(A4,parametros!$C$2:$C$6,parametros!$B$2:$B$6))))</f>
        <v>c0</v>
      </c>
      <c r="C4" s="102">
        <v>42500</v>
      </c>
      <c r="D4" s="103">
        <f>IF(B4="","",IF(B4="c0",1,IF(B4="c1",IF(parametros!$A$3&lt;&gt;"Sim","",IF(NOT(ISNUMBER(parametros!$E$3)),"",1+parametros!$E$3)),IF(B4="c2",IF(parametros!$A$4&lt;&gt;"Sim","",IF(NOT(ISNUMBER(parametros!$E$4)),"",IF(parametros!$A$3="Sim",1+parametros!$E$3,1)*(1+parametros!$E$4))),IF(B4="c3",IF(parametros!$A$5&lt;&gt;"Sim","",IF(NOT(ISNUMBER(parametros!$E$5)),"",IF(parametros!$A$3="Sim",1+parametros!$E$3,1)*IF(parametros!$A$4="Sim",1+parametros!$E$4,1)*(1+parametros!$E$5))),IF(B4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4" s="104">
        <f t="shared" si="0"/>
        <v>42500</v>
      </c>
      <c r="F4" s="104">
        <f t="shared" si="1"/>
        <v>0</v>
      </c>
      <c r="G4" s="128" t="s">
        <v>25</v>
      </c>
    </row>
    <row r="5" spans="1:7" x14ac:dyDescent="0.35">
      <c r="A5" s="178">
        <v>45017</v>
      </c>
      <c r="B5" s="178" t="str">
        <f>IF(A5="","",IF(OR(A5&lt;MIN(parametros!$C$2:$C$6),A5&gt;MAX(parametros!$D$2:$D$6)),"Fora dos ciclos",LOWER(LOOKUP(A5,parametros!$C$2:$C$6,parametros!$B$2:$B$6))))</f>
        <v>c0</v>
      </c>
      <c r="C5" s="102">
        <v>42500</v>
      </c>
      <c r="D5" s="103">
        <f>IF(B5="","",IF(B5="c0",1,IF(B5="c1",IF(parametros!$A$3&lt;&gt;"Sim","",IF(NOT(ISNUMBER(parametros!$E$3)),"",1+parametros!$E$3)),IF(B5="c2",IF(parametros!$A$4&lt;&gt;"Sim","",IF(NOT(ISNUMBER(parametros!$E$4)),"",IF(parametros!$A$3="Sim",1+parametros!$E$3,1)*(1+parametros!$E$4))),IF(B5="c3",IF(parametros!$A$5&lt;&gt;"Sim","",IF(NOT(ISNUMBER(parametros!$E$5)),"",IF(parametros!$A$3="Sim",1+parametros!$E$3,1)*IF(parametros!$A$4="Sim",1+parametros!$E$4,1)*(1+parametros!$E$5))),IF(B5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5" s="104">
        <f t="shared" si="0"/>
        <v>42500</v>
      </c>
      <c r="F5" s="104">
        <f t="shared" si="1"/>
        <v>0</v>
      </c>
      <c r="G5" s="128" t="s">
        <v>25</v>
      </c>
    </row>
    <row r="6" spans="1:7" x14ac:dyDescent="0.35">
      <c r="A6" s="178">
        <v>45047</v>
      </c>
      <c r="B6" s="178" t="str">
        <f>IF(A6="","",IF(OR(A6&lt;MIN(parametros!$C$2:$C$6),A6&gt;MAX(parametros!$D$2:$D$6)),"Fora dos ciclos",LOWER(LOOKUP(A6,parametros!$C$2:$C$6,parametros!$B$2:$B$6))))</f>
        <v>c0</v>
      </c>
      <c r="C6" s="102">
        <v>42500</v>
      </c>
      <c r="D6" s="103">
        <f>IF(B6="","",IF(B6="c0",1,IF(B6="c1",IF(parametros!$A$3&lt;&gt;"Sim","",IF(NOT(ISNUMBER(parametros!$E$3)),"",1+parametros!$E$3)),IF(B6="c2",IF(parametros!$A$4&lt;&gt;"Sim","",IF(NOT(ISNUMBER(parametros!$E$4)),"",IF(parametros!$A$3="Sim",1+parametros!$E$3,1)*(1+parametros!$E$4))),IF(B6="c3",IF(parametros!$A$5&lt;&gt;"Sim","",IF(NOT(ISNUMBER(parametros!$E$5)),"",IF(parametros!$A$3="Sim",1+parametros!$E$3,1)*IF(parametros!$A$4="Sim",1+parametros!$E$4,1)*(1+parametros!$E$5))),IF(B6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6" s="104">
        <f t="shared" si="0"/>
        <v>42500</v>
      </c>
      <c r="F6" s="104">
        <f t="shared" si="1"/>
        <v>0</v>
      </c>
      <c r="G6" s="128" t="s">
        <v>25</v>
      </c>
    </row>
    <row r="7" spans="1:7" x14ac:dyDescent="0.35">
      <c r="A7" s="178">
        <v>45078</v>
      </c>
      <c r="B7" s="178" t="str">
        <f>IF(A7="","",IF(OR(A7&lt;MIN(parametros!$C$2:$C$6),A7&gt;MAX(parametros!$D$2:$D$6)),"Fora dos ciclos",LOWER(LOOKUP(A7,parametros!$C$2:$C$6,parametros!$B$2:$B$6))))</f>
        <v>c0</v>
      </c>
      <c r="C7" s="102">
        <v>42500</v>
      </c>
      <c r="D7" s="103">
        <f>IF(B7="","",IF(B7="c0",1,IF(B7="c1",IF(parametros!$A$3&lt;&gt;"Sim","",IF(NOT(ISNUMBER(parametros!$E$3)),"",1+parametros!$E$3)),IF(B7="c2",IF(parametros!$A$4&lt;&gt;"Sim","",IF(NOT(ISNUMBER(parametros!$E$4)),"",IF(parametros!$A$3="Sim",1+parametros!$E$3,1)*(1+parametros!$E$4))),IF(B7="c3",IF(parametros!$A$5&lt;&gt;"Sim","",IF(NOT(ISNUMBER(parametros!$E$5)),"",IF(parametros!$A$3="Sim",1+parametros!$E$3,1)*IF(parametros!$A$4="Sim",1+parametros!$E$4,1)*(1+parametros!$E$5))),IF(B7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7" s="104">
        <f t="shared" si="0"/>
        <v>42500</v>
      </c>
      <c r="F7" s="104">
        <f t="shared" si="1"/>
        <v>0</v>
      </c>
      <c r="G7" s="128" t="s">
        <v>25</v>
      </c>
    </row>
    <row r="8" spans="1:7" x14ac:dyDescent="0.35">
      <c r="A8" s="178">
        <v>45108</v>
      </c>
      <c r="B8" s="178" t="str">
        <f>IF(A8="","",IF(OR(A8&lt;MIN(parametros!$C$2:$C$6),A8&gt;MAX(parametros!$D$2:$D$6)),"Fora dos ciclos",LOWER(LOOKUP(A8,parametros!$C$2:$C$6,parametros!$B$2:$B$6))))</f>
        <v>c0</v>
      </c>
      <c r="C8" s="102">
        <v>42500</v>
      </c>
      <c r="D8" s="103">
        <f>IF(B8="","",IF(B8="c0",1,IF(B8="c1",IF(parametros!$A$3&lt;&gt;"Sim","",IF(NOT(ISNUMBER(parametros!$E$3)),"",1+parametros!$E$3)),IF(B8="c2",IF(parametros!$A$4&lt;&gt;"Sim","",IF(NOT(ISNUMBER(parametros!$E$4)),"",IF(parametros!$A$3="Sim",1+parametros!$E$3,1)*(1+parametros!$E$4))),IF(B8="c3",IF(parametros!$A$5&lt;&gt;"Sim","",IF(NOT(ISNUMBER(parametros!$E$5)),"",IF(parametros!$A$3="Sim",1+parametros!$E$3,1)*IF(parametros!$A$4="Sim",1+parametros!$E$4,1)*(1+parametros!$E$5))),IF(B8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8" s="104">
        <f t="shared" si="0"/>
        <v>42500</v>
      </c>
      <c r="F8" s="104">
        <f t="shared" si="1"/>
        <v>0</v>
      </c>
      <c r="G8" s="128" t="s">
        <v>25</v>
      </c>
    </row>
    <row r="9" spans="1:7" x14ac:dyDescent="0.35">
      <c r="A9" s="178">
        <v>45139</v>
      </c>
      <c r="B9" s="178" t="str">
        <f>IF(A9="","",IF(OR(A9&lt;MIN(parametros!$C$2:$C$6),A9&gt;MAX(parametros!$D$2:$D$6)),"Fora dos ciclos",LOWER(LOOKUP(A9,parametros!$C$2:$C$6,parametros!$B$2:$B$6))))</f>
        <v>c0</v>
      </c>
      <c r="C9" s="102">
        <v>42500</v>
      </c>
      <c r="D9" s="103">
        <f>IF(B9="","",IF(B9="c0",1,IF(B9="c1",IF(parametros!$A$3&lt;&gt;"Sim","",IF(NOT(ISNUMBER(parametros!$E$3)),"",1+parametros!$E$3)),IF(B9="c2",IF(parametros!$A$4&lt;&gt;"Sim","",IF(NOT(ISNUMBER(parametros!$E$4)),"",IF(parametros!$A$3="Sim",1+parametros!$E$3,1)*(1+parametros!$E$4))),IF(B9="c3",IF(parametros!$A$5&lt;&gt;"Sim","",IF(NOT(ISNUMBER(parametros!$E$5)),"",IF(parametros!$A$3="Sim",1+parametros!$E$3,1)*IF(parametros!$A$4="Sim",1+parametros!$E$4,1)*(1+parametros!$E$5))),IF(B9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9" s="104">
        <f t="shared" si="0"/>
        <v>42500</v>
      </c>
      <c r="F9" s="104">
        <f t="shared" si="1"/>
        <v>0</v>
      </c>
      <c r="G9" s="128" t="s">
        <v>25</v>
      </c>
    </row>
    <row r="10" spans="1:7" x14ac:dyDescent="0.35">
      <c r="A10" s="178">
        <v>45170</v>
      </c>
      <c r="B10" s="178" t="str">
        <f>IF(A10="","",IF(OR(A10&lt;MIN(parametros!$C$2:$C$6),A10&gt;MAX(parametros!$D$2:$D$6)),"Fora dos ciclos",LOWER(LOOKUP(A10,parametros!$C$2:$C$6,parametros!$B$2:$B$6))))</f>
        <v>c0</v>
      </c>
      <c r="C10" s="102">
        <v>42500</v>
      </c>
      <c r="D10" s="103">
        <f>IF(B10="","",IF(B10="c0",1,IF(B10="c1",IF(parametros!$A$3&lt;&gt;"Sim","",IF(NOT(ISNUMBER(parametros!$E$3)),"",1+parametros!$E$3)),IF(B10="c2",IF(parametros!$A$4&lt;&gt;"Sim","",IF(NOT(ISNUMBER(parametros!$E$4)),"",IF(parametros!$A$3="Sim",1+parametros!$E$3,1)*(1+parametros!$E$4))),IF(B10="c3",IF(parametros!$A$5&lt;&gt;"Sim","",IF(NOT(ISNUMBER(parametros!$E$5)),"",IF(parametros!$A$3="Sim",1+parametros!$E$3,1)*IF(parametros!$A$4="Sim",1+parametros!$E$4,1)*(1+parametros!$E$5))),IF(B10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0" s="104">
        <f t="shared" si="0"/>
        <v>42500</v>
      </c>
      <c r="F10" s="104">
        <f t="shared" si="1"/>
        <v>0</v>
      </c>
      <c r="G10" s="128" t="s">
        <v>25</v>
      </c>
    </row>
    <row r="11" spans="1:7" x14ac:dyDescent="0.35">
      <c r="A11" s="178">
        <v>45200</v>
      </c>
      <c r="B11" s="178" t="str">
        <f>IF(A11="","",IF(OR(A11&lt;MIN(parametros!$C$2:$C$6),A11&gt;MAX(parametros!$D$2:$D$6)),"Fora dos ciclos",LOWER(LOOKUP(A11,parametros!$C$2:$C$6,parametros!$B$2:$B$6))))</f>
        <v>c0</v>
      </c>
      <c r="C11" s="102">
        <v>42500</v>
      </c>
      <c r="D11" s="103">
        <f>IF(B11="","",IF(B11="c0",1,IF(B11="c1",IF(parametros!$A$3&lt;&gt;"Sim","",IF(NOT(ISNUMBER(parametros!$E$3)),"",1+parametros!$E$3)),IF(B11="c2",IF(parametros!$A$4&lt;&gt;"Sim","",IF(NOT(ISNUMBER(parametros!$E$4)),"",IF(parametros!$A$3="Sim",1+parametros!$E$3,1)*(1+parametros!$E$4))),IF(B11="c3",IF(parametros!$A$5&lt;&gt;"Sim","",IF(NOT(ISNUMBER(parametros!$E$5)),"",IF(parametros!$A$3="Sim",1+parametros!$E$3,1)*IF(parametros!$A$4="Sim",1+parametros!$E$4,1)*(1+parametros!$E$5))),IF(B11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1" s="104">
        <f t="shared" si="0"/>
        <v>42500</v>
      </c>
      <c r="F11" s="104">
        <f t="shared" si="1"/>
        <v>0</v>
      </c>
      <c r="G11" s="128" t="s">
        <v>25</v>
      </c>
    </row>
    <row r="12" spans="1:7" x14ac:dyDescent="0.35">
      <c r="A12" s="178">
        <v>45231</v>
      </c>
      <c r="B12" s="178" t="str">
        <f>IF(A12="","",IF(OR(A12&lt;MIN(parametros!$C$2:$C$6),A12&gt;MAX(parametros!$D$2:$D$6)),"Fora dos ciclos",LOWER(LOOKUP(A12,parametros!$C$2:$C$6,parametros!$B$2:$B$6))))</f>
        <v>c0</v>
      </c>
      <c r="C12" s="102">
        <v>42500</v>
      </c>
      <c r="D12" s="103">
        <f>IF(B12="","",IF(B12="c0",1,IF(B12="c1",IF(parametros!$A$3&lt;&gt;"Sim","",IF(NOT(ISNUMBER(parametros!$E$3)),"",1+parametros!$E$3)),IF(B12="c2",IF(parametros!$A$4&lt;&gt;"Sim","",IF(NOT(ISNUMBER(parametros!$E$4)),"",IF(parametros!$A$3="Sim",1+parametros!$E$3,1)*(1+parametros!$E$4))),IF(B12="c3",IF(parametros!$A$5&lt;&gt;"Sim","",IF(NOT(ISNUMBER(parametros!$E$5)),"",IF(parametros!$A$3="Sim",1+parametros!$E$3,1)*IF(parametros!$A$4="Sim",1+parametros!$E$4,1)*(1+parametros!$E$5))),IF(B12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2" s="104">
        <f t="shared" si="0"/>
        <v>42500</v>
      </c>
      <c r="F12" s="104">
        <f t="shared" si="1"/>
        <v>0</v>
      </c>
      <c r="G12" s="128" t="s">
        <v>25</v>
      </c>
    </row>
    <row r="13" spans="1:7" x14ac:dyDescent="0.35">
      <c r="A13" s="178">
        <v>45261</v>
      </c>
      <c r="B13" s="178" t="str">
        <f>IF(A13="","",IF(OR(A13&lt;MIN(parametros!$C$2:$C$6),A13&gt;MAX(parametros!$D$2:$D$6)),"Fora dos ciclos",LOWER(LOOKUP(A13,parametros!$C$2:$C$6,parametros!$B$2:$B$6))))</f>
        <v>c0</v>
      </c>
      <c r="C13" s="102">
        <v>42500</v>
      </c>
      <c r="D13" s="103">
        <f>IF(B13="","",IF(B13="c0",1,IF(B13="c1",IF(parametros!$A$3&lt;&gt;"Sim","",IF(NOT(ISNUMBER(parametros!$E$3)),"",1+parametros!$E$3)),IF(B13="c2",IF(parametros!$A$4&lt;&gt;"Sim","",IF(NOT(ISNUMBER(parametros!$E$4)),"",IF(parametros!$A$3="Sim",1+parametros!$E$3,1)*(1+parametros!$E$4))),IF(B13="c3",IF(parametros!$A$5&lt;&gt;"Sim","",IF(NOT(ISNUMBER(parametros!$E$5)),"",IF(parametros!$A$3="Sim",1+parametros!$E$3,1)*IF(parametros!$A$4="Sim",1+parametros!$E$4,1)*(1+parametros!$E$5))),IF(B13="c4",IF(parametros!$A$6&lt;&gt;"Sim","",IF(NOT(ISNUMBER(parametros!$E$6)),"",IF(parametros!$A$3="Sim",1+parametros!$E$3,1)*IF(parametros!$A$4="Sim",1+parametros!$E$4,1)*IF(parametros!$A$5="Sim",1+parametros!$E$5,1)*(1+parametros!$E$6))),""))))))</f>
        <v>1</v>
      </c>
      <c r="E13" s="104">
        <f t="shared" si="0"/>
        <v>42500</v>
      </c>
      <c r="F13" s="104">
        <f t="shared" si="1"/>
        <v>0</v>
      </c>
      <c r="G13" s="128" t="s">
        <v>25</v>
      </c>
    </row>
    <row r="14" spans="1:7" x14ac:dyDescent="0.35">
      <c r="A14" s="189">
        <v>45292</v>
      </c>
      <c r="B14" s="178" t="str">
        <f>IF(A14="","",IF(OR(A14&lt;MIN(parametros!$C$2:$C$6),A14&gt;MAX(parametros!$D$2:$D$6)),"Fora dos ciclos",LOWER(LOOKUP(A14,parametros!$C$2:$C$6,parametros!$B$2:$B$6))))</f>
        <v>c1</v>
      </c>
      <c r="C14" s="102">
        <v>42500</v>
      </c>
      <c r="D14" s="103">
        <f>IF(B14="","",IF(B14="c0",1,IF(B14="c1",IF(parametros!$A$3&lt;&gt;"Sim","",IF(NOT(ISNUMBER(parametros!$E$3)),"",1+parametros!$E$3)),IF(B14="c2",IF(parametros!$A$4&lt;&gt;"Sim","",IF(NOT(ISNUMBER(parametros!$E$4)),"",IF(parametros!$A$3="Sim",1+parametros!$E$3,1)*(1+parametros!$E$4))),IF(B14="c3",IF(parametros!$A$5&lt;&gt;"Sim","",IF(NOT(ISNUMBER(parametros!$E$5)),"",IF(parametros!$A$3="Sim",1+parametros!$E$3,1)*IF(parametros!$A$4="Sim",1+parametros!$E$4,1)*(1+parametros!$E$5))),IF(B14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4" s="104">
        <f t="shared" si="0"/>
        <v>44676</v>
      </c>
      <c r="F14" s="104">
        <f t="shared" si="1"/>
        <v>2176</v>
      </c>
      <c r="G14" s="190" t="s">
        <v>25</v>
      </c>
    </row>
    <row r="15" spans="1:7" x14ac:dyDescent="0.35">
      <c r="A15" s="189">
        <v>45323</v>
      </c>
      <c r="B15" s="178" t="str">
        <f>IF(A15="","",IF(OR(A15&lt;MIN(parametros!$C$2:$C$6),A15&gt;MAX(parametros!$D$2:$D$6)),"Fora dos ciclos",LOWER(LOOKUP(A15,parametros!$C$2:$C$6,parametros!$B$2:$B$6))))</f>
        <v>c1</v>
      </c>
      <c r="C15" s="102">
        <v>42500</v>
      </c>
      <c r="D15" s="103">
        <f>IF(B15="","",IF(B15="c0",1,IF(B15="c1",IF(parametros!$A$3&lt;&gt;"Sim","",IF(NOT(ISNUMBER(parametros!$E$3)),"",1+parametros!$E$3)),IF(B15="c2",IF(parametros!$A$4&lt;&gt;"Sim","",IF(NOT(ISNUMBER(parametros!$E$4)),"",IF(parametros!$A$3="Sim",1+parametros!$E$3,1)*(1+parametros!$E$4))),IF(B15="c3",IF(parametros!$A$5&lt;&gt;"Sim","",IF(NOT(ISNUMBER(parametros!$E$5)),"",IF(parametros!$A$3="Sim",1+parametros!$E$3,1)*IF(parametros!$A$4="Sim",1+parametros!$E$4,1)*(1+parametros!$E$5))),IF(B15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5" s="104">
        <f t="shared" si="0"/>
        <v>44676</v>
      </c>
      <c r="F15" s="104">
        <f t="shared" si="1"/>
        <v>2176</v>
      </c>
      <c r="G15" s="190" t="s">
        <v>25</v>
      </c>
    </row>
    <row r="16" spans="1:7" x14ac:dyDescent="0.35">
      <c r="A16" s="189">
        <v>45352</v>
      </c>
      <c r="B16" s="178" t="str">
        <f>IF(A16="","",IF(OR(A16&lt;MIN(parametros!$C$2:$C$6),A16&gt;MAX(parametros!$D$2:$D$6)),"Fora dos ciclos",LOWER(LOOKUP(A16,parametros!$C$2:$C$6,parametros!$B$2:$B$6))))</f>
        <v>c1</v>
      </c>
      <c r="C16" s="102">
        <v>42500</v>
      </c>
      <c r="D16" s="103">
        <f>IF(B16="","",IF(B16="c0",1,IF(B16="c1",IF(parametros!$A$3&lt;&gt;"Sim","",IF(NOT(ISNUMBER(parametros!$E$3)),"",1+parametros!$E$3)),IF(B16="c2",IF(parametros!$A$4&lt;&gt;"Sim","",IF(NOT(ISNUMBER(parametros!$E$4)),"",IF(parametros!$A$3="Sim",1+parametros!$E$3,1)*(1+parametros!$E$4))),IF(B16="c3",IF(parametros!$A$5&lt;&gt;"Sim","",IF(NOT(ISNUMBER(parametros!$E$5)),"",IF(parametros!$A$3="Sim",1+parametros!$E$3,1)*IF(parametros!$A$4="Sim",1+parametros!$E$4,1)*(1+parametros!$E$5))),IF(B16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6" s="104">
        <f t="shared" si="0"/>
        <v>44676</v>
      </c>
      <c r="F16" s="104">
        <f t="shared" si="1"/>
        <v>2176</v>
      </c>
      <c r="G16" s="190" t="s">
        <v>25</v>
      </c>
    </row>
    <row r="17" spans="1:7" x14ac:dyDescent="0.35">
      <c r="A17" s="189">
        <v>45383</v>
      </c>
      <c r="B17" s="178" t="str">
        <f>IF(A17="","",IF(OR(A17&lt;MIN(parametros!$C$2:$C$6),A17&gt;MAX(parametros!$D$2:$D$6)),"Fora dos ciclos",LOWER(LOOKUP(A17,parametros!$C$2:$C$6,parametros!$B$2:$B$6))))</f>
        <v>c1</v>
      </c>
      <c r="C17" s="102">
        <v>42500</v>
      </c>
      <c r="D17" s="103">
        <f>IF(B17="","",IF(B17="c0",1,IF(B17="c1",IF(parametros!$A$3&lt;&gt;"Sim","",IF(NOT(ISNUMBER(parametros!$E$3)),"",1+parametros!$E$3)),IF(B17="c2",IF(parametros!$A$4&lt;&gt;"Sim","",IF(NOT(ISNUMBER(parametros!$E$4)),"",IF(parametros!$A$3="Sim",1+parametros!$E$3,1)*(1+parametros!$E$4))),IF(B17="c3",IF(parametros!$A$5&lt;&gt;"Sim","",IF(NOT(ISNUMBER(parametros!$E$5)),"",IF(parametros!$A$3="Sim",1+parametros!$E$3,1)*IF(parametros!$A$4="Sim",1+parametros!$E$4,1)*(1+parametros!$E$5))),IF(B17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7" s="104">
        <f t="shared" si="0"/>
        <v>44676</v>
      </c>
      <c r="F17" s="104">
        <f t="shared" si="1"/>
        <v>2176</v>
      </c>
      <c r="G17" s="190" t="s">
        <v>25</v>
      </c>
    </row>
    <row r="18" spans="1:7" x14ac:dyDescent="0.35">
      <c r="A18" s="189">
        <v>45413</v>
      </c>
      <c r="B18" s="178" t="str">
        <f>IF(A18="","",IF(OR(A18&lt;MIN(parametros!$C$2:$C$6),A18&gt;MAX(parametros!$D$2:$D$6)),"Fora dos ciclos",LOWER(LOOKUP(A18,parametros!$C$2:$C$6,parametros!$B$2:$B$6))))</f>
        <v>c1</v>
      </c>
      <c r="C18" s="102">
        <v>42500</v>
      </c>
      <c r="D18" s="103">
        <f>IF(B18="","",IF(B18="c0",1,IF(B18="c1",IF(parametros!$A$3&lt;&gt;"Sim","",IF(NOT(ISNUMBER(parametros!$E$3)),"",1+parametros!$E$3)),IF(B18="c2",IF(parametros!$A$4&lt;&gt;"Sim","",IF(NOT(ISNUMBER(parametros!$E$4)),"",IF(parametros!$A$3="Sim",1+parametros!$E$3,1)*(1+parametros!$E$4))),IF(B18="c3",IF(parametros!$A$5&lt;&gt;"Sim","",IF(NOT(ISNUMBER(parametros!$E$5)),"",IF(parametros!$A$3="Sim",1+parametros!$E$3,1)*IF(parametros!$A$4="Sim",1+parametros!$E$4,1)*(1+parametros!$E$5))),IF(B18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8" s="104">
        <f t="shared" si="0"/>
        <v>44676</v>
      </c>
      <c r="F18" s="104">
        <f t="shared" si="1"/>
        <v>2176</v>
      </c>
      <c r="G18" s="190" t="s">
        <v>25</v>
      </c>
    </row>
    <row r="19" spans="1:7" x14ac:dyDescent="0.35">
      <c r="A19" s="189">
        <v>45444</v>
      </c>
      <c r="B19" s="178" t="str">
        <f>IF(A19="","",IF(OR(A19&lt;MIN(parametros!$C$2:$C$6),A19&gt;MAX(parametros!$D$2:$D$6)),"Fora dos ciclos",LOWER(LOOKUP(A19,parametros!$C$2:$C$6,parametros!$B$2:$B$6))))</f>
        <v>c1</v>
      </c>
      <c r="C19" s="102">
        <v>42500</v>
      </c>
      <c r="D19" s="103">
        <f>IF(B19="","",IF(B19="c0",1,IF(B19="c1",IF(parametros!$A$3&lt;&gt;"Sim","",IF(NOT(ISNUMBER(parametros!$E$3)),"",1+parametros!$E$3)),IF(B19="c2",IF(parametros!$A$4&lt;&gt;"Sim","",IF(NOT(ISNUMBER(parametros!$E$4)),"",IF(parametros!$A$3="Sim",1+parametros!$E$3,1)*(1+parametros!$E$4))),IF(B19="c3",IF(parametros!$A$5&lt;&gt;"Sim","",IF(NOT(ISNUMBER(parametros!$E$5)),"",IF(parametros!$A$3="Sim",1+parametros!$E$3,1)*IF(parametros!$A$4="Sim",1+parametros!$E$4,1)*(1+parametros!$E$5))),IF(B19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19" s="104">
        <f t="shared" si="0"/>
        <v>44676</v>
      </c>
      <c r="F19" s="104">
        <f t="shared" si="1"/>
        <v>2176</v>
      </c>
      <c r="G19" s="190" t="s">
        <v>25</v>
      </c>
    </row>
    <row r="20" spans="1:7" x14ac:dyDescent="0.35">
      <c r="A20" s="189">
        <v>45474</v>
      </c>
      <c r="B20" s="178" t="str">
        <f>IF(A20="","",IF(OR(A20&lt;MIN(parametros!$C$2:$C$6),A20&gt;MAX(parametros!$D$2:$D$6)),"Fora dos ciclos",LOWER(LOOKUP(A20,parametros!$C$2:$C$6,parametros!$B$2:$B$6))))</f>
        <v>c1</v>
      </c>
      <c r="C20" s="102">
        <v>42500</v>
      </c>
      <c r="D20" s="103">
        <f>IF(B20="","",IF(B20="c0",1,IF(B20="c1",IF(parametros!$A$3&lt;&gt;"Sim","",IF(NOT(ISNUMBER(parametros!$E$3)),"",1+parametros!$E$3)),IF(B20="c2",IF(parametros!$A$4&lt;&gt;"Sim","",IF(NOT(ISNUMBER(parametros!$E$4)),"",IF(parametros!$A$3="Sim",1+parametros!$E$3,1)*(1+parametros!$E$4))),IF(B20="c3",IF(parametros!$A$5&lt;&gt;"Sim","",IF(NOT(ISNUMBER(parametros!$E$5)),"",IF(parametros!$A$3="Sim",1+parametros!$E$3,1)*IF(parametros!$A$4="Sim",1+parametros!$E$4,1)*(1+parametros!$E$5))),IF(B20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0" s="104">
        <f t="shared" si="0"/>
        <v>44676</v>
      </c>
      <c r="F20" s="104">
        <f t="shared" si="1"/>
        <v>2176</v>
      </c>
      <c r="G20" s="190" t="s">
        <v>25</v>
      </c>
    </row>
    <row r="21" spans="1:7" x14ac:dyDescent="0.35">
      <c r="A21" s="189">
        <v>45505</v>
      </c>
      <c r="B21" s="178" t="str">
        <f>IF(A21="","",IF(OR(A21&lt;MIN(parametros!$C$2:$C$6),A21&gt;MAX(parametros!$D$2:$D$6)),"Fora dos ciclos",LOWER(LOOKUP(A21,parametros!$C$2:$C$6,parametros!$B$2:$B$6))))</f>
        <v>c1</v>
      </c>
      <c r="C21" s="102">
        <v>42500</v>
      </c>
      <c r="D21" s="103">
        <f>IF(B21="","",IF(B21="c0",1,IF(B21="c1",IF(parametros!$A$3&lt;&gt;"Sim","",IF(NOT(ISNUMBER(parametros!$E$3)),"",1+parametros!$E$3)),IF(B21="c2",IF(parametros!$A$4&lt;&gt;"Sim","",IF(NOT(ISNUMBER(parametros!$E$4)),"",IF(parametros!$A$3="Sim",1+parametros!$E$3,1)*(1+parametros!$E$4))),IF(B21="c3",IF(parametros!$A$5&lt;&gt;"Sim","",IF(NOT(ISNUMBER(parametros!$E$5)),"",IF(parametros!$A$3="Sim",1+parametros!$E$3,1)*IF(parametros!$A$4="Sim",1+parametros!$E$4,1)*(1+parametros!$E$5))),IF(B21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1" s="104">
        <f t="shared" si="0"/>
        <v>44676</v>
      </c>
      <c r="F21" s="104">
        <f t="shared" si="1"/>
        <v>2176</v>
      </c>
      <c r="G21" s="190" t="s">
        <v>25</v>
      </c>
    </row>
    <row r="22" spans="1:7" x14ac:dyDescent="0.35">
      <c r="A22" s="189">
        <v>45536</v>
      </c>
      <c r="B22" s="178" t="str">
        <f>IF(A22="","",IF(OR(A22&lt;MIN(parametros!$C$2:$C$6),A22&gt;MAX(parametros!$D$2:$D$6)),"Fora dos ciclos",LOWER(LOOKUP(A22,parametros!$C$2:$C$6,parametros!$B$2:$B$6))))</f>
        <v>c1</v>
      </c>
      <c r="C22" s="102">
        <v>42500</v>
      </c>
      <c r="D22" s="103">
        <f>IF(B22="","",IF(B22="c0",1,IF(B22="c1",IF(parametros!$A$3&lt;&gt;"Sim","",IF(NOT(ISNUMBER(parametros!$E$3)),"",1+parametros!$E$3)),IF(B22="c2",IF(parametros!$A$4&lt;&gt;"Sim","",IF(NOT(ISNUMBER(parametros!$E$4)),"",IF(parametros!$A$3="Sim",1+parametros!$E$3,1)*(1+parametros!$E$4))),IF(B22="c3",IF(parametros!$A$5&lt;&gt;"Sim","",IF(NOT(ISNUMBER(parametros!$E$5)),"",IF(parametros!$A$3="Sim",1+parametros!$E$3,1)*IF(parametros!$A$4="Sim",1+parametros!$E$4,1)*(1+parametros!$E$5))),IF(B22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2" s="104">
        <f t="shared" si="0"/>
        <v>44676</v>
      </c>
      <c r="F22" s="104">
        <f t="shared" si="1"/>
        <v>2176</v>
      </c>
      <c r="G22" s="190" t="s">
        <v>25</v>
      </c>
    </row>
    <row r="23" spans="1:7" x14ac:dyDescent="0.35">
      <c r="A23" s="189">
        <v>45566</v>
      </c>
      <c r="B23" s="178" t="str">
        <f>IF(A23="","",IF(OR(A23&lt;MIN(parametros!$C$2:$C$6),A23&gt;MAX(parametros!$D$2:$D$6)),"Fora dos ciclos",LOWER(LOOKUP(A23,parametros!$C$2:$C$6,parametros!$B$2:$B$6))))</f>
        <v>c1</v>
      </c>
      <c r="C23" s="102">
        <v>42500</v>
      </c>
      <c r="D23" s="103">
        <f>IF(B23="","",IF(B23="c0",1,IF(B23="c1",IF(parametros!$A$3&lt;&gt;"Sim","",IF(NOT(ISNUMBER(parametros!$E$3)),"",1+parametros!$E$3)),IF(B23="c2",IF(parametros!$A$4&lt;&gt;"Sim","",IF(NOT(ISNUMBER(parametros!$E$4)),"",IF(parametros!$A$3="Sim",1+parametros!$E$3,1)*(1+parametros!$E$4))),IF(B23="c3",IF(parametros!$A$5&lt;&gt;"Sim","",IF(NOT(ISNUMBER(parametros!$E$5)),"",IF(parametros!$A$3="Sim",1+parametros!$E$3,1)*IF(parametros!$A$4="Sim",1+parametros!$E$4,1)*(1+parametros!$E$5))),IF(B23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3" s="104">
        <f t="shared" si="0"/>
        <v>44676</v>
      </c>
      <c r="F23" s="104">
        <f t="shared" si="1"/>
        <v>2176</v>
      </c>
      <c r="G23" s="190" t="s">
        <v>25</v>
      </c>
    </row>
    <row r="24" spans="1:7" x14ac:dyDescent="0.35">
      <c r="A24" s="189">
        <v>45597</v>
      </c>
      <c r="B24" s="178" t="str">
        <f>IF(A24="","",IF(OR(A24&lt;MIN(parametros!$C$2:$C$6),A24&gt;MAX(parametros!$D$2:$D$6)),"Fora dos ciclos",LOWER(LOOKUP(A24,parametros!$C$2:$C$6,parametros!$B$2:$B$6))))</f>
        <v>c1</v>
      </c>
      <c r="C24" s="102">
        <v>42500</v>
      </c>
      <c r="D24" s="103">
        <f>IF(B24="","",IF(B24="c0",1,IF(B24="c1",IF(parametros!$A$3&lt;&gt;"Sim","",IF(NOT(ISNUMBER(parametros!$E$3)),"",1+parametros!$E$3)),IF(B24="c2",IF(parametros!$A$4&lt;&gt;"Sim","",IF(NOT(ISNUMBER(parametros!$E$4)),"",IF(parametros!$A$3="Sim",1+parametros!$E$3,1)*(1+parametros!$E$4))),IF(B24="c3",IF(parametros!$A$5&lt;&gt;"Sim","",IF(NOT(ISNUMBER(parametros!$E$5)),"",IF(parametros!$A$3="Sim",1+parametros!$E$3,1)*IF(parametros!$A$4="Sim",1+parametros!$E$4,1)*(1+parametros!$E$5))),IF(B24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4" s="104">
        <f t="shared" si="0"/>
        <v>44676</v>
      </c>
      <c r="F24" s="104">
        <f t="shared" si="1"/>
        <v>2176</v>
      </c>
      <c r="G24" s="190" t="s">
        <v>25</v>
      </c>
    </row>
    <row r="25" spans="1:7" x14ac:dyDescent="0.35">
      <c r="A25" s="189">
        <v>45627</v>
      </c>
      <c r="B25" s="178" t="str">
        <f>IF(A25="","",IF(OR(A25&lt;MIN(parametros!$C$2:$C$6),A25&gt;MAX(parametros!$D$2:$D$6)),"Fora dos ciclos",LOWER(LOOKUP(A25,parametros!$C$2:$C$6,parametros!$B$2:$B$6))))</f>
        <v>c1</v>
      </c>
      <c r="C25" s="102">
        <v>42500</v>
      </c>
      <c r="D25" s="103">
        <f>IF(B25="","",IF(B25="c0",1,IF(B25="c1",IF(parametros!$A$3&lt;&gt;"Sim","",IF(NOT(ISNUMBER(parametros!$E$3)),"",1+parametros!$E$3)),IF(B25="c2",IF(parametros!$A$4&lt;&gt;"Sim","",IF(NOT(ISNUMBER(parametros!$E$4)),"",IF(parametros!$A$3="Sim",1+parametros!$E$3,1)*(1+parametros!$E$4))),IF(B25="c3",IF(parametros!$A$5&lt;&gt;"Sim","",IF(NOT(ISNUMBER(parametros!$E$5)),"",IF(parametros!$A$3="Sim",1+parametros!$E$3,1)*IF(parametros!$A$4="Sim",1+parametros!$E$4,1)*(1+parametros!$E$5))),IF(B25="c4",IF(parametros!$A$6&lt;&gt;"Sim","",IF(NOT(ISNUMBER(parametros!$E$6)),"",IF(parametros!$A$3="Sim",1+parametros!$E$3,1)*IF(parametros!$A$4="Sim",1+parametros!$E$4,1)*IF(parametros!$A$5="Sim",1+parametros!$E$5,1)*(1+parametros!$E$6))),""))))))</f>
        <v>1.0511999999999999</v>
      </c>
      <c r="E25" s="104">
        <f t="shared" si="0"/>
        <v>44676</v>
      </c>
      <c r="F25" s="104">
        <f t="shared" si="1"/>
        <v>2176</v>
      </c>
      <c r="G25" s="190" t="s">
        <v>25</v>
      </c>
    </row>
    <row r="26" spans="1:7" x14ac:dyDescent="0.35">
      <c r="A26" s="189"/>
      <c r="B26" s="178" t="str">
        <f>IF(A26="","",IF(OR(A26&lt;MIN(parametros!$C$2:$C$6),A26&gt;MAX(parametros!$D$2:$D$6)),"Fora dos ciclos",LOWER(LOOKUP(A26,parametros!$C$2:$C$6,parametros!$B$2:$B$6))))</f>
        <v/>
      </c>
      <c r="C26" s="102"/>
      <c r="D26" s="103" t="str">
        <f>IF(B26="","",IF(B26="c0",1,IF(B26="c1",IF(parametros!$A$3&lt;&gt;"Sim","",IF(NOT(ISNUMBER(parametros!$E$3)),"",1+parametros!$E$3)),IF(B26="c2",IF(parametros!$A$4&lt;&gt;"Sim","",IF(NOT(ISNUMBER(parametros!$E$4)),"",IF(parametros!$A$3="Sim",1+parametros!$E$3,1)*(1+parametros!$E$4))),IF(B26="c3",IF(parametros!$A$5&lt;&gt;"Sim","",IF(NOT(ISNUMBER(parametros!$E$5)),"",IF(parametros!$A$3="Sim",1+parametros!$E$3,1)*IF(parametros!$A$4="Sim",1+parametros!$E$4,1)*(1+parametros!$E$5))),IF(B26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6" s="104" t="str">
        <f t="shared" si="0"/>
        <v/>
      </c>
      <c r="F26" s="104" t="str">
        <f t="shared" si="1"/>
        <v/>
      </c>
      <c r="G26" s="190"/>
    </row>
    <row r="27" spans="1:7" x14ac:dyDescent="0.35">
      <c r="A27" s="189"/>
      <c r="B27" s="178" t="str">
        <f>IF(A27="","",IF(OR(A27&lt;MIN(parametros!$C$2:$C$6),A27&gt;MAX(parametros!$D$2:$D$6)),"Fora dos ciclos",LOWER(LOOKUP(A27,parametros!$C$2:$C$6,parametros!$B$2:$B$6))))</f>
        <v/>
      </c>
      <c r="C27" s="102"/>
      <c r="D27" s="103" t="str">
        <f>IF(B27="","",IF(B27="c0",1,IF(B27="c1",IF(parametros!$A$3&lt;&gt;"Sim","",IF(NOT(ISNUMBER(parametros!$E$3)),"",1+parametros!$E$3)),IF(B27="c2",IF(parametros!$A$4&lt;&gt;"Sim","",IF(NOT(ISNUMBER(parametros!$E$4)),"",IF(parametros!$A$3="Sim",1+parametros!$E$3,1)*(1+parametros!$E$4))),IF(B27="c3",IF(parametros!$A$5&lt;&gt;"Sim","",IF(NOT(ISNUMBER(parametros!$E$5)),"",IF(parametros!$A$3="Sim",1+parametros!$E$3,1)*IF(parametros!$A$4="Sim",1+parametros!$E$4,1)*(1+parametros!$E$5))),IF(B27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7" s="104" t="str">
        <f t="shared" si="0"/>
        <v/>
      </c>
      <c r="F27" s="104" t="str">
        <f t="shared" si="1"/>
        <v/>
      </c>
      <c r="G27" s="190"/>
    </row>
    <row r="28" spans="1:7" x14ac:dyDescent="0.35">
      <c r="A28" s="189"/>
      <c r="B28" s="178" t="str">
        <f>IF(A28="","",IF(OR(A28&lt;MIN(parametros!$C$2:$C$6),A28&gt;MAX(parametros!$D$2:$D$6)),"Fora dos ciclos",LOWER(LOOKUP(A28,parametros!$C$2:$C$6,parametros!$B$2:$B$6))))</f>
        <v/>
      </c>
      <c r="C28" s="102"/>
      <c r="D28" s="103" t="str">
        <f>IF(B28="","",IF(B28="c0",1,IF(B28="c1",IF(parametros!$A$3&lt;&gt;"Sim","",IF(NOT(ISNUMBER(parametros!$E$3)),"",1+parametros!$E$3)),IF(B28="c2",IF(parametros!$A$4&lt;&gt;"Sim","",IF(NOT(ISNUMBER(parametros!$E$4)),"",IF(parametros!$A$3="Sim",1+parametros!$E$3,1)*(1+parametros!$E$4))),IF(B28="c3",IF(parametros!$A$5&lt;&gt;"Sim","",IF(NOT(ISNUMBER(parametros!$E$5)),"",IF(parametros!$A$3="Sim",1+parametros!$E$3,1)*IF(parametros!$A$4="Sim",1+parametros!$E$4,1)*(1+parametros!$E$5))),IF(B28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8" s="104" t="str">
        <f t="shared" si="0"/>
        <v/>
      </c>
      <c r="F28" s="104" t="str">
        <f t="shared" si="1"/>
        <v/>
      </c>
      <c r="G28" s="190"/>
    </row>
    <row r="29" spans="1:7" x14ac:dyDescent="0.35">
      <c r="A29" s="189"/>
      <c r="B29" s="178" t="str">
        <f>IF(A29="","",IF(OR(A29&lt;MIN(parametros!$C$2:$C$6),A29&gt;MAX(parametros!$D$2:$D$6)),"Fora dos ciclos",LOWER(LOOKUP(A29,parametros!$C$2:$C$6,parametros!$B$2:$B$6))))</f>
        <v/>
      </c>
      <c r="C29" s="102"/>
      <c r="D29" s="103" t="str">
        <f>IF(B29="","",IF(B29="c0",1,IF(B29="c1",IF(parametros!$A$3&lt;&gt;"Sim","",IF(NOT(ISNUMBER(parametros!$E$3)),"",1+parametros!$E$3)),IF(B29="c2",IF(parametros!$A$4&lt;&gt;"Sim","",IF(NOT(ISNUMBER(parametros!$E$4)),"",IF(parametros!$A$3="Sim",1+parametros!$E$3,1)*(1+parametros!$E$4))),IF(B29="c3",IF(parametros!$A$5&lt;&gt;"Sim","",IF(NOT(ISNUMBER(parametros!$E$5)),"",IF(parametros!$A$3="Sim",1+parametros!$E$3,1)*IF(parametros!$A$4="Sim",1+parametros!$E$4,1)*(1+parametros!$E$5))),IF(B29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29" s="104" t="str">
        <f t="shared" si="0"/>
        <v/>
      </c>
      <c r="F29" s="104" t="str">
        <f t="shared" si="1"/>
        <v/>
      </c>
      <c r="G29" s="190"/>
    </row>
    <row r="30" spans="1:7" x14ac:dyDescent="0.35">
      <c r="A30" s="189"/>
      <c r="B30" s="178" t="str">
        <f>IF(A30="","",IF(OR(A30&lt;MIN(parametros!$C$2:$C$6),A30&gt;MAX(parametros!$D$2:$D$6)),"Fora dos ciclos",LOWER(LOOKUP(A30,parametros!$C$2:$C$6,parametros!$B$2:$B$6))))</f>
        <v/>
      </c>
      <c r="C30" s="102"/>
      <c r="D30" s="103" t="str">
        <f>IF(B30="","",IF(B30="c0",1,IF(B30="c1",IF(parametros!$A$3&lt;&gt;"Sim","",IF(NOT(ISNUMBER(parametros!$E$3)),"",1+parametros!$E$3)),IF(B30="c2",IF(parametros!$A$4&lt;&gt;"Sim","",IF(NOT(ISNUMBER(parametros!$E$4)),"",IF(parametros!$A$3="Sim",1+parametros!$E$3,1)*(1+parametros!$E$4))),IF(B30="c3",IF(parametros!$A$5&lt;&gt;"Sim","",IF(NOT(ISNUMBER(parametros!$E$5)),"",IF(parametros!$A$3="Sim",1+parametros!$E$3,1)*IF(parametros!$A$4="Sim",1+parametros!$E$4,1)*(1+parametros!$E$5))),IF(B30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0" s="104" t="str">
        <f t="shared" si="0"/>
        <v/>
      </c>
      <c r="F30" s="104" t="str">
        <f t="shared" si="1"/>
        <v/>
      </c>
      <c r="G30" s="190"/>
    </row>
    <row r="31" spans="1:7" x14ac:dyDescent="0.35">
      <c r="A31" s="189"/>
      <c r="B31" s="178" t="str">
        <f>IF(A31="","",IF(OR(A31&lt;MIN(parametros!$C$2:$C$6),A31&gt;MAX(parametros!$D$2:$D$6)),"Fora dos ciclos",LOWER(LOOKUP(A31,parametros!$C$2:$C$6,parametros!$B$2:$B$6))))</f>
        <v/>
      </c>
      <c r="C31" s="102"/>
      <c r="D31" s="103" t="str">
        <f>IF(B31="","",IF(B31="c0",1,IF(B31="c1",IF(parametros!$A$3&lt;&gt;"Sim","",IF(NOT(ISNUMBER(parametros!$E$3)),"",1+parametros!$E$3)),IF(B31="c2",IF(parametros!$A$4&lt;&gt;"Sim","",IF(NOT(ISNUMBER(parametros!$E$4)),"",IF(parametros!$A$3="Sim",1+parametros!$E$3,1)*(1+parametros!$E$4))),IF(B31="c3",IF(parametros!$A$5&lt;&gt;"Sim","",IF(NOT(ISNUMBER(parametros!$E$5)),"",IF(parametros!$A$3="Sim",1+parametros!$E$3,1)*IF(parametros!$A$4="Sim",1+parametros!$E$4,1)*(1+parametros!$E$5))),IF(B31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1" s="104" t="str">
        <f t="shared" si="0"/>
        <v/>
      </c>
      <c r="F31" s="104" t="str">
        <f t="shared" si="1"/>
        <v/>
      </c>
      <c r="G31" s="190"/>
    </row>
    <row r="32" spans="1:7" x14ac:dyDescent="0.35">
      <c r="A32" s="189"/>
      <c r="B32" s="178" t="str">
        <f>IF(A32="","",IF(OR(A32&lt;MIN(parametros!$C$2:$C$6),A32&gt;MAX(parametros!$D$2:$D$6)),"Fora dos ciclos",LOWER(LOOKUP(A32,parametros!$C$2:$C$6,parametros!$B$2:$B$6))))</f>
        <v/>
      </c>
      <c r="C32" s="102"/>
      <c r="D32" s="103" t="str">
        <f>IF(B32="","",IF(B32="c0",1,IF(B32="c1",IF(parametros!$A$3&lt;&gt;"Sim","",IF(NOT(ISNUMBER(parametros!$E$3)),"",1+parametros!$E$3)),IF(B32="c2",IF(parametros!$A$4&lt;&gt;"Sim","",IF(NOT(ISNUMBER(parametros!$E$4)),"",IF(parametros!$A$3="Sim",1+parametros!$E$3,1)*(1+parametros!$E$4))),IF(B32="c3",IF(parametros!$A$5&lt;&gt;"Sim","",IF(NOT(ISNUMBER(parametros!$E$5)),"",IF(parametros!$A$3="Sim",1+parametros!$E$3,1)*IF(parametros!$A$4="Sim",1+parametros!$E$4,1)*(1+parametros!$E$5))),IF(B32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2" s="104" t="str">
        <f t="shared" si="0"/>
        <v/>
      </c>
      <c r="F32" s="104" t="str">
        <f t="shared" si="1"/>
        <v/>
      </c>
      <c r="G32" s="190"/>
    </row>
    <row r="33" spans="1:7" x14ac:dyDescent="0.35">
      <c r="A33" s="189"/>
      <c r="B33" s="178" t="str">
        <f>IF(A33="","",IF(OR(A33&lt;MIN(parametros!$C$2:$C$6),A33&gt;MAX(parametros!$D$2:$D$6)),"Fora dos ciclos",LOWER(LOOKUP(A33,parametros!$C$2:$C$6,parametros!$B$2:$B$6))))</f>
        <v/>
      </c>
      <c r="C33" s="102"/>
      <c r="D33" s="103" t="str">
        <f>IF(B33="","",IF(B33="c0",1,IF(B33="c1",IF(parametros!$A$3&lt;&gt;"Sim","",IF(NOT(ISNUMBER(parametros!$E$3)),"",1+parametros!$E$3)),IF(B33="c2",IF(parametros!$A$4&lt;&gt;"Sim","",IF(NOT(ISNUMBER(parametros!$E$4)),"",IF(parametros!$A$3="Sim",1+parametros!$E$3,1)*(1+parametros!$E$4))),IF(B33="c3",IF(parametros!$A$5&lt;&gt;"Sim","",IF(NOT(ISNUMBER(parametros!$E$5)),"",IF(parametros!$A$3="Sim",1+parametros!$E$3,1)*IF(parametros!$A$4="Sim",1+parametros!$E$4,1)*(1+parametros!$E$5))),IF(B33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3" s="104" t="str">
        <f t="shared" si="0"/>
        <v/>
      </c>
      <c r="F33" s="104" t="str">
        <f t="shared" si="1"/>
        <v/>
      </c>
      <c r="G33" s="190"/>
    </row>
    <row r="34" spans="1:7" x14ac:dyDescent="0.35">
      <c r="A34" s="189"/>
      <c r="B34" s="178" t="str">
        <f>IF(A34="","",IF(OR(A34&lt;MIN(parametros!$C$2:$C$6),A34&gt;MAX(parametros!$D$2:$D$6)),"Fora dos ciclos",LOWER(LOOKUP(A34,parametros!$C$2:$C$6,parametros!$B$2:$B$6))))</f>
        <v/>
      </c>
      <c r="C34" s="102"/>
      <c r="D34" s="103" t="str">
        <f>IF(B34="","",IF(B34="c0",1,IF(B34="c1",IF(parametros!$A$3&lt;&gt;"Sim","",IF(NOT(ISNUMBER(parametros!$E$3)),"",1+parametros!$E$3)),IF(B34="c2",IF(parametros!$A$4&lt;&gt;"Sim","",IF(NOT(ISNUMBER(parametros!$E$4)),"",IF(parametros!$A$3="Sim",1+parametros!$E$3,1)*(1+parametros!$E$4))),IF(B34="c3",IF(parametros!$A$5&lt;&gt;"Sim","",IF(NOT(ISNUMBER(parametros!$E$5)),"",IF(parametros!$A$3="Sim",1+parametros!$E$3,1)*IF(parametros!$A$4="Sim",1+parametros!$E$4,1)*(1+parametros!$E$5))),IF(B34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4" s="104" t="str">
        <f t="shared" ref="E34:E65" si="2">IF(OR(C34="",NOT(ISNUMBER(D34))),"",ROUND(C34*D34,2))</f>
        <v/>
      </c>
      <c r="F34" s="104" t="str">
        <f t="shared" ref="F34:F65" si="3">IF(OR(C34="",E34=""),"",IF(G34&lt;&gt;"Sim",0,ROUND(E34-C34,2)))</f>
        <v/>
      </c>
      <c r="G34" s="190"/>
    </row>
    <row r="35" spans="1:7" x14ac:dyDescent="0.35">
      <c r="A35" s="189"/>
      <c r="B35" s="178" t="str">
        <f>IF(A35="","",IF(OR(A35&lt;MIN(parametros!$C$2:$C$6),A35&gt;MAX(parametros!$D$2:$D$6)),"Fora dos ciclos",LOWER(LOOKUP(A35,parametros!$C$2:$C$6,parametros!$B$2:$B$6))))</f>
        <v/>
      </c>
      <c r="C35" s="102"/>
      <c r="D35" s="103" t="str">
        <f>IF(B35="","",IF(B35="c0",1,IF(B35="c1",IF(parametros!$A$3&lt;&gt;"Sim","",IF(NOT(ISNUMBER(parametros!$E$3)),"",1+parametros!$E$3)),IF(B35="c2",IF(parametros!$A$4&lt;&gt;"Sim","",IF(NOT(ISNUMBER(parametros!$E$4)),"",IF(parametros!$A$3="Sim",1+parametros!$E$3,1)*(1+parametros!$E$4))),IF(B35="c3",IF(parametros!$A$5&lt;&gt;"Sim","",IF(NOT(ISNUMBER(parametros!$E$5)),"",IF(parametros!$A$3="Sim",1+parametros!$E$3,1)*IF(parametros!$A$4="Sim",1+parametros!$E$4,1)*(1+parametros!$E$5))),IF(B35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5" s="104" t="str">
        <f t="shared" si="2"/>
        <v/>
      </c>
      <c r="F35" s="104" t="str">
        <f t="shared" si="3"/>
        <v/>
      </c>
      <c r="G35" s="190"/>
    </row>
    <row r="36" spans="1:7" x14ac:dyDescent="0.35">
      <c r="A36" s="189"/>
      <c r="B36" s="178" t="str">
        <f>IF(A36="","",IF(OR(A36&lt;MIN(parametros!$C$2:$C$6),A36&gt;MAX(parametros!$D$2:$D$6)),"Fora dos ciclos",LOWER(LOOKUP(A36,parametros!$C$2:$C$6,parametros!$B$2:$B$6))))</f>
        <v/>
      </c>
      <c r="C36" s="102"/>
      <c r="D36" s="103" t="str">
        <f>IF(B36="","",IF(B36="c0",1,IF(B36="c1",IF(parametros!$A$3&lt;&gt;"Sim","",IF(NOT(ISNUMBER(parametros!$E$3)),"",1+parametros!$E$3)),IF(B36="c2",IF(parametros!$A$4&lt;&gt;"Sim","",IF(NOT(ISNUMBER(parametros!$E$4)),"",IF(parametros!$A$3="Sim",1+parametros!$E$3,1)*(1+parametros!$E$4))),IF(B36="c3",IF(parametros!$A$5&lt;&gt;"Sim","",IF(NOT(ISNUMBER(parametros!$E$5)),"",IF(parametros!$A$3="Sim",1+parametros!$E$3,1)*IF(parametros!$A$4="Sim",1+parametros!$E$4,1)*(1+parametros!$E$5))),IF(B36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6" s="104" t="str">
        <f t="shared" si="2"/>
        <v/>
      </c>
      <c r="F36" s="104" t="str">
        <f t="shared" si="3"/>
        <v/>
      </c>
      <c r="G36" s="190"/>
    </row>
    <row r="37" spans="1:7" x14ac:dyDescent="0.35">
      <c r="A37" s="189"/>
      <c r="B37" s="178" t="str">
        <f>IF(A37="","",IF(OR(A37&lt;MIN(parametros!$C$2:$C$6),A37&gt;MAX(parametros!$D$2:$D$6)),"Fora dos ciclos",LOWER(LOOKUP(A37,parametros!$C$2:$C$6,parametros!$B$2:$B$6))))</f>
        <v/>
      </c>
      <c r="C37" s="102"/>
      <c r="D37" s="103" t="str">
        <f>IF(B37="","",IF(B37="c0",1,IF(B37="c1",IF(parametros!$A$3&lt;&gt;"Sim","",IF(NOT(ISNUMBER(parametros!$E$3)),"",1+parametros!$E$3)),IF(B37="c2",IF(parametros!$A$4&lt;&gt;"Sim","",IF(NOT(ISNUMBER(parametros!$E$4)),"",IF(parametros!$A$3="Sim",1+parametros!$E$3,1)*(1+parametros!$E$4))),IF(B37="c3",IF(parametros!$A$5&lt;&gt;"Sim","",IF(NOT(ISNUMBER(parametros!$E$5)),"",IF(parametros!$A$3="Sim",1+parametros!$E$3,1)*IF(parametros!$A$4="Sim",1+parametros!$E$4,1)*(1+parametros!$E$5))),IF(B37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7" s="104" t="str">
        <f t="shared" si="2"/>
        <v/>
      </c>
      <c r="F37" s="104" t="str">
        <f t="shared" si="3"/>
        <v/>
      </c>
      <c r="G37" s="190"/>
    </row>
    <row r="38" spans="1:7" x14ac:dyDescent="0.35">
      <c r="A38" s="101"/>
      <c r="B38" s="178" t="str">
        <f>IF(A38="","",IF(OR(A38&lt;MIN(parametros!$C$2:$C$6),A38&gt;MAX(parametros!$D$2:$D$6)),"Fora dos ciclos",LOWER(LOOKUP(A38,parametros!$C$2:$C$6,parametros!$B$2:$B$6))))</f>
        <v/>
      </c>
      <c r="C38" s="102"/>
      <c r="D38" s="103" t="str">
        <f>IF(B38="","",IF(B38="c0",1,IF(B38="c1",IF(parametros!$A$3&lt;&gt;"Sim","",IF(NOT(ISNUMBER(parametros!$E$3)),"",1+parametros!$E$3)),IF(B38="c2",IF(parametros!$A$4&lt;&gt;"Sim","",IF(NOT(ISNUMBER(parametros!$E$4)),"",IF(parametros!$A$3="Sim",1+parametros!$E$3,1)*(1+parametros!$E$4))),IF(B38="c3",IF(parametros!$A$5&lt;&gt;"Sim","",IF(NOT(ISNUMBER(parametros!$E$5)),"",IF(parametros!$A$3="Sim",1+parametros!$E$3,1)*IF(parametros!$A$4="Sim",1+parametros!$E$4,1)*(1+parametros!$E$5))),IF(B38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8" s="104" t="str">
        <f t="shared" si="2"/>
        <v/>
      </c>
      <c r="F38" s="104" t="str">
        <f t="shared" si="3"/>
        <v/>
      </c>
      <c r="G38" s="105"/>
    </row>
    <row r="39" spans="1:7" x14ac:dyDescent="0.35">
      <c r="A39" s="101"/>
      <c r="B39" s="178" t="str">
        <f>IF(A39="","",IF(OR(A39&lt;MIN(parametros!$C$2:$C$6),A39&gt;MAX(parametros!$D$2:$D$6)),"Fora dos ciclos",LOWER(LOOKUP(A39,parametros!$C$2:$C$6,parametros!$B$2:$B$6))))</f>
        <v/>
      </c>
      <c r="C39" s="102"/>
      <c r="D39" s="103" t="str">
        <f>IF(B39="","",IF(B39="c0",1,IF(B39="c1",IF(parametros!$A$3&lt;&gt;"Sim","",IF(NOT(ISNUMBER(parametros!$E$3)),"",1+parametros!$E$3)),IF(B39="c2",IF(parametros!$A$4&lt;&gt;"Sim","",IF(NOT(ISNUMBER(parametros!$E$4)),"",IF(parametros!$A$3="Sim",1+parametros!$E$3,1)*(1+parametros!$E$4))),IF(B39="c3",IF(parametros!$A$5&lt;&gt;"Sim","",IF(NOT(ISNUMBER(parametros!$E$5)),"",IF(parametros!$A$3="Sim",1+parametros!$E$3,1)*IF(parametros!$A$4="Sim",1+parametros!$E$4,1)*(1+parametros!$E$5))),IF(B39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39" s="104" t="str">
        <f t="shared" si="2"/>
        <v/>
      </c>
      <c r="F39" s="104" t="str">
        <f t="shared" si="3"/>
        <v/>
      </c>
      <c r="G39" s="105"/>
    </row>
    <row r="40" spans="1:7" x14ac:dyDescent="0.35">
      <c r="A40" s="101"/>
      <c r="B40" s="178" t="str">
        <f>IF(A40="","",IF(OR(A40&lt;MIN(parametros!$C$2:$C$6),A40&gt;MAX(parametros!$D$2:$D$6)),"Fora dos ciclos",LOWER(LOOKUP(A40,parametros!$C$2:$C$6,parametros!$B$2:$B$6))))</f>
        <v/>
      </c>
      <c r="C40" s="102"/>
      <c r="D40" s="103" t="str">
        <f>IF(B40="","",IF(B40="c0",1,IF(B40="c1",IF(parametros!$A$3&lt;&gt;"Sim","",IF(NOT(ISNUMBER(parametros!$E$3)),"",1+parametros!$E$3)),IF(B40="c2",IF(parametros!$A$4&lt;&gt;"Sim","",IF(NOT(ISNUMBER(parametros!$E$4)),"",IF(parametros!$A$3="Sim",1+parametros!$E$3,1)*(1+parametros!$E$4))),IF(B40="c3",IF(parametros!$A$5&lt;&gt;"Sim","",IF(NOT(ISNUMBER(parametros!$E$5)),"",IF(parametros!$A$3="Sim",1+parametros!$E$3,1)*IF(parametros!$A$4="Sim",1+parametros!$E$4,1)*(1+parametros!$E$5))),IF(B40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0" s="104" t="str">
        <f t="shared" si="2"/>
        <v/>
      </c>
      <c r="F40" s="104" t="str">
        <f t="shared" si="3"/>
        <v/>
      </c>
      <c r="G40" s="105"/>
    </row>
    <row r="41" spans="1:7" x14ac:dyDescent="0.35">
      <c r="A41" s="101"/>
      <c r="B41" s="178" t="str">
        <f>IF(A41="","",IF(OR(A41&lt;MIN(parametros!$C$2:$C$6),A41&gt;MAX(parametros!$D$2:$D$6)),"Fora dos ciclos",LOWER(LOOKUP(A41,parametros!$C$2:$C$6,parametros!$B$2:$B$6))))</f>
        <v/>
      </c>
      <c r="C41" s="102"/>
      <c r="D41" s="103" t="str">
        <f>IF(B41="","",IF(B41="c0",1,IF(B41="c1",IF(parametros!$A$3&lt;&gt;"Sim","",IF(NOT(ISNUMBER(parametros!$E$3)),"",1+parametros!$E$3)),IF(B41="c2",IF(parametros!$A$4&lt;&gt;"Sim","",IF(NOT(ISNUMBER(parametros!$E$4)),"",IF(parametros!$A$3="Sim",1+parametros!$E$3,1)*(1+parametros!$E$4))),IF(B41="c3",IF(parametros!$A$5&lt;&gt;"Sim","",IF(NOT(ISNUMBER(parametros!$E$5)),"",IF(parametros!$A$3="Sim",1+parametros!$E$3,1)*IF(parametros!$A$4="Sim",1+parametros!$E$4,1)*(1+parametros!$E$5))),IF(B41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1" s="104" t="str">
        <f t="shared" si="2"/>
        <v/>
      </c>
      <c r="F41" s="104" t="str">
        <f t="shared" si="3"/>
        <v/>
      </c>
      <c r="G41" s="105"/>
    </row>
    <row r="42" spans="1:7" x14ac:dyDescent="0.35">
      <c r="A42" s="101"/>
      <c r="B42" s="178" t="str">
        <f>IF(A42="","",IF(OR(A42&lt;MIN(parametros!$C$2:$C$6),A42&gt;MAX(parametros!$D$2:$D$6)),"Fora dos ciclos",LOWER(LOOKUP(A42,parametros!$C$2:$C$6,parametros!$B$2:$B$6))))</f>
        <v/>
      </c>
      <c r="C42" s="102"/>
      <c r="D42" s="103" t="str">
        <f>IF(B42="","",IF(B42="c0",1,IF(B42="c1",IF(parametros!$A$3&lt;&gt;"Sim","",IF(NOT(ISNUMBER(parametros!$E$3)),"",1+parametros!$E$3)),IF(B42="c2",IF(parametros!$A$4&lt;&gt;"Sim","",IF(NOT(ISNUMBER(parametros!$E$4)),"",IF(parametros!$A$3="Sim",1+parametros!$E$3,1)*(1+parametros!$E$4))),IF(B42="c3",IF(parametros!$A$5&lt;&gt;"Sim","",IF(NOT(ISNUMBER(parametros!$E$5)),"",IF(parametros!$A$3="Sim",1+parametros!$E$3,1)*IF(parametros!$A$4="Sim",1+parametros!$E$4,1)*(1+parametros!$E$5))),IF(B42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2" s="104" t="str">
        <f t="shared" si="2"/>
        <v/>
      </c>
      <c r="F42" s="104" t="str">
        <f t="shared" si="3"/>
        <v/>
      </c>
      <c r="G42" s="105"/>
    </row>
    <row r="43" spans="1:7" x14ac:dyDescent="0.35">
      <c r="A43" s="101"/>
      <c r="B43" s="178" t="str">
        <f>IF(A43="","",IF(OR(A43&lt;MIN(parametros!$C$2:$C$6),A43&gt;MAX(parametros!$D$2:$D$6)),"Fora dos ciclos",LOWER(LOOKUP(A43,parametros!$C$2:$C$6,parametros!$B$2:$B$6))))</f>
        <v/>
      </c>
      <c r="C43" s="102"/>
      <c r="D43" s="103" t="str">
        <f>IF(B43="","",IF(B43="c0",1,IF(B43="c1",IF(parametros!$A$3&lt;&gt;"Sim","",IF(NOT(ISNUMBER(parametros!$E$3)),"",1+parametros!$E$3)),IF(B43="c2",IF(parametros!$A$4&lt;&gt;"Sim","",IF(NOT(ISNUMBER(parametros!$E$4)),"",IF(parametros!$A$3="Sim",1+parametros!$E$3,1)*(1+parametros!$E$4))),IF(B43="c3",IF(parametros!$A$5&lt;&gt;"Sim","",IF(NOT(ISNUMBER(parametros!$E$5)),"",IF(parametros!$A$3="Sim",1+parametros!$E$3,1)*IF(parametros!$A$4="Sim",1+parametros!$E$4,1)*(1+parametros!$E$5))),IF(B43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3" s="104" t="str">
        <f t="shared" si="2"/>
        <v/>
      </c>
      <c r="F43" s="104" t="str">
        <f t="shared" si="3"/>
        <v/>
      </c>
      <c r="G43" s="105"/>
    </row>
    <row r="44" spans="1:7" x14ac:dyDescent="0.35">
      <c r="A44" s="101"/>
      <c r="B44" s="178" t="str">
        <f>IF(A44="","",IF(OR(A44&lt;MIN(parametros!$C$2:$C$6),A44&gt;MAX(parametros!$D$2:$D$6)),"Fora dos ciclos",LOWER(LOOKUP(A44,parametros!$C$2:$C$6,parametros!$B$2:$B$6))))</f>
        <v/>
      </c>
      <c r="C44" s="102"/>
      <c r="D44" s="103" t="str">
        <f>IF(B44="","",IF(B44="c0",1,IF(B44="c1",IF(parametros!$A$3&lt;&gt;"Sim","",IF(NOT(ISNUMBER(parametros!$E$3)),"",1+parametros!$E$3)),IF(B44="c2",IF(parametros!$A$4&lt;&gt;"Sim","",IF(NOT(ISNUMBER(parametros!$E$4)),"",IF(parametros!$A$3="Sim",1+parametros!$E$3,1)*(1+parametros!$E$4))),IF(B44="c3",IF(parametros!$A$5&lt;&gt;"Sim","",IF(NOT(ISNUMBER(parametros!$E$5)),"",IF(parametros!$A$3="Sim",1+parametros!$E$3,1)*IF(parametros!$A$4="Sim",1+parametros!$E$4,1)*(1+parametros!$E$5))),IF(B44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4" s="104" t="str">
        <f t="shared" si="2"/>
        <v/>
      </c>
      <c r="F44" s="104" t="str">
        <f t="shared" si="3"/>
        <v/>
      </c>
      <c r="G44" s="105"/>
    </row>
    <row r="45" spans="1:7" x14ac:dyDescent="0.35">
      <c r="A45" s="101"/>
      <c r="B45" s="178" t="str">
        <f>IF(A45="","",IF(OR(A45&lt;MIN(parametros!$C$2:$C$6),A45&gt;MAX(parametros!$D$2:$D$6)),"Fora dos ciclos",LOWER(LOOKUP(A45,parametros!$C$2:$C$6,parametros!$B$2:$B$6))))</f>
        <v/>
      </c>
      <c r="C45" s="102"/>
      <c r="D45" s="103" t="str">
        <f>IF(B45="","",IF(B45="c0",1,IF(B45="c1",IF(parametros!$A$3&lt;&gt;"Sim","",IF(NOT(ISNUMBER(parametros!$E$3)),"",1+parametros!$E$3)),IF(B45="c2",IF(parametros!$A$4&lt;&gt;"Sim","",IF(NOT(ISNUMBER(parametros!$E$4)),"",IF(parametros!$A$3="Sim",1+parametros!$E$3,1)*(1+parametros!$E$4))),IF(B45="c3",IF(parametros!$A$5&lt;&gt;"Sim","",IF(NOT(ISNUMBER(parametros!$E$5)),"",IF(parametros!$A$3="Sim",1+parametros!$E$3,1)*IF(parametros!$A$4="Sim",1+parametros!$E$4,1)*(1+parametros!$E$5))),IF(B45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5" s="104" t="str">
        <f t="shared" si="2"/>
        <v/>
      </c>
      <c r="F45" s="104" t="str">
        <f t="shared" si="3"/>
        <v/>
      </c>
      <c r="G45" s="105"/>
    </row>
    <row r="46" spans="1:7" x14ac:dyDescent="0.35">
      <c r="A46" s="101"/>
      <c r="B46" s="178" t="str">
        <f>IF(A46="","",IF(OR(A46&lt;MIN(parametros!$C$2:$C$6),A46&gt;MAX(parametros!$D$2:$D$6)),"Fora dos ciclos",LOWER(LOOKUP(A46,parametros!$C$2:$C$6,parametros!$B$2:$B$6))))</f>
        <v/>
      </c>
      <c r="C46" s="102"/>
      <c r="D46" s="103" t="str">
        <f>IF(B46="","",IF(B46="c0",1,IF(B46="c1",IF(parametros!$A$3&lt;&gt;"Sim","",IF(NOT(ISNUMBER(parametros!$E$3)),"",1+parametros!$E$3)),IF(B46="c2",IF(parametros!$A$4&lt;&gt;"Sim","",IF(NOT(ISNUMBER(parametros!$E$4)),"",IF(parametros!$A$3="Sim",1+parametros!$E$3,1)*(1+parametros!$E$4))),IF(B46="c3",IF(parametros!$A$5&lt;&gt;"Sim","",IF(NOT(ISNUMBER(parametros!$E$5)),"",IF(parametros!$A$3="Sim",1+parametros!$E$3,1)*IF(parametros!$A$4="Sim",1+parametros!$E$4,1)*(1+parametros!$E$5))),IF(B46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6" s="104" t="str">
        <f t="shared" si="2"/>
        <v/>
      </c>
      <c r="F46" s="104" t="str">
        <f t="shared" si="3"/>
        <v/>
      </c>
      <c r="G46" s="105"/>
    </row>
    <row r="47" spans="1:7" x14ac:dyDescent="0.35">
      <c r="A47" s="101"/>
      <c r="B47" s="178" t="str">
        <f>IF(A47="","",IF(OR(A47&lt;MIN(parametros!$C$2:$C$6),A47&gt;MAX(parametros!$D$2:$D$6)),"Fora dos ciclos",LOWER(LOOKUP(A47,parametros!$C$2:$C$6,parametros!$B$2:$B$6))))</f>
        <v/>
      </c>
      <c r="C47" s="102"/>
      <c r="D47" s="103" t="str">
        <f>IF(B47="","",IF(B47="c0",1,IF(B47="c1",IF(parametros!$A$3&lt;&gt;"Sim","",IF(NOT(ISNUMBER(parametros!$E$3)),"",1+parametros!$E$3)),IF(B47="c2",IF(parametros!$A$4&lt;&gt;"Sim","",IF(NOT(ISNUMBER(parametros!$E$4)),"",IF(parametros!$A$3="Sim",1+parametros!$E$3,1)*(1+parametros!$E$4))),IF(B47="c3",IF(parametros!$A$5&lt;&gt;"Sim","",IF(NOT(ISNUMBER(parametros!$E$5)),"",IF(parametros!$A$3="Sim",1+parametros!$E$3,1)*IF(parametros!$A$4="Sim",1+parametros!$E$4,1)*(1+parametros!$E$5))),IF(B47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7" s="104" t="str">
        <f t="shared" si="2"/>
        <v/>
      </c>
      <c r="F47" s="104" t="str">
        <f t="shared" si="3"/>
        <v/>
      </c>
      <c r="G47" s="105"/>
    </row>
    <row r="48" spans="1:7" x14ac:dyDescent="0.35">
      <c r="A48" s="101"/>
      <c r="B48" s="178" t="str">
        <f>IF(A48="","",IF(OR(A48&lt;MIN(parametros!$C$2:$C$6),A48&gt;MAX(parametros!$D$2:$D$6)),"Fora dos ciclos",LOWER(LOOKUP(A48,parametros!$C$2:$C$6,parametros!$B$2:$B$6))))</f>
        <v/>
      </c>
      <c r="C48" s="102"/>
      <c r="D48" s="103" t="str">
        <f>IF(B48="","",IF(B48="c0",1,IF(B48="c1",IF(parametros!$A$3&lt;&gt;"Sim","",IF(NOT(ISNUMBER(parametros!$E$3)),"",1+parametros!$E$3)),IF(B48="c2",IF(parametros!$A$4&lt;&gt;"Sim","",IF(NOT(ISNUMBER(parametros!$E$4)),"",IF(parametros!$A$3="Sim",1+parametros!$E$3,1)*(1+parametros!$E$4))),IF(B48="c3",IF(parametros!$A$5&lt;&gt;"Sim","",IF(NOT(ISNUMBER(parametros!$E$5)),"",IF(parametros!$A$3="Sim",1+parametros!$E$3,1)*IF(parametros!$A$4="Sim",1+parametros!$E$4,1)*(1+parametros!$E$5))),IF(B48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8" s="104" t="str">
        <f t="shared" si="2"/>
        <v/>
      </c>
      <c r="F48" s="104" t="str">
        <f t="shared" si="3"/>
        <v/>
      </c>
      <c r="G48" s="105"/>
    </row>
    <row r="49" spans="1:7" x14ac:dyDescent="0.35">
      <c r="A49" s="101"/>
      <c r="B49" s="178" t="str">
        <f>IF(A49="","",IF(OR(A49&lt;MIN(parametros!$C$2:$C$6),A49&gt;MAX(parametros!$D$2:$D$6)),"Fora dos ciclos",LOWER(LOOKUP(A49,parametros!$C$2:$C$6,parametros!$B$2:$B$6))))</f>
        <v/>
      </c>
      <c r="C49" s="102"/>
      <c r="D49" s="103" t="str">
        <f>IF(B49="","",IF(B49="c0",1,IF(B49="c1",IF(parametros!$A$3&lt;&gt;"Sim","",IF(NOT(ISNUMBER(parametros!$E$3)),"",1+parametros!$E$3)),IF(B49="c2",IF(parametros!$A$4&lt;&gt;"Sim","",IF(NOT(ISNUMBER(parametros!$E$4)),"",IF(parametros!$A$3="Sim",1+parametros!$E$3,1)*(1+parametros!$E$4))),IF(B49="c3",IF(parametros!$A$5&lt;&gt;"Sim","",IF(NOT(ISNUMBER(parametros!$E$5)),"",IF(parametros!$A$3="Sim",1+parametros!$E$3,1)*IF(parametros!$A$4="Sim",1+parametros!$E$4,1)*(1+parametros!$E$5))),IF(B49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49" s="104" t="str">
        <f t="shared" si="2"/>
        <v/>
      </c>
      <c r="F49" s="104" t="str">
        <f t="shared" si="3"/>
        <v/>
      </c>
      <c r="G49" s="105"/>
    </row>
    <row r="50" spans="1:7" x14ac:dyDescent="0.35">
      <c r="A50" s="101"/>
      <c r="B50" s="178" t="str">
        <f>IF(A50="","",IF(OR(A50&lt;MIN(parametros!$C$2:$C$6),A50&gt;MAX(parametros!$D$2:$D$6)),"Fora dos ciclos",LOWER(LOOKUP(A50,parametros!$C$2:$C$6,parametros!$B$2:$B$6))))</f>
        <v/>
      </c>
      <c r="C50" s="102"/>
      <c r="D50" s="103" t="str">
        <f>IF(B50="","",IF(B50="c0",1,IF(B50="c1",IF(parametros!$A$3&lt;&gt;"Sim","",IF(NOT(ISNUMBER(parametros!$E$3)),"",1+parametros!$E$3)),IF(B50="c2",IF(parametros!$A$4&lt;&gt;"Sim","",IF(NOT(ISNUMBER(parametros!$E$4)),"",IF(parametros!$A$3="Sim",1+parametros!$E$3,1)*(1+parametros!$E$4))),IF(B50="c3",IF(parametros!$A$5&lt;&gt;"Sim","",IF(NOT(ISNUMBER(parametros!$E$5)),"",IF(parametros!$A$3="Sim",1+parametros!$E$3,1)*IF(parametros!$A$4="Sim",1+parametros!$E$4,1)*(1+parametros!$E$5))),IF(B50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0" s="104" t="str">
        <f t="shared" si="2"/>
        <v/>
      </c>
      <c r="F50" s="104" t="str">
        <f t="shared" si="3"/>
        <v/>
      </c>
      <c r="G50" s="105"/>
    </row>
    <row r="51" spans="1:7" x14ac:dyDescent="0.35">
      <c r="A51" s="101"/>
      <c r="B51" s="178" t="str">
        <f>IF(A51="","",IF(OR(A51&lt;MIN(parametros!$C$2:$C$6),A51&gt;MAX(parametros!$D$2:$D$6)),"Fora dos ciclos",LOWER(LOOKUP(A51,parametros!$C$2:$C$6,parametros!$B$2:$B$6))))</f>
        <v/>
      </c>
      <c r="C51" s="102"/>
      <c r="D51" s="103" t="str">
        <f>IF(B51="","",IF(B51="c0",1,IF(B51="c1",IF(parametros!$A$3&lt;&gt;"Sim","",IF(NOT(ISNUMBER(parametros!$E$3)),"",1+parametros!$E$3)),IF(B51="c2",IF(parametros!$A$4&lt;&gt;"Sim","",IF(NOT(ISNUMBER(parametros!$E$4)),"",IF(parametros!$A$3="Sim",1+parametros!$E$3,1)*(1+parametros!$E$4))),IF(B51="c3",IF(parametros!$A$5&lt;&gt;"Sim","",IF(NOT(ISNUMBER(parametros!$E$5)),"",IF(parametros!$A$3="Sim",1+parametros!$E$3,1)*IF(parametros!$A$4="Sim",1+parametros!$E$4,1)*(1+parametros!$E$5))),IF(B51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1" s="104" t="str">
        <f t="shared" si="2"/>
        <v/>
      </c>
      <c r="F51" s="104" t="str">
        <f t="shared" si="3"/>
        <v/>
      </c>
      <c r="G51" s="105"/>
    </row>
    <row r="52" spans="1:7" x14ac:dyDescent="0.35">
      <c r="A52" s="101"/>
      <c r="B52" s="178" t="str">
        <f>IF(A52="","",IF(OR(A52&lt;MIN(parametros!$C$2:$C$6),A52&gt;MAX(parametros!$D$2:$D$6)),"Fora dos ciclos",LOWER(LOOKUP(A52,parametros!$C$2:$C$6,parametros!$B$2:$B$6))))</f>
        <v/>
      </c>
      <c r="C52" s="102"/>
      <c r="D52" s="103" t="str">
        <f>IF(B52="","",IF(B52="c0",1,IF(B52="c1",IF(parametros!$A$3&lt;&gt;"Sim","",IF(NOT(ISNUMBER(parametros!$E$3)),"",1+parametros!$E$3)),IF(B52="c2",IF(parametros!$A$4&lt;&gt;"Sim","",IF(NOT(ISNUMBER(parametros!$E$4)),"",IF(parametros!$A$3="Sim",1+parametros!$E$3,1)*(1+parametros!$E$4))),IF(B52="c3",IF(parametros!$A$5&lt;&gt;"Sim","",IF(NOT(ISNUMBER(parametros!$E$5)),"",IF(parametros!$A$3="Sim",1+parametros!$E$3,1)*IF(parametros!$A$4="Sim",1+parametros!$E$4,1)*(1+parametros!$E$5))),IF(B52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2" s="104" t="str">
        <f t="shared" si="2"/>
        <v/>
      </c>
      <c r="F52" s="104" t="str">
        <f t="shared" si="3"/>
        <v/>
      </c>
      <c r="G52" s="105"/>
    </row>
    <row r="53" spans="1:7" x14ac:dyDescent="0.35">
      <c r="A53" s="101"/>
      <c r="B53" s="178" t="str">
        <f>IF(A53="","",IF(OR(A53&lt;MIN(parametros!$C$2:$C$6),A53&gt;MAX(parametros!$D$2:$D$6)),"Fora dos ciclos",LOWER(LOOKUP(A53,parametros!$C$2:$C$6,parametros!$B$2:$B$6))))</f>
        <v/>
      </c>
      <c r="C53" s="102"/>
      <c r="D53" s="103" t="str">
        <f>IF(B53="","",IF(B53="c0",1,IF(B53="c1",IF(parametros!$A$3&lt;&gt;"Sim","",IF(NOT(ISNUMBER(parametros!$E$3)),"",1+parametros!$E$3)),IF(B53="c2",IF(parametros!$A$4&lt;&gt;"Sim","",IF(NOT(ISNUMBER(parametros!$E$4)),"",IF(parametros!$A$3="Sim",1+parametros!$E$3,1)*(1+parametros!$E$4))),IF(B53="c3",IF(parametros!$A$5&lt;&gt;"Sim","",IF(NOT(ISNUMBER(parametros!$E$5)),"",IF(parametros!$A$3="Sim",1+parametros!$E$3,1)*IF(parametros!$A$4="Sim",1+parametros!$E$4,1)*(1+parametros!$E$5))),IF(B53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3" s="104" t="str">
        <f t="shared" si="2"/>
        <v/>
      </c>
      <c r="F53" s="104" t="str">
        <f t="shared" si="3"/>
        <v/>
      </c>
      <c r="G53" s="105"/>
    </row>
    <row r="54" spans="1:7" x14ac:dyDescent="0.35">
      <c r="A54" s="101"/>
      <c r="B54" s="178" t="str">
        <f>IF(A54="","",IF(OR(A54&lt;MIN(parametros!$C$2:$C$6),A54&gt;MAX(parametros!$D$2:$D$6)),"Fora dos ciclos",LOWER(LOOKUP(A54,parametros!$C$2:$C$6,parametros!$B$2:$B$6))))</f>
        <v/>
      </c>
      <c r="C54" s="102"/>
      <c r="D54" s="103" t="str">
        <f>IF(B54="","",IF(B54="c0",1,IF(B54="c1",IF(parametros!$A$3&lt;&gt;"Sim","",IF(NOT(ISNUMBER(parametros!$E$3)),"",1+parametros!$E$3)),IF(B54="c2",IF(parametros!$A$4&lt;&gt;"Sim","",IF(NOT(ISNUMBER(parametros!$E$4)),"",IF(parametros!$A$3="Sim",1+parametros!$E$3,1)*(1+parametros!$E$4))),IF(B54="c3",IF(parametros!$A$5&lt;&gt;"Sim","",IF(NOT(ISNUMBER(parametros!$E$5)),"",IF(parametros!$A$3="Sim",1+parametros!$E$3,1)*IF(parametros!$A$4="Sim",1+parametros!$E$4,1)*(1+parametros!$E$5))),IF(B54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4" s="104" t="str">
        <f t="shared" si="2"/>
        <v/>
      </c>
      <c r="F54" s="104" t="str">
        <f t="shared" si="3"/>
        <v/>
      </c>
      <c r="G54" s="105"/>
    </row>
    <row r="55" spans="1:7" x14ac:dyDescent="0.35">
      <c r="A55" s="101"/>
      <c r="B55" s="178" t="str">
        <f>IF(A55="","",IF(OR(A55&lt;MIN(parametros!$C$2:$C$6),A55&gt;MAX(parametros!$D$2:$D$6)),"Fora dos ciclos",LOWER(LOOKUP(A55,parametros!$C$2:$C$6,parametros!$B$2:$B$6))))</f>
        <v/>
      </c>
      <c r="C55" s="102"/>
      <c r="D55" s="103" t="str">
        <f>IF(B55="","",IF(B55="c0",1,IF(B55="c1",IF(parametros!$A$3&lt;&gt;"Sim","",IF(NOT(ISNUMBER(parametros!$E$3)),"",1+parametros!$E$3)),IF(B55="c2",IF(parametros!$A$4&lt;&gt;"Sim","",IF(NOT(ISNUMBER(parametros!$E$4)),"",IF(parametros!$A$3="Sim",1+parametros!$E$3,1)*(1+parametros!$E$4))),IF(B55="c3",IF(parametros!$A$5&lt;&gt;"Sim","",IF(NOT(ISNUMBER(parametros!$E$5)),"",IF(parametros!$A$3="Sim",1+parametros!$E$3,1)*IF(parametros!$A$4="Sim",1+parametros!$E$4,1)*(1+parametros!$E$5))),IF(B55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5" s="104" t="str">
        <f t="shared" si="2"/>
        <v/>
      </c>
      <c r="F55" s="104" t="str">
        <f t="shared" si="3"/>
        <v/>
      </c>
      <c r="G55" s="105"/>
    </row>
    <row r="56" spans="1:7" x14ac:dyDescent="0.35">
      <c r="A56" s="101"/>
      <c r="B56" s="178" t="str">
        <f>IF(A56="","",IF(OR(A56&lt;MIN(parametros!$C$2:$C$6),A56&gt;MAX(parametros!$D$2:$D$6)),"Fora dos ciclos",LOWER(LOOKUP(A56,parametros!$C$2:$C$6,parametros!$B$2:$B$6))))</f>
        <v/>
      </c>
      <c r="C56" s="102"/>
      <c r="D56" s="103" t="str">
        <f>IF(B56="","",IF(B56="c0",1,IF(B56="c1",IF(parametros!$A$3&lt;&gt;"Sim","",IF(NOT(ISNUMBER(parametros!$E$3)),"",1+parametros!$E$3)),IF(B56="c2",IF(parametros!$A$4&lt;&gt;"Sim","",IF(NOT(ISNUMBER(parametros!$E$4)),"",IF(parametros!$A$3="Sim",1+parametros!$E$3,1)*(1+parametros!$E$4))),IF(B56="c3",IF(parametros!$A$5&lt;&gt;"Sim","",IF(NOT(ISNUMBER(parametros!$E$5)),"",IF(parametros!$A$3="Sim",1+parametros!$E$3,1)*IF(parametros!$A$4="Sim",1+parametros!$E$4,1)*(1+parametros!$E$5))),IF(B56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6" s="104" t="str">
        <f t="shared" si="2"/>
        <v/>
      </c>
      <c r="F56" s="104" t="str">
        <f t="shared" si="3"/>
        <v/>
      </c>
      <c r="G56" s="105"/>
    </row>
    <row r="57" spans="1:7" x14ac:dyDescent="0.35">
      <c r="A57" s="101"/>
      <c r="B57" s="178" t="str">
        <f>IF(A57="","",IF(OR(A57&lt;MIN(parametros!$C$2:$C$6),A57&gt;MAX(parametros!$D$2:$D$6)),"Fora dos ciclos",LOWER(LOOKUP(A57,parametros!$C$2:$C$6,parametros!$B$2:$B$6))))</f>
        <v/>
      </c>
      <c r="C57" s="102"/>
      <c r="D57" s="103" t="str">
        <f>IF(B57="","",IF(B57="c0",1,IF(B57="c1",IF(parametros!$A$3&lt;&gt;"Sim","",IF(NOT(ISNUMBER(parametros!$E$3)),"",1+parametros!$E$3)),IF(B57="c2",IF(parametros!$A$4&lt;&gt;"Sim","",IF(NOT(ISNUMBER(parametros!$E$4)),"",IF(parametros!$A$3="Sim",1+parametros!$E$3,1)*(1+parametros!$E$4))),IF(B57="c3",IF(parametros!$A$5&lt;&gt;"Sim","",IF(NOT(ISNUMBER(parametros!$E$5)),"",IF(parametros!$A$3="Sim",1+parametros!$E$3,1)*IF(parametros!$A$4="Sim",1+parametros!$E$4,1)*(1+parametros!$E$5))),IF(B57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7" s="104" t="str">
        <f t="shared" si="2"/>
        <v/>
      </c>
      <c r="F57" s="104" t="str">
        <f t="shared" si="3"/>
        <v/>
      </c>
      <c r="G57" s="105"/>
    </row>
    <row r="58" spans="1:7" x14ac:dyDescent="0.35">
      <c r="A58" s="101"/>
      <c r="B58" s="178" t="str">
        <f>IF(A58="","",IF(OR(A58&lt;MIN(parametros!$C$2:$C$6),A58&gt;MAX(parametros!$D$2:$D$6)),"Fora dos ciclos",LOWER(LOOKUP(A58,parametros!$C$2:$C$6,parametros!$B$2:$B$6))))</f>
        <v/>
      </c>
      <c r="C58" s="102"/>
      <c r="D58" s="103" t="str">
        <f>IF(B58="","",IF(B58="c0",1,IF(B58="c1",IF(parametros!$A$3&lt;&gt;"Sim","",IF(NOT(ISNUMBER(parametros!$E$3)),"",1+parametros!$E$3)),IF(B58="c2",IF(parametros!$A$4&lt;&gt;"Sim","",IF(NOT(ISNUMBER(parametros!$E$4)),"",IF(parametros!$A$3="Sim",1+parametros!$E$3,1)*(1+parametros!$E$4))),IF(B58="c3",IF(parametros!$A$5&lt;&gt;"Sim","",IF(NOT(ISNUMBER(parametros!$E$5)),"",IF(parametros!$A$3="Sim",1+parametros!$E$3,1)*IF(parametros!$A$4="Sim",1+parametros!$E$4,1)*(1+parametros!$E$5))),IF(B58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8" s="104" t="str">
        <f t="shared" si="2"/>
        <v/>
      </c>
      <c r="F58" s="104" t="str">
        <f t="shared" si="3"/>
        <v/>
      </c>
      <c r="G58" s="105"/>
    </row>
    <row r="59" spans="1:7" x14ac:dyDescent="0.35">
      <c r="A59" s="101"/>
      <c r="B59" s="178" t="str">
        <f>IF(A59="","",IF(OR(A59&lt;MIN(parametros!$C$2:$C$6),A59&gt;MAX(parametros!$D$2:$D$6)),"Fora dos ciclos",LOWER(LOOKUP(A59,parametros!$C$2:$C$6,parametros!$B$2:$B$6))))</f>
        <v/>
      </c>
      <c r="C59" s="102"/>
      <c r="D59" s="103" t="str">
        <f>IF(B59="","",IF(B59="c0",1,IF(B59="c1",IF(parametros!$A$3&lt;&gt;"Sim","",IF(NOT(ISNUMBER(parametros!$E$3)),"",1+parametros!$E$3)),IF(B59="c2",IF(parametros!$A$4&lt;&gt;"Sim","",IF(NOT(ISNUMBER(parametros!$E$4)),"",IF(parametros!$A$3="Sim",1+parametros!$E$3,1)*(1+parametros!$E$4))),IF(B59="c3",IF(parametros!$A$5&lt;&gt;"Sim","",IF(NOT(ISNUMBER(parametros!$E$5)),"",IF(parametros!$A$3="Sim",1+parametros!$E$3,1)*IF(parametros!$A$4="Sim",1+parametros!$E$4,1)*(1+parametros!$E$5))),IF(B59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59" s="104" t="str">
        <f t="shared" si="2"/>
        <v/>
      </c>
      <c r="F59" s="104" t="str">
        <f t="shared" si="3"/>
        <v/>
      </c>
      <c r="G59" s="105"/>
    </row>
    <row r="60" spans="1:7" x14ac:dyDescent="0.35">
      <c r="A60" s="101"/>
      <c r="B60" s="178" t="str">
        <f>IF(A60="","",IF(OR(A60&lt;MIN(parametros!$C$2:$C$6),A60&gt;MAX(parametros!$D$2:$D$6)),"Fora dos ciclos",LOWER(LOOKUP(A60,parametros!$C$2:$C$6,parametros!$B$2:$B$6))))</f>
        <v/>
      </c>
      <c r="C60" s="102"/>
      <c r="D60" s="103" t="str">
        <f>IF(B60="","",IF(B60="c0",1,IF(B60="c1",IF(parametros!$A$3&lt;&gt;"Sim","",IF(NOT(ISNUMBER(parametros!$E$3)),"",1+parametros!$E$3)),IF(B60="c2",IF(parametros!$A$4&lt;&gt;"Sim","",IF(NOT(ISNUMBER(parametros!$E$4)),"",IF(parametros!$A$3="Sim",1+parametros!$E$3,1)*(1+parametros!$E$4))),IF(B60="c3",IF(parametros!$A$5&lt;&gt;"Sim","",IF(NOT(ISNUMBER(parametros!$E$5)),"",IF(parametros!$A$3="Sim",1+parametros!$E$3,1)*IF(parametros!$A$4="Sim",1+parametros!$E$4,1)*(1+parametros!$E$5))),IF(B60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0" s="104" t="str">
        <f t="shared" si="2"/>
        <v/>
      </c>
      <c r="F60" s="104" t="str">
        <f t="shared" si="3"/>
        <v/>
      </c>
      <c r="G60" s="105"/>
    </row>
    <row r="61" spans="1:7" x14ac:dyDescent="0.35">
      <c r="A61" s="101"/>
      <c r="B61" s="178" t="str">
        <f>IF(A61="","",IF(OR(A61&lt;MIN(parametros!$C$2:$C$6),A61&gt;MAX(parametros!$D$2:$D$6)),"Fora dos ciclos",LOWER(LOOKUP(A61,parametros!$C$2:$C$6,parametros!$B$2:$B$6))))</f>
        <v/>
      </c>
      <c r="C61" s="102"/>
      <c r="D61" s="103" t="str">
        <f>IF(B61="","",IF(B61="c0",1,IF(B61="c1",IF(parametros!$A$3&lt;&gt;"Sim","",IF(NOT(ISNUMBER(parametros!$E$3)),"",1+parametros!$E$3)),IF(B61="c2",IF(parametros!$A$4&lt;&gt;"Sim","",IF(NOT(ISNUMBER(parametros!$E$4)),"",IF(parametros!$A$3="Sim",1+parametros!$E$3,1)*(1+parametros!$E$4))),IF(B61="c3",IF(parametros!$A$5&lt;&gt;"Sim","",IF(NOT(ISNUMBER(parametros!$E$5)),"",IF(parametros!$A$3="Sim",1+parametros!$E$3,1)*IF(parametros!$A$4="Sim",1+parametros!$E$4,1)*(1+parametros!$E$5))),IF(B61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1" s="104" t="str">
        <f t="shared" si="2"/>
        <v/>
      </c>
      <c r="F61" s="104" t="str">
        <f t="shared" si="3"/>
        <v/>
      </c>
      <c r="G61" s="105"/>
    </row>
    <row r="62" spans="1:7" x14ac:dyDescent="0.35">
      <c r="A62" s="101"/>
      <c r="B62" s="178" t="str">
        <f>IF(A62="","",IF(OR(A62&lt;MIN(parametros!$C$2:$C$6),A62&gt;MAX(parametros!$D$2:$D$6)),"Fora dos ciclos",LOWER(LOOKUP(A62,parametros!$C$2:$C$6,parametros!$B$2:$B$6))))</f>
        <v/>
      </c>
      <c r="C62" s="102"/>
      <c r="D62" s="103" t="str">
        <f>IF(B62="","",IF(B62="c0",1,IF(B62="c1",IF(parametros!$A$3&lt;&gt;"Sim","",IF(NOT(ISNUMBER(parametros!$E$3)),"",1+parametros!$E$3)),IF(B62="c2",IF(parametros!$A$4&lt;&gt;"Sim","",IF(NOT(ISNUMBER(parametros!$E$4)),"",IF(parametros!$A$3="Sim",1+parametros!$E$3,1)*(1+parametros!$E$4))),IF(B62="c3",IF(parametros!$A$5&lt;&gt;"Sim","",IF(NOT(ISNUMBER(parametros!$E$5)),"",IF(parametros!$A$3="Sim",1+parametros!$E$3,1)*IF(parametros!$A$4="Sim",1+parametros!$E$4,1)*(1+parametros!$E$5))),IF(B62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2" s="104" t="str">
        <f t="shared" si="2"/>
        <v/>
      </c>
      <c r="F62" s="104" t="str">
        <f t="shared" si="3"/>
        <v/>
      </c>
      <c r="G62" s="105"/>
    </row>
    <row r="63" spans="1:7" x14ac:dyDescent="0.35">
      <c r="A63" s="101"/>
      <c r="B63" s="178" t="str">
        <f>IF(A63="","",IF(OR(A63&lt;MIN(parametros!$C$2:$C$6),A63&gt;MAX(parametros!$D$2:$D$6)),"Fora dos ciclos",LOWER(LOOKUP(A63,parametros!$C$2:$C$6,parametros!$B$2:$B$6))))</f>
        <v/>
      </c>
      <c r="C63" s="102"/>
      <c r="D63" s="103" t="str">
        <f>IF(B63="","",IF(B63="c0",1,IF(B63="c1",IF(parametros!$A$3&lt;&gt;"Sim","",IF(NOT(ISNUMBER(parametros!$E$3)),"",1+parametros!$E$3)),IF(B63="c2",IF(parametros!$A$4&lt;&gt;"Sim","",IF(NOT(ISNUMBER(parametros!$E$4)),"",IF(parametros!$A$3="Sim",1+parametros!$E$3,1)*(1+parametros!$E$4))),IF(B63="c3",IF(parametros!$A$5&lt;&gt;"Sim","",IF(NOT(ISNUMBER(parametros!$E$5)),"",IF(parametros!$A$3="Sim",1+parametros!$E$3,1)*IF(parametros!$A$4="Sim",1+parametros!$E$4,1)*(1+parametros!$E$5))),IF(B63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3" s="104" t="str">
        <f t="shared" si="2"/>
        <v/>
      </c>
      <c r="F63" s="104" t="str">
        <f t="shared" si="3"/>
        <v/>
      </c>
      <c r="G63" s="105"/>
    </row>
    <row r="64" spans="1:7" x14ac:dyDescent="0.35">
      <c r="A64" s="101"/>
      <c r="B64" s="178" t="str">
        <f>IF(A64="","",IF(OR(A64&lt;MIN(parametros!$C$2:$C$6),A64&gt;MAX(parametros!$D$2:$D$6)),"Fora dos ciclos",LOWER(LOOKUP(A64,parametros!$C$2:$C$6,parametros!$B$2:$B$6))))</f>
        <v/>
      </c>
      <c r="C64" s="102"/>
      <c r="D64" s="103" t="str">
        <f>IF(B64="","",IF(B64="c0",1,IF(B64="c1",IF(parametros!$A$3&lt;&gt;"Sim","",IF(NOT(ISNUMBER(parametros!$E$3)),"",1+parametros!$E$3)),IF(B64="c2",IF(parametros!$A$4&lt;&gt;"Sim","",IF(NOT(ISNUMBER(parametros!$E$4)),"",IF(parametros!$A$3="Sim",1+parametros!$E$3,1)*(1+parametros!$E$4))),IF(B64="c3",IF(parametros!$A$5&lt;&gt;"Sim","",IF(NOT(ISNUMBER(parametros!$E$5)),"",IF(parametros!$A$3="Sim",1+parametros!$E$3,1)*IF(parametros!$A$4="Sim",1+parametros!$E$4,1)*(1+parametros!$E$5))),IF(B64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4" s="104" t="str">
        <f t="shared" si="2"/>
        <v/>
      </c>
      <c r="F64" s="104" t="str">
        <f t="shared" si="3"/>
        <v/>
      </c>
      <c r="G64" s="105"/>
    </row>
    <row r="65" spans="1:7" x14ac:dyDescent="0.35">
      <c r="A65" s="101"/>
      <c r="B65" s="178" t="str">
        <f>IF(A65="","",IF(OR(A65&lt;MIN(parametros!$C$2:$C$6),A65&gt;MAX(parametros!$D$2:$D$6)),"Fora dos ciclos",LOWER(LOOKUP(A65,parametros!$C$2:$C$6,parametros!$B$2:$B$6))))</f>
        <v/>
      </c>
      <c r="C65" s="102"/>
      <c r="D65" s="103" t="str">
        <f>IF(B65="","",IF(B65="c0",1,IF(B65="c1",IF(parametros!$A$3&lt;&gt;"Sim","",IF(NOT(ISNUMBER(parametros!$E$3)),"",1+parametros!$E$3)),IF(B65="c2",IF(parametros!$A$4&lt;&gt;"Sim","",IF(NOT(ISNUMBER(parametros!$E$4)),"",IF(parametros!$A$3="Sim",1+parametros!$E$3,1)*(1+parametros!$E$4))),IF(B65="c3",IF(parametros!$A$5&lt;&gt;"Sim","",IF(NOT(ISNUMBER(parametros!$E$5)),"",IF(parametros!$A$3="Sim",1+parametros!$E$3,1)*IF(parametros!$A$4="Sim",1+parametros!$E$4,1)*(1+parametros!$E$5))),IF(B65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5" s="104" t="str">
        <f t="shared" si="2"/>
        <v/>
      </c>
      <c r="F65" s="104" t="str">
        <f t="shared" si="3"/>
        <v/>
      </c>
      <c r="G65" s="105"/>
    </row>
    <row r="66" spans="1:7" x14ac:dyDescent="0.35">
      <c r="A66" s="101"/>
      <c r="B66" s="178" t="str">
        <f>IF(A66="","",IF(OR(A66&lt;MIN(parametros!$C$2:$C$6),A66&gt;MAX(parametros!$D$2:$D$6)),"Fora dos ciclos",LOWER(LOOKUP(A66,parametros!$C$2:$C$6,parametros!$B$2:$B$6))))</f>
        <v/>
      </c>
      <c r="C66" s="102"/>
      <c r="D66" s="103" t="str">
        <f>IF(B66="","",IF(B66="c0",1,IF(B66="c1",IF(parametros!$A$3&lt;&gt;"Sim","",IF(NOT(ISNUMBER(parametros!$E$3)),"",1+parametros!$E$3)),IF(B66="c2",IF(parametros!$A$4&lt;&gt;"Sim","",IF(NOT(ISNUMBER(parametros!$E$4)),"",IF(parametros!$A$3="Sim",1+parametros!$E$3,1)*(1+parametros!$E$4))),IF(B66="c3",IF(parametros!$A$5&lt;&gt;"Sim","",IF(NOT(ISNUMBER(parametros!$E$5)),"",IF(parametros!$A$3="Sim",1+parametros!$E$3,1)*IF(parametros!$A$4="Sim",1+parametros!$E$4,1)*(1+parametros!$E$5))),IF(B66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6" s="104" t="str">
        <f t="shared" ref="E66:E97" si="4">IF(OR(C66="",NOT(ISNUMBER(D66))),"",ROUND(C66*D66,2))</f>
        <v/>
      </c>
      <c r="F66" s="104" t="str">
        <f t="shared" ref="F66:F97" si="5">IF(OR(C66="",E66=""),"",IF(G66&lt;&gt;"Sim",0,ROUND(E66-C66,2)))</f>
        <v/>
      </c>
      <c r="G66" s="105"/>
    </row>
    <row r="67" spans="1:7" x14ac:dyDescent="0.35">
      <c r="A67" s="101"/>
      <c r="B67" s="178" t="str">
        <f>IF(A67="","",IF(OR(A67&lt;MIN(parametros!$C$2:$C$6),A67&gt;MAX(parametros!$D$2:$D$6)),"Fora dos ciclos",LOWER(LOOKUP(A67,parametros!$C$2:$C$6,parametros!$B$2:$B$6))))</f>
        <v/>
      </c>
      <c r="C67" s="102"/>
      <c r="D67" s="103" t="str">
        <f>IF(B67="","",IF(B67="c0",1,IF(B67="c1",IF(parametros!$A$3&lt;&gt;"Sim","",IF(NOT(ISNUMBER(parametros!$E$3)),"",1+parametros!$E$3)),IF(B67="c2",IF(parametros!$A$4&lt;&gt;"Sim","",IF(NOT(ISNUMBER(parametros!$E$4)),"",IF(parametros!$A$3="Sim",1+parametros!$E$3,1)*(1+parametros!$E$4))),IF(B67="c3",IF(parametros!$A$5&lt;&gt;"Sim","",IF(NOT(ISNUMBER(parametros!$E$5)),"",IF(parametros!$A$3="Sim",1+parametros!$E$3,1)*IF(parametros!$A$4="Sim",1+parametros!$E$4,1)*(1+parametros!$E$5))),IF(B67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7" s="104" t="str">
        <f t="shared" si="4"/>
        <v/>
      </c>
      <c r="F67" s="104" t="str">
        <f t="shared" si="5"/>
        <v/>
      </c>
      <c r="G67" s="105"/>
    </row>
    <row r="68" spans="1:7" x14ac:dyDescent="0.35">
      <c r="A68" s="101"/>
      <c r="B68" s="178" t="str">
        <f>IF(A68="","",IF(OR(A68&lt;MIN(parametros!$C$2:$C$6),A68&gt;MAX(parametros!$D$2:$D$6)),"Fora dos ciclos",LOWER(LOOKUP(A68,parametros!$C$2:$C$6,parametros!$B$2:$B$6))))</f>
        <v/>
      </c>
      <c r="C68" s="102"/>
      <c r="D68" s="103" t="str">
        <f>IF(B68="","",IF(B68="c0",1,IF(B68="c1",IF(parametros!$A$3&lt;&gt;"Sim","",IF(NOT(ISNUMBER(parametros!$E$3)),"",1+parametros!$E$3)),IF(B68="c2",IF(parametros!$A$4&lt;&gt;"Sim","",IF(NOT(ISNUMBER(parametros!$E$4)),"",IF(parametros!$A$3="Sim",1+parametros!$E$3,1)*(1+parametros!$E$4))),IF(B68="c3",IF(parametros!$A$5&lt;&gt;"Sim","",IF(NOT(ISNUMBER(parametros!$E$5)),"",IF(parametros!$A$3="Sim",1+parametros!$E$3,1)*IF(parametros!$A$4="Sim",1+parametros!$E$4,1)*(1+parametros!$E$5))),IF(B68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8" s="104" t="str">
        <f t="shared" si="4"/>
        <v/>
      </c>
      <c r="F68" s="104" t="str">
        <f t="shared" si="5"/>
        <v/>
      </c>
      <c r="G68" s="105"/>
    </row>
    <row r="69" spans="1:7" x14ac:dyDescent="0.35">
      <c r="A69" s="101"/>
      <c r="B69" s="178" t="str">
        <f>IF(A69="","",IF(OR(A69&lt;MIN(parametros!$C$2:$C$6),A69&gt;MAX(parametros!$D$2:$D$6)),"Fora dos ciclos",LOWER(LOOKUP(A69,parametros!$C$2:$C$6,parametros!$B$2:$B$6))))</f>
        <v/>
      </c>
      <c r="C69" s="102"/>
      <c r="D69" s="103" t="str">
        <f>IF(B69="","",IF(B69="c0",1,IF(B69="c1",IF(parametros!$A$3&lt;&gt;"Sim","",IF(NOT(ISNUMBER(parametros!$E$3)),"",1+parametros!$E$3)),IF(B69="c2",IF(parametros!$A$4&lt;&gt;"Sim","",IF(NOT(ISNUMBER(parametros!$E$4)),"",IF(parametros!$A$3="Sim",1+parametros!$E$3,1)*(1+parametros!$E$4))),IF(B69="c3",IF(parametros!$A$5&lt;&gt;"Sim","",IF(NOT(ISNUMBER(parametros!$E$5)),"",IF(parametros!$A$3="Sim",1+parametros!$E$3,1)*IF(parametros!$A$4="Sim",1+parametros!$E$4,1)*(1+parametros!$E$5))),IF(B69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69" s="104" t="str">
        <f t="shared" si="4"/>
        <v/>
      </c>
      <c r="F69" s="104" t="str">
        <f t="shared" si="5"/>
        <v/>
      </c>
      <c r="G69" s="105"/>
    </row>
    <row r="70" spans="1:7" x14ac:dyDescent="0.35">
      <c r="A70" s="101"/>
      <c r="B70" s="178" t="str">
        <f>IF(A70="","",IF(OR(A70&lt;MIN(parametros!$C$2:$C$6),A70&gt;MAX(parametros!$D$2:$D$6)),"Fora dos ciclos",LOWER(LOOKUP(A70,parametros!$C$2:$C$6,parametros!$B$2:$B$6))))</f>
        <v/>
      </c>
      <c r="C70" s="102"/>
      <c r="D70" s="103" t="str">
        <f>IF(B70="","",IF(B70="c0",1,IF(B70="c1",IF(parametros!$A$3&lt;&gt;"Sim","",IF(NOT(ISNUMBER(parametros!$E$3)),"",1+parametros!$E$3)),IF(B70="c2",IF(parametros!$A$4&lt;&gt;"Sim","",IF(NOT(ISNUMBER(parametros!$E$4)),"",IF(parametros!$A$3="Sim",1+parametros!$E$3,1)*(1+parametros!$E$4))),IF(B70="c3",IF(parametros!$A$5&lt;&gt;"Sim","",IF(NOT(ISNUMBER(parametros!$E$5)),"",IF(parametros!$A$3="Sim",1+parametros!$E$3,1)*IF(parametros!$A$4="Sim",1+parametros!$E$4,1)*(1+parametros!$E$5))),IF(B70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0" s="104" t="str">
        <f t="shared" si="4"/>
        <v/>
      </c>
      <c r="F70" s="104" t="str">
        <f t="shared" si="5"/>
        <v/>
      </c>
      <c r="G70" s="105"/>
    </row>
    <row r="71" spans="1:7" x14ac:dyDescent="0.35">
      <c r="A71" s="101"/>
      <c r="B71" s="178" t="str">
        <f>IF(A71="","",IF(OR(A71&lt;MIN(parametros!$C$2:$C$6),A71&gt;MAX(parametros!$D$2:$D$6)),"Fora dos ciclos",LOWER(LOOKUP(A71,parametros!$C$2:$C$6,parametros!$B$2:$B$6))))</f>
        <v/>
      </c>
      <c r="C71" s="102"/>
      <c r="D71" s="103" t="str">
        <f>IF(B71="","",IF(B71="c0",1,IF(B71="c1",IF(parametros!$A$3&lt;&gt;"Sim","",IF(NOT(ISNUMBER(parametros!$E$3)),"",1+parametros!$E$3)),IF(B71="c2",IF(parametros!$A$4&lt;&gt;"Sim","",IF(NOT(ISNUMBER(parametros!$E$4)),"",IF(parametros!$A$3="Sim",1+parametros!$E$3,1)*(1+parametros!$E$4))),IF(B71="c3",IF(parametros!$A$5&lt;&gt;"Sim","",IF(NOT(ISNUMBER(parametros!$E$5)),"",IF(parametros!$A$3="Sim",1+parametros!$E$3,1)*IF(parametros!$A$4="Sim",1+parametros!$E$4,1)*(1+parametros!$E$5))),IF(B71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1" s="104" t="str">
        <f t="shared" si="4"/>
        <v/>
      </c>
      <c r="F71" s="104" t="str">
        <f t="shared" si="5"/>
        <v/>
      </c>
      <c r="G71" s="105"/>
    </row>
    <row r="72" spans="1:7" x14ac:dyDescent="0.35">
      <c r="A72" s="101"/>
      <c r="B72" s="178" t="str">
        <f>IF(A72="","",IF(OR(A72&lt;MIN(parametros!$C$2:$C$6),A72&gt;MAX(parametros!$D$2:$D$6)),"Fora dos ciclos",LOWER(LOOKUP(A72,parametros!$C$2:$C$6,parametros!$B$2:$B$6))))</f>
        <v/>
      </c>
      <c r="C72" s="102"/>
      <c r="D72" s="103" t="str">
        <f>IF(B72="","",IF(B72="c0",1,IF(B72="c1",IF(parametros!$A$3&lt;&gt;"Sim","",IF(NOT(ISNUMBER(parametros!$E$3)),"",1+parametros!$E$3)),IF(B72="c2",IF(parametros!$A$4&lt;&gt;"Sim","",IF(NOT(ISNUMBER(parametros!$E$4)),"",IF(parametros!$A$3="Sim",1+parametros!$E$3,1)*(1+parametros!$E$4))),IF(B72="c3",IF(parametros!$A$5&lt;&gt;"Sim","",IF(NOT(ISNUMBER(parametros!$E$5)),"",IF(parametros!$A$3="Sim",1+parametros!$E$3,1)*IF(parametros!$A$4="Sim",1+parametros!$E$4,1)*(1+parametros!$E$5))),IF(B72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2" s="104" t="str">
        <f t="shared" si="4"/>
        <v/>
      </c>
      <c r="F72" s="104" t="str">
        <f t="shared" si="5"/>
        <v/>
      </c>
      <c r="G72" s="105"/>
    </row>
    <row r="73" spans="1:7" x14ac:dyDescent="0.35">
      <c r="A73" s="101"/>
      <c r="B73" s="178" t="str">
        <f>IF(A73="","",IF(OR(A73&lt;MIN(parametros!$C$2:$C$6),A73&gt;MAX(parametros!$D$2:$D$6)),"Fora dos ciclos",LOWER(LOOKUP(A73,parametros!$C$2:$C$6,parametros!$B$2:$B$6))))</f>
        <v/>
      </c>
      <c r="C73" s="102"/>
      <c r="D73" s="103" t="str">
        <f>IF(B73="","",IF(B73="c0",1,IF(B73="c1",IF(parametros!$A$3&lt;&gt;"Sim","",IF(NOT(ISNUMBER(parametros!$E$3)),"",1+parametros!$E$3)),IF(B73="c2",IF(parametros!$A$4&lt;&gt;"Sim","",IF(NOT(ISNUMBER(parametros!$E$4)),"",IF(parametros!$A$3="Sim",1+parametros!$E$3,1)*(1+parametros!$E$4))),IF(B73="c3",IF(parametros!$A$5&lt;&gt;"Sim","",IF(NOT(ISNUMBER(parametros!$E$5)),"",IF(parametros!$A$3="Sim",1+parametros!$E$3,1)*IF(parametros!$A$4="Sim",1+parametros!$E$4,1)*(1+parametros!$E$5))),IF(B73="c4",IF(parametros!$A$6&lt;&gt;"Sim","",IF(NOT(ISNUMBER(parametros!$E$6)),"",IF(parametros!$A$3="Sim",1+parametros!$E$3,1)*IF(parametros!$A$4="Sim",1+parametros!$E$4,1)*IF(parametros!$A$5="Sim",1+parametros!$E$5,1)*(1+parametros!$E$6))),""))))))</f>
        <v/>
      </c>
      <c r="E73" s="104" t="str">
        <f t="shared" si="4"/>
        <v/>
      </c>
      <c r="F73" s="104" t="str">
        <f t="shared" si="5"/>
        <v/>
      </c>
      <c r="G73" s="105"/>
    </row>
  </sheetData>
  <dataValidations count="1">
    <dataValidation type="list" allowBlank="1" showErrorMessage="1" errorTitle="Valor invalido" error="Usar apenas Sim ou Nao" sqref="G2:G195" xr:uid="{00000000-0002-0000-0200-000000000000}">
      <formula1>"Sim,Nao"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10"/>
  <sheetViews>
    <sheetView showGridLines="0" workbookViewId="0">
      <pane ySplit="1" topLeftCell="A2" activePane="bottomLeft" state="frozen"/>
      <selection pane="bottomLeft" activeCell="I4" sqref="I4"/>
    </sheetView>
  </sheetViews>
  <sheetFormatPr defaultColWidth="25.453125" defaultRowHeight="14.5" x14ac:dyDescent="0.35"/>
  <sheetData>
    <row r="1" spans="1:40" ht="72" customHeight="1" x14ac:dyDescent="0.35">
      <c r="A1" s="54" t="s">
        <v>78</v>
      </c>
      <c r="B1" s="54" t="s">
        <v>79</v>
      </c>
      <c r="C1" s="54" t="s">
        <v>80</v>
      </c>
      <c r="D1" s="54" t="s">
        <v>81</v>
      </c>
      <c r="E1" s="55" t="str">
        <f>IF(parametros!$C$3="","QTD_REM_BASE_C1","QTD_REM_BASE_C1"&amp;CHAR(10)&amp;"Inicio: "&amp;RIGHT("0"&amp;DAY(parametros!$C$3),2)&amp;"/"&amp;RIGHT("0"&amp;MONTH(parametros!$C$3),2)&amp;"/"&amp;YEAR(parametros!$C$3))</f>
        <v>QTD_REM_BASE_C1
Inicio: 01/01/2024</v>
      </c>
      <c r="F1" s="55" t="str">
        <f>IF(parametros!$C$3="","VALOR_REM_INICIO_C1","VALOR_REM_INICIO_C1"&amp;CHAR(10)&amp;"Inicio: "&amp;RIGHT("0"&amp;DAY(parametros!$C$3),2)&amp;"/"&amp;RIGHT("0"&amp;MONTH(parametros!$C$3),2)&amp;"/"&amp;YEAR(parametros!$C$3))</f>
        <v>VALOR_REM_INICIO_C1
Inicio: 01/01/2024</v>
      </c>
      <c r="G1" s="20" t="str">
        <f>IF(parametros!$C$4="","QTD_REM_BASE_C2","QTD_REM_BASE_C2"&amp;CHAR(10)&amp;"Inicio: "&amp;RIGHT("0"&amp;DAY(parametros!$C$4),2)&amp;"/"&amp;RIGHT("0"&amp;MONTH(parametros!$C$4),2)&amp;"/"&amp;YEAR(parametros!$C$4))</f>
        <v>QTD_REM_BASE_C2
Inicio: 01/01/2025</v>
      </c>
      <c r="H1" s="20" t="str">
        <f>IF(parametros!$C$4="","VALOR_REM_INICIO_C2","VALOR_REM_INICIO_C2"&amp;CHAR(10)&amp;"Inicio: "&amp;RIGHT("0"&amp;DAY(parametros!$C$4),2)&amp;"/"&amp;RIGHT("0"&amp;MONTH(parametros!$C$4),2)&amp;"/"&amp;YEAR(parametros!$C$4))</f>
        <v>VALOR_REM_INICIO_C2
Inicio: 01/01/2025</v>
      </c>
      <c r="I1" s="55" t="str">
        <f>IF(parametros!$C$5="","QTD_REM_BASE_C3","QTD_REM_BASE_C3"&amp;CHAR(10)&amp;"Inicio: "&amp;RIGHT("0"&amp;DAY(parametros!$C$5),2)&amp;"/"&amp;RIGHT("0"&amp;MONTH(parametros!$C$5),2)&amp;"/"&amp;YEAR(parametros!$C$5))</f>
        <v>QTD_REM_BASE_C3
Inicio: 01/01/2026</v>
      </c>
      <c r="J1" s="55" t="str">
        <f>IF(parametros!$C$5="","VALOR_REM_INICIO_C3","VALOR_REM_INICIO_C3"&amp;CHAR(10)&amp;"Inicio: "&amp;RIGHT("0"&amp;DAY(parametros!$C$5),2)&amp;"/"&amp;RIGHT("0"&amp;MONTH(parametros!$C$5),2)&amp;"/"&amp;YEAR(parametros!$C$5))</f>
        <v>VALOR_REM_INICIO_C3
Inicio: 01/01/2026</v>
      </c>
      <c r="K1" s="20" t="str">
        <f>IF(parametros!$C$6="","QTD_REM_BASE_C4","QTD_REM_BASE_C4"&amp;CHAR(10)&amp;"Inicio: "&amp;RIGHT("0"&amp;DAY(parametros!$C$6),2)&amp;"/"&amp;RIGHT("0"&amp;MONTH(parametros!$C$6),2)&amp;"/"&amp;YEAR(parametros!$C$6))</f>
        <v>QTD_REM_BASE_C4
Inicio: 01/01/2027</v>
      </c>
      <c r="L1" s="20" t="str">
        <f>IF(parametros!$C$6="","VALOR_REM_INICIO_C4","VALOR_REM_INICIO_C4"&amp;CHAR(10)&amp;"Inicio: "&amp;RIGHT("0"&amp;DAY(parametros!$C$6),2)&amp;"/"&amp;RIGHT("0"&amp;MONTH(parametros!$C$6),2)&amp;"/"&amp;YEAR(parametros!$C$6))</f>
        <v>VALOR_REM_INICIO_C4
Inicio: 01/01/2027</v>
      </c>
      <c r="M1" s="56" t="str">
        <f>IF(parametros!$C$3="","QTD_EXECUTADA_C1","QTD_EXECUTADA_C1"&amp;CHAR(10)&amp;"Inicio: "&amp;RIGHT("0"&amp;DAY(parametros!$C$3),2)&amp;"/"&amp;RIGHT("0"&amp;MONTH(parametros!$C$3),2)&amp;"/"&amp;YEAR(parametros!$C$3))</f>
        <v>QTD_EXECUTADA_C1
Inicio: 01/01/2024</v>
      </c>
      <c r="N1" s="56" t="str">
        <f>IF(parametros!$C$3="","VALOR_EXECUTADO_C1","VALOR_EXECUTADO_C1"&amp;CHAR(10)&amp;"Inicio: "&amp;RIGHT("0"&amp;DAY(parametros!$C$3),2)&amp;"/"&amp;RIGHT("0"&amp;MONTH(parametros!$C$3),2)&amp;"/"&amp;YEAR(parametros!$C$3))</f>
        <v>VALOR_EXECUTADO_C1
Inicio: 01/01/2024</v>
      </c>
      <c r="O1" s="21" t="str">
        <f>IF(parametros!$C$4="","QTD_EXECUTADA_C2","QTD_EXECUTADA_C2"&amp;CHAR(10)&amp;"Inicio: "&amp;RIGHT("0"&amp;DAY(parametros!$C$4),2)&amp;"/"&amp;RIGHT("0"&amp;MONTH(parametros!$C$4),2)&amp;"/"&amp;YEAR(parametros!$C$4))</f>
        <v>QTD_EXECUTADA_C2
Inicio: 01/01/2025</v>
      </c>
      <c r="P1" s="21" t="str">
        <f>IF(parametros!$C$4="","VALOR_EXECUTADO_C2","VALOR_EXECUTADO_C2"&amp;CHAR(10)&amp;"Inicio: "&amp;RIGHT("0"&amp;DAY(parametros!$C$4),2)&amp;"/"&amp;RIGHT("0"&amp;MONTH(parametros!$C$4),2)&amp;"/"&amp;YEAR(parametros!$C$4))</f>
        <v>VALOR_EXECUTADO_C2
Inicio: 01/01/2025</v>
      </c>
      <c r="Q1" s="56" t="str">
        <f>IF(parametros!$C$5="","QTD_EXECUTADA_C3","QTD_EXECUTADA_C3"&amp;CHAR(10)&amp;"Inicio: "&amp;RIGHT("0"&amp;DAY(parametros!$C$5),2)&amp;"/"&amp;RIGHT("0"&amp;MONTH(parametros!$C$5),2)&amp;"/"&amp;YEAR(parametros!$C$5))</f>
        <v>QTD_EXECUTADA_C3
Inicio: 01/01/2026</v>
      </c>
      <c r="R1" s="56" t="str">
        <f>IF(parametros!$C$5="","VALOR_EXECUTADO_C3","VALOR_EXECUTADO_C3"&amp;CHAR(10)&amp;"Inicio: "&amp;RIGHT("0"&amp;DAY(parametros!$C$5),2)&amp;"/"&amp;RIGHT("0"&amp;MONTH(parametros!$C$5),2)&amp;"/"&amp;YEAR(parametros!$C$5))</f>
        <v>VALOR_EXECUTADO_C3
Inicio: 01/01/2026</v>
      </c>
      <c r="S1" s="21" t="str">
        <f>IF(parametros!$C$6="","QTD_EXECUTADA_C4","QTD_EXECUTADA_C4"&amp;CHAR(10)&amp;"Inicio: "&amp;RIGHT("0"&amp;DAY(parametros!$C$6),2)&amp;"/"&amp;RIGHT("0"&amp;MONTH(parametros!$C$6),2)&amp;"/"&amp;YEAR(parametros!$C$6))</f>
        <v>QTD_EXECUTADA_C4
Inicio: 01/01/2027</v>
      </c>
      <c r="T1" s="21" t="str">
        <f>IF(parametros!$C$6="","VALOR_EXECUTADO_C4","VALOR_EXECUTADO_C4"&amp;CHAR(10)&amp;"Inicio: "&amp;RIGHT("0"&amp;DAY(parametros!$C$6),2)&amp;"/"&amp;RIGHT("0"&amp;MONTH(parametros!$C$6),2)&amp;"/"&amp;YEAR(parametros!$C$6))</f>
        <v>VALOR_EXECUTADO_C4
Inicio: 01/01/2027</v>
      </c>
      <c r="U1" s="54" t="s">
        <v>82</v>
      </c>
      <c r="V1" s="54" t="s">
        <v>83</v>
      </c>
      <c r="W1" s="57" t="s">
        <v>11</v>
      </c>
      <c r="X1" s="57" t="s">
        <v>59</v>
      </c>
      <c r="Y1" s="57" t="s">
        <v>84</v>
      </c>
      <c r="Z1" s="57" t="s">
        <v>4</v>
      </c>
      <c r="AA1" s="22" t="s">
        <v>85</v>
      </c>
      <c r="AB1" s="23" t="s">
        <v>86</v>
      </c>
      <c r="AC1" s="23" t="s">
        <v>87</v>
      </c>
      <c r="AD1" s="83" t="s">
        <v>88</v>
      </c>
      <c r="AE1" s="83" t="s">
        <v>89</v>
      </c>
      <c r="AF1" s="83" t="s">
        <v>90</v>
      </c>
      <c r="AG1" s="83" t="s">
        <v>91</v>
      </c>
      <c r="AH1" s="83" t="s">
        <v>92</v>
      </c>
      <c r="AI1" s="83" t="s">
        <v>93</v>
      </c>
      <c r="AJ1" s="83" t="s">
        <v>94</v>
      </c>
      <c r="AK1" s="83" t="s">
        <v>95</v>
      </c>
      <c r="AL1" s="83" t="s">
        <v>96</v>
      </c>
      <c r="AM1" s="83" t="s">
        <v>97</v>
      </c>
      <c r="AN1" s="83" t="s">
        <v>98</v>
      </c>
    </row>
    <row r="2" spans="1:40" x14ac:dyDescent="0.35">
      <c r="A2" s="106" t="s">
        <v>99</v>
      </c>
      <c r="B2" s="107">
        <v>120</v>
      </c>
      <c r="C2" s="108">
        <v>250</v>
      </c>
      <c r="D2" s="104">
        <f>IF(FALSE,ROUND(SUMIF($A1:A$2,"&lt;&gt;",$D1:D$2),2),IF(OR(A2="",B2="",C2=""),"",ROUND(B2*C2,2)))</f>
        <v>30000</v>
      </c>
      <c r="E2" s="109">
        <v>120</v>
      </c>
      <c r="F2" s="104">
        <f>IF(FALSE,ROUND(SUMIF($A1:A$2,"&lt;&gt;",$F1:F$2),2),IF(OR(A2="",posicao_contratual!K2="",C2="",NOT(ISNUMBER($Z$3))),"",ROUND(posicao_contratual!K2*C2*$Z$3,2)))</f>
        <v>31536</v>
      </c>
      <c r="G2" s="109">
        <v>120</v>
      </c>
      <c r="H2" s="104">
        <f>IF(FALSE,ROUND(SUMIF($A1:A$2,"&lt;&gt;",$H1:H$2),2),IF(OR(A2="",posicao_contratual!O2="",C2="",NOT(ISNUMBER($Z$4))),"",ROUND(posicao_contratual!O2*C2*$Z$4,2)))</f>
        <v>32715.45</v>
      </c>
      <c r="I2" s="109">
        <v>120</v>
      </c>
      <c r="J2" s="104">
        <f>IF(FALSE,ROUND(SUMIF($A1:A$2,"&lt;&gt;",$J1:J$2),2),IF(OR(A2="",posicao_contratual!S2="",C2="",NOT(ISNUMBER($Z$5))),"",ROUND(posicao_contratual!S2*C2*$Z$5,2)))</f>
        <v>33660.92</v>
      </c>
      <c r="K2" s="109">
        <v>120</v>
      </c>
      <c r="L2" s="104" t="str">
        <f>IF(FALSE,ROUND(SUMIF($A1:A$2,"&lt;&gt;",$L1:L$2),2),IF(OR(A2="",posicao_contratual!W2="",C2="",NOT(ISNUMBER($Z$6))),"",ROUND(posicao_contratual!W2*C2*$Z$6,2)))</f>
        <v/>
      </c>
      <c r="M2" s="110">
        <v>120</v>
      </c>
      <c r="N2" s="104">
        <f>IF(FALSE,ROUND(SUMIF($A1:A$2,"&lt;&gt;",$N1:N$2),2),IF(OR(M2="",C2="",NOT(ISNUMBER($Z$3))),"",ROUND(M2*C2*$Z$3,2)))</f>
        <v>31536</v>
      </c>
      <c r="O2" s="110">
        <f>IF(OR(posicao_contratual!N2="",posicao_contratual!R2=""),"",ROUND(MAX(posicao_contratual!N2+posicao_contratual!L2-posicao_contratual!R2,0),2))</f>
        <v>0</v>
      </c>
      <c r="P2" s="104">
        <f>IF(FALSE,ROUND(SUMIF($A1:A$2,"&lt;&gt;",$P1:P$2),2),IF(OR(O2="",C2="",NOT(ISNUMBER($Z$4))),"",ROUND(O2*C2*$Z$4,2)))</f>
        <v>0</v>
      </c>
      <c r="Q2" s="110">
        <f>IF(OR(posicao_contratual!R2="",posicao_contratual!V2=""),"",ROUND(MAX(posicao_contratual!R2+posicao_contratual!P2-posicao_contratual!V2,0),2))</f>
        <v>0</v>
      </c>
      <c r="R2" s="104">
        <f>IF(FALSE,ROUND(SUMIF($A1:A$2,"&lt;&gt;",$R1:R$2),2),IF(OR(Q2="",C2="",NOT(ISNUMBER($Z$5))),"",ROUND(Q2*C2*$Z$5,2)))</f>
        <v>0</v>
      </c>
      <c r="S2" s="24"/>
      <c r="T2" s="25"/>
      <c r="U2" s="111" t="str">
        <f>IF(A2="","",posicao_contratual!X2)</f>
        <v>OK</v>
      </c>
      <c r="V2" s="111" t="str">
        <f>IF(A2="","",posicao_contratual!X2)</f>
        <v>OK</v>
      </c>
      <c r="W2" s="112" t="s">
        <v>26</v>
      </c>
      <c r="X2" s="113" t="str">
        <f>parametros!$A$2</f>
        <v>Nao</v>
      </c>
      <c r="Y2" s="114">
        <f>IF(ISNUMBER(parametros!$E$2),parametros!$E$2,"")</f>
        <v>0</v>
      </c>
      <c r="Z2" s="115">
        <f>IF(ISNUMBER(parametros!$F$2),parametros!$F$2,"")</f>
        <v>1</v>
      </c>
      <c r="AA2" s="15"/>
      <c r="AB2" s="110">
        <f>IF(OR(A2="",posicao_contratual!E2="",posicao_contratual!J2=""),"",ROUND(MAX(posicao_contratual!E2-posicao_contratual!J2,0),2))</f>
        <v>0</v>
      </c>
      <c r="AC2" s="104">
        <f>IF(FALSE,ROUND(SUMIF($A1:A$2,"&lt;&gt;",$AC1:AC$2),2),IF(OR(AB2="",C2="",NOT(ISNUMBER($Z$2))),"",ROUND(AB2*C2*$Z$2,2)))</f>
        <v>0</v>
      </c>
      <c r="AD2" s="180">
        <f>IF(A2="","",posicao_contratual!E2)</f>
        <v>120</v>
      </c>
      <c r="AE2" s="180">
        <f>IF(A2="","",posicao_contratual!I2)</f>
        <v>130</v>
      </c>
      <c r="AF2" s="180">
        <f>IF(A2="","",posicao_contratual!M2)</f>
        <v>130</v>
      </c>
      <c r="AG2" s="180">
        <f>IF(A2="","",posicao_contratual!Q2)</f>
        <v>130</v>
      </c>
      <c r="AH2" s="180">
        <f>IF(A2="","",posicao_contratual!U2)</f>
        <v>130</v>
      </c>
      <c r="AI2" s="180">
        <f>IF(A2="","",posicao_contratual!G2)</f>
        <v>120</v>
      </c>
      <c r="AJ2" s="180">
        <f>IF(A2="","",posicao_contratual!K2)</f>
        <v>120</v>
      </c>
      <c r="AK2" s="180">
        <f>IF(A2="","",posicao_contratual!O2)</f>
        <v>120</v>
      </c>
      <c r="AL2" s="180">
        <f>IF(A2="","",posicao_contratual!S2)</f>
        <v>120</v>
      </c>
      <c r="AM2" s="180">
        <f>IF(A2="","",posicao_contratual!W2)</f>
        <v>120</v>
      </c>
      <c r="AN2" s="181" t="str">
        <f>IF(A2="","",posicao_contratual!X2)</f>
        <v>OK</v>
      </c>
    </row>
    <row r="3" spans="1:40" x14ac:dyDescent="0.35">
      <c r="A3" s="106" t="s">
        <v>100</v>
      </c>
      <c r="B3" s="107">
        <v>80</v>
      </c>
      <c r="C3" s="108">
        <v>1500</v>
      </c>
      <c r="D3" s="104">
        <f>IF(AND(A3="",A2&lt;&gt;"",COUNTIF(A4:$A$200,"&lt;&gt;")=0),ROUND(SUMIF($A$2:A2,"&lt;&gt;",$D$2:D2),2),IF(OR(A3="",B3="",C3=""),"",ROUND(B3*C3,2)))</f>
        <v>120000</v>
      </c>
      <c r="E3" s="109">
        <v>80</v>
      </c>
      <c r="F3" s="104">
        <f>IF(AND(A3="",A2&lt;&gt;"",COUNTIF(A4:$A$200,"&lt;&gt;")=0),ROUND(SUMIF($A$2:A2,"&lt;&gt;",$F$2:F2),2),IF(OR(A3="",posicao_contratual!K3="",C3="",NOT(ISNUMBER($Z$3))),"",ROUND(posicao_contratual!K3*C3*$Z$3,2)))</f>
        <v>126144</v>
      </c>
      <c r="G3" s="109">
        <v>80</v>
      </c>
      <c r="H3" s="104">
        <f>IF(AND(A3="",A2&lt;&gt;"",COUNTIF(A4:$A$200,"&lt;&gt;")=0),ROUND(SUMIF($A$2:A2,"&lt;&gt;",$H$2:H2),2),IF(OR(A3="",posicao_contratual!O3="",C3="",NOT(ISNUMBER($Z$4))),"",ROUND(posicao_contratual!O3*C3*$Z$4,2)))</f>
        <v>130861.79</v>
      </c>
      <c r="I3" s="109">
        <v>80</v>
      </c>
      <c r="J3" s="104">
        <f>IF(AND(A3="",A2&lt;&gt;"",COUNTIF(A4:$A$200,"&lt;&gt;")=0),ROUND(SUMIF($A$2:A2,"&lt;&gt;",$J$2:J2),2),IF(OR(A3="",posicao_contratual!S3="",C3="",NOT(ISNUMBER($Z$5))),"",ROUND(posicao_contratual!S3*C3*$Z$5,2)))</f>
        <v>134643.69</v>
      </c>
      <c r="K3" s="109">
        <v>80</v>
      </c>
      <c r="L3" s="104" t="str">
        <f>IF(AND(A3="",A2&lt;&gt;"",COUNTIF(A4:$A$200,"&lt;&gt;")=0),ROUND(SUMIF($A$2:A2,"&lt;&gt;",$L$2:L2),2),IF(OR(A3="",posicao_contratual!W3="",C3="",NOT(ISNUMBER($Z$6))),"",ROUND(posicao_contratual!W3*C3*$Z$6,2)))</f>
        <v/>
      </c>
      <c r="M3" s="110">
        <v>80</v>
      </c>
      <c r="N3" s="104">
        <f>IF(AND(A3="",A2&lt;&gt;"",COUNTIF(A4:$A$200,"&lt;&gt;")=0),ROUND(SUMIF($A$2:A2,"&lt;&gt;",$N$2:N2),2),IF(OR(M3="",C3="",NOT(ISNUMBER($Z$3))),"",ROUND(M3*C3*$Z$3,2)))</f>
        <v>126144</v>
      </c>
      <c r="O3" s="110">
        <f>IF(OR(posicao_contratual!N3="",posicao_contratual!R3=""),"",ROUND(MAX(posicao_contratual!N3+posicao_contratual!L3-posicao_contratual!R3,0),2))</f>
        <v>0</v>
      </c>
      <c r="P3" s="104">
        <f>IF(AND(A3="",A2&lt;&gt;"",COUNTIF(A4:$A$200,"&lt;&gt;")=0),ROUND(SUMIF($A$2:A2,"&lt;&gt;",$P$2:P2),2),IF(OR(O3="",C3="",NOT(ISNUMBER($Z$4))),"",ROUND(O3*C3*$Z$4,2)))</f>
        <v>0</v>
      </c>
      <c r="Q3" s="110">
        <f>IF(OR(posicao_contratual!R3="",posicao_contratual!V3=""),"",ROUND(MAX(posicao_contratual!R3+posicao_contratual!P3-posicao_contratual!V3,0),2))</f>
        <v>0</v>
      </c>
      <c r="R3" s="104">
        <f>IF(AND(A3="",A2&lt;&gt;"",COUNTIF(A4:$A$200,"&lt;&gt;")=0),ROUND(SUMIF($A$2:A2,"&lt;&gt;",$R$2:R2),2),IF(OR(Q3="",C3="",NOT(ISNUMBER($Z$5))),"",ROUND(Q3*C3*$Z$5,2)))</f>
        <v>0</v>
      </c>
      <c r="S3" s="24"/>
      <c r="T3" s="25"/>
      <c r="U3" s="111" t="str">
        <f>IF(AND(A3="",A2&lt;&gt;"",COUNTIF(A4:$A$200,"&lt;&gt;")=0),"TOTAL",IF(A3="","",posicao_contratual!X3))</f>
        <v>OK</v>
      </c>
      <c r="V3" s="111" t="str">
        <f>IF(A3="","",posicao_contratual!X3)</f>
        <v>OK</v>
      </c>
      <c r="W3" s="112" t="s">
        <v>35</v>
      </c>
      <c r="X3" s="113" t="str">
        <f>parametros!$A$3</f>
        <v>Sim</v>
      </c>
      <c r="Y3" s="114">
        <f>IF(ISNUMBER(parametros!$E$3),parametros!$E$3,"")</f>
        <v>5.1200000000000002E-2</v>
      </c>
      <c r="Z3" s="115">
        <f>IF(ISNUMBER(parametros!$F$3),parametros!$F$3,"")</f>
        <v>1.0511999999999999</v>
      </c>
      <c r="AA3" s="15"/>
      <c r="AB3" s="110">
        <f>IF(OR(A3="",posicao_contratual!E3="",posicao_contratual!J3=""),"",ROUND(MAX(posicao_contratual!E3-posicao_contratual!J3,0),2))</f>
        <v>0</v>
      </c>
      <c r="AC3" s="104">
        <f>IF(AND(A3="",A2&lt;&gt;"",COUNTIF(A4:$A$200,"&lt;&gt;")=0),ROUND(SUMIF($A$2:A2,"&lt;&gt;",$AC$2:AC2),2),IF(OR(AB3="",C3="",NOT(ISNUMBER($Z$2))),"",ROUND(AB3*C3*$Z$2,2)))</f>
        <v>0</v>
      </c>
      <c r="AD3" s="180">
        <f>IF(A3="","",posicao_contratual!E3)</f>
        <v>80</v>
      </c>
      <c r="AE3" s="180">
        <f>IF(A3="","",posicao_contratual!I3)</f>
        <v>80</v>
      </c>
      <c r="AF3" s="180">
        <f>IF(A3="","",posicao_contratual!M3)</f>
        <v>80</v>
      </c>
      <c r="AG3" s="180">
        <f>IF(A3="","",posicao_contratual!Q3)</f>
        <v>80</v>
      </c>
      <c r="AH3" s="180">
        <f>IF(A3="","",posicao_contratual!U3)</f>
        <v>80</v>
      </c>
      <c r="AI3" s="180">
        <f>IF(A3="","",posicao_contratual!G3)</f>
        <v>80</v>
      </c>
      <c r="AJ3" s="180">
        <f>IF(A3="","",posicao_contratual!K3)</f>
        <v>80</v>
      </c>
      <c r="AK3" s="180">
        <f>IF(A3="","",posicao_contratual!O3)</f>
        <v>80</v>
      </c>
      <c r="AL3" s="180">
        <f>IF(A3="","",posicao_contratual!S3)</f>
        <v>80</v>
      </c>
      <c r="AM3" s="180">
        <f>IF(A3="","",posicao_contratual!W3)</f>
        <v>80</v>
      </c>
      <c r="AN3" s="181" t="str">
        <f>IF(A3="","",posicao_contratual!X3)</f>
        <v>OK</v>
      </c>
    </row>
    <row r="4" spans="1:40" x14ac:dyDescent="0.35">
      <c r="A4" s="106" t="s">
        <v>101</v>
      </c>
      <c r="B4" s="107">
        <v>40</v>
      </c>
      <c r="C4" s="108">
        <v>3200</v>
      </c>
      <c r="D4" s="104">
        <f>IF(AND(A4="",A3&lt;&gt;"",COUNTIF(A5:$A$200,"&lt;&gt;")=0),ROUND(SUMIF($A$2:A3,"&lt;&gt;",$D$2:D3),2),IF(OR(A4="",B4="",C4=""),"",ROUND(B4*C4,2)))</f>
        <v>128000</v>
      </c>
      <c r="E4" s="109">
        <v>40</v>
      </c>
      <c r="F4" s="104">
        <f>IF(AND(A4="",A3&lt;&gt;"",COUNTIF(A5:$A$200,"&lt;&gt;")=0),ROUND(SUMIF($A$2:A3,"&lt;&gt;",$F$2:F3),2),IF(OR(A4="",posicao_contratual!K4="",C4="",NOT(ISNUMBER($Z$3))),"",ROUND(posicao_contratual!K4*C4*$Z$3,2)))</f>
        <v>134553.60000000001</v>
      </c>
      <c r="G4" s="109">
        <v>40</v>
      </c>
      <c r="H4" s="104">
        <f>IF(AND(A4="",A3&lt;&gt;"",COUNTIF(A5:$A$200,"&lt;&gt;")=0),ROUND(SUMIF($A$2:A3,"&lt;&gt;",$H$2:H3),2),IF(OR(A4="",posicao_contratual!O4="",C4="",NOT(ISNUMBER($Z$4))),"",ROUND(posicao_contratual!O4*C4*$Z$4,2)))</f>
        <v>139585.9</v>
      </c>
      <c r="I4" s="109">
        <v>40</v>
      </c>
      <c r="J4" s="104">
        <f>IF(AND(A4="",A3&lt;&gt;"",COUNTIF(A5:$A$200,"&lt;&gt;")=0),ROUND(SUMIF($A$2:A3,"&lt;&gt;",$J$2:J3),2),IF(OR(A4="",posicao_contratual!S4="",C4="",NOT(ISNUMBER($Z$5))),"",ROUND(posicao_contratual!S4*C4*$Z$5,2)))</f>
        <v>143619.94</v>
      </c>
      <c r="K4" s="109">
        <v>40</v>
      </c>
      <c r="L4" s="104" t="str">
        <f>IF(AND(A4="",A3&lt;&gt;"",COUNTIF(A5:$A$200,"&lt;&gt;")=0),ROUND(SUMIF($A$2:A3,"&lt;&gt;",$L$2:L3),2),IF(OR(A4="",posicao_contratual!W4="",C4="",NOT(ISNUMBER($Z$6))),"",ROUND(posicao_contratual!W4*C4*$Z$6,2)))</f>
        <v/>
      </c>
      <c r="M4" s="110">
        <v>40</v>
      </c>
      <c r="N4" s="104">
        <f>IF(AND(A4="",A3&lt;&gt;"",COUNTIF(A5:$A$200,"&lt;&gt;")=0),ROUND(SUMIF($A$2:A3,"&lt;&gt;",$N$2:N3),2),IF(OR(M4="",C4="",NOT(ISNUMBER($Z$3))),"",ROUND(M4*C4*$Z$3,2)))</f>
        <v>134553.60000000001</v>
      </c>
      <c r="O4" s="110">
        <f>IF(OR(posicao_contratual!N4="",posicao_contratual!R4=""),"",ROUND(MAX(posicao_contratual!N4+posicao_contratual!L4-posicao_contratual!R4,0),2))</f>
        <v>0</v>
      </c>
      <c r="P4" s="104">
        <f>IF(AND(A4="",A3&lt;&gt;"",COUNTIF(A5:$A$200,"&lt;&gt;")=0),ROUND(SUMIF($A$2:A3,"&lt;&gt;",$P$2:P3),2),IF(OR(O4="",C4="",NOT(ISNUMBER($Z$4))),"",ROUND(O4*C4*$Z$4,2)))</f>
        <v>0</v>
      </c>
      <c r="Q4" s="110">
        <f>IF(OR(posicao_contratual!R4="",posicao_contratual!V4=""),"",ROUND(MAX(posicao_contratual!R4+posicao_contratual!P4-posicao_contratual!V4,0),2))</f>
        <v>0</v>
      </c>
      <c r="R4" s="104">
        <f>IF(AND(A4="",A3&lt;&gt;"",COUNTIF(A5:$A$200,"&lt;&gt;")=0),ROUND(SUMIF($A$2:A3,"&lt;&gt;",$R$2:R3),2),IF(OR(Q4="",C4="",NOT(ISNUMBER($Z$5))),"",ROUND(Q4*C4*$Z$5,2)))</f>
        <v>0</v>
      </c>
      <c r="S4" s="24"/>
      <c r="T4" s="25"/>
      <c r="U4" s="111" t="str">
        <f>IF(AND(A4="",A3&lt;&gt;"",COUNTIF(A5:$A$200,"&lt;&gt;")=0),"TOTAL",IF(A4="","",posicao_contratual!X4))</f>
        <v>OK</v>
      </c>
      <c r="V4" s="111" t="str">
        <f>IF(A4="","",posicao_contratual!X4)</f>
        <v>OK</v>
      </c>
      <c r="W4" s="112" t="s">
        <v>37</v>
      </c>
      <c r="X4" s="113" t="str">
        <f>parametros!$A$4</f>
        <v>Nao</v>
      </c>
      <c r="Y4" s="114">
        <f>IF(ISNUMBER(parametros!$E$4),parametros!$E$4,"")</f>
        <v>3.7400000000000003E-2</v>
      </c>
      <c r="Z4" s="115">
        <f>IF(ISNUMBER(parametros!$F$4),parametros!$F$4,"")</f>
        <v>1.09051488</v>
      </c>
      <c r="AA4" s="15"/>
      <c r="AB4" s="110">
        <f>IF(OR(A4="",posicao_contratual!E4="",posicao_contratual!J4=""),"",ROUND(MAX(posicao_contratual!E4-posicao_contratual!J4,0),2))</f>
        <v>0</v>
      </c>
      <c r="AC4" s="104">
        <f>IF(AND(A4="",A3&lt;&gt;"",COUNTIF(A5:$A$200,"&lt;&gt;")=0),ROUND(SUMIF($A$2:A3,"&lt;&gt;",$AC$2:AC3),2),IF(OR(AB4="",C4="",NOT(ISNUMBER($Z$2))),"",ROUND(AB4*C4*$Z$2,2)))</f>
        <v>0</v>
      </c>
      <c r="AD4" s="180">
        <f>IF(A4="","",posicao_contratual!E4)</f>
        <v>40</v>
      </c>
      <c r="AE4" s="180">
        <f>IF(A4="","",posicao_contratual!I4)</f>
        <v>40</v>
      </c>
      <c r="AF4" s="180">
        <f>IF(A4="","",posicao_contratual!M4)</f>
        <v>40</v>
      </c>
      <c r="AG4" s="180">
        <f>IF(A4="","",posicao_contratual!Q4)</f>
        <v>40</v>
      </c>
      <c r="AH4" s="180">
        <f>IF(A4="","",posicao_contratual!U4)</f>
        <v>40</v>
      </c>
      <c r="AI4" s="180">
        <f>IF(A4="","",posicao_contratual!G4)</f>
        <v>40</v>
      </c>
      <c r="AJ4" s="180">
        <f>IF(A4="","",posicao_contratual!K4)</f>
        <v>40</v>
      </c>
      <c r="AK4" s="180">
        <f>IF(A4="","",posicao_contratual!O4)</f>
        <v>40</v>
      </c>
      <c r="AL4" s="180">
        <f>IF(A4="","",posicao_contratual!S4)</f>
        <v>40</v>
      </c>
      <c r="AM4" s="180">
        <f>IF(A4="","",posicao_contratual!W4)</f>
        <v>40</v>
      </c>
      <c r="AN4" s="181" t="str">
        <f>IF(A4="","",posicao_contratual!X4)</f>
        <v>OK</v>
      </c>
    </row>
    <row r="5" spans="1:40" x14ac:dyDescent="0.35">
      <c r="A5" s="106"/>
      <c r="B5" s="107"/>
      <c r="C5" s="108"/>
      <c r="D5" s="104">
        <f>IF(AND(A5="",A4&lt;&gt;"",COUNTIF(A6:$A$200,"&lt;&gt;")=0),ROUND(SUMIF($A$2:A4,"&lt;&gt;",$D$2:D4),2),IF(OR(A5="",B5="",C5=""),"",ROUND(B5*C5,2)))</f>
        <v>278000</v>
      </c>
      <c r="E5" s="109"/>
      <c r="F5" s="104">
        <f>IF(AND(A5="",A4&lt;&gt;"",COUNTIF(A6:$A$200,"&lt;&gt;")=0),ROUND(SUMIF($A$2:A4,"&lt;&gt;",$F$2:F4),2),IF(OR(A5="",posicao_contratual!K5="",C5="",NOT(ISNUMBER($Z$3))),"",ROUND(posicao_contratual!K5*C5*$Z$3,2)))</f>
        <v>292233.59999999998</v>
      </c>
      <c r="G5" s="109"/>
      <c r="H5" s="104">
        <f>IF(AND(A5="",A4&lt;&gt;"",COUNTIF(A6:$A$200,"&lt;&gt;")=0),ROUND(SUMIF($A$2:A4,"&lt;&gt;",$H$2:H4),2),IF(OR(A5="",posicao_contratual!O5="",C5="",NOT(ISNUMBER($Z$4))),"",ROUND(posicao_contratual!O5*C5*$Z$4,2)))</f>
        <v>303163.14</v>
      </c>
      <c r="I5" s="109"/>
      <c r="J5" s="104">
        <f>IF(AND(A5="",A4&lt;&gt;"",COUNTIF(A6:$A$200,"&lt;&gt;")=0),ROUND(SUMIF($A$2:A4,"&lt;&gt;",$J$2:J4),2),IF(OR(A5="",posicao_contratual!S5="",C5="",NOT(ISNUMBER($Z$5))),"",ROUND(posicao_contratual!S5*C5*$Z$5,2)))</f>
        <v>311924.55</v>
      </c>
      <c r="K5" s="109"/>
      <c r="L5" s="104">
        <f>IF(AND(A5="",A4&lt;&gt;"",COUNTIF(A6:$A$200,"&lt;&gt;")=0),ROUND(SUMIF($A$2:A4,"&lt;&gt;",$L$2:L4),2),IF(OR(A5="",posicao_contratual!W5="",C5="",NOT(ISNUMBER($Z$6))),"",ROUND(posicao_contratual!W5*C5*$Z$6,2)))</f>
        <v>0</v>
      </c>
      <c r="M5" s="110" t="str">
        <f>IF(OR(posicao_contratual!J5="",posicao_contratual!N5=""),"",ROUND(MAX(posicao_contratual!J5+posicao_contratual!H5-posicao_contratual!N5,0),2))</f>
        <v/>
      </c>
      <c r="N5" s="104">
        <f>IF(AND(A5="",A4&lt;&gt;"",COUNTIF(A6:$A$200,"&lt;&gt;")=0),ROUND(SUMIF($A$2:A4,"&lt;&gt;",$N$2:N4),2),IF(OR(M5="",C5="",NOT(ISNUMBER($Z$3))),"",ROUND(M5*C5*$Z$3,2)))</f>
        <v>292233.59999999998</v>
      </c>
      <c r="O5" s="110" t="str">
        <f>IF(OR(posicao_contratual!N5="",posicao_contratual!R5=""),"",ROUND(MAX(posicao_contratual!N5+posicao_contratual!L5-posicao_contratual!R5,0),2))</f>
        <v/>
      </c>
      <c r="P5" s="104">
        <f>IF(AND(A5="",A4&lt;&gt;"",COUNTIF(A6:$A$200,"&lt;&gt;")=0),ROUND(SUMIF($A$2:A4,"&lt;&gt;",$P$2:P4),2),IF(OR(O5="",C5="",NOT(ISNUMBER($Z$4))),"",ROUND(O5*C5*$Z$4,2)))</f>
        <v>0</v>
      </c>
      <c r="Q5" s="110" t="str">
        <f>IF(OR(posicao_contratual!R5="",posicao_contratual!V5=""),"",ROUND(MAX(posicao_contratual!R5+posicao_contratual!P5-posicao_contratual!V5,0),2))</f>
        <v/>
      </c>
      <c r="R5" s="104">
        <f>IF(AND(A5="",A4&lt;&gt;"",COUNTIF(A6:$A$200,"&lt;&gt;")=0),ROUND(SUMIF($A$2:A4,"&lt;&gt;",$R$2:R4),2),IF(OR(Q5="",C5="",NOT(ISNUMBER($Z$5))),"",ROUND(Q5*C5*$Z$5,2)))</f>
        <v>0</v>
      </c>
      <c r="S5" s="24"/>
      <c r="T5" s="25"/>
      <c r="U5" s="111" t="str">
        <f>IF(AND(A5="",A4&lt;&gt;"",COUNTIF(A6:$A$200,"&lt;&gt;")=0),"TOTAL",IF(A5="","",posicao_contratual!X5))</f>
        <v>TOTAL</v>
      </c>
      <c r="V5" s="111" t="str">
        <f>IF(A5="","",posicao_contratual!X5)</f>
        <v/>
      </c>
      <c r="W5" s="112" t="s">
        <v>38</v>
      </c>
      <c r="X5" s="113" t="str">
        <f>parametros!$A$5</f>
        <v>Nao</v>
      </c>
      <c r="Y5" s="114">
        <f>IF(ISNUMBER(parametros!$E$5),parametros!$E$5,"")</f>
        <v>2.8899999999999999E-2</v>
      </c>
      <c r="Z5" s="115">
        <f>IF(ISNUMBER(parametros!$F$5),parametros!$F$5,"")</f>
        <v>1.1220307600319999</v>
      </c>
      <c r="AA5" s="15"/>
      <c r="AB5" s="110" t="str">
        <f>IF(OR(A5="",posicao_contratual!E5="",posicao_contratual!J5=""),"",ROUND(MAX(posicao_contratual!E5-posicao_contratual!J5,0),2))</f>
        <v/>
      </c>
      <c r="AC5" s="104">
        <f>IF(AND(A5="",A4&lt;&gt;"",COUNTIF(A6:$A$200,"&lt;&gt;")=0),ROUND(SUMIF($A$2:A4,"&lt;&gt;",$AC$2:AC4),2),IF(OR(AB5="",C5="",NOT(ISNUMBER($Z$2))),"",ROUND(AB5*C5*$Z$2,2)))</f>
        <v>0</v>
      </c>
      <c r="AD5" s="180" t="str">
        <f>IF(A5="","",posicao_contratual!E5)</f>
        <v/>
      </c>
      <c r="AE5" s="180" t="str">
        <f>IF(A5="","",posicao_contratual!I5)</f>
        <v/>
      </c>
      <c r="AF5" s="180" t="str">
        <f>IF(A5="","",posicao_contratual!M5)</f>
        <v/>
      </c>
      <c r="AG5" s="180" t="str">
        <f>IF(A5="","",posicao_contratual!Q5)</f>
        <v/>
      </c>
      <c r="AH5" s="180" t="str">
        <f>IF(A5="","",posicao_contratual!U5)</f>
        <v/>
      </c>
      <c r="AI5" s="180" t="str">
        <f>IF(A5="","",posicao_contratual!G5)</f>
        <v/>
      </c>
      <c r="AJ5" s="180" t="str">
        <f>IF(A5="","",posicao_contratual!K5)</f>
        <v/>
      </c>
      <c r="AK5" s="180" t="str">
        <f>IF(A5="","",posicao_contratual!O5)</f>
        <v/>
      </c>
      <c r="AL5" s="180" t="str">
        <f>IF(A5="","",posicao_contratual!S5)</f>
        <v/>
      </c>
      <c r="AM5" s="180" t="str">
        <f>IF(A5="","",posicao_contratual!W5)</f>
        <v/>
      </c>
      <c r="AN5" s="181" t="str">
        <f>IF(A5="","",posicao_contratual!X5)</f>
        <v/>
      </c>
    </row>
    <row r="6" spans="1:40" x14ac:dyDescent="0.35">
      <c r="A6" s="106"/>
      <c r="B6" s="107"/>
      <c r="C6" s="108"/>
      <c r="D6" s="104" t="str">
        <f>IF(AND(A6="",A5&lt;&gt;"",COUNTIF(A7:$A$200,"&lt;&gt;")=0),ROUND(SUMIF($A$2:A5,"&lt;&gt;",$D$2:D5),2),IF(OR(A6="",B6="",C6=""),"",ROUND(B6*C6,2)))</f>
        <v/>
      </c>
      <c r="E6" s="109"/>
      <c r="F6" s="104" t="str">
        <f>IF(AND(A6="",A5&lt;&gt;"",COUNTIF(A7:$A$200,"&lt;&gt;")=0),ROUND(SUMIF($A$2:A5,"&lt;&gt;",$F$2:F5),2),IF(OR(A6="",posicao_contratual!K6="",C6="",NOT(ISNUMBER($Z$3))),"",ROUND(posicao_contratual!K6*C6*$Z$3,2)))</f>
        <v/>
      </c>
      <c r="G6" s="109"/>
      <c r="H6" s="104" t="str">
        <f>IF(AND(A6="",A5&lt;&gt;"",COUNTIF(A7:$A$200,"&lt;&gt;")=0),ROUND(SUMIF($A$2:A5,"&lt;&gt;",$H$2:H5),2),IF(OR(A6="",posicao_contratual!O6="",C6="",NOT(ISNUMBER($Z$4))),"",ROUND(posicao_contratual!O6*C6*$Z$4,2)))</f>
        <v/>
      </c>
      <c r="I6" s="109"/>
      <c r="J6" s="104" t="str">
        <f>IF(AND(A6="",A5&lt;&gt;"",COUNTIF(A7:$A$200,"&lt;&gt;")=0),ROUND(SUMIF($A$2:A5,"&lt;&gt;",$J$2:J5),2),IF(OR(A6="",posicao_contratual!S6="",C6="",NOT(ISNUMBER($Z$5))),"",ROUND(posicao_contratual!S6*C6*$Z$5,2)))</f>
        <v/>
      </c>
      <c r="K6" s="109"/>
      <c r="L6" s="104" t="str">
        <f>IF(AND(A6="",A5&lt;&gt;"",COUNTIF(A7:$A$200,"&lt;&gt;")=0),ROUND(SUMIF($A$2:A5,"&lt;&gt;",$L$2:L5),2),IF(OR(A6="",posicao_contratual!W6="",C6="",NOT(ISNUMBER($Z$6))),"",ROUND(posicao_contratual!W6*C6*$Z$6,2)))</f>
        <v/>
      </c>
      <c r="M6" s="110" t="str">
        <f>IF(OR(posicao_contratual!J6="",posicao_contratual!N6=""),"",ROUND(MAX(posicao_contratual!J6+posicao_contratual!H6-posicao_contratual!N6,0),2))</f>
        <v/>
      </c>
      <c r="N6" s="104" t="str">
        <f>IF(AND(A6="",A5&lt;&gt;"",COUNTIF(A7:$A$200,"&lt;&gt;")=0),ROUND(SUMIF($A$2:A5,"&lt;&gt;",$N$2:N5),2),IF(OR(M6="",C6="",NOT(ISNUMBER($Z$3))),"",ROUND(M6*C6*$Z$3,2)))</f>
        <v/>
      </c>
      <c r="O6" s="110" t="str">
        <f>IF(OR(posicao_contratual!N6="",posicao_contratual!R6=""),"",ROUND(MAX(posicao_contratual!N6+posicao_contratual!L6-posicao_contratual!R6,0),2))</f>
        <v/>
      </c>
      <c r="P6" s="104" t="str">
        <f>IF(AND(A6="",A5&lt;&gt;"",COUNTIF(A7:$A$200,"&lt;&gt;")=0),ROUND(SUMIF($A$2:A5,"&lt;&gt;",$P$2:P5),2),IF(OR(O6="",C6="",NOT(ISNUMBER($Z$4))),"",ROUND(O6*C6*$Z$4,2)))</f>
        <v/>
      </c>
      <c r="Q6" s="110" t="str">
        <f>IF(OR(posicao_contratual!R6="",posicao_contratual!V6=""),"",ROUND(MAX(posicao_contratual!R6+posicao_contratual!P6-posicao_contratual!V6,0),2))</f>
        <v/>
      </c>
      <c r="R6" s="104" t="str">
        <f>IF(AND(A6="",A5&lt;&gt;"",COUNTIF(A7:$A$200,"&lt;&gt;")=0),ROUND(SUMIF($A$2:A5,"&lt;&gt;",$R$2:R5),2),IF(OR(Q6="",C6="",NOT(ISNUMBER($Z$5))),"",ROUND(Q6*C6*$Z$5,2)))</f>
        <v/>
      </c>
      <c r="S6" s="24"/>
      <c r="T6" s="25"/>
      <c r="U6" s="111" t="str">
        <f>IF(AND(A6="",A5&lt;&gt;"",COUNTIF(A7:$A$200,"&lt;&gt;")=0),"TOTAL",IF(A6="","",posicao_contratual!X6))</f>
        <v/>
      </c>
      <c r="V6" s="111" t="str">
        <f>IF(A6="","",posicao_contratual!X6)</f>
        <v/>
      </c>
      <c r="W6" s="112" t="s">
        <v>39</v>
      </c>
      <c r="X6" s="113" t="str">
        <f>parametros!$A$6</f>
        <v>Nao</v>
      </c>
      <c r="Y6" s="114" t="str">
        <f>IF(ISNUMBER(parametros!$E$6),parametros!$E$6,"")</f>
        <v/>
      </c>
      <c r="Z6" s="115" t="str">
        <f>IF(ISNUMBER(parametros!$F$6),parametros!$F$6,"")</f>
        <v/>
      </c>
      <c r="AA6" s="15"/>
      <c r="AB6" s="110" t="str">
        <f>IF(OR(A6="",posicao_contratual!E6="",posicao_contratual!J6=""),"",ROUND(MAX(posicao_contratual!E6-posicao_contratual!J6,0),2))</f>
        <v/>
      </c>
      <c r="AC6" s="104" t="str">
        <f>IF(AND(A6="",A5&lt;&gt;"",COUNTIF(A7:$A$200,"&lt;&gt;")=0),ROUND(SUMIF($A$2:A5,"&lt;&gt;",$AC$2:AC5),2),IF(OR(AB6="",C6="",NOT(ISNUMBER($Z$2))),"",ROUND(AB6*C6*$Z$2,2)))</f>
        <v/>
      </c>
      <c r="AD6" s="180" t="str">
        <f>IF(A6="","",posicao_contratual!E6)</f>
        <v/>
      </c>
      <c r="AE6" s="180" t="str">
        <f>IF(A6="","",posicao_contratual!I6)</f>
        <v/>
      </c>
      <c r="AF6" s="180" t="str">
        <f>IF(A6="","",posicao_contratual!M6)</f>
        <v/>
      </c>
      <c r="AG6" s="180" t="str">
        <f>IF(A6="","",posicao_contratual!Q6)</f>
        <v/>
      </c>
      <c r="AH6" s="180" t="str">
        <f>IF(A6="","",posicao_contratual!U6)</f>
        <v/>
      </c>
      <c r="AI6" s="180" t="str">
        <f>IF(A6="","",posicao_contratual!G6)</f>
        <v/>
      </c>
      <c r="AJ6" s="180" t="str">
        <f>IF(A6="","",posicao_contratual!K6)</f>
        <v/>
      </c>
      <c r="AK6" s="180" t="str">
        <f>IF(A6="","",posicao_contratual!O6)</f>
        <v/>
      </c>
      <c r="AL6" s="180" t="str">
        <f>IF(A6="","",posicao_contratual!S6)</f>
        <v/>
      </c>
      <c r="AM6" s="180" t="str">
        <f>IF(A6="","",posicao_contratual!W6)</f>
        <v/>
      </c>
      <c r="AN6" s="181" t="str">
        <f>IF(A6="","",posicao_contratual!X6)</f>
        <v/>
      </c>
    </row>
    <row r="7" spans="1:40" x14ac:dyDescent="0.35">
      <c r="A7" s="106"/>
      <c r="B7" s="107"/>
      <c r="C7" s="108"/>
      <c r="D7" s="104" t="str">
        <f>IF(AND(A7="",A6&lt;&gt;"",COUNTIF(A8:$A$200,"&lt;&gt;")=0),ROUND(SUMIF($A$2:A6,"&lt;&gt;",$D$2:D6),2),IF(OR(A7="",B7="",C7=""),"",ROUND(B7*C7,2)))</f>
        <v/>
      </c>
      <c r="E7" s="109"/>
      <c r="F7" s="104" t="str">
        <f>IF(AND(A7="",A6&lt;&gt;"",COUNTIF(A8:$A$200,"&lt;&gt;")=0),ROUND(SUMIF($A$2:A6,"&lt;&gt;",$F$2:F6),2),IF(OR(A7="",posicao_contratual!K7="",C7="",NOT(ISNUMBER($Z$3))),"",ROUND(posicao_contratual!K7*C7*$Z$3,2)))</f>
        <v/>
      </c>
      <c r="G7" s="109"/>
      <c r="H7" s="104" t="str">
        <f>IF(AND(A7="",A6&lt;&gt;"",COUNTIF(A8:$A$200,"&lt;&gt;")=0),ROUND(SUMIF($A$2:A6,"&lt;&gt;",$H$2:H6),2),IF(OR(A7="",posicao_contratual!O7="",C7="",NOT(ISNUMBER($Z$4))),"",ROUND(posicao_contratual!O7*C7*$Z$4,2)))</f>
        <v/>
      </c>
      <c r="I7" s="109"/>
      <c r="J7" s="104" t="str">
        <f>IF(AND(A7="",A6&lt;&gt;"",COUNTIF(A8:$A$200,"&lt;&gt;")=0),ROUND(SUMIF($A$2:A6,"&lt;&gt;",$J$2:J6),2),IF(OR(A7="",posicao_contratual!S7="",C7="",NOT(ISNUMBER($Z$5))),"",ROUND(posicao_contratual!S7*C7*$Z$5,2)))</f>
        <v/>
      </c>
      <c r="K7" s="109"/>
      <c r="L7" s="104" t="str">
        <f>IF(AND(A7="",A6&lt;&gt;"",COUNTIF(A8:$A$200,"&lt;&gt;")=0),ROUND(SUMIF($A$2:A6,"&lt;&gt;",$L$2:L6),2),IF(OR(A7="",posicao_contratual!W7="",C7="",NOT(ISNUMBER($Z$6))),"",ROUND(posicao_contratual!W7*C7*$Z$6,2)))</f>
        <v/>
      </c>
      <c r="M7" s="110" t="str">
        <f>IF(OR(posicao_contratual!J7="",posicao_contratual!N7=""),"",ROUND(MAX(posicao_contratual!J7+posicao_contratual!H7-posicao_contratual!N7,0),2))</f>
        <v/>
      </c>
      <c r="N7" s="104" t="str">
        <f>IF(AND(A7="",A6&lt;&gt;"",COUNTIF(A8:$A$200,"&lt;&gt;")=0),ROUND(SUMIF($A$2:A6,"&lt;&gt;",$N$2:N6),2),IF(OR(M7="",C7="",NOT(ISNUMBER($Z$3))),"",ROUND(M7*C7*$Z$3,2)))</f>
        <v/>
      </c>
      <c r="O7" s="110" t="str">
        <f>IF(OR(posicao_contratual!N7="",posicao_contratual!R7=""),"",ROUND(MAX(posicao_contratual!N7+posicao_contratual!L7-posicao_contratual!R7,0),2))</f>
        <v/>
      </c>
      <c r="P7" s="104" t="str">
        <f>IF(AND(A7="",A6&lt;&gt;"",COUNTIF(A8:$A$200,"&lt;&gt;")=0),ROUND(SUMIF($A$2:A6,"&lt;&gt;",$P$2:P6),2),IF(OR(O7="",C7="",NOT(ISNUMBER($Z$4))),"",ROUND(O7*C7*$Z$4,2)))</f>
        <v/>
      </c>
      <c r="Q7" s="110" t="str">
        <f>IF(OR(posicao_contratual!R7="",posicao_contratual!V7=""),"",ROUND(MAX(posicao_contratual!R7+posicao_contratual!P7-posicao_contratual!V7,0),2))</f>
        <v/>
      </c>
      <c r="R7" s="104" t="str">
        <f>IF(AND(A7="",A6&lt;&gt;"",COUNTIF(A8:$A$200,"&lt;&gt;")=0),ROUND(SUMIF($A$2:A6,"&lt;&gt;",$R$2:R6),2),IF(OR(Q7="",C7="",NOT(ISNUMBER($Z$5))),"",ROUND(Q7*C7*$Z$5,2)))</f>
        <v/>
      </c>
      <c r="S7" s="24"/>
      <c r="T7" s="25"/>
      <c r="U7" s="111" t="str">
        <f>IF(AND(A7="",A6&lt;&gt;"",COUNTIF(A8:$A$200,"&lt;&gt;")=0),"TOTAL",IF(A7="","",posicao_contratual!X7))</f>
        <v/>
      </c>
      <c r="V7" s="111" t="str">
        <f>IF(A7="","",posicao_contratual!X7)</f>
        <v/>
      </c>
      <c r="W7" s="16"/>
      <c r="X7" s="16"/>
      <c r="Y7" s="16"/>
      <c r="Z7" s="15"/>
      <c r="AA7" s="15"/>
      <c r="AB7" s="110" t="str">
        <f>IF(OR(A7="",posicao_contratual!E7="",posicao_contratual!J7=""),"",ROUND(MAX(posicao_contratual!E7-posicao_contratual!J7,0),2))</f>
        <v/>
      </c>
      <c r="AC7" s="104" t="str">
        <f>IF(AND(A7="",A6&lt;&gt;"",COUNTIF(A8:$A$200,"&lt;&gt;")=0),ROUND(SUMIF($A$2:A6,"&lt;&gt;",$AC$2:AC6),2),IF(OR(AB7="",C7="",NOT(ISNUMBER($Z$2))),"",ROUND(AB7*C7*$Z$2,2)))</f>
        <v/>
      </c>
      <c r="AD7" s="180" t="str">
        <f>IF(A7="","",posicao_contratual!E7)</f>
        <v/>
      </c>
      <c r="AE7" s="180" t="str">
        <f>IF(A7="","",posicao_contratual!I7)</f>
        <v/>
      </c>
      <c r="AF7" s="180" t="str">
        <f>IF(A7="","",posicao_contratual!M7)</f>
        <v/>
      </c>
      <c r="AG7" s="180" t="str">
        <f>IF(A7="","",posicao_contratual!Q7)</f>
        <v/>
      </c>
      <c r="AH7" s="180" t="str">
        <f>IF(A7="","",posicao_contratual!U7)</f>
        <v/>
      </c>
      <c r="AI7" s="180" t="str">
        <f>IF(A7="","",posicao_contratual!G7)</f>
        <v/>
      </c>
      <c r="AJ7" s="180" t="str">
        <f>IF(A7="","",posicao_contratual!K7)</f>
        <v/>
      </c>
      <c r="AK7" s="180" t="str">
        <f>IF(A7="","",posicao_contratual!O7)</f>
        <v/>
      </c>
      <c r="AL7" s="180" t="str">
        <f>IF(A7="","",posicao_contratual!S7)</f>
        <v/>
      </c>
      <c r="AM7" s="180" t="str">
        <f>IF(A7="","",posicao_contratual!W7)</f>
        <v/>
      </c>
      <c r="AN7" s="181" t="str">
        <f>IF(A7="","",posicao_contratual!X7)</f>
        <v/>
      </c>
    </row>
    <row r="8" spans="1:40" x14ac:dyDescent="0.35">
      <c r="A8" s="106"/>
      <c r="B8" s="107"/>
      <c r="C8" s="108"/>
      <c r="D8" s="104" t="str">
        <f>IF(AND(A8="",A7&lt;&gt;"",COUNTIF(A9:$A$200,"&lt;&gt;")=0),ROUND(SUMIF($A$2:A7,"&lt;&gt;",$D$2:D7),2),IF(OR(A8="",B8="",C8=""),"",ROUND(B8*C8,2)))</f>
        <v/>
      </c>
      <c r="E8" s="109"/>
      <c r="F8" s="104" t="str">
        <f>IF(AND(A8="",A7&lt;&gt;"",COUNTIF(A9:$A$200,"&lt;&gt;")=0),ROUND(SUMIF($A$2:A7,"&lt;&gt;",$F$2:F7),2),IF(OR(A8="",posicao_contratual!K8="",C8="",NOT(ISNUMBER($Z$3))),"",ROUND(posicao_contratual!K8*C8*$Z$3,2)))</f>
        <v/>
      </c>
      <c r="G8" s="109"/>
      <c r="H8" s="104" t="str">
        <f>IF(AND(A8="",A7&lt;&gt;"",COUNTIF(A9:$A$200,"&lt;&gt;")=0),ROUND(SUMIF($A$2:A7,"&lt;&gt;",$H$2:H7),2),IF(OR(A8="",posicao_contratual!O8="",C8="",NOT(ISNUMBER($Z$4))),"",ROUND(posicao_contratual!O8*C8*$Z$4,2)))</f>
        <v/>
      </c>
      <c r="I8" s="109"/>
      <c r="J8" s="104" t="str">
        <f>IF(AND(A8="",A7&lt;&gt;"",COUNTIF(A9:$A$200,"&lt;&gt;")=0),ROUND(SUMIF($A$2:A7,"&lt;&gt;",$J$2:J7),2),IF(OR(A8="",posicao_contratual!S8="",C8="",NOT(ISNUMBER($Z$5))),"",ROUND(posicao_contratual!S8*C8*$Z$5,2)))</f>
        <v/>
      </c>
      <c r="K8" s="109"/>
      <c r="L8" s="104" t="str">
        <f>IF(AND(A8="",A7&lt;&gt;"",COUNTIF(A9:$A$200,"&lt;&gt;")=0),ROUND(SUMIF($A$2:A7,"&lt;&gt;",$L$2:L7),2),IF(OR(A8="",posicao_contratual!W8="",C8="",NOT(ISNUMBER($Z$6))),"",ROUND(posicao_contratual!W8*C8*$Z$6,2)))</f>
        <v/>
      </c>
      <c r="M8" s="110" t="str">
        <f>IF(OR(posicao_contratual!J8="",posicao_contratual!N8=""),"",ROUND(MAX(posicao_contratual!J8+posicao_contratual!H8-posicao_contratual!N8,0),2))</f>
        <v/>
      </c>
      <c r="N8" s="104" t="str">
        <f>IF(AND(A8="",A7&lt;&gt;"",COUNTIF(A9:$A$200,"&lt;&gt;")=0),ROUND(SUMIF($A$2:A7,"&lt;&gt;",$N$2:N7),2),IF(OR(M8="",C8="",NOT(ISNUMBER($Z$3))),"",ROUND(M8*C8*$Z$3,2)))</f>
        <v/>
      </c>
      <c r="O8" s="110" t="str">
        <f>IF(OR(posicao_contratual!N8="",posicao_contratual!R8=""),"",ROUND(MAX(posicao_contratual!N8+posicao_contratual!L8-posicao_contratual!R8,0),2))</f>
        <v/>
      </c>
      <c r="P8" s="104" t="str">
        <f>IF(AND(A8="",A7&lt;&gt;"",COUNTIF(A9:$A$200,"&lt;&gt;")=0),ROUND(SUMIF($A$2:A7,"&lt;&gt;",$P$2:P7),2),IF(OR(O8="",C8="",NOT(ISNUMBER($Z$4))),"",ROUND(O8*C8*$Z$4,2)))</f>
        <v/>
      </c>
      <c r="Q8" s="110" t="str">
        <f>IF(OR(posicao_contratual!R8="",posicao_contratual!V8=""),"",ROUND(MAX(posicao_contratual!R8+posicao_contratual!P8-posicao_contratual!V8,0),2))</f>
        <v/>
      </c>
      <c r="R8" s="104" t="str">
        <f>IF(AND(A8="",A7&lt;&gt;"",COUNTIF(A9:$A$200,"&lt;&gt;")=0),ROUND(SUMIF($A$2:A7,"&lt;&gt;",$R$2:R7),2),IF(OR(Q8="",C8="",NOT(ISNUMBER($Z$5))),"",ROUND(Q8*C8*$Z$5,2)))</f>
        <v/>
      </c>
      <c r="S8" s="24"/>
      <c r="T8" s="25"/>
      <c r="U8" s="111" t="str">
        <f>IF(AND(A8="",A7&lt;&gt;"",COUNTIF(A9:$A$200,"&lt;&gt;")=0),"TOTAL",IF(A8="","",posicao_contratual!X8))</f>
        <v/>
      </c>
      <c r="V8" s="111" t="str">
        <f>IF(A8="","",posicao_contratual!X8)</f>
        <v/>
      </c>
      <c r="W8" s="16"/>
      <c r="X8" s="16"/>
      <c r="Y8" s="16"/>
      <c r="Z8" s="15"/>
      <c r="AA8" s="15"/>
      <c r="AB8" s="110" t="str">
        <f>IF(OR(A8="",posicao_contratual!E8="",posicao_contratual!J8=""),"",ROUND(MAX(posicao_contratual!E8-posicao_contratual!J8,0),2))</f>
        <v/>
      </c>
      <c r="AC8" s="104" t="str">
        <f>IF(AND(A8="",A7&lt;&gt;"",COUNTIF(A9:$A$200,"&lt;&gt;")=0),ROUND(SUMIF($A$2:A7,"&lt;&gt;",$AC$2:AC7),2),IF(OR(AB8="",C8="",NOT(ISNUMBER($Z$2))),"",ROUND(AB8*C8*$Z$2,2)))</f>
        <v/>
      </c>
      <c r="AD8" s="180" t="str">
        <f>IF(A8="","",posicao_contratual!E8)</f>
        <v/>
      </c>
      <c r="AE8" s="180" t="str">
        <f>IF(A8="","",posicao_contratual!I8)</f>
        <v/>
      </c>
      <c r="AF8" s="180" t="str">
        <f>IF(A8="","",posicao_contratual!M8)</f>
        <v/>
      </c>
      <c r="AG8" s="180" t="str">
        <f>IF(A8="","",posicao_contratual!Q8)</f>
        <v/>
      </c>
      <c r="AH8" s="180" t="str">
        <f>IF(A8="","",posicao_contratual!U8)</f>
        <v/>
      </c>
      <c r="AI8" s="180" t="str">
        <f>IF(A8="","",posicao_contratual!G8)</f>
        <v/>
      </c>
      <c r="AJ8" s="180" t="str">
        <f>IF(A8="","",posicao_contratual!K8)</f>
        <v/>
      </c>
      <c r="AK8" s="180" t="str">
        <f>IF(A8="","",posicao_contratual!O8)</f>
        <v/>
      </c>
      <c r="AL8" s="180" t="str">
        <f>IF(A8="","",posicao_contratual!S8)</f>
        <v/>
      </c>
      <c r="AM8" s="180" t="str">
        <f>IF(A8="","",posicao_contratual!W8)</f>
        <v/>
      </c>
      <c r="AN8" s="181" t="str">
        <f>IF(A8="","",posicao_contratual!X8)</f>
        <v/>
      </c>
    </row>
    <row r="9" spans="1:40" x14ac:dyDescent="0.35">
      <c r="A9" s="106"/>
      <c r="B9" s="107"/>
      <c r="C9" s="108"/>
      <c r="D9" s="104" t="str">
        <f>IF(AND(A9="",A8&lt;&gt;"",COUNTIF(A10:$A$200,"&lt;&gt;")=0),ROUND(SUMIF($A$2:A8,"&lt;&gt;",$D$2:D8),2),IF(OR(A9="",B9="",C9=""),"",ROUND(B9*C9,2)))</f>
        <v/>
      </c>
      <c r="E9" s="109"/>
      <c r="F9" s="104" t="str">
        <f>IF(AND(A9="",A8&lt;&gt;"",COUNTIF(A10:$A$200,"&lt;&gt;")=0),ROUND(SUMIF($A$2:A8,"&lt;&gt;",$F$2:F8),2),IF(OR(A9="",posicao_contratual!K9="",C9="",NOT(ISNUMBER($Z$3))),"",ROUND(posicao_contratual!K9*C9*$Z$3,2)))</f>
        <v/>
      </c>
      <c r="G9" s="109"/>
      <c r="H9" s="104" t="str">
        <f>IF(AND(A9="",A8&lt;&gt;"",COUNTIF(A10:$A$200,"&lt;&gt;")=0),ROUND(SUMIF($A$2:A8,"&lt;&gt;",$H$2:H8),2),IF(OR(A9="",posicao_contratual!O9="",C9="",NOT(ISNUMBER($Z$4))),"",ROUND(posicao_contratual!O9*C9*$Z$4,2)))</f>
        <v/>
      </c>
      <c r="I9" s="109"/>
      <c r="J9" s="104" t="str">
        <f>IF(AND(A9="",A8&lt;&gt;"",COUNTIF(A10:$A$200,"&lt;&gt;")=0),ROUND(SUMIF($A$2:A8,"&lt;&gt;",$J$2:J8),2),IF(OR(A9="",posicao_contratual!S9="",C9="",NOT(ISNUMBER($Z$5))),"",ROUND(posicao_contratual!S9*C9*$Z$5,2)))</f>
        <v/>
      </c>
      <c r="K9" s="109"/>
      <c r="L9" s="104" t="str">
        <f>IF(AND(A9="",A8&lt;&gt;"",COUNTIF(A10:$A$200,"&lt;&gt;")=0),ROUND(SUMIF($A$2:A8,"&lt;&gt;",$L$2:L8),2),IF(OR(A9="",posicao_contratual!W9="",C9="",NOT(ISNUMBER($Z$6))),"",ROUND(posicao_contratual!W9*C9*$Z$6,2)))</f>
        <v/>
      </c>
      <c r="M9" s="110" t="str">
        <f>IF(OR(posicao_contratual!J9="",posicao_contratual!N9=""),"",ROUND(MAX(posicao_contratual!J9+posicao_contratual!H9-posicao_contratual!N9,0),2))</f>
        <v/>
      </c>
      <c r="N9" s="104" t="str">
        <f>IF(AND(A9="",A8&lt;&gt;"",COUNTIF(A10:$A$200,"&lt;&gt;")=0),ROUND(SUMIF($A$2:A8,"&lt;&gt;",$N$2:N8),2),IF(OR(M9="",C9="",NOT(ISNUMBER($Z$3))),"",ROUND(M9*C9*$Z$3,2)))</f>
        <v/>
      </c>
      <c r="O9" s="110" t="str">
        <f>IF(OR(posicao_contratual!N9="",posicao_contratual!R9=""),"",ROUND(MAX(posicao_contratual!N9+posicao_contratual!L9-posicao_contratual!R9,0),2))</f>
        <v/>
      </c>
      <c r="P9" s="104" t="str">
        <f>IF(AND(A9="",A8&lt;&gt;"",COUNTIF(A10:$A$200,"&lt;&gt;")=0),ROUND(SUMIF($A$2:A8,"&lt;&gt;",$P$2:P8),2),IF(OR(O9="",C9="",NOT(ISNUMBER($Z$4))),"",ROUND(O9*C9*$Z$4,2)))</f>
        <v/>
      </c>
      <c r="Q9" s="110" t="str">
        <f>IF(OR(posicao_contratual!R9="",posicao_contratual!V9=""),"",ROUND(MAX(posicao_contratual!R9+posicao_contratual!P9-posicao_contratual!V9,0),2))</f>
        <v/>
      </c>
      <c r="R9" s="104" t="str">
        <f>IF(AND(A9="",A8&lt;&gt;"",COUNTIF(A10:$A$200,"&lt;&gt;")=0),ROUND(SUMIF($A$2:A8,"&lt;&gt;",$R$2:R8),2),IF(OR(Q9="",C9="",NOT(ISNUMBER($Z$5))),"",ROUND(Q9*C9*$Z$5,2)))</f>
        <v/>
      </c>
      <c r="S9" s="24"/>
      <c r="T9" s="25"/>
      <c r="U9" s="111" t="str">
        <f>IF(AND(A9="",A8&lt;&gt;"",COUNTIF(A10:$A$200,"&lt;&gt;")=0),"TOTAL",IF(A9="","",posicao_contratual!X9))</f>
        <v/>
      </c>
      <c r="V9" s="111" t="str">
        <f>IF(A9="","",posicao_contratual!X9)</f>
        <v/>
      </c>
      <c r="W9" s="16"/>
      <c r="X9" s="16"/>
      <c r="Y9" s="16"/>
      <c r="Z9" s="15"/>
      <c r="AA9" s="15"/>
      <c r="AB9" s="110" t="str">
        <f>IF(OR(A9="",posicao_contratual!E9="",posicao_contratual!J9=""),"",ROUND(MAX(posicao_contratual!E9-posicao_contratual!J9,0),2))</f>
        <v/>
      </c>
      <c r="AC9" s="104" t="str">
        <f>IF(AND(A9="",A8&lt;&gt;"",COUNTIF(A10:$A$200,"&lt;&gt;")=0),ROUND(SUMIF($A$2:A8,"&lt;&gt;",$AC$2:AC8),2),IF(OR(AB9="",C9="",NOT(ISNUMBER($Z$2))),"",ROUND(AB9*C9*$Z$2,2)))</f>
        <v/>
      </c>
      <c r="AD9" s="180" t="str">
        <f>IF(A9="","",posicao_contratual!E9)</f>
        <v/>
      </c>
      <c r="AE9" s="180" t="str">
        <f>IF(A9="","",posicao_contratual!I9)</f>
        <v/>
      </c>
      <c r="AF9" s="180" t="str">
        <f>IF(A9="","",posicao_contratual!M9)</f>
        <v/>
      </c>
      <c r="AG9" s="180" t="str">
        <f>IF(A9="","",posicao_contratual!Q9)</f>
        <v/>
      </c>
      <c r="AH9" s="180" t="str">
        <f>IF(A9="","",posicao_contratual!U9)</f>
        <v/>
      </c>
      <c r="AI9" s="180" t="str">
        <f>IF(A9="","",posicao_contratual!G9)</f>
        <v/>
      </c>
      <c r="AJ9" s="180" t="str">
        <f>IF(A9="","",posicao_contratual!K9)</f>
        <v/>
      </c>
      <c r="AK9" s="180" t="str">
        <f>IF(A9="","",posicao_contratual!O9)</f>
        <v/>
      </c>
      <c r="AL9" s="180" t="str">
        <f>IF(A9="","",posicao_contratual!S9)</f>
        <v/>
      </c>
      <c r="AM9" s="180" t="str">
        <f>IF(A9="","",posicao_contratual!W9)</f>
        <v/>
      </c>
      <c r="AN9" s="181" t="str">
        <f>IF(A9="","",posicao_contratual!X9)</f>
        <v/>
      </c>
    </row>
    <row r="10" spans="1:40" x14ac:dyDescent="0.35">
      <c r="A10" s="106"/>
      <c r="B10" s="107"/>
      <c r="C10" s="108"/>
      <c r="D10" s="104" t="str">
        <f>IF(AND(A10="",A9&lt;&gt;"",COUNTIF(A11:$A$200,"&lt;&gt;")=0),ROUND(SUMIF($A$2:A9,"&lt;&gt;",$D$2:D9),2),IF(OR(A10="",B10="",C10=""),"",ROUND(B10*C10,2)))</f>
        <v/>
      </c>
      <c r="E10" s="109"/>
      <c r="F10" s="104" t="str">
        <f>IF(AND(A10="",A9&lt;&gt;"",COUNTIF(A11:$A$200,"&lt;&gt;")=0),ROUND(SUMIF($A$2:A9,"&lt;&gt;",$F$2:F9),2),IF(OR(A10="",posicao_contratual!K10="",C10="",NOT(ISNUMBER($Z$3))),"",ROUND(posicao_contratual!K10*C10*$Z$3,2)))</f>
        <v/>
      </c>
      <c r="G10" s="109"/>
      <c r="H10" s="104" t="str">
        <f>IF(AND(A10="",A9&lt;&gt;"",COUNTIF(A11:$A$200,"&lt;&gt;")=0),ROUND(SUMIF($A$2:A9,"&lt;&gt;",$H$2:H9),2),IF(OR(A10="",posicao_contratual!O10="",C10="",NOT(ISNUMBER($Z$4))),"",ROUND(posicao_contratual!O10*C10*$Z$4,2)))</f>
        <v/>
      </c>
      <c r="I10" s="109"/>
      <c r="J10" s="104" t="str">
        <f>IF(AND(A10="",A9&lt;&gt;"",COUNTIF(A11:$A$200,"&lt;&gt;")=0),ROUND(SUMIF($A$2:A9,"&lt;&gt;",$J$2:J9),2),IF(OR(A10="",posicao_contratual!S10="",C10="",NOT(ISNUMBER($Z$5))),"",ROUND(posicao_contratual!S10*C10*$Z$5,2)))</f>
        <v/>
      </c>
      <c r="K10" s="109"/>
      <c r="L10" s="104" t="str">
        <f>IF(AND(A10="",A9&lt;&gt;"",COUNTIF(A11:$A$200,"&lt;&gt;")=0),ROUND(SUMIF($A$2:A9,"&lt;&gt;",$L$2:L9),2),IF(OR(A10="",posicao_contratual!W10="",C10="",NOT(ISNUMBER($Z$6))),"",ROUND(posicao_contratual!W10*C10*$Z$6,2)))</f>
        <v/>
      </c>
      <c r="M10" s="110" t="str">
        <f>IF(OR(posicao_contratual!J10="",posicao_contratual!N10=""),"",ROUND(MAX(posicao_contratual!J10+posicao_contratual!H10-posicao_contratual!N10,0),2))</f>
        <v/>
      </c>
      <c r="N10" s="104" t="str">
        <f>IF(AND(A10="",A9&lt;&gt;"",COUNTIF(A11:$A$200,"&lt;&gt;")=0),ROUND(SUMIF($A$2:A9,"&lt;&gt;",$N$2:N9),2),IF(OR(M10="",C10="",NOT(ISNUMBER($Z$3))),"",ROUND(M10*C10*$Z$3,2)))</f>
        <v/>
      </c>
      <c r="O10" s="110" t="str">
        <f>IF(OR(posicao_contratual!N10="",posicao_contratual!R10=""),"",ROUND(MAX(posicao_contratual!N10+posicao_contratual!L10-posicao_contratual!R10,0),2))</f>
        <v/>
      </c>
      <c r="P10" s="104" t="str">
        <f>IF(AND(A10="",A9&lt;&gt;"",COUNTIF(A11:$A$200,"&lt;&gt;")=0),ROUND(SUMIF($A$2:A9,"&lt;&gt;",$P$2:P9),2),IF(OR(O10="",C10="",NOT(ISNUMBER($Z$4))),"",ROUND(O10*C10*$Z$4,2)))</f>
        <v/>
      </c>
      <c r="Q10" s="110" t="str">
        <f>IF(OR(posicao_contratual!R10="",posicao_contratual!V10=""),"",ROUND(MAX(posicao_contratual!R10+posicao_contratual!P10-posicao_contratual!V10,0),2))</f>
        <v/>
      </c>
      <c r="R10" s="104" t="str">
        <f>IF(AND(A10="",A9&lt;&gt;"",COUNTIF(A11:$A$200,"&lt;&gt;")=0),ROUND(SUMIF($A$2:A9,"&lt;&gt;",$R$2:R9),2),IF(OR(Q10="",C10="",NOT(ISNUMBER($Z$5))),"",ROUND(Q10*C10*$Z$5,2)))</f>
        <v/>
      </c>
      <c r="S10" s="24"/>
      <c r="T10" s="25"/>
      <c r="U10" s="111" t="str">
        <f>IF(AND(A10="",A9&lt;&gt;"",COUNTIF(A11:$A$200,"&lt;&gt;")=0),"TOTAL",IF(A10="","",posicao_contratual!X10))</f>
        <v/>
      </c>
      <c r="V10" s="111" t="str">
        <f>IF(A10="","",posicao_contratual!X10)</f>
        <v/>
      </c>
      <c r="W10" s="16"/>
      <c r="X10" s="16"/>
      <c r="Y10" s="16"/>
      <c r="Z10" s="15"/>
      <c r="AA10" s="15"/>
      <c r="AB10" s="110" t="str">
        <f>IF(OR(A10="",posicao_contratual!E10="",posicao_contratual!J10=""),"",ROUND(MAX(posicao_contratual!E10-posicao_contratual!J10,0),2))</f>
        <v/>
      </c>
      <c r="AC10" s="104" t="str">
        <f>IF(AND(A10="",A9&lt;&gt;"",COUNTIF(A11:$A$200,"&lt;&gt;")=0),ROUND(SUMIF($A$2:A9,"&lt;&gt;",$AC$2:AC9),2),IF(OR(AB10="",C10="",NOT(ISNUMBER($Z$2))),"",ROUND(AB10*C10*$Z$2,2)))</f>
        <v/>
      </c>
      <c r="AD10" s="180" t="str">
        <f>IF(A10="","",posicao_contratual!E10)</f>
        <v/>
      </c>
      <c r="AE10" s="180" t="str">
        <f>IF(A10="","",posicao_contratual!I10)</f>
        <v/>
      </c>
      <c r="AF10" s="180" t="str">
        <f>IF(A10="","",posicao_contratual!M10)</f>
        <v/>
      </c>
      <c r="AG10" s="180" t="str">
        <f>IF(A10="","",posicao_contratual!Q10)</f>
        <v/>
      </c>
      <c r="AH10" s="180" t="str">
        <f>IF(A10="","",posicao_contratual!U10)</f>
        <v/>
      </c>
      <c r="AI10" s="180" t="str">
        <f>IF(A10="","",posicao_contratual!G10)</f>
        <v/>
      </c>
      <c r="AJ10" s="180" t="str">
        <f>IF(A10="","",posicao_contratual!K10)</f>
        <v/>
      </c>
      <c r="AK10" s="180" t="str">
        <f>IF(A10="","",posicao_contratual!O10)</f>
        <v/>
      </c>
      <c r="AL10" s="180" t="str">
        <f>IF(A10="","",posicao_contratual!S10)</f>
        <v/>
      </c>
      <c r="AM10" s="180" t="str">
        <f>IF(A10="","",posicao_contratual!W10)</f>
        <v/>
      </c>
      <c r="AN10" s="181" t="str">
        <f>IF(A10="","",posicao_contratual!X10)</f>
        <v/>
      </c>
    </row>
    <row r="11" spans="1:40" x14ac:dyDescent="0.35">
      <c r="A11" s="106"/>
      <c r="B11" s="107"/>
      <c r="C11" s="108"/>
      <c r="D11" s="104" t="str">
        <f>IF(AND(A11="",A10&lt;&gt;"",COUNTIF(A12:$A$200,"&lt;&gt;")=0),ROUND(SUMIF($A$2:A10,"&lt;&gt;",$D$2:D10),2),IF(OR(A11="",B11="",C11=""),"",ROUND(B11*C11,2)))</f>
        <v/>
      </c>
      <c r="E11" s="109"/>
      <c r="F11" s="104" t="str">
        <f>IF(AND(A11="",A10&lt;&gt;"",COUNTIF(A12:$A$200,"&lt;&gt;")=0),ROUND(SUMIF($A$2:A10,"&lt;&gt;",$F$2:F10),2),IF(OR(A11="",posicao_contratual!K11="",C11="",NOT(ISNUMBER($Z$3))),"",ROUND(posicao_contratual!K11*C11*$Z$3,2)))</f>
        <v/>
      </c>
      <c r="G11" s="109"/>
      <c r="H11" s="104" t="str">
        <f>IF(AND(A11="",A10&lt;&gt;"",COUNTIF(A12:$A$200,"&lt;&gt;")=0),ROUND(SUMIF($A$2:A10,"&lt;&gt;",$H$2:H10),2),IF(OR(A11="",posicao_contratual!O11="",C11="",NOT(ISNUMBER($Z$4))),"",ROUND(posicao_contratual!O11*C11*$Z$4,2)))</f>
        <v/>
      </c>
      <c r="I11" s="109"/>
      <c r="J11" s="104" t="str">
        <f>IF(AND(A11="",A10&lt;&gt;"",COUNTIF(A12:$A$200,"&lt;&gt;")=0),ROUND(SUMIF($A$2:A10,"&lt;&gt;",$J$2:J10),2),IF(OR(A11="",posicao_contratual!S11="",C11="",NOT(ISNUMBER($Z$5))),"",ROUND(posicao_contratual!S11*C11*$Z$5,2)))</f>
        <v/>
      </c>
      <c r="K11" s="109"/>
      <c r="L11" s="104" t="str">
        <f>IF(AND(A11="",A10&lt;&gt;"",COUNTIF(A12:$A$200,"&lt;&gt;")=0),ROUND(SUMIF($A$2:A10,"&lt;&gt;",$L$2:L10),2),IF(OR(A11="",posicao_contratual!W11="",C11="",NOT(ISNUMBER($Z$6))),"",ROUND(posicao_contratual!W11*C11*$Z$6,2)))</f>
        <v/>
      </c>
      <c r="M11" s="110" t="str">
        <f>IF(OR(posicao_contratual!J11="",posicao_contratual!N11=""),"",ROUND(MAX(posicao_contratual!J11+posicao_contratual!H11-posicao_contratual!N11,0),2))</f>
        <v/>
      </c>
      <c r="N11" s="104" t="str">
        <f>IF(AND(A11="",A10&lt;&gt;"",COUNTIF(A12:$A$200,"&lt;&gt;")=0),ROUND(SUMIF($A$2:A10,"&lt;&gt;",$N$2:N10),2),IF(OR(M11="",C11="",NOT(ISNUMBER($Z$3))),"",ROUND(M11*C11*$Z$3,2)))</f>
        <v/>
      </c>
      <c r="O11" s="110" t="str">
        <f>IF(OR(posicao_contratual!N11="",posicao_contratual!R11=""),"",ROUND(MAX(posicao_contratual!N11+posicao_contratual!L11-posicao_contratual!R11,0),2))</f>
        <v/>
      </c>
      <c r="P11" s="104" t="str">
        <f>IF(AND(A11="",A10&lt;&gt;"",COUNTIF(A12:$A$200,"&lt;&gt;")=0),ROUND(SUMIF($A$2:A10,"&lt;&gt;",$P$2:P10),2),IF(OR(O11="",C11="",NOT(ISNUMBER($Z$4))),"",ROUND(O11*C11*$Z$4,2)))</f>
        <v/>
      </c>
      <c r="Q11" s="110" t="str">
        <f>IF(OR(posicao_contratual!R11="",posicao_contratual!V11=""),"",ROUND(MAX(posicao_contratual!R11+posicao_contratual!P11-posicao_contratual!V11,0),2))</f>
        <v/>
      </c>
      <c r="R11" s="104" t="str">
        <f>IF(AND(A11="",A10&lt;&gt;"",COUNTIF(A12:$A$200,"&lt;&gt;")=0),ROUND(SUMIF($A$2:A10,"&lt;&gt;",$R$2:R10),2),IF(OR(Q11="",C11="",NOT(ISNUMBER($Z$5))),"",ROUND(Q11*C11*$Z$5,2)))</f>
        <v/>
      </c>
      <c r="S11" s="24"/>
      <c r="T11" s="25"/>
      <c r="U11" s="111" t="str">
        <f>IF(AND(A11="",A10&lt;&gt;"",COUNTIF(A12:$A$200,"&lt;&gt;")=0),"TOTAL",IF(A11="","",posicao_contratual!X11))</f>
        <v/>
      </c>
      <c r="V11" s="111" t="str">
        <f>IF(A11="","",posicao_contratual!X11)</f>
        <v/>
      </c>
      <c r="W11" s="16"/>
      <c r="X11" s="16"/>
      <c r="Y11" s="16"/>
      <c r="Z11" s="15"/>
      <c r="AA11" s="15"/>
      <c r="AB11" s="110" t="str">
        <f>IF(OR(A11="",posicao_contratual!E11="",posicao_contratual!J11=""),"",ROUND(MAX(posicao_contratual!E11-posicao_contratual!J11,0),2))</f>
        <v/>
      </c>
      <c r="AC11" s="104" t="str">
        <f>IF(AND(A11="",A10&lt;&gt;"",COUNTIF(A12:$A$200,"&lt;&gt;")=0),ROUND(SUMIF($A$2:A10,"&lt;&gt;",$AC$2:AC10),2),IF(OR(AB11="",C11="",NOT(ISNUMBER($Z$2))),"",ROUND(AB11*C11*$Z$2,2)))</f>
        <v/>
      </c>
      <c r="AD11" s="180" t="str">
        <f>IF(A11="","",posicao_contratual!E11)</f>
        <v/>
      </c>
      <c r="AE11" s="180" t="str">
        <f>IF(A11="","",posicao_contratual!I11)</f>
        <v/>
      </c>
      <c r="AF11" s="180" t="str">
        <f>IF(A11="","",posicao_contratual!M11)</f>
        <v/>
      </c>
      <c r="AG11" s="180" t="str">
        <f>IF(A11="","",posicao_contratual!Q11)</f>
        <v/>
      </c>
      <c r="AH11" s="180" t="str">
        <f>IF(A11="","",posicao_contratual!U11)</f>
        <v/>
      </c>
      <c r="AI11" s="180" t="str">
        <f>IF(A11="","",posicao_contratual!G11)</f>
        <v/>
      </c>
      <c r="AJ11" s="180" t="str">
        <f>IF(A11="","",posicao_contratual!K11)</f>
        <v/>
      </c>
      <c r="AK11" s="180" t="str">
        <f>IF(A11="","",posicao_contratual!O11)</f>
        <v/>
      </c>
      <c r="AL11" s="180" t="str">
        <f>IF(A11="","",posicao_contratual!S11)</f>
        <v/>
      </c>
      <c r="AM11" s="180" t="str">
        <f>IF(A11="","",posicao_contratual!W11)</f>
        <v/>
      </c>
      <c r="AN11" s="181" t="str">
        <f>IF(A11="","",posicao_contratual!X11)</f>
        <v/>
      </c>
    </row>
    <row r="12" spans="1:40" x14ac:dyDescent="0.35">
      <c r="A12" s="106"/>
      <c r="B12" s="107"/>
      <c r="C12" s="108"/>
      <c r="D12" s="104" t="str">
        <f>IF(AND(A12="",A11&lt;&gt;"",COUNTIF(A13:$A$200,"&lt;&gt;")=0),ROUND(SUMIF($A$2:A11,"&lt;&gt;",$D$2:D11),2),IF(OR(A12="",B12="",C12=""),"",ROUND(B12*C12,2)))</f>
        <v/>
      </c>
      <c r="E12" s="109"/>
      <c r="F12" s="104" t="str">
        <f>IF(AND(A12="",A11&lt;&gt;"",COUNTIF(A13:$A$200,"&lt;&gt;")=0),ROUND(SUMIF($A$2:A11,"&lt;&gt;",$F$2:F11),2),IF(OR(A12="",posicao_contratual!K12="",C12="",NOT(ISNUMBER($Z$3))),"",ROUND(posicao_contratual!K12*C12*$Z$3,2)))</f>
        <v/>
      </c>
      <c r="G12" s="109"/>
      <c r="H12" s="104" t="str">
        <f>IF(AND(A12="",A11&lt;&gt;"",COUNTIF(A13:$A$200,"&lt;&gt;")=0),ROUND(SUMIF($A$2:A11,"&lt;&gt;",$H$2:H11),2),IF(OR(A12="",posicao_contratual!O12="",C12="",NOT(ISNUMBER($Z$4))),"",ROUND(posicao_contratual!O12*C12*$Z$4,2)))</f>
        <v/>
      </c>
      <c r="I12" s="109"/>
      <c r="J12" s="104" t="str">
        <f>IF(AND(A12="",A11&lt;&gt;"",COUNTIF(A13:$A$200,"&lt;&gt;")=0),ROUND(SUMIF($A$2:A11,"&lt;&gt;",$J$2:J11),2),IF(OR(A12="",posicao_contratual!S12="",C12="",NOT(ISNUMBER($Z$5))),"",ROUND(posicao_contratual!S12*C12*$Z$5,2)))</f>
        <v/>
      </c>
      <c r="K12" s="109"/>
      <c r="L12" s="104" t="str">
        <f>IF(AND(A12="",A11&lt;&gt;"",COUNTIF(A13:$A$200,"&lt;&gt;")=0),ROUND(SUMIF($A$2:A11,"&lt;&gt;",$L$2:L11),2),IF(OR(A12="",posicao_contratual!W12="",C12="",NOT(ISNUMBER($Z$6))),"",ROUND(posicao_contratual!W12*C12*$Z$6,2)))</f>
        <v/>
      </c>
      <c r="M12" s="110" t="str">
        <f>IF(OR(posicao_contratual!J12="",posicao_contratual!N12=""),"",ROUND(MAX(posicao_contratual!J12+posicao_contratual!H12-posicao_contratual!N12,0),2))</f>
        <v/>
      </c>
      <c r="N12" s="104" t="str">
        <f>IF(AND(A12="",A11&lt;&gt;"",COUNTIF(A13:$A$200,"&lt;&gt;")=0),ROUND(SUMIF($A$2:A11,"&lt;&gt;",$N$2:N11),2),IF(OR(M12="",C12="",NOT(ISNUMBER($Z$3))),"",ROUND(M12*C12*$Z$3,2)))</f>
        <v/>
      </c>
      <c r="O12" s="110" t="str">
        <f>IF(OR(posicao_contratual!N12="",posicao_contratual!R12=""),"",ROUND(MAX(posicao_contratual!N12+posicao_contratual!L12-posicao_contratual!R12,0),2))</f>
        <v/>
      </c>
      <c r="P12" s="104" t="str">
        <f>IF(AND(A12="",A11&lt;&gt;"",COUNTIF(A13:$A$200,"&lt;&gt;")=0),ROUND(SUMIF($A$2:A11,"&lt;&gt;",$P$2:P11),2),IF(OR(O12="",C12="",NOT(ISNUMBER($Z$4))),"",ROUND(O12*C12*$Z$4,2)))</f>
        <v/>
      </c>
      <c r="Q12" s="110" t="str">
        <f>IF(OR(posicao_contratual!R12="",posicao_contratual!V12=""),"",ROUND(MAX(posicao_contratual!R12+posicao_contratual!P12-posicao_contratual!V12,0),2))</f>
        <v/>
      </c>
      <c r="R12" s="104" t="str">
        <f>IF(AND(A12="",A11&lt;&gt;"",COUNTIF(A13:$A$200,"&lt;&gt;")=0),ROUND(SUMIF($A$2:A11,"&lt;&gt;",$R$2:R11),2),IF(OR(Q12="",C12="",NOT(ISNUMBER($Z$5))),"",ROUND(Q12*C12*$Z$5,2)))</f>
        <v/>
      </c>
      <c r="S12" s="24"/>
      <c r="T12" s="25"/>
      <c r="U12" s="111" t="str">
        <f>IF(AND(A12="",A11&lt;&gt;"",COUNTIF(A13:$A$200,"&lt;&gt;")=0),"TOTAL",IF(A12="","",posicao_contratual!X12))</f>
        <v/>
      </c>
      <c r="V12" s="111" t="str">
        <f>IF(A12="","",posicao_contratual!X12)</f>
        <v/>
      </c>
      <c r="W12" s="16"/>
      <c r="X12" s="16"/>
      <c r="Y12" s="16"/>
      <c r="Z12" s="15"/>
      <c r="AA12" s="15"/>
      <c r="AB12" s="110" t="str">
        <f>IF(OR(A12="",posicao_contratual!E12="",posicao_contratual!J12=""),"",ROUND(MAX(posicao_contratual!E12-posicao_contratual!J12,0),2))</f>
        <v/>
      </c>
      <c r="AC12" s="104" t="str">
        <f>IF(AND(A12="",A11&lt;&gt;"",COUNTIF(A13:$A$200,"&lt;&gt;")=0),ROUND(SUMIF($A$2:A11,"&lt;&gt;",$AC$2:AC11),2),IF(OR(AB12="",C12="",NOT(ISNUMBER($Z$2))),"",ROUND(AB12*C12*$Z$2,2)))</f>
        <v/>
      </c>
      <c r="AD12" s="180" t="str">
        <f>IF(A12="","",posicao_contratual!E12)</f>
        <v/>
      </c>
      <c r="AE12" s="180" t="str">
        <f>IF(A12="","",posicao_contratual!I12)</f>
        <v/>
      </c>
      <c r="AF12" s="180" t="str">
        <f>IF(A12="","",posicao_contratual!M12)</f>
        <v/>
      </c>
      <c r="AG12" s="180" t="str">
        <f>IF(A12="","",posicao_contratual!Q12)</f>
        <v/>
      </c>
      <c r="AH12" s="180" t="str">
        <f>IF(A12="","",posicao_contratual!U12)</f>
        <v/>
      </c>
      <c r="AI12" s="180" t="str">
        <f>IF(A12="","",posicao_contratual!G12)</f>
        <v/>
      </c>
      <c r="AJ12" s="180" t="str">
        <f>IF(A12="","",posicao_contratual!K12)</f>
        <v/>
      </c>
      <c r="AK12" s="180" t="str">
        <f>IF(A12="","",posicao_contratual!O12)</f>
        <v/>
      </c>
      <c r="AL12" s="180" t="str">
        <f>IF(A12="","",posicao_contratual!S12)</f>
        <v/>
      </c>
      <c r="AM12" s="180" t="str">
        <f>IF(A12="","",posicao_contratual!W12)</f>
        <v/>
      </c>
      <c r="AN12" s="181" t="str">
        <f>IF(A12="","",posicao_contratual!X12)</f>
        <v/>
      </c>
    </row>
    <row r="13" spans="1:40" x14ac:dyDescent="0.35">
      <c r="A13" s="106"/>
      <c r="B13" s="107"/>
      <c r="C13" s="108"/>
      <c r="D13" s="104" t="str">
        <f>IF(AND(A13="",A12&lt;&gt;"",COUNTIF(A14:$A$200,"&lt;&gt;")=0),ROUND(SUMIF($A$2:A12,"&lt;&gt;",$D$2:D12),2),IF(OR(A13="",B13="",C13=""),"",ROUND(B13*C13,2)))</f>
        <v/>
      </c>
      <c r="E13" s="109"/>
      <c r="F13" s="104" t="str">
        <f>IF(AND(A13="",A12&lt;&gt;"",COUNTIF(A14:$A$200,"&lt;&gt;")=0),ROUND(SUMIF($A$2:A12,"&lt;&gt;",$F$2:F12),2),IF(OR(A13="",posicao_contratual!K13="",C13="",NOT(ISNUMBER($Z$3))),"",ROUND(posicao_contratual!K13*C13*$Z$3,2)))</f>
        <v/>
      </c>
      <c r="G13" s="109"/>
      <c r="H13" s="104" t="str">
        <f>IF(AND(A13="",A12&lt;&gt;"",COUNTIF(A14:$A$200,"&lt;&gt;")=0),ROUND(SUMIF($A$2:A12,"&lt;&gt;",$H$2:H12),2),IF(OR(A13="",posicao_contratual!O13="",C13="",NOT(ISNUMBER($Z$4))),"",ROUND(posicao_contratual!O13*C13*$Z$4,2)))</f>
        <v/>
      </c>
      <c r="I13" s="109"/>
      <c r="J13" s="104" t="str">
        <f>IF(AND(A13="",A12&lt;&gt;"",COUNTIF(A14:$A$200,"&lt;&gt;")=0),ROUND(SUMIF($A$2:A12,"&lt;&gt;",$J$2:J12),2),IF(OR(A13="",posicao_contratual!S13="",C13="",NOT(ISNUMBER($Z$5))),"",ROUND(posicao_contratual!S13*C13*$Z$5,2)))</f>
        <v/>
      </c>
      <c r="K13" s="109"/>
      <c r="L13" s="104" t="str">
        <f>IF(AND(A13="",A12&lt;&gt;"",COUNTIF(A14:$A$200,"&lt;&gt;")=0),ROUND(SUMIF($A$2:A12,"&lt;&gt;",$L$2:L12),2),IF(OR(A13="",posicao_contratual!W13="",C13="",NOT(ISNUMBER($Z$6))),"",ROUND(posicao_contratual!W13*C13*$Z$6,2)))</f>
        <v/>
      </c>
      <c r="M13" s="110" t="str">
        <f>IF(OR(posicao_contratual!J13="",posicao_contratual!N13=""),"",ROUND(MAX(posicao_contratual!J13+posicao_contratual!H13-posicao_contratual!N13,0),2))</f>
        <v/>
      </c>
      <c r="N13" s="104" t="str">
        <f>IF(AND(A13="",A12&lt;&gt;"",COUNTIF(A14:$A$200,"&lt;&gt;")=0),ROUND(SUMIF($A$2:A12,"&lt;&gt;",$N$2:N12),2),IF(OR(M13="",C13="",NOT(ISNUMBER($Z$3))),"",ROUND(M13*C13*$Z$3,2)))</f>
        <v/>
      </c>
      <c r="O13" s="110" t="str">
        <f>IF(OR(posicao_contratual!N13="",posicao_contratual!R13=""),"",ROUND(MAX(posicao_contratual!N13+posicao_contratual!L13-posicao_contratual!R13,0),2))</f>
        <v/>
      </c>
      <c r="P13" s="104" t="str">
        <f>IF(AND(A13="",A12&lt;&gt;"",COUNTIF(A14:$A$200,"&lt;&gt;")=0),ROUND(SUMIF($A$2:A12,"&lt;&gt;",$P$2:P12),2),IF(OR(O13="",C13="",NOT(ISNUMBER($Z$4))),"",ROUND(O13*C13*$Z$4,2)))</f>
        <v/>
      </c>
      <c r="Q13" s="110" t="str">
        <f>IF(OR(posicao_contratual!R13="",posicao_contratual!V13=""),"",ROUND(MAX(posicao_contratual!R13+posicao_contratual!P13-posicao_contratual!V13,0),2))</f>
        <v/>
      </c>
      <c r="R13" s="104" t="str">
        <f>IF(AND(A13="",A12&lt;&gt;"",COUNTIF(A14:$A$200,"&lt;&gt;")=0),ROUND(SUMIF($A$2:A12,"&lt;&gt;",$R$2:R12),2),IF(OR(Q13="",C13="",NOT(ISNUMBER($Z$5))),"",ROUND(Q13*C13*$Z$5,2)))</f>
        <v/>
      </c>
      <c r="S13" s="24"/>
      <c r="T13" s="25"/>
      <c r="U13" s="111" t="str">
        <f>IF(AND(A13="",A12&lt;&gt;"",COUNTIF(A14:$A$200,"&lt;&gt;")=0),"TOTAL",IF(A13="","",posicao_contratual!X13))</f>
        <v/>
      </c>
      <c r="V13" s="111" t="str">
        <f>IF(A13="","",posicao_contratual!X13)</f>
        <v/>
      </c>
      <c r="W13" s="16"/>
      <c r="X13" s="16"/>
      <c r="Y13" s="16"/>
      <c r="Z13" s="15"/>
      <c r="AA13" s="15"/>
      <c r="AB13" s="110" t="str">
        <f>IF(OR(A13="",posicao_contratual!E13="",posicao_contratual!J13=""),"",ROUND(MAX(posicao_contratual!E13-posicao_contratual!J13,0),2))</f>
        <v/>
      </c>
      <c r="AC13" s="104" t="str">
        <f>IF(AND(A13="",A12&lt;&gt;"",COUNTIF(A14:$A$200,"&lt;&gt;")=0),ROUND(SUMIF($A$2:A12,"&lt;&gt;",$AC$2:AC12),2),IF(OR(AB13="",C13="",NOT(ISNUMBER($Z$2))),"",ROUND(AB13*C13*$Z$2,2)))</f>
        <v/>
      </c>
      <c r="AD13" s="180" t="str">
        <f>IF(A13="","",posicao_contratual!E13)</f>
        <v/>
      </c>
      <c r="AE13" s="180" t="str">
        <f>IF(A13="","",posicao_contratual!I13)</f>
        <v/>
      </c>
      <c r="AF13" s="180" t="str">
        <f>IF(A13="","",posicao_contratual!M13)</f>
        <v/>
      </c>
      <c r="AG13" s="180" t="str">
        <f>IF(A13="","",posicao_contratual!Q13)</f>
        <v/>
      </c>
      <c r="AH13" s="180" t="str">
        <f>IF(A13="","",posicao_contratual!U13)</f>
        <v/>
      </c>
      <c r="AI13" s="180" t="str">
        <f>IF(A13="","",posicao_contratual!G13)</f>
        <v/>
      </c>
      <c r="AJ13" s="180" t="str">
        <f>IF(A13="","",posicao_contratual!K13)</f>
        <v/>
      </c>
      <c r="AK13" s="180" t="str">
        <f>IF(A13="","",posicao_contratual!O13)</f>
        <v/>
      </c>
      <c r="AL13" s="180" t="str">
        <f>IF(A13="","",posicao_contratual!S13)</f>
        <v/>
      </c>
      <c r="AM13" s="180" t="str">
        <f>IF(A13="","",posicao_contratual!W13)</f>
        <v/>
      </c>
      <c r="AN13" s="181" t="str">
        <f>IF(A13="","",posicao_contratual!X13)</f>
        <v/>
      </c>
    </row>
    <row r="14" spans="1:40" x14ac:dyDescent="0.35">
      <c r="A14" s="106"/>
      <c r="B14" s="107"/>
      <c r="C14" s="108"/>
      <c r="D14" s="104" t="str">
        <f>IF(AND(A14="",A13&lt;&gt;"",COUNTIF(A15:$A$200,"&lt;&gt;")=0),ROUND(SUMIF($A$2:A13,"&lt;&gt;",$D$2:D13),2),IF(OR(A14="",B14="",C14=""),"",ROUND(B14*C14,2)))</f>
        <v/>
      </c>
      <c r="E14" s="109"/>
      <c r="F14" s="104" t="str">
        <f>IF(AND(A14="",A13&lt;&gt;"",COUNTIF(A15:$A$200,"&lt;&gt;")=0),ROUND(SUMIF($A$2:A13,"&lt;&gt;",$F$2:F13),2),IF(OR(A14="",posicao_contratual!K14="",C14="",NOT(ISNUMBER($Z$3))),"",ROUND(posicao_contratual!K14*C14*$Z$3,2)))</f>
        <v/>
      </c>
      <c r="G14" s="109"/>
      <c r="H14" s="104" t="str">
        <f>IF(AND(A14="",A13&lt;&gt;"",COUNTIF(A15:$A$200,"&lt;&gt;")=0),ROUND(SUMIF($A$2:A13,"&lt;&gt;",$H$2:H13),2),IF(OR(A14="",posicao_contratual!O14="",C14="",NOT(ISNUMBER($Z$4))),"",ROUND(posicao_contratual!O14*C14*$Z$4,2)))</f>
        <v/>
      </c>
      <c r="I14" s="109"/>
      <c r="J14" s="104" t="str">
        <f>IF(AND(A14="",A13&lt;&gt;"",COUNTIF(A15:$A$200,"&lt;&gt;")=0),ROUND(SUMIF($A$2:A13,"&lt;&gt;",$J$2:J13),2),IF(OR(A14="",posicao_contratual!S14="",C14="",NOT(ISNUMBER($Z$5))),"",ROUND(posicao_contratual!S14*C14*$Z$5,2)))</f>
        <v/>
      </c>
      <c r="K14" s="109"/>
      <c r="L14" s="104" t="str">
        <f>IF(AND(A14="",A13&lt;&gt;"",COUNTIF(A15:$A$200,"&lt;&gt;")=0),ROUND(SUMIF($A$2:A13,"&lt;&gt;",$L$2:L13),2),IF(OR(A14="",posicao_contratual!W14="",C14="",NOT(ISNUMBER($Z$6))),"",ROUND(posicao_contratual!W14*C14*$Z$6,2)))</f>
        <v/>
      </c>
      <c r="M14" s="110" t="str">
        <f>IF(OR(posicao_contratual!J14="",posicao_contratual!N14=""),"",ROUND(MAX(posicao_contratual!J14+posicao_contratual!H14-posicao_contratual!N14,0),2))</f>
        <v/>
      </c>
      <c r="N14" s="104" t="str">
        <f>IF(AND(A14="",A13&lt;&gt;"",COUNTIF(A15:$A$200,"&lt;&gt;")=0),ROUND(SUMIF($A$2:A13,"&lt;&gt;",$N$2:N13),2),IF(OR(M14="",C14="",NOT(ISNUMBER($Z$3))),"",ROUND(M14*C14*$Z$3,2)))</f>
        <v/>
      </c>
      <c r="O14" s="110" t="str">
        <f>IF(OR(posicao_contratual!N14="",posicao_contratual!R14=""),"",ROUND(MAX(posicao_contratual!N14+posicao_contratual!L14-posicao_contratual!R14,0),2))</f>
        <v/>
      </c>
      <c r="P14" s="104" t="str">
        <f>IF(AND(A14="",A13&lt;&gt;"",COUNTIF(A15:$A$200,"&lt;&gt;")=0),ROUND(SUMIF($A$2:A13,"&lt;&gt;",$P$2:P13),2),IF(OR(O14="",C14="",NOT(ISNUMBER($Z$4))),"",ROUND(O14*C14*$Z$4,2)))</f>
        <v/>
      </c>
      <c r="Q14" s="110" t="str">
        <f>IF(OR(posicao_contratual!R14="",posicao_contratual!V14=""),"",ROUND(MAX(posicao_contratual!R14+posicao_contratual!P14-posicao_contratual!V14,0),2))</f>
        <v/>
      </c>
      <c r="R14" s="104" t="str">
        <f>IF(AND(A14="",A13&lt;&gt;"",COUNTIF(A15:$A$200,"&lt;&gt;")=0),ROUND(SUMIF($A$2:A13,"&lt;&gt;",$R$2:R13),2),IF(OR(Q14="",C14="",NOT(ISNUMBER($Z$5))),"",ROUND(Q14*C14*$Z$5,2)))</f>
        <v/>
      </c>
      <c r="S14" s="24"/>
      <c r="T14" s="25"/>
      <c r="U14" s="111" t="str">
        <f>IF(AND(A14="",A13&lt;&gt;"",COUNTIF(A15:$A$200,"&lt;&gt;")=0),"TOTAL",IF(A14="","",posicao_contratual!X14))</f>
        <v/>
      </c>
      <c r="V14" s="111" t="str">
        <f>IF(A14="","",posicao_contratual!X14)</f>
        <v/>
      </c>
      <c r="W14" s="16"/>
      <c r="X14" s="16"/>
      <c r="Y14" s="16"/>
      <c r="Z14" s="15"/>
      <c r="AA14" s="15"/>
      <c r="AB14" s="110" t="str">
        <f>IF(OR(A14="",posicao_contratual!E14="",posicao_contratual!J14=""),"",ROUND(MAX(posicao_contratual!E14-posicao_contratual!J14,0),2))</f>
        <v/>
      </c>
      <c r="AC14" s="104" t="str">
        <f>IF(AND(A14="",A13&lt;&gt;"",COUNTIF(A15:$A$200,"&lt;&gt;")=0),ROUND(SUMIF($A$2:A13,"&lt;&gt;",$AC$2:AC13),2),IF(OR(AB14="",C14="",NOT(ISNUMBER($Z$2))),"",ROUND(AB14*C14*$Z$2,2)))</f>
        <v/>
      </c>
      <c r="AD14" s="180" t="str">
        <f>IF(A14="","",posicao_contratual!E14)</f>
        <v/>
      </c>
      <c r="AE14" s="180" t="str">
        <f>IF(A14="","",posicao_contratual!I14)</f>
        <v/>
      </c>
      <c r="AF14" s="180" t="str">
        <f>IF(A14="","",posicao_contratual!M14)</f>
        <v/>
      </c>
      <c r="AG14" s="180" t="str">
        <f>IF(A14="","",posicao_contratual!Q14)</f>
        <v/>
      </c>
      <c r="AH14" s="180" t="str">
        <f>IF(A14="","",posicao_contratual!U14)</f>
        <v/>
      </c>
      <c r="AI14" s="180" t="str">
        <f>IF(A14="","",posicao_contratual!G14)</f>
        <v/>
      </c>
      <c r="AJ14" s="180" t="str">
        <f>IF(A14="","",posicao_contratual!K14)</f>
        <v/>
      </c>
      <c r="AK14" s="180" t="str">
        <f>IF(A14="","",posicao_contratual!O14)</f>
        <v/>
      </c>
      <c r="AL14" s="180" t="str">
        <f>IF(A14="","",posicao_contratual!S14)</f>
        <v/>
      </c>
      <c r="AM14" s="180" t="str">
        <f>IF(A14="","",posicao_contratual!W14)</f>
        <v/>
      </c>
      <c r="AN14" s="181" t="str">
        <f>IF(A14="","",posicao_contratual!X14)</f>
        <v/>
      </c>
    </row>
    <row r="15" spans="1:40" x14ac:dyDescent="0.35">
      <c r="A15" s="106"/>
      <c r="B15" s="107"/>
      <c r="C15" s="108"/>
      <c r="D15" s="104" t="str">
        <f>IF(AND(A15="",A14&lt;&gt;"",COUNTIF(A16:$A$200,"&lt;&gt;")=0),ROUND(SUMIF($A$2:A14,"&lt;&gt;",$D$2:D14),2),IF(OR(A15="",B15="",C15=""),"",ROUND(B15*C15,2)))</f>
        <v/>
      </c>
      <c r="E15" s="109"/>
      <c r="F15" s="104" t="str">
        <f>IF(AND(A15="",A14&lt;&gt;"",COUNTIF(A16:$A$200,"&lt;&gt;")=0),ROUND(SUMIF($A$2:A14,"&lt;&gt;",$F$2:F14),2),IF(OR(A15="",posicao_contratual!K15="",C15="",NOT(ISNUMBER($Z$3))),"",ROUND(posicao_contratual!K15*C15*$Z$3,2)))</f>
        <v/>
      </c>
      <c r="G15" s="109"/>
      <c r="H15" s="104" t="str">
        <f>IF(AND(A15="",A14&lt;&gt;"",COUNTIF(A16:$A$200,"&lt;&gt;")=0),ROUND(SUMIF($A$2:A14,"&lt;&gt;",$H$2:H14),2),IF(OR(A15="",posicao_contratual!O15="",C15="",NOT(ISNUMBER($Z$4))),"",ROUND(posicao_contratual!O15*C15*$Z$4,2)))</f>
        <v/>
      </c>
      <c r="I15" s="109"/>
      <c r="J15" s="104" t="str">
        <f>IF(AND(A15="",A14&lt;&gt;"",COUNTIF(A16:$A$200,"&lt;&gt;")=0),ROUND(SUMIF($A$2:A14,"&lt;&gt;",$J$2:J14),2),IF(OR(A15="",posicao_contratual!S15="",C15="",NOT(ISNUMBER($Z$5))),"",ROUND(posicao_contratual!S15*C15*$Z$5,2)))</f>
        <v/>
      </c>
      <c r="K15" s="109"/>
      <c r="L15" s="104" t="str">
        <f>IF(AND(A15="",A14&lt;&gt;"",COUNTIF(A16:$A$200,"&lt;&gt;")=0),ROUND(SUMIF($A$2:A14,"&lt;&gt;",$L$2:L14),2),IF(OR(A15="",posicao_contratual!W15="",C15="",NOT(ISNUMBER($Z$6))),"",ROUND(posicao_contratual!W15*C15*$Z$6,2)))</f>
        <v/>
      </c>
      <c r="M15" s="110" t="str">
        <f>IF(OR(posicao_contratual!J15="",posicao_contratual!N15=""),"",ROUND(MAX(posicao_contratual!J15+posicao_contratual!H15-posicao_contratual!N15,0),2))</f>
        <v/>
      </c>
      <c r="N15" s="104" t="str">
        <f>IF(AND(A15="",A14&lt;&gt;"",COUNTIF(A16:$A$200,"&lt;&gt;")=0),ROUND(SUMIF($A$2:A14,"&lt;&gt;",$N$2:N14),2),IF(OR(M15="",C15="",NOT(ISNUMBER($Z$3))),"",ROUND(M15*C15*$Z$3,2)))</f>
        <v/>
      </c>
      <c r="O15" s="110" t="str">
        <f>IF(OR(posicao_contratual!N15="",posicao_contratual!R15=""),"",ROUND(MAX(posicao_contratual!N15+posicao_contratual!L15-posicao_contratual!R15,0),2))</f>
        <v/>
      </c>
      <c r="P15" s="104" t="str">
        <f>IF(AND(A15="",A14&lt;&gt;"",COUNTIF(A16:$A$200,"&lt;&gt;")=0),ROUND(SUMIF($A$2:A14,"&lt;&gt;",$P$2:P14),2),IF(OR(O15="",C15="",NOT(ISNUMBER($Z$4))),"",ROUND(O15*C15*$Z$4,2)))</f>
        <v/>
      </c>
      <c r="Q15" s="110" t="str">
        <f>IF(OR(posicao_contratual!R15="",posicao_contratual!V15=""),"",ROUND(MAX(posicao_contratual!R15+posicao_contratual!P15-posicao_contratual!V15,0),2))</f>
        <v/>
      </c>
      <c r="R15" s="104" t="str">
        <f>IF(AND(A15="",A14&lt;&gt;"",COUNTIF(A16:$A$200,"&lt;&gt;")=0),ROUND(SUMIF($A$2:A14,"&lt;&gt;",$R$2:R14),2),IF(OR(Q15="",C15="",NOT(ISNUMBER($Z$5))),"",ROUND(Q15*C15*$Z$5,2)))</f>
        <v/>
      </c>
      <c r="S15" s="24"/>
      <c r="T15" s="25"/>
      <c r="U15" s="111" t="str">
        <f>IF(AND(A15="",A14&lt;&gt;"",COUNTIF(A16:$A$200,"&lt;&gt;")=0),"TOTAL",IF(A15="","",posicao_contratual!X15))</f>
        <v/>
      </c>
      <c r="V15" s="111" t="str">
        <f>IF(A15="","",posicao_contratual!X15)</f>
        <v/>
      </c>
      <c r="W15" s="16"/>
      <c r="X15" s="16"/>
      <c r="Y15" s="16"/>
      <c r="Z15" s="15"/>
      <c r="AA15" s="15"/>
      <c r="AB15" s="110" t="str">
        <f>IF(OR(A15="",posicao_contratual!E15="",posicao_contratual!J15=""),"",ROUND(MAX(posicao_contratual!E15-posicao_contratual!J15,0),2))</f>
        <v/>
      </c>
      <c r="AC15" s="104" t="str">
        <f>IF(AND(A15="",A14&lt;&gt;"",COUNTIF(A16:$A$200,"&lt;&gt;")=0),ROUND(SUMIF($A$2:A14,"&lt;&gt;",$AC$2:AC14),2),IF(OR(AB15="",C15="",NOT(ISNUMBER($Z$2))),"",ROUND(AB15*C15*$Z$2,2)))</f>
        <v/>
      </c>
      <c r="AD15" s="180" t="str">
        <f>IF(A15="","",posicao_contratual!E15)</f>
        <v/>
      </c>
      <c r="AE15" s="180" t="str">
        <f>IF(A15="","",posicao_contratual!I15)</f>
        <v/>
      </c>
      <c r="AF15" s="180" t="str">
        <f>IF(A15="","",posicao_contratual!M15)</f>
        <v/>
      </c>
      <c r="AG15" s="180" t="str">
        <f>IF(A15="","",posicao_contratual!Q15)</f>
        <v/>
      </c>
      <c r="AH15" s="180" t="str">
        <f>IF(A15="","",posicao_contratual!U15)</f>
        <v/>
      </c>
      <c r="AI15" s="180" t="str">
        <f>IF(A15="","",posicao_contratual!G15)</f>
        <v/>
      </c>
      <c r="AJ15" s="180" t="str">
        <f>IF(A15="","",posicao_contratual!K15)</f>
        <v/>
      </c>
      <c r="AK15" s="180" t="str">
        <f>IF(A15="","",posicao_contratual!O15)</f>
        <v/>
      </c>
      <c r="AL15" s="180" t="str">
        <f>IF(A15="","",posicao_contratual!S15)</f>
        <v/>
      </c>
      <c r="AM15" s="180" t="str">
        <f>IF(A15="","",posicao_contratual!W15)</f>
        <v/>
      </c>
      <c r="AN15" s="181" t="str">
        <f>IF(A15="","",posicao_contratual!X15)</f>
        <v/>
      </c>
    </row>
    <row r="16" spans="1:40" x14ac:dyDescent="0.35">
      <c r="A16" s="106"/>
      <c r="B16" s="107"/>
      <c r="C16" s="108"/>
      <c r="D16" s="104" t="str">
        <f>IF(AND(A16="",A15&lt;&gt;"",COUNTIF(A17:$A$200,"&lt;&gt;")=0),ROUND(SUMIF($A$2:A15,"&lt;&gt;",$D$2:D15),2),IF(OR(A16="",B16="",C16=""),"",ROUND(B16*C16,2)))</f>
        <v/>
      </c>
      <c r="E16" s="109"/>
      <c r="F16" s="104" t="str">
        <f>IF(AND(A16="",A15&lt;&gt;"",COUNTIF(A17:$A$200,"&lt;&gt;")=0),ROUND(SUMIF($A$2:A15,"&lt;&gt;",$F$2:F15),2),IF(OR(A16="",posicao_contratual!K16="",C16="",NOT(ISNUMBER($Z$3))),"",ROUND(posicao_contratual!K16*C16*$Z$3,2)))</f>
        <v/>
      </c>
      <c r="G16" s="109"/>
      <c r="H16" s="104" t="str">
        <f>IF(AND(A16="",A15&lt;&gt;"",COUNTIF(A17:$A$200,"&lt;&gt;")=0),ROUND(SUMIF($A$2:A15,"&lt;&gt;",$H$2:H15),2),IF(OR(A16="",posicao_contratual!O16="",C16="",NOT(ISNUMBER($Z$4))),"",ROUND(posicao_contratual!O16*C16*$Z$4,2)))</f>
        <v/>
      </c>
      <c r="I16" s="109"/>
      <c r="J16" s="104" t="str">
        <f>IF(AND(A16="",A15&lt;&gt;"",COUNTIF(A17:$A$200,"&lt;&gt;")=0),ROUND(SUMIF($A$2:A15,"&lt;&gt;",$J$2:J15),2),IF(OR(A16="",posicao_contratual!S16="",C16="",NOT(ISNUMBER($Z$5))),"",ROUND(posicao_contratual!S16*C16*$Z$5,2)))</f>
        <v/>
      </c>
      <c r="K16" s="109"/>
      <c r="L16" s="104" t="str">
        <f>IF(AND(A16="",A15&lt;&gt;"",COUNTIF(A17:$A$200,"&lt;&gt;")=0),ROUND(SUMIF($A$2:A15,"&lt;&gt;",$L$2:L15),2),IF(OR(A16="",posicao_contratual!W16="",C16="",NOT(ISNUMBER($Z$6))),"",ROUND(posicao_contratual!W16*C16*$Z$6,2)))</f>
        <v/>
      </c>
      <c r="M16" s="110" t="str">
        <f>IF(OR(posicao_contratual!J16="",posicao_contratual!N16=""),"",ROUND(MAX(posicao_contratual!J16+posicao_contratual!H16-posicao_contratual!N16,0),2))</f>
        <v/>
      </c>
      <c r="N16" s="104" t="str">
        <f>IF(AND(A16="",A15&lt;&gt;"",COUNTIF(A17:$A$200,"&lt;&gt;")=0),ROUND(SUMIF($A$2:A15,"&lt;&gt;",$N$2:N15),2),IF(OR(M16="",C16="",NOT(ISNUMBER($Z$3))),"",ROUND(M16*C16*$Z$3,2)))</f>
        <v/>
      </c>
      <c r="O16" s="110" t="str">
        <f>IF(OR(posicao_contratual!N16="",posicao_contratual!R16=""),"",ROUND(MAX(posicao_contratual!N16+posicao_contratual!L16-posicao_contratual!R16,0),2))</f>
        <v/>
      </c>
      <c r="P16" s="104" t="str">
        <f>IF(AND(A16="",A15&lt;&gt;"",COUNTIF(A17:$A$200,"&lt;&gt;")=0),ROUND(SUMIF($A$2:A15,"&lt;&gt;",$P$2:P15),2),IF(OR(O16="",C16="",NOT(ISNUMBER($Z$4))),"",ROUND(O16*C16*$Z$4,2)))</f>
        <v/>
      </c>
      <c r="Q16" s="110" t="str">
        <f>IF(OR(posicao_contratual!R16="",posicao_contratual!V16=""),"",ROUND(MAX(posicao_contratual!R16+posicao_contratual!P16-posicao_contratual!V16,0),2))</f>
        <v/>
      </c>
      <c r="R16" s="104" t="str">
        <f>IF(AND(A16="",A15&lt;&gt;"",COUNTIF(A17:$A$200,"&lt;&gt;")=0),ROUND(SUMIF($A$2:A15,"&lt;&gt;",$R$2:R15),2),IF(OR(Q16="",C16="",NOT(ISNUMBER($Z$5))),"",ROUND(Q16*C16*$Z$5,2)))</f>
        <v/>
      </c>
      <c r="S16" s="24"/>
      <c r="T16" s="25"/>
      <c r="U16" s="111" t="str">
        <f>IF(AND(A16="",A15&lt;&gt;"",COUNTIF(A17:$A$200,"&lt;&gt;")=0),"TOTAL",IF(A16="","",posicao_contratual!X16))</f>
        <v/>
      </c>
      <c r="V16" s="111" t="str">
        <f>IF(A16="","",posicao_contratual!X16)</f>
        <v/>
      </c>
      <c r="W16" s="16"/>
      <c r="X16" s="16"/>
      <c r="Y16" s="16"/>
      <c r="Z16" s="15"/>
      <c r="AA16" s="15"/>
      <c r="AB16" s="110" t="str">
        <f>IF(OR(A16="",posicao_contratual!E16="",posicao_contratual!J16=""),"",ROUND(MAX(posicao_contratual!E16-posicao_contratual!J16,0),2))</f>
        <v/>
      </c>
      <c r="AC16" s="104" t="str">
        <f>IF(AND(A16="",A15&lt;&gt;"",COUNTIF(A17:$A$200,"&lt;&gt;")=0),ROUND(SUMIF($A$2:A15,"&lt;&gt;",$AC$2:AC15),2),IF(OR(AB16="",C16="",NOT(ISNUMBER($Z$2))),"",ROUND(AB16*C16*$Z$2,2)))</f>
        <v/>
      </c>
      <c r="AD16" s="180" t="str">
        <f>IF(A16="","",posicao_contratual!E16)</f>
        <v/>
      </c>
      <c r="AE16" s="180" t="str">
        <f>IF(A16="","",posicao_contratual!I16)</f>
        <v/>
      </c>
      <c r="AF16" s="180" t="str">
        <f>IF(A16="","",posicao_contratual!M16)</f>
        <v/>
      </c>
      <c r="AG16" s="180" t="str">
        <f>IF(A16="","",posicao_contratual!Q16)</f>
        <v/>
      </c>
      <c r="AH16" s="180" t="str">
        <f>IF(A16="","",posicao_contratual!U16)</f>
        <v/>
      </c>
      <c r="AI16" s="180" t="str">
        <f>IF(A16="","",posicao_contratual!G16)</f>
        <v/>
      </c>
      <c r="AJ16" s="180" t="str">
        <f>IF(A16="","",posicao_contratual!K16)</f>
        <v/>
      </c>
      <c r="AK16" s="180" t="str">
        <f>IF(A16="","",posicao_contratual!O16)</f>
        <v/>
      </c>
      <c r="AL16" s="180" t="str">
        <f>IF(A16="","",posicao_contratual!S16)</f>
        <v/>
      </c>
      <c r="AM16" s="180" t="str">
        <f>IF(A16="","",posicao_contratual!W16)</f>
        <v/>
      </c>
      <c r="AN16" s="181" t="str">
        <f>IF(A16="","",posicao_contratual!X16)</f>
        <v/>
      </c>
    </row>
    <row r="17" spans="1:40" x14ac:dyDescent="0.35">
      <c r="A17" s="106"/>
      <c r="B17" s="107"/>
      <c r="C17" s="108"/>
      <c r="D17" s="104" t="str">
        <f>IF(AND(A17="",A16&lt;&gt;"",COUNTIF(A18:$A$200,"&lt;&gt;")=0),ROUND(SUMIF($A$2:A16,"&lt;&gt;",$D$2:D16),2),IF(OR(A17="",B17="",C17=""),"",ROUND(B17*C17,2)))</f>
        <v/>
      </c>
      <c r="E17" s="109"/>
      <c r="F17" s="104" t="str">
        <f>IF(AND(A17="",A16&lt;&gt;"",COUNTIF(A18:$A$200,"&lt;&gt;")=0),ROUND(SUMIF($A$2:A16,"&lt;&gt;",$F$2:F16),2),IF(OR(A17="",posicao_contratual!K17="",C17="",NOT(ISNUMBER($Z$3))),"",ROUND(posicao_contratual!K17*C17*$Z$3,2)))</f>
        <v/>
      </c>
      <c r="G17" s="109"/>
      <c r="H17" s="104" t="str">
        <f>IF(AND(A17="",A16&lt;&gt;"",COUNTIF(A18:$A$200,"&lt;&gt;")=0),ROUND(SUMIF($A$2:A16,"&lt;&gt;",$H$2:H16),2),IF(OR(A17="",posicao_contratual!O17="",C17="",NOT(ISNUMBER($Z$4))),"",ROUND(posicao_contratual!O17*C17*$Z$4,2)))</f>
        <v/>
      </c>
      <c r="I17" s="109"/>
      <c r="J17" s="104" t="str">
        <f>IF(AND(A17="",A16&lt;&gt;"",COUNTIF(A18:$A$200,"&lt;&gt;")=0),ROUND(SUMIF($A$2:A16,"&lt;&gt;",$J$2:J16),2),IF(OR(A17="",posicao_contratual!S17="",C17="",NOT(ISNUMBER($Z$5))),"",ROUND(posicao_contratual!S17*C17*$Z$5,2)))</f>
        <v/>
      </c>
      <c r="K17" s="109"/>
      <c r="L17" s="104" t="str">
        <f>IF(AND(A17="",A16&lt;&gt;"",COUNTIF(A18:$A$200,"&lt;&gt;")=0),ROUND(SUMIF($A$2:A16,"&lt;&gt;",$L$2:L16),2),IF(OR(A17="",posicao_contratual!W17="",C17="",NOT(ISNUMBER($Z$6))),"",ROUND(posicao_contratual!W17*C17*$Z$6,2)))</f>
        <v/>
      </c>
      <c r="M17" s="110" t="str">
        <f>IF(OR(posicao_contratual!J17="",posicao_contratual!N17=""),"",ROUND(MAX(posicao_contratual!J17+posicao_contratual!H17-posicao_contratual!N17,0),2))</f>
        <v/>
      </c>
      <c r="N17" s="104" t="str">
        <f>IF(AND(A17="",A16&lt;&gt;"",COUNTIF(A18:$A$200,"&lt;&gt;")=0),ROUND(SUMIF($A$2:A16,"&lt;&gt;",$N$2:N16),2),IF(OR(M17="",C17="",NOT(ISNUMBER($Z$3))),"",ROUND(M17*C17*$Z$3,2)))</f>
        <v/>
      </c>
      <c r="O17" s="110" t="str">
        <f>IF(OR(posicao_contratual!N17="",posicao_contratual!R17=""),"",ROUND(MAX(posicao_contratual!N17+posicao_contratual!L17-posicao_contratual!R17,0),2))</f>
        <v/>
      </c>
      <c r="P17" s="104" t="str">
        <f>IF(AND(A17="",A16&lt;&gt;"",COUNTIF(A18:$A$200,"&lt;&gt;")=0),ROUND(SUMIF($A$2:A16,"&lt;&gt;",$P$2:P16),2),IF(OR(O17="",C17="",NOT(ISNUMBER($Z$4))),"",ROUND(O17*C17*$Z$4,2)))</f>
        <v/>
      </c>
      <c r="Q17" s="110" t="str">
        <f>IF(OR(posicao_contratual!R17="",posicao_contratual!V17=""),"",ROUND(MAX(posicao_contratual!R17+posicao_contratual!P17-posicao_contratual!V17,0),2))</f>
        <v/>
      </c>
      <c r="R17" s="104" t="str">
        <f>IF(AND(A17="",A16&lt;&gt;"",COUNTIF(A18:$A$200,"&lt;&gt;")=0),ROUND(SUMIF($A$2:A16,"&lt;&gt;",$R$2:R16),2),IF(OR(Q17="",C17="",NOT(ISNUMBER($Z$5))),"",ROUND(Q17*C17*$Z$5,2)))</f>
        <v/>
      </c>
      <c r="S17" s="24"/>
      <c r="T17" s="25"/>
      <c r="U17" s="111" t="str">
        <f>IF(AND(A17="",A16&lt;&gt;"",COUNTIF(A18:$A$200,"&lt;&gt;")=0),"TOTAL",IF(A17="","",posicao_contratual!X17))</f>
        <v/>
      </c>
      <c r="V17" s="111" t="str">
        <f>IF(A17="","",posicao_contratual!X17)</f>
        <v/>
      </c>
      <c r="W17" s="16"/>
      <c r="X17" s="16"/>
      <c r="Y17" s="16"/>
      <c r="Z17" s="15"/>
      <c r="AA17" s="15"/>
      <c r="AB17" s="110" t="str">
        <f>IF(OR(A17="",posicao_contratual!E17="",posicao_contratual!J17=""),"",ROUND(MAX(posicao_contratual!E17-posicao_contratual!J17,0),2))</f>
        <v/>
      </c>
      <c r="AC17" s="104" t="str">
        <f>IF(AND(A17="",A16&lt;&gt;"",COUNTIF(A18:$A$200,"&lt;&gt;")=0),ROUND(SUMIF($A$2:A16,"&lt;&gt;",$AC$2:AC16),2),IF(OR(AB17="",C17="",NOT(ISNUMBER($Z$2))),"",ROUND(AB17*C17*$Z$2,2)))</f>
        <v/>
      </c>
      <c r="AD17" s="180" t="str">
        <f>IF(A17="","",posicao_contratual!E17)</f>
        <v/>
      </c>
      <c r="AE17" s="180" t="str">
        <f>IF(A17="","",posicao_contratual!I17)</f>
        <v/>
      </c>
      <c r="AF17" s="180" t="str">
        <f>IF(A17="","",posicao_contratual!M17)</f>
        <v/>
      </c>
      <c r="AG17" s="180" t="str">
        <f>IF(A17="","",posicao_contratual!Q17)</f>
        <v/>
      </c>
      <c r="AH17" s="180" t="str">
        <f>IF(A17="","",posicao_contratual!U17)</f>
        <v/>
      </c>
      <c r="AI17" s="180" t="str">
        <f>IF(A17="","",posicao_contratual!G17)</f>
        <v/>
      </c>
      <c r="AJ17" s="180" t="str">
        <f>IF(A17="","",posicao_contratual!K17)</f>
        <v/>
      </c>
      <c r="AK17" s="180" t="str">
        <f>IF(A17="","",posicao_contratual!O17)</f>
        <v/>
      </c>
      <c r="AL17" s="180" t="str">
        <f>IF(A17="","",posicao_contratual!S17)</f>
        <v/>
      </c>
      <c r="AM17" s="180" t="str">
        <f>IF(A17="","",posicao_contratual!W17)</f>
        <v/>
      </c>
      <c r="AN17" s="181" t="str">
        <f>IF(A17="","",posicao_contratual!X17)</f>
        <v/>
      </c>
    </row>
    <row r="18" spans="1:40" x14ac:dyDescent="0.35">
      <c r="A18" s="106"/>
      <c r="B18" s="107"/>
      <c r="C18" s="108"/>
      <c r="D18" s="104" t="str">
        <f>IF(AND(A18="",A17&lt;&gt;"",COUNTIF(A19:$A$200,"&lt;&gt;")=0),ROUND(SUMIF($A$2:A17,"&lt;&gt;",$D$2:D17),2),IF(OR(A18="",B18="",C18=""),"",ROUND(B18*C18,2)))</f>
        <v/>
      </c>
      <c r="E18" s="109"/>
      <c r="F18" s="104" t="str">
        <f>IF(AND(A18="",A17&lt;&gt;"",COUNTIF(A19:$A$200,"&lt;&gt;")=0),ROUND(SUMIF($A$2:A17,"&lt;&gt;",$F$2:F17),2),IF(OR(A18="",posicao_contratual!K18="",C18="",NOT(ISNUMBER($Z$3))),"",ROUND(posicao_contratual!K18*C18*$Z$3,2)))</f>
        <v/>
      </c>
      <c r="G18" s="109"/>
      <c r="H18" s="104" t="str">
        <f>IF(AND(A18="",A17&lt;&gt;"",COUNTIF(A19:$A$200,"&lt;&gt;")=0),ROUND(SUMIF($A$2:A17,"&lt;&gt;",$H$2:H17),2),IF(OR(A18="",posicao_contratual!O18="",C18="",NOT(ISNUMBER($Z$4))),"",ROUND(posicao_contratual!O18*C18*$Z$4,2)))</f>
        <v/>
      </c>
      <c r="I18" s="109"/>
      <c r="J18" s="104" t="str">
        <f>IF(AND(A18="",A17&lt;&gt;"",COUNTIF(A19:$A$200,"&lt;&gt;")=0),ROUND(SUMIF($A$2:A17,"&lt;&gt;",$J$2:J17),2),IF(OR(A18="",posicao_contratual!S18="",C18="",NOT(ISNUMBER($Z$5))),"",ROUND(posicao_contratual!S18*C18*$Z$5,2)))</f>
        <v/>
      </c>
      <c r="K18" s="109"/>
      <c r="L18" s="104" t="str">
        <f>IF(AND(A18="",A17&lt;&gt;"",COUNTIF(A19:$A$200,"&lt;&gt;")=0),ROUND(SUMIF($A$2:A17,"&lt;&gt;",$L$2:L17),2),IF(OR(A18="",posicao_contratual!W18="",C18="",NOT(ISNUMBER($Z$6))),"",ROUND(posicao_contratual!W18*C18*$Z$6,2)))</f>
        <v/>
      </c>
      <c r="M18" s="110" t="str">
        <f>IF(OR(posicao_contratual!J18="",posicao_contratual!N18=""),"",ROUND(MAX(posicao_contratual!J18+posicao_contratual!H18-posicao_contratual!N18,0),2))</f>
        <v/>
      </c>
      <c r="N18" s="104" t="str">
        <f>IF(AND(A18="",A17&lt;&gt;"",COUNTIF(A19:$A$200,"&lt;&gt;")=0),ROUND(SUMIF($A$2:A17,"&lt;&gt;",$N$2:N17),2),IF(OR(M18="",C18="",NOT(ISNUMBER($Z$3))),"",ROUND(M18*C18*$Z$3,2)))</f>
        <v/>
      </c>
      <c r="O18" s="110" t="str">
        <f>IF(OR(posicao_contratual!N18="",posicao_contratual!R18=""),"",ROUND(MAX(posicao_contratual!N18+posicao_contratual!L18-posicao_contratual!R18,0),2))</f>
        <v/>
      </c>
      <c r="P18" s="104" t="str">
        <f>IF(AND(A18="",A17&lt;&gt;"",COUNTIF(A19:$A$200,"&lt;&gt;")=0),ROUND(SUMIF($A$2:A17,"&lt;&gt;",$P$2:P17),2),IF(OR(O18="",C18="",NOT(ISNUMBER($Z$4))),"",ROUND(O18*C18*$Z$4,2)))</f>
        <v/>
      </c>
      <c r="Q18" s="110" t="str">
        <f>IF(OR(posicao_contratual!R18="",posicao_contratual!V18=""),"",ROUND(MAX(posicao_contratual!R18+posicao_contratual!P18-posicao_contratual!V18,0),2))</f>
        <v/>
      </c>
      <c r="R18" s="104" t="str">
        <f>IF(AND(A18="",A17&lt;&gt;"",COUNTIF(A19:$A$200,"&lt;&gt;")=0),ROUND(SUMIF($A$2:A17,"&lt;&gt;",$R$2:R17),2),IF(OR(Q18="",C18="",NOT(ISNUMBER($Z$5))),"",ROUND(Q18*C18*$Z$5,2)))</f>
        <v/>
      </c>
      <c r="S18" s="24"/>
      <c r="T18" s="25"/>
      <c r="U18" s="111" t="str">
        <f>IF(AND(A18="",A17&lt;&gt;"",COUNTIF(A19:$A$200,"&lt;&gt;")=0),"TOTAL",IF(A18="","",posicao_contratual!X18))</f>
        <v/>
      </c>
      <c r="V18" s="111" t="str">
        <f>IF(A18="","",posicao_contratual!X18)</f>
        <v/>
      </c>
      <c r="W18" s="16"/>
      <c r="X18" s="16"/>
      <c r="Y18" s="16"/>
      <c r="Z18" s="15"/>
      <c r="AA18" s="15"/>
      <c r="AB18" s="110" t="str">
        <f>IF(OR(A18="",posicao_contratual!E18="",posicao_contratual!J18=""),"",ROUND(MAX(posicao_contratual!E18-posicao_contratual!J18,0),2))</f>
        <v/>
      </c>
      <c r="AC18" s="104" t="str">
        <f>IF(AND(A18="",A17&lt;&gt;"",COUNTIF(A19:$A$200,"&lt;&gt;")=0),ROUND(SUMIF($A$2:A17,"&lt;&gt;",$AC$2:AC17),2),IF(OR(AB18="",C18="",NOT(ISNUMBER($Z$2))),"",ROUND(AB18*C18*$Z$2,2)))</f>
        <v/>
      </c>
      <c r="AD18" s="180" t="str">
        <f>IF(A18="","",posicao_contratual!E18)</f>
        <v/>
      </c>
      <c r="AE18" s="180" t="str">
        <f>IF(A18="","",posicao_contratual!I18)</f>
        <v/>
      </c>
      <c r="AF18" s="180" t="str">
        <f>IF(A18="","",posicao_contratual!M18)</f>
        <v/>
      </c>
      <c r="AG18" s="180" t="str">
        <f>IF(A18="","",posicao_contratual!Q18)</f>
        <v/>
      </c>
      <c r="AH18" s="180" t="str">
        <f>IF(A18="","",posicao_contratual!U18)</f>
        <v/>
      </c>
      <c r="AI18" s="180" t="str">
        <f>IF(A18="","",posicao_contratual!G18)</f>
        <v/>
      </c>
      <c r="AJ18" s="180" t="str">
        <f>IF(A18="","",posicao_contratual!K18)</f>
        <v/>
      </c>
      <c r="AK18" s="180" t="str">
        <f>IF(A18="","",posicao_contratual!O18)</f>
        <v/>
      </c>
      <c r="AL18" s="180" t="str">
        <f>IF(A18="","",posicao_contratual!S18)</f>
        <v/>
      </c>
      <c r="AM18" s="180" t="str">
        <f>IF(A18="","",posicao_contratual!W18)</f>
        <v/>
      </c>
      <c r="AN18" s="181" t="str">
        <f>IF(A18="","",posicao_contratual!X18)</f>
        <v/>
      </c>
    </row>
    <row r="19" spans="1:40" x14ac:dyDescent="0.35">
      <c r="A19" s="106"/>
      <c r="B19" s="107"/>
      <c r="C19" s="108"/>
      <c r="D19" s="104" t="str">
        <f>IF(AND(A19="",A18&lt;&gt;"",COUNTIF(A20:$A$200,"&lt;&gt;")=0),ROUND(SUMIF($A$2:A18,"&lt;&gt;",$D$2:D18),2),IF(OR(A19="",B19="",C19=""),"",ROUND(B19*C19,2)))</f>
        <v/>
      </c>
      <c r="E19" s="109"/>
      <c r="F19" s="104" t="str">
        <f>IF(AND(A19="",A18&lt;&gt;"",COUNTIF(A20:$A$200,"&lt;&gt;")=0),ROUND(SUMIF($A$2:A18,"&lt;&gt;",$F$2:F18),2),IF(OR(A19="",posicao_contratual!K19="",C19="",NOT(ISNUMBER($Z$3))),"",ROUND(posicao_contratual!K19*C19*$Z$3,2)))</f>
        <v/>
      </c>
      <c r="G19" s="109"/>
      <c r="H19" s="104" t="str">
        <f>IF(AND(A19="",A18&lt;&gt;"",COUNTIF(A20:$A$200,"&lt;&gt;")=0),ROUND(SUMIF($A$2:A18,"&lt;&gt;",$H$2:H18),2),IF(OR(A19="",posicao_contratual!O19="",C19="",NOT(ISNUMBER($Z$4))),"",ROUND(posicao_contratual!O19*C19*$Z$4,2)))</f>
        <v/>
      </c>
      <c r="I19" s="109"/>
      <c r="J19" s="104" t="str">
        <f>IF(AND(A19="",A18&lt;&gt;"",COUNTIF(A20:$A$200,"&lt;&gt;")=0),ROUND(SUMIF($A$2:A18,"&lt;&gt;",$J$2:J18),2),IF(OR(A19="",posicao_contratual!S19="",C19="",NOT(ISNUMBER($Z$5))),"",ROUND(posicao_contratual!S19*C19*$Z$5,2)))</f>
        <v/>
      </c>
      <c r="K19" s="109"/>
      <c r="L19" s="104" t="str">
        <f>IF(AND(A19="",A18&lt;&gt;"",COUNTIF(A20:$A$200,"&lt;&gt;")=0),ROUND(SUMIF($A$2:A18,"&lt;&gt;",$L$2:L18),2),IF(OR(A19="",posicao_contratual!W19="",C19="",NOT(ISNUMBER($Z$6))),"",ROUND(posicao_contratual!W19*C19*$Z$6,2)))</f>
        <v/>
      </c>
      <c r="M19" s="110" t="str">
        <f>IF(OR(posicao_contratual!J19="",posicao_contratual!N19=""),"",ROUND(MAX(posicao_contratual!J19+posicao_contratual!H19-posicao_contratual!N19,0),2))</f>
        <v/>
      </c>
      <c r="N19" s="104" t="str">
        <f>IF(AND(A19="",A18&lt;&gt;"",COUNTIF(A20:$A$200,"&lt;&gt;")=0),ROUND(SUMIF($A$2:A18,"&lt;&gt;",$N$2:N18),2),IF(OR(M19="",C19="",NOT(ISNUMBER($Z$3))),"",ROUND(M19*C19*$Z$3,2)))</f>
        <v/>
      </c>
      <c r="O19" s="110" t="str">
        <f>IF(OR(posicao_contratual!N19="",posicao_contratual!R19=""),"",ROUND(MAX(posicao_contratual!N19+posicao_contratual!L19-posicao_contratual!R19,0),2))</f>
        <v/>
      </c>
      <c r="P19" s="104" t="str">
        <f>IF(AND(A19="",A18&lt;&gt;"",COUNTIF(A20:$A$200,"&lt;&gt;")=0),ROUND(SUMIF($A$2:A18,"&lt;&gt;",$P$2:P18),2),IF(OR(O19="",C19="",NOT(ISNUMBER($Z$4))),"",ROUND(O19*C19*$Z$4,2)))</f>
        <v/>
      </c>
      <c r="Q19" s="110" t="str">
        <f>IF(OR(posicao_contratual!R19="",posicao_contratual!V19=""),"",ROUND(MAX(posicao_contratual!R19+posicao_contratual!P19-posicao_contratual!V19,0),2))</f>
        <v/>
      </c>
      <c r="R19" s="104" t="str">
        <f>IF(AND(A19="",A18&lt;&gt;"",COUNTIF(A20:$A$200,"&lt;&gt;")=0),ROUND(SUMIF($A$2:A18,"&lt;&gt;",$R$2:R18),2),IF(OR(Q19="",C19="",NOT(ISNUMBER($Z$5))),"",ROUND(Q19*C19*$Z$5,2)))</f>
        <v/>
      </c>
      <c r="S19" s="24"/>
      <c r="T19" s="25"/>
      <c r="U19" s="111" t="str">
        <f>IF(AND(A19="",A18&lt;&gt;"",COUNTIF(A20:$A$200,"&lt;&gt;")=0),"TOTAL",IF(A19="","",posicao_contratual!X19))</f>
        <v/>
      </c>
      <c r="V19" s="111" t="str">
        <f>IF(A19="","",posicao_contratual!X19)</f>
        <v/>
      </c>
      <c r="W19" s="16"/>
      <c r="X19" s="16"/>
      <c r="Y19" s="16"/>
      <c r="Z19" s="15"/>
      <c r="AA19" s="15"/>
      <c r="AB19" s="110" t="str">
        <f>IF(OR(A19="",posicao_contratual!E19="",posicao_contratual!J19=""),"",ROUND(MAX(posicao_contratual!E19-posicao_contratual!J19,0),2))</f>
        <v/>
      </c>
      <c r="AC19" s="104" t="str">
        <f>IF(AND(A19="",A18&lt;&gt;"",COUNTIF(A20:$A$200,"&lt;&gt;")=0),ROUND(SUMIF($A$2:A18,"&lt;&gt;",$AC$2:AC18),2),IF(OR(AB19="",C19="",NOT(ISNUMBER($Z$2))),"",ROUND(AB19*C19*$Z$2,2)))</f>
        <v/>
      </c>
      <c r="AD19" s="180" t="str">
        <f>IF(A19="","",posicao_contratual!E19)</f>
        <v/>
      </c>
      <c r="AE19" s="180" t="str">
        <f>IF(A19="","",posicao_contratual!I19)</f>
        <v/>
      </c>
      <c r="AF19" s="180" t="str">
        <f>IF(A19="","",posicao_contratual!M19)</f>
        <v/>
      </c>
      <c r="AG19" s="180" t="str">
        <f>IF(A19="","",posicao_contratual!Q19)</f>
        <v/>
      </c>
      <c r="AH19" s="180" t="str">
        <f>IF(A19="","",posicao_contratual!U19)</f>
        <v/>
      </c>
      <c r="AI19" s="180" t="str">
        <f>IF(A19="","",posicao_contratual!G19)</f>
        <v/>
      </c>
      <c r="AJ19" s="180" t="str">
        <f>IF(A19="","",posicao_contratual!K19)</f>
        <v/>
      </c>
      <c r="AK19" s="180" t="str">
        <f>IF(A19="","",posicao_contratual!O19)</f>
        <v/>
      </c>
      <c r="AL19" s="180" t="str">
        <f>IF(A19="","",posicao_contratual!S19)</f>
        <v/>
      </c>
      <c r="AM19" s="180" t="str">
        <f>IF(A19="","",posicao_contratual!W19)</f>
        <v/>
      </c>
      <c r="AN19" s="181" t="str">
        <f>IF(A19="","",posicao_contratual!X19)</f>
        <v/>
      </c>
    </row>
    <row r="20" spans="1:40" x14ac:dyDescent="0.35">
      <c r="A20" s="106"/>
      <c r="B20" s="107"/>
      <c r="C20" s="108"/>
      <c r="D20" s="104" t="str">
        <f>IF(AND(A20="",A19&lt;&gt;"",COUNTIF(A21:$A$200,"&lt;&gt;")=0),ROUND(SUMIF($A$2:A19,"&lt;&gt;",$D$2:D19),2),IF(OR(A20="",B20="",C20=""),"",ROUND(B20*C20,2)))</f>
        <v/>
      </c>
      <c r="E20" s="109"/>
      <c r="F20" s="104" t="str">
        <f>IF(AND(A20="",A19&lt;&gt;"",COUNTIF(A21:$A$200,"&lt;&gt;")=0),ROUND(SUMIF($A$2:A19,"&lt;&gt;",$F$2:F19),2),IF(OR(A20="",posicao_contratual!K20="",C20="",NOT(ISNUMBER($Z$3))),"",ROUND(posicao_contratual!K20*C20*$Z$3,2)))</f>
        <v/>
      </c>
      <c r="G20" s="109"/>
      <c r="H20" s="104" t="str">
        <f>IF(AND(A20="",A19&lt;&gt;"",COUNTIF(A21:$A$200,"&lt;&gt;")=0),ROUND(SUMIF($A$2:A19,"&lt;&gt;",$H$2:H19),2),IF(OR(A20="",posicao_contratual!O20="",C20="",NOT(ISNUMBER($Z$4))),"",ROUND(posicao_contratual!O20*C20*$Z$4,2)))</f>
        <v/>
      </c>
      <c r="I20" s="109"/>
      <c r="J20" s="104" t="str">
        <f>IF(AND(A20="",A19&lt;&gt;"",COUNTIF(A21:$A$200,"&lt;&gt;")=0),ROUND(SUMIF($A$2:A19,"&lt;&gt;",$J$2:J19),2),IF(OR(A20="",posicao_contratual!S20="",C20="",NOT(ISNUMBER($Z$5))),"",ROUND(posicao_contratual!S20*C20*$Z$5,2)))</f>
        <v/>
      </c>
      <c r="K20" s="109"/>
      <c r="L20" s="104" t="str">
        <f>IF(AND(A20="",A19&lt;&gt;"",COUNTIF(A21:$A$200,"&lt;&gt;")=0),ROUND(SUMIF($A$2:A19,"&lt;&gt;",$L$2:L19),2),IF(OR(A20="",posicao_contratual!W20="",C20="",NOT(ISNUMBER($Z$6))),"",ROUND(posicao_contratual!W20*C20*$Z$6,2)))</f>
        <v/>
      </c>
      <c r="M20" s="110" t="str">
        <f>IF(OR(posicao_contratual!J20="",posicao_contratual!N20=""),"",ROUND(MAX(posicao_contratual!J20+posicao_contratual!H20-posicao_contratual!N20,0),2))</f>
        <v/>
      </c>
      <c r="N20" s="104" t="str">
        <f>IF(AND(A20="",A19&lt;&gt;"",COUNTIF(A21:$A$200,"&lt;&gt;")=0),ROUND(SUMIF($A$2:A19,"&lt;&gt;",$N$2:N19),2),IF(OR(M20="",C20="",NOT(ISNUMBER($Z$3))),"",ROUND(M20*C20*$Z$3,2)))</f>
        <v/>
      </c>
      <c r="O20" s="110" t="str">
        <f>IF(OR(posicao_contratual!N20="",posicao_contratual!R20=""),"",ROUND(MAX(posicao_contratual!N20+posicao_contratual!L20-posicao_contratual!R20,0),2))</f>
        <v/>
      </c>
      <c r="P20" s="104" t="str">
        <f>IF(AND(A20="",A19&lt;&gt;"",COUNTIF(A21:$A$200,"&lt;&gt;")=0),ROUND(SUMIF($A$2:A19,"&lt;&gt;",$P$2:P19),2),IF(OR(O20="",C20="",NOT(ISNUMBER($Z$4))),"",ROUND(O20*C20*$Z$4,2)))</f>
        <v/>
      </c>
      <c r="Q20" s="110" t="str">
        <f>IF(OR(posicao_contratual!R20="",posicao_contratual!V20=""),"",ROUND(MAX(posicao_contratual!R20+posicao_contratual!P20-posicao_contratual!V20,0),2))</f>
        <v/>
      </c>
      <c r="R20" s="104" t="str">
        <f>IF(AND(A20="",A19&lt;&gt;"",COUNTIF(A21:$A$200,"&lt;&gt;")=0),ROUND(SUMIF($A$2:A19,"&lt;&gt;",$R$2:R19),2),IF(OR(Q20="",C20="",NOT(ISNUMBER($Z$5))),"",ROUND(Q20*C20*$Z$5,2)))</f>
        <v/>
      </c>
      <c r="S20" s="24"/>
      <c r="T20" s="25"/>
      <c r="U20" s="111" t="str">
        <f>IF(AND(A20="",A19&lt;&gt;"",COUNTIF(A21:$A$200,"&lt;&gt;")=0),"TOTAL",IF(A20="","",posicao_contratual!X20))</f>
        <v/>
      </c>
      <c r="V20" s="111" t="str">
        <f>IF(A20="","",posicao_contratual!X20)</f>
        <v/>
      </c>
      <c r="W20" s="16"/>
      <c r="X20" s="16"/>
      <c r="Y20" s="16"/>
      <c r="Z20" s="15"/>
      <c r="AA20" s="15"/>
      <c r="AB20" s="110" t="str">
        <f>IF(OR(A20="",posicao_contratual!E20="",posicao_contratual!J20=""),"",ROUND(MAX(posicao_contratual!E20-posicao_contratual!J20,0),2))</f>
        <v/>
      </c>
      <c r="AC20" s="104" t="str">
        <f>IF(AND(A20="",A19&lt;&gt;"",COUNTIF(A21:$A$200,"&lt;&gt;")=0),ROUND(SUMIF($A$2:A19,"&lt;&gt;",$AC$2:AC19),2),IF(OR(AB20="",C20="",NOT(ISNUMBER($Z$2))),"",ROUND(AB20*C20*$Z$2,2)))</f>
        <v/>
      </c>
      <c r="AD20" s="180" t="str">
        <f>IF(A20="","",posicao_contratual!E20)</f>
        <v/>
      </c>
      <c r="AE20" s="180" t="str">
        <f>IF(A20="","",posicao_contratual!I20)</f>
        <v/>
      </c>
      <c r="AF20" s="180" t="str">
        <f>IF(A20="","",posicao_contratual!M20)</f>
        <v/>
      </c>
      <c r="AG20" s="180" t="str">
        <f>IF(A20="","",posicao_contratual!Q20)</f>
        <v/>
      </c>
      <c r="AH20" s="180" t="str">
        <f>IF(A20="","",posicao_contratual!U20)</f>
        <v/>
      </c>
      <c r="AI20" s="180" t="str">
        <f>IF(A20="","",posicao_contratual!G20)</f>
        <v/>
      </c>
      <c r="AJ20" s="180" t="str">
        <f>IF(A20="","",posicao_contratual!K20)</f>
        <v/>
      </c>
      <c r="AK20" s="180" t="str">
        <f>IF(A20="","",posicao_contratual!O20)</f>
        <v/>
      </c>
      <c r="AL20" s="180" t="str">
        <f>IF(A20="","",posicao_contratual!S20)</f>
        <v/>
      </c>
      <c r="AM20" s="180" t="str">
        <f>IF(A20="","",posicao_contratual!W20)</f>
        <v/>
      </c>
      <c r="AN20" s="181" t="str">
        <f>IF(A20="","",posicao_contratual!X20)</f>
        <v/>
      </c>
    </row>
    <row r="21" spans="1:40" x14ac:dyDescent="0.35">
      <c r="A21" s="106"/>
      <c r="B21" s="107"/>
      <c r="C21" s="108"/>
      <c r="D21" s="104" t="str">
        <f>IF(AND(A21="",A20&lt;&gt;"",COUNTIF(A22:$A$200,"&lt;&gt;")=0),ROUND(SUMIF($A$2:A20,"&lt;&gt;",$D$2:D20),2),IF(OR(A21="",B21="",C21=""),"",ROUND(B21*C21,2)))</f>
        <v/>
      </c>
      <c r="E21" s="109"/>
      <c r="F21" s="104" t="str">
        <f>IF(AND(A21="",A20&lt;&gt;"",COUNTIF(A22:$A$200,"&lt;&gt;")=0),ROUND(SUMIF($A$2:A20,"&lt;&gt;",$F$2:F20),2),IF(OR(A21="",posicao_contratual!K21="",C21="",NOT(ISNUMBER($Z$3))),"",ROUND(posicao_contratual!K21*C21*$Z$3,2)))</f>
        <v/>
      </c>
      <c r="G21" s="109"/>
      <c r="H21" s="104" t="str">
        <f>IF(AND(A21="",A20&lt;&gt;"",COUNTIF(A22:$A$200,"&lt;&gt;")=0),ROUND(SUMIF($A$2:A20,"&lt;&gt;",$H$2:H20),2),IF(OR(A21="",posicao_contratual!O21="",C21="",NOT(ISNUMBER($Z$4))),"",ROUND(posicao_contratual!O21*C21*$Z$4,2)))</f>
        <v/>
      </c>
      <c r="I21" s="109"/>
      <c r="J21" s="104" t="str">
        <f>IF(AND(A21="",A20&lt;&gt;"",COUNTIF(A22:$A$200,"&lt;&gt;")=0),ROUND(SUMIF($A$2:A20,"&lt;&gt;",$J$2:J20),2),IF(OR(A21="",posicao_contratual!S21="",C21="",NOT(ISNUMBER($Z$5))),"",ROUND(posicao_contratual!S21*C21*$Z$5,2)))</f>
        <v/>
      </c>
      <c r="K21" s="109"/>
      <c r="L21" s="104" t="str">
        <f>IF(AND(A21="",A20&lt;&gt;"",COUNTIF(A22:$A$200,"&lt;&gt;")=0),ROUND(SUMIF($A$2:A20,"&lt;&gt;",$L$2:L20),2),IF(OR(A21="",posicao_contratual!W21="",C21="",NOT(ISNUMBER($Z$6))),"",ROUND(posicao_contratual!W21*C21*$Z$6,2)))</f>
        <v/>
      </c>
      <c r="M21" s="110" t="str">
        <f>IF(OR(posicao_contratual!J21="",posicao_contratual!N21=""),"",ROUND(MAX(posicao_contratual!J21+posicao_contratual!H21-posicao_contratual!N21,0),2))</f>
        <v/>
      </c>
      <c r="N21" s="104" t="str">
        <f>IF(AND(A21="",A20&lt;&gt;"",COUNTIF(A22:$A$200,"&lt;&gt;")=0),ROUND(SUMIF($A$2:A20,"&lt;&gt;",$N$2:N20),2),IF(OR(M21="",C21="",NOT(ISNUMBER($Z$3))),"",ROUND(M21*C21*$Z$3,2)))</f>
        <v/>
      </c>
      <c r="O21" s="110" t="str">
        <f>IF(OR(posicao_contratual!N21="",posicao_contratual!R21=""),"",ROUND(MAX(posicao_contratual!N21+posicao_contratual!L21-posicao_contratual!R21,0),2))</f>
        <v/>
      </c>
      <c r="P21" s="104" t="str">
        <f>IF(AND(A21="",A20&lt;&gt;"",COUNTIF(A22:$A$200,"&lt;&gt;")=0),ROUND(SUMIF($A$2:A20,"&lt;&gt;",$P$2:P20),2),IF(OR(O21="",C21="",NOT(ISNUMBER($Z$4))),"",ROUND(O21*C21*$Z$4,2)))</f>
        <v/>
      </c>
      <c r="Q21" s="110" t="str">
        <f>IF(OR(posicao_contratual!R21="",posicao_contratual!V21=""),"",ROUND(MAX(posicao_contratual!R21+posicao_contratual!P21-posicao_contratual!V21,0),2))</f>
        <v/>
      </c>
      <c r="R21" s="104" t="str">
        <f>IF(AND(A21="",A20&lt;&gt;"",COUNTIF(A22:$A$200,"&lt;&gt;")=0),ROUND(SUMIF($A$2:A20,"&lt;&gt;",$R$2:R20),2),IF(OR(Q21="",C21="",NOT(ISNUMBER($Z$5))),"",ROUND(Q21*C21*$Z$5,2)))</f>
        <v/>
      </c>
      <c r="S21" s="24"/>
      <c r="T21" s="25"/>
      <c r="U21" s="111" t="str">
        <f>IF(AND(A21="",A20&lt;&gt;"",COUNTIF(A22:$A$200,"&lt;&gt;")=0),"TOTAL",IF(A21="","",posicao_contratual!X21))</f>
        <v/>
      </c>
      <c r="V21" s="111" t="str">
        <f>IF(A21="","",posicao_contratual!X21)</f>
        <v/>
      </c>
      <c r="W21" s="16"/>
      <c r="X21" s="16"/>
      <c r="Y21" s="16"/>
      <c r="Z21" s="15"/>
      <c r="AA21" s="15"/>
      <c r="AB21" s="110" t="str">
        <f>IF(OR(A21="",posicao_contratual!E21="",posicao_contratual!J21=""),"",ROUND(MAX(posicao_contratual!E21-posicao_contratual!J21,0),2))</f>
        <v/>
      </c>
      <c r="AC21" s="104" t="str">
        <f>IF(AND(A21="",A20&lt;&gt;"",COUNTIF(A22:$A$200,"&lt;&gt;")=0),ROUND(SUMIF($A$2:A20,"&lt;&gt;",$AC$2:AC20),2),IF(OR(AB21="",C21="",NOT(ISNUMBER($Z$2))),"",ROUND(AB21*C21*$Z$2,2)))</f>
        <v/>
      </c>
      <c r="AD21" s="180" t="str">
        <f>IF(A21="","",posicao_contratual!E21)</f>
        <v/>
      </c>
      <c r="AE21" s="180" t="str">
        <f>IF(A21="","",posicao_contratual!I21)</f>
        <v/>
      </c>
      <c r="AF21" s="180" t="str">
        <f>IF(A21="","",posicao_contratual!M21)</f>
        <v/>
      </c>
      <c r="AG21" s="180" t="str">
        <f>IF(A21="","",posicao_contratual!Q21)</f>
        <v/>
      </c>
      <c r="AH21" s="180" t="str">
        <f>IF(A21="","",posicao_contratual!U21)</f>
        <v/>
      </c>
      <c r="AI21" s="180" t="str">
        <f>IF(A21="","",posicao_contratual!G21)</f>
        <v/>
      </c>
      <c r="AJ21" s="180" t="str">
        <f>IF(A21="","",posicao_contratual!K21)</f>
        <v/>
      </c>
      <c r="AK21" s="180" t="str">
        <f>IF(A21="","",posicao_contratual!O21)</f>
        <v/>
      </c>
      <c r="AL21" s="180" t="str">
        <f>IF(A21="","",posicao_contratual!S21)</f>
        <v/>
      </c>
      <c r="AM21" s="180" t="str">
        <f>IF(A21="","",posicao_contratual!W21)</f>
        <v/>
      </c>
      <c r="AN21" s="181" t="str">
        <f>IF(A21="","",posicao_contratual!X21)</f>
        <v/>
      </c>
    </row>
    <row r="22" spans="1:40" x14ac:dyDescent="0.35">
      <c r="A22" s="106"/>
      <c r="B22" s="107"/>
      <c r="C22" s="108"/>
      <c r="D22" s="104" t="str">
        <f>IF(AND(A22="",A21&lt;&gt;"",COUNTIF(A23:$A$200,"&lt;&gt;")=0),ROUND(SUMIF($A$2:A21,"&lt;&gt;",$D$2:D21),2),IF(OR(A22="",B22="",C22=""),"",ROUND(B22*C22,2)))</f>
        <v/>
      </c>
      <c r="E22" s="109"/>
      <c r="F22" s="104" t="str">
        <f>IF(AND(A22="",A21&lt;&gt;"",COUNTIF(A23:$A$200,"&lt;&gt;")=0),ROUND(SUMIF($A$2:A21,"&lt;&gt;",$F$2:F21),2),IF(OR(A22="",posicao_contratual!K22="",C22="",NOT(ISNUMBER($Z$3))),"",ROUND(posicao_contratual!K22*C22*$Z$3,2)))</f>
        <v/>
      </c>
      <c r="G22" s="109"/>
      <c r="H22" s="104" t="str">
        <f>IF(AND(A22="",A21&lt;&gt;"",COUNTIF(A23:$A$200,"&lt;&gt;")=0),ROUND(SUMIF($A$2:A21,"&lt;&gt;",$H$2:H21),2),IF(OR(A22="",posicao_contratual!O22="",C22="",NOT(ISNUMBER($Z$4))),"",ROUND(posicao_contratual!O22*C22*$Z$4,2)))</f>
        <v/>
      </c>
      <c r="I22" s="109"/>
      <c r="J22" s="104" t="str">
        <f>IF(AND(A22="",A21&lt;&gt;"",COUNTIF(A23:$A$200,"&lt;&gt;")=0),ROUND(SUMIF($A$2:A21,"&lt;&gt;",$J$2:J21),2),IF(OR(A22="",posicao_contratual!S22="",C22="",NOT(ISNUMBER($Z$5))),"",ROUND(posicao_contratual!S22*C22*$Z$5,2)))</f>
        <v/>
      </c>
      <c r="K22" s="109"/>
      <c r="L22" s="104" t="str">
        <f>IF(AND(A22="",A21&lt;&gt;"",COUNTIF(A23:$A$200,"&lt;&gt;")=0),ROUND(SUMIF($A$2:A21,"&lt;&gt;",$L$2:L21),2),IF(OR(A22="",posicao_contratual!W22="",C22="",NOT(ISNUMBER($Z$6))),"",ROUND(posicao_contratual!W22*C22*$Z$6,2)))</f>
        <v/>
      </c>
      <c r="M22" s="110" t="str">
        <f>IF(OR(posicao_contratual!J22="",posicao_contratual!N22=""),"",ROUND(MAX(posicao_contratual!J22+posicao_contratual!H22-posicao_contratual!N22,0),2))</f>
        <v/>
      </c>
      <c r="N22" s="104" t="str">
        <f>IF(AND(A22="",A21&lt;&gt;"",COUNTIF(A23:$A$200,"&lt;&gt;")=0),ROUND(SUMIF($A$2:A21,"&lt;&gt;",$N$2:N21),2),IF(OR(M22="",C22="",NOT(ISNUMBER($Z$3))),"",ROUND(M22*C22*$Z$3,2)))</f>
        <v/>
      </c>
      <c r="O22" s="110" t="str">
        <f>IF(OR(posicao_contratual!N22="",posicao_contratual!R22=""),"",ROUND(MAX(posicao_contratual!N22+posicao_contratual!L22-posicao_contratual!R22,0),2))</f>
        <v/>
      </c>
      <c r="P22" s="104" t="str">
        <f>IF(AND(A22="",A21&lt;&gt;"",COUNTIF(A23:$A$200,"&lt;&gt;")=0),ROUND(SUMIF($A$2:A21,"&lt;&gt;",$P$2:P21),2),IF(OR(O22="",C22="",NOT(ISNUMBER($Z$4))),"",ROUND(O22*C22*$Z$4,2)))</f>
        <v/>
      </c>
      <c r="Q22" s="110" t="str">
        <f>IF(OR(posicao_contratual!R22="",posicao_contratual!V22=""),"",ROUND(MAX(posicao_contratual!R22+posicao_contratual!P22-posicao_contratual!V22,0),2))</f>
        <v/>
      </c>
      <c r="R22" s="104" t="str">
        <f>IF(AND(A22="",A21&lt;&gt;"",COUNTIF(A23:$A$200,"&lt;&gt;")=0),ROUND(SUMIF($A$2:A21,"&lt;&gt;",$R$2:R21),2),IF(OR(Q22="",C22="",NOT(ISNUMBER($Z$5))),"",ROUND(Q22*C22*$Z$5,2)))</f>
        <v/>
      </c>
      <c r="S22" s="24"/>
      <c r="T22" s="25"/>
      <c r="U22" s="111" t="str">
        <f>IF(AND(A22="",A21&lt;&gt;"",COUNTIF(A23:$A$200,"&lt;&gt;")=0),"TOTAL",IF(A22="","",posicao_contratual!X22))</f>
        <v/>
      </c>
      <c r="V22" s="111" t="str">
        <f>IF(A22="","",posicao_contratual!X22)</f>
        <v/>
      </c>
      <c r="W22" s="16"/>
      <c r="X22" s="16"/>
      <c r="Y22" s="16"/>
      <c r="Z22" s="15"/>
      <c r="AA22" s="15"/>
      <c r="AB22" s="110" t="str">
        <f>IF(OR(A22="",posicao_contratual!E22="",posicao_contratual!J22=""),"",ROUND(MAX(posicao_contratual!E22-posicao_contratual!J22,0),2))</f>
        <v/>
      </c>
      <c r="AC22" s="104" t="str">
        <f>IF(AND(A22="",A21&lt;&gt;"",COUNTIF(A23:$A$200,"&lt;&gt;")=0),ROUND(SUMIF($A$2:A21,"&lt;&gt;",$AC$2:AC21),2),IF(OR(AB22="",C22="",NOT(ISNUMBER($Z$2))),"",ROUND(AB22*C22*$Z$2,2)))</f>
        <v/>
      </c>
      <c r="AD22" s="180" t="str">
        <f>IF(A22="","",posicao_contratual!E22)</f>
        <v/>
      </c>
      <c r="AE22" s="180" t="str">
        <f>IF(A22="","",posicao_contratual!I22)</f>
        <v/>
      </c>
      <c r="AF22" s="180" t="str">
        <f>IF(A22="","",posicao_contratual!M22)</f>
        <v/>
      </c>
      <c r="AG22" s="180" t="str">
        <f>IF(A22="","",posicao_contratual!Q22)</f>
        <v/>
      </c>
      <c r="AH22" s="180" t="str">
        <f>IF(A22="","",posicao_contratual!U22)</f>
        <v/>
      </c>
      <c r="AI22" s="180" t="str">
        <f>IF(A22="","",posicao_contratual!G22)</f>
        <v/>
      </c>
      <c r="AJ22" s="180" t="str">
        <f>IF(A22="","",posicao_contratual!K22)</f>
        <v/>
      </c>
      <c r="AK22" s="180" t="str">
        <f>IF(A22="","",posicao_contratual!O22)</f>
        <v/>
      </c>
      <c r="AL22" s="180" t="str">
        <f>IF(A22="","",posicao_contratual!S22)</f>
        <v/>
      </c>
      <c r="AM22" s="180" t="str">
        <f>IF(A22="","",posicao_contratual!W22)</f>
        <v/>
      </c>
      <c r="AN22" s="181" t="str">
        <f>IF(A22="","",posicao_contratual!X22)</f>
        <v/>
      </c>
    </row>
    <row r="23" spans="1:40" x14ac:dyDescent="0.35">
      <c r="A23" s="106"/>
      <c r="B23" s="107"/>
      <c r="C23" s="108"/>
      <c r="D23" s="104" t="str">
        <f>IF(AND(A23="",A22&lt;&gt;"",COUNTIF(A24:$A$200,"&lt;&gt;")=0),ROUND(SUMIF($A$2:A22,"&lt;&gt;",$D$2:D22),2),IF(OR(A23="",B23="",C23=""),"",ROUND(B23*C23,2)))</f>
        <v/>
      </c>
      <c r="E23" s="109"/>
      <c r="F23" s="104" t="str">
        <f>IF(AND(A23="",A22&lt;&gt;"",COUNTIF(A24:$A$200,"&lt;&gt;")=0),ROUND(SUMIF($A$2:A22,"&lt;&gt;",$F$2:F22),2),IF(OR(A23="",posicao_contratual!K23="",C23="",NOT(ISNUMBER($Z$3))),"",ROUND(posicao_contratual!K23*C23*$Z$3,2)))</f>
        <v/>
      </c>
      <c r="G23" s="109"/>
      <c r="H23" s="104" t="str">
        <f>IF(AND(A23="",A22&lt;&gt;"",COUNTIF(A24:$A$200,"&lt;&gt;")=0),ROUND(SUMIF($A$2:A22,"&lt;&gt;",$H$2:H22),2),IF(OR(A23="",posicao_contratual!O23="",C23="",NOT(ISNUMBER($Z$4))),"",ROUND(posicao_contratual!O23*C23*$Z$4,2)))</f>
        <v/>
      </c>
      <c r="I23" s="109"/>
      <c r="J23" s="104" t="str">
        <f>IF(AND(A23="",A22&lt;&gt;"",COUNTIF(A24:$A$200,"&lt;&gt;")=0),ROUND(SUMIF($A$2:A22,"&lt;&gt;",$J$2:J22),2),IF(OR(A23="",posicao_contratual!S23="",C23="",NOT(ISNUMBER($Z$5))),"",ROUND(posicao_contratual!S23*C23*$Z$5,2)))</f>
        <v/>
      </c>
      <c r="K23" s="109"/>
      <c r="L23" s="104" t="str">
        <f>IF(AND(A23="",A22&lt;&gt;"",COUNTIF(A24:$A$200,"&lt;&gt;")=0),ROUND(SUMIF($A$2:A22,"&lt;&gt;",$L$2:L22),2),IF(OR(A23="",posicao_contratual!W23="",C23="",NOT(ISNUMBER($Z$6))),"",ROUND(posicao_contratual!W23*C23*$Z$6,2)))</f>
        <v/>
      </c>
      <c r="M23" s="110" t="str">
        <f>IF(OR(posicao_contratual!J23="",posicao_contratual!N23=""),"",ROUND(MAX(posicao_contratual!J23+posicao_contratual!H23-posicao_contratual!N23,0),2))</f>
        <v/>
      </c>
      <c r="N23" s="104" t="str">
        <f>IF(AND(A23="",A22&lt;&gt;"",COUNTIF(A24:$A$200,"&lt;&gt;")=0),ROUND(SUMIF($A$2:A22,"&lt;&gt;",$N$2:N22),2),IF(OR(M23="",C23="",NOT(ISNUMBER($Z$3))),"",ROUND(M23*C23*$Z$3,2)))</f>
        <v/>
      </c>
      <c r="O23" s="110" t="str">
        <f>IF(OR(posicao_contratual!N23="",posicao_contratual!R23=""),"",ROUND(MAX(posicao_contratual!N23+posicao_contratual!L23-posicao_contratual!R23,0),2))</f>
        <v/>
      </c>
      <c r="P23" s="104" t="str">
        <f>IF(AND(A23="",A22&lt;&gt;"",COUNTIF(A24:$A$200,"&lt;&gt;")=0),ROUND(SUMIF($A$2:A22,"&lt;&gt;",$P$2:P22),2),IF(OR(O23="",C23="",NOT(ISNUMBER($Z$4))),"",ROUND(O23*C23*$Z$4,2)))</f>
        <v/>
      </c>
      <c r="Q23" s="110" t="str">
        <f>IF(OR(posicao_contratual!R23="",posicao_contratual!V23=""),"",ROUND(MAX(posicao_contratual!R23+posicao_contratual!P23-posicao_contratual!V23,0),2))</f>
        <v/>
      </c>
      <c r="R23" s="104" t="str">
        <f>IF(AND(A23="",A22&lt;&gt;"",COUNTIF(A24:$A$200,"&lt;&gt;")=0),ROUND(SUMIF($A$2:A22,"&lt;&gt;",$R$2:R22),2),IF(OR(Q23="",C23="",NOT(ISNUMBER($Z$5))),"",ROUND(Q23*C23*$Z$5,2)))</f>
        <v/>
      </c>
      <c r="S23" s="24"/>
      <c r="T23" s="25"/>
      <c r="U23" s="111" t="str">
        <f>IF(AND(A23="",A22&lt;&gt;"",COUNTIF(A24:$A$200,"&lt;&gt;")=0),"TOTAL",IF(A23="","",posicao_contratual!X23))</f>
        <v/>
      </c>
      <c r="V23" s="111" t="str">
        <f>IF(A23="","",posicao_contratual!X23)</f>
        <v/>
      </c>
      <c r="W23" s="16"/>
      <c r="X23" s="16"/>
      <c r="Y23" s="16"/>
      <c r="Z23" s="15"/>
      <c r="AA23" s="15"/>
      <c r="AB23" s="110" t="str">
        <f>IF(OR(A23="",posicao_contratual!E23="",posicao_contratual!J23=""),"",ROUND(MAX(posicao_contratual!E23-posicao_contratual!J23,0),2))</f>
        <v/>
      </c>
      <c r="AC23" s="104" t="str">
        <f>IF(AND(A23="",A22&lt;&gt;"",COUNTIF(A24:$A$200,"&lt;&gt;")=0),ROUND(SUMIF($A$2:A22,"&lt;&gt;",$AC$2:AC22),2),IF(OR(AB23="",C23="",NOT(ISNUMBER($Z$2))),"",ROUND(AB23*C23*$Z$2,2)))</f>
        <v/>
      </c>
      <c r="AD23" s="180" t="str">
        <f>IF(A23="","",posicao_contratual!E23)</f>
        <v/>
      </c>
      <c r="AE23" s="180" t="str">
        <f>IF(A23="","",posicao_contratual!I23)</f>
        <v/>
      </c>
      <c r="AF23" s="180" t="str">
        <f>IF(A23="","",posicao_contratual!M23)</f>
        <v/>
      </c>
      <c r="AG23" s="180" t="str">
        <f>IF(A23="","",posicao_contratual!Q23)</f>
        <v/>
      </c>
      <c r="AH23" s="180" t="str">
        <f>IF(A23="","",posicao_contratual!U23)</f>
        <v/>
      </c>
      <c r="AI23" s="180" t="str">
        <f>IF(A23="","",posicao_contratual!G23)</f>
        <v/>
      </c>
      <c r="AJ23" s="180" t="str">
        <f>IF(A23="","",posicao_contratual!K23)</f>
        <v/>
      </c>
      <c r="AK23" s="180" t="str">
        <f>IF(A23="","",posicao_contratual!O23)</f>
        <v/>
      </c>
      <c r="AL23" s="180" t="str">
        <f>IF(A23="","",posicao_contratual!S23)</f>
        <v/>
      </c>
      <c r="AM23" s="180" t="str">
        <f>IF(A23="","",posicao_contratual!W23)</f>
        <v/>
      </c>
      <c r="AN23" s="181" t="str">
        <f>IF(A23="","",posicao_contratual!X23)</f>
        <v/>
      </c>
    </row>
    <row r="24" spans="1:40" x14ac:dyDescent="0.35">
      <c r="A24" s="106"/>
      <c r="B24" s="107"/>
      <c r="C24" s="108"/>
      <c r="D24" s="104" t="str">
        <f>IF(AND(A24="",A23&lt;&gt;"",COUNTIF(A25:$A$200,"&lt;&gt;")=0),ROUND(SUMIF($A$2:A23,"&lt;&gt;",$D$2:D23),2),IF(OR(A24="",B24="",C24=""),"",ROUND(B24*C24,2)))</f>
        <v/>
      </c>
      <c r="E24" s="109"/>
      <c r="F24" s="104" t="str">
        <f>IF(AND(A24="",A23&lt;&gt;"",COUNTIF(A25:$A$200,"&lt;&gt;")=0),ROUND(SUMIF($A$2:A23,"&lt;&gt;",$F$2:F23),2),IF(OR(A24="",posicao_contratual!K24="",C24="",NOT(ISNUMBER($Z$3))),"",ROUND(posicao_contratual!K24*C24*$Z$3,2)))</f>
        <v/>
      </c>
      <c r="G24" s="109"/>
      <c r="H24" s="104" t="str">
        <f>IF(AND(A24="",A23&lt;&gt;"",COUNTIF(A25:$A$200,"&lt;&gt;")=0),ROUND(SUMIF($A$2:A23,"&lt;&gt;",$H$2:H23),2),IF(OR(A24="",posicao_contratual!O24="",C24="",NOT(ISNUMBER($Z$4))),"",ROUND(posicao_contratual!O24*C24*$Z$4,2)))</f>
        <v/>
      </c>
      <c r="I24" s="109"/>
      <c r="J24" s="104" t="str">
        <f>IF(AND(A24="",A23&lt;&gt;"",COUNTIF(A25:$A$200,"&lt;&gt;")=0),ROUND(SUMIF($A$2:A23,"&lt;&gt;",$J$2:J23),2),IF(OR(A24="",posicao_contratual!S24="",C24="",NOT(ISNUMBER($Z$5))),"",ROUND(posicao_contratual!S24*C24*$Z$5,2)))</f>
        <v/>
      </c>
      <c r="K24" s="109"/>
      <c r="L24" s="104" t="str">
        <f>IF(AND(A24="",A23&lt;&gt;"",COUNTIF(A25:$A$200,"&lt;&gt;")=0),ROUND(SUMIF($A$2:A23,"&lt;&gt;",$L$2:L23),2),IF(OR(A24="",posicao_contratual!W24="",C24="",NOT(ISNUMBER($Z$6))),"",ROUND(posicao_contratual!W24*C24*$Z$6,2)))</f>
        <v/>
      </c>
      <c r="M24" s="110" t="str">
        <f>IF(OR(posicao_contratual!J24="",posicao_contratual!N24=""),"",ROUND(MAX(posicao_contratual!J24+posicao_contratual!H24-posicao_contratual!N24,0),2))</f>
        <v/>
      </c>
      <c r="N24" s="104" t="str">
        <f>IF(AND(A24="",A23&lt;&gt;"",COUNTIF(A25:$A$200,"&lt;&gt;")=0),ROUND(SUMIF($A$2:A23,"&lt;&gt;",$N$2:N23),2),IF(OR(M24="",C24="",NOT(ISNUMBER($Z$3))),"",ROUND(M24*C24*$Z$3,2)))</f>
        <v/>
      </c>
      <c r="O24" s="110" t="str">
        <f>IF(OR(posicao_contratual!N24="",posicao_contratual!R24=""),"",ROUND(MAX(posicao_contratual!N24+posicao_contratual!L24-posicao_contratual!R24,0),2))</f>
        <v/>
      </c>
      <c r="P24" s="104" t="str">
        <f>IF(AND(A24="",A23&lt;&gt;"",COUNTIF(A25:$A$200,"&lt;&gt;")=0),ROUND(SUMIF($A$2:A23,"&lt;&gt;",$P$2:P23),2),IF(OR(O24="",C24="",NOT(ISNUMBER($Z$4))),"",ROUND(O24*C24*$Z$4,2)))</f>
        <v/>
      </c>
      <c r="Q24" s="110" t="str">
        <f>IF(OR(posicao_contratual!R24="",posicao_contratual!V24=""),"",ROUND(MAX(posicao_contratual!R24+posicao_contratual!P24-posicao_contratual!V24,0),2))</f>
        <v/>
      </c>
      <c r="R24" s="104" t="str">
        <f>IF(AND(A24="",A23&lt;&gt;"",COUNTIF(A25:$A$200,"&lt;&gt;")=0),ROUND(SUMIF($A$2:A23,"&lt;&gt;",$R$2:R23),2),IF(OR(Q24="",C24="",NOT(ISNUMBER($Z$5))),"",ROUND(Q24*C24*$Z$5,2)))</f>
        <v/>
      </c>
      <c r="S24" s="24"/>
      <c r="T24" s="25"/>
      <c r="U24" s="111" t="str">
        <f>IF(AND(A24="",A23&lt;&gt;"",COUNTIF(A25:$A$200,"&lt;&gt;")=0),"TOTAL",IF(A24="","",posicao_contratual!X24))</f>
        <v/>
      </c>
      <c r="V24" s="111" t="str">
        <f>IF(A24="","",posicao_contratual!X24)</f>
        <v/>
      </c>
      <c r="W24" s="16"/>
      <c r="X24" s="16"/>
      <c r="Y24" s="16"/>
      <c r="Z24" s="15"/>
      <c r="AA24" s="15"/>
      <c r="AB24" s="110" t="str">
        <f>IF(OR(A24="",posicao_contratual!E24="",posicao_contratual!J24=""),"",ROUND(MAX(posicao_contratual!E24-posicao_contratual!J24,0),2))</f>
        <v/>
      </c>
      <c r="AC24" s="104" t="str">
        <f>IF(AND(A24="",A23&lt;&gt;"",COUNTIF(A25:$A$200,"&lt;&gt;")=0),ROUND(SUMIF($A$2:A23,"&lt;&gt;",$AC$2:AC23),2),IF(OR(AB24="",C24="",NOT(ISNUMBER($Z$2))),"",ROUND(AB24*C24*$Z$2,2)))</f>
        <v/>
      </c>
      <c r="AD24" s="180" t="str">
        <f>IF(A24="","",posicao_contratual!E24)</f>
        <v/>
      </c>
      <c r="AE24" s="180" t="str">
        <f>IF(A24="","",posicao_contratual!I24)</f>
        <v/>
      </c>
      <c r="AF24" s="180" t="str">
        <f>IF(A24="","",posicao_contratual!M24)</f>
        <v/>
      </c>
      <c r="AG24" s="180" t="str">
        <f>IF(A24="","",posicao_contratual!Q24)</f>
        <v/>
      </c>
      <c r="AH24" s="180" t="str">
        <f>IF(A24="","",posicao_contratual!U24)</f>
        <v/>
      </c>
      <c r="AI24" s="180" t="str">
        <f>IF(A24="","",posicao_contratual!G24)</f>
        <v/>
      </c>
      <c r="AJ24" s="180" t="str">
        <f>IF(A24="","",posicao_contratual!K24)</f>
        <v/>
      </c>
      <c r="AK24" s="180" t="str">
        <f>IF(A24="","",posicao_contratual!O24)</f>
        <v/>
      </c>
      <c r="AL24" s="180" t="str">
        <f>IF(A24="","",posicao_contratual!S24)</f>
        <v/>
      </c>
      <c r="AM24" s="180" t="str">
        <f>IF(A24="","",posicao_contratual!W24)</f>
        <v/>
      </c>
      <c r="AN24" s="181" t="str">
        <f>IF(A24="","",posicao_contratual!X24)</f>
        <v/>
      </c>
    </row>
    <row r="25" spans="1:40" x14ac:dyDescent="0.35">
      <c r="A25" s="106"/>
      <c r="B25" s="107"/>
      <c r="C25" s="108"/>
      <c r="D25" s="104" t="str">
        <f>IF(AND(A25="",A24&lt;&gt;"",COUNTIF(A26:$A$200,"&lt;&gt;")=0),ROUND(SUMIF($A$2:A24,"&lt;&gt;",$D$2:D24),2),IF(OR(A25="",B25="",C25=""),"",ROUND(B25*C25,2)))</f>
        <v/>
      </c>
      <c r="E25" s="109"/>
      <c r="F25" s="104" t="str">
        <f>IF(AND(A25="",A24&lt;&gt;"",COUNTIF(A26:$A$200,"&lt;&gt;")=0),ROUND(SUMIF($A$2:A24,"&lt;&gt;",$F$2:F24),2),IF(OR(A25="",posicao_contratual!K25="",C25="",NOT(ISNUMBER($Z$3))),"",ROUND(posicao_contratual!K25*C25*$Z$3,2)))</f>
        <v/>
      </c>
      <c r="G25" s="109"/>
      <c r="H25" s="104" t="str">
        <f>IF(AND(A25="",A24&lt;&gt;"",COUNTIF(A26:$A$200,"&lt;&gt;")=0),ROUND(SUMIF($A$2:A24,"&lt;&gt;",$H$2:H24),2),IF(OR(A25="",posicao_contratual!O25="",C25="",NOT(ISNUMBER($Z$4))),"",ROUND(posicao_contratual!O25*C25*$Z$4,2)))</f>
        <v/>
      </c>
      <c r="I25" s="109"/>
      <c r="J25" s="104" t="str">
        <f>IF(AND(A25="",A24&lt;&gt;"",COUNTIF(A26:$A$200,"&lt;&gt;")=0),ROUND(SUMIF($A$2:A24,"&lt;&gt;",$J$2:J24),2),IF(OR(A25="",posicao_contratual!S25="",C25="",NOT(ISNUMBER($Z$5))),"",ROUND(posicao_contratual!S25*C25*$Z$5,2)))</f>
        <v/>
      </c>
      <c r="K25" s="109"/>
      <c r="L25" s="104" t="str">
        <f>IF(AND(A25="",A24&lt;&gt;"",COUNTIF(A26:$A$200,"&lt;&gt;")=0),ROUND(SUMIF($A$2:A24,"&lt;&gt;",$L$2:L24),2),IF(OR(A25="",posicao_contratual!W25="",C25="",NOT(ISNUMBER($Z$6))),"",ROUND(posicao_contratual!W25*C25*$Z$6,2)))</f>
        <v/>
      </c>
      <c r="M25" s="110" t="str">
        <f>IF(OR(posicao_contratual!J25="",posicao_contratual!N25=""),"",ROUND(MAX(posicao_contratual!J25+posicao_contratual!H25-posicao_contratual!N25,0),2))</f>
        <v/>
      </c>
      <c r="N25" s="104" t="str">
        <f>IF(AND(A25="",A24&lt;&gt;"",COUNTIF(A26:$A$200,"&lt;&gt;")=0),ROUND(SUMIF($A$2:A24,"&lt;&gt;",$N$2:N24),2),IF(OR(M25="",C25="",NOT(ISNUMBER($Z$3))),"",ROUND(M25*C25*$Z$3,2)))</f>
        <v/>
      </c>
      <c r="O25" s="110" t="str">
        <f>IF(OR(posicao_contratual!N25="",posicao_contratual!R25=""),"",ROUND(MAX(posicao_contratual!N25+posicao_contratual!L25-posicao_contratual!R25,0),2))</f>
        <v/>
      </c>
      <c r="P25" s="104" t="str">
        <f>IF(AND(A25="",A24&lt;&gt;"",COUNTIF(A26:$A$200,"&lt;&gt;")=0),ROUND(SUMIF($A$2:A24,"&lt;&gt;",$P$2:P24),2),IF(OR(O25="",C25="",NOT(ISNUMBER($Z$4))),"",ROUND(O25*C25*$Z$4,2)))</f>
        <v/>
      </c>
      <c r="Q25" s="110" t="str">
        <f>IF(OR(posicao_contratual!R25="",posicao_contratual!V25=""),"",ROUND(MAX(posicao_contratual!R25+posicao_contratual!P25-posicao_contratual!V25,0),2))</f>
        <v/>
      </c>
      <c r="R25" s="104" t="str">
        <f>IF(AND(A25="",A24&lt;&gt;"",COUNTIF(A26:$A$200,"&lt;&gt;")=0),ROUND(SUMIF($A$2:A24,"&lt;&gt;",$R$2:R24),2),IF(OR(Q25="",C25="",NOT(ISNUMBER($Z$5))),"",ROUND(Q25*C25*$Z$5,2)))</f>
        <v/>
      </c>
      <c r="S25" s="24"/>
      <c r="T25" s="25"/>
      <c r="U25" s="111" t="str">
        <f>IF(AND(A25="",A24&lt;&gt;"",COUNTIF(A26:$A$200,"&lt;&gt;")=0),"TOTAL",IF(A25="","",posicao_contratual!X25))</f>
        <v/>
      </c>
      <c r="V25" s="111" t="str">
        <f>IF(A25="","",posicao_contratual!X25)</f>
        <v/>
      </c>
      <c r="W25" s="16"/>
      <c r="X25" s="16"/>
      <c r="Y25" s="16"/>
      <c r="Z25" s="15"/>
      <c r="AA25" s="15"/>
      <c r="AB25" s="110" t="str">
        <f>IF(OR(A25="",posicao_contratual!E25="",posicao_contratual!J25=""),"",ROUND(MAX(posicao_contratual!E25-posicao_contratual!J25,0),2))</f>
        <v/>
      </c>
      <c r="AC25" s="104" t="str">
        <f>IF(AND(A25="",A24&lt;&gt;"",COUNTIF(A26:$A$200,"&lt;&gt;")=0),ROUND(SUMIF($A$2:A24,"&lt;&gt;",$AC$2:AC24),2),IF(OR(AB25="",C25="",NOT(ISNUMBER($Z$2))),"",ROUND(AB25*C25*$Z$2,2)))</f>
        <v/>
      </c>
      <c r="AD25" s="180" t="str">
        <f>IF(A25="","",posicao_contratual!E25)</f>
        <v/>
      </c>
      <c r="AE25" s="180" t="str">
        <f>IF(A25="","",posicao_contratual!I25)</f>
        <v/>
      </c>
      <c r="AF25" s="180" t="str">
        <f>IF(A25="","",posicao_contratual!M25)</f>
        <v/>
      </c>
      <c r="AG25" s="180" t="str">
        <f>IF(A25="","",posicao_contratual!Q25)</f>
        <v/>
      </c>
      <c r="AH25" s="180" t="str">
        <f>IF(A25="","",posicao_contratual!U25)</f>
        <v/>
      </c>
      <c r="AI25" s="180" t="str">
        <f>IF(A25="","",posicao_contratual!G25)</f>
        <v/>
      </c>
      <c r="AJ25" s="180" t="str">
        <f>IF(A25="","",posicao_contratual!K25)</f>
        <v/>
      </c>
      <c r="AK25" s="180" t="str">
        <f>IF(A25="","",posicao_contratual!O25)</f>
        <v/>
      </c>
      <c r="AL25" s="180" t="str">
        <f>IF(A25="","",posicao_contratual!S25)</f>
        <v/>
      </c>
      <c r="AM25" s="180" t="str">
        <f>IF(A25="","",posicao_contratual!W25)</f>
        <v/>
      </c>
      <c r="AN25" s="181" t="str">
        <f>IF(A25="","",posicao_contratual!X25)</f>
        <v/>
      </c>
    </row>
    <row r="26" spans="1:40" x14ac:dyDescent="0.35">
      <c r="A26" s="106"/>
      <c r="B26" s="107"/>
      <c r="C26" s="108"/>
      <c r="D26" s="104" t="str">
        <f>IF(AND(A26="",A25&lt;&gt;"",COUNTIF(A27:$A$200,"&lt;&gt;")=0),ROUND(SUMIF($A$2:A25,"&lt;&gt;",$D$2:D25),2),IF(OR(A26="",B26="",C26=""),"",ROUND(B26*C26,2)))</f>
        <v/>
      </c>
      <c r="E26" s="109"/>
      <c r="F26" s="104" t="str">
        <f>IF(AND(A26="",A25&lt;&gt;"",COUNTIF(A27:$A$200,"&lt;&gt;")=0),ROUND(SUMIF($A$2:A25,"&lt;&gt;",$F$2:F25),2),IF(OR(A26="",posicao_contratual!K26="",C26="",NOT(ISNUMBER($Z$3))),"",ROUND(posicao_contratual!K26*C26*$Z$3,2)))</f>
        <v/>
      </c>
      <c r="G26" s="109"/>
      <c r="H26" s="104" t="str">
        <f>IF(AND(A26="",A25&lt;&gt;"",COUNTIF(A27:$A$200,"&lt;&gt;")=0),ROUND(SUMIF($A$2:A25,"&lt;&gt;",$H$2:H25),2),IF(OR(A26="",posicao_contratual!O26="",C26="",NOT(ISNUMBER($Z$4))),"",ROUND(posicao_contratual!O26*C26*$Z$4,2)))</f>
        <v/>
      </c>
      <c r="I26" s="109"/>
      <c r="J26" s="104" t="str">
        <f>IF(AND(A26="",A25&lt;&gt;"",COUNTIF(A27:$A$200,"&lt;&gt;")=0),ROUND(SUMIF($A$2:A25,"&lt;&gt;",$J$2:J25),2),IF(OR(A26="",posicao_contratual!S26="",C26="",NOT(ISNUMBER($Z$5))),"",ROUND(posicao_contratual!S26*C26*$Z$5,2)))</f>
        <v/>
      </c>
      <c r="K26" s="109"/>
      <c r="L26" s="104" t="str">
        <f>IF(AND(A26="",A25&lt;&gt;"",COUNTIF(A27:$A$200,"&lt;&gt;")=0),ROUND(SUMIF($A$2:A25,"&lt;&gt;",$L$2:L25),2),IF(OR(A26="",posicao_contratual!W26="",C26="",NOT(ISNUMBER($Z$6))),"",ROUND(posicao_contratual!W26*C26*$Z$6,2)))</f>
        <v/>
      </c>
      <c r="M26" s="110" t="str">
        <f>IF(OR(posicao_contratual!J26="",posicao_contratual!N26=""),"",ROUND(MAX(posicao_contratual!J26+posicao_contratual!H26-posicao_contratual!N26,0),2))</f>
        <v/>
      </c>
      <c r="N26" s="104" t="str">
        <f>IF(AND(A26="",A25&lt;&gt;"",COUNTIF(A27:$A$200,"&lt;&gt;")=0),ROUND(SUMIF($A$2:A25,"&lt;&gt;",$N$2:N25),2),IF(OR(M26="",C26="",NOT(ISNUMBER($Z$3))),"",ROUND(M26*C26*$Z$3,2)))</f>
        <v/>
      </c>
      <c r="O26" s="110" t="str">
        <f>IF(OR(posicao_contratual!N26="",posicao_contratual!R26=""),"",ROUND(MAX(posicao_contratual!N26+posicao_contratual!L26-posicao_contratual!R26,0),2))</f>
        <v/>
      </c>
      <c r="P26" s="104" t="str">
        <f>IF(AND(A26="",A25&lt;&gt;"",COUNTIF(A27:$A$200,"&lt;&gt;")=0),ROUND(SUMIF($A$2:A25,"&lt;&gt;",$P$2:P25),2),IF(OR(O26="",C26="",NOT(ISNUMBER($Z$4))),"",ROUND(O26*C26*$Z$4,2)))</f>
        <v/>
      </c>
      <c r="Q26" s="110" t="str">
        <f>IF(OR(posicao_contratual!R26="",posicao_contratual!V26=""),"",ROUND(MAX(posicao_contratual!R26+posicao_contratual!P26-posicao_contratual!V26,0),2))</f>
        <v/>
      </c>
      <c r="R26" s="104" t="str">
        <f>IF(AND(A26="",A25&lt;&gt;"",COUNTIF(A27:$A$200,"&lt;&gt;")=0),ROUND(SUMIF($A$2:A25,"&lt;&gt;",$R$2:R25),2),IF(OR(Q26="",C26="",NOT(ISNUMBER($Z$5))),"",ROUND(Q26*C26*$Z$5,2)))</f>
        <v/>
      </c>
      <c r="S26" s="24"/>
      <c r="T26" s="25"/>
      <c r="U26" s="111" t="str">
        <f>IF(AND(A26="",A25&lt;&gt;"",COUNTIF(A27:$A$200,"&lt;&gt;")=0),"TOTAL",IF(A26="","",posicao_contratual!X26))</f>
        <v/>
      </c>
      <c r="V26" s="111" t="str">
        <f>IF(A26="","",posicao_contratual!X26)</f>
        <v/>
      </c>
      <c r="W26" s="16"/>
      <c r="X26" s="16"/>
      <c r="Y26" s="16"/>
      <c r="Z26" s="15"/>
      <c r="AA26" s="15"/>
      <c r="AB26" s="110" t="str">
        <f>IF(OR(A26="",posicao_contratual!E26="",posicao_contratual!J26=""),"",ROUND(MAX(posicao_contratual!E26-posicao_contratual!J26,0),2))</f>
        <v/>
      </c>
      <c r="AC26" s="104" t="str">
        <f>IF(AND(A26="",A25&lt;&gt;"",COUNTIF(A27:$A$200,"&lt;&gt;")=0),ROUND(SUMIF($A$2:A25,"&lt;&gt;",$AC$2:AC25),2),IF(OR(AB26="",C26="",NOT(ISNUMBER($Z$2))),"",ROUND(AB26*C26*$Z$2,2)))</f>
        <v/>
      </c>
      <c r="AD26" s="180" t="str">
        <f>IF(A26="","",posicao_contratual!E26)</f>
        <v/>
      </c>
      <c r="AE26" s="180" t="str">
        <f>IF(A26="","",posicao_contratual!I26)</f>
        <v/>
      </c>
      <c r="AF26" s="180" t="str">
        <f>IF(A26="","",posicao_contratual!M26)</f>
        <v/>
      </c>
      <c r="AG26" s="180" t="str">
        <f>IF(A26="","",posicao_contratual!Q26)</f>
        <v/>
      </c>
      <c r="AH26" s="180" t="str">
        <f>IF(A26="","",posicao_contratual!U26)</f>
        <v/>
      </c>
      <c r="AI26" s="180" t="str">
        <f>IF(A26="","",posicao_contratual!G26)</f>
        <v/>
      </c>
      <c r="AJ26" s="180" t="str">
        <f>IF(A26="","",posicao_contratual!K26)</f>
        <v/>
      </c>
      <c r="AK26" s="180" t="str">
        <f>IF(A26="","",posicao_contratual!O26)</f>
        <v/>
      </c>
      <c r="AL26" s="180" t="str">
        <f>IF(A26="","",posicao_contratual!S26)</f>
        <v/>
      </c>
      <c r="AM26" s="180" t="str">
        <f>IF(A26="","",posicao_contratual!W26)</f>
        <v/>
      </c>
      <c r="AN26" s="181" t="str">
        <f>IF(A26="","",posicao_contratual!X26)</f>
        <v/>
      </c>
    </row>
    <row r="27" spans="1:40" x14ac:dyDescent="0.35">
      <c r="A27" s="106"/>
      <c r="B27" s="107"/>
      <c r="C27" s="108"/>
      <c r="D27" s="104" t="str">
        <f>IF(AND(A27="",A26&lt;&gt;"",COUNTIF(A28:$A$200,"&lt;&gt;")=0),ROUND(SUMIF($A$2:A26,"&lt;&gt;",$D$2:D26),2),IF(OR(A27="",B27="",C27=""),"",ROUND(B27*C27,2)))</f>
        <v/>
      </c>
      <c r="E27" s="109"/>
      <c r="F27" s="104" t="str">
        <f>IF(AND(A27="",A26&lt;&gt;"",COUNTIF(A28:$A$200,"&lt;&gt;")=0),ROUND(SUMIF($A$2:A26,"&lt;&gt;",$F$2:F26),2),IF(OR(A27="",posicao_contratual!K27="",C27="",NOT(ISNUMBER($Z$3))),"",ROUND(posicao_contratual!K27*C27*$Z$3,2)))</f>
        <v/>
      </c>
      <c r="G27" s="109"/>
      <c r="H27" s="104" t="str">
        <f>IF(AND(A27="",A26&lt;&gt;"",COUNTIF(A28:$A$200,"&lt;&gt;")=0),ROUND(SUMIF($A$2:A26,"&lt;&gt;",$H$2:H26),2),IF(OR(A27="",posicao_contratual!O27="",C27="",NOT(ISNUMBER($Z$4))),"",ROUND(posicao_contratual!O27*C27*$Z$4,2)))</f>
        <v/>
      </c>
      <c r="I27" s="109"/>
      <c r="J27" s="104" t="str">
        <f>IF(AND(A27="",A26&lt;&gt;"",COUNTIF(A28:$A$200,"&lt;&gt;")=0),ROUND(SUMIF($A$2:A26,"&lt;&gt;",$J$2:J26),2),IF(OR(A27="",posicao_contratual!S27="",C27="",NOT(ISNUMBER($Z$5))),"",ROUND(posicao_contratual!S27*C27*$Z$5,2)))</f>
        <v/>
      </c>
      <c r="K27" s="109"/>
      <c r="L27" s="104" t="str">
        <f>IF(AND(A27="",A26&lt;&gt;"",COUNTIF(A28:$A$200,"&lt;&gt;")=0),ROUND(SUMIF($A$2:A26,"&lt;&gt;",$L$2:L26),2),IF(OR(A27="",posicao_contratual!W27="",C27="",NOT(ISNUMBER($Z$6))),"",ROUND(posicao_contratual!W27*C27*$Z$6,2)))</f>
        <v/>
      </c>
      <c r="M27" s="110" t="str">
        <f>IF(OR(posicao_contratual!J27="",posicao_contratual!N27=""),"",ROUND(MAX(posicao_contratual!J27+posicao_contratual!H27-posicao_contratual!N27,0),2))</f>
        <v/>
      </c>
      <c r="N27" s="104" t="str">
        <f>IF(AND(A27="",A26&lt;&gt;"",COUNTIF(A28:$A$200,"&lt;&gt;")=0),ROUND(SUMIF($A$2:A26,"&lt;&gt;",$N$2:N26),2),IF(OR(M27="",C27="",NOT(ISNUMBER($Z$3))),"",ROUND(M27*C27*$Z$3,2)))</f>
        <v/>
      </c>
      <c r="O27" s="110" t="str">
        <f>IF(OR(posicao_contratual!N27="",posicao_contratual!R27=""),"",ROUND(MAX(posicao_contratual!N27+posicao_contratual!L27-posicao_contratual!R27,0),2))</f>
        <v/>
      </c>
      <c r="P27" s="104" t="str">
        <f>IF(AND(A27="",A26&lt;&gt;"",COUNTIF(A28:$A$200,"&lt;&gt;")=0),ROUND(SUMIF($A$2:A26,"&lt;&gt;",$P$2:P26),2),IF(OR(O27="",C27="",NOT(ISNUMBER($Z$4))),"",ROUND(O27*C27*$Z$4,2)))</f>
        <v/>
      </c>
      <c r="Q27" s="110" t="str">
        <f>IF(OR(posicao_contratual!R27="",posicao_contratual!V27=""),"",ROUND(MAX(posicao_contratual!R27+posicao_contratual!P27-posicao_contratual!V27,0),2))</f>
        <v/>
      </c>
      <c r="R27" s="104" t="str">
        <f>IF(AND(A27="",A26&lt;&gt;"",COUNTIF(A28:$A$200,"&lt;&gt;")=0),ROUND(SUMIF($A$2:A26,"&lt;&gt;",$R$2:R26),2),IF(OR(Q27="",C27="",NOT(ISNUMBER($Z$5))),"",ROUND(Q27*C27*$Z$5,2)))</f>
        <v/>
      </c>
      <c r="S27" s="24"/>
      <c r="T27" s="25"/>
      <c r="U27" s="111" t="str">
        <f>IF(AND(A27="",A26&lt;&gt;"",COUNTIF(A28:$A$200,"&lt;&gt;")=0),"TOTAL",IF(A27="","",posicao_contratual!X27))</f>
        <v/>
      </c>
      <c r="V27" s="111" t="str">
        <f>IF(A27="","",posicao_contratual!X27)</f>
        <v/>
      </c>
      <c r="W27" s="16"/>
      <c r="X27" s="16"/>
      <c r="Y27" s="16"/>
      <c r="Z27" s="15"/>
      <c r="AA27" s="15"/>
      <c r="AB27" s="110" t="str">
        <f>IF(OR(A27="",posicao_contratual!E27="",posicao_contratual!J27=""),"",ROUND(MAX(posicao_contratual!E27-posicao_contratual!J27,0),2))</f>
        <v/>
      </c>
      <c r="AC27" s="104" t="str">
        <f>IF(AND(A27="",A26&lt;&gt;"",COUNTIF(A28:$A$200,"&lt;&gt;")=0),ROUND(SUMIF($A$2:A26,"&lt;&gt;",$AC$2:AC26),2),IF(OR(AB27="",C27="",NOT(ISNUMBER($Z$2))),"",ROUND(AB27*C27*$Z$2,2)))</f>
        <v/>
      </c>
      <c r="AD27" s="180" t="str">
        <f>IF(A27="","",posicao_contratual!E27)</f>
        <v/>
      </c>
      <c r="AE27" s="180" t="str">
        <f>IF(A27="","",posicao_contratual!I27)</f>
        <v/>
      </c>
      <c r="AF27" s="180" t="str">
        <f>IF(A27="","",posicao_contratual!M27)</f>
        <v/>
      </c>
      <c r="AG27" s="180" t="str">
        <f>IF(A27="","",posicao_contratual!Q27)</f>
        <v/>
      </c>
      <c r="AH27" s="180" t="str">
        <f>IF(A27="","",posicao_contratual!U27)</f>
        <v/>
      </c>
      <c r="AI27" s="180" t="str">
        <f>IF(A27="","",posicao_contratual!G27)</f>
        <v/>
      </c>
      <c r="AJ27" s="180" t="str">
        <f>IF(A27="","",posicao_contratual!K27)</f>
        <v/>
      </c>
      <c r="AK27" s="180" t="str">
        <f>IF(A27="","",posicao_contratual!O27)</f>
        <v/>
      </c>
      <c r="AL27" s="180" t="str">
        <f>IF(A27="","",posicao_contratual!S27)</f>
        <v/>
      </c>
      <c r="AM27" s="180" t="str">
        <f>IF(A27="","",posicao_contratual!W27)</f>
        <v/>
      </c>
      <c r="AN27" s="181" t="str">
        <f>IF(A27="","",posicao_contratual!X27)</f>
        <v/>
      </c>
    </row>
    <row r="28" spans="1:40" x14ac:dyDescent="0.35">
      <c r="A28" s="106"/>
      <c r="B28" s="107"/>
      <c r="C28" s="108"/>
      <c r="D28" s="104" t="str">
        <f>IF(AND(A28="",A27&lt;&gt;"",COUNTIF(A29:$A$200,"&lt;&gt;")=0),ROUND(SUMIF($A$2:A27,"&lt;&gt;",$D$2:D27),2),IF(OR(A28="",B28="",C28=""),"",ROUND(B28*C28,2)))</f>
        <v/>
      </c>
      <c r="E28" s="109"/>
      <c r="F28" s="104" t="str">
        <f>IF(AND(A28="",A27&lt;&gt;"",COUNTIF(A29:$A$200,"&lt;&gt;")=0),ROUND(SUMIF($A$2:A27,"&lt;&gt;",$F$2:F27),2),IF(OR(A28="",posicao_contratual!K28="",C28="",NOT(ISNUMBER($Z$3))),"",ROUND(posicao_contratual!K28*C28*$Z$3,2)))</f>
        <v/>
      </c>
      <c r="G28" s="109"/>
      <c r="H28" s="104" t="str">
        <f>IF(AND(A28="",A27&lt;&gt;"",COUNTIF(A29:$A$200,"&lt;&gt;")=0),ROUND(SUMIF($A$2:A27,"&lt;&gt;",$H$2:H27),2),IF(OR(A28="",posicao_contratual!O28="",C28="",NOT(ISNUMBER($Z$4))),"",ROUND(posicao_contratual!O28*C28*$Z$4,2)))</f>
        <v/>
      </c>
      <c r="I28" s="109"/>
      <c r="J28" s="104" t="str">
        <f>IF(AND(A28="",A27&lt;&gt;"",COUNTIF(A29:$A$200,"&lt;&gt;")=0),ROUND(SUMIF($A$2:A27,"&lt;&gt;",$J$2:J27),2),IF(OR(A28="",posicao_contratual!S28="",C28="",NOT(ISNUMBER($Z$5))),"",ROUND(posicao_contratual!S28*C28*$Z$5,2)))</f>
        <v/>
      </c>
      <c r="K28" s="109"/>
      <c r="L28" s="104" t="str">
        <f>IF(AND(A28="",A27&lt;&gt;"",COUNTIF(A29:$A$200,"&lt;&gt;")=0),ROUND(SUMIF($A$2:A27,"&lt;&gt;",$L$2:L27),2),IF(OR(A28="",posicao_contratual!W28="",C28="",NOT(ISNUMBER($Z$6))),"",ROUND(posicao_contratual!W28*C28*$Z$6,2)))</f>
        <v/>
      </c>
      <c r="M28" s="110" t="str">
        <f>IF(OR(posicao_contratual!J28="",posicao_contratual!N28=""),"",ROUND(MAX(posicao_contratual!J28+posicao_contratual!H28-posicao_contratual!N28,0),2))</f>
        <v/>
      </c>
      <c r="N28" s="104" t="str">
        <f>IF(AND(A28="",A27&lt;&gt;"",COUNTIF(A29:$A$200,"&lt;&gt;")=0),ROUND(SUMIF($A$2:A27,"&lt;&gt;",$N$2:N27),2),IF(OR(M28="",C28="",NOT(ISNUMBER($Z$3))),"",ROUND(M28*C28*$Z$3,2)))</f>
        <v/>
      </c>
      <c r="O28" s="110" t="str">
        <f>IF(OR(posicao_contratual!N28="",posicao_contratual!R28=""),"",ROUND(MAX(posicao_contratual!N28+posicao_contratual!L28-posicao_contratual!R28,0),2))</f>
        <v/>
      </c>
      <c r="P28" s="104" t="str">
        <f>IF(AND(A28="",A27&lt;&gt;"",COUNTIF(A29:$A$200,"&lt;&gt;")=0),ROUND(SUMIF($A$2:A27,"&lt;&gt;",$P$2:P27),2),IF(OR(O28="",C28="",NOT(ISNUMBER($Z$4))),"",ROUND(O28*C28*$Z$4,2)))</f>
        <v/>
      </c>
      <c r="Q28" s="110" t="str">
        <f>IF(OR(posicao_contratual!R28="",posicao_contratual!V28=""),"",ROUND(MAX(posicao_contratual!R28+posicao_contratual!P28-posicao_contratual!V28,0),2))</f>
        <v/>
      </c>
      <c r="R28" s="104" t="str">
        <f>IF(AND(A28="",A27&lt;&gt;"",COUNTIF(A29:$A$200,"&lt;&gt;")=0),ROUND(SUMIF($A$2:A27,"&lt;&gt;",$R$2:R27),2),IF(OR(Q28="",C28="",NOT(ISNUMBER($Z$5))),"",ROUND(Q28*C28*$Z$5,2)))</f>
        <v/>
      </c>
      <c r="S28" s="24"/>
      <c r="T28" s="25"/>
      <c r="U28" s="111" t="str">
        <f>IF(AND(A28="",A27&lt;&gt;"",COUNTIF(A29:$A$200,"&lt;&gt;")=0),"TOTAL",IF(A28="","",posicao_contratual!X28))</f>
        <v/>
      </c>
      <c r="V28" s="111" t="str">
        <f>IF(A28="","",posicao_contratual!X28)</f>
        <v/>
      </c>
      <c r="W28" s="16"/>
      <c r="X28" s="16"/>
      <c r="Y28" s="16"/>
      <c r="Z28" s="15"/>
      <c r="AA28" s="15"/>
      <c r="AB28" s="110" t="str">
        <f>IF(OR(A28="",posicao_contratual!E28="",posicao_contratual!J28=""),"",ROUND(MAX(posicao_contratual!E28-posicao_contratual!J28,0),2))</f>
        <v/>
      </c>
      <c r="AC28" s="104" t="str">
        <f>IF(AND(A28="",A27&lt;&gt;"",COUNTIF(A29:$A$200,"&lt;&gt;")=0),ROUND(SUMIF($A$2:A27,"&lt;&gt;",$AC$2:AC27),2),IF(OR(AB28="",C28="",NOT(ISNUMBER($Z$2))),"",ROUND(AB28*C28*$Z$2,2)))</f>
        <v/>
      </c>
      <c r="AD28" s="180" t="str">
        <f>IF(A28="","",posicao_contratual!E28)</f>
        <v/>
      </c>
      <c r="AE28" s="180" t="str">
        <f>IF(A28="","",posicao_contratual!I28)</f>
        <v/>
      </c>
      <c r="AF28" s="180" t="str">
        <f>IF(A28="","",posicao_contratual!M28)</f>
        <v/>
      </c>
      <c r="AG28" s="180" t="str">
        <f>IF(A28="","",posicao_contratual!Q28)</f>
        <v/>
      </c>
      <c r="AH28" s="180" t="str">
        <f>IF(A28="","",posicao_contratual!U28)</f>
        <v/>
      </c>
      <c r="AI28" s="180" t="str">
        <f>IF(A28="","",posicao_contratual!G28)</f>
        <v/>
      </c>
      <c r="AJ28" s="180" t="str">
        <f>IF(A28="","",posicao_contratual!K28)</f>
        <v/>
      </c>
      <c r="AK28" s="180" t="str">
        <f>IF(A28="","",posicao_contratual!O28)</f>
        <v/>
      </c>
      <c r="AL28" s="180" t="str">
        <f>IF(A28="","",posicao_contratual!S28)</f>
        <v/>
      </c>
      <c r="AM28" s="180" t="str">
        <f>IF(A28="","",posicao_contratual!W28)</f>
        <v/>
      </c>
      <c r="AN28" s="181" t="str">
        <f>IF(A28="","",posicao_contratual!X28)</f>
        <v/>
      </c>
    </row>
    <row r="29" spans="1:40" x14ac:dyDescent="0.35">
      <c r="A29" s="106"/>
      <c r="B29" s="107"/>
      <c r="C29" s="108"/>
      <c r="D29" s="104" t="str">
        <f>IF(AND(A29="",A28&lt;&gt;"",COUNTIF(A30:$A$200,"&lt;&gt;")=0),ROUND(SUMIF($A$2:A28,"&lt;&gt;",$D$2:D28),2),IF(OR(A29="",B29="",C29=""),"",ROUND(B29*C29,2)))</f>
        <v/>
      </c>
      <c r="E29" s="109"/>
      <c r="F29" s="104" t="str">
        <f>IF(AND(A29="",A28&lt;&gt;"",COUNTIF(A30:$A$200,"&lt;&gt;")=0),ROUND(SUMIF($A$2:A28,"&lt;&gt;",$F$2:F28),2),IF(OR(A29="",posicao_contratual!K29="",C29="",NOT(ISNUMBER($Z$3))),"",ROUND(posicao_contratual!K29*C29*$Z$3,2)))</f>
        <v/>
      </c>
      <c r="G29" s="109"/>
      <c r="H29" s="104" t="str">
        <f>IF(AND(A29="",A28&lt;&gt;"",COUNTIF(A30:$A$200,"&lt;&gt;")=0),ROUND(SUMIF($A$2:A28,"&lt;&gt;",$H$2:H28),2),IF(OR(A29="",posicao_contratual!O29="",C29="",NOT(ISNUMBER($Z$4))),"",ROUND(posicao_contratual!O29*C29*$Z$4,2)))</f>
        <v/>
      </c>
      <c r="I29" s="109"/>
      <c r="J29" s="104" t="str">
        <f>IF(AND(A29="",A28&lt;&gt;"",COUNTIF(A30:$A$200,"&lt;&gt;")=0),ROUND(SUMIF($A$2:A28,"&lt;&gt;",$J$2:J28),2),IF(OR(A29="",posicao_contratual!S29="",C29="",NOT(ISNUMBER($Z$5))),"",ROUND(posicao_contratual!S29*C29*$Z$5,2)))</f>
        <v/>
      </c>
      <c r="K29" s="109"/>
      <c r="L29" s="104" t="str">
        <f>IF(AND(A29="",A28&lt;&gt;"",COUNTIF(A30:$A$200,"&lt;&gt;")=0),ROUND(SUMIF($A$2:A28,"&lt;&gt;",$L$2:L28),2),IF(OR(A29="",posicao_contratual!W29="",C29="",NOT(ISNUMBER($Z$6))),"",ROUND(posicao_contratual!W29*C29*$Z$6,2)))</f>
        <v/>
      </c>
      <c r="M29" s="110" t="str">
        <f>IF(OR(posicao_contratual!J29="",posicao_contratual!N29=""),"",ROUND(MAX(posicao_contratual!J29+posicao_contratual!H29-posicao_contratual!N29,0),2))</f>
        <v/>
      </c>
      <c r="N29" s="104" t="str">
        <f>IF(AND(A29="",A28&lt;&gt;"",COUNTIF(A30:$A$200,"&lt;&gt;")=0),ROUND(SUMIF($A$2:A28,"&lt;&gt;",$N$2:N28),2),IF(OR(M29="",C29="",NOT(ISNUMBER($Z$3))),"",ROUND(M29*C29*$Z$3,2)))</f>
        <v/>
      </c>
      <c r="O29" s="110" t="str">
        <f>IF(OR(posicao_contratual!N29="",posicao_contratual!R29=""),"",ROUND(MAX(posicao_contratual!N29+posicao_contratual!L29-posicao_contratual!R29,0),2))</f>
        <v/>
      </c>
      <c r="P29" s="104" t="str">
        <f>IF(AND(A29="",A28&lt;&gt;"",COUNTIF(A30:$A$200,"&lt;&gt;")=0),ROUND(SUMIF($A$2:A28,"&lt;&gt;",$P$2:P28),2),IF(OR(O29="",C29="",NOT(ISNUMBER($Z$4))),"",ROUND(O29*C29*$Z$4,2)))</f>
        <v/>
      </c>
      <c r="Q29" s="110" t="str">
        <f>IF(OR(posicao_contratual!R29="",posicao_contratual!V29=""),"",ROUND(MAX(posicao_contratual!R29+posicao_contratual!P29-posicao_contratual!V29,0),2))</f>
        <v/>
      </c>
      <c r="R29" s="104" t="str">
        <f>IF(AND(A29="",A28&lt;&gt;"",COUNTIF(A30:$A$200,"&lt;&gt;")=0),ROUND(SUMIF($A$2:A28,"&lt;&gt;",$R$2:R28),2),IF(OR(Q29="",C29="",NOT(ISNUMBER($Z$5))),"",ROUND(Q29*C29*$Z$5,2)))</f>
        <v/>
      </c>
      <c r="S29" s="24"/>
      <c r="T29" s="25"/>
      <c r="U29" s="111" t="str">
        <f>IF(AND(A29="",A28&lt;&gt;"",COUNTIF(A30:$A$200,"&lt;&gt;")=0),"TOTAL",IF(A29="","",posicao_contratual!X29))</f>
        <v/>
      </c>
      <c r="V29" s="111" t="str">
        <f>IF(A29="","",posicao_contratual!X29)</f>
        <v/>
      </c>
      <c r="W29" s="16"/>
      <c r="X29" s="16"/>
      <c r="Y29" s="16"/>
      <c r="Z29" s="15"/>
      <c r="AA29" s="15"/>
      <c r="AB29" s="110" t="str">
        <f>IF(OR(A29="",posicao_contratual!E29="",posicao_contratual!J29=""),"",ROUND(MAX(posicao_contratual!E29-posicao_contratual!J29,0),2))</f>
        <v/>
      </c>
      <c r="AC29" s="104" t="str">
        <f>IF(AND(A29="",A28&lt;&gt;"",COUNTIF(A30:$A$200,"&lt;&gt;")=0),ROUND(SUMIF($A$2:A28,"&lt;&gt;",$AC$2:AC28),2),IF(OR(AB29="",C29="",NOT(ISNUMBER($Z$2))),"",ROUND(AB29*C29*$Z$2,2)))</f>
        <v/>
      </c>
      <c r="AD29" s="180" t="str">
        <f>IF(A29="","",posicao_contratual!E29)</f>
        <v/>
      </c>
      <c r="AE29" s="180" t="str">
        <f>IF(A29="","",posicao_contratual!I29)</f>
        <v/>
      </c>
      <c r="AF29" s="180" t="str">
        <f>IF(A29="","",posicao_contratual!M29)</f>
        <v/>
      </c>
      <c r="AG29" s="180" t="str">
        <f>IF(A29="","",posicao_contratual!Q29)</f>
        <v/>
      </c>
      <c r="AH29" s="180" t="str">
        <f>IF(A29="","",posicao_contratual!U29)</f>
        <v/>
      </c>
      <c r="AI29" s="180" t="str">
        <f>IF(A29="","",posicao_contratual!G29)</f>
        <v/>
      </c>
      <c r="AJ29" s="180" t="str">
        <f>IF(A29="","",posicao_contratual!K29)</f>
        <v/>
      </c>
      <c r="AK29" s="180" t="str">
        <f>IF(A29="","",posicao_contratual!O29)</f>
        <v/>
      </c>
      <c r="AL29" s="180" t="str">
        <f>IF(A29="","",posicao_contratual!S29)</f>
        <v/>
      </c>
      <c r="AM29" s="180" t="str">
        <f>IF(A29="","",posicao_contratual!W29)</f>
        <v/>
      </c>
      <c r="AN29" s="181" t="str">
        <f>IF(A29="","",posicao_contratual!X29)</f>
        <v/>
      </c>
    </row>
    <row r="30" spans="1:40" x14ac:dyDescent="0.35">
      <c r="A30" s="106"/>
      <c r="B30" s="107"/>
      <c r="C30" s="108"/>
      <c r="D30" s="104" t="str">
        <f>IF(AND(A30="",A29&lt;&gt;"",COUNTIF(A31:$A$200,"&lt;&gt;")=0),ROUND(SUMIF($A$2:A29,"&lt;&gt;",$D$2:D29),2),IF(OR(A30="",B30="",C30=""),"",ROUND(B30*C30,2)))</f>
        <v/>
      </c>
      <c r="E30" s="109"/>
      <c r="F30" s="104" t="str">
        <f>IF(AND(A30="",A29&lt;&gt;"",COUNTIF(A31:$A$200,"&lt;&gt;")=0),ROUND(SUMIF($A$2:A29,"&lt;&gt;",$F$2:F29),2),IF(OR(A30="",posicao_contratual!K30="",C30="",NOT(ISNUMBER($Z$3))),"",ROUND(posicao_contratual!K30*C30*$Z$3,2)))</f>
        <v/>
      </c>
      <c r="G30" s="109"/>
      <c r="H30" s="104" t="str">
        <f>IF(AND(A30="",A29&lt;&gt;"",COUNTIF(A31:$A$200,"&lt;&gt;")=0),ROUND(SUMIF($A$2:A29,"&lt;&gt;",$H$2:H29),2),IF(OR(A30="",posicao_contratual!O30="",C30="",NOT(ISNUMBER($Z$4))),"",ROUND(posicao_contratual!O30*C30*$Z$4,2)))</f>
        <v/>
      </c>
      <c r="I30" s="109"/>
      <c r="J30" s="104" t="str">
        <f>IF(AND(A30="",A29&lt;&gt;"",COUNTIF(A31:$A$200,"&lt;&gt;")=0),ROUND(SUMIF($A$2:A29,"&lt;&gt;",$J$2:J29),2),IF(OR(A30="",posicao_contratual!S30="",C30="",NOT(ISNUMBER($Z$5))),"",ROUND(posicao_contratual!S30*C30*$Z$5,2)))</f>
        <v/>
      </c>
      <c r="K30" s="109"/>
      <c r="L30" s="104" t="str">
        <f>IF(AND(A30="",A29&lt;&gt;"",COUNTIF(A31:$A$200,"&lt;&gt;")=0),ROUND(SUMIF($A$2:A29,"&lt;&gt;",$L$2:L29),2),IF(OR(A30="",posicao_contratual!W30="",C30="",NOT(ISNUMBER($Z$6))),"",ROUND(posicao_contratual!W30*C30*$Z$6,2)))</f>
        <v/>
      </c>
      <c r="M30" s="110" t="str">
        <f>IF(OR(posicao_contratual!J30="",posicao_contratual!N30=""),"",ROUND(MAX(posicao_contratual!J30+posicao_contratual!H30-posicao_contratual!N30,0),2))</f>
        <v/>
      </c>
      <c r="N30" s="104" t="str">
        <f>IF(AND(A30="",A29&lt;&gt;"",COUNTIF(A31:$A$200,"&lt;&gt;")=0),ROUND(SUMIF($A$2:A29,"&lt;&gt;",$N$2:N29),2),IF(OR(M30="",C30="",NOT(ISNUMBER($Z$3))),"",ROUND(M30*C30*$Z$3,2)))</f>
        <v/>
      </c>
      <c r="O30" s="110" t="str">
        <f>IF(OR(posicao_contratual!N30="",posicao_contratual!R30=""),"",ROUND(MAX(posicao_contratual!N30+posicao_contratual!L30-posicao_contratual!R30,0),2))</f>
        <v/>
      </c>
      <c r="P30" s="104" t="str">
        <f>IF(AND(A30="",A29&lt;&gt;"",COUNTIF(A31:$A$200,"&lt;&gt;")=0),ROUND(SUMIF($A$2:A29,"&lt;&gt;",$P$2:P29),2),IF(OR(O30="",C30="",NOT(ISNUMBER($Z$4))),"",ROUND(O30*C30*$Z$4,2)))</f>
        <v/>
      </c>
      <c r="Q30" s="110" t="str">
        <f>IF(OR(posicao_contratual!R30="",posicao_contratual!V30=""),"",ROUND(MAX(posicao_contratual!R30+posicao_contratual!P30-posicao_contratual!V30,0),2))</f>
        <v/>
      </c>
      <c r="R30" s="104" t="str">
        <f>IF(AND(A30="",A29&lt;&gt;"",COUNTIF(A31:$A$200,"&lt;&gt;")=0),ROUND(SUMIF($A$2:A29,"&lt;&gt;",$R$2:R29),2),IF(OR(Q30="",C30="",NOT(ISNUMBER($Z$5))),"",ROUND(Q30*C30*$Z$5,2)))</f>
        <v/>
      </c>
      <c r="S30" s="24"/>
      <c r="T30" s="25"/>
      <c r="U30" s="111" t="str">
        <f>IF(AND(A30="",A29&lt;&gt;"",COUNTIF(A31:$A$200,"&lt;&gt;")=0),"TOTAL",IF(A30="","",posicao_contratual!X30))</f>
        <v/>
      </c>
      <c r="V30" s="111" t="str">
        <f>IF(A30="","",posicao_contratual!X30)</f>
        <v/>
      </c>
      <c r="W30" s="16"/>
      <c r="X30" s="16"/>
      <c r="Y30" s="16"/>
      <c r="Z30" s="15"/>
      <c r="AA30" s="15"/>
      <c r="AB30" s="110" t="str">
        <f>IF(OR(A30="",posicao_contratual!E30="",posicao_contratual!J30=""),"",ROUND(MAX(posicao_contratual!E30-posicao_contratual!J30,0),2))</f>
        <v/>
      </c>
      <c r="AC30" s="104" t="str">
        <f>IF(AND(A30="",A29&lt;&gt;"",COUNTIF(A31:$A$200,"&lt;&gt;")=0),ROUND(SUMIF($A$2:A29,"&lt;&gt;",$AC$2:AC29),2),IF(OR(AB30="",C30="",NOT(ISNUMBER($Z$2))),"",ROUND(AB30*C30*$Z$2,2)))</f>
        <v/>
      </c>
      <c r="AD30" s="180" t="str">
        <f>IF(A30="","",posicao_contratual!E30)</f>
        <v/>
      </c>
      <c r="AE30" s="180" t="str">
        <f>IF(A30="","",posicao_contratual!I30)</f>
        <v/>
      </c>
      <c r="AF30" s="180" t="str">
        <f>IF(A30="","",posicao_contratual!M30)</f>
        <v/>
      </c>
      <c r="AG30" s="180" t="str">
        <f>IF(A30="","",posicao_contratual!Q30)</f>
        <v/>
      </c>
      <c r="AH30" s="180" t="str">
        <f>IF(A30="","",posicao_contratual!U30)</f>
        <v/>
      </c>
      <c r="AI30" s="180" t="str">
        <f>IF(A30="","",posicao_contratual!G30)</f>
        <v/>
      </c>
      <c r="AJ30" s="180" t="str">
        <f>IF(A30="","",posicao_contratual!K30)</f>
        <v/>
      </c>
      <c r="AK30" s="180" t="str">
        <f>IF(A30="","",posicao_contratual!O30)</f>
        <v/>
      </c>
      <c r="AL30" s="180" t="str">
        <f>IF(A30="","",posicao_contratual!S30)</f>
        <v/>
      </c>
      <c r="AM30" s="180" t="str">
        <f>IF(A30="","",posicao_contratual!W30)</f>
        <v/>
      </c>
      <c r="AN30" s="181" t="str">
        <f>IF(A30="","",posicao_contratual!X30)</f>
        <v/>
      </c>
    </row>
    <row r="31" spans="1:40" x14ac:dyDescent="0.35">
      <c r="A31" s="106"/>
      <c r="B31" s="107"/>
      <c r="C31" s="108"/>
      <c r="D31" s="104" t="str">
        <f>IF(AND(A31="",A30&lt;&gt;"",COUNTIF(A32:$A$200,"&lt;&gt;")=0),ROUND(SUMIF($A$2:A30,"&lt;&gt;",$D$2:D30),2),IF(OR(A31="",B31="",C31=""),"",ROUND(B31*C31,2)))</f>
        <v/>
      </c>
      <c r="E31" s="109"/>
      <c r="F31" s="104" t="str">
        <f>IF(AND(A31="",A30&lt;&gt;"",COUNTIF(A32:$A$200,"&lt;&gt;")=0),ROUND(SUMIF($A$2:A30,"&lt;&gt;",$F$2:F30),2),IF(OR(A31="",posicao_contratual!K31="",C31="",NOT(ISNUMBER($Z$3))),"",ROUND(posicao_contratual!K31*C31*$Z$3,2)))</f>
        <v/>
      </c>
      <c r="G31" s="109"/>
      <c r="H31" s="104" t="str">
        <f>IF(AND(A31="",A30&lt;&gt;"",COUNTIF(A32:$A$200,"&lt;&gt;")=0),ROUND(SUMIF($A$2:A30,"&lt;&gt;",$H$2:H30),2),IF(OR(A31="",posicao_contratual!O31="",C31="",NOT(ISNUMBER($Z$4))),"",ROUND(posicao_contratual!O31*C31*$Z$4,2)))</f>
        <v/>
      </c>
      <c r="I31" s="109"/>
      <c r="J31" s="104" t="str">
        <f>IF(AND(A31="",A30&lt;&gt;"",COUNTIF(A32:$A$200,"&lt;&gt;")=0),ROUND(SUMIF($A$2:A30,"&lt;&gt;",$J$2:J30),2),IF(OR(A31="",posicao_contratual!S31="",C31="",NOT(ISNUMBER($Z$5))),"",ROUND(posicao_contratual!S31*C31*$Z$5,2)))</f>
        <v/>
      </c>
      <c r="K31" s="109"/>
      <c r="L31" s="104" t="str">
        <f>IF(AND(A31="",A30&lt;&gt;"",COUNTIF(A32:$A$200,"&lt;&gt;")=0),ROUND(SUMIF($A$2:A30,"&lt;&gt;",$L$2:L30),2),IF(OR(A31="",posicao_contratual!W31="",C31="",NOT(ISNUMBER($Z$6))),"",ROUND(posicao_contratual!W31*C31*$Z$6,2)))</f>
        <v/>
      </c>
      <c r="M31" s="110" t="str">
        <f>IF(OR(posicao_contratual!J31="",posicao_contratual!N31=""),"",ROUND(MAX(posicao_contratual!J31+posicao_contratual!H31-posicao_contratual!N31,0),2))</f>
        <v/>
      </c>
      <c r="N31" s="104" t="str">
        <f>IF(AND(A31="",A30&lt;&gt;"",COUNTIF(A32:$A$200,"&lt;&gt;")=0),ROUND(SUMIF($A$2:A30,"&lt;&gt;",$N$2:N30),2),IF(OR(M31="",C31="",NOT(ISNUMBER($Z$3))),"",ROUND(M31*C31*$Z$3,2)))</f>
        <v/>
      </c>
      <c r="O31" s="110" t="str">
        <f>IF(OR(posicao_contratual!N31="",posicao_contratual!R31=""),"",ROUND(MAX(posicao_contratual!N31+posicao_contratual!L31-posicao_contratual!R31,0),2))</f>
        <v/>
      </c>
      <c r="P31" s="104" t="str">
        <f>IF(AND(A31="",A30&lt;&gt;"",COUNTIF(A32:$A$200,"&lt;&gt;")=0),ROUND(SUMIF($A$2:A30,"&lt;&gt;",$P$2:P30),2),IF(OR(O31="",C31="",NOT(ISNUMBER($Z$4))),"",ROUND(O31*C31*$Z$4,2)))</f>
        <v/>
      </c>
      <c r="Q31" s="110" t="str">
        <f>IF(OR(posicao_contratual!R31="",posicao_contratual!V31=""),"",ROUND(MAX(posicao_contratual!R31+posicao_contratual!P31-posicao_contratual!V31,0),2))</f>
        <v/>
      </c>
      <c r="R31" s="104" t="str">
        <f>IF(AND(A31="",A30&lt;&gt;"",COUNTIF(A32:$A$200,"&lt;&gt;")=0),ROUND(SUMIF($A$2:A30,"&lt;&gt;",$R$2:R30),2),IF(OR(Q31="",C31="",NOT(ISNUMBER($Z$5))),"",ROUND(Q31*C31*$Z$5,2)))</f>
        <v/>
      </c>
      <c r="S31" s="24"/>
      <c r="T31" s="25"/>
      <c r="U31" s="111" t="str">
        <f>IF(AND(A31="",A30&lt;&gt;"",COUNTIF(A32:$A$200,"&lt;&gt;")=0),"TOTAL",IF(A31="","",posicao_contratual!X31))</f>
        <v/>
      </c>
      <c r="V31" s="111" t="str">
        <f>IF(A31="","",posicao_contratual!X31)</f>
        <v/>
      </c>
      <c r="W31" s="16"/>
      <c r="X31" s="16"/>
      <c r="Y31" s="16"/>
      <c r="Z31" s="15"/>
      <c r="AA31" s="15"/>
      <c r="AB31" s="110" t="str">
        <f>IF(OR(A31="",posicao_contratual!E31="",posicao_contratual!J31=""),"",ROUND(MAX(posicao_contratual!E31-posicao_contratual!J31,0),2))</f>
        <v/>
      </c>
      <c r="AC31" s="104" t="str">
        <f>IF(AND(A31="",A30&lt;&gt;"",COUNTIF(A32:$A$200,"&lt;&gt;")=0),ROUND(SUMIF($A$2:A30,"&lt;&gt;",$AC$2:AC30),2),IF(OR(AB31="",C31="",NOT(ISNUMBER($Z$2))),"",ROUND(AB31*C31*$Z$2,2)))</f>
        <v/>
      </c>
      <c r="AD31" s="180" t="str">
        <f>IF(A31="","",posicao_contratual!E31)</f>
        <v/>
      </c>
      <c r="AE31" s="180" t="str">
        <f>IF(A31="","",posicao_contratual!I31)</f>
        <v/>
      </c>
      <c r="AF31" s="180" t="str">
        <f>IF(A31="","",posicao_contratual!M31)</f>
        <v/>
      </c>
      <c r="AG31" s="180" t="str">
        <f>IF(A31="","",posicao_contratual!Q31)</f>
        <v/>
      </c>
      <c r="AH31" s="180" t="str">
        <f>IF(A31="","",posicao_contratual!U31)</f>
        <v/>
      </c>
      <c r="AI31" s="180" t="str">
        <f>IF(A31="","",posicao_contratual!G31)</f>
        <v/>
      </c>
      <c r="AJ31" s="180" t="str">
        <f>IF(A31="","",posicao_contratual!K31)</f>
        <v/>
      </c>
      <c r="AK31" s="180" t="str">
        <f>IF(A31="","",posicao_contratual!O31)</f>
        <v/>
      </c>
      <c r="AL31" s="180" t="str">
        <f>IF(A31="","",posicao_contratual!S31)</f>
        <v/>
      </c>
      <c r="AM31" s="180" t="str">
        <f>IF(A31="","",posicao_contratual!W31)</f>
        <v/>
      </c>
      <c r="AN31" s="181" t="str">
        <f>IF(A31="","",posicao_contratual!X31)</f>
        <v/>
      </c>
    </row>
    <row r="32" spans="1:40" x14ac:dyDescent="0.35">
      <c r="A32" s="106"/>
      <c r="B32" s="107"/>
      <c r="C32" s="108"/>
      <c r="D32" s="104" t="str">
        <f>IF(AND(A32="",A31&lt;&gt;"",COUNTIF(A33:$A$200,"&lt;&gt;")=0),ROUND(SUMIF($A$2:A31,"&lt;&gt;",$D$2:D31),2),IF(OR(A32="",B32="",C32=""),"",ROUND(B32*C32,2)))</f>
        <v/>
      </c>
      <c r="E32" s="109"/>
      <c r="F32" s="104" t="str">
        <f>IF(AND(A32="",A31&lt;&gt;"",COUNTIF(A33:$A$200,"&lt;&gt;")=0),ROUND(SUMIF($A$2:A31,"&lt;&gt;",$F$2:F31),2),IF(OR(A32="",posicao_contratual!K32="",C32="",NOT(ISNUMBER($Z$3))),"",ROUND(posicao_contratual!K32*C32*$Z$3,2)))</f>
        <v/>
      </c>
      <c r="G32" s="109"/>
      <c r="H32" s="104" t="str">
        <f>IF(AND(A32="",A31&lt;&gt;"",COUNTIF(A33:$A$200,"&lt;&gt;")=0),ROUND(SUMIF($A$2:A31,"&lt;&gt;",$H$2:H31),2),IF(OR(A32="",posicao_contratual!O32="",C32="",NOT(ISNUMBER($Z$4))),"",ROUND(posicao_contratual!O32*C32*$Z$4,2)))</f>
        <v/>
      </c>
      <c r="I32" s="109"/>
      <c r="J32" s="104" t="str">
        <f>IF(AND(A32="",A31&lt;&gt;"",COUNTIF(A33:$A$200,"&lt;&gt;")=0),ROUND(SUMIF($A$2:A31,"&lt;&gt;",$J$2:J31),2),IF(OR(A32="",posicao_contratual!S32="",C32="",NOT(ISNUMBER($Z$5))),"",ROUND(posicao_contratual!S32*C32*$Z$5,2)))</f>
        <v/>
      </c>
      <c r="K32" s="109"/>
      <c r="L32" s="104" t="str">
        <f>IF(AND(A32="",A31&lt;&gt;"",COUNTIF(A33:$A$200,"&lt;&gt;")=0),ROUND(SUMIF($A$2:A31,"&lt;&gt;",$L$2:L31),2),IF(OR(A32="",posicao_contratual!W32="",C32="",NOT(ISNUMBER($Z$6))),"",ROUND(posicao_contratual!W32*C32*$Z$6,2)))</f>
        <v/>
      </c>
      <c r="M32" s="110" t="str">
        <f>IF(OR(posicao_contratual!J32="",posicao_contratual!N32=""),"",ROUND(MAX(posicao_contratual!J32+posicao_contratual!H32-posicao_contratual!N32,0),2))</f>
        <v/>
      </c>
      <c r="N32" s="104" t="str">
        <f>IF(AND(A32="",A31&lt;&gt;"",COUNTIF(A33:$A$200,"&lt;&gt;")=0),ROUND(SUMIF($A$2:A31,"&lt;&gt;",$N$2:N31),2),IF(OR(M32="",C32="",NOT(ISNUMBER($Z$3))),"",ROUND(M32*C32*$Z$3,2)))</f>
        <v/>
      </c>
      <c r="O32" s="110" t="str">
        <f>IF(OR(posicao_contratual!N32="",posicao_contratual!R32=""),"",ROUND(MAX(posicao_contratual!N32+posicao_contratual!L32-posicao_contratual!R32,0),2))</f>
        <v/>
      </c>
      <c r="P32" s="104" t="str">
        <f>IF(AND(A32="",A31&lt;&gt;"",COUNTIF(A33:$A$200,"&lt;&gt;")=0),ROUND(SUMIF($A$2:A31,"&lt;&gt;",$P$2:P31),2),IF(OR(O32="",C32="",NOT(ISNUMBER($Z$4))),"",ROUND(O32*C32*$Z$4,2)))</f>
        <v/>
      </c>
      <c r="Q32" s="110" t="str">
        <f>IF(OR(posicao_contratual!R32="",posicao_contratual!V32=""),"",ROUND(MAX(posicao_contratual!R32+posicao_contratual!P32-posicao_contratual!V32,0),2))</f>
        <v/>
      </c>
      <c r="R32" s="104" t="str">
        <f>IF(AND(A32="",A31&lt;&gt;"",COUNTIF(A33:$A$200,"&lt;&gt;")=0),ROUND(SUMIF($A$2:A31,"&lt;&gt;",$R$2:R31),2),IF(OR(Q32="",C32="",NOT(ISNUMBER($Z$5))),"",ROUND(Q32*C32*$Z$5,2)))</f>
        <v/>
      </c>
      <c r="S32" s="24"/>
      <c r="T32" s="25"/>
      <c r="U32" s="111" t="str">
        <f>IF(AND(A32="",A31&lt;&gt;"",COUNTIF(A33:$A$200,"&lt;&gt;")=0),"TOTAL",IF(A32="","",posicao_contratual!X32))</f>
        <v/>
      </c>
      <c r="V32" s="111" t="str">
        <f>IF(A32="","",posicao_contratual!X32)</f>
        <v/>
      </c>
      <c r="W32" s="16"/>
      <c r="X32" s="16"/>
      <c r="Y32" s="16"/>
      <c r="Z32" s="15"/>
      <c r="AA32" s="15"/>
      <c r="AB32" s="110" t="str">
        <f>IF(OR(A32="",posicao_contratual!E32="",posicao_contratual!J32=""),"",ROUND(MAX(posicao_contratual!E32-posicao_contratual!J32,0),2))</f>
        <v/>
      </c>
      <c r="AC32" s="104" t="str">
        <f>IF(AND(A32="",A31&lt;&gt;"",COUNTIF(A33:$A$200,"&lt;&gt;")=0),ROUND(SUMIF($A$2:A31,"&lt;&gt;",$AC$2:AC31),2),IF(OR(AB32="",C32="",NOT(ISNUMBER($Z$2))),"",ROUND(AB32*C32*$Z$2,2)))</f>
        <v/>
      </c>
      <c r="AD32" s="180" t="str">
        <f>IF(A32="","",posicao_contratual!E32)</f>
        <v/>
      </c>
      <c r="AE32" s="180" t="str">
        <f>IF(A32="","",posicao_contratual!I32)</f>
        <v/>
      </c>
      <c r="AF32" s="180" t="str">
        <f>IF(A32="","",posicao_contratual!M32)</f>
        <v/>
      </c>
      <c r="AG32" s="180" t="str">
        <f>IF(A32="","",posicao_contratual!Q32)</f>
        <v/>
      </c>
      <c r="AH32" s="180" t="str">
        <f>IF(A32="","",posicao_contratual!U32)</f>
        <v/>
      </c>
      <c r="AI32" s="180" t="str">
        <f>IF(A32="","",posicao_contratual!G32)</f>
        <v/>
      </c>
      <c r="AJ32" s="180" t="str">
        <f>IF(A32="","",posicao_contratual!K32)</f>
        <v/>
      </c>
      <c r="AK32" s="180" t="str">
        <f>IF(A32="","",posicao_contratual!O32)</f>
        <v/>
      </c>
      <c r="AL32" s="180" t="str">
        <f>IF(A32="","",posicao_contratual!S32)</f>
        <v/>
      </c>
      <c r="AM32" s="180" t="str">
        <f>IF(A32="","",posicao_contratual!W32)</f>
        <v/>
      </c>
      <c r="AN32" s="181" t="str">
        <f>IF(A32="","",posicao_contratual!X32)</f>
        <v/>
      </c>
    </row>
    <row r="33" spans="1:40" x14ac:dyDescent="0.35">
      <c r="A33" s="106"/>
      <c r="B33" s="107"/>
      <c r="C33" s="108"/>
      <c r="D33" s="104" t="str">
        <f>IF(AND(A33="",A32&lt;&gt;"",COUNTIF(A34:$A$200,"&lt;&gt;")=0),ROUND(SUMIF($A$2:A32,"&lt;&gt;",$D$2:D32),2),IF(OR(A33="",B33="",C33=""),"",ROUND(B33*C33,2)))</f>
        <v/>
      </c>
      <c r="E33" s="109"/>
      <c r="F33" s="104" t="str">
        <f>IF(AND(A33="",A32&lt;&gt;"",COUNTIF(A34:$A$200,"&lt;&gt;")=0),ROUND(SUMIF($A$2:A32,"&lt;&gt;",$F$2:F32),2),IF(OR(A33="",posicao_contratual!K33="",C33="",NOT(ISNUMBER($Z$3))),"",ROUND(posicao_contratual!K33*C33*$Z$3,2)))</f>
        <v/>
      </c>
      <c r="G33" s="109"/>
      <c r="H33" s="104" t="str">
        <f>IF(AND(A33="",A32&lt;&gt;"",COUNTIF(A34:$A$200,"&lt;&gt;")=0),ROUND(SUMIF($A$2:A32,"&lt;&gt;",$H$2:H32),2),IF(OR(A33="",posicao_contratual!O33="",C33="",NOT(ISNUMBER($Z$4))),"",ROUND(posicao_contratual!O33*C33*$Z$4,2)))</f>
        <v/>
      </c>
      <c r="I33" s="109"/>
      <c r="J33" s="104" t="str">
        <f>IF(AND(A33="",A32&lt;&gt;"",COUNTIF(A34:$A$200,"&lt;&gt;")=0),ROUND(SUMIF($A$2:A32,"&lt;&gt;",$J$2:J32),2),IF(OR(A33="",posicao_contratual!S33="",C33="",NOT(ISNUMBER($Z$5))),"",ROUND(posicao_contratual!S33*C33*$Z$5,2)))</f>
        <v/>
      </c>
      <c r="K33" s="109"/>
      <c r="L33" s="104" t="str">
        <f>IF(AND(A33="",A32&lt;&gt;"",COUNTIF(A34:$A$200,"&lt;&gt;")=0),ROUND(SUMIF($A$2:A32,"&lt;&gt;",$L$2:L32),2),IF(OR(A33="",posicao_contratual!W33="",C33="",NOT(ISNUMBER($Z$6))),"",ROUND(posicao_contratual!W33*C33*$Z$6,2)))</f>
        <v/>
      </c>
      <c r="M33" s="110" t="str">
        <f>IF(OR(posicao_contratual!J33="",posicao_contratual!N33=""),"",ROUND(MAX(posicao_contratual!J33+posicao_contratual!H33-posicao_contratual!N33,0),2))</f>
        <v/>
      </c>
      <c r="N33" s="104" t="str">
        <f>IF(AND(A33="",A32&lt;&gt;"",COUNTIF(A34:$A$200,"&lt;&gt;")=0),ROUND(SUMIF($A$2:A32,"&lt;&gt;",$N$2:N32),2),IF(OR(M33="",C33="",NOT(ISNUMBER($Z$3))),"",ROUND(M33*C33*$Z$3,2)))</f>
        <v/>
      </c>
      <c r="O33" s="110" t="str">
        <f>IF(OR(posicao_contratual!N33="",posicao_contratual!R33=""),"",ROUND(MAX(posicao_contratual!N33+posicao_contratual!L33-posicao_contratual!R33,0),2))</f>
        <v/>
      </c>
      <c r="P33" s="104" t="str">
        <f>IF(AND(A33="",A32&lt;&gt;"",COUNTIF(A34:$A$200,"&lt;&gt;")=0),ROUND(SUMIF($A$2:A32,"&lt;&gt;",$P$2:P32),2),IF(OR(O33="",C33="",NOT(ISNUMBER($Z$4))),"",ROUND(O33*C33*$Z$4,2)))</f>
        <v/>
      </c>
      <c r="Q33" s="110" t="str">
        <f>IF(OR(posicao_contratual!R33="",posicao_contratual!V33=""),"",ROUND(MAX(posicao_contratual!R33+posicao_contratual!P33-posicao_contratual!V33,0),2))</f>
        <v/>
      </c>
      <c r="R33" s="104" t="str">
        <f>IF(AND(A33="",A32&lt;&gt;"",COUNTIF(A34:$A$200,"&lt;&gt;")=0),ROUND(SUMIF($A$2:A32,"&lt;&gt;",$R$2:R32),2),IF(OR(Q33="",C33="",NOT(ISNUMBER($Z$5))),"",ROUND(Q33*C33*$Z$5,2)))</f>
        <v/>
      </c>
      <c r="S33" s="24"/>
      <c r="T33" s="25"/>
      <c r="U33" s="111" t="str">
        <f>IF(AND(A33="",A32&lt;&gt;"",COUNTIF(A34:$A$200,"&lt;&gt;")=0),"TOTAL",IF(A33="","",posicao_contratual!X33))</f>
        <v/>
      </c>
      <c r="V33" s="111" t="str">
        <f>IF(A33="","",posicao_contratual!X33)</f>
        <v/>
      </c>
      <c r="W33" s="16"/>
      <c r="X33" s="16"/>
      <c r="Y33" s="16"/>
      <c r="Z33" s="15"/>
      <c r="AA33" s="15"/>
      <c r="AB33" s="110" t="str">
        <f>IF(OR(A33="",posicao_contratual!E33="",posicao_contratual!J33=""),"",ROUND(MAX(posicao_contratual!E33-posicao_contratual!J33,0),2))</f>
        <v/>
      </c>
      <c r="AC33" s="104" t="str">
        <f>IF(AND(A33="",A32&lt;&gt;"",COUNTIF(A34:$A$200,"&lt;&gt;")=0),ROUND(SUMIF($A$2:A32,"&lt;&gt;",$AC$2:AC32),2),IF(OR(AB33="",C33="",NOT(ISNUMBER($Z$2))),"",ROUND(AB33*C33*$Z$2,2)))</f>
        <v/>
      </c>
      <c r="AD33" s="180" t="str">
        <f>IF(A33="","",posicao_contratual!E33)</f>
        <v/>
      </c>
      <c r="AE33" s="180" t="str">
        <f>IF(A33="","",posicao_contratual!I33)</f>
        <v/>
      </c>
      <c r="AF33" s="180" t="str">
        <f>IF(A33="","",posicao_contratual!M33)</f>
        <v/>
      </c>
      <c r="AG33" s="180" t="str">
        <f>IF(A33="","",posicao_contratual!Q33)</f>
        <v/>
      </c>
      <c r="AH33" s="180" t="str">
        <f>IF(A33="","",posicao_contratual!U33)</f>
        <v/>
      </c>
      <c r="AI33" s="180" t="str">
        <f>IF(A33="","",posicao_contratual!G33)</f>
        <v/>
      </c>
      <c r="AJ33" s="180" t="str">
        <f>IF(A33="","",posicao_contratual!K33)</f>
        <v/>
      </c>
      <c r="AK33" s="180" t="str">
        <f>IF(A33="","",posicao_contratual!O33)</f>
        <v/>
      </c>
      <c r="AL33" s="180" t="str">
        <f>IF(A33="","",posicao_contratual!S33)</f>
        <v/>
      </c>
      <c r="AM33" s="180" t="str">
        <f>IF(A33="","",posicao_contratual!W33)</f>
        <v/>
      </c>
      <c r="AN33" s="181" t="str">
        <f>IF(A33="","",posicao_contratual!X33)</f>
        <v/>
      </c>
    </row>
    <row r="34" spans="1:40" x14ac:dyDescent="0.35">
      <c r="A34" s="106"/>
      <c r="B34" s="107"/>
      <c r="C34" s="108"/>
      <c r="D34" s="104" t="str">
        <f>IF(AND(A34="",A33&lt;&gt;"",COUNTIF(A35:$A$200,"&lt;&gt;")=0),ROUND(SUMIF($A$2:A33,"&lt;&gt;",$D$2:D33),2),IF(OR(A34="",B34="",C34=""),"",ROUND(B34*C34,2)))</f>
        <v/>
      </c>
      <c r="E34" s="109"/>
      <c r="F34" s="104" t="str">
        <f>IF(AND(A34="",A33&lt;&gt;"",COUNTIF(A35:$A$200,"&lt;&gt;")=0),ROUND(SUMIF($A$2:A33,"&lt;&gt;",$F$2:F33),2),IF(OR(A34="",posicao_contratual!K34="",C34="",NOT(ISNUMBER($Z$3))),"",ROUND(posicao_contratual!K34*C34*$Z$3,2)))</f>
        <v/>
      </c>
      <c r="G34" s="109"/>
      <c r="H34" s="104" t="str">
        <f>IF(AND(A34="",A33&lt;&gt;"",COUNTIF(A35:$A$200,"&lt;&gt;")=0),ROUND(SUMIF($A$2:A33,"&lt;&gt;",$H$2:H33),2),IF(OR(A34="",posicao_contratual!O34="",C34="",NOT(ISNUMBER($Z$4))),"",ROUND(posicao_contratual!O34*C34*$Z$4,2)))</f>
        <v/>
      </c>
      <c r="I34" s="109"/>
      <c r="J34" s="104" t="str">
        <f>IF(AND(A34="",A33&lt;&gt;"",COUNTIF(A35:$A$200,"&lt;&gt;")=0),ROUND(SUMIF($A$2:A33,"&lt;&gt;",$J$2:J33),2),IF(OR(A34="",posicao_contratual!S34="",C34="",NOT(ISNUMBER($Z$5))),"",ROUND(posicao_contratual!S34*C34*$Z$5,2)))</f>
        <v/>
      </c>
      <c r="K34" s="109"/>
      <c r="L34" s="104" t="str">
        <f>IF(AND(A34="",A33&lt;&gt;"",COUNTIF(A35:$A$200,"&lt;&gt;")=0),ROUND(SUMIF($A$2:A33,"&lt;&gt;",$L$2:L33),2),IF(OR(A34="",posicao_contratual!W34="",C34="",NOT(ISNUMBER($Z$6))),"",ROUND(posicao_contratual!W34*C34*$Z$6,2)))</f>
        <v/>
      </c>
      <c r="M34" s="110" t="str">
        <f>IF(OR(posicao_contratual!J34="",posicao_contratual!N34=""),"",ROUND(MAX(posicao_contratual!J34+posicao_contratual!H34-posicao_contratual!N34,0),2))</f>
        <v/>
      </c>
      <c r="N34" s="104" t="str">
        <f>IF(AND(A34="",A33&lt;&gt;"",COUNTIF(A35:$A$200,"&lt;&gt;")=0),ROUND(SUMIF($A$2:A33,"&lt;&gt;",$N$2:N33),2),IF(OR(M34="",C34="",NOT(ISNUMBER($Z$3))),"",ROUND(M34*C34*$Z$3,2)))</f>
        <v/>
      </c>
      <c r="O34" s="110" t="str">
        <f>IF(OR(posicao_contratual!N34="",posicao_contratual!R34=""),"",ROUND(MAX(posicao_contratual!N34+posicao_contratual!L34-posicao_contratual!R34,0),2))</f>
        <v/>
      </c>
      <c r="P34" s="104" t="str">
        <f>IF(AND(A34="",A33&lt;&gt;"",COUNTIF(A35:$A$200,"&lt;&gt;")=0),ROUND(SUMIF($A$2:A33,"&lt;&gt;",$P$2:P33),2),IF(OR(O34="",C34="",NOT(ISNUMBER($Z$4))),"",ROUND(O34*C34*$Z$4,2)))</f>
        <v/>
      </c>
      <c r="Q34" s="110" t="str">
        <f>IF(OR(posicao_contratual!R34="",posicao_contratual!V34=""),"",ROUND(MAX(posicao_contratual!R34+posicao_contratual!P34-posicao_contratual!V34,0),2))</f>
        <v/>
      </c>
      <c r="R34" s="104" t="str">
        <f>IF(AND(A34="",A33&lt;&gt;"",COUNTIF(A35:$A$200,"&lt;&gt;")=0),ROUND(SUMIF($A$2:A33,"&lt;&gt;",$R$2:R33),2),IF(OR(Q34="",C34="",NOT(ISNUMBER($Z$5))),"",ROUND(Q34*C34*$Z$5,2)))</f>
        <v/>
      </c>
      <c r="S34" s="24"/>
      <c r="T34" s="25"/>
      <c r="U34" s="111" t="str">
        <f>IF(AND(A34="",A33&lt;&gt;"",COUNTIF(A35:$A$200,"&lt;&gt;")=0),"TOTAL",IF(A34="","",posicao_contratual!X34))</f>
        <v/>
      </c>
      <c r="V34" s="111" t="str">
        <f>IF(A34="","",posicao_contratual!X34)</f>
        <v/>
      </c>
      <c r="W34" s="16"/>
      <c r="X34" s="16"/>
      <c r="Y34" s="16"/>
      <c r="Z34" s="15"/>
      <c r="AA34" s="15"/>
      <c r="AB34" s="110" t="str">
        <f>IF(OR(A34="",posicao_contratual!E34="",posicao_contratual!J34=""),"",ROUND(MAX(posicao_contratual!E34-posicao_contratual!J34,0),2))</f>
        <v/>
      </c>
      <c r="AC34" s="104" t="str">
        <f>IF(AND(A34="",A33&lt;&gt;"",COUNTIF(A35:$A$200,"&lt;&gt;")=0),ROUND(SUMIF($A$2:A33,"&lt;&gt;",$AC$2:AC33),2),IF(OR(AB34="",C34="",NOT(ISNUMBER($Z$2))),"",ROUND(AB34*C34*$Z$2,2)))</f>
        <v/>
      </c>
      <c r="AD34" s="180" t="str">
        <f>IF(A34="","",posicao_contratual!E34)</f>
        <v/>
      </c>
      <c r="AE34" s="180" t="str">
        <f>IF(A34="","",posicao_contratual!I34)</f>
        <v/>
      </c>
      <c r="AF34" s="180" t="str">
        <f>IF(A34="","",posicao_contratual!M34)</f>
        <v/>
      </c>
      <c r="AG34" s="180" t="str">
        <f>IF(A34="","",posicao_contratual!Q34)</f>
        <v/>
      </c>
      <c r="AH34" s="180" t="str">
        <f>IF(A34="","",posicao_contratual!U34)</f>
        <v/>
      </c>
      <c r="AI34" s="180" t="str">
        <f>IF(A34="","",posicao_contratual!G34)</f>
        <v/>
      </c>
      <c r="AJ34" s="180" t="str">
        <f>IF(A34="","",posicao_contratual!K34)</f>
        <v/>
      </c>
      <c r="AK34" s="180" t="str">
        <f>IF(A34="","",posicao_contratual!O34)</f>
        <v/>
      </c>
      <c r="AL34" s="180" t="str">
        <f>IF(A34="","",posicao_contratual!S34)</f>
        <v/>
      </c>
      <c r="AM34" s="180" t="str">
        <f>IF(A34="","",posicao_contratual!W34)</f>
        <v/>
      </c>
      <c r="AN34" s="181" t="str">
        <f>IF(A34="","",posicao_contratual!X34)</f>
        <v/>
      </c>
    </row>
    <row r="35" spans="1:40" x14ac:dyDescent="0.35">
      <c r="A35" s="106"/>
      <c r="B35" s="107"/>
      <c r="C35" s="108"/>
      <c r="D35" s="104" t="str">
        <f>IF(AND(A35="",A34&lt;&gt;"",COUNTIF(A36:$A$200,"&lt;&gt;")=0),ROUND(SUMIF($A$2:A34,"&lt;&gt;",$D$2:D34),2),IF(OR(A35="",B35="",C35=""),"",ROUND(B35*C35,2)))</f>
        <v/>
      </c>
      <c r="E35" s="109"/>
      <c r="F35" s="104" t="str">
        <f>IF(AND(A35="",A34&lt;&gt;"",COUNTIF(A36:$A$200,"&lt;&gt;")=0),ROUND(SUMIF($A$2:A34,"&lt;&gt;",$F$2:F34),2),IF(OR(A35="",posicao_contratual!K35="",C35="",NOT(ISNUMBER($Z$3))),"",ROUND(posicao_contratual!K35*C35*$Z$3,2)))</f>
        <v/>
      </c>
      <c r="G35" s="109"/>
      <c r="H35" s="104" t="str">
        <f>IF(AND(A35="",A34&lt;&gt;"",COUNTIF(A36:$A$200,"&lt;&gt;")=0),ROUND(SUMIF($A$2:A34,"&lt;&gt;",$H$2:H34),2),IF(OR(A35="",posicao_contratual!O35="",C35="",NOT(ISNUMBER($Z$4))),"",ROUND(posicao_contratual!O35*C35*$Z$4,2)))</f>
        <v/>
      </c>
      <c r="I35" s="109"/>
      <c r="J35" s="104" t="str">
        <f>IF(AND(A35="",A34&lt;&gt;"",COUNTIF(A36:$A$200,"&lt;&gt;")=0),ROUND(SUMIF($A$2:A34,"&lt;&gt;",$J$2:J34),2),IF(OR(A35="",posicao_contratual!S35="",C35="",NOT(ISNUMBER($Z$5))),"",ROUND(posicao_contratual!S35*C35*$Z$5,2)))</f>
        <v/>
      </c>
      <c r="K35" s="109"/>
      <c r="L35" s="104" t="str">
        <f>IF(AND(A35="",A34&lt;&gt;"",COUNTIF(A36:$A$200,"&lt;&gt;")=0),ROUND(SUMIF($A$2:A34,"&lt;&gt;",$L$2:L34),2),IF(OR(A35="",posicao_contratual!W35="",C35="",NOT(ISNUMBER($Z$6))),"",ROUND(posicao_contratual!W35*C35*$Z$6,2)))</f>
        <v/>
      </c>
      <c r="M35" s="110" t="str">
        <f>IF(OR(posicao_contratual!J35="",posicao_contratual!N35=""),"",ROUND(MAX(posicao_contratual!J35+posicao_contratual!H35-posicao_contratual!N35,0),2))</f>
        <v/>
      </c>
      <c r="N35" s="104" t="str">
        <f>IF(AND(A35="",A34&lt;&gt;"",COUNTIF(A36:$A$200,"&lt;&gt;")=0),ROUND(SUMIF($A$2:A34,"&lt;&gt;",$N$2:N34),2),IF(OR(M35="",C35="",NOT(ISNUMBER($Z$3))),"",ROUND(M35*C35*$Z$3,2)))</f>
        <v/>
      </c>
      <c r="O35" s="110" t="str">
        <f>IF(OR(posicao_contratual!N35="",posicao_contratual!R35=""),"",ROUND(MAX(posicao_contratual!N35+posicao_contratual!L35-posicao_contratual!R35,0),2))</f>
        <v/>
      </c>
      <c r="P35" s="104" t="str">
        <f>IF(AND(A35="",A34&lt;&gt;"",COUNTIF(A36:$A$200,"&lt;&gt;")=0),ROUND(SUMIF($A$2:A34,"&lt;&gt;",$P$2:P34),2),IF(OR(O35="",C35="",NOT(ISNUMBER($Z$4))),"",ROUND(O35*C35*$Z$4,2)))</f>
        <v/>
      </c>
      <c r="Q35" s="110" t="str">
        <f>IF(OR(posicao_contratual!R35="",posicao_contratual!V35=""),"",ROUND(MAX(posicao_contratual!R35+posicao_contratual!P35-posicao_contratual!V35,0),2))</f>
        <v/>
      </c>
      <c r="R35" s="104" t="str">
        <f>IF(AND(A35="",A34&lt;&gt;"",COUNTIF(A36:$A$200,"&lt;&gt;")=0),ROUND(SUMIF($A$2:A34,"&lt;&gt;",$R$2:R34),2),IF(OR(Q35="",C35="",NOT(ISNUMBER($Z$5))),"",ROUND(Q35*C35*$Z$5,2)))</f>
        <v/>
      </c>
      <c r="S35" s="24"/>
      <c r="T35" s="25"/>
      <c r="U35" s="111" t="str">
        <f>IF(AND(A35="",A34&lt;&gt;"",COUNTIF(A36:$A$200,"&lt;&gt;")=0),"TOTAL",IF(A35="","",posicao_contratual!X35))</f>
        <v/>
      </c>
      <c r="V35" s="111" t="str">
        <f>IF(A35="","",posicao_contratual!X35)</f>
        <v/>
      </c>
      <c r="W35" s="16"/>
      <c r="X35" s="16"/>
      <c r="Y35" s="16"/>
      <c r="Z35" s="15"/>
      <c r="AA35" s="15"/>
      <c r="AB35" s="110" t="str">
        <f>IF(OR(A35="",posicao_contratual!E35="",posicao_contratual!J35=""),"",ROUND(MAX(posicao_contratual!E35-posicao_contratual!J35,0),2))</f>
        <v/>
      </c>
      <c r="AC35" s="104" t="str">
        <f>IF(AND(A35="",A34&lt;&gt;"",COUNTIF(A36:$A$200,"&lt;&gt;")=0),ROUND(SUMIF($A$2:A34,"&lt;&gt;",$AC$2:AC34),2),IF(OR(AB35="",C35="",NOT(ISNUMBER($Z$2))),"",ROUND(AB35*C35*$Z$2,2)))</f>
        <v/>
      </c>
      <c r="AD35" s="180" t="str">
        <f>IF(A35="","",posicao_contratual!E35)</f>
        <v/>
      </c>
      <c r="AE35" s="180" t="str">
        <f>IF(A35="","",posicao_contratual!I35)</f>
        <v/>
      </c>
      <c r="AF35" s="180" t="str">
        <f>IF(A35="","",posicao_contratual!M35)</f>
        <v/>
      </c>
      <c r="AG35" s="180" t="str">
        <f>IF(A35="","",posicao_contratual!Q35)</f>
        <v/>
      </c>
      <c r="AH35" s="180" t="str">
        <f>IF(A35="","",posicao_contratual!U35)</f>
        <v/>
      </c>
      <c r="AI35" s="180" t="str">
        <f>IF(A35="","",posicao_contratual!G35)</f>
        <v/>
      </c>
      <c r="AJ35" s="180" t="str">
        <f>IF(A35="","",posicao_contratual!K35)</f>
        <v/>
      </c>
      <c r="AK35" s="180" t="str">
        <f>IF(A35="","",posicao_contratual!O35)</f>
        <v/>
      </c>
      <c r="AL35" s="180" t="str">
        <f>IF(A35="","",posicao_contratual!S35)</f>
        <v/>
      </c>
      <c r="AM35" s="180" t="str">
        <f>IF(A35="","",posicao_contratual!W35)</f>
        <v/>
      </c>
      <c r="AN35" s="181" t="str">
        <f>IF(A35="","",posicao_contratual!X35)</f>
        <v/>
      </c>
    </row>
    <row r="36" spans="1:40" x14ac:dyDescent="0.35">
      <c r="A36" s="106"/>
      <c r="B36" s="107"/>
      <c r="C36" s="108"/>
      <c r="D36" s="104" t="str">
        <f>IF(AND(A36="",A35&lt;&gt;"",COUNTIF(A37:$A$200,"&lt;&gt;")=0),ROUND(SUMIF($A$2:A35,"&lt;&gt;",$D$2:D35),2),IF(OR(A36="",B36="",C36=""),"",ROUND(B36*C36,2)))</f>
        <v/>
      </c>
      <c r="E36" s="109"/>
      <c r="F36" s="104" t="str">
        <f>IF(AND(A36="",A35&lt;&gt;"",COUNTIF(A37:$A$200,"&lt;&gt;")=0),ROUND(SUMIF($A$2:A35,"&lt;&gt;",$F$2:F35),2),IF(OR(A36="",posicao_contratual!K36="",C36="",NOT(ISNUMBER($Z$3))),"",ROUND(posicao_contratual!K36*C36*$Z$3,2)))</f>
        <v/>
      </c>
      <c r="G36" s="109"/>
      <c r="H36" s="104" t="str">
        <f>IF(AND(A36="",A35&lt;&gt;"",COUNTIF(A37:$A$200,"&lt;&gt;")=0),ROUND(SUMIF($A$2:A35,"&lt;&gt;",$H$2:H35),2),IF(OR(A36="",posicao_contratual!O36="",C36="",NOT(ISNUMBER($Z$4))),"",ROUND(posicao_contratual!O36*C36*$Z$4,2)))</f>
        <v/>
      </c>
      <c r="I36" s="109"/>
      <c r="J36" s="104" t="str">
        <f>IF(AND(A36="",A35&lt;&gt;"",COUNTIF(A37:$A$200,"&lt;&gt;")=0),ROUND(SUMIF($A$2:A35,"&lt;&gt;",$J$2:J35),2),IF(OR(A36="",posicao_contratual!S36="",C36="",NOT(ISNUMBER($Z$5))),"",ROUND(posicao_contratual!S36*C36*$Z$5,2)))</f>
        <v/>
      </c>
      <c r="K36" s="109"/>
      <c r="L36" s="104" t="str">
        <f>IF(AND(A36="",A35&lt;&gt;"",COUNTIF(A37:$A$200,"&lt;&gt;")=0),ROUND(SUMIF($A$2:A35,"&lt;&gt;",$L$2:L35),2),IF(OR(A36="",posicao_contratual!W36="",C36="",NOT(ISNUMBER($Z$6))),"",ROUND(posicao_contratual!W36*C36*$Z$6,2)))</f>
        <v/>
      </c>
      <c r="M36" s="110" t="str">
        <f>IF(OR(posicao_contratual!J36="",posicao_contratual!N36=""),"",ROUND(MAX(posicao_contratual!J36+posicao_contratual!H36-posicao_contratual!N36,0),2))</f>
        <v/>
      </c>
      <c r="N36" s="104" t="str">
        <f>IF(AND(A36="",A35&lt;&gt;"",COUNTIF(A37:$A$200,"&lt;&gt;")=0),ROUND(SUMIF($A$2:A35,"&lt;&gt;",$N$2:N35),2),IF(OR(M36="",C36="",NOT(ISNUMBER($Z$3))),"",ROUND(M36*C36*$Z$3,2)))</f>
        <v/>
      </c>
      <c r="O36" s="110" t="str">
        <f>IF(OR(posicao_contratual!N36="",posicao_contratual!R36=""),"",ROUND(MAX(posicao_contratual!N36+posicao_contratual!L36-posicao_contratual!R36,0),2))</f>
        <v/>
      </c>
      <c r="P36" s="104" t="str">
        <f>IF(AND(A36="",A35&lt;&gt;"",COUNTIF(A37:$A$200,"&lt;&gt;")=0),ROUND(SUMIF($A$2:A35,"&lt;&gt;",$P$2:P35),2),IF(OR(O36="",C36="",NOT(ISNUMBER($Z$4))),"",ROUND(O36*C36*$Z$4,2)))</f>
        <v/>
      </c>
      <c r="Q36" s="110" t="str">
        <f>IF(OR(posicao_contratual!R36="",posicao_contratual!V36=""),"",ROUND(MAX(posicao_contratual!R36+posicao_contratual!P36-posicao_contratual!V36,0),2))</f>
        <v/>
      </c>
      <c r="R36" s="104" t="str">
        <f>IF(AND(A36="",A35&lt;&gt;"",COUNTIF(A37:$A$200,"&lt;&gt;")=0),ROUND(SUMIF($A$2:A35,"&lt;&gt;",$R$2:R35),2),IF(OR(Q36="",C36="",NOT(ISNUMBER($Z$5))),"",ROUND(Q36*C36*$Z$5,2)))</f>
        <v/>
      </c>
      <c r="S36" s="24"/>
      <c r="T36" s="25"/>
      <c r="U36" s="111" t="str">
        <f>IF(AND(A36="",A35&lt;&gt;"",COUNTIF(A37:$A$200,"&lt;&gt;")=0),"TOTAL",IF(A36="","",posicao_contratual!X36))</f>
        <v/>
      </c>
      <c r="V36" s="111" t="str">
        <f>IF(A36="","",posicao_contratual!X36)</f>
        <v/>
      </c>
      <c r="W36" s="16"/>
      <c r="X36" s="16"/>
      <c r="Y36" s="16"/>
      <c r="Z36" s="15"/>
      <c r="AA36" s="15"/>
      <c r="AB36" s="110" t="str">
        <f>IF(OR(A36="",posicao_contratual!E36="",posicao_contratual!J36=""),"",ROUND(MAX(posicao_contratual!E36-posicao_contratual!J36,0),2))</f>
        <v/>
      </c>
      <c r="AC36" s="104" t="str">
        <f>IF(AND(A36="",A35&lt;&gt;"",COUNTIF(A37:$A$200,"&lt;&gt;")=0),ROUND(SUMIF($A$2:A35,"&lt;&gt;",$AC$2:AC35),2),IF(OR(AB36="",C36="",NOT(ISNUMBER($Z$2))),"",ROUND(AB36*C36*$Z$2,2)))</f>
        <v/>
      </c>
      <c r="AD36" s="180" t="str">
        <f>IF(A36="","",posicao_contratual!E36)</f>
        <v/>
      </c>
      <c r="AE36" s="180" t="str">
        <f>IF(A36="","",posicao_contratual!I36)</f>
        <v/>
      </c>
      <c r="AF36" s="180" t="str">
        <f>IF(A36="","",posicao_contratual!M36)</f>
        <v/>
      </c>
      <c r="AG36" s="180" t="str">
        <f>IF(A36="","",posicao_contratual!Q36)</f>
        <v/>
      </c>
      <c r="AH36" s="180" t="str">
        <f>IF(A36="","",posicao_contratual!U36)</f>
        <v/>
      </c>
      <c r="AI36" s="180" t="str">
        <f>IF(A36="","",posicao_contratual!G36)</f>
        <v/>
      </c>
      <c r="AJ36" s="180" t="str">
        <f>IF(A36="","",posicao_contratual!K36)</f>
        <v/>
      </c>
      <c r="AK36" s="180" t="str">
        <f>IF(A36="","",posicao_contratual!O36)</f>
        <v/>
      </c>
      <c r="AL36" s="180" t="str">
        <f>IF(A36="","",posicao_contratual!S36)</f>
        <v/>
      </c>
      <c r="AM36" s="180" t="str">
        <f>IF(A36="","",posicao_contratual!W36)</f>
        <v/>
      </c>
      <c r="AN36" s="181" t="str">
        <f>IF(A36="","",posicao_contratual!X36)</f>
        <v/>
      </c>
    </row>
    <row r="37" spans="1:40" x14ac:dyDescent="0.35">
      <c r="A37" s="106"/>
      <c r="B37" s="107"/>
      <c r="C37" s="108"/>
      <c r="D37" s="104" t="str">
        <f>IF(AND(A37="",A36&lt;&gt;"",COUNTIF(A38:$A$200,"&lt;&gt;")=0),ROUND(SUMIF($A$2:A36,"&lt;&gt;",$D$2:D36),2),IF(OR(A37="",B37="",C37=""),"",ROUND(B37*C37,2)))</f>
        <v/>
      </c>
      <c r="E37" s="109"/>
      <c r="F37" s="104" t="str">
        <f>IF(AND(A37="",A36&lt;&gt;"",COUNTIF(A38:$A$200,"&lt;&gt;")=0),ROUND(SUMIF($A$2:A36,"&lt;&gt;",$F$2:F36),2),IF(OR(A37="",posicao_contratual!K37="",C37="",NOT(ISNUMBER($Z$3))),"",ROUND(posicao_contratual!K37*C37*$Z$3,2)))</f>
        <v/>
      </c>
      <c r="G37" s="109"/>
      <c r="H37" s="104" t="str">
        <f>IF(AND(A37="",A36&lt;&gt;"",COUNTIF(A38:$A$200,"&lt;&gt;")=0),ROUND(SUMIF($A$2:A36,"&lt;&gt;",$H$2:H36),2),IF(OR(A37="",posicao_contratual!O37="",C37="",NOT(ISNUMBER($Z$4))),"",ROUND(posicao_contratual!O37*C37*$Z$4,2)))</f>
        <v/>
      </c>
      <c r="I37" s="109"/>
      <c r="J37" s="104" t="str">
        <f>IF(AND(A37="",A36&lt;&gt;"",COUNTIF(A38:$A$200,"&lt;&gt;")=0),ROUND(SUMIF($A$2:A36,"&lt;&gt;",$J$2:J36),2),IF(OR(A37="",posicao_contratual!S37="",C37="",NOT(ISNUMBER($Z$5))),"",ROUND(posicao_contratual!S37*C37*$Z$5,2)))</f>
        <v/>
      </c>
      <c r="K37" s="109"/>
      <c r="L37" s="104" t="str">
        <f>IF(AND(A37="",A36&lt;&gt;"",COUNTIF(A38:$A$200,"&lt;&gt;")=0),ROUND(SUMIF($A$2:A36,"&lt;&gt;",$L$2:L36),2),IF(OR(A37="",posicao_contratual!W37="",C37="",NOT(ISNUMBER($Z$6))),"",ROUND(posicao_contratual!W37*C37*$Z$6,2)))</f>
        <v/>
      </c>
      <c r="M37" s="110" t="str">
        <f>IF(OR(posicao_contratual!J37="",posicao_contratual!N37=""),"",ROUND(MAX(posicao_contratual!J37+posicao_contratual!H37-posicao_contratual!N37,0),2))</f>
        <v/>
      </c>
      <c r="N37" s="104" t="str">
        <f>IF(AND(A37="",A36&lt;&gt;"",COUNTIF(A38:$A$200,"&lt;&gt;")=0),ROUND(SUMIF($A$2:A36,"&lt;&gt;",$N$2:N36),2),IF(OR(M37="",C37="",NOT(ISNUMBER($Z$3))),"",ROUND(M37*C37*$Z$3,2)))</f>
        <v/>
      </c>
      <c r="O37" s="110" t="str">
        <f>IF(OR(posicao_contratual!N37="",posicao_contratual!R37=""),"",ROUND(MAX(posicao_contratual!N37+posicao_contratual!L37-posicao_contratual!R37,0),2))</f>
        <v/>
      </c>
      <c r="P37" s="104" t="str">
        <f>IF(AND(A37="",A36&lt;&gt;"",COUNTIF(A38:$A$200,"&lt;&gt;")=0),ROUND(SUMIF($A$2:A36,"&lt;&gt;",$P$2:P36),2),IF(OR(O37="",C37="",NOT(ISNUMBER($Z$4))),"",ROUND(O37*C37*$Z$4,2)))</f>
        <v/>
      </c>
      <c r="Q37" s="110" t="str">
        <f>IF(OR(posicao_contratual!R37="",posicao_contratual!V37=""),"",ROUND(MAX(posicao_contratual!R37+posicao_contratual!P37-posicao_contratual!V37,0),2))</f>
        <v/>
      </c>
      <c r="R37" s="104" t="str">
        <f>IF(AND(A37="",A36&lt;&gt;"",COUNTIF(A38:$A$200,"&lt;&gt;")=0),ROUND(SUMIF($A$2:A36,"&lt;&gt;",$R$2:R36),2),IF(OR(Q37="",C37="",NOT(ISNUMBER($Z$5))),"",ROUND(Q37*C37*$Z$5,2)))</f>
        <v/>
      </c>
      <c r="S37" s="24"/>
      <c r="T37" s="25"/>
      <c r="U37" s="111" t="str">
        <f>IF(AND(A37="",A36&lt;&gt;"",COUNTIF(A38:$A$200,"&lt;&gt;")=0),"TOTAL",IF(A37="","",posicao_contratual!X37))</f>
        <v/>
      </c>
      <c r="V37" s="111" t="str">
        <f>IF(A37="","",posicao_contratual!X37)</f>
        <v/>
      </c>
      <c r="W37" s="16"/>
      <c r="X37" s="16"/>
      <c r="Y37" s="16"/>
      <c r="Z37" s="15"/>
      <c r="AA37" s="15"/>
      <c r="AB37" s="110" t="str">
        <f>IF(OR(A37="",posicao_contratual!E37="",posicao_contratual!J37=""),"",ROUND(MAX(posicao_contratual!E37-posicao_contratual!J37,0),2))</f>
        <v/>
      </c>
      <c r="AC37" s="104" t="str">
        <f>IF(AND(A37="",A36&lt;&gt;"",COUNTIF(A38:$A$200,"&lt;&gt;")=0),ROUND(SUMIF($A$2:A36,"&lt;&gt;",$AC$2:AC36),2),IF(OR(AB37="",C37="",NOT(ISNUMBER($Z$2))),"",ROUND(AB37*C37*$Z$2,2)))</f>
        <v/>
      </c>
      <c r="AD37" s="180" t="str">
        <f>IF(A37="","",posicao_contratual!E37)</f>
        <v/>
      </c>
      <c r="AE37" s="180" t="str">
        <f>IF(A37="","",posicao_contratual!I37)</f>
        <v/>
      </c>
      <c r="AF37" s="180" t="str">
        <f>IF(A37="","",posicao_contratual!M37)</f>
        <v/>
      </c>
      <c r="AG37" s="180" t="str">
        <f>IF(A37="","",posicao_contratual!Q37)</f>
        <v/>
      </c>
      <c r="AH37" s="180" t="str">
        <f>IF(A37="","",posicao_contratual!U37)</f>
        <v/>
      </c>
      <c r="AI37" s="180" t="str">
        <f>IF(A37="","",posicao_contratual!G37)</f>
        <v/>
      </c>
      <c r="AJ37" s="180" t="str">
        <f>IF(A37="","",posicao_contratual!K37)</f>
        <v/>
      </c>
      <c r="AK37" s="180" t="str">
        <f>IF(A37="","",posicao_contratual!O37)</f>
        <v/>
      </c>
      <c r="AL37" s="180" t="str">
        <f>IF(A37="","",posicao_contratual!S37)</f>
        <v/>
      </c>
      <c r="AM37" s="180" t="str">
        <f>IF(A37="","",posicao_contratual!W37)</f>
        <v/>
      </c>
      <c r="AN37" s="181" t="str">
        <f>IF(A37="","",posicao_contratual!X37)</f>
        <v/>
      </c>
    </row>
    <row r="38" spans="1:40" x14ac:dyDescent="0.35">
      <c r="A38" s="106"/>
      <c r="B38" s="107"/>
      <c r="C38" s="108"/>
      <c r="D38" s="104" t="str">
        <f>IF(AND(A38="",A37&lt;&gt;"",COUNTIF(A39:$A$200,"&lt;&gt;")=0),ROUND(SUMIF($A$2:A37,"&lt;&gt;",$D$2:D37),2),IF(OR(A38="",B38="",C38=""),"",ROUND(B38*C38,2)))</f>
        <v/>
      </c>
      <c r="E38" s="109"/>
      <c r="F38" s="104" t="str">
        <f>IF(AND(A38="",A37&lt;&gt;"",COUNTIF(A39:$A$200,"&lt;&gt;")=0),ROUND(SUMIF($A$2:A37,"&lt;&gt;",$F$2:F37),2),IF(OR(A38="",posicao_contratual!K38="",C38="",NOT(ISNUMBER($Z$3))),"",ROUND(posicao_contratual!K38*C38*$Z$3,2)))</f>
        <v/>
      </c>
      <c r="G38" s="109"/>
      <c r="H38" s="104" t="str">
        <f>IF(AND(A38="",A37&lt;&gt;"",COUNTIF(A39:$A$200,"&lt;&gt;")=0),ROUND(SUMIF($A$2:A37,"&lt;&gt;",$H$2:H37),2),IF(OR(A38="",posicao_contratual!O38="",C38="",NOT(ISNUMBER($Z$4))),"",ROUND(posicao_contratual!O38*C38*$Z$4,2)))</f>
        <v/>
      </c>
      <c r="I38" s="109"/>
      <c r="J38" s="104" t="str">
        <f>IF(AND(A38="",A37&lt;&gt;"",COUNTIF(A39:$A$200,"&lt;&gt;")=0),ROUND(SUMIF($A$2:A37,"&lt;&gt;",$J$2:J37),2),IF(OR(A38="",posicao_contratual!S38="",C38="",NOT(ISNUMBER($Z$5))),"",ROUND(posicao_contratual!S38*C38*$Z$5,2)))</f>
        <v/>
      </c>
      <c r="K38" s="109"/>
      <c r="L38" s="104" t="str">
        <f>IF(AND(A38="",A37&lt;&gt;"",COUNTIF(A39:$A$200,"&lt;&gt;")=0),ROUND(SUMIF($A$2:A37,"&lt;&gt;",$L$2:L37),2),IF(OR(A38="",posicao_contratual!W38="",C38="",NOT(ISNUMBER($Z$6))),"",ROUND(posicao_contratual!W38*C38*$Z$6,2)))</f>
        <v/>
      </c>
      <c r="M38" s="110" t="str">
        <f>IF(OR(posicao_contratual!J38="",posicao_contratual!N38=""),"",ROUND(MAX(posicao_contratual!J38+posicao_contratual!H38-posicao_contratual!N38,0),2))</f>
        <v/>
      </c>
      <c r="N38" s="104" t="str">
        <f>IF(AND(A38="",A37&lt;&gt;"",COUNTIF(A39:$A$200,"&lt;&gt;")=0),ROUND(SUMIF($A$2:A37,"&lt;&gt;",$N$2:N37),2),IF(OR(M38="",C38="",NOT(ISNUMBER($Z$3))),"",ROUND(M38*C38*$Z$3,2)))</f>
        <v/>
      </c>
      <c r="O38" s="110" t="str">
        <f>IF(OR(posicao_contratual!N38="",posicao_contratual!R38=""),"",ROUND(MAX(posicao_contratual!N38+posicao_contratual!L38-posicao_contratual!R38,0),2))</f>
        <v/>
      </c>
      <c r="P38" s="104" t="str">
        <f>IF(AND(A38="",A37&lt;&gt;"",COUNTIF(A39:$A$200,"&lt;&gt;")=0),ROUND(SUMIF($A$2:A37,"&lt;&gt;",$P$2:P37),2),IF(OR(O38="",C38="",NOT(ISNUMBER($Z$4))),"",ROUND(O38*C38*$Z$4,2)))</f>
        <v/>
      </c>
      <c r="Q38" s="110" t="str">
        <f>IF(OR(posicao_contratual!R38="",posicao_contratual!V38=""),"",ROUND(MAX(posicao_contratual!R38+posicao_contratual!P38-posicao_contratual!V38,0),2))</f>
        <v/>
      </c>
      <c r="R38" s="104" t="str">
        <f>IF(AND(A38="",A37&lt;&gt;"",COUNTIF(A39:$A$200,"&lt;&gt;")=0),ROUND(SUMIF($A$2:A37,"&lt;&gt;",$R$2:R37),2),IF(OR(Q38="",C38="",NOT(ISNUMBER($Z$5))),"",ROUND(Q38*C38*$Z$5,2)))</f>
        <v/>
      </c>
      <c r="S38" s="24"/>
      <c r="T38" s="25"/>
      <c r="U38" s="111" t="str">
        <f>IF(AND(A38="",A37&lt;&gt;"",COUNTIF(A39:$A$200,"&lt;&gt;")=0),"TOTAL",IF(A38="","",posicao_contratual!X38))</f>
        <v/>
      </c>
      <c r="V38" s="111" t="str">
        <f>IF(A38="","",posicao_contratual!X38)</f>
        <v/>
      </c>
      <c r="W38" s="16"/>
      <c r="X38" s="16"/>
      <c r="Y38" s="16"/>
      <c r="Z38" s="15"/>
      <c r="AA38" s="15"/>
      <c r="AB38" s="110" t="str">
        <f>IF(OR(A38="",posicao_contratual!E38="",posicao_contratual!J38=""),"",ROUND(MAX(posicao_contratual!E38-posicao_contratual!J38,0),2))</f>
        <v/>
      </c>
      <c r="AC38" s="104" t="str">
        <f>IF(AND(A38="",A37&lt;&gt;"",COUNTIF(A39:$A$200,"&lt;&gt;")=0),ROUND(SUMIF($A$2:A37,"&lt;&gt;",$AC$2:AC37),2),IF(OR(AB38="",C38="",NOT(ISNUMBER($Z$2))),"",ROUND(AB38*C38*$Z$2,2)))</f>
        <v/>
      </c>
      <c r="AD38" s="180" t="str">
        <f>IF(A38="","",posicao_contratual!E38)</f>
        <v/>
      </c>
      <c r="AE38" s="180" t="str">
        <f>IF(A38="","",posicao_contratual!I38)</f>
        <v/>
      </c>
      <c r="AF38" s="180" t="str">
        <f>IF(A38="","",posicao_contratual!M38)</f>
        <v/>
      </c>
      <c r="AG38" s="180" t="str">
        <f>IF(A38="","",posicao_contratual!Q38)</f>
        <v/>
      </c>
      <c r="AH38" s="180" t="str">
        <f>IF(A38="","",posicao_contratual!U38)</f>
        <v/>
      </c>
      <c r="AI38" s="180" t="str">
        <f>IF(A38="","",posicao_contratual!G38)</f>
        <v/>
      </c>
      <c r="AJ38" s="180" t="str">
        <f>IF(A38="","",posicao_contratual!K38)</f>
        <v/>
      </c>
      <c r="AK38" s="180" t="str">
        <f>IF(A38="","",posicao_contratual!O38)</f>
        <v/>
      </c>
      <c r="AL38" s="180" t="str">
        <f>IF(A38="","",posicao_contratual!S38)</f>
        <v/>
      </c>
      <c r="AM38" s="180" t="str">
        <f>IF(A38="","",posicao_contratual!W38)</f>
        <v/>
      </c>
      <c r="AN38" s="181" t="str">
        <f>IF(A38="","",posicao_contratual!X38)</f>
        <v/>
      </c>
    </row>
    <row r="39" spans="1:40" x14ac:dyDescent="0.35">
      <c r="A39" s="106"/>
      <c r="B39" s="107"/>
      <c r="C39" s="108"/>
      <c r="D39" s="104" t="str">
        <f>IF(AND(A39="",A38&lt;&gt;"",COUNTIF(A40:$A$200,"&lt;&gt;")=0),ROUND(SUMIF($A$2:A38,"&lt;&gt;",$D$2:D38),2),IF(OR(A39="",B39="",C39=""),"",ROUND(B39*C39,2)))</f>
        <v/>
      </c>
      <c r="E39" s="109"/>
      <c r="F39" s="104" t="str">
        <f>IF(AND(A39="",A38&lt;&gt;"",COUNTIF(A40:$A$200,"&lt;&gt;")=0),ROUND(SUMIF($A$2:A38,"&lt;&gt;",$F$2:F38),2),IF(OR(A39="",posicao_contratual!K39="",C39="",NOT(ISNUMBER($Z$3))),"",ROUND(posicao_contratual!K39*C39*$Z$3,2)))</f>
        <v/>
      </c>
      <c r="G39" s="109"/>
      <c r="H39" s="104" t="str">
        <f>IF(AND(A39="",A38&lt;&gt;"",COUNTIF(A40:$A$200,"&lt;&gt;")=0),ROUND(SUMIF($A$2:A38,"&lt;&gt;",$H$2:H38),2),IF(OR(A39="",posicao_contratual!O39="",C39="",NOT(ISNUMBER($Z$4))),"",ROUND(posicao_contratual!O39*C39*$Z$4,2)))</f>
        <v/>
      </c>
      <c r="I39" s="109"/>
      <c r="J39" s="104" t="str">
        <f>IF(AND(A39="",A38&lt;&gt;"",COUNTIF(A40:$A$200,"&lt;&gt;")=0),ROUND(SUMIF($A$2:A38,"&lt;&gt;",$J$2:J38),2),IF(OR(A39="",posicao_contratual!S39="",C39="",NOT(ISNUMBER($Z$5))),"",ROUND(posicao_contratual!S39*C39*$Z$5,2)))</f>
        <v/>
      </c>
      <c r="K39" s="109"/>
      <c r="L39" s="104" t="str">
        <f>IF(AND(A39="",A38&lt;&gt;"",COUNTIF(A40:$A$200,"&lt;&gt;")=0),ROUND(SUMIF($A$2:A38,"&lt;&gt;",$L$2:L38),2),IF(OR(A39="",posicao_contratual!W39="",C39="",NOT(ISNUMBER($Z$6))),"",ROUND(posicao_contratual!W39*C39*$Z$6,2)))</f>
        <v/>
      </c>
      <c r="M39" s="110" t="str">
        <f>IF(OR(posicao_contratual!J39="",posicao_contratual!N39=""),"",ROUND(MAX(posicao_contratual!J39+posicao_contratual!H39-posicao_contratual!N39,0),2))</f>
        <v/>
      </c>
      <c r="N39" s="104" t="str">
        <f>IF(AND(A39="",A38&lt;&gt;"",COUNTIF(A40:$A$200,"&lt;&gt;")=0),ROUND(SUMIF($A$2:A38,"&lt;&gt;",$N$2:N38),2),IF(OR(M39="",C39="",NOT(ISNUMBER($Z$3))),"",ROUND(M39*C39*$Z$3,2)))</f>
        <v/>
      </c>
      <c r="O39" s="110" t="str">
        <f>IF(OR(posicao_contratual!N39="",posicao_contratual!R39=""),"",ROUND(MAX(posicao_contratual!N39+posicao_contratual!L39-posicao_contratual!R39,0),2))</f>
        <v/>
      </c>
      <c r="P39" s="104" t="str">
        <f>IF(AND(A39="",A38&lt;&gt;"",COUNTIF(A40:$A$200,"&lt;&gt;")=0),ROUND(SUMIF($A$2:A38,"&lt;&gt;",$P$2:P38),2),IF(OR(O39="",C39="",NOT(ISNUMBER($Z$4))),"",ROUND(O39*C39*$Z$4,2)))</f>
        <v/>
      </c>
      <c r="Q39" s="110" t="str">
        <f>IF(OR(posicao_contratual!R39="",posicao_contratual!V39=""),"",ROUND(MAX(posicao_contratual!R39+posicao_contratual!P39-posicao_contratual!V39,0),2))</f>
        <v/>
      </c>
      <c r="R39" s="104" t="str">
        <f>IF(AND(A39="",A38&lt;&gt;"",COUNTIF(A40:$A$200,"&lt;&gt;")=0),ROUND(SUMIF($A$2:A38,"&lt;&gt;",$R$2:R38),2),IF(OR(Q39="",C39="",NOT(ISNUMBER($Z$5))),"",ROUND(Q39*C39*$Z$5,2)))</f>
        <v/>
      </c>
      <c r="S39" s="24"/>
      <c r="T39" s="25"/>
      <c r="U39" s="111" t="str">
        <f>IF(AND(A39="",A38&lt;&gt;"",COUNTIF(A40:$A$200,"&lt;&gt;")=0),"TOTAL",IF(A39="","",posicao_contratual!X39))</f>
        <v/>
      </c>
      <c r="V39" s="111" t="str">
        <f>IF(A39="","",posicao_contratual!X39)</f>
        <v/>
      </c>
      <c r="W39" s="16"/>
      <c r="X39" s="16"/>
      <c r="Y39" s="16"/>
      <c r="Z39" s="15"/>
      <c r="AA39" s="15"/>
      <c r="AB39" s="110" t="str">
        <f>IF(OR(A39="",posicao_contratual!E39="",posicao_contratual!J39=""),"",ROUND(MAX(posicao_contratual!E39-posicao_contratual!J39,0),2))</f>
        <v/>
      </c>
      <c r="AC39" s="104" t="str">
        <f>IF(AND(A39="",A38&lt;&gt;"",COUNTIF(A40:$A$200,"&lt;&gt;")=0),ROUND(SUMIF($A$2:A38,"&lt;&gt;",$AC$2:AC38),2),IF(OR(AB39="",C39="",NOT(ISNUMBER($Z$2))),"",ROUND(AB39*C39*$Z$2,2)))</f>
        <v/>
      </c>
      <c r="AD39" s="180" t="str">
        <f>IF(A39="","",posicao_contratual!E39)</f>
        <v/>
      </c>
      <c r="AE39" s="180" t="str">
        <f>IF(A39="","",posicao_contratual!I39)</f>
        <v/>
      </c>
      <c r="AF39" s="180" t="str">
        <f>IF(A39="","",posicao_contratual!M39)</f>
        <v/>
      </c>
      <c r="AG39" s="180" t="str">
        <f>IF(A39="","",posicao_contratual!Q39)</f>
        <v/>
      </c>
      <c r="AH39" s="180" t="str">
        <f>IF(A39="","",posicao_contratual!U39)</f>
        <v/>
      </c>
      <c r="AI39" s="180" t="str">
        <f>IF(A39="","",posicao_contratual!G39)</f>
        <v/>
      </c>
      <c r="AJ39" s="180" t="str">
        <f>IF(A39="","",posicao_contratual!K39)</f>
        <v/>
      </c>
      <c r="AK39" s="180" t="str">
        <f>IF(A39="","",posicao_contratual!O39)</f>
        <v/>
      </c>
      <c r="AL39" s="180" t="str">
        <f>IF(A39="","",posicao_contratual!S39)</f>
        <v/>
      </c>
      <c r="AM39" s="180" t="str">
        <f>IF(A39="","",posicao_contratual!W39)</f>
        <v/>
      </c>
      <c r="AN39" s="181" t="str">
        <f>IF(A39="","",posicao_contratual!X39)</f>
        <v/>
      </c>
    </row>
    <row r="40" spans="1:40" x14ac:dyDescent="0.35">
      <c r="A40" s="106"/>
      <c r="B40" s="107"/>
      <c r="C40" s="108"/>
      <c r="D40" s="104" t="str">
        <f>IF(AND(A40="",A39&lt;&gt;"",COUNTIF(A41:$A$200,"&lt;&gt;")=0),ROUND(SUMIF($A$2:A39,"&lt;&gt;",$D$2:D39),2),IF(OR(A40="",B40="",C40=""),"",ROUND(B40*C40,2)))</f>
        <v/>
      </c>
      <c r="E40" s="109"/>
      <c r="F40" s="104" t="str">
        <f>IF(AND(A40="",A39&lt;&gt;"",COUNTIF(A41:$A$200,"&lt;&gt;")=0),ROUND(SUMIF($A$2:A39,"&lt;&gt;",$F$2:F39),2),IF(OR(A40="",posicao_contratual!K40="",C40="",NOT(ISNUMBER($Z$3))),"",ROUND(posicao_contratual!K40*C40*$Z$3,2)))</f>
        <v/>
      </c>
      <c r="G40" s="109"/>
      <c r="H40" s="104" t="str">
        <f>IF(AND(A40="",A39&lt;&gt;"",COUNTIF(A41:$A$200,"&lt;&gt;")=0),ROUND(SUMIF($A$2:A39,"&lt;&gt;",$H$2:H39),2),IF(OR(A40="",posicao_contratual!O40="",C40="",NOT(ISNUMBER($Z$4))),"",ROUND(posicao_contratual!O40*C40*$Z$4,2)))</f>
        <v/>
      </c>
      <c r="I40" s="109"/>
      <c r="J40" s="104" t="str">
        <f>IF(AND(A40="",A39&lt;&gt;"",COUNTIF(A41:$A$200,"&lt;&gt;")=0),ROUND(SUMIF($A$2:A39,"&lt;&gt;",$J$2:J39),2),IF(OR(A40="",posicao_contratual!S40="",C40="",NOT(ISNUMBER($Z$5))),"",ROUND(posicao_contratual!S40*C40*$Z$5,2)))</f>
        <v/>
      </c>
      <c r="K40" s="109"/>
      <c r="L40" s="104" t="str">
        <f>IF(AND(A40="",A39&lt;&gt;"",COUNTIF(A41:$A$200,"&lt;&gt;")=0),ROUND(SUMIF($A$2:A39,"&lt;&gt;",$L$2:L39),2),IF(OR(A40="",posicao_contratual!W40="",C40="",NOT(ISNUMBER($Z$6))),"",ROUND(posicao_contratual!W40*C40*$Z$6,2)))</f>
        <v/>
      </c>
      <c r="M40" s="110" t="str">
        <f>IF(OR(posicao_contratual!J40="",posicao_contratual!N40=""),"",ROUND(MAX(posicao_contratual!J40+posicao_contratual!H40-posicao_contratual!N40,0),2))</f>
        <v/>
      </c>
      <c r="N40" s="104" t="str">
        <f>IF(AND(A40="",A39&lt;&gt;"",COUNTIF(A41:$A$200,"&lt;&gt;")=0),ROUND(SUMIF($A$2:A39,"&lt;&gt;",$N$2:N39),2),IF(OR(M40="",C40="",NOT(ISNUMBER($Z$3))),"",ROUND(M40*C40*$Z$3,2)))</f>
        <v/>
      </c>
      <c r="O40" s="110" t="str">
        <f>IF(OR(posicao_contratual!N40="",posicao_contratual!R40=""),"",ROUND(MAX(posicao_contratual!N40+posicao_contratual!L40-posicao_contratual!R40,0),2))</f>
        <v/>
      </c>
      <c r="P40" s="104" t="str">
        <f>IF(AND(A40="",A39&lt;&gt;"",COUNTIF(A41:$A$200,"&lt;&gt;")=0),ROUND(SUMIF($A$2:A39,"&lt;&gt;",$P$2:P39),2),IF(OR(O40="",C40="",NOT(ISNUMBER($Z$4))),"",ROUND(O40*C40*$Z$4,2)))</f>
        <v/>
      </c>
      <c r="Q40" s="110" t="str">
        <f>IF(OR(posicao_contratual!R40="",posicao_contratual!V40=""),"",ROUND(MAX(posicao_contratual!R40+posicao_contratual!P40-posicao_contratual!V40,0),2))</f>
        <v/>
      </c>
      <c r="R40" s="104" t="str">
        <f>IF(AND(A40="",A39&lt;&gt;"",COUNTIF(A41:$A$200,"&lt;&gt;")=0),ROUND(SUMIF($A$2:A39,"&lt;&gt;",$R$2:R39),2),IF(OR(Q40="",C40="",NOT(ISNUMBER($Z$5))),"",ROUND(Q40*C40*$Z$5,2)))</f>
        <v/>
      </c>
      <c r="S40" s="24"/>
      <c r="T40" s="25"/>
      <c r="U40" s="111" t="str">
        <f>IF(AND(A40="",A39&lt;&gt;"",COUNTIF(A41:$A$200,"&lt;&gt;")=0),"TOTAL",IF(A40="","",posicao_contratual!X40))</f>
        <v/>
      </c>
      <c r="V40" s="111" t="str">
        <f>IF(A40="","",posicao_contratual!X40)</f>
        <v/>
      </c>
      <c r="W40" s="16"/>
      <c r="X40" s="16"/>
      <c r="Y40" s="16"/>
      <c r="Z40" s="15"/>
      <c r="AA40" s="15"/>
      <c r="AB40" s="110" t="str">
        <f>IF(OR(A40="",posicao_contratual!E40="",posicao_contratual!J40=""),"",ROUND(MAX(posicao_contratual!E40-posicao_contratual!J40,0),2))</f>
        <v/>
      </c>
      <c r="AC40" s="104" t="str">
        <f>IF(AND(A40="",A39&lt;&gt;"",COUNTIF(A41:$A$200,"&lt;&gt;")=0),ROUND(SUMIF($A$2:A39,"&lt;&gt;",$AC$2:AC39),2),IF(OR(AB40="",C40="",NOT(ISNUMBER($Z$2))),"",ROUND(AB40*C40*$Z$2,2)))</f>
        <v/>
      </c>
      <c r="AD40" s="180" t="str">
        <f>IF(A40="","",posicao_contratual!E40)</f>
        <v/>
      </c>
      <c r="AE40" s="180" t="str">
        <f>IF(A40="","",posicao_contratual!I40)</f>
        <v/>
      </c>
      <c r="AF40" s="180" t="str">
        <f>IF(A40="","",posicao_contratual!M40)</f>
        <v/>
      </c>
      <c r="AG40" s="180" t="str">
        <f>IF(A40="","",posicao_contratual!Q40)</f>
        <v/>
      </c>
      <c r="AH40" s="180" t="str">
        <f>IF(A40="","",posicao_contratual!U40)</f>
        <v/>
      </c>
      <c r="AI40" s="180" t="str">
        <f>IF(A40="","",posicao_contratual!G40)</f>
        <v/>
      </c>
      <c r="AJ40" s="180" t="str">
        <f>IF(A40="","",posicao_contratual!K40)</f>
        <v/>
      </c>
      <c r="AK40" s="180" t="str">
        <f>IF(A40="","",posicao_contratual!O40)</f>
        <v/>
      </c>
      <c r="AL40" s="180" t="str">
        <f>IF(A40="","",posicao_contratual!S40)</f>
        <v/>
      </c>
      <c r="AM40" s="180" t="str">
        <f>IF(A40="","",posicao_contratual!W40)</f>
        <v/>
      </c>
      <c r="AN40" s="181" t="str">
        <f>IF(A40="","",posicao_contratual!X40)</f>
        <v/>
      </c>
    </row>
    <row r="41" spans="1:40" x14ac:dyDescent="0.35">
      <c r="A41" s="106"/>
      <c r="B41" s="107"/>
      <c r="C41" s="108"/>
      <c r="D41" s="104" t="str">
        <f>IF(AND(A41="",A40&lt;&gt;"",COUNTIF(A42:$A$200,"&lt;&gt;")=0),ROUND(SUMIF($A$2:A40,"&lt;&gt;",$D$2:D40),2),IF(OR(A41="",B41="",C41=""),"",ROUND(B41*C41,2)))</f>
        <v/>
      </c>
      <c r="E41" s="109"/>
      <c r="F41" s="104" t="str">
        <f>IF(AND(A41="",A40&lt;&gt;"",COUNTIF(A42:$A$200,"&lt;&gt;")=0),ROUND(SUMIF($A$2:A40,"&lt;&gt;",$F$2:F40),2),IF(OR(A41="",posicao_contratual!K41="",C41="",NOT(ISNUMBER($Z$3))),"",ROUND(posicao_contratual!K41*C41*$Z$3,2)))</f>
        <v/>
      </c>
      <c r="G41" s="109"/>
      <c r="H41" s="104" t="str">
        <f>IF(AND(A41="",A40&lt;&gt;"",COUNTIF(A42:$A$200,"&lt;&gt;")=0),ROUND(SUMIF($A$2:A40,"&lt;&gt;",$H$2:H40),2),IF(OR(A41="",posicao_contratual!O41="",C41="",NOT(ISNUMBER($Z$4))),"",ROUND(posicao_contratual!O41*C41*$Z$4,2)))</f>
        <v/>
      </c>
      <c r="I41" s="109"/>
      <c r="J41" s="104" t="str">
        <f>IF(AND(A41="",A40&lt;&gt;"",COUNTIF(A42:$A$200,"&lt;&gt;")=0),ROUND(SUMIF($A$2:A40,"&lt;&gt;",$J$2:J40),2),IF(OR(A41="",posicao_contratual!S41="",C41="",NOT(ISNUMBER($Z$5))),"",ROUND(posicao_contratual!S41*C41*$Z$5,2)))</f>
        <v/>
      </c>
      <c r="K41" s="109"/>
      <c r="L41" s="104" t="str">
        <f>IF(AND(A41="",A40&lt;&gt;"",COUNTIF(A42:$A$200,"&lt;&gt;")=0),ROUND(SUMIF($A$2:A40,"&lt;&gt;",$L$2:L40),2),IF(OR(A41="",posicao_contratual!W41="",C41="",NOT(ISNUMBER($Z$6))),"",ROUND(posicao_contratual!W41*C41*$Z$6,2)))</f>
        <v/>
      </c>
      <c r="M41" s="110" t="str">
        <f>IF(OR(posicao_contratual!J41="",posicao_contratual!N41=""),"",ROUND(MAX(posicao_contratual!J41+posicao_contratual!H41-posicao_contratual!N41,0),2))</f>
        <v/>
      </c>
      <c r="N41" s="104" t="str">
        <f>IF(AND(A41="",A40&lt;&gt;"",COUNTIF(A42:$A$200,"&lt;&gt;")=0),ROUND(SUMIF($A$2:A40,"&lt;&gt;",$N$2:N40),2),IF(OR(M41="",C41="",NOT(ISNUMBER($Z$3))),"",ROUND(M41*C41*$Z$3,2)))</f>
        <v/>
      </c>
      <c r="O41" s="110" t="str">
        <f>IF(OR(posicao_contratual!N41="",posicao_contratual!R41=""),"",ROUND(MAX(posicao_contratual!N41+posicao_contratual!L41-posicao_contratual!R41,0),2))</f>
        <v/>
      </c>
      <c r="P41" s="104" t="str">
        <f>IF(AND(A41="",A40&lt;&gt;"",COUNTIF(A42:$A$200,"&lt;&gt;")=0),ROUND(SUMIF($A$2:A40,"&lt;&gt;",$P$2:P40),2),IF(OR(O41="",C41="",NOT(ISNUMBER($Z$4))),"",ROUND(O41*C41*$Z$4,2)))</f>
        <v/>
      </c>
      <c r="Q41" s="110" t="str">
        <f>IF(OR(posicao_contratual!R41="",posicao_contratual!V41=""),"",ROUND(MAX(posicao_contratual!R41+posicao_contratual!P41-posicao_contratual!V41,0),2))</f>
        <v/>
      </c>
      <c r="R41" s="104" t="str">
        <f>IF(AND(A41="",A40&lt;&gt;"",COUNTIF(A42:$A$200,"&lt;&gt;")=0),ROUND(SUMIF($A$2:A40,"&lt;&gt;",$R$2:R40),2),IF(OR(Q41="",C41="",NOT(ISNUMBER($Z$5))),"",ROUND(Q41*C41*$Z$5,2)))</f>
        <v/>
      </c>
      <c r="S41" s="24"/>
      <c r="T41" s="25"/>
      <c r="U41" s="111" t="str">
        <f>IF(AND(A41="",A40&lt;&gt;"",COUNTIF(A42:$A$200,"&lt;&gt;")=0),"TOTAL",IF(A41="","",posicao_contratual!X41))</f>
        <v/>
      </c>
      <c r="V41" s="111" t="str">
        <f>IF(A41="","",posicao_contratual!X41)</f>
        <v/>
      </c>
      <c r="W41" s="16"/>
      <c r="X41" s="16"/>
      <c r="Y41" s="16"/>
      <c r="Z41" s="15"/>
      <c r="AA41" s="15"/>
      <c r="AB41" s="110" t="str">
        <f>IF(OR(A41="",posicao_contratual!E41="",posicao_contratual!J41=""),"",ROUND(MAX(posicao_contratual!E41-posicao_contratual!J41,0),2))</f>
        <v/>
      </c>
      <c r="AC41" s="104" t="str">
        <f>IF(AND(A41="",A40&lt;&gt;"",COUNTIF(A42:$A$200,"&lt;&gt;")=0),ROUND(SUMIF($A$2:A40,"&lt;&gt;",$AC$2:AC40),2),IF(OR(AB41="",C41="",NOT(ISNUMBER($Z$2))),"",ROUND(AB41*C41*$Z$2,2)))</f>
        <v/>
      </c>
      <c r="AD41" s="180" t="str">
        <f>IF(A41="","",posicao_contratual!E41)</f>
        <v/>
      </c>
      <c r="AE41" s="180" t="str">
        <f>IF(A41="","",posicao_contratual!I41)</f>
        <v/>
      </c>
      <c r="AF41" s="180" t="str">
        <f>IF(A41="","",posicao_contratual!M41)</f>
        <v/>
      </c>
      <c r="AG41" s="180" t="str">
        <f>IF(A41="","",posicao_contratual!Q41)</f>
        <v/>
      </c>
      <c r="AH41" s="180" t="str">
        <f>IF(A41="","",posicao_contratual!U41)</f>
        <v/>
      </c>
      <c r="AI41" s="180" t="str">
        <f>IF(A41="","",posicao_contratual!G41)</f>
        <v/>
      </c>
      <c r="AJ41" s="180" t="str">
        <f>IF(A41="","",posicao_contratual!K41)</f>
        <v/>
      </c>
      <c r="AK41" s="180" t="str">
        <f>IF(A41="","",posicao_contratual!O41)</f>
        <v/>
      </c>
      <c r="AL41" s="180" t="str">
        <f>IF(A41="","",posicao_contratual!S41)</f>
        <v/>
      </c>
      <c r="AM41" s="180" t="str">
        <f>IF(A41="","",posicao_contratual!W41)</f>
        <v/>
      </c>
      <c r="AN41" s="181" t="str">
        <f>IF(A41="","",posicao_contratual!X41)</f>
        <v/>
      </c>
    </row>
    <row r="42" spans="1:40" x14ac:dyDescent="0.35">
      <c r="A42" s="106"/>
      <c r="B42" s="107"/>
      <c r="C42" s="108"/>
      <c r="D42" s="104" t="str">
        <f>IF(AND(A42="",A41&lt;&gt;"",COUNTIF(A43:$A$200,"&lt;&gt;")=0),ROUND(SUMIF($A$2:A41,"&lt;&gt;",$D$2:D41),2),IF(OR(A42="",B42="",C42=""),"",ROUND(B42*C42,2)))</f>
        <v/>
      </c>
      <c r="E42" s="109"/>
      <c r="F42" s="104" t="str">
        <f>IF(AND(A42="",A41&lt;&gt;"",COUNTIF(A43:$A$200,"&lt;&gt;")=0),ROUND(SUMIF($A$2:A41,"&lt;&gt;",$F$2:F41),2),IF(OR(A42="",posicao_contratual!K42="",C42="",NOT(ISNUMBER($Z$3))),"",ROUND(posicao_contratual!K42*C42*$Z$3,2)))</f>
        <v/>
      </c>
      <c r="G42" s="109"/>
      <c r="H42" s="104" t="str">
        <f>IF(AND(A42="",A41&lt;&gt;"",COUNTIF(A43:$A$200,"&lt;&gt;")=0),ROUND(SUMIF($A$2:A41,"&lt;&gt;",$H$2:H41),2),IF(OR(A42="",posicao_contratual!O42="",C42="",NOT(ISNUMBER($Z$4))),"",ROUND(posicao_contratual!O42*C42*$Z$4,2)))</f>
        <v/>
      </c>
      <c r="I42" s="109"/>
      <c r="J42" s="104" t="str">
        <f>IF(AND(A42="",A41&lt;&gt;"",COUNTIF(A43:$A$200,"&lt;&gt;")=0),ROUND(SUMIF($A$2:A41,"&lt;&gt;",$J$2:J41),2),IF(OR(A42="",posicao_contratual!S42="",C42="",NOT(ISNUMBER($Z$5))),"",ROUND(posicao_contratual!S42*C42*$Z$5,2)))</f>
        <v/>
      </c>
      <c r="K42" s="109"/>
      <c r="L42" s="104" t="str">
        <f>IF(AND(A42="",A41&lt;&gt;"",COUNTIF(A43:$A$200,"&lt;&gt;")=0),ROUND(SUMIF($A$2:A41,"&lt;&gt;",$L$2:L41),2),IF(OR(A42="",posicao_contratual!W42="",C42="",NOT(ISNUMBER($Z$6))),"",ROUND(posicao_contratual!W42*C42*$Z$6,2)))</f>
        <v/>
      </c>
      <c r="M42" s="110" t="str">
        <f>IF(OR(posicao_contratual!J42="",posicao_contratual!N42=""),"",ROUND(MAX(posicao_contratual!J42+posicao_contratual!H42-posicao_contratual!N42,0),2))</f>
        <v/>
      </c>
      <c r="N42" s="104" t="str">
        <f>IF(AND(A42="",A41&lt;&gt;"",COUNTIF(A43:$A$200,"&lt;&gt;")=0),ROUND(SUMIF($A$2:A41,"&lt;&gt;",$N$2:N41),2),IF(OR(M42="",C42="",NOT(ISNUMBER($Z$3))),"",ROUND(M42*C42*$Z$3,2)))</f>
        <v/>
      </c>
      <c r="O42" s="110" t="str">
        <f>IF(OR(posicao_contratual!N42="",posicao_contratual!R42=""),"",ROUND(MAX(posicao_contratual!N42+posicao_contratual!L42-posicao_contratual!R42,0),2))</f>
        <v/>
      </c>
      <c r="P42" s="104" t="str">
        <f>IF(AND(A42="",A41&lt;&gt;"",COUNTIF(A43:$A$200,"&lt;&gt;")=0),ROUND(SUMIF($A$2:A41,"&lt;&gt;",$P$2:P41),2),IF(OR(O42="",C42="",NOT(ISNUMBER($Z$4))),"",ROUND(O42*C42*$Z$4,2)))</f>
        <v/>
      </c>
      <c r="Q42" s="110" t="str">
        <f>IF(OR(posicao_contratual!R42="",posicao_contratual!V42=""),"",ROUND(MAX(posicao_contratual!R42+posicao_contratual!P42-posicao_contratual!V42,0),2))</f>
        <v/>
      </c>
      <c r="R42" s="104" t="str">
        <f>IF(AND(A42="",A41&lt;&gt;"",COUNTIF(A43:$A$200,"&lt;&gt;")=0),ROUND(SUMIF($A$2:A41,"&lt;&gt;",$R$2:R41),2),IF(OR(Q42="",C42="",NOT(ISNUMBER($Z$5))),"",ROUND(Q42*C42*$Z$5,2)))</f>
        <v/>
      </c>
      <c r="S42" s="24"/>
      <c r="T42" s="25"/>
      <c r="U42" s="111" t="str">
        <f>IF(AND(A42="",A41&lt;&gt;"",COUNTIF(A43:$A$200,"&lt;&gt;")=0),"TOTAL",IF(A42="","",posicao_contratual!X42))</f>
        <v/>
      </c>
      <c r="V42" s="111" t="str">
        <f>IF(A42="","",posicao_contratual!X42)</f>
        <v/>
      </c>
      <c r="W42" s="16"/>
      <c r="X42" s="16"/>
      <c r="Y42" s="16"/>
      <c r="Z42" s="15"/>
      <c r="AA42" s="15"/>
      <c r="AB42" s="110" t="str">
        <f>IF(OR(A42="",posicao_contratual!E42="",posicao_contratual!J42=""),"",ROUND(MAX(posicao_contratual!E42-posicao_contratual!J42,0),2))</f>
        <v/>
      </c>
      <c r="AC42" s="104" t="str">
        <f>IF(AND(A42="",A41&lt;&gt;"",COUNTIF(A43:$A$200,"&lt;&gt;")=0),ROUND(SUMIF($A$2:A41,"&lt;&gt;",$AC$2:AC41),2),IF(OR(AB42="",C42="",NOT(ISNUMBER($Z$2))),"",ROUND(AB42*C42*$Z$2,2)))</f>
        <v/>
      </c>
      <c r="AD42" s="180" t="str">
        <f>IF(A42="","",posicao_contratual!E42)</f>
        <v/>
      </c>
      <c r="AE42" s="180" t="str">
        <f>IF(A42="","",posicao_contratual!I42)</f>
        <v/>
      </c>
      <c r="AF42" s="180" t="str">
        <f>IF(A42="","",posicao_contratual!M42)</f>
        <v/>
      </c>
      <c r="AG42" s="180" t="str">
        <f>IF(A42="","",posicao_contratual!Q42)</f>
        <v/>
      </c>
      <c r="AH42" s="180" t="str">
        <f>IF(A42="","",posicao_contratual!U42)</f>
        <v/>
      </c>
      <c r="AI42" s="180" t="str">
        <f>IF(A42="","",posicao_contratual!G42)</f>
        <v/>
      </c>
      <c r="AJ42" s="180" t="str">
        <f>IF(A42="","",posicao_contratual!K42)</f>
        <v/>
      </c>
      <c r="AK42" s="180" t="str">
        <f>IF(A42="","",posicao_contratual!O42)</f>
        <v/>
      </c>
      <c r="AL42" s="180" t="str">
        <f>IF(A42="","",posicao_contratual!S42)</f>
        <v/>
      </c>
      <c r="AM42" s="180" t="str">
        <f>IF(A42="","",posicao_contratual!W42)</f>
        <v/>
      </c>
      <c r="AN42" s="181" t="str">
        <f>IF(A42="","",posicao_contratual!X42)</f>
        <v/>
      </c>
    </row>
    <row r="43" spans="1:40" x14ac:dyDescent="0.35">
      <c r="A43" s="106"/>
      <c r="B43" s="107"/>
      <c r="C43" s="108"/>
      <c r="D43" s="104" t="str">
        <f>IF(AND(A43="",A42&lt;&gt;"",COUNTIF(A44:$A$200,"&lt;&gt;")=0),ROUND(SUMIF($A$2:A42,"&lt;&gt;",$D$2:D42),2),IF(OR(A43="",B43="",C43=""),"",ROUND(B43*C43,2)))</f>
        <v/>
      </c>
      <c r="E43" s="109"/>
      <c r="F43" s="104" t="str">
        <f>IF(AND(A43="",A42&lt;&gt;"",COUNTIF(A44:$A$200,"&lt;&gt;")=0),ROUND(SUMIF($A$2:A42,"&lt;&gt;",$F$2:F42),2),IF(OR(A43="",posicao_contratual!K43="",C43="",NOT(ISNUMBER($Z$3))),"",ROUND(posicao_contratual!K43*C43*$Z$3,2)))</f>
        <v/>
      </c>
      <c r="G43" s="109"/>
      <c r="H43" s="104" t="str">
        <f>IF(AND(A43="",A42&lt;&gt;"",COUNTIF(A44:$A$200,"&lt;&gt;")=0),ROUND(SUMIF($A$2:A42,"&lt;&gt;",$H$2:H42),2),IF(OR(A43="",posicao_contratual!O43="",C43="",NOT(ISNUMBER($Z$4))),"",ROUND(posicao_contratual!O43*C43*$Z$4,2)))</f>
        <v/>
      </c>
      <c r="I43" s="109"/>
      <c r="J43" s="104" t="str">
        <f>IF(AND(A43="",A42&lt;&gt;"",COUNTIF(A44:$A$200,"&lt;&gt;")=0),ROUND(SUMIF($A$2:A42,"&lt;&gt;",$J$2:J42),2),IF(OR(A43="",posicao_contratual!S43="",C43="",NOT(ISNUMBER($Z$5))),"",ROUND(posicao_contratual!S43*C43*$Z$5,2)))</f>
        <v/>
      </c>
      <c r="K43" s="109"/>
      <c r="L43" s="104" t="str">
        <f>IF(AND(A43="",A42&lt;&gt;"",COUNTIF(A44:$A$200,"&lt;&gt;")=0),ROUND(SUMIF($A$2:A42,"&lt;&gt;",$L$2:L42),2),IF(OR(A43="",posicao_contratual!W43="",C43="",NOT(ISNUMBER($Z$6))),"",ROUND(posicao_contratual!W43*C43*$Z$6,2)))</f>
        <v/>
      </c>
      <c r="M43" s="110" t="str">
        <f>IF(OR(posicao_contratual!J43="",posicao_contratual!N43=""),"",ROUND(MAX(posicao_contratual!J43+posicao_contratual!H43-posicao_contratual!N43,0),2))</f>
        <v/>
      </c>
      <c r="N43" s="104" t="str">
        <f>IF(AND(A43="",A42&lt;&gt;"",COUNTIF(A44:$A$200,"&lt;&gt;")=0),ROUND(SUMIF($A$2:A42,"&lt;&gt;",$N$2:N42),2),IF(OR(M43="",C43="",NOT(ISNUMBER($Z$3))),"",ROUND(M43*C43*$Z$3,2)))</f>
        <v/>
      </c>
      <c r="O43" s="110" t="str">
        <f>IF(OR(posicao_contratual!N43="",posicao_contratual!R43=""),"",ROUND(MAX(posicao_contratual!N43+posicao_contratual!L43-posicao_contratual!R43,0),2))</f>
        <v/>
      </c>
      <c r="P43" s="104" t="str">
        <f>IF(AND(A43="",A42&lt;&gt;"",COUNTIF(A44:$A$200,"&lt;&gt;")=0),ROUND(SUMIF($A$2:A42,"&lt;&gt;",$P$2:P42),2),IF(OR(O43="",C43="",NOT(ISNUMBER($Z$4))),"",ROUND(O43*C43*$Z$4,2)))</f>
        <v/>
      </c>
      <c r="Q43" s="110" t="str">
        <f>IF(OR(posicao_contratual!R43="",posicao_contratual!V43=""),"",ROUND(MAX(posicao_contratual!R43+posicao_contratual!P43-posicao_contratual!V43,0),2))</f>
        <v/>
      </c>
      <c r="R43" s="104" t="str">
        <f>IF(AND(A43="",A42&lt;&gt;"",COUNTIF(A44:$A$200,"&lt;&gt;")=0),ROUND(SUMIF($A$2:A42,"&lt;&gt;",$R$2:R42),2),IF(OR(Q43="",C43="",NOT(ISNUMBER($Z$5))),"",ROUND(Q43*C43*$Z$5,2)))</f>
        <v/>
      </c>
      <c r="S43" s="24"/>
      <c r="T43" s="25"/>
      <c r="U43" s="111" t="str">
        <f>IF(AND(A43="",A42&lt;&gt;"",COUNTIF(A44:$A$200,"&lt;&gt;")=0),"TOTAL",IF(A43="","",posicao_contratual!X43))</f>
        <v/>
      </c>
      <c r="V43" s="111" t="str">
        <f>IF(A43="","",posicao_contratual!X43)</f>
        <v/>
      </c>
      <c r="W43" s="16"/>
      <c r="X43" s="16"/>
      <c r="Y43" s="16"/>
      <c r="Z43" s="15"/>
      <c r="AA43" s="15"/>
      <c r="AB43" s="110" t="str">
        <f>IF(OR(A43="",posicao_contratual!E43="",posicao_contratual!J43=""),"",ROUND(MAX(posicao_contratual!E43-posicao_contratual!J43,0),2))</f>
        <v/>
      </c>
      <c r="AC43" s="104" t="str">
        <f>IF(AND(A43="",A42&lt;&gt;"",COUNTIF(A44:$A$200,"&lt;&gt;")=0),ROUND(SUMIF($A$2:A42,"&lt;&gt;",$AC$2:AC42),2),IF(OR(AB43="",C43="",NOT(ISNUMBER($Z$2))),"",ROUND(AB43*C43*$Z$2,2)))</f>
        <v/>
      </c>
      <c r="AD43" s="180" t="str">
        <f>IF(A43="","",posicao_contratual!E43)</f>
        <v/>
      </c>
      <c r="AE43" s="180" t="str">
        <f>IF(A43="","",posicao_contratual!I43)</f>
        <v/>
      </c>
      <c r="AF43" s="180" t="str">
        <f>IF(A43="","",posicao_contratual!M43)</f>
        <v/>
      </c>
      <c r="AG43" s="180" t="str">
        <f>IF(A43="","",posicao_contratual!Q43)</f>
        <v/>
      </c>
      <c r="AH43" s="180" t="str">
        <f>IF(A43="","",posicao_contratual!U43)</f>
        <v/>
      </c>
      <c r="AI43" s="180" t="str">
        <f>IF(A43="","",posicao_contratual!G43)</f>
        <v/>
      </c>
      <c r="AJ43" s="180" t="str">
        <f>IF(A43="","",posicao_contratual!K43)</f>
        <v/>
      </c>
      <c r="AK43" s="180" t="str">
        <f>IF(A43="","",posicao_contratual!O43)</f>
        <v/>
      </c>
      <c r="AL43" s="180" t="str">
        <f>IF(A43="","",posicao_contratual!S43)</f>
        <v/>
      </c>
      <c r="AM43" s="180" t="str">
        <f>IF(A43="","",posicao_contratual!W43)</f>
        <v/>
      </c>
      <c r="AN43" s="181" t="str">
        <f>IF(A43="","",posicao_contratual!X43)</f>
        <v/>
      </c>
    </row>
    <row r="44" spans="1:40" x14ac:dyDescent="0.35">
      <c r="A44" s="106"/>
      <c r="B44" s="107"/>
      <c r="C44" s="108"/>
      <c r="D44" s="104" t="str">
        <f>IF(AND(A44="",A43&lt;&gt;"",COUNTIF(A45:$A$200,"&lt;&gt;")=0),ROUND(SUMIF($A$2:A43,"&lt;&gt;",$D$2:D43),2),IF(OR(A44="",B44="",C44=""),"",ROUND(B44*C44,2)))</f>
        <v/>
      </c>
      <c r="E44" s="109"/>
      <c r="F44" s="104" t="str">
        <f>IF(AND(A44="",A43&lt;&gt;"",COUNTIF(A45:$A$200,"&lt;&gt;")=0),ROUND(SUMIF($A$2:A43,"&lt;&gt;",$F$2:F43),2),IF(OR(A44="",posicao_contratual!K44="",C44="",NOT(ISNUMBER($Z$3))),"",ROUND(posicao_contratual!K44*C44*$Z$3,2)))</f>
        <v/>
      </c>
      <c r="G44" s="109"/>
      <c r="H44" s="104" t="str">
        <f>IF(AND(A44="",A43&lt;&gt;"",COUNTIF(A45:$A$200,"&lt;&gt;")=0),ROUND(SUMIF($A$2:A43,"&lt;&gt;",$H$2:H43),2),IF(OR(A44="",posicao_contratual!O44="",C44="",NOT(ISNUMBER($Z$4))),"",ROUND(posicao_contratual!O44*C44*$Z$4,2)))</f>
        <v/>
      </c>
      <c r="I44" s="109"/>
      <c r="J44" s="104" t="str">
        <f>IF(AND(A44="",A43&lt;&gt;"",COUNTIF(A45:$A$200,"&lt;&gt;")=0),ROUND(SUMIF($A$2:A43,"&lt;&gt;",$J$2:J43),2),IF(OR(A44="",posicao_contratual!S44="",C44="",NOT(ISNUMBER($Z$5))),"",ROUND(posicao_contratual!S44*C44*$Z$5,2)))</f>
        <v/>
      </c>
      <c r="K44" s="109"/>
      <c r="L44" s="104" t="str">
        <f>IF(AND(A44="",A43&lt;&gt;"",COUNTIF(A45:$A$200,"&lt;&gt;")=0),ROUND(SUMIF($A$2:A43,"&lt;&gt;",$L$2:L43),2),IF(OR(A44="",posicao_contratual!W44="",C44="",NOT(ISNUMBER($Z$6))),"",ROUND(posicao_contratual!W44*C44*$Z$6,2)))</f>
        <v/>
      </c>
      <c r="M44" s="110" t="str">
        <f>IF(OR(posicao_contratual!J44="",posicao_contratual!N44=""),"",ROUND(MAX(posicao_contratual!J44+posicao_contratual!H44-posicao_contratual!N44,0),2))</f>
        <v/>
      </c>
      <c r="N44" s="104" t="str">
        <f>IF(AND(A44="",A43&lt;&gt;"",COUNTIF(A45:$A$200,"&lt;&gt;")=0),ROUND(SUMIF($A$2:A43,"&lt;&gt;",$N$2:N43),2),IF(OR(M44="",C44="",NOT(ISNUMBER($Z$3))),"",ROUND(M44*C44*$Z$3,2)))</f>
        <v/>
      </c>
      <c r="O44" s="110" t="str">
        <f>IF(OR(posicao_contratual!N44="",posicao_contratual!R44=""),"",ROUND(MAX(posicao_contratual!N44+posicao_contratual!L44-posicao_contratual!R44,0),2))</f>
        <v/>
      </c>
      <c r="P44" s="104" t="str">
        <f>IF(AND(A44="",A43&lt;&gt;"",COUNTIF(A45:$A$200,"&lt;&gt;")=0),ROUND(SUMIF($A$2:A43,"&lt;&gt;",$P$2:P43),2),IF(OR(O44="",C44="",NOT(ISNUMBER($Z$4))),"",ROUND(O44*C44*$Z$4,2)))</f>
        <v/>
      </c>
      <c r="Q44" s="110" t="str">
        <f>IF(OR(posicao_contratual!R44="",posicao_contratual!V44=""),"",ROUND(MAX(posicao_contratual!R44+posicao_contratual!P44-posicao_contratual!V44,0),2))</f>
        <v/>
      </c>
      <c r="R44" s="104" t="str">
        <f>IF(AND(A44="",A43&lt;&gt;"",COUNTIF(A45:$A$200,"&lt;&gt;")=0),ROUND(SUMIF($A$2:A43,"&lt;&gt;",$R$2:R43),2),IF(OR(Q44="",C44="",NOT(ISNUMBER($Z$5))),"",ROUND(Q44*C44*$Z$5,2)))</f>
        <v/>
      </c>
      <c r="S44" s="24"/>
      <c r="T44" s="25"/>
      <c r="U44" s="111" t="str">
        <f>IF(AND(A44="",A43&lt;&gt;"",COUNTIF(A45:$A$200,"&lt;&gt;")=0),"TOTAL",IF(A44="","",posicao_contratual!X44))</f>
        <v/>
      </c>
      <c r="V44" s="111" t="str">
        <f>IF(A44="","",posicao_contratual!X44)</f>
        <v/>
      </c>
      <c r="W44" s="16"/>
      <c r="X44" s="16"/>
      <c r="Y44" s="16"/>
      <c r="Z44" s="15"/>
      <c r="AA44" s="15"/>
      <c r="AB44" s="110" t="str">
        <f>IF(OR(A44="",posicao_contratual!E44="",posicao_contratual!J44=""),"",ROUND(MAX(posicao_contratual!E44-posicao_contratual!J44,0),2))</f>
        <v/>
      </c>
      <c r="AC44" s="104" t="str">
        <f>IF(AND(A44="",A43&lt;&gt;"",COUNTIF(A45:$A$200,"&lt;&gt;")=0),ROUND(SUMIF($A$2:A43,"&lt;&gt;",$AC$2:AC43),2),IF(OR(AB44="",C44="",NOT(ISNUMBER($Z$2))),"",ROUND(AB44*C44*$Z$2,2)))</f>
        <v/>
      </c>
      <c r="AD44" s="180" t="str">
        <f>IF(A44="","",posicao_contratual!E44)</f>
        <v/>
      </c>
      <c r="AE44" s="180" t="str">
        <f>IF(A44="","",posicao_contratual!I44)</f>
        <v/>
      </c>
      <c r="AF44" s="180" t="str">
        <f>IF(A44="","",posicao_contratual!M44)</f>
        <v/>
      </c>
      <c r="AG44" s="180" t="str">
        <f>IF(A44="","",posicao_contratual!Q44)</f>
        <v/>
      </c>
      <c r="AH44" s="180" t="str">
        <f>IF(A44="","",posicao_contratual!U44)</f>
        <v/>
      </c>
      <c r="AI44" s="180" t="str">
        <f>IF(A44="","",posicao_contratual!G44)</f>
        <v/>
      </c>
      <c r="AJ44" s="180" t="str">
        <f>IF(A44="","",posicao_contratual!K44)</f>
        <v/>
      </c>
      <c r="AK44" s="180" t="str">
        <f>IF(A44="","",posicao_contratual!O44)</f>
        <v/>
      </c>
      <c r="AL44" s="180" t="str">
        <f>IF(A44="","",posicao_contratual!S44)</f>
        <v/>
      </c>
      <c r="AM44" s="180" t="str">
        <f>IF(A44="","",posicao_contratual!W44)</f>
        <v/>
      </c>
      <c r="AN44" s="181" t="str">
        <f>IF(A44="","",posicao_contratual!X44)</f>
        <v/>
      </c>
    </row>
    <row r="45" spans="1:40" x14ac:dyDescent="0.35">
      <c r="A45" s="106"/>
      <c r="B45" s="107"/>
      <c r="C45" s="108"/>
      <c r="D45" s="104" t="str">
        <f>IF(AND(A45="",A44&lt;&gt;"",COUNTIF(A46:$A$200,"&lt;&gt;")=0),ROUND(SUMIF($A$2:A44,"&lt;&gt;",$D$2:D44),2),IF(OR(A45="",B45="",C45=""),"",ROUND(B45*C45,2)))</f>
        <v/>
      </c>
      <c r="E45" s="109"/>
      <c r="F45" s="104" t="str">
        <f>IF(AND(A45="",A44&lt;&gt;"",COUNTIF(A46:$A$200,"&lt;&gt;")=0),ROUND(SUMIF($A$2:A44,"&lt;&gt;",$F$2:F44),2),IF(OR(A45="",posicao_contratual!K45="",C45="",NOT(ISNUMBER($Z$3))),"",ROUND(posicao_contratual!K45*C45*$Z$3,2)))</f>
        <v/>
      </c>
      <c r="G45" s="109"/>
      <c r="H45" s="104" t="str">
        <f>IF(AND(A45="",A44&lt;&gt;"",COUNTIF(A46:$A$200,"&lt;&gt;")=0),ROUND(SUMIF($A$2:A44,"&lt;&gt;",$H$2:H44),2),IF(OR(A45="",posicao_contratual!O45="",C45="",NOT(ISNUMBER($Z$4))),"",ROUND(posicao_contratual!O45*C45*$Z$4,2)))</f>
        <v/>
      </c>
      <c r="I45" s="109"/>
      <c r="J45" s="104" t="str">
        <f>IF(AND(A45="",A44&lt;&gt;"",COUNTIF(A46:$A$200,"&lt;&gt;")=0),ROUND(SUMIF($A$2:A44,"&lt;&gt;",$J$2:J44),2),IF(OR(A45="",posicao_contratual!S45="",C45="",NOT(ISNUMBER($Z$5))),"",ROUND(posicao_contratual!S45*C45*$Z$5,2)))</f>
        <v/>
      </c>
      <c r="K45" s="109"/>
      <c r="L45" s="104" t="str">
        <f>IF(AND(A45="",A44&lt;&gt;"",COUNTIF(A46:$A$200,"&lt;&gt;")=0),ROUND(SUMIF($A$2:A44,"&lt;&gt;",$L$2:L44),2),IF(OR(A45="",posicao_contratual!W45="",C45="",NOT(ISNUMBER($Z$6))),"",ROUND(posicao_contratual!W45*C45*$Z$6,2)))</f>
        <v/>
      </c>
      <c r="M45" s="110" t="str">
        <f>IF(OR(posicao_contratual!J45="",posicao_contratual!N45=""),"",ROUND(MAX(posicao_contratual!J45+posicao_contratual!H45-posicao_contratual!N45,0),2))</f>
        <v/>
      </c>
      <c r="N45" s="104" t="str">
        <f>IF(AND(A45="",A44&lt;&gt;"",COUNTIF(A46:$A$200,"&lt;&gt;")=0),ROUND(SUMIF($A$2:A44,"&lt;&gt;",$N$2:N44),2),IF(OR(M45="",C45="",NOT(ISNUMBER($Z$3))),"",ROUND(M45*C45*$Z$3,2)))</f>
        <v/>
      </c>
      <c r="O45" s="110" t="str">
        <f>IF(OR(posicao_contratual!N45="",posicao_contratual!R45=""),"",ROUND(MAX(posicao_contratual!N45+posicao_contratual!L45-posicao_contratual!R45,0),2))</f>
        <v/>
      </c>
      <c r="P45" s="104" t="str">
        <f>IF(AND(A45="",A44&lt;&gt;"",COUNTIF(A46:$A$200,"&lt;&gt;")=0),ROUND(SUMIF($A$2:A44,"&lt;&gt;",$P$2:P44),2),IF(OR(O45="",C45="",NOT(ISNUMBER($Z$4))),"",ROUND(O45*C45*$Z$4,2)))</f>
        <v/>
      </c>
      <c r="Q45" s="110" t="str">
        <f>IF(OR(posicao_contratual!R45="",posicao_contratual!V45=""),"",ROUND(MAX(posicao_contratual!R45+posicao_contratual!P45-posicao_contratual!V45,0),2))</f>
        <v/>
      </c>
      <c r="R45" s="104" t="str">
        <f>IF(AND(A45="",A44&lt;&gt;"",COUNTIF(A46:$A$200,"&lt;&gt;")=0),ROUND(SUMIF($A$2:A44,"&lt;&gt;",$R$2:R44),2),IF(OR(Q45="",C45="",NOT(ISNUMBER($Z$5))),"",ROUND(Q45*C45*$Z$5,2)))</f>
        <v/>
      </c>
      <c r="S45" s="24"/>
      <c r="T45" s="25"/>
      <c r="U45" s="111" t="str">
        <f>IF(AND(A45="",A44&lt;&gt;"",COUNTIF(A46:$A$200,"&lt;&gt;")=0),"TOTAL",IF(A45="","",posicao_contratual!X45))</f>
        <v/>
      </c>
      <c r="V45" s="111" t="str">
        <f>IF(A45="","",posicao_contratual!X45)</f>
        <v/>
      </c>
      <c r="W45" s="16"/>
      <c r="X45" s="16"/>
      <c r="Y45" s="16"/>
      <c r="Z45" s="15"/>
      <c r="AA45" s="15"/>
      <c r="AB45" s="110" t="str">
        <f>IF(OR(A45="",posicao_contratual!E45="",posicao_contratual!J45=""),"",ROUND(MAX(posicao_contratual!E45-posicao_contratual!J45,0),2))</f>
        <v/>
      </c>
      <c r="AC45" s="104" t="str">
        <f>IF(AND(A45="",A44&lt;&gt;"",COUNTIF(A46:$A$200,"&lt;&gt;")=0),ROUND(SUMIF($A$2:A44,"&lt;&gt;",$AC$2:AC44),2),IF(OR(AB45="",C45="",NOT(ISNUMBER($Z$2))),"",ROUND(AB45*C45*$Z$2,2)))</f>
        <v/>
      </c>
      <c r="AD45" s="180" t="str">
        <f>IF(A45="","",posicao_contratual!E45)</f>
        <v/>
      </c>
      <c r="AE45" s="180" t="str">
        <f>IF(A45="","",posicao_contratual!I45)</f>
        <v/>
      </c>
      <c r="AF45" s="180" t="str">
        <f>IF(A45="","",posicao_contratual!M45)</f>
        <v/>
      </c>
      <c r="AG45" s="180" t="str">
        <f>IF(A45="","",posicao_contratual!Q45)</f>
        <v/>
      </c>
      <c r="AH45" s="180" t="str">
        <f>IF(A45="","",posicao_contratual!U45)</f>
        <v/>
      </c>
      <c r="AI45" s="180" t="str">
        <f>IF(A45="","",posicao_contratual!G45)</f>
        <v/>
      </c>
      <c r="AJ45" s="180" t="str">
        <f>IF(A45="","",posicao_contratual!K45)</f>
        <v/>
      </c>
      <c r="AK45" s="180" t="str">
        <f>IF(A45="","",posicao_contratual!O45)</f>
        <v/>
      </c>
      <c r="AL45" s="180" t="str">
        <f>IF(A45="","",posicao_contratual!S45)</f>
        <v/>
      </c>
      <c r="AM45" s="180" t="str">
        <f>IF(A45="","",posicao_contratual!W45)</f>
        <v/>
      </c>
      <c r="AN45" s="181" t="str">
        <f>IF(A45="","",posicao_contratual!X45)</f>
        <v/>
      </c>
    </row>
    <row r="46" spans="1:40" x14ac:dyDescent="0.35">
      <c r="A46" s="106"/>
      <c r="B46" s="107"/>
      <c r="C46" s="108"/>
      <c r="D46" s="104" t="str">
        <f>IF(AND(A46="",A45&lt;&gt;"",COUNTIF(A47:$A$200,"&lt;&gt;")=0),ROUND(SUMIF($A$2:A45,"&lt;&gt;",$D$2:D45),2),IF(OR(A46="",B46="",C46=""),"",ROUND(B46*C46,2)))</f>
        <v/>
      </c>
      <c r="E46" s="109"/>
      <c r="F46" s="104" t="str">
        <f>IF(AND(A46="",A45&lt;&gt;"",COUNTIF(A47:$A$200,"&lt;&gt;")=0),ROUND(SUMIF($A$2:A45,"&lt;&gt;",$F$2:F45),2),IF(OR(A46="",posicao_contratual!K46="",C46="",NOT(ISNUMBER($Z$3))),"",ROUND(posicao_contratual!K46*C46*$Z$3,2)))</f>
        <v/>
      </c>
      <c r="G46" s="109"/>
      <c r="H46" s="104" t="str">
        <f>IF(AND(A46="",A45&lt;&gt;"",COUNTIF(A47:$A$200,"&lt;&gt;")=0),ROUND(SUMIF($A$2:A45,"&lt;&gt;",$H$2:H45),2),IF(OR(A46="",posicao_contratual!O46="",C46="",NOT(ISNUMBER($Z$4))),"",ROUND(posicao_contratual!O46*C46*$Z$4,2)))</f>
        <v/>
      </c>
      <c r="I46" s="109"/>
      <c r="J46" s="104" t="str">
        <f>IF(AND(A46="",A45&lt;&gt;"",COUNTIF(A47:$A$200,"&lt;&gt;")=0),ROUND(SUMIF($A$2:A45,"&lt;&gt;",$J$2:J45),2),IF(OR(A46="",posicao_contratual!S46="",C46="",NOT(ISNUMBER($Z$5))),"",ROUND(posicao_contratual!S46*C46*$Z$5,2)))</f>
        <v/>
      </c>
      <c r="K46" s="109"/>
      <c r="L46" s="104" t="str">
        <f>IF(AND(A46="",A45&lt;&gt;"",COUNTIF(A47:$A$200,"&lt;&gt;")=0),ROUND(SUMIF($A$2:A45,"&lt;&gt;",$L$2:L45),2),IF(OR(A46="",posicao_contratual!W46="",C46="",NOT(ISNUMBER($Z$6))),"",ROUND(posicao_contratual!W46*C46*$Z$6,2)))</f>
        <v/>
      </c>
      <c r="M46" s="110" t="str">
        <f>IF(OR(posicao_contratual!J46="",posicao_contratual!N46=""),"",ROUND(MAX(posicao_contratual!J46+posicao_contratual!H46-posicao_contratual!N46,0),2))</f>
        <v/>
      </c>
      <c r="N46" s="104" t="str">
        <f>IF(AND(A46="",A45&lt;&gt;"",COUNTIF(A47:$A$200,"&lt;&gt;")=0),ROUND(SUMIF($A$2:A45,"&lt;&gt;",$N$2:N45),2),IF(OR(M46="",C46="",NOT(ISNUMBER($Z$3))),"",ROUND(M46*C46*$Z$3,2)))</f>
        <v/>
      </c>
      <c r="O46" s="110" t="str">
        <f>IF(OR(posicao_contratual!N46="",posicao_contratual!R46=""),"",ROUND(MAX(posicao_contratual!N46+posicao_contratual!L46-posicao_contratual!R46,0),2))</f>
        <v/>
      </c>
      <c r="P46" s="104" t="str">
        <f>IF(AND(A46="",A45&lt;&gt;"",COUNTIF(A47:$A$200,"&lt;&gt;")=0),ROUND(SUMIF($A$2:A45,"&lt;&gt;",$P$2:P45),2),IF(OR(O46="",C46="",NOT(ISNUMBER($Z$4))),"",ROUND(O46*C46*$Z$4,2)))</f>
        <v/>
      </c>
      <c r="Q46" s="110" t="str">
        <f>IF(OR(posicao_contratual!R46="",posicao_contratual!V46=""),"",ROUND(MAX(posicao_contratual!R46+posicao_contratual!P46-posicao_contratual!V46,0),2))</f>
        <v/>
      </c>
      <c r="R46" s="104" t="str">
        <f>IF(AND(A46="",A45&lt;&gt;"",COUNTIF(A47:$A$200,"&lt;&gt;")=0),ROUND(SUMIF($A$2:A45,"&lt;&gt;",$R$2:R45),2),IF(OR(Q46="",C46="",NOT(ISNUMBER($Z$5))),"",ROUND(Q46*C46*$Z$5,2)))</f>
        <v/>
      </c>
      <c r="S46" s="24"/>
      <c r="T46" s="25"/>
      <c r="U46" s="111" t="str">
        <f>IF(AND(A46="",A45&lt;&gt;"",COUNTIF(A47:$A$200,"&lt;&gt;")=0),"TOTAL",IF(A46="","",posicao_contratual!X46))</f>
        <v/>
      </c>
      <c r="V46" s="111" t="str">
        <f>IF(A46="","",posicao_contratual!X46)</f>
        <v/>
      </c>
      <c r="W46" s="16"/>
      <c r="X46" s="16"/>
      <c r="Y46" s="16"/>
      <c r="Z46" s="15"/>
      <c r="AA46" s="15"/>
      <c r="AB46" s="110" t="str">
        <f>IF(OR(A46="",posicao_contratual!E46="",posicao_contratual!J46=""),"",ROUND(MAX(posicao_contratual!E46-posicao_contratual!J46,0),2))</f>
        <v/>
      </c>
      <c r="AC46" s="104" t="str">
        <f>IF(AND(A46="",A45&lt;&gt;"",COUNTIF(A47:$A$200,"&lt;&gt;")=0),ROUND(SUMIF($A$2:A45,"&lt;&gt;",$AC$2:AC45),2),IF(OR(AB46="",C46="",NOT(ISNUMBER($Z$2))),"",ROUND(AB46*C46*$Z$2,2)))</f>
        <v/>
      </c>
      <c r="AD46" s="180" t="str">
        <f>IF(A46="","",posicao_contratual!E46)</f>
        <v/>
      </c>
      <c r="AE46" s="180" t="str">
        <f>IF(A46="","",posicao_contratual!I46)</f>
        <v/>
      </c>
      <c r="AF46" s="180" t="str">
        <f>IF(A46="","",posicao_contratual!M46)</f>
        <v/>
      </c>
      <c r="AG46" s="180" t="str">
        <f>IF(A46="","",posicao_contratual!Q46)</f>
        <v/>
      </c>
      <c r="AH46" s="180" t="str">
        <f>IF(A46="","",posicao_contratual!U46)</f>
        <v/>
      </c>
      <c r="AI46" s="180" t="str">
        <f>IF(A46="","",posicao_contratual!G46)</f>
        <v/>
      </c>
      <c r="AJ46" s="180" t="str">
        <f>IF(A46="","",posicao_contratual!K46)</f>
        <v/>
      </c>
      <c r="AK46" s="180" t="str">
        <f>IF(A46="","",posicao_contratual!O46)</f>
        <v/>
      </c>
      <c r="AL46" s="180" t="str">
        <f>IF(A46="","",posicao_contratual!S46)</f>
        <v/>
      </c>
      <c r="AM46" s="180" t="str">
        <f>IF(A46="","",posicao_contratual!W46)</f>
        <v/>
      </c>
      <c r="AN46" s="181" t="str">
        <f>IF(A46="","",posicao_contratual!X46)</f>
        <v/>
      </c>
    </row>
    <row r="47" spans="1:40" x14ac:dyDescent="0.35">
      <c r="A47" s="106"/>
      <c r="B47" s="107"/>
      <c r="C47" s="108"/>
      <c r="D47" s="104" t="str">
        <f>IF(AND(A47="",A46&lt;&gt;"",COUNTIF(A48:$A$200,"&lt;&gt;")=0),ROUND(SUMIF($A$2:A46,"&lt;&gt;",$D$2:D46),2),IF(OR(A47="",B47="",C47=""),"",ROUND(B47*C47,2)))</f>
        <v/>
      </c>
      <c r="E47" s="109"/>
      <c r="F47" s="104" t="str">
        <f>IF(AND(A47="",A46&lt;&gt;"",COUNTIF(A48:$A$200,"&lt;&gt;")=0),ROUND(SUMIF($A$2:A46,"&lt;&gt;",$F$2:F46),2),IF(OR(A47="",posicao_contratual!K47="",C47="",NOT(ISNUMBER($Z$3))),"",ROUND(posicao_contratual!K47*C47*$Z$3,2)))</f>
        <v/>
      </c>
      <c r="G47" s="109"/>
      <c r="H47" s="104" t="str">
        <f>IF(AND(A47="",A46&lt;&gt;"",COUNTIF(A48:$A$200,"&lt;&gt;")=0),ROUND(SUMIF($A$2:A46,"&lt;&gt;",$H$2:H46),2),IF(OR(A47="",posicao_contratual!O47="",C47="",NOT(ISNUMBER($Z$4))),"",ROUND(posicao_contratual!O47*C47*$Z$4,2)))</f>
        <v/>
      </c>
      <c r="I47" s="109"/>
      <c r="J47" s="104" t="str">
        <f>IF(AND(A47="",A46&lt;&gt;"",COUNTIF(A48:$A$200,"&lt;&gt;")=0),ROUND(SUMIF($A$2:A46,"&lt;&gt;",$J$2:J46),2),IF(OR(A47="",posicao_contratual!S47="",C47="",NOT(ISNUMBER($Z$5))),"",ROUND(posicao_contratual!S47*C47*$Z$5,2)))</f>
        <v/>
      </c>
      <c r="K47" s="109"/>
      <c r="L47" s="104" t="str">
        <f>IF(AND(A47="",A46&lt;&gt;"",COUNTIF(A48:$A$200,"&lt;&gt;")=0),ROUND(SUMIF($A$2:A46,"&lt;&gt;",$L$2:L46),2),IF(OR(A47="",posicao_contratual!W47="",C47="",NOT(ISNUMBER($Z$6))),"",ROUND(posicao_contratual!W47*C47*$Z$6,2)))</f>
        <v/>
      </c>
      <c r="M47" s="110" t="str">
        <f>IF(OR(posicao_contratual!J47="",posicao_contratual!N47=""),"",ROUND(MAX(posicao_contratual!J47+posicao_contratual!H47-posicao_contratual!N47,0),2))</f>
        <v/>
      </c>
      <c r="N47" s="104" t="str">
        <f>IF(AND(A47="",A46&lt;&gt;"",COUNTIF(A48:$A$200,"&lt;&gt;")=0),ROUND(SUMIF($A$2:A46,"&lt;&gt;",$N$2:N46),2),IF(OR(M47="",C47="",NOT(ISNUMBER($Z$3))),"",ROUND(M47*C47*$Z$3,2)))</f>
        <v/>
      </c>
      <c r="O47" s="110" t="str">
        <f>IF(OR(posicao_contratual!N47="",posicao_contratual!R47=""),"",ROUND(MAX(posicao_contratual!N47+posicao_contratual!L47-posicao_contratual!R47,0),2))</f>
        <v/>
      </c>
      <c r="P47" s="104" t="str">
        <f>IF(AND(A47="",A46&lt;&gt;"",COUNTIF(A48:$A$200,"&lt;&gt;")=0),ROUND(SUMIF($A$2:A46,"&lt;&gt;",$P$2:P46),2),IF(OR(O47="",C47="",NOT(ISNUMBER($Z$4))),"",ROUND(O47*C47*$Z$4,2)))</f>
        <v/>
      </c>
      <c r="Q47" s="110" t="str">
        <f>IF(OR(posicao_contratual!R47="",posicao_contratual!V47=""),"",ROUND(MAX(posicao_contratual!R47+posicao_contratual!P47-posicao_contratual!V47,0),2))</f>
        <v/>
      </c>
      <c r="R47" s="104" t="str">
        <f>IF(AND(A47="",A46&lt;&gt;"",COUNTIF(A48:$A$200,"&lt;&gt;")=0),ROUND(SUMIF($A$2:A46,"&lt;&gt;",$R$2:R46),2),IF(OR(Q47="",C47="",NOT(ISNUMBER($Z$5))),"",ROUND(Q47*C47*$Z$5,2)))</f>
        <v/>
      </c>
      <c r="S47" s="24"/>
      <c r="T47" s="25"/>
      <c r="U47" s="111" t="str">
        <f>IF(AND(A47="",A46&lt;&gt;"",COUNTIF(A48:$A$200,"&lt;&gt;")=0),"TOTAL",IF(A47="","",posicao_contratual!X47))</f>
        <v/>
      </c>
      <c r="V47" s="111" t="str">
        <f>IF(A47="","",posicao_contratual!X47)</f>
        <v/>
      </c>
      <c r="W47" s="16"/>
      <c r="X47" s="16"/>
      <c r="Y47" s="16"/>
      <c r="Z47" s="15"/>
      <c r="AA47" s="15"/>
      <c r="AB47" s="110" t="str">
        <f>IF(OR(A47="",posicao_contratual!E47="",posicao_contratual!J47=""),"",ROUND(MAX(posicao_contratual!E47-posicao_contratual!J47,0),2))</f>
        <v/>
      </c>
      <c r="AC47" s="104" t="str">
        <f>IF(AND(A47="",A46&lt;&gt;"",COUNTIF(A48:$A$200,"&lt;&gt;")=0),ROUND(SUMIF($A$2:A46,"&lt;&gt;",$AC$2:AC46),2),IF(OR(AB47="",C47="",NOT(ISNUMBER($Z$2))),"",ROUND(AB47*C47*$Z$2,2)))</f>
        <v/>
      </c>
      <c r="AD47" s="180" t="str">
        <f>IF(A47="","",posicao_contratual!E47)</f>
        <v/>
      </c>
      <c r="AE47" s="180" t="str">
        <f>IF(A47="","",posicao_contratual!I47)</f>
        <v/>
      </c>
      <c r="AF47" s="180" t="str">
        <f>IF(A47="","",posicao_contratual!M47)</f>
        <v/>
      </c>
      <c r="AG47" s="180" t="str">
        <f>IF(A47="","",posicao_contratual!Q47)</f>
        <v/>
      </c>
      <c r="AH47" s="180" t="str">
        <f>IF(A47="","",posicao_contratual!U47)</f>
        <v/>
      </c>
      <c r="AI47" s="180" t="str">
        <f>IF(A47="","",posicao_contratual!G47)</f>
        <v/>
      </c>
      <c r="AJ47" s="180" t="str">
        <f>IF(A47="","",posicao_contratual!K47)</f>
        <v/>
      </c>
      <c r="AK47" s="180" t="str">
        <f>IF(A47="","",posicao_contratual!O47)</f>
        <v/>
      </c>
      <c r="AL47" s="180" t="str">
        <f>IF(A47="","",posicao_contratual!S47)</f>
        <v/>
      </c>
      <c r="AM47" s="180" t="str">
        <f>IF(A47="","",posicao_contratual!W47)</f>
        <v/>
      </c>
      <c r="AN47" s="181" t="str">
        <f>IF(A47="","",posicao_contratual!X47)</f>
        <v/>
      </c>
    </row>
    <row r="48" spans="1:40" x14ac:dyDescent="0.35">
      <c r="A48" s="106"/>
      <c r="B48" s="107"/>
      <c r="C48" s="108"/>
      <c r="D48" s="104" t="str">
        <f>IF(AND(A48="",A47&lt;&gt;"",COUNTIF(A49:$A$200,"&lt;&gt;")=0),ROUND(SUMIF($A$2:A47,"&lt;&gt;",$D$2:D47),2),IF(OR(A48="",B48="",C48=""),"",ROUND(B48*C48,2)))</f>
        <v/>
      </c>
      <c r="E48" s="109"/>
      <c r="F48" s="104" t="str">
        <f>IF(AND(A48="",A47&lt;&gt;"",COUNTIF(A49:$A$200,"&lt;&gt;")=0),ROUND(SUMIF($A$2:A47,"&lt;&gt;",$F$2:F47),2),IF(OR(A48="",posicao_contratual!K48="",C48="",NOT(ISNUMBER($Z$3))),"",ROUND(posicao_contratual!K48*C48*$Z$3,2)))</f>
        <v/>
      </c>
      <c r="G48" s="109"/>
      <c r="H48" s="104" t="str">
        <f>IF(AND(A48="",A47&lt;&gt;"",COUNTIF(A49:$A$200,"&lt;&gt;")=0),ROUND(SUMIF($A$2:A47,"&lt;&gt;",$H$2:H47),2),IF(OR(A48="",posicao_contratual!O48="",C48="",NOT(ISNUMBER($Z$4))),"",ROUND(posicao_contratual!O48*C48*$Z$4,2)))</f>
        <v/>
      </c>
      <c r="I48" s="109"/>
      <c r="J48" s="104" t="str">
        <f>IF(AND(A48="",A47&lt;&gt;"",COUNTIF(A49:$A$200,"&lt;&gt;")=0),ROUND(SUMIF($A$2:A47,"&lt;&gt;",$J$2:J47),2),IF(OR(A48="",posicao_contratual!S48="",C48="",NOT(ISNUMBER($Z$5))),"",ROUND(posicao_contratual!S48*C48*$Z$5,2)))</f>
        <v/>
      </c>
      <c r="K48" s="109"/>
      <c r="L48" s="104" t="str">
        <f>IF(AND(A48="",A47&lt;&gt;"",COUNTIF(A49:$A$200,"&lt;&gt;")=0),ROUND(SUMIF($A$2:A47,"&lt;&gt;",$L$2:L47),2),IF(OR(A48="",posicao_contratual!W48="",C48="",NOT(ISNUMBER($Z$6))),"",ROUND(posicao_contratual!W48*C48*$Z$6,2)))</f>
        <v/>
      </c>
      <c r="M48" s="110" t="str">
        <f>IF(OR(posicao_contratual!J48="",posicao_contratual!N48=""),"",ROUND(MAX(posicao_contratual!J48+posicao_contratual!H48-posicao_contratual!N48,0),2))</f>
        <v/>
      </c>
      <c r="N48" s="104" t="str">
        <f>IF(AND(A48="",A47&lt;&gt;"",COUNTIF(A49:$A$200,"&lt;&gt;")=0),ROUND(SUMIF($A$2:A47,"&lt;&gt;",$N$2:N47),2),IF(OR(M48="",C48="",NOT(ISNUMBER($Z$3))),"",ROUND(M48*C48*$Z$3,2)))</f>
        <v/>
      </c>
      <c r="O48" s="110" t="str">
        <f>IF(OR(posicao_contratual!N48="",posicao_contratual!R48=""),"",ROUND(MAX(posicao_contratual!N48+posicao_contratual!L48-posicao_contratual!R48,0),2))</f>
        <v/>
      </c>
      <c r="P48" s="104" t="str">
        <f>IF(AND(A48="",A47&lt;&gt;"",COUNTIF(A49:$A$200,"&lt;&gt;")=0),ROUND(SUMIF($A$2:A47,"&lt;&gt;",$P$2:P47),2),IF(OR(O48="",C48="",NOT(ISNUMBER($Z$4))),"",ROUND(O48*C48*$Z$4,2)))</f>
        <v/>
      </c>
      <c r="Q48" s="110" t="str">
        <f>IF(OR(posicao_contratual!R48="",posicao_contratual!V48=""),"",ROUND(MAX(posicao_contratual!R48+posicao_contratual!P48-posicao_contratual!V48,0),2))</f>
        <v/>
      </c>
      <c r="R48" s="104" t="str">
        <f>IF(AND(A48="",A47&lt;&gt;"",COUNTIF(A49:$A$200,"&lt;&gt;")=0),ROUND(SUMIF($A$2:A47,"&lt;&gt;",$R$2:R47),2),IF(OR(Q48="",C48="",NOT(ISNUMBER($Z$5))),"",ROUND(Q48*C48*$Z$5,2)))</f>
        <v/>
      </c>
      <c r="S48" s="24"/>
      <c r="T48" s="25"/>
      <c r="U48" s="111" t="str">
        <f>IF(AND(A48="",A47&lt;&gt;"",COUNTIF(A49:$A$200,"&lt;&gt;")=0),"TOTAL",IF(A48="","",posicao_contratual!X48))</f>
        <v/>
      </c>
      <c r="V48" s="111" t="str">
        <f>IF(A48="","",posicao_contratual!X48)</f>
        <v/>
      </c>
      <c r="W48" s="16"/>
      <c r="X48" s="16"/>
      <c r="Y48" s="16"/>
      <c r="Z48" s="15"/>
      <c r="AA48" s="15"/>
      <c r="AB48" s="110" t="str">
        <f>IF(OR(A48="",posicao_contratual!E48="",posicao_contratual!J48=""),"",ROUND(MAX(posicao_contratual!E48-posicao_contratual!J48,0),2))</f>
        <v/>
      </c>
      <c r="AC48" s="104" t="str">
        <f>IF(AND(A48="",A47&lt;&gt;"",COUNTIF(A49:$A$200,"&lt;&gt;")=0),ROUND(SUMIF($A$2:A47,"&lt;&gt;",$AC$2:AC47),2),IF(OR(AB48="",C48="",NOT(ISNUMBER($Z$2))),"",ROUND(AB48*C48*$Z$2,2)))</f>
        <v/>
      </c>
      <c r="AD48" s="180" t="str">
        <f>IF(A48="","",posicao_contratual!E48)</f>
        <v/>
      </c>
      <c r="AE48" s="180" t="str">
        <f>IF(A48="","",posicao_contratual!I48)</f>
        <v/>
      </c>
      <c r="AF48" s="180" t="str">
        <f>IF(A48="","",posicao_contratual!M48)</f>
        <v/>
      </c>
      <c r="AG48" s="180" t="str">
        <f>IF(A48="","",posicao_contratual!Q48)</f>
        <v/>
      </c>
      <c r="AH48" s="180" t="str">
        <f>IF(A48="","",posicao_contratual!U48)</f>
        <v/>
      </c>
      <c r="AI48" s="180" t="str">
        <f>IF(A48="","",posicao_contratual!G48)</f>
        <v/>
      </c>
      <c r="AJ48" s="180" t="str">
        <f>IF(A48="","",posicao_contratual!K48)</f>
        <v/>
      </c>
      <c r="AK48" s="180" t="str">
        <f>IF(A48="","",posicao_contratual!O48)</f>
        <v/>
      </c>
      <c r="AL48" s="180" t="str">
        <f>IF(A48="","",posicao_contratual!S48)</f>
        <v/>
      </c>
      <c r="AM48" s="180" t="str">
        <f>IF(A48="","",posicao_contratual!W48)</f>
        <v/>
      </c>
      <c r="AN48" s="181" t="str">
        <f>IF(A48="","",posicao_contratual!X48)</f>
        <v/>
      </c>
    </row>
    <row r="49" spans="1:40" x14ac:dyDescent="0.35">
      <c r="A49" s="106"/>
      <c r="B49" s="107"/>
      <c r="C49" s="108"/>
      <c r="D49" s="104" t="str">
        <f>IF(AND(A49="",A48&lt;&gt;"",COUNTIF(A50:$A$200,"&lt;&gt;")=0),ROUND(SUMIF($A$2:A48,"&lt;&gt;",$D$2:D48),2),IF(OR(A49="",B49="",C49=""),"",ROUND(B49*C49,2)))</f>
        <v/>
      </c>
      <c r="E49" s="109"/>
      <c r="F49" s="104" t="str">
        <f>IF(AND(A49="",A48&lt;&gt;"",COUNTIF(A50:$A$200,"&lt;&gt;")=0),ROUND(SUMIF($A$2:A48,"&lt;&gt;",$F$2:F48),2),IF(OR(A49="",posicao_contratual!K49="",C49="",NOT(ISNUMBER($Z$3))),"",ROUND(posicao_contratual!K49*C49*$Z$3,2)))</f>
        <v/>
      </c>
      <c r="G49" s="109"/>
      <c r="H49" s="104" t="str">
        <f>IF(AND(A49="",A48&lt;&gt;"",COUNTIF(A50:$A$200,"&lt;&gt;")=0),ROUND(SUMIF($A$2:A48,"&lt;&gt;",$H$2:H48),2),IF(OR(A49="",posicao_contratual!O49="",C49="",NOT(ISNUMBER($Z$4))),"",ROUND(posicao_contratual!O49*C49*$Z$4,2)))</f>
        <v/>
      </c>
      <c r="I49" s="109"/>
      <c r="J49" s="104" t="str">
        <f>IF(AND(A49="",A48&lt;&gt;"",COUNTIF(A50:$A$200,"&lt;&gt;")=0),ROUND(SUMIF($A$2:A48,"&lt;&gt;",$J$2:J48),2),IF(OR(A49="",posicao_contratual!S49="",C49="",NOT(ISNUMBER($Z$5))),"",ROUND(posicao_contratual!S49*C49*$Z$5,2)))</f>
        <v/>
      </c>
      <c r="K49" s="109"/>
      <c r="L49" s="104" t="str">
        <f>IF(AND(A49="",A48&lt;&gt;"",COUNTIF(A50:$A$200,"&lt;&gt;")=0),ROUND(SUMIF($A$2:A48,"&lt;&gt;",$L$2:L48),2),IF(OR(A49="",posicao_contratual!W49="",C49="",NOT(ISNUMBER($Z$6))),"",ROUND(posicao_contratual!W49*C49*$Z$6,2)))</f>
        <v/>
      </c>
      <c r="M49" s="110" t="str">
        <f>IF(OR(posicao_contratual!J49="",posicao_contratual!N49=""),"",ROUND(MAX(posicao_contratual!J49+posicao_contratual!H49-posicao_contratual!N49,0),2))</f>
        <v/>
      </c>
      <c r="N49" s="104" t="str">
        <f>IF(AND(A49="",A48&lt;&gt;"",COUNTIF(A50:$A$200,"&lt;&gt;")=0),ROUND(SUMIF($A$2:A48,"&lt;&gt;",$N$2:N48),2),IF(OR(M49="",C49="",NOT(ISNUMBER($Z$3))),"",ROUND(M49*C49*$Z$3,2)))</f>
        <v/>
      </c>
      <c r="O49" s="110" t="str">
        <f>IF(OR(posicao_contratual!N49="",posicao_contratual!R49=""),"",ROUND(MAX(posicao_contratual!N49+posicao_contratual!L49-posicao_contratual!R49,0),2))</f>
        <v/>
      </c>
      <c r="P49" s="104" t="str">
        <f>IF(AND(A49="",A48&lt;&gt;"",COUNTIF(A50:$A$200,"&lt;&gt;")=0),ROUND(SUMIF($A$2:A48,"&lt;&gt;",$P$2:P48),2),IF(OR(O49="",C49="",NOT(ISNUMBER($Z$4))),"",ROUND(O49*C49*$Z$4,2)))</f>
        <v/>
      </c>
      <c r="Q49" s="110" t="str">
        <f>IF(OR(posicao_contratual!R49="",posicao_contratual!V49=""),"",ROUND(MAX(posicao_contratual!R49+posicao_contratual!P49-posicao_contratual!V49,0),2))</f>
        <v/>
      </c>
      <c r="R49" s="104" t="str">
        <f>IF(AND(A49="",A48&lt;&gt;"",COUNTIF(A50:$A$200,"&lt;&gt;")=0),ROUND(SUMIF($A$2:A48,"&lt;&gt;",$R$2:R48),2),IF(OR(Q49="",C49="",NOT(ISNUMBER($Z$5))),"",ROUND(Q49*C49*$Z$5,2)))</f>
        <v/>
      </c>
      <c r="S49" s="24"/>
      <c r="T49" s="25"/>
      <c r="U49" s="111" t="str">
        <f>IF(AND(A49="",A48&lt;&gt;"",COUNTIF(A50:$A$200,"&lt;&gt;")=0),"TOTAL",IF(A49="","",posicao_contratual!X49))</f>
        <v/>
      </c>
      <c r="V49" s="111" t="str">
        <f>IF(A49="","",posicao_contratual!X49)</f>
        <v/>
      </c>
      <c r="W49" s="16"/>
      <c r="X49" s="16"/>
      <c r="Y49" s="16"/>
      <c r="Z49" s="15"/>
      <c r="AA49" s="15"/>
      <c r="AB49" s="110" t="str">
        <f>IF(OR(A49="",posicao_contratual!E49="",posicao_contratual!J49=""),"",ROUND(MAX(posicao_contratual!E49-posicao_contratual!J49,0),2))</f>
        <v/>
      </c>
      <c r="AC49" s="104" t="str">
        <f>IF(AND(A49="",A48&lt;&gt;"",COUNTIF(A50:$A$200,"&lt;&gt;")=0),ROUND(SUMIF($A$2:A48,"&lt;&gt;",$AC$2:AC48),2),IF(OR(AB49="",C49="",NOT(ISNUMBER($Z$2))),"",ROUND(AB49*C49*$Z$2,2)))</f>
        <v/>
      </c>
      <c r="AD49" s="180" t="str">
        <f>IF(A49="","",posicao_contratual!E49)</f>
        <v/>
      </c>
      <c r="AE49" s="180" t="str">
        <f>IF(A49="","",posicao_contratual!I49)</f>
        <v/>
      </c>
      <c r="AF49" s="180" t="str">
        <f>IF(A49="","",posicao_contratual!M49)</f>
        <v/>
      </c>
      <c r="AG49" s="180" t="str">
        <f>IF(A49="","",posicao_contratual!Q49)</f>
        <v/>
      </c>
      <c r="AH49" s="180" t="str">
        <f>IF(A49="","",posicao_contratual!U49)</f>
        <v/>
      </c>
      <c r="AI49" s="180" t="str">
        <f>IF(A49="","",posicao_contratual!G49)</f>
        <v/>
      </c>
      <c r="AJ49" s="180" t="str">
        <f>IF(A49="","",posicao_contratual!K49)</f>
        <v/>
      </c>
      <c r="AK49" s="180" t="str">
        <f>IF(A49="","",posicao_contratual!O49)</f>
        <v/>
      </c>
      <c r="AL49" s="180" t="str">
        <f>IF(A49="","",posicao_contratual!S49)</f>
        <v/>
      </c>
      <c r="AM49" s="180" t="str">
        <f>IF(A49="","",posicao_contratual!W49)</f>
        <v/>
      </c>
      <c r="AN49" s="181" t="str">
        <f>IF(A49="","",posicao_contratual!X49)</f>
        <v/>
      </c>
    </row>
    <row r="50" spans="1:40" x14ac:dyDescent="0.35">
      <c r="A50" s="106"/>
      <c r="B50" s="107"/>
      <c r="C50" s="108"/>
      <c r="D50" s="104" t="str">
        <f>IF(AND(A50="",A49&lt;&gt;"",COUNTIF(A51:$A$200,"&lt;&gt;")=0),ROUND(SUMIF($A$2:A49,"&lt;&gt;",$D$2:D49),2),IF(OR(A50="",B50="",C50=""),"",ROUND(B50*C50,2)))</f>
        <v/>
      </c>
      <c r="E50" s="109"/>
      <c r="F50" s="104" t="str">
        <f>IF(AND(A50="",A49&lt;&gt;"",COUNTIF(A51:$A$200,"&lt;&gt;")=0),ROUND(SUMIF($A$2:A49,"&lt;&gt;",$F$2:F49),2),IF(OR(A50="",posicao_contratual!K50="",C50="",NOT(ISNUMBER($Z$3))),"",ROUND(posicao_contratual!K50*C50*$Z$3,2)))</f>
        <v/>
      </c>
      <c r="G50" s="109"/>
      <c r="H50" s="104" t="str">
        <f>IF(AND(A50="",A49&lt;&gt;"",COUNTIF(A51:$A$200,"&lt;&gt;")=0),ROUND(SUMIF($A$2:A49,"&lt;&gt;",$H$2:H49),2),IF(OR(A50="",posicao_contratual!O50="",C50="",NOT(ISNUMBER($Z$4))),"",ROUND(posicao_contratual!O50*C50*$Z$4,2)))</f>
        <v/>
      </c>
      <c r="I50" s="109"/>
      <c r="J50" s="104" t="str">
        <f>IF(AND(A50="",A49&lt;&gt;"",COUNTIF(A51:$A$200,"&lt;&gt;")=0),ROUND(SUMIF($A$2:A49,"&lt;&gt;",$J$2:J49),2),IF(OR(A50="",posicao_contratual!S50="",C50="",NOT(ISNUMBER($Z$5))),"",ROUND(posicao_contratual!S50*C50*$Z$5,2)))</f>
        <v/>
      </c>
      <c r="K50" s="109"/>
      <c r="L50" s="104" t="str">
        <f>IF(AND(A50="",A49&lt;&gt;"",COUNTIF(A51:$A$200,"&lt;&gt;")=0),ROUND(SUMIF($A$2:A49,"&lt;&gt;",$L$2:L49),2),IF(OR(A50="",posicao_contratual!W50="",C50="",NOT(ISNUMBER($Z$6))),"",ROUND(posicao_contratual!W50*C50*$Z$6,2)))</f>
        <v/>
      </c>
      <c r="M50" s="110" t="str">
        <f>IF(OR(posicao_contratual!J50="",posicao_contratual!N50=""),"",ROUND(MAX(posicao_contratual!J50+posicao_contratual!H50-posicao_contratual!N50,0),2))</f>
        <v/>
      </c>
      <c r="N50" s="104" t="str">
        <f>IF(AND(A50="",A49&lt;&gt;"",COUNTIF(A51:$A$200,"&lt;&gt;")=0),ROUND(SUMIF($A$2:A49,"&lt;&gt;",$N$2:N49),2),IF(OR(M50="",C50="",NOT(ISNUMBER($Z$3))),"",ROUND(M50*C50*$Z$3,2)))</f>
        <v/>
      </c>
      <c r="O50" s="110" t="str">
        <f>IF(OR(posicao_contratual!N50="",posicao_contratual!R50=""),"",ROUND(MAX(posicao_contratual!N50+posicao_contratual!L50-posicao_contratual!R50,0),2))</f>
        <v/>
      </c>
      <c r="P50" s="104" t="str">
        <f>IF(AND(A50="",A49&lt;&gt;"",COUNTIF(A51:$A$200,"&lt;&gt;")=0),ROUND(SUMIF($A$2:A49,"&lt;&gt;",$P$2:P49),2),IF(OR(O50="",C50="",NOT(ISNUMBER($Z$4))),"",ROUND(O50*C50*$Z$4,2)))</f>
        <v/>
      </c>
      <c r="Q50" s="110" t="str">
        <f>IF(OR(posicao_contratual!R50="",posicao_contratual!V50=""),"",ROUND(MAX(posicao_contratual!R50+posicao_contratual!P50-posicao_contratual!V50,0),2))</f>
        <v/>
      </c>
      <c r="R50" s="104" t="str">
        <f>IF(AND(A50="",A49&lt;&gt;"",COUNTIF(A51:$A$200,"&lt;&gt;")=0),ROUND(SUMIF($A$2:A49,"&lt;&gt;",$R$2:R49),2),IF(OR(Q50="",C50="",NOT(ISNUMBER($Z$5))),"",ROUND(Q50*C50*$Z$5,2)))</f>
        <v/>
      </c>
      <c r="S50" s="24"/>
      <c r="T50" s="25"/>
      <c r="U50" s="111" t="str">
        <f>IF(AND(A50="",A49&lt;&gt;"",COUNTIF(A51:$A$200,"&lt;&gt;")=0),"TOTAL",IF(A50="","",posicao_contratual!X50))</f>
        <v/>
      </c>
      <c r="V50" s="111" t="str">
        <f>IF(A50="","",posicao_contratual!X50)</f>
        <v/>
      </c>
      <c r="W50" s="16"/>
      <c r="X50" s="16"/>
      <c r="Y50" s="16"/>
      <c r="Z50" s="15"/>
      <c r="AA50" s="15"/>
      <c r="AB50" s="110" t="str">
        <f>IF(OR(A50="",posicao_contratual!E50="",posicao_contratual!J50=""),"",ROUND(MAX(posicao_contratual!E50-posicao_contratual!J50,0),2))</f>
        <v/>
      </c>
      <c r="AC50" s="104" t="str">
        <f>IF(AND(A50="",A49&lt;&gt;"",COUNTIF(A51:$A$200,"&lt;&gt;")=0),ROUND(SUMIF($A$2:A49,"&lt;&gt;",$AC$2:AC49),2),IF(OR(AB50="",C50="",NOT(ISNUMBER($Z$2))),"",ROUND(AB50*C50*$Z$2,2)))</f>
        <v/>
      </c>
      <c r="AD50" s="180" t="str">
        <f>IF(A50="","",posicao_contratual!E50)</f>
        <v/>
      </c>
      <c r="AE50" s="180" t="str">
        <f>IF(A50="","",posicao_contratual!I50)</f>
        <v/>
      </c>
      <c r="AF50" s="180" t="str">
        <f>IF(A50="","",posicao_contratual!M50)</f>
        <v/>
      </c>
      <c r="AG50" s="180" t="str">
        <f>IF(A50="","",posicao_contratual!Q50)</f>
        <v/>
      </c>
      <c r="AH50" s="180" t="str">
        <f>IF(A50="","",posicao_contratual!U50)</f>
        <v/>
      </c>
      <c r="AI50" s="180" t="str">
        <f>IF(A50="","",posicao_contratual!G50)</f>
        <v/>
      </c>
      <c r="AJ50" s="180" t="str">
        <f>IF(A50="","",posicao_contratual!K50)</f>
        <v/>
      </c>
      <c r="AK50" s="180" t="str">
        <f>IF(A50="","",posicao_contratual!O50)</f>
        <v/>
      </c>
      <c r="AL50" s="180" t="str">
        <f>IF(A50="","",posicao_contratual!S50)</f>
        <v/>
      </c>
      <c r="AM50" s="180" t="str">
        <f>IF(A50="","",posicao_contratual!W50)</f>
        <v/>
      </c>
      <c r="AN50" s="181" t="str">
        <f>IF(A50="","",posicao_contratual!X50)</f>
        <v/>
      </c>
    </row>
    <row r="51" spans="1:40" x14ac:dyDescent="0.35">
      <c r="A51" s="106"/>
      <c r="B51" s="107"/>
      <c r="C51" s="108"/>
      <c r="D51" s="104" t="str">
        <f>IF(AND(A51="",A50&lt;&gt;"",COUNTIF(A52:$A$200,"&lt;&gt;")=0),ROUND(SUMIF($A$2:A50,"&lt;&gt;",$D$2:D50),2),IF(OR(A51="",B51="",C51=""),"",ROUND(B51*C51,2)))</f>
        <v/>
      </c>
      <c r="E51" s="109"/>
      <c r="F51" s="104" t="str">
        <f>IF(AND(A51="",A50&lt;&gt;"",COUNTIF(A52:$A$200,"&lt;&gt;")=0),ROUND(SUMIF($A$2:A50,"&lt;&gt;",$F$2:F50),2),IF(OR(A51="",posicao_contratual!K51="",C51="",NOT(ISNUMBER($Z$3))),"",ROUND(posicao_contratual!K51*C51*$Z$3,2)))</f>
        <v/>
      </c>
      <c r="G51" s="109"/>
      <c r="H51" s="104" t="str">
        <f>IF(AND(A51="",A50&lt;&gt;"",COUNTIF(A52:$A$200,"&lt;&gt;")=0),ROUND(SUMIF($A$2:A50,"&lt;&gt;",$H$2:H50),2),IF(OR(A51="",posicao_contratual!O51="",C51="",NOT(ISNUMBER($Z$4))),"",ROUND(posicao_contratual!O51*C51*$Z$4,2)))</f>
        <v/>
      </c>
      <c r="I51" s="109"/>
      <c r="J51" s="104" t="str">
        <f>IF(AND(A51="",A50&lt;&gt;"",COUNTIF(A52:$A$200,"&lt;&gt;")=0),ROUND(SUMIF($A$2:A50,"&lt;&gt;",$J$2:J50),2),IF(OR(A51="",posicao_contratual!S51="",C51="",NOT(ISNUMBER($Z$5))),"",ROUND(posicao_contratual!S51*C51*$Z$5,2)))</f>
        <v/>
      </c>
      <c r="K51" s="109"/>
      <c r="L51" s="104" t="str">
        <f>IF(AND(A51="",A50&lt;&gt;"",COUNTIF(A52:$A$200,"&lt;&gt;")=0),ROUND(SUMIF($A$2:A50,"&lt;&gt;",$L$2:L50),2),IF(OR(A51="",posicao_contratual!W51="",C51="",NOT(ISNUMBER($Z$6))),"",ROUND(posicao_contratual!W51*C51*$Z$6,2)))</f>
        <v/>
      </c>
      <c r="M51" s="110" t="str">
        <f>IF(OR(posicao_contratual!J51="",posicao_contratual!N51=""),"",ROUND(MAX(posicao_contratual!J51+posicao_contratual!H51-posicao_contratual!N51,0),2))</f>
        <v/>
      </c>
      <c r="N51" s="104" t="str">
        <f>IF(AND(A51="",A50&lt;&gt;"",COUNTIF(A52:$A$200,"&lt;&gt;")=0),ROUND(SUMIF($A$2:A50,"&lt;&gt;",$N$2:N50),2),IF(OR(M51="",C51="",NOT(ISNUMBER($Z$3))),"",ROUND(M51*C51*$Z$3,2)))</f>
        <v/>
      </c>
      <c r="O51" s="110" t="str">
        <f>IF(OR(posicao_contratual!N51="",posicao_contratual!R51=""),"",ROUND(MAX(posicao_contratual!N51+posicao_contratual!L51-posicao_contratual!R51,0),2))</f>
        <v/>
      </c>
      <c r="P51" s="104" t="str">
        <f>IF(AND(A51="",A50&lt;&gt;"",COUNTIF(A52:$A$200,"&lt;&gt;")=0),ROUND(SUMIF($A$2:A50,"&lt;&gt;",$P$2:P50),2),IF(OR(O51="",C51="",NOT(ISNUMBER($Z$4))),"",ROUND(O51*C51*$Z$4,2)))</f>
        <v/>
      </c>
      <c r="Q51" s="110" t="str">
        <f>IF(OR(posicao_contratual!R51="",posicao_contratual!V51=""),"",ROUND(MAX(posicao_contratual!R51+posicao_contratual!P51-posicao_contratual!V51,0),2))</f>
        <v/>
      </c>
      <c r="R51" s="104" t="str">
        <f>IF(AND(A51="",A50&lt;&gt;"",COUNTIF(A52:$A$200,"&lt;&gt;")=0),ROUND(SUMIF($A$2:A50,"&lt;&gt;",$R$2:R50),2),IF(OR(Q51="",C51="",NOT(ISNUMBER($Z$5))),"",ROUND(Q51*C51*$Z$5,2)))</f>
        <v/>
      </c>
      <c r="S51" s="24"/>
      <c r="T51" s="25"/>
      <c r="U51" s="111" t="str">
        <f>IF(AND(A51="",A50&lt;&gt;"",COUNTIF(A52:$A$200,"&lt;&gt;")=0),"TOTAL",IF(A51="","",posicao_contratual!X51))</f>
        <v/>
      </c>
      <c r="V51" s="111" t="str">
        <f>IF(A51="","",posicao_contratual!X51)</f>
        <v/>
      </c>
      <c r="W51" s="16"/>
      <c r="X51" s="16"/>
      <c r="Y51" s="16"/>
      <c r="Z51" s="15"/>
      <c r="AA51" s="15"/>
      <c r="AB51" s="110" t="str">
        <f>IF(OR(A51="",posicao_contratual!E51="",posicao_contratual!J51=""),"",ROUND(MAX(posicao_contratual!E51-posicao_contratual!J51,0),2))</f>
        <v/>
      </c>
      <c r="AC51" s="104" t="str">
        <f>IF(AND(A51="",A50&lt;&gt;"",COUNTIF(A52:$A$200,"&lt;&gt;")=0),ROUND(SUMIF($A$2:A50,"&lt;&gt;",$AC$2:AC50),2),IF(OR(AB51="",C51="",NOT(ISNUMBER($Z$2))),"",ROUND(AB51*C51*$Z$2,2)))</f>
        <v/>
      </c>
      <c r="AD51" s="180" t="str">
        <f>IF(A51="","",posicao_contratual!E51)</f>
        <v/>
      </c>
      <c r="AE51" s="180" t="str">
        <f>IF(A51="","",posicao_contratual!I51)</f>
        <v/>
      </c>
      <c r="AF51" s="180" t="str">
        <f>IF(A51="","",posicao_contratual!M51)</f>
        <v/>
      </c>
      <c r="AG51" s="180" t="str">
        <f>IF(A51="","",posicao_contratual!Q51)</f>
        <v/>
      </c>
      <c r="AH51" s="180" t="str">
        <f>IF(A51="","",posicao_contratual!U51)</f>
        <v/>
      </c>
      <c r="AI51" s="180" t="str">
        <f>IF(A51="","",posicao_contratual!G51)</f>
        <v/>
      </c>
      <c r="AJ51" s="180" t="str">
        <f>IF(A51="","",posicao_contratual!K51)</f>
        <v/>
      </c>
      <c r="AK51" s="180" t="str">
        <f>IF(A51="","",posicao_contratual!O51)</f>
        <v/>
      </c>
      <c r="AL51" s="180" t="str">
        <f>IF(A51="","",posicao_contratual!S51)</f>
        <v/>
      </c>
      <c r="AM51" s="180" t="str">
        <f>IF(A51="","",posicao_contratual!W51)</f>
        <v/>
      </c>
      <c r="AN51" s="181" t="str">
        <f>IF(A51="","",posicao_contratual!X51)</f>
        <v/>
      </c>
    </row>
    <row r="52" spans="1:40" x14ac:dyDescent="0.35">
      <c r="A52" s="106"/>
      <c r="B52" s="107"/>
      <c r="C52" s="108"/>
      <c r="D52" s="104" t="str">
        <f>IF(AND(A52="",A51&lt;&gt;"",COUNTIF(A53:$A$200,"&lt;&gt;")=0),ROUND(SUMIF($A$2:A51,"&lt;&gt;",$D$2:D51),2),IF(OR(A52="",B52="",C52=""),"",ROUND(B52*C52,2)))</f>
        <v/>
      </c>
      <c r="E52" s="109"/>
      <c r="F52" s="104" t="str">
        <f>IF(AND(A52="",A51&lt;&gt;"",COUNTIF(A53:$A$200,"&lt;&gt;")=0),ROUND(SUMIF($A$2:A51,"&lt;&gt;",$F$2:F51),2),IF(OR(A52="",posicao_contratual!K52="",C52="",NOT(ISNUMBER($Z$3))),"",ROUND(posicao_contratual!K52*C52*$Z$3,2)))</f>
        <v/>
      </c>
      <c r="G52" s="109"/>
      <c r="H52" s="104" t="str">
        <f>IF(AND(A52="",A51&lt;&gt;"",COUNTIF(A53:$A$200,"&lt;&gt;")=0),ROUND(SUMIF($A$2:A51,"&lt;&gt;",$H$2:H51),2),IF(OR(A52="",posicao_contratual!O52="",C52="",NOT(ISNUMBER($Z$4))),"",ROUND(posicao_contratual!O52*C52*$Z$4,2)))</f>
        <v/>
      </c>
      <c r="I52" s="109"/>
      <c r="J52" s="104" t="str">
        <f>IF(AND(A52="",A51&lt;&gt;"",COUNTIF(A53:$A$200,"&lt;&gt;")=0),ROUND(SUMIF($A$2:A51,"&lt;&gt;",$J$2:J51),2),IF(OR(A52="",posicao_contratual!S52="",C52="",NOT(ISNUMBER($Z$5))),"",ROUND(posicao_contratual!S52*C52*$Z$5,2)))</f>
        <v/>
      </c>
      <c r="K52" s="109"/>
      <c r="L52" s="104" t="str">
        <f>IF(AND(A52="",A51&lt;&gt;"",COUNTIF(A53:$A$200,"&lt;&gt;")=0),ROUND(SUMIF($A$2:A51,"&lt;&gt;",$L$2:L51),2),IF(OR(A52="",posicao_contratual!W52="",C52="",NOT(ISNUMBER($Z$6))),"",ROUND(posicao_contratual!W52*C52*$Z$6,2)))</f>
        <v/>
      </c>
      <c r="M52" s="110" t="str">
        <f>IF(OR(posicao_contratual!J52="",posicao_contratual!N52=""),"",ROUND(MAX(posicao_contratual!J52+posicao_contratual!H52-posicao_contratual!N52,0),2))</f>
        <v/>
      </c>
      <c r="N52" s="104" t="str">
        <f>IF(AND(A52="",A51&lt;&gt;"",COUNTIF(A53:$A$200,"&lt;&gt;")=0),ROUND(SUMIF($A$2:A51,"&lt;&gt;",$N$2:N51),2),IF(OR(M52="",C52="",NOT(ISNUMBER($Z$3))),"",ROUND(M52*C52*$Z$3,2)))</f>
        <v/>
      </c>
      <c r="O52" s="110" t="str">
        <f>IF(OR(posicao_contratual!N52="",posicao_contratual!R52=""),"",ROUND(MAX(posicao_contratual!N52+posicao_contratual!L52-posicao_contratual!R52,0),2))</f>
        <v/>
      </c>
      <c r="P52" s="104" t="str">
        <f>IF(AND(A52="",A51&lt;&gt;"",COUNTIF(A53:$A$200,"&lt;&gt;")=0),ROUND(SUMIF($A$2:A51,"&lt;&gt;",$P$2:P51),2),IF(OR(O52="",C52="",NOT(ISNUMBER($Z$4))),"",ROUND(O52*C52*$Z$4,2)))</f>
        <v/>
      </c>
      <c r="Q52" s="110" t="str">
        <f>IF(OR(posicao_contratual!R52="",posicao_contratual!V52=""),"",ROUND(MAX(posicao_contratual!R52+posicao_contratual!P52-posicao_contratual!V52,0),2))</f>
        <v/>
      </c>
      <c r="R52" s="104" t="str">
        <f>IF(AND(A52="",A51&lt;&gt;"",COUNTIF(A53:$A$200,"&lt;&gt;")=0),ROUND(SUMIF($A$2:A51,"&lt;&gt;",$R$2:R51),2),IF(OR(Q52="",C52="",NOT(ISNUMBER($Z$5))),"",ROUND(Q52*C52*$Z$5,2)))</f>
        <v/>
      </c>
      <c r="S52" s="24"/>
      <c r="T52" s="25"/>
      <c r="U52" s="111" t="str">
        <f>IF(AND(A52="",A51&lt;&gt;"",COUNTIF(A53:$A$200,"&lt;&gt;")=0),"TOTAL",IF(A52="","",posicao_contratual!X52))</f>
        <v/>
      </c>
      <c r="V52" s="111" t="str">
        <f>IF(A52="","",posicao_contratual!X52)</f>
        <v/>
      </c>
      <c r="W52" s="16"/>
      <c r="X52" s="16"/>
      <c r="Y52" s="16"/>
      <c r="Z52" s="15"/>
      <c r="AA52" s="15"/>
      <c r="AB52" s="110" t="str">
        <f>IF(OR(A52="",posicao_contratual!E52="",posicao_contratual!J52=""),"",ROUND(MAX(posicao_contratual!E52-posicao_contratual!J52,0),2))</f>
        <v/>
      </c>
      <c r="AC52" s="104" t="str">
        <f>IF(AND(A52="",A51&lt;&gt;"",COUNTIF(A53:$A$200,"&lt;&gt;")=0),ROUND(SUMIF($A$2:A51,"&lt;&gt;",$AC$2:AC51),2),IF(OR(AB52="",C52="",NOT(ISNUMBER($Z$2))),"",ROUND(AB52*C52*$Z$2,2)))</f>
        <v/>
      </c>
      <c r="AD52" s="180" t="str">
        <f>IF(A52="","",posicao_contratual!E52)</f>
        <v/>
      </c>
      <c r="AE52" s="180" t="str">
        <f>IF(A52="","",posicao_contratual!I52)</f>
        <v/>
      </c>
      <c r="AF52" s="180" t="str">
        <f>IF(A52="","",posicao_contratual!M52)</f>
        <v/>
      </c>
      <c r="AG52" s="180" t="str">
        <f>IF(A52="","",posicao_contratual!Q52)</f>
        <v/>
      </c>
      <c r="AH52" s="180" t="str">
        <f>IF(A52="","",posicao_contratual!U52)</f>
        <v/>
      </c>
      <c r="AI52" s="180" t="str">
        <f>IF(A52="","",posicao_contratual!G52)</f>
        <v/>
      </c>
      <c r="AJ52" s="180" t="str">
        <f>IF(A52="","",posicao_contratual!K52)</f>
        <v/>
      </c>
      <c r="AK52" s="180" t="str">
        <f>IF(A52="","",posicao_contratual!O52)</f>
        <v/>
      </c>
      <c r="AL52" s="180" t="str">
        <f>IF(A52="","",posicao_contratual!S52)</f>
        <v/>
      </c>
      <c r="AM52" s="180" t="str">
        <f>IF(A52="","",posicao_contratual!W52)</f>
        <v/>
      </c>
      <c r="AN52" s="181" t="str">
        <f>IF(A52="","",posicao_contratual!X52)</f>
        <v/>
      </c>
    </row>
    <row r="53" spans="1:40" x14ac:dyDescent="0.35">
      <c r="A53" s="106"/>
      <c r="B53" s="107"/>
      <c r="C53" s="108"/>
      <c r="D53" s="104" t="str">
        <f>IF(AND(A53="",A52&lt;&gt;"",COUNTIF(A54:$A$200,"&lt;&gt;")=0),ROUND(SUMIF($A$2:A52,"&lt;&gt;",$D$2:D52),2),IF(OR(A53="",B53="",C53=""),"",ROUND(B53*C53,2)))</f>
        <v/>
      </c>
      <c r="E53" s="109"/>
      <c r="F53" s="104" t="str">
        <f>IF(AND(A53="",A52&lt;&gt;"",COUNTIF(A54:$A$200,"&lt;&gt;")=0),ROUND(SUMIF($A$2:A52,"&lt;&gt;",$F$2:F52),2),IF(OR(A53="",posicao_contratual!K53="",C53="",NOT(ISNUMBER($Z$3))),"",ROUND(posicao_contratual!K53*C53*$Z$3,2)))</f>
        <v/>
      </c>
      <c r="G53" s="109"/>
      <c r="H53" s="104" t="str">
        <f>IF(AND(A53="",A52&lt;&gt;"",COUNTIF(A54:$A$200,"&lt;&gt;")=0),ROUND(SUMIF($A$2:A52,"&lt;&gt;",$H$2:H52),2),IF(OR(A53="",posicao_contratual!O53="",C53="",NOT(ISNUMBER($Z$4))),"",ROUND(posicao_contratual!O53*C53*$Z$4,2)))</f>
        <v/>
      </c>
      <c r="I53" s="109"/>
      <c r="J53" s="104" t="str">
        <f>IF(AND(A53="",A52&lt;&gt;"",COUNTIF(A54:$A$200,"&lt;&gt;")=0),ROUND(SUMIF($A$2:A52,"&lt;&gt;",$J$2:J52),2),IF(OR(A53="",posicao_contratual!S53="",C53="",NOT(ISNUMBER($Z$5))),"",ROUND(posicao_contratual!S53*C53*$Z$5,2)))</f>
        <v/>
      </c>
      <c r="K53" s="109"/>
      <c r="L53" s="104" t="str">
        <f>IF(AND(A53="",A52&lt;&gt;"",COUNTIF(A54:$A$200,"&lt;&gt;")=0),ROUND(SUMIF($A$2:A52,"&lt;&gt;",$L$2:L52),2),IF(OR(A53="",posicao_contratual!W53="",C53="",NOT(ISNUMBER($Z$6))),"",ROUND(posicao_contratual!W53*C53*$Z$6,2)))</f>
        <v/>
      </c>
      <c r="M53" s="110" t="str">
        <f>IF(OR(posicao_contratual!J53="",posicao_contratual!N53=""),"",ROUND(MAX(posicao_contratual!J53+posicao_contratual!H53-posicao_contratual!N53,0),2))</f>
        <v/>
      </c>
      <c r="N53" s="104" t="str">
        <f>IF(AND(A53="",A52&lt;&gt;"",COUNTIF(A54:$A$200,"&lt;&gt;")=0),ROUND(SUMIF($A$2:A52,"&lt;&gt;",$N$2:N52),2),IF(OR(M53="",C53="",NOT(ISNUMBER($Z$3))),"",ROUND(M53*C53*$Z$3,2)))</f>
        <v/>
      </c>
      <c r="O53" s="110" t="str">
        <f>IF(OR(posicao_contratual!N53="",posicao_contratual!R53=""),"",ROUND(MAX(posicao_contratual!N53+posicao_contratual!L53-posicao_contratual!R53,0),2))</f>
        <v/>
      </c>
      <c r="P53" s="104" t="str">
        <f>IF(AND(A53="",A52&lt;&gt;"",COUNTIF(A54:$A$200,"&lt;&gt;")=0),ROUND(SUMIF($A$2:A52,"&lt;&gt;",$P$2:P52),2),IF(OR(O53="",C53="",NOT(ISNUMBER($Z$4))),"",ROUND(O53*C53*$Z$4,2)))</f>
        <v/>
      </c>
      <c r="Q53" s="110" t="str">
        <f>IF(OR(posicao_contratual!R53="",posicao_contratual!V53=""),"",ROUND(MAX(posicao_contratual!R53+posicao_contratual!P53-posicao_contratual!V53,0),2))</f>
        <v/>
      </c>
      <c r="R53" s="104" t="str">
        <f>IF(AND(A53="",A52&lt;&gt;"",COUNTIF(A54:$A$200,"&lt;&gt;")=0),ROUND(SUMIF($A$2:A52,"&lt;&gt;",$R$2:R52),2),IF(OR(Q53="",C53="",NOT(ISNUMBER($Z$5))),"",ROUND(Q53*C53*$Z$5,2)))</f>
        <v/>
      </c>
      <c r="S53" s="24"/>
      <c r="T53" s="25"/>
      <c r="U53" s="111" t="str">
        <f>IF(AND(A53="",A52&lt;&gt;"",COUNTIF(A54:$A$200,"&lt;&gt;")=0),"TOTAL",IF(A53="","",posicao_contratual!X53))</f>
        <v/>
      </c>
      <c r="V53" s="111" t="str">
        <f>IF(A53="","",posicao_contratual!X53)</f>
        <v/>
      </c>
      <c r="W53" s="16"/>
      <c r="X53" s="16"/>
      <c r="Y53" s="16"/>
      <c r="Z53" s="15"/>
      <c r="AA53" s="15"/>
      <c r="AB53" s="110" t="str">
        <f>IF(OR(A53="",posicao_contratual!E53="",posicao_contratual!J53=""),"",ROUND(MAX(posicao_contratual!E53-posicao_contratual!J53,0),2))</f>
        <v/>
      </c>
      <c r="AC53" s="104" t="str">
        <f>IF(AND(A53="",A52&lt;&gt;"",COUNTIF(A54:$A$200,"&lt;&gt;")=0),ROUND(SUMIF($A$2:A52,"&lt;&gt;",$AC$2:AC52),2),IF(OR(AB53="",C53="",NOT(ISNUMBER($Z$2))),"",ROUND(AB53*C53*$Z$2,2)))</f>
        <v/>
      </c>
      <c r="AD53" s="180" t="str">
        <f>IF(A53="","",posicao_contratual!E53)</f>
        <v/>
      </c>
      <c r="AE53" s="180" t="str">
        <f>IF(A53="","",posicao_contratual!I53)</f>
        <v/>
      </c>
      <c r="AF53" s="180" t="str">
        <f>IF(A53="","",posicao_contratual!M53)</f>
        <v/>
      </c>
      <c r="AG53" s="180" t="str">
        <f>IF(A53="","",posicao_contratual!Q53)</f>
        <v/>
      </c>
      <c r="AH53" s="180" t="str">
        <f>IF(A53="","",posicao_contratual!U53)</f>
        <v/>
      </c>
      <c r="AI53" s="180" t="str">
        <f>IF(A53="","",posicao_contratual!G53)</f>
        <v/>
      </c>
      <c r="AJ53" s="180" t="str">
        <f>IF(A53="","",posicao_contratual!K53)</f>
        <v/>
      </c>
      <c r="AK53" s="180" t="str">
        <f>IF(A53="","",posicao_contratual!O53)</f>
        <v/>
      </c>
      <c r="AL53" s="180" t="str">
        <f>IF(A53="","",posicao_contratual!S53)</f>
        <v/>
      </c>
      <c r="AM53" s="180" t="str">
        <f>IF(A53="","",posicao_contratual!W53)</f>
        <v/>
      </c>
      <c r="AN53" s="181" t="str">
        <f>IF(A53="","",posicao_contratual!X53)</f>
        <v/>
      </c>
    </row>
    <row r="54" spans="1:40" x14ac:dyDescent="0.35">
      <c r="A54" s="106"/>
      <c r="B54" s="107"/>
      <c r="C54" s="108"/>
      <c r="D54" s="104" t="str">
        <f>IF(AND(A54="",A53&lt;&gt;"",COUNTIF(A55:$A$200,"&lt;&gt;")=0),ROUND(SUMIF($A$2:A53,"&lt;&gt;",$D$2:D53),2),IF(OR(A54="",B54="",C54=""),"",ROUND(B54*C54,2)))</f>
        <v/>
      </c>
      <c r="E54" s="109"/>
      <c r="F54" s="104" t="str">
        <f>IF(AND(A54="",A53&lt;&gt;"",COUNTIF(A55:$A$200,"&lt;&gt;")=0),ROUND(SUMIF($A$2:A53,"&lt;&gt;",$F$2:F53),2),IF(OR(A54="",posicao_contratual!K54="",C54="",NOT(ISNUMBER($Z$3))),"",ROUND(posicao_contratual!K54*C54*$Z$3,2)))</f>
        <v/>
      </c>
      <c r="G54" s="109"/>
      <c r="H54" s="104" t="str">
        <f>IF(AND(A54="",A53&lt;&gt;"",COUNTIF(A55:$A$200,"&lt;&gt;")=0),ROUND(SUMIF($A$2:A53,"&lt;&gt;",$H$2:H53),2),IF(OR(A54="",posicao_contratual!O54="",C54="",NOT(ISNUMBER($Z$4))),"",ROUND(posicao_contratual!O54*C54*$Z$4,2)))</f>
        <v/>
      </c>
      <c r="I54" s="109"/>
      <c r="J54" s="104" t="str">
        <f>IF(AND(A54="",A53&lt;&gt;"",COUNTIF(A55:$A$200,"&lt;&gt;")=0),ROUND(SUMIF($A$2:A53,"&lt;&gt;",$J$2:J53),2),IF(OR(A54="",posicao_contratual!S54="",C54="",NOT(ISNUMBER($Z$5))),"",ROUND(posicao_contratual!S54*C54*$Z$5,2)))</f>
        <v/>
      </c>
      <c r="K54" s="109"/>
      <c r="L54" s="104" t="str">
        <f>IF(AND(A54="",A53&lt;&gt;"",COUNTIF(A55:$A$200,"&lt;&gt;")=0),ROUND(SUMIF($A$2:A53,"&lt;&gt;",$L$2:L53),2),IF(OR(A54="",posicao_contratual!W54="",C54="",NOT(ISNUMBER($Z$6))),"",ROUND(posicao_contratual!W54*C54*$Z$6,2)))</f>
        <v/>
      </c>
      <c r="M54" s="110" t="str">
        <f>IF(OR(posicao_contratual!J54="",posicao_contratual!N54=""),"",ROUND(MAX(posicao_contratual!J54+posicao_contratual!H54-posicao_contratual!N54,0),2))</f>
        <v/>
      </c>
      <c r="N54" s="104" t="str">
        <f>IF(AND(A54="",A53&lt;&gt;"",COUNTIF(A55:$A$200,"&lt;&gt;")=0),ROUND(SUMIF($A$2:A53,"&lt;&gt;",$N$2:N53),2),IF(OR(M54="",C54="",NOT(ISNUMBER($Z$3))),"",ROUND(M54*C54*$Z$3,2)))</f>
        <v/>
      </c>
      <c r="O54" s="110" t="str">
        <f>IF(OR(posicao_contratual!N54="",posicao_contratual!R54=""),"",ROUND(MAX(posicao_contratual!N54+posicao_contratual!L54-posicao_contratual!R54,0),2))</f>
        <v/>
      </c>
      <c r="P54" s="104" t="str">
        <f>IF(AND(A54="",A53&lt;&gt;"",COUNTIF(A55:$A$200,"&lt;&gt;")=0),ROUND(SUMIF($A$2:A53,"&lt;&gt;",$P$2:P53),2),IF(OR(O54="",C54="",NOT(ISNUMBER($Z$4))),"",ROUND(O54*C54*$Z$4,2)))</f>
        <v/>
      </c>
      <c r="Q54" s="110" t="str">
        <f>IF(OR(posicao_contratual!R54="",posicao_contratual!V54=""),"",ROUND(MAX(posicao_contratual!R54+posicao_contratual!P54-posicao_contratual!V54,0),2))</f>
        <v/>
      </c>
      <c r="R54" s="104" t="str">
        <f>IF(AND(A54="",A53&lt;&gt;"",COUNTIF(A55:$A$200,"&lt;&gt;")=0),ROUND(SUMIF($A$2:A53,"&lt;&gt;",$R$2:R53),2),IF(OR(Q54="",C54="",NOT(ISNUMBER($Z$5))),"",ROUND(Q54*C54*$Z$5,2)))</f>
        <v/>
      </c>
      <c r="S54" s="24"/>
      <c r="T54" s="25"/>
      <c r="U54" s="111" t="str">
        <f>IF(AND(A54="",A53&lt;&gt;"",COUNTIF(A55:$A$200,"&lt;&gt;")=0),"TOTAL",IF(A54="","",posicao_contratual!X54))</f>
        <v/>
      </c>
      <c r="V54" s="111" t="str">
        <f>IF(A54="","",posicao_contratual!X54)</f>
        <v/>
      </c>
      <c r="W54" s="16"/>
      <c r="X54" s="16"/>
      <c r="Y54" s="16"/>
      <c r="Z54" s="15"/>
      <c r="AA54" s="15"/>
      <c r="AB54" s="110" t="str">
        <f>IF(OR(A54="",posicao_contratual!E54="",posicao_contratual!J54=""),"",ROUND(MAX(posicao_contratual!E54-posicao_contratual!J54,0),2))</f>
        <v/>
      </c>
      <c r="AC54" s="104" t="str">
        <f>IF(AND(A54="",A53&lt;&gt;"",COUNTIF(A55:$A$200,"&lt;&gt;")=0),ROUND(SUMIF($A$2:A53,"&lt;&gt;",$AC$2:AC53),2),IF(OR(AB54="",C54="",NOT(ISNUMBER($Z$2))),"",ROUND(AB54*C54*$Z$2,2)))</f>
        <v/>
      </c>
      <c r="AD54" s="180" t="str">
        <f>IF(A54="","",posicao_contratual!E54)</f>
        <v/>
      </c>
      <c r="AE54" s="180" t="str">
        <f>IF(A54="","",posicao_contratual!I54)</f>
        <v/>
      </c>
      <c r="AF54" s="180" t="str">
        <f>IF(A54="","",posicao_contratual!M54)</f>
        <v/>
      </c>
      <c r="AG54" s="180" t="str">
        <f>IF(A54="","",posicao_contratual!Q54)</f>
        <v/>
      </c>
      <c r="AH54" s="180" t="str">
        <f>IF(A54="","",posicao_contratual!U54)</f>
        <v/>
      </c>
      <c r="AI54" s="180" t="str">
        <f>IF(A54="","",posicao_contratual!G54)</f>
        <v/>
      </c>
      <c r="AJ54" s="180" t="str">
        <f>IF(A54="","",posicao_contratual!K54)</f>
        <v/>
      </c>
      <c r="AK54" s="180" t="str">
        <f>IF(A54="","",posicao_contratual!O54)</f>
        <v/>
      </c>
      <c r="AL54" s="180" t="str">
        <f>IF(A54="","",posicao_contratual!S54)</f>
        <v/>
      </c>
      <c r="AM54" s="180" t="str">
        <f>IF(A54="","",posicao_contratual!W54)</f>
        <v/>
      </c>
      <c r="AN54" s="181" t="str">
        <f>IF(A54="","",posicao_contratual!X54)</f>
        <v/>
      </c>
    </row>
    <row r="55" spans="1:40" x14ac:dyDescent="0.35">
      <c r="A55" s="106"/>
      <c r="B55" s="107"/>
      <c r="C55" s="108"/>
      <c r="D55" s="104" t="str">
        <f>IF(AND(A55="",A54&lt;&gt;"",COUNTIF(A56:$A$200,"&lt;&gt;")=0),ROUND(SUMIF($A$2:A54,"&lt;&gt;",$D$2:D54),2),IF(OR(A55="",B55="",C55=""),"",ROUND(B55*C55,2)))</f>
        <v/>
      </c>
      <c r="E55" s="109"/>
      <c r="F55" s="104" t="str">
        <f>IF(AND(A55="",A54&lt;&gt;"",COUNTIF(A56:$A$200,"&lt;&gt;")=0),ROUND(SUMIF($A$2:A54,"&lt;&gt;",$F$2:F54),2),IF(OR(A55="",posicao_contratual!K55="",C55="",NOT(ISNUMBER($Z$3))),"",ROUND(posicao_contratual!K55*C55*$Z$3,2)))</f>
        <v/>
      </c>
      <c r="G55" s="109"/>
      <c r="H55" s="104" t="str">
        <f>IF(AND(A55="",A54&lt;&gt;"",COUNTIF(A56:$A$200,"&lt;&gt;")=0),ROUND(SUMIF($A$2:A54,"&lt;&gt;",$H$2:H54),2),IF(OR(A55="",posicao_contratual!O55="",C55="",NOT(ISNUMBER($Z$4))),"",ROUND(posicao_contratual!O55*C55*$Z$4,2)))</f>
        <v/>
      </c>
      <c r="I55" s="109"/>
      <c r="J55" s="104" t="str">
        <f>IF(AND(A55="",A54&lt;&gt;"",COUNTIF(A56:$A$200,"&lt;&gt;")=0),ROUND(SUMIF($A$2:A54,"&lt;&gt;",$J$2:J54),2),IF(OR(A55="",posicao_contratual!S55="",C55="",NOT(ISNUMBER($Z$5))),"",ROUND(posicao_contratual!S55*C55*$Z$5,2)))</f>
        <v/>
      </c>
      <c r="K55" s="109"/>
      <c r="L55" s="104" t="str">
        <f>IF(AND(A55="",A54&lt;&gt;"",COUNTIF(A56:$A$200,"&lt;&gt;")=0),ROUND(SUMIF($A$2:A54,"&lt;&gt;",$L$2:L54),2),IF(OR(A55="",posicao_contratual!W55="",C55="",NOT(ISNUMBER($Z$6))),"",ROUND(posicao_contratual!W55*C55*$Z$6,2)))</f>
        <v/>
      </c>
      <c r="M55" s="110" t="str">
        <f>IF(OR(posicao_contratual!J55="",posicao_contratual!N55=""),"",ROUND(MAX(posicao_contratual!J55+posicao_contratual!H55-posicao_contratual!N55,0),2))</f>
        <v/>
      </c>
      <c r="N55" s="104" t="str">
        <f>IF(AND(A55="",A54&lt;&gt;"",COUNTIF(A56:$A$200,"&lt;&gt;")=0),ROUND(SUMIF($A$2:A54,"&lt;&gt;",$N$2:N54),2),IF(OR(M55="",C55="",NOT(ISNUMBER($Z$3))),"",ROUND(M55*C55*$Z$3,2)))</f>
        <v/>
      </c>
      <c r="O55" s="110" t="str">
        <f>IF(OR(posicao_contratual!N55="",posicao_contratual!R55=""),"",ROUND(MAX(posicao_contratual!N55+posicao_contratual!L55-posicao_contratual!R55,0),2))</f>
        <v/>
      </c>
      <c r="P55" s="104" t="str">
        <f>IF(AND(A55="",A54&lt;&gt;"",COUNTIF(A56:$A$200,"&lt;&gt;")=0),ROUND(SUMIF($A$2:A54,"&lt;&gt;",$P$2:P54),2),IF(OR(O55="",C55="",NOT(ISNUMBER($Z$4))),"",ROUND(O55*C55*$Z$4,2)))</f>
        <v/>
      </c>
      <c r="Q55" s="110" t="str">
        <f>IF(OR(posicao_contratual!R55="",posicao_contratual!V55=""),"",ROUND(MAX(posicao_contratual!R55+posicao_contratual!P55-posicao_contratual!V55,0),2))</f>
        <v/>
      </c>
      <c r="R55" s="104" t="str">
        <f>IF(AND(A55="",A54&lt;&gt;"",COUNTIF(A56:$A$200,"&lt;&gt;")=0),ROUND(SUMIF($A$2:A54,"&lt;&gt;",$R$2:R54),2),IF(OR(Q55="",C55="",NOT(ISNUMBER($Z$5))),"",ROUND(Q55*C55*$Z$5,2)))</f>
        <v/>
      </c>
      <c r="S55" s="24"/>
      <c r="T55" s="25"/>
      <c r="U55" s="111" t="str">
        <f>IF(AND(A55="",A54&lt;&gt;"",COUNTIF(A56:$A$200,"&lt;&gt;")=0),"TOTAL",IF(A55="","",posicao_contratual!X55))</f>
        <v/>
      </c>
      <c r="V55" s="111" t="str">
        <f>IF(A55="","",posicao_contratual!X55)</f>
        <v/>
      </c>
      <c r="W55" s="16"/>
      <c r="X55" s="16"/>
      <c r="Y55" s="16"/>
      <c r="Z55" s="15"/>
      <c r="AA55" s="15"/>
      <c r="AB55" s="110" t="str">
        <f>IF(OR(A55="",posicao_contratual!E55="",posicao_contratual!J55=""),"",ROUND(MAX(posicao_contratual!E55-posicao_contratual!J55,0),2))</f>
        <v/>
      </c>
      <c r="AC55" s="104" t="str">
        <f>IF(AND(A55="",A54&lt;&gt;"",COUNTIF(A56:$A$200,"&lt;&gt;")=0),ROUND(SUMIF($A$2:A54,"&lt;&gt;",$AC$2:AC54),2),IF(OR(AB55="",C55="",NOT(ISNUMBER($Z$2))),"",ROUND(AB55*C55*$Z$2,2)))</f>
        <v/>
      </c>
      <c r="AD55" s="180" t="str">
        <f>IF(A55="","",posicao_contratual!E55)</f>
        <v/>
      </c>
      <c r="AE55" s="180" t="str">
        <f>IF(A55="","",posicao_contratual!I55)</f>
        <v/>
      </c>
      <c r="AF55" s="180" t="str">
        <f>IF(A55="","",posicao_contratual!M55)</f>
        <v/>
      </c>
      <c r="AG55" s="180" t="str">
        <f>IF(A55="","",posicao_contratual!Q55)</f>
        <v/>
      </c>
      <c r="AH55" s="180" t="str">
        <f>IF(A55="","",posicao_contratual!U55)</f>
        <v/>
      </c>
      <c r="AI55" s="180" t="str">
        <f>IF(A55="","",posicao_contratual!G55)</f>
        <v/>
      </c>
      <c r="AJ55" s="180" t="str">
        <f>IF(A55="","",posicao_contratual!K55)</f>
        <v/>
      </c>
      <c r="AK55" s="180" t="str">
        <f>IF(A55="","",posicao_contratual!O55)</f>
        <v/>
      </c>
      <c r="AL55" s="180" t="str">
        <f>IF(A55="","",posicao_contratual!S55)</f>
        <v/>
      </c>
      <c r="AM55" s="180" t="str">
        <f>IF(A55="","",posicao_contratual!W55)</f>
        <v/>
      </c>
      <c r="AN55" s="181" t="str">
        <f>IF(A55="","",posicao_contratual!X55)</f>
        <v/>
      </c>
    </row>
    <row r="56" spans="1:40" x14ac:dyDescent="0.35">
      <c r="A56" s="106"/>
      <c r="B56" s="107"/>
      <c r="C56" s="108"/>
      <c r="D56" s="104" t="str">
        <f>IF(AND(A56="",A55&lt;&gt;"",COUNTIF(A57:$A$200,"&lt;&gt;")=0),ROUND(SUMIF($A$2:A55,"&lt;&gt;",$D$2:D55),2),IF(OR(A56="",B56="",C56=""),"",ROUND(B56*C56,2)))</f>
        <v/>
      </c>
      <c r="E56" s="109"/>
      <c r="F56" s="104" t="str">
        <f>IF(AND(A56="",A55&lt;&gt;"",COUNTIF(A57:$A$200,"&lt;&gt;")=0),ROUND(SUMIF($A$2:A55,"&lt;&gt;",$F$2:F55),2),IF(OR(A56="",posicao_contratual!K56="",C56="",NOT(ISNUMBER($Z$3))),"",ROUND(posicao_contratual!K56*C56*$Z$3,2)))</f>
        <v/>
      </c>
      <c r="G56" s="109"/>
      <c r="H56" s="104" t="str">
        <f>IF(AND(A56="",A55&lt;&gt;"",COUNTIF(A57:$A$200,"&lt;&gt;")=0),ROUND(SUMIF($A$2:A55,"&lt;&gt;",$H$2:H55),2),IF(OR(A56="",posicao_contratual!O56="",C56="",NOT(ISNUMBER($Z$4))),"",ROUND(posicao_contratual!O56*C56*$Z$4,2)))</f>
        <v/>
      </c>
      <c r="I56" s="109"/>
      <c r="J56" s="104" t="str">
        <f>IF(AND(A56="",A55&lt;&gt;"",COUNTIF(A57:$A$200,"&lt;&gt;")=0),ROUND(SUMIF($A$2:A55,"&lt;&gt;",$J$2:J55),2),IF(OR(A56="",posicao_contratual!S56="",C56="",NOT(ISNUMBER($Z$5))),"",ROUND(posicao_contratual!S56*C56*$Z$5,2)))</f>
        <v/>
      </c>
      <c r="K56" s="109"/>
      <c r="L56" s="104" t="str">
        <f>IF(AND(A56="",A55&lt;&gt;"",COUNTIF(A57:$A$200,"&lt;&gt;")=0),ROUND(SUMIF($A$2:A55,"&lt;&gt;",$L$2:L55),2),IF(OR(A56="",posicao_contratual!W56="",C56="",NOT(ISNUMBER($Z$6))),"",ROUND(posicao_contratual!W56*C56*$Z$6,2)))</f>
        <v/>
      </c>
      <c r="M56" s="110" t="str">
        <f>IF(OR(posicao_contratual!J56="",posicao_contratual!N56=""),"",ROUND(MAX(posicao_contratual!J56+posicao_contratual!H56-posicao_contratual!N56,0),2))</f>
        <v/>
      </c>
      <c r="N56" s="104" t="str">
        <f>IF(AND(A56="",A55&lt;&gt;"",COUNTIF(A57:$A$200,"&lt;&gt;")=0),ROUND(SUMIF($A$2:A55,"&lt;&gt;",$N$2:N55),2),IF(OR(M56="",C56="",NOT(ISNUMBER($Z$3))),"",ROUND(M56*C56*$Z$3,2)))</f>
        <v/>
      </c>
      <c r="O56" s="110" t="str">
        <f>IF(OR(posicao_contratual!N56="",posicao_contratual!R56=""),"",ROUND(MAX(posicao_contratual!N56+posicao_contratual!L56-posicao_contratual!R56,0),2))</f>
        <v/>
      </c>
      <c r="P56" s="104" t="str">
        <f>IF(AND(A56="",A55&lt;&gt;"",COUNTIF(A57:$A$200,"&lt;&gt;")=0),ROUND(SUMIF($A$2:A55,"&lt;&gt;",$P$2:P55),2),IF(OR(O56="",C56="",NOT(ISNUMBER($Z$4))),"",ROUND(O56*C56*$Z$4,2)))</f>
        <v/>
      </c>
      <c r="Q56" s="110" t="str">
        <f>IF(OR(posicao_contratual!R56="",posicao_contratual!V56=""),"",ROUND(MAX(posicao_contratual!R56+posicao_contratual!P56-posicao_contratual!V56,0),2))</f>
        <v/>
      </c>
      <c r="R56" s="104" t="str">
        <f>IF(AND(A56="",A55&lt;&gt;"",COUNTIF(A57:$A$200,"&lt;&gt;")=0),ROUND(SUMIF($A$2:A55,"&lt;&gt;",$R$2:R55),2),IF(OR(Q56="",C56="",NOT(ISNUMBER($Z$5))),"",ROUND(Q56*C56*$Z$5,2)))</f>
        <v/>
      </c>
      <c r="S56" s="24"/>
      <c r="T56" s="25"/>
      <c r="U56" s="111" t="str">
        <f>IF(AND(A56="",A55&lt;&gt;"",COUNTIF(A57:$A$200,"&lt;&gt;")=0),"TOTAL",IF(A56="","",posicao_contratual!X56))</f>
        <v/>
      </c>
      <c r="V56" s="111" t="str">
        <f>IF(A56="","",posicao_contratual!X56)</f>
        <v/>
      </c>
      <c r="W56" s="16"/>
      <c r="X56" s="16"/>
      <c r="Y56" s="16"/>
      <c r="Z56" s="15"/>
      <c r="AA56" s="15"/>
      <c r="AB56" s="110" t="str">
        <f>IF(OR(A56="",posicao_contratual!E56="",posicao_contratual!J56=""),"",ROUND(MAX(posicao_contratual!E56-posicao_contratual!J56,0),2))</f>
        <v/>
      </c>
      <c r="AC56" s="104" t="str">
        <f>IF(AND(A56="",A55&lt;&gt;"",COUNTIF(A57:$A$200,"&lt;&gt;")=0),ROUND(SUMIF($A$2:A55,"&lt;&gt;",$AC$2:AC55),2),IF(OR(AB56="",C56="",NOT(ISNUMBER($Z$2))),"",ROUND(AB56*C56*$Z$2,2)))</f>
        <v/>
      </c>
      <c r="AD56" s="180" t="str">
        <f>IF(A56="","",posicao_contratual!E56)</f>
        <v/>
      </c>
      <c r="AE56" s="180" t="str">
        <f>IF(A56="","",posicao_contratual!I56)</f>
        <v/>
      </c>
      <c r="AF56" s="180" t="str">
        <f>IF(A56="","",posicao_contratual!M56)</f>
        <v/>
      </c>
      <c r="AG56" s="180" t="str">
        <f>IF(A56="","",posicao_contratual!Q56)</f>
        <v/>
      </c>
      <c r="AH56" s="180" t="str">
        <f>IF(A56="","",posicao_contratual!U56)</f>
        <v/>
      </c>
      <c r="AI56" s="180" t="str">
        <f>IF(A56="","",posicao_contratual!G56)</f>
        <v/>
      </c>
      <c r="AJ56" s="180" t="str">
        <f>IF(A56="","",posicao_contratual!K56)</f>
        <v/>
      </c>
      <c r="AK56" s="180" t="str">
        <f>IF(A56="","",posicao_contratual!O56)</f>
        <v/>
      </c>
      <c r="AL56" s="180" t="str">
        <f>IF(A56="","",posicao_contratual!S56)</f>
        <v/>
      </c>
      <c r="AM56" s="180" t="str">
        <f>IF(A56="","",posicao_contratual!W56)</f>
        <v/>
      </c>
      <c r="AN56" s="181" t="str">
        <f>IF(A56="","",posicao_contratual!X56)</f>
        <v/>
      </c>
    </row>
    <row r="57" spans="1:40" x14ac:dyDescent="0.35">
      <c r="A57" s="106"/>
      <c r="B57" s="107"/>
      <c r="C57" s="108"/>
      <c r="D57" s="104" t="str">
        <f>IF(AND(A57="",A56&lt;&gt;"",COUNTIF(A58:$A$200,"&lt;&gt;")=0),ROUND(SUMIF($A$2:A56,"&lt;&gt;",$D$2:D56),2),IF(OR(A57="",B57="",C57=""),"",ROUND(B57*C57,2)))</f>
        <v/>
      </c>
      <c r="E57" s="109"/>
      <c r="F57" s="104" t="str">
        <f>IF(AND(A57="",A56&lt;&gt;"",COUNTIF(A58:$A$200,"&lt;&gt;")=0),ROUND(SUMIF($A$2:A56,"&lt;&gt;",$F$2:F56),2),IF(OR(A57="",posicao_contratual!K57="",C57="",NOT(ISNUMBER($Z$3))),"",ROUND(posicao_contratual!K57*C57*$Z$3,2)))</f>
        <v/>
      </c>
      <c r="G57" s="109"/>
      <c r="H57" s="104" t="str">
        <f>IF(AND(A57="",A56&lt;&gt;"",COUNTIF(A58:$A$200,"&lt;&gt;")=0),ROUND(SUMIF($A$2:A56,"&lt;&gt;",$H$2:H56),2),IF(OR(A57="",posicao_contratual!O57="",C57="",NOT(ISNUMBER($Z$4))),"",ROUND(posicao_contratual!O57*C57*$Z$4,2)))</f>
        <v/>
      </c>
      <c r="I57" s="109"/>
      <c r="J57" s="104" t="str">
        <f>IF(AND(A57="",A56&lt;&gt;"",COUNTIF(A58:$A$200,"&lt;&gt;")=0),ROUND(SUMIF($A$2:A56,"&lt;&gt;",$J$2:J56),2),IF(OR(A57="",posicao_contratual!S57="",C57="",NOT(ISNUMBER($Z$5))),"",ROUND(posicao_contratual!S57*C57*$Z$5,2)))</f>
        <v/>
      </c>
      <c r="K57" s="109"/>
      <c r="L57" s="104" t="str">
        <f>IF(AND(A57="",A56&lt;&gt;"",COUNTIF(A58:$A$200,"&lt;&gt;")=0),ROUND(SUMIF($A$2:A56,"&lt;&gt;",$L$2:L56),2),IF(OR(A57="",posicao_contratual!W57="",C57="",NOT(ISNUMBER($Z$6))),"",ROUND(posicao_contratual!W57*C57*$Z$6,2)))</f>
        <v/>
      </c>
      <c r="M57" s="110" t="str">
        <f>IF(OR(posicao_contratual!J57="",posicao_contratual!N57=""),"",ROUND(MAX(posicao_contratual!J57+posicao_contratual!H57-posicao_contratual!N57,0),2))</f>
        <v/>
      </c>
      <c r="N57" s="104" t="str">
        <f>IF(AND(A57="",A56&lt;&gt;"",COUNTIF(A58:$A$200,"&lt;&gt;")=0),ROUND(SUMIF($A$2:A56,"&lt;&gt;",$N$2:N56),2),IF(OR(M57="",C57="",NOT(ISNUMBER($Z$3))),"",ROUND(M57*C57*$Z$3,2)))</f>
        <v/>
      </c>
      <c r="O57" s="110" t="str">
        <f>IF(OR(posicao_contratual!N57="",posicao_contratual!R57=""),"",ROUND(MAX(posicao_contratual!N57+posicao_contratual!L57-posicao_contratual!R57,0),2))</f>
        <v/>
      </c>
      <c r="P57" s="104" t="str">
        <f>IF(AND(A57="",A56&lt;&gt;"",COUNTIF(A58:$A$200,"&lt;&gt;")=0),ROUND(SUMIF($A$2:A56,"&lt;&gt;",$P$2:P56),2),IF(OR(O57="",C57="",NOT(ISNUMBER($Z$4))),"",ROUND(O57*C57*$Z$4,2)))</f>
        <v/>
      </c>
      <c r="Q57" s="110" t="str">
        <f>IF(OR(posicao_contratual!R57="",posicao_contratual!V57=""),"",ROUND(MAX(posicao_contratual!R57+posicao_contratual!P57-posicao_contratual!V57,0),2))</f>
        <v/>
      </c>
      <c r="R57" s="104" t="str">
        <f>IF(AND(A57="",A56&lt;&gt;"",COUNTIF(A58:$A$200,"&lt;&gt;")=0),ROUND(SUMIF($A$2:A56,"&lt;&gt;",$R$2:R56),2),IF(OR(Q57="",C57="",NOT(ISNUMBER($Z$5))),"",ROUND(Q57*C57*$Z$5,2)))</f>
        <v/>
      </c>
      <c r="S57" s="24"/>
      <c r="T57" s="25"/>
      <c r="U57" s="111" t="str">
        <f>IF(AND(A57="",A56&lt;&gt;"",COUNTIF(A58:$A$200,"&lt;&gt;")=0),"TOTAL",IF(A57="","",posicao_contratual!X57))</f>
        <v/>
      </c>
      <c r="V57" s="111" t="str">
        <f>IF(A57="","",posicao_contratual!X57)</f>
        <v/>
      </c>
      <c r="W57" s="16"/>
      <c r="X57" s="16"/>
      <c r="Y57" s="16"/>
      <c r="Z57" s="15"/>
      <c r="AA57" s="15"/>
      <c r="AB57" s="110" t="str">
        <f>IF(OR(A57="",posicao_contratual!E57="",posicao_contratual!J57=""),"",ROUND(MAX(posicao_contratual!E57-posicao_contratual!J57,0),2))</f>
        <v/>
      </c>
      <c r="AC57" s="104" t="str">
        <f>IF(AND(A57="",A56&lt;&gt;"",COUNTIF(A58:$A$200,"&lt;&gt;")=0),ROUND(SUMIF($A$2:A56,"&lt;&gt;",$AC$2:AC56),2),IF(OR(AB57="",C57="",NOT(ISNUMBER($Z$2))),"",ROUND(AB57*C57*$Z$2,2)))</f>
        <v/>
      </c>
      <c r="AD57" s="180" t="str">
        <f>IF(A57="","",posicao_contratual!E57)</f>
        <v/>
      </c>
      <c r="AE57" s="180" t="str">
        <f>IF(A57="","",posicao_contratual!I57)</f>
        <v/>
      </c>
      <c r="AF57" s="180" t="str">
        <f>IF(A57="","",posicao_contratual!M57)</f>
        <v/>
      </c>
      <c r="AG57" s="180" t="str">
        <f>IF(A57="","",posicao_contratual!Q57)</f>
        <v/>
      </c>
      <c r="AH57" s="180" t="str">
        <f>IF(A57="","",posicao_contratual!U57)</f>
        <v/>
      </c>
      <c r="AI57" s="180" t="str">
        <f>IF(A57="","",posicao_contratual!G57)</f>
        <v/>
      </c>
      <c r="AJ57" s="180" t="str">
        <f>IF(A57="","",posicao_contratual!K57)</f>
        <v/>
      </c>
      <c r="AK57" s="180" t="str">
        <f>IF(A57="","",posicao_contratual!O57)</f>
        <v/>
      </c>
      <c r="AL57" s="180" t="str">
        <f>IF(A57="","",posicao_contratual!S57)</f>
        <v/>
      </c>
      <c r="AM57" s="180" t="str">
        <f>IF(A57="","",posicao_contratual!W57)</f>
        <v/>
      </c>
      <c r="AN57" s="181" t="str">
        <f>IF(A57="","",posicao_contratual!X57)</f>
        <v/>
      </c>
    </row>
    <row r="58" spans="1:40" x14ac:dyDescent="0.35">
      <c r="A58" s="106"/>
      <c r="B58" s="107"/>
      <c r="C58" s="108"/>
      <c r="D58" s="104" t="str">
        <f>IF(AND(A58="",A57&lt;&gt;"",COUNTIF(A59:$A$200,"&lt;&gt;")=0),ROUND(SUMIF($A$2:A57,"&lt;&gt;",$D$2:D57),2),IF(OR(A58="",B58="",C58=""),"",ROUND(B58*C58,2)))</f>
        <v/>
      </c>
      <c r="E58" s="109"/>
      <c r="F58" s="104" t="str">
        <f>IF(AND(A58="",A57&lt;&gt;"",COUNTIF(A59:$A$200,"&lt;&gt;")=0),ROUND(SUMIF($A$2:A57,"&lt;&gt;",$F$2:F57),2),IF(OR(A58="",posicao_contratual!K58="",C58="",NOT(ISNUMBER($Z$3))),"",ROUND(posicao_contratual!K58*C58*$Z$3,2)))</f>
        <v/>
      </c>
      <c r="G58" s="109"/>
      <c r="H58" s="104" t="str">
        <f>IF(AND(A58="",A57&lt;&gt;"",COUNTIF(A59:$A$200,"&lt;&gt;")=0),ROUND(SUMIF($A$2:A57,"&lt;&gt;",$H$2:H57),2),IF(OR(A58="",posicao_contratual!O58="",C58="",NOT(ISNUMBER($Z$4))),"",ROUND(posicao_contratual!O58*C58*$Z$4,2)))</f>
        <v/>
      </c>
      <c r="I58" s="109"/>
      <c r="J58" s="104" t="str">
        <f>IF(AND(A58="",A57&lt;&gt;"",COUNTIF(A59:$A$200,"&lt;&gt;")=0),ROUND(SUMIF($A$2:A57,"&lt;&gt;",$J$2:J57),2),IF(OR(A58="",posicao_contratual!S58="",C58="",NOT(ISNUMBER($Z$5))),"",ROUND(posicao_contratual!S58*C58*$Z$5,2)))</f>
        <v/>
      </c>
      <c r="K58" s="109"/>
      <c r="L58" s="104" t="str">
        <f>IF(AND(A58="",A57&lt;&gt;"",COUNTIF(A59:$A$200,"&lt;&gt;")=0),ROUND(SUMIF($A$2:A57,"&lt;&gt;",$L$2:L57),2),IF(OR(A58="",posicao_contratual!W58="",C58="",NOT(ISNUMBER($Z$6))),"",ROUND(posicao_contratual!W58*C58*$Z$6,2)))</f>
        <v/>
      </c>
      <c r="M58" s="110" t="str">
        <f>IF(OR(posicao_contratual!J58="",posicao_contratual!N58=""),"",ROUND(MAX(posicao_contratual!J58+posicao_contratual!H58-posicao_contratual!N58,0),2))</f>
        <v/>
      </c>
      <c r="N58" s="104" t="str">
        <f>IF(AND(A58="",A57&lt;&gt;"",COUNTIF(A59:$A$200,"&lt;&gt;")=0),ROUND(SUMIF($A$2:A57,"&lt;&gt;",$N$2:N57),2),IF(OR(M58="",C58="",NOT(ISNUMBER($Z$3))),"",ROUND(M58*C58*$Z$3,2)))</f>
        <v/>
      </c>
      <c r="O58" s="110" t="str">
        <f>IF(OR(posicao_contratual!N58="",posicao_contratual!R58=""),"",ROUND(MAX(posicao_contratual!N58+posicao_contratual!L58-posicao_contratual!R58,0),2))</f>
        <v/>
      </c>
      <c r="P58" s="104" t="str">
        <f>IF(AND(A58="",A57&lt;&gt;"",COUNTIF(A59:$A$200,"&lt;&gt;")=0),ROUND(SUMIF($A$2:A57,"&lt;&gt;",$P$2:P57),2),IF(OR(O58="",C58="",NOT(ISNUMBER($Z$4))),"",ROUND(O58*C58*$Z$4,2)))</f>
        <v/>
      </c>
      <c r="Q58" s="110" t="str">
        <f>IF(OR(posicao_contratual!R58="",posicao_contratual!V58=""),"",ROUND(MAX(posicao_contratual!R58+posicao_contratual!P58-posicao_contratual!V58,0),2))</f>
        <v/>
      </c>
      <c r="R58" s="104" t="str">
        <f>IF(AND(A58="",A57&lt;&gt;"",COUNTIF(A59:$A$200,"&lt;&gt;")=0),ROUND(SUMIF($A$2:A57,"&lt;&gt;",$R$2:R57),2),IF(OR(Q58="",C58="",NOT(ISNUMBER($Z$5))),"",ROUND(Q58*C58*$Z$5,2)))</f>
        <v/>
      </c>
      <c r="S58" s="24"/>
      <c r="T58" s="25"/>
      <c r="U58" s="111" t="str">
        <f>IF(AND(A58="",A57&lt;&gt;"",COUNTIF(A59:$A$200,"&lt;&gt;")=0),"TOTAL",IF(A58="","",posicao_contratual!X58))</f>
        <v/>
      </c>
      <c r="V58" s="111" t="str">
        <f>IF(A58="","",posicao_contratual!X58)</f>
        <v/>
      </c>
      <c r="W58" s="16"/>
      <c r="X58" s="16"/>
      <c r="Y58" s="16"/>
      <c r="Z58" s="15"/>
      <c r="AA58" s="15"/>
      <c r="AB58" s="110" t="str">
        <f>IF(OR(A58="",posicao_contratual!E58="",posicao_contratual!J58=""),"",ROUND(MAX(posicao_contratual!E58-posicao_contratual!J58,0),2))</f>
        <v/>
      </c>
      <c r="AC58" s="104" t="str">
        <f>IF(AND(A58="",A57&lt;&gt;"",COUNTIF(A59:$A$200,"&lt;&gt;")=0),ROUND(SUMIF($A$2:A57,"&lt;&gt;",$AC$2:AC57),2),IF(OR(AB58="",C58="",NOT(ISNUMBER($Z$2))),"",ROUND(AB58*C58*$Z$2,2)))</f>
        <v/>
      </c>
      <c r="AD58" s="180" t="str">
        <f>IF(A58="","",posicao_contratual!E58)</f>
        <v/>
      </c>
      <c r="AE58" s="180" t="str">
        <f>IF(A58="","",posicao_contratual!I58)</f>
        <v/>
      </c>
      <c r="AF58" s="180" t="str">
        <f>IF(A58="","",posicao_contratual!M58)</f>
        <v/>
      </c>
      <c r="AG58" s="180" t="str">
        <f>IF(A58="","",posicao_contratual!Q58)</f>
        <v/>
      </c>
      <c r="AH58" s="180" t="str">
        <f>IF(A58="","",posicao_contratual!U58)</f>
        <v/>
      </c>
      <c r="AI58" s="180" t="str">
        <f>IF(A58="","",posicao_contratual!G58)</f>
        <v/>
      </c>
      <c r="AJ58" s="180" t="str">
        <f>IF(A58="","",posicao_contratual!K58)</f>
        <v/>
      </c>
      <c r="AK58" s="180" t="str">
        <f>IF(A58="","",posicao_contratual!O58)</f>
        <v/>
      </c>
      <c r="AL58" s="180" t="str">
        <f>IF(A58="","",posicao_contratual!S58)</f>
        <v/>
      </c>
      <c r="AM58" s="180" t="str">
        <f>IF(A58="","",posicao_contratual!W58)</f>
        <v/>
      </c>
      <c r="AN58" s="181" t="str">
        <f>IF(A58="","",posicao_contratual!X58)</f>
        <v/>
      </c>
    </row>
    <row r="59" spans="1:40" x14ac:dyDescent="0.35">
      <c r="A59" s="106"/>
      <c r="B59" s="107"/>
      <c r="C59" s="108"/>
      <c r="D59" s="104" t="str">
        <f>IF(AND(A59="",A58&lt;&gt;"",COUNTIF(A60:$A$200,"&lt;&gt;")=0),ROUND(SUMIF($A$2:A58,"&lt;&gt;",$D$2:D58),2),IF(OR(A59="",B59="",C59=""),"",ROUND(B59*C59,2)))</f>
        <v/>
      </c>
      <c r="E59" s="109"/>
      <c r="F59" s="104" t="str">
        <f>IF(AND(A59="",A58&lt;&gt;"",COUNTIF(A60:$A$200,"&lt;&gt;")=0),ROUND(SUMIF($A$2:A58,"&lt;&gt;",$F$2:F58),2),IF(OR(A59="",posicao_contratual!K59="",C59="",NOT(ISNUMBER($Z$3))),"",ROUND(posicao_contratual!K59*C59*$Z$3,2)))</f>
        <v/>
      </c>
      <c r="G59" s="109"/>
      <c r="H59" s="104" t="str">
        <f>IF(AND(A59="",A58&lt;&gt;"",COUNTIF(A60:$A$200,"&lt;&gt;")=0),ROUND(SUMIF($A$2:A58,"&lt;&gt;",$H$2:H58),2),IF(OR(A59="",posicao_contratual!O59="",C59="",NOT(ISNUMBER($Z$4))),"",ROUND(posicao_contratual!O59*C59*$Z$4,2)))</f>
        <v/>
      </c>
      <c r="I59" s="109"/>
      <c r="J59" s="104" t="str">
        <f>IF(AND(A59="",A58&lt;&gt;"",COUNTIF(A60:$A$200,"&lt;&gt;")=0),ROUND(SUMIF($A$2:A58,"&lt;&gt;",$J$2:J58),2),IF(OR(A59="",posicao_contratual!S59="",C59="",NOT(ISNUMBER($Z$5))),"",ROUND(posicao_contratual!S59*C59*$Z$5,2)))</f>
        <v/>
      </c>
      <c r="K59" s="109"/>
      <c r="L59" s="104" t="str">
        <f>IF(AND(A59="",A58&lt;&gt;"",COUNTIF(A60:$A$200,"&lt;&gt;")=0),ROUND(SUMIF($A$2:A58,"&lt;&gt;",$L$2:L58),2),IF(OR(A59="",posicao_contratual!W59="",C59="",NOT(ISNUMBER($Z$6))),"",ROUND(posicao_contratual!W59*C59*$Z$6,2)))</f>
        <v/>
      </c>
      <c r="M59" s="110" t="str">
        <f>IF(OR(posicao_contratual!J59="",posicao_contratual!N59=""),"",ROUND(MAX(posicao_contratual!J59+posicao_contratual!H59-posicao_contratual!N59,0),2))</f>
        <v/>
      </c>
      <c r="N59" s="104" t="str">
        <f>IF(AND(A59="",A58&lt;&gt;"",COUNTIF(A60:$A$200,"&lt;&gt;")=0),ROUND(SUMIF($A$2:A58,"&lt;&gt;",$N$2:N58),2),IF(OR(M59="",C59="",NOT(ISNUMBER($Z$3))),"",ROUND(M59*C59*$Z$3,2)))</f>
        <v/>
      </c>
      <c r="O59" s="110" t="str">
        <f>IF(OR(posicao_contratual!N59="",posicao_contratual!R59=""),"",ROUND(MAX(posicao_contratual!N59+posicao_contratual!L59-posicao_contratual!R59,0),2))</f>
        <v/>
      </c>
      <c r="P59" s="104" t="str">
        <f>IF(AND(A59="",A58&lt;&gt;"",COUNTIF(A60:$A$200,"&lt;&gt;")=0),ROUND(SUMIF($A$2:A58,"&lt;&gt;",$P$2:P58),2),IF(OR(O59="",C59="",NOT(ISNUMBER($Z$4))),"",ROUND(O59*C59*$Z$4,2)))</f>
        <v/>
      </c>
      <c r="Q59" s="110" t="str">
        <f>IF(OR(posicao_contratual!R59="",posicao_contratual!V59=""),"",ROUND(MAX(posicao_contratual!R59+posicao_contratual!P59-posicao_contratual!V59,0),2))</f>
        <v/>
      </c>
      <c r="R59" s="104" t="str">
        <f>IF(AND(A59="",A58&lt;&gt;"",COUNTIF(A60:$A$200,"&lt;&gt;")=0),ROUND(SUMIF($A$2:A58,"&lt;&gt;",$R$2:R58),2),IF(OR(Q59="",C59="",NOT(ISNUMBER($Z$5))),"",ROUND(Q59*C59*$Z$5,2)))</f>
        <v/>
      </c>
      <c r="S59" s="24"/>
      <c r="T59" s="25"/>
      <c r="U59" s="111" t="str">
        <f>IF(AND(A59="",A58&lt;&gt;"",COUNTIF(A60:$A$200,"&lt;&gt;")=0),"TOTAL",IF(A59="","",posicao_contratual!X59))</f>
        <v/>
      </c>
      <c r="V59" s="111" t="str">
        <f>IF(A59="","",posicao_contratual!X59)</f>
        <v/>
      </c>
      <c r="W59" s="16"/>
      <c r="X59" s="16"/>
      <c r="Y59" s="16"/>
      <c r="Z59" s="15"/>
      <c r="AA59" s="15"/>
      <c r="AB59" s="110" t="str">
        <f>IF(OR(A59="",posicao_contratual!E59="",posicao_contratual!J59=""),"",ROUND(MAX(posicao_contratual!E59-posicao_contratual!J59,0),2))</f>
        <v/>
      </c>
      <c r="AC59" s="104" t="str">
        <f>IF(AND(A59="",A58&lt;&gt;"",COUNTIF(A60:$A$200,"&lt;&gt;")=0),ROUND(SUMIF($A$2:A58,"&lt;&gt;",$AC$2:AC58),2),IF(OR(AB59="",C59="",NOT(ISNUMBER($Z$2))),"",ROUND(AB59*C59*$Z$2,2)))</f>
        <v/>
      </c>
      <c r="AD59" s="180" t="str">
        <f>IF(A59="","",posicao_contratual!E59)</f>
        <v/>
      </c>
      <c r="AE59" s="180" t="str">
        <f>IF(A59="","",posicao_contratual!I59)</f>
        <v/>
      </c>
      <c r="AF59" s="180" t="str">
        <f>IF(A59="","",posicao_contratual!M59)</f>
        <v/>
      </c>
      <c r="AG59" s="180" t="str">
        <f>IF(A59="","",posicao_contratual!Q59)</f>
        <v/>
      </c>
      <c r="AH59" s="180" t="str">
        <f>IF(A59="","",posicao_contratual!U59)</f>
        <v/>
      </c>
      <c r="AI59" s="180" t="str">
        <f>IF(A59="","",posicao_contratual!G59)</f>
        <v/>
      </c>
      <c r="AJ59" s="180" t="str">
        <f>IF(A59="","",posicao_contratual!K59)</f>
        <v/>
      </c>
      <c r="AK59" s="180" t="str">
        <f>IF(A59="","",posicao_contratual!O59)</f>
        <v/>
      </c>
      <c r="AL59" s="180" t="str">
        <f>IF(A59="","",posicao_contratual!S59)</f>
        <v/>
      </c>
      <c r="AM59" s="180" t="str">
        <f>IF(A59="","",posicao_contratual!W59)</f>
        <v/>
      </c>
      <c r="AN59" s="181" t="str">
        <f>IF(A59="","",posicao_contratual!X59)</f>
        <v/>
      </c>
    </row>
    <row r="60" spans="1:40" x14ac:dyDescent="0.35">
      <c r="A60" s="106"/>
      <c r="B60" s="107"/>
      <c r="C60" s="108"/>
      <c r="D60" s="104" t="str">
        <f>IF(AND(A60="",A59&lt;&gt;"",COUNTIF(A61:$A$200,"&lt;&gt;")=0),ROUND(SUMIF($A$2:A59,"&lt;&gt;",$D$2:D59),2),IF(OR(A60="",B60="",C60=""),"",ROUND(B60*C60,2)))</f>
        <v/>
      </c>
      <c r="E60" s="109"/>
      <c r="F60" s="104" t="str">
        <f>IF(AND(A60="",A59&lt;&gt;"",COUNTIF(A61:$A$200,"&lt;&gt;")=0),ROUND(SUMIF($A$2:A59,"&lt;&gt;",$F$2:F59),2),IF(OR(A60="",posicao_contratual!K60="",C60="",NOT(ISNUMBER($Z$3))),"",ROUND(posicao_contratual!K60*C60*$Z$3,2)))</f>
        <v/>
      </c>
      <c r="G60" s="109"/>
      <c r="H60" s="104" t="str">
        <f>IF(AND(A60="",A59&lt;&gt;"",COUNTIF(A61:$A$200,"&lt;&gt;")=0),ROUND(SUMIF($A$2:A59,"&lt;&gt;",$H$2:H59),2),IF(OR(A60="",posicao_contratual!O60="",C60="",NOT(ISNUMBER($Z$4))),"",ROUND(posicao_contratual!O60*C60*$Z$4,2)))</f>
        <v/>
      </c>
      <c r="I60" s="109"/>
      <c r="J60" s="104" t="str">
        <f>IF(AND(A60="",A59&lt;&gt;"",COUNTIF(A61:$A$200,"&lt;&gt;")=0),ROUND(SUMIF($A$2:A59,"&lt;&gt;",$J$2:J59),2),IF(OR(A60="",posicao_contratual!S60="",C60="",NOT(ISNUMBER($Z$5))),"",ROUND(posicao_contratual!S60*C60*$Z$5,2)))</f>
        <v/>
      </c>
      <c r="K60" s="109"/>
      <c r="L60" s="104" t="str">
        <f>IF(AND(A60="",A59&lt;&gt;"",COUNTIF(A61:$A$200,"&lt;&gt;")=0),ROUND(SUMIF($A$2:A59,"&lt;&gt;",$L$2:L59),2),IF(OR(A60="",posicao_contratual!W60="",C60="",NOT(ISNUMBER($Z$6))),"",ROUND(posicao_contratual!W60*C60*$Z$6,2)))</f>
        <v/>
      </c>
      <c r="M60" s="110" t="str">
        <f>IF(OR(posicao_contratual!J60="",posicao_contratual!N60=""),"",ROUND(MAX(posicao_contratual!J60+posicao_contratual!H60-posicao_contratual!N60,0),2))</f>
        <v/>
      </c>
      <c r="N60" s="104" t="str">
        <f>IF(AND(A60="",A59&lt;&gt;"",COUNTIF(A61:$A$200,"&lt;&gt;")=0),ROUND(SUMIF($A$2:A59,"&lt;&gt;",$N$2:N59),2),IF(OR(M60="",C60="",NOT(ISNUMBER($Z$3))),"",ROUND(M60*C60*$Z$3,2)))</f>
        <v/>
      </c>
      <c r="O60" s="110" t="str">
        <f>IF(OR(posicao_contratual!N60="",posicao_contratual!R60=""),"",ROUND(MAX(posicao_contratual!N60+posicao_contratual!L60-posicao_contratual!R60,0),2))</f>
        <v/>
      </c>
      <c r="P60" s="104" t="str">
        <f>IF(AND(A60="",A59&lt;&gt;"",COUNTIF(A61:$A$200,"&lt;&gt;")=0),ROUND(SUMIF($A$2:A59,"&lt;&gt;",$P$2:P59),2),IF(OR(O60="",C60="",NOT(ISNUMBER($Z$4))),"",ROUND(O60*C60*$Z$4,2)))</f>
        <v/>
      </c>
      <c r="Q60" s="110" t="str">
        <f>IF(OR(posicao_contratual!R60="",posicao_contratual!V60=""),"",ROUND(MAX(posicao_contratual!R60+posicao_contratual!P60-posicao_contratual!V60,0),2))</f>
        <v/>
      </c>
      <c r="R60" s="104" t="str">
        <f>IF(AND(A60="",A59&lt;&gt;"",COUNTIF(A61:$A$200,"&lt;&gt;")=0),ROUND(SUMIF($A$2:A59,"&lt;&gt;",$R$2:R59),2),IF(OR(Q60="",C60="",NOT(ISNUMBER($Z$5))),"",ROUND(Q60*C60*$Z$5,2)))</f>
        <v/>
      </c>
      <c r="S60" s="24"/>
      <c r="T60" s="25"/>
      <c r="U60" s="111" t="str">
        <f>IF(AND(A60="",A59&lt;&gt;"",COUNTIF(A61:$A$200,"&lt;&gt;")=0),"TOTAL",IF(A60="","",posicao_contratual!X60))</f>
        <v/>
      </c>
      <c r="V60" s="111" t="str">
        <f>IF(A60="","",posicao_contratual!X60)</f>
        <v/>
      </c>
      <c r="W60" s="16"/>
      <c r="X60" s="16"/>
      <c r="Y60" s="16"/>
      <c r="Z60" s="15"/>
      <c r="AA60" s="15"/>
      <c r="AB60" s="110" t="str">
        <f>IF(OR(A60="",posicao_contratual!E60="",posicao_contratual!J60=""),"",ROUND(MAX(posicao_contratual!E60-posicao_contratual!J60,0),2))</f>
        <v/>
      </c>
      <c r="AC60" s="104" t="str">
        <f>IF(AND(A60="",A59&lt;&gt;"",COUNTIF(A61:$A$200,"&lt;&gt;")=0),ROUND(SUMIF($A$2:A59,"&lt;&gt;",$AC$2:AC59),2),IF(OR(AB60="",C60="",NOT(ISNUMBER($Z$2))),"",ROUND(AB60*C60*$Z$2,2)))</f>
        <v/>
      </c>
      <c r="AD60" s="180" t="str">
        <f>IF(A60="","",posicao_contratual!E60)</f>
        <v/>
      </c>
      <c r="AE60" s="180" t="str">
        <f>IF(A60="","",posicao_contratual!I60)</f>
        <v/>
      </c>
      <c r="AF60" s="180" t="str">
        <f>IF(A60="","",posicao_contratual!M60)</f>
        <v/>
      </c>
      <c r="AG60" s="180" t="str">
        <f>IF(A60="","",posicao_contratual!Q60)</f>
        <v/>
      </c>
      <c r="AH60" s="180" t="str">
        <f>IF(A60="","",posicao_contratual!U60)</f>
        <v/>
      </c>
      <c r="AI60" s="180" t="str">
        <f>IF(A60="","",posicao_contratual!G60)</f>
        <v/>
      </c>
      <c r="AJ60" s="180" t="str">
        <f>IF(A60="","",posicao_contratual!K60)</f>
        <v/>
      </c>
      <c r="AK60" s="180" t="str">
        <f>IF(A60="","",posicao_contratual!O60)</f>
        <v/>
      </c>
      <c r="AL60" s="180" t="str">
        <f>IF(A60="","",posicao_contratual!S60)</f>
        <v/>
      </c>
      <c r="AM60" s="180" t="str">
        <f>IF(A60="","",posicao_contratual!W60)</f>
        <v/>
      </c>
      <c r="AN60" s="181" t="str">
        <f>IF(A60="","",posicao_contratual!X60)</f>
        <v/>
      </c>
    </row>
    <row r="61" spans="1:40" x14ac:dyDescent="0.35">
      <c r="A61" s="106"/>
      <c r="B61" s="107"/>
      <c r="C61" s="108"/>
      <c r="D61" s="104" t="str">
        <f>IF(AND(A61="",A60&lt;&gt;"",COUNTIF(A62:$A$200,"&lt;&gt;")=0),ROUND(SUMIF($A$2:A60,"&lt;&gt;",$D$2:D60),2),IF(OR(A61="",B61="",C61=""),"",ROUND(B61*C61,2)))</f>
        <v/>
      </c>
      <c r="E61" s="109"/>
      <c r="F61" s="104" t="str">
        <f>IF(AND(A61="",A60&lt;&gt;"",COUNTIF(A62:$A$200,"&lt;&gt;")=0),ROUND(SUMIF($A$2:A60,"&lt;&gt;",$F$2:F60),2),IF(OR(A61="",posicao_contratual!K61="",C61="",NOT(ISNUMBER($Z$3))),"",ROUND(posicao_contratual!K61*C61*$Z$3,2)))</f>
        <v/>
      </c>
      <c r="G61" s="109"/>
      <c r="H61" s="104" t="str">
        <f>IF(AND(A61="",A60&lt;&gt;"",COUNTIF(A62:$A$200,"&lt;&gt;")=0),ROUND(SUMIF($A$2:A60,"&lt;&gt;",$H$2:H60),2),IF(OR(A61="",posicao_contratual!O61="",C61="",NOT(ISNUMBER($Z$4))),"",ROUND(posicao_contratual!O61*C61*$Z$4,2)))</f>
        <v/>
      </c>
      <c r="I61" s="109"/>
      <c r="J61" s="104" t="str">
        <f>IF(AND(A61="",A60&lt;&gt;"",COUNTIF(A62:$A$200,"&lt;&gt;")=0),ROUND(SUMIF($A$2:A60,"&lt;&gt;",$J$2:J60),2),IF(OR(A61="",posicao_contratual!S61="",C61="",NOT(ISNUMBER($Z$5))),"",ROUND(posicao_contratual!S61*C61*$Z$5,2)))</f>
        <v/>
      </c>
      <c r="K61" s="109"/>
      <c r="L61" s="104" t="str">
        <f>IF(AND(A61="",A60&lt;&gt;"",COUNTIF(A62:$A$200,"&lt;&gt;")=0),ROUND(SUMIF($A$2:A60,"&lt;&gt;",$L$2:L60),2),IF(OR(A61="",posicao_contratual!W61="",C61="",NOT(ISNUMBER($Z$6))),"",ROUND(posicao_contratual!W61*C61*$Z$6,2)))</f>
        <v/>
      </c>
      <c r="M61" s="110" t="str">
        <f>IF(OR(posicao_contratual!J61="",posicao_contratual!N61=""),"",ROUND(MAX(posicao_contratual!J61+posicao_contratual!H61-posicao_contratual!N61,0),2))</f>
        <v/>
      </c>
      <c r="N61" s="104" t="str">
        <f>IF(AND(A61="",A60&lt;&gt;"",COUNTIF(A62:$A$200,"&lt;&gt;")=0),ROUND(SUMIF($A$2:A60,"&lt;&gt;",$N$2:N60),2),IF(OR(M61="",C61="",NOT(ISNUMBER($Z$3))),"",ROUND(M61*C61*$Z$3,2)))</f>
        <v/>
      </c>
      <c r="O61" s="110" t="str">
        <f>IF(OR(posicao_contratual!N61="",posicao_contratual!R61=""),"",ROUND(MAX(posicao_contratual!N61+posicao_contratual!L61-posicao_contratual!R61,0),2))</f>
        <v/>
      </c>
      <c r="P61" s="104" t="str">
        <f>IF(AND(A61="",A60&lt;&gt;"",COUNTIF(A62:$A$200,"&lt;&gt;")=0),ROUND(SUMIF($A$2:A60,"&lt;&gt;",$P$2:P60),2),IF(OR(O61="",C61="",NOT(ISNUMBER($Z$4))),"",ROUND(O61*C61*$Z$4,2)))</f>
        <v/>
      </c>
      <c r="Q61" s="110" t="str">
        <f>IF(OR(posicao_contratual!R61="",posicao_contratual!V61=""),"",ROUND(MAX(posicao_contratual!R61+posicao_contratual!P61-posicao_contratual!V61,0),2))</f>
        <v/>
      </c>
      <c r="R61" s="104" t="str">
        <f>IF(AND(A61="",A60&lt;&gt;"",COUNTIF(A62:$A$200,"&lt;&gt;")=0),ROUND(SUMIF($A$2:A60,"&lt;&gt;",$R$2:R60),2),IF(OR(Q61="",C61="",NOT(ISNUMBER($Z$5))),"",ROUND(Q61*C61*$Z$5,2)))</f>
        <v/>
      </c>
      <c r="S61" s="24"/>
      <c r="T61" s="25"/>
      <c r="U61" s="111" t="str">
        <f>IF(AND(A61="",A60&lt;&gt;"",COUNTIF(A62:$A$200,"&lt;&gt;")=0),"TOTAL",IF(A61="","",posicao_contratual!X61))</f>
        <v/>
      </c>
      <c r="V61" s="111" t="str">
        <f>IF(A61="","",posicao_contratual!X61)</f>
        <v/>
      </c>
      <c r="W61" s="16"/>
      <c r="X61" s="16"/>
      <c r="Y61" s="16"/>
      <c r="Z61" s="15"/>
      <c r="AA61" s="15"/>
      <c r="AB61" s="110" t="str">
        <f>IF(OR(A61="",posicao_contratual!E61="",posicao_contratual!J61=""),"",ROUND(MAX(posicao_contratual!E61-posicao_contratual!J61,0),2))</f>
        <v/>
      </c>
      <c r="AC61" s="104" t="str">
        <f>IF(AND(A61="",A60&lt;&gt;"",COUNTIF(A62:$A$200,"&lt;&gt;")=0),ROUND(SUMIF($A$2:A60,"&lt;&gt;",$AC$2:AC60),2),IF(OR(AB61="",C61="",NOT(ISNUMBER($Z$2))),"",ROUND(AB61*C61*$Z$2,2)))</f>
        <v/>
      </c>
      <c r="AD61" s="180" t="str">
        <f>IF(A61="","",posicao_contratual!E61)</f>
        <v/>
      </c>
      <c r="AE61" s="180" t="str">
        <f>IF(A61="","",posicao_contratual!I61)</f>
        <v/>
      </c>
      <c r="AF61" s="180" t="str">
        <f>IF(A61="","",posicao_contratual!M61)</f>
        <v/>
      </c>
      <c r="AG61" s="180" t="str">
        <f>IF(A61="","",posicao_contratual!Q61)</f>
        <v/>
      </c>
      <c r="AH61" s="180" t="str">
        <f>IF(A61="","",posicao_contratual!U61)</f>
        <v/>
      </c>
      <c r="AI61" s="180" t="str">
        <f>IF(A61="","",posicao_contratual!G61)</f>
        <v/>
      </c>
      <c r="AJ61" s="180" t="str">
        <f>IF(A61="","",posicao_contratual!K61)</f>
        <v/>
      </c>
      <c r="AK61" s="180" t="str">
        <f>IF(A61="","",posicao_contratual!O61)</f>
        <v/>
      </c>
      <c r="AL61" s="180" t="str">
        <f>IF(A61="","",posicao_contratual!S61)</f>
        <v/>
      </c>
      <c r="AM61" s="180" t="str">
        <f>IF(A61="","",posicao_contratual!W61)</f>
        <v/>
      </c>
      <c r="AN61" s="181" t="str">
        <f>IF(A61="","",posicao_contratual!X61)</f>
        <v/>
      </c>
    </row>
    <row r="62" spans="1:40" x14ac:dyDescent="0.35">
      <c r="A62" s="106"/>
      <c r="B62" s="107"/>
      <c r="C62" s="108"/>
      <c r="D62" s="104" t="str">
        <f>IF(AND(A62="",A61&lt;&gt;"",COUNTIF(A63:$A$200,"&lt;&gt;")=0),ROUND(SUMIF($A$2:A61,"&lt;&gt;",$D$2:D61),2),IF(OR(A62="",B62="",C62=""),"",ROUND(B62*C62,2)))</f>
        <v/>
      </c>
      <c r="E62" s="109"/>
      <c r="F62" s="104" t="str">
        <f>IF(AND(A62="",A61&lt;&gt;"",COUNTIF(A63:$A$200,"&lt;&gt;")=0),ROUND(SUMIF($A$2:A61,"&lt;&gt;",$F$2:F61),2),IF(OR(A62="",posicao_contratual!K62="",C62="",NOT(ISNUMBER($Z$3))),"",ROUND(posicao_contratual!K62*C62*$Z$3,2)))</f>
        <v/>
      </c>
      <c r="G62" s="109"/>
      <c r="H62" s="104" t="str">
        <f>IF(AND(A62="",A61&lt;&gt;"",COUNTIF(A63:$A$200,"&lt;&gt;")=0),ROUND(SUMIF($A$2:A61,"&lt;&gt;",$H$2:H61),2),IF(OR(A62="",posicao_contratual!O62="",C62="",NOT(ISNUMBER($Z$4))),"",ROUND(posicao_contratual!O62*C62*$Z$4,2)))</f>
        <v/>
      </c>
      <c r="I62" s="109"/>
      <c r="J62" s="104" t="str">
        <f>IF(AND(A62="",A61&lt;&gt;"",COUNTIF(A63:$A$200,"&lt;&gt;")=0),ROUND(SUMIF($A$2:A61,"&lt;&gt;",$J$2:J61),2),IF(OR(A62="",posicao_contratual!S62="",C62="",NOT(ISNUMBER($Z$5))),"",ROUND(posicao_contratual!S62*C62*$Z$5,2)))</f>
        <v/>
      </c>
      <c r="K62" s="109"/>
      <c r="L62" s="104" t="str">
        <f>IF(AND(A62="",A61&lt;&gt;"",COUNTIF(A63:$A$200,"&lt;&gt;")=0),ROUND(SUMIF($A$2:A61,"&lt;&gt;",$L$2:L61),2),IF(OR(A62="",posicao_contratual!W62="",C62="",NOT(ISNUMBER($Z$6))),"",ROUND(posicao_contratual!W62*C62*$Z$6,2)))</f>
        <v/>
      </c>
      <c r="M62" s="110" t="str">
        <f>IF(OR(posicao_contratual!J62="",posicao_contratual!N62=""),"",ROUND(MAX(posicao_contratual!J62+posicao_contratual!H62-posicao_contratual!N62,0),2))</f>
        <v/>
      </c>
      <c r="N62" s="104" t="str">
        <f>IF(AND(A62="",A61&lt;&gt;"",COUNTIF(A63:$A$200,"&lt;&gt;")=0),ROUND(SUMIF($A$2:A61,"&lt;&gt;",$N$2:N61),2),IF(OR(M62="",C62="",NOT(ISNUMBER($Z$3))),"",ROUND(M62*C62*$Z$3,2)))</f>
        <v/>
      </c>
      <c r="O62" s="110" t="str">
        <f>IF(OR(posicao_contratual!N62="",posicao_contratual!R62=""),"",ROUND(MAX(posicao_contratual!N62+posicao_contratual!L62-posicao_contratual!R62,0),2))</f>
        <v/>
      </c>
      <c r="P62" s="104" t="str">
        <f>IF(AND(A62="",A61&lt;&gt;"",COUNTIF(A63:$A$200,"&lt;&gt;")=0),ROUND(SUMIF($A$2:A61,"&lt;&gt;",$P$2:P61),2),IF(OR(O62="",C62="",NOT(ISNUMBER($Z$4))),"",ROUND(O62*C62*$Z$4,2)))</f>
        <v/>
      </c>
      <c r="Q62" s="110" t="str">
        <f>IF(OR(posicao_contratual!R62="",posicao_contratual!V62=""),"",ROUND(MAX(posicao_contratual!R62+posicao_contratual!P62-posicao_contratual!V62,0),2))</f>
        <v/>
      </c>
      <c r="R62" s="104" t="str">
        <f>IF(AND(A62="",A61&lt;&gt;"",COUNTIF(A63:$A$200,"&lt;&gt;")=0),ROUND(SUMIF($A$2:A61,"&lt;&gt;",$R$2:R61),2),IF(OR(Q62="",C62="",NOT(ISNUMBER($Z$5))),"",ROUND(Q62*C62*$Z$5,2)))</f>
        <v/>
      </c>
      <c r="S62" s="24"/>
      <c r="T62" s="25"/>
      <c r="U62" s="111" t="str">
        <f>IF(AND(A62="",A61&lt;&gt;"",COUNTIF(A63:$A$200,"&lt;&gt;")=0),"TOTAL",IF(A62="","",posicao_contratual!X62))</f>
        <v/>
      </c>
      <c r="V62" s="111" t="str">
        <f>IF(A62="","",posicao_contratual!X62)</f>
        <v/>
      </c>
      <c r="W62" s="16"/>
      <c r="X62" s="16"/>
      <c r="Y62" s="16"/>
      <c r="Z62" s="15"/>
      <c r="AA62" s="15"/>
      <c r="AB62" s="110" t="str">
        <f>IF(OR(A62="",posicao_contratual!E62="",posicao_contratual!J62=""),"",ROUND(MAX(posicao_contratual!E62-posicao_contratual!J62,0),2))</f>
        <v/>
      </c>
      <c r="AC62" s="104" t="str">
        <f>IF(AND(A62="",A61&lt;&gt;"",COUNTIF(A63:$A$200,"&lt;&gt;")=0),ROUND(SUMIF($A$2:A61,"&lt;&gt;",$AC$2:AC61),2),IF(OR(AB62="",C62="",NOT(ISNUMBER($Z$2))),"",ROUND(AB62*C62*$Z$2,2)))</f>
        <v/>
      </c>
      <c r="AD62" s="180" t="str">
        <f>IF(A62="","",posicao_contratual!E62)</f>
        <v/>
      </c>
      <c r="AE62" s="180" t="str">
        <f>IF(A62="","",posicao_contratual!I62)</f>
        <v/>
      </c>
      <c r="AF62" s="180" t="str">
        <f>IF(A62="","",posicao_contratual!M62)</f>
        <v/>
      </c>
      <c r="AG62" s="180" t="str">
        <f>IF(A62="","",posicao_contratual!Q62)</f>
        <v/>
      </c>
      <c r="AH62" s="180" t="str">
        <f>IF(A62="","",posicao_contratual!U62)</f>
        <v/>
      </c>
      <c r="AI62" s="180" t="str">
        <f>IF(A62="","",posicao_contratual!G62)</f>
        <v/>
      </c>
      <c r="AJ62" s="180" t="str">
        <f>IF(A62="","",posicao_contratual!K62)</f>
        <v/>
      </c>
      <c r="AK62" s="180" t="str">
        <f>IF(A62="","",posicao_contratual!O62)</f>
        <v/>
      </c>
      <c r="AL62" s="180" t="str">
        <f>IF(A62="","",posicao_contratual!S62)</f>
        <v/>
      </c>
      <c r="AM62" s="180" t="str">
        <f>IF(A62="","",posicao_contratual!W62)</f>
        <v/>
      </c>
      <c r="AN62" s="181" t="str">
        <f>IF(A62="","",posicao_contratual!X62)</f>
        <v/>
      </c>
    </row>
    <row r="63" spans="1:40" x14ac:dyDescent="0.35">
      <c r="A63" s="106"/>
      <c r="B63" s="107"/>
      <c r="C63" s="108"/>
      <c r="D63" s="104" t="str">
        <f>IF(AND(A63="",A62&lt;&gt;"",COUNTIF(A64:$A$200,"&lt;&gt;")=0),ROUND(SUMIF($A$2:A62,"&lt;&gt;",$D$2:D62),2),IF(OR(A63="",B63="",C63=""),"",ROUND(B63*C63,2)))</f>
        <v/>
      </c>
      <c r="E63" s="109"/>
      <c r="F63" s="104" t="str">
        <f>IF(AND(A63="",A62&lt;&gt;"",COUNTIF(A64:$A$200,"&lt;&gt;")=0),ROUND(SUMIF($A$2:A62,"&lt;&gt;",$F$2:F62),2),IF(OR(A63="",posicao_contratual!K63="",C63="",NOT(ISNUMBER($Z$3))),"",ROUND(posicao_contratual!K63*C63*$Z$3,2)))</f>
        <v/>
      </c>
      <c r="G63" s="109"/>
      <c r="H63" s="104" t="str">
        <f>IF(AND(A63="",A62&lt;&gt;"",COUNTIF(A64:$A$200,"&lt;&gt;")=0),ROUND(SUMIF($A$2:A62,"&lt;&gt;",$H$2:H62),2),IF(OR(A63="",posicao_contratual!O63="",C63="",NOT(ISNUMBER($Z$4))),"",ROUND(posicao_contratual!O63*C63*$Z$4,2)))</f>
        <v/>
      </c>
      <c r="I63" s="109"/>
      <c r="J63" s="104" t="str">
        <f>IF(AND(A63="",A62&lt;&gt;"",COUNTIF(A64:$A$200,"&lt;&gt;")=0),ROUND(SUMIF($A$2:A62,"&lt;&gt;",$J$2:J62),2),IF(OR(A63="",posicao_contratual!S63="",C63="",NOT(ISNUMBER($Z$5))),"",ROUND(posicao_contratual!S63*C63*$Z$5,2)))</f>
        <v/>
      </c>
      <c r="K63" s="109"/>
      <c r="L63" s="104" t="str">
        <f>IF(AND(A63="",A62&lt;&gt;"",COUNTIF(A64:$A$200,"&lt;&gt;")=0),ROUND(SUMIF($A$2:A62,"&lt;&gt;",$L$2:L62),2),IF(OR(A63="",posicao_contratual!W63="",C63="",NOT(ISNUMBER($Z$6))),"",ROUND(posicao_contratual!W63*C63*$Z$6,2)))</f>
        <v/>
      </c>
      <c r="M63" s="110" t="str">
        <f>IF(OR(posicao_contratual!J63="",posicao_contratual!N63=""),"",ROUND(MAX(posicao_contratual!J63+posicao_contratual!H63-posicao_contratual!N63,0),2))</f>
        <v/>
      </c>
      <c r="N63" s="104" t="str">
        <f>IF(AND(A63="",A62&lt;&gt;"",COUNTIF(A64:$A$200,"&lt;&gt;")=0),ROUND(SUMIF($A$2:A62,"&lt;&gt;",$N$2:N62),2),IF(OR(M63="",C63="",NOT(ISNUMBER($Z$3))),"",ROUND(M63*C63*$Z$3,2)))</f>
        <v/>
      </c>
      <c r="O63" s="110" t="str">
        <f>IF(OR(posicao_contratual!N63="",posicao_contratual!R63=""),"",ROUND(MAX(posicao_contratual!N63+posicao_contratual!L63-posicao_contratual!R63,0),2))</f>
        <v/>
      </c>
      <c r="P63" s="104" t="str">
        <f>IF(AND(A63="",A62&lt;&gt;"",COUNTIF(A64:$A$200,"&lt;&gt;")=0),ROUND(SUMIF($A$2:A62,"&lt;&gt;",$P$2:P62),2),IF(OR(O63="",C63="",NOT(ISNUMBER($Z$4))),"",ROUND(O63*C63*$Z$4,2)))</f>
        <v/>
      </c>
      <c r="Q63" s="110" t="str">
        <f>IF(OR(posicao_contratual!R63="",posicao_contratual!V63=""),"",ROUND(MAX(posicao_contratual!R63+posicao_contratual!P63-posicao_contratual!V63,0),2))</f>
        <v/>
      </c>
      <c r="R63" s="104" t="str">
        <f>IF(AND(A63="",A62&lt;&gt;"",COUNTIF(A64:$A$200,"&lt;&gt;")=0),ROUND(SUMIF($A$2:A62,"&lt;&gt;",$R$2:R62),2),IF(OR(Q63="",C63="",NOT(ISNUMBER($Z$5))),"",ROUND(Q63*C63*$Z$5,2)))</f>
        <v/>
      </c>
      <c r="S63" s="24"/>
      <c r="T63" s="25"/>
      <c r="U63" s="111" t="str">
        <f>IF(AND(A63="",A62&lt;&gt;"",COUNTIF(A64:$A$200,"&lt;&gt;")=0),"TOTAL",IF(A63="","",posicao_contratual!X63))</f>
        <v/>
      </c>
      <c r="V63" s="111" t="str">
        <f>IF(A63="","",posicao_contratual!X63)</f>
        <v/>
      </c>
      <c r="W63" s="16"/>
      <c r="X63" s="16"/>
      <c r="Y63" s="16"/>
      <c r="Z63" s="15"/>
      <c r="AA63" s="15"/>
      <c r="AB63" s="110" t="str">
        <f>IF(OR(A63="",posicao_contratual!E63="",posicao_contratual!J63=""),"",ROUND(MAX(posicao_contratual!E63-posicao_contratual!J63,0),2))</f>
        <v/>
      </c>
      <c r="AC63" s="104" t="str">
        <f>IF(AND(A63="",A62&lt;&gt;"",COUNTIF(A64:$A$200,"&lt;&gt;")=0),ROUND(SUMIF($A$2:A62,"&lt;&gt;",$AC$2:AC62),2),IF(OR(AB63="",C63="",NOT(ISNUMBER($Z$2))),"",ROUND(AB63*C63*$Z$2,2)))</f>
        <v/>
      </c>
      <c r="AD63" s="180" t="str">
        <f>IF(A63="","",posicao_contratual!E63)</f>
        <v/>
      </c>
      <c r="AE63" s="180" t="str">
        <f>IF(A63="","",posicao_contratual!I63)</f>
        <v/>
      </c>
      <c r="AF63" s="180" t="str">
        <f>IF(A63="","",posicao_contratual!M63)</f>
        <v/>
      </c>
      <c r="AG63" s="180" t="str">
        <f>IF(A63="","",posicao_contratual!Q63)</f>
        <v/>
      </c>
      <c r="AH63" s="180" t="str">
        <f>IF(A63="","",posicao_contratual!U63)</f>
        <v/>
      </c>
      <c r="AI63" s="180" t="str">
        <f>IF(A63="","",posicao_contratual!G63)</f>
        <v/>
      </c>
      <c r="AJ63" s="180" t="str">
        <f>IF(A63="","",posicao_contratual!K63)</f>
        <v/>
      </c>
      <c r="AK63" s="180" t="str">
        <f>IF(A63="","",posicao_contratual!O63)</f>
        <v/>
      </c>
      <c r="AL63" s="180" t="str">
        <f>IF(A63="","",posicao_contratual!S63)</f>
        <v/>
      </c>
      <c r="AM63" s="180" t="str">
        <f>IF(A63="","",posicao_contratual!W63)</f>
        <v/>
      </c>
      <c r="AN63" s="181" t="str">
        <f>IF(A63="","",posicao_contratual!X63)</f>
        <v/>
      </c>
    </row>
    <row r="64" spans="1:40" x14ac:dyDescent="0.35">
      <c r="A64" s="106"/>
      <c r="B64" s="107"/>
      <c r="C64" s="108"/>
      <c r="D64" s="104" t="str">
        <f>IF(AND(A64="",A63&lt;&gt;"",COUNTIF(A65:$A$200,"&lt;&gt;")=0),ROUND(SUMIF($A$2:A63,"&lt;&gt;",$D$2:D63),2),IF(OR(A64="",B64="",C64=""),"",ROUND(B64*C64,2)))</f>
        <v/>
      </c>
      <c r="E64" s="109"/>
      <c r="F64" s="104" t="str">
        <f>IF(AND(A64="",A63&lt;&gt;"",COUNTIF(A65:$A$200,"&lt;&gt;")=0),ROUND(SUMIF($A$2:A63,"&lt;&gt;",$F$2:F63),2),IF(OR(A64="",posicao_contratual!K64="",C64="",NOT(ISNUMBER($Z$3))),"",ROUND(posicao_contratual!K64*C64*$Z$3,2)))</f>
        <v/>
      </c>
      <c r="G64" s="109"/>
      <c r="H64" s="104" t="str">
        <f>IF(AND(A64="",A63&lt;&gt;"",COUNTIF(A65:$A$200,"&lt;&gt;")=0),ROUND(SUMIF($A$2:A63,"&lt;&gt;",$H$2:H63),2),IF(OR(A64="",posicao_contratual!O64="",C64="",NOT(ISNUMBER($Z$4))),"",ROUND(posicao_contratual!O64*C64*$Z$4,2)))</f>
        <v/>
      </c>
      <c r="I64" s="109"/>
      <c r="J64" s="104" t="str">
        <f>IF(AND(A64="",A63&lt;&gt;"",COUNTIF(A65:$A$200,"&lt;&gt;")=0),ROUND(SUMIF($A$2:A63,"&lt;&gt;",$J$2:J63),2),IF(OR(A64="",posicao_contratual!S64="",C64="",NOT(ISNUMBER($Z$5))),"",ROUND(posicao_contratual!S64*C64*$Z$5,2)))</f>
        <v/>
      </c>
      <c r="K64" s="109"/>
      <c r="L64" s="104" t="str">
        <f>IF(AND(A64="",A63&lt;&gt;"",COUNTIF(A65:$A$200,"&lt;&gt;")=0),ROUND(SUMIF($A$2:A63,"&lt;&gt;",$L$2:L63),2),IF(OR(A64="",posicao_contratual!W64="",C64="",NOT(ISNUMBER($Z$6))),"",ROUND(posicao_contratual!W64*C64*$Z$6,2)))</f>
        <v/>
      </c>
      <c r="M64" s="110" t="str">
        <f>IF(OR(posicao_contratual!J64="",posicao_contratual!N64=""),"",ROUND(MAX(posicao_contratual!J64+posicao_contratual!H64-posicao_contratual!N64,0),2))</f>
        <v/>
      </c>
      <c r="N64" s="104" t="str">
        <f>IF(AND(A64="",A63&lt;&gt;"",COUNTIF(A65:$A$200,"&lt;&gt;")=0),ROUND(SUMIF($A$2:A63,"&lt;&gt;",$N$2:N63),2),IF(OR(M64="",C64="",NOT(ISNUMBER($Z$3))),"",ROUND(M64*C64*$Z$3,2)))</f>
        <v/>
      </c>
      <c r="O64" s="110" t="str">
        <f>IF(OR(posicao_contratual!N64="",posicao_contratual!R64=""),"",ROUND(MAX(posicao_contratual!N64+posicao_contratual!L64-posicao_contratual!R64,0),2))</f>
        <v/>
      </c>
      <c r="P64" s="104" t="str">
        <f>IF(AND(A64="",A63&lt;&gt;"",COUNTIF(A65:$A$200,"&lt;&gt;")=0),ROUND(SUMIF($A$2:A63,"&lt;&gt;",$P$2:P63),2),IF(OR(O64="",C64="",NOT(ISNUMBER($Z$4))),"",ROUND(O64*C64*$Z$4,2)))</f>
        <v/>
      </c>
      <c r="Q64" s="110" t="str">
        <f>IF(OR(posicao_contratual!R64="",posicao_contratual!V64=""),"",ROUND(MAX(posicao_contratual!R64+posicao_contratual!P64-posicao_contratual!V64,0),2))</f>
        <v/>
      </c>
      <c r="R64" s="104" t="str">
        <f>IF(AND(A64="",A63&lt;&gt;"",COUNTIF(A65:$A$200,"&lt;&gt;")=0),ROUND(SUMIF($A$2:A63,"&lt;&gt;",$R$2:R63),2),IF(OR(Q64="",C64="",NOT(ISNUMBER($Z$5))),"",ROUND(Q64*C64*$Z$5,2)))</f>
        <v/>
      </c>
      <c r="S64" s="24"/>
      <c r="T64" s="25"/>
      <c r="U64" s="111" t="str">
        <f>IF(AND(A64="",A63&lt;&gt;"",COUNTIF(A65:$A$200,"&lt;&gt;")=0),"TOTAL",IF(A64="","",posicao_contratual!X64))</f>
        <v/>
      </c>
      <c r="V64" s="111" t="str">
        <f>IF(A64="","",posicao_contratual!X64)</f>
        <v/>
      </c>
      <c r="W64" s="16"/>
      <c r="X64" s="16"/>
      <c r="Y64" s="16"/>
      <c r="Z64" s="15"/>
      <c r="AA64" s="15"/>
      <c r="AB64" s="110" t="str">
        <f>IF(OR(A64="",posicao_contratual!E64="",posicao_contratual!J64=""),"",ROUND(MAX(posicao_contratual!E64-posicao_contratual!J64,0),2))</f>
        <v/>
      </c>
      <c r="AC64" s="104" t="str">
        <f>IF(AND(A64="",A63&lt;&gt;"",COUNTIF(A65:$A$200,"&lt;&gt;")=0),ROUND(SUMIF($A$2:A63,"&lt;&gt;",$AC$2:AC63),2),IF(OR(AB64="",C64="",NOT(ISNUMBER($Z$2))),"",ROUND(AB64*C64*$Z$2,2)))</f>
        <v/>
      </c>
      <c r="AD64" s="180" t="str">
        <f>IF(A64="","",posicao_contratual!E64)</f>
        <v/>
      </c>
      <c r="AE64" s="180" t="str">
        <f>IF(A64="","",posicao_contratual!I64)</f>
        <v/>
      </c>
      <c r="AF64" s="180" t="str">
        <f>IF(A64="","",posicao_contratual!M64)</f>
        <v/>
      </c>
      <c r="AG64" s="180" t="str">
        <f>IF(A64="","",posicao_contratual!Q64)</f>
        <v/>
      </c>
      <c r="AH64" s="180" t="str">
        <f>IF(A64="","",posicao_contratual!U64)</f>
        <v/>
      </c>
      <c r="AI64" s="180" t="str">
        <f>IF(A64="","",posicao_contratual!G64)</f>
        <v/>
      </c>
      <c r="AJ64" s="180" t="str">
        <f>IF(A64="","",posicao_contratual!K64)</f>
        <v/>
      </c>
      <c r="AK64" s="180" t="str">
        <f>IF(A64="","",posicao_contratual!O64)</f>
        <v/>
      </c>
      <c r="AL64" s="180" t="str">
        <f>IF(A64="","",posicao_contratual!S64)</f>
        <v/>
      </c>
      <c r="AM64" s="180" t="str">
        <f>IF(A64="","",posicao_contratual!W64)</f>
        <v/>
      </c>
      <c r="AN64" s="181" t="str">
        <f>IF(A64="","",posicao_contratual!X64)</f>
        <v/>
      </c>
    </row>
    <row r="65" spans="1:40" x14ac:dyDescent="0.35">
      <c r="A65" s="106"/>
      <c r="B65" s="107"/>
      <c r="C65" s="108"/>
      <c r="D65" s="104" t="str">
        <f>IF(AND(A65="",A64&lt;&gt;"",COUNTIF(A66:$A$200,"&lt;&gt;")=0),ROUND(SUMIF($A$2:A64,"&lt;&gt;",$D$2:D64),2),IF(OR(A65="",B65="",C65=""),"",ROUND(B65*C65,2)))</f>
        <v/>
      </c>
      <c r="E65" s="109"/>
      <c r="F65" s="104" t="str">
        <f>IF(AND(A65="",A64&lt;&gt;"",COUNTIF(A66:$A$200,"&lt;&gt;")=0),ROUND(SUMIF($A$2:A64,"&lt;&gt;",$F$2:F64),2),IF(OR(A65="",posicao_contratual!K65="",C65="",NOT(ISNUMBER($Z$3))),"",ROUND(posicao_contratual!K65*C65*$Z$3,2)))</f>
        <v/>
      </c>
      <c r="G65" s="109"/>
      <c r="H65" s="104" t="str">
        <f>IF(AND(A65="",A64&lt;&gt;"",COUNTIF(A66:$A$200,"&lt;&gt;")=0),ROUND(SUMIF($A$2:A64,"&lt;&gt;",$H$2:H64),2),IF(OR(A65="",posicao_contratual!O65="",C65="",NOT(ISNUMBER($Z$4))),"",ROUND(posicao_contratual!O65*C65*$Z$4,2)))</f>
        <v/>
      </c>
      <c r="I65" s="109"/>
      <c r="J65" s="104" t="str">
        <f>IF(AND(A65="",A64&lt;&gt;"",COUNTIF(A66:$A$200,"&lt;&gt;")=0),ROUND(SUMIF($A$2:A64,"&lt;&gt;",$J$2:J64),2),IF(OR(A65="",posicao_contratual!S65="",C65="",NOT(ISNUMBER($Z$5))),"",ROUND(posicao_contratual!S65*C65*$Z$5,2)))</f>
        <v/>
      </c>
      <c r="K65" s="109"/>
      <c r="L65" s="104" t="str">
        <f>IF(AND(A65="",A64&lt;&gt;"",COUNTIF(A66:$A$200,"&lt;&gt;")=0),ROUND(SUMIF($A$2:A64,"&lt;&gt;",$L$2:L64),2),IF(OR(A65="",posicao_contratual!W65="",C65="",NOT(ISNUMBER($Z$6))),"",ROUND(posicao_contratual!W65*C65*$Z$6,2)))</f>
        <v/>
      </c>
      <c r="M65" s="110" t="str">
        <f>IF(OR(posicao_contratual!J65="",posicao_contratual!N65=""),"",ROUND(MAX(posicao_contratual!J65+posicao_contratual!H65-posicao_contratual!N65,0),2))</f>
        <v/>
      </c>
      <c r="N65" s="104" t="str">
        <f>IF(AND(A65="",A64&lt;&gt;"",COUNTIF(A66:$A$200,"&lt;&gt;")=0),ROUND(SUMIF($A$2:A64,"&lt;&gt;",$N$2:N64),2),IF(OR(M65="",C65="",NOT(ISNUMBER($Z$3))),"",ROUND(M65*C65*$Z$3,2)))</f>
        <v/>
      </c>
      <c r="O65" s="110" t="str">
        <f>IF(OR(posicao_contratual!N65="",posicao_contratual!R65=""),"",ROUND(MAX(posicao_contratual!N65+posicao_contratual!L65-posicao_contratual!R65,0),2))</f>
        <v/>
      </c>
      <c r="P65" s="104" t="str">
        <f>IF(AND(A65="",A64&lt;&gt;"",COUNTIF(A66:$A$200,"&lt;&gt;")=0),ROUND(SUMIF($A$2:A64,"&lt;&gt;",$P$2:P64),2),IF(OR(O65="",C65="",NOT(ISNUMBER($Z$4))),"",ROUND(O65*C65*$Z$4,2)))</f>
        <v/>
      </c>
      <c r="Q65" s="110" t="str">
        <f>IF(OR(posicao_contratual!R65="",posicao_contratual!V65=""),"",ROUND(MAX(posicao_contratual!R65+posicao_contratual!P65-posicao_contratual!V65,0),2))</f>
        <v/>
      </c>
      <c r="R65" s="104" t="str">
        <f>IF(AND(A65="",A64&lt;&gt;"",COUNTIF(A66:$A$200,"&lt;&gt;")=0),ROUND(SUMIF($A$2:A64,"&lt;&gt;",$R$2:R64),2),IF(OR(Q65="",C65="",NOT(ISNUMBER($Z$5))),"",ROUND(Q65*C65*$Z$5,2)))</f>
        <v/>
      </c>
      <c r="S65" s="24"/>
      <c r="T65" s="25"/>
      <c r="U65" s="111" t="str">
        <f>IF(AND(A65="",A64&lt;&gt;"",COUNTIF(A66:$A$200,"&lt;&gt;")=0),"TOTAL",IF(A65="","",posicao_contratual!X65))</f>
        <v/>
      </c>
      <c r="V65" s="111" t="str">
        <f>IF(A65="","",posicao_contratual!X65)</f>
        <v/>
      </c>
      <c r="W65" s="16"/>
      <c r="X65" s="16"/>
      <c r="Y65" s="16"/>
      <c r="Z65" s="15"/>
      <c r="AA65" s="15"/>
      <c r="AB65" s="110" t="str">
        <f>IF(OR(A65="",posicao_contratual!E65="",posicao_contratual!J65=""),"",ROUND(MAX(posicao_contratual!E65-posicao_contratual!J65,0),2))</f>
        <v/>
      </c>
      <c r="AC65" s="104" t="str">
        <f>IF(AND(A65="",A64&lt;&gt;"",COUNTIF(A66:$A$200,"&lt;&gt;")=0),ROUND(SUMIF($A$2:A64,"&lt;&gt;",$AC$2:AC64),2),IF(OR(AB65="",C65="",NOT(ISNUMBER($Z$2))),"",ROUND(AB65*C65*$Z$2,2)))</f>
        <v/>
      </c>
      <c r="AD65" s="180" t="str">
        <f>IF(A65="","",posicao_contratual!E65)</f>
        <v/>
      </c>
      <c r="AE65" s="180" t="str">
        <f>IF(A65="","",posicao_contratual!I65)</f>
        <v/>
      </c>
      <c r="AF65" s="180" t="str">
        <f>IF(A65="","",posicao_contratual!M65)</f>
        <v/>
      </c>
      <c r="AG65" s="180" t="str">
        <f>IF(A65="","",posicao_contratual!Q65)</f>
        <v/>
      </c>
      <c r="AH65" s="180" t="str">
        <f>IF(A65="","",posicao_contratual!U65)</f>
        <v/>
      </c>
      <c r="AI65" s="180" t="str">
        <f>IF(A65="","",posicao_contratual!G65)</f>
        <v/>
      </c>
      <c r="AJ65" s="180" t="str">
        <f>IF(A65="","",posicao_contratual!K65)</f>
        <v/>
      </c>
      <c r="AK65" s="180" t="str">
        <f>IF(A65="","",posicao_contratual!O65)</f>
        <v/>
      </c>
      <c r="AL65" s="180" t="str">
        <f>IF(A65="","",posicao_contratual!S65)</f>
        <v/>
      </c>
      <c r="AM65" s="180" t="str">
        <f>IF(A65="","",posicao_contratual!W65)</f>
        <v/>
      </c>
      <c r="AN65" s="181" t="str">
        <f>IF(A65="","",posicao_contratual!X65)</f>
        <v/>
      </c>
    </row>
    <row r="66" spans="1:40" x14ac:dyDescent="0.35">
      <c r="A66" s="106"/>
      <c r="B66" s="107"/>
      <c r="C66" s="108"/>
      <c r="D66" s="104" t="str">
        <f>IF(AND(A66="",A65&lt;&gt;"",COUNTIF(A67:$A$200,"&lt;&gt;")=0),ROUND(SUMIF($A$2:A65,"&lt;&gt;",$D$2:D65),2),IF(OR(A66="",B66="",C66=""),"",ROUND(B66*C66,2)))</f>
        <v/>
      </c>
      <c r="E66" s="109"/>
      <c r="F66" s="104" t="str">
        <f>IF(AND(A66="",A65&lt;&gt;"",COUNTIF(A67:$A$200,"&lt;&gt;")=0),ROUND(SUMIF($A$2:A65,"&lt;&gt;",$F$2:F65),2),IF(OR(A66="",posicao_contratual!K66="",C66="",NOT(ISNUMBER($Z$3))),"",ROUND(posicao_contratual!K66*C66*$Z$3,2)))</f>
        <v/>
      </c>
      <c r="G66" s="109"/>
      <c r="H66" s="104" t="str">
        <f>IF(AND(A66="",A65&lt;&gt;"",COUNTIF(A67:$A$200,"&lt;&gt;")=0),ROUND(SUMIF($A$2:A65,"&lt;&gt;",$H$2:H65),2),IF(OR(A66="",posicao_contratual!O66="",C66="",NOT(ISNUMBER($Z$4))),"",ROUND(posicao_contratual!O66*C66*$Z$4,2)))</f>
        <v/>
      </c>
      <c r="I66" s="109"/>
      <c r="J66" s="104" t="str">
        <f>IF(AND(A66="",A65&lt;&gt;"",COUNTIF(A67:$A$200,"&lt;&gt;")=0),ROUND(SUMIF($A$2:A65,"&lt;&gt;",$J$2:J65),2),IF(OR(A66="",posicao_contratual!S66="",C66="",NOT(ISNUMBER($Z$5))),"",ROUND(posicao_contratual!S66*C66*$Z$5,2)))</f>
        <v/>
      </c>
      <c r="K66" s="109"/>
      <c r="L66" s="104" t="str">
        <f>IF(AND(A66="",A65&lt;&gt;"",COUNTIF(A67:$A$200,"&lt;&gt;")=0),ROUND(SUMIF($A$2:A65,"&lt;&gt;",$L$2:L65),2),IF(OR(A66="",posicao_contratual!W66="",C66="",NOT(ISNUMBER($Z$6))),"",ROUND(posicao_contratual!W66*C66*$Z$6,2)))</f>
        <v/>
      </c>
      <c r="M66" s="110" t="str">
        <f>IF(OR(posicao_contratual!J66="",posicao_contratual!N66=""),"",ROUND(MAX(posicao_contratual!J66+posicao_contratual!H66-posicao_contratual!N66,0),2))</f>
        <v/>
      </c>
      <c r="N66" s="104" t="str">
        <f>IF(AND(A66="",A65&lt;&gt;"",COUNTIF(A67:$A$200,"&lt;&gt;")=0),ROUND(SUMIF($A$2:A65,"&lt;&gt;",$N$2:N65),2),IF(OR(M66="",C66="",NOT(ISNUMBER($Z$3))),"",ROUND(M66*C66*$Z$3,2)))</f>
        <v/>
      </c>
      <c r="O66" s="110" t="str">
        <f>IF(OR(posicao_contratual!N66="",posicao_contratual!R66=""),"",ROUND(MAX(posicao_contratual!N66+posicao_contratual!L66-posicao_contratual!R66,0),2))</f>
        <v/>
      </c>
      <c r="P66" s="104" t="str">
        <f>IF(AND(A66="",A65&lt;&gt;"",COUNTIF(A67:$A$200,"&lt;&gt;")=0),ROUND(SUMIF($A$2:A65,"&lt;&gt;",$P$2:P65),2),IF(OR(O66="",C66="",NOT(ISNUMBER($Z$4))),"",ROUND(O66*C66*$Z$4,2)))</f>
        <v/>
      </c>
      <c r="Q66" s="110" t="str">
        <f>IF(OR(posicao_contratual!R66="",posicao_contratual!V66=""),"",ROUND(MAX(posicao_contratual!R66+posicao_contratual!P66-posicao_contratual!V66,0),2))</f>
        <v/>
      </c>
      <c r="R66" s="104" t="str">
        <f>IF(AND(A66="",A65&lt;&gt;"",COUNTIF(A67:$A$200,"&lt;&gt;")=0),ROUND(SUMIF($A$2:A65,"&lt;&gt;",$R$2:R65),2),IF(OR(Q66="",C66="",NOT(ISNUMBER($Z$5))),"",ROUND(Q66*C66*$Z$5,2)))</f>
        <v/>
      </c>
      <c r="S66" s="24"/>
      <c r="T66" s="25"/>
      <c r="U66" s="111" t="str">
        <f>IF(AND(A66="",A65&lt;&gt;"",COUNTIF(A67:$A$200,"&lt;&gt;")=0),"TOTAL",IF(A66="","",posicao_contratual!X66))</f>
        <v/>
      </c>
      <c r="V66" s="111" t="str">
        <f>IF(A66="","",posicao_contratual!X66)</f>
        <v/>
      </c>
      <c r="W66" s="16"/>
      <c r="X66" s="16"/>
      <c r="Y66" s="16"/>
      <c r="Z66" s="15"/>
      <c r="AA66" s="15"/>
      <c r="AB66" s="110" t="str">
        <f>IF(OR(A66="",posicao_contratual!E66="",posicao_contratual!J66=""),"",ROUND(MAX(posicao_contratual!E66-posicao_contratual!J66,0),2))</f>
        <v/>
      </c>
      <c r="AC66" s="104" t="str">
        <f>IF(AND(A66="",A65&lt;&gt;"",COUNTIF(A67:$A$200,"&lt;&gt;")=0),ROUND(SUMIF($A$2:A65,"&lt;&gt;",$AC$2:AC65),2),IF(OR(AB66="",C66="",NOT(ISNUMBER($Z$2))),"",ROUND(AB66*C66*$Z$2,2)))</f>
        <v/>
      </c>
      <c r="AD66" s="180" t="str">
        <f>IF(A66="","",posicao_contratual!E66)</f>
        <v/>
      </c>
      <c r="AE66" s="180" t="str">
        <f>IF(A66="","",posicao_contratual!I66)</f>
        <v/>
      </c>
      <c r="AF66" s="180" t="str">
        <f>IF(A66="","",posicao_contratual!M66)</f>
        <v/>
      </c>
      <c r="AG66" s="180" t="str">
        <f>IF(A66="","",posicao_contratual!Q66)</f>
        <v/>
      </c>
      <c r="AH66" s="180" t="str">
        <f>IF(A66="","",posicao_contratual!U66)</f>
        <v/>
      </c>
      <c r="AI66" s="180" t="str">
        <f>IF(A66="","",posicao_contratual!G66)</f>
        <v/>
      </c>
      <c r="AJ66" s="180" t="str">
        <f>IF(A66="","",posicao_contratual!K66)</f>
        <v/>
      </c>
      <c r="AK66" s="180" t="str">
        <f>IF(A66="","",posicao_contratual!O66)</f>
        <v/>
      </c>
      <c r="AL66" s="180" t="str">
        <f>IF(A66="","",posicao_contratual!S66)</f>
        <v/>
      </c>
      <c r="AM66" s="180" t="str">
        <f>IF(A66="","",posicao_contratual!W66)</f>
        <v/>
      </c>
      <c r="AN66" s="181" t="str">
        <f>IF(A66="","",posicao_contratual!X66)</f>
        <v/>
      </c>
    </row>
    <row r="67" spans="1:40" x14ac:dyDescent="0.35">
      <c r="A67" s="106"/>
      <c r="B67" s="107"/>
      <c r="C67" s="108"/>
      <c r="D67" s="104" t="str">
        <f>IF(AND(A67="",A66&lt;&gt;"",COUNTIF(A68:$A$200,"&lt;&gt;")=0),ROUND(SUMIF($A$2:A66,"&lt;&gt;",$D$2:D66),2),IF(OR(A67="",B67="",C67=""),"",ROUND(B67*C67,2)))</f>
        <v/>
      </c>
      <c r="E67" s="109"/>
      <c r="F67" s="104" t="str">
        <f>IF(AND(A67="",A66&lt;&gt;"",COUNTIF(A68:$A$200,"&lt;&gt;")=0),ROUND(SUMIF($A$2:A66,"&lt;&gt;",$F$2:F66),2),IF(OR(A67="",posicao_contratual!K67="",C67="",NOT(ISNUMBER($Z$3))),"",ROUND(posicao_contratual!K67*C67*$Z$3,2)))</f>
        <v/>
      </c>
      <c r="G67" s="109"/>
      <c r="H67" s="104" t="str">
        <f>IF(AND(A67="",A66&lt;&gt;"",COUNTIF(A68:$A$200,"&lt;&gt;")=0),ROUND(SUMIF($A$2:A66,"&lt;&gt;",$H$2:H66),2),IF(OR(A67="",posicao_contratual!O67="",C67="",NOT(ISNUMBER($Z$4))),"",ROUND(posicao_contratual!O67*C67*$Z$4,2)))</f>
        <v/>
      </c>
      <c r="I67" s="109"/>
      <c r="J67" s="104" t="str">
        <f>IF(AND(A67="",A66&lt;&gt;"",COUNTIF(A68:$A$200,"&lt;&gt;")=0),ROUND(SUMIF($A$2:A66,"&lt;&gt;",$J$2:J66),2),IF(OR(A67="",posicao_contratual!S67="",C67="",NOT(ISNUMBER($Z$5))),"",ROUND(posicao_contratual!S67*C67*$Z$5,2)))</f>
        <v/>
      </c>
      <c r="K67" s="109"/>
      <c r="L67" s="104" t="str">
        <f>IF(AND(A67="",A66&lt;&gt;"",COUNTIF(A68:$A$200,"&lt;&gt;")=0),ROUND(SUMIF($A$2:A66,"&lt;&gt;",$L$2:L66),2),IF(OR(A67="",posicao_contratual!W67="",C67="",NOT(ISNUMBER($Z$6))),"",ROUND(posicao_contratual!W67*C67*$Z$6,2)))</f>
        <v/>
      </c>
      <c r="M67" s="110" t="str">
        <f>IF(OR(posicao_contratual!J67="",posicao_contratual!N67=""),"",ROUND(MAX(posicao_contratual!J67+posicao_contratual!H67-posicao_contratual!N67,0),2))</f>
        <v/>
      </c>
      <c r="N67" s="104" t="str">
        <f>IF(AND(A67="",A66&lt;&gt;"",COUNTIF(A68:$A$200,"&lt;&gt;")=0),ROUND(SUMIF($A$2:A66,"&lt;&gt;",$N$2:N66),2),IF(OR(M67="",C67="",NOT(ISNUMBER($Z$3))),"",ROUND(M67*C67*$Z$3,2)))</f>
        <v/>
      </c>
      <c r="O67" s="110" t="str">
        <f>IF(OR(posicao_contratual!N67="",posicao_contratual!R67=""),"",ROUND(MAX(posicao_contratual!N67+posicao_contratual!L67-posicao_contratual!R67,0),2))</f>
        <v/>
      </c>
      <c r="P67" s="104" t="str">
        <f>IF(AND(A67="",A66&lt;&gt;"",COUNTIF(A68:$A$200,"&lt;&gt;")=0),ROUND(SUMIF($A$2:A66,"&lt;&gt;",$P$2:P66),2),IF(OR(O67="",C67="",NOT(ISNUMBER($Z$4))),"",ROUND(O67*C67*$Z$4,2)))</f>
        <v/>
      </c>
      <c r="Q67" s="110" t="str">
        <f>IF(OR(posicao_contratual!R67="",posicao_contratual!V67=""),"",ROUND(MAX(posicao_contratual!R67+posicao_contratual!P67-posicao_contratual!V67,0),2))</f>
        <v/>
      </c>
      <c r="R67" s="104" t="str">
        <f>IF(AND(A67="",A66&lt;&gt;"",COUNTIF(A68:$A$200,"&lt;&gt;")=0),ROUND(SUMIF($A$2:A66,"&lt;&gt;",$R$2:R66),2),IF(OR(Q67="",C67="",NOT(ISNUMBER($Z$5))),"",ROUND(Q67*C67*$Z$5,2)))</f>
        <v/>
      </c>
      <c r="S67" s="24"/>
      <c r="T67" s="25"/>
      <c r="U67" s="111" t="str">
        <f>IF(AND(A67="",A66&lt;&gt;"",COUNTIF(A68:$A$200,"&lt;&gt;")=0),"TOTAL",IF(A67="","",posicao_contratual!X67))</f>
        <v/>
      </c>
      <c r="V67" s="111" t="str">
        <f>IF(A67="","",posicao_contratual!X67)</f>
        <v/>
      </c>
      <c r="W67" s="16"/>
      <c r="X67" s="16"/>
      <c r="Y67" s="16"/>
      <c r="Z67" s="15"/>
      <c r="AA67" s="15"/>
      <c r="AB67" s="110" t="str">
        <f>IF(OR(A67="",posicao_contratual!E67="",posicao_contratual!J67=""),"",ROUND(MAX(posicao_contratual!E67-posicao_contratual!J67,0),2))</f>
        <v/>
      </c>
      <c r="AC67" s="104" t="str">
        <f>IF(AND(A67="",A66&lt;&gt;"",COUNTIF(A68:$A$200,"&lt;&gt;")=0),ROUND(SUMIF($A$2:A66,"&lt;&gt;",$AC$2:AC66),2),IF(OR(AB67="",C67="",NOT(ISNUMBER($Z$2))),"",ROUND(AB67*C67*$Z$2,2)))</f>
        <v/>
      </c>
      <c r="AD67" s="180" t="str">
        <f>IF(A67="","",posicao_contratual!E67)</f>
        <v/>
      </c>
      <c r="AE67" s="180" t="str">
        <f>IF(A67="","",posicao_contratual!I67)</f>
        <v/>
      </c>
      <c r="AF67" s="180" t="str">
        <f>IF(A67="","",posicao_contratual!M67)</f>
        <v/>
      </c>
      <c r="AG67" s="180" t="str">
        <f>IF(A67="","",posicao_contratual!Q67)</f>
        <v/>
      </c>
      <c r="AH67" s="180" t="str">
        <f>IF(A67="","",posicao_contratual!U67)</f>
        <v/>
      </c>
      <c r="AI67" s="180" t="str">
        <f>IF(A67="","",posicao_contratual!G67)</f>
        <v/>
      </c>
      <c r="AJ67" s="180" t="str">
        <f>IF(A67="","",posicao_contratual!K67)</f>
        <v/>
      </c>
      <c r="AK67" s="180" t="str">
        <f>IF(A67="","",posicao_contratual!O67)</f>
        <v/>
      </c>
      <c r="AL67" s="180" t="str">
        <f>IF(A67="","",posicao_contratual!S67)</f>
        <v/>
      </c>
      <c r="AM67" s="180" t="str">
        <f>IF(A67="","",posicao_contratual!W67)</f>
        <v/>
      </c>
      <c r="AN67" s="181" t="str">
        <f>IF(A67="","",posicao_contratual!X67)</f>
        <v/>
      </c>
    </row>
    <row r="68" spans="1:40" x14ac:dyDescent="0.35">
      <c r="A68" s="106"/>
      <c r="B68" s="107"/>
      <c r="C68" s="108"/>
      <c r="D68" s="104" t="str">
        <f>IF(AND(A68="",A67&lt;&gt;"",COUNTIF(A69:$A$200,"&lt;&gt;")=0),ROUND(SUMIF($A$2:A67,"&lt;&gt;",$D$2:D67),2),IF(OR(A68="",B68="",C68=""),"",ROUND(B68*C68,2)))</f>
        <v/>
      </c>
      <c r="E68" s="109"/>
      <c r="F68" s="104" t="str">
        <f>IF(AND(A68="",A67&lt;&gt;"",COUNTIF(A69:$A$200,"&lt;&gt;")=0),ROUND(SUMIF($A$2:A67,"&lt;&gt;",$F$2:F67),2),IF(OR(A68="",posicao_contratual!K68="",C68="",NOT(ISNUMBER($Z$3))),"",ROUND(posicao_contratual!K68*C68*$Z$3,2)))</f>
        <v/>
      </c>
      <c r="G68" s="109"/>
      <c r="H68" s="104" t="str">
        <f>IF(AND(A68="",A67&lt;&gt;"",COUNTIF(A69:$A$200,"&lt;&gt;")=0),ROUND(SUMIF($A$2:A67,"&lt;&gt;",$H$2:H67),2),IF(OR(A68="",posicao_contratual!O68="",C68="",NOT(ISNUMBER($Z$4))),"",ROUND(posicao_contratual!O68*C68*$Z$4,2)))</f>
        <v/>
      </c>
      <c r="I68" s="109"/>
      <c r="J68" s="104" t="str">
        <f>IF(AND(A68="",A67&lt;&gt;"",COUNTIF(A69:$A$200,"&lt;&gt;")=0),ROUND(SUMIF($A$2:A67,"&lt;&gt;",$J$2:J67),2),IF(OR(A68="",posicao_contratual!S68="",C68="",NOT(ISNUMBER($Z$5))),"",ROUND(posicao_contratual!S68*C68*$Z$5,2)))</f>
        <v/>
      </c>
      <c r="K68" s="109"/>
      <c r="L68" s="104" t="str">
        <f>IF(AND(A68="",A67&lt;&gt;"",COUNTIF(A69:$A$200,"&lt;&gt;")=0),ROUND(SUMIF($A$2:A67,"&lt;&gt;",$L$2:L67),2),IF(OR(A68="",posicao_contratual!W68="",C68="",NOT(ISNUMBER($Z$6))),"",ROUND(posicao_contratual!W68*C68*$Z$6,2)))</f>
        <v/>
      </c>
      <c r="M68" s="110" t="str">
        <f>IF(OR(posicao_contratual!J68="",posicao_contratual!N68=""),"",ROUND(MAX(posicao_contratual!J68+posicao_contratual!H68-posicao_contratual!N68,0),2))</f>
        <v/>
      </c>
      <c r="N68" s="104" t="str">
        <f>IF(AND(A68="",A67&lt;&gt;"",COUNTIF(A69:$A$200,"&lt;&gt;")=0),ROUND(SUMIF($A$2:A67,"&lt;&gt;",$N$2:N67),2),IF(OR(M68="",C68="",NOT(ISNUMBER($Z$3))),"",ROUND(M68*C68*$Z$3,2)))</f>
        <v/>
      </c>
      <c r="O68" s="110" t="str">
        <f>IF(OR(posicao_contratual!N68="",posicao_contratual!R68=""),"",ROUND(MAX(posicao_contratual!N68+posicao_contratual!L68-posicao_contratual!R68,0),2))</f>
        <v/>
      </c>
      <c r="P68" s="104" t="str">
        <f>IF(AND(A68="",A67&lt;&gt;"",COUNTIF(A69:$A$200,"&lt;&gt;")=0),ROUND(SUMIF($A$2:A67,"&lt;&gt;",$P$2:P67),2),IF(OR(O68="",C68="",NOT(ISNUMBER($Z$4))),"",ROUND(O68*C68*$Z$4,2)))</f>
        <v/>
      </c>
      <c r="Q68" s="110" t="str">
        <f>IF(OR(posicao_contratual!R68="",posicao_contratual!V68=""),"",ROUND(MAX(posicao_contratual!R68+posicao_contratual!P68-posicao_contratual!V68,0),2))</f>
        <v/>
      </c>
      <c r="R68" s="104" t="str">
        <f>IF(AND(A68="",A67&lt;&gt;"",COUNTIF(A69:$A$200,"&lt;&gt;")=0),ROUND(SUMIF($A$2:A67,"&lt;&gt;",$R$2:R67),2),IF(OR(Q68="",C68="",NOT(ISNUMBER($Z$5))),"",ROUND(Q68*C68*$Z$5,2)))</f>
        <v/>
      </c>
      <c r="S68" s="24"/>
      <c r="T68" s="25"/>
      <c r="U68" s="111" t="str">
        <f>IF(AND(A68="",A67&lt;&gt;"",COUNTIF(A69:$A$200,"&lt;&gt;")=0),"TOTAL",IF(A68="","",posicao_contratual!X68))</f>
        <v/>
      </c>
      <c r="V68" s="111" t="str">
        <f>IF(A68="","",posicao_contratual!X68)</f>
        <v/>
      </c>
      <c r="W68" s="16"/>
      <c r="X68" s="16"/>
      <c r="Y68" s="16"/>
      <c r="Z68" s="15"/>
      <c r="AA68" s="15"/>
      <c r="AB68" s="110" t="str">
        <f>IF(OR(A68="",posicao_contratual!E68="",posicao_contratual!J68=""),"",ROUND(MAX(posicao_contratual!E68-posicao_contratual!J68,0),2))</f>
        <v/>
      </c>
      <c r="AC68" s="104" t="str">
        <f>IF(AND(A68="",A67&lt;&gt;"",COUNTIF(A69:$A$200,"&lt;&gt;")=0),ROUND(SUMIF($A$2:A67,"&lt;&gt;",$AC$2:AC67),2),IF(OR(AB68="",C68="",NOT(ISNUMBER($Z$2))),"",ROUND(AB68*C68*$Z$2,2)))</f>
        <v/>
      </c>
      <c r="AD68" s="180" t="str">
        <f>IF(A68="","",posicao_contratual!E68)</f>
        <v/>
      </c>
      <c r="AE68" s="180" t="str">
        <f>IF(A68="","",posicao_contratual!I68)</f>
        <v/>
      </c>
      <c r="AF68" s="180" t="str">
        <f>IF(A68="","",posicao_contratual!M68)</f>
        <v/>
      </c>
      <c r="AG68" s="180" t="str">
        <f>IF(A68="","",posicao_contratual!Q68)</f>
        <v/>
      </c>
      <c r="AH68" s="180" t="str">
        <f>IF(A68="","",posicao_contratual!U68)</f>
        <v/>
      </c>
      <c r="AI68" s="180" t="str">
        <f>IF(A68="","",posicao_contratual!G68)</f>
        <v/>
      </c>
      <c r="AJ68" s="180" t="str">
        <f>IF(A68="","",posicao_contratual!K68)</f>
        <v/>
      </c>
      <c r="AK68" s="180" t="str">
        <f>IF(A68="","",posicao_contratual!O68)</f>
        <v/>
      </c>
      <c r="AL68" s="180" t="str">
        <f>IF(A68="","",posicao_contratual!S68)</f>
        <v/>
      </c>
      <c r="AM68" s="180" t="str">
        <f>IF(A68="","",posicao_contratual!W68)</f>
        <v/>
      </c>
      <c r="AN68" s="181" t="str">
        <f>IF(A68="","",posicao_contratual!X68)</f>
        <v/>
      </c>
    </row>
    <row r="69" spans="1:40" x14ac:dyDescent="0.35">
      <c r="A69" s="106"/>
      <c r="B69" s="107"/>
      <c r="C69" s="108"/>
      <c r="D69" s="104" t="str">
        <f>IF(AND(A69="",A68&lt;&gt;"",COUNTIF(A70:$A$200,"&lt;&gt;")=0),ROUND(SUMIF($A$2:A68,"&lt;&gt;",$D$2:D68),2),IF(OR(A69="",B69="",C69=""),"",ROUND(B69*C69,2)))</f>
        <v/>
      </c>
      <c r="E69" s="109"/>
      <c r="F69" s="104" t="str">
        <f>IF(AND(A69="",A68&lt;&gt;"",COUNTIF(A70:$A$200,"&lt;&gt;")=0),ROUND(SUMIF($A$2:A68,"&lt;&gt;",$F$2:F68),2),IF(OR(A69="",posicao_contratual!K69="",C69="",NOT(ISNUMBER($Z$3))),"",ROUND(posicao_contratual!K69*C69*$Z$3,2)))</f>
        <v/>
      </c>
      <c r="G69" s="109"/>
      <c r="H69" s="104" t="str">
        <f>IF(AND(A69="",A68&lt;&gt;"",COUNTIF(A70:$A$200,"&lt;&gt;")=0),ROUND(SUMIF($A$2:A68,"&lt;&gt;",$H$2:H68),2),IF(OR(A69="",posicao_contratual!O69="",C69="",NOT(ISNUMBER($Z$4))),"",ROUND(posicao_contratual!O69*C69*$Z$4,2)))</f>
        <v/>
      </c>
      <c r="I69" s="109"/>
      <c r="J69" s="104" t="str">
        <f>IF(AND(A69="",A68&lt;&gt;"",COUNTIF(A70:$A$200,"&lt;&gt;")=0),ROUND(SUMIF($A$2:A68,"&lt;&gt;",$J$2:J68),2),IF(OR(A69="",posicao_contratual!S69="",C69="",NOT(ISNUMBER($Z$5))),"",ROUND(posicao_contratual!S69*C69*$Z$5,2)))</f>
        <v/>
      </c>
      <c r="K69" s="109"/>
      <c r="L69" s="104" t="str">
        <f>IF(AND(A69="",A68&lt;&gt;"",COUNTIF(A70:$A$200,"&lt;&gt;")=0),ROUND(SUMIF($A$2:A68,"&lt;&gt;",$L$2:L68),2),IF(OR(A69="",posicao_contratual!W69="",C69="",NOT(ISNUMBER($Z$6))),"",ROUND(posicao_contratual!W69*C69*$Z$6,2)))</f>
        <v/>
      </c>
      <c r="M69" s="110" t="str">
        <f>IF(OR(posicao_contratual!J69="",posicao_contratual!N69=""),"",ROUND(MAX(posicao_contratual!J69+posicao_contratual!H69-posicao_contratual!N69,0),2))</f>
        <v/>
      </c>
      <c r="N69" s="104" t="str">
        <f>IF(AND(A69="",A68&lt;&gt;"",COUNTIF(A70:$A$200,"&lt;&gt;")=0),ROUND(SUMIF($A$2:A68,"&lt;&gt;",$N$2:N68),2),IF(OR(M69="",C69="",NOT(ISNUMBER($Z$3))),"",ROUND(M69*C69*$Z$3,2)))</f>
        <v/>
      </c>
      <c r="O69" s="110" t="str">
        <f>IF(OR(posicao_contratual!N69="",posicao_contratual!R69=""),"",ROUND(MAX(posicao_contratual!N69+posicao_contratual!L69-posicao_contratual!R69,0),2))</f>
        <v/>
      </c>
      <c r="P69" s="104" t="str">
        <f>IF(AND(A69="",A68&lt;&gt;"",COUNTIF(A70:$A$200,"&lt;&gt;")=0),ROUND(SUMIF($A$2:A68,"&lt;&gt;",$P$2:P68),2),IF(OR(O69="",C69="",NOT(ISNUMBER($Z$4))),"",ROUND(O69*C69*$Z$4,2)))</f>
        <v/>
      </c>
      <c r="Q69" s="110" t="str">
        <f>IF(OR(posicao_contratual!R69="",posicao_contratual!V69=""),"",ROUND(MAX(posicao_contratual!R69+posicao_contratual!P69-posicao_contratual!V69,0),2))</f>
        <v/>
      </c>
      <c r="R69" s="104" t="str">
        <f>IF(AND(A69="",A68&lt;&gt;"",COUNTIF(A70:$A$200,"&lt;&gt;")=0),ROUND(SUMIF($A$2:A68,"&lt;&gt;",$R$2:R68),2),IF(OR(Q69="",C69="",NOT(ISNUMBER($Z$5))),"",ROUND(Q69*C69*$Z$5,2)))</f>
        <v/>
      </c>
      <c r="S69" s="24"/>
      <c r="T69" s="25"/>
      <c r="U69" s="111" t="str">
        <f>IF(AND(A69="",A68&lt;&gt;"",COUNTIF(A70:$A$200,"&lt;&gt;")=0),"TOTAL",IF(A69="","",posicao_contratual!X69))</f>
        <v/>
      </c>
      <c r="V69" s="111" t="str">
        <f>IF(A69="","",posicao_contratual!X69)</f>
        <v/>
      </c>
      <c r="W69" s="16"/>
      <c r="X69" s="16"/>
      <c r="Y69" s="16"/>
      <c r="Z69" s="15"/>
      <c r="AA69" s="15"/>
      <c r="AB69" s="110" t="str">
        <f>IF(OR(A69="",posicao_contratual!E69="",posicao_contratual!J69=""),"",ROUND(MAX(posicao_contratual!E69-posicao_contratual!J69,0),2))</f>
        <v/>
      </c>
      <c r="AC69" s="104" t="str">
        <f>IF(AND(A69="",A68&lt;&gt;"",COUNTIF(A70:$A$200,"&lt;&gt;")=0),ROUND(SUMIF($A$2:A68,"&lt;&gt;",$AC$2:AC68),2),IF(OR(AB69="",C69="",NOT(ISNUMBER($Z$2))),"",ROUND(AB69*C69*$Z$2,2)))</f>
        <v/>
      </c>
      <c r="AD69" s="180" t="str">
        <f>IF(A69="","",posicao_contratual!E69)</f>
        <v/>
      </c>
      <c r="AE69" s="180" t="str">
        <f>IF(A69="","",posicao_contratual!I69)</f>
        <v/>
      </c>
      <c r="AF69" s="180" t="str">
        <f>IF(A69="","",posicao_contratual!M69)</f>
        <v/>
      </c>
      <c r="AG69" s="180" t="str">
        <f>IF(A69="","",posicao_contratual!Q69)</f>
        <v/>
      </c>
      <c r="AH69" s="180" t="str">
        <f>IF(A69="","",posicao_contratual!U69)</f>
        <v/>
      </c>
      <c r="AI69" s="180" t="str">
        <f>IF(A69="","",posicao_contratual!G69)</f>
        <v/>
      </c>
      <c r="AJ69" s="180" t="str">
        <f>IF(A69="","",posicao_contratual!K69)</f>
        <v/>
      </c>
      <c r="AK69" s="180" t="str">
        <f>IF(A69="","",posicao_contratual!O69)</f>
        <v/>
      </c>
      <c r="AL69" s="180" t="str">
        <f>IF(A69="","",posicao_contratual!S69)</f>
        <v/>
      </c>
      <c r="AM69" s="180" t="str">
        <f>IF(A69="","",posicao_contratual!W69)</f>
        <v/>
      </c>
      <c r="AN69" s="181" t="str">
        <f>IF(A69="","",posicao_contratual!X69)</f>
        <v/>
      </c>
    </row>
    <row r="70" spans="1:40" x14ac:dyDescent="0.35">
      <c r="A70" s="106"/>
      <c r="B70" s="107"/>
      <c r="C70" s="108"/>
      <c r="D70" s="104" t="str">
        <f>IF(AND(A70="",A69&lt;&gt;"",COUNTIF(A71:$A$200,"&lt;&gt;")=0),ROUND(SUMIF($A$2:A69,"&lt;&gt;",$D$2:D69),2),IF(OR(A70="",B70="",C70=""),"",ROUND(B70*C70,2)))</f>
        <v/>
      </c>
      <c r="E70" s="109"/>
      <c r="F70" s="104" t="str">
        <f>IF(AND(A70="",A69&lt;&gt;"",COUNTIF(A71:$A$200,"&lt;&gt;")=0),ROUND(SUMIF($A$2:A69,"&lt;&gt;",$F$2:F69),2),IF(OR(A70="",posicao_contratual!K70="",C70="",NOT(ISNUMBER($Z$3))),"",ROUND(posicao_contratual!K70*C70*$Z$3,2)))</f>
        <v/>
      </c>
      <c r="G70" s="109"/>
      <c r="H70" s="104" t="str">
        <f>IF(AND(A70="",A69&lt;&gt;"",COUNTIF(A71:$A$200,"&lt;&gt;")=0),ROUND(SUMIF($A$2:A69,"&lt;&gt;",$H$2:H69),2),IF(OR(A70="",posicao_contratual!O70="",C70="",NOT(ISNUMBER($Z$4))),"",ROUND(posicao_contratual!O70*C70*$Z$4,2)))</f>
        <v/>
      </c>
      <c r="I70" s="109"/>
      <c r="J70" s="104" t="str">
        <f>IF(AND(A70="",A69&lt;&gt;"",COUNTIF(A71:$A$200,"&lt;&gt;")=0),ROUND(SUMIF($A$2:A69,"&lt;&gt;",$J$2:J69),2),IF(OR(A70="",posicao_contratual!S70="",C70="",NOT(ISNUMBER($Z$5))),"",ROUND(posicao_contratual!S70*C70*$Z$5,2)))</f>
        <v/>
      </c>
      <c r="K70" s="109"/>
      <c r="L70" s="104" t="str">
        <f>IF(AND(A70="",A69&lt;&gt;"",COUNTIF(A71:$A$200,"&lt;&gt;")=0),ROUND(SUMIF($A$2:A69,"&lt;&gt;",$L$2:L69),2),IF(OR(A70="",posicao_contratual!W70="",C70="",NOT(ISNUMBER($Z$6))),"",ROUND(posicao_contratual!W70*C70*$Z$6,2)))</f>
        <v/>
      </c>
      <c r="M70" s="110" t="str">
        <f>IF(OR(posicao_contratual!J70="",posicao_contratual!N70=""),"",ROUND(MAX(posicao_contratual!J70+posicao_contratual!H70-posicao_contratual!N70,0),2))</f>
        <v/>
      </c>
      <c r="N70" s="104" t="str">
        <f>IF(AND(A70="",A69&lt;&gt;"",COUNTIF(A71:$A$200,"&lt;&gt;")=0),ROUND(SUMIF($A$2:A69,"&lt;&gt;",$N$2:N69),2),IF(OR(M70="",C70="",NOT(ISNUMBER($Z$3))),"",ROUND(M70*C70*$Z$3,2)))</f>
        <v/>
      </c>
      <c r="O70" s="110" t="str">
        <f>IF(OR(posicao_contratual!N70="",posicao_contratual!R70=""),"",ROUND(MAX(posicao_contratual!N70+posicao_contratual!L70-posicao_contratual!R70,0),2))</f>
        <v/>
      </c>
      <c r="P70" s="104" t="str">
        <f>IF(AND(A70="",A69&lt;&gt;"",COUNTIF(A71:$A$200,"&lt;&gt;")=0),ROUND(SUMIF($A$2:A69,"&lt;&gt;",$P$2:P69),2),IF(OR(O70="",C70="",NOT(ISNUMBER($Z$4))),"",ROUND(O70*C70*$Z$4,2)))</f>
        <v/>
      </c>
      <c r="Q70" s="110" t="str">
        <f>IF(OR(posicao_contratual!R70="",posicao_contratual!V70=""),"",ROUND(MAX(posicao_contratual!R70+posicao_contratual!P70-posicao_contratual!V70,0),2))</f>
        <v/>
      </c>
      <c r="R70" s="104" t="str">
        <f>IF(AND(A70="",A69&lt;&gt;"",COUNTIF(A71:$A$200,"&lt;&gt;")=0),ROUND(SUMIF($A$2:A69,"&lt;&gt;",$R$2:R69),2),IF(OR(Q70="",C70="",NOT(ISNUMBER($Z$5))),"",ROUND(Q70*C70*$Z$5,2)))</f>
        <v/>
      </c>
      <c r="S70" s="24"/>
      <c r="T70" s="25"/>
      <c r="U70" s="111" t="str">
        <f>IF(AND(A70="",A69&lt;&gt;"",COUNTIF(A71:$A$200,"&lt;&gt;")=0),"TOTAL",IF(A70="","",posicao_contratual!X70))</f>
        <v/>
      </c>
      <c r="V70" s="111" t="str">
        <f>IF(A70="","",posicao_contratual!X70)</f>
        <v/>
      </c>
      <c r="W70" s="16"/>
      <c r="X70" s="16"/>
      <c r="Y70" s="16"/>
      <c r="Z70" s="15"/>
      <c r="AA70" s="15"/>
      <c r="AB70" s="110" t="str">
        <f>IF(OR(A70="",posicao_contratual!E70="",posicao_contratual!J70=""),"",ROUND(MAX(posicao_contratual!E70-posicao_contratual!J70,0),2))</f>
        <v/>
      </c>
      <c r="AC70" s="104" t="str">
        <f>IF(AND(A70="",A69&lt;&gt;"",COUNTIF(A71:$A$200,"&lt;&gt;")=0),ROUND(SUMIF($A$2:A69,"&lt;&gt;",$AC$2:AC69),2),IF(OR(AB70="",C70="",NOT(ISNUMBER($Z$2))),"",ROUND(AB70*C70*$Z$2,2)))</f>
        <v/>
      </c>
      <c r="AD70" s="180" t="str">
        <f>IF(A70="","",posicao_contratual!E70)</f>
        <v/>
      </c>
      <c r="AE70" s="180" t="str">
        <f>IF(A70="","",posicao_contratual!I70)</f>
        <v/>
      </c>
      <c r="AF70" s="180" t="str">
        <f>IF(A70="","",posicao_contratual!M70)</f>
        <v/>
      </c>
      <c r="AG70" s="180" t="str">
        <f>IF(A70="","",posicao_contratual!Q70)</f>
        <v/>
      </c>
      <c r="AH70" s="180" t="str">
        <f>IF(A70="","",posicao_contratual!U70)</f>
        <v/>
      </c>
      <c r="AI70" s="180" t="str">
        <f>IF(A70="","",posicao_contratual!G70)</f>
        <v/>
      </c>
      <c r="AJ70" s="180" t="str">
        <f>IF(A70="","",posicao_contratual!K70)</f>
        <v/>
      </c>
      <c r="AK70" s="180" t="str">
        <f>IF(A70="","",posicao_contratual!O70)</f>
        <v/>
      </c>
      <c r="AL70" s="180" t="str">
        <f>IF(A70="","",posicao_contratual!S70)</f>
        <v/>
      </c>
      <c r="AM70" s="180" t="str">
        <f>IF(A70="","",posicao_contratual!W70)</f>
        <v/>
      </c>
      <c r="AN70" s="181" t="str">
        <f>IF(A70="","",posicao_contratual!X70)</f>
        <v/>
      </c>
    </row>
    <row r="71" spans="1:40" x14ac:dyDescent="0.35">
      <c r="A71" s="106"/>
      <c r="B71" s="107"/>
      <c r="C71" s="108"/>
      <c r="D71" s="104" t="str">
        <f>IF(AND(A71="",A70&lt;&gt;"",COUNTIF(A72:$A$200,"&lt;&gt;")=0),ROUND(SUMIF($A$2:A70,"&lt;&gt;",$D$2:D70),2),IF(OR(A71="",B71="",C71=""),"",ROUND(B71*C71,2)))</f>
        <v/>
      </c>
      <c r="E71" s="109"/>
      <c r="F71" s="104" t="str">
        <f>IF(AND(A71="",A70&lt;&gt;"",COUNTIF(A72:$A$200,"&lt;&gt;")=0),ROUND(SUMIF($A$2:A70,"&lt;&gt;",$F$2:F70),2),IF(OR(A71="",posicao_contratual!K71="",C71="",NOT(ISNUMBER($Z$3))),"",ROUND(posicao_contratual!K71*C71*$Z$3,2)))</f>
        <v/>
      </c>
      <c r="G71" s="109"/>
      <c r="H71" s="104" t="str">
        <f>IF(AND(A71="",A70&lt;&gt;"",COUNTIF(A72:$A$200,"&lt;&gt;")=0),ROUND(SUMIF($A$2:A70,"&lt;&gt;",$H$2:H70),2),IF(OR(A71="",posicao_contratual!O71="",C71="",NOT(ISNUMBER($Z$4))),"",ROUND(posicao_contratual!O71*C71*$Z$4,2)))</f>
        <v/>
      </c>
      <c r="I71" s="109"/>
      <c r="J71" s="104" t="str">
        <f>IF(AND(A71="",A70&lt;&gt;"",COUNTIF(A72:$A$200,"&lt;&gt;")=0),ROUND(SUMIF($A$2:A70,"&lt;&gt;",$J$2:J70),2),IF(OR(A71="",posicao_contratual!S71="",C71="",NOT(ISNUMBER($Z$5))),"",ROUND(posicao_contratual!S71*C71*$Z$5,2)))</f>
        <v/>
      </c>
      <c r="K71" s="109"/>
      <c r="L71" s="104" t="str">
        <f>IF(AND(A71="",A70&lt;&gt;"",COUNTIF(A72:$A$200,"&lt;&gt;")=0),ROUND(SUMIF($A$2:A70,"&lt;&gt;",$L$2:L70),2),IF(OR(A71="",posicao_contratual!W71="",C71="",NOT(ISNUMBER($Z$6))),"",ROUND(posicao_contratual!W71*C71*$Z$6,2)))</f>
        <v/>
      </c>
      <c r="M71" s="110" t="str">
        <f>IF(OR(posicao_contratual!J71="",posicao_contratual!N71=""),"",ROUND(MAX(posicao_contratual!J71+posicao_contratual!H71-posicao_contratual!N71,0),2))</f>
        <v/>
      </c>
      <c r="N71" s="104" t="str">
        <f>IF(AND(A71="",A70&lt;&gt;"",COUNTIF(A72:$A$200,"&lt;&gt;")=0),ROUND(SUMIF($A$2:A70,"&lt;&gt;",$N$2:N70),2),IF(OR(M71="",C71="",NOT(ISNUMBER($Z$3))),"",ROUND(M71*C71*$Z$3,2)))</f>
        <v/>
      </c>
      <c r="O71" s="110" t="str">
        <f>IF(OR(posicao_contratual!N71="",posicao_contratual!R71=""),"",ROUND(MAX(posicao_contratual!N71+posicao_contratual!L71-posicao_contratual!R71,0),2))</f>
        <v/>
      </c>
      <c r="P71" s="104" t="str">
        <f>IF(AND(A71="",A70&lt;&gt;"",COUNTIF(A72:$A$200,"&lt;&gt;")=0),ROUND(SUMIF($A$2:A70,"&lt;&gt;",$P$2:P70),2),IF(OR(O71="",C71="",NOT(ISNUMBER($Z$4))),"",ROUND(O71*C71*$Z$4,2)))</f>
        <v/>
      </c>
      <c r="Q71" s="110" t="str">
        <f>IF(OR(posicao_contratual!R71="",posicao_contratual!V71=""),"",ROUND(MAX(posicao_contratual!R71+posicao_contratual!P71-posicao_contratual!V71,0),2))</f>
        <v/>
      </c>
      <c r="R71" s="104" t="str">
        <f>IF(AND(A71="",A70&lt;&gt;"",COUNTIF(A72:$A$200,"&lt;&gt;")=0),ROUND(SUMIF($A$2:A70,"&lt;&gt;",$R$2:R70),2),IF(OR(Q71="",C71="",NOT(ISNUMBER($Z$5))),"",ROUND(Q71*C71*$Z$5,2)))</f>
        <v/>
      </c>
      <c r="S71" s="24"/>
      <c r="T71" s="25"/>
      <c r="U71" s="111" t="str">
        <f>IF(AND(A71="",A70&lt;&gt;"",COUNTIF(A72:$A$200,"&lt;&gt;")=0),"TOTAL",IF(A71="","",posicao_contratual!X71))</f>
        <v/>
      </c>
      <c r="V71" s="111" t="str">
        <f>IF(A71="","",posicao_contratual!X71)</f>
        <v/>
      </c>
      <c r="W71" s="16"/>
      <c r="X71" s="16"/>
      <c r="Y71" s="16"/>
      <c r="Z71" s="15"/>
      <c r="AA71" s="15"/>
      <c r="AB71" s="110" t="str">
        <f>IF(OR(A71="",posicao_contratual!E71="",posicao_contratual!J71=""),"",ROUND(MAX(posicao_contratual!E71-posicao_contratual!J71,0),2))</f>
        <v/>
      </c>
      <c r="AC71" s="104" t="str">
        <f>IF(AND(A71="",A70&lt;&gt;"",COUNTIF(A72:$A$200,"&lt;&gt;")=0),ROUND(SUMIF($A$2:A70,"&lt;&gt;",$AC$2:AC70),2),IF(OR(AB71="",C71="",NOT(ISNUMBER($Z$2))),"",ROUND(AB71*C71*$Z$2,2)))</f>
        <v/>
      </c>
      <c r="AD71" s="180" t="str">
        <f>IF(A71="","",posicao_contratual!E71)</f>
        <v/>
      </c>
      <c r="AE71" s="180" t="str">
        <f>IF(A71="","",posicao_contratual!I71)</f>
        <v/>
      </c>
      <c r="AF71" s="180" t="str">
        <f>IF(A71="","",posicao_contratual!M71)</f>
        <v/>
      </c>
      <c r="AG71" s="180" t="str">
        <f>IF(A71="","",posicao_contratual!Q71)</f>
        <v/>
      </c>
      <c r="AH71" s="180" t="str">
        <f>IF(A71="","",posicao_contratual!U71)</f>
        <v/>
      </c>
      <c r="AI71" s="180" t="str">
        <f>IF(A71="","",posicao_contratual!G71)</f>
        <v/>
      </c>
      <c r="AJ71" s="180" t="str">
        <f>IF(A71="","",posicao_contratual!K71)</f>
        <v/>
      </c>
      <c r="AK71" s="180" t="str">
        <f>IF(A71="","",posicao_contratual!O71)</f>
        <v/>
      </c>
      <c r="AL71" s="180" t="str">
        <f>IF(A71="","",posicao_contratual!S71)</f>
        <v/>
      </c>
      <c r="AM71" s="180" t="str">
        <f>IF(A71="","",posicao_contratual!W71)</f>
        <v/>
      </c>
      <c r="AN71" s="181" t="str">
        <f>IF(A71="","",posicao_contratual!X71)</f>
        <v/>
      </c>
    </row>
    <row r="72" spans="1:40" x14ac:dyDescent="0.35">
      <c r="A72" s="106"/>
      <c r="B72" s="107"/>
      <c r="C72" s="108"/>
      <c r="D72" s="104" t="str">
        <f>IF(AND(A72="",A71&lt;&gt;"",COUNTIF(A73:$A$200,"&lt;&gt;")=0),ROUND(SUMIF($A$2:A71,"&lt;&gt;",$D$2:D71),2),IF(OR(A72="",B72="",C72=""),"",ROUND(B72*C72,2)))</f>
        <v/>
      </c>
      <c r="E72" s="109"/>
      <c r="F72" s="104" t="str">
        <f>IF(AND(A72="",A71&lt;&gt;"",COUNTIF(A73:$A$200,"&lt;&gt;")=0),ROUND(SUMIF($A$2:A71,"&lt;&gt;",$F$2:F71),2),IF(OR(A72="",posicao_contratual!K72="",C72="",NOT(ISNUMBER($Z$3))),"",ROUND(posicao_contratual!K72*C72*$Z$3,2)))</f>
        <v/>
      </c>
      <c r="G72" s="109"/>
      <c r="H72" s="104" t="str">
        <f>IF(AND(A72="",A71&lt;&gt;"",COUNTIF(A73:$A$200,"&lt;&gt;")=0),ROUND(SUMIF($A$2:A71,"&lt;&gt;",$H$2:H71),2),IF(OR(A72="",posicao_contratual!O72="",C72="",NOT(ISNUMBER($Z$4))),"",ROUND(posicao_contratual!O72*C72*$Z$4,2)))</f>
        <v/>
      </c>
      <c r="I72" s="109"/>
      <c r="J72" s="104" t="str">
        <f>IF(AND(A72="",A71&lt;&gt;"",COUNTIF(A73:$A$200,"&lt;&gt;")=0),ROUND(SUMIF($A$2:A71,"&lt;&gt;",$J$2:J71),2),IF(OR(A72="",posicao_contratual!S72="",C72="",NOT(ISNUMBER($Z$5))),"",ROUND(posicao_contratual!S72*C72*$Z$5,2)))</f>
        <v/>
      </c>
      <c r="K72" s="109"/>
      <c r="L72" s="104" t="str">
        <f>IF(AND(A72="",A71&lt;&gt;"",COUNTIF(A73:$A$200,"&lt;&gt;")=0),ROUND(SUMIF($A$2:A71,"&lt;&gt;",$L$2:L71),2),IF(OR(A72="",posicao_contratual!W72="",C72="",NOT(ISNUMBER($Z$6))),"",ROUND(posicao_contratual!W72*C72*$Z$6,2)))</f>
        <v/>
      </c>
      <c r="M72" s="110" t="str">
        <f>IF(OR(posicao_contratual!J72="",posicao_contratual!N72=""),"",ROUND(MAX(posicao_contratual!J72+posicao_contratual!H72-posicao_contratual!N72,0),2))</f>
        <v/>
      </c>
      <c r="N72" s="104" t="str">
        <f>IF(AND(A72="",A71&lt;&gt;"",COUNTIF(A73:$A$200,"&lt;&gt;")=0),ROUND(SUMIF($A$2:A71,"&lt;&gt;",$N$2:N71),2),IF(OR(M72="",C72="",NOT(ISNUMBER($Z$3))),"",ROUND(M72*C72*$Z$3,2)))</f>
        <v/>
      </c>
      <c r="O72" s="110" t="str">
        <f>IF(OR(posicao_contratual!N72="",posicao_contratual!R72=""),"",ROUND(MAX(posicao_contratual!N72+posicao_contratual!L72-posicao_contratual!R72,0),2))</f>
        <v/>
      </c>
      <c r="P72" s="104" t="str">
        <f>IF(AND(A72="",A71&lt;&gt;"",COUNTIF(A73:$A$200,"&lt;&gt;")=0),ROUND(SUMIF($A$2:A71,"&lt;&gt;",$P$2:P71),2),IF(OR(O72="",C72="",NOT(ISNUMBER($Z$4))),"",ROUND(O72*C72*$Z$4,2)))</f>
        <v/>
      </c>
      <c r="Q72" s="110" t="str">
        <f>IF(OR(posicao_contratual!R72="",posicao_contratual!V72=""),"",ROUND(MAX(posicao_contratual!R72+posicao_contratual!P72-posicao_contratual!V72,0),2))</f>
        <v/>
      </c>
      <c r="R72" s="104" t="str">
        <f>IF(AND(A72="",A71&lt;&gt;"",COUNTIF(A73:$A$200,"&lt;&gt;")=0),ROUND(SUMIF($A$2:A71,"&lt;&gt;",$R$2:R71),2),IF(OR(Q72="",C72="",NOT(ISNUMBER($Z$5))),"",ROUND(Q72*C72*$Z$5,2)))</f>
        <v/>
      </c>
      <c r="S72" s="24"/>
      <c r="T72" s="25"/>
      <c r="U72" s="111" t="str">
        <f>IF(AND(A72="",A71&lt;&gt;"",COUNTIF(A73:$A$200,"&lt;&gt;")=0),"TOTAL",IF(A72="","",posicao_contratual!X72))</f>
        <v/>
      </c>
      <c r="V72" s="111" t="str">
        <f>IF(A72="","",posicao_contratual!X72)</f>
        <v/>
      </c>
      <c r="W72" s="16"/>
      <c r="X72" s="16"/>
      <c r="Y72" s="16"/>
      <c r="Z72" s="15"/>
      <c r="AA72" s="15"/>
      <c r="AB72" s="110" t="str">
        <f>IF(OR(A72="",posicao_contratual!E72="",posicao_contratual!J72=""),"",ROUND(MAX(posicao_contratual!E72-posicao_contratual!J72,0),2))</f>
        <v/>
      </c>
      <c r="AC72" s="104" t="str">
        <f>IF(AND(A72="",A71&lt;&gt;"",COUNTIF(A73:$A$200,"&lt;&gt;")=0),ROUND(SUMIF($A$2:A71,"&lt;&gt;",$AC$2:AC71),2),IF(OR(AB72="",C72="",NOT(ISNUMBER($Z$2))),"",ROUND(AB72*C72*$Z$2,2)))</f>
        <v/>
      </c>
      <c r="AD72" s="180" t="str">
        <f>IF(A72="","",posicao_contratual!E72)</f>
        <v/>
      </c>
      <c r="AE72" s="180" t="str">
        <f>IF(A72="","",posicao_contratual!I72)</f>
        <v/>
      </c>
      <c r="AF72" s="180" t="str">
        <f>IF(A72="","",posicao_contratual!M72)</f>
        <v/>
      </c>
      <c r="AG72" s="180" t="str">
        <f>IF(A72="","",posicao_contratual!Q72)</f>
        <v/>
      </c>
      <c r="AH72" s="180" t="str">
        <f>IF(A72="","",posicao_contratual!U72)</f>
        <v/>
      </c>
      <c r="AI72" s="180" t="str">
        <f>IF(A72="","",posicao_contratual!G72)</f>
        <v/>
      </c>
      <c r="AJ72" s="180" t="str">
        <f>IF(A72="","",posicao_contratual!K72)</f>
        <v/>
      </c>
      <c r="AK72" s="180" t="str">
        <f>IF(A72="","",posicao_contratual!O72)</f>
        <v/>
      </c>
      <c r="AL72" s="180" t="str">
        <f>IF(A72="","",posicao_contratual!S72)</f>
        <v/>
      </c>
      <c r="AM72" s="180" t="str">
        <f>IF(A72="","",posicao_contratual!W72)</f>
        <v/>
      </c>
      <c r="AN72" s="181" t="str">
        <f>IF(A72="","",posicao_contratual!X72)</f>
        <v/>
      </c>
    </row>
    <row r="73" spans="1:40" x14ac:dyDescent="0.35">
      <c r="A73" s="106"/>
      <c r="B73" s="107"/>
      <c r="C73" s="108"/>
      <c r="D73" s="104" t="str">
        <f>IF(AND(A73="",A72&lt;&gt;"",COUNTIF(A74:$A$200,"&lt;&gt;")=0),ROUND(SUMIF($A$2:A72,"&lt;&gt;",$D$2:D72),2),IF(OR(A73="",B73="",C73=""),"",ROUND(B73*C73,2)))</f>
        <v/>
      </c>
      <c r="E73" s="109"/>
      <c r="F73" s="104" t="str">
        <f>IF(AND(A73="",A72&lt;&gt;"",COUNTIF(A74:$A$200,"&lt;&gt;")=0),ROUND(SUMIF($A$2:A72,"&lt;&gt;",$F$2:F72),2),IF(OR(A73="",posicao_contratual!K73="",C73="",NOT(ISNUMBER($Z$3))),"",ROUND(posicao_contratual!K73*C73*$Z$3,2)))</f>
        <v/>
      </c>
      <c r="G73" s="109"/>
      <c r="H73" s="104" t="str">
        <f>IF(AND(A73="",A72&lt;&gt;"",COUNTIF(A74:$A$200,"&lt;&gt;")=0),ROUND(SUMIF($A$2:A72,"&lt;&gt;",$H$2:H72),2),IF(OR(A73="",posicao_contratual!O73="",C73="",NOT(ISNUMBER($Z$4))),"",ROUND(posicao_contratual!O73*C73*$Z$4,2)))</f>
        <v/>
      </c>
      <c r="I73" s="109"/>
      <c r="J73" s="104" t="str">
        <f>IF(AND(A73="",A72&lt;&gt;"",COUNTIF(A74:$A$200,"&lt;&gt;")=0),ROUND(SUMIF($A$2:A72,"&lt;&gt;",$J$2:J72),2),IF(OR(A73="",posicao_contratual!S73="",C73="",NOT(ISNUMBER($Z$5))),"",ROUND(posicao_contratual!S73*C73*$Z$5,2)))</f>
        <v/>
      </c>
      <c r="K73" s="109"/>
      <c r="L73" s="104" t="str">
        <f>IF(AND(A73="",A72&lt;&gt;"",COUNTIF(A74:$A$200,"&lt;&gt;")=0),ROUND(SUMIF($A$2:A72,"&lt;&gt;",$L$2:L72),2),IF(OR(A73="",posicao_contratual!W73="",C73="",NOT(ISNUMBER($Z$6))),"",ROUND(posicao_contratual!W73*C73*$Z$6,2)))</f>
        <v/>
      </c>
      <c r="M73" s="110" t="str">
        <f>IF(OR(posicao_contratual!J73="",posicao_contratual!N73=""),"",ROUND(MAX(posicao_contratual!J73+posicao_contratual!H73-posicao_contratual!N73,0),2))</f>
        <v/>
      </c>
      <c r="N73" s="104" t="str">
        <f>IF(AND(A73="",A72&lt;&gt;"",COUNTIF(A74:$A$200,"&lt;&gt;")=0),ROUND(SUMIF($A$2:A72,"&lt;&gt;",$N$2:N72),2),IF(OR(M73="",C73="",NOT(ISNUMBER($Z$3))),"",ROUND(M73*C73*$Z$3,2)))</f>
        <v/>
      </c>
      <c r="O73" s="110" t="str">
        <f>IF(OR(posicao_contratual!N73="",posicao_contratual!R73=""),"",ROUND(MAX(posicao_contratual!N73+posicao_contratual!L73-posicao_contratual!R73,0),2))</f>
        <v/>
      </c>
      <c r="P73" s="104" t="str">
        <f>IF(AND(A73="",A72&lt;&gt;"",COUNTIF(A74:$A$200,"&lt;&gt;")=0),ROUND(SUMIF($A$2:A72,"&lt;&gt;",$P$2:P72),2),IF(OR(O73="",C73="",NOT(ISNUMBER($Z$4))),"",ROUND(O73*C73*$Z$4,2)))</f>
        <v/>
      </c>
      <c r="Q73" s="110" t="str">
        <f>IF(OR(posicao_contratual!R73="",posicao_contratual!V73=""),"",ROUND(MAX(posicao_contratual!R73+posicao_contratual!P73-posicao_contratual!V73,0),2))</f>
        <v/>
      </c>
      <c r="R73" s="104" t="str">
        <f>IF(AND(A73="",A72&lt;&gt;"",COUNTIF(A74:$A$200,"&lt;&gt;")=0),ROUND(SUMIF($A$2:A72,"&lt;&gt;",$R$2:R72),2),IF(OR(Q73="",C73="",NOT(ISNUMBER($Z$5))),"",ROUND(Q73*C73*$Z$5,2)))</f>
        <v/>
      </c>
      <c r="S73" s="24"/>
      <c r="T73" s="25"/>
      <c r="U73" s="111" t="str">
        <f>IF(AND(A73="",A72&lt;&gt;"",COUNTIF(A74:$A$200,"&lt;&gt;")=0),"TOTAL",IF(A73="","",posicao_contratual!X73))</f>
        <v/>
      </c>
      <c r="V73" s="111" t="str">
        <f>IF(A73="","",posicao_contratual!X73)</f>
        <v/>
      </c>
      <c r="W73" s="16"/>
      <c r="X73" s="16"/>
      <c r="Y73" s="16"/>
      <c r="Z73" s="15"/>
      <c r="AA73" s="15"/>
      <c r="AB73" s="110" t="str">
        <f>IF(OR(A73="",posicao_contratual!E73="",posicao_contratual!J73=""),"",ROUND(MAX(posicao_contratual!E73-posicao_contratual!J73,0),2))</f>
        <v/>
      </c>
      <c r="AC73" s="104" t="str">
        <f>IF(AND(A73="",A72&lt;&gt;"",COUNTIF(A74:$A$200,"&lt;&gt;")=0),ROUND(SUMIF($A$2:A72,"&lt;&gt;",$AC$2:AC72),2),IF(OR(AB73="",C73="",NOT(ISNUMBER($Z$2))),"",ROUND(AB73*C73*$Z$2,2)))</f>
        <v/>
      </c>
      <c r="AD73" s="180" t="str">
        <f>IF(A73="","",posicao_contratual!E73)</f>
        <v/>
      </c>
      <c r="AE73" s="180" t="str">
        <f>IF(A73="","",posicao_contratual!I73)</f>
        <v/>
      </c>
      <c r="AF73" s="180" t="str">
        <f>IF(A73="","",posicao_contratual!M73)</f>
        <v/>
      </c>
      <c r="AG73" s="180" t="str">
        <f>IF(A73="","",posicao_contratual!Q73)</f>
        <v/>
      </c>
      <c r="AH73" s="180" t="str">
        <f>IF(A73="","",posicao_contratual!U73)</f>
        <v/>
      </c>
      <c r="AI73" s="180" t="str">
        <f>IF(A73="","",posicao_contratual!G73)</f>
        <v/>
      </c>
      <c r="AJ73" s="180" t="str">
        <f>IF(A73="","",posicao_contratual!K73)</f>
        <v/>
      </c>
      <c r="AK73" s="180" t="str">
        <f>IF(A73="","",posicao_contratual!O73)</f>
        <v/>
      </c>
      <c r="AL73" s="180" t="str">
        <f>IF(A73="","",posicao_contratual!S73)</f>
        <v/>
      </c>
      <c r="AM73" s="180" t="str">
        <f>IF(A73="","",posicao_contratual!W73)</f>
        <v/>
      </c>
      <c r="AN73" s="181" t="str">
        <f>IF(A73="","",posicao_contratual!X73)</f>
        <v/>
      </c>
    </row>
    <row r="74" spans="1:40" x14ac:dyDescent="0.35">
      <c r="A74" s="106"/>
      <c r="B74" s="107"/>
      <c r="C74" s="108"/>
      <c r="D74" s="104" t="str">
        <f>IF(AND(A74="",A73&lt;&gt;"",COUNTIF(A75:$A$200,"&lt;&gt;")=0),ROUND(SUMIF($A$2:A73,"&lt;&gt;",$D$2:D73),2),IF(OR(A74="",B74="",C74=""),"",ROUND(B74*C74,2)))</f>
        <v/>
      </c>
      <c r="E74" s="109"/>
      <c r="F74" s="104" t="str">
        <f>IF(AND(A74="",A73&lt;&gt;"",COUNTIF(A75:$A$200,"&lt;&gt;")=0),ROUND(SUMIF($A$2:A73,"&lt;&gt;",$F$2:F73),2),IF(OR(A74="",posicao_contratual!K74="",C74="",NOT(ISNUMBER($Z$3))),"",ROUND(posicao_contratual!K74*C74*$Z$3,2)))</f>
        <v/>
      </c>
      <c r="G74" s="109"/>
      <c r="H74" s="104" t="str">
        <f>IF(AND(A74="",A73&lt;&gt;"",COUNTIF(A75:$A$200,"&lt;&gt;")=0),ROUND(SUMIF($A$2:A73,"&lt;&gt;",$H$2:H73),2),IF(OR(A74="",posicao_contratual!O74="",C74="",NOT(ISNUMBER($Z$4))),"",ROUND(posicao_contratual!O74*C74*$Z$4,2)))</f>
        <v/>
      </c>
      <c r="I74" s="109"/>
      <c r="J74" s="104" t="str">
        <f>IF(AND(A74="",A73&lt;&gt;"",COUNTIF(A75:$A$200,"&lt;&gt;")=0),ROUND(SUMIF($A$2:A73,"&lt;&gt;",$J$2:J73),2),IF(OR(A74="",posicao_contratual!S74="",C74="",NOT(ISNUMBER($Z$5))),"",ROUND(posicao_contratual!S74*C74*$Z$5,2)))</f>
        <v/>
      </c>
      <c r="K74" s="109"/>
      <c r="L74" s="104" t="str">
        <f>IF(AND(A74="",A73&lt;&gt;"",COUNTIF(A75:$A$200,"&lt;&gt;")=0),ROUND(SUMIF($A$2:A73,"&lt;&gt;",$L$2:L73),2),IF(OR(A74="",posicao_contratual!W74="",C74="",NOT(ISNUMBER($Z$6))),"",ROUND(posicao_contratual!W74*C74*$Z$6,2)))</f>
        <v/>
      </c>
      <c r="M74" s="110" t="str">
        <f>IF(OR(posicao_contratual!J74="",posicao_contratual!N74=""),"",ROUND(MAX(posicao_contratual!J74+posicao_contratual!H74-posicao_contratual!N74,0),2))</f>
        <v/>
      </c>
      <c r="N74" s="104" t="str">
        <f>IF(AND(A74="",A73&lt;&gt;"",COUNTIF(A75:$A$200,"&lt;&gt;")=0),ROUND(SUMIF($A$2:A73,"&lt;&gt;",$N$2:N73),2),IF(OR(M74="",C74="",NOT(ISNUMBER($Z$3))),"",ROUND(M74*C74*$Z$3,2)))</f>
        <v/>
      </c>
      <c r="O74" s="110" t="str">
        <f>IF(OR(posicao_contratual!N74="",posicao_contratual!R74=""),"",ROUND(MAX(posicao_contratual!N74+posicao_contratual!L74-posicao_contratual!R74,0),2))</f>
        <v/>
      </c>
      <c r="P74" s="104" t="str">
        <f>IF(AND(A74="",A73&lt;&gt;"",COUNTIF(A75:$A$200,"&lt;&gt;")=0),ROUND(SUMIF($A$2:A73,"&lt;&gt;",$P$2:P73),2),IF(OR(O74="",C74="",NOT(ISNUMBER($Z$4))),"",ROUND(O74*C74*$Z$4,2)))</f>
        <v/>
      </c>
      <c r="Q74" s="110" t="str">
        <f>IF(OR(posicao_contratual!R74="",posicao_contratual!V74=""),"",ROUND(MAX(posicao_contratual!R74+posicao_contratual!P74-posicao_contratual!V74,0),2))</f>
        <v/>
      </c>
      <c r="R74" s="104" t="str">
        <f>IF(AND(A74="",A73&lt;&gt;"",COUNTIF(A75:$A$200,"&lt;&gt;")=0),ROUND(SUMIF($A$2:A73,"&lt;&gt;",$R$2:R73),2),IF(OR(Q74="",C74="",NOT(ISNUMBER($Z$5))),"",ROUND(Q74*C74*$Z$5,2)))</f>
        <v/>
      </c>
      <c r="S74" s="24"/>
      <c r="T74" s="25"/>
      <c r="U74" s="111" t="str">
        <f>IF(AND(A74="",A73&lt;&gt;"",COUNTIF(A75:$A$200,"&lt;&gt;")=0),"TOTAL",IF(A74="","",posicao_contratual!X74))</f>
        <v/>
      </c>
      <c r="V74" s="111" t="str">
        <f>IF(A74="","",posicao_contratual!X74)</f>
        <v/>
      </c>
      <c r="W74" s="16"/>
      <c r="X74" s="16"/>
      <c r="Y74" s="16"/>
      <c r="Z74" s="15"/>
      <c r="AA74" s="15"/>
      <c r="AB74" s="110" t="str">
        <f>IF(OR(A74="",posicao_contratual!E74="",posicao_contratual!J74=""),"",ROUND(MAX(posicao_contratual!E74-posicao_contratual!J74,0),2))</f>
        <v/>
      </c>
      <c r="AC74" s="104" t="str">
        <f>IF(AND(A74="",A73&lt;&gt;"",COUNTIF(A75:$A$200,"&lt;&gt;")=0),ROUND(SUMIF($A$2:A73,"&lt;&gt;",$AC$2:AC73),2),IF(OR(AB74="",C74="",NOT(ISNUMBER($Z$2))),"",ROUND(AB74*C74*$Z$2,2)))</f>
        <v/>
      </c>
      <c r="AD74" s="180" t="str">
        <f>IF(A74="","",posicao_contratual!E74)</f>
        <v/>
      </c>
      <c r="AE74" s="180" t="str">
        <f>IF(A74="","",posicao_contratual!I74)</f>
        <v/>
      </c>
      <c r="AF74" s="180" t="str">
        <f>IF(A74="","",posicao_contratual!M74)</f>
        <v/>
      </c>
      <c r="AG74" s="180" t="str">
        <f>IF(A74="","",posicao_contratual!Q74)</f>
        <v/>
      </c>
      <c r="AH74" s="180" t="str">
        <f>IF(A74="","",posicao_contratual!U74)</f>
        <v/>
      </c>
      <c r="AI74" s="180" t="str">
        <f>IF(A74="","",posicao_contratual!G74)</f>
        <v/>
      </c>
      <c r="AJ74" s="180" t="str">
        <f>IF(A74="","",posicao_contratual!K74)</f>
        <v/>
      </c>
      <c r="AK74" s="180" t="str">
        <f>IF(A74="","",posicao_contratual!O74)</f>
        <v/>
      </c>
      <c r="AL74" s="180" t="str">
        <f>IF(A74="","",posicao_contratual!S74)</f>
        <v/>
      </c>
      <c r="AM74" s="180" t="str">
        <f>IF(A74="","",posicao_contratual!W74)</f>
        <v/>
      </c>
      <c r="AN74" s="181" t="str">
        <f>IF(A74="","",posicao_contratual!X74)</f>
        <v/>
      </c>
    </row>
    <row r="75" spans="1:40" x14ac:dyDescent="0.35">
      <c r="A75" s="106"/>
      <c r="B75" s="107"/>
      <c r="C75" s="108"/>
      <c r="D75" s="104" t="str">
        <f>IF(AND(A75="",A74&lt;&gt;"",COUNTIF(A76:$A$200,"&lt;&gt;")=0),ROUND(SUMIF($A$2:A74,"&lt;&gt;",$D$2:D74),2),IF(OR(A75="",B75="",C75=""),"",ROUND(B75*C75,2)))</f>
        <v/>
      </c>
      <c r="E75" s="109"/>
      <c r="F75" s="104" t="str">
        <f>IF(AND(A75="",A74&lt;&gt;"",COUNTIF(A76:$A$200,"&lt;&gt;")=0),ROUND(SUMIF($A$2:A74,"&lt;&gt;",$F$2:F74),2),IF(OR(A75="",posicao_contratual!K75="",C75="",NOT(ISNUMBER($Z$3))),"",ROUND(posicao_contratual!K75*C75*$Z$3,2)))</f>
        <v/>
      </c>
      <c r="G75" s="109"/>
      <c r="H75" s="104" t="str">
        <f>IF(AND(A75="",A74&lt;&gt;"",COUNTIF(A76:$A$200,"&lt;&gt;")=0),ROUND(SUMIF($A$2:A74,"&lt;&gt;",$H$2:H74),2),IF(OR(A75="",posicao_contratual!O75="",C75="",NOT(ISNUMBER($Z$4))),"",ROUND(posicao_contratual!O75*C75*$Z$4,2)))</f>
        <v/>
      </c>
      <c r="I75" s="109"/>
      <c r="J75" s="104" t="str">
        <f>IF(AND(A75="",A74&lt;&gt;"",COUNTIF(A76:$A$200,"&lt;&gt;")=0),ROUND(SUMIF($A$2:A74,"&lt;&gt;",$J$2:J74),2),IF(OR(A75="",posicao_contratual!S75="",C75="",NOT(ISNUMBER($Z$5))),"",ROUND(posicao_contratual!S75*C75*$Z$5,2)))</f>
        <v/>
      </c>
      <c r="K75" s="109"/>
      <c r="L75" s="104" t="str">
        <f>IF(AND(A75="",A74&lt;&gt;"",COUNTIF(A76:$A$200,"&lt;&gt;")=0),ROUND(SUMIF($A$2:A74,"&lt;&gt;",$L$2:L74),2),IF(OR(A75="",posicao_contratual!W75="",C75="",NOT(ISNUMBER($Z$6))),"",ROUND(posicao_contratual!W75*C75*$Z$6,2)))</f>
        <v/>
      </c>
      <c r="M75" s="110" t="str">
        <f>IF(OR(posicao_contratual!J75="",posicao_contratual!N75=""),"",ROUND(MAX(posicao_contratual!J75+posicao_contratual!H75-posicao_contratual!N75,0),2))</f>
        <v/>
      </c>
      <c r="N75" s="104" t="str">
        <f>IF(AND(A75="",A74&lt;&gt;"",COUNTIF(A76:$A$200,"&lt;&gt;")=0),ROUND(SUMIF($A$2:A74,"&lt;&gt;",$N$2:N74),2),IF(OR(M75="",C75="",NOT(ISNUMBER($Z$3))),"",ROUND(M75*C75*$Z$3,2)))</f>
        <v/>
      </c>
      <c r="O75" s="110" t="str">
        <f>IF(OR(posicao_contratual!N75="",posicao_contratual!R75=""),"",ROUND(MAX(posicao_contratual!N75+posicao_contratual!L75-posicao_contratual!R75,0),2))</f>
        <v/>
      </c>
      <c r="P75" s="104" t="str">
        <f>IF(AND(A75="",A74&lt;&gt;"",COUNTIF(A76:$A$200,"&lt;&gt;")=0),ROUND(SUMIF($A$2:A74,"&lt;&gt;",$P$2:P74),2),IF(OR(O75="",C75="",NOT(ISNUMBER($Z$4))),"",ROUND(O75*C75*$Z$4,2)))</f>
        <v/>
      </c>
      <c r="Q75" s="110" t="str">
        <f>IF(OR(posicao_contratual!R75="",posicao_contratual!V75=""),"",ROUND(MAX(posicao_contratual!R75+posicao_contratual!P75-posicao_contratual!V75,0),2))</f>
        <v/>
      </c>
      <c r="R75" s="104" t="str">
        <f>IF(AND(A75="",A74&lt;&gt;"",COUNTIF(A76:$A$200,"&lt;&gt;")=0),ROUND(SUMIF($A$2:A74,"&lt;&gt;",$R$2:R74),2),IF(OR(Q75="",C75="",NOT(ISNUMBER($Z$5))),"",ROUND(Q75*C75*$Z$5,2)))</f>
        <v/>
      </c>
      <c r="S75" s="24"/>
      <c r="T75" s="25"/>
      <c r="U75" s="111" t="str">
        <f>IF(AND(A75="",A74&lt;&gt;"",COUNTIF(A76:$A$200,"&lt;&gt;")=0),"TOTAL",IF(A75="","",posicao_contratual!X75))</f>
        <v/>
      </c>
      <c r="V75" s="111" t="str">
        <f>IF(A75="","",posicao_contratual!X75)</f>
        <v/>
      </c>
      <c r="W75" s="16"/>
      <c r="X75" s="16"/>
      <c r="Y75" s="16"/>
      <c r="Z75" s="15"/>
      <c r="AA75" s="15"/>
      <c r="AB75" s="110" t="str">
        <f>IF(OR(A75="",posicao_contratual!E75="",posicao_contratual!J75=""),"",ROUND(MAX(posicao_contratual!E75-posicao_contratual!J75,0),2))</f>
        <v/>
      </c>
      <c r="AC75" s="104" t="str">
        <f>IF(AND(A75="",A74&lt;&gt;"",COUNTIF(A76:$A$200,"&lt;&gt;")=0),ROUND(SUMIF($A$2:A74,"&lt;&gt;",$AC$2:AC74),2),IF(OR(AB75="",C75="",NOT(ISNUMBER($Z$2))),"",ROUND(AB75*C75*$Z$2,2)))</f>
        <v/>
      </c>
      <c r="AD75" s="180" t="str">
        <f>IF(A75="","",posicao_contratual!E75)</f>
        <v/>
      </c>
      <c r="AE75" s="180" t="str">
        <f>IF(A75="","",posicao_contratual!I75)</f>
        <v/>
      </c>
      <c r="AF75" s="180" t="str">
        <f>IF(A75="","",posicao_contratual!M75)</f>
        <v/>
      </c>
      <c r="AG75" s="180" t="str">
        <f>IF(A75="","",posicao_contratual!Q75)</f>
        <v/>
      </c>
      <c r="AH75" s="180" t="str">
        <f>IF(A75="","",posicao_contratual!U75)</f>
        <v/>
      </c>
      <c r="AI75" s="180" t="str">
        <f>IF(A75="","",posicao_contratual!G75)</f>
        <v/>
      </c>
      <c r="AJ75" s="180" t="str">
        <f>IF(A75="","",posicao_contratual!K75)</f>
        <v/>
      </c>
      <c r="AK75" s="180" t="str">
        <f>IF(A75="","",posicao_contratual!O75)</f>
        <v/>
      </c>
      <c r="AL75" s="180" t="str">
        <f>IF(A75="","",posicao_contratual!S75)</f>
        <v/>
      </c>
      <c r="AM75" s="180" t="str">
        <f>IF(A75="","",posicao_contratual!W75)</f>
        <v/>
      </c>
      <c r="AN75" s="181" t="str">
        <f>IF(A75="","",posicao_contratual!X75)</f>
        <v/>
      </c>
    </row>
    <row r="76" spans="1:40" x14ac:dyDescent="0.35">
      <c r="A76" s="106"/>
      <c r="B76" s="107"/>
      <c r="C76" s="108"/>
      <c r="D76" s="104" t="str">
        <f>IF(AND(A76="",A75&lt;&gt;"",COUNTIF(A77:$A$200,"&lt;&gt;")=0),ROUND(SUMIF($A$2:A75,"&lt;&gt;",$D$2:D75),2),IF(OR(A76="",B76="",C76=""),"",ROUND(B76*C76,2)))</f>
        <v/>
      </c>
      <c r="E76" s="109"/>
      <c r="F76" s="104" t="str">
        <f>IF(AND(A76="",A75&lt;&gt;"",COUNTIF(A77:$A$200,"&lt;&gt;")=0),ROUND(SUMIF($A$2:A75,"&lt;&gt;",$F$2:F75),2),IF(OR(A76="",posicao_contratual!K76="",C76="",NOT(ISNUMBER($Z$3))),"",ROUND(posicao_contratual!K76*C76*$Z$3,2)))</f>
        <v/>
      </c>
      <c r="G76" s="109"/>
      <c r="H76" s="104" t="str">
        <f>IF(AND(A76="",A75&lt;&gt;"",COUNTIF(A77:$A$200,"&lt;&gt;")=0),ROUND(SUMIF($A$2:A75,"&lt;&gt;",$H$2:H75),2),IF(OR(A76="",posicao_contratual!O76="",C76="",NOT(ISNUMBER($Z$4))),"",ROUND(posicao_contratual!O76*C76*$Z$4,2)))</f>
        <v/>
      </c>
      <c r="I76" s="109"/>
      <c r="J76" s="104" t="str">
        <f>IF(AND(A76="",A75&lt;&gt;"",COUNTIF(A77:$A$200,"&lt;&gt;")=0),ROUND(SUMIF($A$2:A75,"&lt;&gt;",$J$2:J75),2),IF(OR(A76="",posicao_contratual!S76="",C76="",NOT(ISNUMBER($Z$5))),"",ROUND(posicao_contratual!S76*C76*$Z$5,2)))</f>
        <v/>
      </c>
      <c r="K76" s="109"/>
      <c r="L76" s="104" t="str">
        <f>IF(AND(A76="",A75&lt;&gt;"",COUNTIF(A77:$A$200,"&lt;&gt;")=0),ROUND(SUMIF($A$2:A75,"&lt;&gt;",$L$2:L75),2),IF(OR(A76="",posicao_contratual!W76="",C76="",NOT(ISNUMBER($Z$6))),"",ROUND(posicao_contratual!W76*C76*$Z$6,2)))</f>
        <v/>
      </c>
      <c r="M76" s="110" t="str">
        <f>IF(OR(posicao_contratual!J76="",posicao_contratual!N76=""),"",ROUND(MAX(posicao_contratual!J76+posicao_contratual!H76-posicao_contratual!N76,0),2))</f>
        <v/>
      </c>
      <c r="N76" s="104" t="str">
        <f>IF(AND(A76="",A75&lt;&gt;"",COUNTIF(A77:$A$200,"&lt;&gt;")=0),ROUND(SUMIF($A$2:A75,"&lt;&gt;",$N$2:N75),2),IF(OR(M76="",C76="",NOT(ISNUMBER($Z$3))),"",ROUND(M76*C76*$Z$3,2)))</f>
        <v/>
      </c>
      <c r="O76" s="110" t="str">
        <f>IF(OR(posicao_contratual!N76="",posicao_contratual!R76=""),"",ROUND(MAX(posicao_contratual!N76+posicao_contratual!L76-posicao_contratual!R76,0),2))</f>
        <v/>
      </c>
      <c r="P76" s="104" t="str">
        <f>IF(AND(A76="",A75&lt;&gt;"",COUNTIF(A77:$A$200,"&lt;&gt;")=0),ROUND(SUMIF($A$2:A75,"&lt;&gt;",$P$2:P75),2),IF(OR(O76="",C76="",NOT(ISNUMBER($Z$4))),"",ROUND(O76*C76*$Z$4,2)))</f>
        <v/>
      </c>
      <c r="Q76" s="110" t="str">
        <f>IF(OR(posicao_contratual!R76="",posicao_contratual!V76=""),"",ROUND(MAX(posicao_contratual!R76+posicao_contratual!P76-posicao_contratual!V76,0),2))</f>
        <v/>
      </c>
      <c r="R76" s="104" t="str">
        <f>IF(AND(A76="",A75&lt;&gt;"",COUNTIF(A77:$A$200,"&lt;&gt;")=0),ROUND(SUMIF($A$2:A75,"&lt;&gt;",$R$2:R75),2),IF(OR(Q76="",C76="",NOT(ISNUMBER($Z$5))),"",ROUND(Q76*C76*$Z$5,2)))</f>
        <v/>
      </c>
      <c r="S76" s="24"/>
      <c r="T76" s="25"/>
      <c r="U76" s="111" t="str">
        <f>IF(AND(A76="",A75&lt;&gt;"",COUNTIF(A77:$A$200,"&lt;&gt;")=0),"TOTAL",IF(A76="","",posicao_contratual!X76))</f>
        <v/>
      </c>
      <c r="V76" s="111" t="str">
        <f>IF(A76="","",posicao_contratual!X76)</f>
        <v/>
      </c>
      <c r="W76" s="16"/>
      <c r="X76" s="16"/>
      <c r="Y76" s="16"/>
      <c r="Z76" s="15"/>
      <c r="AA76" s="15"/>
      <c r="AB76" s="110" t="str">
        <f>IF(OR(A76="",posicao_contratual!E76="",posicao_contratual!J76=""),"",ROUND(MAX(posicao_contratual!E76-posicao_contratual!J76,0),2))</f>
        <v/>
      </c>
      <c r="AC76" s="104" t="str">
        <f>IF(AND(A76="",A75&lt;&gt;"",COUNTIF(A77:$A$200,"&lt;&gt;")=0),ROUND(SUMIF($A$2:A75,"&lt;&gt;",$AC$2:AC75),2),IF(OR(AB76="",C76="",NOT(ISNUMBER($Z$2))),"",ROUND(AB76*C76*$Z$2,2)))</f>
        <v/>
      </c>
      <c r="AD76" s="180" t="str">
        <f>IF(A76="","",posicao_contratual!E76)</f>
        <v/>
      </c>
      <c r="AE76" s="180" t="str">
        <f>IF(A76="","",posicao_contratual!I76)</f>
        <v/>
      </c>
      <c r="AF76" s="180" t="str">
        <f>IF(A76="","",posicao_contratual!M76)</f>
        <v/>
      </c>
      <c r="AG76" s="180" t="str">
        <f>IF(A76="","",posicao_contratual!Q76)</f>
        <v/>
      </c>
      <c r="AH76" s="180" t="str">
        <f>IF(A76="","",posicao_contratual!U76)</f>
        <v/>
      </c>
      <c r="AI76" s="180" t="str">
        <f>IF(A76="","",posicao_contratual!G76)</f>
        <v/>
      </c>
      <c r="AJ76" s="180" t="str">
        <f>IF(A76="","",posicao_contratual!K76)</f>
        <v/>
      </c>
      <c r="AK76" s="180" t="str">
        <f>IF(A76="","",posicao_contratual!O76)</f>
        <v/>
      </c>
      <c r="AL76" s="180" t="str">
        <f>IF(A76="","",posicao_contratual!S76)</f>
        <v/>
      </c>
      <c r="AM76" s="180" t="str">
        <f>IF(A76="","",posicao_contratual!W76)</f>
        <v/>
      </c>
      <c r="AN76" s="181" t="str">
        <f>IF(A76="","",posicao_contratual!X76)</f>
        <v/>
      </c>
    </row>
    <row r="77" spans="1:40" x14ac:dyDescent="0.35">
      <c r="A77" s="106"/>
      <c r="B77" s="107"/>
      <c r="C77" s="108"/>
      <c r="D77" s="104" t="str">
        <f>IF(AND(A77="",A76&lt;&gt;"",COUNTIF(A78:$A$200,"&lt;&gt;")=0),ROUND(SUMIF($A$2:A76,"&lt;&gt;",$D$2:D76),2),IF(OR(A77="",B77="",C77=""),"",ROUND(B77*C77,2)))</f>
        <v/>
      </c>
      <c r="E77" s="109"/>
      <c r="F77" s="104" t="str">
        <f>IF(AND(A77="",A76&lt;&gt;"",COUNTIF(A78:$A$200,"&lt;&gt;")=0),ROUND(SUMIF($A$2:A76,"&lt;&gt;",$F$2:F76),2),IF(OR(A77="",posicao_contratual!K77="",C77="",NOT(ISNUMBER($Z$3))),"",ROUND(posicao_contratual!K77*C77*$Z$3,2)))</f>
        <v/>
      </c>
      <c r="G77" s="109"/>
      <c r="H77" s="104" t="str">
        <f>IF(AND(A77="",A76&lt;&gt;"",COUNTIF(A78:$A$200,"&lt;&gt;")=0),ROUND(SUMIF($A$2:A76,"&lt;&gt;",$H$2:H76),2),IF(OR(A77="",posicao_contratual!O77="",C77="",NOT(ISNUMBER($Z$4))),"",ROUND(posicao_contratual!O77*C77*$Z$4,2)))</f>
        <v/>
      </c>
      <c r="I77" s="109"/>
      <c r="J77" s="104" t="str">
        <f>IF(AND(A77="",A76&lt;&gt;"",COUNTIF(A78:$A$200,"&lt;&gt;")=0),ROUND(SUMIF($A$2:A76,"&lt;&gt;",$J$2:J76),2),IF(OR(A77="",posicao_contratual!S77="",C77="",NOT(ISNUMBER($Z$5))),"",ROUND(posicao_contratual!S77*C77*$Z$5,2)))</f>
        <v/>
      </c>
      <c r="K77" s="109"/>
      <c r="L77" s="104" t="str">
        <f>IF(AND(A77="",A76&lt;&gt;"",COUNTIF(A78:$A$200,"&lt;&gt;")=0),ROUND(SUMIF($A$2:A76,"&lt;&gt;",$L$2:L76),2),IF(OR(A77="",posicao_contratual!W77="",C77="",NOT(ISNUMBER($Z$6))),"",ROUND(posicao_contratual!W77*C77*$Z$6,2)))</f>
        <v/>
      </c>
      <c r="M77" s="110" t="str">
        <f>IF(OR(posicao_contratual!J77="",posicao_contratual!N77=""),"",ROUND(MAX(posicao_contratual!J77+posicao_contratual!H77-posicao_contratual!N77,0),2))</f>
        <v/>
      </c>
      <c r="N77" s="104" t="str">
        <f>IF(AND(A77="",A76&lt;&gt;"",COUNTIF(A78:$A$200,"&lt;&gt;")=0),ROUND(SUMIF($A$2:A76,"&lt;&gt;",$N$2:N76),2),IF(OR(M77="",C77="",NOT(ISNUMBER($Z$3))),"",ROUND(M77*C77*$Z$3,2)))</f>
        <v/>
      </c>
      <c r="O77" s="110" t="str">
        <f>IF(OR(posicao_contratual!N77="",posicao_contratual!R77=""),"",ROUND(MAX(posicao_contratual!N77+posicao_contratual!L77-posicao_contratual!R77,0),2))</f>
        <v/>
      </c>
      <c r="P77" s="104" t="str">
        <f>IF(AND(A77="",A76&lt;&gt;"",COUNTIF(A78:$A$200,"&lt;&gt;")=0),ROUND(SUMIF($A$2:A76,"&lt;&gt;",$P$2:P76),2),IF(OR(O77="",C77="",NOT(ISNUMBER($Z$4))),"",ROUND(O77*C77*$Z$4,2)))</f>
        <v/>
      </c>
      <c r="Q77" s="110" t="str">
        <f>IF(OR(posicao_contratual!R77="",posicao_contratual!V77=""),"",ROUND(MAX(posicao_contratual!R77+posicao_contratual!P77-posicao_contratual!V77,0),2))</f>
        <v/>
      </c>
      <c r="R77" s="104" t="str">
        <f>IF(AND(A77="",A76&lt;&gt;"",COUNTIF(A78:$A$200,"&lt;&gt;")=0),ROUND(SUMIF($A$2:A76,"&lt;&gt;",$R$2:R76),2),IF(OR(Q77="",C77="",NOT(ISNUMBER($Z$5))),"",ROUND(Q77*C77*$Z$5,2)))</f>
        <v/>
      </c>
      <c r="S77" s="24"/>
      <c r="T77" s="25"/>
      <c r="U77" s="111" t="str">
        <f>IF(AND(A77="",A76&lt;&gt;"",COUNTIF(A78:$A$200,"&lt;&gt;")=0),"TOTAL",IF(A77="","",posicao_contratual!X77))</f>
        <v/>
      </c>
      <c r="V77" s="111" t="str">
        <f>IF(A77="","",posicao_contratual!X77)</f>
        <v/>
      </c>
      <c r="W77" s="16"/>
      <c r="X77" s="16"/>
      <c r="Y77" s="16"/>
      <c r="Z77" s="15"/>
      <c r="AA77" s="15"/>
      <c r="AB77" s="110" t="str">
        <f>IF(OR(A77="",posicao_contratual!E77="",posicao_contratual!J77=""),"",ROUND(MAX(posicao_contratual!E77-posicao_contratual!J77,0),2))</f>
        <v/>
      </c>
      <c r="AC77" s="104" t="str">
        <f>IF(AND(A77="",A76&lt;&gt;"",COUNTIF(A78:$A$200,"&lt;&gt;")=0),ROUND(SUMIF($A$2:A76,"&lt;&gt;",$AC$2:AC76),2),IF(OR(AB77="",C77="",NOT(ISNUMBER($Z$2))),"",ROUND(AB77*C77*$Z$2,2)))</f>
        <v/>
      </c>
      <c r="AD77" s="180" t="str">
        <f>IF(A77="","",posicao_contratual!E77)</f>
        <v/>
      </c>
      <c r="AE77" s="180" t="str">
        <f>IF(A77="","",posicao_contratual!I77)</f>
        <v/>
      </c>
      <c r="AF77" s="180" t="str">
        <f>IF(A77="","",posicao_contratual!M77)</f>
        <v/>
      </c>
      <c r="AG77" s="180" t="str">
        <f>IF(A77="","",posicao_contratual!Q77)</f>
        <v/>
      </c>
      <c r="AH77" s="180" t="str">
        <f>IF(A77="","",posicao_contratual!U77)</f>
        <v/>
      </c>
      <c r="AI77" s="180" t="str">
        <f>IF(A77="","",posicao_contratual!G77)</f>
        <v/>
      </c>
      <c r="AJ77" s="180" t="str">
        <f>IF(A77="","",posicao_contratual!K77)</f>
        <v/>
      </c>
      <c r="AK77" s="180" t="str">
        <f>IF(A77="","",posicao_contratual!O77)</f>
        <v/>
      </c>
      <c r="AL77" s="180" t="str">
        <f>IF(A77="","",posicao_contratual!S77)</f>
        <v/>
      </c>
      <c r="AM77" s="180" t="str">
        <f>IF(A77="","",posicao_contratual!W77)</f>
        <v/>
      </c>
      <c r="AN77" s="181" t="str">
        <f>IF(A77="","",posicao_contratual!X77)</f>
        <v/>
      </c>
    </row>
    <row r="78" spans="1:40" x14ac:dyDescent="0.35">
      <c r="A78" s="106"/>
      <c r="B78" s="107"/>
      <c r="C78" s="108"/>
      <c r="D78" s="104" t="str">
        <f>IF(AND(A78="",A77&lt;&gt;"",COUNTIF(A79:$A$200,"&lt;&gt;")=0),ROUND(SUMIF($A$2:A77,"&lt;&gt;",$D$2:D77),2),IF(OR(A78="",B78="",C78=""),"",ROUND(B78*C78,2)))</f>
        <v/>
      </c>
      <c r="E78" s="109"/>
      <c r="F78" s="104" t="str">
        <f>IF(AND(A78="",A77&lt;&gt;"",COUNTIF(A79:$A$200,"&lt;&gt;")=0),ROUND(SUMIF($A$2:A77,"&lt;&gt;",$F$2:F77),2),IF(OR(A78="",posicao_contratual!K78="",C78="",NOT(ISNUMBER($Z$3))),"",ROUND(posicao_contratual!K78*C78*$Z$3,2)))</f>
        <v/>
      </c>
      <c r="G78" s="109"/>
      <c r="H78" s="104" t="str">
        <f>IF(AND(A78="",A77&lt;&gt;"",COUNTIF(A79:$A$200,"&lt;&gt;")=0),ROUND(SUMIF($A$2:A77,"&lt;&gt;",$H$2:H77),2),IF(OR(A78="",posicao_contratual!O78="",C78="",NOT(ISNUMBER($Z$4))),"",ROUND(posicao_contratual!O78*C78*$Z$4,2)))</f>
        <v/>
      </c>
      <c r="I78" s="109"/>
      <c r="J78" s="104" t="str">
        <f>IF(AND(A78="",A77&lt;&gt;"",COUNTIF(A79:$A$200,"&lt;&gt;")=0),ROUND(SUMIF($A$2:A77,"&lt;&gt;",$J$2:J77),2),IF(OR(A78="",posicao_contratual!S78="",C78="",NOT(ISNUMBER($Z$5))),"",ROUND(posicao_contratual!S78*C78*$Z$5,2)))</f>
        <v/>
      </c>
      <c r="K78" s="109"/>
      <c r="L78" s="104" t="str">
        <f>IF(AND(A78="",A77&lt;&gt;"",COUNTIF(A79:$A$200,"&lt;&gt;")=0),ROUND(SUMIF($A$2:A77,"&lt;&gt;",$L$2:L77),2),IF(OR(A78="",posicao_contratual!W78="",C78="",NOT(ISNUMBER($Z$6))),"",ROUND(posicao_contratual!W78*C78*$Z$6,2)))</f>
        <v/>
      </c>
      <c r="M78" s="110" t="str">
        <f>IF(OR(posicao_contratual!J78="",posicao_contratual!N78=""),"",ROUND(MAX(posicao_contratual!J78+posicao_contratual!H78-posicao_contratual!N78,0),2))</f>
        <v/>
      </c>
      <c r="N78" s="104" t="str">
        <f>IF(AND(A78="",A77&lt;&gt;"",COUNTIF(A79:$A$200,"&lt;&gt;")=0),ROUND(SUMIF($A$2:A77,"&lt;&gt;",$N$2:N77),2),IF(OR(M78="",C78="",NOT(ISNUMBER($Z$3))),"",ROUND(M78*C78*$Z$3,2)))</f>
        <v/>
      </c>
      <c r="O78" s="110" t="str">
        <f>IF(OR(posicao_contratual!N78="",posicao_contratual!R78=""),"",ROUND(MAX(posicao_contratual!N78+posicao_contratual!L78-posicao_contratual!R78,0),2))</f>
        <v/>
      </c>
      <c r="P78" s="104" t="str">
        <f>IF(AND(A78="",A77&lt;&gt;"",COUNTIF(A79:$A$200,"&lt;&gt;")=0),ROUND(SUMIF($A$2:A77,"&lt;&gt;",$P$2:P77),2),IF(OR(O78="",C78="",NOT(ISNUMBER($Z$4))),"",ROUND(O78*C78*$Z$4,2)))</f>
        <v/>
      </c>
      <c r="Q78" s="110" t="str">
        <f>IF(OR(posicao_contratual!R78="",posicao_contratual!V78=""),"",ROUND(MAX(posicao_contratual!R78+posicao_contratual!P78-posicao_contratual!V78,0),2))</f>
        <v/>
      </c>
      <c r="R78" s="104" t="str">
        <f>IF(AND(A78="",A77&lt;&gt;"",COUNTIF(A79:$A$200,"&lt;&gt;")=0),ROUND(SUMIF($A$2:A77,"&lt;&gt;",$R$2:R77),2),IF(OR(Q78="",C78="",NOT(ISNUMBER($Z$5))),"",ROUND(Q78*C78*$Z$5,2)))</f>
        <v/>
      </c>
      <c r="S78" s="24"/>
      <c r="T78" s="25"/>
      <c r="U78" s="111" t="str">
        <f>IF(AND(A78="",A77&lt;&gt;"",COUNTIF(A79:$A$200,"&lt;&gt;")=0),"TOTAL",IF(A78="","",posicao_contratual!X78))</f>
        <v/>
      </c>
      <c r="V78" s="111" t="str">
        <f>IF(A78="","",posicao_contratual!X78)</f>
        <v/>
      </c>
      <c r="W78" s="16"/>
      <c r="X78" s="16"/>
      <c r="Y78" s="16"/>
      <c r="Z78" s="15"/>
      <c r="AA78" s="15"/>
      <c r="AB78" s="110" t="str">
        <f>IF(OR(A78="",posicao_contratual!E78="",posicao_contratual!J78=""),"",ROUND(MAX(posicao_contratual!E78-posicao_contratual!J78,0),2))</f>
        <v/>
      </c>
      <c r="AC78" s="104" t="str">
        <f>IF(AND(A78="",A77&lt;&gt;"",COUNTIF(A79:$A$200,"&lt;&gt;")=0),ROUND(SUMIF($A$2:A77,"&lt;&gt;",$AC$2:AC77),2),IF(OR(AB78="",C78="",NOT(ISNUMBER($Z$2))),"",ROUND(AB78*C78*$Z$2,2)))</f>
        <v/>
      </c>
      <c r="AD78" s="180" t="str">
        <f>IF(A78="","",posicao_contratual!E78)</f>
        <v/>
      </c>
      <c r="AE78" s="180" t="str">
        <f>IF(A78="","",posicao_contratual!I78)</f>
        <v/>
      </c>
      <c r="AF78" s="180" t="str">
        <f>IF(A78="","",posicao_contratual!M78)</f>
        <v/>
      </c>
      <c r="AG78" s="180" t="str">
        <f>IF(A78="","",posicao_contratual!Q78)</f>
        <v/>
      </c>
      <c r="AH78" s="180" t="str">
        <f>IF(A78="","",posicao_contratual!U78)</f>
        <v/>
      </c>
      <c r="AI78" s="180" t="str">
        <f>IF(A78="","",posicao_contratual!G78)</f>
        <v/>
      </c>
      <c r="AJ78" s="180" t="str">
        <f>IF(A78="","",posicao_contratual!K78)</f>
        <v/>
      </c>
      <c r="AK78" s="180" t="str">
        <f>IF(A78="","",posicao_contratual!O78)</f>
        <v/>
      </c>
      <c r="AL78" s="180" t="str">
        <f>IF(A78="","",posicao_contratual!S78)</f>
        <v/>
      </c>
      <c r="AM78" s="180" t="str">
        <f>IF(A78="","",posicao_contratual!W78)</f>
        <v/>
      </c>
      <c r="AN78" s="181" t="str">
        <f>IF(A78="","",posicao_contratual!X78)</f>
        <v/>
      </c>
    </row>
    <row r="79" spans="1:40" x14ac:dyDescent="0.35">
      <c r="A79" s="106"/>
      <c r="B79" s="107"/>
      <c r="C79" s="108"/>
      <c r="D79" s="104" t="str">
        <f>IF(AND(A79="",A78&lt;&gt;"",COUNTIF(A80:$A$200,"&lt;&gt;")=0),ROUND(SUMIF($A$2:A78,"&lt;&gt;",$D$2:D78),2),IF(OR(A79="",B79="",C79=""),"",ROUND(B79*C79,2)))</f>
        <v/>
      </c>
      <c r="E79" s="109"/>
      <c r="F79" s="104" t="str">
        <f>IF(AND(A79="",A78&lt;&gt;"",COUNTIF(A80:$A$200,"&lt;&gt;")=0),ROUND(SUMIF($A$2:A78,"&lt;&gt;",$F$2:F78),2),IF(OR(A79="",posicao_contratual!K79="",C79="",NOT(ISNUMBER($Z$3))),"",ROUND(posicao_contratual!K79*C79*$Z$3,2)))</f>
        <v/>
      </c>
      <c r="G79" s="109"/>
      <c r="H79" s="104" t="str">
        <f>IF(AND(A79="",A78&lt;&gt;"",COUNTIF(A80:$A$200,"&lt;&gt;")=0),ROUND(SUMIF($A$2:A78,"&lt;&gt;",$H$2:H78),2),IF(OR(A79="",posicao_contratual!O79="",C79="",NOT(ISNUMBER($Z$4))),"",ROUND(posicao_contratual!O79*C79*$Z$4,2)))</f>
        <v/>
      </c>
      <c r="I79" s="109"/>
      <c r="J79" s="104" t="str">
        <f>IF(AND(A79="",A78&lt;&gt;"",COUNTIF(A80:$A$200,"&lt;&gt;")=0),ROUND(SUMIF($A$2:A78,"&lt;&gt;",$J$2:J78),2),IF(OR(A79="",posicao_contratual!S79="",C79="",NOT(ISNUMBER($Z$5))),"",ROUND(posicao_contratual!S79*C79*$Z$5,2)))</f>
        <v/>
      </c>
      <c r="K79" s="109"/>
      <c r="L79" s="104" t="str">
        <f>IF(AND(A79="",A78&lt;&gt;"",COUNTIF(A80:$A$200,"&lt;&gt;")=0),ROUND(SUMIF($A$2:A78,"&lt;&gt;",$L$2:L78),2),IF(OR(A79="",posicao_contratual!W79="",C79="",NOT(ISNUMBER($Z$6))),"",ROUND(posicao_contratual!W79*C79*$Z$6,2)))</f>
        <v/>
      </c>
      <c r="M79" s="110" t="str">
        <f>IF(OR(posicao_contratual!J79="",posicao_contratual!N79=""),"",ROUND(MAX(posicao_contratual!J79+posicao_contratual!H79-posicao_contratual!N79,0),2))</f>
        <v/>
      </c>
      <c r="N79" s="104" t="str">
        <f>IF(AND(A79="",A78&lt;&gt;"",COUNTIF(A80:$A$200,"&lt;&gt;")=0),ROUND(SUMIF($A$2:A78,"&lt;&gt;",$N$2:N78),2),IF(OR(M79="",C79="",NOT(ISNUMBER($Z$3))),"",ROUND(M79*C79*$Z$3,2)))</f>
        <v/>
      </c>
      <c r="O79" s="110" t="str">
        <f>IF(OR(posicao_contratual!N79="",posicao_contratual!R79=""),"",ROUND(MAX(posicao_contratual!N79+posicao_contratual!L79-posicao_contratual!R79,0),2))</f>
        <v/>
      </c>
      <c r="P79" s="104" t="str">
        <f>IF(AND(A79="",A78&lt;&gt;"",COUNTIF(A80:$A$200,"&lt;&gt;")=0),ROUND(SUMIF($A$2:A78,"&lt;&gt;",$P$2:P78),2),IF(OR(O79="",C79="",NOT(ISNUMBER($Z$4))),"",ROUND(O79*C79*$Z$4,2)))</f>
        <v/>
      </c>
      <c r="Q79" s="110" t="str">
        <f>IF(OR(posicao_contratual!R79="",posicao_contratual!V79=""),"",ROUND(MAX(posicao_contratual!R79+posicao_contratual!P79-posicao_contratual!V79,0),2))</f>
        <v/>
      </c>
      <c r="R79" s="104" t="str">
        <f>IF(AND(A79="",A78&lt;&gt;"",COUNTIF(A80:$A$200,"&lt;&gt;")=0),ROUND(SUMIF($A$2:A78,"&lt;&gt;",$R$2:R78),2),IF(OR(Q79="",C79="",NOT(ISNUMBER($Z$5))),"",ROUND(Q79*C79*$Z$5,2)))</f>
        <v/>
      </c>
      <c r="S79" s="24"/>
      <c r="T79" s="25"/>
      <c r="U79" s="111" t="str">
        <f>IF(AND(A79="",A78&lt;&gt;"",COUNTIF(A80:$A$200,"&lt;&gt;")=0),"TOTAL",IF(A79="","",posicao_contratual!X79))</f>
        <v/>
      </c>
      <c r="V79" s="111" t="str">
        <f>IF(A79="","",posicao_contratual!X79)</f>
        <v/>
      </c>
      <c r="W79" s="16"/>
      <c r="X79" s="16"/>
      <c r="Y79" s="16"/>
      <c r="Z79" s="15"/>
      <c r="AA79" s="15"/>
      <c r="AB79" s="110" t="str">
        <f>IF(OR(A79="",posicao_contratual!E79="",posicao_contratual!J79=""),"",ROUND(MAX(posicao_contratual!E79-posicao_contratual!J79,0),2))</f>
        <v/>
      </c>
      <c r="AC79" s="104" t="str">
        <f>IF(AND(A79="",A78&lt;&gt;"",COUNTIF(A80:$A$200,"&lt;&gt;")=0),ROUND(SUMIF($A$2:A78,"&lt;&gt;",$AC$2:AC78),2),IF(OR(AB79="",C79="",NOT(ISNUMBER($Z$2))),"",ROUND(AB79*C79*$Z$2,2)))</f>
        <v/>
      </c>
      <c r="AD79" s="180" t="str">
        <f>IF(A79="","",posicao_contratual!E79)</f>
        <v/>
      </c>
      <c r="AE79" s="180" t="str">
        <f>IF(A79="","",posicao_contratual!I79)</f>
        <v/>
      </c>
      <c r="AF79" s="180" t="str">
        <f>IF(A79="","",posicao_contratual!M79)</f>
        <v/>
      </c>
      <c r="AG79" s="180" t="str">
        <f>IF(A79="","",posicao_contratual!Q79)</f>
        <v/>
      </c>
      <c r="AH79" s="180" t="str">
        <f>IF(A79="","",posicao_contratual!U79)</f>
        <v/>
      </c>
      <c r="AI79" s="180" t="str">
        <f>IF(A79="","",posicao_contratual!G79)</f>
        <v/>
      </c>
      <c r="AJ79" s="180" t="str">
        <f>IF(A79="","",posicao_contratual!K79)</f>
        <v/>
      </c>
      <c r="AK79" s="180" t="str">
        <f>IF(A79="","",posicao_contratual!O79)</f>
        <v/>
      </c>
      <c r="AL79" s="180" t="str">
        <f>IF(A79="","",posicao_contratual!S79)</f>
        <v/>
      </c>
      <c r="AM79" s="180" t="str">
        <f>IF(A79="","",posicao_contratual!W79)</f>
        <v/>
      </c>
      <c r="AN79" s="181" t="str">
        <f>IF(A79="","",posicao_contratual!X79)</f>
        <v/>
      </c>
    </row>
    <row r="80" spans="1:40" x14ac:dyDescent="0.35">
      <c r="A80" s="106"/>
      <c r="B80" s="107"/>
      <c r="C80" s="108"/>
      <c r="D80" s="104" t="str">
        <f>IF(AND(A80="",A79&lt;&gt;"",COUNTIF(A81:$A$200,"&lt;&gt;")=0),ROUND(SUMIF($A$2:A79,"&lt;&gt;",$D$2:D79),2),IF(OR(A80="",B80="",C80=""),"",ROUND(B80*C80,2)))</f>
        <v/>
      </c>
      <c r="E80" s="109"/>
      <c r="F80" s="104" t="str">
        <f>IF(AND(A80="",A79&lt;&gt;"",COUNTIF(A81:$A$200,"&lt;&gt;")=0),ROUND(SUMIF($A$2:A79,"&lt;&gt;",$F$2:F79),2),IF(OR(A80="",posicao_contratual!K80="",C80="",NOT(ISNUMBER($Z$3))),"",ROUND(posicao_contratual!K80*C80*$Z$3,2)))</f>
        <v/>
      </c>
      <c r="G80" s="109"/>
      <c r="H80" s="104" t="str">
        <f>IF(AND(A80="",A79&lt;&gt;"",COUNTIF(A81:$A$200,"&lt;&gt;")=0),ROUND(SUMIF($A$2:A79,"&lt;&gt;",$H$2:H79),2),IF(OR(A80="",posicao_contratual!O80="",C80="",NOT(ISNUMBER($Z$4))),"",ROUND(posicao_contratual!O80*C80*$Z$4,2)))</f>
        <v/>
      </c>
      <c r="I80" s="109"/>
      <c r="J80" s="104" t="str">
        <f>IF(AND(A80="",A79&lt;&gt;"",COUNTIF(A81:$A$200,"&lt;&gt;")=0),ROUND(SUMIF($A$2:A79,"&lt;&gt;",$J$2:J79),2),IF(OR(A80="",posicao_contratual!S80="",C80="",NOT(ISNUMBER($Z$5))),"",ROUND(posicao_contratual!S80*C80*$Z$5,2)))</f>
        <v/>
      </c>
      <c r="K80" s="109"/>
      <c r="L80" s="104" t="str">
        <f>IF(AND(A80="",A79&lt;&gt;"",COUNTIF(A81:$A$200,"&lt;&gt;")=0),ROUND(SUMIF($A$2:A79,"&lt;&gt;",$L$2:L79),2),IF(OR(A80="",posicao_contratual!W80="",C80="",NOT(ISNUMBER($Z$6))),"",ROUND(posicao_contratual!W80*C80*$Z$6,2)))</f>
        <v/>
      </c>
      <c r="M80" s="110" t="str">
        <f>IF(OR(posicao_contratual!J80="",posicao_contratual!N80=""),"",ROUND(MAX(posicao_contratual!J80+posicao_contratual!H80-posicao_contratual!N80,0),2))</f>
        <v/>
      </c>
      <c r="N80" s="104" t="str">
        <f>IF(AND(A80="",A79&lt;&gt;"",COUNTIF(A81:$A$200,"&lt;&gt;")=0),ROUND(SUMIF($A$2:A79,"&lt;&gt;",$N$2:N79),2),IF(OR(M80="",C80="",NOT(ISNUMBER($Z$3))),"",ROUND(M80*C80*$Z$3,2)))</f>
        <v/>
      </c>
      <c r="O80" s="110" t="str">
        <f>IF(OR(posicao_contratual!N80="",posicao_contratual!R80=""),"",ROUND(MAX(posicao_contratual!N80+posicao_contratual!L80-posicao_contratual!R80,0),2))</f>
        <v/>
      </c>
      <c r="P80" s="104" t="str">
        <f>IF(AND(A80="",A79&lt;&gt;"",COUNTIF(A81:$A$200,"&lt;&gt;")=0),ROUND(SUMIF($A$2:A79,"&lt;&gt;",$P$2:P79),2),IF(OR(O80="",C80="",NOT(ISNUMBER($Z$4))),"",ROUND(O80*C80*$Z$4,2)))</f>
        <v/>
      </c>
      <c r="Q80" s="110" t="str">
        <f>IF(OR(posicao_contratual!R80="",posicao_contratual!V80=""),"",ROUND(MAX(posicao_contratual!R80+posicao_contratual!P80-posicao_contratual!V80,0),2))</f>
        <v/>
      </c>
      <c r="R80" s="104" t="str">
        <f>IF(AND(A80="",A79&lt;&gt;"",COUNTIF(A81:$A$200,"&lt;&gt;")=0),ROUND(SUMIF($A$2:A79,"&lt;&gt;",$R$2:R79),2),IF(OR(Q80="",C80="",NOT(ISNUMBER($Z$5))),"",ROUND(Q80*C80*$Z$5,2)))</f>
        <v/>
      </c>
      <c r="S80" s="24"/>
      <c r="T80" s="25"/>
      <c r="U80" s="111" t="str">
        <f>IF(AND(A80="",A79&lt;&gt;"",COUNTIF(A81:$A$200,"&lt;&gt;")=0),"TOTAL",IF(A80="","",posicao_contratual!X80))</f>
        <v/>
      </c>
      <c r="V80" s="111" t="str">
        <f>IF(A80="","",posicao_contratual!X80)</f>
        <v/>
      </c>
      <c r="W80" s="16"/>
      <c r="X80" s="16"/>
      <c r="Y80" s="16"/>
      <c r="Z80" s="15"/>
      <c r="AA80" s="15"/>
      <c r="AB80" s="110" t="str">
        <f>IF(OR(A80="",posicao_contratual!E80="",posicao_contratual!J80=""),"",ROUND(MAX(posicao_contratual!E80-posicao_contratual!J80,0),2))</f>
        <v/>
      </c>
      <c r="AC80" s="104" t="str">
        <f>IF(AND(A80="",A79&lt;&gt;"",COUNTIF(A81:$A$200,"&lt;&gt;")=0),ROUND(SUMIF($A$2:A79,"&lt;&gt;",$AC$2:AC79),2),IF(OR(AB80="",C80="",NOT(ISNUMBER($Z$2))),"",ROUND(AB80*C80*$Z$2,2)))</f>
        <v/>
      </c>
      <c r="AD80" s="180" t="str">
        <f>IF(A80="","",posicao_contratual!E80)</f>
        <v/>
      </c>
      <c r="AE80" s="180" t="str">
        <f>IF(A80="","",posicao_contratual!I80)</f>
        <v/>
      </c>
      <c r="AF80" s="180" t="str">
        <f>IF(A80="","",posicao_contratual!M80)</f>
        <v/>
      </c>
      <c r="AG80" s="180" t="str">
        <f>IF(A80="","",posicao_contratual!Q80)</f>
        <v/>
      </c>
      <c r="AH80" s="180" t="str">
        <f>IF(A80="","",posicao_contratual!U80)</f>
        <v/>
      </c>
      <c r="AI80" s="180" t="str">
        <f>IF(A80="","",posicao_contratual!G80)</f>
        <v/>
      </c>
      <c r="AJ80" s="180" t="str">
        <f>IF(A80="","",posicao_contratual!K80)</f>
        <v/>
      </c>
      <c r="AK80" s="180" t="str">
        <f>IF(A80="","",posicao_contratual!O80)</f>
        <v/>
      </c>
      <c r="AL80" s="180" t="str">
        <f>IF(A80="","",posicao_contratual!S80)</f>
        <v/>
      </c>
      <c r="AM80" s="180" t="str">
        <f>IF(A80="","",posicao_contratual!W80)</f>
        <v/>
      </c>
      <c r="AN80" s="181" t="str">
        <f>IF(A80="","",posicao_contratual!X80)</f>
        <v/>
      </c>
    </row>
    <row r="81" spans="1:40" x14ac:dyDescent="0.35">
      <c r="A81" s="106"/>
      <c r="B81" s="107"/>
      <c r="C81" s="108"/>
      <c r="D81" s="104" t="str">
        <f>IF(AND(A81="",A80&lt;&gt;"",COUNTIF(A82:$A$200,"&lt;&gt;")=0),ROUND(SUMIF($A$2:A80,"&lt;&gt;",$D$2:D80),2),IF(OR(A81="",B81="",C81=""),"",ROUND(B81*C81,2)))</f>
        <v/>
      </c>
      <c r="E81" s="109"/>
      <c r="F81" s="104" t="str">
        <f>IF(AND(A81="",A80&lt;&gt;"",COUNTIF(A82:$A$200,"&lt;&gt;")=0),ROUND(SUMIF($A$2:A80,"&lt;&gt;",$F$2:F80),2),IF(OR(A81="",posicao_contratual!K81="",C81="",NOT(ISNUMBER($Z$3))),"",ROUND(posicao_contratual!K81*C81*$Z$3,2)))</f>
        <v/>
      </c>
      <c r="G81" s="109"/>
      <c r="H81" s="104" t="str">
        <f>IF(AND(A81="",A80&lt;&gt;"",COUNTIF(A82:$A$200,"&lt;&gt;")=0),ROUND(SUMIF($A$2:A80,"&lt;&gt;",$H$2:H80),2),IF(OR(A81="",posicao_contratual!O81="",C81="",NOT(ISNUMBER($Z$4))),"",ROUND(posicao_contratual!O81*C81*$Z$4,2)))</f>
        <v/>
      </c>
      <c r="I81" s="109"/>
      <c r="J81" s="104" t="str">
        <f>IF(AND(A81="",A80&lt;&gt;"",COUNTIF(A82:$A$200,"&lt;&gt;")=0),ROUND(SUMIF($A$2:A80,"&lt;&gt;",$J$2:J80),2),IF(OR(A81="",posicao_contratual!S81="",C81="",NOT(ISNUMBER($Z$5))),"",ROUND(posicao_contratual!S81*C81*$Z$5,2)))</f>
        <v/>
      </c>
      <c r="K81" s="109"/>
      <c r="L81" s="104" t="str">
        <f>IF(AND(A81="",A80&lt;&gt;"",COUNTIF(A82:$A$200,"&lt;&gt;")=0),ROUND(SUMIF($A$2:A80,"&lt;&gt;",$L$2:L80),2),IF(OR(A81="",posicao_contratual!W81="",C81="",NOT(ISNUMBER($Z$6))),"",ROUND(posicao_contratual!W81*C81*$Z$6,2)))</f>
        <v/>
      </c>
      <c r="M81" s="110" t="str">
        <f>IF(OR(posicao_contratual!J81="",posicao_contratual!N81=""),"",ROUND(MAX(posicao_contratual!J81+posicao_contratual!H81-posicao_contratual!N81,0),2))</f>
        <v/>
      </c>
      <c r="N81" s="104" t="str">
        <f>IF(AND(A81="",A80&lt;&gt;"",COUNTIF(A82:$A$200,"&lt;&gt;")=0),ROUND(SUMIF($A$2:A80,"&lt;&gt;",$N$2:N80),2),IF(OR(M81="",C81="",NOT(ISNUMBER($Z$3))),"",ROUND(M81*C81*$Z$3,2)))</f>
        <v/>
      </c>
      <c r="O81" s="110" t="str">
        <f>IF(OR(posicao_contratual!N81="",posicao_contratual!R81=""),"",ROUND(MAX(posicao_contratual!N81+posicao_contratual!L81-posicao_contratual!R81,0),2))</f>
        <v/>
      </c>
      <c r="P81" s="104" t="str">
        <f>IF(AND(A81="",A80&lt;&gt;"",COUNTIF(A82:$A$200,"&lt;&gt;")=0),ROUND(SUMIF($A$2:A80,"&lt;&gt;",$P$2:P80),2),IF(OR(O81="",C81="",NOT(ISNUMBER($Z$4))),"",ROUND(O81*C81*$Z$4,2)))</f>
        <v/>
      </c>
      <c r="Q81" s="110" t="str">
        <f>IF(OR(posicao_contratual!R81="",posicao_contratual!V81=""),"",ROUND(MAX(posicao_contratual!R81+posicao_contratual!P81-posicao_contratual!V81,0),2))</f>
        <v/>
      </c>
      <c r="R81" s="104" t="str">
        <f>IF(AND(A81="",A80&lt;&gt;"",COUNTIF(A82:$A$200,"&lt;&gt;")=0),ROUND(SUMIF($A$2:A80,"&lt;&gt;",$R$2:R80),2),IF(OR(Q81="",C81="",NOT(ISNUMBER($Z$5))),"",ROUND(Q81*C81*$Z$5,2)))</f>
        <v/>
      </c>
      <c r="S81" s="24"/>
      <c r="T81" s="25"/>
      <c r="U81" s="111" t="str">
        <f>IF(AND(A81="",A80&lt;&gt;"",COUNTIF(A82:$A$200,"&lt;&gt;")=0),"TOTAL",IF(A81="","",posicao_contratual!X81))</f>
        <v/>
      </c>
      <c r="V81" s="111" t="str">
        <f>IF(A81="","",posicao_contratual!X81)</f>
        <v/>
      </c>
      <c r="W81" s="16"/>
      <c r="X81" s="16"/>
      <c r="Y81" s="16"/>
      <c r="Z81" s="15"/>
      <c r="AA81" s="15"/>
      <c r="AB81" s="110" t="str">
        <f>IF(OR(A81="",posicao_contratual!E81="",posicao_contratual!J81=""),"",ROUND(MAX(posicao_contratual!E81-posicao_contratual!J81,0),2))</f>
        <v/>
      </c>
      <c r="AC81" s="104" t="str">
        <f>IF(AND(A81="",A80&lt;&gt;"",COUNTIF(A82:$A$200,"&lt;&gt;")=0),ROUND(SUMIF($A$2:A80,"&lt;&gt;",$AC$2:AC80),2),IF(OR(AB81="",C81="",NOT(ISNUMBER($Z$2))),"",ROUND(AB81*C81*$Z$2,2)))</f>
        <v/>
      </c>
      <c r="AD81" s="180" t="str">
        <f>IF(A81="","",posicao_contratual!E81)</f>
        <v/>
      </c>
      <c r="AE81" s="180" t="str">
        <f>IF(A81="","",posicao_contratual!I81)</f>
        <v/>
      </c>
      <c r="AF81" s="180" t="str">
        <f>IF(A81="","",posicao_contratual!M81)</f>
        <v/>
      </c>
      <c r="AG81" s="180" t="str">
        <f>IF(A81="","",posicao_contratual!Q81)</f>
        <v/>
      </c>
      <c r="AH81" s="180" t="str">
        <f>IF(A81="","",posicao_contratual!U81)</f>
        <v/>
      </c>
      <c r="AI81" s="180" t="str">
        <f>IF(A81="","",posicao_contratual!G81)</f>
        <v/>
      </c>
      <c r="AJ81" s="180" t="str">
        <f>IF(A81="","",posicao_contratual!K81)</f>
        <v/>
      </c>
      <c r="AK81" s="180" t="str">
        <f>IF(A81="","",posicao_contratual!O81)</f>
        <v/>
      </c>
      <c r="AL81" s="180" t="str">
        <f>IF(A81="","",posicao_contratual!S81)</f>
        <v/>
      </c>
      <c r="AM81" s="180" t="str">
        <f>IF(A81="","",posicao_contratual!W81)</f>
        <v/>
      </c>
      <c r="AN81" s="181" t="str">
        <f>IF(A81="","",posicao_contratual!X81)</f>
        <v/>
      </c>
    </row>
    <row r="82" spans="1:40" x14ac:dyDescent="0.35">
      <c r="A82" s="106"/>
      <c r="B82" s="107"/>
      <c r="C82" s="108"/>
      <c r="D82" s="104" t="str">
        <f>IF(AND(A82="",A81&lt;&gt;"",COUNTIF(A83:$A$200,"&lt;&gt;")=0),ROUND(SUMIF($A$2:A81,"&lt;&gt;",$D$2:D81),2),IF(OR(A82="",B82="",C82=""),"",ROUND(B82*C82,2)))</f>
        <v/>
      </c>
      <c r="E82" s="109"/>
      <c r="F82" s="104" t="str">
        <f>IF(AND(A82="",A81&lt;&gt;"",COUNTIF(A83:$A$200,"&lt;&gt;")=0),ROUND(SUMIF($A$2:A81,"&lt;&gt;",$F$2:F81),2),IF(OR(A82="",posicao_contratual!K82="",C82="",NOT(ISNUMBER($Z$3))),"",ROUND(posicao_contratual!K82*C82*$Z$3,2)))</f>
        <v/>
      </c>
      <c r="G82" s="109"/>
      <c r="H82" s="104" t="str">
        <f>IF(AND(A82="",A81&lt;&gt;"",COUNTIF(A83:$A$200,"&lt;&gt;")=0),ROUND(SUMIF($A$2:A81,"&lt;&gt;",$H$2:H81),2),IF(OR(A82="",posicao_contratual!O82="",C82="",NOT(ISNUMBER($Z$4))),"",ROUND(posicao_contratual!O82*C82*$Z$4,2)))</f>
        <v/>
      </c>
      <c r="I82" s="109"/>
      <c r="J82" s="104" t="str">
        <f>IF(AND(A82="",A81&lt;&gt;"",COUNTIF(A83:$A$200,"&lt;&gt;")=0),ROUND(SUMIF($A$2:A81,"&lt;&gt;",$J$2:J81),2),IF(OR(A82="",posicao_contratual!S82="",C82="",NOT(ISNUMBER($Z$5))),"",ROUND(posicao_contratual!S82*C82*$Z$5,2)))</f>
        <v/>
      </c>
      <c r="K82" s="109"/>
      <c r="L82" s="104" t="str">
        <f>IF(AND(A82="",A81&lt;&gt;"",COUNTIF(A83:$A$200,"&lt;&gt;")=0),ROUND(SUMIF($A$2:A81,"&lt;&gt;",$L$2:L81),2),IF(OR(A82="",posicao_contratual!W82="",C82="",NOT(ISNUMBER($Z$6))),"",ROUND(posicao_contratual!W82*C82*$Z$6,2)))</f>
        <v/>
      </c>
      <c r="M82" s="110" t="str">
        <f>IF(OR(posicao_contratual!J82="",posicao_contratual!N82=""),"",ROUND(MAX(posicao_contratual!J82+posicao_contratual!H82-posicao_contratual!N82,0),2))</f>
        <v/>
      </c>
      <c r="N82" s="104" t="str">
        <f>IF(AND(A82="",A81&lt;&gt;"",COUNTIF(A83:$A$200,"&lt;&gt;")=0),ROUND(SUMIF($A$2:A81,"&lt;&gt;",$N$2:N81),2),IF(OR(M82="",C82="",NOT(ISNUMBER($Z$3))),"",ROUND(M82*C82*$Z$3,2)))</f>
        <v/>
      </c>
      <c r="O82" s="110" t="str">
        <f>IF(OR(posicao_contratual!N82="",posicao_contratual!R82=""),"",ROUND(MAX(posicao_contratual!N82+posicao_contratual!L82-posicao_contratual!R82,0),2))</f>
        <v/>
      </c>
      <c r="P82" s="104" t="str">
        <f>IF(AND(A82="",A81&lt;&gt;"",COUNTIF(A83:$A$200,"&lt;&gt;")=0),ROUND(SUMIF($A$2:A81,"&lt;&gt;",$P$2:P81),2),IF(OR(O82="",C82="",NOT(ISNUMBER($Z$4))),"",ROUND(O82*C82*$Z$4,2)))</f>
        <v/>
      </c>
      <c r="Q82" s="110" t="str">
        <f>IF(OR(posicao_contratual!R82="",posicao_contratual!V82=""),"",ROUND(MAX(posicao_contratual!R82+posicao_contratual!P82-posicao_contratual!V82,0),2))</f>
        <v/>
      </c>
      <c r="R82" s="104" t="str">
        <f>IF(AND(A82="",A81&lt;&gt;"",COUNTIF(A83:$A$200,"&lt;&gt;")=0),ROUND(SUMIF($A$2:A81,"&lt;&gt;",$R$2:R81),2),IF(OR(Q82="",C82="",NOT(ISNUMBER($Z$5))),"",ROUND(Q82*C82*$Z$5,2)))</f>
        <v/>
      </c>
      <c r="S82" s="24"/>
      <c r="T82" s="25"/>
      <c r="U82" s="111" t="str">
        <f>IF(AND(A82="",A81&lt;&gt;"",COUNTIF(A83:$A$200,"&lt;&gt;")=0),"TOTAL",IF(A82="","",posicao_contratual!X82))</f>
        <v/>
      </c>
      <c r="V82" s="111" t="str">
        <f>IF(A82="","",posicao_contratual!X82)</f>
        <v/>
      </c>
      <c r="W82" s="16"/>
      <c r="X82" s="16"/>
      <c r="Y82" s="16"/>
      <c r="Z82" s="15"/>
      <c r="AA82" s="15"/>
      <c r="AB82" s="110" t="str">
        <f>IF(OR(A82="",posicao_contratual!E82="",posicao_contratual!J82=""),"",ROUND(MAX(posicao_contratual!E82-posicao_contratual!J82,0),2))</f>
        <v/>
      </c>
      <c r="AC82" s="104" t="str">
        <f>IF(AND(A82="",A81&lt;&gt;"",COUNTIF(A83:$A$200,"&lt;&gt;")=0),ROUND(SUMIF($A$2:A81,"&lt;&gt;",$AC$2:AC81),2),IF(OR(AB82="",C82="",NOT(ISNUMBER($Z$2))),"",ROUND(AB82*C82*$Z$2,2)))</f>
        <v/>
      </c>
      <c r="AD82" s="180" t="str">
        <f>IF(A82="","",posicao_contratual!E82)</f>
        <v/>
      </c>
      <c r="AE82" s="180" t="str">
        <f>IF(A82="","",posicao_contratual!I82)</f>
        <v/>
      </c>
      <c r="AF82" s="180" t="str">
        <f>IF(A82="","",posicao_contratual!M82)</f>
        <v/>
      </c>
      <c r="AG82" s="180" t="str">
        <f>IF(A82="","",posicao_contratual!Q82)</f>
        <v/>
      </c>
      <c r="AH82" s="180" t="str">
        <f>IF(A82="","",posicao_contratual!U82)</f>
        <v/>
      </c>
      <c r="AI82" s="180" t="str">
        <f>IF(A82="","",posicao_contratual!G82)</f>
        <v/>
      </c>
      <c r="AJ82" s="180" t="str">
        <f>IF(A82="","",posicao_contratual!K82)</f>
        <v/>
      </c>
      <c r="AK82" s="180" t="str">
        <f>IF(A82="","",posicao_contratual!O82)</f>
        <v/>
      </c>
      <c r="AL82" s="180" t="str">
        <f>IF(A82="","",posicao_contratual!S82)</f>
        <v/>
      </c>
      <c r="AM82" s="180" t="str">
        <f>IF(A82="","",posicao_contratual!W82)</f>
        <v/>
      </c>
      <c r="AN82" s="181" t="str">
        <f>IF(A82="","",posicao_contratual!X82)</f>
        <v/>
      </c>
    </row>
    <row r="83" spans="1:40" x14ac:dyDescent="0.35">
      <c r="A83" s="106"/>
      <c r="B83" s="107"/>
      <c r="C83" s="108"/>
      <c r="D83" s="104" t="str">
        <f>IF(AND(A83="",A82&lt;&gt;"",COUNTIF(A84:$A$200,"&lt;&gt;")=0),ROUND(SUMIF($A$2:A82,"&lt;&gt;",$D$2:D82),2),IF(OR(A83="",B83="",C83=""),"",ROUND(B83*C83,2)))</f>
        <v/>
      </c>
      <c r="E83" s="109"/>
      <c r="F83" s="104" t="str">
        <f>IF(AND(A83="",A82&lt;&gt;"",COUNTIF(A84:$A$200,"&lt;&gt;")=0),ROUND(SUMIF($A$2:A82,"&lt;&gt;",$F$2:F82),2),IF(OR(A83="",posicao_contratual!K83="",C83="",NOT(ISNUMBER($Z$3))),"",ROUND(posicao_contratual!K83*C83*$Z$3,2)))</f>
        <v/>
      </c>
      <c r="G83" s="109"/>
      <c r="H83" s="104" t="str">
        <f>IF(AND(A83="",A82&lt;&gt;"",COUNTIF(A84:$A$200,"&lt;&gt;")=0),ROUND(SUMIF($A$2:A82,"&lt;&gt;",$H$2:H82),2),IF(OR(A83="",posicao_contratual!O83="",C83="",NOT(ISNUMBER($Z$4))),"",ROUND(posicao_contratual!O83*C83*$Z$4,2)))</f>
        <v/>
      </c>
      <c r="I83" s="109"/>
      <c r="J83" s="104" t="str">
        <f>IF(AND(A83="",A82&lt;&gt;"",COUNTIF(A84:$A$200,"&lt;&gt;")=0),ROUND(SUMIF($A$2:A82,"&lt;&gt;",$J$2:J82),2),IF(OR(A83="",posicao_contratual!S83="",C83="",NOT(ISNUMBER($Z$5))),"",ROUND(posicao_contratual!S83*C83*$Z$5,2)))</f>
        <v/>
      </c>
      <c r="K83" s="109"/>
      <c r="L83" s="104" t="str">
        <f>IF(AND(A83="",A82&lt;&gt;"",COUNTIF(A84:$A$200,"&lt;&gt;")=0),ROUND(SUMIF($A$2:A82,"&lt;&gt;",$L$2:L82),2),IF(OR(A83="",posicao_contratual!W83="",C83="",NOT(ISNUMBER($Z$6))),"",ROUND(posicao_contratual!W83*C83*$Z$6,2)))</f>
        <v/>
      </c>
      <c r="M83" s="110" t="str">
        <f>IF(OR(posicao_contratual!J83="",posicao_contratual!N83=""),"",ROUND(MAX(posicao_contratual!J83+posicao_contratual!H83-posicao_contratual!N83,0),2))</f>
        <v/>
      </c>
      <c r="N83" s="104" t="str">
        <f>IF(AND(A83="",A82&lt;&gt;"",COUNTIF(A84:$A$200,"&lt;&gt;")=0),ROUND(SUMIF($A$2:A82,"&lt;&gt;",$N$2:N82),2),IF(OR(M83="",C83="",NOT(ISNUMBER($Z$3))),"",ROUND(M83*C83*$Z$3,2)))</f>
        <v/>
      </c>
      <c r="O83" s="110" t="str">
        <f>IF(OR(posicao_contratual!N83="",posicao_contratual!R83=""),"",ROUND(MAX(posicao_contratual!N83+posicao_contratual!L83-posicao_contratual!R83,0),2))</f>
        <v/>
      </c>
      <c r="P83" s="104" t="str">
        <f>IF(AND(A83="",A82&lt;&gt;"",COUNTIF(A84:$A$200,"&lt;&gt;")=0),ROUND(SUMIF($A$2:A82,"&lt;&gt;",$P$2:P82),2),IF(OR(O83="",C83="",NOT(ISNUMBER($Z$4))),"",ROUND(O83*C83*$Z$4,2)))</f>
        <v/>
      </c>
      <c r="Q83" s="110" t="str">
        <f>IF(OR(posicao_contratual!R83="",posicao_contratual!V83=""),"",ROUND(MAX(posicao_contratual!R83+posicao_contratual!P83-posicao_contratual!V83,0),2))</f>
        <v/>
      </c>
      <c r="R83" s="104" t="str">
        <f>IF(AND(A83="",A82&lt;&gt;"",COUNTIF(A84:$A$200,"&lt;&gt;")=0),ROUND(SUMIF($A$2:A82,"&lt;&gt;",$R$2:R82),2),IF(OR(Q83="",C83="",NOT(ISNUMBER($Z$5))),"",ROUND(Q83*C83*$Z$5,2)))</f>
        <v/>
      </c>
      <c r="S83" s="24"/>
      <c r="T83" s="25"/>
      <c r="U83" s="111" t="str">
        <f>IF(AND(A83="",A82&lt;&gt;"",COUNTIF(A84:$A$200,"&lt;&gt;")=0),"TOTAL",IF(A83="","",posicao_contratual!X83))</f>
        <v/>
      </c>
      <c r="V83" s="111" t="str">
        <f>IF(A83="","",posicao_contratual!X83)</f>
        <v/>
      </c>
      <c r="W83" s="16"/>
      <c r="X83" s="16"/>
      <c r="Y83" s="16"/>
      <c r="Z83" s="15"/>
      <c r="AA83" s="15"/>
      <c r="AB83" s="110" t="str">
        <f>IF(OR(A83="",posicao_contratual!E83="",posicao_contratual!J83=""),"",ROUND(MAX(posicao_contratual!E83-posicao_contratual!J83,0),2))</f>
        <v/>
      </c>
      <c r="AC83" s="104" t="str">
        <f>IF(AND(A83="",A82&lt;&gt;"",COUNTIF(A84:$A$200,"&lt;&gt;")=0),ROUND(SUMIF($A$2:A82,"&lt;&gt;",$AC$2:AC82),2),IF(OR(AB83="",C83="",NOT(ISNUMBER($Z$2))),"",ROUND(AB83*C83*$Z$2,2)))</f>
        <v/>
      </c>
      <c r="AD83" s="180" t="str">
        <f>IF(A83="","",posicao_contratual!E83)</f>
        <v/>
      </c>
      <c r="AE83" s="180" t="str">
        <f>IF(A83="","",posicao_contratual!I83)</f>
        <v/>
      </c>
      <c r="AF83" s="180" t="str">
        <f>IF(A83="","",posicao_contratual!M83)</f>
        <v/>
      </c>
      <c r="AG83" s="180" t="str">
        <f>IF(A83="","",posicao_contratual!Q83)</f>
        <v/>
      </c>
      <c r="AH83" s="180" t="str">
        <f>IF(A83="","",posicao_contratual!U83)</f>
        <v/>
      </c>
      <c r="AI83" s="180" t="str">
        <f>IF(A83="","",posicao_contratual!G83)</f>
        <v/>
      </c>
      <c r="AJ83" s="180" t="str">
        <f>IF(A83="","",posicao_contratual!K83)</f>
        <v/>
      </c>
      <c r="AK83" s="180" t="str">
        <f>IF(A83="","",posicao_contratual!O83)</f>
        <v/>
      </c>
      <c r="AL83" s="180" t="str">
        <f>IF(A83="","",posicao_contratual!S83)</f>
        <v/>
      </c>
      <c r="AM83" s="180" t="str">
        <f>IF(A83="","",posicao_contratual!W83)</f>
        <v/>
      </c>
      <c r="AN83" s="181" t="str">
        <f>IF(A83="","",posicao_contratual!X83)</f>
        <v/>
      </c>
    </row>
    <row r="84" spans="1:40" x14ac:dyDescent="0.35">
      <c r="A84" s="106"/>
      <c r="B84" s="107"/>
      <c r="C84" s="108"/>
      <c r="D84" s="104" t="str">
        <f>IF(AND(A84="",A83&lt;&gt;"",COUNTIF(A85:$A$200,"&lt;&gt;")=0),ROUND(SUMIF($A$2:A83,"&lt;&gt;",$D$2:D83),2),IF(OR(A84="",B84="",C84=""),"",ROUND(B84*C84,2)))</f>
        <v/>
      </c>
      <c r="E84" s="109"/>
      <c r="F84" s="104" t="str">
        <f>IF(AND(A84="",A83&lt;&gt;"",COUNTIF(A85:$A$200,"&lt;&gt;")=0),ROUND(SUMIF($A$2:A83,"&lt;&gt;",$F$2:F83),2),IF(OR(A84="",posicao_contratual!K84="",C84="",NOT(ISNUMBER($Z$3))),"",ROUND(posicao_contratual!K84*C84*$Z$3,2)))</f>
        <v/>
      </c>
      <c r="G84" s="109"/>
      <c r="H84" s="104" t="str">
        <f>IF(AND(A84="",A83&lt;&gt;"",COUNTIF(A85:$A$200,"&lt;&gt;")=0),ROUND(SUMIF($A$2:A83,"&lt;&gt;",$H$2:H83),2),IF(OR(A84="",posicao_contratual!O84="",C84="",NOT(ISNUMBER($Z$4))),"",ROUND(posicao_contratual!O84*C84*$Z$4,2)))</f>
        <v/>
      </c>
      <c r="I84" s="109"/>
      <c r="J84" s="104" t="str">
        <f>IF(AND(A84="",A83&lt;&gt;"",COUNTIF(A85:$A$200,"&lt;&gt;")=0),ROUND(SUMIF($A$2:A83,"&lt;&gt;",$J$2:J83),2),IF(OR(A84="",posicao_contratual!S84="",C84="",NOT(ISNUMBER($Z$5))),"",ROUND(posicao_contratual!S84*C84*$Z$5,2)))</f>
        <v/>
      </c>
      <c r="K84" s="109"/>
      <c r="L84" s="104" t="str">
        <f>IF(AND(A84="",A83&lt;&gt;"",COUNTIF(A85:$A$200,"&lt;&gt;")=0),ROUND(SUMIF($A$2:A83,"&lt;&gt;",$L$2:L83),2),IF(OR(A84="",posicao_contratual!W84="",C84="",NOT(ISNUMBER($Z$6))),"",ROUND(posicao_contratual!W84*C84*$Z$6,2)))</f>
        <v/>
      </c>
      <c r="M84" s="110" t="str">
        <f>IF(OR(posicao_contratual!J84="",posicao_contratual!N84=""),"",ROUND(MAX(posicao_contratual!J84+posicao_contratual!H84-posicao_contratual!N84,0),2))</f>
        <v/>
      </c>
      <c r="N84" s="104" t="str">
        <f>IF(AND(A84="",A83&lt;&gt;"",COUNTIF(A85:$A$200,"&lt;&gt;")=0),ROUND(SUMIF($A$2:A83,"&lt;&gt;",$N$2:N83),2),IF(OR(M84="",C84="",NOT(ISNUMBER($Z$3))),"",ROUND(M84*C84*$Z$3,2)))</f>
        <v/>
      </c>
      <c r="O84" s="110" t="str">
        <f>IF(OR(posicao_contratual!N84="",posicao_contratual!R84=""),"",ROUND(MAX(posicao_contratual!N84+posicao_contratual!L84-posicao_contratual!R84,0),2))</f>
        <v/>
      </c>
      <c r="P84" s="104" t="str">
        <f>IF(AND(A84="",A83&lt;&gt;"",COUNTIF(A85:$A$200,"&lt;&gt;")=0),ROUND(SUMIF($A$2:A83,"&lt;&gt;",$P$2:P83),2),IF(OR(O84="",C84="",NOT(ISNUMBER($Z$4))),"",ROUND(O84*C84*$Z$4,2)))</f>
        <v/>
      </c>
      <c r="Q84" s="110" t="str">
        <f>IF(OR(posicao_contratual!R84="",posicao_contratual!V84=""),"",ROUND(MAX(posicao_contratual!R84+posicao_contratual!P84-posicao_contratual!V84,0),2))</f>
        <v/>
      </c>
      <c r="R84" s="104" t="str">
        <f>IF(AND(A84="",A83&lt;&gt;"",COUNTIF(A85:$A$200,"&lt;&gt;")=0),ROUND(SUMIF($A$2:A83,"&lt;&gt;",$R$2:R83),2),IF(OR(Q84="",C84="",NOT(ISNUMBER($Z$5))),"",ROUND(Q84*C84*$Z$5,2)))</f>
        <v/>
      </c>
      <c r="S84" s="24"/>
      <c r="T84" s="25"/>
      <c r="U84" s="111" t="str">
        <f>IF(AND(A84="",A83&lt;&gt;"",COUNTIF(A85:$A$200,"&lt;&gt;")=0),"TOTAL",IF(A84="","",posicao_contratual!X84))</f>
        <v/>
      </c>
      <c r="V84" s="111" t="str">
        <f>IF(A84="","",posicao_contratual!X84)</f>
        <v/>
      </c>
      <c r="W84" s="16"/>
      <c r="X84" s="16"/>
      <c r="Y84" s="16"/>
      <c r="Z84" s="15"/>
      <c r="AA84" s="15"/>
      <c r="AB84" s="110" t="str">
        <f>IF(OR(A84="",posicao_contratual!E84="",posicao_contratual!J84=""),"",ROUND(MAX(posicao_contratual!E84-posicao_contratual!J84,0),2))</f>
        <v/>
      </c>
      <c r="AC84" s="104" t="str">
        <f>IF(AND(A84="",A83&lt;&gt;"",COUNTIF(A85:$A$200,"&lt;&gt;")=0),ROUND(SUMIF($A$2:A83,"&lt;&gt;",$AC$2:AC83),2),IF(OR(AB84="",C84="",NOT(ISNUMBER($Z$2))),"",ROUND(AB84*C84*$Z$2,2)))</f>
        <v/>
      </c>
      <c r="AD84" s="180" t="str">
        <f>IF(A84="","",posicao_contratual!E84)</f>
        <v/>
      </c>
      <c r="AE84" s="180" t="str">
        <f>IF(A84="","",posicao_contratual!I84)</f>
        <v/>
      </c>
      <c r="AF84" s="180" t="str">
        <f>IF(A84="","",posicao_contratual!M84)</f>
        <v/>
      </c>
      <c r="AG84" s="180" t="str">
        <f>IF(A84="","",posicao_contratual!Q84)</f>
        <v/>
      </c>
      <c r="AH84" s="180" t="str">
        <f>IF(A84="","",posicao_contratual!U84)</f>
        <v/>
      </c>
      <c r="AI84" s="180" t="str">
        <f>IF(A84="","",posicao_contratual!G84)</f>
        <v/>
      </c>
      <c r="AJ84" s="180" t="str">
        <f>IF(A84="","",posicao_contratual!K84)</f>
        <v/>
      </c>
      <c r="AK84" s="180" t="str">
        <f>IF(A84="","",posicao_contratual!O84)</f>
        <v/>
      </c>
      <c r="AL84" s="180" t="str">
        <f>IF(A84="","",posicao_contratual!S84)</f>
        <v/>
      </c>
      <c r="AM84" s="180" t="str">
        <f>IF(A84="","",posicao_contratual!W84)</f>
        <v/>
      </c>
      <c r="AN84" s="181" t="str">
        <f>IF(A84="","",posicao_contratual!X84)</f>
        <v/>
      </c>
    </row>
    <row r="85" spans="1:40" x14ac:dyDescent="0.35">
      <c r="A85" s="106"/>
      <c r="B85" s="107"/>
      <c r="C85" s="108"/>
      <c r="D85" s="104" t="str">
        <f>IF(AND(A85="",A84&lt;&gt;"",COUNTIF(A86:$A$200,"&lt;&gt;")=0),ROUND(SUMIF($A$2:A84,"&lt;&gt;",$D$2:D84),2),IF(OR(A85="",B85="",C85=""),"",ROUND(B85*C85,2)))</f>
        <v/>
      </c>
      <c r="E85" s="109"/>
      <c r="F85" s="104" t="str">
        <f>IF(AND(A85="",A84&lt;&gt;"",COUNTIF(A86:$A$200,"&lt;&gt;")=0),ROUND(SUMIF($A$2:A84,"&lt;&gt;",$F$2:F84),2),IF(OR(A85="",posicao_contratual!K85="",C85="",NOT(ISNUMBER($Z$3))),"",ROUND(posicao_contratual!K85*C85*$Z$3,2)))</f>
        <v/>
      </c>
      <c r="G85" s="109"/>
      <c r="H85" s="104" t="str">
        <f>IF(AND(A85="",A84&lt;&gt;"",COUNTIF(A86:$A$200,"&lt;&gt;")=0),ROUND(SUMIF($A$2:A84,"&lt;&gt;",$H$2:H84),2),IF(OR(A85="",posicao_contratual!O85="",C85="",NOT(ISNUMBER($Z$4))),"",ROUND(posicao_contratual!O85*C85*$Z$4,2)))</f>
        <v/>
      </c>
      <c r="I85" s="109"/>
      <c r="J85" s="104" t="str">
        <f>IF(AND(A85="",A84&lt;&gt;"",COUNTIF(A86:$A$200,"&lt;&gt;")=0),ROUND(SUMIF($A$2:A84,"&lt;&gt;",$J$2:J84),2),IF(OR(A85="",posicao_contratual!S85="",C85="",NOT(ISNUMBER($Z$5))),"",ROUND(posicao_contratual!S85*C85*$Z$5,2)))</f>
        <v/>
      </c>
      <c r="K85" s="109"/>
      <c r="L85" s="104" t="str">
        <f>IF(AND(A85="",A84&lt;&gt;"",COUNTIF(A86:$A$200,"&lt;&gt;")=0),ROUND(SUMIF($A$2:A84,"&lt;&gt;",$L$2:L84),2),IF(OR(A85="",posicao_contratual!W85="",C85="",NOT(ISNUMBER($Z$6))),"",ROUND(posicao_contratual!W85*C85*$Z$6,2)))</f>
        <v/>
      </c>
      <c r="M85" s="110" t="str">
        <f>IF(OR(posicao_contratual!J85="",posicao_contratual!N85=""),"",ROUND(MAX(posicao_contratual!J85+posicao_contratual!H85-posicao_contratual!N85,0),2))</f>
        <v/>
      </c>
      <c r="N85" s="104" t="str">
        <f>IF(AND(A85="",A84&lt;&gt;"",COUNTIF(A86:$A$200,"&lt;&gt;")=0),ROUND(SUMIF($A$2:A84,"&lt;&gt;",$N$2:N84),2),IF(OR(M85="",C85="",NOT(ISNUMBER($Z$3))),"",ROUND(M85*C85*$Z$3,2)))</f>
        <v/>
      </c>
      <c r="O85" s="110" t="str">
        <f>IF(OR(posicao_contratual!N85="",posicao_contratual!R85=""),"",ROUND(MAX(posicao_contratual!N85+posicao_contratual!L85-posicao_contratual!R85,0),2))</f>
        <v/>
      </c>
      <c r="P85" s="104" t="str">
        <f>IF(AND(A85="",A84&lt;&gt;"",COUNTIF(A86:$A$200,"&lt;&gt;")=0),ROUND(SUMIF($A$2:A84,"&lt;&gt;",$P$2:P84),2),IF(OR(O85="",C85="",NOT(ISNUMBER($Z$4))),"",ROUND(O85*C85*$Z$4,2)))</f>
        <v/>
      </c>
      <c r="Q85" s="110" t="str">
        <f>IF(OR(posicao_contratual!R85="",posicao_contratual!V85=""),"",ROUND(MAX(posicao_contratual!R85+posicao_contratual!P85-posicao_contratual!V85,0),2))</f>
        <v/>
      </c>
      <c r="R85" s="104" t="str">
        <f>IF(AND(A85="",A84&lt;&gt;"",COUNTIF(A86:$A$200,"&lt;&gt;")=0),ROUND(SUMIF($A$2:A84,"&lt;&gt;",$R$2:R84),2),IF(OR(Q85="",C85="",NOT(ISNUMBER($Z$5))),"",ROUND(Q85*C85*$Z$5,2)))</f>
        <v/>
      </c>
      <c r="S85" s="24"/>
      <c r="T85" s="25"/>
      <c r="U85" s="111" t="str">
        <f>IF(AND(A85="",A84&lt;&gt;"",COUNTIF(A86:$A$200,"&lt;&gt;")=0),"TOTAL",IF(A85="","",posicao_contratual!X85))</f>
        <v/>
      </c>
      <c r="V85" s="111" t="str">
        <f>IF(A85="","",posicao_contratual!X85)</f>
        <v/>
      </c>
      <c r="W85" s="16"/>
      <c r="X85" s="16"/>
      <c r="Y85" s="16"/>
      <c r="Z85" s="15"/>
      <c r="AA85" s="15"/>
      <c r="AB85" s="110" t="str">
        <f>IF(OR(A85="",posicao_contratual!E85="",posicao_contratual!J85=""),"",ROUND(MAX(posicao_contratual!E85-posicao_contratual!J85,0),2))</f>
        <v/>
      </c>
      <c r="AC85" s="104" t="str">
        <f>IF(AND(A85="",A84&lt;&gt;"",COUNTIF(A86:$A$200,"&lt;&gt;")=0),ROUND(SUMIF($A$2:A84,"&lt;&gt;",$AC$2:AC84),2),IF(OR(AB85="",C85="",NOT(ISNUMBER($Z$2))),"",ROUND(AB85*C85*$Z$2,2)))</f>
        <v/>
      </c>
      <c r="AD85" s="180" t="str">
        <f>IF(A85="","",posicao_contratual!E85)</f>
        <v/>
      </c>
      <c r="AE85" s="180" t="str">
        <f>IF(A85="","",posicao_contratual!I85)</f>
        <v/>
      </c>
      <c r="AF85" s="180" t="str">
        <f>IF(A85="","",posicao_contratual!M85)</f>
        <v/>
      </c>
      <c r="AG85" s="180" t="str">
        <f>IF(A85="","",posicao_contratual!Q85)</f>
        <v/>
      </c>
      <c r="AH85" s="180" t="str">
        <f>IF(A85="","",posicao_contratual!U85)</f>
        <v/>
      </c>
      <c r="AI85" s="180" t="str">
        <f>IF(A85="","",posicao_contratual!G85)</f>
        <v/>
      </c>
      <c r="AJ85" s="180" t="str">
        <f>IF(A85="","",posicao_contratual!K85)</f>
        <v/>
      </c>
      <c r="AK85" s="180" t="str">
        <f>IF(A85="","",posicao_contratual!O85)</f>
        <v/>
      </c>
      <c r="AL85" s="180" t="str">
        <f>IF(A85="","",posicao_contratual!S85)</f>
        <v/>
      </c>
      <c r="AM85" s="180" t="str">
        <f>IF(A85="","",posicao_contratual!W85)</f>
        <v/>
      </c>
      <c r="AN85" s="181" t="str">
        <f>IF(A85="","",posicao_contratual!X85)</f>
        <v/>
      </c>
    </row>
    <row r="86" spans="1:40" x14ac:dyDescent="0.35">
      <c r="A86" s="106"/>
      <c r="B86" s="107"/>
      <c r="C86" s="108"/>
      <c r="D86" s="104" t="str">
        <f>IF(AND(A86="",A85&lt;&gt;"",COUNTIF(A87:$A$200,"&lt;&gt;")=0),ROUND(SUMIF($A$2:A85,"&lt;&gt;",$D$2:D85),2),IF(OR(A86="",B86="",C86=""),"",ROUND(B86*C86,2)))</f>
        <v/>
      </c>
      <c r="E86" s="109"/>
      <c r="F86" s="104" t="str">
        <f>IF(AND(A86="",A85&lt;&gt;"",COUNTIF(A87:$A$200,"&lt;&gt;")=0),ROUND(SUMIF($A$2:A85,"&lt;&gt;",$F$2:F85),2),IF(OR(A86="",posicao_contratual!K86="",C86="",NOT(ISNUMBER($Z$3))),"",ROUND(posicao_contratual!K86*C86*$Z$3,2)))</f>
        <v/>
      </c>
      <c r="G86" s="109"/>
      <c r="H86" s="104" t="str">
        <f>IF(AND(A86="",A85&lt;&gt;"",COUNTIF(A87:$A$200,"&lt;&gt;")=0),ROUND(SUMIF($A$2:A85,"&lt;&gt;",$H$2:H85),2),IF(OR(A86="",posicao_contratual!O86="",C86="",NOT(ISNUMBER($Z$4))),"",ROUND(posicao_contratual!O86*C86*$Z$4,2)))</f>
        <v/>
      </c>
      <c r="I86" s="109"/>
      <c r="J86" s="104" t="str">
        <f>IF(AND(A86="",A85&lt;&gt;"",COUNTIF(A87:$A$200,"&lt;&gt;")=0),ROUND(SUMIF($A$2:A85,"&lt;&gt;",$J$2:J85),2),IF(OR(A86="",posicao_contratual!S86="",C86="",NOT(ISNUMBER($Z$5))),"",ROUND(posicao_contratual!S86*C86*$Z$5,2)))</f>
        <v/>
      </c>
      <c r="K86" s="109"/>
      <c r="L86" s="104" t="str">
        <f>IF(AND(A86="",A85&lt;&gt;"",COUNTIF(A87:$A$200,"&lt;&gt;")=0),ROUND(SUMIF($A$2:A85,"&lt;&gt;",$L$2:L85),2),IF(OR(A86="",posicao_contratual!W86="",C86="",NOT(ISNUMBER($Z$6))),"",ROUND(posicao_contratual!W86*C86*$Z$6,2)))</f>
        <v/>
      </c>
      <c r="M86" s="110" t="str">
        <f>IF(OR(posicao_contratual!J86="",posicao_contratual!N86=""),"",ROUND(MAX(posicao_contratual!J86+posicao_contratual!H86-posicao_contratual!N86,0),2))</f>
        <v/>
      </c>
      <c r="N86" s="104" t="str">
        <f>IF(AND(A86="",A85&lt;&gt;"",COUNTIF(A87:$A$200,"&lt;&gt;")=0),ROUND(SUMIF($A$2:A85,"&lt;&gt;",$N$2:N85),2),IF(OR(M86="",C86="",NOT(ISNUMBER($Z$3))),"",ROUND(M86*C86*$Z$3,2)))</f>
        <v/>
      </c>
      <c r="O86" s="110" t="str">
        <f>IF(OR(posicao_contratual!N86="",posicao_contratual!R86=""),"",ROUND(MAX(posicao_contratual!N86+posicao_contratual!L86-posicao_contratual!R86,0),2))</f>
        <v/>
      </c>
      <c r="P86" s="104" t="str">
        <f>IF(AND(A86="",A85&lt;&gt;"",COUNTIF(A87:$A$200,"&lt;&gt;")=0),ROUND(SUMIF($A$2:A85,"&lt;&gt;",$P$2:P85),2),IF(OR(O86="",C86="",NOT(ISNUMBER($Z$4))),"",ROUND(O86*C86*$Z$4,2)))</f>
        <v/>
      </c>
      <c r="Q86" s="110" t="str">
        <f>IF(OR(posicao_contratual!R86="",posicao_contratual!V86=""),"",ROUND(MAX(posicao_contratual!R86+posicao_contratual!P86-posicao_contratual!V86,0),2))</f>
        <v/>
      </c>
      <c r="R86" s="104" t="str">
        <f>IF(AND(A86="",A85&lt;&gt;"",COUNTIF(A87:$A$200,"&lt;&gt;")=0),ROUND(SUMIF($A$2:A85,"&lt;&gt;",$R$2:R85),2),IF(OR(Q86="",C86="",NOT(ISNUMBER($Z$5))),"",ROUND(Q86*C86*$Z$5,2)))</f>
        <v/>
      </c>
      <c r="S86" s="24"/>
      <c r="T86" s="25"/>
      <c r="U86" s="111" t="str">
        <f>IF(AND(A86="",A85&lt;&gt;"",COUNTIF(A87:$A$200,"&lt;&gt;")=0),"TOTAL",IF(A86="","",posicao_contratual!X86))</f>
        <v/>
      </c>
      <c r="V86" s="111" t="str">
        <f>IF(A86="","",posicao_contratual!X86)</f>
        <v/>
      </c>
      <c r="W86" s="16"/>
      <c r="X86" s="16"/>
      <c r="Y86" s="16"/>
      <c r="Z86" s="15"/>
      <c r="AA86" s="15"/>
      <c r="AB86" s="110" t="str">
        <f>IF(OR(A86="",posicao_contratual!E86="",posicao_contratual!J86=""),"",ROUND(MAX(posicao_contratual!E86-posicao_contratual!J86,0),2))</f>
        <v/>
      </c>
      <c r="AC86" s="104" t="str">
        <f>IF(AND(A86="",A85&lt;&gt;"",COUNTIF(A87:$A$200,"&lt;&gt;")=0),ROUND(SUMIF($A$2:A85,"&lt;&gt;",$AC$2:AC85),2),IF(OR(AB86="",C86="",NOT(ISNUMBER($Z$2))),"",ROUND(AB86*C86*$Z$2,2)))</f>
        <v/>
      </c>
      <c r="AD86" s="180" t="str">
        <f>IF(A86="","",posicao_contratual!E86)</f>
        <v/>
      </c>
      <c r="AE86" s="180" t="str">
        <f>IF(A86="","",posicao_contratual!I86)</f>
        <v/>
      </c>
      <c r="AF86" s="180" t="str">
        <f>IF(A86="","",posicao_contratual!M86)</f>
        <v/>
      </c>
      <c r="AG86" s="180" t="str">
        <f>IF(A86="","",posicao_contratual!Q86)</f>
        <v/>
      </c>
      <c r="AH86" s="180" t="str">
        <f>IF(A86="","",posicao_contratual!U86)</f>
        <v/>
      </c>
      <c r="AI86" s="180" t="str">
        <f>IF(A86="","",posicao_contratual!G86)</f>
        <v/>
      </c>
      <c r="AJ86" s="180" t="str">
        <f>IF(A86="","",posicao_contratual!K86)</f>
        <v/>
      </c>
      <c r="AK86" s="180" t="str">
        <f>IF(A86="","",posicao_contratual!O86)</f>
        <v/>
      </c>
      <c r="AL86" s="180" t="str">
        <f>IF(A86="","",posicao_contratual!S86)</f>
        <v/>
      </c>
      <c r="AM86" s="180" t="str">
        <f>IF(A86="","",posicao_contratual!W86)</f>
        <v/>
      </c>
      <c r="AN86" s="181" t="str">
        <f>IF(A86="","",posicao_contratual!X86)</f>
        <v/>
      </c>
    </row>
    <row r="87" spans="1:40" x14ac:dyDescent="0.35">
      <c r="A87" s="106"/>
      <c r="B87" s="107"/>
      <c r="C87" s="108"/>
      <c r="D87" s="104" t="str">
        <f>IF(AND(A87="",A86&lt;&gt;"",COUNTIF(A88:$A$200,"&lt;&gt;")=0),ROUND(SUMIF($A$2:A86,"&lt;&gt;",$D$2:D86),2),IF(OR(A87="",B87="",C87=""),"",ROUND(B87*C87,2)))</f>
        <v/>
      </c>
      <c r="E87" s="109"/>
      <c r="F87" s="104" t="str">
        <f>IF(AND(A87="",A86&lt;&gt;"",COUNTIF(A88:$A$200,"&lt;&gt;")=0),ROUND(SUMIF($A$2:A86,"&lt;&gt;",$F$2:F86),2),IF(OR(A87="",posicao_contratual!K87="",C87="",NOT(ISNUMBER($Z$3))),"",ROUND(posicao_contratual!K87*C87*$Z$3,2)))</f>
        <v/>
      </c>
      <c r="G87" s="109"/>
      <c r="H87" s="104" t="str">
        <f>IF(AND(A87="",A86&lt;&gt;"",COUNTIF(A88:$A$200,"&lt;&gt;")=0),ROUND(SUMIF($A$2:A86,"&lt;&gt;",$H$2:H86),2),IF(OR(A87="",posicao_contratual!O87="",C87="",NOT(ISNUMBER($Z$4))),"",ROUND(posicao_contratual!O87*C87*$Z$4,2)))</f>
        <v/>
      </c>
      <c r="I87" s="109"/>
      <c r="J87" s="104" t="str">
        <f>IF(AND(A87="",A86&lt;&gt;"",COUNTIF(A88:$A$200,"&lt;&gt;")=0),ROUND(SUMIF($A$2:A86,"&lt;&gt;",$J$2:J86),2),IF(OR(A87="",posicao_contratual!S87="",C87="",NOT(ISNUMBER($Z$5))),"",ROUND(posicao_contratual!S87*C87*$Z$5,2)))</f>
        <v/>
      </c>
      <c r="K87" s="109"/>
      <c r="L87" s="104" t="str">
        <f>IF(AND(A87="",A86&lt;&gt;"",COUNTIF(A88:$A$200,"&lt;&gt;")=0),ROUND(SUMIF($A$2:A86,"&lt;&gt;",$L$2:L86),2),IF(OR(A87="",posicao_contratual!W87="",C87="",NOT(ISNUMBER($Z$6))),"",ROUND(posicao_contratual!W87*C87*$Z$6,2)))</f>
        <v/>
      </c>
      <c r="M87" s="110" t="str">
        <f>IF(OR(posicao_contratual!J87="",posicao_contratual!N87=""),"",ROUND(MAX(posicao_contratual!J87+posicao_contratual!H87-posicao_contratual!N87,0),2))</f>
        <v/>
      </c>
      <c r="N87" s="104" t="str">
        <f>IF(AND(A87="",A86&lt;&gt;"",COUNTIF(A88:$A$200,"&lt;&gt;")=0),ROUND(SUMIF($A$2:A86,"&lt;&gt;",$N$2:N86),2),IF(OR(M87="",C87="",NOT(ISNUMBER($Z$3))),"",ROUND(M87*C87*$Z$3,2)))</f>
        <v/>
      </c>
      <c r="O87" s="110" t="str">
        <f>IF(OR(posicao_contratual!N87="",posicao_contratual!R87=""),"",ROUND(MAX(posicao_contratual!N87+posicao_contratual!L87-posicao_contratual!R87,0),2))</f>
        <v/>
      </c>
      <c r="P87" s="104" t="str">
        <f>IF(AND(A87="",A86&lt;&gt;"",COUNTIF(A88:$A$200,"&lt;&gt;")=0),ROUND(SUMIF($A$2:A86,"&lt;&gt;",$P$2:P86),2),IF(OR(O87="",C87="",NOT(ISNUMBER($Z$4))),"",ROUND(O87*C87*$Z$4,2)))</f>
        <v/>
      </c>
      <c r="Q87" s="110" t="str">
        <f>IF(OR(posicao_contratual!R87="",posicao_contratual!V87=""),"",ROUND(MAX(posicao_contratual!R87+posicao_contratual!P87-posicao_contratual!V87,0),2))</f>
        <v/>
      </c>
      <c r="R87" s="104" t="str">
        <f>IF(AND(A87="",A86&lt;&gt;"",COUNTIF(A88:$A$200,"&lt;&gt;")=0),ROUND(SUMIF($A$2:A86,"&lt;&gt;",$R$2:R86),2),IF(OR(Q87="",C87="",NOT(ISNUMBER($Z$5))),"",ROUND(Q87*C87*$Z$5,2)))</f>
        <v/>
      </c>
      <c r="S87" s="24"/>
      <c r="T87" s="25"/>
      <c r="U87" s="111" t="str">
        <f>IF(AND(A87="",A86&lt;&gt;"",COUNTIF(A88:$A$200,"&lt;&gt;")=0),"TOTAL",IF(A87="","",posicao_contratual!X87))</f>
        <v/>
      </c>
      <c r="V87" s="111" t="str">
        <f>IF(A87="","",posicao_contratual!X87)</f>
        <v/>
      </c>
      <c r="W87" s="16"/>
      <c r="X87" s="16"/>
      <c r="Y87" s="16"/>
      <c r="Z87" s="15"/>
      <c r="AA87" s="15"/>
      <c r="AB87" s="110" t="str">
        <f>IF(OR(A87="",posicao_contratual!E87="",posicao_contratual!J87=""),"",ROUND(MAX(posicao_contratual!E87-posicao_contratual!J87,0),2))</f>
        <v/>
      </c>
      <c r="AC87" s="104" t="str">
        <f>IF(AND(A87="",A86&lt;&gt;"",COUNTIF(A88:$A$200,"&lt;&gt;")=0),ROUND(SUMIF($A$2:A86,"&lt;&gt;",$AC$2:AC86),2),IF(OR(AB87="",C87="",NOT(ISNUMBER($Z$2))),"",ROUND(AB87*C87*$Z$2,2)))</f>
        <v/>
      </c>
      <c r="AD87" s="180" t="str">
        <f>IF(A87="","",posicao_contratual!E87)</f>
        <v/>
      </c>
      <c r="AE87" s="180" t="str">
        <f>IF(A87="","",posicao_contratual!I87)</f>
        <v/>
      </c>
      <c r="AF87" s="180" t="str">
        <f>IF(A87="","",posicao_contratual!M87)</f>
        <v/>
      </c>
      <c r="AG87" s="180" t="str">
        <f>IF(A87="","",posicao_contratual!Q87)</f>
        <v/>
      </c>
      <c r="AH87" s="180" t="str">
        <f>IF(A87="","",posicao_contratual!U87)</f>
        <v/>
      </c>
      <c r="AI87" s="180" t="str">
        <f>IF(A87="","",posicao_contratual!G87)</f>
        <v/>
      </c>
      <c r="AJ87" s="180" t="str">
        <f>IF(A87="","",posicao_contratual!K87)</f>
        <v/>
      </c>
      <c r="AK87" s="180" t="str">
        <f>IF(A87="","",posicao_contratual!O87)</f>
        <v/>
      </c>
      <c r="AL87" s="180" t="str">
        <f>IF(A87="","",posicao_contratual!S87)</f>
        <v/>
      </c>
      <c r="AM87" s="180" t="str">
        <f>IF(A87="","",posicao_contratual!W87)</f>
        <v/>
      </c>
      <c r="AN87" s="181" t="str">
        <f>IF(A87="","",posicao_contratual!X87)</f>
        <v/>
      </c>
    </row>
    <row r="88" spans="1:40" x14ac:dyDescent="0.35">
      <c r="A88" s="106"/>
      <c r="B88" s="107"/>
      <c r="C88" s="108"/>
      <c r="D88" s="104" t="str">
        <f>IF(AND(A88="",A87&lt;&gt;"",COUNTIF(A89:$A$200,"&lt;&gt;")=0),ROUND(SUMIF($A$2:A87,"&lt;&gt;",$D$2:D87),2),IF(OR(A88="",B88="",C88=""),"",ROUND(B88*C88,2)))</f>
        <v/>
      </c>
      <c r="E88" s="109"/>
      <c r="F88" s="104" t="str">
        <f>IF(AND(A88="",A87&lt;&gt;"",COUNTIF(A89:$A$200,"&lt;&gt;")=0),ROUND(SUMIF($A$2:A87,"&lt;&gt;",$F$2:F87),2),IF(OR(A88="",posicao_contratual!K88="",C88="",NOT(ISNUMBER($Z$3))),"",ROUND(posicao_contratual!K88*C88*$Z$3,2)))</f>
        <v/>
      </c>
      <c r="G88" s="109"/>
      <c r="H88" s="104" t="str">
        <f>IF(AND(A88="",A87&lt;&gt;"",COUNTIF(A89:$A$200,"&lt;&gt;")=0),ROUND(SUMIF($A$2:A87,"&lt;&gt;",$H$2:H87),2),IF(OR(A88="",posicao_contratual!O88="",C88="",NOT(ISNUMBER($Z$4))),"",ROUND(posicao_contratual!O88*C88*$Z$4,2)))</f>
        <v/>
      </c>
      <c r="I88" s="109"/>
      <c r="J88" s="104" t="str">
        <f>IF(AND(A88="",A87&lt;&gt;"",COUNTIF(A89:$A$200,"&lt;&gt;")=0),ROUND(SUMIF($A$2:A87,"&lt;&gt;",$J$2:J87),2),IF(OR(A88="",posicao_contratual!S88="",C88="",NOT(ISNUMBER($Z$5))),"",ROUND(posicao_contratual!S88*C88*$Z$5,2)))</f>
        <v/>
      </c>
      <c r="K88" s="109"/>
      <c r="L88" s="104" t="str">
        <f>IF(AND(A88="",A87&lt;&gt;"",COUNTIF(A89:$A$200,"&lt;&gt;")=0),ROUND(SUMIF($A$2:A87,"&lt;&gt;",$L$2:L87),2),IF(OR(A88="",posicao_contratual!W88="",C88="",NOT(ISNUMBER($Z$6))),"",ROUND(posicao_contratual!W88*C88*$Z$6,2)))</f>
        <v/>
      </c>
      <c r="M88" s="110" t="str">
        <f>IF(OR(posicao_contratual!J88="",posicao_contratual!N88=""),"",ROUND(MAX(posicao_contratual!J88+posicao_contratual!H88-posicao_contratual!N88,0),2))</f>
        <v/>
      </c>
      <c r="N88" s="104" t="str">
        <f>IF(AND(A88="",A87&lt;&gt;"",COUNTIF(A89:$A$200,"&lt;&gt;")=0),ROUND(SUMIF($A$2:A87,"&lt;&gt;",$N$2:N87),2),IF(OR(M88="",C88="",NOT(ISNUMBER($Z$3))),"",ROUND(M88*C88*$Z$3,2)))</f>
        <v/>
      </c>
      <c r="O88" s="110" t="str">
        <f>IF(OR(posicao_contratual!N88="",posicao_contratual!R88=""),"",ROUND(MAX(posicao_contratual!N88+posicao_contratual!L88-posicao_contratual!R88,0),2))</f>
        <v/>
      </c>
      <c r="P88" s="104" t="str">
        <f>IF(AND(A88="",A87&lt;&gt;"",COUNTIF(A89:$A$200,"&lt;&gt;")=0),ROUND(SUMIF($A$2:A87,"&lt;&gt;",$P$2:P87),2),IF(OR(O88="",C88="",NOT(ISNUMBER($Z$4))),"",ROUND(O88*C88*$Z$4,2)))</f>
        <v/>
      </c>
      <c r="Q88" s="110" t="str">
        <f>IF(OR(posicao_contratual!R88="",posicao_contratual!V88=""),"",ROUND(MAX(posicao_contratual!R88+posicao_contratual!P88-posicao_contratual!V88,0),2))</f>
        <v/>
      </c>
      <c r="R88" s="104" t="str">
        <f>IF(AND(A88="",A87&lt;&gt;"",COUNTIF(A89:$A$200,"&lt;&gt;")=0),ROUND(SUMIF($A$2:A87,"&lt;&gt;",$R$2:R87),2),IF(OR(Q88="",C88="",NOT(ISNUMBER($Z$5))),"",ROUND(Q88*C88*$Z$5,2)))</f>
        <v/>
      </c>
      <c r="S88" s="24"/>
      <c r="T88" s="25"/>
      <c r="U88" s="111" t="str">
        <f>IF(AND(A88="",A87&lt;&gt;"",COUNTIF(A89:$A$200,"&lt;&gt;")=0),"TOTAL",IF(A88="","",posicao_contratual!X88))</f>
        <v/>
      </c>
      <c r="V88" s="111" t="str">
        <f>IF(A88="","",posicao_contratual!X88)</f>
        <v/>
      </c>
      <c r="W88" s="16"/>
      <c r="X88" s="16"/>
      <c r="Y88" s="16"/>
      <c r="Z88" s="15"/>
      <c r="AA88" s="15"/>
      <c r="AB88" s="110" t="str">
        <f>IF(OR(A88="",posicao_contratual!E88="",posicao_contratual!J88=""),"",ROUND(MAX(posicao_contratual!E88-posicao_contratual!J88,0),2))</f>
        <v/>
      </c>
      <c r="AC88" s="104" t="str">
        <f>IF(AND(A88="",A87&lt;&gt;"",COUNTIF(A89:$A$200,"&lt;&gt;")=0),ROUND(SUMIF($A$2:A87,"&lt;&gt;",$AC$2:AC87),2),IF(OR(AB88="",C88="",NOT(ISNUMBER($Z$2))),"",ROUND(AB88*C88*$Z$2,2)))</f>
        <v/>
      </c>
      <c r="AD88" s="180" t="str">
        <f>IF(A88="","",posicao_contratual!E88)</f>
        <v/>
      </c>
      <c r="AE88" s="180" t="str">
        <f>IF(A88="","",posicao_contratual!I88)</f>
        <v/>
      </c>
      <c r="AF88" s="180" t="str">
        <f>IF(A88="","",posicao_contratual!M88)</f>
        <v/>
      </c>
      <c r="AG88" s="180" t="str">
        <f>IF(A88="","",posicao_contratual!Q88)</f>
        <v/>
      </c>
      <c r="AH88" s="180" t="str">
        <f>IF(A88="","",posicao_contratual!U88)</f>
        <v/>
      </c>
      <c r="AI88" s="180" t="str">
        <f>IF(A88="","",posicao_contratual!G88)</f>
        <v/>
      </c>
      <c r="AJ88" s="180" t="str">
        <f>IF(A88="","",posicao_contratual!K88)</f>
        <v/>
      </c>
      <c r="AK88" s="180" t="str">
        <f>IF(A88="","",posicao_contratual!O88)</f>
        <v/>
      </c>
      <c r="AL88" s="180" t="str">
        <f>IF(A88="","",posicao_contratual!S88)</f>
        <v/>
      </c>
      <c r="AM88" s="180" t="str">
        <f>IF(A88="","",posicao_contratual!W88)</f>
        <v/>
      </c>
      <c r="AN88" s="181" t="str">
        <f>IF(A88="","",posicao_contratual!X88)</f>
        <v/>
      </c>
    </row>
    <row r="89" spans="1:40" x14ac:dyDescent="0.35">
      <c r="A89" s="106"/>
      <c r="B89" s="107"/>
      <c r="C89" s="108"/>
      <c r="D89" s="104" t="str">
        <f>IF(AND(A89="",A88&lt;&gt;"",COUNTIF(A90:$A$200,"&lt;&gt;")=0),ROUND(SUMIF($A$2:A88,"&lt;&gt;",$D$2:D88),2),IF(OR(A89="",B89="",C89=""),"",ROUND(B89*C89,2)))</f>
        <v/>
      </c>
      <c r="E89" s="109"/>
      <c r="F89" s="104" t="str">
        <f>IF(AND(A89="",A88&lt;&gt;"",COUNTIF(A90:$A$200,"&lt;&gt;")=0),ROUND(SUMIF($A$2:A88,"&lt;&gt;",$F$2:F88),2),IF(OR(A89="",posicao_contratual!K89="",C89="",NOT(ISNUMBER($Z$3))),"",ROUND(posicao_contratual!K89*C89*$Z$3,2)))</f>
        <v/>
      </c>
      <c r="G89" s="109"/>
      <c r="H89" s="104" t="str">
        <f>IF(AND(A89="",A88&lt;&gt;"",COUNTIF(A90:$A$200,"&lt;&gt;")=0),ROUND(SUMIF($A$2:A88,"&lt;&gt;",$H$2:H88),2),IF(OR(A89="",posicao_contratual!O89="",C89="",NOT(ISNUMBER($Z$4))),"",ROUND(posicao_contratual!O89*C89*$Z$4,2)))</f>
        <v/>
      </c>
      <c r="I89" s="109"/>
      <c r="J89" s="104" t="str">
        <f>IF(AND(A89="",A88&lt;&gt;"",COUNTIF(A90:$A$200,"&lt;&gt;")=0),ROUND(SUMIF($A$2:A88,"&lt;&gt;",$J$2:J88),2),IF(OR(A89="",posicao_contratual!S89="",C89="",NOT(ISNUMBER($Z$5))),"",ROUND(posicao_contratual!S89*C89*$Z$5,2)))</f>
        <v/>
      </c>
      <c r="K89" s="109"/>
      <c r="L89" s="104" t="str">
        <f>IF(AND(A89="",A88&lt;&gt;"",COUNTIF(A90:$A$200,"&lt;&gt;")=0),ROUND(SUMIF($A$2:A88,"&lt;&gt;",$L$2:L88),2),IF(OR(A89="",posicao_contratual!W89="",C89="",NOT(ISNUMBER($Z$6))),"",ROUND(posicao_contratual!W89*C89*$Z$6,2)))</f>
        <v/>
      </c>
      <c r="M89" s="110" t="str">
        <f>IF(OR(posicao_contratual!J89="",posicao_contratual!N89=""),"",ROUND(MAX(posicao_contratual!J89+posicao_contratual!H89-posicao_contratual!N89,0),2))</f>
        <v/>
      </c>
      <c r="N89" s="104" t="str">
        <f>IF(AND(A89="",A88&lt;&gt;"",COUNTIF(A90:$A$200,"&lt;&gt;")=0),ROUND(SUMIF($A$2:A88,"&lt;&gt;",$N$2:N88),2),IF(OR(M89="",C89="",NOT(ISNUMBER($Z$3))),"",ROUND(M89*C89*$Z$3,2)))</f>
        <v/>
      </c>
      <c r="O89" s="110" t="str">
        <f>IF(OR(posicao_contratual!N89="",posicao_contratual!R89=""),"",ROUND(MAX(posicao_contratual!N89+posicao_contratual!L89-posicao_contratual!R89,0),2))</f>
        <v/>
      </c>
      <c r="P89" s="104" t="str">
        <f>IF(AND(A89="",A88&lt;&gt;"",COUNTIF(A90:$A$200,"&lt;&gt;")=0),ROUND(SUMIF($A$2:A88,"&lt;&gt;",$P$2:P88),2),IF(OR(O89="",C89="",NOT(ISNUMBER($Z$4))),"",ROUND(O89*C89*$Z$4,2)))</f>
        <v/>
      </c>
      <c r="Q89" s="110" t="str">
        <f>IF(OR(posicao_contratual!R89="",posicao_contratual!V89=""),"",ROUND(MAX(posicao_contratual!R89+posicao_contratual!P89-posicao_contratual!V89,0),2))</f>
        <v/>
      </c>
      <c r="R89" s="104" t="str">
        <f>IF(AND(A89="",A88&lt;&gt;"",COUNTIF(A90:$A$200,"&lt;&gt;")=0),ROUND(SUMIF($A$2:A88,"&lt;&gt;",$R$2:R88),2),IF(OR(Q89="",C89="",NOT(ISNUMBER($Z$5))),"",ROUND(Q89*C89*$Z$5,2)))</f>
        <v/>
      </c>
      <c r="S89" s="24"/>
      <c r="T89" s="25"/>
      <c r="U89" s="111" t="str">
        <f>IF(AND(A89="",A88&lt;&gt;"",COUNTIF(A90:$A$200,"&lt;&gt;")=0),"TOTAL",IF(A89="","",posicao_contratual!X89))</f>
        <v/>
      </c>
      <c r="V89" s="111" t="str">
        <f>IF(A89="","",posicao_contratual!X89)</f>
        <v/>
      </c>
      <c r="W89" s="16"/>
      <c r="X89" s="16"/>
      <c r="Y89" s="16"/>
      <c r="Z89" s="15"/>
      <c r="AA89" s="15"/>
      <c r="AB89" s="110" t="str">
        <f>IF(OR(A89="",posicao_contratual!E89="",posicao_contratual!J89=""),"",ROUND(MAX(posicao_contratual!E89-posicao_contratual!J89,0),2))</f>
        <v/>
      </c>
      <c r="AC89" s="104" t="str">
        <f>IF(AND(A89="",A88&lt;&gt;"",COUNTIF(A90:$A$200,"&lt;&gt;")=0),ROUND(SUMIF($A$2:A88,"&lt;&gt;",$AC$2:AC88),2),IF(OR(AB89="",C89="",NOT(ISNUMBER($Z$2))),"",ROUND(AB89*C89*$Z$2,2)))</f>
        <v/>
      </c>
      <c r="AD89" s="180" t="str">
        <f>IF(A89="","",posicao_contratual!E89)</f>
        <v/>
      </c>
      <c r="AE89" s="180" t="str">
        <f>IF(A89="","",posicao_contratual!I89)</f>
        <v/>
      </c>
      <c r="AF89" s="180" t="str">
        <f>IF(A89="","",posicao_contratual!M89)</f>
        <v/>
      </c>
      <c r="AG89" s="180" t="str">
        <f>IF(A89="","",posicao_contratual!Q89)</f>
        <v/>
      </c>
      <c r="AH89" s="180" t="str">
        <f>IF(A89="","",posicao_contratual!U89)</f>
        <v/>
      </c>
      <c r="AI89" s="180" t="str">
        <f>IF(A89="","",posicao_contratual!G89)</f>
        <v/>
      </c>
      <c r="AJ89" s="180" t="str">
        <f>IF(A89="","",posicao_contratual!K89)</f>
        <v/>
      </c>
      <c r="AK89" s="180" t="str">
        <f>IF(A89="","",posicao_contratual!O89)</f>
        <v/>
      </c>
      <c r="AL89" s="180" t="str">
        <f>IF(A89="","",posicao_contratual!S89)</f>
        <v/>
      </c>
      <c r="AM89" s="180" t="str">
        <f>IF(A89="","",posicao_contratual!W89)</f>
        <v/>
      </c>
      <c r="AN89" s="181" t="str">
        <f>IF(A89="","",posicao_contratual!X89)</f>
        <v/>
      </c>
    </row>
    <row r="90" spans="1:40" x14ac:dyDescent="0.35">
      <c r="A90" s="106"/>
      <c r="B90" s="107"/>
      <c r="C90" s="108"/>
      <c r="D90" s="104" t="str">
        <f>IF(AND(A90="",A89&lt;&gt;"",COUNTIF(A91:$A$200,"&lt;&gt;")=0),ROUND(SUMIF($A$2:A89,"&lt;&gt;",$D$2:D89),2),IF(OR(A90="",B90="",C90=""),"",ROUND(B90*C90,2)))</f>
        <v/>
      </c>
      <c r="E90" s="109"/>
      <c r="F90" s="104" t="str">
        <f>IF(AND(A90="",A89&lt;&gt;"",COUNTIF(A91:$A$200,"&lt;&gt;")=0),ROUND(SUMIF($A$2:A89,"&lt;&gt;",$F$2:F89),2),IF(OR(A90="",posicao_contratual!K90="",C90="",NOT(ISNUMBER($Z$3))),"",ROUND(posicao_contratual!K90*C90*$Z$3,2)))</f>
        <v/>
      </c>
      <c r="G90" s="109"/>
      <c r="H90" s="104" t="str">
        <f>IF(AND(A90="",A89&lt;&gt;"",COUNTIF(A91:$A$200,"&lt;&gt;")=0),ROUND(SUMIF($A$2:A89,"&lt;&gt;",$H$2:H89),2),IF(OR(A90="",posicao_contratual!O90="",C90="",NOT(ISNUMBER($Z$4))),"",ROUND(posicao_contratual!O90*C90*$Z$4,2)))</f>
        <v/>
      </c>
      <c r="I90" s="109"/>
      <c r="J90" s="104" t="str">
        <f>IF(AND(A90="",A89&lt;&gt;"",COUNTIF(A91:$A$200,"&lt;&gt;")=0),ROUND(SUMIF($A$2:A89,"&lt;&gt;",$J$2:J89),2),IF(OR(A90="",posicao_contratual!S90="",C90="",NOT(ISNUMBER($Z$5))),"",ROUND(posicao_contratual!S90*C90*$Z$5,2)))</f>
        <v/>
      </c>
      <c r="K90" s="109"/>
      <c r="L90" s="104" t="str">
        <f>IF(AND(A90="",A89&lt;&gt;"",COUNTIF(A91:$A$200,"&lt;&gt;")=0),ROUND(SUMIF($A$2:A89,"&lt;&gt;",$L$2:L89),2),IF(OR(A90="",posicao_contratual!W90="",C90="",NOT(ISNUMBER($Z$6))),"",ROUND(posicao_contratual!W90*C90*$Z$6,2)))</f>
        <v/>
      </c>
      <c r="M90" s="110" t="str">
        <f>IF(OR(posicao_contratual!J90="",posicao_contratual!N90=""),"",ROUND(MAX(posicao_contratual!J90+posicao_contratual!H90-posicao_contratual!N90,0),2))</f>
        <v/>
      </c>
      <c r="N90" s="104" t="str">
        <f>IF(AND(A90="",A89&lt;&gt;"",COUNTIF(A91:$A$200,"&lt;&gt;")=0),ROUND(SUMIF($A$2:A89,"&lt;&gt;",$N$2:N89),2),IF(OR(M90="",C90="",NOT(ISNUMBER($Z$3))),"",ROUND(M90*C90*$Z$3,2)))</f>
        <v/>
      </c>
      <c r="O90" s="110" t="str">
        <f>IF(OR(posicao_contratual!N90="",posicao_contratual!R90=""),"",ROUND(MAX(posicao_contratual!N90+posicao_contratual!L90-posicao_contratual!R90,0),2))</f>
        <v/>
      </c>
      <c r="P90" s="104" t="str">
        <f>IF(AND(A90="",A89&lt;&gt;"",COUNTIF(A91:$A$200,"&lt;&gt;")=0),ROUND(SUMIF($A$2:A89,"&lt;&gt;",$P$2:P89),2),IF(OR(O90="",C90="",NOT(ISNUMBER($Z$4))),"",ROUND(O90*C90*$Z$4,2)))</f>
        <v/>
      </c>
      <c r="Q90" s="110" t="str">
        <f>IF(OR(posicao_contratual!R90="",posicao_contratual!V90=""),"",ROUND(MAX(posicao_contratual!R90+posicao_contratual!P90-posicao_contratual!V90,0),2))</f>
        <v/>
      </c>
      <c r="R90" s="104" t="str">
        <f>IF(AND(A90="",A89&lt;&gt;"",COUNTIF(A91:$A$200,"&lt;&gt;")=0),ROUND(SUMIF($A$2:A89,"&lt;&gt;",$R$2:R89),2),IF(OR(Q90="",C90="",NOT(ISNUMBER($Z$5))),"",ROUND(Q90*C90*$Z$5,2)))</f>
        <v/>
      </c>
      <c r="S90" s="24"/>
      <c r="T90" s="25"/>
      <c r="U90" s="111" t="str">
        <f>IF(AND(A90="",A89&lt;&gt;"",COUNTIF(A91:$A$200,"&lt;&gt;")=0),"TOTAL",IF(A90="","",posicao_contratual!X90))</f>
        <v/>
      </c>
      <c r="V90" s="111" t="str">
        <f>IF(A90="","",posicao_contratual!X90)</f>
        <v/>
      </c>
      <c r="W90" s="16"/>
      <c r="X90" s="16"/>
      <c r="Y90" s="16"/>
      <c r="Z90" s="15"/>
      <c r="AA90" s="15"/>
      <c r="AB90" s="110" t="str">
        <f>IF(OR(A90="",posicao_contratual!E90="",posicao_contratual!J90=""),"",ROUND(MAX(posicao_contratual!E90-posicao_contratual!J90,0),2))</f>
        <v/>
      </c>
      <c r="AC90" s="104" t="str">
        <f>IF(AND(A90="",A89&lt;&gt;"",COUNTIF(A91:$A$200,"&lt;&gt;")=0),ROUND(SUMIF($A$2:A89,"&lt;&gt;",$AC$2:AC89),2),IF(OR(AB90="",C90="",NOT(ISNUMBER($Z$2))),"",ROUND(AB90*C90*$Z$2,2)))</f>
        <v/>
      </c>
      <c r="AD90" s="180" t="str">
        <f>IF(A90="","",posicao_contratual!E90)</f>
        <v/>
      </c>
      <c r="AE90" s="180" t="str">
        <f>IF(A90="","",posicao_contratual!I90)</f>
        <v/>
      </c>
      <c r="AF90" s="180" t="str">
        <f>IF(A90="","",posicao_contratual!M90)</f>
        <v/>
      </c>
      <c r="AG90" s="180" t="str">
        <f>IF(A90="","",posicao_contratual!Q90)</f>
        <v/>
      </c>
      <c r="AH90" s="180" t="str">
        <f>IF(A90="","",posicao_contratual!U90)</f>
        <v/>
      </c>
      <c r="AI90" s="180" t="str">
        <f>IF(A90="","",posicao_contratual!G90)</f>
        <v/>
      </c>
      <c r="AJ90" s="180" t="str">
        <f>IF(A90="","",posicao_contratual!K90)</f>
        <v/>
      </c>
      <c r="AK90" s="180" t="str">
        <f>IF(A90="","",posicao_contratual!O90)</f>
        <v/>
      </c>
      <c r="AL90" s="180" t="str">
        <f>IF(A90="","",posicao_contratual!S90)</f>
        <v/>
      </c>
      <c r="AM90" s="180" t="str">
        <f>IF(A90="","",posicao_contratual!W90)</f>
        <v/>
      </c>
      <c r="AN90" s="181" t="str">
        <f>IF(A90="","",posicao_contratual!X90)</f>
        <v/>
      </c>
    </row>
    <row r="91" spans="1:40" x14ac:dyDescent="0.35">
      <c r="A91" s="106"/>
      <c r="B91" s="107"/>
      <c r="C91" s="108"/>
      <c r="D91" s="104" t="str">
        <f>IF(AND(A91="",A90&lt;&gt;"",COUNTIF(A92:$A$200,"&lt;&gt;")=0),ROUND(SUMIF($A$2:A90,"&lt;&gt;",$D$2:D90),2),IF(OR(A91="",B91="",C91=""),"",ROUND(B91*C91,2)))</f>
        <v/>
      </c>
      <c r="E91" s="109"/>
      <c r="F91" s="104" t="str">
        <f>IF(AND(A91="",A90&lt;&gt;"",COUNTIF(A92:$A$200,"&lt;&gt;")=0),ROUND(SUMIF($A$2:A90,"&lt;&gt;",$F$2:F90),2),IF(OR(A91="",posicao_contratual!K91="",C91="",NOT(ISNUMBER($Z$3))),"",ROUND(posicao_contratual!K91*C91*$Z$3,2)))</f>
        <v/>
      </c>
      <c r="G91" s="109"/>
      <c r="H91" s="104" t="str">
        <f>IF(AND(A91="",A90&lt;&gt;"",COUNTIF(A92:$A$200,"&lt;&gt;")=0),ROUND(SUMIF($A$2:A90,"&lt;&gt;",$H$2:H90),2),IF(OR(A91="",posicao_contratual!O91="",C91="",NOT(ISNUMBER($Z$4))),"",ROUND(posicao_contratual!O91*C91*$Z$4,2)))</f>
        <v/>
      </c>
      <c r="I91" s="109"/>
      <c r="J91" s="104" t="str">
        <f>IF(AND(A91="",A90&lt;&gt;"",COUNTIF(A92:$A$200,"&lt;&gt;")=0),ROUND(SUMIF($A$2:A90,"&lt;&gt;",$J$2:J90),2),IF(OR(A91="",posicao_contratual!S91="",C91="",NOT(ISNUMBER($Z$5))),"",ROUND(posicao_contratual!S91*C91*$Z$5,2)))</f>
        <v/>
      </c>
      <c r="K91" s="109"/>
      <c r="L91" s="104" t="str">
        <f>IF(AND(A91="",A90&lt;&gt;"",COUNTIF(A92:$A$200,"&lt;&gt;")=0),ROUND(SUMIF($A$2:A90,"&lt;&gt;",$L$2:L90),2),IF(OR(A91="",posicao_contratual!W91="",C91="",NOT(ISNUMBER($Z$6))),"",ROUND(posicao_contratual!W91*C91*$Z$6,2)))</f>
        <v/>
      </c>
      <c r="M91" s="110" t="str">
        <f>IF(OR(posicao_contratual!J91="",posicao_contratual!N91=""),"",ROUND(MAX(posicao_contratual!J91+posicao_contratual!H91-posicao_contratual!N91,0),2))</f>
        <v/>
      </c>
      <c r="N91" s="104" t="str">
        <f>IF(AND(A91="",A90&lt;&gt;"",COUNTIF(A92:$A$200,"&lt;&gt;")=0),ROUND(SUMIF($A$2:A90,"&lt;&gt;",$N$2:N90),2),IF(OR(M91="",C91="",NOT(ISNUMBER($Z$3))),"",ROUND(M91*C91*$Z$3,2)))</f>
        <v/>
      </c>
      <c r="O91" s="110" t="str">
        <f>IF(OR(posicao_contratual!N91="",posicao_contratual!R91=""),"",ROUND(MAX(posicao_contratual!N91+posicao_contratual!L91-posicao_contratual!R91,0),2))</f>
        <v/>
      </c>
      <c r="P91" s="104" t="str">
        <f>IF(AND(A91="",A90&lt;&gt;"",COUNTIF(A92:$A$200,"&lt;&gt;")=0),ROUND(SUMIF($A$2:A90,"&lt;&gt;",$P$2:P90),2),IF(OR(O91="",C91="",NOT(ISNUMBER($Z$4))),"",ROUND(O91*C91*$Z$4,2)))</f>
        <v/>
      </c>
      <c r="Q91" s="110" t="str">
        <f>IF(OR(posicao_contratual!R91="",posicao_contratual!V91=""),"",ROUND(MAX(posicao_contratual!R91+posicao_contratual!P91-posicao_contratual!V91,0),2))</f>
        <v/>
      </c>
      <c r="R91" s="104" t="str">
        <f>IF(AND(A91="",A90&lt;&gt;"",COUNTIF(A92:$A$200,"&lt;&gt;")=0),ROUND(SUMIF($A$2:A90,"&lt;&gt;",$R$2:R90),2),IF(OR(Q91="",C91="",NOT(ISNUMBER($Z$5))),"",ROUND(Q91*C91*$Z$5,2)))</f>
        <v/>
      </c>
      <c r="S91" s="24"/>
      <c r="T91" s="25"/>
      <c r="U91" s="111" t="str">
        <f>IF(AND(A91="",A90&lt;&gt;"",COUNTIF(A92:$A$200,"&lt;&gt;")=0),"TOTAL",IF(A91="","",posicao_contratual!X91))</f>
        <v/>
      </c>
      <c r="V91" s="111" t="str">
        <f>IF(A91="","",posicao_contratual!X91)</f>
        <v/>
      </c>
      <c r="W91" s="16"/>
      <c r="X91" s="16"/>
      <c r="Y91" s="16"/>
      <c r="Z91" s="15"/>
      <c r="AA91" s="15"/>
      <c r="AB91" s="110" t="str">
        <f>IF(OR(A91="",posicao_contratual!E91="",posicao_contratual!J91=""),"",ROUND(MAX(posicao_contratual!E91-posicao_contratual!J91,0),2))</f>
        <v/>
      </c>
      <c r="AC91" s="104" t="str">
        <f>IF(AND(A91="",A90&lt;&gt;"",COUNTIF(A92:$A$200,"&lt;&gt;")=0),ROUND(SUMIF($A$2:A90,"&lt;&gt;",$AC$2:AC90),2),IF(OR(AB91="",C91="",NOT(ISNUMBER($Z$2))),"",ROUND(AB91*C91*$Z$2,2)))</f>
        <v/>
      </c>
      <c r="AD91" s="180" t="str">
        <f>IF(A91="","",posicao_contratual!E91)</f>
        <v/>
      </c>
      <c r="AE91" s="180" t="str">
        <f>IF(A91="","",posicao_contratual!I91)</f>
        <v/>
      </c>
      <c r="AF91" s="180" t="str">
        <f>IF(A91="","",posicao_contratual!M91)</f>
        <v/>
      </c>
      <c r="AG91" s="180" t="str">
        <f>IF(A91="","",posicao_contratual!Q91)</f>
        <v/>
      </c>
      <c r="AH91" s="180" t="str">
        <f>IF(A91="","",posicao_contratual!U91)</f>
        <v/>
      </c>
      <c r="AI91" s="180" t="str">
        <f>IF(A91="","",posicao_contratual!G91)</f>
        <v/>
      </c>
      <c r="AJ91" s="180" t="str">
        <f>IF(A91="","",posicao_contratual!K91)</f>
        <v/>
      </c>
      <c r="AK91" s="180" t="str">
        <f>IF(A91="","",posicao_contratual!O91)</f>
        <v/>
      </c>
      <c r="AL91" s="180" t="str">
        <f>IF(A91="","",posicao_contratual!S91)</f>
        <v/>
      </c>
      <c r="AM91" s="180" t="str">
        <f>IF(A91="","",posicao_contratual!W91)</f>
        <v/>
      </c>
      <c r="AN91" s="181" t="str">
        <f>IF(A91="","",posicao_contratual!X91)</f>
        <v/>
      </c>
    </row>
    <row r="92" spans="1:40" x14ac:dyDescent="0.35">
      <c r="A92" s="106"/>
      <c r="B92" s="107"/>
      <c r="C92" s="108"/>
      <c r="D92" s="104" t="str">
        <f>IF(AND(A92="",A91&lt;&gt;"",COUNTIF(A93:$A$200,"&lt;&gt;")=0),ROUND(SUMIF($A$2:A91,"&lt;&gt;",$D$2:D91),2),IF(OR(A92="",B92="",C92=""),"",ROUND(B92*C92,2)))</f>
        <v/>
      </c>
      <c r="E92" s="109"/>
      <c r="F92" s="104" t="str">
        <f>IF(AND(A92="",A91&lt;&gt;"",COUNTIF(A93:$A$200,"&lt;&gt;")=0),ROUND(SUMIF($A$2:A91,"&lt;&gt;",$F$2:F91),2),IF(OR(A92="",posicao_contratual!K92="",C92="",NOT(ISNUMBER($Z$3))),"",ROUND(posicao_contratual!K92*C92*$Z$3,2)))</f>
        <v/>
      </c>
      <c r="G92" s="109"/>
      <c r="H92" s="104" t="str">
        <f>IF(AND(A92="",A91&lt;&gt;"",COUNTIF(A93:$A$200,"&lt;&gt;")=0),ROUND(SUMIF($A$2:A91,"&lt;&gt;",$H$2:H91),2),IF(OR(A92="",posicao_contratual!O92="",C92="",NOT(ISNUMBER($Z$4))),"",ROUND(posicao_contratual!O92*C92*$Z$4,2)))</f>
        <v/>
      </c>
      <c r="I92" s="109"/>
      <c r="J92" s="104" t="str">
        <f>IF(AND(A92="",A91&lt;&gt;"",COUNTIF(A93:$A$200,"&lt;&gt;")=0),ROUND(SUMIF($A$2:A91,"&lt;&gt;",$J$2:J91),2),IF(OR(A92="",posicao_contratual!S92="",C92="",NOT(ISNUMBER($Z$5))),"",ROUND(posicao_contratual!S92*C92*$Z$5,2)))</f>
        <v/>
      </c>
      <c r="K92" s="109"/>
      <c r="L92" s="104" t="str">
        <f>IF(AND(A92="",A91&lt;&gt;"",COUNTIF(A93:$A$200,"&lt;&gt;")=0),ROUND(SUMIF($A$2:A91,"&lt;&gt;",$L$2:L91),2),IF(OR(A92="",posicao_contratual!W92="",C92="",NOT(ISNUMBER($Z$6))),"",ROUND(posicao_contratual!W92*C92*$Z$6,2)))</f>
        <v/>
      </c>
      <c r="M92" s="110" t="str">
        <f>IF(OR(posicao_contratual!J92="",posicao_contratual!N92=""),"",ROUND(MAX(posicao_contratual!J92+posicao_contratual!H92-posicao_contratual!N92,0),2))</f>
        <v/>
      </c>
      <c r="N92" s="104" t="str">
        <f>IF(AND(A92="",A91&lt;&gt;"",COUNTIF(A93:$A$200,"&lt;&gt;")=0),ROUND(SUMIF($A$2:A91,"&lt;&gt;",$N$2:N91),2),IF(OR(M92="",C92="",NOT(ISNUMBER($Z$3))),"",ROUND(M92*C92*$Z$3,2)))</f>
        <v/>
      </c>
      <c r="O92" s="110" t="str">
        <f>IF(OR(posicao_contratual!N92="",posicao_contratual!R92=""),"",ROUND(MAX(posicao_contratual!N92+posicao_contratual!L92-posicao_contratual!R92,0),2))</f>
        <v/>
      </c>
      <c r="P92" s="104" t="str">
        <f>IF(AND(A92="",A91&lt;&gt;"",COUNTIF(A93:$A$200,"&lt;&gt;")=0),ROUND(SUMIF($A$2:A91,"&lt;&gt;",$P$2:P91),2),IF(OR(O92="",C92="",NOT(ISNUMBER($Z$4))),"",ROUND(O92*C92*$Z$4,2)))</f>
        <v/>
      </c>
      <c r="Q92" s="110" t="str">
        <f>IF(OR(posicao_contratual!R92="",posicao_contratual!V92=""),"",ROUND(MAX(posicao_contratual!R92+posicao_contratual!P92-posicao_contratual!V92,0),2))</f>
        <v/>
      </c>
      <c r="R92" s="104" t="str">
        <f>IF(AND(A92="",A91&lt;&gt;"",COUNTIF(A93:$A$200,"&lt;&gt;")=0),ROUND(SUMIF($A$2:A91,"&lt;&gt;",$R$2:R91),2),IF(OR(Q92="",C92="",NOT(ISNUMBER($Z$5))),"",ROUND(Q92*C92*$Z$5,2)))</f>
        <v/>
      </c>
      <c r="S92" s="24"/>
      <c r="T92" s="25"/>
      <c r="U92" s="111" t="str">
        <f>IF(AND(A92="",A91&lt;&gt;"",COUNTIF(A93:$A$200,"&lt;&gt;")=0),"TOTAL",IF(A92="","",posicao_contratual!X92))</f>
        <v/>
      </c>
      <c r="V92" s="111" t="str">
        <f>IF(A92="","",posicao_contratual!X92)</f>
        <v/>
      </c>
      <c r="W92" s="16"/>
      <c r="X92" s="16"/>
      <c r="Y92" s="16"/>
      <c r="Z92" s="15"/>
      <c r="AA92" s="15"/>
      <c r="AB92" s="110" t="str">
        <f>IF(OR(A92="",posicao_contratual!E92="",posicao_contratual!J92=""),"",ROUND(MAX(posicao_contratual!E92-posicao_contratual!J92,0),2))</f>
        <v/>
      </c>
      <c r="AC92" s="104" t="str">
        <f>IF(AND(A92="",A91&lt;&gt;"",COUNTIF(A93:$A$200,"&lt;&gt;")=0),ROUND(SUMIF($A$2:A91,"&lt;&gt;",$AC$2:AC91),2),IF(OR(AB92="",C92="",NOT(ISNUMBER($Z$2))),"",ROUND(AB92*C92*$Z$2,2)))</f>
        <v/>
      </c>
      <c r="AD92" s="180" t="str">
        <f>IF(A92="","",posicao_contratual!E92)</f>
        <v/>
      </c>
      <c r="AE92" s="180" t="str">
        <f>IF(A92="","",posicao_contratual!I92)</f>
        <v/>
      </c>
      <c r="AF92" s="180" t="str">
        <f>IF(A92="","",posicao_contratual!M92)</f>
        <v/>
      </c>
      <c r="AG92" s="180" t="str">
        <f>IF(A92="","",posicao_contratual!Q92)</f>
        <v/>
      </c>
      <c r="AH92" s="180" t="str">
        <f>IF(A92="","",posicao_contratual!U92)</f>
        <v/>
      </c>
      <c r="AI92" s="180" t="str">
        <f>IF(A92="","",posicao_contratual!G92)</f>
        <v/>
      </c>
      <c r="AJ92" s="180" t="str">
        <f>IF(A92="","",posicao_contratual!K92)</f>
        <v/>
      </c>
      <c r="AK92" s="180" t="str">
        <f>IF(A92="","",posicao_contratual!O92)</f>
        <v/>
      </c>
      <c r="AL92" s="180" t="str">
        <f>IF(A92="","",posicao_contratual!S92)</f>
        <v/>
      </c>
      <c r="AM92" s="180" t="str">
        <f>IF(A92="","",posicao_contratual!W92)</f>
        <v/>
      </c>
      <c r="AN92" s="181" t="str">
        <f>IF(A92="","",posicao_contratual!X92)</f>
        <v/>
      </c>
    </row>
    <row r="93" spans="1:40" x14ac:dyDescent="0.35">
      <c r="A93" s="106"/>
      <c r="B93" s="107"/>
      <c r="C93" s="108"/>
      <c r="D93" s="104" t="str">
        <f>IF(AND(A93="",A92&lt;&gt;"",COUNTIF(A94:$A$200,"&lt;&gt;")=0),ROUND(SUMIF($A$2:A92,"&lt;&gt;",$D$2:D92),2),IF(OR(A93="",B93="",C93=""),"",ROUND(B93*C93,2)))</f>
        <v/>
      </c>
      <c r="E93" s="109"/>
      <c r="F93" s="104" t="str">
        <f>IF(AND(A93="",A92&lt;&gt;"",COUNTIF(A94:$A$200,"&lt;&gt;")=0),ROUND(SUMIF($A$2:A92,"&lt;&gt;",$F$2:F92),2),IF(OR(A93="",posicao_contratual!K93="",C93="",NOT(ISNUMBER($Z$3))),"",ROUND(posicao_contratual!K93*C93*$Z$3,2)))</f>
        <v/>
      </c>
      <c r="G93" s="109"/>
      <c r="H93" s="104" t="str">
        <f>IF(AND(A93="",A92&lt;&gt;"",COUNTIF(A94:$A$200,"&lt;&gt;")=0),ROUND(SUMIF($A$2:A92,"&lt;&gt;",$H$2:H92),2),IF(OR(A93="",posicao_contratual!O93="",C93="",NOT(ISNUMBER($Z$4))),"",ROUND(posicao_contratual!O93*C93*$Z$4,2)))</f>
        <v/>
      </c>
      <c r="I93" s="109"/>
      <c r="J93" s="104" t="str">
        <f>IF(AND(A93="",A92&lt;&gt;"",COUNTIF(A94:$A$200,"&lt;&gt;")=0),ROUND(SUMIF($A$2:A92,"&lt;&gt;",$J$2:J92),2),IF(OR(A93="",posicao_contratual!S93="",C93="",NOT(ISNUMBER($Z$5))),"",ROUND(posicao_contratual!S93*C93*$Z$5,2)))</f>
        <v/>
      </c>
      <c r="K93" s="109"/>
      <c r="L93" s="104" t="str">
        <f>IF(AND(A93="",A92&lt;&gt;"",COUNTIF(A94:$A$200,"&lt;&gt;")=0),ROUND(SUMIF($A$2:A92,"&lt;&gt;",$L$2:L92),2),IF(OR(A93="",posicao_contratual!W93="",C93="",NOT(ISNUMBER($Z$6))),"",ROUND(posicao_contratual!W93*C93*$Z$6,2)))</f>
        <v/>
      </c>
      <c r="M93" s="110" t="str">
        <f>IF(OR(posicao_contratual!J93="",posicao_contratual!N93=""),"",ROUND(MAX(posicao_contratual!J93+posicao_contratual!H93-posicao_contratual!N93,0),2))</f>
        <v/>
      </c>
      <c r="N93" s="104" t="str">
        <f>IF(AND(A93="",A92&lt;&gt;"",COUNTIF(A94:$A$200,"&lt;&gt;")=0),ROUND(SUMIF($A$2:A92,"&lt;&gt;",$N$2:N92),2),IF(OR(M93="",C93="",NOT(ISNUMBER($Z$3))),"",ROUND(M93*C93*$Z$3,2)))</f>
        <v/>
      </c>
      <c r="O93" s="110" t="str">
        <f>IF(OR(posicao_contratual!N93="",posicao_contratual!R93=""),"",ROUND(MAX(posicao_contratual!N93+posicao_contratual!L93-posicao_contratual!R93,0),2))</f>
        <v/>
      </c>
      <c r="P93" s="104" t="str">
        <f>IF(AND(A93="",A92&lt;&gt;"",COUNTIF(A94:$A$200,"&lt;&gt;")=0),ROUND(SUMIF($A$2:A92,"&lt;&gt;",$P$2:P92),2),IF(OR(O93="",C93="",NOT(ISNUMBER($Z$4))),"",ROUND(O93*C93*$Z$4,2)))</f>
        <v/>
      </c>
      <c r="Q93" s="110" t="str">
        <f>IF(OR(posicao_contratual!R93="",posicao_contratual!V93=""),"",ROUND(MAX(posicao_contratual!R93+posicao_contratual!P93-posicao_contratual!V93,0),2))</f>
        <v/>
      </c>
      <c r="R93" s="104" t="str">
        <f>IF(AND(A93="",A92&lt;&gt;"",COUNTIF(A94:$A$200,"&lt;&gt;")=0),ROUND(SUMIF($A$2:A92,"&lt;&gt;",$R$2:R92),2),IF(OR(Q93="",C93="",NOT(ISNUMBER($Z$5))),"",ROUND(Q93*C93*$Z$5,2)))</f>
        <v/>
      </c>
      <c r="S93" s="24"/>
      <c r="T93" s="25"/>
      <c r="U93" s="111" t="str">
        <f>IF(AND(A93="",A92&lt;&gt;"",COUNTIF(A94:$A$200,"&lt;&gt;")=0),"TOTAL",IF(A93="","",posicao_contratual!X93))</f>
        <v/>
      </c>
      <c r="V93" s="111" t="str">
        <f>IF(A93="","",posicao_contratual!X93)</f>
        <v/>
      </c>
      <c r="W93" s="16"/>
      <c r="X93" s="16"/>
      <c r="Y93" s="16"/>
      <c r="Z93" s="15"/>
      <c r="AA93" s="15"/>
      <c r="AB93" s="110" t="str">
        <f>IF(OR(A93="",posicao_contratual!E93="",posicao_contratual!J93=""),"",ROUND(MAX(posicao_contratual!E93-posicao_contratual!J93,0),2))</f>
        <v/>
      </c>
      <c r="AC93" s="104" t="str">
        <f>IF(AND(A93="",A92&lt;&gt;"",COUNTIF(A94:$A$200,"&lt;&gt;")=0),ROUND(SUMIF($A$2:A92,"&lt;&gt;",$AC$2:AC92),2),IF(OR(AB93="",C93="",NOT(ISNUMBER($Z$2))),"",ROUND(AB93*C93*$Z$2,2)))</f>
        <v/>
      </c>
      <c r="AD93" s="180" t="str">
        <f>IF(A93="","",posicao_contratual!E93)</f>
        <v/>
      </c>
      <c r="AE93" s="180" t="str">
        <f>IF(A93="","",posicao_contratual!I93)</f>
        <v/>
      </c>
      <c r="AF93" s="180" t="str">
        <f>IF(A93="","",posicao_contratual!M93)</f>
        <v/>
      </c>
      <c r="AG93" s="180" t="str">
        <f>IF(A93="","",posicao_contratual!Q93)</f>
        <v/>
      </c>
      <c r="AH93" s="180" t="str">
        <f>IF(A93="","",posicao_contratual!U93)</f>
        <v/>
      </c>
      <c r="AI93" s="180" t="str">
        <f>IF(A93="","",posicao_contratual!G93)</f>
        <v/>
      </c>
      <c r="AJ93" s="180" t="str">
        <f>IF(A93="","",posicao_contratual!K93)</f>
        <v/>
      </c>
      <c r="AK93" s="180" t="str">
        <f>IF(A93="","",posicao_contratual!O93)</f>
        <v/>
      </c>
      <c r="AL93" s="180" t="str">
        <f>IF(A93="","",posicao_contratual!S93)</f>
        <v/>
      </c>
      <c r="AM93" s="180" t="str">
        <f>IF(A93="","",posicao_contratual!W93)</f>
        <v/>
      </c>
      <c r="AN93" s="181" t="str">
        <f>IF(A93="","",posicao_contratual!X93)</f>
        <v/>
      </c>
    </row>
    <row r="94" spans="1:40" x14ac:dyDescent="0.35">
      <c r="A94" s="106"/>
      <c r="B94" s="107"/>
      <c r="C94" s="108"/>
      <c r="D94" s="104" t="str">
        <f>IF(AND(A94="",A93&lt;&gt;"",COUNTIF(A95:$A$200,"&lt;&gt;")=0),ROUND(SUMIF($A$2:A93,"&lt;&gt;",$D$2:D93),2),IF(OR(A94="",B94="",C94=""),"",ROUND(B94*C94,2)))</f>
        <v/>
      </c>
      <c r="E94" s="109"/>
      <c r="F94" s="104" t="str">
        <f>IF(AND(A94="",A93&lt;&gt;"",COUNTIF(A95:$A$200,"&lt;&gt;")=0),ROUND(SUMIF($A$2:A93,"&lt;&gt;",$F$2:F93),2),IF(OR(A94="",posicao_contratual!K94="",C94="",NOT(ISNUMBER($Z$3))),"",ROUND(posicao_contratual!K94*C94*$Z$3,2)))</f>
        <v/>
      </c>
      <c r="G94" s="109"/>
      <c r="H94" s="104" t="str">
        <f>IF(AND(A94="",A93&lt;&gt;"",COUNTIF(A95:$A$200,"&lt;&gt;")=0),ROUND(SUMIF($A$2:A93,"&lt;&gt;",$H$2:H93),2),IF(OR(A94="",posicao_contratual!O94="",C94="",NOT(ISNUMBER($Z$4))),"",ROUND(posicao_contratual!O94*C94*$Z$4,2)))</f>
        <v/>
      </c>
      <c r="I94" s="109"/>
      <c r="J94" s="104" t="str">
        <f>IF(AND(A94="",A93&lt;&gt;"",COUNTIF(A95:$A$200,"&lt;&gt;")=0),ROUND(SUMIF($A$2:A93,"&lt;&gt;",$J$2:J93),2),IF(OR(A94="",posicao_contratual!S94="",C94="",NOT(ISNUMBER($Z$5))),"",ROUND(posicao_contratual!S94*C94*$Z$5,2)))</f>
        <v/>
      </c>
      <c r="K94" s="109"/>
      <c r="L94" s="104" t="str">
        <f>IF(AND(A94="",A93&lt;&gt;"",COUNTIF(A95:$A$200,"&lt;&gt;")=0),ROUND(SUMIF($A$2:A93,"&lt;&gt;",$L$2:L93),2),IF(OR(A94="",posicao_contratual!W94="",C94="",NOT(ISNUMBER($Z$6))),"",ROUND(posicao_contratual!W94*C94*$Z$6,2)))</f>
        <v/>
      </c>
      <c r="M94" s="110" t="str">
        <f>IF(OR(posicao_contratual!J94="",posicao_contratual!N94=""),"",ROUND(MAX(posicao_contratual!J94+posicao_contratual!H94-posicao_contratual!N94,0),2))</f>
        <v/>
      </c>
      <c r="N94" s="104" t="str">
        <f>IF(AND(A94="",A93&lt;&gt;"",COUNTIF(A95:$A$200,"&lt;&gt;")=0),ROUND(SUMIF($A$2:A93,"&lt;&gt;",$N$2:N93),2),IF(OR(M94="",C94="",NOT(ISNUMBER($Z$3))),"",ROUND(M94*C94*$Z$3,2)))</f>
        <v/>
      </c>
      <c r="O94" s="110" t="str">
        <f>IF(OR(posicao_contratual!N94="",posicao_contratual!R94=""),"",ROUND(MAX(posicao_contratual!N94+posicao_contratual!L94-posicao_contratual!R94,0),2))</f>
        <v/>
      </c>
      <c r="P94" s="104" t="str">
        <f>IF(AND(A94="",A93&lt;&gt;"",COUNTIF(A95:$A$200,"&lt;&gt;")=0),ROUND(SUMIF($A$2:A93,"&lt;&gt;",$P$2:P93),2),IF(OR(O94="",C94="",NOT(ISNUMBER($Z$4))),"",ROUND(O94*C94*$Z$4,2)))</f>
        <v/>
      </c>
      <c r="Q94" s="110" t="str">
        <f>IF(OR(posicao_contratual!R94="",posicao_contratual!V94=""),"",ROUND(MAX(posicao_contratual!R94+posicao_contratual!P94-posicao_contratual!V94,0),2))</f>
        <v/>
      </c>
      <c r="R94" s="104" t="str">
        <f>IF(AND(A94="",A93&lt;&gt;"",COUNTIF(A95:$A$200,"&lt;&gt;")=0),ROUND(SUMIF($A$2:A93,"&lt;&gt;",$R$2:R93),2),IF(OR(Q94="",C94="",NOT(ISNUMBER($Z$5))),"",ROUND(Q94*C94*$Z$5,2)))</f>
        <v/>
      </c>
      <c r="S94" s="24"/>
      <c r="T94" s="25"/>
      <c r="U94" s="111" t="str">
        <f>IF(AND(A94="",A93&lt;&gt;"",COUNTIF(A95:$A$200,"&lt;&gt;")=0),"TOTAL",IF(A94="","",posicao_contratual!X94))</f>
        <v/>
      </c>
      <c r="V94" s="111" t="str">
        <f>IF(A94="","",posicao_contratual!X94)</f>
        <v/>
      </c>
      <c r="W94" s="16"/>
      <c r="X94" s="16"/>
      <c r="Y94" s="16"/>
      <c r="Z94" s="15"/>
      <c r="AA94" s="15"/>
      <c r="AB94" s="110" t="str">
        <f>IF(OR(A94="",posicao_contratual!E94="",posicao_contratual!J94=""),"",ROUND(MAX(posicao_contratual!E94-posicao_contratual!J94,0),2))</f>
        <v/>
      </c>
      <c r="AC94" s="104" t="str">
        <f>IF(AND(A94="",A93&lt;&gt;"",COUNTIF(A95:$A$200,"&lt;&gt;")=0),ROUND(SUMIF($A$2:A93,"&lt;&gt;",$AC$2:AC93),2),IF(OR(AB94="",C94="",NOT(ISNUMBER($Z$2))),"",ROUND(AB94*C94*$Z$2,2)))</f>
        <v/>
      </c>
      <c r="AD94" s="180" t="str">
        <f>IF(A94="","",posicao_contratual!E94)</f>
        <v/>
      </c>
      <c r="AE94" s="180" t="str">
        <f>IF(A94="","",posicao_contratual!I94)</f>
        <v/>
      </c>
      <c r="AF94" s="180" t="str">
        <f>IF(A94="","",posicao_contratual!M94)</f>
        <v/>
      </c>
      <c r="AG94" s="180" t="str">
        <f>IF(A94="","",posicao_contratual!Q94)</f>
        <v/>
      </c>
      <c r="AH94" s="180" t="str">
        <f>IF(A94="","",posicao_contratual!U94)</f>
        <v/>
      </c>
      <c r="AI94" s="180" t="str">
        <f>IF(A94="","",posicao_contratual!G94)</f>
        <v/>
      </c>
      <c r="AJ94" s="180" t="str">
        <f>IF(A94="","",posicao_contratual!K94)</f>
        <v/>
      </c>
      <c r="AK94" s="180" t="str">
        <f>IF(A94="","",posicao_contratual!O94)</f>
        <v/>
      </c>
      <c r="AL94" s="180" t="str">
        <f>IF(A94="","",posicao_contratual!S94)</f>
        <v/>
      </c>
      <c r="AM94" s="180" t="str">
        <f>IF(A94="","",posicao_contratual!W94)</f>
        <v/>
      </c>
      <c r="AN94" s="181" t="str">
        <f>IF(A94="","",posicao_contratual!X94)</f>
        <v/>
      </c>
    </row>
    <row r="95" spans="1:40" x14ac:dyDescent="0.35">
      <c r="A95" s="106"/>
      <c r="B95" s="107"/>
      <c r="C95" s="108"/>
      <c r="D95" s="104" t="str">
        <f>IF(AND(A95="",A94&lt;&gt;"",COUNTIF(A96:$A$200,"&lt;&gt;")=0),ROUND(SUMIF($A$2:A94,"&lt;&gt;",$D$2:D94),2),IF(OR(A95="",B95="",C95=""),"",ROUND(B95*C95,2)))</f>
        <v/>
      </c>
      <c r="E95" s="109"/>
      <c r="F95" s="104" t="str">
        <f>IF(AND(A95="",A94&lt;&gt;"",COUNTIF(A96:$A$200,"&lt;&gt;")=0),ROUND(SUMIF($A$2:A94,"&lt;&gt;",$F$2:F94),2),IF(OR(A95="",posicao_contratual!K95="",C95="",NOT(ISNUMBER($Z$3))),"",ROUND(posicao_contratual!K95*C95*$Z$3,2)))</f>
        <v/>
      </c>
      <c r="G95" s="109"/>
      <c r="H95" s="104" t="str">
        <f>IF(AND(A95="",A94&lt;&gt;"",COUNTIF(A96:$A$200,"&lt;&gt;")=0),ROUND(SUMIF($A$2:A94,"&lt;&gt;",$H$2:H94),2),IF(OR(A95="",posicao_contratual!O95="",C95="",NOT(ISNUMBER($Z$4))),"",ROUND(posicao_contratual!O95*C95*$Z$4,2)))</f>
        <v/>
      </c>
      <c r="I95" s="109"/>
      <c r="J95" s="104" t="str">
        <f>IF(AND(A95="",A94&lt;&gt;"",COUNTIF(A96:$A$200,"&lt;&gt;")=0),ROUND(SUMIF($A$2:A94,"&lt;&gt;",$J$2:J94),2),IF(OR(A95="",posicao_contratual!S95="",C95="",NOT(ISNUMBER($Z$5))),"",ROUND(posicao_contratual!S95*C95*$Z$5,2)))</f>
        <v/>
      </c>
      <c r="K95" s="109"/>
      <c r="L95" s="104" t="str">
        <f>IF(AND(A95="",A94&lt;&gt;"",COUNTIF(A96:$A$200,"&lt;&gt;")=0),ROUND(SUMIF($A$2:A94,"&lt;&gt;",$L$2:L94),2),IF(OR(A95="",posicao_contratual!W95="",C95="",NOT(ISNUMBER($Z$6))),"",ROUND(posicao_contratual!W95*C95*$Z$6,2)))</f>
        <v/>
      </c>
      <c r="M95" s="110" t="str">
        <f>IF(OR(posicao_contratual!J95="",posicao_contratual!N95=""),"",ROUND(MAX(posicao_contratual!J95+posicao_contratual!H95-posicao_contratual!N95,0),2))</f>
        <v/>
      </c>
      <c r="N95" s="104" t="str">
        <f>IF(AND(A95="",A94&lt;&gt;"",COUNTIF(A96:$A$200,"&lt;&gt;")=0),ROUND(SUMIF($A$2:A94,"&lt;&gt;",$N$2:N94),2),IF(OR(M95="",C95="",NOT(ISNUMBER($Z$3))),"",ROUND(M95*C95*$Z$3,2)))</f>
        <v/>
      </c>
      <c r="O95" s="110" t="str">
        <f>IF(OR(posicao_contratual!N95="",posicao_contratual!R95=""),"",ROUND(MAX(posicao_contratual!N95+posicao_contratual!L95-posicao_contratual!R95,0),2))</f>
        <v/>
      </c>
      <c r="P95" s="104" t="str">
        <f>IF(AND(A95="",A94&lt;&gt;"",COUNTIF(A96:$A$200,"&lt;&gt;")=0),ROUND(SUMIF($A$2:A94,"&lt;&gt;",$P$2:P94),2),IF(OR(O95="",C95="",NOT(ISNUMBER($Z$4))),"",ROUND(O95*C95*$Z$4,2)))</f>
        <v/>
      </c>
      <c r="Q95" s="110" t="str">
        <f>IF(OR(posicao_contratual!R95="",posicao_contratual!V95=""),"",ROUND(MAX(posicao_contratual!R95+posicao_contratual!P95-posicao_contratual!V95,0),2))</f>
        <v/>
      </c>
      <c r="R95" s="104" t="str">
        <f>IF(AND(A95="",A94&lt;&gt;"",COUNTIF(A96:$A$200,"&lt;&gt;")=0),ROUND(SUMIF($A$2:A94,"&lt;&gt;",$R$2:R94),2),IF(OR(Q95="",C95="",NOT(ISNUMBER($Z$5))),"",ROUND(Q95*C95*$Z$5,2)))</f>
        <v/>
      </c>
      <c r="S95" s="24"/>
      <c r="T95" s="25"/>
      <c r="U95" s="111" t="str">
        <f>IF(AND(A95="",A94&lt;&gt;"",COUNTIF(A96:$A$200,"&lt;&gt;")=0),"TOTAL",IF(A95="","",posicao_contratual!X95))</f>
        <v/>
      </c>
      <c r="V95" s="111" t="str">
        <f>IF(A95="","",posicao_contratual!X95)</f>
        <v/>
      </c>
      <c r="W95" s="16"/>
      <c r="X95" s="16"/>
      <c r="Y95" s="16"/>
      <c r="Z95" s="15"/>
      <c r="AA95" s="15"/>
      <c r="AB95" s="110" t="str">
        <f>IF(OR(A95="",posicao_contratual!E95="",posicao_contratual!J95=""),"",ROUND(MAX(posicao_contratual!E95-posicao_contratual!J95,0),2))</f>
        <v/>
      </c>
      <c r="AC95" s="104" t="str">
        <f>IF(AND(A95="",A94&lt;&gt;"",COUNTIF(A96:$A$200,"&lt;&gt;")=0),ROUND(SUMIF($A$2:A94,"&lt;&gt;",$AC$2:AC94),2),IF(OR(AB95="",C95="",NOT(ISNUMBER($Z$2))),"",ROUND(AB95*C95*$Z$2,2)))</f>
        <v/>
      </c>
      <c r="AD95" s="180" t="str">
        <f>IF(A95="","",posicao_contratual!E95)</f>
        <v/>
      </c>
      <c r="AE95" s="180" t="str">
        <f>IF(A95="","",posicao_contratual!I95)</f>
        <v/>
      </c>
      <c r="AF95" s="180" t="str">
        <f>IF(A95="","",posicao_contratual!M95)</f>
        <v/>
      </c>
      <c r="AG95" s="180" t="str">
        <f>IF(A95="","",posicao_contratual!Q95)</f>
        <v/>
      </c>
      <c r="AH95" s="180" t="str">
        <f>IF(A95="","",posicao_contratual!U95)</f>
        <v/>
      </c>
      <c r="AI95" s="180" t="str">
        <f>IF(A95="","",posicao_contratual!G95)</f>
        <v/>
      </c>
      <c r="AJ95" s="180" t="str">
        <f>IF(A95="","",posicao_contratual!K95)</f>
        <v/>
      </c>
      <c r="AK95" s="180" t="str">
        <f>IF(A95="","",posicao_contratual!O95)</f>
        <v/>
      </c>
      <c r="AL95" s="180" t="str">
        <f>IF(A95="","",posicao_contratual!S95)</f>
        <v/>
      </c>
      <c r="AM95" s="180" t="str">
        <f>IF(A95="","",posicao_contratual!W95)</f>
        <v/>
      </c>
      <c r="AN95" s="181" t="str">
        <f>IF(A95="","",posicao_contratual!X95)</f>
        <v/>
      </c>
    </row>
    <row r="96" spans="1:40" x14ac:dyDescent="0.35">
      <c r="A96" s="106"/>
      <c r="B96" s="107"/>
      <c r="C96" s="108"/>
      <c r="D96" s="104" t="str">
        <f>IF(AND(A96="",A95&lt;&gt;"",COUNTIF(A97:$A$200,"&lt;&gt;")=0),ROUND(SUMIF($A$2:A95,"&lt;&gt;",$D$2:D95),2),IF(OR(A96="",B96="",C96=""),"",ROUND(B96*C96,2)))</f>
        <v/>
      </c>
      <c r="E96" s="109"/>
      <c r="F96" s="104" t="str">
        <f>IF(AND(A96="",A95&lt;&gt;"",COUNTIF(A97:$A$200,"&lt;&gt;")=0),ROUND(SUMIF($A$2:A95,"&lt;&gt;",$F$2:F95),2),IF(OR(A96="",posicao_contratual!K96="",C96="",NOT(ISNUMBER($Z$3))),"",ROUND(posicao_contratual!K96*C96*$Z$3,2)))</f>
        <v/>
      </c>
      <c r="G96" s="109"/>
      <c r="H96" s="104" t="str">
        <f>IF(AND(A96="",A95&lt;&gt;"",COUNTIF(A97:$A$200,"&lt;&gt;")=0),ROUND(SUMIF($A$2:A95,"&lt;&gt;",$H$2:H95),2),IF(OR(A96="",posicao_contratual!O96="",C96="",NOT(ISNUMBER($Z$4))),"",ROUND(posicao_contratual!O96*C96*$Z$4,2)))</f>
        <v/>
      </c>
      <c r="I96" s="109"/>
      <c r="J96" s="104" t="str">
        <f>IF(AND(A96="",A95&lt;&gt;"",COUNTIF(A97:$A$200,"&lt;&gt;")=0),ROUND(SUMIF($A$2:A95,"&lt;&gt;",$J$2:J95),2),IF(OR(A96="",posicao_contratual!S96="",C96="",NOT(ISNUMBER($Z$5))),"",ROUND(posicao_contratual!S96*C96*$Z$5,2)))</f>
        <v/>
      </c>
      <c r="K96" s="109"/>
      <c r="L96" s="104" t="str">
        <f>IF(AND(A96="",A95&lt;&gt;"",COUNTIF(A97:$A$200,"&lt;&gt;")=0),ROUND(SUMIF($A$2:A95,"&lt;&gt;",$L$2:L95),2),IF(OR(A96="",posicao_contratual!W96="",C96="",NOT(ISNUMBER($Z$6))),"",ROUND(posicao_contratual!W96*C96*$Z$6,2)))</f>
        <v/>
      </c>
      <c r="M96" s="110" t="str">
        <f>IF(OR(posicao_contratual!J96="",posicao_contratual!N96=""),"",ROUND(MAX(posicao_contratual!J96+posicao_contratual!H96-posicao_contratual!N96,0),2))</f>
        <v/>
      </c>
      <c r="N96" s="104" t="str">
        <f>IF(AND(A96="",A95&lt;&gt;"",COUNTIF(A97:$A$200,"&lt;&gt;")=0),ROUND(SUMIF($A$2:A95,"&lt;&gt;",$N$2:N95),2),IF(OR(M96="",C96="",NOT(ISNUMBER($Z$3))),"",ROUND(M96*C96*$Z$3,2)))</f>
        <v/>
      </c>
      <c r="O96" s="110" t="str">
        <f>IF(OR(posicao_contratual!N96="",posicao_contratual!R96=""),"",ROUND(MAX(posicao_contratual!N96+posicao_contratual!L96-posicao_contratual!R96,0),2))</f>
        <v/>
      </c>
      <c r="P96" s="104" t="str">
        <f>IF(AND(A96="",A95&lt;&gt;"",COUNTIF(A97:$A$200,"&lt;&gt;")=0),ROUND(SUMIF($A$2:A95,"&lt;&gt;",$P$2:P95),2),IF(OR(O96="",C96="",NOT(ISNUMBER($Z$4))),"",ROUND(O96*C96*$Z$4,2)))</f>
        <v/>
      </c>
      <c r="Q96" s="110" t="str">
        <f>IF(OR(posicao_contratual!R96="",posicao_contratual!V96=""),"",ROUND(MAX(posicao_contratual!R96+posicao_contratual!P96-posicao_contratual!V96,0),2))</f>
        <v/>
      </c>
      <c r="R96" s="104" t="str">
        <f>IF(AND(A96="",A95&lt;&gt;"",COUNTIF(A97:$A$200,"&lt;&gt;")=0),ROUND(SUMIF($A$2:A95,"&lt;&gt;",$R$2:R95),2),IF(OR(Q96="",C96="",NOT(ISNUMBER($Z$5))),"",ROUND(Q96*C96*$Z$5,2)))</f>
        <v/>
      </c>
      <c r="S96" s="24"/>
      <c r="T96" s="25"/>
      <c r="U96" s="111" t="str">
        <f>IF(AND(A96="",A95&lt;&gt;"",COUNTIF(A97:$A$200,"&lt;&gt;")=0),"TOTAL",IF(A96="","",posicao_contratual!X96))</f>
        <v/>
      </c>
      <c r="V96" s="111" t="str">
        <f>IF(A96="","",posicao_contratual!X96)</f>
        <v/>
      </c>
      <c r="W96" s="16"/>
      <c r="X96" s="16"/>
      <c r="Y96" s="16"/>
      <c r="Z96" s="15"/>
      <c r="AA96" s="15"/>
      <c r="AB96" s="110" t="str">
        <f>IF(OR(A96="",posicao_contratual!E96="",posicao_contratual!J96=""),"",ROUND(MAX(posicao_contratual!E96-posicao_contratual!J96,0),2))</f>
        <v/>
      </c>
      <c r="AC96" s="104" t="str">
        <f>IF(AND(A96="",A95&lt;&gt;"",COUNTIF(A97:$A$200,"&lt;&gt;")=0),ROUND(SUMIF($A$2:A95,"&lt;&gt;",$AC$2:AC95),2),IF(OR(AB96="",C96="",NOT(ISNUMBER($Z$2))),"",ROUND(AB96*C96*$Z$2,2)))</f>
        <v/>
      </c>
      <c r="AD96" s="180" t="str">
        <f>IF(A96="","",posicao_contratual!E96)</f>
        <v/>
      </c>
      <c r="AE96" s="180" t="str">
        <f>IF(A96="","",posicao_contratual!I96)</f>
        <v/>
      </c>
      <c r="AF96" s="180" t="str">
        <f>IF(A96="","",posicao_contratual!M96)</f>
        <v/>
      </c>
      <c r="AG96" s="180" t="str">
        <f>IF(A96="","",posicao_contratual!Q96)</f>
        <v/>
      </c>
      <c r="AH96" s="180" t="str">
        <f>IF(A96="","",posicao_contratual!U96)</f>
        <v/>
      </c>
      <c r="AI96" s="180" t="str">
        <f>IF(A96="","",posicao_contratual!G96)</f>
        <v/>
      </c>
      <c r="AJ96" s="180" t="str">
        <f>IF(A96="","",posicao_contratual!K96)</f>
        <v/>
      </c>
      <c r="AK96" s="180" t="str">
        <f>IF(A96="","",posicao_contratual!O96)</f>
        <v/>
      </c>
      <c r="AL96" s="180" t="str">
        <f>IF(A96="","",posicao_contratual!S96)</f>
        <v/>
      </c>
      <c r="AM96" s="180" t="str">
        <f>IF(A96="","",posicao_contratual!W96)</f>
        <v/>
      </c>
      <c r="AN96" s="181" t="str">
        <f>IF(A96="","",posicao_contratual!X96)</f>
        <v/>
      </c>
    </row>
    <row r="97" spans="1:40" x14ac:dyDescent="0.35">
      <c r="A97" s="106"/>
      <c r="B97" s="107"/>
      <c r="C97" s="108"/>
      <c r="D97" s="104" t="str">
        <f>IF(AND(A97="",A96&lt;&gt;"",COUNTIF(A98:$A$200,"&lt;&gt;")=0),ROUND(SUMIF($A$2:A96,"&lt;&gt;",$D$2:D96),2),IF(OR(A97="",B97="",C97=""),"",ROUND(B97*C97,2)))</f>
        <v/>
      </c>
      <c r="E97" s="109"/>
      <c r="F97" s="104" t="str">
        <f>IF(AND(A97="",A96&lt;&gt;"",COUNTIF(A98:$A$200,"&lt;&gt;")=0),ROUND(SUMIF($A$2:A96,"&lt;&gt;",$F$2:F96),2),IF(OR(A97="",posicao_contratual!K97="",C97="",NOT(ISNUMBER($Z$3))),"",ROUND(posicao_contratual!K97*C97*$Z$3,2)))</f>
        <v/>
      </c>
      <c r="G97" s="109"/>
      <c r="H97" s="104" t="str">
        <f>IF(AND(A97="",A96&lt;&gt;"",COUNTIF(A98:$A$200,"&lt;&gt;")=0),ROUND(SUMIF($A$2:A96,"&lt;&gt;",$H$2:H96),2),IF(OR(A97="",posicao_contratual!O97="",C97="",NOT(ISNUMBER($Z$4))),"",ROUND(posicao_contratual!O97*C97*$Z$4,2)))</f>
        <v/>
      </c>
      <c r="I97" s="109"/>
      <c r="J97" s="104" t="str">
        <f>IF(AND(A97="",A96&lt;&gt;"",COUNTIF(A98:$A$200,"&lt;&gt;")=0),ROUND(SUMIF($A$2:A96,"&lt;&gt;",$J$2:J96),2),IF(OR(A97="",posicao_contratual!S97="",C97="",NOT(ISNUMBER($Z$5))),"",ROUND(posicao_contratual!S97*C97*$Z$5,2)))</f>
        <v/>
      </c>
      <c r="K97" s="109"/>
      <c r="L97" s="104" t="str">
        <f>IF(AND(A97="",A96&lt;&gt;"",COUNTIF(A98:$A$200,"&lt;&gt;")=0),ROUND(SUMIF($A$2:A96,"&lt;&gt;",$L$2:L96),2),IF(OR(A97="",posicao_contratual!W97="",C97="",NOT(ISNUMBER($Z$6))),"",ROUND(posicao_contratual!W97*C97*$Z$6,2)))</f>
        <v/>
      </c>
      <c r="M97" s="110" t="str">
        <f>IF(OR(posicao_contratual!J97="",posicao_contratual!N97=""),"",ROUND(MAX(posicao_contratual!J97+posicao_contratual!H97-posicao_contratual!N97,0),2))</f>
        <v/>
      </c>
      <c r="N97" s="104" t="str">
        <f>IF(AND(A97="",A96&lt;&gt;"",COUNTIF(A98:$A$200,"&lt;&gt;")=0),ROUND(SUMIF($A$2:A96,"&lt;&gt;",$N$2:N96),2),IF(OR(M97="",C97="",NOT(ISNUMBER($Z$3))),"",ROUND(M97*C97*$Z$3,2)))</f>
        <v/>
      </c>
      <c r="O97" s="110" t="str">
        <f>IF(OR(posicao_contratual!N97="",posicao_contratual!R97=""),"",ROUND(MAX(posicao_contratual!N97+posicao_contratual!L97-posicao_contratual!R97,0),2))</f>
        <v/>
      </c>
      <c r="P97" s="104" t="str">
        <f>IF(AND(A97="",A96&lt;&gt;"",COUNTIF(A98:$A$200,"&lt;&gt;")=0),ROUND(SUMIF($A$2:A96,"&lt;&gt;",$P$2:P96),2),IF(OR(O97="",C97="",NOT(ISNUMBER($Z$4))),"",ROUND(O97*C97*$Z$4,2)))</f>
        <v/>
      </c>
      <c r="Q97" s="110" t="str">
        <f>IF(OR(posicao_contratual!R97="",posicao_contratual!V97=""),"",ROUND(MAX(posicao_contratual!R97+posicao_contratual!P97-posicao_contratual!V97,0),2))</f>
        <v/>
      </c>
      <c r="R97" s="104" t="str">
        <f>IF(AND(A97="",A96&lt;&gt;"",COUNTIF(A98:$A$200,"&lt;&gt;")=0),ROUND(SUMIF($A$2:A96,"&lt;&gt;",$R$2:R96),2),IF(OR(Q97="",C97="",NOT(ISNUMBER($Z$5))),"",ROUND(Q97*C97*$Z$5,2)))</f>
        <v/>
      </c>
      <c r="S97" s="24"/>
      <c r="T97" s="25"/>
      <c r="U97" s="111" t="str">
        <f>IF(AND(A97="",A96&lt;&gt;"",COUNTIF(A98:$A$200,"&lt;&gt;")=0),"TOTAL",IF(A97="","",posicao_contratual!X97))</f>
        <v/>
      </c>
      <c r="V97" s="111" t="str">
        <f>IF(A97="","",posicao_contratual!X97)</f>
        <v/>
      </c>
      <c r="W97" s="16"/>
      <c r="X97" s="16"/>
      <c r="Y97" s="16"/>
      <c r="Z97" s="15"/>
      <c r="AA97" s="15"/>
      <c r="AB97" s="110" t="str">
        <f>IF(OR(A97="",posicao_contratual!E97="",posicao_contratual!J97=""),"",ROUND(MAX(posicao_contratual!E97-posicao_contratual!J97,0),2))</f>
        <v/>
      </c>
      <c r="AC97" s="104" t="str">
        <f>IF(AND(A97="",A96&lt;&gt;"",COUNTIF(A98:$A$200,"&lt;&gt;")=0),ROUND(SUMIF($A$2:A96,"&lt;&gt;",$AC$2:AC96),2),IF(OR(AB97="",C97="",NOT(ISNUMBER($Z$2))),"",ROUND(AB97*C97*$Z$2,2)))</f>
        <v/>
      </c>
      <c r="AD97" s="180" t="str">
        <f>IF(A97="","",posicao_contratual!E97)</f>
        <v/>
      </c>
      <c r="AE97" s="180" t="str">
        <f>IF(A97="","",posicao_contratual!I97)</f>
        <v/>
      </c>
      <c r="AF97" s="180" t="str">
        <f>IF(A97="","",posicao_contratual!M97)</f>
        <v/>
      </c>
      <c r="AG97" s="180" t="str">
        <f>IF(A97="","",posicao_contratual!Q97)</f>
        <v/>
      </c>
      <c r="AH97" s="180" t="str">
        <f>IF(A97="","",posicao_contratual!U97)</f>
        <v/>
      </c>
      <c r="AI97" s="180" t="str">
        <f>IF(A97="","",posicao_contratual!G97)</f>
        <v/>
      </c>
      <c r="AJ97" s="180" t="str">
        <f>IF(A97="","",posicao_contratual!K97)</f>
        <v/>
      </c>
      <c r="AK97" s="180" t="str">
        <f>IF(A97="","",posicao_contratual!O97)</f>
        <v/>
      </c>
      <c r="AL97" s="180" t="str">
        <f>IF(A97="","",posicao_contratual!S97)</f>
        <v/>
      </c>
      <c r="AM97" s="180" t="str">
        <f>IF(A97="","",posicao_contratual!W97)</f>
        <v/>
      </c>
      <c r="AN97" s="181" t="str">
        <f>IF(A97="","",posicao_contratual!X97)</f>
        <v/>
      </c>
    </row>
    <row r="98" spans="1:40" x14ac:dyDescent="0.35">
      <c r="A98" s="106"/>
      <c r="B98" s="107"/>
      <c r="C98" s="108"/>
      <c r="D98" s="104" t="str">
        <f>IF(AND(A98="",A97&lt;&gt;"",COUNTIF(A99:$A$200,"&lt;&gt;")=0),ROUND(SUMIF($A$2:A97,"&lt;&gt;",$D$2:D97),2),IF(OR(A98="",B98="",C98=""),"",ROUND(B98*C98,2)))</f>
        <v/>
      </c>
      <c r="E98" s="109"/>
      <c r="F98" s="104" t="str">
        <f>IF(AND(A98="",A97&lt;&gt;"",COUNTIF(A99:$A$200,"&lt;&gt;")=0),ROUND(SUMIF($A$2:A97,"&lt;&gt;",$F$2:F97),2),IF(OR(A98="",posicao_contratual!K98="",C98="",NOT(ISNUMBER($Z$3))),"",ROUND(posicao_contratual!K98*C98*$Z$3,2)))</f>
        <v/>
      </c>
      <c r="G98" s="109"/>
      <c r="H98" s="104" t="str">
        <f>IF(AND(A98="",A97&lt;&gt;"",COUNTIF(A99:$A$200,"&lt;&gt;")=0),ROUND(SUMIF($A$2:A97,"&lt;&gt;",$H$2:H97),2),IF(OR(A98="",posicao_contratual!O98="",C98="",NOT(ISNUMBER($Z$4))),"",ROUND(posicao_contratual!O98*C98*$Z$4,2)))</f>
        <v/>
      </c>
      <c r="I98" s="109"/>
      <c r="J98" s="104" t="str">
        <f>IF(AND(A98="",A97&lt;&gt;"",COUNTIF(A99:$A$200,"&lt;&gt;")=0),ROUND(SUMIF($A$2:A97,"&lt;&gt;",$J$2:J97),2),IF(OR(A98="",posicao_contratual!S98="",C98="",NOT(ISNUMBER($Z$5))),"",ROUND(posicao_contratual!S98*C98*$Z$5,2)))</f>
        <v/>
      </c>
      <c r="K98" s="109"/>
      <c r="L98" s="104" t="str">
        <f>IF(AND(A98="",A97&lt;&gt;"",COUNTIF(A99:$A$200,"&lt;&gt;")=0),ROUND(SUMIF($A$2:A97,"&lt;&gt;",$L$2:L97),2),IF(OR(A98="",posicao_contratual!W98="",C98="",NOT(ISNUMBER($Z$6))),"",ROUND(posicao_contratual!W98*C98*$Z$6,2)))</f>
        <v/>
      </c>
      <c r="M98" s="110" t="str">
        <f>IF(OR(posicao_contratual!J98="",posicao_contratual!N98=""),"",ROUND(MAX(posicao_contratual!J98+posicao_contratual!H98-posicao_contratual!N98,0),2))</f>
        <v/>
      </c>
      <c r="N98" s="104" t="str">
        <f>IF(AND(A98="",A97&lt;&gt;"",COUNTIF(A99:$A$200,"&lt;&gt;")=0),ROUND(SUMIF($A$2:A97,"&lt;&gt;",$N$2:N97),2),IF(OR(M98="",C98="",NOT(ISNUMBER($Z$3))),"",ROUND(M98*C98*$Z$3,2)))</f>
        <v/>
      </c>
      <c r="O98" s="110" t="str">
        <f>IF(OR(posicao_contratual!N98="",posicao_contratual!R98=""),"",ROUND(MAX(posicao_contratual!N98+posicao_contratual!L98-posicao_contratual!R98,0),2))</f>
        <v/>
      </c>
      <c r="P98" s="104" t="str">
        <f>IF(AND(A98="",A97&lt;&gt;"",COUNTIF(A99:$A$200,"&lt;&gt;")=0),ROUND(SUMIF($A$2:A97,"&lt;&gt;",$P$2:P97),2),IF(OR(O98="",C98="",NOT(ISNUMBER($Z$4))),"",ROUND(O98*C98*$Z$4,2)))</f>
        <v/>
      </c>
      <c r="Q98" s="110" t="str">
        <f>IF(OR(posicao_contratual!R98="",posicao_contratual!V98=""),"",ROUND(MAX(posicao_contratual!R98+posicao_contratual!P98-posicao_contratual!V98,0),2))</f>
        <v/>
      </c>
      <c r="R98" s="104" t="str">
        <f>IF(AND(A98="",A97&lt;&gt;"",COUNTIF(A99:$A$200,"&lt;&gt;")=0),ROUND(SUMIF($A$2:A97,"&lt;&gt;",$R$2:R97),2),IF(OR(Q98="",C98="",NOT(ISNUMBER($Z$5))),"",ROUND(Q98*C98*$Z$5,2)))</f>
        <v/>
      </c>
      <c r="S98" s="24"/>
      <c r="T98" s="25"/>
      <c r="U98" s="111" t="str">
        <f>IF(AND(A98="",A97&lt;&gt;"",COUNTIF(A99:$A$200,"&lt;&gt;")=0),"TOTAL",IF(A98="","",posicao_contratual!X98))</f>
        <v/>
      </c>
      <c r="V98" s="111" t="str">
        <f>IF(A98="","",posicao_contratual!X98)</f>
        <v/>
      </c>
      <c r="W98" s="16"/>
      <c r="X98" s="16"/>
      <c r="Y98" s="16"/>
      <c r="Z98" s="15"/>
      <c r="AA98" s="15"/>
      <c r="AB98" s="110" t="str">
        <f>IF(OR(A98="",posicao_contratual!E98="",posicao_contratual!J98=""),"",ROUND(MAX(posicao_contratual!E98-posicao_contratual!J98,0),2))</f>
        <v/>
      </c>
      <c r="AC98" s="104" t="str">
        <f>IF(AND(A98="",A97&lt;&gt;"",COUNTIF(A99:$A$200,"&lt;&gt;")=0),ROUND(SUMIF($A$2:A97,"&lt;&gt;",$AC$2:AC97),2),IF(OR(AB98="",C98="",NOT(ISNUMBER($Z$2))),"",ROUND(AB98*C98*$Z$2,2)))</f>
        <v/>
      </c>
      <c r="AD98" s="180" t="str">
        <f>IF(A98="","",posicao_contratual!E98)</f>
        <v/>
      </c>
      <c r="AE98" s="180" t="str">
        <f>IF(A98="","",posicao_contratual!I98)</f>
        <v/>
      </c>
      <c r="AF98" s="180" t="str">
        <f>IF(A98="","",posicao_contratual!M98)</f>
        <v/>
      </c>
      <c r="AG98" s="180" t="str">
        <f>IF(A98="","",posicao_contratual!Q98)</f>
        <v/>
      </c>
      <c r="AH98" s="180" t="str">
        <f>IF(A98="","",posicao_contratual!U98)</f>
        <v/>
      </c>
      <c r="AI98" s="180" t="str">
        <f>IF(A98="","",posicao_contratual!G98)</f>
        <v/>
      </c>
      <c r="AJ98" s="180" t="str">
        <f>IF(A98="","",posicao_contratual!K98)</f>
        <v/>
      </c>
      <c r="AK98" s="180" t="str">
        <f>IF(A98="","",posicao_contratual!O98)</f>
        <v/>
      </c>
      <c r="AL98" s="180" t="str">
        <f>IF(A98="","",posicao_contratual!S98)</f>
        <v/>
      </c>
      <c r="AM98" s="180" t="str">
        <f>IF(A98="","",posicao_contratual!W98)</f>
        <v/>
      </c>
      <c r="AN98" s="181" t="str">
        <f>IF(A98="","",posicao_contratual!X98)</f>
        <v/>
      </c>
    </row>
    <row r="99" spans="1:40" x14ac:dyDescent="0.35">
      <c r="A99" s="106"/>
      <c r="B99" s="107"/>
      <c r="C99" s="108"/>
      <c r="D99" s="104" t="str">
        <f>IF(AND(A99="",A98&lt;&gt;"",COUNTIF(A100:$A$200,"&lt;&gt;")=0),ROUND(SUMIF($A$2:A98,"&lt;&gt;",$D$2:D98),2),IF(OR(A99="",B99="",C99=""),"",ROUND(B99*C99,2)))</f>
        <v/>
      </c>
      <c r="E99" s="109"/>
      <c r="F99" s="104" t="str">
        <f>IF(AND(A99="",A98&lt;&gt;"",COUNTIF(A100:$A$200,"&lt;&gt;")=0),ROUND(SUMIF($A$2:A98,"&lt;&gt;",$F$2:F98),2),IF(OR(A99="",posicao_contratual!K99="",C99="",NOT(ISNUMBER($Z$3))),"",ROUND(posicao_contratual!K99*C99*$Z$3,2)))</f>
        <v/>
      </c>
      <c r="G99" s="109"/>
      <c r="H99" s="104" t="str">
        <f>IF(AND(A99="",A98&lt;&gt;"",COUNTIF(A100:$A$200,"&lt;&gt;")=0),ROUND(SUMIF($A$2:A98,"&lt;&gt;",$H$2:H98),2),IF(OR(A99="",posicao_contratual!O99="",C99="",NOT(ISNUMBER($Z$4))),"",ROUND(posicao_contratual!O99*C99*$Z$4,2)))</f>
        <v/>
      </c>
      <c r="I99" s="109"/>
      <c r="J99" s="104" t="str">
        <f>IF(AND(A99="",A98&lt;&gt;"",COUNTIF(A100:$A$200,"&lt;&gt;")=0),ROUND(SUMIF($A$2:A98,"&lt;&gt;",$J$2:J98),2),IF(OR(A99="",posicao_contratual!S99="",C99="",NOT(ISNUMBER($Z$5))),"",ROUND(posicao_contratual!S99*C99*$Z$5,2)))</f>
        <v/>
      </c>
      <c r="K99" s="109"/>
      <c r="L99" s="104" t="str">
        <f>IF(AND(A99="",A98&lt;&gt;"",COUNTIF(A100:$A$200,"&lt;&gt;")=0),ROUND(SUMIF($A$2:A98,"&lt;&gt;",$L$2:L98),2),IF(OR(A99="",posicao_contratual!W99="",C99="",NOT(ISNUMBER($Z$6))),"",ROUND(posicao_contratual!W99*C99*$Z$6,2)))</f>
        <v/>
      </c>
      <c r="M99" s="110" t="str">
        <f>IF(OR(posicao_contratual!J99="",posicao_contratual!N99=""),"",ROUND(MAX(posicao_contratual!J99+posicao_contratual!H99-posicao_contratual!N99,0),2))</f>
        <v/>
      </c>
      <c r="N99" s="104" t="str">
        <f>IF(AND(A99="",A98&lt;&gt;"",COUNTIF(A100:$A$200,"&lt;&gt;")=0),ROUND(SUMIF($A$2:A98,"&lt;&gt;",$N$2:N98),2),IF(OR(M99="",C99="",NOT(ISNUMBER($Z$3))),"",ROUND(M99*C99*$Z$3,2)))</f>
        <v/>
      </c>
      <c r="O99" s="110" t="str">
        <f>IF(OR(posicao_contratual!N99="",posicao_contratual!R99=""),"",ROUND(MAX(posicao_contratual!N99+posicao_contratual!L99-posicao_contratual!R99,0),2))</f>
        <v/>
      </c>
      <c r="P99" s="104" t="str">
        <f>IF(AND(A99="",A98&lt;&gt;"",COUNTIF(A100:$A$200,"&lt;&gt;")=0),ROUND(SUMIF($A$2:A98,"&lt;&gt;",$P$2:P98),2),IF(OR(O99="",C99="",NOT(ISNUMBER($Z$4))),"",ROUND(O99*C99*$Z$4,2)))</f>
        <v/>
      </c>
      <c r="Q99" s="110" t="str">
        <f>IF(OR(posicao_contratual!R99="",posicao_contratual!V99=""),"",ROUND(MAX(posicao_contratual!R99+posicao_contratual!P99-posicao_contratual!V99,0),2))</f>
        <v/>
      </c>
      <c r="R99" s="104" t="str">
        <f>IF(AND(A99="",A98&lt;&gt;"",COUNTIF(A100:$A$200,"&lt;&gt;")=0),ROUND(SUMIF($A$2:A98,"&lt;&gt;",$R$2:R98),2),IF(OR(Q99="",C99="",NOT(ISNUMBER($Z$5))),"",ROUND(Q99*C99*$Z$5,2)))</f>
        <v/>
      </c>
      <c r="S99" s="24"/>
      <c r="T99" s="25"/>
      <c r="U99" s="111" t="str">
        <f>IF(AND(A99="",A98&lt;&gt;"",COUNTIF(A100:$A$200,"&lt;&gt;")=0),"TOTAL",IF(A99="","",posicao_contratual!X99))</f>
        <v/>
      </c>
      <c r="V99" s="111" t="str">
        <f>IF(A99="","",posicao_contratual!X99)</f>
        <v/>
      </c>
      <c r="W99" s="16"/>
      <c r="X99" s="16"/>
      <c r="Y99" s="16"/>
      <c r="Z99" s="15"/>
      <c r="AA99" s="15"/>
      <c r="AB99" s="110" t="str">
        <f>IF(OR(A99="",posicao_contratual!E99="",posicao_contratual!J99=""),"",ROUND(MAX(posicao_contratual!E99-posicao_contratual!J99,0),2))</f>
        <v/>
      </c>
      <c r="AC99" s="104" t="str">
        <f>IF(AND(A99="",A98&lt;&gt;"",COUNTIF(A100:$A$200,"&lt;&gt;")=0),ROUND(SUMIF($A$2:A98,"&lt;&gt;",$AC$2:AC98),2),IF(OR(AB99="",C99="",NOT(ISNUMBER($Z$2))),"",ROUND(AB99*C99*$Z$2,2)))</f>
        <v/>
      </c>
      <c r="AD99" s="180" t="str">
        <f>IF(A99="","",posicao_contratual!E99)</f>
        <v/>
      </c>
      <c r="AE99" s="180" t="str">
        <f>IF(A99="","",posicao_contratual!I99)</f>
        <v/>
      </c>
      <c r="AF99" s="180" t="str">
        <f>IF(A99="","",posicao_contratual!M99)</f>
        <v/>
      </c>
      <c r="AG99" s="180" t="str">
        <f>IF(A99="","",posicao_contratual!Q99)</f>
        <v/>
      </c>
      <c r="AH99" s="180" t="str">
        <f>IF(A99="","",posicao_contratual!U99)</f>
        <v/>
      </c>
      <c r="AI99" s="180" t="str">
        <f>IF(A99="","",posicao_contratual!G99)</f>
        <v/>
      </c>
      <c r="AJ99" s="180" t="str">
        <f>IF(A99="","",posicao_contratual!K99)</f>
        <v/>
      </c>
      <c r="AK99" s="180" t="str">
        <f>IF(A99="","",posicao_contratual!O99)</f>
        <v/>
      </c>
      <c r="AL99" s="180" t="str">
        <f>IF(A99="","",posicao_contratual!S99)</f>
        <v/>
      </c>
      <c r="AM99" s="180" t="str">
        <f>IF(A99="","",posicao_contratual!W99)</f>
        <v/>
      </c>
      <c r="AN99" s="181" t="str">
        <f>IF(A99="","",posicao_contratual!X99)</f>
        <v/>
      </c>
    </row>
    <row r="100" spans="1:40" x14ac:dyDescent="0.35">
      <c r="A100" s="106"/>
      <c r="B100" s="107"/>
      <c r="C100" s="108"/>
      <c r="D100" s="104" t="str">
        <f>IF(AND(A100="",A99&lt;&gt;"",COUNTIF(A101:$A$200,"&lt;&gt;")=0),ROUND(SUMIF($A$2:A99,"&lt;&gt;",$D$2:D99),2),IF(OR(A100="",B100="",C100=""),"",ROUND(B100*C100,2)))</f>
        <v/>
      </c>
      <c r="E100" s="109"/>
      <c r="F100" s="104" t="str">
        <f>IF(AND(A100="",A99&lt;&gt;"",COUNTIF(A101:$A$200,"&lt;&gt;")=0),ROUND(SUMIF($A$2:A99,"&lt;&gt;",$F$2:F99),2),IF(OR(A100="",posicao_contratual!K100="",C100="",NOT(ISNUMBER($Z$3))),"",ROUND(posicao_contratual!K100*C100*$Z$3,2)))</f>
        <v/>
      </c>
      <c r="G100" s="109"/>
      <c r="H100" s="104" t="str">
        <f>IF(AND(A100="",A99&lt;&gt;"",COUNTIF(A101:$A$200,"&lt;&gt;")=0),ROUND(SUMIF($A$2:A99,"&lt;&gt;",$H$2:H99),2),IF(OR(A100="",posicao_contratual!O100="",C100="",NOT(ISNUMBER($Z$4))),"",ROUND(posicao_contratual!O100*C100*$Z$4,2)))</f>
        <v/>
      </c>
      <c r="I100" s="109"/>
      <c r="J100" s="104" t="str">
        <f>IF(AND(A100="",A99&lt;&gt;"",COUNTIF(A101:$A$200,"&lt;&gt;")=0),ROUND(SUMIF($A$2:A99,"&lt;&gt;",$J$2:J99),2),IF(OR(A100="",posicao_contratual!S100="",C100="",NOT(ISNUMBER($Z$5))),"",ROUND(posicao_contratual!S100*C100*$Z$5,2)))</f>
        <v/>
      </c>
      <c r="K100" s="109"/>
      <c r="L100" s="104" t="str">
        <f>IF(AND(A100="",A99&lt;&gt;"",COUNTIF(A101:$A$200,"&lt;&gt;")=0),ROUND(SUMIF($A$2:A99,"&lt;&gt;",$L$2:L99),2),IF(OR(A100="",posicao_contratual!W100="",C100="",NOT(ISNUMBER($Z$6))),"",ROUND(posicao_contratual!W100*C100*$Z$6,2)))</f>
        <v/>
      </c>
      <c r="M100" s="110" t="str">
        <f>IF(OR(posicao_contratual!J100="",posicao_contratual!N100=""),"",ROUND(MAX(posicao_contratual!J100+posicao_contratual!H100-posicao_contratual!N100,0),2))</f>
        <v/>
      </c>
      <c r="N100" s="104" t="str">
        <f>IF(AND(A100="",A99&lt;&gt;"",COUNTIF(A101:$A$200,"&lt;&gt;")=0),ROUND(SUMIF($A$2:A99,"&lt;&gt;",$N$2:N99),2),IF(OR(M100="",C100="",NOT(ISNUMBER($Z$3))),"",ROUND(M100*C100*$Z$3,2)))</f>
        <v/>
      </c>
      <c r="O100" s="110" t="str">
        <f>IF(OR(posicao_contratual!N100="",posicao_contratual!R100=""),"",ROUND(MAX(posicao_contratual!N100+posicao_contratual!L100-posicao_contratual!R100,0),2))</f>
        <v/>
      </c>
      <c r="P100" s="104" t="str">
        <f>IF(AND(A100="",A99&lt;&gt;"",COUNTIF(A101:$A$200,"&lt;&gt;")=0),ROUND(SUMIF($A$2:A99,"&lt;&gt;",$P$2:P99),2),IF(OR(O100="",C100="",NOT(ISNUMBER($Z$4))),"",ROUND(O100*C100*$Z$4,2)))</f>
        <v/>
      </c>
      <c r="Q100" s="110" t="str">
        <f>IF(OR(posicao_contratual!R100="",posicao_contratual!V100=""),"",ROUND(MAX(posicao_contratual!R100+posicao_contratual!P100-posicao_contratual!V100,0),2))</f>
        <v/>
      </c>
      <c r="R100" s="104" t="str">
        <f>IF(AND(A100="",A99&lt;&gt;"",COUNTIF(A101:$A$200,"&lt;&gt;")=0),ROUND(SUMIF($A$2:A99,"&lt;&gt;",$R$2:R99),2),IF(OR(Q100="",C100="",NOT(ISNUMBER($Z$5))),"",ROUND(Q100*C100*$Z$5,2)))</f>
        <v/>
      </c>
      <c r="S100" s="24"/>
      <c r="T100" s="25"/>
      <c r="U100" s="111" t="str">
        <f>IF(AND(A100="",A99&lt;&gt;"",COUNTIF(A101:$A$200,"&lt;&gt;")=0),"TOTAL",IF(A100="","",posicao_contratual!X100))</f>
        <v/>
      </c>
      <c r="V100" s="111" t="str">
        <f>IF(A100="","",posicao_contratual!X100)</f>
        <v/>
      </c>
      <c r="W100" s="16"/>
      <c r="X100" s="16"/>
      <c r="Y100" s="16"/>
      <c r="Z100" s="15"/>
      <c r="AA100" s="15"/>
      <c r="AB100" s="110" t="str">
        <f>IF(OR(A100="",posicao_contratual!E100="",posicao_contratual!J100=""),"",ROUND(MAX(posicao_contratual!E100-posicao_contratual!J100,0),2))</f>
        <v/>
      </c>
      <c r="AC100" s="104" t="str">
        <f>IF(AND(A100="",A99&lt;&gt;"",COUNTIF(A101:$A$200,"&lt;&gt;")=0),ROUND(SUMIF($A$2:A99,"&lt;&gt;",$AC$2:AC99),2),IF(OR(AB100="",C100="",NOT(ISNUMBER($Z$2))),"",ROUND(AB100*C100*$Z$2,2)))</f>
        <v/>
      </c>
      <c r="AD100" s="180" t="str">
        <f>IF(A100="","",posicao_contratual!E100)</f>
        <v/>
      </c>
      <c r="AE100" s="180" t="str">
        <f>IF(A100="","",posicao_contratual!I100)</f>
        <v/>
      </c>
      <c r="AF100" s="180" t="str">
        <f>IF(A100="","",posicao_contratual!M100)</f>
        <v/>
      </c>
      <c r="AG100" s="180" t="str">
        <f>IF(A100="","",posicao_contratual!Q100)</f>
        <v/>
      </c>
      <c r="AH100" s="180" t="str">
        <f>IF(A100="","",posicao_contratual!U100)</f>
        <v/>
      </c>
      <c r="AI100" s="180" t="str">
        <f>IF(A100="","",posicao_contratual!G100)</f>
        <v/>
      </c>
      <c r="AJ100" s="180" t="str">
        <f>IF(A100="","",posicao_contratual!K100)</f>
        <v/>
      </c>
      <c r="AK100" s="180" t="str">
        <f>IF(A100="","",posicao_contratual!O100)</f>
        <v/>
      </c>
      <c r="AL100" s="180" t="str">
        <f>IF(A100="","",posicao_contratual!S100)</f>
        <v/>
      </c>
      <c r="AM100" s="180" t="str">
        <f>IF(A100="","",posicao_contratual!W100)</f>
        <v/>
      </c>
      <c r="AN100" s="181" t="str">
        <f>IF(A100="","",posicao_contratual!X100)</f>
        <v/>
      </c>
    </row>
    <row r="101" spans="1:40" ht="24" customHeight="1" x14ac:dyDescent="0.35">
      <c r="A101" s="116"/>
      <c r="B101" s="117"/>
      <c r="C101" s="118"/>
      <c r="D101" s="119" t="str">
        <f>IF(AND(A101="",A100&lt;&gt;"",COUNTIF(A102:$A$200,"&lt;&gt;")=0),ROUND(SUMIF($A$2:A100,"&lt;&gt;",$D$2:D100),2),IF(OR(A101="",B101="",C101=""),"",ROUND(B101*C101,2)))</f>
        <v/>
      </c>
      <c r="E101" s="117"/>
      <c r="F101" s="119" t="str">
        <f>IF(AND(A101="",A100&lt;&gt;"",COUNTIF(A102:$A$200,"&lt;&gt;")=0),ROUND(SUMIF($A$2:A100,"&lt;&gt;",$F$2:F100),2),IF(OR(A101="",posicao_contratual!K101="",C101="",NOT(ISNUMBER($Z$3))),"",ROUND(posicao_contratual!K101*C101*$Z$3,2)))</f>
        <v/>
      </c>
      <c r="G101" s="117"/>
      <c r="H101" s="119" t="str">
        <f>IF(AND(A101="",A100&lt;&gt;"",COUNTIF(A102:$A$200,"&lt;&gt;")=0),ROUND(SUMIF($A$2:A100,"&lt;&gt;",$H$2:H100),2),IF(OR(A101="",posicao_contratual!O101="",C101="",NOT(ISNUMBER($Z$4))),"",ROUND(posicao_contratual!O101*C101*$Z$4,2)))</f>
        <v/>
      </c>
      <c r="I101" s="117"/>
      <c r="J101" s="119" t="str">
        <f>IF(AND(A101="",A100&lt;&gt;"",COUNTIF(A102:$A$200,"&lt;&gt;")=0),ROUND(SUMIF($A$2:A100,"&lt;&gt;",$J$2:J100),2),IF(OR(A101="",posicao_contratual!S101="",C101="",NOT(ISNUMBER($Z$5))),"",ROUND(posicao_contratual!S101*C101*$Z$5,2)))</f>
        <v/>
      </c>
      <c r="K101" s="117"/>
      <c r="L101" s="119" t="str">
        <f>IF(AND(A101="",A100&lt;&gt;"",COUNTIF(A102:$A$200,"&lt;&gt;")=0),ROUND(SUMIF($A$2:A100,"&lt;&gt;",$L$2:L100),2),IF(OR(A101="",posicao_contratual!W101="",C101="",NOT(ISNUMBER($Z$6))),"",ROUND(posicao_contratual!W101*C101*$Z$6,2)))</f>
        <v/>
      </c>
      <c r="M101" s="120" t="str">
        <f>IF(OR(posicao_contratual!J101="",posicao_contratual!N101=""),"",ROUND(MAX(posicao_contratual!J101+posicao_contratual!H101-posicao_contratual!N101,0),2))</f>
        <v/>
      </c>
      <c r="N101" s="119" t="str">
        <f>IF(AND(A101="",A100&lt;&gt;"",COUNTIF(A102:$A$200,"&lt;&gt;")=0),ROUND(SUMIF($A$2:A100,"&lt;&gt;",$N$2:N100),2),IF(OR(M101="",C101="",NOT(ISNUMBER($Z$3))),"",ROUND(M101*C101*$Z$3,2)))</f>
        <v/>
      </c>
      <c r="O101" s="120" t="str">
        <f>IF(OR(posicao_contratual!N101="",posicao_contratual!R101=""),"",ROUND(MAX(posicao_contratual!N101+posicao_contratual!L101-posicao_contratual!R101,0),2))</f>
        <v/>
      </c>
      <c r="P101" s="119" t="str">
        <f>IF(AND(A101="",A100&lt;&gt;"",COUNTIF(A102:$A$200,"&lt;&gt;")=0),ROUND(SUMIF($A$2:A100,"&lt;&gt;",$P$2:P100),2),IF(OR(O101="",C101="",NOT(ISNUMBER($Z$4))),"",ROUND(O101*C101*$Z$4,2)))</f>
        <v/>
      </c>
      <c r="Q101" s="120" t="str">
        <f>IF(OR(posicao_contratual!R101="",posicao_contratual!V101=""),"",ROUND(MAX(posicao_contratual!R101+posicao_contratual!P101-posicao_contratual!V101,0),2))</f>
        <v/>
      </c>
      <c r="R101" s="119" t="str">
        <f>IF(AND(A101="",A100&lt;&gt;"",COUNTIF(A102:$A$200,"&lt;&gt;")=0),ROUND(SUMIF($A$2:A100,"&lt;&gt;",$R$2:R100),2),IF(OR(Q101="",C101="",NOT(ISNUMBER($Z$5))),"",ROUND(Q101*C101*$Z$5,2)))</f>
        <v/>
      </c>
      <c r="S101" s="27"/>
      <c r="T101" s="28"/>
      <c r="U101" s="121" t="str">
        <f>IF(AND(A101="",A100&lt;&gt;"",COUNTIF(A102:$A$200,"&lt;&gt;")=0),"TOTAL",IF(A101="","",posicao_contratual!X101))</f>
        <v/>
      </c>
      <c r="V101" s="121" t="str">
        <f>IF(A101="","",posicao_contratual!X101)</f>
        <v/>
      </c>
      <c r="W101" s="15"/>
      <c r="X101" s="15"/>
      <c r="Y101" s="15"/>
      <c r="Z101" s="15"/>
      <c r="AA101" s="15"/>
      <c r="AB101" s="110" t="str">
        <f>IF(OR(A101="",posicao_contratual!E101="",posicao_contratual!J101=""),"",ROUND(MAX(posicao_contratual!E101-posicao_contratual!J101,0),2))</f>
        <v/>
      </c>
      <c r="AC101" s="104" t="str">
        <f>IF(AND(A101="",A100&lt;&gt;"",COUNTIF(A102:$A$200,"&lt;&gt;")=0),ROUND(SUMIF($A$2:A100,"&lt;&gt;",$AC$2:AC100),2),IF(OR(AB101="",C101="",NOT(ISNUMBER($Z$2))),"",ROUND(AB101*C101*$Z$2,2)))</f>
        <v/>
      </c>
      <c r="AD101" s="180" t="str">
        <f>IF(A101="","",posicao_contratual!E101)</f>
        <v/>
      </c>
      <c r="AE101" s="180" t="str">
        <f>IF(A101="","",posicao_contratual!I101)</f>
        <v/>
      </c>
      <c r="AF101" s="180" t="str">
        <f>IF(A101="","",posicao_contratual!M101)</f>
        <v/>
      </c>
      <c r="AG101" s="180" t="str">
        <f>IF(A101="","",posicao_contratual!Q101)</f>
        <v/>
      </c>
      <c r="AH101" s="180" t="str">
        <f>IF(A101="","",posicao_contratual!U101)</f>
        <v/>
      </c>
      <c r="AI101" s="180" t="str">
        <f>IF(A101="","",posicao_contratual!G101)</f>
        <v/>
      </c>
      <c r="AJ101" s="180" t="str">
        <f>IF(A101="","",posicao_contratual!K101)</f>
        <v/>
      </c>
      <c r="AK101" s="180" t="str">
        <f>IF(A101="","",posicao_contratual!O101)</f>
        <v/>
      </c>
      <c r="AL101" s="180" t="str">
        <f>IF(A101="","",posicao_contratual!S101)</f>
        <v/>
      </c>
      <c r="AM101" s="180" t="str">
        <f>IF(A101="","",posicao_contratual!W101)</f>
        <v/>
      </c>
      <c r="AN101" s="181" t="str">
        <f>IF(A101="","",posicao_contratual!X101)</f>
        <v/>
      </c>
    </row>
    <row r="102" spans="1:40" x14ac:dyDescent="0.35">
      <c r="A102" s="106"/>
      <c r="B102" s="107"/>
      <c r="C102" s="108"/>
      <c r="D102" s="104" t="str">
        <f>IF(AND(A102="",A101&lt;&gt;"",COUNTIF(A103:$A$200,"&lt;&gt;")=0),ROUND(SUMIF($A$2:A101,"&lt;&gt;",$D$2:D101),2),IF(OR(A102="",B102="",C102=""),"",ROUND(B102*C102,2)))</f>
        <v/>
      </c>
      <c r="E102" s="109"/>
      <c r="F102" s="104" t="str">
        <f>IF(AND(A102="",A101&lt;&gt;"",COUNTIF(A103:$A$200,"&lt;&gt;")=0),ROUND(SUMIF($A$2:A101,"&lt;&gt;",$F$2:F101),2),IF(OR(A102="",posicao_contratual!K102="",C102="",NOT(ISNUMBER($Z$3))),"",ROUND(posicao_contratual!K102*C102*$Z$3,2)))</f>
        <v/>
      </c>
      <c r="G102" s="109"/>
      <c r="H102" s="104" t="str">
        <f>IF(AND(A102="",A101&lt;&gt;"",COUNTIF(A103:$A$200,"&lt;&gt;")=0),ROUND(SUMIF($A$2:A101,"&lt;&gt;",$H$2:H101),2),IF(OR(A102="",posicao_contratual!O102="",C102="",NOT(ISNUMBER($Z$4))),"",ROUND(posicao_contratual!O102*C102*$Z$4,2)))</f>
        <v/>
      </c>
      <c r="I102" s="109"/>
      <c r="J102" s="104" t="str">
        <f>IF(AND(A102="",A101&lt;&gt;"",COUNTIF(A103:$A$200,"&lt;&gt;")=0),ROUND(SUMIF($A$2:A101,"&lt;&gt;",$J$2:J101),2),IF(OR(A102="",posicao_contratual!S102="",C102="",NOT(ISNUMBER($Z$5))),"",ROUND(posicao_contratual!S102*C102*$Z$5,2)))</f>
        <v/>
      </c>
      <c r="K102" s="109"/>
      <c r="L102" s="104" t="str">
        <f>IF(AND(A102="",A101&lt;&gt;"",COUNTIF(A103:$A$200,"&lt;&gt;")=0),ROUND(SUMIF($A$2:A101,"&lt;&gt;",$L$2:L101),2),IF(OR(A102="",posicao_contratual!W102="",C102="",NOT(ISNUMBER($Z$6))),"",ROUND(posicao_contratual!W102*C102*$Z$6,2)))</f>
        <v/>
      </c>
      <c r="M102" s="110" t="str">
        <f>IF(OR(posicao_contratual!J102="",posicao_contratual!N102=""),"",ROUND(MAX(posicao_contratual!J102+posicao_contratual!H102-posicao_contratual!N102,0),2))</f>
        <v/>
      </c>
      <c r="N102" s="104" t="str">
        <f>IF(AND(A102="",A101&lt;&gt;"",COUNTIF(A103:$A$200,"&lt;&gt;")=0),ROUND(SUMIF($A$2:A101,"&lt;&gt;",$N$2:N101),2),IF(OR(M102="",C102="",NOT(ISNUMBER($Z$3))),"",ROUND(M102*C102*$Z$3,2)))</f>
        <v/>
      </c>
      <c r="O102" s="110" t="str">
        <f>IF(OR(posicao_contratual!N102="",posicao_contratual!R102=""),"",ROUND(MAX(posicao_contratual!N102+posicao_contratual!L102-posicao_contratual!R102,0),2))</f>
        <v/>
      </c>
      <c r="P102" s="104" t="str">
        <f>IF(AND(A102="",A101&lt;&gt;"",COUNTIF(A103:$A$200,"&lt;&gt;")=0),ROUND(SUMIF($A$2:A101,"&lt;&gt;",$P$2:P101),2),IF(OR(O102="",C102="",NOT(ISNUMBER($Z$4))),"",ROUND(O102*C102*$Z$4,2)))</f>
        <v/>
      </c>
      <c r="Q102" s="110" t="str">
        <f>IF(OR(posicao_contratual!R102="",posicao_contratual!V102=""),"",ROUND(MAX(posicao_contratual!R102+posicao_contratual!P102-posicao_contratual!V102,0),2))</f>
        <v/>
      </c>
      <c r="R102" s="104" t="str">
        <f>IF(AND(A102="",A101&lt;&gt;"",COUNTIF(A103:$A$200,"&lt;&gt;")=0),ROUND(SUMIF($A$2:A101,"&lt;&gt;",$R$2:R101),2),IF(OR(Q102="",C102="",NOT(ISNUMBER($Z$5))),"",ROUND(Q102*C102*$Z$5,2)))</f>
        <v/>
      </c>
      <c r="S102" s="58"/>
      <c r="T102" s="59"/>
      <c r="U102" s="111" t="str">
        <f>IF(AND(A102="",A101&lt;&gt;"",COUNTIF(A103:$A$200,"&lt;&gt;")=0),"TOTAL",IF(A102="","",posicao_contratual!X102))</f>
        <v/>
      </c>
      <c r="V102" s="111" t="str">
        <f>IF(A102="","",posicao_contratual!X102)</f>
        <v/>
      </c>
      <c r="W102" s="15"/>
      <c r="X102" s="15"/>
      <c r="Y102" s="15"/>
      <c r="Z102" s="15"/>
      <c r="AA102" s="15"/>
      <c r="AB102" s="110" t="str">
        <f>IF(OR(A102="",posicao_contratual!E102="",posicao_contratual!J102=""),"",ROUND(MAX(posicao_contratual!E102-posicao_contratual!J102,0),2))</f>
        <v/>
      </c>
      <c r="AC102" s="104" t="str">
        <f>IF(AND(A102="",A101&lt;&gt;"",COUNTIF(A103:$A$200,"&lt;&gt;")=0),ROUND(SUMIF($A$2:A101,"&lt;&gt;",$AC$2:AC101),2),IF(OR(AB102="",C102="",NOT(ISNUMBER($Z$2))),"",ROUND(AB102*C102*$Z$2,2)))</f>
        <v/>
      </c>
      <c r="AD102" s="180" t="str">
        <f>IF(A102="","",posicao_contratual!E102)</f>
        <v/>
      </c>
      <c r="AE102" s="180" t="str">
        <f>IF(A102="","",posicao_contratual!I102)</f>
        <v/>
      </c>
      <c r="AF102" s="180" t="str">
        <f>IF(A102="","",posicao_contratual!M102)</f>
        <v/>
      </c>
      <c r="AG102" s="180" t="str">
        <f>IF(A102="","",posicao_contratual!Q102)</f>
        <v/>
      </c>
      <c r="AH102" s="180" t="str">
        <f>IF(A102="","",posicao_contratual!U102)</f>
        <v/>
      </c>
      <c r="AI102" s="180" t="str">
        <f>IF(A102="","",posicao_contratual!G102)</f>
        <v/>
      </c>
      <c r="AJ102" s="180" t="str">
        <f>IF(A102="","",posicao_contratual!K102)</f>
        <v/>
      </c>
      <c r="AK102" s="180" t="str">
        <f>IF(A102="","",posicao_contratual!O102)</f>
        <v/>
      </c>
      <c r="AL102" s="180" t="str">
        <f>IF(A102="","",posicao_contratual!S102)</f>
        <v/>
      </c>
      <c r="AM102" s="180" t="str">
        <f>IF(A102="","",posicao_contratual!W102)</f>
        <v/>
      </c>
      <c r="AN102" s="181" t="str">
        <f>IF(A102="","",posicao_contratual!X102)</f>
        <v/>
      </c>
    </row>
    <row r="103" spans="1:40" x14ac:dyDescent="0.35">
      <c r="A103" s="106"/>
      <c r="B103" s="107"/>
      <c r="C103" s="108"/>
      <c r="D103" s="104" t="str">
        <f>IF(AND(A103="",A102&lt;&gt;"",COUNTIF(A104:$A$200,"&lt;&gt;")=0),ROUND(SUMIF($A$2:A102,"&lt;&gt;",$D$2:D102),2),IF(OR(A103="",B103="",C103=""),"",ROUND(B103*C103,2)))</f>
        <v/>
      </c>
      <c r="E103" s="109"/>
      <c r="F103" s="104" t="str">
        <f>IF(AND(A103="",A102&lt;&gt;"",COUNTIF(A104:$A$200,"&lt;&gt;")=0),ROUND(SUMIF($A$2:A102,"&lt;&gt;",$F$2:F102),2),IF(OR(A103="",posicao_contratual!K103="",C103="",NOT(ISNUMBER($Z$3))),"",ROUND(posicao_contratual!K103*C103*$Z$3,2)))</f>
        <v/>
      </c>
      <c r="G103" s="109"/>
      <c r="H103" s="104" t="str">
        <f>IF(AND(A103="",A102&lt;&gt;"",COUNTIF(A104:$A$200,"&lt;&gt;")=0),ROUND(SUMIF($A$2:A102,"&lt;&gt;",$H$2:H102),2),IF(OR(A103="",posicao_contratual!O103="",C103="",NOT(ISNUMBER($Z$4))),"",ROUND(posicao_contratual!O103*C103*$Z$4,2)))</f>
        <v/>
      </c>
      <c r="I103" s="109"/>
      <c r="J103" s="104" t="str">
        <f>IF(AND(A103="",A102&lt;&gt;"",COUNTIF(A104:$A$200,"&lt;&gt;")=0),ROUND(SUMIF($A$2:A102,"&lt;&gt;",$J$2:J102),2),IF(OR(A103="",posicao_contratual!S103="",C103="",NOT(ISNUMBER($Z$5))),"",ROUND(posicao_contratual!S103*C103*$Z$5,2)))</f>
        <v/>
      </c>
      <c r="K103" s="109"/>
      <c r="L103" s="104" t="str">
        <f>IF(AND(A103="",A102&lt;&gt;"",COUNTIF(A104:$A$200,"&lt;&gt;")=0),ROUND(SUMIF($A$2:A102,"&lt;&gt;",$L$2:L102),2),IF(OR(A103="",posicao_contratual!W103="",C103="",NOT(ISNUMBER($Z$6))),"",ROUND(posicao_contratual!W103*C103*$Z$6,2)))</f>
        <v/>
      </c>
      <c r="M103" s="110" t="str">
        <f>IF(OR(posicao_contratual!J103="",posicao_contratual!N103=""),"",ROUND(MAX(posicao_contratual!J103+posicao_contratual!H103-posicao_contratual!N103,0),2))</f>
        <v/>
      </c>
      <c r="N103" s="104" t="str">
        <f>IF(AND(A103="",A102&lt;&gt;"",COUNTIF(A104:$A$200,"&lt;&gt;")=0),ROUND(SUMIF($A$2:A102,"&lt;&gt;",$N$2:N102),2),IF(OR(M103="",C103="",NOT(ISNUMBER($Z$3))),"",ROUND(M103*C103*$Z$3,2)))</f>
        <v/>
      </c>
      <c r="O103" s="110" t="str">
        <f>IF(OR(posicao_contratual!N103="",posicao_contratual!R103=""),"",ROUND(MAX(posicao_contratual!N103+posicao_contratual!L103-posicao_contratual!R103,0),2))</f>
        <v/>
      </c>
      <c r="P103" s="104" t="str">
        <f>IF(AND(A103="",A102&lt;&gt;"",COUNTIF(A104:$A$200,"&lt;&gt;")=0),ROUND(SUMIF($A$2:A102,"&lt;&gt;",$P$2:P102),2),IF(OR(O103="",C103="",NOT(ISNUMBER($Z$4))),"",ROUND(O103*C103*$Z$4,2)))</f>
        <v/>
      </c>
      <c r="Q103" s="110" t="str">
        <f>IF(OR(posicao_contratual!R103="",posicao_contratual!V103=""),"",ROUND(MAX(posicao_contratual!R103+posicao_contratual!P103-posicao_contratual!V103,0),2))</f>
        <v/>
      </c>
      <c r="R103" s="104" t="str">
        <f>IF(AND(A103="",A102&lt;&gt;"",COUNTIF(A104:$A$200,"&lt;&gt;")=0),ROUND(SUMIF($A$2:A102,"&lt;&gt;",$R$2:R102),2),IF(OR(Q103="",C103="",NOT(ISNUMBER($Z$5))),"",ROUND(Q103*C103*$Z$5,2)))</f>
        <v/>
      </c>
      <c r="S103" s="58"/>
      <c r="T103" s="59"/>
      <c r="U103" s="111" t="str">
        <f>IF(AND(A103="",A102&lt;&gt;"",COUNTIF(A104:$A$200,"&lt;&gt;")=0),"TOTAL",IF(A103="","",posicao_contratual!X103))</f>
        <v/>
      </c>
      <c r="V103" s="111" t="str">
        <f>IF(A103="","",posicao_contratual!X103)</f>
        <v/>
      </c>
      <c r="W103" s="15"/>
      <c r="X103" s="15"/>
      <c r="Y103" s="15"/>
      <c r="Z103" s="15"/>
      <c r="AA103" s="15"/>
      <c r="AB103" s="110" t="str">
        <f>IF(OR(A103="",posicao_contratual!E103="",posicao_contratual!J103=""),"",ROUND(MAX(posicao_contratual!E103-posicao_contratual!J103,0),2))</f>
        <v/>
      </c>
      <c r="AC103" s="104" t="str">
        <f>IF(AND(A103="",A102&lt;&gt;"",COUNTIF(A104:$A$200,"&lt;&gt;")=0),ROUND(SUMIF($A$2:A102,"&lt;&gt;",$AC$2:AC102),2),IF(OR(AB103="",C103="",NOT(ISNUMBER($Z$2))),"",ROUND(AB103*C103*$Z$2,2)))</f>
        <v/>
      </c>
      <c r="AD103" s="180" t="str">
        <f>IF(A103="","",posicao_contratual!E103)</f>
        <v/>
      </c>
      <c r="AE103" s="180" t="str">
        <f>IF(A103="","",posicao_contratual!I103)</f>
        <v/>
      </c>
      <c r="AF103" s="180" t="str">
        <f>IF(A103="","",posicao_contratual!M103)</f>
        <v/>
      </c>
      <c r="AG103" s="180" t="str">
        <f>IF(A103="","",posicao_contratual!Q103)</f>
        <v/>
      </c>
      <c r="AH103" s="180" t="str">
        <f>IF(A103="","",posicao_contratual!U103)</f>
        <v/>
      </c>
      <c r="AI103" s="180" t="str">
        <f>IF(A103="","",posicao_contratual!G103)</f>
        <v/>
      </c>
      <c r="AJ103" s="180" t="str">
        <f>IF(A103="","",posicao_contratual!K103)</f>
        <v/>
      </c>
      <c r="AK103" s="180" t="str">
        <f>IF(A103="","",posicao_contratual!O103)</f>
        <v/>
      </c>
      <c r="AL103" s="180" t="str">
        <f>IF(A103="","",posicao_contratual!S103)</f>
        <v/>
      </c>
      <c r="AM103" s="180" t="str">
        <f>IF(A103="","",posicao_contratual!W103)</f>
        <v/>
      </c>
      <c r="AN103" s="181" t="str">
        <f>IF(A103="","",posicao_contratual!X103)</f>
        <v/>
      </c>
    </row>
    <row r="104" spans="1:40" x14ac:dyDescent="0.35">
      <c r="A104" s="106"/>
      <c r="B104" s="107"/>
      <c r="C104" s="108"/>
      <c r="D104" s="104" t="str">
        <f>IF(AND(A104="",A103&lt;&gt;"",COUNTIF(A105:$A$200,"&lt;&gt;")=0),ROUND(SUMIF($A$2:A103,"&lt;&gt;",$D$2:D103),2),IF(OR(A104="",B104="",C104=""),"",ROUND(B104*C104,2)))</f>
        <v/>
      </c>
      <c r="E104" s="109"/>
      <c r="F104" s="104" t="str">
        <f>IF(AND(A104="",A103&lt;&gt;"",COUNTIF(A105:$A$200,"&lt;&gt;")=0),ROUND(SUMIF($A$2:A103,"&lt;&gt;",$F$2:F103),2),IF(OR(A104="",posicao_contratual!K104="",C104="",NOT(ISNUMBER($Z$3))),"",ROUND(posicao_contratual!K104*C104*$Z$3,2)))</f>
        <v/>
      </c>
      <c r="G104" s="109"/>
      <c r="H104" s="104" t="str">
        <f>IF(AND(A104="",A103&lt;&gt;"",COUNTIF(A105:$A$200,"&lt;&gt;")=0),ROUND(SUMIF($A$2:A103,"&lt;&gt;",$H$2:H103),2),IF(OR(A104="",posicao_contratual!O104="",C104="",NOT(ISNUMBER($Z$4))),"",ROUND(posicao_contratual!O104*C104*$Z$4,2)))</f>
        <v/>
      </c>
      <c r="I104" s="109"/>
      <c r="J104" s="104" t="str">
        <f>IF(AND(A104="",A103&lt;&gt;"",COUNTIF(A105:$A$200,"&lt;&gt;")=0),ROUND(SUMIF($A$2:A103,"&lt;&gt;",$J$2:J103),2),IF(OR(A104="",posicao_contratual!S104="",C104="",NOT(ISNUMBER($Z$5))),"",ROUND(posicao_contratual!S104*C104*$Z$5,2)))</f>
        <v/>
      </c>
      <c r="K104" s="109"/>
      <c r="L104" s="104" t="str">
        <f>IF(AND(A104="",A103&lt;&gt;"",COUNTIF(A105:$A$200,"&lt;&gt;")=0),ROUND(SUMIF($A$2:A103,"&lt;&gt;",$L$2:L103),2),IF(OR(A104="",posicao_contratual!W104="",C104="",NOT(ISNUMBER($Z$6))),"",ROUND(posicao_contratual!W104*C104*$Z$6,2)))</f>
        <v/>
      </c>
      <c r="M104" s="110" t="str">
        <f>IF(OR(posicao_contratual!J104="",posicao_contratual!N104=""),"",ROUND(MAX(posicao_contratual!J104+posicao_contratual!H104-posicao_contratual!N104,0),2))</f>
        <v/>
      </c>
      <c r="N104" s="104" t="str">
        <f>IF(AND(A104="",A103&lt;&gt;"",COUNTIF(A105:$A$200,"&lt;&gt;")=0),ROUND(SUMIF($A$2:A103,"&lt;&gt;",$N$2:N103),2),IF(OR(M104="",C104="",NOT(ISNUMBER($Z$3))),"",ROUND(M104*C104*$Z$3,2)))</f>
        <v/>
      </c>
      <c r="O104" s="110" t="str">
        <f>IF(OR(posicao_contratual!N104="",posicao_contratual!R104=""),"",ROUND(MAX(posicao_contratual!N104+posicao_contratual!L104-posicao_contratual!R104,0),2))</f>
        <v/>
      </c>
      <c r="P104" s="104" t="str">
        <f>IF(AND(A104="",A103&lt;&gt;"",COUNTIF(A105:$A$200,"&lt;&gt;")=0),ROUND(SUMIF($A$2:A103,"&lt;&gt;",$P$2:P103),2),IF(OR(O104="",C104="",NOT(ISNUMBER($Z$4))),"",ROUND(O104*C104*$Z$4,2)))</f>
        <v/>
      </c>
      <c r="Q104" s="110" t="str">
        <f>IF(OR(posicao_contratual!R104="",posicao_contratual!V104=""),"",ROUND(MAX(posicao_contratual!R104+posicao_contratual!P104-posicao_contratual!V104,0),2))</f>
        <v/>
      </c>
      <c r="R104" s="104" t="str">
        <f>IF(AND(A104="",A103&lt;&gt;"",COUNTIF(A105:$A$200,"&lt;&gt;")=0),ROUND(SUMIF($A$2:A103,"&lt;&gt;",$R$2:R103),2),IF(OR(Q104="",C104="",NOT(ISNUMBER($Z$5))),"",ROUND(Q104*C104*$Z$5,2)))</f>
        <v/>
      </c>
      <c r="S104" s="58"/>
      <c r="T104" s="59"/>
      <c r="U104" s="111" t="str">
        <f>IF(AND(A104="",A103&lt;&gt;"",COUNTIF(A105:$A$200,"&lt;&gt;")=0),"TOTAL",IF(A104="","",posicao_contratual!X104))</f>
        <v/>
      </c>
      <c r="V104" s="111" t="str">
        <f>IF(A104="","",posicao_contratual!X104)</f>
        <v/>
      </c>
      <c r="W104" s="15"/>
      <c r="X104" s="15"/>
      <c r="Y104" s="15"/>
      <c r="Z104" s="15"/>
      <c r="AA104" s="15"/>
      <c r="AB104" s="110" t="str">
        <f>IF(OR(A104="",posicao_contratual!E104="",posicao_contratual!J104=""),"",ROUND(MAX(posicao_contratual!E104-posicao_contratual!J104,0),2))</f>
        <v/>
      </c>
      <c r="AC104" s="104" t="str">
        <f>IF(AND(A104="",A103&lt;&gt;"",COUNTIF(A105:$A$200,"&lt;&gt;")=0),ROUND(SUMIF($A$2:A103,"&lt;&gt;",$AC$2:AC103),2),IF(OR(AB104="",C104="",NOT(ISNUMBER($Z$2))),"",ROUND(AB104*C104*$Z$2,2)))</f>
        <v/>
      </c>
      <c r="AD104" s="180" t="str">
        <f>IF(A104="","",posicao_contratual!E104)</f>
        <v/>
      </c>
      <c r="AE104" s="180" t="str">
        <f>IF(A104="","",posicao_contratual!I104)</f>
        <v/>
      </c>
      <c r="AF104" s="180" t="str">
        <f>IF(A104="","",posicao_contratual!M104)</f>
        <v/>
      </c>
      <c r="AG104" s="180" t="str">
        <f>IF(A104="","",posicao_contratual!Q104)</f>
        <v/>
      </c>
      <c r="AH104" s="180" t="str">
        <f>IF(A104="","",posicao_contratual!U104)</f>
        <v/>
      </c>
      <c r="AI104" s="180" t="str">
        <f>IF(A104="","",posicao_contratual!G104)</f>
        <v/>
      </c>
      <c r="AJ104" s="180" t="str">
        <f>IF(A104="","",posicao_contratual!K104)</f>
        <v/>
      </c>
      <c r="AK104" s="180" t="str">
        <f>IF(A104="","",posicao_contratual!O104)</f>
        <v/>
      </c>
      <c r="AL104" s="180" t="str">
        <f>IF(A104="","",posicao_contratual!S104)</f>
        <v/>
      </c>
      <c r="AM104" s="180" t="str">
        <f>IF(A104="","",posicao_contratual!W104)</f>
        <v/>
      </c>
      <c r="AN104" s="181" t="str">
        <f>IF(A104="","",posicao_contratual!X104)</f>
        <v/>
      </c>
    </row>
    <row r="105" spans="1:40" x14ac:dyDescent="0.35">
      <c r="A105" s="106"/>
      <c r="B105" s="107"/>
      <c r="C105" s="108"/>
      <c r="D105" s="104" t="str">
        <f>IF(AND(A105="",A104&lt;&gt;"",COUNTIF(A106:$A$200,"&lt;&gt;")=0),ROUND(SUMIF($A$2:A104,"&lt;&gt;",$D$2:D104),2),IF(OR(A105="",B105="",C105=""),"",ROUND(B105*C105,2)))</f>
        <v/>
      </c>
      <c r="E105" s="109"/>
      <c r="F105" s="104" t="str">
        <f>IF(AND(A105="",A104&lt;&gt;"",COUNTIF(A106:$A$200,"&lt;&gt;")=0),ROUND(SUMIF($A$2:A104,"&lt;&gt;",$F$2:F104),2),IF(OR(A105="",posicao_contratual!K105="",C105="",NOT(ISNUMBER($Z$3))),"",ROUND(posicao_contratual!K105*C105*$Z$3,2)))</f>
        <v/>
      </c>
      <c r="G105" s="109"/>
      <c r="H105" s="104" t="str">
        <f>IF(AND(A105="",A104&lt;&gt;"",COUNTIF(A106:$A$200,"&lt;&gt;")=0),ROUND(SUMIF($A$2:A104,"&lt;&gt;",$H$2:H104),2),IF(OR(A105="",posicao_contratual!O105="",C105="",NOT(ISNUMBER($Z$4))),"",ROUND(posicao_contratual!O105*C105*$Z$4,2)))</f>
        <v/>
      </c>
      <c r="I105" s="109"/>
      <c r="J105" s="104" t="str">
        <f>IF(AND(A105="",A104&lt;&gt;"",COUNTIF(A106:$A$200,"&lt;&gt;")=0),ROUND(SUMIF($A$2:A104,"&lt;&gt;",$J$2:J104),2),IF(OR(A105="",posicao_contratual!S105="",C105="",NOT(ISNUMBER($Z$5))),"",ROUND(posicao_contratual!S105*C105*$Z$5,2)))</f>
        <v/>
      </c>
      <c r="K105" s="109"/>
      <c r="L105" s="104" t="str">
        <f>IF(AND(A105="",A104&lt;&gt;"",COUNTIF(A106:$A$200,"&lt;&gt;")=0),ROUND(SUMIF($A$2:A104,"&lt;&gt;",$L$2:L104),2),IF(OR(A105="",posicao_contratual!W105="",C105="",NOT(ISNUMBER($Z$6))),"",ROUND(posicao_contratual!W105*C105*$Z$6,2)))</f>
        <v/>
      </c>
      <c r="M105" s="110" t="str">
        <f>IF(OR(posicao_contratual!J105="",posicao_contratual!N105=""),"",ROUND(MAX(posicao_contratual!J105+posicao_contratual!H105-posicao_contratual!N105,0),2))</f>
        <v/>
      </c>
      <c r="N105" s="104" t="str">
        <f>IF(AND(A105="",A104&lt;&gt;"",COUNTIF(A106:$A$200,"&lt;&gt;")=0),ROUND(SUMIF($A$2:A104,"&lt;&gt;",$N$2:N104),2),IF(OR(M105="",C105="",NOT(ISNUMBER($Z$3))),"",ROUND(M105*C105*$Z$3,2)))</f>
        <v/>
      </c>
      <c r="O105" s="110" t="str">
        <f>IF(OR(posicao_contratual!N105="",posicao_contratual!R105=""),"",ROUND(MAX(posicao_contratual!N105+posicao_contratual!L105-posicao_contratual!R105,0),2))</f>
        <v/>
      </c>
      <c r="P105" s="104" t="str">
        <f>IF(AND(A105="",A104&lt;&gt;"",COUNTIF(A106:$A$200,"&lt;&gt;")=0),ROUND(SUMIF($A$2:A104,"&lt;&gt;",$P$2:P104),2),IF(OR(O105="",C105="",NOT(ISNUMBER($Z$4))),"",ROUND(O105*C105*$Z$4,2)))</f>
        <v/>
      </c>
      <c r="Q105" s="110" t="str">
        <f>IF(OR(posicao_contratual!R105="",posicao_contratual!V105=""),"",ROUND(MAX(posicao_contratual!R105+posicao_contratual!P105-posicao_contratual!V105,0),2))</f>
        <v/>
      </c>
      <c r="R105" s="104" t="str">
        <f>IF(AND(A105="",A104&lt;&gt;"",COUNTIF(A106:$A$200,"&lt;&gt;")=0),ROUND(SUMIF($A$2:A104,"&lt;&gt;",$R$2:R104),2),IF(OR(Q105="",C105="",NOT(ISNUMBER($Z$5))),"",ROUND(Q105*C105*$Z$5,2)))</f>
        <v/>
      </c>
      <c r="S105" s="58"/>
      <c r="T105" s="59"/>
      <c r="U105" s="111" t="str">
        <f>IF(AND(A105="",A104&lt;&gt;"",COUNTIF(A106:$A$200,"&lt;&gt;")=0),"TOTAL",IF(A105="","",posicao_contratual!X105))</f>
        <v/>
      </c>
      <c r="V105" s="111" t="str">
        <f>IF(A105="","",posicao_contratual!X105)</f>
        <v/>
      </c>
      <c r="W105" s="15"/>
      <c r="X105" s="15"/>
      <c r="Y105" s="15"/>
      <c r="Z105" s="15"/>
      <c r="AA105" s="15"/>
      <c r="AB105" s="110" t="str">
        <f>IF(OR(A105="",posicao_contratual!E105="",posicao_contratual!J105=""),"",ROUND(MAX(posicao_contratual!E105-posicao_contratual!J105,0),2))</f>
        <v/>
      </c>
      <c r="AC105" s="104" t="str">
        <f>IF(AND(A105="",A104&lt;&gt;"",COUNTIF(A106:$A$200,"&lt;&gt;")=0),ROUND(SUMIF($A$2:A104,"&lt;&gt;",$AC$2:AC104),2),IF(OR(AB105="",C105="",NOT(ISNUMBER($Z$2))),"",ROUND(AB105*C105*$Z$2,2)))</f>
        <v/>
      </c>
      <c r="AD105" s="180" t="str">
        <f>IF(A105="","",posicao_contratual!E105)</f>
        <v/>
      </c>
      <c r="AE105" s="180" t="str">
        <f>IF(A105="","",posicao_contratual!I105)</f>
        <v/>
      </c>
      <c r="AF105" s="180" t="str">
        <f>IF(A105="","",posicao_contratual!M105)</f>
        <v/>
      </c>
      <c r="AG105" s="180" t="str">
        <f>IF(A105="","",posicao_contratual!Q105)</f>
        <v/>
      </c>
      <c r="AH105" s="180" t="str">
        <f>IF(A105="","",posicao_contratual!U105)</f>
        <v/>
      </c>
      <c r="AI105" s="180" t="str">
        <f>IF(A105="","",posicao_contratual!G105)</f>
        <v/>
      </c>
      <c r="AJ105" s="180" t="str">
        <f>IF(A105="","",posicao_contratual!K105)</f>
        <v/>
      </c>
      <c r="AK105" s="180" t="str">
        <f>IF(A105="","",posicao_contratual!O105)</f>
        <v/>
      </c>
      <c r="AL105" s="180" t="str">
        <f>IF(A105="","",posicao_contratual!S105)</f>
        <v/>
      </c>
      <c r="AM105" s="180" t="str">
        <f>IF(A105="","",posicao_contratual!W105)</f>
        <v/>
      </c>
      <c r="AN105" s="181" t="str">
        <f>IF(A105="","",posicao_contratual!X105)</f>
        <v/>
      </c>
    </row>
    <row r="106" spans="1:40" x14ac:dyDescent="0.35">
      <c r="A106" s="106"/>
      <c r="B106" s="107"/>
      <c r="C106" s="108"/>
      <c r="D106" s="104" t="str">
        <f>IF(AND(A106="",A105&lt;&gt;"",COUNTIF(A107:$A$200,"&lt;&gt;")=0),ROUND(SUMIF($A$2:A105,"&lt;&gt;",$D$2:D105),2),IF(OR(A106="",B106="",C106=""),"",ROUND(B106*C106,2)))</f>
        <v/>
      </c>
      <c r="E106" s="109"/>
      <c r="F106" s="104" t="str">
        <f>IF(AND(A106="",A105&lt;&gt;"",COUNTIF(A107:$A$200,"&lt;&gt;")=0),ROUND(SUMIF($A$2:A105,"&lt;&gt;",$F$2:F105),2),IF(OR(A106="",posicao_contratual!K106="",C106="",NOT(ISNUMBER($Z$3))),"",ROUND(posicao_contratual!K106*C106*$Z$3,2)))</f>
        <v/>
      </c>
      <c r="G106" s="109"/>
      <c r="H106" s="104" t="str">
        <f>IF(AND(A106="",A105&lt;&gt;"",COUNTIF(A107:$A$200,"&lt;&gt;")=0),ROUND(SUMIF($A$2:A105,"&lt;&gt;",$H$2:H105),2),IF(OR(A106="",posicao_contratual!O106="",C106="",NOT(ISNUMBER($Z$4))),"",ROUND(posicao_contratual!O106*C106*$Z$4,2)))</f>
        <v/>
      </c>
      <c r="I106" s="109"/>
      <c r="J106" s="104" t="str">
        <f>IF(AND(A106="",A105&lt;&gt;"",COUNTIF(A107:$A$200,"&lt;&gt;")=0),ROUND(SUMIF($A$2:A105,"&lt;&gt;",$J$2:J105),2),IF(OR(A106="",posicao_contratual!S106="",C106="",NOT(ISNUMBER($Z$5))),"",ROUND(posicao_contratual!S106*C106*$Z$5,2)))</f>
        <v/>
      </c>
      <c r="K106" s="109"/>
      <c r="L106" s="104" t="str">
        <f>IF(AND(A106="",A105&lt;&gt;"",COUNTIF(A107:$A$200,"&lt;&gt;")=0),ROUND(SUMIF($A$2:A105,"&lt;&gt;",$L$2:L105),2),IF(OR(A106="",posicao_contratual!W106="",C106="",NOT(ISNUMBER($Z$6))),"",ROUND(posicao_contratual!W106*C106*$Z$6,2)))</f>
        <v/>
      </c>
      <c r="M106" s="110" t="str">
        <f>IF(OR(posicao_contratual!J106="",posicao_contratual!N106=""),"",ROUND(MAX(posicao_contratual!J106+posicao_contratual!H106-posicao_contratual!N106,0),2))</f>
        <v/>
      </c>
      <c r="N106" s="104" t="str">
        <f>IF(AND(A106="",A105&lt;&gt;"",COUNTIF(A107:$A$200,"&lt;&gt;")=0),ROUND(SUMIF($A$2:A105,"&lt;&gt;",$N$2:N105),2),IF(OR(M106="",C106="",NOT(ISNUMBER($Z$3))),"",ROUND(M106*C106*$Z$3,2)))</f>
        <v/>
      </c>
      <c r="O106" s="110" t="str">
        <f>IF(OR(posicao_contratual!N106="",posicao_contratual!R106=""),"",ROUND(MAX(posicao_contratual!N106+posicao_contratual!L106-posicao_contratual!R106,0),2))</f>
        <v/>
      </c>
      <c r="P106" s="104" t="str">
        <f>IF(AND(A106="",A105&lt;&gt;"",COUNTIF(A107:$A$200,"&lt;&gt;")=0),ROUND(SUMIF($A$2:A105,"&lt;&gt;",$P$2:P105),2),IF(OR(O106="",C106="",NOT(ISNUMBER($Z$4))),"",ROUND(O106*C106*$Z$4,2)))</f>
        <v/>
      </c>
      <c r="Q106" s="110" t="str">
        <f>IF(OR(posicao_contratual!R106="",posicao_contratual!V106=""),"",ROUND(MAX(posicao_contratual!R106+posicao_contratual!P106-posicao_contratual!V106,0),2))</f>
        <v/>
      </c>
      <c r="R106" s="104" t="str">
        <f>IF(AND(A106="",A105&lt;&gt;"",COUNTIF(A107:$A$200,"&lt;&gt;")=0),ROUND(SUMIF($A$2:A105,"&lt;&gt;",$R$2:R105),2),IF(OR(Q106="",C106="",NOT(ISNUMBER($Z$5))),"",ROUND(Q106*C106*$Z$5,2)))</f>
        <v/>
      </c>
      <c r="S106" s="58"/>
      <c r="T106" s="59"/>
      <c r="U106" s="111" t="str">
        <f>IF(AND(A106="",A105&lt;&gt;"",COUNTIF(A107:$A$200,"&lt;&gt;")=0),"TOTAL",IF(A106="","",posicao_contratual!X106))</f>
        <v/>
      </c>
      <c r="V106" s="111" t="str">
        <f>IF(A106="","",posicao_contratual!X106)</f>
        <v/>
      </c>
      <c r="W106" s="15"/>
      <c r="X106" s="15"/>
      <c r="Y106" s="15"/>
      <c r="Z106" s="15"/>
      <c r="AA106" s="15"/>
      <c r="AB106" s="110" t="str">
        <f>IF(OR(A106="",posicao_contratual!E106="",posicao_contratual!J106=""),"",ROUND(MAX(posicao_contratual!E106-posicao_contratual!J106,0),2))</f>
        <v/>
      </c>
      <c r="AC106" s="104" t="str">
        <f>IF(AND(A106="",A105&lt;&gt;"",COUNTIF(A107:$A$200,"&lt;&gt;")=0),ROUND(SUMIF($A$2:A105,"&lt;&gt;",$AC$2:AC105),2),IF(OR(AB106="",C106="",NOT(ISNUMBER($Z$2))),"",ROUND(AB106*C106*$Z$2,2)))</f>
        <v/>
      </c>
      <c r="AD106" s="180" t="str">
        <f>IF(A106="","",posicao_contratual!E106)</f>
        <v/>
      </c>
      <c r="AE106" s="180" t="str">
        <f>IF(A106="","",posicao_contratual!I106)</f>
        <v/>
      </c>
      <c r="AF106" s="180" t="str">
        <f>IF(A106="","",posicao_contratual!M106)</f>
        <v/>
      </c>
      <c r="AG106" s="180" t="str">
        <f>IF(A106="","",posicao_contratual!Q106)</f>
        <v/>
      </c>
      <c r="AH106" s="180" t="str">
        <f>IF(A106="","",posicao_contratual!U106)</f>
        <v/>
      </c>
      <c r="AI106" s="180" t="str">
        <f>IF(A106="","",posicao_contratual!G106)</f>
        <v/>
      </c>
      <c r="AJ106" s="180" t="str">
        <f>IF(A106="","",posicao_contratual!K106)</f>
        <v/>
      </c>
      <c r="AK106" s="180" t="str">
        <f>IF(A106="","",posicao_contratual!O106)</f>
        <v/>
      </c>
      <c r="AL106" s="180" t="str">
        <f>IF(A106="","",posicao_contratual!S106)</f>
        <v/>
      </c>
      <c r="AM106" s="180" t="str">
        <f>IF(A106="","",posicao_contratual!W106)</f>
        <v/>
      </c>
      <c r="AN106" s="181" t="str">
        <f>IF(A106="","",posicao_contratual!X106)</f>
        <v/>
      </c>
    </row>
    <row r="107" spans="1:40" x14ac:dyDescent="0.35">
      <c r="A107" s="106"/>
      <c r="B107" s="107"/>
      <c r="C107" s="108"/>
      <c r="D107" s="104" t="str">
        <f>IF(AND(A107="",A106&lt;&gt;"",COUNTIF(A108:$A$200,"&lt;&gt;")=0),ROUND(SUMIF($A$2:A106,"&lt;&gt;",$D$2:D106),2),IF(OR(A107="",B107="",C107=""),"",ROUND(B107*C107,2)))</f>
        <v/>
      </c>
      <c r="E107" s="109"/>
      <c r="F107" s="104" t="str">
        <f>IF(AND(A107="",A106&lt;&gt;"",COUNTIF(A108:$A$200,"&lt;&gt;")=0),ROUND(SUMIF($A$2:A106,"&lt;&gt;",$F$2:F106),2),IF(OR(A107="",posicao_contratual!K107="",C107="",NOT(ISNUMBER($Z$3))),"",ROUND(posicao_contratual!K107*C107*$Z$3,2)))</f>
        <v/>
      </c>
      <c r="G107" s="109"/>
      <c r="H107" s="104" t="str">
        <f>IF(AND(A107="",A106&lt;&gt;"",COUNTIF(A108:$A$200,"&lt;&gt;")=0),ROUND(SUMIF($A$2:A106,"&lt;&gt;",$H$2:H106),2),IF(OR(A107="",posicao_contratual!O107="",C107="",NOT(ISNUMBER($Z$4))),"",ROUND(posicao_contratual!O107*C107*$Z$4,2)))</f>
        <v/>
      </c>
      <c r="I107" s="109"/>
      <c r="J107" s="104" t="str">
        <f>IF(AND(A107="",A106&lt;&gt;"",COUNTIF(A108:$A$200,"&lt;&gt;")=0),ROUND(SUMIF($A$2:A106,"&lt;&gt;",$J$2:J106),2),IF(OR(A107="",posicao_contratual!S107="",C107="",NOT(ISNUMBER($Z$5))),"",ROUND(posicao_contratual!S107*C107*$Z$5,2)))</f>
        <v/>
      </c>
      <c r="K107" s="109"/>
      <c r="L107" s="104" t="str">
        <f>IF(AND(A107="",A106&lt;&gt;"",COUNTIF(A108:$A$200,"&lt;&gt;")=0),ROUND(SUMIF($A$2:A106,"&lt;&gt;",$L$2:L106),2),IF(OR(A107="",posicao_contratual!W107="",C107="",NOT(ISNUMBER($Z$6))),"",ROUND(posicao_contratual!W107*C107*$Z$6,2)))</f>
        <v/>
      </c>
      <c r="M107" s="110" t="str">
        <f>IF(OR(posicao_contratual!J107="",posicao_contratual!N107=""),"",ROUND(MAX(posicao_contratual!J107+posicao_contratual!H107-posicao_contratual!N107,0),2))</f>
        <v/>
      </c>
      <c r="N107" s="104" t="str">
        <f>IF(AND(A107="",A106&lt;&gt;"",COUNTIF(A108:$A$200,"&lt;&gt;")=0),ROUND(SUMIF($A$2:A106,"&lt;&gt;",$N$2:N106),2),IF(OR(M107="",C107="",NOT(ISNUMBER($Z$3))),"",ROUND(M107*C107*$Z$3,2)))</f>
        <v/>
      </c>
      <c r="O107" s="110" t="str">
        <f>IF(OR(posicao_contratual!N107="",posicao_contratual!R107=""),"",ROUND(MAX(posicao_contratual!N107+posicao_contratual!L107-posicao_contratual!R107,0),2))</f>
        <v/>
      </c>
      <c r="P107" s="104" t="str">
        <f>IF(AND(A107="",A106&lt;&gt;"",COUNTIF(A108:$A$200,"&lt;&gt;")=0),ROUND(SUMIF($A$2:A106,"&lt;&gt;",$P$2:P106),2),IF(OR(O107="",C107="",NOT(ISNUMBER($Z$4))),"",ROUND(O107*C107*$Z$4,2)))</f>
        <v/>
      </c>
      <c r="Q107" s="110" t="str">
        <f>IF(OR(posicao_contratual!R107="",posicao_contratual!V107=""),"",ROUND(MAX(posicao_contratual!R107+posicao_contratual!P107-posicao_contratual!V107,0),2))</f>
        <v/>
      </c>
      <c r="R107" s="104" t="str">
        <f>IF(AND(A107="",A106&lt;&gt;"",COUNTIF(A108:$A$200,"&lt;&gt;")=0),ROUND(SUMIF($A$2:A106,"&lt;&gt;",$R$2:R106),2),IF(OR(Q107="",C107="",NOT(ISNUMBER($Z$5))),"",ROUND(Q107*C107*$Z$5,2)))</f>
        <v/>
      </c>
      <c r="S107" s="58"/>
      <c r="T107" s="59"/>
      <c r="U107" s="111" t="str">
        <f>IF(AND(A107="",A106&lt;&gt;"",COUNTIF(A108:$A$200,"&lt;&gt;")=0),"TOTAL",IF(A107="","",posicao_contratual!X107))</f>
        <v/>
      </c>
      <c r="V107" s="111" t="str">
        <f>IF(A107="","",posicao_contratual!X107)</f>
        <v/>
      </c>
      <c r="W107" s="15"/>
      <c r="X107" s="15"/>
      <c r="Y107" s="15"/>
      <c r="Z107" s="15"/>
      <c r="AA107" s="15"/>
      <c r="AB107" s="110" t="str">
        <f>IF(OR(A107="",posicao_contratual!E107="",posicao_contratual!J107=""),"",ROUND(MAX(posicao_contratual!E107-posicao_contratual!J107,0),2))</f>
        <v/>
      </c>
      <c r="AC107" s="104" t="str">
        <f>IF(AND(A107="",A106&lt;&gt;"",COUNTIF(A108:$A$200,"&lt;&gt;")=0),ROUND(SUMIF($A$2:A106,"&lt;&gt;",$AC$2:AC106),2),IF(OR(AB107="",C107="",NOT(ISNUMBER($Z$2))),"",ROUND(AB107*C107*$Z$2,2)))</f>
        <v/>
      </c>
      <c r="AD107" s="180" t="str">
        <f>IF(A107="","",posicao_contratual!E107)</f>
        <v/>
      </c>
      <c r="AE107" s="180" t="str">
        <f>IF(A107="","",posicao_contratual!I107)</f>
        <v/>
      </c>
      <c r="AF107" s="180" t="str">
        <f>IF(A107="","",posicao_contratual!M107)</f>
        <v/>
      </c>
      <c r="AG107" s="180" t="str">
        <f>IF(A107="","",posicao_contratual!Q107)</f>
        <v/>
      </c>
      <c r="AH107" s="180" t="str">
        <f>IF(A107="","",posicao_contratual!U107)</f>
        <v/>
      </c>
      <c r="AI107" s="180" t="str">
        <f>IF(A107="","",posicao_contratual!G107)</f>
        <v/>
      </c>
      <c r="AJ107" s="180" t="str">
        <f>IF(A107="","",posicao_contratual!K107)</f>
        <v/>
      </c>
      <c r="AK107" s="180" t="str">
        <f>IF(A107="","",posicao_contratual!O107)</f>
        <v/>
      </c>
      <c r="AL107" s="180" t="str">
        <f>IF(A107="","",posicao_contratual!S107)</f>
        <v/>
      </c>
      <c r="AM107" s="180" t="str">
        <f>IF(A107="","",posicao_contratual!W107)</f>
        <v/>
      </c>
      <c r="AN107" s="181" t="str">
        <f>IF(A107="","",posicao_contratual!X107)</f>
        <v/>
      </c>
    </row>
    <row r="108" spans="1:40" x14ac:dyDescent="0.35">
      <c r="A108" s="106"/>
      <c r="B108" s="107"/>
      <c r="C108" s="108"/>
      <c r="D108" s="104" t="str">
        <f>IF(AND(A108="",A107&lt;&gt;"",COUNTIF(A109:$A$200,"&lt;&gt;")=0),ROUND(SUMIF($A$2:A107,"&lt;&gt;",$D$2:D107),2),IF(OR(A108="",B108="",C108=""),"",ROUND(B108*C108,2)))</f>
        <v/>
      </c>
      <c r="E108" s="109"/>
      <c r="F108" s="104" t="str">
        <f>IF(AND(A108="",A107&lt;&gt;"",COUNTIF(A109:$A$200,"&lt;&gt;")=0),ROUND(SUMIF($A$2:A107,"&lt;&gt;",$F$2:F107),2),IF(OR(A108="",posicao_contratual!K108="",C108="",NOT(ISNUMBER($Z$3))),"",ROUND(posicao_contratual!K108*C108*$Z$3,2)))</f>
        <v/>
      </c>
      <c r="G108" s="109"/>
      <c r="H108" s="104" t="str">
        <f>IF(AND(A108="",A107&lt;&gt;"",COUNTIF(A109:$A$200,"&lt;&gt;")=0),ROUND(SUMIF($A$2:A107,"&lt;&gt;",$H$2:H107),2),IF(OR(A108="",posicao_contratual!O108="",C108="",NOT(ISNUMBER($Z$4))),"",ROUND(posicao_contratual!O108*C108*$Z$4,2)))</f>
        <v/>
      </c>
      <c r="I108" s="109"/>
      <c r="J108" s="104" t="str">
        <f>IF(AND(A108="",A107&lt;&gt;"",COUNTIF(A109:$A$200,"&lt;&gt;")=0),ROUND(SUMIF($A$2:A107,"&lt;&gt;",$J$2:J107),2),IF(OR(A108="",posicao_contratual!S108="",C108="",NOT(ISNUMBER($Z$5))),"",ROUND(posicao_contratual!S108*C108*$Z$5,2)))</f>
        <v/>
      </c>
      <c r="K108" s="109"/>
      <c r="L108" s="104" t="str">
        <f>IF(AND(A108="",A107&lt;&gt;"",COUNTIF(A109:$A$200,"&lt;&gt;")=0),ROUND(SUMIF($A$2:A107,"&lt;&gt;",$L$2:L107),2),IF(OR(A108="",posicao_contratual!W108="",C108="",NOT(ISNUMBER($Z$6))),"",ROUND(posicao_contratual!W108*C108*$Z$6,2)))</f>
        <v/>
      </c>
      <c r="M108" s="110" t="str">
        <f>IF(OR(posicao_contratual!J108="",posicao_contratual!N108=""),"",ROUND(MAX(posicao_contratual!J108+posicao_contratual!H108-posicao_contratual!N108,0),2))</f>
        <v/>
      </c>
      <c r="N108" s="104" t="str">
        <f>IF(AND(A108="",A107&lt;&gt;"",COUNTIF(A109:$A$200,"&lt;&gt;")=0),ROUND(SUMIF($A$2:A107,"&lt;&gt;",$N$2:N107),2),IF(OR(M108="",C108="",NOT(ISNUMBER($Z$3))),"",ROUND(M108*C108*$Z$3,2)))</f>
        <v/>
      </c>
      <c r="O108" s="110" t="str">
        <f>IF(OR(posicao_contratual!N108="",posicao_contratual!R108=""),"",ROUND(MAX(posicao_contratual!N108+posicao_contratual!L108-posicao_contratual!R108,0),2))</f>
        <v/>
      </c>
      <c r="P108" s="104" t="str">
        <f>IF(AND(A108="",A107&lt;&gt;"",COUNTIF(A109:$A$200,"&lt;&gt;")=0),ROUND(SUMIF($A$2:A107,"&lt;&gt;",$P$2:P107),2),IF(OR(O108="",C108="",NOT(ISNUMBER($Z$4))),"",ROUND(O108*C108*$Z$4,2)))</f>
        <v/>
      </c>
      <c r="Q108" s="110" t="str">
        <f>IF(OR(posicao_contratual!R108="",posicao_contratual!V108=""),"",ROUND(MAX(posicao_contratual!R108+posicao_contratual!P108-posicao_contratual!V108,0),2))</f>
        <v/>
      </c>
      <c r="R108" s="104" t="str">
        <f>IF(AND(A108="",A107&lt;&gt;"",COUNTIF(A109:$A$200,"&lt;&gt;")=0),ROUND(SUMIF($A$2:A107,"&lt;&gt;",$R$2:R107),2),IF(OR(Q108="",C108="",NOT(ISNUMBER($Z$5))),"",ROUND(Q108*C108*$Z$5,2)))</f>
        <v/>
      </c>
      <c r="S108" s="58"/>
      <c r="T108" s="59"/>
      <c r="U108" s="111" t="str">
        <f>IF(AND(A108="",A107&lt;&gt;"",COUNTIF(A109:$A$200,"&lt;&gt;")=0),"TOTAL",IF(A108="","",posicao_contratual!X108))</f>
        <v/>
      </c>
      <c r="V108" s="111" t="str">
        <f>IF(A108="","",posicao_contratual!X108)</f>
        <v/>
      </c>
      <c r="W108" s="15"/>
      <c r="X108" s="15"/>
      <c r="Y108" s="15"/>
      <c r="Z108" s="15"/>
      <c r="AA108" s="15"/>
      <c r="AB108" s="110" t="str">
        <f>IF(OR(A108="",posicao_contratual!E108="",posicao_contratual!J108=""),"",ROUND(MAX(posicao_contratual!E108-posicao_contratual!J108,0),2))</f>
        <v/>
      </c>
      <c r="AC108" s="104" t="str">
        <f>IF(AND(A108="",A107&lt;&gt;"",COUNTIF(A109:$A$200,"&lt;&gt;")=0),ROUND(SUMIF($A$2:A107,"&lt;&gt;",$AC$2:AC107),2),IF(OR(AB108="",C108="",NOT(ISNUMBER($Z$2))),"",ROUND(AB108*C108*$Z$2,2)))</f>
        <v/>
      </c>
      <c r="AD108" s="180" t="str">
        <f>IF(A108="","",posicao_contratual!E108)</f>
        <v/>
      </c>
      <c r="AE108" s="180" t="str">
        <f>IF(A108="","",posicao_contratual!I108)</f>
        <v/>
      </c>
      <c r="AF108" s="180" t="str">
        <f>IF(A108="","",posicao_contratual!M108)</f>
        <v/>
      </c>
      <c r="AG108" s="180" t="str">
        <f>IF(A108="","",posicao_contratual!Q108)</f>
        <v/>
      </c>
      <c r="AH108" s="180" t="str">
        <f>IF(A108="","",posicao_contratual!U108)</f>
        <v/>
      </c>
      <c r="AI108" s="180" t="str">
        <f>IF(A108="","",posicao_contratual!G108)</f>
        <v/>
      </c>
      <c r="AJ108" s="180" t="str">
        <f>IF(A108="","",posicao_contratual!K108)</f>
        <v/>
      </c>
      <c r="AK108" s="180" t="str">
        <f>IF(A108="","",posicao_contratual!O108)</f>
        <v/>
      </c>
      <c r="AL108" s="180" t="str">
        <f>IF(A108="","",posicao_contratual!S108)</f>
        <v/>
      </c>
      <c r="AM108" s="180" t="str">
        <f>IF(A108="","",posicao_contratual!W108)</f>
        <v/>
      </c>
      <c r="AN108" s="181" t="str">
        <f>IF(A108="","",posicao_contratual!X108)</f>
        <v/>
      </c>
    </row>
    <row r="109" spans="1:40" x14ac:dyDescent="0.35">
      <c r="A109" s="106"/>
      <c r="B109" s="107"/>
      <c r="C109" s="108"/>
      <c r="D109" s="104" t="str">
        <f>IF(AND(A109="",A108&lt;&gt;"",COUNTIF(A110:$A$200,"&lt;&gt;")=0),ROUND(SUMIF($A$2:A108,"&lt;&gt;",$D$2:D108),2),IF(OR(A109="",B109="",C109=""),"",ROUND(B109*C109,2)))</f>
        <v/>
      </c>
      <c r="E109" s="109"/>
      <c r="F109" s="104" t="str">
        <f>IF(AND(A109="",A108&lt;&gt;"",COUNTIF(A110:$A$200,"&lt;&gt;")=0),ROUND(SUMIF($A$2:A108,"&lt;&gt;",$F$2:F108),2),IF(OR(A109="",posicao_contratual!K109="",C109="",NOT(ISNUMBER($Z$3))),"",ROUND(posicao_contratual!K109*C109*$Z$3,2)))</f>
        <v/>
      </c>
      <c r="G109" s="109"/>
      <c r="H109" s="104" t="str">
        <f>IF(AND(A109="",A108&lt;&gt;"",COUNTIF(A110:$A$200,"&lt;&gt;")=0),ROUND(SUMIF($A$2:A108,"&lt;&gt;",$H$2:H108),2),IF(OR(A109="",posicao_contratual!O109="",C109="",NOT(ISNUMBER($Z$4))),"",ROUND(posicao_contratual!O109*C109*$Z$4,2)))</f>
        <v/>
      </c>
      <c r="I109" s="109"/>
      <c r="J109" s="104" t="str">
        <f>IF(AND(A109="",A108&lt;&gt;"",COUNTIF(A110:$A$200,"&lt;&gt;")=0),ROUND(SUMIF($A$2:A108,"&lt;&gt;",$J$2:J108),2),IF(OR(A109="",posicao_contratual!S109="",C109="",NOT(ISNUMBER($Z$5))),"",ROUND(posicao_contratual!S109*C109*$Z$5,2)))</f>
        <v/>
      </c>
      <c r="K109" s="109"/>
      <c r="L109" s="104" t="str">
        <f>IF(AND(A109="",A108&lt;&gt;"",COUNTIF(A110:$A$200,"&lt;&gt;")=0),ROUND(SUMIF($A$2:A108,"&lt;&gt;",$L$2:L108),2),IF(OR(A109="",posicao_contratual!W109="",C109="",NOT(ISNUMBER($Z$6))),"",ROUND(posicao_contratual!W109*C109*$Z$6,2)))</f>
        <v/>
      </c>
      <c r="M109" s="110" t="str">
        <f>IF(OR(posicao_contratual!J109="",posicao_contratual!N109=""),"",ROUND(MAX(posicao_contratual!J109+posicao_contratual!H109-posicao_contratual!N109,0),2))</f>
        <v/>
      </c>
      <c r="N109" s="104" t="str">
        <f>IF(AND(A109="",A108&lt;&gt;"",COUNTIF(A110:$A$200,"&lt;&gt;")=0),ROUND(SUMIF($A$2:A108,"&lt;&gt;",$N$2:N108),2),IF(OR(M109="",C109="",NOT(ISNUMBER($Z$3))),"",ROUND(M109*C109*$Z$3,2)))</f>
        <v/>
      </c>
      <c r="O109" s="110" t="str">
        <f>IF(OR(posicao_contratual!N109="",posicao_contratual!R109=""),"",ROUND(MAX(posicao_contratual!N109+posicao_contratual!L109-posicao_contratual!R109,0),2))</f>
        <v/>
      </c>
      <c r="P109" s="104" t="str">
        <f>IF(AND(A109="",A108&lt;&gt;"",COUNTIF(A110:$A$200,"&lt;&gt;")=0),ROUND(SUMIF($A$2:A108,"&lt;&gt;",$P$2:P108),2),IF(OR(O109="",C109="",NOT(ISNUMBER($Z$4))),"",ROUND(O109*C109*$Z$4,2)))</f>
        <v/>
      </c>
      <c r="Q109" s="110" t="str">
        <f>IF(OR(posicao_contratual!R109="",posicao_contratual!V109=""),"",ROUND(MAX(posicao_contratual!R109+posicao_contratual!P109-posicao_contratual!V109,0),2))</f>
        <v/>
      </c>
      <c r="R109" s="104" t="str">
        <f>IF(AND(A109="",A108&lt;&gt;"",COUNTIF(A110:$A$200,"&lt;&gt;")=0),ROUND(SUMIF($A$2:A108,"&lt;&gt;",$R$2:R108),2),IF(OR(Q109="",C109="",NOT(ISNUMBER($Z$5))),"",ROUND(Q109*C109*$Z$5,2)))</f>
        <v/>
      </c>
      <c r="S109" s="58"/>
      <c r="T109" s="59"/>
      <c r="U109" s="111" t="str">
        <f>IF(AND(A109="",A108&lt;&gt;"",COUNTIF(A110:$A$200,"&lt;&gt;")=0),"TOTAL",IF(A109="","",posicao_contratual!X109))</f>
        <v/>
      </c>
      <c r="V109" s="111" t="str">
        <f>IF(A109="","",posicao_contratual!X109)</f>
        <v/>
      </c>
      <c r="W109" s="15"/>
      <c r="X109" s="15"/>
      <c r="Y109" s="15"/>
      <c r="Z109" s="15"/>
      <c r="AA109" s="15"/>
      <c r="AB109" s="110" t="str">
        <f>IF(OR(A109="",posicao_contratual!E109="",posicao_contratual!J109=""),"",ROUND(MAX(posicao_contratual!E109-posicao_contratual!J109,0),2))</f>
        <v/>
      </c>
      <c r="AC109" s="104" t="str">
        <f>IF(AND(A109="",A108&lt;&gt;"",COUNTIF(A110:$A$200,"&lt;&gt;")=0),ROUND(SUMIF($A$2:A108,"&lt;&gt;",$AC$2:AC108),2),IF(OR(AB109="",C109="",NOT(ISNUMBER($Z$2))),"",ROUND(AB109*C109*$Z$2,2)))</f>
        <v/>
      </c>
      <c r="AD109" s="180" t="str">
        <f>IF(A109="","",posicao_contratual!E109)</f>
        <v/>
      </c>
      <c r="AE109" s="180" t="str">
        <f>IF(A109="","",posicao_contratual!I109)</f>
        <v/>
      </c>
      <c r="AF109" s="180" t="str">
        <f>IF(A109="","",posicao_contratual!M109)</f>
        <v/>
      </c>
      <c r="AG109" s="180" t="str">
        <f>IF(A109="","",posicao_contratual!Q109)</f>
        <v/>
      </c>
      <c r="AH109" s="180" t="str">
        <f>IF(A109="","",posicao_contratual!U109)</f>
        <v/>
      </c>
      <c r="AI109" s="180" t="str">
        <f>IF(A109="","",posicao_contratual!G109)</f>
        <v/>
      </c>
      <c r="AJ109" s="180" t="str">
        <f>IF(A109="","",posicao_contratual!K109)</f>
        <v/>
      </c>
      <c r="AK109" s="180" t="str">
        <f>IF(A109="","",posicao_contratual!O109)</f>
        <v/>
      </c>
      <c r="AL109" s="180" t="str">
        <f>IF(A109="","",posicao_contratual!S109)</f>
        <v/>
      </c>
      <c r="AM109" s="180" t="str">
        <f>IF(A109="","",posicao_contratual!W109)</f>
        <v/>
      </c>
      <c r="AN109" s="181" t="str">
        <f>IF(A109="","",posicao_contratual!X109)</f>
        <v/>
      </c>
    </row>
    <row r="110" spans="1:40" x14ac:dyDescent="0.35">
      <c r="A110" s="106"/>
      <c r="B110" s="107"/>
      <c r="C110" s="108"/>
      <c r="D110" s="104" t="str">
        <f>IF(AND(A110="",A109&lt;&gt;"",COUNTIF(A111:$A$200,"&lt;&gt;")=0),ROUND(SUMIF($A$2:A109,"&lt;&gt;",$D$2:D109),2),IF(OR(A110="",B110="",C110=""),"",ROUND(B110*C110,2)))</f>
        <v/>
      </c>
      <c r="E110" s="109"/>
      <c r="F110" s="104" t="str">
        <f>IF(AND(A110="",A109&lt;&gt;"",COUNTIF(A111:$A$200,"&lt;&gt;")=0),ROUND(SUMIF($A$2:A109,"&lt;&gt;",$F$2:F109),2),IF(OR(A110="",posicao_contratual!K110="",C110="",NOT(ISNUMBER($Z$3))),"",ROUND(posicao_contratual!K110*C110*$Z$3,2)))</f>
        <v/>
      </c>
      <c r="G110" s="109"/>
      <c r="H110" s="104" t="str">
        <f>IF(AND(A110="",A109&lt;&gt;"",COUNTIF(A111:$A$200,"&lt;&gt;")=0),ROUND(SUMIF($A$2:A109,"&lt;&gt;",$H$2:H109),2),IF(OR(A110="",posicao_contratual!O110="",C110="",NOT(ISNUMBER($Z$4))),"",ROUND(posicao_contratual!O110*C110*$Z$4,2)))</f>
        <v/>
      </c>
      <c r="I110" s="109"/>
      <c r="J110" s="104" t="str">
        <f>IF(AND(A110="",A109&lt;&gt;"",COUNTIF(A111:$A$200,"&lt;&gt;")=0),ROUND(SUMIF($A$2:A109,"&lt;&gt;",$J$2:J109),2),IF(OR(A110="",posicao_contratual!S110="",C110="",NOT(ISNUMBER($Z$5))),"",ROUND(posicao_contratual!S110*C110*$Z$5,2)))</f>
        <v/>
      </c>
      <c r="K110" s="109"/>
      <c r="L110" s="104" t="str">
        <f>IF(AND(A110="",A109&lt;&gt;"",COUNTIF(A111:$A$200,"&lt;&gt;")=0),ROUND(SUMIF($A$2:A109,"&lt;&gt;",$L$2:L109),2),IF(OR(A110="",posicao_contratual!W110="",C110="",NOT(ISNUMBER($Z$6))),"",ROUND(posicao_contratual!W110*C110*$Z$6,2)))</f>
        <v/>
      </c>
      <c r="M110" s="110" t="str">
        <f>IF(OR(posicao_contratual!J110="",posicao_contratual!N110=""),"",ROUND(MAX(posicao_contratual!J110+posicao_contratual!H110-posicao_contratual!N110,0),2))</f>
        <v/>
      </c>
      <c r="N110" s="104" t="str">
        <f>IF(AND(A110="",A109&lt;&gt;"",COUNTIF(A111:$A$200,"&lt;&gt;")=0),ROUND(SUMIF($A$2:A109,"&lt;&gt;",$N$2:N109),2),IF(OR(M110="",C110="",NOT(ISNUMBER($Z$3))),"",ROUND(M110*C110*$Z$3,2)))</f>
        <v/>
      </c>
      <c r="O110" s="110" t="str">
        <f>IF(OR(posicao_contratual!N110="",posicao_contratual!R110=""),"",ROUND(MAX(posicao_contratual!N110+posicao_contratual!L110-posicao_contratual!R110,0),2))</f>
        <v/>
      </c>
      <c r="P110" s="104" t="str">
        <f>IF(AND(A110="",A109&lt;&gt;"",COUNTIF(A111:$A$200,"&lt;&gt;")=0),ROUND(SUMIF($A$2:A109,"&lt;&gt;",$P$2:P109),2),IF(OR(O110="",C110="",NOT(ISNUMBER($Z$4))),"",ROUND(O110*C110*$Z$4,2)))</f>
        <v/>
      </c>
      <c r="Q110" s="110" t="str">
        <f>IF(OR(posicao_contratual!R110="",posicao_contratual!V110=""),"",ROUND(MAX(posicao_contratual!R110+posicao_contratual!P110-posicao_contratual!V110,0),2))</f>
        <v/>
      </c>
      <c r="R110" s="104" t="str">
        <f>IF(AND(A110="",A109&lt;&gt;"",COUNTIF(A111:$A$200,"&lt;&gt;")=0),ROUND(SUMIF($A$2:A109,"&lt;&gt;",$R$2:R109),2),IF(OR(Q110="",C110="",NOT(ISNUMBER($Z$5))),"",ROUND(Q110*C110*$Z$5,2)))</f>
        <v/>
      </c>
      <c r="S110" s="58"/>
      <c r="T110" s="59"/>
      <c r="U110" s="111" t="str">
        <f>IF(AND(A110="",A109&lt;&gt;"",COUNTIF(A111:$A$200,"&lt;&gt;")=0),"TOTAL",IF(A110="","",posicao_contratual!X110))</f>
        <v/>
      </c>
      <c r="V110" s="111" t="str">
        <f>IF(A110="","",posicao_contratual!X110)</f>
        <v/>
      </c>
      <c r="W110" s="15"/>
      <c r="X110" s="15"/>
      <c r="Y110" s="15"/>
      <c r="Z110" s="15"/>
      <c r="AA110" s="15"/>
      <c r="AB110" s="110" t="str">
        <f>IF(OR(A110="",posicao_contratual!E110="",posicao_contratual!J110=""),"",ROUND(MAX(posicao_contratual!E110-posicao_contratual!J110,0),2))</f>
        <v/>
      </c>
      <c r="AC110" s="104" t="str">
        <f>IF(AND(A110="",A109&lt;&gt;"",COUNTIF(A111:$A$200,"&lt;&gt;")=0),ROUND(SUMIF($A$2:A109,"&lt;&gt;",$AC$2:AC109),2),IF(OR(AB110="",C110="",NOT(ISNUMBER($Z$2))),"",ROUND(AB110*C110*$Z$2,2)))</f>
        <v/>
      </c>
      <c r="AD110" s="180" t="str">
        <f>IF(A110="","",posicao_contratual!E110)</f>
        <v/>
      </c>
      <c r="AE110" s="180" t="str">
        <f>IF(A110="","",posicao_contratual!I110)</f>
        <v/>
      </c>
      <c r="AF110" s="180" t="str">
        <f>IF(A110="","",posicao_contratual!M110)</f>
        <v/>
      </c>
      <c r="AG110" s="180" t="str">
        <f>IF(A110="","",posicao_contratual!Q110)</f>
        <v/>
      </c>
      <c r="AH110" s="180" t="str">
        <f>IF(A110="","",posicao_contratual!U110)</f>
        <v/>
      </c>
      <c r="AI110" s="180" t="str">
        <f>IF(A110="","",posicao_contratual!G110)</f>
        <v/>
      </c>
      <c r="AJ110" s="180" t="str">
        <f>IF(A110="","",posicao_contratual!K110)</f>
        <v/>
      </c>
      <c r="AK110" s="180" t="str">
        <f>IF(A110="","",posicao_contratual!O110)</f>
        <v/>
      </c>
      <c r="AL110" s="180" t="str">
        <f>IF(A110="","",posicao_contratual!S110)</f>
        <v/>
      </c>
      <c r="AM110" s="180" t="str">
        <f>IF(A110="","",posicao_contratual!W110)</f>
        <v/>
      </c>
      <c r="AN110" s="181" t="str">
        <f>IF(A110="","",posicao_contratual!X110)</f>
        <v/>
      </c>
    </row>
    <row r="111" spans="1:40" x14ac:dyDescent="0.35">
      <c r="A111" s="106"/>
      <c r="B111" s="107"/>
      <c r="C111" s="108"/>
      <c r="D111" s="104" t="str">
        <f>IF(AND(A111="",A110&lt;&gt;"",COUNTIF(A112:$A$200,"&lt;&gt;")=0),ROUND(SUMIF($A$2:A110,"&lt;&gt;",$D$2:D110),2),IF(OR(A111="",B111="",C111=""),"",ROUND(B111*C111,2)))</f>
        <v/>
      </c>
      <c r="E111" s="109"/>
      <c r="F111" s="104" t="str">
        <f>IF(AND(A111="",A110&lt;&gt;"",COUNTIF(A112:$A$200,"&lt;&gt;")=0),ROUND(SUMIF($A$2:A110,"&lt;&gt;",$F$2:F110),2),IF(OR(A111="",posicao_contratual!K111="",C111="",NOT(ISNUMBER($Z$3))),"",ROUND(posicao_contratual!K111*C111*$Z$3,2)))</f>
        <v/>
      </c>
      <c r="G111" s="109"/>
      <c r="H111" s="104" t="str">
        <f>IF(AND(A111="",A110&lt;&gt;"",COUNTIF(A112:$A$200,"&lt;&gt;")=0),ROUND(SUMIF($A$2:A110,"&lt;&gt;",$H$2:H110),2),IF(OR(A111="",posicao_contratual!O111="",C111="",NOT(ISNUMBER($Z$4))),"",ROUND(posicao_contratual!O111*C111*$Z$4,2)))</f>
        <v/>
      </c>
      <c r="I111" s="109"/>
      <c r="J111" s="104" t="str">
        <f>IF(AND(A111="",A110&lt;&gt;"",COUNTIF(A112:$A$200,"&lt;&gt;")=0),ROUND(SUMIF($A$2:A110,"&lt;&gt;",$J$2:J110),2),IF(OR(A111="",posicao_contratual!S111="",C111="",NOT(ISNUMBER($Z$5))),"",ROUND(posicao_contratual!S111*C111*$Z$5,2)))</f>
        <v/>
      </c>
      <c r="K111" s="109"/>
      <c r="L111" s="104" t="str">
        <f>IF(AND(A111="",A110&lt;&gt;"",COUNTIF(A112:$A$200,"&lt;&gt;")=0),ROUND(SUMIF($A$2:A110,"&lt;&gt;",$L$2:L110),2),IF(OR(A111="",posicao_contratual!W111="",C111="",NOT(ISNUMBER($Z$6))),"",ROUND(posicao_contratual!W111*C111*$Z$6,2)))</f>
        <v/>
      </c>
      <c r="M111" s="110" t="str">
        <f>IF(OR(posicao_contratual!J111="",posicao_contratual!N111=""),"",ROUND(MAX(posicao_contratual!J111+posicao_contratual!H111-posicao_contratual!N111,0),2))</f>
        <v/>
      </c>
      <c r="N111" s="104" t="str">
        <f>IF(AND(A111="",A110&lt;&gt;"",COUNTIF(A112:$A$200,"&lt;&gt;")=0),ROUND(SUMIF($A$2:A110,"&lt;&gt;",$N$2:N110),2),IF(OR(M111="",C111="",NOT(ISNUMBER($Z$3))),"",ROUND(M111*C111*$Z$3,2)))</f>
        <v/>
      </c>
      <c r="O111" s="110" t="str">
        <f>IF(OR(posicao_contratual!N111="",posicao_contratual!R111=""),"",ROUND(MAX(posicao_contratual!N111+posicao_contratual!L111-posicao_contratual!R111,0),2))</f>
        <v/>
      </c>
      <c r="P111" s="104" t="str">
        <f>IF(AND(A111="",A110&lt;&gt;"",COUNTIF(A112:$A$200,"&lt;&gt;")=0),ROUND(SUMIF($A$2:A110,"&lt;&gt;",$P$2:P110),2),IF(OR(O111="",C111="",NOT(ISNUMBER($Z$4))),"",ROUND(O111*C111*$Z$4,2)))</f>
        <v/>
      </c>
      <c r="Q111" s="110" t="str">
        <f>IF(OR(posicao_contratual!R111="",posicao_contratual!V111=""),"",ROUND(MAX(posicao_contratual!R111+posicao_contratual!P111-posicao_contratual!V111,0),2))</f>
        <v/>
      </c>
      <c r="R111" s="104" t="str">
        <f>IF(AND(A111="",A110&lt;&gt;"",COUNTIF(A112:$A$200,"&lt;&gt;")=0),ROUND(SUMIF($A$2:A110,"&lt;&gt;",$R$2:R110),2),IF(OR(Q111="",C111="",NOT(ISNUMBER($Z$5))),"",ROUND(Q111*C111*$Z$5,2)))</f>
        <v/>
      </c>
      <c r="S111" s="58"/>
      <c r="T111" s="59"/>
      <c r="U111" s="111" t="str">
        <f>IF(AND(A111="",A110&lt;&gt;"",COUNTIF(A112:$A$200,"&lt;&gt;")=0),"TOTAL",IF(A111="","",posicao_contratual!X111))</f>
        <v/>
      </c>
      <c r="V111" s="111" t="str">
        <f>IF(A111="","",posicao_contratual!X111)</f>
        <v/>
      </c>
      <c r="W111" s="15"/>
      <c r="X111" s="15"/>
      <c r="Y111" s="15"/>
      <c r="Z111" s="15"/>
      <c r="AA111" s="15"/>
      <c r="AB111" s="110" t="str">
        <f>IF(OR(A111="",posicao_contratual!E111="",posicao_contratual!J111=""),"",ROUND(MAX(posicao_contratual!E111-posicao_contratual!J111,0),2))</f>
        <v/>
      </c>
      <c r="AC111" s="104" t="str">
        <f>IF(AND(A111="",A110&lt;&gt;"",COUNTIF(A112:$A$200,"&lt;&gt;")=0),ROUND(SUMIF($A$2:A110,"&lt;&gt;",$AC$2:AC110),2),IF(OR(AB111="",C111="",NOT(ISNUMBER($Z$2))),"",ROUND(AB111*C111*$Z$2,2)))</f>
        <v/>
      </c>
      <c r="AD111" s="180" t="str">
        <f>IF(A111="","",posicao_contratual!E111)</f>
        <v/>
      </c>
      <c r="AE111" s="180" t="str">
        <f>IF(A111="","",posicao_contratual!I111)</f>
        <v/>
      </c>
      <c r="AF111" s="180" t="str">
        <f>IF(A111="","",posicao_contratual!M111)</f>
        <v/>
      </c>
      <c r="AG111" s="180" t="str">
        <f>IF(A111="","",posicao_contratual!Q111)</f>
        <v/>
      </c>
      <c r="AH111" s="180" t="str">
        <f>IF(A111="","",posicao_contratual!U111)</f>
        <v/>
      </c>
      <c r="AI111" s="180" t="str">
        <f>IF(A111="","",posicao_contratual!G111)</f>
        <v/>
      </c>
      <c r="AJ111" s="180" t="str">
        <f>IF(A111="","",posicao_contratual!K111)</f>
        <v/>
      </c>
      <c r="AK111" s="180" t="str">
        <f>IF(A111="","",posicao_contratual!O111)</f>
        <v/>
      </c>
      <c r="AL111" s="180" t="str">
        <f>IF(A111="","",posicao_contratual!S111)</f>
        <v/>
      </c>
      <c r="AM111" s="180" t="str">
        <f>IF(A111="","",posicao_contratual!W111)</f>
        <v/>
      </c>
      <c r="AN111" s="181" t="str">
        <f>IF(A111="","",posicao_contratual!X111)</f>
        <v/>
      </c>
    </row>
    <row r="112" spans="1:40" x14ac:dyDescent="0.35">
      <c r="A112" s="106"/>
      <c r="B112" s="107"/>
      <c r="C112" s="108"/>
      <c r="D112" s="104" t="str">
        <f>IF(AND(A112="",A111&lt;&gt;"",COUNTIF(A113:$A$200,"&lt;&gt;")=0),ROUND(SUMIF($A$2:A111,"&lt;&gt;",$D$2:D111),2),IF(OR(A112="",B112="",C112=""),"",ROUND(B112*C112,2)))</f>
        <v/>
      </c>
      <c r="E112" s="109"/>
      <c r="F112" s="104" t="str">
        <f>IF(AND(A112="",A111&lt;&gt;"",COUNTIF(A113:$A$200,"&lt;&gt;")=0),ROUND(SUMIF($A$2:A111,"&lt;&gt;",$F$2:F111),2),IF(OR(A112="",posicao_contratual!K112="",C112="",NOT(ISNUMBER($Z$3))),"",ROUND(posicao_contratual!K112*C112*$Z$3,2)))</f>
        <v/>
      </c>
      <c r="G112" s="109"/>
      <c r="H112" s="104" t="str">
        <f>IF(AND(A112="",A111&lt;&gt;"",COUNTIF(A113:$A$200,"&lt;&gt;")=0),ROUND(SUMIF($A$2:A111,"&lt;&gt;",$H$2:H111),2),IF(OR(A112="",posicao_contratual!O112="",C112="",NOT(ISNUMBER($Z$4))),"",ROUND(posicao_contratual!O112*C112*$Z$4,2)))</f>
        <v/>
      </c>
      <c r="I112" s="109"/>
      <c r="J112" s="104" t="str">
        <f>IF(AND(A112="",A111&lt;&gt;"",COUNTIF(A113:$A$200,"&lt;&gt;")=0),ROUND(SUMIF($A$2:A111,"&lt;&gt;",$J$2:J111),2),IF(OR(A112="",posicao_contratual!S112="",C112="",NOT(ISNUMBER($Z$5))),"",ROUND(posicao_contratual!S112*C112*$Z$5,2)))</f>
        <v/>
      </c>
      <c r="K112" s="109"/>
      <c r="L112" s="104" t="str">
        <f>IF(AND(A112="",A111&lt;&gt;"",COUNTIF(A113:$A$200,"&lt;&gt;")=0),ROUND(SUMIF($A$2:A111,"&lt;&gt;",$L$2:L111),2),IF(OR(A112="",posicao_contratual!W112="",C112="",NOT(ISNUMBER($Z$6))),"",ROUND(posicao_contratual!W112*C112*$Z$6,2)))</f>
        <v/>
      </c>
      <c r="M112" s="110" t="str">
        <f>IF(OR(posicao_contratual!J112="",posicao_contratual!N112=""),"",ROUND(MAX(posicao_contratual!J112+posicao_contratual!H112-posicao_contratual!N112,0),2))</f>
        <v/>
      </c>
      <c r="N112" s="104" t="str">
        <f>IF(AND(A112="",A111&lt;&gt;"",COUNTIF(A113:$A$200,"&lt;&gt;")=0),ROUND(SUMIF($A$2:A111,"&lt;&gt;",$N$2:N111),2),IF(OR(M112="",C112="",NOT(ISNUMBER($Z$3))),"",ROUND(M112*C112*$Z$3,2)))</f>
        <v/>
      </c>
      <c r="O112" s="110" t="str">
        <f>IF(OR(posicao_contratual!N112="",posicao_contratual!R112=""),"",ROUND(MAX(posicao_contratual!N112+posicao_contratual!L112-posicao_contratual!R112,0),2))</f>
        <v/>
      </c>
      <c r="P112" s="104" t="str">
        <f>IF(AND(A112="",A111&lt;&gt;"",COUNTIF(A113:$A$200,"&lt;&gt;")=0),ROUND(SUMIF($A$2:A111,"&lt;&gt;",$P$2:P111),2),IF(OR(O112="",C112="",NOT(ISNUMBER($Z$4))),"",ROUND(O112*C112*$Z$4,2)))</f>
        <v/>
      </c>
      <c r="Q112" s="110" t="str">
        <f>IF(OR(posicao_contratual!R112="",posicao_contratual!V112=""),"",ROUND(MAX(posicao_contratual!R112+posicao_contratual!P112-posicao_contratual!V112,0),2))</f>
        <v/>
      </c>
      <c r="R112" s="104" t="str">
        <f>IF(AND(A112="",A111&lt;&gt;"",COUNTIF(A113:$A$200,"&lt;&gt;")=0),ROUND(SUMIF($A$2:A111,"&lt;&gt;",$R$2:R111),2),IF(OR(Q112="",C112="",NOT(ISNUMBER($Z$5))),"",ROUND(Q112*C112*$Z$5,2)))</f>
        <v/>
      </c>
      <c r="S112" s="58"/>
      <c r="T112" s="59"/>
      <c r="U112" s="111" t="str">
        <f>IF(AND(A112="",A111&lt;&gt;"",COUNTIF(A113:$A$200,"&lt;&gt;")=0),"TOTAL",IF(A112="","",posicao_contratual!X112))</f>
        <v/>
      </c>
      <c r="V112" s="111" t="str">
        <f>IF(A112="","",posicao_contratual!X112)</f>
        <v/>
      </c>
      <c r="W112" s="15"/>
      <c r="X112" s="15"/>
      <c r="Y112" s="15"/>
      <c r="Z112" s="15"/>
      <c r="AA112" s="15"/>
      <c r="AB112" s="110" t="str">
        <f>IF(OR(A112="",posicao_contratual!E112="",posicao_contratual!J112=""),"",ROUND(MAX(posicao_contratual!E112-posicao_contratual!J112,0),2))</f>
        <v/>
      </c>
      <c r="AC112" s="104" t="str">
        <f>IF(AND(A112="",A111&lt;&gt;"",COUNTIF(A113:$A$200,"&lt;&gt;")=0),ROUND(SUMIF($A$2:A111,"&lt;&gt;",$AC$2:AC111),2),IF(OR(AB112="",C112="",NOT(ISNUMBER($Z$2))),"",ROUND(AB112*C112*$Z$2,2)))</f>
        <v/>
      </c>
      <c r="AD112" s="180" t="str">
        <f>IF(A112="","",posicao_contratual!E112)</f>
        <v/>
      </c>
      <c r="AE112" s="180" t="str">
        <f>IF(A112="","",posicao_contratual!I112)</f>
        <v/>
      </c>
      <c r="AF112" s="180" t="str">
        <f>IF(A112="","",posicao_contratual!M112)</f>
        <v/>
      </c>
      <c r="AG112" s="180" t="str">
        <f>IF(A112="","",posicao_contratual!Q112)</f>
        <v/>
      </c>
      <c r="AH112" s="180" t="str">
        <f>IF(A112="","",posicao_contratual!U112)</f>
        <v/>
      </c>
      <c r="AI112" s="180" t="str">
        <f>IF(A112="","",posicao_contratual!G112)</f>
        <v/>
      </c>
      <c r="AJ112" s="180" t="str">
        <f>IF(A112="","",posicao_contratual!K112)</f>
        <v/>
      </c>
      <c r="AK112" s="180" t="str">
        <f>IF(A112="","",posicao_contratual!O112)</f>
        <v/>
      </c>
      <c r="AL112" s="180" t="str">
        <f>IF(A112="","",posicao_contratual!S112)</f>
        <v/>
      </c>
      <c r="AM112" s="180" t="str">
        <f>IF(A112="","",posicao_contratual!W112)</f>
        <v/>
      </c>
      <c r="AN112" s="181" t="str">
        <f>IF(A112="","",posicao_contratual!X112)</f>
        <v/>
      </c>
    </row>
    <row r="113" spans="1:40" x14ac:dyDescent="0.35">
      <c r="A113" s="106"/>
      <c r="B113" s="107"/>
      <c r="C113" s="108"/>
      <c r="D113" s="104" t="str">
        <f>IF(AND(A113="",A112&lt;&gt;"",COUNTIF(A114:$A$200,"&lt;&gt;")=0),ROUND(SUMIF($A$2:A112,"&lt;&gt;",$D$2:D112),2),IF(OR(A113="",B113="",C113=""),"",ROUND(B113*C113,2)))</f>
        <v/>
      </c>
      <c r="E113" s="109"/>
      <c r="F113" s="104" t="str">
        <f>IF(AND(A113="",A112&lt;&gt;"",COUNTIF(A114:$A$200,"&lt;&gt;")=0),ROUND(SUMIF($A$2:A112,"&lt;&gt;",$F$2:F112),2),IF(OR(A113="",posicao_contratual!K113="",C113="",NOT(ISNUMBER($Z$3))),"",ROUND(posicao_contratual!K113*C113*$Z$3,2)))</f>
        <v/>
      </c>
      <c r="G113" s="109"/>
      <c r="H113" s="104" t="str">
        <f>IF(AND(A113="",A112&lt;&gt;"",COUNTIF(A114:$A$200,"&lt;&gt;")=0),ROUND(SUMIF($A$2:A112,"&lt;&gt;",$H$2:H112),2),IF(OR(A113="",posicao_contratual!O113="",C113="",NOT(ISNUMBER($Z$4))),"",ROUND(posicao_contratual!O113*C113*$Z$4,2)))</f>
        <v/>
      </c>
      <c r="I113" s="109"/>
      <c r="J113" s="104" t="str">
        <f>IF(AND(A113="",A112&lt;&gt;"",COUNTIF(A114:$A$200,"&lt;&gt;")=0),ROUND(SUMIF($A$2:A112,"&lt;&gt;",$J$2:J112),2),IF(OR(A113="",posicao_contratual!S113="",C113="",NOT(ISNUMBER($Z$5))),"",ROUND(posicao_contratual!S113*C113*$Z$5,2)))</f>
        <v/>
      </c>
      <c r="K113" s="109"/>
      <c r="L113" s="104" t="str">
        <f>IF(AND(A113="",A112&lt;&gt;"",COUNTIF(A114:$A$200,"&lt;&gt;")=0),ROUND(SUMIF($A$2:A112,"&lt;&gt;",$L$2:L112),2),IF(OR(A113="",posicao_contratual!W113="",C113="",NOT(ISNUMBER($Z$6))),"",ROUND(posicao_contratual!W113*C113*$Z$6,2)))</f>
        <v/>
      </c>
      <c r="M113" s="110" t="str">
        <f>IF(OR(posicao_contratual!J113="",posicao_contratual!N113=""),"",ROUND(MAX(posicao_contratual!J113+posicao_contratual!H113-posicao_contratual!N113,0),2))</f>
        <v/>
      </c>
      <c r="N113" s="104" t="str">
        <f>IF(AND(A113="",A112&lt;&gt;"",COUNTIF(A114:$A$200,"&lt;&gt;")=0),ROUND(SUMIF($A$2:A112,"&lt;&gt;",$N$2:N112),2),IF(OR(M113="",C113="",NOT(ISNUMBER($Z$3))),"",ROUND(M113*C113*$Z$3,2)))</f>
        <v/>
      </c>
      <c r="O113" s="110" t="str">
        <f>IF(OR(posicao_contratual!N113="",posicao_contratual!R113=""),"",ROUND(MAX(posicao_contratual!N113+posicao_contratual!L113-posicao_contratual!R113,0),2))</f>
        <v/>
      </c>
      <c r="P113" s="104" t="str">
        <f>IF(AND(A113="",A112&lt;&gt;"",COUNTIF(A114:$A$200,"&lt;&gt;")=0),ROUND(SUMIF($A$2:A112,"&lt;&gt;",$P$2:P112),2),IF(OR(O113="",C113="",NOT(ISNUMBER($Z$4))),"",ROUND(O113*C113*$Z$4,2)))</f>
        <v/>
      </c>
      <c r="Q113" s="110" t="str">
        <f>IF(OR(posicao_contratual!R113="",posicao_contratual!V113=""),"",ROUND(MAX(posicao_contratual!R113+posicao_contratual!P113-posicao_contratual!V113,0),2))</f>
        <v/>
      </c>
      <c r="R113" s="104" t="str">
        <f>IF(AND(A113="",A112&lt;&gt;"",COUNTIF(A114:$A$200,"&lt;&gt;")=0),ROUND(SUMIF($A$2:A112,"&lt;&gt;",$R$2:R112),2),IF(OR(Q113="",C113="",NOT(ISNUMBER($Z$5))),"",ROUND(Q113*C113*$Z$5,2)))</f>
        <v/>
      </c>
      <c r="S113" s="58"/>
      <c r="T113" s="59"/>
      <c r="U113" s="111" t="str">
        <f>IF(AND(A113="",A112&lt;&gt;"",COUNTIF(A114:$A$200,"&lt;&gt;")=0),"TOTAL",IF(A113="","",posicao_contratual!X113))</f>
        <v/>
      </c>
      <c r="V113" s="111" t="str">
        <f>IF(A113="","",posicao_contratual!X113)</f>
        <v/>
      </c>
      <c r="W113" s="15"/>
      <c r="X113" s="15"/>
      <c r="Y113" s="15"/>
      <c r="Z113" s="15"/>
      <c r="AA113" s="15"/>
      <c r="AB113" s="110" t="str">
        <f>IF(OR(A113="",posicao_contratual!E113="",posicao_contratual!J113=""),"",ROUND(MAX(posicao_contratual!E113-posicao_contratual!J113,0),2))</f>
        <v/>
      </c>
      <c r="AC113" s="104" t="str">
        <f>IF(AND(A113="",A112&lt;&gt;"",COUNTIF(A114:$A$200,"&lt;&gt;")=0),ROUND(SUMIF($A$2:A112,"&lt;&gt;",$AC$2:AC112),2),IF(OR(AB113="",C113="",NOT(ISNUMBER($Z$2))),"",ROUND(AB113*C113*$Z$2,2)))</f>
        <v/>
      </c>
      <c r="AD113" s="180" t="str">
        <f>IF(A113="","",posicao_contratual!E113)</f>
        <v/>
      </c>
      <c r="AE113" s="180" t="str">
        <f>IF(A113="","",posicao_contratual!I113)</f>
        <v/>
      </c>
      <c r="AF113" s="180" t="str">
        <f>IF(A113="","",posicao_contratual!M113)</f>
        <v/>
      </c>
      <c r="AG113" s="180" t="str">
        <f>IF(A113="","",posicao_contratual!Q113)</f>
        <v/>
      </c>
      <c r="AH113" s="180" t="str">
        <f>IF(A113="","",posicao_contratual!U113)</f>
        <v/>
      </c>
      <c r="AI113" s="180" t="str">
        <f>IF(A113="","",posicao_contratual!G113)</f>
        <v/>
      </c>
      <c r="AJ113" s="180" t="str">
        <f>IF(A113="","",posicao_contratual!K113)</f>
        <v/>
      </c>
      <c r="AK113" s="180" t="str">
        <f>IF(A113="","",posicao_contratual!O113)</f>
        <v/>
      </c>
      <c r="AL113" s="180" t="str">
        <f>IF(A113="","",posicao_contratual!S113)</f>
        <v/>
      </c>
      <c r="AM113" s="180" t="str">
        <f>IF(A113="","",posicao_contratual!W113)</f>
        <v/>
      </c>
      <c r="AN113" s="181" t="str">
        <f>IF(A113="","",posicao_contratual!X113)</f>
        <v/>
      </c>
    </row>
    <row r="114" spans="1:40" x14ac:dyDescent="0.35">
      <c r="A114" s="106"/>
      <c r="B114" s="107"/>
      <c r="C114" s="108"/>
      <c r="D114" s="104" t="str">
        <f>IF(AND(A114="",A113&lt;&gt;"",COUNTIF(A115:$A$200,"&lt;&gt;")=0),ROUND(SUMIF($A$2:A113,"&lt;&gt;",$D$2:D113),2),IF(OR(A114="",B114="",C114=""),"",ROUND(B114*C114,2)))</f>
        <v/>
      </c>
      <c r="E114" s="109"/>
      <c r="F114" s="104" t="str">
        <f>IF(AND(A114="",A113&lt;&gt;"",COUNTIF(A115:$A$200,"&lt;&gt;")=0),ROUND(SUMIF($A$2:A113,"&lt;&gt;",$F$2:F113),2),IF(OR(A114="",posicao_contratual!K114="",C114="",NOT(ISNUMBER($Z$3))),"",ROUND(posicao_contratual!K114*C114*$Z$3,2)))</f>
        <v/>
      </c>
      <c r="G114" s="109"/>
      <c r="H114" s="104" t="str">
        <f>IF(AND(A114="",A113&lt;&gt;"",COUNTIF(A115:$A$200,"&lt;&gt;")=0),ROUND(SUMIF($A$2:A113,"&lt;&gt;",$H$2:H113),2),IF(OR(A114="",posicao_contratual!O114="",C114="",NOT(ISNUMBER($Z$4))),"",ROUND(posicao_contratual!O114*C114*$Z$4,2)))</f>
        <v/>
      </c>
      <c r="I114" s="109"/>
      <c r="J114" s="104" t="str">
        <f>IF(AND(A114="",A113&lt;&gt;"",COUNTIF(A115:$A$200,"&lt;&gt;")=0),ROUND(SUMIF($A$2:A113,"&lt;&gt;",$J$2:J113),2),IF(OR(A114="",posicao_contratual!S114="",C114="",NOT(ISNUMBER($Z$5))),"",ROUND(posicao_contratual!S114*C114*$Z$5,2)))</f>
        <v/>
      </c>
      <c r="K114" s="109"/>
      <c r="L114" s="104" t="str">
        <f>IF(AND(A114="",A113&lt;&gt;"",COUNTIF(A115:$A$200,"&lt;&gt;")=0),ROUND(SUMIF($A$2:A113,"&lt;&gt;",$L$2:L113),2),IF(OR(A114="",posicao_contratual!W114="",C114="",NOT(ISNUMBER($Z$6))),"",ROUND(posicao_contratual!W114*C114*$Z$6,2)))</f>
        <v/>
      </c>
      <c r="M114" s="110" t="str">
        <f>IF(OR(posicao_contratual!J114="",posicao_contratual!N114=""),"",ROUND(MAX(posicao_contratual!J114+posicao_contratual!H114-posicao_contratual!N114,0),2))</f>
        <v/>
      </c>
      <c r="N114" s="104" t="str">
        <f>IF(AND(A114="",A113&lt;&gt;"",COUNTIF(A115:$A$200,"&lt;&gt;")=0),ROUND(SUMIF($A$2:A113,"&lt;&gt;",$N$2:N113),2),IF(OR(M114="",C114="",NOT(ISNUMBER($Z$3))),"",ROUND(M114*C114*$Z$3,2)))</f>
        <v/>
      </c>
      <c r="O114" s="110" t="str">
        <f>IF(OR(posicao_contratual!N114="",posicao_contratual!R114=""),"",ROUND(MAX(posicao_contratual!N114+posicao_contratual!L114-posicao_contratual!R114,0),2))</f>
        <v/>
      </c>
      <c r="P114" s="104" t="str">
        <f>IF(AND(A114="",A113&lt;&gt;"",COUNTIF(A115:$A$200,"&lt;&gt;")=0),ROUND(SUMIF($A$2:A113,"&lt;&gt;",$P$2:P113),2),IF(OR(O114="",C114="",NOT(ISNUMBER($Z$4))),"",ROUND(O114*C114*$Z$4,2)))</f>
        <v/>
      </c>
      <c r="Q114" s="110" t="str">
        <f>IF(OR(posicao_contratual!R114="",posicao_contratual!V114=""),"",ROUND(MAX(posicao_contratual!R114+posicao_contratual!P114-posicao_contratual!V114,0),2))</f>
        <v/>
      </c>
      <c r="R114" s="104" t="str">
        <f>IF(AND(A114="",A113&lt;&gt;"",COUNTIF(A115:$A$200,"&lt;&gt;")=0),ROUND(SUMIF($A$2:A113,"&lt;&gt;",$R$2:R113),2),IF(OR(Q114="",C114="",NOT(ISNUMBER($Z$5))),"",ROUND(Q114*C114*$Z$5,2)))</f>
        <v/>
      </c>
      <c r="S114" s="58"/>
      <c r="T114" s="59"/>
      <c r="U114" s="111" t="str">
        <f>IF(AND(A114="",A113&lt;&gt;"",COUNTIF(A115:$A$200,"&lt;&gt;")=0),"TOTAL",IF(A114="","",posicao_contratual!X114))</f>
        <v/>
      </c>
      <c r="V114" s="111" t="str">
        <f>IF(A114="","",posicao_contratual!X114)</f>
        <v/>
      </c>
      <c r="W114" s="15"/>
      <c r="X114" s="15"/>
      <c r="Y114" s="15"/>
      <c r="Z114" s="15"/>
      <c r="AA114" s="15"/>
      <c r="AB114" s="110" t="str">
        <f>IF(OR(A114="",posicao_contratual!E114="",posicao_contratual!J114=""),"",ROUND(MAX(posicao_contratual!E114-posicao_contratual!J114,0),2))</f>
        <v/>
      </c>
      <c r="AC114" s="104" t="str">
        <f>IF(AND(A114="",A113&lt;&gt;"",COUNTIF(A115:$A$200,"&lt;&gt;")=0),ROUND(SUMIF($A$2:A113,"&lt;&gt;",$AC$2:AC113),2),IF(OR(AB114="",C114="",NOT(ISNUMBER($Z$2))),"",ROUND(AB114*C114*$Z$2,2)))</f>
        <v/>
      </c>
      <c r="AD114" s="180" t="str">
        <f>IF(A114="","",posicao_contratual!E114)</f>
        <v/>
      </c>
      <c r="AE114" s="180" t="str">
        <f>IF(A114="","",posicao_contratual!I114)</f>
        <v/>
      </c>
      <c r="AF114" s="180" t="str">
        <f>IF(A114="","",posicao_contratual!M114)</f>
        <v/>
      </c>
      <c r="AG114" s="180" t="str">
        <f>IF(A114="","",posicao_contratual!Q114)</f>
        <v/>
      </c>
      <c r="AH114" s="180" t="str">
        <f>IF(A114="","",posicao_contratual!U114)</f>
        <v/>
      </c>
      <c r="AI114" s="180" t="str">
        <f>IF(A114="","",posicao_contratual!G114)</f>
        <v/>
      </c>
      <c r="AJ114" s="180" t="str">
        <f>IF(A114="","",posicao_contratual!K114)</f>
        <v/>
      </c>
      <c r="AK114" s="180" t="str">
        <f>IF(A114="","",posicao_contratual!O114)</f>
        <v/>
      </c>
      <c r="AL114" s="180" t="str">
        <f>IF(A114="","",posicao_contratual!S114)</f>
        <v/>
      </c>
      <c r="AM114" s="180" t="str">
        <f>IF(A114="","",posicao_contratual!W114)</f>
        <v/>
      </c>
      <c r="AN114" s="181" t="str">
        <f>IF(A114="","",posicao_contratual!X114)</f>
        <v/>
      </c>
    </row>
    <row r="115" spans="1:40" x14ac:dyDescent="0.35">
      <c r="A115" s="106"/>
      <c r="B115" s="107"/>
      <c r="C115" s="108"/>
      <c r="D115" s="104" t="str">
        <f>IF(AND(A115="",A114&lt;&gt;"",COUNTIF(A116:$A$200,"&lt;&gt;")=0),ROUND(SUMIF($A$2:A114,"&lt;&gt;",$D$2:D114),2),IF(OR(A115="",B115="",C115=""),"",ROUND(B115*C115,2)))</f>
        <v/>
      </c>
      <c r="E115" s="109"/>
      <c r="F115" s="104" t="str">
        <f>IF(AND(A115="",A114&lt;&gt;"",COUNTIF(A116:$A$200,"&lt;&gt;")=0),ROUND(SUMIF($A$2:A114,"&lt;&gt;",$F$2:F114),2),IF(OR(A115="",posicao_contratual!K115="",C115="",NOT(ISNUMBER($Z$3))),"",ROUND(posicao_contratual!K115*C115*$Z$3,2)))</f>
        <v/>
      </c>
      <c r="G115" s="109"/>
      <c r="H115" s="104" t="str">
        <f>IF(AND(A115="",A114&lt;&gt;"",COUNTIF(A116:$A$200,"&lt;&gt;")=0),ROUND(SUMIF($A$2:A114,"&lt;&gt;",$H$2:H114),2),IF(OR(A115="",posicao_contratual!O115="",C115="",NOT(ISNUMBER($Z$4))),"",ROUND(posicao_contratual!O115*C115*$Z$4,2)))</f>
        <v/>
      </c>
      <c r="I115" s="109"/>
      <c r="J115" s="104" t="str">
        <f>IF(AND(A115="",A114&lt;&gt;"",COUNTIF(A116:$A$200,"&lt;&gt;")=0),ROUND(SUMIF($A$2:A114,"&lt;&gt;",$J$2:J114),2),IF(OR(A115="",posicao_contratual!S115="",C115="",NOT(ISNUMBER($Z$5))),"",ROUND(posicao_contratual!S115*C115*$Z$5,2)))</f>
        <v/>
      </c>
      <c r="K115" s="109"/>
      <c r="L115" s="104" t="str">
        <f>IF(AND(A115="",A114&lt;&gt;"",COUNTIF(A116:$A$200,"&lt;&gt;")=0),ROUND(SUMIF($A$2:A114,"&lt;&gt;",$L$2:L114),2),IF(OR(A115="",posicao_contratual!W115="",C115="",NOT(ISNUMBER($Z$6))),"",ROUND(posicao_contratual!W115*C115*$Z$6,2)))</f>
        <v/>
      </c>
      <c r="M115" s="110" t="str">
        <f>IF(OR(posicao_contratual!J115="",posicao_contratual!N115=""),"",ROUND(MAX(posicao_contratual!J115+posicao_contratual!H115-posicao_contratual!N115,0),2))</f>
        <v/>
      </c>
      <c r="N115" s="104" t="str">
        <f>IF(AND(A115="",A114&lt;&gt;"",COUNTIF(A116:$A$200,"&lt;&gt;")=0),ROUND(SUMIF($A$2:A114,"&lt;&gt;",$N$2:N114),2),IF(OR(M115="",C115="",NOT(ISNUMBER($Z$3))),"",ROUND(M115*C115*$Z$3,2)))</f>
        <v/>
      </c>
      <c r="O115" s="110" t="str">
        <f>IF(OR(posicao_contratual!N115="",posicao_contratual!R115=""),"",ROUND(MAX(posicao_contratual!N115+posicao_contratual!L115-posicao_contratual!R115,0),2))</f>
        <v/>
      </c>
      <c r="P115" s="104" t="str">
        <f>IF(AND(A115="",A114&lt;&gt;"",COUNTIF(A116:$A$200,"&lt;&gt;")=0),ROUND(SUMIF($A$2:A114,"&lt;&gt;",$P$2:P114),2),IF(OR(O115="",C115="",NOT(ISNUMBER($Z$4))),"",ROUND(O115*C115*$Z$4,2)))</f>
        <v/>
      </c>
      <c r="Q115" s="110" t="str">
        <f>IF(OR(posicao_contratual!R115="",posicao_contratual!V115=""),"",ROUND(MAX(posicao_contratual!R115+posicao_contratual!P115-posicao_contratual!V115,0),2))</f>
        <v/>
      </c>
      <c r="R115" s="104" t="str">
        <f>IF(AND(A115="",A114&lt;&gt;"",COUNTIF(A116:$A$200,"&lt;&gt;")=0),ROUND(SUMIF($A$2:A114,"&lt;&gt;",$R$2:R114),2),IF(OR(Q115="",C115="",NOT(ISNUMBER($Z$5))),"",ROUND(Q115*C115*$Z$5,2)))</f>
        <v/>
      </c>
      <c r="S115" s="58"/>
      <c r="T115" s="59"/>
      <c r="U115" s="111" t="str">
        <f>IF(AND(A115="",A114&lt;&gt;"",COUNTIF(A116:$A$200,"&lt;&gt;")=0),"TOTAL",IF(A115="","",posicao_contratual!X115))</f>
        <v/>
      </c>
      <c r="V115" s="111" t="str">
        <f>IF(A115="","",posicao_contratual!X115)</f>
        <v/>
      </c>
      <c r="W115" s="15"/>
      <c r="X115" s="15"/>
      <c r="Y115" s="15"/>
      <c r="Z115" s="15"/>
      <c r="AA115" s="15"/>
      <c r="AB115" s="110" t="str">
        <f>IF(OR(A115="",posicao_contratual!E115="",posicao_contratual!J115=""),"",ROUND(MAX(posicao_contratual!E115-posicao_contratual!J115,0),2))</f>
        <v/>
      </c>
      <c r="AC115" s="104" t="str">
        <f>IF(AND(A115="",A114&lt;&gt;"",COUNTIF(A116:$A$200,"&lt;&gt;")=0),ROUND(SUMIF($A$2:A114,"&lt;&gt;",$AC$2:AC114),2),IF(OR(AB115="",C115="",NOT(ISNUMBER($Z$2))),"",ROUND(AB115*C115*$Z$2,2)))</f>
        <v/>
      </c>
      <c r="AD115" s="180" t="str">
        <f>IF(A115="","",posicao_contratual!E115)</f>
        <v/>
      </c>
      <c r="AE115" s="180" t="str">
        <f>IF(A115="","",posicao_contratual!I115)</f>
        <v/>
      </c>
      <c r="AF115" s="180" t="str">
        <f>IF(A115="","",posicao_contratual!M115)</f>
        <v/>
      </c>
      <c r="AG115" s="180" t="str">
        <f>IF(A115="","",posicao_contratual!Q115)</f>
        <v/>
      </c>
      <c r="AH115" s="180" t="str">
        <f>IF(A115="","",posicao_contratual!U115)</f>
        <v/>
      </c>
      <c r="AI115" s="180" t="str">
        <f>IF(A115="","",posicao_contratual!G115)</f>
        <v/>
      </c>
      <c r="AJ115" s="180" t="str">
        <f>IF(A115="","",posicao_contratual!K115)</f>
        <v/>
      </c>
      <c r="AK115" s="180" t="str">
        <f>IF(A115="","",posicao_contratual!O115)</f>
        <v/>
      </c>
      <c r="AL115" s="180" t="str">
        <f>IF(A115="","",posicao_contratual!S115)</f>
        <v/>
      </c>
      <c r="AM115" s="180" t="str">
        <f>IF(A115="","",posicao_contratual!W115)</f>
        <v/>
      </c>
      <c r="AN115" s="181" t="str">
        <f>IF(A115="","",posicao_contratual!X115)</f>
        <v/>
      </c>
    </row>
    <row r="116" spans="1:40" x14ac:dyDescent="0.35">
      <c r="A116" s="106"/>
      <c r="B116" s="107"/>
      <c r="C116" s="108"/>
      <c r="D116" s="104" t="str">
        <f>IF(AND(A116="",A115&lt;&gt;"",COUNTIF(A117:$A$200,"&lt;&gt;")=0),ROUND(SUMIF($A$2:A115,"&lt;&gt;",$D$2:D115),2),IF(OR(A116="",B116="",C116=""),"",ROUND(B116*C116,2)))</f>
        <v/>
      </c>
      <c r="E116" s="109"/>
      <c r="F116" s="104" t="str">
        <f>IF(AND(A116="",A115&lt;&gt;"",COUNTIF(A117:$A$200,"&lt;&gt;")=0),ROUND(SUMIF($A$2:A115,"&lt;&gt;",$F$2:F115),2),IF(OR(A116="",posicao_contratual!K116="",C116="",NOT(ISNUMBER($Z$3))),"",ROUND(posicao_contratual!K116*C116*$Z$3,2)))</f>
        <v/>
      </c>
      <c r="G116" s="109"/>
      <c r="H116" s="104" t="str">
        <f>IF(AND(A116="",A115&lt;&gt;"",COUNTIF(A117:$A$200,"&lt;&gt;")=0),ROUND(SUMIF($A$2:A115,"&lt;&gt;",$H$2:H115),2),IF(OR(A116="",posicao_contratual!O116="",C116="",NOT(ISNUMBER($Z$4))),"",ROUND(posicao_contratual!O116*C116*$Z$4,2)))</f>
        <v/>
      </c>
      <c r="I116" s="109"/>
      <c r="J116" s="104" t="str">
        <f>IF(AND(A116="",A115&lt;&gt;"",COUNTIF(A117:$A$200,"&lt;&gt;")=0),ROUND(SUMIF($A$2:A115,"&lt;&gt;",$J$2:J115),2),IF(OR(A116="",posicao_contratual!S116="",C116="",NOT(ISNUMBER($Z$5))),"",ROUND(posicao_contratual!S116*C116*$Z$5,2)))</f>
        <v/>
      </c>
      <c r="K116" s="109"/>
      <c r="L116" s="104" t="str">
        <f>IF(AND(A116="",A115&lt;&gt;"",COUNTIF(A117:$A$200,"&lt;&gt;")=0),ROUND(SUMIF($A$2:A115,"&lt;&gt;",$L$2:L115),2),IF(OR(A116="",posicao_contratual!W116="",C116="",NOT(ISNUMBER($Z$6))),"",ROUND(posicao_contratual!W116*C116*$Z$6,2)))</f>
        <v/>
      </c>
      <c r="M116" s="110" t="str">
        <f>IF(OR(posicao_contratual!J116="",posicao_contratual!N116=""),"",ROUND(MAX(posicao_contratual!J116+posicao_contratual!H116-posicao_contratual!N116,0),2))</f>
        <v/>
      </c>
      <c r="N116" s="104" t="str">
        <f>IF(AND(A116="",A115&lt;&gt;"",COUNTIF(A117:$A$200,"&lt;&gt;")=0),ROUND(SUMIF($A$2:A115,"&lt;&gt;",$N$2:N115),2),IF(OR(M116="",C116="",NOT(ISNUMBER($Z$3))),"",ROUND(M116*C116*$Z$3,2)))</f>
        <v/>
      </c>
      <c r="O116" s="110" t="str">
        <f>IF(OR(posicao_contratual!N116="",posicao_contratual!R116=""),"",ROUND(MAX(posicao_contratual!N116+posicao_contratual!L116-posicao_contratual!R116,0),2))</f>
        <v/>
      </c>
      <c r="P116" s="104" t="str">
        <f>IF(AND(A116="",A115&lt;&gt;"",COUNTIF(A117:$A$200,"&lt;&gt;")=0),ROUND(SUMIF($A$2:A115,"&lt;&gt;",$P$2:P115),2),IF(OR(O116="",C116="",NOT(ISNUMBER($Z$4))),"",ROUND(O116*C116*$Z$4,2)))</f>
        <v/>
      </c>
      <c r="Q116" s="110" t="str">
        <f>IF(OR(posicao_contratual!R116="",posicao_contratual!V116=""),"",ROUND(MAX(posicao_contratual!R116+posicao_contratual!P116-posicao_contratual!V116,0),2))</f>
        <v/>
      </c>
      <c r="R116" s="104" t="str">
        <f>IF(AND(A116="",A115&lt;&gt;"",COUNTIF(A117:$A$200,"&lt;&gt;")=0),ROUND(SUMIF($A$2:A115,"&lt;&gt;",$R$2:R115),2),IF(OR(Q116="",C116="",NOT(ISNUMBER($Z$5))),"",ROUND(Q116*C116*$Z$5,2)))</f>
        <v/>
      </c>
      <c r="S116" s="58"/>
      <c r="T116" s="59"/>
      <c r="U116" s="111" t="str">
        <f>IF(AND(A116="",A115&lt;&gt;"",COUNTIF(A117:$A$200,"&lt;&gt;")=0),"TOTAL",IF(A116="","",posicao_contratual!X116))</f>
        <v/>
      </c>
      <c r="V116" s="111" t="str">
        <f>IF(A116="","",posicao_contratual!X116)</f>
        <v/>
      </c>
      <c r="W116" s="15"/>
      <c r="X116" s="15"/>
      <c r="Y116" s="15"/>
      <c r="Z116" s="15"/>
      <c r="AA116" s="15"/>
      <c r="AB116" s="110" t="str">
        <f>IF(OR(A116="",posicao_contratual!E116="",posicao_contratual!J116=""),"",ROUND(MAX(posicao_contratual!E116-posicao_contratual!J116,0),2))</f>
        <v/>
      </c>
      <c r="AC116" s="104" t="str">
        <f>IF(AND(A116="",A115&lt;&gt;"",COUNTIF(A117:$A$200,"&lt;&gt;")=0),ROUND(SUMIF($A$2:A115,"&lt;&gt;",$AC$2:AC115),2),IF(OR(AB116="",C116="",NOT(ISNUMBER($Z$2))),"",ROUND(AB116*C116*$Z$2,2)))</f>
        <v/>
      </c>
      <c r="AD116" s="180" t="str">
        <f>IF(A116="","",posicao_contratual!E116)</f>
        <v/>
      </c>
      <c r="AE116" s="180" t="str">
        <f>IF(A116="","",posicao_contratual!I116)</f>
        <v/>
      </c>
      <c r="AF116" s="180" t="str">
        <f>IF(A116="","",posicao_contratual!M116)</f>
        <v/>
      </c>
      <c r="AG116" s="180" t="str">
        <f>IF(A116="","",posicao_contratual!Q116)</f>
        <v/>
      </c>
      <c r="AH116" s="180" t="str">
        <f>IF(A116="","",posicao_contratual!U116)</f>
        <v/>
      </c>
      <c r="AI116" s="180" t="str">
        <f>IF(A116="","",posicao_contratual!G116)</f>
        <v/>
      </c>
      <c r="AJ116" s="180" t="str">
        <f>IF(A116="","",posicao_contratual!K116)</f>
        <v/>
      </c>
      <c r="AK116" s="180" t="str">
        <f>IF(A116="","",posicao_contratual!O116)</f>
        <v/>
      </c>
      <c r="AL116" s="180" t="str">
        <f>IF(A116="","",posicao_contratual!S116)</f>
        <v/>
      </c>
      <c r="AM116" s="180" t="str">
        <f>IF(A116="","",posicao_contratual!W116)</f>
        <v/>
      </c>
      <c r="AN116" s="181" t="str">
        <f>IF(A116="","",posicao_contratual!X116)</f>
        <v/>
      </c>
    </row>
    <row r="117" spans="1:40" x14ac:dyDescent="0.35">
      <c r="A117" s="106"/>
      <c r="B117" s="107"/>
      <c r="C117" s="108"/>
      <c r="D117" s="104" t="str">
        <f>IF(AND(A117="",A116&lt;&gt;"",COUNTIF(A118:$A$200,"&lt;&gt;")=0),ROUND(SUMIF($A$2:A116,"&lt;&gt;",$D$2:D116),2),IF(OR(A117="",B117="",C117=""),"",ROUND(B117*C117,2)))</f>
        <v/>
      </c>
      <c r="E117" s="109"/>
      <c r="F117" s="104" t="str">
        <f>IF(AND(A117="",A116&lt;&gt;"",COUNTIF(A118:$A$200,"&lt;&gt;")=0),ROUND(SUMIF($A$2:A116,"&lt;&gt;",$F$2:F116),2),IF(OR(A117="",posicao_contratual!K117="",C117="",NOT(ISNUMBER($Z$3))),"",ROUND(posicao_contratual!K117*C117*$Z$3,2)))</f>
        <v/>
      </c>
      <c r="G117" s="109"/>
      <c r="H117" s="104" t="str">
        <f>IF(AND(A117="",A116&lt;&gt;"",COUNTIF(A118:$A$200,"&lt;&gt;")=0),ROUND(SUMIF($A$2:A116,"&lt;&gt;",$H$2:H116),2),IF(OR(A117="",posicao_contratual!O117="",C117="",NOT(ISNUMBER($Z$4))),"",ROUND(posicao_contratual!O117*C117*$Z$4,2)))</f>
        <v/>
      </c>
      <c r="I117" s="109"/>
      <c r="J117" s="104" t="str">
        <f>IF(AND(A117="",A116&lt;&gt;"",COUNTIF(A118:$A$200,"&lt;&gt;")=0),ROUND(SUMIF($A$2:A116,"&lt;&gt;",$J$2:J116),2),IF(OR(A117="",posicao_contratual!S117="",C117="",NOT(ISNUMBER($Z$5))),"",ROUND(posicao_contratual!S117*C117*$Z$5,2)))</f>
        <v/>
      </c>
      <c r="K117" s="109"/>
      <c r="L117" s="104" t="str">
        <f>IF(AND(A117="",A116&lt;&gt;"",COUNTIF(A118:$A$200,"&lt;&gt;")=0),ROUND(SUMIF($A$2:A116,"&lt;&gt;",$L$2:L116),2),IF(OR(A117="",posicao_contratual!W117="",C117="",NOT(ISNUMBER($Z$6))),"",ROUND(posicao_contratual!W117*C117*$Z$6,2)))</f>
        <v/>
      </c>
      <c r="M117" s="110" t="str">
        <f>IF(OR(posicao_contratual!J117="",posicao_contratual!N117=""),"",ROUND(MAX(posicao_contratual!J117+posicao_contratual!H117-posicao_contratual!N117,0),2))</f>
        <v/>
      </c>
      <c r="N117" s="104" t="str">
        <f>IF(AND(A117="",A116&lt;&gt;"",COUNTIF(A118:$A$200,"&lt;&gt;")=0),ROUND(SUMIF($A$2:A116,"&lt;&gt;",$N$2:N116),2),IF(OR(M117="",C117="",NOT(ISNUMBER($Z$3))),"",ROUND(M117*C117*$Z$3,2)))</f>
        <v/>
      </c>
      <c r="O117" s="110" t="str">
        <f>IF(OR(posicao_contratual!N117="",posicao_contratual!R117=""),"",ROUND(MAX(posicao_contratual!N117+posicao_contratual!L117-posicao_contratual!R117,0),2))</f>
        <v/>
      </c>
      <c r="P117" s="104" t="str">
        <f>IF(AND(A117="",A116&lt;&gt;"",COUNTIF(A118:$A$200,"&lt;&gt;")=0),ROUND(SUMIF($A$2:A116,"&lt;&gt;",$P$2:P116),2),IF(OR(O117="",C117="",NOT(ISNUMBER($Z$4))),"",ROUND(O117*C117*$Z$4,2)))</f>
        <v/>
      </c>
      <c r="Q117" s="110" t="str">
        <f>IF(OR(posicao_contratual!R117="",posicao_contratual!V117=""),"",ROUND(MAX(posicao_contratual!R117+posicao_contratual!P117-posicao_contratual!V117,0),2))</f>
        <v/>
      </c>
      <c r="R117" s="104" t="str">
        <f>IF(AND(A117="",A116&lt;&gt;"",COUNTIF(A118:$A$200,"&lt;&gt;")=0),ROUND(SUMIF($A$2:A116,"&lt;&gt;",$R$2:R116),2),IF(OR(Q117="",C117="",NOT(ISNUMBER($Z$5))),"",ROUND(Q117*C117*$Z$5,2)))</f>
        <v/>
      </c>
      <c r="S117" s="58"/>
      <c r="T117" s="59"/>
      <c r="U117" s="111" t="str">
        <f>IF(AND(A117="",A116&lt;&gt;"",COUNTIF(A118:$A$200,"&lt;&gt;")=0),"TOTAL",IF(A117="","",posicao_contratual!X117))</f>
        <v/>
      </c>
      <c r="V117" s="111" t="str">
        <f>IF(A117="","",posicao_contratual!X117)</f>
        <v/>
      </c>
      <c r="W117" s="15"/>
      <c r="X117" s="15"/>
      <c r="Y117" s="15"/>
      <c r="Z117" s="15"/>
      <c r="AA117" s="15"/>
      <c r="AB117" s="110" t="str">
        <f>IF(OR(A117="",posicao_contratual!E117="",posicao_contratual!J117=""),"",ROUND(MAX(posicao_contratual!E117-posicao_contratual!J117,0),2))</f>
        <v/>
      </c>
      <c r="AC117" s="104" t="str">
        <f>IF(AND(A117="",A116&lt;&gt;"",COUNTIF(A118:$A$200,"&lt;&gt;")=0),ROUND(SUMIF($A$2:A116,"&lt;&gt;",$AC$2:AC116),2),IF(OR(AB117="",C117="",NOT(ISNUMBER($Z$2))),"",ROUND(AB117*C117*$Z$2,2)))</f>
        <v/>
      </c>
      <c r="AD117" s="180" t="str">
        <f>IF(A117="","",posicao_contratual!E117)</f>
        <v/>
      </c>
      <c r="AE117" s="180" t="str">
        <f>IF(A117="","",posicao_contratual!I117)</f>
        <v/>
      </c>
      <c r="AF117" s="180" t="str">
        <f>IF(A117="","",posicao_contratual!M117)</f>
        <v/>
      </c>
      <c r="AG117" s="180" t="str">
        <f>IF(A117="","",posicao_contratual!Q117)</f>
        <v/>
      </c>
      <c r="AH117" s="180" t="str">
        <f>IF(A117="","",posicao_contratual!U117)</f>
        <v/>
      </c>
      <c r="AI117" s="180" t="str">
        <f>IF(A117="","",posicao_contratual!G117)</f>
        <v/>
      </c>
      <c r="AJ117" s="180" t="str">
        <f>IF(A117="","",posicao_contratual!K117)</f>
        <v/>
      </c>
      <c r="AK117" s="180" t="str">
        <f>IF(A117="","",posicao_contratual!O117)</f>
        <v/>
      </c>
      <c r="AL117" s="180" t="str">
        <f>IF(A117="","",posicao_contratual!S117)</f>
        <v/>
      </c>
      <c r="AM117" s="180" t="str">
        <f>IF(A117="","",posicao_contratual!W117)</f>
        <v/>
      </c>
      <c r="AN117" s="181" t="str">
        <f>IF(A117="","",posicao_contratual!X117)</f>
        <v/>
      </c>
    </row>
    <row r="118" spans="1:40" x14ac:dyDescent="0.35">
      <c r="A118" s="106"/>
      <c r="B118" s="107"/>
      <c r="C118" s="108"/>
      <c r="D118" s="104" t="str">
        <f>IF(AND(A118="",A117&lt;&gt;"",COUNTIF(A119:$A$200,"&lt;&gt;")=0),ROUND(SUMIF($A$2:A117,"&lt;&gt;",$D$2:D117),2),IF(OR(A118="",B118="",C118=""),"",ROUND(B118*C118,2)))</f>
        <v/>
      </c>
      <c r="E118" s="109"/>
      <c r="F118" s="104" t="str">
        <f>IF(AND(A118="",A117&lt;&gt;"",COUNTIF(A119:$A$200,"&lt;&gt;")=0),ROUND(SUMIF($A$2:A117,"&lt;&gt;",$F$2:F117),2),IF(OR(A118="",posicao_contratual!K118="",C118="",NOT(ISNUMBER($Z$3))),"",ROUND(posicao_contratual!K118*C118*$Z$3,2)))</f>
        <v/>
      </c>
      <c r="G118" s="109"/>
      <c r="H118" s="104" t="str">
        <f>IF(AND(A118="",A117&lt;&gt;"",COUNTIF(A119:$A$200,"&lt;&gt;")=0),ROUND(SUMIF($A$2:A117,"&lt;&gt;",$H$2:H117),2),IF(OR(A118="",posicao_contratual!O118="",C118="",NOT(ISNUMBER($Z$4))),"",ROUND(posicao_contratual!O118*C118*$Z$4,2)))</f>
        <v/>
      </c>
      <c r="I118" s="109"/>
      <c r="J118" s="104" t="str">
        <f>IF(AND(A118="",A117&lt;&gt;"",COUNTIF(A119:$A$200,"&lt;&gt;")=0),ROUND(SUMIF($A$2:A117,"&lt;&gt;",$J$2:J117),2),IF(OR(A118="",posicao_contratual!S118="",C118="",NOT(ISNUMBER($Z$5))),"",ROUND(posicao_contratual!S118*C118*$Z$5,2)))</f>
        <v/>
      </c>
      <c r="K118" s="109"/>
      <c r="L118" s="104" t="str">
        <f>IF(AND(A118="",A117&lt;&gt;"",COUNTIF(A119:$A$200,"&lt;&gt;")=0),ROUND(SUMIF($A$2:A117,"&lt;&gt;",$L$2:L117),2),IF(OR(A118="",posicao_contratual!W118="",C118="",NOT(ISNUMBER($Z$6))),"",ROUND(posicao_contratual!W118*C118*$Z$6,2)))</f>
        <v/>
      </c>
      <c r="M118" s="110" t="str">
        <f>IF(OR(posicao_contratual!J118="",posicao_contratual!N118=""),"",ROUND(MAX(posicao_contratual!J118+posicao_contratual!H118-posicao_contratual!N118,0),2))</f>
        <v/>
      </c>
      <c r="N118" s="104" t="str">
        <f>IF(AND(A118="",A117&lt;&gt;"",COUNTIF(A119:$A$200,"&lt;&gt;")=0),ROUND(SUMIF($A$2:A117,"&lt;&gt;",$N$2:N117),2),IF(OR(M118="",C118="",NOT(ISNUMBER($Z$3))),"",ROUND(M118*C118*$Z$3,2)))</f>
        <v/>
      </c>
      <c r="O118" s="110" t="str">
        <f>IF(OR(posicao_contratual!N118="",posicao_contratual!R118=""),"",ROUND(MAX(posicao_contratual!N118+posicao_contratual!L118-posicao_contratual!R118,0),2))</f>
        <v/>
      </c>
      <c r="P118" s="104" t="str">
        <f>IF(AND(A118="",A117&lt;&gt;"",COUNTIF(A119:$A$200,"&lt;&gt;")=0),ROUND(SUMIF($A$2:A117,"&lt;&gt;",$P$2:P117),2),IF(OR(O118="",C118="",NOT(ISNUMBER($Z$4))),"",ROUND(O118*C118*$Z$4,2)))</f>
        <v/>
      </c>
      <c r="Q118" s="110" t="str">
        <f>IF(OR(posicao_contratual!R118="",posicao_contratual!V118=""),"",ROUND(MAX(posicao_contratual!R118+posicao_contratual!P118-posicao_contratual!V118,0),2))</f>
        <v/>
      </c>
      <c r="R118" s="104" t="str">
        <f>IF(AND(A118="",A117&lt;&gt;"",COUNTIF(A119:$A$200,"&lt;&gt;")=0),ROUND(SUMIF($A$2:A117,"&lt;&gt;",$R$2:R117),2),IF(OR(Q118="",C118="",NOT(ISNUMBER($Z$5))),"",ROUND(Q118*C118*$Z$5,2)))</f>
        <v/>
      </c>
      <c r="S118" s="58"/>
      <c r="T118" s="59"/>
      <c r="U118" s="111" t="str">
        <f>IF(AND(A118="",A117&lt;&gt;"",COUNTIF(A119:$A$200,"&lt;&gt;")=0),"TOTAL",IF(A118="","",posicao_contratual!X118))</f>
        <v/>
      </c>
      <c r="V118" s="111" t="str">
        <f>IF(A118="","",posicao_contratual!X118)</f>
        <v/>
      </c>
      <c r="W118" s="15"/>
      <c r="X118" s="15"/>
      <c r="Y118" s="15"/>
      <c r="Z118" s="15"/>
      <c r="AA118" s="15"/>
      <c r="AB118" s="110" t="str">
        <f>IF(OR(A118="",posicao_contratual!E118="",posicao_contratual!J118=""),"",ROUND(MAX(posicao_contratual!E118-posicao_contratual!J118,0),2))</f>
        <v/>
      </c>
      <c r="AC118" s="104" t="str">
        <f>IF(AND(A118="",A117&lt;&gt;"",COUNTIF(A119:$A$200,"&lt;&gt;")=0),ROUND(SUMIF($A$2:A117,"&lt;&gt;",$AC$2:AC117),2),IF(OR(AB118="",C118="",NOT(ISNUMBER($Z$2))),"",ROUND(AB118*C118*$Z$2,2)))</f>
        <v/>
      </c>
      <c r="AD118" s="180" t="str">
        <f>IF(A118="","",posicao_contratual!E118)</f>
        <v/>
      </c>
      <c r="AE118" s="180" t="str">
        <f>IF(A118="","",posicao_contratual!I118)</f>
        <v/>
      </c>
      <c r="AF118" s="180" t="str">
        <f>IF(A118="","",posicao_contratual!M118)</f>
        <v/>
      </c>
      <c r="AG118" s="180" t="str">
        <f>IF(A118="","",posicao_contratual!Q118)</f>
        <v/>
      </c>
      <c r="AH118" s="180" t="str">
        <f>IF(A118="","",posicao_contratual!U118)</f>
        <v/>
      </c>
      <c r="AI118" s="180" t="str">
        <f>IF(A118="","",posicao_contratual!G118)</f>
        <v/>
      </c>
      <c r="AJ118" s="180" t="str">
        <f>IF(A118="","",posicao_contratual!K118)</f>
        <v/>
      </c>
      <c r="AK118" s="180" t="str">
        <f>IF(A118="","",posicao_contratual!O118)</f>
        <v/>
      </c>
      <c r="AL118" s="180" t="str">
        <f>IF(A118="","",posicao_contratual!S118)</f>
        <v/>
      </c>
      <c r="AM118" s="180" t="str">
        <f>IF(A118="","",posicao_contratual!W118)</f>
        <v/>
      </c>
      <c r="AN118" s="181" t="str">
        <f>IF(A118="","",posicao_contratual!X118)</f>
        <v/>
      </c>
    </row>
    <row r="119" spans="1:40" x14ac:dyDescent="0.35">
      <c r="A119" s="106"/>
      <c r="B119" s="107"/>
      <c r="C119" s="108"/>
      <c r="D119" s="104" t="str">
        <f>IF(AND(A119="",A118&lt;&gt;"",COUNTIF(A120:$A$200,"&lt;&gt;")=0),ROUND(SUMIF($A$2:A118,"&lt;&gt;",$D$2:D118),2),IF(OR(A119="",B119="",C119=""),"",ROUND(B119*C119,2)))</f>
        <v/>
      </c>
      <c r="E119" s="109"/>
      <c r="F119" s="104" t="str">
        <f>IF(AND(A119="",A118&lt;&gt;"",COUNTIF(A120:$A$200,"&lt;&gt;")=0),ROUND(SUMIF($A$2:A118,"&lt;&gt;",$F$2:F118),2),IF(OR(A119="",posicao_contratual!K119="",C119="",NOT(ISNUMBER($Z$3))),"",ROUND(posicao_contratual!K119*C119*$Z$3,2)))</f>
        <v/>
      </c>
      <c r="G119" s="109"/>
      <c r="H119" s="104" t="str">
        <f>IF(AND(A119="",A118&lt;&gt;"",COUNTIF(A120:$A$200,"&lt;&gt;")=0),ROUND(SUMIF($A$2:A118,"&lt;&gt;",$H$2:H118),2),IF(OR(A119="",posicao_contratual!O119="",C119="",NOT(ISNUMBER($Z$4))),"",ROUND(posicao_contratual!O119*C119*$Z$4,2)))</f>
        <v/>
      </c>
      <c r="I119" s="109"/>
      <c r="J119" s="104" t="str">
        <f>IF(AND(A119="",A118&lt;&gt;"",COUNTIF(A120:$A$200,"&lt;&gt;")=0),ROUND(SUMIF($A$2:A118,"&lt;&gt;",$J$2:J118),2),IF(OR(A119="",posicao_contratual!S119="",C119="",NOT(ISNUMBER($Z$5))),"",ROUND(posicao_contratual!S119*C119*$Z$5,2)))</f>
        <v/>
      </c>
      <c r="K119" s="109"/>
      <c r="L119" s="104" t="str">
        <f>IF(AND(A119="",A118&lt;&gt;"",COUNTIF(A120:$A$200,"&lt;&gt;")=0),ROUND(SUMIF($A$2:A118,"&lt;&gt;",$L$2:L118),2),IF(OR(A119="",posicao_contratual!W119="",C119="",NOT(ISNUMBER($Z$6))),"",ROUND(posicao_contratual!W119*C119*$Z$6,2)))</f>
        <v/>
      </c>
      <c r="M119" s="110" t="str">
        <f>IF(OR(posicao_contratual!J119="",posicao_contratual!N119=""),"",ROUND(MAX(posicao_contratual!J119+posicao_contratual!H119-posicao_contratual!N119,0),2))</f>
        <v/>
      </c>
      <c r="N119" s="104" t="str">
        <f>IF(AND(A119="",A118&lt;&gt;"",COUNTIF(A120:$A$200,"&lt;&gt;")=0),ROUND(SUMIF($A$2:A118,"&lt;&gt;",$N$2:N118),2),IF(OR(M119="",C119="",NOT(ISNUMBER($Z$3))),"",ROUND(M119*C119*$Z$3,2)))</f>
        <v/>
      </c>
      <c r="O119" s="110" t="str">
        <f>IF(OR(posicao_contratual!N119="",posicao_contratual!R119=""),"",ROUND(MAX(posicao_contratual!N119+posicao_contratual!L119-posicao_contratual!R119,0),2))</f>
        <v/>
      </c>
      <c r="P119" s="104" t="str">
        <f>IF(AND(A119="",A118&lt;&gt;"",COUNTIF(A120:$A$200,"&lt;&gt;")=0),ROUND(SUMIF($A$2:A118,"&lt;&gt;",$P$2:P118),2),IF(OR(O119="",C119="",NOT(ISNUMBER($Z$4))),"",ROUND(O119*C119*$Z$4,2)))</f>
        <v/>
      </c>
      <c r="Q119" s="110" t="str">
        <f>IF(OR(posicao_contratual!R119="",posicao_contratual!V119=""),"",ROUND(MAX(posicao_contratual!R119+posicao_contratual!P119-posicao_contratual!V119,0),2))</f>
        <v/>
      </c>
      <c r="R119" s="104" t="str">
        <f>IF(AND(A119="",A118&lt;&gt;"",COUNTIF(A120:$A$200,"&lt;&gt;")=0),ROUND(SUMIF($A$2:A118,"&lt;&gt;",$R$2:R118),2),IF(OR(Q119="",C119="",NOT(ISNUMBER($Z$5))),"",ROUND(Q119*C119*$Z$5,2)))</f>
        <v/>
      </c>
      <c r="S119" s="58"/>
      <c r="T119" s="59"/>
      <c r="U119" s="111" t="str">
        <f>IF(AND(A119="",A118&lt;&gt;"",COUNTIF(A120:$A$200,"&lt;&gt;")=0),"TOTAL",IF(A119="","",posicao_contratual!X119))</f>
        <v/>
      </c>
      <c r="V119" s="111" t="str">
        <f>IF(A119="","",posicao_contratual!X119)</f>
        <v/>
      </c>
      <c r="W119" s="15"/>
      <c r="X119" s="15"/>
      <c r="Y119" s="15"/>
      <c r="Z119" s="15"/>
      <c r="AA119" s="15"/>
      <c r="AB119" s="110" t="str">
        <f>IF(OR(A119="",posicao_contratual!E119="",posicao_contratual!J119=""),"",ROUND(MAX(posicao_contratual!E119-posicao_contratual!J119,0),2))</f>
        <v/>
      </c>
      <c r="AC119" s="104" t="str">
        <f>IF(AND(A119="",A118&lt;&gt;"",COUNTIF(A120:$A$200,"&lt;&gt;")=0),ROUND(SUMIF($A$2:A118,"&lt;&gt;",$AC$2:AC118),2),IF(OR(AB119="",C119="",NOT(ISNUMBER($Z$2))),"",ROUND(AB119*C119*$Z$2,2)))</f>
        <v/>
      </c>
      <c r="AD119" s="180" t="str">
        <f>IF(A119="","",posicao_contratual!E119)</f>
        <v/>
      </c>
      <c r="AE119" s="180" t="str">
        <f>IF(A119="","",posicao_contratual!I119)</f>
        <v/>
      </c>
      <c r="AF119" s="180" t="str">
        <f>IF(A119="","",posicao_contratual!M119)</f>
        <v/>
      </c>
      <c r="AG119" s="180" t="str">
        <f>IF(A119="","",posicao_contratual!Q119)</f>
        <v/>
      </c>
      <c r="AH119" s="180" t="str">
        <f>IF(A119="","",posicao_contratual!U119)</f>
        <v/>
      </c>
      <c r="AI119" s="180" t="str">
        <f>IF(A119="","",posicao_contratual!G119)</f>
        <v/>
      </c>
      <c r="AJ119" s="180" t="str">
        <f>IF(A119="","",posicao_contratual!K119)</f>
        <v/>
      </c>
      <c r="AK119" s="180" t="str">
        <f>IF(A119="","",posicao_contratual!O119)</f>
        <v/>
      </c>
      <c r="AL119" s="180" t="str">
        <f>IF(A119="","",posicao_contratual!S119)</f>
        <v/>
      </c>
      <c r="AM119" s="180" t="str">
        <f>IF(A119="","",posicao_contratual!W119)</f>
        <v/>
      </c>
      <c r="AN119" s="181" t="str">
        <f>IF(A119="","",posicao_contratual!X119)</f>
        <v/>
      </c>
    </row>
    <row r="120" spans="1:40" x14ac:dyDescent="0.35">
      <c r="A120" s="106"/>
      <c r="B120" s="107"/>
      <c r="C120" s="108"/>
      <c r="D120" s="104" t="str">
        <f>IF(AND(A120="",A119&lt;&gt;"",COUNTIF(A121:$A$200,"&lt;&gt;")=0),ROUND(SUMIF($A$2:A119,"&lt;&gt;",$D$2:D119),2),IF(OR(A120="",B120="",C120=""),"",ROUND(B120*C120,2)))</f>
        <v/>
      </c>
      <c r="E120" s="109"/>
      <c r="F120" s="104" t="str">
        <f>IF(AND(A120="",A119&lt;&gt;"",COUNTIF(A121:$A$200,"&lt;&gt;")=0),ROUND(SUMIF($A$2:A119,"&lt;&gt;",$F$2:F119),2),IF(OR(A120="",posicao_contratual!K120="",C120="",NOT(ISNUMBER($Z$3))),"",ROUND(posicao_contratual!K120*C120*$Z$3,2)))</f>
        <v/>
      </c>
      <c r="G120" s="109"/>
      <c r="H120" s="104" t="str">
        <f>IF(AND(A120="",A119&lt;&gt;"",COUNTIF(A121:$A$200,"&lt;&gt;")=0),ROUND(SUMIF($A$2:A119,"&lt;&gt;",$H$2:H119),2),IF(OR(A120="",posicao_contratual!O120="",C120="",NOT(ISNUMBER($Z$4))),"",ROUND(posicao_contratual!O120*C120*$Z$4,2)))</f>
        <v/>
      </c>
      <c r="I120" s="109"/>
      <c r="J120" s="104" t="str">
        <f>IF(AND(A120="",A119&lt;&gt;"",COUNTIF(A121:$A$200,"&lt;&gt;")=0),ROUND(SUMIF($A$2:A119,"&lt;&gt;",$J$2:J119),2),IF(OR(A120="",posicao_contratual!S120="",C120="",NOT(ISNUMBER($Z$5))),"",ROUND(posicao_contratual!S120*C120*$Z$5,2)))</f>
        <v/>
      </c>
      <c r="K120" s="109"/>
      <c r="L120" s="104" t="str">
        <f>IF(AND(A120="",A119&lt;&gt;"",COUNTIF(A121:$A$200,"&lt;&gt;")=0),ROUND(SUMIF($A$2:A119,"&lt;&gt;",$L$2:L119),2),IF(OR(A120="",posicao_contratual!W120="",C120="",NOT(ISNUMBER($Z$6))),"",ROUND(posicao_contratual!W120*C120*$Z$6,2)))</f>
        <v/>
      </c>
      <c r="M120" s="110" t="str">
        <f>IF(OR(posicao_contratual!J120="",posicao_contratual!N120=""),"",ROUND(MAX(posicao_contratual!J120+posicao_contratual!H120-posicao_contratual!N120,0),2))</f>
        <v/>
      </c>
      <c r="N120" s="104" t="str">
        <f>IF(AND(A120="",A119&lt;&gt;"",COUNTIF(A121:$A$200,"&lt;&gt;")=0),ROUND(SUMIF($A$2:A119,"&lt;&gt;",$N$2:N119),2),IF(OR(M120="",C120="",NOT(ISNUMBER($Z$3))),"",ROUND(M120*C120*$Z$3,2)))</f>
        <v/>
      </c>
      <c r="O120" s="110" t="str">
        <f>IF(OR(posicao_contratual!N120="",posicao_contratual!R120=""),"",ROUND(MAX(posicao_contratual!N120+posicao_contratual!L120-posicao_contratual!R120,0),2))</f>
        <v/>
      </c>
      <c r="P120" s="104" t="str">
        <f>IF(AND(A120="",A119&lt;&gt;"",COUNTIF(A121:$A$200,"&lt;&gt;")=0),ROUND(SUMIF($A$2:A119,"&lt;&gt;",$P$2:P119),2),IF(OR(O120="",C120="",NOT(ISNUMBER($Z$4))),"",ROUND(O120*C120*$Z$4,2)))</f>
        <v/>
      </c>
      <c r="Q120" s="110" t="str">
        <f>IF(OR(posicao_contratual!R120="",posicao_contratual!V120=""),"",ROUND(MAX(posicao_contratual!R120+posicao_contratual!P120-posicao_contratual!V120,0),2))</f>
        <v/>
      </c>
      <c r="R120" s="104" t="str">
        <f>IF(AND(A120="",A119&lt;&gt;"",COUNTIF(A121:$A$200,"&lt;&gt;")=0),ROUND(SUMIF($A$2:A119,"&lt;&gt;",$R$2:R119),2),IF(OR(Q120="",C120="",NOT(ISNUMBER($Z$5))),"",ROUND(Q120*C120*$Z$5,2)))</f>
        <v/>
      </c>
      <c r="S120" s="58"/>
      <c r="T120" s="59"/>
      <c r="U120" s="111" t="str">
        <f>IF(AND(A120="",A119&lt;&gt;"",COUNTIF(A121:$A$200,"&lt;&gt;")=0),"TOTAL",IF(A120="","",posicao_contratual!X120))</f>
        <v/>
      </c>
      <c r="V120" s="111" t="str">
        <f>IF(A120="","",posicao_contratual!X120)</f>
        <v/>
      </c>
      <c r="W120" s="15"/>
      <c r="X120" s="15"/>
      <c r="Y120" s="15"/>
      <c r="Z120" s="15"/>
      <c r="AA120" s="15"/>
      <c r="AB120" s="110" t="str">
        <f>IF(OR(A120="",posicao_contratual!E120="",posicao_contratual!J120=""),"",ROUND(MAX(posicao_contratual!E120-posicao_contratual!J120,0),2))</f>
        <v/>
      </c>
      <c r="AC120" s="104" t="str">
        <f>IF(AND(A120="",A119&lt;&gt;"",COUNTIF(A121:$A$200,"&lt;&gt;")=0),ROUND(SUMIF($A$2:A119,"&lt;&gt;",$AC$2:AC119),2),IF(OR(AB120="",C120="",NOT(ISNUMBER($Z$2))),"",ROUND(AB120*C120*$Z$2,2)))</f>
        <v/>
      </c>
      <c r="AD120" s="180" t="str">
        <f>IF(A120="","",posicao_contratual!E120)</f>
        <v/>
      </c>
      <c r="AE120" s="180" t="str">
        <f>IF(A120="","",posicao_contratual!I120)</f>
        <v/>
      </c>
      <c r="AF120" s="180" t="str">
        <f>IF(A120="","",posicao_contratual!M120)</f>
        <v/>
      </c>
      <c r="AG120" s="180" t="str">
        <f>IF(A120="","",posicao_contratual!Q120)</f>
        <v/>
      </c>
      <c r="AH120" s="180" t="str">
        <f>IF(A120="","",posicao_contratual!U120)</f>
        <v/>
      </c>
      <c r="AI120" s="180" t="str">
        <f>IF(A120="","",posicao_contratual!G120)</f>
        <v/>
      </c>
      <c r="AJ120" s="180" t="str">
        <f>IF(A120="","",posicao_contratual!K120)</f>
        <v/>
      </c>
      <c r="AK120" s="180" t="str">
        <f>IF(A120="","",posicao_contratual!O120)</f>
        <v/>
      </c>
      <c r="AL120" s="180" t="str">
        <f>IF(A120="","",posicao_contratual!S120)</f>
        <v/>
      </c>
      <c r="AM120" s="180" t="str">
        <f>IF(A120="","",posicao_contratual!W120)</f>
        <v/>
      </c>
      <c r="AN120" s="181" t="str">
        <f>IF(A120="","",posicao_contratual!X120)</f>
        <v/>
      </c>
    </row>
    <row r="121" spans="1:40" x14ac:dyDescent="0.35">
      <c r="A121" s="106"/>
      <c r="B121" s="107"/>
      <c r="C121" s="108"/>
      <c r="D121" s="104" t="str">
        <f>IF(AND(A121="",A120&lt;&gt;"",COUNTIF(A122:$A$200,"&lt;&gt;")=0),ROUND(SUMIF($A$2:A120,"&lt;&gt;",$D$2:D120),2),IF(OR(A121="",B121="",C121=""),"",ROUND(B121*C121,2)))</f>
        <v/>
      </c>
      <c r="E121" s="109"/>
      <c r="F121" s="104" t="str">
        <f>IF(AND(A121="",A120&lt;&gt;"",COUNTIF(A122:$A$200,"&lt;&gt;")=0),ROUND(SUMIF($A$2:A120,"&lt;&gt;",$F$2:F120),2),IF(OR(A121="",posicao_contratual!K121="",C121="",NOT(ISNUMBER($Z$3))),"",ROUND(posicao_contratual!K121*C121*$Z$3,2)))</f>
        <v/>
      </c>
      <c r="G121" s="109"/>
      <c r="H121" s="104" t="str">
        <f>IF(AND(A121="",A120&lt;&gt;"",COUNTIF(A122:$A$200,"&lt;&gt;")=0),ROUND(SUMIF($A$2:A120,"&lt;&gt;",$H$2:H120),2),IF(OR(A121="",posicao_contratual!O121="",C121="",NOT(ISNUMBER($Z$4))),"",ROUND(posicao_contratual!O121*C121*$Z$4,2)))</f>
        <v/>
      </c>
      <c r="I121" s="109"/>
      <c r="J121" s="104" t="str">
        <f>IF(AND(A121="",A120&lt;&gt;"",COUNTIF(A122:$A$200,"&lt;&gt;")=0),ROUND(SUMIF($A$2:A120,"&lt;&gt;",$J$2:J120),2),IF(OR(A121="",posicao_contratual!S121="",C121="",NOT(ISNUMBER($Z$5))),"",ROUND(posicao_contratual!S121*C121*$Z$5,2)))</f>
        <v/>
      </c>
      <c r="K121" s="109"/>
      <c r="L121" s="104" t="str">
        <f>IF(AND(A121="",A120&lt;&gt;"",COUNTIF(A122:$A$200,"&lt;&gt;")=0),ROUND(SUMIF($A$2:A120,"&lt;&gt;",$L$2:L120),2),IF(OR(A121="",posicao_contratual!W121="",C121="",NOT(ISNUMBER($Z$6))),"",ROUND(posicao_contratual!W121*C121*$Z$6,2)))</f>
        <v/>
      </c>
      <c r="M121" s="110" t="str">
        <f>IF(OR(posicao_contratual!J121="",posicao_contratual!N121=""),"",ROUND(MAX(posicao_contratual!J121+posicao_contratual!H121-posicao_contratual!N121,0),2))</f>
        <v/>
      </c>
      <c r="N121" s="104" t="str">
        <f>IF(AND(A121="",A120&lt;&gt;"",COUNTIF(A122:$A$200,"&lt;&gt;")=0),ROUND(SUMIF($A$2:A120,"&lt;&gt;",$N$2:N120),2),IF(OR(M121="",C121="",NOT(ISNUMBER($Z$3))),"",ROUND(M121*C121*$Z$3,2)))</f>
        <v/>
      </c>
      <c r="O121" s="110" t="str">
        <f>IF(OR(posicao_contratual!N121="",posicao_contratual!R121=""),"",ROUND(MAX(posicao_contratual!N121+posicao_contratual!L121-posicao_contratual!R121,0),2))</f>
        <v/>
      </c>
      <c r="P121" s="104" t="str">
        <f>IF(AND(A121="",A120&lt;&gt;"",COUNTIF(A122:$A$200,"&lt;&gt;")=0),ROUND(SUMIF($A$2:A120,"&lt;&gt;",$P$2:P120),2),IF(OR(O121="",C121="",NOT(ISNUMBER($Z$4))),"",ROUND(O121*C121*$Z$4,2)))</f>
        <v/>
      </c>
      <c r="Q121" s="110" t="str">
        <f>IF(OR(posicao_contratual!R121="",posicao_contratual!V121=""),"",ROUND(MAX(posicao_contratual!R121+posicao_contratual!P121-posicao_contratual!V121,0),2))</f>
        <v/>
      </c>
      <c r="R121" s="104" t="str">
        <f>IF(AND(A121="",A120&lt;&gt;"",COUNTIF(A122:$A$200,"&lt;&gt;")=0),ROUND(SUMIF($A$2:A120,"&lt;&gt;",$R$2:R120),2),IF(OR(Q121="",C121="",NOT(ISNUMBER($Z$5))),"",ROUND(Q121*C121*$Z$5,2)))</f>
        <v/>
      </c>
      <c r="S121" s="58"/>
      <c r="T121" s="59"/>
      <c r="U121" s="111" t="str">
        <f>IF(AND(A121="",A120&lt;&gt;"",COUNTIF(A122:$A$200,"&lt;&gt;")=0),"TOTAL",IF(A121="","",posicao_contratual!X121))</f>
        <v/>
      </c>
      <c r="V121" s="111" t="str">
        <f>IF(A121="","",posicao_contratual!X121)</f>
        <v/>
      </c>
      <c r="W121" s="15"/>
      <c r="X121" s="15"/>
      <c r="Y121" s="15"/>
      <c r="Z121" s="15"/>
      <c r="AA121" s="15"/>
      <c r="AB121" s="110" t="str">
        <f>IF(OR(A121="",posicao_contratual!E121="",posicao_contratual!J121=""),"",ROUND(MAX(posicao_contratual!E121-posicao_contratual!J121,0),2))</f>
        <v/>
      </c>
      <c r="AC121" s="104" t="str">
        <f>IF(AND(A121="",A120&lt;&gt;"",COUNTIF(A122:$A$200,"&lt;&gt;")=0),ROUND(SUMIF($A$2:A120,"&lt;&gt;",$AC$2:AC120),2),IF(OR(AB121="",C121="",NOT(ISNUMBER($Z$2))),"",ROUND(AB121*C121*$Z$2,2)))</f>
        <v/>
      </c>
      <c r="AD121" s="180" t="str">
        <f>IF(A121="","",posicao_contratual!E121)</f>
        <v/>
      </c>
      <c r="AE121" s="180" t="str">
        <f>IF(A121="","",posicao_contratual!I121)</f>
        <v/>
      </c>
      <c r="AF121" s="180" t="str">
        <f>IF(A121="","",posicao_contratual!M121)</f>
        <v/>
      </c>
      <c r="AG121" s="180" t="str">
        <f>IF(A121="","",posicao_contratual!Q121)</f>
        <v/>
      </c>
      <c r="AH121" s="180" t="str">
        <f>IF(A121="","",posicao_contratual!U121)</f>
        <v/>
      </c>
      <c r="AI121" s="180" t="str">
        <f>IF(A121="","",posicao_contratual!G121)</f>
        <v/>
      </c>
      <c r="AJ121" s="180" t="str">
        <f>IF(A121="","",posicao_contratual!K121)</f>
        <v/>
      </c>
      <c r="AK121" s="180" t="str">
        <f>IF(A121="","",posicao_contratual!O121)</f>
        <v/>
      </c>
      <c r="AL121" s="180" t="str">
        <f>IF(A121="","",posicao_contratual!S121)</f>
        <v/>
      </c>
      <c r="AM121" s="180" t="str">
        <f>IF(A121="","",posicao_contratual!W121)</f>
        <v/>
      </c>
      <c r="AN121" s="181" t="str">
        <f>IF(A121="","",posicao_contratual!X121)</f>
        <v/>
      </c>
    </row>
    <row r="122" spans="1:40" x14ac:dyDescent="0.35">
      <c r="A122" s="106"/>
      <c r="B122" s="107"/>
      <c r="C122" s="108"/>
      <c r="D122" s="104" t="str">
        <f>IF(AND(A122="",A121&lt;&gt;"",COUNTIF(A123:$A$200,"&lt;&gt;")=0),ROUND(SUMIF($A$2:A121,"&lt;&gt;",$D$2:D121),2),IF(OR(A122="",B122="",C122=""),"",ROUND(B122*C122,2)))</f>
        <v/>
      </c>
      <c r="E122" s="109"/>
      <c r="F122" s="104" t="str">
        <f>IF(AND(A122="",A121&lt;&gt;"",COUNTIF(A123:$A$200,"&lt;&gt;")=0),ROUND(SUMIF($A$2:A121,"&lt;&gt;",$F$2:F121),2),IF(OR(A122="",posicao_contratual!K122="",C122="",NOT(ISNUMBER($Z$3))),"",ROUND(posicao_contratual!K122*C122*$Z$3,2)))</f>
        <v/>
      </c>
      <c r="G122" s="109"/>
      <c r="H122" s="104" t="str">
        <f>IF(AND(A122="",A121&lt;&gt;"",COUNTIF(A123:$A$200,"&lt;&gt;")=0),ROUND(SUMIF($A$2:A121,"&lt;&gt;",$H$2:H121),2),IF(OR(A122="",posicao_contratual!O122="",C122="",NOT(ISNUMBER($Z$4))),"",ROUND(posicao_contratual!O122*C122*$Z$4,2)))</f>
        <v/>
      </c>
      <c r="I122" s="109"/>
      <c r="J122" s="104" t="str">
        <f>IF(AND(A122="",A121&lt;&gt;"",COUNTIF(A123:$A$200,"&lt;&gt;")=0),ROUND(SUMIF($A$2:A121,"&lt;&gt;",$J$2:J121),2),IF(OR(A122="",posicao_contratual!S122="",C122="",NOT(ISNUMBER($Z$5))),"",ROUND(posicao_contratual!S122*C122*$Z$5,2)))</f>
        <v/>
      </c>
      <c r="K122" s="109"/>
      <c r="L122" s="104" t="str">
        <f>IF(AND(A122="",A121&lt;&gt;"",COUNTIF(A123:$A$200,"&lt;&gt;")=0),ROUND(SUMIF($A$2:A121,"&lt;&gt;",$L$2:L121),2),IF(OR(A122="",posicao_contratual!W122="",C122="",NOT(ISNUMBER($Z$6))),"",ROUND(posicao_contratual!W122*C122*$Z$6,2)))</f>
        <v/>
      </c>
      <c r="M122" s="110" t="str">
        <f>IF(OR(posicao_contratual!J122="",posicao_contratual!N122=""),"",ROUND(MAX(posicao_contratual!J122+posicao_contratual!H122-posicao_contratual!N122,0),2))</f>
        <v/>
      </c>
      <c r="N122" s="104" t="str">
        <f>IF(AND(A122="",A121&lt;&gt;"",COUNTIF(A123:$A$200,"&lt;&gt;")=0),ROUND(SUMIF($A$2:A121,"&lt;&gt;",$N$2:N121),2),IF(OR(M122="",C122="",NOT(ISNUMBER($Z$3))),"",ROUND(M122*C122*$Z$3,2)))</f>
        <v/>
      </c>
      <c r="O122" s="110" t="str">
        <f>IF(OR(posicao_contratual!N122="",posicao_contratual!R122=""),"",ROUND(MAX(posicao_contratual!N122+posicao_contratual!L122-posicao_contratual!R122,0),2))</f>
        <v/>
      </c>
      <c r="P122" s="104" t="str">
        <f>IF(AND(A122="",A121&lt;&gt;"",COUNTIF(A123:$A$200,"&lt;&gt;")=0),ROUND(SUMIF($A$2:A121,"&lt;&gt;",$P$2:P121),2),IF(OR(O122="",C122="",NOT(ISNUMBER($Z$4))),"",ROUND(O122*C122*$Z$4,2)))</f>
        <v/>
      </c>
      <c r="Q122" s="110" t="str">
        <f>IF(OR(posicao_contratual!R122="",posicao_contratual!V122=""),"",ROUND(MAX(posicao_contratual!R122+posicao_contratual!P122-posicao_contratual!V122,0),2))</f>
        <v/>
      </c>
      <c r="R122" s="104" t="str">
        <f>IF(AND(A122="",A121&lt;&gt;"",COUNTIF(A123:$A$200,"&lt;&gt;")=0),ROUND(SUMIF($A$2:A121,"&lt;&gt;",$R$2:R121),2),IF(OR(Q122="",C122="",NOT(ISNUMBER($Z$5))),"",ROUND(Q122*C122*$Z$5,2)))</f>
        <v/>
      </c>
      <c r="S122" s="58"/>
      <c r="T122" s="59"/>
      <c r="U122" s="111" t="str">
        <f>IF(AND(A122="",A121&lt;&gt;"",COUNTIF(A123:$A$200,"&lt;&gt;")=0),"TOTAL",IF(A122="","",posicao_contratual!X122))</f>
        <v/>
      </c>
      <c r="V122" s="111" t="str">
        <f>IF(A122="","",posicao_contratual!X122)</f>
        <v/>
      </c>
      <c r="W122" s="15"/>
      <c r="X122" s="15"/>
      <c r="Y122" s="15"/>
      <c r="Z122" s="15"/>
      <c r="AA122" s="15"/>
      <c r="AB122" s="110" t="str">
        <f>IF(OR(A122="",posicao_contratual!E122="",posicao_contratual!J122=""),"",ROUND(MAX(posicao_contratual!E122-posicao_contratual!J122,0),2))</f>
        <v/>
      </c>
      <c r="AC122" s="104" t="str">
        <f>IF(AND(A122="",A121&lt;&gt;"",COUNTIF(A123:$A$200,"&lt;&gt;")=0),ROUND(SUMIF($A$2:A121,"&lt;&gt;",$AC$2:AC121),2),IF(OR(AB122="",C122="",NOT(ISNUMBER($Z$2))),"",ROUND(AB122*C122*$Z$2,2)))</f>
        <v/>
      </c>
      <c r="AD122" s="180" t="str">
        <f>IF(A122="","",posicao_contratual!E122)</f>
        <v/>
      </c>
      <c r="AE122" s="180" t="str">
        <f>IF(A122="","",posicao_contratual!I122)</f>
        <v/>
      </c>
      <c r="AF122" s="180" t="str">
        <f>IF(A122="","",posicao_contratual!M122)</f>
        <v/>
      </c>
      <c r="AG122" s="180" t="str">
        <f>IF(A122="","",posicao_contratual!Q122)</f>
        <v/>
      </c>
      <c r="AH122" s="180" t="str">
        <f>IF(A122="","",posicao_contratual!U122)</f>
        <v/>
      </c>
      <c r="AI122" s="180" t="str">
        <f>IF(A122="","",posicao_contratual!G122)</f>
        <v/>
      </c>
      <c r="AJ122" s="180" t="str">
        <f>IF(A122="","",posicao_contratual!K122)</f>
        <v/>
      </c>
      <c r="AK122" s="180" t="str">
        <f>IF(A122="","",posicao_contratual!O122)</f>
        <v/>
      </c>
      <c r="AL122" s="180" t="str">
        <f>IF(A122="","",posicao_contratual!S122)</f>
        <v/>
      </c>
      <c r="AM122" s="180" t="str">
        <f>IF(A122="","",posicao_contratual!W122)</f>
        <v/>
      </c>
      <c r="AN122" s="181" t="str">
        <f>IF(A122="","",posicao_contratual!X122)</f>
        <v/>
      </c>
    </row>
    <row r="123" spans="1:40" x14ac:dyDescent="0.35">
      <c r="A123" s="106"/>
      <c r="B123" s="107"/>
      <c r="C123" s="108"/>
      <c r="D123" s="104" t="str">
        <f>IF(AND(A123="",A122&lt;&gt;"",COUNTIF(A124:$A$200,"&lt;&gt;")=0),ROUND(SUMIF($A$2:A122,"&lt;&gt;",$D$2:D122),2),IF(OR(A123="",B123="",C123=""),"",ROUND(B123*C123,2)))</f>
        <v/>
      </c>
      <c r="E123" s="109"/>
      <c r="F123" s="104" t="str">
        <f>IF(AND(A123="",A122&lt;&gt;"",COUNTIF(A124:$A$200,"&lt;&gt;")=0),ROUND(SUMIF($A$2:A122,"&lt;&gt;",$F$2:F122),2),IF(OR(A123="",posicao_contratual!K123="",C123="",NOT(ISNUMBER($Z$3))),"",ROUND(posicao_contratual!K123*C123*$Z$3,2)))</f>
        <v/>
      </c>
      <c r="G123" s="109"/>
      <c r="H123" s="104" t="str">
        <f>IF(AND(A123="",A122&lt;&gt;"",COUNTIF(A124:$A$200,"&lt;&gt;")=0),ROUND(SUMIF($A$2:A122,"&lt;&gt;",$H$2:H122),2),IF(OR(A123="",posicao_contratual!O123="",C123="",NOT(ISNUMBER($Z$4))),"",ROUND(posicao_contratual!O123*C123*$Z$4,2)))</f>
        <v/>
      </c>
      <c r="I123" s="109"/>
      <c r="J123" s="104" t="str">
        <f>IF(AND(A123="",A122&lt;&gt;"",COUNTIF(A124:$A$200,"&lt;&gt;")=0),ROUND(SUMIF($A$2:A122,"&lt;&gt;",$J$2:J122),2),IF(OR(A123="",posicao_contratual!S123="",C123="",NOT(ISNUMBER($Z$5))),"",ROUND(posicao_contratual!S123*C123*$Z$5,2)))</f>
        <v/>
      </c>
      <c r="K123" s="109"/>
      <c r="L123" s="104" t="str">
        <f>IF(AND(A123="",A122&lt;&gt;"",COUNTIF(A124:$A$200,"&lt;&gt;")=0),ROUND(SUMIF($A$2:A122,"&lt;&gt;",$L$2:L122),2),IF(OR(A123="",posicao_contratual!W123="",C123="",NOT(ISNUMBER($Z$6))),"",ROUND(posicao_contratual!W123*C123*$Z$6,2)))</f>
        <v/>
      </c>
      <c r="M123" s="110" t="str">
        <f>IF(OR(posicao_contratual!J123="",posicao_contratual!N123=""),"",ROUND(MAX(posicao_contratual!J123+posicao_contratual!H123-posicao_contratual!N123,0),2))</f>
        <v/>
      </c>
      <c r="N123" s="104" t="str">
        <f>IF(AND(A123="",A122&lt;&gt;"",COUNTIF(A124:$A$200,"&lt;&gt;")=0),ROUND(SUMIF($A$2:A122,"&lt;&gt;",$N$2:N122),2),IF(OR(M123="",C123="",NOT(ISNUMBER($Z$3))),"",ROUND(M123*C123*$Z$3,2)))</f>
        <v/>
      </c>
      <c r="O123" s="110" t="str">
        <f>IF(OR(posicao_contratual!N123="",posicao_contratual!R123=""),"",ROUND(MAX(posicao_contratual!N123+posicao_contratual!L123-posicao_contratual!R123,0),2))</f>
        <v/>
      </c>
      <c r="P123" s="104" t="str">
        <f>IF(AND(A123="",A122&lt;&gt;"",COUNTIF(A124:$A$200,"&lt;&gt;")=0),ROUND(SUMIF($A$2:A122,"&lt;&gt;",$P$2:P122),2),IF(OR(O123="",C123="",NOT(ISNUMBER($Z$4))),"",ROUND(O123*C123*$Z$4,2)))</f>
        <v/>
      </c>
      <c r="Q123" s="110" t="str">
        <f>IF(OR(posicao_contratual!R123="",posicao_contratual!V123=""),"",ROUND(MAX(posicao_contratual!R123+posicao_contratual!P123-posicao_contratual!V123,0),2))</f>
        <v/>
      </c>
      <c r="R123" s="104" t="str">
        <f>IF(AND(A123="",A122&lt;&gt;"",COUNTIF(A124:$A$200,"&lt;&gt;")=0),ROUND(SUMIF($A$2:A122,"&lt;&gt;",$R$2:R122),2),IF(OR(Q123="",C123="",NOT(ISNUMBER($Z$5))),"",ROUND(Q123*C123*$Z$5,2)))</f>
        <v/>
      </c>
      <c r="S123" s="58"/>
      <c r="T123" s="59"/>
      <c r="U123" s="111" t="str">
        <f>IF(AND(A123="",A122&lt;&gt;"",COUNTIF(A124:$A$200,"&lt;&gt;")=0),"TOTAL",IF(A123="","",posicao_contratual!X123))</f>
        <v/>
      </c>
      <c r="V123" s="111" t="str">
        <f>IF(A123="","",posicao_contratual!X123)</f>
        <v/>
      </c>
      <c r="W123" s="15"/>
      <c r="X123" s="15"/>
      <c r="Y123" s="15"/>
      <c r="Z123" s="15"/>
      <c r="AA123" s="15"/>
      <c r="AB123" s="110" t="str">
        <f>IF(OR(A123="",posicao_contratual!E123="",posicao_contratual!J123=""),"",ROUND(MAX(posicao_contratual!E123-posicao_contratual!J123,0),2))</f>
        <v/>
      </c>
      <c r="AC123" s="104" t="str">
        <f>IF(AND(A123="",A122&lt;&gt;"",COUNTIF(A124:$A$200,"&lt;&gt;")=0),ROUND(SUMIF($A$2:A122,"&lt;&gt;",$AC$2:AC122),2),IF(OR(AB123="",C123="",NOT(ISNUMBER($Z$2))),"",ROUND(AB123*C123*$Z$2,2)))</f>
        <v/>
      </c>
      <c r="AD123" s="180" t="str">
        <f>IF(A123="","",posicao_contratual!E123)</f>
        <v/>
      </c>
      <c r="AE123" s="180" t="str">
        <f>IF(A123="","",posicao_contratual!I123)</f>
        <v/>
      </c>
      <c r="AF123" s="180" t="str">
        <f>IF(A123="","",posicao_contratual!M123)</f>
        <v/>
      </c>
      <c r="AG123" s="180" t="str">
        <f>IF(A123="","",posicao_contratual!Q123)</f>
        <v/>
      </c>
      <c r="AH123" s="180" t="str">
        <f>IF(A123="","",posicao_contratual!U123)</f>
        <v/>
      </c>
      <c r="AI123" s="180" t="str">
        <f>IF(A123="","",posicao_contratual!G123)</f>
        <v/>
      </c>
      <c r="AJ123" s="180" t="str">
        <f>IF(A123="","",posicao_contratual!K123)</f>
        <v/>
      </c>
      <c r="AK123" s="180" t="str">
        <f>IF(A123="","",posicao_contratual!O123)</f>
        <v/>
      </c>
      <c r="AL123" s="180" t="str">
        <f>IF(A123="","",posicao_contratual!S123)</f>
        <v/>
      </c>
      <c r="AM123" s="180" t="str">
        <f>IF(A123="","",posicao_contratual!W123)</f>
        <v/>
      </c>
      <c r="AN123" s="181" t="str">
        <f>IF(A123="","",posicao_contratual!X123)</f>
        <v/>
      </c>
    </row>
    <row r="124" spans="1:40" x14ac:dyDescent="0.35">
      <c r="A124" s="106"/>
      <c r="B124" s="107"/>
      <c r="C124" s="108"/>
      <c r="D124" s="104" t="str">
        <f>IF(AND(A124="",A123&lt;&gt;"",COUNTIF(A125:$A$200,"&lt;&gt;")=0),ROUND(SUMIF($A$2:A123,"&lt;&gt;",$D$2:D123),2),IF(OR(A124="",B124="",C124=""),"",ROUND(B124*C124,2)))</f>
        <v/>
      </c>
      <c r="E124" s="109"/>
      <c r="F124" s="104" t="str">
        <f>IF(AND(A124="",A123&lt;&gt;"",COUNTIF(A125:$A$200,"&lt;&gt;")=0),ROUND(SUMIF($A$2:A123,"&lt;&gt;",$F$2:F123),2),IF(OR(A124="",posicao_contratual!K124="",C124="",NOT(ISNUMBER($Z$3))),"",ROUND(posicao_contratual!K124*C124*$Z$3,2)))</f>
        <v/>
      </c>
      <c r="G124" s="109"/>
      <c r="H124" s="104" t="str">
        <f>IF(AND(A124="",A123&lt;&gt;"",COUNTIF(A125:$A$200,"&lt;&gt;")=0),ROUND(SUMIF($A$2:A123,"&lt;&gt;",$H$2:H123),2),IF(OR(A124="",posicao_contratual!O124="",C124="",NOT(ISNUMBER($Z$4))),"",ROUND(posicao_contratual!O124*C124*$Z$4,2)))</f>
        <v/>
      </c>
      <c r="I124" s="109"/>
      <c r="J124" s="104" t="str">
        <f>IF(AND(A124="",A123&lt;&gt;"",COUNTIF(A125:$A$200,"&lt;&gt;")=0),ROUND(SUMIF($A$2:A123,"&lt;&gt;",$J$2:J123),2),IF(OR(A124="",posicao_contratual!S124="",C124="",NOT(ISNUMBER($Z$5))),"",ROUND(posicao_contratual!S124*C124*$Z$5,2)))</f>
        <v/>
      </c>
      <c r="K124" s="109"/>
      <c r="L124" s="104" t="str">
        <f>IF(AND(A124="",A123&lt;&gt;"",COUNTIF(A125:$A$200,"&lt;&gt;")=0),ROUND(SUMIF($A$2:A123,"&lt;&gt;",$L$2:L123),2),IF(OR(A124="",posicao_contratual!W124="",C124="",NOT(ISNUMBER($Z$6))),"",ROUND(posicao_contratual!W124*C124*$Z$6,2)))</f>
        <v/>
      </c>
      <c r="M124" s="110" t="str">
        <f>IF(OR(posicao_contratual!J124="",posicao_contratual!N124=""),"",ROUND(MAX(posicao_contratual!J124+posicao_contratual!H124-posicao_contratual!N124,0),2))</f>
        <v/>
      </c>
      <c r="N124" s="104" t="str">
        <f>IF(AND(A124="",A123&lt;&gt;"",COUNTIF(A125:$A$200,"&lt;&gt;")=0),ROUND(SUMIF($A$2:A123,"&lt;&gt;",$N$2:N123),2),IF(OR(M124="",C124="",NOT(ISNUMBER($Z$3))),"",ROUND(M124*C124*$Z$3,2)))</f>
        <v/>
      </c>
      <c r="O124" s="110" t="str">
        <f>IF(OR(posicao_contratual!N124="",posicao_contratual!R124=""),"",ROUND(MAX(posicao_contratual!N124+posicao_contratual!L124-posicao_contratual!R124,0),2))</f>
        <v/>
      </c>
      <c r="P124" s="104" t="str">
        <f>IF(AND(A124="",A123&lt;&gt;"",COUNTIF(A125:$A$200,"&lt;&gt;")=0),ROUND(SUMIF($A$2:A123,"&lt;&gt;",$P$2:P123),2),IF(OR(O124="",C124="",NOT(ISNUMBER($Z$4))),"",ROUND(O124*C124*$Z$4,2)))</f>
        <v/>
      </c>
      <c r="Q124" s="110" t="str">
        <f>IF(OR(posicao_contratual!R124="",posicao_contratual!V124=""),"",ROUND(MAX(posicao_contratual!R124+posicao_contratual!P124-posicao_contratual!V124,0),2))</f>
        <v/>
      </c>
      <c r="R124" s="104" t="str">
        <f>IF(AND(A124="",A123&lt;&gt;"",COUNTIF(A125:$A$200,"&lt;&gt;")=0),ROUND(SUMIF($A$2:A123,"&lt;&gt;",$R$2:R123),2),IF(OR(Q124="",C124="",NOT(ISNUMBER($Z$5))),"",ROUND(Q124*C124*$Z$5,2)))</f>
        <v/>
      </c>
      <c r="S124" s="58"/>
      <c r="T124" s="59"/>
      <c r="U124" s="111" t="str">
        <f>IF(AND(A124="",A123&lt;&gt;"",COUNTIF(A125:$A$200,"&lt;&gt;")=0),"TOTAL",IF(A124="","",posicao_contratual!X124))</f>
        <v/>
      </c>
      <c r="V124" s="111" t="str">
        <f>IF(A124="","",posicao_contratual!X124)</f>
        <v/>
      </c>
      <c r="W124" s="15"/>
      <c r="X124" s="15"/>
      <c r="Y124" s="15"/>
      <c r="Z124" s="15"/>
      <c r="AA124" s="15"/>
      <c r="AB124" s="110" t="str">
        <f>IF(OR(A124="",posicao_contratual!E124="",posicao_contratual!J124=""),"",ROUND(MAX(posicao_contratual!E124-posicao_contratual!J124,0),2))</f>
        <v/>
      </c>
      <c r="AC124" s="104" t="str">
        <f>IF(AND(A124="",A123&lt;&gt;"",COUNTIF(A125:$A$200,"&lt;&gt;")=0),ROUND(SUMIF($A$2:A123,"&lt;&gt;",$AC$2:AC123),2),IF(OR(AB124="",C124="",NOT(ISNUMBER($Z$2))),"",ROUND(AB124*C124*$Z$2,2)))</f>
        <v/>
      </c>
      <c r="AD124" s="180" t="str">
        <f>IF(A124="","",posicao_contratual!E124)</f>
        <v/>
      </c>
      <c r="AE124" s="180" t="str">
        <f>IF(A124="","",posicao_contratual!I124)</f>
        <v/>
      </c>
      <c r="AF124" s="180" t="str">
        <f>IF(A124="","",posicao_contratual!M124)</f>
        <v/>
      </c>
      <c r="AG124" s="180" t="str">
        <f>IF(A124="","",posicao_contratual!Q124)</f>
        <v/>
      </c>
      <c r="AH124" s="180" t="str">
        <f>IF(A124="","",posicao_contratual!U124)</f>
        <v/>
      </c>
      <c r="AI124" s="180" t="str">
        <f>IF(A124="","",posicao_contratual!G124)</f>
        <v/>
      </c>
      <c r="AJ124" s="180" t="str">
        <f>IF(A124="","",posicao_contratual!K124)</f>
        <v/>
      </c>
      <c r="AK124" s="180" t="str">
        <f>IF(A124="","",posicao_contratual!O124)</f>
        <v/>
      </c>
      <c r="AL124" s="180" t="str">
        <f>IF(A124="","",posicao_contratual!S124)</f>
        <v/>
      </c>
      <c r="AM124" s="180" t="str">
        <f>IF(A124="","",posicao_contratual!W124)</f>
        <v/>
      </c>
      <c r="AN124" s="181" t="str">
        <f>IF(A124="","",posicao_contratual!X124)</f>
        <v/>
      </c>
    </row>
    <row r="125" spans="1:40" x14ac:dyDescent="0.35">
      <c r="A125" s="106"/>
      <c r="B125" s="107"/>
      <c r="C125" s="108"/>
      <c r="D125" s="104" t="str">
        <f>IF(AND(A125="",A124&lt;&gt;"",COUNTIF(A126:$A$200,"&lt;&gt;")=0),ROUND(SUMIF($A$2:A124,"&lt;&gt;",$D$2:D124),2),IF(OR(A125="",B125="",C125=""),"",ROUND(B125*C125,2)))</f>
        <v/>
      </c>
      <c r="E125" s="109"/>
      <c r="F125" s="104" t="str">
        <f>IF(AND(A125="",A124&lt;&gt;"",COUNTIF(A126:$A$200,"&lt;&gt;")=0),ROUND(SUMIF($A$2:A124,"&lt;&gt;",$F$2:F124),2),IF(OR(A125="",posicao_contratual!K125="",C125="",NOT(ISNUMBER($Z$3))),"",ROUND(posicao_contratual!K125*C125*$Z$3,2)))</f>
        <v/>
      </c>
      <c r="G125" s="109"/>
      <c r="H125" s="104" t="str">
        <f>IF(AND(A125="",A124&lt;&gt;"",COUNTIF(A126:$A$200,"&lt;&gt;")=0),ROUND(SUMIF($A$2:A124,"&lt;&gt;",$H$2:H124),2),IF(OR(A125="",posicao_contratual!O125="",C125="",NOT(ISNUMBER($Z$4))),"",ROUND(posicao_contratual!O125*C125*$Z$4,2)))</f>
        <v/>
      </c>
      <c r="I125" s="109"/>
      <c r="J125" s="104" t="str">
        <f>IF(AND(A125="",A124&lt;&gt;"",COUNTIF(A126:$A$200,"&lt;&gt;")=0),ROUND(SUMIF($A$2:A124,"&lt;&gt;",$J$2:J124),2),IF(OR(A125="",posicao_contratual!S125="",C125="",NOT(ISNUMBER($Z$5))),"",ROUND(posicao_contratual!S125*C125*$Z$5,2)))</f>
        <v/>
      </c>
      <c r="K125" s="109"/>
      <c r="L125" s="104" t="str">
        <f>IF(AND(A125="",A124&lt;&gt;"",COUNTIF(A126:$A$200,"&lt;&gt;")=0),ROUND(SUMIF($A$2:A124,"&lt;&gt;",$L$2:L124),2),IF(OR(A125="",posicao_contratual!W125="",C125="",NOT(ISNUMBER($Z$6))),"",ROUND(posicao_contratual!W125*C125*$Z$6,2)))</f>
        <v/>
      </c>
      <c r="M125" s="110" t="str">
        <f>IF(OR(posicao_contratual!J125="",posicao_contratual!N125=""),"",ROUND(MAX(posicao_contratual!J125+posicao_contratual!H125-posicao_contratual!N125,0),2))</f>
        <v/>
      </c>
      <c r="N125" s="104" t="str">
        <f>IF(AND(A125="",A124&lt;&gt;"",COUNTIF(A126:$A$200,"&lt;&gt;")=0),ROUND(SUMIF($A$2:A124,"&lt;&gt;",$N$2:N124),2),IF(OR(M125="",C125="",NOT(ISNUMBER($Z$3))),"",ROUND(M125*C125*$Z$3,2)))</f>
        <v/>
      </c>
      <c r="O125" s="110" t="str">
        <f>IF(OR(posicao_contratual!N125="",posicao_contratual!R125=""),"",ROUND(MAX(posicao_contratual!N125+posicao_contratual!L125-posicao_contratual!R125,0),2))</f>
        <v/>
      </c>
      <c r="P125" s="104" t="str">
        <f>IF(AND(A125="",A124&lt;&gt;"",COUNTIF(A126:$A$200,"&lt;&gt;")=0),ROUND(SUMIF($A$2:A124,"&lt;&gt;",$P$2:P124),2),IF(OR(O125="",C125="",NOT(ISNUMBER($Z$4))),"",ROUND(O125*C125*$Z$4,2)))</f>
        <v/>
      </c>
      <c r="Q125" s="110" t="str">
        <f>IF(OR(posicao_contratual!R125="",posicao_contratual!V125=""),"",ROUND(MAX(posicao_contratual!R125+posicao_contratual!P125-posicao_contratual!V125,0),2))</f>
        <v/>
      </c>
      <c r="R125" s="104" t="str">
        <f>IF(AND(A125="",A124&lt;&gt;"",COUNTIF(A126:$A$200,"&lt;&gt;")=0),ROUND(SUMIF($A$2:A124,"&lt;&gt;",$R$2:R124),2),IF(OR(Q125="",C125="",NOT(ISNUMBER($Z$5))),"",ROUND(Q125*C125*$Z$5,2)))</f>
        <v/>
      </c>
      <c r="S125" s="58"/>
      <c r="T125" s="59"/>
      <c r="U125" s="111" t="str">
        <f>IF(AND(A125="",A124&lt;&gt;"",COUNTIF(A126:$A$200,"&lt;&gt;")=0),"TOTAL",IF(A125="","",posicao_contratual!X125))</f>
        <v/>
      </c>
      <c r="V125" s="111" t="str">
        <f>IF(A125="","",posicao_contratual!X125)</f>
        <v/>
      </c>
      <c r="W125" s="15"/>
      <c r="X125" s="15"/>
      <c r="Y125" s="15"/>
      <c r="Z125" s="15"/>
      <c r="AA125" s="15"/>
      <c r="AB125" s="110" t="str">
        <f>IF(OR(A125="",posicao_contratual!E125="",posicao_contratual!J125=""),"",ROUND(MAX(posicao_contratual!E125-posicao_contratual!J125,0),2))</f>
        <v/>
      </c>
      <c r="AC125" s="104" t="str">
        <f>IF(AND(A125="",A124&lt;&gt;"",COUNTIF(A126:$A$200,"&lt;&gt;")=0),ROUND(SUMIF($A$2:A124,"&lt;&gt;",$AC$2:AC124),2),IF(OR(AB125="",C125="",NOT(ISNUMBER($Z$2))),"",ROUND(AB125*C125*$Z$2,2)))</f>
        <v/>
      </c>
      <c r="AD125" s="180" t="str">
        <f>IF(A125="","",posicao_contratual!E125)</f>
        <v/>
      </c>
      <c r="AE125" s="180" t="str">
        <f>IF(A125="","",posicao_contratual!I125)</f>
        <v/>
      </c>
      <c r="AF125" s="180" t="str">
        <f>IF(A125="","",posicao_contratual!M125)</f>
        <v/>
      </c>
      <c r="AG125" s="180" t="str">
        <f>IF(A125="","",posicao_contratual!Q125)</f>
        <v/>
      </c>
      <c r="AH125" s="180" t="str">
        <f>IF(A125="","",posicao_contratual!U125)</f>
        <v/>
      </c>
      <c r="AI125" s="180" t="str">
        <f>IF(A125="","",posicao_contratual!G125)</f>
        <v/>
      </c>
      <c r="AJ125" s="180" t="str">
        <f>IF(A125="","",posicao_contratual!K125)</f>
        <v/>
      </c>
      <c r="AK125" s="180" t="str">
        <f>IF(A125="","",posicao_contratual!O125)</f>
        <v/>
      </c>
      <c r="AL125" s="180" t="str">
        <f>IF(A125="","",posicao_contratual!S125)</f>
        <v/>
      </c>
      <c r="AM125" s="180" t="str">
        <f>IF(A125="","",posicao_contratual!W125)</f>
        <v/>
      </c>
      <c r="AN125" s="181" t="str">
        <f>IF(A125="","",posicao_contratual!X125)</f>
        <v/>
      </c>
    </row>
    <row r="126" spans="1:40" x14ac:dyDescent="0.35">
      <c r="A126" s="106"/>
      <c r="B126" s="107"/>
      <c r="C126" s="108"/>
      <c r="D126" s="104" t="str">
        <f>IF(AND(A126="",A125&lt;&gt;"",COUNTIF(A127:$A$200,"&lt;&gt;")=0),ROUND(SUMIF($A$2:A125,"&lt;&gt;",$D$2:D125),2),IF(OR(A126="",B126="",C126=""),"",ROUND(B126*C126,2)))</f>
        <v/>
      </c>
      <c r="E126" s="109"/>
      <c r="F126" s="104" t="str">
        <f>IF(AND(A126="",A125&lt;&gt;"",COUNTIF(A127:$A$200,"&lt;&gt;")=0),ROUND(SUMIF($A$2:A125,"&lt;&gt;",$F$2:F125),2),IF(OR(A126="",posicao_contratual!K126="",C126="",NOT(ISNUMBER($Z$3))),"",ROUND(posicao_contratual!K126*C126*$Z$3,2)))</f>
        <v/>
      </c>
      <c r="G126" s="109"/>
      <c r="H126" s="104" t="str">
        <f>IF(AND(A126="",A125&lt;&gt;"",COUNTIF(A127:$A$200,"&lt;&gt;")=0),ROUND(SUMIF($A$2:A125,"&lt;&gt;",$H$2:H125),2),IF(OR(A126="",posicao_contratual!O126="",C126="",NOT(ISNUMBER($Z$4))),"",ROUND(posicao_contratual!O126*C126*$Z$4,2)))</f>
        <v/>
      </c>
      <c r="I126" s="109"/>
      <c r="J126" s="104" t="str">
        <f>IF(AND(A126="",A125&lt;&gt;"",COUNTIF(A127:$A$200,"&lt;&gt;")=0),ROUND(SUMIF($A$2:A125,"&lt;&gt;",$J$2:J125),2),IF(OR(A126="",posicao_contratual!S126="",C126="",NOT(ISNUMBER($Z$5))),"",ROUND(posicao_contratual!S126*C126*$Z$5,2)))</f>
        <v/>
      </c>
      <c r="K126" s="109"/>
      <c r="L126" s="104" t="str">
        <f>IF(AND(A126="",A125&lt;&gt;"",COUNTIF(A127:$A$200,"&lt;&gt;")=0),ROUND(SUMIF($A$2:A125,"&lt;&gt;",$L$2:L125),2),IF(OR(A126="",posicao_contratual!W126="",C126="",NOT(ISNUMBER($Z$6))),"",ROUND(posicao_contratual!W126*C126*$Z$6,2)))</f>
        <v/>
      </c>
      <c r="M126" s="110" t="str">
        <f>IF(OR(posicao_contratual!J126="",posicao_contratual!N126=""),"",ROUND(MAX(posicao_contratual!J126+posicao_contratual!H126-posicao_contratual!N126,0),2))</f>
        <v/>
      </c>
      <c r="N126" s="104" t="str">
        <f>IF(AND(A126="",A125&lt;&gt;"",COUNTIF(A127:$A$200,"&lt;&gt;")=0),ROUND(SUMIF($A$2:A125,"&lt;&gt;",$N$2:N125),2),IF(OR(M126="",C126="",NOT(ISNUMBER($Z$3))),"",ROUND(M126*C126*$Z$3,2)))</f>
        <v/>
      </c>
      <c r="O126" s="110" t="str">
        <f>IF(OR(posicao_contratual!N126="",posicao_contratual!R126=""),"",ROUND(MAX(posicao_contratual!N126+posicao_contratual!L126-posicao_contratual!R126,0),2))</f>
        <v/>
      </c>
      <c r="P126" s="104" t="str">
        <f>IF(AND(A126="",A125&lt;&gt;"",COUNTIF(A127:$A$200,"&lt;&gt;")=0),ROUND(SUMIF($A$2:A125,"&lt;&gt;",$P$2:P125),2),IF(OR(O126="",C126="",NOT(ISNUMBER($Z$4))),"",ROUND(O126*C126*$Z$4,2)))</f>
        <v/>
      </c>
      <c r="Q126" s="110" t="str">
        <f>IF(OR(posicao_contratual!R126="",posicao_contratual!V126=""),"",ROUND(MAX(posicao_contratual!R126+posicao_contratual!P126-posicao_contratual!V126,0),2))</f>
        <v/>
      </c>
      <c r="R126" s="104" t="str">
        <f>IF(AND(A126="",A125&lt;&gt;"",COUNTIF(A127:$A$200,"&lt;&gt;")=0),ROUND(SUMIF($A$2:A125,"&lt;&gt;",$R$2:R125),2),IF(OR(Q126="",C126="",NOT(ISNUMBER($Z$5))),"",ROUND(Q126*C126*$Z$5,2)))</f>
        <v/>
      </c>
      <c r="S126" s="58"/>
      <c r="T126" s="59"/>
      <c r="U126" s="111" t="str">
        <f>IF(AND(A126="",A125&lt;&gt;"",COUNTIF(A127:$A$200,"&lt;&gt;")=0),"TOTAL",IF(A126="","",posicao_contratual!X126))</f>
        <v/>
      </c>
      <c r="V126" s="111" t="str">
        <f>IF(A126="","",posicao_contratual!X126)</f>
        <v/>
      </c>
      <c r="W126" s="15"/>
      <c r="X126" s="15"/>
      <c r="Y126" s="15"/>
      <c r="Z126" s="15"/>
      <c r="AA126" s="15"/>
      <c r="AB126" s="110" t="str">
        <f>IF(OR(A126="",posicao_contratual!E126="",posicao_contratual!J126=""),"",ROUND(MAX(posicao_contratual!E126-posicao_contratual!J126,0),2))</f>
        <v/>
      </c>
      <c r="AC126" s="104" t="str">
        <f>IF(AND(A126="",A125&lt;&gt;"",COUNTIF(A127:$A$200,"&lt;&gt;")=0),ROUND(SUMIF($A$2:A125,"&lt;&gt;",$AC$2:AC125),2),IF(OR(AB126="",C126="",NOT(ISNUMBER($Z$2))),"",ROUND(AB126*C126*$Z$2,2)))</f>
        <v/>
      </c>
      <c r="AD126" s="180" t="str">
        <f>IF(A126="","",posicao_contratual!E126)</f>
        <v/>
      </c>
      <c r="AE126" s="180" t="str">
        <f>IF(A126="","",posicao_contratual!I126)</f>
        <v/>
      </c>
      <c r="AF126" s="180" t="str">
        <f>IF(A126="","",posicao_contratual!M126)</f>
        <v/>
      </c>
      <c r="AG126" s="180" t="str">
        <f>IF(A126="","",posicao_contratual!Q126)</f>
        <v/>
      </c>
      <c r="AH126" s="180" t="str">
        <f>IF(A126="","",posicao_contratual!U126)</f>
        <v/>
      </c>
      <c r="AI126" s="180" t="str">
        <f>IF(A126="","",posicao_contratual!G126)</f>
        <v/>
      </c>
      <c r="AJ126" s="180" t="str">
        <f>IF(A126="","",posicao_contratual!K126)</f>
        <v/>
      </c>
      <c r="AK126" s="180" t="str">
        <f>IF(A126="","",posicao_contratual!O126)</f>
        <v/>
      </c>
      <c r="AL126" s="180" t="str">
        <f>IF(A126="","",posicao_contratual!S126)</f>
        <v/>
      </c>
      <c r="AM126" s="180" t="str">
        <f>IF(A126="","",posicao_contratual!W126)</f>
        <v/>
      </c>
      <c r="AN126" s="181" t="str">
        <f>IF(A126="","",posicao_contratual!X126)</f>
        <v/>
      </c>
    </row>
    <row r="127" spans="1:40" x14ac:dyDescent="0.35">
      <c r="A127" s="106"/>
      <c r="B127" s="107"/>
      <c r="C127" s="108"/>
      <c r="D127" s="104" t="str">
        <f>IF(AND(A127="",A126&lt;&gt;"",COUNTIF(A128:$A$200,"&lt;&gt;")=0),ROUND(SUMIF($A$2:A126,"&lt;&gt;",$D$2:D126),2),IF(OR(A127="",B127="",C127=""),"",ROUND(B127*C127,2)))</f>
        <v/>
      </c>
      <c r="E127" s="109"/>
      <c r="F127" s="104" t="str">
        <f>IF(AND(A127="",A126&lt;&gt;"",COUNTIF(A128:$A$200,"&lt;&gt;")=0),ROUND(SUMIF($A$2:A126,"&lt;&gt;",$F$2:F126),2),IF(OR(A127="",posicao_contratual!K127="",C127="",NOT(ISNUMBER($Z$3))),"",ROUND(posicao_contratual!K127*C127*$Z$3,2)))</f>
        <v/>
      </c>
      <c r="G127" s="109"/>
      <c r="H127" s="104" t="str">
        <f>IF(AND(A127="",A126&lt;&gt;"",COUNTIF(A128:$A$200,"&lt;&gt;")=0),ROUND(SUMIF($A$2:A126,"&lt;&gt;",$H$2:H126),2),IF(OR(A127="",posicao_contratual!O127="",C127="",NOT(ISNUMBER($Z$4))),"",ROUND(posicao_contratual!O127*C127*$Z$4,2)))</f>
        <v/>
      </c>
      <c r="I127" s="109"/>
      <c r="J127" s="104" t="str">
        <f>IF(AND(A127="",A126&lt;&gt;"",COUNTIF(A128:$A$200,"&lt;&gt;")=0),ROUND(SUMIF($A$2:A126,"&lt;&gt;",$J$2:J126),2),IF(OR(A127="",posicao_contratual!S127="",C127="",NOT(ISNUMBER($Z$5))),"",ROUND(posicao_contratual!S127*C127*$Z$5,2)))</f>
        <v/>
      </c>
      <c r="K127" s="109"/>
      <c r="L127" s="104" t="str">
        <f>IF(AND(A127="",A126&lt;&gt;"",COUNTIF(A128:$A$200,"&lt;&gt;")=0),ROUND(SUMIF($A$2:A126,"&lt;&gt;",$L$2:L126),2),IF(OR(A127="",posicao_contratual!W127="",C127="",NOT(ISNUMBER($Z$6))),"",ROUND(posicao_contratual!W127*C127*$Z$6,2)))</f>
        <v/>
      </c>
      <c r="M127" s="110" t="str">
        <f>IF(OR(posicao_contratual!J127="",posicao_contratual!N127=""),"",ROUND(MAX(posicao_contratual!J127+posicao_contratual!H127-posicao_contratual!N127,0),2))</f>
        <v/>
      </c>
      <c r="N127" s="104" t="str">
        <f>IF(AND(A127="",A126&lt;&gt;"",COUNTIF(A128:$A$200,"&lt;&gt;")=0),ROUND(SUMIF($A$2:A126,"&lt;&gt;",$N$2:N126),2),IF(OR(M127="",C127="",NOT(ISNUMBER($Z$3))),"",ROUND(M127*C127*$Z$3,2)))</f>
        <v/>
      </c>
      <c r="O127" s="110" t="str">
        <f>IF(OR(posicao_contratual!N127="",posicao_contratual!R127=""),"",ROUND(MAX(posicao_contratual!N127+posicao_contratual!L127-posicao_contratual!R127,0),2))</f>
        <v/>
      </c>
      <c r="P127" s="104" t="str">
        <f>IF(AND(A127="",A126&lt;&gt;"",COUNTIF(A128:$A$200,"&lt;&gt;")=0),ROUND(SUMIF($A$2:A126,"&lt;&gt;",$P$2:P126),2),IF(OR(O127="",C127="",NOT(ISNUMBER($Z$4))),"",ROUND(O127*C127*$Z$4,2)))</f>
        <v/>
      </c>
      <c r="Q127" s="110" t="str">
        <f>IF(OR(posicao_contratual!R127="",posicao_contratual!V127=""),"",ROUND(MAX(posicao_contratual!R127+posicao_contratual!P127-posicao_contratual!V127,0),2))</f>
        <v/>
      </c>
      <c r="R127" s="104" t="str">
        <f>IF(AND(A127="",A126&lt;&gt;"",COUNTIF(A128:$A$200,"&lt;&gt;")=0),ROUND(SUMIF($A$2:A126,"&lt;&gt;",$R$2:R126),2),IF(OR(Q127="",C127="",NOT(ISNUMBER($Z$5))),"",ROUND(Q127*C127*$Z$5,2)))</f>
        <v/>
      </c>
      <c r="S127" s="58"/>
      <c r="T127" s="59"/>
      <c r="U127" s="111" t="str">
        <f>IF(AND(A127="",A126&lt;&gt;"",COUNTIF(A128:$A$200,"&lt;&gt;")=0),"TOTAL",IF(A127="","",posicao_contratual!X127))</f>
        <v/>
      </c>
      <c r="V127" s="111" t="str">
        <f>IF(A127="","",posicao_contratual!X127)</f>
        <v/>
      </c>
      <c r="W127" s="15"/>
      <c r="X127" s="15"/>
      <c r="Y127" s="15"/>
      <c r="Z127" s="15"/>
      <c r="AA127" s="15"/>
      <c r="AB127" s="110" t="str">
        <f>IF(OR(A127="",posicao_contratual!E127="",posicao_contratual!J127=""),"",ROUND(MAX(posicao_contratual!E127-posicao_contratual!J127,0),2))</f>
        <v/>
      </c>
      <c r="AC127" s="104" t="str">
        <f>IF(AND(A127="",A126&lt;&gt;"",COUNTIF(A128:$A$200,"&lt;&gt;")=0),ROUND(SUMIF($A$2:A126,"&lt;&gt;",$AC$2:AC126),2),IF(OR(AB127="",C127="",NOT(ISNUMBER($Z$2))),"",ROUND(AB127*C127*$Z$2,2)))</f>
        <v/>
      </c>
      <c r="AD127" s="180" t="str">
        <f>IF(A127="","",posicao_contratual!E127)</f>
        <v/>
      </c>
      <c r="AE127" s="180" t="str">
        <f>IF(A127="","",posicao_contratual!I127)</f>
        <v/>
      </c>
      <c r="AF127" s="180" t="str">
        <f>IF(A127="","",posicao_contratual!M127)</f>
        <v/>
      </c>
      <c r="AG127" s="180" t="str">
        <f>IF(A127="","",posicao_contratual!Q127)</f>
        <v/>
      </c>
      <c r="AH127" s="180" t="str">
        <f>IF(A127="","",posicao_contratual!U127)</f>
        <v/>
      </c>
      <c r="AI127" s="180" t="str">
        <f>IF(A127="","",posicao_contratual!G127)</f>
        <v/>
      </c>
      <c r="AJ127" s="180" t="str">
        <f>IF(A127="","",posicao_contratual!K127)</f>
        <v/>
      </c>
      <c r="AK127" s="180" t="str">
        <f>IF(A127="","",posicao_contratual!O127)</f>
        <v/>
      </c>
      <c r="AL127" s="180" t="str">
        <f>IF(A127="","",posicao_contratual!S127)</f>
        <v/>
      </c>
      <c r="AM127" s="180" t="str">
        <f>IF(A127="","",posicao_contratual!W127)</f>
        <v/>
      </c>
      <c r="AN127" s="181" t="str">
        <f>IF(A127="","",posicao_contratual!X127)</f>
        <v/>
      </c>
    </row>
    <row r="128" spans="1:40" x14ac:dyDescent="0.35">
      <c r="A128" s="106"/>
      <c r="B128" s="107"/>
      <c r="C128" s="108"/>
      <c r="D128" s="104" t="str">
        <f>IF(AND(A128="",A127&lt;&gt;"",COUNTIF(A129:$A$200,"&lt;&gt;")=0),ROUND(SUMIF($A$2:A127,"&lt;&gt;",$D$2:D127),2),IF(OR(A128="",B128="",C128=""),"",ROUND(B128*C128,2)))</f>
        <v/>
      </c>
      <c r="E128" s="109"/>
      <c r="F128" s="104" t="str">
        <f>IF(AND(A128="",A127&lt;&gt;"",COUNTIF(A129:$A$200,"&lt;&gt;")=0),ROUND(SUMIF($A$2:A127,"&lt;&gt;",$F$2:F127),2),IF(OR(A128="",posicao_contratual!K128="",C128="",NOT(ISNUMBER($Z$3))),"",ROUND(posicao_contratual!K128*C128*$Z$3,2)))</f>
        <v/>
      </c>
      <c r="G128" s="109"/>
      <c r="H128" s="104" t="str">
        <f>IF(AND(A128="",A127&lt;&gt;"",COUNTIF(A129:$A$200,"&lt;&gt;")=0),ROUND(SUMIF($A$2:A127,"&lt;&gt;",$H$2:H127),2),IF(OR(A128="",posicao_contratual!O128="",C128="",NOT(ISNUMBER($Z$4))),"",ROUND(posicao_contratual!O128*C128*$Z$4,2)))</f>
        <v/>
      </c>
      <c r="I128" s="109"/>
      <c r="J128" s="104" t="str">
        <f>IF(AND(A128="",A127&lt;&gt;"",COUNTIF(A129:$A$200,"&lt;&gt;")=0),ROUND(SUMIF($A$2:A127,"&lt;&gt;",$J$2:J127),2),IF(OR(A128="",posicao_contratual!S128="",C128="",NOT(ISNUMBER($Z$5))),"",ROUND(posicao_contratual!S128*C128*$Z$5,2)))</f>
        <v/>
      </c>
      <c r="K128" s="109"/>
      <c r="L128" s="104" t="str">
        <f>IF(AND(A128="",A127&lt;&gt;"",COUNTIF(A129:$A$200,"&lt;&gt;")=0),ROUND(SUMIF($A$2:A127,"&lt;&gt;",$L$2:L127),2),IF(OR(A128="",posicao_contratual!W128="",C128="",NOT(ISNUMBER($Z$6))),"",ROUND(posicao_contratual!W128*C128*$Z$6,2)))</f>
        <v/>
      </c>
      <c r="M128" s="110" t="str">
        <f>IF(OR(posicao_contratual!J128="",posicao_contratual!N128=""),"",ROUND(MAX(posicao_contratual!J128+posicao_contratual!H128-posicao_contratual!N128,0),2))</f>
        <v/>
      </c>
      <c r="N128" s="104" t="str">
        <f>IF(AND(A128="",A127&lt;&gt;"",COUNTIF(A129:$A$200,"&lt;&gt;")=0),ROUND(SUMIF($A$2:A127,"&lt;&gt;",$N$2:N127),2),IF(OR(M128="",C128="",NOT(ISNUMBER($Z$3))),"",ROUND(M128*C128*$Z$3,2)))</f>
        <v/>
      </c>
      <c r="O128" s="110" t="str">
        <f>IF(OR(posicao_contratual!N128="",posicao_contratual!R128=""),"",ROUND(MAX(posicao_contratual!N128+posicao_contratual!L128-posicao_contratual!R128,0),2))</f>
        <v/>
      </c>
      <c r="P128" s="104" t="str">
        <f>IF(AND(A128="",A127&lt;&gt;"",COUNTIF(A129:$A$200,"&lt;&gt;")=0),ROUND(SUMIF($A$2:A127,"&lt;&gt;",$P$2:P127),2),IF(OR(O128="",C128="",NOT(ISNUMBER($Z$4))),"",ROUND(O128*C128*$Z$4,2)))</f>
        <v/>
      </c>
      <c r="Q128" s="110" t="str">
        <f>IF(OR(posicao_contratual!R128="",posicao_contratual!V128=""),"",ROUND(MAX(posicao_contratual!R128+posicao_contratual!P128-posicao_contratual!V128,0),2))</f>
        <v/>
      </c>
      <c r="R128" s="104" t="str">
        <f>IF(AND(A128="",A127&lt;&gt;"",COUNTIF(A129:$A$200,"&lt;&gt;")=0),ROUND(SUMIF($A$2:A127,"&lt;&gt;",$R$2:R127),2),IF(OR(Q128="",C128="",NOT(ISNUMBER($Z$5))),"",ROUND(Q128*C128*$Z$5,2)))</f>
        <v/>
      </c>
      <c r="S128" s="58"/>
      <c r="T128" s="59"/>
      <c r="U128" s="111" t="str">
        <f>IF(AND(A128="",A127&lt;&gt;"",COUNTIF(A129:$A$200,"&lt;&gt;")=0),"TOTAL",IF(A128="","",posicao_contratual!X128))</f>
        <v/>
      </c>
      <c r="V128" s="111" t="str">
        <f>IF(A128="","",posicao_contratual!X128)</f>
        <v/>
      </c>
      <c r="W128" s="15"/>
      <c r="X128" s="15"/>
      <c r="Y128" s="15"/>
      <c r="Z128" s="15"/>
      <c r="AA128" s="15"/>
      <c r="AB128" s="110" t="str">
        <f>IF(OR(A128="",posicao_contratual!E128="",posicao_contratual!J128=""),"",ROUND(MAX(posicao_contratual!E128-posicao_contratual!J128,0),2))</f>
        <v/>
      </c>
      <c r="AC128" s="104" t="str">
        <f>IF(AND(A128="",A127&lt;&gt;"",COUNTIF(A129:$A$200,"&lt;&gt;")=0),ROUND(SUMIF($A$2:A127,"&lt;&gt;",$AC$2:AC127),2),IF(OR(AB128="",C128="",NOT(ISNUMBER($Z$2))),"",ROUND(AB128*C128*$Z$2,2)))</f>
        <v/>
      </c>
      <c r="AD128" s="180" t="str">
        <f>IF(A128="","",posicao_contratual!E128)</f>
        <v/>
      </c>
      <c r="AE128" s="180" t="str">
        <f>IF(A128="","",posicao_contratual!I128)</f>
        <v/>
      </c>
      <c r="AF128" s="180" t="str">
        <f>IF(A128="","",posicao_contratual!M128)</f>
        <v/>
      </c>
      <c r="AG128" s="180" t="str">
        <f>IF(A128="","",posicao_contratual!Q128)</f>
        <v/>
      </c>
      <c r="AH128" s="180" t="str">
        <f>IF(A128="","",posicao_contratual!U128)</f>
        <v/>
      </c>
      <c r="AI128" s="180" t="str">
        <f>IF(A128="","",posicao_contratual!G128)</f>
        <v/>
      </c>
      <c r="AJ128" s="180" t="str">
        <f>IF(A128="","",posicao_contratual!K128)</f>
        <v/>
      </c>
      <c r="AK128" s="180" t="str">
        <f>IF(A128="","",posicao_contratual!O128)</f>
        <v/>
      </c>
      <c r="AL128" s="180" t="str">
        <f>IF(A128="","",posicao_contratual!S128)</f>
        <v/>
      </c>
      <c r="AM128" s="180" t="str">
        <f>IF(A128="","",posicao_contratual!W128)</f>
        <v/>
      </c>
      <c r="AN128" s="181" t="str">
        <f>IF(A128="","",posicao_contratual!X128)</f>
        <v/>
      </c>
    </row>
    <row r="129" spans="1:40" x14ac:dyDescent="0.35">
      <c r="A129" s="106"/>
      <c r="B129" s="107"/>
      <c r="C129" s="108"/>
      <c r="D129" s="104" t="str">
        <f>IF(AND(A129="",A128&lt;&gt;"",COUNTIF(A130:$A$200,"&lt;&gt;")=0),ROUND(SUMIF($A$2:A128,"&lt;&gt;",$D$2:D128),2),IF(OR(A129="",B129="",C129=""),"",ROUND(B129*C129,2)))</f>
        <v/>
      </c>
      <c r="E129" s="109"/>
      <c r="F129" s="104" t="str">
        <f>IF(AND(A129="",A128&lt;&gt;"",COUNTIF(A130:$A$200,"&lt;&gt;")=0),ROUND(SUMIF($A$2:A128,"&lt;&gt;",$F$2:F128),2),IF(OR(A129="",posicao_contratual!K129="",C129="",NOT(ISNUMBER($Z$3))),"",ROUND(posicao_contratual!K129*C129*$Z$3,2)))</f>
        <v/>
      </c>
      <c r="G129" s="109"/>
      <c r="H129" s="104" t="str">
        <f>IF(AND(A129="",A128&lt;&gt;"",COUNTIF(A130:$A$200,"&lt;&gt;")=0),ROUND(SUMIF($A$2:A128,"&lt;&gt;",$H$2:H128),2),IF(OR(A129="",posicao_contratual!O129="",C129="",NOT(ISNUMBER($Z$4))),"",ROUND(posicao_contratual!O129*C129*$Z$4,2)))</f>
        <v/>
      </c>
      <c r="I129" s="109"/>
      <c r="J129" s="104" t="str">
        <f>IF(AND(A129="",A128&lt;&gt;"",COUNTIF(A130:$A$200,"&lt;&gt;")=0),ROUND(SUMIF($A$2:A128,"&lt;&gt;",$J$2:J128),2),IF(OR(A129="",posicao_contratual!S129="",C129="",NOT(ISNUMBER($Z$5))),"",ROUND(posicao_contratual!S129*C129*$Z$5,2)))</f>
        <v/>
      </c>
      <c r="K129" s="109"/>
      <c r="L129" s="104" t="str">
        <f>IF(AND(A129="",A128&lt;&gt;"",COUNTIF(A130:$A$200,"&lt;&gt;")=0),ROUND(SUMIF($A$2:A128,"&lt;&gt;",$L$2:L128),2),IF(OR(A129="",posicao_contratual!W129="",C129="",NOT(ISNUMBER($Z$6))),"",ROUND(posicao_contratual!W129*C129*$Z$6,2)))</f>
        <v/>
      </c>
      <c r="M129" s="110" t="str">
        <f>IF(OR(posicao_contratual!J129="",posicao_contratual!N129=""),"",ROUND(MAX(posicao_contratual!J129+posicao_contratual!H129-posicao_contratual!N129,0),2))</f>
        <v/>
      </c>
      <c r="N129" s="104" t="str">
        <f>IF(AND(A129="",A128&lt;&gt;"",COUNTIF(A130:$A$200,"&lt;&gt;")=0),ROUND(SUMIF($A$2:A128,"&lt;&gt;",$N$2:N128),2),IF(OR(M129="",C129="",NOT(ISNUMBER($Z$3))),"",ROUND(M129*C129*$Z$3,2)))</f>
        <v/>
      </c>
      <c r="O129" s="110" t="str">
        <f>IF(OR(posicao_contratual!N129="",posicao_contratual!R129=""),"",ROUND(MAX(posicao_contratual!N129+posicao_contratual!L129-posicao_contratual!R129,0),2))</f>
        <v/>
      </c>
      <c r="P129" s="104" t="str">
        <f>IF(AND(A129="",A128&lt;&gt;"",COUNTIF(A130:$A$200,"&lt;&gt;")=0),ROUND(SUMIF($A$2:A128,"&lt;&gt;",$P$2:P128),2),IF(OR(O129="",C129="",NOT(ISNUMBER($Z$4))),"",ROUND(O129*C129*$Z$4,2)))</f>
        <v/>
      </c>
      <c r="Q129" s="110" t="str">
        <f>IF(OR(posicao_contratual!R129="",posicao_contratual!V129=""),"",ROUND(MAX(posicao_contratual!R129+posicao_contratual!P129-posicao_contratual!V129,0),2))</f>
        <v/>
      </c>
      <c r="R129" s="104" t="str">
        <f>IF(AND(A129="",A128&lt;&gt;"",COUNTIF(A130:$A$200,"&lt;&gt;")=0),ROUND(SUMIF($A$2:A128,"&lt;&gt;",$R$2:R128),2),IF(OR(Q129="",C129="",NOT(ISNUMBER($Z$5))),"",ROUND(Q129*C129*$Z$5,2)))</f>
        <v/>
      </c>
      <c r="S129" s="58"/>
      <c r="T129" s="59"/>
      <c r="U129" s="111" t="str">
        <f>IF(AND(A129="",A128&lt;&gt;"",COUNTIF(A130:$A$200,"&lt;&gt;")=0),"TOTAL",IF(A129="","",posicao_contratual!X129))</f>
        <v/>
      </c>
      <c r="V129" s="111" t="str">
        <f>IF(A129="","",posicao_contratual!X129)</f>
        <v/>
      </c>
      <c r="W129" s="15"/>
      <c r="X129" s="15"/>
      <c r="Y129" s="15"/>
      <c r="Z129" s="15"/>
      <c r="AA129" s="15"/>
      <c r="AB129" s="110" t="str">
        <f>IF(OR(A129="",posicao_contratual!E129="",posicao_contratual!J129=""),"",ROUND(MAX(posicao_contratual!E129-posicao_contratual!J129,0),2))</f>
        <v/>
      </c>
      <c r="AC129" s="104" t="str">
        <f>IF(AND(A129="",A128&lt;&gt;"",COUNTIF(A130:$A$200,"&lt;&gt;")=0),ROUND(SUMIF($A$2:A128,"&lt;&gt;",$AC$2:AC128),2),IF(OR(AB129="",C129="",NOT(ISNUMBER($Z$2))),"",ROUND(AB129*C129*$Z$2,2)))</f>
        <v/>
      </c>
      <c r="AD129" s="180" t="str">
        <f>IF(A129="","",posicao_contratual!E129)</f>
        <v/>
      </c>
      <c r="AE129" s="180" t="str">
        <f>IF(A129="","",posicao_contratual!I129)</f>
        <v/>
      </c>
      <c r="AF129" s="180" t="str">
        <f>IF(A129="","",posicao_contratual!M129)</f>
        <v/>
      </c>
      <c r="AG129" s="180" t="str">
        <f>IF(A129="","",posicao_contratual!Q129)</f>
        <v/>
      </c>
      <c r="AH129" s="180" t="str">
        <f>IF(A129="","",posicao_contratual!U129)</f>
        <v/>
      </c>
      <c r="AI129" s="180" t="str">
        <f>IF(A129="","",posicao_contratual!G129)</f>
        <v/>
      </c>
      <c r="AJ129" s="180" t="str">
        <f>IF(A129="","",posicao_contratual!K129)</f>
        <v/>
      </c>
      <c r="AK129" s="180" t="str">
        <f>IF(A129="","",posicao_contratual!O129)</f>
        <v/>
      </c>
      <c r="AL129" s="180" t="str">
        <f>IF(A129="","",posicao_contratual!S129)</f>
        <v/>
      </c>
      <c r="AM129" s="180" t="str">
        <f>IF(A129="","",posicao_contratual!W129)</f>
        <v/>
      </c>
      <c r="AN129" s="181" t="str">
        <f>IF(A129="","",posicao_contratual!X129)</f>
        <v/>
      </c>
    </row>
    <row r="130" spans="1:40" x14ac:dyDescent="0.35">
      <c r="A130" s="106"/>
      <c r="B130" s="107"/>
      <c r="C130" s="108"/>
      <c r="D130" s="104" t="str">
        <f>IF(AND(A130="",A129&lt;&gt;"",COUNTIF(A131:$A$200,"&lt;&gt;")=0),ROUND(SUMIF($A$2:A129,"&lt;&gt;",$D$2:D129),2),IF(OR(A130="",B130="",C130=""),"",ROUND(B130*C130,2)))</f>
        <v/>
      </c>
      <c r="E130" s="109"/>
      <c r="F130" s="104" t="str">
        <f>IF(AND(A130="",A129&lt;&gt;"",COUNTIF(A131:$A$200,"&lt;&gt;")=0),ROUND(SUMIF($A$2:A129,"&lt;&gt;",$F$2:F129),2),IF(OR(A130="",posicao_contratual!K130="",C130="",NOT(ISNUMBER($Z$3))),"",ROUND(posicao_contratual!K130*C130*$Z$3,2)))</f>
        <v/>
      </c>
      <c r="G130" s="109"/>
      <c r="H130" s="104" t="str">
        <f>IF(AND(A130="",A129&lt;&gt;"",COUNTIF(A131:$A$200,"&lt;&gt;")=0),ROUND(SUMIF($A$2:A129,"&lt;&gt;",$H$2:H129),2),IF(OR(A130="",posicao_contratual!O130="",C130="",NOT(ISNUMBER($Z$4))),"",ROUND(posicao_contratual!O130*C130*$Z$4,2)))</f>
        <v/>
      </c>
      <c r="I130" s="109"/>
      <c r="J130" s="104" t="str">
        <f>IF(AND(A130="",A129&lt;&gt;"",COUNTIF(A131:$A$200,"&lt;&gt;")=0),ROUND(SUMIF($A$2:A129,"&lt;&gt;",$J$2:J129),2),IF(OR(A130="",posicao_contratual!S130="",C130="",NOT(ISNUMBER($Z$5))),"",ROUND(posicao_contratual!S130*C130*$Z$5,2)))</f>
        <v/>
      </c>
      <c r="K130" s="109"/>
      <c r="L130" s="104" t="str">
        <f>IF(AND(A130="",A129&lt;&gt;"",COUNTIF(A131:$A$200,"&lt;&gt;")=0),ROUND(SUMIF($A$2:A129,"&lt;&gt;",$L$2:L129),2),IF(OR(A130="",posicao_contratual!W130="",C130="",NOT(ISNUMBER($Z$6))),"",ROUND(posicao_contratual!W130*C130*$Z$6,2)))</f>
        <v/>
      </c>
      <c r="M130" s="110" t="str">
        <f>IF(OR(posicao_contratual!J130="",posicao_contratual!N130=""),"",ROUND(MAX(posicao_contratual!J130+posicao_contratual!H130-posicao_contratual!N130,0),2))</f>
        <v/>
      </c>
      <c r="N130" s="104" t="str">
        <f>IF(AND(A130="",A129&lt;&gt;"",COUNTIF(A131:$A$200,"&lt;&gt;")=0),ROUND(SUMIF($A$2:A129,"&lt;&gt;",$N$2:N129),2),IF(OR(M130="",C130="",NOT(ISNUMBER($Z$3))),"",ROUND(M130*C130*$Z$3,2)))</f>
        <v/>
      </c>
      <c r="O130" s="110" t="str">
        <f>IF(OR(posicao_contratual!N130="",posicao_contratual!R130=""),"",ROUND(MAX(posicao_contratual!N130+posicao_contratual!L130-posicao_contratual!R130,0),2))</f>
        <v/>
      </c>
      <c r="P130" s="104" t="str">
        <f>IF(AND(A130="",A129&lt;&gt;"",COUNTIF(A131:$A$200,"&lt;&gt;")=0),ROUND(SUMIF($A$2:A129,"&lt;&gt;",$P$2:P129),2),IF(OR(O130="",C130="",NOT(ISNUMBER($Z$4))),"",ROUND(O130*C130*$Z$4,2)))</f>
        <v/>
      </c>
      <c r="Q130" s="110" t="str">
        <f>IF(OR(posicao_contratual!R130="",posicao_contratual!V130=""),"",ROUND(MAX(posicao_contratual!R130+posicao_contratual!P130-posicao_contratual!V130,0),2))</f>
        <v/>
      </c>
      <c r="R130" s="104" t="str">
        <f>IF(AND(A130="",A129&lt;&gt;"",COUNTIF(A131:$A$200,"&lt;&gt;")=0),ROUND(SUMIF($A$2:A129,"&lt;&gt;",$R$2:R129),2),IF(OR(Q130="",C130="",NOT(ISNUMBER($Z$5))),"",ROUND(Q130*C130*$Z$5,2)))</f>
        <v/>
      </c>
      <c r="S130" s="58"/>
      <c r="T130" s="59"/>
      <c r="U130" s="111" t="str">
        <f>IF(AND(A130="",A129&lt;&gt;"",COUNTIF(A131:$A$200,"&lt;&gt;")=0),"TOTAL",IF(A130="","",posicao_contratual!X130))</f>
        <v/>
      </c>
      <c r="V130" s="111" t="str">
        <f>IF(A130="","",posicao_contratual!X130)</f>
        <v/>
      </c>
      <c r="W130" s="15"/>
      <c r="X130" s="15"/>
      <c r="Y130" s="15"/>
      <c r="Z130" s="15"/>
      <c r="AA130" s="15"/>
      <c r="AB130" s="110" t="str">
        <f>IF(OR(A130="",posicao_contratual!E130="",posicao_contratual!J130=""),"",ROUND(MAX(posicao_contratual!E130-posicao_contratual!J130,0),2))</f>
        <v/>
      </c>
      <c r="AC130" s="104" t="str">
        <f>IF(AND(A130="",A129&lt;&gt;"",COUNTIF(A131:$A$200,"&lt;&gt;")=0),ROUND(SUMIF($A$2:A129,"&lt;&gt;",$AC$2:AC129),2),IF(OR(AB130="",C130="",NOT(ISNUMBER($Z$2))),"",ROUND(AB130*C130*$Z$2,2)))</f>
        <v/>
      </c>
      <c r="AD130" s="180" t="str">
        <f>IF(A130="","",posicao_contratual!E130)</f>
        <v/>
      </c>
      <c r="AE130" s="180" t="str">
        <f>IF(A130="","",posicao_contratual!I130)</f>
        <v/>
      </c>
      <c r="AF130" s="180" t="str">
        <f>IF(A130="","",posicao_contratual!M130)</f>
        <v/>
      </c>
      <c r="AG130" s="180" t="str">
        <f>IF(A130="","",posicao_contratual!Q130)</f>
        <v/>
      </c>
      <c r="AH130" s="180" t="str">
        <f>IF(A130="","",posicao_contratual!U130)</f>
        <v/>
      </c>
      <c r="AI130" s="180" t="str">
        <f>IF(A130="","",posicao_contratual!G130)</f>
        <v/>
      </c>
      <c r="AJ130" s="180" t="str">
        <f>IF(A130="","",posicao_contratual!K130)</f>
        <v/>
      </c>
      <c r="AK130" s="180" t="str">
        <f>IF(A130="","",posicao_contratual!O130)</f>
        <v/>
      </c>
      <c r="AL130" s="180" t="str">
        <f>IF(A130="","",posicao_contratual!S130)</f>
        <v/>
      </c>
      <c r="AM130" s="180" t="str">
        <f>IF(A130="","",posicao_contratual!W130)</f>
        <v/>
      </c>
      <c r="AN130" s="181" t="str">
        <f>IF(A130="","",posicao_contratual!X130)</f>
        <v/>
      </c>
    </row>
    <row r="131" spans="1:40" x14ac:dyDescent="0.35">
      <c r="A131" s="106"/>
      <c r="B131" s="107"/>
      <c r="C131" s="108"/>
      <c r="D131" s="104" t="str">
        <f>IF(AND(A131="",A130&lt;&gt;"",COUNTIF(A132:$A$200,"&lt;&gt;")=0),ROUND(SUMIF($A$2:A130,"&lt;&gt;",$D$2:D130),2),IF(OR(A131="",B131="",C131=""),"",ROUND(B131*C131,2)))</f>
        <v/>
      </c>
      <c r="E131" s="109"/>
      <c r="F131" s="104" t="str">
        <f>IF(AND(A131="",A130&lt;&gt;"",COUNTIF(A132:$A$200,"&lt;&gt;")=0),ROUND(SUMIF($A$2:A130,"&lt;&gt;",$F$2:F130),2),IF(OR(A131="",posicao_contratual!K131="",C131="",NOT(ISNUMBER($Z$3))),"",ROUND(posicao_contratual!K131*C131*$Z$3,2)))</f>
        <v/>
      </c>
      <c r="G131" s="109"/>
      <c r="H131" s="104" t="str">
        <f>IF(AND(A131="",A130&lt;&gt;"",COUNTIF(A132:$A$200,"&lt;&gt;")=0),ROUND(SUMIF($A$2:A130,"&lt;&gt;",$H$2:H130),2),IF(OR(A131="",posicao_contratual!O131="",C131="",NOT(ISNUMBER($Z$4))),"",ROUND(posicao_contratual!O131*C131*$Z$4,2)))</f>
        <v/>
      </c>
      <c r="I131" s="109"/>
      <c r="J131" s="104" t="str">
        <f>IF(AND(A131="",A130&lt;&gt;"",COUNTIF(A132:$A$200,"&lt;&gt;")=0),ROUND(SUMIF($A$2:A130,"&lt;&gt;",$J$2:J130),2),IF(OR(A131="",posicao_contratual!S131="",C131="",NOT(ISNUMBER($Z$5))),"",ROUND(posicao_contratual!S131*C131*$Z$5,2)))</f>
        <v/>
      </c>
      <c r="K131" s="109"/>
      <c r="L131" s="104" t="str">
        <f>IF(AND(A131="",A130&lt;&gt;"",COUNTIF(A132:$A$200,"&lt;&gt;")=0),ROUND(SUMIF($A$2:A130,"&lt;&gt;",$L$2:L130),2),IF(OR(A131="",posicao_contratual!W131="",C131="",NOT(ISNUMBER($Z$6))),"",ROUND(posicao_contratual!W131*C131*$Z$6,2)))</f>
        <v/>
      </c>
      <c r="M131" s="110" t="str">
        <f>IF(OR(posicao_contratual!J131="",posicao_contratual!N131=""),"",ROUND(MAX(posicao_contratual!J131+posicao_contratual!H131-posicao_contratual!N131,0),2))</f>
        <v/>
      </c>
      <c r="N131" s="104" t="str">
        <f>IF(AND(A131="",A130&lt;&gt;"",COUNTIF(A132:$A$200,"&lt;&gt;")=0),ROUND(SUMIF($A$2:A130,"&lt;&gt;",$N$2:N130),2),IF(OR(M131="",C131="",NOT(ISNUMBER($Z$3))),"",ROUND(M131*C131*$Z$3,2)))</f>
        <v/>
      </c>
      <c r="O131" s="110" t="str">
        <f>IF(OR(posicao_contratual!N131="",posicao_contratual!R131=""),"",ROUND(MAX(posicao_contratual!N131+posicao_contratual!L131-posicao_contratual!R131,0),2))</f>
        <v/>
      </c>
      <c r="P131" s="104" t="str">
        <f>IF(AND(A131="",A130&lt;&gt;"",COUNTIF(A132:$A$200,"&lt;&gt;")=0),ROUND(SUMIF($A$2:A130,"&lt;&gt;",$P$2:P130),2),IF(OR(O131="",C131="",NOT(ISNUMBER($Z$4))),"",ROUND(O131*C131*$Z$4,2)))</f>
        <v/>
      </c>
      <c r="Q131" s="110" t="str">
        <f>IF(OR(posicao_contratual!R131="",posicao_contratual!V131=""),"",ROUND(MAX(posicao_contratual!R131+posicao_contratual!P131-posicao_contratual!V131,0),2))</f>
        <v/>
      </c>
      <c r="R131" s="104" t="str">
        <f>IF(AND(A131="",A130&lt;&gt;"",COUNTIF(A132:$A$200,"&lt;&gt;")=0),ROUND(SUMIF($A$2:A130,"&lt;&gt;",$R$2:R130),2),IF(OR(Q131="",C131="",NOT(ISNUMBER($Z$5))),"",ROUND(Q131*C131*$Z$5,2)))</f>
        <v/>
      </c>
      <c r="S131" s="58"/>
      <c r="T131" s="59"/>
      <c r="U131" s="111" t="str">
        <f>IF(AND(A131="",A130&lt;&gt;"",COUNTIF(A132:$A$200,"&lt;&gt;")=0),"TOTAL",IF(A131="","",posicao_contratual!X131))</f>
        <v/>
      </c>
      <c r="V131" s="111" t="str">
        <f>IF(A131="","",posicao_contratual!X131)</f>
        <v/>
      </c>
      <c r="W131" s="15"/>
      <c r="X131" s="15"/>
      <c r="Y131" s="15"/>
      <c r="Z131" s="15"/>
      <c r="AA131" s="15"/>
      <c r="AB131" s="110" t="str">
        <f>IF(OR(A131="",posicao_contratual!E131="",posicao_contratual!J131=""),"",ROUND(MAX(posicao_contratual!E131-posicao_contratual!J131,0),2))</f>
        <v/>
      </c>
      <c r="AC131" s="104" t="str">
        <f>IF(AND(A131="",A130&lt;&gt;"",COUNTIF(A132:$A$200,"&lt;&gt;")=0),ROUND(SUMIF($A$2:A130,"&lt;&gt;",$AC$2:AC130),2),IF(OR(AB131="",C131="",NOT(ISNUMBER($Z$2))),"",ROUND(AB131*C131*$Z$2,2)))</f>
        <v/>
      </c>
      <c r="AD131" s="180" t="str">
        <f>IF(A131="","",posicao_contratual!E131)</f>
        <v/>
      </c>
      <c r="AE131" s="180" t="str">
        <f>IF(A131="","",posicao_contratual!I131)</f>
        <v/>
      </c>
      <c r="AF131" s="180" t="str">
        <f>IF(A131="","",posicao_contratual!M131)</f>
        <v/>
      </c>
      <c r="AG131" s="180" t="str">
        <f>IF(A131="","",posicao_contratual!Q131)</f>
        <v/>
      </c>
      <c r="AH131" s="180" t="str">
        <f>IF(A131="","",posicao_contratual!U131)</f>
        <v/>
      </c>
      <c r="AI131" s="180" t="str">
        <f>IF(A131="","",posicao_contratual!G131)</f>
        <v/>
      </c>
      <c r="AJ131" s="180" t="str">
        <f>IF(A131="","",posicao_contratual!K131)</f>
        <v/>
      </c>
      <c r="AK131" s="180" t="str">
        <f>IF(A131="","",posicao_contratual!O131)</f>
        <v/>
      </c>
      <c r="AL131" s="180" t="str">
        <f>IF(A131="","",posicao_contratual!S131)</f>
        <v/>
      </c>
      <c r="AM131" s="180" t="str">
        <f>IF(A131="","",posicao_contratual!W131)</f>
        <v/>
      </c>
      <c r="AN131" s="181" t="str">
        <f>IF(A131="","",posicao_contratual!X131)</f>
        <v/>
      </c>
    </row>
    <row r="132" spans="1:40" x14ac:dyDescent="0.35">
      <c r="A132" s="106"/>
      <c r="B132" s="107"/>
      <c r="C132" s="108"/>
      <c r="D132" s="104" t="str">
        <f>IF(AND(A132="",A131&lt;&gt;"",COUNTIF(A133:$A$200,"&lt;&gt;")=0),ROUND(SUMIF($A$2:A131,"&lt;&gt;",$D$2:D131),2),IF(OR(A132="",B132="",C132=""),"",ROUND(B132*C132,2)))</f>
        <v/>
      </c>
      <c r="E132" s="109"/>
      <c r="F132" s="104" t="str">
        <f>IF(AND(A132="",A131&lt;&gt;"",COUNTIF(A133:$A$200,"&lt;&gt;")=0),ROUND(SUMIF($A$2:A131,"&lt;&gt;",$F$2:F131),2),IF(OR(A132="",posicao_contratual!K132="",C132="",NOT(ISNUMBER($Z$3))),"",ROUND(posicao_contratual!K132*C132*$Z$3,2)))</f>
        <v/>
      </c>
      <c r="G132" s="109"/>
      <c r="H132" s="104" t="str">
        <f>IF(AND(A132="",A131&lt;&gt;"",COUNTIF(A133:$A$200,"&lt;&gt;")=0),ROUND(SUMIF($A$2:A131,"&lt;&gt;",$H$2:H131),2),IF(OR(A132="",posicao_contratual!O132="",C132="",NOT(ISNUMBER($Z$4))),"",ROUND(posicao_contratual!O132*C132*$Z$4,2)))</f>
        <v/>
      </c>
      <c r="I132" s="109"/>
      <c r="J132" s="104" t="str">
        <f>IF(AND(A132="",A131&lt;&gt;"",COUNTIF(A133:$A$200,"&lt;&gt;")=0),ROUND(SUMIF($A$2:A131,"&lt;&gt;",$J$2:J131),2),IF(OR(A132="",posicao_contratual!S132="",C132="",NOT(ISNUMBER($Z$5))),"",ROUND(posicao_contratual!S132*C132*$Z$5,2)))</f>
        <v/>
      </c>
      <c r="K132" s="109"/>
      <c r="L132" s="104" t="str">
        <f>IF(AND(A132="",A131&lt;&gt;"",COUNTIF(A133:$A$200,"&lt;&gt;")=0),ROUND(SUMIF($A$2:A131,"&lt;&gt;",$L$2:L131),2),IF(OR(A132="",posicao_contratual!W132="",C132="",NOT(ISNUMBER($Z$6))),"",ROUND(posicao_contratual!W132*C132*$Z$6,2)))</f>
        <v/>
      </c>
      <c r="M132" s="110" t="str">
        <f>IF(OR(posicao_contratual!J132="",posicao_contratual!N132=""),"",ROUND(MAX(posicao_contratual!J132+posicao_contratual!H132-posicao_contratual!N132,0),2))</f>
        <v/>
      </c>
      <c r="N132" s="104" t="str">
        <f>IF(AND(A132="",A131&lt;&gt;"",COUNTIF(A133:$A$200,"&lt;&gt;")=0),ROUND(SUMIF($A$2:A131,"&lt;&gt;",$N$2:N131),2),IF(OR(M132="",C132="",NOT(ISNUMBER($Z$3))),"",ROUND(M132*C132*$Z$3,2)))</f>
        <v/>
      </c>
      <c r="O132" s="110" t="str">
        <f>IF(OR(posicao_contratual!N132="",posicao_contratual!R132=""),"",ROUND(MAX(posicao_contratual!N132+posicao_contratual!L132-posicao_contratual!R132,0),2))</f>
        <v/>
      </c>
      <c r="P132" s="104" t="str">
        <f>IF(AND(A132="",A131&lt;&gt;"",COUNTIF(A133:$A$200,"&lt;&gt;")=0),ROUND(SUMIF($A$2:A131,"&lt;&gt;",$P$2:P131),2),IF(OR(O132="",C132="",NOT(ISNUMBER($Z$4))),"",ROUND(O132*C132*$Z$4,2)))</f>
        <v/>
      </c>
      <c r="Q132" s="110" t="str">
        <f>IF(OR(posicao_contratual!R132="",posicao_contratual!V132=""),"",ROUND(MAX(posicao_contratual!R132+posicao_contratual!P132-posicao_contratual!V132,0),2))</f>
        <v/>
      </c>
      <c r="R132" s="104" t="str">
        <f>IF(AND(A132="",A131&lt;&gt;"",COUNTIF(A133:$A$200,"&lt;&gt;")=0),ROUND(SUMIF($A$2:A131,"&lt;&gt;",$R$2:R131),2),IF(OR(Q132="",C132="",NOT(ISNUMBER($Z$5))),"",ROUND(Q132*C132*$Z$5,2)))</f>
        <v/>
      </c>
      <c r="S132" s="58"/>
      <c r="T132" s="59"/>
      <c r="U132" s="111" t="str">
        <f>IF(AND(A132="",A131&lt;&gt;"",COUNTIF(A133:$A$200,"&lt;&gt;")=0),"TOTAL",IF(A132="","",posicao_contratual!X132))</f>
        <v/>
      </c>
      <c r="V132" s="111" t="str">
        <f>IF(A132="","",posicao_contratual!X132)</f>
        <v/>
      </c>
      <c r="W132" s="15"/>
      <c r="X132" s="15"/>
      <c r="Y132" s="15"/>
      <c r="Z132" s="15"/>
      <c r="AA132" s="15"/>
      <c r="AB132" s="110" t="str">
        <f>IF(OR(A132="",posicao_contratual!E132="",posicao_contratual!J132=""),"",ROUND(MAX(posicao_contratual!E132-posicao_contratual!J132,0),2))</f>
        <v/>
      </c>
      <c r="AC132" s="104" t="str">
        <f>IF(AND(A132="",A131&lt;&gt;"",COUNTIF(A133:$A$200,"&lt;&gt;")=0),ROUND(SUMIF($A$2:A131,"&lt;&gt;",$AC$2:AC131),2),IF(OR(AB132="",C132="",NOT(ISNUMBER($Z$2))),"",ROUND(AB132*C132*$Z$2,2)))</f>
        <v/>
      </c>
      <c r="AD132" s="180" t="str">
        <f>IF(A132="","",posicao_contratual!E132)</f>
        <v/>
      </c>
      <c r="AE132" s="180" t="str">
        <f>IF(A132="","",posicao_contratual!I132)</f>
        <v/>
      </c>
      <c r="AF132" s="180" t="str">
        <f>IF(A132="","",posicao_contratual!M132)</f>
        <v/>
      </c>
      <c r="AG132" s="180" t="str">
        <f>IF(A132="","",posicao_contratual!Q132)</f>
        <v/>
      </c>
      <c r="AH132" s="180" t="str">
        <f>IF(A132="","",posicao_contratual!U132)</f>
        <v/>
      </c>
      <c r="AI132" s="180" t="str">
        <f>IF(A132="","",posicao_contratual!G132)</f>
        <v/>
      </c>
      <c r="AJ132" s="180" t="str">
        <f>IF(A132="","",posicao_contratual!K132)</f>
        <v/>
      </c>
      <c r="AK132" s="180" t="str">
        <f>IF(A132="","",posicao_contratual!O132)</f>
        <v/>
      </c>
      <c r="AL132" s="180" t="str">
        <f>IF(A132="","",posicao_contratual!S132)</f>
        <v/>
      </c>
      <c r="AM132" s="180" t="str">
        <f>IF(A132="","",posicao_contratual!W132)</f>
        <v/>
      </c>
      <c r="AN132" s="181" t="str">
        <f>IF(A132="","",posicao_contratual!X132)</f>
        <v/>
      </c>
    </row>
    <row r="133" spans="1:40" x14ac:dyDescent="0.35">
      <c r="A133" s="106"/>
      <c r="B133" s="107"/>
      <c r="C133" s="108"/>
      <c r="D133" s="104" t="str">
        <f>IF(AND(A133="",A132&lt;&gt;"",COUNTIF(A134:$A$200,"&lt;&gt;")=0),ROUND(SUMIF($A$2:A132,"&lt;&gt;",$D$2:D132),2),IF(OR(A133="",B133="",C133=""),"",ROUND(B133*C133,2)))</f>
        <v/>
      </c>
      <c r="E133" s="109"/>
      <c r="F133" s="104" t="str">
        <f>IF(AND(A133="",A132&lt;&gt;"",COUNTIF(A134:$A$200,"&lt;&gt;")=0),ROUND(SUMIF($A$2:A132,"&lt;&gt;",$F$2:F132),2),IF(OR(A133="",posicao_contratual!K133="",C133="",NOT(ISNUMBER($Z$3))),"",ROUND(posicao_contratual!K133*C133*$Z$3,2)))</f>
        <v/>
      </c>
      <c r="G133" s="109"/>
      <c r="H133" s="104" t="str">
        <f>IF(AND(A133="",A132&lt;&gt;"",COUNTIF(A134:$A$200,"&lt;&gt;")=0),ROUND(SUMIF($A$2:A132,"&lt;&gt;",$H$2:H132),2),IF(OR(A133="",posicao_contratual!O133="",C133="",NOT(ISNUMBER($Z$4))),"",ROUND(posicao_contratual!O133*C133*$Z$4,2)))</f>
        <v/>
      </c>
      <c r="I133" s="109"/>
      <c r="J133" s="104" t="str">
        <f>IF(AND(A133="",A132&lt;&gt;"",COUNTIF(A134:$A$200,"&lt;&gt;")=0),ROUND(SUMIF($A$2:A132,"&lt;&gt;",$J$2:J132),2),IF(OR(A133="",posicao_contratual!S133="",C133="",NOT(ISNUMBER($Z$5))),"",ROUND(posicao_contratual!S133*C133*$Z$5,2)))</f>
        <v/>
      </c>
      <c r="K133" s="109"/>
      <c r="L133" s="104" t="str">
        <f>IF(AND(A133="",A132&lt;&gt;"",COUNTIF(A134:$A$200,"&lt;&gt;")=0),ROUND(SUMIF($A$2:A132,"&lt;&gt;",$L$2:L132),2),IF(OR(A133="",posicao_contratual!W133="",C133="",NOT(ISNUMBER($Z$6))),"",ROUND(posicao_contratual!W133*C133*$Z$6,2)))</f>
        <v/>
      </c>
      <c r="M133" s="110" t="str">
        <f>IF(OR(posicao_contratual!J133="",posicao_contratual!N133=""),"",ROUND(MAX(posicao_contratual!J133+posicao_contratual!H133-posicao_contratual!N133,0),2))</f>
        <v/>
      </c>
      <c r="N133" s="104" t="str">
        <f>IF(AND(A133="",A132&lt;&gt;"",COUNTIF(A134:$A$200,"&lt;&gt;")=0),ROUND(SUMIF($A$2:A132,"&lt;&gt;",$N$2:N132),2),IF(OR(M133="",C133="",NOT(ISNUMBER($Z$3))),"",ROUND(M133*C133*$Z$3,2)))</f>
        <v/>
      </c>
      <c r="O133" s="110" t="str">
        <f>IF(OR(posicao_contratual!N133="",posicao_contratual!R133=""),"",ROUND(MAX(posicao_contratual!N133+posicao_contratual!L133-posicao_contratual!R133,0),2))</f>
        <v/>
      </c>
      <c r="P133" s="104" t="str">
        <f>IF(AND(A133="",A132&lt;&gt;"",COUNTIF(A134:$A$200,"&lt;&gt;")=0),ROUND(SUMIF($A$2:A132,"&lt;&gt;",$P$2:P132),2),IF(OR(O133="",C133="",NOT(ISNUMBER($Z$4))),"",ROUND(O133*C133*$Z$4,2)))</f>
        <v/>
      </c>
      <c r="Q133" s="110" t="str">
        <f>IF(OR(posicao_contratual!R133="",posicao_contratual!V133=""),"",ROUND(MAX(posicao_contratual!R133+posicao_contratual!P133-posicao_contratual!V133,0),2))</f>
        <v/>
      </c>
      <c r="R133" s="104" t="str">
        <f>IF(AND(A133="",A132&lt;&gt;"",COUNTIF(A134:$A$200,"&lt;&gt;")=0),ROUND(SUMIF($A$2:A132,"&lt;&gt;",$R$2:R132),2),IF(OR(Q133="",C133="",NOT(ISNUMBER($Z$5))),"",ROUND(Q133*C133*$Z$5,2)))</f>
        <v/>
      </c>
      <c r="S133" s="58"/>
      <c r="T133" s="59"/>
      <c r="U133" s="111" t="str">
        <f>IF(AND(A133="",A132&lt;&gt;"",COUNTIF(A134:$A$200,"&lt;&gt;")=0),"TOTAL",IF(A133="","",posicao_contratual!X133))</f>
        <v/>
      </c>
      <c r="V133" s="111" t="str">
        <f>IF(A133="","",posicao_contratual!X133)</f>
        <v/>
      </c>
      <c r="W133" s="15"/>
      <c r="X133" s="15"/>
      <c r="Y133" s="15"/>
      <c r="Z133" s="15"/>
      <c r="AA133" s="15"/>
      <c r="AB133" s="110" t="str">
        <f>IF(OR(A133="",posicao_contratual!E133="",posicao_contratual!J133=""),"",ROUND(MAX(posicao_contratual!E133-posicao_contratual!J133,0),2))</f>
        <v/>
      </c>
      <c r="AC133" s="104" t="str">
        <f>IF(AND(A133="",A132&lt;&gt;"",COUNTIF(A134:$A$200,"&lt;&gt;")=0),ROUND(SUMIF($A$2:A132,"&lt;&gt;",$AC$2:AC132),2),IF(OR(AB133="",C133="",NOT(ISNUMBER($Z$2))),"",ROUND(AB133*C133*$Z$2,2)))</f>
        <v/>
      </c>
      <c r="AD133" s="180" t="str">
        <f>IF(A133="","",posicao_contratual!E133)</f>
        <v/>
      </c>
      <c r="AE133" s="180" t="str">
        <f>IF(A133="","",posicao_contratual!I133)</f>
        <v/>
      </c>
      <c r="AF133" s="180" t="str">
        <f>IF(A133="","",posicao_contratual!M133)</f>
        <v/>
      </c>
      <c r="AG133" s="180" t="str">
        <f>IF(A133="","",posicao_contratual!Q133)</f>
        <v/>
      </c>
      <c r="AH133" s="180" t="str">
        <f>IF(A133="","",posicao_contratual!U133)</f>
        <v/>
      </c>
      <c r="AI133" s="180" t="str">
        <f>IF(A133="","",posicao_contratual!G133)</f>
        <v/>
      </c>
      <c r="AJ133" s="180" t="str">
        <f>IF(A133="","",posicao_contratual!K133)</f>
        <v/>
      </c>
      <c r="AK133" s="180" t="str">
        <f>IF(A133="","",posicao_contratual!O133)</f>
        <v/>
      </c>
      <c r="AL133" s="180" t="str">
        <f>IF(A133="","",posicao_contratual!S133)</f>
        <v/>
      </c>
      <c r="AM133" s="180" t="str">
        <f>IF(A133="","",posicao_contratual!W133)</f>
        <v/>
      </c>
      <c r="AN133" s="181" t="str">
        <f>IF(A133="","",posicao_contratual!X133)</f>
        <v/>
      </c>
    </row>
    <row r="134" spans="1:40" x14ac:dyDescent="0.35">
      <c r="A134" s="106"/>
      <c r="B134" s="107"/>
      <c r="C134" s="108"/>
      <c r="D134" s="104" t="str">
        <f>IF(AND(A134="",A133&lt;&gt;"",COUNTIF(A135:$A$200,"&lt;&gt;")=0),ROUND(SUMIF($A$2:A133,"&lt;&gt;",$D$2:D133),2),IF(OR(A134="",B134="",C134=""),"",ROUND(B134*C134,2)))</f>
        <v/>
      </c>
      <c r="E134" s="109"/>
      <c r="F134" s="104" t="str">
        <f>IF(AND(A134="",A133&lt;&gt;"",COUNTIF(A135:$A$200,"&lt;&gt;")=0),ROUND(SUMIF($A$2:A133,"&lt;&gt;",$F$2:F133),2),IF(OR(A134="",posicao_contratual!K134="",C134="",NOT(ISNUMBER($Z$3))),"",ROUND(posicao_contratual!K134*C134*$Z$3,2)))</f>
        <v/>
      </c>
      <c r="G134" s="109"/>
      <c r="H134" s="104" t="str">
        <f>IF(AND(A134="",A133&lt;&gt;"",COUNTIF(A135:$A$200,"&lt;&gt;")=0),ROUND(SUMIF($A$2:A133,"&lt;&gt;",$H$2:H133),2),IF(OR(A134="",posicao_contratual!O134="",C134="",NOT(ISNUMBER($Z$4))),"",ROUND(posicao_contratual!O134*C134*$Z$4,2)))</f>
        <v/>
      </c>
      <c r="I134" s="109"/>
      <c r="J134" s="104" t="str">
        <f>IF(AND(A134="",A133&lt;&gt;"",COUNTIF(A135:$A$200,"&lt;&gt;")=0),ROUND(SUMIF($A$2:A133,"&lt;&gt;",$J$2:J133),2),IF(OR(A134="",posicao_contratual!S134="",C134="",NOT(ISNUMBER($Z$5))),"",ROUND(posicao_contratual!S134*C134*$Z$5,2)))</f>
        <v/>
      </c>
      <c r="K134" s="109"/>
      <c r="L134" s="104" t="str">
        <f>IF(AND(A134="",A133&lt;&gt;"",COUNTIF(A135:$A$200,"&lt;&gt;")=0),ROUND(SUMIF($A$2:A133,"&lt;&gt;",$L$2:L133),2),IF(OR(A134="",posicao_contratual!W134="",C134="",NOT(ISNUMBER($Z$6))),"",ROUND(posicao_contratual!W134*C134*$Z$6,2)))</f>
        <v/>
      </c>
      <c r="M134" s="110" t="str">
        <f>IF(OR(posicao_contratual!J134="",posicao_contratual!N134=""),"",ROUND(MAX(posicao_contratual!J134+posicao_contratual!H134-posicao_contratual!N134,0),2))</f>
        <v/>
      </c>
      <c r="N134" s="104" t="str">
        <f>IF(AND(A134="",A133&lt;&gt;"",COUNTIF(A135:$A$200,"&lt;&gt;")=0),ROUND(SUMIF($A$2:A133,"&lt;&gt;",$N$2:N133),2),IF(OR(M134="",C134="",NOT(ISNUMBER($Z$3))),"",ROUND(M134*C134*$Z$3,2)))</f>
        <v/>
      </c>
      <c r="O134" s="110" t="str">
        <f>IF(OR(posicao_contratual!N134="",posicao_contratual!R134=""),"",ROUND(MAX(posicao_contratual!N134+posicao_contratual!L134-posicao_contratual!R134,0),2))</f>
        <v/>
      </c>
      <c r="P134" s="104" t="str">
        <f>IF(AND(A134="",A133&lt;&gt;"",COUNTIF(A135:$A$200,"&lt;&gt;")=0),ROUND(SUMIF($A$2:A133,"&lt;&gt;",$P$2:P133),2),IF(OR(O134="",C134="",NOT(ISNUMBER($Z$4))),"",ROUND(O134*C134*$Z$4,2)))</f>
        <v/>
      </c>
      <c r="Q134" s="110" t="str">
        <f>IF(OR(posicao_contratual!R134="",posicao_contratual!V134=""),"",ROUND(MAX(posicao_contratual!R134+posicao_contratual!P134-posicao_contratual!V134,0),2))</f>
        <v/>
      </c>
      <c r="R134" s="104" t="str">
        <f>IF(AND(A134="",A133&lt;&gt;"",COUNTIF(A135:$A$200,"&lt;&gt;")=0),ROUND(SUMIF($A$2:A133,"&lt;&gt;",$R$2:R133),2),IF(OR(Q134="",C134="",NOT(ISNUMBER($Z$5))),"",ROUND(Q134*C134*$Z$5,2)))</f>
        <v/>
      </c>
      <c r="S134" s="58"/>
      <c r="T134" s="59"/>
      <c r="U134" s="111" t="str">
        <f>IF(AND(A134="",A133&lt;&gt;"",COUNTIF(A135:$A$200,"&lt;&gt;")=0),"TOTAL",IF(A134="","",posicao_contratual!X134))</f>
        <v/>
      </c>
      <c r="V134" s="111" t="str">
        <f>IF(A134="","",posicao_contratual!X134)</f>
        <v/>
      </c>
      <c r="W134" s="15"/>
      <c r="X134" s="15"/>
      <c r="Y134" s="15"/>
      <c r="Z134" s="15"/>
      <c r="AA134" s="15"/>
      <c r="AB134" s="110" t="str">
        <f>IF(OR(A134="",posicao_contratual!E134="",posicao_contratual!J134=""),"",ROUND(MAX(posicao_contratual!E134-posicao_contratual!J134,0),2))</f>
        <v/>
      </c>
      <c r="AC134" s="104" t="str">
        <f>IF(AND(A134="",A133&lt;&gt;"",COUNTIF(A135:$A$200,"&lt;&gt;")=0),ROUND(SUMIF($A$2:A133,"&lt;&gt;",$AC$2:AC133),2),IF(OR(AB134="",C134="",NOT(ISNUMBER($Z$2))),"",ROUND(AB134*C134*$Z$2,2)))</f>
        <v/>
      </c>
      <c r="AD134" s="180" t="str">
        <f>IF(A134="","",posicao_contratual!E134)</f>
        <v/>
      </c>
      <c r="AE134" s="180" t="str">
        <f>IF(A134="","",posicao_contratual!I134)</f>
        <v/>
      </c>
      <c r="AF134" s="180" t="str">
        <f>IF(A134="","",posicao_contratual!M134)</f>
        <v/>
      </c>
      <c r="AG134" s="180" t="str">
        <f>IF(A134="","",posicao_contratual!Q134)</f>
        <v/>
      </c>
      <c r="AH134" s="180" t="str">
        <f>IF(A134="","",posicao_contratual!U134)</f>
        <v/>
      </c>
      <c r="AI134" s="180" t="str">
        <f>IF(A134="","",posicao_contratual!G134)</f>
        <v/>
      </c>
      <c r="AJ134" s="180" t="str">
        <f>IF(A134="","",posicao_contratual!K134)</f>
        <v/>
      </c>
      <c r="AK134" s="180" t="str">
        <f>IF(A134="","",posicao_contratual!O134)</f>
        <v/>
      </c>
      <c r="AL134" s="180" t="str">
        <f>IF(A134="","",posicao_contratual!S134)</f>
        <v/>
      </c>
      <c r="AM134" s="180" t="str">
        <f>IF(A134="","",posicao_contratual!W134)</f>
        <v/>
      </c>
      <c r="AN134" s="181" t="str">
        <f>IF(A134="","",posicao_contratual!X134)</f>
        <v/>
      </c>
    </row>
    <row r="135" spans="1:40" x14ac:dyDescent="0.35">
      <c r="A135" s="106"/>
      <c r="B135" s="107"/>
      <c r="C135" s="108"/>
      <c r="D135" s="104" t="str">
        <f>IF(AND(A135="",A134&lt;&gt;"",COUNTIF(A136:$A$200,"&lt;&gt;")=0),ROUND(SUMIF($A$2:A134,"&lt;&gt;",$D$2:D134),2),IF(OR(A135="",B135="",C135=""),"",ROUND(B135*C135,2)))</f>
        <v/>
      </c>
      <c r="E135" s="109"/>
      <c r="F135" s="104" t="str">
        <f>IF(AND(A135="",A134&lt;&gt;"",COUNTIF(A136:$A$200,"&lt;&gt;")=0),ROUND(SUMIF($A$2:A134,"&lt;&gt;",$F$2:F134),2),IF(OR(A135="",posicao_contratual!K135="",C135="",NOT(ISNUMBER($Z$3))),"",ROUND(posicao_contratual!K135*C135*$Z$3,2)))</f>
        <v/>
      </c>
      <c r="G135" s="109"/>
      <c r="H135" s="104" t="str">
        <f>IF(AND(A135="",A134&lt;&gt;"",COUNTIF(A136:$A$200,"&lt;&gt;")=0),ROUND(SUMIF($A$2:A134,"&lt;&gt;",$H$2:H134),2),IF(OR(A135="",posicao_contratual!O135="",C135="",NOT(ISNUMBER($Z$4))),"",ROUND(posicao_contratual!O135*C135*$Z$4,2)))</f>
        <v/>
      </c>
      <c r="I135" s="109"/>
      <c r="J135" s="104" t="str">
        <f>IF(AND(A135="",A134&lt;&gt;"",COUNTIF(A136:$A$200,"&lt;&gt;")=0),ROUND(SUMIF($A$2:A134,"&lt;&gt;",$J$2:J134),2),IF(OR(A135="",posicao_contratual!S135="",C135="",NOT(ISNUMBER($Z$5))),"",ROUND(posicao_contratual!S135*C135*$Z$5,2)))</f>
        <v/>
      </c>
      <c r="K135" s="109"/>
      <c r="L135" s="104" t="str">
        <f>IF(AND(A135="",A134&lt;&gt;"",COUNTIF(A136:$A$200,"&lt;&gt;")=0),ROUND(SUMIF($A$2:A134,"&lt;&gt;",$L$2:L134),2),IF(OR(A135="",posicao_contratual!W135="",C135="",NOT(ISNUMBER($Z$6))),"",ROUND(posicao_contratual!W135*C135*$Z$6,2)))</f>
        <v/>
      </c>
      <c r="M135" s="110" t="str">
        <f>IF(OR(posicao_contratual!J135="",posicao_contratual!N135=""),"",ROUND(MAX(posicao_contratual!J135+posicao_contratual!H135-posicao_contratual!N135,0),2))</f>
        <v/>
      </c>
      <c r="N135" s="104" t="str">
        <f>IF(AND(A135="",A134&lt;&gt;"",COUNTIF(A136:$A$200,"&lt;&gt;")=0),ROUND(SUMIF($A$2:A134,"&lt;&gt;",$N$2:N134),2),IF(OR(M135="",C135="",NOT(ISNUMBER($Z$3))),"",ROUND(M135*C135*$Z$3,2)))</f>
        <v/>
      </c>
      <c r="O135" s="110" t="str">
        <f>IF(OR(posicao_contratual!N135="",posicao_contratual!R135=""),"",ROUND(MAX(posicao_contratual!N135+posicao_contratual!L135-posicao_contratual!R135,0),2))</f>
        <v/>
      </c>
      <c r="P135" s="104" t="str">
        <f>IF(AND(A135="",A134&lt;&gt;"",COUNTIF(A136:$A$200,"&lt;&gt;")=0),ROUND(SUMIF($A$2:A134,"&lt;&gt;",$P$2:P134),2),IF(OR(O135="",C135="",NOT(ISNUMBER($Z$4))),"",ROUND(O135*C135*$Z$4,2)))</f>
        <v/>
      </c>
      <c r="Q135" s="110" t="str">
        <f>IF(OR(posicao_contratual!R135="",posicao_contratual!V135=""),"",ROUND(MAX(posicao_contratual!R135+posicao_contratual!P135-posicao_contratual!V135,0),2))</f>
        <v/>
      </c>
      <c r="R135" s="104" t="str">
        <f>IF(AND(A135="",A134&lt;&gt;"",COUNTIF(A136:$A$200,"&lt;&gt;")=0),ROUND(SUMIF($A$2:A134,"&lt;&gt;",$R$2:R134),2),IF(OR(Q135="",C135="",NOT(ISNUMBER($Z$5))),"",ROUND(Q135*C135*$Z$5,2)))</f>
        <v/>
      </c>
      <c r="S135" s="58"/>
      <c r="T135" s="59"/>
      <c r="U135" s="111" t="str">
        <f>IF(AND(A135="",A134&lt;&gt;"",COUNTIF(A136:$A$200,"&lt;&gt;")=0),"TOTAL",IF(A135="","",posicao_contratual!X135))</f>
        <v/>
      </c>
      <c r="V135" s="111" t="str">
        <f>IF(A135="","",posicao_contratual!X135)</f>
        <v/>
      </c>
      <c r="W135" s="15"/>
      <c r="X135" s="15"/>
      <c r="Y135" s="15"/>
      <c r="Z135" s="15"/>
      <c r="AA135" s="15"/>
      <c r="AB135" s="110" t="str">
        <f>IF(OR(A135="",posicao_contratual!E135="",posicao_contratual!J135=""),"",ROUND(MAX(posicao_contratual!E135-posicao_contratual!J135,0),2))</f>
        <v/>
      </c>
      <c r="AC135" s="104" t="str">
        <f>IF(AND(A135="",A134&lt;&gt;"",COUNTIF(A136:$A$200,"&lt;&gt;")=0),ROUND(SUMIF($A$2:A134,"&lt;&gt;",$AC$2:AC134),2),IF(OR(AB135="",C135="",NOT(ISNUMBER($Z$2))),"",ROUND(AB135*C135*$Z$2,2)))</f>
        <v/>
      </c>
      <c r="AD135" s="180" t="str">
        <f>IF(A135="","",posicao_contratual!E135)</f>
        <v/>
      </c>
      <c r="AE135" s="180" t="str">
        <f>IF(A135="","",posicao_contratual!I135)</f>
        <v/>
      </c>
      <c r="AF135" s="180" t="str">
        <f>IF(A135="","",posicao_contratual!M135)</f>
        <v/>
      </c>
      <c r="AG135" s="180" t="str">
        <f>IF(A135="","",posicao_contratual!Q135)</f>
        <v/>
      </c>
      <c r="AH135" s="180" t="str">
        <f>IF(A135="","",posicao_contratual!U135)</f>
        <v/>
      </c>
      <c r="AI135" s="180" t="str">
        <f>IF(A135="","",posicao_contratual!G135)</f>
        <v/>
      </c>
      <c r="AJ135" s="180" t="str">
        <f>IF(A135="","",posicao_contratual!K135)</f>
        <v/>
      </c>
      <c r="AK135" s="180" t="str">
        <f>IF(A135="","",posicao_contratual!O135)</f>
        <v/>
      </c>
      <c r="AL135" s="180" t="str">
        <f>IF(A135="","",posicao_contratual!S135)</f>
        <v/>
      </c>
      <c r="AM135" s="180" t="str">
        <f>IF(A135="","",posicao_contratual!W135)</f>
        <v/>
      </c>
      <c r="AN135" s="181" t="str">
        <f>IF(A135="","",posicao_contratual!X135)</f>
        <v/>
      </c>
    </row>
    <row r="136" spans="1:40" x14ac:dyDescent="0.35">
      <c r="A136" s="106"/>
      <c r="B136" s="107"/>
      <c r="C136" s="108"/>
      <c r="D136" s="104" t="str">
        <f>IF(AND(A136="",A135&lt;&gt;"",COUNTIF(A137:$A$200,"&lt;&gt;")=0),ROUND(SUMIF($A$2:A135,"&lt;&gt;",$D$2:D135),2),IF(OR(A136="",B136="",C136=""),"",ROUND(B136*C136,2)))</f>
        <v/>
      </c>
      <c r="E136" s="109"/>
      <c r="F136" s="104" t="str">
        <f>IF(AND(A136="",A135&lt;&gt;"",COUNTIF(A137:$A$200,"&lt;&gt;")=0),ROUND(SUMIF($A$2:A135,"&lt;&gt;",$F$2:F135),2),IF(OR(A136="",posicao_contratual!K136="",C136="",NOT(ISNUMBER($Z$3))),"",ROUND(posicao_contratual!K136*C136*$Z$3,2)))</f>
        <v/>
      </c>
      <c r="G136" s="109"/>
      <c r="H136" s="104" t="str">
        <f>IF(AND(A136="",A135&lt;&gt;"",COUNTIF(A137:$A$200,"&lt;&gt;")=0),ROUND(SUMIF($A$2:A135,"&lt;&gt;",$H$2:H135),2),IF(OR(A136="",posicao_contratual!O136="",C136="",NOT(ISNUMBER($Z$4))),"",ROUND(posicao_contratual!O136*C136*$Z$4,2)))</f>
        <v/>
      </c>
      <c r="I136" s="109"/>
      <c r="J136" s="104" t="str">
        <f>IF(AND(A136="",A135&lt;&gt;"",COUNTIF(A137:$A$200,"&lt;&gt;")=0),ROUND(SUMIF($A$2:A135,"&lt;&gt;",$J$2:J135),2),IF(OR(A136="",posicao_contratual!S136="",C136="",NOT(ISNUMBER($Z$5))),"",ROUND(posicao_contratual!S136*C136*$Z$5,2)))</f>
        <v/>
      </c>
      <c r="K136" s="109"/>
      <c r="L136" s="104" t="str">
        <f>IF(AND(A136="",A135&lt;&gt;"",COUNTIF(A137:$A$200,"&lt;&gt;")=0),ROUND(SUMIF($A$2:A135,"&lt;&gt;",$L$2:L135),2),IF(OR(A136="",posicao_contratual!W136="",C136="",NOT(ISNUMBER($Z$6))),"",ROUND(posicao_contratual!W136*C136*$Z$6,2)))</f>
        <v/>
      </c>
      <c r="M136" s="110" t="str">
        <f>IF(OR(posicao_contratual!J136="",posicao_contratual!N136=""),"",ROUND(MAX(posicao_contratual!J136+posicao_contratual!H136-posicao_contratual!N136,0),2))</f>
        <v/>
      </c>
      <c r="N136" s="104" t="str">
        <f>IF(AND(A136="",A135&lt;&gt;"",COUNTIF(A137:$A$200,"&lt;&gt;")=0),ROUND(SUMIF($A$2:A135,"&lt;&gt;",$N$2:N135),2),IF(OR(M136="",C136="",NOT(ISNUMBER($Z$3))),"",ROUND(M136*C136*$Z$3,2)))</f>
        <v/>
      </c>
      <c r="O136" s="110" t="str">
        <f>IF(OR(posicao_contratual!N136="",posicao_contratual!R136=""),"",ROUND(MAX(posicao_contratual!N136+posicao_contratual!L136-posicao_contratual!R136,0),2))</f>
        <v/>
      </c>
      <c r="P136" s="104" t="str">
        <f>IF(AND(A136="",A135&lt;&gt;"",COUNTIF(A137:$A$200,"&lt;&gt;")=0),ROUND(SUMIF($A$2:A135,"&lt;&gt;",$P$2:P135),2),IF(OR(O136="",C136="",NOT(ISNUMBER($Z$4))),"",ROUND(O136*C136*$Z$4,2)))</f>
        <v/>
      </c>
      <c r="Q136" s="110" t="str">
        <f>IF(OR(posicao_contratual!R136="",posicao_contratual!V136=""),"",ROUND(MAX(posicao_contratual!R136+posicao_contratual!P136-posicao_contratual!V136,0),2))</f>
        <v/>
      </c>
      <c r="R136" s="104" t="str">
        <f>IF(AND(A136="",A135&lt;&gt;"",COUNTIF(A137:$A$200,"&lt;&gt;")=0),ROUND(SUMIF($A$2:A135,"&lt;&gt;",$R$2:R135),2),IF(OR(Q136="",C136="",NOT(ISNUMBER($Z$5))),"",ROUND(Q136*C136*$Z$5,2)))</f>
        <v/>
      </c>
      <c r="S136" s="58"/>
      <c r="T136" s="59"/>
      <c r="U136" s="111" t="str">
        <f>IF(AND(A136="",A135&lt;&gt;"",COUNTIF(A137:$A$200,"&lt;&gt;")=0),"TOTAL",IF(A136="","",posicao_contratual!X136))</f>
        <v/>
      </c>
      <c r="V136" s="111" t="str">
        <f>IF(A136="","",posicao_contratual!X136)</f>
        <v/>
      </c>
      <c r="W136" s="15"/>
      <c r="X136" s="15"/>
      <c r="Y136" s="15"/>
      <c r="Z136" s="15"/>
      <c r="AA136" s="15"/>
      <c r="AB136" s="110" t="str">
        <f>IF(OR(A136="",posicao_contratual!E136="",posicao_contratual!J136=""),"",ROUND(MAX(posicao_contratual!E136-posicao_contratual!J136,0),2))</f>
        <v/>
      </c>
      <c r="AC136" s="104" t="str">
        <f>IF(AND(A136="",A135&lt;&gt;"",COUNTIF(A137:$A$200,"&lt;&gt;")=0),ROUND(SUMIF($A$2:A135,"&lt;&gt;",$AC$2:AC135),2),IF(OR(AB136="",C136="",NOT(ISNUMBER($Z$2))),"",ROUND(AB136*C136*$Z$2,2)))</f>
        <v/>
      </c>
      <c r="AD136" s="180" t="str">
        <f>IF(A136="","",posicao_contratual!E136)</f>
        <v/>
      </c>
      <c r="AE136" s="180" t="str">
        <f>IF(A136="","",posicao_contratual!I136)</f>
        <v/>
      </c>
      <c r="AF136" s="180" t="str">
        <f>IF(A136="","",posicao_contratual!M136)</f>
        <v/>
      </c>
      <c r="AG136" s="180" t="str">
        <f>IF(A136="","",posicao_contratual!Q136)</f>
        <v/>
      </c>
      <c r="AH136" s="180" t="str">
        <f>IF(A136="","",posicao_contratual!U136)</f>
        <v/>
      </c>
      <c r="AI136" s="180" t="str">
        <f>IF(A136="","",posicao_contratual!G136)</f>
        <v/>
      </c>
      <c r="AJ136" s="180" t="str">
        <f>IF(A136="","",posicao_contratual!K136)</f>
        <v/>
      </c>
      <c r="AK136" s="180" t="str">
        <f>IF(A136="","",posicao_contratual!O136)</f>
        <v/>
      </c>
      <c r="AL136" s="180" t="str">
        <f>IF(A136="","",posicao_contratual!S136)</f>
        <v/>
      </c>
      <c r="AM136" s="180" t="str">
        <f>IF(A136="","",posicao_contratual!W136)</f>
        <v/>
      </c>
      <c r="AN136" s="181" t="str">
        <f>IF(A136="","",posicao_contratual!X136)</f>
        <v/>
      </c>
    </row>
    <row r="137" spans="1:40" x14ac:dyDescent="0.35">
      <c r="A137" s="106"/>
      <c r="B137" s="107"/>
      <c r="C137" s="108"/>
      <c r="D137" s="104" t="str">
        <f>IF(AND(A137="",A136&lt;&gt;"",COUNTIF(A138:$A$200,"&lt;&gt;")=0),ROUND(SUMIF($A$2:A136,"&lt;&gt;",$D$2:D136),2),IF(OR(A137="",B137="",C137=""),"",ROUND(B137*C137,2)))</f>
        <v/>
      </c>
      <c r="E137" s="109"/>
      <c r="F137" s="104" t="str">
        <f>IF(AND(A137="",A136&lt;&gt;"",COUNTIF(A138:$A$200,"&lt;&gt;")=0),ROUND(SUMIF($A$2:A136,"&lt;&gt;",$F$2:F136),2),IF(OR(A137="",posicao_contratual!K137="",C137="",NOT(ISNUMBER($Z$3))),"",ROUND(posicao_contratual!K137*C137*$Z$3,2)))</f>
        <v/>
      </c>
      <c r="G137" s="109"/>
      <c r="H137" s="104" t="str">
        <f>IF(AND(A137="",A136&lt;&gt;"",COUNTIF(A138:$A$200,"&lt;&gt;")=0),ROUND(SUMIF($A$2:A136,"&lt;&gt;",$H$2:H136),2),IF(OR(A137="",posicao_contratual!O137="",C137="",NOT(ISNUMBER($Z$4))),"",ROUND(posicao_contratual!O137*C137*$Z$4,2)))</f>
        <v/>
      </c>
      <c r="I137" s="109"/>
      <c r="J137" s="104" t="str">
        <f>IF(AND(A137="",A136&lt;&gt;"",COUNTIF(A138:$A$200,"&lt;&gt;")=0),ROUND(SUMIF($A$2:A136,"&lt;&gt;",$J$2:J136),2),IF(OR(A137="",posicao_contratual!S137="",C137="",NOT(ISNUMBER($Z$5))),"",ROUND(posicao_contratual!S137*C137*$Z$5,2)))</f>
        <v/>
      </c>
      <c r="K137" s="109"/>
      <c r="L137" s="104" t="str">
        <f>IF(AND(A137="",A136&lt;&gt;"",COUNTIF(A138:$A$200,"&lt;&gt;")=0),ROUND(SUMIF($A$2:A136,"&lt;&gt;",$L$2:L136),2),IF(OR(A137="",posicao_contratual!W137="",C137="",NOT(ISNUMBER($Z$6))),"",ROUND(posicao_contratual!W137*C137*$Z$6,2)))</f>
        <v/>
      </c>
      <c r="M137" s="110" t="str">
        <f>IF(OR(posicao_contratual!J137="",posicao_contratual!N137=""),"",ROUND(MAX(posicao_contratual!J137+posicao_contratual!H137-posicao_contratual!N137,0),2))</f>
        <v/>
      </c>
      <c r="N137" s="104" t="str">
        <f>IF(AND(A137="",A136&lt;&gt;"",COUNTIF(A138:$A$200,"&lt;&gt;")=0),ROUND(SUMIF($A$2:A136,"&lt;&gt;",$N$2:N136),2),IF(OR(M137="",C137="",NOT(ISNUMBER($Z$3))),"",ROUND(M137*C137*$Z$3,2)))</f>
        <v/>
      </c>
      <c r="O137" s="110" t="str">
        <f>IF(OR(posicao_contratual!N137="",posicao_contratual!R137=""),"",ROUND(MAX(posicao_contratual!N137+posicao_contratual!L137-posicao_contratual!R137,0),2))</f>
        <v/>
      </c>
      <c r="P137" s="104" t="str">
        <f>IF(AND(A137="",A136&lt;&gt;"",COUNTIF(A138:$A$200,"&lt;&gt;")=0),ROUND(SUMIF($A$2:A136,"&lt;&gt;",$P$2:P136),2),IF(OR(O137="",C137="",NOT(ISNUMBER($Z$4))),"",ROUND(O137*C137*$Z$4,2)))</f>
        <v/>
      </c>
      <c r="Q137" s="110" t="str">
        <f>IF(OR(posicao_contratual!R137="",posicao_contratual!V137=""),"",ROUND(MAX(posicao_contratual!R137+posicao_contratual!P137-posicao_contratual!V137,0),2))</f>
        <v/>
      </c>
      <c r="R137" s="104" t="str">
        <f>IF(AND(A137="",A136&lt;&gt;"",COUNTIF(A138:$A$200,"&lt;&gt;")=0),ROUND(SUMIF($A$2:A136,"&lt;&gt;",$R$2:R136),2),IF(OR(Q137="",C137="",NOT(ISNUMBER($Z$5))),"",ROUND(Q137*C137*$Z$5,2)))</f>
        <v/>
      </c>
      <c r="S137" s="58"/>
      <c r="T137" s="59"/>
      <c r="U137" s="111" t="str">
        <f>IF(AND(A137="",A136&lt;&gt;"",COUNTIF(A138:$A$200,"&lt;&gt;")=0),"TOTAL",IF(A137="","",posicao_contratual!X137))</f>
        <v/>
      </c>
      <c r="V137" s="111" t="str">
        <f>IF(A137="","",posicao_contratual!X137)</f>
        <v/>
      </c>
      <c r="W137" s="15"/>
      <c r="X137" s="15"/>
      <c r="Y137" s="15"/>
      <c r="Z137" s="15"/>
      <c r="AA137" s="15"/>
      <c r="AB137" s="110" t="str">
        <f>IF(OR(A137="",posicao_contratual!E137="",posicao_contratual!J137=""),"",ROUND(MAX(posicao_contratual!E137-posicao_contratual!J137,0),2))</f>
        <v/>
      </c>
      <c r="AC137" s="104" t="str">
        <f>IF(AND(A137="",A136&lt;&gt;"",COUNTIF(A138:$A$200,"&lt;&gt;")=0),ROUND(SUMIF($A$2:A136,"&lt;&gt;",$AC$2:AC136),2),IF(OR(AB137="",C137="",NOT(ISNUMBER($Z$2))),"",ROUND(AB137*C137*$Z$2,2)))</f>
        <v/>
      </c>
      <c r="AD137" s="180" t="str">
        <f>IF(A137="","",posicao_contratual!E137)</f>
        <v/>
      </c>
      <c r="AE137" s="180" t="str">
        <f>IF(A137="","",posicao_contratual!I137)</f>
        <v/>
      </c>
      <c r="AF137" s="180" t="str">
        <f>IF(A137="","",posicao_contratual!M137)</f>
        <v/>
      </c>
      <c r="AG137" s="180" t="str">
        <f>IF(A137="","",posicao_contratual!Q137)</f>
        <v/>
      </c>
      <c r="AH137" s="180" t="str">
        <f>IF(A137="","",posicao_contratual!U137)</f>
        <v/>
      </c>
      <c r="AI137" s="180" t="str">
        <f>IF(A137="","",posicao_contratual!G137)</f>
        <v/>
      </c>
      <c r="AJ137" s="180" t="str">
        <f>IF(A137="","",posicao_contratual!K137)</f>
        <v/>
      </c>
      <c r="AK137" s="180" t="str">
        <f>IF(A137="","",posicao_contratual!O137)</f>
        <v/>
      </c>
      <c r="AL137" s="180" t="str">
        <f>IF(A137="","",posicao_contratual!S137)</f>
        <v/>
      </c>
      <c r="AM137" s="180" t="str">
        <f>IF(A137="","",posicao_contratual!W137)</f>
        <v/>
      </c>
      <c r="AN137" s="181" t="str">
        <f>IF(A137="","",posicao_contratual!X137)</f>
        <v/>
      </c>
    </row>
    <row r="138" spans="1:40" x14ac:dyDescent="0.35">
      <c r="A138" s="106"/>
      <c r="B138" s="107"/>
      <c r="C138" s="108"/>
      <c r="D138" s="104" t="str">
        <f>IF(AND(A138="",A137&lt;&gt;"",COUNTIF(A139:$A$200,"&lt;&gt;")=0),ROUND(SUMIF($A$2:A137,"&lt;&gt;",$D$2:D137),2),IF(OR(A138="",B138="",C138=""),"",ROUND(B138*C138,2)))</f>
        <v/>
      </c>
      <c r="E138" s="109"/>
      <c r="F138" s="104" t="str">
        <f>IF(AND(A138="",A137&lt;&gt;"",COUNTIF(A139:$A$200,"&lt;&gt;")=0),ROUND(SUMIF($A$2:A137,"&lt;&gt;",$F$2:F137),2),IF(OR(A138="",posicao_contratual!K138="",C138="",NOT(ISNUMBER($Z$3))),"",ROUND(posicao_contratual!K138*C138*$Z$3,2)))</f>
        <v/>
      </c>
      <c r="G138" s="109"/>
      <c r="H138" s="104" t="str">
        <f>IF(AND(A138="",A137&lt;&gt;"",COUNTIF(A139:$A$200,"&lt;&gt;")=0),ROUND(SUMIF($A$2:A137,"&lt;&gt;",$H$2:H137),2),IF(OR(A138="",posicao_contratual!O138="",C138="",NOT(ISNUMBER($Z$4))),"",ROUND(posicao_contratual!O138*C138*$Z$4,2)))</f>
        <v/>
      </c>
      <c r="I138" s="109"/>
      <c r="J138" s="104" t="str">
        <f>IF(AND(A138="",A137&lt;&gt;"",COUNTIF(A139:$A$200,"&lt;&gt;")=0),ROUND(SUMIF($A$2:A137,"&lt;&gt;",$J$2:J137),2),IF(OR(A138="",posicao_contratual!S138="",C138="",NOT(ISNUMBER($Z$5))),"",ROUND(posicao_contratual!S138*C138*$Z$5,2)))</f>
        <v/>
      </c>
      <c r="K138" s="109"/>
      <c r="L138" s="104" t="str">
        <f>IF(AND(A138="",A137&lt;&gt;"",COUNTIF(A139:$A$200,"&lt;&gt;")=0),ROUND(SUMIF($A$2:A137,"&lt;&gt;",$L$2:L137),2),IF(OR(A138="",posicao_contratual!W138="",C138="",NOT(ISNUMBER($Z$6))),"",ROUND(posicao_contratual!W138*C138*$Z$6,2)))</f>
        <v/>
      </c>
      <c r="M138" s="110" t="str">
        <f>IF(OR(posicao_contratual!J138="",posicao_contratual!N138=""),"",ROUND(MAX(posicao_contratual!J138+posicao_contratual!H138-posicao_contratual!N138,0),2))</f>
        <v/>
      </c>
      <c r="N138" s="104" t="str">
        <f>IF(AND(A138="",A137&lt;&gt;"",COUNTIF(A139:$A$200,"&lt;&gt;")=0),ROUND(SUMIF($A$2:A137,"&lt;&gt;",$N$2:N137),2),IF(OR(M138="",C138="",NOT(ISNUMBER($Z$3))),"",ROUND(M138*C138*$Z$3,2)))</f>
        <v/>
      </c>
      <c r="O138" s="110" t="str">
        <f>IF(OR(posicao_contratual!N138="",posicao_contratual!R138=""),"",ROUND(MAX(posicao_contratual!N138+posicao_contratual!L138-posicao_contratual!R138,0),2))</f>
        <v/>
      </c>
      <c r="P138" s="104" t="str">
        <f>IF(AND(A138="",A137&lt;&gt;"",COUNTIF(A139:$A$200,"&lt;&gt;")=0),ROUND(SUMIF($A$2:A137,"&lt;&gt;",$P$2:P137),2),IF(OR(O138="",C138="",NOT(ISNUMBER($Z$4))),"",ROUND(O138*C138*$Z$4,2)))</f>
        <v/>
      </c>
      <c r="Q138" s="110" t="str">
        <f>IF(OR(posicao_contratual!R138="",posicao_contratual!V138=""),"",ROUND(MAX(posicao_contratual!R138+posicao_contratual!P138-posicao_contratual!V138,0),2))</f>
        <v/>
      </c>
      <c r="R138" s="104" t="str">
        <f>IF(AND(A138="",A137&lt;&gt;"",COUNTIF(A139:$A$200,"&lt;&gt;")=0),ROUND(SUMIF($A$2:A137,"&lt;&gt;",$R$2:R137),2),IF(OR(Q138="",C138="",NOT(ISNUMBER($Z$5))),"",ROUND(Q138*C138*$Z$5,2)))</f>
        <v/>
      </c>
      <c r="S138" s="58"/>
      <c r="T138" s="59"/>
      <c r="U138" s="111" t="str">
        <f>IF(AND(A138="",A137&lt;&gt;"",COUNTIF(A139:$A$200,"&lt;&gt;")=0),"TOTAL",IF(A138="","",posicao_contratual!X138))</f>
        <v/>
      </c>
      <c r="V138" s="111" t="str">
        <f>IF(A138="","",posicao_contratual!X138)</f>
        <v/>
      </c>
      <c r="W138" s="15"/>
      <c r="X138" s="15"/>
      <c r="Y138" s="15"/>
      <c r="Z138" s="15"/>
      <c r="AA138" s="15"/>
      <c r="AB138" s="110" t="str">
        <f>IF(OR(A138="",posicao_contratual!E138="",posicao_contratual!J138=""),"",ROUND(MAX(posicao_contratual!E138-posicao_contratual!J138,0),2))</f>
        <v/>
      </c>
      <c r="AC138" s="104" t="str">
        <f>IF(AND(A138="",A137&lt;&gt;"",COUNTIF(A139:$A$200,"&lt;&gt;")=0),ROUND(SUMIF($A$2:A137,"&lt;&gt;",$AC$2:AC137),2),IF(OR(AB138="",C138="",NOT(ISNUMBER($Z$2))),"",ROUND(AB138*C138*$Z$2,2)))</f>
        <v/>
      </c>
      <c r="AD138" s="180" t="str">
        <f>IF(A138="","",posicao_contratual!E138)</f>
        <v/>
      </c>
      <c r="AE138" s="180" t="str">
        <f>IF(A138="","",posicao_contratual!I138)</f>
        <v/>
      </c>
      <c r="AF138" s="180" t="str">
        <f>IF(A138="","",posicao_contratual!M138)</f>
        <v/>
      </c>
      <c r="AG138" s="180" t="str">
        <f>IF(A138="","",posicao_contratual!Q138)</f>
        <v/>
      </c>
      <c r="AH138" s="180" t="str">
        <f>IF(A138="","",posicao_contratual!U138)</f>
        <v/>
      </c>
      <c r="AI138" s="180" t="str">
        <f>IF(A138="","",posicao_contratual!G138)</f>
        <v/>
      </c>
      <c r="AJ138" s="180" t="str">
        <f>IF(A138="","",posicao_contratual!K138)</f>
        <v/>
      </c>
      <c r="AK138" s="180" t="str">
        <f>IF(A138="","",posicao_contratual!O138)</f>
        <v/>
      </c>
      <c r="AL138" s="180" t="str">
        <f>IF(A138="","",posicao_contratual!S138)</f>
        <v/>
      </c>
      <c r="AM138" s="180" t="str">
        <f>IF(A138="","",posicao_contratual!W138)</f>
        <v/>
      </c>
      <c r="AN138" s="181" t="str">
        <f>IF(A138="","",posicao_contratual!X138)</f>
        <v/>
      </c>
    </row>
    <row r="139" spans="1:40" x14ac:dyDescent="0.35">
      <c r="A139" s="106"/>
      <c r="B139" s="107"/>
      <c r="C139" s="108"/>
      <c r="D139" s="104" t="str">
        <f>IF(AND(A139="",A138&lt;&gt;"",COUNTIF(A140:$A$200,"&lt;&gt;")=0),ROUND(SUMIF($A$2:A138,"&lt;&gt;",$D$2:D138),2),IF(OR(A139="",B139="",C139=""),"",ROUND(B139*C139,2)))</f>
        <v/>
      </c>
      <c r="E139" s="109"/>
      <c r="F139" s="104" t="str">
        <f>IF(AND(A139="",A138&lt;&gt;"",COUNTIF(A140:$A$200,"&lt;&gt;")=0),ROUND(SUMIF($A$2:A138,"&lt;&gt;",$F$2:F138),2),IF(OR(A139="",posicao_contratual!K139="",C139="",NOT(ISNUMBER($Z$3))),"",ROUND(posicao_contratual!K139*C139*$Z$3,2)))</f>
        <v/>
      </c>
      <c r="G139" s="109"/>
      <c r="H139" s="104" t="str">
        <f>IF(AND(A139="",A138&lt;&gt;"",COUNTIF(A140:$A$200,"&lt;&gt;")=0),ROUND(SUMIF($A$2:A138,"&lt;&gt;",$H$2:H138),2),IF(OR(A139="",posicao_contratual!O139="",C139="",NOT(ISNUMBER($Z$4))),"",ROUND(posicao_contratual!O139*C139*$Z$4,2)))</f>
        <v/>
      </c>
      <c r="I139" s="109"/>
      <c r="J139" s="104" t="str">
        <f>IF(AND(A139="",A138&lt;&gt;"",COUNTIF(A140:$A$200,"&lt;&gt;")=0),ROUND(SUMIF($A$2:A138,"&lt;&gt;",$J$2:J138),2),IF(OR(A139="",posicao_contratual!S139="",C139="",NOT(ISNUMBER($Z$5))),"",ROUND(posicao_contratual!S139*C139*$Z$5,2)))</f>
        <v/>
      </c>
      <c r="K139" s="109"/>
      <c r="L139" s="104" t="str">
        <f>IF(AND(A139="",A138&lt;&gt;"",COUNTIF(A140:$A$200,"&lt;&gt;")=0),ROUND(SUMIF($A$2:A138,"&lt;&gt;",$L$2:L138),2),IF(OR(A139="",posicao_contratual!W139="",C139="",NOT(ISNUMBER($Z$6))),"",ROUND(posicao_contratual!W139*C139*$Z$6,2)))</f>
        <v/>
      </c>
      <c r="M139" s="110" t="str">
        <f>IF(OR(posicao_contratual!J139="",posicao_contratual!N139=""),"",ROUND(MAX(posicao_contratual!J139+posicao_contratual!H139-posicao_contratual!N139,0),2))</f>
        <v/>
      </c>
      <c r="N139" s="104" t="str">
        <f>IF(AND(A139="",A138&lt;&gt;"",COUNTIF(A140:$A$200,"&lt;&gt;")=0),ROUND(SUMIF($A$2:A138,"&lt;&gt;",$N$2:N138),2),IF(OR(M139="",C139="",NOT(ISNUMBER($Z$3))),"",ROUND(M139*C139*$Z$3,2)))</f>
        <v/>
      </c>
      <c r="O139" s="110" t="str">
        <f>IF(OR(posicao_contratual!N139="",posicao_contratual!R139=""),"",ROUND(MAX(posicao_contratual!N139+posicao_contratual!L139-posicao_contratual!R139,0),2))</f>
        <v/>
      </c>
      <c r="P139" s="104" t="str">
        <f>IF(AND(A139="",A138&lt;&gt;"",COUNTIF(A140:$A$200,"&lt;&gt;")=0),ROUND(SUMIF($A$2:A138,"&lt;&gt;",$P$2:P138),2),IF(OR(O139="",C139="",NOT(ISNUMBER($Z$4))),"",ROUND(O139*C139*$Z$4,2)))</f>
        <v/>
      </c>
      <c r="Q139" s="110" t="str">
        <f>IF(OR(posicao_contratual!R139="",posicao_contratual!V139=""),"",ROUND(MAX(posicao_contratual!R139+posicao_contratual!P139-posicao_contratual!V139,0),2))</f>
        <v/>
      </c>
      <c r="R139" s="104" t="str">
        <f>IF(AND(A139="",A138&lt;&gt;"",COUNTIF(A140:$A$200,"&lt;&gt;")=0),ROUND(SUMIF($A$2:A138,"&lt;&gt;",$R$2:R138),2),IF(OR(Q139="",C139="",NOT(ISNUMBER($Z$5))),"",ROUND(Q139*C139*$Z$5,2)))</f>
        <v/>
      </c>
      <c r="S139" s="58"/>
      <c r="T139" s="59"/>
      <c r="U139" s="111" t="str">
        <f>IF(AND(A139="",A138&lt;&gt;"",COUNTIF(A140:$A$200,"&lt;&gt;")=0),"TOTAL",IF(A139="","",posicao_contratual!X139))</f>
        <v/>
      </c>
      <c r="V139" s="111" t="str">
        <f>IF(A139="","",posicao_contratual!X139)</f>
        <v/>
      </c>
      <c r="W139" s="15"/>
      <c r="X139" s="15"/>
      <c r="Y139" s="15"/>
      <c r="Z139" s="15"/>
      <c r="AA139" s="15"/>
      <c r="AB139" s="110" t="str">
        <f>IF(OR(A139="",posicao_contratual!E139="",posicao_contratual!J139=""),"",ROUND(MAX(posicao_contratual!E139-posicao_contratual!J139,0),2))</f>
        <v/>
      </c>
      <c r="AC139" s="104" t="str">
        <f>IF(AND(A139="",A138&lt;&gt;"",COUNTIF(A140:$A$200,"&lt;&gt;")=0),ROUND(SUMIF($A$2:A138,"&lt;&gt;",$AC$2:AC138),2),IF(OR(AB139="",C139="",NOT(ISNUMBER($Z$2))),"",ROUND(AB139*C139*$Z$2,2)))</f>
        <v/>
      </c>
      <c r="AD139" s="180" t="str">
        <f>IF(A139="","",posicao_contratual!E139)</f>
        <v/>
      </c>
      <c r="AE139" s="180" t="str">
        <f>IF(A139="","",posicao_contratual!I139)</f>
        <v/>
      </c>
      <c r="AF139" s="180" t="str">
        <f>IF(A139="","",posicao_contratual!M139)</f>
        <v/>
      </c>
      <c r="AG139" s="180" t="str">
        <f>IF(A139="","",posicao_contratual!Q139)</f>
        <v/>
      </c>
      <c r="AH139" s="180" t="str">
        <f>IF(A139="","",posicao_contratual!U139)</f>
        <v/>
      </c>
      <c r="AI139" s="180" t="str">
        <f>IF(A139="","",posicao_contratual!G139)</f>
        <v/>
      </c>
      <c r="AJ139" s="180" t="str">
        <f>IF(A139="","",posicao_contratual!K139)</f>
        <v/>
      </c>
      <c r="AK139" s="180" t="str">
        <f>IF(A139="","",posicao_contratual!O139)</f>
        <v/>
      </c>
      <c r="AL139" s="180" t="str">
        <f>IF(A139="","",posicao_contratual!S139)</f>
        <v/>
      </c>
      <c r="AM139" s="180" t="str">
        <f>IF(A139="","",posicao_contratual!W139)</f>
        <v/>
      </c>
      <c r="AN139" s="181" t="str">
        <f>IF(A139="","",posicao_contratual!X139)</f>
        <v/>
      </c>
    </row>
    <row r="140" spans="1:40" x14ac:dyDescent="0.35">
      <c r="A140" s="106"/>
      <c r="B140" s="107"/>
      <c r="C140" s="108"/>
      <c r="D140" s="104" t="str">
        <f>IF(AND(A140="",A139&lt;&gt;"",COUNTIF(A141:$A$200,"&lt;&gt;")=0),ROUND(SUMIF($A$2:A139,"&lt;&gt;",$D$2:D139),2),IF(OR(A140="",B140="",C140=""),"",ROUND(B140*C140,2)))</f>
        <v/>
      </c>
      <c r="E140" s="109"/>
      <c r="F140" s="104" t="str">
        <f>IF(AND(A140="",A139&lt;&gt;"",COUNTIF(A141:$A$200,"&lt;&gt;")=0),ROUND(SUMIF($A$2:A139,"&lt;&gt;",$F$2:F139),2),IF(OR(A140="",posicao_contratual!K140="",C140="",NOT(ISNUMBER($Z$3))),"",ROUND(posicao_contratual!K140*C140*$Z$3,2)))</f>
        <v/>
      </c>
      <c r="G140" s="109"/>
      <c r="H140" s="104" t="str">
        <f>IF(AND(A140="",A139&lt;&gt;"",COUNTIF(A141:$A$200,"&lt;&gt;")=0),ROUND(SUMIF($A$2:A139,"&lt;&gt;",$H$2:H139),2),IF(OR(A140="",posicao_contratual!O140="",C140="",NOT(ISNUMBER($Z$4))),"",ROUND(posicao_contratual!O140*C140*$Z$4,2)))</f>
        <v/>
      </c>
      <c r="I140" s="109"/>
      <c r="J140" s="104" t="str">
        <f>IF(AND(A140="",A139&lt;&gt;"",COUNTIF(A141:$A$200,"&lt;&gt;")=0),ROUND(SUMIF($A$2:A139,"&lt;&gt;",$J$2:J139),2),IF(OR(A140="",posicao_contratual!S140="",C140="",NOT(ISNUMBER($Z$5))),"",ROUND(posicao_contratual!S140*C140*$Z$5,2)))</f>
        <v/>
      </c>
      <c r="K140" s="109"/>
      <c r="L140" s="104" t="str">
        <f>IF(AND(A140="",A139&lt;&gt;"",COUNTIF(A141:$A$200,"&lt;&gt;")=0),ROUND(SUMIF($A$2:A139,"&lt;&gt;",$L$2:L139),2),IF(OR(A140="",posicao_contratual!W140="",C140="",NOT(ISNUMBER($Z$6))),"",ROUND(posicao_contratual!W140*C140*$Z$6,2)))</f>
        <v/>
      </c>
      <c r="M140" s="110" t="str">
        <f>IF(OR(posicao_contratual!J140="",posicao_contratual!N140=""),"",ROUND(MAX(posicao_contratual!J140+posicao_contratual!H140-posicao_contratual!N140,0),2))</f>
        <v/>
      </c>
      <c r="N140" s="104" t="str">
        <f>IF(AND(A140="",A139&lt;&gt;"",COUNTIF(A141:$A$200,"&lt;&gt;")=0),ROUND(SUMIF($A$2:A139,"&lt;&gt;",$N$2:N139),2),IF(OR(M140="",C140="",NOT(ISNUMBER($Z$3))),"",ROUND(M140*C140*$Z$3,2)))</f>
        <v/>
      </c>
      <c r="O140" s="110" t="str">
        <f>IF(OR(posicao_contratual!N140="",posicao_contratual!R140=""),"",ROUND(MAX(posicao_contratual!N140+posicao_contratual!L140-posicao_contratual!R140,0),2))</f>
        <v/>
      </c>
      <c r="P140" s="104" t="str">
        <f>IF(AND(A140="",A139&lt;&gt;"",COUNTIF(A141:$A$200,"&lt;&gt;")=0),ROUND(SUMIF($A$2:A139,"&lt;&gt;",$P$2:P139),2),IF(OR(O140="",C140="",NOT(ISNUMBER($Z$4))),"",ROUND(O140*C140*$Z$4,2)))</f>
        <v/>
      </c>
      <c r="Q140" s="110" t="str">
        <f>IF(OR(posicao_contratual!R140="",posicao_contratual!V140=""),"",ROUND(MAX(posicao_contratual!R140+posicao_contratual!P140-posicao_contratual!V140,0),2))</f>
        <v/>
      </c>
      <c r="R140" s="104" t="str">
        <f>IF(AND(A140="",A139&lt;&gt;"",COUNTIF(A141:$A$200,"&lt;&gt;")=0),ROUND(SUMIF($A$2:A139,"&lt;&gt;",$R$2:R139),2),IF(OR(Q140="",C140="",NOT(ISNUMBER($Z$5))),"",ROUND(Q140*C140*$Z$5,2)))</f>
        <v/>
      </c>
      <c r="S140" s="58"/>
      <c r="T140" s="59"/>
      <c r="U140" s="111" t="str">
        <f>IF(AND(A140="",A139&lt;&gt;"",COUNTIF(A141:$A$200,"&lt;&gt;")=0),"TOTAL",IF(A140="","",posicao_contratual!X140))</f>
        <v/>
      </c>
      <c r="V140" s="111" t="str">
        <f>IF(A140="","",posicao_contratual!X140)</f>
        <v/>
      </c>
      <c r="W140" s="15"/>
      <c r="X140" s="15"/>
      <c r="Y140" s="15"/>
      <c r="Z140" s="15"/>
      <c r="AA140" s="15"/>
      <c r="AB140" s="110" t="str">
        <f>IF(OR(A140="",posicao_contratual!E140="",posicao_contratual!J140=""),"",ROUND(MAX(posicao_contratual!E140-posicao_contratual!J140,0),2))</f>
        <v/>
      </c>
      <c r="AC140" s="104" t="str">
        <f>IF(AND(A140="",A139&lt;&gt;"",COUNTIF(A141:$A$200,"&lt;&gt;")=0),ROUND(SUMIF($A$2:A139,"&lt;&gt;",$AC$2:AC139),2),IF(OR(AB140="",C140="",NOT(ISNUMBER($Z$2))),"",ROUND(AB140*C140*$Z$2,2)))</f>
        <v/>
      </c>
      <c r="AD140" s="180" t="str">
        <f>IF(A140="","",posicao_contratual!E140)</f>
        <v/>
      </c>
      <c r="AE140" s="180" t="str">
        <f>IF(A140="","",posicao_contratual!I140)</f>
        <v/>
      </c>
      <c r="AF140" s="180" t="str">
        <f>IF(A140="","",posicao_contratual!M140)</f>
        <v/>
      </c>
      <c r="AG140" s="180" t="str">
        <f>IF(A140="","",posicao_contratual!Q140)</f>
        <v/>
      </c>
      <c r="AH140" s="180" t="str">
        <f>IF(A140="","",posicao_contratual!U140)</f>
        <v/>
      </c>
      <c r="AI140" s="180" t="str">
        <f>IF(A140="","",posicao_contratual!G140)</f>
        <v/>
      </c>
      <c r="AJ140" s="180" t="str">
        <f>IF(A140="","",posicao_contratual!K140)</f>
        <v/>
      </c>
      <c r="AK140" s="180" t="str">
        <f>IF(A140="","",posicao_contratual!O140)</f>
        <v/>
      </c>
      <c r="AL140" s="180" t="str">
        <f>IF(A140="","",posicao_contratual!S140)</f>
        <v/>
      </c>
      <c r="AM140" s="180" t="str">
        <f>IF(A140="","",posicao_contratual!W140)</f>
        <v/>
      </c>
      <c r="AN140" s="181" t="str">
        <f>IF(A140="","",posicao_contratual!X140)</f>
        <v/>
      </c>
    </row>
    <row r="141" spans="1:40" x14ac:dyDescent="0.35">
      <c r="A141" s="106"/>
      <c r="B141" s="107"/>
      <c r="C141" s="108"/>
      <c r="D141" s="104" t="str">
        <f>IF(AND(A141="",A140&lt;&gt;"",COUNTIF(A142:$A$200,"&lt;&gt;")=0),ROUND(SUMIF($A$2:A140,"&lt;&gt;",$D$2:D140),2),IF(OR(A141="",B141="",C141=""),"",ROUND(B141*C141,2)))</f>
        <v/>
      </c>
      <c r="E141" s="109"/>
      <c r="F141" s="104" t="str">
        <f>IF(AND(A141="",A140&lt;&gt;"",COUNTIF(A142:$A$200,"&lt;&gt;")=0),ROUND(SUMIF($A$2:A140,"&lt;&gt;",$F$2:F140),2),IF(OR(A141="",posicao_contratual!K141="",C141="",NOT(ISNUMBER($Z$3))),"",ROUND(posicao_contratual!K141*C141*$Z$3,2)))</f>
        <v/>
      </c>
      <c r="G141" s="109"/>
      <c r="H141" s="104" t="str">
        <f>IF(AND(A141="",A140&lt;&gt;"",COUNTIF(A142:$A$200,"&lt;&gt;")=0),ROUND(SUMIF($A$2:A140,"&lt;&gt;",$H$2:H140),2),IF(OR(A141="",posicao_contratual!O141="",C141="",NOT(ISNUMBER($Z$4))),"",ROUND(posicao_contratual!O141*C141*$Z$4,2)))</f>
        <v/>
      </c>
      <c r="I141" s="109"/>
      <c r="J141" s="104" t="str">
        <f>IF(AND(A141="",A140&lt;&gt;"",COUNTIF(A142:$A$200,"&lt;&gt;")=0),ROUND(SUMIF($A$2:A140,"&lt;&gt;",$J$2:J140),2),IF(OR(A141="",posicao_contratual!S141="",C141="",NOT(ISNUMBER($Z$5))),"",ROUND(posicao_contratual!S141*C141*$Z$5,2)))</f>
        <v/>
      </c>
      <c r="K141" s="109"/>
      <c r="L141" s="104" t="str">
        <f>IF(AND(A141="",A140&lt;&gt;"",COUNTIF(A142:$A$200,"&lt;&gt;")=0),ROUND(SUMIF($A$2:A140,"&lt;&gt;",$L$2:L140),2),IF(OR(A141="",posicao_contratual!W141="",C141="",NOT(ISNUMBER($Z$6))),"",ROUND(posicao_contratual!W141*C141*$Z$6,2)))</f>
        <v/>
      </c>
      <c r="M141" s="110" t="str">
        <f>IF(OR(posicao_contratual!J141="",posicao_contratual!N141=""),"",ROUND(MAX(posicao_contratual!J141+posicao_contratual!H141-posicao_contratual!N141,0),2))</f>
        <v/>
      </c>
      <c r="N141" s="104" t="str">
        <f>IF(AND(A141="",A140&lt;&gt;"",COUNTIF(A142:$A$200,"&lt;&gt;")=0),ROUND(SUMIF($A$2:A140,"&lt;&gt;",$N$2:N140),2),IF(OR(M141="",C141="",NOT(ISNUMBER($Z$3))),"",ROUND(M141*C141*$Z$3,2)))</f>
        <v/>
      </c>
      <c r="O141" s="110" t="str">
        <f>IF(OR(posicao_contratual!N141="",posicao_contratual!R141=""),"",ROUND(MAX(posicao_contratual!N141+posicao_contratual!L141-posicao_contratual!R141,0),2))</f>
        <v/>
      </c>
      <c r="P141" s="104" t="str">
        <f>IF(AND(A141="",A140&lt;&gt;"",COUNTIF(A142:$A$200,"&lt;&gt;")=0),ROUND(SUMIF($A$2:A140,"&lt;&gt;",$P$2:P140),2),IF(OR(O141="",C141="",NOT(ISNUMBER($Z$4))),"",ROUND(O141*C141*$Z$4,2)))</f>
        <v/>
      </c>
      <c r="Q141" s="110" t="str">
        <f>IF(OR(posicao_contratual!R141="",posicao_contratual!V141=""),"",ROUND(MAX(posicao_contratual!R141+posicao_contratual!P141-posicao_contratual!V141,0),2))</f>
        <v/>
      </c>
      <c r="R141" s="104" t="str">
        <f>IF(AND(A141="",A140&lt;&gt;"",COUNTIF(A142:$A$200,"&lt;&gt;")=0),ROUND(SUMIF($A$2:A140,"&lt;&gt;",$R$2:R140),2),IF(OR(Q141="",C141="",NOT(ISNUMBER($Z$5))),"",ROUND(Q141*C141*$Z$5,2)))</f>
        <v/>
      </c>
      <c r="S141" s="58"/>
      <c r="T141" s="59"/>
      <c r="U141" s="111" t="str">
        <f>IF(AND(A141="",A140&lt;&gt;"",COUNTIF(A142:$A$200,"&lt;&gt;")=0),"TOTAL",IF(A141="","",posicao_contratual!X141))</f>
        <v/>
      </c>
      <c r="V141" s="111" t="str">
        <f>IF(A141="","",posicao_contratual!X141)</f>
        <v/>
      </c>
      <c r="W141" s="15"/>
      <c r="X141" s="15"/>
      <c r="Y141" s="15"/>
      <c r="Z141" s="15"/>
      <c r="AA141" s="15"/>
      <c r="AB141" s="110" t="str">
        <f>IF(OR(A141="",posicao_contratual!E141="",posicao_contratual!J141=""),"",ROUND(MAX(posicao_contratual!E141-posicao_contratual!J141,0),2))</f>
        <v/>
      </c>
      <c r="AC141" s="104" t="str">
        <f>IF(AND(A141="",A140&lt;&gt;"",COUNTIF(A142:$A$200,"&lt;&gt;")=0),ROUND(SUMIF($A$2:A140,"&lt;&gt;",$AC$2:AC140),2),IF(OR(AB141="",C141="",NOT(ISNUMBER($Z$2))),"",ROUND(AB141*C141*$Z$2,2)))</f>
        <v/>
      </c>
      <c r="AD141" s="180" t="str">
        <f>IF(A141="","",posicao_contratual!E141)</f>
        <v/>
      </c>
      <c r="AE141" s="180" t="str">
        <f>IF(A141="","",posicao_contratual!I141)</f>
        <v/>
      </c>
      <c r="AF141" s="180" t="str">
        <f>IF(A141="","",posicao_contratual!M141)</f>
        <v/>
      </c>
      <c r="AG141" s="180" t="str">
        <f>IF(A141="","",posicao_contratual!Q141)</f>
        <v/>
      </c>
      <c r="AH141" s="180" t="str">
        <f>IF(A141="","",posicao_contratual!U141)</f>
        <v/>
      </c>
      <c r="AI141" s="180" t="str">
        <f>IF(A141="","",posicao_contratual!G141)</f>
        <v/>
      </c>
      <c r="AJ141" s="180" t="str">
        <f>IF(A141="","",posicao_contratual!K141)</f>
        <v/>
      </c>
      <c r="AK141" s="180" t="str">
        <f>IF(A141="","",posicao_contratual!O141)</f>
        <v/>
      </c>
      <c r="AL141" s="180" t="str">
        <f>IF(A141="","",posicao_contratual!S141)</f>
        <v/>
      </c>
      <c r="AM141" s="180" t="str">
        <f>IF(A141="","",posicao_contratual!W141)</f>
        <v/>
      </c>
      <c r="AN141" s="181" t="str">
        <f>IF(A141="","",posicao_contratual!X141)</f>
        <v/>
      </c>
    </row>
    <row r="142" spans="1:40" x14ac:dyDescent="0.35">
      <c r="A142" s="106"/>
      <c r="B142" s="107"/>
      <c r="C142" s="108"/>
      <c r="D142" s="104" t="str">
        <f>IF(AND(A142="",A141&lt;&gt;"",COUNTIF(A143:$A$200,"&lt;&gt;")=0),ROUND(SUMIF($A$2:A141,"&lt;&gt;",$D$2:D141),2),IF(OR(A142="",B142="",C142=""),"",ROUND(B142*C142,2)))</f>
        <v/>
      </c>
      <c r="E142" s="109"/>
      <c r="F142" s="104" t="str">
        <f>IF(AND(A142="",A141&lt;&gt;"",COUNTIF(A143:$A$200,"&lt;&gt;")=0),ROUND(SUMIF($A$2:A141,"&lt;&gt;",$F$2:F141),2),IF(OR(A142="",posicao_contratual!K142="",C142="",NOT(ISNUMBER($Z$3))),"",ROUND(posicao_contratual!K142*C142*$Z$3,2)))</f>
        <v/>
      </c>
      <c r="G142" s="109"/>
      <c r="H142" s="104" t="str">
        <f>IF(AND(A142="",A141&lt;&gt;"",COUNTIF(A143:$A$200,"&lt;&gt;")=0),ROUND(SUMIF($A$2:A141,"&lt;&gt;",$H$2:H141),2),IF(OR(A142="",posicao_contratual!O142="",C142="",NOT(ISNUMBER($Z$4))),"",ROUND(posicao_contratual!O142*C142*$Z$4,2)))</f>
        <v/>
      </c>
      <c r="I142" s="109"/>
      <c r="J142" s="104" t="str">
        <f>IF(AND(A142="",A141&lt;&gt;"",COUNTIF(A143:$A$200,"&lt;&gt;")=0),ROUND(SUMIF($A$2:A141,"&lt;&gt;",$J$2:J141),2),IF(OR(A142="",posicao_contratual!S142="",C142="",NOT(ISNUMBER($Z$5))),"",ROUND(posicao_contratual!S142*C142*$Z$5,2)))</f>
        <v/>
      </c>
      <c r="K142" s="109"/>
      <c r="L142" s="104" t="str">
        <f>IF(AND(A142="",A141&lt;&gt;"",COUNTIF(A143:$A$200,"&lt;&gt;")=0),ROUND(SUMIF($A$2:A141,"&lt;&gt;",$L$2:L141),2),IF(OR(A142="",posicao_contratual!W142="",C142="",NOT(ISNUMBER($Z$6))),"",ROUND(posicao_contratual!W142*C142*$Z$6,2)))</f>
        <v/>
      </c>
      <c r="M142" s="110" t="str">
        <f>IF(OR(posicao_contratual!J142="",posicao_contratual!N142=""),"",ROUND(MAX(posicao_contratual!J142+posicao_contratual!H142-posicao_contratual!N142,0),2))</f>
        <v/>
      </c>
      <c r="N142" s="104" t="str">
        <f>IF(AND(A142="",A141&lt;&gt;"",COUNTIF(A143:$A$200,"&lt;&gt;")=0),ROUND(SUMIF($A$2:A141,"&lt;&gt;",$N$2:N141),2),IF(OR(M142="",C142="",NOT(ISNUMBER($Z$3))),"",ROUND(M142*C142*$Z$3,2)))</f>
        <v/>
      </c>
      <c r="O142" s="110" t="str">
        <f>IF(OR(posicao_contratual!N142="",posicao_contratual!R142=""),"",ROUND(MAX(posicao_contratual!N142+posicao_contratual!L142-posicao_contratual!R142,0),2))</f>
        <v/>
      </c>
      <c r="P142" s="104" t="str">
        <f>IF(AND(A142="",A141&lt;&gt;"",COUNTIF(A143:$A$200,"&lt;&gt;")=0),ROUND(SUMIF($A$2:A141,"&lt;&gt;",$P$2:P141),2),IF(OR(O142="",C142="",NOT(ISNUMBER($Z$4))),"",ROUND(O142*C142*$Z$4,2)))</f>
        <v/>
      </c>
      <c r="Q142" s="110" t="str">
        <f>IF(OR(posicao_contratual!R142="",posicao_contratual!V142=""),"",ROUND(MAX(posicao_contratual!R142+posicao_contratual!P142-posicao_contratual!V142,0),2))</f>
        <v/>
      </c>
      <c r="R142" s="104" t="str">
        <f>IF(AND(A142="",A141&lt;&gt;"",COUNTIF(A143:$A$200,"&lt;&gt;")=0),ROUND(SUMIF($A$2:A141,"&lt;&gt;",$R$2:R141),2),IF(OR(Q142="",C142="",NOT(ISNUMBER($Z$5))),"",ROUND(Q142*C142*$Z$5,2)))</f>
        <v/>
      </c>
      <c r="S142" s="58"/>
      <c r="T142" s="59"/>
      <c r="U142" s="111" t="str">
        <f>IF(AND(A142="",A141&lt;&gt;"",COUNTIF(A143:$A$200,"&lt;&gt;")=0),"TOTAL",IF(A142="","",posicao_contratual!X142))</f>
        <v/>
      </c>
      <c r="V142" s="111" t="str">
        <f>IF(A142="","",posicao_contratual!X142)</f>
        <v/>
      </c>
      <c r="W142" s="15"/>
      <c r="X142" s="15"/>
      <c r="Y142" s="15"/>
      <c r="Z142" s="15"/>
      <c r="AA142" s="15"/>
      <c r="AB142" s="110" t="str">
        <f>IF(OR(A142="",posicao_contratual!E142="",posicao_contratual!J142=""),"",ROUND(MAX(posicao_contratual!E142-posicao_contratual!J142,0),2))</f>
        <v/>
      </c>
      <c r="AC142" s="104" t="str">
        <f>IF(AND(A142="",A141&lt;&gt;"",COUNTIF(A143:$A$200,"&lt;&gt;")=0),ROUND(SUMIF($A$2:A141,"&lt;&gt;",$AC$2:AC141),2),IF(OR(AB142="",C142="",NOT(ISNUMBER($Z$2))),"",ROUND(AB142*C142*$Z$2,2)))</f>
        <v/>
      </c>
      <c r="AD142" s="180" t="str">
        <f>IF(A142="","",posicao_contratual!E142)</f>
        <v/>
      </c>
      <c r="AE142" s="180" t="str">
        <f>IF(A142="","",posicao_contratual!I142)</f>
        <v/>
      </c>
      <c r="AF142" s="180" t="str">
        <f>IF(A142="","",posicao_contratual!M142)</f>
        <v/>
      </c>
      <c r="AG142" s="180" t="str">
        <f>IF(A142="","",posicao_contratual!Q142)</f>
        <v/>
      </c>
      <c r="AH142" s="180" t="str">
        <f>IF(A142="","",posicao_contratual!U142)</f>
        <v/>
      </c>
      <c r="AI142" s="180" t="str">
        <f>IF(A142="","",posicao_contratual!G142)</f>
        <v/>
      </c>
      <c r="AJ142" s="180" t="str">
        <f>IF(A142="","",posicao_contratual!K142)</f>
        <v/>
      </c>
      <c r="AK142" s="180" t="str">
        <f>IF(A142="","",posicao_contratual!O142)</f>
        <v/>
      </c>
      <c r="AL142" s="180" t="str">
        <f>IF(A142="","",posicao_contratual!S142)</f>
        <v/>
      </c>
      <c r="AM142" s="180" t="str">
        <f>IF(A142="","",posicao_contratual!W142)</f>
        <v/>
      </c>
      <c r="AN142" s="181" t="str">
        <f>IF(A142="","",posicao_contratual!X142)</f>
        <v/>
      </c>
    </row>
    <row r="143" spans="1:40" x14ac:dyDescent="0.35">
      <c r="A143" s="106"/>
      <c r="B143" s="107"/>
      <c r="C143" s="108"/>
      <c r="D143" s="104" t="str">
        <f>IF(AND(A143="",A142&lt;&gt;"",COUNTIF(A144:$A$200,"&lt;&gt;")=0),ROUND(SUMIF($A$2:A142,"&lt;&gt;",$D$2:D142),2),IF(OR(A143="",B143="",C143=""),"",ROUND(B143*C143,2)))</f>
        <v/>
      </c>
      <c r="E143" s="109"/>
      <c r="F143" s="104" t="str">
        <f>IF(AND(A143="",A142&lt;&gt;"",COUNTIF(A144:$A$200,"&lt;&gt;")=0),ROUND(SUMIF($A$2:A142,"&lt;&gt;",$F$2:F142),2),IF(OR(A143="",posicao_contratual!K143="",C143="",NOT(ISNUMBER($Z$3))),"",ROUND(posicao_contratual!K143*C143*$Z$3,2)))</f>
        <v/>
      </c>
      <c r="G143" s="109"/>
      <c r="H143" s="104" t="str">
        <f>IF(AND(A143="",A142&lt;&gt;"",COUNTIF(A144:$A$200,"&lt;&gt;")=0),ROUND(SUMIF($A$2:A142,"&lt;&gt;",$H$2:H142),2),IF(OR(A143="",posicao_contratual!O143="",C143="",NOT(ISNUMBER($Z$4))),"",ROUND(posicao_contratual!O143*C143*$Z$4,2)))</f>
        <v/>
      </c>
      <c r="I143" s="109"/>
      <c r="J143" s="104" t="str">
        <f>IF(AND(A143="",A142&lt;&gt;"",COUNTIF(A144:$A$200,"&lt;&gt;")=0),ROUND(SUMIF($A$2:A142,"&lt;&gt;",$J$2:J142),2),IF(OR(A143="",posicao_contratual!S143="",C143="",NOT(ISNUMBER($Z$5))),"",ROUND(posicao_contratual!S143*C143*$Z$5,2)))</f>
        <v/>
      </c>
      <c r="K143" s="109"/>
      <c r="L143" s="104" t="str">
        <f>IF(AND(A143="",A142&lt;&gt;"",COUNTIF(A144:$A$200,"&lt;&gt;")=0),ROUND(SUMIF($A$2:A142,"&lt;&gt;",$L$2:L142),2),IF(OR(A143="",posicao_contratual!W143="",C143="",NOT(ISNUMBER($Z$6))),"",ROUND(posicao_contratual!W143*C143*$Z$6,2)))</f>
        <v/>
      </c>
      <c r="M143" s="110" t="str">
        <f>IF(OR(posicao_contratual!J143="",posicao_contratual!N143=""),"",ROUND(MAX(posicao_contratual!J143+posicao_contratual!H143-posicao_contratual!N143,0),2))</f>
        <v/>
      </c>
      <c r="N143" s="104" t="str">
        <f>IF(AND(A143="",A142&lt;&gt;"",COUNTIF(A144:$A$200,"&lt;&gt;")=0),ROUND(SUMIF($A$2:A142,"&lt;&gt;",$N$2:N142),2),IF(OR(M143="",C143="",NOT(ISNUMBER($Z$3))),"",ROUND(M143*C143*$Z$3,2)))</f>
        <v/>
      </c>
      <c r="O143" s="110" t="str">
        <f>IF(OR(posicao_contratual!N143="",posicao_contratual!R143=""),"",ROUND(MAX(posicao_contratual!N143+posicao_contratual!L143-posicao_contratual!R143,0),2))</f>
        <v/>
      </c>
      <c r="P143" s="104" t="str">
        <f>IF(AND(A143="",A142&lt;&gt;"",COUNTIF(A144:$A$200,"&lt;&gt;")=0),ROUND(SUMIF($A$2:A142,"&lt;&gt;",$P$2:P142),2),IF(OR(O143="",C143="",NOT(ISNUMBER($Z$4))),"",ROUND(O143*C143*$Z$4,2)))</f>
        <v/>
      </c>
      <c r="Q143" s="110" t="str">
        <f>IF(OR(posicao_contratual!R143="",posicao_contratual!V143=""),"",ROUND(MAX(posicao_contratual!R143+posicao_contratual!P143-posicao_contratual!V143,0),2))</f>
        <v/>
      </c>
      <c r="R143" s="104" t="str">
        <f>IF(AND(A143="",A142&lt;&gt;"",COUNTIF(A144:$A$200,"&lt;&gt;")=0),ROUND(SUMIF($A$2:A142,"&lt;&gt;",$R$2:R142),2),IF(OR(Q143="",C143="",NOT(ISNUMBER($Z$5))),"",ROUND(Q143*C143*$Z$5,2)))</f>
        <v/>
      </c>
      <c r="S143" s="58"/>
      <c r="T143" s="59"/>
      <c r="U143" s="111" t="str">
        <f>IF(AND(A143="",A142&lt;&gt;"",COUNTIF(A144:$A$200,"&lt;&gt;")=0),"TOTAL",IF(A143="","",posicao_contratual!X143))</f>
        <v/>
      </c>
      <c r="V143" s="111" t="str">
        <f>IF(A143="","",posicao_contratual!X143)</f>
        <v/>
      </c>
      <c r="W143" s="15"/>
      <c r="X143" s="15"/>
      <c r="Y143" s="15"/>
      <c r="Z143" s="15"/>
      <c r="AA143" s="15"/>
      <c r="AB143" s="110" t="str">
        <f>IF(OR(A143="",posicao_contratual!E143="",posicao_contratual!J143=""),"",ROUND(MAX(posicao_contratual!E143-posicao_contratual!J143,0),2))</f>
        <v/>
      </c>
      <c r="AC143" s="104" t="str">
        <f>IF(AND(A143="",A142&lt;&gt;"",COUNTIF(A144:$A$200,"&lt;&gt;")=0),ROUND(SUMIF($A$2:A142,"&lt;&gt;",$AC$2:AC142),2),IF(OR(AB143="",C143="",NOT(ISNUMBER($Z$2))),"",ROUND(AB143*C143*$Z$2,2)))</f>
        <v/>
      </c>
      <c r="AD143" s="180" t="str">
        <f>IF(A143="","",posicao_contratual!E143)</f>
        <v/>
      </c>
      <c r="AE143" s="180" t="str">
        <f>IF(A143="","",posicao_contratual!I143)</f>
        <v/>
      </c>
      <c r="AF143" s="180" t="str">
        <f>IF(A143="","",posicao_contratual!M143)</f>
        <v/>
      </c>
      <c r="AG143" s="180" t="str">
        <f>IF(A143="","",posicao_contratual!Q143)</f>
        <v/>
      </c>
      <c r="AH143" s="180" t="str">
        <f>IF(A143="","",posicao_contratual!U143)</f>
        <v/>
      </c>
      <c r="AI143" s="180" t="str">
        <f>IF(A143="","",posicao_contratual!G143)</f>
        <v/>
      </c>
      <c r="AJ143" s="180" t="str">
        <f>IF(A143="","",posicao_contratual!K143)</f>
        <v/>
      </c>
      <c r="AK143" s="180" t="str">
        <f>IF(A143="","",posicao_contratual!O143)</f>
        <v/>
      </c>
      <c r="AL143" s="180" t="str">
        <f>IF(A143="","",posicao_contratual!S143)</f>
        <v/>
      </c>
      <c r="AM143" s="180" t="str">
        <f>IF(A143="","",posicao_contratual!W143)</f>
        <v/>
      </c>
      <c r="AN143" s="181" t="str">
        <f>IF(A143="","",posicao_contratual!X143)</f>
        <v/>
      </c>
    </row>
    <row r="144" spans="1:40" x14ac:dyDescent="0.35">
      <c r="A144" s="106"/>
      <c r="B144" s="107"/>
      <c r="C144" s="108"/>
      <c r="D144" s="104" t="str">
        <f>IF(AND(A144="",A143&lt;&gt;"",COUNTIF(A145:$A$200,"&lt;&gt;")=0),ROUND(SUMIF($A$2:A143,"&lt;&gt;",$D$2:D143),2),IF(OR(A144="",B144="",C144=""),"",ROUND(B144*C144,2)))</f>
        <v/>
      </c>
      <c r="E144" s="109"/>
      <c r="F144" s="104" t="str">
        <f>IF(AND(A144="",A143&lt;&gt;"",COUNTIF(A145:$A$200,"&lt;&gt;")=0),ROUND(SUMIF($A$2:A143,"&lt;&gt;",$F$2:F143),2),IF(OR(A144="",posicao_contratual!K144="",C144="",NOT(ISNUMBER($Z$3))),"",ROUND(posicao_contratual!K144*C144*$Z$3,2)))</f>
        <v/>
      </c>
      <c r="G144" s="109"/>
      <c r="H144" s="104" t="str">
        <f>IF(AND(A144="",A143&lt;&gt;"",COUNTIF(A145:$A$200,"&lt;&gt;")=0),ROUND(SUMIF($A$2:A143,"&lt;&gt;",$H$2:H143),2),IF(OR(A144="",posicao_contratual!O144="",C144="",NOT(ISNUMBER($Z$4))),"",ROUND(posicao_contratual!O144*C144*$Z$4,2)))</f>
        <v/>
      </c>
      <c r="I144" s="109"/>
      <c r="J144" s="104" t="str">
        <f>IF(AND(A144="",A143&lt;&gt;"",COUNTIF(A145:$A$200,"&lt;&gt;")=0),ROUND(SUMIF($A$2:A143,"&lt;&gt;",$J$2:J143),2),IF(OR(A144="",posicao_contratual!S144="",C144="",NOT(ISNUMBER($Z$5))),"",ROUND(posicao_contratual!S144*C144*$Z$5,2)))</f>
        <v/>
      </c>
      <c r="K144" s="109"/>
      <c r="L144" s="104" t="str">
        <f>IF(AND(A144="",A143&lt;&gt;"",COUNTIF(A145:$A$200,"&lt;&gt;")=0),ROUND(SUMIF($A$2:A143,"&lt;&gt;",$L$2:L143),2),IF(OR(A144="",posicao_contratual!W144="",C144="",NOT(ISNUMBER($Z$6))),"",ROUND(posicao_contratual!W144*C144*$Z$6,2)))</f>
        <v/>
      </c>
      <c r="M144" s="110" t="str">
        <f>IF(OR(posicao_contratual!J144="",posicao_contratual!N144=""),"",ROUND(MAX(posicao_contratual!J144+posicao_contratual!H144-posicao_contratual!N144,0),2))</f>
        <v/>
      </c>
      <c r="N144" s="104" t="str">
        <f>IF(AND(A144="",A143&lt;&gt;"",COUNTIF(A145:$A$200,"&lt;&gt;")=0),ROUND(SUMIF($A$2:A143,"&lt;&gt;",$N$2:N143),2),IF(OR(M144="",C144="",NOT(ISNUMBER($Z$3))),"",ROUND(M144*C144*$Z$3,2)))</f>
        <v/>
      </c>
      <c r="O144" s="110" t="str">
        <f>IF(OR(posicao_contratual!N144="",posicao_contratual!R144=""),"",ROUND(MAX(posicao_contratual!N144+posicao_contratual!L144-posicao_contratual!R144,0),2))</f>
        <v/>
      </c>
      <c r="P144" s="104" t="str">
        <f>IF(AND(A144="",A143&lt;&gt;"",COUNTIF(A145:$A$200,"&lt;&gt;")=0),ROUND(SUMIF($A$2:A143,"&lt;&gt;",$P$2:P143),2),IF(OR(O144="",C144="",NOT(ISNUMBER($Z$4))),"",ROUND(O144*C144*$Z$4,2)))</f>
        <v/>
      </c>
      <c r="Q144" s="110" t="str">
        <f>IF(OR(posicao_contratual!R144="",posicao_contratual!V144=""),"",ROUND(MAX(posicao_contratual!R144+posicao_contratual!P144-posicao_contratual!V144,0),2))</f>
        <v/>
      </c>
      <c r="R144" s="104" t="str">
        <f>IF(AND(A144="",A143&lt;&gt;"",COUNTIF(A145:$A$200,"&lt;&gt;")=0),ROUND(SUMIF($A$2:A143,"&lt;&gt;",$R$2:R143),2),IF(OR(Q144="",C144="",NOT(ISNUMBER($Z$5))),"",ROUND(Q144*C144*$Z$5,2)))</f>
        <v/>
      </c>
      <c r="S144" s="58"/>
      <c r="T144" s="59"/>
      <c r="U144" s="111" t="str">
        <f>IF(AND(A144="",A143&lt;&gt;"",COUNTIF(A145:$A$200,"&lt;&gt;")=0),"TOTAL",IF(A144="","",posicao_contratual!X144))</f>
        <v/>
      </c>
      <c r="V144" s="111" t="str">
        <f>IF(A144="","",posicao_contratual!X144)</f>
        <v/>
      </c>
      <c r="W144" s="15"/>
      <c r="X144" s="15"/>
      <c r="Y144" s="15"/>
      <c r="Z144" s="15"/>
      <c r="AA144" s="15"/>
      <c r="AB144" s="110" t="str">
        <f>IF(OR(A144="",posicao_contratual!E144="",posicao_contratual!J144=""),"",ROUND(MAX(posicao_contratual!E144-posicao_contratual!J144,0),2))</f>
        <v/>
      </c>
      <c r="AC144" s="104" t="str">
        <f>IF(AND(A144="",A143&lt;&gt;"",COUNTIF(A145:$A$200,"&lt;&gt;")=0),ROUND(SUMIF($A$2:A143,"&lt;&gt;",$AC$2:AC143),2),IF(OR(AB144="",C144="",NOT(ISNUMBER($Z$2))),"",ROUND(AB144*C144*$Z$2,2)))</f>
        <v/>
      </c>
      <c r="AD144" s="180" t="str">
        <f>IF(A144="","",posicao_contratual!E144)</f>
        <v/>
      </c>
      <c r="AE144" s="180" t="str">
        <f>IF(A144="","",posicao_contratual!I144)</f>
        <v/>
      </c>
      <c r="AF144" s="180" t="str">
        <f>IF(A144="","",posicao_contratual!M144)</f>
        <v/>
      </c>
      <c r="AG144" s="180" t="str">
        <f>IF(A144="","",posicao_contratual!Q144)</f>
        <v/>
      </c>
      <c r="AH144" s="180" t="str">
        <f>IF(A144="","",posicao_contratual!U144)</f>
        <v/>
      </c>
      <c r="AI144" s="180" t="str">
        <f>IF(A144="","",posicao_contratual!G144)</f>
        <v/>
      </c>
      <c r="AJ144" s="180" t="str">
        <f>IF(A144="","",posicao_contratual!K144)</f>
        <v/>
      </c>
      <c r="AK144" s="180" t="str">
        <f>IF(A144="","",posicao_contratual!O144)</f>
        <v/>
      </c>
      <c r="AL144" s="180" t="str">
        <f>IF(A144="","",posicao_contratual!S144)</f>
        <v/>
      </c>
      <c r="AM144" s="180" t="str">
        <f>IF(A144="","",posicao_contratual!W144)</f>
        <v/>
      </c>
      <c r="AN144" s="181" t="str">
        <f>IF(A144="","",posicao_contratual!X144)</f>
        <v/>
      </c>
    </row>
    <row r="145" spans="1:40" x14ac:dyDescent="0.35">
      <c r="A145" s="106"/>
      <c r="B145" s="107"/>
      <c r="C145" s="108"/>
      <c r="D145" s="104" t="str">
        <f>IF(AND(A145="",A144&lt;&gt;"",COUNTIF(A146:$A$200,"&lt;&gt;")=0),ROUND(SUMIF($A$2:A144,"&lt;&gt;",$D$2:D144),2),IF(OR(A145="",B145="",C145=""),"",ROUND(B145*C145,2)))</f>
        <v/>
      </c>
      <c r="E145" s="109"/>
      <c r="F145" s="104" t="str">
        <f>IF(AND(A145="",A144&lt;&gt;"",COUNTIF(A146:$A$200,"&lt;&gt;")=0),ROUND(SUMIF($A$2:A144,"&lt;&gt;",$F$2:F144),2),IF(OR(A145="",posicao_contratual!K145="",C145="",NOT(ISNUMBER($Z$3))),"",ROUND(posicao_contratual!K145*C145*$Z$3,2)))</f>
        <v/>
      </c>
      <c r="G145" s="109"/>
      <c r="H145" s="104" t="str">
        <f>IF(AND(A145="",A144&lt;&gt;"",COUNTIF(A146:$A$200,"&lt;&gt;")=0),ROUND(SUMIF($A$2:A144,"&lt;&gt;",$H$2:H144),2),IF(OR(A145="",posicao_contratual!O145="",C145="",NOT(ISNUMBER($Z$4))),"",ROUND(posicao_contratual!O145*C145*$Z$4,2)))</f>
        <v/>
      </c>
      <c r="I145" s="109"/>
      <c r="J145" s="104" t="str">
        <f>IF(AND(A145="",A144&lt;&gt;"",COUNTIF(A146:$A$200,"&lt;&gt;")=0),ROUND(SUMIF($A$2:A144,"&lt;&gt;",$J$2:J144),2),IF(OR(A145="",posicao_contratual!S145="",C145="",NOT(ISNUMBER($Z$5))),"",ROUND(posicao_contratual!S145*C145*$Z$5,2)))</f>
        <v/>
      </c>
      <c r="K145" s="109"/>
      <c r="L145" s="104" t="str">
        <f>IF(AND(A145="",A144&lt;&gt;"",COUNTIF(A146:$A$200,"&lt;&gt;")=0),ROUND(SUMIF($A$2:A144,"&lt;&gt;",$L$2:L144),2),IF(OR(A145="",posicao_contratual!W145="",C145="",NOT(ISNUMBER($Z$6))),"",ROUND(posicao_contratual!W145*C145*$Z$6,2)))</f>
        <v/>
      </c>
      <c r="M145" s="110" t="str">
        <f>IF(OR(posicao_contratual!J145="",posicao_contratual!N145=""),"",ROUND(MAX(posicao_contratual!J145+posicao_contratual!H145-posicao_contratual!N145,0),2))</f>
        <v/>
      </c>
      <c r="N145" s="104" t="str">
        <f>IF(AND(A145="",A144&lt;&gt;"",COUNTIF(A146:$A$200,"&lt;&gt;")=0),ROUND(SUMIF($A$2:A144,"&lt;&gt;",$N$2:N144),2),IF(OR(M145="",C145="",NOT(ISNUMBER($Z$3))),"",ROUND(M145*C145*$Z$3,2)))</f>
        <v/>
      </c>
      <c r="O145" s="110" t="str">
        <f>IF(OR(posicao_contratual!N145="",posicao_contratual!R145=""),"",ROUND(MAX(posicao_contratual!N145+posicao_contratual!L145-posicao_contratual!R145,0),2))</f>
        <v/>
      </c>
      <c r="P145" s="104" t="str">
        <f>IF(AND(A145="",A144&lt;&gt;"",COUNTIF(A146:$A$200,"&lt;&gt;")=0),ROUND(SUMIF($A$2:A144,"&lt;&gt;",$P$2:P144),2),IF(OR(O145="",C145="",NOT(ISNUMBER($Z$4))),"",ROUND(O145*C145*$Z$4,2)))</f>
        <v/>
      </c>
      <c r="Q145" s="110" t="str">
        <f>IF(OR(posicao_contratual!R145="",posicao_contratual!V145=""),"",ROUND(MAX(posicao_contratual!R145+posicao_contratual!P145-posicao_contratual!V145,0),2))</f>
        <v/>
      </c>
      <c r="R145" s="104" t="str">
        <f>IF(AND(A145="",A144&lt;&gt;"",COUNTIF(A146:$A$200,"&lt;&gt;")=0),ROUND(SUMIF($A$2:A144,"&lt;&gt;",$R$2:R144),2),IF(OR(Q145="",C145="",NOT(ISNUMBER($Z$5))),"",ROUND(Q145*C145*$Z$5,2)))</f>
        <v/>
      </c>
      <c r="S145" s="58"/>
      <c r="T145" s="59"/>
      <c r="U145" s="111" t="str">
        <f>IF(AND(A145="",A144&lt;&gt;"",COUNTIF(A146:$A$200,"&lt;&gt;")=0),"TOTAL",IF(A145="","",posicao_contratual!X145))</f>
        <v/>
      </c>
      <c r="V145" s="111" t="str">
        <f>IF(A145="","",posicao_contratual!X145)</f>
        <v/>
      </c>
      <c r="W145" s="15"/>
      <c r="X145" s="15"/>
      <c r="Y145" s="15"/>
      <c r="Z145" s="15"/>
      <c r="AA145" s="15"/>
      <c r="AB145" s="110" t="str">
        <f>IF(OR(A145="",posicao_contratual!E145="",posicao_contratual!J145=""),"",ROUND(MAX(posicao_contratual!E145-posicao_contratual!J145,0),2))</f>
        <v/>
      </c>
      <c r="AC145" s="104" t="str">
        <f>IF(AND(A145="",A144&lt;&gt;"",COUNTIF(A146:$A$200,"&lt;&gt;")=0),ROUND(SUMIF($A$2:A144,"&lt;&gt;",$AC$2:AC144),2),IF(OR(AB145="",C145="",NOT(ISNUMBER($Z$2))),"",ROUND(AB145*C145*$Z$2,2)))</f>
        <v/>
      </c>
      <c r="AD145" s="180" t="str">
        <f>IF(A145="","",posicao_contratual!E145)</f>
        <v/>
      </c>
      <c r="AE145" s="180" t="str">
        <f>IF(A145="","",posicao_contratual!I145)</f>
        <v/>
      </c>
      <c r="AF145" s="180" t="str">
        <f>IF(A145="","",posicao_contratual!M145)</f>
        <v/>
      </c>
      <c r="AG145" s="180" t="str">
        <f>IF(A145="","",posicao_contratual!Q145)</f>
        <v/>
      </c>
      <c r="AH145" s="180" t="str">
        <f>IF(A145="","",posicao_contratual!U145)</f>
        <v/>
      </c>
      <c r="AI145" s="180" t="str">
        <f>IF(A145="","",posicao_contratual!G145)</f>
        <v/>
      </c>
      <c r="AJ145" s="180" t="str">
        <f>IF(A145="","",posicao_contratual!K145)</f>
        <v/>
      </c>
      <c r="AK145" s="180" t="str">
        <f>IF(A145="","",posicao_contratual!O145)</f>
        <v/>
      </c>
      <c r="AL145" s="180" t="str">
        <f>IF(A145="","",posicao_contratual!S145)</f>
        <v/>
      </c>
      <c r="AM145" s="180" t="str">
        <f>IF(A145="","",posicao_contratual!W145)</f>
        <v/>
      </c>
      <c r="AN145" s="181" t="str">
        <f>IF(A145="","",posicao_contratual!X145)</f>
        <v/>
      </c>
    </row>
    <row r="146" spans="1:40" x14ac:dyDescent="0.35">
      <c r="A146" s="106"/>
      <c r="B146" s="107"/>
      <c r="C146" s="108"/>
      <c r="D146" s="104" t="str">
        <f>IF(AND(A146="",A145&lt;&gt;"",COUNTIF(A147:$A$200,"&lt;&gt;")=0),ROUND(SUMIF($A$2:A145,"&lt;&gt;",$D$2:D145),2),IF(OR(A146="",B146="",C146=""),"",ROUND(B146*C146,2)))</f>
        <v/>
      </c>
      <c r="E146" s="109"/>
      <c r="F146" s="104" t="str">
        <f>IF(AND(A146="",A145&lt;&gt;"",COUNTIF(A147:$A$200,"&lt;&gt;")=0),ROUND(SUMIF($A$2:A145,"&lt;&gt;",$F$2:F145),2),IF(OR(A146="",posicao_contratual!K146="",C146="",NOT(ISNUMBER($Z$3))),"",ROUND(posicao_contratual!K146*C146*$Z$3,2)))</f>
        <v/>
      </c>
      <c r="G146" s="109"/>
      <c r="H146" s="104" t="str">
        <f>IF(AND(A146="",A145&lt;&gt;"",COUNTIF(A147:$A$200,"&lt;&gt;")=0),ROUND(SUMIF($A$2:A145,"&lt;&gt;",$H$2:H145),2),IF(OR(A146="",posicao_contratual!O146="",C146="",NOT(ISNUMBER($Z$4))),"",ROUND(posicao_contratual!O146*C146*$Z$4,2)))</f>
        <v/>
      </c>
      <c r="I146" s="109"/>
      <c r="J146" s="104" t="str">
        <f>IF(AND(A146="",A145&lt;&gt;"",COUNTIF(A147:$A$200,"&lt;&gt;")=0),ROUND(SUMIF($A$2:A145,"&lt;&gt;",$J$2:J145),2),IF(OR(A146="",posicao_contratual!S146="",C146="",NOT(ISNUMBER($Z$5))),"",ROUND(posicao_contratual!S146*C146*$Z$5,2)))</f>
        <v/>
      </c>
      <c r="K146" s="109"/>
      <c r="L146" s="104" t="str">
        <f>IF(AND(A146="",A145&lt;&gt;"",COUNTIF(A147:$A$200,"&lt;&gt;")=0),ROUND(SUMIF($A$2:A145,"&lt;&gt;",$L$2:L145),2),IF(OR(A146="",posicao_contratual!W146="",C146="",NOT(ISNUMBER($Z$6))),"",ROUND(posicao_contratual!W146*C146*$Z$6,2)))</f>
        <v/>
      </c>
      <c r="M146" s="110" t="str">
        <f>IF(OR(posicao_contratual!J146="",posicao_contratual!N146=""),"",ROUND(MAX(posicao_contratual!J146+posicao_contratual!H146-posicao_contratual!N146,0),2))</f>
        <v/>
      </c>
      <c r="N146" s="104" t="str">
        <f>IF(AND(A146="",A145&lt;&gt;"",COUNTIF(A147:$A$200,"&lt;&gt;")=0),ROUND(SUMIF($A$2:A145,"&lt;&gt;",$N$2:N145),2),IF(OR(M146="",C146="",NOT(ISNUMBER($Z$3))),"",ROUND(M146*C146*$Z$3,2)))</f>
        <v/>
      </c>
      <c r="O146" s="110" t="str">
        <f>IF(OR(posicao_contratual!N146="",posicao_contratual!R146=""),"",ROUND(MAX(posicao_contratual!N146+posicao_contratual!L146-posicao_contratual!R146,0),2))</f>
        <v/>
      </c>
      <c r="P146" s="104" t="str">
        <f>IF(AND(A146="",A145&lt;&gt;"",COUNTIF(A147:$A$200,"&lt;&gt;")=0),ROUND(SUMIF($A$2:A145,"&lt;&gt;",$P$2:P145),2),IF(OR(O146="",C146="",NOT(ISNUMBER($Z$4))),"",ROUND(O146*C146*$Z$4,2)))</f>
        <v/>
      </c>
      <c r="Q146" s="110" t="str">
        <f>IF(OR(posicao_contratual!R146="",posicao_contratual!V146=""),"",ROUND(MAX(posicao_contratual!R146+posicao_contratual!P146-posicao_contratual!V146,0),2))</f>
        <v/>
      </c>
      <c r="R146" s="104" t="str">
        <f>IF(AND(A146="",A145&lt;&gt;"",COUNTIF(A147:$A$200,"&lt;&gt;")=0),ROUND(SUMIF($A$2:A145,"&lt;&gt;",$R$2:R145),2),IF(OR(Q146="",C146="",NOT(ISNUMBER($Z$5))),"",ROUND(Q146*C146*$Z$5,2)))</f>
        <v/>
      </c>
      <c r="S146" s="58"/>
      <c r="T146" s="59"/>
      <c r="U146" s="111" t="str">
        <f>IF(AND(A146="",A145&lt;&gt;"",COUNTIF(A147:$A$200,"&lt;&gt;")=0),"TOTAL",IF(A146="","",posicao_contratual!X146))</f>
        <v/>
      </c>
      <c r="V146" s="111" t="str">
        <f>IF(A146="","",posicao_contratual!X146)</f>
        <v/>
      </c>
      <c r="W146" s="15"/>
      <c r="X146" s="15"/>
      <c r="Y146" s="15"/>
      <c r="Z146" s="15"/>
      <c r="AA146" s="15"/>
      <c r="AB146" s="110" t="str">
        <f>IF(OR(A146="",posicao_contratual!E146="",posicao_contratual!J146=""),"",ROUND(MAX(posicao_contratual!E146-posicao_contratual!J146,0),2))</f>
        <v/>
      </c>
      <c r="AC146" s="104" t="str">
        <f>IF(AND(A146="",A145&lt;&gt;"",COUNTIF(A147:$A$200,"&lt;&gt;")=0),ROUND(SUMIF($A$2:A145,"&lt;&gt;",$AC$2:AC145),2),IF(OR(AB146="",C146="",NOT(ISNUMBER($Z$2))),"",ROUND(AB146*C146*$Z$2,2)))</f>
        <v/>
      </c>
      <c r="AD146" s="180" t="str">
        <f>IF(A146="","",posicao_contratual!E146)</f>
        <v/>
      </c>
      <c r="AE146" s="180" t="str">
        <f>IF(A146="","",posicao_contratual!I146)</f>
        <v/>
      </c>
      <c r="AF146" s="180" t="str">
        <f>IF(A146="","",posicao_contratual!M146)</f>
        <v/>
      </c>
      <c r="AG146" s="180" t="str">
        <f>IF(A146="","",posicao_contratual!Q146)</f>
        <v/>
      </c>
      <c r="AH146" s="180" t="str">
        <f>IF(A146="","",posicao_contratual!U146)</f>
        <v/>
      </c>
      <c r="AI146" s="180" t="str">
        <f>IF(A146="","",posicao_contratual!G146)</f>
        <v/>
      </c>
      <c r="AJ146" s="180" t="str">
        <f>IF(A146="","",posicao_contratual!K146)</f>
        <v/>
      </c>
      <c r="AK146" s="180" t="str">
        <f>IF(A146="","",posicao_contratual!O146)</f>
        <v/>
      </c>
      <c r="AL146" s="180" t="str">
        <f>IF(A146="","",posicao_contratual!S146)</f>
        <v/>
      </c>
      <c r="AM146" s="180" t="str">
        <f>IF(A146="","",posicao_contratual!W146)</f>
        <v/>
      </c>
      <c r="AN146" s="181" t="str">
        <f>IF(A146="","",posicao_contratual!X146)</f>
        <v/>
      </c>
    </row>
    <row r="147" spans="1:40" x14ac:dyDescent="0.35">
      <c r="A147" s="106"/>
      <c r="B147" s="107"/>
      <c r="C147" s="108"/>
      <c r="D147" s="104" t="str">
        <f>IF(AND(A147="",A146&lt;&gt;"",COUNTIF(A148:$A$200,"&lt;&gt;")=0),ROUND(SUMIF($A$2:A146,"&lt;&gt;",$D$2:D146),2),IF(OR(A147="",B147="",C147=""),"",ROUND(B147*C147,2)))</f>
        <v/>
      </c>
      <c r="E147" s="109"/>
      <c r="F147" s="104" t="str">
        <f>IF(AND(A147="",A146&lt;&gt;"",COUNTIF(A148:$A$200,"&lt;&gt;")=0),ROUND(SUMIF($A$2:A146,"&lt;&gt;",$F$2:F146),2),IF(OR(A147="",posicao_contratual!K147="",C147="",NOT(ISNUMBER($Z$3))),"",ROUND(posicao_contratual!K147*C147*$Z$3,2)))</f>
        <v/>
      </c>
      <c r="G147" s="109"/>
      <c r="H147" s="104" t="str">
        <f>IF(AND(A147="",A146&lt;&gt;"",COUNTIF(A148:$A$200,"&lt;&gt;")=0),ROUND(SUMIF($A$2:A146,"&lt;&gt;",$H$2:H146),2),IF(OR(A147="",posicao_contratual!O147="",C147="",NOT(ISNUMBER($Z$4))),"",ROUND(posicao_contratual!O147*C147*$Z$4,2)))</f>
        <v/>
      </c>
      <c r="I147" s="109"/>
      <c r="J147" s="104" t="str">
        <f>IF(AND(A147="",A146&lt;&gt;"",COUNTIF(A148:$A$200,"&lt;&gt;")=0),ROUND(SUMIF($A$2:A146,"&lt;&gt;",$J$2:J146),2),IF(OR(A147="",posicao_contratual!S147="",C147="",NOT(ISNUMBER($Z$5))),"",ROUND(posicao_contratual!S147*C147*$Z$5,2)))</f>
        <v/>
      </c>
      <c r="K147" s="109"/>
      <c r="L147" s="104" t="str">
        <f>IF(AND(A147="",A146&lt;&gt;"",COUNTIF(A148:$A$200,"&lt;&gt;")=0),ROUND(SUMIF($A$2:A146,"&lt;&gt;",$L$2:L146),2),IF(OR(A147="",posicao_contratual!W147="",C147="",NOT(ISNUMBER($Z$6))),"",ROUND(posicao_contratual!W147*C147*$Z$6,2)))</f>
        <v/>
      </c>
      <c r="M147" s="110" t="str">
        <f>IF(OR(posicao_contratual!J147="",posicao_contratual!N147=""),"",ROUND(MAX(posicao_contratual!J147+posicao_contratual!H147-posicao_contratual!N147,0),2))</f>
        <v/>
      </c>
      <c r="N147" s="104" t="str">
        <f>IF(AND(A147="",A146&lt;&gt;"",COUNTIF(A148:$A$200,"&lt;&gt;")=0),ROUND(SUMIF($A$2:A146,"&lt;&gt;",$N$2:N146),2),IF(OR(M147="",C147="",NOT(ISNUMBER($Z$3))),"",ROUND(M147*C147*$Z$3,2)))</f>
        <v/>
      </c>
      <c r="O147" s="110" t="str">
        <f>IF(OR(posicao_contratual!N147="",posicao_contratual!R147=""),"",ROUND(MAX(posicao_contratual!N147+posicao_contratual!L147-posicao_contratual!R147,0),2))</f>
        <v/>
      </c>
      <c r="P147" s="104" t="str">
        <f>IF(AND(A147="",A146&lt;&gt;"",COUNTIF(A148:$A$200,"&lt;&gt;")=0),ROUND(SUMIF($A$2:A146,"&lt;&gt;",$P$2:P146),2),IF(OR(O147="",C147="",NOT(ISNUMBER($Z$4))),"",ROUND(O147*C147*$Z$4,2)))</f>
        <v/>
      </c>
      <c r="Q147" s="110" t="str">
        <f>IF(OR(posicao_contratual!R147="",posicao_contratual!V147=""),"",ROUND(MAX(posicao_contratual!R147+posicao_contratual!P147-posicao_contratual!V147,0),2))</f>
        <v/>
      </c>
      <c r="R147" s="104" t="str">
        <f>IF(AND(A147="",A146&lt;&gt;"",COUNTIF(A148:$A$200,"&lt;&gt;")=0),ROUND(SUMIF($A$2:A146,"&lt;&gt;",$R$2:R146),2),IF(OR(Q147="",C147="",NOT(ISNUMBER($Z$5))),"",ROUND(Q147*C147*$Z$5,2)))</f>
        <v/>
      </c>
      <c r="S147" s="58"/>
      <c r="T147" s="59"/>
      <c r="U147" s="111" t="str">
        <f>IF(AND(A147="",A146&lt;&gt;"",COUNTIF(A148:$A$200,"&lt;&gt;")=0),"TOTAL",IF(A147="","",posicao_contratual!X147))</f>
        <v/>
      </c>
      <c r="V147" s="111" t="str">
        <f>IF(A147="","",posicao_contratual!X147)</f>
        <v/>
      </c>
      <c r="W147" s="15"/>
      <c r="X147" s="15"/>
      <c r="Y147" s="15"/>
      <c r="Z147" s="15"/>
      <c r="AA147" s="15"/>
      <c r="AB147" s="110" t="str">
        <f>IF(OR(A147="",posicao_contratual!E147="",posicao_contratual!J147=""),"",ROUND(MAX(posicao_contratual!E147-posicao_contratual!J147,0),2))</f>
        <v/>
      </c>
      <c r="AC147" s="104" t="str">
        <f>IF(AND(A147="",A146&lt;&gt;"",COUNTIF(A148:$A$200,"&lt;&gt;")=0),ROUND(SUMIF($A$2:A146,"&lt;&gt;",$AC$2:AC146),2),IF(OR(AB147="",C147="",NOT(ISNUMBER($Z$2))),"",ROUND(AB147*C147*$Z$2,2)))</f>
        <v/>
      </c>
      <c r="AD147" s="180" t="str">
        <f>IF(A147="","",posicao_contratual!E147)</f>
        <v/>
      </c>
      <c r="AE147" s="180" t="str">
        <f>IF(A147="","",posicao_contratual!I147)</f>
        <v/>
      </c>
      <c r="AF147" s="180" t="str">
        <f>IF(A147="","",posicao_contratual!M147)</f>
        <v/>
      </c>
      <c r="AG147" s="180" t="str">
        <f>IF(A147="","",posicao_contratual!Q147)</f>
        <v/>
      </c>
      <c r="AH147" s="180" t="str">
        <f>IF(A147="","",posicao_contratual!U147)</f>
        <v/>
      </c>
      <c r="AI147" s="180" t="str">
        <f>IF(A147="","",posicao_contratual!G147)</f>
        <v/>
      </c>
      <c r="AJ147" s="180" t="str">
        <f>IF(A147="","",posicao_contratual!K147)</f>
        <v/>
      </c>
      <c r="AK147" s="180" t="str">
        <f>IF(A147="","",posicao_contratual!O147)</f>
        <v/>
      </c>
      <c r="AL147" s="180" t="str">
        <f>IF(A147="","",posicao_contratual!S147)</f>
        <v/>
      </c>
      <c r="AM147" s="180" t="str">
        <f>IF(A147="","",posicao_contratual!W147)</f>
        <v/>
      </c>
      <c r="AN147" s="181" t="str">
        <f>IF(A147="","",posicao_contratual!X147)</f>
        <v/>
      </c>
    </row>
    <row r="148" spans="1:40" x14ac:dyDescent="0.35">
      <c r="A148" s="106"/>
      <c r="B148" s="107"/>
      <c r="C148" s="108"/>
      <c r="D148" s="104" t="str">
        <f>IF(AND(A148="",A147&lt;&gt;"",COUNTIF(A149:$A$200,"&lt;&gt;")=0),ROUND(SUMIF($A$2:A147,"&lt;&gt;",$D$2:D147),2),IF(OR(A148="",B148="",C148=""),"",ROUND(B148*C148,2)))</f>
        <v/>
      </c>
      <c r="E148" s="109"/>
      <c r="F148" s="104" t="str">
        <f>IF(AND(A148="",A147&lt;&gt;"",COUNTIF(A149:$A$200,"&lt;&gt;")=0),ROUND(SUMIF($A$2:A147,"&lt;&gt;",$F$2:F147),2),IF(OR(A148="",posicao_contratual!K148="",C148="",NOT(ISNUMBER($Z$3))),"",ROUND(posicao_contratual!K148*C148*$Z$3,2)))</f>
        <v/>
      </c>
      <c r="G148" s="109"/>
      <c r="H148" s="104" t="str">
        <f>IF(AND(A148="",A147&lt;&gt;"",COUNTIF(A149:$A$200,"&lt;&gt;")=0),ROUND(SUMIF($A$2:A147,"&lt;&gt;",$H$2:H147),2),IF(OR(A148="",posicao_contratual!O148="",C148="",NOT(ISNUMBER($Z$4))),"",ROUND(posicao_contratual!O148*C148*$Z$4,2)))</f>
        <v/>
      </c>
      <c r="I148" s="109"/>
      <c r="J148" s="104" t="str">
        <f>IF(AND(A148="",A147&lt;&gt;"",COUNTIF(A149:$A$200,"&lt;&gt;")=0),ROUND(SUMIF($A$2:A147,"&lt;&gt;",$J$2:J147),2),IF(OR(A148="",posicao_contratual!S148="",C148="",NOT(ISNUMBER($Z$5))),"",ROUND(posicao_contratual!S148*C148*$Z$5,2)))</f>
        <v/>
      </c>
      <c r="K148" s="109"/>
      <c r="L148" s="104" t="str">
        <f>IF(AND(A148="",A147&lt;&gt;"",COUNTIF(A149:$A$200,"&lt;&gt;")=0),ROUND(SUMIF($A$2:A147,"&lt;&gt;",$L$2:L147),2),IF(OR(A148="",posicao_contratual!W148="",C148="",NOT(ISNUMBER($Z$6))),"",ROUND(posicao_contratual!W148*C148*$Z$6,2)))</f>
        <v/>
      </c>
      <c r="M148" s="110" t="str">
        <f>IF(OR(posicao_contratual!J148="",posicao_contratual!N148=""),"",ROUND(MAX(posicao_contratual!J148+posicao_contratual!H148-posicao_contratual!N148,0),2))</f>
        <v/>
      </c>
      <c r="N148" s="104" t="str">
        <f>IF(AND(A148="",A147&lt;&gt;"",COUNTIF(A149:$A$200,"&lt;&gt;")=0),ROUND(SUMIF($A$2:A147,"&lt;&gt;",$N$2:N147),2),IF(OR(M148="",C148="",NOT(ISNUMBER($Z$3))),"",ROUND(M148*C148*$Z$3,2)))</f>
        <v/>
      </c>
      <c r="O148" s="110" t="str">
        <f>IF(OR(posicao_contratual!N148="",posicao_contratual!R148=""),"",ROUND(MAX(posicao_contratual!N148+posicao_contratual!L148-posicao_contratual!R148,0),2))</f>
        <v/>
      </c>
      <c r="P148" s="104" t="str">
        <f>IF(AND(A148="",A147&lt;&gt;"",COUNTIF(A149:$A$200,"&lt;&gt;")=0),ROUND(SUMIF($A$2:A147,"&lt;&gt;",$P$2:P147),2),IF(OR(O148="",C148="",NOT(ISNUMBER($Z$4))),"",ROUND(O148*C148*$Z$4,2)))</f>
        <v/>
      </c>
      <c r="Q148" s="110" t="str">
        <f>IF(OR(posicao_contratual!R148="",posicao_contratual!V148=""),"",ROUND(MAX(posicao_contratual!R148+posicao_contratual!P148-posicao_contratual!V148,0),2))</f>
        <v/>
      </c>
      <c r="R148" s="104" t="str">
        <f>IF(AND(A148="",A147&lt;&gt;"",COUNTIF(A149:$A$200,"&lt;&gt;")=0),ROUND(SUMIF($A$2:A147,"&lt;&gt;",$R$2:R147),2),IF(OR(Q148="",C148="",NOT(ISNUMBER($Z$5))),"",ROUND(Q148*C148*$Z$5,2)))</f>
        <v/>
      </c>
      <c r="S148" s="58"/>
      <c r="T148" s="59"/>
      <c r="U148" s="111" t="str">
        <f>IF(AND(A148="",A147&lt;&gt;"",COUNTIF(A149:$A$200,"&lt;&gt;")=0),"TOTAL",IF(A148="","",posicao_contratual!X148))</f>
        <v/>
      </c>
      <c r="V148" s="111" t="str">
        <f>IF(A148="","",posicao_contratual!X148)</f>
        <v/>
      </c>
      <c r="W148" s="15"/>
      <c r="X148" s="15"/>
      <c r="Y148" s="15"/>
      <c r="Z148" s="15"/>
      <c r="AA148" s="15"/>
      <c r="AB148" s="110" t="str">
        <f>IF(OR(A148="",posicao_contratual!E148="",posicao_contratual!J148=""),"",ROUND(MAX(posicao_contratual!E148-posicao_contratual!J148,0),2))</f>
        <v/>
      </c>
      <c r="AC148" s="104" t="str">
        <f>IF(AND(A148="",A147&lt;&gt;"",COUNTIF(A149:$A$200,"&lt;&gt;")=0),ROUND(SUMIF($A$2:A147,"&lt;&gt;",$AC$2:AC147),2),IF(OR(AB148="",C148="",NOT(ISNUMBER($Z$2))),"",ROUND(AB148*C148*$Z$2,2)))</f>
        <v/>
      </c>
      <c r="AD148" s="180" t="str">
        <f>IF(A148="","",posicao_contratual!E148)</f>
        <v/>
      </c>
      <c r="AE148" s="180" t="str">
        <f>IF(A148="","",posicao_contratual!I148)</f>
        <v/>
      </c>
      <c r="AF148" s="180" t="str">
        <f>IF(A148="","",posicao_contratual!M148)</f>
        <v/>
      </c>
      <c r="AG148" s="180" t="str">
        <f>IF(A148="","",posicao_contratual!Q148)</f>
        <v/>
      </c>
      <c r="AH148" s="180" t="str">
        <f>IF(A148="","",posicao_contratual!U148)</f>
        <v/>
      </c>
      <c r="AI148" s="180" t="str">
        <f>IF(A148="","",posicao_contratual!G148)</f>
        <v/>
      </c>
      <c r="AJ148" s="180" t="str">
        <f>IF(A148="","",posicao_contratual!K148)</f>
        <v/>
      </c>
      <c r="AK148" s="180" t="str">
        <f>IF(A148="","",posicao_contratual!O148)</f>
        <v/>
      </c>
      <c r="AL148" s="180" t="str">
        <f>IF(A148="","",posicao_contratual!S148)</f>
        <v/>
      </c>
      <c r="AM148" s="180" t="str">
        <f>IF(A148="","",posicao_contratual!W148)</f>
        <v/>
      </c>
      <c r="AN148" s="181" t="str">
        <f>IF(A148="","",posicao_contratual!X148)</f>
        <v/>
      </c>
    </row>
    <row r="149" spans="1:40" x14ac:dyDescent="0.35">
      <c r="A149" s="106"/>
      <c r="B149" s="107"/>
      <c r="C149" s="108"/>
      <c r="D149" s="104" t="str">
        <f>IF(AND(A149="",A148&lt;&gt;"",COUNTIF(A150:$A$200,"&lt;&gt;")=0),ROUND(SUMIF($A$2:A148,"&lt;&gt;",$D$2:D148),2),IF(OR(A149="",B149="",C149=""),"",ROUND(B149*C149,2)))</f>
        <v/>
      </c>
      <c r="E149" s="109"/>
      <c r="F149" s="104" t="str">
        <f>IF(AND(A149="",A148&lt;&gt;"",COUNTIF(A150:$A$200,"&lt;&gt;")=0),ROUND(SUMIF($A$2:A148,"&lt;&gt;",$F$2:F148),2),IF(OR(A149="",posicao_contratual!K149="",C149="",NOT(ISNUMBER($Z$3))),"",ROUND(posicao_contratual!K149*C149*$Z$3,2)))</f>
        <v/>
      </c>
      <c r="G149" s="109"/>
      <c r="H149" s="104" t="str">
        <f>IF(AND(A149="",A148&lt;&gt;"",COUNTIF(A150:$A$200,"&lt;&gt;")=0),ROUND(SUMIF($A$2:A148,"&lt;&gt;",$H$2:H148),2),IF(OR(A149="",posicao_contratual!O149="",C149="",NOT(ISNUMBER($Z$4))),"",ROUND(posicao_contratual!O149*C149*$Z$4,2)))</f>
        <v/>
      </c>
      <c r="I149" s="109"/>
      <c r="J149" s="104" t="str">
        <f>IF(AND(A149="",A148&lt;&gt;"",COUNTIF(A150:$A$200,"&lt;&gt;")=0),ROUND(SUMIF($A$2:A148,"&lt;&gt;",$J$2:J148),2),IF(OR(A149="",posicao_contratual!S149="",C149="",NOT(ISNUMBER($Z$5))),"",ROUND(posicao_contratual!S149*C149*$Z$5,2)))</f>
        <v/>
      </c>
      <c r="K149" s="109"/>
      <c r="L149" s="104" t="str">
        <f>IF(AND(A149="",A148&lt;&gt;"",COUNTIF(A150:$A$200,"&lt;&gt;")=0),ROUND(SUMIF($A$2:A148,"&lt;&gt;",$L$2:L148),2),IF(OR(A149="",posicao_contratual!W149="",C149="",NOT(ISNUMBER($Z$6))),"",ROUND(posicao_contratual!W149*C149*$Z$6,2)))</f>
        <v/>
      </c>
      <c r="M149" s="110" t="str">
        <f>IF(OR(posicao_contratual!J149="",posicao_contratual!N149=""),"",ROUND(MAX(posicao_contratual!J149+posicao_contratual!H149-posicao_contratual!N149,0),2))</f>
        <v/>
      </c>
      <c r="N149" s="104" t="str">
        <f>IF(AND(A149="",A148&lt;&gt;"",COUNTIF(A150:$A$200,"&lt;&gt;")=0),ROUND(SUMIF($A$2:A148,"&lt;&gt;",$N$2:N148),2),IF(OR(M149="",C149="",NOT(ISNUMBER($Z$3))),"",ROUND(M149*C149*$Z$3,2)))</f>
        <v/>
      </c>
      <c r="O149" s="110" t="str">
        <f>IF(OR(posicao_contratual!N149="",posicao_contratual!R149=""),"",ROUND(MAX(posicao_contratual!N149+posicao_contratual!L149-posicao_contratual!R149,0),2))</f>
        <v/>
      </c>
      <c r="P149" s="104" t="str">
        <f>IF(AND(A149="",A148&lt;&gt;"",COUNTIF(A150:$A$200,"&lt;&gt;")=0),ROUND(SUMIF($A$2:A148,"&lt;&gt;",$P$2:P148),2),IF(OR(O149="",C149="",NOT(ISNUMBER($Z$4))),"",ROUND(O149*C149*$Z$4,2)))</f>
        <v/>
      </c>
      <c r="Q149" s="110" t="str">
        <f>IF(OR(posicao_contratual!R149="",posicao_contratual!V149=""),"",ROUND(MAX(posicao_contratual!R149+posicao_contratual!P149-posicao_contratual!V149,0),2))</f>
        <v/>
      </c>
      <c r="R149" s="104" t="str">
        <f>IF(AND(A149="",A148&lt;&gt;"",COUNTIF(A150:$A$200,"&lt;&gt;")=0),ROUND(SUMIF($A$2:A148,"&lt;&gt;",$R$2:R148),2),IF(OR(Q149="",C149="",NOT(ISNUMBER($Z$5))),"",ROUND(Q149*C149*$Z$5,2)))</f>
        <v/>
      </c>
      <c r="S149" s="58"/>
      <c r="T149" s="59"/>
      <c r="U149" s="111" t="str">
        <f>IF(AND(A149="",A148&lt;&gt;"",COUNTIF(A150:$A$200,"&lt;&gt;")=0),"TOTAL",IF(A149="","",posicao_contratual!X149))</f>
        <v/>
      </c>
      <c r="V149" s="111" t="str">
        <f>IF(A149="","",posicao_contratual!X149)</f>
        <v/>
      </c>
      <c r="W149" s="15"/>
      <c r="X149" s="15"/>
      <c r="Y149" s="15"/>
      <c r="Z149" s="15"/>
      <c r="AA149" s="15"/>
      <c r="AB149" s="110" t="str">
        <f>IF(OR(A149="",posicao_contratual!E149="",posicao_contratual!J149=""),"",ROUND(MAX(posicao_contratual!E149-posicao_contratual!J149,0),2))</f>
        <v/>
      </c>
      <c r="AC149" s="104" t="str">
        <f>IF(AND(A149="",A148&lt;&gt;"",COUNTIF(A150:$A$200,"&lt;&gt;")=0),ROUND(SUMIF($A$2:A148,"&lt;&gt;",$AC$2:AC148),2),IF(OR(AB149="",C149="",NOT(ISNUMBER($Z$2))),"",ROUND(AB149*C149*$Z$2,2)))</f>
        <v/>
      </c>
      <c r="AD149" s="180" t="str">
        <f>IF(A149="","",posicao_contratual!E149)</f>
        <v/>
      </c>
      <c r="AE149" s="180" t="str">
        <f>IF(A149="","",posicao_contratual!I149)</f>
        <v/>
      </c>
      <c r="AF149" s="180" t="str">
        <f>IF(A149="","",posicao_contratual!M149)</f>
        <v/>
      </c>
      <c r="AG149" s="180" t="str">
        <f>IF(A149="","",posicao_contratual!Q149)</f>
        <v/>
      </c>
      <c r="AH149" s="180" t="str">
        <f>IF(A149="","",posicao_contratual!U149)</f>
        <v/>
      </c>
      <c r="AI149" s="180" t="str">
        <f>IF(A149="","",posicao_contratual!G149)</f>
        <v/>
      </c>
      <c r="AJ149" s="180" t="str">
        <f>IF(A149="","",posicao_contratual!K149)</f>
        <v/>
      </c>
      <c r="AK149" s="180" t="str">
        <f>IF(A149="","",posicao_contratual!O149)</f>
        <v/>
      </c>
      <c r="AL149" s="180" t="str">
        <f>IF(A149="","",posicao_contratual!S149)</f>
        <v/>
      </c>
      <c r="AM149" s="180" t="str">
        <f>IF(A149="","",posicao_contratual!W149)</f>
        <v/>
      </c>
      <c r="AN149" s="181" t="str">
        <f>IF(A149="","",posicao_contratual!X149)</f>
        <v/>
      </c>
    </row>
    <row r="150" spans="1:40" x14ac:dyDescent="0.35">
      <c r="A150" s="106"/>
      <c r="B150" s="107"/>
      <c r="C150" s="108"/>
      <c r="D150" s="104" t="str">
        <f>IF(AND(A150="",A149&lt;&gt;"",COUNTIF(A151:$A$200,"&lt;&gt;")=0),ROUND(SUMIF($A$2:A149,"&lt;&gt;",$D$2:D149),2),IF(OR(A150="",B150="",C150=""),"",ROUND(B150*C150,2)))</f>
        <v/>
      </c>
      <c r="E150" s="109"/>
      <c r="F150" s="104" t="str">
        <f>IF(AND(A150="",A149&lt;&gt;"",COUNTIF(A151:$A$200,"&lt;&gt;")=0),ROUND(SUMIF($A$2:A149,"&lt;&gt;",$F$2:F149),2),IF(OR(A150="",posicao_contratual!K150="",C150="",NOT(ISNUMBER($Z$3))),"",ROUND(posicao_contratual!K150*C150*$Z$3,2)))</f>
        <v/>
      </c>
      <c r="G150" s="109"/>
      <c r="H150" s="104" t="str">
        <f>IF(AND(A150="",A149&lt;&gt;"",COUNTIF(A151:$A$200,"&lt;&gt;")=0),ROUND(SUMIF($A$2:A149,"&lt;&gt;",$H$2:H149),2),IF(OR(A150="",posicao_contratual!O150="",C150="",NOT(ISNUMBER($Z$4))),"",ROUND(posicao_contratual!O150*C150*$Z$4,2)))</f>
        <v/>
      </c>
      <c r="I150" s="109"/>
      <c r="J150" s="104" t="str">
        <f>IF(AND(A150="",A149&lt;&gt;"",COUNTIF(A151:$A$200,"&lt;&gt;")=0),ROUND(SUMIF($A$2:A149,"&lt;&gt;",$J$2:J149),2),IF(OR(A150="",posicao_contratual!S150="",C150="",NOT(ISNUMBER($Z$5))),"",ROUND(posicao_contratual!S150*C150*$Z$5,2)))</f>
        <v/>
      </c>
      <c r="K150" s="109"/>
      <c r="L150" s="104" t="str">
        <f>IF(AND(A150="",A149&lt;&gt;"",COUNTIF(A151:$A$200,"&lt;&gt;")=0),ROUND(SUMIF($A$2:A149,"&lt;&gt;",$L$2:L149),2),IF(OR(A150="",posicao_contratual!W150="",C150="",NOT(ISNUMBER($Z$6))),"",ROUND(posicao_contratual!W150*C150*$Z$6,2)))</f>
        <v/>
      </c>
      <c r="M150" s="110" t="str">
        <f>IF(OR(posicao_contratual!J150="",posicao_contratual!N150=""),"",ROUND(MAX(posicao_contratual!J150+posicao_contratual!H150-posicao_contratual!N150,0),2))</f>
        <v/>
      </c>
      <c r="N150" s="104" t="str">
        <f>IF(AND(A150="",A149&lt;&gt;"",COUNTIF(A151:$A$200,"&lt;&gt;")=0),ROUND(SUMIF($A$2:A149,"&lt;&gt;",$N$2:N149),2),IF(OR(M150="",C150="",NOT(ISNUMBER($Z$3))),"",ROUND(M150*C150*$Z$3,2)))</f>
        <v/>
      </c>
      <c r="O150" s="110" t="str">
        <f>IF(OR(posicao_contratual!N150="",posicao_contratual!R150=""),"",ROUND(MAX(posicao_contratual!N150+posicao_contratual!L150-posicao_contratual!R150,0),2))</f>
        <v/>
      </c>
      <c r="P150" s="104" t="str">
        <f>IF(AND(A150="",A149&lt;&gt;"",COUNTIF(A151:$A$200,"&lt;&gt;")=0),ROUND(SUMIF($A$2:A149,"&lt;&gt;",$P$2:P149),2),IF(OR(O150="",C150="",NOT(ISNUMBER($Z$4))),"",ROUND(O150*C150*$Z$4,2)))</f>
        <v/>
      </c>
      <c r="Q150" s="110" t="str">
        <f>IF(OR(posicao_contratual!R150="",posicao_contratual!V150=""),"",ROUND(MAX(posicao_contratual!R150+posicao_contratual!P150-posicao_contratual!V150,0),2))</f>
        <v/>
      </c>
      <c r="R150" s="104" t="str">
        <f>IF(AND(A150="",A149&lt;&gt;"",COUNTIF(A151:$A$200,"&lt;&gt;")=0),ROUND(SUMIF($A$2:A149,"&lt;&gt;",$R$2:R149),2),IF(OR(Q150="",C150="",NOT(ISNUMBER($Z$5))),"",ROUND(Q150*C150*$Z$5,2)))</f>
        <v/>
      </c>
      <c r="S150" s="58"/>
      <c r="T150" s="59"/>
      <c r="U150" s="111" t="str">
        <f>IF(AND(A150="",A149&lt;&gt;"",COUNTIF(A151:$A$200,"&lt;&gt;")=0),"TOTAL",IF(A150="","",posicao_contratual!X150))</f>
        <v/>
      </c>
      <c r="V150" s="111" t="str">
        <f>IF(A150="","",posicao_contratual!X150)</f>
        <v/>
      </c>
      <c r="W150" s="15"/>
      <c r="X150" s="15"/>
      <c r="Y150" s="15"/>
      <c r="Z150" s="15"/>
      <c r="AA150" s="15"/>
      <c r="AB150" s="110" t="str">
        <f>IF(OR(A150="",posicao_contratual!E150="",posicao_contratual!J150=""),"",ROUND(MAX(posicao_contratual!E150-posicao_contratual!J150,0),2))</f>
        <v/>
      </c>
      <c r="AC150" s="104" t="str">
        <f>IF(AND(A150="",A149&lt;&gt;"",COUNTIF(A151:$A$200,"&lt;&gt;")=0),ROUND(SUMIF($A$2:A149,"&lt;&gt;",$AC$2:AC149),2),IF(OR(AB150="",C150="",NOT(ISNUMBER($Z$2))),"",ROUND(AB150*C150*$Z$2,2)))</f>
        <v/>
      </c>
      <c r="AD150" s="180" t="str">
        <f>IF(A150="","",posicao_contratual!E150)</f>
        <v/>
      </c>
      <c r="AE150" s="180" t="str">
        <f>IF(A150="","",posicao_contratual!I150)</f>
        <v/>
      </c>
      <c r="AF150" s="180" t="str">
        <f>IF(A150="","",posicao_contratual!M150)</f>
        <v/>
      </c>
      <c r="AG150" s="180" t="str">
        <f>IF(A150="","",posicao_contratual!Q150)</f>
        <v/>
      </c>
      <c r="AH150" s="180" t="str">
        <f>IF(A150="","",posicao_contratual!U150)</f>
        <v/>
      </c>
      <c r="AI150" s="180" t="str">
        <f>IF(A150="","",posicao_contratual!G150)</f>
        <v/>
      </c>
      <c r="AJ150" s="180" t="str">
        <f>IF(A150="","",posicao_contratual!K150)</f>
        <v/>
      </c>
      <c r="AK150" s="180" t="str">
        <f>IF(A150="","",posicao_contratual!O150)</f>
        <v/>
      </c>
      <c r="AL150" s="180" t="str">
        <f>IF(A150="","",posicao_contratual!S150)</f>
        <v/>
      </c>
      <c r="AM150" s="180" t="str">
        <f>IF(A150="","",posicao_contratual!W150)</f>
        <v/>
      </c>
      <c r="AN150" s="181" t="str">
        <f>IF(A150="","",posicao_contratual!X150)</f>
        <v/>
      </c>
    </row>
    <row r="151" spans="1:40" x14ac:dyDescent="0.35">
      <c r="A151" s="106"/>
      <c r="B151" s="107"/>
      <c r="C151" s="108"/>
      <c r="D151" s="104" t="str">
        <f>IF(AND(A151="",A150&lt;&gt;"",COUNTIF(A152:$A$200,"&lt;&gt;")=0),ROUND(SUMIF($A$2:A150,"&lt;&gt;",$D$2:D150),2),IF(OR(A151="",B151="",C151=""),"",ROUND(B151*C151,2)))</f>
        <v/>
      </c>
      <c r="E151" s="109"/>
      <c r="F151" s="104" t="str">
        <f>IF(AND(A151="",A150&lt;&gt;"",COUNTIF(A152:$A$200,"&lt;&gt;")=0),ROUND(SUMIF($A$2:A150,"&lt;&gt;",$F$2:F150),2),IF(OR(A151="",posicao_contratual!K151="",C151="",NOT(ISNUMBER($Z$3))),"",ROUND(posicao_contratual!K151*C151*$Z$3,2)))</f>
        <v/>
      </c>
      <c r="G151" s="109"/>
      <c r="H151" s="104" t="str">
        <f>IF(AND(A151="",A150&lt;&gt;"",COUNTIF(A152:$A$200,"&lt;&gt;")=0),ROUND(SUMIF($A$2:A150,"&lt;&gt;",$H$2:H150),2),IF(OR(A151="",posicao_contratual!O151="",C151="",NOT(ISNUMBER($Z$4))),"",ROUND(posicao_contratual!O151*C151*$Z$4,2)))</f>
        <v/>
      </c>
      <c r="I151" s="109"/>
      <c r="J151" s="104" t="str">
        <f>IF(AND(A151="",A150&lt;&gt;"",COUNTIF(A152:$A$200,"&lt;&gt;")=0),ROUND(SUMIF($A$2:A150,"&lt;&gt;",$J$2:J150),2),IF(OR(A151="",posicao_contratual!S151="",C151="",NOT(ISNUMBER($Z$5))),"",ROUND(posicao_contratual!S151*C151*$Z$5,2)))</f>
        <v/>
      </c>
      <c r="K151" s="109"/>
      <c r="L151" s="104" t="str">
        <f>IF(AND(A151="",A150&lt;&gt;"",COUNTIF(A152:$A$200,"&lt;&gt;")=0),ROUND(SUMIF($A$2:A150,"&lt;&gt;",$L$2:L150),2),IF(OR(A151="",posicao_contratual!W151="",C151="",NOT(ISNUMBER($Z$6))),"",ROUND(posicao_contratual!W151*C151*$Z$6,2)))</f>
        <v/>
      </c>
      <c r="M151" s="110" t="str">
        <f>IF(OR(posicao_contratual!J151="",posicao_contratual!N151=""),"",ROUND(MAX(posicao_contratual!J151+posicao_contratual!H151-posicao_contratual!N151,0),2))</f>
        <v/>
      </c>
      <c r="N151" s="104" t="str">
        <f>IF(AND(A151="",A150&lt;&gt;"",COUNTIF(A152:$A$200,"&lt;&gt;")=0),ROUND(SUMIF($A$2:A150,"&lt;&gt;",$N$2:N150),2),IF(OR(M151="",C151="",NOT(ISNUMBER($Z$3))),"",ROUND(M151*C151*$Z$3,2)))</f>
        <v/>
      </c>
      <c r="O151" s="110" t="str">
        <f>IF(OR(posicao_contratual!N151="",posicao_contratual!R151=""),"",ROUND(MAX(posicao_contratual!N151+posicao_contratual!L151-posicao_contratual!R151,0),2))</f>
        <v/>
      </c>
      <c r="P151" s="104" t="str">
        <f>IF(AND(A151="",A150&lt;&gt;"",COUNTIF(A152:$A$200,"&lt;&gt;")=0),ROUND(SUMIF($A$2:A150,"&lt;&gt;",$P$2:P150),2),IF(OR(O151="",C151="",NOT(ISNUMBER($Z$4))),"",ROUND(O151*C151*$Z$4,2)))</f>
        <v/>
      </c>
      <c r="Q151" s="110" t="str">
        <f>IF(OR(posicao_contratual!R151="",posicao_contratual!V151=""),"",ROUND(MAX(posicao_contratual!R151+posicao_contratual!P151-posicao_contratual!V151,0),2))</f>
        <v/>
      </c>
      <c r="R151" s="104" t="str">
        <f>IF(AND(A151="",A150&lt;&gt;"",COUNTIF(A152:$A$200,"&lt;&gt;")=0),ROUND(SUMIF($A$2:A150,"&lt;&gt;",$R$2:R150),2),IF(OR(Q151="",C151="",NOT(ISNUMBER($Z$5))),"",ROUND(Q151*C151*$Z$5,2)))</f>
        <v/>
      </c>
      <c r="S151" s="58"/>
      <c r="T151" s="59"/>
      <c r="U151" s="111" t="str">
        <f>IF(AND(A151="",A150&lt;&gt;"",COUNTIF(A152:$A$200,"&lt;&gt;")=0),"TOTAL",IF(A151="","",posicao_contratual!X151))</f>
        <v/>
      </c>
      <c r="V151" s="111" t="str">
        <f>IF(A151="","",posicao_contratual!X151)</f>
        <v/>
      </c>
      <c r="W151" s="15"/>
      <c r="X151" s="15"/>
      <c r="Y151" s="15"/>
      <c r="Z151" s="15"/>
      <c r="AA151" s="15"/>
      <c r="AB151" s="110" t="str">
        <f>IF(OR(A151="",posicao_contratual!E151="",posicao_contratual!J151=""),"",ROUND(MAX(posicao_contratual!E151-posicao_contratual!J151,0),2))</f>
        <v/>
      </c>
      <c r="AC151" s="104" t="str">
        <f>IF(AND(A151="",A150&lt;&gt;"",COUNTIF(A152:$A$200,"&lt;&gt;")=0),ROUND(SUMIF($A$2:A150,"&lt;&gt;",$AC$2:AC150),2),IF(OR(AB151="",C151="",NOT(ISNUMBER($Z$2))),"",ROUND(AB151*C151*$Z$2,2)))</f>
        <v/>
      </c>
      <c r="AD151" s="180" t="str">
        <f>IF(A151="","",posicao_contratual!E151)</f>
        <v/>
      </c>
      <c r="AE151" s="180" t="str">
        <f>IF(A151="","",posicao_contratual!I151)</f>
        <v/>
      </c>
      <c r="AF151" s="180" t="str">
        <f>IF(A151="","",posicao_contratual!M151)</f>
        <v/>
      </c>
      <c r="AG151" s="180" t="str">
        <f>IF(A151="","",posicao_contratual!Q151)</f>
        <v/>
      </c>
      <c r="AH151" s="180" t="str">
        <f>IF(A151="","",posicao_contratual!U151)</f>
        <v/>
      </c>
      <c r="AI151" s="180" t="str">
        <f>IF(A151="","",posicao_contratual!G151)</f>
        <v/>
      </c>
      <c r="AJ151" s="180" t="str">
        <f>IF(A151="","",posicao_contratual!K151)</f>
        <v/>
      </c>
      <c r="AK151" s="180" t="str">
        <f>IF(A151="","",posicao_contratual!O151)</f>
        <v/>
      </c>
      <c r="AL151" s="180" t="str">
        <f>IF(A151="","",posicao_contratual!S151)</f>
        <v/>
      </c>
      <c r="AM151" s="180" t="str">
        <f>IF(A151="","",posicao_contratual!W151)</f>
        <v/>
      </c>
      <c r="AN151" s="181" t="str">
        <f>IF(A151="","",posicao_contratual!X151)</f>
        <v/>
      </c>
    </row>
    <row r="152" spans="1:40" x14ac:dyDescent="0.35">
      <c r="A152" s="106"/>
      <c r="B152" s="107"/>
      <c r="C152" s="108"/>
      <c r="D152" s="104" t="str">
        <f>IF(AND(A152="",A151&lt;&gt;"",COUNTIF(A153:$A$200,"&lt;&gt;")=0),ROUND(SUMIF($A$2:A151,"&lt;&gt;",$D$2:D151),2),IF(OR(A152="",B152="",C152=""),"",ROUND(B152*C152,2)))</f>
        <v/>
      </c>
      <c r="E152" s="109"/>
      <c r="F152" s="104" t="str">
        <f>IF(AND(A152="",A151&lt;&gt;"",COUNTIF(A153:$A$200,"&lt;&gt;")=0),ROUND(SUMIF($A$2:A151,"&lt;&gt;",$F$2:F151),2),IF(OR(A152="",posicao_contratual!K152="",C152="",NOT(ISNUMBER($Z$3))),"",ROUND(posicao_contratual!K152*C152*$Z$3,2)))</f>
        <v/>
      </c>
      <c r="G152" s="109"/>
      <c r="H152" s="104" t="str">
        <f>IF(AND(A152="",A151&lt;&gt;"",COUNTIF(A153:$A$200,"&lt;&gt;")=0),ROUND(SUMIF($A$2:A151,"&lt;&gt;",$H$2:H151),2),IF(OR(A152="",posicao_contratual!O152="",C152="",NOT(ISNUMBER($Z$4))),"",ROUND(posicao_contratual!O152*C152*$Z$4,2)))</f>
        <v/>
      </c>
      <c r="I152" s="109"/>
      <c r="J152" s="104" t="str">
        <f>IF(AND(A152="",A151&lt;&gt;"",COUNTIF(A153:$A$200,"&lt;&gt;")=0),ROUND(SUMIF($A$2:A151,"&lt;&gt;",$J$2:J151),2),IF(OR(A152="",posicao_contratual!S152="",C152="",NOT(ISNUMBER($Z$5))),"",ROUND(posicao_contratual!S152*C152*$Z$5,2)))</f>
        <v/>
      </c>
      <c r="K152" s="109"/>
      <c r="L152" s="104" t="str">
        <f>IF(AND(A152="",A151&lt;&gt;"",COUNTIF(A153:$A$200,"&lt;&gt;")=0),ROUND(SUMIF($A$2:A151,"&lt;&gt;",$L$2:L151),2),IF(OR(A152="",posicao_contratual!W152="",C152="",NOT(ISNUMBER($Z$6))),"",ROUND(posicao_contratual!W152*C152*$Z$6,2)))</f>
        <v/>
      </c>
      <c r="M152" s="110" t="str">
        <f>IF(OR(posicao_contratual!J152="",posicao_contratual!N152=""),"",ROUND(MAX(posicao_contratual!J152+posicao_contratual!H152-posicao_contratual!N152,0),2))</f>
        <v/>
      </c>
      <c r="N152" s="104" t="str">
        <f>IF(AND(A152="",A151&lt;&gt;"",COUNTIF(A153:$A$200,"&lt;&gt;")=0),ROUND(SUMIF($A$2:A151,"&lt;&gt;",$N$2:N151),2),IF(OR(M152="",C152="",NOT(ISNUMBER($Z$3))),"",ROUND(M152*C152*$Z$3,2)))</f>
        <v/>
      </c>
      <c r="O152" s="110" t="str">
        <f>IF(OR(posicao_contratual!N152="",posicao_contratual!R152=""),"",ROUND(MAX(posicao_contratual!N152+posicao_contratual!L152-posicao_contratual!R152,0),2))</f>
        <v/>
      </c>
      <c r="P152" s="104" t="str">
        <f>IF(AND(A152="",A151&lt;&gt;"",COUNTIF(A153:$A$200,"&lt;&gt;")=0),ROUND(SUMIF($A$2:A151,"&lt;&gt;",$P$2:P151),2),IF(OR(O152="",C152="",NOT(ISNUMBER($Z$4))),"",ROUND(O152*C152*$Z$4,2)))</f>
        <v/>
      </c>
      <c r="Q152" s="110" t="str">
        <f>IF(OR(posicao_contratual!R152="",posicao_contratual!V152=""),"",ROUND(MAX(posicao_contratual!R152+posicao_contratual!P152-posicao_contratual!V152,0),2))</f>
        <v/>
      </c>
      <c r="R152" s="104" t="str">
        <f>IF(AND(A152="",A151&lt;&gt;"",COUNTIF(A153:$A$200,"&lt;&gt;")=0),ROUND(SUMIF($A$2:A151,"&lt;&gt;",$R$2:R151),2),IF(OR(Q152="",C152="",NOT(ISNUMBER($Z$5))),"",ROUND(Q152*C152*$Z$5,2)))</f>
        <v/>
      </c>
      <c r="S152" s="58"/>
      <c r="T152" s="59"/>
      <c r="U152" s="111" t="str">
        <f>IF(AND(A152="",A151&lt;&gt;"",COUNTIF(A153:$A$200,"&lt;&gt;")=0),"TOTAL",IF(A152="","",posicao_contratual!X152))</f>
        <v/>
      </c>
      <c r="V152" s="111" t="str">
        <f>IF(A152="","",posicao_contratual!X152)</f>
        <v/>
      </c>
      <c r="W152" s="15"/>
      <c r="X152" s="15"/>
      <c r="Y152" s="15"/>
      <c r="Z152" s="15"/>
      <c r="AA152" s="15"/>
      <c r="AB152" s="110" t="str">
        <f>IF(OR(A152="",posicao_contratual!E152="",posicao_contratual!J152=""),"",ROUND(MAX(posicao_contratual!E152-posicao_contratual!J152,0),2))</f>
        <v/>
      </c>
      <c r="AC152" s="104" t="str">
        <f>IF(AND(A152="",A151&lt;&gt;"",COUNTIF(A153:$A$200,"&lt;&gt;")=0),ROUND(SUMIF($A$2:A151,"&lt;&gt;",$AC$2:AC151),2),IF(OR(AB152="",C152="",NOT(ISNUMBER($Z$2))),"",ROUND(AB152*C152*$Z$2,2)))</f>
        <v/>
      </c>
      <c r="AD152" s="180" t="str">
        <f>IF(A152="","",posicao_contratual!E152)</f>
        <v/>
      </c>
      <c r="AE152" s="180" t="str">
        <f>IF(A152="","",posicao_contratual!I152)</f>
        <v/>
      </c>
      <c r="AF152" s="180" t="str">
        <f>IF(A152="","",posicao_contratual!M152)</f>
        <v/>
      </c>
      <c r="AG152" s="180" t="str">
        <f>IF(A152="","",posicao_contratual!Q152)</f>
        <v/>
      </c>
      <c r="AH152" s="180" t="str">
        <f>IF(A152="","",posicao_contratual!U152)</f>
        <v/>
      </c>
      <c r="AI152" s="180" t="str">
        <f>IF(A152="","",posicao_contratual!G152)</f>
        <v/>
      </c>
      <c r="AJ152" s="180" t="str">
        <f>IF(A152="","",posicao_contratual!K152)</f>
        <v/>
      </c>
      <c r="AK152" s="180" t="str">
        <f>IF(A152="","",posicao_contratual!O152)</f>
        <v/>
      </c>
      <c r="AL152" s="180" t="str">
        <f>IF(A152="","",posicao_contratual!S152)</f>
        <v/>
      </c>
      <c r="AM152" s="180" t="str">
        <f>IF(A152="","",posicao_contratual!W152)</f>
        <v/>
      </c>
      <c r="AN152" s="181" t="str">
        <f>IF(A152="","",posicao_contratual!X152)</f>
        <v/>
      </c>
    </row>
    <row r="153" spans="1:40" x14ac:dyDescent="0.35">
      <c r="A153" s="106"/>
      <c r="B153" s="107"/>
      <c r="C153" s="108"/>
      <c r="D153" s="104" t="str">
        <f>IF(AND(A153="",A152&lt;&gt;"",COUNTIF(A154:$A$200,"&lt;&gt;")=0),ROUND(SUMIF($A$2:A152,"&lt;&gt;",$D$2:D152),2),IF(OR(A153="",B153="",C153=""),"",ROUND(B153*C153,2)))</f>
        <v/>
      </c>
      <c r="E153" s="109"/>
      <c r="F153" s="104" t="str">
        <f>IF(AND(A153="",A152&lt;&gt;"",COUNTIF(A154:$A$200,"&lt;&gt;")=0),ROUND(SUMIF($A$2:A152,"&lt;&gt;",$F$2:F152),2),IF(OR(A153="",posicao_contratual!K153="",C153="",NOT(ISNUMBER($Z$3))),"",ROUND(posicao_contratual!K153*C153*$Z$3,2)))</f>
        <v/>
      </c>
      <c r="G153" s="109"/>
      <c r="H153" s="104" t="str">
        <f>IF(AND(A153="",A152&lt;&gt;"",COUNTIF(A154:$A$200,"&lt;&gt;")=0),ROUND(SUMIF($A$2:A152,"&lt;&gt;",$H$2:H152),2),IF(OR(A153="",posicao_contratual!O153="",C153="",NOT(ISNUMBER($Z$4))),"",ROUND(posicao_contratual!O153*C153*$Z$4,2)))</f>
        <v/>
      </c>
      <c r="I153" s="109"/>
      <c r="J153" s="104" t="str">
        <f>IF(AND(A153="",A152&lt;&gt;"",COUNTIF(A154:$A$200,"&lt;&gt;")=0),ROUND(SUMIF($A$2:A152,"&lt;&gt;",$J$2:J152),2),IF(OR(A153="",posicao_contratual!S153="",C153="",NOT(ISNUMBER($Z$5))),"",ROUND(posicao_contratual!S153*C153*$Z$5,2)))</f>
        <v/>
      </c>
      <c r="K153" s="109"/>
      <c r="L153" s="104" t="str">
        <f>IF(AND(A153="",A152&lt;&gt;"",COUNTIF(A154:$A$200,"&lt;&gt;")=0),ROUND(SUMIF($A$2:A152,"&lt;&gt;",$L$2:L152),2),IF(OR(A153="",posicao_contratual!W153="",C153="",NOT(ISNUMBER($Z$6))),"",ROUND(posicao_contratual!W153*C153*$Z$6,2)))</f>
        <v/>
      </c>
      <c r="M153" s="110" t="str">
        <f>IF(OR(posicao_contratual!J153="",posicao_contratual!N153=""),"",ROUND(MAX(posicao_contratual!J153+posicao_contratual!H153-posicao_contratual!N153,0),2))</f>
        <v/>
      </c>
      <c r="N153" s="104" t="str">
        <f>IF(AND(A153="",A152&lt;&gt;"",COUNTIF(A154:$A$200,"&lt;&gt;")=0),ROUND(SUMIF($A$2:A152,"&lt;&gt;",$N$2:N152),2),IF(OR(M153="",C153="",NOT(ISNUMBER($Z$3))),"",ROUND(M153*C153*$Z$3,2)))</f>
        <v/>
      </c>
      <c r="O153" s="110" t="str">
        <f>IF(OR(posicao_contratual!N153="",posicao_contratual!R153=""),"",ROUND(MAX(posicao_contratual!N153+posicao_contratual!L153-posicao_contratual!R153,0),2))</f>
        <v/>
      </c>
      <c r="P153" s="104" t="str">
        <f>IF(AND(A153="",A152&lt;&gt;"",COUNTIF(A154:$A$200,"&lt;&gt;")=0),ROUND(SUMIF($A$2:A152,"&lt;&gt;",$P$2:P152),2),IF(OR(O153="",C153="",NOT(ISNUMBER($Z$4))),"",ROUND(O153*C153*$Z$4,2)))</f>
        <v/>
      </c>
      <c r="Q153" s="110" t="str">
        <f>IF(OR(posicao_contratual!R153="",posicao_contratual!V153=""),"",ROUND(MAX(posicao_contratual!R153+posicao_contratual!P153-posicao_contratual!V153,0),2))</f>
        <v/>
      </c>
      <c r="R153" s="104" t="str">
        <f>IF(AND(A153="",A152&lt;&gt;"",COUNTIF(A154:$A$200,"&lt;&gt;")=0),ROUND(SUMIF($A$2:A152,"&lt;&gt;",$R$2:R152),2),IF(OR(Q153="",C153="",NOT(ISNUMBER($Z$5))),"",ROUND(Q153*C153*$Z$5,2)))</f>
        <v/>
      </c>
      <c r="S153" s="58"/>
      <c r="T153" s="59"/>
      <c r="U153" s="111" t="str">
        <f>IF(AND(A153="",A152&lt;&gt;"",COUNTIF(A154:$A$200,"&lt;&gt;")=0),"TOTAL",IF(A153="","",posicao_contratual!X153))</f>
        <v/>
      </c>
      <c r="V153" s="111" t="str">
        <f>IF(A153="","",posicao_contratual!X153)</f>
        <v/>
      </c>
      <c r="W153" s="15"/>
      <c r="X153" s="15"/>
      <c r="Y153" s="15"/>
      <c r="Z153" s="15"/>
      <c r="AA153" s="15"/>
      <c r="AB153" s="110" t="str">
        <f>IF(OR(A153="",posicao_contratual!E153="",posicao_contratual!J153=""),"",ROUND(MAX(posicao_contratual!E153-posicao_contratual!J153,0),2))</f>
        <v/>
      </c>
      <c r="AC153" s="104" t="str">
        <f>IF(AND(A153="",A152&lt;&gt;"",COUNTIF(A154:$A$200,"&lt;&gt;")=0),ROUND(SUMIF($A$2:A152,"&lt;&gt;",$AC$2:AC152),2),IF(OR(AB153="",C153="",NOT(ISNUMBER($Z$2))),"",ROUND(AB153*C153*$Z$2,2)))</f>
        <v/>
      </c>
      <c r="AD153" s="180" t="str">
        <f>IF(A153="","",posicao_contratual!E153)</f>
        <v/>
      </c>
      <c r="AE153" s="180" t="str">
        <f>IF(A153="","",posicao_contratual!I153)</f>
        <v/>
      </c>
      <c r="AF153" s="180" t="str">
        <f>IF(A153="","",posicao_contratual!M153)</f>
        <v/>
      </c>
      <c r="AG153" s="180" t="str">
        <f>IF(A153="","",posicao_contratual!Q153)</f>
        <v/>
      </c>
      <c r="AH153" s="180" t="str">
        <f>IF(A153="","",posicao_contratual!U153)</f>
        <v/>
      </c>
      <c r="AI153" s="180" t="str">
        <f>IF(A153="","",posicao_contratual!G153)</f>
        <v/>
      </c>
      <c r="AJ153" s="180" t="str">
        <f>IF(A153="","",posicao_contratual!K153)</f>
        <v/>
      </c>
      <c r="AK153" s="180" t="str">
        <f>IF(A153="","",posicao_contratual!O153)</f>
        <v/>
      </c>
      <c r="AL153" s="180" t="str">
        <f>IF(A153="","",posicao_contratual!S153)</f>
        <v/>
      </c>
      <c r="AM153" s="180" t="str">
        <f>IF(A153="","",posicao_contratual!W153)</f>
        <v/>
      </c>
      <c r="AN153" s="181" t="str">
        <f>IF(A153="","",posicao_contratual!X153)</f>
        <v/>
      </c>
    </row>
    <row r="154" spans="1:40" x14ac:dyDescent="0.35">
      <c r="A154" s="106"/>
      <c r="B154" s="107"/>
      <c r="C154" s="108"/>
      <c r="D154" s="104" t="str">
        <f>IF(AND(A154="",A153&lt;&gt;"",COUNTIF(A155:$A$200,"&lt;&gt;")=0),ROUND(SUMIF($A$2:A153,"&lt;&gt;",$D$2:D153),2),IF(OR(A154="",B154="",C154=""),"",ROUND(B154*C154,2)))</f>
        <v/>
      </c>
      <c r="E154" s="109"/>
      <c r="F154" s="104" t="str">
        <f>IF(AND(A154="",A153&lt;&gt;"",COUNTIF(A155:$A$200,"&lt;&gt;")=0),ROUND(SUMIF($A$2:A153,"&lt;&gt;",$F$2:F153),2),IF(OR(A154="",posicao_contratual!K154="",C154="",NOT(ISNUMBER($Z$3))),"",ROUND(posicao_contratual!K154*C154*$Z$3,2)))</f>
        <v/>
      </c>
      <c r="G154" s="109"/>
      <c r="H154" s="104" t="str">
        <f>IF(AND(A154="",A153&lt;&gt;"",COUNTIF(A155:$A$200,"&lt;&gt;")=0),ROUND(SUMIF($A$2:A153,"&lt;&gt;",$H$2:H153),2),IF(OR(A154="",posicao_contratual!O154="",C154="",NOT(ISNUMBER($Z$4))),"",ROUND(posicao_contratual!O154*C154*$Z$4,2)))</f>
        <v/>
      </c>
      <c r="I154" s="109"/>
      <c r="J154" s="104" t="str">
        <f>IF(AND(A154="",A153&lt;&gt;"",COUNTIF(A155:$A$200,"&lt;&gt;")=0),ROUND(SUMIF($A$2:A153,"&lt;&gt;",$J$2:J153),2),IF(OR(A154="",posicao_contratual!S154="",C154="",NOT(ISNUMBER($Z$5))),"",ROUND(posicao_contratual!S154*C154*$Z$5,2)))</f>
        <v/>
      </c>
      <c r="K154" s="109"/>
      <c r="L154" s="104" t="str">
        <f>IF(AND(A154="",A153&lt;&gt;"",COUNTIF(A155:$A$200,"&lt;&gt;")=0),ROUND(SUMIF($A$2:A153,"&lt;&gt;",$L$2:L153),2),IF(OR(A154="",posicao_contratual!W154="",C154="",NOT(ISNUMBER($Z$6))),"",ROUND(posicao_contratual!W154*C154*$Z$6,2)))</f>
        <v/>
      </c>
      <c r="M154" s="110" t="str">
        <f>IF(OR(posicao_contratual!J154="",posicao_contratual!N154=""),"",ROUND(MAX(posicao_contratual!J154+posicao_contratual!H154-posicao_contratual!N154,0),2))</f>
        <v/>
      </c>
      <c r="N154" s="104" t="str">
        <f>IF(AND(A154="",A153&lt;&gt;"",COUNTIF(A155:$A$200,"&lt;&gt;")=0),ROUND(SUMIF($A$2:A153,"&lt;&gt;",$N$2:N153),2),IF(OR(M154="",C154="",NOT(ISNUMBER($Z$3))),"",ROUND(M154*C154*$Z$3,2)))</f>
        <v/>
      </c>
      <c r="O154" s="110" t="str">
        <f>IF(OR(posicao_contratual!N154="",posicao_contratual!R154=""),"",ROUND(MAX(posicao_contratual!N154+posicao_contratual!L154-posicao_contratual!R154,0),2))</f>
        <v/>
      </c>
      <c r="P154" s="104" t="str">
        <f>IF(AND(A154="",A153&lt;&gt;"",COUNTIF(A155:$A$200,"&lt;&gt;")=0),ROUND(SUMIF($A$2:A153,"&lt;&gt;",$P$2:P153),2),IF(OR(O154="",C154="",NOT(ISNUMBER($Z$4))),"",ROUND(O154*C154*$Z$4,2)))</f>
        <v/>
      </c>
      <c r="Q154" s="110" t="str">
        <f>IF(OR(posicao_contratual!R154="",posicao_contratual!V154=""),"",ROUND(MAX(posicao_contratual!R154+posicao_contratual!P154-posicao_contratual!V154,0),2))</f>
        <v/>
      </c>
      <c r="R154" s="104" t="str">
        <f>IF(AND(A154="",A153&lt;&gt;"",COUNTIF(A155:$A$200,"&lt;&gt;")=0),ROUND(SUMIF($A$2:A153,"&lt;&gt;",$R$2:R153),2),IF(OR(Q154="",C154="",NOT(ISNUMBER($Z$5))),"",ROUND(Q154*C154*$Z$5,2)))</f>
        <v/>
      </c>
      <c r="S154" s="58"/>
      <c r="T154" s="59"/>
      <c r="U154" s="111" t="str">
        <f>IF(AND(A154="",A153&lt;&gt;"",COUNTIF(A155:$A$200,"&lt;&gt;")=0),"TOTAL",IF(A154="","",posicao_contratual!X154))</f>
        <v/>
      </c>
      <c r="V154" s="111" t="str">
        <f>IF(A154="","",posicao_contratual!X154)</f>
        <v/>
      </c>
      <c r="W154" s="15"/>
      <c r="X154" s="15"/>
      <c r="Y154" s="15"/>
      <c r="Z154" s="15"/>
      <c r="AA154" s="15"/>
      <c r="AB154" s="110" t="str">
        <f>IF(OR(A154="",posicao_contratual!E154="",posicao_contratual!J154=""),"",ROUND(MAX(posicao_contratual!E154-posicao_contratual!J154,0),2))</f>
        <v/>
      </c>
      <c r="AC154" s="104" t="str">
        <f>IF(AND(A154="",A153&lt;&gt;"",COUNTIF(A155:$A$200,"&lt;&gt;")=0),ROUND(SUMIF($A$2:A153,"&lt;&gt;",$AC$2:AC153),2),IF(OR(AB154="",C154="",NOT(ISNUMBER($Z$2))),"",ROUND(AB154*C154*$Z$2,2)))</f>
        <v/>
      </c>
      <c r="AD154" s="180" t="str">
        <f>IF(A154="","",posicao_contratual!E154)</f>
        <v/>
      </c>
      <c r="AE154" s="180" t="str">
        <f>IF(A154="","",posicao_contratual!I154)</f>
        <v/>
      </c>
      <c r="AF154" s="180" t="str">
        <f>IF(A154="","",posicao_contratual!M154)</f>
        <v/>
      </c>
      <c r="AG154" s="180" t="str">
        <f>IF(A154="","",posicao_contratual!Q154)</f>
        <v/>
      </c>
      <c r="AH154" s="180" t="str">
        <f>IF(A154="","",posicao_contratual!U154)</f>
        <v/>
      </c>
      <c r="AI154" s="180" t="str">
        <f>IF(A154="","",posicao_contratual!G154)</f>
        <v/>
      </c>
      <c r="AJ154" s="180" t="str">
        <f>IF(A154="","",posicao_contratual!K154)</f>
        <v/>
      </c>
      <c r="AK154" s="180" t="str">
        <f>IF(A154="","",posicao_contratual!O154)</f>
        <v/>
      </c>
      <c r="AL154" s="180" t="str">
        <f>IF(A154="","",posicao_contratual!S154)</f>
        <v/>
      </c>
      <c r="AM154" s="180" t="str">
        <f>IF(A154="","",posicao_contratual!W154)</f>
        <v/>
      </c>
      <c r="AN154" s="181" t="str">
        <f>IF(A154="","",posicao_contratual!X154)</f>
        <v/>
      </c>
    </row>
    <row r="155" spans="1:40" x14ac:dyDescent="0.35">
      <c r="A155" s="106"/>
      <c r="B155" s="107"/>
      <c r="C155" s="108"/>
      <c r="D155" s="104" t="str">
        <f>IF(AND(A155="",A154&lt;&gt;"",COUNTIF(A156:$A$200,"&lt;&gt;")=0),ROUND(SUMIF($A$2:A154,"&lt;&gt;",$D$2:D154),2),IF(OR(A155="",B155="",C155=""),"",ROUND(B155*C155,2)))</f>
        <v/>
      </c>
      <c r="E155" s="109"/>
      <c r="F155" s="104" t="str">
        <f>IF(AND(A155="",A154&lt;&gt;"",COUNTIF(A156:$A$200,"&lt;&gt;")=0),ROUND(SUMIF($A$2:A154,"&lt;&gt;",$F$2:F154),2),IF(OR(A155="",posicao_contratual!K155="",C155="",NOT(ISNUMBER($Z$3))),"",ROUND(posicao_contratual!K155*C155*$Z$3,2)))</f>
        <v/>
      </c>
      <c r="G155" s="109"/>
      <c r="H155" s="104" t="str">
        <f>IF(AND(A155="",A154&lt;&gt;"",COUNTIF(A156:$A$200,"&lt;&gt;")=0),ROUND(SUMIF($A$2:A154,"&lt;&gt;",$H$2:H154),2),IF(OR(A155="",posicao_contratual!O155="",C155="",NOT(ISNUMBER($Z$4))),"",ROUND(posicao_contratual!O155*C155*$Z$4,2)))</f>
        <v/>
      </c>
      <c r="I155" s="109"/>
      <c r="J155" s="104" t="str">
        <f>IF(AND(A155="",A154&lt;&gt;"",COUNTIF(A156:$A$200,"&lt;&gt;")=0),ROUND(SUMIF($A$2:A154,"&lt;&gt;",$J$2:J154),2),IF(OR(A155="",posicao_contratual!S155="",C155="",NOT(ISNUMBER($Z$5))),"",ROUND(posicao_contratual!S155*C155*$Z$5,2)))</f>
        <v/>
      </c>
      <c r="K155" s="109"/>
      <c r="L155" s="104" t="str">
        <f>IF(AND(A155="",A154&lt;&gt;"",COUNTIF(A156:$A$200,"&lt;&gt;")=0),ROUND(SUMIF($A$2:A154,"&lt;&gt;",$L$2:L154),2),IF(OR(A155="",posicao_contratual!W155="",C155="",NOT(ISNUMBER($Z$6))),"",ROUND(posicao_contratual!W155*C155*$Z$6,2)))</f>
        <v/>
      </c>
      <c r="M155" s="110" t="str">
        <f>IF(OR(posicao_contratual!J155="",posicao_contratual!N155=""),"",ROUND(MAX(posicao_contratual!J155+posicao_contratual!H155-posicao_contratual!N155,0),2))</f>
        <v/>
      </c>
      <c r="N155" s="104" t="str">
        <f>IF(AND(A155="",A154&lt;&gt;"",COUNTIF(A156:$A$200,"&lt;&gt;")=0),ROUND(SUMIF($A$2:A154,"&lt;&gt;",$N$2:N154),2),IF(OR(M155="",C155="",NOT(ISNUMBER($Z$3))),"",ROUND(M155*C155*$Z$3,2)))</f>
        <v/>
      </c>
      <c r="O155" s="110" t="str">
        <f>IF(OR(posicao_contratual!N155="",posicao_contratual!R155=""),"",ROUND(MAX(posicao_contratual!N155+posicao_contratual!L155-posicao_contratual!R155,0),2))</f>
        <v/>
      </c>
      <c r="P155" s="104" t="str">
        <f>IF(AND(A155="",A154&lt;&gt;"",COUNTIF(A156:$A$200,"&lt;&gt;")=0),ROUND(SUMIF($A$2:A154,"&lt;&gt;",$P$2:P154),2),IF(OR(O155="",C155="",NOT(ISNUMBER($Z$4))),"",ROUND(O155*C155*$Z$4,2)))</f>
        <v/>
      </c>
      <c r="Q155" s="110" t="str">
        <f>IF(OR(posicao_contratual!R155="",posicao_contratual!V155=""),"",ROUND(MAX(posicao_contratual!R155+posicao_contratual!P155-posicao_contratual!V155,0),2))</f>
        <v/>
      </c>
      <c r="R155" s="104" t="str">
        <f>IF(AND(A155="",A154&lt;&gt;"",COUNTIF(A156:$A$200,"&lt;&gt;")=0),ROUND(SUMIF($A$2:A154,"&lt;&gt;",$R$2:R154),2),IF(OR(Q155="",C155="",NOT(ISNUMBER($Z$5))),"",ROUND(Q155*C155*$Z$5,2)))</f>
        <v/>
      </c>
      <c r="S155" s="58"/>
      <c r="T155" s="59"/>
      <c r="U155" s="111" t="str">
        <f>IF(AND(A155="",A154&lt;&gt;"",COUNTIF(A156:$A$200,"&lt;&gt;")=0),"TOTAL",IF(A155="","",posicao_contratual!X155))</f>
        <v/>
      </c>
      <c r="V155" s="111" t="str">
        <f>IF(A155="","",posicao_contratual!X155)</f>
        <v/>
      </c>
      <c r="W155" s="15"/>
      <c r="X155" s="15"/>
      <c r="Y155" s="15"/>
      <c r="Z155" s="15"/>
      <c r="AA155" s="15"/>
      <c r="AB155" s="110" t="str">
        <f>IF(OR(A155="",posicao_contratual!E155="",posicao_contratual!J155=""),"",ROUND(MAX(posicao_contratual!E155-posicao_contratual!J155,0),2))</f>
        <v/>
      </c>
      <c r="AC155" s="104" t="str">
        <f>IF(AND(A155="",A154&lt;&gt;"",COUNTIF(A156:$A$200,"&lt;&gt;")=0),ROUND(SUMIF($A$2:A154,"&lt;&gt;",$AC$2:AC154),2),IF(OR(AB155="",C155="",NOT(ISNUMBER($Z$2))),"",ROUND(AB155*C155*$Z$2,2)))</f>
        <v/>
      </c>
      <c r="AD155" s="180" t="str">
        <f>IF(A155="","",posicao_contratual!E155)</f>
        <v/>
      </c>
      <c r="AE155" s="180" t="str">
        <f>IF(A155="","",posicao_contratual!I155)</f>
        <v/>
      </c>
      <c r="AF155" s="180" t="str">
        <f>IF(A155="","",posicao_contratual!M155)</f>
        <v/>
      </c>
      <c r="AG155" s="180" t="str">
        <f>IF(A155="","",posicao_contratual!Q155)</f>
        <v/>
      </c>
      <c r="AH155" s="180" t="str">
        <f>IF(A155="","",posicao_contratual!U155)</f>
        <v/>
      </c>
      <c r="AI155" s="180" t="str">
        <f>IF(A155="","",posicao_contratual!G155)</f>
        <v/>
      </c>
      <c r="AJ155" s="180" t="str">
        <f>IF(A155="","",posicao_contratual!K155)</f>
        <v/>
      </c>
      <c r="AK155" s="180" t="str">
        <f>IF(A155="","",posicao_contratual!O155)</f>
        <v/>
      </c>
      <c r="AL155" s="180" t="str">
        <f>IF(A155="","",posicao_contratual!S155)</f>
        <v/>
      </c>
      <c r="AM155" s="180" t="str">
        <f>IF(A155="","",posicao_contratual!W155)</f>
        <v/>
      </c>
      <c r="AN155" s="181" t="str">
        <f>IF(A155="","",posicao_contratual!X155)</f>
        <v/>
      </c>
    </row>
    <row r="156" spans="1:40" x14ac:dyDescent="0.35">
      <c r="A156" s="106"/>
      <c r="B156" s="107"/>
      <c r="C156" s="108"/>
      <c r="D156" s="104" t="str">
        <f>IF(AND(A156="",A155&lt;&gt;"",COUNTIF(A157:$A$200,"&lt;&gt;")=0),ROUND(SUMIF($A$2:A155,"&lt;&gt;",$D$2:D155),2),IF(OR(A156="",B156="",C156=""),"",ROUND(B156*C156,2)))</f>
        <v/>
      </c>
      <c r="E156" s="109"/>
      <c r="F156" s="104" t="str">
        <f>IF(AND(A156="",A155&lt;&gt;"",COUNTIF(A157:$A$200,"&lt;&gt;")=0),ROUND(SUMIF($A$2:A155,"&lt;&gt;",$F$2:F155),2),IF(OR(A156="",posicao_contratual!K156="",C156="",NOT(ISNUMBER($Z$3))),"",ROUND(posicao_contratual!K156*C156*$Z$3,2)))</f>
        <v/>
      </c>
      <c r="G156" s="109"/>
      <c r="H156" s="104" t="str">
        <f>IF(AND(A156="",A155&lt;&gt;"",COUNTIF(A157:$A$200,"&lt;&gt;")=0),ROUND(SUMIF($A$2:A155,"&lt;&gt;",$H$2:H155),2),IF(OR(A156="",posicao_contratual!O156="",C156="",NOT(ISNUMBER($Z$4))),"",ROUND(posicao_contratual!O156*C156*$Z$4,2)))</f>
        <v/>
      </c>
      <c r="I156" s="109"/>
      <c r="J156" s="104" t="str">
        <f>IF(AND(A156="",A155&lt;&gt;"",COUNTIF(A157:$A$200,"&lt;&gt;")=0),ROUND(SUMIF($A$2:A155,"&lt;&gt;",$J$2:J155),2),IF(OR(A156="",posicao_contratual!S156="",C156="",NOT(ISNUMBER($Z$5))),"",ROUND(posicao_contratual!S156*C156*$Z$5,2)))</f>
        <v/>
      </c>
      <c r="K156" s="109"/>
      <c r="L156" s="104" t="str">
        <f>IF(AND(A156="",A155&lt;&gt;"",COUNTIF(A157:$A$200,"&lt;&gt;")=0),ROUND(SUMIF($A$2:A155,"&lt;&gt;",$L$2:L155),2),IF(OR(A156="",posicao_contratual!W156="",C156="",NOT(ISNUMBER($Z$6))),"",ROUND(posicao_contratual!W156*C156*$Z$6,2)))</f>
        <v/>
      </c>
      <c r="M156" s="110" t="str">
        <f>IF(OR(posicao_contratual!J156="",posicao_contratual!N156=""),"",ROUND(MAX(posicao_contratual!J156+posicao_contratual!H156-posicao_contratual!N156,0),2))</f>
        <v/>
      </c>
      <c r="N156" s="104" t="str">
        <f>IF(AND(A156="",A155&lt;&gt;"",COUNTIF(A157:$A$200,"&lt;&gt;")=0),ROUND(SUMIF($A$2:A155,"&lt;&gt;",$N$2:N155),2),IF(OR(M156="",C156="",NOT(ISNUMBER($Z$3))),"",ROUND(M156*C156*$Z$3,2)))</f>
        <v/>
      </c>
      <c r="O156" s="110" t="str">
        <f>IF(OR(posicao_contratual!N156="",posicao_contratual!R156=""),"",ROUND(MAX(posicao_contratual!N156+posicao_contratual!L156-posicao_contratual!R156,0),2))</f>
        <v/>
      </c>
      <c r="P156" s="104" t="str">
        <f>IF(AND(A156="",A155&lt;&gt;"",COUNTIF(A157:$A$200,"&lt;&gt;")=0),ROUND(SUMIF($A$2:A155,"&lt;&gt;",$P$2:P155),2),IF(OR(O156="",C156="",NOT(ISNUMBER($Z$4))),"",ROUND(O156*C156*$Z$4,2)))</f>
        <v/>
      </c>
      <c r="Q156" s="110" t="str">
        <f>IF(OR(posicao_contratual!R156="",posicao_contratual!V156=""),"",ROUND(MAX(posicao_contratual!R156+posicao_contratual!P156-posicao_contratual!V156,0),2))</f>
        <v/>
      </c>
      <c r="R156" s="104" t="str">
        <f>IF(AND(A156="",A155&lt;&gt;"",COUNTIF(A157:$A$200,"&lt;&gt;")=0),ROUND(SUMIF($A$2:A155,"&lt;&gt;",$R$2:R155),2),IF(OR(Q156="",C156="",NOT(ISNUMBER($Z$5))),"",ROUND(Q156*C156*$Z$5,2)))</f>
        <v/>
      </c>
      <c r="S156" s="58"/>
      <c r="T156" s="59"/>
      <c r="U156" s="111" t="str">
        <f>IF(AND(A156="",A155&lt;&gt;"",COUNTIF(A157:$A$200,"&lt;&gt;")=0),"TOTAL",IF(A156="","",posicao_contratual!X156))</f>
        <v/>
      </c>
      <c r="V156" s="111" t="str">
        <f>IF(A156="","",posicao_contratual!X156)</f>
        <v/>
      </c>
      <c r="W156" s="15"/>
      <c r="X156" s="15"/>
      <c r="Y156" s="15"/>
      <c r="Z156" s="15"/>
      <c r="AA156" s="15"/>
      <c r="AB156" s="110" t="str">
        <f>IF(OR(A156="",posicao_contratual!E156="",posicao_contratual!J156=""),"",ROUND(MAX(posicao_contratual!E156-posicao_contratual!J156,0),2))</f>
        <v/>
      </c>
      <c r="AC156" s="104" t="str">
        <f>IF(AND(A156="",A155&lt;&gt;"",COUNTIF(A157:$A$200,"&lt;&gt;")=0),ROUND(SUMIF($A$2:A155,"&lt;&gt;",$AC$2:AC155),2),IF(OR(AB156="",C156="",NOT(ISNUMBER($Z$2))),"",ROUND(AB156*C156*$Z$2,2)))</f>
        <v/>
      </c>
      <c r="AD156" s="180" t="str">
        <f>IF(A156="","",posicao_contratual!E156)</f>
        <v/>
      </c>
      <c r="AE156" s="180" t="str">
        <f>IF(A156="","",posicao_contratual!I156)</f>
        <v/>
      </c>
      <c r="AF156" s="180" t="str">
        <f>IF(A156="","",posicao_contratual!M156)</f>
        <v/>
      </c>
      <c r="AG156" s="180" t="str">
        <f>IF(A156="","",posicao_contratual!Q156)</f>
        <v/>
      </c>
      <c r="AH156" s="180" t="str">
        <f>IF(A156="","",posicao_contratual!U156)</f>
        <v/>
      </c>
      <c r="AI156" s="180" t="str">
        <f>IF(A156="","",posicao_contratual!G156)</f>
        <v/>
      </c>
      <c r="AJ156" s="180" t="str">
        <f>IF(A156="","",posicao_contratual!K156)</f>
        <v/>
      </c>
      <c r="AK156" s="180" t="str">
        <f>IF(A156="","",posicao_contratual!O156)</f>
        <v/>
      </c>
      <c r="AL156" s="180" t="str">
        <f>IF(A156="","",posicao_contratual!S156)</f>
        <v/>
      </c>
      <c r="AM156" s="180" t="str">
        <f>IF(A156="","",posicao_contratual!W156)</f>
        <v/>
      </c>
      <c r="AN156" s="181" t="str">
        <f>IF(A156="","",posicao_contratual!X156)</f>
        <v/>
      </c>
    </row>
    <row r="157" spans="1:40" x14ac:dyDescent="0.35">
      <c r="A157" s="106"/>
      <c r="B157" s="107"/>
      <c r="C157" s="108"/>
      <c r="D157" s="104" t="str">
        <f>IF(AND(A157="",A156&lt;&gt;"",COUNTIF(A158:$A$200,"&lt;&gt;")=0),ROUND(SUMIF($A$2:A156,"&lt;&gt;",$D$2:D156),2),IF(OR(A157="",B157="",C157=""),"",ROUND(B157*C157,2)))</f>
        <v/>
      </c>
      <c r="E157" s="109"/>
      <c r="F157" s="104" t="str">
        <f>IF(AND(A157="",A156&lt;&gt;"",COUNTIF(A158:$A$200,"&lt;&gt;")=0),ROUND(SUMIF($A$2:A156,"&lt;&gt;",$F$2:F156),2),IF(OR(A157="",posicao_contratual!K157="",C157="",NOT(ISNUMBER($Z$3))),"",ROUND(posicao_contratual!K157*C157*$Z$3,2)))</f>
        <v/>
      </c>
      <c r="G157" s="109"/>
      <c r="H157" s="104" t="str">
        <f>IF(AND(A157="",A156&lt;&gt;"",COUNTIF(A158:$A$200,"&lt;&gt;")=0),ROUND(SUMIF($A$2:A156,"&lt;&gt;",$H$2:H156),2),IF(OR(A157="",posicao_contratual!O157="",C157="",NOT(ISNUMBER($Z$4))),"",ROUND(posicao_contratual!O157*C157*$Z$4,2)))</f>
        <v/>
      </c>
      <c r="I157" s="109"/>
      <c r="J157" s="104" t="str">
        <f>IF(AND(A157="",A156&lt;&gt;"",COUNTIF(A158:$A$200,"&lt;&gt;")=0),ROUND(SUMIF($A$2:A156,"&lt;&gt;",$J$2:J156),2),IF(OR(A157="",posicao_contratual!S157="",C157="",NOT(ISNUMBER($Z$5))),"",ROUND(posicao_contratual!S157*C157*$Z$5,2)))</f>
        <v/>
      </c>
      <c r="K157" s="109"/>
      <c r="L157" s="104" t="str">
        <f>IF(AND(A157="",A156&lt;&gt;"",COUNTIF(A158:$A$200,"&lt;&gt;")=0),ROUND(SUMIF($A$2:A156,"&lt;&gt;",$L$2:L156),2),IF(OR(A157="",posicao_contratual!W157="",C157="",NOT(ISNUMBER($Z$6))),"",ROUND(posicao_contratual!W157*C157*$Z$6,2)))</f>
        <v/>
      </c>
      <c r="M157" s="110" t="str">
        <f>IF(OR(posicao_contratual!J157="",posicao_contratual!N157=""),"",ROUND(MAX(posicao_contratual!J157+posicao_contratual!H157-posicao_contratual!N157,0),2))</f>
        <v/>
      </c>
      <c r="N157" s="104" t="str">
        <f>IF(AND(A157="",A156&lt;&gt;"",COUNTIF(A158:$A$200,"&lt;&gt;")=0),ROUND(SUMIF($A$2:A156,"&lt;&gt;",$N$2:N156),2),IF(OR(M157="",C157="",NOT(ISNUMBER($Z$3))),"",ROUND(M157*C157*$Z$3,2)))</f>
        <v/>
      </c>
      <c r="O157" s="110" t="str">
        <f>IF(OR(posicao_contratual!N157="",posicao_contratual!R157=""),"",ROUND(MAX(posicao_contratual!N157+posicao_contratual!L157-posicao_contratual!R157,0),2))</f>
        <v/>
      </c>
      <c r="P157" s="104" t="str">
        <f>IF(AND(A157="",A156&lt;&gt;"",COUNTIF(A158:$A$200,"&lt;&gt;")=0),ROUND(SUMIF($A$2:A156,"&lt;&gt;",$P$2:P156),2),IF(OR(O157="",C157="",NOT(ISNUMBER($Z$4))),"",ROUND(O157*C157*$Z$4,2)))</f>
        <v/>
      </c>
      <c r="Q157" s="110" t="str">
        <f>IF(OR(posicao_contratual!R157="",posicao_contratual!V157=""),"",ROUND(MAX(posicao_contratual!R157+posicao_contratual!P157-posicao_contratual!V157,0),2))</f>
        <v/>
      </c>
      <c r="R157" s="104" t="str">
        <f>IF(AND(A157="",A156&lt;&gt;"",COUNTIF(A158:$A$200,"&lt;&gt;")=0),ROUND(SUMIF($A$2:A156,"&lt;&gt;",$R$2:R156),2),IF(OR(Q157="",C157="",NOT(ISNUMBER($Z$5))),"",ROUND(Q157*C157*$Z$5,2)))</f>
        <v/>
      </c>
      <c r="S157" s="58"/>
      <c r="T157" s="59"/>
      <c r="U157" s="111" t="str">
        <f>IF(AND(A157="",A156&lt;&gt;"",COUNTIF(A158:$A$200,"&lt;&gt;")=0),"TOTAL",IF(A157="","",posicao_contratual!X157))</f>
        <v/>
      </c>
      <c r="V157" s="111" t="str">
        <f>IF(A157="","",posicao_contratual!X157)</f>
        <v/>
      </c>
      <c r="W157" s="15"/>
      <c r="X157" s="15"/>
      <c r="Y157" s="15"/>
      <c r="Z157" s="15"/>
      <c r="AA157" s="15"/>
      <c r="AB157" s="110" t="str">
        <f>IF(OR(A157="",posicao_contratual!E157="",posicao_contratual!J157=""),"",ROUND(MAX(posicao_contratual!E157-posicao_contratual!J157,0),2))</f>
        <v/>
      </c>
      <c r="AC157" s="104" t="str">
        <f>IF(AND(A157="",A156&lt;&gt;"",COUNTIF(A158:$A$200,"&lt;&gt;")=0),ROUND(SUMIF($A$2:A156,"&lt;&gt;",$AC$2:AC156),2),IF(OR(AB157="",C157="",NOT(ISNUMBER($Z$2))),"",ROUND(AB157*C157*$Z$2,2)))</f>
        <v/>
      </c>
      <c r="AD157" s="180" t="str">
        <f>IF(A157="","",posicao_contratual!E157)</f>
        <v/>
      </c>
      <c r="AE157" s="180" t="str">
        <f>IF(A157="","",posicao_contratual!I157)</f>
        <v/>
      </c>
      <c r="AF157" s="180" t="str">
        <f>IF(A157="","",posicao_contratual!M157)</f>
        <v/>
      </c>
      <c r="AG157" s="180" t="str">
        <f>IF(A157="","",posicao_contratual!Q157)</f>
        <v/>
      </c>
      <c r="AH157" s="180" t="str">
        <f>IF(A157="","",posicao_contratual!U157)</f>
        <v/>
      </c>
      <c r="AI157" s="180" t="str">
        <f>IF(A157="","",posicao_contratual!G157)</f>
        <v/>
      </c>
      <c r="AJ157" s="180" t="str">
        <f>IF(A157="","",posicao_contratual!K157)</f>
        <v/>
      </c>
      <c r="AK157" s="180" t="str">
        <f>IF(A157="","",posicao_contratual!O157)</f>
        <v/>
      </c>
      <c r="AL157" s="180" t="str">
        <f>IF(A157="","",posicao_contratual!S157)</f>
        <v/>
      </c>
      <c r="AM157" s="180" t="str">
        <f>IF(A157="","",posicao_contratual!W157)</f>
        <v/>
      </c>
      <c r="AN157" s="181" t="str">
        <f>IF(A157="","",posicao_contratual!X157)</f>
        <v/>
      </c>
    </row>
    <row r="158" spans="1:40" x14ac:dyDescent="0.35">
      <c r="A158" s="106"/>
      <c r="B158" s="107"/>
      <c r="C158" s="108"/>
      <c r="D158" s="104" t="str">
        <f>IF(AND(A158="",A157&lt;&gt;"",COUNTIF(A159:$A$200,"&lt;&gt;")=0),ROUND(SUMIF($A$2:A157,"&lt;&gt;",$D$2:D157),2),IF(OR(A158="",B158="",C158=""),"",ROUND(B158*C158,2)))</f>
        <v/>
      </c>
      <c r="E158" s="109"/>
      <c r="F158" s="104" t="str">
        <f>IF(AND(A158="",A157&lt;&gt;"",COUNTIF(A159:$A$200,"&lt;&gt;")=0),ROUND(SUMIF($A$2:A157,"&lt;&gt;",$F$2:F157),2),IF(OR(A158="",posicao_contratual!K158="",C158="",NOT(ISNUMBER($Z$3))),"",ROUND(posicao_contratual!K158*C158*$Z$3,2)))</f>
        <v/>
      </c>
      <c r="G158" s="109"/>
      <c r="H158" s="104" t="str">
        <f>IF(AND(A158="",A157&lt;&gt;"",COUNTIF(A159:$A$200,"&lt;&gt;")=0),ROUND(SUMIF($A$2:A157,"&lt;&gt;",$H$2:H157),2),IF(OR(A158="",posicao_contratual!O158="",C158="",NOT(ISNUMBER($Z$4))),"",ROUND(posicao_contratual!O158*C158*$Z$4,2)))</f>
        <v/>
      </c>
      <c r="I158" s="109"/>
      <c r="J158" s="104" t="str">
        <f>IF(AND(A158="",A157&lt;&gt;"",COUNTIF(A159:$A$200,"&lt;&gt;")=0),ROUND(SUMIF($A$2:A157,"&lt;&gt;",$J$2:J157),2),IF(OR(A158="",posicao_contratual!S158="",C158="",NOT(ISNUMBER($Z$5))),"",ROUND(posicao_contratual!S158*C158*$Z$5,2)))</f>
        <v/>
      </c>
      <c r="K158" s="109"/>
      <c r="L158" s="104" t="str">
        <f>IF(AND(A158="",A157&lt;&gt;"",COUNTIF(A159:$A$200,"&lt;&gt;")=0),ROUND(SUMIF($A$2:A157,"&lt;&gt;",$L$2:L157),2),IF(OR(A158="",posicao_contratual!W158="",C158="",NOT(ISNUMBER($Z$6))),"",ROUND(posicao_contratual!W158*C158*$Z$6,2)))</f>
        <v/>
      </c>
      <c r="M158" s="110" t="str">
        <f>IF(OR(posicao_contratual!J158="",posicao_contratual!N158=""),"",ROUND(MAX(posicao_contratual!J158+posicao_contratual!H158-posicao_contratual!N158,0),2))</f>
        <v/>
      </c>
      <c r="N158" s="104" t="str">
        <f>IF(AND(A158="",A157&lt;&gt;"",COUNTIF(A159:$A$200,"&lt;&gt;")=0),ROUND(SUMIF($A$2:A157,"&lt;&gt;",$N$2:N157),2),IF(OR(M158="",C158="",NOT(ISNUMBER($Z$3))),"",ROUND(M158*C158*$Z$3,2)))</f>
        <v/>
      </c>
      <c r="O158" s="110" t="str">
        <f>IF(OR(posicao_contratual!N158="",posicao_contratual!R158=""),"",ROUND(MAX(posicao_contratual!N158+posicao_contratual!L158-posicao_contratual!R158,0),2))</f>
        <v/>
      </c>
      <c r="P158" s="104" t="str">
        <f>IF(AND(A158="",A157&lt;&gt;"",COUNTIF(A159:$A$200,"&lt;&gt;")=0),ROUND(SUMIF($A$2:A157,"&lt;&gt;",$P$2:P157),2),IF(OR(O158="",C158="",NOT(ISNUMBER($Z$4))),"",ROUND(O158*C158*$Z$4,2)))</f>
        <v/>
      </c>
      <c r="Q158" s="110" t="str">
        <f>IF(OR(posicao_contratual!R158="",posicao_contratual!V158=""),"",ROUND(MAX(posicao_contratual!R158+posicao_contratual!P158-posicao_contratual!V158,0),2))</f>
        <v/>
      </c>
      <c r="R158" s="104" t="str">
        <f>IF(AND(A158="",A157&lt;&gt;"",COUNTIF(A159:$A$200,"&lt;&gt;")=0),ROUND(SUMIF($A$2:A157,"&lt;&gt;",$R$2:R157),2),IF(OR(Q158="",C158="",NOT(ISNUMBER($Z$5))),"",ROUND(Q158*C158*$Z$5,2)))</f>
        <v/>
      </c>
      <c r="S158" s="58"/>
      <c r="T158" s="59"/>
      <c r="U158" s="111" t="str">
        <f>IF(AND(A158="",A157&lt;&gt;"",COUNTIF(A159:$A$200,"&lt;&gt;")=0),"TOTAL",IF(A158="","",posicao_contratual!X158))</f>
        <v/>
      </c>
      <c r="V158" s="111" t="str">
        <f>IF(A158="","",posicao_contratual!X158)</f>
        <v/>
      </c>
      <c r="W158" s="15"/>
      <c r="X158" s="15"/>
      <c r="Y158" s="15"/>
      <c r="Z158" s="15"/>
      <c r="AA158" s="15"/>
      <c r="AB158" s="110" t="str">
        <f>IF(OR(A158="",posicao_contratual!E158="",posicao_contratual!J158=""),"",ROUND(MAX(posicao_contratual!E158-posicao_contratual!J158,0),2))</f>
        <v/>
      </c>
      <c r="AC158" s="104" t="str">
        <f>IF(AND(A158="",A157&lt;&gt;"",COUNTIF(A159:$A$200,"&lt;&gt;")=0),ROUND(SUMIF($A$2:A157,"&lt;&gt;",$AC$2:AC157),2),IF(OR(AB158="",C158="",NOT(ISNUMBER($Z$2))),"",ROUND(AB158*C158*$Z$2,2)))</f>
        <v/>
      </c>
      <c r="AD158" s="180" t="str">
        <f>IF(A158="","",posicao_contratual!E158)</f>
        <v/>
      </c>
      <c r="AE158" s="180" t="str">
        <f>IF(A158="","",posicao_contratual!I158)</f>
        <v/>
      </c>
      <c r="AF158" s="180" t="str">
        <f>IF(A158="","",posicao_contratual!M158)</f>
        <v/>
      </c>
      <c r="AG158" s="180" t="str">
        <f>IF(A158="","",posicao_contratual!Q158)</f>
        <v/>
      </c>
      <c r="AH158" s="180" t="str">
        <f>IF(A158="","",posicao_contratual!U158)</f>
        <v/>
      </c>
      <c r="AI158" s="180" t="str">
        <f>IF(A158="","",posicao_contratual!G158)</f>
        <v/>
      </c>
      <c r="AJ158" s="180" t="str">
        <f>IF(A158="","",posicao_contratual!K158)</f>
        <v/>
      </c>
      <c r="AK158" s="180" t="str">
        <f>IF(A158="","",posicao_contratual!O158)</f>
        <v/>
      </c>
      <c r="AL158" s="180" t="str">
        <f>IF(A158="","",posicao_contratual!S158)</f>
        <v/>
      </c>
      <c r="AM158" s="180" t="str">
        <f>IF(A158="","",posicao_contratual!W158)</f>
        <v/>
      </c>
      <c r="AN158" s="181" t="str">
        <f>IF(A158="","",posicao_contratual!X158)</f>
        <v/>
      </c>
    </row>
    <row r="159" spans="1:40" x14ac:dyDescent="0.35">
      <c r="A159" s="106"/>
      <c r="B159" s="107"/>
      <c r="C159" s="108"/>
      <c r="D159" s="104" t="str">
        <f>IF(AND(A159="",A158&lt;&gt;"",COUNTIF(A160:$A$200,"&lt;&gt;")=0),ROUND(SUMIF($A$2:A158,"&lt;&gt;",$D$2:D158),2),IF(OR(A159="",B159="",C159=""),"",ROUND(B159*C159,2)))</f>
        <v/>
      </c>
      <c r="E159" s="109"/>
      <c r="F159" s="104" t="str">
        <f>IF(AND(A159="",A158&lt;&gt;"",COUNTIF(A160:$A$200,"&lt;&gt;")=0),ROUND(SUMIF($A$2:A158,"&lt;&gt;",$F$2:F158),2),IF(OR(A159="",posicao_contratual!K159="",C159="",NOT(ISNUMBER($Z$3))),"",ROUND(posicao_contratual!K159*C159*$Z$3,2)))</f>
        <v/>
      </c>
      <c r="G159" s="109"/>
      <c r="H159" s="104" t="str">
        <f>IF(AND(A159="",A158&lt;&gt;"",COUNTIF(A160:$A$200,"&lt;&gt;")=0),ROUND(SUMIF($A$2:A158,"&lt;&gt;",$H$2:H158),2),IF(OR(A159="",posicao_contratual!O159="",C159="",NOT(ISNUMBER($Z$4))),"",ROUND(posicao_contratual!O159*C159*$Z$4,2)))</f>
        <v/>
      </c>
      <c r="I159" s="109"/>
      <c r="J159" s="104" t="str">
        <f>IF(AND(A159="",A158&lt;&gt;"",COUNTIF(A160:$A$200,"&lt;&gt;")=0),ROUND(SUMIF($A$2:A158,"&lt;&gt;",$J$2:J158),2),IF(OR(A159="",posicao_contratual!S159="",C159="",NOT(ISNUMBER($Z$5))),"",ROUND(posicao_contratual!S159*C159*$Z$5,2)))</f>
        <v/>
      </c>
      <c r="K159" s="109"/>
      <c r="L159" s="104" t="str">
        <f>IF(AND(A159="",A158&lt;&gt;"",COUNTIF(A160:$A$200,"&lt;&gt;")=0),ROUND(SUMIF($A$2:A158,"&lt;&gt;",$L$2:L158),2),IF(OR(A159="",posicao_contratual!W159="",C159="",NOT(ISNUMBER($Z$6))),"",ROUND(posicao_contratual!W159*C159*$Z$6,2)))</f>
        <v/>
      </c>
      <c r="M159" s="110" t="str">
        <f>IF(OR(posicao_contratual!J159="",posicao_contratual!N159=""),"",ROUND(MAX(posicao_contratual!J159+posicao_contratual!H159-posicao_contratual!N159,0),2))</f>
        <v/>
      </c>
      <c r="N159" s="104" t="str">
        <f>IF(AND(A159="",A158&lt;&gt;"",COUNTIF(A160:$A$200,"&lt;&gt;")=0),ROUND(SUMIF($A$2:A158,"&lt;&gt;",$N$2:N158),2),IF(OR(M159="",C159="",NOT(ISNUMBER($Z$3))),"",ROUND(M159*C159*$Z$3,2)))</f>
        <v/>
      </c>
      <c r="O159" s="110" t="str">
        <f>IF(OR(posicao_contratual!N159="",posicao_contratual!R159=""),"",ROUND(MAX(posicao_contratual!N159+posicao_contratual!L159-posicao_contratual!R159,0),2))</f>
        <v/>
      </c>
      <c r="P159" s="104" t="str">
        <f>IF(AND(A159="",A158&lt;&gt;"",COUNTIF(A160:$A$200,"&lt;&gt;")=0),ROUND(SUMIF($A$2:A158,"&lt;&gt;",$P$2:P158),2),IF(OR(O159="",C159="",NOT(ISNUMBER($Z$4))),"",ROUND(O159*C159*$Z$4,2)))</f>
        <v/>
      </c>
      <c r="Q159" s="110" t="str">
        <f>IF(OR(posicao_contratual!R159="",posicao_contratual!V159=""),"",ROUND(MAX(posicao_contratual!R159+posicao_contratual!P159-posicao_contratual!V159,0),2))</f>
        <v/>
      </c>
      <c r="R159" s="104" t="str">
        <f>IF(AND(A159="",A158&lt;&gt;"",COUNTIF(A160:$A$200,"&lt;&gt;")=0),ROUND(SUMIF($A$2:A158,"&lt;&gt;",$R$2:R158),2),IF(OR(Q159="",C159="",NOT(ISNUMBER($Z$5))),"",ROUND(Q159*C159*$Z$5,2)))</f>
        <v/>
      </c>
      <c r="S159" s="58"/>
      <c r="T159" s="59"/>
      <c r="U159" s="111" t="str">
        <f>IF(AND(A159="",A158&lt;&gt;"",COUNTIF(A160:$A$200,"&lt;&gt;")=0),"TOTAL",IF(A159="","",posicao_contratual!X159))</f>
        <v/>
      </c>
      <c r="V159" s="111" t="str">
        <f>IF(A159="","",posicao_contratual!X159)</f>
        <v/>
      </c>
      <c r="W159" s="15"/>
      <c r="X159" s="15"/>
      <c r="Y159" s="15"/>
      <c r="Z159" s="15"/>
      <c r="AA159" s="15"/>
      <c r="AB159" s="110" t="str">
        <f>IF(OR(A159="",posicao_contratual!E159="",posicao_contratual!J159=""),"",ROUND(MAX(posicao_contratual!E159-posicao_contratual!J159,0),2))</f>
        <v/>
      </c>
      <c r="AC159" s="104" t="str">
        <f>IF(AND(A159="",A158&lt;&gt;"",COUNTIF(A160:$A$200,"&lt;&gt;")=0),ROUND(SUMIF($A$2:A158,"&lt;&gt;",$AC$2:AC158),2),IF(OR(AB159="",C159="",NOT(ISNUMBER($Z$2))),"",ROUND(AB159*C159*$Z$2,2)))</f>
        <v/>
      </c>
      <c r="AD159" s="180" t="str">
        <f>IF(A159="","",posicao_contratual!E159)</f>
        <v/>
      </c>
      <c r="AE159" s="180" t="str">
        <f>IF(A159="","",posicao_contratual!I159)</f>
        <v/>
      </c>
      <c r="AF159" s="180" t="str">
        <f>IF(A159="","",posicao_contratual!M159)</f>
        <v/>
      </c>
      <c r="AG159" s="180" t="str">
        <f>IF(A159="","",posicao_contratual!Q159)</f>
        <v/>
      </c>
      <c r="AH159" s="180" t="str">
        <f>IF(A159="","",posicao_contratual!U159)</f>
        <v/>
      </c>
      <c r="AI159" s="180" t="str">
        <f>IF(A159="","",posicao_contratual!G159)</f>
        <v/>
      </c>
      <c r="AJ159" s="180" t="str">
        <f>IF(A159="","",posicao_contratual!K159)</f>
        <v/>
      </c>
      <c r="AK159" s="180" t="str">
        <f>IF(A159="","",posicao_contratual!O159)</f>
        <v/>
      </c>
      <c r="AL159" s="180" t="str">
        <f>IF(A159="","",posicao_contratual!S159)</f>
        <v/>
      </c>
      <c r="AM159" s="180" t="str">
        <f>IF(A159="","",posicao_contratual!W159)</f>
        <v/>
      </c>
      <c r="AN159" s="181" t="str">
        <f>IF(A159="","",posicao_contratual!X159)</f>
        <v/>
      </c>
    </row>
    <row r="160" spans="1:40" x14ac:dyDescent="0.35">
      <c r="A160" s="106"/>
      <c r="B160" s="107"/>
      <c r="C160" s="108"/>
      <c r="D160" s="104" t="str">
        <f>IF(AND(A160="",A159&lt;&gt;"",COUNTIF(A161:$A$200,"&lt;&gt;")=0),ROUND(SUMIF($A$2:A159,"&lt;&gt;",$D$2:D159),2),IF(OR(A160="",B160="",C160=""),"",ROUND(B160*C160,2)))</f>
        <v/>
      </c>
      <c r="E160" s="109"/>
      <c r="F160" s="104" t="str">
        <f>IF(AND(A160="",A159&lt;&gt;"",COUNTIF(A161:$A$200,"&lt;&gt;")=0),ROUND(SUMIF($A$2:A159,"&lt;&gt;",$F$2:F159),2),IF(OR(A160="",posicao_contratual!K160="",C160="",NOT(ISNUMBER($Z$3))),"",ROUND(posicao_contratual!K160*C160*$Z$3,2)))</f>
        <v/>
      </c>
      <c r="G160" s="109"/>
      <c r="H160" s="104" t="str">
        <f>IF(AND(A160="",A159&lt;&gt;"",COUNTIF(A161:$A$200,"&lt;&gt;")=0),ROUND(SUMIF($A$2:A159,"&lt;&gt;",$H$2:H159),2),IF(OR(A160="",posicao_contratual!O160="",C160="",NOT(ISNUMBER($Z$4))),"",ROUND(posicao_contratual!O160*C160*$Z$4,2)))</f>
        <v/>
      </c>
      <c r="I160" s="109"/>
      <c r="J160" s="104" t="str">
        <f>IF(AND(A160="",A159&lt;&gt;"",COUNTIF(A161:$A$200,"&lt;&gt;")=0),ROUND(SUMIF($A$2:A159,"&lt;&gt;",$J$2:J159),2),IF(OR(A160="",posicao_contratual!S160="",C160="",NOT(ISNUMBER($Z$5))),"",ROUND(posicao_contratual!S160*C160*$Z$5,2)))</f>
        <v/>
      </c>
      <c r="K160" s="109"/>
      <c r="L160" s="104" t="str">
        <f>IF(AND(A160="",A159&lt;&gt;"",COUNTIF(A161:$A$200,"&lt;&gt;")=0),ROUND(SUMIF($A$2:A159,"&lt;&gt;",$L$2:L159),2),IF(OR(A160="",posicao_contratual!W160="",C160="",NOT(ISNUMBER($Z$6))),"",ROUND(posicao_contratual!W160*C160*$Z$6,2)))</f>
        <v/>
      </c>
      <c r="M160" s="110" t="str">
        <f>IF(OR(posicao_contratual!J160="",posicao_contratual!N160=""),"",ROUND(MAX(posicao_contratual!J160+posicao_contratual!H160-posicao_contratual!N160,0),2))</f>
        <v/>
      </c>
      <c r="N160" s="104" t="str">
        <f>IF(AND(A160="",A159&lt;&gt;"",COUNTIF(A161:$A$200,"&lt;&gt;")=0),ROUND(SUMIF($A$2:A159,"&lt;&gt;",$N$2:N159),2),IF(OR(M160="",C160="",NOT(ISNUMBER($Z$3))),"",ROUND(M160*C160*$Z$3,2)))</f>
        <v/>
      </c>
      <c r="O160" s="110" t="str">
        <f>IF(OR(posicao_contratual!N160="",posicao_contratual!R160=""),"",ROUND(MAX(posicao_contratual!N160+posicao_contratual!L160-posicao_contratual!R160,0),2))</f>
        <v/>
      </c>
      <c r="P160" s="104" t="str">
        <f>IF(AND(A160="",A159&lt;&gt;"",COUNTIF(A161:$A$200,"&lt;&gt;")=0),ROUND(SUMIF($A$2:A159,"&lt;&gt;",$P$2:P159),2),IF(OR(O160="",C160="",NOT(ISNUMBER($Z$4))),"",ROUND(O160*C160*$Z$4,2)))</f>
        <v/>
      </c>
      <c r="Q160" s="110" t="str">
        <f>IF(OR(posicao_contratual!R160="",posicao_contratual!V160=""),"",ROUND(MAX(posicao_contratual!R160+posicao_contratual!P160-posicao_contratual!V160,0),2))</f>
        <v/>
      </c>
      <c r="R160" s="104" t="str">
        <f>IF(AND(A160="",A159&lt;&gt;"",COUNTIF(A161:$A$200,"&lt;&gt;")=0),ROUND(SUMIF($A$2:A159,"&lt;&gt;",$R$2:R159),2),IF(OR(Q160="",C160="",NOT(ISNUMBER($Z$5))),"",ROUND(Q160*C160*$Z$5,2)))</f>
        <v/>
      </c>
      <c r="S160" s="58"/>
      <c r="T160" s="59"/>
      <c r="U160" s="111" t="str">
        <f>IF(AND(A160="",A159&lt;&gt;"",COUNTIF(A161:$A$200,"&lt;&gt;")=0),"TOTAL",IF(A160="","",posicao_contratual!X160))</f>
        <v/>
      </c>
      <c r="V160" s="111" t="str">
        <f>IF(A160="","",posicao_contratual!X160)</f>
        <v/>
      </c>
      <c r="W160" s="15"/>
      <c r="X160" s="15"/>
      <c r="Y160" s="15"/>
      <c r="Z160" s="15"/>
      <c r="AA160" s="15"/>
      <c r="AB160" s="110" t="str">
        <f>IF(OR(A160="",posicao_contratual!E160="",posicao_contratual!J160=""),"",ROUND(MAX(posicao_contratual!E160-posicao_contratual!J160,0),2))</f>
        <v/>
      </c>
      <c r="AC160" s="104" t="str">
        <f>IF(AND(A160="",A159&lt;&gt;"",COUNTIF(A161:$A$200,"&lt;&gt;")=0),ROUND(SUMIF($A$2:A159,"&lt;&gt;",$AC$2:AC159),2),IF(OR(AB160="",C160="",NOT(ISNUMBER($Z$2))),"",ROUND(AB160*C160*$Z$2,2)))</f>
        <v/>
      </c>
      <c r="AD160" s="180" t="str">
        <f>IF(A160="","",posicao_contratual!E160)</f>
        <v/>
      </c>
      <c r="AE160" s="180" t="str">
        <f>IF(A160="","",posicao_contratual!I160)</f>
        <v/>
      </c>
      <c r="AF160" s="180" t="str">
        <f>IF(A160="","",posicao_contratual!M160)</f>
        <v/>
      </c>
      <c r="AG160" s="180" t="str">
        <f>IF(A160="","",posicao_contratual!Q160)</f>
        <v/>
      </c>
      <c r="AH160" s="180" t="str">
        <f>IF(A160="","",posicao_contratual!U160)</f>
        <v/>
      </c>
      <c r="AI160" s="180" t="str">
        <f>IF(A160="","",posicao_contratual!G160)</f>
        <v/>
      </c>
      <c r="AJ160" s="180" t="str">
        <f>IF(A160="","",posicao_contratual!K160)</f>
        <v/>
      </c>
      <c r="AK160" s="180" t="str">
        <f>IF(A160="","",posicao_contratual!O160)</f>
        <v/>
      </c>
      <c r="AL160" s="180" t="str">
        <f>IF(A160="","",posicao_contratual!S160)</f>
        <v/>
      </c>
      <c r="AM160" s="180" t="str">
        <f>IF(A160="","",posicao_contratual!W160)</f>
        <v/>
      </c>
      <c r="AN160" s="181" t="str">
        <f>IF(A160="","",posicao_contratual!X160)</f>
        <v/>
      </c>
    </row>
    <row r="161" spans="1:40" x14ac:dyDescent="0.35">
      <c r="A161" s="106"/>
      <c r="B161" s="107"/>
      <c r="C161" s="108"/>
      <c r="D161" s="104" t="str">
        <f>IF(AND(A161="",A160&lt;&gt;"",COUNTIF(A162:$A$200,"&lt;&gt;")=0),ROUND(SUMIF($A$2:A160,"&lt;&gt;",$D$2:D160),2),IF(OR(A161="",B161="",C161=""),"",ROUND(B161*C161,2)))</f>
        <v/>
      </c>
      <c r="E161" s="109"/>
      <c r="F161" s="104" t="str">
        <f>IF(AND(A161="",A160&lt;&gt;"",COUNTIF(A162:$A$200,"&lt;&gt;")=0),ROUND(SUMIF($A$2:A160,"&lt;&gt;",$F$2:F160),2),IF(OR(A161="",posicao_contratual!K161="",C161="",NOT(ISNUMBER($Z$3))),"",ROUND(posicao_contratual!K161*C161*$Z$3,2)))</f>
        <v/>
      </c>
      <c r="G161" s="109"/>
      <c r="H161" s="104" t="str">
        <f>IF(AND(A161="",A160&lt;&gt;"",COUNTIF(A162:$A$200,"&lt;&gt;")=0),ROUND(SUMIF($A$2:A160,"&lt;&gt;",$H$2:H160),2),IF(OR(A161="",posicao_contratual!O161="",C161="",NOT(ISNUMBER($Z$4))),"",ROUND(posicao_contratual!O161*C161*$Z$4,2)))</f>
        <v/>
      </c>
      <c r="I161" s="109"/>
      <c r="J161" s="104" t="str">
        <f>IF(AND(A161="",A160&lt;&gt;"",COUNTIF(A162:$A$200,"&lt;&gt;")=0),ROUND(SUMIF($A$2:A160,"&lt;&gt;",$J$2:J160),2),IF(OR(A161="",posicao_contratual!S161="",C161="",NOT(ISNUMBER($Z$5))),"",ROUND(posicao_contratual!S161*C161*$Z$5,2)))</f>
        <v/>
      </c>
      <c r="K161" s="109"/>
      <c r="L161" s="104" t="str">
        <f>IF(AND(A161="",A160&lt;&gt;"",COUNTIF(A162:$A$200,"&lt;&gt;")=0),ROUND(SUMIF($A$2:A160,"&lt;&gt;",$L$2:L160),2),IF(OR(A161="",posicao_contratual!W161="",C161="",NOT(ISNUMBER($Z$6))),"",ROUND(posicao_contratual!W161*C161*$Z$6,2)))</f>
        <v/>
      </c>
      <c r="M161" s="110" t="str">
        <f>IF(OR(posicao_contratual!J161="",posicao_contratual!N161=""),"",ROUND(MAX(posicao_contratual!J161+posicao_contratual!H161-posicao_contratual!N161,0),2))</f>
        <v/>
      </c>
      <c r="N161" s="104" t="str">
        <f>IF(AND(A161="",A160&lt;&gt;"",COUNTIF(A162:$A$200,"&lt;&gt;")=0),ROUND(SUMIF($A$2:A160,"&lt;&gt;",$N$2:N160),2),IF(OR(M161="",C161="",NOT(ISNUMBER($Z$3))),"",ROUND(M161*C161*$Z$3,2)))</f>
        <v/>
      </c>
      <c r="O161" s="110" t="str">
        <f>IF(OR(posicao_contratual!N161="",posicao_contratual!R161=""),"",ROUND(MAX(posicao_contratual!N161+posicao_contratual!L161-posicao_contratual!R161,0),2))</f>
        <v/>
      </c>
      <c r="P161" s="104" t="str">
        <f>IF(AND(A161="",A160&lt;&gt;"",COUNTIF(A162:$A$200,"&lt;&gt;")=0),ROUND(SUMIF($A$2:A160,"&lt;&gt;",$P$2:P160),2),IF(OR(O161="",C161="",NOT(ISNUMBER($Z$4))),"",ROUND(O161*C161*$Z$4,2)))</f>
        <v/>
      </c>
      <c r="Q161" s="110" t="str">
        <f>IF(OR(posicao_contratual!R161="",posicao_contratual!V161=""),"",ROUND(MAX(posicao_contratual!R161+posicao_contratual!P161-posicao_contratual!V161,0),2))</f>
        <v/>
      </c>
      <c r="R161" s="104" t="str">
        <f>IF(AND(A161="",A160&lt;&gt;"",COUNTIF(A162:$A$200,"&lt;&gt;")=0),ROUND(SUMIF($A$2:A160,"&lt;&gt;",$R$2:R160),2),IF(OR(Q161="",C161="",NOT(ISNUMBER($Z$5))),"",ROUND(Q161*C161*$Z$5,2)))</f>
        <v/>
      </c>
      <c r="S161" s="58"/>
      <c r="T161" s="59"/>
      <c r="U161" s="111" t="str">
        <f>IF(AND(A161="",A160&lt;&gt;"",COUNTIF(A162:$A$200,"&lt;&gt;")=0),"TOTAL",IF(A161="","",posicao_contratual!X161))</f>
        <v/>
      </c>
      <c r="V161" s="111" t="str">
        <f>IF(A161="","",posicao_contratual!X161)</f>
        <v/>
      </c>
      <c r="W161" s="15"/>
      <c r="X161" s="15"/>
      <c r="Y161" s="15"/>
      <c r="Z161" s="15"/>
      <c r="AA161" s="15"/>
      <c r="AB161" s="110" t="str">
        <f>IF(OR(A161="",posicao_contratual!E161="",posicao_contratual!J161=""),"",ROUND(MAX(posicao_contratual!E161-posicao_contratual!J161,0),2))</f>
        <v/>
      </c>
      <c r="AC161" s="104" t="str">
        <f>IF(AND(A161="",A160&lt;&gt;"",COUNTIF(A162:$A$200,"&lt;&gt;")=0),ROUND(SUMIF($A$2:A160,"&lt;&gt;",$AC$2:AC160),2),IF(OR(AB161="",C161="",NOT(ISNUMBER($Z$2))),"",ROUND(AB161*C161*$Z$2,2)))</f>
        <v/>
      </c>
      <c r="AD161" s="180" t="str">
        <f>IF(A161="","",posicao_contratual!E161)</f>
        <v/>
      </c>
      <c r="AE161" s="180" t="str">
        <f>IF(A161="","",posicao_contratual!I161)</f>
        <v/>
      </c>
      <c r="AF161" s="180" t="str">
        <f>IF(A161="","",posicao_contratual!M161)</f>
        <v/>
      </c>
      <c r="AG161" s="180" t="str">
        <f>IF(A161="","",posicao_contratual!Q161)</f>
        <v/>
      </c>
      <c r="AH161" s="180" t="str">
        <f>IF(A161="","",posicao_contratual!U161)</f>
        <v/>
      </c>
      <c r="AI161" s="180" t="str">
        <f>IF(A161="","",posicao_contratual!G161)</f>
        <v/>
      </c>
      <c r="AJ161" s="180" t="str">
        <f>IF(A161="","",posicao_contratual!K161)</f>
        <v/>
      </c>
      <c r="AK161" s="180" t="str">
        <f>IF(A161="","",posicao_contratual!O161)</f>
        <v/>
      </c>
      <c r="AL161" s="180" t="str">
        <f>IF(A161="","",posicao_contratual!S161)</f>
        <v/>
      </c>
      <c r="AM161" s="180" t="str">
        <f>IF(A161="","",posicao_contratual!W161)</f>
        <v/>
      </c>
      <c r="AN161" s="181" t="str">
        <f>IF(A161="","",posicao_contratual!X161)</f>
        <v/>
      </c>
    </row>
    <row r="162" spans="1:40" x14ac:dyDescent="0.35">
      <c r="A162" s="106"/>
      <c r="B162" s="107"/>
      <c r="C162" s="108"/>
      <c r="D162" s="104" t="str">
        <f>IF(AND(A162="",A161&lt;&gt;"",COUNTIF(A163:$A$200,"&lt;&gt;")=0),ROUND(SUMIF($A$2:A161,"&lt;&gt;",$D$2:D161),2),IF(OR(A162="",B162="",C162=""),"",ROUND(B162*C162,2)))</f>
        <v/>
      </c>
      <c r="E162" s="109"/>
      <c r="F162" s="104" t="str">
        <f>IF(AND(A162="",A161&lt;&gt;"",COUNTIF(A163:$A$200,"&lt;&gt;")=0),ROUND(SUMIF($A$2:A161,"&lt;&gt;",$F$2:F161),2),IF(OR(A162="",posicao_contratual!K162="",C162="",NOT(ISNUMBER($Z$3))),"",ROUND(posicao_contratual!K162*C162*$Z$3,2)))</f>
        <v/>
      </c>
      <c r="G162" s="109"/>
      <c r="H162" s="104" t="str">
        <f>IF(AND(A162="",A161&lt;&gt;"",COUNTIF(A163:$A$200,"&lt;&gt;")=0),ROUND(SUMIF($A$2:A161,"&lt;&gt;",$H$2:H161),2),IF(OR(A162="",posicao_contratual!O162="",C162="",NOT(ISNUMBER($Z$4))),"",ROUND(posicao_contratual!O162*C162*$Z$4,2)))</f>
        <v/>
      </c>
      <c r="I162" s="109"/>
      <c r="J162" s="104" t="str">
        <f>IF(AND(A162="",A161&lt;&gt;"",COUNTIF(A163:$A$200,"&lt;&gt;")=0),ROUND(SUMIF($A$2:A161,"&lt;&gt;",$J$2:J161),2),IF(OR(A162="",posicao_contratual!S162="",C162="",NOT(ISNUMBER($Z$5))),"",ROUND(posicao_contratual!S162*C162*$Z$5,2)))</f>
        <v/>
      </c>
      <c r="K162" s="109"/>
      <c r="L162" s="104" t="str">
        <f>IF(AND(A162="",A161&lt;&gt;"",COUNTIF(A163:$A$200,"&lt;&gt;")=0),ROUND(SUMIF($A$2:A161,"&lt;&gt;",$L$2:L161),2),IF(OR(A162="",posicao_contratual!W162="",C162="",NOT(ISNUMBER($Z$6))),"",ROUND(posicao_contratual!W162*C162*$Z$6,2)))</f>
        <v/>
      </c>
      <c r="M162" s="110" t="str">
        <f>IF(OR(posicao_contratual!J162="",posicao_contratual!N162=""),"",ROUND(MAX(posicao_contratual!J162+posicao_contratual!H162-posicao_contratual!N162,0),2))</f>
        <v/>
      </c>
      <c r="N162" s="104" t="str">
        <f>IF(AND(A162="",A161&lt;&gt;"",COUNTIF(A163:$A$200,"&lt;&gt;")=0),ROUND(SUMIF($A$2:A161,"&lt;&gt;",$N$2:N161),2),IF(OR(M162="",C162="",NOT(ISNUMBER($Z$3))),"",ROUND(M162*C162*$Z$3,2)))</f>
        <v/>
      </c>
      <c r="O162" s="110" t="str">
        <f>IF(OR(posicao_contratual!N162="",posicao_contratual!R162=""),"",ROUND(MAX(posicao_contratual!N162+posicao_contratual!L162-posicao_contratual!R162,0),2))</f>
        <v/>
      </c>
      <c r="P162" s="104" t="str">
        <f>IF(AND(A162="",A161&lt;&gt;"",COUNTIF(A163:$A$200,"&lt;&gt;")=0),ROUND(SUMIF($A$2:A161,"&lt;&gt;",$P$2:P161),2),IF(OR(O162="",C162="",NOT(ISNUMBER($Z$4))),"",ROUND(O162*C162*$Z$4,2)))</f>
        <v/>
      </c>
      <c r="Q162" s="110" t="str">
        <f>IF(OR(posicao_contratual!R162="",posicao_contratual!V162=""),"",ROUND(MAX(posicao_contratual!R162+posicao_contratual!P162-posicao_contratual!V162,0),2))</f>
        <v/>
      </c>
      <c r="R162" s="104" t="str">
        <f>IF(AND(A162="",A161&lt;&gt;"",COUNTIF(A163:$A$200,"&lt;&gt;")=0),ROUND(SUMIF($A$2:A161,"&lt;&gt;",$R$2:R161),2),IF(OR(Q162="",C162="",NOT(ISNUMBER($Z$5))),"",ROUND(Q162*C162*$Z$5,2)))</f>
        <v/>
      </c>
      <c r="S162" s="58"/>
      <c r="T162" s="59"/>
      <c r="U162" s="111" t="str">
        <f>IF(AND(A162="",A161&lt;&gt;"",COUNTIF(A163:$A$200,"&lt;&gt;")=0),"TOTAL",IF(A162="","",posicao_contratual!X162))</f>
        <v/>
      </c>
      <c r="V162" s="111" t="str">
        <f>IF(A162="","",posicao_contratual!X162)</f>
        <v/>
      </c>
      <c r="W162" s="15"/>
      <c r="X162" s="15"/>
      <c r="Y162" s="15"/>
      <c r="Z162" s="15"/>
      <c r="AA162" s="15"/>
      <c r="AB162" s="110" t="str">
        <f>IF(OR(A162="",posicao_contratual!E162="",posicao_contratual!J162=""),"",ROUND(MAX(posicao_contratual!E162-posicao_contratual!J162,0),2))</f>
        <v/>
      </c>
      <c r="AC162" s="104" t="str">
        <f>IF(AND(A162="",A161&lt;&gt;"",COUNTIF(A163:$A$200,"&lt;&gt;")=0),ROUND(SUMIF($A$2:A161,"&lt;&gt;",$AC$2:AC161),2),IF(OR(AB162="",C162="",NOT(ISNUMBER($Z$2))),"",ROUND(AB162*C162*$Z$2,2)))</f>
        <v/>
      </c>
      <c r="AD162" s="180" t="str">
        <f>IF(A162="","",posicao_contratual!E162)</f>
        <v/>
      </c>
      <c r="AE162" s="180" t="str">
        <f>IF(A162="","",posicao_contratual!I162)</f>
        <v/>
      </c>
      <c r="AF162" s="180" t="str">
        <f>IF(A162="","",posicao_contratual!M162)</f>
        <v/>
      </c>
      <c r="AG162" s="180" t="str">
        <f>IF(A162="","",posicao_contratual!Q162)</f>
        <v/>
      </c>
      <c r="AH162" s="180" t="str">
        <f>IF(A162="","",posicao_contratual!U162)</f>
        <v/>
      </c>
      <c r="AI162" s="180" t="str">
        <f>IF(A162="","",posicao_contratual!G162)</f>
        <v/>
      </c>
      <c r="AJ162" s="180" t="str">
        <f>IF(A162="","",posicao_contratual!K162)</f>
        <v/>
      </c>
      <c r="AK162" s="180" t="str">
        <f>IF(A162="","",posicao_contratual!O162)</f>
        <v/>
      </c>
      <c r="AL162" s="180" t="str">
        <f>IF(A162="","",posicao_contratual!S162)</f>
        <v/>
      </c>
      <c r="AM162" s="180" t="str">
        <f>IF(A162="","",posicao_contratual!W162)</f>
        <v/>
      </c>
      <c r="AN162" s="181" t="str">
        <f>IF(A162="","",posicao_contratual!X162)</f>
        <v/>
      </c>
    </row>
    <row r="163" spans="1:40" x14ac:dyDescent="0.35">
      <c r="A163" s="106"/>
      <c r="B163" s="107"/>
      <c r="C163" s="108"/>
      <c r="D163" s="104" t="str">
        <f>IF(AND(A163="",A162&lt;&gt;"",COUNTIF(A164:$A$200,"&lt;&gt;")=0),ROUND(SUMIF($A$2:A162,"&lt;&gt;",$D$2:D162),2),IF(OR(A163="",B163="",C163=""),"",ROUND(B163*C163,2)))</f>
        <v/>
      </c>
      <c r="E163" s="109"/>
      <c r="F163" s="104" t="str">
        <f>IF(AND(A163="",A162&lt;&gt;"",COUNTIF(A164:$A$200,"&lt;&gt;")=0),ROUND(SUMIF($A$2:A162,"&lt;&gt;",$F$2:F162),2),IF(OR(A163="",posicao_contratual!K163="",C163="",NOT(ISNUMBER($Z$3))),"",ROUND(posicao_contratual!K163*C163*$Z$3,2)))</f>
        <v/>
      </c>
      <c r="G163" s="109"/>
      <c r="H163" s="104" t="str">
        <f>IF(AND(A163="",A162&lt;&gt;"",COUNTIF(A164:$A$200,"&lt;&gt;")=0),ROUND(SUMIF($A$2:A162,"&lt;&gt;",$H$2:H162),2),IF(OR(A163="",posicao_contratual!O163="",C163="",NOT(ISNUMBER($Z$4))),"",ROUND(posicao_contratual!O163*C163*$Z$4,2)))</f>
        <v/>
      </c>
      <c r="I163" s="109"/>
      <c r="J163" s="104" t="str">
        <f>IF(AND(A163="",A162&lt;&gt;"",COUNTIF(A164:$A$200,"&lt;&gt;")=0),ROUND(SUMIF($A$2:A162,"&lt;&gt;",$J$2:J162),2),IF(OR(A163="",posicao_contratual!S163="",C163="",NOT(ISNUMBER($Z$5))),"",ROUND(posicao_contratual!S163*C163*$Z$5,2)))</f>
        <v/>
      </c>
      <c r="K163" s="109"/>
      <c r="L163" s="104" t="str">
        <f>IF(AND(A163="",A162&lt;&gt;"",COUNTIF(A164:$A$200,"&lt;&gt;")=0),ROUND(SUMIF($A$2:A162,"&lt;&gt;",$L$2:L162),2),IF(OR(A163="",posicao_contratual!W163="",C163="",NOT(ISNUMBER($Z$6))),"",ROUND(posicao_contratual!W163*C163*$Z$6,2)))</f>
        <v/>
      </c>
      <c r="M163" s="110" t="str">
        <f>IF(OR(posicao_contratual!J163="",posicao_contratual!N163=""),"",ROUND(MAX(posicao_contratual!J163+posicao_contratual!H163-posicao_contratual!N163,0),2))</f>
        <v/>
      </c>
      <c r="N163" s="104" t="str">
        <f>IF(AND(A163="",A162&lt;&gt;"",COUNTIF(A164:$A$200,"&lt;&gt;")=0),ROUND(SUMIF($A$2:A162,"&lt;&gt;",$N$2:N162),2),IF(OR(M163="",C163="",NOT(ISNUMBER($Z$3))),"",ROUND(M163*C163*$Z$3,2)))</f>
        <v/>
      </c>
      <c r="O163" s="110" t="str">
        <f>IF(OR(posicao_contratual!N163="",posicao_contratual!R163=""),"",ROUND(MAX(posicao_contratual!N163+posicao_contratual!L163-posicao_contratual!R163,0),2))</f>
        <v/>
      </c>
      <c r="P163" s="104" t="str">
        <f>IF(AND(A163="",A162&lt;&gt;"",COUNTIF(A164:$A$200,"&lt;&gt;")=0),ROUND(SUMIF($A$2:A162,"&lt;&gt;",$P$2:P162),2),IF(OR(O163="",C163="",NOT(ISNUMBER($Z$4))),"",ROUND(O163*C163*$Z$4,2)))</f>
        <v/>
      </c>
      <c r="Q163" s="110" t="str">
        <f>IF(OR(posicao_contratual!R163="",posicao_contratual!V163=""),"",ROUND(MAX(posicao_contratual!R163+posicao_contratual!P163-posicao_contratual!V163,0),2))</f>
        <v/>
      </c>
      <c r="R163" s="104" t="str">
        <f>IF(AND(A163="",A162&lt;&gt;"",COUNTIF(A164:$A$200,"&lt;&gt;")=0),ROUND(SUMIF($A$2:A162,"&lt;&gt;",$R$2:R162),2),IF(OR(Q163="",C163="",NOT(ISNUMBER($Z$5))),"",ROUND(Q163*C163*$Z$5,2)))</f>
        <v/>
      </c>
      <c r="S163" s="58"/>
      <c r="T163" s="59"/>
      <c r="U163" s="111" t="str">
        <f>IF(AND(A163="",A162&lt;&gt;"",COUNTIF(A164:$A$200,"&lt;&gt;")=0),"TOTAL",IF(A163="","",posicao_contratual!X163))</f>
        <v/>
      </c>
      <c r="V163" s="111" t="str">
        <f>IF(A163="","",posicao_contratual!X163)</f>
        <v/>
      </c>
      <c r="W163" s="15"/>
      <c r="X163" s="15"/>
      <c r="Y163" s="15"/>
      <c r="Z163" s="15"/>
      <c r="AA163" s="15"/>
      <c r="AB163" s="110" t="str">
        <f>IF(OR(A163="",posicao_contratual!E163="",posicao_contratual!J163=""),"",ROUND(MAX(posicao_contratual!E163-posicao_contratual!J163,0),2))</f>
        <v/>
      </c>
      <c r="AC163" s="104" t="str">
        <f>IF(AND(A163="",A162&lt;&gt;"",COUNTIF(A164:$A$200,"&lt;&gt;")=0),ROUND(SUMIF($A$2:A162,"&lt;&gt;",$AC$2:AC162),2),IF(OR(AB163="",C163="",NOT(ISNUMBER($Z$2))),"",ROUND(AB163*C163*$Z$2,2)))</f>
        <v/>
      </c>
      <c r="AD163" s="180" t="str">
        <f>IF(A163="","",posicao_contratual!E163)</f>
        <v/>
      </c>
      <c r="AE163" s="180" t="str">
        <f>IF(A163="","",posicao_contratual!I163)</f>
        <v/>
      </c>
      <c r="AF163" s="180" t="str">
        <f>IF(A163="","",posicao_contratual!M163)</f>
        <v/>
      </c>
      <c r="AG163" s="180" t="str">
        <f>IF(A163="","",posicao_contratual!Q163)</f>
        <v/>
      </c>
      <c r="AH163" s="180" t="str">
        <f>IF(A163="","",posicao_contratual!U163)</f>
        <v/>
      </c>
      <c r="AI163" s="180" t="str">
        <f>IF(A163="","",posicao_contratual!G163)</f>
        <v/>
      </c>
      <c r="AJ163" s="180" t="str">
        <f>IF(A163="","",posicao_contratual!K163)</f>
        <v/>
      </c>
      <c r="AK163" s="180" t="str">
        <f>IF(A163="","",posicao_contratual!O163)</f>
        <v/>
      </c>
      <c r="AL163" s="180" t="str">
        <f>IF(A163="","",posicao_contratual!S163)</f>
        <v/>
      </c>
      <c r="AM163" s="180" t="str">
        <f>IF(A163="","",posicao_contratual!W163)</f>
        <v/>
      </c>
      <c r="AN163" s="181" t="str">
        <f>IF(A163="","",posicao_contratual!X163)</f>
        <v/>
      </c>
    </row>
    <row r="164" spans="1:40" x14ac:dyDescent="0.35">
      <c r="A164" s="106"/>
      <c r="B164" s="107"/>
      <c r="C164" s="108"/>
      <c r="D164" s="104" t="str">
        <f>IF(AND(A164="",A163&lt;&gt;"",COUNTIF(A165:$A$200,"&lt;&gt;")=0),ROUND(SUMIF($A$2:A163,"&lt;&gt;",$D$2:D163),2),IF(OR(A164="",B164="",C164=""),"",ROUND(B164*C164,2)))</f>
        <v/>
      </c>
      <c r="E164" s="109"/>
      <c r="F164" s="104" t="str">
        <f>IF(AND(A164="",A163&lt;&gt;"",COUNTIF(A165:$A$200,"&lt;&gt;")=0),ROUND(SUMIF($A$2:A163,"&lt;&gt;",$F$2:F163),2),IF(OR(A164="",posicao_contratual!K164="",C164="",NOT(ISNUMBER($Z$3))),"",ROUND(posicao_contratual!K164*C164*$Z$3,2)))</f>
        <v/>
      </c>
      <c r="G164" s="109"/>
      <c r="H164" s="104" t="str">
        <f>IF(AND(A164="",A163&lt;&gt;"",COUNTIF(A165:$A$200,"&lt;&gt;")=0),ROUND(SUMIF($A$2:A163,"&lt;&gt;",$H$2:H163),2),IF(OR(A164="",posicao_contratual!O164="",C164="",NOT(ISNUMBER($Z$4))),"",ROUND(posicao_contratual!O164*C164*$Z$4,2)))</f>
        <v/>
      </c>
      <c r="I164" s="109"/>
      <c r="J164" s="104" t="str">
        <f>IF(AND(A164="",A163&lt;&gt;"",COUNTIF(A165:$A$200,"&lt;&gt;")=0),ROUND(SUMIF($A$2:A163,"&lt;&gt;",$J$2:J163),2),IF(OR(A164="",posicao_contratual!S164="",C164="",NOT(ISNUMBER($Z$5))),"",ROUND(posicao_contratual!S164*C164*$Z$5,2)))</f>
        <v/>
      </c>
      <c r="K164" s="109"/>
      <c r="L164" s="104" t="str">
        <f>IF(AND(A164="",A163&lt;&gt;"",COUNTIF(A165:$A$200,"&lt;&gt;")=0),ROUND(SUMIF($A$2:A163,"&lt;&gt;",$L$2:L163),2),IF(OR(A164="",posicao_contratual!W164="",C164="",NOT(ISNUMBER($Z$6))),"",ROUND(posicao_contratual!W164*C164*$Z$6,2)))</f>
        <v/>
      </c>
      <c r="M164" s="110" t="str">
        <f>IF(OR(posicao_contratual!J164="",posicao_contratual!N164=""),"",ROUND(MAX(posicao_contratual!J164+posicao_contratual!H164-posicao_contratual!N164,0),2))</f>
        <v/>
      </c>
      <c r="N164" s="104" t="str">
        <f>IF(AND(A164="",A163&lt;&gt;"",COUNTIF(A165:$A$200,"&lt;&gt;")=0),ROUND(SUMIF($A$2:A163,"&lt;&gt;",$N$2:N163),2),IF(OR(M164="",C164="",NOT(ISNUMBER($Z$3))),"",ROUND(M164*C164*$Z$3,2)))</f>
        <v/>
      </c>
      <c r="O164" s="110" t="str">
        <f>IF(OR(posicao_contratual!N164="",posicao_contratual!R164=""),"",ROUND(MAX(posicao_contratual!N164+posicao_contratual!L164-posicao_contratual!R164,0),2))</f>
        <v/>
      </c>
      <c r="P164" s="104" t="str">
        <f>IF(AND(A164="",A163&lt;&gt;"",COUNTIF(A165:$A$200,"&lt;&gt;")=0),ROUND(SUMIF($A$2:A163,"&lt;&gt;",$P$2:P163),2),IF(OR(O164="",C164="",NOT(ISNUMBER($Z$4))),"",ROUND(O164*C164*$Z$4,2)))</f>
        <v/>
      </c>
      <c r="Q164" s="110" t="str">
        <f>IF(OR(posicao_contratual!R164="",posicao_contratual!V164=""),"",ROUND(MAX(posicao_contratual!R164+posicao_contratual!P164-posicao_contratual!V164,0),2))</f>
        <v/>
      </c>
      <c r="R164" s="104" t="str">
        <f>IF(AND(A164="",A163&lt;&gt;"",COUNTIF(A165:$A$200,"&lt;&gt;")=0),ROUND(SUMIF($A$2:A163,"&lt;&gt;",$R$2:R163),2),IF(OR(Q164="",C164="",NOT(ISNUMBER($Z$5))),"",ROUND(Q164*C164*$Z$5,2)))</f>
        <v/>
      </c>
      <c r="S164" s="58"/>
      <c r="T164" s="59"/>
      <c r="U164" s="111" t="str">
        <f>IF(AND(A164="",A163&lt;&gt;"",COUNTIF(A165:$A$200,"&lt;&gt;")=0),"TOTAL",IF(A164="","",posicao_contratual!X164))</f>
        <v/>
      </c>
      <c r="V164" s="111" t="str">
        <f>IF(A164="","",posicao_contratual!X164)</f>
        <v/>
      </c>
      <c r="W164" s="15"/>
      <c r="X164" s="15"/>
      <c r="Y164" s="15"/>
      <c r="Z164" s="15"/>
      <c r="AA164" s="15"/>
      <c r="AB164" s="110" t="str">
        <f>IF(OR(A164="",posicao_contratual!E164="",posicao_contratual!J164=""),"",ROUND(MAX(posicao_contratual!E164-posicao_contratual!J164,0),2))</f>
        <v/>
      </c>
      <c r="AC164" s="104" t="str">
        <f>IF(AND(A164="",A163&lt;&gt;"",COUNTIF(A165:$A$200,"&lt;&gt;")=0),ROUND(SUMIF($A$2:A163,"&lt;&gt;",$AC$2:AC163),2),IF(OR(AB164="",C164="",NOT(ISNUMBER($Z$2))),"",ROUND(AB164*C164*$Z$2,2)))</f>
        <v/>
      </c>
      <c r="AD164" s="180" t="str">
        <f>IF(A164="","",posicao_contratual!E164)</f>
        <v/>
      </c>
      <c r="AE164" s="180" t="str">
        <f>IF(A164="","",posicao_contratual!I164)</f>
        <v/>
      </c>
      <c r="AF164" s="180" t="str">
        <f>IF(A164="","",posicao_contratual!M164)</f>
        <v/>
      </c>
      <c r="AG164" s="180" t="str">
        <f>IF(A164="","",posicao_contratual!Q164)</f>
        <v/>
      </c>
      <c r="AH164" s="180" t="str">
        <f>IF(A164="","",posicao_contratual!U164)</f>
        <v/>
      </c>
      <c r="AI164" s="180" t="str">
        <f>IF(A164="","",posicao_contratual!G164)</f>
        <v/>
      </c>
      <c r="AJ164" s="180" t="str">
        <f>IF(A164="","",posicao_contratual!K164)</f>
        <v/>
      </c>
      <c r="AK164" s="180" t="str">
        <f>IF(A164="","",posicao_contratual!O164)</f>
        <v/>
      </c>
      <c r="AL164" s="180" t="str">
        <f>IF(A164="","",posicao_contratual!S164)</f>
        <v/>
      </c>
      <c r="AM164" s="180" t="str">
        <f>IF(A164="","",posicao_contratual!W164)</f>
        <v/>
      </c>
      <c r="AN164" s="181" t="str">
        <f>IF(A164="","",posicao_contratual!X164)</f>
        <v/>
      </c>
    </row>
    <row r="165" spans="1:40" x14ac:dyDescent="0.35">
      <c r="A165" s="106"/>
      <c r="B165" s="107"/>
      <c r="C165" s="108"/>
      <c r="D165" s="104" t="str">
        <f>IF(AND(A165="",A164&lt;&gt;"",COUNTIF(A166:$A$200,"&lt;&gt;")=0),ROUND(SUMIF($A$2:A164,"&lt;&gt;",$D$2:D164),2),IF(OR(A165="",B165="",C165=""),"",ROUND(B165*C165,2)))</f>
        <v/>
      </c>
      <c r="E165" s="109"/>
      <c r="F165" s="104" t="str">
        <f>IF(AND(A165="",A164&lt;&gt;"",COUNTIF(A166:$A$200,"&lt;&gt;")=0),ROUND(SUMIF($A$2:A164,"&lt;&gt;",$F$2:F164),2),IF(OR(A165="",posicao_contratual!K165="",C165="",NOT(ISNUMBER($Z$3))),"",ROUND(posicao_contratual!K165*C165*$Z$3,2)))</f>
        <v/>
      </c>
      <c r="G165" s="109"/>
      <c r="H165" s="104" t="str">
        <f>IF(AND(A165="",A164&lt;&gt;"",COUNTIF(A166:$A$200,"&lt;&gt;")=0),ROUND(SUMIF($A$2:A164,"&lt;&gt;",$H$2:H164),2),IF(OR(A165="",posicao_contratual!O165="",C165="",NOT(ISNUMBER($Z$4))),"",ROUND(posicao_contratual!O165*C165*$Z$4,2)))</f>
        <v/>
      </c>
      <c r="I165" s="109"/>
      <c r="J165" s="104" t="str">
        <f>IF(AND(A165="",A164&lt;&gt;"",COUNTIF(A166:$A$200,"&lt;&gt;")=0),ROUND(SUMIF($A$2:A164,"&lt;&gt;",$J$2:J164),2),IF(OR(A165="",posicao_contratual!S165="",C165="",NOT(ISNUMBER($Z$5))),"",ROUND(posicao_contratual!S165*C165*$Z$5,2)))</f>
        <v/>
      </c>
      <c r="K165" s="109"/>
      <c r="L165" s="104" t="str">
        <f>IF(AND(A165="",A164&lt;&gt;"",COUNTIF(A166:$A$200,"&lt;&gt;")=0),ROUND(SUMIF($A$2:A164,"&lt;&gt;",$L$2:L164),2),IF(OR(A165="",posicao_contratual!W165="",C165="",NOT(ISNUMBER($Z$6))),"",ROUND(posicao_contratual!W165*C165*$Z$6,2)))</f>
        <v/>
      </c>
      <c r="M165" s="110" t="str">
        <f>IF(OR(posicao_contratual!J165="",posicao_contratual!N165=""),"",ROUND(MAX(posicao_contratual!J165+posicao_contratual!H165-posicao_contratual!N165,0),2))</f>
        <v/>
      </c>
      <c r="N165" s="104" t="str">
        <f>IF(AND(A165="",A164&lt;&gt;"",COUNTIF(A166:$A$200,"&lt;&gt;")=0),ROUND(SUMIF($A$2:A164,"&lt;&gt;",$N$2:N164),2),IF(OR(M165="",C165="",NOT(ISNUMBER($Z$3))),"",ROUND(M165*C165*$Z$3,2)))</f>
        <v/>
      </c>
      <c r="O165" s="110" t="str">
        <f>IF(OR(posicao_contratual!N165="",posicao_contratual!R165=""),"",ROUND(MAX(posicao_contratual!N165+posicao_contratual!L165-posicao_contratual!R165,0),2))</f>
        <v/>
      </c>
      <c r="P165" s="104" t="str">
        <f>IF(AND(A165="",A164&lt;&gt;"",COUNTIF(A166:$A$200,"&lt;&gt;")=0),ROUND(SUMIF($A$2:A164,"&lt;&gt;",$P$2:P164),2),IF(OR(O165="",C165="",NOT(ISNUMBER($Z$4))),"",ROUND(O165*C165*$Z$4,2)))</f>
        <v/>
      </c>
      <c r="Q165" s="110" t="str">
        <f>IF(OR(posicao_contratual!R165="",posicao_contratual!V165=""),"",ROUND(MAX(posicao_contratual!R165+posicao_contratual!P165-posicao_contratual!V165,0),2))</f>
        <v/>
      </c>
      <c r="R165" s="104" t="str">
        <f>IF(AND(A165="",A164&lt;&gt;"",COUNTIF(A166:$A$200,"&lt;&gt;")=0),ROUND(SUMIF($A$2:A164,"&lt;&gt;",$R$2:R164),2),IF(OR(Q165="",C165="",NOT(ISNUMBER($Z$5))),"",ROUND(Q165*C165*$Z$5,2)))</f>
        <v/>
      </c>
      <c r="S165" s="58"/>
      <c r="T165" s="59"/>
      <c r="U165" s="111" t="str">
        <f>IF(AND(A165="",A164&lt;&gt;"",COUNTIF(A166:$A$200,"&lt;&gt;")=0),"TOTAL",IF(A165="","",posicao_contratual!X165))</f>
        <v/>
      </c>
      <c r="V165" s="111" t="str">
        <f>IF(A165="","",posicao_contratual!X165)</f>
        <v/>
      </c>
      <c r="W165" s="15"/>
      <c r="X165" s="15"/>
      <c r="Y165" s="15"/>
      <c r="Z165" s="15"/>
      <c r="AA165" s="15"/>
      <c r="AB165" s="110" t="str">
        <f>IF(OR(A165="",posicao_contratual!E165="",posicao_contratual!J165=""),"",ROUND(MAX(posicao_contratual!E165-posicao_contratual!J165,0),2))</f>
        <v/>
      </c>
      <c r="AC165" s="104" t="str">
        <f>IF(AND(A165="",A164&lt;&gt;"",COUNTIF(A166:$A$200,"&lt;&gt;")=0),ROUND(SUMIF($A$2:A164,"&lt;&gt;",$AC$2:AC164),2),IF(OR(AB165="",C165="",NOT(ISNUMBER($Z$2))),"",ROUND(AB165*C165*$Z$2,2)))</f>
        <v/>
      </c>
      <c r="AD165" s="180" t="str">
        <f>IF(A165="","",posicao_contratual!E165)</f>
        <v/>
      </c>
      <c r="AE165" s="180" t="str">
        <f>IF(A165="","",posicao_contratual!I165)</f>
        <v/>
      </c>
      <c r="AF165" s="180" t="str">
        <f>IF(A165="","",posicao_contratual!M165)</f>
        <v/>
      </c>
      <c r="AG165" s="180" t="str">
        <f>IF(A165="","",posicao_contratual!Q165)</f>
        <v/>
      </c>
      <c r="AH165" s="180" t="str">
        <f>IF(A165="","",posicao_contratual!U165)</f>
        <v/>
      </c>
      <c r="AI165" s="180" t="str">
        <f>IF(A165="","",posicao_contratual!G165)</f>
        <v/>
      </c>
      <c r="AJ165" s="180" t="str">
        <f>IF(A165="","",posicao_contratual!K165)</f>
        <v/>
      </c>
      <c r="AK165" s="180" t="str">
        <f>IF(A165="","",posicao_contratual!O165)</f>
        <v/>
      </c>
      <c r="AL165" s="180" t="str">
        <f>IF(A165="","",posicao_contratual!S165)</f>
        <v/>
      </c>
      <c r="AM165" s="180" t="str">
        <f>IF(A165="","",posicao_contratual!W165)</f>
        <v/>
      </c>
      <c r="AN165" s="181" t="str">
        <f>IF(A165="","",posicao_contratual!X165)</f>
        <v/>
      </c>
    </row>
    <row r="166" spans="1:40" x14ac:dyDescent="0.35">
      <c r="A166" s="106"/>
      <c r="B166" s="107"/>
      <c r="C166" s="108"/>
      <c r="D166" s="104" t="str">
        <f>IF(AND(A166="",A165&lt;&gt;"",COUNTIF(A167:$A$200,"&lt;&gt;")=0),ROUND(SUMIF($A$2:A165,"&lt;&gt;",$D$2:D165),2),IF(OR(A166="",B166="",C166=""),"",ROUND(B166*C166,2)))</f>
        <v/>
      </c>
      <c r="E166" s="109"/>
      <c r="F166" s="104" t="str">
        <f>IF(AND(A166="",A165&lt;&gt;"",COUNTIF(A167:$A$200,"&lt;&gt;")=0),ROUND(SUMIF($A$2:A165,"&lt;&gt;",$F$2:F165),2),IF(OR(A166="",posicao_contratual!K166="",C166="",NOT(ISNUMBER($Z$3))),"",ROUND(posicao_contratual!K166*C166*$Z$3,2)))</f>
        <v/>
      </c>
      <c r="G166" s="109"/>
      <c r="H166" s="104" t="str">
        <f>IF(AND(A166="",A165&lt;&gt;"",COUNTIF(A167:$A$200,"&lt;&gt;")=0),ROUND(SUMIF($A$2:A165,"&lt;&gt;",$H$2:H165),2),IF(OR(A166="",posicao_contratual!O166="",C166="",NOT(ISNUMBER($Z$4))),"",ROUND(posicao_contratual!O166*C166*$Z$4,2)))</f>
        <v/>
      </c>
      <c r="I166" s="109"/>
      <c r="J166" s="104" t="str">
        <f>IF(AND(A166="",A165&lt;&gt;"",COUNTIF(A167:$A$200,"&lt;&gt;")=0),ROUND(SUMIF($A$2:A165,"&lt;&gt;",$J$2:J165),2),IF(OR(A166="",posicao_contratual!S166="",C166="",NOT(ISNUMBER($Z$5))),"",ROUND(posicao_contratual!S166*C166*$Z$5,2)))</f>
        <v/>
      </c>
      <c r="K166" s="109"/>
      <c r="L166" s="104" t="str">
        <f>IF(AND(A166="",A165&lt;&gt;"",COUNTIF(A167:$A$200,"&lt;&gt;")=0),ROUND(SUMIF($A$2:A165,"&lt;&gt;",$L$2:L165),2),IF(OR(A166="",posicao_contratual!W166="",C166="",NOT(ISNUMBER($Z$6))),"",ROUND(posicao_contratual!W166*C166*$Z$6,2)))</f>
        <v/>
      </c>
      <c r="M166" s="110" t="str">
        <f>IF(OR(posicao_contratual!J166="",posicao_contratual!N166=""),"",ROUND(MAX(posicao_contratual!J166+posicao_contratual!H166-posicao_contratual!N166,0),2))</f>
        <v/>
      </c>
      <c r="N166" s="104" t="str">
        <f>IF(AND(A166="",A165&lt;&gt;"",COUNTIF(A167:$A$200,"&lt;&gt;")=0),ROUND(SUMIF($A$2:A165,"&lt;&gt;",$N$2:N165),2),IF(OR(M166="",C166="",NOT(ISNUMBER($Z$3))),"",ROUND(M166*C166*$Z$3,2)))</f>
        <v/>
      </c>
      <c r="O166" s="110" t="str">
        <f>IF(OR(posicao_contratual!N166="",posicao_contratual!R166=""),"",ROUND(MAX(posicao_contratual!N166+posicao_contratual!L166-posicao_contratual!R166,0),2))</f>
        <v/>
      </c>
      <c r="P166" s="104" t="str">
        <f>IF(AND(A166="",A165&lt;&gt;"",COUNTIF(A167:$A$200,"&lt;&gt;")=0),ROUND(SUMIF($A$2:A165,"&lt;&gt;",$P$2:P165),2),IF(OR(O166="",C166="",NOT(ISNUMBER($Z$4))),"",ROUND(O166*C166*$Z$4,2)))</f>
        <v/>
      </c>
      <c r="Q166" s="110" t="str">
        <f>IF(OR(posicao_contratual!R166="",posicao_contratual!V166=""),"",ROUND(MAX(posicao_contratual!R166+posicao_contratual!P166-posicao_contratual!V166,0),2))</f>
        <v/>
      </c>
      <c r="R166" s="104" t="str">
        <f>IF(AND(A166="",A165&lt;&gt;"",COUNTIF(A167:$A$200,"&lt;&gt;")=0),ROUND(SUMIF($A$2:A165,"&lt;&gt;",$R$2:R165),2),IF(OR(Q166="",C166="",NOT(ISNUMBER($Z$5))),"",ROUND(Q166*C166*$Z$5,2)))</f>
        <v/>
      </c>
      <c r="S166" s="58"/>
      <c r="T166" s="59"/>
      <c r="U166" s="111" t="str">
        <f>IF(AND(A166="",A165&lt;&gt;"",COUNTIF(A167:$A$200,"&lt;&gt;")=0),"TOTAL",IF(A166="","",posicao_contratual!X166))</f>
        <v/>
      </c>
      <c r="V166" s="111" t="str">
        <f>IF(A166="","",posicao_contratual!X166)</f>
        <v/>
      </c>
      <c r="W166" s="15"/>
      <c r="X166" s="15"/>
      <c r="Y166" s="15"/>
      <c r="Z166" s="15"/>
      <c r="AA166" s="15"/>
      <c r="AB166" s="110" t="str">
        <f>IF(OR(A166="",posicao_contratual!E166="",posicao_contratual!J166=""),"",ROUND(MAX(posicao_contratual!E166-posicao_contratual!J166,0),2))</f>
        <v/>
      </c>
      <c r="AC166" s="104" t="str">
        <f>IF(AND(A166="",A165&lt;&gt;"",COUNTIF(A167:$A$200,"&lt;&gt;")=0),ROUND(SUMIF($A$2:A165,"&lt;&gt;",$AC$2:AC165),2),IF(OR(AB166="",C166="",NOT(ISNUMBER($Z$2))),"",ROUND(AB166*C166*$Z$2,2)))</f>
        <v/>
      </c>
      <c r="AD166" s="180" t="str">
        <f>IF(A166="","",posicao_contratual!E166)</f>
        <v/>
      </c>
      <c r="AE166" s="180" t="str">
        <f>IF(A166="","",posicao_contratual!I166)</f>
        <v/>
      </c>
      <c r="AF166" s="180" t="str">
        <f>IF(A166="","",posicao_contratual!M166)</f>
        <v/>
      </c>
      <c r="AG166" s="180" t="str">
        <f>IF(A166="","",posicao_contratual!Q166)</f>
        <v/>
      </c>
      <c r="AH166" s="180" t="str">
        <f>IF(A166="","",posicao_contratual!U166)</f>
        <v/>
      </c>
      <c r="AI166" s="180" t="str">
        <f>IF(A166="","",posicao_contratual!G166)</f>
        <v/>
      </c>
      <c r="AJ166" s="180" t="str">
        <f>IF(A166="","",posicao_contratual!K166)</f>
        <v/>
      </c>
      <c r="AK166" s="180" t="str">
        <f>IF(A166="","",posicao_contratual!O166)</f>
        <v/>
      </c>
      <c r="AL166" s="180" t="str">
        <f>IF(A166="","",posicao_contratual!S166)</f>
        <v/>
      </c>
      <c r="AM166" s="180" t="str">
        <f>IF(A166="","",posicao_contratual!W166)</f>
        <v/>
      </c>
      <c r="AN166" s="181" t="str">
        <f>IF(A166="","",posicao_contratual!X166)</f>
        <v/>
      </c>
    </row>
    <row r="167" spans="1:40" x14ac:dyDescent="0.35">
      <c r="A167" s="106"/>
      <c r="B167" s="107"/>
      <c r="C167" s="108"/>
      <c r="D167" s="104" t="str">
        <f>IF(AND(A167="",A166&lt;&gt;"",COUNTIF(A168:$A$200,"&lt;&gt;")=0),ROUND(SUMIF($A$2:A166,"&lt;&gt;",$D$2:D166),2),IF(OR(A167="",B167="",C167=""),"",ROUND(B167*C167,2)))</f>
        <v/>
      </c>
      <c r="E167" s="109"/>
      <c r="F167" s="104" t="str">
        <f>IF(AND(A167="",A166&lt;&gt;"",COUNTIF(A168:$A$200,"&lt;&gt;")=0),ROUND(SUMIF($A$2:A166,"&lt;&gt;",$F$2:F166),2),IF(OR(A167="",posicao_contratual!K167="",C167="",NOT(ISNUMBER($Z$3))),"",ROUND(posicao_contratual!K167*C167*$Z$3,2)))</f>
        <v/>
      </c>
      <c r="G167" s="109"/>
      <c r="H167" s="104" t="str">
        <f>IF(AND(A167="",A166&lt;&gt;"",COUNTIF(A168:$A$200,"&lt;&gt;")=0),ROUND(SUMIF($A$2:A166,"&lt;&gt;",$H$2:H166),2),IF(OR(A167="",posicao_contratual!O167="",C167="",NOT(ISNUMBER($Z$4))),"",ROUND(posicao_contratual!O167*C167*$Z$4,2)))</f>
        <v/>
      </c>
      <c r="I167" s="109"/>
      <c r="J167" s="104" t="str">
        <f>IF(AND(A167="",A166&lt;&gt;"",COUNTIF(A168:$A$200,"&lt;&gt;")=0),ROUND(SUMIF($A$2:A166,"&lt;&gt;",$J$2:J166),2),IF(OR(A167="",posicao_contratual!S167="",C167="",NOT(ISNUMBER($Z$5))),"",ROUND(posicao_contratual!S167*C167*$Z$5,2)))</f>
        <v/>
      </c>
      <c r="K167" s="109"/>
      <c r="L167" s="104" t="str">
        <f>IF(AND(A167="",A166&lt;&gt;"",COUNTIF(A168:$A$200,"&lt;&gt;")=0),ROUND(SUMIF($A$2:A166,"&lt;&gt;",$L$2:L166),2),IF(OR(A167="",posicao_contratual!W167="",C167="",NOT(ISNUMBER($Z$6))),"",ROUND(posicao_contratual!W167*C167*$Z$6,2)))</f>
        <v/>
      </c>
      <c r="M167" s="110" t="str">
        <f>IF(OR(posicao_contratual!J167="",posicao_contratual!N167=""),"",ROUND(MAX(posicao_contratual!J167+posicao_contratual!H167-posicao_contratual!N167,0),2))</f>
        <v/>
      </c>
      <c r="N167" s="104" t="str">
        <f>IF(AND(A167="",A166&lt;&gt;"",COUNTIF(A168:$A$200,"&lt;&gt;")=0),ROUND(SUMIF($A$2:A166,"&lt;&gt;",$N$2:N166),2),IF(OR(M167="",C167="",NOT(ISNUMBER($Z$3))),"",ROUND(M167*C167*$Z$3,2)))</f>
        <v/>
      </c>
      <c r="O167" s="110" t="str">
        <f>IF(OR(posicao_contratual!N167="",posicao_contratual!R167=""),"",ROUND(MAX(posicao_contratual!N167+posicao_contratual!L167-posicao_contratual!R167,0),2))</f>
        <v/>
      </c>
      <c r="P167" s="104" t="str">
        <f>IF(AND(A167="",A166&lt;&gt;"",COUNTIF(A168:$A$200,"&lt;&gt;")=0),ROUND(SUMIF($A$2:A166,"&lt;&gt;",$P$2:P166),2),IF(OR(O167="",C167="",NOT(ISNUMBER($Z$4))),"",ROUND(O167*C167*$Z$4,2)))</f>
        <v/>
      </c>
      <c r="Q167" s="110" t="str">
        <f>IF(OR(posicao_contratual!R167="",posicao_contratual!V167=""),"",ROUND(MAX(posicao_contratual!R167+posicao_contratual!P167-posicao_contratual!V167,0),2))</f>
        <v/>
      </c>
      <c r="R167" s="104" t="str">
        <f>IF(AND(A167="",A166&lt;&gt;"",COUNTIF(A168:$A$200,"&lt;&gt;")=0),ROUND(SUMIF($A$2:A166,"&lt;&gt;",$R$2:R166),2),IF(OR(Q167="",C167="",NOT(ISNUMBER($Z$5))),"",ROUND(Q167*C167*$Z$5,2)))</f>
        <v/>
      </c>
      <c r="S167" s="58"/>
      <c r="T167" s="59"/>
      <c r="U167" s="111" t="str">
        <f>IF(AND(A167="",A166&lt;&gt;"",COUNTIF(A168:$A$200,"&lt;&gt;")=0),"TOTAL",IF(A167="","",posicao_contratual!X167))</f>
        <v/>
      </c>
      <c r="V167" s="111" t="str">
        <f>IF(A167="","",posicao_contratual!X167)</f>
        <v/>
      </c>
      <c r="W167" s="15"/>
      <c r="X167" s="15"/>
      <c r="Y167" s="15"/>
      <c r="Z167" s="15"/>
      <c r="AA167" s="15"/>
      <c r="AB167" s="110" t="str">
        <f>IF(OR(A167="",posicao_contratual!E167="",posicao_contratual!J167=""),"",ROUND(MAX(posicao_contratual!E167-posicao_contratual!J167,0),2))</f>
        <v/>
      </c>
      <c r="AC167" s="104" t="str">
        <f>IF(AND(A167="",A166&lt;&gt;"",COUNTIF(A168:$A$200,"&lt;&gt;")=0),ROUND(SUMIF($A$2:A166,"&lt;&gt;",$AC$2:AC166),2),IF(OR(AB167="",C167="",NOT(ISNUMBER($Z$2))),"",ROUND(AB167*C167*$Z$2,2)))</f>
        <v/>
      </c>
      <c r="AD167" s="180" t="str">
        <f>IF(A167="","",posicao_contratual!E167)</f>
        <v/>
      </c>
      <c r="AE167" s="180" t="str">
        <f>IF(A167="","",posicao_contratual!I167)</f>
        <v/>
      </c>
      <c r="AF167" s="180" t="str">
        <f>IF(A167="","",posicao_contratual!M167)</f>
        <v/>
      </c>
      <c r="AG167" s="180" t="str">
        <f>IF(A167="","",posicao_contratual!Q167)</f>
        <v/>
      </c>
      <c r="AH167" s="180" t="str">
        <f>IF(A167="","",posicao_contratual!U167)</f>
        <v/>
      </c>
      <c r="AI167" s="180" t="str">
        <f>IF(A167="","",posicao_contratual!G167)</f>
        <v/>
      </c>
      <c r="AJ167" s="180" t="str">
        <f>IF(A167="","",posicao_contratual!K167)</f>
        <v/>
      </c>
      <c r="AK167" s="180" t="str">
        <f>IF(A167="","",posicao_contratual!O167)</f>
        <v/>
      </c>
      <c r="AL167" s="180" t="str">
        <f>IF(A167="","",posicao_contratual!S167)</f>
        <v/>
      </c>
      <c r="AM167" s="180" t="str">
        <f>IF(A167="","",posicao_contratual!W167)</f>
        <v/>
      </c>
      <c r="AN167" s="181" t="str">
        <f>IF(A167="","",posicao_contratual!X167)</f>
        <v/>
      </c>
    </row>
    <row r="168" spans="1:40" x14ac:dyDescent="0.35">
      <c r="A168" s="106"/>
      <c r="B168" s="107"/>
      <c r="C168" s="108"/>
      <c r="D168" s="104" t="str">
        <f>IF(AND(A168="",A167&lt;&gt;"",COUNTIF(A169:$A$200,"&lt;&gt;")=0),ROUND(SUMIF($A$2:A167,"&lt;&gt;",$D$2:D167),2),IF(OR(A168="",B168="",C168=""),"",ROUND(B168*C168,2)))</f>
        <v/>
      </c>
      <c r="E168" s="109"/>
      <c r="F168" s="104" t="str">
        <f>IF(AND(A168="",A167&lt;&gt;"",COUNTIF(A169:$A$200,"&lt;&gt;")=0),ROUND(SUMIF($A$2:A167,"&lt;&gt;",$F$2:F167),2),IF(OR(A168="",posicao_contratual!K168="",C168="",NOT(ISNUMBER($Z$3))),"",ROUND(posicao_contratual!K168*C168*$Z$3,2)))</f>
        <v/>
      </c>
      <c r="G168" s="109"/>
      <c r="H168" s="104" t="str">
        <f>IF(AND(A168="",A167&lt;&gt;"",COUNTIF(A169:$A$200,"&lt;&gt;")=0),ROUND(SUMIF($A$2:A167,"&lt;&gt;",$H$2:H167),2),IF(OR(A168="",posicao_contratual!O168="",C168="",NOT(ISNUMBER($Z$4))),"",ROUND(posicao_contratual!O168*C168*$Z$4,2)))</f>
        <v/>
      </c>
      <c r="I168" s="109"/>
      <c r="J168" s="104" t="str">
        <f>IF(AND(A168="",A167&lt;&gt;"",COUNTIF(A169:$A$200,"&lt;&gt;")=0),ROUND(SUMIF($A$2:A167,"&lt;&gt;",$J$2:J167),2),IF(OR(A168="",posicao_contratual!S168="",C168="",NOT(ISNUMBER($Z$5))),"",ROUND(posicao_contratual!S168*C168*$Z$5,2)))</f>
        <v/>
      </c>
      <c r="K168" s="109"/>
      <c r="L168" s="104" t="str">
        <f>IF(AND(A168="",A167&lt;&gt;"",COUNTIF(A169:$A$200,"&lt;&gt;")=0),ROUND(SUMIF($A$2:A167,"&lt;&gt;",$L$2:L167),2),IF(OR(A168="",posicao_contratual!W168="",C168="",NOT(ISNUMBER($Z$6))),"",ROUND(posicao_contratual!W168*C168*$Z$6,2)))</f>
        <v/>
      </c>
      <c r="M168" s="110" t="str">
        <f>IF(OR(posicao_contratual!J168="",posicao_contratual!N168=""),"",ROUND(MAX(posicao_contratual!J168+posicao_contratual!H168-posicao_contratual!N168,0),2))</f>
        <v/>
      </c>
      <c r="N168" s="104" t="str">
        <f>IF(AND(A168="",A167&lt;&gt;"",COUNTIF(A169:$A$200,"&lt;&gt;")=0),ROUND(SUMIF($A$2:A167,"&lt;&gt;",$N$2:N167),2),IF(OR(M168="",C168="",NOT(ISNUMBER($Z$3))),"",ROUND(M168*C168*$Z$3,2)))</f>
        <v/>
      </c>
      <c r="O168" s="110" t="str">
        <f>IF(OR(posicao_contratual!N168="",posicao_contratual!R168=""),"",ROUND(MAX(posicao_contratual!N168+posicao_contratual!L168-posicao_contratual!R168,0),2))</f>
        <v/>
      </c>
      <c r="P168" s="104" t="str">
        <f>IF(AND(A168="",A167&lt;&gt;"",COUNTIF(A169:$A$200,"&lt;&gt;")=0),ROUND(SUMIF($A$2:A167,"&lt;&gt;",$P$2:P167),2),IF(OR(O168="",C168="",NOT(ISNUMBER($Z$4))),"",ROUND(O168*C168*$Z$4,2)))</f>
        <v/>
      </c>
      <c r="Q168" s="110" t="str">
        <f>IF(OR(posicao_contratual!R168="",posicao_contratual!V168=""),"",ROUND(MAX(posicao_contratual!R168+posicao_contratual!P168-posicao_contratual!V168,0),2))</f>
        <v/>
      </c>
      <c r="R168" s="104" t="str">
        <f>IF(AND(A168="",A167&lt;&gt;"",COUNTIF(A169:$A$200,"&lt;&gt;")=0),ROUND(SUMIF($A$2:A167,"&lt;&gt;",$R$2:R167),2),IF(OR(Q168="",C168="",NOT(ISNUMBER($Z$5))),"",ROUND(Q168*C168*$Z$5,2)))</f>
        <v/>
      </c>
      <c r="S168" s="58"/>
      <c r="T168" s="59"/>
      <c r="U168" s="111" t="str">
        <f>IF(AND(A168="",A167&lt;&gt;"",COUNTIF(A169:$A$200,"&lt;&gt;")=0),"TOTAL",IF(A168="","",posicao_contratual!X168))</f>
        <v/>
      </c>
      <c r="V168" s="111" t="str">
        <f>IF(A168="","",posicao_contratual!X168)</f>
        <v/>
      </c>
      <c r="W168" s="15"/>
      <c r="X168" s="15"/>
      <c r="Y168" s="15"/>
      <c r="Z168" s="15"/>
      <c r="AA168" s="15"/>
      <c r="AB168" s="110" t="str">
        <f>IF(OR(A168="",posicao_contratual!E168="",posicao_contratual!J168=""),"",ROUND(MAX(posicao_contratual!E168-posicao_contratual!J168,0),2))</f>
        <v/>
      </c>
      <c r="AC168" s="104" t="str">
        <f>IF(AND(A168="",A167&lt;&gt;"",COUNTIF(A169:$A$200,"&lt;&gt;")=0),ROUND(SUMIF($A$2:A167,"&lt;&gt;",$AC$2:AC167),2),IF(OR(AB168="",C168="",NOT(ISNUMBER($Z$2))),"",ROUND(AB168*C168*$Z$2,2)))</f>
        <v/>
      </c>
      <c r="AD168" s="180" t="str">
        <f>IF(A168="","",posicao_contratual!E168)</f>
        <v/>
      </c>
      <c r="AE168" s="180" t="str">
        <f>IF(A168="","",posicao_contratual!I168)</f>
        <v/>
      </c>
      <c r="AF168" s="180" t="str">
        <f>IF(A168="","",posicao_contratual!M168)</f>
        <v/>
      </c>
      <c r="AG168" s="180" t="str">
        <f>IF(A168="","",posicao_contratual!Q168)</f>
        <v/>
      </c>
      <c r="AH168" s="180" t="str">
        <f>IF(A168="","",posicao_contratual!U168)</f>
        <v/>
      </c>
      <c r="AI168" s="180" t="str">
        <f>IF(A168="","",posicao_contratual!G168)</f>
        <v/>
      </c>
      <c r="AJ168" s="180" t="str">
        <f>IF(A168="","",posicao_contratual!K168)</f>
        <v/>
      </c>
      <c r="AK168" s="180" t="str">
        <f>IF(A168="","",posicao_contratual!O168)</f>
        <v/>
      </c>
      <c r="AL168" s="180" t="str">
        <f>IF(A168="","",posicao_contratual!S168)</f>
        <v/>
      </c>
      <c r="AM168" s="180" t="str">
        <f>IF(A168="","",posicao_contratual!W168)</f>
        <v/>
      </c>
      <c r="AN168" s="181" t="str">
        <f>IF(A168="","",posicao_contratual!X168)</f>
        <v/>
      </c>
    </row>
    <row r="169" spans="1:40" x14ac:dyDescent="0.35">
      <c r="A169" s="106"/>
      <c r="B169" s="107"/>
      <c r="C169" s="108"/>
      <c r="D169" s="104" t="str">
        <f>IF(AND(A169="",A168&lt;&gt;"",COUNTIF(A170:$A$200,"&lt;&gt;")=0),ROUND(SUMIF($A$2:A168,"&lt;&gt;",$D$2:D168),2),IF(OR(A169="",B169="",C169=""),"",ROUND(B169*C169,2)))</f>
        <v/>
      </c>
      <c r="E169" s="109"/>
      <c r="F169" s="104" t="str">
        <f>IF(AND(A169="",A168&lt;&gt;"",COUNTIF(A170:$A$200,"&lt;&gt;")=0),ROUND(SUMIF($A$2:A168,"&lt;&gt;",$F$2:F168),2),IF(OR(A169="",posicao_contratual!K169="",C169="",NOT(ISNUMBER($Z$3))),"",ROUND(posicao_contratual!K169*C169*$Z$3,2)))</f>
        <v/>
      </c>
      <c r="G169" s="109"/>
      <c r="H169" s="104" t="str">
        <f>IF(AND(A169="",A168&lt;&gt;"",COUNTIF(A170:$A$200,"&lt;&gt;")=0),ROUND(SUMIF($A$2:A168,"&lt;&gt;",$H$2:H168),2),IF(OR(A169="",posicao_contratual!O169="",C169="",NOT(ISNUMBER($Z$4))),"",ROUND(posicao_contratual!O169*C169*$Z$4,2)))</f>
        <v/>
      </c>
      <c r="I169" s="109"/>
      <c r="J169" s="104" t="str">
        <f>IF(AND(A169="",A168&lt;&gt;"",COUNTIF(A170:$A$200,"&lt;&gt;")=0),ROUND(SUMIF($A$2:A168,"&lt;&gt;",$J$2:J168),2),IF(OR(A169="",posicao_contratual!S169="",C169="",NOT(ISNUMBER($Z$5))),"",ROUND(posicao_contratual!S169*C169*$Z$5,2)))</f>
        <v/>
      </c>
      <c r="K169" s="109"/>
      <c r="L169" s="104" t="str">
        <f>IF(AND(A169="",A168&lt;&gt;"",COUNTIF(A170:$A$200,"&lt;&gt;")=0),ROUND(SUMIF($A$2:A168,"&lt;&gt;",$L$2:L168),2),IF(OR(A169="",posicao_contratual!W169="",C169="",NOT(ISNUMBER($Z$6))),"",ROUND(posicao_contratual!W169*C169*$Z$6,2)))</f>
        <v/>
      </c>
      <c r="M169" s="110" t="str">
        <f>IF(OR(posicao_contratual!J169="",posicao_contratual!N169=""),"",ROUND(MAX(posicao_contratual!J169+posicao_contratual!H169-posicao_contratual!N169,0),2))</f>
        <v/>
      </c>
      <c r="N169" s="104" t="str">
        <f>IF(AND(A169="",A168&lt;&gt;"",COUNTIF(A170:$A$200,"&lt;&gt;")=0),ROUND(SUMIF($A$2:A168,"&lt;&gt;",$N$2:N168),2),IF(OR(M169="",C169="",NOT(ISNUMBER($Z$3))),"",ROUND(M169*C169*$Z$3,2)))</f>
        <v/>
      </c>
      <c r="O169" s="110" t="str">
        <f>IF(OR(posicao_contratual!N169="",posicao_contratual!R169=""),"",ROUND(MAX(posicao_contratual!N169+posicao_contratual!L169-posicao_contratual!R169,0),2))</f>
        <v/>
      </c>
      <c r="P169" s="104" t="str">
        <f>IF(AND(A169="",A168&lt;&gt;"",COUNTIF(A170:$A$200,"&lt;&gt;")=0),ROUND(SUMIF($A$2:A168,"&lt;&gt;",$P$2:P168),2),IF(OR(O169="",C169="",NOT(ISNUMBER($Z$4))),"",ROUND(O169*C169*$Z$4,2)))</f>
        <v/>
      </c>
      <c r="Q169" s="110" t="str">
        <f>IF(OR(posicao_contratual!R169="",posicao_contratual!V169=""),"",ROUND(MAX(posicao_contratual!R169+posicao_contratual!P169-posicao_contratual!V169,0),2))</f>
        <v/>
      </c>
      <c r="R169" s="104" t="str">
        <f>IF(AND(A169="",A168&lt;&gt;"",COUNTIF(A170:$A$200,"&lt;&gt;")=0),ROUND(SUMIF($A$2:A168,"&lt;&gt;",$R$2:R168),2),IF(OR(Q169="",C169="",NOT(ISNUMBER($Z$5))),"",ROUND(Q169*C169*$Z$5,2)))</f>
        <v/>
      </c>
      <c r="S169" s="58"/>
      <c r="T169" s="59"/>
      <c r="U169" s="111" t="str">
        <f>IF(AND(A169="",A168&lt;&gt;"",COUNTIF(A170:$A$200,"&lt;&gt;")=0),"TOTAL",IF(A169="","",posicao_contratual!X169))</f>
        <v/>
      </c>
      <c r="V169" s="111" t="str">
        <f>IF(A169="","",posicao_contratual!X169)</f>
        <v/>
      </c>
      <c r="W169" s="15"/>
      <c r="X169" s="15"/>
      <c r="Y169" s="15"/>
      <c r="Z169" s="15"/>
      <c r="AA169" s="15"/>
      <c r="AB169" s="110" t="str">
        <f>IF(OR(A169="",posicao_contratual!E169="",posicao_contratual!J169=""),"",ROUND(MAX(posicao_contratual!E169-posicao_contratual!J169,0),2))</f>
        <v/>
      </c>
      <c r="AC169" s="104" t="str">
        <f>IF(AND(A169="",A168&lt;&gt;"",COUNTIF(A170:$A$200,"&lt;&gt;")=0),ROUND(SUMIF($A$2:A168,"&lt;&gt;",$AC$2:AC168),2),IF(OR(AB169="",C169="",NOT(ISNUMBER($Z$2))),"",ROUND(AB169*C169*$Z$2,2)))</f>
        <v/>
      </c>
      <c r="AD169" s="180" t="str">
        <f>IF(A169="","",posicao_contratual!E169)</f>
        <v/>
      </c>
      <c r="AE169" s="180" t="str">
        <f>IF(A169="","",posicao_contratual!I169)</f>
        <v/>
      </c>
      <c r="AF169" s="180" t="str">
        <f>IF(A169="","",posicao_contratual!M169)</f>
        <v/>
      </c>
      <c r="AG169" s="180" t="str">
        <f>IF(A169="","",posicao_contratual!Q169)</f>
        <v/>
      </c>
      <c r="AH169" s="180" t="str">
        <f>IF(A169="","",posicao_contratual!U169)</f>
        <v/>
      </c>
      <c r="AI169" s="180" t="str">
        <f>IF(A169="","",posicao_contratual!G169)</f>
        <v/>
      </c>
      <c r="AJ169" s="180" t="str">
        <f>IF(A169="","",posicao_contratual!K169)</f>
        <v/>
      </c>
      <c r="AK169" s="180" t="str">
        <f>IF(A169="","",posicao_contratual!O169)</f>
        <v/>
      </c>
      <c r="AL169" s="180" t="str">
        <f>IF(A169="","",posicao_contratual!S169)</f>
        <v/>
      </c>
      <c r="AM169" s="180" t="str">
        <f>IF(A169="","",posicao_contratual!W169)</f>
        <v/>
      </c>
      <c r="AN169" s="181" t="str">
        <f>IF(A169="","",posicao_contratual!X169)</f>
        <v/>
      </c>
    </row>
    <row r="170" spans="1:40" x14ac:dyDescent="0.35">
      <c r="A170" s="106"/>
      <c r="B170" s="107"/>
      <c r="C170" s="108"/>
      <c r="D170" s="104" t="str">
        <f>IF(AND(A170="",A169&lt;&gt;"",COUNTIF(A171:$A$200,"&lt;&gt;")=0),ROUND(SUMIF($A$2:A169,"&lt;&gt;",$D$2:D169),2),IF(OR(A170="",B170="",C170=""),"",ROUND(B170*C170,2)))</f>
        <v/>
      </c>
      <c r="E170" s="109"/>
      <c r="F170" s="104" t="str">
        <f>IF(AND(A170="",A169&lt;&gt;"",COUNTIF(A171:$A$200,"&lt;&gt;")=0),ROUND(SUMIF($A$2:A169,"&lt;&gt;",$F$2:F169),2),IF(OR(A170="",posicao_contratual!K170="",C170="",NOT(ISNUMBER($Z$3))),"",ROUND(posicao_contratual!K170*C170*$Z$3,2)))</f>
        <v/>
      </c>
      <c r="G170" s="109"/>
      <c r="H170" s="104" t="str">
        <f>IF(AND(A170="",A169&lt;&gt;"",COUNTIF(A171:$A$200,"&lt;&gt;")=0),ROUND(SUMIF($A$2:A169,"&lt;&gt;",$H$2:H169),2),IF(OR(A170="",posicao_contratual!O170="",C170="",NOT(ISNUMBER($Z$4))),"",ROUND(posicao_contratual!O170*C170*$Z$4,2)))</f>
        <v/>
      </c>
      <c r="I170" s="109"/>
      <c r="J170" s="104" t="str">
        <f>IF(AND(A170="",A169&lt;&gt;"",COUNTIF(A171:$A$200,"&lt;&gt;")=0),ROUND(SUMIF($A$2:A169,"&lt;&gt;",$J$2:J169),2),IF(OR(A170="",posicao_contratual!S170="",C170="",NOT(ISNUMBER($Z$5))),"",ROUND(posicao_contratual!S170*C170*$Z$5,2)))</f>
        <v/>
      </c>
      <c r="K170" s="109"/>
      <c r="L170" s="104" t="str">
        <f>IF(AND(A170="",A169&lt;&gt;"",COUNTIF(A171:$A$200,"&lt;&gt;")=0),ROUND(SUMIF($A$2:A169,"&lt;&gt;",$L$2:L169),2),IF(OR(A170="",posicao_contratual!W170="",C170="",NOT(ISNUMBER($Z$6))),"",ROUND(posicao_contratual!W170*C170*$Z$6,2)))</f>
        <v/>
      </c>
      <c r="M170" s="110" t="str">
        <f>IF(OR(posicao_contratual!J170="",posicao_contratual!N170=""),"",ROUND(MAX(posicao_contratual!J170+posicao_contratual!H170-posicao_contratual!N170,0),2))</f>
        <v/>
      </c>
      <c r="N170" s="104" t="str">
        <f>IF(AND(A170="",A169&lt;&gt;"",COUNTIF(A171:$A$200,"&lt;&gt;")=0),ROUND(SUMIF($A$2:A169,"&lt;&gt;",$N$2:N169),2),IF(OR(M170="",C170="",NOT(ISNUMBER($Z$3))),"",ROUND(M170*C170*$Z$3,2)))</f>
        <v/>
      </c>
      <c r="O170" s="110" t="str">
        <f>IF(OR(posicao_contratual!N170="",posicao_contratual!R170=""),"",ROUND(MAX(posicao_contratual!N170+posicao_contratual!L170-posicao_contratual!R170,0),2))</f>
        <v/>
      </c>
      <c r="P170" s="104" t="str">
        <f>IF(AND(A170="",A169&lt;&gt;"",COUNTIF(A171:$A$200,"&lt;&gt;")=0),ROUND(SUMIF($A$2:A169,"&lt;&gt;",$P$2:P169),2),IF(OR(O170="",C170="",NOT(ISNUMBER($Z$4))),"",ROUND(O170*C170*$Z$4,2)))</f>
        <v/>
      </c>
      <c r="Q170" s="110" t="str">
        <f>IF(OR(posicao_contratual!R170="",posicao_contratual!V170=""),"",ROUND(MAX(posicao_contratual!R170+posicao_contratual!P170-posicao_contratual!V170,0),2))</f>
        <v/>
      </c>
      <c r="R170" s="104" t="str">
        <f>IF(AND(A170="",A169&lt;&gt;"",COUNTIF(A171:$A$200,"&lt;&gt;")=0),ROUND(SUMIF($A$2:A169,"&lt;&gt;",$R$2:R169),2),IF(OR(Q170="",C170="",NOT(ISNUMBER($Z$5))),"",ROUND(Q170*C170*$Z$5,2)))</f>
        <v/>
      </c>
      <c r="S170" s="58"/>
      <c r="T170" s="59"/>
      <c r="U170" s="111" t="str">
        <f>IF(AND(A170="",A169&lt;&gt;"",COUNTIF(A171:$A$200,"&lt;&gt;")=0),"TOTAL",IF(A170="","",posicao_contratual!X170))</f>
        <v/>
      </c>
      <c r="V170" s="111" t="str">
        <f>IF(A170="","",posicao_contratual!X170)</f>
        <v/>
      </c>
      <c r="W170" s="15"/>
      <c r="X170" s="15"/>
      <c r="Y170" s="15"/>
      <c r="Z170" s="15"/>
      <c r="AA170" s="15"/>
      <c r="AB170" s="110" t="str">
        <f>IF(OR(A170="",posicao_contratual!E170="",posicao_contratual!J170=""),"",ROUND(MAX(posicao_contratual!E170-posicao_contratual!J170,0),2))</f>
        <v/>
      </c>
      <c r="AC170" s="104" t="str">
        <f>IF(AND(A170="",A169&lt;&gt;"",COUNTIF(A171:$A$200,"&lt;&gt;")=0),ROUND(SUMIF($A$2:A169,"&lt;&gt;",$AC$2:AC169),2),IF(OR(AB170="",C170="",NOT(ISNUMBER($Z$2))),"",ROUND(AB170*C170*$Z$2,2)))</f>
        <v/>
      </c>
      <c r="AD170" s="180" t="str">
        <f>IF(A170="","",posicao_contratual!E170)</f>
        <v/>
      </c>
      <c r="AE170" s="180" t="str">
        <f>IF(A170="","",posicao_contratual!I170)</f>
        <v/>
      </c>
      <c r="AF170" s="180" t="str">
        <f>IF(A170="","",posicao_contratual!M170)</f>
        <v/>
      </c>
      <c r="AG170" s="180" t="str">
        <f>IF(A170="","",posicao_contratual!Q170)</f>
        <v/>
      </c>
      <c r="AH170" s="180" t="str">
        <f>IF(A170="","",posicao_contratual!U170)</f>
        <v/>
      </c>
      <c r="AI170" s="180" t="str">
        <f>IF(A170="","",posicao_contratual!G170)</f>
        <v/>
      </c>
      <c r="AJ170" s="180" t="str">
        <f>IF(A170="","",posicao_contratual!K170)</f>
        <v/>
      </c>
      <c r="AK170" s="180" t="str">
        <f>IF(A170="","",posicao_contratual!O170)</f>
        <v/>
      </c>
      <c r="AL170" s="180" t="str">
        <f>IF(A170="","",posicao_contratual!S170)</f>
        <v/>
      </c>
      <c r="AM170" s="180" t="str">
        <f>IF(A170="","",posicao_contratual!W170)</f>
        <v/>
      </c>
      <c r="AN170" s="181" t="str">
        <f>IF(A170="","",posicao_contratual!X170)</f>
        <v/>
      </c>
    </row>
    <row r="171" spans="1:40" x14ac:dyDescent="0.35">
      <c r="A171" s="106"/>
      <c r="B171" s="107"/>
      <c r="C171" s="108"/>
      <c r="D171" s="104" t="str">
        <f>IF(AND(A171="",A170&lt;&gt;"",COUNTIF(A172:$A$200,"&lt;&gt;")=0),ROUND(SUMIF($A$2:A170,"&lt;&gt;",$D$2:D170),2),IF(OR(A171="",B171="",C171=""),"",ROUND(B171*C171,2)))</f>
        <v/>
      </c>
      <c r="E171" s="109"/>
      <c r="F171" s="104" t="str">
        <f>IF(AND(A171="",A170&lt;&gt;"",COUNTIF(A172:$A$200,"&lt;&gt;")=0),ROUND(SUMIF($A$2:A170,"&lt;&gt;",$F$2:F170),2),IF(OR(A171="",posicao_contratual!K171="",C171="",NOT(ISNUMBER($Z$3))),"",ROUND(posicao_contratual!K171*C171*$Z$3,2)))</f>
        <v/>
      </c>
      <c r="G171" s="109"/>
      <c r="H171" s="104" t="str">
        <f>IF(AND(A171="",A170&lt;&gt;"",COUNTIF(A172:$A$200,"&lt;&gt;")=0),ROUND(SUMIF($A$2:A170,"&lt;&gt;",$H$2:H170),2),IF(OR(A171="",posicao_contratual!O171="",C171="",NOT(ISNUMBER($Z$4))),"",ROUND(posicao_contratual!O171*C171*$Z$4,2)))</f>
        <v/>
      </c>
      <c r="I171" s="109"/>
      <c r="J171" s="104" t="str">
        <f>IF(AND(A171="",A170&lt;&gt;"",COUNTIF(A172:$A$200,"&lt;&gt;")=0),ROUND(SUMIF($A$2:A170,"&lt;&gt;",$J$2:J170),2),IF(OR(A171="",posicao_contratual!S171="",C171="",NOT(ISNUMBER($Z$5))),"",ROUND(posicao_contratual!S171*C171*$Z$5,2)))</f>
        <v/>
      </c>
      <c r="K171" s="109"/>
      <c r="L171" s="104" t="str">
        <f>IF(AND(A171="",A170&lt;&gt;"",COUNTIF(A172:$A$200,"&lt;&gt;")=0),ROUND(SUMIF($A$2:A170,"&lt;&gt;",$L$2:L170),2),IF(OR(A171="",posicao_contratual!W171="",C171="",NOT(ISNUMBER($Z$6))),"",ROUND(posicao_contratual!W171*C171*$Z$6,2)))</f>
        <v/>
      </c>
      <c r="M171" s="110" t="str">
        <f>IF(OR(posicao_contratual!J171="",posicao_contratual!N171=""),"",ROUND(MAX(posicao_contratual!J171+posicao_contratual!H171-posicao_contratual!N171,0),2))</f>
        <v/>
      </c>
      <c r="N171" s="104" t="str">
        <f>IF(AND(A171="",A170&lt;&gt;"",COUNTIF(A172:$A$200,"&lt;&gt;")=0),ROUND(SUMIF($A$2:A170,"&lt;&gt;",$N$2:N170),2),IF(OR(M171="",C171="",NOT(ISNUMBER($Z$3))),"",ROUND(M171*C171*$Z$3,2)))</f>
        <v/>
      </c>
      <c r="O171" s="110" t="str">
        <f>IF(OR(posicao_contratual!N171="",posicao_contratual!R171=""),"",ROUND(MAX(posicao_contratual!N171+posicao_contratual!L171-posicao_contratual!R171,0),2))</f>
        <v/>
      </c>
      <c r="P171" s="104" t="str">
        <f>IF(AND(A171="",A170&lt;&gt;"",COUNTIF(A172:$A$200,"&lt;&gt;")=0),ROUND(SUMIF($A$2:A170,"&lt;&gt;",$P$2:P170),2),IF(OR(O171="",C171="",NOT(ISNUMBER($Z$4))),"",ROUND(O171*C171*$Z$4,2)))</f>
        <v/>
      </c>
      <c r="Q171" s="110" t="str">
        <f>IF(OR(posicao_contratual!R171="",posicao_contratual!V171=""),"",ROUND(MAX(posicao_contratual!R171+posicao_contratual!P171-posicao_contratual!V171,0),2))</f>
        <v/>
      </c>
      <c r="R171" s="104" t="str">
        <f>IF(AND(A171="",A170&lt;&gt;"",COUNTIF(A172:$A$200,"&lt;&gt;")=0),ROUND(SUMIF($A$2:A170,"&lt;&gt;",$R$2:R170),2),IF(OR(Q171="",C171="",NOT(ISNUMBER($Z$5))),"",ROUND(Q171*C171*$Z$5,2)))</f>
        <v/>
      </c>
      <c r="S171" s="58"/>
      <c r="T171" s="59"/>
      <c r="U171" s="111" t="str">
        <f>IF(AND(A171="",A170&lt;&gt;"",COUNTIF(A172:$A$200,"&lt;&gt;")=0),"TOTAL",IF(A171="","",posicao_contratual!X171))</f>
        <v/>
      </c>
      <c r="V171" s="111" t="str">
        <f>IF(A171="","",posicao_contratual!X171)</f>
        <v/>
      </c>
      <c r="W171" s="15"/>
      <c r="X171" s="15"/>
      <c r="Y171" s="15"/>
      <c r="Z171" s="15"/>
      <c r="AA171" s="15"/>
      <c r="AB171" s="110" t="str">
        <f>IF(OR(A171="",posicao_contratual!E171="",posicao_contratual!J171=""),"",ROUND(MAX(posicao_contratual!E171-posicao_contratual!J171,0),2))</f>
        <v/>
      </c>
      <c r="AC171" s="104" t="str">
        <f>IF(AND(A171="",A170&lt;&gt;"",COUNTIF(A172:$A$200,"&lt;&gt;")=0),ROUND(SUMIF($A$2:A170,"&lt;&gt;",$AC$2:AC170),2),IF(OR(AB171="",C171="",NOT(ISNUMBER($Z$2))),"",ROUND(AB171*C171*$Z$2,2)))</f>
        <v/>
      </c>
      <c r="AD171" s="180" t="str">
        <f>IF(A171="","",posicao_contratual!E171)</f>
        <v/>
      </c>
      <c r="AE171" s="180" t="str">
        <f>IF(A171="","",posicao_contratual!I171)</f>
        <v/>
      </c>
      <c r="AF171" s="180" t="str">
        <f>IF(A171="","",posicao_contratual!M171)</f>
        <v/>
      </c>
      <c r="AG171" s="180" t="str">
        <f>IF(A171="","",posicao_contratual!Q171)</f>
        <v/>
      </c>
      <c r="AH171" s="180" t="str">
        <f>IF(A171="","",posicao_contratual!U171)</f>
        <v/>
      </c>
      <c r="AI171" s="180" t="str">
        <f>IF(A171="","",posicao_contratual!G171)</f>
        <v/>
      </c>
      <c r="AJ171" s="180" t="str">
        <f>IF(A171="","",posicao_contratual!K171)</f>
        <v/>
      </c>
      <c r="AK171" s="180" t="str">
        <f>IF(A171="","",posicao_contratual!O171)</f>
        <v/>
      </c>
      <c r="AL171" s="180" t="str">
        <f>IF(A171="","",posicao_contratual!S171)</f>
        <v/>
      </c>
      <c r="AM171" s="180" t="str">
        <f>IF(A171="","",posicao_contratual!W171)</f>
        <v/>
      </c>
      <c r="AN171" s="181" t="str">
        <f>IF(A171="","",posicao_contratual!X171)</f>
        <v/>
      </c>
    </row>
    <row r="172" spans="1:40" x14ac:dyDescent="0.35">
      <c r="A172" s="106"/>
      <c r="B172" s="107"/>
      <c r="C172" s="108"/>
      <c r="D172" s="104" t="str">
        <f>IF(AND(A172="",A171&lt;&gt;"",COUNTIF(A173:$A$200,"&lt;&gt;")=0),ROUND(SUMIF($A$2:A171,"&lt;&gt;",$D$2:D171),2),IF(OR(A172="",B172="",C172=""),"",ROUND(B172*C172,2)))</f>
        <v/>
      </c>
      <c r="E172" s="109"/>
      <c r="F172" s="104" t="str">
        <f>IF(AND(A172="",A171&lt;&gt;"",COUNTIF(A173:$A$200,"&lt;&gt;")=0),ROUND(SUMIF($A$2:A171,"&lt;&gt;",$F$2:F171),2),IF(OR(A172="",posicao_contratual!K172="",C172="",NOT(ISNUMBER($Z$3))),"",ROUND(posicao_contratual!K172*C172*$Z$3,2)))</f>
        <v/>
      </c>
      <c r="G172" s="109"/>
      <c r="H172" s="104" t="str">
        <f>IF(AND(A172="",A171&lt;&gt;"",COUNTIF(A173:$A$200,"&lt;&gt;")=0),ROUND(SUMIF($A$2:A171,"&lt;&gt;",$H$2:H171),2),IF(OR(A172="",posicao_contratual!O172="",C172="",NOT(ISNUMBER($Z$4))),"",ROUND(posicao_contratual!O172*C172*$Z$4,2)))</f>
        <v/>
      </c>
      <c r="I172" s="109"/>
      <c r="J172" s="104" t="str">
        <f>IF(AND(A172="",A171&lt;&gt;"",COUNTIF(A173:$A$200,"&lt;&gt;")=0),ROUND(SUMIF($A$2:A171,"&lt;&gt;",$J$2:J171),2),IF(OR(A172="",posicao_contratual!S172="",C172="",NOT(ISNUMBER($Z$5))),"",ROUND(posicao_contratual!S172*C172*$Z$5,2)))</f>
        <v/>
      </c>
      <c r="K172" s="109"/>
      <c r="L172" s="104" t="str">
        <f>IF(AND(A172="",A171&lt;&gt;"",COUNTIF(A173:$A$200,"&lt;&gt;")=0),ROUND(SUMIF($A$2:A171,"&lt;&gt;",$L$2:L171),2),IF(OR(A172="",posicao_contratual!W172="",C172="",NOT(ISNUMBER($Z$6))),"",ROUND(posicao_contratual!W172*C172*$Z$6,2)))</f>
        <v/>
      </c>
      <c r="M172" s="110" t="str">
        <f>IF(OR(posicao_contratual!J172="",posicao_contratual!N172=""),"",ROUND(MAX(posicao_contratual!J172+posicao_contratual!H172-posicao_contratual!N172,0),2))</f>
        <v/>
      </c>
      <c r="N172" s="104" t="str">
        <f>IF(AND(A172="",A171&lt;&gt;"",COUNTIF(A173:$A$200,"&lt;&gt;")=0),ROUND(SUMIF($A$2:A171,"&lt;&gt;",$N$2:N171),2),IF(OR(M172="",C172="",NOT(ISNUMBER($Z$3))),"",ROUND(M172*C172*$Z$3,2)))</f>
        <v/>
      </c>
      <c r="O172" s="110" t="str">
        <f>IF(OR(posicao_contratual!N172="",posicao_contratual!R172=""),"",ROUND(MAX(posicao_contratual!N172+posicao_contratual!L172-posicao_contratual!R172,0),2))</f>
        <v/>
      </c>
      <c r="P172" s="104" t="str">
        <f>IF(AND(A172="",A171&lt;&gt;"",COUNTIF(A173:$A$200,"&lt;&gt;")=0),ROUND(SUMIF($A$2:A171,"&lt;&gt;",$P$2:P171),2),IF(OR(O172="",C172="",NOT(ISNUMBER($Z$4))),"",ROUND(O172*C172*$Z$4,2)))</f>
        <v/>
      </c>
      <c r="Q172" s="110" t="str">
        <f>IF(OR(posicao_contratual!R172="",posicao_contratual!V172=""),"",ROUND(MAX(posicao_contratual!R172+posicao_contratual!P172-posicao_contratual!V172,0),2))</f>
        <v/>
      </c>
      <c r="R172" s="104" t="str">
        <f>IF(AND(A172="",A171&lt;&gt;"",COUNTIF(A173:$A$200,"&lt;&gt;")=0),ROUND(SUMIF($A$2:A171,"&lt;&gt;",$R$2:R171),2),IF(OR(Q172="",C172="",NOT(ISNUMBER($Z$5))),"",ROUND(Q172*C172*$Z$5,2)))</f>
        <v/>
      </c>
      <c r="S172" s="58"/>
      <c r="T172" s="59"/>
      <c r="U172" s="111" t="str">
        <f>IF(AND(A172="",A171&lt;&gt;"",COUNTIF(A173:$A$200,"&lt;&gt;")=0),"TOTAL",IF(A172="","",posicao_contratual!X172))</f>
        <v/>
      </c>
      <c r="V172" s="111" t="str">
        <f>IF(A172="","",posicao_contratual!X172)</f>
        <v/>
      </c>
      <c r="W172" s="15"/>
      <c r="X172" s="15"/>
      <c r="Y172" s="15"/>
      <c r="Z172" s="15"/>
      <c r="AA172" s="15"/>
      <c r="AB172" s="110" t="str">
        <f>IF(OR(A172="",posicao_contratual!E172="",posicao_contratual!J172=""),"",ROUND(MAX(posicao_contratual!E172-posicao_contratual!J172,0),2))</f>
        <v/>
      </c>
      <c r="AC172" s="104" t="str">
        <f>IF(AND(A172="",A171&lt;&gt;"",COUNTIF(A173:$A$200,"&lt;&gt;")=0),ROUND(SUMIF($A$2:A171,"&lt;&gt;",$AC$2:AC171),2),IF(OR(AB172="",C172="",NOT(ISNUMBER($Z$2))),"",ROUND(AB172*C172*$Z$2,2)))</f>
        <v/>
      </c>
      <c r="AD172" s="180" t="str">
        <f>IF(A172="","",posicao_contratual!E172)</f>
        <v/>
      </c>
      <c r="AE172" s="180" t="str">
        <f>IF(A172="","",posicao_contratual!I172)</f>
        <v/>
      </c>
      <c r="AF172" s="180" t="str">
        <f>IF(A172="","",posicao_contratual!M172)</f>
        <v/>
      </c>
      <c r="AG172" s="180" t="str">
        <f>IF(A172="","",posicao_contratual!Q172)</f>
        <v/>
      </c>
      <c r="AH172" s="180" t="str">
        <f>IF(A172="","",posicao_contratual!U172)</f>
        <v/>
      </c>
      <c r="AI172" s="180" t="str">
        <f>IF(A172="","",posicao_contratual!G172)</f>
        <v/>
      </c>
      <c r="AJ172" s="180" t="str">
        <f>IF(A172="","",posicao_contratual!K172)</f>
        <v/>
      </c>
      <c r="AK172" s="180" t="str">
        <f>IF(A172="","",posicao_contratual!O172)</f>
        <v/>
      </c>
      <c r="AL172" s="180" t="str">
        <f>IF(A172="","",posicao_contratual!S172)</f>
        <v/>
      </c>
      <c r="AM172" s="180" t="str">
        <f>IF(A172="","",posicao_contratual!W172)</f>
        <v/>
      </c>
      <c r="AN172" s="181" t="str">
        <f>IF(A172="","",posicao_contratual!X172)</f>
        <v/>
      </c>
    </row>
    <row r="173" spans="1:40" x14ac:dyDescent="0.35">
      <c r="A173" s="106"/>
      <c r="B173" s="107"/>
      <c r="C173" s="108"/>
      <c r="D173" s="104" t="str">
        <f>IF(AND(A173="",A172&lt;&gt;"",COUNTIF(A174:$A$200,"&lt;&gt;")=0),ROUND(SUMIF($A$2:A172,"&lt;&gt;",$D$2:D172),2),IF(OR(A173="",B173="",C173=""),"",ROUND(B173*C173,2)))</f>
        <v/>
      </c>
      <c r="E173" s="109"/>
      <c r="F173" s="104" t="str">
        <f>IF(AND(A173="",A172&lt;&gt;"",COUNTIF(A174:$A$200,"&lt;&gt;")=0),ROUND(SUMIF($A$2:A172,"&lt;&gt;",$F$2:F172),2),IF(OR(A173="",posicao_contratual!K173="",C173="",NOT(ISNUMBER($Z$3))),"",ROUND(posicao_contratual!K173*C173*$Z$3,2)))</f>
        <v/>
      </c>
      <c r="G173" s="109"/>
      <c r="H173" s="104" t="str">
        <f>IF(AND(A173="",A172&lt;&gt;"",COUNTIF(A174:$A$200,"&lt;&gt;")=0),ROUND(SUMIF($A$2:A172,"&lt;&gt;",$H$2:H172),2),IF(OR(A173="",posicao_contratual!O173="",C173="",NOT(ISNUMBER($Z$4))),"",ROUND(posicao_contratual!O173*C173*$Z$4,2)))</f>
        <v/>
      </c>
      <c r="I173" s="109"/>
      <c r="J173" s="104" t="str">
        <f>IF(AND(A173="",A172&lt;&gt;"",COUNTIF(A174:$A$200,"&lt;&gt;")=0),ROUND(SUMIF($A$2:A172,"&lt;&gt;",$J$2:J172),2),IF(OR(A173="",posicao_contratual!S173="",C173="",NOT(ISNUMBER($Z$5))),"",ROUND(posicao_contratual!S173*C173*$Z$5,2)))</f>
        <v/>
      </c>
      <c r="K173" s="109"/>
      <c r="L173" s="104" t="str">
        <f>IF(AND(A173="",A172&lt;&gt;"",COUNTIF(A174:$A$200,"&lt;&gt;")=0),ROUND(SUMIF($A$2:A172,"&lt;&gt;",$L$2:L172),2),IF(OR(A173="",posicao_contratual!W173="",C173="",NOT(ISNUMBER($Z$6))),"",ROUND(posicao_contratual!W173*C173*$Z$6,2)))</f>
        <v/>
      </c>
      <c r="M173" s="110" t="str">
        <f>IF(OR(posicao_contratual!J173="",posicao_contratual!N173=""),"",ROUND(MAX(posicao_contratual!J173+posicao_contratual!H173-posicao_contratual!N173,0),2))</f>
        <v/>
      </c>
      <c r="N173" s="104" t="str">
        <f>IF(AND(A173="",A172&lt;&gt;"",COUNTIF(A174:$A$200,"&lt;&gt;")=0),ROUND(SUMIF($A$2:A172,"&lt;&gt;",$N$2:N172),2),IF(OR(M173="",C173="",NOT(ISNUMBER($Z$3))),"",ROUND(M173*C173*$Z$3,2)))</f>
        <v/>
      </c>
      <c r="O173" s="110" t="str">
        <f>IF(OR(posicao_contratual!N173="",posicao_contratual!R173=""),"",ROUND(MAX(posicao_contratual!N173+posicao_contratual!L173-posicao_contratual!R173,0),2))</f>
        <v/>
      </c>
      <c r="P173" s="104" t="str">
        <f>IF(AND(A173="",A172&lt;&gt;"",COUNTIF(A174:$A$200,"&lt;&gt;")=0),ROUND(SUMIF($A$2:A172,"&lt;&gt;",$P$2:P172),2),IF(OR(O173="",C173="",NOT(ISNUMBER($Z$4))),"",ROUND(O173*C173*$Z$4,2)))</f>
        <v/>
      </c>
      <c r="Q173" s="110" t="str">
        <f>IF(OR(posicao_contratual!R173="",posicao_contratual!V173=""),"",ROUND(MAX(posicao_contratual!R173+posicao_contratual!P173-posicao_contratual!V173,0),2))</f>
        <v/>
      </c>
      <c r="R173" s="104" t="str">
        <f>IF(AND(A173="",A172&lt;&gt;"",COUNTIF(A174:$A$200,"&lt;&gt;")=0),ROUND(SUMIF($A$2:A172,"&lt;&gt;",$R$2:R172),2),IF(OR(Q173="",C173="",NOT(ISNUMBER($Z$5))),"",ROUND(Q173*C173*$Z$5,2)))</f>
        <v/>
      </c>
      <c r="S173" s="58"/>
      <c r="T173" s="59"/>
      <c r="U173" s="111" t="str">
        <f>IF(AND(A173="",A172&lt;&gt;"",COUNTIF(A174:$A$200,"&lt;&gt;")=0),"TOTAL",IF(A173="","",posicao_contratual!X173))</f>
        <v/>
      </c>
      <c r="V173" s="111" t="str">
        <f>IF(A173="","",posicao_contratual!X173)</f>
        <v/>
      </c>
      <c r="W173" s="15"/>
      <c r="X173" s="15"/>
      <c r="Y173" s="15"/>
      <c r="Z173" s="15"/>
      <c r="AA173" s="15"/>
      <c r="AB173" s="110" t="str">
        <f>IF(OR(A173="",posicao_contratual!E173="",posicao_contratual!J173=""),"",ROUND(MAX(posicao_contratual!E173-posicao_contratual!J173,0),2))</f>
        <v/>
      </c>
      <c r="AC173" s="104" t="str">
        <f>IF(AND(A173="",A172&lt;&gt;"",COUNTIF(A174:$A$200,"&lt;&gt;")=0),ROUND(SUMIF($A$2:A172,"&lt;&gt;",$AC$2:AC172),2),IF(OR(AB173="",C173="",NOT(ISNUMBER($Z$2))),"",ROUND(AB173*C173*$Z$2,2)))</f>
        <v/>
      </c>
      <c r="AD173" s="180" t="str">
        <f>IF(A173="","",posicao_contratual!E173)</f>
        <v/>
      </c>
      <c r="AE173" s="180" t="str">
        <f>IF(A173="","",posicao_contratual!I173)</f>
        <v/>
      </c>
      <c r="AF173" s="180" t="str">
        <f>IF(A173="","",posicao_contratual!M173)</f>
        <v/>
      </c>
      <c r="AG173" s="180" t="str">
        <f>IF(A173="","",posicao_contratual!Q173)</f>
        <v/>
      </c>
      <c r="AH173" s="180" t="str">
        <f>IF(A173="","",posicao_contratual!U173)</f>
        <v/>
      </c>
      <c r="AI173" s="180" t="str">
        <f>IF(A173="","",posicao_contratual!G173)</f>
        <v/>
      </c>
      <c r="AJ173" s="180" t="str">
        <f>IF(A173="","",posicao_contratual!K173)</f>
        <v/>
      </c>
      <c r="AK173" s="180" t="str">
        <f>IF(A173="","",posicao_contratual!O173)</f>
        <v/>
      </c>
      <c r="AL173" s="180" t="str">
        <f>IF(A173="","",posicao_contratual!S173)</f>
        <v/>
      </c>
      <c r="AM173" s="180" t="str">
        <f>IF(A173="","",posicao_contratual!W173)</f>
        <v/>
      </c>
      <c r="AN173" s="181" t="str">
        <f>IF(A173="","",posicao_contratual!X173)</f>
        <v/>
      </c>
    </row>
    <row r="174" spans="1:40" x14ac:dyDescent="0.35">
      <c r="A174" s="106"/>
      <c r="B174" s="107"/>
      <c r="C174" s="108"/>
      <c r="D174" s="104" t="str">
        <f>IF(AND(A174="",A173&lt;&gt;"",COUNTIF(A175:$A$200,"&lt;&gt;")=0),ROUND(SUMIF($A$2:A173,"&lt;&gt;",$D$2:D173),2),IF(OR(A174="",B174="",C174=""),"",ROUND(B174*C174,2)))</f>
        <v/>
      </c>
      <c r="E174" s="109"/>
      <c r="F174" s="104" t="str">
        <f>IF(AND(A174="",A173&lt;&gt;"",COUNTIF(A175:$A$200,"&lt;&gt;")=0),ROUND(SUMIF($A$2:A173,"&lt;&gt;",$F$2:F173),2),IF(OR(A174="",posicao_contratual!K174="",C174="",NOT(ISNUMBER($Z$3))),"",ROUND(posicao_contratual!K174*C174*$Z$3,2)))</f>
        <v/>
      </c>
      <c r="G174" s="109"/>
      <c r="H174" s="104" t="str">
        <f>IF(AND(A174="",A173&lt;&gt;"",COUNTIF(A175:$A$200,"&lt;&gt;")=0),ROUND(SUMIF($A$2:A173,"&lt;&gt;",$H$2:H173),2),IF(OR(A174="",posicao_contratual!O174="",C174="",NOT(ISNUMBER($Z$4))),"",ROUND(posicao_contratual!O174*C174*$Z$4,2)))</f>
        <v/>
      </c>
      <c r="I174" s="109"/>
      <c r="J174" s="104" t="str">
        <f>IF(AND(A174="",A173&lt;&gt;"",COUNTIF(A175:$A$200,"&lt;&gt;")=0),ROUND(SUMIF($A$2:A173,"&lt;&gt;",$J$2:J173),2),IF(OR(A174="",posicao_contratual!S174="",C174="",NOT(ISNUMBER($Z$5))),"",ROUND(posicao_contratual!S174*C174*$Z$5,2)))</f>
        <v/>
      </c>
      <c r="K174" s="109"/>
      <c r="L174" s="104" t="str">
        <f>IF(AND(A174="",A173&lt;&gt;"",COUNTIF(A175:$A$200,"&lt;&gt;")=0),ROUND(SUMIF($A$2:A173,"&lt;&gt;",$L$2:L173),2),IF(OR(A174="",posicao_contratual!W174="",C174="",NOT(ISNUMBER($Z$6))),"",ROUND(posicao_contratual!W174*C174*$Z$6,2)))</f>
        <v/>
      </c>
      <c r="M174" s="110" t="str">
        <f>IF(OR(posicao_contratual!J174="",posicao_contratual!N174=""),"",ROUND(MAX(posicao_contratual!J174+posicao_contratual!H174-posicao_contratual!N174,0),2))</f>
        <v/>
      </c>
      <c r="N174" s="104" t="str">
        <f>IF(AND(A174="",A173&lt;&gt;"",COUNTIF(A175:$A$200,"&lt;&gt;")=0),ROUND(SUMIF($A$2:A173,"&lt;&gt;",$N$2:N173),2),IF(OR(M174="",C174="",NOT(ISNUMBER($Z$3))),"",ROUND(M174*C174*$Z$3,2)))</f>
        <v/>
      </c>
      <c r="O174" s="110" t="str">
        <f>IF(OR(posicao_contratual!N174="",posicao_contratual!R174=""),"",ROUND(MAX(posicao_contratual!N174+posicao_contratual!L174-posicao_contratual!R174,0),2))</f>
        <v/>
      </c>
      <c r="P174" s="104" t="str">
        <f>IF(AND(A174="",A173&lt;&gt;"",COUNTIF(A175:$A$200,"&lt;&gt;")=0),ROUND(SUMIF($A$2:A173,"&lt;&gt;",$P$2:P173),2),IF(OR(O174="",C174="",NOT(ISNUMBER($Z$4))),"",ROUND(O174*C174*$Z$4,2)))</f>
        <v/>
      </c>
      <c r="Q174" s="110" t="str">
        <f>IF(OR(posicao_contratual!R174="",posicao_contratual!V174=""),"",ROUND(MAX(posicao_contratual!R174+posicao_contratual!P174-posicao_contratual!V174,0),2))</f>
        <v/>
      </c>
      <c r="R174" s="104" t="str">
        <f>IF(AND(A174="",A173&lt;&gt;"",COUNTIF(A175:$A$200,"&lt;&gt;")=0),ROUND(SUMIF($A$2:A173,"&lt;&gt;",$R$2:R173),2),IF(OR(Q174="",C174="",NOT(ISNUMBER($Z$5))),"",ROUND(Q174*C174*$Z$5,2)))</f>
        <v/>
      </c>
      <c r="S174" s="58"/>
      <c r="T174" s="59"/>
      <c r="U174" s="111" t="str">
        <f>IF(AND(A174="",A173&lt;&gt;"",COUNTIF(A175:$A$200,"&lt;&gt;")=0),"TOTAL",IF(A174="","",posicao_contratual!X174))</f>
        <v/>
      </c>
      <c r="V174" s="111" t="str">
        <f>IF(A174="","",posicao_contratual!X174)</f>
        <v/>
      </c>
      <c r="W174" s="15"/>
      <c r="X174" s="15"/>
      <c r="Y174" s="15"/>
      <c r="Z174" s="15"/>
      <c r="AA174" s="15"/>
      <c r="AB174" s="110" t="str">
        <f>IF(OR(A174="",posicao_contratual!E174="",posicao_contratual!J174=""),"",ROUND(MAX(posicao_contratual!E174-posicao_contratual!J174,0),2))</f>
        <v/>
      </c>
      <c r="AC174" s="104" t="str">
        <f>IF(AND(A174="",A173&lt;&gt;"",COUNTIF(A175:$A$200,"&lt;&gt;")=0),ROUND(SUMIF($A$2:A173,"&lt;&gt;",$AC$2:AC173),2),IF(OR(AB174="",C174="",NOT(ISNUMBER($Z$2))),"",ROUND(AB174*C174*$Z$2,2)))</f>
        <v/>
      </c>
      <c r="AD174" s="180" t="str">
        <f>IF(A174="","",posicao_contratual!E174)</f>
        <v/>
      </c>
      <c r="AE174" s="180" t="str">
        <f>IF(A174="","",posicao_contratual!I174)</f>
        <v/>
      </c>
      <c r="AF174" s="180" t="str">
        <f>IF(A174="","",posicao_contratual!M174)</f>
        <v/>
      </c>
      <c r="AG174" s="180" t="str">
        <f>IF(A174="","",posicao_contratual!Q174)</f>
        <v/>
      </c>
      <c r="AH174" s="180" t="str">
        <f>IF(A174="","",posicao_contratual!U174)</f>
        <v/>
      </c>
      <c r="AI174" s="180" t="str">
        <f>IF(A174="","",posicao_contratual!G174)</f>
        <v/>
      </c>
      <c r="AJ174" s="180" t="str">
        <f>IF(A174="","",posicao_contratual!K174)</f>
        <v/>
      </c>
      <c r="AK174" s="180" t="str">
        <f>IF(A174="","",posicao_contratual!O174)</f>
        <v/>
      </c>
      <c r="AL174" s="180" t="str">
        <f>IF(A174="","",posicao_contratual!S174)</f>
        <v/>
      </c>
      <c r="AM174" s="180" t="str">
        <f>IF(A174="","",posicao_contratual!W174)</f>
        <v/>
      </c>
      <c r="AN174" s="181" t="str">
        <f>IF(A174="","",posicao_contratual!X174)</f>
        <v/>
      </c>
    </row>
    <row r="175" spans="1:40" x14ac:dyDescent="0.35">
      <c r="A175" s="106"/>
      <c r="B175" s="107"/>
      <c r="C175" s="108"/>
      <c r="D175" s="104" t="str">
        <f>IF(AND(A175="",A174&lt;&gt;"",COUNTIF(A176:$A$200,"&lt;&gt;")=0),ROUND(SUMIF($A$2:A174,"&lt;&gt;",$D$2:D174),2),IF(OR(A175="",B175="",C175=""),"",ROUND(B175*C175,2)))</f>
        <v/>
      </c>
      <c r="E175" s="109"/>
      <c r="F175" s="104" t="str">
        <f>IF(AND(A175="",A174&lt;&gt;"",COUNTIF(A176:$A$200,"&lt;&gt;")=0),ROUND(SUMIF($A$2:A174,"&lt;&gt;",$F$2:F174),2),IF(OR(A175="",posicao_contratual!K175="",C175="",NOT(ISNUMBER($Z$3))),"",ROUND(posicao_contratual!K175*C175*$Z$3,2)))</f>
        <v/>
      </c>
      <c r="G175" s="109"/>
      <c r="H175" s="104" t="str">
        <f>IF(AND(A175="",A174&lt;&gt;"",COUNTIF(A176:$A$200,"&lt;&gt;")=0),ROUND(SUMIF($A$2:A174,"&lt;&gt;",$H$2:H174),2),IF(OR(A175="",posicao_contratual!O175="",C175="",NOT(ISNUMBER($Z$4))),"",ROUND(posicao_contratual!O175*C175*$Z$4,2)))</f>
        <v/>
      </c>
      <c r="I175" s="109"/>
      <c r="J175" s="104" t="str">
        <f>IF(AND(A175="",A174&lt;&gt;"",COUNTIF(A176:$A$200,"&lt;&gt;")=0),ROUND(SUMIF($A$2:A174,"&lt;&gt;",$J$2:J174),2),IF(OR(A175="",posicao_contratual!S175="",C175="",NOT(ISNUMBER($Z$5))),"",ROUND(posicao_contratual!S175*C175*$Z$5,2)))</f>
        <v/>
      </c>
      <c r="K175" s="109"/>
      <c r="L175" s="104" t="str">
        <f>IF(AND(A175="",A174&lt;&gt;"",COUNTIF(A176:$A$200,"&lt;&gt;")=0),ROUND(SUMIF($A$2:A174,"&lt;&gt;",$L$2:L174),2),IF(OR(A175="",posicao_contratual!W175="",C175="",NOT(ISNUMBER($Z$6))),"",ROUND(posicao_contratual!W175*C175*$Z$6,2)))</f>
        <v/>
      </c>
      <c r="M175" s="110" t="str">
        <f>IF(OR(posicao_contratual!J175="",posicao_contratual!N175=""),"",ROUND(MAX(posicao_contratual!J175+posicao_contratual!H175-posicao_contratual!N175,0),2))</f>
        <v/>
      </c>
      <c r="N175" s="104" t="str">
        <f>IF(AND(A175="",A174&lt;&gt;"",COUNTIF(A176:$A$200,"&lt;&gt;")=0),ROUND(SUMIF($A$2:A174,"&lt;&gt;",$N$2:N174),2),IF(OR(M175="",C175="",NOT(ISNUMBER($Z$3))),"",ROUND(M175*C175*$Z$3,2)))</f>
        <v/>
      </c>
      <c r="O175" s="110" t="str">
        <f>IF(OR(posicao_contratual!N175="",posicao_contratual!R175=""),"",ROUND(MAX(posicao_contratual!N175+posicao_contratual!L175-posicao_contratual!R175,0),2))</f>
        <v/>
      </c>
      <c r="P175" s="104" t="str">
        <f>IF(AND(A175="",A174&lt;&gt;"",COUNTIF(A176:$A$200,"&lt;&gt;")=0),ROUND(SUMIF($A$2:A174,"&lt;&gt;",$P$2:P174),2),IF(OR(O175="",C175="",NOT(ISNUMBER($Z$4))),"",ROUND(O175*C175*$Z$4,2)))</f>
        <v/>
      </c>
      <c r="Q175" s="110" t="str">
        <f>IF(OR(posicao_contratual!R175="",posicao_contratual!V175=""),"",ROUND(MAX(posicao_contratual!R175+posicao_contratual!P175-posicao_contratual!V175,0),2))</f>
        <v/>
      </c>
      <c r="R175" s="104" t="str">
        <f>IF(AND(A175="",A174&lt;&gt;"",COUNTIF(A176:$A$200,"&lt;&gt;")=0),ROUND(SUMIF($A$2:A174,"&lt;&gt;",$R$2:R174),2),IF(OR(Q175="",C175="",NOT(ISNUMBER($Z$5))),"",ROUND(Q175*C175*$Z$5,2)))</f>
        <v/>
      </c>
      <c r="S175" s="58"/>
      <c r="T175" s="59"/>
      <c r="U175" s="111" t="str">
        <f>IF(AND(A175="",A174&lt;&gt;"",COUNTIF(A176:$A$200,"&lt;&gt;")=0),"TOTAL",IF(A175="","",posicao_contratual!X175))</f>
        <v/>
      </c>
      <c r="V175" s="111" t="str">
        <f>IF(A175="","",posicao_contratual!X175)</f>
        <v/>
      </c>
      <c r="W175" s="15"/>
      <c r="X175" s="15"/>
      <c r="Y175" s="15"/>
      <c r="Z175" s="15"/>
      <c r="AA175" s="15"/>
      <c r="AB175" s="110" t="str">
        <f>IF(OR(A175="",posicao_contratual!E175="",posicao_contratual!J175=""),"",ROUND(MAX(posicao_contratual!E175-posicao_contratual!J175,0),2))</f>
        <v/>
      </c>
      <c r="AC175" s="104" t="str">
        <f>IF(AND(A175="",A174&lt;&gt;"",COUNTIF(A176:$A$200,"&lt;&gt;")=0),ROUND(SUMIF($A$2:A174,"&lt;&gt;",$AC$2:AC174),2),IF(OR(AB175="",C175="",NOT(ISNUMBER($Z$2))),"",ROUND(AB175*C175*$Z$2,2)))</f>
        <v/>
      </c>
      <c r="AD175" s="180" t="str">
        <f>IF(A175="","",posicao_contratual!E175)</f>
        <v/>
      </c>
      <c r="AE175" s="180" t="str">
        <f>IF(A175="","",posicao_contratual!I175)</f>
        <v/>
      </c>
      <c r="AF175" s="180" t="str">
        <f>IF(A175="","",posicao_contratual!M175)</f>
        <v/>
      </c>
      <c r="AG175" s="180" t="str">
        <f>IF(A175="","",posicao_contratual!Q175)</f>
        <v/>
      </c>
      <c r="AH175" s="180" t="str">
        <f>IF(A175="","",posicao_contratual!U175)</f>
        <v/>
      </c>
      <c r="AI175" s="180" t="str">
        <f>IF(A175="","",posicao_contratual!G175)</f>
        <v/>
      </c>
      <c r="AJ175" s="180" t="str">
        <f>IF(A175="","",posicao_contratual!K175)</f>
        <v/>
      </c>
      <c r="AK175" s="180" t="str">
        <f>IF(A175="","",posicao_contratual!O175)</f>
        <v/>
      </c>
      <c r="AL175" s="180" t="str">
        <f>IF(A175="","",posicao_contratual!S175)</f>
        <v/>
      </c>
      <c r="AM175" s="180" t="str">
        <f>IF(A175="","",posicao_contratual!W175)</f>
        <v/>
      </c>
      <c r="AN175" s="181" t="str">
        <f>IF(A175="","",posicao_contratual!X175)</f>
        <v/>
      </c>
    </row>
    <row r="176" spans="1:40" x14ac:dyDescent="0.35">
      <c r="A176" s="106"/>
      <c r="B176" s="107"/>
      <c r="C176" s="108"/>
      <c r="D176" s="104" t="str">
        <f>IF(AND(A176="",A175&lt;&gt;"",COUNTIF(A177:$A$200,"&lt;&gt;")=0),ROUND(SUMIF($A$2:A175,"&lt;&gt;",$D$2:D175),2),IF(OR(A176="",B176="",C176=""),"",ROUND(B176*C176,2)))</f>
        <v/>
      </c>
      <c r="E176" s="109"/>
      <c r="F176" s="104" t="str">
        <f>IF(AND(A176="",A175&lt;&gt;"",COUNTIF(A177:$A$200,"&lt;&gt;")=0),ROUND(SUMIF($A$2:A175,"&lt;&gt;",$F$2:F175),2),IF(OR(A176="",posicao_contratual!K176="",C176="",NOT(ISNUMBER($Z$3))),"",ROUND(posicao_contratual!K176*C176*$Z$3,2)))</f>
        <v/>
      </c>
      <c r="G176" s="109"/>
      <c r="H176" s="104" t="str">
        <f>IF(AND(A176="",A175&lt;&gt;"",COUNTIF(A177:$A$200,"&lt;&gt;")=0),ROUND(SUMIF($A$2:A175,"&lt;&gt;",$H$2:H175),2),IF(OR(A176="",posicao_contratual!O176="",C176="",NOT(ISNUMBER($Z$4))),"",ROUND(posicao_contratual!O176*C176*$Z$4,2)))</f>
        <v/>
      </c>
      <c r="I176" s="109"/>
      <c r="J176" s="104" t="str">
        <f>IF(AND(A176="",A175&lt;&gt;"",COUNTIF(A177:$A$200,"&lt;&gt;")=0),ROUND(SUMIF($A$2:A175,"&lt;&gt;",$J$2:J175),2),IF(OR(A176="",posicao_contratual!S176="",C176="",NOT(ISNUMBER($Z$5))),"",ROUND(posicao_contratual!S176*C176*$Z$5,2)))</f>
        <v/>
      </c>
      <c r="K176" s="109"/>
      <c r="L176" s="104" t="str">
        <f>IF(AND(A176="",A175&lt;&gt;"",COUNTIF(A177:$A$200,"&lt;&gt;")=0),ROUND(SUMIF($A$2:A175,"&lt;&gt;",$L$2:L175),2),IF(OR(A176="",posicao_contratual!W176="",C176="",NOT(ISNUMBER($Z$6))),"",ROUND(posicao_contratual!W176*C176*$Z$6,2)))</f>
        <v/>
      </c>
      <c r="M176" s="110" t="str">
        <f>IF(OR(posicao_contratual!J176="",posicao_contratual!N176=""),"",ROUND(MAX(posicao_contratual!J176+posicao_contratual!H176-posicao_contratual!N176,0),2))</f>
        <v/>
      </c>
      <c r="N176" s="104" t="str">
        <f>IF(AND(A176="",A175&lt;&gt;"",COUNTIF(A177:$A$200,"&lt;&gt;")=0),ROUND(SUMIF($A$2:A175,"&lt;&gt;",$N$2:N175),2),IF(OR(M176="",C176="",NOT(ISNUMBER($Z$3))),"",ROUND(M176*C176*$Z$3,2)))</f>
        <v/>
      </c>
      <c r="O176" s="110" t="str">
        <f>IF(OR(posicao_contratual!N176="",posicao_contratual!R176=""),"",ROUND(MAX(posicao_contratual!N176+posicao_contratual!L176-posicao_contratual!R176,0),2))</f>
        <v/>
      </c>
      <c r="P176" s="104" t="str">
        <f>IF(AND(A176="",A175&lt;&gt;"",COUNTIF(A177:$A$200,"&lt;&gt;")=0),ROUND(SUMIF($A$2:A175,"&lt;&gt;",$P$2:P175),2),IF(OR(O176="",C176="",NOT(ISNUMBER($Z$4))),"",ROUND(O176*C176*$Z$4,2)))</f>
        <v/>
      </c>
      <c r="Q176" s="110" t="str">
        <f>IF(OR(posicao_contratual!R176="",posicao_contratual!V176=""),"",ROUND(MAX(posicao_contratual!R176+posicao_contratual!P176-posicao_contratual!V176,0),2))</f>
        <v/>
      </c>
      <c r="R176" s="104" t="str">
        <f>IF(AND(A176="",A175&lt;&gt;"",COUNTIF(A177:$A$200,"&lt;&gt;")=0),ROUND(SUMIF($A$2:A175,"&lt;&gt;",$R$2:R175),2),IF(OR(Q176="",C176="",NOT(ISNUMBER($Z$5))),"",ROUND(Q176*C176*$Z$5,2)))</f>
        <v/>
      </c>
      <c r="S176" s="58"/>
      <c r="T176" s="59"/>
      <c r="U176" s="111" t="str">
        <f>IF(AND(A176="",A175&lt;&gt;"",COUNTIF(A177:$A$200,"&lt;&gt;")=0),"TOTAL",IF(A176="","",posicao_contratual!X176))</f>
        <v/>
      </c>
      <c r="V176" s="111" t="str">
        <f>IF(A176="","",posicao_contratual!X176)</f>
        <v/>
      </c>
      <c r="W176" s="15"/>
      <c r="X176" s="15"/>
      <c r="Y176" s="15"/>
      <c r="Z176" s="15"/>
      <c r="AA176" s="15"/>
      <c r="AB176" s="110" t="str">
        <f>IF(OR(A176="",posicao_contratual!E176="",posicao_contratual!J176=""),"",ROUND(MAX(posicao_contratual!E176-posicao_contratual!J176,0),2))</f>
        <v/>
      </c>
      <c r="AC176" s="104" t="str">
        <f>IF(AND(A176="",A175&lt;&gt;"",COUNTIF(A177:$A$200,"&lt;&gt;")=0),ROUND(SUMIF($A$2:A175,"&lt;&gt;",$AC$2:AC175),2),IF(OR(AB176="",C176="",NOT(ISNUMBER($Z$2))),"",ROUND(AB176*C176*$Z$2,2)))</f>
        <v/>
      </c>
      <c r="AD176" s="180" t="str">
        <f>IF(A176="","",posicao_contratual!E176)</f>
        <v/>
      </c>
      <c r="AE176" s="180" t="str">
        <f>IF(A176="","",posicao_contratual!I176)</f>
        <v/>
      </c>
      <c r="AF176" s="180" t="str">
        <f>IF(A176="","",posicao_contratual!M176)</f>
        <v/>
      </c>
      <c r="AG176" s="180" t="str">
        <f>IF(A176="","",posicao_contratual!Q176)</f>
        <v/>
      </c>
      <c r="AH176" s="180" t="str">
        <f>IF(A176="","",posicao_contratual!U176)</f>
        <v/>
      </c>
      <c r="AI176" s="180" t="str">
        <f>IF(A176="","",posicao_contratual!G176)</f>
        <v/>
      </c>
      <c r="AJ176" s="180" t="str">
        <f>IF(A176="","",posicao_contratual!K176)</f>
        <v/>
      </c>
      <c r="AK176" s="180" t="str">
        <f>IF(A176="","",posicao_contratual!O176)</f>
        <v/>
      </c>
      <c r="AL176" s="180" t="str">
        <f>IF(A176="","",posicao_contratual!S176)</f>
        <v/>
      </c>
      <c r="AM176" s="180" t="str">
        <f>IF(A176="","",posicao_contratual!W176)</f>
        <v/>
      </c>
      <c r="AN176" s="181" t="str">
        <f>IF(A176="","",posicao_contratual!X176)</f>
        <v/>
      </c>
    </row>
    <row r="177" spans="1:40" x14ac:dyDescent="0.35">
      <c r="A177" s="106"/>
      <c r="B177" s="107"/>
      <c r="C177" s="108"/>
      <c r="D177" s="104" t="str">
        <f>IF(AND(A177="",A176&lt;&gt;"",COUNTIF(A178:$A$200,"&lt;&gt;")=0),ROUND(SUMIF($A$2:A176,"&lt;&gt;",$D$2:D176),2),IF(OR(A177="",B177="",C177=""),"",ROUND(B177*C177,2)))</f>
        <v/>
      </c>
      <c r="E177" s="109"/>
      <c r="F177" s="104" t="str">
        <f>IF(AND(A177="",A176&lt;&gt;"",COUNTIF(A178:$A$200,"&lt;&gt;")=0),ROUND(SUMIF($A$2:A176,"&lt;&gt;",$F$2:F176),2),IF(OR(A177="",posicao_contratual!K177="",C177="",NOT(ISNUMBER($Z$3))),"",ROUND(posicao_contratual!K177*C177*$Z$3,2)))</f>
        <v/>
      </c>
      <c r="G177" s="109"/>
      <c r="H177" s="104" t="str">
        <f>IF(AND(A177="",A176&lt;&gt;"",COUNTIF(A178:$A$200,"&lt;&gt;")=0),ROUND(SUMIF($A$2:A176,"&lt;&gt;",$H$2:H176),2),IF(OR(A177="",posicao_contratual!O177="",C177="",NOT(ISNUMBER($Z$4))),"",ROUND(posicao_contratual!O177*C177*$Z$4,2)))</f>
        <v/>
      </c>
      <c r="I177" s="109"/>
      <c r="J177" s="104" t="str">
        <f>IF(AND(A177="",A176&lt;&gt;"",COUNTIF(A178:$A$200,"&lt;&gt;")=0),ROUND(SUMIF($A$2:A176,"&lt;&gt;",$J$2:J176),2),IF(OR(A177="",posicao_contratual!S177="",C177="",NOT(ISNUMBER($Z$5))),"",ROUND(posicao_contratual!S177*C177*$Z$5,2)))</f>
        <v/>
      </c>
      <c r="K177" s="109"/>
      <c r="L177" s="104" t="str">
        <f>IF(AND(A177="",A176&lt;&gt;"",COUNTIF(A178:$A$200,"&lt;&gt;")=0),ROUND(SUMIF($A$2:A176,"&lt;&gt;",$L$2:L176),2),IF(OR(A177="",posicao_contratual!W177="",C177="",NOT(ISNUMBER($Z$6))),"",ROUND(posicao_contratual!W177*C177*$Z$6,2)))</f>
        <v/>
      </c>
      <c r="M177" s="110" t="str">
        <f>IF(OR(posicao_contratual!J177="",posicao_contratual!N177=""),"",ROUND(MAX(posicao_contratual!J177+posicao_contratual!H177-posicao_contratual!N177,0),2))</f>
        <v/>
      </c>
      <c r="N177" s="104" t="str">
        <f>IF(AND(A177="",A176&lt;&gt;"",COUNTIF(A178:$A$200,"&lt;&gt;")=0),ROUND(SUMIF($A$2:A176,"&lt;&gt;",$N$2:N176),2),IF(OR(M177="",C177="",NOT(ISNUMBER($Z$3))),"",ROUND(M177*C177*$Z$3,2)))</f>
        <v/>
      </c>
      <c r="O177" s="110" t="str">
        <f>IF(OR(posicao_contratual!N177="",posicao_contratual!R177=""),"",ROUND(MAX(posicao_contratual!N177+posicao_contratual!L177-posicao_contratual!R177,0),2))</f>
        <v/>
      </c>
      <c r="P177" s="104" t="str">
        <f>IF(AND(A177="",A176&lt;&gt;"",COUNTIF(A178:$A$200,"&lt;&gt;")=0),ROUND(SUMIF($A$2:A176,"&lt;&gt;",$P$2:P176),2),IF(OR(O177="",C177="",NOT(ISNUMBER($Z$4))),"",ROUND(O177*C177*$Z$4,2)))</f>
        <v/>
      </c>
      <c r="Q177" s="110" t="str">
        <f>IF(OR(posicao_contratual!R177="",posicao_contratual!V177=""),"",ROUND(MAX(posicao_contratual!R177+posicao_contratual!P177-posicao_contratual!V177,0),2))</f>
        <v/>
      </c>
      <c r="R177" s="104" t="str">
        <f>IF(AND(A177="",A176&lt;&gt;"",COUNTIF(A178:$A$200,"&lt;&gt;")=0),ROUND(SUMIF($A$2:A176,"&lt;&gt;",$R$2:R176),2),IF(OR(Q177="",C177="",NOT(ISNUMBER($Z$5))),"",ROUND(Q177*C177*$Z$5,2)))</f>
        <v/>
      </c>
      <c r="S177" s="58"/>
      <c r="T177" s="59"/>
      <c r="U177" s="111" t="str">
        <f>IF(AND(A177="",A176&lt;&gt;"",COUNTIF(A178:$A$200,"&lt;&gt;")=0),"TOTAL",IF(A177="","",posicao_contratual!X177))</f>
        <v/>
      </c>
      <c r="V177" s="111" t="str">
        <f>IF(A177="","",posicao_contratual!X177)</f>
        <v/>
      </c>
      <c r="W177" s="15"/>
      <c r="X177" s="15"/>
      <c r="Y177" s="15"/>
      <c r="Z177" s="15"/>
      <c r="AA177" s="15"/>
      <c r="AB177" s="110" t="str">
        <f>IF(OR(A177="",posicao_contratual!E177="",posicao_contratual!J177=""),"",ROUND(MAX(posicao_contratual!E177-posicao_contratual!J177,0),2))</f>
        <v/>
      </c>
      <c r="AC177" s="104" t="str">
        <f>IF(AND(A177="",A176&lt;&gt;"",COUNTIF(A178:$A$200,"&lt;&gt;")=0),ROUND(SUMIF($A$2:A176,"&lt;&gt;",$AC$2:AC176),2),IF(OR(AB177="",C177="",NOT(ISNUMBER($Z$2))),"",ROUND(AB177*C177*$Z$2,2)))</f>
        <v/>
      </c>
      <c r="AD177" s="180" t="str">
        <f>IF(A177="","",posicao_contratual!E177)</f>
        <v/>
      </c>
      <c r="AE177" s="180" t="str">
        <f>IF(A177="","",posicao_contratual!I177)</f>
        <v/>
      </c>
      <c r="AF177" s="180" t="str">
        <f>IF(A177="","",posicao_contratual!M177)</f>
        <v/>
      </c>
      <c r="AG177" s="180" t="str">
        <f>IF(A177="","",posicao_contratual!Q177)</f>
        <v/>
      </c>
      <c r="AH177" s="180" t="str">
        <f>IF(A177="","",posicao_contratual!U177)</f>
        <v/>
      </c>
      <c r="AI177" s="180" t="str">
        <f>IF(A177="","",posicao_contratual!G177)</f>
        <v/>
      </c>
      <c r="AJ177" s="180" t="str">
        <f>IF(A177="","",posicao_contratual!K177)</f>
        <v/>
      </c>
      <c r="AK177" s="180" t="str">
        <f>IF(A177="","",posicao_contratual!O177)</f>
        <v/>
      </c>
      <c r="AL177" s="180" t="str">
        <f>IF(A177="","",posicao_contratual!S177)</f>
        <v/>
      </c>
      <c r="AM177" s="180" t="str">
        <f>IF(A177="","",posicao_contratual!W177)</f>
        <v/>
      </c>
      <c r="AN177" s="181" t="str">
        <f>IF(A177="","",posicao_contratual!X177)</f>
        <v/>
      </c>
    </row>
    <row r="178" spans="1:40" x14ac:dyDescent="0.35">
      <c r="A178" s="106"/>
      <c r="B178" s="107"/>
      <c r="C178" s="108"/>
      <c r="D178" s="104" t="str">
        <f>IF(AND(A178="",A177&lt;&gt;"",COUNTIF(A179:$A$200,"&lt;&gt;")=0),ROUND(SUMIF($A$2:A177,"&lt;&gt;",$D$2:D177),2),IF(OR(A178="",B178="",C178=""),"",ROUND(B178*C178,2)))</f>
        <v/>
      </c>
      <c r="E178" s="109"/>
      <c r="F178" s="104" t="str">
        <f>IF(AND(A178="",A177&lt;&gt;"",COUNTIF(A179:$A$200,"&lt;&gt;")=0),ROUND(SUMIF($A$2:A177,"&lt;&gt;",$F$2:F177),2),IF(OR(A178="",posicao_contratual!K178="",C178="",NOT(ISNUMBER($Z$3))),"",ROUND(posicao_contratual!K178*C178*$Z$3,2)))</f>
        <v/>
      </c>
      <c r="G178" s="109"/>
      <c r="H178" s="104" t="str">
        <f>IF(AND(A178="",A177&lt;&gt;"",COUNTIF(A179:$A$200,"&lt;&gt;")=0),ROUND(SUMIF($A$2:A177,"&lt;&gt;",$H$2:H177),2),IF(OR(A178="",posicao_contratual!O178="",C178="",NOT(ISNUMBER($Z$4))),"",ROUND(posicao_contratual!O178*C178*$Z$4,2)))</f>
        <v/>
      </c>
      <c r="I178" s="109"/>
      <c r="J178" s="104" t="str">
        <f>IF(AND(A178="",A177&lt;&gt;"",COUNTIF(A179:$A$200,"&lt;&gt;")=0),ROUND(SUMIF($A$2:A177,"&lt;&gt;",$J$2:J177),2),IF(OR(A178="",posicao_contratual!S178="",C178="",NOT(ISNUMBER($Z$5))),"",ROUND(posicao_contratual!S178*C178*$Z$5,2)))</f>
        <v/>
      </c>
      <c r="K178" s="109"/>
      <c r="L178" s="104" t="str">
        <f>IF(AND(A178="",A177&lt;&gt;"",COUNTIF(A179:$A$200,"&lt;&gt;")=0),ROUND(SUMIF($A$2:A177,"&lt;&gt;",$L$2:L177),2),IF(OR(A178="",posicao_contratual!W178="",C178="",NOT(ISNUMBER($Z$6))),"",ROUND(posicao_contratual!W178*C178*$Z$6,2)))</f>
        <v/>
      </c>
      <c r="M178" s="110" t="str">
        <f>IF(OR(posicao_contratual!J178="",posicao_contratual!N178=""),"",ROUND(MAX(posicao_contratual!J178+posicao_contratual!H178-posicao_contratual!N178,0),2))</f>
        <v/>
      </c>
      <c r="N178" s="104" t="str">
        <f>IF(AND(A178="",A177&lt;&gt;"",COUNTIF(A179:$A$200,"&lt;&gt;")=0),ROUND(SUMIF($A$2:A177,"&lt;&gt;",$N$2:N177),2),IF(OR(M178="",C178="",NOT(ISNUMBER($Z$3))),"",ROUND(M178*C178*$Z$3,2)))</f>
        <v/>
      </c>
      <c r="O178" s="110" t="str">
        <f>IF(OR(posicao_contratual!N178="",posicao_contratual!R178=""),"",ROUND(MAX(posicao_contratual!N178+posicao_contratual!L178-posicao_contratual!R178,0),2))</f>
        <v/>
      </c>
      <c r="P178" s="104" t="str">
        <f>IF(AND(A178="",A177&lt;&gt;"",COUNTIF(A179:$A$200,"&lt;&gt;")=0),ROUND(SUMIF($A$2:A177,"&lt;&gt;",$P$2:P177),2),IF(OR(O178="",C178="",NOT(ISNUMBER($Z$4))),"",ROUND(O178*C178*$Z$4,2)))</f>
        <v/>
      </c>
      <c r="Q178" s="110" t="str">
        <f>IF(OR(posicao_contratual!R178="",posicao_contratual!V178=""),"",ROUND(MAX(posicao_contratual!R178+posicao_contratual!P178-posicao_contratual!V178,0),2))</f>
        <v/>
      </c>
      <c r="R178" s="104" t="str">
        <f>IF(AND(A178="",A177&lt;&gt;"",COUNTIF(A179:$A$200,"&lt;&gt;")=0),ROUND(SUMIF($A$2:A177,"&lt;&gt;",$R$2:R177),2),IF(OR(Q178="",C178="",NOT(ISNUMBER($Z$5))),"",ROUND(Q178*C178*$Z$5,2)))</f>
        <v/>
      </c>
      <c r="S178" s="58"/>
      <c r="T178" s="59"/>
      <c r="U178" s="111" t="str">
        <f>IF(AND(A178="",A177&lt;&gt;"",COUNTIF(A179:$A$200,"&lt;&gt;")=0),"TOTAL",IF(A178="","",posicao_contratual!X178))</f>
        <v/>
      </c>
      <c r="V178" s="111" t="str">
        <f>IF(A178="","",posicao_contratual!X178)</f>
        <v/>
      </c>
      <c r="W178" s="15"/>
      <c r="X178" s="15"/>
      <c r="Y178" s="15"/>
      <c r="Z178" s="15"/>
      <c r="AA178" s="15"/>
      <c r="AB178" s="110" t="str">
        <f>IF(OR(A178="",posicao_contratual!E178="",posicao_contratual!J178=""),"",ROUND(MAX(posicao_contratual!E178-posicao_contratual!J178,0),2))</f>
        <v/>
      </c>
      <c r="AC178" s="104" t="str">
        <f>IF(AND(A178="",A177&lt;&gt;"",COUNTIF(A179:$A$200,"&lt;&gt;")=0),ROUND(SUMIF($A$2:A177,"&lt;&gt;",$AC$2:AC177),2),IF(OR(AB178="",C178="",NOT(ISNUMBER($Z$2))),"",ROUND(AB178*C178*$Z$2,2)))</f>
        <v/>
      </c>
      <c r="AD178" s="180" t="str">
        <f>IF(A178="","",posicao_contratual!E178)</f>
        <v/>
      </c>
      <c r="AE178" s="180" t="str">
        <f>IF(A178="","",posicao_contratual!I178)</f>
        <v/>
      </c>
      <c r="AF178" s="180" t="str">
        <f>IF(A178="","",posicao_contratual!M178)</f>
        <v/>
      </c>
      <c r="AG178" s="180" t="str">
        <f>IF(A178="","",posicao_contratual!Q178)</f>
        <v/>
      </c>
      <c r="AH178" s="180" t="str">
        <f>IF(A178="","",posicao_contratual!U178)</f>
        <v/>
      </c>
      <c r="AI178" s="180" t="str">
        <f>IF(A178="","",posicao_contratual!G178)</f>
        <v/>
      </c>
      <c r="AJ178" s="180" t="str">
        <f>IF(A178="","",posicao_contratual!K178)</f>
        <v/>
      </c>
      <c r="AK178" s="180" t="str">
        <f>IF(A178="","",posicao_contratual!O178)</f>
        <v/>
      </c>
      <c r="AL178" s="180" t="str">
        <f>IF(A178="","",posicao_contratual!S178)</f>
        <v/>
      </c>
      <c r="AM178" s="180" t="str">
        <f>IF(A178="","",posicao_contratual!W178)</f>
        <v/>
      </c>
      <c r="AN178" s="181" t="str">
        <f>IF(A178="","",posicao_contratual!X178)</f>
        <v/>
      </c>
    </row>
    <row r="179" spans="1:40" x14ac:dyDescent="0.35">
      <c r="A179" s="106"/>
      <c r="B179" s="107"/>
      <c r="C179" s="108"/>
      <c r="D179" s="104" t="str">
        <f>IF(AND(A179="",A178&lt;&gt;"",COUNTIF(A180:$A$200,"&lt;&gt;")=0),ROUND(SUMIF($A$2:A178,"&lt;&gt;",$D$2:D178),2),IF(OR(A179="",B179="",C179=""),"",ROUND(B179*C179,2)))</f>
        <v/>
      </c>
      <c r="E179" s="109"/>
      <c r="F179" s="104" t="str">
        <f>IF(AND(A179="",A178&lt;&gt;"",COUNTIF(A180:$A$200,"&lt;&gt;")=0),ROUND(SUMIF($A$2:A178,"&lt;&gt;",$F$2:F178),2),IF(OR(A179="",posicao_contratual!K179="",C179="",NOT(ISNUMBER($Z$3))),"",ROUND(posicao_contratual!K179*C179*$Z$3,2)))</f>
        <v/>
      </c>
      <c r="G179" s="109"/>
      <c r="H179" s="104" t="str">
        <f>IF(AND(A179="",A178&lt;&gt;"",COUNTIF(A180:$A$200,"&lt;&gt;")=0),ROUND(SUMIF($A$2:A178,"&lt;&gt;",$H$2:H178),2),IF(OR(A179="",posicao_contratual!O179="",C179="",NOT(ISNUMBER($Z$4))),"",ROUND(posicao_contratual!O179*C179*$Z$4,2)))</f>
        <v/>
      </c>
      <c r="I179" s="109"/>
      <c r="J179" s="104" t="str">
        <f>IF(AND(A179="",A178&lt;&gt;"",COUNTIF(A180:$A$200,"&lt;&gt;")=0),ROUND(SUMIF($A$2:A178,"&lt;&gt;",$J$2:J178),2),IF(OR(A179="",posicao_contratual!S179="",C179="",NOT(ISNUMBER($Z$5))),"",ROUND(posicao_contratual!S179*C179*$Z$5,2)))</f>
        <v/>
      </c>
      <c r="K179" s="109"/>
      <c r="L179" s="104" t="str">
        <f>IF(AND(A179="",A178&lt;&gt;"",COUNTIF(A180:$A$200,"&lt;&gt;")=0),ROUND(SUMIF($A$2:A178,"&lt;&gt;",$L$2:L178),2),IF(OR(A179="",posicao_contratual!W179="",C179="",NOT(ISNUMBER($Z$6))),"",ROUND(posicao_contratual!W179*C179*$Z$6,2)))</f>
        <v/>
      </c>
      <c r="M179" s="110" t="str">
        <f>IF(OR(posicao_contratual!J179="",posicao_contratual!N179=""),"",ROUND(MAX(posicao_contratual!J179+posicao_contratual!H179-posicao_contratual!N179,0),2))</f>
        <v/>
      </c>
      <c r="N179" s="104" t="str">
        <f>IF(AND(A179="",A178&lt;&gt;"",COUNTIF(A180:$A$200,"&lt;&gt;")=0),ROUND(SUMIF($A$2:A178,"&lt;&gt;",$N$2:N178),2),IF(OR(M179="",C179="",NOT(ISNUMBER($Z$3))),"",ROUND(M179*C179*$Z$3,2)))</f>
        <v/>
      </c>
      <c r="O179" s="110" t="str">
        <f>IF(OR(posicao_contratual!N179="",posicao_contratual!R179=""),"",ROUND(MAX(posicao_contratual!N179+posicao_contratual!L179-posicao_contratual!R179,0),2))</f>
        <v/>
      </c>
      <c r="P179" s="104" t="str">
        <f>IF(AND(A179="",A178&lt;&gt;"",COUNTIF(A180:$A$200,"&lt;&gt;")=0),ROUND(SUMIF($A$2:A178,"&lt;&gt;",$P$2:P178),2),IF(OR(O179="",C179="",NOT(ISNUMBER($Z$4))),"",ROUND(O179*C179*$Z$4,2)))</f>
        <v/>
      </c>
      <c r="Q179" s="110" t="str">
        <f>IF(OR(posicao_contratual!R179="",posicao_contratual!V179=""),"",ROUND(MAX(posicao_contratual!R179+posicao_contratual!P179-posicao_contratual!V179,0),2))</f>
        <v/>
      </c>
      <c r="R179" s="104" t="str">
        <f>IF(AND(A179="",A178&lt;&gt;"",COUNTIF(A180:$A$200,"&lt;&gt;")=0),ROUND(SUMIF($A$2:A178,"&lt;&gt;",$R$2:R178),2),IF(OR(Q179="",C179="",NOT(ISNUMBER($Z$5))),"",ROUND(Q179*C179*$Z$5,2)))</f>
        <v/>
      </c>
      <c r="S179" s="58"/>
      <c r="T179" s="59"/>
      <c r="U179" s="111" t="str">
        <f>IF(AND(A179="",A178&lt;&gt;"",COUNTIF(A180:$A$200,"&lt;&gt;")=0),"TOTAL",IF(A179="","",posicao_contratual!X179))</f>
        <v/>
      </c>
      <c r="V179" s="111" t="str">
        <f>IF(A179="","",posicao_contratual!X179)</f>
        <v/>
      </c>
      <c r="W179" s="15"/>
      <c r="X179" s="15"/>
      <c r="Y179" s="15"/>
      <c r="Z179" s="15"/>
      <c r="AA179" s="15"/>
      <c r="AB179" s="110" t="str">
        <f>IF(OR(A179="",posicao_contratual!E179="",posicao_contratual!J179=""),"",ROUND(MAX(posicao_contratual!E179-posicao_contratual!J179,0),2))</f>
        <v/>
      </c>
      <c r="AC179" s="104" t="str">
        <f>IF(AND(A179="",A178&lt;&gt;"",COUNTIF(A180:$A$200,"&lt;&gt;")=0),ROUND(SUMIF($A$2:A178,"&lt;&gt;",$AC$2:AC178),2),IF(OR(AB179="",C179="",NOT(ISNUMBER($Z$2))),"",ROUND(AB179*C179*$Z$2,2)))</f>
        <v/>
      </c>
      <c r="AD179" s="180" t="str">
        <f>IF(A179="","",posicao_contratual!E179)</f>
        <v/>
      </c>
      <c r="AE179" s="180" t="str">
        <f>IF(A179="","",posicao_contratual!I179)</f>
        <v/>
      </c>
      <c r="AF179" s="180" t="str">
        <f>IF(A179="","",posicao_contratual!M179)</f>
        <v/>
      </c>
      <c r="AG179" s="180" t="str">
        <f>IF(A179="","",posicao_contratual!Q179)</f>
        <v/>
      </c>
      <c r="AH179" s="180" t="str">
        <f>IF(A179="","",posicao_contratual!U179)</f>
        <v/>
      </c>
      <c r="AI179" s="180" t="str">
        <f>IF(A179="","",posicao_contratual!G179)</f>
        <v/>
      </c>
      <c r="AJ179" s="180" t="str">
        <f>IF(A179="","",posicao_contratual!K179)</f>
        <v/>
      </c>
      <c r="AK179" s="180" t="str">
        <f>IF(A179="","",posicao_contratual!O179)</f>
        <v/>
      </c>
      <c r="AL179" s="180" t="str">
        <f>IF(A179="","",posicao_contratual!S179)</f>
        <v/>
      </c>
      <c r="AM179" s="180" t="str">
        <f>IF(A179="","",posicao_contratual!W179)</f>
        <v/>
      </c>
      <c r="AN179" s="181" t="str">
        <f>IF(A179="","",posicao_contratual!X179)</f>
        <v/>
      </c>
    </row>
    <row r="180" spans="1:40" x14ac:dyDescent="0.35">
      <c r="A180" s="106"/>
      <c r="B180" s="107"/>
      <c r="C180" s="108"/>
      <c r="D180" s="104" t="str">
        <f>IF(AND(A180="",A179&lt;&gt;"",COUNTIF(A181:$A$200,"&lt;&gt;")=0),ROUND(SUMIF($A$2:A179,"&lt;&gt;",$D$2:D179),2),IF(OR(A180="",B180="",C180=""),"",ROUND(B180*C180,2)))</f>
        <v/>
      </c>
      <c r="E180" s="109"/>
      <c r="F180" s="104" t="str">
        <f>IF(AND(A180="",A179&lt;&gt;"",COUNTIF(A181:$A$200,"&lt;&gt;")=0),ROUND(SUMIF($A$2:A179,"&lt;&gt;",$F$2:F179),2),IF(OR(A180="",posicao_contratual!K180="",C180="",NOT(ISNUMBER($Z$3))),"",ROUND(posicao_contratual!K180*C180*$Z$3,2)))</f>
        <v/>
      </c>
      <c r="G180" s="109"/>
      <c r="H180" s="104" t="str">
        <f>IF(AND(A180="",A179&lt;&gt;"",COUNTIF(A181:$A$200,"&lt;&gt;")=0),ROUND(SUMIF($A$2:A179,"&lt;&gt;",$H$2:H179),2),IF(OR(A180="",posicao_contratual!O180="",C180="",NOT(ISNUMBER($Z$4))),"",ROUND(posicao_contratual!O180*C180*$Z$4,2)))</f>
        <v/>
      </c>
      <c r="I180" s="109"/>
      <c r="J180" s="104" t="str">
        <f>IF(AND(A180="",A179&lt;&gt;"",COUNTIF(A181:$A$200,"&lt;&gt;")=0),ROUND(SUMIF($A$2:A179,"&lt;&gt;",$J$2:J179),2),IF(OR(A180="",posicao_contratual!S180="",C180="",NOT(ISNUMBER($Z$5))),"",ROUND(posicao_contratual!S180*C180*$Z$5,2)))</f>
        <v/>
      </c>
      <c r="K180" s="109"/>
      <c r="L180" s="104" t="str">
        <f>IF(AND(A180="",A179&lt;&gt;"",COUNTIF(A181:$A$200,"&lt;&gt;")=0),ROUND(SUMIF($A$2:A179,"&lt;&gt;",$L$2:L179),2),IF(OR(A180="",posicao_contratual!W180="",C180="",NOT(ISNUMBER($Z$6))),"",ROUND(posicao_contratual!W180*C180*$Z$6,2)))</f>
        <v/>
      </c>
      <c r="M180" s="110" t="str">
        <f>IF(OR(posicao_contratual!J180="",posicao_contratual!N180=""),"",ROUND(MAX(posicao_contratual!J180+posicao_contratual!H180-posicao_contratual!N180,0),2))</f>
        <v/>
      </c>
      <c r="N180" s="104" t="str">
        <f>IF(AND(A180="",A179&lt;&gt;"",COUNTIF(A181:$A$200,"&lt;&gt;")=0),ROUND(SUMIF($A$2:A179,"&lt;&gt;",$N$2:N179),2),IF(OR(M180="",C180="",NOT(ISNUMBER($Z$3))),"",ROUND(M180*C180*$Z$3,2)))</f>
        <v/>
      </c>
      <c r="O180" s="110" t="str">
        <f>IF(OR(posicao_contratual!N180="",posicao_contratual!R180=""),"",ROUND(MAX(posicao_contratual!N180+posicao_contratual!L180-posicao_contratual!R180,0),2))</f>
        <v/>
      </c>
      <c r="P180" s="104" t="str">
        <f>IF(AND(A180="",A179&lt;&gt;"",COUNTIF(A181:$A$200,"&lt;&gt;")=0),ROUND(SUMIF($A$2:A179,"&lt;&gt;",$P$2:P179),2),IF(OR(O180="",C180="",NOT(ISNUMBER($Z$4))),"",ROUND(O180*C180*$Z$4,2)))</f>
        <v/>
      </c>
      <c r="Q180" s="110" t="str">
        <f>IF(OR(posicao_contratual!R180="",posicao_contratual!V180=""),"",ROUND(MAX(posicao_contratual!R180+posicao_contratual!P180-posicao_contratual!V180,0),2))</f>
        <v/>
      </c>
      <c r="R180" s="104" t="str">
        <f>IF(AND(A180="",A179&lt;&gt;"",COUNTIF(A181:$A$200,"&lt;&gt;")=0),ROUND(SUMIF($A$2:A179,"&lt;&gt;",$R$2:R179),2),IF(OR(Q180="",C180="",NOT(ISNUMBER($Z$5))),"",ROUND(Q180*C180*$Z$5,2)))</f>
        <v/>
      </c>
      <c r="S180" s="58"/>
      <c r="T180" s="59"/>
      <c r="U180" s="111" t="str">
        <f>IF(AND(A180="",A179&lt;&gt;"",COUNTIF(A181:$A$200,"&lt;&gt;")=0),"TOTAL",IF(A180="","",posicao_contratual!X180))</f>
        <v/>
      </c>
      <c r="V180" s="111" t="str">
        <f>IF(A180="","",posicao_contratual!X180)</f>
        <v/>
      </c>
      <c r="W180" s="15"/>
      <c r="X180" s="15"/>
      <c r="Y180" s="15"/>
      <c r="Z180" s="15"/>
      <c r="AA180" s="15"/>
      <c r="AB180" s="110" t="str">
        <f>IF(OR(A180="",posicao_contratual!E180="",posicao_contratual!J180=""),"",ROUND(MAX(posicao_contratual!E180-posicao_contratual!J180,0),2))</f>
        <v/>
      </c>
      <c r="AC180" s="104" t="str">
        <f>IF(AND(A180="",A179&lt;&gt;"",COUNTIF(A181:$A$200,"&lt;&gt;")=0),ROUND(SUMIF($A$2:A179,"&lt;&gt;",$AC$2:AC179),2),IF(OR(AB180="",C180="",NOT(ISNUMBER($Z$2))),"",ROUND(AB180*C180*$Z$2,2)))</f>
        <v/>
      </c>
      <c r="AD180" s="180" t="str">
        <f>IF(A180="","",posicao_contratual!E180)</f>
        <v/>
      </c>
      <c r="AE180" s="180" t="str">
        <f>IF(A180="","",posicao_contratual!I180)</f>
        <v/>
      </c>
      <c r="AF180" s="180" t="str">
        <f>IF(A180="","",posicao_contratual!M180)</f>
        <v/>
      </c>
      <c r="AG180" s="180" t="str">
        <f>IF(A180="","",posicao_contratual!Q180)</f>
        <v/>
      </c>
      <c r="AH180" s="180" t="str">
        <f>IF(A180="","",posicao_contratual!U180)</f>
        <v/>
      </c>
      <c r="AI180" s="180" t="str">
        <f>IF(A180="","",posicao_contratual!G180)</f>
        <v/>
      </c>
      <c r="AJ180" s="180" t="str">
        <f>IF(A180="","",posicao_contratual!K180)</f>
        <v/>
      </c>
      <c r="AK180" s="180" t="str">
        <f>IF(A180="","",posicao_contratual!O180)</f>
        <v/>
      </c>
      <c r="AL180" s="180" t="str">
        <f>IF(A180="","",posicao_contratual!S180)</f>
        <v/>
      </c>
      <c r="AM180" s="180" t="str">
        <f>IF(A180="","",posicao_contratual!W180)</f>
        <v/>
      </c>
      <c r="AN180" s="181" t="str">
        <f>IF(A180="","",posicao_contratual!X180)</f>
        <v/>
      </c>
    </row>
    <row r="181" spans="1:40" x14ac:dyDescent="0.35">
      <c r="A181" s="106"/>
      <c r="B181" s="107"/>
      <c r="C181" s="108"/>
      <c r="D181" s="104" t="str">
        <f>IF(AND(A181="",A180&lt;&gt;"",COUNTIF(A182:$A$200,"&lt;&gt;")=0),ROUND(SUMIF($A$2:A180,"&lt;&gt;",$D$2:D180),2),IF(OR(A181="",B181="",C181=""),"",ROUND(B181*C181,2)))</f>
        <v/>
      </c>
      <c r="E181" s="109"/>
      <c r="F181" s="104" t="str">
        <f>IF(AND(A181="",A180&lt;&gt;"",COUNTIF(A182:$A$200,"&lt;&gt;")=0),ROUND(SUMIF($A$2:A180,"&lt;&gt;",$F$2:F180),2),IF(OR(A181="",posicao_contratual!K181="",C181="",NOT(ISNUMBER($Z$3))),"",ROUND(posicao_contratual!K181*C181*$Z$3,2)))</f>
        <v/>
      </c>
      <c r="G181" s="109"/>
      <c r="H181" s="104" t="str">
        <f>IF(AND(A181="",A180&lt;&gt;"",COUNTIF(A182:$A$200,"&lt;&gt;")=0),ROUND(SUMIF($A$2:A180,"&lt;&gt;",$H$2:H180),2),IF(OR(A181="",posicao_contratual!O181="",C181="",NOT(ISNUMBER($Z$4))),"",ROUND(posicao_contratual!O181*C181*$Z$4,2)))</f>
        <v/>
      </c>
      <c r="I181" s="109"/>
      <c r="J181" s="104" t="str">
        <f>IF(AND(A181="",A180&lt;&gt;"",COUNTIF(A182:$A$200,"&lt;&gt;")=0),ROUND(SUMIF($A$2:A180,"&lt;&gt;",$J$2:J180),2),IF(OR(A181="",posicao_contratual!S181="",C181="",NOT(ISNUMBER($Z$5))),"",ROUND(posicao_contratual!S181*C181*$Z$5,2)))</f>
        <v/>
      </c>
      <c r="K181" s="109"/>
      <c r="L181" s="104" t="str">
        <f>IF(AND(A181="",A180&lt;&gt;"",COUNTIF(A182:$A$200,"&lt;&gt;")=0),ROUND(SUMIF($A$2:A180,"&lt;&gt;",$L$2:L180),2),IF(OR(A181="",posicao_contratual!W181="",C181="",NOT(ISNUMBER($Z$6))),"",ROUND(posicao_contratual!W181*C181*$Z$6,2)))</f>
        <v/>
      </c>
      <c r="M181" s="110" t="str">
        <f>IF(OR(posicao_contratual!J181="",posicao_contratual!N181=""),"",ROUND(MAX(posicao_contratual!J181+posicao_contratual!H181-posicao_contratual!N181,0),2))</f>
        <v/>
      </c>
      <c r="N181" s="104" t="str">
        <f>IF(AND(A181="",A180&lt;&gt;"",COUNTIF(A182:$A$200,"&lt;&gt;")=0),ROUND(SUMIF($A$2:A180,"&lt;&gt;",$N$2:N180),2),IF(OR(M181="",C181="",NOT(ISNUMBER($Z$3))),"",ROUND(M181*C181*$Z$3,2)))</f>
        <v/>
      </c>
      <c r="O181" s="110" t="str">
        <f>IF(OR(posicao_contratual!N181="",posicao_contratual!R181=""),"",ROUND(MAX(posicao_contratual!N181+posicao_contratual!L181-posicao_contratual!R181,0),2))</f>
        <v/>
      </c>
      <c r="P181" s="104" t="str">
        <f>IF(AND(A181="",A180&lt;&gt;"",COUNTIF(A182:$A$200,"&lt;&gt;")=0),ROUND(SUMIF($A$2:A180,"&lt;&gt;",$P$2:P180),2),IF(OR(O181="",C181="",NOT(ISNUMBER($Z$4))),"",ROUND(O181*C181*$Z$4,2)))</f>
        <v/>
      </c>
      <c r="Q181" s="110" t="str">
        <f>IF(OR(posicao_contratual!R181="",posicao_contratual!V181=""),"",ROUND(MAX(posicao_contratual!R181+posicao_contratual!P181-posicao_contratual!V181,0),2))</f>
        <v/>
      </c>
      <c r="R181" s="104" t="str">
        <f>IF(AND(A181="",A180&lt;&gt;"",COUNTIF(A182:$A$200,"&lt;&gt;")=0),ROUND(SUMIF($A$2:A180,"&lt;&gt;",$R$2:R180),2),IF(OR(Q181="",C181="",NOT(ISNUMBER($Z$5))),"",ROUND(Q181*C181*$Z$5,2)))</f>
        <v/>
      </c>
      <c r="S181" s="58"/>
      <c r="T181" s="59"/>
      <c r="U181" s="111" t="str">
        <f>IF(AND(A181="",A180&lt;&gt;"",COUNTIF(A182:$A$200,"&lt;&gt;")=0),"TOTAL",IF(A181="","",posicao_contratual!X181))</f>
        <v/>
      </c>
      <c r="V181" s="111" t="str">
        <f>IF(A181="","",posicao_contratual!X181)</f>
        <v/>
      </c>
      <c r="W181" s="15"/>
      <c r="X181" s="15"/>
      <c r="Y181" s="15"/>
      <c r="Z181" s="15"/>
      <c r="AA181" s="15"/>
      <c r="AB181" s="110" t="str">
        <f>IF(OR(A181="",posicao_contratual!E181="",posicao_contratual!J181=""),"",ROUND(MAX(posicao_contratual!E181-posicao_contratual!J181,0),2))</f>
        <v/>
      </c>
      <c r="AC181" s="104" t="str">
        <f>IF(AND(A181="",A180&lt;&gt;"",COUNTIF(A182:$A$200,"&lt;&gt;")=0),ROUND(SUMIF($A$2:A180,"&lt;&gt;",$AC$2:AC180),2),IF(OR(AB181="",C181="",NOT(ISNUMBER($Z$2))),"",ROUND(AB181*C181*$Z$2,2)))</f>
        <v/>
      </c>
      <c r="AD181" s="180" t="str">
        <f>IF(A181="","",posicao_contratual!E181)</f>
        <v/>
      </c>
      <c r="AE181" s="180" t="str">
        <f>IF(A181="","",posicao_contratual!I181)</f>
        <v/>
      </c>
      <c r="AF181" s="180" t="str">
        <f>IF(A181="","",posicao_contratual!M181)</f>
        <v/>
      </c>
      <c r="AG181" s="180" t="str">
        <f>IF(A181="","",posicao_contratual!Q181)</f>
        <v/>
      </c>
      <c r="AH181" s="180" t="str">
        <f>IF(A181="","",posicao_contratual!U181)</f>
        <v/>
      </c>
      <c r="AI181" s="180" t="str">
        <f>IF(A181="","",posicao_contratual!G181)</f>
        <v/>
      </c>
      <c r="AJ181" s="180" t="str">
        <f>IF(A181="","",posicao_contratual!K181)</f>
        <v/>
      </c>
      <c r="AK181" s="180" t="str">
        <f>IF(A181="","",posicao_contratual!O181)</f>
        <v/>
      </c>
      <c r="AL181" s="180" t="str">
        <f>IF(A181="","",posicao_contratual!S181)</f>
        <v/>
      </c>
      <c r="AM181" s="180" t="str">
        <f>IF(A181="","",posicao_contratual!W181)</f>
        <v/>
      </c>
      <c r="AN181" s="181" t="str">
        <f>IF(A181="","",posicao_contratual!X181)</f>
        <v/>
      </c>
    </row>
    <row r="182" spans="1:40" x14ac:dyDescent="0.35">
      <c r="A182" s="106"/>
      <c r="B182" s="107"/>
      <c r="C182" s="108"/>
      <c r="D182" s="104" t="str">
        <f>IF(AND(A182="",A181&lt;&gt;"",COUNTIF(A183:$A$200,"&lt;&gt;")=0),ROUND(SUMIF($A$2:A181,"&lt;&gt;",$D$2:D181),2),IF(OR(A182="",B182="",C182=""),"",ROUND(B182*C182,2)))</f>
        <v/>
      </c>
      <c r="E182" s="109"/>
      <c r="F182" s="104" t="str">
        <f>IF(AND(A182="",A181&lt;&gt;"",COUNTIF(A183:$A$200,"&lt;&gt;")=0),ROUND(SUMIF($A$2:A181,"&lt;&gt;",$F$2:F181),2),IF(OR(A182="",posicao_contratual!K182="",C182="",NOT(ISNUMBER($Z$3))),"",ROUND(posicao_contratual!K182*C182*$Z$3,2)))</f>
        <v/>
      </c>
      <c r="G182" s="109"/>
      <c r="H182" s="104" t="str">
        <f>IF(AND(A182="",A181&lt;&gt;"",COUNTIF(A183:$A$200,"&lt;&gt;")=0),ROUND(SUMIF($A$2:A181,"&lt;&gt;",$H$2:H181),2),IF(OR(A182="",posicao_contratual!O182="",C182="",NOT(ISNUMBER($Z$4))),"",ROUND(posicao_contratual!O182*C182*$Z$4,2)))</f>
        <v/>
      </c>
      <c r="I182" s="109"/>
      <c r="J182" s="104" t="str">
        <f>IF(AND(A182="",A181&lt;&gt;"",COUNTIF(A183:$A$200,"&lt;&gt;")=0),ROUND(SUMIF($A$2:A181,"&lt;&gt;",$J$2:J181),2),IF(OR(A182="",posicao_contratual!S182="",C182="",NOT(ISNUMBER($Z$5))),"",ROUND(posicao_contratual!S182*C182*$Z$5,2)))</f>
        <v/>
      </c>
      <c r="K182" s="109"/>
      <c r="L182" s="104" t="str">
        <f>IF(AND(A182="",A181&lt;&gt;"",COUNTIF(A183:$A$200,"&lt;&gt;")=0),ROUND(SUMIF($A$2:A181,"&lt;&gt;",$L$2:L181),2),IF(OR(A182="",posicao_contratual!W182="",C182="",NOT(ISNUMBER($Z$6))),"",ROUND(posicao_contratual!W182*C182*$Z$6,2)))</f>
        <v/>
      </c>
      <c r="M182" s="110" t="str">
        <f>IF(OR(posicao_contratual!J182="",posicao_contratual!N182=""),"",ROUND(MAX(posicao_contratual!J182+posicao_contratual!H182-posicao_contratual!N182,0),2))</f>
        <v/>
      </c>
      <c r="N182" s="104" t="str">
        <f>IF(AND(A182="",A181&lt;&gt;"",COUNTIF(A183:$A$200,"&lt;&gt;")=0),ROUND(SUMIF($A$2:A181,"&lt;&gt;",$N$2:N181),2),IF(OR(M182="",C182="",NOT(ISNUMBER($Z$3))),"",ROUND(M182*C182*$Z$3,2)))</f>
        <v/>
      </c>
      <c r="O182" s="110" t="str">
        <f>IF(OR(posicao_contratual!N182="",posicao_contratual!R182=""),"",ROUND(MAX(posicao_contratual!N182+posicao_contratual!L182-posicao_contratual!R182,0),2))</f>
        <v/>
      </c>
      <c r="P182" s="104" t="str">
        <f>IF(AND(A182="",A181&lt;&gt;"",COUNTIF(A183:$A$200,"&lt;&gt;")=0),ROUND(SUMIF($A$2:A181,"&lt;&gt;",$P$2:P181),2),IF(OR(O182="",C182="",NOT(ISNUMBER($Z$4))),"",ROUND(O182*C182*$Z$4,2)))</f>
        <v/>
      </c>
      <c r="Q182" s="110" t="str">
        <f>IF(OR(posicao_contratual!R182="",posicao_contratual!V182=""),"",ROUND(MAX(posicao_contratual!R182+posicao_contratual!P182-posicao_contratual!V182,0),2))</f>
        <v/>
      </c>
      <c r="R182" s="104" t="str">
        <f>IF(AND(A182="",A181&lt;&gt;"",COUNTIF(A183:$A$200,"&lt;&gt;")=0),ROUND(SUMIF($A$2:A181,"&lt;&gt;",$R$2:R181),2),IF(OR(Q182="",C182="",NOT(ISNUMBER($Z$5))),"",ROUND(Q182*C182*$Z$5,2)))</f>
        <v/>
      </c>
      <c r="S182" s="58"/>
      <c r="T182" s="59"/>
      <c r="U182" s="111" t="str">
        <f>IF(AND(A182="",A181&lt;&gt;"",COUNTIF(A183:$A$200,"&lt;&gt;")=0),"TOTAL",IF(A182="","",posicao_contratual!X182))</f>
        <v/>
      </c>
      <c r="V182" s="111" t="str">
        <f>IF(A182="","",posicao_contratual!X182)</f>
        <v/>
      </c>
      <c r="W182" s="15"/>
      <c r="X182" s="15"/>
      <c r="Y182" s="15"/>
      <c r="Z182" s="15"/>
      <c r="AA182" s="15"/>
      <c r="AB182" s="110" t="str">
        <f>IF(OR(A182="",posicao_contratual!E182="",posicao_contratual!J182=""),"",ROUND(MAX(posicao_contratual!E182-posicao_contratual!J182,0),2))</f>
        <v/>
      </c>
      <c r="AC182" s="104" t="str">
        <f>IF(AND(A182="",A181&lt;&gt;"",COUNTIF(A183:$A$200,"&lt;&gt;")=0),ROUND(SUMIF($A$2:A181,"&lt;&gt;",$AC$2:AC181),2),IF(OR(AB182="",C182="",NOT(ISNUMBER($Z$2))),"",ROUND(AB182*C182*$Z$2,2)))</f>
        <v/>
      </c>
      <c r="AD182" s="180" t="str">
        <f>IF(A182="","",posicao_contratual!E182)</f>
        <v/>
      </c>
      <c r="AE182" s="180" t="str">
        <f>IF(A182="","",posicao_contratual!I182)</f>
        <v/>
      </c>
      <c r="AF182" s="180" t="str">
        <f>IF(A182="","",posicao_contratual!M182)</f>
        <v/>
      </c>
      <c r="AG182" s="180" t="str">
        <f>IF(A182="","",posicao_contratual!Q182)</f>
        <v/>
      </c>
      <c r="AH182" s="180" t="str">
        <f>IF(A182="","",posicao_contratual!U182)</f>
        <v/>
      </c>
      <c r="AI182" s="180" t="str">
        <f>IF(A182="","",posicao_contratual!G182)</f>
        <v/>
      </c>
      <c r="AJ182" s="180" t="str">
        <f>IF(A182="","",posicao_contratual!K182)</f>
        <v/>
      </c>
      <c r="AK182" s="180" t="str">
        <f>IF(A182="","",posicao_contratual!O182)</f>
        <v/>
      </c>
      <c r="AL182" s="180" t="str">
        <f>IF(A182="","",posicao_contratual!S182)</f>
        <v/>
      </c>
      <c r="AM182" s="180" t="str">
        <f>IF(A182="","",posicao_contratual!W182)</f>
        <v/>
      </c>
      <c r="AN182" s="181" t="str">
        <f>IF(A182="","",posicao_contratual!X182)</f>
        <v/>
      </c>
    </row>
    <row r="183" spans="1:40" x14ac:dyDescent="0.35">
      <c r="A183" s="106"/>
      <c r="B183" s="107"/>
      <c r="C183" s="108"/>
      <c r="D183" s="104" t="str">
        <f>IF(AND(A183="",A182&lt;&gt;"",COUNTIF(A184:$A$200,"&lt;&gt;")=0),ROUND(SUMIF($A$2:A182,"&lt;&gt;",$D$2:D182),2),IF(OR(A183="",B183="",C183=""),"",ROUND(B183*C183,2)))</f>
        <v/>
      </c>
      <c r="E183" s="109"/>
      <c r="F183" s="104" t="str">
        <f>IF(AND(A183="",A182&lt;&gt;"",COUNTIF(A184:$A$200,"&lt;&gt;")=0),ROUND(SUMIF($A$2:A182,"&lt;&gt;",$F$2:F182),2),IF(OR(A183="",posicao_contratual!K183="",C183="",NOT(ISNUMBER($Z$3))),"",ROUND(posicao_contratual!K183*C183*$Z$3,2)))</f>
        <v/>
      </c>
      <c r="G183" s="109"/>
      <c r="H183" s="104" t="str">
        <f>IF(AND(A183="",A182&lt;&gt;"",COUNTIF(A184:$A$200,"&lt;&gt;")=0),ROUND(SUMIF($A$2:A182,"&lt;&gt;",$H$2:H182),2),IF(OR(A183="",posicao_contratual!O183="",C183="",NOT(ISNUMBER($Z$4))),"",ROUND(posicao_contratual!O183*C183*$Z$4,2)))</f>
        <v/>
      </c>
      <c r="I183" s="109"/>
      <c r="J183" s="104" t="str">
        <f>IF(AND(A183="",A182&lt;&gt;"",COUNTIF(A184:$A$200,"&lt;&gt;")=0),ROUND(SUMIF($A$2:A182,"&lt;&gt;",$J$2:J182),2),IF(OR(A183="",posicao_contratual!S183="",C183="",NOT(ISNUMBER($Z$5))),"",ROUND(posicao_contratual!S183*C183*$Z$5,2)))</f>
        <v/>
      </c>
      <c r="K183" s="109"/>
      <c r="L183" s="104" t="str">
        <f>IF(AND(A183="",A182&lt;&gt;"",COUNTIF(A184:$A$200,"&lt;&gt;")=0),ROUND(SUMIF($A$2:A182,"&lt;&gt;",$L$2:L182),2),IF(OR(A183="",posicao_contratual!W183="",C183="",NOT(ISNUMBER($Z$6))),"",ROUND(posicao_contratual!W183*C183*$Z$6,2)))</f>
        <v/>
      </c>
      <c r="M183" s="110" t="str">
        <f>IF(OR(posicao_contratual!J183="",posicao_contratual!N183=""),"",ROUND(MAX(posicao_contratual!J183+posicao_contratual!H183-posicao_contratual!N183,0),2))</f>
        <v/>
      </c>
      <c r="N183" s="104" t="str">
        <f>IF(AND(A183="",A182&lt;&gt;"",COUNTIF(A184:$A$200,"&lt;&gt;")=0),ROUND(SUMIF($A$2:A182,"&lt;&gt;",$N$2:N182),2),IF(OR(M183="",C183="",NOT(ISNUMBER($Z$3))),"",ROUND(M183*C183*$Z$3,2)))</f>
        <v/>
      </c>
      <c r="O183" s="110" t="str">
        <f>IF(OR(posicao_contratual!N183="",posicao_contratual!R183=""),"",ROUND(MAX(posicao_contratual!N183+posicao_contratual!L183-posicao_contratual!R183,0),2))</f>
        <v/>
      </c>
      <c r="P183" s="104" t="str">
        <f>IF(AND(A183="",A182&lt;&gt;"",COUNTIF(A184:$A$200,"&lt;&gt;")=0),ROUND(SUMIF($A$2:A182,"&lt;&gt;",$P$2:P182),2),IF(OR(O183="",C183="",NOT(ISNUMBER($Z$4))),"",ROUND(O183*C183*$Z$4,2)))</f>
        <v/>
      </c>
      <c r="Q183" s="110" t="str">
        <f>IF(OR(posicao_contratual!R183="",posicao_contratual!V183=""),"",ROUND(MAX(posicao_contratual!R183+posicao_contratual!P183-posicao_contratual!V183,0),2))</f>
        <v/>
      </c>
      <c r="R183" s="104" t="str">
        <f>IF(AND(A183="",A182&lt;&gt;"",COUNTIF(A184:$A$200,"&lt;&gt;")=0),ROUND(SUMIF($A$2:A182,"&lt;&gt;",$R$2:R182),2),IF(OR(Q183="",C183="",NOT(ISNUMBER($Z$5))),"",ROUND(Q183*C183*$Z$5,2)))</f>
        <v/>
      </c>
      <c r="S183" s="58"/>
      <c r="T183" s="59"/>
      <c r="U183" s="111" t="str">
        <f>IF(AND(A183="",A182&lt;&gt;"",COUNTIF(A184:$A$200,"&lt;&gt;")=0),"TOTAL",IF(A183="","",posicao_contratual!X183))</f>
        <v/>
      </c>
      <c r="V183" s="111" t="str">
        <f>IF(A183="","",posicao_contratual!X183)</f>
        <v/>
      </c>
      <c r="W183" s="15"/>
      <c r="X183" s="15"/>
      <c r="Y183" s="15"/>
      <c r="Z183" s="15"/>
      <c r="AA183" s="15"/>
      <c r="AB183" s="110" t="str">
        <f>IF(OR(A183="",posicao_contratual!E183="",posicao_contratual!J183=""),"",ROUND(MAX(posicao_contratual!E183-posicao_contratual!J183,0),2))</f>
        <v/>
      </c>
      <c r="AC183" s="104" t="str">
        <f>IF(AND(A183="",A182&lt;&gt;"",COUNTIF(A184:$A$200,"&lt;&gt;")=0),ROUND(SUMIF($A$2:A182,"&lt;&gt;",$AC$2:AC182),2),IF(OR(AB183="",C183="",NOT(ISNUMBER($Z$2))),"",ROUND(AB183*C183*$Z$2,2)))</f>
        <v/>
      </c>
      <c r="AD183" s="180" t="str">
        <f>IF(A183="","",posicao_contratual!E183)</f>
        <v/>
      </c>
      <c r="AE183" s="180" t="str">
        <f>IF(A183="","",posicao_contratual!I183)</f>
        <v/>
      </c>
      <c r="AF183" s="180" t="str">
        <f>IF(A183="","",posicao_contratual!M183)</f>
        <v/>
      </c>
      <c r="AG183" s="180" t="str">
        <f>IF(A183="","",posicao_contratual!Q183)</f>
        <v/>
      </c>
      <c r="AH183" s="180" t="str">
        <f>IF(A183="","",posicao_contratual!U183)</f>
        <v/>
      </c>
      <c r="AI183" s="180" t="str">
        <f>IF(A183="","",posicao_contratual!G183)</f>
        <v/>
      </c>
      <c r="AJ183" s="180" t="str">
        <f>IF(A183="","",posicao_contratual!K183)</f>
        <v/>
      </c>
      <c r="AK183" s="180" t="str">
        <f>IF(A183="","",posicao_contratual!O183)</f>
        <v/>
      </c>
      <c r="AL183" s="180" t="str">
        <f>IF(A183="","",posicao_contratual!S183)</f>
        <v/>
      </c>
      <c r="AM183" s="180" t="str">
        <f>IF(A183="","",posicao_contratual!W183)</f>
        <v/>
      </c>
      <c r="AN183" s="181" t="str">
        <f>IF(A183="","",posicao_contratual!X183)</f>
        <v/>
      </c>
    </row>
    <row r="184" spans="1:40" x14ac:dyDescent="0.35">
      <c r="A184" s="106"/>
      <c r="B184" s="107"/>
      <c r="C184" s="108"/>
      <c r="D184" s="104" t="str">
        <f>IF(AND(A184="",A183&lt;&gt;"",COUNTIF(A185:$A$200,"&lt;&gt;")=0),ROUND(SUMIF($A$2:A183,"&lt;&gt;",$D$2:D183),2),IF(OR(A184="",B184="",C184=""),"",ROUND(B184*C184,2)))</f>
        <v/>
      </c>
      <c r="E184" s="109"/>
      <c r="F184" s="104" t="str">
        <f>IF(AND(A184="",A183&lt;&gt;"",COUNTIF(A185:$A$200,"&lt;&gt;")=0),ROUND(SUMIF($A$2:A183,"&lt;&gt;",$F$2:F183),2),IF(OR(A184="",posicao_contratual!K184="",C184="",NOT(ISNUMBER($Z$3))),"",ROUND(posicao_contratual!K184*C184*$Z$3,2)))</f>
        <v/>
      </c>
      <c r="G184" s="109"/>
      <c r="H184" s="104" t="str">
        <f>IF(AND(A184="",A183&lt;&gt;"",COUNTIF(A185:$A$200,"&lt;&gt;")=0),ROUND(SUMIF($A$2:A183,"&lt;&gt;",$H$2:H183),2),IF(OR(A184="",posicao_contratual!O184="",C184="",NOT(ISNUMBER($Z$4))),"",ROUND(posicao_contratual!O184*C184*$Z$4,2)))</f>
        <v/>
      </c>
      <c r="I184" s="109"/>
      <c r="J184" s="104" t="str">
        <f>IF(AND(A184="",A183&lt;&gt;"",COUNTIF(A185:$A$200,"&lt;&gt;")=0),ROUND(SUMIF($A$2:A183,"&lt;&gt;",$J$2:J183),2),IF(OR(A184="",posicao_contratual!S184="",C184="",NOT(ISNUMBER($Z$5))),"",ROUND(posicao_contratual!S184*C184*$Z$5,2)))</f>
        <v/>
      </c>
      <c r="K184" s="109"/>
      <c r="L184" s="104" t="str">
        <f>IF(AND(A184="",A183&lt;&gt;"",COUNTIF(A185:$A$200,"&lt;&gt;")=0),ROUND(SUMIF($A$2:A183,"&lt;&gt;",$L$2:L183),2),IF(OR(A184="",posicao_contratual!W184="",C184="",NOT(ISNUMBER($Z$6))),"",ROUND(posicao_contratual!W184*C184*$Z$6,2)))</f>
        <v/>
      </c>
      <c r="M184" s="110" t="str">
        <f>IF(OR(posicao_contratual!J184="",posicao_contratual!N184=""),"",ROUND(MAX(posicao_contratual!J184+posicao_contratual!H184-posicao_contratual!N184,0),2))</f>
        <v/>
      </c>
      <c r="N184" s="104" t="str">
        <f>IF(AND(A184="",A183&lt;&gt;"",COUNTIF(A185:$A$200,"&lt;&gt;")=0),ROUND(SUMIF($A$2:A183,"&lt;&gt;",$N$2:N183),2),IF(OR(M184="",C184="",NOT(ISNUMBER($Z$3))),"",ROUND(M184*C184*$Z$3,2)))</f>
        <v/>
      </c>
      <c r="O184" s="110" t="str">
        <f>IF(OR(posicao_contratual!N184="",posicao_contratual!R184=""),"",ROUND(MAX(posicao_contratual!N184+posicao_contratual!L184-posicao_contratual!R184,0),2))</f>
        <v/>
      </c>
      <c r="P184" s="104" t="str">
        <f>IF(AND(A184="",A183&lt;&gt;"",COUNTIF(A185:$A$200,"&lt;&gt;")=0),ROUND(SUMIF($A$2:A183,"&lt;&gt;",$P$2:P183),2),IF(OR(O184="",C184="",NOT(ISNUMBER($Z$4))),"",ROUND(O184*C184*$Z$4,2)))</f>
        <v/>
      </c>
      <c r="Q184" s="110" t="str">
        <f>IF(OR(posicao_contratual!R184="",posicao_contratual!V184=""),"",ROUND(MAX(posicao_contratual!R184+posicao_contratual!P184-posicao_contratual!V184,0),2))</f>
        <v/>
      </c>
      <c r="R184" s="104" t="str">
        <f>IF(AND(A184="",A183&lt;&gt;"",COUNTIF(A185:$A$200,"&lt;&gt;")=0),ROUND(SUMIF($A$2:A183,"&lt;&gt;",$R$2:R183),2),IF(OR(Q184="",C184="",NOT(ISNUMBER($Z$5))),"",ROUND(Q184*C184*$Z$5,2)))</f>
        <v/>
      </c>
      <c r="S184" s="58"/>
      <c r="T184" s="59"/>
      <c r="U184" s="111" t="str">
        <f>IF(AND(A184="",A183&lt;&gt;"",COUNTIF(A185:$A$200,"&lt;&gt;")=0),"TOTAL",IF(A184="","",posicao_contratual!X184))</f>
        <v/>
      </c>
      <c r="V184" s="111" t="str">
        <f>IF(A184="","",posicao_contratual!X184)</f>
        <v/>
      </c>
      <c r="W184" s="15"/>
      <c r="X184" s="15"/>
      <c r="Y184" s="15"/>
      <c r="Z184" s="15"/>
      <c r="AA184" s="15"/>
      <c r="AB184" s="110" t="str">
        <f>IF(OR(A184="",posicao_contratual!E184="",posicao_contratual!J184=""),"",ROUND(MAX(posicao_contratual!E184-posicao_contratual!J184,0),2))</f>
        <v/>
      </c>
      <c r="AC184" s="104" t="str">
        <f>IF(AND(A184="",A183&lt;&gt;"",COUNTIF(A185:$A$200,"&lt;&gt;")=0),ROUND(SUMIF($A$2:A183,"&lt;&gt;",$AC$2:AC183),2),IF(OR(AB184="",C184="",NOT(ISNUMBER($Z$2))),"",ROUND(AB184*C184*$Z$2,2)))</f>
        <v/>
      </c>
      <c r="AD184" s="180" t="str">
        <f>IF(A184="","",posicao_contratual!E184)</f>
        <v/>
      </c>
      <c r="AE184" s="180" t="str">
        <f>IF(A184="","",posicao_contratual!I184)</f>
        <v/>
      </c>
      <c r="AF184" s="180" t="str">
        <f>IF(A184="","",posicao_contratual!M184)</f>
        <v/>
      </c>
      <c r="AG184" s="180" t="str">
        <f>IF(A184="","",posicao_contratual!Q184)</f>
        <v/>
      </c>
      <c r="AH184" s="180" t="str">
        <f>IF(A184="","",posicao_contratual!U184)</f>
        <v/>
      </c>
      <c r="AI184" s="180" t="str">
        <f>IF(A184="","",posicao_contratual!G184)</f>
        <v/>
      </c>
      <c r="AJ184" s="180" t="str">
        <f>IF(A184="","",posicao_contratual!K184)</f>
        <v/>
      </c>
      <c r="AK184" s="180" t="str">
        <f>IF(A184="","",posicao_contratual!O184)</f>
        <v/>
      </c>
      <c r="AL184" s="180" t="str">
        <f>IF(A184="","",posicao_contratual!S184)</f>
        <v/>
      </c>
      <c r="AM184" s="180" t="str">
        <f>IF(A184="","",posicao_contratual!W184)</f>
        <v/>
      </c>
      <c r="AN184" s="181" t="str">
        <f>IF(A184="","",posicao_contratual!X184)</f>
        <v/>
      </c>
    </row>
    <row r="185" spans="1:40" x14ac:dyDescent="0.35">
      <c r="A185" s="106"/>
      <c r="B185" s="107"/>
      <c r="C185" s="108"/>
      <c r="D185" s="104" t="str">
        <f>IF(AND(A185="",A184&lt;&gt;"",COUNTIF(A186:$A$200,"&lt;&gt;")=0),ROUND(SUMIF($A$2:A184,"&lt;&gt;",$D$2:D184),2),IF(OR(A185="",B185="",C185=""),"",ROUND(B185*C185,2)))</f>
        <v/>
      </c>
      <c r="E185" s="109"/>
      <c r="F185" s="104" t="str">
        <f>IF(AND(A185="",A184&lt;&gt;"",COUNTIF(A186:$A$200,"&lt;&gt;")=0),ROUND(SUMIF($A$2:A184,"&lt;&gt;",$F$2:F184),2),IF(OR(A185="",posicao_contratual!K185="",C185="",NOT(ISNUMBER($Z$3))),"",ROUND(posicao_contratual!K185*C185*$Z$3,2)))</f>
        <v/>
      </c>
      <c r="G185" s="109"/>
      <c r="H185" s="104" t="str">
        <f>IF(AND(A185="",A184&lt;&gt;"",COUNTIF(A186:$A$200,"&lt;&gt;")=0),ROUND(SUMIF($A$2:A184,"&lt;&gt;",$H$2:H184),2),IF(OR(A185="",posicao_contratual!O185="",C185="",NOT(ISNUMBER($Z$4))),"",ROUND(posicao_contratual!O185*C185*$Z$4,2)))</f>
        <v/>
      </c>
      <c r="I185" s="109"/>
      <c r="J185" s="104" t="str">
        <f>IF(AND(A185="",A184&lt;&gt;"",COUNTIF(A186:$A$200,"&lt;&gt;")=0),ROUND(SUMIF($A$2:A184,"&lt;&gt;",$J$2:J184),2),IF(OR(A185="",posicao_contratual!S185="",C185="",NOT(ISNUMBER($Z$5))),"",ROUND(posicao_contratual!S185*C185*$Z$5,2)))</f>
        <v/>
      </c>
      <c r="K185" s="109"/>
      <c r="L185" s="104" t="str">
        <f>IF(AND(A185="",A184&lt;&gt;"",COUNTIF(A186:$A$200,"&lt;&gt;")=0),ROUND(SUMIF($A$2:A184,"&lt;&gt;",$L$2:L184),2),IF(OR(A185="",posicao_contratual!W185="",C185="",NOT(ISNUMBER($Z$6))),"",ROUND(posicao_contratual!W185*C185*$Z$6,2)))</f>
        <v/>
      </c>
      <c r="M185" s="110" t="str">
        <f>IF(OR(posicao_contratual!J185="",posicao_contratual!N185=""),"",ROUND(MAX(posicao_contratual!J185+posicao_contratual!H185-posicao_contratual!N185,0),2))</f>
        <v/>
      </c>
      <c r="N185" s="104" t="str">
        <f>IF(AND(A185="",A184&lt;&gt;"",COUNTIF(A186:$A$200,"&lt;&gt;")=0),ROUND(SUMIF($A$2:A184,"&lt;&gt;",$N$2:N184),2),IF(OR(M185="",C185="",NOT(ISNUMBER($Z$3))),"",ROUND(M185*C185*$Z$3,2)))</f>
        <v/>
      </c>
      <c r="O185" s="110" t="str">
        <f>IF(OR(posicao_contratual!N185="",posicao_contratual!R185=""),"",ROUND(MAX(posicao_contratual!N185+posicao_contratual!L185-posicao_contratual!R185,0),2))</f>
        <v/>
      </c>
      <c r="P185" s="104" t="str">
        <f>IF(AND(A185="",A184&lt;&gt;"",COUNTIF(A186:$A$200,"&lt;&gt;")=0),ROUND(SUMIF($A$2:A184,"&lt;&gt;",$P$2:P184),2),IF(OR(O185="",C185="",NOT(ISNUMBER($Z$4))),"",ROUND(O185*C185*$Z$4,2)))</f>
        <v/>
      </c>
      <c r="Q185" s="110" t="str">
        <f>IF(OR(posicao_contratual!R185="",posicao_contratual!V185=""),"",ROUND(MAX(posicao_contratual!R185+posicao_contratual!P185-posicao_contratual!V185,0),2))</f>
        <v/>
      </c>
      <c r="R185" s="104" t="str">
        <f>IF(AND(A185="",A184&lt;&gt;"",COUNTIF(A186:$A$200,"&lt;&gt;")=0),ROUND(SUMIF($A$2:A184,"&lt;&gt;",$R$2:R184),2),IF(OR(Q185="",C185="",NOT(ISNUMBER($Z$5))),"",ROUND(Q185*C185*$Z$5,2)))</f>
        <v/>
      </c>
      <c r="S185" s="58"/>
      <c r="T185" s="59"/>
      <c r="U185" s="111" t="str">
        <f>IF(AND(A185="",A184&lt;&gt;"",COUNTIF(A186:$A$200,"&lt;&gt;")=0),"TOTAL",IF(A185="","",posicao_contratual!X185))</f>
        <v/>
      </c>
      <c r="V185" s="111" t="str">
        <f>IF(A185="","",posicao_contratual!X185)</f>
        <v/>
      </c>
      <c r="W185" s="15"/>
      <c r="X185" s="15"/>
      <c r="Y185" s="15"/>
      <c r="Z185" s="15"/>
      <c r="AA185" s="15"/>
      <c r="AB185" s="110" t="str">
        <f>IF(OR(A185="",posicao_contratual!E185="",posicao_contratual!J185=""),"",ROUND(MAX(posicao_contratual!E185-posicao_contratual!J185,0),2))</f>
        <v/>
      </c>
      <c r="AC185" s="104" t="str">
        <f>IF(AND(A185="",A184&lt;&gt;"",COUNTIF(A186:$A$200,"&lt;&gt;")=0),ROUND(SUMIF($A$2:A184,"&lt;&gt;",$AC$2:AC184),2),IF(OR(AB185="",C185="",NOT(ISNUMBER($Z$2))),"",ROUND(AB185*C185*$Z$2,2)))</f>
        <v/>
      </c>
      <c r="AD185" s="180" t="str">
        <f>IF(A185="","",posicao_contratual!E185)</f>
        <v/>
      </c>
      <c r="AE185" s="180" t="str">
        <f>IF(A185="","",posicao_contratual!I185)</f>
        <v/>
      </c>
      <c r="AF185" s="180" t="str">
        <f>IF(A185="","",posicao_contratual!M185)</f>
        <v/>
      </c>
      <c r="AG185" s="180" t="str">
        <f>IF(A185="","",posicao_contratual!Q185)</f>
        <v/>
      </c>
      <c r="AH185" s="180" t="str">
        <f>IF(A185="","",posicao_contratual!U185)</f>
        <v/>
      </c>
      <c r="AI185" s="180" t="str">
        <f>IF(A185="","",posicao_contratual!G185)</f>
        <v/>
      </c>
      <c r="AJ185" s="180" t="str">
        <f>IF(A185="","",posicao_contratual!K185)</f>
        <v/>
      </c>
      <c r="AK185" s="180" t="str">
        <f>IF(A185="","",posicao_contratual!O185)</f>
        <v/>
      </c>
      <c r="AL185" s="180" t="str">
        <f>IF(A185="","",posicao_contratual!S185)</f>
        <v/>
      </c>
      <c r="AM185" s="180" t="str">
        <f>IF(A185="","",posicao_contratual!W185)</f>
        <v/>
      </c>
      <c r="AN185" s="181" t="str">
        <f>IF(A185="","",posicao_contratual!X185)</f>
        <v/>
      </c>
    </row>
    <row r="186" spans="1:40" x14ac:dyDescent="0.35">
      <c r="A186" s="106"/>
      <c r="B186" s="107"/>
      <c r="C186" s="108"/>
      <c r="D186" s="104" t="str">
        <f>IF(AND(A186="",A185&lt;&gt;"",COUNTIF(A187:$A$200,"&lt;&gt;")=0),ROUND(SUMIF($A$2:A185,"&lt;&gt;",$D$2:D185),2),IF(OR(A186="",B186="",C186=""),"",ROUND(B186*C186,2)))</f>
        <v/>
      </c>
      <c r="E186" s="109"/>
      <c r="F186" s="104" t="str">
        <f>IF(AND(A186="",A185&lt;&gt;"",COUNTIF(A187:$A$200,"&lt;&gt;")=0),ROUND(SUMIF($A$2:A185,"&lt;&gt;",$F$2:F185),2),IF(OR(A186="",posicao_contratual!K186="",C186="",NOT(ISNUMBER($Z$3))),"",ROUND(posicao_contratual!K186*C186*$Z$3,2)))</f>
        <v/>
      </c>
      <c r="G186" s="109"/>
      <c r="H186" s="104" t="str">
        <f>IF(AND(A186="",A185&lt;&gt;"",COUNTIF(A187:$A$200,"&lt;&gt;")=0),ROUND(SUMIF($A$2:A185,"&lt;&gt;",$H$2:H185),2),IF(OR(A186="",posicao_contratual!O186="",C186="",NOT(ISNUMBER($Z$4))),"",ROUND(posicao_contratual!O186*C186*$Z$4,2)))</f>
        <v/>
      </c>
      <c r="I186" s="109"/>
      <c r="J186" s="104" t="str">
        <f>IF(AND(A186="",A185&lt;&gt;"",COUNTIF(A187:$A$200,"&lt;&gt;")=0),ROUND(SUMIF($A$2:A185,"&lt;&gt;",$J$2:J185),2),IF(OR(A186="",posicao_contratual!S186="",C186="",NOT(ISNUMBER($Z$5))),"",ROUND(posicao_contratual!S186*C186*$Z$5,2)))</f>
        <v/>
      </c>
      <c r="K186" s="109"/>
      <c r="L186" s="104" t="str">
        <f>IF(AND(A186="",A185&lt;&gt;"",COUNTIF(A187:$A$200,"&lt;&gt;")=0),ROUND(SUMIF($A$2:A185,"&lt;&gt;",$L$2:L185),2),IF(OR(A186="",posicao_contratual!W186="",C186="",NOT(ISNUMBER($Z$6))),"",ROUND(posicao_contratual!W186*C186*$Z$6,2)))</f>
        <v/>
      </c>
      <c r="M186" s="110" t="str">
        <f>IF(OR(posicao_contratual!J186="",posicao_contratual!N186=""),"",ROUND(MAX(posicao_contratual!J186+posicao_contratual!H186-posicao_contratual!N186,0),2))</f>
        <v/>
      </c>
      <c r="N186" s="104" t="str">
        <f>IF(AND(A186="",A185&lt;&gt;"",COUNTIF(A187:$A$200,"&lt;&gt;")=0),ROUND(SUMIF($A$2:A185,"&lt;&gt;",$N$2:N185),2),IF(OR(M186="",C186="",NOT(ISNUMBER($Z$3))),"",ROUND(M186*C186*$Z$3,2)))</f>
        <v/>
      </c>
      <c r="O186" s="110" t="str">
        <f>IF(OR(posicao_contratual!N186="",posicao_contratual!R186=""),"",ROUND(MAX(posicao_contratual!N186+posicao_contratual!L186-posicao_contratual!R186,0),2))</f>
        <v/>
      </c>
      <c r="P186" s="104" t="str">
        <f>IF(AND(A186="",A185&lt;&gt;"",COUNTIF(A187:$A$200,"&lt;&gt;")=0),ROUND(SUMIF($A$2:A185,"&lt;&gt;",$P$2:P185),2),IF(OR(O186="",C186="",NOT(ISNUMBER($Z$4))),"",ROUND(O186*C186*$Z$4,2)))</f>
        <v/>
      </c>
      <c r="Q186" s="110" t="str">
        <f>IF(OR(posicao_contratual!R186="",posicao_contratual!V186=""),"",ROUND(MAX(posicao_contratual!R186+posicao_contratual!P186-posicao_contratual!V186,0),2))</f>
        <v/>
      </c>
      <c r="R186" s="104" t="str">
        <f>IF(AND(A186="",A185&lt;&gt;"",COUNTIF(A187:$A$200,"&lt;&gt;")=0),ROUND(SUMIF($A$2:A185,"&lt;&gt;",$R$2:R185),2),IF(OR(Q186="",C186="",NOT(ISNUMBER($Z$5))),"",ROUND(Q186*C186*$Z$5,2)))</f>
        <v/>
      </c>
      <c r="S186" s="58"/>
      <c r="T186" s="59"/>
      <c r="U186" s="111" t="str">
        <f>IF(AND(A186="",A185&lt;&gt;"",COUNTIF(A187:$A$200,"&lt;&gt;")=0),"TOTAL",IF(A186="","",posicao_contratual!X186))</f>
        <v/>
      </c>
      <c r="V186" s="111" t="str">
        <f>IF(A186="","",posicao_contratual!X186)</f>
        <v/>
      </c>
      <c r="W186" s="15"/>
      <c r="X186" s="15"/>
      <c r="Y186" s="15"/>
      <c r="Z186" s="15"/>
      <c r="AA186" s="15"/>
      <c r="AB186" s="110" t="str">
        <f>IF(OR(A186="",posicao_contratual!E186="",posicao_contratual!J186=""),"",ROUND(MAX(posicao_contratual!E186-posicao_contratual!J186,0),2))</f>
        <v/>
      </c>
      <c r="AC186" s="104" t="str">
        <f>IF(AND(A186="",A185&lt;&gt;"",COUNTIF(A187:$A$200,"&lt;&gt;")=0),ROUND(SUMIF($A$2:A185,"&lt;&gt;",$AC$2:AC185),2),IF(OR(AB186="",C186="",NOT(ISNUMBER($Z$2))),"",ROUND(AB186*C186*$Z$2,2)))</f>
        <v/>
      </c>
      <c r="AD186" s="180" t="str">
        <f>IF(A186="","",posicao_contratual!E186)</f>
        <v/>
      </c>
      <c r="AE186" s="180" t="str">
        <f>IF(A186="","",posicao_contratual!I186)</f>
        <v/>
      </c>
      <c r="AF186" s="180" t="str">
        <f>IF(A186="","",posicao_contratual!M186)</f>
        <v/>
      </c>
      <c r="AG186" s="180" t="str">
        <f>IF(A186="","",posicao_contratual!Q186)</f>
        <v/>
      </c>
      <c r="AH186" s="180" t="str">
        <f>IF(A186="","",posicao_contratual!U186)</f>
        <v/>
      </c>
      <c r="AI186" s="180" t="str">
        <f>IF(A186="","",posicao_contratual!G186)</f>
        <v/>
      </c>
      <c r="AJ186" s="180" t="str">
        <f>IF(A186="","",posicao_contratual!K186)</f>
        <v/>
      </c>
      <c r="AK186" s="180" t="str">
        <f>IF(A186="","",posicao_contratual!O186)</f>
        <v/>
      </c>
      <c r="AL186" s="180" t="str">
        <f>IF(A186="","",posicao_contratual!S186)</f>
        <v/>
      </c>
      <c r="AM186" s="180" t="str">
        <f>IF(A186="","",posicao_contratual!W186)</f>
        <v/>
      </c>
      <c r="AN186" s="181" t="str">
        <f>IF(A186="","",posicao_contratual!X186)</f>
        <v/>
      </c>
    </row>
    <row r="187" spans="1:40" x14ac:dyDescent="0.35">
      <c r="A187" s="106"/>
      <c r="B187" s="107"/>
      <c r="C187" s="108"/>
      <c r="D187" s="104" t="str">
        <f>IF(AND(A187="",A186&lt;&gt;"",COUNTIF(A188:$A$200,"&lt;&gt;")=0),ROUND(SUMIF($A$2:A186,"&lt;&gt;",$D$2:D186),2),IF(OR(A187="",B187="",C187=""),"",ROUND(B187*C187,2)))</f>
        <v/>
      </c>
      <c r="E187" s="109"/>
      <c r="F187" s="104" t="str">
        <f>IF(AND(A187="",A186&lt;&gt;"",COUNTIF(A188:$A$200,"&lt;&gt;")=0),ROUND(SUMIF($A$2:A186,"&lt;&gt;",$F$2:F186),2),IF(OR(A187="",posicao_contratual!K187="",C187="",NOT(ISNUMBER($Z$3))),"",ROUND(posicao_contratual!K187*C187*$Z$3,2)))</f>
        <v/>
      </c>
      <c r="G187" s="109"/>
      <c r="H187" s="104" t="str">
        <f>IF(AND(A187="",A186&lt;&gt;"",COUNTIF(A188:$A$200,"&lt;&gt;")=0),ROUND(SUMIF($A$2:A186,"&lt;&gt;",$H$2:H186),2),IF(OR(A187="",posicao_contratual!O187="",C187="",NOT(ISNUMBER($Z$4))),"",ROUND(posicao_contratual!O187*C187*$Z$4,2)))</f>
        <v/>
      </c>
      <c r="I187" s="109"/>
      <c r="J187" s="104" t="str">
        <f>IF(AND(A187="",A186&lt;&gt;"",COUNTIF(A188:$A$200,"&lt;&gt;")=0),ROUND(SUMIF($A$2:A186,"&lt;&gt;",$J$2:J186),2),IF(OR(A187="",posicao_contratual!S187="",C187="",NOT(ISNUMBER($Z$5))),"",ROUND(posicao_contratual!S187*C187*$Z$5,2)))</f>
        <v/>
      </c>
      <c r="K187" s="109"/>
      <c r="L187" s="104" t="str">
        <f>IF(AND(A187="",A186&lt;&gt;"",COUNTIF(A188:$A$200,"&lt;&gt;")=0),ROUND(SUMIF($A$2:A186,"&lt;&gt;",$L$2:L186),2),IF(OR(A187="",posicao_contratual!W187="",C187="",NOT(ISNUMBER($Z$6))),"",ROUND(posicao_contratual!W187*C187*$Z$6,2)))</f>
        <v/>
      </c>
      <c r="M187" s="110" t="str">
        <f>IF(OR(posicao_contratual!J187="",posicao_contratual!N187=""),"",ROUND(MAX(posicao_contratual!J187+posicao_contratual!H187-posicao_contratual!N187,0),2))</f>
        <v/>
      </c>
      <c r="N187" s="104" t="str">
        <f>IF(AND(A187="",A186&lt;&gt;"",COUNTIF(A188:$A$200,"&lt;&gt;")=0),ROUND(SUMIF($A$2:A186,"&lt;&gt;",$N$2:N186),2),IF(OR(M187="",C187="",NOT(ISNUMBER($Z$3))),"",ROUND(M187*C187*$Z$3,2)))</f>
        <v/>
      </c>
      <c r="O187" s="110" t="str">
        <f>IF(OR(posicao_contratual!N187="",posicao_contratual!R187=""),"",ROUND(MAX(posicao_contratual!N187+posicao_contratual!L187-posicao_contratual!R187,0),2))</f>
        <v/>
      </c>
      <c r="P187" s="104" t="str">
        <f>IF(AND(A187="",A186&lt;&gt;"",COUNTIF(A188:$A$200,"&lt;&gt;")=0),ROUND(SUMIF($A$2:A186,"&lt;&gt;",$P$2:P186),2),IF(OR(O187="",C187="",NOT(ISNUMBER($Z$4))),"",ROUND(O187*C187*$Z$4,2)))</f>
        <v/>
      </c>
      <c r="Q187" s="110" t="str">
        <f>IF(OR(posicao_contratual!R187="",posicao_contratual!V187=""),"",ROUND(MAX(posicao_contratual!R187+posicao_contratual!P187-posicao_contratual!V187,0),2))</f>
        <v/>
      </c>
      <c r="R187" s="104" t="str">
        <f>IF(AND(A187="",A186&lt;&gt;"",COUNTIF(A188:$A$200,"&lt;&gt;")=0),ROUND(SUMIF($A$2:A186,"&lt;&gt;",$R$2:R186),2),IF(OR(Q187="",C187="",NOT(ISNUMBER($Z$5))),"",ROUND(Q187*C187*$Z$5,2)))</f>
        <v/>
      </c>
      <c r="S187" s="58"/>
      <c r="T187" s="59"/>
      <c r="U187" s="111" t="str">
        <f>IF(AND(A187="",A186&lt;&gt;"",COUNTIF(A188:$A$200,"&lt;&gt;")=0),"TOTAL",IF(A187="","",posicao_contratual!X187))</f>
        <v/>
      </c>
      <c r="V187" s="111" t="str">
        <f>IF(A187="","",posicao_contratual!X187)</f>
        <v/>
      </c>
      <c r="W187" s="15"/>
      <c r="X187" s="15"/>
      <c r="Y187" s="15"/>
      <c r="Z187" s="15"/>
      <c r="AA187" s="15"/>
      <c r="AB187" s="110" t="str">
        <f>IF(OR(A187="",posicao_contratual!E187="",posicao_contratual!J187=""),"",ROUND(MAX(posicao_contratual!E187-posicao_contratual!J187,0),2))</f>
        <v/>
      </c>
      <c r="AC187" s="104" t="str">
        <f>IF(AND(A187="",A186&lt;&gt;"",COUNTIF(A188:$A$200,"&lt;&gt;")=0),ROUND(SUMIF($A$2:A186,"&lt;&gt;",$AC$2:AC186),2),IF(OR(AB187="",C187="",NOT(ISNUMBER($Z$2))),"",ROUND(AB187*C187*$Z$2,2)))</f>
        <v/>
      </c>
      <c r="AD187" s="180" t="str">
        <f>IF(A187="","",posicao_contratual!E187)</f>
        <v/>
      </c>
      <c r="AE187" s="180" t="str">
        <f>IF(A187="","",posicao_contratual!I187)</f>
        <v/>
      </c>
      <c r="AF187" s="180" t="str">
        <f>IF(A187="","",posicao_contratual!M187)</f>
        <v/>
      </c>
      <c r="AG187" s="180" t="str">
        <f>IF(A187="","",posicao_contratual!Q187)</f>
        <v/>
      </c>
      <c r="AH187" s="180" t="str">
        <f>IF(A187="","",posicao_contratual!U187)</f>
        <v/>
      </c>
      <c r="AI187" s="180" t="str">
        <f>IF(A187="","",posicao_contratual!G187)</f>
        <v/>
      </c>
      <c r="AJ187" s="180" t="str">
        <f>IF(A187="","",posicao_contratual!K187)</f>
        <v/>
      </c>
      <c r="AK187" s="180" t="str">
        <f>IF(A187="","",posicao_contratual!O187)</f>
        <v/>
      </c>
      <c r="AL187" s="180" t="str">
        <f>IF(A187="","",posicao_contratual!S187)</f>
        <v/>
      </c>
      <c r="AM187" s="180" t="str">
        <f>IF(A187="","",posicao_contratual!W187)</f>
        <v/>
      </c>
      <c r="AN187" s="181" t="str">
        <f>IF(A187="","",posicao_contratual!X187)</f>
        <v/>
      </c>
    </row>
    <row r="188" spans="1:40" x14ac:dyDescent="0.35">
      <c r="A188" s="106"/>
      <c r="B188" s="107"/>
      <c r="C188" s="108"/>
      <c r="D188" s="104" t="str">
        <f>IF(AND(A188="",A187&lt;&gt;"",COUNTIF(A189:$A$200,"&lt;&gt;")=0),ROUND(SUMIF($A$2:A187,"&lt;&gt;",$D$2:D187),2),IF(OR(A188="",B188="",C188=""),"",ROUND(B188*C188,2)))</f>
        <v/>
      </c>
      <c r="E188" s="109"/>
      <c r="F188" s="104" t="str">
        <f>IF(AND(A188="",A187&lt;&gt;"",COUNTIF(A189:$A$200,"&lt;&gt;")=0),ROUND(SUMIF($A$2:A187,"&lt;&gt;",$F$2:F187),2),IF(OR(A188="",posicao_contratual!K188="",C188="",NOT(ISNUMBER($Z$3))),"",ROUND(posicao_contratual!K188*C188*$Z$3,2)))</f>
        <v/>
      </c>
      <c r="G188" s="109"/>
      <c r="H188" s="104" t="str">
        <f>IF(AND(A188="",A187&lt;&gt;"",COUNTIF(A189:$A$200,"&lt;&gt;")=0),ROUND(SUMIF($A$2:A187,"&lt;&gt;",$H$2:H187),2),IF(OR(A188="",posicao_contratual!O188="",C188="",NOT(ISNUMBER($Z$4))),"",ROUND(posicao_contratual!O188*C188*$Z$4,2)))</f>
        <v/>
      </c>
      <c r="I188" s="109"/>
      <c r="J188" s="104" t="str">
        <f>IF(AND(A188="",A187&lt;&gt;"",COUNTIF(A189:$A$200,"&lt;&gt;")=0),ROUND(SUMIF($A$2:A187,"&lt;&gt;",$J$2:J187),2),IF(OR(A188="",posicao_contratual!S188="",C188="",NOT(ISNUMBER($Z$5))),"",ROUND(posicao_contratual!S188*C188*$Z$5,2)))</f>
        <v/>
      </c>
      <c r="K188" s="109"/>
      <c r="L188" s="104" t="str">
        <f>IF(AND(A188="",A187&lt;&gt;"",COUNTIF(A189:$A$200,"&lt;&gt;")=0),ROUND(SUMIF($A$2:A187,"&lt;&gt;",$L$2:L187),2),IF(OR(A188="",posicao_contratual!W188="",C188="",NOT(ISNUMBER($Z$6))),"",ROUND(posicao_contratual!W188*C188*$Z$6,2)))</f>
        <v/>
      </c>
      <c r="M188" s="110" t="str">
        <f>IF(OR(posicao_contratual!J188="",posicao_contratual!N188=""),"",ROUND(MAX(posicao_contratual!J188+posicao_contratual!H188-posicao_contratual!N188,0),2))</f>
        <v/>
      </c>
      <c r="N188" s="104" t="str">
        <f>IF(AND(A188="",A187&lt;&gt;"",COUNTIF(A189:$A$200,"&lt;&gt;")=0),ROUND(SUMIF($A$2:A187,"&lt;&gt;",$N$2:N187),2),IF(OR(M188="",C188="",NOT(ISNUMBER($Z$3))),"",ROUND(M188*C188*$Z$3,2)))</f>
        <v/>
      </c>
      <c r="O188" s="110" t="str">
        <f>IF(OR(posicao_contratual!N188="",posicao_contratual!R188=""),"",ROUND(MAX(posicao_contratual!N188+posicao_contratual!L188-posicao_contratual!R188,0),2))</f>
        <v/>
      </c>
      <c r="P188" s="104" t="str">
        <f>IF(AND(A188="",A187&lt;&gt;"",COUNTIF(A189:$A$200,"&lt;&gt;")=0),ROUND(SUMIF($A$2:A187,"&lt;&gt;",$P$2:P187),2),IF(OR(O188="",C188="",NOT(ISNUMBER($Z$4))),"",ROUND(O188*C188*$Z$4,2)))</f>
        <v/>
      </c>
      <c r="Q188" s="110" t="str">
        <f>IF(OR(posicao_contratual!R188="",posicao_contratual!V188=""),"",ROUND(MAX(posicao_contratual!R188+posicao_contratual!P188-posicao_contratual!V188,0),2))</f>
        <v/>
      </c>
      <c r="R188" s="104" t="str">
        <f>IF(AND(A188="",A187&lt;&gt;"",COUNTIF(A189:$A$200,"&lt;&gt;")=0),ROUND(SUMIF($A$2:A187,"&lt;&gt;",$R$2:R187),2),IF(OR(Q188="",C188="",NOT(ISNUMBER($Z$5))),"",ROUND(Q188*C188*$Z$5,2)))</f>
        <v/>
      </c>
      <c r="S188" s="58"/>
      <c r="T188" s="59"/>
      <c r="U188" s="111" t="str">
        <f>IF(AND(A188="",A187&lt;&gt;"",COUNTIF(A189:$A$200,"&lt;&gt;")=0),"TOTAL",IF(A188="","",posicao_contratual!X188))</f>
        <v/>
      </c>
      <c r="V188" s="111" t="str">
        <f>IF(A188="","",posicao_contratual!X188)</f>
        <v/>
      </c>
      <c r="W188" s="15"/>
      <c r="X188" s="15"/>
      <c r="Y188" s="15"/>
      <c r="Z188" s="15"/>
      <c r="AA188" s="15"/>
      <c r="AB188" s="110" t="str">
        <f>IF(OR(A188="",posicao_contratual!E188="",posicao_contratual!J188=""),"",ROUND(MAX(posicao_contratual!E188-posicao_contratual!J188,0),2))</f>
        <v/>
      </c>
      <c r="AC188" s="104" t="str">
        <f>IF(AND(A188="",A187&lt;&gt;"",COUNTIF(A189:$A$200,"&lt;&gt;")=0),ROUND(SUMIF($A$2:A187,"&lt;&gt;",$AC$2:AC187),2),IF(OR(AB188="",C188="",NOT(ISNUMBER($Z$2))),"",ROUND(AB188*C188*$Z$2,2)))</f>
        <v/>
      </c>
      <c r="AD188" s="180" t="str">
        <f>IF(A188="","",posicao_contratual!E188)</f>
        <v/>
      </c>
      <c r="AE188" s="180" t="str">
        <f>IF(A188="","",posicao_contratual!I188)</f>
        <v/>
      </c>
      <c r="AF188" s="180" t="str">
        <f>IF(A188="","",posicao_contratual!M188)</f>
        <v/>
      </c>
      <c r="AG188" s="180" t="str">
        <f>IF(A188="","",posicao_contratual!Q188)</f>
        <v/>
      </c>
      <c r="AH188" s="180" t="str">
        <f>IF(A188="","",posicao_contratual!U188)</f>
        <v/>
      </c>
      <c r="AI188" s="180" t="str">
        <f>IF(A188="","",posicao_contratual!G188)</f>
        <v/>
      </c>
      <c r="AJ188" s="180" t="str">
        <f>IF(A188="","",posicao_contratual!K188)</f>
        <v/>
      </c>
      <c r="AK188" s="180" t="str">
        <f>IF(A188="","",posicao_contratual!O188)</f>
        <v/>
      </c>
      <c r="AL188" s="180" t="str">
        <f>IF(A188="","",posicao_contratual!S188)</f>
        <v/>
      </c>
      <c r="AM188" s="180" t="str">
        <f>IF(A188="","",posicao_contratual!W188)</f>
        <v/>
      </c>
      <c r="AN188" s="181" t="str">
        <f>IF(A188="","",posicao_contratual!X188)</f>
        <v/>
      </c>
    </row>
    <row r="189" spans="1:40" x14ac:dyDescent="0.35">
      <c r="A189" s="106"/>
      <c r="B189" s="107"/>
      <c r="C189" s="108"/>
      <c r="D189" s="104" t="str">
        <f>IF(AND(A189="",A188&lt;&gt;"",COUNTIF(A190:$A$200,"&lt;&gt;")=0),ROUND(SUMIF($A$2:A188,"&lt;&gt;",$D$2:D188),2),IF(OR(A189="",B189="",C189=""),"",ROUND(B189*C189,2)))</f>
        <v/>
      </c>
      <c r="E189" s="109"/>
      <c r="F189" s="104" t="str">
        <f>IF(AND(A189="",A188&lt;&gt;"",COUNTIF(A190:$A$200,"&lt;&gt;")=0),ROUND(SUMIF($A$2:A188,"&lt;&gt;",$F$2:F188),2),IF(OR(A189="",posicao_contratual!K189="",C189="",NOT(ISNUMBER($Z$3))),"",ROUND(posicao_contratual!K189*C189*$Z$3,2)))</f>
        <v/>
      </c>
      <c r="G189" s="109"/>
      <c r="H189" s="104" t="str">
        <f>IF(AND(A189="",A188&lt;&gt;"",COUNTIF(A190:$A$200,"&lt;&gt;")=0),ROUND(SUMIF($A$2:A188,"&lt;&gt;",$H$2:H188),2),IF(OR(A189="",posicao_contratual!O189="",C189="",NOT(ISNUMBER($Z$4))),"",ROUND(posicao_contratual!O189*C189*$Z$4,2)))</f>
        <v/>
      </c>
      <c r="I189" s="109"/>
      <c r="J189" s="104" t="str">
        <f>IF(AND(A189="",A188&lt;&gt;"",COUNTIF(A190:$A$200,"&lt;&gt;")=0),ROUND(SUMIF($A$2:A188,"&lt;&gt;",$J$2:J188),2),IF(OR(A189="",posicao_contratual!S189="",C189="",NOT(ISNUMBER($Z$5))),"",ROUND(posicao_contratual!S189*C189*$Z$5,2)))</f>
        <v/>
      </c>
      <c r="K189" s="109"/>
      <c r="L189" s="104" t="str">
        <f>IF(AND(A189="",A188&lt;&gt;"",COUNTIF(A190:$A$200,"&lt;&gt;")=0),ROUND(SUMIF($A$2:A188,"&lt;&gt;",$L$2:L188),2),IF(OR(A189="",posicao_contratual!W189="",C189="",NOT(ISNUMBER($Z$6))),"",ROUND(posicao_contratual!W189*C189*$Z$6,2)))</f>
        <v/>
      </c>
      <c r="M189" s="110" t="str">
        <f>IF(OR(posicao_contratual!J189="",posicao_contratual!N189=""),"",ROUND(MAX(posicao_contratual!J189+posicao_contratual!H189-posicao_contratual!N189,0),2))</f>
        <v/>
      </c>
      <c r="N189" s="104" t="str">
        <f>IF(AND(A189="",A188&lt;&gt;"",COUNTIF(A190:$A$200,"&lt;&gt;")=0),ROUND(SUMIF($A$2:A188,"&lt;&gt;",$N$2:N188),2),IF(OR(M189="",C189="",NOT(ISNUMBER($Z$3))),"",ROUND(M189*C189*$Z$3,2)))</f>
        <v/>
      </c>
      <c r="O189" s="110" t="str">
        <f>IF(OR(posicao_contratual!N189="",posicao_contratual!R189=""),"",ROUND(MAX(posicao_contratual!N189+posicao_contratual!L189-posicao_contratual!R189,0),2))</f>
        <v/>
      </c>
      <c r="P189" s="104" t="str">
        <f>IF(AND(A189="",A188&lt;&gt;"",COUNTIF(A190:$A$200,"&lt;&gt;")=0),ROUND(SUMIF($A$2:A188,"&lt;&gt;",$P$2:P188),2),IF(OR(O189="",C189="",NOT(ISNUMBER($Z$4))),"",ROUND(O189*C189*$Z$4,2)))</f>
        <v/>
      </c>
      <c r="Q189" s="110" t="str">
        <f>IF(OR(posicao_contratual!R189="",posicao_contratual!V189=""),"",ROUND(MAX(posicao_contratual!R189+posicao_contratual!P189-posicao_contratual!V189,0),2))</f>
        <v/>
      </c>
      <c r="R189" s="104" t="str">
        <f>IF(AND(A189="",A188&lt;&gt;"",COUNTIF(A190:$A$200,"&lt;&gt;")=0),ROUND(SUMIF($A$2:A188,"&lt;&gt;",$R$2:R188),2),IF(OR(Q189="",C189="",NOT(ISNUMBER($Z$5))),"",ROUND(Q189*C189*$Z$5,2)))</f>
        <v/>
      </c>
      <c r="S189" s="58"/>
      <c r="T189" s="59"/>
      <c r="U189" s="111" t="str">
        <f>IF(AND(A189="",A188&lt;&gt;"",COUNTIF(A190:$A$200,"&lt;&gt;")=0),"TOTAL",IF(A189="","",posicao_contratual!X189))</f>
        <v/>
      </c>
      <c r="V189" s="111" t="str">
        <f>IF(A189="","",posicao_contratual!X189)</f>
        <v/>
      </c>
      <c r="W189" s="15"/>
      <c r="X189" s="15"/>
      <c r="Y189" s="15"/>
      <c r="Z189" s="15"/>
      <c r="AA189" s="15"/>
      <c r="AB189" s="110" t="str">
        <f>IF(OR(A189="",posicao_contratual!E189="",posicao_contratual!J189=""),"",ROUND(MAX(posicao_contratual!E189-posicao_contratual!J189,0),2))</f>
        <v/>
      </c>
      <c r="AC189" s="104" t="str">
        <f>IF(AND(A189="",A188&lt;&gt;"",COUNTIF(A190:$A$200,"&lt;&gt;")=0),ROUND(SUMIF($A$2:A188,"&lt;&gt;",$AC$2:AC188),2),IF(OR(AB189="",C189="",NOT(ISNUMBER($Z$2))),"",ROUND(AB189*C189*$Z$2,2)))</f>
        <v/>
      </c>
      <c r="AD189" s="180" t="str">
        <f>IF(A189="","",posicao_contratual!E189)</f>
        <v/>
      </c>
      <c r="AE189" s="180" t="str">
        <f>IF(A189="","",posicao_contratual!I189)</f>
        <v/>
      </c>
      <c r="AF189" s="180" t="str">
        <f>IF(A189="","",posicao_contratual!M189)</f>
        <v/>
      </c>
      <c r="AG189" s="180" t="str">
        <f>IF(A189="","",posicao_contratual!Q189)</f>
        <v/>
      </c>
      <c r="AH189" s="180" t="str">
        <f>IF(A189="","",posicao_contratual!U189)</f>
        <v/>
      </c>
      <c r="AI189" s="180" t="str">
        <f>IF(A189="","",posicao_contratual!G189)</f>
        <v/>
      </c>
      <c r="AJ189" s="180" t="str">
        <f>IF(A189="","",posicao_contratual!K189)</f>
        <v/>
      </c>
      <c r="AK189" s="180" t="str">
        <f>IF(A189="","",posicao_contratual!O189)</f>
        <v/>
      </c>
      <c r="AL189" s="180" t="str">
        <f>IF(A189="","",posicao_contratual!S189)</f>
        <v/>
      </c>
      <c r="AM189" s="180" t="str">
        <f>IF(A189="","",posicao_contratual!W189)</f>
        <v/>
      </c>
      <c r="AN189" s="181" t="str">
        <f>IF(A189="","",posicao_contratual!X189)</f>
        <v/>
      </c>
    </row>
    <row r="190" spans="1:40" x14ac:dyDescent="0.35">
      <c r="A190" s="106"/>
      <c r="B190" s="107"/>
      <c r="C190" s="108"/>
      <c r="D190" s="104" t="str">
        <f>IF(AND(A190="",A189&lt;&gt;"",COUNTIF(A191:$A$200,"&lt;&gt;")=0),ROUND(SUMIF($A$2:A189,"&lt;&gt;",$D$2:D189),2),IF(OR(A190="",B190="",C190=""),"",ROUND(B190*C190,2)))</f>
        <v/>
      </c>
      <c r="E190" s="109"/>
      <c r="F190" s="104" t="str">
        <f>IF(AND(A190="",A189&lt;&gt;"",COUNTIF(A191:$A$200,"&lt;&gt;")=0),ROUND(SUMIF($A$2:A189,"&lt;&gt;",$F$2:F189),2),IF(OR(A190="",posicao_contratual!K190="",C190="",NOT(ISNUMBER($Z$3))),"",ROUND(posicao_contratual!K190*C190*$Z$3,2)))</f>
        <v/>
      </c>
      <c r="G190" s="109"/>
      <c r="H190" s="104" t="str">
        <f>IF(AND(A190="",A189&lt;&gt;"",COUNTIF(A191:$A$200,"&lt;&gt;")=0),ROUND(SUMIF($A$2:A189,"&lt;&gt;",$H$2:H189),2),IF(OR(A190="",posicao_contratual!O190="",C190="",NOT(ISNUMBER($Z$4))),"",ROUND(posicao_contratual!O190*C190*$Z$4,2)))</f>
        <v/>
      </c>
      <c r="I190" s="109"/>
      <c r="J190" s="104" t="str">
        <f>IF(AND(A190="",A189&lt;&gt;"",COUNTIF(A191:$A$200,"&lt;&gt;")=0),ROUND(SUMIF($A$2:A189,"&lt;&gt;",$J$2:J189),2),IF(OR(A190="",posicao_contratual!S190="",C190="",NOT(ISNUMBER($Z$5))),"",ROUND(posicao_contratual!S190*C190*$Z$5,2)))</f>
        <v/>
      </c>
      <c r="K190" s="109"/>
      <c r="L190" s="104" t="str">
        <f>IF(AND(A190="",A189&lt;&gt;"",COUNTIF(A191:$A$200,"&lt;&gt;")=0),ROUND(SUMIF($A$2:A189,"&lt;&gt;",$L$2:L189),2),IF(OR(A190="",posicao_contratual!W190="",C190="",NOT(ISNUMBER($Z$6))),"",ROUND(posicao_contratual!W190*C190*$Z$6,2)))</f>
        <v/>
      </c>
      <c r="M190" s="110" t="str">
        <f>IF(OR(posicao_contratual!J190="",posicao_contratual!N190=""),"",ROUND(MAX(posicao_contratual!J190+posicao_contratual!H190-posicao_contratual!N190,0),2))</f>
        <v/>
      </c>
      <c r="N190" s="104" t="str">
        <f>IF(AND(A190="",A189&lt;&gt;"",COUNTIF(A191:$A$200,"&lt;&gt;")=0),ROUND(SUMIF($A$2:A189,"&lt;&gt;",$N$2:N189),2),IF(OR(M190="",C190="",NOT(ISNUMBER($Z$3))),"",ROUND(M190*C190*$Z$3,2)))</f>
        <v/>
      </c>
      <c r="O190" s="110" t="str">
        <f>IF(OR(posicao_contratual!N190="",posicao_contratual!R190=""),"",ROUND(MAX(posicao_contratual!N190+posicao_contratual!L190-posicao_contratual!R190,0),2))</f>
        <v/>
      </c>
      <c r="P190" s="104" t="str">
        <f>IF(AND(A190="",A189&lt;&gt;"",COUNTIF(A191:$A$200,"&lt;&gt;")=0),ROUND(SUMIF($A$2:A189,"&lt;&gt;",$P$2:P189),2),IF(OR(O190="",C190="",NOT(ISNUMBER($Z$4))),"",ROUND(O190*C190*$Z$4,2)))</f>
        <v/>
      </c>
      <c r="Q190" s="110" t="str">
        <f>IF(OR(posicao_contratual!R190="",posicao_contratual!V190=""),"",ROUND(MAX(posicao_contratual!R190+posicao_contratual!P190-posicao_contratual!V190,0),2))</f>
        <v/>
      </c>
      <c r="R190" s="104" t="str">
        <f>IF(AND(A190="",A189&lt;&gt;"",COUNTIF(A191:$A$200,"&lt;&gt;")=0),ROUND(SUMIF($A$2:A189,"&lt;&gt;",$R$2:R189),2),IF(OR(Q190="",C190="",NOT(ISNUMBER($Z$5))),"",ROUND(Q190*C190*$Z$5,2)))</f>
        <v/>
      </c>
      <c r="S190" s="58"/>
      <c r="T190" s="59"/>
      <c r="U190" s="111" t="str">
        <f>IF(AND(A190="",A189&lt;&gt;"",COUNTIF(A191:$A$200,"&lt;&gt;")=0),"TOTAL",IF(A190="","",posicao_contratual!X190))</f>
        <v/>
      </c>
      <c r="V190" s="111" t="str">
        <f>IF(A190="","",posicao_contratual!X190)</f>
        <v/>
      </c>
      <c r="W190" s="15"/>
      <c r="X190" s="15"/>
      <c r="Y190" s="15"/>
      <c r="Z190" s="15"/>
      <c r="AA190" s="15"/>
      <c r="AB190" s="110" t="str">
        <f>IF(OR(A190="",posicao_contratual!E190="",posicao_contratual!J190=""),"",ROUND(MAX(posicao_contratual!E190-posicao_contratual!J190,0),2))</f>
        <v/>
      </c>
      <c r="AC190" s="104" t="str">
        <f>IF(AND(A190="",A189&lt;&gt;"",COUNTIF(A191:$A$200,"&lt;&gt;")=0),ROUND(SUMIF($A$2:A189,"&lt;&gt;",$AC$2:AC189),2),IF(OR(AB190="",C190="",NOT(ISNUMBER($Z$2))),"",ROUND(AB190*C190*$Z$2,2)))</f>
        <v/>
      </c>
      <c r="AD190" s="180" t="str">
        <f>IF(A190="","",posicao_contratual!E190)</f>
        <v/>
      </c>
      <c r="AE190" s="180" t="str">
        <f>IF(A190="","",posicao_contratual!I190)</f>
        <v/>
      </c>
      <c r="AF190" s="180" t="str">
        <f>IF(A190="","",posicao_contratual!M190)</f>
        <v/>
      </c>
      <c r="AG190" s="180" t="str">
        <f>IF(A190="","",posicao_contratual!Q190)</f>
        <v/>
      </c>
      <c r="AH190" s="180" t="str">
        <f>IF(A190="","",posicao_contratual!U190)</f>
        <v/>
      </c>
      <c r="AI190" s="180" t="str">
        <f>IF(A190="","",posicao_contratual!G190)</f>
        <v/>
      </c>
      <c r="AJ190" s="180" t="str">
        <f>IF(A190="","",posicao_contratual!K190)</f>
        <v/>
      </c>
      <c r="AK190" s="180" t="str">
        <f>IF(A190="","",posicao_contratual!O190)</f>
        <v/>
      </c>
      <c r="AL190" s="180" t="str">
        <f>IF(A190="","",posicao_contratual!S190)</f>
        <v/>
      </c>
      <c r="AM190" s="180" t="str">
        <f>IF(A190="","",posicao_contratual!W190)</f>
        <v/>
      </c>
      <c r="AN190" s="181" t="str">
        <f>IF(A190="","",posicao_contratual!X190)</f>
        <v/>
      </c>
    </row>
    <row r="191" spans="1:40" x14ac:dyDescent="0.35">
      <c r="A191" s="106"/>
      <c r="B191" s="107"/>
      <c r="C191" s="108"/>
      <c r="D191" s="104" t="str">
        <f>IF(AND(A191="",A190&lt;&gt;"",COUNTIF(A192:$A$200,"&lt;&gt;")=0),ROUND(SUMIF($A$2:A190,"&lt;&gt;",$D$2:D190),2),IF(OR(A191="",B191="",C191=""),"",ROUND(B191*C191,2)))</f>
        <v/>
      </c>
      <c r="E191" s="109"/>
      <c r="F191" s="104" t="str">
        <f>IF(AND(A191="",A190&lt;&gt;"",COUNTIF(A192:$A$200,"&lt;&gt;")=0),ROUND(SUMIF($A$2:A190,"&lt;&gt;",$F$2:F190),2),IF(OR(A191="",posicao_contratual!K191="",C191="",NOT(ISNUMBER($Z$3))),"",ROUND(posicao_contratual!K191*C191*$Z$3,2)))</f>
        <v/>
      </c>
      <c r="G191" s="109"/>
      <c r="H191" s="104" t="str">
        <f>IF(AND(A191="",A190&lt;&gt;"",COUNTIF(A192:$A$200,"&lt;&gt;")=0),ROUND(SUMIF($A$2:A190,"&lt;&gt;",$H$2:H190),2),IF(OR(A191="",posicao_contratual!O191="",C191="",NOT(ISNUMBER($Z$4))),"",ROUND(posicao_contratual!O191*C191*$Z$4,2)))</f>
        <v/>
      </c>
      <c r="I191" s="109"/>
      <c r="J191" s="104" t="str">
        <f>IF(AND(A191="",A190&lt;&gt;"",COUNTIF(A192:$A$200,"&lt;&gt;")=0),ROUND(SUMIF($A$2:A190,"&lt;&gt;",$J$2:J190),2),IF(OR(A191="",posicao_contratual!S191="",C191="",NOT(ISNUMBER($Z$5))),"",ROUND(posicao_contratual!S191*C191*$Z$5,2)))</f>
        <v/>
      </c>
      <c r="K191" s="109"/>
      <c r="L191" s="104" t="str">
        <f>IF(AND(A191="",A190&lt;&gt;"",COUNTIF(A192:$A$200,"&lt;&gt;")=0),ROUND(SUMIF($A$2:A190,"&lt;&gt;",$L$2:L190),2),IF(OR(A191="",posicao_contratual!W191="",C191="",NOT(ISNUMBER($Z$6))),"",ROUND(posicao_contratual!W191*C191*$Z$6,2)))</f>
        <v/>
      </c>
      <c r="M191" s="110" t="str">
        <f>IF(OR(posicao_contratual!J191="",posicao_contratual!N191=""),"",ROUND(MAX(posicao_contratual!J191+posicao_contratual!H191-posicao_contratual!N191,0),2))</f>
        <v/>
      </c>
      <c r="N191" s="104" t="str">
        <f>IF(AND(A191="",A190&lt;&gt;"",COUNTIF(A192:$A$200,"&lt;&gt;")=0),ROUND(SUMIF($A$2:A190,"&lt;&gt;",$N$2:N190),2),IF(OR(M191="",C191="",NOT(ISNUMBER($Z$3))),"",ROUND(M191*C191*$Z$3,2)))</f>
        <v/>
      </c>
      <c r="O191" s="110" t="str">
        <f>IF(OR(posicao_contratual!N191="",posicao_contratual!R191=""),"",ROUND(MAX(posicao_contratual!N191+posicao_contratual!L191-posicao_contratual!R191,0),2))</f>
        <v/>
      </c>
      <c r="P191" s="104" t="str">
        <f>IF(AND(A191="",A190&lt;&gt;"",COUNTIF(A192:$A$200,"&lt;&gt;")=0),ROUND(SUMIF($A$2:A190,"&lt;&gt;",$P$2:P190),2),IF(OR(O191="",C191="",NOT(ISNUMBER($Z$4))),"",ROUND(O191*C191*$Z$4,2)))</f>
        <v/>
      </c>
      <c r="Q191" s="110" t="str">
        <f>IF(OR(posicao_contratual!R191="",posicao_contratual!V191=""),"",ROUND(MAX(posicao_contratual!R191+posicao_contratual!P191-posicao_contratual!V191,0),2))</f>
        <v/>
      </c>
      <c r="R191" s="104" t="str">
        <f>IF(AND(A191="",A190&lt;&gt;"",COUNTIF(A192:$A$200,"&lt;&gt;")=0),ROUND(SUMIF($A$2:A190,"&lt;&gt;",$R$2:R190),2),IF(OR(Q191="",C191="",NOT(ISNUMBER($Z$5))),"",ROUND(Q191*C191*$Z$5,2)))</f>
        <v/>
      </c>
      <c r="S191" s="58"/>
      <c r="T191" s="59"/>
      <c r="U191" s="111" t="str">
        <f>IF(AND(A191="",A190&lt;&gt;"",COUNTIF(A192:$A$200,"&lt;&gt;")=0),"TOTAL",IF(A191="","",posicao_contratual!X191))</f>
        <v/>
      </c>
      <c r="V191" s="111" t="str">
        <f>IF(A191="","",posicao_contratual!X191)</f>
        <v/>
      </c>
      <c r="W191" s="15"/>
      <c r="X191" s="15"/>
      <c r="Y191" s="15"/>
      <c r="Z191" s="15"/>
      <c r="AA191" s="15"/>
      <c r="AB191" s="110" t="str">
        <f>IF(OR(A191="",posicao_contratual!E191="",posicao_contratual!J191=""),"",ROUND(MAX(posicao_contratual!E191-posicao_contratual!J191,0),2))</f>
        <v/>
      </c>
      <c r="AC191" s="104" t="str">
        <f>IF(AND(A191="",A190&lt;&gt;"",COUNTIF(A192:$A$200,"&lt;&gt;")=0),ROUND(SUMIF($A$2:A190,"&lt;&gt;",$AC$2:AC190),2),IF(OR(AB191="",C191="",NOT(ISNUMBER($Z$2))),"",ROUND(AB191*C191*$Z$2,2)))</f>
        <v/>
      </c>
      <c r="AD191" s="180" t="str">
        <f>IF(A191="","",posicao_contratual!E191)</f>
        <v/>
      </c>
      <c r="AE191" s="180" t="str">
        <f>IF(A191="","",posicao_contratual!I191)</f>
        <v/>
      </c>
      <c r="AF191" s="180" t="str">
        <f>IF(A191="","",posicao_contratual!M191)</f>
        <v/>
      </c>
      <c r="AG191" s="180" t="str">
        <f>IF(A191="","",posicao_contratual!Q191)</f>
        <v/>
      </c>
      <c r="AH191" s="180" t="str">
        <f>IF(A191="","",posicao_contratual!U191)</f>
        <v/>
      </c>
      <c r="AI191" s="180" t="str">
        <f>IF(A191="","",posicao_contratual!G191)</f>
        <v/>
      </c>
      <c r="AJ191" s="180" t="str">
        <f>IF(A191="","",posicao_contratual!K191)</f>
        <v/>
      </c>
      <c r="AK191" s="180" t="str">
        <f>IF(A191="","",posicao_contratual!O191)</f>
        <v/>
      </c>
      <c r="AL191" s="180" t="str">
        <f>IF(A191="","",posicao_contratual!S191)</f>
        <v/>
      </c>
      <c r="AM191" s="180" t="str">
        <f>IF(A191="","",posicao_contratual!W191)</f>
        <v/>
      </c>
      <c r="AN191" s="181" t="str">
        <f>IF(A191="","",posicao_contratual!X191)</f>
        <v/>
      </c>
    </row>
    <row r="192" spans="1:40" x14ac:dyDescent="0.35">
      <c r="A192" s="106"/>
      <c r="B192" s="107"/>
      <c r="C192" s="108"/>
      <c r="D192" s="104" t="str">
        <f>IF(AND(A192="",A191&lt;&gt;"",COUNTIF(A193:$A$200,"&lt;&gt;")=0),ROUND(SUMIF($A$2:A191,"&lt;&gt;",$D$2:D191),2),IF(OR(A192="",B192="",C192=""),"",ROUND(B192*C192,2)))</f>
        <v/>
      </c>
      <c r="E192" s="109"/>
      <c r="F192" s="104" t="str">
        <f>IF(AND(A192="",A191&lt;&gt;"",COUNTIF(A193:$A$200,"&lt;&gt;")=0),ROUND(SUMIF($A$2:A191,"&lt;&gt;",$F$2:F191),2),IF(OR(A192="",posicao_contratual!K192="",C192="",NOT(ISNUMBER($Z$3))),"",ROUND(posicao_contratual!K192*C192*$Z$3,2)))</f>
        <v/>
      </c>
      <c r="G192" s="109"/>
      <c r="H192" s="104" t="str">
        <f>IF(AND(A192="",A191&lt;&gt;"",COUNTIF(A193:$A$200,"&lt;&gt;")=0),ROUND(SUMIF($A$2:A191,"&lt;&gt;",$H$2:H191),2),IF(OR(A192="",posicao_contratual!O192="",C192="",NOT(ISNUMBER($Z$4))),"",ROUND(posicao_contratual!O192*C192*$Z$4,2)))</f>
        <v/>
      </c>
      <c r="I192" s="109"/>
      <c r="J192" s="104" t="str">
        <f>IF(AND(A192="",A191&lt;&gt;"",COUNTIF(A193:$A$200,"&lt;&gt;")=0),ROUND(SUMIF($A$2:A191,"&lt;&gt;",$J$2:J191),2),IF(OR(A192="",posicao_contratual!S192="",C192="",NOT(ISNUMBER($Z$5))),"",ROUND(posicao_contratual!S192*C192*$Z$5,2)))</f>
        <v/>
      </c>
      <c r="K192" s="109"/>
      <c r="L192" s="104" t="str">
        <f>IF(AND(A192="",A191&lt;&gt;"",COUNTIF(A193:$A$200,"&lt;&gt;")=0),ROUND(SUMIF($A$2:A191,"&lt;&gt;",$L$2:L191),2),IF(OR(A192="",posicao_contratual!W192="",C192="",NOT(ISNUMBER($Z$6))),"",ROUND(posicao_contratual!W192*C192*$Z$6,2)))</f>
        <v/>
      </c>
      <c r="M192" s="110" t="str">
        <f>IF(OR(posicao_contratual!J192="",posicao_contratual!N192=""),"",ROUND(MAX(posicao_contratual!J192+posicao_contratual!H192-posicao_contratual!N192,0),2))</f>
        <v/>
      </c>
      <c r="N192" s="104" t="str">
        <f>IF(AND(A192="",A191&lt;&gt;"",COUNTIF(A193:$A$200,"&lt;&gt;")=0),ROUND(SUMIF($A$2:A191,"&lt;&gt;",$N$2:N191),2),IF(OR(M192="",C192="",NOT(ISNUMBER($Z$3))),"",ROUND(M192*C192*$Z$3,2)))</f>
        <v/>
      </c>
      <c r="O192" s="110" t="str">
        <f>IF(OR(posicao_contratual!N192="",posicao_contratual!R192=""),"",ROUND(MAX(posicao_contratual!N192+posicao_contratual!L192-posicao_contratual!R192,0),2))</f>
        <v/>
      </c>
      <c r="P192" s="104" t="str">
        <f>IF(AND(A192="",A191&lt;&gt;"",COUNTIF(A193:$A$200,"&lt;&gt;")=0),ROUND(SUMIF($A$2:A191,"&lt;&gt;",$P$2:P191),2),IF(OR(O192="",C192="",NOT(ISNUMBER($Z$4))),"",ROUND(O192*C192*$Z$4,2)))</f>
        <v/>
      </c>
      <c r="Q192" s="110" t="str">
        <f>IF(OR(posicao_contratual!R192="",posicao_contratual!V192=""),"",ROUND(MAX(posicao_contratual!R192+posicao_contratual!P192-posicao_contratual!V192,0),2))</f>
        <v/>
      </c>
      <c r="R192" s="104" t="str">
        <f>IF(AND(A192="",A191&lt;&gt;"",COUNTIF(A193:$A$200,"&lt;&gt;")=0),ROUND(SUMIF($A$2:A191,"&lt;&gt;",$R$2:R191),2),IF(OR(Q192="",C192="",NOT(ISNUMBER($Z$5))),"",ROUND(Q192*C192*$Z$5,2)))</f>
        <v/>
      </c>
      <c r="S192" s="58"/>
      <c r="T192" s="59"/>
      <c r="U192" s="111" t="str">
        <f>IF(AND(A192="",A191&lt;&gt;"",COUNTIF(A193:$A$200,"&lt;&gt;")=0),"TOTAL",IF(A192="","",posicao_contratual!X192))</f>
        <v/>
      </c>
      <c r="V192" s="111" t="str">
        <f>IF(A192="","",posicao_contratual!X192)</f>
        <v/>
      </c>
      <c r="W192" s="15"/>
      <c r="X192" s="15"/>
      <c r="Y192" s="15"/>
      <c r="Z192" s="15"/>
      <c r="AA192" s="15"/>
      <c r="AB192" s="110" t="str">
        <f>IF(OR(A192="",posicao_contratual!E192="",posicao_contratual!J192=""),"",ROUND(MAX(posicao_contratual!E192-posicao_contratual!J192,0),2))</f>
        <v/>
      </c>
      <c r="AC192" s="104" t="str">
        <f>IF(AND(A192="",A191&lt;&gt;"",COUNTIF(A193:$A$200,"&lt;&gt;")=0),ROUND(SUMIF($A$2:A191,"&lt;&gt;",$AC$2:AC191),2),IF(OR(AB192="",C192="",NOT(ISNUMBER($Z$2))),"",ROUND(AB192*C192*$Z$2,2)))</f>
        <v/>
      </c>
      <c r="AD192" s="180" t="str">
        <f>IF(A192="","",posicao_contratual!E192)</f>
        <v/>
      </c>
      <c r="AE192" s="180" t="str">
        <f>IF(A192="","",posicao_contratual!I192)</f>
        <v/>
      </c>
      <c r="AF192" s="180" t="str">
        <f>IF(A192="","",posicao_contratual!M192)</f>
        <v/>
      </c>
      <c r="AG192" s="180" t="str">
        <f>IF(A192="","",posicao_contratual!Q192)</f>
        <v/>
      </c>
      <c r="AH192" s="180" t="str">
        <f>IF(A192="","",posicao_contratual!U192)</f>
        <v/>
      </c>
      <c r="AI192" s="180" t="str">
        <f>IF(A192="","",posicao_contratual!G192)</f>
        <v/>
      </c>
      <c r="AJ192" s="180" t="str">
        <f>IF(A192="","",posicao_contratual!K192)</f>
        <v/>
      </c>
      <c r="AK192" s="180" t="str">
        <f>IF(A192="","",posicao_contratual!O192)</f>
        <v/>
      </c>
      <c r="AL192" s="180" t="str">
        <f>IF(A192="","",posicao_contratual!S192)</f>
        <v/>
      </c>
      <c r="AM192" s="180" t="str">
        <f>IF(A192="","",posicao_contratual!W192)</f>
        <v/>
      </c>
      <c r="AN192" s="181" t="str">
        <f>IF(A192="","",posicao_contratual!X192)</f>
        <v/>
      </c>
    </row>
    <row r="193" spans="1:40" x14ac:dyDescent="0.35">
      <c r="A193" s="106"/>
      <c r="B193" s="107"/>
      <c r="C193" s="108"/>
      <c r="D193" s="104" t="str">
        <f>IF(AND(A193="",A192&lt;&gt;"",COUNTIF(A194:$A$200,"&lt;&gt;")=0),ROUND(SUMIF($A$2:A192,"&lt;&gt;",$D$2:D192),2),IF(OR(A193="",B193="",C193=""),"",ROUND(B193*C193,2)))</f>
        <v/>
      </c>
      <c r="E193" s="109"/>
      <c r="F193" s="104" t="str">
        <f>IF(AND(A193="",A192&lt;&gt;"",COUNTIF(A194:$A$200,"&lt;&gt;")=0),ROUND(SUMIF($A$2:A192,"&lt;&gt;",$F$2:F192),2),IF(OR(A193="",posicao_contratual!K193="",C193="",NOT(ISNUMBER($Z$3))),"",ROUND(posicao_contratual!K193*C193*$Z$3,2)))</f>
        <v/>
      </c>
      <c r="G193" s="109"/>
      <c r="H193" s="104" t="str">
        <f>IF(AND(A193="",A192&lt;&gt;"",COUNTIF(A194:$A$200,"&lt;&gt;")=0),ROUND(SUMIF($A$2:A192,"&lt;&gt;",$H$2:H192),2),IF(OR(A193="",posicao_contratual!O193="",C193="",NOT(ISNUMBER($Z$4))),"",ROUND(posicao_contratual!O193*C193*$Z$4,2)))</f>
        <v/>
      </c>
      <c r="I193" s="109"/>
      <c r="J193" s="104" t="str">
        <f>IF(AND(A193="",A192&lt;&gt;"",COUNTIF(A194:$A$200,"&lt;&gt;")=0),ROUND(SUMIF($A$2:A192,"&lt;&gt;",$J$2:J192),2),IF(OR(A193="",posicao_contratual!S193="",C193="",NOT(ISNUMBER($Z$5))),"",ROUND(posicao_contratual!S193*C193*$Z$5,2)))</f>
        <v/>
      </c>
      <c r="K193" s="109"/>
      <c r="L193" s="104" t="str">
        <f>IF(AND(A193="",A192&lt;&gt;"",COUNTIF(A194:$A$200,"&lt;&gt;")=0),ROUND(SUMIF($A$2:A192,"&lt;&gt;",$L$2:L192),2),IF(OR(A193="",posicao_contratual!W193="",C193="",NOT(ISNUMBER($Z$6))),"",ROUND(posicao_contratual!W193*C193*$Z$6,2)))</f>
        <v/>
      </c>
      <c r="M193" s="110" t="str">
        <f>IF(OR(posicao_contratual!J193="",posicao_contratual!N193=""),"",ROUND(MAX(posicao_contratual!J193+posicao_contratual!H193-posicao_contratual!N193,0),2))</f>
        <v/>
      </c>
      <c r="N193" s="104" t="str">
        <f>IF(AND(A193="",A192&lt;&gt;"",COUNTIF(A194:$A$200,"&lt;&gt;")=0),ROUND(SUMIF($A$2:A192,"&lt;&gt;",$N$2:N192),2),IF(OR(M193="",C193="",NOT(ISNUMBER($Z$3))),"",ROUND(M193*C193*$Z$3,2)))</f>
        <v/>
      </c>
      <c r="O193" s="110" t="str">
        <f>IF(OR(posicao_contratual!N193="",posicao_contratual!R193=""),"",ROUND(MAX(posicao_contratual!N193+posicao_contratual!L193-posicao_contratual!R193,0),2))</f>
        <v/>
      </c>
      <c r="P193" s="104" t="str">
        <f>IF(AND(A193="",A192&lt;&gt;"",COUNTIF(A194:$A$200,"&lt;&gt;")=0),ROUND(SUMIF($A$2:A192,"&lt;&gt;",$P$2:P192),2),IF(OR(O193="",C193="",NOT(ISNUMBER($Z$4))),"",ROUND(O193*C193*$Z$4,2)))</f>
        <v/>
      </c>
      <c r="Q193" s="110" t="str">
        <f>IF(OR(posicao_contratual!R193="",posicao_contratual!V193=""),"",ROUND(MAX(posicao_contratual!R193+posicao_contratual!P193-posicao_contratual!V193,0),2))</f>
        <v/>
      </c>
      <c r="R193" s="104" t="str">
        <f>IF(AND(A193="",A192&lt;&gt;"",COUNTIF(A194:$A$200,"&lt;&gt;")=0),ROUND(SUMIF($A$2:A192,"&lt;&gt;",$R$2:R192),2),IF(OR(Q193="",C193="",NOT(ISNUMBER($Z$5))),"",ROUND(Q193*C193*$Z$5,2)))</f>
        <v/>
      </c>
      <c r="S193" s="58"/>
      <c r="T193" s="59"/>
      <c r="U193" s="111" t="str">
        <f>IF(AND(A193="",A192&lt;&gt;"",COUNTIF(A194:$A$200,"&lt;&gt;")=0),"TOTAL",IF(A193="","",posicao_contratual!X193))</f>
        <v/>
      </c>
      <c r="V193" s="111" t="str">
        <f>IF(A193="","",posicao_contratual!X193)</f>
        <v/>
      </c>
      <c r="W193" s="15"/>
      <c r="X193" s="15"/>
      <c r="Y193" s="15"/>
      <c r="Z193" s="15"/>
      <c r="AA193" s="15"/>
      <c r="AB193" s="110" t="str">
        <f>IF(OR(A193="",posicao_contratual!E193="",posicao_contratual!J193=""),"",ROUND(MAX(posicao_contratual!E193-posicao_contratual!J193,0),2))</f>
        <v/>
      </c>
      <c r="AC193" s="104" t="str">
        <f>IF(AND(A193="",A192&lt;&gt;"",COUNTIF(A194:$A$200,"&lt;&gt;")=0),ROUND(SUMIF($A$2:A192,"&lt;&gt;",$AC$2:AC192),2),IF(OR(AB193="",C193="",NOT(ISNUMBER($Z$2))),"",ROUND(AB193*C193*$Z$2,2)))</f>
        <v/>
      </c>
      <c r="AD193" s="180" t="str">
        <f>IF(A193="","",posicao_contratual!E193)</f>
        <v/>
      </c>
      <c r="AE193" s="180" t="str">
        <f>IF(A193="","",posicao_contratual!I193)</f>
        <v/>
      </c>
      <c r="AF193" s="180" t="str">
        <f>IF(A193="","",posicao_contratual!M193)</f>
        <v/>
      </c>
      <c r="AG193" s="180" t="str">
        <f>IF(A193="","",posicao_contratual!Q193)</f>
        <v/>
      </c>
      <c r="AH193" s="180" t="str">
        <f>IF(A193="","",posicao_contratual!U193)</f>
        <v/>
      </c>
      <c r="AI193" s="180" t="str">
        <f>IF(A193="","",posicao_contratual!G193)</f>
        <v/>
      </c>
      <c r="AJ193" s="180" t="str">
        <f>IF(A193="","",posicao_contratual!K193)</f>
        <v/>
      </c>
      <c r="AK193" s="180" t="str">
        <f>IF(A193="","",posicao_contratual!O193)</f>
        <v/>
      </c>
      <c r="AL193" s="180" t="str">
        <f>IF(A193="","",posicao_contratual!S193)</f>
        <v/>
      </c>
      <c r="AM193" s="180" t="str">
        <f>IF(A193="","",posicao_contratual!W193)</f>
        <v/>
      </c>
      <c r="AN193" s="181" t="str">
        <f>IF(A193="","",posicao_contratual!X193)</f>
        <v/>
      </c>
    </row>
    <row r="194" spans="1:40" x14ac:dyDescent="0.35">
      <c r="A194" s="106"/>
      <c r="B194" s="107"/>
      <c r="C194" s="108"/>
      <c r="D194" s="104" t="str">
        <f>IF(AND(A194="",A193&lt;&gt;"",COUNTIF(A195:$A$200,"&lt;&gt;")=0),ROUND(SUMIF($A$2:A193,"&lt;&gt;",$D$2:D193),2),IF(OR(A194="",B194="",C194=""),"",ROUND(B194*C194,2)))</f>
        <v/>
      </c>
      <c r="E194" s="109"/>
      <c r="F194" s="104" t="str">
        <f>IF(AND(A194="",A193&lt;&gt;"",COUNTIF(A195:$A$200,"&lt;&gt;")=0),ROUND(SUMIF($A$2:A193,"&lt;&gt;",$F$2:F193),2),IF(OR(A194="",posicao_contratual!K194="",C194="",NOT(ISNUMBER($Z$3))),"",ROUND(posicao_contratual!K194*C194*$Z$3,2)))</f>
        <v/>
      </c>
      <c r="G194" s="109"/>
      <c r="H194" s="104" t="str">
        <f>IF(AND(A194="",A193&lt;&gt;"",COUNTIF(A195:$A$200,"&lt;&gt;")=0),ROUND(SUMIF($A$2:A193,"&lt;&gt;",$H$2:H193),2),IF(OR(A194="",posicao_contratual!O194="",C194="",NOT(ISNUMBER($Z$4))),"",ROUND(posicao_contratual!O194*C194*$Z$4,2)))</f>
        <v/>
      </c>
      <c r="I194" s="109"/>
      <c r="J194" s="104" t="str">
        <f>IF(AND(A194="",A193&lt;&gt;"",COUNTIF(A195:$A$200,"&lt;&gt;")=0),ROUND(SUMIF($A$2:A193,"&lt;&gt;",$J$2:J193),2),IF(OR(A194="",posicao_contratual!S194="",C194="",NOT(ISNUMBER($Z$5))),"",ROUND(posicao_contratual!S194*C194*$Z$5,2)))</f>
        <v/>
      </c>
      <c r="K194" s="109"/>
      <c r="L194" s="104" t="str">
        <f>IF(AND(A194="",A193&lt;&gt;"",COUNTIF(A195:$A$200,"&lt;&gt;")=0),ROUND(SUMIF($A$2:A193,"&lt;&gt;",$L$2:L193),2),IF(OR(A194="",posicao_contratual!W194="",C194="",NOT(ISNUMBER($Z$6))),"",ROUND(posicao_contratual!W194*C194*$Z$6,2)))</f>
        <v/>
      </c>
      <c r="M194" s="110" t="str">
        <f>IF(OR(posicao_contratual!J194="",posicao_contratual!N194=""),"",ROUND(MAX(posicao_contratual!J194+posicao_contratual!H194-posicao_contratual!N194,0),2))</f>
        <v/>
      </c>
      <c r="N194" s="104" t="str">
        <f>IF(AND(A194="",A193&lt;&gt;"",COUNTIF(A195:$A$200,"&lt;&gt;")=0),ROUND(SUMIF($A$2:A193,"&lt;&gt;",$N$2:N193),2),IF(OR(M194="",C194="",NOT(ISNUMBER($Z$3))),"",ROUND(M194*C194*$Z$3,2)))</f>
        <v/>
      </c>
      <c r="O194" s="110" t="str">
        <f>IF(OR(posicao_contratual!N194="",posicao_contratual!R194=""),"",ROUND(MAX(posicao_contratual!N194+posicao_contratual!L194-posicao_contratual!R194,0),2))</f>
        <v/>
      </c>
      <c r="P194" s="104" t="str">
        <f>IF(AND(A194="",A193&lt;&gt;"",COUNTIF(A195:$A$200,"&lt;&gt;")=0),ROUND(SUMIF($A$2:A193,"&lt;&gt;",$P$2:P193),2),IF(OR(O194="",C194="",NOT(ISNUMBER($Z$4))),"",ROUND(O194*C194*$Z$4,2)))</f>
        <v/>
      </c>
      <c r="Q194" s="110" t="str">
        <f>IF(OR(posicao_contratual!R194="",posicao_contratual!V194=""),"",ROUND(MAX(posicao_contratual!R194+posicao_contratual!P194-posicao_contratual!V194,0),2))</f>
        <v/>
      </c>
      <c r="R194" s="104" t="str">
        <f>IF(AND(A194="",A193&lt;&gt;"",COUNTIF(A195:$A$200,"&lt;&gt;")=0),ROUND(SUMIF($A$2:A193,"&lt;&gt;",$R$2:R193),2),IF(OR(Q194="",C194="",NOT(ISNUMBER($Z$5))),"",ROUND(Q194*C194*$Z$5,2)))</f>
        <v/>
      </c>
      <c r="S194" s="58"/>
      <c r="T194" s="59"/>
      <c r="U194" s="111" t="str">
        <f>IF(AND(A194="",A193&lt;&gt;"",COUNTIF(A195:$A$200,"&lt;&gt;")=0),"TOTAL",IF(A194="","",posicao_contratual!X194))</f>
        <v/>
      </c>
      <c r="V194" s="111" t="str">
        <f>IF(A194="","",posicao_contratual!X194)</f>
        <v/>
      </c>
      <c r="W194" s="15"/>
      <c r="X194" s="15"/>
      <c r="Y194" s="15"/>
      <c r="Z194" s="15"/>
      <c r="AA194" s="15"/>
      <c r="AB194" s="110" t="str">
        <f>IF(OR(A194="",posicao_contratual!E194="",posicao_contratual!J194=""),"",ROUND(MAX(posicao_contratual!E194-posicao_contratual!J194,0),2))</f>
        <v/>
      </c>
      <c r="AC194" s="104" t="str">
        <f>IF(AND(A194="",A193&lt;&gt;"",COUNTIF(A195:$A$200,"&lt;&gt;")=0),ROUND(SUMIF($A$2:A193,"&lt;&gt;",$AC$2:AC193),2),IF(OR(AB194="",C194="",NOT(ISNUMBER($Z$2))),"",ROUND(AB194*C194*$Z$2,2)))</f>
        <v/>
      </c>
      <c r="AD194" s="180" t="str">
        <f>IF(A194="","",posicao_contratual!E194)</f>
        <v/>
      </c>
      <c r="AE194" s="180" t="str">
        <f>IF(A194="","",posicao_contratual!I194)</f>
        <v/>
      </c>
      <c r="AF194" s="180" t="str">
        <f>IF(A194="","",posicao_contratual!M194)</f>
        <v/>
      </c>
      <c r="AG194" s="180" t="str">
        <f>IF(A194="","",posicao_contratual!Q194)</f>
        <v/>
      </c>
      <c r="AH194" s="180" t="str">
        <f>IF(A194="","",posicao_contratual!U194)</f>
        <v/>
      </c>
      <c r="AI194" s="180" t="str">
        <f>IF(A194="","",posicao_contratual!G194)</f>
        <v/>
      </c>
      <c r="AJ194" s="180" t="str">
        <f>IF(A194="","",posicao_contratual!K194)</f>
        <v/>
      </c>
      <c r="AK194" s="180" t="str">
        <f>IF(A194="","",posicao_contratual!O194)</f>
        <v/>
      </c>
      <c r="AL194" s="180" t="str">
        <f>IF(A194="","",posicao_contratual!S194)</f>
        <v/>
      </c>
      <c r="AM194" s="180" t="str">
        <f>IF(A194="","",posicao_contratual!W194)</f>
        <v/>
      </c>
      <c r="AN194" s="181" t="str">
        <f>IF(A194="","",posicao_contratual!X194)</f>
        <v/>
      </c>
    </row>
    <row r="195" spans="1:40" x14ac:dyDescent="0.35">
      <c r="A195" s="106"/>
      <c r="B195" s="107"/>
      <c r="C195" s="108"/>
      <c r="D195" s="104" t="str">
        <f>IF(AND(A195="",A194&lt;&gt;"",COUNTIF(A196:$A$200,"&lt;&gt;")=0),ROUND(SUMIF($A$2:A194,"&lt;&gt;",$D$2:D194),2),IF(OR(A195="",B195="",C195=""),"",ROUND(B195*C195,2)))</f>
        <v/>
      </c>
      <c r="E195" s="109"/>
      <c r="F195" s="104" t="str">
        <f>IF(AND(A195="",A194&lt;&gt;"",COUNTIF(A196:$A$200,"&lt;&gt;")=0),ROUND(SUMIF($A$2:A194,"&lt;&gt;",$F$2:F194),2),IF(OR(A195="",posicao_contratual!K195="",C195="",NOT(ISNUMBER($Z$3))),"",ROUND(posicao_contratual!K195*C195*$Z$3,2)))</f>
        <v/>
      </c>
      <c r="G195" s="109"/>
      <c r="H195" s="104" t="str">
        <f>IF(AND(A195="",A194&lt;&gt;"",COUNTIF(A196:$A$200,"&lt;&gt;")=0),ROUND(SUMIF($A$2:A194,"&lt;&gt;",$H$2:H194),2),IF(OR(A195="",posicao_contratual!O195="",C195="",NOT(ISNUMBER($Z$4))),"",ROUND(posicao_contratual!O195*C195*$Z$4,2)))</f>
        <v/>
      </c>
      <c r="I195" s="109"/>
      <c r="J195" s="104" t="str">
        <f>IF(AND(A195="",A194&lt;&gt;"",COUNTIF(A196:$A$200,"&lt;&gt;")=0),ROUND(SUMIF($A$2:A194,"&lt;&gt;",$J$2:J194),2),IF(OR(A195="",posicao_contratual!S195="",C195="",NOT(ISNUMBER($Z$5))),"",ROUND(posicao_contratual!S195*C195*$Z$5,2)))</f>
        <v/>
      </c>
      <c r="K195" s="109"/>
      <c r="L195" s="104" t="str">
        <f>IF(AND(A195="",A194&lt;&gt;"",COUNTIF(A196:$A$200,"&lt;&gt;")=0),ROUND(SUMIF($A$2:A194,"&lt;&gt;",$L$2:L194),2),IF(OR(A195="",posicao_contratual!W195="",C195="",NOT(ISNUMBER($Z$6))),"",ROUND(posicao_contratual!W195*C195*$Z$6,2)))</f>
        <v/>
      </c>
      <c r="M195" s="110" t="str">
        <f>IF(OR(posicao_contratual!J195="",posicao_contratual!N195=""),"",ROUND(MAX(posicao_contratual!J195+posicao_contratual!H195-posicao_contratual!N195,0),2))</f>
        <v/>
      </c>
      <c r="N195" s="104" t="str">
        <f>IF(AND(A195="",A194&lt;&gt;"",COUNTIF(A196:$A$200,"&lt;&gt;")=0),ROUND(SUMIF($A$2:A194,"&lt;&gt;",$N$2:N194),2),IF(OR(M195="",C195="",NOT(ISNUMBER($Z$3))),"",ROUND(M195*C195*$Z$3,2)))</f>
        <v/>
      </c>
      <c r="O195" s="110" t="str">
        <f>IF(OR(posicao_contratual!N195="",posicao_contratual!R195=""),"",ROUND(MAX(posicao_contratual!N195+posicao_contratual!L195-posicao_contratual!R195,0),2))</f>
        <v/>
      </c>
      <c r="P195" s="104" t="str">
        <f>IF(AND(A195="",A194&lt;&gt;"",COUNTIF(A196:$A$200,"&lt;&gt;")=0),ROUND(SUMIF($A$2:A194,"&lt;&gt;",$P$2:P194),2),IF(OR(O195="",C195="",NOT(ISNUMBER($Z$4))),"",ROUND(O195*C195*$Z$4,2)))</f>
        <v/>
      </c>
      <c r="Q195" s="110" t="str">
        <f>IF(OR(posicao_contratual!R195="",posicao_contratual!V195=""),"",ROUND(MAX(posicao_contratual!R195+posicao_contratual!P195-posicao_contratual!V195,0),2))</f>
        <v/>
      </c>
      <c r="R195" s="104" t="str">
        <f>IF(AND(A195="",A194&lt;&gt;"",COUNTIF(A196:$A$200,"&lt;&gt;")=0),ROUND(SUMIF($A$2:A194,"&lt;&gt;",$R$2:R194),2),IF(OR(Q195="",C195="",NOT(ISNUMBER($Z$5))),"",ROUND(Q195*C195*$Z$5,2)))</f>
        <v/>
      </c>
      <c r="S195" s="58"/>
      <c r="T195" s="59"/>
      <c r="U195" s="111" t="str">
        <f>IF(AND(A195="",A194&lt;&gt;"",COUNTIF(A196:$A$200,"&lt;&gt;")=0),"TOTAL",IF(A195="","",posicao_contratual!X195))</f>
        <v/>
      </c>
      <c r="V195" s="111" t="str">
        <f>IF(A195="","",posicao_contratual!X195)</f>
        <v/>
      </c>
      <c r="W195" s="15"/>
      <c r="X195" s="15"/>
      <c r="Y195" s="15"/>
      <c r="Z195" s="15"/>
      <c r="AA195" s="15"/>
      <c r="AB195" s="110" t="str">
        <f>IF(OR(A195="",posicao_contratual!E195="",posicao_contratual!J195=""),"",ROUND(MAX(posicao_contratual!E195-posicao_contratual!J195,0),2))</f>
        <v/>
      </c>
      <c r="AC195" s="104" t="str">
        <f>IF(AND(A195="",A194&lt;&gt;"",COUNTIF(A196:$A$200,"&lt;&gt;")=0),ROUND(SUMIF($A$2:A194,"&lt;&gt;",$AC$2:AC194),2),IF(OR(AB195="",C195="",NOT(ISNUMBER($Z$2))),"",ROUND(AB195*C195*$Z$2,2)))</f>
        <v/>
      </c>
      <c r="AD195" s="180" t="str">
        <f>IF(A195="","",posicao_contratual!E195)</f>
        <v/>
      </c>
      <c r="AE195" s="180" t="str">
        <f>IF(A195="","",posicao_contratual!I195)</f>
        <v/>
      </c>
      <c r="AF195" s="180" t="str">
        <f>IF(A195="","",posicao_contratual!M195)</f>
        <v/>
      </c>
      <c r="AG195" s="180" t="str">
        <f>IF(A195="","",posicao_contratual!Q195)</f>
        <v/>
      </c>
      <c r="AH195" s="180" t="str">
        <f>IF(A195="","",posicao_contratual!U195)</f>
        <v/>
      </c>
      <c r="AI195" s="180" t="str">
        <f>IF(A195="","",posicao_contratual!G195)</f>
        <v/>
      </c>
      <c r="AJ195" s="180" t="str">
        <f>IF(A195="","",posicao_contratual!K195)</f>
        <v/>
      </c>
      <c r="AK195" s="180" t="str">
        <f>IF(A195="","",posicao_contratual!O195)</f>
        <v/>
      </c>
      <c r="AL195" s="180" t="str">
        <f>IF(A195="","",posicao_contratual!S195)</f>
        <v/>
      </c>
      <c r="AM195" s="180" t="str">
        <f>IF(A195="","",posicao_contratual!W195)</f>
        <v/>
      </c>
      <c r="AN195" s="181" t="str">
        <f>IF(A195="","",posicao_contratual!X195)</f>
        <v/>
      </c>
    </row>
    <row r="196" spans="1:40" x14ac:dyDescent="0.35">
      <c r="A196" s="106"/>
      <c r="B196" s="107"/>
      <c r="C196" s="108"/>
      <c r="D196" s="104" t="str">
        <f>IF(AND(A196="",A195&lt;&gt;"",COUNTIF(A197:$A$200,"&lt;&gt;")=0),ROUND(SUMIF($A$2:A195,"&lt;&gt;",$D$2:D195),2),IF(OR(A196="",B196="",C196=""),"",ROUND(B196*C196,2)))</f>
        <v/>
      </c>
      <c r="E196" s="109"/>
      <c r="F196" s="104" t="str">
        <f>IF(AND(A196="",A195&lt;&gt;"",COUNTIF(A197:$A$200,"&lt;&gt;")=0),ROUND(SUMIF($A$2:A195,"&lt;&gt;",$F$2:F195),2),IF(OR(A196="",posicao_contratual!K196="",C196="",NOT(ISNUMBER($Z$3))),"",ROUND(posicao_contratual!K196*C196*$Z$3,2)))</f>
        <v/>
      </c>
      <c r="G196" s="109"/>
      <c r="H196" s="104" t="str">
        <f>IF(AND(A196="",A195&lt;&gt;"",COUNTIF(A197:$A$200,"&lt;&gt;")=0),ROUND(SUMIF($A$2:A195,"&lt;&gt;",$H$2:H195),2),IF(OR(A196="",posicao_contratual!O196="",C196="",NOT(ISNUMBER($Z$4))),"",ROUND(posicao_contratual!O196*C196*$Z$4,2)))</f>
        <v/>
      </c>
      <c r="I196" s="109"/>
      <c r="J196" s="104" t="str">
        <f>IF(AND(A196="",A195&lt;&gt;"",COUNTIF(A197:$A$200,"&lt;&gt;")=0),ROUND(SUMIF($A$2:A195,"&lt;&gt;",$J$2:J195),2),IF(OR(A196="",posicao_contratual!S196="",C196="",NOT(ISNUMBER($Z$5))),"",ROUND(posicao_contratual!S196*C196*$Z$5,2)))</f>
        <v/>
      </c>
      <c r="K196" s="109"/>
      <c r="L196" s="104" t="str">
        <f>IF(AND(A196="",A195&lt;&gt;"",COUNTIF(A197:$A$200,"&lt;&gt;")=0),ROUND(SUMIF($A$2:A195,"&lt;&gt;",$L$2:L195),2),IF(OR(A196="",posicao_contratual!W196="",C196="",NOT(ISNUMBER($Z$6))),"",ROUND(posicao_contratual!W196*C196*$Z$6,2)))</f>
        <v/>
      </c>
      <c r="M196" s="110" t="str">
        <f>IF(OR(posicao_contratual!J196="",posicao_contratual!N196=""),"",ROUND(MAX(posicao_contratual!J196+posicao_contratual!H196-posicao_contratual!N196,0),2))</f>
        <v/>
      </c>
      <c r="N196" s="104" t="str">
        <f>IF(AND(A196="",A195&lt;&gt;"",COUNTIF(A197:$A$200,"&lt;&gt;")=0),ROUND(SUMIF($A$2:A195,"&lt;&gt;",$N$2:N195),2),IF(OR(M196="",C196="",NOT(ISNUMBER($Z$3))),"",ROUND(M196*C196*$Z$3,2)))</f>
        <v/>
      </c>
      <c r="O196" s="110" t="str">
        <f>IF(OR(posicao_contratual!N196="",posicao_contratual!R196=""),"",ROUND(MAX(posicao_contratual!N196+posicao_contratual!L196-posicao_contratual!R196,0),2))</f>
        <v/>
      </c>
      <c r="P196" s="104" t="str">
        <f>IF(AND(A196="",A195&lt;&gt;"",COUNTIF(A197:$A$200,"&lt;&gt;")=0),ROUND(SUMIF($A$2:A195,"&lt;&gt;",$P$2:P195),2),IF(OR(O196="",C196="",NOT(ISNUMBER($Z$4))),"",ROUND(O196*C196*$Z$4,2)))</f>
        <v/>
      </c>
      <c r="Q196" s="110" t="str">
        <f>IF(OR(posicao_contratual!R196="",posicao_contratual!V196=""),"",ROUND(MAX(posicao_contratual!R196+posicao_contratual!P196-posicao_contratual!V196,0),2))</f>
        <v/>
      </c>
      <c r="R196" s="104" t="str">
        <f>IF(AND(A196="",A195&lt;&gt;"",COUNTIF(A197:$A$200,"&lt;&gt;")=0),ROUND(SUMIF($A$2:A195,"&lt;&gt;",$R$2:R195),2),IF(OR(Q196="",C196="",NOT(ISNUMBER($Z$5))),"",ROUND(Q196*C196*$Z$5,2)))</f>
        <v/>
      </c>
      <c r="S196" s="58"/>
      <c r="T196" s="59"/>
      <c r="U196" s="111" t="str">
        <f>IF(AND(A196="",A195&lt;&gt;"",COUNTIF(A197:$A$200,"&lt;&gt;")=0),"TOTAL",IF(A196="","",posicao_contratual!X196))</f>
        <v/>
      </c>
      <c r="V196" s="111" t="str">
        <f>IF(A196="","",posicao_contratual!X196)</f>
        <v/>
      </c>
      <c r="W196" s="15"/>
      <c r="X196" s="15"/>
      <c r="Y196" s="15"/>
      <c r="Z196" s="15"/>
      <c r="AA196" s="15"/>
      <c r="AB196" s="110" t="str">
        <f>IF(OR(A196="",posicao_contratual!E196="",posicao_contratual!J196=""),"",ROUND(MAX(posicao_contratual!E196-posicao_contratual!J196,0),2))</f>
        <v/>
      </c>
      <c r="AC196" s="104" t="str">
        <f>IF(AND(A196="",A195&lt;&gt;"",COUNTIF(A197:$A$200,"&lt;&gt;")=0),ROUND(SUMIF($A$2:A195,"&lt;&gt;",$AC$2:AC195),2),IF(OR(AB196="",C196="",NOT(ISNUMBER($Z$2))),"",ROUND(AB196*C196*$Z$2,2)))</f>
        <v/>
      </c>
      <c r="AD196" s="180" t="str">
        <f>IF(A196="","",posicao_contratual!E196)</f>
        <v/>
      </c>
      <c r="AE196" s="180" t="str">
        <f>IF(A196="","",posicao_contratual!I196)</f>
        <v/>
      </c>
      <c r="AF196" s="180" t="str">
        <f>IF(A196="","",posicao_contratual!M196)</f>
        <v/>
      </c>
      <c r="AG196" s="180" t="str">
        <f>IF(A196="","",posicao_contratual!Q196)</f>
        <v/>
      </c>
      <c r="AH196" s="180" t="str">
        <f>IF(A196="","",posicao_contratual!U196)</f>
        <v/>
      </c>
      <c r="AI196" s="180" t="str">
        <f>IF(A196="","",posicao_contratual!G196)</f>
        <v/>
      </c>
      <c r="AJ196" s="180" t="str">
        <f>IF(A196="","",posicao_contratual!K196)</f>
        <v/>
      </c>
      <c r="AK196" s="180" t="str">
        <f>IF(A196="","",posicao_contratual!O196)</f>
        <v/>
      </c>
      <c r="AL196" s="180" t="str">
        <f>IF(A196="","",posicao_contratual!S196)</f>
        <v/>
      </c>
      <c r="AM196" s="180" t="str">
        <f>IF(A196="","",posicao_contratual!W196)</f>
        <v/>
      </c>
      <c r="AN196" s="181" t="str">
        <f>IF(A196="","",posicao_contratual!X196)</f>
        <v/>
      </c>
    </row>
    <row r="197" spans="1:40" x14ac:dyDescent="0.35">
      <c r="A197" s="106"/>
      <c r="B197" s="107"/>
      <c r="C197" s="108"/>
      <c r="D197" s="104" t="str">
        <f>IF(AND(A197="",A196&lt;&gt;"",COUNTIF(A198:$A$200,"&lt;&gt;")=0),ROUND(SUMIF($A$2:A196,"&lt;&gt;",$D$2:D196),2),IF(OR(A197="",B197="",C197=""),"",ROUND(B197*C197,2)))</f>
        <v/>
      </c>
      <c r="E197" s="109"/>
      <c r="F197" s="104" t="str">
        <f>IF(AND(A197="",A196&lt;&gt;"",COUNTIF(A198:$A$200,"&lt;&gt;")=0),ROUND(SUMIF($A$2:A196,"&lt;&gt;",$F$2:F196),2),IF(OR(A197="",posicao_contratual!K197="",C197="",NOT(ISNUMBER($Z$3))),"",ROUND(posicao_contratual!K197*C197*$Z$3,2)))</f>
        <v/>
      </c>
      <c r="G197" s="109"/>
      <c r="H197" s="104" t="str">
        <f>IF(AND(A197="",A196&lt;&gt;"",COUNTIF(A198:$A$200,"&lt;&gt;")=0),ROUND(SUMIF($A$2:A196,"&lt;&gt;",$H$2:H196),2),IF(OR(A197="",posicao_contratual!O197="",C197="",NOT(ISNUMBER($Z$4))),"",ROUND(posicao_contratual!O197*C197*$Z$4,2)))</f>
        <v/>
      </c>
      <c r="I197" s="109"/>
      <c r="J197" s="104" t="str">
        <f>IF(AND(A197="",A196&lt;&gt;"",COUNTIF(A198:$A$200,"&lt;&gt;")=0),ROUND(SUMIF($A$2:A196,"&lt;&gt;",$J$2:J196),2),IF(OR(A197="",posicao_contratual!S197="",C197="",NOT(ISNUMBER($Z$5))),"",ROUND(posicao_contratual!S197*C197*$Z$5,2)))</f>
        <v/>
      </c>
      <c r="K197" s="109"/>
      <c r="L197" s="104" t="str">
        <f>IF(AND(A197="",A196&lt;&gt;"",COUNTIF(A198:$A$200,"&lt;&gt;")=0),ROUND(SUMIF($A$2:A196,"&lt;&gt;",$L$2:L196),2),IF(OR(A197="",posicao_contratual!W197="",C197="",NOT(ISNUMBER($Z$6))),"",ROUND(posicao_contratual!W197*C197*$Z$6,2)))</f>
        <v/>
      </c>
      <c r="M197" s="110" t="str">
        <f>IF(OR(posicao_contratual!J197="",posicao_contratual!N197=""),"",ROUND(MAX(posicao_contratual!J197+posicao_contratual!H197-posicao_contratual!N197,0),2))</f>
        <v/>
      </c>
      <c r="N197" s="104" t="str">
        <f>IF(AND(A197="",A196&lt;&gt;"",COUNTIF(A198:$A$200,"&lt;&gt;")=0),ROUND(SUMIF($A$2:A196,"&lt;&gt;",$N$2:N196),2),IF(OR(M197="",C197="",NOT(ISNUMBER($Z$3))),"",ROUND(M197*C197*$Z$3,2)))</f>
        <v/>
      </c>
      <c r="O197" s="110" t="str">
        <f>IF(OR(posicao_contratual!N197="",posicao_contratual!R197=""),"",ROUND(MAX(posicao_contratual!N197+posicao_contratual!L197-posicao_contratual!R197,0),2))</f>
        <v/>
      </c>
      <c r="P197" s="104" t="str">
        <f>IF(AND(A197="",A196&lt;&gt;"",COUNTIF(A198:$A$200,"&lt;&gt;")=0),ROUND(SUMIF($A$2:A196,"&lt;&gt;",$P$2:P196),2),IF(OR(O197="",C197="",NOT(ISNUMBER($Z$4))),"",ROUND(O197*C197*$Z$4,2)))</f>
        <v/>
      </c>
      <c r="Q197" s="110" t="str">
        <f>IF(OR(posicao_contratual!R197="",posicao_contratual!V197=""),"",ROUND(MAX(posicao_contratual!R197+posicao_contratual!P197-posicao_contratual!V197,0),2))</f>
        <v/>
      </c>
      <c r="R197" s="104" t="str">
        <f>IF(AND(A197="",A196&lt;&gt;"",COUNTIF(A198:$A$200,"&lt;&gt;")=0),ROUND(SUMIF($A$2:A196,"&lt;&gt;",$R$2:R196),2),IF(OR(Q197="",C197="",NOT(ISNUMBER($Z$5))),"",ROUND(Q197*C197*$Z$5,2)))</f>
        <v/>
      </c>
      <c r="S197" s="58"/>
      <c r="T197" s="59"/>
      <c r="U197" s="111" t="str">
        <f>IF(AND(A197="",A196&lt;&gt;"",COUNTIF(A198:$A$200,"&lt;&gt;")=0),"TOTAL",IF(A197="","",posicao_contratual!X197))</f>
        <v/>
      </c>
      <c r="V197" s="111" t="str">
        <f>IF(A197="","",posicao_contratual!X197)</f>
        <v/>
      </c>
      <c r="W197" s="15"/>
      <c r="X197" s="15"/>
      <c r="Y197" s="15"/>
      <c r="Z197" s="15"/>
      <c r="AA197" s="15"/>
      <c r="AB197" s="110" t="str">
        <f>IF(OR(A197="",posicao_contratual!E197="",posicao_contratual!J197=""),"",ROUND(MAX(posicao_contratual!E197-posicao_contratual!J197,0),2))</f>
        <v/>
      </c>
      <c r="AC197" s="104" t="str">
        <f>IF(AND(A197="",A196&lt;&gt;"",COUNTIF(A198:$A$200,"&lt;&gt;")=0),ROUND(SUMIF($A$2:A196,"&lt;&gt;",$AC$2:AC196),2),IF(OR(AB197="",C197="",NOT(ISNUMBER($Z$2))),"",ROUND(AB197*C197*$Z$2,2)))</f>
        <v/>
      </c>
      <c r="AD197" s="180" t="str">
        <f>IF(A197="","",posicao_contratual!E197)</f>
        <v/>
      </c>
      <c r="AE197" s="180" t="str">
        <f>IF(A197="","",posicao_contratual!I197)</f>
        <v/>
      </c>
      <c r="AF197" s="180" t="str">
        <f>IF(A197="","",posicao_contratual!M197)</f>
        <v/>
      </c>
      <c r="AG197" s="180" t="str">
        <f>IF(A197="","",posicao_contratual!Q197)</f>
        <v/>
      </c>
      <c r="AH197" s="180" t="str">
        <f>IF(A197="","",posicao_contratual!U197)</f>
        <v/>
      </c>
      <c r="AI197" s="180" t="str">
        <f>IF(A197="","",posicao_contratual!G197)</f>
        <v/>
      </c>
      <c r="AJ197" s="180" t="str">
        <f>IF(A197="","",posicao_contratual!K197)</f>
        <v/>
      </c>
      <c r="AK197" s="180" t="str">
        <f>IF(A197="","",posicao_contratual!O197)</f>
        <v/>
      </c>
      <c r="AL197" s="180" t="str">
        <f>IF(A197="","",posicao_contratual!S197)</f>
        <v/>
      </c>
      <c r="AM197" s="180" t="str">
        <f>IF(A197="","",posicao_contratual!W197)</f>
        <v/>
      </c>
      <c r="AN197" s="181" t="str">
        <f>IF(A197="","",posicao_contratual!X197)</f>
        <v/>
      </c>
    </row>
    <row r="198" spans="1:40" x14ac:dyDescent="0.35">
      <c r="A198" s="106"/>
      <c r="B198" s="107"/>
      <c r="C198" s="108"/>
      <c r="D198" s="104" t="str">
        <f>IF(AND(A198="",A197&lt;&gt;"",COUNTIF(A199:$A$200,"&lt;&gt;")=0),ROUND(SUMIF($A$2:A197,"&lt;&gt;",$D$2:D197),2),IF(OR(A198="",B198="",C198=""),"",ROUND(B198*C198,2)))</f>
        <v/>
      </c>
      <c r="E198" s="109"/>
      <c r="F198" s="104" t="str">
        <f>IF(AND(A198="",A197&lt;&gt;"",COUNTIF(A199:$A$200,"&lt;&gt;")=0),ROUND(SUMIF($A$2:A197,"&lt;&gt;",$F$2:F197),2),IF(OR(A198="",posicao_contratual!K198="",C198="",NOT(ISNUMBER($Z$3))),"",ROUND(posicao_contratual!K198*C198*$Z$3,2)))</f>
        <v/>
      </c>
      <c r="G198" s="109"/>
      <c r="H198" s="104" t="str">
        <f>IF(AND(A198="",A197&lt;&gt;"",COUNTIF(A199:$A$200,"&lt;&gt;")=0),ROUND(SUMIF($A$2:A197,"&lt;&gt;",$H$2:H197),2),IF(OR(A198="",posicao_contratual!O198="",C198="",NOT(ISNUMBER($Z$4))),"",ROUND(posicao_contratual!O198*C198*$Z$4,2)))</f>
        <v/>
      </c>
      <c r="I198" s="109"/>
      <c r="J198" s="104" t="str">
        <f>IF(AND(A198="",A197&lt;&gt;"",COUNTIF(A199:$A$200,"&lt;&gt;")=0),ROUND(SUMIF($A$2:A197,"&lt;&gt;",$J$2:J197),2),IF(OR(A198="",posicao_contratual!S198="",C198="",NOT(ISNUMBER($Z$5))),"",ROUND(posicao_contratual!S198*C198*$Z$5,2)))</f>
        <v/>
      </c>
      <c r="K198" s="109"/>
      <c r="L198" s="104" t="str">
        <f>IF(AND(A198="",A197&lt;&gt;"",COUNTIF(A199:$A$200,"&lt;&gt;")=0),ROUND(SUMIF($A$2:A197,"&lt;&gt;",$L$2:L197),2),IF(OR(A198="",posicao_contratual!W198="",C198="",NOT(ISNUMBER($Z$6))),"",ROUND(posicao_contratual!W198*C198*$Z$6,2)))</f>
        <v/>
      </c>
      <c r="M198" s="110" t="str">
        <f>IF(OR(posicao_contratual!J198="",posicao_contratual!N198=""),"",ROUND(MAX(posicao_contratual!J198+posicao_contratual!H198-posicao_contratual!N198,0),2))</f>
        <v/>
      </c>
      <c r="N198" s="104" t="str">
        <f>IF(AND(A198="",A197&lt;&gt;"",COUNTIF(A199:$A$200,"&lt;&gt;")=0),ROUND(SUMIF($A$2:A197,"&lt;&gt;",$N$2:N197),2),IF(OR(M198="",C198="",NOT(ISNUMBER($Z$3))),"",ROUND(M198*C198*$Z$3,2)))</f>
        <v/>
      </c>
      <c r="O198" s="110" t="str">
        <f>IF(OR(posicao_contratual!N198="",posicao_contratual!R198=""),"",ROUND(MAX(posicao_contratual!N198+posicao_contratual!L198-posicao_contratual!R198,0),2))</f>
        <v/>
      </c>
      <c r="P198" s="104" t="str">
        <f>IF(AND(A198="",A197&lt;&gt;"",COUNTIF(A199:$A$200,"&lt;&gt;")=0),ROUND(SUMIF($A$2:A197,"&lt;&gt;",$P$2:P197),2),IF(OR(O198="",C198="",NOT(ISNUMBER($Z$4))),"",ROUND(O198*C198*$Z$4,2)))</f>
        <v/>
      </c>
      <c r="Q198" s="110" t="str">
        <f>IF(OR(posicao_contratual!R198="",posicao_contratual!V198=""),"",ROUND(MAX(posicao_contratual!R198+posicao_contratual!P198-posicao_contratual!V198,0),2))</f>
        <v/>
      </c>
      <c r="R198" s="104" t="str">
        <f>IF(AND(A198="",A197&lt;&gt;"",COUNTIF(A199:$A$200,"&lt;&gt;")=0),ROUND(SUMIF($A$2:A197,"&lt;&gt;",$R$2:R197),2),IF(OR(Q198="",C198="",NOT(ISNUMBER($Z$5))),"",ROUND(Q198*C198*$Z$5,2)))</f>
        <v/>
      </c>
      <c r="S198" s="58"/>
      <c r="T198" s="59"/>
      <c r="U198" s="111" t="str">
        <f>IF(AND(A198="",A197&lt;&gt;"",COUNTIF(A199:$A$200,"&lt;&gt;")=0),"TOTAL",IF(A198="","",posicao_contratual!X198))</f>
        <v/>
      </c>
      <c r="V198" s="111" t="str">
        <f>IF(A198="","",posicao_contratual!X198)</f>
        <v/>
      </c>
      <c r="W198" s="15"/>
      <c r="X198" s="15"/>
      <c r="Y198" s="15"/>
      <c r="Z198" s="15"/>
      <c r="AA198" s="15"/>
      <c r="AB198" s="110" t="str">
        <f>IF(OR(A198="",posicao_contratual!E198="",posicao_contratual!J198=""),"",ROUND(MAX(posicao_contratual!E198-posicao_contratual!J198,0),2))</f>
        <v/>
      </c>
      <c r="AC198" s="104" t="str">
        <f>IF(AND(A198="",A197&lt;&gt;"",COUNTIF(A199:$A$200,"&lt;&gt;")=0),ROUND(SUMIF($A$2:A197,"&lt;&gt;",$AC$2:AC197),2),IF(OR(AB198="",C198="",NOT(ISNUMBER($Z$2))),"",ROUND(AB198*C198*$Z$2,2)))</f>
        <v/>
      </c>
      <c r="AD198" s="180" t="str">
        <f>IF(A198="","",posicao_contratual!E198)</f>
        <v/>
      </c>
      <c r="AE198" s="180" t="str">
        <f>IF(A198="","",posicao_contratual!I198)</f>
        <v/>
      </c>
      <c r="AF198" s="180" t="str">
        <f>IF(A198="","",posicao_contratual!M198)</f>
        <v/>
      </c>
      <c r="AG198" s="180" t="str">
        <f>IF(A198="","",posicao_contratual!Q198)</f>
        <v/>
      </c>
      <c r="AH198" s="180" t="str">
        <f>IF(A198="","",posicao_contratual!U198)</f>
        <v/>
      </c>
      <c r="AI198" s="180" t="str">
        <f>IF(A198="","",posicao_contratual!G198)</f>
        <v/>
      </c>
      <c r="AJ198" s="180" t="str">
        <f>IF(A198="","",posicao_contratual!K198)</f>
        <v/>
      </c>
      <c r="AK198" s="180" t="str">
        <f>IF(A198="","",posicao_contratual!O198)</f>
        <v/>
      </c>
      <c r="AL198" s="180" t="str">
        <f>IF(A198="","",posicao_contratual!S198)</f>
        <v/>
      </c>
      <c r="AM198" s="180" t="str">
        <f>IF(A198="","",posicao_contratual!W198)</f>
        <v/>
      </c>
      <c r="AN198" s="181" t="str">
        <f>IF(A198="","",posicao_contratual!X198)</f>
        <v/>
      </c>
    </row>
    <row r="199" spans="1:40" x14ac:dyDescent="0.35">
      <c r="A199" s="106"/>
      <c r="B199" s="107"/>
      <c r="C199" s="108"/>
      <c r="D199" s="104" t="str">
        <f>IF(AND(A199="",A198&lt;&gt;"",COUNTIF(A200:$A$200,"&lt;&gt;")=0),ROUND(SUMIF($A$2:A198,"&lt;&gt;",$D$2:D198),2),IF(OR(A199="",B199="",C199=""),"",ROUND(B199*C199,2)))</f>
        <v/>
      </c>
      <c r="E199" s="109"/>
      <c r="F199" s="104" t="str">
        <f>IF(AND(A199="",A198&lt;&gt;"",COUNTIF(A200:$A$200,"&lt;&gt;")=0),ROUND(SUMIF($A$2:A198,"&lt;&gt;",$F$2:F198),2),IF(OR(A199="",posicao_contratual!K199="",C199="",NOT(ISNUMBER($Z$3))),"",ROUND(posicao_contratual!K199*C199*$Z$3,2)))</f>
        <v/>
      </c>
      <c r="G199" s="109"/>
      <c r="H199" s="104" t="str">
        <f>IF(AND(A199="",A198&lt;&gt;"",COUNTIF(A200:$A$200,"&lt;&gt;")=0),ROUND(SUMIF($A$2:A198,"&lt;&gt;",$H$2:H198),2),IF(OR(A199="",posicao_contratual!O199="",C199="",NOT(ISNUMBER($Z$4))),"",ROUND(posicao_contratual!O199*C199*$Z$4,2)))</f>
        <v/>
      </c>
      <c r="I199" s="109"/>
      <c r="J199" s="104" t="str">
        <f>IF(AND(A199="",A198&lt;&gt;"",COUNTIF(A200:$A$200,"&lt;&gt;")=0),ROUND(SUMIF($A$2:A198,"&lt;&gt;",$J$2:J198),2),IF(OR(A199="",posicao_contratual!S199="",C199="",NOT(ISNUMBER($Z$5))),"",ROUND(posicao_contratual!S199*C199*$Z$5,2)))</f>
        <v/>
      </c>
      <c r="K199" s="109"/>
      <c r="L199" s="104" t="str">
        <f>IF(AND(A199="",A198&lt;&gt;"",COUNTIF(A200:$A$200,"&lt;&gt;")=0),ROUND(SUMIF($A$2:A198,"&lt;&gt;",$L$2:L198),2),IF(OR(A199="",posicao_contratual!W199="",C199="",NOT(ISNUMBER($Z$6))),"",ROUND(posicao_contratual!W199*C199*$Z$6,2)))</f>
        <v/>
      </c>
      <c r="M199" s="110" t="str">
        <f>IF(OR(posicao_contratual!J199="",posicao_contratual!N199=""),"",ROUND(MAX(posicao_contratual!J199+posicao_contratual!H199-posicao_contratual!N199,0),2))</f>
        <v/>
      </c>
      <c r="N199" s="104" t="str">
        <f>IF(AND(A199="",A198&lt;&gt;"",COUNTIF(A200:$A$200,"&lt;&gt;")=0),ROUND(SUMIF($A$2:A198,"&lt;&gt;",$N$2:N198),2),IF(OR(M199="",C199="",NOT(ISNUMBER($Z$3))),"",ROUND(M199*C199*$Z$3,2)))</f>
        <v/>
      </c>
      <c r="O199" s="110" t="str">
        <f>IF(OR(posicao_contratual!N199="",posicao_contratual!R199=""),"",ROUND(MAX(posicao_contratual!N199+posicao_contratual!L199-posicao_contratual!R199,0),2))</f>
        <v/>
      </c>
      <c r="P199" s="104" t="str">
        <f>IF(AND(A199="",A198&lt;&gt;"",COUNTIF(A200:$A$200,"&lt;&gt;")=0),ROUND(SUMIF($A$2:A198,"&lt;&gt;",$P$2:P198),2),IF(OR(O199="",C199="",NOT(ISNUMBER($Z$4))),"",ROUND(O199*C199*$Z$4,2)))</f>
        <v/>
      </c>
      <c r="Q199" s="110" t="str">
        <f>IF(OR(posicao_contratual!R199="",posicao_contratual!V199=""),"",ROUND(MAX(posicao_contratual!R199+posicao_contratual!P199-posicao_contratual!V199,0),2))</f>
        <v/>
      </c>
      <c r="R199" s="104" t="str">
        <f>IF(AND(A199="",A198&lt;&gt;"",COUNTIF(A200:$A$200,"&lt;&gt;")=0),ROUND(SUMIF($A$2:A198,"&lt;&gt;",$R$2:R198),2),IF(OR(Q199="",C199="",NOT(ISNUMBER($Z$5))),"",ROUND(Q199*C199*$Z$5,2)))</f>
        <v/>
      </c>
      <c r="S199" s="58"/>
      <c r="T199" s="59"/>
      <c r="U199" s="111" t="str">
        <f>IF(AND(A199="",A198&lt;&gt;"",COUNTIF(A200:$A$200,"&lt;&gt;")=0),"TOTAL",IF(A199="","",posicao_contratual!X199))</f>
        <v/>
      </c>
      <c r="V199" s="111" t="str">
        <f>IF(A199="","",posicao_contratual!X199)</f>
        <v/>
      </c>
      <c r="W199" s="15"/>
      <c r="X199" s="15"/>
      <c r="Y199" s="15"/>
      <c r="Z199" s="15"/>
      <c r="AA199" s="15"/>
      <c r="AB199" s="110" t="str">
        <f>IF(OR(A199="",posicao_contratual!E199="",posicao_contratual!J199=""),"",ROUND(MAX(posicao_contratual!E199-posicao_contratual!J199,0),2))</f>
        <v/>
      </c>
      <c r="AC199" s="104" t="str">
        <f>IF(AND(A199="",A198&lt;&gt;"",COUNTIF(A200:$A$200,"&lt;&gt;")=0),ROUND(SUMIF($A$2:A198,"&lt;&gt;",$AC$2:AC198),2),IF(OR(AB199="",C199="",NOT(ISNUMBER($Z$2))),"",ROUND(AB199*C199*$Z$2,2)))</f>
        <v/>
      </c>
      <c r="AD199" s="180" t="str">
        <f>IF(A199="","",posicao_contratual!E199)</f>
        <v/>
      </c>
      <c r="AE199" s="180" t="str">
        <f>IF(A199="","",posicao_contratual!I199)</f>
        <v/>
      </c>
      <c r="AF199" s="180" t="str">
        <f>IF(A199="","",posicao_contratual!M199)</f>
        <v/>
      </c>
      <c r="AG199" s="180" t="str">
        <f>IF(A199="","",posicao_contratual!Q199)</f>
        <v/>
      </c>
      <c r="AH199" s="180" t="str">
        <f>IF(A199="","",posicao_contratual!U199)</f>
        <v/>
      </c>
      <c r="AI199" s="180" t="str">
        <f>IF(A199="","",posicao_contratual!G199)</f>
        <v/>
      </c>
      <c r="AJ199" s="180" t="str">
        <f>IF(A199="","",posicao_contratual!K199)</f>
        <v/>
      </c>
      <c r="AK199" s="180" t="str">
        <f>IF(A199="","",posicao_contratual!O199)</f>
        <v/>
      </c>
      <c r="AL199" s="180" t="str">
        <f>IF(A199="","",posicao_contratual!S199)</f>
        <v/>
      </c>
      <c r="AM199" s="180" t="str">
        <f>IF(A199="","",posicao_contratual!W199)</f>
        <v/>
      </c>
      <c r="AN199" s="181" t="str">
        <f>IF(A199="","",posicao_contratual!X199)</f>
        <v/>
      </c>
    </row>
    <row r="200" spans="1:40" x14ac:dyDescent="0.35">
      <c r="A200" s="106"/>
      <c r="B200" s="107"/>
      <c r="C200" s="108"/>
      <c r="D200" s="104" t="str">
        <f>IF(AND(A200="",A199&lt;&gt;"",COUNTIF(A$200:$A201,"&lt;&gt;")=0),ROUND(SUMIF($A$2:A199,"&lt;&gt;",$D$2:D199),2),IF(OR(A200="",B200="",C200=""),"",ROUND(B200*C200,2)))</f>
        <v/>
      </c>
      <c r="E200" s="109"/>
      <c r="F200" s="104" t="str">
        <f>IF(AND(A200="",A199&lt;&gt;"",COUNTIF(A$200:$A201,"&lt;&gt;")=0),ROUND(SUMIF($A$2:A199,"&lt;&gt;",$F$2:F199),2),IF(OR(A200="",posicao_contratual!K200="",C200="",NOT(ISNUMBER($Z$3))),"",ROUND(posicao_contratual!K200*C200*$Z$3,2)))</f>
        <v/>
      </c>
      <c r="G200" s="109"/>
      <c r="H200" s="104" t="str">
        <f>IF(AND(A200="",A199&lt;&gt;"",COUNTIF(A$200:$A201,"&lt;&gt;")=0),ROUND(SUMIF($A$2:A199,"&lt;&gt;",$H$2:H199),2),IF(OR(A200="",posicao_contratual!O200="",C200="",NOT(ISNUMBER($Z$4))),"",ROUND(posicao_contratual!O200*C200*$Z$4,2)))</f>
        <v/>
      </c>
      <c r="I200" s="109"/>
      <c r="J200" s="104" t="str">
        <f>IF(AND(A200="",A199&lt;&gt;"",COUNTIF(A$200:$A201,"&lt;&gt;")=0),ROUND(SUMIF($A$2:A199,"&lt;&gt;",$J$2:J199),2),IF(OR(A200="",posicao_contratual!S200="",C200="",NOT(ISNUMBER($Z$5))),"",ROUND(posicao_contratual!S200*C200*$Z$5,2)))</f>
        <v/>
      </c>
      <c r="K200" s="109"/>
      <c r="L200" s="104" t="str">
        <f>IF(AND(A200="",A199&lt;&gt;"",COUNTIF(A$200:$A201,"&lt;&gt;")=0),ROUND(SUMIF($A$2:A199,"&lt;&gt;",$L$2:L199),2),IF(OR(A200="",posicao_contratual!W200="",C200="",NOT(ISNUMBER($Z$6))),"",ROUND(posicao_contratual!W200*C200*$Z$6,2)))</f>
        <v/>
      </c>
      <c r="M200" s="110" t="str">
        <f>IF(OR(posicao_contratual!J200="",posicao_contratual!N200=""),"",ROUND(MAX(posicao_contratual!J200+posicao_contratual!H200-posicao_contratual!N200,0),2))</f>
        <v/>
      </c>
      <c r="N200" s="104" t="str">
        <f>IF(AND(A200="",A199&lt;&gt;"",COUNTIF(A$200:$A201,"&lt;&gt;")=0),ROUND(SUMIF($A$2:A199,"&lt;&gt;",$N$2:N199),2),IF(OR(M200="",C200="",NOT(ISNUMBER($Z$3))),"",ROUND(M200*C200*$Z$3,2)))</f>
        <v/>
      </c>
      <c r="O200" s="110" t="str">
        <f>IF(OR(posicao_contratual!N200="",posicao_contratual!R200=""),"",ROUND(MAX(posicao_contratual!N200+posicao_contratual!L200-posicao_contratual!R200,0),2))</f>
        <v/>
      </c>
      <c r="P200" s="104" t="str">
        <f>IF(AND(A200="",A199&lt;&gt;"",COUNTIF(A$200:$A201,"&lt;&gt;")=0),ROUND(SUMIF($A$2:A199,"&lt;&gt;",$P$2:P199),2),IF(OR(O200="",C200="",NOT(ISNUMBER($Z$4))),"",ROUND(O200*C200*$Z$4,2)))</f>
        <v/>
      </c>
      <c r="Q200" s="110" t="str">
        <f>IF(OR(posicao_contratual!R200="",posicao_contratual!V200=""),"",ROUND(MAX(posicao_contratual!R200+posicao_contratual!P200-posicao_contratual!V200,0),2))</f>
        <v/>
      </c>
      <c r="R200" s="104" t="str">
        <f>IF(AND(A200="",A199&lt;&gt;"",COUNTIF(A$200:$A201,"&lt;&gt;")=0),ROUND(SUMIF($A$2:A199,"&lt;&gt;",$R$2:R199),2),IF(OR(Q200="",C200="",NOT(ISNUMBER($Z$5))),"",ROUND(Q200*C200*$Z$5,2)))</f>
        <v/>
      </c>
      <c r="S200" s="58"/>
      <c r="T200" s="59"/>
      <c r="U200" s="111" t="str">
        <f>IF(AND(A200="",A199&lt;&gt;"",COUNTIF(A$200:$A201,"&lt;&gt;")=0),"TOTAL",IF(A200="","",posicao_contratual!X200))</f>
        <v/>
      </c>
      <c r="V200" s="111" t="str">
        <f>IF(A200="","",posicao_contratual!X200)</f>
        <v/>
      </c>
      <c r="W200" s="15"/>
      <c r="X200" s="15"/>
      <c r="Y200" s="15"/>
      <c r="Z200" s="15"/>
      <c r="AA200" s="15"/>
      <c r="AB200" s="110" t="str">
        <f>IF(OR(A200="",posicao_contratual!E200="",posicao_contratual!J200=""),"",ROUND(MAX(posicao_contratual!E200-posicao_contratual!J200,0),2))</f>
        <v/>
      </c>
      <c r="AC200" s="104" t="str">
        <f>IF(AND(A200="",A199&lt;&gt;"",COUNTIF(A$200:$A201,"&lt;&gt;")=0),ROUND(SUMIF($A$2:A199,"&lt;&gt;",$AC$2:AC199),2),IF(OR(AB200="",C200="",NOT(ISNUMBER($Z$2))),"",ROUND(AB200*C200*$Z$2,2)))</f>
        <v/>
      </c>
      <c r="AD200" s="180" t="str">
        <f>IF(A200="","",posicao_contratual!E200)</f>
        <v/>
      </c>
      <c r="AE200" s="180" t="str">
        <f>IF(A200="","",posicao_contratual!I200)</f>
        <v/>
      </c>
      <c r="AF200" s="180" t="str">
        <f>IF(A200="","",posicao_contratual!M200)</f>
        <v/>
      </c>
      <c r="AG200" s="180" t="str">
        <f>IF(A200="","",posicao_contratual!Q200)</f>
        <v/>
      </c>
      <c r="AH200" s="180" t="str">
        <f>IF(A200="","",posicao_contratual!U200)</f>
        <v/>
      </c>
      <c r="AI200" s="180" t="str">
        <f>IF(A200="","",posicao_contratual!G200)</f>
        <v/>
      </c>
      <c r="AJ200" s="180" t="str">
        <f>IF(A200="","",posicao_contratual!K200)</f>
        <v/>
      </c>
      <c r="AK200" s="180" t="str">
        <f>IF(A200="","",posicao_contratual!O200)</f>
        <v/>
      </c>
      <c r="AL200" s="180" t="str">
        <f>IF(A200="","",posicao_contratual!S200)</f>
        <v/>
      </c>
      <c r="AM200" s="180" t="str">
        <f>IF(A200="","",posicao_contratual!W200)</f>
        <v/>
      </c>
      <c r="AN200" s="181" t="str">
        <f>IF(A200="","",posicao_contratual!X200)</f>
        <v/>
      </c>
    </row>
    <row r="201" spans="1:40" x14ac:dyDescent="0.35">
      <c r="A201" s="29"/>
      <c r="B201" s="29"/>
      <c r="C201" s="29"/>
      <c r="D201" s="111" t="str">
        <f>IF(AND(A201="",A200&lt;&gt;"",COUNTIF(A$200:$A202,"&lt;&gt;")=0),ROUND(SUMIF($A$2:A200,"&lt;&gt;",$D$2:D200),2),IF(OR(A201="",B201="",C201=""),"",ROUND(B201*C201,2)))</f>
        <v/>
      </c>
      <c r="E201" s="30"/>
      <c r="F201" s="111" t="str">
        <f>IF(AND(A201="",A200&lt;&gt;"",COUNTIF(A$200:$A202,"&lt;&gt;")=0),ROUND(SUMIF($A$2:A200,"&lt;&gt;",$F$2:F200),2),IF(OR(A201="",posicao_contratual!K201="",C201="",NOT(ISNUMBER($Z$3))),"",ROUND(posicao_contratual!K201*C201*$Z$3,2)))</f>
        <v/>
      </c>
      <c r="G201" s="30"/>
      <c r="H201" s="111" t="str">
        <f>IF(AND(A201="",A200&lt;&gt;"",COUNTIF(A$200:$A202,"&lt;&gt;")=0),ROUND(SUMIF($A$2:A200,"&lt;&gt;",$H$2:H200),2),IF(OR(A201="",posicao_contratual!O201="",C201="",NOT(ISNUMBER($Z$4))),"",ROUND(posicao_contratual!O201*C201*$Z$4,2)))</f>
        <v/>
      </c>
      <c r="I201" s="30"/>
      <c r="J201" s="111" t="str">
        <f>IF(AND(A201="",A200&lt;&gt;"",COUNTIF(A$200:$A202,"&lt;&gt;")=0),ROUND(SUMIF($A$2:A200,"&lt;&gt;",$J$2:J200),2),IF(OR(A201="",posicao_contratual!S201="",C201="",NOT(ISNUMBER($Z$5))),"",ROUND(posicao_contratual!S201*C201*$Z$5,2)))</f>
        <v/>
      </c>
      <c r="K201" s="30"/>
      <c r="L201" s="111" t="str">
        <f>IF(AND(A201="",A200&lt;&gt;"",COUNTIF(A$200:$A202,"&lt;&gt;")=0),ROUND(SUMIF($A$2:A200,"&lt;&gt;",$L$2:L200),2),IF(OR(A201="",posicao_contratual!W201="",C201="",NOT(ISNUMBER($Z$6))),"",ROUND(posicao_contratual!W201*C201*$Z$6,2)))</f>
        <v/>
      </c>
      <c r="M201" s="30"/>
      <c r="N201" s="111" t="str">
        <f>IF(AND(A201="",A200&lt;&gt;"",COUNTIF(A$200:$A202,"&lt;&gt;")=0),ROUND(SUMIF($A$2:A200,"&lt;&gt;",$N$2:N200),2),IF(OR(M201="",C201="",NOT(ISNUMBER($Z$3))),"",ROUND(M201*C201*$Z$3,2)))</f>
        <v/>
      </c>
      <c r="O201" s="19"/>
      <c r="P201" s="111" t="str">
        <f>IF(AND(A201="",A200&lt;&gt;"",COUNTIF(A$200:$A202,"&lt;&gt;")=0),ROUND(SUMIF($A$2:A200,"&lt;&gt;",$P$2:P200),2),IF(OR(O201="",C201="",NOT(ISNUMBER($Z$4))),"",ROUND(O201*C201*$Z$4,2)))</f>
        <v/>
      </c>
      <c r="Q201" s="29"/>
      <c r="R201" s="111" t="str">
        <f>IF(AND(A201="",A200&lt;&gt;"",COUNTIF(A$200:$A202,"&lt;&gt;")=0),ROUND(SUMIF($A$2:A200,"&lt;&gt;",$R$2:R200),2),IF(OR(Q201="",C201="",NOT(ISNUMBER($Z$5))),"",ROUND(Q201*C201*$Z$5,2)))</f>
        <v/>
      </c>
      <c r="S201" s="29"/>
      <c r="T201" s="29"/>
      <c r="U201" s="19" t="str">
        <f>IF(AND(A201="",A200&lt;&gt;"",COUNTIF(A$200:$A202,"&lt;&gt;")=0),"TOTAL",IF(A201="","",posicao_contratual!X201))</f>
        <v/>
      </c>
      <c r="V201" s="15"/>
      <c r="W201" s="15"/>
      <c r="X201" s="15"/>
      <c r="Y201" s="15"/>
      <c r="Z201" s="15"/>
      <c r="AA201" s="15"/>
      <c r="AB201" s="15"/>
      <c r="AC201" s="111" t="str">
        <f>IF(AND(A201="",A200&lt;&gt;"",COUNTIF(A$200:$A202,"&lt;&gt;")=0),ROUND(SUMIF($A$2:A200,"&lt;&gt;",$AC$2:AC200),2),IF(OR(AB201="",C201="",NOT(ISNUMBER($Z$2))),"",ROUND(AB201*C201*$Z$2,2)))</f>
        <v/>
      </c>
      <c r="AD201" s="15"/>
    </row>
    <row r="202" spans="1:40" x14ac:dyDescent="0.35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spans="1:40" x14ac:dyDescent="0.35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spans="1:40" x14ac:dyDescent="0.35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spans="1:40" x14ac:dyDescent="0.3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spans="1:40" x14ac:dyDescent="0.35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spans="1:40" x14ac:dyDescent="0.35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spans="1:40" x14ac:dyDescent="0.35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spans="1:30" x14ac:dyDescent="0.35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spans="1:30" x14ac:dyDescent="0.35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</sheetData>
  <conditionalFormatting sqref="A2:AC201">
    <cfRule type="expression" dxfId="13" priority="2">
      <formula>$U2="TOTAL"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00"/>
  <sheetViews>
    <sheetView showGridLines="0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4" customWidth="1"/>
    <col min="2" max="2" width="20" customWidth="1"/>
    <col min="3" max="4" width="18" customWidth="1"/>
    <col min="5" max="5" width="16" customWidth="1"/>
    <col min="6" max="6" width="17" customWidth="1"/>
    <col min="7" max="7" width="16" customWidth="1"/>
    <col min="8" max="8" width="17" customWidth="1"/>
    <col min="9" max="9" width="16" customWidth="1"/>
    <col min="10" max="10" width="17" customWidth="1"/>
    <col min="11" max="11" width="16" customWidth="1"/>
    <col min="12" max="12" width="17" customWidth="1"/>
    <col min="13" max="13" width="16" customWidth="1"/>
    <col min="14" max="14" width="17" customWidth="1"/>
    <col min="15" max="15" width="18" customWidth="1"/>
    <col min="16" max="16" width="20" customWidth="1"/>
    <col min="17" max="17" width="34" customWidth="1"/>
    <col min="18" max="18" width="10" customWidth="1"/>
    <col min="19" max="19" width="24" customWidth="1"/>
    <col min="20" max="21" width="16" customWidth="1"/>
  </cols>
  <sheetData>
    <row r="1" spans="1:23" ht="24" customHeight="1" x14ac:dyDescent="0.35">
      <c r="A1" s="60" t="s">
        <v>78</v>
      </c>
      <c r="B1" s="61" t="s">
        <v>102</v>
      </c>
      <c r="C1" s="62" t="s">
        <v>80</v>
      </c>
      <c r="D1" s="62" t="s">
        <v>81</v>
      </c>
      <c r="E1" s="63" t="s">
        <v>103</v>
      </c>
      <c r="F1" s="64" t="s">
        <v>104</v>
      </c>
      <c r="G1" s="65" t="s">
        <v>105</v>
      </c>
      <c r="H1" s="66" t="s">
        <v>106</v>
      </c>
      <c r="I1" s="63" t="s">
        <v>107</v>
      </c>
      <c r="J1" s="64" t="s">
        <v>108</v>
      </c>
      <c r="K1" s="65" t="s">
        <v>109</v>
      </c>
      <c r="L1" s="66" t="s">
        <v>110</v>
      </c>
      <c r="M1" s="63" t="s">
        <v>111</v>
      </c>
      <c r="N1" s="64" t="s">
        <v>112</v>
      </c>
      <c r="O1" s="61" t="s">
        <v>113</v>
      </c>
      <c r="P1" s="62" t="s">
        <v>114</v>
      </c>
      <c r="Q1" s="67" t="s">
        <v>82</v>
      </c>
      <c r="R1" s="68" t="s">
        <v>11</v>
      </c>
      <c r="S1" s="68" t="s">
        <v>59</v>
      </c>
      <c r="T1" s="68" t="s">
        <v>84</v>
      </c>
      <c r="U1" s="68" t="s">
        <v>4</v>
      </c>
      <c r="V1" s="15"/>
      <c r="W1" s="15"/>
    </row>
    <row r="2" spans="1:23" x14ac:dyDescent="0.35">
      <c r="A2" s="122" t="s">
        <v>99</v>
      </c>
      <c r="B2" s="123">
        <v>120</v>
      </c>
      <c r="C2" s="124">
        <v>250</v>
      </c>
      <c r="D2" s="104">
        <f t="shared" ref="D2:D33" si="0">IF(OR(A2="",B2="",C2=""),"",ROUND(B2*C2,2))</f>
        <v>30000</v>
      </c>
      <c r="E2" s="123">
        <v>20</v>
      </c>
      <c r="F2" s="104">
        <f t="shared" ref="F2:F33" si="1">IF(OR(A2="",E2="",C2="",NOT(ISNUMBER($U$2))),"",ROUND(E2*C2*$U$2,2))</f>
        <v>5000</v>
      </c>
      <c r="G2" s="123">
        <v>55</v>
      </c>
      <c r="H2" s="104">
        <f t="shared" ref="H2:H33" si="2">IF(OR(A2="",G2="",C2="",NOT(ISNUMBER($U$3))),"",ROUND(G2*C2*$U$3,2))</f>
        <v>14454</v>
      </c>
      <c r="I2" s="123"/>
      <c r="J2" s="104" t="str">
        <f t="shared" ref="J2:J33" si="3">IF(OR(A2="",I2="",C2="",NOT(ISNUMBER($U$4))),"",ROUND(I2*C2*$U$4,2))</f>
        <v/>
      </c>
      <c r="K2" s="123"/>
      <c r="L2" s="104" t="str">
        <f t="shared" ref="L2:L33" si="4">IF(OR(A2="",K2="",C2="",NOT(ISNUMBER($U$5))),"",ROUND(K2*C2*$U$5,2))</f>
        <v/>
      </c>
      <c r="M2" s="123"/>
      <c r="N2" s="104" t="str">
        <f t="shared" ref="N2:N33" si="5">IF(OR(A2="",M2="",C2="",NOT(ISNUMBER($U$6))),"",ROUND(M2*C2*$U$6,2))</f>
        <v/>
      </c>
      <c r="O2" s="110">
        <f t="shared" ref="O2:O33" si="6">IF(A2="","",SUM(E2,G2,I2,K2,M2))</f>
        <v>75</v>
      </c>
      <c r="P2" s="104">
        <f t="shared" ref="P2:P33" si="7">IF(A2="","",SUM(F2,H2,J2,L2,N2))</f>
        <v>19454</v>
      </c>
      <c r="Q2" s="111" t="str">
        <f t="shared" ref="Q2:Q33" si="8">IF(A2="","",IF(O2&gt;B2,"DIVERGENCIA: CONSUMO MAIOR QUE CONTRATADO","OK"))</f>
        <v>OK</v>
      </c>
      <c r="R2" s="26" t="s">
        <v>26</v>
      </c>
      <c r="S2" s="125" t="str">
        <f>parametros!$A$2</f>
        <v>Nao</v>
      </c>
      <c r="T2" s="126">
        <f>IF(ISNUMBER(parametros!$E$2),parametros!$E$2,"")</f>
        <v>0</v>
      </c>
      <c r="U2" s="127">
        <f>IF(ISNUMBER(parametros!$F$2),parametros!$F$2,"")</f>
        <v>1</v>
      </c>
      <c r="V2" s="16"/>
      <c r="W2" s="16"/>
    </row>
    <row r="3" spans="1:23" x14ac:dyDescent="0.35">
      <c r="A3" s="122" t="s">
        <v>100</v>
      </c>
      <c r="B3" s="123">
        <v>80</v>
      </c>
      <c r="C3" s="124">
        <v>1500</v>
      </c>
      <c r="D3" s="104">
        <f t="shared" si="0"/>
        <v>120000</v>
      </c>
      <c r="E3" s="123">
        <v>15</v>
      </c>
      <c r="F3" s="104">
        <f t="shared" si="1"/>
        <v>22500</v>
      </c>
      <c r="G3" s="123">
        <v>35</v>
      </c>
      <c r="H3" s="104">
        <f t="shared" si="2"/>
        <v>55188</v>
      </c>
      <c r="I3" s="123"/>
      <c r="J3" s="104" t="str">
        <f t="shared" si="3"/>
        <v/>
      </c>
      <c r="K3" s="123"/>
      <c r="L3" s="104" t="str">
        <f t="shared" si="4"/>
        <v/>
      </c>
      <c r="M3" s="123"/>
      <c r="N3" s="104" t="str">
        <f t="shared" si="5"/>
        <v/>
      </c>
      <c r="O3" s="110">
        <f t="shared" si="6"/>
        <v>50</v>
      </c>
      <c r="P3" s="104">
        <f t="shared" si="7"/>
        <v>77688</v>
      </c>
      <c r="Q3" s="111" t="str">
        <f t="shared" si="8"/>
        <v>OK</v>
      </c>
      <c r="R3" s="26" t="s">
        <v>35</v>
      </c>
      <c r="S3" s="125" t="str">
        <f>parametros!$A$3</f>
        <v>Sim</v>
      </c>
      <c r="T3" s="126">
        <f>IF(ISNUMBER(parametros!$E$3),parametros!$E$3,"")</f>
        <v>5.1200000000000002E-2</v>
      </c>
      <c r="U3" s="127">
        <f>IF(ISNUMBER(parametros!$F$3),parametros!$F$3,"")</f>
        <v>1.0511999999999999</v>
      </c>
      <c r="V3" s="16"/>
      <c r="W3" s="16"/>
    </row>
    <row r="4" spans="1:23" x14ac:dyDescent="0.35">
      <c r="A4" s="122" t="s">
        <v>101</v>
      </c>
      <c r="B4" s="123">
        <v>40</v>
      </c>
      <c r="C4" s="124">
        <v>3200</v>
      </c>
      <c r="D4" s="104">
        <f t="shared" si="0"/>
        <v>128000</v>
      </c>
      <c r="E4" s="123">
        <v>8</v>
      </c>
      <c r="F4" s="104">
        <f t="shared" si="1"/>
        <v>25600</v>
      </c>
      <c r="G4" s="123">
        <v>20</v>
      </c>
      <c r="H4" s="104">
        <f t="shared" si="2"/>
        <v>67276.800000000003</v>
      </c>
      <c r="I4" s="123"/>
      <c r="J4" s="104" t="str">
        <f t="shared" si="3"/>
        <v/>
      </c>
      <c r="K4" s="123"/>
      <c r="L4" s="104" t="str">
        <f t="shared" si="4"/>
        <v/>
      </c>
      <c r="M4" s="123"/>
      <c r="N4" s="104" t="str">
        <f t="shared" si="5"/>
        <v/>
      </c>
      <c r="O4" s="110">
        <f t="shared" si="6"/>
        <v>28</v>
      </c>
      <c r="P4" s="104">
        <f t="shared" si="7"/>
        <v>92876.800000000003</v>
      </c>
      <c r="Q4" s="111" t="str">
        <f t="shared" si="8"/>
        <v>OK</v>
      </c>
      <c r="R4" s="26" t="s">
        <v>37</v>
      </c>
      <c r="S4" s="125" t="str">
        <f>parametros!$A$4</f>
        <v>Nao</v>
      </c>
      <c r="T4" s="126">
        <f>IF(ISNUMBER(parametros!$E$4),parametros!$E$4,"")</f>
        <v>3.7400000000000003E-2</v>
      </c>
      <c r="U4" s="127">
        <f>IF(ISNUMBER(parametros!$F$4),parametros!$F$4,"")</f>
        <v>1.09051488</v>
      </c>
      <c r="V4" s="16"/>
      <c r="W4" s="16"/>
    </row>
    <row r="5" spans="1:23" x14ac:dyDescent="0.35">
      <c r="A5" s="122"/>
      <c r="B5" s="123"/>
      <c r="C5" s="124"/>
      <c r="D5" s="104" t="str">
        <f t="shared" si="0"/>
        <v/>
      </c>
      <c r="E5" s="123"/>
      <c r="F5" s="104" t="str">
        <f t="shared" si="1"/>
        <v/>
      </c>
      <c r="G5" s="123"/>
      <c r="H5" s="104" t="str">
        <f t="shared" si="2"/>
        <v/>
      </c>
      <c r="I5" s="123"/>
      <c r="J5" s="104" t="str">
        <f t="shared" si="3"/>
        <v/>
      </c>
      <c r="K5" s="123"/>
      <c r="L5" s="104" t="str">
        <f t="shared" si="4"/>
        <v/>
      </c>
      <c r="M5" s="123"/>
      <c r="N5" s="104" t="str">
        <f t="shared" si="5"/>
        <v/>
      </c>
      <c r="O5" s="110" t="str">
        <f t="shared" si="6"/>
        <v/>
      </c>
      <c r="P5" s="104" t="str">
        <f t="shared" si="7"/>
        <v/>
      </c>
      <c r="Q5" s="111" t="str">
        <f t="shared" si="8"/>
        <v/>
      </c>
      <c r="R5" s="26" t="s">
        <v>38</v>
      </c>
      <c r="S5" s="125" t="str">
        <f>parametros!$A$5</f>
        <v>Nao</v>
      </c>
      <c r="T5" s="126">
        <f>IF(ISNUMBER(parametros!$E$5),parametros!$E$5,"")</f>
        <v>2.8899999999999999E-2</v>
      </c>
      <c r="U5" s="127">
        <f>IF(ISNUMBER(parametros!$F$5),parametros!$F$5,"")</f>
        <v>1.1220307600319999</v>
      </c>
      <c r="V5" s="16"/>
      <c r="W5" s="16"/>
    </row>
    <row r="6" spans="1:23" x14ac:dyDescent="0.35">
      <c r="A6" s="122"/>
      <c r="B6" s="123"/>
      <c r="C6" s="124"/>
      <c r="D6" s="104" t="str">
        <f t="shared" si="0"/>
        <v/>
      </c>
      <c r="E6" s="123"/>
      <c r="F6" s="104" t="str">
        <f t="shared" si="1"/>
        <v/>
      </c>
      <c r="G6" s="123"/>
      <c r="H6" s="104" t="str">
        <f t="shared" si="2"/>
        <v/>
      </c>
      <c r="I6" s="123"/>
      <c r="J6" s="104" t="str">
        <f t="shared" si="3"/>
        <v/>
      </c>
      <c r="K6" s="123"/>
      <c r="L6" s="104" t="str">
        <f t="shared" si="4"/>
        <v/>
      </c>
      <c r="M6" s="123"/>
      <c r="N6" s="104" t="str">
        <f t="shared" si="5"/>
        <v/>
      </c>
      <c r="O6" s="110" t="str">
        <f t="shared" si="6"/>
        <v/>
      </c>
      <c r="P6" s="104" t="str">
        <f t="shared" si="7"/>
        <v/>
      </c>
      <c r="Q6" s="111" t="str">
        <f t="shared" si="8"/>
        <v/>
      </c>
      <c r="R6" s="26" t="s">
        <v>39</v>
      </c>
      <c r="S6" s="125" t="str">
        <f>parametros!$A$6</f>
        <v>Nao</v>
      </c>
      <c r="T6" s="126" t="str">
        <f>IF(ISNUMBER(parametros!$E$6),parametros!$E$6,"")</f>
        <v/>
      </c>
      <c r="U6" s="127" t="str">
        <f>IF(ISNUMBER(parametros!$F$6),parametros!$F$6,"")</f>
        <v/>
      </c>
      <c r="V6" s="16"/>
      <c r="W6" s="16"/>
    </row>
    <row r="7" spans="1:23" x14ac:dyDescent="0.35">
      <c r="A7" s="122"/>
      <c r="B7" s="123"/>
      <c r="C7" s="124"/>
      <c r="D7" s="104" t="str">
        <f t="shared" si="0"/>
        <v/>
      </c>
      <c r="E7" s="123"/>
      <c r="F7" s="104" t="str">
        <f t="shared" si="1"/>
        <v/>
      </c>
      <c r="G7" s="123"/>
      <c r="H7" s="104" t="str">
        <f t="shared" si="2"/>
        <v/>
      </c>
      <c r="I7" s="123"/>
      <c r="J7" s="104" t="str">
        <f t="shared" si="3"/>
        <v/>
      </c>
      <c r="K7" s="123"/>
      <c r="L7" s="104" t="str">
        <f t="shared" si="4"/>
        <v/>
      </c>
      <c r="M7" s="123"/>
      <c r="N7" s="104" t="str">
        <f t="shared" si="5"/>
        <v/>
      </c>
      <c r="O7" s="110" t="str">
        <f t="shared" si="6"/>
        <v/>
      </c>
      <c r="P7" s="104" t="str">
        <f t="shared" si="7"/>
        <v/>
      </c>
      <c r="Q7" s="111" t="str">
        <f t="shared" si="8"/>
        <v/>
      </c>
      <c r="R7" s="16"/>
      <c r="S7" s="16"/>
      <c r="T7" s="16"/>
      <c r="U7" s="16"/>
      <c r="V7" s="16"/>
      <c r="W7" s="16"/>
    </row>
    <row r="8" spans="1:23" x14ac:dyDescent="0.35">
      <c r="A8" s="122"/>
      <c r="B8" s="123"/>
      <c r="C8" s="124"/>
      <c r="D8" s="104" t="str">
        <f t="shared" si="0"/>
        <v/>
      </c>
      <c r="E8" s="123"/>
      <c r="F8" s="104" t="str">
        <f t="shared" si="1"/>
        <v/>
      </c>
      <c r="G8" s="123"/>
      <c r="H8" s="104" t="str">
        <f t="shared" si="2"/>
        <v/>
      </c>
      <c r="I8" s="123"/>
      <c r="J8" s="104" t="str">
        <f t="shared" si="3"/>
        <v/>
      </c>
      <c r="K8" s="123"/>
      <c r="L8" s="104" t="str">
        <f t="shared" si="4"/>
        <v/>
      </c>
      <c r="M8" s="123"/>
      <c r="N8" s="104" t="str">
        <f t="shared" si="5"/>
        <v/>
      </c>
      <c r="O8" s="110" t="str">
        <f t="shared" si="6"/>
        <v/>
      </c>
      <c r="P8" s="104" t="str">
        <f t="shared" si="7"/>
        <v/>
      </c>
      <c r="Q8" s="111" t="str">
        <f t="shared" si="8"/>
        <v/>
      </c>
      <c r="R8" s="16"/>
      <c r="S8" s="16"/>
      <c r="T8" s="16"/>
      <c r="U8" s="16"/>
      <c r="V8" s="16"/>
      <c r="W8" s="16"/>
    </row>
    <row r="9" spans="1:23" x14ac:dyDescent="0.35">
      <c r="A9" s="122"/>
      <c r="B9" s="123"/>
      <c r="C9" s="124"/>
      <c r="D9" s="104" t="str">
        <f t="shared" si="0"/>
        <v/>
      </c>
      <c r="E9" s="123"/>
      <c r="F9" s="104" t="str">
        <f t="shared" si="1"/>
        <v/>
      </c>
      <c r="G9" s="123"/>
      <c r="H9" s="104" t="str">
        <f t="shared" si="2"/>
        <v/>
      </c>
      <c r="I9" s="123"/>
      <c r="J9" s="104" t="str">
        <f t="shared" si="3"/>
        <v/>
      </c>
      <c r="K9" s="123"/>
      <c r="L9" s="104" t="str">
        <f t="shared" si="4"/>
        <v/>
      </c>
      <c r="M9" s="123"/>
      <c r="N9" s="104" t="str">
        <f t="shared" si="5"/>
        <v/>
      </c>
      <c r="O9" s="110" t="str">
        <f t="shared" si="6"/>
        <v/>
      </c>
      <c r="P9" s="104" t="str">
        <f t="shared" si="7"/>
        <v/>
      </c>
      <c r="Q9" s="111" t="str">
        <f t="shared" si="8"/>
        <v/>
      </c>
      <c r="R9" s="16"/>
      <c r="S9" s="16"/>
      <c r="T9" s="16"/>
      <c r="U9" s="16"/>
      <c r="V9" s="16"/>
      <c r="W9" s="16"/>
    </row>
    <row r="10" spans="1:23" x14ac:dyDescent="0.35">
      <c r="A10" s="122"/>
      <c r="B10" s="123"/>
      <c r="C10" s="124"/>
      <c r="D10" s="104" t="str">
        <f t="shared" si="0"/>
        <v/>
      </c>
      <c r="E10" s="123"/>
      <c r="F10" s="104" t="str">
        <f t="shared" si="1"/>
        <v/>
      </c>
      <c r="G10" s="123"/>
      <c r="H10" s="104" t="str">
        <f t="shared" si="2"/>
        <v/>
      </c>
      <c r="I10" s="123"/>
      <c r="J10" s="104" t="str">
        <f t="shared" si="3"/>
        <v/>
      </c>
      <c r="K10" s="123"/>
      <c r="L10" s="104" t="str">
        <f t="shared" si="4"/>
        <v/>
      </c>
      <c r="M10" s="123"/>
      <c r="N10" s="104" t="str">
        <f t="shared" si="5"/>
        <v/>
      </c>
      <c r="O10" s="110" t="str">
        <f t="shared" si="6"/>
        <v/>
      </c>
      <c r="P10" s="104" t="str">
        <f t="shared" si="7"/>
        <v/>
      </c>
      <c r="Q10" s="111" t="str">
        <f t="shared" si="8"/>
        <v/>
      </c>
      <c r="R10" s="16"/>
      <c r="S10" s="16"/>
      <c r="T10" s="16"/>
      <c r="U10" s="16"/>
      <c r="V10" s="16"/>
      <c r="W10" s="16"/>
    </row>
    <row r="11" spans="1:23" x14ac:dyDescent="0.35">
      <c r="A11" s="122"/>
      <c r="B11" s="123"/>
      <c r="C11" s="124"/>
      <c r="D11" s="104" t="str">
        <f t="shared" si="0"/>
        <v/>
      </c>
      <c r="E11" s="123"/>
      <c r="F11" s="104" t="str">
        <f t="shared" si="1"/>
        <v/>
      </c>
      <c r="G11" s="123"/>
      <c r="H11" s="104" t="str">
        <f t="shared" si="2"/>
        <v/>
      </c>
      <c r="I11" s="123"/>
      <c r="J11" s="104" t="str">
        <f t="shared" si="3"/>
        <v/>
      </c>
      <c r="K11" s="123"/>
      <c r="L11" s="104" t="str">
        <f t="shared" si="4"/>
        <v/>
      </c>
      <c r="M11" s="123"/>
      <c r="N11" s="104" t="str">
        <f t="shared" si="5"/>
        <v/>
      </c>
      <c r="O11" s="110" t="str">
        <f t="shared" si="6"/>
        <v/>
      </c>
      <c r="P11" s="104" t="str">
        <f t="shared" si="7"/>
        <v/>
      </c>
      <c r="Q11" s="111" t="str">
        <f t="shared" si="8"/>
        <v/>
      </c>
      <c r="R11" s="16"/>
      <c r="S11" s="16"/>
      <c r="T11" s="16"/>
      <c r="U11" s="16"/>
      <c r="V11" s="16"/>
      <c r="W11" s="16"/>
    </row>
    <row r="12" spans="1:23" x14ac:dyDescent="0.35">
      <c r="A12" s="122"/>
      <c r="B12" s="123"/>
      <c r="C12" s="124"/>
      <c r="D12" s="104" t="str">
        <f t="shared" si="0"/>
        <v/>
      </c>
      <c r="E12" s="123"/>
      <c r="F12" s="104" t="str">
        <f t="shared" si="1"/>
        <v/>
      </c>
      <c r="G12" s="123"/>
      <c r="H12" s="104" t="str">
        <f t="shared" si="2"/>
        <v/>
      </c>
      <c r="I12" s="123"/>
      <c r="J12" s="104" t="str">
        <f t="shared" si="3"/>
        <v/>
      </c>
      <c r="K12" s="123"/>
      <c r="L12" s="104" t="str">
        <f t="shared" si="4"/>
        <v/>
      </c>
      <c r="M12" s="123"/>
      <c r="N12" s="104" t="str">
        <f t="shared" si="5"/>
        <v/>
      </c>
      <c r="O12" s="110" t="str">
        <f t="shared" si="6"/>
        <v/>
      </c>
      <c r="P12" s="104" t="str">
        <f t="shared" si="7"/>
        <v/>
      </c>
      <c r="Q12" s="111" t="str">
        <f t="shared" si="8"/>
        <v/>
      </c>
      <c r="R12" s="16"/>
      <c r="S12" s="16"/>
      <c r="T12" s="16"/>
      <c r="U12" s="16"/>
      <c r="V12" s="16"/>
      <c r="W12" s="16"/>
    </row>
    <row r="13" spans="1:23" x14ac:dyDescent="0.35">
      <c r="A13" s="122"/>
      <c r="B13" s="123"/>
      <c r="C13" s="124"/>
      <c r="D13" s="104" t="str">
        <f t="shared" si="0"/>
        <v/>
      </c>
      <c r="E13" s="123"/>
      <c r="F13" s="104" t="str">
        <f t="shared" si="1"/>
        <v/>
      </c>
      <c r="G13" s="123"/>
      <c r="H13" s="104" t="str">
        <f t="shared" si="2"/>
        <v/>
      </c>
      <c r="I13" s="123"/>
      <c r="J13" s="104" t="str">
        <f t="shared" si="3"/>
        <v/>
      </c>
      <c r="K13" s="123"/>
      <c r="L13" s="104" t="str">
        <f t="shared" si="4"/>
        <v/>
      </c>
      <c r="M13" s="123"/>
      <c r="N13" s="104" t="str">
        <f t="shared" si="5"/>
        <v/>
      </c>
      <c r="O13" s="110" t="str">
        <f t="shared" si="6"/>
        <v/>
      </c>
      <c r="P13" s="104" t="str">
        <f t="shared" si="7"/>
        <v/>
      </c>
      <c r="Q13" s="111" t="str">
        <f t="shared" si="8"/>
        <v/>
      </c>
      <c r="R13" s="16"/>
      <c r="S13" s="16"/>
      <c r="T13" s="16"/>
      <c r="U13" s="16"/>
      <c r="V13" s="16"/>
      <c r="W13" s="16"/>
    </row>
    <row r="14" spans="1:23" x14ac:dyDescent="0.35">
      <c r="A14" s="122"/>
      <c r="B14" s="123"/>
      <c r="C14" s="124"/>
      <c r="D14" s="104" t="str">
        <f t="shared" si="0"/>
        <v/>
      </c>
      <c r="E14" s="123"/>
      <c r="F14" s="104" t="str">
        <f t="shared" si="1"/>
        <v/>
      </c>
      <c r="G14" s="123"/>
      <c r="H14" s="104" t="str">
        <f t="shared" si="2"/>
        <v/>
      </c>
      <c r="I14" s="123"/>
      <c r="J14" s="104" t="str">
        <f t="shared" si="3"/>
        <v/>
      </c>
      <c r="K14" s="123"/>
      <c r="L14" s="104" t="str">
        <f t="shared" si="4"/>
        <v/>
      </c>
      <c r="M14" s="123"/>
      <c r="N14" s="104" t="str">
        <f t="shared" si="5"/>
        <v/>
      </c>
      <c r="O14" s="110" t="str">
        <f t="shared" si="6"/>
        <v/>
      </c>
      <c r="P14" s="104" t="str">
        <f t="shared" si="7"/>
        <v/>
      </c>
      <c r="Q14" s="111" t="str">
        <f t="shared" si="8"/>
        <v/>
      </c>
      <c r="R14" s="16"/>
      <c r="S14" s="16"/>
      <c r="T14" s="16"/>
      <c r="U14" s="16"/>
      <c r="V14" s="16"/>
      <c r="W14" s="16"/>
    </row>
    <row r="15" spans="1:23" x14ac:dyDescent="0.35">
      <c r="A15" s="122"/>
      <c r="B15" s="123"/>
      <c r="C15" s="124"/>
      <c r="D15" s="104" t="str">
        <f t="shared" si="0"/>
        <v/>
      </c>
      <c r="E15" s="123"/>
      <c r="F15" s="104" t="str">
        <f t="shared" si="1"/>
        <v/>
      </c>
      <c r="G15" s="123"/>
      <c r="H15" s="104" t="str">
        <f t="shared" si="2"/>
        <v/>
      </c>
      <c r="I15" s="123"/>
      <c r="J15" s="104" t="str">
        <f t="shared" si="3"/>
        <v/>
      </c>
      <c r="K15" s="123"/>
      <c r="L15" s="104" t="str">
        <f t="shared" si="4"/>
        <v/>
      </c>
      <c r="M15" s="123"/>
      <c r="N15" s="104" t="str">
        <f t="shared" si="5"/>
        <v/>
      </c>
      <c r="O15" s="110" t="str">
        <f t="shared" si="6"/>
        <v/>
      </c>
      <c r="P15" s="104" t="str">
        <f t="shared" si="7"/>
        <v/>
      </c>
      <c r="Q15" s="111" t="str">
        <f t="shared" si="8"/>
        <v/>
      </c>
      <c r="R15" s="16"/>
      <c r="S15" s="16"/>
      <c r="T15" s="16"/>
      <c r="U15" s="16"/>
      <c r="V15" s="16"/>
      <c r="W15" s="16"/>
    </row>
    <row r="16" spans="1:23" x14ac:dyDescent="0.35">
      <c r="A16" s="122"/>
      <c r="B16" s="123"/>
      <c r="C16" s="124"/>
      <c r="D16" s="104" t="str">
        <f t="shared" si="0"/>
        <v/>
      </c>
      <c r="E16" s="123"/>
      <c r="F16" s="104" t="str">
        <f t="shared" si="1"/>
        <v/>
      </c>
      <c r="G16" s="123"/>
      <c r="H16" s="104" t="str">
        <f t="shared" si="2"/>
        <v/>
      </c>
      <c r="I16" s="123"/>
      <c r="J16" s="104" t="str">
        <f t="shared" si="3"/>
        <v/>
      </c>
      <c r="K16" s="123"/>
      <c r="L16" s="104" t="str">
        <f t="shared" si="4"/>
        <v/>
      </c>
      <c r="M16" s="123"/>
      <c r="N16" s="104" t="str">
        <f t="shared" si="5"/>
        <v/>
      </c>
      <c r="O16" s="110" t="str">
        <f t="shared" si="6"/>
        <v/>
      </c>
      <c r="P16" s="104" t="str">
        <f t="shared" si="7"/>
        <v/>
      </c>
      <c r="Q16" s="111" t="str">
        <f t="shared" si="8"/>
        <v/>
      </c>
      <c r="R16" s="16"/>
      <c r="S16" s="16"/>
      <c r="T16" s="16"/>
      <c r="U16" s="16"/>
      <c r="V16" s="16"/>
      <c r="W16" s="16"/>
    </row>
    <row r="17" spans="1:23" x14ac:dyDescent="0.35">
      <c r="A17" s="122"/>
      <c r="B17" s="123"/>
      <c r="C17" s="124"/>
      <c r="D17" s="104" t="str">
        <f t="shared" si="0"/>
        <v/>
      </c>
      <c r="E17" s="123"/>
      <c r="F17" s="104" t="str">
        <f t="shared" si="1"/>
        <v/>
      </c>
      <c r="G17" s="123"/>
      <c r="H17" s="104" t="str">
        <f t="shared" si="2"/>
        <v/>
      </c>
      <c r="I17" s="123"/>
      <c r="J17" s="104" t="str">
        <f t="shared" si="3"/>
        <v/>
      </c>
      <c r="K17" s="123"/>
      <c r="L17" s="104" t="str">
        <f t="shared" si="4"/>
        <v/>
      </c>
      <c r="M17" s="123"/>
      <c r="N17" s="104" t="str">
        <f t="shared" si="5"/>
        <v/>
      </c>
      <c r="O17" s="110" t="str">
        <f t="shared" si="6"/>
        <v/>
      </c>
      <c r="P17" s="104" t="str">
        <f t="shared" si="7"/>
        <v/>
      </c>
      <c r="Q17" s="111" t="str">
        <f t="shared" si="8"/>
        <v/>
      </c>
      <c r="R17" s="16"/>
      <c r="S17" s="16"/>
      <c r="T17" s="16"/>
      <c r="U17" s="16"/>
      <c r="V17" s="16"/>
      <c r="W17" s="16"/>
    </row>
    <row r="18" spans="1:23" x14ac:dyDescent="0.35">
      <c r="A18" s="122"/>
      <c r="B18" s="123"/>
      <c r="C18" s="124"/>
      <c r="D18" s="104" t="str">
        <f t="shared" si="0"/>
        <v/>
      </c>
      <c r="E18" s="123"/>
      <c r="F18" s="104" t="str">
        <f t="shared" si="1"/>
        <v/>
      </c>
      <c r="G18" s="123"/>
      <c r="H18" s="104" t="str">
        <f t="shared" si="2"/>
        <v/>
      </c>
      <c r="I18" s="123"/>
      <c r="J18" s="104" t="str">
        <f t="shared" si="3"/>
        <v/>
      </c>
      <c r="K18" s="123"/>
      <c r="L18" s="104" t="str">
        <f t="shared" si="4"/>
        <v/>
      </c>
      <c r="M18" s="123"/>
      <c r="N18" s="104" t="str">
        <f t="shared" si="5"/>
        <v/>
      </c>
      <c r="O18" s="110" t="str">
        <f t="shared" si="6"/>
        <v/>
      </c>
      <c r="P18" s="104" t="str">
        <f t="shared" si="7"/>
        <v/>
      </c>
      <c r="Q18" s="111" t="str">
        <f t="shared" si="8"/>
        <v/>
      </c>
      <c r="R18" s="16"/>
      <c r="S18" s="16"/>
      <c r="T18" s="16"/>
      <c r="U18" s="16"/>
      <c r="V18" s="16"/>
      <c r="W18" s="16"/>
    </row>
    <row r="19" spans="1:23" x14ac:dyDescent="0.35">
      <c r="A19" s="122"/>
      <c r="B19" s="123"/>
      <c r="C19" s="124"/>
      <c r="D19" s="104" t="str">
        <f t="shared" si="0"/>
        <v/>
      </c>
      <c r="E19" s="123"/>
      <c r="F19" s="104" t="str">
        <f t="shared" si="1"/>
        <v/>
      </c>
      <c r="G19" s="123"/>
      <c r="H19" s="104" t="str">
        <f t="shared" si="2"/>
        <v/>
      </c>
      <c r="I19" s="123"/>
      <c r="J19" s="104" t="str">
        <f t="shared" si="3"/>
        <v/>
      </c>
      <c r="K19" s="123"/>
      <c r="L19" s="104" t="str">
        <f t="shared" si="4"/>
        <v/>
      </c>
      <c r="M19" s="123"/>
      <c r="N19" s="104" t="str">
        <f t="shared" si="5"/>
        <v/>
      </c>
      <c r="O19" s="110" t="str">
        <f t="shared" si="6"/>
        <v/>
      </c>
      <c r="P19" s="104" t="str">
        <f t="shared" si="7"/>
        <v/>
      </c>
      <c r="Q19" s="111" t="str">
        <f t="shared" si="8"/>
        <v/>
      </c>
      <c r="R19" s="16"/>
      <c r="S19" s="16"/>
      <c r="T19" s="16"/>
      <c r="U19" s="16"/>
      <c r="V19" s="16"/>
      <c r="W19" s="16"/>
    </row>
    <row r="20" spans="1:23" x14ac:dyDescent="0.35">
      <c r="A20" s="122"/>
      <c r="B20" s="123"/>
      <c r="C20" s="124"/>
      <c r="D20" s="104" t="str">
        <f t="shared" si="0"/>
        <v/>
      </c>
      <c r="E20" s="123"/>
      <c r="F20" s="104" t="str">
        <f t="shared" si="1"/>
        <v/>
      </c>
      <c r="G20" s="123"/>
      <c r="H20" s="104" t="str">
        <f t="shared" si="2"/>
        <v/>
      </c>
      <c r="I20" s="123"/>
      <c r="J20" s="104" t="str">
        <f t="shared" si="3"/>
        <v/>
      </c>
      <c r="K20" s="123"/>
      <c r="L20" s="104" t="str">
        <f t="shared" si="4"/>
        <v/>
      </c>
      <c r="M20" s="123"/>
      <c r="N20" s="104" t="str">
        <f t="shared" si="5"/>
        <v/>
      </c>
      <c r="O20" s="110" t="str">
        <f t="shared" si="6"/>
        <v/>
      </c>
      <c r="P20" s="104" t="str">
        <f t="shared" si="7"/>
        <v/>
      </c>
      <c r="Q20" s="111" t="str">
        <f t="shared" si="8"/>
        <v/>
      </c>
      <c r="R20" s="16"/>
      <c r="S20" s="16"/>
      <c r="T20" s="16"/>
      <c r="U20" s="16"/>
      <c r="V20" s="16"/>
      <c r="W20" s="16"/>
    </row>
    <row r="21" spans="1:23" x14ac:dyDescent="0.35">
      <c r="A21" s="122"/>
      <c r="B21" s="123"/>
      <c r="C21" s="124"/>
      <c r="D21" s="104" t="str">
        <f t="shared" si="0"/>
        <v/>
      </c>
      <c r="E21" s="123"/>
      <c r="F21" s="104" t="str">
        <f t="shared" si="1"/>
        <v/>
      </c>
      <c r="G21" s="123"/>
      <c r="H21" s="104" t="str">
        <f t="shared" si="2"/>
        <v/>
      </c>
      <c r="I21" s="123"/>
      <c r="J21" s="104" t="str">
        <f t="shared" si="3"/>
        <v/>
      </c>
      <c r="K21" s="123"/>
      <c r="L21" s="104" t="str">
        <f t="shared" si="4"/>
        <v/>
      </c>
      <c r="M21" s="123"/>
      <c r="N21" s="104" t="str">
        <f t="shared" si="5"/>
        <v/>
      </c>
      <c r="O21" s="110" t="str">
        <f t="shared" si="6"/>
        <v/>
      </c>
      <c r="P21" s="104" t="str">
        <f t="shared" si="7"/>
        <v/>
      </c>
      <c r="Q21" s="111" t="str">
        <f t="shared" si="8"/>
        <v/>
      </c>
      <c r="R21" s="16"/>
      <c r="S21" s="16"/>
      <c r="T21" s="16"/>
      <c r="U21" s="16"/>
      <c r="V21" s="16"/>
      <c r="W21" s="16"/>
    </row>
    <row r="22" spans="1:23" x14ac:dyDescent="0.35">
      <c r="A22" s="122"/>
      <c r="B22" s="123"/>
      <c r="C22" s="124"/>
      <c r="D22" s="104" t="str">
        <f t="shared" si="0"/>
        <v/>
      </c>
      <c r="E22" s="123"/>
      <c r="F22" s="104" t="str">
        <f t="shared" si="1"/>
        <v/>
      </c>
      <c r="G22" s="123"/>
      <c r="H22" s="104" t="str">
        <f t="shared" si="2"/>
        <v/>
      </c>
      <c r="I22" s="123"/>
      <c r="J22" s="104" t="str">
        <f t="shared" si="3"/>
        <v/>
      </c>
      <c r="K22" s="123"/>
      <c r="L22" s="104" t="str">
        <f t="shared" si="4"/>
        <v/>
      </c>
      <c r="M22" s="123"/>
      <c r="N22" s="104" t="str">
        <f t="shared" si="5"/>
        <v/>
      </c>
      <c r="O22" s="110" t="str">
        <f t="shared" si="6"/>
        <v/>
      </c>
      <c r="P22" s="104" t="str">
        <f t="shared" si="7"/>
        <v/>
      </c>
      <c r="Q22" s="111" t="str">
        <f t="shared" si="8"/>
        <v/>
      </c>
      <c r="R22" s="16"/>
      <c r="S22" s="16"/>
      <c r="T22" s="16"/>
      <c r="U22" s="16"/>
      <c r="V22" s="16"/>
      <c r="W22" s="16"/>
    </row>
    <row r="23" spans="1:23" x14ac:dyDescent="0.35">
      <c r="A23" s="122"/>
      <c r="B23" s="123"/>
      <c r="C23" s="124"/>
      <c r="D23" s="104" t="str">
        <f t="shared" si="0"/>
        <v/>
      </c>
      <c r="E23" s="123"/>
      <c r="F23" s="104" t="str">
        <f t="shared" si="1"/>
        <v/>
      </c>
      <c r="G23" s="123"/>
      <c r="H23" s="104" t="str">
        <f t="shared" si="2"/>
        <v/>
      </c>
      <c r="I23" s="123"/>
      <c r="J23" s="104" t="str">
        <f t="shared" si="3"/>
        <v/>
      </c>
      <c r="K23" s="123"/>
      <c r="L23" s="104" t="str">
        <f t="shared" si="4"/>
        <v/>
      </c>
      <c r="M23" s="123"/>
      <c r="N23" s="104" t="str">
        <f t="shared" si="5"/>
        <v/>
      </c>
      <c r="O23" s="110" t="str">
        <f t="shared" si="6"/>
        <v/>
      </c>
      <c r="P23" s="104" t="str">
        <f t="shared" si="7"/>
        <v/>
      </c>
      <c r="Q23" s="111" t="str">
        <f t="shared" si="8"/>
        <v/>
      </c>
      <c r="R23" s="16"/>
      <c r="S23" s="16"/>
      <c r="T23" s="16"/>
      <c r="U23" s="16"/>
      <c r="V23" s="16"/>
      <c r="W23" s="16"/>
    </row>
    <row r="24" spans="1:23" x14ac:dyDescent="0.35">
      <c r="A24" s="122"/>
      <c r="B24" s="123"/>
      <c r="C24" s="124"/>
      <c r="D24" s="104" t="str">
        <f t="shared" si="0"/>
        <v/>
      </c>
      <c r="E24" s="123"/>
      <c r="F24" s="104" t="str">
        <f t="shared" si="1"/>
        <v/>
      </c>
      <c r="G24" s="123"/>
      <c r="H24" s="104" t="str">
        <f t="shared" si="2"/>
        <v/>
      </c>
      <c r="I24" s="123"/>
      <c r="J24" s="104" t="str">
        <f t="shared" si="3"/>
        <v/>
      </c>
      <c r="K24" s="123"/>
      <c r="L24" s="104" t="str">
        <f t="shared" si="4"/>
        <v/>
      </c>
      <c r="M24" s="123"/>
      <c r="N24" s="104" t="str">
        <f t="shared" si="5"/>
        <v/>
      </c>
      <c r="O24" s="110" t="str">
        <f t="shared" si="6"/>
        <v/>
      </c>
      <c r="P24" s="104" t="str">
        <f t="shared" si="7"/>
        <v/>
      </c>
      <c r="Q24" s="111" t="str">
        <f t="shared" si="8"/>
        <v/>
      </c>
      <c r="R24" s="16"/>
      <c r="S24" s="16"/>
      <c r="T24" s="16"/>
      <c r="U24" s="16"/>
      <c r="V24" s="16"/>
      <c r="W24" s="16"/>
    </row>
    <row r="25" spans="1:23" x14ac:dyDescent="0.35">
      <c r="A25" s="122"/>
      <c r="B25" s="123"/>
      <c r="C25" s="124"/>
      <c r="D25" s="104" t="str">
        <f t="shared" si="0"/>
        <v/>
      </c>
      <c r="E25" s="123"/>
      <c r="F25" s="104" t="str">
        <f t="shared" si="1"/>
        <v/>
      </c>
      <c r="G25" s="123"/>
      <c r="H25" s="104" t="str">
        <f t="shared" si="2"/>
        <v/>
      </c>
      <c r="I25" s="123"/>
      <c r="J25" s="104" t="str">
        <f t="shared" si="3"/>
        <v/>
      </c>
      <c r="K25" s="123"/>
      <c r="L25" s="104" t="str">
        <f t="shared" si="4"/>
        <v/>
      </c>
      <c r="M25" s="123"/>
      <c r="N25" s="104" t="str">
        <f t="shared" si="5"/>
        <v/>
      </c>
      <c r="O25" s="110" t="str">
        <f t="shared" si="6"/>
        <v/>
      </c>
      <c r="P25" s="104" t="str">
        <f t="shared" si="7"/>
        <v/>
      </c>
      <c r="Q25" s="111" t="str">
        <f t="shared" si="8"/>
        <v/>
      </c>
      <c r="R25" s="16"/>
      <c r="S25" s="16"/>
      <c r="T25" s="16"/>
      <c r="U25" s="16"/>
      <c r="V25" s="16"/>
      <c r="W25" s="16"/>
    </row>
    <row r="26" spans="1:23" x14ac:dyDescent="0.35">
      <c r="A26" s="122"/>
      <c r="B26" s="123"/>
      <c r="C26" s="124"/>
      <c r="D26" s="104" t="str">
        <f t="shared" si="0"/>
        <v/>
      </c>
      <c r="E26" s="123"/>
      <c r="F26" s="104" t="str">
        <f t="shared" si="1"/>
        <v/>
      </c>
      <c r="G26" s="123"/>
      <c r="H26" s="104" t="str">
        <f t="shared" si="2"/>
        <v/>
      </c>
      <c r="I26" s="123"/>
      <c r="J26" s="104" t="str">
        <f t="shared" si="3"/>
        <v/>
      </c>
      <c r="K26" s="123"/>
      <c r="L26" s="104" t="str">
        <f t="shared" si="4"/>
        <v/>
      </c>
      <c r="M26" s="123"/>
      <c r="N26" s="104" t="str">
        <f t="shared" si="5"/>
        <v/>
      </c>
      <c r="O26" s="110" t="str">
        <f t="shared" si="6"/>
        <v/>
      </c>
      <c r="P26" s="104" t="str">
        <f t="shared" si="7"/>
        <v/>
      </c>
      <c r="Q26" s="111" t="str">
        <f t="shared" si="8"/>
        <v/>
      </c>
      <c r="R26" s="16"/>
      <c r="S26" s="16"/>
      <c r="T26" s="16"/>
      <c r="U26" s="16"/>
      <c r="V26" s="16"/>
      <c r="W26" s="16"/>
    </row>
    <row r="27" spans="1:23" x14ac:dyDescent="0.35">
      <c r="A27" s="122"/>
      <c r="B27" s="123"/>
      <c r="C27" s="124"/>
      <c r="D27" s="104" t="str">
        <f t="shared" si="0"/>
        <v/>
      </c>
      <c r="E27" s="123"/>
      <c r="F27" s="104" t="str">
        <f t="shared" si="1"/>
        <v/>
      </c>
      <c r="G27" s="123"/>
      <c r="H27" s="104" t="str">
        <f t="shared" si="2"/>
        <v/>
      </c>
      <c r="I27" s="123"/>
      <c r="J27" s="104" t="str">
        <f t="shared" si="3"/>
        <v/>
      </c>
      <c r="K27" s="123"/>
      <c r="L27" s="104" t="str">
        <f t="shared" si="4"/>
        <v/>
      </c>
      <c r="M27" s="123"/>
      <c r="N27" s="104" t="str">
        <f t="shared" si="5"/>
        <v/>
      </c>
      <c r="O27" s="110" t="str">
        <f t="shared" si="6"/>
        <v/>
      </c>
      <c r="P27" s="104" t="str">
        <f t="shared" si="7"/>
        <v/>
      </c>
      <c r="Q27" s="111" t="str">
        <f t="shared" si="8"/>
        <v/>
      </c>
      <c r="R27" s="16"/>
      <c r="S27" s="16"/>
      <c r="T27" s="16"/>
      <c r="U27" s="16"/>
      <c r="V27" s="16"/>
      <c r="W27" s="16"/>
    </row>
    <row r="28" spans="1:23" x14ac:dyDescent="0.35">
      <c r="A28" s="122"/>
      <c r="B28" s="123"/>
      <c r="C28" s="124"/>
      <c r="D28" s="104" t="str">
        <f t="shared" si="0"/>
        <v/>
      </c>
      <c r="E28" s="123"/>
      <c r="F28" s="104" t="str">
        <f t="shared" si="1"/>
        <v/>
      </c>
      <c r="G28" s="123"/>
      <c r="H28" s="104" t="str">
        <f t="shared" si="2"/>
        <v/>
      </c>
      <c r="I28" s="123"/>
      <c r="J28" s="104" t="str">
        <f t="shared" si="3"/>
        <v/>
      </c>
      <c r="K28" s="123"/>
      <c r="L28" s="104" t="str">
        <f t="shared" si="4"/>
        <v/>
      </c>
      <c r="M28" s="123"/>
      <c r="N28" s="104" t="str">
        <f t="shared" si="5"/>
        <v/>
      </c>
      <c r="O28" s="110" t="str">
        <f t="shared" si="6"/>
        <v/>
      </c>
      <c r="P28" s="104" t="str">
        <f t="shared" si="7"/>
        <v/>
      </c>
      <c r="Q28" s="111" t="str">
        <f t="shared" si="8"/>
        <v/>
      </c>
      <c r="R28" s="16"/>
      <c r="S28" s="16"/>
      <c r="T28" s="16"/>
      <c r="U28" s="16"/>
      <c r="V28" s="16"/>
      <c r="W28" s="16"/>
    </row>
    <row r="29" spans="1:23" x14ac:dyDescent="0.35">
      <c r="A29" s="122"/>
      <c r="B29" s="123"/>
      <c r="C29" s="124"/>
      <c r="D29" s="104" t="str">
        <f t="shared" si="0"/>
        <v/>
      </c>
      <c r="E29" s="123"/>
      <c r="F29" s="104" t="str">
        <f t="shared" si="1"/>
        <v/>
      </c>
      <c r="G29" s="123"/>
      <c r="H29" s="104" t="str">
        <f t="shared" si="2"/>
        <v/>
      </c>
      <c r="I29" s="123"/>
      <c r="J29" s="104" t="str">
        <f t="shared" si="3"/>
        <v/>
      </c>
      <c r="K29" s="123"/>
      <c r="L29" s="104" t="str">
        <f t="shared" si="4"/>
        <v/>
      </c>
      <c r="M29" s="123"/>
      <c r="N29" s="104" t="str">
        <f t="shared" si="5"/>
        <v/>
      </c>
      <c r="O29" s="110" t="str">
        <f t="shared" si="6"/>
        <v/>
      </c>
      <c r="P29" s="104" t="str">
        <f t="shared" si="7"/>
        <v/>
      </c>
      <c r="Q29" s="111" t="str">
        <f t="shared" si="8"/>
        <v/>
      </c>
      <c r="R29" s="16"/>
      <c r="S29" s="16"/>
      <c r="T29" s="16"/>
      <c r="U29" s="16"/>
      <c r="V29" s="16"/>
      <c r="W29" s="16"/>
    </row>
    <row r="30" spans="1:23" x14ac:dyDescent="0.35">
      <c r="A30" s="122"/>
      <c r="B30" s="123"/>
      <c r="C30" s="124"/>
      <c r="D30" s="104" t="str">
        <f t="shared" si="0"/>
        <v/>
      </c>
      <c r="E30" s="123"/>
      <c r="F30" s="104" t="str">
        <f t="shared" si="1"/>
        <v/>
      </c>
      <c r="G30" s="123"/>
      <c r="H30" s="104" t="str">
        <f t="shared" si="2"/>
        <v/>
      </c>
      <c r="I30" s="123"/>
      <c r="J30" s="104" t="str">
        <f t="shared" si="3"/>
        <v/>
      </c>
      <c r="K30" s="123"/>
      <c r="L30" s="104" t="str">
        <f t="shared" si="4"/>
        <v/>
      </c>
      <c r="M30" s="123"/>
      <c r="N30" s="104" t="str">
        <f t="shared" si="5"/>
        <v/>
      </c>
      <c r="O30" s="110" t="str">
        <f t="shared" si="6"/>
        <v/>
      </c>
      <c r="P30" s="104" t="str">
        <f t="shared" si="7"/>
        <v/>
      </c>
      <c r="Q30" s="111" t="str">
        <f t="shared" si="8"/>
        <v/>
      </c>
      <c r="R30" s="16"/>
      <c r="S30" s="16"/>
      <c r="T30" s="16"/>
      <c r="U30" s="16"/>
      <c r="V30" s="16"/>
      <c r="W30" s="16"/>
    </row>
    <row r="31" spans="1:23" x14ac:dyDescent="0.35">
      <c r="A31" s="122"/>
      <c r="B31" s="123"/>
      <c r="C31" s="124"/>
      <c r="D31" s="104" t="str">
        <f t="shared" si="0"/>
        <v/>
      </c>
      <c r="E31" s="123"/>
      <c r="F31" s="104" t="str">
        <f t="shared" si="1"/>
        <v/>
      </c>
      <c r="G31" s="123"/>
      <c r="H31" s="104" t="str">
        <f t="shared" si="2"/>
        <v/>
      </c>
      <c r="I31" s="123"/>
      <c r="J31" s="104" t="str">
        <f t="shared" si="3"/>
        <v/>
      </c>
      <c r="K31" s="123"/>
      <c r="L31" s="104" t="str">
        <f t="shared" si="4"/>
        <v/>
      </c>
      <c r="M31" s="123"/>
      <c r="N31" s="104" t="str">
        <f t="shared" si="5"/>
        <v/>
      </c>
      <c r="O31" s="110" t="str">
        <f t="shared" si="6"/>
        <v/>
      </c>
      <c r="P31" s="104" t="str">
        <f t="shared" si="7"/>
        <v/>
      </c>
      <c r="Q31" s="111" t="str">
        <f t="shared" si="8"/>
        <v/>
      </c>
      <c r="R31" s="16"/>
      <c r="S31" s="16"/>
      <c r="T31" s="16"/>
      <c r="U31" s="16"/>
      <c r="V31" s="16"/>
      <c r="W31" s="16"/>
    </row>
    <row r="32" spans="1:23" x14ac:dyDescent="0.35">
      <c r="A32" s="122"/>
      <c r="B32" s="123"/>
      <c r="C32" s="124"/>
      <c r="D32" s="104" t="str">
        <f t="shared" si="0"/>
        <v/>
      </c>
      <c r="E32" s="123"/>
      <c r="F32" s="104" t="str">
        <f t="shared" si="1"/>
        <v/>
      </c>
      <c r="G32" s="123"/>
      <c r="H32" s="104" t="str">
        <f t="shared" si="2"/>
        <v/>
      </c>
      <c r="I32" s="123"/>
      <c r="J32" s="104" t="str">
        <f t="shared" si="3"/>
        <v/>
      </c>
      <c r="K32" s="123"/>
      <c r="L32" s="104" t="str">
        <f t="shared" si="4"/>
        <v/>
      </c>
      <c r="M32" s="123"/>
      <c r="N32" s="104" t="str">
        <f t="shared" si="5"/>
        <v/>
      </c>
      <c r="O32" s="110" t="str">
        <f t="shared" si="6"/>
        <v/>
      </c>
      <c r="P32" s="104" t="str">
        <f t="shared" si="7"/>
        <v/>
      </c>
      <c r="Q32" s="111" t="str">
        <f t="shared" si="8"/>
        <v/>
      </c>
      <c r="R32" s="16"/>
      <c r="S32" s="16"/>
      <c r="T32" s="16"/>
      <c r="U32" s="16"/>
      <c r="V32" s="16"/>
      <c r="W32" s="16"/>
    </row>
    <row r="33" spans="1:23" x14ac:dyDescent="0.35">
      <c r="A33" s="122"/>
      <c r="B33" s="123"/>
      <c r="C33" s="124"/>
      <c r="D33" s="104" t="str">
        <f t="shared" si="0"/>
        <v/>
      </c>
      <c r="E33" s="123"/>
      <c r="F33" s="104" t="str">
        <f t="shared" si="1"/>
        <v/>
      </c>
      <c r="G33" s="123"/>
      <c r="H33" s="104" t="str">
        <f t="shared" si="2"/>
        <v/>
      </c>
      <c r="I33" s="123"/>
      <c r="J33" s="104" t="str">
        <f t="shared" si="3"/>
        <v/>
      </c>
      <c r="K33" s="123"/>
      <c r="L33" s="104" t="str">
        <f t="shared" si="4"/>
        <v/>
      </c>
      <c r="M33" s="123"/>
      <c r="N33" s="104" t="str">
        <f t="shared" si="5"/>
        <v/>
      </c>
      <c r="O33" s="110" t="str">
        <f t="shared" si="6"/>
        <v/>
      </c>
      <c r="P33" s="104" t="str">
        <f t="shared" si="7"/>
        <v/>
      </c>
      <c r="Q33" s="111" t="str">
        <f t="shared" si="8"/>
        <v/>
      </c>
      <c r="R33" s="16"/>
      <c r="S33" s="16"/>
      <c r="T33" s="16"/>
      <c r="U33" s="16"/>
      <c r="V33" s="16"/>
      <c r="W33" s="16"/>
    </row>
    <row r="34" spans="1:23" x14ac:dyDescent="0.35">
      <c r="A34" s="122"/>
      <c r="B34" s="123"/>
      <c r="C34" s="124"/>
      <c r="D34" s="104" t="str">
        <f t="shared" ref="D34:D65" si="9">IF(OR(A34="",B34="",C34=""),"",ROUND(B34*C34,2))</f>
        <v/>
      </c>
      <c r="E34" s="123"/>
      <c r="F34" s="104" t="str">
        <f t="shared" ref="F34:F65" si="10">IF(OR(A34="",E34="",C34="",NOT(ISNUMBER($U$2))),"",ROUND(E34*C34*$U$2,2))</f>
        <v/>
      </c>
      <c r="G34" s="123"/>
      <c r="H34" s="104" t="str">
        <f t="shared" ref="H34:H65" si="11">IF(OR(A34="",G34="",C34="",NOT(ISNUMBER($U$3))),"",ROUND(G34*C34*$U$3,2))</f>
        <v/>
      </c>
      <c r="I34" s="123"/>
      <c r="J34" s="104" t="str">
        <f t="shared" ref="J34:J65" si="12">IF(OR(A34="",I34="",C34="",NOT(ISNUMBER($U$4))),"",ROUND(I34*C34*$U$4,2))</f>
        <v/>
      </c>
      <c r="K34" s="123"/>
      <c r="L34" s="104" t="str">
        <f t="shared" ref="L34:L65" si="13">IF(OR(A34="",K34="",C34="",NOT(ISNUMBER($U$5))),"",ROUND(K34*C34*$U$5,2))</f>
        <v/>
      </c>
      <c r="M34" s="123"/>
      <c r="N34" s="104" t="str">
        <f t="shared" ref="N34:N65" si="14">IF(OR(A34="",M34="",C34="",NOT(ISNUMBER($U$6))),"",ROUND(M34*C34*$U$6,2))</f>
        <v/>
      </c>
      <c r="O34" s="110" t="str">
        <f t="shared" ref="O34:O65" si="15">IF(A34="","",SUM(E34,G34,I34,K34,M34))</f>
        <v/>
      </c>
      <c r="P34" s="104" t="str">
        <f t="shared" ref="P34:P65" si="16">IF(A34="","",SUM(F34,H34,J34,L34,N34))</f>
        <v/>
      </c>
      <c r="Q34" s="111" t="str">
        <f t="shared" ref="Q34:Q65" si="17">IF(A34="","",IF(O34&gt;B34,"DIVERGENCIA: CONSUMO MAIOR QUE CONTRATADO","OK"))</f>
        <v/>
      </c>
      <c r="R34" s="16"/>
      <c r="S34" s="16"/>
      <c r="T34" s="16"/>
      <c r="U34" s="16"/>
      <c r="V34" s="16"/>
      <c r="W34" s="16"/>
    </row>
    <row r="35" spans="1:23" x14ac:dyDescent="0.35">
      <c r="A35" s="122"/>
      <c r="B35" s="123"/>
      <c r="C35" s="124"/>
      <c r="D35" s="104" t="str">
        <f t="shared" si="9"/>
        <v/>
      </c>
      <c r="E35" s="123"/>
      <c r="F35" s="104" t="str">
        <f t="shared" si="10"/>
        <v/>
      </c>
      <c r="G35" s="123"/>
      <c r="H35" s="104" t="str">
        <f t="shared" si="11"/>
        <v/>
      </c>
      <c r="I35" s="123"/>
      <c r="J35" s="104" t="str">
        <f t="shared" si="12"/>
        <v/>
      </c>
      <c r="K35" s="123"/>
      <c r="L35" s="104" t="str">
        <f t="shared" si="13"/>
        <v/>
      </c>
      <c r="M35" s="123"/>
      <c r="N35" s="104" t="str">
        <f t="shared" si="14"/>
        <v/>
      </c>
      <c r="O35" s="110" t="str">
        <f t="shared" si="15"/>
        <v/>
      </c>
      <c r="P35" s="104" t="str">
        <f t="shared" si="16"/>
        <v/>
      </c>
      <c r="Q35" s="111" t="str">
        <f t="shared" si="17"/>
        <v/>
      </c>
      <c r="R35" s="16"/>
      <c r="S35" s="16"/>
      <c r="T35" s="16"/>
      <c r="U35" s="16"/>
      <c r="V35" s="16"/>
      <c r="W35" s="16"/>
    </row>
    <row r="36" spans="1:23" x14ac:dyDescent="0.35">
      <c r="A36" s="122"/>
      <c r="B36" s="123"/>
      <c r="C36" s="124"/>
      <c r="D36" s="104" t="str">
        <f t="shared" si="9"/>
        <v/>
      </c>
      <c r="E36" s="123"/>
      <c r="F36" s="104" t="str">
        <f t="shared" si="10"/>
        <v/>
      </c>
      <c r="G36" s="123"/>
      <c r="H36" s="104" t="str">
        <f t="shared" si="11"/>
        <v/>
      </c>
      <c r="I36" s="123"/>
      <c r="J36" s="104" t="str">
        <f t="shared" si="12"/>
        <v/>
      </c>
      <c r="K36" s="123"/>
      <c r="L36" s="104" t="str">
        <f t="shared" si="13"/>
        <v/>
      </c>
      <c r="M36" s="123"/>
      <c r="N36" s="104" t="str">
        <f t="shared" si="14"/>
        <v/>
      </c>
      <c r="O36" s="110" t="str">
        <f t="shared" si="15"/>
        <v/>
      </c>
      <c r="P36" s="104" t="str">
        <f t="shared" si="16"/>
        <v/>
      </c>
      <c r="Q36" s="111" t="str">
        <f t="shared" si="17"/>
        <v/>
      </c>
      <c r="R36" s="16"/>
      <c r="S36" s="16"/>
      <c r="T36" s="16"/>
      <c r="U36" s="16"/>
      <c r="V36" s="16"/>
      <c r="W36" s="16"/>
    </row>
    <row r="37" spans="1:23" x14ac:dyDescent="0.35">
      <c r="A37" s="122"/>
      <c r="B37" s="123"/>
      <c r="C37" s="124"/>
      <c r="D37" s="104" t="str">
        <f t="shared" si="9"/>
        <v/>
      </c>
      <c r="E37" s="123"/>
      <c r="F37" s="104" t="str">
        <f t="shared" si="10"/>
        <v/>
      </c>
      <c r="G37" s="123"/>
      <c r="H37" s="104" t="str">
        <f t="shared" si="11"/>
        <v/>
      </c>
      <c r="I37" s="123"/>
      <c r="J37" s="104" t="str">
        <f t="shared" si="12"/>
        <v/>
      </c>
      <c r="K37" s="123"/>
      <c r="L37" s="104" t="str">
        <f t="shared" si="13"/>
        <v/>
      </c>
      <c r="M37" s="123"/>
      <c r="N37" s="104" t="str">
        <f t="shared" si="14"/>
        <v/>
      </c>
      <c r="O37" s="110" t="str">
        <f t="shared" si="15"/>
        <v/>
      </c>
      <c r="P37" s="104" t="str">
        <f t="shared" si="16"/>
        <v/>
      </c>
      <c r="Q37" s="111" t="str">
        <f t="shared" si="17"/>
        <v/>
      </c>
      <c r="R37" s="16"/>
      <c r="S37" s="16"/>
      <c r="T37" s="16"/>
      <c r="U37" s="16"/>
      <c r="V37" s="16"/>
      <c r="W37" s="16"/>
    </row>
    <row r="38" spans="1:23" x14ac:dyDescent="0.35">
      <c r="A38" s="122"/>
      <c r="B38" s="123"/>
      <c r="C38" s="124"/>
      <c r="D38" s="104" t="str">
        <f t="shared" si="9"/>
        <v/>
      </c>
      <c r="E38" s="123"/>
      <c r="F38" s="104" t="str">
        <f t="shared" si="10"/>
        <v/>
      </c>
      <c r="G38" s="123"/>
      <c r="H38" s="104" t="str">
        <f t="shared" si="11"/>
        <v/>
      </c>
      <c r="I38" s="123"/>
      <c r="J38" s="104" t="str">
        <f t="shared" si="12"/>
        <v/>
      </c>
      <c r="K38" s="123"/>
      <c r="L38" s="104" t="str">
        <f t="shared" si="13"/>
        <v/>
      </c>
      <c r="M38" s="123"/>
      <c r="N38" s="104" t="str">
        <f t="shared" si="14"/>
        <v/>
      </c>
      <c r="O38" s="110" t="str">
        <f t="shared" si="15"/>
        <v/>
      </c>
      <c r="P38" s="104" t="str">
        <f t="shared" si="16"/>
        <v/>
      </c>
      <c r="Q38" s="111" t="str">
        <f t="shared" si="17"/>
        <v/>
      </c>
      <c r="R38" s="16"/>
      <c r="S38" s="16"/>
      <c r="T38" s="16"/>
      <c r="U38" s="16"/>
      <c r="V38" s="16"/>
      <c r="W38" s="16"/>
    </row>
    <row r="39" spans="1:23" x14ac:dyDescent="0.35">
      <c r="A39" s="122"/>
      <c r="B39" s="123"/>
      <c r="C39" s="124"/>
      <c r="D39" s="104" t="str">
        <f t="shared" si="9"/>
        <v/>
      </c>
      <c r="E39" s="123"/>
      <c r="F39" s="104" t="str">
        <f t="shared" si="10"/>
        <v/>
      </c>
      <c r="G39" s="123"/>
      <c r="H39" s="104" t="str">
        <f t="shared" si="11"/>
        <v/>
      </c>
      <c r="I39" s="123"/>
      <c r="J39" s="104" t="str">
        <f t="shared" si="12"/>
        <v/>
      </c>
      <c r="K39" s="123"/>
      <c r="L39" s="104" t="str">
        <f t="shared" si="13"/>
        <v/>
      </c>
      <c r="M39" s="123"/>
      <c r="N39" s="104" t="str">
        <f t="shared" si="14"/>
        <v/>
      </c>
      <c r="O39" s="110" t="str">
        <f t="shared" si="15"/>
        <v/>
      </c>
      <c r="P39" s="104" t="str">
        <f t="shared" si="16"/>
        <v/>
      </c>
      <c r="Q39" s="111" t="str">
        <f t="shared" si="17"/>
        <v/>
      </c>
      <c r="R39" s="16"/>
      <c r="S39" s="16"/>
      <c r="T39" s="16"/>
      <c r="U39" s="16"/>
      <c r="V39" s="16"/>
      <c r="W39" s="16"/>
    </row>
    <row r="40" spans="1:23" x14ac:dyDescent="0.35">
      <c r="A40" s="122"/>
      <c r="B40" s="123"/>
      <c r="C40" s="124"/>
      <c r="D40" s="104" t="str">
        <f t="shared" si="9"/>
        <v/>
      </c>
      <c r="E40" s="123"/>
      <c r="F40" s="104" t="str">
        <f t="shared" si="10"/>
        <v/>
      </c>
      <c r="G40" s="123"/>
      <c r="H40" s="104" t="str">
        <f t="shared" si="11"/>
        <v/>
      </c>
      <c r="I40" s="123"/>
      <c r="J40" s="104" t="str">
        <f t="shared" si="12"/>
        <v/>
      </c>
      <c r="K40" s="123"/>
      <c r="L40" s="104" t="str">
        <f t="shared" si="13"/>
        <v/>
      </c>
      <c r="M40" s="123"/>
      <c r="N40" s="104" t="str">
        <f t="shared" si="14"/>
        <v/>
      </c>
      <c r="O40" s="110" t="str">
        <f t="shared" si="15"/>
        <v/>
      </c>
      <c r="P40" s="104" t="str">
        <f t="shared" si="16"/>
        <v/>
      </c>
      <c r="Q40" s="111" t="str">
        <f t="shared" si="17"/>
        <v/>
      </c>
      <c r="R40" s="16"/>
      <c r="S40" s="16"/>
      <c r="T40" s="16"/>
      <c r="U40" s="16"/>
      <c r="V40" s="16"/>
      <c r="W40" s="16"/>
    </row>
    <row r="41" spans="1:23" x14ac:dyDescent="0.35">
      <c r="A41" s="122"/>
      <c r="B41" s="123"/>
      <c r="C41" s="124"/>
      <c r="D41" s="104" t="str">
        <f t="shared" si="9"/>
        <v/>
      </c>
      <c r="E41" s="123"/>
      <c r="F41" s="104" t="str">
        <f t="shared" si="10"/>
        <v/>
      </c>
      <c r="G41" s="123"/>
      <c r="H41" s="104" t="str">
        <f t="shared" si="11"/>
        <v/>
      </c>
      <c r="I41" s="123"/>
      <c r="J41" s="104" t="str">
        <f t="shared" si="12"/>
        <v/>
      </c>
      <c r="K41" s="123"/>
      <c r="L41" s="104" t="str">
        <f t="shared" si="13"/>
        <v/>
      </c>
      <c r="M41" s="123"/>
      <c r="N41" s="104" t="str">
        <f t="shared" si="14"/>
        <v/>
      </c>
      <c r="O41" s="110" t="str">
        <f t="shared" si="15"/>
        <v/>
      </c>
      <c r="P41" s="104" t="str">
        <f t="shared" si="16"/>
        <v/>
      </c>
      <c r="Q41" s="111" t="str">
        <f t="shared" si="17"/>
        <v/>
      </c>
      <c r="R41" s="16"/>
      <c r="S41" s="16"/>
      <c r="T41" s="16"/>
      <c r="U41" s="16"/>
      <c r="V41" s="16"/>
      <c r="W41" s="16"/>
    </row>
    <row r="42" spans="1:23" x14ac:dyDescent="0.35">
      <c r="A42" s="122"/>
      <c r="B42" s="123"/>
      <c r="C42" s="124"/>
      <c r="D42" s="104" t="str">
        <f t="shared" si="9"/>
        <v/>
      </c>
      <c r="E42" s="123"/>
      <c r="F42" s="104" t="str">
        <f t="shared" si="10"/>
        <v/>
      </c>
      <c r="G42" s="123"/>
      <c r="H42" s="104" t="str">
        <f t="shared" si="11"/>
        <v/>
      </c>
      <c r="I42" s="123"/>
      <c r="J42" s="104" t="str">
        <f t="shared" si="12"/>
        <v/>
      </c>
      <c r="K42" s="123"/>
      <c r="L42" s="104" t="str">
        <f t="shared" si="13"/>
        <v/>
      </c>
      <c r="M42" s="123"/>
      <c r="N42" s="104" t="str">
        <f t="shared" si="14"/>
        <v/>
      </c>
      <c r="O42" s="110" t="str">
        <f t="shared" si="15"/>
        <v/>
      </c>
      <c r="P42" s="104" t="str">
        <f t="shared" si="16"/>
        <v/>
      </c>
      <c r="Q42" s="111" t="str">
        <f t="shared" si="17"/>
        <v/>
      </c>
      <c r="R42" s="16"/>
      <c r="S42" s="16"/>
      <c r="T42" s="16"/>
      <c r="U42" s="16"/>
      <c r="V42" s="16"/>
      <c r="W42" s="16"/>
    </row>
    <row r="43" spans="1:23" x14ac:dyDescent="0.35">
      <c r="A43" s="122"/>
      <c r="B43" s="123"/>
      <c r="C43" s="124"/>
      <c r="D43" s="104" t="str">
        <f t="shared" si="9"/>
        <v/>
      </c>
      <c r="E43" s="123"/>
      <c r="F43" s="104" t="str">
        <f t="shared" si="10"/>
        <v/>
      </c>
      <c r="G43" s="123"/>
      <c r="H43" s="104" t="str">
        <f t="shared" si="11"/>
        <v/>
      </c>
      <c r="I43" s="123"/>
      <c r="J43" s="104" t="str">
        <f t="shared" si="12"/>
        <v/>
      </c>
      <c r="K43" s="123"/>
      <c r="L43" s="104" t="str">
        <f t="shared" si="13"/>
        <v/>
      </c>
      <c r="M43" s="123"/>
      <c r="N43" s="104" t="str">
        <f t="shared" si="14"/>
        <v/>
      </c>
      <c r="O43" s="110" t="str">
        <f t="shared" si="15"/>
        <v/>
      </c>
      <c r="P43" s="104" t="str">
        <f t="shared" si="16"/>
        <v/>
      </c>
      <c r="Q43" s="111" t="str">
        <f t="shared" si="17"/>
        <v/>
      </c>
      <c r="R43" s="16"/>
      <c r="S43" s="16"/>
      <c r="T43" s="16"/>
      <c r="U43" s="16"/>
      <c r="V43" s="16"/>
      <c r="W43" s="16"/>
    </row>
    <row r="44" spans="1:23" x14ac:dyDescent="0.35">
      <c r="A44" s="122"/>
      <c r="B44" s="123"/>
      <c r="C44" s="124"/>
      <c r="D44" s="104" t="str">
        <f t="shared" si="9"/>
        <v/>
      </c>
      <c r="E44" s="123"/>
      <c r="F44" s="104" t="str">
        <f t="shared" si="10"/>
        <v/>
      </c>
      <c r="G44" s="123"/>
      <c r="H44" s="104" t="str">
        <f t="shared" si="11"/>
        <v/>
      </c>
      <c r="I44" s="123"/>
      <c r="J44" s="104" t="str">
        <f t="shared" si="12"/>
        <v/>
      </c>
      <c r="K44" s="123"/>
      <c r="L44" s="104" t="str">
        <f t="shared" si="13"/>
        <v/>
      </c>
      <c r="M44" s="123"/>
      <c r="N44" s="104" t="str">
        <f t="shared" si="14"/>
        <v/>
      </c>
      <c r="O44" s="110" t="str">
        <f t="shared" si="15"/>
        <v/>
      </c>
      <c r="P44" s="104" t="str">
        <f t="shared" si="16"/>
        <v/>
      </c>
      <c r="Q44" s="111" t="str">
        <f t="shared" si="17"/>
        <v/>
      </c>
      <c r="R44" s="16"/>
      <c r="S44" s="16"/>
      <c r="T44" s="16"/>
      <c r="U44" s="16"/>
      <c r="V44" s="16"/>
      <c r="W44" s="16"/>
    </row>
    <row r="45" spans="1:23" x14ac:dyDescent="0.35">
      <c r="A45" s="122"/>
      <c r="B45" s="123"/>
      <c r="C45" s="124"/>
      <c r="D45" s="104" t="str">
        <f t="shared" si="9"/>
        <v/>
      </c>
      <c r="E45" s="123"/>
      <c r="F45" s="104" t="str">
        <f t="shared" si="10"/>
        <v/>
      </c>
      <c r="G45" s="123"/>
      <c r="H45" s="104" t="str">
        <f t="shared" si="11"/>
        <v/>
      </c>
      <c r="I45" s="123"/>
      <c r="J45" s="104" t="str">
        <f t="shared" si="12"/>
        <v/>
      </c>
      <c r="K45" s="123"/>
      <c r="L45" s="104" t="str">
        <f t="shared" si="13"/>
        <v/>
      </c>
      <c r="M45" s="123"/>
      <c r="N45" s="104" t="str">
        <f t="shared" si="14"/>
        <v/>
      </c>
      <c r="O45" s="110" t="str">
        <f t="shared" si="15"/>
        <v/>
      </c>
      <c r="P45" s="104" t="str">
        <f t="shared" si="16"/>
        <v/>
      </c>
      <c r="Q45" s="111" t="str">
        <f t="shared" si="17"/>
        <v/>
      </c>
      <c r="R45" s="16"/>
      <c r="S45" s="16"/>
      <c r="T45" s="16"/>
      <c r="U45" s="16"/>
      <c r="V45" s="16"/>
      <c r="W45" s="16"/>
    </row>
    <row r="46" spans="1:23" x14ac:dyDescent="0.35">
      <c r="A46" s="122"/>
      <c r="B46" s="123"/>
      <c r="C46" s="124"/>
      <c r="D46" s="104" t="str">
        <f t="shared" si="9"/>
        <v/>
      </c>
      <c r="E46" s="123"/>
      <c r="F46" s="104" t="str">
        <f t="shared" si="10"/>
        <v/>
      </c>
      <c r="G46" s="123"/>
      <c r="H46" s="104" t="str">
        <f t="shared" si="11"/>
        <v/>
      </c>
      <c r="I46" s="123"/>
      <c r="J46" s="104" t="str">
        <f t="shared" si="12"/>
        <v/>
      </c>
      <c r="K46" s="123"/>
      <c r="L46" s="104" t="str">
        <f t="shared" si="13"/>
        <v/>
      </c>
      <c r="M46" s="123"/>
      <c r="N46" s="104" t="str">
        <f t="shared" si="14"/>
        <v/>
      </c>
      <c r="O46" s="110" t="str">
        <f t="shared" si="15"/>
        <v/>
      </c>
      <c r="P46" s="104" t="str">
        <f t="shared" si="16"/>
        <v/>
      </c>
      <c r="Q46" s="111" t="str">
        <f t="shared" si="17"/>
        <v/>
      </c>
      <c r="R46" s="16"/>
      <c r="S46" s="16"/>
      <c r="T46" s="16"/>
      <c r="U46" s="16"/>
      <c r="V46" s="16"/>
      <c r="W46" s="16"/>
    </row>
    <row r="47" spans="1:23" x14ac:dyDescent="0.35">
      <c r="A47" s="122"/>
      <c r="B47" s="123"/>
      <c r="C47" s="124"/>
      <c r="D47" s="104" t="str">
        <f t="shared" si="9"/>
        <v/>
      </c>
      <c r="E47" s="123"/>
      <c r="F47" s="104" t="str">
        <f t="shared" si="10"/>
        <v/>
      </c>
      <c r="G47" s="123"/>
      <c r="H47" s="104" t="str">
        <f t="shared" si="11"/>
        <v/>
      </c>
      <c r="I47" s="123"/>
      <c r="J47" s="104" t="str">
        <f t="shared" si="12"/>
        <v/>
      </c>
      <c r="K47" s="123"/>
      <c r="L47" s="104" t="str">
        <f t="shared" si="13"/>
        <v/>
      </c>
      <c r="M47" s="123"/>
      <c r="N47" s="104" t="str">
        <f t="shared" si="14"/>
        <v/>
      </c>
      <c r="O47" s="110" t="str">
        <f t="shared" si="15"/>
        <v/>
      </c>
      <c r="P47" s="104" t="str">
        <f t="shared" si="16"/>
        <v/>
      </c>
      <c r="Q47" s="111" t="str">
        <f t="shared" si="17"/>
        <v/>
      </c>
      <c r="R47" s="16"/>
      <c r="S47" s="16"/>
      <c r="T47" s="16"/>
      <c r="U47" s="16"/>
      <c r="V47" s="16"/>
      <c r="W47" s="16"/>
    </row>
    <row r="48" spans="1:23" x14ac:dyDescent="0.35">
      <c r="A48" s="122"/>
      <c r="B48" s="123"/>
      <c r="C48" s="124"/>
      <c r="D48" s="104" t="str">
        <f t="shared" si="9"/>
        <v/>
      </c>
      <c r="E48" s="123"/>
      <c r="F48" s="104" t="str">
        <f t="shared" si="10"/>
        <v/>
      </c>
      <c r="G48" s="123"/>
      <c r="H48" s="104" t="str">
        <f t="shared" si="11"/>
        <v/>
      </c>
      <c r="I48" s="123"/>
      <c r="J48" s="104" t="str">
        <f t="shared" si="12"/>
        <v/>
      </c>
      <c r="K48" s="123"/>
      <c r="L48" s="104" t="str">
        <f t="shared" si="13"/>
        <v/>
      </c>
      <c r="M48" s="123"/>
      <c r="N48" s="104" t="str">
        <f t="shared" si="14"/>
        <v/>
      </c>
      <c r="O48" s="110" t="str">
        <f t="shared" si="15"/>
        <v/>
      </c>
      <c r="P48" s="104" t="str">
        <f t="shared" si="16"/>
        <v/>
      </c>
      <c r="Q48" s="111" t="str">
        <f t="shared" si="17"/>
        <v/>
      </c>
      <c r="R48" s="16"/>
      <c r="S48" s="16"/>
      <c r="T48" s="16"/>
      <c r="U48" s="16"/>
      <c r="V48" s="16"/>
      <c r="W48" s="16"/>
    </row>
    <row r="49" spans="1:23" x14ac:dyDescent="0.35">
      <c r="A49" s="122"/>
      <c r="B49" s="123"/>
      <c r="C49" s="124"/>
      <c r="D49" s="104" t="str">
        <f t="shared" si="9"/>
        <v/>
      </c>
      <c r="E49" s="123"/>
      <c r="F49" s="104" t="str">
        <f t="shared" si="10"/>
        <v/>
      </c>
      <c r="G49" s="123"/>
      <c r="H49" s="104" t="str">
        <f t="shared" si="11"/>
        <v/>
      </c>
      <c r="I49" s="123"/>
      <c r="J49" s="104" t="str">
        <f t="shared" si="12"/>
        <v/>
      </c>
      <c r="K49" s="123"/>
      <c r="L49" s="104" t="str">
        <f t="shared" si="13"/>
        <v/>
      </c>
      <c r="M49" s="123"/>
      <c r="N49" s="104" t="str">
        <f t="shared" si="14"/>
        <v/>
      </c>
      <c r="O49" s="110" t="str">
        <f t="shared" si="15"/>
        <v/>
      </c>
      <c r="P49" s="104" t="str">
        <f t="shared" si="16"/>
        <v/>
      </c>
      <c r="Q49" s="111" t="str">
        <f t="shared" si="17"/>
        <v/>
      </c>
      <c r="R49" s="16"/>
      <c r="S49" s="16"/>
      <c r="T49" s="16"/>
      <c r="U49" s="16"/>
      <c r="V49" s="16"/>
      <c r="W49" s="16"/>
    </row>
    <row r="50" spans="1:23" x14ac:dyDescent="0.35">
      <c r="A50" s="122"/>
      <c r="B50" s="123"/>
      <c r="C50" s="124"/>
      <c r="D50" s="104" t="str">
        <f t="shared" si="9"/>
        <v/>
      </c>
      <c r="E50" s="123"/>
      <c r="F50" s="104" t="str">
        <f t="shared" si="10"/>
        <v/>
      </c>
      <c r="G50" s="123"/>
      <c r="H50" s="104" t="str">
        <f t="shared" si="11"/>
        <v/>
      </c>
      <c r="I50" s="123"/>
      <c r="J50" s="104" t="str">
        <f t="shared" si="12"/>
        <v/>
      </c>
      <c r="K50" s="123"/>
      <c r="L50" s="104" t="str">
        <f t="shared" si="13"/>
        <v/>
      </c>
      <c r="M50" s="123"/>
      <c r="N50" s="104" t="str">
        <f t="shared" si="14"/>
        <v/>
      </c>
      <c r="O50" s="110" t="str">
        <f t="shared" si="15"/>
        <v/>
      </c>
      <c r="P50" s="104" t="str">
        <f t="shared" si="16"/>
        <v/>
      </c>
      <c r="Q50" s="111" t="str">
        <f t="shared" si="17"/>
        <v/>
      </c>
      <c r="R50" s="16"/>
      <c r="S50" s="16"/>
      <c r="T50" s="16"/>
      <c r="U50" s="16"/>
      <c r="V50" s="16"/>
      <c r="W50" s="16"/>
    </row>
    <row r="51" spans="1:23" x14ac:dyDescent="0.35">
      <c r="A51" s="122"/>
      <c r="B51" s="123"/>
      <c r="C51" s="124"/>
      <c r="D51" s="104" t="str">
        <f t="shared" si="9"/>
        <v/>
      </c>
      <c r="E51" s="123"/>
      <c r="F51" s="104" t="str">
        <f t="shared" si="10"/>
        <v/>
      </c>
      <c r="G51" s="123"/>
      <c r="H51" s="104" t="str">
        <f t="shared" si="11"/>
        <v/>
      </c>
      <c r="I51" s="123"/>
      <c r="J51" s="104" t="str">
        <f t="shared" si="12"/>
        <v/>
      </c>
      <c r="K51" s="123"/>
      <c r="L51" s="104" t="str">
        <f t="shared" si="13"/>
        <v/>
      </c>
      <c r="M51" s="123"/>
      <c r="N51" s="104" t="str">
        <f t="shared" si="14"/>
        <v/>
      </c>
      <c r="O51" s="110" t="str">
        <f t="shared" si="15"/>
        <v/>
      </c>
      <c r="P51" s="104" t="str">
        <f t="shared" si="16"/>
        <v/>
      </c>
      <c r="Q51" s="111" t="str">
        <f t="shared" si="17"/>
        <v/>
      </c>
      <c r="R51" s="16"/>
      <c r="S51" s="16"/>
      <c r="T51" s="16"/>
      <c r="U51" s="16"/>
      <c r="V51" s="16"/>
      <c r="W51" s="16"/>
    </row>
    <row r="52" spans="1:23" x14ac:dyDescent="0.35">
      <c r="A52" s="122"/>
      <c r="B52" s="123"/>
      <c r="C52" s="124"/>
      <c r="D52" s="104" t="str">
        <f t="shared" si="9"/>
        <v/>
      </c>
      <c r="E52" s="123"/>
      <c r="F52" s="104" t="str">
        <f t="shared" si="10"/>
        <v/>
      </c>
      <c r="G52" s="123"/>
      <c r="H52" s="104" t="str">
        <f t="shared" si="11"/>
        <v/>
      </c>
      <c r="I52" s="123"/>
      <c r="J52" s="104" t="str">
        <f t="shared" si="12"/>
        <v/>
      </c>
      <c r="K52" s="123"/>
      <c r="L52" s="104" t="str">
        <f t="shared" si="13"/>
        <v/>
      </c>
      <c r="M52" s="123"/>
      <c r="N52" s="104" t="str">
        <f t="shared" si="14"/>
        <v/>
      </c>
      <c r="O52" s="110" t="str">
        <f t="shared" si="15"/>
        <v/>
      </c>
      <c r="P52" s="104" t="str">
        <f t="shared" si="16"/>
        <v/>
      </c>
      <c r="Q52" s="111" t="str">
        <f t="shared" si="17"/>
        <v/>
      </c>
      <c r="R52" s="16"/>
      <c r="S52" s="16"/>
      <c r="T52" s="16"/>
      <c r="U52" s="16"/>
      <c r="V52" s="16"/>
      <c r="W52" s="16"/>
    </row>
    <row r="53" spans="1:23" x14ac:dyDescent="0.35">
      <c r="A53" s="122"/>
      <c r="B53" s="123"/>
      <c r="C53" s="124"/>
      <c r="D53" s="104" t="str">
        <f t="shared" si="9"/>
        <v/>
      </c>
      <c r="E53" s="123"/>
      <c r="F53" s="104" t="str">
        <f t="shared" si="10"/>
        <v/>
      </c>
      <c r="G53" s="123"/>
      <c r="H53" s="104" t="str">
        <f t="shared" si="11"/>
        <v/>
      </c>
      <c r="I53" s="123"/>
      <c r="J53" s="104" t="str">
        <f t="shared" si="12"/>
        <v/>
      </c>
      <c r="K53" s="123"/>
      <c r="L53" s="104" t="str">
        <f t="shared" si="13"/>
        <v/>
      </c>
      <c r="M53" s="123"/>
      <c r="N53" s="104" t="str">
        <f t="shared" si="14"/>
        <v/>
      </c>
      <c r="O53" s="110" t="str">
        <f t="shared" si="15"/>
        <v/>
      </c>
      <c r="P53" s="104" t="str">
        <f t="shared" si="16"/>
        <v/>
      </c>
      <c r="Q53" s="111" t="str">
        <f t="shared" si="17"/>
        <v/>
      </c>
      <c r="R53" s="16"/>
      <c r="S53" s="16"/>
      <c r="T53" s="16"/>
      <c r="U53" s="16"/>
      <c r="V53" s="16"/>
      <c r="W53" s="16"/>
    </row>
    <row r="54" spans="1:23" x14ac:dyDescent="0.35">
      <c r="A54" s="122"/>
      <c r="B54" s="123"/>
      <c r="C54" s="124"/>
      <c r="D54" s="104" t="str">
        <f t="shared" si="9"/>
        <v/>
      </c>
      <c r="E54" s="123"/>
      <c r="F54" s="104" t="str">
        <f t="shared" si="10"/>
        <v/>
      </c>
      <c r="G54" s="123"/>
      <c r="H54" s="104" t="str">
        <f t="shared" si="11"/>
        <v/>
      </c>
      <c r="I54" s="123"/>
      <c r="J54" s="104" t="str">
        <f t="shared" si="12"/>
        <v/>
      </c>
      <c r="K54" s="123"/>
      <c r="L54" s="104" t="str">
        <f t="shared" si="13"/>
        <v/>
      </c>
      <c r="M54" s="123"/>
      <c r="N54" s="104" t="str">
        <f t="shared" si="14"/>
        <v/>
      </c>
      <c r="O54" s="110" t="str">
        <f t="shared" si="15"/>
        <v/>
      </c>
      <c r="P54" s="104" t="str">
        <f t="shared" si="16"/>
        <v/>
      </c>
      <c r="Q54" s="111" t="str">
        <f t="shared" si="17"/>
        <v/>
      </c>
      <c r="R54" s="16"/>
      <c r="S54" s="16"/>
      <c r="T54" s="16"/>
      <c r="U54" s="16"/>
      <c r="V54" s="16"/>
      <c r="W54" s="16"/>
    </row>
    <row r="55" spans="1:23" x14ac:dyDescent="0.35">
      <c r="A55" s="122"/>
      <c r="B55" s="123"/>
      <c r="C55" s="124"/>
      <c r="D55" s="104" t="str">
        <f t="shared" si="9"/>
        <v/>
      </c>
      <c r="E55" s="123"/>
      <c r="F55" s="104" t="str">
        <f t="shared" si="10"/>
        <v/>
      </c>
      <c r="G55" s="123"/>
      <c r="H55" s="104" t="str">
        <f t="shared" si="11"/>
        <v/>
      </c>
      <c r="I55" s="123"/>
      <c r="J55" s="104" t="str">
        <f t="shared" si="12"/>
        <v/>
      </c>
      <c r="K55" s="123"/>
      <c r="L55" s="104" t="str">
        <f t="shared" si="13"/>
        <v/>
      </c>
      <c r="M55" s="123"/>
      <c r="N55" s="104" t="str">
        <f t="shared" si="14"/>
        <v/>
      </c>
      <c r="O55" s="110" t="str">
        <f t="shared" si="15"/>
        <v/>
      </c>
      <c r="P55" s="104" t="str">
        <f t="shared" si="16"/>
        <v/>
      </c>
      <c r="Q55" s="111" t="str">
        <f t="shared" si="17"/>
        <v/>
      </c>
      <c r="R55" s="16"/>
      <c r="S55" s="16"/>
      <c r="T55" s="16"/>
      <c r="U55" s="16"/>
      <c r="V55" s="16"/>
      <c r="W55" s="16"/>
    </row>
    <row r="56" spans="1:23" x14ac:dyDescent="0.35">
      <c r="A56" s="122"/>
      <c r="B56" s="123"/>
      <c r="C56" s="124"/>
      <c r="D56" s="104" t="str">
        <f t="shared" si="9"/>
        <v/>
      </c>
      <c r="E56" s="123"/>
      <c r="F56" s="104" t="str">
        <f t="shared" si="10"/>
        <v/>
      </c>
      <c r="G56" s="123"/>
      <c r="H56" s="104" t="str">
        <f t="shared" si="11"/>
        <v/>
      </c>
      <c r="I56" s="123"/>
      <c r="J56" s="104" t="str">
        <f t="shared" si="12"/>
        <v/>
      </c>
      <c r="K56" s="123"/>
      <c r="L56" s="104" t="str">
        <f t="shared" si="13"/>
        <v/>
      </c>
      <c r="M56" s="123"/>
      <c r="N56" s="104" t="str">
        <f t="shared" si="14"/>
        <v/>
      </c>
      <c r="O56" s="110" t="str">
        <f t="shared" si="15"/>
        <v/>
      </c>
      <c r="P56" s="104" t="str">
        <f t="shared" si="16"/>
        <v/>
      </c>
      <c r="Q56" s="111" t="str">
        <f t="shared" si="17"/>
        <v/>
      </c>
      <c r="R56" s="16"/>
      <c r="S56" s="16"/>
      <c r="T56" s="16"/>
      <c r="U56" s="16"/>
      <c r="V56" s="16"/>
      <c r="W56" s="16"/>
    </row>
    <row r="57" spans="1:23" x14ac:dyDescent="0.35">
      <c r="A57" s="122"/>
      <c r="B57" s="123"/>
      <c r="C57" s="124"/>
      <c r="D57" s="104" t="str">
        <f t="shared" si="9"/>
        <v/>
      </c>
      <c r="E57" s="123"/>
      <c r="F57" s="104" t="str">
        <f t="shared" si="10"/>
        <v/>
      </c>
      <c r="G57" s="123"/>
      <c r="H57" s="104" t="str">
        <f t="shared" si="11"/>
        <v/>
      </c>
      <c r="I57" s="123"/>
      <c r="J57" s="104" t="str">
        <f t="shared" si="12"/>
        <v/>
      </c>
      <c r="K57" s="123"/>
      <c r="L57" s="104" t="str">
        <f t="shared" si="13"/>
        <v/>
      </c>
      <c r="M57" s="123"/>
      <c r="N57" s="104" t="str">
        <f t="shared" si="14"/>
        <v/>
      </c>
      <c r="O57" s="110" t="str">
        <f t="shared" si="15"/>
        <v/>
      </c>
      <c r="P57" s="104" t="str">
        <f t="shared" si="16"/>
        <v/>
      </c>
      <c r="Q57" s="111" t="str">
        <f t="shared" si="17"/>
        <v/>
      </c>
      <c r="R57" s="16"/>
      <c r="S57" s="16"/>
      <c r="T57" s="16"/>
      <c r="U57" s="16"/>
      <c r="V57" s="16"/>
      <c r="W57" s="16"/>
    </row>
    <row r="58" spans="1:23" x14ac:dyDescent="0.35">
      <c r="A58" s="122"/>
      <c r="B58" s="123"/>
      <c r="C58" s="124"/>
      <c r="D58" s="104" t="str">
        <f t="shared" si="9"/>
        <v/>
      </c>
      <c r="E58" s="123"/>
      <c r="F58" s="104" t="str">
        <f t="shared" si="10"/>
        <v/>
      </c>
      <c r="G58" s="123"/>
      <c r="H58" s="104" t="str">
        <f t="shared" si="11"/>
        <v/>
      </c>
      <c r="I58" s="123"/>
      <c r="J58" s="104" t="str">
        <f t="shared" si="12"/>
        <v/>
      </c>
      <c r="K58" s="123"/>
      <c r="L58" s="104" t="str">
        <f t="shared" si="13"/>
        <v/>
      </c>
      <c r="M58" s="123"/>
      <c r="N58" s="104" t="str">
        <f t="shared" si="14"/>
        <v/>
      </c>
      <c r="O58" s="110" t="str">
        <f t="shared" si="15"/>
        <v/>
      </c>
      <c r="P58" s="104" t="str">
        <f t="shared" si="16"/>
        <v/>
      </c>
      <c r="Q58" s="111" t="str">
        <f t="shared" si="17"/>
        <v/>
      </c>
      <c r="R58" s="16"/>
      <c r="S58" s="16"/>
      <c r="T58" s="16"/>
      <c r="U58" s="16"/>
      <c r="V58" s="16"/>
      <c r="W58" s="16"/>
    </row>
    <row r="59" spans="1:23" x14ac:dyDescent="0.35">
      <c r="A59" s="122"/>
      <c r="B59" s="123"/>
      <c r="C59" s="124"/>
      <c r="D59" s="104" t="str">
        <f t="shared" si="9"/>
        <v/>
      </c>
      <c r="E59" s="123"/>
      <c r="F59" s="104" t="str">
        <f t="shared" si="10"/>
        <v/>
      </c>
      <c r="G59" s="123"/>
      <c r="H59" s="104" t="str">
        <f t="shared" si="11"/>
        <v/>
      </c>
      <c r="I59" s="123"/>
      <c r="J59" s="104" t="str">
        <f t="shared" si="12"/>
        <v/>
      </c>
      <c r="K59" s="123"/>
      <c r="L59" s="104" t="str">
        <f t="shared" si="13"/>
        <v/>
      </c>
      <c r="M59" s="123"/>
      <c r="N59" s="104" t="str">
        <f t="shared" si="14"/>
        <v/>
      </c>
      <c r="O59" s="110" t="str">
        <f t="shared" si="15"/>
        <v/>
      </c>
      <c r="P59" s="104" t="str">
        <f t="shared" si="16"/>
        <v/>
      </c>
      <c r="Q59" s="111" t="str">
        <f t="shared" si="17"/>
        <v/>
      </c>
      <c r="R59" s="16"/>
      <c r="S59" s="16"/>
      <c r="T59" s="16"/>
      <c r="U59" s="16"/>
      <c r="V59" s="16"/>
      <c r="W59" s="16"/>
    </row>
    <row r="60" spans="1:23" x14ac:dyDescent="0.35">
      <c r="A60" s="122"/>
      <c r="B60" s="123"/>
      <c r="C60" s="124"/>
      <c r="D60" s="104" t="str">
        <f t="shared" si="9"/>
        <v/>
      </c>
      <c r="E60" s="123"/>
      <c r="F60" s="104" t="str">
        <f t="shared" si="10"/>
        <v/>
      </c>
      <c r="G60" s="123"/>
      <c r="H60" s="104" t="str">
        <f t="shared" si="11"/>
        <v/>
      </c>
      <c r="I60" s="123"/>
      <c r="J60" s="104" t="str">
        <f t="shared" si="12"/>
        <v/>
      </c>
      <c r="K60" s="123"/>
      <c r="L60" s="104" t="str">
        <f t="shared" si="13"/>
        <v/>
      </c>
      <c r="M60" s="123"/>
      <c r="N60" s="104" t="str">
        <f t="shared" si="14"/>
        <v/>
      </c>
      <c r="O60" s="110" t="str">
        <f t="shared" si="15"/>
        <v/>
      </c>
      <c r="P60" s="104" t="str">
        <f t="shared" si="16"/>
        <v/>
      </c>
      <c r="Q60" s="111" t="str">
        <f t="shared" si="17"/>
        <v/>
      </c>
      <c r="R60" s="16"/>
      <c r="S60" s="16"/>
      <c r="T60" s="16"/>
      <c r="U60" s="16"/>
      <c r="V60" s="16"/>
      <c r="W60" s="16"/>
    </row>
    <row r="61" spans="1:23" x14ac:dyDescent="0.35">
      <c r="A61" s="122"/>
      <c r="B61" s="123"/>
      <c r="C61" s="124"/>
      <c r="D61" s="104" t="str">
        <f t="shared" si="9"/>
        <v/>
      </c>
      <c r="E61" s="123"/>
      <c r="F61" s="104" t="str">
        <f t="shared" si="10"/>
        <v/>
      </c>
      <c r="G61" s="123"/>
      <c r="H61" s="104" t="str">
        <f t="shared" si="11"/>
        <v/>
      </c>
      <c r="I61" s="123"/>
      <c r="J61" s="104" t="str">
        <f t="shared" si="12"/>
        <v/>
      </c>
      <c r="K61" s="123"/>
      <c r="L61" s="104" t="str">
        <f t="shared" si="13"/>
        <v/>
      </c>
      <c r="M61" s="123"/>
      <c r="N61" s="104" t="str">
        <f t="shared" si="14"/>
        <v/>
      </c>
      <c r="O61" s="110" t="str">
        <f t="shared" si="15"/>
        <v/>
      </c>
      <c r="P61" s="104" t="str">
        <f t="shared" si="16"/>
        <v/>
      </c>
      <c r="Q61" s="111" t="str">
        <f t="shared" si="17"/>
        <v/>
      </c>
      <c r="R61" s="16"/>
      <c r="S61" s="16"/>
      <c r="T61" s="16"/>
      <c r="U61" s="16"/>
      <c r="V61" s="16"/>
      <c r="W61" s="16"/>
    </row>
    <row r="62" spans="1:23" x14ac:dyDescent="0.35">
      <c r="A62" s="122"/>
      <c r="B62" s="123"/>
      <c r="C62" s="124"/>
      <c r="D62" s="104" t="str">
        <f t="shared" si="9"/>
        <v/>
      </c>
      <c r="E62" s="123"/>
      <c r="F62" s="104" t="str">
        <f t="shared" si="10"/>
        <v/>
      </c>
      <c r="G62" s="123"/>
      <c r="H62" s="104" t="str">
        <f t="shared" si="11"/>
        <v/>
      </c>
      <c r="I62" s="123"/>
      <c r="J62" s="104" t="str">
        <f t="shared" si="12"/>
        <v/>
      </c>
      <c r="K62" s="123"/>
      <c r="L62" s="104" t="str">
        <f t="shared" si="13"/>
        <v/>
      </c>
      <c r="M62" s="123"/>
      <c r="N62" s="104" t="str">
        <f t="shared" si="14"/>
        <v/>
      </c>
      <c r="O62" s="110" t="str">
        <f t="shared" si="15"/>
        <v/>
      </c>
      <c r="P62" s="104" t="str">
        <f t="shared" si="16"/>
        <v/>
      </c>
      <c r="Q62" s="111" t="str">
        <f t="shared" si="17"/>
        <v/>
      </c>
      <c r="R62" s="16"/>
      <c r="S62" s="16"/>
      <c r="T62" s="16"/>
      <c r="U62" s="16"/>
      <c r="V62" s="16"/>
      <c r="W62" s="16"/>
    </row>
    <row r="63" spans="1:23" x14ac:dyDescent="0.35">
      <c r="A63" s="122"/>
      <c r="B63" s="123"/>
      <c r="C63" s="124"/>
      <c r="D63" s="104" t="str">
        <f t="shared" si="9"/>
        <v/>
      </c>
      <c r="E63" s="123"/>
      <c r="F63" s="104" t="str">
        <f t="shared" si="10"/>
        <v/>
      </c>
      <c r="G63" s="123"/>
      <c r="H63" s="104" t="str">
        <f t="shared" si="11"/>
        <v/>
      </c>
      <c r="I63" s="123"/>
      <c r="J63" s="104" t="str">
        <f t="shared" si="12"/>
        <v/>
      </c>
      <c r="K63" s="123"/>
      <c r="L63" s="104" t="str">
        <f t="shared" si="13"/>
        <v/>
      </c>
      <c r="M63" s="123"/>
      <c r="N63" s="104" t="str">
        <f t="shared" si="14"/>
        <v/>
      </c>
      <c r="O63" s="110" t="str">
        <f t="shared" si="15"/>
        <v/>
      </c>
      <c r="P63" s="104" t="str">
        <f t="shared" si="16"/>
        <v/>
      </c>
      <c r="Q63" s="111" t="str">
        <f t="shared" si="17"/>
        <v/>
      </c>
      <c r="R63" s="16"/>
      <c r="S63" s="16"/>
      <c r="T63" s="16"/>
      <c r="U63" s="16"/>
      <c r="V63" s="16"/>
      <c r="W63" s="16"/>
    </row>
    <row r="64" spans="1:23" x14ac:dyDescent="0.35">
      <c r="A64" s="122"/>
      <c r="B64" s="123"/>
      <c r="C64" s="124"/>
      <c r="D64" s="104" t="str">
        <f t="shared" si="9"/>
        <v/>
      </c>
      <c r="E64" s="123"/>
      <c r="F64" s="104" t="str">
        <f t="shared" si="10"/>
        <v/>
      </c>
      <c r="G64" s="123"/>
      <c r="H64" s="104" t="str">
        <f t="shared" si="11"/>
        <v/>
      </c>
      <c r="I64" s="123"/>
      <c r="J64" s="104" t="str">
        <f t="shared" si="12"/>
        <v/>
      </c>
      <c r="K64" s="123"/>
      <c r="L64" s="104" t="str">
        <f t="shared" si="13"/>
        <v/>
      </c>
      <c r="M64" s="123"/>
      <c r="N64" s="104" t="str">
        <f t="shared" si="14"/>
        <v/>
      </c>
      <c r="O64" s="110" t="str">
        <f t="shared" si="15"/>
        <v/>
      </c>
      <c r="P64" s="104" t="str">
        <f t="shared" si="16"/>
        <v/>
      </c>
      <c r="Q64" s="111" t="str">
        <f t="shared" si="17"/>
        <v/>
      </c>
      <c r="R64" s="16"/>
      <c r="S64" s="16"/>
      <c r="T64" s="16"/>
      <c r="U64" s="16"/>
      <c r="V64" s="16"/>
      <c r="W64" s="16"/>
    </row>
    <row r="65" spans="1:23" x14ac:dyDescent="0.35">
      <c r="A65" s="122"/>
      <c r="B65" s="123"/>
      <c r="C65" s="124"/>
      <c r="D65" s="104" t="str">
        <f t="shared" si="9"/>
        <v/>
      </c>
      <c r="E65" s="123"/>
      <c r="F65" s="104" t="str">
        <f t="shared" si="10"/>
        <v/>
      </c>
      <c r="G65" s="123"/>
      <c r="H65" s="104" t="str">
        <f t="shared" si="11"/>
        <v/>
      </c>
      <c r="I65" s="123"/>
      <c r="J65" s="104" t="str">
        <f t="shared" si="12"/>
        <v/>
      </c>
      <c r="K65" s="123"/>
      <c r="L65" s="104" t="str">
        <f t="shared" si="13"/>
        <v/>
      </c>
      <c r="M65" s="123"/>
      <c r="N65" s="104" t="str">
        <f t="shared" si="14"/>
        <v/>
      </c>
      <c r="O65" s="110" t="str">
        <f t="shared" si="15"/>
        <v/>
      </c>
      <c r="P65" s="104" t="str">
        <f t="shared" si="16"/>
        <v/>
      </c>
      <c r="Q65" s="111" t="str">
        <f t="shared" si="17"/>
        <v/>
      </c>
      <c r="R65" s="16"/>
      <c r="S65" s="16"/>
      <c r="T65" s="16"/>
      <c r="U65" s="16"/>
      <c r="V65" s="16"/>
      <c r="W65" s="16"/>
    </row>
    <row r="66" spans="1:23" x14ac:dyDescent="0.35">
      <c r="A66" s="122"/>
      <c r="B66" s="123"/>
      <c r="C66" s="124"/>
      <c r="D66" s="104" t="str">
        <f t="shared" ref="D66:D97" si="18">IF(OR(A66="",B66="",C66=""),"",ROUND(B66*C66,2))</f>
        <v/>
      </c>
      <c r="E66" s="123"/>
      <c r="F66" s="104" t="str">
        <f t="shared" ref="F66:F97" si="19">IF(OR(A66="",E66="",C66="",NOT(ISNUMBER($U$2))),"",ROUND(E66*C66*$U$2,2))</f>
        <v/>
      </c>
      <c r="G66" s="123"/>
      <c r="H66" s="104" t="str">
        <f t="shared" ref="H66:H97" si="20">IF(OR(A66="",G66="",C66="",NOT(ISNUMBER($U$3))),"",ROUND(G66*C66*$U$3,2))</f>
        <v/>
      </c>
      <c r="I66" s="123"/>
      <c r="J66" s="104" t="str">
        <f t="shared" ref="J66:J97" si="21">IF(OR(A66="",I66="",C66="",NOT(ISNUMBER($U$4))),"",ROUND(I66*C66*$U$4,2))</f>
        <v/>
      </c>
      <c r="K66" s="123"/>
      <c r="L66" s="104" t="str">
        <f t="shared" ref="L66:L97" si="22">IF(OR(A66="",K66="",C66="",NOT(ISNUMBER($U$5))),"",ROUND(K66*C66*$U$5,2))</f>
        <v/>
      </c>
      <c r="M66" s="123"/>
      <c r="N66" s="104" t="str">
        <f t="shared" ref="N66:N97" si="23">IF(OR(A66="",M66="",C66="",NOT(ISNUMBER($U$6))),"",ROUND(M66*C66*$U$6,2))</f>
        <v/>
      </c>
      <c r="O66" s="110" t="str">
        <f t="shared" ref="O66:O97" si="24">IF(A66="","",SUM(E66,G66,I66,K66,M66))</f>
        <v/>
      </c>
      <c r="P66" s="104" t="str">
        <f t="shared" ref="P66:P97" si="25">IF(A66="","",SUM(F66,H66,J66,L66,N66))</f>
        <v/>
      </c>
      <c r="Q66" s="111" t="str">
        <f t="shared" ref="Q66:Q97" si="26">IF(A66="","",IF(O66&gt;B66,"DIVERGENCIA: CONSUMO MAIOR QUE CONTRATADO","OK"))</f>
        <v/>
      </c>
      <c r="R66" s="16"/>
      <c r="S66" s="16"/>
      <c r="T66" s="16"/>
      <c r="U66" s="16"/>
      <c r="V66" s="16"/>
      <c r="W66" s="16"/>
    </row>
    <row r="67" spans="1:23" x14ac:dyDescent="0.35">
      <c r="A67" s="122"/>
      <c r="B67" s="123"/>
      <c r="C67" s="124"/>
      <c r="D67" s="104" t="str">
        <f t="shared" si="18"/>
        <v/>
      </c>
      <c r="E67" s="123"/>
      <c r="F67" s="104" t="str">
        <f t="shared" si="19"/>
        <v/>
      </c>
      <c r="G67" s="123"/>
      <c r="H67" s="104" t="str">
        <f t="shared" si="20"/>
        <v/>
      </c>
      <c r="I67" s="123"/>
      <c r="J67" s="104" t="str">
        <f t="shared" si="21"/>
        <v/>
      </c>
      <c r="K67" s="123"/>
      <c r="L67" s="104" t="str">
        <f t="shared" si="22"/>
        <v/>
      </c>
      <c r="M67" s="123"/>
      <c r="N67" s="104" t="str">
        <f t="shared" si="23"/>
        <v/>
      </c>
      <c r="O67" s="110" t="str">
        <f t="shared" si="24"/>
        <v/>
      </c>
      <c r="P67" s="104" t="str">
        <f t="shared" si="25"/>
        <v/>
      </c>
      <c r="Q67" s="111" t="str">
        <f t="shared" si="26"/>
        <v/>
      </c>
      <c r="R67" s="16"/>
      <c r="S67" s="16"/>
      <c r="T67" s="16"/>
      <c r="U67" s="16"/>
      <c r="V67" s="16"/>
      <c r="W67" s="16"/>
    </row>
    <row r="68" spans="1:23" x14ac:dyDescent="0.35">
      <c r="A68" s="122"/>
      <c r="B68" s="123"/>
      <c r="C68" s="124"/>
      <c r="D68" s="104" t="str">
        <f t="shared" si="18"/>
        <v/>
      </c>
      <c r="E68" s="123"/>
      <c r="F68" s="104" t="str">
        <f t="shared" si="19"/>
        <v/>
      </c>
      <c r="G68" s="123"/>
      <c r="H68" s="104" t="str">
        <f t="shared" si="20"/>
        <v/>
      </c>
      <c r="I68" s="123"/>
      <c r="J68" s="104" t="str">
        <f t="shared" si="21"/>
        <v/>
      </c>
      <c r="K68" s="123"/>
      <c r="L68" s="104" t="str">
        <f t="shared" si="22"/>
        <v/>
      </c>
      <c r="M68" s="123"/>
      <c r="N68" s="104" t="str">
        <f t="shared" si="23"/>
        <v/>
      </c>
      <c r="O68" s="110" t="str">
        <f t="shared" si="24"/>
        <v/>
      </c>
      <c r="P68" s="104" t="str">
        <f t="shared" si="25"/>
        <v/>
      </c>
      <c r="Q68" s="111" t="str">
        <f t="shared" si="26"/>
        <v/>
      </c>
      <c r="R68" s="16"/>
      <c r="S68" s="16"/>
      <c r="T68" s="16"/>
      <c r="U68" s="16"/>
      <c r="V68" s="16"/>
      <c r="W68" s="16"/>
    </row>
    <row r="69" spans="1:23" x14ac:dyDescent="0.35">
      <c r="A69" s="122"/>
      <c r="B69" s="123"/>
      <c r="C69" s="124"/>
      <c r="D69" s="104" t="str">
        <f t="shared" si="18"/>
        <v/>
      </c>
      <c r="E69" s="123"/>
      <c r="F69" s="104" t="str">
        <f t="shared" si="19"/>
        <v/>
      </c>
      <c r="G69" s="123"/>
      <c r="H69" s="104" t="str">
        <f t="shared" si="20"/>
        <v/>
      </c>
      <c r="I69" s="123"/>
      <c r="J69" s="104" t="str">
        <f t="shared" si="21"/>
        <v/>
      </c>
      <c r="K69" s="123"/>
      <c r="L69" s="104" t="str">
        <f t="shared" si="22"/>
        <v/>
      </c>
      <c r="M69" s="123"/>
      <c r="N69" s="104" t="str">
        <f t="shared" si="23"/>
        <v/>
      </c>
      <c r="O69" s="110" t="str">
        <f t="shared" si="24"/>
        <v/>
      </c>
      <c r="P69" s="104" t="str">
        <f t="shared" si="25"/>
        <v/>
      </c>
      <c r="Q69" s="111" t="str">
        <f t="shared" si="26"/>
        <v/>
      </c>
      <c r="R69" s="16"/>
      <c r="S69" s="16"/>
      <c r="T69" s="16"/>
      <c r="U69" s="16"/>
      <c r="V69" s="16"/>
      <c r="W69" s="16"/>
    </row>
    <row r="70" spans="1:23" x14ac:dyDescent="0.35">
      <c r="A70" s="122"/>
      <c r="B70" s="123"/>
      <c r="C70" s="124"/>
      <c r="D70" s="104" t="str">
        <f t="shared" si="18"/>
        <v/>
      </c>
      <c r="E70" s="123"/>
      <c r="F70" s="104" t="str">
        <f t="shared" si="19"/>
        <v/>
      </c>
      <c r="G70" s="123"/>
      <c r="H70" s="104" t="str">
        <f t="shared" si="20"/>
        <v/>
      </c>
      <c r="I70" s="123"/>
      <c r="J70" s="104" t="str">
        <f t="shared" si="21"/>
        <v/>
      </c>
      <c r="K70" s="123"/>
      <c r="L70" s="104" t="str">
        <f t="shared" si="22"/>
        <v/>
      </c>
      <c r="M70" s="123"/>
      <c r="N70" s="104" t="str">
        <f t="shared" si="23"/>
        <v/>
      </c>
      <c r="O70" s="110" t="str">
        <f t="shared" si="24"/>
        <v/>
      </c>
      <c r="P70" s="104" t="str">
        <f t="shared" si="25"/>
        <v/>
      </c>
      <c r="Q70" s="111" t="str">
        <f t="shared" si="26"/>
        <v/>
      </c>
      <c r="R70" s="16"/>
      <c r="S70" s="16"/>
      <c r="T70" s="16"/>
      <c r="U70" s="16"/>
      <c r="V70" s="16"/>
      <c r="W70" s="16"/>
    </row>
    <row r="71" spans="1:23" x14ac:dyDescent="0.35">
      <c r="A71" s="122"/>
      <c r="B71" s="123"/>
      <c r="C71" s="124"/>
      <c r="D71" s="104" t="str">
        <f t="shared" si="18"/>
        <v/>
      </c>
      <c r="E71" s="123"/>
      <c r="F71" s="104" t="str">
        <f t="shared" si="19"/>
        <v/>
      </c>
      <c r="G71" s="123"/>
      <c r="H71" s="104" t="str">
        <f t="shared" si="20"/>
        <v/>
      </c>
      <c r="I71" s="123"/>
      <c r="J71" s="104" t="str">
        <f t="shared" si="21"/>
        <v/>
      </c>
      <c r="K71" s="123"/>
      <c r="L71" s="104" t="str">
        <f t="shared" si="22"/>
        <v/>
      </c>
      <c r="M71" s="123"/>
      <c r="N71" s="104" t="str">
        <f t="shared" si="23"/>
        <v/>
      </c>
      <c r="O71" s="110" t="str">
        <f t="shared" si="24"/>
        <v/>
      </c>
      <c r="P71" s="104" t="str">
        <f t="shared" si="25"/>
        <v/>
      </c>
      <c r="Q71" s="111" t="str">
        <f t="shared" si="26"/>
        <v/>
      </c>
      <c r="R71" s="16"/>
      <c r="S71" s="16"/>
      <c r="T71" s="16"/>
      <c r="U71" s="16"/>
      <c r="V71" s="16"/>
      <c r="W71" s="16"/>
    </row>
    <row r="72" spans="1:23" x14ac:dyDescent="0.35">
      <c r="A72" s="122"/>
      <c r="B72" s="123"/>
      <c r="C72" s="124"/>
      <c r="D72" s="104" t="str">
        <f t="shared" si="18"/>
        <v/>
      </c>
      <c r="E72" s="123"/>
      <c r="F72" s="104" t="str">
        <f t="shared" si="19"/>
        <v/>
      </c>
      <c r="G72" s="123"/>
      <c r="H72" s="104" t="str">
        <f t="shared" si="20"/>
        <v/>
      </c>
      <c r="I72" s="123"/>
      <c r="J72" s="104" t="str">
        <f t="shared" si="21"/>
        <v/>
      </c>
      <c r="K72" s="123"/>
      <c r="L72" s="104" t="str">
        <f t="shared" si="22"/>
        <v/>
      </c>
      <c r="M72" s="123"/>
      <c r="N72" s="104" t="str">
        <f t="shared" si="23"/>
        <v/>
      </c>
      <c r="O72" s="110" t="str">
        <f t="shared" si="24"/>
        <v/>
      </c>
      <c r="P72" s="104" t="str">
        <f t="shared" si="25"/>
        <v/>
      </c>
      <c r="Q72" s="111" t="str">
        <f t="shared" si="26"/>
        <v/>
      </c>
      <c r="R72" s="16"/>
      <c r="S72" s="16"/>
      <c r="T72" s="16"/>
      <c r="U72" s="16"/>
      <c r="V72" s="16"/>
      <c r="W72" s="16"/>
    </row>
    <row r="73" spans="1:23" x14ac:dyDescent="0.35">
      <c r="A73" s="122"/>
      <c r="B73" s="123"/>
      <c r="C73" s="124"/>
      <c r="D73" s="104" t="str">
        <f t="shared" si="18"/>
        <v/>
      </c>
      <c r="E73" s="123"/>
      <c r="F73" s="104" t="str">
        <f t="shared" si="19"/>
        <v/>
      </c>
      <c r="G73" s="123"/>
      <c r="H73" s="104" t="str">
        <f t="shared" si="20"/>
        <v/>
      </c>
      <c r="I73" s="123"/>
      <c r="J73" s="104" t="str">
        <f t="shared" si="21"/>
        <v/>
      </c>
      <c r="K73" s="123"/>
      <c r="L73" s="104" t="str">
        <f t="shared" si="22"/>
        <v/>
      </c>
      <c r="M73" s="123"/>
      <c r="N73" s="104" t="str">
        <f t="shared" si="23"/>
        <v/>
      </c>
      <c r="O73" s="110" t="str">
        <f t="shared" si="24"/>
        <v/>
      </c>
      <c r="P73" s="104" t="str">
        <f t="shared" si="25"/>
        <v/>
      </c>
      <c r="Q73" s="111" t="str">
        <f t="shared" si="26"/>
        <v/>
      </c>
      <c r="R73" s="16"/>
      <c r="S73" s="16"/>
      <c r="T73" s="16"/>
      <c r="U73" s="16"/>
      <c r="V73" s="16"/>
      <c r="W73" s="16"/>
    </row>
    <row r="74" spans="1:23" x14ac:dyDescent="0.35">
      <c r="A74" s="122"/>
      <c r="B74" s="123"/>
      <c r="C74" s="124"/>
      <c r="D74" s="104" t="str">
        <f t="shared" si="18"/>
        <v/>
      </c>
      <c r="E74" s="123"/>
      <c r="F74" s="104" t="str">
        <f t="shared" si="19"/>
        <v/>
      </c>
      <c r="G74" s="123"/>
      <c r="H74" s="104" t="str">
        <f t="shared" si="20"/>
        <v/>
      </c>
      <c r="I74" s="123"/>
      <c r="J74" s="104" t="str">
        <f t="shared" si="21"/>
        <v/>
      </c>
      <c r="K74" s="123"/>
      <c r="L74" s="104" t="str">
        <f t="shared" si="22"/>
        <v/>
      </c>
      <c r="M74" s="123"/>
      <c r="N74" s="104" t="str">
        <f t="shared" si="23"/>
        <v/>
      </c>
      <c r="O74" s="110" t="str">
        <f t="shared" si="24"/>
        <v/>
      </c>
      <c r="P74" s="104" t="str">
        <f t="shared" si="25"/>
        <v/>
      </c>
      <c r="Q74" s="111" t="str">
        <f t="shared" si="26"/>
        <v/>
      </c>
      <c r="R74" s="16"/>
      <c r="S74" s="16"/>
      <c r="T74" s="16"/>
      <c r="U74" s="16"/>
      <c r="V74" s="16"/>
      <c r="W74" s="16"/>
    </row>
    <row r="75" spans="1:23" x14ac:dyDescent="0.35">
      <c r="A75" s="122"/>
      <c r="B75" s="123"/>
      <c r="C75" s="124"/>
      <c r="D75" s="104" t="str">
        <f t="shared" si="18"/>
        <v/>
      </c>
      <c r="E75" s="123"/>
      <c r="F75" s="104" t="str">
        <f t="shared" si="19"/>
        <v/>
      </c>
      <c r="G75" s="123"/>
      <c r="H75" s="104" t="str">
        <f t="shared" si="20"/>
        <v/>
      </c>
      <c r="I75" s="123"/>
      <c r="J75" s="104" t="str">
        <f t="shared" si="21"/>
        <v/>
      </c>
      <c r="K75" s="123"/>
      <c r="L75" s="104" t="str">
        <f t="shared" si="22"/>
        <v/>
      </c>
      <c r="M75" s="123"/>
      <c r="N75" s="104" t="str">
        <f t="shared" si="23"/>
        <v/>
      </c>
      <c r="O75" s="110" t="str">
        <f t="shared" si="24"/>
        <v/>
      </c>
      <c r="P75" s="104" t="str">
        <f t="shared" si="25"/>
        <v/>
      </c>
      <c r="Q75" s="111" t="str">
        <f t="shared" si="26"/>
        <v/>
      </c>
      <c r="R75" s="16"/>
      <c r="S75" s="16"/>
      <c r="T75" s="16"/>
      <c r="U75" s="16"/>
      <c r="V75" s="16"/>
      <c r="W75" s="16"/>
    </row>
    <row r="76" spans="1:23" x14ac:dyDescent="0.35">
      <c r="A76" s="122"/>
      <c r="B76" s="123"/>
      <c r="C76" s="124"/>
      <c r="D76" s="104" t="str">
        <f t="shared" si="18"/>
        <v/>
      </c>
      <c r="E76" s="123"/>
      <c r="F76" s="104" t="str">
        <f t="shared" si="19"/>
        <v/>
      </c>
      <c r="G76" s="123"/>
      <c r="H76" s="104" t="str">
        <f t="shared" si="20"/>
        <v/>
      </c>
      <c r="I76" s="123"/>
      <c r="J76" s="104" t="str">
        <f t="shared" si="21"/>
        <v/>
      </c>
      <c r="K76" s="123"/>
      <c r="L76" s="104" t="str">
        <f t="shared" si="22"/>
        <v/>
      </c>
      <c r="M76" s="123"/>
      <c r="N76" s="104" t="str">
        <f t="shared" si="23"/>
        <v/>
      </c>
      <c r="O76" s="110" t="str">
        <f t="shared" si="24"/>
        <v/>
      </c>
      <c r="P76" s="104" t="str">
        <f t="shared" si="25"/>
        <v/>
      </c>
      <c r="Q76" s="111" t="str">
        <f t="shared" si="26"/>
        <v/>
      </c>
      <c r="R76" s="16"/>
      <c r="S76" s="16"/>
      <c r="T76" s="16"/>
      <c r="U76" s="16"/>
      <c r="V76" s="16"/>
      <c r="W76" s="16"/>
    </row>
    <row r="77" spans="1:23" x14ac:dyDescent="0.35">
      <c r="A77" s="122"/>
      <c r="B77" s="123"/>
      <c r="C77" s="124"/>
      <c r="D77" s="104" t="str">
        <f t="shared" si="18"/>
        <v/>
      </c>
      <c r="E77" s="123"/>
      <c r="F77" s="104" t="str">
        <f t="shared" si="19"/>
        <v/>
      </c>
      <c r="G77" s="123"/>
      <c r="H77" s="104" t="str">
        <f t="shared" si="20"/>
        <v/>
      </c>
      <c r="I77" s="123"/>
      <c r="J77" s="104" t="str">
        <f t="shared" si="21"/>
        <v/>
      </c>
      <c r="K77" s="123"/>
      <c r="L77" s="104" t="str">
        <f t="shared" si="22"/>
        <v/>
      </c>
      <c r="M77" s="123"/>
      <c r="N77" s="104" t="str">
        <f t="shared" si="23"/>
        <v/>
      </c>
      <c r="O77" s="110" t="str">
        <f t="shared" si="24"/>
        <v/>
      </c>
      <c r="P77" s="104" t="str">
        <f t="shared" si="25"/>
        <v/>
      </c>
      <c r="Q77" s="111" t="str">
        <f t="shared" si="26"/>
        <v/>
      </c>
      <c r="R77" s="16"/>
      <c r="S77" s="16"/>
      <c r="T77" s="16"/>
      <c r="U77" s="16"/>
      <c r="V77" s="16"/>
      <c r="W77" s="16"/>
    </row>
    <row r="78" spans="1:23" x14ac:dyDescent="0.35">
      <c r="A78" s="122"/>
      <c r="B78" s="123"/>
      <c r="C78" s="124"/>
      <c r="D78" s="104" t="str">
        <f t="shared" si="18"/>
        <v/>
      </c>
      <c r="E78" s="123"/>
      <c r="F78" s="104" t="str">
        <f t="shared" si="19"/>
        <v/>
      </c>
      <c r="G78" s="123"/>
      <c r="H78" s="104" t="str">
        <f t="shared" si="20"/>
        <v/>
      </c>
      <c r="I78" s="123"/>
      <c r="J78" s="104" t="str">
        <f t="shared" si="21"/>
        <v/>
      </c>
      <c r="K78" s="123"/>
      <c r="L78" s="104" t="str">
        <f t="shared" si="22"/>
        <v/>
      </c>
      <c r="M78" s="123"/>
      <c r="N78" s="104" t="str">
        <f t="shared" si="23"/>
        <v/>
      </c>
      <c r="O78" s="110" t="str">
        <f t="shared" si="24"/>
        <v/>
      </c>
      <c r="P78" s="104" t="str">
        <f t="shared" si="25"/>
        <v/>
      </c>
      <c r="Q78" s="111" t="str">
        <f t="shared" si="26"/>
        <v/>
      </c>
      <c r="R78" s="16"/>
      <c r="S78" s="16"/>
      <c r="T78" s="16"/>
      <c r="U78" s="16"/>
      <c r="V78" s="16"/>
      <c r="W78" s="16"/>
    </row>
    <row r="79" spans="1:23" x14ac:dyDescent="0.35">
      <c r="A79" s="122"/>
      <c r="B79" s="123"/>
      <c r="C79" s="124"/>
      <c r="D79" s="104" t="str">
        <f t="shared" si="18"/>
        <v/>
      </c>
      <c r="E79" s="123"/>
      <c r="F79" s="104" t="str">
        <f t="shared" si="19"/>
        <v/>
      </c>
      <c r="G79" s="123"/>
      <c r="H79" s="104" t="str">
        <f t="shared" si="20"/>
        <v/>
      </c>
      <c r="I79" s="123"/>
      <c r="J79" s="104" t="str">
        <f t="shared" si="21"/>
        <v/>
      </c>
      <c r="K79" s="123"/>
      <c r="L79" s="104" t="str">
        <f t="shared" si="22"/>
        <v/>
      </c>
      <c r="M79" s="123"/>
      <c r="N79" s="104" t="str">
        <f t="shared" si="23"/>
        <v/>
      </c>
      <c r="O79" s="110" t="str">
        <f t="shared" si="24"/>
        <v/>
      </c>
      <c r="P79" s="104" t="str">
        <f t="shared" si="25"/>
        <v/>
      </c>
      <c r="Q79" s="111" t="str">
        <f t="shared" si="26"/>
        <v/>
      </c>
      <c r="R79" s="16"/>
      <c r="S79" s="16"/>
      <c r="T79" s="16"/>
      <c r="U79" s="16"/>
      <c r="V79" s="16"/>
      <c r="W79" s="16"/>
    </row>
    <row r="80" spans="1:23" x14ac:dyDescent="0.35">
      <c r="A80" s="122"/>
      <c r="B80" s="123"/>
      <c r="C80" s="124"/>
      <c r="D80" s="104" t="str">
        <f t="shared" si="18"/>
        <v/>
      </c>
      <c r="E80" s="123"/>
      <c r="F80" s="104" t="str">
        <f t="shared" si="19"/>
        <v/>
      </c>
      <c r="G80" s="123"/>
      <c r="H80" s="104" t="str">
        <f t="shared" si="20"/>
        <v/>
      </c>
      <c r="I80" s="123"/>
      <c r="J80" s="104" t="str">
        <f t="shared" si="21"/>
        <v/>
      </c>
      <c r="K80" s="123"/>
      <c r="L80" s="104" t="str">
        <f t="shared" si="22"/>
        <v/>
      </c>
      <c r="M80" s="123"/>
      <c r="N80" s="104" t="str">
        <f t="shared" si="23"/>
        <v/>
      </c>
      <c r="O80" s="110" t="str">
        <f t="shared" si="24"/>
        <v/>
      </c>
      <c r="P80" s="104" t="str">
        <f t="shared" si="25"/>
        <v/>
      </c>
      <c r="Q80" s="111" t="str">
        <f t="shared" si="26"/>
        <v/>
      </c>
      <c r="R80" s="16"/>
      <c r="S80" s="16"/>
      <c r="T80" s="16"/>
      <c r="U80" s="16"/>
      <c r="V80" s="16"/>
      <c r="W80" s="16"/>
    </row>
    <row r="81" spans="1:23" x14ac:dyDescent="0.35">
      <c r="A81" s="122"/>
      <c r="B81" s="123"/>
      <c r="C81" s="124"/>
      <c r="D81" s="104" t="str">
        <f t="shared" si="18"/>
        <v/>
      </c>
      <c r="E81" s="123"/>
      <c r="F81" s="104" t="str">
        <f t="shared" si="19"/>
        <v/>
      </c>
      <c r="G81" s="123"/>
      <c r="H81" s="104" t="str">
        <f t="shared" si="20"/>
        <v/>
      </c>
      <c r="I81" s="123"/>
      <c r="J81" s="104" t="str">
        <f t="shared" si="21"/>
        <v/>
      </c>
      <c r="K81" s="123"/>
      <c r="L81" s="104" t="str">
        <f t="shared" si="22"/>
        <v/>
      </c>
      <c r="M81" s="123"/>
      <c r="N81" s="104" t="str">
        <f t="shared" si="23"/>
        <v/>
      </c>
      <c r="O81" s="110" t="str">
        <f t="shared" si="24"/>
        <v/>
      </c>
      <c r="P81" s="104" t="str">
        <f t="shared" si="25"/>
        <v/>
      </c>
      <c r="Q81" s="111" t="str">
        <f t="shared" si="26"/>
        <v/>
      </c>
      <c r="R81" s="16"/>
      <c r="S81" s="16"/>
      <c r="T81" s="16"/>
      <c r="U81" s="16"/>
      <c r="V81" s="16"/>
      <c r="W81" s="16"/>
    </row>
    <row r="82" spans="1:23" x14ac:dyDescent="0.35">
      <c r="A82" s="122"/>
      <c r="B82" s="123"/>
      <c r="C82" s="124"/>
      <c r="D82" s="104" t="str">
        <f t="shared" si="18"/>
        <v/>
      </c>
      <c r="E82" s="123"/>
      <c r="F82" s="104" t="str">
        <f t="shared" si="19"/>
        <v/>
      </c>
      <c r="G82" s="123"/>
      <c r="H82" s="104" t="str">
        <f t="shared" si="20"/>
        <v/>
      </c>
      <c r="I82" s="123"/>
      <c r="J82" s="104" t="str">
        <f t="shared" si="21"/>
        <v/>
      </c>
      <c r="K82" s="123"/>
      <c r="L82" s="104" t="str">
        <f t="shared" si="22"/>
        <v/>
      </c>
      <c r="M82" s="123"/>
      <c r="N82" s="104" t="str">
        <f t="shared" si="23"/>
        <v/>
      </c>
      <c r="O82" s="110" t="str">
        <f t="shared" si="24"/>
        <v/>
      </c>
      <c r="P82" s="104" t="str">
        <f t="shared" si="25"/>
        <v/>
      </c>
      <c r="Q82" s="111" t="str">
        <f t="shared" si="26"/>
        <v/>
      </c>
      <c r="R82" s="16"/>
      <c r="S82" s="16"/>
      <c r="T82" s="16"/>
      <c r="U82" s="16"/>
      <c r="V82" s="16"/>
      <c r="W82" s="16"/>
    </row>
    <row r="83" spans="1:23" x14ac:dyDescent="0.35">
      <c r="A83" s="122"/>
      <c r="B83" s="123"/>
      <c r="C83" s="124"/>
      <c r="D83" s="104" t="str">
        <f t="shared" si="18"/>
        <v/>
      </c>
      <c r="E83" s="123"/>
      <c r="F83" s="104" t="str">
        <f t="shared" si="19"/>
        <v/>
      </c>
      <c r="G83" s="123"/>
      <c r="H83" s="104" t="str">
        <f t="shared" si="20"/>
        <v/>
      </c>
      <c r="I83" s="123"/>
      <c r="J83" s="104" t="str">
        <f t="shared" si="21"/>
        <v/>
      </c>
      <c r="K83" s="123"/>
      <c r="L83" s="104" t="str">
        <f t="shared" si="22"/>
        <v/>
      </c>
      <c r="M83" s="123"/>
      <c r="N83" s="104" t="str">
        <f t="shared" si="23"/>
        <v/>
      </c>
      <c r="O83" s="110" t="str">
        <f t="shared" si="24"/>
        <v/>
      </c>
      <c r="P83" s="104" t="str">
        <f t="shared" si="25"/>
        <v/>
      </c>
      <c r="Q83" s="111" t="str">
        <f t="shared" si="26"/>
        <v/>
      </c>
      <c r="R83" s="16"/>
      <c r="S83" s="16"/>
      <c r="T83" s="16"/>
      <c r="U83" s="16"/>
      <c r="V83" s="16"/>
      <c r="W83" s="16"/>
    </row>
    <row r="84" spans="1:23" x14ac:dyDescent="0.35">
      <c r="A84" s="122"/>
      <c r="B84" s="123"/>
      <c r="C84" s="124"/>
      <c r="D84" s="104" t="str">
        <f t="shared" si="18"/>
        <v/>
      </c>
      <c r="E84" s="123"/>
      <c r="F84" s="104" t="str">
        <f t="shared" si="19"/>
        <v/>
      </c>
      <c r="G84" s="123"/>
      <c r="H84" s="104" t="str">
        <f t="shared" si="20"/>
        <v/>
      </c>
      <c r="I84" s="123"/>
      <c r="J84" s="104" t="str">
        <f t="shared" si="21"/>
        <v/>
      </c>
      <c r="K84" s="123"/>
      <c r="L84" s="104" t="str">
        <f t="shared" si="22"/>
        <v/>
      </c>
      <c r="M84" s="123"/>
      <c r="N84" s="104" t="str">
        <f t="shared" si="23"/>
        <v/>
      </c>
      <c r="O84" s="110" t="str">
        <f t="shared" si="24"/>
        <v/>
      </c>
      <c r="P84" s="104" t="str">
        <f t="shared" si="25"/>
        <v/>
      </c>
      <c r="Q84" s="111" t="str">
        <f t="shared" si="26"/>
        <v/>
      </c>
      <c r="R84" s="16"/>
      <c r="S84" s="16"/>
      <c r="T84" s="16"/>
      <c r="U84" s="16"/>
      <c r="V84" s="16"/>
      <c r="W84" s="16"/>
    </row>
    <row r="85" spans="1:23" x14ac:dyDescent="0.35">
      <c r="A85" s="122"/>
      <c r="B85" s="123"/>
      <c r="C85" s="124"/>
      <c r="D85" s="104" t="str">
        <f t="shared" si="18"/>
        <v/>
      </c>
      <c r="E85" s="123"/>
      <c r="F85" s="104" t="str">
        <f t="shared" si="19"/>
        <v/>
      </c>
      <c r="G85" s="123"/>
      <c r="H85" s="104" t="str">
        <f t="shared" si="20"/>
        <v/>
      </c>
      <c r="I85" s="123"/>
      <c r="J85" s="104" t="str">
        <f t="shared" si="21"/>
        <v/>
      </c>
      <c r="K85" s="123"/>
      <c r="L85" s="104" t="str">
        <f t="shared" si="22"/>
        <v/>
      </c>
      <c r="M85" s="123"/>
      <c r="N85" s="104" t="str">
        <f t="shared" si="23"/>
        <v/>
      </c>
      <c r="O85" s="110" t="str">
        <f t="shared" si="24"/>
        <v/>
      </c>
      <c r="P85" s="104" t="str">
        <f t="shared" si="25"/>
        <v/>
      </c>
      <c r="Q85" s="111" t="str">
        <f t="shared" si="26"/>
        <v/>
      </c>
      <c r="R85" s="16"/>
      <c r="S85" s="16"/>
      <c r="T85" s="16"/>
      <c r="U85" s="16"/>
      <c r="V85" s="16"/>
      <c r="W85" s="16"/>
    </row>
    <row r="86" spans="1:23" x14ac:dyDescent="0.35">
      <c r="A86" s="122"/>
      <c r="B86" s="123"/>
      <c r="C86" s="124"/>
      <c r="D86" s="104" t="str">
        <f t="shared" si="18"/>
        <v/>
      </c>
      <c r="E86" s="123"/>
      <c r="F86" s="104" t="str">
        <f t="shared" si="19"/>
        <v/>
      </c>
      <c r="G86" s="123"/>
      <c r="H86" s="104" t="str">
        <f t="shared" si="20"/>
        <v/>
      </c>
      <c r="I86" s="123"/>
      <c r="J86" s="104" t="str">
        <f t="shared" si="21"/>
        <v/>
      </c>
      <c r="K86" s="123"/>
      <c r="L86" s="104" t="str">
        <f t="shared" si="22"/>
        <v/>
      </c>
      <c r="M86" s="123"/>
      <c r="N86" s="104" t="str">
        <f t="shared" si="23"/>
        <v/>
      </c>
      <c r="O86" s="110" t="str">
        <f t="shared" si="24"/>
        <v/>
      </c>
      <c r="P86" s="104" t="str">
        <f t="shared" si="25"/>
        <v/>
      </c>
      <c r="Q86" s="111" t="str">
        <f t="shared" si="26"/>
        <v/>
      </c>
      <c r="R86" s="16"/>
      <c r="S86" s="16"/>
      <c r="T86" s="16"/>
      <c r="U86" s="16"/>
      <c r="V86" s="16"/>
      <c r="W86" s="16"/>
    </row>
    <row r="87" spans="1:23" x14ac:dyDescent="0.35">
      <c r="A87" s="122"/>
      <c r="B87" s="123"/>
      <c r="C87" s="124"/>
      <c r="D87" s="104" t="str">
        <f t="shared" si="18"/>
        <v/>
      </c>
      <c r="E87" s="123"/>
      <c r="F87" s="104" t="str">
        <f t="shared" si="19"/>
        <v/>
      </c>
      <c r="G87" s="123"/>
      <c r="H87" s="104" t="str">
        <f t="shared" si="20"/>
        <v/>
      </c>
      <c r="I87" s="123"/>
      <c r="J87" s="104" t="str">
        <f t="shared" si="21"/>
        <v/>
      </c>
      <c r="K87" s="123"/>
      <c r="L87" s="104" t="str">
        <f t="shared" si="22"/>
        <v/>
      </c>
      <c r="M87" s="123"/>
      <c r="N87" s="104" t="str">
        <f t="shared" si="23"/>
        <v/>
      </c>
      <c r="O87" s="110" t="str">
        <f t="shared" si="24"/>
        <v/>
      </c>
      <c r="P87" s="104" t="str">
        <f t="shared" si="25"/>
        <v/>
      </c>
      <c r="Q87" s="111" t="str">
        <f t="shared" si="26"/>
        <v/>
      </c>
      <c r="R87" s="16"/>
      <c r="S87" s="16"/>
      <c r="T87" s="16"/>
      <c r="U87" s="16"/>
      <c r="V87" s="16"/>
      <c r="W87" s="16"/>
    </row>
    <row r="88" spans="1:23" x14ac:dyDescent="0.35">
      <c r="A88" s="122"/>
      <c r="B88" s="123"/>
      <c r="C88" s="124"/>
      <c r="D88" s="104" t="str">
        <f t="shared" si="18"/>
        <v/>
      </c>
      <c r="E88" s="123"/>
      <c r="F88" s="104" t="str">
        <f t="shared" si="19"/>
        <v/>
      </c>
      <c r="G88" s="123"/>
      <c r="H88" s="104" t="str">
        <f t="shared" si="20"/>
        <v/>
      </c>
      <c r="I88" s="123"/>
      <c r="J88" s="104" t="str">
        <f t="shared" si="21"/>
        <v/>
      </c>
      <c r="K88" s="123"/>
      <c r="L88" s="104" t="str">
        <f t="shared" si="22"/>
        <v/>
      </c>
      <c r="M88" s="123"/>
      <c r="N88" s="104" t="str">
        <f t="shared" si="23"/>
        <v/>
      </c>
      <c r="O88" s="110" t="str">
        <f t="shared" si="24"/>
        <v/>
      </c>
      <c r="P88" s="104" t="str">
        <f t="shared" si="25"/>
        <v/>
      </c>
      <c r="Q88" s="111" t="str">
        <f t="shared" si="26"/>
        <v/>
      </c>
      <c r="R88" s="16"/>
      <c r="S88" s="16"/>
      <c r="T88" s="16"/>
      <c r="U88" s="16"/>
      <c r="V88" s="16"/>
      <c r="W88" s="16"/>
    </row>
    <row r="89" spans="1:23" x14ac:dyDescent="0.35">
      <c r="A89" s="122"/>
      <c r="B89" s="123"/>
      <c r="C89" s="124"/>
      <c r="D89" s="104" t="str">
        <f t="shared" si="18"/>
        <v/>
      </c>
      <c r="E89" s="123"/>
      <c r="F89" s="104" t="str">
        <f t="shared" si="19"/>
        <v/>
      </c>
      <c r="G89" s="123"/>
      <c r="H89" s="104" t="str">
        <f t="shared" si="20"/>
        <v/>
      </c>
      <c r="I89" s="123"/>
      <c r="J89" s="104" t="str">
        <f t="shared" si="21"/>
        <v/>
      </c>
      <c r="K89" s="123"/>
      <c r="L89" s="104" t="str">
        <f t="shared" si="22"/>
        <v/>
      </c>
      <c r="M89" s="123"/>
      <c r="N89" s="104" t="str">
        <f t="shared" si="23"/>
        <v/>
      </c>
      <c r="O89" s="110" t="str">
        <f t="shared" si="24"/>
        <v/>
      </c>
      <c r="P89" s="104" t="str">
        <f t="shared" si="25"/>
        <v/>
      </c>
      <c r="Q89" s="111" t="str">
        <f t="shared" si="26"/>
        <v/>
      </c>
      <c r="R89" s="16"/>
      <c r="S89" s="16"/>
      <c r="T89" s="16"/>
      <c r="U89" s="16"/>
      <c r="V89" s="16"/>
      <c r="W89" s="16"/>
    </row>
    <row r="90" spans="1:23" x14ac:dyDescent="0.35">
      <c r="A90" s="122"/>
      <c r="B90" s="123"/>
      <c r="C90" s="124"/>
      <c r="D90" s="104" t="str">
        <f t="shared" si="18"/>
        <v/>
      </c>
      <c r="E90" s="123"/>
      <c r="F90" s="104" t="str">
        <f t="shared" si="19"/>
        <v/>
      </c>
      <c r="G90" s="123"/>
      <c r="H90" s="104" t="str">
        <f t="shared" si="20"/>
        <v/>
      </c>
      <c r="I90" s="123"/>
      <c r="J90" s="104" t="str">
        <f t="shared" si="21"/>
        <v/>
      </c>
      <c r="K90" s="123"/>
      <c r="L90" s="104" t="str">
        <f t="shared" si="22"/>
        <v/>
      </c>
      <c r="M90" s="123"/>
      <c r="N90" s="104" t="str">
        <f t="shared" si="23"/>
        <v/>
      </c>
      <c r="O90" s="110" t="str">
        <f t="shared" si="24"/>
        <v/>
      </c>
      <c r="P90" s="104" t="str">
        <f t="shared" si="25"/>
        <v/>
      </c>
      <c r="Q90" s="111" t="str">
        <f t="shared" si="26"/>
        <v/>
      </c>
      <c r="R90" s="16"/>
      <c r="S90" s="16"/>
      <c r="T90" s="16"/>
      <c r="U90" s="16"/>
      <c r="V90" s="16"/>
      <c r="W90" s="16"/>
    </row>
    <row r="91" spans="1:23" x14ac:dyDescent="0.35">
      <c r="A91" s="122"/>
      <c r="B91" s="123"/>
      <c r="C91" s="124"/>
      <c r="D91" s="104" t="str">
        <f t="shared" si="18"/>
        <v/>
      </c>
      <c r="E91" s="123"/>
      <c r="F91" s="104" t="str">
        <f t="shared" si="19"/>
        <v/>
      </c>
      <c r="G91" s="123"/>
      <c r="H91" s="104" t="str">
        <f t="shared" si="20"/>
        <v/>
      </c>
      <c r="I91" s="123"/>
      <c r="J91" s="104" t="str">
        <f t="shared" si="21"/>
        <v/>
      </c>
      <c r="K91" s="123"/>
      <c r="L91" s="104" t="str">
        <f t="shared" si="22"/>
        <v/>
      </c>
      <c r="M91" s="123"/>
      <c r="N91" s="104" t="str">
        <f t="shared" si="23"/>
        <v/>
      </c>
      <c r="O91" s="110" t="str">
        <f t="shared" si="24"/>
        <v/>
      </c>
      <c r="P91" s="104" t="str">
        <f t="shared" si="25"/>
        <v/>
      </c>
      <c r="Q91" s="111" t="str">
        <f t="shared" si="26"/>
        <v/>
      </c>
      <c r="R91" s="16"/>
      <c r="S91" s="16"/>
      <c r="T91" s="16"/>
      <c r="U91" s="16"/>
      <c r="V91" s="16"/>
      <c r="W91" s="16"/>
    </row>
    <row r="92" spans="1:23" x14ac:dyDescent="0.35">
      <c r="A92" s="122"/>
      <c r="B92" s="123"/>
      <c r="C92" s="124"/>
      <c r="D92" s="104" t="str">
        <f t="shared" si="18"/>
        <v/>
      </c>
      <c r="E92" s="123"/>
      <c r="F92" s="104" t="str">
        <f t="shared" si="19"/>
        <v/>
      </c>
      <c r="G92" s="123"/>
      <c r="H92" s="104" t="str">
        <f t="shared" si="20"/>
        <v/>
      </c>
      <c r="I92" s="123"/>
      <c r="J92" s="104" t="str">
        <f t="shared" si="21"/>
        <v/>
      </c>
      <c r="K92" s="123"/>
      <c r="L92" s="104" t="str">
        <f t="shared" si="22"/>
        <v/>
      </c>
      <c r="M92" s="123"/>
      <c r="N92" s="104" t="str">
        <f t="shared" si="23"/>
        <v/>
      </c>
      <c r="O92" s="110" t="str">
        <f t="shared" si="24"/>
        <v/>
      </c>
      <c r="P92" s="104" t="str">
        <f t="shared" si="25"/>
        <v/>
      </c>
      <c r="Q92" s="111" t="str">
        <f t="shared" si="26"/>
        <v/>
      </c>
      <c r="R92" s="16"/>
      <c r="S92" s="16"/>
      <c r="T92" s="16"/>
      <c r="U92" s="16"/>
      <c r="V92" s="16"/>
      <c r="W92" s="16"/>
    </row>
    <row r="93" spans="1:23" x14ac:dyDescent="0.35">
      <c r="A93" s="122"/>
      <c r="B93" s="123"/>
      <c r="C93" s="124"/>
      <c r="D93" s="104" t="str">
        <f t="shared" si="18"/>
        <v/>
      </c>
      <c r="E93" s="123"/>
      <c r="F93" s="104" t="str">
        <f t="shared" si="19"/>
        <v/>
      </c>
      <c r="G93" s="123"/>
      <c r="H93" s="104" t="str">
        <f t="shared" si="20"/>
        <v/>
      </c>
      <c r="I93" s="123"/>
      <c r="J93" s="104" t="str">
        <f t="shared" si="21"/>
        <v/>
      </c>
      <c r="K93" s="123"/>
      <c r="L93" s="104" t="str">
        <f t="shared" si="22"/>
        <v/>
      </c>
      <c r="M93" s="123"/>
      <c r="N93" s="104" t="str">
        <f t="shared" si="23"/>
        <v/>
      </c>
      <c r="O93" s="110" t="str">
        <f t="shared" si="24"/>
        <v/>
      </c>
      <c r="P93" s="104" t="str">
        <f t="shared" si="25"/>
        <v/>
      </c>
      <c r="Q93" s="111" t="str">
        <f t="shared" si="26"/>
        <v/>
      </c>
      <c r="R93" s="16"/>
      <c r="S93" s="16"/>
      <c r="T93" s="16"/>
      <c r="U93" s="16"/>
      <c r="V93" s="16"/>
      <c r="W93" s="16"/>
    </row>
    <row r="94" spans="1:23" x14ac:dyDescent="0.35">
      <c r="A94" s="122"/>
      <c r="B94" s="123"/>
      <c r="C94" s="124"/>
      <c r="D94" s="104" t="str">
        <f t="shared" si="18"/>
        <v/>
      </c>
      <c r="E94" s="123"/>
      <c r="F94" s="104" t="str">
        <f t="shared" si="19"/>
        <v/>
      </c>
      <c r="G94" s="123"/>
      <c r="H94" s="104" t="str">
        <f t="shared" si="20"/>
        <v/>
      </c>
      <c r="I94" s="123"/>
      <c r="J94" s="104" t="str">
        <f t="shared" si="21"/>
        <v/>
      </c>
      <c r="K94" s="123"/>
      <c r="L94" s="104" t="str">
        <f t="shared" si="22"/>
        <v/>
      </c>
      <c r="M94" s="123"/>
      <c r="N94" s="104" t="str">
        <f t="shared" si="23"/>
        <v/>
      </c>
      <c r="O94" s="110" t="str">
        <f t="shared" si="24"/>
        <v/>
      </c>
      <c r="P94" s="104" t="str">
        <f t="shared" si="25"/>
        <v/>
      </c>
      <c r="Q94" s="111" t="str">
        <f t="shared" si="26"/>
        <v/>
      </c>
      <c r="R94" s="16"/>
      <c r="S94" s="16"/>
      <c r="T94" s="16"/>
      <c r="U94" s="16"/>
      <c r="V94" s="16"/>
      <c r="W94" s="16"/>
    </row>
    <row r="95" spans="1:23" x14ac:dyDescent="0.35">
      <c r="A95" s="122"/>
      <c r="B95" s="123"/>
      <c r="C95" s="124"/>
      <c r="D95" s="104" t="str">
        <f t="shared" si="18"/>
        <v/>
      </c>
      <c r="E95" s="123"/>
      <c r="F95" s="104" t="str">
        <f t="shared" si="19"/>
        <v/>
      </c>
      <c r="G95" s="123"/>
      <c r="H95" s="104" t="str">
        <f t="shared" si="20"/>
        <v/>
      </c>
      <c r="I95" s="123"/>
      <c r="J95" s="104" t="str">
        <f t="shared" si="21"/>
        <v/>
      </c>
      <c r="K95" s="123"/>
      <c r="L95" s="104" t="str">
        <f t="shared" si="22"/>
        <v/>
      </c>
      <c r="M95" s="123"/>
      <c r="N95" s="104" t="str">
        <f t="shared" si="23"/>
        <v/>
      </c>
      <c r="O95" s="110" t="str">
        <f t="shared" si="24"/>
        <v/>
      </c>
      <c r="P95" s="104" t="str">
        <f t="shared" si="25"/>
        <v/>
      </c>
      <c r="Q95" s="111" t="str">
        <f t="shared" si="26"/>
        <v/>
      </c>
      <c r="R95" s="16"/>
      <c r="S95" s="16"/>
      <c r="T95" s="16"/>
      <c r="U95" s="16"/>
      <c r="V95" s="16"/>
      <c r="W95" s="16"/>
    </row>
    <row r="96" spans="1:23" x14ac:dyDescent="0.35">
      <c r="A96" s="122"/>
      <c r="B96" s="123"/>
      <c r="C96" s="124"/>
      <c r="D96" s="104" t="str">
        <f t="shared" si="18"/>
        <v/>
      </c>
      <c r="E96" s="123"/>
      <c r="F96" s="104" t="str">
        <f t="shared" si="19"/>
        <v/>
      </c>
      <c r="G96" s="123"/>
      <c r="H96" s="104" t="str">
        <f t="shared" si="20"/>
        <v/>
      </c>
      <c r="I96" s="123"/>
      <c r="J96" s="104" t="str">
        <f t="shared" si="21"/>
        <v/>
      </c>
      <c r="K96" s="123"/>
      <c r="L96" s="104" t="str">
        <f t="shared" si="22"/>
        <v/>
      </c>
      <c r="M96" s="123"/>
      <c r="N96" s="104" t="str">
        <f t="shared" si="23"/>
        <v/>
      </c>
      <c r="O96" s="110" t="str">
        <f t="shared" si="24"/>
        <v/>
      </c>
      <c r="P96" s="104" t="str">
        <f t="shared" si="25"/>
        <v/>
      </c>
      <c r="Q96" s="111" t="str">
        <f t="shared" si="26"/>
        <v/>
      </c>
      <c r="R96" s="16"/>
      <c r="S96" s="16"/>
      <c r="T96" s="16"/>
      <c r="U96" s="16"/>
      <c r="V96" s="16"/>
      <c r="W96" s="16"/>
    </row>
    <row r="97" spans="1:23" x14ac:dyDescent="0.35">
      <c r="A97" s="122"/>
      <c r="B97" s="123"/>
      <c r="C97" s="124"/>
      <c r="D97" s="104" t="str">
        <f t="shared" si="18"/>
        <v/>
      </c>
      <c r="E97" s="123"/>
      <c r="F97" s="104" t="str">
        <f t="shared" si="19"/>
        <v/>
      </c>
      <c r="G97" s="123"/>
      <c r="H97" s="104" t="str">
        <f t="shared" si="20"/>
        <v/>
      </c>
      <c r="I97" s="123"/>
      <c r="J97" s="104" t="str">
        <f t="shared" si="21"/>
        <v/>
      </c>
      <c r="K97" s="123"/>
      <c r="L97" s="104" t="str">
        <f t="shared" si="22"/>
        <v/>
      </c>
      <c r="M97" s="123"/>
      <c r="N97" s="104" t="str">
        <f t="shared" si="23"/>
        <v/>
      </c>
      <c r="O97" s="110" t="str">
        <f t="shared" si="24"/>
        <v/>
      </c>
      <c r="P97" s="104" t="str">
        <f t="shared" si="25"/>
        <v/>
      </c>
      <c r="Q97" s="111" t="str">
        <f t="shared" si="26"/>
        <v/>
      </c>
      <c r="R97" s="16"/>
      <c r="S97" s="16"/>
      <c r="T97" s="16"/>
      <c r="U97" s="16"/>
      <c r="V97" s="16"/>
      <c r="W97" s="16"/>
    </row>
    <row r="98" spans="1:23" x14ac:dyDescent="0.35">
      <c r="A98" s="122"/>
      <c r="B98" s="123"/>
      <c r="C98" s="124"/>
      <c r="D98" s="104" t="str">
        <f t="shared" ref="D98:D129" si="27">IF(OR(A98="",B98="",C98=""),"",ROUND(B98*C98,2))</f>
        <v/>
      </c>
      <c r="E98" s="123"/>
      <c r="F98" s="104" t="str">
        <f t="shared" ref="F98:F129" si="28">IF(OR(A98="",E98="",C98="",NOT(ISNUMBER($U$2))),"",ROUND(E98*C98*$U$2,2))</f>
        <v/>
      </c>
      <c r="G98" s="123"/>
      <c r="H98" s="104" t="str">
        <f t="shared" ref="H98:H129" si="29">IF(OR(A98="",G98="",C98="",NOT(ISNUMBER($U$3))),"",ROUND(G98*C98*$U$3,2))</f>
        <v/>
      </c>
      <c r="I98" s="123"/>
      <c r="J98" s="104" t="str">
        <f t="shared" ref="J98:J129" si="30">IF(OR(A98="",I98="",C98="",NOT(ISNUMBER($U$4))),"",ROUND(I98*C98*$U$4,2))</f>
        <v/>
      </c>
      <c r="K98" s="123"/>
      <c r="L98" s="104" t="str">
        <f t="shared" ref="L98:L129" si="31">IF(OR(A98="",K98="",C98="",NOT(ISNUMBER($U$5))),"",ROUND(K98*C98*$U$5,2))</f>
        <v/>
      </c>
      <c r="M98" s="123"/>
      <c r="N98" s="104" t="str">
        <f t="shared" ref="N98:N129" si="32">IF(OR(A98="",M98="",C98="",NOT(ISNUMBER($U$6))),"",ROUND(M98*C98*$U$6,2))</f>
        <v/>
      </c>
      <c r="O98" s="110" t="str">
        <f t="shared" ref="O98:O129" si="33">IF(A98="","",SUM(E98,G98,I98,K98,M98))</f>
        <v/>
      </c>
      <c r="P98" s="104" t="str">
        <f t="shared" ref="P98:P129" si="34">IF(A98="","",SUM(F98,H98,J98,L98,N98))</f>
        <v/>
      </c>
      <c r="Q98" s="111" t="str">
        <f t="shared" ref="Q98:Q129" si="35">IF(A98="","",IF(O98&gt;B98,"DIVERGENCIA: CONSUMO MAIOR QUE CONTRATADO","OK"))</f>
        <v/>
      </c>
      <c r="R98" s="16"/>
      <c r="S98" s="16"/>
      <c r="T98" s="16"/>
      <c r="U98" s="16"/>
      <c r="V98" s="16"/>
      <c r="W98" s="16"/>
    </row>
    <row r="99" spans="1:23" x14ac:dyDescent="0.35">
      <c r="A99" s="122"/>
      <c r="B99" s="123"/>
      <c r="C99" s="124"/>
      <c r="D99" s="104" t="str">
        <f t="shared" si="27"/>
        <v/>
      </c>
      <c r="E99" s="123"/>
      <c r="F99" s="104" t="str">
        <f t="shared" si="28"/>
        <v/>
      </c>
      <c r="G99" s="123"/>
      <c r="H99" s="104" t="str">
        <f t="shared" si="29"/>
        <v/>
      </c>
      <c r="I99" s="123"/>
      <c r="J99" s="104" t="str">
        <f t="shared" si="30"/>
        <v/>
      </c>
      <c r="K99" s="123"/>
      <c r="L99" s="104" t="str">
        <f t="shared" si="31"/>
        <v/>
      </c>
      <c r="M99" s="123"/>
      <c r="N99" s="104" t="str">
        <f t="shared" si="32"/>
        <v/>
      </c>
      <c r="O99" s="110" t="str">
        <f t="shared" si="33"/>
        <v/>
      </c>
      <c r="P99" s="104" t="str">
        <f t="shared" si="34"/>
        <v/>
      </c>
      <c r="Q99" s="111" t="str">
        <f t="shared" si="35"/>
        <v/>
      </c>
      <c r="R99" s="16"/>
      <c r="S99" s="16"/>
      <c r="T99" s="16"/>
      <c r="U99" s="16"/>
      <c r="V99" s="16"/>
      <c r="W99" s="16"/>
    </row>
    <row r="100" spans="1:23" x14ac:dyDescent="0.35">
      <c r="A100" s="122"/>
      <c r="B100" s="123"/>
      <c r="C100" s="124"/>
      <c r="D100" s="104" t="str">
        <f t="shared" si="27"/>
        <v/>
      </c>
      <c r="E100" s="123"/>
      <c r="F100" s="104" t="str">
        <f t="shared" si="28"/>
        <v/>
      </c>
      <c r="G100" s="123"/>
      <c r="H100" s="104" t="str">
        <f t="shared" si="29"/>
        <v/>
      </c>
      <c r="I100" s="123"/>
      <c r="J100" s="104" t="str">
        <f t="shared" si="30"/>
        <v/>
      </c>
      <c r="K100" s="123"/>
      <c r="L100" s="104" t="str">
        <f t="shared" si="31"/>
        <v/>
      </c>
      <c r="M100" s="123"/>
      <c r="N100" s="104" t="str">
        <f t="shared" si="32"/>
        <v/>
      </c>
      <c r="O100" s="110" t="str">
        <f t="shared" si="33"/>
        <v/>
      </c>
      <c r="P100" s="104" t="str">
        <f t="shared" si="34"/>
        <v/>
      </c>
      <c r="Q100" s="111" t="str">
        <f t="shared" si="35"/>
        <v/>
      </c>
      <c r="R100" s="16"/>
      <c r="S100" s="16"/>
      <c r="T100" s="16"/>
      <c r="U100" s="16"/>
      <c r="V100" s="16"/>
      <c r="W100" s="16"/>
    </row>
    <row r="101" spans="1:23" x14ac:dyDescent="0.35">
      <c r="A101" s="122"/>
      <c r="B101" s="123"/>
      <c r="C101" s="124"/>
      <c r="D101" s="104" t="str">
        <f t="shared" si="27"/>
        <v/>
      </c>
      <c r="E101" s="123"/>
      <c r="F101" s="104" t="str">
        <f t="shared" si="28"/>
        <v/>
      </c>
      <c r="G101" s="123"/>
      <c r="H101" s="104" t="str">
        <f t="shared" si="29"/>
        <v/>
      </c>
      <c r="I101" s="123"/>
      <c r="J101" s="104" t="str">
        <f t="shared" si="30"/>
        <v/>
      </c>
      <c r="K101" s="123"/>
      <c r="L101" s="104" t="str">
        <f t="shared" si="31"/>
        <v/>
      </c>
      <c r="M101" s="123"/>
      <c r="N101" s="104" t="str">
        <f t="shared" si="32"/>
        <v/>
      </c>
      <c r="O101" s="110" t="str">
        <f t="shared" si="33"/>
        <v/>
      </c>
      <c r="P101" s="104" t="str">
        <f t="shared" si="34"/>
        <v/>
      </c>
      <c r="Q101" s="111" t="str">
        <f t="shared" si="35"/>
        <v/>
      </c>
      <c r="R101" s="31"/>
      <c r="S101" s="31"/>
      <c r="T101" s="31"/>
      <c r="U101" s="31"/>
      <c r="V101" s="31"/>
      <c r="W101" s="31"/>
    </row>
    <row r="102" spans="1:23" x14ac:dyDescent="0.35">
      <c r="A102" s="122"/>
      <c r="B102" s="123"/>
      <c r="C102" s="124"/>
      <c r="D102" s="104" t="str">
        <f t="shared" si="27"/>
        <v/>
      </c>
      <c r="E102" s="123"/>
      <c r="F102" s="104" t="str">
        <f t="shared" si="28"/>
        <v/>
      </c>
      <c r="G102" s="123"/>
      <c r="H102" s="104" t="str">
        <f t="shared" si="29"/>
        <v/>
      </c>
      <c r="I102" s="123"/>
      <c r="J102" s="104" t="str">
        <f t="shared" si="30"/>
        <v/>
      </c>
      <c r="K102" s="123"/>
      <c r="L102" s="104" t="str">
        <f t="shared" si="31"/>
        <v/>
      </c>
      <c r="M102" s="123"/>
      <c r="N102" s="104" t="str">
        <f t="shared" si="32"/>
        <v/>
      </c>
      <c r="O102" s="110" t="str">
        <f t="shared" si="33"/>
        <v/>
      </c>
      <c r="P102" s="104" t="str">
        <f t="shared" si="34"/>
        <v/>
      </c>
      <c r="Q102" s="111" t="str">
        <f t="shared" si="35"/>
        <v/>
      </c>
      <c r="R102" s="31"/>
      <c r="S102" s="31"/>
      <c r="T102" s="31"/>
      <c r="U102" s="31"/>
      <c r="V102" s="31"/>
      <c r="W102" s="31"/>
    </row>
    <row r="103" spans="1:23" x14ac:dyDescent="0.35">
      <c r="A103" s="122"/>
      <c r="B103" s="123"/>
      <c r="C103" s="124"/>
      <c r="D103" s="104" t="str">
        <f t="shared" si="27"/>
        <v/>
      </c>
      <c r="E103" s="123"/>
      <c r="F103" s="104" t="str">
        <f t="shared" si="28"/>
        <v/>
      </c>
      <c r="G103" s="123"/>
      <c r="H103" s="104" t="str">
        <f t="shared" si="29"/>
        <v/>
      </c>
      <c r="I103" s="123"/>
      <c r="J103" s="104" t="str">
        <f t="shared" si="30"/>
        <v/>
      </c>
      <c r="K103" s="123"/>
      <c r="L103" s="104" t="str">
        <f t="shared" si="31"/>
        <v/>
      </c>
      <c r="M103" s="123"/>
      <c r="N103" s="104" t="str">
        <f t="shared" si="32"/>
        <v/>
      </c>
      <c r="O103" s="110" t="str">
        <f t="shared" si="33"/>
        <v/>
      </c>
      <c r="P103" s="104" t="str">
        <f t="shared" si="34"/>
        <v/>
      </c>
      <c r="Q103" s="111" t="str">
        <f t="shared" si="35"/>
        <v/>
      </c>
      <c r="R103" s="31"/>
      <c r="S103" s="31"/>
      <c r="T103" s="31"/>
      <c r="U103" s="31"/>
      <c r="V103" s="31"/>
      <c r="W103" s="31"/>
    </row>
    <row r="104" spans="1:23" x14ac:dyDescent="0.35">
      <c r="A104" s="122"/>
      <c r="B104" s="123"/>
      <c r="C104" s="124"/>
      <c r="D104" s="104" t="str">
        <f t="shared" si="27"/>
        <v/>
      </c>
      <c r="E104" s="123"/>
      <c r="F104" s="104" t="str">
        <f t="shared" si="28"/>
        <v/>
      </c>
      <c r="G104" s="123"/>
      <c r="H104" s="104" t="str">
        <f t="shared" si="29"/>
        <v/>
      </c>
      <c r="I104" s="123"/>
      <c r="J104" s="104" t="str">
        <f t="shared" si="30"/>
        <v/>
      </c>
      <c r="K104" s="123"/>
      <c r="L104" s="104" t="str">
        <f t="shared" si="31"/>
        <v/>
      </c>
      <c r="M104" s="123"/>
      <c r="N104" s="104" t="str">
        <f t="shared" si="32"/>
        <v/>
      </c>
      <c r="O104" s="110" t="str">
        <f t="shared" si="33"/>
        <v/>
      </c>
      <c r="P104" s="104" t="str">
        <f t="shared" si="34"/>
        <v/>
      </c>
      <c r="Q104" s="111" t="str">
        <f t="shared" si="35"/>
        <v/>
      </c>
      <c r="R104" s="31"/>
      <c r="S104" s="31"/>
      <c r="T104" s="31"/>
      <c r="U104" s="31"/>
      <c r="V104" s="31"/>
      <c r="W104" s="31"/>
    </row>
    <row r="105" spans="1:23" x14ac:dyDescent="0.35">
      <c r="A105" s="122"/>
      <c r="B105" s="123"/>
      <c r="C105" s="124"/>
      <c r="D105" s="104" t="str">
        <f t="shared" si="27"/>
        <v/>
      </c>
      <c r="E105" s="123"/>
      <c r="F105" s="104" t="str">
        <f t="shared" si="28"/>
        <v/>
      </c>
      <c r="G105" s="123"/>
      <c r="H105" s="104" t="str">
        <f t="shared" si="29"/>
        <v/>
      </c>
      <c r="I105" s="123"/>
      <c r="J105" s="104" t="str">
        <f t="shared" si="30"/>
        <v/>
      </c>
      <c r="K105" s="123"/>
      <c r="L105" s="104" t="str">
        <f t="shared" si="31"/>
        <v/>
      </c>
      <c r="M105" s="123"/>
      <c r="N105" s="104" t="str">
        <f t="shared" si="32"/>
        <v/>
      </c>
      <c r="O105" s="110" t="str">
        <f t="shared" si="33"/>
        <v/>
      </c>
      <c r="P105" s="104" t="str">
        <f t="shared" si="34"/>
        <v/>
      </c>
      <c r="Q105" s="111" t="str">
        <f t="shared" si="35"/>
        <v/>
      </c>
      <c r="R105" s="31"/>
      <c r="S105" s="31"/>
      <c r="T105" s="31"/>
      <c r="U105" s="31"/>
      <c r="V105" s="31"/>
      <c r="W105" s="31"/>
    </row>
    <row r="106" spans="1:23" x14ac:dyDescent="0.35">
      <c r="A106" s="122"/>
      <c r="B106" s="123"/>
      <c r="C106" s="124"/>
      <c r="D106" s="104" t="str">
        <f t="shared" si="27"/>
        <v/>
      </c>
      <c r="E106" s="123"/>
      <c r="F106" s="104" t="str">
        <f t="shared" si="28"/>
        <v/>
      </c>
      <c r="G106" s="123"/>
      <c r="H106" s="104" t="str">
        <f t="shared" si="29"/>
        <v/>
      </c>
      <c r="I106" s="123"/>
      <c r="J106" s="104" t="str">
        <f t="shared" si="30"/>
        <v/>
      </c>
      <c r="K106" s="123"/>
      <c r="L106" s="104" t="str">
        <f t="shared" si="31"/>
        <v/>
      </c>
      <c r="M106" s="123"/>
      <c r="N106" s="104" t="str">
        <f t="shared" si="32"/>
        <v/>
      </c>
      <c r="O106" s="110" t="str">
        <f t="shared" si="33"/>
        <v/>
      </c>
      <c r="P106" s="104" t="str">
        <f t="shared" si="34"/>
        <v/>
      </c>
      <c r="Q106" s="111" t="str">
        <f t="shared" si="35"/>
        <v/>
      </c>
      <c r="R106" s="31"/>
      <c r="S106" s="31"/>
      <c r="T106" s="31"/>
      <c r="U106" s="31"/>
      <c r="V106" s="31"/>
      <c r="W106" s="31"/>
    </row>
    <row r="107" spans="1:23" x14ac:dyDescent="0.35">
      <c r="A107" s="122"/>
      <c r="B107" s="123"/>
      <c r="C107" s="124"/>
      <c r="D107" s="104" t="str">
        <f t="shared" si="27"/>
        <v/>
      </c>
      <c r="E107" s="123"/>
      <c r="F107" s="104" t="str">
        <f t="shared" si="28"/>
        <v/>
      </c>
      <c r="G107" s="123"/>
      <c r="H107" s="104" t="str">
        <f t="shared" si="29"/>
        <v/>
      </c>
      <c r="I107" s="123"/>
      <c r="J107" s="104" t="str">
        <f t="shared" si="30"/>
        <v/>
      </c>
      <c r="K107" s="123"/>
      <c r="L107" s="104" t="str">
        <f t="shared" si="31"/>
        <v/>
      </c>
      <c r="M107" s="123"/>
      <c r="N107" s="104" t="str">
        <f t="shared" si="32"/>
        <v/>
      </c>
      <c r="O107" s="110" t="str">
        <f t="shared" si="33"/>
        <v/>
      </c>
      <c r="P107" s="104" t="str">
        <f t="shared" si="34"/>
        <v/>
      </c>
      <c r="Q107" s="111" t="str">
        <f t="shared" si="35"/>
        <v/>
      </c>
      <c r="R107" s="31"/>
      <c r="S107" s="31"/>
      <c r="T107" s="31"/>
      <c r="U107" s="31"/>
      <c r="V107" s="31"/>
      <c r="W107" s="31"/>
    </row>
    <row r="108" spans="1:23" x14ac:dyDescent="0.35">
      <c r="A108" s="122"/>
      <c r="B108" s="123"/>
      <c r="C108" s="124"/>
      <c r="D108" s="104" t="str">
        <f t="shared" si="27"/>
        <v/>
      </c>
      <c r="E108" s="123"/>
      <c r="F108" s="104" t="str">
        <f t="shared" si="28"/>
        <v/>
      </c>
      <c r="G108" s="123"/>
      <c r="H108" s="104" t="str">
        <f t="shared" si="29"/>
        <v/>
      </c>
      <c r="I108" s="123"/>
      <c r="J108" s="104" t="str">
        <f t="shared" si="30"/>
        <v/>
      </c>
      <c r="K108" s="123"/>
      <c r="L108" s="104" t="str">
        <f t="shared" si="31"/>
        <v/>
      </c>
      <c r="M108" s="123"/>
      <c r="N108" s="104" t="str">
        <f t="shared" si="32"/>
        <v/>
      </c>
      <c r="O108" s="110" t="str">
        <f t="shared" si="33"/>
        <v/>
      </c>
      <c r="P108" s="104" t="str">
        <f t="shared" si="34"/>
        <v/>
      </c>
      <c r="Q108" s="111" t="str">
        <f t="shared" si="35"/>
        <v/>
      </c>
      <c r="R108" s="31"/>
      <c r="S108" s="31"/>
      <c r="T108" s="31"/>
      <c r="U108" s="31"/>
      <c r="V108" s="31"/>
      <c r="W108" s="31"/>
    </row>
    <row r="109" spans="1:23" x14ac:dyDescent="0.35">
      <c r="A109" s="122"/>
      <c r="B109" s="123"/>
      <c r="C109" s="124"/>
      <c r="D109" s="104" t="str">
        <f t="shared" si="27"/>
        <v/>
      </c>
      <c r="E109" s="123"/>
      <c r="F109" s="104" t="str">
        <f t="shared" si="28"/>
        <v/>
      </c>
      <c r="G109" s="123"/>
      <c r="H109" s="104" t="str">
        <f t="shared" si="29"/>
        <v/>
      </c>
      <c r="I109" s="123"/>
      <c r="J109" s="104" t="str">
        <f t="shared" si="30"/>
        <v/>
      </c>
      <c r="K109" s="123"/>
      <c r="L109" s="104" t="str">
        <f t="shared" si="31"/>
        <v/>
      </c>
      <c r="M109" s="123"/>
      <c r="N109" s="104" t="str">
        <f t="shared" si="32"/>
        <v/>
      </c>
      <c r="O109" s="110" t="str">
        <f t="shared" si="33"/>
        <v/>
      </c>
      <c r="P109" s="104" t="str">
        <f t="shared" si="34"/>
        <v/>
      </c>
      <c r="Q109" s="111" t="str">
        <f t="shared" si="35"/>
        <v/>
      </c>
      <c r="R109" s="31"/>
      <c r="S109" s="31"/>
      <c r="T109" s="31"/>
      <c r="U109" s="31"/>
      <c r="V109" s="31"/>
      <c r="W109" s="31"/>
    </row>
    <row r="110" spans="1:23" x14ac:dyDescent="0.35">
      <c r="A110" s="122"/>
      <c r="B110" s="123"/>
      <c r="C110" s="124"/>
      <c r="D110" s="104" t="str">
        <f t="shared" si="27"/>
        <v/>
      </c>
      <c r="E110" s="123"/>
      <c r="F110" s="104" t="str">
        <f t="shared" si="28"/>
        <v/>
      </c>
      <c r="G110" s="123"/>
      <c r="H110" s="104" t="str">
        <f t="shared" si="29"/>
        <v/>
      </c>
      <c r="I110" s="123"/>
      <c r="J110" s="104" t="str">
        <f t="shared" si="30"/>
        <v/>
      </c>
      <c r="K110" s="123"/>
      <c r="L110" s="104" t="str">
        <f t="shared" si="31"/>
        <v/>
      </c>
      <c r="M110" s="123"/>
      <c r="N110" s="104" t="str">
        <f t="shared" si="32"/>
        <v/>
      </c>
      <c r="O110" s="110" t="str">
        <f t="shared" si="33"/>
        <v/>
      </c>
      <c r="P110" s="104" t="str">
        <f t="shared" si="34"/>
        <v/>
      </c>
      <c r="Q110" s="111" t="str">
        <f t="shared" si="35"/>
        <v/>
      </c>
      <c r="R110" s="31"/>
      <c r="S110" s="31"/>
      <c r="T110" s="31"/>
      <c r="U110" s="31"/>
      <c r="V110" s="31"/>
      <c r="W110" s="31"/>
    </row>
    <row r="111" spans="1:23" x14ac:dyDescent="0.35">
      <c r="A111" s="122"/>
      <c r="B111" s="123"/>
      <c r="C111" s="124"/>
      <c r="D111" s="104" t="str">
        <f t="shared" si="27"/>
        <v/>
      </c>
      <c r="E111" s="123"/>
      <c r="F111" s="104" t="str">
        <f t="shared" si="28"/>
        <v/>
      </c>
      <c r="G111" s="123"/>
      <c r="H111" s="104" t="str">
        <f t="shared" si="29"/>
        <v/>
      </c>
      <c r="I111" s="123"/>
      <c r="J111" s="104" t="str">
        <f t="shared" si="30"/>
        <v/>
      </c>
      <c r="K111" s="123"/>
      <c r="L111" s="104" t="str">
        <f t="shared" si="31"/>
        <v/>
      </c>
      <c r="M111" s="123"/>
      <c r="N111" s="104" t="str">
        <f t="shared" si="32"/>
        <v/>
      </c>
      <c r="O111" s="110" t="str">
        <f t="shared" si="33"/>
        <v/>
      </c>
      <c r="P111" s="104" t="str">
        <f t="shared" si="34"/>
        <v/>
      </c>
      <c r="Q111" s="111" t="str">
        <f t="shared" si="35"/>
        <v/>
      </c>
      <c r="R111" s="31"/>
      <c r="S111" s="31"/>
      <c r="T111" s="31"/>
      <c r="U111" s="31"/>
      <c r="V111" s="31"/>
      <c r="W111" s="31"/>
    </row>
    <row r="112" spans="1:23" x14ac:dyDescent="0.35">
      <c r="A112" s="122"/>
      <c r="B112" s="123"/>
      <c r="C112" s="124"/>
      <c r="D112" s="104" t="str">
        <f t="shared" si="27"/>
        <v/>
      </c>
      <c r="E112" s="123"/>
      <c r="F112" s="104" t="str">
        <f t="shared" si="28"/>
        <v/>
      </c>
      <c r="G112" s="123"/>
      <c r="H112" s="104" t="str">
        <f t="shared" si="29"/>
        <v/>
      </c>
      <c r="I112" s="123"/>
      <c r="J112" s="104" t="str">
        <f t="shared" si="30"/>
        <v/>
      </c>
      <c r="K112" s="123"/>
      <c r="L112" s="104" t="str">
        <f t="shared" si="31"/>
        <v/>
      </c>
      <c r="M112" s="123"/>
      <c r="N112" s="104" t="str">
        <f t="shared" si="32"/>
        <v/>
      </c>
      <c r="O112" s="110" t="str">
        <f t="shared" si="33"/>
        <v/>
      </c>
      <c r="P112" s="104" t="str">
        <f t="shared" si="34"/>
        <v/>
      </c>
      <c r="Q112" s="111" t="str">
        <f t="shared" si="35"/>
        <v/>
      </c>
      <c r="R112" s="31"/>
      <c r="S112" s="31"/>
      <c r="T112" s="31"/>
      <c r="U112" s="31"/>
      <c r="V112" s="31"/>
      <c r="W112" s="31"/>
    </row>
    <row r="113" spans="1:23" x14ac:dyDescent="0.35">
      <c r="A113" s="122"/>
      <c r="B113" s="123"/>
      <c r="C113" s="124"/>
      <c r="D113" s="104" t="str">
        <f t="shared" si="27"/>
        <v/>
      </c>
      <c r="E113" s="123"/>
      <c r="F113" s="104" t="str">
        <f t="shared" si="28"/>
        <v/>
      </c>
      <c r="G113" s="123"/>
      <c r="H113" s="104" t="str">
        <f t="shared" si="29"/>
        <v/>
      </c>
      <c r="I113" s="123"/>
      <c r="J113" s="104" t="str">
        <f t="shared" si="30"/>
        <v/>
      </c>
      <c r="K113" s="123"/>
      <c r="L113" s="104" t="str">
        <f t="shared" si="31"/>
        <v/>
      </c>
      <c r="M113" s="123"/>
      <c r="N113" s="104" t="str">
        <f t="shared" si="32"/>
        <v/>
      </c>
      <c r="O113" s="110" t="str">
        <f t="shared" si="33"/>
        <v/>
      </c>
      <c r="P113" s="104" t="str">
        <f t="shared" si="34"/>
        <v/>
      </c>
      <c r="Q113" s="111" t="str">
        <f t="shared" si="35"/>
        <v/>
      </c>
      <c r="R113" s="31"/>
      <c r="S113" s="31"/>
      <c r="T113" s="31"/>
      <c r="U113" s="31"/>
      <c r="V113" s="31"/>
      <c r="W113" s="31"/>
    </row>
    <row r="114" spans="1:23" x14ac:dyDescent="0.35">
      <c r="A114" s="122"/>
      <c r="B114" s="123"/>
      <c r="C114" s="124"/>
      <c r="D114" s="104" t="str">
        <f t="shared" si="27"/>
        <v/>
      </c>
      <c r="E114" s="123"/>
      <c r="F114" s="104" t="str">
        <f t="shared" si="28"/>
        <v/>
      </c>
      <c r="G114" s="123"/>
      <c r="H114" s="104" t="str">
        <f t="shared" si="29"/>
        <v/>
      </c>
      <c r="I114" s="123"/>
      <c r="J114" s="104" t="str">
        <f t="shared" si="30"/>
        <v/>
      </c>
      <c r="K114" s="123"/>
      <c r="L114" s="104" t="str">
        <f t="shared" si="31"/>
        <v/>
      </c>
      <c r="M114" s="123"/>
      <c r="N114" s="104" t="str">
        <f t="shared" si="32"/>
        <v/>
      </c>
      <c r="O114" s="110" t="str">
        <f t="shared" si="33"/>
        <v/>
      </c>
      <c r="P114" s="104" t="str">
        <f t="shared" si="34"/>
        <v/>
      </c>
      <c r="Q114" s="111" t="str">
        <f t="shared" si="35"/>
        <v/>
      </c>
      <c r="R114" s="31"/>
      <c r="S114" s="31"/>
      <c r="T114" s="31"/>
      <c r="U114" s="31"/>
      <c r="V114" s="31"/>
      <c r="W114" s="31"/>
    </row>
    <row r="115" spans="1:23" x14ac:dyDescent="0.35">
      <c r="A115" s="122"/>
      <c r="B115" s="123"/>
      <c r="C115" s="124"/>
      <c r="D115" s="104" t="str">
        <f t="shared" si="27"/>
        <v/>
      </c>
      <c r="E115" s="123"/>
      <c r="F115" s="104" t="str">
        <f t="shared" si="28"/>
        <v/>
      </c>
      <c r="G115" s="123"/>
      <c r="H115" s="104" t="str">
        <f t="shared" si="29"/>
        <v/>
      </c>
      <c r="I115" s="123"/>
      <c r="J115" s="104" t="str">
        <f t="shared" si="30"/>
        <v/>
      </c>
      <c r="K115" s="123"/>
      <c r="L115" s="104" t="str">
        <f t="shared" si="31"/>
        <v/>
      </c>
      <c r="M115" s="123"/>
      <c r="N115" s="104" t="str">
        <f t="shared" si="32"/>
        <v/>
      </c>
      <c r="O115" s="110" t="str">
        <f t="shared" si="33"/>
        <v/>
      </c>
      <c r="P115" s="104" t="str">
        <f t="shared" si="34"/>
        <v/>
      </c>
      <c r="Q115" s="111" t="str">
        <f t="shared" si="35"/>
        <v/>
      </c>
      <c r="R115" s="31"/>
      <c r="S115" s="31"/>
      <c r="T115" s="31"/>
      <c r="U115" s="31"/>
      <c r="V115" s="31"/>
      <c r="W115" s="31"/>
    </row>
    <row r="116" spans="1:23" x14ac:dyDescent="0.35">
      <c r="A116" s="122"/>
      <c r="B116" s="123"/>
      <c r="C116" s="124"/>
      <c r="D116" s="104" t="str">
        <f t="shared" si="27"/>
        <v/>
      </c>
      <c r="E116" s="123"/>
      <c r="F116" s="104" t="str">
        <f t="shared" si="28"/>
        <v/>
      </c>
      <c r="G116" s="123"/>
      <c r="H116" s="104" t="str">
        <f t="shared" si="29"/>
        <v/>
      </c>
      <c r="I116" s="123"/>
      <c r="J116" s="104" t="str">
        <f t="shared" si="30"/>
        <v/>
      </c>
      <c r="K116" s="123"/>
      <c r="L116" s="104" t="str">
        <f t="shared" si="31"/>
        <v/>
      </c>
      <c r="M116" s="123"/>
      <c r="N116" s="104" t="str">
        <f t="shared" si="32"/>
        <v/>
      </c>
      <c r="O116" s="110" t="str">
        <f t="shared" si="33"/>
        <v/>
      </c>
      <c r="P116" s="104" t="str">
        <f t="shared" si="34"/>
        <v/>
      </c>
      <c r="Q116" s="111" t="str">
        <f t="shared" si="35"/>
        <v/>
      </c>
      <c r="R116" s="31"/>
      <c r="S116" s="31"/>
      <c r="T116" s="31"/>
      <c r="U116" s="31"/>
      <c r="V116" s="31"/>
      <c r="W116" s="31"/>
    </row>
    <row r="117" spans="1:23" x14ac:dyDescent="0.35">
      <c r="A117" s="122"/>
      <c r="B117" s="123"/>
      <c r="C117" s="124"/>
      <c r="D117" s="104" t="str">
        <f t="shared" si="27"/>
        <v/>
      </c>
      <c r="E117" s="123"/>
      <c r="F117" s="104" t="str">
        <f t="shared" si="28"/>
        <v/>
      </c>
      <c r="G117" s="123"/>
      <c r="H117" s="104" t="str">
        <f t="shared" si="29"/>
        <v/>
      </c>
      <c r="I117" s="123"/>
      <c r="J117" s="104" t="str">
        <f t="shared" si="30"/>
        <v/>
      </c>
      <c r="K117" s="123"/>
      <c r="L117" s="104" t="str">
        <f t="shared" si="31"/>
        <v/>
      </c>
      <c r="M117" s="123"/>
      <c r="N117" s="104" t="str">
        <f t="shared" si="32"/>
        <v/>
      </c>
      <c r="O117" s="110" t="str">
        <f t="shared" si="33"/>
        <v/>
      </c>
      <c r="P117" s="104" t="str">
        <f t="shared" si="34"/>
        <v/>
      </c>
      <c r="Q117" s="111" t="str">
        <f t="shared" si="35"/>
        <v/>
      </c>
      <c r="R117" s="31"/>
      <c r="S117" s="31"/>
      <c r="T117" s="31"/>
      <c r="U117" s="31"/>
      <c r="V117" s="31"/>
      <c r="W117" s="31"/>
    </row>
    <row r="118" spans="1:23" x14ac:dyDescent="0.35">
      <c r="A118" s="122"/>
      <c r="B118" s="123"/>
      <c r="C118" s="124"/>
      <c r="D118" s="104" t="str">
        <f t="shared" si="27"/>
        <v/>
      </c>
      <c r="E118" s="123"/>
      <c r="F118" s="104" t="str">
        <f t="shared" si="28"/>
        <v/>
      </c>
      <c r="G118" s="123"/>
      <c r="H118" s="104" t="str">
        <f t="shared" si="29"/>
        <v/>
      </c>
      <c r="I118" s="123"/>
      <c r="J118" s="104" t="str">
        <f t="shared" si="30"/>
        <v/>
      </c>
      <c r="K118" s="123"/>
      <c r="L118" s="104" t="str">
        <f t="shared" si="31"/>
        <v/>
      </c>
      <c r="M118" s="123"/>
      <c r="N118" s="104" t="str">
        <f t="shared" si="32"/>
        <v/>
      </c>
      <c r="O118" s="110" t="str">
        <f t="shared" si="33"/>
        <v/>
      </c>
      <c r="P118" s="104" t="str">
        <f t="shared" si="34"/>
        <v/>
      </c>
      <c r="Q118" s="111" t="str">
        <f t="shared" si="35"/>
        <v/>
      </c>
      <c r="R118" s="31"/>
      <c r="S118" s="31"/>
      <c r="T118" s="31"/>
      <c r="U118" s="31"/>
      <c r="V118" s="31"/>
      <c r="W118" s="31"/>
    </row>
    <row r="119" spans="1:23" x14ac:dyDescent="0.35">
      <c r="A119" s="122"/>
      <c r="B119" s="123"/>
      <c r="C119" s="124"/>
      <c r="D119" s="104" t="str">
        <f t="shared" si="27"/>
        <v/>
      </c>
      <c r="E119" s="123"/>
      <c r="F119" s="104" t="str">
        <f t="shared" si="28"/>
        <v/>
      </c>
      <c r="G119" s="123"/>
      <c r="H119" s="104" t="str">
        <f t="shared" si="29"/>
        <v/>
      </c>
      <c r="I119" s="123"/>
      <c r="J119" s="104" t="str">
        <f t="shared" si="30"/>
        <v/>
      </c>
      <c r="K119" s="123"/>
      <c r="L119" s="104" t="str">
        <f t="shared" si="31"/>
        <v/>
      </c>
      <c r="M119" s="123"/>
      <c r="N119" s="104" t="str">
        <f t="shared" si="32"/>
        <v/>
      </c>
      <c r="O119" s="110" t="str">
        <f t="shared" si="33"/>
        <v/>
      </c>
      <c r="P119" s="104" t="str">
        <f t="shared" si="34"/>
        <v/>
      </c>
      <c r="Q119" s="111" t="str">
        <f t="shared" si="35"/>
        <v/>
      </c>
      <c r="R119" s="31"/>
      <c r="S119" s="31"/>
      <c r="T119" s="31"/>
      <c r="U119" s="31"/>
      <c r="V119" s="31"/>
      <c r="W119" s="31"/>
    </row>
    <row r="120" spans="1:23" x14ac:dyDescent="0.35">
      <c r="A120" s="122"/>
      <c r="B120" s="123"/>
      <c r="C120" s="124"/>
      <c r="D120" s="104" t="str">
        <f t="shared" si="27"/>
        <v/>
      </c>
      <c r="E120" s="123"/>
      <c r="F120" s="104" t="str">
        <f t="shared" si="28"/>
        <v/>
      </c>
      <c r="G120" s="123"/>
      <c r="H120" s="104" t="str">
        <f t="shared" si="29"/>
        <v/>
      </c>
      <c r="I120" s="123"/>
      <c r="J120" s="104" t="str">
        <f t="shared" si="30"/>
        <v/>
      </c>
      <c r="K120" s="123"/>
      <c r="L120" s="104" t="str">
        <f t="shared" si="31"/>
        <v/>
      </c>
      <c r="M120" s="123"/>
      <c r="N120" s="104" t="str">
        <f t="shared" si="32"/>
        <v/>
      </c>
      <c r="O120" s="110" t="str">
        <f t="shared" si="33"/>
        <v/>
      </c>
      <c r="P120" s="104" t="str">
        <f t="shared" si="34"/>
        <v/>
      </c>
      <c r="Q120" s="111" t="str">
        <f t="shared" si="35"/>
        <v/>
      </c>
      <c r="R120" s="31"/>
      <c r="S120" s="31"/>
      <c r="T120" s="31"/>
      <c r="U120" s="31"/>
      <c r="V120" s="31"/>
      <c r="W120" s="31"/>
    </row>
    <row r="121" spans="1:23" x14ac:dyDescent="0.35">
      <c r="A121" s="122"/>
      <c r="B121" s="123"/>
      <c r="C121" s="124"/>
      <c r="D121" s="104" t="str">
        <f t="shared" si="27"/>
        <v/>
      </c>
      <c r="E121" s="123"/>
      <c r="F121" s="104" t="str">
        <f t="shared" si="28"/>
        <v/>
      </c>
      <c r="G121" s="123"/>
      <c r="H121" s="104" t="str">
        <f t="shared" si="29"/>
        <v/>
      </c>
      <c r="I121" s="123"/>
      <c r="J121" s="104" t="str">
        <f t="shared" si="30"/>
        <v/>
      </c>
      <c r="K121" s="123"/>
      <c r="L121" s="104" t="str">
        <f t="shared" si="31"/>
        <v/>
      </c>
      <c r="M121" s="123"/>
      <c r="N121" s="104" t="str">
        <f t="shared" si="32"/>
        <v/>
      </c>
      <c r="O121" s="110" t="str">
        <f t="shared" si="33"/>
        <v/>
      </c>
      <c r="P121" s="104" t="str">
        <f t="shared" si="34"/>
        <v/>
      </c>
      <c r="Q121" s="111" t="str">
        <f t="shared" si="35"/>
        <v/>
      </c>
      <c r="R121" s="31"/>
      <c r="S121" s="31"/>
      <c r="T121" s="31"/>
      <c r="U121" s="31"/>
      <c r="V121" s="31"/>
      <c r="W121" s="31"/>
    </row>
    <row r="122" spans="1:23" x14ac:dyDescent="0.35">
      <c r="A122" s="122"/>
      <c r="B122" s="123"/>
      <c r="C122" s="124"/>
      <c r="D122" s="104" t="str">
        <f t="shared" si="27"/>
        <v/>
      </c>
      <c r="E122" s="123"/>
      <c r="F122" s="104" t="str">
        <f t="shared" si="28"/>
        <v/>
      </c>
      <c r="G122" s="123"/>
      <c r="H122" s="104" t="str">
        <f t="shared" si="29"/>
        <v/>
      </c>
      <c r="I122" s="123"/>
      <c r="J122" s="104" t="str">
        <f t="shared" si="30"/>
        <v/>
      </c>
      <c r="K122" s="123"/>
      <c r="L122" s="104" t="str">
        <f t="shared" si="31"/>
        <v/>
      </c>
      <c r="M122" s="123"/>
      <c r="N122" s="104" t="str">
        <f t="shared" si="32"/>
        <v/>
      </c>
      <c r="O122" s="110" t="str">
        <f t="shared" si="33"/>
        <v/>
      </c>
      <c r="P122" s="104" t="str">
        <f t="shared" si="34"/>
        <v/>
      </c>
      <c r="Q122" s="111" t="str">
        <f t="shared" si="35"/>
        <v/>
      </c>
      <c r="R122" s="31"/>
      <c r="S122" s="31"/>
      <c r="T122" s="31"/>
      <c r="U122" s="31"/>
      <c r="V122" s="31"/>
      <c r="W122" s="31"/>
    </row>
    <row r="123" spans="1:23" x14ac:dyDescent="0.35">
      <c r="A123" s="122"/>
      <c r="B123" s="123"/>
      <c r="C123" s="124"/>
      <c r="D123" s="104" t="str">
        <f t="shared" si="27"/>
        <v/>
      </c>
      <c r="E123" s="123"/>
      <c r="F123" s="104" t="str">
        <f t="shared" si="28"/>
        <v/>
      </c>
      <c r="G123" s="123"/>
      <c r="H123" s="104" t="str">
        <f t="shared" si="29"/>
        <v/>
      </c>
      <c r="I123" s="123"/>
      <c r="J123" s="104" t="str">
        <f t="shared" si="30"/>
        <v/>
      </c>
      <c r="K123" s="123"/>
      <c r="L123" s="104" t="str">
        <f t="shared" si="31"/>
        <v/>
      </c>
      <c r="M123" s="123"/>
      <c r="N123" s="104" t="str">
        <f t="shared" si="32"/>
        <v/>
      </c>
      <c r="O123" s="110" t="str">
        <f t="shared" si="33"/>
        <v/>
      </c>
      <c r="P123" s="104" t="str">
        <f t="shared" si="34"/>
        <v/>
      </c>
      <c r="Q123" s="111" t="str">
        <f t="shared" si="35"/>
        <v/>
      </c>
      <c r="R123" s="31"/>
      <c r="S123" s="31"/>
      <c r="T123" s="31"/>
      <c r="U123" s="31"/>
      <c r="V123" s="31"/>
      <c r="W123" s="31"/>
    </row>
    <row r="124" spans="1:23" x14ac:dyDescent="0.35">
      <c r="A124" s="122"/>
      <c r="B124" s="123"/>
      <c r="C124" s="124"/>
      <c r="D124" s="104" t="str">
        <f t="shared" si="27"/>
        <v/>
      </c>
      <c r="E124" s="123"/>
      <c r="F124" s="104" t="str">
        <f t="shared" si="28"/>
        <v/>
      </c>
      <c r="G124" s="123"/>
      <c r="H124" s="104" t="str">
        <f t="shared" si="29"/>
        <v/>
      </c>
      <c r="I124" s="123"/>
      <c r="J124" s="104" t="str">
        <f t="shared" si="30"/>
        <v/>
      </c>
      <c r="K124" s="123"/>
      <c r="L124" s="104" t="str">
        <f t="shared" si="31"/>
        <v/>
      </c>
      <c r="M124" s="123"/>
      <c r="N124" s="104" t="str">
        <f t="shared" si="32"/>
        <v/>
      </c>
      <c r="O124" s="110" t="str">
        <f t="shared" si="33"/>
        <v/>
      </c>
      <c r="P124" s="104" t="str">
        <f t="shared" si="34"/>
        <v/>
      </c>
      <c r="Q124" s="111" t="str">
        <f t="shared" si="35"/>
        <v/>
      </c>
      <c r="R124" s="31"/>
      <c r="S124" s="31"/>
      <c r="T124" s="31"/>
      <c r="U124" s="31"/>
      <c r="V124" s="31"/>
      <c r="W124" s="31"/>
    </row>
    <row r="125" spans="1:23" x14ac:dyDescent="0.35">
      <c r="A125" s="122"/>
      <c r="B125" s="123"/>
      <c r="C125" s="124"/>
      <c r="D125" s="104" t="str">
        <f t="shared" si="27"/>
        <v/>
      </c>
      <c r="E125" s="123"/>
      <c r="F125" s="104" t="str">
        <f t="shared" si="28"/>
        <v/>
      </c>
      <c r="G125" s="123"/>
      <c r="H125" s="104" t="str">
        <f t="shared" si="29"/>
        <v/>
      </c>
      <c r="I125" s="123"/>
      <c r="J125" s="104" t="str">
        <f t="shared" si="30"/>
        <v/>
      </c>
      <c r="K125" s="123"/>
      <c r="L125" s="104" t="str">
        <f t="shared" si="31"/>
        <v/>
      </c>
      <c r="M125" s="123"/>
      <c r="N125" s="104" t="str">
        <f t="shared" si="32"/>
        <v/>
      </c>
      <c r="O125" s="110" t="str">
        <f t="shared" si="33"/>
        <v/>
      </c>
      <c r="P125" s="104" t="str">
        <f t="shared" si="34"/>
        <v/>
      </c>
      <c r="Q125" s="111" t="str">
        <f t="shared" si="35"/>
        <v/>
      </c>
      <c r="R125" s="31"/>
      <c r="S125" s="31"/>
      <c r="T125" s="31"/>
      <c r="U125" s="31"/>
      <c r="V125" s="31"/>
      <c r="W125" s="31"/>
    </row>
    <row r="126" spans="1:23" x14ac:dyDescent="0.35">
      <c r="A126" s="122"/>
      <c r="B126" s="123"/>
      <c r="C126" s="124"/>
      <c r="D126" s="104" t="str">
        <f t="shared" si="27"/>
        <v/>
      </c>
      <c r="E126" s="123"/>
      <c r="F126" s="104" t="str">
        <f t="shared" si="28"/>
        <v/>
      </c>
      <c r="G126" s="123"/>
      <c r="H126" s="104" t="str">
        <f t="shared" si="29"/>
        <v/>
      </c>
      <c r="I126" s="123"/>
      <c r="J126" s="104" t="str">
        <f t="shared" si="30"/>
        <v/>
      </c>
      <c r="K126" s="123"/>
      <c r="L126" s="104" t="str">
        <f t="shared" si="31"/>
        <v/>
      </c>
      <c r="M126" s="123"/>
      <c r="N126" s="104" t="str">
        <f t="shared" si="32"/>
        <v/>
      </c>
      <c r="O126" s="110" t="str">
        <f t="shared" si="33"/>
        <v/>
      </c>
      <c r="P126" s="104" t="str">
        <f t="shared" si="34"/>
        <v/>
      </c>
      <c r="Q126" s="111" t="str">
        <f t="shared" si="35"/>
        <v/>
      </c>
      <c r="R126" s="31"/>
      <c r="S126" s="31"/>
      <c r="T126" s="31"/>
      <c r="U126" s="31"/>
      <c r="V126" s="31"/>
      <c r="W126" s="31"/>
    </row>
    <row r="127" spans="1:23" x14ac:dyDescent="0.35">
      <c r="A127" s="122"/>
      <c r="B127" s="123"/>
      <c r="C127" s="124"/>
      <c r="D127" s="104" t="str">
        <f t="shared" si="27"/>
        <v/>
      </c>
      <c r="E127" s="123"/>
      <c r="F127" s="104" t="str">
        <f t="shared" si="28"/>
        <v/>
      </c>
      <c r="G127" s="123"/>
      <c r="H127" s="104" t="str">
        <f t="shared" si="29"/>
        <v/>
      </c>
      <c r="I127" s="123"/>
      <c r="J127" s="104" t="str">
        <f t="shared" si="30"/>
        <v/>
      </c>
      <c r="K127" s="123"/>
      <c r="L127" s="104" t="str">
        <f t="shared" si="31"/>
        <v/>
      </c>
      <c r="M127" s="123"/>
      <c r="N127" s="104" t="str">
        <f t="shared" si="32"/>
        <v/>
      </c>
      <c r="O127" s="110" t="str">
        <f t="shared" si="33"/>
        <v/>
      </c>
      <c r="P127" s="104" t="str">
        <f t="shared" si="34"/>
        <v/>
      </c>
      <c r="Q127" s="111" t="str">
        <f t="shared" si="35"/>
        <v/>
      </c>
      <c r="R127" s="31"/>
      <c r="S127" s="31"/>
      <c r="T127" s="31"/>
      <c r="U127" s="31"/>
      <c r="V127" s="31"/>
      <c r="W127" s="31"/>
    </row>
    <row r="128" spans="1:23" x14ac:dyDescent="0.35">
      <c r="A128" s="122"/>
      <c r="B128" s="123"/>
      <c r="C128" s="124"/>
      <c r="D128" s="104" t="str">
        <f t="shared" si="27"/>
        <v/>
      </c>
      <c r="E128" s="123"/>
      <c r="F128" s="104" t="str">
        <f t="shared" si="28"/>
        <v/>
      </c>
      <c r="G128" s="123"/>
      <c r="H128" s="104" t="str">
        <f t="shared" si="29"/>
        <v/>
      </c>
      <c r="I128" s="123"/>
      <c r="J128" s="104" t="str">
        <f t="shared" si="30"/>
        <v/>
      </c>
      <c r="K128" s="123"/>
      <c r="L128" s="104" t="str">
        <f t="shared" si="31"/>
        <v/>
      </c>
      <c r="M128" s="123"/>
      <c r="N128" s="104" t="str">
        <f t="shared" si="32"/>
        <v/>
      </c>
      <c r="O128" s="110" t="str">
        <f t="shared" si="33"/>
        <v/>
      </c>
      <c r="P128" s="104" t="str">
        <f t="shared" si="34"/>
        <v/>
      </c>
      <c r="Q128" s="111" t="str">
        <f t="shared" si="35"/>
        <v/>
      </c>
      <c r="R128" s="31"/>
      <c r="S128" s="31"/>
      <c r="T128" s="31"/>
      <c r="U128" s="31"/>
      <c r="V128" s="31"/>
      <c r="W128" s="31"/>
    </row>
    <row r="129" spans="1:23" x14ac:dyDescent="0.35">
      <c r="A129" s="122"/>
      <c r="B129" s="123"/>
      <c r="C129" s="124"/>
      <c r="D129" s="104" t="str">
        <f t="shared" si="27"/>
        <v/>
      </c>
      <c r="E129" s="123"/>
      <c r="F129" s="104" t="str">
        <f t="shared" si="28"/>
        <v/>
      </c>
      <c r="G129" s="123"/>
      <c r="H129" s="104" t="str">
        <f t="shared" si="29"/>
        <v/>
      </c>
      <c r="I129" s="123"/>
      <c r="J129" s="104" t="str">
        <f t="shared" si="30"/>
        <v/>
      </c>
      <c r="K129" s="123"/>
      <c r="L129" s="104" t="str">
        <f t="shared" si="31"/>
        <v/>
      </c>
      <c r="M129" s="123"/>
      <c r="N129" s="104" t="str">
        <f t="shared" si="32"/>
        <v/>
      </c>
      <c r="O129" s="110" t="str">
        <f t="shared" si="33"/>
        <v/>
      </c>
      <c r="P129" s="104" t="str">
        <f t="shared" si="34"/>
        <v/>
      </c>
      <c r="Q129" s="111" t="str">
        <f t="shared" si="35"/>
        <v/>
      </c>
      <c r="R129" s="31"/>
      <c r="S129" s="31"/>
      <c r="T129" s="31"/>
      <c r="U129" s="31"/>
      <c r="V129" s="31"/>
      <c r="W129" s="31"/>
    </row>
    <row r="130" spans="1:23" x14ac:dyDescent="0.35">
      <c r="A130" s="122"/>
      <c r="B130" s="123"/>
      <c r="C130" s="124"/>
      <c r="D130" s="104" t="str">
        <f t="shared" ref="D130:D161" si="36">IF(OR(A130="",B130="",C130=""),"",ROUND(B130*C130,2))</f>
        <v/>
      </c>
      <c r="E130" s="123"/>
      <c r="F130" s="104" t="str">
        <f t="shared" ref="F130:F161" si="37">IF(OR(A130="",E130="",C130="",NOT(ISNUMBER($U$2))),"",ROUND(E130*C130*$U$2,2))</f>
        <v/>
      </c>
      <c r="G130" s="123"/>
      <c r="H130" s="104" t="str">
        <f t="shared" ref="H130:H161" si="38">IF(OR(A130="",G130="",C130="",NOT(ISNUMBER($U$3))),"",ROUND(G130*C130*$U$3,2))</f>
        <v/>
      </c>
      <c r="I130" s="123"/>
      <c r="J130" s="104" t="str">
        <f t="shared" ref="J130:J161" si="39">IF(OR(A130="",I130="",C130="",NOT(ISNUMBER($U$4))),"",ROUND(I130*C130*$U$4,2))</f>
        <v/>
      </c>
      <c r="K130" s="123"/>
      <c r="L130" s="104" t="str">
        <f t="shared" ref="L130:L161" si="40">IF(OR(A130="",K130="",C130="",NOT(ISNUMBER($U$5))),"",ROUND(K130*C130*$U$5,2))</f>
        <v/>
      </c>
      <c r="M130" s="123"/>
      <c r="N130" s="104" t="str">
        <f t="shared" ref="N130:N161" si="41">IF(OR(A130="",M130="",C130="",NOT(ISNUMBER($U$6))),"",ROUND(M130*C130*$U$6,2))</f>
        <v/>
      </c>
      <c r="O130" s="110" t="str">
        <f t="shared" ref="O130:O161" si="42">IF(A130="","",SUM(E130,G130,I130,K130,M130))</f>
        <v/>
      </c>
      <c r="P130" s="104" t="str">
        <f t="shared" ref="P130:P161" si="43">IF(A130="","",SUM(F130,H130,J130,L130,N130))</f>
        <v/>
      </c>
      <c r="Q130" s="111" t="str">
        <f t="shared" ref="Q130:Q161" si="44">IF(A130="","",IF(O130&gt;B130,"DIVERGENCIA: CONSUMO MAIOR QUE CONTRATADO","OK"))</f>
        <v/>
      </c>
      <c r="R130" s="31"/>
      <c r="S130" s="31"/>
      <c r="T130" s="31"/>
      <c r="U130" s="31"/>
      <c r="V130" s="31"/>
      <c r="W130" s="31"/>
    </row>
    <row r="131" spans="1:23" x14ac:dyDescent="0.35">
      <c r="A131" s="122"/>
      <c r="B131" s="123"/>
      <c r="C131" s="124"/>
      <c r="D131" s="104" t="str">
        <f t="shared" si="36"/>
        <v/>
      </c>
      <c r="E131" s="123"/>
      <c r="F131" s="104" t="str">
        <f t="shared" si="37"/>
        <v/>
      </c>
      <c r="G131" s="123"/>
      <c r="H131" s="104" t="str">
        <f t="shared" si="38"/>
        <v/>
      </c>
      <c r="I131" s="123"/>
      <c r="J131" s="104" t="str">
        <f t="shared" si="39"/>
        <v/>
      </c>
      <c r="K131" s="123"/>
      <c r="L131" s="104" t="str">
        <f t="shared" si="40"/>
        <v/>
      </c>
      <c r="M131" s="123"/>
      <c r="N131" s="104" t="str">
        <f t="shared" si="41"/>
        <v/>
      </c>
      <c r="O131" s="110" t="str">
        <f t="shared" si="42"/>
        <v/>
      </c>
      <c r="P131" s="104" t="str">
        <f t="shared" si="43"/>
        <v/>
      </c>
      <c r="Q131" s="111" t="str">
        <f t="shared" si="44"/>
        <v/>
      </c>
      <c r="R131" s="31"/>
      <c r="S131" s="31"/>
      <c r="T131" s="31"/>
      <c r="U131" s="31"/>
      <c r="V131" s="31"/>
      <c r="W131" s="31"/>
    </row>
    <row r="132" spans="1:23" x14ac:dyDescent="0.35">
      <c r="A132" s="122"/>
      <c r="B132" s="123"/>
      <c r="C132" s="124"/>
      <c r="D132" s="104" t="str">
        <f t="shared" si="36"/>
        <v/>
      </c>
      <c r="E132" s="123"/>
      <c r="F132" s="104" t="str">
        <f t="shared" si="37"/>
        <v/>
      </c>
      <c r="G132" s="123"/>
      <c r="H132" s="104" t="str">
        <f t="shared" si="38"/>
        <v/>
      </c>
      <c r="I132" s="123"/>
      <c r="J132" s="104" t="str">
        <f t="shared" si="39"/>
        <v/>
      </c>
      <c r="K132" s="123"/>
      <c r="L132" s="104" t="str">
        <f t="shared" si="40"/>
        <v/>
      </c>
      <c r="M132" s="123"/>
      <c r="N132" s="104" t="str">
        <f t="shared" si="41"/>
        <v/>
      </c>
      <c r="O132" s="110" t="str">
        <f t="shared" si="42"/>
        <v/>
      </c>
      <c r="P132" s="104" t="str">
        <f t="shared" si="43"/>
        <v/>
      </c>
      <c r="Q132" s="111" t="str">
        <f t="shared" si="44"/>
        <v/>
      </c>
      <c r="R132" s="31"/>
      <c r="S132" s="31"/>
      <c r="T132" s="31"/>
      <c r="U132" s="31"/>
      <c r="V132" s="31"/>
      <c r="W132" s="31"/>
    </row>
    <row r="133" spans="1:23" x14ac:dyDescent="0.35">
      <c r="A133" s="122"/>
      <c r="B133" s="123"/>
      <c r="C133" s="124"/>
      <c r="D133" s="104" t="str">
        <f t="shared" si="36"/>
        <v/>
      </c>
      <c r="E133" s="123"/>
      <c r="F133" s="104" t="str">
        <f t="shared" si="37"/>
        <v/>
      </c>
      <c r="G133" s="123"/>
      <c r="H133" s="104" t="str">
        <f t="shared" si="38"/>
        <v/>
      </c>
      <c r="I133" s="123"/>
      <c r="J133" s="104" t="str">
        <f t="shared" si="39"/>
        <v/>
      </c>
      <c r="K133" s="123"/>
      <c r="L133" s="104" t="str">
        <f t="shared" si="40"/>
        <v/>
      </c>
      <c r="M133" s="123"/>
      <c r="N133" s="104" t="str">
        <f t="shared" si="41"/>
        <v/>
      </c>
      <c r="O133" s="110" t="str">
        <f t="shared" si="42"/>
        <v/>
      </c>
      <c r="P133" s="104" t="str">
        <f t="shared" si="43"/>
        <v/>
      </c>
      <c r="Q133" s="111" t="str">
        <f t="shared" si="44"/>
        <v/>
      </c>
      <c r="R133" s="31"/>
      <c r="S133" s="31"/>
      <c r="T133" s="31"/>
      <c r="U133" s="31"/>
      <c r="V133" s="31"/>
      <c r="W133" s="31"/>
    </row>
    <row r="134" spans="1:23" x14ac:dyDescent="0.35">
      <c r="A134" s="122"/>
      <c r="B134" s="123"/>
      <c r="C134" s="124"/>
      <c r="D134" s="104" t="str">
        <f t="shared" si="36"/>
        <v/>
      </c>
      <c r="E134" s="123"/>
      <c r="F134" s="104" t="str">
        <f t="shared" si="37"/>
        <v/>
      </c>
      <c r="G134" s="123"/>
      <c r="H134" s="104" t="str">
        <f t="shared" si="38"/>
        <v/>
      </c>
      <c r="I134" s="123"/>
      <c r="J134" s="104" t="str">
        <f t="shared" si="39"/>
        <v/>
      </c>
      <c r="K134" s="123"/>
      <c r="L134" s="104" t="str">
        <f t="shared" si="40"/>
        <v/>
      </c>
      <c r="M134" s="123"/>
      <c r="N134" s="104" t="str">
        <f t="shared" si="41"/>
        <v/>
      </c>
      <c r="O134" s="110" t="str">
        <f t="shared" si="42"/>
        <v/>
      </c>
      <c r="P134" s="104" t="str">
        <f t="shared" si="43"/>
        <v/>
      </c>
      <c r="Q134" s="111" t="str">
        <f t="shared" si="44"/>
        <v/>
      </c>
      <c r="R134" s="31"/>
      <c r="S134" s="31"/>
      <c r="T134" s="31"/>
      <c r="U134" s="31"/>
      <c r="V134" s="31"/>
      <c r="W134" s="31"/>
    </row>
    <row r="135" spans="1:23" x14ac:dyDescent="0.35">
      <c r="A135" s="122"/>
      <c r="B135" s="123"/>
      <c r="C135" s="124"/>
      <c r="D135" s="104" t="str">
        <f t="shared" si="36"/>
        <v/>
      </c>
      <c r="E135" s="123"/>
      <c r="F135" s="104" t="str">
        <f t="shared" si="37"/>
        <v/>
      </c>
      <c r="G135" s="123"/>
      <c r="H135" s="104" t="str">
        <f t="shared" si="38"/>
        <v/>
      </c>
      <c r="I135" s="123"/>
      <c r="J135" s="104" t="str">
        <f t="shared" si="39"/>
        <v/>
      </c>
      <c r="K135" s="123"/>
      <c r="L135" s="104" t="str">
        <f t="shared" si="40"/>
        <v/>
      </c>
      <c r="M135" s="123"/>
      <c r="N135" s="104" t="str">
        <f t="shared" si="41"/>
        <v/>
      </c>
      <c r="O135" s="110" t="str">
        <f t="shared" si="42"/>
        <v/>
      </c>
      <c r="P135" s="104" t="str">
        <f t="shared" si="43"/>
        <v/>
      </c>
      <c r="Q135" s="111" t="str">
        <f t="shared" si="44"/>
        <v/>
      </c>
      <c r="R135" s="31"/>
      <c r="S135" s="31"/>
      <c r="T135" s="31"/>
      <c r="U135" s="31"/>
      <c r="V135" s="31"/>
      <c r="W135" s="31"/>
    </row>
    <row r="136" spans="1:23" x14ac:dyDescent="0.35">
      <c r="A136" s="122"/>
      <c r="B136" s="123"/>
      <c r="C136" s="124"/>
      <c r="D136" s="104" t="str">
        <f t="shared" si="36"/>
        <v/>
      </c>
      <c r="E136" s="123"/>
      <c r="F136" s="104" t="str">
        <f t="shared" si="37"/>
        <v/>
      </c>
      <c r="G136" s="123"/>
      <c r="H136" s="104" t="str">
        <f t="shared" si="38"/>
        <v/>
      </c>
      <c r="I136" s="123"/>
      <c r="J136" s="104" t="str">
        <f t="shared" si="39"/>
        <v/>
      </c>
      <c r="K136" s="123"/>
      <c r="L136" s="104" t="str">
        <f t="shared" si="40"/>
        <v/>
      </c>
      <c r="M136" s="123"/>
      <c r="N136" s="104" t="str">
        <f t="shared" si="41"/>
        <v/>
      </c>
      <c r="O136" s="110" t="str">
        <f t="shared" si="42"/>
        <v/>
      </c>
      <c r="P136" s="104" t="str">
        <f t="shared" si="43"/>
        <v/>
      </c>
      <c r="Q136" s="111" t="str">
        <f t="shared" si="44"/>
        <v/>
      </c>
      <c r="R136" s="31"/>
      <c r="S136" s="31"/>
      <c r="T136" s="31"/>
      <c r="U136" s="31"/>
      <c r="V136" s="31"/>
      <c r="W136" s="31"/>
    </row>
    <row r="137" spans="1:23" x14ac:dyDescent="0.35">
      <c r="A137" s="122"/>
      <c r="B137" s="123"/>
      <c r="C137" s="124"/>
      <c r="D137" s="104" t="str">
        <f t="shared" si="36"/>
        <v/>
      </c>
      <c r="E137" s="123"/>
      <c r="F137" s="104" t="str">
        <f t="shared" si="37"/>
        <v/>
      </c>
      <c r="G137" s="123"/>
      <c r="H137" s="104" t="str">
        <f t="shared" si="38"/>
        <v/>
      </c>
      <c r="I137" s="123"/>
      <c r="J137" s="104" t="str">
        <f t="shared" si="39"/>
        <v/>
      </c>
      <c r="K137" s="123"/>
      <c r="L137" s="104" t="str">
        <f t="shared" si="40"/>
        <v/>
      </c>
      <c r="M137" s="123"/>
      <c r="N137" s="104" t="str">
        <f t="shared" si="41"/>
        <v/>
      </c>
      <c r="O137" s="110" t="str">
        <f t="shared" si="42"/>
        <v/>
      </c>
      <c r="P137" s="104" t="str">
        <f t="shared" si="43"/>
        <v/>
      </c>
      <c r="Q137" s="111" t="str">
        <f t="shared" si="44"/>
        <v/>
      </c>
      <c r="R137" s="31"/>
      <c r="S137" s="31"/>
      <c r="T137" s="31"/>
      <c r="U137" s="31"/>
      <c r="V137" s="31"/>
      <c r="W137" s="31"/>
    </row>
    <row r="138" spans="1:23" x14ac:dyDescent="0.35">
      <c r="A138" s="122"/>
      <c r="B138" s="123"/>
      <c r="C138" s="124"/>
      <c r="D138" s="104" t="str">
        <f t="shared" si="36"/>
        <v/>
      </c>
      <c r="E138" s="123"/>
      <c r="F138" s="104" t="str">
        <f t="shared" si="37"/>
        <v/>
      </c>
      <c r="G138" s="123"/>
      <c r="H138" s="104" t="str">
        <f t="shared" si="38"/>
        <v/>
      </c>
      <c r="I138" s="123"/>
      <c r="J138" s="104" t="str">
        <f t="shared" si="39"/>
        <v/>
      </c>
      <c r="K138" s="123"/>
      <c r="L138" s="104" t="str">
        <f t="shared" si="40"/>
        <v/>
      </c>
      <c r="M138" s="123"/>
      <c r="N138" s="104" t="str">
        <f t="shared" si="41"/>
        <v/>
      </c>
      <c r="O138" s="110" t="str">
        <f t="shared" si="42"/>
        <v/>
      </c>
      <c r="P138" s="104" t="str">
        <f t="shared" si="43"/>
        <v/>
      </c>
      <c r="Q138" s="111" t="str">
        <f t="shared" si="44"/>
        <v/>
      </c>
      <c r="R138" s="31"/>
      <c r="S138" s="31"/>
      <c r="T138" s="31"/>
      <c r="U138" s="31"/>
      <c r="V138" s="31"/>
      <c r="W138" s="31"/>
    </row>
    <row r="139" spans="1:23" x14ac:dyDescent="0.35">
      <c r="A139" s="122"/>
      <c r="B139" s="123"/>
      <c r="C139" s="124"/>
      <c r="D139" s="104" t="str">
        <f t="shared" si="36"/>
        <v/>
      </c>
      <c r="E139" s="123"/>
      <c r="F139" s="104" t="str">
        <f t="shared" si="37"/>
        <v/>
      </c>
      <c r="G139" s="123"/>
      <c r="H139" s="104" t="str">
        <f t="shared" si="38"/>
        <v/>
      </c>
      <c r="I139" s="123"/>
      <c r="J139" s="104" t="str">
        <f t="shared" si="39"/>
        <v/>
      </c>
      <c r="K139" s="123"/>
      <c r="L139" s="104" t="str">
        <f t="shared" si="40"/>
        <v/>
      </c>
      <c r="M139" s="123"/>
      <c r="N139" s="104" t="str">
        <f t="shared" si="41"/>
        <v/>
      </c>
      <c r="O139" s="110" t="str">
        <f t="shared" si="42"/>
        <v/>
      </c>
      <c r="P139" s="104" t="str">
        <f t="shared" si="43"/>
        <v/>
      </c>
      <c r="Q139" s="111" t="str">
        <f t="shared" si="44"/>
        <v/>
      </c>
      <c r="R139" s="31"/>
      <c r="S139" s="31"/>
      <c r="T139" s="31"/>
      <c r="U139" s="31"/>
      <c r="V139" s="31"/>
      <c r="W139" s="31"/>
    </row>
    <row r="140" spans="1:23" x14ac:dyDescent="0.35">
      <c r="A140" s="122"/>
      <c r="B140" s="123"/>
      <c r="C140" s="124"/>
      <c r="D140" s="104" t="str">
        <f t="shared" si="36"/>
        <v/>
      </c>
      <c r="E140" s="123"/>
      <c r="F140" s="104" t="str">
        <f t="shared" si="37"/>
        <v/>
      </c>
      <c r="G140" s="123"/>
      <c r="H140" s="104" t="str">
        <f t="shared" si="38"/>
        <v/>
      </c>
      <c r="I140" s="123"/>
      <c r="J140" s="104" t="str">
        <f t="shared" si="39"/>
        <v/>
      </c>
      <c r="K140" s="123"/>
      <c r="L140" s="104" t="str">
        <f t="shared" si="40"/>
        <v/>
      </c>
      <c r="M140" s="123"/>
      <c r="N140" s="104" t="str">
        <f t="shared" si="41"/>
        <v/>
      </c>
      <c r="O140" s="110" t="str">
        <f t="shared" si="42"/>
        <v/>
      </c>
      <c r="P140" s="104" t="str">
        <f t="shared" si="43"/>
        <v/>
      </c>
      <c r="Q140" s="111" t="str">
        <f t="shared" si="44"/>
        <v/>
      </c>
      <c r="R140" s="31"/>
      <c r="S140" s="31"/>
      <c r="T140" s="31"/>
      <c r="U140" s="31"/>
      <c r="V140" s="31"/>
      <c r="W140" s="31"/>
    </row>
    <row r="141" spans="1:23" x14ac:dyDescent="0.35">
      <c r="A141" s="122"/>
      <c r="B141" s="123"/>
      <c r="C141" s="124"/>
      <c r="D141" s="104" t="str">
        <f t="shared" si="36"/>
        <v/>
      </c>
      <c r="E141" s="123"/>
      <c r="F141" s="104" t="str">
        <f t="shared" si="37"/>
        <v/>
      </c>
      <c r="G141" s="123"/>
      <c r="H141" s="104" t="str">
        <f t="shared" si="38"/>
        <v/>
      </c>
      <c r="I141" s="123"/>
      <c r="J141" s="104" t="str">
        <f t="shared" si="39"/>
        <v/>
      </c>
      <c r="K141" s="123"/>
      <c r="L141" s="104" t="str">
        <f t="shared" si="40"/>
        <v/>
      </c>
      <c r="M141" s="123"/>
      <c r="N141" s="104" t="str">
        <f t="shared" si="41"/>
        <v/>
      </c>
      <c r="O141" s="110" t="str">
        <f t="shared" si="42"/>
        <v/>
      </c>
      <c r="P141" s="104" t="str">
        <f t="shared" si="43"/>
        <v/>
      </c>
      <c r="Q141" s="111" t="str">
        <f t="shared" si="44"/>
        <v/>
      </c>
      <c r="R141" s="31"/>
      <c r="S141" s="31"/>
      <c r="T141" s="31"/>
      <c r="U141" s="31"/>
      <c r="V141" s="31"/>
      <c r="W141" s="31"/>
    </row>
    <row r="142" spans="1:23" x14ac:dyDescent="0.35">
      <c r="A142" s="122"/>
      <c r="B142" s="123"/>
      <c r="C142" s="124"/>
      <c r="D142" s="104" t="str">
        <f t="shared" si="36"/>
        <v/>
      </c>
      <c r="E142" s="123"/>
      <c r="F142" s="104" t="str">
        <f t="shared" si="37"/>
        <v/>
      </c>
      <c r="G142" s="123"/>
      <c r="H142" s="104" t="str">
        <f t="shared" si="38"/>
        <v/>
      </c>
      <c r="I142" s="123"/>
      <c r="J142" s="104" t="str">
        <f t="shared" si="39"/>
        <v/>
      </c>
      <c r="K142" s="123"/>
      <c r="L142" s="104" t="str">
        <f t="shared" si="40"/>
        <v/>
      </c>
      <c r="M142" s="123"/>
      <c r="N142" s="104" t="str">
        <f t="shared" si="41"/>
        <v/>
      </c>
      <c r="O142" s="110" t="str">
        <f t="shared" si="42"/>
        <v/>
      </c>
      <c r="P142" s="104" t="str">
        <f t="shared" si="43"/>
        <v/>
      </c>
      <c r="Q142" s="111" t="str">
        <f t="shared" si="44"/>
        <v/>
      </c>
      <c r="R142" s="31"/>
      <c r="S142" s="31"/>
      <c r="T142" s="31"/>
      <c r="U142" s="31"/>
      <c r="V142" s="31"/>
      <c r="W142" s="31"/>
    </row>
    <row r="143" spans="1:23" x14ac:dyDescent="0.35">
      <c r="A143" s="122"/>
      <c r="B143" s="123"/>
      <c r="C143" s="124"/>
      <c r="D143" s="104" t="str">
        <f t="shared" si="36"/>
        <v/>
      </c>
      <c r="E143" s="123"/>
      <c r="F143" s="104" t="str">
        <f t="shared" si="37"/>
        <v/>
      </c>
      <c r="G143" s="123"/>
      <c r="H143" s="104" t="str">
        <f t="shared" si="38"/>
        <v/>
      </c>
      <c r="I143" s="123"/>
      <c r="J143" s="104" t="str">
        <f t="shared" si="39"/>
        <v/>
      </c>
      <c r="K143" s="123"/>
      <c r="L143" s="104" t="str">
        <f t="shared" si="40"/>
        <v/>
      </c>
      <c r="M143" s="123"/>
      <c r="N143" s="104" t="str">
        <f t="shared" si="41"/>
        <v/>
      </c>
      <c r="O143" s="110" t="str">
        <f t="shared" si="42"/>
        <v/>
      </c>
      <c r="P143" s="104" t="str">
        <f t="shared" si="43"/>
        <v/>
      </c>
      <c r="Q143" s="111" t="str">
        <f t="shared" si="44"/>
        <v/>
      </c>
      <c r="R143" s="31"/>
      <c r="S143" s="31"/>
      <c r="T143" s="31"/>
      <c r="U143" s="31"/>
      <c r="V143" s="31"/>
      <c r="W143" s="31"/>
    </row>
    <row r="144" spans="1:23" x14ac:dyDescent="0.35">
      <c r="A144" s="122"/>
      <c r="B144" s="123"/>
      <c r="C144" s="124"/>
      <c r="D144" s="104" t="str">
        <f t="shared" si="36"/>
        <v/>
      </c>
      <c r="E144" s="123"/>
      <c r="F144" s="104" t="str">
        <f t="shared" si="37"/>
        <v/>
      </c>
      <c r="G144" s="123"/>
      <c r="H144" s="104" t="str">
        <f t="shared" si="38"/>
        <v/>
      </c>
      <c r="I144" s="123"/>
      <c r="J144" s="104" t="str">
        <f t="shared" si="39"/>
        <v/>
      </c>
      <c r="K144" s="123"/>
      <c r="L144" s="104" t="str">
        <f t="shared" si="40"/>
        <v/>
      </c>
      <c r="M144" s="123"/>
      <c r="N144" s="104" t="str">
        <f t="shared" si="41"/>
        <v/>
      </c>
      <c r="O144" s="110" t="str">
        <f t="shared" si="42"/>
        <v/>
      </c>
      <c r="P144" s="104" t="str">
        <f t="shared" si="43"/>
        <v/>
      </c>
      <c r="Q144" s="111" t="str">
        <f t="shared" si="44"/>
        <v/>
      </c>
      <c r="R144" s="31"/>
      <c r="S144" s="31"/>
      <c r="T144" s="31"/>
      <c r="U144" s="31"/>
      <c r="V144" s="31"/>
      <c r="W144" s="31"/>
    </row>
    <row r="145" spans="1:23" x14ac:dyDescent="0.35">
      <c r="A145" s="122"/>
      <c r="B145" s="123"/>
      <c r="C145" s="124"/>
      <c r="D145" s="104" t="str">
        <f t="shared" si="36"/>
        <v/>
      </c>
      <c r="E145" s="123"/>
      <c r="F145" s="104" t="str">
        <f t="shared" si="37"/>
        <v/>
      </c>
      <c r="G145" s="123"/>
      <c r="H145" s="104" t="str">
        <f t="shared" si="38"/>
        <v/>
      </c>
      <c r="I145" s="123"/>
      <c r="J145" s="104" t="str">
        <f t="shared" si="39"/>
        <v/>
      </c>
      <c r="K145" s="123"/>
      <c r="L145" s="104" t="str">
        <f t="shared" si="40"/>
        <v/>
      </c>
      <c r="M145" s="123"/>
      <c r="N145" s="104" t="str">
        <f t="shared" si="41"/>
        <v/>
      </c>
      <c r="O145" s="110" t="str">
        <f t="shared" si="42"/>
        <v/>
      </c>
      <c r="P145" s="104" t="str">
        <f t="shared" si="43"/>
        <v/>
      </c>
      <c r="Q145" s="111" t="str">
        <f t="shared" si="44"/>
        <v/>
      </c>
      <c r="R145" s="31"/>
      <c r="S145" s="31"/>
      <c r="T145" s="31"/>
      <c r="U145" s="31"/>
      <c r="V145" s="31"/>
      <c r="W145" s="31"/>
    </row>
    <row r="146" spans="1:23" x14ac:dyDescent="0.35">
      <c r="A146" s="122"/>
      <c r="B146" s="123"/>
      <c r="C146" s="124"/>
      <c r="D146" s="104" t="str">
        <f t="shared" si="36"/>
        <v/>
      </c>
      <c r="E146" s="123"/>
      <c r="F146" s="104" t="str">
        <f t="shared" si="37"/>
        <v/>
      </c>
      <c r="G146" s="123"/>
      <c r="H146" s="104" t="str">
        <f t="shared" si="38"/>
        <v/>
      </c>
      <c r="I146" s="123"/>
      <c r="J146" s="104" t="str">
        <f t="shared" si="39"/>
        <v/>
      </c>
      <c r="K146" s="123"/>
      <c r="L146" s="104" t="str">
        <f t="shared" si="40"/>
        <v/>
      </c>
      <c r="M146" s="123"/>
      <c r="N146" s="104" t="str">
        <f t="shared" si="41"/>
        <v/>
      </c>
      <c r="O146" s="110" t="str">
        <f t="shared" si="42"/>
        <v/>
      </c>
      <c r="P146" s="104" t="str">
        <f t="shared" si="43"/>
        <v/>
      </c>
      <c r="Q146" s="111" t="str">
        <f t="shared" si="44"/>
        <v/>
      </c>
      <c r="R146" s="31"/>
      <c r="S146" s="31"/>
      <c r="T146" s="31"/>
      <c r="U146" s="31"/>
      <c r="V146" s="31"/>
      <c r="W146" s="31"/>
    </row>
    <row r="147" spans="1:23" x14ac:dyDescent="0.35">
      <c r="A147" s="122"/>
      <c r="B147" s="123"/>
      <c r="C147" s="124"/>
      <c r="D147" s="104" t="str">
        <f t="shared" si="36"/>
        <v/>
      </c>
      <c r="E147" s="123"/>
      <c r="F147" s="104" t="str">
        <f t="shared" si="37"/>
        <v/>
      </c>
      <c r="G147" s="123"/>
      <c r="H147" s="104" t="str">
        <f t="shared" si="38"/>
        <v/>
      </c>
      <c r="I147" s="123"/>
      <c r="J147" s="104" t="str">
        <f t="shared" si="39"/>
        <v/>
      </c>
      <c r="K147" s="123"/>
      <c r="L147" s="104" t="str">
        <f t="shared" si="40"/>
        <v/>
      </c>
      <c r="M147" s="123"/>
      <c r="N147" s="104" t="str">
        <f t="shared" si="41"/>
        <v/>
      </c>
      <c r="O147" s="110" t="str">
        <f t="shared" si="42"/>
        <v/>
      </c>
      <c r="P147" s="104" t="str">
        <f t="shared" si="43"/>
        <v/>
      </c>
      <c r="Q147" s="111" t="str">
        <f t="shared" si="44"/>
        <v/>
      </c>
      <c r="R147" s="31"/>
      <c r="S147" s="31"/>
      <c r="T147" s="31"/>
      <c r="U147" s="31"/>
      <c r="V147" s="31"/>
      <c r="W147" s="31"/>
    </row>
    <row r="148" spans="1:23" x14ac:dyDescent="0.35">
      <c r="A148" s="122"/>
      <c r="B148" s="123"/>
      <c r="C148" s="124"/>
      <c r="D148" s="104" t="str">
        <f t="shared" si="36"/>
        <v/>
      </c>
      <c r="E148" s="123"/>
      <c r="F148" s="104" t="str">
        <f t="shared" si="37"/>
        <v/>
      </c>
      <c r="G148" s="123"/>
      <c r="H148" s="104" t="str">
        <f t="shared" si="38"/>
        <v/>
      </c>
      <c r="I148" s="123"/>
      <c r="J148" s="104" t="str">
        <f t="shared" si="39"/>
        <v/>
      </c>
      <c r="K148" s="123"/>
      <c r="L148" s="104" t="str">
        <f t="shared" si="40"/>
        <v/>
      </c>
      <c r="M148" s="123"/>
      <c r="N148" s="104" t="str">
        <f t="shared" si="41"/>
        <v/>
      </c>
      <c r="O148" s="110" t="str">
        <f t="shared" si="42"/>
        <v/>
      </c>
      <c r="P148" s="104" t="str">
        <f t="shared" si="43"/>
        <v/>
      </c>
      <c r="Q148" s="111" t="str">
        <f t="shared" si="44"/>
        <v/>
      </c>
      <c r="R148" s="31"/>
      <c r="S148" s="31"/>
      <c r="T148" s="31"/>
      <c r="U148" s="31"/>
      <c r="V148" s="31"/>
      <c r="W148" s="31"/>
    </row>
    <row r="149" spans="1:23" x14ac:dyDescent="0.35">
      <c r="A149" s="122"/>
      <c r="B149" s="123"/>
      <c r="C149" s="124"/>
      <c r="D149" s="104" t="str">
        <f t="shared" si="36"/>
        <v/>
      </c>
      <c r="E149" s="123"/>
      <c r="F149" s="104" t="str">
        <f t="shared" si="37"/>
        <v/>
      </c>
      <c r="G149" s="123"/>
      <c r="H149" s="104" t="str">
        <f t="shared" si="38"/>
        <v/>
      </c>
      <c r="I149" s="123"/>
      <c r="J149" s="104" t="str">
        <f t="shared" si="39"/>
        <v/>
      </c>
      <c r="K149" s="123"/>
      <c r="L149" s="104" t="str">
        <f t="shared" si="40"/>
        <v/>
      </c>
      <c r="M149" s="123"/>
      <c r="N149" s="104" t="str">
        <f t="shared" si="41"/>
        <v/>
      </c>
      <c r="O149" s="110" t="str">
        <f t="shared" si="42"/>
        <v/>
      </c>
      <c r="P149" s="104" t="str">
        <f t="shared" si="43"/>
        <v/>
      </c>
      <c r="Q149" s="111" t="str">
        <f t="shared" si="44"/>
        <v/>
      </c>
      <c r="R149" s="31"/>
      <c r="S149" s="31"/>
      <c r="T149" s="31"/>
      <c r="U149" s="31"/>
      <c r="V149" s="31"/>
      <c r="W149" s="31"/>
    </row>
    <row r="150" spans="1:23" x14ac:dyDescent="0.35">
      <c r="A150" s="122"/>
      <c r="B150" s="123"/>
      <c r="C150" s="124"/>
      <c r="D150" s="104" t="str">
        <f t="shared" si="36"/>
        <v/>
      </c>
      <c r="E150" s="123"/>
      <c r="F150" s="104" t="str">
        <f t="shared" si="37"/>
        <v/>
      </c>
      <c r="G150" s="123"/>
      <c r="H150" s="104" t="str">
        <f t="shared" si="38"/>
        <v/>
      </c>
      <c r="I150" s="123"/>
      <c r="J150" s="104" t="str">
        <f t="shared" si="39"/>
        <v/>
      </c>
      <c r="K150" s="123"/>
      <c r="L150" s="104" t="str">
        <f t="shared" si="40"/>
        <v/>
      </c>
      <c r="M150" s="123"/>
      <c r="N150" s="104" t="str">
        <f t="shared" si="41"/>
        <v/>
      </c>
      <c r="O150" s="110" t="str">
        <f t="shared" si="42"/>
        <v/>
      </c>
      <c r="P150" s="104" t="str">
        <f t="shared" si="43"/>
        <v/>
      </c>
      <c r="Q150" s="111" t="str">
        <f t="shared" si="44"/>
        <v/>
      </c>
      <c r="R150" s="31"/>
      <c r="S150" s="31"/>
      <c r="T150" s="31"/>
      <c r="U150" s="31"/>
      <c r="V150" s="31"/>
      <c r="W150" s="31"/>
    </row>
    <row r="151" spans="1:23" x14ac:dyDescent="0.35">
      <c r="A151" s="122"/>
      <c r="B151" s="123"/>
      <c r="C151" s="124"/>
      <c r="D151" s="104" t="str">
        <f t="shared" si="36"/>
        <v/>
      </c>
      <c r="E151" s="123"/>
      <c r="F151" s="104" t="str">
        <f t="shared" si="37"/>
        <v/>
      </c>
      <c r="G151" s="123"/>
      <c r="H151" s="104" t="str">
        <f t="shared" si="38"/>
        <v/>
      </c>
      <c r="I151" s="123"/>
      <c r="J151" s="104" t="str">
        <f t="shared" si="39"/>
        <v/>
      </c>
      <c r="K151" s="123"/>
      <c r="L151" s="104" t="str">
        <f t="shared" si="40"/>
        <v/>
      </c>
      <c r="M151" s="123"/>
      <c r="N151" s="104" t="str">
        <f t="shared" si="41"/>
        <v/>
      </c>
      <c r="O151" s="110" t="str">
        <f t="shared" si="42"/>
        <v/>
      </c>
      <c r="P151" s="104" t="str">
        <f t="shared" si="43"/>
        <v/>
      </c>
      <c r="Q151" s="111" t="str">
        <f t="shared" si="44"/>
        <v/>
      </c>
      <c r="R151" s="31"/>
      <c r="S151" s="31"/>
      <c r="T151" s="31"/>
      <c r="U151" s="31"/>
      <c r="V151" s="31"/>
      <c r="W151" s="31"/>
    </row>
    <row r="152" spans="1:23" x14ac:dyDescent="0.35">
      <c r="A152" s="122"/>
      <c r="B152" s="123"/>
      <c r="C152" s="124"/>
      <c r="D152" s="104" t="str">
        <f t="shared" si="36"/>
        <v/>
      </c>
      <c r="E152" s="123"/>
      <c r="F152" s="104" t="str">
        <f t="shared" si="37"/>
        <v/>
      </c>
      <c r="G152" s="123"/>
      <c r="H152" s="104" t="str">
        <f t="shared" si="38"/>
        <v/>
      </c>
      <c r="I152" s="123"/>
      <c r="J152" s="104" t="str">
        <f t="shared" si="39"/>
        <v/>
      </c>
      <c r="K152" s="123"/>
      <c r="L152" s="104" t="str">
        <f t="shared" si="40"/>
        <v/>
      </c>
      <c r="M152" s="123"/>
      <c r="N152" s="104" t="str">
        <f t="shared" si="41"/>
        <v/>
      </c>
      <c r="O152" s="110" t="str">
        <f t="shared" si="42"/>
        <v/>
      </c>
      <c r="P152" s="104" t="str">
        <f t="shared" si="43"/>
        <v/>
      </c>
      <c r="Q152" s="111" t="str">
        <f t="shared" si="44"/>
        <v/>
      </c>
      <c r="R152" s="31"/>
      <c r="S152" s="31"/>
      <c r="T152" s="31"/>
      <c r="U152" s="31"/>
      <c r="V152" s="31"/>
      <c r="W152" s="31"/>
    </row>
    <row r="153" spans="1:23" x14ac:dyDescent="0.35">
      <c r="A153" s="122"/>
      <c r="B153" s="123"/>
      <c r="C153" s="124"/>
      <c r="D153" s="104" t="str">
        <f t="shared" si="36"/>
        <v/>
      </c>
      <c r="E153" s="123"/>
      <c r="F153" s="104" t="str">
        <f t="shared" si="37"/>
        <v/>
      </c>
      <c r="G153" s="123"/>
      <c r="H153" s="104" t="str">
        <f t="shared" si="38"/>
        <v/>
      </c>
      <c r="I153" s="123"/>
      <c r="J153" s="104" t="str">
        <f t="shared" si="39"/>
        <v/>
      </c>
      <c r="K153" s="123"/>
      <c r="L153" s="104" t="str">
        <f t="shared" si="40"/>
        <v/>
      </c>
      <c r="M153" s="123"/>
      <c r="N153" s="104" t="str">
        <f t="shared" si="41"/>
        <v/>
      </c>
      <c r="O153" s="110" t="str">
        <f t="shared" si="42"/>
        <v/>
      </c>
      <c r="P153" s="104" t="str">
        <f t="shared" si="43"/>
        <v/>
      </c>
      <c r="Q153" s="111" t="str">
        <f t="shared" si="44"/>
        <v/>
      </c>
      <c r="R153" s="31"/>
      <c r="S153" s="31"/>
      <c r="T153" s="31"/>
      <c r="U153" s="31"/>
      <c r="V153" s="31"/>
      <c r="W153" s="31"/>
    </row>
    <row r="154" spans="1:23" x14ac:dyDescent="0.35">
      <c r="A154" s="122"/>
      <c r="B154" s="123"/>
      <c r="C154" s="124"/>
      <c r="D154" s="104" t="str">
        <f t="shared" si="36"/>
        <v/>
      </c>
      <c r="E154" s="123"/>
      <c r="F154" s="104" t="str">
        <f t="shared" si="37"/>
        <v/>
      </c>
      <c r="G154" s="123"/>
      <c r="H154" s="104" t="str">
        <f t="shared" si="38"/>
        <v/>
      </c>
      <c r="I154" s="123"/>
      <c r="J154" s="104" t="str">
        <f t="shared" si="39"/>
        <v/>
      </c>
      <c r="K154" s="123"/>
      <c r="L154" s="104" t="str">
        <f t="shared" si="40"/>
        <v/>
      </c>
      <c r="M154" s="123"/>
      <c r="N154" s="104" t="str">
        <f t="shared" si="41"/>
        <v/>
      </c>
      <c r="O154" s="110" t="str">
        <f t="shared" si="42"/>
        <v/>
      </c>
      <c r="P154" s="104" t="str">
        <f t="shared" si="43"/>
        <v/>
      </c>
      <c r="Q154" s="111" t="str">
        <f t="shared" si="44"/>
        <v/>
      </c>
      <c r="R154" s="31"/>
      <c r="S154" s="31"/>
      <c r="T154" s="31"/>
      <c r="U154" s="31"/>
      <c r="V154" s="31"/>
      <c r="W154" s="31"/>
    </row>
    <row r="155" spans="1:23" x14ac:dyDescent="0.35">
      <c r="A155" s="122"/>
      <c r="B155" s="123"/>
      <c r="C155" s="124"/>
      <c r="D155" s="104" t="str">
        <f t="shared" si="36"/>
        <v/>
      </c>
      <c r="E155" s="123"/>
      <c r="F155" s="104" t="str">
        <f t="shared" si="37"/>
        <v/>
      </c>
      <c r="G155" s="123"/>
      <c r="H155" s="104" t="str">
        <f t="shared" si="38"/>
        <v/>
      </c>
      <c r="I155" s="123"/>
      <c r="J155" s="104" t="str">
        <f t="shared" si="39"/>
        <v/>
      </c>
      <c r="K155" s="123"/>
      <c r="L155" s="104" t="str">
        <f t="shared" si="40"/>
        <v/>
      </c>
      <c r="M155" s="123"/>
      <c r="N155" s="104" t="str">
        <f t="shared" si="41"/>
        <v/>
      </c>
      <c r="O155" s="110" t="str">
        <f t="shared" si="42"/>
        <v/>
      </c>
      <c r="P155" s="104" t="str">
        <f t="shared" si="43"/>
        <v/>
      </c>
      <c r="Q155" s="111" t="str">
        <f t="shared" si="44"/>
        <v/>
      </c>
      <c r="R155" s="31"/>
      <c r="S155" s="31"/>
      <c r="T155" s="31"/>
      <c r="U155" s="31"/>
      <c r="V155" s="31"/>
      <c r="W155" s="31"/>
    </row>
    <row r="156" spans="1:23" x14ac:dyDescent="0.35">
      <c r="A156" s="122"/>
      <c r="B156" s="123"/>
      <c r="C156" s="124"/>
      <c r="D156" s="104" t="str">
        <f t="shared" si="36"/>
        <v/>
      </c>
      <c r="E156" s="123"/>
      <c r="F156" s="104" t="str">
        <f t="shared" si="37"/>
        <v/>
      </c>
      <c r="G156" s="123"/>
      <c r="H156" s="104" t="str">
        <f t="shared" si="38"/>
        <v/>
      </c>
      <c r="I156" s="123"/>
      <c r="J156" s="104" t="str">
        <f t="shared" si="39"/>
        <v/>
      </c>
      <c r="K156" s="123"/>
      <c r="L156" s="104" t="str">
        <f t="shared" si="40"/>
        <v/>
      </c>
      <c r="M156" s="123"/>
      <c r="N156" s="104" t="str">
        <f t="shared" si="41"/>
        <v/>
      </c>
      <c r="O156" s="110" t="str">
        <f t="shared" si="42"/>
        <v/>
      </c>
      <c r="P156" s="104" t="str">
        <f t="shared" si="43"/>
        <v/>
      </c>
      <c r="Q156" s="111" t="str">
        <f t="shared" si="44"/>
        <v/>
      </c>
      <c r="R156" s="31"/>
      <c r="S156" s="31"/>
      <c r="T156" s="31"/>
      <c r="U156" s="31"/>
      <c r="V156" s="31"/>
      <c r="W156" s="31"/>
    </row>
    <row r="157" spans="1:23" x14ac:dyDescent="0.35">
      <c r="A157" s="122"/>
      <c r="B157" s="123"/>
      <c r="C157" s="124"/>
      <c r="D157" s="104" t="str">
        <f t="shared" si="36"/>
        <v/>
      </c>
      <c r="E157" s="123"/>
      <c r="F157" s="104" t="str">
        <f t="shared" si="37"/>
        <v/>
      </c>
      <c r="G157" s="123"/>
      <c r="H157" s="104" t="str">
        <f t="shared" si="38"/>
        <v/>
      </c>
      <c r="I157" s="123"/>
      <c r="J157" s="104" t="str">
        <f t="shared" si="39"/>
        <v/>
      </c>
      <c r="K157" s="123"/>
      <c r="L157" s="104" t="str">
        <f t="shared" si="40"/>
        <v/>
      </c>
      <c r="M157" s="123"/>
      <c r="N157" s="104" t="str">
        <f t="shared" si="41"/>
        <v/>
      </c>
      <c r="O157" s="110" t="str">
        <f t="shared" si="42"/>
        <v/>
      </c>
      <c r="P157" s="104" t="str">
        <f t="shared" si="43"/>
        <v/>
      </c>
      <c r="Q157" s="111" t="str">
        <f t="shared" si="44"/>
        <v/>
      </c>
      <c r="R157" s="31"/>
      <c r="S157" s="31"/>
      <c r="T157" s="31"/>
      <c r="U157" s="31"/>
      <c r="V157" s="31"/>
      <c r="W157" s="31"/>
    </row>
    <row r="158" spans="1:23" x14ac:dyDescent="0.35">
      <c r="A158" s="122"/>
      <c r="B158" s="123"/>
      <c r="C158" s="124"/>
      <c r="D158" s="104" t="str">
        <f t="shared" si="36"/>
        <v/>
      </c>
      <c r="E158" s="123"/>
      <c r="F158" s="104" t="str">
        <f t="shared" si="37"/>
        <v/>
      </c>
      <c r="G158" s="123"/>
      <c r="H158" s="104" t="str">
        <f t="shared" si="38"/>
        <v/>
      </c>
      <c r="I158" s="123"/>
      <c r="J158" s="104" t="str">
        <f t="shared" si="39"/>
        <v/>
      </c>
      <c r="K158" s="123"/>
      <c r="L158" s="104" t="str">
        <f t="shared" si="40"/>
        <v/>
      </c>
      <c r="M158" s="123"/>
      <c r="N158" s="104" t="str">
        <f t="shared" si="41"/>
        <v/>
      </c>
      <c r="O158" s="110" t="str">
        <f t="shared" si="42"/>
        <v/>
      </c>
      <c r="P158" s="104" t="str">
        <f t="shared" si="43"/>
        <v/>
      </c>
      <c r="Q158" s="111" t="str">
        <f t="shared" si="44"/>
        <v/>
      </c>
      <c r="R158" s="31"/>
      <c r="S158" s="31"/>
      <c r="T158" s="31"/>
      <c r="U158" s="31"/>
      <c r="V158" s="31"/>
      <c r="W158" s="31"/>
    </row>
    <row r="159" spans="1:23" x14ac:dyDescent="0.35">
      <c r="A159" s="122"/>
      <c r="B159" s="123"/>
      <c r="C159" s="124"/>
      <c r="D159" s="104" t="str">
        <f t="shared" si="36"/>
        <v/>
      </c>
      <c r="E159" s="123"/>
      <c r="F159" s="104" t="str">
        <f t="shared" si="37"/>
        <v/>
      </c>
      <c r="G159" s="123"/>
      <c r="H159" s="104" t="str">
        <f t="shared" si="38"/>
        <v/>
      </c>
      <c r="I159" s="123"/>
      <c r="J159" s="104" t="str">
        <f t="shared" si="39"/>
        <v/>
      </c>
      <c r="K159" s="123"/>
      <c r="L159" s="104" t="str">
        <f t="shared" si="40"/>
        <v/>
      </c>
      <c r="M159" s="123"/>
      <c r="N159" s="104" t="str">
        <f t="shared" si="41"/>
        <v/>
      </c>
      <c r="O159" s="110" t="str">
        <f t="shared" si="42"/>
        <v/>
      </c>
      <c r="P159" s="104" t="str">
        <f t="shared" si="43"/>
        <v/>
      </c>
      <c r="Q159" s="111" t="str">
        <f t="shared" si="44"/>
        <v/>
      </c>
      <c r="R159" s="31"/>
      <c r="S159" s="31"/>
      <c r="T159" s="31"/>
      <c r="U159" s="31"/>
      <c r="V159" s="31"/>
      <c r="W159" s="31"/>
    </row>
    <row r="160" spans="1:23" x14ac:dyDescent="0.35">
      <c r="A160" s="122"/>
      <c r="B160" s="123"/>
      <c r="C160" s="124"/>
      <c r="D160" s="104" t="str">
        <f t="shared" si="36"/>
        <v/>
      </c>
      <c r="E160" s="123"/>
      <c r="F160" s="104" t="str">
        <f t="shared" si="37"/>
        <v/>
      </c>
      <c r="G160" s="123"/>
      <c r="H160" s="104" t="str">
        <f t="shared" si="38"/>
        <v/>
      </c>
      <c r="I160" s="123"/>
      <c r="J160" s="104" t="str">
        <f t="shared" si="39"/>
        <v/>
      </c>
      <c r="K160" s="123"/>
      <c r="L160" s="104" t="str">
        <f t="shared" si="40"/>
        <v/>
      </c>
      <c r="M160" s="123"/>
      <c r="N160" s="104" t="str">
        <f t="shared" si="41"/>
        <v/>
      </c>
      <c r="O160" s="110" t="str">
        <f t="shared" si="42"/>
        <v/>
      </c>
      <c r="P160" s="104" t="str">
        <f t="shared" si="43"/>
        <v/>
      </c>
      <c r="Q160" s="111" t="str">
        <f t="shared" si="44"/>
        <v/>
      </c>
      <c r="R160" s="31"/>
      <c r="S160" s="31"/>
      <c r="T160" s="31"/>
      <c r="U160" s="31"/>
      <c r="V160" s="31"/>
      <c r="W160" s="31"/>
    </row>
    <row r="161" spans="1:23" x14ac:dyDescent="0.35">
      <c r="A161" s="122"/>
      <c r="B161" s="123"/>
      <c r="C161" s="124"/>
      <c r="D161" s="104" t="str">
        <f t="shared" si="36"/>
        <v/>
      </c>
      <c r="E161" s="123"/>
      <c r="F161" s="104" t="str">
        <f t="shared" si="37"/>
        <v/>
      </c>
      <c r="G161" s="123"/>
      <c r="H161" s="104" t="str">
        <f t="shared" si="38"/>
        <v/>
      </c>
      <c r="I161" s="123"/>
      <c r="J161" s="104" t="str">
        <f t="shared" si="39"/>
        <v/>
      </c>
      <c r="K161" s="123"/>
      <c r="L161" s="104" t="str">
        <f t="shared" si="40"/>
        <v/>
      </c>
      <c r="M161" s="123"/>
      <c r="N161" s="104" t="str">
        <f t="shared" si="41"/>
        <v/>
      </c>
      <c r="O161" s="110" t="str">
        <f t="shared" si="42"/>
        <v/>
      </c>
      <c r="P161" s="104" t="str">
        <f t="shared" si="43"/>
        <v/>
      </c>
      <c r="Q161" s="111" t="str">
        <f t="shared" si="44"/>
        <v/>
      </c>
      <c r="R161" s="31"/>
      <c r="S161" s="31"/>
      <c r="T161" s="31"/>
      <c r="U161" s="31"/>
      <c r="V161" s="31"/>
      <c r="W161" s="31"/>
    </row>
    <row r="162" spans="1:23" x14ac:dyDescent="0.35">
      <c r="A162" s="122"/>
      <c r="B162" s="123"/>
      <c r="C162" s="124"/>
      <c r="D162" s="104" t="str">
        <f t="shared" ref="D162:D193" si="45">IF(OR(A162="",B162="",C162=""),"",ROUND(B162*C162,2))</f>
        <v/>
      </c>
      <c r="E162" s="123"/>
      <c r="F162" s="104" t="str">
        <f t="shared" ref="F162:F193" si="46">IF(OR(A162="",E162="",C162="",NOT(ISNUMBER($U$2))),"",ROUND(E162*C162*$U$2,2))</f>
        <v/>
      </c>
      <c r="G162" s="123"/>
      <c r="H162" s="104" t="str">
        <f t="shared" ref="H162:H193" si="47">IF(OR(A162="",G162="",C162="",NOT(ISNUMBER($U$3))),"",ROUND(G162*C162*$U$3,2))</f>
        <v/>
      </c>
      <c r="I162" s="123"/>
      <c r="J162" s="104" t="str">
        <f t="shared" ref="J162:J193" si="48">IF(OR(A162="",I162="",C162="",NOT(ISNUMBER($U$4))),"",ROUND(I162*C162*$U$4,2))</f>
        <v/>
      </c>
      <c r="K162" s="123"/>
      <c r="L162" s="104" t="str">
        <f t="shared" ref="L162:L193" si="49">IF(OR(A162="",K162="",C162="",NOT(ISNUMBER($U$5))),"",ROUND(K162*C162*$U$5,2))</f>
        <v/>
      </c>
      <c r="M162" s="123"/>
      <c r="N162" s="104" t="str">
        <f t="shared" ref="N162:N193" si="50">IF(OR(A162="",M162="",C162="",NOT(ISNUMBER($U$6))),"",ROUND(M162*C162*$U$6,2))</f>
        <v/>
      </c>
      <c r="O162" s="110" t="str">
        <f t="shared" ref="O162:O193" si="51">IF(A162="","",SUM(E162,G162,I162,K162,M162))</f>
        <v/>
      </c>
      <c r="P162" s="104" t="str">
        <f t="shared" ref="P162:P193" si="52">IF(A162="","",SUM(F162,H162,J162,L162,N162))</f>
        <v/>
      </c>
      <c r="Q162" s="111" t="str">
        <f t="shared" ref="Q162:Q193" si="53">IF(A162="","",IF(O162&gt;B162,"DIVERGENCIA: CONSUMO MAIOR QUE CONTRATADO","OK"))</f>
        <v/>
      </c>
      <c r="R162" s="31"/>
      <c r="S162" s="31"/>
      <c r="T162" s="31"/>
      <c r="U162" s="31"/>
      <c r="V162" s="31"/>
      <c r="W162" s="31"/>
    </row>
    <row r="163" spans="1:23" x14ac:dyDescent="0.35">
      <c r="A163" s="122"/>
      <c r="B163" s="123"/>
      <c r="C163" s="124"/>
      <c r="D163" s="104" t="str">
        <f t="shared" si="45"/>
        <v/>
      </c>
      <c r="E163" s="123"/>
      <c r="F163" s="104" t="str">
        <f t="shared" si="46"/>
        <v/>
      </c>
      <c r="G163" s="123"/>
      <c r="H163" s="104" t="str">
        <f t="shared" si="47"/>
        <v/>
      </c>
      <c r="I163" s="123"/>
      <c r="J163" s="104" t="str">
        <f t="shared" si="48"/>
        <v/>
      </c>
      <c r="K163" s="123"/>
      <c r="L163" s="104" t="str">
        <f t="shared" si="49"/>
        <v/>
      </c>
      <c r="M163" s="123"/>
      <c r="N163" s="104" t="str">
        <f t="shared" si="50"/>
        <v/>
      </c>
      <c r="O163" s="110" t="str">
        <f t="shared" si="51"/>
        <v/>
      </c>
      <c r="P163" s="104" t="str">
        <f t="shared" si="52"/>
        <v/>
      </c>
      <c r="Q163" s="111" t="str">
        <f t="shared" si="53"/>
        <v/>
      </c>
      <c r="R163" s="31"/>
      <c r="S163" s="31"/>
      <c r="T163" s="31"/>
      <c r="U163" s="31"/>
      <c r="V163" s="31"/>
      <c r="W163" s="31"/>
    </row>
    <row r="164" spans="1:23" x14ac:dyDescent="0.35">
      <c r="A164" s="122"/>
      <c r="B164" s="123"/>
      <c r="C164" s="124"/>
      <c r="D164" s="104" t="str">
        <f t="shared" si="45"/>
        <v/>
      </c>
      <c r="E164" s="123"/>
      <c r="F164" s="104" t="str">
        <f t="shared" si="46"/>
        <v/>
      </c>
      <c r="G164" s="123"/>
      <c r="H164" s="104" t="str">
        <f t="shared" si="47"/>
        <v/>
      </c>
      <c r="I164" s="123"/>
      <c r="J164" s="104" t="str">
        <f t="shared" si="48"/>
        <v/>
      </c>
      <c r="K164" s="123"/>
      <c r="L164" s="104" t="str">
        <f t="shared" si="49"/>
        <v/>
      </c>
      <c r="M164" s="123"/>
      <c r="N164" s="104" t="str">
        <f t="shared" si="50"/>
        <v/>
      </c>
      <c r="O164" s="110" t="str">
        <f t="shared" si="51"/>
        <v/>
      </c>
      <c r="P164" s="104" t="str">
        <f t="shared" si="52"/>
        <v/>
      </c>
      <c r="Q164" s="111" t="str">
        <f t="shared" si="53"/>
        <v/>
      </c>
      <c r="R164" s="31"/>
      <c r="S164" s="31"/>
      <c r="T164" s="31"/>
      <c r="U164" s="31"/>
      <c r="V164" s="31"/>
      <c r="W164" s="31"/>
    </row>
    <row r="165" spans="1:23" x14ac:dyDescent="0.35">
      <c r="A165" s="122"/>
      <c r="B165" s="123"/>
      <c r="C165" s="124"/>
      <c r="D165" s="104" t="str">
        <f t="shared" si="45"/>
        <v/>
      </c>
      <c r="E165" s="123"/>
      <c r="F165" s="104" t="str">
        <f t="shared" si="46"/>
        <v/>
      </c>
      <c r="G165" s="123"/>
      <c r="H165" s="104" t="str">
        <f t="shared" si="47"/>
        <v/>
      </c>
      <c r="I165" s="123"/>
      <c r="J165" s="104" t="str">
        <f t="shared" si="48"/>
        <v/>
      </c>
      <c r="K165" s="123"/>
      <c r="L165" s="104" t="str">
        <f t="shared" si="49"/>
        <v/>
      </c>
      <c r="M165" s="123"/>
      <c r="N165" s="104" t="str">
        <f t="shared" si="50"/>
        <v/>
      </c>
      <c r="O165" s="110" t="str">
        <f t="shared" si="51"/>
        <v/>
      </c>
      <c r="P165" s="104" t="str">
        <f t="shared" si="52"/>
        <v/>
      </c>
      <c r="Q165" s="111" t="str">
        <f t="shared" si="53"/>
        <v/>
      </c>
      <c r="R165" s="31"/>
      <c r="S165" s="31"/>
      <c r="T165" s="31"/>
      <c r="U165" s="31"/>
      <c r="V165" s="31"/>
      <c r="W165" s="31"/>
    </row>
    <row r="166" spans="1:23" x14ac:dyDescent="0.35">
      <c r="A166" s="122"/>
      <c r="B166" s="123"/>
      <c r="C166" s="124"/>
      <c r="D166" s="104" t="str">
        <f t="shared" si="45"/>
        <v/>
      </c>
      <c r="E166" s="123"/>
      <c r="F166" s="104" t="str">
        <f t="shared" si="46"/>
        <v/>
      </c>
      <c r="G166" s="123"/>
      <c r="H166" s="104" t="str">
        <f t="shared" si="47"/>
        <v/>
      </c>
      <c r="I166" s="123"/>
      <c r="J166" s="104" t="str">
        <f t="shared" si="48"/>
        <v/>
      </c>
      <c r="K166" s="123"/>
      <c r="L166" s="104" t="str">
        <f t="shared" si="49"/>
        <v/>
      </c>
      <c r="M166" s="123"/>
      <c r="N166" s="104" t="str">
        <f t="shared" si="50"/>
        <v/>
      </c>
      <c r="O166" s="110" t="str">
        <f t="shared" si="51"/>
        <v/>
      </c>
      <c r="P166" s="104" t="str">
        <f t="shared" si="52"/>
        <v/>
      </c>
      <c r="Q166" s="111" t="str">
        <f t="shared" si="53"/>
        <v/>
      </c>
      <c r="R166" s="31"/>
      <c r="S166" s="31"/>
      <c r="T166" s="31"/>
      <c r="U166" s="31"/>
      <c r="V166" s="31"/>
      <c r="W166" s="31"/>
    </row>
    <row r="167" spans="1:23" x14ac:dyDescent="0.35">
      <c r="A167" s="122"/>
      <c r="B167" s="123"/>
      <c r="C167" s="124"/>
      <c r="D167" s="104" t="str">
        <f t="shared" si="45"/>
        <v/>
      </c>
      <c r="E167" s="123"/>
      <c r="F167" s="104" t="str">
        <f t="shared" si="46"/>
        <v/>
      </c>
      <c r="G167" s="123"/>
      <c r="H167" s="104" t="str">
        <f t="shared" si="47"/>
        <v/>
      </c>
      <c r="I167" s="123"/>
      <c r="J167" s="104" t="str">
        <f t="shared" si="48"/>
        <v/>
      </c>
      <c r="K167" s="123"/>
      <c r="L167" s="104" t="str">
        <f t="shared" si="49"/>
        <v/>
      </c>
      <c r="M167" s="123"/>
      <c r="N167" s="104" t="str">
        <f t="shared" si="50"/>
        <v/>
      </c>
      <c r="O167" s="110" t="str">
        <f t="shared" si="51"/>
        <v/>
      </c>
      <c r="P167" s="104" t="str">
        <f t="shared" si="52"/>
        <v/>
      </c>
      <c r="Q167" s="111" t="str">
        <f t="shared" si="53"/>
        <v/>
      </c>
      <c r="R167" s="31"/>
      <c r="S167" s="31"/>
      <c r="T167" s="31"/>
      <c r="U167" s="31"/>
      <c r="V167" s="31"/>
      <c r="W167" s="31"/>
    </row>
    <row r="168" spans="1:23" x14ac:dyDescent="0.35">
      <c r="A168" s="122"/>
      <c r="B168" s="123"/>
      <c r="C168" s="124"/>
      <c r="D168" s="104" t="str">
        <f t="shared" si="45"/>
        <v/>
      </c>
      <c r="E168" s="123"/>
      <c r="F168" s="104" t="str">
        <f t="shared" si="46"/>
        <v/>
      </c>
      <c r="G168" s="123"/>
      <c r="H168" s="104" t="str">
        <f t="shared" si="47"/>
        <v/>
      </c>
      <c r="I168" s="123"/>
      <c r="J168" s="104" t="str">
        <f t="shared" si="48"/>
        <v/>
      </c>
      <c r="K168" s="123"/>
      <c r="L168" s="104" t="str">
        <f t="shared" si="49"/>
        <v/>
      </c>
      <c r="M168" s="123"/>
      <c r="N168" s="104" t="str">
        <f t="shared" si="50"/>
        <v/>
      </c>
      <c r="O168" s="110" t="str">
        <f t="shared" si="51"/>
        <v/>
      </c>
      <c r="P168" s="104" t="str">
        <f t="shared" si="52"/>
        <v/>
      </c>
      <c r="Q168" s="111" t="str">
        <f t="shared" si="53"/>
        <v/>
      </c>
      <c r="R168" s="31"/>
      <c r="S168" s="31"/>
      <c r="T168" s="31"/>
      <c r="U168" s="31"/>
      <c r="V168" s="31"/>
      <c r="W168" s="31"/>
    </row>
    <row r="169" spans="1:23" x14ac:dyDescent="0.35">
      <c r="A169" s="122"/>
      <c r="B169" s="123"/>
      <c r="C169" s="124"/>
      <c r="D169" s="104" t="str">
        <f t="shared" si="45"/>
        <v/>
      </c>
      <c r="E169" s="123"/>
      <c r="F169" s="104" t="str">
        <f t="shared" si="46"/>
        <v/>
      </c>
      <c r="G169" s="123"/>
      <c r="H169" s="104" t="str">
        <f t="shared" si="47"/>
        <v/>
      </c>
      <c r="I169" s="123"/>
      <c r="J169" s="104" t="str">
        <f t="shared" si="48"/>
        <v/>
      </c>
      <c r="K169" s="123"/>
      <c r="L169" s="104" t="str">
        <f t="shared" si="49"/>
        <v/>
      </c>
      <c r="M169" s="123"/>
      <c r="N169" s="104" t="str">
        <f t="shared" si="50"/>
        <v/>
      </c>
      <c r="O169" s="110" t="str">
        <f t="shared" si="51"/>
        <v/>
      </c>
      <c r="P169" s="104" t="str">
        <f t="shared" si="52"/>
        <v/>
      </c>
      <c r="Q169" s="111" t="str">
        <f t="shared" si="53"/>
        <v/>
      </c>
      <c r="R169" s="31"/>
      <c r="S169" s="31"/>
      <c r="T169" s="31"/>
      <c r="U169" s="31"/>
      <c r="V169" s="31"/>
      <c r="W169" s="31"/>
    </row>
    <row r="170" spans="1:23" x14ac:dyDescent="0.35">
      <c r="A170" s="122"/>
      <c r="B170" s="123"/>
      <c r="C170" s="124"/>
      <c r="D170" s="104" t="str">
        <f t="shared" si="45"/>
        <v/>
      </c>
      <c r="E170" s="123"/>
      <c r="F170" s="104" t="str">
        <f t="shared" si="46"/>
        <v/>
      </c>
      <c r="G170" s="123"/>
      <c r="H170" s="104" t="str">
        <f t="shared" si="47"/>
        <v/>
      </c>
      <c r="I170" s="123"/>
      <c r="J170" s="104" t="str">
        <f t="shared" si="48"/>
        <v/>
      </c>
      <c r="K170" s="123"/>
      <c r="L170" s="104" t="str">
        <f t="shared" si="49"/>
        <v/>
      </c>
      <c r="M170" s="123"/>
      <c r="N170" s="104" t="str">
        <f t="shared" si="50"/>
        <v/>
      </c>
      <c r="O170" s="110" t="str">
        <f t="shared" si="51"/>
        <v/>
      </c>
      <c r="P170" s="104" t="str">
        <f t="shared" si="52"/>
        <v/>
      </c>
      <c r="Q170" s="111" t="str">
        <f t="shared" si="53"/>
        <v/>
      </c>
      <c r="R170" s="31"/>
      <c r="S170" s="31"/>
      <c r="T170" s="31"/>
      <c r="U170" s="31"/>
      <c r="V170" s="31"/>
      <c r="W170" s="31"/>
    </row>
    <row r="171" spans="1:23" x14ac:dyDescent="0.35">
      <c r="A171" s="122"/>
      <c r="B171" s="123"/>
      <c r="C171" s="124"/>
      <c r="D171" s="104" t="str">
        <f t="shared" si="45"/>
        <v/>
      </c>
      <c r="E171" s="123"/>
      <c r="F171" s="104" t="str">
        <f t="shared" si="46"/>
        <v/>
      </c>
      <c r="G171" s="123"/>
      <c r="H171" s="104" t="str">
        <f t="shared" si="47"/>
        <v/>
      </c>
      <c r="I171" s="123"/>
      <c r="J171" s="104" t="str">
        <f t="shared" si="48"/>
        <v/>
      </c>
      <c r="K171" s="123"/>
      <c r="L171" s="104" t="str">
        <f t="shared" si="49"/>
        <v/>
      </c>
      <c r="M171" s="123"/>
      <c r="N171" s="104" t="str">
        <f t="shared" si="50"/>
        <v/>
      </c>
      <c r="O171" s="110" t="str">
        <f t="shared" si="51"/>
        <v/>
      </c>
      <c r="P171" s="104" t="str">
        <f t="shared" si="52"/>
        <v/>
      </c>
      <c r="Q171" s="111" t="str">
        <f t="shared" si="53"/>
        <v/>
      </c>
      <c r="R171" s="31"/>
      <c r="S171" s="31"/>
      <c r="T171" s="31"/>
      <c r="U171" s="31"/>
      <c r="V171" s="31"/>
      <c r="W171" s="31"/>
    </row>
    <row r="172" spans="1:23" x14ac:dyDescent="0.35">
      <c r="A172" s="122"/>
      <c r="B172" s="123"/>
      <c r="C172" s="124"/>
      <c r="D172" s="104" t="str">
        <f t="shared" si="45"/>
        <v/>
      </c>
      <c r="E172" s="123"/>
      <c r="F172" s="104" t="str">
        <f t="shared" si="46"/>
        <v/>
      </c>
      <c r="G172" s="123"/>
      <c r="H172" s="104" t="str">
        <f t="shared" si="47"/>
        <v/>
      </c>
      <c r="I172" s="123"/>
      <c r="J172" s="104" t="str">
        <f t="shared" si="48"/>
        <v/>
      </c>
      <c r="K172" s="123"/>
      <c r="L172" s="104" t="str">
        <f t="shared" si="49"/>
        <v/>
      </c>
      <c r="M172" s="123"/>
      <c r="N172" s="104" t="str">
        <f t="shared" si="50"/>
        <v/>
      </c>
      <c r="O172" s="110" t="str">
        <f t="shared" si="51"/>
        <v/>
      </c>
      <c r="P172" s="104" t="str">
        <f t="shared" si="52"/>
        <v/>
      </c>
      <c r="Q172" s="111" t="str">
        <f t="shared" si="53"/>
        <v/>
      </c>
      <c r="R172" s="31"/>
      <c r="S172" s="31"/>
      <c r="T172" s="31"/>
      <c r="U172" s="31"/>
      <c r="V172" s="31"/>
      <c r="W172" s="31"/>
    </row>
    <row r="173" spans="1:23" x14ac:dyDescent="0.35">
      <c r="A173" s="122"/>
      <c r="B173" s="123"/>
      <c r="C173" s="124"/>
      <c r="D173" s="104" t="str">
        <f t="shared" si="45"/>
        <v/>
      </c>
      <c r="E173" s="123"/>
      <c r="F173" s="104" t="str">
        <f t="shared" si="46"/>
        <v/>
      </c>
      <c r="G173" s="123"/>
      <c r="H173" s="104" t="str">
        <f t="shared" si="47"/>
        <v/>
      </c>
      <c r="I173" s="123"/>
      <c r="J173" s="104" t="str">
        <f t="shared" si="48"/>
        <v/>
      </c>
      <c r="K173" s="123"/>
      <c r="L173" s="104" t="str">
        <f t="shared" si="49"/>
        <v/>
      </c>
      <c r="M173" s="123"/>
      <c r="N173" s="104" t="str">
        <f t="shared" si="50"/>
        <v/>
      </c>
      <c r="O173" s="110" t="str">
        <f t="shared" si="51"/>
        <v/>
      </c>
      <c r="P173" s="104" t="str">
        <f t="shared" si="52"/>
        <v/>
      </c>
      <c r="Q173" s="111" t="str">
        <f t="shared" si="53"/>
        <v/>
      </c>
      <c r="R173" s="31"/>
      <c r="S173" s="31"/>
      <c r="T173" s="31"/>
      <c r="U173" s="31"/>
      <c r="V173" s="31"/>
      <c r="W173" s="31"/>
    </row>
    <row r="174" spans="1:23" x14ac:dyDescent="0.35">
      <c r="A174" s="122"/>
      <c r="B174" s="123"/>
      <c r="C174" s="124"/>
      <c r="D174" s="104" t="str">
        <f t="shared" si="45"/>
        <v/>
      </c>
      <c r="E174" s="123"/>
      <c r="F174" s="104" t="str">
        <f t="shared" si="46"/>
        <v/>
      </c>
      <c r="G174" s="123"/>
      <c r="H174" s="104" t="str">
        <f t="shared" si="47"/>
        <v/>
      </c>
      <c r="I174" s="123"/>
      <c r="J174" s="104" t="str">
        <f t="shared" si="48"/>
        <v/>
      </c>
      <c r="K174" s="123"/>
      <c r="L174" s="104" t="str">
        <f t="shared" si="49"/>
        <v/>
      </c>
      <c r="M174" s="123"/>
      <c r="N174" s="104" t="str">
        <f t="shared" si="50"/>
        <v/>
      </c>
      <c r="O174" s="110" t="str">
        <f t="shared" si="51"/>
        <v/>
      </c>
      <c r="P174" s="104" t="str">
        <f t="shared" si="52"/>
        <v/>
      </c>
      <c r="Q174" s="111" t="str">
        <f t="shared" si="53"/>
        <v/>
      </c>
      <c r="R174" s="31"/>
      <c r="S174" s="31"/>
      <c r="T174" s="31"/>
      <c r="U174" s="31"/>
      <c r="V174" s="31"/>
      <c r="W174" s="31"/>
    </row>
    <row r="175" spans="1:23" x14ac:dyDescent="0.35">
      <c r="A175" s="122"/>
      <c r="B175" s="123"/>
      <c r="C175" s="124"/>
      <c r="D175" s="104" t="str">
        <f t="shared" si="45"/>
        <v/>
      </c>
      <c r="E175" s="123"/>
      <c r="F175" s="104" t="str">
        <f t="shared" si="46"/>
        <v/>
      </c>
      <c r="G175" s="123"/>
      <c r="H175" s="104" t="str">
        <f t="shared" si="47"/>
        <v/>
      </c>
      <c r="I175" s="123"/>
      <c r="J175" s="104" t="str">
        <f t="shared" si="48"/>
        <v/>
      </c>
      <c r="K175" s="123"/>
      <c r="L175" s="104" t="str">
        <f t="shared" si="49"/>
        <v/>
      </c>
      <c r="M175" s="123"/>
      <c r="N175" s="104" t="str">
        <f t="shared" si="50"/>
        <v/>
      </c>
      <c r="O175" s="110" t="str">
        <f t="shared" si="51"/>
        <v/>
      </c>
      <c r="P175" s="104" t="str">
        <f t="shared" si="52"/>
        <v/>
      </c>
      <c r="Q175" s="111" t="str">
        <f t="shared" si="53"/>
        <v/>
      </c>
      <c r="R175" s="31"/>
      <c r="S175" s="31"/>
      <c r="T175" s="31"/>
      <c r="U175" s="31"/>
      <c r="V175" s="31"/>
      <c r="W175" s="31"/>
    </row>
    <row r="176" spans="1:23" x14ac:dyDescent="0.35">
      <c r="A176" s="122"/>
      <c r="B176" s="123"/>
      <c r="C176" s="124"/>
      <c r="D176" s="104" t="str">
        <f t="shared" si="45"/>
        <v/>
      </c>
      <c r="E176" s="123"/>
      <c r="F176" s="104" t="str">
        <f t="shared" si="46"/>
        <v/>
      </c>
      <c r="G176" s="123"/>
      <c r="H176" s="104" t="str">
        <f t="shared" si="47"/>
        <v/>
      </c>
      <c r="I176" s="123"/>
      <c r="J176" s="104" t="str">
        <f t="shared" si="48"/>
        <v/>
      </c>
      <c r="K176" s="123"/>
      <c r="L176" s="104" t="str">
        <f t="shared" si="49"/>
        <v/>
      </c>
      <c r="M176" s="123"/>
      <c r="N176" s="104" t="str">
        <f t="shared" si="50"/>
        <v/>
      </c>
      <c r="O176" s="110" t="str">
        <f t="shared" si="51"/>
        <v/>
      </c>
      <c r="P176" s="104" t="str">
        <f t="shared" si="52"/>
        <v/>
      </c>
      <c r="Q176" s="111" t="str">
        <f t="shared" si="53"/>
        <v/>
      </c>
      <c r="R176" s="31"/>
      <c r="S176" s="31"/>
      <c r="T176" s="31"/>
      <c r="U176" s="31"/>
      <c r="V176" s="31"/>
      <c r="W176" s="31"/>
    </row>
    <row r="177" spans="1:23" x14ac:dyDescent="0.35">
      <c r="A177" s="122"/>
      <c r="B177" s="123"/>
      <c r="C177" s="124"/>
      <c r="D177" s="104" t="str">
        <f t="shared" si="45"/>
        <v/>
      </c>
      <c r="E177" s="123"/>
      <c r="F177" s="104" t="str">
        <f t="shared" si="46"/>
        <v/>
      </c>
      <c r="G177" s="123"/>
      <c r="H177" s="104" t="str">
        <f t="shared" si="47"/>
        <v/>
      </c>
      <c r="I177" s="123"/>
      <c r="J177" s="104" t="str">
        <f t="shared" si="48"/>
        <v/>
      </c>
      <c r="K177" s="123"/>
      <c r="L177" s="104" t="str">
        <f t="shared" si="49"/>
        <v/>
      </c>
      <c r="M177" s="123"/>
      <c r="N177" s="104" t="str">
        <f t="shared" si="50"/>
        <v/>
      </c>
      <c r="O177" s="110" t="str">
        <f t="shared" si="51"/>
        <v/>
      </c>
      <c r="P177" s="104" t="str">
        <f t="shared" si="52"/>
        <v/>
      </c>
      <c r="Q177" s="111" t="str">
        <f t="shared" si="53"/>
        <v/>
      </c>
      <c r="R177" s="31"/>
      <c r="S177" s="31"/>
      <c r="T177" s="31"/>
      <c r="U177" s="31"/>
      <c r="V177" s="31"/>
      <c r="W177" s="31"/>
    </row>
    <row r="178" spans="1:23" x14ac:dyDescent="0.35">
      <c r="A178" s="122"/>
      <c r="B178" s="123"/>
      <c r="C178" s="124"/>
      <c r="D178" s="104" t="str">
        <f t="shared" si="45"/>
        <v/>
      </c>
      <c r="E178" s="123"/>
      <c r="F178" s="104" t="str">
        <f t="shared" si="46"/>
        <v/>
      </c>
      <c r="G178" s="123"/>
      <c r="H178" s="104" t="str">
        <f t="shared" si="47"/>
        <v/>
      </c>
      <c r="I178" s="123"/>
      <c r="J178" s="104" t="str">
        <f t="shared" si="48"/>
        <v/>
      </c>
      <c r="K178" s="123"/>
      <c r="L178" s="104" t="str">
        <f t="shared" si="49"/>
        <v/>
      </c>
      <c r="M178" s="123"/>
      <c r="N178" s="104" t="str">
        <f t="shared" si="50"/>
        <v/>
      </c>
      <c r="O178" s="110" t="str">
        <f t="shared" si="51"/>
        <v/>
      </c>
      <c r="P178" s="104" t="str">
        <f t="shared" si="52"/>
        <v/>
      </c>
      <c r="Q178" s="111" t="str">
        <f t="shared" si="53"/>
        <v/>
      </c>
      <c r="R178" s="31"/>
      <c r="S178" s="31"/>
      <c r="T178" s="31"/>
      <c r="U178" s="31"/>
      <c r="V178" s="31"/>
      <c r="W178" s="31"/>
    </row>
    <row r="179" spans="1:23" x14ac:dyDescent="0.35">
      <c r="A179" s="122"/>
      <c r="B179" s="123"/>
      <c r="C179" s="124"/>
      <c r="D179" s="104" t="str">
        <f t="shared" si="45"/>
        <v/>
      </c>
      <c r="E179" s="123"/>
      <c r="F179" s="104" t="str">
        <f t="shared" si="46"/>
        <v/>
      </c>
      <c r="G179" s="123"/>
      <c r="H179" s="104" t="str">
        <f t="shared" si="47"/>
        <v/>
      </c>
      <c r="I179" s="123"/>
      <c r="J179" s="104" t="str">
        <f t="shared" si="48"/>
        <v/>
      </c>
      <c r="K179" s="123"/>
      <c r="L179" s="104" t="str">
        <f t="shared" si="49"/>
        <v/>
      </c>
      <c r="M179" s="123"/>
      <c r="N179" s="104" t="str">
        <f t="shared" si="50"/>
        <v/>
      </c>
      <c r="O179" s="110" t="str">
        <f t="shared" si="51"/>
        <v/>
      </c>
      <c r="P179" s="104" t="str">
        <f t="shared" si="52"/>
        <v/>
      </c>
      <c r="Q179" s="111" t="str">
        <f t="shared" si="53"/>
        <v/>
      </c>
      <c r="R179" s="31"/>
      <c r="S179" s="31"/>
      <c r="T179" s="31"/>
      <c r="U179" s="31"/>
      <c r="V179" s="31"/>
      <c r="W179" s="31"/>
    </row>
    <row r="180" spans="1:23" x14ac:dyDescent="0.35">
      <c r="A180" s="122"/>
      <c r="B180" s="123"/>
      <c r="C180" s="124"/>
      <c r="D180" s="104" t="str">
        <f t="shared" si="45"/>
        <v/>
      </c>
      <c r="E180" s="123"/>
      <c r="F180" s="104" t="str">
        <f t="shared" si="46"/>
        <v/>
      </c>
      <c r="G180" s="123"/>
      <c r="H180" s="104" t="str">
        <f t="shared" si="47"/>
        <v/>
      </c>
      <c r="I180" s="123"/>
      <c r="J180" s="104" t="str">
        <f t="shared" si="48"/>
        <v/>
      </c>
      <c r="K180" s="123"/>
      <c r="L180" s="104" t="str">
        <f t="shared" si="49"/>
        <v/>
      </c>
      <c r="M180" s="123"/>
      <c r="N180" s="104" t="str">
        <f t="shared" si="50"/>
        <v/>
      </c>
      <c r="O180" s="110" t="str">
        <f t="shared" si="51"/>
        <v/>
      </c>
      <c r="P180" s="104" t="str">
        <f t="shared" si="52"/>
        <v/>
      </c>
      <c r="Q180" s="111" t="str">
        <f t="shared" si="53"/>
        <v/>
      </c>
      <c r="R180" s="31"/>
      <c r="S180" s="31"/>
      <c r="T180" s="31"/>
      <c r="U180" s="31"/>
      <c r="V180" s="31"/>
      <c r="W180" s="31"/>
    </row>
    <row r="181" spans="1:23" x14ac:dyDescent="0.35">
      <c r="A181" s="122"/>
      <c r="B181" s="123"/>
      <c r="C181" s="124"/>
      <c r="D181" s="104" t="str">
        <f t="shared" si="45"/>
        <v/>
      </c>
      <c r="E181" s="123"/>
      <c r="F181" s="104" t="str">
        <f t="shared" si="46"/>
        <v/>
      </c>
      <c r="G181" s="123"/>
      <c r="H181" s="104" t="str">
        <f t="shared" si="47"/>
        <v/>
      </c>
      <c r="I181" s="123"/>
      <c r="J181" s="104" t="str">
        <f t="shared" si="48"/>
        <v/>
      </c>
      <c r="K181" s="123"/>
      <c r="L181" s="104" t="str">
        <f t="shared" si="49"/>
        <v/>
      </c>
      <c r="M181" s="123"/>
      <c r="N181" s="104" t="str">
        <f t="shared" si="50"/>
        <v/>
      </c>
      <c r="O181" s="110" t="str">
        <f t="shared" si="51"/>
        <v/>
      </c>
      <c r="P181" s="104" t="str">
        <f t="shared" si="52"/>
        <v/>
      </c>
      <c r="Q181" s="111" t="str">
        <f t="shared" si="53"/>
        <v/>
      </c>
      <c r="R181" s="31"/>
      <c r="S181" s="31"/>
      <c r="T181" s="31"/>
      <c r="U181" s="31"/>
      <c r="V181" s="31"/>
      <c r="W181" s="31"/>
    </row>
    <row r="182" spans="1:23" x14ac:dyDescent="0.35">
      <c r="A182" s="122"/>
      <c r="B182" s="123"/>
      <c r="C182" s="124"/>
      <c r="D182" s="104" t="str">
        <f t="shared" si="45"/>
        <v/>
      </c>
      <c r="E182" s="123"/>
      <c r="F182" s="104" t="str">
        <f t="shared" si="46"/>
        <v/>
      </c>
      <c r="G182" s="123"/>
      <c r="H182" s="104" t="str">
        <f t="shared" si="47"/>
        <v/>
      </c>
      <c r="I182" s="123"/>
      <c r="J182" s="104" t="str">
        <f t="shared" si="48"/>
        <v/>
      </c>
      <c r="K182" s="123"/>
      <c r="L182" s="104" t="str">
        <f t="shared" si="49"/>
        <v/>
      </c>
      <c r="M182" s="123"/>
      <c r="N182" s="104" t="str">
        <f t="shared" si="50"/>
        <v/>
      </c>
      <c r="O182" s="110" t="str">
        <f t="shared" si="51"/>
        <v/>
      </c>
      <c r="P182" s="104" t="str">
        <f t="shared" si="52"/>
        <v/>
      </c>
      <c r="Q182" s="111" t="str">
        <f t="shared" si="53"/>
        <v/>
      </c>
      <c r="R182" s="31"/>
      <c r="S182" s="31"/>
      <c r="T182" s="31"/>
      <c r="U182" s="31"/>
      <c r="V182" s="31"/>
      <c r="W182" s="31"/>
    </row>
    <row r="183" spans="1:23" x14ac:dyDescent="0.35">
      <c r="A183" s="122"/>
      <c r="B183" s="123"/>
      <c r="C183" s="124"/>
      <c r="D183" s="104" t="str">
        <f t="shared" si="45"/>
        <v/>
      </c>
      <c r="E183" s="123"/>
      <c r="F183" s="104" t="str">
        <f t="shared" si="46"/>
        <v/>
      </c>
      <c r="G183" s="123"/>
      <c r="H183" s="104" t="str">
        <f t="shared" si="47"/>
        <v/>
      </c>
      <c r="I183" s="123"/>
      <c r="J183" s="104" t="str">
        <f t="shared" si="48"/>
        <v/>
      </c>
      <c r="K183" s="123"/>
      <c r="L183" s="104" t="str">
        <f t="shared" si="49"/>
        <v/>
      </c>
      <c r="M183" s="123"/>
      <c r="N183" s="104" t="str">
        <f t="shared" si="50"/>
        <v/>
      </c>
      <c r="O183" s="110" t="str">
        <f t="shared" si="51"/>
        <v/>
      </c>
      <c r="P183" s="104" t="str">
        <f t="shared" si="52"/>
        <v/>
      </c>
      <c r="Q183" s="111" t="str">
        <f t="shared" si="53"/>
        <v/>
      </c>
      <c r="R183" s="31"/>
      <c r="S183" s="31"/>
      <c r="T183" s="31"/>
      <c r="U183" s="31"/>
      <c r="V183" s="31"/>
      <c r="W183" s="31"/>
    </row>
    <row r="184" spans="1:23" x14ac:dyDescent="0.35">
      <c r="A184" s="122"/>
      <c r="B184" s="123"/>
      <c r="C184" s="124"/>
      <c r="D184" s="104" t="str">
        <f t="shared" si="45"/>
        <v/>
      </c>
      <c r="E184" s="123"/>
      <c r="F184" s="104" t="str">
        <f t="shared" si="46"/>
        <v/>
      </c>
      <c r="G184" s="123"/>
      <c r="H184" s="104" t="str">
        <f t="shared" si="47"/>
        <v/>
      </c>
      <c r="I184" s="123"/>
      <c r="J184" s="104" t="str">
        <f t="shared" si="48"/>
        <v/>
      </c>
      <c r="K184" s="123"/>
      <c r="L184" s="104" t="str">
        <f t="shared" si="49"/>
        <v/>
      </c>
      <c r="M184" s="123"/>
      <c r="N184" s="104" t="str">
        <f t="shared" si="50"/>
        <v/>
      </c>
      <c r="O184" s="110" t="str">
        <f t="shared" si="51"/>
        <v/>
      </c>
      <c r="P184" s="104" t="str">
        <f t="shared" si="52"/>
        <v/>
      </c>
      <c r="Q184" s="111" t="str">
        <f t="shared" si="53"/>
        <v/>
      </c>
      <c r="R184" s="31"/>
      <c r="S184" s="31"/>
      <c r="T184" s="31"/>
      <c r="U184" s="31"/>
      <c r="V184" s="31"/>
      <c r="W184" s="31"/>
    </row>
    <row r="185" spans="1:23" x14ac:dyDescent="0.35">
      <c r="A185" s="122"/>
      <c r="B185" s="123"/>
      <c r="C185" s="124"/>
      <c r="D185" s="104" t="str">
        <f t="shared" si="45"/>
        <v/>
      </c>
      <c r="E185" s="123"/>
      <c r="F185" s="104" t="str">
        <f t="shared" si="46"/>
        <v/>
      </c>
      <c r="G185" s="123"/>
      <c r="H185" s="104" t="str">
        <f t="shared" si="47"/>
        <v/>
      </c>
      <c r="I185" s="123"/>
      <c r="J185" s="104" t="str">
        <f t="shared" si="48"/>
        <v/>
      </c>
      <c r="K185" s="123"/>
      <c r="L185" s="104" t="str">
        <f t="shared" si="49"/>
        <v/>
      </c>
      <c r="M185" s="123"/>
      <c r="N185" s="104" t="str">
        <f t="shared" si="50"/>
        <v/>
      </c>
      <c r="O185" s="110" t="str">
        <f t="shared" si="51"/>
        <v/>
      </c>
      <c r="P185" s="104" t="str">
        <f t="shared" si="52"/>
        <v/>
      </c>
      <c r="Q185" s="111" t="str">
        <f t="shared" si="53"/>
        <v/>
      </c>
      <c r="R185" s="31"/>
      <c r="S185" s="31"/>
      <c r="T185" s="31"/>
      <c r="U185" s="31"/>
      <c r="V185" s="31"/>
      <c r="W185" s="31"/>
    </row>
    <row r="186" spans="1:23" x14ac:dyDescent="0.35">
      <c r="A186" s="122"/>
      <c r="B186" s="123"/>
      <c r="C186" s="124"/>
      <c r="D186" s="104" t="str">
        <f t="shared" si="45"/>
        <v/>
      </c>
      <c r="E186" s="123"/>
      <c r="F186" s="104" t="str">
        <f t="shared" si="46"/>
        <v/>
      </c>
      <c r="G186" s="123"/>
      <c r="H186" s="104" t="str">
        <f t="shared" si="47"/>
        <v/>
      </c>
      <c r="I186" s="123"/>
      <c r="J186" s="104" t="str">
        <f t="shared" si="48"/>
        <v/>
      </c>
      <c r="K186" s="123"/>
      <c r="L186" s="104" t="str">
        <f t="shared" si="49"/>
        <v/>
      </c>
      <c r="M186" s="123"/>
      <c r="N186" s="104" t="str">
        <f t="shared" si="50"/>
        <v/>
      </c>
      <c r="O186" s="110" t="str">
        <f t="shared" si="51"/>
        <v/>
      </c>
      <c r="P186" s="104" t="str">
        <f t="shared" si="52"/>
        <v/>
      </c>
      <c r="Q186" s="111" t="str">
        <f t="shared" si="53"/>
        <v/>
      </c>
      <c r="R186" s="31"/>
      <c r="S186" s="31"/>
      <c r="T186" s="31"/>
      <c r="U186" s="31"/>
      <c r="V186" s="31"/>
      <c r="W186" s="31"/>
    </row>
    <row r="187" spans="1:23" x14ac:dyDescent="0.35">
      <c r="A187" s="122"/>
      <c r="B187" s="123"/>
      <c r="C187" s="124"/>
      <c r="D187" s="104" t="str">
        <f t="shared" si="45"/>
        <v/>
      </c>
      <c r="E187" s="123"/>
      <c r="F187" s="104" t="str">
        <f t="shared" si="46"/>
        <v/>
      </c>
      <c r="G187" s="123"/>
      <c r="H187" s="104" t="str">
        <f t="shared" si="47"/>
        <v/>
      </c>
      <c r="I187" s="123"/>
      <c r="J187" s="104" t="str">
        <f t="shared" si="48"/>
        <v/>
      </c>
      <c r="K187" s="123"/>
      <c r="L187" s="104" t="str">
        <f t="shared" si="49"/>
        <v/>
      </c>
      <c r="M187" s="123"/>
      <c r="N187" s="104" t="str">
        <f t="shared" si="50"/>
        <v/>
      </c>
      <c r="O187" s="110" t="str">
        <f t="shared" si="51"/>
        <v/>
      </c>
      <c r="P187" s="104" t="str">
        <f t="shared" si="52"/>
        <v/>
      </c>
      <c r="Q187" s="111" t="str">
        <f t="shared" si="53"/>
        <v/>
      </c>
      <c r="R187" s="31"/>
      <c r="S187" s="31"/>
      <c r="T187" s="31"/>
      <c r="U187" s="31"/>
      <c r="V187" s="31"/>
      <c r="W187" s="31"/>
    </row>
    <row r="188" spans="1:23" x14ac:dyDescent="0.35">
      <c r="A188" s="122"/>
      <c r="B188" s="123"/>
      <c r="C188" s="124"/>
      <c r="D188" s="104" t="str">
        <f t="shared" si="45"/>
        <v/>
      </c>
      <c r="E188" s="123"/>
      <c r="F188" s="104" t="str">
        <f t="shared" si="46"/>
        <v/>
      </c>
      <c r="G188" s="123"/>
      <c r="H188" s="104" t="str">
        <f t="shared" si="47"/>
        <v/>
      </c>
      <c r="I188" s="123"/>
      <c r="J188" s="104" t="str">
        <f t="shared" si="48"/>
        <v/>
      </c>
      <c r="K188" s="123"/>
      <c r="L188" s="104" t="str">
        <f t="shared" si="49"/>
        <v/>
      </c>
      <c r="M188" s="123"/>
      <c r="N188" s="104" t="str">
        <f t="shared" si="50"/>
        <v/>
      </c>
      <c r="O188" s="110" t="str">
        <f t="shared" si="51"/>
        <v/>
      </c>
      <c r="P188" s="104" t="str">
        <f t="shared" si="52"/>
        <v/>
      </c>
      <c r="Q188" s="111" t="str">
        <f t="shared" si="53"/>
        <v/>
      </c>
      <c r="R188" s="31"/>
      <c r="S188" s="31"/>
      <c r="T188" s="31"/>
      <c r="U188" s="31"/>
      <c r="V188" s="31"/>
      <c r="W188" s="31"/>
    </row>
    <row r="189" spans="1:23" x14ac:dyDescent="0.35">
      <c r="A189" s="122"/>
      <c r="B189" s="123"/>
      <c r="C189" s="124"/>
      <c r="D189" s="104" t="str">
        <f t="shared" si="45"/>
        <v/>
      </c>
      <c r="E189" s="123"/>
      <c r="F189" s="104" t="str">
        <f t="shared" si="46"/>
        <v/>
      </c>
      <c r="G189" s="123"/>
      <c r="H189" s="104" t="str">
        <f t="shared" si="47"/>
        <v/>
      </c>
      <c r="I189" s="123"/>
      <c r="J189" s="104" t="str">
        <f t="shared" si="48"/>
        <v/>
      </c>
      <c r="K189" s="123"/>
      <c r="L189" s="104" t="str">
        <f t="shared" si="49"/>
        <v/>
      </c>
      <c r="M189" s="123"/>
      <c r="N189" s="104" t="str">
        <f t="shared" si="50"/>
        <v/>
      </c>
      <c r="O189" s="110" t="str">
        <f t="shared" si="51"/>
        <v/>
      </c>
      <c r="P189" s="104" t="str">
        <f t="shared" si="52"/>
        <v/>
      </c>
      <c r="Q189" s="111" t="str">
        <f t="shared" si="53"/>
        <v/>
      </c>
      <c r="R189" s="31"/>
      <c r="S189" s="31"/>
      <c r="T189" s="31"/>
      <c r="U189" s="31"/>
      <c r="V189" s="31"/>
      <c r="W189" s="31"/>
    </row>
    <row r="190" spans="1:23" x14ac:dyDescent="0.35">
      <c r="A190" s="122"/>
      <c r="B190" s="123"/>
      <c r="C190" s="124"/>
      <c r="D190" s="104" t="str">
        <f t="shared" si="45"/>
        <v/>
      </c>
      <c r="E190" s="123"/>
      <c r="F190" s="104" t="str">
        <f t="shared" si="46"/>
        <v/>
      </c>
      <c r="G190" s="123"/>
      <c r="H190" s="104" t="str">
        <f t="shared" si="47"/>
        <v/>
      </c>
      <c r="I190" s="123"/>
      <c r="J190" s="104" t="str">
        <f t="shared" si="48"/>
        <v/>
      </c>
      <c r="K190" s="123"/>
      <c r="L190" s="104" t="str">
        <f t="shared" si="49"/>
        <v/>
      </c>
      <c r="M190" s="123"/>
      <c r="N190" s="104" t="str">
        <f t="shared" si="50"/>
        <v/>
      </c>
      <c r="O190" s="110" t="str">
        <f t="shared" si="51"/>
        <v/>
      </c>
      <c r="P190" s="104" t="str">
        <f t="shared" si="52"/>
        <v/>
      </c>
      <c r="Q190" s="111" t="str">
        <f t="shared" si="53"/>
        <v/>
      </c>
      <c r="R190" s="31"/>
      <c r="S190" s="31"/>
      <c r="T190" s="31"/>
      <c r="U190" s="31"/>
      <c r="V190" s="31"/>
      <c r="W190" s="31"/>
    </row>
    <row r="191" spans="1:23" x14ac:dyDescent="0.35">
      <c r="A191" s="122"/>
      <c r="B191" s="123"/>
      <c r="C191" s="124"/>
      <c r="D191" s="104" t="str">
        <f t="shared" si="45"/>
        <v/>
      </c>
      <c r="E191" s="123"/>
      <c r="F191" s="104" t="str">
        <f t="shared" si="46"/>
        <v/>
      </c>
      <c r="G191" s="123"/>
      <c r="H191" s="104" t="str">
        <f t="shared" si="47"/>
        <v/>
      </c>
      <c r="I191" s="123"/>
      <c r="J191" s="104" t="str">
        <f t="shared" si="48"/>
        <v/>
      </c>
      <c r="K191" s="123"/>
      <c r="L191" s="104" t="str">
        <f t="shared" si="49"/>
        <v/>
      </c>
      <c r="M191" s="123"/>
      <c r="N191" s="104" t="str">
        <f t="shared" si="50"/>
        <v/>
      </c>
      <c r="O191" s="110" t="str">
        <f t="shared" si="51"/>
        <v/>
      </c>
      <c r="P191" s="104" t="str">
        <f t="shared" si="52"/>
        <v/>
      </c>
      <c r="Q191" s="111" t="str">
        <f t="shared" si="53"/>
        <v/>
      </c>
      <c r="R191" s="31"/>
      <c r="S191" s="31"/>
      <c r="T191" s="31"/>
      <c r="U191" s="31"/>
      <c r="V191" s="31"/>
      <c r="W191" s="31"/>
    </row>
    <row r="192" spans="1:23" x14ac:dyDescent="0.35">
      <c r="A192" s="122"/>
      <c r="B192" s="123"/>
      <c r="C192" s="124"/>
      <c r="D192" s="104" t="str">
        <f t="shared" si="45"/>
        <v/>
      </c>
      <c r="E192" s="123"/>
      <c r="F192" s="104" t="str">
        <f t="shared" si="46"/>
        <v/>
      </c>
      <c r="G192" s="123"/>
      <c r="H192" s="104" t="str">
        <f t="shared" si="47"/>
        <v/>
      </c>
      <c r="I192" s="123"/>
      <c r="J192" s="104" t="str">
        <f t="shared" si="48"/>
        <v/>
      </c>
      <c r="K192" s="123"/>
      <c r="L192" s="104" t="str">
        <f t="shared" si="49"/>
        <v/>
      </c>
      <c r="M192" s="123"/>
      <c r="N192" s="104" t="str">
        <f t="shared" si="50"/>
        <v/>
      </c>
      <c r="O192" s="110" t="str">
        <f t="shared" si="51"/>
        <v/>
      </c>
      <c r="P192" s="104" t="str">
        <f t="shared" si="52"/>
        <v/>
      </c>
      <c r="Q192" s="111" t="str">
        <f t="shared" si="53"/>
        <v/>
      </c>
      <c r="R192" s="31"/>
      <c r="S192" s="31"/>
      <c r="T192" s="31"/>
      <c r="U192" s="31"/>
      <c r="V192" s="31"/>
      <c r="W192" s="31"/>
    </row>
    <row r="193" spans="1:23" x14ac:dyDescent="0.35">
      <c r="A193" s="122"/>
      <c r="B193" s="123"/>
      <c r="C193" s="124"/>
      <c r="D193" s="104" t="str">
        <f t="shared" si="45"/>
        <v/>
      </c>
      <c r="E193" s="123"/>
      <c r="F193" s="104" t="str">
        <f t="shared" si="46"/>
        <v/>
      </c>
      <c r="G193" s="123"/>
      <c r="H193" s="104" t="str">
        <f t="shared" si="47"/>
        <v/>
      </c>
      <c r="I193" s="123"/>
      <c r="J193" s="104" t="str">
        <f t="shared" si="48"/>
        <v/>
      </c>
      <c r="K193" s="123"/>
      <c r="L193" s="104" t="str">
        <f t="shared" si="49"/>
        <v/>
      </c>
      <c r="M193" s="123"/>
      <c r="N193" s="104" t="str">
        <f t="shared" si="50"/>
        <v/>
      </c>
      <c r="O193" s="110" t="str">
        <f t="shared" si="51"/>
        <v/>
      </c>
      <c r="P193" s="104" t="str">
        <f t="shared" si="52"/>
        <v/>
      </c>
      <c r="Q193" s="111" t="str">
        <f t="shared" si="53"/>
        <v/>
      </c>
      <c r="R193" s="31"/>
      <c r="S193" s="31"/>
      <c r="T193" s="31"/>
      <c r="U193" s="31"/>
      <c r="V193" s="31"/>
      <c r="W193" s="31"/>
    </row>
    <row r="194" spans="1:23" x14ac:dyDescent="0.35">
      <c r="A194" s="122"/>
      <c r="B194" s="123"/>
      <c r="C194" s="124"/>
      <c r="D194" s="104" t="str">
        <f t="shared" ref="D194:D225" si="54">IF(OR(A194="",B194="",C194=""),"",ROUND(B194*C194,2))</f>
        <v/>
      </c>
      <c r="E194" s="123"/>
      <c r="F194" s="104" t="str">
        <f t="shared" ref="F194:F225" si="55">IF(OR(A194="",E194="",C194="",NOT(ISNUMBER($U$2))),"",ROUND(E194*C194*$U$2,2))</f>
        <v/>
      </c>
      <c r="G194" s="123"/>
      <c r="H194" s="104" t="str">
        <f t="shared" ref="H194:H225" si="56">IF(OR(A194="",G194="",C194="",NOT(ISNUMBER($U$3))),"",ROUND(G194*C194*$U$3,2))</f>
        <v/>
      </c>
      <c r="I194" s="123"/>
      <c r="J194" s="104" t="str">
        <f t="shared" ref="J194:J225" si="57">IF(OR(A194="",I194="",C194="",NOT(ISNUMBER($U$4))),"",ROUND(I194*C194*$U$4,2))</f>
        <v/>
      </c>
      <c r="K194" s="123"/>
      <c r="L194" s="104" t="str">
        <f t="shared" ref="L194:L225" si="58">IF(OR(A194="",K194="",C194="",NOT(ISNUMBER($U$5))),"",ROUND(K194*C194*$U$5,2))</f>
        <v/>
      </c>
      <c r="M194" s="123"/>
      <c r="N194" s="104" t="str">
        <f t="shared" ref="N194:N225" si="59">IF(OR(A194="",M194="",C194="",NOT(ISNUMBER($U$6))),"",ROUND(M194*C194*$U$6,2))</f>
        <v/>
      </c>
      <c r="O194" s="110" t="str">
        <f t="shared" ref="O194:O200" si="60">IF(A194="","",SUM(E194,G194,I194,K194,M194))</f>
        <v/>
      </c>
      <c r="P194" s="104" t="str">
        <f t="shared" ref="P194:P200" si="61">IF(A194="","",SUM(F194,H194,J194,L194,N194))</f>
        <v/>
      </c>
      <c r="Q194" s="111" t="str">
        <f t="shared" ref="Q194:Q200" si="62">IF(A194="","",IF(O194&gt;B194,"DIVERGENCIA: CONSUMO MAIOR QUE CONTRATADO","OK"))</f>
        <v/>
      </c>
      <c r="R194" s="31"/>
      <c r="S194" s="31"/>
      <c r="T194" s="31"/>
      <c r="U194" s="31"/>
      <c r="V194" s="31"/>
      <c r="W194" s="31"/>
    </row>
    <row r="195" spans="1:23" x14ac:dyDescent="0.35">
      <c r="A195" s="122"/>
      <c r="B195" s="123"/>
      <c r="C195" s="124"/>
      <c r="D195" s="104" t="str">
        <f t="shared" si="54"/>
        <v/>
      </c>
      <c r="E195" s="123"/>
      <c r="F195" s="104" t="str">
        <f t="shared" si="55"/>
        <v/>
      </c>
      <c r="G195" s="123"/>
      <c r="H195" s="104" t="str">
        <f t="shared" si="56"/>
        <v/>
      </c>
      <c r="I195" s="123"/>
      <c r="J195" s="104" t="str">
        <f t="shared" si="57"/>
        <v/>
      </c>
      <c r="K195" s="123"/>
      <c r="L195" s="104" t="str">
        <f t="shared" si="58"/>
        <v/>
      </c>
      <c r="M195" s="123"/>
      <c r="N195" s="104" t="str">
        <f t="shared" si="59"/>
        <v/>
      </c>
      <c r="O195" s="110" t="str">
        <f t="shared" si="60"/>
        <v/>
      </c>
      <c r="P195" s="104" t="str">
        <f t="shared" si="61"/>
        <v/>
      </c>
      <c r="Q195" s="111" t="str">
        <f t="shared" si="62"/>
        <v/>
      </c>
      <c r="R195" s="31"/>
      <c r="S195" s="31"/>
      <c r="T195" s="31"/>
      <c r="U195" s="31"/>
      <c r="V195" s="31"/>
      <c r="W195" s="31"/>
    </row>
    <row r="196" spans="1:23" x14ac:dyDescent="0.35">
      <c r="A196" s="122"/>
      <c r="B196" s="123"/>
      <c r="C196" s="124"/>
      <c r="D196" s="104" t="str">
        <f t="shared" si="54"/>
        <v/>
      </c>
      <c r="E196" s="123"/>
      <c r="F196" s="104" t="str">
        <f t="shared" si="55"/>
        <v/>
      </c>
      <c r="G196" s="123"/>
      <c r="H196" s="104" t="str">
        <f t="shared" si="56"/>
        <v/>
      </c>
      <c r="I196" s="123"/>
      <c r="J196" s="104" t="str">
        <f t="shared" si="57"/>
        <v/>
      </c>
      <c r="K196" s="123"/>
      <c r="L196" s="104" t="str">
        <f t="shared" si="58"/>
        <v/>
      </c>
      <c r="M196" s="123"/>
      <c r="N196" s="104" t="str">
        <f t="shared" si="59"/>
        <v/>
      </c>
      <c r="O196" s="110" t="str">
        <f t="shared" si="60"/>
        <v/>
      </c>
      <c r="P196" s="104" t="str">
        <f t="shared" si="61"/>
        <v/>
      </c>
      <c r="Q196" s="111" t="str">
        <f t="shared" si="62"/>
        <v/>
      </c>
      <c r="R196" s="31"/>
      <c r="S196" s="31"/>
      <c r="T196" s="31"/>
      <c r="U196" s="31"/>
      <c r="V196" s="31"/>
      <c r="W196" s="31"/>
    </row>
    <row r="197" spans="1:23" x14ac:dyDescent="0.35">
      <c r="A197" s="122"/>
      <c r="B197" s="123"/>
      <c r="C197" s="124"/>
      <c r="D197" s="104" t="str">
        <f t="shared" si="54"/>
        <v/>
      </c>
      <c r="E197" s="123"/>
      <c r="F197" s="104" t="str">
        <f t="shared" si="55"/>
        <v/>
      </c>
      <c r="G197" s="123"/>
      <c r="H197" s="104" t="str">
        <f t="shared" si="56"/>
        <v/>
      </c>
      <c r="I197" s="123"/>
      <c r="J197" s="104" t="str">
        <f t="shared" si="57"/>
        <v/>
      </c>
      <c r="K197" s="123"/>
      <c r="L197" s="104" t="str">
        <f t="shared" si="58"/>
        <v/>
      </c>
      <c r="M197" s="123"/>
      <c r="N197" s="104" t="str">
        <f t="shared" si="59"/>
        <v/>
      </c>
      <c r="O197" s="110" t="str">
        <f t="shared" si="60"/>
        <v/>
      </c>
      <c r="P197" s="104" t="str">
        <f t="shared" si="61"/>
        <v/>
      </c>
      <c r="Q197" s="111" t="str">
        <f t="shared" si="62"/>
        <v/>
      </c>
      <c r="R197" s="31"/>
      <c r="S197" s="31"/>
      <c r="T197" s="31"/>
      <c r="U197" s="31"/>
      <c r="V197" s="31"/>
      <c r="W197" s="31"/>
    </row>
    <row r="198" spans="1:23" x14ac:dyDescent="0.35">
      <c r="A198" s="122"/>
      <c r="B198" s="123"/>
      <c r="C198" s="124"/>
      <c r="D198" s="104" t="str">
        <f t="shared" si="54"/>
        <v/>
      </c>
      <c r="E198" s="123"/>
      <c r="F198" s="104" t="str">
        <f t="shared" si="55"/>
        <v/>
      </c>
      <c r="G198" s="123"/>
      <c r="H198" s="104" t="str">
        <f t="shared" si="56"/>
        <v/>
      </c>
      <c r="I198" s="123"/>
      <c r="J198" s="104" t="str">
        <f t="shared" si="57"/>
        <v/>
      </c>
      <c r="K198" s="123"/>
      <c r="L198" s="104" t="str">
        <f t="shared" si="58"/>
        <v/>
      </c>
      <c r="M198" s="123"/>
      <c r="N198" s="104" t="str">
        <f t="shared" si="59"/>
        <v/>
      </c>
      <c r="O198" s="110" t="str">
        <f t="shared" si="60"/>
        <v/>
      </c>
      <c r="P198" s="104" t="str">
        <f t="shared" si="61"/>
        <v/>
      </c>
      <c r="Q198" s="111" t="str">
        <f t="shared" si="62"/>
        <v/>
      </c>
      <c r="R198" s="31"/>
      <c r="S198" s="31"/>
      <c r="T198" s="31"/>
      <c r="U198" s="31"/>
      <c r="V198" s="31"/>
      <c r="W198" s="31"/>
    </row>
    <row r="199" spans="1:23" x14ac:dyDescent="0.35">
      <c r="A199" s="122"/>
      <c r="B199" s="123"/>
      <c r="C199" s="124"/>
      <c r="D199" s="104" t="str">
        <f t="shared" si="54"/>
        <v/>
      </c>
      <c r="E199" s="123"/>
      <c r="F199" s="104" t="str">
        <f t="shared" si="55"/>
        <v/>
      </c>
      <c r="G199" s="123"/>
      <c r="H199" s="104" t="str">
        <f t="shared" si="56"/>
        <v/>
      </c>
      <c r="I199" s="123"/>
      <c r="J199" s="104" t="str">
        <f t="shared" si="57"/>
        <v/>
      </c>
      <c r="K199" s="123"/>
      <c r="L199" s="104" t="str">
        <f t="shared" si="58"/>
        <v/>
      </c>
      <c r="M199" s="123"/>
      <c r="N199" s="104" t="str">
        <f t="shared" si="59"/>
        <v/>
      </c>
      <c r="O199" s="110" t="str">
        <f t="shared" si="60"/>
        <v/>
      </c>
      <c r="P199" s="104" t="str">
        <f t="shared" si="61"/>
        <v/>
      </c>
      <c r="Q199" s="111" t="str">
        <f t="shared" si="62"/>
        <v/>
      </c>
      <c r="R199" s="31"/>
      <c r="S199" s="31"/>
      <c r="T199" s="31"/>
      <c r="U199" s="31"/>
      <c r="V199" s="31"/>
      <c r="W199" s="31"/>
    </row>
    <row r="200" spans="1:23" x14ac:dyDescent="0.35">
      <c r="A200" s="122"/>
      <c r="B200" s="123"/>
      <c r="C200" s="124"/>
      <c r="D200" s="104" t="str">
        <f t="shared" si="54"/>
        <v/>
      </c>
      <c r="E200" s="123"/>
      <c r="F200" s="104" t="str">
        <f t="shared" si="55"/>
        <v/>
      </c>
      <c r="G200" s="123"/>
      <c r="H200" s="104" t="str">
        <f t="shared" si="56"/>
        <v/>
      </c>
      <c r="I200" s="123"/>
      <c r="J200" s="104" t="str">
        <f t="shared" si="57"/>
        <v/>
      </c>
      <c r="K200" s="123"/>
      <c r="L200" s="104" t="str">
        <f t="shared" si="58"/>
        <v/>
      </c>
      <c r="M200" s="123"/>
      <c r="N200" s="104" t="str">
        <f t="shared" si="59"/>
        <v/>
      </c>
      <c r="O200" s="110" t="str">
        <f t="shared" si="60"/>
        <v/>
      </c>
      <c r="P200" s="104" t="str">
        <f t="shared" si="61"/>
        <v/>
      </c>
      <c r="Q200" s="111" t="str">
        <f t="shared" si="62"/>
        <v/>
      </c>
      <c r="R200" s="31"/>
      <c r="S200" s="31"/>
      <c r="T200" s="31"/>
      <c r="U200" s="31"/>
      <c r="V200" s="31"/>
      <c r="W200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10"/>
  <sheetViews>
    <sheetView showGridLines="0" tabSelected="1" workbookViewId="0">
      <selection activeCell="B2" sqref="B2"/>
    </sheetView>
  </sheetViews>
  <sheetFormatPr defaultColWidth="22.81640625" defaultRowHeight="14.5" x14ac:dyDescent="0.35"/>
  <cols>
    <col min="1" max="1" width="14.6328125" style="191" customWidth="1"/>
    <col min="2" max="3" width="16" customWidth="1"/>
    <col min="4" max="5" width="18" customWidth="1"/>
    <col min="6" max="6" width="20" customWidth="1"/>
    <col min="7" max="7" width="24" customWidth="1"/>
    <col min="8" max="8" width="28" customWidth="1"/>
    <col min="9" max="9" width="26" customWidth="1"/>
    <col min="10" max="10" width="20" customWidth="1"/>
    <col min="11" max="12" width="30" customWidth="1"/>
    <col min="13" max="13" width="21.453125" customWidth="1"/>
    <col min="22" max="29" width="13" hidden="1" customWidth="1"/>
  </cols>
  <sheetData>
    <row r="1" spans="1:29" ht="25.5" customHeight="1" x14ac:dyDescent="0.35">
      <c r="A1" s="69" t="s">
        <v>0</v>
      </c>
      <c r="B1" s="69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43" t="s">
        <v>6</v>
      </c>
      <c r="H1" s="43" t="s">
        <v>7</v>
      </c>
      <c r="I1" s="43" t="s">
        <v>8</v>
      </c>
      <c r="J1" s="43" t="s">
        <v>9</v>
      </c>
      <c r="K1" s="43" t="s">
        <v>10</v>
      </c>
      <c r="L1" s="15"/>
      <c r="M1" s="32" t="s">
        <v>11</v>
      </c>
      <c r="N1" s="32" t="s">
        <v>12</v>
      </c>
      <c r="O1" s="32" t="s">
        <v>13</v>
      </c>
      <c r="P1" s="32" t="s">
        <v>14</v>
      </c>
      <c r="Q1" s="32" t="s">
        <v>7</v>
      </c>
      <c r="R1" s="32" t="s">
        <v>8</v>
      </c>
      <c r="S1" s="32" t="s">
        <v>9</v>
      </c>
      <c r="T1" s="32" t="s">
        <v>15</v>
      </c>
      <c r="U1" s="31"/>
      <c r="V1" s="33" t="s">
        <v>16</v>
      </c>
      <c r="W1" s="33" t="s">
        <v>17</v>
      </c>
      <c r="X1" s="33" t="s">
        <v>18</v>
      </c>
      <c r="Y1" s="33" t="s">
        <v>19</v>
      </c>
      <c r="Z1" s="33" t="s">
        <v>20</v>
      </c>
      <c r="AA1" s="33" t="s">
        <v>21</v>
      </c>
      <c r="AB1" s="33" t="s">
        <v>22</v>
      </c>
      <c r="AC1" s="33" t="s">
        <v>23</v>
      </c>
    </row>
    <row r="2" spans="1:29" ht="25.5" customHeight="1" x14ac:dyDescent="0.35">
      <c r="A2" s="194" t="s">
        <v>24</v>
      </c>
      <c r="B2" s="196">
        <v>45337</v>
      </c>
      <c r="C2" s="128" t="str">
        <f>IF(B2="","",IF(NOT(ISNUMBER(B2)),"DATA_PC invalida",IF(OR(B2&lt;MIN(parametros!$C$2:$C$6),B2&gt;MAX(parametros!$D$2:$D$6)),"Fora dos ciclos",LOOKUP(B2,parametros!$C$2:$C$6,parametros!$B$2:$B$6))))</f>
        <v>C1</v>
      </c>
      <c r="D2" s="129">
        <v>180000</v>
      </c>
      <c r="E2" s="103">
        <f>IF(C2="","",IFERROR(VLOOKUP(C2,parametros!$A$11:$E$15,5,0),""))</f>
        <v>1.0511999999999999</v>
      </c>
      <c r="F2" s="104">
        <f t="shared" ref="F2:F33" si="0">IF(OR(D2="",E2=""),"",ROUND(D2*E2,2))</f>
        <v>189216</v>
      </c>
      <c r="G2" s="130" t="s">
        <v>25</v>
      </c>
      <c r="H2" s="119">
        <f t="shared" ref="H2:H33" si="1">IF(G2="Sim",IF(OR(F2="",D2=""),"",ROUND(F2-D2,2)),0)</f>
        <v>9216</v>
      </c>
      <c r="I2" s="119">
        <f t="shared" ref="I2:I33" si="2">IF(G2="Nao",IF(F2="","",F2),0)</f>
        <v>0</v>
      </c>
      <c r="J2" s="119">
        <f t="shared" ref="J2:J33" si="3">IF(G2="Nao",IF(OR(F2="",D2=""),"",ROUND(F2-D2,2)),0)</f>
        <v>0</v>
      </c>
      <c r="K2" s="121" t="str">
        <f t="shared" ref="K2:K33" si="4">IF(COUNTA(A2:G2)=0,"",IF(AND(A2&lt;&gt;"",SUMPRODUCT(--(UPPER(TRIM($A$2:$A$100))=UPPER(TRIM(A2))))&gt;1),"NUMERO_PC duplicado",IF(B2="","DATA_PC vazia",IF(OR(C2="",C2="Fora dos ciclos"),"CICLO_PC nao identificado",IF(OR(D2="",D2=0),"VALOR_PC vazio ou zero",IF(AND(G2&lt;&gt;"Sim",G2&lt;&gt;"Nao"),"PC_PAGO_A_CONTRATADA invalido","OK"))))))</f>
        <v>OK</v>
      </c>
      <c r="L2" s="16"/>
      <c r="M2" s="131" t="s">
        <v>26</v>
      </c>
      <c r="N2" s="132">
        <f>COUNTIF($C$2:$C$100,M2)</f>
        <v>0</v>
      </c>
      <c r="O2" s="133">
        <f>SUMIF($C$2:$C$100,M2,$D$2:$D$100)</f>
        <v>0</v>
      </c>
      <c r="P2" s="133">
        <f>SUMIF($C$2:$C$100,M2,$F$2:$F$100)</f>
        <v>0</v>
      </c>
      <c r="Q2" s="133">
        <f>SUMIF($C$2:$C$100,M2,$H$2:$H$100)</f>
        <v>0</v>
      </c>
      <c r="R2" s="133">
        <f>SUMIF($C$2:$C$100,M2,$I$2:$I$100)</f>
        <v>0</v>
      </c>
      <c r="S2" s="133">
        <f>SUMIF($C$2:$C$100,M2,$J$2:$J$100)</f>
        <v>0</v>
      </c>
      <c r="T2" s="132">
        <f>COUNTIFS($C$2:$C$100,M2,$K$2:$K$100,"&lt;&gt;OK",$K$2:$K$100,"&lt;&gt;")</f>
        <v>0</v>
      </c>
      <c r="U2" s="16"/>
      <c r="V2" s="134" t="s">
        <v>27</v>
      </c>
      <c r="W2" s="134" t="s">
        <v>28</v>
      </c>
      <c r="X2" s="134" t="s">
        <v>29</v>
      </c>
      <c r="Y2" s="135" t="s">
        <v>30</v>
      </c>
      <c r="Z2" s="135" t="s">
        <v>31</v>
      </c>
      <c r="AA2" s="135" t="s">
        <v>27</v>
      </c>
      <c r="AB2" s="135" t="s">
        <v>32</v>
      </c>
      <c r="AC2" s="136" t="s">
        <v>33</v>
      </c>
    </row>
    <row r="3" spans="1:29" ht="25.5" customHeight="1" x14ac:dyDescent="0.35">
      <c r="A3" s="195" t="s">
        <v>34</v>
      </c>
      <c r="B3" s="196">
        <v>45432</v>
      </c>
      <c r="C3" s="128" t="str">
        <f>IF(B3="","",IF(NOT(ISNUMBER(B3)),"DATA_PC invalida",IF(OR(B3&lt;MIN(parametros!$C$2:$C$6),B3&gt;MAX(parametros!$D$2:$D$6)),"Fora dos ciclos",LOOKUP(B3,parametros!$C$2:$C$6,parametros!$B$2:$B$6))))</f>
        <v>C1</v>
      </c>
      <c r="D3" s="129">
        <v>96500</v>
      </c>
      <c r="E3" s="103">
        <f>IF(C3="","",IFERROR(VLOOKUP(C3,parametros!$A$11:$E$15,5,0),""))</f>
        <v>1.0511999999999999</v>
      </c>
      <c r="F3" s="104">
        <f t="shared" si="0"/>
        <v>101440.8</v>
      </c>
      <c r="G3" s="130" t="s">
        <v>25</v>
      </c>
      <c r="H3" s="119">
        <f t="shared" si="1"/>
        <v>4940.8</v>
      </c>
      <c r="I3" s="119">
        <f t="shared" si="2"/>
        <v>0</v>
      </c>
      <c r="J3" s="119">
        <f t="shared" si="3"/>
        <v>0</v>
      </c>
      <c r="K3" s="121" t="str">
        <f t="shared" si="4"/>
        <v>OK</v>
      </c>
      <c r="L3" s="16"/>
      <c r="M3" s="131" t="s">
        <v>35</v>
      </c>
      <c r="N3" s="132">
        <f>COUNTIF($C$2:$C$100,M3)</f>
        <v>3</v>
      </c>
      <c r="O3" s="133">
        <f>SUMIF($C$2:$C$100,M3,$D$2:$D$100)</f>
        <v>421750</v>
      </c>
      <c r="P3" s="133">
        <f>SUMIF($C$2:$C$100,M3,$F$2:$F$100)</f>
        <v>443343.6</v>
      </c>
      <c r="Q3" s="133">
        <f>SUMIF($C$2:$C$100,M3,$H$2:$H$100)</f>
        <v>14156.8</v>
      </c>
      <c r="R3" s="133">
        <f>SUMIF($C$2:$C$100,M3,$I$2:$I$100)</f>
        <v>152686.79999999999</v>
      </c>
      <c r="S3" s="133">
        <f>SUMIF($C$2:$C$100,M3,$J$2:$J$100)</f>
        <v>7436.8</v>
      </c>
      <c r="T3" s="132">
        <f>COUNTIFS($C$2:$C$100,M3,$K$2:$K$100,"&lt;&gt;OK",$K$2:$K$100,"&lt;&gt;")</f>
        <v>0</v>
      </c>
      <c r="U3" s="16"/>
      <c r="V3" s="134" t="s">
        <v>27</v>
      </c>
      <c r="W3" s="134" t="s">
        <v>28</v>
      </c>
      <c r="X3" s="134" t="s">
        <v>29</v>
      </c>
      <c r="Y3" s="135" t="s">
        <v>30</v>
      </c>
      <c r="Z3" s="135" t="s">
        <v>31</v>
      </c>
      <c r="AA3" s="135" t="s">
        <v>27</v>
      </c>
      <c r="AB3" s="135" t="s">
        <v>32</v>
      </c>
      <c r="AC3" s="136" t="s">
        <v>33</v>
      </c>
    </row>
    <row r="4" spans="1:29" ht="25.5" customHeight="1" x14ac:dyDescent="0.35">
      <c r="A4" s="195" t="s">
        <v>36</v>
      </c>
      <c r="B4" s="196">
        <v>45565</v>
      </c>
      <c r="C4" s="128" t="str">
        <f>IF(B4="","",IF(NOT(ISNUMBER(B4)),"DATA_PC invalida",IF(OR(B4&lt;MIN(parametros!$C$2:$C$6),B4&gt;MAX(parametros!$D$2:$D$6)),"Fora dos ciclos",LOOKUP(B4,parametros!$C$2:$C$6,parametros!$B$2:$B$6))))</f>
        <v>C1</v>
      </c>
      <c r="D4" s="129">
        <v>145250</v>
      </c>
      <c r="E4" s="103">
        <f>IF(C4="","",IFERROR(VLOOKUP(C4,parametros!$A$11:$E$15,5,0),""))</f>
        <v>1.0511999999999999</v>
      </c>
      <c r="F4" s="104">
        <f t="shared" si="0"/>
        <v>152686.79999999999</v>
      </c>
      <c r="G4" s="130" t="s">
        <v>27</v>
      </c>
      <c r="H4" s="119">
        <f t="shared" si="1"/>
        <v>0</v>
      </c>
      <c r="I4" s="119">
        <f t="shared" si="2"/>
        <v>152686.79999999999</v>
      </c>
      <c r="J4" s="119">
        <f t="shared" si="3"/>
        <v>7436.8</v>
      </c>
      <c r="K4" s="121" t="str">
        <f t="shared" si="4"/>
        <v>OK</v>
      </c>
      <c r="L4" s="16"/>
      <c r="M4" s="131" t="s">
        <v>37</v>
      </c>
      <c r="N4" s="132">
        <f>COUNTIF($C$2:$C$100,M4)</f>
        <v>0</v>
      </c>
      <c r="O4" s="133">
        <f>SUMIF($C$2:$C$100,M4,$D$2:$D$100)</f>
        <v>0</v>
      </c>
      <c r="P4" s="133">
        <f>SUMIF($C$2:$C$100,M4,$F$2:$F$100)</f>
        <v>0</v>
      </c>
      <c r="Q4" s="133">
        <f>SUMIF($C$2:$C$100,M4,$H$2:$H$100)</f>
        <v>0</v>
      </c>
      <c r="R4" s="133">
        <f>SUMIF($C$2:$C$100,M4,$I$2:$I$100)</f>
        <v>0</v>
      </c>
      <c r="S4" s="133">
        <f>SUMIF($C$2:$C$100,M4,$J$2:$J$100)</f>
        <v>0</v>
      </c>
      <c r="T4" s="132">
        <f>COUNTIFS($C$2:$C$100,M4,$K$2:$K$100,"&lt;&gt;OK",$K$2:$K$100,"&lt;&gt;")</f>
        <v>0</v>
      </c>
      <c r="U4" s="16"/>
      <c r="V4" s="134" t="s">
        <v>27</v>
      </c>
      <c r="W4" s="134" t="s">
        <v>28</v>
      </c>
      <c r="X4" s="134" t="s">
        <v>29</v>
      </c>
      <c r="Y4" s="135" t="s">
        <v>30</v>
      </c>
      <c r="Z4" s="135" t="s">
        <v>31</v>
      </c>
      <c r="AA4" s="135" t="s">
        <v>27</v>
      </c>
      <c r="AB4" s="135" t="s">
        <v>32</v>
      </c>
      <c r="AC4" s="136" t="s">
        <v>33</v>
      </c>
    </row>
    <row r="5" spans="1:29" ht="25.5" customHeight="1" x14ac:dyDescent="0.35">
      <c r="A5" s="195"/>
      <c r="B5" s="196"/>
      <c r="C5" s="128" t="str">
        <f>IF(B5="","",IF(NOT(ISNUMBER(B5)),"DATA_PC invalida",IF(OR(B5&lt;MIN(parametros!$C$2:$C$6),B5&gt;MAX(parametros!$D$2:$D$6)),"Fora dos ciclos",LOOKUP(B5,parametros!$C$2:$C$6,parametros!$B$2:$B$6))))</f>
        <v/>
      </c>
      <c r="D5" s="129"/>
      <c r="E5" s="103" t="str">
        <f>IF(C5="","",IFERROR(VLOOKUP(C5,parametros!$A$11:$E$15,5,0),""))</f>
        <v/>
      </c>
      <c r="F5" s="104" t="str">
        <f t="shared" si="0"/>
        <v/>
      </c>
      <c r="G5" s="130"/>
      <c r="H5" s="119">
        <f t="shared" si="1"/>
        <v>0</v>
      </c>
      <c r="I5" s="119">
        <f t="shared" si="2"/>
        <v>0</v>
      </c>
      <c r="J5" s="119">
        <f t="shared" si="3"/>
        <v>0</v>
      </c>
      <c r="K5" s="121" t="str">
        <f t="shared" si="4"/>
        <v>DATA_PC vazia</v>
      </c>
      <c r="L5" s="16"/>
      <c r="M5" s="131" t="s">
        <v>38</v>
      </c>
      <c r="N5" s="132">
        <f>COUNTIF($C$2:$C$100,M5)</f>
        <v>0</v>
      </c>
      <c r="O5" s="133">
        <f>SUMIF($C$2:$C$100,M5,$D$2:$D$100)</f>
        <v>0</v>
      </c>
      <c r="P5" s="133">
        <f>SUMIF($C$2:$C$100,M5,$F$2:$F$100)</f>
        <v>0</v>
      </c>
      <c r="Q5" s="133">
        <f>SUMIF($C$2:$C$100,M5,$H$2:$H$100)</f>
        <v>0</v>
      </c>
      <c r="R5" s="133">
        <f>SUMIF($C$2:$C$100,M5,$I$2:$I$100)</f>
        <v>0</v>
      </c>
      <c r="S5" s="133">
        <f>SUMIF($C$2:$C$100,M5,$J$2:$J$100)</f>
        <v>0</v>
      </c>
      <c r="T5" s="132">
        <f>COUNTIFS($C$2:$C$100,M5,$K$2:$K$100,"&lt;&gt;OK",$K$2:$K$100,"&lt;&gt;")</f>
        <v>0</v>
      </c>
      <c r="U5" s="16"/>
      <c r="V5" s="134" t="s">
        <v>27</v>
      </c>
      <c r="W5" s="134" t="s">
        <v>28</v>
      </c>
      <c r="X5" s="134" t="s">
        <v>29</v>
      </c>
      <c r="Y5" s="135" t="s">
        <v>30</v>
      </c>
      <c r="Z5" s="135" t="s">
        <v>31</v>
      </c>
      <c r="AA5" s="135" t="s">
        <v>27</v>
      </c>
      <c r="AB5" s="135" t="s">
        <v>32</v>
      </c>
      <c r="AC5" s="136" t="s">
        <v>33</v>
      </c>
    </row>
    <row r="6" spans="1:29" ht="25.5" customHeight="1" x14ac:dyDescent="0.35">
      <c r="A6" s="195"/>
      <c r="B6" s="196"/>
      <c r="C6" s="128" t="str">
        <f>IF(B6="","",IF(NOT(ISNUMBER(B6)),"DATA_PC invalida",IF(OR(B6&lt;MIN(parametros!$C$2:$C$6),B6&gt;MAX(parametros!$D$2:$D$6)),"Fora dos ciclos",LOOKUP(B6,parametros!$C$2:$C$6,parametros!$B$2:$B$6))))</f>
        <v/>
      </c>
      <c r="D6" s="129"/>
      <c r="E6" s="103" t="str">
        <f>IF(C6="","",IFERROR(VLOOKUP(C6,parametros!$A$11:$E$15,5,0),""))</f>
        <v/>
      </c>
      <c r="F6" s="104" t="str">
        <f t="shared" si="0"/>
        <v/>
      </c>
      <c r="G6" s="130"/>
      <c r="H6" s="119">
        <f t="shared" si="1"/>
        <v>0</v>
      </c>
      <c r="I6" s="119">
        <f t="shared" si="2"/>
        <v>0</v>
      </c>
      <c r="J6" s="119">
        <f t="shared" si="3"/>
        <v>0</v>
      </c>
      <c r="K6" s="121" t="str">
        <f t="shared" si="4"/>
        <v>DATA_PC vazia</v>
      </c>
      <c r="L6" s="16"/>
      <c r="M6" s="131" t="s">
        <v>39</v>
      </c>
      <c r="N6" s="132">
        <f>COUNTIF($C$2:$C$100,M6)</f>
        <v>0</v>
      </c>
      <c r="O6" s="133">
        <f>SUMIF($C$2:$C$100,M6,$D$2:$D$100)</f>
        <v>0</v>
      </c>
      <c r="P6" s="133">
        <f>SUMIF($C$2:$C$100,M6,$F$2:$F$100)</f>
        <v>0</v>
      </c>
      <c r="Q6" s="133">
        <f>SUMIF($C$2:$C$100,M6,$H$2:$H$100)</f>
        <v>0</v>
      </c>
      <c r="R6" s="133">
        <f>SUMIF($C$2:$C$100,M6,$I$2:$I$100)</f>
        <v>0</v>
      </c>
      <c r="S6" s="133">
        <f>SUMIF($C$2:$C$100,M6,$J$2:$J$100)</f>
        <v>0</v>
      </c>
      <c r="T6" s="132">
        <f>COUNTIFS($C$2:$C$100,M6,$K$2:$K$100,"&lt;&gt;OK",$K$2:$K$100,"&lt;&gt;")</f>
        <v>0</v>
      </c>
      <c r="U6" s="16"/>
      <c r="V6" s="134" t="s">
        <v>27</v>
      </c>
      <c r="W6" s="134" t="s">
        <v>28</v>
      </c>
      <c r="X6" s="134" t="s">
        <v>29</v>
      </c>
      <c r="Y6" s="135" t="s">
        <v>30</v>
      </c>
      <c r="Z6" s="135" t="s">
        <v>31</v>
      </c>
      <c r="AA6" s="135" t="s">
        <v>27</v>
      </c>
      <c r="AB6" s="135" t="s">
        <v>32</v>
      </c>
      <c r="AC6" s="136" t="s">
        <v>33</v>
      </c>
    </row>
    <row r="7" spans="1:29" ht="25.5" customHeight="1" x14ac:dyDescent="0.35">
      <c r="A7" s="195"/>
      <c r="B7" s="196"/>
      <c r="C7" s="128" t="str">
        <f>IF(B7="","",IF(NOT(ISNUMBER(B7)),"DATA_PC invalida",IF(OR(B7&lt;MIN(parametros!$C$2:$C$6),B7&gt;MAX(parametros!$D$2:$D$6)),"Fora dos ciclos",LOOKUP(B7,parametros!$C$2:$C$6,parametros!$B$2:$B$6))))</f>
        <v/>
      </c>
      <c r="D7" s="129"/>
      <c r="E7" s="103" t="str">
        <f>IF(C7="","",IFERROR(VLOOKUP(C7,parametros!$A$11:$E$15,5,0),""))</f>
        <v/>
      </c>
      <c r="F7" s="104" t="str">
        <f t="shared" si="0"/>
        <v/>
      </c>
      <c r="G7" s="130"/>
      <c r="H7" s="119">
        <f t="shared" si="1"/>
        <v>0</v>
      </c>
      <c r="I7" s="119">
        <f t="shared" si="2"/>
        <v>0</v>
      </c>
      <c r="J7" s="119">
        <f t="shared" si="3"/>
        <v>0</v>
      </c>
      <c r="K7" s="121" t="str">
        <f t="shared" si="4"/>
        <v>DATA_PC vazia</v>
      </c>
      <c r="L7" s="16"/>
      <c r="M7" s="34" t="s">
        <v>40</v>
      </c>
      <c r="N7" s="35">
        <f t="shared" ref="N7:T7" si="5">SUM(N2:N6)</f>
        <v>3</v>
      </c>
      <c r="O7" s="36">
        <f t="shared" si="5"/>
        <v>421750</v>
      </c>
      <c r="P7" s="36">
        <f t="shared" si="5"/>
        <v>443343.6</v>
      </c>
      <c r="Q7" s="36">
        <f t="shared" si="5"/>
        <v>14156.8</v>
      </c>
      <c r="R7" s="36">
        <f t="shared" si="5"/>
        <v>152686.79999999999</v>
      </c>
      <c r="S7" s="36">
        <f t="shared" si="5"/>
        <v>7436.8</v>
      </c>
      <c r="T7" s="35">
        <f t="shared" si="5"/>
        <v>0</v>
      </c>
      <c r="U7" s="16"/>
      <c r="V7" s="134" t="s">
        <v>27</v>
      </c>
      <c r="W7" s="134" t="s">
        <v>28</v>
      </c>
      <c r="X7" s="134" t="s">
        <v>29</v>
      </c>
      <c r="Y7" s="135" t="s">
        <v>30</v>
      </c>
      <c r="Z7" s="135" t="s">
        <v>31</v>
      </c>
      <c r="AA7" s="135" t="s">
        <v>27</v>
      </c>
      <c r="AB7" s="135" t="s">
        <v>32</v>
      </c>
      <c r="AC7" s="136" t="s">
        <v>33</v>
      </c>
    </row>
    <row r="8" spans="1:29" ht="25.5" customHeight="1" x14ac:dyDescent="0.35">
      <c r="A8" s="195"/>
      <c r="B8" s="196"/>
      <c r="C8" s="128" t="str">
        <f>IF(B8="","",IF(NOT(ISNUMBER(B8)),"DATA_PC invalida",IF(OR(B8&lt;MIN(parametros!$C$2:$C$6),B8&gt;MAX(parametros!$D$2:$D$6)),"Fora dos ciclos",LOOKUP(B8,parametros!$C$2:$C$6,parametros!$B$2:$B$6))))</f>
        <v/>
      </c>
      <c r="D8" s="129"/>
      <c r="E8" s="103" t="str">
        <f>IF(C8="","",IFERROR(VLOOKUP(C8,parametros!$A$11:$E$15,5,0),""))</f>
        <v/>
      </c>
      <c r="F8" s="104" t="str">
        <f t="shared" si="0"/>
        <v/>
      </c>
      <c r="G8" s="130"/>
      <c r="H8" s="119">
        <f t="shared" si="1"/>
        <v>0</v>
      </c>
      <c r="I8" s="119">
        <f t="shared" si="2"/>
        <v>0</v>
      </c>
      <c r="J8" s="119">
        <f t="shared" si="3"/>
        <v>0</v>
      </c>
      <c r="K8" s="121" t="str">
        <f t="shared" si="4"/>
        <v>DATA_PC vazia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34" t="s">
        <v>27</v>
      </c>
      <c r="W8" s="134" t="s">
        <v>28</v>
      </c>
      <c r="X8" s="134" t="s">
        <v>29</v>
      </c>
      <c r="Y8" s="135" t="s">
        <v>30</v>
      </c>
      <c r="Z8" s="135" t="s">
        <v>31</v>
      </c>
      <c r="AA8" s="135" t="s">
        <v>27</v>
      </c>
      <c r="AB8" s="135" t="s">
        <v>32</v>
      </c>
      <c r="AC8" s="136" t="s">
        <v>33</v>
      </c>
    </row>
    <row r="9" spans="1:29" ht="25.5" customHeight="1" x14ac:dyDescent="0.35">
      <c r="A9" s="195"/>
      <c r="B9" s="196"/>
      <c r="C9" s="128" t="str">
        <f>IF(B9="","",IF(NOT(ISNUMBER(B9)),"DATA_PC invalida",IF(OR(B9&lt;MIN(parametros!$C$2:$C$6),B9&gt;MAX(parametros!$D$2:$D$6)),"Fora dos ciclos",LOOKUP(B9,parametros!$C$2:$C$6,parametros!$B$2:$B$6))))</f>
        <v/>
      </c>
      <c r="D9" s="129"/>
      <c r="E9" s="103" t="str">
        <f>IF(C9="","",IFERROR(VLOOKUP(C9,parametros!$A$11:$E$15,5,0),""))</f>
        <v/>
      </c>
      <c r="F9" s="104" t="str">
        <f t="shared" si="0"/>
        <v/>
      </c>
      <c r="G9" s="130"/>
      <c r="H9" s="119">
        <f t="shared" si="1"/>
        <v>0</v>
      </c>
      <c r="I9" s="119">
        <f t="shared" si="2"/>
        <v>0</v>
      </c>
      <c r="J9" s="119">
        <f t="shared" si="3"/>
        <v>0</v>
      </c>
      <c r="K9" s="121" t="str">
        <f t="shared" si="4"/>
        <v>DATA_PC vazia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34" t="s">
        <v>27</v>
      </c>
      <c r="W9" s="134" t="s">
        <v>28</v>
      </c>
      <c r="X9" s="134" t="s">
        <v>29</v>
      </c>
      <c r="Y9" s="135" t="s">
        <v>30</v>
      </c>
      <c r="Z9" s="135" t="s">
        <v>31</v>
      </c>
      <c r="AA9" s="135" t="s">
        <v>27</v>
      </c>
      <c r="AB9" s="135" t="s">
        <v>32</v>
      </c>
      <c r="AC9" s="136" t="s">
        <v>33</v>
      </c>
    </row>
    <row r="10" spans="1:29" ht="25.5" customHeight="1" x14ac:dyDescent="0.35">
      <c r="A10" s="195"/>
      <c r="B10" s="196"/>
      <c r="C10" s="128" t="str">
        <f>IF(B10="","",IF(NOT(ISNUMBER(B10)),"DATA_PC invalida",IF(OR(B10&lt;MIN(parametros!$C$2:$C$6),B10&gt;MAX(parametros!$D$2:$D$6)),"Fora dos ciclos",LOOKUP(B10,parametros!$C$2:$C$6,parametros!$B$2:$B$6))))</f>
        <v/>
      </c>
      <c r="D10" s="129"/>
      <c r="E10" s="103" t="str">
        <f>IF(C10="","",IFERROR(VLOOKUP(C10,parametros!$A$11:$E$15,5,0),""))</f>
        <v/>
      </c>
      <c r="F10" s="104" t="str">
        <f t="shared" si="0"/>
        <v/>
      </c>
      <c r="G10" s="130"/>
      <c r="H10" s="119">
        <f t="shared" si="1"/>
        <v>0</v>
      </c>
      <c r="I10" s="119">
        <f t="shared" si="2"/>
        <v>0</v>
      </c>
      <c r="J10" s="119">
        <f t="shared" si="3"/>
        <v>0</v>
      </c>
      <c r="K10" s="121" t="str">
        <f t="shared" si="4"/>
        <v>DATA_PC vazia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34" t="s">
        <v>27</v>
      </c>
      <c r="W10" s="134" t="s">
        <v>28</v>
      </c>
      <c r="X10" s="134" t="s">
        <v>29</v>
      </c>
      <c r="Y10" s="135" t="s">
        <v>30</v>
      </c>
      <c r="Z10" s="135" t="s">
        <v>31</v>
      </c>
      <c r="AA10" s="135" t="s">
        <v>27</v>
      </c>
      <c r="AB10" s="135" t="s">
        <v>32</v>
      </c>
      <c r="AC10" s="136" t="s">
        <v>33</v>
      </c>
    </row>
    <row r="11" spans="1:29" ht="25.5" customHeight="1" x14ac:dyDescent="0.35">
      <c r="A11" s="195"/>
      <c r="B11" s="196"/>
      <c r="C11" s="128" t="str">
        <f>IF(B11="","",IF(NOT(ISNUMBER(B11)),"DATA_PC invalida",IF(OR(B11&lt;MIN(parametros!$C$2:$C$6),B11&gt;MAX(parametros!$D$2:$D$6)),"Fora dos ciclos",LOOKUP(B11,parametros!$C$2:$C$6,parametros!$B$2:$B$6))))</f>
        <v/>
      </c>
      <c r="D11" s="129"/>
      <c r="E11" s="103" t="str">
        <f>IF(C11="","",IFERROR(VLOOKUP(C11,parametros!$A$11:$E$15,5,0),""))</f>
        <v/>
      </c>
      <c r="F11" s="104" t="str">
        <f t="shared" si="0"/>
        <v/>
      </c>
      <c r="G11" s="130"/>
      <c r="H11" s="119">
        <f t="shared" si="1"/>
        <v>0</v>
      </c>
      <c r="I11" s="119">
        <f t="shared" si="2"/>
        <v>0</v>
      </c>
      <c r="J11" s="119">
        <f t="shared" si="3"/>
        <v>0</v>
      </c>
      <c r="K11" s="121" t="str">
        <f t="shared" si="4"/>
        <v>DATA_PC vazia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34" t="s">
        <v>27</v>
      </c>
      <c r="W11" s="134" t="s">
        <v>28</v>
      </c>
      <c r="X11" s="134" t="s">
        <v>29</v>
      </c>
      <c r="Y11" s="135" t="s">
        <v>30</v>
      </c>
      <c r="Z11" s="135" t="s">
        <v>31</v>
      </c>
      <c r="AA11" s="135" t="s">
        <v>27</v>
      </c>
      <c r="AB11" s="135" t="s">
        <v>32</v>
      </c>
      <c r="AC11" s="136" t="s">
        <v>33</v>
      </c>
    </row>
    <row r="12" spans="1:29" ht="25.5" customHeight="1" x14ac:dyDescent="0.35">
      <c r="A12" s="195"/>
      <c r="B12" s="196"/>
      <c r="C12" s="128" t="str">
        <f>IF(B12="","",IF(NOT(ISNUMBER(B12)),"DATA_PC invalida",IF(OR(B12&lt;MIN(parametros!$C$2:$C$6),B12&gt;MAX(parametros!$D$2:$D$6)),"Fora dos ciclos",LOOKUP(B12,parametros!$C$2:$C$6,parametros!$B$2:$B$6))))</f>
        <v/>
      </c>
      <c r="D12" s="129"/>
      <c r="E12" s="103" t="str">
        <f>IF(C12="","",IFERROR(VLOOKUP(C12,parametros!$A$11:$E$15,5,0),""))</f>
        <v/>
      </c>
      <c r="F12" s="104" t="str">
        <f t="shared" si="0"/>
        <v/>
      </c>
      <c r="G12" s="130"/>
      <c r="H12" s="119">
        <f t="shared" si="1"/>
        <v>0</v>
      </c>
      <c r="I12" s="119">
        <f t="shared" si="2"/>
        <v>0</v>
      </c>
      <c r="J12" s="119">
        <f t="shared" si="3"/>
        <v>0</v>
      </c>
      <c r="K12" s="121" t="str">
        <f t="shared" si="4"/>
        <v>DATA_PC vazia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34" t="s">
        <v>27</v>
      </c>
      <c r="W12" s="134" t="s">
        <v>28</v>
      </c>
      <c r="X12" s="134" t="s">
        <v>29</v>
      </c>
      <c r="Y12" s="135" t="s">
        <v>30</v>
      </c>
      <c r="Z12" s="135" t="s">
        <v>31</v>
      </c>
      <c r="AA12" s="135" t="s">
        <v>27</v>
      </c>
      <c r="AB12" s="135" t="s">
        <v>32</v>
      </c>
      <c r="AC12" s="136" t="s">
        <v>33</v>
      </c>
    </row>
    <row r="13" spans="1:29" ht="25.5" customHeight="1" x14ac:dyDescent="0.35">
      <c r="A13" s="195"/>
      <c r="B13" s="196"/>
      <c r="C13" s="128" t="str">
        <f>IF(B13="","",IF(NOT(ISNUMBER(B13)),"DATA_PC invalida",IF(OR(B13&lt;MIN(parametros!$C$2:$C$6),B13&gt;MAX(parametros!$D$2:$D$6)),"Fora dos ciclos",LOOKUP(B13,parametros!$C$2:$C$6,parametros!$B$2:$B$6))))</f>
        <v/>
      </c>
      <c r="D13" s="129"/>
      <c r="E13" s="103" t="str">
        <f>IF(C13="","",IFERROR(VLOOKUP(C13,parametros!$A$11:$E$15,5,0),""))</f>
        <v/>
      </c>
      <c r="F13" s="104" t="str">
        <f t="shared" si="0"/>
        <v/>
      </c>
      <c r="G13" s="130"/>
      <c r="H13" s="119">
        <f t="shared" si="1"/>
        <v>0</v>
      </c>
      <c r="I13" s="119">
        <f t="shared" si="2"/>
        <v>0</v>
      </c>
      <c r="J13" s="119">
        <f t="shared" si="3"/>
        <v>0</v>
      </c>
      <c r="K13" s="121" t="str">
        <f t="shared" si="4"/>
        <v>DATA_PC vazia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34" t="s">
        <v>27</v>
      </c>
      <c r="W13" s="134" t="s">
        <v>28</v>
      </c>
      <c r="X13" s="134" t="s">
        <v>29</v>
      </c>
      <c r="Y13" s="135" t="s">
        <v>30</v>
      </c>
      <c r="Z13" s="135" t="s">
        <v>31</v>
      </c>
      <c r="AA13" s="135" t="s">
        <v>27</v>
      </c>
      <c r="AB13" s="135" t="s">
        <v>32</v>
      </c>
      <c r="AC13" s="136" t="s">
        <v>33</v>
      </c>
    </row>
    <row r="14" spans="1:29" ht="25.5" customHeight="1" x14ac:dyDescent="0.35">
      <c r="A14" s="195"/>
      <c r="B14" s="196"/>
      <c r="C14" s="128" t="str">
        <f>IF(B14="","",IF(NOT(ISNUMBER(B14)),"DATA_PC invalida",IF(OR(B14&lt;MIN(parametros!$C$2:$C$6),B14&gt;MAX(parametros!$D$2:$D$6)),"Fora dos ciclos",LOOKUP(B14,parametros!$C$2:$C$6,parametros!$B$2:$B$6))))</f>
        <v/>
      </c>
      <c r="D14" s="129"/>
      <c r="E14" s="103" t="str">
        <f>IF(C14="","",IFERROR(VLOOKUP(C14,parametros!$A$11:$E$15,5,0),""))</f>
        <v/>
      </c>
      <c r="F14" s="104" t="str">
        <f t="shared" si="0"/>
        <v/>
      </c>
      <c r="G14" s="130"/>
      <c r="H14" s="119">
        <f t="shared" si="1"/>
        <v>0</v>
      </c>
      <c r="I14" s="119">
        <f t="shared" si="2"/>
        <v>0</v>
      </c>
      <c r="J14" s="119">
        <f t="shared" si="3"/>
        <v>0</v>
      </c>
      <c r="K14" s="121" t="str">
        <f t="shared" si="4"/>
        <v>DATA_PC vazia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34" t="s">
        <v>27</v>
      </c>
      <c r="W14" s="134" t="s">
        <v>28</v>
      </c>
      <c r="X14" s="134" t="s">
        <v>29</v>
      </c>
      <c r="Y14" s="135" t="s">
        <v>30</v>
      </c>
      <c r="Z14" s="135" t="s">
        <v>31</v>
      </c>
      <c r="AA14" s="135" t="s">
        <v>27</v>
      </c>
      <c r="AB14" s="135" t="s">
        <v>32</v>
      </c>
      <c r="AC14" s="136" t="s">
        <v>33</v>
      </c>
    </row>
    <row r="15" spans="1:29" ht="25.5" customHeight="1" x14ac:dyDescent="0.35">
      <c r="A15" s="195"/>
      <c r="B15" s="196"/>
      <c r="C15" s="128" t="str">
        <f>IF(B15="","",IF(NOT(ISNUMBER(B15)),"DATA_PC invalida",IF(OR(B15&lt;MIN(parametros!$C$2:$C$6),B15&gt;MAX(parametros!$D$2:$D$6)),"Fora dos ciclos",LOOKUP(B15,parametros!$C$2:$C$6,parametros!$B$2:$B$6))))</f>
        <v/>
      </c>
      <c r="D15" s="129"/>
      <c r="E15" s="103" t="str">
        <f>IF(C15="","",IFERROR(VLOOKUP(C15,parametros!$A$11:$E$15,5,0),""))</f>
        <v/>
      </c>
      <c r="F15" s="104" t="str">
        <f t="shared" si="0"/>
        <v/>
      </c>
      <c r="G15" s="130"/>
      <c r="H15" s="119">
        <f t="shared" si="1"/>
        <v>0</v>
      </c>
      <c r="I15" s="119">
        <f t="shared" si="2"/>
        <v>0</v>
      </c>
      <c r="J15" s="119">
        <f t="shared" si="3"/>
        <v>0</v>
      </c>
      <c r="K15" s="121" t="str">
        <f t="shared" si="4"/>
        <v>DATA_PC vazia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34" t="s">
        <v>27</v>
      </c>
      <c r="W15" s="134" t="s">
        <v>28</v>
      </c>
      <c r="X15" s="134" t="s">
        <v>29</v>
      </c>
      <c r="Y15" s="135" t="s">
        <v>30</v>
      </c>
      <c r="Z15" s="135" t="s">
        <v>31</v>
      </c>
      <c r="AA15" s="135" t="s">
        <v>27</v>
      </c>
      <c r="AB15" s="135" t="s">
        <v>32</v>
      </c>
      <c r="AC15" s="136" t="s">
        <v>33</v>
      </c>
    </row>
    <row r="16" spans="1:29" ht="25.5" customHeight="1" x14ac:dyDescent="0.35">
      <c r="A16" s="195"/>
      <c r="B16" s="196"/>
      <c r="C16" s="128" t="str">
        <f>IF(B16="","",IF(NOT(ISNUMBER(B16)),"DATA_PC invalida",IF(OR(B16&lt;MIN(parametros!$C$2:$C$6),B16&gt;MAX(parametros!$D$2:$D$6)),"Fora dos ciclos",LOOKUP(B16,parametros!$C$2:$C$6,parametros!$B$2:$B$6))))</f>
        <v/>
      </c>
      <c r="D16" s="129"/>
      <c r="E16" s="103" t="str">
        <f>IF(C16="","",IFERROR(VLOOKUP(C16,parametros!$A$11:$E$15,5,0),""))</f>
        <v/>
      </c>
      <c r="F16" s="104" t="str">
        <f t="shared" si="0"/>
        <v/>
      </c>
      <c r="G16" s="130"/>
      <c r="H16" s="119">
        <f t="shared" si="1"/>
        <v>0</v>
      </c>
      <c r="I16" s="119">
        <f t="shared" si="2"/>
        <v>0</v>
      </c>
      <c r="J16" s="119">
        <f t="shared" si="3"/>
        <v>0</v>
      </c>
      <c r="K16" s="121" t="str">
        <f t="shared" si="4"/>
        <v>DATA_PC vazia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34" t="s">
        <v>27</v>
      </c>
      <c r="W16" s="134" t="s">
        <v>28</v>
      </c>
      <c r="X16" s="134" t="s">
        <v>29</v>
      </c>
      <c r="Y16" s="135" t="s">
        <v>30</v>
      </c>
      <c r="Z16" s="135" t="s">
        <v>31</v>
      </c>
      <c r="AA16" s="135" t="s">
        <v>27</v>
      </c>
      <c r="AB16" s="135" t="s">
        <v>32</v>
      </c>
      <c r="AC16" s="136" t="s">
        <v>33</v>
      </c>
    </row>
    <row r="17" spans="1:29" ht="25.5" customHeight="1" x14ac:dyDescent="0.35">
      <c r="A17" s="195"/>
      <c r="B17" s="196"/>
      <c r="C17" s="128" t="str">
        <f>IF(B17="","",IF(NOT(ISNUMBER(B17)),"DATA_PC invalida",IF(OR(B17&lt;MIN(parametros!$C$2:$C$6),B17&gt;MAX(parametros!$D$2:$D$6)),"Fora dos ciclos",LOOKUP(B17,parametros!$C$2:$C$6,parametros!$B$2:$B$6))))</f>
        <v/>
      </c>
      <c r="D17" s="129"/>
      <c r="E17" s="103" t="str">
        <f>IF(C17="","",IFERROR(VLOOKUP(C17,parametros!$A$11:$E$15,5,0),""))</f>
        <v/>
      </c>
      <c r="F17" s="104" t="str">
        <f t="shared" si="0"/>
        <v/>
      </c>
      <c r="G17" s="130"/>
      <c r="H17" s="119">
        <f t="shared" si="1"/>
        <v>0</v>
      </c>
      <c r="I17" s="119">
        <f t="shared" si="2"/>
        <v>0</v>
      </c>
      <c r="J17" s="119">
        <f t="shared" si="3"/>
        <v>0</v>
      </c>
      <c r="K17" s="121" t="str">
        <f t="shared" si="4"/>
        <v>DATA_PC vazia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34" t="s">
        <v>27</v>
      </c>
      <c r="W17" s="134" t="s">
        <v>28</v>
      </c>
      <c r="X17" s="134" t="s">
        <v>29</v>
      </c>
      <c r="Y17" s="135" t="s">
        <v>30</v>
      </c>
      <c r="Z17" s="135" t="s">
        <v>31</v>
      </c>
      <c r="AA17" s="135" t="s">
        <v>27</v>
      </c>
      <c r="AB17" s="135" t="s">
        <v>32</v>
      </c>
      <c r="AC17" s="136" t="s">
        <v>33</v>
      </c>
    </row>
    <row r="18" spans="1:29" ht="25.5" customHeight="1" x14ac:dyDescent="0.35">
      <c r="A18" s="195"/>
      <c r="B18" s="196"/>
      <c r="C18" s="128" t="str">
        <f>IF(B18="","",IF(NOT(ISNUMBER(B18)),"DATA_PC invalida",IF(OR(B18&lt;MIN(parametros!$C$2:$C$6),B18&gt;MAX(parametros!$D$2:$D$6)),"Fora dos ciclos",LOOKUP(B18,parametros!$C$2:$C$6,parametros!$B$2:$B$6))))</f>
        <v/>
      </c>
      <c r="D18" s="129"/>
      <c r="E18" s="103" t="str">
        <f>IF(C18="","",IFERROR(VLOOKUP(C18,parametros!$A$11:$E$15,5,0),""))</f>
        <v/>
      </c>
      <c r="F18" s="104" t="str">
        <f t="shared" si="0"/>
        <v/>
      </c>
      <c r="G18" s="130"/>
      <c r="H18" s="119">
        <f t="shared" si="1"/>
        <v>0</v>
      </c>
      <c r="I18" s="119">
        <f t="shared" si="2"/>
        <v>0</v>
      </c>
      <c r="J18" s="119">
        <f t="shared" si="3"/>
        <v>0</v>
      </c>
      <c r="K18" s="121" t="str">
        <f t="shared" si="4"/>
        <v>DATA_PC vazia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34" t="s">
        <v>27</v>
      </c>
      <c r="W18" s="134" t="s">
        <v>28</v>
      </c>
      <c r="X18" s="134" t="s">
        <v>29</v>
      </c>
      <c r="Y18" s="135" t="s">
        <v>30</v>
      </c>
      <c r="Z18" s="135" t="s">
        <v>31</v>
      </c>
      <c r="AA18" s="135" t="s">
        <v>27</v>
      </c>
      <c r="AB18" s="135" t="s">
        <v>32</v>
      </c>
      <c r="AC18" s="136" t="s">
        <v>33</v>
      </c>
    </row>
    <row r="19" spans="1:29" ht="25.5" customHeight="1" x14ac:dyDescent="0.35">
      <c r="A19" s="195"/>
      <c r="B19" s="196"/>
      <c r="C19" s="128" t="str">
        <f>IF(B19="","",IF(NOT(ISNUMBER(B19)),"DATA_PC invalida",IF(OR(B19&lt;MIN(parametros!$C$2:$C$6),B19&gt;MAX(parametros!$D$2:$D$6)),"Fora dos ciclos",LOOKUP(B19,parametros!$C$2:$C$6,parametros!$B$2:$B$6))))</f>
        <v/>
      </c>
      <c r="D19" s="129"/>
      <c r="E19" s="103" t="str">
        <f>IF(C19="","",IFERROR(VLOOKUP(C19,parametros!$A$11:$E$15,5,0),""))</f>
        <v/>
      </c>
      <c r="F19" s="104" t="str">
        <f t="shared" si="0"/>
        <v/>
      </c>
      <c r="G19" s="130"/>
      <c r="H19" s="119">
        <f t="shared" si="1"/>
        <v>0</v>
      </c>
      <c r="I19" s="119">
        <f t="shared" si="2"/>
        <v>0</v>
      </c>
      <c r="J19" s="119">
        <f t="shared" si="3"/>
        <v>0</v>
      </c>
      <c r="K19" s="121" t="str">
        <f t="shared" si="4"/>
        <v>DATA_PC vazia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34" t="s">
        <v>27</v>
      </c>
      <c r="W19" s="134" t="s">
        <v>28</v>
      </c>
      <c r="X19" s="134" t="s">
        <v>29</v>
      </c>
      <c r="Y19" s="135" t="s">
        <v>30</v>
      </c>
      <c r="Z19" s="135" t="s">
        <v>31</v>
      </c>
      <c r="AA19" s="135" t="s">
        <v>27</v>
      </c>
      <c r="AB19" s="135" t="s">
        <v>32</v>
      </c>
      <c r="AC19" s="136" t="s">
        <v>33</v>
      </c>
    </row>
    <row r="20" spans="1:29" ht="25.5" customHeight="1" x14ac:dyDescent="0.35">
      <c r="A20" s="195"/>
      <c r="B20" s="196"/>
      <c r="C20" s="128" t="str">
        <f>IF(B20="","",IF(NOT(ISNUMBER(B20)),"DATA_PC invalida",IF(OR(B20&lt;MIN(parametros!$C$2:$C$6),B20&gt;MAX(parametros!$D$2:$D$6)),"Fora dos ciclos",LOOKUP(B20,parametros!$C$2:$C$6,parametros!$B$2:$B$6))))</f>
        <v/>
      </c>
      <c r="D20" s="129"/>
      <c r="E20" s="103" t="str">
        <f>IF(C20="","",IFERROR(VLOOKUP(C20,parametros!$A$11:$E$15,5,0),""))</f>
        <v/>
      </c>
      <c r="F20" s="104" t="str">
        <f t="shared" si="0"/>
        <v/>
      </c>
      <c r="G20" s="130"/>
      <c r="H20" s="119">
        <f t="shared" si="1"/>
        <v>0</v>
      </c>
      <c r="I20" s="119">
        <f t="shared" si="2"/>
        <v>0</v>
      </c>
      <c r="J20" s="119">
        <f t="shared" si="3"/>
        <v>0</v>
      </c>
      <c r="K20" s="121" t="str">
        <f t="shared" si="4"/>
        <v>DATA_PC vazia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34" t="s">
        <v>27</v>
      </c>
      <c r="W20" s="134" t="s">
        <v>28</v>
      </c>
      <c r="X20" s="134" t="s">
        <v>29</v>
      </c>
      <c r="Y20" s="135" t="s">
        <v>30</v>
      </c>
      <c r="Z20" s="135" t="s">
        <v>31</v>
      </c>
      <c r="AA20" s="135" t="s">
        <v>27</v>
      </c>
      <c r="AB20" s="135" t="s">
        <v>32</v>
      </c>
      <c r="AC20" s="136" t="s">
        <v>33</v>
      </c>
    </row>
    <row r="21" spans="1:29" ht="25.5" customHeight="1" x14ac:dyDescent="0.35">
      <c r="A21" s="195"/>
      <c r="B21" s="196"/>
      <c r="C21" s="128" t="str">
        <f>IF(B21="","",IF(NOT(ISNUMBER(B21)),"DATA_PC invalida",IF(OR(B21&lt;MIN(parametros!$C$2:$C$6),B21&gt;MAX(parametros!$D$2:$D$6)),"Fora dos ciclos",LOOKUP(B21,parametros!$C$2:$C$6,parametros!$B$2:$B$6))))</f>
        <v/>
      </c>
      <c r="D21" s="129"/>
      <c r="E21" s="103" t="str">
        <f>IF(C21="","",IFERROR(VLOOKUP(C21,parametros!$A$11:$E$15,5,0),""))</f>
        <v/>
      </c>
      <c r="F21" s="104" t="str">
        <f t="shared" si="0"/>
        <v/>
      </c>
      <c r="G21" s="130"/>
      <c r="H21" s="119">
        <f t="shared" si="1"/>
        <v>0</v>
      </c>
      <c r="I21" s="119">
        <f t="shared" si="2"/>
        <v>0</v>
      </c>
      <c r="J21" s="119">
        <f t="shared" si="3"/>
        <v>0</v>
      </c>
      <c r="K21" s="121" t="str">
        <f t="shared" si="4"/>
        <v>DATA_PC vazia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34" t="s">
        <v>27</v>
      </c>
      <c r="W21" s="134" t="s">
        <v>28</v>
      </c>
      <c r="X21" s="134" t="s">
        <v>29</v>
      </c>
      <c r="Y21" s="135" t="s">
        <v>30</v>
      </c>
      <c r="Z21" s="135" t="s">
        <v>31</v>
      </c>
      <c r="AA21" s="135" t="s">
        <v>27</v>
      </c>
      <c r="AB21" s="135" t="s">
        <v>32</v>
      </c>
      <c r="AC21" s="136" t="s">
        <v>33</v>
      </c>
    </row>
    <row r="22" spans="1:29" ht="25.5" customHeight="1" x14ac:dyDescent="0.35">
      <c r="A22" s="195"/>
      <c r="B22" s="196"/>
      <c r="C22" s="128" t="str">
        <f>IF(B22="","",IF(NOT(ISNUMBER(B22)),"DATA_PC invalida",IF(OR(B22&lt;MIN(parametros!$C$2:$C$6),B22&gt;MAX(parametros!$D$2:$D$6)),"Fora dos ciclos",LOOKUP(B22,parametros!$C$2:$C$6,parametros!$B$2:$B$6))))</f>
        <v/>
      </c>
      <c r="D22" s="129"/>
      <c r="E22" s="103" t="str">
        <f>IF(C22="","",IFERROR(VLOOKUP(C22,parametros!$A$11:$E$15,5,0),""))</f>
        <v/>
      </c>
      <c r="F22" s="104" t="str">
        <f t="shared" si="0"/>
        <v/>
      </c>
      <c r="G22" s="130"/>
      <c r="H22" s="119">
        <f t="shared" si="1"/>
        <v>0</v>
      </c>
      <c r="I22" s="119">
        <f t="shared" si="2"/>
        <v>0</v>
      </c>
      <c r="J22" s="119">
        <f t="shared" si="3"/>
        <v>0</v>
      </c>
      <c r="K22" s="121" t="str">
        <f t="shared" si="4"/>
        <v>DATA_PC vazia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34" t="s">
        <v>27</v>
      </c>
      <c r="W22" s="134" t="s">
        <v>28</v>
      </c>
      <c r="X22" s="134" t="s">
        <v>29</v>
      </c>
      <c r="Y22" s="135" t="s">
        <v>30</v>
      </c>
      <c r="Z22" s="135" t="s">
        <v>31</v>
      </c>
      <c r="AA22" s="135" t="s">
        <v>27</v>
      </c>
      <c r="AB22" s="135" t="s">
        <v>32</v>
      </c>
      <c r="AC22" s="136" t="s">
        <v>33</v>
      </c>
    </row>
    <row r="23" spans="1:29" ht="25.5" customHeight="1" x14ac:dyDescent="0.35">
      <c r="A23" s="195"/>
      <c r="B23" s="196"/>
      <c r="C23" s="128" t="str">
        <f>IF(B23="","",IF(NOT(ISNUMBER(B23)),"DATA_PC invalida",IF(OR(B23&lt;MIN(parametros!$C$2:$C$6),B23&gt;MAX(parametros!$D$2:$D$6)),"Fora dos ciclos",LOOKUP(B23,parametros!$C$2:$C$6,parametros!$B$2:$B$6))))</f>
        <v/>
      </c>
      <c r="D23" s="129"/>
      <c r="E23" s="103" t="str">
        <f>IF(C23="","",IFERROR(VLOOKUP(C23,parametros!$A$11:$E$15,5,0),""))</f>
        <v/>
      </c>
      <c r="F23" s="104" t="str">
        <f t="shared" si="0"/>
        <v/>
      </c>
      <c r="G23" s="130"/>
      <c r="H23" s="119">
        <f t="shared" si="1"/>
        <v>0</v>
      </c>
      <c r="I23" s="119">
        <f t="shared" si="2"/>
        <v>0</v>
      </c>
      <c r="J23" s="119">
        <f t="shared" si="3"/>
        <v>0</v>
      </c>
      <c r="K23" s="121" t="str">
        <f t="shared" si="4"/>
        <v>DATA_PC vazia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34" t="s">
        <v>27</v>
      </c>
      <c r="W23" s="134" t="s">
        <v>28</v>
      </c>
      <c r="X23" s="134" t="s">
        <v>29</v>
      </c>
      <c r="Y23" s="135" t="s">
        <v>30</v>
      </c>
      <c r="Z23" s="135" t="s">
        <v>31</v>
      </c>
      <c r="AA23" s="135" t="s">
        <v>27</v>
      </c>
      <c r="AB23" s="135" t="s">
        <v>32</v>
      </c>
      <c r="AC23" s="136" t="s">
        <v>33</v>
      </c>
    </row>
    <row r="24" spans="1:29" ht="25.5" customHeight="1" x14ac:dyDescent="0.35">
      <c r="A24" s="195"/>
      <c r="B24" s="196"/>
      <c r="C24" s="128" t="str">
        <f>IF(B24="","",IF(NOT(ISNUMBER(B24)),"DATA_PC invalida",IF(OR(B24&lt;MIN(parametros!$C$2:$C$6),B24&gt;MAX(parametros!$D$2:$D$6)),"Fora dos ciclos",LOOKUP(B24,parametros!$C$2:$C$6,parametros!$B$2:$B$6))))</f>
        <v/>
      </c>
      <c r="D24" s="129"/>
      <c r="E24" s="103" t="str">
        <f>IF(C24="","",IFERROR(VLOOKUP(C24,parametros!$A$11:$E$15,5,0),""))</f>
        <v/>
      </c>
      <c r="F24" s="104" t="str">
        <f t="shared" si="0"/>
        <v/>
      </c>
      <c r="G24" s="130"/>
      <c r="H24" s="119">
        <f t="shared" si="1"/>
        <v>0</v>
      </c>
      <c r="I24" s="119">
        <f t="shared" si="2"/>
        <v>0</v>
      </c>
      <c r="J24" s="119">
        <f t="shared" si="3"/>
        <v>0</v>
      </c>
      <c r="K24" s="121" t="str">
        <f t="shared" si="4"/>
        <v>DATA_PC vazia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34" t="s">
        <v>27</v>
      </c>
      <c r="W24" s="134" t="s">
        <v>28</v>
      </c>
      <c r="X24" s="134" t="s">
        <v>29</v>
      </c>
      <c r="Y24" s="135" t="s">
        <v>30</v>
      </c>
      <c r="Z24" s="135" t="s">
        <v>31</v>
      </c>
      <c r="AA24" s="135" t="s">
        <v>27</v>
      </c>
      <c r="AB24" s="135" t="s">
        <v>32</v>
      </c>
      <c r="AC24" s="136" t="s">
        <v>33</v>
      </c>
    </row>
    <row r="25" spans="1:29" ht="25.5" customHeight="1" x14ac:dyDescent="0.35">
      <c r="A25" s="195"/>
      <c r="B25" s="196"/>
      <c r="C25" s="128" t="str">
        <f>IF(B25="","",IF(NOT(ISNUMBER(B25)),"DATA_PC invalida",IF(OR(B25&lt;MIN(parametros!$C$2:$C$6),B25&gt;MAX(parametros!$D$2:$D$6)),"Fora dos ciclos",LOOKUP(B25,parametros!$C$2:$C$6,parametros!$B$2:$B$6))))</f>
        <v/>
      </c>
      <c r="D25" s="129"/>
      <c r="E25" s="103" t="str">
        <f>IF(C25="","",IFERROR(VLOOKUP(C25,parametros!$A$11:$E$15,5,0),""))</f>
        <v/>
      </c>
      <c r="F25" s="104" t="str">
        <f t="shared" si="0"/>
        <v/>
      </c>
      <c r="G25" s="130"/>
      <c r="H25" s="119">
        <f t="shared" si="1"/>
        <v>0</v>
      </c>
      <c r="I25" s="119">
        <f t="shared" si="2"/>
        <v>0</v>
      </c>
      <c r="J25" s="119">
        <f t="shared" si="3"/>
        <v>0</v>
      </c>
      <c r="K25" s="121" t="str">
        <f t="shared" si="4"/>
        <v>DATA_PC vazia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34" t="s">
        <v>27</v>
      </c>
      <c r="W25" s="134" t="s">
        <v>28</v>
      </c>
      <c r="X25" s="134" t="s">
        <v>29</v>
      </c>
      <c r="Y25" s="135" t="s">
        <v>30</v>
      </c>
      <c r="Z25" s="135" t="s">
        <v>31</v>
      </c>
      <c r="AA25" s="135" t="s">
        <v>27</v>
      </c>
      <c r="AB25" s="135" t="s">
        <v>32</v>
      </c>
      <c r="AC25" s="136" t="s">
        <v>33</v>
      </c>
    </row>
    <row r="26" spans="1:29" ht="25.5" customHeight="1" x14ac:dyDescent="0.35">
      <c r="A26" s="195"/>
      <c r="B26" s="196"/>
      <c r="C26" s="128" t="str">
        <f>IF(B26="","",IF(NOT(ISNUMBER(B26)),"DATA_PC invalida",IF(OR(B26&lt;MIN(parametros!$C$2:$C$6),B26&gt;MAX(parametros!$D$2:$D$6)),"Fora dos ciclos",LOOKUP(B26,parametros!$C$2:$C$6,parametros!$B$2:$B$6))))</f>
        <v/>
      </c>
      <c r="D26" s="129"/>
      <c r="E26" s="103" t="str">
        <f>IF(C26="","",IFERROR(VLOOKUP(C26,parametros!$A$11:$E$15,5,0),""))</f>
        <v/>
      </c>
      <c r="F26" s="104" t="str">
        <f t="shared" si="0"/>
        <v/>
      </c>
      <c r="G26" s="130"/>
      <c r="H26" s="119">
        <f t="shared" si="1"/>
        <v>0</v>
      </c>
      <c r="I26" s="119">
        <f t="shared" si="2"/>
        <v>0</v>
      </c>
      <c r="J26" s="119">
        <f t="shared" si="3"/>
        <v>0</v>
      </c>
      <c r="K26" s="121" t="str">
        <f t="shared" si="4"/>
        <v>DATA_PC vazia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34" t="s">
        <v>27</v>
      </c>
      <c r="W26" s="134" t="s">
        <v>28</v>
      </c>
      <c r="X26" s="134" t="s">
        <v>29</v>
      </c>
      <c r="Y26" s="135" t="s">
        <v>30</v>
      </c>
      <c r="Z26" s="135" t="s">
        <v>31</v>
      </c>
      <c r="AA26" s="135" t="s">
        <v>27</v>
      </c>
      <c r="AB26" s="135" t="s">
        <v>32</v>
      </c>
      <c r="AC26" s="136" t="s">
        <v>33</v>
      </c>
    </row>
    <row r="27" spans="1:29" ht="25.5" customHeight="1" x14ac:dyDescent="0.35">
      <c r="A27" s="195"/>
      <c r="B27" s="196"/>
      <c r="C27" s="128" t="str">
        <f>IF(B27="","",IF(NOT(ISNUMBER(B27)),"DATA_PC invalida",IF(OR(B27&lt;MIN(parametros!$C$2:$C$6),B27&gt;MAX(parametros!$D$2:$D$6)),"Fora dos ciclos",LOOKUP(B27,parametros!$C$2:$C$6,parametros!$B$2:$B$6))))</f>
        <v/>
      </c>
      <c r="D27" s="129"/>
      <c r="E27" s="103" t="str">
        <f>IF(C27="","",IFERROR(VLOOKUP(C27,parametros!$A$11:$E$15,5,0),""))</f>
        <v/>
      </c>
      <c r="F27" s="104" t="str">
        <f t="shared" si="0"/>
        <v/>
      </c>
      <c r="G27" s="130"/>
      <c r="H27" s="119">
        <f t="shared" si="1"/>
        <v>0</v>
      </c>
      <c r="I27" s="119">
        <f t="shared" si="2"/>
        <v>0</v>
      </c>
      <c r="J27" s="119">
        <f t="shared" si="3"/>
        <v>0</v>
      </c>
      <c r="K27" s="121" t="str">
        <f t="shared" si="4"/>
        <v>DATA_PC vazia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34" t="s">
        <v>27</v>
      </c>
      <c r="W27" s="134" t="s">
        <v>28</v>
      </c>
      <c r="X27" s="134" t="s">
        <v>29</v>
      </c>
      <c r="Y27" s="135" t="s">
        <v>30</v>
      </c>
      <c r="Z27" s="135" t="s">
        <v>31</v>
      </c>
      <c r="AA27" s="135" t="s">
        <v>27</v>
      </c>
      <c r="AB27" s="135" t="s">
        <v>32</v>
      </c>
      <c r="AC27" s="136" t="s">
        <v>33</v>
      </c>
    </row>
    <row r="28" spans="1:29" ht="25.5" customHeight="1" x14ac:dyDescent="0.35">
      <c r="A28" s="195"/>
      <c r="B28" s="196"/>
      <c r="C28" s="128" t="str">
        <f>IF(B28="","",IF(NOT(ISNUMBER(B28)),"DATA_PC invalida",IF(OR(B28&lt;MIN(parametros!$C$2:$C$6),B28&gt;MAX(parametros!$D$2:$D$6)),"Fora dos ciclos",LOOKUP(B28,parametros!$C$2:$C$6,parametros!$B$2:$B$6))))</f>
        <v/>
      </c>
      <c r="D28" s="129"/>
      <c r="E28" s="103" t="str">
        <f>IF(C28="","",IFERROR(VLOOKUP(C28,parametros!$A$11:$E$15,5,0),""))</f>
        <v/>
      </c>
      <c r="F28" s="104" t="str">
        <f t="shared" si="0"/>
        <v/>
      </c>
      <c r="G28" s="130"/>
      <c r="H28" s="119">
        <f t="shared" si="1"/>
        <v>0</v>
      </c>
      <c r="I28" s="119">
        <f t="shared" si="2"/>
        <v>0</v>
      </c>
      <c r="J28" s="119">
        <f t="shared" si="3"/>
        <v>0</v>
      </c>
      <c r="K28" s="121" t="str">
        <f t="shared" si="4"/>
        <v>DATA_PC vazia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34" t="s">
        <v>27</v>
      </c>
      <c r="W28" s="134" t="s">
        <v>28</v>
      </c>
      <c r="X28" s="134" t="s">
        <v>29</v>
      </c>
      <c r="Y28" s="135" t="s">
        <v>30</v>
      </c>
      <c r="Z28" s="135" t="s">
        <v>31</v>
      </c>
      <c r="AA28" s="135" t="s">
        <v>27</v>
      </c>
      <c r="AB28" s="135" t="s">
        <v>32</v>
      </c>
      <c r="AC28" s="136" t="s">
        <v>33</v>
      </c>
    </row>
    <row r="29" spans="1:29" ht="25.5" customHeight="1" x14ac:dyDescent="0.35">
      <c r="A29" s="195"/>
      <c r="B29" s="196"/>
      <c r="C29" s="128" t="str">
        <f>IF(B29="","",IF(NOT(ISNUMBER(B29)),"DATA_PC invalida",IF(OR(B29&lt;MIN(parametros!$C$2:$C$6),B29&gt;MAX(parametros!$D$2:$D$6)),"Fora dos ciclos",LOOKUP(B29,parametros!$C$2:$C$6,parametros!$B$2:$B$6))))</f>
        <v/>
      </c>
      <c r="D29" s="129"/>
      <c r="E29" s="103" t="str">
        <f>IF(C29="","",IFERROR(VLOOKUP(C29,parametros!$A$11:$E$15,5,0),""))</f>
        <v/>
      </c>
      <c r="F29" s="104" t="str">
        <f t="shared" si="0"/>
        <v/>
      </c>
      <c r="G29" s="130"/>
      <c r="H29" s="119">
        <f t="shared" si="1"/>
        <v>0</v>
      </c>
      <c r="I29" s="119">
        <f t="shared" si="2"/>
        <v>0</v>
      </c>
      <c r="J29" s="119">
        <f t="shared" si="3"/>
        <v>0</v>
      </c>
      <c r="K29" s="121" t="str">
        <f t="shared" si="4"/>
        <v>DATA_PC vazia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34" t="s">
        <v>27</v>
      </c>
      <c r="W29" s="134" t="s">
        <v>28</v>
      </c>
      <c r="X29" s="134" t="s">
        <v>29</v>
      </c>
      <c r="Y29" s="135" t="s">
        <v>30</v>
      </c>
      <c r="Z29" s="135" t="s">
        <v>31</v>
      </c>
      <c r="AA29" s="135" t="s">
        <v>27</v>
      </c>
      <c r="AB29" s="135" t="s">
        <v>32</v>
      </c>
      <c r="AC29" s="136" t="s">
        <v>33</v>
      </c>
    </row>
    <row r="30" spans="1:29" ht="25.5" customHeight="1" x14ac:dyDescent="0.35">
      <c r="A30" s="195"/>
      <c r="B30" s="196"/>
      <c r="C30" s="128" t="str">
        <f>IF(B30="","",IF(NOT(ISNUMBER(B30)),"DATA_PC invalida",IF(OR(B30&lt;MIN(parametros!$C$2:$C$6),B30&gt;MAX(parametros!$D$2:$D$6)),"Fora dos ciclos",LOOKUP(B30,parametros!$C$2:$C$6,parametros!$B$2:$B$6))))</f>
        <v/>
      </c>
      <c r="D30" s="129"/>
      <c r="E30" s="103" t="str">
        <f>IF(C30="","",IFERROR(VLOOKUP(C30,parametros!$A$11:$E$15,5,0),""))</f>
        <v/>
      </c>
      <c r="F30" s="104" t="str">
        <f t="shared" si="0"/>
        <v/>
      </c>
      <c r="G30" s="130"/>
      <c r="H30" s="119">
        <f t="shared" si="1"/>
        <v>0</v>
      </c>
      <c r="I30" s="119">
        <f t="shared" si="2"/>
        <v>0</v>
      </c>
      <c r="J30" s="119">
        <f t="shared" si="3"/>
        <v>0</v>
      </c>
      <c r="K30" s="121" t="str">
        <f t="shared" si="4"/>
        <v>DATA_PC vazia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34" t="s">
        <v>27</v>
      </c>
      <c r="W30" s="134" t="s">
        <v>28</v>
      </c>
      <c r="X30" s="134" t="s">
        <v>29</v>
      </c>
      <c r="Y30" s="135" t="s">
        <v>30</v>
      </c>
      <c r="Z30" s="135" t="s">
        <v>31</v>
      </c>
      <c r="AA30" s="135" t="s">
        <v>27</v>
      </c>
      <c r="AB30" s="135" t="s">
        <v>32</v>
      </c>
      <c r="AC30" s="136" t="s">
        <v>33</v>
      </c>
    </row>
    <row r="31" spans="1:29" ht="25.5" customHeight="1" x14ac:dyDescent="0.35">
      <c r="A31" s="195"/>
      <c r="B31" s="196"/>
      <c r="C31" s="128" t="str">
        <f>IF(B31="","",IF(NOT(ISNUMBER(B31)),"DATA_PC invalida",IF(OR(B31&lt;MIN(parametros!$C$2:$C$6),B31&gt;MAX(parametros!$D$2:$D$6)),"Fora dos ciclos",LOOKUP(B31,parametros!$C$2:$C$6,parametros!$B$2:$B$6))))</f>
        <v/>
      </c>
      <c r="D31" s="129"/>
      <c r="E31" s="103" t="str">
        <f>IF(C31="","",IFERROR(VLOOKUP(C31,parametros!$A$11:$E$15,5,0),""))</f>
        <v/>
      </c>
      <c r="F31" s="104" t="str">
        <f t="shared" si="0"/>
        <v/>
      </c>
      <c r="G31" s="130"/>
      <c r="H31" s="119">
        <f t="shared" si="1"/>
        <v>0</v>
      </c>
      <c r="I31" s="119">
        <f t="shared" si="2"/>
        <v>0</v>
      </c>
      <c r="J31" s="119">
        <f t="shared" si="3"/>
        <v>0</v>
      </c>
      <c r="K31" s="121" t="str">
        <f t="shared" si="4"/>
        <v>DATA_PC vazia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34" t="s">
        <v>27</v>
      </c>
      <c r="W31" s="134" t="s">
        <v>28</v>
      </c>
      <c r="X31" s="134" t="s">
        <v>29</v>
      </c>
      <c r="Y31" s="135" t="s">
        <v>30</v>
      </c>
      <c r="Z31" s="135" t="s">
        <v>31</v>
      </c>
      <c r="AA31" s="135" t="s">
        <v>27</v>
      </c>
      <c r="AB31" s="135" t="s">
        <v>32</v>
      </c>
      <c r="AC31" s="136" t="s">
        <v>33</v>
      </c>
    </row>
    <row r="32" spans="1:29" ht="25.5" customHeight="1" x14ac:dyDescent="0.35">
      <c r="A32" s="195"/>
      <c r="B32" s="196"/>
      <c r="C32" s="128" t="str">
        <f>IF(B32="","",IF(NOT(ISNUMBER(B32)),"DATA_PC invalida",IF(OR(B32&lt;MIN(parametros!$C$2:$C$6),B32&gt;MAX(parametros!$D$2:$D$6)),"Fora dos ciclos",LOOKUP(B32,parametros!$C$2:$C$6,parametros!$B$2:$B$6))))</f>
        <v/>
      </c>
      <c r="D32" s="129"/>
      <c r="E32" s="103" t="str">
        <f>IF(C32="","",IFERROR(VLOOKUP(C32,parametros!$A$11:$E$15,5,0),""))</f>
        <v/>
      </c>
      <c r="F32" s="104" t="str">
        <f t="shared" si="0"/>
        <v/>
      </c>
      <c r="G32" s="130"/>
      <c r="H32" s="119">
        <f t="shared" si="1"/>
        <v>0</v>
      </c>
      <c r="I32" s="119">
        <f t="shared" si="2"/>
        <v>0</v>
      </c>
      <c r="J32" s="119">
        <f t="shared" si="3"/>
        <v>0</v>
      </c>
      <c r="K32" s="121" t="str">
        <f t="shared" si="4"/>
        <v>DATA_PC vazia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34" t="s">
        <v>27</v>
      </c>
      <c r="W32" s="134" t="s">
        <v>28</v>
      </c>
      <c r="X32" s="134" t="s">
        <v>29</v>
      </c>
      <c r="Y32" s="135" t="s">
        <v>30</v>
      </c>
      <c r="Z32" s="135" t="s">
        <v>31</v>
      </c>
      <c r="AA32" s="135" t="s">
        <v>27</v>
      </c>
      <c r="AB32" s="135" t="s">
        <v>32</v>
      </c>
      <c r="AC32" s="136" t="s">
        <v>33</v>
      </c>
    </row>
    <row r="33" spans="1:29" ht="25.5" customHeight="1" x14ac:dyDescent="0.35">
      <c r="A33" s="195"/>
      <c r="B33" s="196"/>
      <c r="C33" s="128" t="str">
        <f>IF(B33="","",IF(NOT(ISNUMBER(B33)),"DATA_PC invalida",IF(OR(B33&lt;MIN(parametros!$C$2:$C$6),B33&gt;MAX(parametros!$D$2:$D$6)),"Fora dos ciclos",LOOKUP(B33,parametros!$C$2:$C$6,parametros!$B$2:$B$6))))</f>
        <v/>
      </c>
      <c r="D33" s="129"/>
      <c r="E33" s="103" t="str">
        <f>IF(C33="","",IFERROR(VLOOKUP(C33,parametros!$A$11:$E$15,5,0),""))</f>
        <v/>
      </c>
      <c r="F33" s="104" t="str">
        <f t="shared" si="0"/>
        <v/>
      </c>
      <c r="G33" s="130"/>
      <c r="H33" s="119">
        <f t="shared" si="1"/>
        <v>0</v>
      </c>
      <c r="I33" s="119">
        <f t="shared" si="2"/>
        <v>0</v>
      </c>
      <c r="J33" s="119">
        <f t="shared" si="3"/>
        <v>0</v>
      </c>
      <c r="K33" s="121" t="str">
        <f t="shared" si="4"/>
        <v>DATA_PC vazia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34" t="s">
        <v>27</v>
      </c>
      <c r="W33" s="134" t="s">
        <v>28</v>
      </c>
      <c r="X33" s="134" t="s">
        <v>29</v>
      </c>
      <c r="Y33" s="135" t="s">
        <v>30</v>
      </c>
      <c r="Z33" s="135" t="s">
        <v>31</v>
      </c>
      <c r="AA33" s="135" t="s">
        <v>27</v>
      </c>
      <c r="AB33" s="135" t="s">
        <v>32</v>
      </c>
      <c r="AC33" s="136" t="s">
        <v>33</v>
      </c>
    </row>
    <row r="34" spans="1:29" ht="25.5" customHeight="1" x14ac:dyDescent="0.35">
      <c r="A34" s="195"/>
      <c r="B34" s="196"/>
      <c r="C34" s="128" t="str">
        <f>IF(B34="","",IF(NOT(ISNUMBER(B34)),"DATA_PC invalida",IF(OR(B34&lt;MIN(parametros!$C$2:$C$6),B34&gt;MAX(parametros!$D$2:$D$6)),"Fora dos ciclos",LOOKUP(B34,parametros!$C$2:$C$6,parametros!$B$2:$B$6))))</f>
        <v/>
      </c>
      <c r="D34" s="129"/>
      <c r="E34" s="103" t="str">
        <f>IF(C34="","",IFERROR(VLOOKUP(C34,parametros!$A$11:$E$15,5,0),""))</f>
        <v/>
      </c>
      <c r="F34" s="104" t="str">
        <f t="shared" ref="F34:F65" si="6">IF(OR(D34="",E34=""),"",ROUND(D34*E34,2))</f>
        <v/>
      </c>
      <c r="G34" s="130"/>
      <c r="H34" s="119">
        <f t="shared" ref="H34:H65" si="7">IF(G34="Sim",IF(OR(F34="",D34=""),"",ROUND(F34-D34,2)),0)</f>
        <v>0</v>
      </c>
      <c r="I34" s="119">
        <f t="shared" ref="I34:I65" si="8">IF(G34="Nao",IF(F34="","",F34),0)</f>
        <v>0</v>
      </c>
      <c r="J34" s="119">
        <f t="shared" ref="J34:J65" si="9">IF(G34="Nao",IF(OR(F34="",D34=""),"",ROUND(F34-D34,2)),0)</f>
        <v>0</v>
      </c>
      <c r="K34" s="121" t="str">
        <f t="shared" ref="K34:K65" si="10">IF(COUNTA(A34:G34)=0,"",IF(AND(A34&lt;&gt;"",SUMPRODUCT(--(UPPER(TRIM($A$2:$A$100))=UPPER(TRIM(A34))))&gt;1),"NUMERO_PC duplicado",IF(B34="","DATA_PC vazia",IF(OR(C34="",C34="Fora dos ciclos"),"CICLO_PC nao identificado",IF(OR(D34="",D34=0),"VALOR_PC vazio ou zero",IF(AND(G34&lt;&gt;"Sim",G34&lt;&gt;"Nao"),"PC_PAGO_A_CONTRATADA invalido","OK"))))))</f>
        <v>DATA_PC vazia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34" t="s">
        <v>27</v>
      </c>
      <c r="W34" s="134" t="s">
        <v>28</v>
      </c>
      <c r="X34" s="134" t="s">
        <v>29</v>
      </c>
      <c r="Y34" s="135" t="s">
        <v>30</v>
      </c>
      <c r="Z34" s="135" t="s">
        <v>31</v>
      </c>
      <c r="AA34" s="135" t="s">
        <v>27</v>
      </c>
      <c r="AB34" s="135" t="s">
        <v>32</v>
      </c>
      <c r="AC34" s="136" t="s">
        <v>33</v>
      </c>
    </row>
    <row r="35" spans="1:29" ht="25.5" customHeight="1" x14ac:dyDescent="0.35">
      <c r="A35" s="195"/>
      <c r="B35" s="196"/>
      <c r="C35" s="128" t="str">
        <f>IF(B35="","",IF(NOT(ISNUMBER(B35)),"DATA_PC invalida",IF(OR(B35&lt;MIN(parametros!$C$2:$C$6),B35&gt;MAX(parametros!$D$2:$D$6)),"Fora dos ciclos",LOOKUP(B35,parametros!$C$2:$C$6,parametros!$B$2:$B$6))))</f>
        <v/>
      </c>
      <c r="D35" s="129"/>
      <c r="E35" s="103" t="str">
        <f>IF(C35="","",IFERROR(VLOOKUP(C35,parametros!$A$11:$E$15,5,0),""))</f>
        <v/>
      </c>
      <c r="F35" s="104" t="str">
        <f t="shared" si="6"/>
        <v/>
      </c>
      <c r="G35" s="130"/>
      <c r="H35" s="119">
        <f t="shared" si="7"/>
        <v>0</v>
      </c>
      <c r="I35" s="119">
        <f t="shared" si="8"/>
        <v>0</v>
      </c>
      <c r="J35" s="119">
        <f t="shared" si="9"/>
        <v>0</v>
      </c>
      <c r="K35" s="121" t="str">
        <f t="shared" si="10"/>
        <v>DATA_PC vazia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34" t="s">
        <v>27</v>
      </c>
      <c r="W35" s="134" t="s">
        <v>28</v>
      </c>
      <c r="X35" s="134" t="s">
        <v>29</v>
      </c>
      <c r="Y35" s="135" t="s">
        <v>30</v>
      </c>
      <c r="Z35" s="135" t="s">
        <v>31</v>
      </c>
      <c r="AA35" s="135" t="s">
        <v>27</v>
      </c>
      <c r="AB35" s="135" t="s">
        <v>32</v>
      </c>
      <c r="AC35" s="136" t="s">
        <v>33</v>
      </c>
    </row>
    <row r="36" spans="1:29" ht="25.5" customHeight="1" x14ac:dyDescent="0.35">
      <c r="A36" s="195"/>
      <c r="B36" s="196"/>
      <c r="C36" s="128" t="str">
        <f>IF(B36="","",IF(NOT(ISNUMBER(B36)),"DATA_PC invalida",IF(OR(B36&lt;MIN(parametros!$C$2:$C$6),B36&gt;MAX(parametros!$D$2:$D$6)),"Fora dos ciclos",LOOKUP(B36,parametros!$C$2:$C$6,parametros!$B$2:$B$6))))</f>
        <v/>
      </c>
      <c r="D36" s="129"/>
      <c r="E36" s="103" t="str">
        <f>IF(C36="","",IFERROR(VLOOKUP(C36,parametros!$A$11:$E$15,5,0),""))</f>
        <v/>
      </c>
      <c r="F36" s="104" t="str">
        <f t="shared" si="6"/>
        <v/>
      </c>
      <c r="G36" s="130"/>
      <c r="H36" s="119">
        <f t="shared" si="7"/>
        <v>0</v>
      </c>
      <c r="I36" s="119">
        <f t="shared" si="8"/>
        <v>0</v>
      </c>
      <c r="J36" s="119">
        <f t="shared" si="9"/>
        <v>0</v>
      </c>
      <c r="K36" s="121" t="str">
        <f t="shared" si="10"/>
        <v>DATA_PC vazia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34" t="s">
        <v>27</v>
      </c>
      <c r="W36" s="134" t="s">
        <v>28</v>
      </c>
      <c r="X36" s="134" t="s">
        <v>29</v>
      </c>
      <c r="Y36" s="135" t="s">
        <v>30</v>
      </c>
      <c r="Z36" s="135" t="s">
        <v>31</v>
      </c>
      <c r="AA36" s="135" t="s">
        <v>27</v>
      </c>
      <c r="AB36" s="135" t="s">
        <v>32</v>
      </c>
      <c r="AC36" s="136" t="s">
        <v>33</v>
      </c>
    </row>
    <row r="37" spans="1:29" ht="25.5" customHeight="1" x14ac:dyDescent="0.35">
      <c r="A37" s="195"/>
      <c r="B37" s="196"/>
      <c r="C37" s="128" t="str">
        <f>IF(B37="","",IF(NOT(ISNUMBER(B37)),"DATA_PC invalida",IF(OR(B37&lt;MIN(parametros!$C$2:$C$6),B37&gt;MAX(parametros!$D$2:$D$6)),"Fora dos ciclos",LOOKUP(B37,parametros!$C$2:$C$6,parametros!$B$2:$B$6))))</f>
        <v/>
      </c>
      <c r="D37" s="129"/>
      <c r="E37" s="103" t="str">
        <f>IF(C37="","",IFERROR(VLOOKUP(C37,parametros!$A$11:$E$15,5,0),""))</f>
        <v/>
      </c>
      <c r="F37" s="104" t="str">
        <f t="shared" si="6"/>
        <v/>
      </c>
      <c r="G37" s="130"/>
      <c r="H37" s="119">
        <f t="shared" si="7"/>
        <v>0</v>
      </c>
      <c r="I37" s="119">
        <f t="shared" si="8"/>
        <v>0</v>
      </c>
      <c r="J37" s="119">
        <f t="shared" si="9"/>
        <v>0</v>
      </c>
      <c r="K37" s="121" t="str">
        <f t="shared" si="10"/>
        <v>DATA_PC vazia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34" t="s">
        <v>27</v>
      </c>
      <c r="W37" s="134" t="s">
        <v>28</v>
      </c>
      <c r="X37" s="134" t="s">
        <v>29</v>
      </c>
      <c r="Y37" s="135" t="s">
        <v>30</v>
      </c>
      <c r="Z37" s="135" t="s">
        <v>31</v>
      </c>
      <c r="AA37" s="135" t="s">
        <v>27</v>
      </c>
      <c r="AB37" s="135" t="s">
        <v>32</v>
      </c>
      <c r="AC37" s="136" t="s">
        <v>33</v>
      </c>
    </row>
    <row r="38" spans="1:29" ht="25.5" customHeight="1" x14ac:dyDescent="0.35">
      <c r="A38" s="195"/>
      <c r="B38" s="196"/>
      <c r="C38" s="128" t="str">
        <f>IF(B38="","",IF(NOT(ISNUMBER(B38)),"DATA_PC invalida",IF(OR(B38&lt;MIN(parametros!$C$2:$C$6),B38&gt;MAX(parametros!$D$2:$D$6)),"Fora dos ciclos",LOOKUP(B38,parametros!$C$2:$C$6,parametros!$B$2:$B$6))))</f>
        <v/>
      </c>
      <c r="D38" s="129"/>
      <c r="E38" s="103" t="str">
        <f>IF(C38="","",IFERROR(VLOOKUP(C38,parametros!$A$11:$E$15,5,0),""))</f>
        <v/>
      </c>
      <c r="F38" s="104" t="str">
        <f t="shared" si="6"/>
        <v/>
      </c>
      <c r="G38" s="130"/>
      <c r="H38" s="119">
        <f t="shared" si="7"/>
        <v>0</v>
      </c>
      <c r="I38" s="119">
        <f t="shared" si="8"/>
        <v>0</v>
      </c>
      <c r="J38" s="119">
        <f t="shared" si="9"/>
        <v>0</v>
      </c>
      <c r="K38" s="121" t="str">
        <f t="shared" si="10"/>
        <v>DATA_PC vazia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34" t="s">
        <v>27</v>
      </c>
      <c r="W38" s="134" t="s">
        <v>28</v>
      </c>
      <c r="X38" s="134" t="s">
        <v>29</v>
      </c>
      <c r="Y38" s="135" t="s">
        <v>30</v>
      </c>
      <c r="Z38" s="135" t="s">
        <v>31</v>
      </c>
      <c r="AA38" s="135" t="s">
        <v>27</v>
      </c>
      <c r="AB38" s="135" t="s">
        <v>32</v>
      </c>
      <c r="AC38" s="136" t="s">
        <v>33</v>
      </c>
    </row>
    <row r="39" spans="1:29" ht="25.5" customHeight="1" x14ac:dyDescent="0.35">
      <c r="A39" s="195"/>
      <c r="B39" s="196"/>
      <c r="C39" s="128" t="str">
        <f>IF(B39="","",IF(NOT(ISNUMBER(B39)),"DATA_PC invalida",IF(OR(B39&lt;MIN(parametros!$C$2:$C$6),B39&gt;MAX(parametros!$D$2:$D$6)),"Fora dos ciclos",LOOKUP(B39,parametros!$C$2:$C$6,parametros!$B$2:$B$6))))</f>
        <v/>
      </c>
      <c r="D39" s="129"/>
      <c r="E39" s="103" t="str">
        <f>IF(C39="","",IFERROR(VLOOKUP(C39,parametros!$A$11:$E$15,5,0),""))</f>
        <v/>
      </c>
      <c r="F39" s="104" t="str">
        <f t="shared" si="6"/>
        <v/>
      </c>
      <c r="G39" s="130"/>
      <c r="H39" s="119">
        <f t="shared" si="7"/>
        <v>0</v>
      </c>
      <c r="I39" s="119">
        <f t="shared" si="8"/>
        <v>0</v>
      </c>
      <c r="J39" s="119">
        <f t="shared" si="9"/>
        <v>0</v>
      </c>
      <c r="K39" s="121" t="str">
        <f t="shared" si="10"/>
        <v>DATA_PC vazia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34" t="s">
        <v>27</v>
      </c>
      <c r="W39" s="134" t="s">
        <v>28</v>
      </c>
      <c r="X39" s="134" t="s">
        <v>29</v>
      </c>
      <c r="Y39" s="135" t="s">
        <v>30</v>
      </c>
      <c r="Z39" s="135" t="s">
        <v>31</v>
      </c>
      <c r="AA39" s="135" t="s">
        <v>27</v>
      </c>
      <c r="AB39" s="135" t="s">
        <v>32</v>
      </c>
      <c r="AC39" s="136" t="s">
        <v>33</v>
      </c>
    </row>
    <row r="40" spans="1:29" ht="25.5" customHeight="1" x14ac:dyDescent="0.35">
      <c r="A40" s="195"/>
      <c r="B40" s="196"/>
      <c r="C40" s="128" t="str">
        <f>IF(B40="","",IF(NOT(ISNUMBER(B40)),"DATA_PC invalida",IF(OR(B40&lt;MIN(parametros!$C$2:$C$6),B40&gt;MAX(parametros!$D$2:$D$6)),"Fora dos ciclos",LOOKUP(B40,parametros!$C$2:$C$6,parametros!$B$2:$B$6))))</f>
        <v/>
      </c>
      <c r="D40" s="129"/>
      <c r="E40" s="103" t="str">
        <f>IF(C40="","",IFERROR(VLOOKUP(C40,parametros!$A$11:$E$15,5,0),""))</f>
        <v/>
      </c>
      <c r="F40" s="104" t="str">
        <f t="shared" si="6"/>
        <v/>
      </c>
      <c r="G40" s="130"/>
      <c r="H40" s="119">
        <f t="shared" si="7"/>
        <v>0</v>
      </c>
      <c r="I40" s="119">
        <f t="shared" si="8"/>
        <v>0</v>
      </c>
      <c r="J40" s="119">
        <f t="shared" si="9"/>
        <v>0</v>
      </c>
      <c r="K40" s="121" t="str">
        <f t="shared" si="10"/>
        <v>DATA_PC vazia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34" t="s">
        <v>27</v>
      </c>
      <c r="W40" s="134" t="s">
        <v>28</v>
      </c>
      <c r="X40" s="134" t="s">
        <v>29</v>
      </c>
      <c r="Y40" s="135" t="s">
        <v>30</v>
      </c>
      <c r="Z40" s="135" t="s">
        <v>31</v>
      </c>
      <c r="AA40" s="135" t="s">
        <v>27</v>
      </c>
      <c r="AB40" s="135" t="s">
        <v>32</v>
      </c>
      <c r="AC40" s="136" t="s">
        <v>33</v>
      </c>
    </row>
    <row r="41" spans="1:29" ht="25.5" customHeight="1" x14ac:dyDescent="0.35">
      <c r="A41" s="195"/>
      <c r="B41" s="196"/>
      <c r="C41" s="128" t="str">
        <f>IF(B41="","",IF(NOT(ISNUMBER(B41)),"DATA_PC invalida",IF(OR(B41&lt;MIN(parametros!$C$2:$C$6),B41&gt;MAX(parametros!$D$2:$D$6)),"Fora dos ciclos",LOOKUP(B41,parametros!$C$2:$C$6,parametros!$B$2:$B$6))))</f>
        <v/>
      </c>
      <c r="D41" s="129"/>
      <c r="E41" s="103" t="str">
        <f>IF(C41="","",IFERROR(VLOOKUP(C41,parametros!$A$11:$E$15,5,0),""))</f>
        <v/>
      </c>
      <c r="F41" s="104" t="str">
        <f t="shared" si="6"/>
        <v/>
      </c>
      <c r="G41" s="130"/>
      <c r="H41" s="119">
        <f t="shared" si="7"/>
        <v>0</v>
      </c>
      <c r="I41" s="119">
        <f t="shared" si="8"/>
        <v>0</v>
      </c>
      <c r="J41" s="119">
        <f t="shared" si="9"/>
        <v>0</v>
      </c>
      <c r="K41" s="121" t="str">
        <f t="shared" si="10"/>
        <v>DATA_PC vazia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34" t="s">
        <v>27</v>
      </c>
      <c r="W41" s="134" t="s">
        <v>28</v>
      </c>
      <c r="X41" s="134" t="s">
        <v>29</v>
      </c>
      <c r="Y41" s="135" t="s">
        <v>30</v>
      </c>
      <c r="Z41" s="135" t="s">
        <v>31</v>
      </c>
      <c r="AA41" s="135" t="s">
        <v>27</v>
      </c>
      <c r="AB41" s="135" t="s">
        <v>32</v>
      </c>
      <c r="AC41" s="136" t="s">
        <v>33</v>
      </c>
    </row>
    <row r="42" spans="1:29" ht="25.5" customHeight="1" x14ac:dyDescent="0.35">
      <c r="A42" s="195"/>
      <c r="B42" s="196"/>
      <c r="C42" s="128" t="str">
        <f>IF(B42="","",IF(NOT(ISNUMBER(B42)),"DATA_PC invalida",IF(OR(B42&lt;MIN(parametros!$C$2:$C$6),B42&gt;MAX(parametros!$D$2:$D$6)),"Fora dos ciclos",LOOKUP(B42,parametros!$C$2:$C$6,parametros!$B$2:$B$6))))</f>
        <v/>
      </c>
      <c r="D42" s="129"/>
      <c r="E42" s="103" t="str">
        <f>IF(C42="","",IFERROR(VLOOKUP(C42,parametros!$A$11:$E$15,5,0),""))</f>
        <v/>
      </c>
      <c r="F42" s="104" t="str">
        <f t="shared" si="6"/>
        <v/>
      </c>
      <c r="G42" s="130"/>
      <c r="H42" s="119">
        <f t="shared" si="7"/>
        <v>0</v>
      </c>
      <c r="I42" s="119">
        <f t="shared" si="8"/>
        <v>0</v>
      </c>
      <c r="J42" s="119">
        <f t="shared" si="9"/>
        <v>0</v>
      </c>
      <c r="K42" s="121" t="str">
        <f t="shared" si="10"/>
        <v>DATA_PC vazia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34" t="s">
        <v>27</v>
      </c>
      <c r="W42" s="134" t="s">
        <v>28</v>
      </c>
      <c r="X42" s="134" t="s">
        <v>29</v>
      </c>
      <c r="Y42" s="135" t="s">
        <v>30</v>
      </c>
      <c r="Z42" s="135" t="s">
        <v>31</v>
      </c>
      <c r="AA42" s="135" t="s">
        <v>27</v>
      </c>
      <c r="AB42" s="135" t="s">
        <v>32</v>
      </c>
      <c r="AC42" s="136" t="s">
        <v>33</v>
      </c>
    </row>
    <row r="43" spans="1:29" ht="25.5" customHeight="1" x14ac:dyDescent="0.35">
      <c r="A43" s="195"/>
      <c r="B43" s="196"/>
      <c r="C43" s="128" t="str">
        <f>IF(B43="","",IF(NOT(ISNUMBER(B43)),"DATA_PC invalida",IF(OR(B43&lt;MIN(parametros!$C$2:$C$6),B43&gt;MAX(parametros!$D$2:$D$6)),"Fora dos ciclos",LOOKUP(B43,parametros!$C$2:$C$6,parametros!$B$2:$B$6))))</f>
        <v/>
      </c>
      <c r="D43" s="129"/>
      <c r="E43" s="103" t="str">
        <f>IF(C43="","",IFERROR(VLOOKUP(C43,parametros!$A$11:$E$15,5,0),""))</f>
        <v/>
      </c>
      <c r="F43" s="104" t="str">
        <f t="shared" si="6"/>
        <v/>
      </c>
      <c r="G43" s="130"/>
      <c r="H43" s="119">
        <f t="shared" si="7"/>
        <v>0</v>
      </c>
      <c r="I43" s="119">
        <f t="shared" si="8"/>
        <v>0</v>
      </c>
      <c r="J43" s="119">
        <f t="shared" si="9"/>
        <v>0</v>
      </c>
      <c r="K43" s="121" t="str">
        <f t="shared" si="10"/>
        <v>DATA_PC vazia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34" t="s">
        <v>27</v>
      </c>
      <c r="W43" s="134" t="s">
        <v>28</v>
      </c>
      <c r="X43" s="134" t="s">
        <v>29</v>
      </c>
      <c r="Y43" s="135" t="s">
        <v>30</v>
      </c>
      <c r="Z43" s="135" t="s">
        <v>31</v>
      </c>
      <c r="AA43" s="135" t="s">
        <v>27</v>
      </c>
      <c r="AB43" s="135" t="s">
        <v>32</v>
      </c>
      <c r="AC43" s="136" t="s">
        <v>33</v>
      </c>
    </row>
    <row r="44" spans="1:29" ht="25.5" customHeight="1" x14ac:dyDescent="0.35">
      <c r="A44" s="195"/>
      <c r="B44" s="196"/>
      <c r="C44" s="128" t="str">
        <f>IF(B44="","",IF(NOT(ISNUMBER(B44)),"DATA_PC invalida",IF(OR(B44&lt;MIN(parametros!$C$2:$C$6),B44&gt;MAX(parametros!$D$2:$D$6)),"Fora dos ciclos",LOOKUP(B44,parametros!$C$2:$C$6,parametros!$B$2:$B$6))))</f>
        <v/>
      </c>
      <c r="D44" s="129"/>
      <c r="E44" s="103" t="str">
        <f>IF(C44="","",IFERROR(VLOOKUP(C44,parametros!$A$11:$E$15,5,0),""))</f>
        <v/>
      </c>
      <c r="F44" s="104" t="str">
        <f t="shared" si="6"/>
        <v/>
      </c>
      <c r="G44" s="130"/>
      <c r="H44" s="119">
        <f t="shared" si="7"/>
        <v>0</v>
      </c>
      <c r="I44" s="119">
        <f t="shared" si="8"/>
        <v>0</v>
      </c>
      <c r="J44" s="119">
        <f t="shared" si="9"/>
        <v>0</v>
      </c>
      <c r="K44" s="121" t="str">
        <f t="shared" si="10"/>
        <v>DATA_PC vazia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34" t="s">
        <v>27</v>
      </c>
      <c r="W44" s="134" t="s">
        <v>28</v>
      </c>
      <c r="X44" s="134" t="s">
        <v>29</v>
      </c>
      <c r="Y44" s="135" t="s">
        <v>30</v>
      </c>
      <c r="Z44" s="135" t="s">
        <v>31</v>
      </c>
      <c r="AA44" s="135" t="s">
        <v>27</v>
      </c>
      <c r="AB44" s="135" t="s">
        <v>32</v>
      </c>
      <c r="AC44" s="136" t="s">
        <v>33</v>
      </c>
    </row>
    <row r="45" spans="1:29" ht="25.5" customHeight="1" x14ac:dyDescent="0.35">
      <c r="A45" s="195"/>
      <c r="B45" s="196"/>
      <c r="C45" s="128" t="str">
        <f>IF(B45="","",IF(NOT(ISNUMBER(B45)),"DATA_PC invalida",IF(OR(B45&lt;MIN(parametros!$C$2:$C$6),B45&gt;MAX(parametros!$D$2:$D$6)),"Fora dos ciclos",LOOKUP(B45,parametros!$C$2:$C$6,parametros!$B$2:$B$6))))</f>
        <v/>
      </c>
      <c r="D45" s="129"/>
      <c r="E45" s="103" t="str">
        <f>IF(C45="","",IFERROR(VLOOKUP(C45,parametros!$A$11:$E$15,5,0),""))</f>
        <v/>
      </c>
      <c r="F45" s="104" t="str">
        <f t="shared" si="6"/>
        <v/>
      </c>
      <c r="G45" s="130"/>
      <c r="H45" s="119">
        <f t="shared" si="7"/>
        <v>0</v>
      </c>
      <c r="I45" s="119">
        <f t="shared" si="8"/>
        <v>0</v>
      </c>
      <c r="J45" s="119">
        <f t="shared" si="9"/>
        <v>0</v>
      </c>
      <c r="K45" s="121" t="str">
        <f t="shared" si="10"/>
        <v>DATA_PC vazia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34" t="s">
        <v>27</v>
      </c>
      <c r="W45" s="134" t="s">
        <v>28</v>
      </c>
      <c r="X45" s="134" t="s">
        <v>29</v>
      </c>
      <c r="Y45" s="135" t="s">
        <v>30</v>
      </c>
      <c r="Z45" s="135" t="s">
        <v>31</v>
      </c>
      <c r="AA45" s="135" t="s">
        <v>27</v>
      </c>
      <c r="AB45" s="135" t="s">
        <v>32</v>
      </c>
      <c r="AC45" s="136" t="s">
        <v>33</v>
      </c>
    </row>
    <row r="46" spans="1:29" ht="25.5" customHeight="1" x14ac:dyDescent="0.35">
      <c r="A46" s="195"/>
      <c r="B46" s="196"/>
      <c r="C46" s="128" t="str">
        <f>IF(B46="","",IF(NOT(ISNUMBER(B46)),"DATA_PC invalida",IF(OR(B46&lt;MIN(parametros!$C$2:$C$6),B46&gt;MAX(parametros!$D$2:$D$6)),"Fora dos ciclos",LOOKUP(B46,parametros!$C$2:$C$6,parametros!$B$2:$B$6))))</f>
        <v/>
      </c>
      <c r="D46" s="129"/>
      <c r="E46" s="103" t="str">
        <f>IF(C46="","",IFERROR(VLOOKUP(C46,parametros!$A$11:$E$15,5,0),""))</f>
        <v/>
      </c>
      <c r="F46" s="104" t="str">
        <f t="shared" si="6"/>
        <v/>
      </c>
      <c r="G46" s="130"/>
      <c r="H46" s="119">
        <f t="shared" si="7"/>
        <v>0</v>
      </c>
      <c r="I46" s="119">
        <f t="shared" si="8"/>
        <v>0</v>
      </c>
      <c r="J46" s="119">
        <f t="shared" si="9"/>
        <v>0</v>
      </c>
      <c r="K46" s="121" t="str">
        <f t="shared" si="10"/>
        <v>DATA_PC vazia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34" t="s">
        <v>27</v>
      </c>
      <c r="W46" s="134" t="s">
        <v>28</v>
      </c>
      <c r="X46" s="134" t="s">
        <v>29</v>
      </c>
      <c r="Y46" s="135" t="s">
        <v>30</v>
      </c>
      <c r="Z46" s="135" t="s">
        <v>31</v>
      </c>
      <c r="AA46" s="135" t="s">
        <v>27</v>
      </c>
      <c r="AB46" s="135" t="s">
        <v>32</v>
      </c>
      <c r="AC46" s="136" t="s">
        <v>33</v>
      </c>
    </row>
    <row r="47" spans="1:29" ht="25.5" customHeight="1" x14ac:dyDescent="0.35">
      <c r="A47" s="195"/>
      <c r="B47" s="196"/>
      <c r="C47" s="128" t="str">
        <f>IF(B47="","",IF(NOT(ISNUMBER(B47)),"DATA_PC invalida",IF(OR(B47&lt;MIN(parametros!$C$2:$C$6),B47&gt;MAX(parametros!$D$2:$D$6)),"Fora dos ciclos",LOOKUP(B47,parametros!$C$2:$C$6,parametros!$B$2:$B$6))))</f>
        <v/>
      </c>
      <c r="D47" s="129"/>
      <c r="E47" s="103" t="str">
        <f>IF(C47="","",IFERROR(VLOOKUP(C47,parametros!$A$11:$E$15,5,0),""))</f>
        <v/>
      </c>
      <c r="F47" s="104" t="str">
        <f t="shared" si="6"/>
        <v/>
      </c>
      <c r="G47" s="130"/>
      <c r="H47" s="119">
        <f t="shared" si="7"/>
        <v>0</v>
      </c>
      <c r="I47" s="119">
        <f t="shared" si="8"/>
        <v>0</v>
      </c>
      <c r="J47" s="119">
        <f t="shared" si="9"/>
        <v>0</v>
      </c>
      <c r="K47" s="121" t="str">
        <f t="shared" si="10"/>
        <v>DATA_PC vazia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34" t="s">
        <v>27</v>
      </c>
      <c r="W47" s="134" t="s">
        <v>28</v>
      </c>
      <c r="X47" s="134" t="s">
        <v>29</v>
      </c>
      <c r="Y47" s="135" t="s">
        <v>30</v>
      </c>
      <c r="Z47" s="135" t="s">
        <v>31</v>
      </c>
      <c r="AA47" s="135" t="s">
        <v>27</v>
      </c>
      <c r="AB47" s="135" t="s">
        <v>32</v>
      </c>
      <c r="AC47" s="136" t="s">
        <v>33</v>
      </c>
    </row>
    <row r="48" spans="1:29" ht="25.5" customHeight="1" x14ac:dyDescent="0.35">
      <c r="A48" s="195"/>
      <c r="B48" s="196"/>
      <c r="C48" s="128" t="str">
        <f>IF(B48="","",IF(NOT(ISNUMBER(B48)),"DATA_PC invalida",IF(OR(B48&lt;MIN(parametros!$C$2:$C$6),B48&gt;MAX(parametros!$D$2:$D$6)),"Fora dos ciclos",LOOKUP(B48,parametros!$C$2:$C$6,parametros!$B$2:$B$6))))</f>
        <v/>
      </c>
      <c r="D48" s="129"/>
      <c r="E48" s="103" t="str">
        <f>IF(C48="","",IFERROR(VLOOKUP(C48,parametros!$A$11:$E$15,5,0),""))</f>
        <v/>
      </c>
      <c r="F48" s="104" t="str">
        <f t="shared" si="6"/>
        <v/>
      </c>
      <c r="G48" s="130"/>
      <c r="H48" s="119">
        <f t="shared" si="7"/>
        <v>0</v>
      </c>
      <c r="I48" s="119">
        <f t="shared" si="8"/>
        <v>0</v>
      </c>
      <c r="J48" s="119">
        <f t="shared" si="9"/>
        <v>0</v>
      </c>
      <c r="K48" s="121" t="str">
        <f t="shared" si="10"/>
        <v>DATA_PC vazia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34" t="s">
        <v>27</v>
      </c>
      <c r="W48" s="134" t="s">
        <v>28</v>
      </c>
      <c r="X48" s="134" t="s">
        <v>29</v>
      </c>
      <c r="Y48" s="135" t="s">
        <v>30</v>
      </c>
      <c r="Z48" s="135" t="s">
        <v>31</v>
      </c>
      <c r="AA48" s="135" t="s">
        <v>27</v>
      </c>
      <c r="AB48" s="135" t="s">
        <v>32</v>
      </c>
      <c r="AC48" s="136" t="s">
        <v>33</v>
      </c>
    </row>
    <row r="49" spans="1:29" ht="25.5" customHeight="1" x14ac:dyDescent="0.35">
      <c r="A49" s="195"/>
      <c r="B49" s="196"/>
      <c r="C49" s="128" t="str">
        <f>IF(B49="","",IF(NOT(ISNUMBER(B49)),"DATA_PC invalida",IF(OR(B49&lt;MIN(parametros!$C$2:$C$6),B49&gt;MAX(parametros!$D$2:$D$6)),"Fora dos ciclos",LOOKUP(B49,parametros!$C$2:$C$6,parametros!$B$2:$B$6))))</f>
        <v/>
      </c>
      <c r="D49" s="129"/>
      <c r="E49" s="103" t="str">
        <f>IF(C49="","",IFERROR(VLOOKUP(C49,parametros!$A$11:$E$15,5,0),""))</f>
        <v/>
      </c>
      <c r="F49" s="104" t="str">
        <f t="shared" si="6"/>
        <v/>
      </c>
      <c r="G49" s="130"/>
      <c r="H49" s="119">
        <f t="shared" si="7"/>
        <v>0</v>
      </c>
      <c r="I49" s="119">
        <f t="shared" si="8"/>
        <v>0</v>
      </c>
      <c r="J49" s="119">
        <f t="shared" si="9"/>
        <v>0</v>
      </c>
      <c r="K49" s="121" t="str">
        <f t="shared" si="10"/>
        <v>DATA_PC vazia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34" t="s">
        <v>27</v>
      </c>
      <c r="W49" s="134" t="s">
        <v>28</v>
      </c>
      <c r="X49" s="134" t="s">
        <v>29</v>
      </c>
      <c r="Y49" s="135" t="s">
        <v>30</v>
      </c>
      <c r="Z49" s="135" t="s">
        <v>31</v>
      </c>
      <c r="AA49" s="135" t="s">
        <v>27</v>
      </c>
      <c r="AB49" s="135" t="s">
        <v>32</v>
      </c>
      <c r="AC49" s="136" t="s">
        <v>33</v>
      </c>
    </row>
    <row r="50" spans="1:29" ht="25.5" customHeight="1" x14ac:dyDescent="0.35">
      <c r="A50" s="195"/>
      <c r="B50" s="196"/>
      <c r="C50" s="128" t="str">
        <f>IF(B50="","",IF(NOT(ISNUMBER(B50)),"DATA_PC invalida",IF(OR(B50&lt;MIN(parametros!$C$2:$C$6),B50&gt;MAX(parametros!$D$2:$D$6)),"Fora dos ciclos",LOOKUP(B50,parametros!$C$2:$C$6,parametros!$B$2:$B$6))))</f>
        <v/>
      </c>
      <c r="D50" s="129"/>
      <c r="E50" s="103" t="str">
        <f>IF(C50="","",IFERROR(VLOOKUP(C50,parametros!$A$11:$E$15,5,0),""))</f>
        <v/>
      </c>
      <c r="F50" s="104" t="str">
        <f t="shared" si="6"/>
        <v/>
      </c>
      <c r="G50" s="130"/>
      <c r="H50" s="119">
        <f t="shared" si="7"/>
        <v>0</v>
      </c>
      <c r="I50" s="119">
        <f t="shared" si="8"/>
        <v>0</v>
      </c>
      <c r="J50" s="119">
        <f t="shared" si="9"/>
        <v>0</v>
      </c>
      <c r="K50" s="121" t="str">
        <f t="shared" si="10"/>
        <v>DATA_PC vazia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34" t="s">
        <v>27</v>
      </c>
      <c r="W50" s="134" t="s">
        <v>28</v>
      </c>
      <c r="X50" s="134" t="s">
        <v>29</v>
      </c>
      <c r="Y50" s="135" t="s">
        <v>30</v>
      </c>
      <c r="Z50" s="135" t="s">
        <v>31</v>
      </c>
      <c r="AA50" s="135" t="s">
        <v>27</v>
      </c>
      <c r="AB50" s="135" t="s">
        <v>32</v>
      </c>
      <c r="AC50" s="136" t="s">
        <v>33</v>
      </c>
    </row>
    <row r="51" spans="1:29" ht="25.5" customHeight="1" x14ac:dyDescent="0.35">
      <c r="A51" s="195"/>
      <c r="B51" s="196"/>
      <c r="C51" s="128" t="str">
        <f>IF(B51="","",IF(NOT(ISNUMBER(B51)),"DATA_PC invalida",IF(OR(B51&lt;MIN(parametros!$C$2:$C$6),B51&gt;MAX(parametros!$D$2:$D$6)),"Fora dos ciclos",LOOKUP(B51,parametros!$C$2:$C$6,parametros!$B$2:$B$6))))</f>
        <v/>
      </c>
      <c r="D51" s="129"/>
      <c r="E51" s="103" t="str">
        <f>IF(C51="","",IFERROR(VLOOKUP(C51,parametros!$A$11:$E$15,5,0),""))</f>
        <v/>
      </c>
      <c r="F51" s="104" t="str">
        <f t="shared" si="6"/>
        <v/>
      </c>
      <c r="G51" s="130"/>
      <c r="H51" s="119">
        <f t="shared" si="7"/>
        <v>0</v>
      </c>
      <c r="I51" s="119">
        <f t="shared" si="8"/>
        <v>0</v>
      </c>
      <c r="J51" s="119">
        <f t="shared" si="9"/>
        <v>0</v>
      </c>
      <c r="K51" s="121" t="str">
        <f t="shared" si="10"/>
        <v>DATA_PC vazia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34" t="s">
        <v>27</v>
      </c>
      <c r="W51" s="134" t="s">
        <v>28</v>
      </c>
      <c r="X51" s="134" t="s">
        <v>29</v>
      </c>
      <c r="Y51" s="135" t="s">
        <v>30</v>
      </c>
      <c r="Z51" s="135" t="s">
        <v>31</v>
      </c>
      <c r="AA51" s="135" t="s">
        <v>27</v>
      </c>
      <c r="AB51" s="135" t="s">
        <v>32</v>
      </c>
      <c r="AC51" s="136" t="s">
        <v>33</v>
      </c>
    </row>
    <row r="52" spans="1:29" ht="25.5" customHeight="1" x14ac:dyDescent="0.35">
      <c r="A52" s="195"/>
      <c r="B52" s="196"/>
      <c r="C52" s="128" t="str">
        <f>IF(B52="","",IF(NOT(ISNUMBER(B52)),"DATA_PC invalida",IF(OR(B52&lt;MIN(parametros!$C$2:$C$6),B52&gt;MAX(parametros!$D$2:$D$6)),"Fora dos ciclos",LOOKUP(B52,parametros!$C$2:$C$6,parametros!$B$2:$B$6))))</f>
        <v/>
      </c>
      <c r="D52" s="129"/>
      <c r="E52" s="103" t="str">
        <f>IF(C52="","",IFERROR(VLOOKUP(C52,parametros!$A$11:$E$15,5,0),""))</f>
        <v/>
      </c>
      <c r="F52" s="104" t="str">
        <f t="shared" si="6"/>
        <v/>
      </c>
      <c r="G52" s="130"/>
      <c r="H52" s="119">
        <f t="shared" si="7"/>
        <v>0</v>
      </c>
      <c r="I52" s="119">
        <f t="shared" si="8"/>
        <v>0</v>
      </c>
      <c r="J52" s="119">
        <f t="shared" si="9"/>
        <v>0</v>
      </c>
      <c r="K52" s="121" t="str">
        <f t="shared" si="10"/>
        <v>DATA_PC vazia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34" t="s">
        <v>27</v>
      </c>
      <c r="W52" s="134" t="s">
        <v>28</v>
      </c>
      <c r="X52" s="134" t="s">
        <v>29</v>
      </c>
      <c r="Y52" s="135" t="s">
        <v>30</v>
      </c>
      <c r="Z52" s="135" t="s">
        <v>31</v>
      </c>
      <c r="AA52" s="135" t="s">
        <v>27</v>
      </c>
      <c r="AB52" s="135" t="s">
        <v>32</v>
      </c>
      <c r="AC52" s="136" t="s">
        <v>33</v>
      </c>
    </row>
    <row r="53" spans="1:29" ht="25.5" customHeight="1" x14ac:dyDescent="0.35">
      <c r="A53" s="195"/>
      <c r="B53" s="196"/>
      <c r="C53" s="128" t="str">
        <f>IF(B53="","",IF(NOT(ISNUMBER(B53)),"DATA_PC invalida",IF(OR(B53&lt;MIN(parametros!$C$2:$C$6),B53&gt;MAX(parametros!$D$2:$D$6)),"Fora dos ciclos",LOOKUP(B53,parametros!$C$2:$C$6,parametros!$B$2:$B$6))))</f>
        <v/>
      </c>
      <c r="D53" s="129"/>
      <c r="E53" s="103" t="str">
        <f>IF(C53="","",IFERROR(VLOOKUP(C53,parametros!$A$11:$E$15,5,0),""))</f>
        <v/>
      </c>
      <c r="F53" s="104" t="str">
        <f t="shared" si="6"/>
        <v/>
      </c>
      <c r="G53" s="130"/>
      <c r="H53" s="119">
        <f t="shared" si="7"/>
        <v>0</v>
      </c>
      <c r="I53" s="119">
        <f t="shared" si="8"/>
        <v>0</v>
      </c>
      <c r="J53" s="119">
        <f t="shared" si="9"/>
        <v>0</v>
      </c>
      <c r="K53" s="121" t="str">
        <f t="shared" si="10"/>
        <v>DATA_PC vazia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34" t="s">
        <v>27</v>
      </c>
      <c r="W53" s="134" t="s">
        <v>28</v>
      </c>
      <c r="X53" s="134" t="s">
        <v>29</v>
      </c>
      <c r="Y53" s="135" t="s">
        <v>30</v>
      </c>
      <c r="Z53" s="135" t="s">
        <v>31</v>
      </c>
      <c r="AA53" s="135" t="s">
        <v>27</v>
      </c>
      <c r="AB53" s="135" t="s">
        <v>32</v>
      </c>
      <c r="AC53" s="136" t="s">
        <v>33</v>
      </c>
    </row>
    <row r="54" spans="1:29" ht="25.5" customHeight="1" x14ac:dyDescent="0.35">
      <c r="A54" s="195"/>
      <c r="B54" s="196"/>
      <c r="C54" s="128" t="str">
        <f>IF(B54="","",IF(NOT(ISNUMBER(B54)),"DATA_PC invalida",IF(OR(B54&lt;MIN(parametros!$C$2:$C$6),B54&gt;MAX(parametros!$D$2:$D$6)),"Fora dos ciclos",LOOKUP(B54,parametros!$C$2:$C$6,parametros!$B$2:$B$6))))</f>
        <v/>
      </c>
      <c r="D54" s="129"/>
      <c r="E54" s="103" t="str">
        <f>IF(C54="","",IFERROR(VLOOKUP(C54,parametros!$A$11:$E$15,5,0),""))</f>
        <v/>
      </c>
      <c r="F54" s="104" t="str">
        <f t="shared" si="6"/>
        <v/>
      </c>
      <c r="G54" s="130"/>
      <c r="H54" s="119">
        <f t="shared" si="7"/>
        <v>0</v>
      </c>
      <c r="I54" s="119">
        <f t="shared" si="8"/>
        <v>0</v>
      </c>
      <c r="J54" s="119">
        <f t="shared" si="9"/>
        <v>0</v>
      </c>
      <c r="K54" s="121" t="str">
        <f t="shared" si="10"/>
        <v>DATA_PC vazia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34" t="s">
        <v>27</v>
      </c>
      <c r="W54" s="134" t="s">
        <v>28</v>
      </c>
      <c r="X54" s="134" t="s">
        <v>29</v>
      </c>
      <c r="Y54" s="135" t="s">
        <v>30</v>
      </c>
      <c r="Z54" s="135" t="s">
        <v>31</v>
      </c>
      <c r="AA54" s="135" t="s">
        <v>27</v>
      </c>
      <c r="AB54" s="135" t="s">
        <v>32</v>
      </c>
      <c r="AC54" s="136" t="s">
        <v>33</v>
      </c>
    </row>
    <row r="55" spans="1:29" ht="25.5" customHeight="1" x14ac:dyDescent="0.35">
      <c r="A55" s="195"/>
      <c r="B55" s="196"/>
      <c r="C55" s="128" t="str">
        <f>IF(B55="","",IF(NOT(ISNUMBER(B55)),"DATA_PC invalida",IF(OR(B55&lt;MIN(parametros!$C$2:$C$6),B55&gt;MAX(parametros!$D$2:$D$6)),"Fora dos ciclos",LOOKUP(B55,parametros!$C$2:$C$6,parametros!$B$2:$B$6))))</f>
        <v/>
      </c>
      <c r="D55" s="129"/>
      <c r="E55" s="103" t="str">
        <f>IF(C55="","",IFERROR(VLOOKUP(C55,parametros!$A$11:$E$15,5,0),""))</f>
        <v/>
      </c>
      <c r="F55" s="104" t="str">
        <f t="shared" si="6"/>
        <v/>
      </c>
      <c r="G55" s="130"/>
      <c r="H55" s="119">
        <f t="shared" si="7"/>
        <v>0</v>
      </c>
      <c r="I55" s="119">
        <f t="shared" si="8"/>
        <v>0</v>
      </c>
      <c r="J55" s="119">
        <f t="shared" si="9"/>
        <v>0</v>
      </c>
      <c r="K55" s="121" t="str">
        <f t="shared" si="10"/>
        <v>DATA_PC vazia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34" t="s">
        <v>27</v>
      </c>
      <c r="W55" s="134" t="s">
        <v>28</v>
      </c>
      <c r="X55" s="134" t="s">
        <v>29</v>
      </c>
      <c r="Y55" s="135" t="s">
        <v>30</v>
      </c>
      <c r="Z55" s="135" t="s">
        <v>31</v>
      </c>
      <c r="AA55" s="135" t="s">
        <v>27</v>
      </c>
      <c r="AB55" s="135" t="s">
        <v>32</v>
      </c>
      <c r="AC55" s="136" t="s">
        <v>33</v>
      </c>
    </row>
    <row r="56" spans="1:29" ht="25.5" customHeight="1" x14ac:dyDescent="0.35">
      <c r="A56" s="195"/>
      <c r="B56" s="196"/>
      <c r="C56" s="128" t="str">
        <f>IF(B56="","",IF(NOT(ISNUMBER(B56)),"DATA_PC invalida",IF(OR(B56&lt;MIN(parametros!$C$2:$C$6),B56&gt;MAX(parametros!$D$2:$D$6)),"Fora dos ciclos",LOOKUP(B56,parametros!$C$2:$C$6,parametros!$B$2:$B$6))))</f>
        <v/>
      </c>
      <c r="D56" s="129"/>
      <c r="E56" s="103" t="str">
        <f>IF(C56="","",IFERROR(VLOOKUP(C56,parametros!$A$11:$E$15,5,0),""))</f>
        <v/>
      </c>
      <c r="F56" s="104" t="str">
        <f t="shared" si="6"/>
        <v/>
      </c>
      <c r="G56" s="130"/>
      <c r="H56" s="119">
        <f t="shared" si="7"/>
        <v>0</v>
      </c>
      <c r="I56" s="119">
        <f t="shared" si="8"/>
        <v>0</v>
      </c>
      <c r="J56" s="119">
        <f t="shared" si="9"/>
        <v>0</v>
      </c>
      <c r="K56" s="121" t="str">
        <f t="shared" si="10"/>
        <v>DATA_PC vazia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34" t="s">
        <v>27</v>
      </c>
      <c r="W56" s="134" t="s">
        <v>28</v>
      </c>
      <c r="X56" s="134" t="s">
        <v>29</v>
      </c>
      <c r="Y56" s="135" t="s">
        <v>30</v>
      </c>
      <c r="Z56" s="135" t="s">
        <v>31</v>
      </c>
      <c r="AA56" s="135" t="s">
        <v>27</v>
      </c>
      <c r="AB56" s="135" t="s">
        <v>32</v>
      </c>
      <c r="AC56" s="136" t="s">
        <v>33</v>
      </c>
    </row>
    <row r="57" spans="1:29" ht="25.5" customHeight="1" x14ac:dyDescent="0.35">
      <c r="A57" s="195"/>
      <c r="B57" s="196"/>
      <c r="C57" s="128" t="str">
        <f>IF(B57="","",IF(NOT(ISNUMBER(B57)),"DATA_PC invalida",IF(OR(B57&lt;MIN(parametros!$C$2:$C$6),B57&gt;MAX(parametros!$D$2:$D$6)),"Fora dos ciclos",LOOKUP(B57,parametros!$C$2:$C$6,parametros!$B$2:$B$6))))</f>
        <v/>
      </c>
      <c r="D57" s="129"/>
      <c r="E57" s="103" t="str">
        <f>IF(C57="","",IFERROR(VLOOKUP(C57,parametros!$A$11:$E$15,5,0),""))</f>
        <v/>
      </c>
      <c r="F57" s="104" t="str">
        <f t="shared" si="6"/>
        <v/>
      </c>
      <c r="G57" s="130"/>
      <c r="H57" s="119">
        <f t="shared" si="7"/>
        <v>0</v>
      </c>
      <c r="I57" s="119">
        <f t="shared" si="8"/>
        <v>0</v>
      </c>
      <c r="J57" s="119">
        <f t="shared" si="9"/>
        <v>0</v>
      </c>
      <c r="K57" s="121" t="str">
        <f t="shared" si="10"/>
        <v>DATA_PC vazia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34" t="s">
        <v>27</v>
      </c>
      <c r="W57" s="134" t="s">
        <v>28</v>
      </c>
      <c r="X57" s="134" t="s">
        <v>29</v>
      </c>
      <c r="Y57" s="135" t="s">
        <v>30</v>
      </c>
      <c r="Z57" s="135" t="s">
        <v>31</v>
      </c>
      <c r="AA57" s="135" t="s">
        <v>27</v>
      </c>
      <c r="AB57" s="135" t="s">
        <v>32</v>
      </c>
      <c r="AC57" s="136" t="s">
        <v>33</v>
      </c>
    </row>
    <row r="58" spans="1:29" ht="25.5" customHeight="1" x14ac:dyDescent="0.35">
      <c r="A58" s="195"/>
      <c r="B58" s="196"/>
      <c r="C58" s="128" t="str">
        <f>IF(B58="","",IF(NOT(ISNUMBER(B58)),"DATA_PC invalida",IF(OR(B58&lt;MIN(parametros!$C$2:$C$6),B58&gt;MAX(parametros!$D$2:$D$6)),"Fora dos ciclos",LOOKUP(B58,parametros!$C$2:$C$6,parametros!$B$2:$B$6))))</f>
        <v/>
      </c>
      <c r="D58" s="129"/>
      <c r="E58" s="103" t="str">
        <f>IF(C58="","",IFERROR(VLOOKUP(C58,parametros!$A$11:$E$15,5,0),""))</f>
        <v/>
      </c>
      <c r="F58" s="104" t="str">
        <f t="shared" si="6"/>
        <v/>
      </c>
      <c r="G58" s="130"/>
      <c r="H58" s="119">
        <f t="shared" si="7"/>
        <v>0</v>
      </c>
      <c r="I58" s="119">
        <f t="shared" si="8"/>
        <v>0</v>
      </c>
      <c r="J58" s="119">
        <f t="shared" si="9"/>
        <v>0</v>
      </c>
      <c r="K58" s="121" t="str">
        <f t="shared" si="10"/>
        <v>DATA_PC vazia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34" t="s">
        <v>27</v>
      </c>
      <c r="W58" s="134" t="s">
        <v>28</v>
      </c>
      <c r="X58" s="134" t="s">
        <v>29</v>
      </c>
      <c r="Y58" s="135" t="s">
        <v>30</v>
      </c>
      <c r="Z58" s="135" t="s">
        <v>31</v>
      </c>
      <c r="AA58" s="135" t="s">
        <v>27</v>
      </c>
      <c r="AB58" s="135" t="s">
        <v>32</v>
      </c>
      <c r="AC58" s="136" t="s">
        <v>33</v>
      </c>
    </row>
    <row r="59" spans="1:29" ht="25.5" customHeight="1" x14ac:dyDescent="0.35">
      <c r="A59" s="195"/>
      <c r="B59" s="196"/>
      <c r="C59" s="128" t="str">
        <f>IF(B59="","",IF(NOT(ISNUMBER(B59)),"DATA_PC invalida",IF(OR(B59&lt;MIN(parametros!$C$2:$C$6),B59&gt;MAX(parametros!$D$2:$D$6)),"Fora dos ciclos",LOOKUP(B59,parametros!$C$2:$C$6,parametros!$B$2:$B$6))))</f>
        <v/>
      </c>
      <c r="D59" s="129"/>
      <c r="E59" s="103" t="str">
        <f>IF(C59="","",IFERROR(VLOOKUP(C59,parametros!$A$11:$E$15,5,0),""))</f>
        <v/>
      </c>
      <c r="F59" s="104" t="str">
        <f t="shared" si="6"/>
        <v/>
      </c>
      <c r="G59" s="130"/>
      <c r="H59" s="119">
        <f t="shared" si="7"/>
        <v>0</v>
      </c>
      <c r="I59" s="119">
        <f t="shared" si="8"/>
        <v>0</v>
      </c>
      <c r="J59" s="119">
        <f t="shared" si="9"/>
        <v>0</v>
      </c>
      <c r="K59" s="121" t="str">
        <f t="shared" si="10"/>
        <v>DATA_PC vazia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34" t="s">
        <v>27</v>
      </c>
      <c r="W59" s="134" t="s">
        <v>28</v>
      </c>
      <c r="X59" s="134" t="s">
        <v>29</v>
      </c>
      <c r="Y59" s="135" t="s">
        <v>30</v>
      </c>
      <c r="Z59" s="135" t="s">
        <v>31</v>
      </c>
      <c r="AA59" s="135" t="s">
        <v>27</v>
      </c>
      <c r="AB59" s="135" t="s">
        <v>32</v>
      </c>
      <c r="AC59" s="136" t="s">
        <v>33</v>
      </c>
    </row>
    <row r="60" spans="1:29" ht="25.5" customHeight="1" x14ac:dyDescent="0.35">
      <c r="A60" s="195"/>
      <c r="B60" s="196"/>
      <c r="C60" s="128" t="str">
        <f>IF(B60="","",IF(NOT(ISNUMBER(B60)),"DATA_PC invalida",IF(OR(B60&lt;MIN(parametros!$C$2:$C$6),B60&gt;MAX(parametros!$D$2:$D$6)),"Fora dos ciclos",LOOKUP(B60,parametros!$C$2:$C$6,parametros!$B$2:$B$6))))</f>
        <v/>
      </c>
      <c r="D60" s="129"/>
      <c r="E60" s="103" t="str">
        <f>IF(C60="","",IFERROR(VLOOKUP(C60,parametros!$A$11:$E$15,5,0),""))</f>
        <v/>
      </c>
      <c r="F60" s="104" t="str">
        <f t="shared" si="6"/>
        <v/>
      </c>
      <c r="G60" s="130"/>
      <c r="H60" s="119">
        <f t="shared" si="7"/>
        <v>0</v>
      </c>
      <c r="I60" s="119">
        <f t="shared" si="8"/>
        <v>0</v>
      </c>
      <c r="J60" s="119">
        <f t="shared" si="9"/>
        <v>0</v>
      </c>
      <c r="K60" s="121" t="str">
        <f t="shared" si="10"/>
        <v>DATA_PC vazia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34" t="s">
        <v>27</v>
      </c>
      <c r="W60" s="134" t="s">
        <v>28</v>
      </c>
      <c r="X60" s="134" t="s">
        <v>29</v>
      </c>
      <c r="Y60" s="135" t="s">
        <v>30</v>
      </c>
      <c r="Z60" s="135" t="s">
        <v>31</v>
      </c>
      <c r="AA60" s="135" t="s">
        <v>27</v>
      </c>
      <c r="AB60" s="135" t="s">
        <v>32</v>
      </c>
      <c r="AC60" s="136" t="s">
        <v>33</v>
      </c>
    </row>
    <row r="61" spans="1:29" ht="25.5" customHeight="1" x14ac:dyDescent="0.35">
      <c r="A61" s="195"/>
      <c r="B61" s="196"/>
      <c r="C61" s="128" t="str">
        <f>IF(B61="","",IF(NOT(ISNUMBER(B61)),"DATA_PC invalida",IF(OR(B61&lt;MIN(parametros!$C$2:$C$6),B61&gt;MAX(parametros!$D$2:$D$6)),"Fora dos ciclos",LOOKUP(B61,parametros!$C$2:$C$6,parametros!$B$2:$B$6))))</f>
        <v/>
      </c>
      <c r="D61" s="129"/>
      <c r="E61" s="103" t="str">
        <f>IF(C61="","",IFERROR(VLOOKUP(C61,parametros!$A$11:$E$15,5,0),""))</f>
        <v/>
      </c>
      <c r="F61" s="104" t="str">
        <f t="shared" si="6"/>
        <v/>
      </c>
      <c r="G61" s="130"/>
      <c r="H61" s="119">
        <f t="shared" si="7"/>
        <v>0</v>
      </c>
      <c r="I61" s="119">
        <f t="shared" si="8"/>
        <v>0</v>
      </c>
      <c r="J61" s="119">
        <f t="shared" si="9"/>
        <v>0</v>
      </c>
      <c r="K61" s="121" t="str">
        <f t="shared" si="10"/>
        <v>DATA_PC vazia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34" t="s">
        <v>27</v>
      </c>
      <c r="W61" s="134" t="s">
        <v>28</v>
      </c>
      <c r="X61" s="134" t="s">
        <v>29</v>
      </c>
      <c r="Y61" s="135" t="s">
        <v>30</v>
      </c>
      <c r="Z61" s="135" t="s">
        <v>31</v>
      </c>
      <c r="AA61" s="135" t="s">
        <v>27</v>
      </c>
      <c r="AB61" s="135" t="s">
        <v>32</v>
      </c>
      <c r="AC61" s="136" t="s">
        <v>33</v>
      </c>
    </row>
    <row r="62" spans="1:29" ht="25.5" customHeight="1" x14ac:dyDescent="0.35">
      <c r="A62" s="195"/>
      <c r="B62" s="196"/>
      <c r="C62" s="128" t="str">
        <f>IF(B62="","",IF(NOT(ISNUMBER(B62)),"DATA_PC invalida",IF(OR(B62&lt;MIN(parametros!$C$2:$C$6),B62&gt;MAX(parametros!$D$2:$D$6)),"Fora dos ciclos",LOOKUP(B62,parametros!$C$2:$C$6,parametros!$B$2:$B$6))))</f>
        <v/>
      </c>
      <c r="D62" s="129"/>
      <c r="E62" s="103" t="str">
        <f>IF(C62="","",IFERROR(VLOOKUP(C62,parametros!$A$11:$E$15,5,0),""))</f>
        <v/>
      </c>
      <c r="F62" s="104" t="str">
        <f t="shared" si="6"/>
        <v/>
      </c>
      <c r="G62" s="130"/>
      <c r="H62" s="119">
        <f t="shared" si="7"/>
        <v>0</v>
      </c>
      <c r="I62" s="119">
        <f t="shared" si="8"/>
        <v>0</v>
      </c>
      <c r="J62" s="119">
        <f t="shared" si="9"/>
        <v>0</v>
      </c>
      <c r="K62" s="121" t="str">
        <f t="shared" si="10"/>
        <v>DATA_PC vazia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34" t="s">
        <v>27</v>
      </c>
      <c r="W62" s="134" t="s">
        <v>28</v>
      </c>
      <c r="X62" s="134" t="s">
        <v>29</v>
      </c>
      <c r="Y62" s="135" t="s">
        <v>30</v>
      </c>
      <c r="Z62" s="135" t="s">
        <v>31</v>
      </c>
      <c r="AA62" s="135" t="s">
        <v>27</v>
      </c>
      <c r="AB62" s="135" t="s">
        <v>32</v>
      </c>
      <c r="AC62" s="136" t="s">
        <v>33</v>
      </c>
    </row>
    <row r="63" spans="1:29" ht="25.5" customHeight="1" x14ac:dyDescent="0.35">
      <c r="A63" s="195"/>
      <c r="B63" s="196"/>
      <c r="C63" s="128" t="str">
        <f>IF(B63="","",IF(NOT(ISNUMBER(B63)),"DATA_PC invalida",IF(OR(B63&lt;MIN(parametros!$C$2:$C$6),B63&gt;MAX(parametros!$D$2:$D$6)),"Fora dos ciclos",LOOKUP(B63,parametros!$C$2:$C$6,parametros!$B$2:$B$6))))</f>
        <v/>
      </c>
      <c r="D63" s="129"/>
      <c r="E63" s="103" t="str">
        <f>IF(C63="","",IFERROR(VLOOKUP(C63,parametros!$A$11:$E$15,5,0),""))</f>
        <v/>
      </c>
      <c r="F63" s="104" t="str">
        <f t="shared" si="6"/>
        <v/>
      </c>
      <c r="G63" s="130"/>
      <c r="H63" s="119">
        <f t="shared" si="7"/>
        <v>0</v>
      </c>
      <c r="I63" s="119">
        <f t="shared" si="8"/>
        <v>0</v>
      </c>
      <c r="J63" s="119">
        <f t="shared" si="9"/>
        <v>0</v>
      </c>
      <c r="K63" s="121" t="str">
        <f t="shared" si="10"/>
        <v>DATA_PC vazia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34" t="s">
        <v>27</v>
      </c>
      <c r="W63" s="134" t="s">
        <v>28</v>
      </c>
      <c r="X63" s="134" t="s">
        <v>29</v>
      </c>
      <c r="Y63" s="135" t="s">
        <v>30</v>
      </c>
      <c r="Z63" s="135" t="s">
        <v>31</v>
      </c>
      <c r="AA63" s="135" t="s">
        <v>27</v>
      </c>
      <c r="AB63" s="135" t="s">
        <v>32</v>
      </c>
      <c r="AC63" s="136" t="s">
        <v>33</v>
      </c>
    </row>
    <row r="64" spans="1:29" ht="25.5" customHeight="1" x14ac:dyDescent="0.35">
      <c r="A64" s="195"/>
      <c r="B64" s="196"/>
      <c r="C64" s="128" t="str">
        <f>IF(B64="","",IF(NOT(ISNUMBER(B64)),"DATA_PC invalida",IF(OR(B64&lt;MIN(parametros!$C$2:$C$6),B64&gt;MAX(parametros!$D$2:$D$6)),"Fora dos ciclos",LOOKUP(B64,parametros!$C$2:$C$6,parametros!$B$2:$B$6))))</f>
        <v/>
      </c>
      <c r="D64" s="129"/>
      <c r="E64" s="103" t="str">
        <f>IF(C64="","",IFERROR(VLOOKUP(C64,parametros!$A$11:$E$15,5,0),""))</f>
        <v/>
      </c>
      <c r="F64" s="104" t="str">
        <f t="shared" si="6"/>
        <v/>
      </c>
      <c r="G64" s="130"/>
      <c r="H64" s="119">
        <f t="shared" si="7"/>
        <v>0</v>
      </c>
      <c r="I64" s="119">
        <f t="shared" si="8"/>
        <v>0</v>
      </c>
      <c r="J64" s="119">
        <f t="shared" si="9"/>
        <v>0</v>
      </c>
      <c r="K64" s="121" t="str">
        <f t="shared" si="10"/>
        <v>DATA_PC vazia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34" t="s">
        <v>27</v>
      </c>
      <c r="W64" s="134" t="s">
        <v>28</v>
      </c>
      <c r="X64" s="134" t="s">
        <v>29</v>
      </c>
      <c r="Y64" s="135" t="s">
        <v>30</v>
      </c>
      <c r="Z64" s="135" t="s">
        <v>31</v>
      </c>
      <c r="AA64" s="135" t="s">
        <v>27</v>
      </c>
      <c r="AB64" s="135" t="s">
        <v>32</v>
      </c>
      <c r="AC64" s="136" t="s">
        <v>33</v>
      </c>
    </row>
    <row r="65" spans="1:29" ht="25.5" customHeight="1" x14ac:dyDescent="0.35">
      <c r="A65" s="195"/>
      <c r="B65" s="196"/>
      <c r="C65" s="128" t="str">
        <f>IF(B65="","",IF(NOT(ISNUMBER(B65)),"DATA_PC invalida",IF(OR(B65&lt;MIN(parametros!$C$2:$C$6),B65&gt;MAX(parametros!$D$2:$D$6)),"Fora dos ciclos",LOOKUP(B65,parametros!$C$2:$C$6,parametros!$B$2:$B$6))))</f>
        <v/>
      </c>
      <c r="D65" s="129"/>
      <c r="E65" s="103" t="str">
        <f>IF(C65="","",IFERROR(VLOOKUP(C65,parametros!$A$11:$E$15,5,0),""))</f>
        <v/>
      </c>
      <c r="F65" s="104" t="str">
        <f t="shared" si="6"/>
        <v/>
      </c>
      <c r="G65" s="130"/>
      <c r="H65" s="119">
        <f t="shared" si="7"/>
        <v>0</v>
      </c>
      <c r="I65" s="119">
        <f t="shared" si="8"/>
        <v>0</v>
      </c>
      <c r="J65" s="119">
        <f t="shared" si="9"/>
        <v>0</v>
      </c>
      <c r="K65" s="121" t="str">
        <f t="shared" si="10"/>
        <v>DATA_PC vazia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34" t="s">
        <v>27</v>
      </c>
      <c r="W65" s="134" t="s">
        <v>28</v>
      </c>
      <c r="X65" s="134" t="s">
        <v>29</v>
      </c>
      <c r="Y65" s="135" t="s">
        <v>30</v>
      </c>
      <c r="Z65" s="135" t="s">
        <v>31</v>
      </c>
      <c r="AA65" s="135" t="s">
        <v>27</v>
      </c>
      <c r="AB65" s="135" t="s">
        <v>32</v>
      </c>
      <c r="AC65" s="136" t="s">
        <v>33</v>
      </c>
    </row>
    <row r="66" spans="1:29" ht="25.5" customHeight="1" x14ac:dyDescent="0.35">
      <c r="A66" s="195"/>
      <c r="B66" s="196"/>
      <c r="C66" s="128" t="str">
        <f>IF(B66="","",IF(NOT(ISNUMBER(B66)),"DATA_PC invalida",IF(OR(B66&lt;MIN(parametros!$C$2:$C$6),B66&gt;MAX(parametros!$D$2:$D$6)),"Fora dos ciclos",LOOKUP(B66,parametros!$C$2:$C$6,parametros!$B$2:$B$6))))</f>
        <v/>
      </c>
      <c r="D66" s="129"/>
      <c r="E66" s="103" t="str">
        <f>IF(C66="","",IFERROR(VLOOKUP(C66,parametros!$A$11:$E$15,5,0),""))</f>
        <v/>
      </c>
      <c r="F66" s="104" t="str">
        <f t="shared" ref="F66:F97" si="11">IF(OR(D66="",E66=""),"",ROUND(D66*E66,2))</f>
        <v/>
      </c>
      <c r="G66" s="130"/>
      <c r="H66" s="119">
        <f t="shared" ref="H66:H97" si="12">IF(G66="Sim",IF(OR(F66="",D66=""),"",ROUND(F66-D66,2)),0)</f>
        <v>0</v>
      </c>
      <c r="I66" s="119">
        <f t="shared" ref="I66:I100" si="13">IF(G66="Nao",IF(F66="","",F66),0)</f>
        <v>0</v>
      </c>
      <c r="J66" s="119">
        <f t="shared" ref="J66:J100" si="14">IF(G66="Nao",IF(OR(F66="",D66=""),"",ROUND(F66-D66,2)),0)</f>
        <v>0</v>
      </c>
      <c r="K66" s="121" t="str">
        <f t="shared" ref="K66:K100" si="15">IF(COUNTA(A66:G66)=0,"",IF(AND(A66&lt;&gt;"",SUMPRODUCT(--(UPPER(TRIM($A$2:$A$100))=UPPER(TRIM(A66))))&gt;1),"NUMERO_PC duplicado",IF(B66="","DATA_PC vazia",IF(OR(C66="",C66="Fora dos ciclos"),"CICLO_PC nao identificado",IF(OR(D66="",D66=0),"VALOR_PC vazio ou zero",IF(AND(G66&lt;&gt;"Sim",G66&lt;&gt;"Nao"),"PC_PAGO_A_CONTRATADA invalido","OK"))))))</f>
        <v>DATA_PC vazia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34" t="s">
        <v>27</v>
      </c>
      <c r="W66" s="134" t="s">
        <v>28</v>
      </c>
      <c r="X66" s="134" t="s">
        <v>29</v>
      </c>
      <c r="Y66" s="135" t="s">
        <v>30</v>
      </c>
      <c r="Z66" s="135" t="s">
        <v>31</v>
      </c>
      <c r="AA66" s="135" t="s">
        <v>27</v>
      </c>
      <c r="AB66" s="135" t="s">
        <v>32</v>
      </c>
      <c r="AC66" s="136" t="s">
        <v>33</v>
      </c>
    </row>
    <row r="67" spans="1:29" ht="25.5" customHeight="1" x14ac:dyDescent="0.35">
      <c r="A67" s="195"/>
      <c r="B67" s="196"/>
      <c r="C67" s="128" t="str">
        <f>IF(B67="","",IF(NOT(ISNUMBER(B67)),"DATA_PC invalida",IF(OR(B67&lt;MIN(parametros!$C$2:$C$6),B67&gt;MAX(parametros!$D$2:$D$6)),"Fora dos ciclos",LOOKUP(B67,parametros!$C$2:$C$6,parametros!$B$2:$B$6))))</f>
        <v/>
      </c>
      <c r="D67" s="129"/>
      <c r="E67" s="103" t="str">
        <f>IF(C67="","",IFERROR(VLOOKUP(C67,parametros!$A$11:$E$15,5,0),""))</f>
        <v/>
      </c>
      <c r="F67" s="104" t="str">
        <f t="shared" si="11"/>
        <v/>
      </c>
      <c r="G67" s="130"/>
      <c r="H67" s="119">
        <f t="shared" si="12"/>
        <v>0</v>
      </c>
      <c r="I67" s="119">
        <f t="shared" si="13"/>
        <v>0</v>
      </c>
      <c r="J67" s="119">
        <f t="shared" si="14"/>
        <v>0</v>
      </c>
      <c r="K67" s="121" t="str">
        <f t="shared" si="15"/>
        <v>DATA_PC vazia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34" t="s">
        <v>27</v>
      </c>
      <c r="W67" s="134" t="s">
        <v>28</v>
      </c>
      <c r="X67" s="134" t="s">
        <v>29</v>
      </c>
      <c r="Y67" s="135" t="s">
        <v>30</v>
      </c>
      <c r="Z67" s="135" t="s">
        <v>31</v>
      </c>
      <c r="AA67" s="135" t="s">
        <v>27</v>
      </c>
      <c r="AB67" s="135" t="s">
        <v>32</v>
      </c>
      <c r="AC67" s="136" t="s">
        <v>33</v>
      </c>
    </row>
    <row r="68" spans="1:29" ht="25.5" customHeight="1" x14ac:dyDescent="0.35">
      <c r="A68" s="195"/>
      <c r="B68" s="196"/>
      <c r="C68" s="128" t="str">
        <f>IF(B68="","",IF(NOT(ISNUMBER(B68)),"DATA_PC invalida",IF(OR(B68&lt;MIN(parametros!$C$2:$C$6),B68&gt;MAX(parametros!$D$2:$D$6)),"Fora dos ciclos",LOOKUP(B68,parametros!$C$2:$C$6,parametros!$B$2:$B$6))))</f>
        <v/>
      </c>
      <c r="D68" s="129"/>
      <c r="E68" s="103" t="str">
        <f>IF(C68="","",IFERROR(VLOOKUP(C68,parametros!$A$11:$E$15,5,0),""))</f>
        <v/>
      </c>
      <c r="F68" s="104" t="str">
        <f t="shared" si="11"/>
        <v/>
      </c>
      <c r="G68" s="130"/>
      <c r="H68" s="119">
        <f t="shared" si="12"/>
        <v>0</v>
      </c>
      <c r="I68" s="119">
        <f t="shared" si="13"/>
        <v>0</v>
      </c>
      <c r="J68" s="119">
        <f t="shared" si="14"/>
        <v>0</v>
      </c>
      <c r="K68" s="121" t="str">
        <f t="shared" si="15"/>
        <v>DATA_PC vazia</v>
      </c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34" t="s">
        <v>27</v>
      </c>
      <c r="W68" s="134" t="s">
        <v>28</v>
      </c>
      <c r="X68" s="134" t="s">
        <v>29</v>
      </c>
      <c r="Y68" s="135" t="s">
        <v>30</v>
      </c>
      <c r="Z68" s="135" t="s">
        <v>31</v>
      </c>
      <c r="AA68" s="135" t="s">
        <v>27</v>
      </c>
      <c r="AB68" s="135" t="s">
        <v>32</v>
      </c>
      <c r="AC68" s="136" t="s">
        <v>33</v>
      </c>
    </row>
    <row r="69" spans="1:29" ht="25.5" customHeight="1" x14ac:dyDescent="0.35">
      <c r="A69" s="195"/>
      <c r="B69" s="196"/>
      <c r="C69" s="128" t="str">
        <f>IF(B69="","",IF(NOT(ISNUMBER(B69)),"DATA_PC invalida",IF(OR(B69&lt;MIN(parametros!$C$2:$C$6),B69&gt;MAX(parametros!$D$2:$D$6)),"Fora dos ciclos",LOOKUP(B69,parametros!$C$2:$C$6,parametros!$B$2:$B$6))))</f>
        <v/>
      </c>
      <c r="D69" s="129"/>
      <c r="E69" s="103" t="str">
        <f>IF(C69="","",IFERROR(VLOOKUP(C69,parametros!$A$11:$E$15,5,0),""))</f>
        <v/>
      </c>
      <c r="F69" s="104" t="str">
        <f t="shared" si="11"/>
        <v/>
      </c>
      <c r="G69" s="130"/>
      <c r="H69" s="119">
        <f t="shared" si="12"/>
        <v>0</v>
      </c>
      <c r="I69" s="119">
        <f t="shared" si="13"/>
        <v>0</v>
      </c>
      <c r="J69" s="119">
        <f t="shared" si="14"/>
        <v>0</v>
      </c>
      <c r="K69" s="121" t="str">
        <f t="shared" si="15"/>
        <v>DATA_PC vazia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34" t="s">
        <v>27</v>
      </c>
      <c r="W69" s="134" t="s">
        <v>28</v>
      </c>
      <c r="X69" s="134" t="s">
        <v>29</v>
      </c>
      <c r="Y69" s="135" t="s">
        <v>30</v>
      </c>
      <c r="Z69" s="135" t="s">
        <v>31</v>
      </c>
      <c r="AA69" s="135" t="s">
        <v>27</v>
      </c>
      <c r="AB69" s="135" t="s">
        <v>32</v>
      </c>
      <c r="AC69" s="136" t="s">
        <v>33</v>
      </c>
    </row>
    <row r="70" spans="1:29" ht="25.5" customHeight="1" x14ac:dyDescent="0.35">
      <c r="A70" s="195"/>
      <c r="B70" s="196"/>
      <c r="C70" s="128" t="str">
        <f>IF(B70="","",IF(NOT(ISNUMBER(B70)),"DATA_PC invalida",IF(OR(B70&lt;MIN(parametros!$C$2:$C$6),B70&gt;MAX(parametros!$D$2:$D$6)),"Fora dos ciclos",LOOKUP(B70,parametros!$C$2:$C$6,parametros!$B$2:$B$6))))</f>
        <v/>
      </c>
      <c r="D70" s="129"/>
      <c r="E70" s="103" t="str">
        <f>IF(C70="","",IFERROR(VLOOKUP(C70,parametros!$A$11:$E$15,5,0),""))</f>
        <v/>
      </c>
      <c r="F70" s="104" t="str">
        <f t="shared" si="11"/>
        <v/>
      </c>
      <c r="G70" s="130"/>
      <c r="H70" s="119">
        <f t="shared" si="12"/>
        <v>0</v>
      </c>
      <c r="I70" s="119">
        <f t="shared" si="13"/>
        <v>0</v>
      </c>
      <c r="J70" s="119">
        <f t="shared" si="14"/>
        <v>0</v>
      </c>
      <c r="K70" s="121" t="str">
        <f t="shared" si="15"/>
        <v>DATA_PC vazia</v>
      </c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34" t="s">
        <v>27</v>
      </c>
      <c r="W70" s="134" t="s">
        <v>28</v>
      </c>
      <c r="X70" s="134" t="s">
        <v>29</v>
      </c>
      <c r="Y70" s="135" t="s">
        <v>30</v>
      </c>
      <c r="Z70" s="135" t="s">
        <v>31</v>
      </c>
      <c r="AA70" s="135" t="s">
        <v>27</v>
      </c>
      <c r="AB70" s="135" t="s">
        <v>32</v>
      </c>
      <c r="AC70" s="136" t="s">
        <v>33</v>
      </c>
    </row>
    <row r="71" spans="1:29" ht="25.5" customHeight="1" x14ac:dyDescent="0.35">
      <c r="A71" s="195"/>
      <c r="B71" s="196"/>
      <c r="C71" s="128" t="str">
        <f>IF(B71="","",IF(NOT(ISNUMBER(B71)),"DATA_PC invalida",IF(OR(B71&lt;MIN(parametros!$C$2:$C$6),B71&gt;MAX(parametros!$D$2:$D$6)),"Fora dos ciclos",LOOKUP(B71,parametros!$C$2:$C$6,parametros!$B$2:$B$6))))</f>
        <v/>
      </c>
      <c r="D71" s="129"/>
      <c r="E71" s="103" t="str">
        <f>IF(C71="","",IFERROR(VLOOKUP(C71,parametros!$A$11:$E$15,5,0),""))</f>
        <v/>
      </c>
      <c r="F71" s="104" t="str">
        <f t="shared" si="11"/>
        <v/>
      </c>
      <c r="G71" s="130"/>
      <c r="H71" s="119">
        <f t="shared" si="12"/>
        <v>0</v>
      </c>
      <c r="I71" s="119">
        <f t="shared" si="13"/>
        <v>0</v>
      </c>
      <c r="J71" s="119">
        <f t="shared" si="14"/>
        <v>0</v>
      </c>
      <c r="K71" s="121" t="str">
        <f t="shared" si="15"/>
        <v>DATA_PC vazia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34" t="s">
        <v>27</v>
      </c>
      <c r="W71" s="134" t="s">
        <v>28</v>
      </c>
      <c r="X71" s="134" t="s">
        <v>29</v>
      </c>
      <c r="Y71" s="135" t="s">
        <v>30</v>
      </c>
      <c r="Z71" s="135" t="s">
        <v>31</v>
      </c>
      <c r="AA71" s="135" t="s">
        <v>27</v>
      </c>
      <c r="AB71" s="135" t="s">
        <v>32</v>
      </c>
      <c r="AC71" s="136" t="s">
        <v>33</v>
      </c>
    </row>
    <row r="72" spans="1:29" ht="25.5" customHeight="1" x14ac:dyDescent="0.35">
      <c r="A72" s="195"/>
      <c r="B72" s="196"/>
      <c r="C72" s="128" t="str">
        <f>IF(B72="","",IF(NOT(ISNUMBER(B72)),"DATA_PC invalida",IF(OR(B72&lt;MIN(parametros!$C$2:$C$6),B72&gt;MAX(parametros!$D$2:$D$6)),"Fora dos ciclos",LOOKUP(B72,parametros!$C$2:$C$6,parametros!$B$2:$B$6))))</f>
        <v/>
      </c>
      <c r="D72" s="129"/>
      <c r="E72" s="103" t="str">
        <f>IF(C72="","",IFERROR(VLOOKUP(C72,parametros!$A$11:$E$15,5,0),""))</f>
        <v/>
      </c>
      <c r="F72" s="104" t="str">
        <f t="shared" si="11"/>
        <v/>
      </c>
      <c r="G72" s="130"/>
      <c r="H72" s="119">
        <f t="shared" si="12"/>
        <v>0</v>
      </c>
      <c r="I72" s="119">
        <f t="shared" si="13"/>
        <v>0</v>
      </c>
      <c r="J72" s="119">
        <f t="shared" si="14"/>
        <v>0</v>
      </c>
      <c r="K72" s="121" t="str">
        <f t="shared" si="15"/>
        <v>DATA_PC vazia</v>
      </c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34" t="s">
        <v>27</v>
      </c>
      <c r="W72" s="134" t="s">
        <v>28</v>
      </c>
      <c r="X72" s="134" t="s">
        <v>29</v>
      </c>
      <c r="Y72" s="135" t="s">
        <v>30</v>
      </c>
      <c r="Z72" s="135" t="s">
        <v>31</v>
      </c>
      <c r="AA72" s="135" t="s">
        <v>27</v>
      </c>
      <c r="AB72" s="135" t="s">
        <v>32</v>
      </c>
      <c r="AC72" s="136" t="s">
        <v>33</v>
      </c>
    </row>
    <row r="73" spans="1:29" ht="25.5" customHeight="1" x14ac:dyDescent="0.35">
      <c r="A73" s="195"/>
      <c r="B73" s="196"/>
      <c r="C73" s="128" t="str">
        <f>IF(B73="","",IF(NOT(ISNUMBER(B73)),"DATA_PC invalida",IF(OR(B73&lt;MIN(parametros!$C$2:$C$6),B73&gt;MAX(parametros!$D$2:$D$6)),"Fora dos ciclos",LOOKUP(B73,parametros!$C$2:$C$6,parametros!$B$2:$B$6))))</f>
        <v/>
      </c>
      <c r="D73" s="129"/>
      <c r="E73" s="103" t="str">
        <f>IF(C73="","",IFERROR(VLOOKUP(C73,parametros!$A$11:$E$15,5,0),""))</f>
        <v/>
      </c>
      <c r="F73" s="104" t="str">
        <f t="shared" si="11"/>
        <v/>
      </c>
      <c r="G73" s="130"/>
      <c r="H73" s="119">
        <f t="shared" si="12"/>
        <v>0</v>
      </c>
      <c r="I73" s="119">
        <f t="shared" si="13"/>
        <v>0</v>
      </c>
      <c r="J73" s="119">
        <f t="shared" si="14"/>
        <v>0</v>
      </c>
      <c r="K73" s="121" t="str">
        <f t="shared" si="15"/>
        <v>DATA_PC vazia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34" t="s">
        <v>27</v>
      </c>
      <c r="W73" s="134" t="s">
        <v>28</v>
      </c>
      <c r="X73" s="134" t="s">
        <v>29</v>
      </c>
      <c r="Y73" s="135" t="s">
        <v>30</v>
      </c>
      <c r="Z73" s="135" t="s">
        <v>31</v>
      </c>
      <c r="AA73" s="135" t="s">
        <v>27</v>
      </c>
      <c r="AB73" s="135" t="s">
        <v>32</v>
      </c>
      <c r="AC73" s="136" t="s">
        <v>33</v>
      </c>
    </row>
    <row r="74" spans="1:29" ht="25.5" customHeight="1" x14ac:dyDescent="0.35">
      <c r="A74" s="195"/>
      <c r="B74" s="196"/>
      <c r="C74" s="128" t="str">
        <f>IF(B74="","",IF(NOT(ISNUMBER(B74)),"DATA_PC invalida",IF(OR(B74&lt;MIN(parametros!$C$2:$C$6),B74&gt;MAX(parametros!$D$2:$D$6)),"Fora dos ciclos",LOOKUP(B74,parametros!$C$2:$C$6,parametros!$B$2:$B$6))))</f>
        <v/>
      </c>
      <c r="D74" s="129"/>
      <c r="E74" s="103" t="str">
        <f>IF(C74="","",IFERROR(VLOOKUP(C74,parametros!$A$11:$E$15,5,0),""))</f>
        <v/>
      </c>
      <c r="F74" s="104" t="str">
        <f t="shared" si="11"/>
        <v/>
      </c>
      <c r="G74" s="130"/>
      <c r="H74" s="119">
        <f t="shared" si="12"/>
        <v>0</v>
      </c>
      <c r="I74" s="119">
        <f t="shared" si="13"/>
        <v>0</v>
      </c>
      <c r="J74" s="119">
        <f t="shared" si="14"/>
        <v>0</v>
      </c>
      <c r="K74" s="121" t="str">
        <f t="shared" si="15"/>
        <v>DATA_PC vazia</v>
      </c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34" t="s">
        <v>27</v>
      </c>
      <c r="W74" s="134" t="s">
        <v>28</v>
      </c>
      <c r="X74" s="134" t="s">
        <v>29</v>
      </c>
      <c r="Y74" s="135" t="s">
        <v>30</v>
      </c>
      <c r="Z74" s="135" t="s">
        <v>31</v>
      </c>
      <c r="AA74" s="135" t="s">
        <v>27</v>
      </c>
      <c r="AB74" s="135" t="s">
        <v>32</v>
      </c>
      <c r="AC74" s="136" t="s">
        <v>33</v>
      </c>
    </row>
    <row r="75" spans="1:29" ht="25.5" customHeight="1" x14ac:dyDescent="0.35">
      <c r="A75" s="195"/>
      <c r="B75" s="196"/>
      <c r="C75" s="128" t="str">
        <f>IF(B75="","",IF(NOT(ISNUMBER(B75)),"DATA_PC invalida",IF(OR(B75&lt;MIN(parametros!$C$2:$C$6),B75&gt;MAX(parametros!$D$2:$D$6)),"Fora dos ciclos",LOOKUP(B75,parametros!$C$2:$C$6,parametros!$B$2:$B$6))))</f>
        <v/>
      </c>
      <c r="D75" s="129"/>
      <c r="E75" s="103" t="str">
        <f>IF(C75="","",IFERROR(VLOOKUP(C75,parametros!$A$11:$E$15,5,0),""))</f>
        <v/>
      </c>
      <c r="F75" s="104" t="str">
        <f t="shared" si="11"/>
        <v/>
      </c>
      <c r="G75" s="130"/>
      <c r="H75" s="119">
        <f t="shared" si="12"/>
        <v>0</v>
      </c>
      <c r="I75" s="119">
        <f t="shared" si="13"/>
        <v>0</v>
      </c>
      <c r="J75" s="119">
        <f t="shared" si="14"/>
        <v>0</v>
      </c>
      <c r="K75" s="121" t="str">
        <f t="shared" si="15"/>
        <v>DATA_PC vazia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34" t="s">
        <v>27</v>
      </c>
      <c r="W75" s="134" t="s">
        <v>28</v>
      </c>
      <c r="X75" s="134" t="s">
        <v>29</v>
      </c>
      <c r="Y75" s="135" t="s">
        <v>30</v>
      </c>
      <c r="Z75" s="135" t="s">
        <v>31</v>
      </c>
      <c r="AA75" s="135" t="s">
        <v>27</v>
      </c>
      <c r="AB75" s="135" t="s">
        <v>32</v>
      </c>
      <c r="AC75" s="136" t="s">
        <v>33</v>
      </c>
    </row>
    <row r="76" spans="1:29" ht="25.5" customHeight="1" x14ac:dyDescent="0.35">
      <c r="A76" s="195"/>
      <c r="B76" s="196"/>
      <c r="C76" s="128" t="str">
        <f>IF(B76="","",IF(NOT(ISNUMBER(B76)),"DATA_PC invalida",IF(OR(B76&lt;MIN(parametros!$C$2:$C$6),B76&gt;MAX(parametros!$D$2:$D$6)),"Fora dos ciclos",LOOKUP(B76,parametros!$C$2:$C$6,parametros!$B$2:$B$6))))</f>
        <v/>
      </c>
      <c r="D76" s="129"/>
      <c r="E76" s="103" t="str">
        <f>IF(C76="","",IFERROR(VLOOKUP(C76,parametros!$A$11:$E$15,5,0),""))</f>
        <v/>
      </c>
      <c r="F76" s="104" t="str">
        <f t="shared" si="11"/>
        <v/>
      </c>
      <c r="G76" s="130"/>
      <c r="H76" s="119">
        <f t="shared" si="12"/>
        <v>0</v>
      </c>
      <c r="I76" s="119">
        <f t="shared" si="13"/>
        <v>0</v>
      </c>
      <c r="J76" s="119">
        <f t="shared" si="14"/>
        <v>0</v>
      </c>
      <c r="K76" s="121" t="str">
        <f t="shared" si="15"/>
        <v>DATA_PC vazia</v>
      </c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34" t="s">
        <v>27</v>
      </c>
      <c r="W76" s="134" t="s">
        <v>28</v>
      </c>
      <c r="X76" s="134" t="s">
        <v>29</v>
      </c>
      <c r="Y76" s="135" t="s">
        <v>30</v>
      </c>
      <c r="Z76" s="135" t="s">
        <v>31</v>
      </c>
      <c r="AA76" s="135" t="s">
        <v>27</v>
      </c>
      <c r="AB76" s="135" t="s">
        <v>32</v>
      </c>
      <c r="AC76" s="136" t="s">
        <v>33</v>
      </c>
    </row>
    <row r="77" spans="1:29" ht="25.5" customHeight="1" x14ac:dyDescent="0.35">
      <c r="A77" s="195"/>
      <c r="B77" s="196"/>
      <c r="C77" s="128" t="str">
        <f>IF(B77="","",IF(NOT(ISNUMBER(B77)),"DATA_PC invalida",IF(OR(B77&lt;MIN(parametros!$C$2:$C$6),B77&gt;MAX(parametros!$D$2:$D$6)),"Fora dos ciclos",LOOKUP(B77,parametros!$C$2:$C$6,parametros!$B$2:$B$6))))</f>
        <v/>
      </c>
      <c r="D77" s="129"/>
      <c r="E77" s="103" t="str">
        <f>IF(C77="","",IFERROR(VLOOKUP(C77,parametros!$A$11:$E$15,5,0),""))</f>
        <v/>
      </c>
      <c r="F77" s="104" t="str">
        <f t="shared" si="11"/>
        <v/>
      </c>
      <c r="G77" s="130"/>
      <c r="H77" s="119">
        <f t="shared" si="12"/>
        <v>0</v>
      </c>
      <c r="I77" s="119">
        <f t="shared" si="13"/>
        <v>0</v>
      </c>
      <c r="J77" s="119">
        <f t="shared" si="14"/>
        <v>0</v>
      </c>
      <c r="K77" s="121" t="str">
        <f t="shared" si="15"/>
        <v>DATA_PC vazia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34" t="s">
        <v>27</v>
      </c>
      <c r="W77" s="134" t="s">
        <v>28</v>
      </c>
      <c r="X77" s="134" t="s">
        <v>29</v>
      </c>
      <c r="Y77" s="135" t="s">
        <v>30</v>
      </c>
      <c r="Z77" s="135" t="s">
        <v>31</v>
      </c>
      <c r="AA77" s="135" t="s">
        <v>27</v>
      </c>
      <c r="AB77" s="135" t="s">
        <v>32</v>
      </c>
      <c r="AC77" s="136" t="s">
        <v>33</v>
      </c>
    </row>
    <row r="78" spans="1:29" ht="25.5" customHeight="1" x14ac:dyDescent="0.35">
      <c r="A78" s="195"/>
      <c r="B78" s="196"/>
      <c r="C78" s="128" t="str">
        <f>IF(B78="","",IF(NOT(ISNUMBER(B78)),"DATA_PC invalida",IF(OR(B78&lt;MIN(parametros!$C$2:$C$6),B78&gt;MAX(parametros!$D$2:$D$6)),"Fora dos ciclos",LOOKUP(B78,parametros!$C$2:$C$6,parametros!$B$2:$B$6))))</f>
        <v/>
      </c>
      <c r="D78" s="129"/>
      <c r="E78" s="103" t="str">
        <f>IF(C78="","",IFERROR(VLOOKUP(C78,parametros!$A$11:$E$15,5,0),""))</f>
        <v/>
      </c>
      <c r="F78" s="104" t="str">
        <f t="shared" si="11"/>
        <v/>
      </c>
      <c r="G78" s="130"/>
      <c r="H78" s="119">
        <f t="shared" si="12"/>
        <v>0</v>
      </c>
      <c r="I78" s="119">
        <f t="shared" si="13"/>
        <v>0</v>
      </c>
      <c r="J78" s="119">
        <f t="shared" si="14"/>
        <v>0</v>
      </c>
      <c r="K78" s="121" t="str">
        <f t="shared" si="15"/>
        <v>DATA_PC vazia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34" t="s">
        <v>27</v>
      </c>
      <c r="W78" s="134" t="s">
        <v>28</v>
      </c>
      <c r="X78" s="134" t="s">
        <v>29</v>
      </c>
      <c r="Y78" s="135" t="s">
        <v>30</v>
      </c>
      <c r="Z78" s="135" t="s">
        <v>31</v>
      </c>
      <c r="AA78" s="135" t="s">
        <v>27</v>
      </c>
      <c r="AB78" s="135" t="s">
        <v>32</v>
      </c>
      <c r="AC78" s="136" t="s">
        <v>33</v>
      </c>
    </row>
    <row r="79" spans="1:29" ht="25.5" customHeight="1" x14ac:dyDescent="0.35">
      <c r="A79" s="195"/>
      <c r="B79" s="196"/>
      <c r="C79" s="128" t="str">
        <f>IF(B79="","",IF(NOT(ISNUMBER(B79)),"DATA_PC invalida",IF(OR(B79&lt;MIN(parametros!$C$2:$C$6),B79&gt;MAX(parametros!$D$2:$D$6)),"Fora dos ciclos",LOOKUP(B79,parametros!$C$2:$C$6,parametros!$B$2:$B$6))))</f>
        <v/>
      </c>
      <c r="D79" s="129"/>
      <c r="E79" s="103" t="str">
        <f>IF(C79="","",IFERROR(VLOOKUP(C79,parametros!$A$11:$E$15,5,0),""))</f>
        <v/>
      </c>
      <c r="F79" s="104" t="str">
        <f t="shared" si="11"/>
        <v/>
      </c>
      <c r="G79" s="130"/>
      <c r="H79" s="119">
        <f t="shared" si="12"/>
        <v>0</v>
      </c>
      <c r="I79" s="119">
        <f t="shared" si="13"/>
        <v>0</v>
      </c>
      <c r="J79" s="119">
        <f t="shared" si="14"/>
        <v>0</v>
      </c>
      <c r="K79" s="121" t="str">
        <f t="shared" si="15"/>
        <v>DATA_PC vazia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34" t="s">
        <v>27</v>
      </c>
      <c r="W79" s="134" t="s">
        <v>28</v>
      </c>
      <c r="X79" s="134" t="s">
        <v>29</v>
      </c>
      <c r="Y79" s="135" t="s">
        <v>30</v>
      </c>
      <c r="Z79" s="135" t="s">
        <v>31</v>
      </c>
      <c r="AA79" s="135" t="s">
        <v>27</v>
      </c>
      <c r="AB79" s="135" t="s">
        <v>32</v>
      </c>
      <c r="AC79" s="136" t="s">
        <v>33</v>
      </c>
    </row>
    <row r="80" spans="1:29" ht="25.5" customHeight="1" x14ac:dyDescent="0.35">
      <c r="A80" s="195"/>
      <c r="B80" s="196"/>
      <c r="C80" s="128" t="str">
        <f>IF(B80="","",IF(NOT(ISNUMBER(B80)),"DATA_PC invalida",IF(OR(B80&lt;MIN(parametros!$C$2:$C$6),B80&gt;MAX(parametros!$D$2:$D$6)),"Fora dos ciclos",LOOKUP(B80,parametros!$C$2:$C$6,parametros!$B$2:$B$6))))</f>
        <v/>
      </c>
      <c r="D80" s="129"/>
      <c r="E80" s="103" t="str">
        <f>IF(C80="","",IFERROR(VLOOKUP(C80,parametros!$A$11:$E$15,5,0),""))</f>
        <v/>
      </c>
      <c r="F80" s="104" t="str">
        <f t="shared" si="11"/>
        <v/>
      </c>
      <c r="G80" s="130"/>
      <c r="H80" s="119">
        <f t="shared" si="12"/>
        <v>0</v>
      </c>
      <c r="I80" s="119">
        <f t="shared" si="13"/>
        <v>0</v>
      </c>
      <c r="J80" s="119">
        <f t="shared" si="14"/>
        <v>0</v>
      </c>
      <c r="K80" s="121" t="str">
        <f t="shared" si="15"/>
        <v>DATA_PC vazia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34" t="s">
        <v>27</v>
      </c>
      <c r="W80" s="134" t="s">
        <v>28</v>
      </c>
      <c r="X80" s="134" t="s">
        <v>29</v>
      </c>
      <c r="Y80" s="135" t="s">
        <v>30</v>
      </c>
      <c r="Z80" s="135" t="s">
        <v>31</v>
      </c>
      <c r="AA80" s="135" t="s">
        <v>27</v>
      </c>
      <c r="AB80" s="135" t="s">
        <v>32</v>
      </c>
      <c r="AC80" s="136" t="s">
        <v>33</v>
      </c>
    </row>
    <row r="81" spans="1:29" ht="25.5" customHeight="1" x14ac:dyDescent="0.35">
      <c r="A81" s="195"/>
      <c r="B81" s="196"/>
      <c r="C81" s="128" t="str">
        <f>IF(B81="","",IF(NOT(ISNUMBER(B81)),"DATA_PC invalida",IF(OR(B81&lt;MIN(parametros!$C$2:$C$6),B81&gt;MAX(parametros!$D$2:$D$6)),"Fora dos ciclos",LOOKUP(B81,parametros!$C$2:$C$6,parametros!$B$2:$B$6))))</f>
        <v/>
      </c>
      <c r="D81" s="129"/>
      <c r="E81" s="103" t="str">
        <f>IF(C81="","",IFERROR(VLOOKUP(C81,parametros!$A$11:$E$15,5,0),""))</f>
        <v/>
      </c>
      <c r="F81" s="104" t="str">
        <f t="shared" si="11"/>
        <v/>
      </c>
      <c r="G81" s="130"/>
      <c r="H81" s="119">
        <f t="shared" si="12"/>
        <v>0</v>
      </c>
      <c r="I81" s="119">
        <f t="shared" si="13"/>
        <v>0</v>
      </c>
      <c r="J81" s="119">
        <f t="shared" si="14"/>
        <v>0</v>
      </c>
      <c r="K81" s="121" t="str">
        <f t="shared" si="15"/>
        <v>DATA_PC vazia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34" t="s">
        <v>27</v>
      </c>
      <c r="W81" s="134" t="s">
        <v>28</v>
      </c>
      <c r="X81" s="134" t="s">
        <v>29</v>
      </c>
      <c r="Y81" s="135" t="s">
        <v>30</v>
      </c>
      <c r="Z81" s="135" t="s">
        <v>31</v>
      </c>
      <c r="AA81" s="135" t="s">
        <v>27</v>
      </c>
      <c r="AB81" s="135" t="s">
        <v>32</v>
      </c>
      <c r="AC81" s="136" t="s">
        <v>33</v>
      </c>
    </row>
    <row r="82" spans="1:29" ht="25.5" customHeight="1" x14ac:dyDescent="0.35">
      <c r="A82" s="195"/>
      <c r="B82" s="196"/>
      <c r="C82" s="128" t="str">
        <f>IF(B82="","",IF(NOT(ISNUMBER(B82)),"DATA_PC invalida",IF(OR(B82&lt;MIN(parametros!$C$2:$C$6),B82&gt;MAX(parametros!$D$2:$D$6)),"Fora dos ciclos",LOOKUP(B82,parametros!$C$2:$C$6,parametros!$B$2:$B$6))))</f>
        <v/>
      </c>
      <c r="D82" s="129"/>
      <c r="E82" s="103" t="str">
        <f>IF(C82="","",IFERROR(VLOOKUP(C82,parametros!$A$11:$E$15,5,0),""))</f>
        <v/>
      </c>
      <c r="F82" s="104" t="str">
        <f t="shared" si="11"/>
        <v/>
      </c>
      <c r="G82" s="130"/>
      <c r="H82" s="119">
        <f t="shared" si="12"/>
        <v>0</v>
      </c>
      <c r="I82" s="119">
        <f t="shared" si="13"/>
        <v>0</v>
      </c>
      <c r="J82" s="119">
        <f t="shared" si="14"/>
        <v>0</v>
      </c>
      <c r="K82" s="121" t="str">
        <f t="shared" si="15"/>
        <v>DATA_PC vazia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34" t="s">
        <v>27</v>
      </c>
      <c r="W82" s="134" t="s">
        <v>28</v>
      </c>
      <c r="X82" s="134" t="s">
        <v>29</v>
      </c>
      <c r="Y82" s="135" t="s">
        <v>30</v>
      </c>
      <c r="Z82" s="135" t="s">
        <v>31</v>
      </c>
      <c r="AA82" s="135" t="s">
        <v>27</v>
      </c>
      <c r="AB82" s="135" t="s">
        <v>32</v>
      </c>
      <c r="AC82" s="136" t="s">
        <v>33</v>
      </c>
    </row>
    <row r="83" spans="1:29" ht="25.5" customHeight="1" x14ac:dyDescent="0.35">
      <c r="A83" s="195"/>
      <c r="B83" s="196"/>
      <c r="C83" s="128" t="str">
        <f>IF(B83="","",IF(NOT(ISNUMBER(B83)),"DATA_PC invalida",IF(OR(B83&lt;MIN(parametros!$C$2:$C$6),B83&gt;MAX(parametros!$D$2:$D$6)),"Fora dos ciclos",LOOKUP(B83,parametros!$C$2:$C$6,parametros!$B$2:$B$6))))</f>
        <v/>
      </c>
      <c r="D83" s="129"/>
      <c r="E83" s="103" t="str">
        <f>IF(C83="","",IFERROR(VLOOKUP(C83,parametros!$A$11:$E$15,5,0),""))</f>
        <v/>
      </c>
      <c r="F83" s="104" t="str">
        <f t="shared" si="11"/>
        <v/>
      </c>
      <c r="G83" s="130"/>
      <c r="H83" s="119">
        <f t="shared" si="12"/>
        <v>0</v>
      </c>
      <c r="I83" s="119">
        <f t="shared" si="13"/>
        <v>0</v>
      </c>
      <c r="J83" s="119">
        <f t="shared" si="14"/>
        <v>0</v>
      </c>
      <c r="K83" s="121" t="str">
        <f t="shared" si="15"/>
        <v>DATA_PC vazia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34" t="s">
        <v>27</v>
      </c>
      <c r="W83" s="134" t="s">
        <v>28</v>
      </c>
      <c r="X83" s="134" t="s">
        <v>29</v>
      </c>
      <c r="Y83" s="135" t="s">
        <v>30</v>
      </c>
      <c r="Z83" s="135" t="s">
        <v>31</v>
      </c>
      <c r="AA83" s="135" t="s">
        <v>27</v>
      </c>
      <c r="AB83" s="135" t="s">
        <v>32</v>
      </c>
      <c r="AC83" s="136" t="s">
        <v>33</v>
      </c>
    </row>
    <row r="84" spans="1:29" ht="25.5" customHeight="1" x14ac:dyDescent="0.35">
      <c r="A84" s="195"/>
      <c r="B84" s="196"/>
      <c r="C84" s="128" t="str">
        <f>IF(B84="","",IF(NOT(ISNUMBER(B84)),"DATA_PC invalida",IF(OR(B84&lt;MIN(parametros!$C$2:$C$6),B84&gt;MAX(parametros!$D$2:$D$6)),"Fora dos ciclos",LOOKUP(B84,parametros!$C$2:$C$6,parametros!$B$2:$B$6))))</f>
        <v/>
      </c>
      <c r="D84" s="129"/>
      <c r="E84" s="103" t="str">
        <f>IF(C84="","",IFERROR(VLOOKUP(C84,parametros!$A$11:$E$15,5,0),""))</f>
        <v/>
      </c>
      <c r="F84" s="104" t="str">
        <f t="shared" si="11"/>
        <v/>
      </c>
      <c r="G84" s="130"/>
      <c r="H84" s="119">
        <f t="shared" si="12"/>
        <v>0</v>
      </c>
      <c r="I84" s="119">
        <f t="shared" si="13"/>
        <v>0</v>
      </c>
      <c r="J84" s="119">
        <f t="shared" si="14"/>
        <v>0</v>
      </c>
      <c r="K84" s="121" t="str">
        <f t="shared" si="15"/>
        <v>DATA_PC vazia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34" t="s">
        <v>27</v>
      </c>
      <c r="W84" s="134" t="s">
        <v>28</v>
      </c>
      <c r="X84" s="134" t="s">
        <v>29</v>
      </c>
      <c r="Y84" s="135" t="s">
        <v>30</v>
      </c>
      <c r="Z84" s="135" t="s">
        <v>31</v>
      </c>
      <c r="AA84" s="135" t="s">
        <v>27</v>
      </c>
      <c r="AB84" s="135" t="s">
        <v>32</v>
      </c>
      <c r="AC84" s="136" t="s">
        <v>33</v>
      </c>
    </row>
    <row r="85" spans="1:29" ht="25.5" customHeight="1" x14ac:dyDescent="0.35">
      <c r="A85" s="195"/>
      <c r="B85" s="196"/>
      <c r="C85" s="128" t="str">
        <f>IF(B85="","",IF(NOT(ISNUMBER(B85)),"DATA_PC invalida",IF(OR(B85&lt;MIN(parametros!$C$2:$C$6),B85&gt;MAX(parametros!$D$2:$D$6)),"Fora dos ciclos",LOOKUP(B85,parametros!$C$2:$C$6,parametros!$B$2:$B$6))))</f>
        <v/>
      </c>
      <c r="D85" s="129"/>
      <c r="E85" s="103" t="str">
        <f>IF(C85="","",IFERROR(VLOOKUP(C85,parametros!$A$11:$E$15,5,0),""))</f>
        <v/>
      </c>
      <c r="F85" s="104" t="str">
        <f t="shared" si="11"/>
        <v/>
      </c>
      <c r="G85" s="130"/>
      <c r="H85" s="119">
        <f t="shared" si="12"/>
        <v>0</v>
      </c>
      <c r="I85" s="119">
        <f t="shared" si="13"/>
        <v>0</v>
      </c>
      <c r="J85" s="119">
        <f t="shared" si="14"/>
        <v>0</v>
      </c>
      <c r="K85" s="121" t="str">
        <f t="shared" si="15"/>
        <v>DATA_PC vazia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34" t="s">
        <v>27</v>
      </c>
      <c r="W85" s="134" t="s">
        <v>28</v>
      </c>
      <c r="X85" s="134" t="s">
        <v>29</v>
      </c>
      <c r="Y85" s="135" t="s">
        <v>30</v>
      </c>
      <c r="Z85" s="135" t="s">
        <v>31</v>
      </c>
      <c r="AA85" s="135" t="s">
        <v>27</v>
      </c>
      <c r="AB85" s="135" t="s">
        <v>32</v>
      </c>
      <c r="AC85" s="136" t="s">
        <v>33</v>
      </c>
    </row>
    <row r="86" spans="1:29" ht="25.5" customHeight="1" x14ac:dyDescent="0.35">
      <c r="A86" s="195"/>
      <c r="B86" s="196"/>
      <c r="C86" s="128" t="str">
        <f>IF(B86="","",IF(NOT(ISNUMBER(B86)),"DATA_PC invalida",IF(OR(B86&lt;MIN(parametros!$C$2:$C$6),B86&gt;MAX(parametros!$D$2:$D$6)),"Fora dos ciclos",LOOKUP(B86,parametros!$C$2:$C$6,parametros!$B$2:$B$6))))</f>
        <v/>
      </c>
      <c r="D86" s="129"/>
      <c r="E86" s="103" t="str">
        <f>IF(C86="","",IFERROR(VLOOKUP(C86,parametros!$A$11:$E$15,5,0),""))</f>
        <v/>
      </c>
      <c r="F86" s="104" t="str">
        <f t="shared" si="11"/>
        <v/>
      </c>
      <c r="G86" s="130"/>
      <c r="H86" s="119">
        <f t="shared" si="12"/>
        <v>0</v>
      </c>
      <c r="I86" s="119">
        <f t="shared" si="13"/>
        <v>0</v>
      </c>
      <c r="J86" s="119">
        <f t="shared" si="14"/>
        <v>0</v>
      </c>
      <c r="K86" s="121" t="str">
        <f t="shared" si="15"/>
        <v>DATA_PC vazia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34" t="s">
        <v>27</v>
      </c>
      <c r="W86" s="134" t="s">
        <v>28</v>
      </c>
      <c r="X86" s="134" t="s">
        <v>29</v>
      </c>
      <c r="Y86" s="135" t="s">
        <v>30</v>
      </c>
      <c r="Z86" s="135" t="s">
        <v>31</v>
      </c>
      <c r="AA86" s="135" t="s">
        <v>27</v>
      </c>
      <c r="AB86" s="135" t="s">
        <v>32</v>
      </c>
      <c r="AC86" s="136" t="s">
        <v>33</v>
      </c>
    </row>
    <row r="87" spans="1:29" ht="25.5" customHeight="1" x14ac:dyDescent="0.35">
      <c r="A87" s="195"/>
      <c r="B87" s="196"/>
      <c r="C87" s="128" t="str">
        <f>IF(B87="","",IF(NOT(ISNUMBER(B87)),"DATA_PC invalida",IF(OR(B87&lt;MIN(parametros!$C$2:$C$6),B87&gt;MAX(parametros!$D$2:$D$6)),"Fora dos ciclos",LOOKUP(B87,parametros!$C$2:$C$6,parametros!$B$2:$B$6))))</f>
        <v/>
      </c>
      <c r="D87" s="129"/>
      <c r="E87" s="103" t="str">
        <f>IF(C87="","",IFERROR(VLOOKUP(C87,parametros!$A$11:$E$15,5,0),""))</f>
        <v/>
      </c>
      <c r="F87" s="104" t="str">
        <f t="shared" si="11"/>
        <v/>
      </c>
      <c r="G87" s="130"/>
      <c r="H87" s="119">
        <f t="shared" si="12"/>
        <v>0</v>
      </c>
      <c r="I87" s="119">
        <f t="shared" si="13"/>
        <v>0</v>
      </c>
      <c r="J87" s="119">
        <f t="shared" si="14"/>
        <v>0</v>
      </c>
      <c r="K87" s="121" t="str">
        <f t="shared" si="15"/>
        <v>DATA_PC vazia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34" t="s">
        <v>27</v>
      </c>
      <c r="W87" s="134" t="s">
        <v>28</v>
      </c>
      <c r="X87" s="134" t="s">
        <v>29</v>
      </c>
      <c r="Y87" s="135" t="s">
        <v>30</v>
      </c>
      <c r="Z87" s="135" t="s">
        <v>31</v>
      </c>
      <c r="AA87" s="135" t="s">
        <v>27</v>
      </c>
      <c r="AB87" s="135" t="s">
        <v>32</v>
      </c>
      <c r="AC87" s="136" t="s">
        <v>33</v>
      </c>
    </row>
    <row r="88" spans="1:29" ht="25.5" customHeight="1" x14ac:dyDescent="0.35">
      <c r="A88" s="195"/>
      <c r="B88" s="196"/>
      <c r="C88" s="128" t="str">
        <f>IF(B88="","",IF(NOT(ISNUMBER(B88)),"DATA_PC invalida",IF(OR(B88&lt;MIN(parametros!$C$2:$C$6),B88&gt;MAX(parametros!$D$2:$D$6)),"Fora dos ciclos",LOOKUP(B88,parametros!$C$2:$C$6,parametros!$B$2:$B$6))))</f>
        <v/>
      </c>
      <c r="D88" s="129"/>
      <c r="E88" s="103" t="str">
        <f>IF(C88="","",IFERROR(VLOOKUP(C88,parametros!$A$11:$E$15,5,0),""))</f>
        <v/>
      </c>
      <c r="F88" s="104" t="str">
        <f t="shared" si="11"/>
        <v/>
      </c>
      <c r="G88" s="130"/>
      <c r="H88" s="119">
        <f t="shared" si="12"/>
        <v>0</v>
      </c>
      <c r="I88" s="119">
        <f t="shared" si="13"/>
        <v>0</v>
      </c>
      <c r="J88" s="119">
        <f t="shared" si="14"/>
        <v>0</v>
      </c>
      <c r="K88" s="121" t="str">
        <f t="shared" si="15"/>
        <v>DATA_PC vazia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34" t="s">
        <v>27</v>
      </c>
      <c r="W88" s="134" t="s">
        <v>28</v>
      </c>
      <c r="X88" s="134" t="s">
        <v>29</v>
      </c>
      <c r="Y88" s="135" t="s">
        <v>30</v>
      </c>
      <c r="Z88" s="135" t="s">
        <v>31</v>
      </c>
      <c r="AA88" s="135" t="s">
        <v>27</v>
      </c>
      <c r="AB88" s="135" t="s">
        <v>32</v>
      </c>
      <c r="AC88" s="136" t="s">
        <v>33</v>
      </c>
    </row>
    <row r="89" spans="1:29" ht="25.5" customHeight="1" x14ac:dyDescent="0.35">
      <c r="A89" s="195"/>
      <c r="B89" s="196"/>
      <c r="C89" s="128" t="str">
        <f>IF(B89="","",IF(NOT(ISNUMBER(B89)),"DATA_PC invalida",IF(OR(B89&lt;MIN(parametros!$C$2:$C$6),B89&gt;MAX(parametros!$D$2:$D$6)),"Fora dos ciclos",LOOKUP(B89,parametros!$C$2:$C$6,parametros!$B$2:$B$6))))</f>
        <v/>
      </c>
      <c r="D89" s="129"/>
      <c r="E89" s="103" t="str">
        <f>IF(C89="","",IFERROR(VLOOKUP(C89,parametros!$A$11:$E$15,5,0),""))</f>
        <v/>
      </c>
      <c r="F89" s="104" t="str">
        <f t="shared" si="11"/>
        <v/>
      </c>
      <c r="G89" s="130"/>
      <c r="H89" s="119">
        <f t="shared" si="12"/>
        <v>0</v>
      </c>
      <c r="I89" s="119">
        <f t="shared" si="13"/>
        <v>0</v>
      </c>
      <c r="J89" s="119">
        <f t="shared" si="14"/>
        <v>0</v>
      </c>
      <c r="K89" s="121" t="str">
        <f t="shared" si="15"/>
        <v>DATA_PC vazia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34" t="s">
        <v>27</v>
      </c>
      <c r="W89" s="134" t="s">
        <v>28</v>
      </c>
      <c r="X89" s="134" t="s">
        <v>29</v>
      </c>
      <c r="Y89" s="135" t="s">
        <v>30</v>
      </c>
      <c r="Z89" s="135" t="s">
        <v>31</v>
      </c>
      <c r="AA89" s="135" t="s">
        <v>27</v>
      </c>
      <c r="AB89" s="135" t="s">
        <v>32</v>
      </c>
      <c r="AC89" s="136" t="s">
        <v>33</v>
      </c>
    </row>
    <row r="90" spans="1:29" ht="25.5" customHeight="1" x14ac:dyDescent="0.35">
      <c r="A90" s="195"/>
      <c r="B90" s="196"/>
      <c r="C90" s="128" t="str">
        <f>IF(B90="","",IF(NOT(ISNUMBER(B90)),"DATA_PC invalida",IF(OR(B90&lt;MIN(parametros!$C$2:$C$6),B90&gt;MAX(parametros!$D$2:$D$6)),"Fora dos ciclos",LOOKUP(B90,parametros!$C$2:$C$6,parametros!$B$2:$B$6))))</f>
        <v/>
      </c>
      <c r="D90" s="129"/>
      <c r="E90" s="103" t="str">
        <f>IF(C90="","",IFERROR(VLOOKUP(C90,parametros!$A$11:$E$15,5,0),""))</f>
        <v/>
      </c>
      <c r="F90" s="104" t="str">
        <f t="shared" si="11"/>
        <v/>
      </c>
      <c r="G90" s="130"/>
      <c r="H90" s="119">
        <f t="shared" si="12"/>
        <v>0</v>
      </c>
      <c r="I90" s="119">
        <f t="shared" si="13"/>
        <v>0</v>
      </c>
      <c r="J90" s="119">
        <f t="shared" si="14"/>
        <v>0</v>
      </c>
      <c r="K90" s="121" t="str">
        <f t="shared" si="15"/>
        <v>DATA_PC vazia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34" t="s">
        <v>27</v>
      </c>
      <c r="W90" s="134" t="s">
        <v>28</v>
      </c>
      <c r="X90" s="134" t="s">
        <v>29</v>
      </c>
      <c r="Y90" s="135" t="s">
        <v>30</v>
      </c>
      <c r="Z90" s="135" t="s">
        <v>31</v>
      </c>
      <c r="AA90" s="135" t="s">
        <v>27</v>
      </c>
      <c r="AB90" s="135" t="s">
        <v>32</v>
      </c>
      <c r="AC90" s="136" t="s">
        <v>33</v>
      </c>
    </row>
    <row r="91" spans="1:29" ht="25.5" customHeight="1" x14ac:dyDescent="0.35">
      <c r="A91" s="195"/>
      <c r="B91" s="196"/>
      <c r="C91" s="128" t="str">
        <f>IF(B91="","",IF(NOT(ISNUMBER(B91)),"DATA_PC invalida",IF(OR(B91&lt;MIN(parametros!$C$2:$C$6),B91&gt;MAX(parametros!$D$2:$D$6)),"Fora dos ciclos",LOOKUP(B91,parametros!$C$2:$C$6,parametros!$B$2:$B$6))))</f>
        <v/>
      </c>
      <c r="D91" s="129"/>
      <c r="E91" s="103" t="str">
        <f>IF(C91="","",IFERROR(VLOOKUP(C91,parametros!$A$11:$E$15,5,0),""))</f>
        <v/>
      </c>
      <c r="F91" s="104" t="str">
        <f t="shared" si="11"/>
        <v/>
      </c>
      <c r="G91" s="130"/>
      <c r="H91" s="119">
        <f t="shared" si="12"/>
        <v>0</v>
      </c>
      <c r="I91" s="119">
        <f t="shared" si="13"/>
        <v>0</v>
      </c>
      <c r="J91" s="119">
        <f t="shared" si="14"/>
        <v>0</v>
      </c>
      <c r="K91" s="121" t="str">
        <f t="shared" si="15"/>
        <v>DATA_PC vazia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34" t="s">
        <v>27</v>
      </c>
      <c r="W91" s="134" t="s">
        <v>28</v>
      </c>
      <c r="X91" s="134" t="s">
        <v>29</v>
      </c>
      <c r="Y91" s="135" t="s">
        <v>30</v>
      </c>
      <c r="Z91" s="135" t="s">
        <v>31</v>
      </c>
      <c r="AA91" s="135" t="s">
        <v>27</v>
      </c>
      <c r="AB91" s="135" t="s">
        <v>32</v>
      </c>
      <c r="AC91" s="136" t="s">
        <v>33</v>
      </c>
    </row>
    <row r="92" spans="1:29" ht="25.5" customHeight="1" x14ac:dyDescent="0.35">
      <c r="A92" s="195"/>
      <c r="B92" s="196"/>
      <c r="C92" s="128" t="str">
        <f>IF(B92="","",IF(NOT(ISNUMBER(B92)),"DATA_PC invalida",IF(OR(B92&lt;MIN(parametros!$C$2:$C$6),B92&gt;MAX(parametros!$D$2:$D$6)),"Fora dos ciclos",LOOKUP(B92,parametros!$C$2:$C$6,parametros!$B$2:$B$6))))</f>
        <v/>
      </c>
      <c r="D92" s="129"/>
      <c r="E92" s="103" t="str">
        <f>IF(C92="","",IFERROR(VLOOKUP(C92,parametros!$A$11:$E$15,5,0),""))</f>
        <v/>
      </c>
      <c r="F92" s="104" t="str">
        <f t="shared" si="11"/>
        <v/>
      </c>
      <c r="G92" s="130"/>
      <c r="H92" s="119">
        <f t="shared" si="12"/>
        <v>0</v>
      </c>
      <c r="I92" s="119">
        <f t="shared" si="13"/>
        <v>0</v>
      </c>
      <c r="J92" s="119">
        <f t="shared" si="14"/>
        <v>0</v>
      </c>
      <c r="K92" s="121" t="str">
        <f t="shared" si="15"/>
        <v>DATA_PC vazia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34" t="s">
        <v>27</v>
      </c>
      <c r="W92" s="134" t="s">
        <v>28</v>
      </c>
      <c r="X92" s="134" t="s">
        <v>29</v>
      </c>
      <c r="Y92" s="135" t="s">
        <v>30</v>
      </c>
      <c r="Z92" s="135" t="s">
        <v>31</v>
      </c>
      <c r="AA92" s="135" t="s">
        <v>27</v>
      </c>
      <c r="AB92" s="135" t="s">
        <v>32</v>
      </c>
      <c r="AC92" s="136" t="s">
        <v>33</v>
      </c>
    </row>
    <row r="93" spans="1:29" ht="25.5" customHeight="1" x14ac:dyDescent="0.35">
      <c r="A93" s="195"/>
      <c r="B93" s="196"/>
      <c r="C93" s="128" t="str">
        <f>IF(B93="","",IF(NOT(ISNUMBER(B93)),"DATA_PC invalida",IF(OR(B93&lt;MIN(parametros!$C$2:$C$6),B93&gt;MAX(parametros!$D$2:$D$6)),"Fora dos ciclos",LOOKUP(B93,parametros!$C$2:$C$6,parametros!$B$2:$B$6))))</f>
        <v/>
      </c>
      <c r="D93" s="129"/>
      <c r="E93" s="103" t="str">
        <f>IF(C93="","",IFERROR(VLOOKUP(C93,parametros!$A$11:$E$15,5,0),""))</f>
        <v/>
      </c>
      <c r="F93" s="104" t="str">
        <f t="shared" si="11"/>
        <v/>
      </c>
      <c r="G93" s="130"/>
      <c r="H93" s="119">
        <f t="shared" si="12"/>
        <v>0</v>
      </c>
      <c r="I93" s="119">
        <f t="shared" si="13"/>
        <v>0</v>
      </c>
      <c r="J93" s="119">
        <f t="shared" si="14"/>
        <v>0</v>
      </c>
      <c r="K93" s="121" t="str">
        <f t="shared" si="15"/>
        <v>DATA_PC vazia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34" t="s">
        <v>27</v>
      </c>
      <c r="W93" s="134" t="s">
        <v>28</v>
      </c>
      <c r="X93" s="134" t="s">
        <v>29</v>
      </c>
      <c r="Y93" s="135" t="s">
        <v>30</v>
      </c>
      <c r="Z93" s="135" t="s">
        <v>31</v>
      </c>
      <c r="AA93" s="135" t="s">
        <v>27</v>
      </c>
      <c r="AB93" s="135" t="s">
        <v>32</v>
      </c>
      <c r="AC93" s="136" t="s">
        <v>33</v>
      </c>
    </row>
    <row r="94" spans="1:29" ht="25.5" customHeight="1" x14ac:dyDescent="0.35">
      <c r="A94" s="195"/>
      <c r="B94" s="196"/>
      <c r="C94" s="128" t="str">
        <f>IF(B94="","",IF(NOT(ISNUMBER(B94)),"DATA_PC invalida",IF(OR(B94&lt;MIN(parametros!$C$2:$C$6),B94&gt;MAX(parametros!$D$2:$D$6)),"Fora dos ciclos",LOOKUP(B94,parametros!$C$2:$C$6,parametros!$B$2:$B$6))))</f>
        <v/>
      </c>
      <c r="D94" s="129"/>
      <c r="E94" s="103" t="str">
        <f>IF(C94="","",IFERROR(VLOOKUP(C94,parametros!$A$11:$E$15,5,0),""))</f>
        <v/>
      </c>
      <c r="F94" s="104" t="str">
        <f t="shared" si="11"/>
        <v/>
      </c>
      <c r="G94" s="130"/>
      <c r="H94" s="119">
        <f t="shared" si="12"/>
        <v>0</v>
      </c>
      <c r="I94" s="119">
        <f t="shared" si="13"/>
        <v>0</v>
      </c>
      <c r="J94" s="119">
        <f t="shared" si="14"/>
        <v>0</v>
      </c>
      <c r="K94" s="121" t="str">
        <f t="shared" si="15"/>
        <v>DATA_PC vazia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34" t="s">
        <v>27</v>
      </c>
      <c r="W94" s="134" t="s">
        <v>28</v>
      </c>
      <c r="X94" s="134" t="s">
        <v>29</v>
      </c>
      <c r="Y94" s="135" t="s">
        <v>30</v>
      </c>
      <c r="Z94" s="135" t="s">
        <v>31</v>
      </c>
      <c r="AA94" s="135" t="s">
        <v>27</v>
      </c>
      <c r="AB94" s="135" t="s">
        <v>32</v>
      </c>
      <c r="AC94" s="136" t="s">
        <v>33</v>
      </c>
    </row>
    <row r="95" spans="1:29" ht="25.5" customHeight="1" x14ac:dyDescent="0.35">
      <c r="A95" s="195"/>
      <c r="B95" s="196"/>
      <c r="C95" s="128" t="str">
        <f>IF(B95="","",IF(NOT(ISNUMBER(B95)),"DATA_PC invalida",IF(OR(B95&lt;MIN(parametros!$C$2:$C$6),B95&gt;MAX(parametros!$D$2:$D$6)),"Fora dos ciclos",LOOKUP(B95,parametros!$C$2:$C$6,parametros!$B$2:$B$6))))</f>
        <v/>
      </c>
      <c r="D95" s="129"/>
      <c r="E95" s="103" t="str">
        <f>IF(C95="","",IFERROR(VLOOKUP(C95,parametros!$A$11:$E$15,5,0),""))</f>
        <v/>
      </c>
      <c r="F95" s="104" t="str">
        <f t="shared" si="11"/>
        <v/>
      </c>
      <c r="G95" s="130"/>
      <c r="H95" s="119">
        <f t="shared" si="12"/>
        <v>0</v>
      </c>
      <c r="I95" s="119">
        <f t="shared" si="13"/>
        <v>0</v>
      </c>
      <c r="J95" s="119">
        <f t="shared" si="14"/>
        <v>0</v>
      </c>
      <c r="K95" s="121" t="str">
        <f t="shared" si="15"/>
        <v>DATA_PC vazia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34" t="s">
        <v>27</v>
      </c>
      <c r="W95" s="134" t="s">
        <v>28</v>
      </c>
      <c r="X95" s="134" t="s">
        <v>29</v>
      </c>
      <c r="Y95" s="135" t="s">
        <v>30</v>
      </c>
      <c r="Z95" s="135" t="s">
        <v>31</v>
      </c>
      <c r="AA95" s="135" t="s">
        <v>27</v>
      </c>
      <c r="AB95" s="135" t="s">
        <v>32</v>
      </c>
      <c r="AC95" s="136" t="s">
        <v>33</v>
      </c>
    </row>
    <row r="96" spans="1:29" ht="25.5" customHeight="1" x14ac:dyDescent="0.35">
      <c r="A96" s="195"/>
      <c r="B96" s="196"/>
      <c r="C96" s="128" t="str">
        <f>IF(B96="","",IF(NOT(ISNUMBER(B96)),"DATA_PC invalida",IF(OR(B96&lt;MIN(parametros!$C$2:$C$6),B96&gt;MAX(parametros!$D$2:$D$6)),"Fora dos ciclos",LOOKUP(B96,parametros!$C$2:$C$6,parametros!$B$2:$B$6))))</f>
        <v/>
      </c>
      <c r="D96" s="129"/>
      <c r="E96" s="103" t="str">
        <f>IF(C96="","",IFERROR(VLOOKUP(C96,parametros!$A$11:$E$15,5,0),""))</f>
        <v/>
      </c>
      <c r="F96" s="104" t="str">
        <f t="shared" si="11"/>
        <v/>
      </c>
      <c r="G96" s="130"/>
      <c r="H96" s="119">
        <f t="shared" si="12"/>
        <v>0</v>
      </c>
      <c r="I96" s="119">
        <f t="shared" si="13"/>
        <v>0</v>
      </c>
      <c r="J96" s="119">
        <f t="shared" si="14"/>
        <v>0</v>
      </c>
      <c r="K96" s="121" t="str">
        <f t="shared" si="15"/>
        <v>DATA_PC vazia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34" t="s">
        <v>27</v>
      </c>
      <c r="W96" s="134" t="s">
        <v>28</v>
      </c>
      <c r="X96" s="134" t="s">
        <v>29</v>
      </c>
      <c r="Y96" s="135" t="s">
        <v>30</v>
      </c>
      <c r="Z96" s="135" t="s">
        <v>31</v>
      </c>
      <c r="AA96" s="135" t="s">
        <v>27</v>
      </c>
      <c r="AB96" s="135" t="s">
        <v>32</v>
      </c>
      <c r="AC96" s="136" t="s">
        <v>33</v>
      </c>
    </row>
    <row r="97" spans="1:29" ht="25.5" customHeight="1" x14ac:dyDescent="0.35">
      <c r="A97" s="195"/>
      <c r="B97" s="196"/>
      <c r="C97" s="128" t="str">
        <f>IF(B97="","",IF(NOT(ISNUMBER(B97)),"DATA_PC invalida",IF(OR(B97&lt;MIN(parametros!$C$2:$C$6),B97&gt;MAX(parametros!$D$2:$D$6)),"Fora dos ciclos",LOOKUP(B97,parametros!$C$2:$C$6,parametros!$B$2:$B$6))))</f>
        <v/>
      </c>
      <c r="D97" s="129"/>
      <c r="E97" s="103" t="str">
        <f>IF(C97="","",IFERROR(VLOOKUP(C97,parametros!$A$11:$E$15,5,0),""))</f>
        <v/>
      </c>
      <c r="F97" s="104" t="str">
        <f t="shared" si="11"/>
        <v/>
      </c>
      <c r="G97" s="130"/>
      <c r="H97" s="119">
        <f t="shared" si="12"/>
        <v>0</v>
      </c>
      <c r="I97" s="119">
        <f t="shared" si="13"/>
        <v>0</v>
      </c>
      <c r="J97" s="119">
        <f t="shared" si="14"/>
        <v>0</v>
      </c>
      <c r="K97" s="121" t="str">
        <f t="shared" si="15"/>
        <v>DATA_PC vazia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34" t="s">
        <v>27</v>
      </c>
      <c r="W97" s="134" t="s">
        <v>28</v>
      </c>
      <c r="X97" s="134" t="s">
        <v>29</v>
      </c>
      <c r="Y97" s="135" t="s">
        <v>30</v>
      </c>
      <c r="Z97" s="135" t="s">
        <v>31</v>
      </c>
      <c r="AA97" s="135" t="s">
        <v>27</v>
      </c>
      <c r="AB97" s="135" t="s">
        <v>32</v>
      </c>
      <c r="AC97" s="136" t="s">
        <v>33</v>
      </c>
    </row>
    <row r="98" spans="1:29" ht="25.5" customHeight="1" x14ac:dyDescent="0.35">
      <c r="A98" s="195"/>
      <c r="B98" s="196"/>
      <c r="C98" s="128" t="str">
        <f>IF(B98="","",IF(NOT(ISNUMBER(B98)),"DATA_PC invalida",IF(OR(B98&lt;MIN(parametros!$C$2:$C$6),B98&gt;MAX(parametros!$D$2:$D$6)),"Fora dos ciclos",LOOKUP(B98,parametros!$C$2:$C$6,parametros!$B$2:$B$6))))</f>
        <v/>
      </c>
      <c r="D98" s="129"/>
      <c r="E98" s="103" t="str">
        <f>IF(C98="","",IFERROR(VLOOKUP(C98,parametros!$A$11:$E$15,5,0),""))</f>
        <v/>
      </c>
      <c r="F98" s="104" t="str">
        <f t="shared" ref="F98:F129" si="16">IF(OR(D98="",E98=""),"",ROUND(D98*E98,2))</f>
        <v/>
      </c>
      <c r="G98" s="130"/>
      <c r="H98" s="119">
        <f t="shared" ref="H98:H129" si="17">IF(G98="Sim",IF(OR(F98="",D98=""),"",ROUND(F98-D98,2)),0)</f>
        <v>0</v>
      </c>
      <c r="I98" s="119">
        <f t="shared" si="13"/>
        <v>0</v>
      </c>
      <c r="J98" s="119">
        <f t="shared" si="14"/>
        <v>0</v>
      </c>
      <c r="K98" s="121" t="str">
        <f t="shared" si="15"/>
        <v>DATA_PC vazia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34" t="s">
        <v>27</v>
      </c>
      <c r="W98" s="134" t="s">
        <v>28</v>
      </c>
      <c r="X98" s="134" t="s">
        <v>29</v>
      </c>
      <c r="Y98" s="135" t="s">
        <v>30</v>
      </c>
      <c r="Z98" s="135" t="s">
        <v>31</v>
      </c>
      <c r="AA98" s="135" t="s">
        <v>27</v>
      </c>
      <c r="AB98" s="135" t="s">
        <v>32</v>
      </c>
      <c r="AC98" s="136" t="s">
        <v>33</v>
      </c>
    </row>
    <row r="99" spans="1:29" ht="25.5" customHeight="1" x14ac:dyDescent="0.35">
      <c r="A99" s="195"/>
      <c r="B99" s="196"/>
      <c r="C99" s="128" t="str">
        <f>IF(B99="","",IF(NOT(ISNUMBER(B99)),"DATA_PC invalida",IF(OR(B99&lt;MIN(parametros!$C$2:$C$6),B99&gt;MAX(parametros!$D$2:$D$6)),"Fora dos ciclos",LOOKUP(B99,parametros!$C$2:$C$6,parametros!$B$2:$B$6))))</f>
        <v/>
      </c>
      <c r="D99" s="129"/>
      <c r="E99" s="103" t="str">
        <f>IF(C99="","",IFERROR(VLOOKUP(C99,parametros!$A$11:$E$15,5,0),""))</f>
        <v/>
      </c>
      <c r="F99" s="104" t="str">
        <f t="shared" si="16"/>
        <v/>
      </c>
      <c r="G99" s="130"/>
      <c r="H99" s="119">
        <f t="shared" si="17"/>
        <v>0</v>
      </c>
      <c r="I99" s="119">
        <f t="shared" si="13"/>
        <v>0</v>
      </c>
      <c r="J99" s="119">
        <f t="shared" si="14"/>
        <v>0</v>
      </c>
      <c r="K99" s="121" t="str">
        <f t="shared" si="15"/>
        <v>DATA_PC vazia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34" t="s">
        <v>27</v>
      </c>
      <c r="W99" s="134" t="s">
        <v>28</v>
      </c>
      <c r="X99" s="134" t="s">
        <v>29</v>
      </c>
      <c r="Y99" s="135" t="s">
        <v>30</v>
      </c>
      <c r="Z99" s="135" t="s">
        <v>31</v>
      </c>
      <c r="AA99" s="135" t="s">
        <v>27</v>
      </c>
      <c r="AB99" s="135" t="s">
        <v>32</v>
      </c>
      <c r="AC99" s="136" t="s">
        <v>33</v>
      </c>
    </row>
    <row r="100" spans="1:29" ht="25.5" customHeight="1" x14ac:dyDescent="0.35">
      <c r="A100" s="195"/>
      <c r="B100" s="196"/>
      <c r="C100" s="128" t="str">
        <f>IF(B100="","",IF(NOT(ISNUMBER(B100)),"DATA_PC invalida",IF(OR(B100&lt;MIN(parametros!$C$2:$C$6),B100&gt;MAX(parametros!$D$2:$D$6)),"Fora dos ciclos",LOOKUP(B100,parametros!$C$2:$C$6,parametros!$B$2:$B$6))))</f>
        <v/>
      </c>
      <c r="D100" s="129"/>
      <c r="E100" s="103" t="str">
        <f>IF(C100="","",IFERROR(VLOOKUP(C100,parametros!$A$11:$E$15,5,0),""))</f>
        <v/>
      </c>
      <c r="F100" s="104" t="str">
        <f t="shared" si="16"/>
        <v/>
      </c>
      <c r="G100" s="130"/>
      <c r="H100" s="119">
        <f t="shared" si="17"/>
        <v>0</v>
      </c>
      <c r="I100" s="119">
        <f t="shared" si="13"/>
        <v>0</v>
      </c>
      <c r="J100" s="119">
        <f t="shared" si="14"/>
        <v>0</v>
      </c>
      <c r="K100" s="121" t="str">
        <f t="shared" si="15"/>
        <v>DATA_PC vazia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34" t="s">
        <v>27</v>
      </c>
      <c r="W100" s="134" t="s">
        <v>28</v>
      </c>
      <c r="X100" s="134" t="s">
        <v>29</v>
      </c>
      <c r="Y100" s="135" t="s">
        <v>30</v>
      </c>
      <c r="Z100" s="135" t="s">
        <v>31</v>
      </c>
      <c r="AA100" s="135" t="s">
        <v>27</v>
      </c>
      <c r="AB100" s="135" t="s">
        <v>32</v>
      </c>
      <c r="AC100" s="136" t="s">
        <v>33</v>
      </c>
    </row>
    <row r="101" spans="1:29" x14ac:dyDescent="0.35">
      <c r="B101" s="44"/>
      <c r="C101" s="45"/>
      <c r="D101" s="46"/>
      <c r="E101" s="47"/>
      <c r="F101" s="48"/>
      <c r="G101" s="49"/>
      <c r="H101" s="51"/>
      <c r="I101" s="51"/>
      <c r="J101" s="51"/>
      <c r="K101" s="50"/>
      <c r="L101" s="15"/>
      <c r="M101" s="15"/>
      <c r="N101" s="15"/>
      <c r="O101" s="15"/>
      <c r="P101" s="15"/>
      <c r="Q101" s="15"/>
      <c r="R101" s="15"/>
      <c r="S101" s="15"/>
      <c r="T101" s="15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x14ac:dyDescent="0.35">
      <c r="B102" s="37"/>
      <c r="C102" s="38"/>
      <c r="D102" s="15"/>
      <c r="E102" s="38"/>
      <c r="F102" s="38"/>
      <c r="G102" s="15"/>
      <c r="H102" s="15"/>
      <c r="I102" s="38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x14ac:dyDescent="0.35">
      <c r="B103" s="37"/>
      <c r="C103" s="38"/>
      <c r="D103" s="15"/>
      <c r="E103" s="38"/>
      <c r="F103" s="38"/>
      <c r="G103" s="15"/>
      <c r="H103" s="15"/>
      <c r="I103" s="38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x14ac:dyDescent="0.35">
      <c r="B104" s="37"/>
      <c r="C104" s="38"/>
      <c r="D104" s="15"/>
      <c r="E104" s="38"/>
      <c r="F104" s="38"/>
      <c r="G104" s="15"/>
      <c r="H104" s="15"/>
      <c r="I104" s="38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x14ac:dyDescent="0.35">
      <c r="B105" s="37"/>
      <c r="C105" s="38"/>
      <c r="D105" s="15"/>
      <c r="E105" s="38"/>
      <c r="F105" s="38"/>
      <c r="G105" s="15"/>
      <c r="H105" s="15"/>
      <c r="I105" s="38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x14ac:dyDescent="0.35">
      <c r="B106" s="37"/>
      <c r="C106" s="38"/>
      <c r="D106" s="15"/>
      <c r="E106" s="38"/>
      <c r="F106" s="38"/>
      <c r="G106" s="15"/>
      <c r="H106" s="15"/>
      <c r="I106" s="38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x14ac:dyDescent="0.35">
      <c r="B107" s="37"/>
      <c r="C107" s="38"/>
      <c r="D107" s="15"/>
      <c r="E107" s="38"/>
      <c r="F107" s="38"/>
      <c r="G107" s="15"/>
      <c r="H107" s="15"/>
      <c r="I107" s="38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x14ac:dyDescent="0.35">
      <c r="B108" s="37"/>
      <c r="C108" s="38"/>
      <c r="D108" s="15"/>
      <c r="E108" s="38"/>
      <c r="F108" s="38"/>
      <c r="G108" s="15"/>
      <c r="H108" s="15"/>
      <c r="I108" s="38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x14ac:dyDescent="0.35">
      <c r="B109" s="37"/>
      <c r="C109" s="38"/>
      <c r="D109" s="15"/>
      <c r="E109" s="38"/>
      <c r="F109" s="38"/>
      <c r="G109" s="15"/>
      <c r="H109" s="15"/>
      <c r="I109" s="38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x14ac:dyDescent="0.35">
      <c r="B110" s="37"/>
      <c r="C110" s="38"/>
      <c r="D110" s="15"/>
      <c r="E110" s="38"/>
      <c r="F110" s="38"/>
      <c r="G110" s="15"/>
      <c r="H110" s="15"/>
      <c r="I110" s="38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31"/>
      <c r="V110" s="31"/>
      <c r="W110" s="31"/>
      <c r="X110" s="31"/>
      <c r="Y110" s="31"/>
      <c r="Z110" s="31"/>
      <c r="AA110" s="31"/>
      <c r="AB110" s="31"/>
      <c r="AC110" s="31"/>
    </row>
    <row r="111" spans="1:29" x14ac:dyDescent="0.35">
      <c r="B111" s="37"/>
      <c r="C111" s="38"/>
      <c r="D111" s="15"/>
      <c r="E111" s="38"/>
      <c r="F111" s="38"/>
      <c r="G111" s="15"/>
      <c r="H111" s="15"/>
      <c r="I111" s="38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x14ac:dyDescent="0.35">
      <c r="B112" s="37"/>
      <c r="C112" s="38"/>
      <c r="D112" s="15"/>
      <c r="E112" s="38"/>
      <c r="F112" s="38"/>
      <c r="G112" s="15"/>
      <c r="H112" s="15"/>
      <c r="I112" s="38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2:29" x14ac:dyDescent="0.35">
      <c r="B113" s="37"/>
      <c r="C113" s="38"/>
      <c r="D113" s="15"/>
      <c r="E113" s="38"/>
      <c r="F113" s="38"/>
      <c r="G113" s="15"/>
      <c r="H113" s="15"/>
      <c r="I113" s="38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2:29" x14ac:dyDescent="0.35">
      <c r="B114" s="37"/>
      <c r="C114" s="38"/>
      <c r="D114" s="15"/>
      <c r="E114" s="38"/>
      <c r="F114" s="38"/>
      <c r="G114" s="15"/>
      <c r="H114" s="15"/>
      <c r="I114" s="38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31"/>
      <c r="V114" s="31"/>
      <c r="W114" s="31"/>
      <c r="X114" s="31"/>
      <c r="Y114" s="31"/>
      <c r="Z114" s="31"/>
      <c r="AA114" s="31"/>
      <c r="AB114" s="31"/>
      <c r="AC114" s="31"/>
    </row>
    <row r="115" spans="2:29" x14ac:dyDescent="0.35">
      <c r="B115" s="37"/>
      <c r="C115" s="38"/>
      <c r="D115" s="15"/>
      <c r="E115" s="38"/>
      <c r="F115" s="38"/>
      <c r="G115" s="15"/>
      <c r="H115" s="15"/>
      <c r="I115" s="38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2:29" x14ac:dyDescent="0.35">
      <c r="B116" s="37"/>
      <c r="C116" s="38"/>
      <c r="D116" s="15"/>
      <c r="E116" s="38"/>
      <c r="F116" s="38"/>
      <c r="G116" s="15"/>
      <c r="H116" s="15"/>
      <c r="I116" s="38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2:29" x14ac:dyDescent="0.35">
      <c r="B117" s="37"/>
      <c r="C117" s="38"/>
      <c r="D117" s="15"/>
      <c r="E117" s="38"/>
      <c r="F117" s="38"/>
      <c r="G117" s="15"/>
      <c r="H117" s="15"/>
      <c r="I117" s="38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2:29" x14ac:dyDescent="0.35">
      <c r="B118" s="37"/>
      <c r="C118" s="38"/>
      <c r="D118" s="15"/>
      <c r="E118" s="38"/>
      <c r="F118" s="38"/>
      <c r="G118" s="15"/>
      <c r="H118" s="15"/>
      <c r="I118" s="38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31"/>
      <c r="V118" s="31"/>
      <c r="W118" s="31"/>
      <c r="X118" s="31"/>
      <c r="Y118" s="31"/>
      <c r="Z118" s="31"/>
      <c r="AA118" s="31"/>
      <c r="AB118" s="31"/>
      <c r="AC118" s="31"/>
    </row>
    <row r="119" spans="2:29" x14ac:dyDescent="0.35">
      <c r="B119" s="37"/>
      <c r="C119" s="38"/>
      <c r="D119" s="15"/>
      <c r="E119" s="38"/>
      <c r="F119" s="38"/>
      <c r="G119" s="15"/>
      <c r="H119" s="15"/>
      <c r="I119" s="38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2:29" x14ac:dyDescent="0.35">
      <c r="B120" s="37"/>
      <c r="C120" s="38"/>
      <c r="D120" s="15"/>
      <c r="E120" s="38"/>
      <c r="F120" s="38"/>
      <c r="G120" s="15"/>
      <c r="H120" s="15"/>
      <c r="I120" s="38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2:29" x14ac:dyDescent="0.35">
      <c r="B121" s="37"/>
      <c r="C121" s="38"/>
      <c r="D121" s="15"/>
      <c r="E121" s="38"/>
      <c r="F121" s="38"/>
      <c r="G121" s="15"/>
      <c r="H121" s="15"/>
      <c r="I121" s="38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2:29" x14ac:dyDescent="0.35">
      <c r="B122" s="37"/>
      <c r="C122" s="38"/>
      <c r="D122" s="15"/>
      <c r="E122" s="38"/>
      <c r="F122" s="38"/>
      <c r="G122" s="15"/>
      <c r="H122" s="15"/>
      <c r="I122" s="38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2:29" x14ac:dyDescent="0.35">
      <c r="B123" s="37"/>
      <c r="C123" s="38"/>
      <c r="D123" s="15"/>
      <c r="E123" s="38"/>
      <c r="F123" s="38"/>
      <c r="G123" s="15"/>
      <c r="H123" s="15"/>
      <c r="I123" s="38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31"/>
      <c r="V123" s="31"/>
      <c r="W123" s="31"/>
      <c r="X123" s="31"/>
      <c r="Y123" s="31"/>
      <c r="Z123" s="31"/>
      <c r="AA123" s="31"/>
      <c r="AB123" s="31"/>
      <c r="AC123" s="31"/>
    </row>
    <row r="124" spans="2:29" x14ac:dyDescent="0.35">
      <c r="B124" s="37"/>
      <c r="C124" s="38"/>
      <c r="D124" s="15"/>
      <c r="E124" s="38"/>
      <c r="F124" s="38"/>
      <c r="G124" s="15"/>
      <c r="H124" s="15"/>
      <c r="I124" s="38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2:29" x14ac:dyDescent="0.35">
      <c r="B125" s="37"/>
      <c r="C125" s="38"/>
      <c r="D125" s="15"/>
      <c r="E125" s="38"/>
      <c r="F125" s="38"/>
      <c r="G125" s="15"/>
      <c r="H125" s="15"/>
      <c r="I125" s="38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2:29" x14ac:dyDescent="0.35">
      <c r="B126" s="37"/>
      <c r="C126" s="38"/>
      <c r="D126" s="15"/>
      <c r="E126" s="38"/>
      <c r="F126" s="38"/>
      <c r="G126" s="15"/>
      <c r="H126" s="15"/>
      <c r="I126" s="38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2:29" x14ac:dyDescent="0.35">
      <c r="B127" s="37"/>
      <c r="C127" s="38"/>
      <c r="D127" s="15"/>
      <c r="E127" s="38"/>
      <c r="F127" s="38"/>
      <c r="G127" s="15"/>
      <c r="H127" s="15"/>
      <c r="I127" s="38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2:29" x14ac:dyDescent="0.35">
      <c r="B128" s="37"/>
      <c r="C128" s="38"/>
      <c r="D128" s="15"/>
      <c r="E128" s="38"/>
      <c r="F128" s="38"/>
      <c r="G128" s="15"/>
      <c r="H128" s="15"/>
      <c r="I128" s="38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2:29" x14ac:dyDescent="0.35">
      <c r="B129" s="37"/>
      <c r="C129" s="38"/>
      <c r="D129" s="15"/>
      <c r="E129" s="38"/>
      <c r="F129" s="38"/>
      <c r="G129" s="15"/>
      <c r="H129" s="15"/>
      <c r="I129" s="38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31"/>
      <c r="V129" s="31"/>
      <c r="W129" s="31"/>
      <c r="X129" s="31"/>
      <c r="Y129" s="31"/>
      <c r="Z129" s="31"/>
      <c r="AA129" s="31"/>
      <c r="AB129" s="31"/>
      <c r="AC129" s="31"/>
    </row>
    <row r="130" spans="2:29" x14ac:dyDescent="0.35">
      <c r="B130" s="37"/>
      <c r="C130" s="38"/>
      <c r="D130" s="15"/>
      <c r="E130" s="38"/>
      <c r="F130" s="38"/>
      <c r="G130" s="15"/>
      <c r="H130" s="15"/>
      <c r="I130" s="38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2:29" x14ac:dyDescent="0.35">
      <c r="B131" s="37"/>
      <c r="C131" s="38"/>
      <c r="D131" s="15"/>
      <c r="E131" s="38"/>
      <c r="F131" s="38"/>
      <c r="G131" s="15"/>
      <c r="H131" s="15"/>
      <c r="I131" s="38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2:29" x14ac:dyDescent="0.35">
      <c r="B132" s="37"/>
      <c r="C132" s="38"/>
      <c r="D132" s="15"/>
      <c r="E132" s="38"/>
      <c r="F132" s="38"/>
      <c r="G132" s="15"/>
      <c r="H132" s="15"/>
      <c r="I132" s="38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2:29" x14ac:dyDescent="0.35">
      <c r="B133" s="37"/>
      <c r="C133" s="38"/>
      <c r="D133" s="15"/>
      <c r="E133" s="38"/>
      <c r="F133" s="38"/>
      <c r="G133" s="15"/>
      <c r="H133" s="15"/>
      <c r="I133" s="38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2:29" x14ac:dyDescent="0.35">
      <c r="B134" s="37"/>
      <c r="C134" s="38"/>
      <c r="D134" s="15"/>
      <c r="E134" s="38"/>
      <c r="F134" s="38"/>
      <c r="G134" s="15"/>
      <c r="H134" s="15"/>
      <c r="I134" s="38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2:29" x14ac:dyDescent="0.35">
      <c r="B135" s="37"/>
      <c r="C135" s="38"/>
      <c r="D135" s="15"/>
      <c r="E135" s="38"/>
      <c r="F135" s="38"/>
      <c r="G135" s="15"/>
      <c r="H135" s="15"/>
      <c r="I135" s="38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31"/>
      <c r="V135" s="31"/>
      <c r="W135" s="31"/>
      <c r="X135" s="31"/>
      <c r="Y135" s="31"/>
      <c r="Z135" s="31"/>
      <c r="AA135" s="31"/>
      <c r="AB135" s="31"/>
      <c r="AC135" s="31"/>
    </row>
    <row r="136" spans="2:29" x14ac:dyDescent="0.35">
      <c r="B136" s="37"/>
      <c r="C136" s="38"/>
      <c r="D136" s="15"/>
      <c r="E136" s="38"/>
      <c r="F136" s="38"/>
      <c r="G136" s="15"/>
      <c r="H136" s="15"/>
      <c r="I136" s="38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2:29" x14ac:dyDescent="0.35">
      <c r="B137" s="37"/>
      <c r="C137" s="38"/>
      <c r="D137" s="15"/>
      <c r="E137" s="38"/>
      <c r="F137" s="38"/>
      <c r="G137" s="15"/>
      <c r="H137" s="15"/>
      <c r="I137" s="38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31"/>
      <c r="V137" s="31"/>
      <c r="W137" s="31"/>
      <c r="X137" s="31"/>
      <c r="Y137" s="31"/>
      <c r="Z137" s="31"/>
      <c r="AA137" s="31"/>
      <c r="AB137" s="31"/>
      <c r="AC137" s="31"/>
    </row>
    <row r="138" spans="2:29" x14ac:dyDescent="0.35">
      <c r="B138" s="37"/>
      <c r="C138" s="38"/>
      <c r="D138" s="15"/>
      <c r="E138" s="38"/>
      <c r="F138" s="38"/>
      <c r="G138" s="15"/>
      <c r="H138" s="15"/>
      <c r="I138" s="38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31"/>
      <c r="V138" s="31"/>
      <c r="W138" s="31"/>
      <c r="X138" s="31"/>
      <c r="Y138" s="31"/>
      <c r="Z138" s="31"/>
      <c r="AA138" s="31"/>
      <c r="AB138" s="31"/>
      <c r="AC138" s="31"/>
    </row>
    <row r="139" spans="2:29" x14ac:dyDescent="0.35">
      <c r="B139" s="37"/>
      <c r="C139" s="38"/>
      <c r="D139" s="15"/>
      <c r="E139" s="38"/>
      <c r="F139" s="38"/>
      <c r="G139" s="15"/>
      <c r="H139" s="15"/>
      <c r="I139" s="38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31"/>
      <c r="V139" s="31"/>
      <c r="W139" s="31"/>
      <c r="X139" s="31"/>
      <c r="Y139" s="31"/>
      <c r="Z139" s="31"/>
      <c r="AA139" s="31"/>
      <c r="AB139" s="31"/>
      <c r="AC139" s="31"/>
    </row>
    <row r="140" spans="2:29" x14ac:dyDescent="0.35">
      <c r="B140" s="37"/>
      <c r="C140" s="38"/>
      <c r="D140" s="15"/>
      <c r="E140" s="38"/>
      <c r="F140" s="38"/>
      <c r="G140" s="15"/>
      <c r="H140" s="15"/>
      <c r="I140" s="38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31"/>
      <c r="V140" s="31"/>
      <c r="W140" s="31"/>
      <c r="X140" s="31"/>
      <c r="Y140" s="31"/>
      <c r="Z140" s="31"/>
      <c r="AA140" s="31"/>
      <c r="AB140" s="31"/>
      <c r="AC140" s="31"/>
    </row>
    <row r="141" spans="2:29" x14ac:dyDescent="0.35">
      <c r="B141" s="37"/>
      <c r="C141" s="38"/>
      <c r="D141" s="15"/>
      <c r="E141" s="38"/>
      <c r="F141" s="38"/>
      <c r="G141" s="15"/>
      <c r="H141" s="15"/>
      <c r="I141" s="38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31"/>
      <c r="V141" s="31"/>
      <c r="W141" s="31"/>
      <c r="X141" s="31"/>
      <c r="Y141" s="31"/>
      <c r="Z141" s="31"/>
      <c r="AA141" s="31"/>
      <c r="AB141" s="31"/>
      <c r="AC141" s="31"/>
    </row>
    <row r="142" spans="2:29" x14ac:dyDescent="0.35">
      <c r="B142" s="37"/>
      <c r="C142" s="38"/>
      <c r="D142" s="15"/>
      <c r="E142" s="38"/>
      <c r="F142" s="38"/>
      <c r="G142" s="15"/>
      <c r="H142" s="15"/>
      <c r="I142" s="38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31"/>
      <c r="V142" s="31"/>
      <c r="W142" s="31"/>
      <c r="X142" s="31"/>
      <c r="Y142" s="31"/>
      <c r="Z142" s="31"/>
      <c r="AA142" s="31"/>
      <c r="AB142" s="31"/>
      <c r="AC142" s="31"/>
    </row>
    <row r="143" spans="2:29" x14ac:dyDescent="0.35">
      <c r="B143" s="37"/>
      <c r="C143" s="38"/>
      <c r="D143" s="15"/>
      <c r="E143" s="38"/>
      <c r="F143" s="38"/>
      <c r="G143" s="15"/>
      <c r="H143" s="15"/>
      <c r="I143" s="38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31"/>
      <c r="V143" s="31"/>
      <c r="W143" s="31"/>
      <c r="X143" s="31"/>
      <c r="Y143" s="31"/>
      <c r="Z143" s="31"/>
      <c r="AA143" s="31"/>
      <c r="AB143" s="31"/>
      <c r="AC143" s="31"/>
    </row>
    <row r="144" spans="2:29" x14ac:dyDescent="0.35">
      <c r="B144" s="37"/>
      <c r="C144" s="38"/>
      <c r="D144" s="15"/>
      <c r="E144" s="38"/>
      <c r="F144" s="38"/>
      <c r="G144" s="15"/>
      <c r="H144" s="15"/>
      <c r="I144" s="38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2:29" x14ac:dyDescent="0.35">
      <c r="B145" s="37"/>
      <c r="C145" s="38"/>
      <c r="D145" s="15"/>
      <c r="E145" s="38"/>
      <c r="F145" s="38"/>
      <c r="G145" s="15"/>
      <c r="H145" s="15"/>
      <c r="I145" s="38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31"/>
      <c r="V145" s="31"/>
      <c r="W145" s="31"/>
      <c r="X145" s="31"/>
      <c r="Y145" s="31"/>
      <c r="Z145" s="31"/>
      <c r="AA145" s="31"/>
      <c r="AB145" s="31"/>
      <c r="AC145" s="31"/>
    </row>
    <row r="146" spans="2:29" x14ac:dyDescent="0.35">
      <c r="B146" s="37"/>
      <c r="C146" s="38"/>
      <c r="D146" s="15"/>
      <c r="E146" s="38"/>
      <c r="F146" s="38"/>
      <c r="G146" s="15"/>
      <c r="H146" s="15"/>
      <c r="I146" s="38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31"/>
      <c r="V146" s="31"/>
      <c r="W146" s="31"/>
      <c r="X146" s="31"/>
      <c r="Y146" s="31"/>
      <c r="Z146" s="31"/>
      <c r="AA146" s="31"/>
      <c r="AB146" s="31"/>
      <c r="AC146" s="31"/>
    </row>
    <row r="147" spans="2:29" x14ac:dyDescent="0.35">
      <c r="B147" s="37"/>
      <c r="C147" s="38"/>
      <c r="D147" s="15"/>
      <c r="E147" s="38"/>
      <c r="F147" s="38"/>
      <c r="G147" s="15"/>
      <c r="H147" s="15"/>
      <c r="I147" s="38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31"/>
      <c r="V147" s="31"/>
      <c r="W147" s="31"/>
      <c r="X147" s="31"/>
      <c r="Y147" s="31"/>
      <c r="Z147" s="31"/>
      <c r="AA147" s="31"/>
      <c r="AB147" s="31"/>
      <c r="AC147" s="31"/>
    </row>
    <row r="148" spans="2:29" x14ac:dyDescent="0.35">
      <c r="B148" s="37"/>
      <c r="C148" s="38"/>
      <c r="D148" s="15"/>
      <c r="E148" s="38"/>
      <c r="F148" s="38"/>
      <c r="G148" s="15"/>
      <c r="H148" s="15"/>
      <c r="I148" s="38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31"/>
      <c r="V148" s="31"/>
      <c r="W148" s="31"/>
      <c r="X148" s="31"/>
      <c r="Y148" s="31"/>
      <c r="Z148" s="31"/>
      <c r="AA148" s="31"/>
      <c r="AB148" s="31"/>
      <c r="AC148" s="31"/>
    </row>
    <row r="149" spans="2:29" x14ac:dyDescent="0.35">
      <c r="B149" s="37"/>
      <c r="C149" s="38"/>
      <c r="D149" s="15"/>
      <c r="E149" s="38"/>
      <c r="F149" s="38"/>
      <c r="G149" s="15"/>
      <c r="H149" s="15"/>
      <c r="I149" s="38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31"/>
      <c r="V149" s="31"/>
      <c r="W149" s="31"/>
      <c r="X149" s="31"/>
      <c r="Y149" s="31"/>
      <c r="Z149" s="31"/>
      <c r="AA149" s="31"/>
      <c r="AB149" s="31"/>
      <c r="AC149" s="31"/>
    </row>
    <row r="150" spans="2:29" x14ac:dyDescent="0.35">
      <c r="B150" s="37"/>
      <c r="C150" s="38"/>
      <c r="D150" s="15"/>
      <c r="E150" s="38"/>
      <c r="F150" s="38"/>
      <c r="G150" s="15"/>
      <c r="H150" s="15"/>
      <c r="I150" s="38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31"/>
      <c r="V150" s="31"/>
      <c r="W150" s="31"/>
      <c r="X150" s="31"/>
      <c r="Y150" s="31"/>
      <c r="Z150" s="31"/>
      <c r="AA150" s="31"/>
      <c r="AB150" s="31"/>
      <c r="AC150" s="31"/>
    </row>
    <row r="151" spans="2:29" x14ac:dyDescent="0.35">
      <c r="B151" s="37"/>
      <c r="C151" s="38"/>
      <c r="D151" s="15"/>
      <c r="E151" s="38"/>
      <c r="F151" s="38"/>
      <c r="G151" s="15"/>
      <c r="H151" s="15"/>
      <c r="I151" s="38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31"/>
      <c r="V151" s="31"/>
      <c r="W151" s="31"/>
      <c r="X151" s="31"/>
      <c r="Y151" s="31"/>
      <c r="Z151" s="31"/>
      <c r="AA151" s="31"/>
      <c r="AB151" s="31"/>
      <c r="AC151" s="31"/>
    </row>
    <row r="152" spans="2:29" x14ac:dyDescent="0.35">
      <c r="B152" s="37"/>
      <c r="C152" s="38"/>
      <c r="D152" s="15"/>
      <c r="E152" s="38"/>
      <c r="F152" s="38"/>
      <c r="G152" s="15"/>
      <c r="H152" s="15"/>
      <c r="I152" s="38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31"/>
      <c r="V152" s="31"/>
      <c r="W152" s="31"/>
      <c r="X152" s="31"/>
      <c r="Y152" s="31"/>
      <c r="Z152" s="31"/>
      <c r="AA152" s="31"/>
      <c r="AB152" s="31"/>
      <c r="AC152" s="31"/>
    </row>
    <row r="153" spans="2:29" x14ac:dyDescent="0.35">
      <c r="B153" s="37"/>
      <c r="C153" s="38"/>
      <c r="D153" s="15"/>
      <c r="E153" s="38"/>
      <c r="F153" s="38"/>
      <c r="G153" s="15"/>
      <c r="H153" s="15"/>
      <c r="I153" s="38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31"/>
      <c r="V153" s="31"/>
      <c r="W153" s="31"/>
      <c r="X153" s="31"/>
      <c r="Y153" s="31"/>
      <c r="Z153" s="31"/>
      <c r="AA153" s="31"/>
      <c r="AB153" s="31"/>
      <c r="AC153" s="31"/>
    </row>
    <row r="154" spans="2:29" x14ac:dyDescent="0.35">
      <c r="B154" s="37"/>
      <c r="C154" s="38"/>
      <c r="D154" s="15"/>
      <c r="E154" s="38"/>
      <c r="F154" s="38"/>
      <c r="G154" s="15"/>
      <c r="H154" s="15"/>
      <c r="I154" s="38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2:29" x14ac:dyDescent="0.35">
      <c r="B155" s="37"/>
      <c r="C155" s="38"/>
      <c r="D155" s="15"/>
      <c r="E155" s="38"/>
      <c r="F155" s="38"/>
      <c r="G155" s="15"/>
      <c r="H155" s="15"/>
      <c r="I155" s="38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31"/>
      <c r="V155" s="31"/>
      <c r="W155" s="31"/>
      <c r="X155" s="31"/>
      <c r="Y155" s="31"/>
      <c r="Z155" s="31"/>
      <c r="AA155" s="31"/>
      <c r="AB155" s="31"/>
      <c r="AC155" s="31"/>
    </row>
    <row r="156" spans="2:29" x14ac:dyDescent="0.35">
      <c r="B156" s="37"/>
      <c r="C156" s="38"/>
      <c r="D156" s="15"/>
      <c r="E156" s="38"/>
      <c r="F156" s="38"/>
      <c r="G156" s="15"/>
      <c r="H156" s="15"/>
      <c r="I156" s="38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2:29" x14ac:dyDescent="0.35">
      <c r="B157" s="37"/>
      <c r="C157" s="38"/>
      <c r="D157" s="15"/>
      <c r="E157" s="38"/>
      <c r="F157" s="38"/>
      <c r="G157" s="15"/>
      <c r="H157" s="15"/>
      <c r="I157" s="38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2:29" x14ac:dyDescent="0.35">
      <c r="B158" s="37"/>
      <c r="C158" s="38"/>
      <c r="D158" s="15"/>
      <c r="E158" s="38"/>
      <c r="F158" s="38"/>
      <c r="G158" s="15"/>
      <c r="H158" s="15"/>
      <c r="I158" s="38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31"/>
      <c r="V158" s="31"/>
      <c r="W158" s="31"/>
      <c r="X158" s="31"/>
      <c r="Y158" s="31"/>
      <c r="Z158" s="31"/>
      <c r="AA158" s="31"/>
      <c r="AB158" s="31"/>
      <c r="AC158" s="31"/>
    </row>
    <row r="159" spans="2:29" x14ac:dyDescent="0.35">
      <c r="B159" s="37"/>
      <c r="C159" s="38"/>
      <c r="D159" s="15"/>
      <c r="E159" s="38"/>
      <c r="F159" s="38"/>
      <c r="G159" s="15"/>
      <c r="H159" s="15"/>
      <c r="I159" s="38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31"/>
      <c r="V159" s="31"/>
      <c r="W159" s="31"/>
      <c r="X159" s="31"/>
      <c r="Y159" s="31"/>
      <c r="Z159" s="31"/>
      <c r="AA159" s="31"/>
      <c r="AB159" s="31"/>
      <c r="AC159" s="31"/>
    </row>
    <row r="160" spans="2:29" x14ac:dyDescent="0.35">
      <c r="B160" s="37"/>
      <c r="C160" s="38"/>
      <c r="D160" s="15"/>
      <c r="E160" s="38"/>
      <c r="F160" s="38"/>
      <c r="G160" s="15"/>
      <c r="H160" s="15"/>
      <c r="I160" s="38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31"/>
      <c r="V160" s="31"/>
      <c r="W160" s="31"/>
      <c r="X160" s="31"/>
      <c r="Y160" s="31"/>
      <c r="Z160" s="31"/>
      <c r="AA160" s="31"/>
      <c r="AB160" s="31"/>
      <c r="AC160" s="31"/>
    </row>
    <row r="161" spans="2:29" x14ac:dyDescent="0.35">
      <c r="B161" s="37"/>
      <c r="C161" s="38"/>
      <c r="D161" s="15"/>
      <c r="E161" s="38"/>
      <c r="F161" s="38"/>
      <c r="G161" s="15"/>
      <c r="H161" s="15"/>
      <c r="I161" s="38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31"/>
      <c r="V161" s="31"/>
      <c r="W161" s="31"/>
      <c r="X161" s="31"/>
      <c r="Y161" s="31"/>
      <c r="Z161" s="31"/>
      <c r="AA161" s="31"/>
      <c r="AB161" s="31"/>
      <c r="AC161" s="31"/>
    </row>
    <row r="162" spans="2:29" x14ac:dyDescent="0.35">
      <c r="B162" s="37"/>
      <c r="C162" s="38"/>
      <c r="D162" s="15"/>
      <c r="E162" s="38"/>
      <c r="F162" s="38"/>
      <c r="G162" s="15"/>
      <c r="H162" s="15"/>
      <c r="I162" s="38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31"/>
      <c r="V162" s="31"/>
      <c r="W162" s="31"/>
      <c r="X162" s="31"/>
      <c r="Y162" s="31"/>
      <c r="Z162" s="31"/>
      <c r="AA162" s="31"/>
      <c r="AB162" s="31"/>
      <c r="AC162" s="31"/>
    </row>
    <row r="163" spans="2:29" x14ac:dyDescent="0.35">
      <c r="B163" s="37"/>
      <c r="C163" s="38"/>
      <c r="D163" s="15"/>
      <c r="E163" s="38"/>
      <c r="F163" s="38"/>
      <c r="G163" s="15"/>
      <c r="H163" s="15"/>
      <c r="I163" s="38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31"/>
      <c r="V163" s="31"/>
      <c r="W163" s="31"/>
      <c r="X163" s="31"/>
      <c r="Y163" s="31"/>
      <c r="Z163" s="31"/>
      <c r="AA163" s="31"/>
      <c r="AB163" s="31"/>
      <c r="AC163" s="31"/>
    </row>
    <row r="164" spans="2:29" x14ac:dyDescent="0.35">
      <c r="B164" s="37"/>
      <c r="C164" s="38"/>
      <c r="D164" s="15"/>
      <c r="E164" s="38"/>
      <c r="F164" s="38"/>
      <c r="G164" s="15"/>
      <c r="H164" s="15"/>
      <c r="I164" s="38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31"/>
      <c r="V164" s="31"/>
      <c r="W164" s="31"/>
      <c r="X164" s="31"/>
      <c r="Y164" s="31"/>
      <c r="Z164" s="31"/>
      <c r="AA164" s="31"/>
      <c r="AB164" s="31"/>
      <c r="AC164" s="31"/>
    </row>
    <row r="165" spans="2:29" x14ac:dyDescent="0.35">
      <c r="B165" s="37"/>
      <c r="C165" s="38"/>
      <c r="D165" s="15"/>
      <c r="E165" s="38"/>
      <c r="F165" s="38"/>
      <c r="G165" s="15"/>
      <c r="H165" s="15"/>
      <c r="I165" s="38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31"/>
      <c r="V165" s="31"/>
      <c r="W165" s="31"/>
      <c r="X165" s="31"/>
      <c r="Y165" s="31"/>
      <c r="Z165" s="31"/>
      <c r="AA165" s="31"/>
      <c r="AB165" s="31"/>
      <c r="AC165" s="31"/>
    </row>
    <row r="166" spans="2:29" x14ac:dyDescent="0.35">
      <c r="B166" s="37"/>
      <c r="C166" s="38"/>
      <c r="D166" s="15"/>
      <c r="E166" s="38"/>
      <c r="F166" s="38"/>
      <c r="G166" s="15"/>
      <c r="H166" s="15"/>
      <c r="I166" s="38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31"/>
      <c r="V166" s="31"/>
      <c r="W166" s="31"/>
      <c r="X166" s="31"/>
      <c r="Y166" s="31"/>
      <c r="Z166" s="31"/>
      <c r="AA166" s="31"/>
      <c r="AB166" s="31"/>
      <c r="AC166" s="31"/>
    </row>
    <row r="167" spans="2:29" x14ac:dyDescent="0.35">
      <c r="B167" s="37"/>
      <c r="C167" s="38"/>
      <c r="D167" s="15"/>
      <c r="E167" s="38"/>
      <c r="F167" s="38"/>
      <c r="G167" s="15"/>
      <c r="H167" s="15"/>
      <c r="I167" s="38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31"/>
      <c r="V167" s="31"/>
      <c r="W167" s="31"/>
      <c r="X167" s="31"/>
      <c r="Y167" s="31"/>
      <c r="Z167" s="31"/>
      <c r="AA167" s="31"/>
      <c r="AB167" s="31"/>
      <c r="AC167" s="31"/>
    </row>
    <row r="168" spans="2:29" x14ac:dyDescent="0.35">
      <c r="B168" s="37"/>
      <c r="C168" s="38"/>
      <c r="D168" s="15"/>
      <c r="E168" s="38"/>
      <c r="F168" s="38"/>
      <c r="G168" s="15"/>
      <c r="H168" s="15"/>
      <c r="I168" s="38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31"/>
      <c r="V168" s="31"/>
      <c r="W168" s="31"/>
      <c r="X168" s="31"/>
      <c r="Y168" s="31"/>
      <c r="Z168" s="31"/>
      <c r="AA168" s="31"/>
      <c r="AB168" s="31"/>
      <c r="AC168" s="31"/>
    </row>
    <row r="169" spans="2:29" x14ac:dyDescent="0.35">
      <c r="B169" s="37"/>
      <c r="C169" s="38"/>
      <c r="D169" s="15"/>
      <c r="E169" s="38"/>
      <c r="F169" s="38"/>
      <c r="G169" s="15"/>
      <c r="H169" s="15"/>
      <c r="I169" s="38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31"/>
      <c r="V169" s="31"/>
      <c r="W169" s="31"/>
      <c r="X169" s="31"/>
      <c r="Y169" s="31"/>
      <c r="Z169" s="31"/>
      <c r="AA169" s="31"/>
      <c r="AB169" s="31"/>
      <c r="AC169" s="31"/>
    </row>
    <row r="170" spans="2:29" x14ac:dyDescent="0.35">
      <c r="B170" s="37"/>
      <c r="C170" s="38"/>
      <c r="D170" s="15"/>
      <c r="E170" s="38"/>
      <c r="F170" s="38"/>
      <c r="G170" s="15"/>
      <c r="H170" s="15"/>
      <c r="I170" s="38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31"/>
      <c r="V170" s="31"/>
      <c r="W170" s="31"/>
      <c r="X170" s="31"/>
      <c r="Y170" s="31"/>
      <c r="Z170" s="31"/>
      <c r="AA170" s="31"/>
      <c r="AB170" s="31"/>
      <c r="AC170" s="31"/>
    </row>
    <row r="171" spans="2:29" x14ac:dyDescent="0.35">
      <c r="B171" s="37"/>
      <c r="C171" s="38"/>
      <c r="D171" s="15"/>
      <c r="E171" s="38"/>
      <c r="F171" s="38"/>
      <c r="G171" s="15"/>
      <c r="H171" s="15"/>
      <c r="I171" s="38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31"/>
      <c r="V171" s="31"/>
      <c r="W171" s="31"/>
      <c r="X171" s="31"/>
      <c r="Y171" s="31"/>
      <c r="Z171" s="31"/>
      <c r="AA171" s="31"/>
      <c r="AB171" s="31"/>
      <c r="AC171" s="31"/>
    </row>
    <row r="172" spans="2:29" x14ac:dyDescent="0.35">
      <c r="B172" s="37"/>
      <c r="C172" s="38"/>
      <c r="D172" s="15"/>
      <c r="E172" s="38"/>
      <c r="F172" s="38"/>
      <c r="G172" s="15"/>
      <c r="H172" s="15"/>
      <c r="I172" s="38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31"/>
      <c r="V172" s="31"/>
      <c r="W172" s="31"/>
      <c r="X172" s="31"/>
      <c r="Y172" s="31"/>
      <c r="Z172" s="31"/>
      <c r="AA172" s="31"/>
      <c r="AB172" s="31"/>
      <c r="AC172" s="31"/>
    </row>
    <row r="173" spans="2:29" x14ac:dyDescent="0.35">
      <c r="B173" s="37"/>
      <c r="C173" s="38"/>
      <c r="D173" s="15"/>
      <c r="E173" s="38"/>
      <c r="F173" s="38"/>
      <c r="G173" s="15"/>
      <c r="H173" s="15"/>
      <c r="I173" s="38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31"/>
      <c r="V173" s="31"/>
      <c r="W173" s="31"/>
      <c r="X173" s="31"/>
      <c r="Y173" s="31"/>
      <c r="Z173" s="31"/>
      <c r="AA173" s="31"/>
      <c r="AB173" s="31"/>
      <c r="AC173" s="31"/>
    </row>
    <row r="174" spans="2:29" x14ac:dyDescent="0.35">
      <c r="B174" s="37"/>
      <c r="C174" s="38"/>
      <c r="D174" s="15"/>
      <c r="E174" s="38"/>
      <c r="F174" s="38"/>
      <c r="G174" s="15"/>
      <c r="H174" s="15"/>
      <c r="I174" s="38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2:29" x14ac:dyDescent="0.35">
      <c r="B175" s="37"/>
      <c r="C175" s="38"/>
      <c r="D175" s="15"/>
      <c r="E175" s="38"/>
      <c r="F175" s="38"/>
      <c r="G175" s="15"/>
      <c r="H175" s="15"/>
      <c r="I175" s="38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2:29" x14ac:dyDescent="0.35">
      <c r="B176" s="37"/>
      <c r="C176" s="38"/>
      <c r="D176" s="15"/>
      <c r="E176" s="38"/>
      <c r="F176" s="38"/>
      <c r="G176" s="15"/>
      <c r="H176" s="15"/>
      <c r="I176" s="38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2:29" x14ac:dyDescent="0.35">
      <c r="B177" s="37"/>
      <c r="C177" s="38"/>
      <c r="D177" s="15"/>
      <c r="E177" s="38"/>
      <c r="F177" s="38"/>
      <c r="G177" s="15"/>
      <c r="H177" s="15"/>
      <c r="I177" s="38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31"/>
      <c r="V177" s="31"/>
      <c r="W177" s="31"/>
      <c r="X177" s="31"/>
      <c r="Y177" s="31"/>
      <c r="Z177" s="31"/>
      <c r="AA177" s="31"/>
      <c r="AB177" s="31"/>
      <c r="AC177" s="31"/>
    </row>
    <row r="178" spans="2:29" x14ac:dyDescent="0.35">
      <c r="B178" s="37"/>
      <c r="C178" s="38"/>
      <c r="D178" s="15"/>
      <c r="E178" s="38"/>
      <c r="F178" s="38"/>
      <c r="G178" s="15"/>
      <c r="H178" s="15"/>
      <c r="I178" s="38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31"/>
      <c r="V178" s="31"/>
      <c r="W178" s="31"/>
      <c r="X178" s="31"/>
      <c r="Y178" s="31"/>
      <c r="Z178" s="31"/>
      <c r="AA178" s="31"/>
      <c r="AB178" s="31"/>
      <c r="AC178" s="31"/>
    </row>
    <row r="179" spans="2:29" x14ac:dyDescent="0.35">
      <c r="B179" s="37"/>
      <c r="C179" s="38"/>
      <c r="D179" s="15"/>
      <c r="E179" s="38"/>
      <c r="F179" s="38"/>
      <c r="G179" s="15"/>
      <c r="H179" s="15"/>
      <c r="I179" s="38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31"/>
      <c r="V179" s="31"/>
      <c r="W179" s="31"/>
      <c r="X179" s="31"/>
      <c r="Y179" s="31"/>
      <c r="Z179" s="31"/>
      <c r="AA179" s="31"/>
      <c r="AB179" s="31"/>
      <c r="AC179" s="31"/>
    </row>
    <row r="180" spans="2:29" x14ac:dyDescent="0.35">
      <c r="B180" s="37"/>
      <c r="C180" s="38"/>
      <c r="D180" s="15"/>
      <c r="E180" s="38"/>
      <c r="F180" s="38"/>
      <c r="G180" s="15"/>
      <c r="H180" s="15"/>
      <c r="I180" s="38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2:29" x14ac:dyDescent="0.35">
      <c r="B181" s="37"/>
      <c r="C181" s="38"/>
      <c r="D181" s="15"/>
      <c r="E181" s="38"/>
      <c r="F181" s="38"/>
      <c r="G181" s="15"/>
      <c r="H181" s="15"/>
      <c r="I181" s="38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31"/>
      <c r="V181" s="31"/>
      <c r="W181" s="31"/>
      <c r="X181" s="31"/>
      <c r="Y181" s="31"/>
      <c r="Z181" s="31"/>
      <c r="AA181" s="31"/>
      <c r="AB181" s="31"/>
      <c r="AC181" s="31"/>
    </row>
    <row r="182" spans="2:29" x14ac:dyDescent="0.35">
      <c r="B182" s="37"/>
      <c r="C182" s="38"/>
      <c r="D182" s="15"/>
      <c r="E182" s="38"/>
      <c r="F182" s="38"/>
      <c r="G182" s="15"/>
      <c r="H182" s="15"/>
      <c r="I182" s="38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2:29" x14ac:dyDescent="0.35">
      <c r="B183" s="37"/>
      <c r="C183" s="38"/>
      <c r="D183" s="15"/>
      <c r="E183" s="38"/>
      <c r="F183" s="38"/>
      <c r="G183" s="15"/>
      <c r="H183" s="15"/>
      <c r="I183" s="38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2:29" x14ac:dyDescent="0.35">
      <c r="B184" s="37"/>
      <c r="C184" s="38"/>
      <c r="D184" s="15"/>
      <c r="E184" s="38"/>
      <c r="F184" s="38"/>
      <c r="G184" s="15"/>
      <c r="H184" s="15"/>
      <c r="I184" s="38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2:29" x14ac:dyDescent="0.35">
      <c r="B185" s="37"/>
      <c r="C185" s="38"/>
      <c r="D185" s="15"/>
      <c r="E185" s="38"/>
      <c r="F185" s="38"/>
      <c r="G185" s="15"/>
      <c r="H185" s="15"/>
      <c r="I185" s="38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31"/>
      <c r="V185" s="31"/>
      <c r="W185" s="31"/>
      <c r="X185" s="31"/>
      <c r="Y185" s="31"/>
      <c r="Z185" s="31"/>
      <c r="AA185" s="31"/>
      <c r="AB185" s="31"/>
      <c r="AC185" s="31"/>
    </row>
    <row r="186" spans="2:29" x14ac:dyDescent="0.35">
      <c r="B186" s="37"/>
      <c r="C186" s="38"/>
      <c r="D186" s="15"/>
      <c r="E186" s="38"/>
      <c r="F186" s="38"/>
      <c r="G186" s="15"/>
      <c r="H186" s="15"/>
      <c r="I186" s="38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31"/>
      <c r="V186" s="31"/>
      <c r="W186" s="31"/>
      <c r="X186" s="31"/>
      <c r="Y186" s="31"/>
      <c r="Z186" s="31"/>
      <c r="AA186" s="31"/>
      <c r="AB186" s="31"/>
      <c r="AC186" s="31"/>
    </row>
    <row r="187" spans="2:29" x14ac:dyDescent="0.35">
      <c r="B187" s="37"/>
      <c r="C187" s="38"/>
      <c r="D187" s="15"/>
      <c r="E187" s="38"/>
      <c r="F187" s="38"/>
      <c r="G187" s="15"/>
      <c r="H187" s="15"/>
      <c r="I187" s="38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2:29" x14ac:dyDescent="0.35">
      <c r="B188" s="37"/>
      <c r="C188" s="38"/>
      <c r="D188" s="15"/>
      <c r="E188" s="38"/>
      <c r="F188" s="38"/>
      <c r="G188" s="15"/>
      <c r="H188" s="15"/>
      <c r="I188" s="38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31"/>
      <c r="V188" s="31"/>
      <c r="W188" s="31"/>
      <c r="X188" s="31"/>
      <c r="Y188" s="31"/>
      <c r="Z188" s="31"/>
      <c r="AA188" s="31"/>
      <c r="AB188" s="31"/>
      <c r="AC188" s="31"/>
    </row>
    <row r="189" spans="2:29" x14ac:dyDescent="0.35">
      <c r="B189" s="37"/>
      <c r="C189" s="38"/>
      <c r="D189" s="15"/>
      <c r="E189" s="38"/>
      <c r="F189" s="38"/>
      <c r="G189" s="15"/>
      <c r="H189" s="15"/>
      <c r="I189" s="38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31"/>
      <c r="V189" s="31"/>
      <c r="W189" s="31"/>
      <c r="X189" s="31"/>
      <c r="Y189" s="31"/>
      <c r="Z189" s="31"/>
      <c r="AA189" s="31"/>
      <c r="AB189" s="31"/>
      <c r="AC189" s="31"/>
    </row>
    <row r="190" spans="2:29" x14ac:dyDescent="0.35">
      <c r="B190" s="37"/>
      <c r="C190" s="38"/>
      <c r="D190" s="15"/>
      <c r="E190" s="38"/>
      <c r="F190" s="38"/>
      <c r="G190" s="15"/>
      <c r="H190" s="15"/>
      <c r="I190" s="38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31"/>
      <c r="V190" s="31"/>
      <c r="W190" s="31"/>
      <c r="X190" s="31"/>
      <c r="Y190" s="31"/>
      <c r="Z190" s="31"/>
      <c r="AA190" s="31"/>
      <c r="AB190" s="31"/>
      <c r="AC190" s="31"/>
    </row>
    <row r="191" spans="2:29" x14ac:dyDescent="0.35">
      <c r="B191" s="37"/>
      <c r="C191" s="38"/>
      <c r="D191" s="15"/>
      <c r="E191" s="38"/>
      <c r="F191" s="38"/>
      <c r="G191" s="15"/>
      <c r="H191" s="15"/>
      <c r="I191" s="38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31"/>
      <c r="V191" s="31"/>
      <c r="W191" s="31"/>
      <c r="X191" s="31"/>
      <c r="Y191" s="31"/>
      <c r="Z191" s="31"/>
      <c r="AA191" s="31"/>
      <c r="AB191" s="31"/>
      <c r="AC191" s="31"/>
    </row>
    <row r="192" spans="2:29" x14ac:dyDescent="0.35">
      <c r="B192" s="37"/>
      <c r="C192" s="38"/>
      <c r="D192" s="15"/>
      <c r="E192" s="38"/>
      <c r="F192" s="38"/>
      <c r="G192" s="15"/>
      <c r="H192" s="15"/>
      <c r="I192" s="38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31"/>
      <c r="V192" s="31"/>
      <c r="W192" s="31"/>
      <c r="X192" s="31"/>
      <c r="Y192" s="31"/>
      <c r="Z192" s="31"/>
      <c r="AA192" s="31"/>
      <c r="AB192" s="31"/>
      <c r="AC192" s="31"/>
    </row>
    <row r="193" spans="2:29" x14ac:dyDescent="0.35">
      <c r="B193" s="37"/>
      <c r="C193" s="38"/>
      <c r="D193" s="15"/>
      <c r="E193" s="38"/>
      <c r="F193" s="38"/>
      <c r="G193" s="15"/>
      <c r="H193" s="15"/>
      <c r="I193" s="38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31"/>
      <c r="V193" s="31"/>
      <c r="W193" s="31"/>
      <c r="X193" s="31"/>
      <c r="Y193" s="31"/>
      <c r="Z193" s="31"/>
      <c r="AA193" s="31"/>
      <c r="AB193" s="31"/>
      <c r="AC193" s="31"/>
    </row>
    <row r="194" spans="2:29" x14ac:dyDescent="0.35">
      <c r="B194" s="37"/>
      <c r="C194" s="38"/>
      <c r="D194" s="15"/>
      <c r="E194" s="38"/>
      <c r="F194" s="38"/>
      <c r="G194" s="15"/>
      <c r="H194" s="15"/>
      <c r="I194" s="38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31"/>
      <c r="V194" s="31"/>
      <c r="W194" s="31"/>
      <c r="X194" s="31"/>
      <c r="Y194" s="31"/>
      <c r="Z194" s="31"/>
      <c r="AA194" s="31"/>
      <c r="AB194" s="31"/>
      <c r="AC194" s="31"/>
    </row>
    <row r="195" spans="2:29" x14ac:dyDescent="0.35">
      <c r="B195" s="37"/>
      <c r="C195" s="38"/>
      <c r="D195" s="15"/>
      <c r="E195" s="38"/>
      <c r="F195" s="38"/>
      <c r="G195" s="15"/>
      <c r="H195" s="15"/>
      <c r="I195" s="38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31"/>
      <c r="V195" s="31"/>
      <c r="W195" s="31"/>
      <c r="X195" s="31"/>
      <c r="Y195" s="31"/>
      <c r="Z195" s="31"/>
      <c r="AA195" s="31"/>
      <c r="AB195" s="31"/>
      <c r="AC195" s="31"/>
    </row>
    <row r="196" spans="2:29" x14ac:dyDescent="0.35">
      <c r="B196" s="37"/>
      <c r="C196" s="38"/>
      <c r="D196" s="15"/>
      <c r="E196" s="38"/>
      <c r="F196" s="38"/>
      <c r="G196" s="15"/>
      <c r="H196" s="15"/>
      <c r="I196" s="38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31"/>
      <c r="V196" s="31"/>
      <c r="W196" s="31"/>
      <c r="X196" s="31"/>
      <c r="Y196" s="31"/>
      <c r="Z196" s="31"/>
      <c r="AA196" s="31"/>
      <c r="AB196" s="31"/>
      <c r="AC196" s="31"/>
    </row>
    <row r="197" spans="2:29" x14ac:dyDescent="0.35">
      <c r="B197" s="37"/>
      <c r="C197" s="38"/>
      <c r="D197" s="15"/>
      <c r="E197" s="38"/>
      <c r="F197" s="38"/>
      <c r="G197" s="15"/>
      <c r="H197" s="15"/>
      <c r="I197" s="38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31"/>
      <c r="V197" s="31"/>
      <c r="W197" s="31"/>
      <c r="X197" s="31"/>
      <c r="Y197" s="31"/>
      <c r="Z197" s="31"/>
      <c r="AA197" s="31"/>
      <c r="AB197" s="31"/>
      <c r="AC197" s="31"/>
    </row>
    <row r="198" spans="2:29" x14ac:dyDescent="0.35">
      <c r="B198" s="37"/>
      <c r="C198" s="38"/>
      <c r="D198" s="15"/>
      <c r="E198" s="38"/>
      <c r="F198" s="38"/>
      <c r="G198" s="15"/>
      <c r="H198" s="15"/>
      <c r="I198" s="38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31"/>
      <c r="V198" s="31"/>
      <c r="W198" s="31"/>
      <c r="X198" s="31"/>
      <c r="Y198" s="31"/>
      <c r="Z198" s="31"/>
      <c r="AA198" s="31"/>
      <c r="AB198" s="31"/>
      <c r="AC198" s="31"/>
    </row>
    <row r="199" spans="2:29" x14ac:dyDescent="0.35">
      <c r="B199" s="37"/>
      <c r="C199" s="38"/>
      <c r="D199" s="15"/>
      <c r="E199" s="38"/>
      <c r="F199" s="38"/>
      <c r="G199" s="15"/>
      <c r="H199" s="15"/>
      <c r="I199" s="38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31"/>
      <c r="V199" s="31"/>
      <c r="W199" s="31"/>
      <c r="X199" s="31"/>
      <c r="Y199" s="31"/>
      <c r="Z199" s="31"/>
      <c r="AA199" s="31"/>
      <c r="AB199" s="31"/>
      <c r="AC199" s="31"/>
    </row>
    <row r="200" spans="2:29" x14ac:dyDescent="0.35">
      <c r="B200" s="37"/>
      <c r="C200" s="38"/>
      <c r="D200" s="15"/>
      <c r="E200" s="38"/>
      <c r="F200" s="38"/>
      <c r="G200" s="15"/>
      <c r="H200" s="15"/>
      <c r="I200" s="38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31"/>
      <c r="V200" s="31"/>
      <c r="W200" s="31"/>
      <c r="X200" s="31"/>
      <c r="Y200" s="31"/>
      <c r="Z200" s="31"/>
      <c r="AA200" s="31"/>
      <c r="AB200" s="31"/>
      <c r="AC200" s="31"/>
    </row>
    <row r="201" spans="2:29" x14ac:dyDescent="0.35">
      <c r="B201" s="37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31"/>
      <c r="V201" s="31"/>
      <c r="W201" s="31"/>
      <c r="X201" s="31"/>
      <c r="Y201" s="31"/>
      <c r="Z201" s="31"/>
      <c r="AA201" s="31"/>
      <c r="AB201" s="31"/>
      <c r="AC201" s="31"/>
    </row>
    <row r="202" spans="2:29" x14ac:dyDescent="0.35">
      <c r="B202" s="37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31"/>
      <c r="V202" s="31"/>
      <c r="W202" s="31"/>
      <c r="X202" s="31"/>
      <c r="Y202" s="31"/>
      <c r="Z202" s="31"/>
      <c r="AA202" s="31"/>
      <c r="AB202" s="31"/>
      <c r="AC202" s="31"/>
    </row>
    <row r="203" spans="2:29" x14ac:dyDescent="0.35">
      <c r="B203" s="37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31"/>
      <c r="V203" s="31"/>
      <c r="W203" s="31"/>
      <c r="X203" s="31"/>
      <c r="Y203" s="31"/>
      <c r="Z203" s="31"/>
      <c r="AA203" s="31"/>
      <c r="AB203" s="31"/>
      <c r="AC203" s="31"/>
    </row>
    <row r="204" spans="2:29" x14ac:dyDescent="0.35">
      <c r="B204" s="37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31"/>
      <c r="V204" s="31"/>
      <c r="W204" s="31"/>
      <c r="X204" s="31"/>
      <c r="Y204" s="31"/>
      <c r="Z204" s="31"/>
      <c r="AA204" s="31"/>
      <c r="AB204" s="31"/>
      <c r="AC204" s="31"/>
    </row>
    <row r="205" spans="2:29" x14ac:dyDescent="0.35">
      <c r="B205" s="37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31"/>
      <c r="V205" s="31"/>
      <c r="W205" s="31"/>
      <c r="X205" s="31"/>
      <c r="Y205" s="31"/>
      <c r="Z205" s="31"/>
      <c r="AA205" s="31"/>
      <c r="AB205" s="31"/>
      <c r="AC205" s="31"/>
    </row>
    <row r="206" spans="2:29" x14ac:dyDescent="0.35">
      <c r="B206" s="37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31"/>
      <c r="V206" s="31"/>
      <c r="W206" s="31"/>
      <c r="X206" s="31"/>
      <c r="Y206" s="31"/>
      <c r="Z206" s="31"/>
      <c r="AA206" s="31"/>
      <c r="AB206" s="31"/>
      <c r="AC206" s="31"/>
    </row>
    <row r="207" spans="2:29" x14ac:dyDescent="0.35">
      <c r="B207" s="37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31"/>
      <c r="V207" s="31"/>
      <c r="W207" s="31"/>
      <c r="X207" s="31"/>
      <c r="Y207" s="31"/>
      <c r="Z207" s="31"/>
      <c r="AA207" s="31"/>
      <c r="AB207" s="31"/>
      <c r="AC207" s="31"/>
    </row>
    <row r="208" spans="2:29" x14ac:dyDescent="0.35">
      <c r="B208" s="37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31"/>
      <c r="V208" s="31"/>
      <c r="W208" s="31"/>
      <c r="X208" s="31"/>
      <c r="Y208" s="31"/>
      <c r="Z208" s="31"/>
      <c r="AA208" s="31"/>
      <c r="AB208" s="31"/>
      <c r="AC208" s="31"/>
    </row>
    <row r="209" spans="2:29" x14ac:dyDescent="0.35">
      <c r="B209" s="37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31"/>
      <c r="V209" s="31"/>
      <c r="W209" s="31"/>
      <c r="X209" s="31"/>
      <c r="Y209" s="31"/>
      <c r="Z209" s="31"/>
      <c r="AA209" s="31"/>
      <c r="AB209" s="31"/>
      <c r="AC209" s="31"/>
    </row>
    <row r="210" spans="2:29" x14ac:dyDescent="0.35">
      <c r="B210" s="37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31"/>
      <c r="V210" s="31"/>
      <c r="W210" s="31"/>
      <c r="X210" s="31"/>
      <c r="Y210" s="31"/>
      <c r="Z210" s="31"/>
      <c r="AA210" s="31"/>
      <c r="AB210" s="31"/>
      <c r="AC210" s="31"/>
    </row>
  </sheetData>
  <dataValidations count="1">
    <dataValidation type="list" allowBlank="1" sqref="G2:G100" xr:uid="{00000000-0002-0000-0500-000000000000}">
      <formula1>"Sim,Nao"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00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4" customWidth="1"/>
    <col min="2" max="2" width="18" customWidth="1"/>
    <col min="3" max="3" width="16" customWidth="1"/>
    <col min="4" max="4" width="32" customWidth="1"/>
    <col min="5" max="5" width="25" customWidth="1"/>
    <col min="6" max="6" width="22" customWidth="1"/>
    <col min="7" max="8" width="24" customWidth="1"/>
    <col min="9" max="9" width="22" customWidth="1"/>
    <col min="10" max="10" width="25" customWidth="1"/>
    <col min="11" max="11" width="32" customWidth="1"/>
    <col min="12" max="12" width="24" customWidth="1"/>
    <col min="13" max="13" width="30" customWidth="1"/>
  </cols>
  <sheetData>
    <row r="1" spans="1:13" ht="58" customHeight="1" x14ac:dyDescent="0.35">
      <c r="A1" s="54" t="s">
        <v>115</v>
      </c>
      <c r="B1" s="54" t="s">
        <v>116</v>
      </c>
      <c r="C1" s="54" t="s">
        <v>117</v>
      </c>
      <c r="D1" s="54" t="s">
        <v>118</v>
      </c>
      <c r="E1" s="70" t="s">
        <v>119</v>
      </c>
      <c r="F1" s="71" t="s">
        <v>120</v>
      </c>
      <c r="G1" s="71" t="s">
        <v>121</v>
      </c>
      <c r="H1" s="54" t="s">
        <v>122</v>
      </c>
      <c r="I1" s="54" t="s">
        <v>123</v>
      </c>
      <c r="J1" s="71" t="s">
        <v>124</v>
      </c>
      <c r="K1" s="54" t="s">
        <v>125</v>
      </c>
      <c r="L1" s="83" t="s">
        <v>126</v>
      </c>
      <c r="M1" s="83" t="s">
        <v>98</v>
      </c>
    </row>
    <row r="2" spans="1:13" ht="15.9" customHeight="1" x14ac:dyDescent="0.35">
      <c r="A2" s="137" t="s">
        <v>99</v>
      </c>
      <c r="B2" s="138">
        <v>45458</v>
      </c>
      <c r="C2" s="128" t="str">
        <f>IF(B2="","",IFERROR(IF(AND(B2&gt;=parametros!$C$2,B2&lt;=parametros!$D$2),"C0",IF(AND(B2&gt;=parametros!$C$3,B2&lt;=parametros!$D$3),"C1",IF(AND(B2&gt;=parametros!$C$4,B2&lt;=parametros!$D$4),"C2",IF(AND(B2&gt;=parametros!$C$5,B2&lt;=parametros!$D$5),"C3",IF(AND(B2&gt;=parametros!$C$6,B2&lt;=parametros!$D$6),"C4","Fora dos ciclos"))))),"Fora dos ciclos"))</f>
        <v>C1</v>
      </c>
      <c r="D2" s="137" t="s">
        <v>127</v>
      </c>
      <c r="E2" s="139">
        <v>10</v>
      </c>
      <c r="F2" s="140">
        <f>IF(A2="","",IFERROR(VLOOKUP(A2,itens_Remanesc!$A:$C,3,0),""))</f>
        <v>250</v>
      </c>
      <c r="G2" s="140">
        <f t="shared" ref="G2:G33" si="0">IF(OR(E2="",F2=""),"",ROUND(E2*F2,2))</f>
        <v>2500</v>
      </c>
      <c r="H2" s="137" t="s">
        <v>25</v>
      </c>
      <c r="I2" s="88">
        <f>IFERROR(VLOOKUP(C2,parametros!$B:$F,5,0),"")</f>
        <v>1.0511999999999999</v>
      </c>
      <c r="J2" s="140">
        <f t="shared" ref="J2:J33" si="1">IF(OR(L2="",F2=""),"",ROUND(L2*F2*IF(AND(UPPER(H2)="SIM",ISNUMBER(I2)),I2,1),2))</f>
        <v>2628</v>
      </c>
      <c r="K2" s="137" t="s">
        <v>25</v>
      </c>
      <c r="L2" s="110">
        <f t="shared" ref="L2:L33" si="2">IF(OR(A2="",C2="",D2="",NOT(ISNUMBER(E2))),"",IF(LEFT(UPPER(D2),5)="ACRES",ROUND(ABS(E2),2),IF(OR(LEFT(UPPER(D2),6)="SUPRES",LEFT(UPPER(D2),4)="DECR"),ROUND(-ABS(E2),2),"")))</f>
        <v>10</v>
      </c>
      <c r="M2" s="111" t="str">
        <f>IF(A2="","",IF(COUNTIF(itens_Remanesc!$A$2:$A$200,A2)=0,"ALERTA: ITEM_AUSENTE",IF(COUNTIF(itens_Remanesc!$A$2:$A$200,A2)&gt;1,"ALERTA: ITEM_DUPLICADO",IF(OR(C2="",C2="Fora dos ciclos"),"ALERTA: CICLO_INVALIDO",IF(NOT(ISNUMBER(E2)),"ALERTA: QTD_INVALIDA",IF(AND(LEFT(UPPER(D2),5)&lt;&gt;"ACRES",LEFT(UPPER(D2),6)&lt;&gt;"SUPRES",LEFT(UPPER(D2),4)&lt;&gt;"DECR"),"ALERTA: TIPO_INVALIDO","OK"))))))</f>
        <v>OK</v>
      </c>
    </row>
    <row r="3" spans="1:13" ht="15.9" customHeight="1" x14ac:dyDescent="0.35">
      <c r="A3" s="137"/>
      <c r="B3" s="138"/>
      <c r="C3" s="128" t="str">
        <f>IF(B3="","",IFERROR(IF(AND(B3&gt;=parametros!$C$2,B3&lt;=parametros!$D$2),"C0",IF(AND(B3&gt;=parametros!$C$3,B3&lt;=parametros!$D$3),"C1",IF(AND(B3&gt;=parametros!$C$4,B3&lt;=parametros!$D$4),"C2",IF(AND(B3&gt;=parametros!$C$5,B3&lt;=parametros!$D$5),"C3",IF(AND(B3&gt;=parametros!$C$6,B3&lt;=parametros!$D$6),"C4","Fora dos ciclos"))))),"Fora dos ciclos"))</f>
        <v/>
      </c>
      <c r="D3" s="137"/>
      <c r="E3" s="139"/>
      <c r="F3" s="140" t="str">
        <f>IF(A3="","",IFERROR(VLOOKUP(A3,itens_Remanesc!$A:$C,3,0),""))</f>
        <v/>
      </c>
      <c r="G3" s="140" t="str">
        <f t="shared" si="0"/>
        <v/>
      </c>
      <c r="H3" s="137"/>
      <c r="I3" s="88" t="str">
        <f>IFERROR(VLOOKUP(C3,parametros!$B:$F,5,0),"")</f>
        <v/>
      </c>
      <c r="J3" s="140" t="str">
        <f t="shared" si="1"/>
        <v/>
      </c>
      <c r="K3" s="137"/>
      <c r="L3" s="110" t="str">
        <f t="shared" si="2"/>
        <v/>
      </c>
      <c r="M3" s="111" t="str">
        <f>IF(A3="","",IF(COUNTIF(itens_Remanesc!$A$2:$A$200,A3)=0,"ALERTA: ITEM_AUSENTE",IF(COUNTIF(itens_Remanesc!$A$2:$A$200,A3)&gt;1,"ALERTA: ITEM_DUPLICADO",IF(OR(C3="",C3="Fora dos ciclos"),"ALERTA: CICLO_INVALIDO",IF(NOT(ISNUMBER(E3)),"ALERTA: QTD_INVALIDA",IF(AND(LEFT(UPPER(D3),5)&lt;&gt;"ACRES",LEFT(UPPER(D3),6)&lt;&gt;"SUPRES",LEFT(UPPER(D3),4)&lt;&gt;"DECR"),"ALERTA: TIPO_INVALIDO","OK"))))))</f>
        <v/>
      </c>
    </row>
    <row r="4" spans="1:13" ht="15.9" customHeight="1" x14ac:dyDescent="0.35">
      <c r="A4" s="137"/>
      <c r="B4" s="138"/>
      <c r="C4" s="128" t="str">
        <f>IF(B4="","",IFERROR(IF(AND(B4&gt;=parametros!$C$2,B4&lt;=parametros!$D$2),"C0",IF(AND(B4&gt;=parametros!$C$3,B4&lt;=parametros!$D$3),"C1",IF(AND(B4&gt;=parametros!$C$4,B4&lt;=parametros!$D$4),"C2",IF(AND(B4&gt;=parametros!$C$5,B4&lt;=parametros!$D$5),"C3",IF(AND(B4&gt;=parametros!$C$6,B4&lt;=parametros!$D$6),"C4","Fora dos ciclos"))))),"Fora dos ciclos"))</f>
        <v/>
      </c>
      <c r="D4" s="137"/>
      <c r="E4" s="139"/>
      <c r="F4" s="140" t="str">
        <f>IF(A4="","",IFERROR(VLOOKUP(A4,itens_Remanesc!$A:$C,3,0),""))</f>
        <v/>
      </c>
      <c r="G4" s="140" t="str">
        <f t="shared" si="0"/>
        <v/>
      </c>
      <c r="H4" s="137"/>
      <c r="I4" s="88" t="str">
        <f>IFERROR(VLOOKUP(C4,parametros!$B:$F,5,0),"")</f>
        <v/>
      </c>
      <c r="J4" s="140" t="str">
        <f t="shared" si="1"/>
        <v/>
      </c>
      <c r="K4" s="137"/>
      <c r="L4" s="110" t="str">
        <f t="shared" si="2"/>
        <v/>
      </c>
      <c r="M4" s="111" t="str">
        <f>IF(A4="","",IF(COUNTIF(itens_Remanesc!$A$2:$A$200,A4)=0,"ALERTA: ITEM_AUSENTE",IF(COUNTIF(itens_Remanesc!$A$2:$A$200,A4)&gt;1,"ALERTA: ITEM_DUPLICADO",IF(OR(C4="",C4="Fora dos ciclos"),"ALERTA: CICLO_INVALIDO",IF(NOT(ISNUMBER(E4)),"ALERTA: QTD_INVALIDA",IF(AND(LEFT(UPPER(D4),5)&lt;&gt;"ACRES",LEFT(UPPER(D4),6)&lt;&gt;"SUPRES",LEFT(UPPER(D4),4)&lt;&gt;"DECR"),"ALERTA: TIPO_INVALIDO","OK"))))))</f>
        <v/>
      </c>
    </row>
    <row r="5" spans="1:13" ht="15.9" customHeight="1" x14ac:dyDescent="0.35">
      <c r="A5" s="137"/>
      <c r="B5" s="138"/>
      <c r="C5" s="128" t="str">
        <f>IF(B5="","",IFERROR(IF(AND(B5&gt;=parametros!$C$2,B5&lt;=parametros!$D$2),"C0",IF(AND(B5&gt;=parametros!$C$3,B5&lt;=parametros!$D$3),"C1",IF(AND(B5&gt;=parametros!$C$4,B5&lt;=parametros!$D$4),"C2",IF(AND(B5&gt;=parametros!$C$5,B5&lt;=parametros!$D$5),"C3",IF(AND(B5&gt;=parametros!$C$6,B5&lt;=parametros!$D$6),"C4","Fora dos ciclos"))))),"Fora dos ciclos"))</f>
        <v/>
      </c>
      <c r="D5" s="137"/>
      <c r="E5" s="139"/>
      <c r="F5" s="140"/>
      <c r="G5" s="140" t="str">
        <f t="shared" si="0"/>
        <v/>
      </c>
      <c r="H5" s="137"/>
      <c r="I5" s="88" t="str">
        <f>IFERROR(VLOOKUP(C5,parametros!$B:$F,5,0),"")</f>
        <v/>
      </c>
      <c r="J5" s="140" t="str">
        <f t="shared" si="1"/>
        <v/>
      </c>
      <c r="K5" s="137"/>
      <c r="L5" s="110" t="str">
        <f t="shared" si="2"/>
        <v/>
      </c>
      <c r="M5" s="111" t="str">
        <f>IF(A5="","",IF(COUNTIF(itens_Remanesc!$A$2:$A$200,A5)=0,"ALERTA: ITEM_AUSENTE",IF(COUNTIF(itens_Remanesc!$A$2:$A$200,A5)&gt;1,"ALERTA: ITEM_DUPLICADO",IF(OR(C5="",C5="Fora dos ciclos"),"ALERTA: CICLO_INVALIDO",IF(NOT(ISNUMBER(E5)),"ALERTA: QTD_INVALIDA",IF(AND(LEFT(UPPER(D5),5)&lt;&gt;"ACRES",LEFT(UPPER(D5),6)&lt;&gt;"SUPRES",LEFT(UPPER(D5),4)&lt;&gt;"DECR"),"ALERTA: TIPO_INVALIDO","OK"))))))</f>
        <v/>
      </c>
    </row>
    <row r="6" spans="1:13" ht="15.9" customHeight="1" x14ac:dyDescent="0.35">
      <c r="A6" s="137"/>
      <c r="B6" s="138"/>
      <c r="C6" s="128" t="str">
        <f>IF(B6="","",IFERROR(IF(AND(B6&gt;=parametros!$C$2,B6&lt;=parametros!$D$2),"C0",IF(AND(B6&gt;=parametros!$C$3,B6&lt;=parametros!$D$3),"C1",IF(AND(B6&gt;=parametros!$C$4,B6&lt;=parametros!$D$4),"C2",IF(AND(B6&gt;=parametros!$C$5,B6&lt;=parametros!$D$5),"C3",IF(AND(B6&gt;=parametros!$C$6,B6&lt;=parametros!$D$6),"C4","Fora dos ciclos"))))),"Fora dos ciclos"))</f>
        <v/>
      </c>
      <c r="D6" s="137"/>
      <c r="E6" s="139"/>
      <c r="F6" s="140" t="str">
        <f>IF(A6="","",IFERROR(VLOOKUP(A6,itens_Remanesc!$A:$C,3,0),""))</f>
        <v/>
      </c>
      <c r="G6" s="140" t="str">
        <f t="shared" si="0"/>
        <v/>
      </c>
      <c r="H6" s="137"/>
      <c r="I6" s="88" t="str">
        <f>IFERROR(VLOOKUP(C6,parametros!$B:$F,5,0),"")</f>
        <v/>
      </c>
      <c r="J6" s="140" t="str">
        <f t="shared" si="1"/>
        <v/>
      </c>
      <c r="K6" s="137"/>
      <c r="L6" s="110" t="str">
        <f t="shared" si="2"/>
        <v/>
      </c>
      <c r="M6" s="111" t="str">
        <f>IF(A6="","",IF(COUNTIF(itens_Remanesc!$A$2:$A$200,A6)=0,"ALERTA: ITEM_AUSENTE",IF(COUNTIF(itens_Remanesc!$A$2:$A$200,A6)&gt;1,"ALERTA: ITEM_DUPLICADO",IF(OR(C6="",C6="Fora dos ciclos"),"ALERTA: CICLO_INVALIDO",IF(NOT(ISNUMBER(E6)),"ALERTA: QTD_INVALIDA",IF(AND(LEFT(UPPER(D6),5)&lt;&gt;"ACRES",LEFT(UPPER(D6),6)&lt;&gt;"SUPRES",LEFT(UPPER(D6),4)&lt;&gt;"DECR"),"ALERTA: TIPO_INVALIDO","OK"))))))</f>
        <v/>
      </c>
    </row>
    <row r="7" spans="1:13" ht="15.9" customHeight="1" x14ac:dyDescent="0.35">
      <c r="A7" s="137"/>
      <c r="B7" s="138"/>
      <c r="C7" s="128" t="str">
        <f>IF(B7="","",IFERROR(IF(AND(B7&gt;=parametros!$C$2,B7&lt;=parametros!$D$2),"C0",IF(AND(B7&gt;=parametros!$C$3,B7&lt;=parametros!$D$3),"C1",IF(AND(B7&gt;=parametros!$C$4,B7&lt;=parametros!$D$4),"C2",IF(AND(B7&gt;=parametros!$C$5,B7&lt;=parametros!$D$5),"C3",IF(AND(B7&gt;=parametros!$C$6,B7&lt;=parametros!$D$6),"C4","Fora dos ciclos"))))),"Fora dos ciclos"))</f>
        <v/>
      </c>
      <c r="D7" s="137"/>
      <c r="E7" s="139"/>
      <c r="F7" s="140" t="str">
        <f>IF(A7="","",IFERROR(VLOOKUP(A7,itens_Remanesc!$A:$C,3,0),""))</f>
        <v/>
      </c>
      <c r="G7" s="140" t="str">
        <f t="shared" si="0"/>
        <v/>
      </c>
      <c r="H7" s="137"/>
      <c r="I7" s="88" t="str">
        <f>IFERROR(VLOOKUP(C7,parametros!$B:$F,5,0),"")</f>
        <v/>
      </c>
      <c r="J7" s="140" t="str">
        <f t="shared" si="1"/>
        <v/>
      </c>
      <c r="K7" s="137"/>
      <c r="L7" s="110" t="str">
        <f t="shared" si="2"/>
        <v/>
      </c>
      <c r="M7" s="111" t="str">
        <f>IF(A7="","",IF(COUNTIF(itens_Remanesc!$A$2:$A$200,A7)=0,"ALERTA: ITEM_AUSENTE",IF(COUNTIF(itens_Remanesc!$A$2:$A$200,A7)&gt;1,"ALERTA: ITEM_DUPLICADO",IF(OR(C7="",C7="Fora dos ciclos"),"ALERTA: CICLO_INVALIDO",IF(NOT(ISNUMBER(E7)),"ALERTA: QTD_INVALIDA",IF(AND(LEFT(UPPER(D7),5)&lt;&gt;"ACRES",LEFT(UPPER(D7),6)&lt;&gt;"SUPRES",LEFT(UPPER(D7),4)&lt;&gt;"DECR"),"ALERTA: TIPO_INVALIDO","OK"))))))</f>
        <v/>
      </c>
    </row>
    <row r="8" spans="1:13" ht="15.9" customHeight="1" x14ac:dyDescent="0.35">
      <c r="A8" s="137"/>
      <c r="B8" s="138"/>
      <c r="C8" s="128" t="str">
        <f>IF(B8="","",IFERROR(IF(AND(B8&gt;=parametros!$C$2,B8&lt;=parametros!$D$2),"C0",IF(AND(B8&gt;=parametros!$C$3,B8&lt;=parametros!$D$3),"C1",IF(AND(B8&gt;=parametros!$C$4,B8&lt;=parametros!$D$4),"C2",IF(AND(B8&gt;=parametros!$C$5,B8&lt;=parametros!$D$5),"C3",IF(AND(B8&gt;=parametros!$C$6,B8&lt;=parametros!$D$6),"C4","Fora dos ciclos"))))),"Fora dos ciclos"))</f>
        <v/>
      </c>
      <c r="D8" s="137"/>
      <c r="E8" s="139"/>
      <c r="F8" s="140" t="str">
        <f>IF(A8="","",IFERROR(VLOOKUP(A8,itens_Remanesc!$A:$C,3,0),""))</f>
        <v/>
      </c>
      <c r="G8" s="140" t="str">
        <f t="shared" si="0"/>
        <v/>
      </c>
      <c r="H8" s="137"/>
      <c r="I8" s="88" t="str">
        <f>IFERROR(VLOOKUP(C8,parametros!$B:$F,5,0),"")</f>
        <v/>
      </c>
      <c r="J8" s="140" t="str">
        <f t="shared" si="1"/>
        <v/>
      </c>
      <c r="K8" s="137"/>
      <c r="L8" s="110" t="str">
        <f t="shared" si="2"/>
        <v/>
      </c>
      <c r="M8" s="111" t="str">
        <f>IF(A8="","",IF(COUNTIF(itens_Remanesc!$A$2:$A$200,A8)=0,"ALERTA: ITEM_AUSENTE",IF(COUNTIF(itens_Remanesc!$A$2:$A$200,A8)&gt;1,"ALERTA: ITEM_DUPLICADO",IF(OR(C8="",C8="Fora dos ciclos"),"ALERTA: CICLO_INVALIDO",IF(NOT(ISNUMBER(E8)),"ALERTA: QTD_INVALIDA",IF(AND(LEFT(UPPER(D8),5)&lt;&gt;"ACRES",LEFT(UPPER(D8),6)&lt;&gt;"SUPRES",LEFT(UPPER(D8),4)&lt;&gt;"DECR"),"ALERTA: TIPO_INVALIDO","OK"))))))</f>
        <v/>
      </c>
    </row>
    <row r="9" spans="1:13" ht="15.9" customHeight="1" x14ac:dyDescent="0.35">
      <c r="A9" s="137"/>
      <c r="B9" s="138"/>
      <c r="C9" s="128" t="str">
        <f>IF(B9="","",IFERROR(IF(AND(B9&gt;=parametros!$C$2,B9&lt;=parametros!$D$2),"C0",IF(AND(B9&gt;=parametros!$C$3,B9&lt;=parametros!$D$3),"C1",IF(AND(B9&gt;=parametros!$C$4,B9&lt;=parametros!$D$4),"C2",IF(AND(B9&gt;=parametros!$C$5,B9&lt;=parametros!$D$5),"C3",IF(AND(B9&gt;=parametros!$C$6,B9&lt;=parametros!$D$6),"C4","Fora dos ciclos"))))),"Fora dos ciclos"))</f>
        <v/>
      </c>
      <c r="D9" s="137"/>
      <c r="E9" s="139"/>
      <c r="F9" s="140" t="str">
        <f>IF(A9="","",IFERROR(VLOOKUP(A9,itens_Remanesc!$A:$C,3,0),""))</f>
        <v/>
      </c>
      <c r="G9" s="140" t="str">
        <f t="shared" si="0"/>
        <v/>
      </c>
      <c r="H9" s="137"/>
      <c r="I9" s="88" t="str">
        <f>IFERROR(VLOOKUP(C9,parametros!$B:$F,5,0),"")</f>
        <v/>
      </c>
      <c r="J9" s="140" t="str">
        <f t="shared" si="1"/>
        <v/>
      </c>
      <c r="K9" s="137"/>
      <c r="L9" s="110" t="str">
        <f t="shared" si="2"/>
        <v/>
      </c>
      <c r="M9" s="111" t="str">
        <f>IF(A9="","",IF(COUNTIF(itens_Remanesc!$A$2:$A$200,A9)=0,"ALERTA: ITEM_AUSENTE",IF(COUNTIF(itens_Remanesc!$A$2:$A$200,A9)&gt;1,"ALERTA: ITEM_DUPLICADO",IF(OR(C9="",C9="Fora dos ciclos"),"ALERTA: CICLO_INVALIDO",IF(NOT(ISNUMBER(E9)),"ALERTA: QTD_INVALIDA",IF(AND(LEFT(UPPER(D9),5)&lt;&gt;"ACRES",LEFT(UPPER(D9),6)&lt;&gt;"SUPRES",LEFT(UPPER(D9),4)&lt;&gt;"DECR"),"ALERTA: TIPO_INVALIDO","OK"))))))</f>
        <v/>
      </c>
    </row>
    <row r="10" spans="1:13" ht="15.9" customHeight="1" x14ac:dyDescent="0.35">
      <c r="A10" s="137"/>
      <c r="B10" s="138"/>
      <c r="C10" s="128" t="str">
        <f>IF(B10="","",IFERROR(IF(AND(B10&gt;=parametros!$C$2,B10&lt;=parametros!$D$2),"C0",IF(AND(B10&gt;=parametros!$C$3,B10&lt;=parametros!$D$3),"C1",IF(AND(B10&gt;=parametros!$C$4,B10&lt;=parametros!$D$4),"C2",IF(AND(B10&gt;=parametros!$C$5,B10&lt;=parametros!$D$5),"C3",IF(AND(B10&gt;=parametros!$C$6,B10&lt;=parametros!$D$6),"C4","Fora dos ciclos"))))),"Fora dos ciclos"))</f>
        <v/>
      </c>
      <c r="D10" s="137"/>
      <c r="E10" s="139"/>
      <c r="F10" s="140" t="str">
        <f>IF(A10="","",IFERROR(VLOOKUP(A10,itens_Remanesc!$A:$C,3,0),""))</f>
        <v/>
      </c>
      <c r="G10" s="140" t="str">
        <f t="shared" si="0"/>
        <v/>
      </c>
      <c r="H10" s="137"/>
      <c r="I10" s="88" t="str">
        <f>IFERROR(VLOOKUP(C10,parametros!$B:$F,5,0),"")</f>
        <v/>
      </c>
      <c r="J10" s="140" t="str">
        <f t="shared" si="1"/>
        <v/>
      </c>
      <c r="K10" s="137"/>
      <c r="L10" s="110" t="str">
        <f t="shared" si="2"/>
        <v/>
      </c>
      <c r="M10" s="111" t="str">
        <f>IF(A10="","",IF(COUNTIF(itens_Remanesc!$A$2:$A$200,A10)=0,"ALERTA: ITEM_AUSENTE",IF(COUNTIF(itens_Remanesc!$A$2:$A$200,A10)&gt;1,"ALERTA: ITEM_DUPLICADO",IF(OR(C10="",C10="Fora dos ciclos"),"ALERTA: CICLO_INVALIDO",IF(NOT(ISNUMBER(E10)),"ALERTA: QTD_INVALIDA",IF(AND(LEFT(UPPER(D10),5)&lt;&gt;"ACRES",LEFT(UPPER(D10),6)&lt;&gt;"SUPRES",LEFT(UPPER(D10),4)&lt;&gt;"DECR"),"ALERTA: TIPO_INVALIDO","OK"))))))</f>
        <v/>
      </c>
    </row>
    <row r="11" spans="1:13" ht="15.9" customHeight="1" x14ac:dyDescent="0.35">
      <c r="A11" s="137"/>
      <c r="B11" s="138"/>
      <c r="C11" s="128" t="str">
        <f>IF(B11="","",IFERROR(IF(AND(B11&gt;=parametros!$C$2,B11&lt;=parametros!$D$2),"C0",IF(AND(B11&gt;=parametros!$C$3,B11&lt;=parametros!$D$3),"C1",IF(AND(B11&gt;=parametros!$C$4,B11&lt;=parametros!$D$4),"C2",IF(AND(B11&gt;=parametros!$C$5,B11&lt;=parametros!$D$5),"C3",IF(AND(B11&gt;=parametros!$C$6,B11&lt;=parametros!$D$6),"C4","Fora dos ciclos"))))),"Fora dos ciclos"))</f>
        <v/>
      </c>
      <c r="D11" s="137"/>
      <c r="E11" s="139"/>
      <c r="F11" s="140" t="str">
        <f>IF(A11="","",IFERROR(VLOOKUP(A11,itens_Remanesc!$A:$C,3,0),""))</f>
        <v/>
      </c>
      <c r="G11" s="140" t="str">
        <f t="shared" si="0"/>
        <v/>
      </c>
      <c r="H11" s="137"/>
      <c r="I11" s="88" t="str">
        <f>IFERROR(VLOOKUP(C11,parametros!$B:$F,5,0),"")</f>
        <v/>
      </c>
      <c r="J11" s="140" t="str">
        <f t="shared" si="1"/>
        <v/>
      </c>
      <c r="K11" s="137"/>
      <c r="L11" s="110" t="str">
        <f t="shared" si="2"/>
        <v/>
      </c>
      <c r="M11" s="111" t="str">
        <f>IF(A11="","",IF(COUNTIF(itens_Remanesc!$A$2:$A$200,A11)=0,"ALERTA: ITEM_AUSENTE",IF(COUNTIF(itens_Remanesc!$A$2:$A$200,A11)&gt;1,"ALERTA: ITEM_DUPLICADO",IF(OR(C11="",C11="Fora dos ciclos"),"ALERTA: CICLO_INVALIDO",IF(NOT(ISNUMBER(E11)),"ALERTA: QTD_INVALIDA",IF(AND(LEFT(UPPER(D11),5)&lt;&gt;"ACRES",LEFT(UPPER(D11),6)&lt;&gt;"SUPRES",LEFT(UPPER(D11),4)&lt;&gt;"DECR"),"ALERTA: TIPO_INVALIDO","OK"))))))</f>
        <v/>
      </c>
    </row>
    <row r="12" spans="1:13" ht="15.9" customHeight="1" x14ac:dyDescent="0.35">
      <c r="A12" s="137"/>
      <c r="B12" s="138"/>
      <c r="C12" s="128" t="str">
        <f>IF(B12="","",IFERROR(IF(AND(B12&gt;=parametros!$C$2,B12&lt;=parametros!$D$2),"C0",IF(AND(B12&gt;=parametros!$C$3,B12&lt;=parametros!$D$3),"C1",IF(AND(B12&gt;=parametros!$C$4,B12&lt;=parametros!$D$4),"C2",IF(AND(B12&gt;=parametros!$C$5,B12&lt;=parametros!$D$5),"C3",IF(AND(B12&gt;=parametros!$C$6,B12&lt;=parametros!$D$6),"C4","Fora dos ciclos"))))),"Fora dos ciclos"))</f>
        <v/>
      </c>
      <c r="D12" s="137"/>
      <c r="E12" s="139"/>
      <c r="F12" s="140" t="str">
        <f>IF(A12="","",IFERROR(VLOOKUP(A12,itens_Remanesc!$A:$C,3,0),""))</f>
        <v/>
      </c>
      <c r="G12" s="140" t="str">
        <f t="shared" si="0"/>
        <v/>
      </c>
      <c r="H12" s="137"/>
      <c r="I12" s="88" t="str">
        <f>IFERROR(VLOOKUP(C12,parametros!$B:$F,5,0),"")</f>
        <v/>
      </c>
      <c r="J12" s="140" t="str">
        <f t="shared" si="1"/>
        <v/>
      </c>
      <c r="K12" s="137"/>
      <c r="L12" s="110" t="str">
        <f t="shared" si="2"/>
        <v/>
      </c>
      <c r="M12" s="111" t="str">
        <f>IF(A12="","",IF(COUNTIF(itens_Remanesc!$A$2:$A$200,A12)=0,"ALERTA: ITEM_AUSENTE",IF(COUNTIF(itens_Remanesc!$A$2:$A$200,A12)&gt;1,"ALERTA: ITEM_DUPLICADO",IF(OR(C12="",C12="Fora dos ciclos"),"ALERTA: CICLO_INVALIDO",IF(NOT(ISNUMBER(E12)),"ALERTA: QTD_INVALIDA",IF(AND(LEFT(UPPER(D12),5)&lt;&gt;"ACRES",LEFT(UPPER(D12),6)&lt;&gt;"SUPRES",LEFT(UPPER(D12),4)&lt;&gt;"DECR"),"ALERTA: TIPO_INVALIDO","OK"))))))</f>
        <v/>
      </c>
    </row>
    <row r="13" spans="1:13" ht="15.9" customHeight="1" x14ac:dyDescent="0.35">
      <c r="A13" s="137"/>
      <c r="B13" s="138"/>
      <c r="C13" s="128" t="str">
        <f>IF(B13="","",IFERROR(IF(AND(B13&gt;=parametros!$C$2,B13&lt;=parametros!$D$2),"C0",IF(AND(B13&gt;=parametros!$C$3,B13&lt;=parametros!$D$3),"C1",IF(AND(B13&gt;=parametros!$C$4,B13&lt;=parametros!$D$4),"C2",IF(AND(B13&gt;=parametros!$C$5,B13&lt;=parametros!$D$5),"C3",IF(AND(B13&gt;=parametros!$C$6,B13&lt;=parametros!$D$6),"C4","Fora dos ciclos"))))),"Fora dos ciclos"))</f>
        <v/>
      </c>
      <c r="D13" s="137"/>
      <c r="E13" s="139"/>
      <c r="F13" s="140" t="str">
        <f>IF(A13="","",IFERROR(VLOOKUP(A13,itens_Remanesc!$A:$C,3,0),""))</f>
        <v/>
      </c>
      <c r="G13" s="140" t="str">
        <f t="shared" si="0"/>
        <v/>
      </c>
      <c r="H13" s="137"/>
      <c r="I13" s="88" t="str">
        <f>IFERROR(VLOOKUP(C13,parametros!$B:$F,5,0),"")</f>
        <v/>
      </c>
      <c r="J13" s="140" t="str">
        <f t="shared" si="1"/>
        <v/>
      </c>
      <c r="K13" s="137"/>
      <c r="L13" s="110" t="str">
        <f t="shared" si="2"/>
        <v/>
      </c>
      <c r="M13" s="111" t="str">
        <f>IF(A13="","",IF(COUNTIF(itens_Remanesc!$A$2:$A$200,A13)=0,"ALERTA: ITEM_AUSENTE",IF(COUNTIF(itens_Remanesc!$A$2:$A$200,A13)&gt;1,"ALERTA: ITEM_DUPLICADO",IF(OR(C13="",C13="Fora dos ciclos"),"ALERTA: CICLO_INVALIDO",IF(NOT(ISNUMBER(E13)),"ALERTA: QTD_INVALIDA",IF(AND(LEFT(UPPER(D13),5)&lt;&gt;"ACRES",LEFT(UPPER(D13),6)&lt;&gt;"SUPRES",LEFT(UPPER(D13),4)&lt;&gt;"DECR"),"ALERTA: TIPO_INVALIDO","OK"))))))</f>
        <v/>
      </c>
    </row>
    <row r="14" spans="1:13" ht="15.9" customHeight="1" x14ac:dyDescent="0.35">
      <c r="A14" s="137"/>
      <c r="B14" s="138"/>
      <c r="C14" s="128" t="str">
        <f>IF(B14="","",IFERROR(IF(AND(B14&gt;=parametros!$C$2,B14&lt;=parametros!$D$2),"C0",IF(AND(B14&gt;=parametros!$C$3,B14&lt;=parametros!$D$3),"C1",IF(AND(B14&gt;=parametros!$C$4,B14&lt;=parametros!$D$4),"C2",IF(AND(B14&gt;=parametros!$C$5,B14&lt;=parametros!$D$5),"C3",IF(AND(B14&gt;=parametros!$C$6,B14&lt;=parametros!$D$6),"C4","Fora dos ciclos"))))),"Fora dos ciclos"))</f>
        <v/>
      </c>
      <c r="D14" s="137"/>
      <c r="E14" s="139"/>
      <c r="F14" s="140" t="str">
        <f>IF(A14="","",IFERROR(VLOOKUP(A14,itens_Remanesc!$A:$C,3,0),""))</f>
        <v/>
      </c>
      <c r="G14" s="140" t="str">
        <f t="shared" si="0"/>
        <v/>
      </c>
      <c r="H14" s="137"/>
      <c r="I14" s="88" t="str">
        <f>IFERROR(VLOOKUP(C14,parametros!$B:$F,5,0),"")</f>
        <v/>
      </c>
      <c r="J14" s="140" t="str">
        <f t="shared" si="1"/>
        <v/>
      </c>
      <c r="K14" s="137"/>
      <c r="L14" s="110" t="str">
        <f t="shared" si="2"/>
        <v/>
      </c>
      <c r="M14" s="111" t="str">
        <f>IF(A14="","",IF(COUNTIF(itens_Remanesc!$A$2:$A$200,A14)=0,"ALERTA: ITEM_AUSENTE",IF(COUNTIF(itens_Remanesc!$A$2:$A$200,A14)&gt;1,"ALERTA: ITEM_DUPLICADO",IF(OR(C14="",C14="Fora dos ciclos"),"ALERTA: CICLO_INVALIDO",IF(NOT(ISNUMBER(E14)),"ALERTA: QTD_INVALIDA",IF(AND(LEFT(UPPER(D14),5)&lt;&gt;"ACRES",LEFT(UPPER(D14),6)&lt;&gt;"SUPRES",LEFT(UPPER(D14),4)&lt;&gt;"DECR"),"ALERTA: TIPO_INVALIDO","OK"))))))</f>
        <v/>
      </c>
    </row>
    <row r="15" spans="1:13" ht="15.9" customHeight="1" x14ac:dyDescent="0.35">
      <c r="A15" s="137"/>
      <c r="B15" s="138"/>
      <c r="C15" s="128" t="str">
        <f>IF(B15="","",IFERROR(IF(AND(B15&gt;=parametros!$C$2,B15&lt;=parametros!$D$2),"C0",IF(AND(B15&gt;=parametros!$C$3,B15&lt;=parametros!$D$3),"C1",IF(AND(B15&gt;=parametros!$C$4,B15&lt;=parametros!$D$4),"C2",IF(AND(B15&gt;=parametros!$C$5,B15&lt;=parametros!$D$5),"C3",IF(AND(B15&gt;=parametros!$C$6,B15&lt;=parametros!$D$6),"C4","Fora dos ciclos"))))),"Fora dos ciclos"))</f>
        <v/>
      </c>
      <c r="D15" s="137"/>
      <c r="E15" s="139"/>
      <c r="F15" s="140" t="str">
        <f>IF(A15="","",IFERROR(VLOOKUP(A15,itens_Remanesc!$A:$C,3,0),""))</f>
        <v/>
      </c>
      <c r="G15" s="140" t="str">
        <f t="shared" si="0"/>
        <v/>
      </c>
      <c r="H15" s="137"/>
      <c r="I15" s="88" t="str">
        <f>IFERROR(VLOOKUP(C15,parametros!$B:$F,5,0),"")</f>
        <v/>
      </c>
      <c r="J15" s="140" t="str">
        <f t="shared" si="1"/>
        <v/>
      </c>
      <c r="K15" s="137"/>
      <c r="L15" s="110" t="str">
        <f t="shared" si="2"/>
        <v/>
      </c>
      <c r="M15" s="111" t="str">
        <f>IF(A15="","",IF(COUNTIF(itens_Remanesc!$A$2:$A$200,A15)=0,"ALERTA: ITEM_AUSENTE",IF(COUNTIF(itens_Remanesc!$A$2:$A$200,A15)&gt;1,"ALERTA: ITEM_DUPLICADO",IF(OR(C15="",C15="Fora dos ciclos"),"ALERTA: CICLO_INVALIDO",IF(NOT(ISNUMBER(E15)),"ALERTA: QTD_INVALIDA",IF(AND(LEFT(UPPER(D15),5)&lt;&gt;"ACRES",LEFT(UPPER(D15),6)&lt;&gt;"SUPRES",LEFT(UPPER(D15),4)&lt;&gt;"DECR"),"ALERTA: TIPO_INVALIDO","OK"))))))</f>
        <v/>
      </c>
    </row>
    <row r="16" spans="1:13" ht="15.9" customHeight="1" x14ac:dyDescent="0.35">
      <c r="A16" s="137"/>
      <c r="B16" s="138"/>
      <c r="C16" s="128" t="str">
        <f>IF(B16="","",IFERROR(IF(AND(B16&gt;=parametros!$C$2,B16&lt;=parametros!$D$2),"C0",IF(AND(B16&gt;=parametros!$C$3,B16&lt;=parametros!$D$3),"C1",IF(AND(B16&gt;=parametros!$C$4,B16&lt;=parametros!$D$4),"C2",IF(AND(B16&gt;=parametros!$C$5,B16&lt;=parametros!$D$5),"C3",IF(AND(B16&gt;=parametros!$C$6,B16&lt;=parametros!$D$6),"C4","Fora dos ciclos"))))),"Fora dos ciclos"))</f>
        <v/>
      </c>
      <c r="D16" s="137"/>
      <c r="E16" s="139"/>
      <c r="F16" s="140" t="str">
        <f>IF(A16="","",IFERROR(VLOOKUP(A16,itens_Remanesc!$A:$C,3,0),""))</f>
        <v/>
      </c>
      <c r="G16" s="140" t="str">
        <f t="shared" si="0"/>
        <v/>
      </c>
      <c r="H16" s="137"/>
      <c r="I16" s="88" t="str">
        <f>IFERROR(VLOOKUP(C16,parametros!$B:$F,5,0),"")</f>
        <v/>
      </c>
      <c r="J16" s="140" t="str">
        <f t="shared" si="1"/>
        <v/>
      </c>
      <c r="K16" s="137"/>
      <c r="L16" s="110" t="str">
        <f t="shared" si="2"/>
        <v/>
      </c>
      <c r="M16" s="111" t="str">
        <f>IF(A16="","",IF(COUNTIF(itens_Remanesc!$A$2:$A$200,A16)=0,"ALERTA: ITEM_AUSENTE",IF(COUNTIF(itens_Remanesc!$A$2:$A$200,A16)&gt;1,"ALERTA: ITEM_DUPLICADO",IF(OR(C16="",C16="Fora dos ciclos"),"ALERTA: CICLO_INVALIDO",IF(NOT(ISNUMBER(E16)),"ALERTA: QTD_INVALIDA",IF(AND(LEFT(UPPER(D16),5)&lt;&gt;"ACRES",LEFT(UPPER(D16),6)&lt;&gt;"SUPRES",LEFT(UPPER(D16),4)&lt;&gt;"DECR"),"ALERTA: TIPO_INVALIDO","OK"))))))</f>
        <v/>
      </c>
    </row>
    <row r="17" spans="1:13" ht="15.9" customHeight="1" x14ac:dyDescent="0.35">
      <c r="A17" s="137"/>
      <c r="B17" s="138"/>
      <c r="C17" s="128" t="str">
        <f>IF(B17="","",IFERROR(IF(AND(B17&gt;=parametros!$C$2,B17&lt;=parametros!$D$2),"C0",IF(AND(B17&gt;=parametros!$C$3,B17&lt;=parametros!$D$3),"C1",IF(AND(B17&gt;=parametros!$C$4,B17&lt;=parametros!$D$4),"C2",IF(AND(B17&gt;=parametros!$C$5,B17&lt;=parametros!$D$5),"C3",IF(AND(B17&gt;=parametros!$C$6,B17&lt;=parametros!$D$6),"C4","Fora dos ciclos"))))),"Fora dos ciclos"))</f>
        <v/>
      </c>
      <c r="D17" s="137"/>
      <c r="E17" s="139"/>
      <c r="F17" s="140" t="str">
        <f>IF(A17="","",IFERROR(VLOOKUP(A17,itens_Remanesc!$A:$C,3,0),""))</f>
        <v/>
      </c>
      <c r="G17" s="140" t="str">
        <f t="shared" si="0"/>
        <v/>
      </c>
      <c r="H17" s="137"/>
      <c r="I17" s="88" t="str">
        <f>IFERROR(VLOOKUP(C17,parametros!$B:$F,5,0),"")</f>
        <v/>
      </c>
      <c r="J17" s="140" t="str">
        <f t="shared" si="1"/>
        <v/>
      </c>
      <c r="K17" s="137"/>
      <c r="L17" s="110" t="str">
        <f t="shared" si="2"/>
        <v/>
      </c>
      <c r="M17" s="111" t="str">
        <f>IF(A17="","",IF(COUNTIF(itens_Remanesc!$A$2:$A$200,A17)=0,"ALERTA: ITEM_AUSENTE",IF(COUNTIF(itens_Remanesc!$A$2:$A$200,A17)&gt;1,"ALERTA: ITEM_DUPLICADO",IF(OR(C17="",C17="Fora dos ciclos"),"ALERTA: CICLO_INVALIDO",IF(NOT(ISNUMBER(E17)),"ALERTA: QTD_INVALIDA",IF(AND(LEFT(UPPER(D17),5)&lt;&gt;"ACRES",LEFT(UPPER(D17),6)&lt;&gt;"SUPRES",LEFT(UPPER(D17),4)&lt;&gt;"DECR"),"ALERTA: TIPO_INVALIDO","OK"))))))</f>
        <v/>
      </c>
    </row>
    <row r="18" spans="1:13" ht="15.9" customHeight="1" x14ac:dyDescent="0.35">
      <c r="A18" s="137"/>
      <c r="B18" s="138"/>
      <c r="C18" s="128" t="str">
        <f>IF(B18="","",IFERROR(IF(AND(B18&gt;=parametros!$C$2,B18&lt;=parametros!$D$2),"C0",IF(AND(B18&gt;=parametros!$C$3,B18&lt;=parametros!$D$3),"C1",IF(AND(B18&gt;=parametros!$C$4,B18&lt;=parametros!$D$4),"C2",IF(AND(B18&gt;=parametros!$C$5,B18&lt;=parametros!$D$5),"C3",IF(AND(B18&gt;=parametros!$C$6,B18&lt;=parametros!$D$6),"C4","Fora dos ciclos"))))),"Fora dos ciclos"))</f>
        <v/>
      </c>
      <c r="D18" s="137"/>
      <c r="E18" s="139"/>
      <c r="F18" s="140" t="str">
        <f>IF(A18="","",IFERROR(VLOOKUP(A18,itens_Remanesc!$A:$C,3,0),""))</f>
        <v/>
      </c>
      <c r="G18" s="140" t="str">
        <f t="shared" si="0"/>
        <v/>
      </c>
      <c r="H18" s="137"/>
      <c r="I18" s="88" t="str">
        <f>IFERROR(VLOOKUP(C18,parametros!$B:$F,5,0),"")</f>
        <v/>
      </c>
      <c r="J18" s="140" t="str">
        <f t="shared" si="1"/>
        <v/>
      </c>
      <c r="K18" s="137"/>
      <c r="L18" s="110" t="str">
        <f t="shared" si="2"/>
        <v/>
      </c>
      <c r="M18" s="111" t="str">
        <f>IF(A18="","",IF(COUNTIF(itens_Remanesc!$A$2:$A$200,A18)=0,"ALERTA: ITEM_AUSENTE",IF(COUNTIF(itens_Remanesc!$A$2:$A$200,A18)&gt;1,"ALERTA: ITEM_DUPLICADO",IF(OR(C18="",C18="Fora dos ciclos"),"ALERTA: CICLO_INVALIDO",IF(NOT(ISNUMBER(E18)),"ALERTA: QTD_INVALIDA",IF(AND(LEFT(UPPER(D18),5)&lt;&gt;"ACRES",LEFT(UPPER(D18),6)&lt;&gt;"SUPRES",LEFT(UPPER(D18),4)&lt;&gt;"DECR"),"ALERTA: TIPO_INVALIDO","OK"))))))</f>
        <v/>
      </c>
    </row>
    <row r="19" spans="1:13" ht="15.9" customHeight="1" x14ac:dyDescent="0.35">
      <c r="A19" s="137"/>
      <c r="B19" s="138"/>
      <c r="C19" s="128" t="str">
        <f>IF(B19="","",IFERROR(IF(AND(B19&gt;=parametros!$C$2,B19&lt;=parametros!$D$2),"C0",IF(AND(B19&gt;=parametros!$C$3,B19&lt;=parametros!$D$3),"C1",IF(AND(B19&gt;=parametros!$C$4,B19&lt;=parametros!$D$4),"C2",IF(AND(B19&gt;=parametros!$C$5,B19&lt;=parametros!$D$5),"C3",IF(AND(B19&gt;=parametros!$C$6,B19&lt;=parametros!$D$6),"C4","Fora dos ciclos"))))),"Fora dos ciclos"))</f>
        <v/>
      </c>
      <c r="D19" s="137"/>
      <c r="E19" s="139"/>
      <c r="F19" s="140" t="str">
        <f>IF(A19="","",IFERROR(VLOOKUP(A19,itens_Remanesc!$A:$C,3,0),""))</f>
        <v/>
      </c>
      <c r="G19" s="140" t="str">
        <f t="shared" si="0"/>
        <v/>
      </c>
      <c r="H19" s="137"/>
      <c r="I19" s="88" t="str">
        <f>IFERROR(VLOOKUP(C19,parametros!$B:$F,5,0),"")</f>
        <v/>
      </c>
      <c r="J19" s="140" t="str">
        <f t="shared" si="1"/>
        <v/>
      </c>
      <c r="K19" s="137"/>
      <c r="L19" s="110" t="str">
        <f t="shared" si="2"/>
        <v/>
      </c>
      <c r="M19" s="111" t="str">
        <f>IF(A19="","",IF(COUNTIF(itens_Remanesc!$A$2:$A$200,A19)=0,"ALERTA: ITEM_AUSENTE",IF(COUNTIF(itens_Remanesc!$A$2:$A$200,A19)&gt;1,"ALERTA: ITEM_DUPLICADO",IF(OR(C19="",C19="Fora dos ciclos"),"ALERTA: CICLO_INVALIDO",IF(NOT(ISNUMBER(E19)),"ALERTA: QTD_INVALIDA",IF(AND(LEFT(UPPER(D19),5)&lt;&gt;"ACRES",LEFT(UPPER(D19),6)&lt;&gt;"SUPRES",LEFT(UPPER(D19),4)&lt;&gt;"DECR"),"ALERTA: TIPO_INVALIDO","OK"))))))</f>
        <v/>
      </c>
    </row>
    <row r="20" spans="1:13" ht="15.9" customHeight="1" x14ac:dyDescent="0.35">
      <c r="A20" s="137"/>
      <c r="B20" s="138"/>
      <c r="C20" s="128" t="str">
        <f>IF(B20="","",IFERROR(IF(AND(B20&gt;=parametros!$C$2,B20&lt;=parametros!$D$2),"C0",IF(AND(B20&gt;=parametros!$C$3,B20&lt;=parametros!$D$3),"C1",IF(AND(B20&gt;=parametros!$C$4,B20&lt;=parametros!$D$4),"C2",IF(AND(B20&gt;=parametros!$C$5,B20&lt;=parametros!$D$5),"C3",IF(AND(B20&gt;=parametros!$C$6,B20&lt;=parametros!$D$6),"C4","Fora dos ciclos"))))),"Fora dos ciclos"))</f>
        <v/>
      </c>
      <c r="D20" s="137"/>
      <c r="E20" s="139"/>
      <c r="F20" s="140" t="str">
        <f>IF(A20="","",IFERROR(VLOOKUP(A20,itens_Remanesc!$A:$C,3,0),""))</f>
        <v/>
      </c>
      <c r="G20" s="140" t="str">
        <f t="shared" si="0"/>
        <v/>
      </c>
      <c r="H20" s="137"/>
      <c r="I20" s="88" t="str">
        <f>IFERROR(VLOOKUP(C20,parametros!$B:$F,5,0),"")</f>
        <v/>
      </c>
      <c r="J20" s="140" t="str">
        <f t="shared" si="1"/>
        <v/>
      </c>
      <c r="K20" s="137"/>
      <c r="L20" s="110" t="str">
        <f t="shared" si="2"/>
        <v/>
      </c>
      <c r="M20" s="111" t="str">
        <f>IF(A20="","",IF(COUNTIF(itens_Remanesc!$A$2:$A$200,A20)=0,"ALERTA: ITEM_AUSENTE",IF(COUNTIF(itens_Remanesc!$A$2:$A$200,A20)&gt;1,"ALERTA: ITEM_DUPLICADO",IF(OR(C20="",C20="Fora dos ciclos"),"ALERTA: CICLO_INVALIDO",IF(NOT(ISNUMBER(E20)),"ALERTA: QTD_INVALIDA",IF(AND(LEFT(UPPER(D20),5)&lt;&gt;"ACRES",LEFT(UPPER(D20),6)&lt;&gt;"SUPRES",LEFT(UPPER(D20),4)&lt;&gt;"DECR"),"ALERTA: TIPO_INVALIDO","OK"))))))</f>
        <v/>
      </c>
    </row>
    <row r="21" spans="1:13" ht="15.9" customHeight="1" x14ac:dyDescent="0.35">
      <c r="A21" s="137"/>
      <c r="B21" s="138"/>
      <c r="C21" s="128" t="str">
        <f>IF(B21="","",IFERROR(IF(AND(B21&gt;=parametros!$C$2,B21&lt;=parametros!$D$2),"C0",IF(AND(B21&gt;=parametros!$C$3,B21&lt;=parametros!$D$3),"C1",IF(AND(B21&gt;=parametros!$C$4,B21&lt;=parametros!$D$4),"C2",IF(AND(B21&gt;=parametros!$C$5,B21&lt;=parametros!$D$5),"C3",IF(AND(B21&gt;=parametros!$C$6,B21&lt;=parametros!$D$6),"C4","Fora dos ciclos"))))),"Fora dos ciclos"))</f>
        <v/>
      </c>
      <c r="D21" s="137"/>
      <c r="E21" s="139"/>
      <c r="F21" s="140" t="str">
        <f>IF(A21="","",IFERROR(VLOOKUP(A21,itens_Remanesc!$A:$C,3,0),""))</f>
        <v/>
      </c>
      <c r="G21" s="140" t="str">
        <f t="shared" si="0"/>
        <v/>
      </c>
      <c r="H21" s="137"/>
      <c r="I21" s="88" t="str">
        <f>IFERROR(VLOOKUP(C21,parametros!$B:$F,5,0),"")</f>
        <v/>
      </c>
      <c r="J21" s="140" t="str">
        <f t="shared" si="1"/>
        <v/>
      </c>
      <c r="K21" s="137"/>
      <c r="L21" s="110" t="str">
        <f t="shared" si="2"/>
        <v/>
      </c>
      <c r="M21" s="111" t="str">
        <f>IF(A21="","",IF(COUNTIF(itens_Remanesc!$A$2:$A$200,A21)=0,"ALERTA: ITEM_AUSENTE",IF(COUNTIF(itens_Remanesc!$A$2:$A$200,A21)&gt;1,"ALERTA: ITEM_DUPLICADO",IF(OR(C21="",C21="Fora dos ciclos"),"ALERTA: CICLO_INVALIDO",IF(NOT(ISNUMBER(E21)),"ALERTA: QTD_INVALIDA",IF(AND(LEFT(UPPER(D21),5)&lt;&gt;"ACRES",LEFT(UPPER(D21),6)&lt;&gt;"SUPRES",LEFT(UPPER(D21),4)&lt;&gt;"DECR"),"ALERTA: TIPO_INVALIDO","OK"))))))</f>
        <v/>
      </c>
    </row>
    <row r="22" spans="1:13" ht="15.9" customHeight="1" x14ac:dyDescent="0.35">
      <c r="A22" s="137"/>
      <c r="B22" s="138"/>
      <c r="C22" s="128" t="str">
        <f>IF(B22="","",IFERROR(IF(AND(B22&gt;=parametros!$C$2,B22&lt;=parametros!$D$2),"C0",IF(AND(B22&gt;=parametros!$C$3,B22&lt;=parametros!$D$3),"C1",IF(AND(B22&gt;=parametros!$C$4,B22&lt;=parametros!$D$4),"C2",IF(AND(B22&gt;=parametros!$C$5,B22&lt;=parametros!$D$5),"C3",IF(AND(B22&gt;=parametros!$C$6,B22&lt;=parametros!$D$6),"C4","Fora dos ciclos"))))),"Fora dos ciclos"))</f>
        <v/>
      </c>
      <c r="D22" s="137"/>
      <c r="E22" s="139"/>
      <c r="F22" s="140" t="str">
        <f>IF(A22="","",IFERROR(VLOOKUP(A22,itens_Remanesc!$A:$C,3,0),""))</f>
        <v/>
      </c>
      <c r="G22" s="140" t="str">
        <f t="shared" si="0"/>
        <v/>
      </c>
      <c r="H22" s="137"/>
      <c r="I22" s="88" t="str">
        <f>IFERROR(VLOOKUP(C22,parametros!$B:$F,5,0),"")</f>
        <v/>
      </c>
      <c r="J22" s="140" t="str">
        <f t="shared" si="1"/>
        <v/>
      </c>
      <c r="K22" s="137"/>
      <c r="L22" s="110" t="str">
        <f t="shared" si="2"/>
        <v/>
      </c>
      <c r="M22" s="111" t="str">
        <f>IF(A22="","",IF(COUNTIF(itens_Remanesc!$A$2:$A$200,A22)=0,"ALERTA: ITEM_AUSENTE",IF(COUNTIF(itens_Remanesc!$A$2:$A$200,A22)&gt;1,"ALERTA: ITEM_DUPLICADO",IF(OR(C22="",C22="Fora dos ciclos"),"ALERTA: CICLO_INVALIDO",IF(NOT(ISNUMBER(E22)),"ALERTA: QTD_INVALIDA",IF(AND(LEFT(UPPER(D22),5)&lt;&gt;"ACRES",LEFT(UPPER(D22),6)&lt;&gt;"SUPRES",LEFT(UPPER(D22),4)&lt;&gt;"DECR"),"ALERTA: TIPO_INVALIDO","OK"))))))</f>
        <v/>
      </c>
    </row>
    <row r="23" spans="1:13" ht="15.9" customHeight="1" x14ac:dyDescent="0.35">
      <c r="A23" s="137"/>
      <c r="B23" s="138"/>
      <c r="C23" s="128" t="str">
        <f>IF(B23="","",IFERROR(IF(AND(B23&gt;=parametros!$C$2,B23&lt;=parametros!$D$2),"C0",IF(AND(B23&gt;=parametros!$C$3,B23&lt;=parametros!$D$3),"C1",IF(AND(B23&gt;=parametros!$C$4,B23&lt;=parametros!$D$4),"C2",IF(AND(B23&gt;=parametros!$C$5,B23&lt;=parametros!$D$5),"C3",IF(AND(B23&gt;=parametros!$C$6,B23&lt;=parametros!$D$6),"C4","Fora dos ciclos"))))),"Fora dos ciclos"))</f>
        <v/>
      </c>
      <c r="D23" s="137"/>
      <c r="E23" s="139"/>
      <c r="F23" s="140" t="str">
        <f>IF(A23="","",IFERROR(VLOOKUP(A23,itens_Remanesc!$A:$C,3,0),""))</f>
        <v/>
      </c>
      <c r="G23" s="140" t="str">
        <f t="shared" si="0"/>
        <v/>
      </c>
      <c r="H23" s="137"/>
      <c r="I23" s="88" t="str">
        <f>IFERROR(VLOOKUP(C23,parametros!$B:$F,5,0),"")</f>
        <v/>
      </c>
      <c r="J23" s="140" t="str">
        <f t="shared" si="1"/>
        <v/>
      </c>
      <c r="K23" s="137"/>
      <c r="L23" s="110" t="str">
        <f t="shared" si="2"/>
        <v/>
      </c>
      <c r="M23" s="111" t="str">
        <f>IF(A23="","",IF(COUNTIF(itens_Remanesc!$A$2:$A$200,A23)=0,"ALERTA: ITEM_AUSENTE",IF(COUNTIF(itens_Remanesc!$A$2:$A$200,A23)&gt;1,"ALERTA: ITEM_DUPLICADO",IF(OR(C23="",C23="Fora dos ciclos"),"ALERTA: CICLO_INVALIDO",IF(NOT(ISNUMBER(E23)),"ALERTA: QTD_INVALIDA",IF(AND(LEFT(UPPER(D23),5)&lt;&gt;"ACRES",LEFT(UPPER(D23),6)&lt;&gt;"SUPRES",LEFT(UPPER(D23),4)&lt;&gt;"DECR"),"ALERTA: TIPO_INVALIDO","OK"))))))</f>
        <v/>
      </c>
    </row>
    <row r="24" spans="1:13" ht="15.9" customHeight="1" x14ac:dyDescent="0.35">
      <c r="A24" s="137"/>
      <c r="B24" s="138"/>
      <c r="C24" s="128" t="str">
        <f>IF(B24="","",IFERROR(IF(AND(B24&gt;=parametros!$C$2,B24&lt;=parametros!$D$2),"C0",IF(AND(B24&gt;=parametros!$C$3,B24&lt;=parametros!$D$3),"C1",IF(AND(B24&gt;=parametros!$C$4,B24&lt;=parametros!$D$4),"C2",IF(AND(B24&gt;=parametros!$C$5,B24&lt;=parametros!$D$5),"C3",IF(AND(B24&gt;=parametros!$C$6,B24&lt;=parametros!$D$6),"C4","Fora dos ciclos"))))),"Fora dos ciclos"))</f>
        <v/>
      </c>
      <c r="D24" s="137"/>
      <c r="E24" s="139"/>
      <c r="F24" s="140" t="str">
        <f>IF(A24="","",IFERROR(VLOOKUP(A24,itens_Remanesc!$A:$C,3,0),""))</f>
        <v/>
      </c>
      <c r="G24" s="140" t="str">
        <f t="shared" si="0"/>
        <v/>
      </c>
      <c r="H24" s="137"/>
      <c r="I24" s="88" t="str">
        <f>IFERROR(VLOOKUP(C24,parametros!$B:$F,5,0),"")</f>
        <v/>
      </c>
      <c r="J24" s="140" t="str">
        <f t="shared" si="1"/>
        <v/>
      </c>
      <c r="K24" s="137"/>
      <c r="L24" s="110" t="str">
        <f t="shared" si="2"/>
        <v/>
      </c>
      <c r="M24" s="111" t="str">
        <f>IF(A24="","",IF(COUNTIF(itens_Remanesc!$A$2:$A$200,A24)=0,"ALERTA: ITEM_AUSENTE",IF(COUNTIF(itens_Remanesc!$A$2:$A$200,A24)&gt;1,"ALERTA: ITEM_DUPLICADO",IF(OR(C24="",C24="Fora dos ciclos"),"ALERTA: CICLO_INVALIDO",IF(NOT(ISNUMBER(E24)),"ALERTA: QTD_INVALIDA",IF(AND(LEFT(UPPER(D24),5)&lt;&gt;"ACRES",LEFT(UPPER(D24),6)&lt;&gt;"SUPRES",LEFT(UPPER(D24),4)&lt;&gt;"DECR"),"ALERTA: TIPO_INVALIDO","OK"))))))</f>
        <v/>
      </c>
    </row>
    <row r="25" spans="1:13" ht="15.9" customHeight="1" x14ac:dyDescent="0.35">
      <c r="A25" s="137"/>
      <c r="B25" s="138"/>
      <c r="C25" s="128" t="str">
        <f>IF(B25="","",IFERROR(IF(AND(B25&gt;=parametros!$C$2,B25&lt;=parametros!$D$2),"C0",IF(AND(B25&gt;=parametros!$C$3,B25&lt;=parametros!$D$3),"C1",IF(AND(B25&gt;=parametros!$C$4,B25&lt;=parametros!$D$4),"C2",IF(AND(B25&gt;=parametros!$C$5,B25&lt;=parametros!$D$5),"C3",IF(AND(B25&gt;=parametros!$C$6,B25&lt;=parametros!$D$6),"C4","Fora dos ciclos"))))),"Fora dos ciclos"))</f>
        <v/>
      </c>
      <c r="D25" s="137"/>
      <c r="E25" s="139"/>
      <c r="F25" s="140" t="str">
        <f>IF(A25="","",IFERROR(VLOOKUP(A25,itens_Remanesc!$A:$C,3,0),""))</f>
        <v/>
      </c>
      <c r="G25" s="140" t="str">
        <f t="shared" si="0"/>
        <v/>
      </c>
      <c r="H25" s="137"/>
      <c r="I25" s="88" t="str">
        <f>IFERROR(VLOOKUP(C25,parametros!$B:$F,5,0),"")</f>
        <v/>
      </c>
      <c r="J25" s="140" t="str">
        <f t="shared" si="1"/>
        <v/>
      </c>
      <c r="K25" s="137"/>
      <c r="L25" s="110" t="str">
        <f t="shared" si="2"/>
        <v/>
      </c>
      <c r="M25" s="111" t="str">
        <f>IF(A25="","",IF(COUNTIF(itens_Remanesc!$A$2:$A$200,A25)=0,"ALERTA: ITEM_AUSENTE",IF(COUNTIF(itens_Remanesc!$A$2:$A$200,A25)&gt;1,"ALERTA: ITEM_DUPLICADO",IF(OR(C25="",C25="Fora dos ciclos"),"ALERTA: CICLO_INVALIDO",IF(NOT(ISNUMBER(E25)),"ALERTA: QTD_INVALIDA",IF(AND(LEFT(UPPER(D25),5)&lt;&gt;"ACRES",LEFT(UPPER(D25),6)&lt;&gt;"SUPRES",LEFT(UPPER(D25),4)&lt;&gt;"DECR"),"ALERTA: TIPO_INVALIDO","OK"))))))</f>
        <v/>
      </c>
    </row>
    <row r="26" spans="1:13" ht="15.9" customHeight="1" x14ac:dyDescent="0.35">
      <c r="A26" s="137"/>
      <c r="B26" s="138"/>
      <c r="C26" s="128" t="str">
        <f>IF(B26="","",IFERROR(IF(AND(B26&gt;=parametros!$C$2,B26&lt;=parametros!$D$2),"C0",IF(AND(B26&gt;=parametros!$C$3,B26&lt;=parametros!$D$3),"C1",IF(AND(B26&gt;=parametros!$C$4,B26&lt;=parametros!$D$4),"C2",IF(AND(B26&gt;=parametros!$C$5,B26&lt;=parametros!$D$5),"C3",IF(AND(B26&gt;=parametros!$C$6,B26&lt;=parametros!$D$6),"C4","Fora dos ciclos"))))),"Fora dos ciclos"))</f>
        <v/>
      </c>
      <c r="D26" s="137"/>
      <c r="E26" s="139"/>
      <c r="F26" s="140" t="str">
        <f>IF(A26="","",IFERROR(VLOOKUP(A26,itens_Remanesc!$A:$C,3,0),""))</f>
        <v/>
      </c>
      <c r="G26" s="140" t="str">
        <f t="shared" si="0"/>
        <v/>
      </c>
      <c r="H26" s="137"/>
      <c r="I26" s="88" t="str">
        <f>IFERROR(VLOOKUP(C26,parametros!$B:$F,5,0),"")</f>
        <v/>
      </c>
      <c r="J26" s="140" t="str">
        <f t="shared" si="1"/>
        <v/>
      </c>
      <c r="K26" s="137"/>
      <c r="L26" s="110" t="str">
        <f t="shared" si="2"/>
        <v/>
      </c>
      <c r="M26" s="111" t="str">
        <f>IF(A26="","",IF(COUNTIF(itens_Remanesc!$A$2:$A$200,A26)=0,"ALERTA: ITEM_AUSENTE",IF(COUNTIF(itens_Remanesc!$A$2:$A$200,A26)&gt;1,"ALERTA: ITEM_DUPLICADO",IF(OR(C26="",C26="Fora dos ciclos"),"ALERTA: CICLO_INVALIDO",IF(NOT(ISNUMBER(E26)),"ALERTA: QTD_INVALIDA",IF(AND(LEFT(UPPER(D26),5)&lt;&gt;"ACRES",LEFT(UPPER(D26),6)&lt;&gt;"SUPRES",LEFT(UPPER(D26),4)&lt;&gt;"DECR"),"ALERTA: TIPO_INVALIDO","OK"))))))</f>
        <v/>
      </c>
    </row>
    <row r="27" spans="1:13" ht="15.9" customHeight="1" x14ac:dyDescent="0.35">
      <c r="A27" s="137"/>
      <c r="B27" s="138"/>
      <c r="C27" s="128" t="str">
        <f>IF(B27="","",IFERROR(IF(AND(B27&gt;=parametros!$C$2,B27&lt;=parametros!$D$2),"C0",IF(AND(B27&gt;=parametros!$C$3,B27&lt;=parametros!$D$3),"C1",IF(AND(B27&gt;=parametros!$C$4,B27&lt;=parametros!$D$4),"C2",IF(AND(B27&gt;=parametros!$C$5,B27&lt;=parametros!$D$5),"C3",IF(AND(B27&gt;=parametros!$C$6,B27&lt;=parametros!$D$6),"C4","Fora dos ciclos"))))),"Fora dos ciclos"))</f>
        <v/>
      </c>
      <c r="D27" s="137"/>
      <c r="E27" s="139"/>
      <c r="F27" s="140" t="str">
        <f>IF(A27="","",IFERROR(VLOOKUP(A27,itens_Remanesc!$A:$C,3,0),""))</f>
        <v/>
      </c>
      <c r="G27" s="140" t="str">
        <f t="shared" si="0"/>
        <v/>
      </c>
      <c r="H27" s="137"/>
      <c r="I27" s="88" t="str">
        <f>IFERROR(VLOOKUP(C27,parametros!$B:$F,5,0),"")</f>
        <v/>
      </c>
      <c r="J27" s="140" t="str">
        <f t="shared" si="1"/>
        <v/>
      </c>
      <c r="K27" s="137"/>
      <c r="L27" s="110" t="str">
        <f t="shared" si="2"/>
        <v/>
      </c>
      <c r="M27" s="111" t="str">
        <f>IF(A27="","",IF(COUNTIF(itens_Remanesc!$A$2:$A$200,A27)=0,"ALERTA: ITEM_AUSENTE",IF(COUNTIF(itens_Remanesc!$A$2:$A$200,A27)&gt;1,"ALERTA: ITEM_DUPLICADO",IF(OR(C27="",C27="Fora dos ciclos"),"ALERTA: CICLO_INVALIDO",IF(NOT(ISNUMBER(E27)),"ALERTA: QTD_INVALIDA",IF(AND(LEFT(UPPER(D27),5)&lt;&gt;"ACRES",LEFT(UPPER(D27),6)&lt;&gt;"SUPRES",LEFT(UPPER(D27),4)&lt;&gt;"DECR"),"ALERTA: TIPO_INVALIDO","OK"))))))</f>
        <v/>
      </c>
    </row>
    <row r="28" spans="1:13" ht="15.9" customHeight="1" x14ac:dyDescent="0.35">
      <c r="A28" s="137"/>
      <c r="B28" s="138"/>
      <c r="C28" s="128" t="str">
        <f>IF(B28="","",IFERROR(IF(AND(B28&gt;=parametros!$C$2,B28&lt;=parametros!$D$2),"C0",IF(AND(B28&gt;=parametros!$C$3,B28&lt;=parametros!$D$3),"C1",IF(AND(B28&gt;=parametros!$C$4,B28&lt;=parametros!$D$4),"C2",IF(AND(B28&gt;=parametros!$C$5,B28&lt;=parametros!$D$5),"C3",IF(AND(B28&gt;=parametros!$C$6,B28&lt;=parametros!$D$6),"C4","Fora dos ciclos"))))),"Fora dos ciclos"))</f>
        <v/>
      </c>
      <c r="D28" s="137"/>
      <c r="E28" s="139"/>
      <c r="F28" s="140" t="str">
        <f>IF(A28="","",IFERROR(VLOOKUP(A28,itens_Remanesc!$A:$C,3,0),""))</f>
        <v/>
      </c>
      <c r="G28" s="140" t="str">
        <f t="shared" si="0"/>
        <v/>
      </c>
      <c r="H28" s="137"/>
      <c r="I28" s="88" t="str">
        <f>IFERROR(VLOOKUP(C28,parametros!$B:$F,5,0),"")</f>
        <v/>
      </c>
      <c r="J28" s="140" t="str">
        <f t="shared" si="1"/>
        <v/>
      </c>
      <c r="K28" s="137"/>
      <c r="L28" s="110" t="str">
        <f t="shared" si="2"/>
        <v/>
      </c>
      <c r="M28" s="111" t="str">
        <f>IF(A28="","",IF(COUNTIF(itens_Remanesc!$A$2:$A$200,A28)=0,"ALERTA: ITEM_AUSENTE",IF(COUNTIF(itens_Remanesc!$A$2:$A$200,A28)&gt;1,"ALERTA: ITEM_DUPLICADO",IF(OR(C28="",C28="Fora dos ciclos"),"ALERTA: CICLO_INVALIDO",IF(NOT(ISNUMBER(E28)),"ALERTA: QTD_INVALIDA",IF(AND(LEFT(UPPER(D28),5)&lt;&gt;"ACRES",LEFT(UPPER(D28),6)&lt;&gt;"SUPRES",LEFT(UPPER(D28),4)&lt;&gt;"DECR"),"ALERTA: TIPO_INVALIDO","OK"))))))</f>
        <v/>
      </c>
    </row>
    <row r="29" spans="1:13" ht="15.9" customHeight="1" x14ac:dyDescent="0.35">
      <c r="A29" s="137"/>
      <c r="B29" s="138"/>
      <c r="C29" s="128" t="str">
        <f>IF(B29="","",IFERROR(IF(AND(B29&gt;=parametros!$C$2,B29&lt;=parametros!$D$2),"C0",IF(AND(B29&gt;=parametros!$C$3,B29&lt;=parametros!$D$3),"C1",IF(AND(B29&gt;=parametros!$C$4,B29&lt;=parametros!$D$4),"C2",IF(AND(B29&gt;=parametros!$C$5,B29&lt;=parametros!$D$5),"C3",IF(AND(B29&gt;=parametros!$C$6,B29&lt;=parametros!$D$6),"C4","Fora dos ciclos"))))),"Fora dos ciclos"))</f>
        <v/>
      </c>
      <c r="D29" s="137"/>
      <c r="E29" s="139"/>
      <c r="F29" s="140" t="str">
        <f>IF(A29="","",IFERROR(VLOOKUP(A29,itens_Remanesc!$A:$C,3,0),""))</f>
        <v/>
      </c>
      <c r="G29" s="140" t="str">
        <f t="shared" si="0"/>
        <v/>
      </c>
      <c r="H29" s="137"/>
      <c r="I29" s="88" t="str">
        <f>IFERROR(VLOOKUP(C29,parametros!$B:$F,5,0),"")</f>
        <v/>
      </c>
      <c r="J29" s="140" t="str">
        <f t="shared" si="1"/>
        <v/>
      </c>
      <c r="K29" s="137"/>
      <c r="L29" s="110" t="str">
        <f t="shared" si="2"/>
        <v/>
      </c>
      <c r="M29" s="111" t="str">
        <f>IF(A29="","",IF(COUNTIF(itens_Remanesc!$A$2:$A$200,A29)=0,"ALERTA: ITEM_AUSENTE",IF(COUNTIF(itens_Remanesc!$A$2:$A$200,A29)&gt;1,"ALERTA: ITEM_DUPLICADO",IF(OR(C29="",C29="Fora dos ciclos"),"ALERTA: CICLO_INVALIDO",IF(NOT(ISNUMBER(E29)),"ALERTA: QTD_INVALIDA",IF(AND(LEFT(UPPER(D29),5)&lt;&gt;"ACRES",LEFT(UPPER(D29),6)&lt;&gt;"SUPRES",LEFT(UPPER(D29),4)&lt;&gt;"DECR"),"ALERTA: TIPO_INVALIDO","OK"))))))</f>
        <v/>
      </c>
    </row>
    <row r="30" spans="1:13" ht="15.9" customHeight="1" x14ac:dyDescent="0.35">
      <c r="A30" s="137"/>
      <c r="B30" s="138"/>
      <c r="C30" s="128" t="str">
        <f>IF(B30="","",IFERROR(IF(AND(B30&gt;=parametros!$C$2,B30&lt;=parametros!$D$2),"C0",IF(AND(B30&gt;=parametros!$C$3,B30&lt;=parametros!$D$3),"C1",IF(AND(B30&gt;=parametros!$C$4,B30&lt;=parametros!$D$4),"C2",IF(AND(B30&gt;=parametros!$C$5,B30&lt;=parametros!$D$5),"C3",IF(AND(B30&gt;=parametros!$C$6,B30&lt;=parametros!$D$6),"C4","Fora dos ciclos"))))),"Fora dos ciclos"))</f>
        <v/>
      </c>
      <c r="D30" s="137"/>
      <c r="E30" s="139"/>
      <c r="F30" s="140" t="str">
        <f>IF(A30="","",IFERROR(VLOOKUP(A30,itens_Remanesc!$A:$C,3,0),""))</f>
        <v/>
      </c>
      <c r="G30" s="140" t="str">
        <f t="shared" si="0"/>
        <v/>
      </c>
      <c r="H30" s="137"/>
      <c r="I30" s="88" t="str">
        <f>IFERROR(VLOOKUP(C30,parametros!$B:$F,5,0),"")</f>
        <v/>
      </c>
      <c r="J30" s="140" t="str">
        <f t="shared" si="1"/>
        <v/>
      </c>
      <c r="K30" s="137"/>
      <c r="L30" s="110" t="str">
        <f t="shared" si="2"/>
        <v/>
      </c>
      <c r="M30" s="111" t="str">
        <f>IF(A30="","",IF(COUNTIF(itens_Remanesc!$A$2:$A$200,A30)=0,"ALERTA: ITEM_AUSENTE",IF(COUNTIF(itens_Remanesc!$A$2:$A$200,A30)&gt;1,"ALERTA: ITEM_DUPLICADO",IF(OR(C30="",C30="Fora dos ciclos"),"ALERTA: CICLO_INVALIDO",IF(NOT(ISNUMBER(E30)),"ALERTA: QTD_INVALIDA",IF(AND(LEFT(UPPER(D30),5)&lt;&gt;"ACRES",LEFT(UPPER(D30),6)&lt;&gt;"SUPRES",LEFT(UPPER(D30),4)&lt;&gt;"DECR"),"ALERTA: TIPO_INVALIDO","OK"))))))</f>
        <v/>
      </c>
    </row>
    <row r="31" spans="1:13" ht="15.9" customHeight="1" x14ac:dyDescent="0.35">
      <c r="A31" s="137"/>
      <c r="B31" s="138"/>
      <c r="C31" s="128" t="str">
        <f>IF(B31="","",IFERROR(IF(AND(B31&gt;=parametros!$C$2,B31&lt;=parametros!$D$2),"C0",IF(AND(B31&gt;=parametros!$C$3,B31&lt;=parametros!$D$3),"C1",IF(AND(B31&gt;=parametros!$C$4,B31&lt;=parametros!$D$4),"C2",IF(AND(B31&gt;=parametros!$C$5,B31&lt;=parametros!$D$5),"C3",IF(AND(B31&gt;=parametros!$C$6,B31&lt;=parametros!$D$6),"C4","Fora dos ciclos"))))),"Fora dos ciclos"))</f>
        <v/>
      </c>
      <c r="D31" s="137"/>
      <c r="E31" s="139"/>
      <c r="F31" s="140" t="str">
        <f>IF(A31="","",IFERROR(VLOOKUP(A31,itens_Remanesc!$A:$C,3,0),""))</f>
        <v/>
      </c>
      <c r="G31" s="140" t="str">
        <f t="shared" si="0"/>
        <v/>
      </c>
      <c r="H31" s="137"/>
      <c r="I31" s="88" t="str">
        <f>IFERROR(VLOOKUP(C31,parametros!$B:$F,5,0),"")</f>
        <v/>
      </c>
      <c r="J31" s="140" t="str">
        <f t="shared" si="1"/>
        <v/>
      </c>
      <c r="K31" s="137"/>
      <c r="L31" s="110" t="str">
        <f t="shared" si="2"/>
        <v/>
      </c>
      <c r="M31" s="111" t="str">
        <f>IF(A31="","",IF(COUNTIF(itens_Remanesc!$A$2:$A$200,A31)=0,"ALERTA: ITEM_AUSENTE",IF(COUNTIF(itens_Remanesc!$A$2:$A$200,A31)&gt;1,"ALERTA: ITEM_DUPLICADO",IF(OR(C31="",C31="Fora dos ciclos"),"ALERTA: CICLO_INVALIDO",IF(NOT(ISNUMBER(E31)),"ALERTA: QTD_INVALIDA",IF(AND(LEFT(UPPER(D31),5)&lt;&gt;"ACRES",LEFT(UPPER(D31),6)&lt;&gt;"SUPRES",LEFT(UPPER(D31),4)&lt;&gt;"DECR"),"ALERTA: TIPO_INVALIDO","OK"))))))</f>
        <v/>
      </c>
    </row>
    <row r="32" spans="1:13" ht="15.9" customHeight="1" x14ac:dyDescent="0.35">
      <c r="A32" s="137"/>
      <c r="B32" s="138"/>
      <c r="C32" s="128" t="str">
        <f>IF(B32="","",IFERROR(IF(AND(B32&gt;=parametros!$C$2,B32&lt;=parametros!$D$2),"C0",IF(AND(B32&gt;=parametros!$C$3,B32&lt;=parametros!$D$3),"C1",IF(AND(B32&gt;=parametros!$C$4,B32&lt;=parametros!$D$4),"C2",IF(AND(B32&gt;=parametros!$C$5,B32&lt;=parametros!$D$5),"C3",IF(AND(B32&gt;=parametros!$C$6,B32&lt;=parametros!$D$6),"C4","Fora dos ciclos"))))),"Fora dos ciclos"))</f>
        <v/>
      </c>
      <c r="D32" s="137"/>
      <c r="E32" s="139"/>
      <c r="F32" s="140" t="str">
        <f>IF(A32="","",IFERROR(VLOOKUP(A32,itens_Remanesc!$A:$C,3,0),""))</f>
        <v/>
      </c>
      <c r="G32" s="140" t="str">
        <f t="shared" si="0"/>
        <v/>
      </c>
      <c r="H32" s="137"/>
      <c r="I32" s="88" t="str">
        <f>IFERROR(VLOOKUP(C32,parametros!$B:$F,5,0),"")</f>
        <v/>
      </c>
      <c r="J32" s="140" t="str">
        <f t="shared" si="1"/>
        <v/>
      </c>
      <c r="K32" s="137"/>
      <c r="L32" s="110" t="str">
        <f t="shared" si="2"/>
        <v/>
      </c>
      <c r="M32" s="111" t="str">
        <f>IF(A32="","",IF(COUNTIF(itens_Remanesc!$A$2:$A$200,A32)=0,"ALERTA: ITEM_AUSENTE",IF(COUNTIF(itens_Remanesc!$A$2:$A$200,A32)&gt;1,"ALERTA: ITEM_DUPLICADO",IF(OR(C32="",C32="Fora dos ciclos"),"ALERTA: CICLO_INVALIDO",IF(NOT(ISNUMBER(E32)),"ALERTA: QTD_INVALIDA",IF(AND(LEFT(UPPER(D32),5)&lt;&gt;"ACRES",LEFT(UPPER(D32),6)&lt;&gt;"SUPRES",LEFT(UPPER(D32),4)&lt;&gt;"DECR"),"ALERTA: TIPO_INVALIDO","OK"))))))</f>
        <v/>
      </c>
    </row>
    <row r="33" spans="1:13" ht="15.9" customHeight="1" x14ac:dyDescent="0.35">
      <c r="A33" s="137"/>
      <c r="B33" s="138"/>
      <c r="C33" s="128" t="str">
        <f>IF(B33="","",IFERROR(IF(AND(B33&gt;=parametros!$C$2,B33&lt;=parametros!$D$2),"C0",IF(AND(B33&gt;=parametros!$C$3,B33&lt;=parametros!$D$3),"C1",IF(AND(B33&gt;=parametros!$C$4,B33&lt;=parametros!$D$4),"C2",IF(AND(B33&gt;=parametros!$C$5,B33&lt;=parametros!$D$5),"C3",IF(AND(B33&gt;=parametros!$C$6,B33&lt;=parametros!$D$6),"C4","Fora dos ciclos"))))),"Fora dos ciclos"))</f>
        <v/>
      </c>
      <c r="D33" s="137"/>
      <c r="E33" s="139"/>
      <c r="F33" s="140" t="str">
        <f>IF(A33="","",IFERROR(VLOOKUP(A33,itens_Remanesc!$A:$C,3,0),""))</f>
        <v/>
      </c>
      <c r="G33" s="140" t="str">
        <f t="shared" si="0"/>
        <v/>
      </c>
      <c r="H33" s="137"/>
      <c r="I33" s="88" t="str">
        <f>IFERROR(VLOOKUP(C33,parametros!$B:$F,5,0),"")</f>
        <v/>
      </c>
      <c r="J33" s="140" t="str">
        <f t="shared" si="1"/>
        <v/>
      </c>
      <c r="K33" s="137"/>
      <c r="L33" s="110" t="str">
        <f t="shared" si="2"/>
        <v/>
      </c>
      <c r="M33" s="111" t="str">
        <f>IF(A33="","",IF(COUNTIF(itens_Remanesc!$A$2:$A$200,A33)=0,"ALERTA: ITEM_AUSENTE",IF(COUNTIF(itens_Remanesc!$A$2:$A$200,A33)&gt;1,"ALERTA: ITEM_DUPLICADO",IF(OR(C33="",C33="Fora dos ciclos"),"ALERTA: CICLO_INVALIDO",IF(NOT(ISNUMBER(E33)),"ALERTA: QTD_INVALIDA",IF(AND(LEFT(UPPER(D33),5)&lt;&gt;"ACRES",LEFT(UPPER(D33),6)&lt;&gt;"SUPRES",LEFT(UPPER(D33),4)&lt;&gt;"DECR"),"ALERTA: TIPO_INVALIDO","OK"))))))</f>
        <v/>
      </c>
    </row>
    <row r="34" spans="1:13" ht="15.9" customHeight="1" x14ac:dyDescent="0.35">
      <c r="A34" s="137"/>
      <c r="B34" s="138"/>
      <c r="C34" s="128" t="str">
        <f>IF(B34="","",IFERROR(IF(AND(B34&gt;=parametros!$C$2,B34&lt;=parametros!$D$2),"C0",IF(AND(B34&gt;=parametros!$C$3,B34&lt;=parametros!$D$3),"C1",IF(AND(B34&gt;=parametros!$C$4,B34&lt;=parametros!$D$4),"C2",IF(AND(B34&gt;=parametros!$C$5,B34&lt;=parametros!$D$5),"C3",IF(AND(B34&gt;=parametros!$C$6,B34&lt;=parametros!$D$6),"C4","Fora dos ciclos"))))),"Fora dos ciclos"))</f>
        <v/>
      </c>
      <c r="D34" s="137"/>
      <c r="E34" s="139"/>
      <c r="F34" s="140" t="str">
        <f>IF(A34="","",IFERROR(VLOOKUP(A34,itens_Remanesc!$A:$C,3,0),""))</f>
        <v/>
      </c>
      <c r="G34" s="140" t="str">
        <f t="shared" ref="G34:G65" si="3">IF(OR(E34="",F34=""),"",ROUND(E34*F34,2))</f>
        <v/>
      </c>
      <c r="H34" s="137"/>
      <c r="I34" s="88" t="str">
        <f>IFERROR(VLOOKUP(C34,parametros!$B:$F,5,0),"")</f>
        <v/>
      </c>
      <c r="J34" s="140" t="str">
        <f t="shared" ref="J34:J65" si="4">IF(OR(L34="",F34=""),"",ROUND(L34*F34*IF(AND(UPPER(H34)="SIM",ISNUMBER(I34)),I34,1),2))</f>
        <v/>
      </c>
      <c r="K34" s="137"/>
      <c r="L34" s="110" t="str">
        <f t="shared" ref="L34:L65" si="5">IF(OR(A34="",C34="",D34="",NOT(ISNUMBER(E34))),"",IF(LEFT(UPPER(D34),5)="ACRES",ROUND(ABS(E34),2),IF(OR(LEFT(UPPER(D34),6)="SUPRES",LEFT(UPPER(D34),4)="DECR"),ROUND(-ABS(E34),2),"")))</f>
        <v/>
      </c>
      <c r="M34" s="111" t="str">
        <f>IF(A34="","",IF(COUNTIF(itens_Remanesc!$A$2:$A$200,A34)=0,"ALERTA: ITEM_AUSENTE",IF(COUNTIF(itens_Remanesc!$A$2:$A$200,A34)&gt;1,"ALERTA: ITEM_DUPLICADO",IF(OR(C34="",C34="Fora dos ciclos"),"ALERTA: CICLO_INVALIDO",IF(NOT(ISNUMBER(E34)),"ALERTA: QTD_INVALIDA",IF(AND(LEFT(UPPER(D34),5)&lt;&gt;"ACRES",LEFT(UPPER(D34),6)&lt;&gt;"SUPRES",LEFT(UPPER(D34),4)&lt;&gt;"DECR"),"ALERTA: TIPO_INVALIDO","OK"))))))</f>
        <v/>
      </c>
    </row>
    <row r="35" spans="1:13" ht="15.9" customHeight="1" x14ac:dyDescent="0.35">
      <c r="A35" s="137"/>
      <c r="B35" s="138"/>
      <c r="C35" s="128" t="str">
        <f>IF(B35="","",IFERROR(IF(AND(B35&gt;=parametros!$C$2,B35&lt;=parametros!$D$2),"C0",IF(AND(B35&gt;=parametros!$C$3,B35&lt;=parametros!$D$3),"C1",IF(AND(B35&gt;=parametros!$C$4,B35&lt;=parametros!$D$4),"C2",IF(AND(B35&gt;=parametros!$C$5,B35&lt;=parametros!$D$5),"C3",IF(AND(B35&gt;=parametros!$C$6,B35&lt;=parametros!$D$6),"C4","Fora dos ciclos"))))),"Fora dos ciclos"))</f>
        <v/>
      </c>
      <c r="D35" s="137"/>
      <c r="E35" s="139"/>
      <c r="F35" s="140" t="str">
        <f>IF(A35="","",IFERROR(VLOOKUP(A35,itens_Remanesc!$A:$C,3,0),""))</f>
        <v/>
      </c>
      <c r="G35" s="140" t="str">
        <f t="shared" si="3"/>
        <v/>
      </c>
      <c r="H35" s="137"/>
      <c r="I35" s="88" t="str">
        <f>IFERROR(VLOOKUP(C35,parametros!$B:$F,5,0),"")</f>
        <v/>
      </c>
      <c r="J35" s="140" t="str">
        <f t="shared" si="4"/>
        <v/>
      </c>
      <c r="K35" s="137"/>
      <c r="L35" s="110" t="str">
        <f t="shared" si="5"/>
        <v/>
      </c>
      <c r="M35" s="111" t="str">
        <f>IF(A35="","",IF(COUNTIF(itens_Remanesc!$A$2:$A$200,A35)=0,"ALERTA: ITEM_AUSENTE",IF(COUNTIF(itens_Remanesc!$A$2:$A$200,A35)&gt;1,"ALERTA: ITEM_DUPLICADO",IF(OR(C35="",C35="Fora dos ciclos"),"ALERTA: CICLO_INVALIDO",IF(NOT(ISNUMBER(E35)),"ALERTA: QTD_INVALIDA",IF(AND(LEFT(UPPER(D35),5)&lt;&gt;"ACRES",LEFT(UPPER(D35),6)&lt;&gt;"SUPRES",LEFT(UPPER(D35),4)&lt;&gt;"DECR"),"ALERTA: TIPO_INVALIDO","OK"))))))</f>
        <v/>
      </c>
    </row>
    <row r="36" spans="1:13" ht="15.9" customHeight="1" x14ac:dyDescent="0.35">
      <c r="A36" s="137"/>
      <c r="B36" s="138"/>
      <c r="C36" s="128" t="str">
        <f>IF(B36="","",IFERROR(IF(AND(B36&gt;=parametros!$C$2,B36&lt;=parametros!$D$2),"C0",IF(AND(B36&gt;=parametros!$C$3,B36&lt;=parametros!$D$3),"C1",IF(AND(B36&gt;=parametros!$C$4,B36&lt;=parametros!$D$4),"C2",IF(AND(B36&gt;=parametros!$C$5,B36&lt;=parametros!$D$5),"C3",IF(AND(B36&gt;=parametros!$C$6,B36&lt;=parametros!$D$6),"C4","Fora dos ciclos"))))),"Fora dos ciclos"))</f>
        <v/>
      </c>
      <c r="D36" s="137"/>
      <c r="E36" s="139"/>
      <c r="F36" s="140" t="str">
        <f>IF(A36="","",IFERROR(VLOOKUP(A36,itens_Remanesc!$A:$C,3,0),""))</f>
        <v/>
      </c>
      <c r="G36" s="140" t="str">
        <f t="shared" si="3"/>
        <v/>
      </c>
      <c r="H36" s="137"/>
      <c r="I36" s="88" t="str">
        <f>IFERROR(VLOOKUP(C36,parametros!$B:$F,5,0),"")</f>
        <v/>
      </c>
      <c r="J36" s="140" t="str">
        <f t="shared" si="4"/>
        <v/>
      </c>
      <c r="K36" s="137"/>
      <c r="L36" s="110" t="str">
        <f t="shared" si="5"/>
        <v/>
      </c>
      <c r="M36" s="111" t="str">
        <f>IF(A36="","",IF(COUNTIF(itens_Remanesc!$A$2:$A$200,A36)=0,"ALERTA: ITEM_AUSENTE",IF(COUNTIF(itens_Remanesc!$A$2:$A$200,A36)&gt;1,"ALERTA: ITEM_DUPLICADO",IF(OR(C36="",C36="Fora dos ciclos"),"ALERTA: CICLO_INVALIDO",IF(NOT(ISNUMBER(E36)),"ALERTA: QTD_INVALIDA",IF(AND(LEFT(UPPER(D36),5)&lt;&gt;"ACRES",LEFT(UPPER(D36),6)&lt;&gt;"SUPRES",LEFT(UPPER(D36),4)&lt;&gt;"DECR"),"ALERTA: TIPO_INVALIDO","OK"))))))</f>
        <v/>
      </c>
    </row>
    <row r="37" spans="1:13" ht="15.9" customHeight="1" x14ac:dyDescent="0.35">
      <c r="A37" s="137"/>
      <c r="B37" s="138"/>
      <c r="C37" s="128" t="str">
        <f>IF(B37="","",IFERROR(IF(AND(B37&gt;=parametros!$C$2,B37&lt;=parametros!$D$2),"C0",IF(AND(B37&gt;=parametros!$C$3,B37&lt;=parametros!$D$3),"C1",IF(AND(B37&gt;=parametros!$C$4,B37&lt;=parametros!$D$4),"C2",IF(AND(B37&gt;=parametros!$C$5,B37&lt;=parametros!$D$5),"C3",IF(AND(B37&gt;=parametros!$C$6,B37&lt;=parametros!$D$6),"C4","Fora dos ciclos"))))),"Fora dos ciclos"))</f>
        <v/>
      </c>
      <c r="D37" s="137"/>
      <c r="E37" s="139"/>
      <c r="F37" s="140" t="str">
        <f>IF(A37="","",IFERROR(VLOOKUP(A37,itens_Remanesc!$A:$C,3,0),""))</f>
        <v/>
      </c>
      <c r="G37" s="140" t="str">
        <f t="shared" si="3"/>
        <v/>
      </c>
      <c r="H37" s="137"/>
      <c r="I37" s="88" t="str">
        <f>IFERROR(VLOOKUP(C37,parametros!$B:$F,5,0),"")</f>
        <v/>
      </c>
      <c r="J37" s="140" t="str">
        <f t="shared" si="4"/>
        <v/>
      </c>
      <c r="K37" s="137"/>
      <c r="L37" s="110" t="str">
        <f t="shared" si="5"/>
        <v/>
      </c>
      <c r="M37" s="111" t="str">
        <f>IF(A37="","",IF(COUNTIF(itens_Remanesc!$A$2:$A$200,A37)=0,"ALERTA: ITEM_AUSENTE",IF(COUNTIF(itens_Remanesc!$A$2:$A$200,A37)&gt;1,"ALERTA: ITEM_DUPLICADO",IF(OR(C37="",C37="Fora dos ciclos"),"ALERTA: CICLO_INVALIDO",IF(NOT(ISNUMBER(E37)),"ALERTA: QTD_INVALIDA",IF(AND(LEFT(UPPER(D37),5)&lt;&gt;"ACRES",LEFT(UPPER(D37),6)&lt;&gt;"SUPRES",LEFT(UPPER(D37),4)&lt;&gt;"DECR"),"ALERTA: TIPO_INVALIDO","OK"))))))</f>
        <v/>
      </c>
    </row>
    <row r="38" spans="1:13" ht="15.9" customHeight="1" x14ac:dyDescent="0.35">
      <c r="A38" s="137"/>
      <c r="B38" s="138"/>
      <c r="C38" s="128" t="str">
        <f>IF(B38="","",IFERROR(IF(AND(B38&gt;=parametros!$C$2,B38&lt;=parametros!$D$2),"C0",IF(AND(B38&gt;=parametros!$C$3,B38&lt;=parametros!$D$3),"C1",IF(AND(B38&gt;=parametros!$C$4,B38&lt;=parametros!$D$4),"C2",IF(AND(B38&gt;=parametros!$C$5,B38&lt;=parametros!$D$5),"C3",IF(AND(B38&gt;=parametros!$C$6,B38&lt;=parametros!$D$6),"C4","Fora dos ciclos"))))),"Fora dos ciclos"))</f>
        <v/>
      </c>
      <c r="D38" s="137"/>
      <c r="E38" s="139"/>
      <c r="F38" s="140" t="str">
        <f>IF(A38="","",IFERROR(VLOOKUP(A38,itens_Remanesc!$A:$C,3,0),""))</f>
        <v/>
      </c>
      <c r="G38" s="140" t="str">
        <f t="shared" si="3"/>
        <v/>
      </c>
      <c r="H38" s="137"/>
      <c r="I38" s="88" t="str">
        <f>IFERROR(VLOOKUP(C38,parametros!$B:$F,5,0),"")</f>
        <v/>
      </c>
      <c r="J38" s="140" t="str">
        <f t="shared" si="4"/>
        <v/>
      </c>
      <c r="K38" s="137"/>
      <c r="L38" s="110" t="str">
        <f t="shared" si="5"/>
        <v/>
      </c>
      <c r="M38" s="111" t="str">
        <f>IF(A38="","",IF(COUNTIF(itens_Remanesc!$A$2:$A$200,A38)=0,"ALERTA: ITEM_AUSENTE",IF(COUNTIF(itens_Remanesc!$A$2:$A$200,A38)&gt;1,"ALERTA: ITEM_DUPLICADO",IF(OR(C38="",C38="Fora dos ciclos"),"ALERTA: CICLO_INVALIDO",IF(NOT(ISNUMBER(E38)),"ALERTA: QTD_INVALIDA",IF(AND(LEFT(UPPER(D38),5)&lt;&gt;"ACRES",LEFT(UPPER(D38),6)&lt;&gt;"SUPRES",LEFT(UPPER(D38),4)&lt;&gt;"DECR"),"ALERTA: TIPO_INVALIDO","OK"))))))</f>
        <v/>
      </c>
    </row>
    <row r="39" spans="1:13" ht="15.9" customHeight="1" x14ac:dyDescent="0.35">
      <c r="A39" s="137"/>
      <c r="B39" s="138"/>
      <c r="C39" s="128" t="str">
        <f>IF(B39="","",IFERROR(IF(AND(B39&gt;=parametros!$C$2,B39&lt;=parametros!$D$2),"C0",IF(AND(B39&gt;=parametros!$C$3,B39&lt;=parametros!$D$3),"C1",IF(AND(B39&gt;=parametros!$C$4,B39&lt;=parametros!$D$4),"C2",IF(AND(B39&gt;=parametros!$C$5,B39&lt;=parametros!$D$5),"C3",IF(AND(B39&gt;=parametros!$C$6,B39&lt;=parametros!$D$6),"C4","Fora dos ciclos"))))),"Fora dos ciclos"))</f>
        <v/>
      </c>
      <c r="D39" s="137"/>
      <c r="E39" s="139"/>
      <c r="F39" s="140" t="str">
        <f>IF(A39="","",IFERROR(VLOOKUP(A39,itens_Remanesc!$A:$C,3,0),""))</f>
        <v/>
      </c>
      <c r="G39" s="140" t="str">
        <f t="shared" si="3"/>
        <v/>
      </c>
      <c r="H39" s="137"/>
      <c r="I39" s="88" t="str">
        <f>IFERROR(VLOOKUP(C39,parametros!$B:$F,5,0),"")</f>
        <v/>
      </c>
      <c r="J39" s="140" t="str">
        <f t="shared" si="4"/>
        <v/>
      </c>
      <c r="K39" s="137"/>
      <c r="L39" s="110" t="str">
        <f t="shared" si="5"/>
        <v/>
      </c>
      <c r="M39" s="111" t="str">
        <f>IF(A39="","",IF(COUNTIF(itens_Remanesc!$A$2:$A$200,A39)=0,"ALERTA: ITEM_AUSENTE",IF(COUNTIF(itens_Remanesc!$A$2:$A$200,A39)&gt;1,"ALERTA: ITEM_DUPLICADO",IF(OR(C39="",C39="Fora dos ciclos"),"ALERTA: CICLO_INVALIDO",IF(NOT(ISNUMBER(E39)),"ALERTA: QTD_INVALIDA",IF(AND(LEFT(UPPER(D39),5)&lt;&gt;"ACRES",LEFT(UPPER(D39),6)&lt;&gt;"SUPRES",LEFT(UPPER(D39),4)&lt;&gt;"DECR"),"ALERTA: TIPO_INVALIDO","OK"))))))</f>
        <v/>
      </c>
    </row>
    <row r="40" spans="1:13" ht="15.9" customHeight="1" x14ac:dyDescent="0.35">
      <c r="A40" s="137"/>
      <c r="B40" s="138"/>
      <c r="C40" s="128" t="str">
        <f>IF(B40="","",IFERROR(IF(AND(B40&gt;=parametros!$C$2,B40&lt;=parametros!$D$2),"C0",IF(AND(B40&gt;=parametros!$C$3,B40&lt;=parametros!$D$3),"C1",IF(AND(B40&gt;=parametros!$C$4,B40&lt;=parametros!$D$4),"C2",IF(AND(B40&gt;=parametros!$C$5,B40&lt;=parametros!$D$5),"C3",IF(AND(B40&gt;=parametros!$C$6,B40&lt;=parametros!$D$6),"C4","Fora dos ciclos"))))),"Fora dos ciclos"))</f>
        <v/>
      </c>
      <c r="D40" s="137"/>
      <c r="E40" s="139"/>
      <c r="F40" s="140" t="str">
        <f>IF(A40="","",IFERROR(VLOOKUP(A40,itens_Remanesc!$A:$C,3,0),""))</f>
        <v/>
      </c>
      <c r="G40" s="140" t="str">
        <f t="shared" si="3"/>
        <v/>
      </c>
      <c r="H40" s="137"/>
      <c r="I40" s="88" t="str">
        <f>IFERROR(VLOOKUP(C40,parametros!$B:$F,5,0),"")</f>
        <v/>
      </c>
      <c r="J40" s="140" t="str">
        <f t="shared" si="4"/>
        <v/>
      </c>
      <c r="K40" s="137"/>
      <c r="L40" s="110" t="str">
        <f t="shared" si="5"/>
        <v/>
      </c>
      <c r="M40" s="111" t="str">
        <f>IF(A40="","",IF(COUNTIF(itens_Remanesc!$A$2:$A$200,A40)=0,"ALERTA: ITEM_AUSENTE",IF(COUNTIF(itens_Remanesc!$A$2:$A$200,A40)&gt;1,"ALERTA: ITEM_DUPLICADO",IF(OR(C40="",C40="Fora dos ciclos"),"ALERTA: CICLO_INVALIDO",IF(NOT(ISNUMBER(E40)),"ALERTA: QTD_INVALIDA",IF(AND(LEFT(UPPER(D40),5)&lt;&gt;"ACRES",LEFT(UPPER(D40),6)&lt;&gt;"SUPRES",LEFT(UPPER(D40),4)&lt;&gt;"DECR"),"ALERTA: TIPO_INVALIDO","OK"))))))</f>
        <v/>
      </c>
    </row>
    <row r="41" spans="1:13" ht="15.9" customHeight="1" x14ac:dyDescent="0.35">
      <c r="A41" s="137"/>
      <c r="B41" s="138"/>
      <c r="C41" s="128" t="str">
        <f>IF(B41="","",IFERROR(IF(AND(B41&gt;=parametros!$C$2,B41&lt;=parametros!$D$2),"C0",IF(AND(B41&gt;=parametros!$C$3,B41&lt;=parametros!$D$3),"C1",IF(AND(B41&gt;=parametros!$C$4,B41&lt;=parametros!$D$4),"C2",IF(AND(B41&gt;=parametros!$C$5,B41&lt;=parametros!$D$5),"C3",IF(AND(B41&gt;=parametros!$C$6,B41&lt;=parametros!$D$6),"C4","Fora dos ciclos"))))),"Fora dos ciclos"))</f>
        <v/>
      </c>
      <c r="D41" s="137"/>
      <c r="E41" s="139"/>
      <c r="F41" s="140" t="str">
        <f>IF(A41="","",IFERROR(VLOOKUP(A41,itens_Remanesc!$A:$C,3,0),""))</f>
        <v/>
      </c>
      <c r="G41" s="140" t="str">
        <f t="shared" si="3"/>
        <v/>
      </c>
      <c r="H41" s="137"/>
      <c r="I41" s="88" t="str">
        <f>IFERROR(VLOOKUP(C41,parametros!$B:$F,5,0),"")</f>
        <v/>
      </c>
      <c r="J41" s="140" t="str">
        <f t="shared" si="4"/>
        <v/>
      </c>
      <c r="K41" s="137"/>
      <c r="L41" s="110" t="str">
        <f t="shared" si="5"/>
        <v/>
      </c>
      <c r="M41" s="111" t="str">
        <f>IF(A41="","",IF(COUNTIF(itens_Remanesc!$A$2:$A$200,A41)=0,"ALERTA: ITEM_AUSENTE",IF(COUNTIF(itens_Remanesc!$A$2:$A$200,A41)&gt;1,"ALERTA: ITEM_DUPLICADO",IF(OR(C41="",C41="Fora dos ciclos"),"ALERTA: CICLO_INVALIDO",IF(NOT(ISNUMBER(E41)),"ALERTA: QTD_INVALIDA",IF(AND(LEFT(UPPER(D41),5)&lt;&gt;"ACRES",LEFT(UPPER(D41),6)&lt;&gt;"SUPRES",LEFT(UPPER(D41),4)&lt;&gt;"DECR"),"ALERTA: TIPO_INVALIDO","OK"))))))</f>
        <v/>
      </c>
    </row>
    <row r="42" spans="1:13" ht="15.9" customHeight="1" x14ac:dyDescent="0.35">
      <c r="A42" s="137"/>
      <c r="B42" s="138"/>
      <c r="C42" s="128" t="str">
        <f>IF(B42="","",IFERROR(IF(AND(B42&gt;=parametros!$C$2,B42&lt;=parametros!$D$2),"C0",IF(AND(B42&gt;=parametros!$C$3,B42&lt;=parametros!$D$3),"C1",IF(AND(B42&gt;=parametros!$C$4,B42&lt;=parametros!$D$4),"C2",IF(AND(B42&gt;=parametros!$C$5,B42&lt;=parametros!$D$5),"C3",IF(AND(B42&gt;=parametros!$C$6,B42&lt;=parametros!$D$6),"C4","Fora dos ciclos"))))),"Fora dos ciclos"))</f>
        <v/>
      </c>
      <c r="D42" s="137"/>
      <c r="E42" s="139"/>
      <c r="F42" s="140" t="str">
        <f>IF(A42="","",IFERROR(VLOOKUP(A42,itens_Remanesc!$A:$C,3,0),""))</f>
        <v/>
      </c>
      <c r="G42" s="140" t="str">
        <f t="shared" si="3"/>
        <v/>
      </c>
      <c r="H42" s="137"/>
      <c r="I42" s="88" t="str">
        <f>IFERROR(VLOOKUP(C42,parametros!$B:$F,5,0),"")</f>
        <v/>
      </c>
      <c r="J42" s="140" t="str">
        <f t="shared" si="4"/>
        <v/>
      </c>
      <c r="K42" s="137"/>
      <c r="L42" s="110" t="str">
        <f t="shared" si="5"/>
        <v/>
      </c>
      <c r="M42" s="111" t="str">
        <f>IF(A42="","",IF(COUNTIF(itens_Remanesc!$A$2:$A$200,A42)=0,"ALERTA: ITEM_AUSENTE",IF(COUNTIF(itens_Remanesc!$A$2:$A$200,A42)&gt;1,"ALERTA: ITEM_DUPLICADO",IF(OR(C42="",C42="Fora dos ciclos"),"ALERTA: CICLO_INVALIDO",IF(NOT(ISNUMBER(E42)),"ALERTA: QTD_INVALIDA",IF(AND(LEFT(UPPER(D42),5)&lt;&gt;"ACRES",LEFT(UPPER(D42),6)&lt;&gt;"SUPRES",LEFT(UPPER(D42),4)&lt;&gt;"DECR"),"ALERTA: TIPO_INVALIDO","OK"))))))</f>
        <v/>
      </c>
    </row>
    <row r="43" spans="1:13" ht="15.9" customHeight="1" x14ac:dyDescent="0.35">
      <c r="A43" s="137"/>
      <c r="B43" s="138"/>
      <c r="C43" s="128" t="str">
        <f>IF(B43="","",IFERROR(IF(AND(B43&gt;=parametros!$C$2,B43&lt;=parametros!$D$2),"C0",IF(AND(B43&gt;=parametros!$C$3,B43&lt;=parametros!$D$3),"C1",IF(AND(B43&gt;=parametros!$C$4,B43&lt;=parametros!$D$4),"C2",IF(AND(B43&gt;=parametros!$C$5,B43&lt;=parametros!$D$5),"C3",IF(AND(B43&gt;=parametros!$C$6,B43&lt;=parametros!$D$6),"C4","Fora dos ciclos"))))),"Fora dos ciclos"))</f>
        <v/>
      </c>
      <c r="D43" s="137"/>
      <c r="E43" s="139"/>
      <c r="F43" s="140" t="str">
        <f>IF(A43="","",IFERROR(VLOOKUP(A43,itens_Remanesc!$A:$C,3,0),""))</f>
        <v/>
      </c>
      <c r="G43" s="140" t="str">
        <f t="shared" si="3"/>
        <v/>
      </c>
      <c r="H43" s="137"/>
      <c r="I43" s="88" t="str">
        <f>IFERROR(VLOOKUP(C43,parametros!$B:$F,5,0),"")</f>
        <v/>
      </c>
      <c r="J43" s="140" t="str">
        <f t="shared" si="4"/>
        <v/>
      </c>
      <c r="K43" s="137"/>
      <c r="L43" s="110" t="str">
        <f t="shared" si="5"/>
        <v/>
      </c>
      <c r="M43" s="111" t="str">
        <f>IF(A43="","",IF(COUNTIF(itens_Remanesc!$A$2:$A$200,A43)=0,"ALERTA: ITEM_AUSENTE",IF(COUNTIF(itens_Remanesc!$A$2:$A$200,A43)&gt;1,"ALERTA: ITEM_DUPLICADO",IF(OR(C43="",C43="Fora dos ciclos"),"ALERTA: CICLO_INVALIDO",IF(NOT(ISNUMBER(E43)),"ALERTA: QTD_INVALIDA",IF(AND(LEFT(UPPER(D43),5)&lt;&gt;"ACRES",LEFT(UPPER(D43),6)&lt;&gt;"SUPRES",LEFT(UPPER(D43),4)&lt;&gt;"DECR"),"ALERTA: TIPO_INVALIDO","OK"))))))</f>
        <v/>
      </c>
    </row>
    <row r="44" spans="1:13" ht="15.9" customHeight="1" x14ac:dyDescent="0.35">
      <c r="A44" s="137"/>
      <c r="B44" s="138"/>
      <c r="C44" s="128" t="str">
        <f>IF(B44="","",IFERROR(IF(AND(B44&gt;=parametros!$C$2,B44&lt;=parametros!$D$2),"C0",IF(AND(B44&gt;=parametros!$C$3,B44&lt;=parametros!$D$3),"C1",IF(AND(B44&gt;=parametros!$C$4,B44&lt;=parametros!$D$4),"C2",IF(AND(B44&gt;=parametros!$C$5,B44&lt;=parametros!$D$5),"C3",IF(AND(B44&gt;=parametros!$C$6,B44&lt;=parametros!$D$6),"C4","Fora dos ciclos"))))),"Fora dos ciclos"))</f>
        <v/>
      </c>
      <c r="D44" s="137"/>
      <c r="E44" s="139"/>
      <c r="F44" s="140" t="str">
        <f>IF(A44="","",IFERROR(VLOOKUP(A44,itens_Remanesc!$A:$C,3,0),""))</f>
        <v/>
      </c>
      <c r="G44" s="140" t="str">
        <f t="shared" si="3"/>
        <v/>
      </c>
      <c r="H44" s="137"/>
      <c r="I44" s="88" t="str">
        <f>IFERROR(VLOOKUP(C44,parametros!$B:$F,5,0),"")</f>
        <v/>
      </c>
      <c r="J44" s="140" t="str">
        <f t="shared" si="4"/>
        <v/>
      </c>
      <c r="K44" s="137"/>
      <c r="L44" s="110" t="str">
        <f t="shared" si="5"/>
        <v/>
      </c>
      <c r="M44" s="111" t="str">
        <f>IF(A44="","",IF(COUNTIF(itens_Remanesc!$A$2:$A$200,A44)=0,"ALERTA: ITEM_AUSENTE",IF(COUNTIF(itens_Remanesc!$A$2:$A$200,A44)&gt;1,"ALERTA: ITEM_DUPLICADO",IF(OR(C44="",C44="Fora dos ciclos"),"ALERTA: CICLO_INVALIDO",IF(NOT(ISNUMBER(E44)),"ALERTA: QTD_INVALIDA",IF(AND(LEFT(UPPER(D44),5)&lt;&gt;"ACRES",LEFT(UPPER(D44),6)&lt;&gt;"SUPRES",LEFT(UPPER(D44),4)&lt;&gt;"DECR"),"ALERTA: TIPO_INVALIDO","OK"))))))</f>
        <v/>
      </c>
    </row>
    <row r="45" spans="1:13" ht="15.9" customHeight="1" x14ac:dyDescent="0.35">
      <c r="A45" s="137"/>
      <c r="B45" s="138"/>
      <c r="C45" s="128" t="str">
        <f>IF(B45="","",IFERROR(IF(AND(B45&gt;=parametros!$C$2,B45&lt;=parametros!$D$2),"C0",IF(AND(B45&gt;=parametros!$C$3,B45&lt;=parametros!$D$3),"C1",IF(AND(B45&gt;=parametros!$C$4,B45&lt;=parametros!$D$4),"C2",IF(AND(B45&gt;=parametros!$C$5,B45&lt;=parametros!$D$5),"C3",IF(AND(B45&gt;=parametros!$C$6,B45&lt;=parametros!$D$6),"C4","Fora dos ciclos"))))),"Fora dos ciclos"))</f>
        <v/>
      </c>
      <c r="D45" s="137"/>
      <c r="E45" s="139"/>
      <c r="F45" s="140" t="str">
        <f>IF(A45="","",IFERROR(VLOOKUP(A45,itens_Remanesc!$A:$C,3,0),""))</f>
        <v/>
      </c>
      <c r="G45" s="140" t="str">
        <f t="shared" si="3"/>
        <v/>
      </c>
      <c r="H45" s="137"/>
      <c r="I45" s="88" t="str">
        <f>IFERROR(VLOOKUP(C45,parametros!$B:$F,5,0),"")</f>
        <v/>
      </c>
      <c r="J45" s="140" t="str">
        <f t="shared" si="4"/>
        <v/>
      </c>
      <c r="K45" s="137"/>
      <c r="L45" s="110" t="str">
        <f t="shared" si="5"/>
        <v/>
      </c>
      <c r="M45" s="111" t="str">
        <f>IF(A45="","",IF(COUNTIF(itens_Remanesc!$A$2:$A$200,A45)=0,"ALERTA: ITEM_AUSENTE",IF(COUNTIF(itens_Remanesc!$A$2:$A$200,A45)&gt;1,"ALERTA: ITEM_DUPLICADO",IF(OR(C45="",C45="Fora dos ciclos"),"ALERTA: CICLO_INVALIDO",IF(NOT(ISNUMBER(E45)),"ALERTA: QTD_INVALIDA",IF(AND(LEFT(UPPER(D45),5)&lt;&gt;"ACRES",LEFT(UPPER(D45),6)&lt;&gt;"SUPRES",LEFT(UPPER(D45),4)&lt;&gt;"DECR"),"ALERTA: TIPO_INVALIDO","OK"))))))</f>
        <v/>
      </c>
    </row>
    <row r="46" spans="1:13" ht="15.9" customHeight="1" x14ac:dyDescent="0.35">
      <c r="A46" s="137"/>
      <c r="B46" s="138"/>
      <c r="C46" s="128" t="str">
        <f>IF(B46="","",IFERROR(IF(AND(B46&gt;=parametros!$C$2,B46&lt;=parametros!$D$2),"C0",IF(AND(B46&gt;=parametros!$C$3,B46&lt;=parametros!$D$3),"C1",IF(AND(B46&gt;=parametros!$C$4,B46&lt;=parametros!$D$4),"C2",IF(AND(B46&gt;=parametros!$C$5,B46&lt;=parametros!$D$5),"C3",IF(AND(B46&gt;=parametros!$C$6,B46&lt;=parametros!$D$6),"C4","Fora dos ciclos"))))),"Fora dos ciclos"))</f>
        <v/>
      </c>
      <c r="D46" s="137"/>
      <c r="E46" s="139"/>
      <c r="F46" s="140" t="str">
        <f>IF(A46="","",IFERROR(VLOOKUP(A46,itens_Remanesc!$A:$C,3,0),""))</f>
        <v/>
      </c>
      <c r="G46" s="140" t="str">
        <f t="shared" si="3"/>
        <v/>
      </c>
      <c r="H46" s="137"/>
      <c r="I46" s="88" t="str">
        <f>IFERROR(VLOOKUP(C46,parametros!$B:$F,5,0),"")</f>
        <v/>
      </c>
      <c r="J46" s="140" t="str">
        <f t="shared" si="4"/>
        <v/>
      </c>
      <c r="K46" s="137"/>
      <c r="L46" s="110" t="str">
        <f t="shared" si="5"/>
        <v/>
      </c>
      <c r="M46" s="111" t="str">
        <f>IF(A46="","",IF(COUNTIF(itens_Remanesc!$A$2:$A$200,A46)=0,"ALERTA: ITEM_AUSENTE",IF(COUNTIF(itens_Remanesc!$A$2:$A$200,A46)&gt;1,"ALERTA: ITEM_DUPLICADO",IF(OR(C46="",C46="Fora dos ciclos"),"ALERTA: CICLO_INVALIDO",IF(NOT(ISNUMBER(E46)),"ALERTA: QTD_INVALIDA",IF(AND(LEFT(UPPER(D46),5)&lt;&gt;"ACRES",LEFT(UPPER(D46),6)&lt;&gt;"SUPRES",LEFT(UPPER(D46),4)&lt;&gt;"DECR"),"ALERTA: TIPO_INVALIDO","OK"))))))</f>
        <v/>
      </c>
    </row>
    <row r="47" spans="1:13" ht="15.9" customHeight="1" x14ac:dyDescent="0.35">
      <c r="A47" s="137"/>
      <c r="B47" s="138"/>
      <c r="C47" s="128" t="str">
        <f>IF(B47="","",IFERROR(IF(AND(B47&gt;=parametros!$C$2,B47&lt;=parametros!$D$2),"C0",IF(AND(B47&gt;=parametros!$C$3,B47&lt;=parametros!$D$3),"C1",IF(AND(B47&gt;=parametros!$C$4,B47&lt;=parametros!$D$4),"C2",IF(AND(B47&gt;=parametros!$C$5,B47&lt;=parametros!$D$5),"C3",IF(AND(B47&gt;=parametros!$C$6,B47&lt;=parametros!$D$6),"C4","Fora dos ciclos"))))),"Fora dos ciclos"))</f>
        <v/>
      </c>
      <c r="D47" s="137"/>
      <c r="E47" s="139"/>
      <c r="F47" s="140" t="str">
        <f>IF(A47="","",IFERROR(VLOOKUP(A47,itens_Remanesc!$A:$C,3,0),""))</f>
        <v/>
      </c>
      <c r="G47" s="140" t="str">
        <f t="shared" si="3"/>
        <v/>
      </c>
      <c r="H47" s="137"/>
      <c r="I47" s="88" t="str">
        <f>IFERROR(VLOOKUP(C47,parametros!$B:$F,5,0),"")</f>
        <v/>
      </c>
      <c r="J47" s="140" t="str">
        <f t="shared" si="4"/>
        <v/>
      </c>
      <c r="K47" s="137"/>
      <c r="L47" s="110" t="str">
        <f t="shared" si="5"/>
        <v/>
      </c>
      <c r="M47" s="111" t="str">
        <f>IF(A47="","",IF(COUNTIF(itens_Remanesc!$A$2:$A$200,A47)=0,"ALERTA: ITEM_AUSENTE",IF(COUNTIF(itens_Remanesc!$A$2:$A$200,A47)&gt;1,"ALERTA: ITEM_DUPLICADO",IF(OR(C47="",C47="Fora dos ciclos"),"ALERTA: CICLO_INVALIDO",IF(NOT(ISNUMBER(E47)),"ALERTA: QTD_INVALIDA",IF(AND(LEFT(UPPER(D47),5)&lt;&gt;"ACRES",LEFT(UPPER(D47),6)&lt;&gt;"SUPRES",LEFT(UPPER(D47),4)&lt;&gt;"DECR"),"ALERTA: TIPO_INVALIDO","OK"))))))</f>
        <v/>
      </c>
    </row>
    <row r="48" spans="1:13" ht="15.9" customHeight="1" x14ac:dyDescent="0.35">
      <c r="A48" s="137"/>
      <c r="B48" s="138"/>
      <c r="C48" s="128" t="str">
        <f>IF(B48="","",IFERROR(IF(AND(B48&gt;=parametros!$C$2,B48&lt;=parametros!$D$2),"C0",IF(AND(B48&gt;=parametros!$C$3,B48&lt;=parametros!$D$3),"C1",IF(AND(B48&gt;=parametros!$C$4,B48&lt;=parametros!$D$4),"C2",IF(AND(B48&gt;=parametros!$C$5,B48&lt;=parametros!$D$5),"C3",IF(AND(B48&gt;=parametros!$C$6,B48&lt;=parametros!$D$6),"C4","Fora dos ciclos"))))),"Fora dos ciclos"))</f>
        <v/>
      </c>
      <c r="D48" s="137"/>
      <c r="E48" s="139"/>
      <c r="F48" s="140" t="str">
        <f>IF(A48="","",IFERROR(VLOOKUP(A48,itens_Remanesc!$A:$C,3,0),""))</f>
        <v/>
      </c>
      <c r="G48" s="140" t="str">
        <f t="shared" si="3"/>
        <v/>
      </c>
      <c r="H48" s="137"/>
      <c r="I48" s="88" t="str">
        <f>IFERROR(VLOOKUP(C48,parametros!$B:$F,5,0),"")</f>
        <v/>
      </c>
      <c r="J48" s="140" t="str">
        <f t="shared" si="4"/>
        <v/>
      </c>
      <c r="K48" s="137"/>
      <c r="L48" s="110" t="str">
        <f t="shared" si="5"/>
        <v/>
      </c>
      <c r="M48" s="111" t="str">
        <f>IF(A48="","",IF(COUNTIF(itens_Remanesc!$A$2:$A$200,A48)=0,"ALERTA: ITEM_AUSENTE",IF(COUNTIF(itens_Remanesc!$A$2:$A$200,A48)&gt;1,"ALERTA: ITEM_DUPLICADO",IF(OR(C48="",C48="Fora dos ciclos"),"ALERTA: CICLO_INVALIDO",IF(NOT(ISNUMBER(E48)),"ALERTA: QTD_INVALIDA",IF(AND(LEFT(UPPER(D48),5)&lt;&gt;"ACRES",LEFT(UPPER(D48),6)&lt;&gt;"SUPRES",LEFT(UPPER(D48),4)&lt;&gt;"DECR"),"ALERTA: TIPO_INVALIDO","OK"))))))</f>
        <v/>
      </c>
    </row>
    <row r="49" spans="1:13" ht="15.9" customHeight="1" x14ac:dyDescent="0.35">
      <c r="A49" s="137"/>
      <c r="B49" s="138"/>
      <c r="C49" s="128" t="str">
        <f>IF(B49="","",IFERROR(IF(AND(B49&gt;=parametros!$C$2,B49&lt;=parametros!$D$2),"C0",IF(AND(B49&gt;=parametros!$C$3,B49&lt;=parametros!$D$3),"C1",IF(AND(B49&gt;=parametros!$C$4,B49&lt;=parametros!$D$4),"C2",IF(AND(B49&gt;=parametros!$C$5,B49&lt;=parametros!$D$5),"C3",IF(AND(B49&gt;=parametros!$C$6,B49&lt;=parametros!$D$6),"C4","Fora dos ciclos"))))),"Fora dos ciclos"))</f>
        <v/>
      </c>
      <c r="D49" s="137"/>
      <c r="E49" s="139"/>
      <c r="F49" s="140" t="str">
        <f>IF(A49="","",IFERROR(VLOOKUP(A49,itens_Remanesc!$A:$C,3,0),""))</f>
        <v/>
      </c>
      <c r="G49" s="140" t="str">
        <f t="shared" si="3"/>
        <v/>
      </c>
      <c r="H49" s="137"/>
      <c r="I49" s="88" t="str">
        <f>IFERROR(VLOOKUP(C49,parametros!$B:$F,5,0),"")</f>
        <v/>
      </c>
      <c r="J49" s="140" t="str">
        <f t="shared" si="4"/>
        <v/>
      </c>
      <c r="K49" s="137"/>
      <c r="L49" s="110" t="str">
        <f t="shared" si="5"/>
        <v/>
      </c>
      <c r="M49" s="111" t="str">
        <f>IF(A49="","",IF(COUNTIF(itens_Remanesc!$A$2:$A$200,A49)=0,"ALERTA: ITEM_AUSENTE",IF(COUNTIF(itens_Remanesc!$A$2:$A$200,A49)&gt;1,"ALERTA: ITEM_DUPLICADO",IF(OR(C49="",C49="Fora dos ciclos"),"ALERTA: CICLO_INVALIDO",IF(NOT(ISNUMBER(E49)),"ALERTA: QTD_INVALIDA",IF(AND(LEFT(UPPER(D49),5)&lt;&gt;"ACRES",LEFT(UPPER(D49),6)&lt;&gt;"SUPRES",LEFT(UPPER(D49),4)&lt;&gt;"DECR"),"ALERTA: TIPO_INVALIDO","OK"))))))</f>
        <v/>
      </c>
    </row>
    <row r="50" spans="1:13" ht="15.9" customHeight="1" x14ac:dyDescent="0.35">
      <c r="A50" s="137"/>
      <c r="B50" s="138"/>
      <c r="C50" s="128" t="str">
        <f>IF(B50="","",IFERROR(IF(AND(B50&gt;=parametros!$C$2,B50&lt;=parametros!$D$2),"C0",IF(AND(B50&gt;=parametros!$C$3,B50&lt;=parametros!$D$3),"C1",IF(AND(B50&gt;=parametros!$C$4,B50&lt;=parametros!$D$4),"C2",IF(AND(B50&gt;=parametros!$C$5,B50&lt;=parametros!$D$5),"C3",IF(AND(B50&gt;=parametros!$C$6,B50&lt;=parametros!$D$6),"C4","Fora dos ciclos"))))),"Fora dos ciclos"))</f>
        <v/>
      </c>
      <c r="D50" s="137"/>
      <c r="E50" s="139"/>
      <c r="F50" s="140" t="str">
        <f>IF(A50="","",IFERROR(VLOOKUP(A50,itens_Remanesc!$A:$C,3,0),""))</f>
        <v/>
      </c>
      <c r="G50" s="140" t="str">
        <f t="shared" si="3"/>
        <v/>
      </c>
      <c r="H50" s="137"/>
      <c r="I50" s="88" t="str">
        <f>IFERROR(VLOOKUP(C50,parametros!$B:$F,5,0),"")</f>
        <v/>
      </c>
      <c r="J50" s="140" t="str">
        <f t="shared" si="4"/>
        <v/>
      </c>
      <c r="K50" s="137"/>
      <c r="L50" s="110" t="str">
        <f t="shared" si="5"/>
        <v/>
      </c>
      <c r="M50" s="111" t="str">
        <f>IF(A50="","",IF(COUNTIF(itens_Remanesc!$A$2:$A$200,A50)=0,"ALERTA: ITEM_AUSENTE",IF(COUNTIF(itens_Remanesc!$A$2:$A$200,A50)&gt;1,"ALERTA: ITEM_DUPLICADO",IF(OR(C50="",C50="Fora dos ciclos"),"ALERTA: CICLO_INVALIDO",IF(NOT(ISNUMBER(E50)),"ALERTA: QTD_INVALIDA",IF(AND(LEFT(UPPER(D50),5)&lt;&gt;"ACRES",LEFT(UPPER(D50),6)&lt;&gt;"SUPRES",LEFT(UPPER(D50),4)&lt;&gt;"DECR"),"ALERTA: TIPO_INVALIDO","OK"))))))</f>
        <v/>
      </c>
    </row>
    <row r="51" spans="1:13" ht="15.9" customHeight="1" x14ac:dyDescent="0.35">
      <c r="A51" s="137"/>
      <c r="B51" s="138"/>
      <c r="C51" s="128" t="str">
        <f>IF(B51="","",IFERROR(IF(AND(B51&gt;=parametros!$C$2,B51&lt;=parametros!$D$2),"C0",IF(AND(B51&gt;=parametros!$C$3,B51&lt;=parametros!$D$3),"C1",IF(AND(B51&gt;=parametros!$C$4,B51&lt;=parametros!$D$4),"C2",IF(AND(B51&gt;=parametros!$C$5,B51&lt;=parametros!$D$5),"C3",IF(AND(B51&gt;=parametros!$C$6,B51&lt;=parametros!$D$6),"C4","Fora dos ciclos"))))),"Fora dos ciclos"))</f>
        <v/>
      </c>
      <c r="D51" s="137"/>
      <c r="E51" s="139"/>
      <c r="F51" s="140" t="str">
        <f>IF(A51="","",IFERROR(VLOOKUP(A51,itens_Remanesc!$A:$C,3,0),""))</f>
        <v/>
      </c>
      <c r="G51" s="140" t="str">
        <f t="shared" si="3"/>
        <v/>
      </c>
      <c r="H51" s="137"/>
      <c r="I51" s="88" t="str">
        <f>IFERROR(VLOOKUP(C51,parametros!$B:$F,5,0),"")</f>
        <v/>
      </c>
      <c r="J51" s="140" t="str">
        <f t="shared" si="4"/>
        <v/>
      </c>
      <c r="K51" s="137"/>
      <c r="L51" s="110" t="str">
        <f t="shared" si="5"/>
        <v/>
      </c>
      <c r="M51" s="111" t="str">
        <f>IF(A51="","",IF(COUNTIF(itens_Remanesc!$A$2:$A$200,A51)=0,"ALERTA: ITEM_AUSENTE",IF(COUNTIF(itens_Remanesc!$A$2:$A$200,A51)&gt;1,"ALERTA: ITEM_DUPLICADO",IF(OR(C51="",C51="Fora dos ciclos"),"ALERTA: CICLO_INVALIDO",IF(NOT(ISNUMBER(E51)),"ALERTA: QTD_INVALIDA",IF(AND(LEFT(UPPER(D51),5)&lt;&gt;"ACRES",LEFT(UPPER(D51),6)&lt;&gt;"SUPRES",LEFT(UPPER(D51),4)&lt;&gt;"DECR"),"ALERTA: TIPO_INVALIDO","OK"))))))</f>
        <v/>
      </c>
    </row>
    <row r="52" spans="1:13" ht="15.9" customHeight="1" x14ac:dyDescent="0.35">
      <c r="A52" s="137"/>
      <c r="B52" s="138"/>
      <c r="C52" s="128" t="str">
        <f>IF(B52="","",IFERROR(IF(AND(B52&gt;=parametros!$C$2,B52&lt;=parametros!$D$2),"C0",IF(AND(B52&gt;=parametros!$C$3,B52&lt;=parametros!$D$3),"C1",IF(AND(B52&gt;=parametros!$C$4,B52&lt;=parametros!$D$4),"C2",IF(AND(B52&gt;=parametros!$C$5,B52&lt;=parametros!$D$5),"C3",IF(AND(B52&gt;=parametros!$C$6,B52&lt;=parametros!$D$6),"C4","Fora dos ciclos"))))),"Fora dos ciclos"))</f>
        <v/>
      </c>
      <c r="D52" s="137"/>
      <c r="E52" s="139"/>
      <c r="F52" s="140" t="str">
        <f>IF(A52="","",IFERROR(VLOOKUP(A52,itens_Remanesc!$A:$C,3,0),""))</f>
        <v/>
      </c>
      <c r="G52" s="140" t="str">
        <f t="shared" si="3"/>
        <v/>
      </c>
      <c r="H52" s="137"/>
      <c r="I52" s="88" t="str">
        <f>IFERROR(VLOOKUP(C52,parametros!$B:$F,5,0),"")</f>
        <v/>
      </c>
      <c r="J52" s="140" t="str">
        <f t="shared" si="4"/>
        <v/>
      </c>
      <c r="K52" s="137"/>
      <c r="L52" s="110" t="str">
        <f t="shared" si="5"/>
        <v/>
      </c>
      <c r="M52" s="111" t="str">
        <f>IF(A52="","",IF(COUNTIF(itens_Remanesc!$A$2:$A$200,A52)=0,"ALERTA: ITEM_AUSENTE",IF(COUNTIF(itens_Remanesc!$A$2:$A$200,A52)&gt;1,"ALERTA: ITEM_DUPLICADO",IF(OR(C52="",C52="Fora dos ciclos"),"ALERTA: CICLO_INVALIDO",IF(NOT(ISNUMBER(E52)),"ALERTA: QTD_INVALIDA",IF(AND(LEFT(UPPER(D52),5)&lt;&gt;"ACRES",LEFT(UPPER(D52),6)&lt;&gt;"SUPRES",LEFT(UPPER(D52),4)&lt;&gt;"DECR"),"ALERTA: TIPO_INVALIDO","OK"))))))</f>
        <v/>
      </c>
    </row>
    <row r="53" spans="1:13" ht="15.9" customHeight="1" x14ac:dyDescent="0.35">
      <c r="A53" s="137"/>
      <c r="B53" s="138"/>
      <c r="C53" s="128" t="str">
        <f>IF(B53="","",IFERROR(IF(AND(B53&gt;=parametros!$C$2,B53&lt;=parametros!$D$2),"C0",IF(AND(B53&gt;=parametros!$C$3,B53&lt;=parametros!$D$3),"C1",IF(AND(B53&gt;=parametros!$C$4,B53&lt;=parametros!$D$4),"C2",IF(AND(B53&gt;=parametros!$C$5,B53&lt;=parametros!$D$5),"C3",IF(AND(B53&gt;=parametros!$C$6,B53&lt;=parametros!$D$6),"C4","Fora dos ciclos"))))),"Fora dos ciclos"))</f>
        <v/>
      </c>
      <c r="D53" s="137"/>
      <c r="E53" s="139"/>
      <c r="F53" s="140" t="str">
        <f>IF(A53="","",IFERROR(VLOOKUP(A53,itens_Remanesc!$A:$C,3,0),""))</f>
        <v/>
      </c>
      <c r="G53" s="140" t="str">
        <f t="shared" si="3"/>
        <v/>
      </c>
      <c r="H53" s="137"/>
      <c r="I53" s="88" t="str">
        <f>IFERROR(VLOOKUP(C53,parametros!$B:$F,5,0),"")</f>
        <v/>
      </c>
      <c r="J53" s="140" t="str">
        <f t="shared" si="4"/>
        <v/>
      </c>
      <c r="K53" s="137"/>
      <c r="L53" s="110" t="str">
        <f t="shared" si="5"/>
        <v/>
      </c>
      <c r="M53" s="111" t="str">
        <f>IF(A53="","",IF(COUNTIF(itens_Remanesc!$A$2:$A$200,A53)=0,"ALERTA: ITEM_AUSENTE",IF(COUNTIF(itens_Remanesc!$A$2:$A$200,A53)&gt;1,"ALERTA: ITEM_DUPLICADO",IF(OR(C53="",C53="Fora dos ciclos"),"ALERTA: CICLO_INVALIDO",IF(NOT(ISNUMBER(E53)),"ALERTA: QTD_INVALIDA",IF(AND(LEFT(UPPER(D53),5)&lt;&gt;"ACRES",LEFT(UPPER(D53),6)&lt;&gt;"SUPRES",LEFT(UPPER(D53),4)&lt;&gt;"DECR"),"ALERTA: TIPO_INVALIDO","OK"))))))</f>
        <v/>
      </c>
    </row>
    <row r="54" spans="1:13" ht="15.9" customHeight="1" x14ac:dyDescent="0.35">
      <c r="A54" s="137"/>
      <c r="B54" s="138"/>
      <c r="C54" s="128" t="str">
        <f>IF(B54="","",IFERROR(IF(AND(B54&gt;=parametros!$C$2,B54&lt;=parametros!$D$2),"C0",IF(AND(B54&gt;=parametros!$C$3,B54&lt;=parametros!$D$3),"C1",IF(AND(B54&gt;=parametros!$C$4,B54&lt;=parametros!$D$4),"C2",IF(AND(B54&gt;=parametros!$C$5,B54&lt;=parametros!$D$5),"C3",IF(AND(B54&gt;=parametros!$C$6,B54&lt;=parametros!$D$6),"C4","Fora dos ciclos"))))),"Fora dos ciclos"))</f>
        <v/>
      </c>
      <c r="D54" s="137"/>
      <c r="E54" s="139"/>
      <c r="F54" s="140" t="str">
        <f>IF(A54="","",IFERROR(VLOOKUP(A54,itens_Remanesc!$A:$C,3,0),""))</f>
        <v/>
      </c>
      <c r="G54" s="140" t="str">
        <f t="shared" si="3"/>
        <v/>
      </c>
      <c r="H54" s="137"/>
      <c r="I54" s="88" t="str">
        <f>IFERROR(VLOOKUP(C54,parametros!$B:$F,5,0),"")</f>
        <v/>
      </c>
      <c r="J54" s="140" t="str">
        <f t="shared" si="4"/>
        <v/>
      </c>
      <c r="K54" s="137"/>
      <c r="L54" s="110" t="str">
        <f t="shared" si="5"/>
        <v/>
      </c>
      <c r="M54" s="111" t="str">
        <f>IF(A54="","",IF(COUNTIF(itens_Remanesc!$A$2:$A$200,A54)=0,"ALERTA: ITEM_AUSENTE",IF(COUNTIF(itens_Remanesc!$A$2:$A$200,A54)&gt;1,"ALERTA: ITEM_DUPLICADO",IF(OR(C54="",C54="Fora dos ciclos"),"ALERTA: CICLO_INVALIDO",IF(NOT(ISNUMBER(E54)),"ALERTA: QTD_INVALIDA",IF(AND(LEFT(UPPER(D54),5)&lt;&gt;"ACRES",LEFT(UPPER(D54),6)&lt;&gt;"SUPRES",LEFT(UPPER(D54),4)&lt;&gt;"DECR"),"ALERTA: TIPO_INVALIDO","OK"))))))</f>
        <v/>
      </c>
    </row>
    <row r="55" spans="1:13" ht="15.9" customHeight="1" x14ac:dyDescent="0.35">
      <c r="A55" s="137"/>
      <c r="B55" s="138"/>
      <c r="C55" s="128" t="str">
        <f>IF(B55="","",IFERROR(IF(AND(B55&gt;=parametros!$C$2,B55&lt;=parametros!$D$2),"C0",IF(AND(B55&gt;=parametros!$C$3,B55&lt;=parametros!$D$3),"C1",IF(AND(B55&gt;=parametros!$C$4,B55&lt;=parametros!$D$4),"C2",IF(AND(B55&gt;=parametros!$C$5,B55&lt;=parametros!$D$5),"C3",IF(AND(B55&gt;=parametros!$C$6,B55&lt;=parametros!$D$6),"C4","Fora dos ciclos"))))),"Fora dos ciclos"))</f>
        <v/>
      </c>
      <c r="D55" s="137"/>
      <c r="E55" s="139"/>
      <c r="F55" s="140" t="str">
        <f>IF(A55="","",IFERROR(VLOOKUP(A55,itens_Remanesc!$A:$C,3,0),""))</f>
        <v/>
      </c>
      <c r="G55" s="140" t="str">
        <f t="shared" si="3"/>
        <v/>
      </c>
      <c r="H55" s="137"/>
      <c r="I55" s="88" t="str">
        <f>IFERROR(VLOOKUP(C55,parametros!$B:$F,5,0),"")</f>
        <v/>
      </c>
      <c r="J55" s="140" t="str">
        <f t="shared" si="4"/>
        <v/>
      </c>
      <c r="K55" s="137"/>
      <c r="L55" s="110" t="str">
        <f t="shared" si="5"/>
        <v/>
      </c>
      <c r="M55" s="111" t="str">
        <f>IF(A55="","",IF(COUNTIF(itens_Remanesc!$A$2:$A$200,A55)=0,"ALERTA: ITEM_AUSENTE",IF(COUNTIF(itens_Remanesc!$A$2:$A$200,A55)&gt;1,"ALERTA: ITEM_DUPLICADO",IF(OR(C55="",C55="Fora dos ciclos"),"ALERTA: CICLO_INVALIDO",IF(NOT(ISNUMBER(E55)),"ALERTA: QTD_INVALIDA",IF(AND(LEFT(UPPER(D55),5)&lt;&gt;"ACRES",LEFT(UPPER(D55),6)&lt;&gt;"SUPRES",LEFT(UPPER(D55),4)&lt;&gt;"DECR"),"ALERTA: TIPO_INVALIDO","OK"))))))</f>
        <v/>
      </c>
    </row>
    <row r="56" spans="1:13" ht="15.9" customHeight="1" x14ac:dyDescent="0.35">
      <c r="A56" s="137"/>
      <c r="B56" s="138"/>
      <c r="C56" s="128" t="str">
        <f>IF(B56="","",IFERROR(IF(AND(B56&gt;=parametros!$C$2,B56&lt;=parametros!$D$2),"C0",IF(AND(B56&gt;=parametros!$C$3,B56&lt;=parametros!$D$3),"C1",IF(AND(B56&gt;=parametros!$C$4,B56&lt;=parametros!$D$4),"C2",IF(AND(B56&gt;=parametros!$C$5,B56&lt;=parametros!$D$5),"C3",IF(AND(B56&gt;=parametros!$C$6,B56&lt;=parametros!$D$6),"C4","Fora dos ciclos"))))),"Fora dos ciclos"))</f>
        <v/>
      </c>
      <c r="D56" s="137"/>
      <c r="E56" s="139"/>
      <c r="F56" s="140" t="str">
        <f>IF(A56="","",IFERROR(VLOOKUP(A56,itens_Remanesc!$A:$C,3,0),""))</f>
        <v/>
      </c>
      <c r="G56" s="140" t="str">
        <f t="shared" si="3"/>
        <v/>
      </c>
      <c r="H56" s="137"/>
      <c r="I56" s="88" t="str">
        <f>IFERROR(VLOOKUP(C56,parametros!$B:$F,5,0),"")</f>
        <v/>
      </c>
      <c r="J56" s="140" t="str">
        <f t="shared" si="4"/>
        <v/>
      </c>
      <c r="K56" s="137"/>
      <c r="L56" s="110" t="str">
        <f t="shared" si="5"/>
        <v/>
      </c>
      <c r="M56" s="111" t="str">
        <f>IF(A56="","",IF(COUNTIF(itens_Remanesc!$A$2:$A$200,A56)=0,"ALERTA: ITEM_AUSENTE",IF(COUNTIF(itens_Remanesc!$A$2:$A$200,A56)&gt;1,"ALERTA: ITEM_DUPLICADO",IF(OR(C56="",C56="Fora dos ciclos"),"ALERTA: CICLO_INVALIDO",IF(NOT(ISNUMBER(E56)),"ALERTA: QTD_INVALIDA",IF(AND(LEFT(UPPER(D56),5)&lt;&gt;"ACRES",LEFT(UPPER(D56),6)&lt;&gt;"SUPRES",LEFT(UPPER(D56),4)&lt;&gt;"DECR"),"ALERTA: TIPO_INVALIDO","OK"))))))</f>
        <v/>
      </c>
    </row>
    <row r="57" spans="1:13" ht="15.9" customHeight="1" x14ac:dyDescent="0.35">
      <c r="A57" s="137"/>
      <c r="B57" s="138"/>
      <c r="C57" s="128" t="str">
        <f>IF(B57="","",IFERROR(IF(AND(B57&gt;=parametros!$C$2,B57&lt;=parametros!$D$2),"C0",IF(AND(B57&gt;=parametros!$C$3,B57&lt;=parametros!$D$3),"C1",IF(AND(B57&gt;=parametros!$C$4,B57&lt;=parametros!$D$4),"C2",IF(AND(B57&gt;=parametros!$C$5,B57&lt;=parametros!$D$5),"C3",IF(AND(B57&gt;=parametros!$C$6,B57&lt;=parametros!$D$6),"C4","Fora dos ciclos"))))),"Fora dos ciclos"))</f>
        <v/>
      </c>
      <c r="D57" s="137"/>
      <c r="E57" s="139"/>
      <c r="F57" s="140" t="str">
        <f>IF(A57="","",IFERROR(VLOOKUP(A57,itens_Remanesc!$A:$C,3,0),""))</f>
        <v/>
      </c>
      <c r="G57" s="140" t="str">
        <f t="shared" si="3"/>
        <v/>
      </c>
      <c r="H57" s="137"/>
      <c r="I57" s="88" t="str">
        <f>IFERROR(VLOOKUP(C57,parametros!$B:$F,5,0),"")</f>
        <v/>
      </c>
      <c r="J57" s="140" t="str">
        <f t="shared" si="4"/>
        <v/>
      </c>
      <c r="K57" s="137"/>
      <c r="L57" s="110" t="str">
        <f t="shared" si="5"/>
        <v/>
      </c>
      <c r="M57" s="111" t="str">
        <f>IF(A57="","",IF(COUNTIF(itens_Remanesc!$A$2:$A$200,A57)=0,"ALERTA: ITEM_AUSENTE",IF(COUNTIF(itens_Remanesc!$A$2:$A$200,A57)&gt;1,"ALERTA: ITEM_DUPLICADO",IF(OR(C57="",C57="Fora dos ciclos"),"ALERTA: CICLO_INVALIDO",IF(NOT(ISNUMBER(E57)),"ALERTA: QTD_INVALIDA",IF(AND(LEFT(UPPER(D57),5)&lt;&gt;"ACRES",LEFT(UPPER(D57),6)&lt;&gt;"SUPRES",LEFT(UPPER(D57),4)&lt;&gt;"DECR"),"ALERTA: TIPO_INVALIDO","OK"))))))</f>
        <v/>
      </c>
    </row>
    <row r="58" spans="1:13" ht="15.9" customHeight="1" x14ac:dyDescent="0.35">
      <c r="A58" s="137"/>
      <c r="B58" s="138"/>
      <c r="C58" s="128" t="str">
        <f>IF(B58="","",IFERROR(IF(AND(B58&gt;=parametros!$C$2,B58&lt;=parametros!$D$2),"C0",IF(AND(B58&gt;=parametros!$C$3,B58&lt;=parametros!$D$3),"C1",IF(AND(B58&gt;=parametros!$C$4,B58&lt;=parametros!$D$4),"C2",IF(AND(B58&gt;=parametros!$C$5,B58&lt;=parametros!$D$5),"C3",IF(AND(B58&gt;=parametros!$C$6,B58&lt;=parametros!$D$6),"C4","Fora dos ciclos"))))),"Fora dos ciclos"))</f>
        <v/>
      </c>
      <c r="D58" s="137"/>
      <c r="E58" s="139"/>
      <c r="F58" s="140" t="str">
        <f>IF(A58="","",IFERROR(VLOOKUP(A58,itens_Remanesc!$A:$C,3,0),""))</f>
        <v/>
      </c>
      <c r="G58" s="140" t="str">
        <f t="shared" si="3"/>
        <v/>
      </c>
      <c r="H58" s="137"/>
      <c r="I58" s="88" t="str">
        <f>IFERROR(VLOOKUP(C58,parametros!$B:$F,5,0),"")</f>
        <v/>
      </c>
      <c r="J58" s="140" t="str">
        <f t="shared" si="4"/>
        <v/>
      </c>
      <c r="K58" s="137"/>
      <c r="L58" s="110" t="str">
        <f t="shared" si="5"/>
        <v/>
      </c>
      <c r="M58" s="111" t="str">
        <f>IF(A58="","",IF(COUNTIF(itens_Remanesc!$A$2:$A$200,A58)=0,"ALERTA: ITEM_AUSENTE",IF(COUNTIF(itens_Remanesc!$A$2:$A$200,A58)&gt;1,"ALERTA: ITEM_DUPLICADO",IF(OR(C58="",C58="Fora dos ciclos"),"ALERTA: CICLO_INVALIDO",IF(NOT(ISNUMBER(E58)),"ALERTA: QTD_INVALIDA",IF(AND(LEFT(UPPER(D58),5)&lt;&gt;"ACRES",LEFT(UPPER(D58),6)&lt;&gt;"SUPRES",LEFT(UPPER(D58),4)&lt;&gt;"DECR"),"ALERTA: TIPO_INVALIDO","OK"))))))</f>
        <v/>
      </c>
    </row>
    <row r="59" spans="1:13" ht="15.9" customHeight="1" x14ac:dyDescent="0.35">
      <c r="A59" s="137"/>
      <c r="B59" s="138"/>
      <c r="C59" s="128" t="str">
        <f>IF(B59="","",IFERROR(IF(AND(B59&gt;=parametros!$C$2,B59&lt;=parametros!$D$2),"C0",IF(AND(B59&gt;=parametros!$C$3,B59&lt;=parametros!$D$3),"C1",IF(AND(B59&gt;=parametros!$C$4,B59&lt;=parametros!$D$4),"C2",IF(AND(B59&gt;=parametros!$C$5,B59&lt;=parametros!$D$5),"C3",IF(AND(B59&gt;=parametros!$C$6,B59&lt;=parametros!$D$6),"C4","Fora dos ciclos"))))),"Fora dos ciclos"))</f>
        <v/>
      </c>
      <c r="D59" s="137"/>
      <c r="E59" s="139"/>
      <c r="F59" s="140" t="str">
        <f>IF(A59="","",IFERROR(VLOOKUP(A59,itens_Remanesc!$A:$C,3,0),""))</f>
        <v/>
      </c>
      <c r="G59" s="140" t="str">
        <f t="shared" si="3"/>
        <v/>
      </c>
      <c r="H59" s="137"/>
      <c r="I59" s="88" t="str">
        <f>IFERROR(VLOOKUP(C59,parametros!$B:$F,5,0),"")</f>
        <v/>
      </c>
      <c r="J59" s="140" t="str">
        <f t="shared" si="4"/>
        <v/>
      </c>
      <c r="K59" s="137"/>
      <c r="L59" s="110" t="str">
        <f t="shared" si="5"/>
        <v/>
      </c>
      <c r="M59" s="111" t="str">
        <f>IF(A59="","",IF(COUNTIF(itens_Remanesc!$A$2:$A$200,A59)=0,"ALERTA: ITEM_AUSENTE",IF(COUNTIF(itens_Remanesc!$A$2:$A$200,A59)&gt;1,"ALERTA: ITEM_DUPLICADO",IF(OR(C59="",C59="Fora dos ciclos"),"ALERTA: CICLO_INVALIDO",IF(NOT(ISNUMBER(E59)),"ALERTA: QTD_INVALIDA",IF(AND(LEFT(UPPER(D59),5)&lt;&gt;"ACRES",LEFT(UPPER(D59),6)&lt;&gt;"SUPRES",LEFT(UPPER(D59),4)&lt;&gt;"DECR"),"ALERTA: TIPO_INVALIDO","OK"))))))</f>
        <v/>
      </c>
    </row>
    <row r="60" spans="1:13" ht="15.9" customHeight="1" x14ac:dyDescent="0.35">
      <c r="A60" s="137"/>
      <c r="B60" s="138"/>
      <c r="C60" s="128" t="str">
        <f>IF(B60="","",IFERROR(IF(AND(B60&gt;=parametros!$C$2,B60&lt;=parametros!$D$2),"C0",IF(AND(B60&gt;=parametros!$C$3,B60&lt;=parametros!$D$3),"C1",IF(AND(B60&gt;=parametros!$C$4,B60&lt;=parametros!$D$4),"C2",IF(AND(B60&gt;=parametros!$C$5,B60&lt;=parametros!$D$5),"C3",IF(AND(B60&gt;=parametros!$C$6,B60&lt;=parametros!$D$6),"C4","Fora dos ciclos"))))),"Fora dos ciclos"))</f>
        <v/>
      </c>
      <c r="D60" s="137"/>
      <c r="E60" s="139"/>
      <c r="F60" s="140" t="str">
        <f>IF(A60="","",IFERROR(VLOOKUP(A60,itens_Remanesc!$A:$C,3,0),""))</f>
        <v/>
      </c>
      <c r="G60" s="140" t="str">
        <f t="shared" si="3"/>
        <v/>
      </c>
      <c r="H60" s="137"/>
      <c r="I60" s="88" t="str">
        <f>IFERROR(VLOOKUP(C60,parametros!$B:$F,5,0),"")</f>
        <v/>
      </c>
      <c r="J60" s="140" t="str">
        <f t="shared" si="4"/>
        <v/>
      </c>
      <c r="K60" s="137"/>
      <c r="L60" s="110" t="str">
        <f t="shared" si="5"/>
        <v/>
      </c>
      <c r="M60" s="111" t="str">
        <f>IF(A60="","",IF(COUNTIF(itens_Remanesc!$A$2:$A$200,A60)=0,"ALERTA: ITEM_AUSENTE",IF(COUNTIF(itens_Remanesc!$A$2:$A$200,A60)&gt;1,"ALERTA: ITEM_DUPLICADO",IF(OR(C60="",C60="Fora dos ciclos"),"ALERTA: CICLO_INVALIDO",IF(NOT(ISNUMBER(E60)),"ALERTA: QTD_INVALIDA",IF(AND(LEFT(UPPER(D60),5)&lt;&gt;"ACRES",LEFT(UPPER(D60),6)&lt;&gt;"SUPRES",LEFT(UPPER(D60),4)&lt;&gt;"DECR"),"ALERTA: TIPO_INVALIDO","OK"))))))</f>
        <v/>
      </c>
    </row>
    <row r="61" spans="1:13" ht="15.9" customHeight="1" x14ac:dyDescent="0.35">
      <c r="A61" s="137"/>
      <c r="B61" s="138"/>
      <c r="C61" s="128" t="str">
        <f>IF(B61="","",IFERROR(IF(AND(B61&gt;=parametros!$C$2,B61&lt;=parametros!$D$2),"C0",IF(AND(B61&gt;=parametros!$C$3,B61&lt;=parametros!$D$3),"C1",IF(AND(B61&gt;=parametros!$C$4,B61&lt;=parametros!$D$4),"C2",IF(AND(B61&gt;=parametros!$C$5,B61&lt;=parametros!$D$5),"C3",IF(AND(B61&gt;=parametros!$C$6,B61&lt;=parametros!$D$6),"C4","Fora dos ciclos"))))),"Fora dos ciclos"))</f>
        <v/>
      </c>
      <c r="D61" s="137"/>
      <c r="E61" s="139"/>
      <c r="F61" s="140" t="str">
        <f>IF(A61="","",IFERROR(VLOOKUP(A61,itens_Remanesc!$A:$C,3,0),""))</f>
        <v/>
      </c>
      <c r="G61" s="140" t="str">
        <f t="shared" si="3"/>
        <v/>
      </c>
      <c r="H61" s="137"/>
      <c r="I61" s="88" t="str">
        <f>IFERROR(VLOOKUP(C61,parametros!$B:$F,5,0),"")</f>
        <v/>
      </c>
      <c r="J61" s="140" t="str">
        <f t="shared" si="4"/>
        <v/>
      </c>
      <c r="K61" s="137"/>
      <c r="L61" s="110" t="str">
        <f t="shared" si="5"/>
        <v/>
      </c>
      <c r="M61" s="111" t="str">
        <f>IF(A61="","",IF(COUNTIF(itens_Remanesc!$A$2:$A$200,A61)=0,"ALERTA: ITEM_AUSENTE",IF(COUNTIF(itens_Remanesc!$A$2:$A$200,A61)&gt;1,"ALERTA: ITEM_DUPLICADO",IF(OR(C61="",C61="Fora dos ciclos"),"ALERTA: CICLO_INVALIDO",IF(NOT(ISNUMBER(E61)),"ALERTA: QTD_INVALIDA",IF(AND(LEFT(UPPER(D61),5)&lt;&gt;"ACRES",LEFT(UPPER(D61),6)&lt;&gt;"SUPRES",LEFT(UPPER(D61),4)&lt;&gt;"DECR"),"ALERTA: TIPO_INVALIDO","OK"))))))</f>
        <v/>
      </c>
    </row>
    <row r="62" spans="1:13" ht="15.9" customHeight="1" x14ac:dyDescent="0.35">
      <c r="A62" s="137"/>
      <c r="B62" s="138"/>
      <c r="C62" s="128" t="str">
        <f>IF(B62="","",IFERROR(IF(AND(B62&gt;=parametros!$C$2,B62&lt;=parametros!$D$2),"C0",IF(AND(B62&gt;=parametros!$C$3,B62&lt;=parametros!$D$3),"C1",IF(AND(B62&gt;=parametros!$C$4,B62&lt;=parametros!$D$4),"C2",IF(AND(B62&gt;=parametros!$C$5,B62&lt;=parametros!$D$5),"C3",IF(AND(B62&gt;=parametros!$C$6,B62&lt;=parametros!$D$6),"C4","Fora dos ciclos"))))),"Fora dos ciclos"))</f>
        <v/>
      </c>
      <c r="D62" s="137"/>
      <c r="E62" s="139"/>
      <c r="F62" s="140" t="str">
        <f>IF(A62="","",IFERROR(VLOOKUP(A62,itens_Remanesc!$A:$C,3,0),""))</f>
        <v/>
      </c>
      <c r="G62" s="140" t="str">
        <f t="shared" si="3"/>
        <v/>
      </c>
      <c r="H62" s="137"/>
      <c r="I62" s="88" t="str">
        <f>IFERROR(VLOOKUP(C62,parametros!$B:$F,5,0),"")</f>
        <v/>
      </c>
      <c r="J62" s="140" t="str">
        <f t="shared" si="4"/>
        <v/>
      </c>
      <c r="K62" s="137"/>
      <c r="L62" s="110" t="str">
        <f t="shared" si="5"/>
        <v/>
      </c>
      <c r="M62" s="111" t="str">
        <f>IF(A62="","",IF(COUNTIF(itens_Remanesc!$A$2:$A$200,A62)=0,"ALERTA: ITEM_AUSENTE",IF(COUNTIF(itens_Remanesc!$A$2:$A$200,A62)&gt;1,"ALERTA: ITEM_DUPLICADO",IF(OR(C62="",C62="Fora dos ciclos"),"ALERTA: CICLO_INVALIDO",IF(NOT(ISNUMBER(E62)),"ALERTA: QTD_INVALIDA",IF(AND(LEFT(UPPER(D62),5)&lt;&gt;"ACRES",LEFT(UPPER(D62),6)&lt;&gt;"SUPRES",LEFT(UPPER(D62),4)&lt;&gt;"DECR"),"ALERTA: TIPO_INVALIDO","OK"))))))</f>
        <v/>
      </c>
    </row>
    <row r="63" spans="1:13" ht="15.9" customHeight="1" x14ac:dyDescent="0.35">
      <c r="A63" s="137"/>
      <c r="B63" s="138"/>
      <c r="C63" s="128" t="str">
        <f>IF(B63="","",IFERROR(IF(AND(B63&gt;=parametros!$C$2,B63&lt;=parametros!$D$2),"C0",IF(AND(B63&gt;=parametros!$C$3,B63&lt;=parametros!$D$3),"C1",IF(AND(B63&gt;=parametros!$C$4,B63&lt;=parametros!$D$4),"C2",IF(AND(B63&gt;=parametros!$C$5,B63&lt;=parametros!$D$5),"C3",IF(AND(B63&gt;=parametros!$C$6,B63&lt;=parametros!$D$6),"C4","Fora dos ciclos"))))),"Fora dos ciclos"))</f>
        <v/>
      </c>
      <c r="D63" s="137"/>
      <c r="E63" s="139"/>
      <c r="F63" s="140" t="str">
        <f>IF(A63="","",IFERROR(VLOOKUP(A63,itens_Remanesc!$A:$C,3,0),""))</f>
        <v/>
      </c>
      <c r="G63" s="140" t="str">
        <f t="shared" si="3"/>
        <v/>
      </c>
      <c r="H63" s="137"/>
      <c r="I63" s="88" t="str">
        <f>IFERROR(VLOOKUP(C63,parametros!$B:$F,5,0),"")</f>
        <v/>
      </c>
      <c r="J63" s="140" t="str">
        <f t="shared" si="4"/>
        <v/>
      </c>
      <c r="K63" s="137"/>
      <c r="L63" s="110" t="str">
        <f t="shared" si="5"/>
        <v/>
      </c>
      <c r="M63" s="111" t="str">
        <f>IF(A63="","",IF(COUNTIF(itens_Remanesc!$A$2:$A$200,A63)=0,"ALERTA: ITEM_AUSENTE",IF(COUNTIF(itens_Remanesc!$A$2:$A$200,A63)&gt;1,"ALERTA: ITEM_DUPLICADO",IF(OR(C63="",C63="Fora dos ciclos"),"ALERTA: CICLO_INVALIDO",IF(NOT(ISNUMBER(E63)),"ALERTA: QTD_INVALIDA",IF(AND(LEFT(UPPER(D63),5)&lt;&gt;"ACRES",LEFT(UPPER(D63),6)&lt;&gt;"SUPRES",LEFT(UPPER(D63),4)&lt;&gt;"DECR"),"ALERTA: TIPO_INVALIDO","OK"))))))</f>
        <v/>
      </c>
    </row>
    <row r="64" spans="1:13" ht="15.9" customHeight="1" x14ac:dyDescent="0.35">
      <c r="A64" s="137"/>
      <c r="B64" s="138"/>
      <c r="C64" s="128" t="str">
        <f>IF(B64="","",IFERROR(IF(AND(B64&gt;=parametros!$C$2,B64&lt;=parametros!$D$2),"C0",IF(AND(B64&gt;=parametros!$C$3,B64&lt;=parametros!$D$3),"C1",IF(AND(B64&gt;=parametros!$C$4,B64&lt;=parametros!$D$4),"C2",IF(AND(B64&gt;=parametros!$C$5,B64&lt;=parametros!$D$5),"C3",IF(AND(B64&gt;=parametros!$C$6,B64&lt;=parametros!$D$6),"C4","Fora dos ciclos"))))),"Fora dos ciclos"))</f>
        <v/>
      </c>
      <c r="D64" s="137"/>
      <c r="E64" s="139"/>
      <c r="F64" s="140" t="str">
        <f>IF(A64="","",IFERROR(VLOOKUP(A64,itens_Remanesc!$A:$C,3,0),""))</f>
        <v/>
      </c>
      <c r="G64" s="140" t="str">
        <f t="shared" si="3"/>
        <v/>
      </c>
      <c r="H64" s="137"/>
      <c r="I64" s="88" t="str">
        <f>IFERROR(VLOOKUP(C64,parametros!$B:$F,5,0),"")</f>
        <v/>
      </c>
      <c r="J64" s="140" t="str">
        <f t="shared" si="4"/>
        <v/>
      </c>
      <c r="K64" s="137"/>
      <c r="L64" s="110" t="str">
        <f t="shared" si="5"/>
        <v/>
      </c>
      <c r="M64" s="111" t="str">
        <f>IF(A64="","",IF(COUNTIF(itens_Remanesc!$A$2:$A$200,A64)=0,"ALERTA: ITEM_AUSENTE",IF(COUNTIF(itens_Remanesc!$A$2:$A$200,A64)&gt;1,"ALERTA: ITEM_DUPLICADO",IF(OR(C64="",C64="Fora dos ciclos"),"ALERTA: CICLO_INVALIDO",IF(NOT(ISNUMBER(E64)),"ALERTA: QTD_INVALIDA",IF(AND(LEFT(UPPER(D64),5)&lt;&gt;"ACRES",LEFT(UPPER(D64),6)&lt;&gt;"SUPRES",LEFT(UPPER(D64),4)&lt;&gt;"DECR"),"ALERTA: TIPO_INVALIDO","OK"))))))</f>
        <v/>
      </c>
    </row>
    <row r="65" spans="1:13" ht="15.9" customHeight="1" x14ac:dyDescent="0.35">
      <c r="A65" s="137"/>
      <c r="B65" s="138"/>
      <c r="C65" s="128" t="str">
        <f>IF(B65="","",IFERROR(IF(AND(B65&gt;=parametros!$C$2,B65&lt;=parametros!$D$2),"C0",IF(AND(B65&gt;=parametros!$C$3,B65&lt;=parametros!$D$3),"C1",IF(AND(B65&gt;=parametros!$C$4,B65&lt;=parametros!$D$4),"C2",IF(AND(B65&gt;=parametros!$C$5,B65&lt;=parametros!$D$5),"C3",IF(AND(B65&gt;=parametros!$C$6,B65&lt;=parametros!$D$6),"C4","Fora dos ciclos"))))),"Fora dos ciclos"))</f>
        <v/>
      </c>
      <c r="D65" s="137"/>
      <c r="E65" s="139"/>
      <c r="F65" s="140" t="str">
        <f>IF(A65="","",IFERROR(VLOOKUP(A65,itens_Remanesc!$A:$C,3,0),""))</f>
        <v/>
      </c>
      <c r="G65" s="140" t="str">
        <f t="shared" si="3"/>
        <v/>
      </c>
      <c r="H65" s="137"/>
      <c r="I65" s="88" t="str">
        <f>IFERROR(VLOOKUP(C65,parametros!$B:$F,5,0),"")</f>
        <v/>
      </c>
      <c r="J65" s="140" t="str">
        <f t="shared" si="4"/>
        <v/>
      </c>
      <c r="K65" s="137"/>
      <c r="L65" s="110" t="str">
        <f t="shared" si="5"/>
        <v/>
      </c>
      <c r="M65" s="111" t="str">
        <f>IF(A65="","",IF(COUNTIF(itens_Remanesc!$A$2:$A$200,A65)=0,"ALERTA: ITEM_AUSENTE",IF(COUNTIF(itens_Remanesc!$A$2:$A$200,A65)&gt;1,"ALERTA: ITEM_DUPLICADO",IF(OR(C65="",C65="Fora dos ciclos"),"ALERTA: CICLO_INVALIDO",IF(NOT(ISNUMBER(E65)),"ALERTA: QTD_INVALIDA",IF(AND(LEFT(UPPER(D65),5)&lt;&gt;"ACRES",LEFT(UPPER(D65),6)&lt;&gt;"SUPRES",LEFT(UPPER(D65),4)&lt;&gt;"DECR"),"ALERTA: TIPO_INVALIDO","OK"))))))</f>
        <v/>
      </c>
    </row>
    <row r="66" spans="1:13" ht="15.9" customHeight="1" x14ac:dyDescent="0.35">
      <c r="A66" s="137"/>
      <c r="B66" s="138"/>
      <c r="C66" s="128" t="str">
        <f>IF(B66="","",IFERROR(IF(AND(B66&gt;=parametros!$C$2,B66&lt;=parametros!$D$2),"C0",IF(AND(B66&gt;=parametros!$C$3,B66&lt;=parametros!$D$3),"C1",IF(AND(B66&gt;=parametros!$C$4,B66&lt;=parametros!$D$4),"C2",IF(AND(B66&gt;=parametros!$C$5,B66&lt;=parametros!$D$5),"C3",IF(AND(B66&gt;=parametros!$C$6,B66&lt;=parametros!$D$6),"C4","Fora dos ciclos"))))),"Fora dos ciclos"))</f>
        <v/>
      </c>
      <c r="D66" s="137"/>
      <c r="E66" s="139"/>
      <c r="F66" s="140" t="str">
        <f>IF(A66="","",IFERROR(VLOOKUP(A66,itens_Remanesc!$A:$C,3,0),""))</f>
        <v/>
      </c>
      <c r="G66" s="140" t="str">
        <f t="shared" ref="G66:G97" si="6">IF(OR(E66="",F66=""),"",ROUND(E66*F66,2))</f>
        <v/>
      </c>
      <c r="H66" s="137"/>
      <c r="I66" s="88" t="str">
        <f>IFERROR(VLOOKUP(C66,parametros!$B:$F,5,0),"")</f>
        <v/>
      </c>
      <c r="J66" s="140" t="str">
        <f t="shared" ref="J66:J97" si="7">IF(OR(L66="",F66=""),"",ROUND(L66*F66*IF(AND(UPPER(H66)="SIM",ISNUMBER(I66)),I66,1),2))</f>
        <v/>
      </c>
      <c r="K66" s="137"/>
      <c r="L66" s="110" t="str">
        <f t="shared" ref="L66:L97" si="8">IF(OR(A66="",C66="",D66="",NOT(ISNUMBER(E66))),"",IF(LEFT(UPPER(D66),5)="ACRES",ROUND(ABS(E66),2),IF(OR(LEFT(UPPER(D66),6)="SUPRES",LEFT(UPPER(D66),4)="DECR"),ROUND(-ABS(E66),2),"")))</f>
        <v/>
      </c>
      <c r="M66" s="111" t="str">
        <f>IF(A66="","",IF(COUNTIF(itens_Remanesc!$A$2:$A$200,A66)=0,"ALERTA: ITEM_AUSENTE",IF(COUNTIF(itens_Remanesc!$A$2:$A$200,A66)&gt;1,"ALERTA: ITEM_DUPLICADO",IF(OR(C66="",C66="Fora dos ciclos"),"ALERTA: CICLO_INVALIDO",IF(NOT(ISNUMBER(E66)),"ALERTA: QTD_INVALIDA",IF(AND(LEFT(UPPER(D66),5)&lt;&gt;"ACRES",LEFT(UPPER(D66),6)&lt;&gt;"SUPRES",LEFT(UPPER(D66),4)&lt;&gt;"DECR"),"ALERTA: TIPO_INVALIDO","OK"))))))</f>
        <v/>
      </c>
    </row>
    <row r="67" spans="1:13" ht="15.9" customHeight="1" x14ac:dyDescent="0.35">
      <c r="A67" s="137"/>
      <c r="B67" s="138"/>
      <c r="C67" s="128" t="str">
        <f>IF(B67="","",IFERROR(IF(AND(B67&gt;=parametros!$C$2,B67&lt;=parametros!$D$2),"C0",IF(AND(B67&gt;=parametros!$C$3,B67&lt;=parametros!$D$3),"C1",IF(AND(B67&gt;=parametros!$C$4,B67&lt;=parametros!$D$4),"C2",IF(AND(B67&gt;=parametros!$C$5,B67&lt;=parametros!$D$5),"C3",IF(AND(B67&gt;=parametros!$C$6,B67&lt;=parametros!$D$6),"C4","Fora dos ciclos"))))),"Fora dos ciclos"))</f>
        <v/>
      </c>
      <c r="D67" s="137"/>
      <c r="E67" s="139"/>
      <c r="F67" s="140" t="str">
        <f>IF(A67="","",IFERROR(VLOOKUP(A67,itens_Remanesc!$A:$C,3,0),""))</f>
        <v/>
      </c>
      <c r="G67" s="140" t="str">
        <f t="shared" si="6"/>
        <v/>
      </c>
      <c r="H67" s="137"/>
      <c r="I67" s="88" t="str">
        <f>IFERROR(VLOOKUP(C67,parametros!$B:$F,5,0),"")</f>
        <v/>
      </c>
      <c r="J67" s="140" t="str">
        <f t="shared" si="7"/>
        <v/>
      </c>
      <c r="K67" s="137"/>
      <c r="L67" s="110" t="str">
        <f t="shared" si="8"/>
        <v/>
      </c>
      <c r="M67" s="111" t="str">
        <f>IF(A67="","",IF(COUNTIF(itens_Remanesc!$A$2:$A$200,A67)=0,"ALERTA: ITEM_AUSENTE",IF(COUNTIF(itens_Remanesc!$A$2:$A$200,A67)&gt;1,"ALERTA: ITEM_DUPLICADO",IF(OR(C67="",C67="Fora dos ciclos"),"ALERTA: CICLO_INVALIDO",IF(NOT(ISNUMBER(E67)),"ALERTA: QTD_INVALIDA",IF(AND(LEFT(UPPER(D67),5)&lt;&gt;"ACRES",LEFT(UPPER(D67),6)&lt;&gt;"SUPRES",LEFT(UPPER(D67),4)&lt;&gt;"DECR"),"ALERTA: TIPO_INVALIDO","OK"))))))</f>
        <v/>
      </c>
    </row>
    <row r="68" spans="1:13" ht="15.9" customHeight="1" x14ac:dyDescent="0.35">
      <c r="A68" s="137"/>
      <c r="B68" s="138"/>
      <c r="C68" s="128" t="str">
        <f>IF(B68="","",IFERROR(IF(AND(B68&gt;=parametros!$C$2,B68&lt;=parametros!$D$2),"C0",IF(AND(B68&gt;=parametros!$C$3,B68&lt;=parametros!$D$3),"C1",IF(AND(B68&gt;=parametros!$C$4,B68&lt;=parametros!$D$4),"C2",IF(AND(B68&gt;=parametros!$C$5,B68&lt;=parametros!$D$5),"C3",IF(AND(B68&gt;=parametros!$C$6,B68&lt;=parametros!$D$6),"C4","Fora dos ciclos"))))),"Fora dos ciclos"))</f>
        <v/>
      </c>
      <c r="D68" s="137"/>
      <c r="E68" s="139"/>
      <c r="F68" s="140" t="str">
        <f>IF(A68="","",IFERROR(VLOOKUP(A68,itens_Remanesc!$A:$C,3,0),""))</f>
        <v/>
      </c>
      <c r="G68" s="140" t="str">
        <f t="shared" si="6"/>
        <v/>
      </c>
      <c r="H68" s="137"/>
      <c r="I68" s="88" t="str">
        <f>IFERROR(VLOOKUP(C68,parametros!$B:$F,5,0),"")</f>
        <v/>
      </c>
      <c r="J68" s="140" t="str">
        <f t="shared" si="7"/>
        <v/>
      </c>
      <c r="K68" s="137"/>
      <c r="L68" s="110" t="str">
        <f t="shared" si="8"/>
        <v/>
      </c>
      <c r="M68" s="111" t="str">
        <f>IF(A68="","",IF(COUNTIF(itens_Remanesc!$A$2:$A$200,A68)=0,"ALERTA: ITEM_AUSENTE",IF(COUNTIF(itens_Remanesc!$A$2:$A$200,A68)&gt;1,"ALERTA: ITEM_DUPLICADO",IF(OR(C68="",C68="Fora dos ciclos"),"ALERTA: CICLO_INVALIDO",IF(NOT(ISNUMBER(E68)),"ALERTA: QTD_INVALIDA",IF(AND(LEFT(UPPER(D68),5)&lt;&gt;"ACRES",LEFT(UPPER(D68),6)&lt;&gt;"SUPRES",LEFT(UPPER(D68),4)&lt;&gt;"DECR"),"ALERTA: TIPO_INVALIDO","OK"))))))</f>
        <v/>
      </c>
    </row>
    <row r="69" spans="1:13" ht="15.9" customHeight="1" x14ac:dyDescent="0.35">
      <c r="A69" s="137"/>
      <c r="B69" s="138"/>
      <c r="C69" s="128" t="str">
        <f>IF(B69="","",IFERROR(IF(AND(B69&gt;=parametros!$C$2,B69&lt;=parametros!$D$2),"C0",IF(AND(B69&gt;=parametros!$C$3,B69&lt;=parametros!$D$3),"C1",IF(AND(B69&gt;=parametros!$C$4,B69&lt;=parametros!$D$4),"C2",IF(AND(B69&gt;=parametros!$C$5,B69&lt;=parametros!$D$5),"C3",IF(AND(B69&gt;=parametros!$C$6,B69&lt;=parametros!$D$6),"C4","Fora dos ciclos"))))),"Fora dos ciclos"))</f>
        <v/>
      </c>
      <c r="D69" s="137"/>
      <c r="E69" s="139"/>
      <c r="F69" s="140" t="str">
        <f>IF(A69="","",IFERROR(VLOOKUP(A69,itens_Remanesc!$A:$C,3,0),""))</f>
        <v/>
      </c>
      <c r="G69" s="140" t="str">
        <f t="shared" si="6"/>
        <v/>
      </c>
      <c r="H69" s="137"/>
      <c r="I69" s="88" t="str">
        <f>IFERROR(VLOOKUP(C69,parametros!$B:$F,5,0),"")</f>
        <v/>
      </c>
      <c r="J69" s="140" t="str">
        <f t="shared" si="7"/>
        <v/>
      </c>
      <c r="K69" s="137"/>
      <c r="L69" s="110" t="str">
        <f t="shared" si="8"/>
        <v/>
      </c>
      <c r="M69" s="111" t="str">
        <f>IF(A69="","",IF(COUNTIF(itens_Remanesc!$A$2:$A$200,A69)=0,"ALERTA: ITEM_AUSENTE",IF(COUNTIF(itens_Remanesc!$A$2:$A$200,A69)&gt;1,"ALERTA: ITEM_DUPLICADO",IF(OR(C69="",C69="Fora dos ciclos"),"ALERTA: CICLO_INVALIDO",IF(NOT(ISNUMBER(E69)),"ALERTA: QTD_INVALIDA",IF(AND(LEFT(UPPER(D69),5)&lt;&gt;"ACRES",LEFT(UPPER(D69),6)&lt;&gt;"SUPRES",LEFT(UPPER(D69),4)&lt;&gt;"DECR"),"ALERTA: TIPO_INVALIDO","OK"))))))</f>
        <v/>
      </c>
    </row>
    <row r="70" spans="1:13" ht="15.9" customHeight="1" x14ac:dyDescent="0.35">
      <c r="A70" s="137"/>
      <c r="B70" s="138"/>
      <c r="C70" s="128" t="str">
        <f>IF(B70="","",IFERROR(IF(AND(B70&gt;=parametros!$C$2,B70&lt;=parametros!$D$2),"C0",IF(AND(B70&gt;=parametros!$C$3,B70&lt;=parametros!$D$3),"C1",IF(AND(B70&gt;=parametros!$C$4,B70&lt;=parametros!$D$4),"C2",IF(AND(B70&gt;=parametros!$C$5,B70&lt;=parametros!$D$5),"C3",IF(AND(B70&gt;=parametros!$C$6,B70&lt;=parametros!$D$6),"C4","Fora dos ciclos"))))),"Fora dos ciclos"))</f>
        <v/>
      </c>
      <c r="D70" s="137"/>
      <c r="E70" s="139"/>
      <c r="F70" s="140" t="str">
        <f>IF(A70="","",IFERROR(VLOOKUP(A70,itens_Remanesc!$A:$C,3,0),""))</f>
        <v/>
      </c>
      <c r="G70" s="140" t="str">
        <f t="shared" si="6"/>
        <v/>
      </c>
      <c r="H70" s="137"/>
      <c r="I70" s="88" t="str">
        <f>IFERROR(VLOOKUP(C70,parametros!$B:$F,5,0),"")</f>
        <v/>
      </c>
      <c r="J70" s="140" t="str">
        <f t="shared" si="7"/>
        <v/>
      </c>
      <c r="K70" s="137"/>
      <c r="L70" s="110" t="str">
        <f t="shared" si="8"/>
        <v/>
      </c>
      <c r="M70" s="111" t="str">
        <f>IF(A70="","",IF(COUNTIF(itens_Remanesc!$A$2:$A$200,A70)=0,"ALERTA: ITEM_AUSENTE",IF(COUNTIF(itens_Remanesc!$A$2:$A$200,A70)&gt;1,"ALERTA: ITEM_DUPLICADO",IF(OR(C70="",C70="Fora dos ciclos"),"ALERTA: CICLO_INVALIDO",IF(NOT(ISNUMBER(E70)),"ALERTA: QTD_INVALIDA",IF(AND(LEFT(UPPER(D70),5)&lt;&gt;"ACRES",LEFT(UPPER(D70),6)&lt;&gt;"SUPRES",LEFT(UPPER(D70),4)&lt;&gt;"DECR"),"ALERTA: TIPO_INVALIDO","OK"))))))</f>
        <v/>
      </c>
    </row>
    <row r="71" spans="1:13" ht="15.9" customHeight="1" x14ac:dyDescent="0.35">
      <c r="A71" s="137"/>
      <c r="B71" s="138"/>
      <c r="C71" s="128" t="str">
        <f>IF(B71="","",IFERROR(IF(AND(B71&gt;=parametros!$C$2,B71&lt;=parametros!$D$2),"C0",IF(AND(B71&gt;=parametros!$C$3,B71&lt;=parametros!$D$3),"C1",IF(AND(B71&gt;=parametros!$C$4,B71&lt;=parametros!$D$4),"C2",IF(AND(B71&gt;=parametros!$C$5,B71&lt;=parametros!$D$5),"C3",IF(AND(B71&gt;=parametros!$C$6,B71&lt;=parametros!$D$6),"C4","Fora dos ciclos"))))),"Fora dos ciclos"))</f>
        <v/>
      </c>
      <c r="D71" s="137"/>
      <c r="E71" s="139"/>
      <c r="F71" s="140" t="str">
        <f>IF(A71="","",IFERROR(VLOOKUP(A71,itens_Remanesc!$A:$C,3,0),""))</f>
        <v/>
      </c>
      <c r="G71" s="140" t="str">
        <f t="shared" si="6"/>
        <v/>
      </c>
      <c r="H71" s="137"/>
      <c r="I71" s="88" t="str">
        <f>IFERROR(VLOOKUP(C71,parametros!$B:$F,5,0),"")</f>
        <v/>
      </c>
      <c r="J71" s="140" t="str">
        <f t="shared" si="7"/>
        <v/>
      </c>
      <c r="K71" s="137"/>
      <c r="L71" s="110" t="str">
        <f t="shared" si="8"/>
        <v/>
      </c>
      <c r="M71" s="111" t="str">
        <f>IF(A71="","",IF(COUNTIF(itens_Remanesc!$A$2:$A$200,A71)=0,"ALERTA: ITEM_AUSENTE",IF(COUNTIF(itens_Remanesc!$A$2:$A$200,A71)&gt;1,"ALERTA: ITEM_DUPLICADO",IF(OR(C71="",C71="Fora dos ciclos"),"ALERTA: CICLO_INVALIDO",IF(NOT(ISNUMBER(E71)),"ALERTA: QTD_INVALIDA",IF(AND(LEFT(UPPER(D71),5)&lt;&gt;"ACRES",LEFT(UPPER(D71),6)&lt;&gt;"SUPRES",LEFT(UPPER(D71),4)&lt;&gt;"DECR"),"ALERTA: TIPO_INVALIDO","OK"))))))</f>
        <v/>
      </c>
    </row>
    <row r="72" spans="1:13" ht="15.9" customHeight="1" x14ac:dyDescent="0.35">
      <c r="A72" s="137"/>
      <c r="B72" s="138"/>
      <c r="C72" s="128" t="str">
        <f>IF(B72="","",IFERROR(IF(AND(B72&gt;=parametros!$C$2,B72&lt;=parametros!$D$2),"C0",IF(AND(B72&gt;=parametros!$C$3,B72&lt;=parametros!$D$3),"C1",IF(AND(B72&gt;=parametros!$C$4,B72&lt;=parametros!$D$4),"C2",IF(AND(B72&gt;=parametros!$C$5,B72&lt;=parametros!$D$5),"C3",IF(AND(B72&gt;=parametros!$C$6,B72&lt;=parametros!$D$6),"C4","Fora dos ciclos"))))),"Fora dos ciclos"))</f>
        <v/>
      </c>
      <c r="D72" s="137"/>
      <c r="E72" s="139"/>
      <c r="F72" s="140" t="str">
        <f>IF(A72="","",IFERROR(VLOOKUP(A72,itens_Remanesc!$A:$C,3,0),""))</f>
        <v/>
      </c>
      <c r="G72" s="140" t="str">
        <f t="shared" si="6"/>
        <v/>
      </c>
      <c r="H72" s="137"/>
      <c r="I72" s="88" t="str">
        <f>IFERROR(VLOOKUP(C72,parametros!$B:$F,5,0),"")</f>
        <v/>
      </c>
      <c r="J72" s="140" t="str">
        <f t="shared" si="7"/>
        <v/>
      </c>
      <c r="K72" s="137"/>
      <c r="L72" s="110" t="str">
        <f t="shared" si="8"/>
        <v/>
      </c>
      <c r="M72" s="111" t="str">
        <f>IF(A72="","",IF(COUNTIF(itens_Remanesc!$A$2:$A$200,A72)=0,"ALERTA: ITEM_AUSENTE",IF(COUNTIF(itens_Remanesc!$A$2:$A$200,A72)&gt;1,"ALERTA: ITEM_DUPLICADO",IF(OR(C72="",C72="Fora dos ciclos"),"ALERTA: CICLO_INVALIDO",IF(NOT(ISNUMBER(E72)),"ALERTA: QTD_INVALIDA",IF(AND(LEFT(UPPER(D72),5)&lt;&gt;"ACRES",LEFT(UPPER(D72),6)&lt;&gt;"SUPRES",LEFT(UPPER(D72),4)&lt;&gt;"DECR"),"ALERTA: TIPO_INVALIDO","OK"))))))</f>
        <v/>
      </c>
    </row>
    <row r="73" spans="1:13" ht="15.9" customHeight="1" x14ac:dyDescent="0.35">
      <c r="A73" s="137"/>
      <c r="B73" s="138"/>
      <c r="C73" s="128" t="str">
        <f>IF(B73="","",IFERROR(IF(AND(B73&gt;=parametros!$C$2,B73&lt;=parametros!$D$2),"C0",IF(AND(B73&gt;=parametros!$C$3,B73&lt;=parametros!$D$3),"C1",IF(AND(B73&gt;=parametros!$C$4,B73&lt;=parametros!$D$4),"C2",IF(AND(B73&gt;=parametros!$C$5,B73&lt;=parametros!$D$5),"C3",IF(AND(B73&gt;=parametros!$C$6,B73&lt;=parametros!$D$6),"C4","Fora dos ciclos"))))),"Fora dos ciclos"))</f>
        <v/>
      </c>
      <c r="D73" s="137"/>
      <c r="E73" s="139"/>
      <c r="F73" s="140" t="str">
        <f>IF(A73="","",IFERROR(VLOOKUP(A73,itens_Remanesc!$A:$C,3,0),""))</f>
        <v/>
      </c>
      <c r="G73" s="140" t="str">
        <f t="shared" si="6"/>
        <v/>
      </c>
      <c r="H73" s="137"/>
      <c r="I73" s="88" t="str">
        <f>IFERROR(VLOOKUP(C73,parametros!$B:$F,5,0),"")</f>
        <v/>
      </c>
      <c r="J73" s="140" t="str">
        <f t="shared" si="7"/>
        <v/>
      </c>
      <c r="K73" s="137"/>
      <c r="L73" s="110" t="str">
        <f t="shared" si="8"/>
        <v/>
      </c>
      <c r="M73" s="111" t="str">
        <f>IF(A73="","",IF(COUNTIF(itens_Remanesc!$A$2:$A$200,A73)=0,"ALERTA: ITEM_AUSENTE",IF(COUNTIF(itens_Remanesc!$A$2:$A$200,A73)&gt;1,"ALERTA: ITEM_DUPLICADO",IF(OR(C73="",C73="Fora dos ciclos"),"ALERTA: CICLO_INVALIDO",IF(NOT(ISNUMBER(E73)),"ALERTA: QTD_INVALIDA",IF(AND(LEFT(UPPER(D73),5)&lt;&gt;"ACRES",LEFT(UPPER(D73),6)&lt;&gt;"SUPRES",LEFT(UPPER(D73),4)&lt;&gt;"DECR"),"ALERTA: TIPO_INVALIDO","OK"))))))</f>
        <v/>
      </c>
    </row>
    <row r="74" spans="1:13" ht="15.9" customHeight="1" x14ac:dyDescent="0.35">
      <c r="A74" s="137"/>
      <c r="B74" s="138"/>
      <c r="C74" s="128" t="str">
        <f>IF(B74="","",IFERROR(IF(AND(B74&gt;=parametros!$C$2,B74&lt;=parametros!$D$2),"C0",IF(AND(B74&gt;=parametros!$C$3,B74&lt;=parametros!$D$3),"C1",IF(AND(B74&gt;=parametros!$C$4,B74&lt;=parametros!$D$4),"C2",IF(AND(B74&gt;=parametros!$C$5,B74&lt;=parametros!$D$5),"C3",IF(AND(B74&gt;=parametros!$C$6,B74&lt;=parametros!$D$6),"C4","Fora dos ciclos"))))),"Fora dos ciclos"))</f>
        <v/>
      </c>
      <c r="D74" s="137"/>
      <c r="E74" s="139"/>
      <c r="F74" s="140" t="str">
        <f>IF(A74="","",IFERROR(VLOOKUP(A74,itens_Remanesc!$A:$C,3,0),""))</f>
        <v/>
      </c>
      <c r="G74" s="140" t="str">
        <f t="shared" si="6"/>
        <v/>
      </c>
      <c r="H74" s="137"/>
      <c r="I74" s="88" t="str">
        <f>IFERROR(VLOOKUP(C74,parametros!$B:$F,5,0),"")</f>
        <v/>
      </c>
      <c r="J74" s="140" t="str">
        <f t="shared" si="7"/>
        <v/>
      </c>
      <c r="K74" s="137"/>
      <c r="L74" s="110" t="str">
        <f t="shared" si="8"/>
        <v/>
      </c>
      <c r="M74" s="111" t="str">
        <f>IF(A74="","",IF(COUNTIF(itens_Remanesc!$A$2:$A$200,A74)=0,"ALERTA: ITEM_AUSENTE",IF(COUNTIF(itens_Remanesc!$A$2:$A$200,A74)&gt;1,"ALERTA: ITEM_DUPLICADO",IF(OR(C74="",C74="Fora dos ciclos"),"ALERTA: CICLO_INVALIDO",IF(NOT(ISNUMBER(E74)),"ALERTA: QTD_INVALIDA",IF(AND(LEFT(UPPER(D74),5)&lt;&gt;"ACRES",LEFT(UPPER(D74),6)&lt;&gt;"SUPRES",LEFT(UPPER(D74),4)&lt;&gt;"DECR"),"ALERTA: TIPO_INVALIDO","OK"))))))</f>
        <v/>
      </c>
    </row>
    <row r="75" spans="1:13" ht="15.9" customHeight="1" x14ac:dyDescent="0.35">
      <c r="A75" s="137"/>
      <c r="B75" s="138"/>
      <c r="C75" s="128" t="str">
        <f>IF(B75="","",IFERROR(IF(AND(B75&gt;=parametros!$C$2,B75&lt;=parametros!$D$2),"C0",IF(AND(B75&gt;=parametros!$C$3,B75&lt;=parametros!$D$3),"C1",IF(AND(B75&gt;=parametros!$C$4,B75&lt;=parametros!$D$4),"C2",IF(AND(B75&gt;=parametros!$C$5,B75&lt;=parametros!$D$5),"C3",IF(AND(B75&gt;=parametros!$C$6,B75&lt;=parametros!$D$6),"C4","Fora dos ciclos"))))),"Fora dos ciclos"))</f>
        <v/>
      </c>
      <c r="D75" s="137"/>
      <c r="E75" s="139"/>
      <c r="F75" s="140" t="str">
        <f>IF(A75="","",IFERROR(VLOOKUP(A75,itens_Remanesc!$A:$C,3,0),""))</f>
        <v/>
      </c>
      <c r="G75" s="140" t="str">
        <f t="shared" si="6"/>
        <v/>
      </c>
      <c r="H75" s="137"/>
      <c r="I75" s="88" t="str">
        <f>IFERROR(VLOOKUP(C75,parametros!$B:$F,5,0),"")</f>
        <v/>
      </c>
      <c r="J75" s="140" t="str">
        <f t="shared" si="7"/>
        <v/>
      </c>
      <c r="K75" s="137"/>
      <c r="L75" s="110" t="str">
        <f t="shared" si="8"/>
        <v/>
      </c>
      <c r="M75" s="111" t="str">
        <f>IF(A75="","",IF(COUNTIF(itens_Remanesc!$A$2:$A$200,A75)=0,"ALERTA: ITEM_AUSENTE",IF(COUNTIF(itens_Remanesc!$A$2:$A$200,A75)&gt;1,"ALERTA: ITEM_DUPLICADO",IF(OR(C75="",C75="Fora dos ciclos"),"ALERTA: CICLO_INVALIDO",IF(NOT(ISNUMBER(E75)),"ALERTA: QTD_INVALIDA",IF(AND(LEFT(UPPER(D75),5)&lt;&gt;"ACRES",LEFT(UPPER(D75),6)&lt;&gt;"SUPRES",LEFT(UPPER(D75),4)&lt;&gt;"DECR"),"ALERTA: TIPO_INVALIDO","OK"))))))</f>
        <v/>
      </c>
    </row>
    <row r="76" spans="1:13" ht="15.9" customHeight="1" x14ac:dyDescent="0.35">
      <c r="A76" s="137"/>
      <c r="B76" s="138"/>
      <c r="C76" s="128" t="str">
        <f>IF(B76="","",IFERROR(IF(AND(B76&gt;=parametros!$C$2,B76&lt;=parametros!$D$2),"C0",IF(AND(B76&gt;=parametros!$C$3,B76&lt;=parametros!$D$3),"C1",IF(AND(B76&gt;=parametros!$C$4,B76&lt;=parametros!$D$4),"C2",IF(AND(B76&gt;=parametros!$C$5,B76&lt;=parametros!$D$5),"C3",IF(AND(B76&gt;=parametros!$C$6,B76&lt;=parametros!$D$6),"C4","Fora dos ciclos"))))),"Fora dos ciclos"))</f>
        <v/>
      </c>
      <c r="D76" s="137"/>
      <c r="E76" s="139"/>
      <c r="F76" s="140" t="str">
        <f>IF(A76="","",IFERROR(VLOOKUP(A76,itens_Remanesc!$A:$C,3,0),""))</f>
        <v/>
      </c>
      <c r="G76" s="140" t="str">
        <f t="shared" si="6"/>
        <v/>
      </c>
      <c r="H76" s="137"/>
      <c r="I76" s="88" t="str">
        <f>IFERROR(VLOOKUP(C76,parametros!$B:$F,5,0),"")</f>
        <v/>
      </c>
      <c r="J76" s="140" t="str">
        <f t="shared" si="7"/>
        <v/>
      </c>
      <c r="K76" s="137"/>
      <c r="L76" s="110" t="str">
        <f t="shared" si="8"/>
        <v/>
      </c>
      <c r="M76" s="111" t="str">
        <f>IF(A76="","",IF(COUNTIF(itens_Remanesc!$A$2:$A$200,A76)=0,"ALERTA: ITEM_AUSENTE",IF(COUNTIF(itens_Remanesc!$A$2:$A$200,A76)&gt;1,"ALERTA: ITEM_DUPLICADO",IF(OR(C76="",C76="Fora dos ciclos"),"ALERTA: CICLO_INVALIDO",IF(NOT(ISNUMBER(E76)),"ALERTA: QTD_INVALIDA",IF(AND(LEFT(UPPER(D76),5)&lt;&gt;"ACRES",LEFT(UPPER(D76),6)&lt;&gt;"SUPRES",LEFT(UPPER(D76),4)&lt;&gt;"DECR"),"ALERTA: TIPO_INVALIDO","OK"))))))</f>
        <v/>
      </c>
    </row>
    <row r="77" spans="1:13" ht="15.9" customHeight="1" x14ac:dyDescent="0.35">
      <c r="A77" s="137"/>
      <c r="B77" s="138"/>
      <c r="C77" s="128" t="str">
        <f>IF(B77="","",IFERROR(IF(AND(B77&gt;=parametros!$C$2,B77&lt;=parametros!$D$2),"C0",IF(AND(B77&gt;=parametros!$C$3,B77&lt;=parametros!$D$3),"C1",IF(AND(B77&gt;=parametros!$C$4,B77&lt;=parametros!$D$4),"C2",IF(AND(B77&gt;=parametros!$C$5,B77&lt;=parametros!$D$5),"C3",IF(AND(B77&gt;=parametros!$C$6,B77&lt;=parametros!$D$6),"C4","Fora dos ciclos"))))),"Fora dos ciclos"))</f>
        <v/>
      </c>
      <c r="D77" s="137"/>
      <c r="E77" s="139"/>
      <c r="F77" s="140" t="str">
        <f>IF(A77="","",IFERROR(VLOOKUP(A77,itens_Remanesc!$A:$C,3,0),""))</f>
        <v/>
      </c>
      <c r="G77" s="140" t="str">
        <f t="shared" si="6"/>
        <v/>
      </c>
      <c r="H77" s="137"/>
      <c r="I77" s="88" t="str">
        <f>IFERROR(VLOOKUP(C77,parametros!$B:$F,5,0),"")</f>
        <v/>
      </c>
      <c r="J77" s="140" t="str">
        <f t="shared" si="7"/>
        <v/>
      </c>
      <c r="K77" s="137"/>
      <c r="L77" s="110" t="str">
        <f t="shared" si="8"/>
        <v/>
      </c>
      <c r="M77" s="111" t="str">
        <f>IF(A77="","",IF(COUNTIF(itens_Remanesc!$A$2:$A$200,A77)=0,"ALERTA: ITEM_AUSENTE",IF(COUNTIF(itens_Remanesc!$A$2:$A$200,A77)&gt;1,"ALERTA: ITEM_DUPLICADO",IF(OR(C77="",C77="Fora dos ciclos"),"ALERTA: CICLO_INVALIDO",IF(NOT(ISNUMBER(E77)),"ALERTA: QTD_INVALIDA",IF(AND(LEFT(UPPER(D77),5)&lt;&gt;"ACRES",LEFT(UPPER(D77),6)&lt;&gt;"SUPRES",LEFT(UPPER(D77),4)&lt;&gt;"DECR"),"ALERTA: TIPO_INVALIDO","OK"))))))</f>
        <v/>
      </c>
    </row>
    <row r="78" spans="1:13" ht="15.9" customHeight="1" x14ac:dyDescent="0.35">
      <c r="A78" s="137"/>
      <c r="B78" s="138"/>
      <c r="C78" s="128" t="str">
        <f>IF(B78="","",IFERROR(IF(AND(B78&gt;=parametros!$C$2,B78&lt;=parametros!$D$2),"C0",IF(AND(B78&gt;=parametros!$C$3,B78&lt;=parametros!$D$3),"C1",IF(AND(B78&gt;=parametros!$C$4,B78&lt;=parametros!$D$4),"C2",IF(AND(B78&gt;=parametros!$C$5,B78&lt;=parametros!$D$5),"C3",IF(AND(B78&gt;=parametros!$C$6,B78&lt;=parametros!$D$6),"C4","Fora dos ciclos"))))),"Fora dos ciclos"))</f>
        <v/>
      </c>
      <c r="D78" s="137"/>
      <c r="E78" s="139"/>
      <c r="F78" s="140" t="str">
        <f>IF(A78="","",IFERROR(VLOOKUP(A78,itens_Remanesc!$A:$C,3,0),""))</f>
        <v/>
      </c>
      <c r="G78" s="140" t="str">
        <f t="shared" si="6"/>
        <v/>
      </c>
      <c r="H78" s="137"/>
      <c r="I78" s="88" t="str">
        <f>IFERROR(VLOOKUP(C78,parametros!$B:$F,5,0),"")</f>
        <v/>
      </c>
      <c r="J78" s="140" t="str">
        <f t="shared" si="7"/>
        <v/>
      </c>
      <c r="K78" s="137"/>
      <c r="L78" s="110" t="str">
        <f t="shared" si="8"/>
        <v/>
      </c>
      <c r="M78" s="111" t="str">
        <f>IF(A78="","",IF(COUNTIF(itens_Remanesc!$A$2:$A$200,A78)=0,"ALERTA: ITEM_AUSENTE",IF(COUNTIF(itens_Remanesc!$A$2:$A$200,A78)&gt;1,"ALERTA: ITEM_DUPLICADO",IF(OR(C78="",C78="Fora dos ciclos"),"ALERTA: CICLO_INVALIDO",IF(NOT(ISNUMBER(E78)),"ALERTA: QTD_INVALIDA",IF(AND(LEFT(UPPER(D78),5)&lt;&gt;"ACRES",LEFT(UPPER(D78),6)&lt;&gt;"SUPRES",LEFT(UPPER(D78),4)&lt;&gt;"DECR"),"ALERTA: TIPO_INVALIDO","OK"))))))</f>
        <v/>
      </c>
    </row>
    <row r="79" spans="1:13" ht="15.9" customHeight="1" x14ac:dyDescent="0.35">
      <c r="A79" s="137"/>
      <c r="B79" s="138"/>
      <c r="C79" s="128" t="str">
        <f>IF(B79="","",IFERROR(IF(AND(B79&gt;=parametros!$C$2,B79&lt;=parametros!$D$2),"C0",IF(AND(B79&gt;=parametros!$C$3,B79&lt;=parametros!$D$3),"C1",IF(AND(B79&gt;=parametros!$C$4,B79&lt;=parametros!$D$4),"C2",IF(AND(B79&gt;=parametros!$C$5,B79&lt;=parametros!$D$5),"C3",IF(AND(B79&gt;=parametros!$C$6,B79&lt;=parametros!$D$6),"C4","Fora dos ciclos"))))),"Fora dos ciclos"))</f>
        <v/>
      </c>
      <c r="D79" s="137"/>
      <c r="E79" s="139"/>
      <c r="F79" s="140" t="str">
        <f>IF(A79="","",IFERROR(VLOOKUP(A79,itens_Remanesc!$A:$C,3,0),""))</f>
        <v/>
      </c>
      <c r="G79" s="140" t="str">
        <f t="shared" si="6"/>
        <v/>
      </c>
      <c r="H79" s="137"/>
      <c r="I79" s="88" t="str">
        <f>IFERROR(VLOOKUP(C79,parametros!$B:$F,5,0),"")</f>
        <v/>
      </c>
      <c r="J79" s="140" t="str">
        <f t="shared" si="7"/>
        <v/>
      </c>
      <c r="K79" s="137"/>
      <c r="L79" s="110" t="str">
        <f t="shared" si="8"/>
        <v/>
      </c>
      <c r="M79" s="111" t="str">
        <f>IF(A79="","",IF(COUNTIF(itens_Remanesc!$A$2:$A$200,A79)=0,"ALERTA: ITEM_AUSENTE",IF(COUNTIF(itens_Remanesc!$A$2:$A$200,A79)&gt;1,"ALERTA: ITEM_DUPLICADO",IF(OR(C79="",C79="Fora dos ciclos"),"ALERTA: CICLO_INVALIDO",IF(NOT(ISNUMBER(E79)),"ALERTA: QTD_INVALIDA",IF(AND(LEFT(UPPER(D79),5)&lt;&gt;"ACRES",LEFT(UPPER(D79),6)&lt;&gt;"SUPRES",LEFT(UPPER(D79),4)&lt;&gt;"DECR"),"ALERTA: TIPO_INVALIDO","OK"))))))</f>
        <v/>
      </c>
    </row>
    <row r="80" spans="1:13" ht="15.9" customHeight="1" x14ac:dyDescent="0.35">
      <c r="A80" s="137"/>
      <c r="B80" s="138"/>
      <c r="C80" s="128" t="str">
        <f>IF(B80="","",IFERROR(IF(AND(B80&gt;=parametros!$C$2,B80&lt;=parametros!$D$2),"C0",IF(AND(B80&gt;=parametros!$C$3,B80&lt;=parametros!$D$3),"C1",IF(AND(B80&gt;=parametros!$C$4,B80&lt;=parametros!$D$4),"C2",IF(AND(B80&gt;=parametros!$C$5,B80&lt;=parametros!$D$5),"C3",IF(AND(B80&gt;=parametros!$C$6,B80&lt;=parametros!$D$6),"C4","Fora dos ciclos"))))),"Fora dos ciclos"))</f>
        <v/>
      </c>
      <c r="D80" s="137"/>
      <c r="E80" s="139"/>
      <c r="F80" s="140" t="str">
        <f>IF(A80="","",IFERROR(VLOOKUP(A80,itens_Remanesc!$A:$C,3,0),""))</f>
        <v/>
      </c>
      <c r="G80" s="140" t="str">
        <f t="shared" si="6"/>
        <v/>
      </c>
      <c r="H80" s="137"/>
      <c r="I80" s="88" t="str">
        <f>IFERROR(VLOOKUP(C80,parametros!$B:$F,5,0),"")</f>
        <v/>
      </c>
      <c r="J80" s="140" t="str">
        <f t="shared" si="7"/>
        <v/>
      </c>
      <c r="K80" s="137"/>
      <c r="L80" s="110" t="str">
        <f t="shared" si="8"/>
        <v/>
      </c>
      <c r="M80" s="111" t="str">
        <f>IF(A80="","",IF(COUNTIF(itens_Remanesc!$A$2:$A$200,A80)=0,"ALERTA: ITEM_AUSENTE",IF(COUNTIF(itens_Remanesc!$A$2:$A$200,A80)&gt;1,"ALERTA: ITEM_DUPLICADO",IF(OR(C80="",C80="Fora dos ciclos"),"ALERTA: CICLO_INVALIDO",IF(NOT(ISNUMBER(E80)),"ALERTA: QTD_INVALIDA",IF(AND(LEFT(UPPER(D80),5)&lt;&gt;"ACRES",LEFT(UPPER(D80),6)&lt;&gt;"SUPRES",LEFT(UPPER(D80),4)&lt;&gt;"DECR"),"ALERTA: TIPO_INVALIDO","OK"))))))</f>
        <v/>
      </c>
    </row>
    <row r="81" spans="1:13" ht="15.9" customHeight="1" x14ac:dyDescent="0.35">
      <c r="A81" s="137"/>
      <c r="B81" s="138"/>
      <c r="C81" s="128" t="str">
        <f>IF(B81="","",IFERROR(IF(AND(B81&gt;=parametros!$C$2,B81&lt;=parametros!$D$2),"C0",IF(AND(B81&gt;=parametros!$C$3,B81&lt;=parametros!$D$3),"C1",IF(AND(B81&gt;=parametros!$C$4,B81&lt;=parametros!$D$4),"C2",IF(AND(B81&gt;=parametros!$C$5,B81&lt;=parametros!$D$5),"C3",IF(AND(B81&gt;=parametros!$C$6,B81&lt;=parametros!$D$6),"C4","Fora dos ciclos"))))),"Fora dos ciclos"))</f>
        <v/>
      </c>
      <c r="D81" s="137"/>
      <c r="E81" s="139"/>
      <c r="F81" s="140" t="str">
        <f>IF(A81="","",IFERROR(VLOOKUP(A81,itens_Remanesc!$A:$C,3,0),""))</f>
        <v/>
      </c>
      <c r="G81" s="140" t="str">
        <f t="shared" si="6"/>
        <v/>
      </c>
      <c r="H81" s="137"/>
      <c r="I81" s="88" t="str">
        <f>IFERROR(VLOOKUP(C81,parametros!$B:$F,5,0),"")</f>
        <v/>
      </c>
      <c r="J81" s="140" t="str">
        <f t="shared" si="7"/>
        <v/>
      </c>
      <c r="K81" s="137"/>
      <c r="L81" s="110" t="str">
        <f t="shared" si="8"/>
        <v/>
      </c>
      <c r="M81" s="111" t="str">
        <f>IF(A81="","",IF(COUNTIF(itens_Remanesc!$A$2:$A$200,A81)=0,"ALERTA: ITEM_AUSENTE",IF(COUNTIF(itens_Remanesc!$A$2:$A$200,A81)&gt;1,"ALERTA: ITEM_DUPLICADO",IF(OR(C81="",C81="Fora dos ciclos"),"ALERTA: CICLO_INVALIDO",IF(NOT(ISNUMBER(E81)),"ALERTA: QTD_INVALIDA",IF(AND(LEFT(UPPER(D81),5)&lt;&gt;"ACRES",LEFT(UPPER(D81),6)&lt;&gt;"SUPRES",LEFT(UPPER(D81),4)&lt;&gt;"DECR"),"ALERTA: TIPO_INVALIDO","OK"))))))</f>
        <v/>
      </c>
    </row>
    <row r="82" spans="1:13" ht="15.9" customHeight="1" x14ac:dyDescent="0.35">
      <c r="A82" s="137"/>
      <c r="B82" s="138"/>
      <c r="C82" s="128" t="str">
        <f>IF(B82="","",IFERROR(IF(AND(B82&gt;=parametros!$C$2,B82&lt;=parametros!$D$2),"C0",IF(AND(B82&gt;=parametros!$C$3,B82&lt;=parametros!$D$3),"C1",IF(AND(B82&gt;=parametros!$C$4,B82&lt;=parametros!$D$4),"C2",IF(AND(B82&gt;=parametros!$C$5,B82&lt;=parametros!$D$5),"C3",IF(AND(B82&gt;=parametros!$C$6,B82&lt;=parametros!$D$6),"C4","Fora dos ciclos"))))),"Fora dos ciclos"))</f>
        <v/>
      </c>
      <c r="D82" s="137"/>
      <c r="E82" s="139"/>
      <c r="F82" s="140" t="str">
        <f>IF(A82="","",IFERROR(VLOOKUP(A82,itens_Remanesc!$A:$C,3,0),""))</f>
        <v/>
      </c>
      <c r="G82" s="140" t="str">
        <f t="shared" si="6"/>
        <v/>
      </c>
      <c r="H82" s="137"/>
      <c r="I82" s="88" t="str">
        <f>IFERROR(VLOOKUP(C82,parametros!$B:$F,5,0),"")</f>
        <v/>
      </c>
      <c r="J82" s="140" t="str">
        <f t="shared" si="7"/>
        <v/>
      </c>
      <c r="K82" s="137"/>
      <c r="L82" s="110" t="str">
        <f t="shared" si="8"/>
        <v/>
      </c>
      <c r="M82" s="111" t="str">
        <f>IF(A82="","",IF(COUNTIF(itens_Remanesc!$A$2:$A$200,A82)=0,"ALERTA: ITEM_AUSENTE",IF(COUNTIF(itens_Remanesc!$A$2:$A$200,A82)&gt;1,"ALERTA: ITEM_DUPLICADO",IF(OR(C82="",C82="Fora dos ciclos"),"ALERTA: CICLO_INVALIDO",IF(NOT(ISNUMBER(E82)),"ALERTA: QTD_INVALIDA",IF(AND(LEFT(UPPER(D82),5)&lt;&gt;"ACRES",LEFT(UPPER(D82),6)&lt;&gt;"SUPRES",LEFT(UPPER(D82),4)&lt;&gt;"DECR"),"ALERTA: TIPO_INVALIDO","OK"))))))</f>
        <v/>
      </c>
    </row>
    <row r="83" spans="1:13" ht="15.9" customHeight="1" x14ac:dyDescent="0.35">
      <c r="A83" s="137"/>
      <c r="B83" s="138"/>
      <c r="C83" s="128" t="str">
        <f>IF(B83="","",IFERROR(IF(AND(B83&gt;=parametros!$C$2,B83&lt;=parametros!$D$2),"C0",IF(AND(B83&gt;=parametros!$C$3,B83&lt;=parametros!$D$3),"C1",IF(AND(B83&gt;=parametros!$C$4,B83&lt;=parametros!$D$4),"C2",IF(AND(B83&gt;=parametros!$C$5,B83&lt;=parametros!$D$5),"C3",IF(AND(B83&gt;=parametros!$C$6,B83&lt;=parametros!$D$6),"C4","Fora dos ciclos"))))),"Fora dos ciclos"))</f>
        <v/>
      </c>
      <c r="D83" s="137"/>
      <c r="E83" s="139"/>
      <c r="F83" s="140" t="str">
        <f>IF(A83="","",IFERROR(VLOOKUP(A83,itens_Remanesc!$A:$C,3,0),""))</f>
        <v/>
      </c>
      <c r="G83" s="140" t="str">
        <f t="shared" si="6"/>
        <v/>
      </c>
      <c r="H83" s="137"/>
      <c r="I83" s="88" t="str">
        <f>IFERROR(VLOOKUP(C83,parametros!$B:$F,5,0),"")</f>
        <v/>
      </c>
      <c r="J83" s="140" t="str">
        <f t="shared" si="7"/>
        <v/>
      </c>
      <c r="K83" s="137"/>
      <c r="L83" s="110" t="str">
        <f t="shared" si="8"/>
        <v/>
      </c>
      <c r="M83" s="111" t="str">
        <f>IF(A83="","",IF(COUNTIF(itens_Remanesc!$A$2:$A$200,A83)=0,"ALERTA: ITEM_AUSENTE",IF(COUNTIF(itens_Remanesc!$A$2:$A$200,A83)&gt;1,"ALERTA: ITEM_DUPLICADO",IF(OR(C83="",C83="Fora dos ciclos"),"ALERTA: CICLO_INVALIDO",IF(NOT(ISNUMBER(E83)),"ALERTA: QTD_INVALIDA",IF(AND(LEFT(UPPER(D83),5)&lt;&gt;"ACRES",LEFT(UPPER(D83),6)&lt;&gt;"SUPRES",LEFT(UPPER(D83),4)&lt;&gt;"DECR"),"ALERTA: TIPO_INVALIDO","OK"))))))</f>
        <v/>
      </c>
    </row>
    <row r="84" spans="1:13" ht="15.9" customHeight="1" x14ac:dyDescent="0.35">
      <c r="A84" s="137"/>
      <c r="B84" s="138"/>
      <c r="C84" s="128" t="str">
        <f>IF(B84="","",IFERROR(IF(AND(B84&gt;=parametros!$C$2,B84&lt;=parametros!$D$2),"C0",IF(AND(B84&gt;=parametros!$C$3,B84&lt;=parametros!$D$3),"C1",IF(AND(B84&gt;=parametros!$C$4,B84&lt;=parametros!$D$4),"C2",IF(AND(B84&gt;=parametros!$C$5,B84&lt;=parametros!$D$5),"C3",IF(AND(B84&gt;=parametros!$C$6,B84&lt;=parametros!$D$6),"C4","Fora dos ciclos"))))),"Fora dos ciclos"))</f>
        <v/>
      </c>
      <c r="D84" s="137"/>
      <c r="E84" s="139"/>
      <c r="F84" s="140" t="str">
        <f>IF(A84="","",IFERROR(VLOOKUP(A84,itens_Remanesc!$A:$C,3,0),""))</f>
        <v/>
      </c>
      <c r="G84" s="140" t="str">
        <f t="shared" si="6"/>
        <v/>
      </c>
      <c r="H84" s="137"/>
      <c r="I84" s="88" t="str">
        <f>IFERROR(VLOOKUP(C84,parametros!$B:$F,5,0),"")</f>
        <v/>
      </c>
      <c r="J84" s="140" t="str">
        <f t="shared" si="7"/>
        <v/>
      </c>
      <c r="K84" s="137"/>
      <c r="L84" s="110" t="str">
        <f t="shared" si="8"/>
        <v/>
      </c>
      <c r="M84" s="111" t="str">
        <f>IF(A84="","",IF(COUNTIF(itens_Remanesc!$A$2:$A$200,A84)=0,"ALERTA: ITEM_AUSENTE",IF(COUNTIF(itens_Remanesc!$A$2:$A$200,A84)&gt;1,"ALERTA: ITEM_DUPLICADO",IF(OR(C84="",C84="Fora dos ciclos"),"ALERTA: CICLO_INVALIDO",IF(NOT(ISNUMBER(E84)),"ALERTA: QTD_INVALIDA",IF(AND(LEFT(UPPER(D84),5)&lt;&gt;"ACRES",LEFT(UPPER(D84),6)&lt;&gt;"SUPRES",LEFT(UPPER(D84),4)&lt;&gt;"DECR"),"ALERTA: TIPO_INVALIDO","OK"))))))</f>
        <v/>
      </c>
    </row>
    <row r="85" spans="1:13" ht="15.9" customHeight="1" x14ac:dyDescent="0.35">
      <c r="A85" s="137"/>
      <c r="B85" s="138"/>
      <c r="C85" s="128" t="str">
        <f>IF(B85="","",IFERROR(IF(AND(B85&gt;=parametros!$C$2,B85&lt;=parametros!$D$2),"C0",IF(AND(B85&gt;=parametros!$C$3,B85&lt;=parametros!$D$3),"C1",IF(AND(B85&gt;=parametros!$C$4,B85&lt;=parametros!$D$4),"C2",IF(AND(B85&gt;=parametros!$C$5,B85&lt;=parametros!$D$5),"C3",IF(AND(B85&gt;=parametros!$C$6,B85&lt;=parametros!$D$6),"C4","Fora dos ciclos"))))),"Fora dos ciclos"))</f>
        <v/>
      </c>
      <c r="D85" s="137"/>
      <c r="E85" s="139"/>
      <c r="F85" s="140" t="str">
        <f>IF(A85="","",IFERROR(VLOOKUP(A85,itens_Remanesc!$A:$C,3,0),""))</f>
        <v/>
      </c>
      <c r="G85" s="140" t="str">
        <f t="shared" si="6"/>
        <v/>
      </c>
      <c r="H85" s="137"/>
      <c r="I85" s="88" t="str">
        <f>IFERROR(VLOOKUP(C85,parametros!$B:$F,5,0),"")</f>
        <v/>
      </c>
      <c r="J85" s="140" t="str">
        <f t="shared" si="7"/>
        <v/>
      </c>
      <c r="K85" s="137"/>
      <c r="L85" s="110" t="str">
        <f t="shared" si="8"/>
        <v/>
      </c>
      <c r="M85" s="111" t="str">
        <f>IF(A85="","",IF(COUNTIF(itens_Remanesc!$A$2:$A$200,A85)=0,"ALERTA: ITEM_AUSENTE",IF(COUNTIF(itens_Remanesc!$A$2:$A$200,A85)&gt;1,"ALERTA: ITEM_DUPLICADO",IF(OR(C85="",C85="Fora dos ciclos"),"ALERTA: CICLO_INVALIDO",IF(NOT(ISNUMBER(E85)),"ALERTA: QTD_INVALIDA",IF(AND(LEFT(UPPER(D85),5)&lt;&gt;"ACRES",LEFT(UPPER(D85),6)&lt;&gt;"SUPRES",LEFT(UPPER(D85),4)&lt;&gt;"DECR"),"ALERTA: TIPO_INVALIDO","OK"))))))</f>
        <v/>
      </c>
    </row>
    <row r="86" spans="1:13" ht="15.9" customHeight="1" x14ac:dyDescent="0.35">
      <c r="A86" s="137"/>
      <c r="B86" s="138"/>
      <c r="C86" s="128" t="str">
        <f>IF(B86="","",IFERROR(IF(AND(B86&gt;=parametros!$C$2,B86&lt;=parametros!$D$2),"C0",IF(AND(B86&gt;=parametros!$C$3,B86&lt;=parametros!$D$3),"C1",IF(AND(B86&gt;=parametros!$C$4,B86&lt;=parametros!$D$4),"C2",IF(AND(B86&gt;=parametros!$C$5,B86&lt;=parametros!$D$5),"C3",IF(AND(B86&gt;=parametros!$C$6,B86&lt;=parametros!$D$6),"C4","Fora dos ciclos"))))),"Fora dos ciclos"))</f>
        <v/>
      </c>
      <c r="D86" s="137"/>
      <c r="E86" s="139"/>
      <c r="F86" s="140" t="str">
        <f>IF(A86="","",IFERROR(VLOOKUP(A86,itens_Remanesc!$A:$C,3,0),""))</f>
        <v/>
      </c>
      <c r="G86" s="140" t="str">
        <f t="shared" si="6"/>
        <v/>
      </c>
      <c r="H86" s="137"/>
      <c r="I86" s="88" t="str">
        <f>IFERROR(VLOOKUP(C86,parametros!$B:$F,5,0),"")</f>
        <v/>
      </c>
      <c r="J86" s="140" t="str">
        <f t="shared" si="7"/>
        <v/>
      </c>
      <c r="K86" s="137"/>
      <c r="L86" s="110" t="str">
        <f t="shared" si="8"/>
        <v/>
      </c>
      <c r="M86" s="111" t="str">
        <f>IF(A86="","",IF(COUNTIF(itens_Remanesc!$A$2:$A$200,A86)=0,"ALERTA: ITEM_AUSENTE",IF(COUNTIF(itens_Remanesc!$A$2:$A$200,A86)&gt;1,"ALERTA: ITEM_DUPLICADO",IF(OR(C86="",C86="Fora dos ciclos"),"ALERTA: CICLO_INVALIDO",IF(NOT(ISNUMBER(E86)),"ALERTA: QTD_INVALIDA",IF(AND(LEFT(UPPER(D86),5)&lt;&gt;"ACRES",LEFT(UPPER(D86),6)&lt;&gt;"SUPRES",LEFT(UPPER(D86),4)&lt;&gt;"DECR"),"ALERTA: TIPO_INVALIDO","OK"))))))</f>
        <v/>
      </c>
    </row>
    <row r="87" spans="1:13" ht="15.9" customHeight="1" x14ac:dyDescent="0.35">
      <c r="A87" s="137"/>
      <c r="B87" s="138"/>
      <c r="C87" s="128" t="str">
        <f>IF(B87="","",IFERROR(IF(AND(B87&gt;=parametros!$C$2,B87&lt;=parametros!$D$2),"C0",IF(AND(B87&gt;=parametros!$C$3,B87&lt;=parametros!$D$3),"C1",IF(AND(B87&gt;=parametros!$C$4,B87&lt;=parametros!$D$4),"C2",IF(AND(B87&gt;=parametros!$C$5,B87&lt;=parametros!$D$5),"C3",IF(AND(B87&gt;=parametros!$C$6,B87&lt;=parametros!$D$6),"C4","Fora dos ciclos"))))),"Fora dos ciclos"))</f>
        <v/>
      </c>
      <c r="D87" s="137"/>
      <c r="E87" s="139"/>
      <c r="F87" s="140" t="str">
        <f>IF(A87="","",IFERROR(VLOOKUP(A87,itens_Remanesc!$A:$C,3,0),""))</f>
        <v/>
      </c>
      <c r="G87" s="140" t="str">
        <f t="shared" si="6"/>
        <v/>
      </c>
      <c r="H87" s="137"/>
      <c r="I87" s="88" t="str">
        <f>IFERROR(VLOOKUP(C87,parametros!$B:$F,5,0),"")</f>
        <v/>
      </c>
      <c r="J87" s="140" t="str">
        <f t="shared" si="7"/>
        <v/>
      </c>
      <c r="K87" s="137"/>
      <c r="L87" s="110" t="str">
        <f t="shared" si="8"/>
        <v/>
      </c>
      <c r="M87" s="111" t="str">
        <f>IF(A87="","",IF(COUNTIF(itens_Remanesc!$A$2:$A$200,A87)=0,"ALERTA: ITEM_AUSENTE",IF(COUNTIF(itens_Remanesc!$A$2:$A$200,A87)&gt;1,"ALERTA: ITEM_DUPLICADO",IF(OR(C87="",C87="Fora dos ciclos"),"ALERTA: CICLO_INVALIDO",IF(NOT(ISNUMBER(E87)),"ALERTA: QTD_INVALIDA",IF(AND(LEFT(UPPER(D87),5)&lt;&gt;"ACRES",LEFT(UPPER(D87),6)&lt;&gt;"SUPRES",LEFT(UPPER(D87),4)&lt;&gt;"DECR"),"ALERTA: TIPO_INVALIDO","OK"))))))</f>
        <v/>
      </c>
    </row>
    <row r="88" spans="1:13" ht="15.9" customHeight="1" x14ac:dyDescent="0.35">
      <c r="A88" s="137"/>
      <c r="B88" s="138"/>
      <c r="C88" s="128" t="str">
        <f>IF(B88="","",IFERROR(IF(AND(B88&gt;=parametros!$C$2,B88&lt;=parametros!$D$2),"C0",IF(AND(B88&gt;=parametros!$C$3,B88&lt;=parametros!$D$3),"C1",IF(AND(B88&gt;=parametros!$C$4,B88&lt;=parametros!$D$4),"C2",IF(AND(B88&gt;=parametros!$C$5,B88&lt;=parametros!$D$5),"C3",IF(AND(B88&gt;=parametros!$C$6,B88&lt;=parametros!$D$6),"C4","Fora dos ciclos"))))),"Fora dos ciclos"))</f>
        <v/>
      </c>
      <c r="D88" s="137"/>
      <c r="E88" s="139"/>
      <c r="F88" s="140" t="str">
        <f>IF(A88="","",IFERROR(VLOOKUP(A88,itens_Remanesc!$A:$C,3,0),""))</f>
        <v/>
      </c>
      <c r="G88" s="140" t="str">
        <f t="shared" si="6"/>
        <v/>
      </c>
      <c r="H88" s="137"/>
      <c r="I88" s="88" t="str">
        <f>IFERROR(VLOOKUP(C88,parametros!$B:$F,5,0),"")</f>
        <v/>
      </c>
      <c r="J88" s="140" t="str">
        <f t="shared" si="7"/>
        <v/>
      </c>
      <c r="K88" s="137"/>
      <c r="L88" s="110" t="str">
        <f t="shared" si="8"/>
        <v/>
      </c>
      <c r="M88" s="111" t="str">
        <f>IF(A88="","",IF(COUNTIF(itens_Remanesc!$A$2:$A$200,A88)=0,"ALERTA: ITEM_AUSENTE",IF(COUNTIF(itens_Remanesc!$A$2:$A$200,A88)&gt;1,"ALERTA: ITEM_DUPLICADO",IF(OR(C88="",C88="Fora dos ciclos"),"ALERTA: CICLO_INVALIDO",IF(NOT(ISNUMBER(E88)),"ALERTA: QTD_INVALIDA",IF(AND(LEFT(UPPER(D88),5)&lt;&gt;"ACRES",LEFT(UPPER(D88),6)&lt;&gt;"SUPRES",LEFT(UPPER(D88),4)&lt;&gt;"DECR"),"ALERTA: TIPO_INVALIDO","OK"))))))</f>
        <v/>
      </c>
    </row>
    <row r="89" spans="1:13" ht="15.9" customHeight="1" x14ac:dyDescent="0.35">
      <c r="A89" s="137"/>
      <c r="B89" s="138"/>
      <c r="C89" s="128" t="str">
        <f>IF(B89="","",IFERROR(IF(AND(B89&gt;=parametros!$C$2,B89&lt;=parametros!$D$2),"C0",IF(AND(B89&gt;=parametros!$C$3,B89&lt;=parametros!$D$3),"C1",IF(AND(B89&gt;=parametros!$C$4,B89&lt;=parametros!$D$4),"C2",IF(AND(B89&gt;=parametros!$C$5,B89&lt;=parametros!$D$5),"C3",IF(AND(B89&gt;=parametros!$C$6,B89&lt;=parametros!$D$6),"C4","Fora dos ciclos"))))),"Fora dos ciclos"))</f>
        <v/>
      </c>
      <c r="D89" s="137"/>
      <c r="E89" s="139"/>
      <c r="F89" s="140" t="str">
        <f>IF(A89="","",IFERROR(VLOOKUP(A89,itens_Remanesc!$A:$C,3,0),""))</f>
        <v/>
      </c>
      <c r="G89" s="140" t="str">
        <f t="shared" si="6"/>
        <v/>
      </c>
      <c r="H89" s="137"/>
      <c r="I89" s="88" t="str">
        <f>IFERROR(VLOOKUP(C89,parametros!$B:$F,5,0),"")</f>
        <v/>
      </c>
      <c r="J89" s="140" t="str">
        <f t="shared" si="7"/>
        <v/>
      </c>
      <c r="K89" s="137"/>
      <c r="L89" s="110" t="str">
        <f t="shared" si="8"/>
        <v/>
      </c>
      <c r="M89" s="111" t="str">
        <f>IF(A89="","",IF(COUNTIF(itens_Remanesc!$A$2:$A$200,A89)=0,"ALERTA: ITEM_AUSENTE",IF(COUNTIF(itens_Remanesc!$A$2:$A$200,A89)&gt;1,"ALERTA: ITEM_DUPLICADO",IF(OR(C89="",C89="Fora dos ciclos"),"ALERTA: CICLO_INVALIDO",IF(NOT(ISNUMBER(E89)),"ALERTA: QTD_INVALIDA",IF(AND(LEFT(UPPER(D89),5)&lt;&gt;"ACRES",LEFT(UPPER(D89),6)&lt;&gt;"SUPRES",LEFT(UPPER(D89),4)&lt;&gt;"DECR"),"ALERTA: TIPO_INVALIDO","OK"))))))</f>
        <v/>
      </c>
    </row>
    <row r="90" spans="1:13" ht="15.9" customHeight="1" x14ac:dyDescent="0.35">
      <c r="A90" s="137"/>
      <c r="B90" s="138"/>
      <c r="C90" s="128" t="str">
        <f>IF(B90="","",IFERROR(IF(AND(B90&gt;=parametros!$C$2,B90&lt;=parametros!$D$2),"C0",IF(AND(B90&gt;=parametros!$C$3,B90&lt;=parametros!$D$3),"C1",IF(AND(B90&gt;=parametros!$C$4,B90&lt;=parametros!$D$4),"C2",IF(AND(B90&gt;=parametros!$C$5,B90&lt;=parametros!$D$5),"C3",IF(AND(B90&gt;=parametros!$C$6,B90&lt;=parametros!$D$6),"C4","Fora dos ciclos"))))),"Fora dos ciclos"))</f>
        <v/>
      </c>
      <c r="D90" s="137"/>
      <c r="E90" s="139"/>
      <c r="F90" s="140" t="str">
        <f>IF(A90="","",IFERROR(VLOOKUP(A90,itens_Remanesc!$A:$C,3,0),""))</f>
        <v/>
      </c>
      <c r="G90" s="140" t="str">
        <f t="shared" si="6"/>
        <v/>
      </c>
      <c r="H90" s="137"/>
      <c r="I90" s="88" t="str">
        <f>IFERROR(VLOOKUP(C90,parametros!$B:$F,5,0),"")</f>
        <v/>
      </c>
      <c r="J90" s="140" t="str">
        <f t="shared" si="7"/>
        <v/>
      </c>
      <c r="K90" s="137"/>
      <c r="L90" s="110" t="str">
        <f t="shared" si="8"/>
        <v/>
      </c>
      <c r="M90" s="111" t="str">
        <f>IF(A90="","",IF(COUNTIF(itens_Remanesc!$A$2:$A$200,A90)=0,"ALERTA: ITEM_AUSENTE",IF(COUNTIF(itens_Remanesc!$A$2:$A$200,A90)&gt;1,"ALERTA: ITEM_DUPLICADO",IF(OR(C90="",C90="Fora dos ciclos"),"ALERTA: CICLO_INVALIDO",IF(NOT(ISNUMBER(E90)),"ALERTA: QTD_INVALIDA",IF(AND(LEFT(UPPER(D90),5)&lt;&gt;"ACRES",LEFT(UPPER(D90),6)&lt;&gt;"SUPRES",LEFT(UPPER(D90),4)&lt;&gt;"DECR"),"ALERTA: TIPO_INVALIDO","OK"))))))</f>
        <v/>
      </c>
    </row>
    <row r="91" spans="1:13" ht="15.9" customHeight="1" x14ac:dyDescent="0.35">
      <c r="A91" s="137"/>
      <c r="B91" s="138"/>
      <c r="C91" s="128" t="str">
        <f>IF(B91="","",IFERROR(IF(AND(B91&gt;=parametros!$C$2,B91&lt;=parametros!$D$2),"C0",IF(AND(B91&gt;=parametros!$C$3,B91&lt;=parametros!$D$3),"C1",IF(AND(B91&gt;=parametros!$C$4,B91&lt;=parametros!$D$4),"C2",IF(AND(B91&gt;=parametros!$C$5,B91&lt;=parametros!$D$5),"C3",IF(AND(B91&gt;=parametros!$C$6,B91&lt;=parametros!$D$6),"C4","Fora dos ciclos"))))),"Fora dos ciclos"))</f>
        <v/>
      </c>
      <c r="D91" s="137"/>
      <c r="E91" s="139"/>
      <c r="F91" s="140" t="str">
        <f>IF(A91="","",IFERROR(VLOOKUP(A91,itens_Remanesc!$A:$C,3,0),""))</f>
        <v/>
      </c>
      <c r="G91" s="140" t="str">
        <f t="shared" si="6"/>
        <v/>
      </c>
      <c r="H91" s="137"/>
      <c r="I91" s="88" t="str">
        <f>IFERROR(VLOOKUP(C91,parametros!$B:$F,5,0),"")</f>
        <v/>
      </c>
      <c r="J91" s="140" t="str">
        <f t="shared" si="7"/>
        <v/>
      </c>
      <c r="K91" s="137"/>
      <c r="L91" s="110" t="str">
        <f t="shared" si="8"/>
        <v/>
      </c>
      <c r="M91" s="111" t="str">
        <f>IF(A91="","",IF(COUNTIF(itens_Remanesc!$A$2:$A$200,A91)=0,"ALERTA: ITEM_AUSENTE",IF(COUNTIF(itens_Remanesc!$A$2:$A$200,A91)&gt;1,"ALERTA: ITEM_DUPLICADO",IF(OR(C91="",C91="Fora dos ciclos"),"ALERTA: CICLO_INVALIDO",IF(NOT(ISNUMBER(E91)),"ALERTA: QTD_INVALIDA",IF(AND(LEFT(UPPER(D91),5)&lt;&gt;"ACRES",LEFT(UPPER(D91),6)&lt;&gt;"SUPRES",LEFT(UPPER(D91),4)&lt;&gt;"DECR"),"ALERTA: TIPO_INVALIDO","OK"))))))</f>
        <v/>
      </c>
    </row>
    <row r="92" spans="1:13" ht="15.9" customHeight="1" x14ac:dyDescent="0.35">
      <c r="A92" s="137"/>
      <c r="B92" s="138"/>
      <c r="C92" s="128" t="str">
        <f>IF(B92="","",IFERROR(IF(AND(B92&gt;=parametros!$C$2,B92&lt;=parametros!$D$2),"C0",IF(AND(B92&gt;=parametros!$C$3,B92&lt;=parametros!$D$3),"C1",IF(AND(B92&gt;=parametros!$C$4,B92&lt;=parametros!$D$4),"C2",IF(AND(B92&gt;=parametros!$C$5,B92&lt;=parametros!$D$5),"C3",IF(AND(B92&gt;=parametros!$C$6,B92&lt;=parametros!$D$6),"C4","Fora dos ciclos"))))),"Fora dos ciclos"))</f>
        <v/>
      </c>
      <c r="D92" s="137"/>
      <c r="E92" s="139"/>
      <c r="F92" s="140" t="str">
        <f>IF(A92="","",IFERROR(VLOOKUP(A92,itens_Remanesc!$A:$C,3,0),""))</f>
        <v/>
      </c>
      <c r="G92" s="140" t="str">
        <f t="shared" si="6"/>
        <v/>
      </c>
      <c r="H92" s="137"/>
      <c r="I92" s="88" t="str">
        <f>IFERROR(VLOOKUP(C92,parametros!$B:$F,5,0),"")</f>
        <v/>
      </c>
      <c r="J92" s="140" t="str">
        <f t="shared" si="7"/>
        <v/>
      </c>
      <c r="K92" s="137"/>
      <c r="L92" s="110" t="str">
        <f t="shared" si="8"/>
        <v/>
      </c>
      <c r="M92" s="111" t="str">
        <f>IF(A92="","",IF(COUNTIF(itens_Remanesc!$A$2:$A$200,A92)=0,"ALERTA: ITEM_AUSENTE",IF(COUNTIF(itens_Remanesc!$A$2:$A$200,A92)&gt;1,"ALERTA: ITEM_DUPLICADO",IF(OR(C92="",C92="Fora dos ciclos"),"ALERTA: CICLO_INVALIDO",IF(NOT(ISNUMBER(E92)),"ALERTA: QTD_INVALIDA",IF(AND(LEFT(UPPER(D92),5)&lt;&gt;"ACRES",LEFT(UPPER(D92),6)&lt;&gt;"SUPRES",LEFT(UPPER(D92),4)&lt;&gt;"DECR"),"ALERTA: TIPO_INVALIDO","OK"))))))</f>
        <v/>
      </c>
    </row>
    <row r="93" spans="1:13" ht="15.9" customHeight="1" x14ac:dyDescent="0.35">
      <c r="A93" s="137"/>
      <c r="B93" s="138"/>
      <c r="C93" s="128" t="str">
        <f>IF(B93="","",IFERROR(IF(AND(B93&gt;=parametros!$C$2,B93&lt;=parametros!$D$2),"C0",IF(AND(B93&gt;=parametros!$C$3,B93&lt;=parametros!$D$3),"C1",IF(AND(B93&gt;=parametros!$C$4,B93&lt;=parametros!$D$4),"C2",IF(AND(B93&gt;=parametros!$C$5,B93&lt;=parametros!$D$5),"C3",IF(AND(B93&gt;=parametros!$C$6,B93&lt;=parametros!$D$6),"C4","Fora dos ciclos"))))),"Fora dos ciclos"))</f>
        <v/>
      </c>
      <c r="D93" s="137"/>
      <c r="E93" s="139"/>
      <c r="F93" s="140" t="str">
        <f>IF(A93="","",IFERROR(VLOOKUP(A93,itens_Remanesc!$A:$C,3,0),""))</f>
        <v/>
      </c>
      <c r="G93" s="140" t="str">
        <f t="shared" si="6"/>
        <v/>
      </c>
      <c r="H93" s="137"/>
      <c r="I93" s="88" t="str">
        <f>IFERROR(VLOOKUP(C93,parametros!$B:$F,5,0),"")</f>
        <v/>
      </c>
      <c r="J93" s="140" t="str">
        <f t="shared" si="7"/>
        <v/>
      </c>
      <c r="K93" s="137"/>
      <c r="L93" s="110" t="str">
        <f t="shared" si="8"/>
        <v/>
      </c>
      <c r="M93" s="111" t="str">
        <f>IF(A93="","",IF(COUNTIF(itens_Remanesc!$A$2:$A$200,A93)=0,"ALERTA: ITEM_AUSENTE",IF(COUNTIF(itens_Remanesc!$A$2:$A$200,A93)&gt;1,"ALERTA: ITEM_DUPLICADO",IF(OR(C93="",C93="Fora dos ciclos"),"ALERTA: CICLO_INVALIDO",IF(NOT(ISNUMBER(E93)),"ALERTA: QTD_INVALIDA",IF(AND(LEFT(UPPER(D93),5)&lt;&gt;"ACRES",LEFT(UPPER(D93),6)&lt;&gt;"SUPRES",LEFT(UPPER(D93),4)&lt;&gt;"DECR"),"ALERTA: TIPO_INVALIDO","OK"))))))</f>
        <v/>
      </c>
    </row>
    <row r="94" spans="1:13" ht="15.9" customHeight="1" x14ac:dyDescent="0.35">
      <c r="A94" s="137"/>
      <c r="B94" s="138"/>
      <c r="C94" s="128" t="str">
        <f>IF(B94="","",IFERROR(IF(AND(B94&gt;=parametros!$C$2,B94&lt;=parametros!$D$2),"C0",IF(AND(B94&gt;=parametros!$C$3,B94&lt;=parametros!$D$3),"C1",IF(AND(B94&gt;=parametros!$C$4,B94&lt;=parametros!$D$4),"C2",IF(AND(B94&gt;=parametros!$C$5,B94&lt;=parametros!$D$5),"C3",IF(AND(B94&gt;=parametros!$C$6,B94&lt;=parametros!$D$6),"C4","Fora dos ciclos"))))),"Fora dos ciclos"))</f>
        <v/>
      </c>
      <c r="D94" s="137"/>
      <c r="E94" s="139"/>
      <c r="F94" s="140" t="str">
        <f>IF(A94="","",IFERROR(VLOOKUP(A94,itens_Remanesc!$A:$C,3,0),""))</f>
        <v/>
      </c>
      <c r="G94" s="140" t="str">
        <f t="shared" si="6"/>
        <v/>
      </c>
      <c r="H94" s="137"/>
      <c r="I94" s="88" t="str">
        <f>IFERROR(VLOOKUP(C94,parametros!$B:$F,5,0),"")</f>
        <v/>
      </c>
      <c r="J94" s="140" t="str">
        <f t="shared" si="7"/>
        <v/>
      </c>
      <c r="K94" s="137"/>
      <c r="L94" s="110" t="str">
        <f t="shared" si="8"/>
        <v/>
      </c>
      <c r="M94" s="111" t="str">
        <f>IF(A94="","",IF(COUNTIF(itens_Remanesc!$A$2:$A$200,A94)=0,"ALERTA: ITEM_AUSENTE",IF(COUNTIF(itens_Remanesc!$A$2:$A$200,A94)&gt;1,"ALERTA: ITEM_DUPLICADO",IF(OR(C94="",C94="Fora dos ciclos"),"ALERTA: CICLO_INVALIDO",IF(NOT(ISNUMBER(E94)),"ALERTA: QTD_INVALIDA",IF(AND(LEFT(UPPER(D94),5)&lt;&gt;"ACRES",LEFT(UPPER(D94),6)&lt;&gt;"SUPRES",LEFT(UPPER(D94),4)&lt;&gt;"DECR"),"ALERTA: TIPO_INVALIDO","OK"))))))</f>
        <v/>
      </c>
    </row>
    <row r="95" spans="1:13" ht="15.9" customHeight="1" x14ac:dyDescent="0.35">
      <c r="A95" s="137"/>
      <c r="B95" s="138"/>
      <c r="C95" s="128" t="str">
        <f>IF(B95="","",IFERROR(IF(AND(B95&gt;=parametros!$C$2,B95&lt;=parametros!$D$2),"C0",IF(AND(B95&gt;=parametros!$C$3,B95&lt;=parametros!$D$3),"C1",IF(AND(B95&gt;=parametros!$C$4,B95&lt;=parametros!$D$4),"C2",IF(AND(B95&gt;=parametros!$C$5,B95&lt;=parametros!$D$5),"C3",IF(AND(B95&gt;=parametros!$C$6,B95&lt;=parametros!$D$6),"C4","Fora dos ciclos"))))),"Fora dos ciclos"))</f>
        <v/>
      </c>
      <c r="D95" s="137"/>
      <c r="E95" s="139"/>
      <c r="F95" s="140" t="str">
        <f>IF(A95="","",IFERROR(VLOOKUP(A95,itens_Remanesc!$A:$C,3,0),""))</f>
        <v/>
      </c>
      <c r="G95" s="140" t="str">
        <f t="shared" si="6"/>
        <v/>
      </c>
      <c r="H95" s="137"/>
      <c r="I95" s="88" t="str">
        <f>IFERROR(VLOOKUP(C95,parametros!$B:$F,5,0),"")</f>
        <v/>
      </c>
      <c r="J95" s="140" t="str">
        <f t="shared" si="7"/>
        <v/>
      </c>
      <c r="K95" s="137"/>
      <c r="L95" s="110" t="str">
        <f t="shared" si="8"/>
        <v/>
      </c>
      <c r="M95" s="111" t="str">
        <f>IF(A95="","",IF(COUNTIF(itens_Remanesc!$A$2:$A$200,A95)=0,"ALERTA: ITEM_AUSENTE",IF(COUNTIF(itens_Remanesc!$A$2:$A$200,A95)&gt;1,"ALERTA: ITEM_DUPLICADO",IF(OR(C95="",C95="Fora dos ciclos"),"ALERTA: CICLO_INVALIDO",IF(NOT(ISNUMBER(E95)),"ALERTA: QTD_INVALIDA",IF(AND(LEFT(UPPER(D95),5)&lt;&gt;"ACRES",LEFT(UPPER(D95),6)&lt;&gt;"SUPRES",LEFT(UPPER(D95),4)&lt;&gt;"DECR"),"ALERTA: TIPO_INVALIDO","OK"))))))</f>
        <v/>
      </c>
    </row>
    <row r="96" spans="1:13" ht="15.9" customHeight="1" x14ac:dyDescent="0.35">
      <c r="A96" s="137"/>
      <c r="B96" s="138"/>
      <c r="C96" s="128" t="str">
        <f>IF(B96="","",IFERROR(IF(AND(B96&gt;=parametros!$C$2,B96&lt;=parametros!$D$2),"C0",IF(AND(B96&gt;=parametros!$C$3,B96&lt;=parametros!$D$3),"C1",IF(AND(B96&gt;=parametros!$C$4,B96&lt;=parametros!$D$4),"C2",IF(AND(B96&gt;=parametros!$C$5,B96&lt;=parametros!$D$5),"C3",IF(AND(B96&gt;=parametros!$C$6,B96&lt;=parametros!$D$6),"C4","Fora dos ciclos"))))),"Fora dos ciclos"))</f>
        <v/>
      </c>
      <c r="D96" s="137"/>
      <c r="E96" s="139"/>
      <c r="F96" s="140" t="str">
        <f>IF(A96="","",IFERROR(VLOOKUP(A96,itens_Remanesc!$A:$C,3,0),""))</f>
        <v/>
      </c>
      <c r="G96" s="140" t="str">
        <f t="shared" si="6"/>
        <v/>
      </c>
      <c r="H96" s="137"/>
      <c r="I96" s="88" t="str">
        <f>IFERROR(VLOOKUP(C96,parametros!$B:$F,5,0),"")</f>
        <v/>
      </c>
      <c r="J96" s="140" t="str">
        <f t="shared" si="7"/>
        <v/>
      </c>
      <c r="K96" s="137"/>
      <c r="L96" s="110" t="str">
        <f t="shared" si="8"/>
        <v/>
      </c>
      <c r="M96" s="111" t="str">
        <f>IF(A96="","",IF(COUNTIF(itens_Remanesc!$A$2:$A$200,A96)=0,"ALERTA: ITEM_AUSENTE",IF(COUNTIF(itens_Remanesc!$A$2:$A$200,A96)&gt;1,"ALERTA: ITEM_DUPLICADO",IF(OR(C96="",C96="Fora dos ciclos"),"ALERTA: CICLO_INVALIDO",IF(NOT(ISNUMBER(E96)),"ALERTA: QTD_INVALIDA",IF(AND(LEFT(UPPER(D96),5)&lt;&gt;"ACRES",LEFT(UPPER(D96),6)&lt;&gt;"SUPRES",LEFT(UPPER(D96),4)&lt;&gt;"DECR"),"ALERTA: TIPO_INVALIDO","OK"))))))</f>
        <v/>
      </c>
    </row>
    <row r="97" spans="1:13" ht="15.9" customHeight="1" x14ac:dyDescent="0.35">
      <c r="A97" s="137"/>
      <c r="B97" s="138"/>
      <c r="C97" s="128" t="str">
        <f>IF(B97="","",IFERROR(IF(AND(B97&gt;=parametros!$C$2,B97&lt;=parametros!$D$2),"C0",IF(AND(B97&gt;=parametros!$C$3,B97&lt;=parametros!$D$3),"C1",IF(AND(B97&gt;=parametros!$C$4,B97&lt;=parametros!$D$4),"C2",IF(AND(B97&gt;=parametros!$C$5,B97&lt;=parametros!$D$5),"C3",IF(AND(B97&gt;=parametros!$C$6,B97&lt;=parametros!$D$6),"C4","Fora dos ciclos"))))),"Fora dos ciclos"))</f>
        <v/>
      </c>
      <c r="D97" s="137"/>
      <c r="E97" s="139"/>
      <c r="F97" s="140" t="str">
        <f>IF(A97="","",IFERROR(VLOOKUP(A97,itens_Remanesc!$A:$C,3,0),""))</f>
        <v/>
      </c>
      <c r="G97" s="140" t="str">
        <f t="shared" si="6"/>
        <v/>
      </c>
      <c r="H97" s="137"/>
      <c r="I97" s="88" t="str">
        <f>IFERROR(VLOOKUP(C97,parametros!$B:$F,5,0),"")</f>
        <v/>
      </c>
      <c r="J97" s="140" t="str">
        <f t="shared" si="7"/>
        <v/>
      </c>
      <c r="K97" s="137"/>
      <c r="L97" s="110" t="str">
        <f t="shared" si="8"/>
        <v/>
      </c>
      <c r="M97" s="111" t="str">
        <f>IF(A97="","",IF(COUNTIF(itens_Remanesc!$A$2:$A$200,A97)=0,"ALERTA: ITEM_AUSENTE",IF(COUNTIF(itens_Remanesc!$A$2:$A$200,A97)&gt;1,"ALERTA: ITEM_DUPLICADO",IF(OR(C97="",C97="Fora dos ciclos"),"ALERTA: CICLO_INVALIDO",IF(NOT(ISNUMBER(E97)),"ALERTA: QTD_INVALIDA",IF(AND(LEFT(UPPER(D97),5)&lt;&gt;"ACRES",LEFT(UPPER(D97),6)&lt;&gt;"SUPRES",LEFT(UPPER(D97),4)&lt;&gt;"DECR"),"ALERTA: TIPO_INVALIDO","OK"))))))</f>
        <v/>
      </c>
    </row>
    <row r="98" spans="1:13" ht="15.9" customHeight="1" x14ac:dyDescent="0.35">
      <c r="A98" s="137"/>
      <c r="B98" s="138"/>
      <c r="C98" s="128" t="str">
        <f>IF(B98="","",IFERROR(IF(AND(B98&gt;=parametros!$C$2,B98&lt;=parametros!$D$2),"C0",IF(AND(B98&gt;=parametros!$C$3,B98&lt;=parametros!$D$3),"C1",IF(AND(B98&gt;=parametros!$C$4,B98&lt;=parametros!$D$4),"C2",IF(AND(B98&gt;=parametros!$C$5,B98&lt;=parametros!$D$5),"C3",IF(AND(B98&gt;=parametros!$C$6,B98&lt;=parametros!$D$6),"C4","Fora dos ciclos"))))),"Fora dos ciclos"))</f>
        <v/>
      </c>
      <c r="D98" s="137"/>
      <c r="E98" s="139"/>
      <c r="F98" s="140" t="str">
        <f>IF(A98="","",IFERROR(VLOOKUP(A98,itens_Remanesc!$A:$C,3,0),""))</f>
        <v/>
      </c>
      <c r="G98" s="140" t="str">
        <f t="shared" ref="G98:G129" si="9">IF(OR(E98="",F98=""),"",ROUND(E98*F98,2))</f>
        <v/>
      </c>
      <c r="H98" s="137"/>
      <c r="I98" s="88" t="str">
        <f>IFERROR(VLOOKUP(C98,parametros!$B:$F,5,0),"")</f>
        <v/>
      </c>
      <c r="J98" s="140" t="str">
        <f t="shared" ref="J98:J129" si="10">IF(OR(L98="",F98=""),"",ROUND(L98*F98*IF(AND(UPPER(H98)="SIM",ISNUMBER(I98)),I98,1),2))</f>
        <v/>
      </c>
      <c r="K98" s="137"/>
      <c r="L98" s="110" t="str">
        <f t="shared" ref="L98:L129" si="11">IF(OR(A98="",C98="",D98="",NOT(ISNUMBER(E98))),"",IF(LEFT(UPPER(D98),5)="ACRES",ROUND(ABS(E98),2),IF(OR(LEFT(UPPER(D98),6)="SUPRES",LEFT(UPPER(D98),4)="DECR"),ROUND(-ABS(E98),2),"")))</f>
        <v/>
      </c>
      <c r="M98" s="111" t="str">
        <f>IF(A98="","",IF(COUNTIF(itens_Remanesc!$A$2:$A$200,A98)=0,"ALERTA: ITEM_AUSENTE",IF(COUNTIF(itens_Remanesc!$A$2:$A$200,A98)&gt;1,"ALERTA: ITEM_DUPLICADO",IF(OR(C98="",C98="Fora dos ciclos"),"ALERTA: CICLO_INVALIDO",IF(NOT(ISNUMBER(E98)),"ALERTA: QTD_INVALIDA",IF(AND(LEFT(UPPER(D98),5)&lt;&gt;"ACRES",LEFT(UPPER(D98),6)&lt;&gt;"SUPRES",LEFT(UPPER(D98),4)&lt;&gt;"DECR"),"ALERTA: TIPO_INVALIDO","OK"))))))</f>
        <v/>
      </c>
    </row>
    <row r="99" spans="1:13" ht="15.9" customHeight="1" x14ac:dyDescent="0.35">
      <c r="A99" s="137"/>
      <c r="B99" s="138"/>
      <c r="C99" s="128" t="str">
        <f>IF(B99="","",IFERROR(IF(AND(B99&gt;=parametros!$C$2,B99&lt;=parametros!$D$2),"C0",IF(AND(B99&gt;=parametros!$C$3,B99&lt;=parametros!$D$3),"C1",IF(AND(B99&gt;=parametros!$C$4,B99&lt;=parametros!$D$4),"C2",IF(AND(B99&gt;=parametros!$C$5,B99&lt;=parametros!$D$5),"C3",IF(AND(B99&gt;=parametros!$C$6,B99&lt;=parametros!$D$6),"C4","Fora dos ciclos"))))),"Fora dos ciclos"))</f>
        <v/>
      </c>
      <c r="D99" s="137"/>
      <c r="E99" s="139"/>
      <c r="F99" s="140" t="str">
        <f>IF(A99="","",IFERROR(VLOOKUP(A99,itens_Remanesc!$A:$C,3,0),""))</f>
        <v/>
      </c>
      <c r="G99" s="140" t="str">
        <f t="shared" si="9"/>
        <v/>
      </c>
      <c r="H99" s="137"/>
      <c r="I99" s="88" t="str">
        <f>IFERROR(VLOOKUP(C99,parametros!$B:$F,5,0),"")</f>
        <v/>
      </c>
      <c r="J99" s="140" t="str">
        <f t="shared" si="10"/>
        <v/>
      </c>
      <c r="K99" s="137"/>
      <c r="L99" s="110" t="str">
        <f t="shared" si="11"/>
        <v/>
      </c>
      <c r="M99" s="111" t="str">
        <f>IF(A99="","",IF(COUNTIF(itens_Remanesc!$A$2:$A$200,A99)=0,"ALERTA: ITEM_AUSENTE",IF(COUNTIF(itens_Remanesc!$A$2:$A$200,A99)&gt;1,"ALERTA: ITEM_DUPLICADO",IF(OR(C99="",C99="Fora dos ciclos"),"ALERTA: CICLO_INVALIDO",IF(NOT(ISNUMBER(E99)),"ALERTA: QTD_INVALIDA",IF(AND(LEFT(UPPER(D99),5)&lt;&gt;"ACRES",LEFT(UPPER(D99),6)&lt;&gt;"SUPRES",LEFT(UPPER(D99),4)&lt;&gt;"DECR"),"ALERTA: TIPO_INVALIDO","OK"))))))</f>
        <v/>
      </c>
    </row>
    <row r="100" spans="1:13" ht="15.9" customHeight="1" x14ac:dyDescent="0.35">
      <c r="A100" s="137"/>
      <c r="B100" s="138"/>
      <c r="C100" s="128" t="str">
        <f>IF(B100="","",IFERROR(IF(AND(B100&gt;=parametros!$C$2,B100&lt;=parametros!$D$2),"C0",IF(AND(B100&gt;=parametros!$C$3,B100&lt;=parametros!$D$3),"C1",IF(AND(B100&gt;=parametros!$C$4,B100&lt;=parametros!$D$4),"C2",IF(AND(B100&gt;=parametros!$C$5,B100&lt;=parametros!$D$5),"C3",IF(AND(B100&gt;=parametros!$C$6,B100&lt;=parametros!$D$6),"C4","Fora dos ciclos"))))),"Fora dos ciclos"))</f>
        <v/>
      </c>
      <c r="D100" s="137"/>
      <c r="E100" s="139"/>
      <c r="F100" s="140" t="str">
        <f>IF(A100="","",IFERROR(VLOOKUP(A100,itens_Remanesc!$A:$C,3,0),""))</f>
        <v/>
      </c>
      <c r="G100" s="140" t="str">
        <f t="shared" si="9"/>
        <v/>
      </c>
      <c r="H100" s="137"/>
      <c r="I100" s="88" t="str">
        <f>IFERROR(VLOOKUP(C100,parametros!$B:$F,5,0),"")</f>
        <v/>
      </c>
      <c r="J100" s="140" t="str">
        <f t="shared" si="10"/>
        <v/>
      </c>
      <c r="K100" s="137"/>
      <c r="L100" s="110" t="str">
        <f t="shared" si="11"/>
        <v/>
      </c>
      <c r="M100" s="111" t="str">
        <f>IF(A100="","",IF(COUNTIF(itens_Remanesc!$A$2:$A$200,A100)=0,"ALERTA: ITEM_AUSENTE",IF(COUNTIF(itens_Remanesc!$A$2:$A$200,A100)&gt;1,"ALERTA: ITEM_DUPLICADO",IF(OR(C100="",C100="Fora dos ciclos"),"ALERTA: CICLO_INVALIDO",IF(NOT(ISNUMBER(E100)),"ALERTA: QTD_INVALIDA",IF(AND(LEFT(UPPER(D100),5)&lt;&gt;"ACRES",LEFT(UPPER(D100),6)&lt;&gt;"SUPRES",LEFT(UPPER(D100),4)&lt;&gt;"DECR"),"ALERTA: TIPO_INVALIDO","OK"))))))</f>
        <v/>
      </c>
    </row>
    <row r="101" spans="1:13" ht="15.9" customHeight="1" x14ac:dyDescent="0.35">
      <c r="A101" s="137"/>
      <c r="B101" s="138"/>
      <c r="C101" s="128" t="str">
        <f>IF(B101="","",IFERROR(IF(AND(B101&gt;=parametros!$C$2,B101&lt;=parametros!$D$2),"C0",IF(AND(B101&gt;=parametros!$C$3,B101&lt;=parametros!$D$3),"C1",IF(AND(B101&gt;=parametros!$C$4,B101&lt;=parametros!$D$4),"C2",IF(AND(B101&gt;=parametros!$C$5,B101&lt;=parametros!$D$5),"C3",IF(AND(B101&gt;=parametros!$C$6,B101&lt;=parametros!$D$6),"C4","Fora dos ciclos"))))),"Fora dos ciclos"))</f>
        <v/>
      </c>
      <c r="D101" s="137"/>
      <c r="E101" s="139"/>
      <c r="F101" s="140" t="str">
        <f>IF(A101="","",IFERROR(VLOOKUP(A101,itens_Remanesc!$A:$C,3,0),""))</f>
        <v/>
      </c>
      <c r="G101" s="140" t="str">
        <f t="shared" si="9"/>
        <v/>
      </c>
      <c r="H101" s="137"/>
      <c r="I101" s="88" t="str">
        <f>IFERROR(VLOOKUP(C101,parametros!$B:$F,5,0),"")</f>
        <v/>
      </c>
      <c r="J101" s="140" t="str">
        <f t="shared" si="10"/>
        <v/>
      </c>
      <c r="K101" s="137"/>
      <c r="L101" s="110" t="str">
        <f t="shared" si="11"/>
        <v/>
      </c>
      <c r="M101" s="111" t="str">
        <f>IF(A101="","",IF(COUNTIF(itens_Remanesc!$A$2:$A$200,A101)=0,"ALERTA: ITEM_AUSENTE",IF(COUNTIF(itens_Remanesc!$A$2:$A$200,A101)&gt;1,"ALERTA: ITEM_DUPLICADO",IF(OR(C101="",C101="Fora dos ciclos"),"ALERTA: CICLO_INVALIDO",IF(NOT(ISNUMBER(E101)),"ALERTA: QTD_INVALIDA",IF(AND(LEFT(UPPER(D101),5)&lt;&gt;"ACRES",LEFT(UPPER(D101),6)&lt;&gt;"SUPRES",LEFT(UPPER(D101),4)&lt;&gt;"DECR"),"ALERTA: TIPO_INVALIDO","OK"))))))</f>
        <v/>
      </c>
    </row>
    <row r="102" spans="1:13" ht="15.9" customHeight="1" x14ac:dyDescent="0.35">
      <c r="A102" s="137"/>
      <c r="B102" s="138"/>
      <c r="C102" s="128" t="str">
        <f>IF(B102="","",IFERROR(IF(AND(B102&gt;=parametros!$C$2,B102&lt;=parametros!$D$2),"C0",IF(AND(B102&gt;=parametros!$C$3,B102&lt;=parametros!$D$3),"C1",IF(AND(B102&gt;=parametros!$C$4,B102&lt;=parametros!$D$4),"C2",IF(AND(B102&gt;=parametros!$C$5,B102&lt;=parametros!$D$5),"C3",IF(AND(B102&gt;=parametros!$C$6,B102&lt;=parametros!$D$6),"C4","Fora dos ciclos"))))),"Fora dos ciclos"))</f>
        <v/>
      </c>
      <c r="D102" s="137"/>
      <c r="E102" s="139"/>
      <c r="F102" s="140" t="str">
        <f>IF(A102="","",IFERROR(VLOOKUP(A102,itens_Remanesc!$A:$C,3,0),""))</f>
        <v/>
      </c>
      <c r="G102" s="140" t="str">
        <f t="shared" si="9"/>
        <v/>
      </c>
      <c r="H102" s="137"/>
      <c r="I102" s="88" t="str">
        <f>IFERROR(VLOOKUP(C102,parametros!$B:$F,5,0),"")</f>
        <v/>
      </c>
      <c r="J102" s="140" t="str">
        <f t="shared" si="10"/>
        <v/>
      </c>
      <c r="K102" s="137"/>
      <c r="L102" s="110" t="str">
        <f t="shared" si="11"/>
        <v/>
      </c>
      <c r="M102" s="111" t="str">
        <f>IF(A102="","",IF(COUNTIF(itens_Remanesc!$A$2:$A$200,A102)=0,"ALERTA: ITEM_AUSENTE",IF(COUNTIF(itens_Remanesc!$A$2:$A$200,A102)&gt;1,"ALERTA: ITEM_DUPLICADO",IF(OR(C102="",C102="Fora dos ciclos"),"ALERTA: CICLO_INVALIDO",IF(NOT(ISNUMBER(E102)),"ALERTA: QTD_INVALIDA",IF(AND(LEFT(UPPER(D102),5)&lt;&gt;"ACRES",LEFT(UPPER(D102),6)&lt;&gt;"SUPRES",LEFT(UPPER(D102),4)&lt;&gt;"DECR"),"ALERTA: TIPO_INVALIDO","OK"))))))</f>
        <v/>
      </c>
    </row>
    <row r="103" spans="1:13" ht="15.9" customHeight="1" x14ac:dyDescent="0.35">
      <c r="A103" s="137"/>
      <c r="B103" s="138"/>
      <c r="C103" s="128" t="str">
        <f>IF(B103="","",IFERROR(IF(AND(B103&gt;=parametros!$C$2,B103&lt;=parametros!$D$2),"C0",IF(AND(B103&gt;=parametros!$C$3,B103&lt;=parametros!$D$3),"C1",IF(AND(B103&gt;=parametros!$C$4,B103&lt;=parametros!$D$4),"C2",IF(AND(B103&gt;=parametros!$C$5,B103&lt;=parametros!$D$5),"C3",IF(AND(B103&gt;=parametros!$C$6,B103&lt;=parametros!$D$6),"C4","Fora dos ciclos"))))),"Fora dos ciclos"))</f>
        <v/>
      </c>
      <c r="D103" s="137"/>
      <c r="E103" s="139"/>
      <c r="F103" s="140" t="str">
        <f>IF(A103="","",IFERROR(VLOOKUP(A103,itens_Remanesc!$A:$C,3,0),""))</f>
        <v/>
      </c>
      <c r="G103" s="140" t="str">
        <f t="shared" si="9"/>
        <v/>
      </c>
      <c r="H103" s="137"/>
      <c r="I103" s="88" t="str">
        <f>IFERROR(VLOOKUP(C103,parametros!$B:$F,5,0),"")</f>
        <v/>
      </c>
      <c r="J103" s="140" t="str">
        <f t="shared" si="10"/>
        <v/>
      </c>
      <c r="K103" s="137"/>
      <c r="L103" s="110" t="str">
        <f t="shared" si="11"/>
        <v/>
      </c>
      <c r="M103" s="111" t="str">
        <f>IF(A103="","",IF(COUNTIF(itens_Remanesc!$A$2:$A$200,A103)=0,"ALERTA: ITEM_AUSENTE",IF(COUNTIF(itens_Remanesc!$A$2:$A$200,A103)&gt;1,"ALERTA: ITEM_DUPLICADO",IF(OR(C103="",C103="Fora dos ciclos"),"ALERTA: CICLO_INVALIDO",IF(NOT(ISNUMBER(E103)),"ALERTA: QTD_INVALIDA",IF(AND(LEFT(UPPER(D103),5)&lt;&gt;"ACRES",LEFT(UPPER(D103),6)&lt;&gt;"SUPRES",LEFT(UPPER(D103),4)&lt;&gt;"DECR"),"ALERTA: TIPO_INVALIDO","OK"))))))</f>
        <v/>
      </c>
    </row>
    <row r="104" spans="1:13" ht="15.9" customHeight="1" x14ac:dyDescent="0.35">
      <c r="A104" s="137"/>
      <c r="B104" s="138"/>
      <c r="C104" s="128" t="str">
        <f>IF(B104="","",IFERROR(IF(AND(B104&gt;=parametros!$C$2,B104&lt;=parametros!$D$2),"C0",IF(AND(B104&gt;=parametros!$C$3,B104&lt;=parametros!$D$3),"C1",IF(AND(B104&gt;=parametros!$C$4,B104&lt;=parametros!$D$4),"C2",IF(AND(B104&gt;=parametros!$C$5,B104&lt;=parametros!$D$5),"C3",IF(AND(B104&gt;=parametros!$C$6,B104&lt;=parametros!$D$6),"C4","Fora dos ciclos"))))),"Fora dos ciclos"))</f>
        <v/>
      </c>
      <c r="D104" s="137"/>
      <c r="E104" s="139"/>
      <c r="F104" s="140" t="str">
        <f>IF(A104="","",IFERROR(VLOOKUP(A104,itens_Remanesc!$A:$C,3,0),""))</f>
        <v/>
      </c>
      <c r="G104" s="140" t="str">
        <f t="shared" si="9"/>
        <v/>
      </c>
      <c r="H104" s="137"/>
      <c r="I104" s="88" t="str">
        <f>IFERROR(VLOOKUP(C104,parametros!$B:$F,5,0),"")</f>
        <v/>
      </c>
      <c r="J104" s="140" t="str">
        <f t="shared" si="10"/>
        <v/>
      </c>
      <c r="K104" s="137"/>
      <c r="L104" s="110" t="str">
        <f t="shared" si="11"/>
        <v/>
      </c>
      <c r="M104" s="111" t="str">
        <f>IF(A104="","",IF(COUNTIF(itens_Remanesc!$A$2:$A$200,A104)=0,"ALERTA: ITEM_AUSENTE",IF(COUNTIF(itens_Remanesc!$A$2:$A$200,A104)&gt;1,"ALERTA: ITEM_DUPLICADO",IF(OR(C104="",C104="Fora dos ciclos"),"ALERTA: CICLO_INVALIDO",IF(NOT(ISNUMBER(E104)),"ALERTA: QTD_INVALIDA",IF(AND(LEFT(UPPER(D104),5)&lt;&gt;"ACRES",LEFT(UPPER(D104),6)&lt;&gt;"SUPRES",LEFT(UPPER(D104),4)&lt;&gt;"DECR"),"ALERTA: TIPO_INVALIDO","OK"))))))</f>
        <v/>
      </c>
    </row>
    <row r="105" spans="1:13" ht="15.9" customHeight="1" x14ac:dyDescent="0.35">
      <c r="A105" s="137"/>
      <c r="B105" s="138"/>
      <c r="C105" s="128" t="str">
        <f>IF(B105="","",IFERROR(IF(AND(B105&gt;=parametros!$C$2,B105&lt;=parametros!$D$2),"C0",IF(AND(B105&gt;=parametros!$C$3,B105&lt;=parametros!$D$3),"C1",IF(AND(B105&gt;=parametros!$C$4,B105&lt;=parametros!$D$4),"C2",IF(AND(B105&gt;=parametros!$C$5,B105&lt;=parametros!$D$5),"C3",IF(AND(B105&gt;=parametros!$C$6,B105&lt;=parametros!$D$6),"C4","Fora dos ciclos"))))),"Fora dos ciclos"))</f>
        <v/>
      </c>
      <c r="D105" s="137"/>
      <c r="E105" s="139"/>
      <c r="F105" s="140" t="str">
        <f>IF(A105="","",IFERROR(VLOOKUP(A105,itens_Remanesc!$A:$C,3,0),""))</f>
        <v/>
      </c>
      <c r="G105" s="140" t="str">
        <f t="shared" si="9"/>
        <v/>
      </c>
      <c r="H105" s="137"/>
      <c r="I105" s="88" t="str">
        <f>IFERROR(VLOOKUP(C105,parametros!$B:$F,5,0),"")</f>
        <v/>
      </c>
      <c r="J105" s="140" t="str">
        <f t="shared" si="10"/>
        <v/>
      </c>
      <c r="K105" s="137"/>
      <c r="L105" s="110" t="str">
        <f t="shared" si="11"/>
        <v/>
      </c>
      <c r="M105" s="111" t="str">
        <f>IF(A105="","",IF(COUNTIF(itens_Remanesc!$A$2:$A$200,A105)=0,"ALERTA: ITEM_AUSENTE",IF(COUNTIF(itens_Remanesc!$A$2:$A$200,A105)&gt;1,"ALERTA: ITEM_DUPLICADO",IF(OR(C105="",C105="Fora dos ciclos"),"ALERTA: CICLO_INVALIDO",IF(NOT(ISNUMBER(E105)),"ALERTA: QTD_INVALIDA",IF(AND(LEFT(UPPER(D105),5)&lt;&gt;"ACRES",LEFT(UPPER(D105),6)&lt;&gt;"SUPRES",LEFT(UPPER(D105),4)&lt;&gt;"DECR"),"ALERTA: TIPO_INVALIDO","OK"))))))</f>
        <v/>
      </c>
    </row>
    <row r="106" spans="1:13" ht="15.9" customHeight="1" x14ac:dyDescent="0.35">
      <c r="A106" s="137"/>
      <c r="B106" s="138"/>
      <c r="C106" s="128" t="str">
        <f>IF(B106="","",IFERROR(IF(AND(B106&gt;=parametros!$C$2,B106&lt;=parametros!$D$2),"C0",IF(AND(B106&gt;=parametros!$C$3,B106&lt;=parametros!$D$3),"C1",IF(AND(B106&gt;=parametros!$C$4,B106&lt;=parametros!$D$4),"C2",IF(AND(B106&gt;=parametros!$C$5,B106&lt;=parametros!$D$5),"C3",IF(AND(B106&gt;=parametros!$C$6,B106&lt;=parametros!$D$6),"C4","Fora dos ciclos"))))),"Fora dos ciclos"))</f>
        <v/>
      </c>
      <c r="D106" s="137"/>
      <c r="E106" s="139"/>
      <c r="F106" s="140" t="str">
        <f>IF(A106="","",IFERROR(VLOOKUP(A106,itens_Remanesc!$A:$C,3,0),""))</f>
        <v/>
      </c>
      <c r="G106" s="140" t="str">
        <f t="shared" si="9"/>
        <v/>
      </c>
      <c r="H106" s="137"/>
      <c r="I106" s="88" t="str">
        <f>IFERROR(VLOOKUP(C106,parametros!$B:$F,5,0),"")</f>
        <v/>
      </c>
      <c r="J106" s="140" t="str">
        <f t="shared" si="10"/>
        <v/>
      </c>
      <c r="K106" s="137"/>
      <c r="L106" s="110" t="str">
        <f t="shared" si="11"/>
        <v/>
      </c>
      <c r="M106" s="111" t="str">
        <f>IF(A106="","",IF(COUNTIF(itens_Remanesc!$A$2:$A$200,A106)=0,"ALERTA: ITEM_AUSENTE",IF(COUNTIF(itens_Remanesc!$A$2:$A$200,A106)&gt;1,"ALERTA: ITEM_DUPLICADO",IF(OR(C106="",C106="Fora dos ciclos"),"ALERTA: CICLO_INVALIDO",IF(NOT(ISNUMBER(E106)),"ALERTA: QTD_INVALIDA",IF(AND(LEFT(UPPER(D106),5)&lt;&gt;"ACRES",LEFT(UPPER(D106),6)&lt;&gt;"SUPRES",LEFT(UPPER(D106),4)&lt;&gt;"DECR"),"ALERTA: TIPO_INVALIDO","OK"))))))</f>
        <v/>
      </c>
    </row>
    <row r="107" spans="1:13" ht="15.9" customHeight="1" x14ac:dyDescent="0.35">
      <c r="A107" s="137"/>
      <c r="B107" s="138"/>
      <c r="C107" s="128" t="str">
        <f>IF(B107="","",IFERROR(IF(AND(B107&gt;=parametros!$C$2,B107&lt;=parametros!$D$2),"C0",IF(AND(B107&gt;=parametros!$C$3,B107&lt;=parametros!$D$3),"C1",IF(AND(B107&gt;=parametros!$C$4,B107&lt;=parametros!$D$4),"C2",IF(AND(B107&gt;=parametros!$C$5,B107&lt;=parametros!$D$5),"C3",IF(AND(B107&gt;=parametros!$C$6,B107&lt;=parametros!$D$6),"C4","Fora dos ciclos"))))),"Fora dos ciclos"))</f>
        <v/>
      </c>
      <c r="D107" s="137"/>
      <c r="E107" s="139"/>
      <c r="F107" s="140" t="str">
        <f>IF(A107="","",IFERROR(VLOOKUP(A107,itens_Remanesc!$A:$C,3,0),""))</f>
        <v/>
      </c>
      <c r="G107" s="140" t="str">
        <f t="shared" si="9"/>
        <v/>
      </c>
      <c r="H107" s="137"/>
      <c r="I107" s="88" t="str">
        <f>IFERROR(VLOOKUP(C107,parametros!$B:$F,5,0),"")</f>
        <v/>
      </c>
      <c r="J107" s="140" t="str">
        <f t="shared" si="10"/>
        <v/>
      </c>
      <c r="K107" s="137"/>
      <c r="L107" s="110" t="str">
        <f t="shared" si="11"/>
        <v/>
      </c>
      <c r="M107" s="111" t="str">
        <f>IF(A107="","",IF(COUNTIF(itens_Remanesc!$A$2:$A$200,A107)=0,"ALERTA: ITEM_AUSENTE",IF(COUNTIF(itens_Remanesc!$A$2:$A$200,A107)&gt;1,"ALERTA: ITEM_DUPLICADO",IF(OR(C107="",C107="Fora dos ciclos"),"ALERTA: CICLO_INVALIDO",IF(NOT(ISNUMBER(E107)),"ALERTA: QTD_INVALIDA",IF(AND(LEFT(UPPER(D107),5)&lt;&gt;"ACRES",LEFT(UPPER(D107),6)&lt;&gt;"SUPRES",LEFT(UPPER(D107),4)&lt;&gt;"DECR"),"ALERTA: TIPO_INVALIDO","OK"))))))</f>
        <v/>
      </c>
    </row>
    <row r="108" spans="1:13" ht="15.9" customHeight="1" x14ac:dyDescent="0.35">
      <c r="A108" s="137"/>
      <c r="B108" s="138"/>
      <c r="C108" s="128" t="str">
        <f>IF(B108="","",IFERROR(IF(AND(B108&gt;=parametros!$C$2,B108&lt;=parametros!$D$2),"C0",IF(AND(B108&gt;=parametros!$C$3,B108&lt;=parametros!$D$3),"C1",IF(AND(B108&gt;=parametros!$C$4,B108&lt;=parametros!$D$4),"C2",IF(AND(B108&gt;=parametros!$C$5,B108&lt;=parametros!$D$5),"C3",IF(AND(B108&gt;=parametros!$C$6,B108&lt;=parametros!$D$6),"C4","Fora dos ciclos"))))),"Fora dos ciclos"))</f>
        <v/>
      </c>
      <c r="D108" s="137"/>
      <c r="E108" s="139"/>
      <c r="F108" s="140" t="str">
        <f>IF(A108="","",IFERROR(VLOOKUP(A108,itens_Remanesc!$A:$C,3,0),""))</f>
        <v/>
      </c>
      <c r="G108" s="140" t="str">
        <f t="shared" si="9"/>
        <v/>
      </c>
      <c r="H108" s="137"/>
      <c r="I108" s="88" t="str">
        <f>IFERROR(VLOOKUP(C108,parametros!$B:$F,5,0),"")</f>
        <v/>
      </c>
      <c r="J108" s="140" t="str">
        <f t="shared" si="10"/>
        <v/>
      </c>
      <c r="K108" s="137"/>
      <c r="L108" s="110" t="str">
        <f t="shared" si="11"/>
        <v/>
      </c>
      <c r="M108" s="111" t="str">
        <f>IF(A108="","",IF(COUNTIF(itens_Remanesc!$A$2:$A$200,A108)=0,"ALERTA: ITEM_AUSENTE",IF(COUNTIF(itens_Remanesc!$A$2:$A$200,A108)&gt;1,"ALERTA: ITEM_DUPLICADO",IF(OR(C108="",C108="Fora dos ciclos"),"ALERTA: CICLO_INVALIDO",IF(NOT(ISNUMBER(E108)),"ALERTA: QTD_INVALIDA",IF(AND(LEFT(UPPER(D108),5)&lt;&gt;"ACRES",LEFT(UPPER(D108),6)&lt;&gt;"SUPRES",LEFT(UPPER(D108),4)&lt;&gt;"DECR"),"ALERTA: TIPO_INVALIDO","OK"))))))</f>
        <v/>
      </c>
    </row>
    <row r="109" spans="1:13" ht="15.9" customHeight="1" x14ac:dyDescent="0.35">
      <c r="A109" s="137"/>
      <c r="B109" s="138"/>
      <c r="C109" s="128" t="str">
        <f>IF(B109="","",IFERROR(IF(AND(B109&gt;=parametros!$C$2,B109&lt;=parametros!$D$2),"C0",IF(AND(B109&gt;=parametros!$C$3,B109&lt;=parametros!$D$3),"C1",IF(AND(B109&gt;=parametros!$C$4,B109&lt;=parametros!$D$4),"C2",IF(AND(B109&gt;=parametros!$C$5,B109&lt;=parametros!$D$5),"C3",IF(AND(B109&gt;=parametros!$C$6,B109&lt;=parametros!$D$6),"C4","Fora dos ciclos"))))),"Fora dos ciclos"))</f>
        <v/>
      </c>
      <c r="D109" s="137"/>
      <c r="E109" s="139"/>
      <c r="F109" s="140" t="str">
        <f>IF(A109="","",IFERROR(VLOOKUP(A109,itens_Remanesc!$A:$C,3,0),""))</f>
        <v/>
      </c>
      <c r="G109" s="140" t="str">
        <f t="shared" si="9"/>
        <v/>
      </c>
      <c r="H109" s="137"/>
      <c r="I109" s="88" t="str">
        <f>IFERROR(VLOOKUP(C109,parametros!$B:$F,5,0),"")</f>
        <v/>
      </c>
      <c r="J109" s="140" t="str">
        <f t="shared" si="10"/>
        <v/>
      </c>
      <c r="K109" s="137"/>
      <c r="L109" s="110" t="str">
        <f t="shared" si="11"/>
        <v/>
      </c>
      <c r="M109" s="111" t="str">
        <f>IF(A109="","",IF(COUNTIF(itens_Remanesc!$A$2:$A$200,A109)=0,"ALERTA: ITEM_AUSENTE",IF(COUNTIF(itens_Remanesc!$A$2:$A$200,A109)&gt;1,"ALERTA: ITEM_DUPLICADO",IF(OR(C109="",C109="Fora dos ciclos"),"ALERTA: CICLO_INVALIDO",IF(NOT(ISNUMBER(E109)),"ALERTA: QTD_INVALIDA",IF(AND(LEFT(UPPER(D109),5)&lt;&gt;"ACRES",LEFT(UPPER(D109),6)&lt;&gt;"SUPRES",LEFT(UPPER(D109),4)&lt;&gt;"DECR"),"ALERTA: TIPO_INVALIDO","OK"))))))</f>
        <v/>
      </c>
    </row>
    <row r="110" spans="1:13" ht="15.9" customHeight="1" x14ac:dyDescent="0.35">
      <c r="A110" s="137"/>
      <c r="B110" s="138"/>
      <c r="C110" s="128" t="str">
        <f>IF(B110="","",IFERROR(IF(AND(B110&gt;=parametros!$C$2,B110&lt;=parametros!$D$2),"C0",IF(AND(B110&gt;=parametros!$C$3,B110&lt;=parametros!$D$3),"C1",IF(AND(B110&gt;=parametros!$C$4,B110&lt;=parametros!$D$4),"C2",IF(AND(B110&gt;=parametros!$C$5,B110&lt;=parametros!$D$5),"C3",IF(AND(B110&gt;=parametros!$C$6,B110&lt;=parametros!$D$6),"C4","Fora dos ciclos"))))),"Fora dos ciclos"))</f>
        <v/>
      </c>
      <c r="D110" s="137"/>
      <c r="E110" s="139"/>
      <c r="F110" s="140" t="str">
        <f>IF(A110="","",IFERROR(VLOOKUP(A110,itens_Remanesc!$A:$C,3,0),""))</f>
        <v/>
      </c>
      <c r="G110" s="140" t="str">
        <f t="shared" si="9"/>
        <v/>
      </c>
      <c r="H110" s="137"/>
      <c r="I110" s="88" t="str">
        <f>IFERROR(VLOOKUP(C110,parametros!$B:$F,5,0),"")</f>
        <v/>
      </c>
      <c r="J110" s="140" t="str">
        <f t="shared" si="10"/>
        <v/>
      </c>
      <c r="K110" s="137"/>
      <c r="L110" s="110" t="str">
        <f t="shared" si="11"/>
        <v/>
      </c>
      <c r="M110" s="111" t="str">
        <f>IF(A110="","",IF(COUNTIF(itens_Remanesc!$A$2:$A$200,A110)=0,"ALERTA: ITEM_AUSENTE",IF(COUNTIF(itens_Remanesc!$A$2:$A$200,A110)&gt;1,"ALERTA: ITEM_DUPLICADO",IF(OR(C110="",C110="Fora dos ciclos"),"ALERTA: CICLO_INVALIDO",IF(NOT(ISNUMBER(E110)),"ALERTA: QTD_INVALIDA",IF(AND(LEFT(UPPER(D110),5)&lt;&gt;"ACRES",LEFT(UPPER(D110),6)&lt;&gt;"SUPRES",LEFT(UPPER(D110),4)&lt;&gt;"DECR"),"ALERTA: TIPO_INVALIDO","OK"))))))</f>
        <v/>
      </c>
    </row>
    <row r="111" spans="1:13" ht="15.9" customHeight="1" x14ac:dyDescent="0.35">
      <c r="A111" s="137"/>
      <c r="B111" s="138"/>
      <c r="C111" s="128" t="str">
        <f>IF(B111="","",IFERROR(IF(AND(B111&gt;=parametros!$C$2,B111&lt;=parametros!$D$2),"C0",IF(AND(B111&gt;=parametros!$C$3,B111&lt;=parametros!$D$3),"C1",IF(AND(B111&gt;=parametros!$C$4,B111&lt;=parametros!$D$4),"C2",IF(AND(B111&gt;=parametros!$C$5,B111&lt;=parametros!$D$5),"C3",IF(AND(B111&gt;=parametros!$C$6,B111&lt;=parametros!$D$6),"C4","Fora dos ciclos"))))),"Fora dos ciclos"))</f>
        <v/>
      </c>
      <c r="D111" s="137"/>
      <c r="E111" s="139"/>
      <c r="F111" s="140" t="str">
        <f>IF(A111="","",IFERROR(VLOOKUP(A111,itens_Remanesc!$A:$C,3,0),""))</f>
        <v/>
      </c>
      <c r="G111" s="140" t="str">
        <f t="shared" si="9"/>
        <v/>
      </c>
      <c r="H111" s="137"/>
      <c r="I111" s="88" t="str">
        <f>IFERROR(VLOOKUP(C111,parametros!$B:$F,5,0),"")</f>
        <v/>
      </c>
      <c r="J111" s="140" t="str">
        <f t="shared" si="10"/>
        <v/>
      </c>
      <c r="K111" s="137"/>
      <c r="L111" s="110" t="str">
        <f t="shared" si="11"/>
        <v/>
      </c>
      <c r="M111" s="111" t="str">
        <f>IF(A111="","",IF(COUNTIF(itens_Remanesc!$A$2:$A$200,A111)=0,"ALERTA: ITEM_AUSENTE",IF(COUNTIF(itens_Remanesc!$A$2:$A$200,A111)&gt;1,"ALERTA: ITEM_DUPLICADO",IF(OR(C111="",C111="Fora dos ciclos"),"ALERTA: CICLO_INVALIDO",IF(NOT(ISNUMBER(E111)),"ALERTA: QTD_INVALIDA",IF(AND(LEFT(UPPER(D111),5)&lt;&gt;"ACRES",LEFT(UPPER(D111),6)&lt;&gt;"SUPRES",LEFT(UPPER(D111),4)&lt;&gt;"DECR"),"ALERTA: TIPO_INVALIDO","OK"))))))</f>
        <v/>
      </c>
    </row>
    <row r="112" spans="1:13" ht="15.9" customHeight="1" x14ac:dyDescent="0.35">
      <c r="A112" s="137"/>
      <c r="B112" s="138"/>
      <c r="C112" s="128" t="str">
        <f>IF(B112="","",IFERROR(IF(AND(B112&gt;=parametros!$C$2,B112&lt;=parametros!$D$2),"C0",IF(AND(B112&gt;=parametros!$C$3,B112&lt;=parametros!$D$3),"C1",IF(AND(B112&gt;=parametros!$C$4,B112&lt;=parametros!$D$4),"C2",IF(AND(B112&gt;=parametros!$C$5,B112&lt;=parametros!$D$5),"C3",IF(AND(B112&gt;=parametros!$C$6,B112&lt;=parametros!$D$6),"C4","Fora dos ciclos"))))),"Fora dos ciclos"))</f>
        <v/>
      </c>
      <c r="D112" s="137"/>
      <c r="E112" s="139"/>
      <c r="F112" s="140" t="str">
        <f>IF(A112="","",IFERROR(VLOOKUP(A112,itens_Remanesc!$A:$C,3,0),""))</f>
        <v/>
      </c>
      <c r="G112" s="140" t="str">
        <f t="shared" si="9"/>
        <v/>
      </c>
      <c r="H112" s="137"/>
      <c r="I112" s="88" t="str">
        <f>IFERROR(VLOOKUP(C112,parametros!$B:$F,5,0),"")</f>
        <v/>
      </c>
      <c r="J112" s="140" t="str">
        <f t="shared" si="10"/>
        <v/>
      </c>
      <c r="K112" s="137"/>
      <c r="L112" s="110" t="str">
        <f t="shared" si="11"/>
        <v/>
      </c>
      <c r="M112" s="111" t="str">
        <f>IF(A112="","",IF(COUNTIF(itens_Remanesc!$A$2:$A$200,A112)=0,"ALERTA: ITEM_AUSENTE",IF(COUNTIF(itens_Remanesc!$A$2:$A$200,A112)&gt;1,"ALERTA: ITEM_DUPLICADO",IF(OR(C112="",C112="Fora dos ciclos"),"ALERTA: CICLO_INVALIDO",IF(NOT(ISNUMBER(E112)),"ALERTA: QTD_INVALIDA",IF(AND(LEFT(UPPER(D112),5)&lt;&gt;"ACRES",LEFT(UPPER(D112),6)&lt;&gt;"SUPRES",LEFT(UPPER(D112),4)&lt;&gt;"DECR"),"ALERTA: TIPO_INVALIDO","OK"))))))</f>
        <v/>
      </c>
    </row>
    <row r="113" spans="1:13" ht="15.9" customHeight="1" x14ac:dyDescent="0.35">
      <c r="A113" s="137"/>
      <c r="B113" s="138"/>
      <c r="C113" s="128" t="str">
        <f>IF(B113="","",IFERROR(IF(AND(B113&gt;=parametros!$C$2,B113&lt;=parametros!$D$2),"C0",IF(AND(B113&gt;=parametros!$C$3,B113&lt;=parametros!$D$3),"C1",IF(AND(B113&gt;=parametros!$C$4,B113&lt;=parametros!$D$4),"C2",IF(AND(B113&gt;=parametros!$C$5,B113&lt;=parametros!$D$5),"C3",IF(AND(B113&gt;=parametros!$C$6,B113&lt;=parametros!$D$6),"C4","Fora dos ciclos"))))),"Fora dos ciclos"))</f>
        <v/>
      </c>
      <c r="D113" s="137"/>
      <c r="E113" s="139"/>
      <c r="F113" s="140" t="str">
        <f>IF(A113="","",IFERROR(VLOOKUP(A113,itens_Remanesc!$A:$C,3,0),""))</f>
        <v/>
      </c>
      <c r="G113" s="140" t="str">
        <f t="shared" si="9"/>
        <v/>
      </c>
      <c r="H113" s="137"/>
      <c r="I113" s="88" t="str">
        <f>IFERROR(VLOOKUP(C113,parametros!$B:$F,5,0),"")</f>
        <v/>
      </c>
      <c r="J113" s="140" t="str">
        <f t="shared" si="10"/>
        <v/>
      </c>
      <c r="K113" s="137"/>
      <c r="L113" s="110" t="str">
        <f t="shared" si="11"/>
        <v/>
      </c>
      <c r="M113" s="111" t="str">
        <f>IF(A113="","",IF(COUNTIF(itens_Remanesc!$A$2:$A$200,A113)=0,"ALERTA: ITEM_AUSENTE",IF(COUNTIF(itens_Remanesc!$A$2:$A$200,A113)&gt;1,"ALERTA: ITEM_DUPLICADO",IF(OR(C113="",C113="Fora dos ciclos"),"ALERTA: CICLO_INVALIDO",IF(NOT(ISNUMBER(E113)),"ALERTA: QTD_INVALIDA",IF(AND(LEFT(UPPER(D113),5)&lt;&gt;"ACRES",LEFT(UPPER(D113),6)&lt;&gt;"SUPRES",LEFT(UPPER(D113),4)&lt;&gt;"DECR"),"ALERTA: TIPO_INVALIDO","OK"))))))</f>
        <v/>
      </c>
    </row>
    <row r="114" spans="1:13" ht="15.9" customHeight="1" x14ac:dyDescent="0.35">
      <c r="A114" s="137"/>
      <c r="B114" s="138"/>
      <c r="C114" s="128" t="str">
        <f>IF(B114="","",IFERROR(IF(AND(B114&gt;=parametros!$C$2,B114&lt;=parametros!$D$2),"C0",IF(AND(B114&gt;=parametros!$C$3,B114&lt;=parametros!$D$3),"C1",IF(AND(B114&gt;=parametros!$C$4,B114&lt;=parametros!$D$4),"C2",IF(AND(B114&gt;=parametros!$C$5,B114&lt;=parametros!$D$5),"C3",IF(AND(B114&gt;=parametros!$C$6,B114&lt;=parametros!$D$6),"C4","Fora dos ciclos"))))),"Fora dos ciclos"))</f>
        <v/>
      </c>
      <c r="D114" s="137"/>
      <c r="E114" s="139"/>
      <c r="F114" s="140" t="str">
        <f>IF(A114="","",IFERROR(VLOOKUP(A114,itens_Remanesc!$A:$C,3,0),""))</f>
        <v/>
      </c>
      <c r="G114" s="140" t="str">
        <f t="shared" si="9"/>
        <v/>
      </c>
      <c r="H114" s="137"/>
      <c r="I114" s="88" t="str">
        <f>IFERROR(VLOOKUP(C114,parametros!$B:$F,5,0),"")</f>
        <v/>
      </c>
      <c r="J114" s="140" t="str">
        <f t="shared" si="10"/>
        <v/>
      </c>
      <c r="K114" s="137"/>
      <c r="L114" s="110" t="str">
        <f t="shared" si="11"/>
        <v/>
      </c>
      <c r="M114" s="111" t="str">
        <f>IF(A114="","",IF(COUNTIF(itens_Remanesc!$A$2:$A$200,A114)=0,"ALERTA: ITEM_AUSENTE",IF(COUNTIF(itens_Remanesc!$A$2:$A$200,A114)&gt;1,"ALERTA: ITEM_DUPLICADO",IF(OR(C114="",C114="Fora dos ciclos"),"ALERTA: CICLO_INVALIDO",IF(NOT(ISNUMBER(E114)),"ALERTA: QTD_INVALIDA",IF(AND(LEFT(UPPER(D114),5)&lt;&gt;"ACRES",LEFT(UPPER(D114),6)&lt;&gt;"SUPRES",LEFT(UPPER(D114),4)&lt;&gt;"DECR"),"ALERTA: TIPO_INVALIDO","OK"))))))</f>
        <v/>
      </c>
    </row>
    <row r="115" spans="1:13" ht="15.9" customHeight="1" x14ac:dyDescent="0.35">
      <c r="A115" s="137"/>
      <c r="B115" s="138"/>
      <c r="C115" s="128" t="str">
        <f>IF(B115="","",IFERROR(IF(AND(B115&gt;=parametros!$C$2,B115&lt;=parametros!$D$2),"C0",IF(AND(B115&gt;=parametros!$C$3,B115&lt;=parametros!$D$3),"C1",IF(AND(B115&gt;=parametros!$C$4,B115&lt;=parametros!$D$4),"C2",IF(AND(B115&gt;=parametros!$C$5,B115&lt;=parametros!$D$5),"C3",IF(AND(B115&gt;=parametros!$C$6,B115&lt;=parametros!$D$6),"C4","Fora dos ciclos"))))),"Fora dos ciclos"))</f>
        <v/>
      </c>
      <c r="D115" s="137"/>
      <c r="E115" s="139"/>
      <c r="F115" s="140" t="str">
        <f>IF(A115="","",IFERROR(VLOOKUP(A115,itens_Remanesc!$A:$C,3,0),""))</f>
        <v/>
      </c>
      <c r="G115" s="140" t="str">
        <f t="shared" si="9"/>
        <v/>
      </c>
      <c r="H115" s="137"/>
      <c r="I115" s="88" t="str">
        <f>IFERROR(VLOOKUP(C115,parametros!$B:$F,5,0),"")</f>
        <v/>
      </c>
      <c r="J115" s="140" t="str">
        <f t="shared" si="10"/>
        <v/>
      </c>
      <c r="K115" s="137"/>
      <c r="L115" s="110" t="str">
        <f t="shared" si="11"/>
        <v/>
      </c>
      <c r="M115" s="111" t="str">
        <f>IF(A115="","",IF(COUNTIF(itens_Remanesc!$A$2:$A$200,A115)=0,"ALERTA: ITEM_AUSENTE",IF(COUNTIF(itens_Remanesc!$A$2:$A$200,A115)&gt;1,"ALERTA: ITEM_DUPLICADO",IF(OR(C115="",C115="Fora dos ciclos"),"ALERTA: CICLO_INVALIDO",IF(NOT(ISNUMBER(E115)),"ALERTA: QTD_INVALIDA",IF(AND(LEFT(UPPER(D115),5)&lt;&gt;"ACRES",LEFT(UPPER(D115),6)&lt;&gt;"SUPRES",LEFT(UPPER(D115),4)&lt;&gt;"DECR"),"ALERTA: TIPO_INVALIDO","OK"))))))</f>
        <v/>
      </c>
    </row>
    <row r="116" spans="1:13" ht="15.9" customHeight="1" x14ac:dyDescent="0.35">
      <c r="A116" s="137"/>
      <c r="B116" s="138"/>
      <c r="C116" s="128" t="str">
        <f>IF(B116="","",IFERROR(IF(AND(B116&gt;=parametros!$C$2,B116&lt;=parametros!$D$2),"C0",IF(AND(B116&gt;=parametros!$C$3,B116&lt;=parametros!$D$3),"C1",IF(AND(B116&gt;=parametros!$C$4,B116&lt;=parametros!$D$4),"C2",IF(AND(B116&gt;=parametros!$C$5,B116&lt;=parametros!$D$5),"C3",IF(AND(B116&gt;=parametros!$C$6,B116&lt;=parametros!$D$6),"C4","Fora dos ciclos"))))),"Fora dos ciclos"))</f>
        <v/>
      </c>
      <c r="D116" s="137"/>
      <c r="E116" s="139"/>
      <c r="F116" s="140" t="str">
        <f>IF(A116="","",IFERROR(VLOOKUP(A116,itens_Remanesc!$A:$C,3,0),""))</f>
        <v/>
      </c>
      <c r="G116" s="140" t="str">
        <f t="shared" si="9"/>
        <v/>
      </c>
      <c r="H116" s="137"/>
      <c r="I116" s="88" t="str">
        <f>IFERROR(VLOOKUP(C116,parametros!$B:$F,5,0),"")</f>
        <v/>
      </c>
      <c r="J116" s="140" t="str">
        <f t="shared" si="10"/>
        <v/>
      </c>
      <c r="K116" s="137"/>
      <c r="L116" s="110" t="str">
        <f t="shared" si="11"/>
        <v/>
      </c>
      <c r="M116" s="111" t="str">
        <f>IF(A116="","",IF(COUNTIF(itens_Remanesc!$A$2:$A$200,A116)=0,"ALERTA: ITEM_AUSENTE",IF(COUNTIF(itens_Remanesc!$A$2:$A$200,A116)&gt;1,"ALERTA: ITEM_DUPLICADO",IF(OR(C116="",C116="Fora dos ciclos"),"ALERTA: CICLO_INVALIDO",IF(NOT(ISNUMBER(E116)),"ALERTA: QTD_INVALIDA",IF(AND(LEFT(UPPER(D116),5)&lt;&gt;"ACRES",LEFT(UPPER(D116),6)&lt;&gt;"SUPRES",LEFT(UPPER(D116),4)&lt;&gt;"DECR"),"ALERTA: TIPO_INVALIDO","OK"))))))</f>
        <v/>
      </c>
    </row>
    <row r="117" spans="1:13" ht="15.9" customHeight="1" x14ac:dyDescent="0.35">
      <c r="A117" s="137"/>
      <c r="B117" s="138"/>
      <c r="C117" s="128" t="str">
        <f>IF(B117="","",IFERROR(IF(AND(B117&gt;=parametros!$C$2,B117&lt;=parametros!$D$2),"C0",IF(AND(B117&gt;=parametros!$C$3,B117&lt;=parametros!$D$3),"C1",IF(AND(B117&gt;=parametros!$C$4,B117&lt;=parametros!$D$4),"C2",IF(AND(B117&gt;=parametros!$C$5,B117&lt;=parametros!$D$5),"C3",IF(AND(B117&gt;=parametros!$C$6,B117&lt;=parametros!$D$6),"C4","Fora dos ciclos"))))),"Fora dos ciclos"))</f>
        <v/>
      </c>
      <c r="D117" s="137"/>
      <c r="E117" s="139"/>
      <c r="F117" s="140" t="str">
        <f>IF(A117="","",IFERROR(VLOOKUP(A117,itens_Remanesc!$A:$C,3,0),""))</f>
        <v/>
      </c>
      <c r="G117" s="140" t="str">
        <f t="shared" si="9"/>
        <v/>
      </c>
      <c r="H117" s="137"/>
      <c r="I117" s="88" t="str">
        <f>IFERROR(VLOOKUP(C117,parametros!$B:$F,5,0),"")</f>
        <v/>
      </c>
      <c r="J117" s="140" t="str">
        <f t="shared" si="10"/>
        <v/>
      </c>
      <c r="K117" s="137"/>
      <c r="L117" s="110" t="str">
        <f t="shared" si="11"/>
        <v/>
      </c>
      <c r="M117" s="111" t="str">
        <f>IF(A117="","",IF(COUNTIF(itens_Remanesc!$A$2:$A$200,A117)=0,"ALERTA: ITEM_AUSENTE",IF(COUNTIF(itens_Remanesc!$A$2:$A$200,A117)&gt;1,"ALERTA: ITEM_DUPLICADO",IF(OR(C117="",C117="Fora dos ciclos"),"ALERTA: CICLO_INVALIDO",IF(NOT(ISNUMBER(E117)),"ALERTA: QTD_INVALIDA",IF(AND(LEFT(UPPER(D117),5)&lt;&gt;"ACRES",LEFT(UPPER(D117),6)&lt;&gt;"SUPRES",LEFT(UPPER(D117),4)&lt;&gt;"DECR"),"ALERTA: TIPO_INVALIDO","OK"))))))</f>
        <v/>
      </c>
    </row>
    <row r="118" spans="1:13" ht="15.9" customHeight="1" x14ac:dyDescent="0.35">
      <c r="A118" s="137"/>
      <c r="B118" s="138"/>
      <c r="C118" s="128" t="str">
        <f>IF(B118="","",IFERROR(IF(AND(B118&gt;=parametros!$C$2,B118&lt;=parametros!$D$2),"C0",IF(AND(B118&gt;=parametros!$C$3,B118&lt;=parametros!$D$3),"C1",IF(AND(B118&gt;=parametros!$C$4,B118&lt;=parametros!$D$4),"C2",IF(AND(B118&gt;=parametros!$C$5,B118&lt;=parametros!$D$5),"C3",IF(AND(B118&gt;=parametros!$C$6,B118&lt;=parametros!$D$6),"C4","Fora dos ciclos"))))),"Fora dos ciclos"))</f>
        <v/>
      </c>
      <c r="D118" s="137"/>
      <c r="E118" s="139"/>
      <c r="F118" s="140" t="str">
        <f>IF(A118="","",IFERROR(VLOOKUP(A118,itens_Remanesc!$A:$C,3,0),""))</f>
        <v/>
      </c>
      <c r="G118" s="140" t="str">
        <f t="shared" si="9"/>
        <v/>
      </c>
      <c r="H118" s="137"/>
      <c r="I118" s="88" t="str">
        <f>IFERROR(VLOOKUP(C118,parametros!$B:$F,5,0),"")</f>
        <v/>
      </c>
      <c r="J118" s="140" t="str">
        <f t="shared" si="10"/>
        <v/>
      </c>
      <c r="K118" s="137"/>
      <c r="L118" s="110" t="str">
        <f t="shared" si="11"/>
        <v/>
      </c>
      <c r="M118" s="111" t="str">
        <f>IF(A118="","",IF(COUNTIF(itens_Remanesc!$A$2:$A$200,A118)=0,"ALERTA: ITEM_AUSENTE",IF(COUNTIF(itens_Remanesc!$A$2:$A$200,A118)&gt;1,"ALERTA: ITEM_DUPLICADO",IF(OR(C118="",C118="Fora dos ciclos"),"ALERTA: CICLO_INVALIDO",IF(NOT(ISNUMBER(E118)),"ALERTA: QTD_INVALIDA",IF(AND(LEFT(UPPER(D118),5)&lt;&gt;"ACRES",LEFT(UPPER(D118),6)&lt;&gt;"SUPRES",LEFT(UPPER(D118),4)&lt;&gt;"DECR"),"ALERTA: TIPO_INVALIDO","OK"))))))</f>
        <v/>
      </c>
    </row>
    <row r="119" spans="1:13" ht="15.9" customHeight="1" x14ac:dyDescent="0.35">
      <c r="A119" s="137"/>
      <c r="B119" s="138"/>
      <c r="C119" s="128" t="str">
        <f>IF(B119="","",IFERROR(IF(AND(B119&gt;=parametros!$C$2,B119&lt;=parametros!$D$2),"C0",IF(AND(B119&gt;=parametros!$C$3,B119&lt;=parametros!$D$3),"C1",IF(AND(B119&gt;=parametros!$C$4,B119&lt;=parametros!$D$4),"C2",IF(AND(B119&gt;=parametros!$C$5,B119&lt;=parametros!$D$5),"C3",IF(AND(B119&gt;=parametros!$C$6,B119&lt;=parametros!$D$6),"C4","Fora dos ciclos"))))),"Fora dos ciclos"))</f>
        <v/>
      </c>
      <c r="D119" s="137"/>
      <c r="E119" s="139"/>
      <c r="F119" s="140" t="str">
        <f>IF(A119="","",IFERROR(VLOOKUP(A119,itens_Remanesc!$A:$C,3,0),""))</f>
        <v/>
      </c>
      <c r="G119" s="140" t="str">
        <f t="shared" si="9"/>
        <v/>
      </c>
      <c r="H119" s="137"/>
      <c r="I119" s="88" t="str">
        <f>IFERROR(VLOOKUP(C119,parametros!$B:$F,5,0),"")</f>
        <v/>
      </c>
      <c r="J119" s="140" t="str">
        <f t="shared" si="10"/>
        <v/>
      </c>
      <c r="K119" s="137"/>
      <c r="L119" s="110" t="str">
        <f t="shared" si="11"/>
        <v/>
      </c>
      <c r="M119" s="111" t="str">
        <f>IF(A119="","",IF(COUNTIF(itens_Remanesc!$A$2:$A$200,A119)=0,"ALERTA: ITEM_AUSENTE",IF(COUNTIF(itens_Remanesc!$A$2:$A$200,A119)&gt;1,"ALERTA: ITEM_DUPLICADO",IF(OR(C119="",C119="Fora dos ciclos"),"ALERTA: CICLO_INVALIDO",IF(NOT(ISNUMBER(E119)),"ALERTA: QTD_INVALIDA",IF(AND(LEFT(UPPER(D119),5)&lt;&gt;"ACRES",LEFT(UPPER(D119),6)&lt;&gt;"SUPRES",LEFT(UPPER(D119),4)&lt;&gt;"DECR"),"ALERTA: TIPO_INVALIDO","OK"))))))</f>
        <v/>
      </c>
    </row>
    <row r="120" spans="1:13" ht="15.9" customHeight="1" x14ac:dyDescent="0.35">
      <c r="A120" s="137"/>
      <c r="B120" s="138"/>
      <c r="C120" s="128" t="str">
        <f>IF(B120="","",IFERROR(IF(AND(B120&gt;=parametros!$C$2,B120&lt;=parametros!$D$2),"C0",IF(AND(B120&gt;=parametros!$C$3,B120&lt;=parametros!$D$3),"C1",IF(AND(B120&gt;=parametros!$C$4,B120&lt;=parametros!$D$4),"C2",IF(AND(B120&gt;=parametros!$C$5,B120&lt;=parametros!$D$5),"C3",IF(AND(B120&gt;=parametros!$C$6,B120&lt;=parametros!$D$6),"C4","Fora dos ciclos"))))),"Fora dos ciclos"))</f>
        <v/>
      </c>
      <c r="D120" s="137"/>
      <c r="E120" s="139"/>
      <c r="F120" s="140" t="str">
        <f>IF(A120="","",IFERROR(VLOOKUP(A120,itens_Remanesc!$A:$C,3,0),""))</f>
        <v/>
      </c>
      <c r="G120" s="140" t="str">
        <f t="shared" si="9"/>
        <v/>
      </c>
      <c r="H120" s="137"/>
      <c r="I120" s="88" t="str">
        <f>IFERROR(VLOOKUP(C120,parametros!$B:$F,5,0),"")</f>
        <v/>
      </c>
      <c r="J120" s="140" t="str">
        <f t="shared" si="10"/>
        <v/>
      </c>
      <c r="K120" s="137"/>
      <c r="L120" s="110" t="str">
        <f t="shared" si="11"/>
        <v/>
      </c>
      <c r="M120" s="111" t="str">
        <f>IF(A120="","",IF(COUNTIF(itens_Remanesc!$A$2:$A$200,A120)=0,"ALERTA: ITEM_AUSENTE",IF(COUNTIF(itens_Remanesc!$A$2:$A$200,A120)&gt;1,"ALERTA: ITEM_DUPLICADO",IF(OR(C120="",C120="Fora dos ciclos"),"ALERTA: CICLO_INVALIDO",IF(NOT(ISNUMBER(E120)),"ALERTA: QTD_INVALIDA",IF(AND(LEFT(UPPER(D120),5)&lt;&gt;"ACRES",LEFT(UPPER(D120),6)&lt;&gt;"SUPRES",LEFT(UPPER(D120),4)&lt;&gt;"DECR"),"ALERTA: TIPO_INVALIDO","OK"))))))</f>
        <v/>
      </c>
    </row>
    <row r="121" spans="1:13" ht="15.9" customHeight="1" x14ac:dyDescent="0.35">
      <c r="A121" s="137"/>
      <c r="B121" s="138"/>
      <c r="C121" s="128" t="str">
        <f>IF(B121="","",IFERROR(IF(AND(B121&gt;=parametros!$C$2,B121&lt;=parametros!$D$2),"C0",IF(AND(B121&gt;=parametros!$C$3,B121&lt;=parametros!$D$3),"C1",IF(AND(B121&gt;=parametros!$C$4,B121&lt;=parametros!$D$4),"C2",IF(AND(B121&gt;=parametros!$C$5,B121&lt;=parametros!$D$5),"C3",IF(AND(B121&gt;=parametros!$C$6,B121&lt;=parametros!$D$6),"C4","Fora dos ciclos"))))),"Fora dos ciclos"))</f>
        <v/>
      </c>
      <c r="D121" s="137"/>
      <c r="E121" s="139"/>
      <c r="F121" s="140" t="str">
        <f>IF(A121="","",IFERROR(VLOOKUP(A121,itens_Remanesc!$A:$C,3,0),""))</f>
        <v/>
      </c>
      <c r="G121" s="140" t="str">
        <f t="shared" si="9"/>
        <v/>
      </c>
      <c r="H121" s="137"/>
      <c r="I121" s="88" t="str">
        <f>IFERROR(VLOOKUP(C121,parametros!$B:$F,5,0),"")</f>
        <v/>
      </c>
      <c r="J121" s="140" t="str">
        <f t="shared" si="10"/>
        <v/>
      </c>
      <c r="K121" s="137"/>
      <c r="L121" s="110" t="str">
        <f t="shared" si="11"/>
        <v/>
      </c>
      <c r="M121" s="111" t="str">
        <f>IF(A121="","",IF(COUNTIF(itens_Remanesc!$A$2:$A$200,A121)=0,"ALERTA: ITEM_AUSENTE",IF(COUNTIF(itens_Remanesc!$A$2:$A$200,A121)&gt;1,"ALERTA: ITEM_DUPLICADO",IF(OR(C121="",C121="Fora dos ciclos"),"ALERTA: CICLO_INVALIDO",IF(NOT(ISNUMBER(E121)),"ALERTA: QTD_INVALIDA",IF(AND(LEFT(UPPER(D121),5)&lt;&gt;"ACRES",LEFT(UPPER(D121),6)&lt;&gt;"SUPRES",LEFT(UPPER(D121),4)&lt;&gt;"DECR"),"ALERTA: TIPO_INVALIDO","OK"))))))</f>
        <v/>
      </c>
    </row>
    <row r="122" spans="1:13" ht="15.9" customHeight="1" x14ac:dyDescent="0.35">
      <c r="A122" s="137"/>
      <c r="B122" s="138"/>
      <c r="C122" s="128" t="str">
        <f>IF(B122="","",IFERROR(IF(AND(B122&gt;=parametros!$C$2,B122&lt;=parametros!$D$2),"C0",IF(AND(B122&gt;=parametros!$C$3,B122&lt;=parametros!$D$3),"C1",IF(AND(B122&gt;=parametros!$C$4,B122&lt;=parametros!$D$4),"C2",IF(AND(B122&gt;=parametros!$C$5,B122&lt;=parametros!$D$5),"C3",IF(AND(B122&gt;=parametros!$C$6,B122&lt;=parametros!$D$6),"C4","Fora dos ciclos"))))),"Fora dos ciclos"))</f>
        <v/>
      </c>
      <c r="D122" s="137"/>
      <c r="E122" s="139"/>
      <c r="F122" s="140" t="str">
        <f>IF(A122="","",IFERROR(VLOOKUP(A122,itens_Remanesc!$A:$C,3,0),""))</f>
        <v/>
      </c>
      <c r="G122" s="140" t="str">
        <f t="shared" si="9"/>
        <v/>
      </c>
      <c r="H122" s="137"/>
      <c r="I122" s="88" t="str">
        <f>IFERROR(VLOOKUP(C122,parametros!$B:$F,5,0),"")</f>
        <v/>
      </c>
      <c r="J122" s="140" t="str">
        <f t="shared" si="10"/>
        <v/>
      </c>
      <c r="K122" s="137"/>
      <c r="L122" s="110" t="str">
        <f t="shared" si="11"/>
        <v/>
      </c>
      <c r="M122" s="111" t="str">
        <f>IF(A122="","",IF(COUNTIF(itens_Remanesc!$A$2:$A$200,A122)=0,"ALERTA: ITEM_AUSENTE",IF(COUNTIF(itens_Remanesc!$A$2:$A$200,A122)&gt;1,"ALERTA: ITEM_DUPLICADO",IF(OR(C122="",C122="Fora dos ciclos"),"ALERTA: CICLO_INVALIDO",IF(NOT(ISNUMBER(E122)),"ALERTA: QTD_INVALIDA",IF(AND(LEFT(UPPER(D122),5)&lt;&gt;"ACRES",LEFT(UPPER(D122),6)&lt;&gt;"SUPRES",LEFT(UPPER(D122),4)&lt;&gt;"DECR"),"ALERTA: TIPO_INVALIDO","OK"))))))</f>
        <v/>
      </c>
    </row>
    <row r="123" spans="1:13" ht="15.9" customHeight="1" x14ac:dyDescent="0.35">
      <c r="A123" s="137"/>
      <c r="B123" s="138"/>
      <c r="C123" s="128" t="str">
        <f>IF(B123="","",IFERROR(IF(AND(B123&gt;=parametros!$C$2,B123&lt;=parametros!$D$2),"C0",IF(AND(B123&gt;=parametros!$C$3,B123&lt;=parametros!$D$3),"C1",IF(AND(B123&gt;=parametros!$C$4,B123&lt;=parametros!$D$4),"C2",IF(AND(B123&gt;=parametros!$C$5,B123&lt;=parametros!$D$5),"C3",IF(AND(B123&gt;=parametros!$C$6,B123&lt;=parametros!$D$6),"C4","Fora dos ciclos"))))),"Fora dos ciclos"))</f>
        <v/>
      </c>
      <c r="D123" s="137"/>
      <c r="E123" s="139"/>
      <c r="F123" s="140" t="str">
        <f>IF(A123="","",IFERROR(VLOOKUP(A123,itens_Remanesc!$A:$C,3,0),""))</f>
        <v/>
      </c>
      <c r="G123" s="140" t="str">
        <f t="shared" si="9"/>
        <v/>
      </c>
      <c r="H123" s="137"/>
      <c r="I123" s="88" t="str">
        <f>IFERROR(VLOOKUP(C123,parametros!$B:$F,5,0),"")</f>
        <v/>
      </c>
      <c r="J123" s="140" t="str">
        <f t="shared" si="10"/>
        <v/>
      </c>
      <c r="K123" s="137"/>
      <c r="L123" s="110" t="str">
        <f t="shared" si="11"/>
        <v/>
      </c>
      <c r="M123" s="111" t="str">
        <f>IF(A123="","",IF(COUNTIF(itens_Remanesc!$A$2:$A$200,A123)=0,"ALERTA: ITEM_AUSENTE",IF(COUNTIF(itens_Remanesc!$A$2:$A$200,A123)&gt;1,"ALERTA: ITEM_DUPLICADO",IF(OR(C123="",C123="Fora dos ciclos"),"ALERTA: CICLO_INVALIDO",IF(NOT(ISNUMBER(E123)),"ALERTA: QTD_INVALIDA",IF(AND(LEFT(UPPER(D123),5)&lt;&gt;"ACRES",LEFT(UPPER(D123),6)&lt;&gt;"SUPRES",LEFT(UPPER(D123),4)&lt;&gt;"DECR"),"ALERTA: TIPO_INVALIDO","OK"))))))</f>
        <v/>
      </c>
    </row>
    <row r="124" spans="1:13" ht="15.9" customHeight="1" x14ac:dyDescent="0.35">
      <c r="A124" s="137"/>
      <c r="B124" s="138"/>
      <c r="C124" s="128" t="str">
        <f>IF(B124="","",IFERROR(IF(AND(B124&gt;=parametros!$C$2,B124&lt;=parametros!$D$2),"C0",IF(AND(B124&gt;=parametros!$C$3,B124&lt;=parametros!$D$3),"C1",IF(AND(B124&gt;=parametros!$C$4,B124&lt;=parametros!$D$4),"C2",IF(AND(B124&gt;=parametros!$C$5,B124&lt;=parametros!$D$5),"C3",IF(AND(B124&gt;=parametros!$C$6,B124&lt;=parametros!$D$6),"C4","Fora dos ciclos"))))),"Fora dos ciclos"))</f>
        <v/>
      </c>
      <c r="D124" s="137"/>
      <c r="E124" s="139"/>
      <c r="F124" s="140" t="str">
        <f>IF(A124="","",IFERROR(VLOOKUP(A124,itens_Remanesc!$A:$C,3,0),""))</f>
        <v/>
      </c>
      <c r="G124" s="140" t="str">
        <f t="shared" si="9"/>
        <v/>
      </c>
      <c r="H124" s="137"/>
      <c r="I124" s="88" t="str">
        <f>IFERROR(VLOOKUP(C124,parametros!$B:$F,5,0),"")</f>
        <v/>
      </c>
      <c r="J124" s="140" t="str">
        <f t="shared" si="10"/>
        <v/>
      </c>
      <c r="K124" s="137"/>
      <c r="L124" s="110" t="str">
        <f t="shared" si="11"/>
        <v/>
      </c>
      <c r="M124" s="111" t="str">
        <f>IF(A124="","",IF(COUNTIF(itens_Remanesc!$A$2:$A$200,A124)=0,"ALERTA: ITEM_AUSENTE",IF(COUNTIF(itens_Remanesc!$A$2:$A$200,A124)&gt;1,"ALERTA: ITEM_DUPLICADO",IF(OR(C124="",C124="Fora dos ciclos"),"ALERTA: CICLO_INVALIDO",IF(NOT(ISNUMBER(E124)),"ALERTA: QTD_INVALIDA",IF(AND(LEFT(UPPER(D124),5)&lt;&gt;"ACRES",LEFT(UPPER(D124),6)&lt;&gt;"SUPRES",LEFT(UPPER(D124),4)&lt;&gt;"DECR"),"ALERTA: TIPO_INVALIDO","OK"))))))</f>
        <v/>
      </c>
    </row>
    <row r="125" spans="1:13" ht="15.9" customHeight="1" x14ac:dyDescent="0.35">
      <c r="A125" s="137"/>
      <c r="B125" s="138"/>
      <c r="C125" s="128" t="str">
        <f>IF(B125="","",IFERROR(IF(AND(B125&gt;=parametros!$C$2,B125&lt;=parametros!$D$2),"C0",IF(AND(B125&gt;=parametros!$C$3,B125&lt;=parametros!$D$3),"C1",IF(AND(B125&gt;=parametros!$C$4,B125&lt;=parametros!$D$4),"C2",IF(AND(B125&gt;=parametros!$C$5,B125&lt;=parametros!$D$5),"C3",IF(AND(B125&gt;=parametros!$C$6,B125&lt;=parametros!$D$6),"C4","Fora dos ciclos"))))),"Fora dos ciclos"))</f>
        <v/>
      </c>
      <c r="D125" s="137"/>
      <c r="E125" s="139"/>
      <c r="F125" s="140" t="str">
        <f>IF(A125="","",IFERROR(VLOOKUP(A125,itens_Remanesc!$A:$C,3,0),""))</f>
        <v/>
      </c>
      <c r="G125" s="140" t="str">
        <f t="shared" si="9"/>
        <v/>
      </c>
      <c r="H125" s="137"/>
      <c r="I125" s="88" t="str">
        <f>IFERROR(VLOOKUP(C125,parametros!$B:$F,5,0),"")</f>
        <v/>
      </c>
      <c r="J125" s="140" t="str">
        <f t="shared" si="10"/>
        <v/>
      </c>
      <c r="K125" s="137"/>
      <c r="L125" s="110" t="str">
        <f t="shared" si="11"/>
        <v/>
      </c>
      <c r="M125" s="111" t="str">
        <f>IF(A125="","",IF(COUNTIF(itens_Remanesc!$A$2:$A$200,A125)=0,"ALERTA: ITEM_AUSENTE",IF(COUNTIF(itens_Remanesc!$A$2:$A$200,A125)&gt;1,"ALERTA: ITEM_DUPLICADO",IF(OR(C125="",C125="Fora dos ciclos"),"ALERTA: CICLO_INVALIDO",IF(NOT(ISNUMBER(E125)),"ALERTA: QTD_INVALIDA",IF(AND(LEFT(UPPER(D125),5)&lt;&gt;"ACRES",LEFT(UPPER(D125),6)&lt;&gt;"SUPRES",LEFT(UPPER(D125),4)&lt;&gt;"DECR"),"ALERTA: TIPO_INVALIDO","OK"))))))</f>
        <v/>
      </c>
    </row>
    <row r="126" spans="1:13" ht="15.9" customHeight="1" x14ac:dyDescent="0.35">
      <c r="A126" s="137"/>
      <c r="B126" s="138"/>
      <c r="C126" s="128" t="str">
        <f>IF(B126="","",IFERROR(IF(AND(B126&gt;=parametros!$C$2,B126&lt;=parametros!$D$2),"C0",IF(AND(B126&gt;=parametros!$C$3,B126&lt;=parametros!$D$3),"C1",IF(AND(B126&gt;=parametros!$C$4,B126&lt;=parametros!$D$4),"C2",IF(AND(B126&gt;=parametros!$C$5,B126&lt;=parametros!$D$5),"C3",IF(AND(B126&gt;=parametros!$C$6,B126&lt;=parametros!$D$6),"C4","Fora dos ciclos"))))),"Fora dos ciclos"))</f>
        <v/>
      </c>
      <c r="D126" s="137"/>
      <c r="E126" s="139"/>
      <c r="F126" s="140" t="str">
        <f>IF(A126="","",IFERROR(VLOOKUP(A126,itens_Remanesc!$A:$C,3,0),""))</f>
        <v/>
      </c>
      <c r="G126" s="140" t="str">
        <f t="shared" si="9"/>
        <v/>
      </c>
      <c r="H126" s="137"/>
      <c r="I126" s="88" t="str">
        <f>IFERROR(VLOOKUP(C126,parametros!$B:$F,5,0),"")</f>
        <v/>
      </c>
      <c r="J126" s="140" t="str">
        <f t="shared" si="10"/>
        <v/>
      </c>
      <c r="K126" s="137"/>
      <c r="L126" s="110" t="str">
        <f t="shared" si="11"/>
        <v/>
      </c>
      <c r="M126" s="111" t="str">
        <f>IF(A126="","",IF(COUNTIF(itens_Remanesc!$A$2:$A$200,A126)=0,"ALERTA: ITEM_AUSENTE",IF(COUNTIF(itens_Remanesc!$A$2:$A$200,A126)&gt;1,"ALERTA: ITEM_DUPLICADO",IF(OR(C126="",C126="Fora dos ciclos"),"ALERTA: CICLO_INVALIDO",IF(NOT(ISNUMBER(E126)),"ALERTA: QTD_INVALIDA",IF(AND(LEFT(UPPER(D126),5)&lt;&gt;"ACRES",LEFT(UPPER(D126),6)&lt;&gt;"SUPRES",LEFT(UPPER(D126),4)&lt;&gt;"DECR"),"ALERTA: TIPO_INVALIDO","OK"))))))</f>
        <v/>
      </c>
    </row>
    <row r="127" spans="1:13" ht="15.9" customHeight="1" x14ac:dyDescent="0.35">
      <c r="A127" s="137"/>
      <c r="B127" s="138"/>
      <c r="C127" s="128" t="str">
        <f>IF(B127="","",IFERROR(IF(AND(B127&gt;=parametros!$C$2,B127&lt;=parametros!$D$2),"C0",IF(AND(B127&gt;=parametros!$C$3,B127&lt;=parametros!$D$3),"C1",IF(AND(B127&gt;=parametros!$C$4,B127&lt;=parametros!$D$4),"C2",IF(AND(B127&gt;=parametros!$C$5,B127&lt;=parametros!$D$5),"C3",IF(AND(B127&gt;=parametros!$C$6,B127&lt;=parametros!$D$6),"C4","Fora dos ciclos"))))),"Fora dos ciclos"))</f>
        <v/>
      </c>
      <c r="D127" s="137"/>
      <c r="E127" s="139"/>
      <c r="F127" s="140" t="str">
        <f>IF(A127="","",IFERROR(VLOOKUP(A127,itens_Remanesc!$A:$C,3,0),""))</f>
        <v/>
      </c>
      <c r="G127" s="140" t="str">
        <f t="shared" si="9"/>
        <v/>
      </c>
      <c r="H127" s="137"/>
      <c r="I127" s="88" t="str">
        <f>IFERROR(VLOOKUP(C127,parametros!$B:$F,5,0),"")</f>
        <v/>
      </c>
      <c r="J127" s="140" t="str">
        <f t="shared" si="10"/>
        <v/>
      </c>
      <c r="K127" s="137"/>
      <c r="L127" s="110" t="str">
        <f t="shared" si="11"/>
        <v/>
      </c>
      <c r="M127" s="111" t="str">
        <f>IF(A127="","",IF(COUNTIF(itens_Remanesc!$A$2:$A$200,A127)=0,"ALERTA: ITEM_AUSENTE",IF(COUNTIF(itens_Remanesc!$A$2:$A$200,A127)&gt;1,"ALERTA: ITEM_DUPLICADO",IF(OR(C127="",C127="Fora dos ciclos"),"ALERTA: CICLO_INVALIDO",IF(NOT(ISNUMBER(E127)),"ALERTA: QTD_INVALIDA",IF(AND(LEFT(UPPER(D127),5)&lt;&gt;"ACRES",LEFT(UPPER(D127),6)&lt;&gt;"SUPRES",LEFT(UPPER(D127),4)&lt;&gt;"DECR"),"ALERTA: TIPO_INVALIDO","OK"))))))</f>
        <v/>
      </c>
    </row>
    <row r="128" spans="1:13" ht="15.9" customHeight="1" x14ac:dyDescent="0.35">
      <c r="A128" s="137"/>
      <c r="B128" s="138"/>
      <c r="C128" s="128" t="str">
        <f>IF(B128="","",IFERROR(IF(AND(B128&gt;=parametros!$C$2,B128&lt;=parametros!$D$2),"C0",IF(AND(B128&gt;=parametros!$C$3,B128&lt;=parametros!$D$3),"C1",IF(AND(B128&gt;=parametros!$C$4,B128&lt;=parametros!$D$4),"C2",IF(AND(B128&gt;=parametros!$C$5,B128&lt;=parametros!$D$5),"C3",IF(AND(B128&gt;=parametros!$C$6,B128&lt;=parametros!$D$6),"C4","Fora dos ciclos"))))),"Fora dos ciclos"))</f>
        <v/>
      </c>
      <c r="D128" s="137"/>
      <c r="E128" s="139"/>
      <c r="F128" s="140" t="str">
        <f>IF(A128="","",IFERROR(VLOOKUP(A128,itens_Remanesc!$A:$C,3,0),""))</f>
        <v/>
      </c>
      <c r="G128" s="140" t="str">
        <f t="shared" si="9"/>
        <v/>
      </c>
      <c r="H128" s="137"/>
      <c r="I128" s="88" t="str">
        <f>IFERROR(VLOOKUP(C128,parametros!$B:$F,5,0),"")</f>
        <v/>
      </c>
      <c r="J128" s="140" t="str">
        <f t="shared" si="10"/>
        <v/>
      </c>
      <c r="K128" s="137"/>
      <c r="L128" s="110" t="str">
        <f t="shared" si="11"/>
        <v/>
      </c>
      <c r="M128" s="111" t="str">
        <f>IF(A128="","",IF(COUNTIF(itens_Remanesc!$A$2:$A$200,A128)=0,"ALERTA: ITEM_AUSENTE",IF(COUNTIF(itens_Remanesc!$A$2:$A$200,A128)&gt;1,"ALERTA: ITEM_DUPLICADO",IF(OR(C128="",C128="Fora dos ciclos"),"ALERTA: CICLO_INVALIDO",IF(NOT(ISNUMBER(E128)),"ALERTA: QTD_INVALIDA",IF(AND(LEFT(UPPER(D128),5)&lt;&gt;"ACRES",LEFT(UPPER(D128),6)&lt;&gt;"SUPRES",LEFT(UPPER(D128),4)&lt;&gt;"DECR"),"ALERTA: TIPO_INVALIDO","OK"))))))</f>
        <v/>
      </c>
    </row>
    <row r="129" spans="1:13" ht="15.9" customHeight="1" x14ac:dyDescent="0.35">
      <c r="A129" s="137"/>
      <c r="B129" s="138"/>
      <c r="C129" s="128" t="str">
        <f>IF(B129="","",IFERROR(IF(AND(B129&gt;=parametros!$C$2,B129&lt;=parametros!$D$2),"C0",IF(AND(B129&gt;=parametros!$C$3,B129&lt;=parametros!$D$3),"C1",IF(AND(B129&gt;=parametros!$C$4,B129&lt;=parametros!$D$4),"C2",IF(AND(B129&gt;=parametros!$C$5,B129&lt;=parametros!$D$5),"C3",IF(AND(B129&gt;=parametros!$C$6,B129&lt;=parametros!$D$6),"C4","Fora dos ciclos"))))),"Fora dos ciclos"))</f>
        <v/>
      </c>
      <c r="D129" s="137"/>
      <c r="E129" s="139"/>
      <c r="F129" s="140" t="str">
        <f>IF(A129="","",IFERROR(VLOOKUP(A129,itens_Remanesc!$A:$C,3,0),""))</f>
        <v/>
      </c>
      <c r="G129" s="140" t="str">
        <f t="shared" si="9"/>
        <v/>
      </c>
      <c r="H129" s="137"/>
      <c r="I129" s="88" t="str">
        <f>IFERROR(VLOOKUP(C129,parametros!$B:$F,5,0),"")</f>
        <v/>
      </c>
      <c r="J129" s="140" t="str">
        <f t="shared" si="10"/>
        <v/>
      </c>
      <c r="K129" s="137"/>
      <c r="L129" s="110" t="str">
        <f t="shared" si="11"/>
        <v/>
      </c>
      <c r="M129" s="111" t="str">
        <f>IF(A129="","",IF(COUNTIF(itens_Remanesc!$A$2:$A$200,A129)=0,"ALERTA: ITEM_AUSENTE",IF(COUNTIF(itens_Remanesc!$A$2:$A$200,A129)&gt;1,"ALERTA: ITEM_DUPLICADO",IF(OR(C129="",C129="Fora dos ciclos"),"ALERTA: CICLO_INVALIDO",IF(NOT(ISNUMBER(E129)),"ALERTA: QTD_INVALIDA",IF(AND(LEFT(UPPER(D129),5)&lt;&gt;"ACRES",LEFT(UPPER(D129),6)&lt;&gt;"SUPRES",LEFT(UPPER(D129),4)&lt;&gt;"DECR"),"ALERTA: TIPO_INVALIDO","OK"))))))</f>
        <v/>
      </c>
    </row>
    <row r="130" spans="1:13" ht="15.9" customHeight="1" x14ac:dyDescent="0.35">
      <c r="A130" s="137"/>
      <c r="B130" s="138"/>
      <c r="C130" s="128" t="str">
        <f>IF(B130="","",IFERROR(IF(AND(B130&gt;=parametros!$C$2,B130&lt;=parametros!$D$2),"C0",IF(AND(B130&gt;=parametros!$C$3,B130&lt;=parametros!$D$3),"C1",IF(AND(B130&gt;=parametros!$C$4,B130&lt;=parametros!$D$4),"C2",IF(AND(B130&gt;=parametros!$C$5,B130&lt;=parametros!$D$5),"C3",IF(AND(B130&gt;=parametros!$C$6,B130&lt;=parametros!$D$6),"C4","Fora dos ciclos"))))),"Fora dos ciclos"))</f>
        <v/>
      </c>
      <c r="D130" s="137"/>
      <c r="E130" s="139"/>
      <c r="F130" s="140" t="str">
        <f>IF(A130="","",IFERROR(VLOOKUP(A130,itens_Remanesc!$A:$C,3,0),""))</f>
        <v/>
      </c>
      <c r="G130" s="140" t="str">
        <f t="shared" ref="G130:G161" si="12">IF(OR(E130="",F130=""),"",ROUND(E130*F130,2))</f>
        <v/>
      </c>
      <c r="H130" s="137"/>
      <c r="I130" s="88" t="str">
        <f>IFERROR(VLOOKUP(C130,parametros!$B:$F,5,0),"")</f>
        <v/>
      </c>
      <c r="J130" s="140" t="str">
        <f t="shared" ref="J130:J161" si="13">IF(OR(L130="",F130=""),"",ROUND(L130*F130*IF(AND(UPPER(H130)="SIM",ISNUMBER(I130)),I130,1),2))</f>
        <v/>
      </c>
      <c r="K130" s="137"/>
      <c r="L130" s="110" t="str">
        <f t="shared" ref="L130:L161" si="14">IF(OR(A130="",C130="",D130="",NOT(ISNUMBER(E130))),"",IF(LEFT(UPPER(D130),5)="ACRES",ROUND(ABS(E130),2),IF(OR(LEFT(UPPER(D130),6)="SUPRES",LEFT(UPPER(D130),4)="DECR"),ROUND(-ABS(E130),2),"")))</f>
        <v/>
      </c>
      <c r="M130" s="111" t="str">
        <f>IF(A130="","",IF(COUNTIF(itens_Remanesc!$A$2:$A$200,A130)=0,"ALERTA: ITEM_AUSENTE",IF(COUNTIF(itens_Remanesc!$A$2:$A$200,A130)&gt;1,"ALERTA: ITEM_DUPLICADO",IF(OR(C130="",C130="Fora dos ciclos"),"ALERTA: CICLO_INVALIDO",IF(NOT(ISNUMBER(E130)),"ALERTA: QTD_INVALIDA",IF(AND(LEFT(UPPER(D130),5)&lt;&gt;"ACRES",LEFT(UPPER(D130),6)&lt;&gt;"SUPRES",LEFT(UPPER(D130),4)&lt;&gt;"DECR"),"ALERTA: TIPO_INVALIDO","OK"))))))</f>
        <v/>
      </c>
    </row>
    <row r="131" spans="1:13" ht="15.9" customHeight="1" x14ac:dyDescent="0.35">
      <c r="A131" s="137"/>
      <c r="B131" s="138"/>
      <c r="C131" s="128" t="str">
        <f>IF(B131="","",IFERROR(IF(AND(B131&gt;=parametros!$C$2,B131&lt;=parametros!$D$2),"C0",IF(AND(B131&gt;=parametros!$C$3,B131&lt;=parametros!$D$3),"C1",IF(AND(B131&gt;=parametros!$C$4,B131&lt;=parametros!$D$4),"C2",IF(AND(B131&gt;=parametros!$C$5,B131&lt;=parametros!$D$5),"C3",IF(AND(B131&gt;=parametros!$C$6,B131&lt;=parametros!$D$6),"C4","Fora dos ciclos"))))),"Fora dos ciclos"))</f>
        <v/>
      </c>
      <c r="D131" s="137"/>
      <c r="E131" s="139"/>
      <c r="F131" s="140" t="str">
        <f>IF(A131="","",IFERROR(VLOOKUP(A131,itens_Remanesc!$A:$C,3,0),""))</f>
        <v/>
      </c>
      <c r="G131" s="140" t="str">
        <f t="shared" si="12"/>
        <v/>
      </c>
      <c r="H131" s="137"/>
      <c r="I131" s="88" t="str">
        <f>IFERROR(VLOOKUP(C131,parametros!$B:$F,5,0),"")</f>
        <v/>
      </c>
      <c r="J131" s="140" t="str">
        <f t="shared" si="13"/>
        <v/>
      </c>
      <c r="K131" s="137"/>
      <c r="L131" s="110" t="str">
        <f t="shared" si="14"/>
        <v/>
      </c>
      <c r="M131" s="111" t="str">
        <f>IF(A131="","",IF(COUNTIF(itens_Remanesc!$A$2:$A$200,A131)=0,"ALERTA: ITEM_AUSENTE",IF(COUNTIF(itens_Remanesc!$A$2:$A$200,A131)&gt;1,"ALERTA: ITEM_DUPLICADO",IF(OR(C131="",C131="Fora dos ciclos"),"ALERTA: CICLO_INVALIDO",IF(NOT(ISNUMBER(E131)),"ALERTA: QTD_INVALIDA",IF(AND(LEFT(UPPER(D131),5)&lt;&gt;"ACRES",LEFT(UPPER(D131),6)&lt;&gt;"SUPRES",LEFT(UPPER(D131),4)&lt;&gt;"DECR"),"ALERTA: TIPO_INVALIDO","OK"))))))</f>
        <v/>
      </c>
    </row>
    <row r="132" spans="1:13" ht="15.9" customHeight="1" x14ac:dyDescent="0.35">
      <c r="A132" s="137"/>
      <c r="B132" s="138"/>
      <c r="C132" s="128" t="str">
        <f>IF(B132="","",IFERROR(IF(AND(B132&gt;=parametros!$C$2,B132&lt;=parametros!$D$2),"C0",IF(AND(B132&gt;=parametros!$C$3,B132&lt;=parametros!$D$3),"C1",IF(AND(B132&gt;=parametros!$C$4,B132&lt;=parametros!$D$4),"C2",IF(AND(B132&gt;=parametros!$C$5,B132&lt;=parametros!$D$5),"C3",IF(AND(B132&gt;=parametros!$C$6,B132&lt;=parametros!$D$6),"C4","Fora dos ciclos"))))),"Fora dos ciclos"))</f>
        <v/>
      </c>
      <c r="D132" s="137"/>
      <c r="E132" s="139"/>
      <c r="F132" s="140" t="str">
        <f>IF(A132="","",IFERROR(VLOOKUP(A132,itens_Remanesc!$A:$C,3,0),""))</f>
        <v/>
      </c>
      <c r="G132" s="140" t="str">
        <f t="shared" si="12"/>
        <v/>
      </c>
      <c r="H132" s="137"/>
      <c r="I132" s="88" t="str">
        <f>IFERROR(VLOOKUP(C132,parametros!$B:$F,5,0),"")</f>
        <v/>
      </c>
      <c r="J132" s="140" t="str">
        <f t="shared" si="13"/>
        <v/>
      </c>
      <c r="K132" s="137"/>
      <c r="L132" s="110" t="str">
        <f t="shared" si="14"/>
        <v/>
      </c>
      <c r="M132" s="111" t="str">
        <f>IF(A132="","",IF(COUNTIF(itens_Remanesc!$A$2:$A$200,A132)=0,"ALERTA: ITEM_AUSENTE",IF(COUNTIF(itens_Remanesc!$A$2:$A$200,A132)&gt;1,"ALERTA: ITEM_DUPLICADO",IF(OR(C132="",C132="Fora dos ciclos"),"ALERTA: CICLO_INVALIDO",IF(NOT(ISNUMBER(E132)),"ALERTA: QTD_INVALIDA",IF(AND(LEFT(UPPER(D132),5)&lt;&gt;"ACRES",LEFT(UPPER(D132),6)&lt;&gt;"SUPRES",LEFT(UPPER(D132),4)&lt;&gt;"DECR"),"ALERTA: TIPO_INVALIDO","OK"))))))</f>
        <v/>
      </c>
    </row>
    <row r="133" spans="1:13" ht="15.9" customHeight="1" x14ac:dyDescent="0.35">
      <c r="A133" s="137"/>
      <c r="B133" s="138"/>
      <c r="C133" s="128" t="str">
        <f>IF(B133="","",IFERROR(IF(AND(B133&gt;=parametros!$C$2,B133&lt;=parametros!$D$2),"C0",IF(AND(B133&gt;=parametros!$C$3,B133&lt;=parametros!$D$3),"C1",IF(AND(B133&gt;=parametros!$C$4,B133&lt;=parametros!$D$4),"C2",IF(AND(B133&gt;=parametros!$C$5,B133&lt;=parametros!$D$5),"C3",IF(AND(B133&gt;=parametros!$C$6,B133&lt;=parametros!$D$6),"C4","Fora dos ciclos"))))),"Fora dos ciclos"))</f>
        <v/>
      </c>
      <c r="D133" s="137"/>
      <c r="E133" s="139"/>
      <c r="F133" s="140" t="str">
        <f>IF(A133="","",IFERROR(VLOOKUP(A133,itens_Remanesc!$A:$C,3,0),""))</f>
        <v/>
      </c>
      <c r="G133" s="140" t="str">
        <f t="shared" si="12"/>
        <v/>
      </c>
      <c r="H133" s="137"/>
      <c r="I133" s="88" t="str">
        <f>IFERROR(VLOOKUP(C133,parametros!$B:$F,5,0),"")</f>
        <v/>
      </c>
      <c r="J133" s="140" t="str">
        <f t="shared" si="13"/>
        <v/>
      </c>
      <c r="K133" s="137"/>
      <c r="L133" s="110" t="str">
        <f t="shared" si="14"/>
        <v/>
      </c>
      <c r="M133" s="111" t="str">
        <f>IF(A133="","",IF(COUNTIF(itens_Remanesc!$A$2:$A$200,A133)=0,"ALERTA: ITEM_AUSENTE",IF(COUNTIF(itens_Remanesc!$A$2:$A$200,A133)&gt;1,"ALERTA: ITEM_DUPLICADO",IF(OR(C133="",C133="Fora dos ciclos"),"ALERTA: CICLO_INVALIDO",IF(NOT(ISNUMBER(E133)),"ALERTA: QTD_INVALIDA",IF(AND(LEFT(UPPER(D133),5)&lt;&gt;"ACRES",LEFT(UPPER(D133),6)&lt;&gt;"SUPRES",LEFT(UPPER(D133),4)&lt;&gt;"DECR"),"ALERTA: TIPO_INVALIDO","OK"))))))</f>
        <v/>
      </c>
    </row>
    <row r="134" spans="1:13" ht="15.9" customHeight="1" x14ac:dyDescent="0.35">
      <c r="A134" s="137"/>
      <c r="B134" s="138"/>
      <c r="C134" s="128" t="str">
        <f>IF(B134="","",IFERROR(IF(AND(B134&gt;=parametros!$C$2,B134&lt;=parametros!$D$2),"C0",IF(AND(B134&gt;=parametros!$C$3,B134&lt;=parametros!$D$3),"C1",IF(AND(B134&gt;=parametros!$C$4,B134&lt;=parametros!$D$4),"C2",IF(AND(B134&gt;=parametros!$C$5,B134&lt;=parametros!$D$5),"C3",IF(AND(B134&gt;=parametros!$C$6,B134&lt;=parametros!$D$6),"C4","Fora dos ciclos"))))),"Fora dos ciclos"))</f>
        <v/>
      </c>
      <c r="D134" s="137"/>
      <c r="E134" s="139"/>
      <c r="F134" s="140" t="str">
        <f>IF(A134="","",IFERROR(VLOOKUP(A134,itens_Remanesc!$A:$C,3,0),""))</f>
        <v/>
      </c>
      <c r="G134" s="140" t="str">
        <f t="shared" si="12"/>
        <v/>
      </c>
      <c r="H134" s="137"/>
      <c r="I134" s="88" t="str">
        <f>IFERROR(VLOOKUP(C134,parametros!$B:$F,5,0),"")</f>
        <v/>
      </c>
      <c r="J134" s="140" t="str">
        <f t="shared" si="13"/>
        <v/>
      </c>
      <c r="K134" s="137"/>
      <c r="L134" s="110" t="str">
        <f t="shared" si="14"/>
        <v/>
      </c>
      <c r="M134" s="111" t="str">
        <f>IF(A134="","",IF(COUNTIF(itens_Remanesc!$A$2:$A$200,A134)=0,"ALERTA: ITEM_AUSENTE",IF(COUNTIF(itens_Remanesc!$A$2:$A$200,A134)&gt;1,"ALERTA: ITEM_DUPLICADO",IF(OR(C134="",C134="Fora dos ciclos"),"ALERTA: CICLO_INVALIDO",IF(NOT(ISNUMBER(E134)),"ALERTA: QTD_INVALIDA",IF(AND(LEFT(UPPER(D134),5)&lt;&gt;"ACRES",LEFT(UPPER(D134),6)&lt;&gt;"SUPRES",LEFT(UPPER(D134),4)&lt;&gt;"DECR"),"ALERTA: TIPO_INVALIDO","OK"))))))</f>
        <v/>
      </c>
    </row>
    <row r="135" spans="1:13" ht="15.9" customHeight="1" x14ac:dyDescent="0.35">
      <c r="A135" s="137"/>
      <c r="B135" s="138"/>
      <c r="C135" s="128" t="str">
        <f>IF(B135="","",IFERROR(IF(AND(B135&gt;=parametros!$C$2,B135&lt;=parametros!$D$2),"C0",IF(AND(B135&gt;=parametros!$C$3,B135&lt;=parametros!$D$3),"C1",IF(AND(B135&gt;=parametros!$C$4,B135&lt;=parametros!$D$4),"C2",IF(AND(B135&gt;=parametros!$C$5,B135&lt;=parametros!$D$5),"C3",IF(AND(B135&gt;=parametros!$C$6,B135&lt;=parametros!$D$6),"C4","Fora dos ciclos"))))),"Fora dos ciclos"))</f>
        <v/>
      </c>
      <c r="D135" s="137"/>
      <c r="E135" s="139"/>
      <c r="F135" s="140" t="str">
        <f>IF(A135="","",IFERROR(VLOOKUP(A135,itens_Remanesc!$A:$C,3,0),""))</f>
        <v/>
      </c>
      <c r="G135" s="140" t="str">
        <f t="shared" si="12"/>
        <v/>
      </c>
      <c r="H135" s="137"/>
      <c r="I135" s="88" t="str">
        <f>IFERROR(VLOOKUP(C135,parametros!$B:$F,5,0),"")</f>
        <v/>
      </c>
      <c r="J135" s="140" t="str">
        <f t="shared" si="13"/>
        <v/>
      </c>
      <c r="K135" s="137"/>
      <c r="L135" s="110" t="str">
        <f t="shared" si="14"/>
        <v/>
      </c>
      <c r="M135" s="111" t="str">
        <f>IF(A135="","",IF(COUNTIF(itens_Remanesc!$A$2:$A$200,A135)=0,"ALERTA: ITEM_AUSENTE",IF(COUNTIF(itens_Remanesc!$A$2:$A$200,A135)&gt;1,"ALERTA: ITEM_DUPLICADO",IF(OR(C135="",C135="Fora dos ciclos"),"ALERTA: CICLO_INVALIDO",IF(NOT(ISNUMBER(E135)),"ALERTA: QTD_INVALIDA",IF(AND(LEFT(UPPER(D135),5)&lt;&gt;"ACRES",LEFT(UPPER(D135),6)&lt;&gt;"SUPRES",LEFT(UPPER(D135),4)&lt;&gt;"DECR"),"ALERTA: TIPO_INVALIDO","OK"))))))</f>
        <v/>
      </c>
    </row>
    <row r="136" spans="1:13" ht="15.9" customHeight="1" x14ac:dyDescent="0.35">
      <c r="A136" s="137"/>
      <c r="B136" s="138"/>
      <c r="C136" s="128" t="str">
        <f>IF(B136="","",IFERROR(IF(AND(B136&gt;=parametros!$C$2,B136&lt;=parametros!$D$2),"C0",IF(AND(B136&gt;=parametros!$C$3,B136&lt;=parametros!$D$3),"C1",IF(AND(B136&gt;=parametros!$C$4,B136&lt;=parametros!$D$4),"C2",IF(AND(B136&gt;=parametros!$C$5,B136&lt;=parametros!$D$5),"C3",IF(AND(B136&gt;=parametros!$C$6,B136&lt;=parametros!$D$6),"C4","Fora dos ciclos"))))),"Fora dos ciclos"))</f>
        <v/>
      </c>
      <c r="D136" s="137"/>
      <c r="E136" s="139"/>
      <c r="F136" s="140" t="str">
        <f>IF(A136="","",IFERROR(VLOOKUP(A136,itens_Remanesc!$A:$C,3,0),""))</f>
        <v/>
      </c>
      <c r="G136" s="140" t="str">
        <f t="shared" si="12"/>
        <v/>
      </c>
      <c r="H136" s="137"/>
      <c r="I136" s="88" t="str">
        <f>IFERROR(VLOOKUP(C136,parametros!$B:$F,5,0),"")</f>
        <v/>
      </c>
      <c r="J136" s="140" t="str">
        <f t="shared" si="13"/>
        <v/>
      </c>
      <c r="K136" s="137"/>
      <c r="L136" s="110" t="str">
        <f t="shared" si="14"/>
        <v/>
      </c>
      <c r="M136" s="111" t="str">
        <f>IF(A136="","",IF(COUNTIF(itens_Remanesc!$A$2:$A$200,A136)=0,"ALERTA: ITEM_AUSENTE",IF(COUNTIF(itens_Remanesc!$A$2:$A$200,A136)&gt;1,"ALERTA: ITEM_DUPLICADO",IF(OR(C136="",C136="Fora dos ciclos"),"ALERTA: CICLO_INVALIDO",IF(NOT(ISNUMBER(E136)),"ALERTA: QTD_INVALIDA",IF(AND(LEFT(UPPER(D136),5)&lt;&gt;"ACRES",LEFT(UPPER(D136),6)&lt;&gt;"SUPRES",LEFT(UPPER(D136),4)&lt;&gt;"DECR"),"ALERTA: TIPO_INVALIDO","OK"))))))</f>
        <v/>
      </c>
    </row>
    <row r="137" spans="1:13" ht="15.9" customHeight="1" x14ac:dyDescent="0.35">
      <c r="A137" s="137"/>
      <c r="B137" s="138"/>
      <c r="C137" s="128" t="str">
        <f>IF(B137="","",IFERROR(IF(AND(B137&gt;=parametros!$C$2,B137&lt;=parametros!$D$2),"C0",IF(AND(B137&gt;=parametros!$C$3,B137&lt;=parametros!$D$3),"C1",IF(AND(B137&gt;=parametros!$C$4,B137&lt;=parametros!$D$4),"C2",IF(AND(B137&gt;=parametros!$C$5,B137&lt;=parametros!$D$5),"C3",IF(AND(B137&gt;=parametros!$C$6,B137&lt;=parametros!$D$6),"C4","Fora dos ciclos"))))),"Fora dos ciclos"))</f>
        <v/>
      </c>
      <c r="D137" s="137"/>
      <c r="E137" s="139"/>
      <c r="F137" s="140" t="str">
        <f>IF(A137="","",IFERROR(VLOOKUP(A137,itens_Remanesc!$A:$C,3,0),""))</f>
        <v/>
      </c>
      <c r="G137" s="140" t="str">
        <f t="shared" si="12"/>
        <v/>
      </c>
      <c r="H137" s="137"/>
      <c r="I137" s="88" t="str">
        <f>IFERROR(VLOOKUP(C137,parametros!$B:$F,5,0),"")</f>
        <v/>
      </c>
      <c r="J137" s="140" t="str">
        <f t="shared" si="13"/>
        <v/>
      </c>
      <c r="K137" s="137"/>
      <c r="L137" s="110" t="str">
        <f t="shared" si="14"/>
        <v/>
      </c>
      <c r="M137" s="111" t="str">
        <f>IF(A137="","",IF(COUNTIF(itens_Remanesc!$A$2:$A$200,A137)=0,"ALERTA: ITEM_AUSENTE",IF(COUNTIF(itens_Remanesc!$A$2:$A$200,A137)&gt;1,"ALERTA: ITEM_DUPLICADO",IF(OR(C137="",C137="Fora dos ciclos"),"ALERTA: CICLO_INVALIDO",IF(NOT(ISNUMBER(E137)),"ALERTA: QTD_INVALIDA",IF(AND(LEFT(UPPER(D137),5)&lt;&gt;"ACRES",LEFT(UPPER(D137),6)&lt;&gt;"SUPRES",LEFT(UPPER(D137),4)&lt;&gt;"DECR"),"ALERTA: TIPO_INVALIDO","OK"))))))</f>
        <v/>
      </c>
    </row>
    <row r="138" spans="1:13" ht="15.9" customHeight="1" x14ac:dyDescent="0.35">
      <c r="A138" s="137"/>
      <c r="B138" s="138"/>
      <c r="C138" s="128" t="str">
        <f>IF(B138="","",IFERROR(IF(AND(B138&gt;=parametros!$C$2,B138&lt;=parametros!$D$2),"C0",IF(AND(B138&gt;=parametros!$C$3,B138&lt;=parametros!$D$3),"C1",IF(AND(B138&gt;=parametros!$C$4,B138&lt;=parametros!$D$4),"C2",IF(AND(B138&gt;=parametros!$C$5,B138&lt;=parametros!$D$5),"C3",IF(AND(B138&gt;=parametros!$C$6,B138&lt;=parametros!$D$6),"C4","Fora dos ciclos"))))),"Fora dos ciclos"))</f>
        <v/>
      </c>
      <c r="D138" s="137"/>
      <c r="E138" s="139"/>
      <c r="F138" s="140" t="str">
        <f>IF(A138="","",IFERROR(VLOOKUP(A138,itens_Remanesc!$A:$C,3,0),""))</f>
        <v/>
      </c>
      <c r="G138" s="140" t="str">
        <f t="shared" si="12"/>
        <v/>
      </c>
      <c r="H138" s="137"/>
      <c r="I138" s="88" t="str">
        <f>IFERROR(VLOOKUP(C138,parametros!$B:$F,5,0),"")</f>
        <v/>
      </c>
      <c r="J138" s="140" t="str">
        <f t="shared" si="13"/>
        <v/>
      </c>
      <c r="K138" s="137"/>
      <c r="L138" s="110" t="str">
        <f t="shared" si="14"/>
        <v/>
      </c>
      <c r="M138" s="111" t="str">
        <f>IF(A138="","",IF(COUNTIF(itens_Remanesc!$A$2:$A$200,A138)=0,"ALERTA: ITEM_AUSENTE",IF(COUNTIF(itens_Remanesc!$A$2:$A$200,A138)&gt;1,"ALERTA: ITEM_DUPLICADO",IF(OR(C138="",C138="Fora dos ciclos"),"ALERTA: CICLO_INVALIDO",IF(NOT(ISNUMBER(E138)),"ALERTA: QTD_INVALIDA",IF(AND(LEFT(UPPER(D138),5)&lt;&gt;"ACRES",LEFT(UPPER(D138),6)&lt;&gt;"SUPRES",LEFT(UPPER(D138),4)&lt;&gt;"DECR"),"ALERTA: TIPO_INVALIDO","OK"))))))</f>
        <v/>
      </c>
    </row>
    <row r="139" spans="1:13" ht="15.9" customHeight="1" x14ac:dyDescent="0.35">
      <c r="A139" s="137"/>
      <c r="B139" s="138"/>
      <c r="C139" s="128" t="str">
        <f>IF(B139="","",IFERROR(IF(AND(B139&gt;=parametros!$C$2,B139&lt;=parametros!$D$2),"C0",IF(AND(B139&gt;=parametros!$C$3,B139&lt;=parametros!$D$3),"C1",IF(AND(B139&gt;=parametros!$C$4,B139&lt;=parametros!$D$4),"C2",IF(AND(B139&gt;=parametros!$C$5,B139&lt;=parametros!$D$5),"C3",IF(AND(B139&gt;=parametros!$C$6,B139&lt;=parametros!$D$6),"C4","Fora dos ciclos"))))),"Fora dos ciclos"))</f>
        <v/>
      </c>
      <c r="D139" s="137"/>
      <c r="E139" s="139"/>
      <c r="F139" s="140" t="str">
        <f>IF(A139="","",IFERROR(VLOOKUP(A139,itens_Remanesc!$A:$C,3,0),""))</f>
        <v/>
      </c>
      <c r="G139" s="140" t="str">
        <f t="shared" si="12"/>
        <v/>
      </c>
      <c r="H139" s="137"/>
      <c r="I139" s="88" t="str">
        <f>IFERROR(VLOOKUP(C139,parametros!$B:$F,5,0),"")</f>
        <v/>
      </c>
      <c r="J139" s="140" t="str">
        <f t="shared" si="13"/>
        <v/>
      </c>
      <c r="K139" s="137"/>
      <c r="L139" s="110" t="str">
        <f t="shared" si="14"/>
        <v/>
      </c>
      <c r="M139" s="111" t="str">
        <f>IF(A139="","",IF(COUNTIF(itens_Remanesc!$A$2:$A$200,A139)=0,"ALERTA: ITEM_AUSENTE",IF(COUNTIF(itens_Remanesc!$A$2:$A$200,A139)&gt;1,"ALERTA: ITEM_DUPLICADO",IF(OR(C139="",C139="Fora dos ciclos"),"ALERTA: CICLO_INVALIDO",IF(NOT(ISNUMBER(E139)),"ALERTA: QTD_INVALIDA",IF(AND(LEFT(UPPER(D139),5)&lt;&gt;"ACRES",LEFT(UPPER(D139),6)&lt;&gt;"SUPRES",LEFT(UPPER(D139),4)&lt;&gt;"DECR"),"ALERTA: TIPO_INVALIDO","OK"))))))</f>
        <v/>
      </c>
    </row>
    <row r="140" spans="1:13" ht="15.9" customHeight="1" x14ac:dyDescent="0.35">
      <c r="A140" s="137"/>
      <c r="B140" s="138"/>
      <c r="C140" s="128" t="str">
        <f>IF(B140="","",IFERROR(IF(AND(B140&gt;=parametros!$C$2,B140&lt;=parametros!$D$2),"C0",IF(AND(B140&gt;=parametros!$C$3,B140&lt;=parametros!$D$3),"C1",IF(AND(B140&gt;=parametros!$C$4,B140&lt;=parametros!$D$4),"C2",IF(AND(B140&gt;=parametros!$C$5,B140&lt;=parametros!$D$5),"C3",IF(AND(B140&gt;=parametros!$C$6,B140&lt;=parametros!$D$6),"C4","Fora dos ciclos"))))),"Fora dos ciclos"))</f>
        <v/>
      </c>
      <c r="D140" s="137"/>
      <c r="E140" s="139"/>
      <c r="F140" s="140" t="str">
        <f>IF(A140="","",IFERROR(VLOOKUP(A140,itens_Remanesc!$A:$C,3,0),""))</f>
        <v/>
      </c>
      <c r="G140" s="140" t="str">
        <f t="shared" si="12"/>
        <v/>
      </c>
      <c r="H140" s="137"/>
      <c r="I140" s="88" t="str">
        <f>IFERROR(VLOOKUP(C140,parametros!$B:$F,5,0),"")</f>
        <v/>
      </c>
      <c r="J140" s="140" t="str">
        <f t="shared" si="13"/>
        <v/>
      </c>
      <c r="K140" s="137"/>
      <c r="L140" s="110" t="str">
        <f t="shared" si="14"/>
        <v/>
      </c>
      <c r="M140" s="111" t="str">
        <f>IF(A140="","",IF(COUNTIF(itens_Remanesc!$A$2:$A$200,A140)=0,"ALERTA: ITEM_AUSENTE",IF(COUNTIF(itens_Remanesc!$A$2:$A$200,A140)&gt;1,"ALERTA: ITEM_DUPLICADO",IF(OR(C140="",C140="Fora dos ciclos"),"ALERTA: CICLO_INVALIDO",IF(NOT(ISNUMBER(E140)),"ALERTA: QTD_INVALIDA",IF(AND(LEFT(UPPER(D140),5)&lt;&gt;"ACRES",LEFT(UPPER(D140),6)&lt;&gt;"SUPRES",LEFT(UPPER(D140),4)&lt;&gt;"DECR"),"ALERTA: TIPO_INVALIDO","OK"))))))</f>
        <v/>
      </c>
    </row>
    <row r="141" spans="1:13" ht="15.9" customHeight="1" x14ac:dyDescent="0.35">
      <c r="A141" s="137"/>
      <c r="B141" s="138"/>
      <c r="C141" s="128" t="str">
        <f>IF(B141="","",IFERROR(IF(AND(B141&gt;=parametros!$C$2,B141&lt;=parametros!$D$2),"C0",IF(AND(B141&gt;=parametros!$C$3,B141&lt;=parametros!$D$3),"C1",IF(AND(B141&gt;=parametros!$C$4,B141&lt;=parametros!$D$4),"C2",IF(AND(B141&gt;=parametros!$C$5,B141&lt;=parametros!$D$5),"C3",IF(AND(B141&gt;=parametros!$C$6,B141&lt;=parametros!$D$6),"C4","Fora dos ciclos"))))),"Fora dos ciclos"))</f>
        <v/>
      </c>
      <c r="D141" s="137"/>
      <c r="E141" s="139"/>
      <c r="F141" s="140" t="str">
        <f>IF(A141="","",IFERROR(VLOOKUP(A141,itens_Remanesc!$A:$C,3,0),""))</f>
        <v/>
      </c>
      <c r="G141" s="140" t="str">
        <f t="shared" si="12"/>
        <v/>
      </c>
      <c r="H141" s="137"/>
      <c r="I141" s="88" t="str">
        <f>IFERROR(VLOOKUP(C141,parametros!$B:$F,5,0),"")</f>
        <v/>
      </c>
      <c r="J141" s="140" t="str">
        <f t="shared" si="13"/>
        <v/>
      </c>
      <c r="K141" s="137"/>
      <c r="L141" s="110" t="str">
        <f t="shared" si="14"/>
        <v/>
      </c>
      <c r="M141" s="111" t="str">
        <f>IF(A141="","",IF(COUNTIF(itens_Remanesc!$A$2:$A$200,A141)=0,"ALERTA: ITEM_AUSENTE",IF(COUNTIF(itens_Remanesc!$A$2:$A$200,A141)&gt;1,"ALERTA: ITEM_DUPLICADO",IF(OR(C141="",C141="Fora dos ciclos"),"ALERTA: CICLO_INVALIDO",IF(NOT(ISNUMBER(E141)),"ALERTA: QTD_INVALIDA",IF(AND(LEFT(UPPER(D141),5)&lt;&gt;"ACRES",LEFT(UPPER(D141),6)&lt;&gt;"SUPRES",LEFT(UPPER(D141),4)&lt;&gt;"DECR"),"ALERTA: TIPO_INVALIDO","OK"))))))</f>
        <v/>
      </c>
    </row>
    <row r="142" spans="1:13" ht="15.9" customHeight="1" x14ac:dyDescent="0.35">
      <c r="A142" s="137"/>
      <c r="B142" s="138"/>
      <c r="C142" s="128" t="str">
        <f>IF(B142="","",IFERROR(IF(AND(B142&gt;=parametros!$C$2,B142&lt;=parametros!$D$2),"C0",IF(AND(B142&gt;=parametros!$C$3,B142&lt;=parametros!$D$3),"C1",IF(AND(B142&gt;=parametros!$C$4,B142&lt;=parametros!$D$4),"C2",IF(AND(B142&gt;=parametros!$C$5,B142&lt;=parametros!$D$5),"C3",IF(AND(B142&gt;=parametros!$C$6,B142&lt;=parametros!$D$6),"C4","Fora dos ciclos"))))),"Fora dos ciclos"))</f>
        <v/>
      </c>
      <c r="D142" s="137"/>
      <c r="E142" s="139"/>
      <c r="F142" s="140" t="str">
        <f>IF(A142="","",IFERROR(VLOOKUP(A142,itens_Remanesc!$A:$C,3,0),""))</f>
        <v/>
      </c>
      <c r="G142" s="140" t="str">
        <f t="shared" si="12"/>
        <v/>
      </c>
      <c r="H142" s="137"/>
      <c r="I142" s="88" t="str">
        <f>IFERROR(VLOOKUP(C142,parametros!$B:$F,5,0),"")</f>
        <v/>
      </c>
      <c r="J142" s="140" t="str">
        <f t="shared" si="13"/>
        <v/>
      </c>
      <c r="K142" s="137"/>
      <c r="L142" s="110" t="str">
        <f t="shared" si="14"/>
        <v/>
      </c>
      <c r="M142" s="111" t="str">
        <f>IF(A142="","",IF(COUNTIF(itens_Remanesc!$A$2:$A$200,A142)=0,"ALERTA: ITEM_AUSENTE",IF(COUNTIF(itens_Remanesc!$A$2:$A$200,A142)&gt;1,"ALERTA: ITEM_DUPLICADO",IF(OR(C142="",C142="Fora dos ciclos"),"ALERTA: CICLO_INVALIDO",IF(NOT(ISNUMBER(E142)),"ALERTA: QTD_INVALIDA",IF(AND(LEFT(UPPER(D142),5)&lt;&gt;"ACRES",LEFT(UPPER(D142),6)&lt;&gt;"SUPRES",LEFT(UPPER(D142),4)&lt;&gt;"DECR"),"ALERTA: TIPO_INVALIDO","OK"))))))</f>
        <v/>
      </c>
    </row>
    <row r="143" spans="1:13" ht="15.9" customHeight="1" x14ac:dyDescent="0.35">
      <c r="A143" s="137"/>
      <c r="B143" s="138"/>
      <c r="C143" s="128" t="str">
        <f>IF(B143="","",IFERROR(IF(AND(B143&gt;=parametros!$C$2,B143&lt;=parametros!$D$2),"C0",IF(AND(B143&gt;=parametros!$C$3,B143&lt;=parametros!$D$3),"C1",IF(AND(B143&gt;=parametros!$C$4,B143&lt;=parametros!$D$4),"C2",IF(AND(B143&gt;=parametros!$C$5,B143&lt;=parametros!$D$5),"C3",IF(AND(B143&gt;=parametros!$C$6,B143&lt;=parametros!$D$6),"C4","Fora dos ciclos"))))),"Fora dos ciclos"))</f>
        <v/>
      </c>
      <c r="D143" s="137"/>
      <c r="E143" s="139"/>
      <c r="F143" s="140" t="str">
        <f>IF(A143="","",IFERROR(VLOOKUP(A143,itens_Remanesc!$A:$C,3,0),""))</f>
        <v/>
      </c>
      <c r="G143" s="140" t="str">
        <f t="shared" si="12"/>
        <v/>
      </c>
      <c r="H143" s="137"/>
      <c r="I143" s="88" t="str">
        <f>IFERROR(VLOOKUP(C143,parametros!$B:$F,5,0),"")</f>
        <v/>
      </c>
      <c r="J143" s="140" t="str">
        <f t="shared" si="13"/>
        <v/>
      </c>
      <c r="K143" s="137"/>
      <c r="L143" s="110" t="str">
        <f t="shared" si="14"/>
        <v/>
      </c>
      <c r="M143" s="111" t="str">
        <f>IF(A143="","",IF(COUNTIF(itens_Remanesc!$A$2:$A$200,A143)=0,"ALERTA: ITEM_AUSENTE",IF(COUNTIF(itens_Remanesc!$A$2:$A$200,A143)&gt;1,"ALERTA: ITEM_DUPLICADO",IF(OR(C143="",C143="Fora dos ciclos"),"ALERTA: CICLO_INVALIDO",IF(NOT(ISNUMBER(E143)),"ALERTA: QTD_INVALIDA",IF(AND(LEFT(UPPER(D143),5)&lt;&gt;"ACRES",LEFT(UPPER(D143),6)&lt;&gt;"SUPRES",LEFT(UPPER(D143),4)&lt;&gt;"DECR"),"ALERTA: TIPO_INVALIDO","OK"))))))</f>
        <v/>
      </c>
    </row>
    <row r="144" spans="1:13" ht="15.9" customHeight="1" x14ac:dyDescent="0.35">
      <c r="A144" s="137"/>
      <c r="B144" s="138"/>
      <c r="C144" s="128" t="str">
        <f>IF(B144="","",IFERROR(IF(AND(B144&gt;=parametros!$C$2,B144&lt;=parametros!$D$2),"C0",IF(AND(B144&gt;=parametros!$C$3,B144&lt;=parametros!$D$3),"C1",IF(AND(B144&gt;=parametros!$C$4,B144&lt;=parametros!$D$4),"C2",IF(AND(B144&gt;=parametros!$C$5,B144&lt;=parametros!$D$5),"C3",IF(AND(B144&gt;=parametros!$C$6,B144&lt;=parametros!$D$6),"C4","Fora dos ciclos"))))),"Fora dos ciclos"))</f>
        <v/>
      </c>
      <c r="D144" s="137"/>
      <c r="E144" s="139"/>
      <c r="F144" s="140" t="str">
        <f>IF(A144="","",IFERROR(VLOOKUP(A144,itens_Remanesc!$A:$C,3,0),""))</f>
        <v/>
      </c>
      <c r="G144" s="140" t="str">
        <f t="shared" si="12"/>
        <v/>
      </c>
      <c r="H144" s="137"/>
      <c r="I144" s="88" t="str">
        <f>IFERROR(VLOOKUP(C144,parametros!$B:$F,5,0),"")</f>
        <v/>
      </c>
      <c r="J144" s="140" t="str">
        <f t="shared" si="13"/>
        <v/>
      </c>
      <c r="K144" s="137"/>
      <c r="L144" s="110" t="str">
        <f t="shared" si="14"/>
        <v/>
      </c>
      <c r="M144" s="111" t="str">
        <f>IF(A144="","",IF(COUNTIF(itens_Remanesc!$A$2:$A$200,A144)=0,"ALERTA: ITEM_AUSENTE",IF(COUNTIF(itens_Remanesc!$A$2:$A$200,A144)&gt;1,"ALERTA: ITEM_DUPLICADO",IF(OR(C144="",C144="Fora dos ciclos"),"ALERTA: CICLO_INVALIDO",IF(NOT(ISNUMBER(E144)),"ALERTA: QTD_INVALIDA",IF(AND(LEFT(UPPER(D144),5)&lt;&gt;"ACRES",LEFT(UPPER(D144),6)&lt;&gt;"SUPRES",LEFT(UPPER(D144),4)&lt;&gt;"DECR"),"ALERTA: TIPO_INVALIDO","OK"))))))</f>
        <v/>
      </c>
    </row>
    <row r="145" spans="1:13" ht="15.9" customHeight="1" x14ac:dyDescent="0.35">
      <c r="A145" s="137"/>
      <c r="B145" s="138"/>
      <c r="C145" s="128" t="str">
        <f>IF(B145="","",IFERROR(IF(AND(B145&gt;=parametros!$C$2,B145&lt;=parametros!$D$2),"C0",IF(AND(B145&gt;=parametros!$C$3,B145&lt;=parametros!$D$3),"C1",IF(AND(B145&gt;=parametros!$C$4,B145&lt;=parametros!$D$4),"C2",IF(AND(B145&gt;=parametros!$C$5,B145&lt;=parametros!$D$5),"C3",IF(AND(B145&gt;=parametros!$C$6,B145&lt;=parametros!$D$6),"C4","Fora dos ciclos"))))),"Fora dos ciclos"))</f>
        <v/>
      </c>
      <c r="D145" s="137"/>
      <c r="E145" s="139"/>
      <c r="F145" s="140" t="str">
        <f>IF(A145="","",IFERROR(VLOOKUP(A145,itens_Remanesc!$A:$C,3,0),""))</f>
        <v/>
      </c>
      <c r="G145" s="140" t="str">
        <f t="shared" si="12"/>
        <v/>
      </c>
      <c r="H145" s="137"/>
      <c r="I145" s="88" t="str">
        <f>IFERROR(VLOOKUP(C145,parametros!$B:$F,5,0),"")</f>
        <v/>
      </c>
      <c r="J145" s="140" t="str">
        <f t="shared" si="13"/>
        <v/>
      </c>
      <c r="K145" s="137"/>
      <c r="L145" s="110" t="str">
        <f t="shared" si="14"/>
        <v/>
      </c>
      <c r="M145" s="111" t="str">
        <f>IF(A145="","",IF(COUNTIF(itens_Remanesc!$A$2:$A$200,A145)=0,"ALERTA: ITEM_AUSENTE",IF(COUNTIF(itens_Remanesc!$A$2:$A$200,A145)&gt;1,"ALERTA: ITEM_DUPLICADO",IF(OR(C145="",C145="Fora dos ciclos"),"ALERTA: CICLO_INVALIDO",IF(NOT(ISNUMBER(E145)),"ALERTA: QTD_INVALIDA",IF(AND(LEFT(UPPER(D145),5)&lt;&gt;"ACRES",LEFT(UPPER(D145),6)&lt;&gt;"SUPRES",LEFT(UPPER(D145),4)&lt;&gt;"DECR"),"ALERTA: TIPO_INVALIDO","OK"))))))</f>
        <v/>
      </c>
    </row>
    <row r="146" spans="1:13" ht="15.9" customHeight="1" x14ac:dyDescent="0.35">
      <c r="A146" s="137"/>
      <c r="B146" s="138"/>
      <c r="C146" s="128" t="str">
        <f>IF(B146="","",IFERROR(IF(AND(B146&gt;=parametros!$C$2,B146&lt;=parametros!$D$2),"C0",IF(AND(B146&gt;=parametros!$C$3,B146&lt;=parametros!$D$3),"C1",IF(AND(B146&gt;=parametros!$C$4,B146&lt;=parametros!$D$4),"C2",IF(AND(B146&gt;=parametros!$C$5,B146&lt;=parametros!$D$5),"C3",IF(AND(B146&gt;=parametros!$C$6,B146&lt;=parametros!$D$6),"C4","Fora dos ciclos"))))),"Fora dos ciclos"))</f>
        <v/>
      </c>
      <c r="D146" s="137"/>
      <c r="E146" s="139"/>
      <c r="F146" s="140" t="str">
        <f>IF(A146="","",IFERROR(VLOOKUP(A146,itens_Remanesc!$A:$C,3,0),""))</f>
        <v/>
      </c>
      <c r="G146" s="140" t="str">
        <f t="shared" si="12"/>
        <v/>
      </c>
      <c r="H146" s="137"/>
      <c r="I146" s="88" t="str">
        <f>IFERROR(VLOOKUP(C146,parametros!$B:$F,5,0),"")</f>
        <v/>
      </c>
      <c r="J146" s="140" t="str">
        <f t="shared" si="13"/>
        <v/>
      </c>
      <c r="K146" s="137"/>
      <c r="L146" s="110" t="str">
        <f t="shared" si="14"/>
        <v/>
      </c>
      <c r="M146" s="111" t="str">
        <f>IF(A146="","",IF(COUNTIF(itens_Remanesc!$A$2:$A$200,A146)=0,"ALERTA: ITEM_AUSENTE",IF(COUNTIF(itens_Remanesc!$A$2:$A$200,A146)&gt;1,"ALERTA: ITEM_DUPLICADO",IF(OR(C146="",C146="Fora dos ciclos"),"ALERTA: CICLO_INVALIDO",IF(NOT(ISNUMBER(E146)),"ALERTA: QTD_INVALIDA",IF(AND(LEFT(UPPER(D146),5)&lt;&gt;"ACRES",LEFT(UPPER(D146),6)&lt;&gt;"SUPRES",LEFT(UPPER(D146),4)&lt;&gt;"DECR"),"ALERTA: TIPO_INVALIDO","OK"))))))</f>
        <v/>
      </c>
    </row>
    <row r="147" spans="1:13" ht="15.9" customHeight="1" x14ac:dyDescent="0.35">
      <c r="A147" s="137"/>
      <c r="B147" s="138"/>
      <c r="C147" s="128" t="str">
        <f>IF(B147="","",IFERROR(IF(AND(B147&gt;=parametros!$C$2,B147&lt;=parametros!$D$2),"C0",IF(AND(B147&gt;=parametros!$C$3,B147&lt;=parametros!$D$3),"C1",IF(AND(B147&gt;=parametros!$C$4,B147&lt;=parametros!$D$4),"C2",IF(AND(B147&gt;=parametros!$C$5,B147&lt;=parametros!$D$5),"C3",IF(AND(B147&gt;=parametros!$C$6,B147&lt;=parametros!$D$6),"C4","Fora dos ciclos"))))),"Fora dos ciclos"))</f>
        <v/>
      </c>
      <c r="D147" s="137"/>
      <c r="E147" s="139"/>
      <c r="F147" s="140" t="str">
        <f>IF(A147="","",IFERROR(VLOOKUP(A147,itens_Remanesc!$A:$C,3,0),""))</f>
        <v/>
      </c>
      <c r="G147" s="140" t="str">
        <f t="shared" si="12"/>
        <v/>
      </c>
      <c r="H147" s="137"/>
      <c r="I147" s="88" t="str">
        <f>IFERROR(VLOOKUP(C147,parametros!$B:$F,5,0),"")</f>
        <v/>
      </c>
      <c r="J147" s="140" t="str">
        <f t="shared" si="13"/>
        <v/>
      </c>
      <c r="K147" s="137"/>
      <c r="L147" s="110" t="str">
        <f t="shared" si="14"/>
        <v/>
      </c>
      <c r="M147" s="111" t="str">
        <f>IF(A147="","",IF(COUNTIF(itens_Remanesc!$A$2:$A$200,A147)=0,"ALERTA: ITEM_AUSENTE",IF(COUNTIF(itens_Remanesc!$A$2:$A$200,A147)&gt;1,"ALERTA: ITEM_DUPLICADO",IF(OR(C147="",C147="Fora dos ciclos"),"ALERTA: CICLO_INVALIDO",IF(NOT(ISNUMBER(E147)),"ALERTA: QTD_INVALIDA",IF(AND(LEFT(UPPER(D147),5)&lt;&gt;"ACRES",LEFT(UPPER(D147),6)&lt;&gt;"SUPRES",LEFT(UPPER(D147),4)&lt;&gt;"DECR"),"ALERTA: TIPO_INVALIDO","OK"))))))</f>
        <v/>
      </c>
    </row>
    <row r="148" spans="1:13" ht="15.9" customHeight="1" x14ac:dyDescent="0.35">
      <c r="A148" s="137"/>
      <c r="B148" s="138"/>
      <c r="C148" s="128" t="str">
        <f>IF(B148="","",IFERROR(IF(AND(B148&gt;=parametros!$C$2,B148&lt;=parametros!$D$2),"C0",IF(AND(B148&gt;=parametros!$C$3,B148&lt;=parametros!$D$3),"C1",IF(AND(B148&gt;=parametros!$C$4,B148&lt;=parametros!$D$4),"C2",IF(AND(B148&gt;=parametros!$C$5,B148&lt;=parametros!$D$5),"C3",IF(AND(B148&gt;=parametros!$C$6,B148&lt;=parametros!$D$6),"C4","Fora dos ciclos"))))),"Fora dos ciclos"))</f>
        <v/>
      </c>
      <c r="D148" s="137"/>
      <c r="E148" s="139"/>
      <c r="F148" s="140" t="str">
        <f>IF(A148="","",IFERROR(VLOOKUP(A148,itens_Remanesc!$A:$C,3,0),""))</f>
        <v/>
      </c>
      <c r="G148" s="140" t="str">
        <f t="shared" si="12"/>
        <v/>
      </c>
      <c r="H148" s="137"/>
      <c r="I148" s="88" t="str">
        <f>IFERROR(VLOOKUP(C148,parametros!$B:$F,5,0),"")</f>
        <v/>
      </c>
      <c r="J148" s="140" t="str">
        <f t="shared" si="13"/>
        <v/>
      </c>
      <c r="K148" s="137"/>
      <c r="L148" s="110" t="str">
        <f t="shared" si="14"/>
        <v/>
      </c>
      <c r="M148" s="111" t="str">
        <f>IF(A148="","",IF(COUNTIF(itens_Remanesc!$A$2:$A$200,A148)=0,"ALERTA: ITEM_AUSENTE",IF(COUNTIF(itens_Remanesc!$A$2:$A$200,A148)&gt;1,"ALERTA: ITEM_DUPLICADO",IF(OR(C148="",C148="Fora dos ciclos"),"ALERTA: CICLO_INVALIDO",IF(NOT(ISNUMBER(E148)),"ALERTA: QTD_INVALIDA",IF(AND(LEFT(UPPER(D148),5)&lt;&gt;"ACRES",LEFT(UPPER(D148),6)&lt;&gt;"SUPRES",LEFT(UPPER(D148),4)&lt;&gt;"DECR"),"ALERTA: TIPO_INVALIDO","OK"))))))</f>
        <v/>
      </c>
    </row>
    <row r="149" spans="1:13" ht="15.9" customHeight="1" x14ac:dyDescent="0.35">
      <c r="A149" s="137"/>
      <c r="B149" s="138"/>
      <c r="C149" s="128" t="str">
        <f>IF(B149="","",IFERROR(IF(AND(B149&gt;=parametros!$C$2,B149&lt;=parametros!$D$2),"C0",IF(AND(B149&gt;=parametros!$C$3,B149&lt;=parametros!$D$3),"C1",IF(AND(B149&gt;=parametros!$C$4,B149&lt;=parametros!$D$4),"C2",IF(AND(B149&gt;=parametros!$C$5,B149&lt;=parametros!$D$5),"C3",IF(AND(B149&gt;=parametros!$C$6,B149&lt;=parametros!$D$6),"C4","Fora dos ciclos"))))),"Fora dos ciclos"))</f>
        <v/>
      </c>
      <c r="D149" s="137"/>
      <c r="E149" s="139"/>
      <c r="F149" s="140" t="str">
        <f>IF(A149="","",IFERROR(VLOOKUP(A149,itens_Remanesc!$A:$C,3,0),""))</f>
        <v/>
      </c>
      <c r="G149" s="140" t="str">
        <f t="shared" si="12"/>
        <v/>
      </c>
      <c r="H149" s="137"/>
      <c r="I149" s="88" t="str">
        <f>IFERROR(VLOOKUP(C149,parametros!$B:$F,5,0),"")</f>
        <v/>
      </c>
      <c r="J149" s="140" t="str">
        <f t="shared" si="13"/>
        <v/>
      </c>
      <c r="K149" s="137"/>
      <c r="L149" s="110" t="str">
        <f t="shared" si="14"/>
        <v/>
      </c>
      <c r="M149" s="111" t="str">
        <f>IF(A149="","",IF(COUNTIF(itens_Remanesc!$A$2:$A$200,A149)=0,"ALERTA: ITEM_AUSENTE",IF(COUNTIF(itens_Remanesc!$A$2:$A$200,A149)&gt;1,"ALERTA: ITEM_DUPLICADO",IF(OR(C149="",C149="Fora dos ciclos"),"ALERTA: CICLO_INVALIDO",IF(NOT(ISNUMBER(E149)),"ALERTA: QTD_INVALIDA",IF(AND(LEFT(UPPER(D149),5)&lt;&gt;"ACRES",LEFT(UPPER(D149),6)&lt;&gt;"SUPRES",LEFT(UPPER(D149),4)&lt;&gt;"DECR"),"ALERTA: TIPO_INVALIDO","OK"))))))</f>
        <v/>
      </c>
    </row>
    <row r="150" spans="1:13" ht="15.9" customHeight="1" x14ac:dyDescent="0.35">
      <c r="A150" s="137"/>
      <c r="B150" s="138"/>
      <c r="C150" s="128" t="str">
        <f>IF(B150="","",IFERROR(IF(AND(B150&gt;=parametros!$C$2,B150&lt;=parametros!$D$2),"C0",IF(AND(B150&gt;=parametros!$C$3,B150&lt;=parametros!$D$3),"C1",IF(AND(B150&gt;=parametros!$C$4,B150&lt;=parametros!$D$4),"C2",IF(AND(B150&gt;=parametros!$C$5,B150&lt;=parametros!$D$5),"C3",IF(AND(B150&gt;=parametros!$C$6,B150&lt;=parametros!$D$6),"C4","Fora dos ciclos"))))),"Fora dos ciclos"))</f>
        <v/>
      </c>
      <c r="D150" s="137"/>
      <c r="E150" s="139"/>
      <c r="F150" s="140" t="str">
        <f>IF(A150="","",IFERROR(VLOOKUP(A150,itens_Remanesc!$A:$C,3,0),""))</f>
        <v/>
      </c>
      <c r="G150" s="140" t="str">
        <f t="shared" si="12"/>
        <v/>
      </c>
      <c r="H150" s="137"/>
      <c r="I150" s="88" t="str">
        <f>IFERROR(VLOOKUP(C150,parametros!$B:$F,5,0),"")</f>
        <v/>
      </c>
      <c r="J150" s="140" t="str">
        <f t="shared" si="13"/>
        <v/>
      </c>
      <c r="K150" s="137"/>
      <c r="L150" s="110" t="str">
        <f t="shared" si="14"/>
        <v/>
      </c>
      <c r="M150" s="111" t="str">
        <f>IF(A150="","",IF(COUNTIF(itens_Remanesc!$A$2:$A$200,A150)=0,"ALERTA: ITEM_AUSENTE",IF(COUNTIF(itens_Remanesc!$A$2:$A$200,A150)&gt;1,"ALERTA: ITEM_DUPLICADO",IF(OR(C150="",C150="Fora dos ciclos"),"ALERTA: CICLO_INVALIDO",IF(NOT(ISNUMBER(E150)),"ALERTA: QTD_INVALIDA",IF(AND(LEFT(UPPER(D150),5)&lt;&gt;"ACRES",LEFT(UPPER(D150),6)&lt;&gt;"SUPRES",LEFT(UPPER(D150),4)&lt;&gt;"DECR"),"ALERTA: TIPO_INVALIDO","OK"))))))</f>
        <v/>
      </c>
    </row>
    <row r="151" spans="1:13" ht="15.9" customHeight="1" x14ac:dyDescent="0.35">
      <c r="A151" s="137"/>
      <c r="B151" s="138"/>
      <c r="C151" s="128" t="str">
        <f>IF(B151="","",IFERROR(IF(AND(B151&gt;=parametros!$C$2,B151&lt;=parametros!$D$2),"C0",IF(AND(B151&gt;=parametros!$C$3,B151&lt;=parametros!$D$3),"C1",IF(AND(B151&gt;=parametros!$C$4,B151&lt;=parametros!$D$4),"C2",IF(AND(B151&gt;=parametros!$C$5,B151&lt;=parametros!$D$5),"C3",IF(AND(B151&gt;=parametros!$C$6,B151&lt;=parametros!$D$6),"C4","Fora dos ciclos"))))),"Fora dos ciclos"))</f>
        <v/>
      </c>
      <c r="D151" s="137"/>
      <c r="E151" s="139"/>
      <c r="F151" s="140" t="str">
        <f>IF(A151="","",IFERROR(VLOOKUP(A151,itens_Remanesc!$A:$C,3,0),""))</f>
        <v/>
      </c>
      <c r="G151" s="140" t="str">
        <f t="shared" si="12"/>
        <v/>
      </c>
      <c r="H151" s="137"/>
      <c r="I151" s="88" t="str">
        <f>IFERROR(VLOOKUP(C151,parametros!$B:$F,5,0),"")</f>
        <v/>
      </c>
      <c r="J151" s="140" t="str">
        <f t="shared" si="13"/>
        <v/>
      </c>
      <c r="K151" s="137"/>
      <c r="L151" s="110" t="str">
        <f t="shared" si="14"/>
        <v/>
      </c>
      <c r="M151" s="111" t="str">
        <f>IF(A151="","",IF(COUNTIF(itens_Remanesc!$A$2:$A$200,A151)=0,"ALERTA: ITEM_AUSENTE",IF(COUNTIF(itens_Remanesc!$A$2:$A$200,A151)&gt;1,"ALERTA: ITEM_DUPLICADO",IF(OR(C151="",C151="Fora dos ciclos"),"ALERTA: CICLO_INVALIDO",IF(NOT(ISNUMBER(E151)),"ALERTA: QTD_INVALIDA",IF(AND(LEFT(UPPER(D151),5)&lt;&gt;"ACRES",LEFT(UPPER(D151),6)&lt;&gt;"SUPRES",LEFT(UPPER(D151),4)&lt;&gt;"DECR"),"ALERTA: TIPO_INVALIDO","OK"))))))</f>
        <v/>
      </c>
    </row>
    <row r="152" spans="1:13" ht="15.9" customHeight="1" x14ac:dyDescent="0.35">
      <c r="A152" s="137"/>
      <c r="B152" s="138"/>
      <c r="C152" s="128" t="str">
        <f>IF(B152="","",IFERROR(IF(AND(B152&gt;=parametros!$C$2,B152&lt;=parametros!$D$2),"C0",IF(AND(B152&gt;=parametros!$C$3,B152&lt;=parametros!$D$3),"C1",IF(AND(B152&gt;=parametros!$C$4,B152&lt;=parametros!$D$4),"C2",IF(AND(B152&gt;=parametros!$C$5,B152&lt;=parametros!$D$5),"C3",IF(AND(B152&gt;=parametros!$C$6,B152&lt;=parametros!$D$6),"C4","Fora dos ciclos"))))),"Fora dos ciclos"))</f>
        <v/>
      </c>
      <c r="D152" s="137"/>
      <c r="E152" s="139"/>
      <c r="F152" s="140" t="str">
        <f>IF(A152="","",IFERROR(VLOOKUP(A152,itens_Remanesc!$A:$C,3,0),""))</f>
        <v/>
      </c>
      <c r="G152" s="140" t="str">
        <f t="shared" si="12"/>
        <v/>
      </c>
      <c r="H152" s="137"/>
      <c r="I152" s="88" t="str">
        <f>IFERROR(VLOOKUP(C152,parametros!$B:$F,5,0),"")</f>
        <v/>
      </c>
      <c r="J152" s="140" t="str">
        <f t="shared" si="13"/>
        <v/>
      </c>
      <c r="K152" s="137"/>
      <c r="L152" s="110" t="str">
        <f t="shared" si="14"/>
        <v/>
      </c>
      <c r="M152" s="111" t="str">
        <f>IF(A152="","",IF(COUNTIF(itens_Remanesc!$A$2:$A$200,A152)=0,"ALERTA: ITEM_AUSENTE",IF(COUNTIF(itens_Remanesc!$A$2:$A$200,A152)&gt;1,"ALERTA: ITEM_DUPLICADO",IF(OR(C152="",C152="Fora dos ciclos"),"ALERTA: CICLO_INVALIDO",IF(NOT(ISNUMBER(E152)),"ALERTA: QTD_INVALIDA",IF(AND(LEFT(UPPER(D152),5)&lt;&gt;"ACRES",LEFT(UPPER(D152),6)&lt;&gt;"SUPRES",LEFT(UPPER(D152),4)&lt;&gt;"DECR"),"ALERTA: TIPO_INVALIDO","OK"))))))</f>
        <v/>
      </c>
    </row>
    <row r="153" spans="1:13" ht="15.9" customHeight="1" x14ac:dyDescent="0.35">
      <c r="A153" s="137"/>
      <c r="B153" s="138"/>
      <c r="C153" s="128" t="str">
        <f>IF(B153="","",IFERROR(IF(AND(B153&gt;=parametros!$C$2,B153&lt;=parametros!$D$2),"C0",IF(AND(B153&gt;=parametros!$C$3,B153&lt;=parametros!$D$3),"C1",IF(AND(B153&gt;=parametros!$C$4,B153&lt;=parametros!$D$4),"C2",IF(AND(B153&gt;=parametros!$C$5,B153&lt;=parametros!$D$5),"C3",IF(AND(B153&gt;=parametros!$C$6,B153&lt;=parametros!$D$6),"C4","Fora dos ciclos"))))),"Fora dos ciclos"))</f>
        <v/>
      </c>
      <c r="D153" s="137"/>
      <c r="E153" s="139"/>
      <c r="F153" s="140" t="str">
        <f>IF(A153="","",IFERROR(VLOOKUP(A153,itens_Remanesc!$A:$C,3,0),""))</f>
        <v/>
      </c>
      <c r="G153" s="140" t="str">
        <f t="shared" si="12"/>
        <v/>
      </c>
      <c r="H153" s="137"/>
      <c r="I153" s="88" t="str">
        <f>IFERROR(VLOOKUP(C153,parametros!$B:$F,5,0),"")</f>
        <v/>
      </c>
      <c r="J153" s="140" t="str">
        <f t="shared" si="13"/>
        <v/>
      </c>
      <c r="K153" s="137"/>
      <c r="L153" s="110" t="str">
        <f t="shared" si="14"/>
        <v/>
      </c>
      <c r="M153" s="111" t="str">
        <f>IF(A153="","",IF(COUNTIF(itens_Remanesc!$A$2:$A$200,A153)=0,"ALERTA: ITEM_AUSENTE",IF(COUNTIF(itens_Remanesc!$A$2:$A$200,A153)&gt;1,"ALERTA: ITEM_DUPLICADO",IF(OR(C153="",C153="Fora dos ciclos"),"ALERTA: CICLO_INVALIDO",IF(NOT(ISNUMBER(E153)),"ALERTA: QTD_INVALIDA",IF(AND(LEFT(UPPER(D153),5)&lt;&gt;"ACRES",LEFT(UPPER(D153),6)&lt;&gt;"SUPRES",LEFT(UPPER(D153),4)&lt;&gt;"DECR"),"ALERTA: TIPO_INVALIDO","OK"))))))</f>
        <v/>
      </c>
    </row>
    <row r="154" spans="1:13" ht="15.9" customHeight="1" x14ac:dyDescent="0.35">
      <c r="A154" s="137"/>
      <c r="B154" s="138"/>
      <c r="C154" s="128" t="str">
        <f>IF(B154="","",IFERROR(IF(AND(B154&gt;=parametros!$C$2,B154&lt;=parametros!$D$2),"C0",IF(AND(B154&gt;=parametros!$C$3,B154&lt;=parametros!$D$3),"C1",IF(AND(B154&gt;=parametros!$C$4,B154&lt;=parametros!$D$4),"C2",IF(AND(B154&gt;=parametros!$C$5,B154&lt;=parametros!$D$5),"C3",IF(AND(B154&gt;=parametros!$C$6,B154&lt;=parametros!$D$6),"C4","Fora dos ciclos"))))),"Fora dos ciclos"))</f>
        <v/>
      </c>
      <c r="D154" s="137"/>
      <c r="E154" s="139"/>
      <c r="F154" s="140" t="str">
        <f>IF(A154="","",IFERROR(VLOOKUP(A154,itens_Remanesc!$A:$C,3,0),""))</f>
        <v/>
      </c>
      <c r="G154" s="140" t="str">
        <f t="shared" si="12"/>
        <v/>
      </c>
      <c r="H154" s="137"/>
      <c r="I154" s="88" t="str">
        <f>IFERROR(VLOOKUP(C154,parametros!$B:$F,5,0),"")</f>
        <v/>
      </c>
      <c r="J154" s="140" t="str">
        <f t="shared" si="13"/>
        <v/>
      </c>
      <c r="K154" s="137"/>
      <c r="L154" s="110" t="str">
        <f t="shared" si="14"/>
        <v/>
      </c>
      <c r="M154" s="111" t="str">
        <f>IF(A154="","",IF(COUNTIF(itens_Remanesc!$A$2:$A$200,A154)=0,"ALERTA: ITEM_AUSENTE",IF(COUNTIF(itens_Remanesc!$A$2:$A$200,A154)&gt;1,"ALERTA: ITEM_DUPLICADO",IF(OR(C154="",C154="Fora dos ciclos"),"ALERTA: CICLO_INVALIDO",IF(NOT(ISNUMBER(E154)),"ALERTA: QTD_INVALIDA",IF(AND(LEFT(UPPER(D154),5)&lt;&gt;"ACRES",LEFT(UPPER(D154),6)&lt;&gt;"SUPRES",LEFT(UPPER(D154),4)&lt;&gt;"DECR"),"ALERTA: TIPO_INVALIDO","OK"))))))</f>
        <v/>
      </c>
    </row>
    <row r="155" spans="1:13" ht="15.9" customHeight="1" x14ac:dyDescent="0.35">
      <c r="A155" s="137"/>
      <c r="B155" s="138"/>
      <c r="C155" s="128" t="str">
        <f>IF(B155="","",IFERROR(IF(AND(B155&gt;=parametros!$C$2,B155&lt;=parametros!$D$2),"C0",IF(AND(B155&gt;=parametros!$C$3,B155&lt;=parametros!$D$3),"C1",IF(AND(B155&gt;=parametros!$C$4,B155&lt;=parametros!$D$4),"C2",IF(AND(B155&gt;=parametros!$C$5,B155&lt;=parametros!$D$5),"C3",IF(AND(B155&gt;=parametros!$C$6,B155&lt;=parametros!$D$6),"C4","Fora dos ciclos"))))),"Fora dos ciclos"))</f>
        <v/>
      </c>
      <c r="D155" s="137"/>
      <c r="E155" s="139"/>
      <c r="F155" s="140" t="str">
        <f>IF(A155="","",IFERROR(VLOOKUP(A155,itens_Remanesc!$A:$C,3,0),""))</f>
        <v/>
      </c>
      <c r="G155" s="140" t="str">
        <f t="shared" si="12"/>
        <v/>
      </c>
      <c r="H155" s="137"/>
      <c r="I155" s="88" t="str">
        <f>IFERROR(VLOOKUP(C155,parametros!$B:$F,5,0),"")</f>
        <v/>
      </c>
      <c r="J155" s="140" t="str">
        <f t="shared" si="13"/>
        <v/>
      </c>
      <c r="K155" s="137"/>
      <c r="L155" s="110" t="str">
        <f t="shared" si="14"/>
        <v/>
      </c>
      <c r="M155" s="111" t="str">
        <f>IF(A155="","",IF(COUNTIF(itens_Remanesc!$A$2:$A$200,A155)=0,"ALERTA: ITEM_AUSENTE",IF(COUNTIF(itens_Remanesc!$A$2:$A$200,A155)&gt;1,"ALERTA: ITEM_DUPLICADO",IF(OR(C155="",C155="Fora dos ciclos"),"ALERTA: CICLO_INVALIDO",IF(NOT(ISNUMBER(E155)),"ALERTA: QTD_INVALIDA",IF(AND(LEFT(UPPER(D155),5)&lt;&gt;"ACRES",LEFT(UPPER(D155),6)&lt;&gt;"SUPRES",LEFT(UPPER(D155),4)&lt;&gt;"DECR"),"ALERTA: TIPO_INVALIDO","OK"))))))</f>
        <v/>
      </c>
    </row>
    <row r="156" spans="1:13" ht="15.9" customHeight="1" x14ac:dyDescent="0.35">
      <c r="A156" s="137"/>
      <c r="B156" s="138"/>
      <c r="C156" s="128" t="str">
        <f>IF(B156="","",IFERROR(IF(AND(B156&gt;=parametros!$C$2,B156&lt;=parametros!$D$2),"C0",IF(AND(B156&gt;=parametros!$C$3,B156&lt;=parametros!$D$3),"C1",IF(AND(B156&gt;=parametros!$C$4,B156&lt;=parametros!$D$4),"C2",IF(AND(B156&gt;=parametros!$C$5,B156&lt;=parametros!$D$5),"C3",IF(AND(B156&gt;=parametros!$C$6,B156&lt;=parametros!$D$6),"C4","Fora dos ciclos"))))),"Fora dos ciclos"))</f>
        <v/>
      </c>
      <c r="D156" s="137"/>
      <c r="E156" s="139"/>
      <c r="F156" s="140" t="str">
        <f>IF(A156="","",IFERROR(VLOOKUP(A156,itens_Remanesc!$A:$C,3,0),""))</f>
        <v/>
      </c>
      <c r="G156" s="140" t="str">
        <f t="shared" si="12"/>
        <v/>
      </c>
      <c r="H156" s="137"/>
      <c r="I156" s="88" t="str">
        <f>IFERROR(VLOOKUP(C156,parametros!$B:$F,5,0),"")</f>
        <v/>
      </c>
      <c r="J156" s="140" t="str">
        <f t="shared" si="13"/>
        <v/>
      </c>
      <c r="K156" s="137"/>
      <c r="L156" s="110" t="str">
        <f t="shared" si="14"/>
        <v/>
      </c>
      <c r="M156" s="111" t="str">
        <f>IF(A156="","",IF(COUNTIF(itens_Remanesc!$A$2:$A$200,A156)=0,"ALERTA: ITEM_AUSENTE",IF(COUNTIF(itens_Remanesc!$A$2:$A$200,A156)&gt;1,"ALERTA: ITEM_DUPLICADO",IF(OR(C156="",C156="Fora dos ciclos"),"ALERTA: CICLO_INVALIDO",IF(NOT(ISNUMBER(E156)),"ALERTA: QTD_INVALIDA",IF(AND(LEFT(UPPER(D156),5)&lt;&gt;"ACRES",LEFT(UPPER(D156),6)&lt;&gt;"SUPRES",LEFT(UPPER(D156),4)&lt;&gt;"DECR"),"ALERTA: TIPO_INVALIDO","OK"))))))</f>
        <v/>
      </c>
    </row>
    <row r="157" spans="1:13" ht="15.9" customHeight="1" x14ac:dyDescent="0.35">
      <c r="A157" s="137"/>
      <c r="B157" s="138"/>
      <c r="C157" s="128" t="str">
        <f>IF(B157="","",IFERROR(IF(AND(B157&gt;=parametros!$C$2,B157&lt;=parametros!$D$2),"C0",IF(AND(B157&gt;=parametros!$C$3,B157&lt;=parametros!$D$3),"C1",IF(AND(B157&gt;=parametros!$C$4,B157&lt;=parametros!$D$4),"C2",IF(AND(B157&gt;=parametros!$C$5,B157&lt;=parametros!$D$5),"C3",IF(AND(B157&gt;=parametros!$C$6,B157&lt;=parametros!$D$6),"C4","Fora dos ciclos"))))),"Fora dos ciclos"))</f>
        <v/>
      </c>
      <c r="D157" s="137"/>
      <c r="E157" s="139"/>
      <c r="F157" s="140" t="str">
        <f>IF(A157="","",IFERROR(VLOOKUP(A157,itens_Remanesc!$A:$C,3,0),""))</f>
        <v/>
      </c>
      <c r="G157" s="140" t="str">
        <f t="shared" si="12"/>
        <v/>
      </c>
      <c r="H157" s="137"/>
      <c r="I157" s="88" t="str">
        <f>IFERROR(VLOOKUP(C157,parametros!$B:$F,5,0),"")</f>
        <v/>
      </c>
      <c r="J157" s="140" t="str">
        <f t="shared" si="13"/>
        <v/>
      </c>
      <c r="K157" s="137"/>
      <c r="L157" s="110" t="str">
        <f t="shared" si="14"/>
        <v/>
      </c>
      <c r="M157" s="111" t="str">
        <f>IF(A157="","",IF(COUNTIF(itens_Remanesc!$A$2:$A$200,A157)=0,"ALERTA: ITEM_AUSENTE",IF(COUNTIF(itens_Remanesc!$A$2:$A$200,A157)&gt;1,"ALERTA: ITEM_DUPLICADO",IF(OR(C157="",C157="Fora dos ciclos"),"ALERTA: CICLO_INVALIDO",IF(NOT(ISNUMBER(E157)),"ALERTA: QTD_INVALIDA",IF(AND(LEFT(UPPER(D157),5)&lt;&gt;"ACRES",LEFT(UPPER(D157),6)&lt;&gt;"SUPRES",LEFT(UPPER(D157),4)&lt;&gt;"DECR"),"ALERTA: TIPO_INVALIDO","OK"))))))</f>
        <v/>
      </c>
    </row>
    <row r="158" spans="1:13" ht="15.9" customHeight="1" x14ac:dyDescent="0.35">
      <c r="A158" s="137"/>
      <c r="B158" s="138"/>
      <c r="C158" s="128" t="str">
        <f>IF(B158="","",IFERROR(IF(AND(B158&gt;=parametros!$C$2,B158&lt;=parametros!$D$2),"C0",IF(AND(B158&gt;=parametros!$C$3,B158&lt;=parametros!$D$3),"C1",IF(AND(B158&gt;=parametros!$C$4,B158&lt;=parametros!$D$4),"C2",IF(AND(B158&gt;=parametros!$C$5,B158&lt;=parametros!$D$5),"C3",IF(AND(B158&gt;=parametros!$C$6,B158&lt;=parametros!$D$6),"C4","Fora dos ciclos"))))),"Fora dos ciclos"))</f>
        <v/>
      </c>
      <c r="D158" s="137"/>
      <c r="E158" s="139"/>
      <c r="F158" s="140" t="str">
        <f>IF(A158="","",IFERROR(VLOOKUP(A158,itens_Remanesc!$A:$C,3,0),""))</f>
        <v/>
      </c>
      <c r="G158" s="140" t="str">
        <f t="shared" si="12"/>
        <v/>
      </c>
      <c r="H158" s="137"/>
      <c r="I158" s="88" t="str">
        <f>IFERROR(VLOOKUP(C158,parametros!$B:$F,5,0),"")</f>
        <v/>
      </c>
      <c r="J158" s="140" t="str">
        <f t="shared" si="13"/>
        <v/>
      </c>
      <c r="K158" s="137"/>
      <c r="L158" s="110" t="str">
        <f t="shared" si="14"/>
        <v/>
      </c>
      <c r="M158" s="111" t="str">
        <f>IF(A158="","",IF(COUNTIF(itens_Remanesc!$A$2:$A$200,A158)=0,"ALERTA: ITEM_AUSENTE",IF(COUNTIF(itens_Remanesc!$A$2:$A$200,A158)&gt;1,"ALERTA: ITEM_DUPLICADO",IF(OR(C158="",C158="Fora dos ciclos"),"ALERTA: CICLO_INVALIDO",IF(NOT(ISNUMBER(E158)),"ALERTA: QTD_INVALIDA",IF(AND(LEFT(UPPER(D158),5)&lt;&gt;"ACRES",LEFT(UPPER(D158),6)&lt;&gt;"SUPRES",LEFT(UPPER(D158),4)&lt;&gt;"DECR"),"ALERTA: TIPO_INVALIDO","OK"))))))</f>
        <v/>
      </c>
    </row>
    <row r="159" spans="1:13" ht="15.9" customHeight="1" x14ac:dyDescent="0.35">
      <c r="A159" s="137"/>
      <c r="B159" s="138"/>
      <c r="C159" s="128" t="str">
        <f>IF(B159="","",IFERROR(IF(AND(B159&gt;=parametros!$C$2,B159&lt;=parametros!$D$2),"C0",IF(AND(B159&gt;=parametros!$C$3,B159&lt;=parametros!$D$3),"C1",IF(AND(B159&gt;=parametros!$C$4,B159&lt;=parametros!$D$4),"C2",IF(AND(B159&gt;=parametros!$C$5,B159&lt;=parametros!$D$5),"C3",IF(AND(B159&gt;=parametros!$C$6,B159&lt;=parametros!$D$6),"C4","Fora dos ciclos"))))),"Fora dos ciclos"))</f>
        <v/>
      </c>
      <c r="D159" s="137"/>
      <c r="E159" s="139"/>
      <c r="F159" s="140" t="str">
        <f>IF(A159="","",IFERROR(VLOOKUP(A159,itens_Remanesc!$A:$C,3,0),""))</f>
        <v/>
      </c>
      <c r="G159" s="140" t="str">
        <f t="shared" si="12"/>
        <v/>
      </c>
      <c r="H159" s="137"/>
      <c r="I159" s="88" t="str">
        <f>IFERROR(VLOOKUP(C159,parametros!$B:$F,5,0),"")</f>
        <v/>
      </c>
      <c r="J159" s="140" t="str">
        <f t="shared" si="13"/>
        <v/>
      </c>
      <c r="K159" s="137"/>
      <c r="L159" s="110" t="str">
        <f t="shared" si="14"/>
        <v/>
      </c>
      <c r="M159" s="111" t="str">
        <f>IF(A159="","",IF(COUNTIF(itens_Remanesc!$A$2:$A$200,A159)=0,"ALERTA: ITEM_AUSENTE",IF(COUNTIF(itens_Remanesc!$A$2:$A$200,A159)&gt;1,"ALERTA: ITEM_DUPLICADO",IF(OR(C159="",C159="Fora dos ciclos"),"ALERTA: CICLO_INVALIDO",IF(NOT(ISNUMBER(E159)),"ALERTA: QTD_INVALIDA",IF(AND(LEFT(UPPER(D159),5)&lt;&gt;"ACRES",LEFT(UPPER(D159),6)&lt;&gt;"SUPRES",LEFT(UPPER(D159),4)&lt;&gt;"DECR"),"ALERTA: TIPO_INVALIDO","OK"))))))</f>
        <v/>
      </c>
    </row>
    <row r="160" spans="1:13" ht="15.9" customHeight="1" x14ac:dyDescent="0.35">
      <c r="A160" s="137"/>
      <c r="B160" s="138"/>
      <c r="C160" s="128" t="str">
        <f>IF(B160="","",IFERROR(IF(AND(B160&gt;=parametros!$C$2,B160&lt;=parametros!$D$2),"C0",IF(AND(B160&gt;=parametros!$C$3,B160&lt;=parametros!$D$3),"C1",IF(AND(B160&gt;=parametros!$C$4,B160&lt;=parametros!$D$4),"C2",IF(AND(B160&gt;=parametros!$C$5,B160&lt;=parametros!$D$5),"C3",IF(AND(B160&gt;=parametros!$C$6,B160&lt;=parametros!$D$6),"C4","Fora dos ciclos"))))),"Fora dos ciclos"))</f>
        <v/>
      </c>
      <c r="D160" s="137"/>
      <c r="E160" s="139"/>
      <c r="F160" s="140" t="str">
        <f>IF(A160="","",IFERROR(VLOOKUP(A160,itens_Remanesc!$A:$C,3,0),""))</f>
        <v/>
      </c>
      <c r="G160" s="140" t="str">
        <f t="shared" si="12"/>
        <v/>
      </c>
      <c r="H160" s="137"/>
      <c r="I160" s="88" t="str">
        <f>IFERROR(VLOOKUP(C160,parametros!$B:$F,5,0),"")</f>
        <v/>
      </c>
      <c r="J160" s="140" t="str">
        <f t="shared" si="13"/>
        <v/>
      </c>
      <c r="K160" s="137"/>
      <c r="L160" s="110" t="str">
        <f t="shared" si="14"/>
        <v/>
      </c>
      <c r="M160" s="111" t="str">
        <f>IF(A160="","",IF(COUNTIF(itens_Remanesc!$A$2:$A$200,A160)=0,"ALERTA: ITEM_AUSENTE",IF(COUNTIF(itens_Remanesc!$A$2:$A$200,A160)&gt;1,"ALERTA: ITEM_DUPLICADO",IF(OR(C160="",C160="Fora dos ciclos"),"ALERTA: CICLO_INVALIDO",IF(NOT(ISNUMBER(E160)),"ALERTA: QTD_INVALIDA",IF(AND(LEFT(UPPER(D160),5)&lt;&gt;"ACRES",LEFT(UPPER(D160),6)&lt;&gt;"SUPRES",LEFT(UPPER(D160),4)&lt;&gt;"DECR"),"ALERTA: TIPO_INVALIDO","OK"))))))</f>
        <v/>
      </c>
    </row>
    <row r="161" spans="1:13" ht="15.9" customHeight="1" x14ac:dyDescent="0.35">
      <c r="A161" s="137"/>
      <c r="B161" s="138"/>
      <c r="C161" s="128" t="str">
        <f>IF(B161="","",IFERROR(IF(AND(B161&gt;=parametros!$C$2,B161&lt;=parametros!$D$2),"C0",IF(AND(B161&gt;=parametros!$C$3,B161&lt;=parametros!$D$3),"C1",IF(AND(B161&gt;=parametros!$C$4,B161&lt;=parametros!$D$4),"C2",IF(AND(B161&gt;=parametros!$C$5,B161&lt;=parametros!$D$5),"C3",IF(AND(B161&gt;=parametros!$C$6,B161&lt;=parametros!$D$6),"C4","Fora dos ciclos"))))),"Fora dos ciclos"))</f>
        <v/>
      </c>
      <c r="D161" s="137"/>
      <c r="E161" s="139"/>
      <c r="F161" s="140" t="str">
        <f>IF(A161="","",IFERROR(VLOOKUP(A161,itens_Remanesc!$A:$C,3,0),""))</f>
        <v/>
      </c>
      <c r="G161" s="140" t="str">
        <f t="shared" si="12"/>
        <v/>
      </c>
      <c r="H161" s="137"/>
      <c r="I161" s="88" t="str">
        <f>IFERROR(VLOOKUP(C161,parametros!$B:$F,5,0),"")</f>
        <v/>
      </c>
      <c r="J161" s="140" t="str">
        <f t="shared" si="13"/>
        <v/>
      </c>
      <c r="K161" s="137"/>
      <c r="L161" s="110" t="str">
        <f t="shared" si="14"/>
        <v/>
      </c>
      <c r="M161" s="111" t="str">
        <f>IF(A161="","",IF(COUNTIF(itens_Remanesc!$A$2:$A$200,A161)=0,"ALERTA: ITEM_AUSENTE",IF(COUNTIF(itens_Remanesc!$A$2:$A$200,A161)&gt;1,"ALERTA: ITEM_DUPLICADO",IF(OR(C161="",C161="Fora dos ciclos"),"ALERTA: CICLO_INVALIDO",IF(NOT(ISNUMBER(E161)),"ALERTA: QTD_INVALIDA",IF(AND(LEFT(UPPER(D161),5)&lt;&gt;"ACRES",LEFT(UPPER(D161),6)&lt;&gt;"SUPRES",LEFT(UPPER(D161),4)&lt;&gt;"DECR"),"ALERTA: TIPO_INVALIDO","OK"))))))</f>
        <v/>
      </c>
    </row>
    <row r="162" spans="1:13" ht="15.9" customHeight="1" x14ac:dyDescent="0.35">
      <c r="A162" s="137"/>
      <c r="B162" s="138"/>
      <c r="C162" s="128" t="str">
        <f>IF(B162="","",IFERROR(IF(AND(B162&gt;=parametros!$C$2,B162&lt;=parametros!$D$2),"C0",IF(AND(B162&gt;=parametros!$C$3,B162&lt;=parametros!$D$3),"C1",IF(AND(B162&gt;=parametros!$C$4,B162&lt;=parametros!$D$4),"C2",IF(AND(B162&gt;=parametros!$C$5,B162&lt;=parametros!$D$5),"C3",IF(AND(B162&gt;=parametros!$C$6,B162&lt;=parametros!$D$6),"C4","Fora dos ciclos"))))),"Fora dos ciclos"))</f>
        <v/>
      </c>
      <c r="D162" s="137"/>
      <c r="E162" s="139"/>
      <c r="F162" s="140" t="str">
        <f>IF(A162="","",IFERROR(VLOOKUP(A162,itens_Remanesc!$A:$C,3,0),""))</f>
        <v/>
      </c>
      <c r="G162" s="140" t="str">
        <f t="shared" ref="G162:G193" si="15">IF(OR(E162="",F162=""),"",ROUND(E162*F162,2))</f>
        <v/>
      </c>
      <c r="H162" s="137"/>
      <c r="I162" s="88" t="str">
        <f>IFERROR(VLOOKUP(C162,parametros!$B:$F,5,0),"")</f>
        <v/>
      </c>
      <c r="J162" s="140" t="str">
        <f t="shared" ref="J162:J193" si="16">IF(OR(L162="",F162=""),"",ROUND(L162*F162*IF(AND(UPPER(H162)="SIM",ISNUMBER(I162)),I162,1),2))</f>
        <v/>
      </c>
      <c r="K162" s="137"/>
      <c r="L162" s="110" t="str">
        <f t="shared" ref="L162:L193" si="17">IF(OR(A162="",C162="",D162="",NOT(ISNUMBER(E162))),"",IF(LEFT(UPPER(D162),5)="ACRES",ROUND(ABS(E162),2),IF(OR(LEFT(UPPER(D162),6)="SUPRES",LEFT(UPPER(D162),4)="DECR"),ROUND(-ABS(E162),2),"")))</f>
        <v/>
      </c>
      <c r="M162" s="111" t="str">
        <f>IF(A162="","",IF(COUNTIF(itens_Remanesc!$A$2:$A$200,A162)=0,"ALERTA: ITEM_AUSENTE",IF(COUNTIF(itens_Remanesc!$A$2:$A$200,A162)&gt;1,"ALERTA: ITEM_DUPLICADO",IF(OR(C162="",C162="Fora dos ciclos"),"ALERTA: CICLO_INVALIDO",IF(NOT(ISNUMBER(E162)),"ALERTA: QTD_INVALIDA",IF(AND(LEFT(UPPER(D162),5)&lt;&gt;"ACRES",LEFT(UPPER(D162),6)&lt;&gt;"SUPRES",LEFT(UPPER(D162),4)&lt;&gt;"DECR"),"ALERTA: TIPO_INVALIDO","OK"))))))</f>
        <v/>
      </c>
    </row>
    <row r="163" spans="1:13" ht="15.9" customHeight="1" x14ac:dyDescent="0.35">
      <c r="A163" s="137"/>
      <c r="B163" s="138"/>
      <c r="C163" s="128" t="str">
        <f>IF(B163="","",IFERROR(IF(AND(B163&gt;=parametros!$C$2,B163&lt;=parametros!$D$2),"C0",IF(AND(B163&gt;=parametros!$C$3,B163&lt;=parametros!$D$3),"C1",IF(AND(B163&gt;=parametros!$C$4,B163&lt;=parametros!$D$4),"C2",IF(AND(B163&gt;=parametros!$C$5,B163&lt;=parametros!$D$5),"C3",IF(AND(B163&gt;=parametros!$C$6,B163&lt;=parametros!$D$6),"C4","Fora dos ciclos"))))),"Fora dos ciclos"))</f>
        <v/>
      </c>
      <c r="D163" s="137"/>
      <c r="E163" s="139"/>
      <c r="F163" s="140" t="str">
        <f>IF(A163="","",IFERROR(VLOOKUP(A163,itens_Remanesc!$A:$C,3,0),""))</f>
        <v/>
      </c>
      <c r="G163" s="140" t="str">
        <f t="shared" si="15"/>
        <v/>
      </c>
      <c r="H163" s="137"/>
      <c r="I163" s="88" t="str">
        <f>IFERROR(VLOOKUP(C163,parametros!$B:$F,5,0),"")</f>
        <v/>
      </c>
      <c r="J163" s="140" t="str">
        <f t="shared" si="16"/>
        <v/>
      </c>
      <c r="K163" s="137"/>
      <c r="L163" s="110" t="str">
        <f t="shared" si="17"/>
        <v/>
      </c>
      <c r="M163" s="111" t="str">
        <f>IF(A163="","",IF(COUNTIF(itens_Remanesc!$A$2:$A$200,A163)=0,"ALERTA: ITEM_AUSENTE",IF(COUNTIF(itens_Remanesc!$A$2:$A$200,A163)&gt;1,"ALERTA: ITEM_DUPLICADO",IF(OR(C163="",C163="Fora dos ciclos"),"ALERTA: CICLO_INVALIDO",IF(NOT(ISNUMBER(E163)),"ALERTA: QTD_INVALIDA",IF(AND(LEFT(UPPER(D163),5)&lt;&gt;"ACRES",LEFT(UPPER(D163),6)&lt;&gt;"SUPRES",LEFT(UPPER(D163),4)&lt;&gt;"DECR"),"ALERTA: TIPO_INVALIDO","OK"))))))</f>
        <v/>
      </c>
    </row>
    <row r="164" spans="1:13" ht="15.9" customHeight="1" x14ac:dyDescent="0.35">
      <c r="A164" s="137"/>
      <c r="B164" s="138"/>
      <c r="C164" s="128" t="str">
        <f>IF(B164="","",IFERROR(IF(AND(B164&gt;=parametros!$C$2,B164&lt;=parametros!$D$2),"C0",IF(AND(B164&gt;=parametros!$C$3,B164&lt;=parametros!$D$3),"C1",IF(AND(B164&gt;=parametros!$C$4,B164&lt;=parametros!$D$4),"C2",IF(AND(B164&gt;=parametros!$C$5,B164&lt;=parametros!$D$5),"C3",IF(AND(B164&gt;=parametros!$C$6,B164&lt;=parametros!$D$6),"C4","Fora dos ciclos"))))),"Fora dos ciclos"))</f>
        <v/>
      </c>
      <c r="D164" s="137"/>
      <c r="E164" s="139"/>
      <c r="F164" s="140" t="str">
        <f>IF(A164="","",IFERROR(VLOOKUP(A164,itens_Remanesc!$A:$C,3,0),""))</f>
        <v/>
      </c>
      <c r="G164" s="140" t="str">
        <f t="shared" si="15"/>
        <v/>
      </c>
      <c r="H164" s="137"/>
      <c r="I164" s="88" t="str">
        <f>IFERROR(VLOOKUP(C164,parametros!$B:$F,5,0),"")</f>
        <v/>
      </c>
      <c r="J164" s="140" t="str">
        <f t="shared" si="16"/>
        <v/>
      </c>
      <c r="K164" s="137"/>
      <c r="L164" s="110" t="str">
        <f t="shared" si="17"/>
        <v/>
      </c>
      <c r="M164" s="111" t="str">
        <f>IF(A164="","",IF(COUNTIF(itens_Remanesc!$A$2:$A$200,A164)=0,"ALERTA: ITEM_AUSENTE",IF(COUNTIF(itens_Remanesc!$A$2:$A$200,A164)&gt;1,"ALERTA: ITEM_DUPLICADO",IF(OR(C164="",C164="Fora dos ciclos"),"ALERTA: CICLO_INVALIDO",IF(NOT(ISNUMBER(E164)),"ALERTA: QTD_INVALIDA",IF(AND(LEFT(UPPER(D164),5)&lt;&gt;"ACRES",LEFT(UPPER(D164),6)&lt;&gt;"SUPRES",LEFT(UPPER(D164),4)&lt;&gt;"DECR"),"ALERTA: TIPO_INVALIDO","OK"))))))</f>
        <v/>
      </c>
    </row>
    <row r="165" spans="1:13" ht="15.9" customHeight="1" x14ac:dyDescent="0.35">
      <c r="A165" s="137"/>
      <c r="B165" s="138"/>
      <c r="C165" s="128" t="str">
        <f>IF(B165="","",IFERROR(IF(AND(B165&gt;=parametros!$C$2,B165&lt;=parametros!$D$2),"C0",IF(AND(B165&gt;=parametros!$C$3,B165&lt;=parametros!$D$3),"C1",IF(AND(B165&gt;=parametros!$C$4,B165&lt;=parametros!$D$4),"C2",IF(AND(B165&gt;=parametros!$C$5,B165&lt;=parametros!$D$5),"C3",IF(AND(B165&gt;=parametros!$C$6,B165&lt;=parametros!$D$6),"C4","Fora dos ciclos"))))),"Fora dos ciclos"))</f>
        <v/>
      </c>
      <c r="D165" s="137"/>
      <c r="E165" s="139"/>
      <c r="F165" s="140" t="str">
        <f>IF(A165="","",IFERROR(VLOOKUP(A165,itens_Remanesc!$A:$C,3,0),""))</f>
        <v/>
      </c>
      <c r="G165" s="140" t="str">
        <f t="shared" si="15"/>
        <v/>
      </c>
      <c r="H165" s="137"/>
      <c r="I165" s="88" t="str">
        <f>IFERROR(VLOOKUP(C165,parametros!$B:$F,5,0),"")</f>
        <v/>
      </c>
      <c r="J165" s="140" t="str">
        <f t="shared" si="16"/>
        <v/>
      </c>
      <c r="K165" s="137"/>
      <c r="L165" s="110" t="str">
        <f t="shared" si="17"/>
        <v/>
      </c>
      <c r="M165" s="111" t="str">
        <f>IF(A165="","",IF(COUNTIF(itens_Remanesc!$A$2:$A$200,A165)=0,"ALERTA: ITEM_AUSENTE",IF(COUNTIF(itens_Remanesc!$A$2:$A$200,A165)&gt;1,"ALERTA: ITEM_DUPLICADO",IF(OR(C165="",C165="Fora dos ciclos"),"ALERTA: CICLO_INVALIDO",IF(NOT(ISNUMBER(E165)),"ALERTA: QTD_INVALIDA",IF(AND(LEFT(UPPER(D165),5)&lt;&gt;"ACRES",LEFT(UPPER(D165),6)&lt;&gt;"SUPRES",LEFT(UPPER(D165),4)&lt;&gt;"DECR"),"ALERTA: TIPO_INVALIDO","OK"))))))</f>
        <v/>
      </c>
    </row>
    <row r="166" spans="1:13" ht="15.9" customHeight="1" x14ac:dyDescent="0.35">
      <c r="A166" s="137"/>
      <c r="B166" s="138"/>
      <c r="C166" s="128" t="str">
        <f>IF(B166="","",IFERROR(IF(AND(B166&gt;=parametros!$C$2,B166&lt;=parametros!$D$2),"C0",IF(AND(B166&gt;=parametros!$C$3,B166&lt;=parametros!$D$3),"C1",IF(AND(B166&gt;=parametros!$C$4,B166&lt;=parametros!$D$4),"C2",IF(AND(B166&gt;=parametros!$C$5,B166&lt;=parametros!$D$5),"C3",IF(AND(B166&gt;=parametros!$C$6,B166&lt;=parametros!$D$6),"C4","Fora dos ciclos"))))),"Fora dos ciclos"))</f>
        <v/>
      </c>
      <c r="D166" s="137"/>
      <c r="E166" s="139"/>
      <c r="F166" s="140" t="str">
        <f>IF(A166="","",IFERROR(VLOOKUP(A166,itens_Remanesc!$A:$C,3,0),""))</f>
        <v/>
      </c>
      <c r="G166" s="140" t="str">
        <f t="shared" si="15"/>
        <v/>
      </c>
      <c r="H166" s="137"/>
      <c r="I166" s="88" t="str">
        <f>IFERROR(VLOOKUP(C166,parametros!$B:$F,5,0),"")</f>
        <v/>
      </c>
      <c r="J166" s="140" t="str">
        <f t="shared" si="16"/>
        <v/>
      </c>
      <c r="K166" s="137"/>
      <c r="L166" s="110" t="str">
        <f t="shared" si="17"/>
        <v/>
      </c>
      <c r="M166" s="111" t="str">
        <f>IF(A166="","",IF(COUNTIF(itens_Remanesc!$A$2:$A$200,A166)=0,"ALERTA: ITEM_AUSENTE",IF(COUNTIF(itens_Remanesc!$A$2:$A$200,A166)&gt;1,"ALERTA: ITEM_DUPLICADO",IF(OR(C166="",C166="Fora dos ciclos"),"ALERTA: CICLO_INVALIDO",IF(NOT(ISNUMBER(E166)),"ALERTA: QTD_INVALIDA",IF(AND(LEFT(UPPER(D166),5)&lt;&gt;"ACRES",LEFT(UPPER(D166),6)&lt;&gt;"SUPRES",LEFT(UPPER(D166),4)&lt;&gt;"DECR"),"ALERTA: TIPO_INVALIDO","OK"))))))</f>
        <v/>
      </c>
    </row>
    <row r="167" spans="1:13" ht="15.9" customHeight="1" x14ac:dyDescent="0.35">
      <c r="A167" s="137"/>
      <c r="B167" s="138"/>
      <c r="C167" s="128" t="str">
        <f>IF(B167="","",IFERROR(IF(AND(B167&gt;=parametros!$C$2,B167&lt;=parametros!$D$2),"C0",IF(AND(B167&gt;=parametros!$C$3,B167&lt;=parametros!$D$3),"C1",IF(AND(B167&gt;=parametros!$C$4,B167&lt;=parametros!$D$4),"C2",IF(AND(B167&gt;=parametros!$C$5,B167&lt;=parametros!$D$5),"C3",IF(AND(B167&gt;=parametros!$C$6,B167&lt;=parametros!$D$6),"C4","Fora dos ciclos"))))),"Fora dos ciclos"))</f>
        <v/>
      </c>
      <c r="D167" s="137"/>
      <c r="E167" s="139"/>
      <c r="F167" s="140" t="str">
        <f>IF(A167="","",IFERROR(VLOOKUP(A167,itens_Remanesc!$A:$C,3,0),""))</f>
        <v/>
      </c>
      <c r="G167" s="140" t="str">
        <f t="shared" si="15"/>
        <v/>
      </c>
      <c r="H167" s="137"/>
      <c r="I167" s="88" t="str">
        <f>IFERROR(VLOOKUP(C167,parametros!$B:$F,5,0),"")</f>
        <v/>
      </c>
      <c r="J167" s="140" t="str">
        <f t="shared" si="16"/>
        <v/>
      </c>
      <c r="K167" s="137"/>
      <c r="L167" s="110" t="str">
        <f t="shared" si="17"/>
        <v/>
      </c>
      <c r="M167" s="111" t="str">
        <f>IF(A167="","",IF(COUNTIF(itens_Remanesc!$A$2:$A$200,A167)=0,"ALERTA: ITEM_AUSENTE",IF(COUNTIF(itens_Remanesc!$A$2:$A$200,A167)&gt;1,"ALERTA: ITEM_DUPLICADO",IF(OR(C167="",C167="Fora dos ciclos"),"ALERTA: CICLO_INVALIDO",IF(NOT(ISNUMBER(E167)),"ALERTA: QTD_INVALIDA",IF(AND(LEFT(UPPER(D167),5)&lt;&gt;"ACRES",LEFT(UPPER(D167),6)&lt;&gt;"SUPRES",LEFT(UPPER(D167),4)&lt;&gt;"DECR"),"ALERTA: TIPO_INVALIDO","OK"))))))</f>
        <v/>
      </c>
    </row>
    <row r="168" spans="1:13" ht="15.9" customHeight="1" x14ac:dyDescent="0.35">
      <c r="A168" s="137"/>
      <c r="B168" s="138"/>
      <c r="C168" s="128" t="str">
        <f>IF(B168="","",IFERROR(IF(AND(B168&gt;=parametros!$C$2,B168&lt;=parametros!$D$2),"C0",IF(AND(B168&gt;=parametros!$C$3,B168&lt;=parametros!$D$3),"C1",IF(AND(B168&gt;=parametros!$C$4,B168&lt;=parametros!$D$4),"C2",IF(AND(B168&gt;=parametros!$C$5,B168&lt;=parametros!$D$5),"C3",IF(AND(B168&gt;=parametros!$C$6,B168&lt;=parametros!$D$6),"C4","Fora dos ciclos"))))),"Fora dos ciclos"))</f>
        <v/>
      </c>
      <c r="D168" s="137"/>
      <c r="E168" s="139"/>
      <c r="F168" s="140" t="str">
        <f>IF(A168="","",IFERROR(VLOOKUP(A168,itens_Remanesc!$A:$C,3,0),""))</f>
        <v/>
      </c>
      <c r="G168" s="140" t="str">
        <f t="shared" si="15"/>
        <v/>
      </c>
      <c r="H168" s="137"/>
      <c r="I168" s="88" t="str">
        <f>IFERROR(VLOOKUP(C168,parametros!$B:$F,5,0),"")</f>
        <v/>
      </c>
      <c r="J168" s="140" t="str">
        <f t="shared" si="16"/>
        <v/>
      </c>
      <c r="K168" s="137"/>
      <c r="L168" s="110" t="str">
        <f t="shared" si="17"/>
        <v/>
      </c>
      <c r="M168" s="111" t="str">
        <f>IF(A168="","",IF(COUNTIF(itens_Remanesc!$A$2:$A$200,A168)=0,"ALERTA: ITEM_AUSENTE",IF(COUNTIF(itens_Remanesc!$A$2:$A$200,A168)&gt;1,"ALERTA: ITEM_DUPLICADO",IF(OR(C168="",C168="Fora dos ciclos"),"ALERTA: CICLO_INVALIDO",IF(NOT(ISNUMBER(E168)),"ALERTA: QTD_INVALIDA",IF(AND(LEFT(UPPER(D168),5)&lt;&gt;"ACRES",LEFT(UPPER(D168),6)&lt;&gt;"SUPRES",LEFT(UPPER(D168),4)&lt;&gt;"DECR"),"ALERTA: TIPO_INVALIDO","OK"))))))</f>
        <v/>
      </c>
    </row>
    <row r="169" spans="1:13" ht="15.9" customHeight="1" x14ac:dyDescent="0.35">
      <c r="A169" s="137"/>
      <c r="B169" s="138"/>
      <c r="C169" s="128" t="str">
        <f>IF(B169="","",IFERROR(IF(AND(B169&gt;=parametros!$C$2,B169&lt;=parametros!$D$2),"C0",IF(AND(B169&gt;=parametros!$C$3,B169&lt;=parametros!$D$3),"C1",IF(AND(B169&gt;=parametros!$C$4,B169&lt;=parametros!$D$4),"C2",IF(AND(B169&gt;=parametros!$C$5,B169&lt;=parametros!$D$5),"C3",IF(AND(B169&gt;=parametros!$C$6,B169&lt;=parametros!$D$6),"C4","Fora dos ciclos"))))),"Fora dos ciclos"))</f>
        <v/>
      </c>
      <c r="D169" s="137"/>
      <c r="E169" s="139"/>
      <c r="F169" s="140" t="str">
        <f>IF(A169="","",IFERROR(VLOOKUP(A169,itens_Remanesc!$A:$C,3,0),""))</f>
        <v/>
      </c>
      <c r="G169" s="140" t="str">
        <f t="shared" si="15"/>
        <v/>
      </c>
      <c r="H169" s="137"/>
      <c r="I169" s="88" t="str">
        <f>IFERROR(VLOOKUP(C169,parametros!$B:$F,5,0),"")</f>
        <v/>
      </c>
      <c r="J169" s="140" t="str">
        <f t="shared" si="16"/>
        <v/>
      </c>
      <c r="K169" s="137"/>
      <c r="L169" s="110" t="str">
        <f t="shared" si="17"/>
        <v/>
      </c>
      <c r="M169" s="111" t="str">
        <f>IF(A169="","",IF(COUNTIF(itens_Remanesc!$A$2:$A$200,A169)=0,"ALERTA: ITEM_AUSENTE",IF(COUNTIF(itens_Remanesc!$A$2:$A$200,A169)&gt;1,"ALERTA: ITEM_DUPLICADO",IF(OR(C169="",C169="Fora dos ciclos"),"ALERTA: CICLO_INVALIDO",IF(NOT(ISNUMBER(E169)),"ALERTA: QTD_INVALIDA",IF(AND(LEFT(UPPER(D169),5)&lt;&gt;"ACRES",LEFT(UPPER(D169),6)&lt;&gt;"SUPRES",LEFT(UPPER(D169),4)&lt;&gt;"DECR"),"ALERTA: TIPO_INVALIDO","OK"))))))</f>
        <v/>
      </c>
    </row>
    <row r="170" spans="1:13" ht="15.9" customHeight="1" x14ac:dyDescent="0.35">
      <c r="A170" s="137"/>
      <c r="B170" s="138"/>
      <c r="C170" s="128" t="str">
        <f>IF(B170="","",IFERROR(IF(AND(B170&gt;=parametros!$C$2,B170&lt;=parametros!$D$2),"C0",IF(AND(B170&gt;=parametros!$C$3,B170&lt;=parametros!$D$3),"C1",IF(AND(B170&gt;=parametros!$C$4,B170&lt;=parametros!$D$4),"C2",IF(AND(B170&gt;=parametros!$C$5,B170&lt;=parametros!$D$5),"C3",IF(AND(B170&gt;=parametros!$C$6,B170&lt;=parametros!$D$6),"C4","Fora dos ciclos"))))),"Fora dos ciclos"))</f>
        <v/>
      </c>
      <c r="D170" s="137"/>
      <c r="E170" s="139"/>
      <c r="F170" s="140" t="str">
        <f>IF(A170="","",IFERROR(VLOOKUP(A170,itens_Remanesc!$A:$C,3,0),""))</f>
        <v/>
      </c>
      <c r="G170" s="140" t="str">
        <f t="shared" si="15"/>
        <v/>
      </c>
      <c r="H170" s="137"/>
      <c r="I170" s="88" t="str">
        <f>IFERROR(VLOOKUP(C170,parametros!$B:$F,5,0),"")</f>
        <v/>
      </c>
      <c r="J170" s="140" t="str">
        <f t="shared" si="16"/>
        <v/>
      </c>
      <c r="K170" s="137"/>
      <c r="L170" s="110" t="str">
        <f t="shared" si="17"/>
        <v/>
      </c>
      <c r="M170" s="111" t="str">
        <f>IF(A170="","",IF(COUNTIF(itens_Remanesc!$A$2:$A$200,A170)=0,"ALERTA: ITEM_AUSENTE",IF(COUNTIF(itens_Remanesc!$A$2:$A$200,A170)&gt;1,"ALERTA: ITEM_DUPLICADO",IF(OR(C170="",C170="Fora dos ciclos"),"ALERTA: CICLO_INVALIDO",IF(NOT(ISNUMBER(E170)),"ALERTA: QTD_INVALIDA",IF(AND(LEFT(UPPER(D170),5)&lt;&gt;"ACRES",LEFT(UPPER(D170),6)&lt;&gt;"SUPRES",LEFT(UPPER(D170),4)&lt;&gt;"DECR"),"ALERTA: TIPO_INVALIDO","OK"))))))</f>
        <v/>
      </c>
    </row>
    <row r="171" spans="1:13" ht="15.9" customHeight="1" x14ac:dyDescent="0.35">
      <c r="A171" s="137"/>
      <c r="B171" s="138"/>
      <c r="C171" s="128" t="str">
        <f>IF(B171="","",IFERROR(IF(AND(B171&gt;=parametros!$C$2,B171&lt;=parametros!$D$2),"C0",IF(AND(B171&gt;=parametros!$C$3,B171&lt;=parametros!$D$3),"C1",IF(AND(B171&gt;=parametros!$C$4,B171&lt;=parametros!$D$4),"C2",IF(AND(B171&gt;=parametros!$C$5,B171&lt;=parametros!$D$5),"C3",IF(AND(B171&gt;=parametros!$C$6,B171&lt;=parametros!$D$6),"C4","Fora dos ciclos"))))),"Fora dos ciclos"))</f>
        <v/>
      </c>
      <c r="D171" s="137"/>
      <c r="E171" s="139"/>
      <c r="F171" s="140" t="str">
        <f>IF(A171="","",IFERROR(VLOOKUP(A171,itens_Remanesc!$A:$C,3,0),""))</f>
        <v/>
      </c>
      <c r="G171" s="140" t="str">
        <f t="shared" si="15"/>
        <v/>
      </c>
      <c r="H171" s="137"/>
      <c r="I171" s="88" t="str">
        <f>IFERROR(VLOOKUP(C171,parametros!$B:$F,5,0),"")</f>
        <v/>
      </c>
      <c r="J171" s="140" t="str">
        <f t="shared" si="16"/>
        <v/>
      </c>
      <c r="K171" s="137"/>
      <c r="L171" s="110" t="str">
        <f t="shared" si="17"/>
        <v/>
      </c>
      <c r="M171" s="111" t="str">
        <f>IF(A171="","",IF(COUNTIF(itens_Remanesc!$A$2:$A$200,A171)=0,"ALERTA: ITEM_AUSENTE",IF(COUNTIF(itens_Remanesc!$A$2:$A$200,A171)&gt;1,"ALERTA: ITEM_DUPLICADO",IF(OR(C171="",C171="Fora dos ciclos"),"ALERTA: CICLO_INVALIDO",IF(NOT(ISNUMBER(E171)),"ALERTA: QTD_INVALIDA",IF(AND(LEFT(UPPER(D171),5)&lt;&gt;"ACRES",LEFT(UPPER(D171),6)&lt;&gt;"SUPRES",LEFT(UPPER(D171),4)&lt;&gt;"DECR"),"ALERTA: TIPO_INVALIDO","OK"))))))</f>
        <v/>
      </c>
    </row>
    <row r="172" spans="1:13" ht="15.9" customHeight="1" x14ac:dyDescent="0.35">
      <c r="A172" s="137"/>
      <c r="B172" s="138"/>
      <c r="C172" s="128" t="str">
        <f>IF(B172="","",IFERROR(IF(AND(B172&gt;=parametros!$C$2,B172&lt;=parametros!$D$2),"C0",IF(AND(B172&gt;=parametros!$C$3,B172&lt;=parametros!$D$3),"C1",IF(AND(B172&gt;=parametros!$C$4,B172&lt;=parametros!$D$4),"C2",IF(AND(B172&gt;=parametros!$C$5,B172&lt;=parametros!$D$5),"C3",IF(AND(B172&gt;=parametros!$C$6,B172&lt;=parametros!$D$6),"C4","Fora dos ciclos"))))),"Fora dos ciclos"))</f>
        <v/>
      </c>
      <c r="D172" s="137"/>
      <c r="E172" s="139"/>
      <c r="F172" s="140" t="str">
        <f>IF(A172="","",IFERROR(VLOOKUP(A172,itens_Remanesc!$A:$C,3,0),""))</f>
        <v/>
      </c>
      <c r="G172" s="140" t="str">
        <f t="shared" si="15"/>
        <v/>
      </c>
      <c r="H172" s="137"/>
      <c r="I172" s="88" t="str">
        <f>IFERROR(VLOOKUP(C172,parametros!$B:$F,5,0),"")</f>
        <v/>
      </c>
      <c r="J172" s="140" t="str">
        <f t="shared" si="16"/>
        <v/>
      </c>
      <c r="K172" s="137"/>
      <c r="L172" s="110" t="str">
        <f t="shared" si="17"/>
        <v/>
      </c>
      <c r="M172" s="111" t="str">
        <f>IF(A172="","",IF(COUNTIF(itens_Remanesc!$A$2:$A$200,A172)=0,"ALERTA: ITEM_AUSENTE",IF(COUNTIF(itens_Remanesc!$A$2:$A$200,A172)&gt;1,"ALERTA: ITEM_DUPLICADO",IF(OR(C172="",C172="Fora dos ciclos"),"ALERTA: CICLO_INVALIDO",IF(NOT(ISNUMBER(E172)),"ALERTA: QTD_INVALIDA",IF(AND(LEFT(UPPER(D172),5)&lt;&gt;"ACRES",LEFT(UPPER(D172),6)&lt;&gt;"SUPRES",LEFT(UPPER(D172),4)&lt;&gt;"DECR"),"ALERTA: TIPO_INVALIDO","OK"))))))</f>
        <v/>
      </c>
    </row>
    <row r="173" spans="1:13" ht="15.9" customHeight="1" x14ac:dyDescent="0.35">
      <c r="A173" s="137"/>
      <c r="B173" s="138"/>
      <c r="C173" s="128" t="str">
        <f>IF(B173="","",IFERROR(IF(AND(B173&gt;=parametros!$C$2,B173&lt;=parametros!$D$2),"C0",IF(AND(B173&gt;=parametros!$C$3,B173&lt;=parametros!$D$3),"C1",IF(AND(B173&gt;=parametros!$C$4,B173&lt;=parametros!$D$4),"C2",IF(AND(B173&gt;=parametros!$C$5,B173&lt;=parametros!$D$5),"C3",IF(AND(B173&gt;=parametros!$C$6,B173&lt;=parametros!$D$6),"C4","Fora dos ciclos"))))),"Fora dos ciclos"))</f>
        <v/>
      </c>
      <c r="D173" s="137"/>
      <c r="E173" s="139"/>
      <c r="F173" s="140" t="str">
        <f>IF(A173="","",IFERROR(VLOOKUP(A173,itens_Remanesc!$A:$C,3,0),""))</f>
        <v/>
      </c>
      <c r="G173" s="140" t="str">
        <f t="shared" si="15"/>
        <v/>
      </c>
      <c r="H173" s="137"/>
      <c r="I173" s="88" t="str">
        <f>IFERROR(VLOOKUP(C173,parametros!$B:$F,5,0),"")</f>
        <v/>
      </c>
      <c r="J173" s="140" t="str">
        <f t="shared" si="16"/>
        <v/>
      </c>
      <c r="K173" s="137"/>
      <c r="L173" s="110" t="str">
        <f t="shared" si="17"/>
        <v/>
      </c>
      <c r="M173" s="111" t="str">
        <f>IF(A173="","",IF(COUNTIF(itens_Remanesc!$A$2:$A$200,A173)=0,"ALERTA: ITEM_AUSENTE",IF(COUNTIF(itens_Remanesc!$A$2:$A$200,A173)&gt;1,"ALERTA: ITEM_DUPLICADO",IF(OR(C173="",C173="Fora dos ciclos"),"ALERTA: CICLO_INVALIDO",IF(NOT(ISNUMBER(E173)),"ALERTA: QTD_INVALIDA",IF(AND(LEFT(UPPER(D173),5)&lt;&gt;"ACRES",LEFT(UPPER(D173),6)&lt;&gt;"SUPRES",LEFT(UPPER(D173),4)&lt;&gt;"DECR"),"ALERTA: TIPO_INVALIDO","OK"))))))</f>
        <v/>
      </c>
    </row>
    <row r="174" spans="1:13" ht="15.9" customHeight="1" x14ac:dyDescent="0.35">
      <c r="A174" s="137"/>
      <c r="B174" s="138"/>
      <c r="C174" s="128" t="str">
        <f>IF(B174="","",IFERROR(IF(AND(B174&gt;=parametros!$C$2,B174&lt;=parametros!$D$2),"C0",IF(AND(B174&gt;=parametros!$C$3,B174&lt;=parametros!$D$3),"C1",IF(AND(B174&gt;=parametros!$C$4,B174&lt;=parametros!$D$4),"C2",IF(AND(B174&gt;=parametros!$C$5,B174&lt;=parametros!$D$5),"C3",IF(AND(B174&gt;=parametros!$C$6,B174&lt;=parametros!$D$6),"C4","Fora dos ciclos"))))),"Fora dos ciclos"))</f>
        <v/>
      </c>
      <c r="D174" s="137"/>
      <c r="E174" s="139"/>
      <c r="F174" s="140" t="str">
        <f>IF(A174="","",IFERROR(VLOOKUP(A174,itens_Remanesc!$A:$C,3,0),""))</f>
        <v/>
      </c>
      <c r="G174" s="140" t="str">
        <f t="shared" si="15"/>
        <v/>
      </c>
      <c r="H174" s="137"/>
      <c r="I174" s="88" t="str">
        <f>IFERROR(VLOOKUP(C174,parametros!$B:$F,5,0),"")</f>
        <v/>
      </c>
      <c r="J174" s="140" t="str">
        <f t="shared" si="16"/>
        <v/>
      </c>
      <c r="K174" s="137"/>
      <c r="L174" s="110" t="str">
        <f t="shared" si="17"/>
        <v/>
      </c>
      <c r="M174" s="111" t="str">
        <f>IF(A174="","",IF(COUNTIF(itens_Remanesc!$A$2:$A$200,A174)=0,"ALERTA: ITEM_AUSENTE",IF(COUNTIF(itens_Remanesc!$A$2:$A$200,A174)&gt;1,"ALERTA: ITEM_DUPLICADO",IF(OR(C174="",C174="Fora dos ciclos"),"ALERTA: CICLO_INVALIDO",IF(NOT(ISNUMBER(E174)),"ALERTA: QTD_INVALIDA",IF(AND(LEFT(UPPER(D174),5)&lt;&gt;"ACRES",LEFT(UPPER(D174),6)&lt;&gt;"SUPRES",LEFT(UPPER(D174),4)&lt;&gt;"DECR"),"ALERTA: TIPO_INVALIDO","OK"))))))</f>
        <v/>
      </c>
    </row>
    <row r="175" spans="1:13" ht="15.9" customHeight="1" x14ac:dyDescent="0.35">
      <c r="A175" s="137"/>
      <c r="B175" s="138"/>
      <c r="C175" s="128" t="str">
        <f>IF(B175="","",IFERROR(IF(AND(B175&gt;=parametros!$C$2,B175&lt;=parametros!$D$2),"C0",IF(AND(B175&gt;=parametros!$C$3,B175&lt;=parametros!$D$3),"C1",IF(AND(B175&gt;=parametros!$C$4,B175&lt;=parametros!$D$4),"C2",IF(AND(B175&gt;=parametros!$C$5,B175&lt;=parametros!$D$5),"C3",IF(AND(B175&gt;=parametros!$C$6,B175&lt;=parametros!$D$6),"C4","Fora dos ciclos"))))),"Fora dos ciclos"))</f>
        <v/>
      </c>
      <c r="D175" s="137"/>
      <c r="E175" s="139"/>
      <c r="F175" s="140" t="str">
        <f>IF(A175="","",IFERROR(VLOOKUP(A175,itens_Remanesc!$A:$C,3,0),""))</f>
        <v/>
      </c>
      <c r="G175" s="140" t="str">
        <f t="shared" si="15"/>
        <v/>
      </c>
      <c r="H175" s="137"/>
      <c r="I175" s="88" t="str">
        <f>IFERROR(VLOOKUP(C175,parametros!$B:$F,5,0),"")</f>
        <v/>
      </c>
      <c r="J175" s="140" t="str">
        <f t="shared" si="16"/>
        <v/>
      </c>
      <c r="K175" s="137"/>
      <c r="L175" s="110" t="str">
        <f t="shared" si="17"/>
        <v/>
      </c>
      <c r="M175" s="111" t="str">
        <f>IF(A175="","",IF(COUNTIF(itens_Remanesc!$A$2:$A$200,A175)=0,"ALERTA: ITEM_AUSENTE",IF(COUNTIF(itens_Remanesc!$A$2:$A$200,A175)&gt;1,"ALERTA: ITEM_DUPLICADO",IF(OR(C175="",C175="Fora dos ciclos"),"ALERTA: CICLO_INVALIDO",IF(NOT(ISNUMBER(E175)),"ALERTA: QTD_INVALIDA",IF(AND(LEFT(UPPER(D175),5)&lt;&gt;"ACRES",LEFT(UPPER(D175),6)&lt;&gt;"SUPRES",LEFT(UPPER(D175),4)&lt;&gt;"DECR"),"ALERTA: TIPO_INVALIDO","OK"))))))</f>
        <v/>
      </c>
    </row>
    <row r="176" spans="1:13" ht="15.9" customHeight="1" x14ac:dyDescent="0.35">
      <c r="A176" s="137"/>
      <c r="B176" s="138"/>
      <c r="C176" s="128" t="str">
        <f>IF(B176="","",IFERROR(IF(AND(B176&gt;=parametros!$C$2,B176&lt;=parametros!$D$2),"C0",IF(AND(B176&gt;=parametros!$C$3,B176&lt;=parametros!$D$3),"C1",IF(AND(B176&gt;=parametros!$C$4,B176&lt;=parametros!$D$4),"C2",IF(AND(B176&gt;=parametros!$C$5,B176&lt;=parametros!$D$5),"C3",IF(AND(B176&gt;=parametros!$C$6,B176&lt;=parametros!$D$6),"C4","Fora dos ciclos"))))),"Fora dos ciclos"))</f>
        <v/>
      </c>
      <c r="D176" s="137"/>
      <c r="E176" s="139"/>
      <c r="F176" s="140" t="str">
        <f>IF(A176="","",IFERROR(VLOOKUP(A176,itens_Remanesc!$A:$C,3,0),""))</f>
        <v/>
      </c>
      <c r="G176" s="140" t="str">
        <f t="shared" si="15"/>
        <v/>
      </c>
      <c r="H176" s="137"/>
      <c r="I176" s="88" t="str">
        <f>IFERROR(VLOOKUP(C176,parametros!$B:$F,5,0),"")</f>
        <v/>
      </c>
      <c r="J176" s="140" t="str">
        <f t="shared" si="16"/>
        <v/>
      </c>
      <c r="K176" s="137"/>
      <c r="L176" s="110" t="str">
        <f t="shared" si="17"/>
        <v/>
      </c>
      <c r="M176" s="111" t="str">
        <f>IF(A176="","",IF(COUNTIF(itens_Remanesc!$A$2:$A$200,A176)=0,"ALERTA: ITEM_AUSENTE",IF(COUNTIF(itens_Remanesc!$A$2:$A$200,A176)&gt;1,"ALERTA: ITEM_DUPLICADO",IF(OR(C176="",C176="Fora dos ciclos"),"ALERTA: CICLO_INVALIDO",IF(NOT(ISNUMBER(E176)),"ALERTA: QTD_INVALIDA",IF(AND(LEFT(UPPER(D176),5)&lt;&gt;"ACRES",LEFT(UPPER(D176),6)&lt;&gt;"SUPRES",LEFT(UPPER(D176),4)&lt;&gt;"DECR"),"ALERTA: TIPO_INVALIDO","OK"))))))</f>
        <v/>
      </c>
    </row>
    <row r="177" spans="1:13" ht="15.9" customHeight="1" x14ac:dyDescent="0.35">
      <c r="A177" s="137"/>
      <c r="B177" s="138"/>
      <c r="C177" s="128" t="str">
        <f>IF(B177="","",IFERROR(IF(AND(B177&gt;=parametros!$C$2,B177&lt;=parametros!$D$2),"C0",IF(AND(B177&gt;=parametros!$C$3,B177&lt;=parametros!$D$3),"C1",IF(AND(B177&gt;=parametros!$C$4,B177&lt;=parametros!$D$4),"C2",IF(AND(B177&gt;=parametros!$C$5,B177&lt;=parametros!$D$5),"C3",IF(AND(B177&gt;=parametros!$C$6,B177&lt;=parametros!$D$6),"C4","Fora dos ciclos"))))),"Fora dos ciclos"))</f>
        <v/>
      </c>
      <c r="D177" s="137"/>
      <c r="E177" s="139"/>
      <c r="F177" s="140" t="str">
        <f>IF(A177="","",IFERROR(VLOOKUP(A177,itens_Remanesc!$A:$C,3,0),""))</f>
        <v/>
      </c>
      <c r="G177" s="140" t="str">
        <f t="shared" si="15"/>
        <v/>
      </c>
      <c r="H177" s="137"/>
      <c r="I177" s="88" t="str">
        <f>IFERROR(VLOOKUP(C177,parametros!$B:$F,5,0),"")</f>
        <v/>
      </c>
      <c r="J177" s="140" t="str">
        <f t="shared" si="16"/>
        <v/>
      </c>
      <c r="K177" s="137"/>
      <c r="L177" s="110" t="str">
        <f t="shared" si="17"/>
        <v/>
      </c>
      <c r="M177" s="111" t="str">
        <f>IF(A177="","",IF(COUNTIF(itens_Remanesc!$A$2:$A$200,A177)=0,"ALERTA: ITEM_AUSENTE",IF(COUNTIF(itens_Remanesc!$A$2:$A$200,A177)&gt;1,"ALERTA: ITEM_DUPLICADO",IF(OR(C177="",C177="Fora dos ciclos"),"ALERTA: CICLO_INVALIDO",IF(NOT(ISNUMBER(E177)),"ALERTA: QTD_INVALIDA",IF(AND(LEFT(UPPER(D177),5)&lt;&gt;"ACRES",LEFT(UPPER(D177),6)&lt;&gt;"SUPRES",LEFT(UPPER(D177),4)&lt;&gt;"DECR"),"ALERTA: TIPO_INVALIDO","OK"))))))</f>
        <v/>
      </c>
    </row>
    <row r="178" spans="1:13" ht="15.9" customHeight="1" x14ac:dyDescent="0.35">
      <c r="A178" s="137"/>
      <c r="B178" s="138"/>
      <c r="C178" s="128" t="str">
        <f>IF(B178="","",IFERROR(IF(AND(B178&gt;=parametros!$C$2,B178&lt;=parametros!$D$2),"C0",IF(AND(B178&gt;=parametros!$C$3,B178&lt;=parametros!$D$3),"C1",IF(AND(B178&gt;=parametros!$C$4,B178&lt;=parametros!$D$4),"C2",IF(AND(B178&gt;=parametros!$C$5,B178&lt;=parametros!$D$5),"C3",IF(AND(B178&gt;=parametros!$C$6,B178&lt;=parametros!$D$6),"C4","Fora dos ciclos"))))),"Fora dos ciclos"))</f>
        <v/>
      </c>
      <c r="D178" s="137"/>
      <c r="E178" s="139"/>
      <c r="F178" s="140" t="str">
        <f>IF(A178="","",IFERROR(VLOOKUP(A178,itens_Remanesc!$A:$C,3,0),""))</f>
        <v/>
      </c>
      <c r="G178" s="140" t="str">
        <f t="shared" si="15"/>
        <v/>
      </c>
      <c r="H178" s="137"/>
      <c r="I178" s="88" t="str">
        <f>IFERROR(VLOOKUP(C178,parametros!$B:$F,5,0),"")</f>
        <v/>
      </c>
      <c r="J178" s="140" t="str">
        <f t="shared" si="16"/>
        <v/>
      </c>
      <c r="K178" s="137"/>
      <c r="L178" s="110" t="str">
        <f t="shared" si="17"/>
        <v/>
      </c>
      <c r="M178" s="111" t="str">
        <f>IF(A178="","",IF(COUNTIF(itens_Remanesc!$A$2:$A$200,A178)=0,"ALERTA: ITEM_AUSENTE",IF(COUNTIF(itens_Remanesc!$A$2:$A$200,A178)&gt;1,"ALERTA: ITEM_DUPLICADO",IF(OR(C178="",C178="Fora dos ciclos"),"ALERTA: CICLO_INVALIDO",IF(NOT(ISNUMBER(E178)),"ALERTA: QTD_INVALIDA",IF(AND(LEFT(UPPER(D178),5)&lt;&gt;"ACRES",LEFT(UPPER(D178),6)&lt;&gt;"SUPRES",LEFT(UPPER(D178),4)&lt;&gt;"DECR"),"ALERTA: TIPO_INVALIDO","OK"))))))</f>
        <v/>
      </c>
    </row>
    <row r="179" spans="1:13" ht="15.9" customHeight="1" x14ac:dyDescent="0.35">
      <c r="A179" s="137"/>
      <c r="B179" s="138"/>
      <c r="C179" s="128" t="str">
        <f>IF(B179="","",IFERROR(IF(AND(B179&gt;=parametros!$C$2,B179&lt;=parametros!$D$2),"C0",IF(AND(B179&gt;=parametros!$C$3,B179&lt;=parametros!$D$3),"C1",IF(AND(B179&gt;=parametros!$C$4,B179&lt;=parametros!$D$4),"C2",IF(AND(B179&gt;=parametros!$C$5,B179&lt;=parametros!$D$5),"C3",IF(AND(B179&gt;=parametros!$C$6,B179&lt;=parametros!$D$6),"C4","Fora dos ciclos"))))),"Fora dos ciclos"))</f>
        <v/>
      </c>
      <c r="D179" s="137"/>
      <c r="E179" s="139"/>
      <c r="F179" s="140" t="str">
        <f>IF(A179="","",IFERROR(VLOOKUP(A179,itens_Remanesc!$A:$C,3,0),""))</f>
        <v/>
      </c>
      <c r="G179" s="140" t="str">
        <f t="shared" si="15"/>
        <v/>
      </c>
      <c r="H179" s="137"/>
      <c r="I179" s="88" t="str">
        <f>IFERROR(VLOOKUP(C179,parametros!$B:$F,5,0),"")</f>
        <v/>
      </c>
      <c r="J179" s="140" t="str">
        <f t="shared" si="16"/>
        <v/>
      </c>
      <c r="K179" s="137"/>
      <c r="L179" s="110" t="str">
        <f t="shared" si="17"/>
        <v/>
      </c>
      <c r="M179" s="111" t="str">
        <f>IF(A179="","",IF(COUNTIF(itens_Remanesc!$A$2:$A$200,A179)=0,"ALERTA: ITEM_AUSENTE",IF(COUNTIF(itens_Remanesc!$A$2:$A$200,A179)&gt;1,"ALERTA: ITEM_DUPLICADO",IF(OR(C179="",C179="Fora dos ciclos"),"ALERTA: CICLO_INVALIDO",IF(NOT(ISNUMBER(E179)),"ALERTA: QTD_INVALIDA",IF(AND(LEFT(UPPER(D179),5)&lt;&gt;"ACRES",LEFT(UPPER(D179),6)&lt;&gt;"SUPRES",LEFT(UPPER(D179),4)&lt;&gt;"DECR"),"ALERTA: TIPO_INVALIDO","OK"))))))</f>
        <v/>
      </c>
    </row>
    <row r="180" spans="1:13" ht="15.9" customHeight="1" x14ac:dyDescent="0.35">
      <c r="A180" s="137"/>
      <c r="B180" s="138"/>
      <c r="C180" s="128" t="str">
        <f>IF(B180="","",IFERROR(IF(AND(B180&gt;=parametros!$C$2,B180&lt;=parametros!$D$2),"C0",IF(AND(B180&gt;=parametros!$C$3,B180&lt;=parametros!$D$3),"C1",IF(AND(B180&gt;=parametros!$C$4,B180&lt;=parametros!$D$4),"C2",IF(AND(B180&gt;=parametros!$C$5,B180&lt;=parametros!$D$5),"C3",IF(AND(B180&gt;=parametros!$C$6,B180&lt;=parametros!$D$6),"C4","Fora dos ciclos"))))),"Fora dos ciclos"))</f>
        <v/>
      </c>
      <c r="D180" s="137"/>
      <c r="E180" s="139"/>
      <c r="F180" s="140" t="str">
        <f>IF(A180="","",IFERROR(VLOOKUP(A180,itens_Remanesc!$A:$C,3,0),""))</f>
        <v/>
      </c>
      <c r="G180" s="140" t="str">
        <f t="shared" si="15"/>
        <v/>
      </c>
      <c r="H180" s="137"/>
      <c r="I180" s="88" t="str">
        <f>IFERROR(VLOOKUP(C180,parametros!$B:$F,5,0),"")</f>
        <v/>
      </c>
      <c r="J180" s="140" t="str">
        <f t="shared" si="16"/>
        <v/>
      </c>
      <c r="K180" s="137"/>
      <c r="L180" s="110" t="str">
        <f t="shared" si="17"/>
        <v/>
      </c>
      <c r="M180" s="111" t="str">
        <f>IF(A180="","",IF(COUNTIF(itens_Remanesc!$A$2:$A$200,A180)=0,"ALERTA: ITEM_AUSENTE",IF(COUNTIF(itens_Remanesc!$A$2:$A$200,A180)&gt;1,"ALERTA: ITEM_DUPLICADO",IF(OR(C180="",C180="Fora dos ciclos"),"ALERTA: CICLO_INVALIDO",IF(NOT(ISNUMBER(E180)),"ALERTA: QTD_INVALIDA",IF(AND(LEFT(UPPER(D180),5)&lt;&gt;"ACRES",LEFT(UPPER(D180),6)&lt;&gt;"SUPRES",LEFT(UPPER(D180),4)&lt;&gt;"DECR"),"ALERTA: TIPO_INVALIDO","OK"))))))</f>
        <v/>
      </c>
    </row>
    <row r="181" spans="1:13" ht="15.9" customHeight="1" x14ac:dyDescent="0.35">
      <c r="A181" s="137"/>
      <c r="B181" s="138"/>
      <c r="C181" s="128" t="str">
        <f>IF(B181="","",IFERROR(IF(AND(B181&gt;=parametros!$C$2,B181&lt;=parametros!$D$2),"C0",IF(AND(B181&gt;=parametros!$C$3,B181&lt;=parametros!$D$3),"C1",IF(AND(B181&gt;=parametros!$C$4,B181&lt;=parametros!$D$4),"C2",IF(AND(B181&gt;=parametros!$C$5,B181&lt;=parametros!$D$5),"C3",IF(AND(B181&gt;=parametros!$C$6,B181&lt;=parametros!$D$6),"C4","Fora dos ciclos"))))),"Fora dos ciclos"))</f>
        <v/>
      </c>
      <c r="D181" s="137"/>
      <c r="E181" s="139"/>
      <c r="F181" s="140" t="str">
        <f>IF(A181="","",IFERROR(VLOOKUP(A181,itens_Remanesc!$A:$C,3,0),""))</f>
        <v/>
      </c>
      <c r="G181" s="140" t="str">
        <f t="shared" si="15"/>
        <v/>
      </c>
      <c r="H181" s="137"/>
      <c r="I181" s="88" t="str">
        <f>IFERROR(VLOOKUP(C181,parametros!$B:$F,5,0),"")</f>
        <v/>
      </c>
      <c r="J181" s="140" t="str">
        <f t="shared" si="16"/>
        <v/>
      </c>
      <c r="K181" s="137"/>
      <c r="L181" s="110" t="str">
        <f t="shared" si="17"/>
        <v/>
      </c>
      <c r="M181" s="111" t="str">
        <f>IF(A181="","",IF(COUNTIF(itens_Remanesc!$A$2:$A$200,A181)=0,"ALERTA: ITEM_AUSENTE",IF(COUNTIF(itens_Remanesc!$A$2:$A$200,A181)&gt;1,"ALERTA: ITEM_DUPLICADO",IF(OR(C181="",C181="Fora dos ciclos"),"ALERTA: CICLO_INVALIDO",IF(NOT(ISNUMBER(E181)),"ALERTA: QTD_INVALIDA",IF(AND(LEFT(UPPER(D181),5)&lt;&gt;"ACRES",LEFT(UPPER(D181),6)&lt;&gt;"SUPRES",LEFT(UPPER(D181),4)&lt;&gt;"DECR"),"ALERTA: TIPO_INVALIDO","OK"))))))</f>
        <v/>
      </c>
    </row>
    <row r="182" spans="1:13" ht="15.9" customHeight="1" x14ac:dyDescent="0.35">
      <c r="A182" s="137"/>
      <c r="B182" s="138"/>
      <c r="C182" s="128" t="str">
        <f>IF(B182="","",IFERROR(IF(AND(B182&gt;=parametros!$C$2,B182&lt;=parametros!$D$2),"C0",IF(AND(B182&gt;=parametros!$C$3,B182&lt;=parametros!$D$3),"C1",IF(AND(B182&gt;=parametros!$C$4,B182&lt;=parametros!$D$4),"C2",IF(AND(B182&gt;=parametros!$C$5,B182&lt;=parametros!$D$5),"C3",IF(AND(B182&gt;=parametros!$C$6,B182&lt;=parametros!$D$6),"C4","Fora dos ciclos"))))),"Fora dos ciclos"))</f>
        <v/>
      </c>
      <c r="D182" s="137"/>
      <c r="E182" s="139"/>
      <c r="F182" s="140" t="str">
        <f>IF(A182="","",IFERROR(VLOOKUP(A182,itens_Remanesc!$A:$C,3,0),""))</f>
        <v/>
      </c>
      <c r="G182" s="140" t="str">
        <f t="shared" si="15"/>
        <v/>
      </c>
      <c r="H182" s="137"/>
      <c r="I182" s="88" t="str">
        <f>IFERROR(VLOOKUP(C182,parametros!$B:$F,5,0),"")</f>
        <v/>
      </c>
      <c r="J182" s="140" t="str">
        <f t="shared" si="16"/>
        <v/>
      </c>
      <c r="K182" s="137"/>
      <c r="L182" s="110" t="str">
        <f t="shared" si="17"/>
        <v/>
      </c>
      <c r="M182" s="111" t="str">
        <f>IF(A182="","",IF(COUNTIF(itens_Remanesc!$A$2:$A$200,A182)=0,"ALERTA: ITEM_AUSENTE",IF(COUNTIF(itens_Remanesc!$A$2:$A$200,A182)&gt;1,"ALERTA: ITEM_DUPLICADO",IF(OR(C182="",C182="Fora dos ciclos"),"ALERTA: CICLO_INVALIDO",IF(NOT(ISNUMBER(E182)),"ALERTA: QTD_INVALIDA",IF(AND(LEFT(UPPER(D182),5)&lt;&gt;"ACRES",LEFT(UPPER(D182),6)&lt;&gt;"SUPRES",LEFT(UPPER(D182),4)&lt;&gt;"DECR"),"ALERTA: TIPO_INVALIDO","OK"))))))</f>
        <v/>
      </c>
    </row>
    <row r="183" spans="1:13" ht="15.9" customHeight="1" x14ac:dyDescent="0.35">
      <c r="A183" s="137"/>
      <c r="B183" s="138"/>
      <c r="C183" s="128" t="str">
        <f>IF(B183="","",IFERROR(IF(AND(B183&gt;=parametros!$C$2,B183&lt;=parametros!$D$2),"C0",IF(AND(B183&gt;=parametros!$C$3,B183&lt;=parametros!$D$3),"C1",IF(AND(B183&gt;=parametros!$C$4,B183&lt;=parametros!$D$4),"C2",IF(AND(B183&gt;=parametros!$C$5,B183&lt;=parametros!$D$5),"C3",IF(AND(B183&gt;=parametros!$C$6,B183&lt;=parametros!$D$6),"C4","Fora dos ciclos"))))),"Fora dos ciclos"))</f>
        <v/>
      </c>
      <c r="D183" s="137"/>
      <c r="E183" s="139"/>
      <c r="F183" s="140" t="str">
        <f>IF(A183="","",IFERROR(VLOOKUP(A183,itens_Remanesc!$A:$C,3,0),""))</f>
        <v/>
      </c>
      <c r="G183" s="140" t="str">
        <f t="shared" si="15"/>
        <v/>
      </c>
      <c r="H183" s="137"/>
      <c r="I183" s="88" t="str">
        <f>IFERROR(VLOOKUP(C183,parametros!$B:$F,5,0),"")</f>
        <v/>
      </c>
      <c r="J183" s="140" t="str">
        <f t="shared" si="16"/>
        <v/>
      </c>
      <c r="K183" s="137"/>
      <c r="L183" s="110" t="str">
        <f t="shared" si="17"/>
        <v/>
      </c>
      <c r="M183" s="111" t="str">
        <f>IF(A183="","",IF(COUNTIF(itens_Remanesc!$A$2:$A$200,A183)=0,"ALERTA: ITEM_AUSENTE",IF(COUNTIF(itens_Remanesc!$A$2:$A$200,A183)&gt;1,"ALERTA: ITEM_DUPLICADO",IF(OR(C183="",C183="Fora dos ciclos"),"ALERTA: CICLO_INVALIDO",IF(NOT(ISNUMBER(E183)),"ALERTA: QTD_INVALIDA",IF(AND(LEFT(UPPER(D183),5)&lt;&gt;"ACRES",LEFT(UPPER(D183),6)&lt;&gt;"SUPRES",LEFT(UPPER(D183),4)&lt;&gt;"DECR"),"ALERTA: TIPO_INVALIDO","OK"))))))</f>
        <v/>
      </c>
    </row>
    <row r="184" spans="1:13" ht="15.9" customHeight="1" x14ac:dyDescent="0.35">
      <c r="A184" s="137"/>
      <c r="B184" s="138"/>
      <c r="C184" s="128" t="str">
        <f>IF(B184="","",IFERROR(IF(AND(B184&gt;=parametros!$C$2,B184&lt;=parametros!$D$2),"C0",IF(AND(B184&gt;=parametros!$C$3,B184&lt;=parametros!$D$3),"C1",IF(AND(B184&gt;=parametros!$C$4,B184&lt;=parametros!$D$4),"C2",IF(AND(B184&gt;=parametros!$C$5,B184&lt;=parametros!$D$5),"C3",IF(AND(B184&gt;=parametros!$C$6,B184&lt;=parametros!$D$6),"C4","Fora dos ciclos"))))),"Fora dos ciclos"))</f>
        <v/>
      </c>
      <c r="D184" s="137"/>
      <c r="E184" s="139"/>
      <c r="F184" s="140" t="str">
        <f>IF(A184="","",IFERROR(VLOOKUP(A184,itens_Remanesc!$A:$C,3,0),""))</f>
        <v/>
      </c>
      <c r="G184" s="140" t="str">
        <f t="shared" si="15"/>
        <v/>
      </c>
      <c r="H184" s="137"/>
      <c r="I184" s="88" t="str">
        <f>IFERROR(VLOOKUP(C184,parametros!$B:$F,5,0),"")</f>
        <v/>
      </c>
      <c r="J184" s="140" t="str">
        <f t="shared" si="16"/>
        <v/>
      </c>
      <c r="K184" s="137"/>
      <c r="L184" s="110" t="str">
        <f t="shared" si="17"/>
        <v/>
      </c>
      <c r="M184" s="111" t="str">
        <f>IF(A184="","",IF(COUNTIF(itens_Remanesc!$A$2:$A$200,A184)=0,"ALERTA: ITEM_AUSENTE",IF(COUNTIF(itens_Remanesc!$A$2:$A$200,A184)&gt;1,"ALERTA: ITEM_DUPLICADO",IF(OR(C184="",C184="Fora dos ciclos"),"ALERTA: CICLO_INVALIDO",IF(NOT(ISNUMBER(E184)),"ALERTA: QTD_INVALIDA",IF(AND(LEFT(UPPER(D184),5)&lt;&gt;"ACRES",LEFT(UPPER(D184),6)&lt;&gt;"SUPRES",LEFT(UPPER(D184),4)&lt;&gt;"DECR"),"ALERTA: TIPO_INVALIDO","OK"))))))</f>
        <v/>
      </c>
    </row>
    <row r="185" spans="1:13" ht="15.9" customHeight="1" x14ac:dyDescent="0.35">
      <c r="A185" s="137"/>
      <c r="B185" s="138"/>
      <c r="C185" s="128" t="str">
        <f>IF(B185="","",IFERROR(IF(AND(B185&gt;=parametros!$C$2,B185&lt;=parametros!$D$2),"C0",IF(AND(B185&gt;=parametros!$C$3,B185&lt;=parametros!$D$3),"C1",IF(AND(B185&gt;=parametros!$C$4,B185&lt;=parametros!$D$4),"C2",IF(AND(B185&gt;=parametros!$C$5,B185&lt;=parametros!$D$5),"C3",IF(AND(B185&gt;=parametros!$C$6,B185&lt;=parametros!$D$6),"C4","Fora dos ciclos"))))),"Fora dos ciclos"))</f>
        <v/>
      </c>
      <c r="D185" s="137"/>
      <c r="E185" s="139"/>
      <c r="F185" s="140" t="str">
        <f>IF(A185="","",IFERROR(VLOOKUP(A185,itens_Remanesc!$A:$C,3,0),""))</f>
        <v/>
      </c>
      <c r="G185" s="140" t="str">
        <f t="shared" si="15"/>
        <v/>
      </c>
      <c r="H185" s="137"/>
      <c r="I185" s="88" t="str">
        <f>IFERROR(VLOOKUP(C185,parametros!$B:$F,5,0),"")</f>
        <v/>
      </c>
      <c r="J185" s="140" t="str">
        <f t="shared" si="16"/>
        <v/>
      </c>
      <c r="K185" s="137"/>
      <c r="L185" s="110" t="str">
        <f t="shared" si="17"/>
        <v/>
      </c>
      <c r="M185" s="111" t="str">
        <f>IF(A185="","",IF(COUNTIF(itens_Remanesc!$A$2:$A$200,A185)=0,"ALERTA: ITEM_AUSENTE",IF(COUNTIF(itens_Remanesc!$A$2:$A$200,A185)&gt;1,"ALERTA: ITEM_DUPLICADO",IF(OR(C185="",C185="Fora dos ciclos"),"ALERTA: CICLO_INVALIDO",IF(NOT(ISNUMBER(E185)),"ALERTA: QTD_INVALIDA",IF(AND(LEFT(UPPER(D185),5)&lt;&gt;"ACRES",LEFT(UPPER(D185),6)&lt;&gt;"SUPRES",LEFT(UPPER(D185),4)&lt;&gt;"DECR"),"ALERTA: TIPO_INVALIDO","OK"))))))</f>
        <v/>
      </c>
    </row>
    <row r="186" spans="1:13" ht="15.9" customHeight="1" x14ac:dyDescent="0.35">
      <c r="A186" s="137"/>
      <c r="B186" s="138"/>
      <c r="C186" s="128" t="str">
        <f>IF(B186="","",IFERROR(IF(AND(B186&gt;=parametros!$C$2,B186&lt;=parametros!$D$2),"C0",IF(AND(B186&gt;=parametros!$C$3,B186&lt;=parametros!$D$3),"C1",IF(AND(B186&gt;=parametros!$C$4,B186&lt;=parametros!$D$4),"C2",IF(AND(B186&gt;=parametros!$C$5,B186&lt;=parametros!$D$5),"C3",IF(AND(B186&gt;=parametros!$C$6,B186&lt;=parametros!$D$6),"C4","Fora dos ciclos"))))),"Fora dos ciclos"))</f>
        <v/>
      </c>
      <c r="D186" s="137"/>
      <c r="E186" s="139"/>
      <c r="F186" s="140" t="str">
        <f>IF(A186="","",IFERROR(VLOOKUP(A186,itens_Remanesc!$A:$C,3,0),""))</f>
        <v/>
      </c>
      <c r="G186" s="140" t="str">
        <f t="shared" si="15"/>
        <v/>
      </c>
      <c r="H186" s="137"/>
      <c r="I186" s="88" t="str">
        <f>IFERROR(VLOOKUP(C186,parametros!$B:$F,5,0),"")</f>
        <v/>
      </c>
      <c r="J186" s="140" t="str">
        <f t="shared" si="16"/>
        <v/>
      </c>
      <c r="K186" s="137"/>
      <c r="L186" s="110" t="str">
        <f t="shared" si="17"/>
        <v/>
      </c>
      <c r="M186" s="111" t="str">
        <f>IF(A186="","",IF(COUNTIF(itens_Remanesc!$A$2:$A$200,A186)=0,"ALERTA: ITEM_AUSENTE",IF(COUNTIF(itens_Remanesc!$A$2:$A$200,A186)&gt;1,"ALERTA: ITEM_DUPLICADO",IF(OR(C186="",C186="Fora dos ciclos"),"ALERTA: CICLO_INVALIDO",IF(NOT(ISNUMBER(E186)),"ALERTA: QTD_INVALIDA",IF(AND(LEFT(UPPER(D186),5)&lt;&gt;"ACRES",LEFT(UPPER(D186),6)&lt;&gt;"SUPRES",LEFT(UPPER(D186),4)&lt;&gt;"DECR"),"ALERTA: TIPO_INVALIDO","OK"))))))</f>
        <v/>
      </c>
    </row>
    <row r="187" spans="1:13" ht="15.9" customHeight="1" x14ac:dyDescent="0.35">
      <c r="A187" s="137"/>
      <c r="B187" s="138"/>
      <c r="C187" s="128" t="str">
        <f>IF(B187="","",IFERROR(IF(AND(B187&gt;=parametros!$C$2,B187&lt;=parametros!$D$2),"C0",IF(AND(B187&gt;=parametros!$C$3,B187&lt;=parametros!$D$3),"C1",IF(AND(B187&gt;=parametros!$C$4,B187&lt;=parametros!$D$4),"C2",IF(AND(B187&gt;=parametros!$C$5,B187&lt;=parametros!$D$5),"C3",IF(AND(B187&gt;=parametros!$C$6,B187&lt;=parametros!$D$6),"C4","Fora dos ciclos"))))),"Fora dos ciclos"))</f>
        <v/>
      </c>
      <c r="D187" s="137"/>
      <c r="E187" s="139"/>
      <c r="F187" s="140" t="str">
        <f>IF(A187="","",IFERROR(VLOOKUP(A187,itens_Remanesc!$A:$C,3,0),""))</f>
        <v/>
      </c>
      <c r="G187" s="140" t="str">
        <f t="shared" si="15"/>
        <v/>
      </c>
      <c r="H187" s="137"/>
      <c r="I187" s="88" t="str">
        <f>IFERROR(VLOOKUP(C187,parametros!$B:$F,5,0),"")</f>
        <v/>
      </c>
      <c r="J187" s="140" t="str">
        <f t="shared" si="16"/>
        <v/>
      </c>
      <c r="K187" s="137"/>
      <c r="L187" s="110" t="str">
        <f t="shared" si="17"/>
        <v/>
      </c>
      <c r="M187" s="111" t="str">
        <f>IF(A187="","",IF(COUNTIF(itens_Remanesc!$A$2:$A$200,A187)=0,"ALERTA: ITEM_AUSENTE",IF(COUNTIF(itens_Remanesc!$A$2:$A$200,A187)&gt;1,"ALERTA: ITEM_DUPLICADO",IF(OR(C187="",C187="Fora dos ciclos"),"ALERTA: CICLO_INVALIDO",IF(NOT(ISNUMBER(E187)),"ALERTA: QTD_INVALIDA",IF(AND(LEFT(UPPER(D187),5)&lt;&gt;"ACRES",LEFT(UPPER(D187),6)&lt;&gt;"SUPRES",LEFT(UPPER(D187),4)&lt;&gt;"DECR"),"ALERTA: TIPO_INVALIDO","OK"))))))</f>
        <v/>
      </c>
    </row>
    <row r="188" spans="1:13" ht="15.9" customHeight="1" x14ac:dyDescent="0.35">
      <c r="A188" s="137"/>
      <c r="B188" s="138"/>
      <c r="C188" s="128" t="str">
        <f>IF(B188="","",IFERROR(IF(AND(B188&gt;=parametros!$C$2,B188&lt;=parametros!$D$2),"C0",IF(AND(B188&gt;=parametros!$C$3,B188&lt;=parametros!$D$3),"C1",IF(AND(B188&gt;=parametros!$C$4,B188&lt;=parametros!$D$4),"C2",IF(AND(B188&gt;=parametros!$C$5,B188&lt;=parametros!$D$5),"C3",IF(AND(B188&gt;=parametros!$C$6,B188&lt;=parametros!$D$6),"C4","Fora dos ciclos"))))),"Fora dos ciclos"))</f>
        <v/>
      </c>
      <c r="D188" s="137"/>
      <c r="E188" s="139"/>
      <c r="F188" s="140" t="str">
        <f>IF(A188="","",IFERROR(VLOOKUP(A188,itens_Remanesc!$A:$C,3,0),""))</f>
        <v/>
      </c>
      <c r="G188" s="140" t="str">
        <f t="shared" si="15"/>
        <v/>
      </c>
      <c r="H188" s="137"/>
      <c r="I188" s="88" t="str">
        <f>IFERROR(VLOOKUP(C188,parametros!$B:$F,5,0),"")</f>
        <v/>
      </c>
      <c r="J188" s="140" t="str">
        <f t="shared" si="16"/>
        <v/>
      </c>
      <c r="K188" s="137"/>
      <c r="L188" s="110" t="str">
        <f t="shared" si="17"/>
        <v/>
      </c>
      <c r="M188" s="111" t="str">
        <f>IF(A188="","",IF(COUNTIF(itens_Remanesc!$A$2:$A$200,A188)=0,"ALERTA: ITEM_AUSENTE",IF(COUNTIF(itens_Remanesc!$A$2:$A$200,A188)&gt;1,"ALERTA: ITEM_DUPLICADO",IF(OR(C188="",C188="Fora dos ciclos"),"ALERTA: CICLO_INVALIDO",IF(NOT(ISNUMBER(E188)),"ALERTA: QTD_INVALIDA",IF(AND(LEFT(UPPER(D188),5)&lt;&gt;"ACRES",LEFT(UPPER(D188),6)&lt;&gt;"SUPRES",LEFT(UPPER(D188),4)&lt;&gt;"DECR"),"ALERTA: TIPO_INVALIDO","OK"))))))</f>
        <v/>
      </c>
    </row>
    <row r="189" spans="1:13" ht="15.9" customHeight="1" x14ac:dyDescent="0.35">
      <c r="A189" s="137"/>
      <c r="B189" s="138"/>
      <c r="C189" s="128" t="str">
        <f>IF(B189="","",IFERROR(IF(AND(B189&gt;=parametros!$C$2,B189&lt;=parametros!$D$2),"C0",IF(AND(B189&gt;=parametros!$C$3,B189&lt;=parametros!$D$3),"C1",IF(AND(B189&gt;=parametros!$C$4,B189&lt;=parametros!$D$4),"C2",IF(AND(B189&gt;=parametros!$C$5,B189&lt;=parametros!$D$5),"C3",IF(AND(B189&gt;=parametros!$C$6,B189&lt;=parametros!$D$6),"C4","Fora dos ciclos"))))),"Fora dos ciclos"))</f>
        <v/>
      </c>
      <c r="D189" s="137"/>
      <c r="E189" s="139"/>
      <c r="F189" s="140" t="str">
        <f>IF(A189="","",IFERROR(VLOOKUP(A189,itens_Remanesc!$A:$C,3,0),""))</f>
        <v/>
      </c>
      <c r="G189" s="140" t="str">
        <f t="shared" si="15"/>
        <v/>
      </c>
      <c r="H189" s="137"/>
      <c r="I189" s="88" t="str">
        <f>IFERROR(VLOOKUP(C189,parametros!$B:$F,5,0),"")</f>
        <v/>
      </c>
      <c r="J189" s="140" t="str">
        <f t="shared" si="16"/>
        <v/>
      </c>
      <c r="K189" s="137"/>
      <c r="L189" s="110" t="str">
        <f t="shared" si="17"/>
        <v/>
      </c>
      <c r="M189" s="111" t="str">
        <f>IF(A189="","",IF(COUNTIF(itens_Remanesc!$A$2:$A$200,A189)=0,"ALERTA: ITEM_AUSENTE",IF(COUNTIF(itens_Remanesc!$A$2:$A$200,A189)&gt;1,"ALERTA: ITEM_DUPLICADO",IF(OR(C189="",C189="Fora dos ciclos"),"ALERTA: CICLO_INVALIDO",IF(NOT(ISNUMBER(E189)),"ALERTA: QTD_INVALIDA",IF(AND(LEFT(UPPER(D189),5)&lt;&gt;"ACRES",LEFT(UPPER(D189),6)&lt;&gt;"SUPRES",LEFT(UPPER(D189),4)&lt;&gt;"DECR"),"ALERTA: TIPO_INVALIDO","OK"))))))</f>
        <v/>
      </c>
    </row>
    <row r="190" spans="1:13" ht="15.9" customHeight="1" x14ac:dyDescent="0.35">
      <c r="A190" s="137"/>
      <c r="B190" s="138"/>
      <c r="C190" s="128" t="str">
        <f>IF(B190="","",IFERROR(IF(AND(B190&gt;=parametros!$C$2,B190&lt;=parametros!$D$2),"C0",IF(AND(B190&gt;=parametros!$C$3,B190&lt;=parametros!$D$3),"C1",IF(AND(B190&gt;=parametros!$C$4,B190&lt;=parametros!$D$4),"C2",IF(AND(B190&gt;=parametros!$C$5,B190&lt;=parametros!$D$5),"C3",IF(AND(B190&gt;=parametros!$C$6,B190&lt;=parametros!$D$6),"C4","Fora dos ciclos"))))),"Fora dos ciclos"))</f>
        <v/>
      </c>
      <c r="D190" s="137"/>
      <c r="E190" s="139"/>
      <c r="F190" s="140" t="str">
        <f>IF(A190="","",IFERROR(VLOOKUP(A190,itens_Remanesc!$A:$C,3,0),""))</f>
        <v/>
      </c>
      <c r="G190" s="140" t="str">
        <f t="shared" si="15"/>
        <v/>
      </c>
      <c r="H190" s="137"/>
      <c r="I190" s="88" t="str">
        <f>IFERROR(VLOOKUP(C190,parametros!$B:$F,5,0),"")</f>
        <v/>
      </c>
      <c r="J190" s="140" t="str">
        <f t="shared" si="16"/>
        <v/>
      </c>
      <c r="K190" s="137"/>
      <c r="L190" s="110" t="str">
        <f t="shared" si="17"/>
        <v/>
      </c>
      <c r="M190" s="111" t="str">
        <f>IF(A190="","",IF(COUNTIF(itens_Remanesc!$A$2:$A$200,A190)=0,"ALERTA: ITEM_AUSENTE",IF(COUNTIF(itens_Remanesc!$A$2:$A$200,A190)&gt;1,"ALERTA: ITEM_DUPLICADO",IF(OR(C190="",C190="Fora dos ciclos"),"ALERTA: CICLO_INVALIDO",IF(NOT(ISNUMBER(E190)),"ALERTA: QTD_INVALIDA",IF(AND(LEFT(UPPER(D190),5)&lt;&gt;"ACRES",LEFT(UPPER(D190),6)&lt;&gt;"SUPRES",LEFT(UPPER(D190),4)&lt;&gt;"DECR"),"ALERTA: TIPO_INVALIDO","OK"))))))</f>
        <v/>
      </c>
    </row>
    <row r="191" spans="1:13" ht="15.9" customHeight="1" x14ac:dyDescent="0.35">
      <c r="A191" s="137"/>
      <c r="B191" s="138"/>
      <c r="C191" s="128" t="str">
        <f>IF(B191="","",IFERROR(IF(AND(B191&gt;=parametros!$C$2,B191&lt;=parametros!$D$2),"C0",IF(AND(B191&gt;=parametros!$C$3,B191&lt;=parametros!$D$3),"C1",IF(AND(B191&gt;=parametros!$C$4,B191&lt;=parametros!$D$4),"C2",IF(AND(B191&gt;=parametros!$C$5,B191&lt;=parametros!$D$5),"C3",IF(AND(B191&gt;=parametros!$C$6,B191&lt;=parametros!$D$6),"C4","Fora dos ciclos"))))),"Fora dos ciclos"))</f>
        <v/>
      </c>
      <c r="D191" s="137"/>
      <c r="E191" s="139"/>
      <c r="F191" s="140" t="str">
        <f>IF(A191="","",IFERROR(VLOOKUP(A191,itens_Remanesc!$A:$C,3,0),""))</f>
        <v/>
      </c>
      <c r="G191" s="140" t="str">
        <f t="shared" si="15"/>
        <v/>
      </c>
      <c r="H191" s="137"/>
      <c r="I191" s="88" t="str">
        <f>IFERROR(VLOOKUP(C191,parametros!$B:$F,5,0),"")</f>
        <v/>
      </c>
      <c r="J191" s="140" t="str">
        <f t="shared" si="16"/>
        <v/>
      </c>
      <c r="K191" s="137"/>
      <c r="L191" s="110" t="str">
        <f t="shared" si="17"/>
        <v/>
      </c>
      <c r="M191" s="111" t="str">
        <f>IF(A191="","",IF(COUNTIF(itens_Remanesc!$A$2:$A$200,A191)=0,"ALERTA: ITEM_AUSENTE",IF(COUNTIF(itens_Remanesc!$A$2:$A$200,A191)&gt;1,"ALERTA: ITEM_DUPLICADO",IF(OR(C191="",C191="Fora dos ciclos"),"ALERTA: CICLO_INVALIDO",IF(NOT(ISNUMBER(E191)),"ALERTA: QTD_INVALIDA",IF(AND(LEFT(UPPER(D191),5)&lt;&gt;"ACRES",LEFT(UPPER(D191),6)&lt;&gt;"SUPRES",LEFT(UPPER(D191),4)&lt;&gt;"DECR"),"ALERTA: TIPO_INVALIDO","OK"))))))</f>
        <v/>
      </c>
    </row>
    <row r="192" spans="1:13" ht="15.9" customHeight="1" x14ac:dyDescent="0.35">
      <c r="A192" s="137"/>
      <c r="B192" s="138"/>
      <c r="C192" s="128" t="str">
        <f>IF(B192="","",IFERROR(IF(AND(B192&gt;=parametros!$C$2,B192&lt;=parametros!$D$2),"C0",IF(AND(B192&gt;=parametros!$C$3,B192&lt;=parametros!$D$3),"C1",IF(AND(B192&gt;=parametros!$C$4,B192&lt;=parametros!$D$4),"C2",IF(AND(B192&gt;=parametros!$C$5,B192&lt;=parametros!$D$5),"C3",IF(AND(B192&gt;=parametros!$C$6,B192&lt;=parametros!$D$6),"C4","Fora dos ciclos"))))),"Fora dos ciclos"))</f>
        <v/>
      </c>
      <c r="D192" s="137"/>
      <c r="E192" s="139"/>
      <c r="F192" s="140" t="str">
        <f>IF(A192="","",IFERROR(VLOOKUP(A192,itens_Remanesc!$A:$C,3,0),""))</f>
        <v/>
      </c>
      <c r="G192" s="140" t="str">
        <f t="shared" si="15"/>
        <v/>
      </c>
      <c r="H192" s="137"/>
      <c r="I192" s="88" t="str">
        <f>IFERROR(VLOOKUP(C192,parametros!$B:$F,5,0),"")</f>
        <v/>
      </c>
      <c r="J192" s="140" t="str">
        <f t="shared" si="16"/>
        <v/>
      </c>
      <c r="K192" s="137"/>
      <c r="L192" s="110" t="str">
        <f t="shared" si="17"/>
        <v/>
      </c>
      <c r="M192" s="111" t="str">
        <f>IF(A192="","",IF(COUNTIF(itens_Remanesc!$A$2:$A$200,A192)=0,"ALERTA: ITEM_AUSENTE",IF(COUNTIF(itens_Remanesc!$A$2:$A$200,A192)&gt;1,"ALERTA: ITEM_DUPLICADO",IF(OR(C192="",C192="Fora dos ciclos"),"ALERTA: CICLO_INVALIDO",IF(NOT(ISNUMBER(E192)),"ALERTA: QTD_INVALIDA",IF(AND(LEFT(UPPER(D192),5)&lt;&gt;"ACRES",LEFT(UPPER(D192),6)&lt;&gt;"SUPRES",LEFT(UPPER(D192),4)&lt;&gt;"DECR"),"ALERTA: TIPO_INVALIDO","OK"))))))</f>
        <v/>
      </c>
    </row>
    <row r="193" spans="1:13" ht="15.9" customHeight="1" x14ac:dyDescent="0.35">
      <c r="A193" s="137"/>
      <c r="B193" s="138"/>
      <c r="C193" s="128" t="str">
        <f>IF(B193="","",IFERROR(IF(AND(B193&gt;=parametros!$C$2,B193&lt;=parametros!$D$2),"C0",IF(AND(B193&gt;=parametros!$C$3,B193&lt;=parametros!$D$3),"C1",IF(AND(B193&gt;=parametros!$C$4,B193&lt;=parametros!$D$4),"C2",IF(AND(B193&gt;=parametros!$C$5,B193&lt;=parametros!$D$5),"C3",IF(AND(B193&gt;=parametros!$C$6,B193&lt;=parametros!$D$6),"C4","Fora dos ciclos"))))),"Fora dos ciclos"))</f>
        <v/>
      </c>
      <c r="D193" s="137"/>
      <c r="E193" s="139"/>
      <c r="F193" s="140" t="str">
        <f>IF(A193="","",IFERROR(VLOOKUP(A193,itens_Remanesc!$A:$C,3,0),""))</f>
        <v/>
      </c>
      <c r="G193" s="140" t="str">
        <f t="shared" si="15"/>
        <v/>
      </c>
      <c r="H193" s="137"/>
      <c r="I193" s="88" t="str">
        <f>IFERROR(VLOOKUP(C193,parametros!$B:$F,5,0),"")</f>
        <v/>
      </c>
      <c r="J193" s="140" t="str">
        <f t="shared" si="16"/>
        <v/>
      </c>
      <c r="K193" s="137"/>
      <c r="L193" s="110" t="str">
        <f t="shared" si="17"/>
        <v/>
      </c>
      <c r="M193" s="111" t="str">
        <f>IF(A193="","",IF(COUNTIF(itens_Remanesc!$A$2:$A$200,A193)=0,"ALERTA: ITEM_AUSENTE",IF(COUNTIF(itens_Remanesc!$A$2:$A$200,A193)&gt;1,"ALERTA: ITEM_DUPLICADO",IF(OR(C193="",C193="Fora dos ciclos"),"ALERTA: CICLO_INVALIDO",IF(NOT(ISNUMBER(E193)),"ALERTA: QTD_INVALIDA",IF(AND(LEFT(UPPER(D193),5)&lt;&gt;"ACRES",LEFT(UPPER(D193),6)&lt;&gt;"SUPRES",LEFT(UPPER(D193),4)&lt;&gt;"DECR"),"ALERTA: TIPO_INVALIDO","OK"))))))</f>
        <v/>
      </c>
    </row>
    <row r="194" spans="1:13" ht="15.9" customHeight="1" x14ac:dyDescent="0.35">
      <c r="A194" s="137"/>
      <c r="B194" s="138"/>
      <c r="C194" s="128" t="str">
        <f>IF(B194="","",IFERROR(IF(AND(B194&gt;=parametros!$C$2,B194&lt;=parametros!$D$2),"C0",IF(AND(B194&gt;=parametros!$C$3,B194&lt;=parametros!$D$3),"C1",IF(AND(B194&gt;=parametros!$C$4,B194&lt;=parametros!$D$4),"C2",IF(AND(B194&gt;=parametros!$C$5,B194&lt;=parametros!$D$5),"C3",IF(AND(B194&gt;=parametros!$C$6,B194&lt;=parametros!$D$6),"C4","Fora dos ciclos"))))),"Fora dos ciclos"))</f>
        <v/>
      </c>
      <c r="D194" s="137"/>
      <c r="E194" s="139"/>
      <c r="F194" s="140" t="str">
        <f>IF(A194="","",IFERROR(VLOOKUP(A194,itens_Remanesc!$A:$C,3,0),""))</f>
        <v/>
      </c>
      <c r="G194" s="140" t="str">
        <f t="shared" ref="G194:G225" si="18">IF(OR(E194="",F194=""),"",ROUND(E194*F194,2))</f>
        <v/>
      </c>
      <c r="H194" s="137"/>
      <c r="I194" s="88" t="str">
        <f>IFERROR(VLOOKUP(C194,parametros!$B:$F,5,0),"")</f>
        <v/>
      </c>
      <c r="J194" s="140" t="str">
        <f t="shared" ref="J194:J225" si="19">IF(OR(L194="",F194=""),"",ROUND(L194*F194*IF(AND(UPPER(H194)="SIM",ISNUMBER(I194)),I194,1),2))</f>
        <v/>
      </c>
      <c r="K194" s="137"/>
      <c r="L194" s="110" t="str">
        <f t="shared" ref="L194:L200" si="20">IF(OR(A194="",C194="",D194="",NOT(ISNUMBER(E194))),"",IF(LEFT(UPPER(D194),5)="ACRES",ROUND(ABS(E194),2),IF(OR(LEFT(UPPER(D194),6)="SUPRES",LEFT(UPPER(D194),4)="DECR"),ROUND(-ABS(E194),2),"")))</f>
        <v/>
      </c>
      <c r="M194" s="111" t="str">
        <f>IF(A194="","",IF(COUNTIF(itens_Remanesc!$A$2:$A$200,A194)=0,"ALERTA: ITEM_AUSENTE",IF(COUNTIF(itens_Remanesc!$A$2:$A$200,A194)&gt;1,"ALERTA: ITEM_DUPLICADO",IF(OR(C194="",C194="Fora dos ciclos"),"ALERTA: CICLO_INVALIDO",IF(NOT(ISNUMBER(E194)),"ALERTA: QTD_INVALIDA",IF(AND(LEFT(UPPER(D194),5)&lt;&gt;"ACRES",LEFT(UPPER(D194),6)&lt;&gt;"SUPRES",LEFT(UPPER(D194),4)&lt;&gt;"DECR"),"ALERTA: TIPO_INVALIDO","OK"))))))</f>
        <v/>
      </c>
    </row>
    <row r="195" spans="1:13" ht="15.9" customHeight="1" x14ac:dyDescent="0.35">
      <c r="A195" s="137"/>
      <c r="B195" s="138"/>
      <c r="C195" s="128" t="str">
        <f>IF(B195="","",IFERROR(IF(AND(B195&gt;=parametros!$C$2,B195&lt;=parametros!$D$2),"C0",IF(AND(B195&gt;=parametros!$C$3,B195&lt;=parametros!$D$3),"C1",IF(AND(B195&gt;=parametros!$C$4,B195&lt;=parametros!$D$4),"C2",IF(AND(B195&gt;=parametros!$C$5,B195&lt;=parametros!$D$5),"C3",IF(AND(B195&gt;=parametros!$C$6,B195&lt;=parametros!$D$6),"C4","Fora dos ciclos"))))),"Fora dos ciclos"))</f>
        <v/>
      </c>
      <c r="D195" s="137"/>
      <c r="E195" s="139"/>
      <c r="F195" s="140" t="str">
        <f>IF(A195="","",IFERROR(VLOOKUP(A195,itens_Remanesc!$A:$C,3,0),""))</f>
        <v/>
      </c>
      <c r="G195" s="140" t="str">
        <f t="shared" si="18"/>
        <v/>
      </c>
      <c r="H195" s="137"/>
      <c r="I195" s="88" t="str">
        <f>IFERROR(VLOOKUP(C195,parametros!$B:$F,5,0),"")</f>
        <v/>
      </c>
      <c r="J195" s="140" t="str">
        <f t="shared" si="19"/>
        <v/>
      </c>
      <c r="K195" s="137"/>
      <c r="L195" s="110" t="str">
        <f t="shared" si="20"/>
        <v/>
      </c>
      <c r="M195" s="111" t="str">
        <f>IF(A195="","",IF(COUNTIF(itens_Remanesc!$A$2:$A$200,A195)=0,"ALERTA: ITEM_AUSENTE",IF(COUNTIF(itens_Remanesc!$A$2:$A$200,A195)&gt;1,"ALERTA: ITEM_DUPLICADO",IF(OR(C195="",C195="Fora dos ciclos"),"ALERTA: CICLO_INVALIDO",IF(NOT(ISNUMBER(E195)),"ALERTA: QTD_INVALIDA",IF(AND(LEFT(UPPER(D195),5)&lt;&gt;"ACRES",LEFT(UPPER(D195),6)&lt;&gt;"SUPRES",LEFT(UPPER(D195),4)&lt;&gt;"DECR"),"ALERTA: TIPO_INVALIDO","OK"))))))</f>
        <v/>
      </c>
    </row>
    <row r="196" spans="1:13" ht="15.9" customHeight="1" x14ac:dyDescent="0.35">
      <c r="A196" s="137"/>
      <c r="B196" s="138"/>
      <c r="C196" s="128" t="str">
        <f>IF(B196="","",IFERROR(IF(AND(B196&gt;=parametros!$C$2,B196&lt;=parametros!$D$2),"C0",IF(AND(B196&gt;=parametros!$C$3,B196&lt;=parametros!$D$3),"C1",IF(AND(B196&gt;=parametros!$C$4,B196&lt;=parametros!$D$4),"C2",IF(AND(B196&gt;=parametros!$C$5,B196&lt;=parametros!$D$5),"C3",IF(AND(B196&gt;=parametros!$C$6,B196&lt;=parametros!$D$6),"C4","Fora dos ciclos"))))),"Fora dos ciclos"))</f>
        <v/>
      </c>
      <c r="D196" s="137"/>
      <c r="E196" s="139"/>
      <c r="F196" s="140" t="str">
        <f>IF(A196="","",IFERROR(VLOOKUP(A196,itens_Remanesc!$A:$C,3,0),""))</f>
        <v/>
      </c>
      <c r="G196" s="140" t="str">
        <f t="shared" si="18"/>
        <v/>
      </c>
      <c r="H196" s="137"/>
      <c r="I196" s="88" t="str">
        <f>IFERROR(VLOOKUP(C196,parametros!$B:$F,5,0),"")</f>
        <v/>
      </c>
      <c r="J196" s="140" t="str">
        <f t="shared" si="19"/>
        <v/>
      </c>
      <c r="K196" s="137"/>
      <c r="L196" s="110" t="str">
        <f t="shared" si="20"/>
        <v/>
      </c>
      <c r="M196" s="111" t="str">
        <f>IF(A196="","",IF(COUNTIF(itens_Remanesc!$A$2:$A$200,A196)=0,"ALERTA: ITEM_AUSENTE",IF(COUNTIF(itens_Remanesc!$A$2:$A$200,A196)&gt;1,"ALERTA: ITEM_DUPLICADO",IF(OR(C196="",C196="Fora dos ciclos"),"ALERTA: CICLO_INVALIDO",IF(NOT(ISNUMBER(E196)),"ALERTA: QTD_INVALIDA",IF(AND(LEFT(UPPER(D196),5)&lt;&gt;"ACRES",LEFT(UPPER(D196),6)&lt;&gt;"SUPRES",LEFT(UPPER(D196),4)&lt;&gt;"DECR"),"ALERTA: TIPO_INVALIDO","OK"))))))</f>
        <v/>
      </c>
    </row>
    <row r="197" spans="1:13" ht="15.9" customHeight="1" x14ac:dyDescent="0.35">
      <c r="A197" s="137"/>
      <c r="B197" s="138"/>
      <c r="C197" s="128" t="str">
        <f>IF(B197="","",IFERROR(IF(AND(B197&gt;=parametros!$C$2,B197&lt;=parametros!$D$2),"C0",IF(AND(B197&gt;=parametros!$C$3,B197&lt;=parametros!$D$3),"C1",IF(AND(B197&gt;=parametros!$C$4,B197&lt;=parametros!$D$4),"C2",IF(AND(B197&gt;=parametros!$C$5,B197&lt;=parametros!$D$5),"C3",IF(AND(B197&gt;=parametros!$C$6,B197&lt;=parametros!$D$6),"C4","Fora dos ciclos"))))),"Fora dos ciclos"))</f>
        <v/>
      </c>
      <c r="D197" s="137"/>
      <c r="E197" s="139"/>
      <c r="F197" s="140" t="str">
        <f>IF(A197="","",IFERROR(VLOOKUP(A197,itens_Remanesc!$A:$C,3,0),""))</f>
        <v/>
      </c>
      <c r="G197" s="140" t="str">
        <f t="shared" si="18"/>
        <v/>
      </c>
      <c r="H197" s="137"/>
      <c r="I197" s="88" t="str">
        <f>IFERROR(VLOOKUP(C197,parametros!$B:$F,5,0),"")</f>
        <v/>
      </c>
      <c r="J197" s="140" t="str">
        <f t="shared" si="19"/>
        <v/>
      </c>
      <c r="K197" s="137"/>
      <c r="L197" s="110" t="str">
        <f t="shared" si="20"/>
        <v/>
      </c>
      <c r="M197" s="111" t="str">
        <f>IF(A197="","",IF(COUNTIF(itens_Remanesc!$A$2:$A$200,A197)=0,"ALERTA: ITEM_AUSENTE",IF(COUNTIF(itens_Remanesc!$A$2:$A$200,A197)&gt;1,"ALERTA: ITEM_DUPLICADO",IF(OR(C197="",C197="Fora dos ciclos"),"ALERTA: CICLO_INVALIDO",IF(NOT(ISNUMBER(E197)),"ALERTA: QTD_INVALIDA",IF(AND(LEFT(UPPER(D197),5)&lt;&gt;"ACRES",LEFT(UPPER(D197),6)&lt;&gt;"SUPRES",LEFT(UPPER(D197),4)&lt;&gt;"DECR"),"ALERTA: TIPO_INVALIDO","OK"))))))</f>
        <v/>
      </c>
    </row>
    <row r="198" spans="1:13" ht="15.9" customHeight="1" x14ac:dyDescent="0.35">
      <c r="A198" s="137"/>
      <c r="B198" s="138"/>
      <c r="C198" s="128" t="str">
        <f>IF(B198="","",IFERROR(IF(AND(B198&gt;=parametros!$C$2,B198&lt;=parametros!$D$2),"C0",IF(AND(B198&gt;=parametros!$C$3,B198&lt;=parametros!$D$3),"C1",IF(AND(B198&gt;=parametros!$C$4,B198&lt;=parametros!$D$4),"C2",IF(AND(B198&gt;=parametros!$C$5,B198&lt;=parametros!$D$5),"C3",IF(AND(B198&gt;=parametros!$C$6,B198&lt;=parametros!$D$6),"C4","Fora dos ciclos"))))),"Fora dos ciclos"))</f>
        <v/>
      </c>
      <c r="D198" s="137"/>
      <c r="E198" s="139"/>
      <c r="F198" s="140" t="str">
        <f>IF(A198="","",IFERROR(VLOOKUP(A198,itens_Remanesc!$A:$C,3,0),""))</f>
        <v/>
      </c>
      <c r="G198" s="140" t="str">
        <f t="shared" si="18"/>
        <v/>
      </c>
      <c r="H198" s="137"/>
      <c r="I198" s="88" t="str">
        <f>IFERROR(VLOOKUP(C198,parametros!$B:$F,5,0),"")</f>
        <v/>
      </c>
      <c r="J198" s="140" t="str">
        <f t="shared" si="19"/>
        <v/>
      </c>
      <c r="K198" s="137"/>
      <c r="L198" s="110" t="str">
        <f t="shared" si="20"/>
        <v/>
      </c>
      <c r="M198" s="111" t="str">
        <f>IF(A198="","",IF(COUNTIF(itens_Remanesc!$A$2:$A$200,A198)=0,"ALERTA: ITEM_AUSENTE",IF(COUNTIF(itens_Remanesc!$A$2:$A$200,A198)&gt;1,"ALERTA: ITEM_DUPLICADO",IF(OR(C198="",C198="Fora dos ciclos"),"ALERTA: CICLO_INVALIDO",IF(NOT(ISNUMBER(E198)),"ALERTA: QTD_INVALIDA",IF(AND(LEFT(UPPER(D198),5)&lt;&gt;"ACRES",LEFT(UPPER(D198),6)&lt;&gt;"SUPRES",LEFT(UPPER(D198),4)&lt;&gt;"DECR"),"ALERTA: TIPO_INVALIDO","OK"))))))</f>
        <v/>
      </c>
    </row>
    <row r="199" spans="1:13" ht="15.9" customHeight="1" x14ac:dyDescent="0.35">
      <c r="A199" s="137"/>
      <c r="B199" s="138"/>
      <c r="C199" s="128" t="str">
        <f>IF(B199="","",IFERROR(IF(AND(B199&gt;=parametros!$C$2,B199&lt;=parametros!$D$2),"C0",IF(AND(B199&gt;=parametros!$C$3,B199&lt;=parametros!$D$3),"C1",IF(AND(B199&gt;=parametros!$C$4,B199&lt;=parametros!$D$4),"C2",IF(AND(B199&gt;=parametros!$C$5,B199&lt;=parametros!$D$5),"C3",IF(AND(B199&gt;=parametros!$C$6,B199&lt;=parametros!$D$6),"C4","Fora dos ciclos"))))),"Fora dos ciclos"))</f>
        <v/>
      </c>
      <c r="D199" s="137"/>
      <c r="E199" s="139"/>
      <c r="F199" s="140" t="str">
        <f>IF(A199="","",IFERROR(VLOOKUP(A199,itens_Remanesc!$A:$C,3,0),""))</f>
        <v/>
      </c>
      <c r="G199" s="140" t="str">
        <f t="shared" si="18"/>
        <v/>
      </c>
      <c r="H199" s="137"/>
      <c r="I199" s="88" t="str">
        <f>IFERROR(VLOOKUP(C199,parametros!$B:$F,5,0),"")</f>
        <v/>
      </c>
      <c r="J199" s="140" t="str">
        <f t="shared" si="19"/>
        <v/>
      </c>
      <c r="K199" s="137"/>
      <c r="L199" s="110" t="str">
        <f t="shared" si="20"/>
        <v/>
      </c>
      <c r="M199" s="111" t="str">
        <f>IF(A199="","",IF(COUNTIF(itens_Remanesc!$A$2:$A$200,A199)=0,"ALERTA: ITEM_AUSENTE",IF(COUNTIF(itens_Remanesc!$A$2:$A$200,A199)&gt;1,"ALERTA: ITEM_DUPLICADO",IF(OR(C199="",C199="Fora dos ciclos"),"ALERTA: CICLO_INVALIDO",IF(NOT(ISNUMBER(E199)),"ALERTA: QTD_INVALIDA",IF(AND(LEFT(UPPER(D199),5)&lt;&gt;"ACRES",LEFT(UPPER(D199),6)&lt;&gt;"SUPRES",LEFT(UPPER(D199),4)&lt;&gt;"DECR"),"ALERTA: TIPO_INVALIDO","OK"))))))</f>
        <v/>
      </c>
    </row>
    <row r="200" spans="1:13" ht="15.9" customHeight="1" x14ac:dyDescent="0.35">
      <c r="A200" s="137"/>
      <c r="B200" s="138"/>
      <c r="C200" s="128" t="str">
        <f>IF(B200="","",IFERROR(IF(AND(B200&gt;=parametros!$C$2,B200&lt;=parametros!$D$2),"C0",IF(AND(B200&gt;=parametros!$C$3,B200&lt;=parametros!$D$3),"C1",IF(AND(B200&gt;=parametros!$C$4,B200&lt;=parametros!$D$4),"C2",IF(AND(B200&gt;=parametros!$C$5,B200&lt;=parametros!$D$5),"C3",IF(AND(B200&gt;=parametros!$C$6,B200&lt;=parametros!$D$6),"C4","Fora dos ciclos"))))),"Fora dos ciclos"))</f>
        <v/>
      </c>
      <c r="D200" s="137"/>
      <c r="E200" s="139"/>
      <c r="F200" s="140" t="str">
        <f>IF(A200="","",IFERROR(VLOOKUP(A200,itens_Remanesc!$A:$C,3,0),""))</f>
        <v/>
      </c>
      <c r="G200" s="140" t="str">
        <f t="shared" si="18"/>
        <v/>
      </c>
      <c r="H200" s="137"/>
      <c r="I200" s="88" t="str">
        <f>IFERROR(VLOOKUP(C200,parametros!$B:$F,5,0),"")</f>
        <v/>
      </c>
      <c r="J200" s="140" t="str">
        <f t="shared" si="19"/>
        <v/>
      </c>
      <c r="K200" s="137"/>
      <c r="L200" s="110" t="str">
        <f t="shared" si="20"/>
        <v/>
      </c>
      <c r="M200" s="111" t="str">
        <f>IF(A200="","",IF(COUNTIF(itens_Remanesc!$A$2:$A$200,A200)=0,"ALERTA: ITEM_AUSENTE",IF(COUNTIF(itens_Remanesc!$A$2:$A$200,A200)&gt;1,"ALERTA: ITEM_DUPLICADO",IF(OR(C200="",C200="Fora dos ciclos"),"ALERTA: CICLO_INVALIDO",IF(NOT(ISNUMBER(E200)),"ALERTA: QTD_INVALIDA",IF(AND(LEFT(UPPER(D200),5)&lt;&gt;"ACRES",LEFT(UPPER(D200),6)&lt;&gt;"SUPRES",LEFT(UPPER(D200),4)&lt;&gt;"DECR"),"ALERTA: TIPO_INVALIDO","OK"))))))</f>
        <v/>
      </c>
    </row>
  </sheetData>
  <conditionalFormatting sqref="A2:K200">
    <cfRule type="expression" dxfId="12" priority="7">
      <formula>OR(LEFT(UPPER($D2),6)="SUPRES",LEFT(UPPER($D2),4)="DECR")</formula>
    </cfRule>
    <cfRule type="expression" dxfId="11" priority="7">
      <formula>OR(LEFT(UPPER($D2),6)="SUPRES",LEFT(UPPER($D2),4)="DECR")</formula>
    </cfRule>
  </conditionalFormatting>
  <conditionalFormatting sqref="C2:C200">
    <cfRule type="expression" dxfId="10" priority="15">
      <formula>UPPER($C2)="C0"</formula>
    </cfRule>
    <cfRule type="expression" dxfId="9" priority="15">
      <formula>UPPER($C2)="C1"</formula>
    </cfRule>
    <cfRule type="expression" dxfId="8" priority="15">
      <formula>UPPER($C2)="C2"</formula>
    </cfRule>
    <cfRule type="expression" dxfId="7" priority="15">
      <formula>UPPER($C2)="C3"</formula>
    </cfRule>
    <cfRule type="expression" dxfId="6" priority="15">
      <formula>UPPER($C2)="C4"</formula>
    </cfRule>
  </conditionalFormatting>
  <dataValidations count="2">
    <dataValidation type="list" allowBlank="1" sqref="D2:D200" xr:uid="{00000000-0002-0000-0600-000000000000}">
      <formula1>"Acrescimo,Supressao,Decrescimo"</formula1>
    </dataValidation>
    <dataValidation type="list" allowBlank="1" sqref="H2:H200 K2:K200" xr:uid="{00000000-0002-0000-0600-000001000000}">
      <formula1>"Sim,Nao"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00"/>
  <sheetViews>
    <sheetView showGridLines="0" workbookViewId="0">
      <pane ySplit="1" topLeftCell="A2" activePane="bottomLeft" state="frozen"/>
      <selection pane="bottomLeft" activeCell="D1" sqref="D1:G1"/>
    </sheetView>
  </sheetViews>
  <sheetFormatPr defaultRowHeight="14.5" x14ac:dyDescent="0.35"/>
  <cols>
    <col min="1" max="3" width="18" customWidth="1"/>
    <col min="4" max="24" width="22" customWidth="1"/>
  </cols>
  <sheetData>
    <row r="1" spans="1:24" ht="26" customHeight="1" x14ac:dyDescent="0.35">
      <c r="A1" s="83" t="s">
        <v>78</v>
      </c>
      <c r="B1" s="83" t="s">
        <v>80</v>
      </c>
      <c r="C1" s="199" t="s">
        <v>128</v>
      </c>
      <c r="D1" s="201" t="s">
        <v>129</v>
      </c>
      <c r="E1" s="197" t="s">
        <v>130</v>
      </c>
      <c r="F1" s="197" t="s">
        <v>131</v>
      </c>
      <c r="G1" s="205" t="s">
        <v>93</v>
      </c>
      <c r="H1" s="207" t="s">
        <v>132</v>
      </c>
      <c r="I1" s="203" t="s">
        <v>133</v>
      </c>
      <c r="J1" s="203" t="s">
        <v>134</v>
      </c>
      <c r="K1" s="209" t="s">
        <v>94</v>
      </c>
      <c r="L1" s="201" t="s">
        <v>135</v>
      </c>
      <c r="M1" s="197" t="s">
        <v>136</v>
      </c>
      <c r="N1" s="197" t="s">
        <v>137</v>
      </c>
      <c r="O1" s="205" t="s">
        <v>95</v>
      </c>
      <c r="P1" s="207" t="s">
        <v>138</v>
      </c>
      <c r="Q1" s="203" t="s">
        <v>139</v>
      </c>
      <c r="R1" s="203" t="s">
        <v>140</v>
      </c>
      <c r="S1" s="209" t="s">
        <v>96</v>
      </c>
      <c r="T1" s="201" t="s">
        <v>141</v>
      </c>
      <c r="U1" s="197" t="s">
        <v>142</v>
      </c>
      <c r="V1" s="197" t="s">
        <v>143</v>
      </c>
      <c r="W1" s="197" t="s">
        <v>97</v>
      </c>
      <c r="X1" s="83" t="s">
        <v>98</v>
      </c>
    </row>
    <row r="2" spans="1:24" x14ac:dyDescent="0.35">
      <c r="A2" s="181" t="str">
        <f>IF(itens_Remanesc!A2="","",itens_Remanesc!A2)</f>
        <v>ITEM-001</v>
      </c>
      <c r="B2" s="181">
        <f>IF(A2="","",itens_Remanesc!C2)</f>
        <v>250</v>
      </c>
      <c r="C2" s="200">
        <f>IF(A2="","",itens_Remanesc!B2)</f>
        <v>120</v>
      </c>
      <c r="D2" s="202">
        <f>IF(A2="","",ROUND(SUMIFS(aditivos!$L$2:$L$200,aditivos!$A$2:$A$200,A2,aditivos!$C$2:$C$200,"C0"),2))</f>
        <v>0</v>
      </c>
      <c r="E2" s="198">
        <f t="shared" ref="E2:E33" si="0">IF(A2="","",ROUND(C2+D2,2))</f>
        <v>120</v>
      </c>
      <c r="F2" s="198">
        <f>IF(A2="","",IF(itens_Remanesc!B2="","",itens_Remanesc!B2))</f>
        <v>120</v>
      </c>
      <c r="G2" s="206">
        <f t="shared" ref="G2:G33" si="1">IF(A2="","",E2)</f>
        <v>120</v>
      </c>
      <c r="H2" s="208">
        <f>IF(A2="","",ROUND(SUMIFS(aditivos!$L$2:$L$200,aditivos!$A$2:$A$200,A2,aditivos!$C$2:$C$200,"C1"),2))</f>
        <v>10</v>
      </c>
      <c r="I2" s="204">
        <f t="shared" ref="I2:I33" si="2">IF(A2="","",ROUND(E2+H2,2))</f>
        <v>130</v>
      </c>
      <c r="J2" s="204">
        <f>IF(A2="","",IF(itens_Remanesc!E2="","",itens_Remanesc!E2))</f>
        <v>120</v>
      </c>
      <c r="K2" s="210">
        <f t="shared" ref="K2:K33" si="3">IF(OR(A2="",J2=""),"",ROUND(J2,2))</f>
        <v>120</v>
      </c>
      <c r="L2" s="202">
        <f>IF(A2="","",ROUND(SUMIFS(aditivos!$L$2:$L$200,aditivos!$A$2:$A$200,A2,aditivos!$C$2:$C$200,"C2"),2))</f>
        <v>0</v>
      </c>
      <c r="M2" s="198">
        <f t="shared" ref="M2:M33" si="4">IF(A2="","",ROUND(I2+L2,2))</f>
        <v>130</v>
      </c>
      <c r="N2" s="198">
        <f>IF(A2="","",IF(itens_Remanesc!G2="","",itens_Remanesc!G2))</f>
        <v>120</v>
      </c>
      <c r="O2" s="206">
        <f t="shared" ref="O2:O33" si="5">IF(OR(A2="",N2=""),"",ROUND(N2,2))</f>
        <v>120</v>
      </c>
      <c r="P2" s="208">
        <f>IF(A2="","",ROUND(SUMIFS(aditivos!$L$2:$L$200,aditivos!$A$2:$A$200,A2,aditivos!$C$2:$C$200,"C3"),2))</f>
        <v>0</v>
      </c>
      <c r="Q2" s="204">
        <f t="shared" ref="Q2:Q33" si="6">IF(A2="","",ROUND(M2+P2,2))</f>
        <v>130</v>
      </c>
      <c r="R2" s="204">
        <f>IF(A2="","",IF(itens_Remanesc!I2="","",itens_Remanesc!I2))</f>
        <v>120</v>
      </c>
      <c r="S2" s="210">
        <f t="shared" ref="S2:S33" si="7">IF(OR(A2="",R2=""),"",ROUND(R2,2))</f>
        <v>120</v>
      </c>
      <c r="T2" s="202">
        <f>IF(A2="","",ROUND(SUMIFS(aditivos!$L$2:$L$200,aditivos!$A$2:$A$200,A2,aditivos!$C$2:$C$200,"C4"),2))</f>
        <v>0</v>
      </c>
      <c r="U2" s="198">
        <f t="shared" ref="U2:U33" si="8">IF(A2="","",ROUND(Q2+T2,2))</f>
        <v>130</v>
      </c>
      <c r="V2" s="198">
        <f>IF(A2="","",IF(itens_Remanesc!K2="","",itens_Remanesc!K2))</f>
        <v>120</v>
      </c>
      <c r="W2" s="198">
        <f t="shared" ref="W2:W33" si="9">IF(OR(A2="",V2=""),"",ROUND(V2,2))</f>
        <v>120</v>
      </c>
      <c r="X2" s="181" t="str">
        <f t="shared" ref="X2:X33" si="10">IF(A2="","",IF(COUNTIF($A$2:$A$200,A2)&gt;1,"ALERTA: ITEM_DUPLICADO",IF(MIN(E2,I2,M2,Q2,U2,G2,K2,O2,S2,W2)&lt;0,"ALERTA: POSICAO_NEGATIVA",IF(OR(AND(G2&lt;&gt;"",G2&gt;E2),AND(K2&lt;&gt;"",K2&gt;I2),AND(O2&lt;&gt;"",O2&gt;M2),AND(S2&lt;&gt;"",S2&gt;Q2),AND(W2&lt;&gt;"",W2&gt;U2)),"ALERTA: REMANESCENTE_SUPERA_POSICAO","OK"))))</f>
        <v>OK</v>
      </c>
    </row>
    <row r="3" spans="1:24" x14ac:dyDescent="0.35">
      <c r="A3" s="181" t="str">
        <f>IF(itens_Remanesc!A3="","",itens_Remanesc!A3)</f>
        <v>ITEM-002</v>
      </c>
      <c r="B3" s="181">
        <f>IF(A3="","",itens_Remanesc!C3)</f>
        <v>1500</v>
      </c>
      <c r="C3" s="200">
        <f>IF(A3="","",itens_Remanesc!B3)</f>
        <v>80</v>
      </c>
      <c r="D3" s="202">
        <f>IF(A3="","",ROUND(SUMIFS(aditivos!$L$2:$L$200,aditivos!$A$2:$A$200,A3,aditivos!$C$2:$C$200,"C0"),2))</f>
        <v>0</v>
      </c>
      <c r="E3" s="198">
        <f t="shared" si="0"/>
        <v>80</v>
      </c>
      <c r="F3" s="198">
        <f>IF(A3="","",IF(itens_Remanesc!B3="","",itens_Remanesc!B3))</f>
        <v>80</v>
      </c>
      <c r="G3" s="206">
        <f t="shared" si="1"/>
        <v>80</v>
      </c>
      <c r="H3" s="208">
        <f>IF(A3="","",ROUND(SUMIFS(aditivos!$L$2:$L$200,aditivos!$A$2:$A$200,A3,aditivos!$C$2:$C$200,"C1"),2))</f>
        <v>0</v>
      </c>
      <c r="I3" s="204">
        <f t="shared" si="2"/>
        <v>80</v>
      </c>
      <c r="J3" s="204">
        <f>IF(A3="","",IF(itens_Remanesc!E3="","",itens_Remanesc!E3))</f>
        <v>80</v>
      </c>
      <c r="K3" s="210">
        <f t="shared" si="3"/>
        <v>80</v>
      </c>
      <c r="L3" s="202">
        <f>IF(A3="","",ROUND(SUMIFS(aditivos!$L$2:$L$200,aditivos!$A$2:$A$200,A3,aditivos!$C$2:$C$200,"C2"),2))</f>
        <v>0</v>
      </c>
      <c r="M3" s="198">
        <f t="shared" si="4"/>
        <v>80</v>
      </c>
      <c r="N3" s="198">
        <f>IF(A3="","",IF(itens_Remanesc!G3="","",itens_Remanesc!G3))</f>
        <v>80</v>
      </c>
      <c r="O3" s="206">
        <f t="shared" si="5"/>
        <v>80</v>
      </c>
      <c r="P3" s="208">
        <f>IF(A3="","",ROUND(SUMIFS(aditivos!$L$2:$L$200,aditivos!$A$2:$A$200,A3,aditivos!$C$2:$C$200,"C3"),2))</f>
        <v>0</v>
      </c>
      <c r="Q3" s="204">
        <f t="shared" si="6"/>
        <v>80</v>
      </c>
      <c r="R3" s="204">
        <f>IF(A3="","",IF(itens_Remanesc!I3="","",itens_Remanesc!I3))</f>
        <v>80</v>
      </c>
      <c r="S3" s="210">
        <f t="shared" si="7"/>
        <v>80</v>
      </c>
      <c r="T3" s="202">
        <f>IF(A3="","",ROUND(SUMIFS(aditivos!$L$2:$L$200,aditivos!$A$2:$A$200,A3,aditivos!$C$2:$C$200,"C4"),2))</f>
        <v>0</v>
      </c>
      <c r="U3" s="198">
        <f t="shared" si="8"/>
        <v>80</v>
      </c>
      <c r="V3" s="198">
        <f>IF(A3="","",IF(itens_Remanesc!K3="","",itens_Remanesc!K3))</f>
        <v>80</v>
      </c>
      <c r="W3" s="198">
        <f t="shared" si="9"/>
        <v>80</v>
      </c>
      <c r="X3" s="181" t="str">
        <f t="shared" si="10"/>
        <v>OK</v>
      </c>
    </row>
    <row r="4" spans="1:24" x14ac:dyDescent="0.35">
      <c r="A4" s="181" t="str">
        <f>IF(itens_Remanesc!A4="","",itens_Remanesc!A4)</f>
        <v>ITEM-003</v>
      </c>
      <c r="B4" s="181">
        <f>IF(A4="","",itens_Remanesc!C4)</f>
        <v>3200</v>
      </c>
      <c r="C4" s="200">
        <f>IF(A4="","",itens_Remanesc!B4)</f>
        <v>40</v>
      </c>
      <c r="D4" s="202">
        <f>IF(A4="","",ROUND(SUMIFS(aditivos!$L$2:$L$200,aditivos!$A$2:$A$200,A4,aditivos!$C$2:$C$200,"C0"),2))</f>
        <v>0</v>
      </c>
      <c r="E4" s="198">
        <f t="shared" si="0"/>
        <v>40</v>
      </c>
      <c r="F4" s="198">
        <f>IF(A4="","",IF(itens_Remanesc!B4="","",itens_Remanesc!B4))</f>
        <v>40</v>
      </c>
      <c r="G4" s="206">
        <f t="shared" si="1"/>
        <v>40</v>
      </c>
      <c r="H4" s="208">
        <f>IF(A4="","",ROUND(SUMIFS(aditivos!$L$2:$L$200,aditivos!$A$2:$A$200,A4,aditivos!$C$2:$C$200,"C1"),2))</f>
        <v>0</v>
      </c>
      <c r="I4" s="204">
        <f t="shared" si="2"/>
        <v>40</v>
      </c>
      <c r="J4" s="204">
        <f>IF(A4="","",IF(itens_Remanesc!E4="","",itens_Remanesc!E4))</f>
        <v>40</v>
      </c>
      <c r="K4" s="210">
        <f t="shared" si="3"/>
        <v>40</v>
      </c>
      <c r="L4" s="202">
        <f>IF(A4="","",ROUND(SUMIFS(aditivos!$L$2:$L$200,aditivos!$A$2:$A$200,A4,aditivos!$C$2:$C$200,"C2"),2))</f>
        <v>0</v>
      </c>
      <c r="M4" s="198">
        <f t="shared" si="4"/>
        <v>40</v>
      </c>
      <c r="N4" s="198">
        <f>IF(A4="","",IF(itens_Remanesc!G4="","",itens_Remanesc!G4))</f>
        <v>40</v>
      </c>
      <c r="O4" s="206">
        <f t="shared" si="5"/>
        <v>40</v>
      </c>
      <c r="P4" s="208">
        <f>IF(A4="","",ROUND(SUMIFS(aditivos!$L$2:$L$200,aditivos!$A$2:$A$200,A4,aditivos!$C$2:$C$200,"C3"),2))</f>
        <v>0</v>
      </c>
      <c r="Q4" s="204">
        <f t="shared" si="6"/>
        <v>40</v>
      </c>
      <c r="R4" s="204">
        <f>IF(A4="","",IF(itens_Remanesc!I4="","",itens_Remanesc!I4))</f>
        <v>40</v>
      </c>
      <c r="S4" s="210">
        <f t="shared" si="7"/>
        <v>40</v>
      </c>
      <c r="T4" s="202">
        <f>IF(A4="","",ROUND(SUMIFS(aditivos!$L$2:$L$200,aditivos!$A$2:$A$200,A4,aditivos!$C$2:$C$200,"C4"),2))</f>
        <v>0</v>
      </c>
      <c r="U4" s="198">
        <f t="shared" si="8"/>
        <v>40</v>
      </c>
      <c r="V4" s="198">
        <f>IF(A4="","",IF(itens_Remanesc!K4="","",itens_Remanesc!K4))</f>
        <v>40</v>
      </c>
      <c r="W4" s="198">
        <f t="shared" si="9"/>
        <v>40</v>
      </c>
      <c r="X4" s="181" t="str">
        <f t="shared" si="10"/>
        <v>OK</v>
      </c>
    </row>
    <row r="5" spans="1:24" x14ac:dyDescent="0.35">
      <c r="A5" s="181" t="str">
        <f>IF(itens_Remanesc!A5="","",itens_Remanesc!A5)</f>
        <v/>
      </c>
      <c r="B5" s="181" t="str">
        <f>IF(A5="","",itens_Remanesc!C5)</f>
        <v/>
      </c>
      <c r="C5" s="200" t="str">
        <f>IF(A5="","",itens_Remanesc!B5)</f>
        <v/>
      </c>
      <c r="D5" s="202" t="str">
        <f>IF(A5="","",ROUND(SUMIFS(aditivos!$L$2:$L$200,aditivos!$A$2:$A$200,A5,aditivos!$C$2:$C$200,"C0"),2))</f>
        <v/>
      </c>
      <c r="E5" s="198" t="str">
        <f t="shared" si="0"/>
        <v/>
      </c>
      <c r="F5" s="198" t="str">
        <f>IF(A5="","",IF(itens_Remanesc!B5="","",itens_Remanesc!B5))</f>
        <v/>
      </c>
      <c r="G5" s="206" t="str">
        <f t="shared" si="1"/>
        <v/>
      </c>
      <c r="H5" s="208" t="str">
        <f>IF(A5="","",ROUND(SUMIFS(aditivos!$L$2:$L$200,aditivos!$A$2:$A$200,A5,aditivos!$C$2:$C$200,"C1"),2))</f>
        <v/>
      </c>
      <c r="I5" s="204" t="str">
        <f t="shared" si="2"/>
        <v/>
      </c>
      <c r="J5" s="204" t="str">
        <f>IF(A5="","",IF(itens_Remanesc!E5="","",itens_Remanesc!E5))</f>
        <v/>
      </c>
      <c r="K5" s="210" t="str">
        <f t="shared" si="3"/>
        <v/>
      </c>
      <c r="L5" s="202" t="str">
        <f>IF(A5="","",ROUND(SUMIFS(aditivos!$L$2:$L$200,aditivos!$A$2:$A$200,A5,aditivos!$C$2:$C$200,"C2"),2))</f>
        <v/>
      </c>
      <c r="M5" s="198" t="str">
        <f t="shared" si="4"/>
        <v/>
      </c>
      <c r="N5" s="198" t="str">
        <f>IF(A5="","",IF(itens_Remanesc!G5="","",itens_Remanesc!G5))</f>
        <v/>
      </c>
      <c r="O5" s="206" t="str">
        <f t="shared" si="5"/>
        <v/>
      </c>
      <c r="P5" s="208" t="str">
        <f>IF(A5="","",ROUND(SUMIFS(aditivos!$L$2:$L$200,aditivos!$A$2:$A$200,A5,aditivos!$C$2:$C$200,"C3"),2))</f>
        <v/>
      </c>
      <c r="Q5" s="204" t="str">
        <f t="shared" si="6"/>
        <v/>
      </c>
      <c r="R5" s="204" t="str">
        <f>IF(A5="","",IF(itens_Remanesc!I5="","",itens_Remanesc!I5))</f>
        <v/>
      </c>
      <c r="S5" s="210" t="str">
        <f t="shared" si="7"/>
        <v/>
      </c>
      <c r="T5" s="202" t="str">
        <f>IF(A5="","",ROUND(SUMIFS(aditivos!$L$2:$L$200,aditivos!$A$2:$A$200,A5,aditivos!$C$2:$C$200,"C4"),2))</f>
        <v/>
      </c>
      <c r="U5" s="198" t="str">
        <f t="shared" si="8"/>
        <v/>
      </c>
      <c r="V5" s="198" t="str">
        <f>IF(A5="","",IF(itens_Remanesc!K5="","",itens_Remanesc!K5))</f>
        <v/>
      </c>
      <c r="W5" s="198" t="str">
        <f t="shared" si="9"/>
        <v/>
      </c>
      <c r="X5" s="181" t="str">
        <f t="shared" si="10"/>
        <v/>
      </c>
    </row>
    <row r="6" spans="1:24" x14ac:dyDescent="0.35">
      <c r="A6" s="181" t="str">
        <f>IF(itens_Remanesc!A6="","",itens_Remanesc!A6)</f>
        <v/>
      </c>
      <c r="B6" s="181" t="str">
        <f>IF(A6="","",itens_Remanesc!C6)</f>
        <v/>
      </c>
      <c r="C6" s="200" t="str">
        <f>IF(A6="","",itens_Remanesc!B6)</f>
        <v/>
      </c>
      <c r="D6" s="202" t="str">
        <f>IF(A6="","",ROUND(SUMIFS(aditivos!$L$2:$L$200,aditivos!$A$2:$A$200,A6,aditivos!$C$2:$C$200,"C0"),2))</f>
        <v/>
      </c>
      <c r="E6" s="198" t="str">
        <f t="shared" si="0"/>
        <v/>
      </c>
      <c r="F6" s="198" t="str">
        <f>IF(A6="","",IF(itens_Remanesc!B6="","",itens_Remanesc!B6))</f>
        <v/>
      </c>
      <c r="G6" s="206" t="str">
        <f t="shared" si="1"/>
        <v/>
      </c>
      <c r="H6" s="208" t="str">
        <f>IF(A6="","",ROUND(SUMIFS(aditivos!$L$2:$L$200,aditivos!$A$2:$A$200,A6,aditivos!$C$2:$C$200,"C1"),2))</f>
        <v/>
      </c>
      <c r="I6" s="204" t="str">
        <f t="shared" si="2"/>
        <v/>
      </c>
      <c r="J6" s="204" t="str">
        <f>IF(A6="","",IF(itens_Remanesc!E6="","",itens_Remanesc!E6))</f>
        <v/>
      </c>
      <c r="K6" s="210" t="str">
        <f t="shared" si="3"/>
        <v/>
      </c>
      <c r="L6" s="202" t="str">
        <f>IF(A6="","",ROUND(SUMIFS(aditivos!$L$2:$L$200,aditivos!$A$2:$A$200,A6,aditivos!$C$2:$C$200,"C2"),2))</f>
        <v/>
      </c>
      <c r="M6" s="198" t="str">
        <f t="shared" si="4"/>
        <v/>
      </c>
      <c r="N6" s="198" t="str">
        <f>IF(A6="","",IF(itens_Remanesc!G6="","",itens_Remanesc!G6))</f>
        <v/>
      </c>
      <c r="O6" s="206" t="str">
        <f t="shared" si="5"/>
        <v/>
      </c>
      <c r="P6" s="208" t="str">
        <f>IF(A6="","",ROUND(SUMIFS(aditivos!$L$2:$L$200,aditivos!$A$2:$A$200,A6,aditivos!$C$2:$C$200,"C3"),2))</f>
        <v/>
      </c>
      <c r="Q6" s="204" t="str">
        <f t="shared" si="6"/>
        <v/>
      </c>
      <c r="R6" s="204" t="str">
        <f>IF(A6="","",IF(itens_Remanesc!I6="","",itens_Remanesc!I6))</f>
        <v/>
      </c>
      <c r="S6" s="210" t="str">
        <f t="shared" si="7"/>
        <v/>
      </c>
      <c r="T6" s="202" t="str">
        <f>IF(A6="","",ROUND(SUMIFS(aditivos!$L$2:$L$200,aditivos!$A$2:$A$200,A6,aditivos!$C$2:$C$200,"C4"),2))</f>
        <v/>
      </c>
      <c r="U6" s="198" t="str">
        <f t="shared" si="8"/>
        <v/>
      </c>
      <c r="V6" s="198" t="str">
        <f>IF(A6="","",IF(itens_Remanesc!K6="","",itens_Remanesc!K6))</f>
        <v/>
      </c>
      <c r="W6" s="198" t="str">
        <f t="shared" si="9"/>
        <v/>
      </c>
      <c r="X6" s="181" t="str">
        <f t="shared" si="10"/>
        <v/>
      </c>
    </row>
    <row r="7" spans="1:24" x14ac:dyDescent="0.35">
      <c r="A7" s="181" t="str">
        <f>IF(itens_Remanesc!A7="","",itens_Remanesc!A7)</f>
        <v/>
      </c>
      <c r="B7" s="181" t="str">
        <f>IF(A7="","",itens_Remanesc!C7)</f>
        <v/>
      </c>
      <c r="C7" s="200" t="str">
        <f>IF(A7="","",itens_Remanesc!B7)</f>
        <v/>
      </c>
      <c r="D7" s="202" t="str">
        <f>IF(A7="","",ROUND(SUMIFS(aditivos!$L$2:$L$200,aditivos!$A$2:$A$200,A7,aditivos!$C$2:$C$200,"C0"),2))</f>
        <v/>
      </c>
      <c r="E7" s="198" t="str">
        <f t="shared" si="0"/>
        <v/>
      </c>
      <c r="F7" s="198" t="str">
        <f>IF(A7="","",IF(itens_Remanesc!B7="","",itens_Remanesc!B7))</f>
        <v/>
      </c>
      <c r="G7" s="206" t="str">
        <f t="shared" si="1"/>
        <v/>
      </c>
      <c r="H7" s="208" t="str">
        <f>IF(A7="","",ROUND(SUMIFS(aditivos!$L$2:$L$200,aditivos!$A$2:$A$200,A7,aditivos!$C$2:$C$200,"C1"),2))</f>
        <v/>
      </c>
      <c r="I7" s="204" t="str">
        <f t="shared" si="2"/>
        <v/>
      </c>
      <c r="J7" s="204" t="str">
        <f>IF(A7="","",IF(itens_Remanesc!E7="","",itens_Remanesc!E7))</f>
        <v/>
      </c>
      <c r="K7" s="210" t="str">
        <f t="shared" si="3"/>
        <v/>
      </c>
      <c r="L7" s="202" t="str">
        <f>IF(A7="","",ROUND(SUMIFS(aditivos!$L$2:$L$200,aditivos!$A$2:$A$200,A7,aditivos!$C$2:$C$200,"C2"),2))</f>
        <v/>
      </c>
      <c r="M7" s="198" t="str">
        <f t="shared" si="4"/>
        <v/>
      </c>
      <c r="N7" s="198" t="str">
        <f>IF(A7="","",IF(itens_Remanesc!G7="","",itens_Remanesc!G7))</f>
        <v/>
      </c>
      <c r="O7" s="206" t="str">
        <f t="shared" si="5"/>
        <v/>
      </c>
      <c r="P7" s="208" t="str">
        <f>IF(A7="","",ROUND(SUMIFS(aditivos!$L$2:$L$200,aditivos!$A$2:$A$200,A7,aditivos!$C$2:$C$200,"C3"),2))</f>
        <v/>
      </c>
      <c r="Q7" s="204" t="str">
        <f t="shared" si="6"/>
        <v/>
      </c>
      <c r="R7" s="204" t="str">
        <f>IF(A7="","",IF(itens_Remanesc!I7="","",itens_Remanesc!I7))</f>
        <v/>
      </c>
      <c r="S7" s="210" t="str">
        <f t="shared" si="7"/>
        <v/>
      </c>
      <c r="T7" s="202" t="str">
        <f>IF(A7="","",ROUND(SUMIFS(aditivos!$L$2:$L$200,aditivos!$A$2:$A$200,A7,aditivos!$C$2:$C$200,"C4"),2))</f>
        <v/>
      </c>
      <c r="U7" s="198" t="str">
        <f t="shared" si="8"/>
        <v/>
      </c>
      <c r="V7" s="198" t="str">
        <f>IF(A7="","",IF(itens_Remanesc!K7="","",itens_Remanesc!K7))</f>
        <v/>
      </c>
      <c r="W7" s="198" t="str">
        <f t="shared" si="9"/>
        <v/>
      </c>
      <c r="X7" s="181" t="str">
        <f t="shared" si="10"/>
        <v/>
      </c>
    </row>
    <row r="8" spans="1:24" x14ac:dyDescent="0.35">
      <c r="A8" s="181" t="str">
        <f>IF(itens_Remanesc!A8="","",itens_Remanesc!A8)</f>
        <v/>
      </c>
      <c r="B8" s="181" t="str">
        <f>IF(A8="","",itens_Remanesc!C8)</f>
        <v/>
      </c>
      <c r="C8" s="200" t="str">
        <f>IF(A8="","",itens_Remanesc!B8)</f>
        <v/>
      </c>
      <c r="D8" s="202" t="str">
        <f>IF(A8="","",ROUND(SUMIFS(aditivos!$L$2:$L$200,aditivos!$A$2:$A$200,A8,aditivos!$C$2:$C$200,"C0"),2))</f>
        <v/>
      </c>
      <c r="E8" s="198" t="str">
        <f t="shared" si="0"/>
        <v/>
      </c>
      <c r="F8" s="198" t="str">
        <f>IF(A8="","",IF(itens_Remanesc!B8="","",itens_Remanesc!B8))</f>
        <v/>
      </c>
      <c r="G8" s="206" t="str">
        <f t="shared" si="1"/>
        <v/>
      </c>
      <c r="H8" s="208" t="str">
        <f>IF(A8="","",ROUND(SUMIFS(aditivos!$L$2:$L$200,aditivos!$A$2:$A$200,A8,aditivos!$C$2:$C$200,"C1"),2))</f>
        <v/>
      </c>
      <c r="I8" s="204" t="str">
        <f t="shared" si="2"/>
        <v/>
      </c>
      <c r="J8" s="204" t="str">
        <f>IF(A8="","",IF(itens_Remanesc!E8="","",itens_Remanesc!E8))</f>
        <v/>
      </c>
      <c r="K8" s="210" t="str">
        <f t="shared" si="3"/>
        <v/>
      </c>
      <c r="L8" s="202" t="str">
        <f>IF(A8="","",ROUND(SUMIFS(aditivos!$L$2:$L$200,aditivos!$A$2:$A$200,A8,aditivos!$C$2:$C$200,"C2"),2))</f>
        <v/>
      </c>
      <c r="M8" s="198" t="str">
        <f t="shared" si="4"/>
        <v/>
      </c>
      <c r="N8" s="198" t="str">
        <f>IF(A8="","",IF(itens_Remanesc!G8="","",itens_Remanesc!G8))</f>
        <v/>
      </c>
      <c r="O8" s="206" t="str">
        <f t="shared" si="5"/>
        <v/>
      </c>
      <c r="P8" s="208" t="str">
        <f>IF(A8="","",ROUND(SUMIFS(aditivos!$L$2:$L$200,aditivos!$A$2:$A$200,A8,aditivos!$C$2:$C$200,"C3"),2))</f>
        <v/>
      </c>
      <c r="Q8" s="204" t="str">
        <f t="shared" si="6"/>
        <v/>
      </c>
      <c r="R8" s="204" t="str">
        <f>IF(A8="","",IF(itens_Remanesc!I8="","",itens_Remanesc!I8))</f>
        <v/>
      </c>
      <c r="S8" s="210" t="str">
        <f t="shared" si="7"/>
        <v/>
      </c>
      <c r="T8" s="202" t="str">
        <f>IF(A8="","",ROUND(SUMIFS(aditivos!$L$2:$L$200,aditivos!$A$2:$A$200,A8,aditivos!$C$2:$C$200,"C4"),2))</f>
        <v/>
      </c>
      <c r="U8" s="198" t="str">
        <f t="shared" si="8"/>
        <v/>
      </c>
      <c r="V8" s="198" t="str">
        <f>IF(A8="","",IF(itens_Remanesc!K8="","",itens_Remanesc!K8))</f>
        <v/>
      </c>
      <c r="W8" s="198" t="str">
        <f t="shared" si="9"/>
        <v/>
      </c>
      <c r="X8" s="181" t="str">
        <f t="shared" si="10"/>
        <v/>
      </c>
    </row>
    <row r="9" spans="1:24" x14ac:dyDescent="0.35">
      <c r="A9" s="181" t="str">
        <f>IF(itens_Remanesc!A9="","",itens_Remanesc!A9)</f>
        <v/>
      </c>
      <c r="B9" s="181" t="str">
        <f>IF(A9="","",itens_Remanesc!C9)</f>
        <v/>
      </c>
      <c r="C9" s="200" t="str">
        <f>IF(A9="","",itens_Remanesc!B9)</f>
        <v/>
      </c>
      <c r="D9" s="202" t="str">
        <f>IF(A9="","",ROUND(SUMIFS(aditivos!$L$2:$L$200,aditivos!$A$2:$A$200,A9,aditivos!$C$2:$C$200,"C0"),2))</f>
        <v/>
      </c>
      <c r="E9" s="198" t="str">
        <f t="shared" si="0"/>
        <v/>
      </c>
      <c r="F9" s="198" t="str">
        <f>IF(A9="","",IF(itens_Remanesc!B9="","",itens_Remanesc!B9))</f>
        <v/>
      </c>
      <c r="G9" s="206" t="str">
        <f t="shared" si="1"/>
        <v/>
      </c>
      <c r="H9" s="208" t="str">
        <f>IF(A9="","",ROUND(SUMIFS(aditivos!$L$2:$L$200,aditivos!$A$2:$A$200,A9,aditivos!$C$2:$C$200,"C1"),2))</f>
        <v/>
      </c>
      <c r="I9" s="204" t="str">
        <f t="shared" si="2"/>
        <v/>
      </c>
      <c r="J9" s="204" t="str">
        <f>IF(A9="","",IF(itens_Remanesc!E9="","",itens_Remanesc!E9))</f>
        <v/>
      </c>
      <c r="K9" s="210" t="str">
        <f t="shared" si="3"/>
        <v/>
      </c>
      <c r="L9" s="202" t="str">
        <f>IF(A9="","",ROUND(SUMIFS(aditivos!$L$2:$L$200,aditivos!$A$2:$A$200,A9,aditivos!$C$2:$C$200,"C2"),2))</f>
        <v/>
      </c>
      <c r="M9" s="198" t="str">
        <f t="shared" si="4"/>
        <v/>
      </c>
      <c r="N9" s="198" t="str">
        <f>IF(A9="","",IF(itens_Remanesc!G9="","",itens_Remanesc!G9))</f>
        <v/>
      </c>
      <c r="O9" s="206" t="str">
        <f t="shared" si="5"/>
        <v/>
      </c>
      <c r="P9" s="208" t="str">
        <f>IF(A9="","",ROUND(SUMIFS(aditivos!$L$2:$L$200,aditivos!$A$2:$A$200,A9,aditivos!$C$2:$C$200,"C3"),2))</f>
        <v/>
      </c>
      <c r="Q9" s="204" t="str">
        <f t="shared" si="6"/>
        <v/>
      </c>
      <c r="R9" s="204" t="str">
        <f>IF(A9="","",IF(itens_Remanesc!I9="","",itens_Remanesc!I9))</f>
        <v/>
      </c>
      <c r="S9" s="210" t="str">
        <f t="shared" si="7"/>
        <v/>
      </c>
      <c r="T9" s="202" t="str">
        <f>IF(A9="","",ROUND(SUMIFS(aditivos!$L$2:$L$200,aditivos!$A$2:$A$200,A9,aditivos!$C$2:$C$200,"C4"),2))</f>
        <v/>
      </c>
      <c r="U9" s="198" t="str">
        <f t="shared" si="8"/>
        <v/>
      </c>
      <c r="V9" s="198" t="str">
        <f>IF(A9="","",IF(itens_Remanesc!K9="","",itens_Remanesc!K9))</f>
        <v/>
      </c>
      <c r="W9" s="198" t="str">
        <f t="shared" si="9"/>
        <v/>
      </c>
      <c r="X9" s="181" t="str">
        <f t="shared" si="10"/>
        <v/>
      </c>
    </row>
    <row r="10" spans="1:24" x14ac:dyDescent="0.35">
      <c r="A10" s="181" t="str">
        <f>IF(itens_Remanesc!A10="","",itens_Remanesc!A10)</f>
        <v/>
      </c>
      <c r="B10" s="181" t="str">
        <f>IF(A10="","",itens_Remanesc!C10)</f>
        <v/>
      </c>
      <c r="C10" s="200" t="str">
        <f>IF(A10="","",itens_Remanesc!B10)</f>
        <v/>
      </c>
      <c r="D10" s="202" t="str">
        <f>IF(A10="","",ROUND(SUMIFS(aditivos!$L$2:$L$200,aditivos!$A$2:$A$200,A10,aditivos!$C$2:$C$200,"C0"),2))</f>
        <v/>
      </c>
      <c r="E10" s="198" t="str">
        <f t="shared" si="0"/>
        <v/>
      </c>
      <c r="F10" s="198" t="str">
        <f>IF(A10="","",IF(itens_Remanesc!B10="","",itens_Remanesc!B10))</f>
        <v/>
      </c>
      <c r="G10" s="206" t="str">
        <f t="shared" si="1"/>
        <v/>
      </c>
      <c r="H10" s="208" t="str">
        <f>IF(A10="","",ROUND(SUMIFS(aditivos!$L$2:$L$200,aditivos!$A$2:$A$200,A10,aditivos!$C$2:$C$200,"C1"),2))</f>
        <v/>
      </c>
      <c r="I10" s="204" t="str">
        <f t="shared" si="2"/>
        <v/>
      </c>
      <c r="J10" s="204" t="str">
        <f>IF(A10="","",IF(itens_Remanesc!E10="","",itens_Remanesc!E10))</f>
        <v/>
      </c>
      <c r="K10" s="210" t="str">
        <f t="shared" si="3"/>
        <v/>
      </c>
      <c r="L10" s="202" t="str">
        <f>IF(A10="","",ROUND(SUMIFS(aditivos!$L$2:$L$200,aditivos!$A$2:$A$200,A10,aditivos!$C$2:$C$200,"C2"),2))</f>
        <v/>
      </c>
      <c r="M10" s="198" t="str">
        <f t="shared" si="4"/>
        <v/>
      </c>
      <c r="N10" s="198" t="str">
        <f>IF(A10="","",IF(itens_Remanesc!G10="","",itens_Remanesc!G10))</f>
        <v/>
      </c>
      <c r="O10" s="206" t="str">
        <f t="shared" si="5"/>
        <v/>
      </c>
      <c r="P10" s="208" t="str">
        <f>IF(A10="","",ROUND(SUMIFS(aditivos!$L$2:$L$200,aditivos!$A$2:$A$200,A10,aditivos!$C$2:$C$200,"C3"),2))</f>
        <v/>
      </c>
      <c r="Q10" s="204" t="str">
        <f t="shared" si="6"/>
        <v/>
      </c>
      <c r="R10" s="204" t="str">
        <f>IF(A10="","",IF(itens_Remanesc!I10="","",itens_Remanesc!I10))</f>
        <v/>
      </c>
      <c r="S10" s="210" t="str">
        <f t="shared" si="7"/>
        <v/>
      </c>
      <c r="T10" s="202" t="str">
        <f>IF(A10="","",ROUND(SUMIFS(aditivos!$L$2:$L$200,aditivos!$A$2:$A$200,A10,aditivos!$C$2:$C$200,"C4"),2))</f>
        <v/>
      </c>
      <c r="U10" s="198" t="str">
        <f t="shared" si="8"/>
        <v/>
      </c>
      <c r="V10" s="198" t="str">
        <f>IF(A10="","",IF(itens_Remanesc!K10="","",itens_Remanesc!K10))</f>
        <v/>
      </c>
      <c r="W10" s="198" t="str">
        <f t="shared" si="9"/>
        <v/>
      </c>
      <c r="X10" s="181" t="str">
        <f t="shared" si="10"/>
        <v/>
      </c>
    </row>
    <row r="11" spans="1:24" x14ac:dyDescent="0.35">
      <c r="A11" s="181" t="str">
        <f>IF(itens_Remanesc!A11="","",itens_Remanesc!A11)</f>
        <v/>
      </c>
      <c r="B11" s="181" t="str">
        <f>IF(A11="","",itens_Remanesc!C11)</f>
        <v/>
      </c>
      <c r="C11" s="200" t="str">
        <f>IF(A11="","",itens_Remanesc!B11)</f>
        <v/>
      </c>
      <c r="D11" s="202" t="str">
        <f>IF(A11="","",ROUND(SUMIFS(aditivos!$L$2:$L$200,aditivos!$A$2:$A$200,A11,aditivos!$C$2:$C$200,"C0"),2))</f>
        <v/>
      </c>
      <c r="E11" s="198" t="str">
        <f t="shared" si="0"/>
        <v/>
      </c>
      <c r="F11" s="198" t="str">
        <f>IF(A11="","",IF(itens_Remanesc!B11="","",itens_Remanesc!B11))</f>
        <v/>
      </c>
      <c r="G11" s="206" t="str">
        <f t="shared" si="1"/>
        <v/>
      </c>
      <c r="H11" s="208" t="str">
        <f>IF(A11="","",ROUND(SUMIFS(aditivos!$L$2:$L$200,aditivos!$A$2:$A$200,A11,aditivos!$C$2:$C$200,"C1"),2))</f>
        <v/>
      </c>
      <c r="I11" s="204" t="str">
        <f t="shared" si="2"/>
        <v/>
      </c>
      <c r="J11" s="204" t="str">
        <f>IF(A11="","",IF(itens_Remanesc!E11="","",itens_Remanesc!E11))</f>
        <v/>
      </c>
      <c r="K11" s="210" t="str">
        <f t="shared" si="3"/>
        <v/>
      </c>
      <c r="L11" s="202" t="str">
        <f>IF(A11="","",ROUND(SUMIFS(aditivos!$L$2:$L$200,aditivos!$A$2:$A$200,A11,aditivos!$C$2:$C$200,"C2"),2))</f>
        <v/>
      </c>
      <c r="M11" s="198" t="str">
        <f t="shared" si="4"/>
        <v/>
      </c>
      <c r="N11" s="198" t="str">
        <f>IF(A11="","",IF(itens_Remanesc!G11="","",itens_Remanesc!G11))</f>
        <v/>
      </c>
      <c r="O11" s="206" t="str">
        <f t="shared" si="5"/>
        <v/>
      </c>
      <c r="P11" s="208" t="str">
        <f>IF(A11="","",ROUND(SUMIFS(aditivos!$L$2:$L$200,aditivos!$A$2:$A$200,A11,aditivos!$C$2:$C$200,"C3"),2))</f>
        <v/>
      </c>
      <c r="Q11" s="204" t="str">
        <f t="shared" si="6"/>
        <v/>
      </c>
      <c r="R11" s="204" t="str">
        <f>IF(A11="","",IF(itens_Remanesc!I11="","",itens_Remanesc!I11))</f>
        <v/>
      </c>
      <c r="S11" s="210" t="str">
        <f t="shared" si="7"/>
        <v/>
      </c>
      <c r="T11" s="202" t="str">
        <f>IF(A11="","",ROUND(SUMIFS(aditivos!$L$2:$L$200,aditivos!$A$2:$A$200,A11,aditivos!$C$2:$C$200,"C4"),2))</f>
        <v/>
      </c>
      <c r="U11" s="198" t="str">
        <f t="shared" si="8"/>
        <v/>
      </c>
      <c r="V11" s="198" t="str">
        <f>IF(A11="","",IF(itens_Remanesc!K11="","",itens_Remanesc!K11))</f>
        <v/>
      </c>
      <c r="W11" s="198" t="str">
        <f t="shared" si="9"/>
        <v/>
      </c>
      <c r="X11" s="181" t="str">
        <f t="shared" si="10"/>
        <v/>
      </c>
    </row>
    <row r="12" spans="1:24" x14ac:dyDescent="0.35">
      <c r="A12" s="181" t="str">
        <f>IF(itens_Remanesc!A12="","",itens_Remanesc!A12)</f>
        <v/>
      </c>
      <c r="B12" s="181" t="str">
        <f>IF(A12="","",itens_Remanesc!C12)</f>
        <v/>
      </c>
      <c r="C12" s="200" t="str">
        <f>IF(A12="","",itens_Remanesc!B12)</f>
        <v/>
      </c>
      <c r="D12" s="202" t="str">
        <f>IF(A12="","",ROUND(SUMIFS(aditivos!$L$2:$L$200,aditivos!$A$2:$A$200,A12,aditivos!$C$2:$C$200,"C0"),2))</f>
        <v/>
      </c>
      <c r="E12" s="198" t="str">
        <f t="shared" si="0"/>
        <v/>
      </c>
      <c r="F12" s="198" t="str">
        <f>IF(A12="","",IF(itens_Remanesc!B12="","",itens_Remanesc!B12))</f>
        <v/>
      </c>
      <c r="G12" s="206" t="str">
        <f t="shared" si="1"/>
        <v/>
      </c>
      <c r="H12" s="208" t="str">
        <f>IF(A12="","",ROUND(SUMIFS(aditivos!$L$2:$L$200,aditivos!$A$2:$A$200,A12,aditivos!$C$2:$C$200,"C1"),2))</f>
        <v/>
      </c>
      <c r="I12" s="204" t="str">
        <f t="shared" si="2"/>
        <v/>
      </c>
      <c r="J12" s="204" t="str">
        <f>IF(A12="","",IF(itens_Remanesc!E12="","",itens_Remanesc!E12))</f>
        <v/>
      </c>
      <c r="K12" s="210" t="str">
        <f t="shared" si="3"/>
        <v/>
      </c>
      <c r="L12" s="202" t="str">
        <f>IF(A12="","",ROUND(SUMIFS(aditivos!$L$2:$L$200,aditivos!$A$2:$A$200,A12,aditivos!$C$2:$C$200,"C2"),2))</f>
        <v/>
      </c>
      <c r="M12" s="198" t="str">
        <f t="shared" si="4"/>
        <v/>
      </c>
      <c r="N12" s="198" t="str">
        <f>IF(A12="","",IF(itens_Remanesc!G12="","",itens_Remanesc!G12))</f>
        <v/>
      </c>
      <c r="O12" s="206" t="str">
        <f t="shared" si="5"/>
        <v/>
      </c>
      <c r="P12" s="208" t="str">
        <f>IF(A12="","",ROUND(SUMIFS(aditivos!$L$2:$L$200,aditivos!$A$2:$A$200,A12,aditivos!$C$2:$C$200,"C3"),2))</f>
        <v/>
      </c>
      <c r="Q12" s="204" t="str">
        <f t="shared" si="6"/>
        <v/>
      </c>
      <c r="R12" s="204" t="str">
        <f>IF(A12="","",IF(itens_Remanesc!I12="","",itens_Remanesc!I12))</f>
        <v/>
      </c>
      <c r="S12" s="210" t="str">
        <f t="shared" si="7"/>
        <v/>
      </c>
      <c r="T12" s="202" t="str">
        <f>IF(A12="","",ROUND(SUMIFS(aditivos!$L$2:$L$200,aditivos!$A$2:$A$200,A12,aditivos!$C$2:$C$200,"C4"),2))</f>
        <v/>
      </c>
      <c r="U12" s="198" t="str">
        <f t="shared" si="8"/>
        <v/>
      </c>
      <c r="V12" s="198" t="str">
        <f>IF(A12="","",IF(itens_Remanesc!K12="","",itens_Remanesc!K12))</f>
        <v/>
      </c>
      <c r="W12" s="198" t="str">
        <f t="shared" si="9"/>
        <v/>
      </c>
      <c r="X12" s="181" t="str">
        <f t="shared" si="10"/>
        <v/>
      </c>
    </row>
    <row r="13" spans="1:24" x14ac:dyDescent="0.35">
      <c r="A13" s="181" t="str">
        <f>IF(itens_Remanesc!A13="","",itens_Remanesc!A13)</f>
        <v/>
      </c>
      <c r="B13" s="181" t="str">
        <f>IF(A13="","",itens_Remanesc!C13)</f>
        <v/>
      </c>
      <c r="C13" s="200" t="str">
        <f>IF(A13="","",itens_Remanesc!B13)</f>
        <v/>
      </c>
      <c r="D13" s="202" t="str">
        <f>IF(A13="","",ROUND(SUMIFS(aditivos!$L$2:$L$200,aditivos!$A$2:$A$200,A13,aditivos!$C$2:$C$200,"C0"),2))</f>
        <v/>
      </c>
      <c r="E13" s="198" t="str">
        <f t="shared" si="0"/>
        <v/>
      </c>
      <c r="F13" s="198" t="str">
        <f>IF(A13="","",IF(itens_Remanesc!B13="","",itens_Remanesc!B13))</f>
        <v/>
      </c>
      <c r="G13" s="206" t="str">
        <f t="shared" si="1"/>
        <v/>
      </c>
      <c r="H13" s="208" t="str">
        <f>IF(A13="","",ROUND(SUMIFS(aditivos!$L$2:$L$200,aditivos!$A$2:$A$200,A13,aditivos!$C$2:$C$200,"C1"),2))</f>
        <v/>
      </c>
      <c r="I13" s="204" t="str">
        <f t="shared" si="2"/>
        <v/>
      </c>
      <c r="J13" s="204" t="str">
        <f>IF(A13="","",IF(itens_Remanesc!E13="","",itens_Remanesc!E13))</f>
        <v/>
      </c>
      <c r="K13" s="210" t="str">
        <f t="shared" si="3"/>
        <v/>
      </c>
      <c r="L13" s="202" t="str">
        <f>IF(A13="","",ROUND(SUMIFS(aditivos!$L$2:$L$200,aditivos!$A$2:$A$200,A13,aditivos!$C$2:$C$200,"C2"),2))</f>
        <v/>
      </c>
      <c r="M13" s="198" t="str">
        <f t="shared" si="4"/>
        <v/>
      </c>
      <c r="N13" s="198" t="str">
        <f>IF(A13="","",IF(itens_Remanesc!G13="","",itens_Remanesc!G13))</f>
        <v/>
      </c>
      <c r="O13" s="206" t="str">
        <f t="shared" si="5"/>
        <v/>
      </c>
      <c r="P13" s="208" t="str">
        <f>IF(A13="","",ROUND(SUMIFS(aditivos!$L$2:$L$200,aditivos!$A$2:$A$200,A13,aditivos!$C$2:$C$200,"C3"),2))</f>
        <v/>
      </c>
      <c r="Q13" s="204" t="str">
        <f t="shared" si="6"/>
        <v/>
      </c>
      <c r="R13" s="204" t="str">
        <f>IF(A13="","",IF(itens_Remanesc!I13="","",itens_Remanesc!I13))</f>
        <v/>
      </c>
      <c r="S13" s="210" t="str">
        <f t="shared" si="7"/>
        <v/>
      </c>
      <c r="T13" s="202" t="str">
        <f>IF(A13="","",ROUND(SUMIFS(aditivos!$L$2:$L$200,aditivos!$A$2:$A$200,A13,aditivos!$C$2:$C$200,"C4"),2))</f>
        <v/>
      </c>
      <c r="U13" s="198" t="str">
        <f t="shared" si="8"/>
        <v/>
      </c>
      <c r="V13" s="198" t="str">
        <f>IF(A13="","",IF(itens_Remanesc!K13="","",itens_Remanesc!K13))</f>
        <v/>
      </c>
      <c r="W13" s="198" t="str">
        <f t="shared" si="9"/>
        <v/>
      </c>
      <c r="X13" s="181" t="str">
        <f t="shared" si="10"/>
        <v/>
      </c>
    </row>
    <row r="14" spans="1:24" x14ac:dyDescent="0.35">
      <c r="A14" s="181" t="str">
        <f>IF(itens_Remanesc!A14="","",itens_Remanesc!A14)</f>
        <v/>
      </c>
      <c r="B14" s="181" t="str">
        <f>IF(A14="","",itens_Remanesc!C14)</f>
        <v/>
      </c>
      <c r="C14" s="200" t="str">
        <f>IF(A14="","",itens_Remanesc!B14)</f>
        <v/>
      </c>
      <c r="D14" s="202" t="str">
        <f>IF(A14="","",ROUND(SUMIFS(aditivos!$L$2:$L$200,aditivos!$A$2:$A$200,A14,aditivos!$C$2:$C$200,"C0"),2))</f>
        <v/>
      </c>
      <c r="E14" s="198" t="str">
        <f t="shared" si="0"/>
        <v/>
      </c>
      <c r="F14" s="198" t="str">
        <f>IF(A14="","",IF(itens_Remanesc!B14="","",itens_Remanesc!B14))</f>
        <v/>
      </c>
      <c r="G14" s="206" t="str">
        <f t="shared" si="1"/>
        <v/>
      </c>
      <c r="H14" s="208" t="str">
        <f>IF(A14="","",ROUND(SUMIFS(aditivos!$L$2:$L$200,aditivos!$A$2:$A$200,A14,aditivos!$C$2:$C$200,"C1"),2))</f>
        <v/>
      </c>
      <c r="I14" s="204" t="str">
        <f t="shared" si="2"/>
        <v/>
      </c>
      <c r="J14" s="204" t="str">
        <f>IF(A14="","",IF(itens_Remanesc!E14="","",itens_Remanesc!E14))</f>
        <v/>
      </c>
      <c r="K14" s="210" t="str">
        <f t="shared" si="3"/>
        <v/>
      </c>
      <c r="L14" s="202" t="str">
        <f>IF(A14="","",ROUND(SUMIFS(aditivos!$L$2:$L$200,aditivos!$A$2:$A$200,A14,aditivos!$C$2:$C$200,"C2"),2))</f>
        <v/>
      </c>
      <c r="M14" s="198" t="str">
        <f t="shared" si="4"/>
        <v/>
      </c>
      <c r="N14" s="198" t="str">
        <f>IF(A14="","",IF(itens_Remanesc!G14="","",itens_Remanesc!G14))</f>
        <v/>
      </c>
      <c r="O14" s="206" t="str">
        <f t="shared" si="5"/>
        <v/>
      </c>
      <c r="P14" s="208" t="str">
        <f>IF(A14="","",ROUND(SUMIFS(aditivos!$L$2:$L$200,aditivos!$A$2:$A$200,A14,aditivos!$C$2:$C$200,"C3"),2))</f>
        <v/>
      </c>
      <c r="Q14" s="204" t="str">
        <f t="shared" si="6"/>
        <v/>
      </c>
      <c r="R14" s="204" t="str">
        <f>IF(A14="","",IF(itens_Remanesc!I14="","",itens_Remanesc!I14))</f>
        <v/>
      </c>
      <c r="S14" s="210" t="str">
        <f t="shared" si="7"/>
        <v/>
      </c>
      <c r="T14" s="202" t="str">
        <f>IF(A14="","",ROUND(SUMIFS(aditivos!$L$2:$L$200,aditivos!$A$2:$A$200,A14,aditivos!$C$2:$C$200,"C4"),2))</f>
        <v/>
      </c>
      <c r="U14" s="198" t="str">
        <f t="shared" si="8"/>
        <v/>
      </c>
      <c r="V14" s="198" t="str">
        <f>IF(A14="","",IF(itens_Remanesc!K14="","",itens_Remanesc!K14))</f>
        <v/>
      </c>
      <c r="W14" s="198" t="str">
        <f t="shared" si="9"/>
        <v/>
      </c>
      <c r="X14" s="181" t="str">
        <f t="shared" si="10"/>
        <v/>
      </c>
    </row>
    <row r="15" spans="1:24" x14ac:dyDescent="0.35">
      <c r="A15" s="181" t="str">
        <f>IF(itens_Remanesc!A15="","",itens_Remanesc!A15)</f>
        <v/>
      </c>
      <c r="B15" s="181" t="str">
        <f>IF(A15="","",itens_Remanesc!C15)</f>
        <v/>
      </c>
      <c r="C15" s="200" t="str">
        <f>IF(A15="","",itens_Remanesc!B15)</f>
        <v/>
      </c>
      <c r="D15" s="202" t="str">
        <f>IF(A15="","",ROUND(SUMIFS(aditivos!$L$2:$L$200,aditivos!$A$2:$A$200,A15,aditivos!$C$2:$C$200,"C0"),2))</f>
        <v/>
      </c>
      <c r="E15" s="198" t="str">
        <f t="shared" si="0"/>
        <v/>
      </c>
      <c r="F15" s="198" t="str">
        <f>IF(A15="","",IF(itens_Remanesc!B15="","",itens_Remanesc!B15))</f>
        <v/>
      </c>
      <c r="G15" s="206" t="str">
        <f t="shared" si="1"/>
        <v/>
      </c>
      <c r="H15" s="208" t="str">
        <f>IF(A15="","",ROUND(SUMIFS(aditivos!$L$2:$L$200,aditivos!$A$2:$A$200,A15,aditivos!$C$2:$C$200,"C1"),2))</f>
        <v/>
      </c>
      <c r="I15" s="204" t="str">
        <f t="shared" si="2"/>
        <v/>
      </c>
      <c r="J15" s="204" t="str">
        <f>IF(A15="","",IF(itens_Remanesc!E15="","",itens_Remanesc!E15))</f>
        <v/>
      </c>
      <c r="K15" s="210" t="str">
        <f t="shared" si="3"/>
        <v/>
      </c>
      <c r="L15" s="202" t="str">
        <f>IF(A15="","",ROUND(SUMIFS(aditivos!$L$2:$L$200,aditivos!$A$2:$A$200,A15,aditivos!$C$2:$C$200,"C2"),2))</f>
        <v/>
      </c>
      <c r="M15" s="198" t="str">
        <f t="shared" si="4"/>
        <v/>
      </c>
      <c r="N15" s="198" t="str">
        <f>IF(A15="","",IF(itens_Remanesc!G15="","",itens_Remanesc!G15))</f>
        <v/>
      </c>
      <c r="O15" s="206" t="str">
        <f t="shared" si="5"/>
        <v/>
      </c>
      <c r="P15" s="208" t="str">
        <f>IF(A15="","",ROUND(SUMIFS(aditivos!$L$2:$L$200,aditivos!$A$2:$A$200,A15,aditivos!$C$2:$C$200,"C3"),2))</f>
        <v/>
      </c>
      <c r="Q15" s="204" t="str">
        <f t="shared" si="6"/>
        <v/>
      </c>
      <c r="R15" s="204" t="str">
        <f>IF(A15="","",IF(itens_Remanesc!I15="","",itens_Remanesc!I15))</f>
        <v/>
      </c>
      <c r="S15" s="210" t="str">
        <f t="shared" si="7"/>
        <v/>
      </c>
      <c r="T15" s="202" t="str">
        <f>IF(A15="","",ROUND(SUMIFS(aditivos!$L$2:$L$200,aditivos!$A$2:$A$200,A15,aditivos!$C$2:$C$200,"C4"),2))</f>
        <v/>
      </c>
      <c r="U15" s="198" t="str">
        <f t="shared" si="8"/>
        <v/>
      </c>
      <c r="V15" s="198" t="str">
        <f>IF(A15="","",IF(itens_Remanesc!K15="","",itens_Remanesc!K15))</f>
        <v/>
      </c>
      <c r="W15" s="198" t="str">
        <f t="shared" si="9"/>
        <v/>
      </c>
      <c r="X15" s="181" t="str">
        <f t="shared" si="10"/>
        <v/>
      </c>
    </row>
    <row r="16" spans="1:24" x14ac:dyDescent="0.35">
      <c r="A16" s="181" t="str">
        <f>IF(itens_Remanesc!A16="","",itens_Remanesc!A16)</f>
        <v/>
      </c>
      <c r="B16" s="181" t="str">
        <f>IF(A16="","",itens_Remanesc!C16)</f>
        <v/>
      </c>
      <c r="C16" s="200" t="str">
        <f>IF(A16="","",itens_Remanesc!B16)</f>
        <v/>
      </c>
      <c r="D16" s="202" t="str">
        <f>IF(A16="","",ROUND(SUMIFS(aditivos!$L$2:$L$200,aditivos!$A$2:$A$200,A16,aditivos!$C$2:$C$200,"C0"),2))</f>
        <v/>
      </c>
      <c r="E16" s="198" t="str">
        <f t="shared" si="0"/>
        <v/>
      </c>
      <c r="F16" s="198" t="str">
        <f>IF(A16="","",IF(itens_Remanesc!B16="","",itens_Remanesc!B16))</f>
        <v/>
      </c>
      <c r="G16" s="206" t="str">
        <f t="shared" si="1"/>
        <v/>
      </c>
      <c r="H16" s="208" t="str">
        <f>IF(A16="","",ROUND(SUMIFS(aditivos!$L$2:$L$200,aditivos!$A$2:$A$200,A16,aditivos!$C$2:$C$200,"C1"),2))</f>
        <v/>
      </c>
      <c r="I16" s="204" t="str">
        <f t="shared" si="2"/>
        <v/>
      </c>
      <c r="J16" s="204" t="str">
        <f>IF(A16="","",IF(itens_Remanesc!E16="","",itens_Remanesc!E16))</f>
        <v/>
      </c>
      <c r="K16" s="210" t="str">
        <f t="shared" si="3"/>
        <v/>
      </c>
      <c r="L16" s="202" t="str">
        <f>IF(A16="","",ROUND(SUMIFS(aditivos!$L$2:$L$200,aditivos!$A$2:$A$200,A16,aditivos!$C$2:$C$200,"C2"),2))</f>
        <v/>
      </c>
      <c r="M16" s="198" t="str">
        <f t="shared" si="4"/>
        <v/>
      </c>
      <c r="N16" s="198" t="str">
        <f>IF(A16="","",IF(itens_Remanesc!G16="","",itens_Remanesc!G16))</f>
        <v/>
      </c>
      <c r="O16" s="206" t="str">
        <f t="shared" si="5"/>
        <v/>
      </c>
      <c r="P16" s="208" t="str">
        <f>IF(A16="","",ROUND(SUMIFS(aditivos!$L$2:$L$200,aditivos!$A$2:$A$200,A16,aditivos!$C$2:$C$200,"C3"),2))</f>
        <v/>
      </c>
      <c r="Q16" s="204" t="str">
        <f t="shared" si="6"/>
        <v/>
      </c>
      <c r="R16" s="204" t="str">
        <f>IF(A16="","",IF(itens_Remanesc!I16="","",itens_Remanesc!I16))</f>
        <v/>
      </c>
      <c r="S16" s="210" t="str">
        <f t="shared" si="7"/>
        <v/>
      </c>
      <c r="T16" s="202" t="str">
        <f>IF(A16="","",ROUND(SUMIFS(aditivos!$L$2:$L$200,aditivos!$A$2:$A$200,A16,aditivos!$C$2:$C$200,"C4"),2))</f>
        <v/>
      </c>
      <c r="U16" s="198" t="str">
        <f t="shared" si="8"/>
        <v/>
      </c>
      <c r="V16" s="198" t="str">
        <f>IF(A16="","",IF(itens_Remanesc!K16="","",itens_Remanesc!K16))</f>
        <v/>
      </c>
      <c r="W16" s="198" t="str">
        <f t="shared" si="9"/>
        <v/>
      </c>
      <c r="X16" s="181" t="str">
        <f t="shared" si="10"/>
        <v/>
      </c>
    </row>
    <row r="17" spans="1:24" x14ac:dyDescent="0.35">
      <c r="A17" s="181" t="str">
        <f>IF(itens_Remanesc!A17="","",itens_Remanesc!A17)</f>
        <v/>
      </c>
      <c r="B17" s="181" t="str">
        <f>IF(A17="","",itens_Remanesc!C17)</f>
        <v/>
      </c>
      <c r="C17" s="200" t="str">
        <f>IF(A17="","",itens_Remanesc!B17)</f>
        <v/>
      </c>
      <c r="D17" s="202" t="str">
        <f>IF(A17="","",ROUND(SUMIFS(aditivos!$L$2:$L$200,aditivos!$A$2:$A$200,A17,aditivos!$C$2:$C$200,"C0"),2))</f>
        <v/>
      </c>
      <c r="E17" s="198" t="str">
        <f t="shared" si="0"/>
        <v/>
      </c>
      <c r="F17" s="198" t="str">
        <f>IF(A17="","",IF(itens_Remanesc!B17="","",itens_Remanesc!B17))</f>
        <v/>
      </c>
      <c r="G17" s="206" t="str">
        <f t="shared" si="1"/>
        <v/>
      </c>
      <c r="H17" s="208" t="str">
        <f>IF(A17="","",ROUND(SUMIFS(aditivos!$L$2:$L$200,aditivos!$A$2:$A$200,A17,aditivos!$C$2:$C$200,"C1"),2))</f>
        <v/>
      </c>
      <c r="I17" s="204" t="str">
        <f t="shared" si="2"/>
        <v/>
      </c>
      <c r="J17" s="204" t="str">
        <f>IF(A17="","",IF(itens_Remanesc!E17="","",itens_Remanesc!E17))</f>
        <v/>
      </c>
      <c r="K17" s="210" t="str">
        <f t="shared" si="3"/>
        <v/>
      </c>
      <c r="L17" s="202" t="str">
        <f>IF(A17="","",ROUND(SUMIFS(aditivos!$L$2:$L$200,aditivos!$A$2:$A$200,A17,aditivos!$C$2:$C$200,"C2"),2))</f>
        <v/>
      </c>
      <c r="M17" s="198" t="str">
        <f t="shared" si="4"/>
        <v/>
      </c>
      <c r="N17" s="198" t="str">
        <f>IF(A17="","",IF(itens_Remanesc!G17="","",itens_Remanesc!G17))</f>
        <v/>
      </c>
      <c r="O17" s="206" t="str">
        <f t="shared" si="5"/>
        <v/>
      </c>
      <c r="P17" s="208" t="str">
        <f>IF(A17="","",ROUND(SUMIFS(aditivos!$L$2:$L$200,aditivos!$A$2:$A$200,A17,aditivos!$C$2:$C$200,"C3"),2))</f>
        <v/>
      </c>
      <c r="Q17" s="204" t="str">
        <f t="shared" si="6"/>
        <v/>
      </c>
      <c r="R17" s="204" t="str">
        <f>IF(A17="","",IF(itens_Remanesc!I17="","",itens_Remanesc!I17))</f>
        <v/>
      </c>
      <c r="S17" s="210" t="str">
        <f t="shared" si="7"/>
        <v/>
      </c>
      <c r="T17" s="202" t="str">
        <f>IF(A17="","",ROUND(SUMIFS(aditivos!$L$2:$L$200,aditivos!$A$2:$A$200,A17,aditivos!$C$2:$C$200,"C4"),2))</f>
        <v/>
      </c>
      <c r="U17" s="198" t="str">
        <f t="shared" si="8"/>
        <v/>
      </c>
      <c r="V17" s="198" t="str">
        <f>IF(A17="","",IF(itens_Remanesc!K17="","",itens_Remanesc!K17))</f>
        <v/>
      </c>
      <c r="W17" s="198" t="str">
        <f t="shared" si="9"/>
        <v/>
      </c>
      <c r="X17" s="181" t="str">
        <f t="shared" si="10"/>
        <v/>
      </c>
    </row>
    <row r="18" spans="1:24" x14ac:dyDescent="0.35">
      <c r="A18" s="181" t="str">
        <f>IF(itens_Remanesc!A18="","",itens_Remanesc!A18)</f>
        <v/>
      </c>
      <c r="B18" s="181" t="str">
        <f>IF(A18="","",itens_Remanesc!C18)</f>
        <v/>
      </c>
      <c r="C18" s="200" t="str">
        <f>IF(A18="","",itens_Remanesc!B18)</f>
        <v/>
      </c>
      <c r="D18" s="202" t="str">
        <f>IF(A18="","",ROUND(SUMIFS(aditivos!$L$2:$L$200,aditivos!$A$2:$A$200,A18,aditivos!$C$2:$C$200,"C0"),2))</f>
        <v/>
      </c>
      <c r="E18" s="198" t="str">
        <f t="shared" si="0"/>
        <v/>
      </c>
      <c r="F18" s="198" t="str">
        <f>IF(A18="","",IF(itens_Remanesc!B18="","",itens_Remanesc!B18))</f>
        <v/>
      </c>
      <c r="G18" s="206" t="str">
        <f t="shared" si="1"/>
        <v/>
      </c>
      <c r="H18" s="208" t="str">
        <f>IF(A18="","",ROUND(SUMIFS(aditivos!$L$2:$L$200,aditivos!$A$2:$A$200,A18,aditivos!$C$2:$C$200,"C1"),2))</f>
        <v/>
      </c>
      <c r="I18" s="204" t="str">
        <f t="shared" si="2"/>
        <v/>
      </c>
      <c r="J18" s="204" t="str">
        <f>IF(A18="","",IF(itens_Remanesc!E18="","",itens_Remanesc!E18))</f>
        <v/>
      </c>
      <c r="K18" s="210" t="str">
        <f t="shared" si="3"/>
        <v/>
      </c>
      <c r="L18" s="202" t="str">
        <f>IF(A18="","",ROUND(SUMIFS(aditivos!$L$2:$L$200,aditivos!$A$2:$A$200,A18,aditivos!$C$2:$C$200,"C2"),2))</f>
        <v/>
      </c>
      <c r="M18" s="198" t="str">
        <f t="shared" si="4"/>
        <v/>
      </c>
      <c r="N18" s="198" t="str">
        <f>IF(A18="","",IF(itens_Remanesc!G18="","",itens_Remanesc!G18))</f>
        <v/>
      </c>
      <c r="O18" s="206" t="str">
        <f t="shared" si="5"/>
        <v/>
      </c>
      <c r="P18" s="208" t="str">
        <f>IF(A18="","",ROUND(SUMIFS(aditivos!$L$2:$L$200,aditivos!$A$2:$A$200,A18,aditivos!$C$2:$C$200,"C3"),2))</f>
        <v/>
      </c>
      <c r="Q18" s="204" t="str">
        <f t="shared" si="6"/>
        <v/>
      </c>
      <c r="R18" s="204" t="str">
        <f>IF(A18="","",IF(itens_Remanesc!I18="","",itens_Remanesc!I18))</f>
        <v/>
      </c>
      <c r="S18" s="210" t="str">
        <f t="shared" si="7"/>
        <v/>
      </c>
      <c r="T18" s="202" t="str">
        <f>IF(A18="","",ROUND(SUMIFS(aditivos!$L$2:$L$200,aditivos!$A$2:$A$200,A18,aditivos!$C$2:$C$200,"C4"),2))</f>
        <v/>
      </c>
      <c r="U18" s="198" t="str">
        <f t="shared" si="8"/>
        <v/>
      </c>
      <c r="V18" s="198" t="str">
        <f>IF(A18="","",IF(itens_Remanesc!K18="","",itens_Remanesc!K18))</f>
        <v/>
      </c>
      <c r="W18" s="198" t="str">
        <f t="shared" si="9"/>
        <v/>
      </c>
      <c r="X18" s="181" t="str">
        <f t="shared" si="10"/>
        <v/>
      </c>
    </row>
    <row r="19" spans="1:24" x14ac:dyDescent="0.35">
      <c r="A19" s="181" t="str">
        <f>IF(itens_Remanesc!A19="","",itens_Remanesc!A19)</f>
        <v/>
      </c>
      <c r="B19" s="181" t="str">
        <f>IF(A19="","",itens_Remanesc!C19)</f>
        <v/>
      </c>
      <c r="C19" s="200" t="str">
        <f>IF(A19="","",itens_Remanesc!B19)</f>
        <v/>
      </c>
      <c r="D19" s="202" t="str">
        <f>IF(A19="","",ROUND(SUMIFS(aditivos!$L$2:$L$200,aditivos!$A$2:$A$200,A19,aditivos!$C$2:$C$200,"C0"),2))</f>
        <v/>
      </c>
      <c r="E19" s="198" t="str">
        <f t="shared" si="0"/>
        <v/>
      </c>
      <c r="F19" s="198" t="str">
        <f>IF(A19="","",IF(itens_Remanesc!B19="","",itens_Remanesc!B19))</f>
        <v/>
      </c>
      <c r="G19" s="206" t="str">
        <f t="shared" si="1"/>
        <v/>
      </c>
      <c r="H19" s="208" t="str">
        <f>IF(A19="","",ROUND(SUMIFS(aditivos!$L$2:$L$200,aditivos!$A$2:$A$200,A19,aditivos!$C$2:$C$200,"C1"),2))</f>
        <v/>
      </c>
      <c r="I19" s="204" t="str">
        <f t="shared" si="2"/>
        <v/>
      </c>
      <c r="J19" s="204" t="str">
        <f>IF(A19="","",IF(itens_Remanesc!E19="","",itens_Remanesc!E19))</f>
        <v/>
      </c>
      <c r="K19" s="210" t="str">
        <f t="shared" si="3"/>
        <v/>
      </c>
      <c r="L19" s="202" t="str">
        <f>IF(A19="","",ROUND(SUMIFS(aditivos!$L$2:$L$200,aditivos!$A$2:$A$200,A19,aditivos!$C$2:$C$200,"C2"),2))</f>
        <v/>
      </c>
      <c r="M19" s="198" t="str">
        <f t="shared" si="4"/>
        <v/>
      </c>
      <c r="N19" s="198" t="str">
        <f>IF(A19="","",IF(itens_Remanesc!G19="","",itens_Remanesc!G19))</f>
        <v/>
      </c>
      <c r="O19" s="206" t="str">
        <f t="shared" si="5"/>
        <v/>
      </c>
      <c r="P19" s="208" t="str">
        <f>IF(A19="","",ROUND(SUMIFS(aditivos!$L$2:$L$200,aditivos!$A$2:$A$200,A19,aditivos!$C$2:$C$200,"C3"),2))</f>
        <v/>
      </c>
      <c r="Q19" s="204" t="str">
        <f t="shared" si="6"/>
        <v/>
      </c>
      <c r="R19" s="204" t="str">
        <f>IF(A19="","",IF(itens_Remanesc!I19="","",itens_Remanesc!I19))</f>
        <v/>
      </c>
      <c r="S19" s="210" t="str">
        <f t="shared" si="7"/>
        <v/>
      </c>
      <c r="T19" s="202" t="str">
        <f>IF(A19="","",ROUND(SUMIFS(aditivos!$L$2:$L$200,aditivos!$A$2:$A$200,A19,aditivos!$C$2:$C$200,"C4"),2))</f>
        <v/>
      </c>
      <c r="U19" s="198" t="str">
        <f t="shared" si="8"/>
        <v/>
      </c>
      <c r="V19" s="198" t="str">
        <f>IF(A19="","",IF(itens_Remanesc!K19="","",itens_Remanesc!K19))</f>
        <v/>
      </c>
      <c r="W19" s="198" t="str">
        <f t="shared" si="9"/>
        <v/>
      </c>
      <c r="X19" s="181" t="str">
        <f t="shared" si="10"/>
        <v/>
      </c>
    </row>
    <row r="20" spans="1:24" x14ac:dyDescent="0.35">
      <c r="A20" s="181" t="str">
        <f>IF(itens_Remanesc!A20="","",itens_Remanesc!A20)</f>
        <v/>
      </c>
      <c r="B20" s="181" t="str">
        <f>IF(A20="","",itens_Remanesc!C20)</f>
        <v/>
      </c>
      <c r="C20" s="200" t="str">
        <f>IF(A20="","",itens_Remanesc!B20)</f>
        <v/>
      </c>
      <c r="D20" s="202" t="str">
        <f>IF(A20="","",ROUND(SUMIFS(aditivos!$L$2:$L$200,aditivos!$A$2:$A$200,A20,aditivos!$C$2:$C$200,"C0"),2))</f>
        <v/>
      </c>
      <c r="E20" s="198" t="str">
        <f t="shared" si="0"/>
        <v/>
      </c>
      <c r="F20" s="198" t="str">
        <f>IF(A20="","",IF(itens_Remanesc!B20="","",itens_Remanesc!B20))</f>
        <v/>
      </c>
      <c r="G20" s="206" t="str">
        <f t="shared" si="1"/>
        <v/>
      </c>
      <c r="H20" s="208" t="str">
        <f>IF(A20="","",ROUND(SUMIFS(aditivos!$L$2:$L$200,aditivos!$A$2:$A$200,A20,aditivos!$C$2:$C$200,"C1"),2))</f>
        <v/>
      </c>
      <c r="I20" s="204" t="str">
        <f t="shared" si="2"/>
        <v/>
      </c>
      <c r="J20" s="204" t="str">
        <f>IF(A20="","",IF(itens_Remanesc!E20="","",itens_Remanesc!E20))</f>
        <v/>
      </c>
      <c r="K20" s="210" t="str">
        <f t="shared" si="3"/>
        <v/>
      </c>
      <c r="L20" s="202" t="str">
        <f>IF(A20="","",ROUND(SUMIFS(aditivos!$L$2:$L$200,aditivos!$A$2:$A$200,A20,aditivos!$C$2:$C$200,"C2"),2))</f>
        <v/>
      </c>
      <c r="M20" s="198" t="str">
        <f t="shared" si="4"/>
        <v/>
      </c>
      <c r="N20" s="198" t="str">
        <f>IF(A20="","",IF(itens_Remanesc!G20="","",itens_Remanesc!G20))</f>
        <v/>
      </c>
      <c r="O20" s="206" t="str">
        <f t="shared" si="5"/>
        <v/>
      </c>
      <c r="P20" s="208" t="str">
        <f>IF(A20="","",ROUND(SUMIFS(aditivos!$L$2:$L$200,aditivos!$A$2:$A$200,A20,aditivos!$C$2:$C$200,"C3"),2))</f>
        <v/>
      </c>
      <c r="Q20" s="204" t="str">
        <f t="shared" si="6"/>
        <v/>
      </c>
      <c r="R20" s="204" t="str">
        <f>IF(A20="","",IF(itens_Remanesc!I20="","",itens_Remanesc!I20))</f>
        <v/>
      </c>
      <c r="S20" s="210" t="str">
        <f t="shared" si="7"/>
        <v/>
      </c>
      <c r="T20" s="202" t="str">
        <f>IF(A20="","",ROUND(SUMIFS(aditivos!$L$2:$L$200,aditivos!$A$2:$A$200,A20,aditivos!$C$2:$C$200,"C4"),2))</f>
        <v/>
      </c>
      <c r="U20" s="198" t="str">
        <f t="shared" si="8"/>
        <v/>
      </c>
      <c r="V20" s="198" t="str">
        <f>IF(A20="","",IF(itens_Remanesc!K20="","",itens_Remanesc!K20))</f>
        <v/>
      </c>
      <c r="W20" s="198" t="str">
        <f t="shared" si="9"/>
        <v/>
      </c>
      <c r="X20" s="181" t="str">
        <f t="shared" si="10"/>
        <v/>
      </c>
    </row>
    <row r="21" spans="1:24" x14ac:dyDescent="0.35">
      <c r="A21" s="181" t="str">
        <f>IF(itens_Remanesc!A21="","",itens_Remanesc!A21)</f>
        <v/>
      </c>
      <c r="B21" s="181" t="str">
        <f>IF(A21="","",itens_Remanesc!C21)</f>
        <v/>
      </c>
      <c r="C21" s="200" t="str">
        <f>IF(A21="","",itens_Remanesc!B21)</f>
        <v/>
      </c>
      <c r="D21" s="202" t="str">
        <f>IF(A21="","",ROUND(SUMIFS(aditivos!$L$2:$L$200,aditivos!$A$2:$A$200,A21,aditivos!$C$2:$C$200,"C0"),2))</f>
        <v/>
      </c>
      <c r="E21" s="198" t="str">
        <f t="shared" si="0"/>
        <v/>
      </c>
      <c r="F21" s="198" t="str">
        <f>IF(A21="","",IF(itens_Remanesc!B21="","",itens_Remanesc!B21))</f>
        <v/>
      </c>
      <c r="G21" s="206" t="str">
        <f t="shared" si="1"/>
        <v/>
      </c>
      <c r="H21" s="208" t="str">
        <f>IF(A21="","",ROUND(SUMIFS(aditivos!$L$2:$L$200,aditivos!$A$2:$A$200,A21,aditivos!$C$2:$C$200,"C1"),2))</f>
        <v/>
      </c>
      <c r="I21" s="204" t="str">
        <f t="shared" si="2"/>
        <v/>
      </c>
      <c r="J21" s="204" t="str">
        <f>IF(A21="","",IF(itens_Remanesc!E21="","",itens_Remanesc!E21))</f>
        <v/>
      </c>
      <c r="K21" s="210" t="str">
        <f t="shared" si="3"/>
        <v/>
      </c>
      <c r="L21" s="202" t="str">
        <f>IF(A21="","",ROUND(SUMIFS(aditivos!$L$2:$L$200,aditivos!$A$2:$A$200,A21,aditivos!$C$2:$C$200,"C2"),2))</f>
        <v/>
      </c>
      <c r="M21" s="198" t="str">
        <f t="shared" si="4"/>
        <v/>
      </c>
      <c r="N21" s="198" t="str">
        <f>IF(A21="","",IF(itens_Remanesc!G21="","",itens_Remanesc!G21))</f>
        <v/>
      </c>
      <c r="O21" s="206" t="str">
        <f t="shared" si="5"/>
        <v/>
      </c>
      <c r="P21" s="208" t="str">
        <f>IF(A21="","",ROUND(SUMIFS(aditivos!$L$2:$L$200,aditivos!$A$2:$A$200,A21,aditivos!$C$2:$C$200,"C3"),2))</f>
        <v/>
      </c>
      <c r="Q21" s="204" t="str">
        <f t="shared" si="6"/>
        <v/>
      </c>
      <c r="R21" s="204" t="str">
        <f>IF(A21="","",IF(itens_Remanesc!I21="","",itens_Remanesc!I21))</f>
        <v/>
      </c>
      <c r="S21" s="210" t="str">
        <f t="shared" si="7"/>
        <v/>
      </c>
      <c r="T21" s="202" t="str">
        <f>IF(A21="","",ROUND(SUMIFS(aditivos!$L$2:$L$200,aditivos!$A$2:$A$200,A21,aditivos!$C$2:$C$200,"C4"),2))</f>
        <v/>
      </c>
      <c r="U21" s="198" t="str">
        <f t="shared" si="8"/>
        <v/>
      </c>
      <c r="V21" s="198" t="str">
        <f>IF(A21="","",IF(itens_Remanesc!K21="","",itens_Remanesc!K21))</f>
        <v/>
      </c>
      <c r="W21" s="198" t="str">
        <f t="shared" si="9"/>
        <v/>
      </c>
      <c r="X21" s="181" t="str">
        <f t="shared" si="10"/>
        <v/>
      </c>
    </row>
    <row r="22" spans="1:24" x14ac:dyDescent="0.35">
      <c r="A22" s="181" t="str">
        <f>IF(itens_Remanesc!A22="","",itens_Remanesc!A22)</f>
        <v/>
      </c>
      <c r="B22" s="181" t="str">
        <f>IF(A22="","",itens_Remanesc!C22)</f>
        <v/>
      </c>
      <c r="C22" s="200" t="str">
        <f>IF(A22="","",itens_Remanesc!B22)</f>
        <v/>
      </c>
      <c r="D22" s="202" t="str">
        <f>IF(A22="","",ROUND(SUMIFS(aditivos!$L$2:$L$200,aditivos!$A$2:$A$200,A22,aditivos!$C$2:$C$200,"C0"),2))</f>
        <v/>
      </c>
      <c r="E22" s="198" t="str">
        <f t="shared" si="0"/>
        <v/>
      </c>
      <c r="F22" s="198" t="str">
        <f>IF(A22="","",IF(itens_Remanesc!B22="","",itens_Remanesc!B22))</f>
        <v/>
      </c>
      <c r="G22" s="206" t="str">
        <f t="shared" si="1"/>
        <v/>
      </c>
      <c r="H22" s="208" t="str">
        <f>IF(A22="","",ROUND(SUMIFS(aditivos!$L$2:$L$200,aditivos!$A$2:$A$200,A22,aditivos!$C$2:$C$200,"C1"),2))</f>
        <v/>
      </c>
      <c r="I22" s="204" t="str">
        <f t="shared" si="2"/>
        <v/>
      </c>
      <c r="J22" s="204" t="str">
        <f>IF(A22="","",IF(itens_Remanesc!E22="","",itens_Remanesc!E22))</f>
        <v/>
      </c>
      <c r="K22" s="210" t="str">
        <f t="shared" si="3"/>
        <v/>
      </c>
      <c r="L22" s="202" t="str">
        <f>IF(A22="","",ROUND(SUMIFS(aditivos!$L$2:$L$200,aditivos!$A$2:$A$200,A22,aditivos!$C$2:$C$200,"C2"),2))</f>
        <v/>
      </c>
      <c r="M22" s="198" t="str">
        <f t="shared" si="4"/>
        <v/>
      </c>
      <c r="N22" s="198" t="str">
        <f>IF(A22="","",IF(itens_Remanesc!G22="","",itens_Remanesc!G22))</f>
        <v/>
      </c>
      <c r="O22" s="206" t="str">
        <f t="shared" si="5"/>
        <v/>
      </c>
      <c r="P22" s="208" t="str">
        <f>IF(A22="","",ROUND(SUMIFS(aditivos!$L$2:$L$200,aditivos!$A$2:$A$200,A22,aditivos!$C$2:$C$200,"C3"),2))</f>
        <v/>
      </c>
      <c r="Q22" s="204" t="str">
        <f t="shared" si="6"/>
        <v/>
      </c>
      <c r="R22" s="204" t="str">
        <f>IF(A22="","",IF(itens_Remanesc!I22="","",itens_Remanesc!I22))</f>
        <v/>
      </c>
      <c r="S22" s="210" t="str">
        <f t="shared" si="7"/>
        <v/>
      </c>
      <c r="T22" s="202" t="str">
        <f>IF(A22="","",ROUND(SUMIFS(aditivos!$L$2:$L$200,aditivos!$A$2:$A$200,A22,aditivos!$C$2:$C$200,"C4"),2))</f>
        <v/>
      </c>
      <c r="U22" s="198" t="str">
        <f t="shared" si="8"/>
        <v/>
      </c>
      <c r="V22" s="198" t="str">
        <f>IF(A22="","",IF(itens_Remanesc!K22="","",itens_Remanesc!K22))</f>
        <v/>
      </c>
      <c r="W22" s="198" t="str">
        <f t="shared" si="9"/>
        <v/>
      </c>
      <c r="X22" s="181" t="str">
        <f t="shared" si="10"/>
        <v/>
      </c>
    </row>
    <row r="23" spans="1:24" x14ac:dyDescent="0.35">
      <c r="A23" s="181" t="str">
        <f>IF(itens_Remanesc!A23="","",itens_Remanesc!A23)</f>
        <v/>
      </c>
      <c r="B23" s="181" t="str">
        <f>IF(A23="","",itens_Remanesc!C23)</f>
        <v/>
      </c>
      <c r="C23" s="200" t="str">
        <f>IF(A23="","",itens_Remanesc!B23)</f>
        <v/>
      </c>
      <c r="D23" s="202" t="str">
        <f>IF(A23="","",ROUND(SUMIFS(aditivos!$L$2:$L$200,aditivos!$A$2:$A$200,A23,aditivos!$C$2:$C$200,"C0"),2))</f>
        <v/>
      </c>
      <c r="E23" s="198" t="str">
        <f t="shared" si="0"/>
        <v/>
      </c>
      <c r="F23" s="198" t="str">
        <f>IF(A23="","",IF(itens_Remanesc!B23="","",itens_Remanesc!B23))</f>
        <v/>
      </c>
      <c r="G23" s="206" t="str">
        <f t="shared" si="1"/>
        <v/>
      </c>
      <c r="H23" s="208" t="str">
        <f>IF(A23="","",ROUND(SUMIFS(aditivos!$L$2:$L$200,aditivos!$A$2:$A$200,A23,aditivos!$C$2:$C$200,"C1"),2))</f>
        <v/>
      </c>
      <c r="I23" s="204" t="str">
        <f t="shared" si="2"/>
        <v/>
      </c>
      <c r="J23" s="204" t="str">
        <f>IF(A23="","",IF(itens_Remanesc!E23="","",itens_Remanesc!E23))</f>
        <v/>
      </c>
      <c r="K23" s="210" t="str">
        <f t="shared" si="3"/>
        <v/>
      </c>
      <c r="L23" s="202" t="str">
        <f>IF(A23="","",ROUND(SUMIFS(aditivos!$L$2:$L$200,aditivos!$A$2:$A$200,A23,aditivos!$C$2:$C$200,"C2"),2))</f>
        <v/>
      </c>
      <c r="M23" s="198" t="str">
        <f t="shared" si="4"/>
        <v/>
      </c>
      <c r="N23" s="198" t="str">
        <f>IF(A23="","",IF(itens_Remanesc!G23="","",itens_Remanesc!G23))</f>
        <v/>
      </c>
      <c r="O23" s="206" t="str">
        <f t="shared" si="5"/>
        <v/>
      </c>
      <c r="P23" s="208" t="str">
        <f>IF(A23="","",ROUND(SUMIFS(aditivos!$L$2:$L$200,aditivos!$A$2:$A$200,A23,aditivos!$C$2:$C$200,"C3"),2))</f>
        <v/>
      </c>
      <c r="Q23" s="204" t="str">
        <f t="shared" si="6"/>
        <v/>
      </c>
      <c r="R23" s="204" t="str">
        <f>IF(A23="","",IF(itens_Remanesc!I23="","",itens_Remanesc!I23))</f>
        <v/>
      </c>
      <c r="S23" s="210" t="str">
        <f t="shared" si="7"/>
        <v/>
      </c>
      <c r="T23" s="202" t="str">
        <f>IF(A23="","",ROUND(SUMIFS(aditivos!$L$2:$L$200,aditivos!$A$2:$A$200,A23,aditivos!$C$2:$C$200,"C4"),2))</f>
        <v/>
      </c>
      <c r="U23" s="198" t="str">
        <f t="shared" si="8"/>
        <v/>
      </c>
      <c r="V23" s="198" t="str">
        <f>IF(A23="","",IF(itens_Remanesc!K23="","",itens_Remanesc!K23))</f>
        <v/>
      </c>
      <c r="W23" s="198" t="str">
        <f t="shared" si="9"/>
        <v/>
      </c>
      <c r="X23" s="181" t="str">
        <f t="shared" si="10"/>
        <v/>
      </c>
    </row>
    <row r="24" spans="1:24" x14ac:dyDescent="0.35">
      <c r="A24" s="181" t="str">
        <f>IF(itens_Remanesc!A24="","",itens_Remanesc!A24)</f>
        <v/>
      </c>
      <c r="B24" s="181" t="str">
        <f>IF(A24="","",itens_Remanesc!C24)</f>
        <v/>
      </c>
      <c r="C24" s="200" t="str">
        <f>IF(A24="","",itens_Remanesc!B24)</f>
        <v/>
      </c>
      <c r="D24" s="202" t="str">
        <f>IF(A24="","",ROUND(SUMIFS(aditivos!$L$2:$L$200,aditivos!$A$2:$A$200,A24,aditivos!$C$2:$C$200,"C0"),2))</f>
        <v/>
      </c>
      <c r="E24" s="198" t="str">
        <f t="shared" si="0"/>
        <v/>
      </c>
      <c r="F24" s="198" t="str">
        <f>IF(A24="","",IF(itens_Remanesc!B24="","",itens_Remanesc!B24))</f>
        <v/>
      </c>
      <c r="G24" s="206" t="str">
        <f t="shared" si="1"/>
        <v/>
      </c>
      <c r="H24" s="208" t="str">
        <f>IF(A24="","",ROUND(SUMIFS(aditivos!$L$2:$L$200,aditivos!$A$2:$A$200,A24,aditivos!$C$2:$C$200,"C1"),2))</f>
        <v/>
      </c>
      <c r="I24" s="204" t="str">
        <f t="shared" si="2"/>
        <v/>
      </c>
      <c r="J24" s="204" t="str">
        <f>IF(A24="","",IF(itens_Remanesc!E24="","",itens_Remanesc!E24))</f>
        <v/>
      </c>
      <c r="K24" s="210" t="str">
        <f t="shared" si="3"/>
        <v/>
      </c>
      <c r="L24" s="202" t="str">
        <f>IF(A24="","",ROUND(SUMIFS(aditivos!$L$2:$L$200,aditivos!$A$2:$A$200,A24,aditivos!$C$2:$C$200,"C2"),2))</f>
        <v/>
      </c>
      <c r="M24" s="198" t="str">
        <f t="shared" si="4"/>
        <v/>
      </c>
      <c r="N24" s="198" t="str">
        <f>IF(A24="","",IF(itens_Remanesc!G24="","",itens_Remanesc!G24))</f>
        <v/>
      </c>
      <c r="O24" s="206" t="str">
        <f t="shared" si="5"/>
        <v/>
      </c>
      <c r="P24" s="208" t="str">
        <f>IF(A24="","",ROUND(SUMIFS(aditivos!$L$2:$L$200,aditivos!$A$2:$A$200,A24,aditivos!$C$2:$C$200,"C3"),2))</f>
        <v/>
      </c>
      <c r="Q24" s="204" t="str">
        <f t="shared" si="6"/>
        <v/>
      </c>
      <c r="R24" s="204" t="str">
        <f>IF(A24="","",IF(itens_Remanesc!I24="","",itens_Remanesc!I24))</f>
        <v/>
      </c>
      <c r="S24" s="210" t="str">
        <f t="shared" si="7"/>
        <v/>
      </c>
      <c r="T24" s="202" t="str">
        <f>IF(A24="","",ROUND(SUMIFS(aditivos!$L$2:$L$200,aditivos!$A$2:$A$200,A24,aditivos!$C$2:$C$200,"C4"),2))</f>
        <v/>
      </c>
      <c r="U24" s="198" t="str">
        <f t="shared" si="8"/>
        <v/>
      </c>
      <c r="V24" s="198" t="str">
        <f>IF(A24="","",IF(itens_Remanesc!K24="","",itens_Remanesc!K24))</f>
        <v/>
      </c>
      <c r="W24" s="198" t="str">
        <f t="shared" si="9"/>
        <v/>
      </c>
      <c r="X24" s="181" t="str">
        <f t="shared" si="10"/>
        <v/>
      </c>
    </row>
    <row r="25" spans="1:24" x14ac:dyDescent="0.35">
      <c r="A25" s="181" t="str">
        <f>IF(itens_Remanesc!A25="","",itens_Remanesc!A25)</f>
        <v/>
      </c>
      <c r="B25" s="181" t="str">
        <f>IF(A25="","",itens_Remanesc!C25)</f>
        <v/>
      </c>
      <c r="C25" s="200" t="str">
        <f>IF(A25="","",itens_Remanesc!B25)</f>
        <v/>
      </c>
      <c r="D25" s="202" t="str">
        <f>IF(A25="","",ROUND(SUMIFS(aditivos!$L$2:$L$200,aditivos!$A$2:$A$200,A25,aditivos!$C$2:$C$200,"C0"),2))</f>
        <v/>
      </c>
      <c r="E25" s="198" t="str">
        <f t="shared" si="0"/>
        <v/>
      </c>
      <c r="F25" s="198" t="str">
        <f>IF(A25="","",IF(itens_Remanesc!B25="","",itens_Remanesc!B25))</f>
        <v/>
      </c>
      <c r="G25" s="206" t="str">
        <f t="shared" si="1"/>
        <v/>
      </c>
      <c r="H25" s="208" t="str">
        <f>IF(A25="","",ROUND(SUMIFS(aditivos!$L$2:$L$200,aditivos!$A$2:$A$200,A25,aditivos!$C$2:$C$200,"C1"),2))</f>
        <v/>
      </c>
      <c r="I25" s="204" t="str">
        <f t="shared" si="2"/>
        <v/>
      </c>
      <c r="J25" s="204" t="str">
        <f>IF(A25="","",IF(itens_Remanesc!E25="","",itens_Remanesc!E25))</f>
        <v/>
      </c>
      <c r="K25" s="210" t="str">
        <f t="shared" si="3"/>
        <v/>
      </c>
      <c r="L25" s="202" t="str">
        <f>IF(A25="","",ROUND(SUMIFS(aditivos!$L$2:$L$200,aditivos!$A$2:$A$200,A25,aditivos!$C$2:$C$200,"C2"),2))</f>
        <v/>
      </c>
      <c r="M25" s="198" t="str">
        <f t="shared" si="4"/>
        <v/>
      </c>
      <c r="N25" s="198" t="str">
        <f>IF(A25="","",IF(itens_Remanesc!G25="","",itens_Remanesc!G25))</f>
        <v/>
      </c>
      <c r="O25" s="206" t="str">
        <f t="shared" si="5"/>
        <v/>
      </c>
      <c r="P25" s="208" t="str">
        <f>IF(A25="","",ROUND(SUMIFS(aditivos!$L$2:$L$200,aditivos!$A$2:$A$200,A25,aditivos!$C$2:$C$200,"C3"),2))</f>
        <v/>
      </c>
      <c r="Q25" s="204" t="str">
        <f t="shared" si="6"/>
        <v/>
      </c>
      <c r="R25" s="204" t="str">
        <f>IF(A25="","",IF(itens_Remanesc!I25="","",itens_Remanesc!I25))</f>
        <v/>
      </c>
      <c r="S25" s="210" t="str">
        <f t="shared" si="7"/>
        <v/>
      </c>
      <c r="T25" s="202" t="str">
        <f>IF(A25="","",ROUND(SUMIFS(aditivos!$L$2:$L$200,aditivos!$A$2:$A$200,A25,aditivos!$C$2:$C$200,"C4"),2))</f>
        <v/>
      </c>
      <c r="U25" s="198" t="str">
        <f t="shared" si="8"/>
        <v/>
      </c>
      <c r="V25" s="198" t="str">
        <f>IF(A25="","",IF(itens_Remanesc!K25="","",itens_Remanesc!K25))</f>
        <v/>
      </c>
      <c r="W25" s="198" t="str">
        <f t="shared" si="9"/>
        <v/>
      </c>
      <c r="X25" s="181" t="str">
        <f t="shared" si="10"/>
        <v/>
      </c>
    </row>
    <row r="26" spans="1:24" x14ac:dyDescent="0.35">
      <c r="A26" s="181" t="str">
        <f>IF(itens_Remanesc!A26="","",itens_Remanesc!A26)</f>
        <v/>
      </c>
      <c r="B26" s="181" t="str">
        <f>IF(A26="","",itens_Remanesc!C26)</f>
        <v/>
      </c>
      <c r="C26" s="200" t="str">
        <f>IF(A26="","",itens_Remanesc!B26)</f>
        <v/>
      </c>
      <c r="D26" s="202" t="str">
        <f>IF(A26="","",ROUND(SUMIFS(aditivos!$L$2:$L$200,aditivos!$A$2:$A$200,A26,aditivos!$C$2:$C$200,"C0"),2))</f>
        <v/>
      </c>
      <c r="E26" s="198" t="str">
        <f t="shared" si="0"/>
        <v/>
      </c>
      <c r="F26" s="198" t="str">
        <f>IF(A26="","",IF(itens_Remanesc!B26="","",itens_Remanesc!B26))</f>
        <v/>
      </c>
      <c r="G26" s="206" t="str">
        <f t="shared" si="1"/>
        <v/>
      </c>
      <c r="H26" s="208" t="str">
        <f>IF(A26="","",ROUND(SUMIFS(aditivos!$L$2:$L$200,aditivos!$A$2:$A$200,A26,aditivos!$C$2:$C$200,"C1"),2))</f>
        <v/>
      </c>
      <c r="I26" s="204" t="str">
        <f t="shared" si="2"/>
        <v/>
      </c>
      <c r="J26" s="204" t="str">
        <f>IF(A26="","",IF(itens_Remanesc!E26="","",itens_Remanesc!E26))</f>
        <v/>
      </c>
      <c r="K26" s="210" t="str">
        <f t="shared" si="3"/>
        <v/>
      </c>
      <c r="L26" s="202" t="str">
        <f>IF(A26="","",ROUND(SUMIFS(aditivos!$L$2:$L$200,aditivos!$A$2:$A$200,A26,aditivos!$C$2:$C$200,"C2"),2))</f>
        <v/>
      </c>
      <c r="M26" s="198" t="str">
        <f t="shared" si="4"/>
        <v/>
      </c>
      <c r="N26" s="198" t="str">
        <f>IF(A26="","",IF(itens_Remanesc!G26="","",itens_Remanesc!G26))</f>
        <v/>
      </c>
      <c r="O26" s="206" t="str">
        <f t="shared" si="5"/>
        <v/>
      </c>
      <c r="P26" s="208" t="str">
        <f>IF(A26="","",ROUND(SUMIFS(aditivos!$L$2:$L$200,aditivos!$A$2:$A$200,A26,aditivos!$C$2:$C$200,"C3"),2))</f>
        <v/>
      </c>
      <c r="Q26" s="204" t="str">
        <f t="shared" si="6"/>
        <v/>
      </c>
      <c r="R26" s="204" t="str">
        <f>IF(A26="","",IF(itens_Remanesc!I26="","",itens_Remanesc!I26))</f>
        <v/>
      </c>
      <c r="S26" s="210" t="str">
        <f t="shared" si="7"/>
        <v/>
      </c>
      <c r="T26" s="202" t="str">
        <f>IF(A26="","",ROUND(SUMIFS(aditivos!$L$2:$L$200,aditivos!$A$2:$A$200,A26,aditivos!$C$2:$C$200,"C4"),2))</f>
        <v/>
      </c>
      <c r="U26" s="198" t="str">
        <f t="shared" si="8"/>
        <v/>
      </c>
      <c r="V26" s="198" t="str">
        <f>IF(A26="","",IF(itens_Remanesc!K26="","",itens_Remanesc!K26))</f>
        <v/>
      </c>
      <c r="W26" s="198" t="str">
        <f t="shared" si="9"/>
        <v/>
      </c>
      <c r="X26" s="181" t="str">
        <f t="shared" si="10"/>
        <v/>
      </c>
    </row>
    <row r="27" spans="1:24" x14ac:dyDescent="0.35">
      <c r="A27" s="181" t="str">
        <f>IF(itens_Remanesc!A27="","",itens_Remanesc!A27)</f>
        <v/>
      </c>
      <c r="B27" s="181" t="str">
        <f>IF(A27="","",itens_Remanesc!C27)</f>
        <v/>
      </c>
      <c r="C27" s="200" t="str">
        <f>IF(A27="","",itens_Remanesc!B27)</f>
        <v/>
      </c>
      <c r="D27" s="202" t="str">
        <f>IF(A27="","",ROUND(SUMIFS(aditivos!$L$2:$L$200,aditivos!$A$2:$A$200,A27,aditivos!$C$2:$C$200,"C0"),2))</f>
        <v/>
      </c>
      <c r="E27" s="198" t="str">
        <f t="shared" si="0"/>
        <v/>
      </c>
      <c r="F27" s="198" t="str">
        <f>IF(A27="","",IF(itens_Remanesc!B27="","",itens_Remanesc!B27))</f>
        <v/>
      </c>
      <c r="G27" s="206" t="str">
        <f t="shared" si="1"/>
        <v/>
      </c>
      <c r="H27" s="208" t="str">
        <f>IF(A27="","",ROUND(SUMIFS(aditivos!$L$2:$L$200,aditivos!$A$2:$A$200,A27,aditivos!$C$2:$C$200,"C1"),2))</f>
        <v/>
      </c>
      <c r="I27" s="204" t="str">
        <f t="shared" si="2"/>
        <v/>
      </c>
      <c r="J27" s="204" t="str">
        <f>IF(A27="","",IF(itens_Remanesc!E27="","",itens_Remanesc!E27))</f>
        <v/>
      </c>
      <c r="K27" s="210" t="str">
        <f t="shared" si="3"/>
        <v/>
      </c>
      <c r="L27" s="202" t="str">
        <f>IF(A27="","",ROUND(SUMIFS(aditivos!$L$2:$L$200,aditivos!$A$2:$A$200,A27,aditivos!$C$2:$C$200,"C2"),2))</f>
        <v/>
      </c>
      <c r="M27" s="198" t="str">
        <f t="shared" si="4"/>
        <v/>
      </c>
      <c r="N27" s="198" t="str">
        <f>IF(A27="","",IF(itens_Remanesc!G27="","",itens_Remanesc!G27))</f>
        <v/>
      </c>
      <c r="O27" s="206" t="str">
        <f t="shared" si="5"/>
        <v/>
      </c>
      <c r="P27" s="208" t="str">
        <f>IF(A27="","",ROUND(SUMIFS(aditivos!$L$2:$L$200,aditivos!$A$2:$A$200,A27,aditivos!$C$2:$C$200,"C3"),2))</f>
        <v/>
      </c>
      <c r="Q27" s="204" t="str">
        <f t="shared" si="6"/>
        <v/>
      </c>
      <c r="R27" s="204" t="str">
        <f>IF(A27="","",IF(itens_Remanesc!I27="","",itens_Remanesc!I27))</f>
        <v/>
      </c>
      <c r="S27" s="210" t="str">
        <f t="shared" si="7"/>
        <v/>
      </c>
      <c r="T27" s="202" t="str">
        <f>IF(A27="","",ROUND(SUMIFS(aditivos!$L$2:$L$200,aditivos!$A$2:$A$200,A27,aditivos!$C$2:$C$200,"C4"),2))</f>
        <v/>
      </c>
      <c r="U27" s="198" t="str">
        <f t="shared" si="8"/>
        <v/>
      </c>
      <c r="V27" s="198" t="str">
        <f>IF(A27="","",IF(itens_Remanesc!K27="","",itens_Remanesc!K27))</f>
        <v/>
      </c>
      <c r="W27" s="198" t="str">
        <f t="shared" si="9"/>
        <v/>
      </c>
      <c r="X27" s="181" t="str">
        <f t="shared" si="10"/>
        <v/>
      </c>
    </row>
    <row r="28" spans="1:24" x14ac:dyDescent="0.35">
      <c r="A28" s="181" t="str">
        <f>IF(itens_Remanesc!A28="","",itens_Remanesc!A28)</f>
        <v/>
      </c>
      <c r="B28" s="181" t="str">
        <f>IF(A28="","",itens_Remanesc!C28)</f>
        <v/>
      </c>
      <c r="C28" s="200" t="str">
        <f>IF(A28="","",itens_Remanesc!B28)</f>
        <v/>
      </c>
      <c r="D28" s="202" t="str">
        <f>IF(A28="","",ROUND(SUMIFS(aditivos!$L$2:$L$200,aditivos!$A$2:$A$200,A28,aditivos!$C$2:$C$200,"C0"),2))</f>
        <v/>
      </c>
      <c r="E28" s="198" t="str">
        <f t="shared" si="0"/>
        <v/>
      </c>
      <c r="F28" s="198" t="str">
        <f>IF(A28="","",IF(itens_Remanesc!B28="","",itens_Remanesc!B28))</f>
        <v/>
      </c>
      <c r="G28" s="206" t="str">
        <f t="shared" si="1"/>
        <v/>
      </c>
      <c r="H28" s="208" t="str">
        <f>IF(A28="","",ROUND(SUMIFS(aditivos!$L$2:$L$200,aditivos!$A$2:$A$200,A28,aditivos!$C$2:$C$200,"C1"),2))</f>
        <v/>
      </c>
      <c r="I28" s="204" t="str">
        <f t="shared" si="2"/>
        <v/>
      </c>
      <c r="J28" s="204" t="str">
        <f>IF(A28="","",IF(itens_Remanesc!E28="","",itens_Remanesc!E28))</f>
        <v/>
      </c>
      <c r="K28" s="210" t="str">
        <f t="shared" si="3"/>
        <v/>
      </c>
      <c r="L28" s="202" t="str">
        <f>IF(A28="","",ROUND(SUMIFS(aditivos!$L$2:$L$200,aditivos!$A$2:$A$200,A28,aditivos!$C$2:$C$200,"C2"),2))</f>
        <v/>
      </c>
      <c r="M28" s="198" t="str">
        <f t="shared" si="4"/>
        <v/>
      </c>
      <c r="N28" s="198" t="str">
        <f>IF(A28="","",IF(itens_Remanesc!G28="","",itens_Remanesc!G28))</f>
        <v/>
      </c>
      <c r="O28" s="206" t="str">
        <f t="shared" si="5"/>
        <v/>
      </c>
      <c r="P28" s="208" t="str">
        <f>IF(A28="","",ROUND(SUMIFS(aditivos!$L$2:$L$200,aditivos!$A$2:$A$200,A28,aditivos!$C$2:$C$200,"C3"),2))</f>
        <v/>
      </c>
      <c r="Q28" s="204" t="str">
        <f t="shared" si="6"/>
        <v/>
      </c>
      <c r="R28" s="204" t="str">
        <f>IF(A28="","",IF(itens_Remanesc!I28="","",itens_Remanesc!I28))</f>
        <v/>
      </c>
      <c r="S28" s="210" t="str">
        <f t="shared" si="7"/>
        <v/>
      </c>
      <c r="T28" s="202" t="str">
        <f>IF(A28="","",ROUND(SUMIFS(aditivos!$L$2:$L$200,aditivos!$A$2:$A$200,A28,aditivos!$C$2:$C$200,"C4"),2))</f>
        <v/>
      </c>
      <c r="U28" s="198" t="str">
        <f t="shared" si="8"/>
        <v/>
      </c>
      <c r="V28" s="198" t="str">
        <f>IF(A28="","",IF(itens_Remanesc!K28="","",itens_Remanesc!K28))</f>
        <v/>
      </c>
      <c r="W28" s="198" t="str">
        <f t="shared" si="9"/>
        <v/>
      </c>
      <c r="X28" s="181" t="str">
        <f t="shared" si="10"/>
        <v/>
      </c>
    </row>
    <row r="29" spans="1:24" x14ac:dyDescent="0.35">
      <c r="A29" s="181" t="str">
        <f>IF(itens_Remanesc!A29="","",itens_Remanesc!A29)</f>
        <v/>
      </c>
      <c r="B29" s="181" t="str">
        <f>IF(A29="","",itens_Remanesc!C29)</f>
        <v/>
      </c>
      <c r="C29" s="200" t="str">
        <f>IF(A29="","",itens_Remanesc!B29)</f>
        <v/>
      </c>
      <c r="D29" s="202" t="str">
        <f>IF(A29="","",ROUND(SUMIFS(aditivos!$L$2:$L$200,aditivos!$A$2:$A$200,A29,aditivos!$C$2:$C$200,"C0"),2))</f>
        <v/>
      </c>
      <c r="E29" s="198" t="str">
        <f t="shared" si="0"/>
        <v/>
      </c>
      <c r="F29" s="198" t="str">
        <f>IF(A29="","",IF(itens_Remanesc!B29="","",itens_Remanesc!B29))</f>
        <v/>
      </c>
      <c r="G29" s="206" t="str">
        <f t="shared" si="1"/>
        <v/>
      </c>
      <c r="H29" s="208" t="str">
        <f>IF(A29="","",ROUND(SUMIFS(aditivos!$L$2:$L$200,aditivos!$A$2:$A$200,A29,aditivos!$C$2:$C$200,"C1"),2))</f>
        <v/>
      </c>
      <c r="I29" s="204" t="str">
        <f t="shared" si="2"/>
        <v/>
      </c>
      <c r="J29" s="204" t="str">
        <f>IF(A29="","",IF(itens_Remanesc!E29="","",itens_Remanesc!E29))</f>
        <v/>
      </c>
      <c r="K29" s="210" t="str">
        <f t="shared" si="3"/>
        <v/>
      </c>
      <c r="L29" s="202" t="str">
        <f>IF(A29="","",ROUND(SUMIFS(aditivos!$L$2:$L$200,aditivos!$A$2:$A$200,A29,aditivos!$C$2:$C$200,"C2"),2))</f>
        <v/>
      </c>
      <c r="M29" s="198" t="str">
        <f t="shared" si="4"/>
        <v/>
      </c>
      <c r="N29" s="198" t="str">
        <f>IF(A29="","",IF(itens_Remanesc!G29="","",itens_Remanesc!G29))</f>
        <v/>
      </c>
      <c r="O29" s="206" t="str">
        <f t="shared" si="5"/>
        <v/>
      </c>
      <c r="P29" s="208" t="str">
        <f>IF(A29="","",ROUND(SUMIFS(aditivos!$L$2:$L$200,aditivos!$A$2:$A$200,A29,aditivos!$C$2:$C$200,"C3"),2))</f>
        <v/>
      </c>
      <c r="Q29" s="204" t="str">
        <f t="shared" si="6"/>
        <v/>
      </c>
      <c r="R29" s="204" t="str">
        <f>IF(A29="","",IF(itens_Remanesc!I29="","",itens_Remanesc!I29))</f>
        <v/>
      </c>
      <c r="S29" s="210" t="str">
        <f t="shared" si="7"/>
        <v/>
      </c>
      <c r="T29" s="202" t="str">
        <f>IF(A29="","",ROUND(SUMIFS(aditivos!$L$2:$L$200,aditivos!$A$2:$A$200,A29,aditivos!$C$2:$C$200,"C4"),2))</f>
        <v/>
      </c>
      <c r="U29" s="198" t="str">
        <f t="shared" si="8"/>
        <v/>
      </c>
      <c r="V29" s="198" t="str">
        <f>IF(A29="","",IF(itens_Remanesc!K29="","",itens_Remanesc!K29))</f>
        <v/>
      </c>
      <c r="W29" s="198" t="str">
        <f t="shared" si="9"/>
        <v/>
      </c>
      <c r="X29" s="181" t="str">
        <f t="shared" si="10"/>
        <v/>
      </c>
    </row>
    <row r="30" spans="1:24" x14ac:dyDescent="0.35">
      <c r="A30" s="181" t="str">
        <f>IF(itens_Remanesc!A30="","",itens_Remanesc!A30)</f>
        <v/>
      </c>
      <c r="B30" s="181" t="str">
        <f>IF(A30="","",itens_Remanesc!C30)</f>
        <v/>
      </c>
      <c r="C30" s="200" t="str">
        <f>IF(A30="","",itens_Remanesc!B30)</f>
        <v/>
      </c>
      <c r="D30" s="202" t="str">
        <f>IF(A30="","",ROUND(SUMIFS(aditivos!$L$2:$L$200,aditivos!$A$2:$A$200,A30,aditivos!$C$2:$C$200,"C0"),2))</f>
        <v/>
      </c>
      <c r="E30" s="198" t="str">
        <f t="shared" si="0"/>
        <v/>
      </c>
      <c r="F30" s="198" t="str">
        <f>IF(A30="","",IF(itens_Remanesc!B30="","",itens_Remanesc!B30))</f>
        <v/>
      </c>
      <c r="G30" s="206" t="str">
        <f t="shared" si="1"/>
        <v/>
      </c>
      <c r="H30" s="208" t="str">
        <f>IF(A30="","",ROUND(SUMIFS(aditivos!$L$2:$L$200,aditivos!$A$2:$A$200,A30,aditivos!$C$2:$C$200,"C1"),2))</f>
        <v/>
      </c>
      <c r="I30" s="204" t="str">
        <f t="shared" si="2"/>
        <v/>
      </c>
      <c r="J30" s="204" t="str">
        <f>IF(A30="","",IF(itens_Remanesc!E30="","",itens_Remanesc!E30))</f>
        <v/>
      </c>
      <c r="K30" s="210" t="str">
        <f t="shared" si="3"/>
        <v/>
      </c>
      <c r="L30" s="202" t="str">
        <f>IF(A30="","",ROUND(SUMIFS(aditivos!$L$2:$L$200,aditivos!$A$2:$A$200,A30,aditivos!$C$2:$C$200,"C2"),2))</f>
        <v/>
      </c>
      <c r="M30" s="198" t="str">
        <f t="shared" si="4"/>
        <v/>
      </c>
      <c r="N30" s="198" t="str">
        <f>IF(A30="","",IF(itens_Remanesc!G30="","",itens_Remanesc!G30))</f>
        <v/>
      </c>
      <c r="O30" s="206" t="str">
        <f t="shared" si="5"/>
        <v/>
      </c>
      <c r="P30" s="208" t="str">
        <f>IF(A30="","",ROUND(SUMIFS(aditivos!$L$2:$L$200,aditivos!$A$2:$A$200,A30,aditivos!$C$2:$C$200,"C3"),2))</f>
        <v/>
      </c>
      <c r="Q30" s="204" t="str">
        <f t="shared" si="6"/>
        <v/>
      </c>
      <c r="R30" s="204" t="str">
        <f>IF(A30="","",IF(itens_Remanesc!I30="","",itens_Remanesc!I30))</f>
        <v/>
      </c>
      <c r="S30" s="210" t="str">
        <f t="shared" si="7"/>
        <v/>
      </c>
      <c r="T30" s="202" t="str">
        <f>IF(A30="","",ROUND(SUMIFS(aditivos!$L$2:$L$200,aditivos!$A$2:$A$200,A30,aditivos!$C$2:$C$200,"C4"),2))</f>
        <v/>
      </c>
      <c r="U30" s="198" t="str">
        <f t="shared" si="8"/>
        <v/>
      </c>
      <c r="V30" s="198" t="str">
        <f>IF(A30="","",IF(itens_Remanesc!K30="","",itens_Remanesc!K30))</f>
        <v/>
      </c>
      <c r="W30" s="198" t="str">
        <f t="shared" si="9"/>
        <v/>
      </c>
      <c r="X30" s="181" t="str">
        <f t="shared" si="10"/>
        <v/>
      </c>
    </row>
    <row r="31" spans="1:24" x14ac:dyDescent="0.35">
      <c r="A31" s="181" t="str">
        <f>IF(itens_Remanesc!A31="","",itens_Remanesc!A31)</f>
        <v/>
      </c>
      <c r="B31" s="181" t="str">
        <f>IF(A31="","",itens_Remanesc!C31)</f>
        <v/>
      </c>
      <c r="C31" s="200" t="str">
        <f>IF(A31="","",itens_Remanesc!B31)</f>
        <v/>
      </c>
      <c r="D31" s="202" t="str">
        <f>IF(A31="","",ROUND(SUMIFS(aditivos!$L$2:$L$200,aditivos!$A$2:$A$200,A31,aditivos!$C$2:$C$200,"C0"),2))</f>
        <v/>
      </c>
      <c r="E31" s="198" t="str">
        <f t="shared" si="0"/>
        <v/>
      </c>
      <c r="F31" s="198" t="str">
        <f>IF(A31="","",IF(itens_Remanesc!B31="","",itens_Remanesc!B31))</f>
        <v/>
      </c>
      <c r="G31" s="206" t="str">
        <f t="shared" si="1"/>
        <v/>
      </c>
      <c r="H31" s="208" t="str">
        <f>IF(A31="","",ROUND(SUMIFS(aditivos!$L$2:$L$200,aditivos!$A$2:$A$200,A31,aditivos!$C$2:$C$200,"C1"),2))</f>
        <v/>
      </c>
      <c r="I31" s="204" t="str">
        <f t="shared" si="2"/>
        <v/>
      </c>
      <c r="J31" s="204" t="str">
        <f>IF(A31="","",IF(itens_Remanesc!E31="","",itens_Remanesc!E31))</f>
        <v/>
      </c>
      <c r="K31" s="210" t="str">
        <f t="shared" si="3"/>
        <v/>
      </c>
      <c r="L31" s="202" t="str">
        <f>IF(A31="","",ROUND(SUMIFS(aditivos!$L$2:$L$200,aditivos!$A$2:$A$200,A31,aditivos!$C$2:$C$200,"C2"),2))</f>
        <v/>
      </c>
      <c r="M31" s="198" t="str">
        <f t="shared" si="4"/>
        <v/>
      </c>
      <c r="N31" s="198" t="str">
        <f>IF(A31="","",IF(itens_Remanesc!G31="","",itens_Remanesc!G31))</f>
        <v/>
      </c>
      <c r="O31" s="206" t="str">
        <f t="shared" si="5"/>
        <v/>
      </c>
      <c r="P31" s="208" t="str">
        <f>IF(A31="","",ROUND(SUMIFS(aditivos!$L$2:$L$200,aditivos!$A$2:$A$200,A31,aditivos!$C$2:$C$200,"C3"),2))</f>
        <v/>
      </c>
      <c r="Q31" s="204" t="str">
        <f t="shared" si="6"/>
        <v/>
      </c>
      <c r="R31" s="204" t="str">
        <f>IF(A31="","",IF(itens_Remanesc!I31="","",itens_Remanesc!I31))</f>
        <v/>
      </c>
      <c r="S31" s="210" t="str">
        <f t="shared" si="7"/>
        <v/>
      </c>
      <c r="T31" s="202" t="str">
        <f>IF(A31="","",ROUND(SUMIFS(aditivos!$L$2:$L$200,aditivos!$A$2:$A$200,A31,aditivos!$C$2:$C$200,"C4"),2))</f>
        <v/>
      </c>
      <c r="U31" s="198" t="str">
        <f t="shared" si="8"/>
        <v/>
      </c>
      <c r="V31" s="198" t="str">
        <f>IF(A31="","",IF(itens_Remanesc!K31="","",itens_Remanesc!K31))</f>
        <v/>
      </c>
      <c r="W31" s="198" t="str">
        <f t="shared" si="9"/>
        <v/>
      </c>
      <c r="X31" s="181" t="str">
        <f t="shared" si="10"/>
        <v/>
      </c>
    </row>
    <row r="32" spans="1:24" x14ac:dyDescent="0.35">
      <c r="A32" s="181" t="str">
        <f>IF(itens_Remanesc!A32="","",itens_Remanesc!A32)</f>
        <v/>
      </c>
      <c r="B32" s="181" t="str">
        <f>IF(A32="","",itens_Remanesc!C32)</f>
        <v/>
      </c>
      <c r="C32" s="200" t="str">
        <f>IF(A32="","",itens_Remanesc!B32)</f>
        <v/>
      </c>
      <c r="D32" s="202" t="str">
        <f>IF(A32="","",ROUND(SUMIFS(aditivos!$L$2:$L$200,aditivos!$A$2:$A$200,A32,aditivos!$C$2:$C$200,"C0"),2))</f>
        <v/>
      </c>
      <c r="E32" s="198" t="str">
        <f t="shared" si="0"/>
        <v/>
      </c>
      <c r="F32" s="198" t="str">
        <f>IF(A32="","",IF(itens_Remanesc!B32="","",itens_Remanesc!B32))</f>
        <v/>
      </c>
      <c r="G32" s="206" t="str">
        <f t="shared" si="1"/>
        <v/>
      </c>
      <c r="H32" s="208" t="str">
        <f>IF(A32="","",ROUND(SUMIFS(aditivos!$L$2:$L$200,aditivos!$A$2:$A$200,A32,aditivos!$C$2:$C$200,"C1"),2))</f>
        <v/>
      </c>
      <c r="I32" s="204" t="str">
        <f t="shared" si="2"/>
        <v/>
      </c>
      <c r="J32" s="204" t="str">
        <f>IF(A32="","",IF(itens_Remanesc!E32="","",itens_Remanesc!E32))</f>
        <v/>
      </c>
      <c r="K32" s="210" t="str">
        <f t="shared" si="3"/>
        <v/>
      </c>
      <c r="L32" s="202" t="str">
        <f>IF(A32="","",ROUND(SUMIFS(aditivos!$L$2:$L$200,aditivos!$A$2:$A$200,A32,aditivos!$C$2:$C$200,"C2"),2))</f>
        <v/>
      </c>
      <c r="M32" s="198" t="str">
        <f t="shared" si="4"/>
        <v/>
      </c>
      <c r="N32" s="198" t="str">
        <f>IF(A32="","",IF(itens_Remanesc!G32="","",itens_Remanesc!G32))</f>
        <v/>
      </c>
      <c r="O32" s="206" t="str">
        <f t="shared" si="5"/>
        <v/>
      </c>
      <c r="P32" s="208" t="str">
        <f>IF(A32="","",ROUND(SUMIFS(aditivos!$L$2:$L$200,aditivos!$A$2:$A$200,A32,aditivos!$C$2:$C$200,"C3"),2))</f>
        <v/>
      </c>
      <c r="Q32" s="204" t="str">
        <f t="shared" si="6"/>
        <v/>
      </c>
      <c r="R32" s="204" t="str">
        <f>IF(A32="","",IF(itens_Remanesc!I32="","",itens_Remanesc!I32))</f>
        <v/>
      </c>
      <c r="S32" s="210" t="str">
        <f t="shared" si="7"/>
        <v/>
      </c>
      <c r="T32" s="202" t="str">
        <f>IF(A32="","",ROUND(SUMIFS(aditivos!$L$2:$L$200,aditivos!$A$2:$A$200,A32,aditivos!$C$2:$C$200,"C4"),2))</f>
        <v/>
      </c>
      <c r="U32" s="198" t="str">
        <f t="shared" si="8"/>
        <v/>
      </c>
      <c r="V32" s="198" t="str">
        <f>IF(A32="","",IF(itens_Remanesc!K32="","",itens_Remanesc!K32))</f>
        <v/>
      </c>
      <c r="W32" s="198" t="str">
        <f t="shared" si="9"/>
        <v/>
      </c>
      <c r="X32" s="181" t="str">
        <f t="shared" si="10"/>
        <v/>
      </c>
    </row>
    <row r="33" spans="1:24" x14ac:dyDescent="0.35">
      <c r="A33" s="181" t="str">
        <f>IF(itens_Remanesc!A33="","",itens_Remanesc!A33)</f>
        <v/>
      </c>
      <c r="B33" s="181" t="str">
        <f>IF(A33="","",itens_Remanesc!C33)</f>
        <v/>
      </c>
      <c r="C33" s="200" t="str">
        <f>IF(A33="","",itens_Remanesc!B33)</f>
        <v/>
      </c>
      <c r="D33" s="202" t="str">
        <f>IF(A33="","",ROUND(SUMIFS(aditivos!$L$2:$L$200,aditivos!$A$2:$A$200,A33,aditivos!$C$2:$C$200,"C0"),2))</f>
        <v/>
      </c>
      <c r="E33" s="198" t="str">
        <f t="shared" si="0"/>
        <v/>
      </c>
      <c r="F33" s="198" t="str">
        <f>IF(A33="","",IF(itens_Remanesc!B33="","",itens_Remanesc!B33))</f>
        <v/>
      </c>
      <c r="G33" s="206" t="str">
        <f t="shared" si="1"/>
        <v/>
      </c>
      <c r="H33" s="208" t="str">
        <f>IF(A33="","",ROUND(SUMIFS(aditivos!$L$2:$L$200,aditivos!$A$2:$A$200,A33,aditivos!$C$2:$C$200,"C1"),2))</f>
        <v/>
      </c>
      <c r="I33" s="204" t="str">
        <f t="shared" si="2"/>
        <v/>
      </c>
      <c r="J33" s="204" t="str">
        <f>IF(A33="","",IF(itens_Remanesc!E33="","",itens_Remanesc!E33))</f>
        <v/>
      </c>
      <c r="K33" s="210" t="str">
        <f t="shared" si="3"/>
        <v/>
      </c>
      <c r="L33" s="202" t="str">
        <f>IF(A33="","",ROUND(SUMIFS(aditivos!$L$2:$L$200,aditivos!$A$2:$A$200,A33,aditivos!$C$2:$C$200,"C2"),2))</f>
        <v/>
      </c>
      <c r="M33" s="198" t="str">
        <f t="shared" si="4"/>
        <v/>
      </c>
      <c r="N33" s="198" t="str">
        <f>IF(A33="","",IF(itens_Remanesc!G33="","",itens_Remanesc!G33))</f>
        <v/>
      </c>
      <c r="O33" s="206" t="str">
        <f t="shared" si="5"/>
        <v/>
      </c>
      <c r="P33" s="208" t="str">
        <f>IF(A33="","",ROUND(SUMIFS(aditivos!$L$2:$L$200,aditivos!$A$2:$A$200,A33,aditivos!$C$2:$C$200,"C3"),2))</f>
        <v/>
      </c>
      <c r="Q33" s="204" t="str">
        <f t="shared" si="6"/>
        <v/>
      </c>
      <c r="R33" s="204" t="str">
        <f>IF(A33="","",IF(itens_Remanesc!I33="","",itens_Remanesc!I33))</f>
        <v/>
      </c>
      <c r="S33" s="210" t="str">
        <f t="shared" si="7"/>
        <v/>
      </c>
      <c r="T33" s="202" t="str">
        <f>IF(A33="","",ROUND(SUMIFS(aditivos!$L$2:$L$200,aditivos!$A$2:$A$200,A33,aditivos!$C$2:$C$200,"C4"),2))</f>
        <v/>
      </c>
      <c r="U33" s="198" t="str">
        <f t="shared" si="8"/>
        <v/>
      </c>
      <c r="V33" s="198" t="str">
        <f>IF(A33="","",IF(itens_Remanesc!K33="","",itens_Remanesc!K33))</f>
        <v/>
      </c>
      <c r="W33" s="198" t="str">
        <f t="shared" si="9"/>
        <v/>
      </c>
      <c r="X33" s="181" t="str">
        <f t="shared" si="10"/>
        <v/>
      </c>
    </row>
    <row r="34" spans="1:24" x14ac:dyDescent="0.35">
      <c r="A34" s="181" t="str">
        <f>IF(itens_Remanesc!A34="","",itens_Remanesc!A34)</f>
        <v/>
      </c>
      <c r="B34" s="181" t="str">
        <f>IF(A34="","",itens_Remanesc!C34)</f>
        <v/>
      </c>
      <c r="C34" s="200" t="str">
        <f>IF(A34="","",itens_Remanesc!B34)</f>
        <v/>
      </c>
      <c r="D34" s="202" t="str">
        <f>IF(A34="","",ROUND(SUMIFS(aditivos!$L$2:$L$200,aditivos!$A$2:$A$200,A34,aditivos!$C$2:$C$200,"C0"),2))</f>
        <v/>
      </c>
      <c r="E34" s="198" t="str">
        <f t="shared" ref="E34:E65" si="11">IF(A34="","",ROUND(C34+D34,2))</f>
        <v/>
      </c>
      <c r="F34" s="198" t="str">
        <f>IF(A34="","",IF(itens_Remanesc!B34="","",itens_Remanesc!B34))</f>
        <v/>
      </c>
      <c r="G34" s="206" t="str">
        <f t="shared" ref="G34:G65" si="12">IF(A34="","",E34)</f>
        <v/>
      </c>
      <c r="H34" s="208" t="str">
        <f>IF(A34="","",ROUND(SUMIFS(aditivos!$L$2:$L$200,aditivos!$A$2:$A$200,A34,aditivos!$C$2:$C$200,"C1"),2))</f>
        <v/>
      </c>
      <c r="I34" s="204" t="str">
        <f t="shared" ref="I34:I65" si="13">IF(A34="","",ROUND(E34+H34,2))</f>
        <v/>
      </c>
      <c r="J34" s="204" t="str">
        <f>IF(A34="","",IF(itens_Remanesc!E34="","",itens_Remanesc!E34))</f>
        <v/>
      </c>
      <c r="K34" s="210" t="str">
        <f t="shared" ref="K34:K65" si="14">IF(OR(A34="",J34=""),"",ROUND(J34,2))</f>
        <v/>
      </c>
      <c r="L34" s="202" t="str">
        <f>IF(A34="","",ROUND(SUMIFS(aditivos!$L$2:$L$200,aditivos!$A$2:$A$200,A34,aditivos!$C$2:$C$200,"C2"),2))</f>
        <v/>
      </c>
      <c r="M34" s="198" t="str">
        <f t="shared" ref="M34:M65" si="15">IF(A34="","",ROUND(I34+L34,2))</f>
        <v/>
      </c>
      <c r="N34" s="198" t="str">
        <f>IF(A34="","",IF(itens_Remanesc!G34="","",itens_Remanesc!G34))</f>
        <v/>
      </c>
      <c r="O34" s="206" t="str">
        <f t="shared" ref="O34:O65" si="16">IF(OR(A34="",N34=""),"",ROUND(N34,2))</f>
        <v/>
      </c>
      <c r="P34" s="208" t="str">
        <f>IF(A34="","",ROUND(SUMIFS(aditivos!$L$2:$L$200,aditivos!$A$2:$A$200,A34,aditivos!$C$2:$C$200,"C3"),2))</f>
        <v/>
      </c>
      <c r="Q34" s="204" t="str">
        <f t="shared" ref="Q34:Q65" si="17">IF(A34="","",ROUND(M34+P34,2))</f>
        <v/>
      </c>
      <c r="R34" s="204" t="str">
        <f>IF(A34="","",IF(itens_Remanesc!I34="","",itens_Remanesc!I34))</f>
        <v/>
      </c>
      <c r="S34" s="210" t="str">
        <f t="shared" ref="S34:S65" si="18">IF(OR(A34="",R34=""),"",ROUND(R34,2))</f>
        <v/>
      </c>
      <c r="T34" s="202" t="str">
        <f>IF(A34="","",ROUND(SUMIFS(aditivos!$L$2:$L$200,aditivos!$A$2:$A$200,A34,aditivos!$C$2:$C$200,"C4"),2))</f>
        <v/>
      </c>
      <c r="U34" s="198" t="str">
        <f t="shared" ref="U34:U65" si="19">IF(A34="","",ROUND(Q34+T34,2))</f>
        <v/>
      </c>
      <c r="V34" s="198" t="str">
        <f>IF(A34="","",IF(itens_Remanesc!K34="","",itens_Remanesc!K34))</f>
        <v/>
      </c>
      <c r="W34" s="198" t="str">
        <f t="shared" ref="W34:W65" si="20">IF(OR(A34="",V34=""),"",ROUND(V34,2))</f>
        <v/>
      </c>
      <c r="X34" s="181" t="str">
        <f t="shared" ref="X34:X65" si="21">IF(A34="","",IF(COUNTIF($A$2:$A$200,A34)&gt;1,"ALERTA: ITEM_DUPLICADO",IF(MIN(E34,I34,M34,Q34,U34,G34,K34,O34,S34,W34)&lt;0,"ALERTA: POSICAO_NEGATIVA",IF(OR(AND(G34&lt;&gt;"",G34&gt;E34),AND(K34&lt;&gt;"",K34&gt;I34),AND(O34&lt;&gt;"",O34&gt;M34),AND(S34&lt;&gt;"",S34&gt;Q34),AND(W34&lt;&gt;"",W34&gt;U34)),"ALERTA: REMANESCENTE_SUPERA_POSICAO","OK"))))</f>
        <v/>
      </c>
    </row>
    <row r="35" spans="1:24" x14ac:dyDescent="0.35">
      <c r="A35" s="181" t="str">
        <f>IF(itens_Remanesc!A35="","",itens_Remanesc!A35)</f>
        <v/>
      </c>
      <c r="B35" s="181" t="str">
        <f>IF(A35="","",itens_Remanesc!C35)</f>
        <v/>
      </c>
      <c r="C35" s="200" t="str">
        <f>IF(A35="","",itens_Remanesc!B35)</f>
        <v/>
      </c>
      <c r="D35" s="202" t="str">
        <f>IF(A35="","",ROUND(SUMIFS(aditivos!$L$2:$L$200,aditivos!$A$2:$A$200,A35,aditivos!$C$2:$C$200,"C0"),2))</f>
        <v/>
      </c>
      <c r="E35" s="198" t="str">
        <f t="shared" si="11"/>
        <v/>
      </c>
      <c r="F35" s="198" t="str">
        <f>IF(A35="","",IF(itens_Remanesc!B35="","",itens_Remanesc!B35))</f>
        <v/>
      </c>
      <c r="G35" s="206" t="str">
        <f t="shared" si="12"/>
        <v/>
      </c>
      <c r="H35" s="208" t="str">
        <f>IF(A35="","",ROUND(SUMIFS(aditivos!$L$2:$L$200,aditivos!$A$2:$A$200,A35,aditivos!$C$2:$C$200,"C1"),2))</f>
        <v/>
      </c>
      <c r="I35" s="204" t="str">
        <f t="shared" si="13"/>
        <v/>
      </c>
      <c r="J35" s="204" t="str">
        <f>IF(A35="","",IF(itens_Remanesc!E35="","",itens_Remanesc!E35))</f>
        <v/>
      </c>
      <c r="K35" s="210" t="str">
        <f t="shared" si="14"/>
        <v/>
      </c>
      <c r="L35" s="202" t="str">
        <f>IF(A35="","",ROUND(SUMIFS(aditivos!$L$2:$L$200,aditivos!$A$2:$A$200,A35,aditivos!$C$2:$C$200,"C2"),2))</f>
        <v/>
      </c>
      <c r="M35" s="198" t="str">
        <f t="shared" si="15"/>
        <v/>
      </c>
      <c r="N35" s="198" t="str">
        <f>IF(A35="","",IF(itens_Remanesc!G35="","",itens_Remanesc!G35))</f>
        <v/>
      </c>
      <c r="O35" s="206" t="str">
        <f t="shared" si="16"/>
        <v/>
      </c>
      <c r="P35" s="208" t="str">
        <f>IF(A35="","",ROUND(SUMIFS(aditivos!$L$2:$L$200,aditivos!$A$2:$A$200,A35,aditivos!$C$2:$C$200,"C3"),2))</f>
        <v/>
      </c>
      <c r="Q35" s="204" t="str">
        <f t="shared" si="17"/>
        <v/>
      </c>
      <c r="R35" s="204" t="str">
        <f>IF(A35="","",IF(itens_Remanesc!I35="","",itens_Remanesc!I35))</f>
        <v/>
      </c>
      <c r="S35" s="210" t="str">
        <f t="shared" si="18"/>
        <v/>
      </c>
      <c r="T35" s="202" t="str">
        <f>IF(A35="","",ROUND(SUMIFS(aditivos!$L$2:$L$200,aditivos!$A$2:$A$200,A35,aditivos!$C$2:$C$200,"C4"),2))</f>
        <v/>
      </c>
      <c r="U35" s="198" t="str">
        <f t="shared" si="19"/>
        <v/>
      </c>
      <c r="V35" s="198" t="str">
        <f>IF(A35="","",IF(itens_Remanesc!K35="","",itens_Remanesc!K35))</f>
        <v/>
      </c>
      <c r="W35" s="198" t="str">
        <f t="shared" si="20"/>
        <v/>
      </c>
      <c r="X35" s="181" t="str">
        <f t="shared" si="21"/>
        <v/>
      </c>
    </row>
    <row r="36" spans="1:24" x14ac:dyDescent="0.35">
      <c r="A36" s="181" t="str">
        <f>IF(itens_Remanesc!A36="","",itens_Remanesc!A36)</f>
        <v/>
      </c>
      <c r="B36" s="181" t="str">
        <f>IF(A36="","",itens_Remanesc!C36)</f>
        <v/>
      </c>
      <c r="C36" s="200" t="str">
        <f>IF(A36="","",itens_Remanesc!B36)</f>
        <v/>
      </c>
      <c r="D36" s="202" t="str">
        <f>IF(A36="","",ROUND(SUMIFS(aditivos!$L$2:$L$200,aditivos!$A$2:$A$200,A36,aditivos!$C$2:$C$200,"C0"),2))</f>
        <v/>
      </c>
      <c r="E36" s="198" t="str">
        <f t="shared" si="11"/>
        <v/>
      </c>
      <c r="F36" s="198" t="str">
        <f>IF(A36="","",IF(itens_Remanesc!B36="","",itens_Remanesc!B36))</f>
        <v/>
      </c>
      <c r="G36" s="206" t="str">
        <f t="shared" si="12"/>
        <v/>
      </c>
      <c r="H36" s="208" t="str">
        <f>IF(A36="","",ROUND(SUMIFS(aditivos!$L$2:$L$200,aditivos!$A$2:$A$200,A36,aditivos!$C$2:$C$200,"C1"),2))</f>
        <v/>
      </c>
      <c r="I36" s="204" t="str">
        <f t="shared" si="13"/>
        <v/>
      </c>
      <c r="J36" s="204" t="str">
        <f>IF(A36="","",IF(itens_Remanesc!E36="","",itens_Remanesc!E36))</f>
        <v/>
      </c>
      <c r="K36" s="210" t="str">
        <f t="shared" si="14"/>
        <v/>
      </c>
      <c r="L36" s="202" t="str">
        <f>IF(A36="","",ROUND(SUMIFS(aditivos!$L$2:$L$200,aditivos!$A$2:$A$200,A36,aditivos!$C$2:$C$200,"C2"),2))</f>
        <v/>
      </c>
      <c r="M36" s="198" t="str">
        <f t="shared" si="15"/>
        <v/>
      </c>
      <c r="N36" s="198" t="str">
        <f>IF(A36="","",IF(itens_Remanesc!G36="","",itens_Remanesc!G36))</f>
        <v/>
      </c>
      <c r="O36" s="206" t="str">
        <f t="shared" si="16"/>
        <v/>
      </c>
      <c r="P36" s="208" t="str">
        <f>IF(A36="","",ROUND(SUMIFS(aditivos!$L$2:$L$200,aditivos!$A$2:$A$200,A36,aditivos!$C$2:$C$200,"C3"),2))</f>
        <v/>
      </c>
      <c r="Q36" s="204" t="str">
        <f t="shared" si="17"/>
        <v/>
      </c>
      <c r="R36" s="204" t="str">
        <f>IF(A36="","",IF(itens_Remanesc!I36="","",itens_Remanesc!I36))</f>
        <v/>
      </c>
      <c r="S36" s="210" t="str">
        <f t="shared" si="18"/>
        <v/>
      </c>
      <c r="T36" s="202" t="str">
        <f>IF(A36="","",ROUND(SUMIFS(aditivos!$L$2:$L$200,aditivos!$A$2:$A$200,A36,aditivos!$C$2:$C$200,"C4"),2))</f>
        <v/>
      </c>
      <c r="U36" s="198" t="str">
        <f t="shared" si="19"/>
        <v/>
      </c>
      <c r="V36" s="198" t="str">
        <f>IF(A36="","",IF(itens_Remanesc!K36="","",itens_Remanesc!K36))</f>
        <v/>
      </c>
      <c r="W36" s="198" t="str">
        <f t="shared" si="20"/>
        <v/>
      </c>
      <c r="X36" s="181" t="str">
        <f t="shared" si="21"/>
        <v/>
      </c>
    </row>
    <row r="37" spans="1:24" x14ac:dyDescent="0.35">
      <c r="A37" s="181" t="str">
        <f>IF(itens_Remanesc!A37="","",itens_Remanesc!A37)</f>
        <v/>
      </c>
      <c r="B37" s="181" t="str">
        <f>IF(A37="","",itens_Remanesc!C37)</f>
        <v/>
      </c>
      <c r="C37" s="200" t="str">
        <f>IF(A37="","",itens_Remanesc!B37)</f>
        <v/>
      </c>
      <c r="D37" s="202" t="str">
        <f>IF(A37="","",ROUND(SUMIFS(aditivos!$L$2:$L$200,aditivos!$A$2:$A$200,A37,aditivos!$C$2:$C$200,"C0"),2))</f>
        <v/>
      </c>
      <c r="E37" s="198" t="str">
        <f t="shared" si="11"/>
        <v/>
      </c>
      <c r="F37" s="198" t="str">
        <f>IF(A37="","",IF(itens_Remanesc!B37="","",itens_Remanesc!B37))</f>
        <v/>
      </c>
      <c r="G37" s="206" t="str">
        <f t="shared" si="12"/>
        <v/>
      </c>
      <c r="H37" s="208" t="str">
        <f>IF(A37="","",ROUND(SUMIFS(aditivos!$L$2:$L$200,aditivos!$A$2:$A$200,A37,aditivos!$C$2:$C$200,"C1"),2))</f>
        <v/>
      </c>
      <c r="I37" s="204" t="str">
        <f t="shared" si="13"/>
        <v/>
      </c>
      <c r="J37" s="204" t="str">
        <f>IF(A37="","",IF(itens_Remanesc!E37="","",itens_Remanesc!E37))</f>
        <v/>
      </c>
      <c r="K37" s="210" t="str">
        <f t="shared" si="14"/>
        <v/>
      </c>
      <c r="L37" s="202" t="str">
        <f>IF(A37="","",ROUND(SUMIFS(aditivos!$L$2:$L$200,aditivos!$A$2:$A$200,A37,aditivos!$C$2:$C$200,"C2"),2))</f>
        <v/>
      </c>
      <c r="M37" s="198" t="str">
        <f t="shared" si="15"/>
        <v/>
      </c>
      <c r="N37" s="198" t="str">
        <f>IF(A37="","",IF(itens_Remanesc!G37="","",itens_Remanesc!G37))</f>
        <v/>
      </c>
      <c r="O37" s="206" t="str">
        <f t="shared" si="16"/>
        <v/>
      </c>
      <c r="P37" s="208" t="str">
        <f>IF(A37="","",ROUND(SUMIFS(aditivos!$L$2:$L$200,aditivos!$A$2:$A$200,A37,aditivos!$C$2:$C$200,"C3"),2))</f>
        <v/>
      </c>
      <c r="Q37" s="204" t="str">
        <f t="shared" si="17"/>
        <v/>
      </c>
      <c r="R37" s="204" t="str">
        <f>IF(A37="","",IF(itens_Remanesc!I37="","",itens_Remanesc!I37))</f>
        <v/>
      </c>
      <c r="S37" s="210" t="str">
        <f t="shared" si="18"/>
        <v/>
      </c>
      <c r="T37" s="202" t="str">
        <f>IF(A37="","",ROUND(SUMIFS(aditivos!$L$2:$L$200,aditivos!$A$2:$A$200,A37,aditivos!$C$2:$C$200,"C4"),2))</f>
        <v/>
      </c>
      <c r="U37" s="198" t="str">
        <f t="shared" si="19"/>
        <v/>
      </c>
      <c r="V37" s="198" t="str">
        <f>IF(A37="","",IF(itens_Remanesc!K37="","",itens_Remanesc!K37))</f>
        <v/>
      </c>
      <c r="W37" s="198" t="str">
        <f t="shared" si="20"/>
        <v/>
      </c>
      <c r="X37" s="181" t="str">
        <f t="shared" si="21"/>
        <v/>
      </c>
    </row>
    <row r="38" spans="1:24" x14ac:dyDescent="0.35">
      <c r="A38" s="181" t="str">
        <f>IF(itens_Remanesc!A38="","",itens_Remanesc!A38)</f>
        <v/>
      </c>
      <c r="B38" s="181" t="str">
        <f>IF(A38="","",itens_Remanesc!C38)</f>
        <v/>
      </c>
      <c r="C38" s="200" t="str">
        <f>IF(A38="","",itens_Remanesc!B38)</f>
        <v/>
      </c>
      <c r="D38" s="202" t="str">
        <f>IF(A38="","",ROUND(SUMIFS(aditivos!$L$2:$L$200,aditivos!$A$2:$A$200,A38,aditivos!$C$2:$C$200,"C0"),2))</f>
        <v/>
      </c>
      <c r="E38" s="198" t="str">
        <f t="shared" si="11"/>
        <v/>
      </c>
      <c r="F38" s="198" t="str">
        <f>IF(A38="","",IF(itens_Remanesc!B38="","",itens_Remanesc!B38))</f>
        <v/>
      </c>
      <c r="G38" s="206" t="str">
        <f t="shared" si="12"/>
        <v/>
      </c>
      <c r="H38" s="208" t="str">
        <f>IF(A38="","",ROUND(SUMIFS(aditivos!$L$2:$L$200,aditivos!$A$2:$A$200,A38,aditivos!$C$2:$C$200,"C1"),2))</f>
        <v/>
      </c>
      <c r="I38" s="204" t="str">
        <f t="shared" si="13"/>
        <v/>
      </c>
      <c r="J38" s="204" t="str">
        <f>IF(A38="","",IF(itens_Remanesc!E38="","",itens_Remanesc!E38))</f>
        <v/>
      </c>
      <c r="K38" s="210" t="str">
        <f t="shared" si="14"/>
        <v/>
      </c>
      <c r="L38" s="202" t="str">
        <f>IF(A38="","",ROUND(SUMIFS(aditivos!$L$2:$L$200,aditivos!$A$2:$A$200,A38,aditivos!$C$2:$C$200,"C2"),2))</f>
        <v/>
      </c>
      <c r="M38" s="198" t="str">
        <f t="shared" si="15"/>
        <v/>
      </c>
      <c r="N38" s="198" t="str">
        <f>IF(A38="","",IF(itens_Remanesc!G38="","",itens_Remanesc!G38))</f>
        <v/>
      </c>
      <c r="O38" s="206" t="str">
        <f t="shared" si="16"/>
        <v/>
      </c>
      <c r="P38" s="208" t="str">
        <f>IF(A38="","",ROUND(SUMIFS(aditivos!$L$2:$L$200,aditivos!$A$2:$A$200,A38,aditivos!$C$2:$C$200,"C3"),2))</f>
        <v/>
      </c>
      <c r="Q38" s="204" t="str">
        <f t="shared" si="17"/>
        <v/>
      </c>
      <c r="R38" s="204" t="str">
        <f>IF(A38="","",IF(itens_Remanesc!I38="","",itens_Remanesc!I38))</f>
        <v/>
      </c>
      <c r="S38" s="210" t="str">
        <f t="shared" si="18"/>
        <v/>
      </c>
      <c r="T38" s="202" t="str">
        <f>IF(A38="","",ROUND(SUMIFS(aditivos!$L$2:$L$200,aditivos!$A$2:$A$200,A38,aditivos!$C$2:$C$200,"C4"),2))</f>
        <v/>
      </c>
      <c r="U38" s="198" t="str">
        <f t="shared" si="19"/>
        <v/>
      </c>
      <c r="V38" s="198" t="str">
        <f>IF(A38="","",IF(itens_Remanesc!K38="","",itens_Remanesc!K38))</f>
        <v/>
      </c>
      <c r="W38" s="198" t="str">
        <f t="shared" si="20"/>
        <v/>
      </c>
      <c r="X38" s="181" t="str">
        <f t="shared" si="21"/>
        <v/>
      </c>
    </row>
    <row r="39" spans="1:24" x14ac:dyDescent="0.35">
      <c r="A39" s="181" t="str">
        <f>IF(itens_Remanesc!A39="","",itens_Remanesc!A39)</f>
        <v/>
      </c>
      <c r="B39" s="181" t="str">
        <f>IF(A39="","",itens_Remanesc!C39)</f>
        <v/>
      </c>
      <c r="C39" s="200" t="str">
        <f>IF(A39="","",itens_Remanesc!B39)</f>
        <v/>
      </c>
      <c r="D39" s="202" t="str">
        <f>IF(A39="","",ROUND(SUMIFS(aditivos!$L$2:$L$200,aditivos!$A$2:$A$200,A39,aditivos!$C$2:$C$200,"C0"),2))</f>
        <v/>
      </c>
      <c r="E39" s="198" t="str">
        <f t="shared" si="11"/>
        <v/>
      </c>
      <c r="F39" s="198" t="str">
        <f>IF(A39="","",IF(itens_Remanesc!B39="","",itens_Remanesc!B39))</f>
        <v/>
      </c>
      <c r="G39" s="206" t="str">
        <f t="shared" si="12"/>
        <v/>
      </c>
      <c r="H39" s="208" t="str">
        <f>IF(A39="","",ROUND(SUMIFS(aditivos!$L$2:$L$200,aditivos!$A$2:$A$200,A39,aditivos!$C$2:$C$200,"C1"),2))</f>
        <v/>
      </c>
      <c r="I39" s="204" t="str">
        <f t="shared" si="13"/>
        <v/>
      </c>
      <c r="J39" s="204" t="str">
        <f>IF(A39="","",IF(itens_Remanesc!E39="","",itens_Remanesc!E39))</f>
        <v/>
      </c>
      <c r="K39" s="210" t="str">
        <f t="shared" si="14"/>
        <v/>
      </c>
      <c r="L39" s="202" t="str">
        <f>IF(A39="","",ROUND(SUMIFS(aditivos!$L$2:$L$200,aditivos!$A$2:$A$200,A39,aditivos!$C$2:$C$200,"C2"),2))</f>
        <v/>
      </c>
      <c r="M39" s="198" t="str">
        <f t="shared" si="15"/>
        <v/>
      </c>
      <c r="N39" s="198" t="str">
        <f>IF(A39="","",IF(itens_Remanesc!G39="","",itens_Remanesc!G39))</f>
        <v/>
      </c>
      <c r="O39" s="206" t="str">
        <f t="shared" si="16"/>
        <v/>
      </c>
      <c r="P39" s="208" t="str">
        <f>IF(A39="","",ROUND(SUMIFS(aditivos!$L$2:$L$200,aditivos!$A$2:$A$200,A39,aditivos!$C$2:$C$200,"C3"),2))</f>
        <v/>
      </c>
      <c r="Q39" s="204" t="str">
        <f t="shared" si="17"/>
        <v/>
      </c>
      <c r="R39" s="204" t="str">
        <f>IF(A39="","",IF(itens_Remanesc!I39="","",itens_Remanesc!I39))</f>
        <v/>
      </c>
      <c r="S39" s="210" t="str">
        <f t="shared" si="18"/>
        <v/>
      </c>
      <c r="T39" s="202" t="str">
        <f>IF(A39="","",ROUND(SUMIFS(aditivos!$L$2:$L$200,aditivos!$A$2:$A$200,A39,aditivos!$C$2:$C$200,"C4"),2))</f>
        <v/>
      </c>
      <c r="U39" s="198" t="str">
        <f t="shared" si="19"/>
        <v/>
      </c>
      <c r="V39" s="198" t="str">
        <f>IF(A39="","",IF(itens_Remanesc!K39="","",itens_Remanesc!K39))</f>
        <v/>
      </c>
      <c r="W39" s="198" t="str">
        <f t="shared" si="20"/>
        <v/>
      </c>
      <c r="X39" s="181" t="str">
        <f t="shared" si="21"/>
        <v/>
      </c>
    </row>
    <row r="40" spans="1:24" x14ac:dyDescent="0.35">
      <c r="A40" s="181" t="str">
        <f>IF(itens_Remanesc!A40="","",itens_Remanesc!A40)</f>
        <v/>
      </c>
      <c r="B40" s="181" t="str">
        <f>IF(A40="","",itens_Remanesc!C40)</f>
        <v/>
      </c>
      <c r="C40" s="200" t="str">
        <f>IF(A40="","",itens_Remanesc!B40)</f>
        <v/>
      </c>
      <c r="D40" s="202" t="str">
        <f>IF(A40="","",ROUND(SUMIFS(aditivos!$L$2:$L$200,aditivos!$A$2:$A$200,A40,aditivos!$C$2:$C$200,"C0"),2))</f>
        <v/>
      </c>
      <c r="E40" s="198" t="str">
        <f t="shared" si="11"/>
        <v/>
      </c>
      <c r="F40" s="198" t="str">
        <f>IF(A40="","",IF(itens_Remanesc!B40="","",itens_Remanesc!B40))</f>
        <v/>
      </c>
      <c r="G40" s="206" t="str">
        <f t="shared" si="12"/>
        <v/>
      </c>
      <c r="H40" s="208" t="str">
        <f>IF(A40="","",ROUND(SUMIFS(aditivos!$L$2:$L$200,aditivos!$A$2:$A$200,A40,aditivos!$C$2:$C$200,"C1"),2))</f>
        <v/>
      </c>
      <c r="I40" s="204" t="str">
        <f t="shared" si="13"/>
        <v/>
      </c>
      <c r="J40" s="204" t="str">
        <f>IF(A40="","",IF(itens_Remanesc!E40="","",itens_Remanesc!E40))</f>
        <v/>
      </c>
      <c r="K40" s="210" t="str">
        <f t="shared" si="14"/>
        <v/>
      </c>
      <c r="L40" s="202" t="str">
        <f>IF(A40="","",ROUND(SUMIFS(aditivos!$L$2:$L$200,aditivos!$A$2:$A$200,A40,aditivos!$C$2:$C$200,"C2"),2))</f>
        <v/>
      </c>
      <c r="M40" s="198" t="str">
        <f t="shared" si="15"/>
        <v/>
      </c>
      <c r="N40" s="198" t="str">
        <f>IF(A40="","",IF(itens_Remanesc!G40="","",itens_Remanesc!G40))</f>
        <v/>
      </c>
      <c r="O40" s="206" t="str">
        <f t="shared" si="16"/>
        <v/>
      </c>
      <c r="P40" s="208" t="str">
        <f>IF(A40="","",ROUND(SUMIFS(aditivos!$L$2:$L$200,aditivos!$A$2:$A$200,A40,aditivos!$C$2:$C$200,"C3"),2))</f>
        <v/>
      </c>
      <c r="Q40" s="204" t="str">
        <f t="shared" si="17"/>
        <v/>
      </c>
      <c r="R40" s="204" t="str">
        <f>IF(A40="","",IF(itens_Remanesc!I40="","",itens_Remanesc!I40))</f>
        <v/>
      </c>
      <c r="S40" s="210" t="str">
        <f t="shared" si="18"/>
        <v/>
      </c>
      <c r="T40" s="202" t="str">
        <f>IF(A40="","",ROUND(SUMIFS(aditivos!$L$2:$L$200,aditivos!$A$2:$A$200,A40,aditivos!$C$2:$C$200,"C4"),2))</f>
        <v/>
      </c>
      <c r="U40" s="198" t="str">
        <f t="shared" si="19"/>
        <v/>
      </c>
      <c r="V40" s="198" t="str">
        <f>IF(A40="","",IF(itens_Remanesc!K40="","",itens_Remanesc!K40))</f>
        <v/>
      </c>
      <c r="W40" s="198" t="str">
        <f t="shared" si="20"/>
        <v/>
      </c>
      <c r="X40" s="181" t="str">
        <f t="shared" si="21"/>
        <v/>
      </c>
    </row>
    <row r="41" spans="1:24" x14ac:dyDescent="0.35">
      <c r="A41" s="181" t="str">
        <f>IF(itens_Remanesc!A41="","",itens_Remanesc!A41)</f>
        <v/>
      </c>
      <c r="B41" s="181" t="str">
        <f>IF(A41="","",itens_Remanesc!C41)</f>
        <v/>
      </c>
      <c r="C41" s="200" t="str">
        <f>IF(A41="","",itens_Remanesc!B41)</f>
        <v/>
      </c>
      <c r="D41" s="202" t="str">
        <f>IF(A41="","",ROUND(SUMIFS(aditivos!$L$2:$L$200,aditivos!$A$2:$A$200,A41,aditivos!$C$2:$C$200,"C0"),2))</f>
        <v/>
      </c>
      <c r="E41" s="198" t="str">
        <f t="shared" si="11"/>
        <v/>
      </c>
      <c r="F41" s="198" t="str">
        <f>IF(A41="","",IF(itens_Remanesc!B41="","",itens_Remanesc!B41))</f>
        <v/>
      </c>
      <c r="G41" s="206" t="str">
        <f t="shared" si="12"/>
        <v/>
      </c>
      <c r="H41" s="208" t="str">
        <f>IF(A41="","",ROUND(SUMIFS(aditivos!$L$2:$L$200,aditivos!$A$2:$A$200,A41,aditivos!$C$2:$C$200,"C1"),2))</f>
        <v/>
      </c>
      <c r="I41" s="204" t="str">
        <f t="shared" si="13"/>
        <v/>
      </c>
      <c r="J41" s="204" t="str">
        <f>IF(A41="","",IF(itens_Remanesc!E41="","",itens_Remanesc!E41))</f>
        <v/>
      </c>
      <c r="K41" s="210" t="str">
        <f t="shared" si="14"/>
        <v/>
      </c>
      <c r="L41" s="202" t="str">
        <f>IF(A41="","",ROUND(SUMIFS(aditivos!$L$2:$L$200,aditivos!$A$2:$A$200,A41,aditivos!$C$2:$C$200,"C2"),2))</f>
        <v/>
      </c>
      <c r="M41" s="198" t="str">
        <f t="shared" si="15"/>
        <v/>
      </c>
      <c r="N41" s="198" t="str">
        <f>IF(A41="","",IF(itens_Remanesc!G41="","",itens_Remanesc!G41))</f>
        <v/>
      </c>
      <c r="O41" s="206" t="str">
        <f t="shared" si="16"/>
        <v/>
      </c>
      <c r="P41" s="208" t="str">
        <f>IF(A41="","",ROUND(SUMIFS(aditivos!$L$2:$L$200,aditivos!$A$2:$A$200,A41,aditivos!$C$2:$C$200,"C3"),2))</f>
        <v/>
      </c>
      <c r="Q41" s="204" t="str">
        <f t="shared" si="17"/>
        <v/>
      </c>
      <c r="R41" s="204" t="str">
        <f>IF(A41="","",IF(itens_Remanesc!I41="","",itens_Remanesc!I41))</f>
        <v/>
      </c>
      <c r="S41" s="210" t="str">
        <f t="shared" si="18"/>
        <v/>
      </c>
      <c r="T41" s="202" t="str">
        <f>IF(A41="","",ROUND(SUMIFS(aditivos!$L$2:$L$200,aditivos!$A$2:$A$200,A41,aditivos!$C$2:$C$200,"C4"),2))</f>
        <v/>
      </c>
      <c r="U41" s="198" t="str">
        <f t="shared" si="19"/>
        <v/>
      </c>
      <c r="V41" s="198" t="str">
        <f>IF(A41="","",IF(itens_Remanesc!K41="","",itens_Remanesc!K41))</f>
        <v/>
      </c>
      <c r="W41" s="198" t="str">
        <f t="shared" si="20"/>
        <v/>
      </c>
      <c r="X41" s="181" t="str">
        <f t="shared" si="21"/>
        <v/>
      </c>
    </row>
    <row r="42" spans="1:24" x14ac:dyDescent="0.35">
      <c r="A42" s="181" t="str">
        <f>IF(itens_Remanesc!A42="","",itens_Remanesc!A42)</f>
        <v/>
      </c>
      <c r="B42" s="181" t="str">
        <f>IF(A42="","",itens_Remanesc!C42)</f>
        <v/>
      </c>
      <c r="C42" s="200" t="str">
        <f>IF(A42="","",itens_Remanesc!B42)</f>
        <v/>
      </c>
      <c r="D42" s="202" t="str">
        <f>IF(A42="","",ROUND(SUMIFS(aditivos!$L$2:$L$200,aditivos!$A$2:$A$200,A42,aditivos!$C$2:$C$200,"C0"),2))</f>
        <v/>
      </c>
      <c r="E42" s="198" t="str">
        <f t="shared" si="11"/>
        <v/>
      </c>
      <c r="F42" s="198" t="str">
        <f>IF(A42="","",IF(itens_Remanesc!B42="","",itens_Remanesc!B42))</f>
        <v/>
      </c>
      <c r="G42" s="206" t="str">
        <f t="shared" si="12"/>
        <v/>
      </c>
      <c r="H42" s="208" t="str">
        <f>IF(A42="","",ROUND(SUMIFS(aditivos!$L$2:$L$200,aditivos!$A$2:$A$200,A42,aditivos!$C$2:$C$200,"C1"),2))</f>
        <v/>
      </c>
      <c r="I42" s="204" t="str">
        <f t="shared" si="13"/>
        <v/>
      </c>
      <c r="J42" s="204" t="str">
        <f>IF(A42="","",IF(itens_Remanesc!E42="","",itens_Remanesc!E42))</f>
        <v/>
      </c>
      <c r="K42" s="210" t="str">
        <f t="shared" si="14"/>
        <v/>
      </c>
      <c r="L42" s="202" t="str">
        <f>IF(A42="","",ROUND(SUMIFS(aditivos!$L$2:$L$200,aditivos!$A$2:$A$200,A42,aditivos!$C$2:$C$200,"C2"),2))</f>
        <v/>
      </c>
      <c r="M42" s="198" t="str">
        <f t="shared" si="15"/>
        <v/>
      </c>
      <c r="N42" s="198" t="str">
        <f>IF(A42="","",IF(itens_Remanesc!G42="","",itens_Remanesc!G42))</f>
        <v/>
      </c>
      <c r="O42" s="206" t="str">
        <f t="shared" si="16"/>
        <v/>
      </c>
      <c r="P42" s="208" t="str">
        <f>IF(A42="","",ROUND(SUMIFS(aditivos!$L$2:$L$200,aditivos!$A$2:$A$200,A42,aditivos!$C$2:$C$200,"C3"),2))</f>
        <v/>
      </c>
      <c r="Q42" s="204" t="str">
        <f t="shared" si="17"/>
        <v/>
      </c>
      <c r="R42" s="204" t="str">
        <f>IF(A42="","",IF(itens_Remanesc!I42="","",itens_Remanesc!I42))</f>
        <v/>
      </c>
      <c r="S42" s="210" t="str">
        <f t="shared" si="18"/>
        <v/>
      </c>
      <c r="T42" s="202" t="str">
        <f>IF(A42="","",ROUND(SUMIFS(aditivos!$L$2:$L$200,aditivos!$A$2:$A$200,A42,aditivos!$C$2:$C$200,"C4"),2))</f>
        <v/>
      </c>
      <c r="U42" s="198" t="str">
        <f t="shared" si="19"/>
        <v/>
      </c>
      <c r="V42" s="198" t="str">
        <f>IF(A42="","",IF(itens_Remanesc!K42="","",itens_Remanesc!K42))</f>
        <v/>
      </c>
      <c r="W42" s="198" t="str">
        <f t="shared" si="20"/>
        <v/>
      </c>
      <c r="X42" s="181" t="str">
        <f t="shared" si="21"/>
        <v/>
      </c>
    </row>
    <row r="43" spans="1:24" x14ac:dyDescent="0.35">
      <c r="A43" s="181" t="str">
        <f>IF(itens_Remanesc!A43="","",itens_Remanesc!A43)</f>
        <v/>
      </c>
      <c r="B43" s="181" t="str">
        <f>IF(A43="","",itens_Remanesc!C43)</f>
        <v/>
      </c>
      <c r="C43" s="200" t="str">
        <f>IF(A43="","",itens_Remanesc!B43)</f>
        <v/>
      </c>
      <c r="D43" s="202" t="str">
        <f>IF(A43="","",ROUND(SUMIFS(aditivos!$L$2:$L$200,aditivos!$A$2:$A$200,A43,aditivos!$C$2:$C$200,"C0"),2))</f>
        <v/>
      </c>
      <c r="E43" s="198" t="str">
        <f t="shared" si="11"/>
        <v/>
      </c>
      <c r="F43" s="198" t="str">
        <f>IF(A43="","",IF(itens_Remanesc!B43="","",itens_Remanesc!B43))</f>
        <v/>
      </c>
      <c r="G43" s="206" t="str">
        <f t="shared" si="12"/>
        <v/>
      </c>
      <c r="H43" s="208" t="str">
        <f>IF(A43="","",ROUND(SUMIFS(aditivos!$L$2:$L$200,aditivos!$A$2:$A$200,A43,aditivos!$C$2:$C$200,"C1"),2))</f>
        <v/>
      </c>
      <c r="I43" s="204" t="str">
        <f t="shared" si="13"/>
        <v/>
      </c>
      <c r="J43" s="204" t="str">
        <f>IF(A43="","",IF(itens_Remanesc!E43="","",itens_Remanesc!E43))</f>
        <v/>
      </c>
      <c r="K43" s="210" t="str">
        <f t="shared" si="14"/>
        <v/>
      </c>
      <c r="L43" s="202" t="str">
        <f>IF(A43="","",ROUND(SUMIFS(aditivos!$L$2:$L$200,aditivos!$A$2:$A$200,A43,aditivos!$C$2:$C$200,"C2"),2))</f>
        <v/>
      </c>
      <c r="M43" s="198" t="str">
        <f t="shared" si="15"/>
        <v/>
      </c>
      <c r="N43" s="198" t="str">
        <f>IF(A43="","",IF(itens_Remanesc!G43="","",itens_Remanesc!G43))</f>
        <v/>
      </c>
      <c r="O43" s="206" t="str">
        <f t="shared" si="16"/>
        <v/>
      </c>
      <c r="P43" s="208" t="str">
        <f>IF(A43="","",ROUND(SUMIFS(aditivos!$L$2:$L$200,aditivos!$A$2:$A$200,A43,aditivos!$C$2:$C$200,"C3"),2))</f>
        <v/>
      </c>
      <c r="Q43" s="204" t="str">
        <f t="shared" si="17"/>
        <v/>
      </c>
      <c r="R43" s="204" t="str">
        <f>IF(A43="","",IF(itens_Remanesc!I43="","",itens_Remanesc!I43))</f>
        <v/>
      </c>
      <c r="S43" s="210" t="str">
        <f t="shared" si="18"/>
        <v/>
      </c>
      <c r="T43" s="202" t="str">
        <f>IF(A43="","",ROUND(SUMIFS(aditivos!$L$2:$L$200,aditivos!$A$2:$A$200,A43,aditivos!$C$2:$C$200,"C4"),2))</f>
        <v/>
      </c>
      <c r="U43" s="198" t="str">
        <f t="shared" si="19"/>
        <v/>
      </c>
      <c r="V43" s="198" t="str">
        <f>IF(A43="","",IF(itens_Remanesc!K43="","",itens_Remanesc!K43))</f>
        <v/>
      </c>
      <c r="W43" s="198" t="str">
        <f t="shared" si="20"/>
        <v/>
      </c>
      <c r="X43" s="181" t="str">
        <f t="shared" si="21"/>
        <v/>
      </c>
    </row>
    <row r="44" spans="1:24" x14ac:dyDescent="0.35">
      <c r="A44" s="181" t="str">
        <f>IF(itens_Remanesc!A44="","",itens_Remanesc!A44)</f>
        <v/>
      </c>
      <c r="B44" s="181" t="str">
        <f>IF(A44="","",itens_Remanesc!C44)</f>
        <v/>
      </c>
      <c r="C44" s="200" t="str">
        <f>IF(A44="","",itens_Remanesc!B44)</f>
        <v/>
      </c>
      <c r="D44" s="202" t="str">
        <f>IF(A44="","",ROUND(SUMIFS(aditivos!$L$2:$L$200,aditivos!$A$2:$A$200,A44,aditivos!$C$2:$C$200,"C0"),2))</f>
        <v/>
      </c>
      <c r="E44" s="198" t="str">
        <f t="shared" si="11"/>
        <v/>
      </c>
      <c r="F44" s="198" t="str">
        <f>IF(A44="","",IF(itens_Remanesc!B44="","",itens_Remanesc!B44))</f>
        <v/>
      </c>
      <c r="G44" s="206" t="str">
        <f t="shared" si="12"/>
        <v/>
      </c>
      <c r="H44" s="208" t="str">
        <f>IF(A44="","",ROUND(SUMIFS(aditivos!$L$2:$L$200,aditivos!$A$2:$A$200,A44,aditivos!$C$2:$C$200,"C1"),2))</f>
        <v/>
      </c>
      <c r="I44" s="204" t="str">
        <f t="shared" si="13"/>
        <v/>
      </c>
      <c r="J44" s="204" t="str">
        <f>IF(A44="","",IF(itens_Remanesc!E44="","",itens_Remanesc!E44))</f>
        <v/>
      </c>
      <c r="K44" s="210" t="str">
        <f t="shared" si="14"/>
        <v/>
      </c>
      <c r="L44" s="202" t="str">
        <f>IF(A44="","",ROUND(SUMIFS(aditivos!$L$2:$L$200,aditivos!$A$2:$A$200,A44,aditivos!$C$2:$C$200,"C2"),2))</f>
        <v/>
      </c>
      <c r="M44" s="198" t="str">
        <f t="shared" si="15"/>
        <v/>
      </c>
      <c r="N44" s="198" t="str">
        <f>IF(A44="","",IF(itens_Remanesc!G44="","",itens_Remanesc!G44))</f>
        <v/>
      </c>
      <c r="O44" s="206" t="str">
        <f t="shared" si="16"/>
        <v/>
      </c>
      <c r="P44" s="208" t="str">
        <f>IF(A44="","",ROUND(SUMIFS(aditivos!$L$2:$L$200,aditivos!$A$2:$A$200,A44,aditivos!$C$2:$C$200,"C3"),2))</f>
        <v/>
      </c>
      <c r="Q44" s="204" t="str">
        <f t="shared" si="17"/>
        <v/>
      </c>
      <c r="R44" s="204" t="str">
        <f>IF(A44="","",IF(itens_Remanesc!I44="","",itens_Remanesc!I44))</f>
        <v/>
      </c>
      <c r="S44" s="210" t="str">
        <f t="shared" si="18"/>
        <v/>
      </c>
      <c r="T44" s="202" t="str">
        <f>IF(A44="","",ROUND(SUMIFS(aditivos!$L$2:$L$200,aditivos!$A$2:$A$200,A44,aditivos!$C$2:$C$200,"C4"),2))</f>
        <v/>
      </c>
      <c r="U44" s="198" t="str">
        <f t="shared" si="19"/>
        <v/>
      </c>
      <c r="V44" s="198" t="str">
        <f>IF(A44="","",IF(itens_Remanesc!K44="","",itens_Remanesc!K44))</f>
        <v/>
      </c>
      <c r="W44" s="198" t="str">
        <f t="shared" si="20"/>
        <v/>
      </c>
      <c r="X44" s="181" t="str">
        <f t="shared" si="21"/>
        <v/>
      </c>
    </row>
    <row r="45" spans="1:24" x14ac:dyDescent="0.35">
      <c r="A45" s="181" t="str">
        <f>IF(itens_Remanesc!A45="","",itens_Remanesc!A45)</f>
        <v/>
      </c>
      <c r="B45" s="181" t="str">
        <f>IF(A45="","",itens_Remanesc!C45)</f>
        <v/>
      </c>
      <c r="C45" s="200" t="str">
        <f>IF(A45="","",itens_Remanesc!B45)</f>
        <v/>
      </c>
      <c r="D45" s="202" t="str">
        <f>IF(A45="","",ROUND(SUMIFS(aditivos!$L$2:$L$200,aditivos!$A$2:$A$200,A45,aditivos!$C$2:$C$200,"C0"),2))</f>
        <v/>
      </c>
      <c r="E45" s="198" t="str">
        <f t="shared" si="11"/>
        <v/>
      </c>
      <c r="F45" s="198" t="str">
        <f>IF(A45="","",IF(itens_Remanesc!B45="","",itens_Remanesc!B45))</f>
        <v/>
      </c>
      <c r="G45" s="206" t="str">
        <f t="shared" si="12"/>
        <v/>
      </c>
      <c r="H45" s="208" t="str">
        <f>IF(A45="","",ROUND(SUMIFS(aditivos!$L$2:$L$200,aditivos!$A$2:$A$200,A45,aditivos!$C$2:$C$200,"C1"),2))</f>
        <v/>
      </c>
      <c r="I45" s="204" t="str">
        <f t="shared" si="13"/>
        <v/>
      </c>
      <c r="J45" s="204" t="str">
        <f>IF(A45="","",IF(itens_Remanesc!E45="","",itens_Remanesc!E45))</f>
        <v/>
      </c>
      <c r="K45" s="210" t="str">
        <f t="shared" si="14"/>
        <v/>
      </c>
      <c r="L45" s="202" t="str">
        <f>IF(A45="","",ROUND(SUMIFS(aditivos!$L$2:$L$200,aditivos!$A$2:$A$200,A45,aditivos!$C$2:$C$200,"C2"),2))</f>
        <v/>
      </c>
      <c r="M45" s="198" t="str">
        <f t="shared" si="15"/>
        <v/>
      </c>
      <c r="N45" s="198" t="str">
        <f>IF(A45="","",IF(itens_Remanesc!G45="","",itens_Remanesc!G45))</f>
        <v/>
      </c>
      <c r="O45" s="206" t="str">
        <f t="shared" si="16"/>
        <v/>
      </c>
      <c r="P45" s="208" t="str">
        <f>IF(A45="","",ROUND(SUMIFS(aditivos!$L$2:$L$200,aditivos!$A$2:$A$200,A45,aditivos!$C$2:$C$200,"C3"),2))</f>
        <v/>
      </c>
      <c r="Q45" s="204" t="str">
        <f t="shared" si="17"/>
        <v/>
      </c>
      <c r="R45" s="204" t="str">
        <f>IF(A45="","",IF(itens_Remanesc!I45="","",itens_Remanesc!I45))</f>
        <v/>
      </c>
      <c r="S45" s="210" t="str">
        <f t="shared" si="18"/>
        <v/>
      </c>
      <c r="T45" s="202" t="str">
        <f>IF(A45="","",ROUND(SUMIFS(aditivos!$L$2:$L$200,aditivos!$A$2:$A$200,A45,aditivos!$C$2:$C$200,"C4"),2))</f>
        <v/>
      </c>
      <c r="U45" s="198" t="str">
        <f t="shared" si="19"/>
        <v/>
      </c>
      <c r="V45" s="198" t="str">
        <f>IF(A45="","",IF(itens_Remanesc!K45="","",itens_Remanesc!K45))</f>
        <v/>
      </c>
      <c r="W45" s="198" t="str">
        <f t="shared" si="20"/>
        <v/>
      </c>
      <c r="X45" s="181" t="str">
        <f t="shared" si="21"/>
        <v/>
      </c>
    </row>
    <row r="46" spans="1:24" x14ac:dyDescent="0.35">
      <c r="A46" s="181" t="str">
        <f>IF(itens_Remanesc!A46="","",itens_Remanesc!A46)</f>
        <v/>
      </c>
      <c r="B46" s="181" t="str">
        <f>IF(A46="","",itens_Remanesc!C46)</f>
        <v/>
      </c>
      <c r="C46" s="200" t="str">
        <f>IF(A46="","",itens_Remanesc!B46)</f>
        <v/>
      </c>
      <c r="D46" s="202" t="str">
        <f>IF(A46="","",ROUND(SUMIFS(aditivos!$L$2:$L$200,aditivos!$A$2:$A$200,A46,aditivos!$C$2:$C$200,"C0"),2))</f>
        <v/>
      </c>
      <c r="E46" s="198" t="str">
        <f t="shared" si="11"/>
        <v/>
      </c>
      <c r="F46" s="198" t="str">
        <f>IF(A46="","",IF(itens_Remanesc!B46="","",itens_Remanesc!B46))</f>
        <v/>
      </c>
      <c r="G46" s="206" t="str">
        <f t="shared" si="12"/>
        <v/>
      </c>
      <c r="H46" s="208" t="str">
        <f>IF(A46="","",ROUND(SUMIFS(aditivos!$L$2:$L$200,aditivos!$A$2:$A$200,A46,aditivos!$C$2:$C$200,"C1"),2))</f>
        <v/>
      </c>
      <c r="I46" s="204" t="str">
        <f t="shared" si="13"/>
        <v/>
      </c>
      <c r="J46" s="204" t="str">
        <f>IF(A46="","",IF(itens_Remanesc!E46="","",itens_Remanesc!E46))</f>
        <v/>
      </c>
      <c r="K46" s="210" t="str">
        <f t="shared" si="14"/>
        <v/>
      </c>
      <c r="L46" s="202" t="str">
        <f>IF(A46="","",ROUND(SUMIFS(aditivos!$L$2:$L$200,aditivos!$A$2:$A$200,A46,aditivos!$C$2:$C$200,"C2"),2))</f>
        <v/>
      </c>
      <c r="M46" s="198" t="str">
        <f t="shared" si="15"/>
        <v/>
      </c>
      <c r="N46" s="198" t="str">
        <f>IF(A46="","",IF(itens_Remanesc!G46="","",itens_Remanesc!G46))</f>
        <v/>
      </c>
      <c r="O46" s="206" t="str">
        <f t="shared" si="16"/>
        <v/>
      </c>
      <c r="P46" s="208" t="str">
        <f>IF(A46="","",ROUND(SUMIFS(aditivos!$L$2:$L$200,aditivos!$A$2:$A$200,A46,aditivos!$C$2:$C$200,"C3"),2))</f>
        <v/>
      </c>
      <c r="Q46" s="204" t="str">
        <f t="shared" si="17"/>
        <v/>
      </c>
      <c r="R46" s="204" t="str">
        <f>IF(A46="","",IF(itens_Remanesc!I46="","",itens_Remanesc!I46))</f>
        <v/>
      </c>
      <c r="S46" s="210" t="str">
        <f t="shared" si="18"/>
        <v/>
      </c>
      <c r="T46" s="202" t="str">
        <f>IF(A46="","",ROUND(SUMIFS(aditivos!$L$2:$L$200,aditivos!$A$2:$A$200,A46,aditivos!$C$2:$C$200,"C4"),2))</f>
        <v/>
      </c>
      <c r="U46" s="198" t="str">
        <f t="shared" si="19"/>
        <v/>
      </c>
      <c r="V46" s="198" t="str">
        <f>IF(A46="","",IF(itens_Remanesc!K46="","",itens_Remanesc!K46))</f>
        <v/>
      </c>
      <c r="W46" s="198" t="str">
        <f t="shared" si="20"/>
        <v/>
      </c>
      <c r="X46" s="181" t="str">
        <f t="shared" si="21"/>
        <v/>
      </c>
    </row>
    <row r="47" spans="1:24" x14ac:dyDescent="0.35">
      <c r="A47" s="181" t="str">
        <f>IF(itens_Remanesc!A47="","",itens_Remanesc!A47)</f>
        <v/>
      </c>
      <c r="B47" s="181" t="str">
        <f>IF(A47="","",itens_Remanesc!C47)</f>
        <v/>
      </c>
      <c r="C47" s="200" t="str">
        <f>IF(A47="","",itens_Remanesc!B47)</f>
        <v/>
      </c>
      <c r="D47" s="202" t="str">
        <f>IF(A47="","",ROUND(SUMIFS(aditivos!$L$2:$L$200,aditivos!$A$2:$A$200,A47,aditivos!$C$2:$C$200,"C0"),2))</f>
        <v/>
      </c>
      <c r="E47" s="198" t="str">
        <f t="shared" si="11"/>
        <v/>
      </c>
      <c r="F47" s="198" t="str">
        <f>IF(A47="","",IF(itens_Remanesc!B47="","",itens_Remanesc!B47))</f>
        <v/>
      </c>
      <c r="G47" s="206" t="str">
        <f t="shared" si="12"/>
        <v/>
      </c>
      <c r="H47" s="208" t="str">
        <f>IF(A47="","",ROUND(SUMIFS(aditivos!$L$2:$L$200,aditivos!$A$2:$A$200,A47,aditivos!$C$2:$C$200,"C1"),2))</f>
        <v/>
      </c>
      <c r="I47" s="204" t="str">
        <f t="shared" si="13"/>
        <v/>
      </c>
      <c r="J47" s="204" t="str">
        <f>IF(A47="","",IF(itens_Remanesc!E47="","",itens_Remanesc!E47))</f>
        <v/>
      </c>
      <c r="K47" s="210" t="str">
        <f t="shared" si="14"/>
        <v/>
      </c>
      <c r="L47" s="202" t="str">
        <f>IF(A47="","",ROUND(SUMIFS(aditivos!$L$2:$L$200,aditivos!$A$2:$A$200,A47,aditivos!$C$2:$C$200,"C2"),2))</f>
        <v/>
      </c>
      <c r="M47" s="198" t="str">
        <f t="shared" si="15"/>
        <v/>
      </c>
      <c r="N47" s="198" t="str">
        <f>IF(A47="","",IF(itens_Remanesc!G47="","",itens_Remanesc!G47))</f>
        <v/>
      </c>
      <c r="O47" s="206" t="str">
        <f t="shared" si="16"/>
        <v/>
      </c>
      <c r="P47" s="208" t="str">
        <f>IF(A47="","",ROUND(SUMIFS(aditivos!$L$2:$L$200,aditivos!$A$2:$A$200,A47,aditivos!$C$2:$C$200,"C3"),2))</f>
        <v/>
      </c>
      <c r="Q47" s="204" t="str">
        <f t="shared" si="17"/>
        <v/>
      </c>
      <c r="R47" s="204" t="str">
        <f>IF(A47="","",IF(itens_Remanesc!I47="","",itens_Remanesc!I47))</f>
        <v/>
      </c>
      <c r="S47" s="210" t="str">
        <f t="shared" si="18"/>
        <v/>
      </c>
      <c r="T47" s="202" t="str">
        <f>IF(A47="","",ROUND(SUMIFS(aditivos!$L$2:$L$200,aditivos!$A$2:$A$200,A47,aditivos!$C$2:$C$200,"C4"),2))</f>
        <v/>
      </c>
      <c r="U47" s="198" t="str">
        <f t="shared" si="19"/>
        <v/>
      </c>
      <c r="V47" s="198" t="str">
        <f>IF(A47="","",IF(itens_Remanesc!K47="","",itens_Remanesc!K47))</f>
        <v/>
      </c>
      <c r="W47" s="198" t="str">
        <f t="shared" si="20"/>
        <v/>
      </c>
      <c r="X47" s="181" t="str">
        <f t="shared" si="21"/>
        <v/>
      </c>
    </row>
    <row r="48" spans="1:24" x14ac:dyDescent="0.35">
      <c r="A48" s="181" t="str">
        <f>IF(itens_Remanesc!A48="","",itens_Remanesc!A48)</f>
        <v/>
      </c>
      <c r="B48" s="181" t="str">
        <f>IF(A48="","",itens_Remanesc!C48)</f>
        <v/>
      </c>
      <c r="C48" s="200" t="str">
        <f>IF(A48="","",itens_Remanesc!B48)</f>
        <v/>
      </c>
      <c r="D48" s="202" t="str">
        <f>IF(A48="","",ROUND(SUMIFS(aditivos!$L$2:$L$200,aditivos!$A$2:$A$200,A48,aditivos!$C$2:$C$200,"C0"),2))</f>
        <v/>
      </c>
      <c r="E48" s="198" t="str">
        <f t="shared" si="11"/>
        <v/>
      </c>
      <c r="F48" s="198" t="str">
        <f>IF(A48="","",IF(itens_Remanesc!B48="","",itens_Remanesc!B48))</f>
        <v/>
      </c>
      <c r="G48" s="206" t="str">
        <f t="shared" si="12"/>
        <v/>
      </c>
      <c r="H48" s="208" t="str">
        <f>IF(A48="","",ROUND(SUMIFS(aditivos!$L$2:$L$200,aditivos!$A$2:$A$200,A48,aditivos!$C$2:$C$200,"C1"),2))</f>
        <v/>
      </c>
      <c r="I48" s="204" t="str">
        <f t="shared" si="13"/>
        <v/>
      </c>
      <c r="J48" s="204" t="str">
        <f>IF(A48="","",IF(itens_Remanesc!E48="","",itens_Remanesc!E48))</f>
        <v/>
      </c>
      <c r="K48" s="210" t="str">
        <f t="shared" si="14"/>
        <v/>
      </c>
      <c r="L48" s="202" t="str">
        <f>IF(A48="","",ROUND(SUMIFS(aditivos!$L$2:$L$200,aditivos!$A$2:$A$200,A48,aditivos!$C$2:$C$200,"C2"),2))</f>
        <v/>
      </c>
      <c r="M48" s="198" t="str">
        <f t="shared" si="15"/>
        <v/>
      </c>
      <c r="N48" s="198" t="str">
        <f>IF(A48="","",IF(itens_Remanesc!G48="","",itens_Remanesc!G48))</f>
        <v/>
      </c>
      <c r="O48" s="206" t="str">
        <f t="shared" si="16"/>
        <v/>
      </c>
      <c r="P48" s="208" t="str">
        <f>IF(A48="","",ROUND(SUMIFS(aditivos!$L$2:$L$200,aditivos!$A$2:$A$200,A48,aditivos!$C$2:$C$200,"C3"),2))</f>
        <v/>
      </c>
      <c r="Q48" s="204" t="str">
        <f t="shared" si="17"/>
        <v/>
      </c>
      <c r="R48" s="204" t="str">
        <f>IF(A48="","",IF(itens_Remanesc!I48="","",itens_Remanesc!I48))</f>
        <v/>
      </c>
      <c r="S48" s="210" t="str">
        <f t="shared" si="18"/>
        <v/>
      </c>
      <c r="T48" s="202" t="str">
        <f>IF(A48="","",ROUND(SUMIFS(aditivos!$L$2:$L$200,aditivos!$A$2:$A$200,A48,aditivos!$C$2:$C$200,"C4"),2))</f>
        <v/>
      </c>
      <c r="U48" s="198" t="str">
        <f t="shared" si="19"/>
        <v/>
      </c>
      <c r="V48" s="198" t="str">
        <f>IF(A48="","",IF(itens_Remanesc!K48="","",itens_Remanesc!K48))</f>
        <v/>
      </c>
      <c r="W48" s="198" t="str">
        <f t="shared" si="20"/>
        <v/>
      </c>
      <c r="X48" s="181" t="str">
        <f t="shared" si="21"/>
        <v/>
      </c>
    </row>
    <row r="49" spans="1:24" x14ac:dyDescent="0.35">
      <c r="A49" s="181" t="str">
        <f>IF(itens_Remanesc!A49="","",itens_Remanesc!A49)</f>
        <v/>
      </c>
      <c r="B49" s="181" t="str">
        <f>IF(A49="","",itens_Remanesc!C49)</f>
        <v/>
      </c>
      <c r="C49" s="200" t="str">
        <f>IF(A49="","",itens_Remanesc!B49)</f>
        <v/>
      </c>
      <c r="D49" s="202" t="str">
        <f>IF(A49="","",ROUND(SUMIFS(aditivos!$L$2:$L$200,aditivos!$A$2:$A$200,A49,aditivos!$C$2:$C$200,"C0"),2))</f>
        <v/>
      </c>
      <c r="E49" s="198" t="str">
        <f t="shared" si="11"/>
        <v/>
      </c>
      <c r="F49" s="198" t="str">
        <f>IF(A49="","",IF(itens_Remanesc!B49="","",itens_Remanesc!B49))</f>
        <v/>
      </c>
      <c r="G49" s="206" t="str">
        <f t="shared" si="12"/>
        <v/>
      </c>
      <c r="H49" s="208" t="str">
        <f>IF(A49="","",ROUND(SUMIFS(aditivos!$L$2:$L$200,aditivos!$A$2:$A$200,A49,aditivos!$C$2:$C$200,"C1"),2))</f>
        <v/>
      </c>
      <c r="I49" s="204" t="str">
        <f t="shared" si="13"/>
        <v/>
      </c>
      <c r="J49" s="204" t="str">
        <f>IF(A49="","",IF(itens_Remanesc!E49="","",itens_Remanesc!E49))</f>
        <v/>
      </c>
      <c r="K49" s="210" t="str">
        <f t="shared" si="14"/>
        <v/>
      </c>
      <c r="L49" s="202" t="str">
        <f>IF(A49="","",ROUND(SUMIFS(aditivos!$L$2:$L$200,aditivos!$A$2:$A$200,A49,aditivos!$C$2:$C$200,"C2"),2))</f>
        <v/>
      </c>
      <c r="M49" s="198" t="str">
        <f t="shared" si="15"/>
        <v/>
      </c>
      <c r="N49" s="198" t="str">
        <f>IF(A49="","",IF(itens_Remanesc!G49="","",itens_Remanesc!G49))</f>
        <v/>
      </c>
      <c r="O49" s="206" t="str">
        <f t="shared" si="16"/>
        <v/>
      </c>
      <c r="P49" s="208" t="str">
        <f>IF(A49="","",ROUND(SUMIFS(aditivos!$L$2:$L$200,aditivos!$A$2:$A$200,A49,aditivos!$C$2:$C$200,"C3"),2))</f>
        <v/>
      </c>
      <c r="Q49" s="204" t="str">
        <f t="shared" si="17"/>
        <v/>
      </c>
      <c r="R49" s="204" t="str">
        <f>IF(A49="","",IF(itens_Remanesc!I49="","",itens_Remanesc!I49))</f>
        <v/>
      </c>
      <c r="S49" s="210" t="str">
        <f t="shared" si="18"/>
        <v/>
      </c>
      <c r="T49" s="202" t="str">
        <f>IF(A49="","",ROUND(SUMIFS(aditivos!$L$2:$L$200,aditivos!$A$2:$A$200,A49,aditivos!$C$2:$C$200,"C4"),2))</f>
        <v/>
      </c>
      <c r="U49" s="198" t="str">
        <f t="shared" si="19"/>
        <v/>
      </c>
      <c r="V49" s="198" t="str">
        <f>IF(A49="","",IF(itens_Remanesc!K49="","",itens_Remanesc!K49))</f>
        <v/>
      </c>
      <c r="W49" s="198" t="str">
        <f t="shared" si="20"/>
        <v/>
      </c>
      <c r="X49" s="181" t="str">
        <f t="shared" si="21"/>
        <v/>
      </c>
    </row>
    <row r="50" spans="1:24" x14ac:dyDescent="0.35">
      <c r="A50" s="181" t="str">
        <f>IF(itens_Remanesc!A50="","",itens_Remanesc!A50)</f>
        <v/>
      </c>
      <c r="B50" s="181" t="str">
        <f>IF(A50="","",itens_Remanesc!C50)</f>
        <v/>
      </c>
      <c r="C50" s="200" t="str">
        <f>IF(A50="","",itens_Remanesc!B50)</f>
        <v/>
      </c>
      <c r="D50" s="202" t="str">
        <f>IF(A50="","",ROUND(SUMIFS(aditivos!$L$2:$L$200,aditivos!$A$2:$A$200,A50,aditivos!$C$2:$C$200,"C0"),2))</f>
        <v/>
      </c>
      <c r="E50" s="198" t="str">
        <f t="shared" si="11"/>
        <v/>
      </c>
      <c r="F50" s="198" t="str">
        <f>IF(A50="","",IF(itens_Remanesc!B50="","",itens_Remanesc!B50))</f>
        <v/>
      </c>
      <c r="G50" s="206" t="str">
        <f t="shared" si="12"/>
        <v/>
      </c>
      <c r="H50" s="208" t="str">
        <f>IF(A50="","",ROUND(SUMIFS(aditivos!$L$2:$L$200,aditivos!$A$2:$A$200,A50,aditivos!$C$2:$C$200,"C1"),2))</f>
        <v/>
      </c>
      <c r="I50" s="204" t="str">
        <f t="shared" si="13"/>
        <v/>
      </c>
      <c r="J50" s="204" t="str">
        <f>IF(A50="","",IF(itens_Remanesc!E50="","",itens_Remanesc!E50))</f>
        <v/>
      </c>
      <c r="K50" s="210" t="str">
        <f t="shared" si="14"/>
        <v/>
      </c>
      <c r="L50" s="202" t="str">
        <f>IF(A50="","",ROUND(SUMIFS(aditivos!$L$2:$L$200,aditivos!$A$2:$A$200,A50,aditivos!$C$2:$C$200,"C2"),2))</f>
        <v/>
      </c>
      <c r="M50" s="198" t="str">
        <f t="shared" si="15"/>
        <v/>
      </c>
      <c r="N50" s="198" t="str">
        <f>IF(A50="","",IF(itens_Remanesc!G50="","",itens_Remanesc!G50))</f>
        <v/>
      </c>
      <c r="O50" s="206" t="str">
        <f t="shared" si="16"/>
        <v/>
      </c>
      <c r="P50" s="208" t="str">
        <f>IF(A50="","",ROUND(SUMIFS(aditivos!$L$2:$L$200,aditivos!$A$2:$A$200,A50,aditivos!$C$2:$C$200,"C3"),2))</f>
        <v/>
      </c>
      <c r="Q50" s="204" t="str">
        <f t="shared" si="17"/>
        <v/>
      </c>
      <c r="R50" s="204" t="str">
        <f>IF(A50="","",IF(itens_Remanesc!I50="","",itens_Remanesc!I50))</f>
        <v/>
      </c>
      <c r="S50" s="210" t="str">
        <f t="shared" si="18"/>
        <v/>
      </c>
      <c r="T50" s="202" t="str">
        <f>IF(A50="","",ROUND(SUMIFS(aditivos!$L$2:$L$200,aditivos!$A$2:$A$200,A50,aditivos!$C$2:$C$200,"C4"),2))</f>
        <v/>
      </c>
      <c r="U50" s="198" t="str">
        <f t="shared" si="19"/>
        <v/>
      </c>
      <c r="V50" s="198" t="str">
        <f>IF(A50="","",IF(itens_Remanesc!K50="","",itens_Remanesc!K50))</f>
        <v/>
      </c>
      <c r="W50" s="198" t="str">
        <f t="shared" si="20"/>
        <v/>
      </c>
      <c r="X50" s="181" t="str">
        <f t="shared" si="21"/>
        <v/>
      </c>
    </row>
    <row r="51" spans="1:24" x14ac:dyDescent="0.35">
      <c r="A51" s="181" t="str">
        <f>IF(itens_Remanesc!A51="","",itens_Remanesc!A51)</f>
        <v/>
      </c>
      <c r="B51" s="181" t="str">
        <f>IF(A51="","",itens_Remanesc!C51)</f>
        <v/>
      </c>
      <c r="C51" s="200" t="str">
        <f>IF(A51="","",itens_Remanesc!B51)</f>
        <v/>
      </c>
      <c r="D51" s="202" t="str">
        <f>IF(A51="","",ROUND(SUMIFS(aditivos!$L$2:$L$200,aditivos!$A$2:$A$200,A51,aditivos!$C$2:$C$200,"C0"),2))</f>
        <v/>
      </c>
      <c r="E51" s="198" t="str">
        <f t="shared" si="11"/>
        <v/>
      </c>
      <c r="F51" s="198" t="str">
        <f>IF(A51="","",IF(itens_Remanesc!B51="","",itens_Remanesc!B51))</f>
        <v/>
      </c>
      <c r="G51" s="206" t="str">
        <f t="shared" si="12"/>
        <v/>
      </c>
      <c r="H51" s="208" t="str">
        <f>IF(A51="","",ROUND(SUMIFS(aditivos!$L$2:$L$200,aditivos!$A$2:$A$200,A51,aditivos!$C$2:$C$200,"C1"),2))</f>
        <v/>
      </c>
      <c r="I51" s="204" t="str">
        <f t="shared" si="13"/>
        <v/>
      </c>
      <c r="J51" s="204" t="str">
        <f>IF(A51="","",IF(itens_Remanesc!E51="","",itens_Remanesc!E51))</f>
        <v/>
      </c>
      <c r="K51" s="210" t="str">
        <f t="shared" si="14"/>
        <v/>
      </c>
      <c r="L51" s="202" t="str">
        <f>IF(A51="","",ROUND(SUMIFS(aditivos!$L$2:$L$200,aditivos!$A$2:$A$200,A51,aditivos!$C$2:$C$200,"C2"),2))</f>
        <v/>
      </c>
      <c r="M51" s="198" t="str">
        <f t="shared" si="15"/>
        <v/>
      </c>
      <c r="N51" s="198" t="str">
        <f>IF(A51="","",IF(itens_Remanesc!G51="","",itens_Remanesc!G51))</f>
        <v/>
      </c>
      <c r="O51" s="206" t="str">
        <f t="shared" si="16"/>
        <v/>
      </c>
      <c r="P51" s="208" t="str">
        <f>IF(A51="","",ROUND(SUMIFS(aditivos!$L$2:$L$200,aditivos!$A$2:$A$200,A51,aditivos!$C$2:$C$200,"C3"),2))</f>
        <v/>
      </c>
      <c r="Q51" s="204" t="str">
        <f t="shared" si="17"/>
        <v/>
      </c>
      <c r="R51" s="204" t="str">
        <f>IF(A51="","",IF(itens_Remanesc!I51="","",itens_Remanesc!I51))</f>
        <v/>
      </c>
      <c r="S51" s="210" t="str">
        <f t="shared" si="18"/>
        <v/>
      </c>
      <c r="T51" s="202" t="str">
        <f>IF(A51="","",ROUND(SUMIFS(aditivos!$L$2:$L$200,aditivos!$A$2:$A$200,A51,aditivos!$C$2:$C$200,"C4"),2))</f>
        <v/>
      </c>
      <c r="U51" s="198" t="str">
        <f t="shared" si="19"/>
        <v/>
      </c>
      <c r="V51" s="198" t="str">
        <f>IF(A51="","",IF(itens_Remanesc!K51="","",itens_Remanesc!K51))</f>
        <v/>
      </c>
      <c r="W51" s="198" t="str">
        <f t="shared" si="20"/>
        <v/>
      </c>
      <c r="X51" s="181" t="str">
        <f t="shared" si="21"/>
        <v/>
      </c>
    </row>
    <row r="52" spans="1:24" x14ac:dyDescent="0.35">
      <c r="A52" s="181" t="str">
        <f>IF(itens_Remanesc!A52="","",itens_Remanesc!A52)</f>
        <v/>
      </c>
      <c r="B52" s="181" t="str">
        <f>IF(A52="","",itens_Remanesc!C52)</f>
        <v/>
      </c>
      <c r="C52" s="200" t="str">
        <f>IF(A52="","",itens_Remanesc!B52)</f>
        <v/>
      </c>
      <c r="D52" s="202" t="str">
        <f>IF(A52="","",ROUND(SUMIFS(aditivos!$L$2:$L$200,aditivos!$A$2:$A$200,A52,aditivos!$C$2:$C$200,"C0"),2))</f>
        <v/>
      </c>
      <c r="E52" s="198" t="str">
        <f t="shared" si="11"/>
        <v/>
      </c>
      <c r="F52" s="198" t="str">
        <f>IF(A52="","",IF(itens_Remanesc!B52="","",itens_Remanesc!B52))</f>
        <v/>
      </c>
      <c r="G52" s="206" t="str">
        <f t="shared" si="12"/>
        <v/>
      </c>
      <c r="H52" s="208" t="str">
        <f>IF(A52="","",ROUND(SUMIFS(aditivos!$L$2:$L$200,aditivos!$A$2:$A$200,A52,aditivos!$C$2:$C$200,"C1"),2))</f>
        <v/>
      </c>
      <c r="I52" s="204" t="str">
        <f t="shared" si="13"/>
        <v/>
      </c>
      <c r="J52" s="204" t="str">
        <f>IF(A52="","",IF(itens_Remanesc!E52="","",itens_Remanesc!E52))</f>
        <v/>
      </c>
      <c r="K52" s="210" t="str">
        <f t="shared" si="14"/>
        <v/>
      </c>
      <c r="L52" s="202" t="str">
        <f>IF(A52="","",ROUND(SUMIFS(aditivos!$L$2:$L$200,aditivos!$A$2:$A$200,A52,aditivos!$C$2:$C$200,"C2"),2))</f>
        <v/>
      </c>
      <c r="M52" s="198" t="str">
        <f t="shared" si="15"/>
        <v/>
      </c>
      <c r="N52" s="198" t="str">
        <f>IF(A52="","",IF(itens_Remanesc!G52="","",itens_Remanesc!G52))</f>
        <v/>
      </c>
      <c r="O52" s="206" t="str">
        <f t="shared" si="16"/>
        <v/>
      </c>
      <c r="P52" s="208" t="str">
        <f>IF(A52="","",ROUND(SUMIFS(aditivos!$L$2:$L$200,aditivos!$A$2:$A$200,A52,aditivos!$C$2:$C$200,"C3"),2))</f>
        <v/>
      </c>
      <c r="Q52" s="204" t="str">
        <f t="shared" si="17"/>
        <v/>
      </c>
      <c r="R52" s="204" t="str">
        <f>IF(A52="","",IF(itens_Remanesc!I52="","",itens_Remanesc!I52))</f>
        <v/>
      </c>
      <c r="S52" s="210" t="str">
        <f t="shared" si="18"/>
        <v/>
      </c>
      <c r="T52" s="202" t="str">
        <f>IF(A52="","",ROUND(SUMIFS(aditivos!$L$2:$L$200,aditivos!$A$2:$A$200,A52,aditivos!$C$2:$C$200,"C4"),2))</f>
        <v/>
      </c>
      <c r="U52" s="198" t="str">
        <f t="shared" si="19"/>
        <v/>
      </c>
      <c r="V52" s="198" t="str">
        <f>IF(A52="","",IF(itens_Remanesc!K52="","",itens_Remanesc!K52))</f>
        <v/>
      </c>
      <c r="W52" s="198" t="str">
        <f t="shared" si="20"/>
        <v/>
      </c>
      <c r="X52" s="181" t="str">
        <f t="shared" si="21"/>
        <v/>
      </c>
    </row>
    <row r="53" spans="1:24" x14ac:dyDescent="0.35">
      <c r="A53" s="181" t="str">
        <f>IF(itens_Remanesc!A53="","",itens_Remanesc!A53)</f>
        <v/>
      </c>
      <c r="B53" s="181" t="str">
        <f>IF(A53="","",itens_Remanesc!C53)</f>
        <v/>
      </c>
      <c r="C53" s="200" t="str">
        <f>IF(A53="","",itens_Remanesc!B53)</f>
        <v/>
      </c>
      <c r="D53" s="202" t="str">
        <f>IF(A53="","",ROUND(SUMIFS(aditivos!$L$2:$L$200,aditivos!$A$2:$A$200,A53,aditivos!$C$2:$C$200,"C0"),2))</f>
        <v/>
      </c>
      <c r="E53" s="198" t="str">
        <f t="shared" si="11"/>
        <v/>
      </c>
      <c r="F53" s="198" t="str">
        <f>IF(A53="","",IF(itens_Remanesc!B53="","",itens_Remanesc!B53))</f>
        <v/>
      </c>
      <c r="G53" s="206" t="str">
        <f t="shared" si="12"/>
        <v/>
      </c>
      <c r="H53" s="208" t="str">
        <f>IF(A53="","",ROUND(SUMIFS(aditivos!$L$2:$L$200,aditivos!$A$2:$A$200,A53,aditivos!$C$2:$C$200,"C1"),2))</f>
        <v/>
      </c>
      <c r="I53" s="204" t="str">
        <f t="shared" si="13"/>
        <v/>
      </c>
      <c r="J53" s="204" t="str">
        <f>IF(A53="","",IF(itens_Remanesc!E53="","",itens_Remanesc!E53))</f>
        <v/>
      </c>
      <c r="K53" s="210" t="str">
        <f t="shared" si="14"/>
        <v/>
      </c>
      <c r="L53" s="202" t="str">
        <f>IF(A53="","",ROUND(SUMIFS(aditivos!$L$2:$L$200,aditivos!$A$2:$A$200,A53,aditivos!$C$2:$C$200,"C2"),2))</f>
        <v/>
      </c>
      <c r="M53" s="198" t="str">
        <f t="shared" si="15"/>
        <v/>
      </c>
      <c r="N53" s="198" t="str">
        <f>IF(A53="","",IF(itens_Remanesc!G53="","",itens_Remanesc!G53))</f>
        <v/>
      </c>
      <c r="O53" s="206" t="str">
        <f t="shared" si="16"/>
        <v/>
      </c>
      <c r="P53" s="208" t="str">
        <f>IF(A53="","",ROUND(SUMIFS(aditivos!$L$2:$L$200,aditivos!$A$2:$A$200,A53,aditivos!$C$2:$C$200,"C3"),2))</f>
        <v/>
      </c>
      <c r="Q53" s="204" t="str">
        <f t="shared" si="17"/>
        <v/>
      </c>
      <c r="R53" s="204" t="str">
        <f>IF(A53="","",IF(itens_Remanesc!I53="","",itens_Remanesc!I53))</f>
        <v/>
      </c>
      <c r="S53" s="210" t="str">
        <f t="shared" si="18"/>
        <v/>
      </c>
      <c r="T53" s="202" t="str">
        <f>IF(A53="","",ROUND(SUMIFS(aditivos!$L$2:$L$200,aditivos!$A$2:$A$200,A53,aditivos!$C$2:$C$200,"C4"),2))</f>
        <v/>
      </c>
      <c r="U53" s="198" t="str">
        <f t="shared" si="19"/>
        <v/>
      </c>
      <c r="V53" s="198" t="str">
        <f>IF(A53="","",IF(itens_Remanesc!K53="","",itens_Remanesc!K53))</f>
        <v/>
      </c>
      <c r="W53" s="198" t="str">
        <f t="shared" si="20"/>
        <v/>
      </c>
      <c r="X53" s="181" t="str">
        <f t="shared" si="21"/>
        <v/>
      </c>
    </row>
    <row r="54" spans="1:24" x14ac:dyDescent="0.35">
      <c r="A54" s="181" t="str">
        <f>IF(itens_Remanesc!A54="","",itens_Remanesc!A54)</f>
        <v/>
      </c>
      <c r="B54" s="181" t="str">
        <f>IF(A54="","",itens_Remanesc!C54)</f>
        <v/>
      </c>
      <c r="C54" s="200" t="str">
        <f>IF(A54="","",itens_Remanesc!B54)</f>
        <v/>
      </c>
      <c r="D54" s="202" t="str">
        <f>IF(A54="","",ROUND(SUMIFS(aditivos!$L$2:$L$200,aditivos!$A$2:$A$200,A54,aditivos!$C$2:$C$200,"C0"),2))</f>
        <v/>
      </c>
      <c r="E54" s="198" t="str">
        <f t="shared" si="11"/>
        <v/>
      </c>
      <c r="F54" s="198" t="str">
        <f>IF(A54="","",IF(itens_Remanesc!B54="","",itens_Remanesc!B54))</f>
        <v/>
      </c>
      <c r="G54" s="206" t="str">
        <f t="shared" si="12"/>
        <v/>
      </c>
      <c r="H54" s="208" t="str">
        <f>IF(A54="","",ROUND(SUMIFS(aditivos!$L$2:$L$200,aditivos!$A$2:$A$200,A54,aditivos!$C$2:$C$200,"C1"),2))</f>
        <v/>
      </c>
      <c r="I54" s="204" t="str">
        <f t="shared" si="13"/>
        <v/>
      </c>
      <c r="J54" s="204" t="str">
        <f>IF(A54="","",IF(itens_Remanesc!E54="","",itens_Remanesc!E54))</f>
        <v/>
      </c>
      <c r="K54" s="210" t="str">
        <f t="shared" si="14"/>
        <v/>
      </c>
      <c r="L54" s="202" t="str">
        <f>IF(A54="","",ROUND(SUMIFS(aditivos!$L$2:$L$200,aditivos!$A$2:$A$200,A54,aditivos!$C$2:$C$200,"C2"),2))</f>
        <v/>
      </c>
      <c r="M54" s="198" t="str">
        <f t="shared" si="15"/>
        <v/>
      </c>
      <c r="N54" s="198" t="str">
        <f>IF(A54="","",IF(itens_Remanesc!G54="","",itens_Remanesc!G54))</f>
        <v/>
      </c>
      <c r="O54" s="206" t="str">
        <f t="shared" si="16"/>
        <v/>
      </c>
      <c r="P54" s="208" t="str">
        <f>IF(A54="","",ROUND(SUMIFS(aditivos!$L$2:$L$200,aditivos!$A$2:$A$200,A54,aditivos!$C$2:$C$200,"C3"),2))</f>
        <v/>
      </c>
      <c r="Q54" s="204" t="str">
        <f t="shared" si="17"/>
        <v/>
      </c>
      <c r="R54" s="204" t="str">
        <f>IF(A54="","",IF(itens_Remanesc!I54="","",itens_Remanesc!I54))</f>
        <v/>
      </c>
      <c r="S54" s="210" t="str">
        <f t="shared" si="18"/>
        <v/>
      </c>
      <c r="T54" s="202" t="str">
        <f>IF(A54="","",ROUND(SUMIFS(aditivos!$L$2:$L$200,aditivos!$A$2:$A$200,A54,aditivos!$C$2:$C$200,"C4"),2))</f>
        <v/>
      </c>
      <c r="U54" s="198" t="str">
        <f t="shared" si="19"/>
        <v/>
      </c>
      <c r="V54" s="198" t="str">
        <f>IF(A54="","",IF(itens_Remanesc!K54="","",itens_Remanesc!K54))</f>
        <v/>
      </c>
      <c r="W54" s="198" t="str">
        <f t="shared" si="20"/>
        <v/>
      </c>
      <c r="X54" s="181" t="str">
        <f t="shared" si="21"/>
        <v/>
      </c>
    </row>
    <row r="55" spans="1:24" x14ac:dyDescent="0.35">
      <c r="A55" s="181" t="str">
        <f>IF(itens_Remanesc!A55="","",itens_Remanesc!A55)</f>
        <v/>
      </c>
      <c r="B55" s="181" t="str">
        <f>IF(A55="","",itens_Remanesc!C55)</f>
        <v/>
      </c>
      <c r="C55" s="200" t="str">
        <f>IF(A55="","",itens_Remanesc!B55)</f>
        <v/>
      </c>
      <c r="D55" s="202" t="str">
        <f>IF(A55="","",ROUND(SUMIFS(aditivos!$L$2:$L$200,aditivos!$A$2:$A$200,A55,aditivos!$C$2:$C$200,"C0"),2))</f>
        <v/>
      </c>
      <c r="E55" s="198" t="str">
        <f t="shared" si="11"/>
        <v/>
      </c>
      <c r="F55" s="198" t="str">
        <f>IF(A55="","",IF(itens_Remanesc!B55="","",itens_Remanesc!B55))</f>
        <v/>
      </c>
      <c r="G55" s="206" t="str">
        <f t="shared" si="12"/>
        <v/>
      </c>
      <c r="H55" s="208" t="str">
        <f>IF(A55="","",ROUND(SUMIFS(aditivos!$L$2:$L$200,aditivos!$A$2:$A$200,A55,aditivos!$C$2:$C$200,"C1"),2))</f>
        <v/>
      </c>
      <c r="I55" s="204" t="str">
        <f t="shared" si="13"/>
        <v/>
      </c>
      <c r="J55" s="204" t="str">
        <f>IF(A55="","",IF(itens_Remanesc!E55="","",itens_Remanesc!E55))</f>
        <v/>
      </c>
      <c r="K55" s="210" t="str">
        <f t="shared" si="14"/>
        <v/>
      </c>
      <c r="L55" s="202" t="str">
        <f>IF(A55="","",ROUND(SUMIFS(aditivos!$L$2:$L$200,aditivos!$A$2:$A$200,A55,aditivos!$C$2:$C$200,"C2"),2))</f>
        <v/>
      </c>
      <c r="M55" s="198" t="str">
        <f t="shared" si="15"/>
        <v/>
      </c>
      <c r="N55" s="198" t="str">
        <f>IF(A55="","",IF(itens_Remanesc!G55="","",itens_Remanesc!G55))</f>
        <v/>
      </c>
      <c r="O55" s="206" t="str">
        <f t="shared" si="16"/>
        <v/>
      </c>
      <c r="P55" s="208" t="str">
        <f>IF(A55="","",ROUND(SUMIFS(aditivos!$L$2:$L$200,aditivos!$A$2:$A$200,A55,aditivos!$C$2:$C$200,"C3"),2))</f>
        <v/>
      </c>
      <c r="Q55" s="204" t="str">
        <f t="shared" si="17"/>
        <v/>
      </c>
      <c r="R55" s="204" t="str">
        <f>IF(A55="","",IF(itens_Remanesc!I55="","",itens_Remanesc!I55))</f>
        <v/>
      </c>
      <c r="S55" s="210" t="str">
        <f t="shared" si="18"/>
        <v/>
      </c>
      <c r="T55" s="202" t="str">
        <f>IF(A55="","",ROUND(SUMIFS(aditivos!$L$2:$L$200,aditivos!$A$2:$A$200,A55,aditivos!$C$2:$C$200,"C4"),2))</f>
        <v/>
      </c>
      <c r="U55" s="198" t="str">
        <f t="shared" si="19"/>
        <v/>
      </c>
      <c r="V55" s="198" t="str">
        <f>IF(A55="","",IF(itens_Remanesc!K55="","",itens_Remanesc!K55))</f>
        <v/>
      </c>
      <c r="W55" s="198" t="str">
        <f t="shared" si="20"/>
        <v/>
      </c>
      <c r="X55" s="181" t="str">
        <f t="shared" si="21"/>
        <v/>
      </c>
    </row>
    <row r="56" spans="1:24" x14ac:dyDescent="0.35">
      <c r="A56" s="181" t="str">
        <f>IF(itens_Remanesc!A56="","",itens_Remanesc!A56)</f>
        <v/>
      </c>
      <c r="B56" s="181" t="str">
        <f>IF(A56="","",itens_Remanesc!C56)</f>
        <v/>
      </c>
      <c r="C56" s="200" t="str">
        <f>IF(A56="","",itens_Remanesc!B56)</f>
        <v/>
      </c>
      <c r="D56" s="202" t="str">
        <f>IF(A56="","",ROUND(SUMIFS(aditivos!$L$2:$L$200,aditivos!$A$2:$A$200,A56,aditivos!$C$2:$C$200,"C0"),2))</f>
        <v/>
      </c>
      <c r="E56" s="198" t="str">
        <f t="shared" si="11"/>
        <v/>
      </c>
      <c r="F56" s="198" t="str">
        <f>IF(A56="","",IF(itens_Remanesc!B56="","",itens_Remanesc!B56))</f>
        <v/>
      </c>
      <c r="G56" s="206" t="str">
        <f t="shared" si="12"/>
        <v/>
      </c>
      <c r="H56" s="208" t="str">
        <f>IF(A56="","",ROUND(SUMIFS(aditivos!$L$2:$L$200,aditivos!$A$2:$A$200,A56,aditivos!$C$2:$C$200,"C1"),2))</f>
        <v/>
      </c>
      <c r="I56" s="204" t="str">
        <f t="shared" si="13"/>
        <v/>
      </c>
      <c r="J56" s="204" t="str">
        <f>IF(A56="","",IF(itens_Remanesc!E56="","",itens_Remanesc!E56))</f>
        <v/>
      </c>
      <c r="K56" s="210" t="str">
        <f t="shared" si="14"/>
        <v/>
      </c>
      <c r="L56" s="202" t="str">
        <f>IF(A56="","",ROUND(SUMIFS(aditivos!$L$2:$L$200,aditivos!$A$2:$A$200,A56,aditivos!$C$2:$C$200,"C2"),2))</f>
        <v/>
      </c>
      <c r="M56" s="198" t="str">
        <f t="shared" si="15"/>
        <v/>
      </c>
      <c r="N56" s="198" t="str">
        <f>IF(A56="","",IF(itens_Remanesc!G56="","",itens_Remanesc!G56))</f>
        <v/>
      </c>
      <c r="O56" s="206" t="str">
        <f t="shared" si="16"/>
        <v/>
      </c>
      <c r="P56" s="208" t="str">
        <f>IF(A56="","",ROUND(SUMIFS(aditivos!$L$2:$L$200,aditivos!$A$2:$A$200,A56,aditivos!$C$2:$C$200,"C3"),2))</f>
        <v/>
      </c>
      <c r="Q56" s="204" t="str">
        <f t="shared" si="17"/>
        <v/>
      </c>
      <c r="R56" s="204" t="str">
        <f>IF(A56="","",IF(itens_Remanesc!I56="","",itens_Remanesc!I56))</f>
        <v/>
      </c>
      <c r="S56" s="210" t="str">
        <f t="shared" si="18"/>
        <v/>
      </c>
      <c r="T56" s="202" t="str">
        <f>IF(A56="","",ROUND(SUMIFS(aditivos!$L$2:$L$200,aditivos!$A$2:$A$200,A56,aditivos!$C$2:$C$200,"C4"),2))</f>
        <v/>
      </c>
      <c r="U56" s="198" t="str">
        <f t="shared" si="19"/>
        <v/>
      </c>
      <c r="V56" s="198" t="str">
        <f>IF(A56="","",IF(itens_Remanesc!K56="","",itens_Remanesc!K56))</f>
        <v/>
      </c>
      <c r="W56" s="198" t="str">
        <f t="shared" si="20"/>
        <v/>
      </c>
      <c r="X56" s="181" t="str">
        <f t="shared" si="21"/>
        <v/>
      </c>
    </row>
    <row r="57" spans="1:24" x14ac:dyDescent="0.35">
      <c r="A57" s="181" t="str">
        <f>IF(itens_Remanesc!A57="","",itens_Remanesc!A57)</f>
        <v/>
      </c>
      <c r="B57" s="181" t="str">
        <f>IF(A57="","",itens_Remanesc!C57)</f>
        <v/>
      </c>
      <c r="C57" s="200" t="str">
        <f>IF(A57="","",itens_Remanesc!B57)</f>
        <v/>
      </c>
      <c r="D57" s="202" t="str">
        <f>IF(A57="","",ROUND(SUMIFS(aditivos!$L$2:$L$200,aditivos!$A$2:$A$200,A57,aditivos!$C$2:$C$200,"C0"),2))</f>
        <v/>
      </c>
      <c r="E57" s="198" t="str">
        <f t="shared" si="11"/>
        <v/>
      </c>
      <c r="F57" s="198" t="str">
        <f>IF(A57="","",IF(itens_Remanesc!B57="","",itens_Remanesc!B57))</f>
        <v/>
      </c>
      <c r="G57" s="206" t="str">
        <f t="shared" si="12"/>
        <v/>
      </c>
      <c r="H57" s="208" t="str">
        <f>IF(A57="","",ROUND(SUMIFS(aditivos!$L$2:$L$200,aditivos!$A$2:$A$200,A57,aditivos!$C$2:$C$200,"C1"),2))</f>
        <v/>
      </c>
      <c r="I57" s="204" t="str">
        <f t="shared" si="13"/>
        <v/>
      </c>
      <c r="J57" s="204" t="str">
        <f>IF(A57="","",IF(itens_Remanesc!E57="","",itens_Remanesc!E57))</f>
        <v/>
      </c>
      <c r="K57" s="210" t="str">
        <f t="shared" si="14"/>
        <v/>
      </c>
      <c r="L57" s="202" t="str">
        <f>IF(A57="","",ROUND(SUMIFS(aditivos!$L$2:$L$200,aditivos!$A$2:$A$200,A57,aditivos!$C$2:$C$200,"C2"),2))</f>
        <v/>
      </c>
      <c r="M57" s="198" t="str">
        <f t="shared" si="15"/>
        <v/>
      </c>
      <c r="N57" s="198" t="str">
        <f>IF(A57="","",IF(itens_Remanesc!G57="","",itens_Remanesc!G57))</f>
        <v/>
      </c>
      <c r="O57" s="206" t="str">
        <f t="shared" si="16"/>
        <v/>
      </c>
      <c r="P57" s="208" t="str">
        <f>IF(A57="","",ROUND(SUMIFS(aditivos!$L$2:$L$200,aditivos!$A$2:$A$200,A57,aditivos!$C$2:$C$200,"C3"),2))</f>
        <v/>
      </c>
      <c r="Q57" s="204" t="str">
        <f t="shared" si="17"/>
        <v/>
      </c>
      <c r="R57" s="204" t="str">
        <f>IF(A57="","",IF(itens_Remanesc!I57="","",itens_Remanesc!I57))</f>
        <v/>
      </c>
      <c r="S57" s="210" t="str">
        <f t="shared" si="18"/>
        <v/>
      </c>
      <c r="T57" s="202" t="str">
        <f>IF(A57="","",ROUND(SUMIFS(aditivos!$L$2:$L$200,aditivos!$A$2:$A$200,A57,aditivos!$C$2:$C$200,"C4"),2))</f>
        <v/>
      </c>
      <c r="U57" s="198" t="str">
        <f t="shared" si="19"/>
        <v/>
      </c>
      <c r="V57" s="198" t="str">
        <f>IF(A57="","",IF(itens_Remanesc!K57="","",itens_Remanesc!K57))</f>
        <v/>
      </c>
      <c r="W57" s="198" t="str">
        <f t="shared" si="20"/>
        <v/>
      </c>
      <c r="X57" s="181" t="str">
        <f t="shared" si="21"/>
        <v/>
      </c>
    </row>
    <row r="58" spans="1:24" x14ac:dyDescent="0.35">
      <c r="A58" s="181" t="str">
        <f>IF(itens_Remanesc!A58="","",itens_Remanesc!A58)</f>
        <v/>
      </c>
      <c r="B58" s="181" t="str">
        <f>IF(A58="","",itens_Remanesc!C58)</f>
        <v/>
      </c>
      <c r="C58" s="200" t="str">
        <f>IF(A58="","",itens_Remanesc!B58)</f>
        <v/>
      </c>
      <c r="D58" s="202" t="str">
        <f>IF(A58="","",ROUND(SUMIFS(aditivos!$L$2:$L$200,aditivos!$A$2:$A$200,A58,aditivos!$C$2:$C$200,"C0"),2))</f>
        <v/>
      </c>
      <c r="E58" s="198" t="str">
        <f t="shared" si="11"/>
        <v/>
      </c>
      <c r="F58" s="198" t="str">
        <f>IF(A58="","",IF(itens_Remanesc!B58="","",itens_Remanesc!B58))</f>
        <v/>
      </c>
      <c r="G58" s="206" t="str">
        <f t="shared" si="12"/>
        <v/>
      </c>
      <c r="H58" s="208" t="str">
        <f>IF(A58="","",ROUND(SUMIFS(aditivos!$L$2:$L$200,aditivos!$A$2:$A$200,A58,aditivos!$C$2:$C$200,"C1"),2))</f>
        <v/>
      </c>
      <c r="I58" s="204" t="str">
        <f t="shared" si="13"/>
        <v/>
      </c>
      <c r="J58" s="204" t="str">
        <f>IF(A58="","",IF(itens_Remanesc!E58="","",itens_Remanesc!E58))</f>
        <v/>
      </c>
      <c r="K58" s="210" t="str">
        <f t="shared" si="14"/>
        <v/>
      </c>
      <c r="L58" s="202" t="str">
        <f>IF(A58="","",ROUND(SUMIFS(aditivos!$L$2:$L$200,aditivos!$A$2:$A$200,A58,aditivos!$C$2:$C$200,"C2"),2))</f>
        <v/>
      </c>
      <c r="M58" s="198" t="str">
        <f t="shared" si="15"/>
        <v/>
      </c>
      <c r="N58" s="198" t="str">
        <f>IF(A58="","",IF(itens_Remanesc!G58="","",itens_Remanesc!G58))</f>
        <v/>
      </c>
      <c r="O58" s="206" t="str">
        <f t="shared" si="16"/>
        <v/>
      </c>
      <c r="P58" s="208" t="str">
        <f>IF(A58="","",ROUND(SUMIFS(aditivos!$L$2:$L$200,aditivos!$A$2:$A$200,A58,aditivos!$C$2:$C$200,"C3"),2))</f>
        <v/>
      </c>
      <c r="Q58" s="204" t="str">
        <f t="shared" si="17"/>
        <v/>
      </c>
      <c r="R58" s="204" t="str">
        <f>IF(A58="","",IF(itens_Remanesc!I58="","",itens_Remanesc!I58))</f>
        <v/>
      </c>
      <c r="S58" s="210" t="str">
        <f t="shared" si="18"/>
        <v/>
      </c>
      <c r="T58" s="202" t="str">
        <f>IF(A58="","",ROUND(SUMIFS(aditivos!$L$2:$L$200,aditivos!$A$2:$A$200,A58,aditivos!$C$2:$C$200,"C4"),2))</f>
        <v/>
      </c>
      <c r="U58" s="198" t="str">
        <f t="shared" si="19"/>
        <v/>
      </c>
      <c r="V58" s="198" t="str">
        <f>IF(A58="","",IF(itens_Remanesc!K58="","",itens_Remanesc!K58))</f>
        <v/>
      </c>
      <c r="W58" s="198" t="str">
        <f t="shared" si="20"/>
        <v/>
      </c>
      <c r="X58" s="181" t="str">
        <f t="shared" si="21"/>
        <v/>
      </c>
    </row>
    <row r="59" spans="1:24" x14ac:dyDescent="0.35">
      <c r="A59" s="181" t="str">
        <f>IF(itens_Remanesc!A59="","",itens_Remanesc!A59)</f>
        <v/>
      </c>
      <c r="B59" s="181" t="str">
        <f>IF(A59="","",itens_Remanesc!C59)</f>
        <v/>
      </c>
      <c r="C59" s="200" t="str">
        <f>IF(A59="","",itens_Remanesc!B59)</f>
        <v/>
      </c>
      <c r="D59" s="202" t="str">
        <f>IF(A59="","",ROUND(SUMIFS(aditivos!$L$2:$L$200,aditivos!$A$2:$A$200,A59,aditivos!$C$2:$C$200,"C0"),2))</f>
        <v/>
      </c>
      <c r="E59" s="198" t="str">
        <f t="shared" si="11"/>
        <v/>
      </c>
      <c r="F59" s="198" t="str">
        <f>IF(A59="","",IF(itens_Remanesc!B59="","",itens_Remanesc!B59))</f>
        <v/>
      </c>
      <c r="G59" s="206" t="str">
        <f t="shared" si="12"/>
        <v/>
      </c>
      <c r="H59" s="208" t="str">
        <f>IF(A59="","",ROUND(SUMIFS(aditivos!$L$2:$L$200,aditivos!$A$2:$A$200,A59,aditivos!$C$2:$C$200,"C1"),2))</f>
        <v/>
      </c>
      <c r="I59" s="204" t="str">
        <f t="shared" si="13"/>
        <v/>
      </c>
      <c r="J59" s="204" t="str">
        <f>IF(A59="","",IF(itens_Remanesc!E59="","",itens_Remanesc!E59))</f>
        <v/>
      </c>
      <c r="K59" s="210" t="str">
        <f t="shared" si="14"/>
        <v/>
      </c>
      <c r="L59" s="202" t="str">
        <f>IF(A59="","",ROUND(SUMIFS(aditivos!$L$2:$L$200,aditivos!$A$2:$A$200,A59,aditivos!$C$2:$C$200,"C2"),2))</f>
        <v/>
      </c>
      <c r="M59" s="198" t="str">
        <f t="shared" si="15"/>
        <v/>
      </c>
      <c r="N59" s="198" t="str">
        <f>IF(A59="","",IF(itens_Remanesc!G59="","",itens_Remanesc!G59))</f>
        <v/>
      </c>
      <c r="O59" s="206" t="str">
        <f t="shared" si="16"/>
        <v/>
      </c>
      <c r="P59" s="208" t="str">
        <f>IF(A59="","",ROUND(SUMIFS(aditivos!$L$2:$L$200,aditivos!$A$2:$A$200,A59,aditivos!$C$2:$C$200,"C3"),2))</f>
        <v/>
      </c>
      <c r="Q59" s="204" t="str">
        <f t="shared" si="17"/>
        <v/>
      </c>
      <c r="R59" s="204" t="str">
        <f>IF(A59="","",IF(itens_Remanesc!I59="","",itens_Remanesc!I59))</f>
        <v/>
      </c>
      <c r="S59" s="210" t="str">
        <f t="shared" si="18"/>
        <v/>
      </c>
      <c r="T59" s="202" t="str">
        <f>IF(A59="","",ROUND(SUMIFS(aditivos!$L$2:$L$200,aditivos!$A$2:$A$200,A59,aditivos!$C$2:$C$200,"C4"),2))</f>
        <v/>
      </c>
      <c r="U59" s="198" t="str">
        <f t="shared" si="19"/>
        <v/>
      </c>
      <c r="V59" s="198" t="str">
        <f>IF(A59="","",IF(itens_Remanesc!K59="","",itens_Remanesc!K59))</f>
        <v/>
      </c>
      <c r="W59" s="198" t="str">
        <f t="shared" si="20"/>
        <v/>
      </c>
      <c r="X59" s="181" t="str">
        <f t="shared" si="21"/>
        <v/>
      </c>
    </row>
    <row r="60" spans="1:24" x14ac:dyDescent="0.35">
      <c r="A60" s="181" t="str">
        <f>IF(itens_Remanesc!A60="","",itens_Remanesc!A60)</f>
        <v/>
      </c>
      <c r="B60" s="181" t="str">
        <f>IF(A60="","",itens_Remanesc!C60)</f>
        <v/>
      </c>
      <c r="C60" s="200" t="str">
        <f>IF(A60="","",itens_Remanesc!B60)</f>
        <v/>
      </c>
      <c r="D60" s="202" t="str">
        <f>IF(A60="","",ROUND(SUMIFS(aditivos!$L$2:$L$200,aditivos!$A$2:$A$200,A60,aditivos!$C$2:$C$200,"C0"),2))</f>
        <v/>
      </c>
      <c r="E60" s="198" t="str">
        <f t="shared" si="11"/>
        <v/>
      </c>
      <c r="F60" s="198" t="str">
        <f>IF(A60="","",IF(itens_Remanesc!B60="","",itens_Remanesc!B60))</f>
        <v/>
      </c>
      <c r="G60" s="206" t="str">
        <f t="shared" si="12"/>
        <v/>
      </c>
      <c r="H60" s="208" t="str">
        <f>IF(A60="","",ROUND(SUMIFS(aditivos!$L$2:$L$200,aditivos!$A$2:$A$200,A60,aditivos!$C$2:$C$200,"C1"),2))</f>
        <v/>
      </c>
      <c r="I60" s="204" t="str">
        <f t="shared" si="13"/>
        <v/>
      </c>
      <c r="J60" s="204" t="str">
        <f>IF(A60="","",IF(itens_Remanesc!E60="","",itens_Remanesc!E60))</f>
        <v/>
      </c>
      <c r="K60" s="210" t="str">
        <f t="shared" si="14"/>
        <v/>
      </c>
      <c r="L60" s="202" t="str">
        <f>IF(A60="","",ROUND(SUMIFS(aditivos!$L$2:$L$200,aditivos!$A$2:$A$200,A60,aditivos!$C$2:$C$200,"C2"),2))</f>
        <v/>
      </c>
      <c r="M60" s="198" t="str">
        <f t="shared" si="15"/>
        <v/>
      </c>
      <c r="N60" s="198" t="str">
        <f>IF(A60="","",IF(itens_Remanesc!G60="","",itens_Remanesc!G60))</f>
        <v/>
      </c>
      <c r="O60" s="206" t="str">
        <f t="shared" si="16"/>
        <v/>
      </c>
      <c r="P60" s="208" t="str">
        <f>IF(A60="","",ROUND(SUMIFS(aditivos!$L$2:$L$200,aditivos!$A$2:$A$200,A60,aditivos!$C$2:$C$200,"C3"),2))</f>
        <v/>
      </c>
      <c r="Q60" s="204" t="str">
        <f t="shared" si="17"/>
        <v/>
      </c>
      <c r="R60" s="204" t="str">
        <f>IF(A60="","",IF(itens_Remanesc!I60="","",itens_Remanesc!I60))</f>
        <v/>
      </c>
      <c r="S60" s="210" t="str">
        <f t="shared" si="18"/>
        <v/>
      </c>
      <c r="T60" s="202" t="str">
        <f>IF(A60="","",ROUND(SUMIFS(aditivos!$L$2:$L$200,aditivos!$A$2:$A$200,A60,aditivos!$C$2:$C$200,"C4"),2))</f>
        <v/>
      </c>
      <c r="U60" s="198" t="str">
        <f t="shared" si="19"/>
        <v/>
      </c>
      <c r="V60" s="198" t="str">
        <f>IF(A60="","",IF(itens_Remanesc!K60="","",itens_Remanesc!K60))</f>
        <v/>
      </c>
      <c r="W60" s="198" t="str">
        <f t="shared" si="20"/>
        <v/>
      </c>
      <c r="X60" s="181" t="str">
        <f t="shared" si="21"/>
        <v/>
      </c>
    </row>
    <row r="61" spans="1:24" x14ac:dyDescent="0.35">
      <c r="A61" s="181" t="str">
        <f>IF(itens_Remanesc!A61="","",itens_Remanesc!A61)</f>
        <v/>
      </c>
      <c r="B61" s="181" t="str">
        <f>IF(A61="","",itens_Remanesc!C61)</f>
        <v/>
      </c>
      <c r="C61" s="200" t="str">
        <f>IF(A61="","",itens_Remanesc!B61)</f>
        <v/>
      </c>
      <c r="D61" s="202" t="str">
        <f>IF(A61="","",ROUND(SUMIFS(aditivos!$L$2:$L$200,aditivos!$A$2:$A$200,A61,aditivos!$C$2:$C$200,"C0"),2))</f>
        <v/>
      </c>
      <c r="E61" s="198" t="str">
        <f t="shared" si="11"/>
        <v/>
      </c>
      <c r="F61" s="198" t="str">
        <f>IF(A61="","",IF(itens_Remanesc!B61="","",itens_Remanesc!B61))</f>
        <v/>
      </c>
      <c r="G61" s="206" t="str">
        <f t="shared" si="12"/>
        <v/>
      </c>
      <c r="H61" s="208" t="str">
        <f>IF(A61="","",ROUND(SUMIFS(aditivos!$L$2:$L$200,aditivos!$A$2:$A$200,A61,aditivos!$C$2:$C$200,"C1"),2))</f>
        <v/>
      </c>
      <c r="I61" s="204" t="str">
        <f t="shared" si="13"/>
        <v/>
      </c>
      <c r="J61" s="204" t="str">
        <f>IF(A61="","",IF(itens_Remanesc!E61="","",itens_Remanesc!E61))</f>
        <v/>
      </c>
      <c r="K61" s="210" t="str">
        <f t="shared" si="14"/>
        <v/>
      </c>
      <c r="L61" s="202" t="str">
        <f>IF(A61="","",ROUND(SUMIFS(aditivos!$L$2:$L$200,aditivos!$A$2:$A$200,A61,aditivos!$C$2:$C$200,"C2"),2))</f>
        <v/>
      </c>
      <c r="M61" s="198" t="str">
        <f t="shared" si="15"/>
        <v/>
      </c>
      <c r="N61" s="198" t="str">
        <f>IF(A61="","",IF(itens_Remanesc!G61="","",itens_Remanesc!G61))</f>
        <v/>
      </c>
      <c r="O61" s="206" t="str">
        <f t="shared" si="16"/>
        <v/>
      </c>
      <c r="P61" s="208" t="str">
        <f>IF(A61="","",ROUND(SUMIFS(aditivos!$L$2:$L$200,aditivos!$A$2:$A$200,A61,aditivos!$C$2:$C$200,"C3"),2))</f>
        <v/>
      </c>
      <c r="Q61" s="204" t="str">
        <f t="shared" si="17"/>
        <v/>
      </c>
      <c r="R61" s="204" t="str">
        <f>IF(A61="","",IF(itens_Remanesc!I61="","",itens_Remanesc!I61))</f>
        <v/>
      </c>
      <c r="S61" s="210" t="str">
        <f t="shared" si="18"/>
        <v/>
      </c>
      <c r="T61" s="202" t="str">
        <f>IF(A61="","",ROUND(SUMIFS(aditivos!$L$2:$L$200,aditivos!$A$2:$A$200,A61,aditivos!$C$2:$C$200,"C4"),2))</f>
        <v/>
      </c>
      <c r="U61" s="198" t="str">
        <f t="shared" si="19"/>
        <v/>
      </c>
      <c r="V61" s="198" t="str">
        <f>IF(A61="","",IF(itens_Remanesc!K61="","",itens_Remanesc!K61))</f>
        <v/>
      </c>
      <c r="W61" s="198" t="str">
        <f t="shared" si="20"/>
        <v/>
      </c>
      <c r="X61" s="181" t="str">
        <f t="shared" si="21"/>
        <v/>
      </c>
    </row>
    <row r="62" spans="1:24" x14ac:dyDescent="0.35">
      <c r="A62" s="181" t="str">
        <f>IF(itens_Remanesc!A62="","",itens_Remanesc!A62)</f>
        <v/>
      </c>
      <c r="B62" s="181" t="str">
        <f>IF(A62="","",itens_Remanesc!C62)</f>
        <v/>
      </c>
      <c r="C62" s="200" t="str">
        <f>IF(A62="","",itens_Remanesc!B62)</f>
        <v/>
      </c>
      <c r="D62" s="202" t="str">
        <f>IF(A62="","",ROUND(SUMIFS(aditivos!$L$2:$L$200,aditivos!$A$2:$A$200,A62,aditivos!$C$2:$C$200,"C0"),2))</f>
        <v/>
      </c>
      <c r="E62" s="198" t="str">
        <f t="shared" si="11"/>
        <v/>
      </c>
      <c r="F62" s="198" t="str">
        <f>IF(A62="","",IF(itens_Remanesc!B62="","",itens_Remanesc!B62))</f>
        <v/>
      </c>
      <c r="G62" s="206" t="str">
        <f t="shared" si="12"/>
        <v/>
      </c>
      <c r="H62" s="208" t="str">
        <f>IF(A62="","",ROUND(SUMIFS(aditivos!$L$2:$L$200,aditivos!$A$2:$A$200,A62,aditivos!$C$2:$C$200,"C1"),2))</f>
        <v/>
      </c>
      <c r="I62" s="204" t="str">
        <f t="shared" si="13"/>
        <v/>
      </c>
      <c r="J62" s="204" t="str">
        <f>IF(A62="","",IF(itens_Remanesc!E62="","",itens_Remanesc!E62))</f>
        <v/>
      </c>
      <c r="K62" s="210" t="str">
        <f t="shared" si="14"/>
        <v/>
      </c>
      <c r="L62" s="202" t="str">
        <f>IF(A62="","",ROUND(SUMIFS(aditivos!$L$2:$L$200,aditivos!$A$2:$A$200,A62,aditivos!$C$2:$C$200,"C2"),2))</f>
        <v/>
      </c>
      <c r="M62" s="198" t="str">
        <f t="shared" si="15"/>
        <v/>
      </c>
      <c r="N62" s="198" t="str">
        <f>IF(A62="","",IF(itens_Remanesc!G62="","",itens_Remanesc!G62))</f>
        <v/>
      </c>
      <c r="O62" s="206" t="str">
        <f t="shared" si="16"/>
        <v/>
      </c>
      <c r="P62" s="208" t="str">
        <f>IF(A62="","",ROUND(SUMIFS(aditivos!$L$2:$L$200,aditivos!$A$2:$A$200,A62,aditivos!$C$2:$C$200,"C3"),2))</f>
        <v/>
      </c>
      <c r="Q62" s="204" t="str">
        <f t="shared" si="17"/>
        <v/>
      </c>
      <c r="R62" s="204" t="str">
        <f>IF(A62="","",IF(itens_Remanesc!I62="","",itens_Remanesc!I62))</f>
        <v/>
      </c>
      <c r="S62" s="210" t="str">
        <f t="shared" si="18"/>
        <v/>
      </c>
      <c r="T62" s="202" t="str">
        <f>IF(A62="","",ROUND(SUMIFS(aditivos!$L$2:$L$200,aditivos!$A$2:$A$200,A62,aditivos!$C$2:$C$200,"C4"),2))</f>
        <v/>
      </c>
      <c r="U62" s="198" t="str">
        <f t="shared" si="19"/>
        <v/>
      </c>
      <c r="V62" s="198" t="str">
        <f>IF(A62="","",IF(itens_Remanesc!K62="","",itens_Remanesc!K62))</f>
        <v/>
      </c>
      <c r="W62" s="198" t="str">
        <f t="shared" si="20"/>
        <v/>
      </c>
      <c r="X62" s="181" t="str">
        <f t="shared" si="21"/>
        <v/>
      </c>
    </row>
    <row r="63" spans="1:24" x14ac:dyDescent="0.35">
      <c r="A63" s="181" t="str">
        <f>IF(itens_Remanesc!A63="","",itens_Remanesc!A63)</f>
        <v/>
      </c>
      <c r="B63" s="181" t="str">
        <f>IF(A63="","",itens_Remanesc!C63)</f>
        <v/>
      </c>
      <c r="C63" s="200" t="str">
        <f>IF(A63="","",itens_Remanesc!B63)</f>
        <v/>
      </c>
      <c r="D63" s="202" t="str">
        <f>IF(A63="","",ROUND(SUMIFS(aditivos!$L$2:$L$200,aditivos!$A$2:$A$200,A63,aditivos!$C$2:$C$200,"C0"),2))</f>
        <v/>
      </c>
      <c r="E63" s="198" t="str">
        <f t="shared" si="11"/>
        <v/>
      </c>
      <c r="F63" s="198" t="str">
        <f>IF(A63="","",IF(itens_Remanesc!B63="","",itens_Remanesc!B63))</f>
        <v/>
      </c>
      <c r="G63" s="206" t="str">
        <f t="shared" si="12"/>
        <v/>
      </c>
      <c r="H63" s="208" t="str">
        <f>IF(A63="","",ROUND(SUMIFS(aditivos!$L$2:$L$200,aditivos!$A$2:$A$200,A63,aditivos!$C$2:$C$200,"C1"),2))</f>
        <v/>
      </c>
      <c r="I63" s="204" t="str">
        <f t="shared" si="13"/>
        <v/>
      </c>
      <c r="J63" s="204" t="str">
        <f>IF(A63="","",IF(itens_Remanesc!E63="","",itens_Remanesc!E63))</f>
        <v/>
      </c>
      <c r="K63" s="210" t="str">
        <f t="shared" si="14"/>
        <v/>
      </c>
      <c r="L63" s="202" t="str">
        <f>IF(A63="","",ROUND(SUMIFS(aditivos!$L$2:$L$200,aditivos!$A$2:$A$200,A63,aditivos!$C$2:$C$200,"C2"),2))</f>
        <v/>
      </c>
      <c r="M63" s="198" t="str">
        <f t="shared" si="15"/>
        <v/>
      </c>
      <c r="N63" s="198" t="str">
        <f>IF(A63="","",IF(itens_Remanesc!G63="","",itens_Remanesc!G63))</f>
        <v/>
      </c>
      <c r="O63" s="206" t="str">
        <f t="shared" si="16"/>
        <v/>
      </c>
      <c r="P63" s="208" t="str">
        <f>IF(A63="","",ROUND(SUMIFS(aditivos!$L$2:$L$200,aditivos!$A$2:$A$200,A63,aditivos!$C$2:$C$200,"C3"),2))</f>
        <v/>
      </c>
      <c r="Q63" s="204" t="str">
        <f t="shared" si="17"/>
        <v/>
      </c>
      <c r="R63" s="204" t="str">
        <f>IF(A63="","",IF(itens_Remanesc!I63="","",itens_Remanesc!I63))</f>
        <v/>
      </c>
      <c r="S63" s="210" t="str">
        <f t="shared" si="18"/>
        <v/>
      </c>
      <c r="T63" s="202" t="str">
        <f>IF(A63="","",ROUND(SUMIFS(aditivos!$L$2:$L$200,aditivos!$A$2:$A$200,A63,aditivos!$C$2:$C$200,"C4"),2))</f>
        <v/>
      </c>
      <c r="U63" s="198" t="str">
        <f t="shared" si="19"/>
        <v/>
      </c>
      <c r="V63" s="198" t="str">
        <f>IF(A63="","",IF(itens_Remanesc!K63="","",itens_Remanesc!K63))</f>
        <v/>
      </c>
      <c r="W63" s="198" t="str">
        <f t="shared" si="20"/>
        <v/>
      </c>
      <c r="X63" s="181" t="str">
        <f t="shared" si="21"/>
        <v/>
      </c>
    </row>
    <row r="64" spans="1:24" x14ac:dyDescent="0.35">
      <c r="A64" s="181" t="str">
        <f>IF(itens_Remanesc!A64="","",itens_Remanesc!A64)</f>
        <v/>
      </c>
      <c r="B64" s="181" t="str">
        <f>IF(A64="","",itens_Remanesc!C64)</f>
        <v/>
      </c>
      <c r="C64" s="200" t="str">
        <f>IF(A64="","",itens_Remanesc!B64)</f>
        <v/>
      </c>
      <c r="D64" s="202" t="str">
        <f>IF(A64="","",ROUND(SUMIFS(aditivos!$L$2:$L$200,aditivos!$A$2:$A$200,A64,aditivos!$C$2:$C$200,"C0"),2))</f>
        <v/>
      </c>
      <c r="E64" s="198" t="str">
        <f t="shared" si="11"/>
        <v/>
      </c>
      <c r="F64" s="198" t="str">
        <f>IF(A64="","",IF(itens_Remanesc!B64="","",itens_Remanesc!B64))</f>
        <v/>
      </c>
      <c r="G64" s="206" t="str">
        <f t="shared" si="12"/>
        <v/>
      </c>
      <c r="H64" s="208" t="str">
        <f>IF(A64="","",ROUND(SUMIFS(aditivos!$L$2:$L$200,aditivos!$A$2:$A$200,A64,aditivos!$C$2:$C$200,"C1"),2))</f>
        <v/>
      </c>
      <c r="I64" s="204" t="str">
        <f t="shared" si="13"/>
        <v/>
      </c>
      <c r="J64" s="204" t="str">
        <f>IF(A64="","",IF(itens_Remanesc!E64="","",itens_Remanesc!E64))</f>
        <v/>
      </c>
      <c r="K64" s="210" t="str">
        <f t="shared" si="14"/>
        <v/>
      </c>
      <c r="L64" s="202" t="str">
        <f>IF(A64="","",ROUND(SUMIFS(aditivos!$L$2:$L$200,aditivos!$A$2:$A$200,A64,aditivos!$C$2:$C$200,"C2"),2))</f>
        <v/>
      </c>
      <c r="M64" s="198" t="str">
        <f t="shared" si="15"/>
        <v/>
      </c>
      <c r="N64" s="198" t="str">
        <f>IF(A64="","",IF(itens_Remanesc!G64="","",itens_Remanesc!G64))</f>
        <v/>
      </c>
      <c r="O64" s="206" t="str">
        <f t="shared" si="16"/>
        <v/>
      </c>
      <c r="P64" s="208" t="str">
        <f>IF(A64="","",ROUND(SUMIFS(aditivos!$L$2:$L$200,aditivos!$A$2:$A$200,A64,aditivos!$C$2:$C$200,"C3"),2))</f>
        <v/>
      </c>
      <c r="Q64" s="204" t="str">
        <f t="shared" si="17"/>
        <v/>
      </c>
      <c r="R64" s="204" t="str">
        <f>IF(A64="","",IF(itens_Remanesc!I64="","",itens_Remanesc!I64))</f>
        <v/>
      </c>
      <c r="S64" s="210" t="str">
        <f t="shared" si="18"/>
        <v/>
      </c>
      <c r="T64" s="202" t="str">
        <f>IF(A64="","",ROUND(SUMIFS(aditivos!$L$2:$L$200,aditivos!$A$2:$A$200,A64,aditivos!$C$2:$C$200,"C4"),2))</f>
        <v/>
      </c>
      <c r="U64" s="198" t="str">
        <f t="shared" si="19"/>
        <v/>
      </c>
      <c r="V64" s="198" t="str">
        <f>IF(A64="","",IF(itens_Remanesc!K64="","",itens_Remanesc!K64))</f>
        <v/>
      </c>
      <c r="W64" s="198" t="str">
        <f t="shared" si="20"/>
        <v/>
      </c>
      <c r="X64" s="181" t="str">
        <f t="shared" si="21"/>
        <v/>
      </c>
    </row>
    <row r="65" spans="1:24" x14ac:dyDescent="0.35">
      <c r="A65" s="181" t="str">
        <f>IF(itens_Remanesc!A65="","",itens_Remanesc!A65)</f>
        <v/>
      </c>
      <c r="B65" s="181" t="str">
        <f>IF(A65="","",itens_Remanesc!C65)</f>
        <v/>
      </c>
      <c r="C65" s="200" t="str">
        <f>IF(A65="","",itens_Remanesc!B65)</f>
        <v/>
      </c>
      <c r="D65" s="202" t="str">
        <f>IF(A65="","",ROUND(SUMIFS(aditivos!$L$2:$L$200,aditivos!$A$2:$A$200,A65,aditivos!$C$2:$C$200,"C0"),2))</f>
        <v/>
      </c>
      <c r="E65" s="198" t="str">
        <f t="shared" si="11"/>
        <v/>
      </c>
      <c r="F65" s="198" t="str">
        <f>IF(A65="","",IF(itens_Remanesc!B65="","",itens_Remanesc!B65))</f>
        <v/>
      </c>
      <c r="G65" s="206" t="str">
        <f t="shared" si="12"/>
        <v/>
      </c>
      <c r="H65" s="208" t="str">
        <f>IF(A65="","",ROUND(SUMIFS(aditivos!$L$2:$L$200,aditivos!$A$2:$A$200,A65,aditivos!$C$2:$C$200,"C1"),2))</f>
        <v/>
      </c>
      <c r="I65" s="204" t="str">
        <f t="shared" si="13"/>
        <v/>
      </c>
      <c r="J65" s="204" t="str">
        <f>IF(A65="","",IF(itens_Remanesc!E65="","",itens_Remanesc!E65))</f>
        <v/>
      </c>
      <c r="K65" s="210" t="str">
        <f t="shared" si="14"/>
        <v/>
      </c>
      <c r="L65" s="202" t="str">
        <f>IF(A65="","",ROUND(SUMIFS(aditivos!$L$2:$L$200,aditivos!$A$2:$A$200,A65,aditivos!$C$2:$C$200,"C2"),2))</f>
        <v/>
      </c>
      <c r="M65" s="198" t="str">
        <f t="shared" si="15"/>
        <v/>
      </c>
      <c r="N65" s="198" t="str">
        <f>IF(A65="","",IF(itens_Remanesc!G65="","",itens_Remanesc!G65))</f>
        <v/>
      </c>
      <c r="O65" s="206" t="str">
        <f t="shared" si="16"/>
        <v/>
      </c>
      <c r="P65" s="208" t="str">
        <f>IF(A65="","",ROUND(SUMIFS(aditivos!$L$2:$L$200,aditivos!$A$2:$A$200,A65,aditivos!$C$2:$C$200,"C3"),2))</f>
        <v/>
      </c>
      <c r="Q65" s="204" t="str">
        <f t="shared" si="17"/>
        <v/>
      </c>
      <c r="R65" s="204" t="str">
        <f>IF(A65="","",IF(itens_Remanesc!I65="","",itens_Remanesc!I65))</f>
        <v/>
      </c>
      <c r="S65" s="210" t="str">
        <f t="shared" si="18"/>
        <v/>
      </c>
      <c r="T65" s="202" t="str">
        <f>IF(A65="","",ROUND(SUMIFS(aditivos!$L$2:$L$200,aditivos!$A$2:$A$200,A65,aditivos!$C$2:$C$200,"C4"),2))</f>
        <v/>
      </c>
      <c r="U65" s="198" t="str">
        <f t="shared" si="19"/>
        <v/>
      </c>
      <c r="V65" s="198" t="str">
        <f>IF(A65="","",IF(itens_Remanesc!K65="","",itens_Remanesc!K65))</f>
        <v/>
      </c>
      <c r="W65" s="198" t="str">
        <f t="shared" si="20"/>
        <v/>
      </c>
      <c r="X65" s="181" t="str">
        <f t="shared" si="21"/>
        <v/>
      </c>
    </row>
    <row r="66" spans="1:24" x14ac:dyDescent="0.35">
      <c r="A66" s="181" t="str">
        <f>IF(itens_Remanesc!A66="","",itens_Remanesc!A66)</f>
        <v/>
      </c>
      <c r="B66" s="181" t="str">
        <f>IF(A66="","",itens_Remanesc!C66)</f>
        <v/>
      </c>
      <c r="C66" s="200" t="str">
        <f>IF(A66="","",itens_Remanesc!B66)</f>
        <v/>
      </c>
      <c r="D66" s="202" t="str">
        <f>IF(A66="","",ROUND(SUMIFS(aditivos!$L$2:$L$200,aditivos!$A$2:$A$200,A66,aditivos!$C$2:$C$200,"C0"),2))</f>
        <v/>
      </c>
      <c r="E66" s="198" t="str">
        <f t="shared" ref="E66:E97" si="22">IF(A66="","",ROUND(C66+D66,2))</f>
        <v/>
      </c>
      <c r="F66" s="198" t="str">
        <f>IF(A66="","",IF(itens_Remanesc!B66="","",itens_Remanesc!B66))</f>
        <v/>
      </c>
      <c r="G66" s="206" t="str">
        <f t="shared" ref="G66:G97" si="23">IF(A66="","",E66)</f>
        <v/>
      </c>
      <c r="H66" s="208" t="str">
        <f>IF(A66="","",ROUND(SUMIFS(aditivos!$L$2:$L$200,aditivos!$A$2:$A$200,A66,aditivos!$C$2:$C$200,"C1"),2))</f>
        <v/>
      </c>
      <c r="I66" s="204" t="str">
        <f t="shared" ref="I66:I97" si="24">IF(A66="","",ROUND(E66+H66,2))</f>
        <v/>
      </c>
      <c r="J66" s="204" t="str">
        <f>IF(A66="","",IF(itens_Remanesc!E66="","",itens_Remanesc!E66))</f>
        <v/>
      </c>
      <c r="K66" s="210" t="str">
        <f t="shared" ref="K66:K97" si="25">IF(OR(A66="",J66=""),"",ROUND(J66,2))</f>
        <v/>
      </c>
      <c r="L66" s="202" t="str">
        <f>IF(A66="","",ROUND(SUMIFS(aditivos!$L$2:$L$200,aditivos!$A$2:$A$200,A66,aditivos!$C$2:$C$200,"C2"),2))</f>
        <v/>
      </c>
      <c r="M66" s="198" t="str">
        <f t="shared" ref="M66:M97" si="26">IF(A66="","",ROUND(I66+L66,2))</f>
        <v/>
      </c>
      <c r="N66" s="198" t="str">
        <f>IF(A66="","",IF(itens_Remanesc!G66="","",itens_Remanesc!G66))</f>
        <v/>
      </c>
      <c r="O66" s="206" t="str">
        <f t="shared" ref="O66:O97" si="27">IF(OR(A66="",N66=""),"",ROUND(N66,2))</f>
        <v/>
      </c>
      <c r="P66" s="208" t="str">
        <f>IF(A66="","",ROUND(SUMIFS(aditivos!$L$2:$L$200,aditivos!$A$2:$A$200,A66,aditivos!$C$2:$C$200,"C3"),2))</f>
        <v/>
      </c>
      <c r="Q66" s="204" t="str">
        <f t="shared" ref="Q66:Q97" si="28">IF(A66="","",ROUND(M66+P66,2))</f>
        <v/>
      </c>
      <c r="R66" s="204" t="str">
        <f>IF(A66="","",IF(itens_Remanesc!I66="","",itens_Remanesc!I66))</f>
        <v/>
      </c>
      <c r="S66" s="210" t="str">
        <f t="shared" ref="S66:S97" si="29">IF(OR(A66="",R66=""),"",ROUND(R66,2))</f>
        <v/>
      </c>
      <c r="T66" s="202" t="str">
        <f>IF(A66="","",ROUND(SUMIFS(aditivos!$L$2:$L$200,aditivos!$A$2:$A$200,A66,aditivos!$C$2:$C$200,"C4"),2))</f>
        <v/>
      </c>
      <c r="U66" s="198" t="str">
        <f t="shared" ref="U66:U97" si="30">IF(A66="","",ROUND(Q66+T66,2))</f>
        <v/>
      </c>
      <c r="V66" s="198" t="str">
        <f>IF(A66="","",IF(itens_Remanesc!K66="","",itens_Remanesc!K66))</f>
        <v/>
      </c>
      <c r="W66" s="198" t="str">
        <f t="shared" ref="W66:W97" si="31">IF(OR(A66="",V66=""),"",ROUND(V66,2))</f>
        <v/>
      </c>
      <c r="X66" s="181" t="str">
        <f t="shared" ref="X66:X97" si="32">IF(A66="","",IF(COUNTIF($A$2:$A$200,A66)&gt;1,"ALERTA: ITEM_DUPLICADO",IF(MIN(E66,I66,M66,Q66,U66,G66,K66,O66,S66,W66)&lt;0,"ALERTA: POSICAO_NEGATIVA",IF(OR(AND(G66&lt;&gt;"",G66&gt;E66),AND(K66&lt;&gt;"",K66&gt;I66),AND(O66&lt;&gt;"",O66&gt;M66),AND(S66&lt;&gt;"",S66&gt;Q66),AND(W66&lt;&gt;"",W66&gt;U66)),"ALERTA: REMANESCENTE_SUPERA_POSICAO","OK"))))</f>
        <v/>
      </c>
    </row>
    <row r="67" spans="1:24" x14ac:dyDescent="0.35">
      <c r="A67" s="181" t="str">
        <f>IF(itens_Remanesc!A67="","",itens_Remanesc!A67)</f>
        <v/>
      </c>
      <c r="B67" s="181" t="str">
        <f>IF(A67="","",itens_Remanesc!C67)</f>
        <v/>
      </c>
      <c r="C67" s="200" t="str">
        <f>IF(A67="","",itens_Remanesc!B67)</f>
        <v/>
      </c>
      <c r="D67" s="202" t="str">
        <f>IF(A67="","",ROUND(SUMIFS(aditivos!$L$2:$L$200,aditivos!$A$2:$A$200,A67,aditivos!$C$2:$C$200,"C0"),2))</f>
        <v/>
      </c>
      <c r="E67" s="198" t="str">
        <f t="shared" si="22"/>
        <v/>
      </c>
      <c r="F67" s="198" t="str">
        <f>IF(A67="","",IF(itens_Remanesc!B67="","",itens_Remanesc!B67))</f>
        <v/>
      </c>
      <c r="G67" s="206" t="str">
        <f t="shared" si="23"/>
        <v/>
      </c>
      <c r="H67" s="208" t="str">
        <f>IF(A67="","",ROUND(SUMIFS(aditivos!$L$2:$L$200,aditivos!$A$2:$A$200,A67,aditivos!$C$2:$C$200,"C1"),2))</f>
        <v/>
      </c>
      <c r="I67" s="204" t="str">
        <f t="shared" si="24"/>
        <v/>
      </c>
      <c r="J67" s="204" t="str">
        <f>IF(A67="","",IF(itens_Remanesc!E67="","",itens_Remanesc!E67))</f>
        <v/>
      </c>
      <c r="K67" s="210" t="str">
        <f t="shared" si="25"/>
        <v/>
      </c>
      <c r="L67" s="202" t="str">
        <f>IF(A67="","",ROUND(SUMIFS(aditivos!$L$2:$L$200,aditivos!$A$2:$A$200,A67,aditivos!$C$2:$C$200,"C2"),2))</f>
        <v/>
      </c>
      <c r="M67" s="198" t="str">
        <f t="shared" si="26"/>
        <v/>
      </c>
      <c r="N67" s="198" t="str">
        <f>IF(A67="","",IF(itens_Remanesc!G67="","",itens_Remanesc!G67))</f>
        <v/>
      </c>
      <c r="O67" s="206" t="str">
        <f t="shared" si="27"/>
        <v/>
      </c>
      <c r="P67" s="208" t="str">
        <f>IF(A67="","",ROUND(SUMIFS(aditivos!$L$2:$L$200,aditivos!$A$2:$A$200,A67,aditivos!$C$2:$C$200,"C3"),2))</f>
        <v/>
      </c>
      <c r="Q67" s="204" t="str">
        <f t="shared" si="28"/>
        <v/>
      </c>
      <c r="R67" s="204" t="str">
        <f>IF(A67="","",IF(itens_Remanesc!I67="","",itens_Remanesc!I67))</f>
        <v/>
      </c>
      <c r="S67" s="210" t="str">
        <f t="shared" si="29"/>
        <v/>
      </c>
      <c r="T67" s="202" t="str">
        <f>IF(A67="","",ROUND(SUMIFS(aditivos!$L$2:$L$200,aditivos!$A$2:$A$200,A67,aditivos!$C$2:$C$200,"C4"),2))</f>
        <v/>
      </c>
      <c r="U67" s="198" t="str">
        <f t="shared" si="30"/>
        <v/>
      </c>
      <c r="V67" s="198" t="str">
        <f>IF(A67="","",IF(itens_Remanesc!K67="","",itens_Remanesc!K67))</f>
        <v/>
      </c>
      <c r="W67" s="198" t="str">
        <f t="shared" si="31"/>
        <v/>
      </c>
      <c r="X67" s="181" t="str">
        <f t="shared" si="32"/>
        <v/>
      </c>
    </row>
    <row r="68" spans="1:24" x14ac:dyDescent="0.35">
      <c r="A68" s="181" t="str">
        <f>IF(itens_Remanesc!A68="","",itens_Remanesc!A68)</f>
        <v/>
      </c>
      <c r="B68" s="181" t="str">
        <f>IF(A68="","",itens_Remanesc!C68)</f>
        <v/>
      </c>
      <c r="C68" s="200" t="str">
        <f>IF(A68="","",itens_Remanesc!B68)</f>
        <v/>
      </c>
      <c r="D68" s="202" t="str">
        <f>IF(A68="","",ROUND(SUMIFS(aditivos!$L$2:$L$200,aditivos!$A$2:$A$200,A68,aditivos!$C$2:$C$200,"C0"),2))</f>
        <v/>
      </c>
      <c r="E68" s="198" t="str">
        <f t="shared" si="22"/>
        <v/>
      </c>
      <c r="F68" s="198" t="str">
        <f>IF(A68="","",IF(itens_Remanesc!B68="","",itens_Remanesc!B68))</f>
        <v/>
      </c>
      <c r="G68" s="206" t="str">
        <f t="shared" si="23"/>
        <v/>
      </c>
      <c r="H68" s="208" t="str">
        <f>IF(A68="","",ROUND(SUMIFS(aditivos!$L$2:$L$200,aditivos!$A$2:$A$200,A68,aditivos!$C$2:$C$200,"C1"),2))</f>
        <v/>
      </c>
      <c r="I68" s="204" t="str">
        <f t="shared" si="24"/>
        <v/>
      </c>
      <c r="J68" s="204" t="str">
        <f>IF(A68="","",IF(itens_Remanesc!E68="","",itens_Remanesc!E68))</f>
        <v/>
      </c>
      <c r="K68" s="210" t="str">
        <f t="shared" si="25"/>
        <v/>
      </c>
      <c r="L68" s="202" t="str">
        <f>IF(A68="","",ROUND(SUMIFS(aditivos!$L$2:$L$200,aditivos!$A$2:$A$200,A68,aditivos!$C$2:$C$200,"C2"),2))</f>
        <v/>
      </c>
      <c r="M68" s="198" t="str">
        <f t="shared" si="26"/>
        <v/>
      </c>
      <c r="N68" s="198" t="str">
        <f>IF(A68="","",IF(itens_Remanesc!G68="","",itens_Remanesc!G68))</f>
        <v/>
      </c>
      <c r="O68" s="206" t="str">
        <f t="shared" si="27"/>
        <v/>
      </c>
      <c r="P68" s="208" t="str">
        <f>IF(A68="","",ROUND(SUMIFS(aditivos!$L$2:$L$200,aditivos!$A$2:$A$200,A68,aditivos!$C$2:$C$200,"C3"),2))</f>
        <v/>
      </c>
      <c r="Q68" s="204" t="str">
        <f t="shared" si="28"/>
        <v/>
      </c>
      <c r="R68" s="204" t="str">
        <f>IF(A68="","",IF(itens_Remanesc!I68="","",itens_Remanesc!I68))</f>
        <v/>
      </c>
      <c r="S68" s="210" t="str">
        <f t="shared" si="29"/>
        <v/>
      </c>
      <c r="T68" s="202" t="str">
        <f>IF(A68="","",ROUND(SUMIFS(aditivos!$L$2:$L$200,aditivos!$A$2:$A$200,A68,aditivos!$C$2:$C$200,"C4"),2))</f>
        <v/>
      </c>
      <c r="U68" s="198" t="str">
        <f t="shared" si="30"/>
        <v/>
      </c>
      <c r="V68" s="198" t="str">
        <f>IF(A68="","",IF(itens_Remanesc!K68="","",itens_Remanesc!K68))</f>
        <v/>
      </c>
      <c r="W68" s="198" t="str">
        <f t="shared" si="31"/>
        <v/>
      </c>
      <c r="X68" s="181" t="str">
        <f t="shared" si="32"/>
        <v/>
      </c>
    </row>
    <row r="69" spans="1:24" x14ac:dyDescent="0.35">
      <c r="A69" s="181" t="str">
        <f>IF(itens_Remanesc!A69="","",itens_Remanesc!A69)</f>
        <v/>
      </c>
      <c r="B69" s="181" t="str">
        <f>IF(A69="","",itens_Remanesc!C69)</f>
        <v/>
      </c>
      <c r="C69" s="200" t="str">
        <f>IF(A69="","",itens_Remanesc!B69)</f>
        <v/>
      </c>
      <c r="D69" s="202" t="str">
        <f>IF(A69="","",ROUND(SUMIFS(aditivos!$L$2:$L$200,aditivos!$A$2:$A$200,A69,aditivos!$C$2:$C$200,"C0"),2))</f>
        <v/>
      </c>
      <c r="E69" s="198" t="str">
        <f t="shared" si="22"/>
        <v/>
      </c>
      <c r="F69" s="198" t="str">
        <f>IF(A69="","",IF(itens_Remanesc!B69="","",itens_Remanesc!B69))</f>
        <v/>
      </c>
      <c r="G69" s="206" t="str">
        <f t="shared" si="23"/>
        <v/>
      </c>
      <c r="H69" s="208" t="str">
        <f>IF(A69="","",ROUND(SUMIFS(aditivos!$L$2:$L$200,aditivos!$A$2:$A$200,A69,aditivos!$C$2:$C$200,"C1"),2))</f>
        <v/>
      </c>
      <c r="I69" s="204" t="str">
        <f t="shared" si="24"/>
        <v/>
      </c>
      <c r="J69" s="204" t="str">
        <f>IF(A69="","",IF(itens_Remanesc!E69="","",itens_Remanesc!E69))</f>
        <v/>
      </c>
      <c r="K69" s="210" t="str">
        <f t="shared" si="25"/>
        <v/>
      </c>
      <c r="L69" s="202" t="str">
        <f>IF(A69="","",ROUND(SUMIFS(aditivos!$L$2:$L$200,aditivos!$A$2:$A$200,A69,aditivos!$C$2:$C$200,"C2"),2))</f>
        <v/>
      </c>
      <c r="M69" s="198" t="str">
        <f t="shared" si="26"/>
        <v/>
      </c>
      <c r="N69" s="198" t="str">
        <f>IF(A69="","",IF(itens_Remanesc!G69="","",itens_Remanesc!G69))</f>
        <v/>
      </c>
      <c r="O69" s="206" t="str">
        <f t="shared" si="27"/>
        <v/>
      </c>
      <c r="P69" s="208" t="str">
        <f>IF(A69="","",ROUND(SUMIFS(aditivos!$L$2:$L$200,aditivos!$A$2:$A$200,A69,aditivos!$C$2:$C$200,"C3"),2))</f>
        <v/>
      </c>
      <c r="Q69" s="204" t="str">
        <f t="shared" si="28"/>
        <v/>
      </c>
      <c r="R69" s="204" t="str">
        <f>IF(A69="","",IF(itens_Remanesc!I69="","",itens_Remanesc!I69))</f>
        <v/>
      </c>
      <c r="S69" s="210" t="str">
        <f t="shared" si="29"/>
        <v/>
      </c>
      <c r="T69" s="202" t="str">
        <f>IF(A69="","",ROUND(SUMIFS(aditivos!$L$2:$L$200,aditivos!$A$2:$A$200,A69,aditivos!$C$2:$C$200,"C4"),2))</f>
        <v/>
      </c>
      <c r="U69" s="198" t="str">
        <f t="shared" si="30"/>
        <v/>
      </c>
      <c r="V69" s="198" t="str">
        <f>IF(A69="","",IF(itens_Remanesc!K69="","",itens_Remanesc!K69))</f>
        <v/>
      </c>
      <c r="W69" s="198" t="str">
        <f t="shared" si="31"/>
        <v/>
      </c>
      <c r="X69" s="181" t="str">
        <f t="shared" si="32"/>
        <v/>
      </c>
    </row>
    <row r="70" spans="1:24" x14ac:dyDescent="0.35">
      <c r="A70" s="181" t="str">
        <f>IF(itens_Remanesc!A70="","",itens_Remanesc!A70)</f>
        <v/>
      </c>
      <c r="B70" s="181" t="str">
        <f>IF(A70="","",itens_Remanesc!C70)</f>
        <v/>
      </c>
      <c r="C70" s="200" t="str">
        <f>IF(A70="","",itens_Remanesc!B70)</f>
        <v/>
      </c>
      <c r="D70" s="202" t="str">
        <f>IF(A70="","",ROUND(SUMIFS(aditivos!$L$2:$L$200,aditivos!$A$2:$A$200,A70,aditivos!$C$2:$C$200,"C0"),2))</f>
        <v/>
      </c>
      <c r="E70" s="198" t="str">
        <f t="shared" si="22"/>
        <v/>
      </c>
      <c r="F70" s="198" t="str">
        <f>IF(A70="","",IF(itens_Remanesc!B70="","",itens_Remanesc!B70))</f>
        <v/>
      </c>
      <c r="G70" s="206" t="str">
        <f t="shared" si="23"/>
        <v/>
      </c>
      <c r="H70" s="208" t="str">
        <f>IF(A70="","",ROUND(SUMIFS(aditivos!$L$2:$L$200,aditivos!$A$2:$A$200,A70,aditivos!$C$2:$C$200,"C1"),2))</f>
        <v/>
      </c>
      <c r="I70" s="204" t="str">
        <f t="shared" si="24"/>
        <v/>
      </c>
      <c r="J70" s="204" t="str">
        <f>IF(A70="","",IF(itens_Remanesc!E70="","",itens_Remanesc!E70))</f>
        <v/>
      </c>
      <c r="K70" s="210" t="str">
        <f t="shared" si="25"/>
        <v/>
      </c>
      <c r="L70" s="202" t="str">
        <f>IF(A70="","",ROUND(SUMIFS(aditivos!$L$2:$L$200,aditivos!$A$2:$A$200,A70,aditivos!$C$2:$C$200,"C2"),2))</f>
        <v/>
      </c>
      <c r="M70" s="198" t="str">
        <f t="shared" si="26"/>
        <v/>
      </c>
      <c r="N70" s="198" t="str">
        <f>IF(A70="","",IF(itens_Remanesc!G70="","",itens_Remanesc!G70))</f>
        <v/>
      </c>
      <c r="O70" s="206" t="str">
        <f t="shared" si="27"/>
        <v/>
      </c>
      <c r="P70" s="208" t="str">
        <f>IF(A70="","",ROUND(SUMIFS(aditivos!$L$2:$L$200,aditivos!$A$2:$A$200,A70,aditivos!$C$2:$C$200,"C3"),2))</f>
        <v/>
      </c>
      <c r="Q70" s="204" t="str">
        <f t="shared" si="28"/>
        <v/>
      </c>
      <c r="R70" s="204" t="str">
        <f>IF(A70="","",IF(itens_Remanesc!I70="","",itens_Remanesc!I70))</f>
        <v/>
      </c>
      <c r="S70" s="210" t="str">
        <f t="shared" si="29"/>
        <v/>
      </c>
      <c r="T70" s="202" t="str">
        <f>IF(A70="","",ROUND(SUMIFS(aditivos!$L$2:$L$200,aditivos!$A$2:$A$200,A70,aditivos!$C$2:$C$200,"C4"),2))</f>
        <v/>
      </c>
      <c r="U70" s="198" t="str">
        <f t="shared" si="30"/>
        <v/>
      </c>
      <c r="V70" s="198" t="str">
        <f>IF(A70="","",IF(itens_Remanesc!K70="","",itens_Remanesc!K70))</f>
        <v/>
      </c>
      <c r="W70" s="198" t="str">
        <f t="shared" si="31"/>
        <v/>
      </c>
      <c r="X70" s="181" t="str">
        <f t="shared" si="32"/>
        <v/>
      </c>
    </row>
    <row r="71" spans="1:24" x14ac:dyDescent="0.35">
      <c r="A71" s="181" t="str">
        <f>IF(itens_Remanesc!A71="","",itens_Remanesc!A71)</f>
        <v/>
      </c>
      <c r="B71" s="181" t="str">
        <f>IF(A71="","",itens_Remanesc!C71)</f>
        <v/>
      </c>
      <c r="C71" s="200" t="str">
        <f>IF(A71="","",itens_Remanesc!B71)</f>
        <v/>
      </c>
      <c r="D71" s="202" t="str">
        <f>IF(A71="","",ROUND(SUMIFS(aditivos!$L$2:$L$200,aditivos!$A$2:$A$200,A71,aditivos!$C$2:$C$200,"C0"),2))</f>
        <v/>
      </c>
      <c r="E71" s="198" t="str">
        <f t="shared" si="22"/>
        <v/>
      </c>
      <c r="F71" s="198" t="str">
        <f>IF(A71="","",IF(itens_Remanesc!B71="","",itens_Remanesc!B71))</f>
        <v/>
      </c>
      <c r="G71" s="206" t="str">
        <f t="shared" si="23"/>
        <v/>
      </c>
      <c r="H71" s="208" t="str">
        <f>IF(A71="","",ROUND(SUMIFS(aditivos!$L$2:$L$200,aditivos!$A$2:$A$200,A71,aditivos!$C$2:$C$200,"C1"),2))</f>
        <v/>
      </c>
      <c r="I71" s="204" t="str">
        <f t="shared" si="24"/>
        <v/>
      </c>
      <c r="J71" s="204" t="str">
        <f>IF(A71="","",IF(itens_Remanesc!E71="","",itens_Remanesc!E71))</f>
        <v/>
      </c>
      <c r="K71" s="210" t="str">
        <f t="shared" si="25"/>
        <v/>
      </c>
      <c r="L71" s="202" t="str">
        <f>IF(A71="","",ROUND(SUMIFS(aditivos!$L$2:$L$200,aditivos!$A$2:$A$200,A71,aditivos!$C$2:$C$200,"C2"),2))</f>
        <v/>
      </c>
      <c r="M71" s="198" t="str">
        <f t="shared" si="26"/>
        <v/>
      </c>
      <c r="N71" s="198" t="str">
        <f>IF(A71="","",IF(itens_Remanesc!G71="","",itens_Remanesc!G71))</f>
        <v/>
      </c>
      <c r="O71" s="206" t="str">
        <f t="shared" si="27"/>
        <v/>
      </c>
      <c r="P71" s="208" t="str">
        <f>IF(A71="","",ROUND(SUMIFS(aditivos!$L$2:$L$200,aditivos!$A$2:$A$200,A71,aditivos!$C$2:$C$200,"C3"),2))</f>
        <v/>
      </c>
      <c r="Q71" s="204" t="str">
        <f t="shared" si="28"/>
        <v/>
      </c>
      <c r="R71" s="204" t="str">
        <f>IF(A71="","",IF(itens_Remanesc!I71="","",itens_Remanesc!I71))</f>
        <v/>
      </c>
      <c r="S71" s="210" t="str">
        <f t="shared" si="29"/>
        <v/>
      </c>
      <c r="T71" s="202" t="str">
        <f>IF(A71="","",ROUND(SUMIFS(aditivos!$L$2:$L$200,aditivos!$A$2:$A$200,A71,aditivos!$C$2:$C$200,"C4"),2))</f>
        <v/>
      </c>
      <c r="U71" s="198" t="str">
        <f t="shared" si="30"/>
        <v/>
      </c>
      <c r="V71" s="198" t="str">
        <f>IF(A71="","",IF(itens_Remanesc!K71="","",itens_Remanesc!K71))</f>
        <v/>
      </c>
      <c r="W71" s="198" t="str">
        <f t="shared" si="31"/>
        <v/>
      </c>
      <c r="X71" s="181" t="str">
        <f t="shared" si="32"/>
        <v/>
      </c>
    </row>
    <row r="72" spans="1:24" x14ac:dyDescent="0.35">
      <c r="A72" s="181" t="str">
        <f>IF(itens_Remanesc!A72="","",itens_Remanesc!A72)</f>
        <v/>
      </c>
      <c r="B72" s="181" t="str">
        <f>IF(A72="","",itens_Remanesc!C72)</f>
        <v/>
      </c>
      <c r="C72" s="200" t="str">
        <f>IF(A72="","",itens_Remanesc!B72)</f>
        <v/>
      </c>
      <c r="D72" s="202" t="str">
        <f>IF(A72="","",ROUND(SUMIFS(aditivos!$L$2:$L$200,aditivos!$A$2:$A$200,A72,aditivos!$C$2:$C$200,"C0"),2))</f>
        <v/>
      </c>
      <c r="E72" s="198" t="str">
        <f t="shared" si="22"/>
        <v/>
      </c>
      <c r="F72" s="198" t="str">
        <f>IF(A72="","",IF(itens_Remanesc!B72="","",itens_Remanesc!B72))</f>
        <v/>
      </c>
      <c r="G72" s="206" t="str">
        <f t="shared" si="23"/>
        <v/>
      </c>
      <c r="H72" s="208" t="str">
        <f>IF(A72="","",ROUND(SUMIFS(aditivos!$L$2:$L$200,aditivos!$A$2:$A$200,A72,aditivos!$C$2:$C$200,"C1"),2))</f>
        <v/>
      </c>
      <c r="I72" s="204" t="str">
        <f t="shared" si="24"/>
        <v/>
      </c>
      <c r="J72" s="204" t="str">
        <f>IF(A72="","",IF(itens_Remanesc!E72="","",itens_Remanesc!E72))</f>
        <v/>
      </c>
      <c r="K72" s="210" t="str">
        <f t="shared" si="25"/>
        <v/>
      </c>
      <c r="L72" s="202" t="str">
        <f>IF(A72="","",ROUND(SUMIFS(aditivos!$L$2:$L$200,aditivos!$A$2:$A$200,A72,aditivos!$C$2:$C$200,"C2"),2))</f>
        <v/>
      </c>
      <c r="M72" s="198" t="str">
        <f t="shared" si="26"/>
        <v/>
      </c>
      <c r="N72" s="198" t="str">
        <f>IF(A72="","",IF(itens_Remanesc!G72="","",itens_Remanesc!G72))</f>
        <v/>
      </c>
      <c r="O72" s="206" t="str">
        <f t="shared" si="27"/>
        <v/>
      </c>
      <c r="P72" s="208" t="str">
        <f>IF(A72="","",ROUND(SUMIFS(aditivos!$L$2:$L$200,aditivos!$A$2:$A$200,A72,aditivos!$C$2:$C$200,"C3"),2))</f>
        <v/>
      </c>
      <c r="Q72" s="204" t="str">
        <f t="shared" si="28"/>
        <v/>
      </c>
      <c r="R72" s="204" t="str">
        <f>IF(A72="","",IF(itens_Remanesc!I72="","",itens_Remanesc!I72))</f>
        <v/>
      </c>
      <c r="S72" s="210" t="str">
        <f t="shared" si="29"/>
        <v/>
      </c>
      <c r="T72" s="202" t="str">
        <f>IF(A72="","",ROUND(SUMIFS(aditivos!$L$2:$L$200,aditivos!$A$2:$A$200,A72,aditivos!$C$2:$C$200,"C4"),2))</f>
        <v/>
      </c>
      <c r="U72" s="198" t="str">
        <f t="shared" si="30"/>
        <v/>
      </c>
      <c r="V72" s="198" t="str">
        <f>IF(A72="","",IF(itens_Remanesc!K72="","",itens_Remanesc!K72))</f>
        <v/>
      </c>
      <c r="W72" s="198" t="str">
        <f t="shared" si="31"/>
        <v/>
      </c>
      <c r="X72" s="181" t="str">
        <f t="shared" si="32"/>
        <v/>
      </c>
    </row>
    <row r="73" spans="1:24" x14ac:dyDescent="0.35">
      <c r="A73" s="181" t="str">
        <f>IF(itens_Remanesc!A73="","",itens_Remanesc!A73)</f>
        <v/>
      </c>
      <c r="B73" s="181" t="str">
        <f>IF(A73="","",itens_Remanesc!C73)</f>
        <v/>
      </c>
      <c r="C73" s="200" t="str">
        <f>IF(A73="","",itens_Remanesc!B73)</f>
        <v/>
      </c>
      <c r="D73" s="202" t="str">
        <f>IF(A73="","",ROUND(SUMIFS(aditivos!$L$2:$L$200,aditivos!$A$2:$A$200,A73,aditivos!$C$2:$C$200,"C0"),2))</f>
        <v/>
      </c>
      <c r="E73" s="198" t="str">
        <f t="shared" si="22"/>
        <v/>
      </c>
      <c r="F73" s="198" t="str">
        <f>IF(A73="","",IF(itens_Remanesc!B73="","",itens_Remanesc!B73))</f>
        <v/>
      </c>
      <c r="G73" s="206" t="str">
        <f t="shared" si="23"/>
        <v/>
      </c>
      <c r="H73" s="208" t="str">
        <f>IF(A73="","",ROUND(SUMIFS(aditivos!$L$2:$L$200,aditivos!$A$2:$A$200,A73,aditivos!$C$2:$C$200,"C1"),2))</f>
        <v/>
      </c>
      <c r="I73" s="204" t="str">
        <f t="shared" si="24"/>
        <v/>
      </c>
      <c r="J73" s="204" t="str">
        <f>IF(A73="","",IF(itens_Remanesc!E73="","",itens_Remanesc!E73))</f>
        <v/>
      </c>
      <c r="K73" s="210" t="str">
        <f t="shared" si="25"/>
        <v/>
      </c>
      <c r="L73" s="202" t="str">
        <f>IF(A73="","",ROUND(SUMIFS(aditivos!$L$2:$L$200,aditivos!$A$2:$A$200,A73,aditivos!$C$2:$C$200,"C2"),2))</f>
        <v/>
      </c>
      <c r="M73" s="198" t="str">
        <f t="shared" si="26"/>
        <v/>
      </c>
      <c r="N73" s="198" t="str">
        <f>IF(A73="","",IF(itens_Remanesc!G73="","",itens_Remanesc!G73))</f>
        <v/>
      </c>
      <c r="O73" s="206" t="str">
        <f t="shared" si="27"/>
        <v/>
      </c>
      <c r="P73" s="208" t="str">
        <f>IF(A73="","",ROUND(SUMIFS(aditivos!$L$2:$L$200,aditivos!$A$2:$A$200,A73,aditivos!$C$2:$C$200,"C3"),2))</f>
        <v/>
      </c>
      <c r="Q73" s="204" t="str">
        <f t="shared" si="28"/>
        <v/>
      </c>
      <c r="R73" s="204" t="str">
        <f>IF(A73="","",IF(itens_Remanesc!I73="","",itens_Remanesc!I73))</f>
        <v/>
      </c>
      <c r="S73" s="210" t="str">
        <f t="shared" si="29"/>
        <v/>
      </c>
      <c r="T73" s="202" t="str">
        <f>IF(A73="","",ROUND(SUMIFS(aditivos!$L$2:$L$200,aditivos!$A$2:$A$200,A73,aditivos!$C$2:$C$200,"C4"),2))</f>
        <v/>
      </c>
      <c r="U73" s="198" t="str">
        <f t="shared" si="30"/>
        <v/>
      </c>
      <c r="V73" s="198" t="str">
        <f>IF(A73="","",IF(itens_Remanesc!K73="","",itens_Remanesc!K73))</f>
        <v/>
      </c>
      <c r="W73" s="198" t="str">
        <f t="shared" si="31"/>
        <v/>
      </c>
      <c r="X73" s="181" t="str">
        <f t="shared" si="32"/>
        <v/>
      </c>
    </row>
    <row r="74" spans="1:24" x14ac:dyDescent="0.35">
      <c r="A74" s="181" t="str">
        <f>IF(itens_Remanesc!A74="","",itens_Remanesc!A74)</f>
        <v/>
      </c>
      <c r="B74" s="181" t="str">
        <f>IF(A74="","",itens_Remanesc!C74)</f>
        <v/>
      </c>
      <c r="C74" s="200" t="str">
        <f>IF(A74="","",itens_Remanesc!B74)</f>
        <v/>
      </c>
      <c r="D74" s="202" t="str">
        <f>IF(A74="","",ROUND(SUMIFS(aditivos!$L$2:$L$200,aditivos!$A$2:$A$200,A74,aditivos!$C$2:$C$200,"C0"),2))</f>
        <v/>
      </c>
      <c r="E74" s="198" t="str">
        <f t="shared" si="22"/>
        <v/>
      </c>
      <c r="F74" s="198" t="str">
        <f>IF(A74="","",IF(itens_Remanesc!B74="","",itens_Remanesc!B74))</f>
        <v/>
      </c>
      <c r="G74" s="206" t="str">
        <f t="shared" si="23"/>
        <v/>
      </c>
      <c r="H74" s="208" t="str">
        <f>IF(A74="","",ROUND(SUMIFS(aditivos!$L$2:$L$200,aditivos!$A$2:$A$200,A74,aditivos!$C$2:$C$200,"C1"),2))</f>
        <v/>
      </c>
      <c r="I74" s="204" t="str">
        <f t="shared" si="24"/>
        <v/>
      </c>
      <c r="J74" s="204" t="str">
        <f>IF(A74="","",IF(itens_Remanesc!E74="","",itens_Remanesc!E74))</f>
        <v/>
      </c>
      <c r="K74" s="210" t="str">
        <f t="shared" si="25"/>
        <v/>
      </c>
      <c r="L74" s="202" t="str">
        <f>IF(A74="","",ROUND(SUMIFS(aditivos!$L$2:$L$200,aditivos!$A$2:$A$200,A74,aditivos!$C$2:$C$200,"C2"),2))</f>
        <v/>
      </c>
      <c r="M74" s="198" t="str">
        <f t="shared" si="26"/>
        <v/>
      </c>
      <c r="N74" s="198" t="str">
        <f>IF(A74="","",IF(itens_Remanesc!G74="","",itens_Remanesc!G74))</f>
        <v/>
      </c>
      <c r="O74" s="206" t="str">
        <f t="shared" si="27"/>
        <v/>
      </c>
      <c r="P74" s="208" t="str">
        <f>IF(A74="","",ROUND(SUMIFS(aditivos!$L$2:$L$200,aditivos!$A$2:$A$200,A74,aditivos!$C$2:$C$200,"C3"),2))</f>
        <v/>
      </c>
      <c r="Q74" s="204" t="str">
        <f t="shared" si="28"/>
        <v/>
      </c>
      <c r="R74" s="204" t="str">
        <f>IF(A74="","",IF(itens_Remanesc!I74="","",itens_Remanesc!I74))</f>
        <v/>
      </c>
      <c r="S74" s="210" t="str">
        <f t="shared" si="29"/>
        <v/>
      </c>
      <c r="T74" s="202" t="str">
        <f>IF(A74="","",ROUND(SUMIFS(aditivos!$L$2:$L$200,aditivos!$A$2:$A$200,A74,aditivos!$C$2:$C$200,"C4"),2))</f>
        <v/>
      </c>
      <c r="U74" s="198" t="str">
        <f t="shared" si="30"/>
        <v/>
      </c>
      <c r="V74" s="198" t="str">
        <f>IF(A74="","",IF(itens_Remanesc!K74="","",itens_Remanesc!K74))</f>
        <v/>
      </c>
      <c r="W74" s="198" t="str">
        <f t="shared" si="31"/>
        <v/>
      </c>
      <c r="X74" s="181" t="str">
        <f t="shared" si="32"/>
        <v/>
      </c>
    </row>
    <row r="75" spans="1:24" x14ac:dyDescent="0.35">
      <c r="A75" s="181" t="str">
        <f>IF(itens_Remanesc!A75="","",itens_Remanesc!A75)</f>
        <v/>
      </c>
      <c r="B75" s="181" t="str">
        <f>IF(A75="","",itens_Remanesc!C75)</f>
        <v/>
      </c>
      <c r="C75" s="200" t="str">
        <f>IF(A75="","",itens_Remanesc!B75)</f>
        <v/>
      </c>
      <c r="D75" s="202" t="str">
        <f>IF(A75="","",ROUND(SUMIFS(aditivos!$L$2:$L$200,aditivos!$A$2:$A$200,A75,aditivos!$C$2:$C$200,"C0"),2))</f>
        <v/>
      </c>
      <c r="E75" s="198" t="str">
        <f t="shared" si="22"/>
        <v/>
      </c>
      <c r="F75" s="198" t="str">
        <f>IF(A75="","",IF(itens_Remanesc!B75="","",itens_Remanesc!B75))</f>
        <v/>
      </c>
      <c r="G75" s="206" t="str">
        <f t="shared" si="23"/>
        <v/>
      </c>
      <c r="H75" s="208" t="str">
        <f>IF(A75="","",ROUND(SUMIFS(aditivos!$L$2:$L$200,aditivos!$A$2:$A$200,A75,aditivos!$C$2:$C$200,"C1"),2))</f>
        <v/>
      </c>
      <c r="I75" s="204" t="str">
        <f t="shared" si="24"/>
        <v/>
      </c>
      <c r="J75" s="204" t="str">
        <f>IF(A75="","",IF(itens_Remanesc!E75="","",itens_Remanesc!E75))</f>
        <v/>
      </c>
      <c r="K75" s="210" t="str">
        <f t="shared" si="25"/>
        <v/>
      </c>
      <c r="L75" s="202" t="str">
        <f>IF(A75="","",ROUND(SUMIFS(aditivos!$L$2:$L$200,aditivos!$A$2:$A$200,A75,aditivos!$C$2:$C$200,"C2"),2))</f>
        <v/>
      </c>
      <c r="M75" s="198" t="str">
        <f t="shared" si="26"/>
        <v/>
      </c>
      <c r="N75" s="198" t="str">
        <f>IF(A75="","",IF(itens_Remanesc!G75="","",itens_Remanesc!G75))</f>
        <v/>
      </c>
      <c r="O75" s="206" t="str">
        <f t="shared" si="27"/>
        <v/>
      </c>
      <c r="P75" s="208" t="str">
        <f>IF(A75="","",ROUND(SUMIFS(aditivos!$L$2:$L$200,aditivos!$A$2:$A$200,A75,aditivos!$C$2:$C$200,"C3"),2))</f>
        <v/>
      </c>
      <c r="Q75" s="204" t="str">
        <f t="shared" si="28"/>
        <v/>
      </c>
      <c r="R75" s="204" t="str">
        <f>IF(A75="","",IF(itens_Remanesc!I75="","",itens_Remanesc!I75))</f>
        <v/>
      </c>
      <c r="S75" s="210" t="str">
        <f t="shared" si="29"/>
        <v/>
      </c>
      <c r="T75" s="202" t="str">
        <f>IF(A75="","",ROUND(SUMIFS(aditivos!$L$2:$L$200,aditivos!$A$2:$A$200,A75,aditivos!$C$2:$C$200,"C4"),2))</f>
        <v/>
      </c>
      <c r="U75" s="198" t="str">
        <f t="shared" si="30"/>
        <v/>
      </c>
      <c r="V75" s="198" t="str">
        <f>IF(A75="","",IF(itens_Remanesc!K75="","",itens_Remanesc!K75))</f>
        <v/>
      </c>
      <c r="W75" s="198" t="str">
        <f t="shared" si="31"/>
        <v/>
      </c>
      <c r="X75" s="181" t="str">
        <f t="shared" si="32"/>
        <v/>
      </c>
    </row>
    <row r="76" spans="1:24" x14ac:dyDescent="0.35">
      <c r="A76" s="181" t="str">
        <f>IF(itens_Remanesc!A76="","",itens_Remanesc!A76)</f>
        <v/>
      </c>
      <c r="B76" s="181" t="str">
        <f>IF(A76="","",itens_Remanesc!C76)</f>
        <v/>
      </c>
      <c r="C76" s="200" t="str">
        <f>IF(A76="","",itens_Remanesc!B76)</f>
        <v/>
      </c>
      <c r="D76" s="202" t="str">
        <f>IF(A76="","",ROUND(SUMIFS(aditivos!$L$2:$L$200,aditivos!$A$2:$A$200,A76,aditivos!$C$2:$C$200,"C0"),2))</f>
        <v/>
      </c>
      <c r="E76" s="198" t="str">
        <f t="shared" si="22"/>
        <v/>
      </c>
      <c r="F76" s="198" t="str">
        <f>IF(A76="","",IF(itens_Remanesc!B76="","",itens_Remanesc!B76))</f>
        <v/>
      </c>
      <c r="G76" s="206" t="str">
        <f t="shared" si="23"/>
        <v/>
      </c>
      <c r="H76" s="208" t="str">
        <f>IF(A76="","",ROUND(SUMIFS(aditivos!$L$2:$L$200,aditivos!$A$2:$A$200,A76,aditivos!$C$2:$C$200,"C1"),2))</f>
        <v/>
      </c>
      <c r="I76" s="204" t="str">
        <f t="shared" si="24"/>
        <v/>
      </c>
      <c r="J76" s="204" t="str">
        <f>IF(A76="","",IF(itens_Remanesc!E76="","",itens_Remanesc!E76))</f>
        <v/>
      </c>
      <c r="K76" s="210" t="str">
        <f t="shared" si="25"/>
        <v/>
      </c>
      <c r="L76" s="202" t="str">
        <f>IF(A76="","",ROUND(SUMIFS(aditivos!$L$2:$L$200,aditivos!$A$2:$A$200,A76,aditivos!$C$2:$C$200,"C2"),2))</f>
        <v/>
      </c>
      <c r="M76" s="198" t="str">
        <f t="shared" si="26"/>
        <v/>
      </c>
      <c r="N76" s="198" t="str">
        <f>IF(A76="","",IF(itens_Remanesc!G76="","",itens_Remanesc!G76))</f>
        <v/>
      </c>
      <c r="O76" s="206" t="str">
        <f t="shared" si="27"/>
        <v/>
      </c>
      <c r="P76" s="208" t="str">
        <f>IF(A76="","",ROUND(SUMIFS(aditivos!$L$2:$L$200,aditivos!$A$2:$A$200,A76,aditivos!$C$2:$C$200,"C3"),2))</f>
        <v/>
      </c>
      <c r="Q76" s="204" t="str">
        <f t="shared" si="28"/>
        <v/>
      </c>
      <c r="R76" s="204" t="str">
        <f>IF(A76="","",IF(itens_Remanesc!I76="","",itens_Remanesc!I76))</f>
        <v/>
      </c>
      <c r="S76" s="210" t="str">
        <f t="shared" si="29"/>
        <v/>
      </c>
      <c r="T76" s="202" t="str">
        <f>IF(A76="","",ROUND(SUMIFS(aditivos!$L$2:$L$200,aditivos!$A$2:$A$200,A76,aditivos!$C$2:$C$200,"C4"),2))</f>
        <v/>
      </c>
      <c r="U76" s="198" t="str">
        <f t="shared" si="30"/>
        <v/>
      </c>
      <c r="V76" s="198" t="str">
        <f>IF(A76="","",IF(itens_Remanesc!K76="","",itens_Remanesc!K76))</f>
        <v/>
      </c>
      <c r="W76" s="198" t="str">
        <f t="shared" si="31"/>
        <v/>
      </c>
      <c r="X76" s="181" t="str">
        <f t="shared" si="32"/>
        <v/>
      </c>
    </row>
    <row r="77" spans="1:24" x14ac:dyDescent="0.35">
      <c r="A77" s="181" t="str">
        <f>IF(itens_Remanesc!A77="","",itens_Remanesc!A77)</f>
        <v/>
      </c>
      <c r="B77" s="181" t="str">
        <f>IF(A77="","",itens_Remanesc!C77)</f>
        <v/>
      </c>
      <c r="C77" s="200" t="str">
        <f>IF(A77="","",itens_Remanesc!B77)</f>
        <v/>
      </c>
      <c r="D77" s="202" t="str">
        <f>IF(A77="","",ROUND(SUMIFS(aditivos!$L$2:$L$200,aditivos!$A$2:$A$200,A77,aditivos!$C$2:$C$200,"C0"),2))</f>
        <v/>
      </c>
      <c r="E77" s="198" t="str">
        <f t="shared" si="22"/>
        <v/>
      </c>
      <c r="F77" s="198" t="str">
        <f>IF(A77="","",IF(itens_Remanesc!B77="","",itens_Remanesc!B77))</f>
        <v/>
      </c>
      <c r="G77" s="206" t="str">
        <f t="shared" si="23"/>
        <v/>
      </c>
      <c r="H77" s="208" t="str">
        <f>IF(A77="","",ROUND(SUMIFS(aditivos!$L$2:$L$200,aditivos!$A$2:$A$200,A77,aditivos!$C$2:$C$200,"C1"),2))</f>
        <v/>
      </c>
      <c r="I77" s="204" t="str">
        <f t="shared" si="24"/>
        <v/>
      </c>
      <c r="J77" s="204" t="str">
        <f>IF(A77="","",IF(itens_Remanesc!E77="","",itens_Remanesc!E77))</f>
        <v/>
      </c>
      <c r="K77" s="210" t="str">
        <f t="shared" si="25"/>
        <v/>
      </c>
      <c r="L77" s="202" t="str">
        <f>IF(A77="","",ROUND(SUMIFS(aditivos!$L$2:$L$200,aditivos!$A$2:$A$200,A77,aditivos!$C$2:$C$200,"C2"),2))</f>
        <v/>
      </c>
      <c r="M77" s="198" t="str">
        <f t="shared" si="26"/>
        <v/>
      </c>
      <c r="N77" s="198" t="str">
        <f>IF(A77="","",IF(itens_Remanesc!G77="","",itens_Remanesc!G77))</f>
        <v/>
      </c>
      <c r="O77" s="206" t="str">
        <f t="shared" si="27"/>
        <v/>
      </c>
      <c r="P77" s="208" t="str">
        <f>IF(A77="","",ROUND(SUMIFS(aditivos!$L$2:$L$200,aditivos!$A$2:$A$200,A77,aditivos!$C$2:$C$200,"C3"),2))</f>
        <v/>
      </c>
      <c r="Q77" s="204" t="str">
        <f t="shared" si="28"/>
        <v/>
      </c>
      <c r="R77" s="204" t="str">
        <f>IF(A77="","",IF(itens_Remanesc!I77="","",itens_Remanesc!I77))</f>
        <v/>
      </c>
      <c r="S77" s="210" t="str">
        <f t="shared" si="29"/>
        <v/>
      </c>
      <c r="T77" s="202" t="str">
        <f>IF(A77="","",ROUND(SUMIFS(aditivos!$L$2:$L$200,aditivos!$A$2:$A$200,A77,aditivos!$C$2:$C$200,"C4"),2))</f>
        <v/>
      </c>
      <c r="U77" s="198" t="str">
        <f t="shared" si="30"/>
        <v/>
      </c>
      <c r="V77" s="198" t="str">
        <f>IF(A77="","",IF(itens_Remanesc!K77="","",itens_Remanesc!K77))</f>
        <v/>
      </c>
      <c r="W77" s="198" t="str">
        <f t="shared" si="31"/>
        <v/>
      </c>
      <c r="X77" s="181" t="str">
        <f t="shared" si="32"/>
        <v/>
      </c>
    </row>
    <row r="78" spans="1:24" x14ac:dyDescent="0.35">
      <c r="A78" s="181" t="str">
        <f>IF(itens_Remanesc!A78="","",itens_Remanesc!A78)</f>
        <v/>
      </c>
      <c r="B78" s="181" t="str">
        <f>IF(A78="","",itens_Remanesc!C78)</f>
        <v/>
      </c>
      <c r="C78" s="200" t="str">
        <f>IF(A78="","",itens_Remanesc!B78)</f>
        <v/>
      </c>
      <c r="D78" s="202" t="str">
        <f>IF(A78="","",ROUND(SUMIFS(aditivos!$L$2:$L$200,aditivos!$A$2:$A$200,A78,aditivos!$C$2:$C$200,"C0"),2))</f>
        <v/>
      </c>
      <c r="E78" s="198" t="str">
        <f t="shared" si="22"/>
        <v/>
      </c>
      <c r="F78" s="198" t="str">
        <f>IF(A78="","",IF(itens_Remanesc!B78="","",itens_Remanesc!B78))</f>
        <v/>
      </c>
      <c r="G78" s="206" t="str">
        <f t="shared" si="23"/>
        <v/>
      </c>
      <c r="H78" s="208" t="str">
        <f>IF(A78="","",ROUND(SUMIFS(aditivos!$L$2:$L$200,aditivos!$A$2:$A$200,A78,aditivos!$C$2:$C$200,"C1"),2))</f>
        <v/>
      </c>
      <c r="I78" s="204" t="str">
        <f t="shared" si="24"/>
        <v/>
      </c>
      <c r="J78" s="204" t="str">
        <f>IF(A78="","",IF(itens_Remanesc!E78="","",itens_Remanesc!E78))</f>
        <v/>
      </c>
      <c r="K78" s="210" t="str">
        <f t="shared" si="25"/>
        <v/>
      </c>
      <c r="L78" s="202" t="str">
        <f>IF(A78="","",ROUND(SUMIFS(aditivos!$L$2:$L$200,aditivos!$A$2:$A$200,A78,aditivos!$C$2:$C$200,"C2"),2))</f>
        <v/>
      </c>
      <c r="M78" s="198" t="str">
        <f t="shared" si="26"/>
        <v/>
      </c>
      <c r="N78" s="198" t="str">
        <f>IF(A78="","",IF(itens_Remanesc!G78="","",itens_Remanesc!G78))</f>
        <v/>
      </c>
      <c r="O78" s="206" t="str">
        <f t="shared" si="27"/>
        <v/>
      </c>
      <c r="P78" s="208" t="str">
        <f>IF(A78="","",ROUND(SUMIFS(aditivos!$L$2:$L$200,aditivos!$A$2:$A$200,A78,aditivos!$C$2:$C$200,"C3"),2))</f>
        <v/>
      </c>
      <c r="Q78" s="204" t="str">
        <f t="shared" si="28"/>
        <v/>
      </c>
      <c r="R78" s="204" t="str">
        <f>IF(A78="","",IF(itens_Remanesc!I78="","",itens_Remanesc!I78))</f>
        <v/>
      </c>
      <c r="S78" s="210" t="str">
        <f t="shared" si="29"/>
        <v/>
      </c>
      <c r="T78" s="202" t="str">
        <f>IF(A78="","",ROUND(SUMIFS(aditivos!$L$2:$L$200,aditivos!$A$2:$A$200,A78,aditivos!$C$2:$C$200,"C4"),2))</f>
        <v/>
      </c>
      <c r="U78" s="198" t="str">
        <f t="shared" si="30"/>
        <v/>
      </c>
      <c r="V78" s="198" t="str">
        <f>IF(A78="","",IF(itens_Remanesc!K78="","",itens_Remanesc!K78))</f>
        <v/>
      </c>
      <c r="W78" s="198" t="str">
        <f t="shared" si="31"/>
        <v/>
      </c>
      <c r="X78" s="181" t="str">
        <f t="shared" si="32"/>
        <v/>
      </c>
    </row>
    <row r="79" spans="1:24" x14ac:dyDescent="0.35">
      <c r="A79" s="181" t="str">
        <f>IF(itens_Remanesc!A79="","",itens_Remanesc!A79)</f>
        <v/>
      </c>
      <c r="B79" s="181" t="str">
        <f>IF(A79="","",itens_Remanesc!C79)</f>
        <v/>
      </c>
      <c r="C79" s="200" t="str">
        <f>IF(A79="","",itens_Remanesc!B79)</f>
        <v/>
      </c>
      <c r="D79" s="202" t="str">
        <f>IF(A79="","",ROUND(SUMIFS(aditivos!$L$2:$L$200,aditivos!$A$2:$A$200,A79,aditivos!$C$2:$C$200,"C0"),2))</f>
        <v/>
      </c>
      <c r="E79" s="198" t="str">
        <f t="shared" si="22"/>
        <v/>
      </c>
      <c r="F79" s="198" t="str">
        <f>IF(A79="","",IF(itens_Remanesc!B79="","",itens_Remanesc!B79))</f>
        <v/>
      </c>
      <c r="G79" s="206" t="str">
        <f t="shared" si="23"/>
        <v/>
      </c>
      <c r="H79" s="208" t="str">
        <f>IF(A79="","",ROUND(SUMIFS(aditivos!$L$2:$L$200,aditivos!$A$2:$A$200,A79,aditivos!$C$2:$C$200,"C1"),2))</f>
        <v/>
      </c>
      <c r="I79" s="204" t="str">
        <f t="shared" si="24"/>
        <v/>
      </c>
      <c r="J79" s="204" t="str">
        <f>IF(A79="","",IF(itens_Remanesc!E79="","",itens_Remanesc!E79))</f>
        <v/>
      </c>
      <c r="K79" s="210" t="str">
        <f t="shared" si="25"/>
        <v/>
      </c>
      <c r="L79" s="202" t="str">
        <f>IF(A79="","",ROUND(SUMIFS(aditivos!$L$2:$L$200,aditivos!$A$2:$A$200,A79,aditivos!$C$2:$C$200,"C2"),2))</f>
        <v/>
      </c>
      <c r="M79" s="198" t="str">
        <f t="shared" si="26"/>
        <v/>
      </c>
      <c r="N79" s="198" t="str">
        <f>IF(A79="","",IF(itens_Remanesc!G79="","",itens_Remanesc!G79))</f>
        <v/>
      </c>
      <c r="O79" s="206" t="str">
        <f t="shared" si="27"/>
        <v/>
      </c>
      <c r="P79" s="208" t="str">
        <f>IF(A79="","",ROUND(SUMIFS(aditivos!$L$2:$L$200,aditivos!$A$2:$A$200,A79,aditivos!$C$2:$C$200,"C3"),2))</f>
        <v/>
      </c>
      <c r="Q79" s="204" t="str">
        <f t="shared" si="28"/>
        <v/>
      </c>
      <c r="R79" s="204" t="str">
        <f>IF(A79="","",IF(itens_Remanesc!I79="","",itens_Remanesc!I79))</f>
        <v/>
      </c>
      <c r="S79" s="210" t="str">
        <f t="shared" si="29"/>
        <v/>
      </c>
      <c r="T79" s="202" t="str">
        <f>IF(A79="","",ROUND(SUMIFS(aditivos!$L$2:$L$200,aditivos!$A$2:$A$200,A79,aditivos!$C$2:$C$200,"C4"),2))</f>
        <v/>
      </c>
      <c r="U79" s="198" t="str">
        <f t="shared" si="30"/>
        <v/>
      </c>
      <c r="V79" s="198" t="str">
        <f>IF(A79="","",IF(itens_Remanesc!K79="","",itens_Remanesc!K79))</f>
        <v/>
      </c>
      <c r="W79" s="198" t="str">
        <f t="shared" si="31"/>
        <v/>
      </c>
      <c r="X79" s="181" t="str">
        <f t="shared" si="32"/>
        <v/>
      </c>
    </row>
    <row r="80" spans="1:24" x14ac:dyDescent="0.35">
      <c r="A80" s="181" t="str">
        <f>IF(itens_Remanesc!A80="","",itens_Remanesc!A80)</f>
        <v/>
      </c>
      <c r="B80" s="181" t="str">
        <f>IF(A80="","",itens_Remanesc!C80)</f>
        <v/>
      </c>
      <c r="C80" s="200" t="str">
        <f>IF(A80="","",itens_Remanesc!B80)</f>
        <v/>
      </c>
      <c r="D80" s="202" t="str">
        <f>IF(A80="","",ROUND(SUMIFS(aditivos!$L$2:$L$200,aditivos!$A$2:$A$200,A80,aditivos!$C$2:$C$200,"C0"),2))</f>
        <v/>
      </c>
      <c r="E80" s="198" t="str">
        <f t="shared" si="22"/>
        <v/>
      </c>
      <c r="F80" s="198" t="str">
        <f>IF(A80="","",IF(itens_Remanesc!B80="","",itens_Remanesc!B80))</f>
        <v/>
      </c>
      <c r="G80" s="206" t="str">
        <f t="shared" si="23"/>
        <v/>
      </c>
      <c r="H80" s="208" t="str">
        <f>IF(A80="","",ROUND(SUMIFS(aditivos!$L$2:$L$200,aditivos!$A$2:$A$200,A80,aditivos!$C$2:$C$200,"C1"),2))</f>
        <v/>
      </c>
      <c r="I80" s="204" t="str">
        <f t="shared" si="24"/>
        <v/>
      </c>
      <c r="J80" s="204" t="str">
        <f>IF(A80="","",IF(itens_Remanesc!E80="","",itens_Remanesc!E80))</f>
        <v/>
      </c>
      <c r="K80" s="210" t="str">
        <f t="shared" si="25"/>
        <v/>
      </c>
      <c r="L80" s="202" t="str">
        <f>IF(A80="","",ROUND(SUMIFS(aditivos!$L$2:$L$200,aditivos!$A$2:$A$200,A80,aditivos!$C$2:$C$200,"C2"),2))</f>
        <v/>
      </c>
      <c r="M80" s="198" t="str">
        <f t="shared" si="26"/>
        <v/>
      </c>
      <c r="N80" s="198" t="str">
        <f>IF(A80="","",IF(itens_Remanesc!G80="","",itens_Remanesc!G80))</f>
        <v/>
      </c>
      <c r="O80" s="206" t="str">
        <f t="shared" si="27"/>
        <v/>
      </c>
      <c r="P80" s="208" t="str">
        <f>IF(A80="","",ROUND(SUMIFS(aditivos!$L$2:$L$200,aditivos!$A$2:$A$200,A80,aditivos!$C$2:$C$200,"C3"),2))</f>
        <v/>
      </c>
      <c r="Q80" s="204" t="str">
        <f t="shared" si="28"/>
        <v/>
      </c>
      <c r="R80" s="204" t="str">
        <f>IF(A80="","",IF(itens_Remanesc!I80="","",itens_Remanesc!I80))</f>
        <v/>
      </c>
      <c r="S80" s="210" t="str">
        <f t="shared" si="29"/>
        <v/>
      </c>
      <c r="T80" s="202" t="str">
        <f>IF(A80="","",ROUND(SUMIFS(aditivos!$L$2:$L$200,aditivos!$A$2:$A$200,A80,aditivos!$C$2:$C$200,"C4"),2))</f>
        <v/>
      </c>
      <c r="U80" s="198" t="str">
        <f t="shared" si="30"/>
        <v/>
      </c>
      <c r="V80" s="198" t="str">
        <f>IF(A80="","",IF(itens_Remanesc!K80="","",itens_Remanesc!K80))</f>
        <v/>
      </c>
      <c r="W80" s="198" t="str">
        <f t="shared" si="31"/>
        <v/>
      </c>
      <c r="X80" s="181" t="str">
        <f t="shared" si="32"/>
        <v/>
      </c>
    </row>
    <row r="81" spans="1:24" x14ac:dyDescent="0.35">
      <c r="A81" s="181" t="str">
        <f>IF(itens_Remanesc!A81="","",itens_Remanesc!A81)</f>
        <v/>
      </c>
      <c r="B81" s="181" t="str">
        <f>IF(A81="","",itens_Remanesc!C81)</f>
        <v/>
      </c>
      <c r="C81" s="200" t="str">
        <f>IF(A81="","",itens_Remanesc!B81)</f>
        <v/>
      </c>
      <c r="D81" s="202" t="str">
        <f>IF(A81="","",ROUND(SUMIFS(aditivos!$L$2:$L$200,aditivos!$A$2:$A$200,A81,aditivos!$C$2:$C$200,"C0"),2))</f>
        <v/>
      </c>
      <c r="E81" s="198" t="str">
        <f t="shared" si="22"/>
        <v/>
      </c>
      <c r="F81" s="198" t="str">
        <f>IF(A81="","",IF(itens_Remanesc!B81="","",itens_Remanesc!B81))</f>
        <v/>
      </c>
      <c r="G81" s="206" t="str">
        <f t="shared" si="23"/>
        <v/>
      </c>
      <c r="H81" s="208" t="str">
        <f>IF(A81="","",ROUND(SUMIFS(aditivos!$L$2:$L$200,aditivos!$A$2:$A$200,A81,aditivos!$C$2:$C$200,"C1"),2))</f>
        <v/>
      </c>
      <c r="I81" s="204" t="str">
        <f t="shared" si="24"/>
        <v/>
      </c>
      <c r="J81" s="204" t="str">
        <f>IF(A81="","",IF(itens_Remanesc!E81="","",itens_Remanesc!E81))</f>
        <v/>
      </c>
      <c r="K81" s="210" t="str">
        <f t="shared" si="25"/>
        <v/>
      </c>
      <c r="L81" s="202" t="str">
        <f>IF(A81="","",ROUND(SUMIFS(aditivos!$L$2:$L$200,aditivos!$A$2:$A$200,A81,aditivos!$C$2:$C$200,"C2"),2))</f>
        <v/>
      </c>
      <c r="M81" s="198" t="str">
        <f t="shared" si="26"/>
        <v/>
      </c>
      <c r="N81" s="198" t="str">
        <f>IF(A81="","",IF(itens_Remanesc!G81="","",itens_Remanesc!G81))</f>
        <v/>
      </c>
      <c r="O81" s="206" t="str">
        <f t="shared" si="27"/>
        <v/>
      </c>
      <c r="P81" s="208" t="str">
        <f>IF(A81="","",ROUND(SUMIFS(aditivos!$L$2:$L$200,aditivos!$A$2:$A$200,A81,aditivos!$C$2:$C$200,"C3"),2))</f>
        <v/>
      </c>
      <c r="Q81" s="204" t="str">
        <f t="shared" si="28"/>
        <v/>
      </c>
      <c r="R81" s="204" t="str">
        <f>IF(A81="","",IF(itens_Remanesc!I81="","",itens_Remanesc!I81))</f>
        <v/>
      </c>
      <c r="S81" s="210" t="str">
        <f t="shared" si="29"/>
        <v/>
      </c>
      <c r="T81" s="202" t="str">
        <f>IF(A81="","",ROUND(SUMIFS(aditivos!$L$2:$L$200,aditivos!$A$2:$A$200,A81,aditivos!$C$2:$C$200,"C4"),2))</f>
        <v/>
      </c>
      <c r="U81" s="198" t="str">
        <f t="shared" si="30"/>
        <v/>
      </c>
      <c r="V81" s="198" t="str">
        <f>IF(A81="","",IF(itens_Remanesc!K81="","",itens_Remanesc!K81))</f>
        <v/>
      </c>
      <c r="W81" s="198" t="str">
        <f t="shared" si="31"/>
        <v/>
      </c>
      <c r="X81" s="181" t="str">
        <f t="shared" si="32"/>
        <v/>
      </c>
    </row>
    <row r="82" spans="1:24" x14ac:dyDescent="0.35">
      <c r="A82" s="181" t="str">
        <f>IF(itens_Remanesc!A82="","",itens_Remanesc!A82)</f>
        <v/>
      </c>
      <c r="B82" s="181" t="str">
        <f>IF(A82="","",itens_Remanesc!C82)</f>
        <v/>
      </c>
      <c r="C82" s="200" t="str">
        <f>IF(A82="","",itens_Remanesc!B82)</f>
        <v/>
      </c>
      <c r="D82" s="202" t="str">
        <f>IF(A82="","",ROUND(SUMIFS(aditivos!$L$2:$L$200,aditivos!$A$2:$A$200,A82,aditivos!$C$2:$C$200,"C0"),2))</f>
        <v/>
      </c>
      <c r="E82" s="198" t="str">
        <f t="shared" si="22"/>
        <v/>
      </c>
      <c r="F82" s="198" t="str">
        <f>IF(A82="","",IF(itens_Remanesc!B82="","",itens_Remanesc!B82))</f>
        <v/>
      </c>
      <c r="G82" s="206" t="str">
        <f t="shared" si="23"/>
        <v/>
      </c>
      <c r="H82" s="208" t="str">
        <f>IF(A82="","",ROUND(SUMIFS(aditivos!$L$2:$L$200,aditivos!$A$2:$A$200,A82,aditivos!$C$2:$C$200,"C1"),2))</f>
        <v/>
      </c>
      <c r="I82" s="204" t="str">
        <f t="shared" si="24"/>
        <v/>
      </c>
      <c r="J82" s="204" t="str">
        <f>IF(A82="","",IF(itens_Remanesc!E82="","",itens_Remanesc!E82))</f>
        <v/>
      </c>
      <c r="K82" s="210" t="str">
        <f t="shared" si="25"/>
        <v/>
      </c>
      <c r="L82" s="202" t="str">
        <f>IF(A82="","",ROUND(SUMIFS(aditivos!$L$2:$L$200,aditivos!$A$2:$A$200,A82,aditivos!$C$2:$C$200,"C2"),2))</f>
        <v/>
      </c>
      <c r="M82" s="198" t="str">
        <f t="shared" si="26"/>
        <v/>
      </c>
      <c r="N82" s="198" t="str">
        <f>IF(A82="","",IF(itens_Remanesc!G82="","",itens_Remanesc!G82))</f>
        <v/>
      </c>
      <c r="O82" s="206" t="str">
        <f t="shared" si="27"/>
        <v/>
      </c>
      <c r="P82" s="208" t="str">
        <f>IF(A82="","",ROUND(SUMIFS(aditivos!$L$2:$L$200,aditivos!$A$2:$A$200,A82,aditivos!$C$2:$C$200,"C3"),2))</f>
        <v/>
      </c>
      <c r="Q82" s="204" t="str">
        <f t="shared" si="28"/>
        <v/>
      </c>
      <c r="R82" s="204" t="str">
        <f>IF(A82="","",IF(itens_Remanesc!I82="","",itens_Remanesc!I82))</f>
        <v/>
      </c>
      <c r="S82" s="210" t="str">
        <f t="shared" si="29"/>
        <v/>
      </c>
      <c r="T82" s="202" t="str">
        <f>IF(A82="","",ROUND(SUMIFS(aditivos!$L$2:$L$200,aditivos!$A$2:$A$200,A82,aditivos!$C$2:$C$200,"C4"),2))</f>
        <v/>
      </c>
      <c r="U82" s="198" t="str">
        <f t="shared" si="30"/>
        <v/>
      </c>
      <c r="V82" s="198" t="str">
        <f>IF(A82="","",IF(itens_Remanesc!K82="","",itens_Remanesc!K82))</f>
        <v/>
      </c>
      <c r="W82" s="198" t="str">
        <f t="shared" si="31"/>
        <v/>
      </c>
      <c r="X82" s="181" t="str">
        <f t="shared" si="32"/>
        <v/>
      </c>
    </row>
    <row r="83" spans="1:24" x14ac:dyDescent="0.35">
      <c r="A83" s="181" t="str">
        <f>IF(itens_Remanesc!A83="","",itens_Remanesc!A83)</f>
        <v/>
      </c>
      <c r="B83" s="181" t="str">
        <f>IF(A83="","",itens_Remanesc!C83)</f>
        <v/>
      </c>
      <c r="C83" s="200" t="str">
        <f>IF(A83="","",itens_Remanesc!B83)</f>
        <v/>
      </c>
      <c r="D83" s="202" t="str">
        <f>IF(A83="","",ROUND(SUMIFS(aditivos!$L$2:$L$200,aditivos!$A$2:$A$200,A83,aditivos!$C$2:$C$200,"C0"),2))</f>
        <v/>
      </c>
      <c r="E83" s="198" t="str">
        <f t="shared" si="22"/>
        <v/>
      </c>
      <c r="F83" s="198" t="str">
        <f>IF(A83="","",IF(itens_Remanesc!B83="","",itens_Remanesc!B83))</f>
        <v/>
      </c>
      <c r="G83" s="206" t="str">
        <f t="shared" si="23"/>
        <v/>
      </c>
      <c r="H83" s="208" t="str">
        <f>IF(A83="","",ROUND(SUMIFS(aditivos!$L$2:$L$200,aditivos!$A$2:$A$200,A83,aditivos!$C$2:$C$200,"C1"),2))</f>
        <v/>
      </c>
      <c r="I83" s="204" t="str">
        <f t="shared" si="24"/>
        <v/>
      </c>
      <c r="J83" s="204" t="str">
        <f>IF(A83="","",IF(itens_Remanesc!E83="","",itens_Remanesc!E83))</f>
        <v/>
      </c>
      <c r="K83" s="210" t="str">
        <f t="shared" si="25"/>
        <v/>
      </c>
      <c r="L83" s="202" t="str">
        <f>IF(A83="","",ROUND(SUMIFS(aditivos!$L$2:$L$200,aditivos!$A$2:$A$200,A83,aditivos!$C$2:$C$200,"C2"),2))</f>
        <v/>
      </c>
      <c r="M83" s="198" t="str">
        <f t="shared" si="26"/>
        <v/>
      </c>
      <c r="N83" s="198" t="str">
        <f>IF(A83="","",IF(itens_Remanesc!G83="","",itens_Remanesc!G83))</f>
        <v/>
      </c>
      <c r="O83" s="206" t="str">
        <f t="shared" si="27"/>
        <v/>
      </c>
      <c r="P83" s="208" t="str">
        <f>IF(A83="","",ROUND(SUMIFS(aditivos!$L$2:$L$200,aditivos!$A$2:$A$200,A83,aditivos!$C$2:$C$200,"C3"),2))</f>
        <v/>
      </c>
      <c r="Q83" s="204" t="str">
        <f t="shared" si="28"/>
        <v/>
      </c>
      <c r="R83" s="204" t="str">
        <f>IF(A83="","",IF(itens_Remanesc!I83="","",itens_Remanesc!I83))</f>
        <v/>
      </c>
      <c r="S83" s="210" t="str">
        <f t="shared" si="29"/>
        <v/>
      </c>
      <c r="T83" s="202" t="str">
        <f>IF(A83="","",ROUND(SUMIFS(aditivos!$L$2:$L$200,aditivos!$A$2:$A$200,A83,aditivos!$C$2:$C$200,"C4"),2))</f>
        <v/>
      </c>
      <c r="U83" s="198" t="str">
        <f t="shared" si="30"/>
        <v/>
      </c>
      <c r="V83" s="198" t="str">
        <f>IF(A83="","",IF(itens_Remanesc!K83="","",itens_Remanesc!K83))</f>
        <v/>
      </c>
      <c r="W83" s="198" t="str">
        <f t="shared" si="31"/>
        <v/>
      </c>
      <c r="X83" s="181" t="str">
        <f t="shared" si="32"/>
        <v/>
      </c>
    </row>
    <row r="84" spans="1:24" x14ac:dyDescent="0.35">
      <c r="A84" s="181" t="str">
        <f>IF(itens_Remanesc!A84="","",itens_Remanesc!A84)</f>
        <v/>
      </c>
      <c r="B84" s="181" t="str">
        <f>IF(A84="","",itens_Remanesc!C84)</f>
        <v/>
      </c>
      <c r="C84" s="200" t="str">
        <f>IF(A84="","",itens_Remanesc!B84)</f>
        <v/>
      </c>
      <c r="D84" s="202" t="str">
        <f>IF(A84="","",ROUND(SUMIFS(aditivos!$L$2:$L$200,aditivos!$A$2:$A$200,A84,aditivos!$C$2:$C$200,"C0"),2))</f>
        <v/>
      </c>
      <c r="E84" s="198" t="str">
        <f t="shared" si="22"/>
        <v/>
      </c>
      <c r="F84" s="198" t="str">
        <f>IF(A84="","",IF(itens_Remanesc!B84="","",itens_Remanesc!B84))</f>
        <v/>
      </c>
      <c r="G84" s="206" t="str">
        <f t="shared" si="23"/>
        <v/>
      </c>
      <c r="H84" s="208" t="str">
        <f>IF(A84="","",ROUND(SUMIFS(aditivos!$L$2:$L$200,aditivos!$A$2:$A$200,A84,aditivos!$C$2:$C$200,"C1"),2))</f>
        <v/>
      </c>
      <c r="I84" s="204" t="str">
        <f t="shared" si="24"/>
        <v/>
      </c>
      <c r="J84" s="204" t="str">
        <f>IF(A84="","",IF(itens_Remanesc!E84="","",itens_Remanesc!E84))</f>
        <v/>
      </c>
      <c r="K84" s="210" t="str">
        <f t="shared" si="25"/>
        <v/>
      </c>
      <c r="L84" s="202" t="str">
        <f>IF(A84="","",ROUND(SUMIFS(aditivos!$L$2:$L$200,aditivos!$A$2:$A$200,A84,aditivos!$C$2:$C$200,"C2"),2))</f>
        <v/>
      </c>
      <c r="M84" s="198" t="str">
        <f t="shared" si="26"/>
        <v/>
      </c>
      <c r="N84" s="198" t="str">
        <f>IF(A84="","",IF(itens_Remanesc!G84="","",itens_Remanesc!G84))</f>
        <v/>
      </c>
      <c r="O84" s="206" t="str">
        <f t="shared" si="27"/>
        <v/>
      </c>
      <c r="P84" s="208" t="str">
        <f>IF(A84="","",ROUND(SUMIFS(aditivos!$L$2:$L$200,aditivos!$A$2:$A$200,A84,aditivos!$C$2:$C$200,"C3"),2))</f>
        <v/>
      </c>
      <c r="Q84" s="204" t="str">
        <f t="shared" si="28"/>
        <v/>
      </c>
      <c r="R84" s="204" t="str">
        <f>IF(A84="","",IF(itens_Remanesc!I84="","",itens_Remanesc!I84))</f>
        <v/>
      </c>
      <c r="S84" s="210" t="str">
        <f t="shared" si="29"/>
        <v/>
      </c>
      <c r="T84" s="202" t="str">
        <f>IF(A84="","",ROUND(SUMIFS(aditivos!$L$2:$L$200,aditivos!$A$2:$A$200,A84,aditivos!$C$2:$C$200,"C4"),2))</f>
        <v/>
      </c>
      <c r="U84" s="198" t="str">
        <f t="shared" si="30"/>
        <v/>
      </c>
      <c r="V84" s="198" t="str">
        <f>IF(A84="","",IF(itens_Remanesc!K84="","",itens_Remanesc!K84))</f>
        <v/>
      </c>
      <c r="W84" s="198" t="str">
        <f t="shared" si="31"/>
        <v/>
      </c>
      <c r="X84" s="181" t="str">
        <f t="shared" si="32"/>
        <v/>
      </c>
    </row>
    <row r="85" spans="1:24" x14ac:dyDescent="0.35">
      <c r="A85" s="181" t="str">
        <f>IF(itens_Remanesc!A85="","",itens_Remanesc!A85)</f>
        <v/>
      </c>
      <c r="B85" s="181" t="str">
        <f>IF(A85="","",itens_Remanesc!C85)</f>
        <v/>
      </c>
      <c r="C85" s="200" t="str">
        <f>IF(A85="","",itens_Remanesc!B85)</f>
        <v/>
      </c>
      <c r="D85" s="202" t="str">
        <f>IF(A85="","",ROUND(SUMIFS(aditivos!$L$2:$L$200,aditivos!$A$2:$A$200,A85,aditivos!$C$2:$C$200,"C0"),2))</f>
        <v/>
      </c>
      <c r="E85" s="198" t="str">
        <f t="shared" si="22"/>
        <v/>
      </c>
      <c r="F85" s="198" t="str">
        <f>IF(A85="","",IF(itens_Remanesc!B85="","",itens_Remanesc!B85))</f>
        <v/>
      </c>
      <c r="G85" s="206" t="str">
        <f t="shared" si="23"/>
        <v/>
      </c>
      <c r="H85" s="208" t="str">
        <f>IF(A85="","",ROUND(SUMIFS(aditivos!$L$2:$L$200,aditivos!$A$2:$A$200,A85,aditivos!$C$2:$C$200,"C1"),2))</f>
        <v/>
      </c>
      <c r="I85" s="204" t="str">
        <f t="shared" si="24"/>
        <v/>
      </c>
      <c r="J85" s="204" t="str">
        <f>IF(A85="","",IF(itens_Remanesc!E85="","",itens_Remanesc!E85))</f>
        <v/>
      </c>
      <c r="K85" s="210" t="str">
        <f t="shared" si="25"/>
        <v/>
      </c>
      <c r="L85" s="202" t="str">
        <f>IF(A85="","",ROUND(SUMIFS(aditivos!$L$2:$L$200,aditivos!$A$2:$A$200,A85,aditivos!$C$2:$C$200,"C2"),2))</f>
        <v/>
      </c>
      <c r="M85" s="198" t="str">
        <f t="shared" si="26"/>
        <v/>
      </c>
      <c r="N85" s="198" t="str">
        <f>IF(A85="","",IF(itens_Remanesc!G85="","",itens_Remanesc!G85))</f>
        <v/>
      </c>
      <c r="O85" s="206" t="str">
        <f t="shared" si="27"/>
        <v/>
      </c>
      <c r="P85" s="208" t="str">
        <f>IF(A85="","",ROUND(SUMIFS(aditivos!$L$2:$L$200,aditivos!$A$2:$A$200,A85,aditivos!$C$2:$C$200,"C3"),2))</f>
        <v/>
      </c>
      <c r="Q85" s="204" t="str">
        <f t="shared" si="28"/>
        <v/>
      </c>
      <c r="R85" s="204" t="str">
        <f>IF(A85="","",IF(itens_Remanesc!I85="","",itens_Remanesc!I85))</f>
        <v/>
      </c>
      <c r="S85" s="210" t="str">
        <f t="shared" si="29"/>
        <v/>
      </c>
      <c r="T85" s="202" t="str">
        <f>IF(A85="","",ROUND(SUMIFS(aditivos!$L$2:$L$200,aditivos!$A$2:$A$200,A85,aditivos!$C$2:$C$200,"C4"),2))</f>
        <v/>
      </c>
      <c r="U85" s="198" t="str">
        <f t="shared" si="30"/>
        <v/>
      </c>
      <c r="V85" s="198" t="str">
        <f>IF(A85="","",IF(itens_Remanesc!K85="","",itens_Remanesc!K85))</f>
        <v/>
      </c>
      <c r="W85" s="198" t="str">
        <f t="shared" si="31"/>
        <v/>
      </c>
      <c r="X85" s="181" t="str">
        <f t="shared" si="32"/>
        <v/>
      </c>
    </row>
    <row r="86" spans="1:24" x14ac:dyDescent="0.35">
      <c r="A86" s="181" t="str">
        <f>IF(itens_Remanesc!A86="","",itens_Remanesc!A86)</f>
        <v/>
      </c>
      <c r="B86" s="181" t="str">
        <f>IF(A86="","",itens_Remanesc!C86)</f>
        <v/>
      </c>
      <c r="C86" s="200" t="str">
        <f>IF(A86="","",itens_Remanesc!B86)</f>
        <v/>
      </c>
      <c r="D86" s="202" t="str">
        <f>IF(A86="","",ROUND(SUMIFS(aditivos!$L$2:$L$200,aditivos!$A$2:$A$200,A86,aditivos!$C$2:$C$200,"C0"),2))</f>
        <v/>
      </c>
      <c r="E86" s="198" t="str">
        <f t="shared" si="22"/>
        <v/>
      </c>
      <c r="F86" s="198" t="str">
        <f>IF(A86="","",IF(itens_Remanesc!B86="","",itens_Remanesc!B86))</f>
        <v/>
      </c>
      <c r="G86" s="206" t="str">
        <f t="shared" si="23"/>
        <v/>
      </c>
      <c r="H86" s="208" t="str">
        <f>IF(A86="","",ROUND(SUMIFS(aditivos!$L$2:$L$200,aditivos!$A$2:$A$200,A86,aditivos!$C$2:$C$200,"C1"),2))</f>
        <v/>
      </c>
      <c r="I86" s="204" t="str">
        <f t="shared" si="24"/>
        <v/>
      </c>
      <c r="J86" s="204" t="str">
        <f>IF(A86="","",IF(itens_Remanesc!E86="","",itens_Remanesc!E86))</f>
        <v/>
      </c>
      <c r="K86" s="210" t="str">
        <f t="shared" si="25"/>
        <v/>
      </c>
      <c r="L86" s="202" t="str">
        <f>IF(A86="","",ROUND(SUMIFS(aditivos!$L$2:$L$200,aditivos!$A$2:$A$200,A86,aditivos!$C$2:$C$200,"C2"),2))</f>
        <v/>
      </c>
      <c r="M86" s="198" t="str">
        <f t="shared" si="26"/>
        <v/>
      </c>
      <c r="N86" s="198" t="str">
        <f>IF(A86="","",IF(itens_Remanesc!G86="","",itens_Remanesc!G86))</f>
        <v/>
      </c>
      <c r="O86" s="206" t="str">
        <f t="shared" si="27"/>
        <v/>
      </c>
      <c r="P86" s="208" t="str">
        <f>IF(A86="","",ROUND(SUMIFS(aditivos!$L$2:$L$200,aditivos!$A$2:$A$200,A86,aditivos!$C$2:$C$200,"C3"),2))</f>
        <v/>
      </c>
      <c r="Q86" s="204" t="str">
        <f t="shared" si="28"/>
        <v/>
      </c>
      <c r="R86" s="204" t="str">
        <f>IF(A86="","",IF(itens_Remanesc!I86="","",itens_Remanesc!I86))</f>
        <v/>
      </c>
      <c r="S86" s="210" t="str">
        <f t="shared" si="29"/>
        <v/>
      </c>
      <c r="T86" s="202" t="str">
        <f>IF(A86="","",ROUND(SUMIFS(aditivos!$L$2:$L$200,aditivos!$A$2:$A$200,A86,aditivos!$C$2:$C$200,"C4"),2))</f>
        <v/>
      </c>
      <c r="U86" s="198" t="str">
        <f t="shared" si="30"/>
        <v/>
      </c>
      <c r="V86" s="198" t="str">
        <f>IF(A86="","",IF(itens_Remanesc!K86="","",itens_Remanesc!K86))</f>
        <v/>
      </c>
      <c r="W86" s="198" t="str">
        <f t="shared" si="31"/>
        <v/>
      </c>
      <c r="X86" s="181" t="str">
        <f t="shared" si="32"/>
        <v/>
      </c>
    </row>
    <row r="87" spans="1:24" x14ac:dyDescent="0.35">
      <c r="A87" s="181" t="str">
        <f>IF(itens_Remanesc!A87="","",itens_Remanesc!A87)</f>
        <v/>
      </c>
      <c r="B87" s="181" t="str">
        <f>IF(A87="","",itens_Remanesc!C87)</f>
        <v/>
      </c>
      <c r="C87" s="200" t="str">
        <f>IF(A87="","",itens_Remanesc!B87)</f>
        <v/>
      </c>
      <c r="D87" s="202" t="str">
        <f>IF(A87="","",ROUND(SUMIFS(aditivos!$L$2:$L$200,aditivos!$A$2:$A$200,A87,aditivos!$C$2:$C$200,"C0"),2))</f>
        <v/>
      </c>
      <c r="E87" s="198" t="str">
        <f t="shared" si="22"/>
        <v/>
      </c>
      <c r="F87" s="198" t="str">
        <f>IF(A87="","",IF(itens_Remanesc!B87="","",itens_Remanesc!B87))</f>
        <v/>
      </c>
      <c r="G87" s="206" t="str">
        <f t="shared" si="23"/>
        <v/>
      </c>
      <c r="H87" s="208" t="str">
        <f>IF(A87="","",ROUND(SUMIFS(aditivos!$L$2:$L$200,aditivos!$A$2:$A$200,A87,aditivos!$C$2:$C$200,"C1"),2))</f>
        <v/>
      </c>
      <c r="I87" s="204" t="str">
        <f t="shared" si="24"/>
        <v/>
      </c>
      <c r="J87" s="204" t="str">
        <f>IF(A87="","",IF(itens_Remanesc!E87="","",itens_Remanesc!E87))</f>
        <v/>
      </c>
      <c r="K87" s="210" t="str">
        <f t="shared" si="25"/>
        <v/>
      </c>
      <c r="L87" s="202" t="str">
        <f>IF(A87="","",ROUND(SUMIFS(aditivos!$L$2:$L$200,aditivos!$A$2:$A$200,A87,aditivos!$C$2:$C$200,"C2"),2))</f>
        <v/>
      </c>
      <c r="M87" s="198" t="str">
        <f t="shared" si="26"/>
        <v/>
      </c>
      <c r="N87" s="198" t="str">
        <f>IF(A87="","",IF(itens_Remanesc!G87="","",itens_Remanesc!G87))</f>
        <v/>
      </c>
      <c r="O87" s="206" t="str">
        <f t="shared" si="27"/>
        <v/>
      </c>
      <c r="P87" s="208" t="str">
        <f>IF(A87="","",ROUND(SUMIFS(aditivos!$L$2:$L$200,aditivos!$A$2:$A$200,A87,aditivos!$C$2:$C$200,"C3"),2))</f>
        <v/>
      </c>
      <c r="Q87" s="204" t="str">
        <f t="shared" si="28"/>
        <v/>
      </c>
      <c r="R87" s="204" t="str">
        <f>IF(A87="","",IF(itens_Remanesc!I87="","",itens_Remanesc!I87))</f>
        <v/>
      </c>
      <c r="S87" s="210" t="str">
        <f t="shared" si="29"/>
        <v/>
      </c>
      <c r="T87" s="202" t="str">
        <f>IF(A87="","",ROUND(SUMIFS(aditivos!$L$2:$L$200,aditivos!$A$2:$A$200,A87,aditivos!$C$2:$C$200,"C4"),2))</f>
        <v/>
      </c>
      <c r="U87" s="198" t="str">
        <f t="shared" si="30"/>
        <v/>
      </c>
      <c r="V87" s="198" t="str">
        <f>IF(A87="","",IF(itens_Remanesc!K87="","",itens_Remanesc!K87))</f>
        <v/>
      </c>
      <c r="W87" s="198" t="str">
        <f t="shared" si="31"/>
        <v/>
      </c>
      <c r="X87" s="181" t="str">
        <f t="shared" si="32"/>
        <v/>
      </c>
    </row>
    <row r="88" spans="1:24" x14ac:dyDescent="0.35">
      <c r="A88" s="181" t="str">
        <f>IF(itens_Remanesc!A88="","",itens_Remanesc!A88)</f>
        <v/>
      </c>
      <c r="B88" s="181" t="str">
        <f>IF(A88="","",itens_Remanesc!C88)</f>
        <v/>
      </c>
      <c r="C88" s="200" t="str">
        <f>IF(A88="","",itens_Remanesc!B88)</f>
        <v/>
      </c>
      <c r="D88" s="202" t="str">
        <f>IF(A88="","",ROUND(SUMIFS(aditivos!$L$2:$L$200,aditivos!$A$2:$A$200,A88,aditivos!$C$2:$C$200,"C0"),2))</f>
        <v/>
      </c>
      <c r="E88" s="198" t="str">
        <f t="shared" si="22"/>
        <v/>
      </c>
      <c r="F88" s="198" t="str">
        <f>IF(A88="","",IF(itens_Remanesc!B88="","",itens_Remanesc!B88))</f>
        <v/>
      </c>
      <c r="G88" s="206" t="str">
        <f t="shared" si="23"/>
        <v/>
      </c>
      <c r="H88" s="208" t="str">
        <f>IF(A88="","",ROUND(SUMIFS(aditivos!$L$2:$L$200,aditivos!$A$2:$A$200,A88,aditivos!$C$2:$C$200,"C1"),2))</f>
        <v/>
      </c>
      <c r="I88" s="204" t="str">
        <f t="shared" si="24"/>
        <v/>
      </c>
      <c r="J88" s="204" t="str">
        <f>IF(A88="","",IF(itens_Remanesc!E88="","",itens_Remanesc!E88))</f>
        <v/>
      </c>
      <c r="K88" s="210" t="str">
        <f t="shared" si="25"/>
        <v/>
      </c>
      <c r="L88" s="202" t="str">
        <f>IF(A88="","",ROUND(SUMIFS(aditivos!$L$2:$L$200,aditivos!$A$2:$A$200,A88,aditivos!$C$2:$C$200,"C2"),2))</f>
        <v/>
      </c>
      <c r="M88" s="198" t="str">
        <f t="shared" si="26"/>
        <v/>
      </c>
      <c r="N88" s="198" t="str">
        <f>IF(A88="","",IF(itens_Remanesc!G88="","",itens_Remanesc!G88))</f>
        <v/>
      </c>
      <c r="O88" s="206" t="str">
        <f t="shared" si="27"/>
        <v/>
      </c>
      <c r="P88" s="208" t="str">
        <f>IF(A88="","",ROUND(SUMIFS(aditivos!$L$2:$L$200,aditivos!$A$2:$A$200,A88,aditivos!$C$2:$C$200,"C3"),2))</f>
        <v/>
      </c>
      <c r="Q88" s="204" t="str">
        <f t="shared" si="28"/>
        <v/>
      </c>
      <c r="R88" s="204" t="str">
        <f>IF(A88="","",IF(itens_Remanesc!I88="","",itens_Remanesc!I88))</f>
        <v/>
      </c>
      <c r="S88" s="210" t="str">
        <f t="shared" si="29"/>
        <v/>
      </c>
      <c r="T88" s="202" t="str">
        <f>IF(A88="","",ROUND(SUMIFS(aditivos!$L$2:$L$200,aditivos!$A$2:$A$200,A88,aditivos!$C$2:$C$200,"C4"),2))</f>
        <v/>
      </c>
      <c r="U88" s="198" t="str">
        <f t="shared" si="30"/>
        <v/>
      </c>
      <c r="V88" s="198" t="str">
        <f>IF(A88="","",IF(itens_Remanesc!K88="","",itens_Remanesc!K88))</f>
        <v/>
      </c>
      <c r="W88" s="198" t="str">
        <f t="shared" si="31"/>
        <v/>
      </c>
      <c r="X88" s="181" t="str">
        <f t="shared" si="32"/>
        <v/>
      </c>
    </row>
    <row r="89" spans="1:24" x14ac:dyDescent="0.35">
      <c r="A89" s="181" t="str">
        <f>IF(itens_Remanesc!A89="","",itens_Remanesc!A89)</f>
        <v/>
      </c>
      <c r="B89" s="181" t="str">
        <f>IF(A89="","",itens_Remanesc!C89)</f>
        <v/>
      </c>
      <c r="C89" s="200" t="str">
        <f>IF(A89="","",itens_Remanesc!B89)</f>
        <v/>
      </c>
      <c r="D89" s="202" t="str">
        <f>IF(A89="","",ROUND(SUMIFS(aditivos!$L$2:$L$200,aditivos!$A$2:$A$200,A89,aditivos!$C$2:$C$200,"C0"),2))</f>
        <v/>
      </c>
      <c r="E89" s="198" t="str">
        <f t="shared" si="22"/>
        <v/>
      </c>
      <c r="F89" s="198" t="str">
        <f>IF(A89="","",IF(itens_Remanesc!B89="","",itens_Remanesc!B89))</f>
        <v/>
      </c>
      <c r="G89" s="206" t="str">
        <f t="shared" si="23"/>
        <v/>
      </c>
      <c r="H89" s="208" t="str">
        <f>IF(A89="","",ROUND(SUMIFS(aditivos!$L$2:$L$200,aditivos!$A$2:$A$200,A89,aditivos!$C$2:$C$200,"C1"),2))</f>
        <v/>
      </c>
      <c r="I89" s="204" t="str">
        <f t="shared" si="24"/>
        <v/>
      </c>
      <c r="J89" s="204" t="str">
        <f>IF(A89="","",IF(itens_Remanesc!E89="","",itens_Remanesc!E89))</f>
        <v/>
      </c>
      <c r="K89" s="210" t="str">
        <f t="shared" si="25"/>
        <v/>
      </c>
      <c r="L89" s="202" t="str">
        <f>IF(A89="","",ROUND(SUMIFS(aditivos!$L$2:$L$200,aditivos!$A$2:$A$200,A89,aditivos!$C$2:$C$200,"C2"),2))</f>
        <v/>
      </c>
      <c r="M89" s="198" t="str">
        <f t="shared" si="26"/>
        <v/>
      </c>
      <c r="N89" s="198" t="str">
        <f>IF(A89="","",IF(itens_Remanesc!G89="","",itens_Remanesc!G89))</f>
        <v/>
      </c>
      <c r="O89" s="206" t="str">
        <f t="shared" si="27"/>
        <v/>
      </c>
      <c r="P89" s="208" t="str">
        <f>IF(A89="","",ROUND(SUMIFS(aditivos!$L$2:$L$200,aditivos!$A$2:$A$200,A89,aditivos!$C$2:$C$200,"C3"),2))</f>
        <v/>
      </c>
      <c r="Q89" s="204" t="str">
        <f t="shared" si="28"/>
        <v/>
      </c>
      <c r="R89" s="204" t="str">
        <f>IF(A89="","",IF(itens_Remanesc!I89="","",itens_Remanesc!I89))</f>
        <v/>
      </c>
      <c r="S89" s="210" t="str">
        <f t="shared" si="29"/>
        <v/>
      </c>
      <c r="T89" s="202" t="str">
        <f>IF(A89="","",ROUND(SUMIFS(aditivos!$L$2:$L$200,aditivos!$A$2:$A$200,A89,aditivos!$C$2:$C$200,"C4"),2))</f>
        <v/>
      </c>
      <c r="U89" s="198" t="str">
        <f t="shared" si="30"/>
        <v/>
      </c>
      <c r="V89" s="198" t="str">
        <f>IF(A89="","",IF(itens_Remanesc!K89="","",itens_Remanesc!K89))</f>
        <v/>
      </c>
      <c r="W89" s="198" t="str">
        <f t="shared" si="31"/>
        <v/>
      </c>
      <c r="X89" s="181" t="str">
        <f t="shared" si="32"/>
        <v/>
      </c>
    </row>
    <row r="90" spans="1:24" x14ac:dyDescent="0.35">
      <c r="A90" s="181" t="str">
        <f>IF(itens_Remanesc!A90="","",itens_Remanesc!A90)</f>
        <v/>
      </c>
      <c r="B90" s="181" t="str">
        <f>IF(A90="","",itens_Remanesc!C90)</f>
        <v/>
      </c>
      <c r="C90" s="200" t="str">
        <f>IF(A90="","",itens_Remanesc!B90)</f>
        <v/>
      </c>
      <c r="D90" s="202" t="str">
        <f>IF(A90="","",ROUND(SUMIFS(aditivos!$L$2:$L$200,aditivos!$A$2:$A$200,A90,aditivos!$C$2:$C$200,"C0"),2))</f>
        <v/>
      </c>
      <c r="E90" s="198" t="str">
        <f t="shared" si="22"/>
        <v/>
      </c>
      <c r="F90" s="198" t="str">
        <f>IF(A90="","",IF(itens_Remanesc!B90="","",itens_Remanesc!B90))</f>
        <v/>
      </c>
      <c r="G90" s="206" t="str">
        <f t="shared" si="23"/>
        <v/>
      </c>
      <c r="H90" s="208" t="str">
        <f>IF(A90="","",ROUND(SUMIFS(aditivos!$L$2:$L$200,aditivos!$A$2:$A$200,A90,aditivos!$C$2:$C$200,"C1"),2))</f>
        <v/>
      </c>
      <c r="I90" s="204" t="str">
        <f t="shared" si="24"/>
        <v/>
      </c>
      <c r="J90" s="204" t="str">
        <f>IF(A90="","",IF(itens_Remanesc!E90="","",itens_Remanesc!E90))</f>
        <v/>
      </c>
      <c r="K90" s="210" t="str">
        <f t="shared" si="25"/>
        <v/>
      </c>
      <c r="L90" s="202" t="str">
        <f>IF(A90="","",ROUND(SUMIFS(aditivos!$L$2:$L$200,aditivos!$A$2:$A$200,A90,aditivos!$C$2:$C$200,"C2"),2))</f>
        <v/>
      </c>
      <c r="M90" s="198" t="str">
        <f t="shared" si="26"/>
        <v/>
      </c>
      <c r="N90" s="198" t="str">
        <f>IF(A90="","",IF(itens_Remanesc!G90="","",itens_Remanesc!G90))</f>
        <v/>
      </c>
      <c r="O90" s="206" t="str">
        <f t="shared" si="27"/>
        <v/>
      </c>
      <c r="P90" s="208" t="str">
        <f>IF(A90="","",ROUND(SUMIFS(aditivos!$L$2:$L$200,aditivos!$A$2:$A$200,A90,aditivos!$C$2:$C$200,"C3"),2))</f>
        <v/>
      </c>
      <c r="Q90" s="204" t="str">
        <f t="shared" si="28"/>
        <v/>
      </c>
      <c r="R90" s="204" t="str">
        <f>IF(A90="","",IF(itens_Remanesc!I90="","",itens_Remanesc!I90))</f>
        <v/>
      </c>
      <c r="S90" s="210" t="str">
        <f t="shared" si="29"/>
        <v/>
      </c>
      <c r="T90" s="202" t="str">
        <f>IF(A90="","",ROUND(SUMIFS(aditivos!$L$2:$L$200,aditivos!$A$2:$A$200,A90,aditivos!$C$2:$C$200,"C4"),2))</f>
        <v/>
      </c>
      <c r="U90" s="198" t="str">
        <f t="shared" si="30"/>
        <v/>
      </c>
      <c r="V90" s="198" t="str">
        <f>IF(A90="","",IF(itens_Remanesc!K90="","",itens_Remanesc!K90))</f>
        <v/>
      </c>
      <c r="W90" s="198" t="str">
        <f t="shared" si="31"/>
        <v/>
      </c>
      <c r="X90" s="181" t="str">
        <f t="shared" si="32"/>
        <v/>
      </c>
    </row>
    <row r="91" spans="1:24" x14ac:dyDescent="0.35">
      <c r="A91" s="181" t="str">
        <f>IF(itens_Remanesc!A91="","",itens_Remanesc!A91)</f>
        <v/>
      </c>
      <c r="B91" s="181" t="str">
        <f>IF(A91="","",itens_Remanesc!C91)</f>
        <v/>
      </c>
      <c r="C91" s="200" t="str">
        <f>IF(A91="","",itens_Remanesc!B91)</f>
        <v/>
      </c>
      <c r="D91" s="202" t="str">
        <f>IF(A91="","",ROUND(SUMIFS(aditivos!$L$2:$L$200,aditivos!$A$2:$A$200,A91,aditivos!$C$2:$C$200,"C0"),2))</f>
        <v/>
      </c>
      <c r="E91" s="198" t="str">
        <f t="shared" si="22"/>
        <v/>
      </c>
      <c r="F91" s="198" t="str">
        <f>IF(A91="","",IF(itens_Remanesc!B91="","",itens_Remanesc!B91))</f>
        <v/>
      </c>
      <c r="G91" s="206" t="str">
        <f t="shared" si="23"/>
        <v/>
      </c>
      <c r="H91" s="208" t="str">
        <f>IF(A91="","",ROUND(SUMIFS(aditivos!$L$2:$L$200,aditivos!$A$2:$A$200,A91,aditivos!$C$2:$C$200,"C1"),2))</f>
        <v/>
      </c>
      <c r="I91" s="204" t="str">
        <f t="shared" si="24"/>
        <v/>
      </c>
      <c r="J91" s="204" t="str">
        <f>IF(A91="","",IF(itens_Remanesc!E91="","",itens_Remanesc!E91))</f>
        <v/>
      </c>
      <c r="K91" s="210" t="str">
        <f t="shared" si="25"/>
        <v/>
      </c>
      <c r="L91" s="202" t="str">
        <f>IF(A91="","",ROUND(SUMIFS(aditivos!$L$2:$L$200,aditivos!$A$2:$A$200,A91,aditivos!$C$2:$C$200,"C2"),2))</f>
        <v/>
      </c>
      <c r="M91" s="198" t="str">
        <f t="shared" si="26"/>
        <v/>
      </c>
      <c r="N91" s="198" t="str">
        <f>IF(A91="","",IF(itens_Remanesc!G91="","",itens_Remanesc!G91))</f>
        <v/>
      </c>
      <c r="O91" s="206" t="str">
        <f t="shared" si="27"/>
        <v/>
      </c>
      <c r="P91" s="208" t="str">
        <f>IF(A91="","",ROUND(SUMIFS(aditivos!$L$2:$L$200,aditivos!$A$2:$A$200,A91,aditivos!$C$2:$C$200,"C3"),2))</f>
        <v/>
      </c>
      <c r="Q91" s="204" t="str">
        <f t="shared" si="28"/>
        <v/>
      </c>
      <c r="R91" s="204" t="str">
        <f>IF(A91="","",IF(itens_Remanesc!I91="","",itens_Remanesc!I91))</f>
        <v/>
      </c>
      <c r="S91" s="210" t="str">
        <f t="shared" si="29"/>
        <v/>
      </c>
      <c r="T91" s="202" t="str">
        <f>IF(A91="","",ROUND(SUMIFS(aditivos!$L$2:$L$200,aditivos!$A$2:$A$200,A91,aditivos!$C$2:$C$200,"C4"),2))</f>
        <v/>
      </c>
      <c r="U91" s="198" t="str">
        <f t="shared" si="30"/>
        <v/>
      </c>
      <c r="V91" s="198" t="str">
        <f>IF(A91="","",IF(itens_Remanesc!K91="","",itens_Remanesc!K91))</f>
        <v/>
      </c>
      <c r="W91" s="198" t="str">
        <f t="shared" si="31"/>
        <v/>
      </c>
      <c r="X91" s="181" t="str">
        <f t="shared" si="32"/>
        <v/>
      </c>
    </row>
    <row r="92" spans="1:24" x14ac:dyDescent="0.35">
      <c r="A92" s="181" t="str">
        <f>IF(itens_Remanesc!A92="","",itens_Remanesc!A92)</f>
        <v/>
      </c>
      <c r="B92" s="181" t="str">
        <f>IF(A92="","",itens_Remanesc!C92)</f>
        <v/>
      </c>
      <c r="C92" s="200" t="str">
        <f>IF(A92="","",itens_Remanesc!B92)</f>
        <v/>
      </c>
      <c r="D92" s="202" t="str">
        <f>IF(A92="","",ROUND(SUMIFS(aditivos!$L$2:$L$200,aditivos!$A$2:$A$200,A92,aditivos!$C$2:$C$200,"C0"),2))</f>
        <v/>
      </c>
      <c r="E92" s="198" t="str">
        <f t="shared" si="22"/>
        <v/>
      </c>
      <c r="F92" s="198" t="str">
        <f>IF(A92="","",IF(itens_Remanesc!B92="","",itens_Remanesc!B92))</f>
        <v/>
      </c>
      <c r="G92" s="206" t="str">
        <f t="shared" si="23"/>
        <v/>
      </c>
      <c r="H92" s="208" t="str">
        <f>IF(A92="","",ROUND(SUMIFS(aditivos!$L$2:$L$200,aditivos!$A$2:$A$200,A92,aditivos!$C$2:$C$200,"C1"),2))</f>
        <v/>
      </c>
      <c r="I92" s="204" t="str">
        <f t="shared" si="24"/>
        <v/>
      </c>
      <c r="J92" s="204" t="str">
        <f>IF(A92="","",IF(itens_Remanesc!E92="","",itens_Remanesc!E92))</f>
        <v/>
      </c>
      <c r="K92" s="210" t="str">
        <f t="shared" si="25"/>
        <v/>
      </c>
      <c r="L92" s="202" t="str">
        <f>IF(A92="","",ROUND(SUMIFS(aditivos!$L$2:$L$200,aditivos!$A$2:$A$200,A92,aditivos!$C$2:$C$200,"C2"),2))</f>
        <v/>
      </c>
      <c r="M92" s="198" t="str">
        <f t="shared" si="26"/>
        <v/>
      </c>
      <c r="N92" s="198" t="str">
        <f>IF(A92="","",IF(itens_Remanesc!G92="","",itens_Remanesc!G92))</f>
        <v/>
      </c>
      <c r="O92" s="206" t="str">
        <f t="shared" si="27"/>
        <v/>
      </c>
      <c r="P92" s="208" t="str">
        <f>IF(A92="","",ROUND(SUMIFS(aditivos!$L$2:$L$200,aditivos!$A$2:$A$200,A92,aditivos!$C$2:$C$200,"C3"),2))</f>
        <v/>
      </c>
      <c r="Q92" s="204" t="str">
        <f t="shared" si="28"/>
        <v/>
      </c>
      <c r="R92" s="204" t="str">
        <f>IF(A92="","",IF(itens_Remanesc!I92="","",itens_Remanesc!I92))</f>
        <v/>
      </c>
      <c r="S92" s="210" t="str">
        <f t="shared" si="29"/>
        <v/>
      </c>
      <c r="T92" s="202" t="str">
        <f>IF(A92="","",ROUND(SUMIFS(aditivos!$L$2:$L$200,aditivos!$A$2:$A$200,A92,aditivos!$C$2:$C$200,"C4"),2))</f>
        <v/>
      </c>
      <c r="U92" s="198" t="str">
        <f t="shared" si="30"/>
        <v/>
      </c>
      <c r="V92" s="198" t="str">
        <f>IF(A92="","",IF(itens_Remanesc!K92="","",itens_Remanesc!K92))</f>
        <v/>
      </c>
      <c r="W92" s="198" t="str">
        <f t="shared" si="31"/>
        <v/>
      </c>
      <c r="X92" s="181" t="str">
        <f t="shared" si="32"/>
        <v/>
      </c>
    </row>
    <row r="93" spans="1:24" x14ac:dyDescent="0.35">
      <c r="A93" s="181" t="str">
        <f>IF(itens_Remanesc!A93="","",itens_Remanesc!A93)</f>
        <v/>
      </c>
      <c r="B93" s="181" t="str">
        <f>IF(A93="","",itens_Remanesc!C93)</f>
        <v/>
      </c>
      <c r="C93" s="200" t="str">
        <f>IF(A93="","",itens_Remanesc!B93)</f>
        <v/>
      </c>
      <c r="D93" s="202" t="str">
        <f>IF(A93="","",ROUND(SUMIFS(aditivos!$L$2:$L$200,aditivos!$A$2:$A$200,A93,aditivos!$C$2:$C$200,"C0"),2))</f>
        <v/>
      </c>
      <c r="E93" s="198" t="str">
        <f t="shared" si="22"/>
        <v/>
      </c>
      <c r="F93" s="198" t="str">
        <f>IF(A93="","",IF(itens_Remanesc!B93="","",itens_Remanesc!B93))</f>
        <v/>
      </c>
      <c r="G93" s="206" t="str">
        <f t="shared" si="23"/>
        <v/>
      </c>
      <c r="H93" s="208" t="str">
        <f>IF(A93="","",ROUND(SUMIFS(aditivos!$L$2:$L$200,aditivos!$A$2:$A$200,A93,aditivos!$C$2:$C$200,"C1"),2))</f>
        <v/>
      </c>
      <c r="I93" s="204" t="str">
        <f t="shared" si="24"/>
        <v/>
      </c>
      <c r="J93" s="204" t="str">
        <f>IF(A93="","",IF(itens_Remanesc!E93="","",itens_Remanesc!E93))</f>
        <v/>
      </c>
      <c r="K93" s="210" t="str">
        <f t="shared" si="25"/>
        <v/>
      </c>
      <c r="L93" s="202" t="str">
        <f>IF(A93="","",ROUND(SUMIFS(aditivos!$L$2:$L$200,aditivos!$A$2:$A$200,A93,aditivos!$C$2:$C$200,"C2"),2))</f>
        <v/>
      </c>
      <c r="M93" s="198" t="str">
        <f t="shared" si="26"/>
        <v/>
      </c>
      <c r="N93" s="198" t="str">
        <f>IF(A93="","",IF(itens_Remanesc!G93="","",itens_Remanesc!G93))</f>
        <v/>
      </c>
      <c r="O93" s="206" t="str">
        <f t="shared" si="27"/>
        <v/>
      </c>
      <c r="P93" s="208" t="str">
        <f>IF(A93="","",ROUND(SUMIFS(aditivos!$L$2:$L$200,aditivos!$A$2:$A$200,A93,aditivos!$C$2:$C$200,"C3"),2))</f>
        <v/>
      </c>
      <c r="Q93" s="204" t="str">
        <f t="shared" si="28"/>
        <v/>
      </c>
      <c r="R93" s="204" t="str">
        <f>IF(A93="","",IF(itens_Remanesc!I93="","",itens_Remanesc!I93))</f>
        <v/>
      </c>
      <c r="S93" s="210" t="str">
        <f t="shared" si="29"/>
        <v/>
      </c>
      <c r="T93" s="202" t="str">
        <f>IF(A93="","",ROUND(SUMIFS(aditivos!$L$2:$L$200,aditivos!$A$2:$A$200,A93,aditivos!$C$2:$C$200,"C4"),2))</f>
        <v/>
      </c>
      <c r="U93" s="198" t="str">
        <f t="shared" si="30"/>
        <v/>
      </c>
      <c r="V93" s="198" t="str">
        <f>IF(A93="","",IF(itens_Remanesc!K93="","",itens_Remanesc!K93))</f>
        <v/>
      </c>
      <c r="W93" s="198" t="str">
        <f t="shared" si="31"/>
        <v/>
      </c>
      <c r="X93" s="181" t="str">
        <f t="shared" si="32"/>
        <v/>
      </c>
    </row>
    <row r="94" spans="1:24" x14ac:dyDescent="0.35">
      <c r="A94" s="181" t="str">
        <f>IF(itens_Remanesc!A94="","",itens_Remanesc!A94)</f>
        <v/>
      </c>
      <c r="B94" s="181" t="str">
        <f>IF(A94="","",itens_Remanesc!C94)</f>
        <v/>
      </c>
      <c r="C94" s="200" t="str">
        <f>IF(A94="","",itens_Remanesc!B94)</f>
        <v/>
      </c>
      <c r="D94" s="202" t="str">
        <f>IF(A94="","",ROUND(SUMIFS(aditivos!$L$2:$L$200,aditivos!$A$2:$A$200,A94,aditivos!$C$2:$C$200,"C0"),2))</f>
        <v/>
      </c>
      <c r="E94" s="198" t="str">
        <f t="shared" si="22"/>
        <v/>
      </c>
      <c r="F94" s="198" t="str">
        <f>IF(A94="","",IF(itens_Remanesc!B94="","",itens_Remanesc!B94))</f>
        <v/>
      </c>
      <c r="G94" s="206" t="str">
        <f t="shared" si="23"/>
        <v/>
      </c>
      <c r="H94" s="208" t="str">
        <f>IF(A94="","",ROUND(SUMIFS(aditivos!$L$2:$L$200,aditivos!$A$2:$A$200,A94,aditivos!$C$2:$C$200,"C1"),2))</f>
        <v/>
      </c>
      <c r="I94" s="204" t="str">
        <f t="shared" si="24"/>
        <v/>
      </c>
      <c r="J94" s="204" t="str">
        <f>IF(A94="","",IF(itens_Remanesc!E94="","",itens_Remanesc!E94))</f>
        <v/>
      </c>
      <c r="K94" s="210" t="str">
        <f t="shared" si="25"/>
        <v/>
      </c>
      <c r="L94" s="202" t="str">
        <f>IF(A94="","",ROUND(SUMIFS(aditivos!$L$2:$L$200,aditivos!$A$2:$A$200,A94,aditivos!$C$2:$C$200,"C2"),2))</f>
        <v/>
      </c>
      <c r="M94" s="198" t="str">
        <f t="shared" si="26"/>
        <v/>
      </c>
      <c r="N94" s="198" t="str">
        <f>IF(A94="","",IF(itens_Remanesc!G94="","",itens_Remanesc!G94))</f>
        <v/>
      </c>
      <c r="O94" s="206" t="str">
        <f t="shared" si="27"/>
        <v/>
      </c>
      <c r="P94" s="208" t="str">
        <f>IF(A94="","",ROUND(SUMIFS(aditivos!$L$2:$L$200,aditivos!$A$2:$A$200,A94,aditivos!$C$2:$C$200,"C3"),2))</f>
        <v/>
      </c>
      <c r="Q94" s="204" t="str">
        <f t="shared" si="28"/>
        <v/>
      </c>
      <c r="R94" s="204" t="str">
        <f>IF(A94="","",IF(itens_Remanesc!I94="","",itens_Remanesc!I94))</f>
        <v/>
      </c>
      <c r="S94" s="210" t="str">
        <f t="shared" si="29"/>
        <v/>
      </c>
      <c r="T94" s="202" t="str">
        <f>IF(A94="","",ROUND(SUMIFS(aditivos!$L$2:$L$200,aditivos!$A$2:$A$200,A94,aditivos!$C$2:$C$200,"C4"),2))</f>
        <v/>
      </c>
      <c r="U94" s="198" t="str">
        <f t="shared" si="30"/>
        <v/>
      </c>
      <c r="V94" s="198" t="str">
        <f>IF(A94="","",IF(itens_Remanesc!K94="","",itens_Remanesc!K94))</f>
        <v/>
      </c>
      <c r="W94" s="198" t="str">
        <f t="shared" si="31"/>
        <v/>
      </c>
      <c r="X94" s="181" t="str">
        <f t="shared" si="32"/>
        <v/>
      </c>
    </row>
    <row r="95" spans="1:24" x14ac:dyDescent="0.35">
      <c r="A95" s="181" t="str">
        <f>IF(itens_Remanesc!A95="","",itens_Remanesc!A95)</f>
        <v/>
      </c>
      <c r="B95" s="181" t="str">
        <f>IF(A95="","",itens_Remanesc!C95)</f>
        <v/>
      </c>
      <c r="C95" s="200" t="str">
        <f>IF(A95="","",itens_Remanesc!B95)</f>
        <v/>
      </c>
      <c r="D95" s="202" t="str">
        <f>IF(A95="","",ROUND(SUMIFS(aditivos!$L$2:$L$200,aditivos!$A$2:$A$200,A95,aditivos!$C$2:$C$200,"C0"),2))</f>
        <v/>
      </c>
      <c r="E95" s="198" t="str">
        <f t="shared" si="22"/>
        <v/>
      </c>
      <c r="F95" s="198" t="str">
        <f>IF(A95="","",IF(itens_Remanesc!B95="","",itens_Remanesc!B95))</f>
        <v/>
      </c>
      <c r="G95" s="206" t="str">
        <f t="shared" si="23"/>
        <v/>
      </c>
      <c r="H95" s="208" t="str">
        <f>IF(A95="","",ROUND(SUMIFS(aditivos!$L$2:$L$200,aditivos!$A$2:$A$200,A95,aditivos!$C$2:$C$200,"C1"),2))</f>
        <v/>
      </c>
      <c r="I95" s="204" t="str">
        <f t="shared" si="24"/>
        <v/>
      </c>
      <c r="J95" s="204" t="str">
        <f>IF(A95="","",IF(itens_Remanesc!E95="","",itens_Remanesc!E95))</f>
        <v/>
      </c>
      <c r="K95" s="210" t="str">
        <f t="shared" si="25"/>
        <v/>
      </c>
      <c r="L95" s="202" t="str">
        <f>IF(A95="","",ROUND(SUMIFS(aditivos!$L$2:$L$200,aditivos!$A$2:$A$200,A95,aditivos!$C$2:$C$200,"C2"),2))</f>
        <v/>
      </c>
      <c r="M95" s="198" t="str">
        <f t="shared" si="26"/>
        <v/>
      </c>
      <c r="N95" s="198" t="str">
        <f>IF(A95="","",IF(itens_Remanesc!G95="","",itens_Remanesc!G95))</f>
        <v/>
      </c>
      <c r="O95" s="206" t="str">
        <f t="shared" si="27"/>
        <v/>
      </c>
      <c r="P95" s="208" t="str">
        <f>IF(A95="","",ROUND(SUMIFS(aditivos!$L$2:$L$200,aditivos!$A$2:$A$200,A95,aditivos!$C$2:$C$200,"C3"),2))</f>
        <v/>
      </c>
      <c r="Q95" s="204" t="str">
        <f t="shared" si="28"/>
        <v/>
      </c>
      <c r="R95" s="204" t="str">
        <f>IF(A95="","",IF(itens_Remanesc!I95="","",itens_Remanesc!I95))</f>
        <v/>
      </c>
      <c r="S95" s="210" t="str">
        <f t="shared" si="29"/>
        <v/>
      </c>
      <c r="T95" s="202" t="str">
        <f>IF(A95="","",ROUND(SUMIFS(aditivos!$L$2:$L$200,aditivos!$A$2:$A$200,A95,aditivos!$C$2:$C$200,"C4"),2))</f>
        <v/>
      </c>
      <c r="U95" s="198" t="str">
        <f t="shared" si="30"/>
        <v/>
      </c>
      <c r="V95" s="198" t="str">
        <f>IF(A95="","",IF(itens_Remanesc!K95="","",itens_Remanesc!K95))</f>
        <v/>
      </c>
      <c r="W95" s="198" t="str">
        <f t="shared" si="31"/>
        <v/>
      </c>
      <c r="X95" s="181" t="str">
        <f t="shared" si="32"/>
        <v/>
      </c>
    </row>
    <row r="96" spans="1:24" x14ac:dyDescent="0.35">
      <c r="A96" s="181" t="str">
        <f>IF(itens_Remanesc!A96="","",itens_Remanesc!A96)</f>
        <v/>
      </c>
      <c r="B96" s="181" t="str">
        <f>IF(A96="","",itens_Remanesc!C96)</f>
        <v/>
      </c>
      <c r="C96" s="200" t="str">
        <f>IF(A96="","",itens_Remanesc!B96)</f>
        <v/>
      </c>
      <c r="D96" s="202" t="str">
        <f>IF(A96="","",ROUND(SUMIFS(aditivos!$L$2:$L$200,aditivos!$A$2:$A$200,A96,aditivos!$C$2:$C$200,"C0"),2))</f>
        <v/>
      </c>
      <c r="E96" s="198" t="str">
        <f t="shared" si="22"/>
        <v/>
      </c>
      <c r="F96" s="198" t="str">
        <f>IF(A96="","",IF(itens_Remanesc!B96="","",itens_Remanesc!B96))</f>
        <v/>
      </c>
      <c r="G96" s="206" t="str">
        <f t="shared" si="23"/>
        <v/>
      </c>
      <c r="H96" s="208" t="str">
        <f>IF(A96="","",ROUND(SUMIFS(aditivos!$L$2:$L$200,aditivos!$A$2:$A$200,A96,aditivos!$C$2:$C$200,"C1"),2))</f>
        <v/>
      </c>
      <c r="I96" s="204" t="str">
        <f t="shared" si="24"/>
        <v/>
      </c>
      <c r="J96" s="204" t="str">
        <f>IF(A96="","",IF(itens_Remanesc!E96="","",itens_Remanesc!E96))</f>
        <v/>
      </c>
      <c r="K96" s="210" t="str">
        <f t="shared" si="25"/>
        <v/>
      </c>
      <c r="L96" s="202" t="str">
        <f>IF(A96="","",ROUND(SUMIFS(aditivos!$L$2:$L$200,aditivos!$A$2:$A$200,A96,aditivos!$C$2:$C$200,"C2"),2))</f>
        <v/>
      </c>
      <c r="M96" s="198" t="str">
        <f t="shared" si="26"/>
        <v/>
      </c>
      <c r="N96" s="198" t="str">
        <f>IF(A96="","",IF(itens_Remanesc!G96="","",itens_Remanesc!G96))</f>
        <v/>
      </c>
      <c r="O96" s="206" t="str">
        <f t="shared" si="27"/>
        <v/>
      </c>
      <c r="P96" s="208" t="str">
        <f>IF(A96="","",ROUND(SUMIFS(aditivos!$L$2:$L$200,aditivos!$A$2:$A$200,A96,aditivos!$C$2:$C$200,"C3"),2))</f>
        <v/>
      </c>
      <c r="Q96" s="204" t="str">
        <f t="shared" si="28"/>
        <v/>
      </c>
      <c r="R96" s="204" t="str">
        <f>IF(A96="","",IF(itens_Remanesc!I96="","",itens_Remanesc!I96))</f>
        <v/>
      </c>
      <c r="S96" s="210" t="str">
        <f t="shared" si="29"/>
        <v/>
      </c>
      <c r="T96" s="202" t="str">
        <f>IF(A96="","",ROUND(SUMIFS(aditivos!$L$2:$L$200,aditivos!$A$2:$A$200,A96,aditivos!$C$2:$C$200,"C4"),2))</f>
        <v/>
      </c>
      <c r="U96" s="198" t="str">
        <f t="shared" si="30"/>
        <v/>
      </c>
      <c r="V96" s="198" t="str">
        <f>IF(A96="","",IF(itens_Remanesc!K96="","",itens_Remanesc!K96))</f>
        <v/>
      </c>
      <c r="W96" s="198" t="str">
        <f t="shared" si="31"/>
        <v/>
      </c>
      <c r="X96" s="181" t="str">
        <f t="shared" si="32"/>
        <v/>
      </c>
    </row>
    <row r="97" spans="1:24" x14ac:dyDescent="0.35">
      <c r="A97" s="181" t="str">
        <f>IF(itens_Remanesc!A97="","",itens_Remanesc!A97)</f>
        <v/>
      </c>
      <c r="B97" s="181" t="str">
        <f>IF(A97="","",itens_Remanesc!C97)</f>
        <v/>
      </c>
      <c r="C97" s="200" t="str">
        <f>IF(A97="","",itens_Remanesc!B97)</f>
        <v/>
      </c>
      <c r="D97" s="202" t="str">
        <f>IF(A97="","",ROUND(SUMIFS(aditivos!$L$2:$L$200,aditivos!$A$2:$A$200,A97,aditivos!$C$2:$C$200,"C0"),2))</f>
        <v/>
      </c>
      <c r="E97" s="198" t="str">
        <f t="shared" si="22"/>
        <v/>
      </c>
      <c r="F97" s="198" t="str">
        <f>IF(A97="","",IF(itens_Remanesc!B97="","",itens_Remanesc!B97))</f>
        <v/>
      </c>
      <c r="G97" s="206" t="str">
        <f t="shared" si="23"/>
        <v/>
      </c>
      <c r="H97" s="208" t="str">
        <f>IF(A97="","",ROUND(SUMIFS(aditivos!$L$2:$L$200,aditivos!$A$2:$A$200,A97,aditivos!$C$2:$C$200,"C1"),2))</f>
        <v/>
      </c>
      <c r="I97" s="204" t="str">
        <f t="shared" si="24"/>
        <v/>
      </c>
      <c r="J97" s="204" t="str">
        <f>IF(A97="","",IF(itens_Remanesc!E97="","",itens_Remanesc!E97))</f>
        <v/>
      </c>
      <c r="K97" s="210" t="str">
        <f t="shared" si="25"/>
        <v/>
      </c>
      <c r="L97" s="202" t="str">
        <f>IF(A97="","",ROUND(SUMIFS(aditivos!$L$2:$L$200,aditivos!$A$2:$A$200,A97,aditivos!$C$2:$C$200,"C2"),2))</f>
        <v/>
      </c>
      <c r="M97" s="198" t="str">
        <f t="shared" si="26"/>
        <v/>
      </c>
      <c r="N97" s="198" t="str">
        <f>IF(A97="","",IF(itens_Remanesc!G97="","",itens_Remanesc!G97))</f>
        <v/>
      </c>
      <c r="O97" s="206" t="str">
        <f t="shared" si="27"/>
        <v/>
      </c>
      <c r="P97" s="208" t="str">
        <f>IF(A97="","",ROUND(SUMIFS(aditivos!$L$2:$L$200,aditivos!$A$2:$A$200,A97,aditivos!$C$2:$C$200,"C3"),2))</f>
        <v/>
      </c>
      <c r="Q97" s="204" t="str">
        <f t="shared" si="28"/>
        <v/>
      </c>
      <c r="R97" s="204" t="str">
        <f>IF(A97="","",IF(itens_Remanesc!I97="","",itens_Remanesc!I97))</f>
        <v/>
      </c>
      <c r="S97" s="210" t="str">
        <f t="shared" si="29"/>
        <v/>
      </c>
      <c r="T97" s="202" t="str">
        <f>IF(A97="","",ROUND(SUMIFS(aditivos!$L$2:$L$200,aditivos!$A$2:$A$200,A97,aditivos!$C$2:$C$200,"C4"),2))</f>
        <v/>
      </c>
      <c r="U97" s="198" t="str">
        <f t="shared" si="30"/>
        <v/>
      </c>
      <c r="V97" s="198" t="str">
        <f>IF(A97="","",IF(itens_Remanesc!K97="","",itens_Remanesc!K97))</f>
        <v/>
      </c>
      <c r="W97" s="198" t="str">
        <f t="shared" si="31"/>
        <v/>
      </c>
      <c r="X97" s="181" t="str">
        <f t="shared" si="32"/>
        <v/>
      </c>
    </row>
    <row r="98" spans="1:24" x14ac:dyDescent="0.35">
      <c r="A98" s="181" t="str">
        <f>IF(itens_Remanesc!A98="","",itens_Remanesc!A98)</f>
        <v/>
      </c>
      <c r="B98" s="181" t="str">
        <f>IF(A98="","",itens_Remanesc!C98)</f>
        <v/>
      </c>
      <c r="C98" s="200" t="str">
        <f>IF(A98="","",itens_Remanesc!B98)</f>
        <v/>
      </c>
      <c r="D98" s="202" t="str">
        <f>IF(A98="","",ROUND(SUMIFS(aditivos!$L$2:$L$200,aditivos!$A$2:$A$200,A98,aditivos!$C$2:$C$200,"C0"),2))</f>
        <v/>
      </c>
      <c r="E98" s="198" t="str">
        <f t="shared" ref="E98:E129" si="33">IF(A98="","",ROUND(C98+D98,2))</f>
        <v/>
      </c>
      <c r="F98" s="198" t="str">
        <f>IF(A98="","",IF(itens_Remanesc!B98="","",itens_Remanesc!B98))</f>
        <v/>
      </c>
      <c r="G98" s="206" t="str">
        <f t="shared" ref="G98:G129" si="34">IF(A98="","",E98)</f>
        <v/>
      </c>
      <c r="H98" s="208" t="str">
        <f>IF(A98="","",ROUND(SUMIFS(aditivos!$L$2:$L$200,aditivos!$A$2:$A$200,A98,aditivos!$C$2:$C$200,"C1"),2))</f>
        <v/>
      </c>
      <c r="I98" s="204" t="str">
        <f t="shared" ref="I98:I129" si="35">IF(A98="","",ROUND(E98+H98,2))</f>
        <v/>
      </c>
      <c r="J98" s="204" t="str">
        <f>IF(A98="","",IF(itens_Remanesc!E98="","",itens_Remanesc!E98))</f>
        <v/>
      </c>
      <c r="K98" s="210" t="str">
        <f t="shared" ref="K98:K129" si="36">IF(OR(A98="",J98=""),"",ROUND(J98,2))</f>
        <v/>
      </c>
      <c r="L98" s="202" t="str">
        <f>IF(A98="","",ROUND(SUMIFS(aditivos!$L$2:$L$200,aditivos!$A$2:$A$200,A98,aditivos!$C$2:$C$200,"C2"),2))</f>
        <v/>
      </c>
      <c r="M98" s="198" t="str">
        <f t="shared" ref="M98:M129" si="37">IF(A98="","",ROUND(I98+L98,2))</f>
        <v/>
      </c>
      <c r="N98" s="198" t="str">
        <f>IF(A98="","",IF(itens_Remanesc!G98="","",itens_Remanesc!G98))</f>
        <v/>
      </c>
      <c r="O98" s="206" t="str">
        <f t="shared" ref="O98:O129" si="38">IF(OR(A98="",N98=""),"",ROUND(N98,2))</f>
        <v/>
      </c>
      <c r="P98" s="208" t="str">
        <f>IF(A98="","",ROUND(SUMIFS(aditivos!$L$2:$L$200,aditivos!$A$2:$A$200,A98,aditivos!$C$2:$C$200,"C3"),2))</f>
        <v/>
      </c>
      <c r="Q98" s="204" t="str">
        <f t="shared" ref="Q98:Q129" si="39">IF(A98="","",ROUND(M98+P98,2))</f>
        <v/>
      </c>
      <c r="R98" s="204" t="str">
        <f>IF(A98="","",IF(itens_Remanesc!I98="","",itens_Remanesc!I98))</f>
        <v/>
      </c>
      <c r="S98" s="210" t="str">
        <f t="shared" ref="S98:S129" si="40">IF(OR(A98="",R98=""),"",ROUND(R98,2))</f>
        <v/>
      </c>
      <c r="T98" s="202" t="str">
        <f>IF(A98="","",ROUND(SUMIFS(aditivos!$L$2:$L$200,aditivos!$A$2:$A$200,A98,aditivos!$C$2:$C$200,"C4"),2))</f>
        <v/>
      </c>
      <c r="U98" s="198" t="str">
        <f t="shared" ref="U98:U129" si="41">IF(A98="","",ROUND(Q98+T98,2))</f>
        <v/>
      </c>
      <c r="V98" s="198" t="str">
        <f>IF(A98="","",IF(itens_Remanesc!K98="","",itens_Remanesc!K98))</f>
        <v/>
      </c>
      <c r="W98" s="198" t="str">
        <f t="shared" ref="W98:W129" si="42">IF(OR(A98="",V98=""),"",ROUND(V98,2))</f>
        <v/>
      </c>
      <c r="X98" s="181" t="str">
        <f t="shared" ref="X98:X129" si="43">IF(A98="","",IF(COUNTIF($A$2:$A$200,A98)&gt;1,"ALERTA: ITEM_DUPLICADO",IF(MIN(E98,I98,M98,Q98,U98,G98,K98,O98,S98,W98)&lt;0,"ALERTA: POSICAO_NEGATIVA",IF(OR(AND(G98&lt;&gt;"",G98&gt;E98),AND(K98&lt;&gt;"",K98&gt;I98),AND(O98&lt;&gt;"",O98&gt;M98),AND(S98&lt;&gt;"",S98&gt;Q98),AND(W98&lt;&gt;"",W98&gt;U98)),"ALERTA: REMANESCENTE_SUPERA_POSICAO","OK"))))</f>
        <v/>
      </c>
    </row>
    <row r="99" spans="1:24" x14ac:dyDescent="0.35">
      <c r="A99" s="181" t="str">
        <f>IF(itens_Remanesc!A99="","",itens_Remanesc!A99)</f>
        <v/>
      </c>
      <c r="B99" s="181" t="str">
        <f>IF(A99="","",itens_Remanesc!C99)</f>
        <v/>
      </c>
      <c r="C99" s="200" t="str">
        <f>IF(A99="","",itens_Remanesc!B99)</f>
        <v/>
      </c>
      <c r="D99" s="202" t="str">
        <f>IF(A99="","",ROUND(SUMIFS(aditivos!$L$2:$L$200,aditivos!$A$2:$A$200,A99,aditivos!$C$2:$C$200,"C0"),2))</f>
        <v/>
      </c>
      <c r="E99" s="198" t="str">
        <f t="shared" si="33"/>
        <v/>
      </c>
      <c r="F99" s="198" t="str">
        <f>IF(A99="","",IF(itens_Remanesc!B99="","",itens_Remanesc!B99))</f>
        <v/>
      </c>
      <c r="G99" s="206" t="str">
        <f t="shared" si="34"/>
        <v/>
      </c>
      <c r="H99" s="208" t="str">
        <f>IF(A99="","",ROUND(SUMIFS(aditivos!$L$2:$L$200,aditivos!$A$2:$A$200,A99,aditivos!$C$2:$C$200,"C1"),2))</f>
        <v/>
      </c>
      <c r="I99" s="204" t="str">
        <f t="shared" si="35"/>
        <v/>
      </c>
      <c r="J99" s="204" t="str">
        <f>IF(A99="","",IF(itens_Remanesc!E99="","",itens_Remanesc!E99))</f>
        <v/>
      </c>
      <c r="K99" s="210" t="str">
        <f t="shared" si="36"/>
        <v/>
      </c>
      <c r="L99" s="202" t="str">
        <f>IF(A99="","",ROUND(SUMIFS(aditivos!$L$2:$L$200,aditivos!$A$2:$A$200,A99,aditivos!$C$2:$C$200,"C2"),2))</f>
        <v/>
      </c>
      <c r="M99" s="198" t="str">
        <f t="shared" si="37"/>
        <v/>
      </c>
      <c r="N99" s="198" t="str">
        <f>IF(A99="","",IF(itens_Remanesc!G99="","",itens_Remanesc!G99))</f>
        <v/>
      </c>
      <c r="O99" s="206" t="str">
        <f t="shared" si="38"/>
        <v/>
      </c>
      <c r="P99" s="208" t="str">
        <f>IF(A99="","",ROUND(SUMIFS(aditivos!$L$2:$L$200,aditivos!$A$2:$A$200,A99,aditivos!$C$2:$C$200,"C3"),2))</f>
        <v/>
      </c>
      <c r="Q99" s="204" t="str">
        <f t="shared" si="39"/>
        <v/>
      </c>
      <c r="R99" s="204" t="str">
        <f>IF(A99="","",IF(itens_Remanesc!I99="","",itens_Remanesc!I99))</f>
        <v/>
      </c>
      <c r="S99" s="210" t="str">
        <f t="shared" si="40"/>
        <v/>
      </c>
      <c r="T99" s="202" t="str">
        <f>IF(A99="","",ROUND(SUMIFS(aditivos!$L$2:$L$200,aditivos!$A$2:$A$200,A99,aditivos!$C$2:$C$200,"C4"),2))</f>
        <v/>
      </c>
      <c r="U99" s="198" t="str">
        <f t="shared" si="41"/>
        <v/>
      </c>
      <c r="V99" s="198" t="str">
        <f>IF(A99="","",IF(itens_Remanesc!K99="","",itens_Remanesc!K99))</f>
        <v/>
      </c>
      <c r="W99" s="198" t="str">
        <f t="shared" si="42"/>
        <v/>
      </c>
      <c r="X99" s="181" t="str">
        <f t="shared" si="43"/>
        <v/>
      </c>
    </row>
    <row r="100" spans="1:24" x14ac:dyDescent="0.35">
      <c r="A100" s="181" t="str">
        <f>IF(itens_Remanesc!A100="","",itens_Remanesc!A100)</f>
        <v/>
      </c>
      <c r="B100" s="181" t="str">
        <f>IF(A100="","",itens_Remanesc!C100)</f>
        <v/>
      </c>
      <c r="C100" s="200" t="str">
        <f>IF(A100="","",itens_Remanesc!B100)</f>
        <v/>
      </c>
      <c r="D100" s="202" t="str">
        <f>IF(A100="","",ROUND(SUMIFS(aditivos!$L$2:$L$200,aditivos!$A$2:$A$200,A100,aditivos!$C$2:$C$200,"C0"),2))</f>
        <v/>
      </c>
      <c r="E100" s="198" t="str">
        <f t="shared" si="33"/>
        <v/>
      </c>
      <c r="F100" s="198" t="str">
        <f>IF(A100="","",IF(itens_Remanesc!B100="","",itens_Remanesc!B100))</f>
        <v/>
      </c>
      <c r="G100" s="206" t="str">
        <f t="shared" si="34"/>
        <v/>
      </c>
      <c r="H100" s="208" t="str">
        <f>IF(A100="","",ROUND(SUMIFS(aditivos!$L$2:$L$200,aditivos!$A$2:$A$200,A100,aditivos!$C$2:$C$200,"C1"),2))</f>
        <v/>
      </c>
      <c r="I100" s="204" t="str">
        <f t="shared" si="35"/>
        <v/>
      </c>
      <c r="J100" s="204" t="str">
        <f>IF(A100="","",IF(itens_Remanesc!E100="","",itens_Remanesc!E100))</f>
        <v/>
      </c>
      <c r="K100" s="210" t="str">
        <f t="shared" si="36"/>
        <v/>
      </c>
      <c r="L100" s="202" t="str">
        <f>IF(A100="","",ROUND(SUMIFS(aditivos!$L$2:$L$200,aditivos!$A$2:$A$200,A100,aditivos!$C$2:$C$200,"C2"),2))</f>
        <v/>
      </c>
      <c r="M100" s="198" t="str">
        <f t="shared" si="37"/>
        <v/>
      </c>
      <c r="N100" s="198" t="str">
        <f>IF(A100="","",IF(itens_Remanesc!G100="","",itens_Remanesc!G100))</f>
        <v/>
      </c>
      <c r="O100" s="206" t="str">
        <f t="shared" si="38"/>
        <v/>
      </c>
      <c r="P100" s="208" t="str">
        <f>IF(A100="","",ROUND(SUMIFS(aditivos!$L$2:$L$200,aditivos!$A$2:$A$200,A100,aditivos!$C$2:$C$200,"C3"),2))</f>
        <v/>
      </c>
      <c r="Q100" s="204" t="str">
        <f t="shared" si="39"/>
        <v/>
      </c>
      <c r="R100" s="204" t="str">
        <f>IF(A100="","",IF(itens_Remanesc!I100="","",itens_Remanesc!I100))</f>
        <v/>
      </c>
      <c r="S100" s="210" t="str">
        <f t="shared" si="40"/>
        <v/>
      </c>
      <c r="T100" s="202" t="str">
        <f>IF(A100="","",ROUND(SUMIFS(aditivos!$L$2:$L$200,aditivos!$A$2:$A$200,A100,aditivos!$C$2:$C$200,"C4"),2))</f>
        <v/>
      </c>
      <c r="U100" s="198" t="str">
        <f t="shared" si="41"/>
        <v/>
      </c>
      <c r="V100" s="198" t="str">
        <f>IF(A100="","",IF(itens_Remanesc!K100="","",itens_Remanesc!K100))</f>
        <v/>
      </c>
      <c r="W100" s="198" t="str">
        <f t="shared" si="42"/>
        <v/>
      </c>
      <c r="X100" s="181" t="str">
        <f t="shared" si="43"/>
        <v/>
      </c>
    </row>
    <row r="101" spans="1:24" x14ac:dyDescent="0.35">
      <c r="A101" s="181" t="str">
        <f>IF(itens_Remanesc!A101="","",itens_Remanesc!A101)</f>
        <v/>
      </c>
      <c r="B101" s="181" t="str">
        <f>IF(A101="","",itens_Remanesc!C101)</f>
        <v/>
      </c>
      <c r="C101" s="200" t="str">
        <f>IF(A101="","",itens_Remanesc!B101)</f>
        <v/>
      </c>
      <c r="D101" s="202" t="str">
        <f>IF(A101="","",ROUND(SUMIFS(aditivos!$L$2:$L$200,aditivos!$A$2:$A$200,A101,aditivos!$C$2:$C$200,"C0"),2))</f>
        <v/>
      </c>
      <c r="E101" s="198" t="str">
        <f t="shared" si="33"/>
        <v/>
      </c>
      <c r="F101" s="198" t="str">
        <f>IF(A101="","",IF(itens_Remanesc!B101="","",itens_Remanesc!B101))</f>
        <v/>
      </c>
      <c r="G101" s="206" t="str">
        <f t="shared" si="34"/>
        <v/>
      </c>
      <c r="H101" s="208" t="str">
        <f>IF(A101="","",ROUND(SUMIFS(aditivos!$L$2:$L$200,aditivos!$A$2:$A$200,A101,aditivos!$C$2:$C$200,"C1"),2))</f>
        <v/>
      </c>
      <c r="I101" s="204" t="str">
        <f t="shared" si="35"/>
        <v/>
      </c>
      <c r="J101" s="204" t="str">
        <f>IF(A101="","",IF(itens_Remanesc!E101="","",itens_Remanesc!E101))</f>
        <v/>
      </c>
      <c r="K101" s="210" t="str">
        <f t="shared" si="36"/>
        <v/>
      </c>
      <c r="L101" s="202" t="str">
        <f>IF(A101="","",ROUND(SUMIFS(aditivos!$L$2:$L$200,aditivos!$A$2:$A$200,A101,aditivos!$C$2:$C$200,"C2"),2))</f>
        <v/>
      </c>
      <c r="M101" s="198" t="str">
        <f t="shared" si="37"/>
        <v/>
      </c>
      <c r="N101" s="198" t="str">
        <f>IF(A101="","",IF(itens_Remanesc!G101="","",itens_Remanesc!G101))</f>
        <v/>
      </c>
      <c r="O101" s="206" t="str">
        <f t="shared" si="38"/>
        <v/>
      </c>
      <c r="P101" s="208" t="str">
        <f>IF(A101="","",ROUND(SUMIFS(aditivos!$L$2:$L$200,aditivos!$A$2:$A$200,A101,aditivos!$C$2:$C$200,"C3"),2))</f>
        <v/>
      </c>
      <c r="Q101" s="204" t="str">
        <f t="shared" si="39"/>
        <v/>
      </c>
      <c r="R101" s="204" t="str">
        <f>IF(A101="","",IF(itens_Remanesc!I101="","",itens_Remanesc!I101))</f>
        <v/>
      </c>
      <c r="S101" s="210" t="str">
        <f t="shared" si="40"/>
        <v/>
      </c>
      <c r="T101" s="202" t="str">
        <f>IF(A101="","",ROUND(SUMIFS(aditivos!$L$2:$L$200,aditivos!$A$2:$A$200,A101,aditivos!$C$2:$C$200,"C4"),2))</f>
        <v/>
      </c>
      <c r="U101" s="198" t="str">
        <f t="shared" si="41"/>
        <v/>
      </c>
      <c r="V101" s="198" t="str">
        <f>IF(A101="","",IF(itens_Remanesc!K101="","",itens_Remanesc!K101))</f>
        <v/>
      </c>
      <c r="W101" s="198" t="str">
        <f t="shared" si="42"/>
        <v/>
      </c>
      <c r="X101" s="181" t="str">
        <f t="shared" si="43"/>
        <v/>
      </c>
    </row>
    <row r="102" spans="1:24" x14ac:dyDescent="0.35">
      <c r="A102" s="181" t="str">
        <f>IF(itens_Remanesc!A102="","",itens_Remanesc!A102)</f>
        <v/>
      </c>
      <c r="B102" s="181" t="str">
        <f>IF(A102="","",itens_Remanesc!C102)</f>
        <v/>
      </c>
      <c r="C102" s="200" t="str">
        <f>IF(A102="","",itens_Remanesc!B102)</f>
        <v/>
      </c>
      <c r="D102" s="202" t="str">
        <f>IF(A102="","",ROUND(SUMIFS(aditivos!$L$2:$L$200,aditivos!$A$2:$A$200,A102,aditivos!$C$2:$C$200,"C0"),2))</f>
        <v/>
      </c>
      <c r="E102" s="198" t="str">
        <f t="shared" si="33"/>
        <v/>
      </c>
      <c r="F102" s="198" t="str">
        <f>IF(A102="","",IF(itens_Remanesc!B102="","",itens_Remanesc!B102))</f>
        <v/>
      </c>
      <c r="G102" s="206" t="str">
        <f t="shared" si="34"/>
        <v/>
      </c>
      <c r="H102" s="208" t="str">
        <f>IF(A102="","",ROUND(SUMIFS(aditivos!$L$2:$L$200,aditivos!$A$2:$A$200,A102,aditivos!$C$2:$C$200,"C1"),2))</f>
        <v/>
      </c>
      <c r="I102" s="204" t="str">
        <f t="shared" si="35"/>
        <v/>
      </c>
      <c r="J102" s="204" t="str">
        <f>IF(A102="","",IF(itens_Remanesc!E102="","",itens_Remanesc!E102))</f>
        <v/>
      </c>
      <c r="K102" s="210" t="str">
        <f t="shared" si="36"/>
        <v/>
      </c>
      <c r="L102" s="202" t="str">
        <f>IF(A102="","",ROUND(SUMIFS(aditivos!$L$2:$L$200,aditivos!$A$2:$A$200,A102,aditivos!$C$2:$C$200,"C2"),2))</f>
        <v/>
      </c>
      <c r="M102" s="198" t="str">
        <f t="shared" si="37"/>
        <v/>
      </c>
      <c r="N102" s="198" t="str">
        <f>IF(A102="","",IF(itens_Remanesc!G102="","",itens_Remanesc!G102))</f>
        <v/>
      </c>
      <c r="O102" s="206" t="str">
        <f t="shared" si="38"/>
        <v/>
      </c>
      <c r="P102" s="208" t="str">
        <f>IF(A102="","",ROUND(SUMIFS(aditivos!$L$2:$L$200,aditivos!$A$2:$A$200,A102,aditivos!$C$2:$C$200,"C3"),2))</f>
        <v/>
      </c>
      <c r="Q102" s="204" t="str">
        <f t="shared" si="39"/>
        <v/>
      </c>
      <c r="R102" s="204" t="str">
        <f>IF(A102="","",IF(itens_Remanesc!I102="","",itens_Remanesc!I102))</f>
        <v/>
      </c>
      <c r="S102" s="210" t="str">
        <f t="shared" si="40"/>
        <v/>
      </c>
      <c r="T102" s="202" t="str">
        <f>IF(A102="","",ROUND(SUMIFS(aditivos!$L$2:$L$200,aditivos!$A$2:$A$200,A102,aditivos!$C$2:$C$200,"C4"),2))</f>
        <v/>
      </c>
      <c r="U102" s="198" t="str">
        <f t="shared" si="41"/>
        <v/>
      </c>
      <c r="V102" s="198" t="str">
        <f>IF(A102="","",IF(itens_Remanesc!K102="","",itens_Remanesc!K102))</f>
        <v/>
      </c>
      <c r="W102" s="198" t="str">
        <f t="shared" si="42"/>
        <v/>
      </c>
      <c r="X102" s="181" t="str">
        <f t="shared" si="43"/>
        <v/>
      </c>
    </row>
    <row r="103" spans="1:24" x14ac:dyDescent="0.35">
      <c r="A103" s="181" t="str">
        <f>IF(itens_Remanesc!A103="","",itens_Remanesc!A103)</f>
        <v/>
      </c>
      <c r="B103" s="181" t="str">
        <f>IF(A103="","",itens_Remanesc!C103)</f>
        <v/>
      </c>
      <c r="C103" s="200" t="str">
        <f>IF(A103="","",itens_Remanesc!B103)</f>
        <v/>
      </c>
      <c r="D103" s="202" t="str">
        <f>IF(A103="","",ROUND(SUMIFS(aditivos!$L$2:$L$200,aditivos!$A$2:$A$200,A103,aditivos!$C$2:$C$200,"C0"),2))</f>
        <v/>
      </c>
      <c r="E103" s="198" t="str">
        <f t="shared" si="33"/>
        <v/>
      </c>
      <c r="F103" s="198" t="str">
        <f>IF(A103="","",IF(itens_Remanesc!B103="","",itens_Remanesc!B103))</f>
        <v/>
      </c>
      <c r="G103" s="206" t="str">
        <f t="shared" si="34"/>
        <v/>
      </c>
      <c r="H103" s="208" t="str">
        <f>IF(A103="","",ROUND(SUMIFS(aditivos!$L$2:$L$200,aditivos!$A$2:$A$200,A103,aditivos!$C$2:$C$200,"C1"),2))</f>
        <v/>
      </c>
      <c r="I103" s="204" t="str">
        <f t="shared" si="35"/>
        <v/>
      </c>
      <c r="J103" s="204" t="str">
        <f>IF(A103="","",IF(itens_Remanesc!E103="","",itens_Remanesc!E103))</f>
        <v/>
      </c>
      <c r="K103" s="210" t="str">
        <f t="shared" si="36"/>
        <v/>
      </c>
      <c r="L103" s="202" t="str">
        <f>IF(A103="","",ROUND(SUMIFS(aditivos!$L$2:$L$200,aditivos!$A$2:$A$200,A103,aditivos!$C$2:$C$200,"C2"),2))</f>
        <v/>
      </c>
      <c r="M103" s="198" t="str">
        <f t="shared" si="37"/>
        <v/>
      </c>
      <c r="N103" s="198" t="str">
        <f>IF(A103="","",IF(itens_Remanesc!G103="","",itens_Remanesc!G103))</f>
        <v/>
      </c>
      <c r="O103" s="206" t="str">
        <f t="shared" si="38"/>
        <v/>
      </c>
      <c r="P103" s="208" t="str">
        <f>IF(A103="","",ROUND(SUMIFS(aditivos!$L$2:$L$200,aditivos!$A$2:$A$200,A103,aditivos!$C$2:$C$200,"C3"),2))</f>
        <v/>
      </c>
      <c r="Q103" s="204" t="str">
        <f t="shared" si="39"/>
        <v/>
      </c>
      <c r="R103" s="204" t="str">
        <f>IF(A103="","",IF(itens_Remanesc!I103="","",itens_Remanesc!I103))</f>
        <v/>
      </c>
      <c r="S103" s="210" t="str">
        <f t="shared" si="40"/>
        <v/>
      </c>
      <c r="T103" s="202" t="str">
        <f>IF(A103="","",ROUND(SUMIFS(aditivos!$L$2:$L$200,aditivos!$A$2:$A$200,A103,aditivos!$C$2:$C$200,"C4"),2))</f>
        <v/>
      </c>
      <c r="U103" s="198" t="str">
        <f t="shared" si="41"/>
        <v/>
      </c>
      <c r="V103" s="198" t="str">
        <f>IF(A103="","",IF(itens_Remanesc!K103="","",itens_Remanesc!K103))</f>
        <v/>
      </c>
      <c r="W103" s="198" t="str">
        <f t="shared" si="42"/>
        <v/>
      </c>
      <c r="X103" s="181" t="str">
        <f t="shared" si="43"/>
        <v/>
      </c>
    </row>
    <row r="104" spans="1:24" x14ac:dyDescent="0.35">
      <c r="A104" s="181" t="str">
        <f>IF(itens_Remanesc!A104="","",itens_Remanesc!A104)</f>
        <v/>
      </c>
      <c r="B104" s="181" t="str">
        <f>IF(A104="","",itens_Remanesc!C104)</f>
        <v/>
      </c>
      <c r="C104" s="200" t="str">
        <f>IF(A104="","",itens_Remanesc!B104)</f>
        <v/>
      </c>
      <c r="D104" s="202" t="str">
        <f>IF(A104="","",ROUND(SUMIFS(aditivos!$L$2:$L$200,aditivos!$A$2:$A$200,A104,aditivos!$C$2:$C$200,"C0"),2))</f>
        <v/>
      </c>
      <c r="E104" s="198" t="str">
        <f t="shared" si="33"/>
        <v/>
      </c>
      <c r="F104" s="198" t="str">
        <f>IF(A104="","",IF(itens_Remanesc!B104="","",itens_Remanesc!B104))</f>
        <v/>
      </c>
      <c r="G104" s="206" t="str">
        <f t="shared" si="34"/>
        <v/>
      </c>
      <c r="H104" s="208" t="str">
        <f>IF(A104="","",ROUND(SUMIFS(aditivos!$L$2:$L$200,aditivos!$A$2:$A$200,A104,aditivos!$C$2:$C$200,"C1"),2))</f>
        <v/>
      </c>
      <c r="I104" s="204" t="str">
        <f t="shared" si="35"/>
        <v/>
      </c>
      <c r="J104" s="204" t="str">
        <f>IF(A104="","",IF(itens_Remanesc!E104="","",itens_Remanesc!E104))</f>
        <v/>
      </c>
      <c r="K104" s="210" t="str">
        <f t="shared" si="36"/>
        <v/>
      </c>
      <c r="L104" s="202" t="str">
        <f>IF(A104="","",ROUND(SUMIFS(aditivos!$L$2:$L$200,aditivos!$A$2:$A$200,A104,aditivos!$C$2:$C$200,"C2"),2))</f>
        <v/>
      </c>
      <c r="M104" s="198" t="str">
        <f t="shared" si="37"/>
        <v/>
      </c>
      <c r="N104" s="198" t="str">
        <f>IF(A104="","",IF(itens_Remanesc!G104="","",itens_Remanesc!G104))</f>
        <v/>
      </c>
      <c r="O104" s="206" t="str">
        <f t="shared" si="38"/>
        <v/>
      </c>
      <c r="P104" s="208" t="str">
        <f>IF(A104="","",ROUND(SUMIFS(aditivos!$L$2:$L$200,aditivos!$A$2:$A$200,A104,aditivos!$C$2:$C$200,"C3"),2))</f>
        <v/>
      </c>
      <c r="Q104" s="204" t="str">
        <f t="shared" si="39"/>
        <v/>
      </c>
      <c r="R104" s="204" t="str">
        <f>IF(A104="","",IF(itens_Remanesc!I104="","",itens_Remanesc!I104))</f>
        <v/>
      </c>
      <c r="S104" s="210" t="str">
        <f t="shared" si="40"/>
        <v/>
      </c>
      <c r="T104" s="202" t="str">
        <f>IF(A104="","",ROUND(SUMIFS(aditivos!$L$2:$L$200,aditivos!$A$2:$A$200,A104,aditivos!$C$2:$C$200,"C4"),2))</f>
        <v/>
      </c>
      <c r="U104" s="198" t="str">
        <f t="shared" si="41"/>
        <v/>
      </c>
      <c r="V104" s="198" t="str">
        <f>IF(A104="","",IF(itens_Remanesc!K104="","",itens_Remanesc!K104))</f>
        <v/>
      </c>
      <c r="W104" s="198" t="str">
        <f t="shared" si="42"/>
        <v/>
      </c>
      <c r="X104" s="181" t="str">
        <f t="shared" si="43"/>
        <v/>
      </c>
    </row>
    <row r="105" spans="1:24" x14ac:dyDescent="0.35">
      <c r="A105" s="181" t="str">
        <f>IF(itens_Remanesc!A105="","",itens_Remanesc!A105)</f>
        <v/>
      </c>
      <c r="B105" s="181" t="str">
        <f>IF(A105="","",itens_Remanesc!C105)</f>
        <v/>
      </c>
      <c r="C105" s="200" t="str">
        <f>IF(A105="","",itens_Remanesc!B105)</f>
        <v/>
      </c>
      <c r="D105" s="202" t="str">
        <f>IF(A105="","",ROUND(SUMIFS(aditivos!$L$2:$L$200,aditivos!$A$2:$A$200,A105,aditivos!$C$2:$C$200,"C0"),2))</f>
        <v/>
      </c>
      <c r="E105" s="198" t="str">
        <f t="shared" si="33"/>
        <v/>
      </c>
      <c r="F105" s="198" t="str">
        <f>IF(A105="","",IF(itens_Remanesc!B105="","",itens_Remanesc!B105))</f>
        <v/>
      </c>
      <c r="G105" s="206" t="str">
        <f t="shared" si="34"/>
        <v/>
      </c>
      <c r="H105" s="208" t="str">
        <f>IF(A105="","",ROUND(SUMIFS(aditivos!$L$2:$L$200,aditivos!$A$2:$A$200,A105,aditivos!$C$2:$C$200,"C1"),2))</f>
        <v/>
      </c>
      <c r="I105" s="204" t="str">
        <f t="shared" si="35"/>
        <v/>
      </c>
      <c r="J105" s="204" t="str">
        <f>IF(A105="","",IF(itens_Remanesc!E105="","",itens_Remanesc!E105))</f>
        <v/>
      </c>
      <c r="K105" s="210" t="str">
        <f t="shared" si="36"/>
        <v/>
      </c>
      <c r="L105" s="202" t="str">
        <f>IF(A105="","",ROUND(SUMIFS(aditivos!$L$2:$L$200,aditivos!$A$2:$A$200,A105,aditivos!$C$2:$C$200,"C2"),2))</f>
        <v/>
      </c>
      <c r="M105" s="198" t="str">
        <f t="shared" si="37"/>
        <v/>
      </c>
      <c r="N105" s="198" t="str">
        <f>IF(A105="","",IF(itens_Remanesc!G105="","",itens_Remanesc!G105))</f>
        <v/>
      </c>
      <c r="O105" s="206" t="str">
        <f t="shared" si="38"/>
        <v/>
      </c>
      <c r="P105" s="208" t="str">
        <f>IF(A105="","",ROUND(SUMIFS(aditivos!$L$2:$L$200,aditivos!$A$2:$A$200,A105,aditivos!$C$2:$C$200,"C3"),2))</f>
        <v/>
      </c>
      <c r="Q105" s="204" t="str">
        <f t="shared" si="39"/>
        <v/>
      </c>
      <c r="R105" s="204" t="str">
        <f>IF(A105="","",IF(itens_Remanesc!I105="","",itens_Remanesc!I105))</f>
        <v/>
      </c>
      <c r="S105" s="210" t="str">
        <f t="shared" si="40"/>
        <v/>
      </c>
      <c r="T105" s="202" t="str">
        <f>IF(A105="","",ROUND(SUMIFS(aditivos!$L$2:$L$200,aditivos!$A$2:$A$200,A105,aditivos!$C$2:$C$200,"C4"),2))</f>
        <v/>
      </c>
      <c r="U105" s="198" t="str">
        <f t="shared" si="41"/>
        <v/>
      </c>
      <c r="V105" s="198" t="str">
        <f>IF(A105="","",IF(itens_Remanesc!K105="","",itens_Remanesc!K105))</f>
        <v/>
      </c>
      <c r="W105" s="198" t="str">
        <f t="shared" si="42"/>
        <v/>
      </c>
      <c r="X105" s="181" t="str">
        <f t="shared" si="43"/>
        <v/>
      </c>
    </row>
    <row r="106" spans="1:24" x14ac:dyDescent="0.35">
      <c r="A106" s="181" t="str">
        <f>IF(itens_Remanesc!A106="","",itens_Remanesc!A106)</f>
        <v/>
      </c>
      <c r="B106" s="181" t="str">
        <f>IF(A106="","",itens_Remanesc!C106)</f>
        <v/>
      </c>
      <c r="C106" s="200" t="str">
        <f>IF(A106="","",itens_Remanesc!B106)</f>
        <v/>
      </c>
      <c r="D106" s="202" t="str">
        <f>IF(A106="","",ROUND(SUMIFS(aditivos!$L$2:$L$200,aditivos!$A$2:$A$200,A106,aditivos!$C$2:$C$200,"C0"),2))</f>
        <v/>
      </c>
      <c r="E106" s="198" t="str">
        <f t="shared" si="33"/>
        <v/>
      </c>
      <c r="F106" s="198" t="str">
        <f>IF(A106="","",IF(itens_Remanesc!B106="","",itens_Remanesc!B106))</f>
        <v/>
      </c>
      <c r="G106" s="206" t="str">
        <f t="shared" si="34"/>
        <v/>
      </c>
      <c r="H106" s="208" t="str">
        <f>IF(A106="","",ROUND(SUMIFS(aditivos!$L$2:$L$200,aditivos!$A$2:$A$200,A106,aditivos!$C$2:$C$200,"C1"),2))</f>
        <v/>
      </c>
      <c r="I106" s="204" t="str">
        <f t="shared" si="35"/>
        <v/>
      </c>
      <c r="J106" s="204" t="str">
        <f>IF(A106="","",IF(itens_Remanesc!E106="","",itens_Remanesc!E106))</f>
        <v/>
      </c>
      <c r="K106" s="210" t="str">
        <f t="shared" si="36"/>
        <v/>
      </c>
      <c r="L106" s="202" t="str">
        <f>IF(A106="","",ROUND(SUMIFS(aditivos!$L$2:$L$200,aditivos!$A$2:$A$200,A106,aditivos!$C$2:$C$200,"C2"),2))</f>
        <v/>
      </c>
      <c r="M106" s="198" t="str">
        <f t="shared" si="37"/>
        <v/>
      </c>
      <c r="N106" s="198" t="str">
        <f>IF(A106="","",IF(itens_Remanesc!G106="","",itens_Remanesc!G106))</f>
        <v/>
      </c>
      <c r="O106" s="206" t="str">
        <f t="shared" si="38"/>
        <v/>
      </c>
      <c r="P106" s="208" t="str">
        <f>IF(A106="","",ROUND(SUMIFS(aditivos!$L$2:$L$200,aditivos!$A$2:$A$200,A106,aditivos!$C$2:$C$200,"C3"),2))</f>
        <v/>
      </c>
      <c r="Q106" s="204" t="str">
        <f t="shared" si="39"/>
        <v/>
      </c>
      <c r="R106" s="204" t="str">
        <f>IF(A106="","",IF(itens_Remanesc!I106="","",itens_Remanesc!I106))</f>
        <v/>
      </c>
      <c r="S106" s="210" t="str">
        <f t="shared" si="40"/>
        <v/>
      </c>
      <c r="T106" s="202" t="str">
        <f>IF(A106="","",ROUND(SUMIFS(aditivos!$L$2:$L$200,aditivos!$A$2:$A$200,A106,aditivos!$C$2:$C$200,"C4"),2))</f>
        <v/>
      </c>
      <c r="U106" s="198" t="str">
        <f t="shared" si="41"/>
        <v/>
      </c>
      <c r="V106" s="198" t="str">
        <f>IF(A106="","",IF(itens_Remanesc!K106="","",itens_Remanesc!K106))</f>
        <v/>
      </c>
      <c r="W106" s="198" t="str">
        <f t="shared" si="42"/>
        <v/>
      </c>
      <c r="X106" s="181" t="str">
        <f t="shared" si="43"/>
        <v/>
      </c>
    </row>
    <row r="107" spans="1:24" x14ac:dyDescent="0.35">
      <c r="A107" s="181" t="str">
        <f>IF(itens_Remanesc!A107="","",itens_Remanesc!A107)</f>
        <v/>
      </c>
      <c r="B107" s="181" t="str">
        <f>IF(A107="","",itens_Remanesc!C107)</f>
        <v/>
      </c>
      <c r="C107" s="200" t="str">
        <f>IF(A107="","",itens_Remanesc!B107)</f>
        <v/>
      </c>
      <c r="D107" s="202" t="str">
        <f>IF(A107="","",ROUND(SUMIFS(aditivos!$L$2:$L$200,aditivos!$A$2:$A$200,A107,aditivos!$C$2:$C$200,"C0"),2))</f>
        <v/>
      </c>
      <c r="E107" s="198" t="str">
        <f t="shared" si="33"/>
        <v/>
      </c>
      <c r="F107" s="198" t="str">
        <f>IF(A107="","",IF(itens_Remanesc!B107="","",itens_Remanesc!B107))</f>
        <v/>
      </c>
      <c r="G107" s="206" t="str">
        <f t="shared" si="34"/>
        <v/>
      </c>
      <c r="H107" s="208" t="str">
        <f>IF(A107="","",ROUND(SUMIFS(aditivos!$L$2:$L$200,aditivos!$A$2:$A$200,A107,aditivos!$C$2:$C$200,"C1"),2))</f>
        <v/>
      </c>
      <c r="I107" s="204" t="str">
        <f t="shared" si="35"/>
        <v/>
      </c>
      <c r="J107" s="204" t="str">
        <f>IF(A107="","",IF(itens_Remanesc!E107="","",itens_Remanesc!E107))</f>
        <v/>
      </c>
      <c r="K107" s="210" t="str">
        <f t="shared" si="36"/>
        <v/>
      </c>
      <c r="L107" s="202" t="str">
        <f>IF(A107="","",ROUND(SUMIFS(aditivos!$L$2:$L$200,aditivos!$A$2:$A$200,A107,aditivos!$C$2:$C$200,"C2"),2))</f>
        <v/>
      </c>
      <c r="M107" s="198" t="str">
        <f t="shared" si="37"/>
        <v/>
      </c>
      <c r="N107" s="198" t="str">
        <f>IF(A107="","",IF(itens_Remanesc!G107="","",itens_Remanesc!G107))</f>
        <v/>
      </c>
      <c r="O107" s="206" t="str">
        <f t="shared" si="38"/>
        <v/>
      </c>
      <c r="P107" s="208" t="str">
        <f>IF(A107="","",ROUND(SUMIFS(aditivos!$L$2:$L$200,aditivos!$A$2:$A$200,A107,aditivos!$C$2:$C$200,"C3"),2))</f>
        <v/>
      </c>
      <c r="Q107" s="204" t="str">
        <f t="shared" si="39"/>
        <v/>
      </c>
      <c r="R107" s="204" t="str">
        <f>IF(A107="","",IF(itens_Remanesc!I107="","",itens_Remanesc!I107))</f>
        <v/>
      </c>
      <c r="S107" s="210" t="str">
        <f t="shared" si="40"/>
        <v/>
      </c>
      <c r="T107" s="202" t="str">
        <f>IF(A107="","",ROUND(SUMIFS(aditivos!$L$2:$L$200,aditivos!$A$2:$A$200,A107,aditivos!$C$2:$C$200,"C4"),2))</f>
        <v/>
      </c>
      <c r="U107" s="198" t="str">
        <f t="shared" si="41"/>
        <v/>
      </c>
      <c r="V107" s="198" t="str">
        <f>IF(A107="","",IF(itens_Remanesc!K107="","",itens_Remanesc!K107))</f>
        <v/>
      </c>
      <c r="W107" s="198" t="str">
        <f t="shared" si="42"/>
        <v/>
      </c>
      <c r="X107" s="181" t="str">
        <f t="shared" si="43"/>
        <v/>
      </c>
    </row>
    <row r="108" spans="1:24" x14ac:dyDescent="0.35">
      <c r="A108" s="181" t="str">
        <f>IF(itens_Remanesc!A108="","",itens_Remanesc!A108)</f>
        <v/>
      </c>
      <c r="B108" s="181" t="str">
        <f>IF(A108="","",itens_Remanesc!C108)</f>
        <v/>
      </c>
      <c r="C108" s="200" t="str">
        <f>IF(A108="","",itens_Remanesc!B108)</f>
        <v/>
      </c>
      <c r="D108" s="202" t="str">
        <f>IF(A108="","",ROUND(SUMIFS(aditivos!$L$2:$L$200,aditivos!$A$2:$A$200,A108,aditivos!$C$2:$C$200,"C0"),2))</f>
        <v/>
      </c>
      <c r="E108" s="198" t="str">
        <f t="shared" si="33"/>
        <v/>
      </c>
      <c r="F108" s="198" t="str">
        <f>IF(A108="","",IF(itens_Remanesc!B108="","",itens_Remanesc!B108))</f>
        <v/>
      </c>
      <c r="G108" s="206" t="str">
        <f t="shared" si="34"/>
        <v/>
      </c>
      <c r="H108" s="208" t="str">
        <f>IF(A108="","",ROUND(SUMIFS(aditivos!$L$2:$L$200,aditivos!$A$2:$A$200,A108,aditivos!$C$2:$C$200,"C1"),2))</f>
        <v/>
      </c>
      <c r="I108" s="204" t="str">
        <f t="shared" si="35"/>
        <v/>
      </c>
      <c r="J108" s="204" t="str">
        <f>IF(A108="","",IF(itens_Remanesc!E108="","",itens_Remanesc!E108))</f>
        <v/>
      </c>
      <c r="K108" s="210" t="str">
        <f t="shared" si="36"/>
        <v/>
      </c>
      <c r="L108" s="202" t="str">
        <f>IF(A108="","",ROUND(SUMIFS(aditivos!$L$2:$L$200,aditivos!$A$2:$A$200,A108,aditivos!$C$2:$C$200,"C2"),2))</f>
        <v/>
      </c>
      <c r="M108" s="198" t="str">
        <f t="shared" si="37"/>
        <v/>
      </c>
      <c r="N108" s="198" t="str">
        <f>IF(A108="","",IF(itens_Remanesc!G108="","",itens_Remanesc!G108))</f>
        <v/>
      </c>
      <c r="O108" s="206" t="str">
        <f t="shared" si="38"/>
        <v/>
      </c>
      <c r="P108" s="208" t="str">
        <f>IF(A108="","",ROUND(SUMIFS(aditivos!$L$2:$L$200,aditivos!$A$2:$A$200,A108,aditivos!$C$2:$C$200,"C3"),2))</f>
        <v/>
      </c>
      <c r="Q108" s="204" t="str">
        <f t="shared" si="39"/>
        <v/>
      </c>
      <c r="R108" s="204" t="str">
        <f>IF(A108="","",IF(itens_Remanesc!I108="","",itens_Remanesc!I108))</f>
        <v/>
      </c>
      <c r="S108" s="210" t="str">
        <f t="shared" si="40"/>
        <v/>
      </c>
      <c r="T108" s="202" t="str">
        <f>IF(A108="","",ROUND(SUMIFS(aditivos!$L$2:$L$200,aditivos!$A$2:$A$200,A108,aditivos!$C$2:$C$200,"C4"),2))</f>
        <v/>
      </c>
      <c r="U108" s="198" t="str">
        <f t="shared" si="41"/>
        <v/>
      </c>
      <c r="V108" s="198" t="str">
        <f>IF(A108="","",IF(itens_Remanesc!K108="","",itens_Remanesc!K108))</f>
        <v/>
      </c>
      <c r="W108" s="198" t="str">
        <f t="shared" si="42"/>
        <v/>
      </c>
      <c r="X108" s="181" t="str">
        <f t="shared" si="43"/>
        <v/>
      </c>
    </row>
    <row r="109" spans="1:24" x14ac:dyDescent="0.35">
      <c r="A109" s="181" t="str">
        <f>IF(itens_Remanesc!A109="","",itens_Remanesc!A109)</f>
        <v/>
      </c>
      <c r="B109" s="181" t="str">
        <f>IF(A109="","",itens_Remanesc!C109)</f>
        <v/>
      </c>
      <c r="C109" s="200" t="str">
        <f>IF(A109="","",itens_Remanesc!B109)</f>
        <v/>
      </c>
      <c r="D109" s="202" t="str">
        <f>IF(A109="","",ROUND(SUMIFS(aditivos!$L$2:$L$200,aditivos!$A$2:$A$200,A109,aditivos!$C$2:$C$200,"C0"),2))</f>
        <v/>
      </c>
      <c r="E109" s="198" t="str">
        <f t="shared" si="33"/>
        <v/>
      </c>
      <c r="F109" s="198" t="str">
        <f>IF(A109="","",IF(itens_Remanesc!B109="","",itens_Remanesc!B109))</f>
        <v/>
      </c>
      <c r="G109" s="206" t="str">
        <f t="shared" si="34"/>
        <v/>
      </c>
      <c r="H109" s="208" t="str">
        <f>IF(A109="","",ROUND(SUMIFS(aditivos!$L$2:$L$200,aditivos!$A$2:$A$200,A109,aditivos!$C$2:$C$200,"C1"),2))</f>
        <v/>
      </c>
      <c r="I109" s="204" t="str">
        <f t="shared" si="35"/>
        <v/>
      </c>
      <c r="J109" s="204" t="str">
        <f>IF(A109="","",IF(itens_Remanesc!E109="","",itens_Remanesc!E109))</f>
        <v/>
      </c>
      <c r="K109" s="210" t="str">
        <f t="shared" si="36"/>
        <v/>
      </c>
      <c r="L109" s="202" t="str">
        <f>IF(A109="","",ROUND(SUMIFS(aditivos!$L$2:$L$200,aditivos!$A$2:$A$200,A109,aditivos!$C$2:$C$200,"C2"),2))</f>
        <v/>
      </c>
      <c r="M109" s="198" t="str">
        <f t="shared" si="37"/>
        <v/>
      </c>
      <c r="N109" s="198" t="str">
        <f>IF(A109="","",IF(itens_Remanesc!G109="","",itens_Remanesc!G109))</f>
        <v/>
      </c>
      <c r="O109" s="206" t="str">
        <f t="shared" si="38"/>
        <v/>
      </c>
      <c r="P109" s="208" t="str">
        <f>IF(A109="","",ROUND(SUMIFS(aditivos!$L$2:$L$200,aditivos!$A$2:$A$200,A109,aditivos!$C$2:$C$200,"C3"),2))</f>
        <v/>
      </c>
      <c r="Q109" s="204" t="str">
        <f t="shared" si="39"/>
        <v/>
      </c>
      <c r="R109" s="204" t="str">
        <f>IF(A109="","",IF(itens_Remanesc!I109="","",itens_Remanesc!I109))</f>
        <v/>
      </c>
      <c r="S109" s="210" t="str">
        <f t="shared" si="40"/>
        <v/>
      </c>
      <c r="T109" s="202" t="str">
        <f>IF(A109="","",ROUND(SUMIFS(aditivos!$L$2:$L$200,aditivos!$A$2:$A$200,A109,aditivos!$C$2:$C$200,"C4"),2))</f>
        <v/>
      </c>
      <c r="U109" s="198" t="str">
        <f t="shared" si="41"/>
        <v/>
      </c>
      <c r="V109" s="198" t="str">
        <f>IF(A109="","",IF(itens_Remanesc!K109="","",itens_Remanesc!K109))</f>
        <v/>
      </c>
      <c r="W109" s="198" t="str">
        <f t="shared" si="42"/>
        <v/>
      </c>
      <c r="X109" s="181" t="str">
        <f t="shared" si="43"/>
        <v/>
      </c>
    </row>
    <row r="110" spans="1:24" x14ac:dyDescent="0.35">
      <c r="A110" s="181" t="str">
        <f>IF(itens_Remanesc!A110="","",itens_Remanesc!A110)</f>
        <v/>
      </c>
      <c r="B110" s="181" t="str">
        <f>IF(A110="","",itens_Remanesc!C110)</f>
        <v/>
      </c>
      <c r="C110" s="200" t="str">
        <f>IF(A110="","",itens_Remanesc!B110)</f>
        <v/>
      </c>
      <c r="D110" s="202" t="str">
        <f>IF(A110="","",ROUND(SUMIFS(aditivos!$L$2:$L$200,aditivos!$A$2:$A$200,A110,aditivos!$C$2:$C$200,"C0"),2))</f>
        <v/>
      </c>
      <c r="E110" s="198" t="str">
        <f t="shared" si="33"/>
        <v/>
      </c>
      <c r="F110" s="198" t="str">
        <f>IF(A110="","",IF(itens_Remanesc!B110="","",itens_Remanesc!B110))</f>
        <v/>
      </c>
      <c r="G110" s="206" t="str">
        <f t="shared" si="34"/>
        <v/>
      </c>
      <c r="H110" s="208" t="str">
        <f>IF(A110="","",ROUND(SUMIFS(aditivos!$L$2:$L$200,aditivos!$A$2:$A$200,A110,aditivos!$C$2:$C$200,"C1"),2))</f>
        <v/>
      </c>
      <c r="I110" s="204" t="str">
        <f t="shared" si="35"/>
        <v/>
      </c>
      <c r="J110" s="204" t="str">
        <f>IF(A110="","",IF(itens_Remanesc!E110="","",itens_Remanesc!E110))</f>
        <v/>
      </c>
      <c r="K110" s="210" t="str">
        <f t="shared" si="36"/>
        <v/>
      </c>
      <c r="L110" s="202" t="str">
        <f>IF(A110="","",ROUND(SUMIFS(aditivos!$L$2:$L$200,aditivos!$A$2:$A$200,A110,aditivos!$C$2:$C$200,"C2"),2))</f>
        <v/>
      </c>
      <c r="M110" s="198" t="str">
        <f t="shared" si="37"/>
        <v/>
      </c>
      <c r="N110" s="198" t="str">
        <f>IF(A110="","",IF(itens_Remanesc!G110="","",itens_Remanesc!G110))</f>
        <v/>
      </c>
      <c r="O110" s="206" t="str">
        <f t="shared" si="38"/>
        <v/>
      </c>
      <c r="P110" s="208" t="str">
        <f>IF(A110="","",ROUND(SUMIFS(aditivos!$L$2:$L$200,aditivos!$A$2:$A$200,A110,aditivos!$C$2:$C$200,"C3"),2))</f>
        <v/>
      </c>
      <c r="Q110" s="204" t="str">
        <f t="shared" si="39"/>
        <v/>
      </c>
      <c r="R110" s="204" t="str">
        <f>IF(A110="","",IF(itens_Remanesc!I110="","",itens_Remanesc!I110))</f>
        <v/>
      </c>
      <c r="S110" s="210" t="str">
        <f t="shared" si="40"/>
        <v/>
      </c>
      <c r="T110" s="202" t="str">
        <f>IF(A110="","",ROUND(SUMIFS(aditivos!$L$2:$L$200,aditivos!$A$2:$A$200,A110,aditivos!$C$2:$C$200,"C4"),2))</f>
        <v/>
      </c>
      <c r="U110" s="198" t="str">
        <f t="shared" si="41"/>
        <v/>
      </c>
      <c r="V110" s="198" t="str">
        <f>IF(A110="","",IF(itens_Remanesc!K110="","",itens_Remanesc!K110))</f>
        <v/>
      </c>
      <c r="W110" s="198" t="str">
        <f t="shared" si="42"/>
        <v/>
      </c>
      <c r="X110" s="181" t="str">
        <f t="shared" si="43"/>
        <v/>
      </c>
    </row>
    <row r="111" spans="1:24" x14ac:dyDescent="0.35">
      <c r="A111" s="181" t="str">
        <f>IF(itens_Remanesc!A111="","",itens_Remanesc!A111)</f>
        <v/>
      </c>
      <c r="B111" s="181" t="str">
        <f>IF(A111="","",itens_Remanesc!C111)</f>
        <v/>
      </c>
      <c r="C111" s="200" t="str">
        <f>IF(A111="","",itens_Remanesc!B111)</f>
        <v/>
      </c>
      <c r="D111" s="202" t="str">
        <f>IF(A111="","",ROUND(SUMIFS(aditivos!$L$2:$L$200,aditivos!$A$2:$A$200,A111,aditivos!$C$2:$C$200,"C0"),2))</f>
        <v/>
      </c>
      <c r="E111" s="198" t="str">
        <f t="shared" si="33"/>
        <v/>
      </c>
      <c r="F111" s="198" t="str">
        <f>IF(A111="","",IF(itens_Remanesc!B111="","",itens_Remanesc!B111))</f>
        <v/>
      </c>
      <c r="G111" s="206" t="str">
        <f t="shared" si="34"/>
        <v/>
      </c>
      <c r="H111" s="208" t="str">
        <f>IF(A111="","",ROUND(SUMIFS(aditivos!$L$2:$L$200,aditivos!$A$2:$A$200,A111,aditivos!$C$2:$C$200,"C1"),2))</f>
        <v/>
      </c>
      <c r="I111" s="204" t="str">
        <f t="shared" si="35"/>
        <v/>
      </c>
      <c r="J111" s="204" t="str">
        <f>IF(A111="","",IF(itens_Remanesc!E111="","",itens_Remanesc!E111))</f>
        <v/>
      </c>
      <c r="K111" s="210" t="str">
        <f t="shared" si="36"/>
        <v/>
      </c>
      <c r="L111" s="202" t="str">
        <f>IF(A111="","",ROUND(SUMIFS(aditivos!$L$2:$L$200,aditivos!$A$2:$A$200,A111,aditivos!$C$2:$C$200,"C2"),2))</f>
        <v/>
      </c>
      <c r="M111" s="198" t="str">
        <f t="shared" si="37"/>
        <v/>
      </c>
      <c r="N111" s="198" t="str">
        <f>IF(A111="","",IF(itens_Remanesc!G111="","",itens_Remanesc!G111))</f>
        <v/>
      </c>
      <c r="O111" s="206" t="str">
        <f t="shared" si="38"/>
        <v/>
      </c>
      <c r="P111" s="208" t="str">
        <f>IF(A111="","",ROUND(SUMIFS(aditivos!$L$2:$L$200,aditivos!$A$2:$A$200,A111,aditivos!$C$2:$C$200,"C3"),2))</f>
        <v/>
      </c>
      <c r="Q111" s="204" t="str">
        <f t="shared" si="39"/>
        <v/>
      </c>
      <c r="R111" s="204" t="str">
        <f>IF(A111="","",IF(itens_Remanesc!I111="","",itens_Remanesc!I111))</f>
        <v/>
      </c>
      <c r="S111" s="210" t="str">
        <f t="shared" si="40"/>
        <v/>
      </c>
      <c r="T111" s="202" t="str">
        <f>IF(A111="","",ROUND(SUMIFS(aditivos!$L$2:$L$200,aditivos!$A$2:$A$200,A111,aditivos!$C$2:$C$200,"C4"),2))</f>
        <v/>
      </c>
      <c r="U111" s="198" t="str">
        <f t="shared" si="41"/>
        <v/>
      </c>
      <c r="V111" s="198" t="str">
        <f>IF(A111="","",IF(itens_Remanesc!K111="","",itens_Remanesc!K111))</f>
        <v/>
      </c>
      <c r="W111" s="198" t="str">
        <f t="shared" si="42"/>
        <v/>
      </c>
      <c r="X111" s="181" t="str">
        <f t="shared" si="43"/>
        <v/>
      </c>
    </row>
    <row r="112" spans="1:24" x14ac:dyDescent="0.35">
      <c r="A112" s="181" t="str">
        <f>IF(itens_Remanesc!A112="","",itens_Remanesc!A112)</f>
        <v/>
      </c>
      <c r="B112" s="181" t="str">
        <f>IF(A112="","",itens_Remanesc!C112)</f>
        <v/>
      </c>
      <c r="C112" s="200" t="str">
        <f>IF(A112="","",itens_Remanesc!B112)</f>
        <v/>
      </c>
      <c r="D112" s="202" t="str">
        <f>IF(A112="","",ROUND(SUMIFS(aditivos!$L$2:$L$200,aditivos!$A$2:$A$200,A112,aditivos!$C$2:$C$200,"C0"),2))</f>
        <v/>
      </c>
      <c r="E112" s="198" t="str">
        <f t="shared" si="33"/>
        <v/>
      </c>
      <c r="F112" s="198" t="str">
        <f>IF(A112="","",IF(itens_Remanesc!B112="","",itens_Remanesc!B112))</f>
        <v/>
      </c>
      <c r="G112" s="206" t="str">
        <f t="shared" si="34"/>
        <v/>
      </c>
      <c r="H112" s="208" t="str">
        <f>IF(A112="","",ROUND(SUMIFS(aditivos!$L$2:$L$200,aditivos!$A$2:$A$200,A112,aditivos!$C$2:$C$200,"C1"),2))</f>
        <v/>
      </c>
      <c r="I112" s="204" t="str">
        <f t="shared" si="35"/>
        <v/>
      </c>
      <c r="J112" s="204" t="str">
        <f>IF(A112="","",IF(itens_Remanesc!E112="","",itens_Remanesc!E112))</f>
        <v/>
      </c>
      <c r="K112" s="210" t="str">
        <f t="shared" si="36"/>
        <v/>
      </c>
      <c r="L112" s="202" t="str">
        <f>IF(A112="","",ROUND(SUMIFS(aditivos!$L$2:$L$200,aditivos!$A$2:$A$200,A112,aditivos!$C$2:$C$200,"C2"),2))</f>
        <v/>
      </c>
      <c r="M112" s="198" t="str">
        <f t="shared" si="37"/>
        <v/>
      </c>
      <c r="N112" s="198" t="str">
        <f>IF(A112="","",IF(itens_Remanesc!G112="","",itens_Remanesc!G112))</f>
        <v/>
      </c>
      <c r="O112" s="206" t="str">
        <f t="shared" si="38"/>
        <v/>
      </c>
      <c r="P112" s="208" t="str">
        <f>IF(A112="","",ROUND(SUMIFS(aditivos!$L$2:$L$200,aditivos!$A$2:$A$200,A112,aditivos!$C$2:$C$200,"C3"),2))</f>
        <v/>
      </c>
      <c r="Q112" s="204" t="str">
        <f t="shared" si="39"/>
        <v/>
      </c>
      <c r="R112" s="204" t="str">
        <f>IF(A112="","",IF(itens_Remanesc!I112="","",itens_Remanesc!I112))</f>
        <v/>
      </c>
      <c r="S112" s="210" t="str">
        <f t="shared" si="40"/>
        <v/>
      </c>
      <c r="T112" s="202" t="str">
        <f>IF(A112="","",ROUND(SUMIFS(aditivos!$L$2:$L$200,aditivos!$A$2:$A$200,A112,aditivos!$C$2:$C$200,"C4"),2))</f>
        <v/>
      </c>
      <c r="U112" s="198" t="str">
        <f t="shared" si="41"/>
        <v/>
      </c>
      <c r="V112" s="198" t="str">
        <f>IF(A112="","",IF(itens_Remanesc!K112="","",itens_Remanesc!K112))</f>
        <v/>
      </c>
      <c r="W112" s="198" t="str">
        <f t="shared" si="42"/>
        <v/>
      </c>
      <c r="X112" s="181" t="str">
        <f t="shared" si="43"/>
        <v/>
      </c>
    </row>
    <row r="113" spans="1:24" x14ac:dyDescent="0.35">
      <c r="A113" s="181" t="str">
        <f>IF(itens_Remanesc!A113="","",itens_Remanesc!A113)</f>
        <v/>
      </c>
      <c r="B113" s="181" t="str">
        <f>IF(A113="","",itens_Remanesc!C113)</f>
        <v/>
      </c>
      <c r="C113" s="200" t="str">
        <f>IF(A113="","",itens_Remanesc!B113)</f>
        <v/>
      </c>
      <c r="D113" s="202" t="str">
        <f>IF(A113="","",ROUND(SUMIFS(aditivos!$L$2:$L$200,aditivos!$A$2:$A$200,A113,aditivos!$C$2:$C$200,"C0"),2))</f>
        <v/>
      </c>
      <c r="E113" s="198" t="str">
        <f t="shared" si="33"/>
        <v/>
      </c>
      <c r="F113" s="198" t="str">
        <f>IF(A113="","",IF(itens_Remanesc!B113="","",itens_Remanesc!B113))</f>
        <v/>
      </c>
      <c r="G113" s="206" t="str">
        <f t="shared" si="34"/>
        <v/>
      </c>
      <c r="H113" s="208" t="str">
        <f>IF(A113="","",ROUND(SUMIFS(aditivos!$L$2:$L$200,aditivos!$A$2:$A$200,A113,aditivos!$C$2:$C$200,"C1"),2))</f>
        <v/>
      </c>
      <c r="I113" s="204" t="str">
        <f t="shared" si="35"/>
        <v/>
      </c>
      <c r="J113" s="204" t="str">
        <f>IF(A113="","",IF(itens_Remanesc!E113="","",itens_Remanesc!E113))</f>
        <v/>
      </c>
      <c r="K113" s="210" t="str">
        <f t="shared" si="36"/>
        <v/>
      </c>
      <c r="L113" s="202" t="str">
        <f>IF(A113="","",ROUND(SUMIFS(aditivos!$L$2:$L$200,aditivos!$A$2:$A$200,A113,aditivos!$C$2:$C$200,"C2"),2))</f>
        <v/>
      </c>
      <c r="M113" s="198" t="str">
        <f t="shared" si="37"/>
        <v/>
      </c>
      <c r="N113" s="198" t="str">
        <f>IF(A113="","",IF(itens_Remanesc!G113="","",itens_Remanesc!G113))</f>
        <v/>
      </c>
      <c r="O113" s="206" t="str">
        <f t="shared" si="38"/>
        <v/>
      </c>
      <c r="P113" s="208" t="str">
        <f>IF(A113="","",ROUND(SUMIFS(aditivos!$L$2:$L$200,aditivos!$A$2:$A$200,A113,aditivos!$C$2:$C$200,"C3"),2))</f>
        <v/>
      </c>
      <c r="Q113" s="204" t="str">
        <f t="shared" si="39"/>
        <v/>
      </c>
      <c r="R113" s="204" t="str">
        <f>IF(A113="","",IF(itens_Remanesc!I113="","",itens_Remanesc!I113))</f>
        <v/>
      </c>
      <c r="S113" s="210" t="str">
        <f t="shared" si="40"/>
        <v/>
      </c>
      <c r="T113" s="202" t="str">
        <f>IF(A113="","",ROUND(SUMIFS(aditivos!$L$2:$L$200,aditivos!$A$2:$A$200,A113,aditivos!$C$2:$C$200,"C4"),2))</f>
        <v/>
      </c>
      <c r="U113" s="198" t="str">
        <f t="shared" si="41"/>
        <v/>
      </c>
      <c r="V113" s="198" t="str">
        <f>IF(A113="","",IF(itens_Remanesc!K113="","",itens_Remanesc!K113))</f>
        <v/>
      </c>
      <c r="W113" s="198" t="str">
        <f t="shared" si="42"/>
        <v/>
      </c>
      <c r="X113" s="181" t="str">
        <f t="shared" si="43"/>
        <v/>
      </c>
    </row>
    <row r="114" spans="1:24" x14ac:dyDescent="0.35">
      <c r="A114" s="181" t="str">
        <f>IF(itens_Remanesc!A114="","",itens_Remanesc!A114)</f>
        <v/>
      </c>
      <c r="B114" s="181" t="str">
        <f>IF(A114="","",itens_Remanesc!C114)</f>
        <v/>
      </c>
      <c r="C114" s="200" t="str">
        <f>IF(A114="","",itens_Remanesc!B114)</f>
        <v/>
      </c>
      <c r="D114" s="202" t="str">
        <f>IF(A114="","",ROUND(SUMIFS(aditivos!$L$2:$L$200,aditivos!$A$2:$A$200,A114,aditivos!$C$2:$C$200,"C0"),2))</f>
        <v/>
      </c>
      <c r="E114" s="198" t="str">
        <f t="shared" si="33"/>
        <v/>
      </c>
      <c r="F114" s="198" t="str">
        <f>IF(A114="","",IF(itens_Remanesc!B114="","",itens_Remanesc!B114))</f>
        <v/>
      </c>
      <c r="G114" s="206" t="str">
        <f t="shared" si="34"/>
        <v/>
      </c>
      <c r="H114" s="208" t="str">
        <f>IF(A114="","",ROUND(SUMIFS(aditivos!$L$2:$L$200,aditivos!$A$2:$A$200,A114,aditivos!$C$2:$C$200,"C1"),2))</f>
        <v/>
      </c>
      <c r="I114" s="204" t="str">
        <f t="shared" si="35"/>
        <v/>
      </c>
      <c r="J114" s="204" t="str">
        <f>IF(A114="","",IF(itens_Remanesc!E114="","",itens_Remanesc!E114))</f>
        <v/>
      </c>
      <c r="K114" s="210" t="str">
        <f t="shared" si="36"/>
        <v/>
      </c>
      <c r="L114" s="202" t="str">
        <f>IF(A114="","",ROUND(SUMIFS(aditivos!$L$2:$L$200,aditivos!$A$2:$A$200,A114,aditivos!$C$2:$C$200,"C2"),2))</f>
        <v/>
      </c>
      <c r="M114" s="198" t="str">
        <f t="shared" si="37"/>
        <v/>
      </c>
      <c r="N114" s="198" t="str">
        <f>IF(A114="","",IF(itens_Remanesc!G114="","",itens_Remanesc!G114))</f>
        <v/>
      </c>
      <c r="O114" s="206" t="str">
        <f t="shared" si="38"/>
        <v/>
      </c>
      <c r="P114" s="208" t="str">
        <f>IF(A114="","",ROUND(SUMIFS(aditivos!$L$2:$L$200,aditivos!$A$2:$A$200,A114,aditivos!$C$2:$C$200,"C3"),2))</f>
        <v/>
      </c>
      <c r="Q114" s="204" t="str">
        <f t="shared" si="39"/>
        <v/>
      </c>
      <c r="R114" s="204" t="str">
        <f>IF(A114="","",IF(itens_Remanesc!I114="","",itens_Remanesc!I114))</f>
        <v/>
      </c>
      <c r="S114" s="210" t="str">
        <f t="shared" si="40"/>
        <v/>
      </c>
      <c r="T114" s="202" t="str">
        <f>IF(A114="","",ROUND(SUMIFS(aditivos!$L$2:$L$200,aditivos!$A$2:$A$200,A114,aditivos!$C$2:$C$200,"C4"),2))</f>
        <v/>
      </c>
      <c r="U114" s="198" t="str">
        <f t="shared" si="41"/>
        <v/>
      </c>
      <c r="V114" s="198" t="str">
        <f>IF(A114="","",IF(itens_Remanesc!K114="","",itens_Remanesc!K114))</f>
        <v/>
      </c>
      <c r="W114" s="198" t="str">
        <f t="shared" si="42"/>
        <v/>
      </c>
      <c r="X114" s="181" t="str">
        <f t="shared" si="43"/>
        <v/>
      </c>
    </row>
    <row r="115" spans="1:24" x14ac:dyDescent="0.35">
      <c r="A115" s="181" t="str">
        <f>IF(itens_Remanesc!A115="","",itens_Remanesc!A115)</f>
        <v/>
      </c>
      <c r="B115" s="181" t="str">
        <f>IF(A115="","",itens_Remanesc!C115)</f>
        <v/>
      </c>
      <c r="C115" s="200" t="str">
        <f>IF(A115="","",itens_Remanesc!B115)</f>
        <v/>
      </c>
      <c r="D115" s="202" t="str">
        <f>IF(A115="","",ROUND(SUMIFS(aditivos!$L$2:$L$200,aditivos!$A$2:$A$200,A115,aditivos!$C$2:$C$200,"C0"),2))</f>
        <v/>
      </c>
      <c r="E115" s="198" t="str">
        <f t="shared" si="33"/>
        <v/>
      </c>
      <c r="F115" s="198" t="str">
        <f>IF(A115="","",IF(itens_Remanesc!B115="","",itens_Remanesc!B115))</f>
        <v/>
      </c>
      <c r="G115" s="206" t="str">
        <f t="shared" si="34"/>
        <v/>
      </c>
      <c r="H115" s="208" t="str">
        <f>IF(A115="","",ROUND(SUMIFS(aditivos!$L$2:$L$200,aditivos!$A$2:$A$200,A115,aditivos!$C$2:$C$200,"C1"),2))</f>
        <v/>
      </c>
      <c r="I115" s="204" t="str">
        <f t="shared" si="35"/>
        <v/>
      </c>
      <c r="J115" s="204" t="str">
        <f>IF(A115="","",IF(itens_Remanesc!E115="","",itens_Remanesc!E115))</f>
        <v/>
      </c>
      <c r="K115" s="210" t="str">
        <f t="shared" si="36"/>
        <v/>
      </c>
      <c r="L115" s="202" t="str">
        <f>IF(A115="","",ROUND(SUMIFS(aditivos!$L$2:$L$200,aditivos!$A$2:$A$200,A115,aditivos!$C$2:$C$200,"C2"),2))</f>
        <v/>
      </c>
      <c r="M115" s="198" t="str">
        <f t="shared" si="37"/>
        <v/>
      </c>
      <c r="N115" s="198" t="str">
        <f>IF(A115="","",IF(itens_Remanesc!G115="","",itens_Remanesc!G115))</f>
        <v/>
      </c>
      <c r="O115" s="206" t="str">
        <f t="shared" si="38"/>
        <v/>
      </c>
      <c r="P115" s="208" t="str">
        <f>IF(A115="","",ROUND(SUMIFS(aditivos!$L$2:$L$200,aditivos!$A$2:$A$200,A115,aditivos!$C$2:$C$200,"C3"),2))</f>
        <v/>
      </c>
      <c r="Q115" s="204" t="str">
        <f t="shared" si="39"/>
        <v/>
      </c>
      <c r="R115" s="204" t="str">
        <f>IF(A115="","",IF(itens_Remanesc!I115="","",itens_Remanesc!I115))</f>
        <v/>
      </c>
      <c r="S115" s="210" t="str">
        <f t="shared" si="40"/>
        <v/>
      </c>
      <c r="T115" s="202" t="str">
        <f>IF(A115="","",ROUND(SUMIFS(aditivos!$L$2:$L$200,aditivos!$A$2:$A$200,A115,aditivos!$C$2:$C$200,"C4"),2))</f>
        <v/>
      </c>
      <c r="U115" s="198" t="str">
        <f t="shared" si="41"/>
        <v/>
      </c>
      <c r="V115" s="198" t="str">
        <f>IF(A115="","",IF(itens_Remanesc!K115="","",itens_Remanesc!K115))</f>
        <v/>
      </c>
      <c r="W115" s="198" t="str">
        <f t="shared" si="42"/>
        <v/>
      </c>
      <c r="X115" s="181" t="str">
        <f t="shared" si="43"/>
        <v/>
      </c>
    </row>
    <row r="116" spans="1:24" x14ac:dyDescent="0.35">
      <c r="A116" s="181" t="str">
        <f>IF(itens_Remanesc!A116="","",itens_Remanesc!A116)</f>
        <v/>
      </c>
      <c r="B116" s="181" t="str">
        <f>IF(A116="","",itens_Remanesc!C116)</f>
        <v/>
      </c>
      <c r="C116" s="200" t="str">
        <f>IF(A116="","",itens_Remanesc!B116)</f>
        <v/>
      </c>
      <c r="D116" s="202" t="str">
        <f>IF(A116="","",ROUND(SUMIFS(aditivos!$L$2:$L$200,aditivos!$A$2:$A$200,A116,aditivos!$C$2:$C$200,"C0"),2))</f>
        <v/>
      </c>
      <c r="E116" s="198" t="str">
        <f t="shared" si="33"/>
        <v/>
      </c>
      <c r="F116" s="198" t="str">
        <f>IF(A116="","",IF(itens_Remanesc!B116="","",itens_Remanesc!B116))</f>
        <v/>
      </c>
      <c r="G116" s="206" t="str">
        <f t="shared" si="34"/>
        <v/>
      </c>
      <c r="H116" s="208" t="str">
        <f>IF(A116="","",ROUND(SUMIFS(aditivos!$L$2:$L$200,aditivos!$A$2:$A$200,A116,aditivos!$C$2:$C$200,"C1"),2))</f>
        <v/>
      </c>
      <c r="I116" s="204" t="str">
        <f t="shared" si="35"/>
        <v/>
      </c>
      <c r="J116" s="204" t="str">
        <f>IF(A116="","",IF(itens_Remanesc!E116="","",itens_Remanesc!E116))</f>
        <v/>
      </c>
      <c r="K116" s="210" t="str">
        <f t="shared" si="36"/>
        <v/>
      </c>
      <c r="L116" s="202" t="str">
        <f>IF(A116="","",ROUND(SUMIFS(aditivos!$L$2:$L$200,aditivos!$A$2:$A$200,A116,aditivos!$C$2:$C$200,"C2"),2))</f>
        <v/>
      </c>
      <c r="M116" s="198" t="str">
        <f t="shared" si="37"/>
        <v/>
      </c>
      <c r="N116" s="198" t="str">
        <f>IF(A116="","",IF(itens_Remanesc!G116="","",itens_Remanesc!G116))</f>
        <v/>
      </c>
      <c r="O116" s="206" t="str">
        <f t="shared" si="38"/>
        <v/>
      </c>
      <c r="P116" s="208" t="str">
        <f>IF(A116="","",ROUND(SUMIFS(aditivos!$L$2:$L$200,aditivos!$A$2:$A$200,A116,aditivos!$C$2:$C$200,"C3"),2))</f>
        <v/>
      </c>
      <c r="Q116" s="204" t="str">
        <f t="shared" si="39"/>
        <v/>
      </c>
      <c r="R116" s="204" t="str">
        <f>IF(A116="","",IF(itens_Remanesc!I116="","",itens_Remanesc!I116))</f>
        <v/>
      </c>
      <c r="S116" s="210" t="str">
        <f t="shared" si="40"/>
        <v/>
      </c>
      <c r="T116" s="202" t="str">
        <f>IF(A116="","",ROUND(SUMIFS(aditivos!$L$2:$L$200,aditivos!$A$2:$A$200,A116,aditivos!$C$2:$C$200,"C4"),2))</f>
        <v/>
      </c>
      <c r="U116" s="198" t="str">
        <f t="shared" si="41"/>
        <v/>
      </c>
      <c r="V116" s="198" t="str">
        <f>IF(A116="","",IF(itens_Remanesc!K116="","",itens_Remanesc!K116))</f>
        <v/>
      </c>
      <c r="W116" s="198" t="str">
        <f t="shared" si="42"/>
        <v/>
      </c>
      <c r="X116" s="181" t="str">
        <f t="shared" si="43"/>
        <v/>
      </c>
    </row>
    <row r="117" spans="1:24" x14ac:dyDescent="0.35">
      <c r="A117" s="181" t="str">
        <f>IF(itens_Remanesc!A117="","",itens_Remanesc!A117)</f>
        <v/>
      </c>
      <c r="B117" s="181" t="str">
        <f>IF(A117="","",itens_Remanesc!C117)</f>
        <v/>
      </c>
      <c r="C117" s="200" t="str">
        <f>IF(A117="","",itens_Remanesc!B117)</f>
        <v/>
      </c>
      <c r="D117" s="202" t="str">
        <f>IF(A117="","",ROUND(SUMIFS(aditivos!$L$2:$L$200,aditivos!$A$2:$A$200,A117,aditivos!$C$2:$C$200,"C0"),2))</f>
        <v/>
      </c>
      <c r="E117" s="198" t="str">
        <f t="shared" si="33"/>
        <v/>
      </c>
      <c r="F117" s="198" t="str">
        <f>IF(A117="","",IF(itens_Remanesc!B117="","",itens_Remanesc!B117))</f>
        <v/>
      </c>
      <c r="G117" s="206" t="str">
        <f t="shared" si="34"/>
        <v/>
      </c>
      <c r="H117" s="208" t="str">
        <f>IF(A117="","",ROUND(SUMIFS(aditivos!$L$2:$L$200,aditivos!$A$2:$A$200,A117,aditivos!$C$2:$C$200,"C1"),2))</f>
        <v/>
      </c>
      <c r="I117" s="204" t="str">
        <f t="shared" si="35"/>
        <v/>
      </c>
      <c r="J117" s="204" t="str">
        <f>IF(A117="","",IF(itens_Remanesc!E117="","",itens_Remanesc!E117))</f>
        <v/>
      </c>
      <c r="K117" s="210" t="str">
        <f t="shared" si="36"/>
        <v/>
      </c>
      <c r="L117" s="202" t="str">
        <f>IF(A117="","",ROUND(SUMIFS(aditivos!$L$2:$L$200,aditivos!$A$2:$A$200,A117,aditivos!$C$2:$C$200,"C2"),2))</f>
        <v/>
      </c>
      <c r="M117" s="198" t="str">
        <f t="shared" si="37"/>
        <v/>
      </c>
      <c r="N117" s="198" t="str">
        <f>IF(A117="","",IF(itens_Remanesc!G117="","",itens_Remanesc!G117))</f>
        <v/>
      </c>
      <c r="O117" s="206" t="str">
        <f t="shared" si="38"/>
        <v/>
      </c>
      <c r="P117" s="208" t="str">
        <f>IF(A117="","",ROUND(SUMIFS(aditivos!$L$2:$L$200,aditivos!$A$2:$A$200,A117,aditivos!$C$2:$C$200,"C3"),2))</f>
        <v/>
      </c>
      <c r="Q117" s="204" t="str">
        <f t="shared" si="39"/>
        <v/>
      </c>
      <c r="R117" s="204" t="str">
        <f>IF(A117="","",IF(itens_Remanesc!I117="","",itens_Remanesc!I117))</f>
        <v/>
      </c>
      <c r="S117" s="210" t="str">
        <f t="shared" si="40"/>
        <v/>
      </c>
      <c r="T117" s="202" t="str">
        <f>IF(A117="","",ROUND(SUMIFS(aditivos!$L$2:$L$200,aditivos!$A$2:$A$200,A117,aditivos!$C$2:$C$200,"C4"),2))</f>
        <v/>
      </c>
      <c r="U117" s="198" t="str">
        <f t="shared" si="41"/>
        <v/>
      </c>
      <c r="V117" s="198" t="str">
        <f>IF(A117="","",IF(itens_Remanesc!K117="","",itens_Remanesc!K117))</f>
        <v/>
      </c>
      <c r="W117" s="198" t="str">
        <f t="shared" si="42"/>
        <v/>
      </c>
      <c r="X117" s="181" t="str">
        <f t="shared" si="43"/>
        <v/>
      </c>
    </row>
    <row r="118" spans="1:24" x14ac:dyDescent="0.35">
      <c r="A118" s="181" t="str">
        <f>IF(itens_Remanesc!A118="","",itens_Remanesc!A118)</f>
        <v/>
      </c>
      <c r="B118" s="181" t="str">
        <f>IF(A118="","",itens_Remanesc!C118)</f>
        <v/>
      </c>
      <c r="C118" s="200" t="str">
        <f>IF(A118="","",itens_Remanesc!B118)</f>
        <v/>
      </c>
      <c r="D118" s="202" t="str">
        <f>IF(A118="","",ROUND(SUMIFS(aditivos!$L$2:$L$200,aditivos!$A$2:$A$200,A118,aditivos!$C$2:$C$200,"C0"),2))</f>
        <v/>
      </c>
      <c r="E118" s="198" t="str">
        <f t="shared" si="33"/>
        <v/>
      </c>
      <c r="F118" s="198" t="str">
        <f>IF(A118="","",IF(itens_Remanesc!B118="","",itens_Remanesc!B118))</f>
        <v/>
      </c>
      <c r="G118" s="206" t="str">
        <f t="shared" si="34"/>
        <v/>
      </c>
      <c r="H118" s="208" t="str">
        <f>IF(A118="","",ROUND(SUMIFS(aditivos!$L$2:$L$200,aditivos!$A$2:$A$200,A118,aditivos!$C$2:$C$200,"C1"),2))</f>
        <v/>
      </c>
      <c r="I118" s="204" t="str">
        <f t="shared" si="35"/>
        <v/>
      </c>
      <c r="J118" s="204" t="str">
        <f>IF(A118="","",IF(itens_Remanesc!E118="","",itens_Remanesc!E118))</f>
        <v/>
      </c>
      <c r="K118" s="210" t="str">
        <f t="shared" si="36"/>
        <v/>
      </c>
      <c r="L118" s="202" t="str">
        <f>IF(A118="","",ROUND(SUMIFS(aditivos!$L$2:$L$200,aditivos!$A$2:$A$200,A118,aditivos!$C$2:$C$200,"C2"),2))</f>
        <v/>
      </c>
      <c r="M118" s="198" t="str">
        <f t="shared" si="37"/>
        <v/>
      </c>
      <c r="N118" s="198" t="str">
        <f>IF(A118="","",IF(itens_Remanesc!G118="","",itens_Remanesc!G118))</f>
        <v/>
      </c>
      <c r="O118" s="206" t="str">
        <f t="shared" si="38"/>
        <v/>
      </c>
      <c r="P118" s="208" t="str">
        <f>IF(A118="","",ROUND(SUMIFS(aditivos!$L$2:$L$200,aditivos!$A$2:$A$200,A118,aditivos!$C$2:$C$200,"C3"),2))</f>
        <v/>
      </c>
      <c r="Q118" s="204" t="str">
        <f t="shared" si="39"/>
        <v/>
      </c>
      <c r="R118" s="204" t="str">
        <f>IF(A118="","",IF(itens_Remanesc!I118="","",itens_Remanesc!I118))</f>
        <v/>
      </c>
      <c r="S118" s="210" t="str">
        <f t="shared" si="40"/>
        <v/>
      </c>
      <c r="T118" s="202" t="str">
        <f>IF(A118="","",ROUND(SUMIFS(aditivos!$L$2:$L$200,aditivos!$A$2:$A$200,A118,aditivos!$C$2:$C$200,"C4"),2))</f>
        <v/>
      </c>
      <c r="U118" s="198" t="str">
        <f t="shared" si="41"/>
        <v/>
      </c>
      <c r="V118" s="198" t="str">
        <f>IF(A118="","",IF(itens_Remanesc!K118="","",itens_Remanesc!K118))</f>
        <v/>
      </c>
      <c r="W118" s="198" t="str">
        <f t="shared" si="42"/>
        <v/>
      </c>
      <c r="X118" s="181" t="str">
        <f t="shared" si="43"/>
        <v/>
      </c>
    </row>
    <row r="119" spans="1:24" x14ac:dyDescent="0.35">
      <c r="A119" s="181" t="str">
        <f>IF(itens_Remanesc!A119="","",itens_Remanesc!A119)</f>
        <v/>
      </c>
      <c r="B119" s="181" t="str">
        <f>IF(A119="","",itens_Remanesc!C119)</f>
        <v/>
      </c>
      <c r="C119" s="200" t="str">
        <f>IF(A119="","",itens_Remanesc!B119)</f>
        <v/>
      </c>
      <c r="D119" s="202" t="str">
        <f>IF(A119="","",ROUND(SUMIFS(aditivos!$L$2:$L$200,aditivos!$A$2:$A$200,A119,aditivos!$C$2:$C$200,"C0"),2))</f>
        <v/>
      </c>
      <c r="E119" s="198" t="str">
        <f t="shared" si="33"/>
        <v/>
      </c>
      <c r="F119" s="198" t="str">
        <f>IF(A119="","",IF(itens_Remanesc!B119="","",itens_Remanesc!B119))</f>
        <v/>
      </c>
      <c r="G119" s="206" t="str">
        <f t="shared" si="34"/>
        <v/>
      </c>
      <c r="H119" s="208" t="str">
        <f>IF(A119="","",ROUND(SUMIFS(aditivos!$L$2:$L$200,aditivos!$A$2:$A$200,A119,aditivos!$C$2:$C$200,"C1"),2))</f>
        <v/>
      </c>
      <c r="I119" s="204" t="str">
        <f t="shared" si="35"/>
        <v/>
      </c>
      <c r="J119" s="204" t="str">
        <f>IF(A119="","",IF(itens_Remanesc!E119="","",itens_Remanesc!E119))</f>
        <v/>
      </c>
      <c r="K119" s="210" t="str">
        <f t="shared" si="36"/>
        <v/>
      </c>
      <c r="L119" s="202" t="str">
        <f>IF(A119="","",ROUND(SUMIFS(aditivos!$L$2:$L$200,aditivos!$A$2:$A$200,A119,aditivos!$C$2:$C$200,"C2"),2))</f>
        <v/>
      </c>
      <c r="M119" s="198" t="str">
        <f t="shared" si="37"/>
        <v/>
      </c>
      <c r="N119" s="198" t="str">
        <f>IF(A119="","",IF(itens_Remanesc!G119="","",itens_Remanesc!G119))</f>
        <v/>
      </c>
      <c r="O119" s="206" t="str">
        <f t="shared" si="38"/>
        <v/>
      </c>
      <c r="P119" s="208" t="str">
        <f>IF(A119="","",ROUND(SUMIFS(aditivos!$L$2:$L$200,aditivos!$A$2:$A$200,A119,aditivos!$C$2:$C$200,"C3"),2))</f>
        <v/>
      </c>
      <c r="Q119" s="204" t="str">
        <f t="shared" si="39"/>
        <v/>
      </c>
      <c r="R119" s="204" t="str">
        <f>IF(A119="","",IF(itens_Remanesc!I119="","",itens_Remanesc!I119))</f>
        <v/>
      </c>
      <c r="S119" s="210" t="str">
        <f t="shared" si="40"/>
        <v/>
      </c>
      <c r="T119" s="202" t="str">
        <f>IF(A119="","",ROUND(SUMIFS(aditivos!$L$2:$L$200,aditivos!$A$2:$A$200,A119,aditivos!$C$2:$C$200,"C4"),2))</f>
        <v/>
      </c>
      <c r="U119" s="198" t="str">
        <f t="shared" si="41"/>
        <v/>
      </c>
      <c r="V119" s="198" t="str">
        <f>IF(A119="","",IF(itens_Remanesc!K119="","",itens_Remanesc!K119))</f>
        <v/>
      </c>
      <c r="W119" s="198" t="str">
        <f t="shared" si="42"/>
        <v/>
      </c>
      <c r="X119" s="181" t="str">
        <f t="shared" si="43"/>
        <v/>
      </c>
    </row>
    <row r="120" spans="1:24" x14ac:dyDescent="0.35">
      <c r="A120" s="181" t="str">
        <f>IF(itens_Remanesc!A120="","",itens_Remanesc!A120)</f>
        <v/>
      </c>
      <c r="B120" s="181" t="str">
        <f>IF(A120="","",itens_Remanesc!C120)</f>
        <v/>
      </c>
      <c r="C120" s="200" t="str">
        <f>IF(A120="","",itens_Remanesc!B120)</f>
        <v/>
      </c>
      <c r="D120" s="202" t="str">
        <f>IF(A120="","",ROUND(SUMIFS(aditivos!$L$2:$L$200,aditivos!$A$2:$A$200,A120,aditivos!$C$2:$C$200,"C0"),2))</f>
        <v/>
      </c>
      <c r="E120" s="198" t="str">
        <f t="shared" si="33"/>
        <v/>
      </c>
      <c r="F120" s="198" t="str">
        <f>IF(A120="","",IF(itens_Remanesc!B120="","",itens_Remanesc!B120))</f>
        <v/>
      </c>
      <c r="G120" s="206" t="str">
        <f t="shared" si="34"/>
        <v/>
      </c>
      <c r="H120" s="208" t="str">
        <f>IF(A120="","",ROUND(SUMIFS(aditivos!$L$2:$L$200,aditivos!$A$2:$A$200,A120,aditivos!$C$2:$C$200,"C1"),2))</f>
        <v/>
      </c>
      <c r="I120" s="204" t="str">
        <f t="shared" si="35"/>
        <v/>
      </c>
      <c r="J120" s="204" t="str">
        <f>IF(A120="","",IF(itens_Remanesc!E120="","",itens_Remanesc!E120))</f>
        <v/>
      </c>
      <c r="K120" s="210" t="str">
        <f t="shared" si="36"/>
        <v/>
      </c>
      <c r="L120" s="202" t="str">
        <f>IF(A120="","",ROUND(SUMIFS(aditivos!$L$2:$L$200,aditivos!$A$2:$A$200,A120,aditivos!$C$2:$C$200,"C2"),2))</f>
        <v/>
      </c>
      <c r="M120" s="198" t="str">
        <f t="shared" si="37"/>
        <v/>
      </c>
      <c r="N120" s="198" t="str">
        <f>IF(A120="","",IF(itens_Remanesc!G120="","",itens_Remanesc!G120))</f>
        <v/>
      </c>
      <c r="O120" s="206" t="str">
        <f t="shared" si="38"/>
        <v/>
      </c>
      <c r="P120" s="208" t="str">
        <f>IF(A120="","",ROUND(SUMIFS(aditivos!$L$2:$L$200,aditivos!$A$2:$A$200,A120,aditivos!$C$2:$C$200,"C3"),2))</f>
        <v/>
      </c>
      <c r="Q120" s="204" t="str">
        <f t="shared" si="39"/>
        <v/>
      </c>
      <c r="R120" s="204" t="str">
        <f>IF(A120="","",IF(itens_Remanesc!I120="","",itens_Remanesc!I120))</f>
        <v/>
      </c>
      <c r="S120" s="210" t="str">
        <f t="shared" si="40"/>
        <v/>
      </c>
      <c r="T120" s="202" t="str">
        <f>IF(A120="","",ROUND(SUMIFS(aditivos!$L$2:$L$200,aditivos!$A$2:$A$200,A120,aditivos!$C$2:$C$200,"C4"),2))</f>
        <v/>
      </c>
      <c r="U120" s="198" t="str">
        <f t="shared" si="41"/>
        <v/>
      </c>
      <c r="V120" s="198" t="str">
        <f>IF(A120="","",IF(itens_Remanesc!K120="","",itens_Remanesc!K120))</f>
        <v/>
      </c>
      <c r="W120" s="198" t="str">
        <f t="shared" si="42"/>
        <v/>
      </c>
      <c r="X120" s="181" t="str">
        <f t="shared" si="43"/>
        <v/>
      </c>
    </row>
    <row r="121" spans="1:24" x14ac:dyDescent="0.35">
      <c r="A121" s="181" t="str">
        <f>IF(itens_Remanesc!A121="","",itens_Remanesc!A121)</f>
        <v/>
      </c>
      <c r="B121" s="181" t="str">
        <f>IF(A121="","",itens_Remanesc!C121)</f>
        <v/>
      </c>
      <c r="C121" s="200" t="str">
        <f>IF(A121="","",itens_Remanesc!B121)</f>
        <v/>
      </c>
      <c r="D121" s="202" t="str">
        <f>IF(A121="","",ROUND(SUMIFS(aditivos!$L$2:$L$200,aditivos!$A$2:$A$200,A121,aditivos!$C$2:$C$200,"C0"),2))</f>
        <v/>
      </c>
      <c r="E121" s="198" t="str">
        <f t="shared" si="33"/>
        <v/>
      </c>
      <c r="F121" s="198" t="str">
        <f>IF(A121="","",IF(itens_Remanesc!B121="","",itens_Remanesc!B121))</f>
        <v/>
      </c>
      <c r="G121" s="206" t="str">
        <f t="shared" si="34"/>
        <v/>
      </c>
      <c r="H121" s="208" t="str">
        <f>IF(A121="","",ROUND(SUMIFS(aditivos!$L$2:$L$200,aditivos!$A$2:$A$200,A121,aditivos!$C$2:$C$200,"C1"),2))</f>
        <v/>
      </c>
      <c r="I121" s="204" t="str">
        <f t="shared" si="35"/>
        <v/>
      </c>
      <c r="J121" s="204" t="str">
        <f>IF(A121="","",IF(itens_Remanesc!E121="","",itens_Remanesc!E121))</f>
        <v/>
      </c>
      <c r="K121" s="210" t="str">
        <f t="shared" si="36"/>
        <v/>
      </c>
      <c r="L121" s="202" t="str">
        <f>IF(A121="","",ROUND(SUMIFS(aditivos!$L$2:$L$200,aditivos!$A$2:$A$200,A121,aditivos!$C$2:$C$200,"C2"),2))</f>
        <v/>
      </c>
      <c r="M121" s="198" t="str">
        <f t="shared" si="37"/>
        <v/>
      </c>
      <c r="N121" s="198" t="str">
        <f>IF(A121="","",IF(itens_Remanesc!G121="","",itens_Remanesc!G121))</f>
        <v/>
      </c>
      <c r="O121" s="206" t="str">
        <f t="shared" si="38"/>
        <v/>
      </c>
      <c r="P121" s="208" t="str">
        <f>IF(A121="","",ROUND(SUMIFS(aditivos!$L$2:$L$200,aditivos!$A$2:$A$200,A121,aditivos!$C$2:$C$200,"C3"),2))</f>
        <v/>
      </c>
      <c r="Q121" s="204" t="str">
        <f t="shared" si="39"/>
        <v/>
      </c>
      <c r="R121" s="204" t="str">
        <f>IF(A121="","",IF(itens_Remanesc!I121="","",itens_Remanesc!I121))</f>
        <v/>
      </c>
      <c r="S121" s="210" t="str">
        <f t="shared" si="40"/>
        <v/>
      </c>
      <c r="T121" s="202" t="str">
        <f>IF(A121="","",ROUND(SUMIFS(aditivos!$L$2:$L$200,aditivos!$A$2:$A$200,A121,aditivos!$C$2:$C$200,"C4"),2))</f>
        <v/>
      </c>
      <c r="U121" s="198" t="str">
        <f t="shared" si="41"/>
        <v/>
      </c>
      <c r="V121" s="198" t="str">
        <f>IF(A121="","",IF(itens_Remanesc!K121="","",itens_Remanesc!K121))</f>
        <v/>
      </c>
      <c r="W121" s="198" t="str">
        <f t="shared" si="42"/>
        <v/>
      </c>
      <c r="X121" s="181" t="str">
        <f t="shared" si="43"/>
        <v/>
      </c>
    </row>
    <row r="122" spans="1:24" x14ac:dyDescent="0.35">
      <c r="A122" s="181" t="str">
        <f>IF(itens_Remanesc!A122="","",itens_Remanesc!A122)</f>
        <v/>
      </c>
      <c r="B122" s="181" t="str">
        <f>IF(A122="","",itens_Remanesc!C122)</f>
        <v/>
      </c>
      <c r="C122" s="200" t="str">
        <f>IF(A122="","",itens_Remanesc!B122)</f>
        <v/>
      </c>
      <c r="D122" s="202" t="str">
        <f>IF(A122="","",ROUND(SUMIFS(aditivos!$L$2:$L$200,aditivos!$A$2:$A$200,A122,aditivos!$C$2:$C$200,"C0"),2))</f>
        <v/>
      </c>
      <c r="E122" s="198" t="str">
        <f t="shared" si="33"/>
        <v/>
      </c>
      <c r="F122" s="198" t="str">
        <f>IF(A122="","",IF(itens_Remanesc!B122="","",itens_Remanesc!B122))</f>
        <v/>
      </c>
      <c r="G122" s="206" t="str">
        <f t="shared" si="34"/>
        <v/>
      </c>
      <c r="H122" s="208" t="str">
        <f>IF(A122="","",ROUND(SUMIFS(aditivos!$L$2:$L$200,aditivos!$A$2:$A$200,A122,aditivos!$C$2:$C$200,"C1"),2))</f>
        <v/>
      </c>
      <c r="I122" s="204" t="str">
        <f t="shared" si="35"/>
        <v/>
      </c>
      <c r="J122" s="204" t="str">
        <f>IF(A122="","",IF(itens_Remanesc!E122="","",itens_Remanesc!E122))</f>
        <v/>
      </c>
      <c r="K122" s="210" t="str">
        <f t="shared" si="36"/>
        <v/>
      </c>
      <c r="L122" s="202" t="str">
        <f>IF(A122="","",ROUND(SUMIFS(aditivos!$L$2:$L$200,aditivos!$A$2:$A$200,A122,aditivos!$C$2:$C$200,"C2"),2))</f>
        <v/>
      </c>
      <c r="M122" s="198" t="str">
        <f t="shared" si="37"/>
        <v/>
      </c>
      <c r="N122" s="198" t="str">
        <f>IF(A122="","",IF(itens_Remanesc!G122="","",itens_Remanesc!G122))</f>
        <v/>
      </c>
      <c r="O122" s="206" t="str">
        <f t="shared" si="38"/>
        <v/>
      </c>
      <c r="P122" s="208" t="str">
        <f>IF(A122="","",ROUND(SUMIFS(aditivos!$L$2:$L$200,aditivos!$A$2:$A$200,A122,aditivos!$C$2:$C$200,"C3"),2))</f>
        <v/>
      </c>
      <c r="Q122" s="204" t="str">
        <f t="shared" si="39"/>
        <v/>
      </c>
      <c r="R122" s="204" t="str">
        <f>IF(A122="","",IF(itens_Remanesc!I122="","",itens_Remanesc!I122))</f>
        <v/>
      </c>
      <c r="S122" s="210" t="str">
        <f t="shared" si="40"/>
        <v/>
      </c>
      <c r="T122" s="202" t="str">
        <f>IF(A122="","",ROUND(SUMIFS(aditivos!$L$2:$L$200,aditivos!$A$2:$A$200,A122,aditivos!$C$2:$C$200,"C4"),2))</f>
        <v/>
      </c>
      <c r="U122" s="198" t="str">
        <f t="shared" si="41"/>
        <v/>
      </c>
      <c r="V122" s="198" t="str">
        <f>IF(A122="","",IF(itens_Remanesc!K122="","",itens_Remanesc!K122))</f>
        <v/>
      </c>
      <c r="W122" s="198" t="str">
        <f t="shared" si="42"/>
        <v/>
      </c>
      <c r="X122" s="181" t="str">
        <f t="shared" si="43"/>
        <v/>
      </c>
    </row>
    <row r="123" spans="1:24" x14ac:dyDescent="0.35">
      <c r="A123" s="181" t="str">
        <f>IF(itens_Remanesc!A123="","",itens_Remanesc!A123)</f>
        <v/>
      </c>
      <c r="B123" s="181" t="str">
        <f>IF(A123="","",itens_Remanesc!C123)</f>
        <v/>
      </c>
      <c r="C123" s="200" t="str">
        <f>IF(A123="","",itens_Remanesc!B123)</f>
        <v/>
      </c>
      <c r="D123" s="202" t="str">
        <f>IF(A123="","",ROUND(SUMIFS(aditivos!$L$2:$L$200,aditivos!$A$2:$A$200,A123,aditivos!$C$2:$C$200,"C0"),2))</f>
        <v/>
      </c>
      <c r="E123" s="198" t="str">
        <f t="shared" si="33"/>
        <v/>
      </c>
      <c r="F123" s="198" t="str">
        <f>IF(A123="","",IF(itens_Remanesc!B123="","",itens_Remanesc!B123))</f>
        <v/>
      </c>
      <c r="G123" s="206" t="str">
        <f t="shared" si="34"/>
        <v/>
      </c>
      <c r="H123" s="208" t="str">
        <f>IF(A123="","",ROUND(SUMIFS(aditivos!$L$2:$L$200,aditivos!$A$2:$A$200,A123,aditivos!$C$2:$C$200,"C1"),2))</f>
        <v/>
      </c>
      <c r="I123" s="204" t="str">
        <f t="shared" si="35"/>
        <v/>
      </c>
      <c r="J123" s="204" t="str">
        <f>IF(A123="","",IF(itens_Remanesc!E123="","",itens_Remanesc!E123))</f>
        <v/>
      </c>
      <c r="K123" s="210" t="str">
        <f t="shared" si="36"/>
        <v/>
      </c>
      <c r="L123" s="202" t="str">
        <f>IF(A123="","",ROUND(SUMIFS(aditivos!$L$2:$L$200,aditivos!$A$2:$A$200,A123,aditivos!$C$2:$C$200,"C2"),2))</f>
        <v/>
      </c>
      <c r="M123" s="198" t="str">
        <f t="shared" si="37"/>
        <v/>
      </c>
      <c r="N123" s="198" t="str">
        <f>IF(A123="","",IF(itens_Remanesc!G123="","",itens_Remanesc!G123))</f>
        <v/>
      </c>
      <c r="O123" s="206" t="str">
        <f t="shared" si="38"/>
        <v/>
      </c>
      <c r="P123" s="208" t="str">
        <f>IF(A123="","",ROUND(SUMIFS(aditivos!$L$2:$L$200,aditivos!$A$2:$A$200,A123,aditivos!$C$2:$C$200,"C3"),2))</f>
        <v/>
      </c>
      <c r="Q123" s="204" t="str">
        <f t="shared" si="39"/>
        <v/>
      </c>
      <c r="R123" s="204" t="str">
        <f>IF(A123="","",IF(itens_Remanesc!I123="","",itens_Remanesc!I123))</f>
        <v/>
      </c>
      <c r="S123" s="210" t="str">
        <f t="shared" si="40"/>
        <v/>
      </c>
      <c r="T123" s="202" t="str">
        <f>IF(A123="","",ROUND(SUMIFS(aditivos!$L$2:$L$200,aditivos!$A$2:$A$200,A123,aditivos!$C$2:$C$200,"C4"),2))</f>
        <v/>
      </c>
      <c r="U123" s="198" t="str">
        <f t="shared" si="41"/>
        <v/>
      </c>
      <c r="V123" s="198" t="str">
        <f>IF(A123="","",IF(itens_Remanesc!K123="","",itens_Remanesc!K123))</f>
        <v/>
      </c>
      <c r="W123" s="198" t="str">
        <f t="shared" si="42"/>
        <v/>
      </c>
      <c r="X123" s="181" t="str">
        <f t="shared" si="43"/>
        <v/>
      </c>
    </row>
    <row r="124" spans="1:24" x14ac:dyDescent="0.35">
      <c r="A124" s="181" t="str">
        <f>IF(itens_Remanesc!A124="","",itens_Remanesc!A124)</f>
        <v/>
      </c>
      <c r="B124" s="181" t="str">
        <f>IF(A124="","",itens_Remanesc!C124)</f>
        <v/>
      </c>
      <c r="C124" s="200" t="str">
        <f>IF(A124="","",itens_Remanesc!B124)</f>
        <v/>
      </c>
      <c r="D124" s="202" t="str">
        <f>IF(A124="","",ROUND(SUMIFS(aditivos!$L$2:$L$200,aditivos!$A$2:$A$200,A124,aditivos!$C$2:$C$200,"C0"),2))</f>
        <v/>
      </c>
      <c r="E124" s="198" t="str">
        <f t="shared" si="33"/>
        <v/>
      </c>
      <c r="F124" s="198" t="str">
        <f>IF(A124="","",IF(itens_Remanesc!B124="","",itens_Remanesc!B124))</f>
        <v/>
      </c>
      <c r="G124" s="206" t="str">
        <f t="shared" si="34"/>
        <v/>
      </c>
      <c r="H124" s="208" t="str">
        <f>IF(A124="","",ROUND(SUMIFS(aditivos!$L$2:$L$200,aditivos!$A$2:$A$200,A124,aditivos!$C$2:$C$200,"C1"),2))</f>
        <v/>
      </c>
      <c r="I124" s="204" t="str">
        <f t="shared" si="35"/>
        <v/>
      </c>
      <c r="J124" s="204" t="str">
        <f>IF(A124="","",IF(itens_Remanesc!E124="","",itens_Remanesc!E124))</f>
        <v/>
      </c>
      <c r="K124" s="210" t="str">
        <f t="shared" si="36"/>
        <v/>
      </c>
      <c r="L124" s="202" t="str">
        <f>IF(A124="","",ROUND(SUMIFS(aditivos!$L$2:$L$200,aditivos!$A$2:$A$200,A124,aditivos!$C$2:$C$200,"C2"),2))</f>
        <v/>
      </c>
      <c r="M124" s="198" t="str">
        <f t="shared" si="37"/>
        <v/>
      </c>
      <c r="N124" s="198" t="str">
        <f>IF(A124="","",IF(itens_Remanesc!G124="","",itens_Remanesc!G124))</f>
        <v/>
      </c>
      <c r="O124" s="206" t="str">
        <f t="shared" si="38"/>
        <v/>
      </c>
      <c r="P124" s="208" t="str">
        <f>IF(A124="","",ROUND(SUMIFS(aditivos!$L$2:$L$200,aditivos!$A$2:$A$200,A124,aditivos!$C$2:$C$200,"C3"),2))</f>
        <v/>
      </c>
      <c r="Q124" s="204" t="str">
        <f t="shared" si="39"/>
        <v/>
      </c>
      <c r="R124" s="204" t="str">
        <f>IF(A124="","",IF(itens_Remanesc!I124="","",itens_Remanesc!I124))</f>
        <v/>
      </c>
      <c r="S124" s="210" t="str">
        <f t="shared" si="40"/>
        <v/>
      </c>
      <c r="T124" s="202" t="str">
        <f>IF(A124="","",ROUND(SUMIFS(aditivos!$L$2:$L$200,aditivos!$A$2:$A$200,A124,aditivos!$C$2:$C$200,"C4"),2))</f>
        <v/>
      </c>
      <c r="U124" s="198" t="str">
        <f t="shared" si="41"/>
        <v/>
      </c>
      <c r="V124" s="198" t="str">
        <f>IF(A124="","",IF(itens_Remanesc!K124="","",itens_Remanesc!K124))</f>
        <v/>
      </c>
      <c r="W124" s="198" t="str">
        <f t="shared" si="42"/>
        <v/>
      </c>
      <c r="X124" s="181" t="str">
        <f t="shared" si="43"/>
        <v/>
      </c>
    </row>
    <row r="125" spans="1:24" x14ac:dyDescent="0.35">
      <c r="A125" s="181" t="str">
        <f>IF(itens_Remanesc!A125="","",itens_Remanesc!A125)</f>
        <v/>
      </c>
      <c r="B125" s="181" t="str">
        <f>IF(A125="","",itens_Remanesc!C125)</f>
        <v/>
      </c>
      <c r="C125" s="200" t="str">
        <f>IF(A125="","",itens_Remanesc!B125)</f>
        <v/>
      </c>
      <c r="D125" s="202" t="str">
        <f>IF(A125="","",ROUND(SUMIFS(aditivos!$L$2:$L$200,aditivos!$A$2:$A$200,A125,aditivos!$C$2:$C$200,"C0"),2))</f>
        <v/>
      </c>
      <c r="E125" s="198" t="str">
        <f t="shared" si="33"/>
        <v/>
      </c>
      <c r="F125" s="198" t="str">
        <f>IF(A125="","",IF(itens_Remanesc!B125="","",itens_Remanesc!B125))</f>
        <v/>
      </c>
      <c r="G125" s="206" t="str">
        <f t="shared" si="34"/>
        <v/>
      </c>
      <c r="H125" s="208" t="str">
        <f>IF(A125="","",ROUND(SUMIFS(aditivos!$L$2:$L$200,aditivos!$A$2:$A$200,A125,aditivos!$C$2:$C$200,"C1"),2))</f>
        <v/>
      </c>
      <c r="I125" s="204" t="str">
        <f t="shared" si="35"/>
        <v/>
      </c>
      <c r="J125" s="204" t="str">
        <f>IF(A125="","",IF(itens_Remanesc!E125="","",itens_Remanesc!E125))</f>
        <v/>
      </c>
      <c r="K125" s="210" t="str">
        <f t="shared" si="36"/>
        <v/>
      </c>
      <c r="L125" s="202" t="str">
        <f>IF(A125="","",ROUND(SUMIFS(aditivos!$L$2:$L$200,aditivos!$A$2:$A$200,A125,aditivos!$C$2:$C$200,"C2"),2))</f>
        <v/>
      </c>
      <c r="M125" s="198" t="str">
        <f t="shared" si="37"/>
        <v/>
      </c>
      <c r="N125" s="198" t="str">
        <f>IF(A125="","",IF(itens_Remanesc!G125="","",itens_Remanesc!G125))</f>
        <v/>
      </c>
      <c r="O125" s="206" t="str">
        <f t="shared" si="38"/>
        <v/>
      </c>
      <c r="P125" s="208" t="str">
        <f>IF(A125="","",ROUND(SUMIFS(aditivos!$L$2:$L$200,aditivos!$A$2:$A$200,A125,aditivos!$C$2:$C$200,"C3"),2))</f>
        <v/>
      </c>
      <c r="Q125" s="204" t="str">
        <f t="shared" si="39"/>
        <v/>
      </c>
      <c r="R125" s="204" t="str">
        <f>IF(A125="","",IF(itens_Remanesc!I125="","",itens_Remanesc!I125))</f>
        <v/>
      </c>
      <c r="S125" s="210" t="str">
        <f t="shared" si="40"/>
        <v/>
      </c>
      <c r="T125" s="202" t="str">
        <f>IF(A125="","",ROUND(SUMIFS(aditivos!$L$2:$L$200,aditivos!$A$2:$A$200,A125,aditivos!$C$2:$C$200,"C4"),2))</f>
        <v/>
      </c>
      <c r="U125" s="198" t="str">
        <f t="shared" si="41"/>
        <v/>
      </c>
      <c r="V125" s="198" t="str">
        <f>IF(A125="","",IF(itens_Remanesc!K125="","",itens_Remanesc!K125))</f>
        <v/>
      </c>
      <c r="W125" s="198" t="str">
        <f t="shared" si="42"/>
        <v/>
      </c>
      <c r="X125" s="181" t="str">
        <f t="shared" si="43"/>
        <v/>
      </c>
    </row>
    <row r="126" spans="1:24" x14ac:dyDescent="0.35">
      <c r="A126" s="181" t="str">
        <f>IF(itens_Remanesc!A126="","",itens_Remanesc!A126)</f>
        <v/>
      </c>
      <c r="B126" s="181" t="str">
        <f>IF(A126="","",itens_Remanesc!C126)</f>
        <v/>
      </c>
      <c r="C126" s="200" t="str">
        <f>IF(A126="","",itens_Remanesc!B126)</f>
        <v/>
      </c>
      <c r="D126" s="202" t="str">
        <f>IF(A126="","",ROUND(SUMIFS(aditivos!$L$2:$L$200,aditivos!$A$2:$A$200,A126,aditivos!$C$2:$C$200,"C0"),2))</f>
        <v/>
      </c>
      <c r="E126" s="198" t="str">
        <f t="shared" si="33"/>
        <v/>
      </c>
      <c r="F126" s="198" t="str">
        <f>IF(A126="","",IF(itens_Remanesc!B126="","",itens_Remanesc!B126))</f>
        <v/>
      </c>
      <c r="G126" s="206" t="str">
        <f t="shared" si="34"/>
        <v/>
      </c>
      <c r="H126" s="208" t="str">
        <f>IF(A126="","",ROUND(SUMIFS(aditivos!$L$2:$L$200,aditivos!$A$2:$A$200,A126,aditivos!$C$2:$C$200,"C1"),2))</f>
        <v/>
      </c>
      <c r="I126" s="204" t="str">
        <f t="shared" si="35"/>
        <v/>
      </c>
      <c r="J126" s="204" t="str">
        <f>IF(A126="","",IF(itens_Remanesc!E126="","",itens_Remanesc!E126))</f>
        <v/>
      </c>
      <c r="K126" s="210" t="str">
        <f t="shared" si="36"/>
        <v/>
      </c>
      <c r="L126" s="202" t="str">
        <f>IF(A126="","",ROUND(SUMIFS(aditivos!$L$2:$L$200,aditivos!$A$2:$A$200,A126,aditivos!$C$2:$C$200,"C2"),2))</f>
        <v/>
      </c>
      <c r="M126" s="198" t="str">
        <f t="shared" si="37"/>
        <v/>
      </c>
      <c r="N126" s="198" t="str">
        <f>IF(A126="","",IF(itens_Remanesc!G126="","",itens_Remanesc!G126))</f>
        <v/>
      </c>
      <c r="O126" s="206" t="str">
        <f t="shared" si="38"/>
        <v/>
      </c>
      <c r="P126" s="208" t="str">
        <f>IF(A126="","",ROUND(SUMIFS(aditivos!$L$2:$L$200,aditivos!$A$2:$A$200,A126,aditivos!$C$2:$C$200,"C3"),2))</f>
        <v/>
      </c>
      <c r="Q126" s="204" t="str">
        <f t="shared" si="39"/>
        <v/>
      </c>
      <c r="R126" s="204" t="str">
        <f>IF(A126="","",IF(itens_Remanesc!I126="","",itens_Remanesc!I126))</f>
        <v/>
      </c>
      <c r="S126" s="210" t="str">
        <f t="shared" si="40"/>
        <v/>
      </c>
      <c r="T126" s="202" t="str">
        <f>IF(A126="","",ROUND(SUMIFS(aditivos!$L$2:$L$200,aditivos!$A$2:$A$200,A126,aditivos!$C$2:$C$200,"C4"),2))</f>
        <v/>
      </c>
      <c r="U126" s="198" t="str">
        <f t="shared" si="41"/>
        <v/>
      </c>
      <c r="V126" s="198" t="str">
        <f>IF(A126="","",IF(itens_Remanesc!K126="","",itens_Remanesc!K126))</f>
        <v/>
      </c>
      <c r="W126" s="198" t="str">
        <f t="shared" si="42"/>
        <v/>
      </c>
      <c r="X126" s="181" t="str">
        <f t="shared" si="43"/>
        <v/>
      </c>
    </row>
    <row r="127" spans="1:24" x14ac:dyDescent="0.35">
      <c r="A127" s="181" t="str">
        <f>IF(itens_Remanesc!A127="","",itens_Remanesc!A127)</f>
        <v/>
      </c>
      <c r="B127" s="181" t="str">
        <f>IF(A127="","",itens_Remanesc!C127)</f>
        <v/>
      </c>
      <c r="C127" s="200" t="str">
        <f>IF(A127="","",itens_Remanesc!B127)</f>
        <v/>
      </c>
      <c r="D127" s="202" t="str">
        <f>IF(A127="","",ROUND(SUMIFS(aditivos!$L$2:$L$200,aditivos!$A$2:$A$200,A127,aditivos!$C$2:$C$200,"C0"),2))</f>
        <v/>
      </c>
      <c r="E127" s="198" t="str">
        <f t="shared" si="33"/>
        <v/>
      </c>
      <c r="F127" s="198" t="str">
        <f>IF(A127="","",IF(itens_Remanesc!B127="","",itens_Remanesc!B127))</f>
        <v/>
      </c>
      <c r="G127" s="206" t="str">
        <f t="shared" si="34"/>
        <v/>
      </c>
      <c r="H127" s="208" t="str">
        <f>IF(A127="","",ROUND(SUMIFS(aditivos!$L$2:$L$200,aditivos!$A$2:$A$200,A127,aditivos!$C$2:$C$200,"C1"),2))</f>
        <v/>
      </c>
      <c r="I127" s="204" t="str">
        <f t="shared" si="35"/>
        <v/>
      </c>
      <c r="J127" s="204" t="str">
        <f>IF(A127="","",IF(itens_Remanesc!E127="","",itens_Remanesc!E127))</f>
        <v/>
      </c>
      <c r="K127" s="210" t="str">
        <f t="shared" si="36"/>
        <v/>
      </c>
      <c r="L127" s="202" t="str">
        <f>IF(A127="","",ROUND(SUMIFS(aditivos!$L$2:$L$200,aditivos!$A$2:$A$200,A127,aditivos!$C$2:$C$200,"C2"),2))</f>
        <v/>
      </c>
      <c r="M127" s="198" t="str">
        <f t="shared" si="37"/>
        <v/>
      </c>
      <c r="N127" s="198" t="str">
        <f>IF(A127="","",IF(itens_Remanesc!G127="","",itens_Remanesc!G127))</f>
        <v/>
      </c>
      <c r="O127" s="206" t="str">
        <f t="shared" si="38"/>
        <v/>
      </c>
      <c r="P127" s="208" t="str">
        <f>IF(A127="","",ROUND(SUMIFS(aditivos!$L$2:$L$200,aditivos!$A$2:$A$200,A127,aditivos!$C$2:$C$200,"C3"),2))</f>
        <v/>
      </c>
      <c r="Q127" s="204" t="str">
        <f t="shared" si="39"/>
        <v/>
      </c>
      <c r="R127" s="204" t="str">
        <f>IF(A127="","",IF(itens_Remanesc!I127="","",itens_Remanesc!I127))</f>
        <v/>
      </c>
      <c r="S127" s="210" t="str">
        <f t="shared" si="40"/>
        <v/>
      </c>
      <c r="T127" s="202" t="str">
        <f>IF(A127="","",ROUND(SUMIFS(aditivos!$L$2:$L$200,aditivos!$A$2:$A$200,A127,aditivos!$C$2:$C$200,"C4"),2))</f>
        <v/>
      </c>
      <c r="U127" s="198" t="str">
        <f t="shared" si="41"/>
        <v/>
      </c>
      <c r="V127" s="198" t="str">
        <f>IF(A127="","",IF(itens_Remanesc!K127="","",itens_Remanesc!K127))</f>
        <v/>
      </c>
      <c r="W127" s="198" t="str">
        <f t="shared" si="42"/>
        <v/>
      </c>
      <c r="X127" s="181" t="str">
        <f t="shared" si="43"/>
        <v/>
      </c>
    </row>
    <row r="128" spans="1:24" x14ac:dyDescent="0.35">
      <c r="A128" s="181" t="str">
        <f>IF(itens_Remanesc!A128="","",itens_Remanesc!A128)</f>
        <v/>
      </c>
      <c r="B128" s="181" t="str">
        <f>IF(A128="","",itens_Remanesc!C128)</f>
        <v/>
      </c>
      <c r="C128" s="200" t="str">
        <f>IF(A128="","",itens_Remanesc!B128)</f>
        <v/>
      </c>
      <c r="D128" s="202" t="str">
        <f>IF(A128="","",ROUND(SUMIFS(aditivos!$L$2:$L$200,aditivos!$A$2:$A$200,A128,aditivos!$C$2:$C$200,"C0"),2))</f>
        <v/>
      </c>
      <c r="E128" s="198" t="str">
        <f t="shared" si="33"/>
        <v/>
      </c>
      <c r="F128" s="198" t="str">
        <f>IF(A128="","",IF(itens_Remanesc!B128="","",itens_Remanesc!B128))</f>
        <v/>
      </c>
      <c r="G128" s="206" t="str">
        <f t="shared" si="34"/>
        <v/>
      </c>
      <c r="H128" s="208" t="str">
        <f>IF(A128="","",ROUND(SUMIFS(aditivos!$L$2:$L$200,aditivos!$A$2:$A$200,A128,aditivos!$C$2:$C$200,"C1"),2))</f>
        <v/>
      </c>
      <c r="I128" s="204" t="str">
        <f t="shared" si="35"/>
        <v/>
      </c>
      <c r="J128" s="204" t="str">
        <f>IF(A128="","",IF(itens_Remanesc!E128="","",itens_Remanesc!E128))</f>
        <v/>
      </c>
      <c r="K128" s="210" t="str">
        <f t="shared" si="36"/>
        <v/>
      </c>
      <c r="L128" s="202" t="str">
        <f>IF(A128="","",ROUND(SUMIFS(aditivos!$L$2:$L$200,aditivos!$A$2:$A$200,A128,aditivos!$C$2:$C$200,"C2"),2))</f>
        <v/>
      </c>
      <c r="M128" s="198" t="str">
        <f t="shared" si="37"/>
        <v/>
      </c>
      <c r="N128" s="198" t="str">
        <f>IF(A128="","",IF(itens_Remanesc!G128="","",itens_Remanesc!G128))</f>
        <v/>
      </c>
      <c r="O128" s="206" t="str">
        <f t="shared" si="38"/>
        <v/>
      </c>
      <c r="P128" s="208" t="str">
        <f>IF(A128="","",ROUND(SUMIFS(aditivos!$L$2:$L$200,aditivos!$A$2:$A$200,A128,aditivos!$C$2:$C$200,"C3"),2))</f>
        <v/>
      </c>
      <c r="Q128" s="204" t="str">
        <f t="shared" si="39"/>
        <v/>
      </c>
      <c r="R128" s="204" t="str">
        <f>IF(A128="","",IF(itens_Remanesc!I128="","",itens_Remanesc!I128))</f>
        <v/>
      </c>
      <c r="S128" s="210" t="str">
        <f t="shared" si="40"/>
        <v/>
      </c>
      <c r="T128" s="202" t="str">
        <f>IF(A128="","",ROUND(SUMIFS(aditivos!$L$2:$L$200,aditivos!$A$2:$A$200,A128,aditivos!$C$2:$C$200,"C4"),2))</f>
        <v/>
      </c>
      <c r="U128" s="198" t="str">
        <f t="shared" si="41"/>
        <v/>
      </c>
      <c r="V128" s="198" t="str">
        <f>IF(A128="","",IF(itens_Remanesc!K128="","",itens_Remanesc!K128))</f>
        <v/>
      </c>
      <c r="W128" s="198" t="str">
        <f t="shared" si="42"/>
        <v/>
      </c>
      <c r="X128" s="181" t="str">
        <f t="shared" si="43"/>
        <v/>
      </c>
    </row>
    <row r="129" spans="1:24" x14ac:dyDescent="0.35">
      <c r="A129" s="181" t="str">
        <f>IF(itens_Remanesc!A129="","",itens_Remanesc!A129)</f>
        <v/>
      </c>
      <c r="B129" s="181" t="str">
        <f>IF(A129="","",itens_Remanesc!C129)</f>
        <v/>
      </c>
      <c r="C129" s="200" t="str">
        <f>IF(A129="","",itens_Remanesc!B129)</f>
        <v/>
      </c>
      <c r="D129" s="202" t="str">
        <f>IF(A129="","",ROUND(SUMIFS(aditivos!$L$2:$L$200,aditivos!$A$2:$A$200,A129,aditivos!$C$2:$C$200,"C0"),2))</f>
        <v/>
      </c>
      <c r="E129" s="198" t="str">
        <f t="shared" si="33"/>
        <v/>
      </c>
      <c r="F129" s="198" t="str">
        <f>IF(A129="","",IF(itens_Remanesc!B129="","",itens_Remanesc!B129))</f>
        <v/>
      </c>
      <c r="G129" s="206" t="str">
        <f t="shared" si="34"/>
        <v/>
      </c>
      <c r="H129" s="208" t="str">
        <f>IF(A129="","",ROUND(SUMIFS(aditivos!$L$2:$L$200,aditivos!$A$2:$A$200,A129,aditivos!$C$2:$C$200,"C1"),2))</f>
        <v/>
      </c>
      <c r="I129" s="204" t="str">
        <f t="shared" si="35"/>
        <v/>
      </c>
      <c r="J129" s="204" t="str">
        <f>IF(A129="","",IF(itens_Remanesc!E129="","",itens_Remanesc!E129))</f>
        <v/>
      </c>
      <c r="K129" s="210" t="str">
        <f t="shared" si="36"/>
        <v/>
      </c>
      <c r="L129" s="202" t="str">
        <f>IF(A129="","",ROUND(SUMIFS(aditivos!$L$2:$L$200,aditivos!$A$2:$A$200,A129,aditivos!$C$2:$C$200,"C2"),2))</f>
        <v/>
      </c>
      <c r="M129" s="198" t="str">
        <f t="shared" si="37"/>
        <v/>
      </c>
      <c r="N129" s="198" t="str">
        <f>IF(A129="","",IF(itens_Remanesc!G129="","",itens_Remanesc!G129))</f>
        <v/>
      </c>
      <c r="O129" s="206" t="str">
        <f t="shared" si="38"/>
        <v/>
      </c>
      <c r="P129" s="208" t="str">
        <f>IF(A129="","",ROUND(SUMIFS(aditivos!$L$2:$L$200,aditivos!$A$2:$A$200,A129,aditivos!$C$2:$C$200,"C3"),2))</f>
        <v/>
      </c>
      <c r="Q129" s="204" t="str">
        <f t="shared" si="39"/>
        <v/>
      </c>
      <c r="R129" s="204" t="str">
        <f>IF(A129="","",IF(itens_Remanesc!I129="","",itens_Remanesc!I129))</f>
        <v/>
      </c>
      <c r="S129" s="210" t="str">
        <f t="shared" si="40"/>
        <v/>
      </c>
      <c r="T129" s="202" t="str">
        <f>IF(A129="","",ROUND(SUMIFS(aditivos!$L$2:$L$200,aditivos!$A$2:$A$200,A129,aditivos!$C$2:$C$200,"C4"),2))</f>
        <v/>
      </c>
      <c r="U129" s="198" t="str">
        <f t="shared" si="41"/>
        <v/>
      </c>
      <c r="V129" s="198" t="str">
        <f>IF(A129="","",IF(itens_Remanesc!K129="","",itens_Remanesc!K129))</f>
        <v/>
      </c>
      <c r="W129" s="198" t="str">
        <f t="shared" si="42"/>
        <v/>
      </c>
      <c r="X129" s="181" t="str">
        <f t="shared" si="43"/>
        <v/>
      </c>
    </row>
    <row r="130" spans="1:24" x14ac:dyDescent="0.35">
      <c r="A130" s="181" t="str">
        <f>IF(itens_Remanesc!A130="","",itens_Remanesc!A130)</f>
        <v/>
      </c>
      <c r="B130" s="181" t="str">
        <f>IF(A130="","",itens_Remanesc!C130)</f>
        <v/>
      </c>
      <c r="C130" s="200" t="str">
        <f>IF(A130="","",itens_Remanesc!B130)</f>
        <v/>
      </c>
      <c r="D130" s="202" t="str">
        <f>IF(A130="","",ROUND(SUMIFS(aditivos!$L$2:$L$200,aditivos!$A$2:$A$200,A130,aditivos!$C$2:$C$200,"C0"),2))</f>
        <v/>
      </c>
      <c r="E130" s="198" t="str">
        <f t="shared" ref="E130:E161" si="44">IF(A130="","",ROUND(C130+D130,2))</f>
        <v/>
      </c>
      <c r="F130" s="198" t="str">
        <f>IF(A130="","",IF(itens_Remanesc!B130="","",itens_Remanesc!B130))</f>
        <v/>
      </c>
      <c r="G130" s="206" t="str">
        <f t="shared" ref="G130:G161" si="45">IF(A130="","",E130)</f>
        <v/>
      </c>
      <c r="H130" s="208" t="str">
        <f>IF(A130="","",ROUND(SUMIFS(aditivos!$L$2:$L$200,aditivos!$A$2:$A$200,A130,aditivos!$C$2:$C$200,"C1"),2))</f>
        <v/>
      </c>
      <c r="I130" s="204" t="str">
        <f t="shared" ref="I130:I161" si="46">IF(A130="","",ROUND(E130+H130,2))</f>
        <v/>
      </c>
      <c r="J130" s="204" t="str">
        <f>IF(A130="","",IF(itens_Remanesc!E130="","",itens_Remanesc!E130))</f>
        <v/>
      </c>
      <c r="K130" s="210" t="str">
        <f t="shared" ref="K130:K161" si="47">IF(OR(A130="",J130=""),"",ROUND(J130,2))</f>
        <v/>
      </c>
      <c r="L130" s="202" t="str">
        <f>IF(A130="","",ROUND(SUMIFS(aditivos!$L$2:$L$200,aditivos!$A$2:$A$200,A130,aditivos!$C$2:$C$200,"C2"),2))</f>
        <v/>
      </c>
      <c r="M130" s="198" t="str">
        <f t="shared" ref="M130:M161" si="48">IF(A130="","",ROUND(I130+L130,2))</f>
        <v/>
      </c>
      <c r="N130" s="198" t="str">
        <f>IF(A130="","",IF(itens_Remanesc!G130="","",itens_Remanesc!G130))</f>
        <v/>
      </c>
      <c r="O130" s="206" t="str">
        <f t="shared" ref="O130:O161" si="49">IF(OR(A130="",N130=""),"",ROUND(N130,2))</f>
        <v/>
      </c>
      <c r="P130" s="208" t="str">
        <f>IF(A130="","",ROUND(SUMIFS(aditivos!$L$2:$L$200,aditivos!$A$2:$A$200,A130,aditivos!$C$2:$C$200,"C3"),2))</f>
        <v/>
      </c>
      <c r="Q130" s="204" t="str">
        <f t="shared" ref="Q130:Q161" si="50">IF(A130="","",ROUND(M130+P130,2))</f>
        <v/>
      </c>
      <c r="R130" s="204" t="str">
        <f>IF(A130="","",IF(itens_Remanesc!I130="","",itens_Remanesc!I130))</f>
        <v/>
      </c>
      <c r="S130" s="210" t="str">
        <f t="shared" ref="S130:S161" si="51">IF(OR(A130="",R130=""),"",ROUND(R130,2))</f>
        <v/>
      </c>
      <c r="T130" s="202" t="str">
        <f>IF(A130="","",ROUND(SUMIFS(aditivos!$L$2:$L$200,aditivos!$A$2:$A$200,A130,aditivos!$C$2:$C$200,"C4"),2))</f>
        <v/>
      </c>
      <c r="U130" s="198" t="str">
        <f t="shared" ref="U130:U161" si="52">IF(A130="","",ROUND(Q130+T130,2))</f>
        <v/>
      </c>
      <c r="V130" s="198" t="str">
        <f>IF(A130="","",IF(itens_Remanesc!K130="","",itens_Remanesc!K130))</f>
        <v/>
      </c>
      <c r="W130" s="198" t="str">
        <f t="shared" ref="W130:W161" si="53">IF(OR(A130="",V130=""),"",ROUND(V130,2))</f>
        <v/>
      </c>
      <c r="X130" s="181" t="str">
        <f t="shared" ref="X130:X161" si="54">IF(A130="","",IF(COUNTIF($A$2:$A$200,A130)&gt;1,"ALERTA: ITEM_DUPLICADO",IF(MIN(E130,I130,M130,Q130,U130,G130,K130,O130,S130,W130)&lt;0,"ALERTA: POSICAO_NEGATIVA",IF(OR(AND(G130&lt;&gt;"",G130&gt;E130),AND(K130&lt;&gt;"",K130&gt;I130),AND(O130&lt;&gt;"",O130&gt;M130),AND(S130&lt;&gt;"",S130&gt;Q130),AND(W130&lt;&gt;"",W130&gt;U130)),"ALERTA: REMANESCENTE_SUPERA_POSICAO","OK"))))</f>
        <v/>
      </c>
    </row>
    <row r="131" spans="1:24" x14ac:dyDescent="0.35">
      <c r="A131" s="181" t="str">
        <f>IF(itens_Remanesc!A131="","",itens_Remanesc!A131)</f>
        <v/>
      </c>
      <c r="B131" s="181" t="str">
        <f>IF(A131="","",itens_Remanesc!C131)</f>
        <v/>
      </c>
      <c r="C131" s="200" t="str">
        <f>IF(A131="","",itens_Remanesc!B131)</f>
        <v/>
      </c>
      <c r="D131" s="202" t="str">
        <f>IF(A131="","",ROUND(SUMIFS(aditivos!$L$2:$L$200,aditivos!$A$2:$A$200,A131,aditivos!$C$2:$C$200,"C0"),2))</f>
        <v/>
      </c>
      <c r="E131" s="198" t="str">
        <f t="shared" si="44"/>
        <v/>
      </c>
      <c r="F131" s="198" t="str">
        <f>IF(A131="","",IF(itens_Remanesc!B131="","",itens_Remanesc!B131))</f>
        <v/>
      </c>
      <c r="G131" s="206" t="str">
        <f t="shared" si="45"/>
        <v/>
      </c>
      <c r="H131" s="208" t="str">
        <f>IF(A131="","",ROUND(SUMIFS(aditivos!$L$2:$L$200,aditivos!$A$2:$A$200,A131,aditivos!$C$2:$C$200,"C1"),2))</f>
        <v/>
      </c>
      <c r="I131" s="204" t="str">
        <f t="shared" si="46"/>
        <v/>
      </c>
      <c r="J131" s="204" t="str">
        <f>IF(A131="","",IF(itens_Remanesc!E131="","",itens_Remanesc!E131))</f>
        <v/>
      </c>
      <c r="K131" s="210" t="str">
        <f t="shared" si="47"/>
        <v/>
      </c>
      <c r="L131" s="202" t="str">
        <f>IF(A131="","",ROUND(SUMIFS(aditivos!$L$2:$L$200,aditivos!$A$2:$A$200,A131,aditivos!$C$2:$C$200,"C2"),2))</f>
        <v/>
      </c>
      <c r="M131" s="198" t="str">
        <f t="shared" si="48"/>
        <v/>
      </c>
      <c r="N131" s="198" t="str">
        <f>IF(A131="","",IF(itens_Remanesc!G131="","",itens_Remanesc!G131))</f>
        <v/>
      </c>
      <c r="O131" s="206" t="str">
        <f t="shared" si="49"/>
        <v/>
      </c>
      <c r="P131" s="208" t="str">
        <f>IF(A131="","",ROUND(SUMIFS(aditivos!$L$2:$L$200,aditivos!$A$2:$A$200,A131,aditivos!$C$2:$C$200,"C3"),2))</f>
        <v/>
      </c>
      <c r="Q131" s="204" t="str">
        <f t="shared" si="50"/>
        <v/>
      </c>
      <c r="R131" s="204" t="str">
        <f>IF(A131="","",IF(itens_Remanesc!I131="","",itens_Remanesc!I131))</f>
        <v/>
      </c>
      <c r="S131" s="210" t="str">
        <f t="shared" si="51"/>
        <v/>
      </c>
      <c r="T131" s="202" t="str">
        <f>IF(A131="","",ROUND(SUMIFS(aditivos!$L$2:$L$200,aditivos!$A$2:$A$200,A131,aditivos!$C$2:$C$200,"C4"),2))</f>
        <v/>
      </c>
      <c r="U131" s="198" t="str">
        <f t="shared" si="52"/>
        <v/>
      </c>
      <c r="V131" s="198" t="str">
        <f>IF(A131="","",IF(itens_Remanesc!K131="","",itens_Remanesc!K131))</f>
        <v/>
      </c>
      <c r="W131" s="198" t="str">
        <f t="shared" si="53"/>
        <v/>
      </c>
      <c r="X131" s="181" t="str">
        <f t="shared" si="54"/>
        <v/>
      </c>
    </row>
    <row r="132" spans="1:24" x14ac:dyDescent="0.35">
      <c r="A132" s="181" t="str">
        <f>IF(itens_Remanesc!A132="","",itens_Remanesc!A132)</f>
        <v/>
      </c>
      <c r="B132" s="181" t="str">
        <f>IF(A132="","",itens_Remanesc!C132)</f>
        <v/>
      </c>
      <c r="C132" s="200" t="str">
        <f>IF(A132="","",itens_Remanesc!B132)</f>
        <v/>
      </c>
      <c r="D132" s="202" t="str">
        <f>IF(A132="","",ROUND(SUMIFS(aditivos!$L$2:$L$200,aditivos!$A$2:$A$200,A132,aditivos!$C$2:$C$200,"C0"),2))</f>
        <v/>
      </c>
      <c r="E132" s="198" t="str">
        <f t="shared" si="44"/>
        <v/>
      </c>
      <c r="F132" s="198" t="str">
        <f>IF(A132="","",IF(itens_Remanesc!B132="","",itens_Remanesc!B132))</f>
        <v/>
      </c>
      <c r="G132" s="206" t="str">
        <f t="shared" si="45"/>
        <v/>
      </c>
      <c r="H132" s="208" t="str">
        <f>IF(A132="","",ROUND(SUMIFS(aditivos!$L$2:$L$200,aditivos!$A$2:$A$200,A132,aditivos!$C$2:$C$200,"C1"),2))</f>
        <v/>
      </c>
      <c r="I132" s="204" t="str">
        <f t="shared" si="46"/>
        <v/>
      </c>
      <c r="J132" s="204" t="str">
        <f>IF(A132="","",IF(itens_Remanesc!E132="","",itens_Remanesc!E132))</f>
        <v/>
      </c>
      <c r="K132" s="210" t="str">
        <f t="shared" si="47"/>
        <v/>
      </c>
      <c r="L132" s="202" t="str">
        <f>IF(A132="","",ROUND(SUMIFS(aditivos!$L$2:$L$200,aditivos!$A$2:$A$200,A132,aditivos!$C$2:$C$200,"C2"),2))</f>
        <v/>
      </c>
      <c r="M132" s="198" t="str">
        <f t="shared" si="48"/>
        <v/>
      </c>
      <c r="N132" s="198" t="str">
        <f>IF(A132="","",IF(itens_Remanesc!G132="","",itens_Remanesc!G132))</f>
        <v/>
      </c>
      <c r="O132" s="206" t="str">
        <f t="shared" si="49"/>
        <v/>
      </c>
      <c r="P132" s="208" t="str">
        <f>IF(A132="","",ROUND(SUMIFS(aditivos!$L$2:$L$200,aditivos!$A$2:$A$200,A132,aditivos!$C$2:$C$200,"C3"),2))</f>
        <v/>
      </c>
      <c r="Q132" s="204" t="str">
        <f t="shared" si="50"/>
        <v/>
      </c>
      <c r="R132" s="204" t="str">
        <f>IF(A132="","",IF(itens_Remanesc!I132="","",itens_Remanesc!I132))</f>
        <v/>
      </c>
      <c r="S132" s="210" t="str">
        <f t="shared" si="51"/>
        <v/>
      </c>
      <c r="T132" s="202" t="str">
        <f>IF(A132="","",ROUND(SUMIFS(aditivos!$L$2:$L$200,aditivos!$A$2:$A$200,A132,aditivos!$C$2:$C$200,"C4"),2))</f>
        <v/>
      </c>
      <c r="U132" s="198" t="str">
        <f t="shared" si="52"/>
        <v/>
      </c>
      <c r="V132" s="198" t="str">
        <f>IF(A132="","",IF(itens_Remanesc!K132="","",itens_Remanesc!K132))</f>
        <v/>
      </c>
      <c r="W132" s="198" t="str">
        <f t="shared" si="53"/>
        <v/>
      </c>
      <c r="X132" s="181" t="str">
        <f t="shared" si="54"/>
        <v/>
      </c>
    </row>
    <row r="133" spans="1:24" x14ac:dyDescent="0.35">
      <c r="A133" s="181" t="str">
        <f>IF(itens_Remanesc!A133="","",itens_Remanesc!A133)</f>
        <v/>
      </c>
      <c r="B133" s="181" t="str">
        <f>IF(A133="","",itens_Remanesc!C133)</f>
        <v/>
      </c>
      <c r="C133" s="200" t="str">
        <f>IF(A133="","",itens_Remanesc!B133)</f>
        <v/>
      </c>
      <c r="D133" s="202" t="str">
        <f>IF(A133="","",ROUND(SUMIFS(aditivos!$L$2:$L$200,aditivos!$A$2:$A$200,A133,aditivos!$C$2:$C$200,"C0"),2))</f>
        <v/>
      </c>
      <c r="E133" s="198" t="str">
        <f t="shared" si="44"/>
        <v/>
      </c>
      <c r="F133" s="198" t="str">
        <f>IF(A133="","",IF(itens_Remanesc!B133="","",itens_Remanesc!B133))</f>
        <v/>
      </c>
      <c r="G133" s="206" t="str">
        <f t="shared" si="45"/>
        <v/>
      </c>
      <c r="H133" s="208" t="str">
        <f>IF(A133="","",ROUND(SUMIFS(aditivos!$L$2:$L$200,aditivos!$A$2:$A$200,A133,aditivos!$C$2:$C$200,"C1"),2))</f>
        <v/>
      </c>
      <c r="I133" s="204" t="str">
        <f t="shared" si="46"/>
        <v/>
      </c>
      <c r="J133" s="204" t="str">
        <f>IF(A133="","",IF(itens_Remanesc!E133="","",itens_Remanesc!E133))</f>
        <v/>
      </c>
      <c r="K133" s="210" t="str">
        <f t="shared" si="47"/>
        <v/>
      </c>
      <c r="L133" s="202" t="str">
        <f>IF(A133="","",ROUND(SUMIFS(aditivos!$L$2:$L$200,aditivos!$A$2:$A$200,A133,aditivos!$C$2:$C$200,"C2"),2))</f>
        <v/>
      </c>
      <c r="M133" s="198" t="str">
        <f t="shared" si="48"/>
        <v/>
      </c>
      <c r="N133" s="198" t="str">
        <f>IF(A133="","",IF(itens_Remanesc!G133="","",itens_Remanesc!G133))</f>
        <v/>
      </c>
      <c r="O133" s="206" t="str">
        <f t="shared" si="49"/>
        <v/>
      </c>
      <c r="P133" s="208" t="str">
        <f>IF(A133="","",ROUND(SUMIFS(aditivos!$L$2:$L$200,aditivos!$A$2:$A$200,A133,aditivos!$C$2:$C$200,"C3"),2))</f>
        <v/>
      </c>
      <c r="Q133" s="204" t="str">
        <f t="shared" si="50"/>
        <v/>
      </c>
      <c r="R133" s="204" t="str">
        <f>IF(A133="","",IF(itens_Remanesc!I133="","",itens_Remanesc!I133))</f>
        <v/>
      </c>
      <c r="S133" s="210" t="str">
        <f t="shared" si="51"/>
        <v/>
      </c>
      <c r="T133" s="202" t="str">
        <f>IF(A133="","",ROUND(SUMIFS(aditivos!$L$2:$L$200,aditivos!$A$2:$A$200,A133,aditivos!$C$2:$C$200,"C4"),2))</f>
        <v/>
      </c>
      <c r="U133" s="198" t="str">
        <f t="shared" si="52"/>
        <v/>
      </c>
      <c r="V133" s="198" t="str">
        <f>IF(A133="","",IF(itens_Remanesc!K133="","",itens_Remanesc!K133))</f>
        <v/>
      </c>
      <c r="W133" s="198" t="str">
        <f t="shared" si="53"/>
        <v/>
      </c>
      <c r="X133" s="181" t="str">
        <f t="shared" si="54"/>
        <v/>
      </c>
    </row>
    <row r="134" spans="1:24" x14ac:dyDescent="0.35">
      <c r="A134" s="181" t="str">
        <f>IF(itens_Remanesc!A134="","",itens_Remanesc!A134)</f>
        <v/>
      </c>
      <c r="B134" s="181" t="str">
        <f>IF(A134="","",itens_Remanesc!C134)</f>
        <v/>
      </c>
      <c r="C134" s="200" t="str">
        <f>IF(A134="","",itens_Remanesc!B134)</f>
        <v/>
      </c>
      <c r="D134" s="202" t="str">
        <f>IF(A134="","",ROUND(SUMIFS(aditivos!$L$2:$L$200,aditivos!$A$2:$A$200,A134,aditivos!$C$2:$C$200,"C0"),2))</f>
        <v/>
      </c>
      <c r="E134" s="198" t="str">
        <f t="shared" si="44"/>
        <v/>
      </c>
      <c r="F134" s="198" t="str">
        <f>IF(A134="","",IF(itens_Remanesc!B134="","",itens_Remanesc!B134))</f>
        <v/>
      </c>
      <c r="G134" s="206" t="str">
        <f t="shared" si="45"/>
        <v/>
      </c>
      <c r="H134" s="208" t="str">
        <f>IF(A134="","",ROUND(SUMIFS(aditivos!$L$2:$L$200,aditivos!$A$2:$A$200,A134,aditivos!$C$2:$C$200,"C1"),2))</f>
        <v/>
      </c>
      <c r="I134" s="204" t="str">
        <f t="shared" si="46"/>
        <v/>
      </c>
      <c r="J134" s="204" t="str">
        <f>IF(A134="","",IF(itens_Remanesc!E134="","",itens_Remanesc!E134))</f>
        <v/>
      </c>
      <c r="K134" s="210" t="str">
        <f t="shared" si="47"/>
        <v/>
      </c>
      <c r="L134" s="202" t="str">
        <f>IF(A134="","",ROUND(SUMIFS(aditivos!$L$2:$L$200,aditivos!$A$2:$A$200,A134,aditivos!$C$2:$C$200,"C2"),2))</f>
        <v/>
      </c>
      <c r="M134" s="198" t="str">
        <f t="shared" si="48"/>
        <v/>
      </c>
      <c r="N134" s="198" t="str">
        <f>IF(A134="","",IF(itens_Remanesc!G134="","",itens_Remanesc!G134))</f>
        <v/>
      </c>
      <c r="O134" s="206" t="str">
        <f t="shared" si="49"/>
        <v/>
      </c>
      <c r="P134" s="208" t="str">
        <f>IF(A134="","",ROUND(SUMIFS(aditivos!$L$2:$L$200,aditivos!$A$2:$A$200,A134,aditivos!$C$2:$C$200,"C3"),2))</f>
        <v/>
      </c>
      <c r="Q134" s="204" t="str">
        <f t="shared" si="50"/>
        <v/>
      </c>
      <c r="R134" s="204" t="str">
        <f>IF(A134="","",IF(itens_Remanesc!I134="","",itens_Remanesc!I134))</f>
        <v/>
      </c>
      <c r="S134" s="210" t="str">
        <f t="shared" si="51"/>
        <v/>
      </c>
      <c r="T134" s="202" t="str">
        <f>IF(A134="","",ROUND(SUMIFS(aditivos!$L$2:$L$200,aditivos!$A$2:$A$200,A134,aditivos!$C$2:$C$200,"C4"),2))</f>
        <v/>
      </c>
      <c r="U134" s="198" t="str">
        <f t="shared" si="52"/>
        <v/>
      </c>
      <c r="V134" s="198" t="str">
        <f>IF(A134="","",IF(itens_Remanesc!K134="","",itens_Remanesc!K134))</f>
        <v/>
      </c>
      <c r="W134" s="198" t="str">
        <f t="shared" si="53"/>
        <v/>
      </c>
      <c r="X134" s="181" t="str">
        <f t="shared" si="54"/>
        <v/>
      </c>
    </row>
    <row r="135" spans="1:24" x14ac:dyDescent="0.35">
      <c r="A135" s="181" t="str">
        <f>IF(itens_Remanesc!A135="","",itens_Remanesc!A135)</f>
        <v/>
      </c>
      <c r="B135" s="181" t="str">
        <f>IF(A135="","",itens_Remanesc!C135)</f>
        <v/>
      </c>
      <c r="C135" s="200" t="str">
        <f>IF(A135="","",itens_Remanesc!B135)</f>
        <v/>
      </c>
      <c r="D135" s="202" t="str">
        <f>IF(A135="","",ROUND(SUMIFS(aditivos!$L$2:$L$200,aditivos!$A$2:$A$200,A135,aditivos!$C$2:$C$200,"C0"),2))</f>
        <v/>
      </c>
      <c r="E135" s="198" t="str">
        <f t="shared" si="44"/>
        <v/>
      </c>
      <c r="F135" s="198" t="str">
        <f>IF(A135="","",IF(itens_Remanesc!B135="","",itens_Remanesc!B135))</f>
        <v/>
      </c>
      <c r="G135" s="206" t="str">
        <f t="shared" si="45"/>
        <v/>
      </c>
      <c r="H135" s="208" t="str">
        <f>IF(A135="","",ROUND(SUMIFS(aditivos!$L$2:$L$200,aditivos!$A$2:$A$200,A135,aditivos!$C$2:$C$200,"C1"),2))</f>
        <v/>
      </c>
      <c r="I135" s="204" t="str">
        <f t="shared" si="46"/>
        <v/>
      </c>
      <c r="J135" s="204" t="str">
        <f>IF(A135="","",IF(itens_Remanesc!E135="","",itens_Remanesc!E135))</f>
        <v/>
      </c>
      <c r="K135" s="210" t="str">
        <f t="shared" si="47"/>
        <v/>
      </c>
      <c r="L135" s="202" t="str">
        <f>IF(A135="","",ROUND(SUMIFS(aditivos!$L$2:$L$200,aditivos!$A$2:$A$200,A135,aditivos!$C$2:$C$200,"C2"),2))</f>
        <v/>
      </c>
      <c r="M135" s="198" t="str">
        <f t="shared" si="48"/>
        <v/>
      </c>
      <c r="N135" s="198" t="str">
        <f>IF(A135="","",IF(itens_Remanesc!G135="","",itens_Remanesc!G135))</f>
        <v/>
      </c>
      <c r="O135" s="206" t="str">
        <f t="shared" si="49"/>
        <v/>
      </c>
      <c r="P135" s="208" t="str">
        <f>IF(A135="","",ROUND(SUMIFS(aditivos!$L$2:$L$200,aditivos!$A$2:$A$200,A135,aditivos!$C$2:$C$200,"C3"),2))</f>
        <v/>
      </c>
      <c r="Q135" s="204" t="str">
        <f t="shared" si="50"/>
        <v/>
      </c>
      <c r="R135" s="204" t="str">
        <f>IF(A135="","",IF(itens_Remanesc!I135="","",itens_Remanesc!I135))</f>
        <v/>
      </c>
      <c r="S135" s="210" t="str">
        <f t="shared" si="51"/>
        <v/>
      </c>
      <c r="T135" s="202" t="str">
        <f>IF(A135="","",ROUND(SUMIFS(aditivos!$L$2:$L$200,aditivos!$A$2:$A$200,A135,aditivos!$C$2:$C$200,"C4"),2))</f>
        <v/>
      </c>
      <c r="U135" s="198" t="str">
        <f t="shared" si="52"/>
        <v/>
      </c>
      <c r="V135" s="198" t="str">
        <f>IF(A135="","",IF(itens_Remanesc!K135="","",itens_Remanesc!K135))</f>
        <v/>
      </c>
      <c r="W135" s="198" t="str">
        <f t="shared" si="53"/>
        <v/>
      </c>
      <c r="X135" s="181" t="str">
        <f t="shared" si="54"/>
        <v/>
      </c>
    </row>
    <row r="136" spans="1:24" x14ac:dyDescent="0.35">
      <c r="A136" s="181" t="str">
        <f>IF(itens_Remanesc!A136="","",itens_Remanesc!A136)</f>
        <v/>
      </c>
      <c r="B136" s="181" t="str">
        <f>IF(A136="","",itens_Remanesc!C136)</f>
        <v/>
      </c>
      <c r="C136" s="200" t="str">
        <f>IF(A136="","",itens_Remanesc!B136)</f>
        <v/>
      </c>
      <c r="D136" s="202" t="str">
        <f>IF(A136="","",ROUND(SUMIFS(aditivos!$L$2:$L$200,aditivos!$A$2:$A$200,A136,aditivos!$C$2:$C$200,"C0"),2))</f>
        <v/>
      </c>
      <c r="E136" s="198" t="str">
        <f t="shared" si="44"/>
        <v/>
      </c>
      <c r="F136" s="198" t="str">
        <f>IF(A136="","",IF(itens_Remanesc!B136="","",itens_Remanesc!B136))</f>
        <v/>
      </c>
      <c r="G136" s="206" t="str">
        <f t="shared" si="45"/>
        <v/>
      </c>
      <c r="H136" s="208" t="str">
        <f>IF(A136="","",ROUND(SUMIFS(aditivos!$L$2:$L$200,aditivos!$A$2:$A$200,A136,aditivos!$C$2:$C$200,"C1"),2))</f>
        <v/>
      </c>
      <c r="I136" s="204" t="str">
        <f t="shared" si="46"/>
        <v/>
      </c>
      <c r="J136" s="204" t="str">
        <f>IF(A136="","",IF(itens_Remanesc!E136="","",itens_Remanesc!E136))</f>
        <v/>
      </c>
      <c r="K136" s="210" t="str">
        <f t="shared" si="47"/>
        <v/>
      </c>
      <c r="L136" s="202" t="str">
        <f>IF(A136="","",ROUND(SUMIFS(aditivos!$L$2:$L$200,aditivos!$A$2:$A$200,A136,aditivos!$C$2:$C$200,"C2"),2))</f>
        <v/>
      </c>
      <c r="M136" s="198" t="str">
        <f t="shared" si="48"/>
        <v/>
      </c>
      <c r="N136" s="198" t="str">
        <f>IF(A136="","",IF(itens_Remanesc!G136="","",itens_Remanesc!G136))</f>
        <v/>
      </c>
      <c r="O136" s="206" t="str">
        <f t="shared" si="49"/>
        <v/>
      </c>
      <c r="P136" s="208" t="str">
        <f>IF(A136="","",ROUND(SUMIFS(aditivos!$L$2:$L$200,aditivos!$A$2:$A$200,A136,aditivos!$C$2:$C$200,"C3"),2))</f>
        <v/>
      </c>
      <c r="Q136" s="204" t="str">
        <f t="shared" si="50"/>
        <v/>
      </c>
      <c r="R136" s="204" t="str">
        <f>IF(A136="","",IF(itens_Remanesc!I136="","",itens_Remanesc!I136))</f>
        <v/>
      </c>
      <c r="S136" s="210" t="str">
        <f t="shared" si="51"/>
        <v/>
      </c>
      <c r="T136" s="202" t="str">
        <f>IF(A136="","",ROUND(SUMIFS(aditivos!$L$2:$L$200,aditivos!$A$2:$A$200,A136,aditivos!$C$2:$C$200,"C4"),2))</f>
        <v/>
      </c>
      <c r="U136" s="198" t="str">
        <f t="shared" si="52"/>
        <v/>
      </c>
      <c r="V136" s="198" t="str">
        <f>IF(A136="","",IF(itens_Remanesc!K136="","",itens_Remanesc!K136))</f>
        <v/>
      </c>
      <c r="W136" s="198" t="str">
        <f t="shared" si="53"/>
        <v/>
      </c>
      <c r="X136" s="181" t="str">
        <f t="shared" si="54"/>
        <v/>
      </c>
    </row>
    <row r="137" spans="1:24" x14ac:dyDescent="0.35">
      <c r="A137" s="181" t="str">
        <f>IF(itens_Remanesc!A137="","",itens_Remanesc!A137)</f>
        <v/>
      </c>
      <c r="B137" s="181" t="str">
        <f>IF(A137="","",itens_Remanesc!C137)</f>
        <v/>
      </c>
      <c r="C137" s="200" t="str">
        <f>IF(A137="","",itens_Remanesc!B137)</f>
        <v/>
      </c>
      <c r="D137" s="202" t="str">
        <f>IF(A137="","",ROUND(SUMIFS(aditivos!$L$2:$L$200,aditivos!$A$2:$A$200,A137,aditivos!$C$2:$C$200,"C0"),2))</f>
        <v/>
      </c>
      <c r="E137" s="198" t="str">
        <f t="shared" si="44"/>
        <v/>
      </c>
      <c r="F137" s="198" t="str">
        <f>IF(A137="","",IF(itens_Remanesc!B137="","",itens_Remanesc!B137))</f>
        <v/>
      </c>
      <c r="G137" s="206" t="str">
        <f t="shared" si="45"/>
        <v/>
      </c>
      <c r="H137" s="208" t="str">
        <f>IF(A137="","",ROUND(SUMIFS(aditivos!$L$2:$L$200,aditivos!$A$2:$A$200,A137,aditivos!$C$2:$C$200,"C1"),2))</f>
        <v/>
      </c>
      <c r="I137" s="204" t="str">
        <f t="shared" si="46"/>
        <v/>
      </c>
      <c r="J137" s="204" t="str">
        <f>IF(A137="","",IF(itens_Remanesc!E137="","",itens_Remanesc!E137))</f>
        <v/>
      </c>
      <c r="K137" s="210" t="str">
        <f t="shared" si="47"/>
        <v/>
      </c>
      <c r="L137" s="202" t="str">
        <f>IF(A137="","",ROUND(SUMIFS(aditivos!$L$2:$L$200,aditivos!$A$2:$A$200,A137,aditivos!$C$2:$C$200,"C2"),2))</f>
        <v/>
      </c>
      <c r="M137" s="198" t="str">
        <f t="shared" si="48"/>
        <v/>
      </c>
      <c r="N137" s="198" t="str">
        <f>IF(A137="","",IF(itens_Remanesc!G137="","",itens_Remanesc!G137))</f>
        <v/>
      </c>
      <c r="O137" s="206" t="str">
        <f t="shared" si="49"/>
        <v/>
      </c>
      <c r="P137" s="208" t="str">
        <f>IF(A137="","",ROUND(SUMIFS(aditivos!$L$2:$L$200,aditivos!$A$2:$A$200,A137,aditivos!$C$2:$C$200,"C3"),2))</f>
        <v/>
      </c>
      <c r="Q137" s="204" t="str">
        <f t="shared" si="50"/>
        <v/>
      </c>
      <c r="R137" s="204" t="str">
        <f>IF(A137="","",IF(itens_Remanesc!I137="","",itens_Remanesc!I137))</f>
        <v/>
      </c>
      <c r="S137" s="210" t="str">
        <f t="shared" si="51"/>
        <v/>
      </c>
      <c r="T137" s="202" t="str">
        <f>IF(A137="","",ROUND(SUMIFS(aditivos!$L$2:$L$200,aditivos!$A$2:$A$200,A137,aditivos!$C$2:$C$200,"C4"),2))</f>
        <v/>
      </c>
      <c r="U137" s="198" t="str">
        <f t="shared" si="52"/>
        <v/>
      </c>
      <c r="V137" s="198" t="str">
        <f>IF(A137="","",IF(itens_Remanesc!K137="","",itens_Remanesc!K137))</f>
        <v/>
      </c>
      <c r="W137" s="198" t="str">
        <f t="shared" si="53"/>
        <v/>
      </c>
      <c r="X137" s="181" t="str">
        <f t="shared" si="54"/>
        <v/>
      </c>
    </row>
    <row r="138" spans="1:24" x14ac:dyDescent="0.35">
      <c r="A138" s="181" t="str">
        <f>IF(itens_Remanesc!A138="","",itens_Remanesc!A138)</f>
        <v/>
      </c>
      <c r="B138" s="181" t="str">
        <f>IF(A138="","",itens_Remanesc!C138)</f>
        <v/>
      </c>
      <c r="C138" s="200" t="str">
        <f>IF(A138="","",itens_Remanesc!B138)</f>
        <v/>
      </c>
      <c r="D138" s="202" t="str">
        <f>IF(A138="","",ROUND(SUMIFS(aditivos!$L$2:$L$200,aditivos!$A$2:$A$200,A138,aditivos!$C$2:$C$200,"C0"),2))</f>
        <v/>
      </c>
      <c r="E138" s="198" t="str">
        <f t="shared" si="44"/>
        <v/>
      </c>
      <c r="F138" s="198" t="str">
        <f>IF(A138="","",IF(itens_Remanesc!B138="","",itens_Remanesc!B138))</f>
        <v/>
      </c>
      <c r="G138" s="206" t="str">
        <f t="shared" si="45"/>
        <v/>
      </c>
      <c r="H138" s="208" t="str">
        <f>IF(A138="","",ROUND(SUMIFS(aditivos!$L$2:$L$200,aditivos!$A$2:$A$200,A138,aditivos!$C$2:$C$200,"C1"),2))</f>
        <v/>
      </c>
      <c r="I138" s="204" t="str">
        <f t="shared" si="46"/>
        <v/>
      </c>
      <c r="J138" s="204" t="str">
        <f>IF(A138="","",IF(itens_Remanesc!E138="","",itens_Remanesc!E138))</f>
        <v/>
      </c>
      <c r="K138" s="210" t="str">
        <f t="shared" si="47"/>
        <v/>
      </c>
      <c r="L138" s="202" t="str">
        <f>IF(A138="","",ROUND(SUMIFS(aditivos!$L$2:$L$200,aditivos!$A$2:$A$200,A138,aditivos!$C$2:$C$200,"C2"),2))</f>
        <v/>
      </c>
      <c r="M138" s="198" t="str">
        <f t="shared" si="48"/>
        <v/>
      </c>
      <c r="N138" s="198" t="str">
        <f>IF(A138="","",IF(itens_Remanesc!G138="","",itens_Remanesc!G138))</f>
        <v/>
      </c>
      <c r="O138" s="206" t="str">
        <f t="shared" si="49"/>
        <v/>
      </c>
      <c r="P138" s="208" t="str">
        <f>IF(A138="","",ROUND(SUMIFS(aditivos!$L$2:$L$200,aditivos!$A$2:$A$200,A138,aditivos!$C$2:$C$200,"C3"),2))</f>
        <v/>
      </c>
      <c r="Q138" s="204" t="str">
        <f t="shared" si="50"/>
        <v/>
      </c>
      <c r="R138" s="204" t="str">
        <f>IF(A138="","",IF(itens_Remanesc!I138="","",itens_Remanesc!I138))</f>
        <v/>
      </c>
      <c r="S138" s="210" t="str">
        <f t="shared" si="51"/>
        <v/>
      </c>
      <c r="T138" s="202" t="str">
        <f>IF(A138="","",ROUND(SUMIFS(aditivos!$L$2:$L$200,aditivos!$A$2:$A$200,A138,aditivos!$C$2:$C$200,"C4"),2))</f>
        <v/>
      </c>
      <c r="U138" s="198" t="str">
        <f t="shared" si="52"/>
        <v/>
      </c>
      <c r="V138" s="198" t="str">
        <f>IF(A138="","",IF(itens_Remanesc!K138="","",itens_Remanesc!K138))</f>
        <v/>
      </c>
      <c r="W138" s="198" t="str">
        <f t="shared" si="53"/>
        <v/>
      </c>
      <c r="X138" s="181" t="str">
        <f t="shared" si="54"/>
        <v/>
      </c>
    </row>
    <row r="139" spans="1:24" x14ac:dyDescent="0.35">
      <c r="A139" s="181" t="str">
        <f>IF(itens_Remanesc!A139="","",itens_Remanesc!A139)</f>
        <v/>
      </c>
      <c r="B139" s="181" t="str">
        <f>IF(A139="","",itens_Remanesc!C139)</f>
        <v/>
      </c>
      <c r="C139" s="200" t="str">
        <f>IF(A139="","",itens_Remanesc!B139)</f>
        <v/>
      </c>
      <c r="D139" s="202" t="str">
        <f>IF(A139="","",ROUND(SUMIFS(aditivos!$L$2:$L$200,aditivos!$A$2:$A$200,A139,aditivos!$C$2:$C$200,"C0"),2))</f>
        <v/>
      </c>
      <c r="E139" s="198" t="str">
        <f t="shared" si="44"/>
        <v/>
      </c>
      <c r="F139" s="198" t="str">
        <f>IF(A139="","",IF(itens_Remanesc!B139="","",itens_Remanesc!B139))</f>
        <v/>
      </c>
      <c r="G139" s="206" t="str">
        <f t="shared" si="45"/>
        <v/>
      </c>
      <c r="H139" s="208" t="str">
        <f>IF(A139="","",ROUND(SUMIFS(aditivos!$L$2:$L$200,aditivos!$A$2:$A$200,A139,aditivos!$C$2:$C$200,"C1"),2))</f>
        <v/>
      </c>
      <c r="I139" s="204" t="str">
        <f t="shared" si="46"/>
        <v/>
      </c>
      <c r="J139" s="204" t="str">
        <f>IF(A139="","",IF(itens_Remanesc!E139="","",itens_Remanesc!E139))</f>
        <v/>
      </c>
      <c r="K139" s="210" t="str">
        <f t="shared" si="47"/>
        <v/>
      </c>
      <c r="L139" s="202" t="str">
        <f>IF(A139="","",ROUND(SUMIFS(aditivos!$L$2:$L$200,aditivos!$A$2:$A$200,A139,aditivos!$C$2:$C$200,"C2"),2))</f>
        <v/>
      </c>
      <c r="M139" s="198" t="str">
        <f t="shared" si="48"/>
        <v/>
      </c>
      <c r="N139" s="198" t="str">
        <f>IF(A139="","",IF(itens_Remanesc!G139="","",itens_Remanesc!G139))</f>
        <v/>
      </c>
      <c r="O139" s="206" t="str">
        <f t="shared" si="49"/>
        <v/>
      </c>
      <c r="P139" s="208" t="str">
        <f>IF(A139="","",ROUND(SUMIFS(aditivos!$L$2:$L$200,aditivos!$A$2:$A$200,A139,aditivos!$C$2:$C$200,"C3"),2))</f>
        <v/>
      </c>
      <c r="Q139" s="204" t="str">
        <f t="shared" si="50"/>
        <v/>
      </c>
      <c r="R139" s="204" t="str">
        <f>IF(A139="","",IF(itens_Remanesc!I139="","",itens_Remanesc!I139))</f>
        <v/>
      </c>
      <c r="S139" s="210" t="str">
        <f t="shared" si="51"/>
        <v/>
      </c>
      <c r="T139" s="202" t="str">
        <f>IF(A139="","",ROUND(SUMIFS(aditivos!$L$2:$L$200,aditivos!$A$2:$A$200,A139,aditivos!$C$2:$C$200,"C4"),2))</f>
        <v/>
      </c>
      <c r="U139" s="198" t="str">
        <f t="shared" si="52"/>
        <v/>
      </c>
      <c r="V139" s="198" t="str">
        <f>IF(A139="","",IF(itens_Remanesc!K139="","",itens_Remanesc!K139))</f>
        <v/>
      </c>
      <c r="W139" s="198" t="str">
        <f t="shared" si="53"/>
        <v/>
      </c>
      <c r="X139" s="181" t="str">
        <f t="shared" si="54"/>
        <v/>
      </c>
    </row>
    <row r="140" spans="1:24" x14ac:dyDescent="0.35">
      <c r="A140" s="181" t="str">
        <f>IF(itens_Remanesc!A140="","",itens_Remanesc!A140)</f>
        <v/>
      </c>
      <c r="B140" s="181" t="str">
        <f>IF(A140="","",itens_Remanesc!C140)</f>
        <v/>
      </c>
      <c r="C140" s="200" t="str">
        <f>IF(A140="","",itens_Remanesc!B140)</f>
        <v/>
      </c>
      <c r="D140" s="202" t="str">
        <f>IF(A140="","",ROUND(SUMIFS(aditivos!$L$2:$L$200,aditivos!$A$2:$A$200,A140,aditivos!$C$2:$C$200,"C0"),2))</f>
        <v/>
      </c>
      <c r="E140" s="198" t="str">
        <f t="shared" si="44"/>
        <v/>
      </c>
      <c r="F140" s="198" t="str">
        <f>IF(A140="","",IF(itens_Remanesc!B140="","",itens_Remanesc!B140))</f>
        <v/>
      </c>
      <c r="G140" s="206" t="str">
        <f t="shared" si="45"/>
        <v/>
      </c>
      <c r="H140" s="208" t="str">
        <f>IF(A140="","",ROUND(SUMIFS(aditivos!$L$2:$L$200,aditivos!$A$2:$A$200,A140,aditivos!$C$2:$C$200,"C1"),2))</f>
        <v/>
      </c>
      <c r="I140" s="204" t="str">
        <f t="shared" si="46"/>
        <v/>
      </c>
      <c r="J140" s="204" t="str">
        <f>IF(A140="","",IF(itens_Remanesc!E140="","",itens_Remanesc!E140))</f>
        <v/>
      </c>
      <c r="K140" s="210" t="str">
        <f t="shared" si="47"/>
        <v/>
      </c>
      <c r="L140" s="202" t="str">
        <f>IF(A140="","",ROUND(SUMIFS(aditivos!$L$2:$L$200,aditivos!$A$2:$A$200,A140,aditivos!$C$2:$C$200,"C2"),2))</f>
        <v/>
      </c>
      <c r="M140" s="198" t="str">
        <f t="shared" si="48"/>
        <v/>
      </c>
      <c r="N140" s="198" t="str">
        <f>IF(A140="","",IF(itens_Remanesc!G140="","",itens_Remanesc!G140))</f>
        <v/>
      </c>
      <c r="O140" s="206" t="str">
        <f t="shared" si="49"/>
        <v/>
      </c>
      <c r="P140" s="208" t="str">
        <f>IF(A140="","",ROUND(SUMIFS(aditivos!$L$2:$L$200,aditivos!$A$2:$A$200,A140,aditivos!$C$2:$C$200,"C3"),2))</f>
        <v/>
      </c>
      <c r="Q140" s="204" t="str">
        <f t="shared" si="50"/>
        <v/>
      </c>
      <c r="R140" s="204" t="str">
        <f>IF(A140="","",IF(itens_Remanesc!I140="","",itens_Remanesc!I140))</f>
        <v/>
      </c>
      <c r="S140" s="210" t="str">
        <f t="shared" si="51"/>
        <v/>
      </c>
      <c r="T140" s="202" t="str">
        <f>IF(A140="","",ROUND(SUMIFS(aditivos!$L$2:$L$200,aditivos!$A$2:$A$200,A140,aditivos!$C$2:$C$200,"C4"),2))</f>
        <v/>
      </c>
      <c r="U140" s="198" t="str">
        <f t="shared" si="52"/>
        <v/>
      </c>
      <c r="V140" s="198" t="str">
        <f>IF(A140="","",IF(itens_Remanesc!K140="","",itens_Remanesc!K140))</f>
        <v/>
      </c>
      <c r="W140" s="198" t="str">
        <f t="shared" si="53"/>
        <v/>
      </c>
      <c r="X140" s="181" t="str">
        <f t="shared" si="54"/>
        <v/>
      </c>
    </row>
    <row r="141" spans="1:24" x14ac:dyDescent="0.35">
      <c r="A141" s="181" t="str">
        <f>IF(itens_Remanesc!A141="","",itens_Remanesc!A141)</f>
        <v/>
      </c>
      <c r="B141" s="181" t="str">
        <f>IF(A141="","",itens_Remanesc!C141)</f>
        <v/>
      </c>
      <c r="C141" s="200" t="str">
        <f>IF(A141="","",itens_Remanesc!B141)</f>
        <v/>
      </c>
      <c r="D141" s="202" t="str">
        <f>IF(A141="","",ROUND(SUMIFS(aditivos!$L$2:$L$200,aditivos!$A$2:$A$200,A141,aditivos!$C$2:$C$200,"C0"),2))</f>
        <v/>
      </c>
      <c r="E141" s="198" t="str">
        <f t="shared" si="44"/>
        <v/>
      </c>
      <c r="F141" s="198" t="str">
        <f>IF(A141="","",IF(itens_Remanesc!B141="","",itens_Remanesc!B141))</f>
        <v/>
      </c>
      <c r="G141" s="206" t="str">
        <f t="shared" si="45"/>
        <v/>
      </c>
      <c r="H141" s="208" t="str">
        <f>IF(A141="","",ROUND(SUMIFS(aditivos!$L$2:$L$200,aditivos!$A$2:$A$200,A141,aditivos!$C$2:$C$200,"C1"),2))</f>
        <v/>
      </c>
      <c r="I141" s="204" t="str">
        <f t="shared" si="46"/>
        <v/>
      </c>
      <c r="J141" s="204" t="str">
        <f>IF(A141="","",IF(itens_Remanesc!E141="","",itens_Remanesc!E141))</f>
        <v/>
      </c>
      <c r="K141" s="210" t="str">
        <f t="shared" si="47"/>
        <v/>
      </c>
      <c r="L141" s="202" t="str">
        <f>IF(A141="","",ROUND(SUMIFS(aditivos!$L$2:$L$200,aditivos!$A$2:$A$200,A141,aditivos!$C$2:$C$200,"C2"),2))</f>
        <v/>
      </c>
      <c r="M141" s="198" t="str">
        <f t="shared" si="48"/>
        <v/>
      </c>
      <c r="N141" s="198" t="str">
        <f>IF(A141="","",IF(itens_Remanesc!G141="","",itens_Remanesc!G141))</f>
        <v/>
      </c>
      <c r="O141" s="206" t="str">
        <f t="shared" si="49"/>
        <v/>
      </c>
      <c r="P141" s="208" t="str">
        <f>IF(A141="","",ROUND(SUMIFS(aditivos!$L$2:$L$200,aditivos!$A$2:$A$200,A141,aditivos!$C$2:$C$200,"C3"),2))</f>
        <v/>
      </c>
      <c r="Q141" s="204" t="str">
        <f t="shared" si="50"/>
        <v/>
      </c>
      <c r="R141" s="204" t="str">
        <f>IF(A141="","",IF(itens_Remanesc!I141="","",itens_Remanesc!I141))</f>
        <v/>
      </c>
      <c r="S141" s="210" t="str">
        <f t="shared" si="51"/>
        <v/>
      </c>
      <c r="T141" s="202" t="str">
        <f>IF(A141="","",ROUND(SUMIFS(aditivos!$L$2:$L$200,aditivos!$A$2:$A$200,A141,aditivos!$C$2:$C$200,"C4"),2))</f>
        <v/>
      </c>
      <c r="U141" s="198" t="str">
        <f t="shared" si="52"/>
        <v/>
      </c>
      <c r="V141" s="198" t="str">
        <f>IF(A141="","",IF(itens_Remanesc!K141="","",itens_Remanesc!K141))</f>
        <v/>
      </c>
      <c r="W141" s="198" t="str">
        <f t="shared" si="53"/>
        <v/>
      </c>
      <c r="X141" s="181" t="str">
        <f t="shared" si="54"/>
        <v/>
      </c>
    </row>
    <row r="142" spans="1:24" x14ac:dyDescent="0.35">
      <c r="A142" s="181" t="str">
        <f>IF(itens_Remanesc!A142="","",itens_Remanesc!A142)</f>
        <v/>
      </c>
      <c r="B142" s="181" t="str">
        <f>IF(A142="","",itens_Remanesc!C142)</f>
        <v/>
      </c>
      <c r="C142" s="200" t="str">
        <f>IF(A142="","",itens_Remanesc!B142)</f>
        <v/>
      </c>
      <c r="D142" s="202" t="str">
        <f>IF(A142="","",ROUND(SUMIFS(aditivos!$L$2:$L$200,aditivos!$A$2:$A$200,A142,aditivos!$C$2:$C$200,"C0"),2))</f>
        <v/>
      </c>
      <c r="E142" s="198" t="str">
        <f t="shared" si="44"/>
        <v/>
      </c>
      <c r="F142" s="198" t="str">
        <f>IF(A142="","",IF(itens_Remanesc!B142="","",itens_Remanesc!B142))</f>
        <v/>
      </c>
      <c r="G142" s="206" t="str">
        <f t="shared" si="45"/>
        <v/>
      </c>
      <c r="H142" s="208" t="str">
        <f>IF(A142="","",ROUND(SUMIFS(aditivos!$L$2:$L$200,aditivos!$A$2:$A$200,A142,aditivos!$C$2:$C$200,"C1"),2))</f>
        <v/>
      </c>
      <c r="I142" s="204" t="str">
        <f t="shared" si="46"/>
        <v/>
      </c>
      <c r="J142" s="204" t="str">
        <f>IF(A142="","",IF(itens_Remanesc!E142="","",itens_Remanesc!E142))</f>
        <v/>
      </c>
      <c r="K142" s="210" t="str">
        <f t="shared" si="47"/>
        <v/>
      </c>
      <c r="L142" s="202" t="str">
        <f>IF(A142="","",ROUND(SUMIFS(aditivos!$L$2:$L$200,aditivos!$A$2:$A$200,A142,aditivos!$C$2:$C$200,"C2"),2))</f>
        <v/>
      </c>
      <c r="M142" s="198" t="str">
        <f t="shared" si="48"/>
        <v/>
      </c>
      <c r="N142" s="198" t="str">
        <f>IF(A142="","",IF(itens_Remanesc!G142="","",itens_Remanesc!G142))</f>
        <v/>
      </c>
      <c r="O142" s="206" t="str">
        <f t="shared" si="49"/>
        <v/>
      </c>
      <c r="P142" s="208" t="str">
        <f>IF(A142="","",ROUND(SUMIFS(aditivos!$L$2:$L$200,aditivos!$A$2:$A$200,A142,aditivos!$C$2:$C$200,"C3"),2))</f>
        <v/>
      </c>
      <c r="Q142" s="204" t="str">
        <f t="shared" si="50"/>
        <v/>
      </c>
      <c r="R142" s="204" t="str">
        <f>IF(A142="","",IF(itens_Remanesc!I142="","",itens_Remanesc!I142))</f>
        <v/>
      </c>
      <c r="S142" s="210" t="str">
        <f t="shared" si="51"/>
        <v/>
      </c>
      <c r="T142" s="202" t="str">
        <f>IF(A142="","",ROUND(SUMIFS(aditivos!$L$2:$L$200,aditivos!$A$2:$A$200,A142,aditivos!$C$2:$C$200,"C4"),2))</f>
        <v/>
      </c>
      <c r="U142" s="198" t="str">
        <f t="shared" si="52"/>
        <v/>
      </c>
      <c r="V142" s="198" t="str">
        <f>IF(A142="","",IF(itens_Remanesc!K142="","",itens_Remanesc!K142))</f>
        <v/>
      </c>
      <c r="W142" s="198" t="str">
        <f t="shared" si="53"/>
        <v/>
      </c>
      <c r="X142" s="181" t="str">
        <f t="shared" si="54"/>
        <v/>
      </c>
    </row>
    <row r="143" spans="1:24" x14ac:dyDescent="0.35">
      <c r="A143" s="181" t="str">
        <f>IF(itens_Remanesc!A143="","",itens_Remanesc!A143)</f>
        <v/>
      </c>
      <c r="B143" s="181" t="str">
        <f>IF(A143="","",itens_Remanesc!C143)</f>
        <v/>
      </c>
      <c r="C143" s="200" t="str">
        <f>IF(A143="","",itens_Remanesc!B143)</f>
        <v/>
      </c>
      <c r="D143" s="202" t="str">
        <f>IF(A143="","",ROUND(SUMIFS(aditivos!$L$2:$L$200,aditivos!$A$2:$A$200,A143,aditivos!$C$2:$C$200,"C0"),2))</f>
        <v/>
      </c>
      <c r="E143" s="198" t="str">
        <f t="shared" si="44"/>
        <v/>
      </c>
      <c r="F143" s="198" t="str">
        <f>IF(A143="","",IF(itens_Remanesc!B143="","",itens_Remanesc!B143))</f>
        <v/>
      </c>
      <c r="G143" s="206" t="str">
        <f t="shared" si="45"/>
        <v/>
      </c>
      <c r="H143" s="208" t="str">
        <f>IF(A143="","",ROUND(SUMIFS(aditivos!$L$2:$L$200,aditivos!$A$2:$A$200,A143,aditivos!$C$2:$C$200,"C1"),2))</f>
        <v/>
      </c>
      <c r="I143" s="204" t="str">
        <f t="shared" si="46"/>
        <v/>
      </c>
      <c r="J143" s="204" t="str">
        <f>IF(A143="","",IF(itens_Remanesc!E143="","",itens_Remanesc!E143))</f>
        <v/>
      </c>
      <c r="K143" s="210" t="str">
        <f t="shared" si="47"/>
        <v/>
      </c>
      <c r="L143" s="202" t="str">
        <f>IF(A143="","",ROUND(SUMIFS(aditivos!$L$2:$L$200,aditivos!$A$2:$A$200,A143,aditivos!$C$2:$C$200,"C2"),2))</f>
        <v/>
      </c>
      <c r="M143" s="198" t="str">
        <f t="shared" si="48"/>
        <v/>
      </c>
      <c r="N143" s="198" t="str">
        <f>IF(A143="","",IF(itens_Remanesc!G143="","",itens_Remanesc!G143))</f>
        <v/>
      </c>
      <c r="O143" s="206" t="str">
        <f t="shared" si="49"/>
        <v/>
      </c>
      <c r="P143" s="208" t="str">
        <f>IF(A143="","",ROUND(SUMIFS(aditivos!$L$2:$L$200,aditivos!$A$2:$A$200,A143,aditivos!$C$2:$C$200,"C3"),2))</f>
        <v/>
      </c>
      <c r="Q143" s="204" t="str">
        <f t="shared" si="50"/>
        <v/>
      </c>
      <c r="R143" s="204" t="str">
        <f>IF(A143="","",IF(itens_Remanesc!I143="","",itens_Remanesc!I143))</f>
        <v/>
      </c>
      <c r="S143" s="210" t="str">
        <f t="shared" si="51"/>
        <v/>
      </c>
      <c r="T143" s="202" t="str">
        <f>IF(A143="","",ROUND(SUMIFS(aditivos!$L$2:$L$200,aditivos!$A$2:$A$200,A143,aditivos!$C$2:$C$200,"C4"),2))</f>
        <v/>
      </c>
      <c r="U143" s="198" t="str">
        <f t="shared" si="52"/>
        <v/>
      </c>
      <c r="V143" s="198" t="str">
        <f>IF(A143="","",IF(itens_Remanesc!K143="","",itens_Remanesc!K143))</f>
        <v/>
      </c>
      <c r="W143" s="198" t="str">
        <f t="shared" si="53"/>
        <v/>
      </c>
      <c r="X143" s="181" t="str">
        <f t="shared" si="54"/>
        <v/>
      </c>
    </row>
    <row r="144" spans="1:24" x14ac:dyDescent="0.35">
      <c r="A144" s="181" t="str">
        <f>IF(itens_Remanesc!A144="","",itens_Remanesc!A144)</f>
        <v/>
      </c>
      <c r="B144" s="181" t="str">
        <f>IF(A144="","",itens_Remanesc!C144)</f>
        <v/>
      </c>
      <c r="C144" s="200" t="str">
        <f>IF(A144="","",itens_Remanesc!B144)</f>
        <v/>
      </c>
      <c r="D144" s="202" t="str">
        <f>IF(A144="","",ROUND(SUMIFS(aditivos!$L$2:$L$200,aditivos!$A$2:$A$200,A144,aditivos!$C$2:$C$200,"C0"),2))</f>
        <v/>
      </c>
      <c r="E144" s="198" t="str">
        <f t="shared" si="44"/>
        <v/>
      </c>
      <c r="F144" s="198" t="str">
        <f>IF(A144="","",IF(itens_Remanesc!B144="","",itens_Remanesc!B144))</f>
        <v/>
      </c>
      <c r="G144" s="206" t="str">
        <f t="shared" si="45"/>
        <v/>
      </c>
      <c r="H144" s="208" t="str">
        <f>IF(A144="","",ROUND(SUMIFS(aditivos!$L$2:$L$200,aditivos!$A$2:$A$200,A144,aditivos!$C$2:$C$200,"C1"),2))</f>
        <v/>
      </c>
      <c r="I144" s="204" t="str">
        <f t="shared" si="46"/>
        <v/>
      </c>
      <c r="J144" s="204" t="str">
        <f>IF(A144="","",IF(itens_Remanesc!E144="","",itens_Remanesc!E144))</f>
        <v/>
      </c>
      <c r="K144" s="210" t="str">
        <f t="shared" si="47"/>
        <v/>
      </c>
      <c r="L144" s="202" t="str">
        <f>IF(A144="","",ROUND(SUMIFS(aditivos!$L$2:$L$200,aditivos!$A$2:$A$200,A144,aditivos!$C$2:$C$200,"C2"),2))</f>
        <v/>
      </c>
      <c r="M144" s="198" t="str">
        <f t="shared" si="48"/>
        <v/>
      </c>
      <c r="N144" s="198" t="str">
        <f>IF(A144="","",IF(itens_Remanesc!G144="","",itens_Remanesc!G144))</f>
        <v/>
      </c>
      <c r="O144" s="206" t="str">
        <f t="shared" si="49"/>
        <v/>
      </c>
      <c r="P144" s="208" t="str">
        <f>IF(A144="","",ROUND(SUMIFS(aditivos!$L$2:$L$200,aditivos!$A$2:$A$200,A144,aditivos!$C$2:$C$200,"C3"),2))</f>
        <v/>
      </c>
      <c r="Q144" s="204" t="str">
        <f t="shared" si="50"/>
        <v/>
      </c>
      <c r="R144" s="204" t="str">
        <f>IF(A144="","",IF(itens_Remanesc!I144="","",itens_Remanesc!I144))</f>
        <v/>
      </c>
      <c r="S144" s="210" t="str">
        <f t="shared" si="51"/>
        <v/>
      </c>
      <c r="T144" s="202" t="str">
        <f>IF(A144="","",ROUND(SUMIFS(aditivos!$L$2:$L$200,aditivos!$A$2:$A$200,A144,aditivos!$C$2:$C$200,"C4"),2))</f>
        <v/>
      </c>
      <c r="U144" s="198" t="str">
        <f t="shared" si="52"/>
        <v/>
      </c>
      <c r="V144" s="198" t="str">
        <f>IF(A144="","",IF(itens_Remanesc!K144="","",itens_Remanesc!K144))</f>
        <v/>
      </c>
      <c r="W144" s="198" t="str">
        <f t="shared" si="53"/>
        <v/>
      </c>
      <c r="X144" s="181" t="str">
        <f t="shared" si="54"/>
        <v/>
      </c>
    </row>
    <row r="145" spans="1:24" x14ac:dyDescent="0.35">
      <c r="A145" s="181" t="str">
        <f>IF(itens_Remanesc!A145="","",itens_Remanesc!A145)</f>
        <v/>
      </c>
      <c r="B145" s="181" t="str">
        <f>IF(A145="","",itens_Remanesc!C145)</f>
        <v/>
      </c>
      <c r="C145" s="200" t="str">
        <f>IF(A145="","",itens_Remanesc!B145)</f>
        <v/>
      </c>
      <c r="D145" s="202" t="str">
        <f>IF(A145="","",ROUND(SUMIFS(aditivos!$L$2:$L$200,aditivos!$A$2:$A$200,A145,aditivos!$C$2:$C$200,"C0"),2))</f>
        <v/>
      </c>
      <c r="E145" s="198" t="str">
        <f t="shared" si="44"/>
        <v/>
      </c>
      <c r="F145" s="198" t="str">
        <f>IF(A145="","",IF(itens_Remanesc!B145="","",itens_Remanesc!B145))</f>
        <v/>
      </c>
      <c r="G145" s="206" t="str">
        <f t="shared" si="45"/>
        <v/>
      </c>
      <c r="H145" s="208" t="str">
        <f>IF(A145="","",ROUND(SUMIFS(aditivos!$L$2:$L$200,aditivos!$A$2:$A$200,A145,aditivos!$C$2:$C$200,"C1"),2))</f>
        <v/>
      </c>
      <c r="I145" s="204" t="str">
        <f t="shared" si="46"/>
        <v/>
      </c>
      <c r="J145" s="204" t="str">
        <f>IF(A145="","",IF(itens_Remanesc!E145="","",itens_Remanesc!E145))</f>
        <v/>
      </c>
      <c r="K145" s="210" t="str">
        <f t="shared" si="47"/>
        <v/>
      </c>
      <c r="L145" s="202" t="str">
        <f>IF(A145="","",ROUND(SUMIFS(aditivos!$L$2:$L$200,aditivos!$A$2:$A$200,A145,aditivos!$C$2:$C$200,"C2"),2))</f>
        <v/>
      </c>
      <c r="M145" s="198" t="str">
        <f t="shared" si="48"/>
        <v/>
      </c>
      <c r="N145" s="198" t="str">
        <f>IF(A145="","",IF(itens_Remanesc!G145="","",itens_Remanesc!G145))</f>
        <v/>
      </c>
      <c r="O145" s="206" t="str">
        <f t="shared" si="49"/>
        <v/>
      </c>
      <c r="P145" s="208" t="str">
        <f>IF(A145="","",ROUND(SUMIFS(aditivos!$L$2:$L$200,aditivos!$A$2:$A$200,A145,aditivos!$C$2:$C$200,"C3"),2))</f>
        <v/>
      </c>
      <c r="Q145" s="204" t="str">
        <f t="shared" si="50"/>
        <v/>
      </c>
      <c r="R145" s="204" t="str">
        <f>IF(A145="","",IF(itens_Remanesc!I145="","",itens_Remanesc!I145))</f>
        <v/>
      </c>
      <c r="S145" s="210" t="str">
        <f t="shared" si="51"/>
        <v/>
      </c>
      <c r="T145" s="202" t="str">
        <f>IF(A145="","",ROUND(SUMIFS(aditivos!$L$2:$L$200,aditivos!$A$2:$A$200,A145,aditivos!$C$2:$C$200,"C4"),2))</f>
        <v/>
      </c>
      <c r="U145" s="198" t="str">
        <f t="shared" si="52"/>
        <v/>
      </c>
      <c r="V145" s="198" t="str">
        <f>IF(A145="","",IF(itens_Remanesc!K145="","",itens_Remanesc!K145))</f>
        <v/>
      </c>
      <c r="W145" s="198" t="str">
        <f t="shared" si="53"/>
        <v/>
      </c>
      <c r="X145" s="181" t="str">
        <f t="shared" si="54"/>
        <v/>
      </c>
    </row>
    <row r="146" spans="1:24" x14ac:dyDescent="0.35">
      <c r="A146" s="181" t="str">
        <f>IF(itens_Remanesc!A146="","",itens_Remanesc!A146)</f>
        <v/>
      </c>
      <c r="B146" s="181" t="str">
        <f>IF(A146="","",itens_Remanesc!C146)</f>
        <v/>
      </c>
      <c r="C146" s="200" t="str">
        <f>IF(A146="","",itens_Remanesc!B146)</f>
        <v/>
      </c>
      <c r="D146" s="202" t="str">
        <f>IF(A146="","",ROUND(SUMIFS(aditivos!$L$2:$L$200,aditivos!$A$2:$A$200,A146,aditivos!$C$2:$C$200,"C0"),2))</f>
        <v/>
      </c>
      <c r="E146" s="198" t="str">
        <f t="shared" si="44"/>
        <v/>
      </c>
      <c r="F146" s="198" t="str">
        <f>IF(A146="","",IF(itens_Remanesc!B146="","",itens_Remanesc!B146))</f>
        <v/>
      </c>
      <c r="G146" s="206" t="str">
        <f t="shared" si="45"/>
        <v/>
      </c>
      <c r="H146" s="208" t="str">
        <f>IF(A146="","",ROUND(SUMIFS(aditivos!$L$2:$L$200,aditivos!$A$2:$A$200,A146,aditivos!$C$2:$C$200,"C1"),2))</f>
        <v/>
      </c>
      <c r="I146" s="204" t="str">
        <f t="shared" si="46"/>
        <v/>
      </c>
      <c r="J146" s="204" t="str">
        <f>IF(A146="","",IF(itens_Remanesc!E146="","",itens_Remanesc!E146))</f>
        <v/>
      </c>
      <c r="K146" s="210" t="str">
        <f t="shared" si="47"/>
        <v/>
      </c>
      <c r="L146" s="202" t="str">
        <f>IF(A146="","",ROUND(SUMIFS(aditivos!$L$2:$L$200,aditivos!$A$2:$A$200,A146,aditivos!$C$2:$C$200,"C2"),2))</f>
        <v/>
      </c>
      <c r="M146" s="198" t="str">
        <f t="shared" si="48"/>
        <v/>
      </c>
      <c r="N146" s="198" t="str">
        <f>IF(A146="","",IF(itens_Remanesc!G146="","",itens_Remanesc!G146))</f>
        <v/>
      </c>
      <c r="O146" s="206" t="str">
        <f t="shared" si="49"/>
        <v/>
      </c>
      <c r="P146" s="208" t="str">
        <f>IF(A146="","",ROUND(SUMIFS(aditivos!$L$2:$L$200,aditivos!$A$2:$A$200,A146,aditivos!$C$2:$C$200,"C3"),2))</f>
        <v/>
      </c>
      <c r="Q146" s="204" t="str">
        <f t="shared" si="50"/>
        <v/>
      </c>
      <c r="R146" s="204" t="str">
        <f>IF(A146="","",IF(itens_Remanesc!I146="","",itens_Remanesc!I146))</f>
        <v/>
      </c>
      <c r="S146" s="210" t="str">
        <f t="shared" si="51"/>
        <v/>
      </c>
      <c r="T146" s="202" t="str">
        <f>IF(A146="","",ROUND(SUMIFS(aditivos!$L$2:$L$200,aditivos!$A$2:$A$200,A146,aditivos!$C$2:$C$200,"C4"),2))</f>
        <v/>
      </c>
      <c r="U146" s="198" t="str">
        <f t="shared" si="52"/>
        <v/>
      </c>
      <c r="V146" s="198" t="str">
        <f>IF(A146="","",IF(itens_Remanesc!K146="","",itens_Remanesc!K146))</f>
        <v/>
      </c>
      <c r="W146" s="198" t="str">
        <f t="shared" si="53"/>
        <v/>
      </c>
      <c r="X146" s="181" t="str">
        <f t="shared" si="54"/>
        <v/>
      </c>
    </row>
    <row r="147" spans="1:24" x14ac:dyDescent="0.35">
      <c r="A147" s="181" t="str">
        <f>IF(itens_Remanesc!A147="","",itens_Remanesc!A147)</f>
        <v/>
      </c>
      <c r="B147" s="181" t="str">
        <f>IF(A147="","",itens_Remanesc!C147)</f>
        <v/>
      </c>
      <c r="C147" s="200" t="str">
        <f>IF(A147="","",itens_Remanesc!B147)</f>
        <v/>
      </c>
      <c r="D147" s="202" t="str">
        <f>IF(A147="","",ROUND(SUMIFS(aditivos!$L$2:$L$200,aditivos!$A$2:$A$200,A147,aditivos!$C$2:$C$200,"C0"),2))</f>
        <v/>
      </c>
      <c r="E147" s="198" t="str">
        <f t="shared" si="44"/>
        <v/>
      </c>
      <c r="F147" s="198" t="str">
        <f>IF(A147="","",IF(itens_Remanesc!B147="","",itens_Remanesc!B147))</f>
        <v/>
      </c>
      <c r="G147" s="206" t="str">
        <f t="shared" si="45"/>
        <v/>
      </c>
      <c r="H147" s="208" t="str">
        <f>IF(A147="","",ROUND(SUMIFS(aditivos!$L$2:$L$200,aditivos!$A$2:$A$200,A147,aditivos!$C$2:$C$200,"C1"),2))</f>
        <v/>
      </c>
      <c r="I147" s="204" t="str">
        <f t="shared" si="46"/>
        <v/>
      </c>
      <c r="J147" s="204" t="str">
        <f>IF(A147="","",IF(itens_Remanesc!E147="","",itens_Remanesc!E147))</f>
        <v/>
      </c>
      <c r="K147" s="210" t="str">
        <f t="shared" si="47"/>
        <v/>
      </c>
      <c r="L147" s="202" t="str">
        <f>IF(A147="","",ROUND(SUMIFS(aditivos!$L$2:$L$200,aditivos!$A$2:$A$200,A147,aditivos!$C$2:$C$200,"C2"),2))</f>
        <v/>
      </c>
      <c r="M147" s="198" t="str">
        <f t="shared" si="48"/>
        <v/>
      </c>
      <c r="N147" s="198" t="str">
        <f>IF(A147="","",IF(itens_Remanesc!G147="","",itens_Remanesc!G147))</f>
        <v/>
      </c>
      <c r="O147" s="206" t="str">
        <f t="shared" si="49"/>
        <v/>
      </c>
      <c r="P147" s="208" t="str">
        <f>IF(A147="","",ROUND(SUMIFS(aditivos!$L$2:$L$200,aditivos!$A$2:$A$200,A147,aditivos!$C$2:$C$200,"C3"),2))</f>
        <v/>
      </c>
      <c r="Q147" s="204" t="str">
        <f t="shared" si="50"/>
        <v/>
      </c>
      <c r="R147" s="204" t="str">
        <f>IF(A147="","",IF(itens_Remanesc!I147="","",itens_Remanesc!I147))</f>
        <v/>
      </c>
      <c r="S147" s="210" t="str">
        <f t="shared" si="51"/>
        <v/>
      </c>
      <c r="T147" s="202" t="str">
        <f>IF(A147="","",ROUND(SUMIFS(aditivos!$L$2:$L$200,aditivos!$A$2:$A$200,A147,aditivos!$C$2:$C$200,"C4"),2))</f>
        <v/>
      </c>
      <c r="U147" s="198" t="str">
        <f t="shared" si="52"/>
        <v/>
      </c>
      <c r="V147" s="198" t="str">
        <f>IF(A147="","",IF(itens_Remanesc!K147="","",itens_Remanesc!K147))</f>
        <v/>
      </c>
      <c r="W147" s="198" t="str">
        <f t="shared" si="53"/>
        <v/>
      </c>
      <c r="X147" s="181" t="str">
        <f t="shared" si="54"/>
        <v/>
      </c>
    </row>
    <row r="148" spans="1:24" x14ac:dyDescent="0.35">
      <c r="A148" s="181" t="str">
        <f>IF(itens_Remanesc!A148="","",itens_Remanesc!A148)</f>
        <v/>
      </c>
      <c r="B148" s="181" t="str">
        <f>IF(A148="","",itens_Remanesc!C148)</f>
        <v/>
      </c>
      <c r="C148" s="200" t="str">
        <f>IF(A148="","",itens_Remanesc!B148)</f>
        <v/>
      </c>
      <c r="D148" s="202" t="str">
        <f>IF(A148="","",ROUND(SUMIFS(aditivos!$L$2:$L$200,aditivos!$A$2:$A$200,A148,aditivos!$C$2:$C$200,"C0"),2))</f>
        <v/>
      </c>
      <c r="E148" s="198" t="str">
        <f t="shared" si="44"/>
        <v/>
      </c>
      <c r="F148" s="198" t="str">
        <f>IF(A148="","",IF(itens_Remanesc!B148="","",itens_Remanesc!B148))</f>
        <v/>
      </c>
      <c r="G148" s="206" t="str">
        <f t="shared" si="45"/>
        <v/>
      </c>
      <c r="H148" s="208" t="str">
        <f>IF(A148="","",ROUND(SUMIFS(aditivos!$L$2:$L$200,aditivos!$A$2:$A$200,A148,aditivos!$C$2:$C$200,"C1"),2))</f>
        <v/>
      </c>
      <c r="I148" s="204" t="str">
        <f t="shared" si="46"/>
        <v/>
      </c>
      <c r="J148" s="204" t="str">
        <f>IF(A148="","",IF(itens_Remanesc!E148="","",itens_Remanesc!E148))</f>
        <v/>
      </c>
      <c r="K148" s="210" t="str">
        <f t="shared" si="47"/>
        <v/>
      </c>
      <c r="L148" s="202" t="str">
        <f>IF(A148="","",ROUND(SUMIFS(aditivos!$L$2:$L$200,aditivos!$A$2:$A$200,A148,aditivos!$C$2:$C$200,"C2"),2))</f>
        <v/>
      </c>
      <c r="M148" s="198" t="str">
        <f t="shared" si="48"/>
        <v/>
      </c>
      <c r="N148" s="198" t="str">
        <f>IF(A148="","",IF(itens_Remanesc!G148="","",itens_Remanesc!G148))</f>
        <v/>
      </c>
      <c r="O148" s="206" t="str">
        <f t="shared" si="49"/>
        <v/>
      </c>
      <c r="P148" s="208" t="str">
        <f>IF(A148="","",ROUND(SUMIFS(aditivos!$L$2:$L$200,aditivos!$A$2:$A$200,A148,aditivos!$C$2:$C$200,"C3"),2))</f>
        <v/>
      </c>
      <c r="Q148" s="204" t="str">
        <f t="shared" si="50"/>
        <v/>
      </c>
      <c r="R148" s="204" t="str">
        <f>IF(A148="","",IF(itens_Remanesc!I148="","",itens_Remanesc!I148))</f>
        <v/>
      </c>
      <c r="S148" s="210" t="str">
        <f t="shared" si="51"/>
        <v/>
      </c>
      <c r="T148" s="202" t="str">
        <f>IF(A148="","",ROUND(SUMIFS(aditivos!$L$2:$L$200,aditivos!$A$2:$A$200,A148,aditivos!$C$2:$C$200,"C4"),2))</f>
        <v/>
      </c>
      <c r="U148" s="198" t="str">
        <f t="shared" si="52"/>
        <v/>
      </c>
      <c r="V148" s="198" t="str">
        <f>IF(A148="","",IF(itens_Remanesc!K148="","",itens_Remanesc!K148))</f>
        <v/>
      </c>
      <c r="W148" s="198" t="str">
        <f t="shared" si="53"/>
        <v/>
      </c>
      <c r="X148" s="181" t="str">
        <f t="shared" si="54"/>
        <v/>
      </c>
    </row>
    <row r="149" spans="1:24" x14ac:dyDescent="0.35">
      <c r="A149" s="181" t="str">
        <f>IF(itens_Remanesc!A149="","",itens_Remanesc!A149)</f>
        <v/>
      </c>
      <c r="B149" s="181" t="str">
        <f>IF(A149="","",itens_Remanesc!C149)</f>
        <v/>
      </c>
      <c r="C149" s="200" t="str">
        <f>IF(A149="","",itens_Remanesc!B149)</f>
        <v/>
      </c>
      <c r="D149" s="202" t="str">
        <f>IF(A149="","",ROUND(SUMIFS(aditivos!$L$2:$L$200,aditivos!$A$2:$A$200,A149,aditivos!$C$2:$C$200,"C0"),2))</f>
        <v/>
      </c>
      <c r="E149" s="198" t="str">
        <f t="shared" si="44"/>
        <v/>
      </c>
      <c r="F149" s="198" t="str">
        <f>IF(A149="","",IF(itens_Remanesc!B149="","",itens_Remanesc!B149))</f>
        <v/>
      </c>
      <c r="G149" s="206" t="str">
        <f t="shared" si="45"/>
        <v/>
      </c>
      <c r="H149" s="208" t="str">
        <f>IF(A149="","",ROUND(SUMIFS(aditivos!$L$2:$L$200,aditivos!$A$2:$A$200,A149,aditivos!$C$2:$C$200,"C1"),2))</f>
        <v/>
      </c>
      <c r="I149" s="204" t="str">
        <f t="shared" si="46"/>
        <v/>
      </c>
      <c r="J149" s="204" t="str">
        <f>IF(A149="","",IF(itens_Remanesc!E149="","",itens_Remanesc!E149))</f>
        <v/>
      </c>
      <c r="K149" s="210" t="str">
        <f t="shared" si="47"/>
        <v/>
      </c>
      <c r="L149" s="202" t="str">
        <f>IF(A149="","",ROUND(SUMIFS(aditivos!$L$2:$L$200,aditivos!$A$2:$A$200,A149,aditivos!$C$2:$C$200,"C2"),2))</f>
        <v/>
      </c>
      <c r="M149" s="198" t="str">
        <f t="shared" si="48"/>
        <v/>
      </c>
      <c r="N149" s="198" t="str">
        <f>IF(A149="","",IF(itens_Remanesc!G149="","",itens_Remanesc!G149))</f>
        <v/>
      </c>
      <c r="O149" s="206" t="str">
        <f t="shared" si="49"/>
        <v/>
      </c>
      <c r="P149" s="208" t="str">
        <f>IF(A149="","",ROUND(SUMIFS(aditivos!$L$2:$L$200,aditivos!$A$2:$A$200,A149,aditivos!$C$2:$C$200,"C3"),2))</f>
        <v/>
      </c>
      <c r="Q149" s="204" t="str">
        <f t="shared" si="50"/>
        <v/>
      </c>
      <c r="R149" s="204" t="str">
        <f>IF(A149="","",IF(itens_Remanesc!I149="","",itens_Remanesc!I149))</f>
        <v/>
      </c>
      <c r="S149" s="210" t="str">
        <f t="shared" si="51"/>
        <v/>
      </c>
      <c r="T149" s="202" t="str">
        <f>IF(A149="","",ROUND(SUMIFS(aditivos!$L$2:$L$200,aditivos!$A$2:$A$200,A149,aditivos!$C$2:$C$200,"C4"),2))</f>
        <v/>
      </c>
      <c r="U149" s="198" t="str">
        <f t="shared" si="52"/>
        <v/>
      </c>
      <c r="V149" s="198" t="str">
        <f>IF(A149="","",IF(itens_Remanesc!K149="","",itens_Remanesc!K149))</f>
        <v/>
      </c>
      <c r="W149" s="198" t="str">
        <f t="shared" si="53"/>
        <v/>
      </c>
      <c r="X149" s="181" t="str">
        <f t="shared" si="54"/>
        <v/>
      </c>
    </row>
    <row r="150" spans="1:24" x14ac:dyDescent="0.35">
      <c r="A150" s="181" t="str">
        <f>IF(itens_Remanesc!A150="","",itens_Remanesc!A150)</f>
        <v/>
      </c>
      <c r="B150" s="181" t="str">
        <f>IF(A150="","",itens_Remanesc!C150)</f>
        <v/>
      </c>
      <c r="C150" s="200" t="str">
        <f>IF(A150="","",itens_Remanesc!B150)</f>
        <v/>
      </c>
      <c r="D150" s="202" t="str">
        <f>IF(A150="","",ROUND(SUMIFS(aditivos!$L$2:$L$200,aditivos!$A$2:$A$200,A150,aditivos!$C$2:$C$200,"C0"),2))</f>
        <v/>
      </c>
      <c r="E150" s="198" t="str">
        <f t="shared" si="44"/>
        <v/>
      </c>
      <c r="F150" s="198" t="str">
        <f>IF(A150="","",IF(itens_Remanesc!B150="","",itens_Remanesc!B150))</f>
        <v/>
      </c>
      <c r="G150" s="206" t="str">
        <f t="shared" si="45"/>
        <v/>
      </c>
      <c r="H150" s="208" t="str">
        <f>IF(A150="","",ROUND(SUMIFS(aditivos!$L$2:$L$200,aditivos!$A$2:$A$200,A150,aditivos!$C$2:$C$200,"C1"),2))</f>
        <v/>
      </c>
      <c r="I150" s="204" t="str">
        <f t="shared" si="46"/>
        <v/>
      </c>
      <c r="J150" s="204" t="str">
        <f>IF(A150="","",IF(itens_Remanesc!E150="","",itens_Remanesc!E150))</f>
        <v/>
      </c>
      <c r="K150" s="210" t="str">
        <f t="shared" si="47"/>
        <v/>
      </c>
      <c r="L150" s="202" t="str">
        <f>IF(A150="","",ROUND(SUMIFS(aditivos!$L$2:$L$200,aditivos!$A$2:$A$200,A150,aditivos!$C$2:$C$200,"C2"),2))</f>
        <v/>
      </c>
      <c r="M150" s="198" t="str">
        <f t="shared" si="48"/>
        <v/>
      </c>
      <c r="N150" s="198" t="str">
        <f>IF(A150="","",IF(itens_Remanesc!G150="","",itens_Remanesc!G150))</f>
        <v/>
      </c>
      <c r="O150" s="206" t="str">
        <f t="shared" si="49"/>
        <v/>
      </c>
      <c r="P150" s="208" t="str">
        <f>IF(A150="","",ROUND(SUMIFS(aditivos!$L$2:$L$200,aditivos!$A$2:$A$200,A150,aditivos!$C$2:$C$200,"C3"),2))</f>
        <v/>
      </c>
      <c r="Q150" s="204" t="str">
        <f t="shared" si="50"/>
        <v/>
      </c>
      <c r="R150" s="204" t="str">
        <f>IF(A150="","",IF(itens_Remanesc!I150="","",itens_Remanesc!I150))</f>
        <v/>
      </c>
      <c r="S150" s="210" t="str">
        <f t="shared" si="51"/>
        <v/>
      </c>
      <c r="T150" s="202" t="str">
        <f>IF(A150="","",ROUND(SUMIFS(aditivos!$L$2:$L$200,aditivos!$A$2:$A$200,A150,aditivos!$C$2:$C$200,"C4"),2))</f>
        <v/>
      </c>
      <c r="U150" s="198" t="str">
        <f t="shared" si="52"/>
        <v/>
      </c>
      <c r="V150" s="198" t="str">
        <f>IF(A150="","",IF(itens_Remanesc!K150="","",itens_Remanesc!K150))</f>
        <v/>
      </c>
      <c r="W150" s="198" t="str">
        <f t="shared" si="53"/>
        <v/>
      </c>
      <c r="X150" s="181" t="str">
        <f t="shared" si="54"/>
        <v/>
      </c>
    </row>
    <row r="151" spans="1:24" x14ac:dyDescent="0.35">
      <c r="A151" s="181" t="str">
        <f>IF(itens_Remanesc!A151="","",itens_Remanesc!A151)</f>
        <v/>
      </c>
      <c r="B151" s="181" t="str">
        <f>IF(A151="","",itens_Remanesc!C151)</f>
        <v/>
      </c>
      <c r="C151" s="200" t="str">
        <f>IF(A151="","",itens_Remanesc!B151)</f>
        <v/>
      </c>
      <c r="D151" s="202" t="str">
        <f>IF(A151="","",ROUND(SUMIFS(aditivos!$L$2:$L$200,aditivos!$A$2:$A$200,A151,aditivos!$C$2:$C$200,"C0"),2))</f>
        <v/>
      </c>
      <c r="E151" s="198" t="str">
        <f t="shared" si="44"/>
        <v/>
      </c>
      <c r="F151" s="198" t="str">
        <f>IF(A151="","",IF(itens_Remanesc!B151="","",itens_Remanesc!B151))</f>
        <v/>
      </c>
      <c r="G151" s="206" t="str">
        <f t="shared" si="45"/>
        <v/>
      </c>
      <c r="H151" s="208" t="str">
        <f>IF(A151="","",ROUND(SUMIFS(aditivos!$L$2:$L$200,aditivos!$A$2:$A$200,A151,aditivos!$C$2:$C$200,"C1"),2))</f>
        <v/>
      </c>
      <c r="I151" s="204" t="str">
        <f t="shared" si="46"/>
        <v/>
      </c>
      <c r="J151" s="204" t="str">
        <f>IF(A151="","",IF(itens_Remanesc!E151="","",itens_Remanesc!E151))</f>
        <v/>
      </c>
      <c r="K151" s="210" t="str">
        <f t="shared" si="47"/>
        <v/>
      </c>
      <c r="L151" s="202" t="str">
        <f>IF(A151="","",ROUND(SUMIFS(aditivos!$L$2:$L$200,aditivos!$A$2:$A$200,A151,aditivos!$C$2:$C$200,"C2"),2))</f>
        <v/>
      </c>
      <c r="M151" s="198" t="str">
        <f t="shared" si="48"/>
        <v/>
      </c>
      <c r="N151" s="198" t="str">
        <f>IF(A151="","",IF(itens_Remanesc!G151="","",itens_Remanesc!G151))</f>
        <v/>
      </c>
      <c r="O151" s="206" t="str">
        <f t="shared" si="49"/>
        <v/>
      </c>
      <c r="P151" s="208" t="str">
        <f>IF(A151="","",ROUND(SUMIFS(aditivos!$L$2:$L$200,aditivos!$A$2:$A$200,A151,aditivos!$C$2:$C$200,"C3"),2))</f>
        <v/>
      </c>
      <c r="Q151" s="204" t="str">
        <f t="shared" si="50"/>
        <v/>
      </c>
      <c r="R151" s="204" t="str">
        <f>IF(A151="","",IF(itens_Remanesc!I151="","",itens_Remanesc!I151))</f>
        <v/>
      </c>
      <c r="S151" s="210" t="str">
        <f t="shared" si="51"/>
        <v/>
      </c>
      <c r="T151" s="202" t="str">
        <f>IF(A151="","",ROUND(SUMIFS(aditivos!$L$2:$L$200,aditivos!$A$2:$A$200,A151,aditivos!$C$2:$C$200,"C4"),2))</f>
        <v/>
      </c>
      <c r="U151" s="198" t="str">
        <f t="shared" si="52"/>
        <v/>
      </c>
      <c r="V151" s="198" t="str">
        <f>IF(A151="","",IF(itens_Remanesc!K151="","",itens_Remanesc!K151))</f>
        <v/>
      </c>
      <c r="W151" s="198" t="str">
        <f t="shared" si="53"/>
        <v/>
      </c>
      <c r="X151" s="181" t="str">
        <f t="shared" si="54"/>
        <v/>
      </c>
    </row>
    <row r="152" spans="1:24" x14ac:dyDescent="0.35">
      <c r="A152" s="181" t="str">
        <f>IF(itens_Remanesc!A152="","",itens_Remanesc!A152)</f>
        <v/>
      </c>
      <c r="B152" s="181" t="str">
        <f>IF(A152="","",itens_Remanesc!C152)</f>
        <v/>
      </c>
      <c r="C152" s="200" t="str">
        <f>IF(A152="","",itens_Remanesc!B152)</f>
        <v/>
      </c>
      <c r="D152" s="202" t="str">
        <f>IF(A152="","",ROUND(SUMIFS(aditivos!$L$2:$L$200,aditivos!$A$2:$A$200,A152,aditivos!$C$2:$C$200,"C0"),2))</f>
        <v/>
      </c>
      <c r="E152" s="198" t="str">
        <f t="shared" si="44"/>
        <v/>
      </c>
      <c r="F152" s="198" t="str">
        <f>IF(A152="","",IF(itens_Remanesc!B152="","",itens_Remanesc!B152))</f>
        <v/>
      </c>
      <c r="G152" s="206" t="str">
        <f t="shared" si="45"/>
        <v/>
      </c>
      <c r="H152" s="208" t="str">
        <f>IF(A152="","",ROUND(SUMIFS(aditivos!$L$2:$L$200,aditivos!$A$2:$A$200,A152,aditivos!$C$2:$C$200,"C1"),2))</f>
        <v/>
      </c>
      <c r="I152" s="204" t="str">
        <f t="shared" si="46"/>
        <v/>
      </c>
      <c r="J152" s="204" t="str">
        <f>IF(A152="","",IF(itens_Remanesc!E152="","",itens_Remanesc!E152))</f>
        <v/>
      </c>
      <c r="K152" s="210" t="str">
        <f t="shared" si="47"/>
        <v/>
      </c>
      <c r="L152" s="202" t="str">
        <f>IF(A152="","",ROUND(SUMIFS(aditivos!$L$2:$L$200,aditivos!$A$2:$A$200,A152,aditivos!$C$2:$C$200,"C2"),2))</f>
        <v/>
      </c>
      <c r="M152" s="198" t="str">
        <f t="shared" si="48"/>
        <v/>
      </c>
      <c r="N152" s="198" t="str">
        <f>IF(A152="","",IF(itens_Remanesc!G152="","",itens_Remanesc!G152))</f>
        <v/>
      </c>
      <c r="O152" s="206" t="str">
        <f t="shared" si="49"/>
        <v/>
      </c>
      <c r="P152" s="208" t="str">
        <f>IF(A152="","",ROUND(SUMIFS(aditivos!$L$2:$L$200,aditivos!$A$2:$A$200,A152,aditivos!$C$2:$C$200,"C3"),2))</f>
        <v/>
      </c>
      <c r="Q152" s="204" t="str">
        <f t="shared" si="50"/>
        <v/>
      </c>
      <c r="R152" s="204" t="str">
        <f>IF(A152="","",IF(itens_Remanesc!I152="","",itens_Remanesc!I152))</f>
        <v/>
      </c>
      <c r="S152" s="210" t="str">
        <f t="shared" si="51"/>
        <v/>
      </c>
      <c r="T152" s="202" t="str">
        <f>IF(A152="","",ROUND(SUMIFS(aditivos!$L$2:$L$200,aditivos!$A$2:$A$200,A152,aditivos!$C$2:$C$200,"C4"),2))</f>
        <v/>
      </c>
      <c r="U152" s="198" t="str">
        <f t="shared" si="52"/>
        <v/>
      </c>
      <c r="V152" s="198" t="str">
        <f>IF(A152="","",IF(itens_Remanesc!K152="","",itens_Remanesc!K152))</f>
        <v/>
      </c>
      <c r="W152" s="198" t="str">
        <f t="shared" si="53"/>
        <v/>
      </c>
      <c r="X152" s="181" t="str">
        <f t="shared" si="54"/>
        <v/>
      </c>
    </row>
    <row r="153" spans="1:24" x14ac:dyDescent="0.35">
      <c r="A153" s="181" t="str">
        <f>IF(itens_Remanesc!A153="","",itens_Remanesc!A153)</f>
        <v/>
      </c>
      <c r="B153" s="181" t="str">
        <f>IF(A153="","",itens_Remanesc!C153)</f>
        <v/>
      </c>
      <c r="C153" s="200" t="str">
        <f>IF(A153="","",itens_Remanesc!B153)</f>
        <v/>
      </c>
      <c r="D153" s="202" t="str">
        <f>IF(A153="","",ROUND(SUMIFS(aditivos!$L$2:$L$200,aditivos!$A$2:$A$200,A153,aditivos!$C$2:$C$200,"C0"),2))</f>
        <v/>
      </c>
      <c r="E153" s="198" t="str">
        <f t="shared" si="44"/>
        <v/>
      </c>
      <c r="F153" s="198" t="str">
        <f>IF(A153="","",IF(itens_Remanesc!B153="","",itens_Remanesc!B153))</f>
        <v/>
      </c>
      <c r="G153" s="206" t="str">
        <f t="shared" si="45"/>
        <v/>
      </c>
      <c r="H153" s="208" t="str">
        <f>IF(A153="","",ROUND(SUMIFS(aditivos!$L$2:$L$200,aditivos!$A$2:$A$200,A153,aditivos!$C$2:$C$200,"C1"),2))</f>
        <v/>
      </c>
      <c r="I153" s="204" t="str">
        <f t="shared" si="46"/>
        <v/>
      </c>
      <c r="J153" s="204" t="str">
        <f>IF(A153="","",IF(itens_Remanesc!E153="","",itens_Remanesc!E153))</f>
        <v/>
      </c>
      <c r="K153" s="210" t="str">
        <f t="shared" si="47"/>
        <v/>
      </c>
      <c r="L153" s="202" t="str">
        <f>IF(A153="","",ROUND(SUMIFS(aditivos!$L$2:$L$200,aditivos!$A$2:$A$200,A153,aditivos!$C$2:$C$200,"C2"),2))</f>
        <v/>
      </c>
      <c r="M153" s="198" t="str">
        <f t="shared" si="48"/>
        <v/>
      </c>
      <c r="N153" s="198" t="str">
        <f>IF(A153="","",IF(itens_Remanesc!G153="","",itens_Remanesc!G153))</f>
        <v/>
      </c>
      <c r="O153" s="206" t="str">
        <f t="shared" si="49"/>
        <v/>
      </c>
      <c r="P153" s="208" t="str">
        <f>IF(A153="","",ROUND(SUMIFS(aditivos!$L$2:$L$200,aditivos!$A$2:$A$200,A153,aditivos!$C$2:$C$200,"C3"),2))</f>
        <v/>
      </c>
      <c r="Q153" s="204" t="str">
        <f t="shared" si="50"/>
        <v/>
      </c>
      <c r="R153" s="204" t="str">
        <f>IF(A153="","",IF(itens_Remanesc!I153="","",itens_Remanesc!I153))</f>
        <v/>
      </c>
      <c r="S153" s="210" t="str">
        <f t="shared" si="51"/>
        <v/>
      </c>
      <c r="T153" s="202" t="str">
        <f>IF(A153="","",ROUND(SUMIFS(aditivos!$L$2:$L$200,aditivos!$A$2:$A$200,A153,aditivos!$C$2:$C$200,"C4"),2))</f>
        <v/>
      </c>
      <c r="U153" s="198" t="str">
        <f t="shared" si="52"/>
        <v/>
      </c>
      <c r="V153" s="198" t="str">
        <f>IF(A153="","",IF(itens_Remanesc!K153="","",itens_Remanesc!K153))</f>
        <v/>
      </c>
      <c r="W153" s="198" t="str">
        <f t="shared" si="53"/>
        <v/>
      </c>
      <c r="X153" s="181" t="str">
        <f t="shared" si="54"/>
        <v/>
      </c>
    </row>
    <row r="154" spans="1:24" x14ac:dyDescent="0.35">
      <c r="A154" s="181" t="str">
        <f>IF(itens_Remanesc!A154="","",itens_Remanesc!A154)</f>
        <v/>
      </c>
      <c r="B154" s="181" t="str">
        <f>IF(A154="","",itens_Remanesc!C154)</f>
        <v/>
      </c>
      <c r="C154" s="200" t="str">
        <f>IF(A154="","",itens_Remanesc!B154)</f>
        <v/>
      </c>
      <c r="D154" s="202" t="str">
        <f>IF(A154="","",ROUND(SUMIFS(aditivos!$L$2:$L$200,aditivos!$A$2:$A$200,A154,aditivos!$C$2:$C$200,"C0"),2))</f>
        <v/>
      </c>
      <c r="E154" s="198" t="str">
        <f t="shared" si="44"/>
        <v/>
      </c>
      <c r="F154" s="198" t="str">
        <f>IF(A154="","",IF(itens_Remanesc!B154="","",itens_Remanesc!B154))</f>
        <v/>
      </c>
      <c r="G154" s="206" t="str">
        <f t="shared" si="45"/>
        <v/>
      </c>
      <c r="H154" s="208" t="str">
        <f>IF(A154="","",ROUND(SUMIFS(aditivos!$L$2:$L$200,aditivos!$A$2:$A$200,A154,aditivos!$C$2:$C$200,"C1"),2))</f>
        <v/>
      </c>
      <c r="I154" s="204" t="str">
        <f t="shared" si="46"/>
        <v/>
      </c>
      <c r="J154" s="204" t="str">
        <f>IF(A154="","",IF(itens_Remanesc!E154="","",itens_Remanesc!E154))</f>
        <v/>
      </c>
      <c r="K154" s="210" t="str">
        <f t="shared" si="47"/>
        <v/>
      </c>
      <c r="L154" s="202" t="str">
        <f>IF(A154="","",ROUND(SUMIFS(aditivos!$L$2:$L$200,aditivos!$A$2:$A$200,A154,aditivos!$C$2:$C$200,"C2"),2))</f>
        <v/>
      </c>
      <c r="M154" s="198" t="str">
        <f t="shared" si="48"/>
        <v/>
      </c>
      <c r="N154" s="198" t="str">
        <f>IF(A154="","",IF(itens_Remanesc!G154="","",itens_Remanesc!G154))</f>
        <v/>
      </c>
      <c r="O154" s="206" t="str">
        <f t="shared" si="49"/>
        <v/>
      </c>
      <c r="P154" s="208" t="str">
        <f>IF(A154="","",ROUND(SUMIFS(aditivos!$L$2:$L$200,aditivos!$A$2:$A$200,A154,aditivos!$C$2:$C$200,"C3"),2))</f>
        <v/>
      </c>
      <c r="Q154" s="204" t="str">
        <f t="shared" si="50"/>
        <v/>
      </c>
      <c r="R154" s="204" t="str">
        <f>IF(A154="","",IF(itens_Remanesc!I154="","",itens_Remanesc!I154))</f>
        <v/>
      </c>
      <c r="S154" s="210" t="str">
        <f t="shared" si="51"/>
        <v/>
      </c>
      <c r="T154" s="202" t="str">
        <f>IF(A154="","",ROUND(SUMIFS(aditivos!$L$2:$L$200,aditivos!$A$2:$A$200,A154,aditivos!$C$2:$C$200,"C4"),2))</f>
        <v/>
      </c>
      <c r="U154" s="198" t="str">
        <f t="shared" si="52"/>
        <v/>
      </c>
      <c r="V154" s="198" t="str">
        <f>IF(A154="","",IF(itens_Remanesc!K154="","",itens_Remanesc!K154))</f>
        <v/>
      </c>
      <c r="W154" s="198" t="str">
        <f t="shared" si="53"/>
        <v/>
      </c>
      <c r="X154" s="181" t="str">
        <f t="shared" si="54"/>
        <v/>
      </c>
    </row>
    <row r="155" spans="1:24" x14ac:dyDescent="0.35">
      <c r="A155" s="181" t="str">
        <f>IF(itens_Remanesc!A155="","",itens_Remanesc!A155)</f>
        <v/>
      </c>
      <c r="B155" s="181" t="str">
        <f>IF(A155="","",itens_Remanesc!C155)</f>
        <v/>
      </c>
      <c r="C155" s="200" t="str">
        <f>IF(A155="","",itens_Remanesc!B155)</f>
        <v/>
      </c>
      <c r="D155" s="202" t="str">
        <f>IF(A155="","",ROUND(SUMIFS(aditivos!$L$2:$L$200,aditivos!$A$2:$A$200,A155,aditivos!$C$2:$C$200,"C0"),2))</f>
        <v/>
      </c>
      <c r="E155" s="198" t="str">
        <f t="shared" si="44"/>
        <v/>
      </c>
      <c r="F155" s="198" t="str">
        <f>IF(A155="","",IF(itens_Remanesc!B155="","",itens_Remanesc!B155))</f>
        <v/>
      </c>
      <c r="G155" s="206" t="str">
        <f t="shared" si="45"/>
        <v/>
      </c>
      <c r="H155" s="208" t="str">
        <f>IF(A155="","",ROUND(SUMIFS(aditivos!$L$2:$L$200,aditivos!$A$2:$A$200,A155,aditivos!$C$2:$C$200,"C1"),2))</f>
        <v/>
      </c>
      <c r="I155" s="204" t="str">
        <f t="shared" si="46"/>
        <v/>
      </c>
      <c r="J155" s="204" t="str">
        <f>IF(A155="","",IF(itens_Remanesc!E155="","",itens_Remanesc!E155))</f>
        <v/>
      </c>
      <c r="K155" s="210" t="str">
        <f t="shared" si="47"/>
        <v/>
      </c>
      <c r="L155" s="202" t="str">
        <f>IF(A155="","",ROUND(SUMIFS(aditivos!$L$2:$L$200,aditivos!$A$2:$A$200,A155,aditivos!$C$2:$C$200,"C2"),2))</f>
        <v/>
      </c>
      <c r="M155" s="198" t="str">
        <f t="shared" si="48"/>
        <v/>
      </c>
      <c r="N155" s="198" t="str">
        <f>IF(A155="","",IF(itens_Remanesc!G155="","",itens_Remanesc!G155))</f>
        <v/>
      </c>
      <c r="O155" s="206" t="str">
        <f t="shared" si="49"/>
        <v/>
      </c>
      <c r="P155" s="208" t="str">
        <f>IF(A155="","",ROUND(SUMIFS(aditivos!$L$2:$L$200,aditivos!$A$2:$A$200,A155,aditivos!$C$2:$C$200,"C3"),2))</f>
        <v/>
      </c>
      <c r="Q155" s="204" t="str">
        <f t="shared" si="50"/>
        <v/>
      </c>
      <c r="R155" s="204" t="str">
        <f>IF(A155="","",IF(itens_Remanesc!I155="","",itens_Remanesc!I155))</f>
        <v/>
      </c>
      <c r="S155" s="210" t="str">
        <f t="shared" si="51"/>
        <v/>
      </c>
      <c r="T155" s="202" t="str">
        <f>IF(A155="","",ROUND(SUMIFS(aditivos!$L$2:$L$200,aditivos!$A$2:$A$200,A155,aditivos!$C$2:$C$200,"C4"),2))</f>
        <v/>
      </c>
      <c r="U155" s="198" t="str">
        <f t="shared" si="52"/>
        <v/>
      </c>
      <c r="V155" s="198" t="str">
        <f>IF(A155="","",IF(itens_Remanesc!K155="","",itens_Remanesc!K155))</f>
        <v/>
      </c>
      <c r="W155" s="198" t="str">
        <f t="shared" si="53"/>
        <v/>
      </c>
      <c r="X155" s="181" t="str">
        <f t="shared" si="54"/>
        <v/>
      </c>
    </row>
    <row r="156" spans="1:24" x14ac:dyDescent="0.35">
      <c r="A156" s="181" t="str">
        <f>IF(itens_Remanesc!A156="","",itens_Remanesc!A156)</f>
        <v/>
      </c>
      <c r="B156" s="181" t="str">
        <f>IF(A156="","",itens_Remanesc!C156)</f>
        <v/>
      </c>
      <c r="C156" s="200" t="str">
        <f>IF(A156="","",itens_Remanesc!B156)</f>
        <v/>
      </c>
      <c r="D156" s="202" t="str">
        <f>IF(A156="","",ROUND(SUMIFS(aditivos!$L$2:$L$200,aditivos!$A$2:$A$200,A156,aditivos!$C$2:$C$200,"C0"),2))</f>
        <v/>
      </c>
      <c r="E156" s="198" t="str">
        <f t="shared" si="44"/>
        <v/>
      </c>
      <c r="F156" s="198" t="str">
        <f>IF(A156="","",IF(itens_Remanesc!B156="","",itens_Remanesc!B156))</f>
        <v/>
      </c>
      <c r="G156" s="206" t="str">
        <f t="shared" si="45"/>
        <v/>
      </c>
      <c r="H156" s="208" t="str">
        <f>IF(A156="","",ROUND(SUMIFS(aditivos!$L$2:$L$200,aditivos!$A$2:$A$200,A156,aditivos!$C$2:$C$200,"C1"),2))</f>
        <v/>
      </c>
      <c r="I156" s="204" t="str">
        <f t="shared" si="46"/>
        <v/>
      </c>
      <c r="J156" s="204" t="str">
        <f>IF(A156="","",IF(itens_Remanesc!E156="","",itens_Remanesc!E156))</f>
        <v/>
      </c>
      <c r="K156" s="210" t="str">
        <f t="shared" si="47"/>
        <v/>
      </c>
      <c r="L156" s="202" t="str">
        <f>IF(A156="","",ROUND(SUMIFS(aditivos!$L$2:$L$200,aditivos!$A$2:$A$200,A156,aditivos!$C$2:$C$200,"C2"),2))</f>
        <v/>
      </c>
      <c r="M156" s="198" t="str">
        <f t="shared" si="48"/>
        <v/>
      </c>
      <c r="N156" s="198" t="str">
        <f>IF(A156="","",IF(itens_Remanesc!G156="","",itens_Remanesc!G156))</f>
        <v/>
      </c>
      <c r="O156" s="206" t="str">
        <f t="shared" si="49"/>
        <v/>
      </c>
      <c r="P156" s="208" t="str">
        <f>IF(A156="","",ROUND(SUMIFS(aditivos!$L$2:$L$200,aditivos!$A$2:$A$200,A156,aditivos!$C$2:$C$200,"C3"),2))</f>
        <v/>
      </c>
      <c r="Q156" s="204" t="str">
        <f t="shared" si="50"/>
        <v/>
      </c>
      <c r="R156" s="204" t="str">
        <f>IF(A156="","",IF(itens_Remanesc!I156="","",itens_Remanesc!I156))</f>
        <v/>
      </c>
      <c r="S156" s="210" t="str">
        <f t="shared" si="51"/>
        <v/>
      </c>
      <c r="T156" s="202" t="str">
        <f>IF(A156="","",ROUND(SUMIFS(aditivos!$L$2:$L$200,aditivos!$A$2:$A$200,A156,aditivos!$C$2:$C$200,"C4"),2))</f>
        <v/>
      </c>
      <c r="U156" s="198" t="str">
        <f t="shared" si="52"/>
        <v/>
      </c>
      <c r="V156" s="198" t="str">
        <f>IF(A156="","",IF(itens_Remanesc!K156="","",itens_Remanesc!K156))</f>
        <v/>
      </c>
      <c r="W156" s="198" t="str">
        <f t="shared" si="53"/>
        <v/>
      </c>
      <c r="X156" s="181" t="str">
        <f t="shared" si="54"/>
        <v/>
      </c>
    </row>
    <row r="157" spans="1:24" x14ac:dyDescent="0.35">
      <c r="A157" s="181" t="str">
        <f>IF(itens_Remanesc!A157="","",itens_Remanesc!A157)</f>
        <v/>
      </c>
      <c r="B157" s="181" t="str">
        <f>IF(A157="","",itens_Remanesc!C157)</f>
        <v/>
      </c>
      <c r="C157" s="200" t="str">
        <f>IF(A157="","",itens_Remanesc!B157)</f>
        <v/>
      </c>
      <c r="D157" s="202" t="str">
        <f>IF(A157="","",ROUND(SUMIFS(aditivos!$L$2:$L$200,aditivos!$A$2:$A$200,A157,aditivos!$C$2:$C$200,"C0"),2))</f>
        <v/>
      </c>
      <c r="E157" s="198" t="str">
        <f t="shared" si="44"/>
        <v/>
      </c>
      <c r="F157" s="198" t="str">
        <f>IF(A157="","",IF(itens_Remanesc!B157="","",itens_Remanesc!B157))</f>
        <v/>
      </c>
      <c r="G157" s="206" t="str">
        <f t="shared" si="45"/>
        <v/>
      </c>
      <c r="H157" s="208" t="str">
        <f>IF(A157="","",ROUND(SUMIFS(aditivos!$L$2:$L$200,aditivos!$A$2:$A$200,A157,aditivos!$C$2:$C$200,"C1"),2))</f>
        <v/>
      </c>
      <c r="I157" s="204" t="str">
        <f t="shared" si="46"/>
        <v/>
      </c>
      <c r="J157" s="204" t="str">
        <f>IF(A157="","",IF(itens_Remanesc!E157="","",itens_Remanesc!E157))</f>
        <v/>
      </c>
      <c r="K157" s="210" t="str">
        <f t="shared" si="47"/>
        <v/>
      </c>
      <c r="L157" s="202" t="str">
        <f>IF(A157="","",ROUND(SUMIFS(aditivos!$L$2:$L$200,aditivos!$A$2:$A$200,A157,aditivos!$C$2:$C$200,"C2"),2))</f>
        <v/>
      </c>
      <c r="M157" s="198" t="str">
        <f t="shared" si="48"/>
        <v/>
      </c>
      <c r="N157" s="198" t="str">
        <f>IF(A157="","",IF(itens_Remanesc!G157="","",itens_Remanesc!G157))</f>
        <v/>
      </c>
      <c r="O157" s="206" t="str">
        <f t="shared" si="49"/>
        <v/>
      </c>
      <c r="P157" s="208" t="str">
        <f>IF(A157="","",ROUND(SUMIFS(aditivos!$L$2:$L$200,aditivos!$A$2:$A$200,A157,aditivos!$C$2:$C$200,"C3"),2))</f>
        <v/>
      </c>
      <c r="Q157" s="204" t="str">
        <f t="shared" si="50"/>
        <v/>
      </c>
      <c r="R157" s="204" t="str">
        <f>IF(A157="","",IF(itens_Remanesc!I157="","",itens_Remanesc!I157))</f>
        <v/>
      </c>
      <c r="S157" s="210" t="str">
        <f t="shared" si="51"/>
        <v/>
      </c>
      <c r="T157" s="202" t="str">
        <f>IF(A157="","",ROUND(SUMIFS(aditivos!$L$2:$L$200,aditivos!$A$2:$A$200,A157,aditivos!$C$2:$C$200,"C4"),2))</f>
        <v/>
      </c>
      <c r="U157" s="198" t="str">
        <f t="shared" si="52"/>
        <v/>
      </c>
      <c r="V157" s="198" t="str">
        <f>IF(A157="","",IF(itens_Remanesc!K157="","",itens_Remanesc!K157))</f>
        <v/>
      </c>
      <c r="W157" s="198" t="str">
        <f t="shared" si="53"/>
        <v/>
      </c>
      <c r="X157" s="181" t="str">
        <f t="shared" si="54"/>
        <v/>
      </c>
    </row>
    <row r="158" spans="1:24" x14ac:dyDescent="0.35">
      <c r="A158" s="181" t="str">
        <f>IF(itens_Remanesc!A158="","",itens_Remanesc!A158)</f>
        <v/>
      </c>
      <c r="B158" s="181" t="str">
        <f>IF(A158="","",itens_Remanesc!C158)</f>
        <v/>
      </c>
      <c r="C158" s="200" t="str">
        <f>IF(A158="","",itens_Remanesc!B158)</f>
        <v/>
      </c>
      <c r="D158" s="202" t="str">
        <f>IF(A158="","",ROUND(SUMIFS(aditivos!$L$2:$L$200,aditivos!$A$2:$A$200,A158,aditivos!$C$2:$C$200,"C0"),2))</f>
        <v/>
      </c>
      <c r="E158" s="198" t="str">
        <f t="shared" si="44"/>
        <v/>
      </c>
      <c r="F158" s="198" t="str">
        <f>IF(A158="","",IF(itens_Remanesc!B158="","",itens_Remanesc!B158))</f>
        <v/>
      </c>
      <c r="G158" s="206" t="str">
        <f t="shared" si="45"/>
        <v/>
      </c>
      <c r="H158" s="208" t="str">
        <f>IF(A158="","",ROUND(SUMIFS(aditivos!$L$2:$L$200,aditivos!$A$2:$A$200,A158,aditivos!$C$2:$C$200,"C1"),2))</f>
        <v/>
      </c>
      <c r="I158" s="204" t="str">
        <f t="shared" si="46"/>
        <v/>
      </c>
      <c r="J158" s="204" t="str">
        <f>IF(A158="","",IF(itens_Remanesc!E158="","",itens_Remanesc!E158))</f>
        <v/>
      </c>
      <c r="K158" s="210" t="str">
        <f t="shared" si="47"/>
        <v/>
      </c>
      <c r="L158" s="202" t="str">
        <f>IF(A158="","",ROUND(SUMIFS(aditivos!$L$2:$L$200,aditivos!$A$2:$A$200,A158,aditivos!$C$2:$C$200,"C2"),2))</f>
        <v/>
      </c>
      <c r="M158" s="198" t="str">
        <f t="shared" si="48"/>
        <v/>
      </c>
      <c r="N158" s="198" t="str">
        <f>IF(A158="","",IF(itens_Remanesc!G158="","",itens_Remanesc!G158))</f>
        <v/>
      </c>
      <c r="O158" s="206" t="str">
        <f t="shared" si="49"/>
        <v/>
      </c>
      <c r="P158" s="208" t="str">
        <f>IF(A158="","",ROUND(SUMIFS(aditivos!$L$2:$L$200,aditivos!$A$2:$A$200,A158,aditivos!$C$2:$C$200,"C3"),2))</f>
        <v/>
      </c>
      <c r="Q158" s="204" t="str">
        <f t="shared" si="50"/>
        <v/>
      </c>
      <c r="R158" s="204" t="str">
        <f>IF(A158="","",IF(itens_Remanesc!I158="","",itens_Remanesc!I158))</f>
        <v/>
      </c>
      <c r="S158" s="210" t="str">
        <f t="shared" si="51"/>
        <v/>
      </c>
      <c r="T158" s="202" t="str">
        <f>IF(A158="","",ROUND(SUMIFS(aditivos!$L$2:$L$200,aditivos!$A$2:$A$200,A158,aditivos!$C$2:$C$200,"C4"),2))</f>
        <v/>
      </c>
      <c r="U158" s="198" t="str">
        <f t="shared" si="52"/>
        <v/>
      </c>
      <c r="V158" s="198" t="str">
        <f>IF(A158="","",IF(itens_Remanesc!K158="","",itens_Remanesc!K158))</f>
        <v/>
      </c>
      <c r="W158" s="198" t="str">
        <f t="shared" si="53"/>
        <v/>
      </c>
      <c r="X158" s="181" t="str">
        <f t="shared" si="54"/>
        <v/>
      </c>
    </row>
    <row r="159" spans="1:24" x14ac:dyDescent="0.35">
      <c r="A159" s="181" t="str">
        <f>IF(itens_Remanesc!A159="","",itens_Remanesc!A159)</f>
        <v/>
      </c>
      <c r="B159" s="181" t="str">
        <f>IF(A159="","",itens_Remanesc!C159)</f>
        <v/>
      </c>
      <c r="C159" s="200" t="str">
        <f>IF(A159="","",itens_Remanesc!B159)</f>
        <v/>
      </c>
      <c r="D159" s="202" t="str">
        <f>IF(A159="","",ROUND(SUMIFS(aditivos!$L$2:$L$200,aditivos!$A$2:$A$200,A159,aditivos!$C$2:$C$200,"C0"),2))</f>
        <v/>
      </c>
      <c r="E159" s="198" t="str">
        <f t="shared" si="44"/>
        <v/>
      </c>
      <c r="F159" s="198" t="str">
        <f>IF(A159="","",IF(itens_Remanesc!B159="","",itens_Remanesc!B159))</f>
        <v/>
      </c>
      <c r="G159" s="206" t="str">
        <f t="shared" si="45"/>
        <v/>
      </c>
      <c r="H159" s="208" t="str">
        <f>IF(A159="","",ROUND(SUMIFS(aditivos!$L$2:$L$200,aditivos!$A$2:$A$200,A159,aditivos!$C$2:$C$200,"C1"),2))</f>
        <v/>
      </c>
      <c r="I159" s="204" t="str">
        <f t="shared" si="46"/>
        <v/>
      </c>
      <c r="J159" s="204" t="str">
        <f>IF(A159="","",IF(itens_Remanesc!E159="","",itens_Remanesc!E159))</f>
        <v/>
      </c>
      <c r="K159" s="210" t="str">
        <f t="shared" si="47"/>
        <v/>
      </c>
      <c r="L159" s="202" t="str">
        <f>IF(A159="","",ROUND(SUMIFS(aditivos!$L$2:$L$200,aditivos!$A$2:$A$200,A159,aditivos!$C$2:$C$200,"C2"),2))</f>
        <v/>
      </c>
      <c r="M159" s="198" t="str">
        <f t="shared" si="48"/>
        <v/>
      </c>
      <c r="N159" s="198" t="str">
        <f>IF(A159="","",IF(itens_Remanesc!G159="","",itens_Remanesc!G159))</f>
        <v/>
      </c>
      <c r="O159" s="206" t="str">
        <f t="shared" si="49"/>
        <v/>
      </c>
      <c r="P159" s="208" t="str">
        <f>IF(A159="","",ROUND(SUMIFS(aditivos!$L$2:$L$200,aditivos!$A$2:$A$200,A159,aditivos!$C$2:$C$200,"C3"),2))</f>
        <v/>
      </c>
      <c r="Q159" s="204" t="str">
        <f t="shared" si="50"/>
        <v/>
      </c>
      <c r="R159" s="204" t="str">
        <f>IF(A159="","",IF(itens_Remanesc!I159="","",itens_Remanesc!I159))</f>
        <v/>
      </c>
      <c r="S159" s="210" t="str">
        <f t="shared" si="51"/>
        <v/>
      </c>
      <c r="T159" s="202" t="str">
        <f>IF(A159="","",ROUND(SUMIFS(aditivos!$L$2:$L$200,aditivos!$A$2:$A$200,A159,aditivos!$C$2:$C$200,"C4"),2))</f>
        <v/>
      </c>
      <c r="U159" s="198" t="str">
        <f t="shared" si="52"/>
        <v/>
      </c>
      <c r="V159" s="198" t="str">
        <f>IF(A159="","",IF(itens_Remanesc!K159="","",itens_Remanesc!K159))</f>
        <v/>
      </c>
      <c r="W159" s="198" t="str">
        <f t="shared" si="53"/>
        <v/>
      </c>
      <c r="X159" s="181" t="str">
        <f t="shared" si="54"/>
        <v/>
      </c>
    </row>
    <row r="160" spans="1:24" x14ac:dyDescent="0.35">
      <c r="A160" s="181" t="str">
        <f>IF(itens_Remanesc!A160="","",itens_Remanesc!A160)</f>
        <v/>
      </c>
      <c r="B160" s="181" t="str">
        <f>IF(A160="","",itens_Remanesc!C160)</f>
        <v/>
      </c>
      <c r="C160" s="200" t="str">
        <f>IF(A160="","",itens_Remanesc!B160)</f>
        <v/>
      </c>
      <c r="D160" s="202" t="str">
        <f>IF(A160="","",ROUND(SUMIFS(aditivos!$L$2:$L$200,aditivos!$A$2:$A$200,A160,aditivos!$C$2:$C$200,"C0"),2))</f>
        <v/>
      </c>
      <c r="E160" s="198" t="str">
        <f t="shared" si="44"/>
        <v/>
      </c>
      <c r="F160" s="198" t="str">
        <f>IF(A160="","",IF(itens_Remanesc!B160="","",itens_Remanesc!B160))</f>
        <v/>
      </c>
      <c r="G160" s="206" t="str">
        <f t="shared" si="45"/>
        <v/>
      </c>
      <c r="H160" s="208" t="str">
        <f>IF(A160="","",ROUND(SUMIFS(aditivos!$L$2:$L$200,aditivos!$A$2:$A$200,A160,aditivos!$C$2:$C$200,"C1"),2))</f>
        <v/>
      </c>
      <c r="I160" s="204" t="str">
        <f t="shared" si="46"/>
        <v/>
      </c>
      <c r="J160" s="204" t="str">
        <f>IF(A160="","",IF(itens_Remanesc!E160="","",itens_Remanesc!E160))</f>
        <v/>
      </c>
      <c r="K160" s="210" t="str">
        <f t="shared" si="47"/>
        <v/>
      </c>
      <c r="L160" s="202" t="str">
        <f>IF(A160="","",ROUND(SUMIFS(aditivos!$L$2:$L$200,aditivos!$A$2:$A$200,A160,aditivos!$C$2:$C$200,"C2"),2))</f>
        <v/>
      </c>
      <c r="M160" s="198" t="str">
        <f t="shared" si="48"/>
        <v/>
      </c>
      <c r="N160" s="198" t="str">
        <f>IF(A160="","",IF(itens_Remanesc!G160="","",itens_Remanesc!G160))</f>
        <v/>
      </c>
      <c r="O160" s="206" t="str">
        <f t="shared" si="49"/>
        <v/>
      </c>
      <c r="P160" s="208" t="str">
        <f>IF(A160="","",ROUND(SUMIFS(aditivos!$L$2:$L$200,aditivos!$A$2:$A$200,A160,aditivos!$C$2:$C$200,"C3"),2))</f>
        <v/>
      </c>
      <c r="Q160" s="204" t="str">
        <f t="shared" si="50"/>
        <v/>
      </c>
      <c r="R160" s="204" t="str">
        <f>IF(A160="","",IF(itens_Remanesc!I160="","",itens_Remanesc!I160))</f>
        <v/>
      </c>
      <c r="S160" s="210" t="str">
        <f t="shared" si="51"/>
        <v/>
      </c>
      <c r="T160" s="202" t="str">
        <f>IF(A160="","",ROUND(SUMIFS(aditivos!$L$2:$L$200,aditivos!$A$2:$A$200,A160,aditivos!$C$2:$C$200,"C4"),2))</f>
        <v/>
      </c>
      <c r="U160" s="198" t="str">
        <f t="shared" si="52"/>
        <v/>
      </c>
      <c r="V160" s="198" t="str">
        <f>IF(A160="","",IF(itens_Remanesc!K160="","",itens_Remanesc!K160))</f>
        <v/>
      </c>
      <c r="W160" s="198" t="str">
        <f t="shared" si="53"/>
        <v/>
      </c>
      <c r="X160" s="181" t="str">
        <f t="shared" si="54"/>
        <v/>
      </c>
    </row>
    <row r="161" spans="1:24" x14ac:dyDescent="0.35">
      <c r="A161" s="181" t="str">
        <f>IF(itens_Remanesc!A161="","",itens_Remanesc!A161)</f>
        <v/>
      </c>
      <c r="B161" s="181" t="str">
        <f>IF(A161="","",itens_Remanesc!C161)</f>
        <v/>
      </c>
      <c r="C161" s="200" t="str">
        <f>IF(A161="","",itens_Remanesc!B161)</f>
        <v/>
      </c>
      <c r="D161" s="202" t="str">
        <f>IF(A161="","",ROUND(SUMIFS(aditivos!$L$2:$L$200,aditivos!$A$2:$A$200,A161,aditivos!$C$2:$C$200,"C0"),2))</f>
        <v/>
      </c>
      <c r="E161" s="198" t="str">
        <f t="shared" si="44"/>
        <v/>
      </c>
      <c r="F161" s="198" t="str">
        <f>IF(A161="","",IF(itens_Remanesc!B161="","",itens_Remanesc!B161))</f>
        <v/>
      </c>
      <c r="G161" s="206" t="str">
        <f t="shared" si="45"/>
        <v/>
      </c>
      <c r="H161" s="208" t="str">
        <f>IF(A161="","",ROUND(SUMIFS(aditivos!$L$2:$L$200,aditivos!$A$2:$A$200,A161,aditivos!$C$2:$C$200,"C1"),2))</f>
        <v/>
      </c>
      <c r="I161" s="204" t="str">
        <f t="shared" si="46"/>
        <v/>
      </c>
      <c r="J161" s="204" t="str">
        <f>IF(A161="","",IF(itens_Remanesc!E161="","",itens_Remanesc!E161))</f>
        <v/>
      </c>
      <c r="K161" s="210" t="str">
        <f t="shared" si="47"/>
        <v/>
      </c>
      <c r="L161" s="202" t="str">
        <f>IF(A161="","",ROUND(SUMIFS(aditivos!$L$2:$L$200,aditivos!$A$2:$A$200,A161,aditivos!$C$2:$C$200,"C2"),2))</f>
        <v/>
      </c>
      <c r="M161" s="198" t="str">
        <f t="shared" si="48"/>
        <v/>
      </c>
      <c r="N161" s="198" t="str">
        <f>IF(A161="","",IF(itens_Remanesc!G161="","",itens_Remanesc!G161))</f>
        <v/>
      </c>
      <c r="O161" s="206" t="str">
        <f t="shared" si="49"/>
        <v/>
      </c>
      <c r="P161" s="208" t="str">
        <f>IF(A161="","",ROUND(SUMIFS(aditivos!$L$2:$L$200,aditivos!$A$2:$A$200,A161,aditivos!$C$2:$C$200,"C3"),2))</f>
        <v/>
      </c>
      <c r="Q161" s="204" t="str">
        <f t="shared" si="50"/>
        <v/>
      </c>
      <c r="R161" s="204" t="str">
        <f>IF(A161="","",IF(itens_Remanesc!I161="","",itens_Remanesc!I161))</f>
        <v/>
      </c>
      <c r="S161" s="210" t="str">
        <f t="shared" si="51"/>
        <v/>
      </c>
      <c r="T161" s="202" t="str">
        <f>IF(A161="","",ROUND(SUMIFS(aditivos!$L$2:$L$200,aditivos!$A$2:$A$200,A161,aditivos!$C$2:$C$200,"C4"),2))</f>
        <v/>
      </c>
      <c r="U161" s="198" t="str">
        <f t="shared" si="52"/>
        <v/>
      </c>
      <c r="V161" s="198" t="str">
        <f>IF(A161="","",IF(itens_Remanesc!K161="","",itens_Remanesc!K161))</f>
        <v/>
      </c>
      <c r="W161" s="198" t="str">
        <f t="shared" si="53"/>
        <v/>
      </c>
      <c r="X161" s="181" t="str">
        <f t="shared" si="54"/>
        <v/>
      </c>
    </row>
    <row r="162" spans="1:24" x14ac:dyDescent="0.35">
      <c r="A162" s="181" t="str">
        <f>IF(itens_Remanesc!A162="","",itens_Remanesc!A162)</f>
        <v/>
      </c>
      <c r="B162" s="181" t="str">
        <f>IF(A162="","",itens_Remanesc!C162)</f>
        <v/>
      </c>
      <c r="C162" s="200" t="str">
        <f>IF(A162="","",itens_Remanesc!B162)</f>
        <v/>
      </c>
      <c r="D162" s="202" t="str">
        <f>IF(A162="","",ROUND(SUMIFS(aditivos!$L$2:$L$200,aditivos!$A$2:$A$200,A162,aditivos!$C$2:$C$200,"C0"),2))</f>
        <v/>
      </c>
      <c r="E162" s="198" t="str">
        <f t="shared" ref="E162:E193" si="55">IF(A162="","",ROUND(C162+D162,2))</f>
        <v/>
      </c>
      <c r="F162" s="198" t="str">
        <f>IF(A162="","",IF(itens_Remanesc!B162="","",itens_Remanesc!B162))</f>
        <v/>
      </c>
      <c r="G162" s="206" t="str">
        <f t="shared" ref="G162:G193" si="56">IF(A162="","",E162)</f>
        <v/>
      </c>
      <c r="H162" s="208" t="str">
        <f>IF(A162="","",ROUND(SUMIFS(aditivos!$L$2:$L$200,aditivos!$A$2:$A$200,A162,aditivos!$C$2:$C$200,"C1"),2))</f>
        <v/>
      </c>
      <c r="I162" s="204" t="str">
        <f t="shared" ref="I162:I193" si="57">IF(A162="","",ROUND(E162+H162,2))</f>
        <v/>
      </c>
      <c r="J162" s="204" t="str">
        <f>IF(A162="","",IF(itens_Remanesc!E162="","",itens_Remanesc!E162))</f>
        <v/>
      </c>
      <c r="K162" s="210" t="str">
        <f t="shared" ref="K162:K193" si="58">IF(OR(A162="",J162=""),"",ROUND(J162,2))</f>
        <v/>
      </c>
      <c r="L162" s="202" t="str">
        <f>IF(A162="","",ROUND(SUMIFS(aditivos!$L$2:$L$200,aditivos!$A$2:$A$200,A162,aditivos!$C$2:$C$200,"C2"),2))</f>
        <v/>
      </c>
      <c r="M162" s="198" t="str">
        <f t="shared" ref="M162:M193" si="59">IF(A162="","",ROUND(I162+L162,2))</f>
        <v/>
      </c>
      <c r="N162" s="198" t="str">
        <f>IF(A162="","",IF(itens_Remanesc!G162="","",itens_Remanesc!G162))</f>
        <v/>
      </c>
      <c r="O162" s="206" t="str">
        <f t="shared" ref="O162:O193" si="60">IF(OR(A162="",N162=""),"",ROUND(N162,2))</f>
        <v/>
      </c>
      <c r="P162" s="208" t="str">
        <f>IF(A162="","",ROUND(SUMIFS(aditivos!$L$2:$L$200,aditivos!$A$2:$A$200,A162,aditivos!$C$2:$C$200,"C3"),2))</f>
        <v/>
      </c>
      <c r="Q162" s="204" t="str">
        <f t="shared" ref="Q162:Q193" si="61">IF(A162="","",ROUND(M162+P162,2))</f>
        <v/>
      </c>
      <c r="R162" s="204" t="str">
        <f>IF(A162="","",IF(itens_Remanesc!I162="","",itens_Remanesc!I162))</f>
        <v/>
      </c>
      <c r="S162" s="210" t="str">
        <f t="shared" ref="S162:S193" si="62">IF(OR(A162="",R162=""),"",ROUND(R162,2))</f>
        <v/>
      </c>
      <c r="T162" s="202" t="str">
        <f>IF(A162="","",ROUND(SUMIFS(aditivos!$L$2:$L$200,aditivos!$A$2:$A$200,A162,aditivos!$C$2:$C$200,"C4"),2))</f>
        <v/>
      </c>
      <c r="U162" s="198" t="str">
        <f t="shared" ref="U162:U193" si="63">IF(A162="","",ROUND(Q162+T162,2))</f>
        <v/>
      </c>
      <c r="V162" s="198" t="str">
        <f>IF(A162="","",IF(itens_Remanesc!K162="","",itens_Remanesc!K162))</f>
        <v/>
      </c>
      <c r="W162" s="198" t="str">
        <f t="shared" ref="W162:W193" si="64">IF(OR(A162="",V162=""),"",ROUND(V162,2))</f>
        <v/>
      </c>
      <c r="X162" s="181" t="str">
        <f t="shared" ref="X162:X193" si="65">IF(A162="","",IF(COUNTIF($A$2:$A$200,A162)&gt;1,"ALERTA: ITEM_DUPLICADO",IF(MIN(E162,I162,M162,Q162,U162,G162,K162,O162,S162,W162)&lt;0,"ALERTA: POSICAO_NEGATIVA",IF(OR(AND(G162&lt;&gt;"",G162&gt;E162),AND(K162&lt;&gt;"",K162&gt;I162),AND(O162&lt;&gt;"",O162&gt;M162),AND(S162&lt;&gt;"",S162&gt;Q162),AND(W162&lt;&gt;"",W162&gt;U162)),"ALERTA: REMANESCENTE_SUPERA_POSICAO","OK"))))</f>
        <v/>
      </c>
    </row>
    <row r="163" spans="1:24" x14ac:dyDescent="0.35">
      <c r="A163" s="181" t="str">
        <f>IF(itens_Remanesc!A163="","",itens_Remanesc!A163)</f>
        <v/>
      </c>
      <c r="B163" s="181" t="str">
        <f>IF(A163="","",itens_Remanesc!C163)</f>
        <v/>
      </c>
      <c r="C163" s="200" t="str">
        <f>IF(A163="","",itens_Remanesc!B163)</f>
        <v/>
      </c>
      <c r="D163" s="202" t="str">
        <f>IF(A163="","",ROUND(SUMIFS(aditivos!$L$2:$L$200,aditivos!$A$2:$A$200,A163,aditivos!$C$2:$C$200,"C0"),2))</f>
        <v/>
      </c>
      <c r="E163" s="198" t="str">
        <f t="shared" si="55"/>
        <v/>
      </c>
      <c r="F163" s="198" t="str">
        <f>IF(A163="","",IF(itens_Remanesc!B163="","",itens_Remanesc!B163))</f>
        <v/>
      </c>
      <c r="G163" s="206" t="str">
        <f t="shared" si="56"/>
        <v/>
      </c>
      <c r="H163" s="208" t="str">
        <f>IF(A163="","",ROUND(SUMIFS(aditivos!$L$2:$L$200,aditivos!$A$2:$A$200,A163,aditivos!$C$2:$C$200,"C1"),2))</f>
        <v/>
      </c>
      <c r="I163" s="204" t="str">
        <f t="shared" si="57"/>
        <v/>
      </c>
      <c r="J163" s="204" t="str">
        <f>IF(A163="","",IF(itens_Remanesc!E163="","",itens_Remanesc!E163))</f>
        <v/>
      </c>
      <c r="K163" s="210" t="str">
        <f t="shared" si="58"/>
        <v/>
      </c>
      <c r="L163" s="202" t="str">
        <f>IF(A163="","",ROUND(SUMIFS(aditivos!$L$2:$L$200,aditivos!$A$2:$A$200,A163,aditivos!$C$2:$C$200,"C2"),2))</f>
        <v/>
      </c>
      <c r="M163" s="198" t="str">
        <f t="shared" si="59"/>
        <v/>
      </c>
      <c r="N163" s="198" t="str">
        <f>IF(A163="","",IF(itens_Remanesc!G163="","",itens_Remanesc!G163))</f>
        <v/>
      </c>
      <c r="O163" s="206" t="str">
        <f t="shared" si="60"/>
        <v/>
      </c>
      <c r="P163" s="208" t="str">
        <f>IF(A163="","",ROUND(SUMIFS(aditivos!$L$2:$L$200,aditivos!$A$2:$A$200,A163,aditivos!$C$2:$C$200,"C3"),2))</f>
        <v/>
      </c>
      <c r="Q163" s="204" t="str">
        <f t="shared" si="61"/>
        <v/>
      </c>
      <c r="R163" s="204" t="str">
        <f>IF(A163="","",IF(itens_Remanesc!I163="","",itens_Remanesc!I163))</f>
        <v/>
      </c>
      <c r="S163" s="210" t="str">
        <f t="shared" si="62"/>
        <v/>
      </c>
      <c r="T163" s="202" t="str">
        <f>IF(A163="","",ROUND(SUMIFS(aditivos!$L$2:$L$200,aditivos!$A$2:$A$200,A163,aditivos!$C$2:$C$200,"C4"),2))</f>
        <v/>
      </c>
      <c r="U163" s="198" t="str">
        <f t="shared" si="63"/>
        <v/>
      </c>
      <c r="V163" s="198" t="str">
        <f>IF(A163="","",IF(itens_Remanesc!K163="","",itens_Remanesc!K163))</f>
        <v/>
      </c>
      <c r="W163" s="198" t="str">
        <f t="shared" si="64"/>
        <v/>
      </c>
      <c r="X163" s="181" t="str">
        <f t="shared" si="65"/>
        <v/>
      </c>
    </row>
    <row r="164" spans="1:24" x14ac:dyDescent="0.35">
      <c r="A164" s="181" t="str">
        <f>IF(itens_Remanesc!A164="","",itens_Remanesc!A164)</f>
        <v/>
      </c>
      <c r="B164" s="181" t="str">
        <f>IF(A164="","",itens_Remanesc!C164)</f>
        <v/>
      </c>
      <c r="C164" s="200" t="str">
        <f>IF(A164="","",itens_Remanesc!B164)</f>
        <v/>
      </c>
      <c r="D164" s="202" t="str">
        <f>IF(A164="","",ROUND(SUMIFS(aditivos!$L$2:$L$200,aditivos!$A$2:$A$200,A164,aditivos!$C$2:$C$200,"C0"),2))</f>
        <v/>
      </c>
      <c r="E164" s="198" t="str">
        <f t="shared" si="55"/>
        <v/>
      </c>
      <c r="F164" s="198" t="str">
        <f>IF(A164="","",IF(itens_Remanesc!B164="","",itens_Remanesc!B164))</f>
        <v/>
      </c>
      <c r="G164" s="206" t="str">
        <f t="shared" si="56"/>
        <v/>
      </c>
      <c r="H164" s="208" t="str">
        <f>IF(A164="","",ROUND(SUMIFS(aditivos!$L$2:$L$200,aditivos!$A$2:$A$200,A164,aditivos!$C$2:$C$200,"C1"),2))</f>
        <v/>
      </c>
      <c r="I164" s="204" t="str">
        <f t="shared" si="57"/>
        <v/>
      </c>
      <c r="J164" s="204" t="str">
        <f>IF(A164="","",IF(itens_Remanesc!E164="","",itens_Remanesc!E164))</f>
        <v/>
      </c>
      <c r="K164" s="210" t="str">
        <f t="shared" si="58"/>
        <v/>
      </c>
      <c r="L164" s="202" t="str">
        <f>IF(A164="","",ROUND(SUMIFS(aditivos!$L$2:$L$200,aditivos!$A$2:$A$200,A164,aditivos!$C$2:$C$200,"C2"),2))</f>
        <v/>
      </c>
      <c r="M164" s="198" t="str">
        <f t="shared" si="59"/>
        <v/>
      </c>
      <c r="N164" s="198" t="str">
        <f>IF(A164="","",IF(itens_Remanesc!G164="","",itens_Remanesc!G164))</f>
        <v/>
      </c>
      <c r="O164" s="206" t="str">
        <f t="shared" si="60"/>
        <v/>
      </c>
      <c r="P164" s="208" t="str">
        <f>IF(A164="","",ROUND(SUMIFS(aditivos!$L$2:$L$200,aditivos!$A$2:$A$200,A164,aditivos!$C$2:$C$200,"C3"),2))</f>
        <v/>
      </c>
      <c r="Q164" s="204" t="str">
        <f t="shared" si="61"/>
        <v/>
      </c>
      <c r="R164" s="204" t="str">
        <f>IF(A164="","",IF(itens_Remanesc!I164="","",itens_Remanesc!I164))</f>
        <v/>
      </c>
      <c r="S164" s="210" t="str">
        <f t="shared" si="62"/>
        <v/>
      </c>
      <c r="T164" s="202" t="str">
        <f>IF(A164="","",ROUND(SUMIFS(aditivos!$L$2:$L$200,aditivos!$A$2:$A$200,A164,aditivos!$C$2:$C$200,"C4"),2))</f>
        <v/>
      </c>
      <c r="U164" s="198" t="str">
        <f t="shared" si="63"/>
        <v/>
      </c>
      <c r="V164" s="198" t="str">
        <f>IF(A164="","",IF(itens_Remanesc!K164="","",itens_Remanesc!K164))</f>
        <v/>
      </c>
      <c r="W164" s="198" t="str">
        <f t="shared" si="64"/>
        <v/>
      </c>
      <c r="X164" s="181" t="str">
        <f t="shared" si="65"/>
        <v/>
      </c>
    </row>
    <row r="165" spans="1:24" x14ac:dyDescent="0.35">
      <c r="A165" s="181" t="str">
        <f>IF(itens_Remanesc!A165="","",itens_Remanesc!A165)</f>
        <v/>
      </c>
      <c r="B165" s="181" t="str">
        <f>IF(A165="","",itens_Remanesc!C165)</f>
        <v/>
      </c>
      <c r="C165" s="200" t="str">
        <f>IF(A165="","",itens_Remanesc!B165)</f>
        <v/>
      </c>
      <c r="D165" s="202" t="str">
        <f>IF(A165="","",ROUND(SUMIFS(aditivos!$L$2:$L$200,aditivos!$A$2:$A$200,A165,aditivos!$C$2:$C$200,"C0"),2))</f>
        <v/>
      </c>
      <c r="E165" s="198" t="str">
        <f t="shared" si="55"/>
        <v/>
      </c>
      <c r="F165" s="198" t="str">
        <f>IF(A165="","",IF(itens_Remanesc!B165="","",itens_Remanesc!B165))</f>
        <v/>
      </c>
      <c r="G165" s="206" t="str">
        <f t="shared" si="56"/>
        <v/>
      </c>
      <c r="H165" s="208" t="str">
        <f>IF(A165="","",ROUND(SUMIFS(aditivos!$L$2:$L$200,aditivos!$A$2:$A$200,A165,aditivos!$C$2:$C$200,"C1"),2))</f>
        <v/>
      </c>
      <c r="I165" s="204" t="str">
        <f t="shared" si="57"/>
        <v/>
      </c>
      <c r="J165" s="204" t="str">
        <f>IF(A165="","",IF(itens_Remanesc!E165="","",itens_Remanesc!E165))</f>
        <v/>
      </c>
      <c r="K165" s="210" t="str">
        <f t="shared" si="58"/>
        <v/>
      </c>
      <c r="L165" s="202" t="str">
        <f>IF(A165="","",ROUND(SUMIFS(aditivos!$L$2:$L$200,aditivos!$A$2:$A$200,A165,aditivos!$C$2:$C$200,"C2"),2))</f>
        <v/>
      </c>
      <c r="M165" s="198" t="str">
        <f t="shared" si="59"/>
        <v/>
      </c>
      <c r="N165" s="198" t="str">
        <f>IF(A165="","",IF(itens_Remanesc!G165="","",itens_Remanesc!G165))</f>
        <v/>
      </c>
      <c r="O165" s="206" t="str">
        <f t="shared" si="60"/>
        <v/>
      </c>
      <c r="P165" s="208" t="str">
        <f>IF(A165="","",ROUND(SUMIFS(aditivos!$L$2:$L$200,aditivos!$A$2:$A$200,A165,aditivos!$C$2:$C$200,"C3"),2))</f>
        <v/>
      </c>
      <c r="Q165" s="204" t="str">
        <f t="shared" si="61"/>
        <v/>
      </c>
      <c r="R165" s="204" t="str">
        <f>IF(A165="","",IF(itens_Remanesc!I165="","",itens_Remanesc!I165))</f>
        <v/>
      </c>
      <c r="S165" s="210" t="str">
        <f t="shared" si="62"/>
        <v/>
      </c>
      <c r="T165" s="202" t="str">
        <f>IF(A165="","",ROUND(SUMIFS(aditivos!$L$2:$L$200,aditivos!$A$2:$A$200,A165,aditivos!$C$2:$C$200,"C4"),2))</f>
        <v/>
      </c>
      <c r="U165" s="198" t="str">
        <f t="shared" si="63"/>
        <v/>
      </c>
      <c r="V165" s="198" t="str">
        <f>IF(A165="","",IF(itens_Remanesc!K165="","",itens_Remanesc!K165))</f>
        <v/>
      </c>
      <c r="W165" s="198" t="str">
        <f t="shared" si="64"/>
        <v/>
      </c>
      <c r="X165" s="181" t="str">
        <f t="shared" si="65"/>
        <v/>
      </c>
    </row>
    <row r="166" spans="1:24" x14ac:dyDescent="0.35">
      <c r="A166" s="181" t="str">
        <f>IF(itens_Remanesc!A166="","",itens_Remanesc!A166)</f>
        <v/>
      </c>
      <c r="B166" s="181" t="str">
        <f>IF(A166="","",itens_Remanesc!C166)</f>
        <v/>
      </c>
      <c r="C166" s="200" t="str">
        <f>IF(A166="","",itens_Remanesc!B166)</f>
        <v/>
      </c>
      <c r="D166" s="202" t="str">
        <f>IF(A166="","",ROUND(SUMIFS(aditivos!$L$2:$L$200,aditivos!$A$2:$A$200,A166,aditivos!$C$2:$C$200,"C0"),2))</f>
        <v/>
      </c>
      <c r="E166" s="198" t="str">
        <f t="shared" si="55"/>
        <v/>
      </c>
      <c r="F166" s="198" t="str">
        <f>IF(A166="","",IF(itens_Remanesc!B166="","",itens_Remanesc!B166))</f>
        <v/>
      </c>
      <c r="G166" s="206" t="str">
        <f t="shared" si="56"/>
        <v/>
      </c>
      <c r="H166" s="208" t="str">
        <f>IF(A166="","",ROUND(SUMIFS(aditivos!$L$2:$L$200,aditivos!$A$2:$A$200,A166,aditivos!$C$2:$C$200,"C1"),2))</f>
        <v/>
      </c>
      <c r="I166" s="204" t="str">
        <f t="shared" si="57"/>
        <v/>
      </c>
      <c r="J166" s="204" t="str">
        <f>IF(A166="","",IF(itens_Remanesc!E166="","",itens_Remanesc!E166))</f>
        <v/>
      </c>
      <c r="K166" s="210" t="str">
        <f t="shared" si="58"/>
        <v/>
      </c>
      <c r="L166" s="202" t="str">
        <f>IF(A166="","",ROUND(SUMIFS(aditivos!$L$2:$L$200,aditivos!$A$2:$A$200,A166,aditivos!$C$2:$C$200,"C2"),2))</f>
        <v/>
      </c>
      <c r="M166" s="198" t="str">
        <f t="shared" si="59"/>
        <v/>
      </c>
      <c r="N166" s="198" t="str">
        <f>IF(A166="","",IF(itens_Remanesc!G166="","",itens_Remanesc!G166))</f>
        <v/>
      </c>
      <c r="O166" s="206" t="str">
        <f t="shared" si="60"/>
        <v/>
      </c>
      <c r="P166" s="208" t="str">
        <f>IF(A166="","",ROUND(SUMIFS(aditivos!$L$2:$L$200,aditivos!$A$2:$A$200,A166,aditivos!$C$2:$C$200,"C3"),2))</f>
        <v/>
      </c>
      <c r="Q166" s="204" t="str">
        <f t="shared" si="61"/>
        <v/>
      </c>
      <c r="R166" s="204" t="str">
        <f>IF(A166="","",IF(itens_Remanesc!I166="","",itens_Remanesc!I166))</f>
        <v/>
      </c>
      <c r="S166" s="210" t="str">
        <f t="shared" si="62"/>
        <v/>
      </c>
      <c r="T166" s="202" t="str">
        <f>IF(A166="","",ROUND(SUMIFS(aditivos!$L$2:$L$200,aditivos!$A$2:$A$200,A166,aditivos!$C$2:$C$200,"C4"),2))</f>
        <v/>
      </c>
      <c r="U166" s="198" t="str">
        <f t="shared" si="63"/>
        <v/>
      </c>
      <c r="V166" s="198" t="str">
        <f>IF(A166="","",IF(itens_Remanesc!K166="","",itens_Remanesc!K166))</f>
        <v/>
      </c>
      <c r="W166" s="198" t="str">
        <f t="shared" si="64"/>
        <v/>
      </c>
      <c r="X166" s="181" t="str">
        <f t="shared" si="65"/>
        <v/>
      </c>
    </row>
    <row r="167" spans="1:24" x14ac:dyDescent="0.35">
      <c r="A167" s="181" t="str">
        <f>IF(itens_Remanesc!A167="","",itens_Remanesc!A167)</f>
        <v/>
      </c>
      <c r="B167" s="181" t="str">
        <f>IF(A167="","",itens_Remanesc!C167)</f>
        <v/>
      </c>
      <c r="C167" s="200" t="str">
        <f>IF(A167="","",itens_Remanesc!B167)</f>
        <v/>
      </c>
      <c r="D167" s="202" t="str">
        <f>IF(A167="","",ROUND(SUMIFS(aditivos!$L$2:$L$200,aditivos!$A$2:$A$200,A167,aditivos!$C$2:$C$200,"C0"),2))</f>
        <v/>
      </c>
      <c r="E167" s="198" t="str">
        <f t="shared" si="55"/>
        <v/>
      </c>
      <c r="F167" s="198" t="str">
        <f>IF(A167="","",IF(itens_Remanesc!B167="","",itens_Remanesc!B167))</f>
        <v/>
      </c>
      <c r="G167" s="206" t="str">
        <f t="shared" si="56"/>
        <v/>
      </c>
      <c r="H167" s="208" t="str">
        <f>IF(A167="","",ROUND(SUMIFS(aditivos!$L$2:$L$200,aditivos!$A$2:$A$200,A167,aditivos!$C$2:$C$200,"C1"),2))</f>
        <v/>
      </c>
      <c r="I167" s="204" t="str">
        <f t="shared" si="57"/>
        <v/>
      </c>
      <c r="J167" s="204" t="str">
        <f>IF(A167="","",IF(itens_Remanesc!E167="","",itens_Remanesc!E167))</f>
        <v/>
      </c>
      <c r="K167" s="210" t="str">
        <f t="shared" si="58"/>
        <v/>
      </c>
      <c r="L167" s="202" t="str">
        <f>IF(A167="","",ROUND(SUMIFS(aditivos!$L$2:$L$200,aditivos!$A$2:$A$200,A167,aditivos!$C$2:$C$200,"C2"),2))</f>
        <v/>
      </c>
      <c r="M167" s="198" t="str">
        <f t="shared" si="59"/>
        <v/>
      </c>
      <c r="N167" s="198" t="str">
        <f>IF(A167="","",IF(itens_Remanesc!G167="","",itens_Remanesc!G167))</f>
        <v/>
      </c>
      <c r="O167" s="206" t="str">
        <f t="shared" si="60"/>
        <v/>
      </c>
      <c r="P167" s="208" t="str">
        <f>IF(A167="","",ROUND(SUMIFS(aditivos!$L$2:$L$200,aditivos!$A$2:$A$200,A167,aditivos!$C$2:$C$200,"C3"),2))</f>
        <v/>
      </c>
      <c r="Q167" s="204" t="str">
        <f t="shared" si="61"/>
        <v/>
      </c>
      <c r="R167" s="204" t="str">
        <f>IF(A167="","",IF(itens_Remanesc!I167="","",itens_Remanesc!I167))</f>
        <v/>
      </c>
      <c r="S167" s="210" t="str">
        <f t="shared" si="62"/>
        <v/>
      </c>
      <c r="T167" s="202" t="str">
        <f>IF(A167="","",ROUND(SUMIFS(aditivos!$L$2:$L$200,aditivos!$A$2:$A$200,A167,aditivos!$C$2:$C$200,"C4"),2))</f>
        <v/>
      </c>
      <c r="U167" s="198" t="str">
        <f t="shared" si="63"/>
        <v/>
      </c>
      <c r="V167" s="198" t="str">
        <f>IF(A167="","",IF(itens_Remanesc!K167="","",itens_Remanesc!K167))</f>
        <v/>
      </c>
      <c r="W167" s="198" t="str">
        <f t="shared" si="64"/>
        <v/>
      </c>
      <c r="X167" s="181" t="str">
        <f t="shared" si="65"/>
        <v/>
      </c>
    </row>
    <row r="168" spans="1:24" x14ac:dyDescent="0.35">
      <c r="A168" s="181" t="str">
        <f>IF(itens_Remanesc!A168="","",itens_Remanesc!A168)</f>
        <v/>
      </c>
      <c r="B168" s="181" t="str">
        <f>IF(A168="","",itens_Remanesc!C168)</f>
        <v/>
      </c>
      <c r="C168" s="200" t="str">
        <f>IF(A168="","",itens_Remanesc!B168)</f>
        <v/>
      </c>
      <c r="D168" s="202" t="str">
        <f>IF(A168="","",ROUND(SUMIFS(aditivos!$L$2:$L$200,aditivos!$A$2:$A$200,A168,aditivos!$C$2:$C$200,"C0"),2))</f>
        <v/>
      </c>
      <c r="E168" s="198" t="str">
        <f t="shared" si="55"/>
        <v/>
      </c>
      <c r="F168" s="198" t="str">
        <f>IF(A168="","",IF(itens_Remanesc!B168="","",itens_Remanesc!B168))</f>
        <v/>
      </c>
      <c r="G168" s="206" t="str">
        <f t="shared" si="56"/>
        <v/>
      </c>
      <c r="H168" s="208" t="str">
        <f>IF(A168="","",ROUND(SUMIFS(aditivos!$L$2:$L$200,aditivos!$A$2:$A$200,A168,aditivos!$C$2:$C$200,"C1"),2))</f>
        <v/>
      </c>
      <c r="I168" s="204" t="str">
        <f t="shared" si="57"/>
        <v/>
      </c>
      <c r="J168" s="204" t="str">
        <f>IF(A168="","",IF(itens_Remanesc!E168="","",itens_Remanesc!E168))</f>
        <v/>
      </c>
      <c r="K168" s="210" t="str">
        <f t="shared" si="58"/>
        <v/>
      </c>
      <c r="L168" s="202" t="str">
        <f>IF(A168="","",ROUND(SUMIFS(aditivos!$L$2:$L$200,aditivos!$A$2:$A$200,A168,aditivos!$C$2:$C$200,"C2"),2))</f>
        <v/>
      </c>
      <c r="M168" s="198" t="str">
        <f t="shared" si="59"/>
        <v/>
      </c>
      <c r="N168" s="198" t="str">
        <f>IF(A168="","",IF(itens_Remanesc!G168="","",itens_Remanesc!G168))</f>
        <v/>
      </c>
      <c r="O168" s="206" t="str">
        <f t="shared" si="60"/>
        <v/>
      </c>
      <c r="P168" s="208" t="str">
        <f>IF(A168="","",ROUND(SUMIFS(aditivos!$L$2:$L$200,aditivos!$A$2:$A$200,A168,aditivos!$C$2:$C$200,"C3"),2))</f>
        <v/>
      </c>
      <c r="Q168" s="204" t="str">
        <f t="shared" si="61"/>
        <v/>
      </c>
      <c r="R168" s="204" t="str">
        <f>IF(A168="","",IF(itens_Remanesc!I168="","",itens_Remanesc!I168))</f>
        <v/>
      </c>
      <c r="S168" s="210" t="str">
        <f t="shared" si="62"/>
        <v/>
      </c>
      <c r="T168" s="202" t="str">
        <f>IF(A168="","",ROUND(SUMIFS(aditivos!$L$2:$L$200,aditivos!$A$2:$A$200,A168,aditivos!$C$2:$C$200,"C4"),2))</f>
        <v/>
      </c>
      <c r="U168" s="198" t="str">
        <f t="shared" si="63"/>
        <v/>
      </c>
      <c r="V168" s="198" t="str">
        <f>IF(A168="","",IF(itens_Remanesc!K168="","",itens_Remanesc!K168))</f>
        <v/>
      </c>
      <c r="W168" s="198" t="str">
        <f t="shared" si="64"/>
        <v/>
      </c>
      <c r="X168" s="181" t="str">
        <f t="shared" si="65"/>
        <v/>
      </c>
    </row>
    <row r="169" spans="1:24" x14ac:dyDescent="0.35">
      <c r="A169" s="181" t="str">
        <f>IF(itens_Remanesc!A169="","",itens_Remanesc!A169)</f>
        <v/>
      </c>
      <c r="B169" s="181" t="str">
        <f>IF(A169="","",itens_Remanesc!C169)</f>
        <v/>
      </c>
      <c r="C169" s="200" t="str">
        <f>IF(A169="","",itens_Remanesc!B169)</f>
        <v/>
      </c>
      <c r="D169" s="202" t="str">
        <f>IF(A169="","",ROUND(SUMIFS(aditivos!$L$2:$L$200,aditivos!$A$2:$A$200,A169,aditivos!$C$2:$C$200,"C0"),2))</f>
        <v/>
      </c>
      <c r="E169" s="198" t="str">
        <f t="shared" si="55"/>
        <v/>
      </c>
      <c r="F169" s="198" t="str">
        <f>IF(A169="","",IF(itens_Remanesc!B169="","",itens_Remanesc!B169))</f>
        <v/>
      </c>
      <c r="G169" s="206" t="str">
        <f t="shared" si="56"/>
        <v/>
      </c>
      <c r="H169" s="208" t="str">
        <f>IF(A169="","",ROUND(SUMIFS(aditivos!$L$2:$L$200,aditivos!$A$2:$A$200,A169,aditivos!$C$2:$C$200,"C1"),2))</f>
        <v/>
      </c>
      <c r="I169" s="204" t="str">
        <f t="shared" si="57"/>
        <v/>
      </c>
      <c r="J169" s="204" t="str">
        <f>IF(A169="","",IF(itens_Remanesc!E169="","",itens_Remanesc!E169))</f>
        <v/>
      </c>
      <c r="K169" s="210" t="str">
        <f t="shared" si="58"/>
        <v/>
      </c>
      <c r="L169" s="202" t="str">
        <f>IF(A169="","",ROUND(SUMIFS(aditivos!$L$2:$L$200,aditivos!$A$2:$A$200,A169,aditivos!$C$2:$C$200,"C2"),2))</f>
        <v/>
      </c>
      <c r="M169" s="198" t="str">
        <f t="shared" si="59"/>
        <v/>
      </c>
      <c r="N169" s="198" t="str">
        <f>IF(A169="","",IF(itens_Remanesc!G169="","",itens_Remanesc!G169))</f>
        <v/>
      </c>
      <c r="O169" s="206" t="str">
        <f t="shared" si="60"/>
        <v/>
      </c>
      <c r="P169" s="208" t="str">
        <f>IF(A169="","",ROUND(SUMIFS(aditivos!$L$2:$L$200,aditivos!$A$2:$A$200,A169,aditivos!$C$2:$C$200,"C3"),2))</f>
        <v/>
      </c>
      <c r="Q169" s="204" t="str">
        <f t="shared" si="61"/>
        <v/>
      </c>
      <c r="R169" s="204" t="str">
        <f>IF(A169="","",IF(itens_Remanesc!I169="","",itens_Remanesc!I169))</f>
        <v/>
      </c>
      <c r="S169" s="210" t="str">
        <f t="shared" si="62"/>
        <v/>
      </c>
      <c r="T169" s="202" t="str">
        <f>IF(A169="","",ROUND(SUMIFS(aditivos!$L$2:$L$200,aditivos!$A$2:$A$200,A169,aditivos!$C$2:$C$200,"C4"),2))</f>
        <v/>
      </c>
      <c r="U169" s="198" t="str">
        <f t="shared" si="63"/>
        <v/>
      </c>
      <c r="V169" s="198" t="str">
        <f>IF(A169="","",IF(itens_Remanesc!K169="","",itens_Remanesc!K169))</f>
        <v/>
      </c>
      <c r="W169" s="198" t="str">
        <f t="shared" si="64"/>
        <v/>
      </c>
      <c r="X169" s="181" t="str">
        <f t="shared" si="65"/>
        <v/>
      </c>
    </row>
    <row r="170" spans="1:24" x14ac:dyDescent="0.35">
      <c r="A170" s="181" t="str">
        <f>IF(itens_Remanesc!A170="","",itens_Remanesc!A170)</f>
        <v/>
      </c>
      <c r="B170" s="181" t="str">
        <f>IF(A170="","",itens_Remanesc!C170)</f>
        <v/>
      </c>
      <c r="C170" s="200" t="str">
        <f>IF(A170="","",itens_Remanesc!B170)</f>
        <v/>
      </c>
      <c r="D170" s="202" t="str">
        <f>IF(A170="","",ROUND(SUMIFS(aditivos!$L$2:$L$200,aditivos!$A$2:$A$200,A170,aditivos!$C$2:$C$200,"C0"),2))</f>
        <v/>
      </c>
      <c r="E170" s="198" t="str">
        <f t="shared" si="55"/>
        <v/>
      </c>
      <c r="F170" s="198" t="str">
        <f>IF(A170="","",IF(itens_Remanesc!B170="","",itens_Remanesc!B170))</f>
        <v/>
      </c>
      <c r="G170" s="206" t="str">
        <f t="shared" si="56"/>
        <v/>
      </c>
      <c r="H170" s="208" t="str">
        <f>IF(A170="","",ROUND(SUMIFS(aditivos!$L$2:$L$200,aditivos!$A$2:$A$200,A170,aditivos!$C$2:$C$200,"C1"),2))</f>
        <v/>
      </c>
      <c r="I170" s="204" t="str">
        <f t="shared" si="57"/>
        <v/>
      </c>
      <c r="J170" s="204" t="str">
        <f>IF(A170="","",IF(itens_Remanesc!E170="","",itens_Remanesc!E170))</f>
        <v/>
      </c>
      <c r="K170" s="210" t="str">
        <f t="shared" si="58"/>
        <v/>
      </c>
      <c r="L170" s="202" t="str">
        <f>IF(A170="","",ROUND(SUMIFS(aditivos!$L$2:$L$200,aditivos!$A$2:$A$200,A170,aditivos!$C$2:$C$200,"C2"),2))</f>
        <v/>
      </c>
      <c r="M170" s="198" t="str">
        <f t="shared" si="59"/>
        <v/>
      </c>
      <c r="N170" s="198" t="str">
        <f>IF(A170="","",IF(itens_Remanesc!G170="","",itens_Remanesc!G170))</f>
        <v/>
      </c>
      <c r="O170" s="206" t="str">
        <f t="shared" si="60"/>
        <v/>
      </c>
      <c r="P170" s="208" t="str">
        <f>IF(A170="","",ROUND(SUMIFS(aditivos!$L$2:$L$200,aditivos!$A$2:$A$200,A170,aditivos!$C$2:$C$200,"C3"),2))</f>
        <v/>
      </c>
      <c r="Q170" s="204" t="str">
        <f t="shared" si="61"/>
        <v/>
      </c>
      <c r="R170" s="204" t="str">
        <f>IF(A170="","",IF(itens_Remanesc!I170="","",itens_Remanesc!I170))</f>
        <v/>
      </c>
      <c r="S170" s="210" t="str">
        <f t="shared" si="62"/>
        <v/>
      </c>
      <c r="T170" s="202" t="str">
        <f>IF(A170="","",ROUND(SUMIFS(aditivos!$L$2:$L$200,aditivos!$A$2:$A$200,A170,aditivos!$C$2:$C$200,"C4"),2))</f>
        <v/>
      </c>
      <c r="U170" s="198" t="str">
        <f t="shared" si="63"/>
        <v/>
      </c>
      <c r="V170" s="198" t="str">
        <f>IF(A170="","",IF(itens_Remanesc!K170="","",itens_Remanesc!K170))</f>
        <v/>
      </c>
      <c r="W170" s="198" t="str">
        <f t="shared" si="64"/>
        <v/>
      </c>
      <c r="X170" s="181" t="str">
        <f t="shared" si="65"/>
        <v/>
      </c>
    </row>
    <row r="171" spans="1:24" x14ac:dyDescent="0.35">
      <c r="A171" s="181" t="str">
        <f>IF(itens_Remanesc!A171="","",itens_Remanesc!A171)</f>
        <v/>
      </c>
      <c r="B171" s="181" t="str">
        <f>IF(A171="","",itens_Remanesc!C171)</f>
        <v/>
      </c>
      <c r="C171" s="200" t="str">
        <f>IF(A171="","",itens_Remanesc!B171)</f>
        <v/>
      </c>
      <c r="D171" s="202" t="str">
        <f>IF(A171="","",ROUND(SUMIFS(aditivos!$L$2:$L$200,aditivos!$A$2:$A$200,A171,aditivos!$C$2:$C$200,"C0"),2))</f>
        <v/>
      </c>
      <c r="E171" s="198" t="str">
        <f t="shared" si="55"/>
        <v/>
      </c>
      <c r="F171" s="198" t="str">
        <f>IF(A171="","",IF(itens_Remanesc!B171="","",itens_Remanesc!B171))</f>
        <v/>
      </c>
      <c r="G171" s="206" t="str">
        <f t="shared" si="56"/>
        <v/>
      </c>
      <c r="H171" s="208" t="str">
        <f>IF(A171="","",ROUND(SUMIFS(aditivos!$L$2:$L$200,aditivos!$A$2:$A$200,A171,aditivos!$C$2:$C$200,"C1"),2))</f>
        <v/>
      </c>
      <c r="I171" s="204" t="str">
        <f t="shared" si="57"/>
        <v/>
      </c>
      <c r="J171" s="204" t="str">
        <f>IF(A171="","",IF(itens_Remanesc!E171="","",itens_Remanesc!E171))</f>
        <v/>
      </c>
      <c r="K171" s="210" t="str">
        <f t="shared" si="58"/>
        <v/>
      </c>
      <c r="L171" s="202" t="str">
        <f>IF(A171="","",ROUND(SUMIFS(aditivos!$L$2:$L$200,aditivos!$A$2:$A$200,A171,aditivos!$C$2:$C$200,"C2"),2))</f>
        <v/>
      </c>
      <c r="M171" s="198" t="str">
        <f t="shared" si="59"/>
        <v/>
      </c>
      <c r="N171" s="198" t="str">
        <f>IF(A171="","",IF(itens_Remanesc!G171="","",itens_Remanesc!G171))</f>
        <v/>
      </c>
      <c r="O171" s="206" t="str">
        <f t="shared" si="60"/>
        <v/>
      </c>
      <c r="P171" s="208" t="str">
        <f>IF(A171="","",ROUND(SUMIFS(aditivos!$L$2:$L$200,aditivos!$A$2:$A$200,A171,aditivos!$C$2:$C$200,"C3"),2))</f>
        <v/>
      </c>
      <c r="Q171" s="204" t="str">
        <f t="shared" si="61"/>
        <v/>
      </c>
      <c r="R171" s="204" t="str">
        <f>IF(A171="","",IF(itens_Remanesc!I171="","",itens_Remanesc!I171))</f>
        <v/>
      </c>
      <c r="S171" s="210" t="str">
        <f t="shared" si="62"/>
        <v/>
      </c>
      <c r="T171" s="202" t="str">
        <f>IF(A171="","",ROUND(SUMIFS(aditivos!$L$2:$L$200,aditivos!$A$2:$A$200,A171,aditivos!$C$2:$C$200,"C4"),2))</f>
        <v/>
      </c>
      <c r="U171" s="198" t="str">
        <f t="shared" si="63"/>
        <v/>
      </c>
      <c r="V171" s="198" t="str">
        <f>IF(A171="","",IF(itens_Remanesc!K171="","",itens_Remanesc!K171))</f>
        <v/>
      </c>
      <c r="W171" s="198" t="str">
        <f t="shared" si="64"/>
        <v/>
      </c>
      <c r="X171" s="181" t="str">
        <f t="shared" si="65"/>
        <v/>
      </c>
    </row>
    <row r="172" spans="1:24" x14ac:dyDescent="0.35">
      <c r="A172" s="181" t="str">
        <f>IF(itens_Remanesc!A172="","",itens_Remanesc!A172)</f>
        <v/>
      </c>
      <c r="B172" s="181" t="str">
        <f>IF(A172="","",itens_Remanesc!C172)</f>
        <v/>
      </c>
      <c r="C172" s="200" t="str">
        <f>IF(A172="","",itens_Remanesc!B172)</f>
        <v/>
      </c>
      <c r="D172" s="202" t="str">
        <f>IF(A172="","",ROUND(SUMIFS(aditivos!$L$2:$L$200,aditivos!$A$2:$A$200,A172,aditivos!$C$2:$C$200,"C0"),2))</f>
        <v/>
      </c>
      <c r="E172" s="198" t="str">
        <f t="shared" si="55"/>
        <v/>
      </c>
      <c r="F172" s="198" t="str">
        <f>IF(A172="","",IF(itens_Remanesc!B172="","",itens_Remanesc!B172))</f>
        <v/>
      </c>
      <c r="G172" s="206" t="str">
        <f t="shared" si="56"/>
        <v/>
      </c>
      <c r="H172" s="208" t="str">
        <f>IF(A172="","",ROUND(SUMIFS(aditivos!$L$2:$L$200,aditivos!$A$2:$A$200,A172,aditivos!$C$2:$C$200,"C1"),2))</f>
        <v/>
      </c>
      <c r="I172" s="204" t="str">
        <f t="shared" si="57"/>
        <v/>
      </c>
      <c r="J172" s="204" t="str">
        <f>IF(A172="","",IF(itens_Remanesc!E172="","",itens_Remanesc!E172))</f>
        <v/>
      </c>
      <c r="K172" s="210" t="str">
        <f t="shared" si="58"/>
        <v/>
      </c>
      <c r="L172" s="202" t="str">
        <f>IF(A172="","",ROUND(SUMIFS(aditivos!$L$2:$L$200,aditivos!$A$2:$A$200,A172,aditivos!$C$2:$C$200,"C2"),2))</f>
        <v/>
      </c>
      <c r="M172" s="198" t="str">
        <f t="shared" si="59"/>
        <v/>
      </c>
      <c r="N172" s="198" t="str">
        <f>IF(A172="","",IF(itens_Remanesc!G172="","",itens_Remanesc!G172))</f>
        <v/>
      </c>
      <c r="O172" s="206" t="str">
        <f t="shared" si="60"/>
        <v/>
      </c>
      <c r="P172" s="208" t="str">
        <f>IF(A172="","",ROUND(SUMIFS(aditivos!$L$2:$L$200,aditivos!$A$2:$A$200,A172,aditivos!$C$2:$C$200,"C3"),2))</f>
        <v/>
      </c>
      <c r="Q172" s="204" t="str">
        <f t="shared" si="61"/>
        <v/>
      </c>
      <c r="R172" s="204" t="str">
        <f>IF(A172="","",IF(itens_Remanesc!I172="","",itens_Remanesc!I172))</f>
        <v/>
      </c>
      <c r="S172" s="210" t="str">
        <f t="shared" si="62"/>
        <v/>
      </c>
      <c r="T172" s="202" t="str">
        <f>IF(A172="","",ROUND(SUMIFS(aditivos!$L$2:$L$200,aditivos!$A$2:$A$200,A172,aditivos!$C$2:$C$200,"C4"),2))</f>
        <v/>
      </c>
      <c r="U172" s="198" t="str">
        <f t="shared" si="63"/>
        <v/>
      </c>
      <c r="V172" s="198" t="str">
        <f>IF(A172="","",IF(itens_Remanesc!K172="","",itens_Remanesc!K172))</f>
        <v/>
      </c>
      <c r="W172" s="198" t="str">
        <f t="shared" si="64"/>
        <v/>
      </c>
      <c r="X172" s="181" t="str">
        <f t="shared" si="65"/>
        <v/>
      </c>
    </row>
    <row r="173" spans="1:24" x14ac:dyDescent="0.35">
      <c r="A173" s="181" t="str">
        <f>IF(itens_Remanesc!A173="","",itens_Remanesc!A173)</f>
        <v/>
      </c>
      <c r="B173" s="181" t="str">
        <f>IF(A173="","",itens_Remanesc!C173)</f>
        <v/>
      </c>
      <c r="C173" s="200" t="str">
        <f>IF(A173="","",itens_Remanesc!B173)</f>
        <v/>
      </c>
      <c r="D173" s="202" t="str">
        <f>IF(A173="","",ROUND(SUMIFS(aditivos!$L$2:$L$200,aditivos!$A$2:$A$200,A173,aditivos!$C$2:$C$200,"C0"),2))</f>
        <v/>
      </c>
      <c r="E173" s="198" t="str">
        <f t="shared" si="55"/>
        <v/>
      </c>
      <c r="F173" s="198" t="str">
        <f>IF(A173="","",IF(itens_Remanesc!B173="","",itens_Remanesc!B173))</f>
        <v/>
      </c>
      <c r="G173" s="206" t="str">
        <f t="shared" si="56"/>
        <v/>
      </c>
      <c r="H173" s="208" t="str">
        <f>IF(A173="","",ROUND(SUMIFS(aditivos!$L$2:$L$200,aditivos!$A$2:$A$200,A173,aditivos!$C$2:$C$200,"C1"),2))</f>
        <v/>
      </c>
      <c r="I173" s="204" t="str">
        <f t="shared" si="57"/>
        <v/>
      </c>
      <c r="J173" s="204" t="str">
        <f>IF(A173="","",IF(itens_Remanesc!E173="","",itens_Remanesc!E173))</f>
        <v/>
      </c>
      <c r="K173" s="210" t="str">
        <f t="shared" si="58"/>
        <v/>
      </c>
      <c r="L173" s="202" t="str">
        <f>IF(A173="","",ROUND(SUMIFS(aditivos!$L$2:$L$200,aditivos!$A$2:$A$200,A173,aditivos!$C$2:$C$200,"C2"),2))</f>
        <v/>
      </c>
      <c r="M173" s="198" t="str">
        <f t="shared" si="59"/>
        <v/>
      </c>
      <c r="N173" s="198" t="str">
        <f>IF(A173="","",IF(itens_Remanesc!G173="","",itens_Remanesc!G173))</f>
        <v/>
      </c>
      <c r="O173" s="206" t="str">
        <f t="shared" si="60"/>
        <v/>
      </c>
      <c r="P173" s="208" t="str">
        <f>IF(A173="","",ROUND(SUMIFS(aditivos!$L$2:$L$200,aditivos!$A$2:$A$200,A173,aditivos!$C$2:$C$200,"C3"),2))</f>
        <v/>
      </c>
      <c r="Q173" s="204" t="str">
        <f t="shared" si="61"/>
        <v/>
      </c>
      <c r="R173" s="204" t="str">
        <f>IF(A173="","",IF(itens_Remanesc!I173="","",itens_Remanesc!I173))</f>
        <v/>
      </c>
      <c r="S173" s="210" t="str">
        <f t="shared" si="62"/>
        <v/>
      </c>
      <c r="T173" s="202" t="str">
        <f>IF(A173="","",ROUND(SUMIFS(aditivos!$L$2:$L$200,aditivos!$A$2:$A$200,A173,aditivos!$C$2:$C$200,"C4"),2))</f>
        <v/>
      </c>
      <c r="U173" s="198" t="str">
        <f t="shared" si="63"/>
        <v/>
      </c>
      <c r="V173" s="198" t="str">
        <f>IF(A173="","",IF(itens_Remanesc!K173="","",itens_Remanesc!K173))</f>
        <v/>
      </c>
      <c r="W173" s="198" t="str">
        <f t="shared" si="64"/>
        <v/>
      </c>
      <c r="X173" s="181" t="str">
        <f t="shared" si="65"/>
        <v/>
      </c>
    </row>
    <row r="174" spans="1:24" x14ac:dyDescent="0.35">
      <c r="A174" s="181" t="str">
        <f>IF(itens_Remanesc!A174="","",itens_Remanesc!A174)</f>
        <v/>
      </c>
      <c r="B174" s="181" t="str">
        <f>IF(A174="","",itens_Remanesc!C174)</f>
        <v/>
      </c>
      <c r="C174" s="200" t="str">
        <f>IF(A174="","",itens_Remanesc!B174)</f>
        <v/>
      </c>
      <c r="D174" s="202" t="str">
        <f>IF(A174="","",ROUND(SUMIFS(aditivos!$L$2:$L$200,aditivos!$A$2:$A$200,A174,aditivos!$C$2:$C$200,"C0"),2))</f>
        <v/>
      </c>
      <c r="E174" s="198" t="str">
        <f t="shared" si="55"/>
        <v/>
      </c>
      <c r="F174" s="198" t="str">
        <f>IF(A174="","",IF(itens_Remanesc!B174="","",itens_Remanesc!B174))</f>
        <v/>
      </c>
      <c r="G174" s="206" t="str">
        <f t="shared" si="56"/>
        <v/>
      </c>
      <c r="H174" s="208" t="str">
        <f>IF(A174="","",ROUND(SUMIFS(aditivos!$L$2:$L$200,aditivos!$A$2:$A$200,A174,aditivos!$C$2:$C$200,"C1"),2))</f>
        <v/>
      </c>
      <c r="I174" s="204" t="str">
        <f t="shared" si="57"/>
        <v/>
      </c>
      <c r="J174" s="204" t="str">
        <f>IF(A174="","",IF(itens_Remanesc!E174="","",itens_Remanesc!E174))</f>
        <v/>
      </c>
      <c r="K174" s="210" t="str">
        <f t="shared" si="58"/>
        <v/>
      </c>
      <c r="L174" s="202" t="str">
        <f>IF(A174="","",ROUND(SUMIFS(aditivos!$L$2:$L$200,aditivos!$A$2:$A$200,A174,aditivos!$C$2:$C$200,"C2"),2))</f>
        <v/>
      </c>
      <c r="M174" s="198" t="str">
        <f t="shared" si="59"/>
        <v/>
      </c>
      <c r="N174" s="198" t="str">
        <f>IF(A174="","",IF(itens_Remanesc!G174="","",itens_Remanesc!G174))</f>
        <v/>
      </c>
      <c r="O174" s="206" t="str">
        <f t="shared" si="60"/>
        <v/>
      </c>
      <c r="P174" s="208" t="str">
        <f>IF(A174="","",ROUND(SUMIFS(aditivos!$L$2:$L$200,aditivos!$A$2:$A$200,A174,aditivos!$C$2:$C$200,"C3"),2))</f>
        <v/>
      </c>
      <c r="Q174" s="204" t="str">
        <f t="shared" si="61"/>
        <v/>
      </c>
      <c r="R174" s="204" t="str">
        <f>IF(A174="","",IF(itens_Remanesc!I174="","",itens_Remanesc!I174))</f>
        <v/>
      </c>
      <c r="S174" s="210" t="str">
        <f t="shared" si="62"/>
        <v/>
      </c>
      <c r="T174" s="202" t="str">
        <f>IF(A174="","",ROUND(SUMIFS(aditivos!$L$2:$L$200,aditivos!$A$2:$A$200,A174,aditivos!$C$2:$C$200,"C4"),2))</f>
        <v/>
      </c>
      <c r="U174" s="198" t="str">
        <f t="shared" si="63"/>
        <v/>
      </c>
      <c r="V174" s="198" t="str">
        <f>IF(A174="","",IF(itens_Remanesc!K174="","",itens_Remanesc!K174))</f>
        <v/>
      </c>
      <c r="W174" s="198" t="str">
        <f t="shared" si="64"/>
        <v/>
      </c>
      <c r="X174" s="181" t="str">
        <f t="shared" si="65"/>
        <v/>
      </c>
    </row>
    <row r="175" spans="1:24" x14ac:dyDescent="0.35">
      <c r="A175" s="181" t="str">
        <f>IF(itens_Remanesc!A175="","",itens_Remanesc!A175)</f>
        <v/>
      </c>
      <c r="B175" s="181" t="str">
        <f>IF(A175="","",itens_Remanesc!C175)</f>
        <v/>
      </c>
      <c r="C175" s="200" t="str">
        <f>IF(A175="","",itens_Remanesc!B175)</f>
        <v/>
      </c>
      <c r="D175" s="202" t="str">
        <f>IF(A175="","",ROUND(SUMIFS(aditivos!$L$2:$L$200,aditivos!$A$2:$A$200,A175,aditivos!$C$2:$C$200,"C0"),2))</f>
        <v/>
      </c>
      <c r="E175" s="198" t="str">
        <f t="shared" si="55"/>
        <v/>
      </c>
      <c r="F175" s="198" t="str">
        <f>IF(A175="","",IF(itens_Remanesc!B175="","",itens_Remanesc!B175))</f>
        <v/>
      </c>
      <c r="G175" s="206" t="str">
        <f t="shared" si="56"/>
        <v/>
      </c>
      <c r="H175" s="208" t="str">
        <f>IF(A175="","",ROUND(SUMIFS(aditivos!$L$2:$L$200,aditivos!$A$2:$A$200,A175,aditivos!$C$2:$C$200,"C1"),2))</f>
        <v/>
      </c>
      <c r="I175" s="204" t="str">
        <f t="shared" si="57"/>
        <v/>
      </c>
      <c r="J175" s="204" t="str">
        <f>IF(A175="","",IF(itens_Remanesc!E175="","",itens_Remanesc!E175))</f>
        <v/>
      </c>
      <c r="K175" s="210" t="str">
        <f t="shared" si="58"/>
        <v/>
      </c>
      <c r="L175" s="202" t="str">
        <f>IF(A175="","",ROUND(SUMIFS(aditivos!$L$2:$L$200,aditivos!$A$2:$A$200,A175,aditivos!$C$2:$C$200,"C2"),2))</f>
        <v/>
      </c>
      <c r="M175" s="198" t="str">
        <f t="shared" si="59"/>
        <v/>
      </c>
      <c r="N175" s="198" t="str">
        <f>IF(A175="","",IF(itens_Remanesc!G175="","",itens_Remanesc!G175))</f>
        <v/>
      </c>
      <c r="O175" s="206" t="str">
        <f t="shared" si="60"/>
        <v/>
      </c>
      <c r="P175" s="208" t="str">
        <f>IF(A175="","",ROUND(SUMIFS(aditivos!$L$2:$L$200,aditivos!$A$2:$A$200,A175,aditivos!$C$2:$C$200,"C3"),2))</f>
        <v/>
      </c>
      <c r="Q175" s="204" t="str">
        <f t="shared" si="61"/>
        <v/>
      </c>
      <c r="R175" s="204" t="str">
        <f>IF(A175="","",IF(itens_Remanesc!I175="","",itens_Remanesc!I175))</f>
        <v/>
      </c>
      <c r="S175" s="210" t="str">
        <f t="shared" si="62"/>
        <v/>
      </c>
      <c r="T175" s="202" t="str">
        <f>IF(A175="","",ROUND(SUMIFS(aditivos!$L$2:$L$200,aditivos!$A$2:$A$200,A175,aditivos!$C$2:$C$200,"C4"),2))</f>
        <v/>
      </c>
      <c r="U175" s="198" t="str">
        <f t="shared" si="63"/>
        <v/>
      </c>
      <c r="V175" s="198" t="str">
        <f>IF(A175="","",IF(itens_Remanesc!K175="","",itens_Remanesc!K175))</f>
        <v/>
      </c>
      <c r="W175" s="198" t="str">
        <f t="shared" si="64"/>
        <v/>
      </c>
      <c r="X175" s="181" t="str">
        <f t="shared" si="65"/>
        <v/>
      </c>
    </row>
    <row r="176" spans="1:24" x14ac:dyDescent="0.35">
      <c r="A176" s="181" t="str">
        <f>IF(itens_Remanesc!A176="","",itens_Remanesc!A176)</f>
        <v/>
      </c>
      <c r="B176" s="181" t="str">
        <f>IF(A176="","",itens_Remanesc!C176)</f>
        <v/>
      </c>
      <c r="C176" s="200" t="str">
        <f>IF(A176="","",itens_Remanesc!B176)</f>
        <v/>
      </c>
      <c r="D176" s="202" t="str">
        <f>IF(A176="","",ROUND(SUMIFS(aditivos!$L$2:$L$200,aditivos!$A$2:$A$200,A176,aditivos!$C$2:$C$200,"C0"),2))</f>
        <v/>
      </c>
      <c r="E176" s="198" t="str">
        <f t="shared" si="55"/>
        <v/>
      </c>
      <c r="F176" s="198" t="str">
        <f>IF(A176="","",IF(itens_Remanesc!B176="","",itens_Remanesc!B176))</f>
        <v/>
      </c>
      <c r="G176" s="206" t="str">
        <f t="shared" si="56"/>
        <v/>
      </c>
      <c r="H176" s="208" t="str">
        <f>IF(A176="","",ROUND(SUMIFS(aditivos!$L$2:$L$200,aditivos!$A$2:$A$200,A176,aditivos!$C$2:$C$200,"C1"),2))</f>
        <v/>
      </c>
      <c r="I176" s="204" t="str">
        <f t="shared" si="57"/>
        <v/>
      </c>
      <c r="J176" s="204" t="str">
        <f>IF(A176="","",IF(itens_Remanesc!E176="","",itens_Remanesc!E176))</f>
        <v/>
      </c>
      <c r="K176" s="210" t="str">
        <f t="shared" si="58"/>
        <v/>
      </c>
      <c r="L176" s="202" t="str">
        <f>IF(A176="","",ROUND(SUMIFS(aditivos!$L$2:$L$200,aditivos!$A$2:$A$200,A176,aditivos!$C$2:$C$200,"C2"),2))</f>
        <v/>
      </c>
      <c r="M176" s="198" t="str">
        <f t="shared" si="59"/>
        <v/>
      </c>
      <c r="N176" s="198" t="str">
        <f>IF(A176="","",IF(itens_Remanesc!G176="","",itens_Remanesc!G176))</f>
        <v/>
      </c>
      <c r="O176" s="206" t="str">
        <f t="shared" si="60"/>
        <v/>
      </c>
      <c r="P176" s="208" t="str">
        <f>IF(A176="","",ROUND(SUMIFS(aditivos!$L$2:$L$200,aditivos!$A$2:$A$200,A176,aditivos!$C$2:$C$200,"C3"),2))</f>
        <v/>
      </c>
      <c r="Q176" s="204" t="str">
        <f t="shared" si="61"/>
        <v/>
      </c>
      <c r="R176" s="204" t="str">
        <f>IF(A176="","",IF(itens_Remanesc!I176="","",itens_Remanesc!I176))</f>
        <v/>
      </c>
      <c r="S176" s="210" t="str">
        <f t="shared" si="62"/>
        <v/>
      </c>
      <c r="T176" s="202" t="str">
        <f>IF(A176="","",ROUND(SUMIFS(aditivos!$L$2:$L$200,aditivos!$A$2:$A$200,A176,aditivos!$C$2:$C$200,"C4"),2))</f>
        <v/>
      </c>
      <c r="U176" s="198" t="str">
        <f t="shared" si="63"/>
        <v/>
      </c>
      <c r="V176" s="198" t="str">
        <f>IF(A176="","",IF(itens_Remanesc!K176="","",itens_Remanesc!K176))</f>
        <v/>
      </c>
      <c r="W176" s="198" t="str">
        <f t="shared" si="64"/>
        <v/>
      </c>
      <c r="X176" s="181" t="str">
        <f t="shared" si="65"/>
        <v/>
      </c>
    </row>
    <row r="177" spans="1:24" x14ac:dyDescent="0.35">
      <c r="A177" s="181" t="str">
        <f>IF(itens_Remanesc!A177="","",itens_Remanesc!A177)</f>
        <v/>
      </c>
      <c r="B177" s="181" t="str">
        <f>IF(A177="","",itens_Remanesc!C177)</f>
        <v/>
      </c>
      <c r="C177" s="200" t="str">
        <f>IF(A177="","",itens_Remanesc!B177)</f>
        <v/>
      </c>
      <c r="D177" s="202" t="str">
        <f>IF(A177="","",ROUND(SUMIFS(aditivos!$L$2:$L$200,aditivos!$A$2:$A$200,A177,aditivos!$C$2:$C$200,"C0"),2))</f>
        <v/>
      </c>
      <c r="E177" s="198" t="str">
        <f t="shared" si="55"/>
        <v/>
      </c>
      <c r="F177" s="198" t="str">
        <f>IF(A177="","",IF(itens_Remanesc!B177="","",itens_Remanesc!B177))</f>
        <v/>
      </c>
      <c r="G177" s="206" t="str">
        <f t="shared" si="56"/>
        <v/>
      </c>
      <c r="H177" s="208" t="str">
        <f>IF(A177="","",ROUND(SUMIFS(aditivos!$L$2:$L$200,aditivos!$A$2:$A$200,A177,aditivos!$C$2:$C$200,"C1"),2))</f>
        <v/>
      </c>
      <c r="I177" s="204" t="str">
        <f t="shared" si="57"/>
        <v/>
      </c>
      <c r="J177" s="204" t="str">
        <f>IF(A177="","",IF(itens_Remanesc!E177="","",itens_Remanesc!E177))</f>
        <v/>
      </c>
      <c r="K177" s="210" t="str">
        <f t="shared" si="58"/>
        <v/>
      </c>
      <c r="L177" s="202" t="str">
        <f>IF(A177="","",ROUND(SUMIFS(aditivos!$L$2:$L$200,aditivos!$A$2:$A$200,A177,aditivos!$C$2:$C$200,"C2"),2))</f>
        <v/>
      </c>
      <c r="M177" s="198" t="str">
        <f t="shared" si="59"/>
        <v/>
      </c>
      <c r="N177" s="198" t="str">
        <f>IF(A177="","",IF(itens_Remanesc!G177="","",itens_Remanesc!G177))</f>
        <v/>
      </c>
      <c r="O177" s="206" t="str">
        <f t="shared" si="60"/>
        <v/>
      </c>
      <c r="P177" s="208" t="str">
        <f>IF(A177="","",ROUND(SUMIFS(aditivos!$L$2:$L$200,aditivos!$A$2:$A$200,A177,aditivos!$C$2:$C$200,"C3"),2))</f>
        <v/>
      </c>
      <c r="Q177" s="204" t="str">
        <f t="shared" si="61"/>
        <v/>
      </c>
      <c r="R177" s="204" t="str">
        <f>IF(A177="","",IF(itens_Remanesc!I177="","",itens_Remanesc!I177))</f>
        <v/>
      </c>
      <c r="S177" s="210" t="str">
        <f t="shared" si="62"/>
        <v/>
      </c>
      <c r="T177" s="202" t="str">
        <f>IF(A177="","",ROUND(SUMIFS(aditivos!$L$2:$L$200,aditivos!$A$2:$A$200,A177,aditivos!$C$2:$C$200,"C4"),2))</f>
        <v/>
      </c>
      <c r="U177" s="198" t="str">
        <f t="shared" si="63"/>
        <v/>
      </c>
      <c r="V177" s="198" t="str">
        <f>IF(A177="","",IF(itens_Remanesc!K177="","",itens_Remanesc!K177))</f>
        <v/>
      </c>
      <c r="W177" s="198" t="str">
        <f t="shared" si="64"/>
        <v/>
      </c>
      <c r="X177" s="181" t="str">
        <f t="shared" si="65"/>
        <v/>
      </c>
    </row>
    <row r="178" spans="1:24" x14ac:dyDescent="0.35">
      <c r="A178" s="181" t="str">
        <f>IF(itens_Remanesc!A178="","",itens_Remanesc!A178)</f>
        <v/>
      </c>
      <c r="B178" s="181" t="str">
        <f>IF(A178="","",itens_Remanesc!C178)</f>
        <v/>
      </c>
      <c r="C178" s="200" t="str">
        <f>IF(A178="","",itens_Remanesc!B178)</f>
        <v/>
      </c>
      <c r="D178" s="202" t="str">
        <f>IF(A178="","",ROUND(SUMIFS(aditivos!$L$2:$L$200,aditivos!$A$2:$A$200,A178,aditivos!$C$2:$C$200,"C0"),2))</f>
        <v/>
      </c>
      <c r="E178" s="198" t="str">
        <f t="shared" si="55"/>
        <v/>
      </c>
      <c r="F178" s="198" t="str">
        <f>IF(A178="","",IF(itens_Remanesc!B178="","",itens_Remanesc!B178))</f>
        <v/>
      </c>
      <c r="G178" s="206" t="str">
        <f t="shared" si="56"/>
        <v/>
      </c>
      <c r="H178" s="208" t="str">
        <f>IF(A178="","",ROUND(SUMIFS(aditivos!$L$2:$L$200,aditivos!$A$2:$A$200,A178,aditivos!$C$2:$C$200,"C1"),2))</f>
        <v/>
      </c>
      <c r="I178" s="204" t="str">
        <f t="shared" si="57"/>
        <v/>
      </c>
      <c r="J178" s="204" t="str">
        <f>IF(A178="","",IF(itens_Remanesc!E178="","",itens_Remanesc!E178))</f>
        <v/>
      </c>
      <c r="K178" s="210" t="str">
        <f t="shared" si="58"/>
        <v/>
      </c>
      <c r="L178" s="202" t="str">
        <f>IF(A178="","",ROUND(SUMIFS(aditivos!$L$2:$L$200,aditivos!$A$2:$A$200,A178,aditivos!$C$2:$C$200,"C2"),2))</f>
        <v/>
      </c>
      <c r="M178" s="198" t="str">
        <f t="shared" si="59"/>
        <v/>
      </c>
      <c r="N178" s="198" t="str">
        <f>IF(A178="","",IF(itens_Remanesc!G178="","",itens_Remanesc!G178))</f>
        <v/>
      </c>
      <c r="O178" s="206" t="str">
        <f t="shared" si="60"/>
        <v/>
      </c>
      <c r="P178" s="208" t="str">
        <f>IF(A178="","",ROUND(SUMIFS(aditivos!$L$2:$L$200,aditivos!$A$2:$A$200,A178,aditivos!$C$2:$C$200,"C3"),2))</f>
        <v/>
      </c>
      <c r="Q178" s="204" t="str">
        <f t="shared" si="61"/>
        <v/>
      </c>
      <c r="R178" s="204" t="str">
        <f>IF(A178="","",IF(itens_Remanesc!I178="","",itens_Remanesc!I178))</f>
        <v/>
      </c>
      <c r="S178" s="210" t="str">
        <f t="shared" si="62"/>
        <v/>
      </c>
      <c r="T178" s="202" t="str">
        <f>IF(A178="","",ROUND(SUMIFS(aditivos!$L$2:$L$200,aditivos!$A$2:$A$200,A178,aditivos!$C$2:$C$200,"C4"),2))</f>
        <v/>
      </c>
      <c r="U178" s="198" t="str">
        <f t="shared" si="63"/>
        <v/>
      </c>
      <c r="V178" s="198" t="str">
        <f>IF(A178="","",IF(itens_Remanesc!K178="","",itens_Remanesc!K178))</f>
        <v/>
      </c>
      <c r="W178" s="198" t="str">
        <f t="shared" si="64"/>
        <v/>
      </c>
      <c r="X178" s="181" t="str">
        <f t="shared" si="65"/>
        <v/>
      </c>
    </row>
    <row r="179" spans="1:24" x14ac:dyDescent="0.35">
      <c r="A179" s="181" t="str">
        <f>IF(itens_Remanesc!A179="","",itens_Remanesc!A179)</f>
        <v/>
      </c>
      <c r="B179" s="181" t="str">
        <f>IF(A179="","",itens_Remanesc!C179)</f>
        <v/>
      </c>
      <c r="C179" s="200" t="str">
        <f>IF(A179="","",itens_Remanesc!B179)</f>
        <v/>
      </c>
      <c r="D179" s="202" t="str">
        <f>IF(A179="","",ROUND(SUMIFS(aditivos!$L$2:$L$200,aditivos!$A$2:$A$200,A179,aditivos!$C$2:$C$200,"C0"),2))</f>
        <v/>
      </c>
      <c r="E179" s="198" t="str">
        <f t="shared" si="55"/>
        <v/>
      </c>
      <c r="F179" s="198" t="str">
        <f>IF(A179="","",IF(itens_Remanesc!B179="","",itens_Remanesc!B179))</f>
        <v/>
      </c>
      <c r="G179" s="206" t="str">
        <f t="shared" si="56"/>
        <v/>
      </c>
      <c r="H179" s="208" t="str">
        <f>IF(A179="","",ROUND(SUMIFS(aditivos!$L$2:$L$200,aditivos!$A$2:$A$200,A179,aditivos!$C$2:$C$200,"C1"),2))</f>
        <v/>
      </c>
      <c r="I179" s="204" t="str">
        <f t="shared" si="57"/>
        <v/>
      </c>
      <c r="J179" s="204" t="str">
        <f>IF(A179="","",IF(itens_Remanesc!E179="","",itens_Remanesc!E179))</f>
        <v/>
      </c>
      <c r="K179" s="210" t="str">
        <f t="shared" si="58"/>
        <v/>
      </c>
      <c r="L179" s="202" t="str">
        <f>IF(A179="","",ROUND(SUMIFS(aditivos!$L$2:$L$200,aditivos!$A$2:$A$200,A179,aditivos!$C$2:$C$200,"C2"),2))</f>
        <v/>
      </c>
      <c r="M179" s="198" t="str">
        <f t="shared" si="59"/>
        <v/>
      </c>
      <c r="N179" s="198" t="str">
        <f>IF(A179="","",IF(itens_Remanesc!G179="","",itens_Remanesc!G179))</f>
        <v/>
      </c>
      <c r="O179" s="206" t="str">
        <f t="shared" si="60"/>
        <v/>
      </c>
      <c r="P179" s="208" t="str">
        <f>IF(A179="","",ROUND(SUMIFS(aditivos!$L$2:$L$200,aditivos!$A$2:$A$200,A179,aditivos!$C$2:$C$200,"C3"),2))</f>
        <v/>
      </c>
      <c r="Q179" s="204" t="str">
        <f t="shared" si="61"/>
        <v/>
      </c>
      <c r="R179" s="204" t="str">
        <f>IF(A179="","",IF(itens_Remanesc!I179="","",itens_Remanesc!I179))</f>
        <v/>
      </c>
      <c r="S179" s="210" t="str">
        <f t="shared" si="62"/>
        <v/>
      </c>
      <c r="T179" s="202" t="str">
        <f>IF(A179="","",ROUND(SUMIFS(aditivos!$L$2:$L$200,aditivos!$A$2:$A$200,A179,aditivos!$C$2:$C$200,"C4"),2))</f>
        <v/>
      </c>
      <c r="U179" s="198" t="str">
        <f t="shared" si="63"/>
        <v/>
      </c>
      <c r="V179" s="198" t="str">
        <f>IF(A179="","",IF(itens_Remanesc!K179="","",itens_Remanesc!K179))</f>
        <v/>
      </c>
      <c r="W179" s="198" t="str">
        <f t="shared" si="64"/>
        <v/>
      </c>
      <c r="X179" s="181" t="str">
        <f t="shared" si="65"/>
        <v/>
      </c>
    </row>
    <row r="180" spans="1:24" x14ac:dyDescent="0.35">
      <c r="A180" s="181" t="str">
        <f>IF(itens_Remanesc!A180="","",itens_Remanesc!A180)</f>
        <v/>
      </c>
      <c r="B180" s="181" t="str">
        <f>IF(A180="","",itens_Remanesc!C180)</f>
        <v/>
      </c>
      <c r="C180" s="200" t="str">
        <f>IF(A180="","",itens_Remanesc!B180)</f>
        <v/>
      </c>
      <c r="D180" s="202" t="str">
        <f>IF(A180="","",ROUND(SUMIFS(aditivos!$L$2:$L$200,aditivos!$A$2:$A$200,A180,aditivos!$C$2:$C$200,"C0"),2))</f>
        <v/>
      </c>
      <c r="E180" s="198" t="str">
        <f t="shared" si="55"/>
        <v/>
      </c>
      <c r="F180" s="198" t="str">
        <f>IF(A180="","",IF(itens_Remanesc!B180="","",itens_Remanesc!B180))</f>
        <v/>
      </c>
      <c r="G180" s="206" t="str">
        <f t="shared" si="56"/>
        <v/>
      </c>
      <c r="H180" s="208" t="str">
        <f>IF(A180="","",ROUND(SUMIFS(aditivos!$L$2:$L$200,aditivos!$A$2:$A$200,A180,aditivos!$C$2:$C$200,"C1"),2))</f>
        <v/>
      </c>
      <c r="I180" s="204" t="str">
        <f t="shared" si="57"/>
        <v/>
      </c>
      <c r="J180" s="204" t="str">
        <f>IF(A180="","",IF(itens_Remanesc!E180="","",itens_Remanesc!E180))</f>
        <v/>
      </c>
      <c r="K180" s="210" t="str">
        <f t="shared" si="58"/>
        <v/>
      </c>
      <c r="L180" s="202" t="str">
        <f>IF(A180="","",ROUND(SUMIFS(aditivos!$L$2:$L$200,aditivos!$A$2:$A$200,A180,aditivos!$C$2:$C$200,"C2"),2))</f>
        <v/>
      </c>
      <c r="M180" s="198" t="str">
        <f t="shared" si="59"/>
        <v/>
      </c>
      <c r="N180" s="198" t="str">
        <f>IF(A180="","",IF(itens_Remanesc!G180="","",itens_Remanesc!G180))</f>
        <v/>
      </c>
      <c r="O180" s="206" t="str">
        <f t="shared" si="60"/>
        <v/>
      </c>
      <c r="P180" s="208" t="str">
        <f>IF(A180="","",ROUND(SUMIFS(aditivos!$L$2:$L$200,aditivos!$A$2:$A$200,A180,aditivos!$C$2:$C$200,"C3"),2))</f>
        <v/>
      </c>
      <c r="Q180" s="204" t="str">
        <f t="shared" si="61"/>
        <v/>
      </c>
      <c r="R180" s="204" t="str">
        <f>IF(A180="","",IF(itens_Remanesc!I180="","",itens_Remanesc!I180))</f>
        <v/>
      </c>
      <c r="S180" s="210" t="str">
        <f t="shared" si="62"/>
        <v/>
      </c>
      <c r="T180" s="202" t="str">
        <f>IF(A180="","",ROUND(SUMIFS(aditivos!$L$2:$L$200,aditivos!$A$2:$A$200,A180,aditivos!$C$2:$C$200,"C4"),2))</f>
        <v/>
      </c>
      <c r="U180" s="198" t="str">
        <f t="shared" si="63"/>
        <v/>
      </c>
      <c r="V180" s="198" t="str">
        <f>IF(A180="","",IF(itens_Remanesc!K180="","",itens_Remanesc!K180))</f>
        <v/>
      </c>
      <c r="W180" s="198" t="str">
        <f t="shared" si="64"/>
        <v/>
      </c>
      <c r="X180" s="181" t="str">
        <f t="shared" si="65"/>
        <v/>
      </c>
    </row>
    <row r="181" spans="1:24" x14ac:dyDescent="0.35">
      <c r="A181" s="181" t="str">
        <f>IF(itens_Remanesc!A181="","",itens_Remanesc!A181)</f>
        <v/>
      </c>
      <c r="B181" s="181" t="str">
        <f>IF(A181="","",itens_Remanesc!C181)</f>
        <v/>
      </c>
      <c r="C181" s="200" t="str">
        <f>IF(A181="","",itens_Remanesc!B181)</f>
        <v/>
      </c>
      <c r="D181" s="202" t="str">
        <f>IF(A181="","",ROUND(SUMIFS(aditivos!$L$2:$L$200,aditivos!$A$2:$A$200,A181,aditivos!$C$2:$C$200,"C0"),2))</f>
        <v/>
      </c>
      <c r="E181" s="198" t="str">
        <f t="shared" si="55"/>
        <v/>
      </c>
      <c r="F181" s="198" t="str">
        <f>IF(A181="","",IF(itens_Remanesc!B181="","",itens_Remanesc!B181))</f>
        <v/>
      </c>
      <c r="G181" s="206" t="str">
        <f t="shared" si="56"/>
        <v/>
      </c>
      <c r="H181" s="208" t="str">
        <f>IF(A181="","",ROUND(SUMIFS(aditivos!$L$2:$L$200,aditivos!$A$2:$A$200,A181,aditivos!$C$2:$C$200,"C1"),2))</f>
        <v/>
      </c>
      <c r="I181" s="204" t="str">
        <f t="shared" si="57"/>
        <v/>
      </c>
      <c r="J181" s="204" t="str">
        <f>IF(A181="","",IF(itens_Remanesc!E181="","",itens_Remanesc!E181))</f>
        <v/>
      </c>
      <c r="K181" s="210" t="str">
        <f t="shared" si="58"/>
        <v/>
      </c>
      <c r="L181" s="202" t="str">
        <f>IF(A181="","",ROUND(SUMIFS(aditivos!$L$2:$L$200,aditivos!$A$2:$A$200,A181,aditivos!$C$2:$C$200,"C2"),2))</f>
        <v/>
      </c>
      <c r="M181" s="198" t="str">
        <f t="shared" si="59"/>
        <v/>
      </c>
      <c r="N181" s="198" t="str">
        <f>IF(A181="","",IF(itens_Remanesc!G181="","",itens_Remanesc!G181))</f>
        <v/>
      </c>
      <c r="O181" s="206" t="str">
        <f t="shared" si="60"/>
        <v/>
      </c>
      <c r="P181" s="208" t="str">
        <f>IF(A181="","",ROUND(SUMIFS(aditivos!$L$2:$L$200,aditivos!$A$2:$A$200,A181,aditivos!$C$2:$C$200,"C3"),2))</f>
        <v/>
      </c>
      <c r="Q181" s="204" t="str">
        <f t="shared" si="61"/>
        <v/>
      </c>
      <c r="R181" s="204" t="str">
        <f>IF(A181="","",IF(itens_Remanesc!I181="","",itens_Remanesc!I181))</f>
        <v/>
      </c>
      <c r="S181" s="210" t="str">
        <f t="shared" si="62"/>
        <v/>
      </c>
      <c r="T181" s="202" t="str">
        <f>IF(A181="","",ROUND(SUMIFS(aditivos!$L$2:$L$200,aditivos!$A$2:$A$200,A181,aditivos!$C$2:$C$200,"C4"),2))</f>
        <v/>
      </c>
      <c r="U181" s="198" t="str">
        <f t="shared" si="63"/>
        <v/>
      </c>
      <c r="V181" s="198" t="str">
        <f>IF(A181="","",IF(itens_Remanesc!K181="","",itens_Remanesc!K181))</f>
        <v/>
      </c>
      <c r="W181" s="198" t="str">
        <f t="shared" si="64"/>
        <v/>
      </c>
      <c r="X181" s="181" t="str">
        <f t="shared" si="65"/>
        <v/>
      </c>
    </row>
    <row r="182" spans="1:24" x14ac:dyDescent="0.35">
      <c r="A182" s="181" t="str">
        <f>IF(itens_Remanesc!A182="","",itens_Remanesc!A182)</f>
        <v/>
      </c>
      <c r="B182" s="181" t="str">
        <f>IF(A182="","",itens_Remanesc!C182)</f>
        <v/>
      </c>
      <c r="C182" s="200" t="str">
        <f>IF(A182="","",itens_Remanesc!B182)</f>
        <v/>
      </c>
      <c r="D182" s="202" t="str">
        <f>IF(A182="","",ROUND(SUMIFS(aditivos!$L$2:$L$200,aditivos!$A$2:$A$200,A182,aditivos!$C$2:$C$200,"C0"),2))</f>
        <v/>
      </c>
      <c r="E182" s="198" t="str">
        <f t="shared" si="55"/>
        <v/>
      </c>
      <c r="F182" s="198" t="str">
        <f>IF(A182="","",IF(itens_Remanesc!B182="","",itens_Remanesc!B182))</f>
        <v/>
      </c>
      <c r="G182" s="206" t="str">
        <f t="shared" si="56"/>
        <v/>
      </c>
      <c r="H182" s="208" t="str">
        <f>IF(A182="","",ROUND(SUMIFS(aditivos!$L$2:$L$200,aditivos!$A$2:$A$200,A182,aditivos!$C$2:$C$200,"C1"),2))</f>
        <v/>
      </c>
      <c r="I182" s="204" t="str">
        <f t="shared" si="57"/>
        <v/>
      </c>
      <c r="J182" s="204" t="str">
        <f>IF(A182="","",IF(itens_Remanesc!E182="","",itens_Remanesc!E182))</f>
        <v/>
      </c>
      <c r="K182" s="210" t="str">
        <f t="shared" si="58"/>
        <v/>
      </c>
      <c r="L182" s="202" t="str">
        <f>IF(A182="","",ROUND(SUMIFS(aditivos!$L$2:$L$200,aditivos!$A$2:$A$200,A182,aditivos!$C$2:$C$200,"C2"),2))</f>
        <v/>
      </c>
      <c r="M182" s="198" t="str">
        <f t="shared" si="59"/>
        <v/>
      </c>
      <c r="N182" s="198" t="str">
        <f>IF(A182="","",IF(itens_Remanesc!G182="","",itens_Remanesc!G182))</f>
        <v/>
      </c>
      <c r="O182" s="206" t="str">
        <f t="shared" si="60"/>
        <v/>
      </c>
      <c r="P182" s="208" t="str">
        <f>IF(A182="","",ROUND(SUMIFS(aditivos!$L$2:$L$200,aditivos!$A$2:$A$200,A182,aditivos!$C$2:$C$200,"C3"),2))</f>
        <v/>
      </c>
      <c r="Q182" s="204" t="str">
        <f t="shared" si="61"/>
        <v/>
      </c>
      <c r="R182" s="204" t="str">
        <f>IF(A182="","",IF(itens_Remanesc!I182="","",itens_Remanesc!I182))</f>
        <v/>
      </c>
      <c r="S182" s="210" t="str">
        <f t="shared" si="62"/>
        <v/>
      </c>
      <c r="T182" s="202" t="str">
        <f>IF(A182="","",ROUND(SUMIFS(aditivos!$L$2:$L$200,aditivos!$A$2:$A$200,A182,aditivos!$C$2:$C$200,"C4"),2))</f>
        <v/>
      </c>
      <c r="U182" s="198" t="str">
        <f t="shared" si="63"/>
        <v/>
      </c>
      <c r="V182" s="198" t="str">
        <f>IF(A182="","",IF(itens_Remanesc!K182="","",itens_Remanesc!K182))</f>
        <v/>
      </c>
      <c r="W182" s="198" t="str">
        <f t="shared" si="64"/>
        <v/>
      </c>
      <c r="X182" s="181" t="str">
        <f t="shared" si="65"/>
        <v/>
      </c>
    </row>
    <row r="183" spans="1:24" x14ac:dyDescent="0.35">
      <c r="A183" s="181" t="str">
        <f>IF(itens_Remanesc!A183="","",itens_Remanesc!A183)</f>
        <v/>
      </c>
      <c r="B183" s="181" t="str">
        <f>IF(A183="","",itens_Remanesc!C183)</f>
        <v/>
      </c>
      <c r="C183" s="200" t="str">
        <f>IF(A183="","",itens_Remanesc!B183)</f>
        <v/>
      </c>
      <c r="D183" s="202" t="str">
        <f>IF(A183="","",ROUND(SUMIFS(aditivos!$L$2:$L$200,aditivos!$A$2:$A$200,A183,aditivos!$C$2:$C$200,"C0"),2))</f>
        <v/>
      </c>
      <c r="E183" s="198" t="str">
        <f t="shared" si="55"/>
        <v/>
      </c>
      <c r="F183" s="198" t="str">
        <f>IF(A183="","",IF(itens_Remanesc!B183="","",itens_Remanesc!B183))</f>
        <v/>
      </c>
      <c r="G183" s="206" t="str">
        <f t="shared" si="56"/>
        <v/>
      </c>
      <c r="H183" s="208" t="str">
        <f>IF(A183="","",ROUND(SUMIFS(aditivos!$L$2:$L$200,aditivos!$A$2:$A$200,A183,aditivos!$C$2:$C$200,"C1"),2))</f>
        <v/>
      </c>
      <c r="I183" s="204" t="str">
        <f t="shared" si="57"/>
        <v/>
      </c>
      <c r="J183" s="204" t="str">
        <f>IF(A183="","",IF(itens_Remanesc!E183="","",itens_Remanesc!E183))</f>
        <v/>
      </c>
      <c r="K183" s="210" t="str">
        <f t="shared" si="58"/>
        <v/>
      </c>
      <c r="L183" s="202" t="str">
        <f>IF(A183="","",ROUND(SUMIFS(aditivos!$L$2:$L$200,aditivos!$A$2:$A$200,A183,aditivos!$C$2:$C$200,"C2"),2))</f>
        <v/>
      </c>
      <c r="M183" s="198" t="str">
        <f t="shared" si="59"/>
        <v/>
      </c>
      <c r="N183" s="198" t="str">
        <f>IF(A183="","",IF(itens_Remanesc!G183="","",itens_Remanesc!G183))</f>
        <v/>
      </c>
      <c r="O183" s="206" t="str">
        <f t="shared" si="60"/>
        <v/>
      </c>
      <c r="P183" s="208" t="str">
        <f>IF(A183="","",ROUND(SUMIFS(aditivos!$L$2:$L$200,aditivos!$A$2:$A$200,A183,aditivos!$C$2:$C$200,"C3"),2))</f>
        <v/>
      </c>
      <c r="Q183" s="204" t="str">
        <f t="shared" si="61"/>
        <v/>
      </c>
      <c r="R183" s="204" t="str">
        <f>IF(A183="","",IF(itens_Remanesc!I183="","",itens_Remanesc!I183))</f>
        <v/>
      </c>
      <c r="S183" s="210" t="str">
        <f t="shared" si="62"/>
        <v/>
      </c>
      <c r="T183" s="202" t="str">
        <f>IF(A183="","",ROUND(SUMIFS(aditivos!$L$2:$L$200,aditivos!$A$2:$A$200,A183,aditivos!$C$2:$C$200,"C4"),2))</f>
        <v/>
      </c>
      <c r="U183" s="198" t="str">
        <f t="shared" si="63"/>
        <v/>
      </c>
      <c r="V183" s="198" t="str">
        <f>IF(A183="","",IF(itens_Remanesc!K183="","",itens_Remanesc!K183))</f>
        <v/>
      </c>
      <c r="W183" s="198" t="str">
        <f t="shared" si="64"/>
        <v/>
      </c>
      <c r="X183" s="181" t="str">
        <f t="shared" si="65"/>
        <v/>
      </c>
    </row>
    <row r="184" spans="1:24" x14ac:dyDescent="0.35">
      <c r="A184" s="181" t="str">
        <f>IF(itens_Remanesc!A184="","",itens_Remanesc!A184)</f>
        <v/>
      </c>
      <c r="B184" s="181" t="str">
        <f>IF(A184="","",itens_Remanesc!C184)</f>
        <v/>
      </c>
      <c r="C184" s="200" t="str">
        <f>IF(A184="","",itens_Remanesc!B184)</f>
        <v/>
      </c>
      <c r="D184" s="202" t="str">
        <f>IF(A184="","",ROUND(SUMIFS(aditivos!$L$2:$L$200,aditivos!$A$2:$A$200,A184,aditivos!$C$2:$C$200,"C0"),2))</f>
        <v/>
      </c>
      <c r="E184" s="198" t="str">
        <f t="shared" si="55"/>
        <v/>
      </c>
      <c r="F184" s="198" t="str">
        <f>IF(A184="","",IF(itens_Remanesc!B184="","",itens_Remanesc!B184))</f>
        <v/>
      </c>
      <c r="G184" s="206" t="str">
        <f t="shared" si="56"/>
        <v/>
      </c>
      <c r="H184" s="208" t="str">
        <f>IF(A184="","",ROUND(SUMIFS(aditivos!$L$2:$L$200,aditivos!$A$2:$A$200,A184,aditivos!$C$2:$C$200,"C1"),2))</f>
        <v/>
      </c>
      <c r="I184" s="204" t="str">
        <f t="shared" si="57"/>
        <v/>
      </c>
      <c r="J184" s="204" t="str">
        <f>IF(A184="","",IF(itens_Remanesc!E184="","",itens_Remanesc!E184))</f>
        <v/>
      </c>
      <c r="K184" s="210" t="str">
        <f t="shared" si="58"/>
        <v/>
      </c>
      <c r="L184" s="202" t="str">
        <f>IF(A184="","",ROUND(SUMIFS(aditivos!$L$2:$L$200,aditivos!$A$2:$A$200,A184,aditivos!$C$2:$C$200,"C2"),2))</f>
        <v/>
      </c>
      <c r="M184" s="198" t="str">
        <f t="shared" si="59"/>
        <v/>
      </c>
      <c r="N184" s="198" t="str">
        <f>IF(A184="","",IF(itens_Remanesc!G184="","",itens_Remanesc!G184))</f>
        <v/>
      </c>
      <c r="O184" s="206" t="str">
        <f t="shared" si="60"/>
        <v/>
      </c>
      <c r="P184" s="208" t="str">
        <f>IF(A184="","",ROUND(SUMIFS(aditivos!$L$2:$L$200,aditivos!$A$2:$A$200,A184,aditivos!$C$2:$C$200,"C3"),2))</f>
        <v/>
      </c>
      <c r="Q184" s="204" t="str">
        <f t="shared" si="61"/>
        <v/>
      </c>
      <c r="R184" s="204" t="str">
        <f>IF(A184="","",IF(itens_Remanesc!I184="","",itens_Remanesc!I184))</f>
        <v/>
      </c>
      <c r="S184" s="210" t="str">
        <f t="shared" si="62"/>
        <v/>
      </c>
      <c r="T184" s="202" t="str">
        <f>IF(A184="","",ROUND(SUMIFS(aditivos!$L$2:$L$200,aditivos!$A$2:$A$200,A184,aditivos!$C$2:$C$200,"C4"),2))</f>
        <v/>
      </c>
      <c r="U184" s="198" t="str">
        <f t="shared" si="63"/>
        <v/>
      </c>
      <c r="V184" s="198" t="str">
        <f>IF(A184="","",IF(itens_Remanesc!K184="","",itens_Remanesc!K184))</f>
        <v/>
      </c>
      <c r="W184" s="198" t="str">
        <f t="shared" si="64"/>
        <v/>
      </c>
      <c r="X184" s="181" t="str">
        <f t="shared" si="65"/>
        <v/>
      </c>
    </row>
    <row r="185" spans="1:24" x14ac:dyDescent="0.35">
      <c r="A185" s="181" t="str">
        <f>IF(itens_Remanesc!A185="","",itens_Remanesc!A185)</f>
        <v/>
      </c>
      <c r="B185" s="181" t="str">
        <f>IF(A185="","",itens_Remanesc!C185)</f>
        <v/>
      </c>
      <c r="C185" s="200" t="str">
        <f>IF(A185="","",itens_Remanesc!B185)</f>
        <v/>
      </c>
      <c r="D185" s="202" t="str">
        <f>IF(A185="","",ROUND(SUMIFS(aditivos!$L$2:$L$200,aditivos!$A$2:$A$200,A185,aditivos!$C$2:$C$200,"C0"),2))</f>
        <v/>
      </c>
      <c r="E185" s="198" t="str">
        <f t="shared" si="55"/>
        <v/>
      </c>
      <c r="F185" s="198" t="str">
        <f>IF(A185="","",IF(itens_Remanesc!B185="","",itens_Remanesc!B185))</f>
        <v/>
      </c>
      <c r="G185" s="206" t="str">
        <f t="shared" si="56"/>
        <v/>
      </c>
      <c r="H185" s="208" t="str">
        <f>IF(A185="","",ROUND(SUMIFS(aditivos!$L$2:$L$200,aditivos!$A$2:$A$200,A185,aditivos!$C$2:$C$200,"C1"),2))</f>
        <v/>
      </c>
      <c r="I185" s="204" t="str">
        <f t="shared" si="57"/>
        <v/>
      </c>
      <c r="J185" s="204" t="str">
        <f>IF(A185="","",IF(itens_Remanesc!E185="","",itens_Remanesc!E185))</f>
        <v/>
      </c>
      <c r="K185" s="210" t="str">
        <f t="shared" si="58"/>
        <v/>
      </c>
      <c r="L185" s="202" t="str">
        <f>IF(A185="","",ROUND(SUMIFS(aditivos!$L$2:$L$200,aditivos!$A$2:$A$200,A185,aditivos!$C$2:$C$200,"C2"),2))</f>
        <v/>
      </c>
      <c r="M185" s="198" t="str">
        <f t="shared" si="59"/>
        <v/>
      </c>
      <c r="N185" s="198" t="str">
        <f>IF(A185="","",IF(itens_Remanesc!G185="","",itens_Remanesc!G185))</f>
        <v/>
      </c>
      <c r="O185" s="206" t="str">
        <f t="shared" si="60"/>
        <v/>
      </c>
      <c r="P185" s="208" t="str">
        <f>IF(A185="","",ROUND(SUMIFS(aditivos!$L$2:$L$200,aditivos!$A$2:$A$200,A185,aditivos!$C$2:$C$200,"C3"),2))</f>
        <v/>
      </c>
      <c r="Q185" s="204" t="str">
        <f t="shared" si="61"/>
        <v/>
      </c>
      <c r="R185" s="204" t="str">
        <f>IF(A185="","",IF(itens_Remanesc!I185="","",itens_Remanesc!I185))</f>
        <v/>
      </c>
      <c r="S185" s="210" t="str">
        <f t="shared" si="62"/>
        <v/>
      </c>
      <c r="T185" s="202" t="str">
        <f>IF(A185="","",ROUND(SUMIFS(aditivos!$L$2:$L$200,aditivos!$A$2:$A$200,A185,aditivos!$C$2:$C$200,"C4"),2))</f>
        <v/>
      </c>
      <c r="U185" s="198" t="str">
        <f t="shared" si="63"/>
        <v/>
      </c>
      <c r="V185" s="198" t="str">
        <f>IF(A185="","",IF(itens_Remanesc!K185="","",itens_Remanesc!K185))</f>
        <v/>
      </c>
      <c r="W185" s="198" t="str">
        <f t="shared" si="64"/>
        <v/>
      </c>
      <c r="X185" s="181" t="str">
        <f t="shared" si="65"/>
        <v/>
      </c>
    </row>
    <row r="186" spans="1:24" x14ac:dyDescent="0.35">
      <c r="A186" s="181" t="str">
        <f>IF(itens_Remanesc!A186="","",itens_Remanesc!A186)</f>
        <v/>
      </c>
      <c r="B186" s="181" t="str">
        <f>IF(A186="","",itens_Remanesc!C186)</f>
        <v/>
      </c>
      <c r="C186" s="200" t="str">
        <f>IF(A186="","",itens_Remanesc!B186)</f>
        <v/>
      </c>
      <c r="D186" s="202" t="str">
        <f>IF(A186="","",ROUND(SUMIFS(aditivos!$L$2:$L$200,aditivos!$A$2:$A$200,A186,aditivos!$C$2:$C$200,"C0"),2))</f>
        <v/>
      </c>
      <c r="E186" s="198" t="str">
        <f t="shared" si="55"/>
        <v/>
      </c>
      <c r="F186" s="198" t="str">
        <f>IF(A186="","",IF(itens_Remanesc!B186="","",itens_Remanesc!B186))</f>
        <v/>
      </c>
      <c r="G186" s="206" t="str">
        <f t="shared" si="56"/>
        <v/>
      </c>
      <c r="H186" s="208" t="str">
        <f>IF(A186="","",ROUND(SUMIFS(aditivos!$L$2:$L$200,aditivos!$A$2:$A$200,A186,aditivos!$C$2:$C$200,"C1"),2))</f>
        <v/>
      </c>
      <c r="I186" s="204" t="str">
        <f t="shared" si="57"/>
        <v/>
      </c>
      <c r="J186" s="204" t="str">
        <f>IF(A186="","",IF(itens_Remanesc!E186="","",itens_Remanesc!E186))</f>
        <v/>
      </c>
      <c r="K186" s="210" t="str">
        <f t="shared" si="58"/>
        <v/>
      </c>
      <c r="L186" s="202" t="str">
        <f>IF(A186="","",ROUND(SUMIFS(aditivos!$L$2:$L$200,aditivos!$A$2:$A$200,A186,aditivos!$C$2:$C$200,"C2"),2))</f>
        <v/>
      </c>
      <c r="M186" s="198" t="str">
        <f t="shared" si="59"/>
        <v/>
      </c>
      <c r="N186" s="198" t="str">
        <f>IF(A186="","",IF(itens_Remanesc!G186="","",itens_Remanesc!G186))</f>
        <v/>
      </c>
      <c r="O186" s="206" t="str">
        <f t="shared" si="60"/>
        <v/>
      </c>
      <c r="P186" s="208" t="str">
        <f>IF(A186="","",ROUND(SUMIFS(aditivos!$L$2:$L$200,aditivos!$A$2:$A$200,A186,aditivos!$C$2:$C$200,"C3"),2))</f>
        <v/>
      </c>
      <c r="Q186" s="204" t="str">
        <f t="shared" si="61"/>
        <v/>
      </c>
      <c r="R186" s="204" t="str">
        <f>IF(A186="","",IF(itens_Remanesc!I186="","",itens_Remanesc!I186))</f>
        <v/>
      </c>
      <c r="S186" s="210" t="str">
        <f t="shared" si="62"/>
        <v/>
      </c>
      <c r="T186" s="202" t="str">
        <f>IF(A186="","",ROUND(SUMIFS(aditivos!$L$2:$L$200,aditivos!$A$2:$A$200,A186,aditivos!$C$2:$C$200,"C4"),2))</f>
        <v/>
      </c>
      <c r="U186" s="198" t="str">
        <f t="shared" si="63"/>
        <v/>
      </c>
      <c r="V186" s="198" t="str">
        <f>IF(A186="","",IF(itens_Remanesc!K186="","",itens_Remanesc!K186))</f>
        <v/>
      </c>
      <c r="W186" s="198" t="str">
        <f t="shared" si="64"/>
        <v/>
      </c>
      <c r="X186" s="181" t="str">
        <f t="shared" si="65"/>
        <v/>
      </c>
    </row>
    <row r="187" spans="1:24" x14ac:dyDescent="0.35">
      <c r="A187" s="181" t="str">
        <f>IF(itens_Remanesc!A187="","",itens_Remanesc!A187)</f>
        <v/>
      </c>
      <c r="B187" s="181" t="str">
        <f>IF(A187="","",itens_Remanesc!C187)</f>
        <v/>
      </c>
      <c r="C187" s="200" t="str">
        <f>IF(A187="","",itens_Remanesc!B187)</f>
        <v/>
      </c>
      <c r="D187" s="202" t="str">
        <f>IF(A187="","",ROUND(SUMIFS(aditivos!$L$2:$L$200,aditivos!$A$2:$A$200,A187,aditivos!$C$2:$C$200,"C0"),2))</f>
        <v/>
      </c>
      <c r="E187" s="198" t="str">
        <f t="shared" si="55"/>
        <v/>
      </c>
      <c r="F187" s="198" t="str">
        <f>IF(A187="","",IF(itens_Remanesc!B187="","",itens_Remanesc!B187))</f>
        <v/>
      </c>
      <c r="G187" s="206" t="str">
        <f t="shared" si="56"/>
        <v/>
      </c>
      <c r="H187" s="208" t="str">
        <f>IF(A187="","",ROUND(SUMIFS(aditivos!$L$2:$L$200,aditivos!$A$2:$A$200,A187,aditivos!$C$2:$C$200,"C1"),2))</f>
        <v/>
      </c>
      <c r="I187" s="204" t="str">
        <f t="shared" si="57"/>
        <v/>
      </c>
      <c r="J187" s="204" t="str">
        <f>IF(A187="","",IF(itens_Remanesc!E187="","",itens_Remanesc!E187))</f>
        <v/>
      </c>
      <c r="K187" s="210" t="str">
        <f t="shared" si="58"/>
        <v/>
      </c>
      <c r="L187" s="202" t="str">
        <f>IF(A187="","",ROUND(SUMIFS(aditivos!$L$2:$L$200,aditivos!$A$2:$A$200,A187,aditivos!$C$2:$C$200,"C2"),2))</f>
        <v/>
      </c>
      <c r="M187" s="198" t="str">
        <f t="shared" si="59"/>
        <v/>
      </c>
      <c r="N187" s="198" t="str">
        <f>IF(A187="","",IF(itens_Remanesc!G187="","",itens_Remanesc!G187))</f>
        <v/>
      </c>
      <c r="O187" s="206" t="str">
        <f t="shared" si="60"/>
        <v/>
      </c>
      <c r="P187" s="208" t="str">
        <f>IF(A187="","",ROUND(SUMIFS(aditivos!$L$2:$L$200,aditivos!$A$2:$A$200,A187,aditivos!$C$2:$C$200,"C3"),2))</f>
        <v/>
      </c>
      <c r="Q187" s="204" t="str">
        <f t="shared" si="61"/>
        <v/>
      </c>
      <c r="R187" s="204" t="str">
        <f>IF(A187="","",IF(itens_Remanesc!I187="","",itens_Remanesc!I187))</f>
        <v/>
      </c>
      <c r="S187" s="210" t="str">
        <f t="shared" si="62"/>
        <v/>
      </c>
      <c r="T187" s="202" t="str">
        <f>IF(A187="","",ROUND(SUMIFS(aditivos!$L$2:$L$200,aditivos!$A$2:$A$200,A187,aditivos!$C$2:$C$200,"C4"),2))</f>
        <v/>
      </c>
      <c r="U187" s="198" t="str">
        <f t="shared" si="63"/>
        <v/>
      </c>
      <c r="V187" s="198" t="str">
        <f>IF(A187="","",IF(itens_Remanesc!K187="","",itens_Remanesc!K187))</f>
        <v/>
      </c>
      <c r="W187" s="198" t="str">
        <f t="shared" si="64"/>
        <v/>
      </c>
      <c r="X187" s="181" t="str">
        <f t="shared" si="65"/>
        <v/>
      </c>
    </row>
    <row r="188" spans="1:24" x14ac:dyDescent="0.35">
      <c r="A188" s="181" t="str">
        <f>IF(itens_Remanesc!A188="","",itens_Remanesc!A188)</f>
        <v/>
      </c>
      <c r="B188" s="181" t="str">
        <f>IF(A188="","",itens_Remanesc!C188)</f>
        <v/>
      </c>
      <c r="C188" s="200" t="str">
        <f>IF(A188="","",itens_Remanesc!B188)</f>
        <v/>
      </c>
      <c r="D188" s="202" t="str">
        <f>IF(A188="","",ROUND(SUMIFS(aditivos!$L$2:$L$200,aditivos!$A$2:$A$200,A188,aditivos!$C$2:$C$200,"C0"),2))</f>
        <v/>
      </c>
      <c r="E188" s="198" t="str">
        <f t="shared" si="55"/>
        <v/>
      </c>
      <c r="F188" s="198" t="str">
        <f>IF(A188="","",IF(itens_Remanesc!B188="","",itens_Remanesc!B188))</f>
        <v/>
      </c>
      <c r="G188" s="206" t="str">
        <f t="shared" si="56"/>
        <v/>
      </c>
      <c r="H188" s="208" t="str">
        <f>IF(A188="","",ROUND(SUMIFS(aditivos!$L$2:$L$200,aditivos!$A$2:$A$200,A188,aditivos!$C$2:$C$200,"C1"),2))</f>
        <v/>
      </c>
      <c r="I188" s="204" t="str">
        <f t="shared" si="57"/>
        <v/>
      </c>
      <c r="J188" s="204" t="str">
        <f>IF(A188="","",IF(itens_Remanesc!E188="","",itens_Remanesc!E188))</f>
        <v/>
      </c>
      <c r="K188" s="210" t="str">
        <f t="shared" si="58"/>
        <v/>
      </c>
      <c r="L188" s="202" t="str">
        <f>IF(A188="","",ROUND(SUMIFS(aditivos!$L$2:$L$200,aditivos!$A$2:$A$200,A188,aditivos!$C$2:$C$200,"C2"),2))</f>
        <v/>
      </c>
      <c r="M188" s="198" t="str">
        <f t="shared" si="59"/>
        <v/>
      </c>
      <c r="N188" s="198" t="str">
        <f>IF(A188="","",IF(itens_Remanesc!G188="","",itens_Remanesc!G188))</f>
        <v/>
      </c>
      <c r="O188" s="206" t="str">
        <f t="shared" si="60"/>
        <v/>
      </c>
      <c r="P188" s="208" t="str">
        <f>IF(A188="","",ROUND(SUMIFS(aditivos!$L$2:$L$200,aditivos!$A$2:$A$200,A188,aditivos!$C$2:$C$200,"C3"),2))</f>
        <v/>
      </c>
      <c r="Q188" s="204" t="str">
        <f t="shared" si="61"/>
        <v/>
      </c>
      <c r="R188" s="204" t="str">
        <f>IF(A188="","",IF(itens_Remanesc!I188="","",itens_Remanesc!I188))</f>
        <v/>
      </c>
      <c r="S188" s="210" t="str">
        <f t="shared" si="62"/>
        <v/>
      </c>
      <c r="T188" s="202" t="str">
        <f>IF(A188="","",ROUND(SUMIFS(aditivos!$L$2:$L$200,aditivos!$A$2:$A$200,A188,aditivos!$C$2:$C$200,"C4"),2))</f>
        <v/>
      </c>
      <c r="U188" s="198" t="str">
        <f t="shared" si="63"/>
        <v/>
      </c>
      <c r="V188" s="198" t="str">
        <f>IF(A188="","",IF(itens_Remanesc!K188="","",itens_Remanesc!K188))</f>
        <v/>
      </c>
      <c r="W188" s="198" t="str">
        <f t="shared" si="64"/>
        <v/>
      </c>
      <c r="X188" s="181" t="str">
        <f t="shared" si="65"/>
        <v/>
      </c>
    </row>
    <row r="189" spans="1:24" x14ac:dyDescent="0.35">
      <c r="A189" s="181" t="str">
        <f>IF(itens_Remanesc!A189="","",itens_Remanesc!A189)</f>
        <v/>
      </c>
      <c r="B189" s="181" t="str">
        <f>IF(A189="","",itens_Remanesc!C189)</f>
        <v/>
      </c>
      <c r="C189" s="200" t="str">
        <f>IF(A189="","",itens_Remanesc!B189)</f>
        <v/>
      </c>
      <c r="D189" s="202" t="str">
        <f>IF(A189="","",ROUND(SUMIFS(aditivos!$L$2:$L$200,aditivos!$A$2:$A$200,A189,aditivos!$C$2:$C$200,"C0"),2))</f>
        <v/>
      </c>
      <c r="E189" s="198" t="str">
        <f t="shared" si="55"/>
        <v/>
      </c>
      <c r="F189" s="198" t="str">
        <f>IF(A189="","",IF(itens_Remanesc!B189="","",itens_Remanesc!B189))</f>
        <v/>
      </c>
      <c r="G189" s="206" t="str">
        <f t="shared" si="56"/>
        <v/>
      </c>
      <c r="H189" s="208" t="str">
        <f>IF(A189="","",ROUND(SUMIFS(aditivos!$L$2:$L$200,aditivos!$A$2:$A$200,A189,aditivos!$C$2:$C$200,"C1"),2))</f>
        <v/>
      </c>
      <c r="I189" s="204" t="str">
        <f t="shared" si="57"/>
        <v/>
      </c>
      <c r="J189" s="204" t="str">
        <f>IF(A189="","",IF(itens_Remanesc!E189="","",itens_Remanesc!E189))</f>
        <v/>
      </c>
      <c r="K189" s="210" t="str">
        <f t="shared" si="58"/>
        <v/>
      </c>
      <c r="L189" s="202" t="str">
        <f>IF(A189="","",ROUND(SUMIFS(aditivos!$L$2:$L$200,aditivos!$A$2:$A$200,A189,aditivos!$C$2:$C$200,"C2"),2))</f>
        <v/>
      </c>
      <c r="M189" s="198" t="str">
        <f t="shared" si="59"/>
        <v/>
      </c>
      <c r="N189" s="198" t="str">
        <f>IF(A189="","",IF(itens_Remanesc!G189="","",itens_Remanesc!G189))</f>
        <v/>
      </c>
      <c r="O189" s="206" t="str">
        <f t="shared" si="60"/>
        <v/>
      </c>
      <c r="P189" s="208" t="str">
        <f>IF(A189="","",ROUND(SUMIFS(aditivos!$L$2:$L$200,aditivos!$A$2:$A$200,A189,aditivos!$C$2:$C$200,"C3"),2))</f>
        <v/>
      </c>
      <c r="Q189" s="204" t="str">
        <f t="shared" si="61"/>
        <v/>
      </c>
      <c r="R189" s="204" t="str">
        <f>IF(A189="","",IF(itens_Remanesc!I189="","",itens_Remanesc!I189))</f>
        <v/>
      </c>
      <c r="S189" s="210" t="str">
        <f t="shared" si="62"/>
        <v/>
      </c>
      <c r="T189" s="202" t="str">
        <f>IF(A189="","",ROUND(SUMIFS(aditivos!$L$2:$L$200,aditivos!$A$2:$A$200,A189,aditivos!$C$2:$C$200,"C4"),2))</f>
        <v/>
      </c>
      <c r="U189" s="198" t="str">
        <f t="shared" si="63"/>
        <v/>
      </c>
      <c r="V189" s="198" t="str">
        <f>IF(A189="","",IF(itens_Remanesc!K189="","",itens_Remanesc!K189))</f>
        <v/>
      </c>
      <c r="W189" s="198" t="str">
        <f t="shared" si="64"/>
        <v/>
      </c>
      <c r="X189" s="181" t="str">
        <f t="shared" si="65"/>
        <v/>
      </c>
    </row>
    <row r="190" spans="1:24" x14ac:dyDescent="0.35">
      <c r="A190" s="181" t="str">
        <f>IF(itens_Remanesc!A190="","",itens_Remanesc!A190)</f>
        <v/>
      </c>
      <c r="B190" s="181" t="str">
        <f>IF(A190="","",itens_Remanesc!C190)</f>
        <v/>
      </c>
      <c r="C190" s="200" t="str">
        <f>IF(A190="","",itens_Remanesc!B190)</f>
        <v/>
      </c>
      <c r="D190" s="202" t="str">
        <f>IF(A190="","",ROUND(SUMIFS(aditivos!$L$2:$L$200,aditivos!$A$2:$A$200,A190,aditivos!$C$2:$C$200,"C0"),2))</f>
        <v/>
      </c>
      <c r="E190" s="198" t="str">
        <f t="shared" si="55"/>
        <v/>
      </c>
      <c r="F190" s="198" t="str">
        <f>IF(A190="","",IF(itens_Remanesc!B190="","",itens_Remanesc!B190))</f>
        <v/>
      </c>
      <c r="G190" s="206" t="str">
        <f t="shared" si="56"/>
        <v/>
      </c>
      <c r="H190" s="208" t="str">
        <f>IF(A190="","",ROUND(SUMIFS(aditivos!$L$2:$L$200,aditivos!$A$2:$A$200,A190,aditivos!$C$2:$C$200,"C1"),2))</f>
        <v/>
      </c>
      <c r="I190" s="204" t="str">
        <f t="shared" si="57"/>
        <v/>
      </c>
      <c r="J190" s="204" t="str">
        <f>IF(A190="","",IF(itens_Remanesc!E190="","",itens_Remanesc!E190))</f>
        <v/>
      </c>
      <c r="K190" s="210" t="str">
        <f t="shared" si="58"/>
        <v/>
      </c>
      <c r="L190" s="202" t="str">
        <f>IF(A190="","",ROUND(SUMIFS(aditivos!$L$2:$L$200,aditivos!$A$2:$A$200,A190,aditivos!$C$2:$C$200,"C2"),2))</f>
        <v/>
      </c>
      <c r="M190" s="198" t="str">
        <f t="shared" si="59"/>
        <v/>
      </c>
      <c r="N190" s="198" t="str">
        <f>IF(A190="","",IF(itens_Remanesc!G190="","",itens_Remanesc!G190))</f>
        <v/>
      </c>
      <c r="O190" s="206" t="str">
        <f t="shared" si="60"/>
        <v/>
      </c>
      <c r="P190" s="208" t="str">
        <f>IF(A190="","",ROUND(SUMIFS(aditivos!$L$2:$L$200,aditivos!$A$2:$A$200,A190,aditivos!$C$2:$C$200,"C3"),2))</f>
        <v/>
      </c>
      <c r="Q190" s="204" t="str">
        <f t="shared" si="61"/>
        <v/>
      </c>
      <c r="R190" s="204" t="str">
        <f>IF(A190="","",IF(itens_Remanesc!I190="","",itens_Remanesc!I190))</f>
        <v/>
      </c>
      <c r="S190" s="210" t="str">
        <f t="shared" si="62"/>
        <v/>
      </c>
      <c r="T190" s="202" t="str">
        <f>IF(A190="","",ROUND(SUMIFS(aditivos!$L$2:$L$200,aditivos!$A$2:$A$200,A190,aditivos!$C$2:$C$200,"C4"),2))</f>
        <v/>
      </c>
      <c r="U190" s="198" t="str">
        <f t="shared" si="63"/>
        <v/>
      </c>
      <c r="V190" s="198" t="str">
        <f>IF(A190="","",IF(itens_Remanesc!K190="","",itens_Remanesc!K190))</f>
        <v/>
      </c>
      <c r="W190" s="198" t="str">
        <f t="shared" si="64"/>
        <v/>
      </c>
      <c r="X190" s="181" t="str">
        <f t="shared" si="65"/>
        <v/>
      </c>
    </row>
    <row r="191" spans="1:24" x14ac:dyDescent="0.35">
      <c r="A191" s="181" t="str">
        <f>IF(itens_Remanesc!A191="","",itens_Remanesc!A191)</f>
        <v/>
      </c>
      <c r="B191" s="181" t="str">
        <f>IF(A191="","",itens_Remanesc!C191)</f>
        <v/>
      </c>
      <c r="C191" s="200" t="str">
        <f>IF(A191="","",itens_Remanesc!B191)</f>
        <v/>
      </c>
      <c r="D191" s="202" t="str">
        <f>IF(A191="","",ROUND(SUMIFS(aditivos!$L$2:$L$200,aditivos!$A$2:$A$200,A191,aditivos!$C$2:$C$200,"C0"),2))</f>
        <v/>
      </c>
      <c r="E191" s="198" t="str">
        <f t="shared" si="55"/>
        <v/>
      </c>
      <c r="F191" s="198" t="str">
        <f>IF(A191="","",IF(itens_Remanesc!B191="","",itens_Remanesc!B191))</f>
        <v/>
      </c>
      <c r="G191" s="206" t="str">
        <f t="shared" si="56"/>
        <v/>
      </c>
      <c r="H191" s="208" t="str">
        <f>IF(A191="","",ROUND(SUMIFS(aditivos!$L$2:$L$200,aditivos!$A$2:$A$200,A191,aditivos!$C$2:$C$200,"C1"),2))</f>
        <v/>
      </c>
      <c r="I191" s="204" t="str">
        <f t="shared" si="57"/>
        <v/>
      </c>
      <c r="J191" s="204" t="str">
        <f>IF(A191="","",IF(itens_Remanesc!E191="","",itens_Remanesc!E191))</f>
        <v/>
      </c>
      <c r="K191" s="210" t="str">
        <f t="shared" si="58"/>
        <v/>
      </c>
      <c r="L191" s="202" t="str">
        <f>IF(A191="","",ROUND(SUMIFS(aditivos!$L$2:$L$200,aditivos!$A$2:$A$200,A191,aditivos!$C$2:$C$200,"C2"),2))</f>
        <v/>
      </c>
      <c r="M191" s="198" t="str">
        <f t="shared" si="59"/>
        <v/>
      </c>
      <c r="N191" s="198" t="str">
        <f>IF(A191="","",IF(itens_Remanesc!G191="","",itens_Remanesc!G191))</f>
        <v/>
      </c>
      <c r="O191" s="206" t="str">
        <f t="shared" si="60"/>
        <v/>
      </c>
      <c r="P191" s="208" t="str">
        <f>IF(A191="","",ROUND(SUMIFS(aditivos!$L$2:$L$200,aditivos!$A$2:$A$200,A191,aditivos!$C$2:$C$200,"C3"),2))</f>
        <v/>
      </c>
      <c r="Q191" s="204" t="str">
        <f t="shared" si="61"/>
        <v/>
      </c>
      <c r="R191" s="204" t="str">
        <f>IF(A191="","",IF(itens_Remanesc!I191="","",itens_Remanesc!I191))</f>
        <v/>
      </c>
      <c r="S191" s="210" t="str">
        <f t="shared" si="62"/>
        <v/>
      </c>
      <c r="T191" s="202" t="str">
        <f>IF(A191="","",ROUND(SUMIFS(aditivos!$L$2:$L$200,aditivos!$A$2:$A$200,A191,aditivos!$C$2:$C$200,"C4"),2))</f>
        <v/>
      </c>
      <c r="U191" s="198" t="str">
        <f t="shared" si="63"/>
        <v/>
      </c>
      <c r="V191" s="198" t="str">
        <f>IF(A191="","",IF(itens_Remanesc!K191="","",itens_Remanesc!K191))</f>
        <v/>
      </c>
      <c r="W191" s="198" t="str">
        <f t="shared" si="64"/>
        <v/>
      </c>
      <c r="X191" s="181" t="str">
        <f t="shared" si="65"/>
        <v/>
      </c>
    </row>
    <row r="192" spans="1:24" x14ac:dyDescent="0.35">
      <c r="A192" s="181" t="str">
        <f>IF(itens_Remanesc!A192="","",itens_Remanesc!A192)</f>
        <v/>
      </c>
      <c r="B192" s="181" t="str">
        <f>IF(A192="","",itens_Remanesc!C192)</f>
        <v/>
      </c>
      <c r="C192" s="200" t="str">
        <f>IF(A192="","",itens_Remanesc!B192)</f>
        <v/>
      </c>
      <c r="D192" s="202" t="str">
        <f>IF(A192="","",ROUND(SUMIFS(aditivos!$L$2:$L$200,aditivos!$A$2:$A$200,A192,aditivos!$C$2:$C$200,"C0"),2))</f>
        <v/>
      </c>
      <c r="E192" s="198" t="str">
        <f t="shared" si="55"/>
        <v/>
      </c>
      <c r="F192" s="198" t="str">
        <f>IF(A192="","",IF(itens_Remanesc!B192="","",itens_Remanesc!B192))</f>
        <v/>
      </c>
      <c r="G192" s="206" t="str">
        <f t="shared" si="56"/>
        <v/>
      </c>
      <c r="H192" s="208" t="str">
        <f>IF(A192="","",ROUND(SUMIFS(aditivos!$L$2:$L$200,aditivos!$A$2:$A$200,A192,aditivos!$C$2:$C$200,"C1"),2))</f>
        <v/>
      </c>
      <c r="I192" s="204" t="str">
        <f t="shared" si="57"/>
        <v/>
      </c>
      <c r="J192" s="204" t="str">
        <f>IF(A192="","",IF(itens_Remanesc!E192="","",itens_Remanesc!E192))</f>
        <v/>
      </c>
      <c r="K192" s="210" t="str">
        <f t="shared" si="58"/>
        <v/>
      </c>
      <c r="L192" s="202" t="str">
        <f>IF(A192="","",ROUND(SUMIFS(aditivos!$L$2:$L$200,aditivos!$A$2:$A$200,A192,aditivos!$C$2:$C$200,"C2"),2))</f>
        <v/>
      </c>
      <c r="M192" s="198" t="str">
        <f t="shared" si="59"/>
        <v/>
      </c>
      <c r="N192" s="198" t="str">
        <f>IF(A192="","",IF(itens_Remanesc!G192="","",itens_Remanesc!G192))</f>
        <v/>
      </c>
      <c r="O192" s="206" t="str">
        <f t="shared" si="60"/>
        <v/>
      </c>
      <c r="P192" s="208" t="str">
        <f>IF(A192="","",ROUND(SUMIFS(aditivos!$L$2:$L$200,aditivos!$A$2:$A$200,A192,aditivos!$C$2:$C$200,"C3"),2))</f>
        <v/>
      </c>
      <c r="Q192" s="204" t="str">
        <f t="shared" si="61"/>
        <v/>
      </c>
      <c r="R192" s="204" t="str">
        <f>IF(A192="","",IF(itens_Remanesc!I192="","",itens_Remanesc!I192))</f>
        <v/>
      </c>
      <c r="S192" s="210" t="str">
        <f t="shared" si="62"/>
        <v/>
      </c>
      <c r="T192" s="202" t="str">
        <f>IF(A192="","",ROUND(SUMIFS(aditivos!$L$2:$L$200,aditivos!$A$2:$A$200,A192,aditivos!$C$2:$C$200,"C4"),2))</f>
        <v/>
      </c>
      <c r="U192" s="198" t="str">
        <f t="shared" si="63"/>
        <v/>
      </c>
      <c r="V192" s="198" t="str">
        <f>IF(A192="","",IF(itens_Remanesc!K192="","",itens_Remanesc!K192))</f>
        <v/>
      </c>
      <c r="W192" s="198" t="str">
        <f t="shared" si="64"/>
        <v/>
      </c>
      <c r="X192" s="181" t="str">
        <f t="shared" si="65"/>
        <v/>
      </c>
    </row>
    <row r="193" spans="1:24" x14ac:dyDescent="0.35">
      <c r="A193" s="181" t="str">
        <f>IF(itens_Remanesc!A193="","",itens_Remanesc!A193)</f>
        <v/>
      </c>
      <c r="B193" s="181" t="str">
        <f>IF(A193="","",itens_Remanesc!C193)</f>
        <v/>
      </c>
      <c r="C193" s="200" t="str">
        <f>IF(A193="","",itens_Remanesc!B193)</f>
        <v/>
      </c>
      <c r="D193" s="202" t="str">
        <f>IF(A193="","",ROUND(SUMIFS(aditivos!$L$2:$L$200,aditivos!$A$2:$A$200,A193,aditivos!$C$2:$C$200,"C0"),2))</f>
        <v/>
      </c>
      <c r="E193" s="198" t="str">
        <f t="shared" si="55"/>
        <v/>
      </c>
      <c r="F193" s="198" t="str">
        <f>IF(A193="","",IF(itens_Remanesc!B193="","",itens_Remanesc!B193))</f>
        <v/>
      </c>
      <c r="G193" s="206" t="str">
        <f t="shared" si="56"/>
        <v/>
      </c>
      <c r="H193" s="208" t="str">
        <f>IF(A193="","",ROUND(SUMIFS(aditivos!$L$2:$L$200,aditivos!$A$2:$A$200,A193,aditivos!$C$2:$C$200,"C1"),2))</f>
        <v/>
      </c>
      <c r="I193" s="204" t="str">
        <f t="shared" si="57"/>
        <v/>
      </c>
      <c r="J193" s="204" t="str">
        <f>IF(A193="","",IF(itens_Remanesc!E193="","",itens_Remanesc!E193))</f>
        <v/>
      </c>
      <c r="K193" s="210" t="str">
        <f t="shared" si="58"/>
        <v/>
      </c>
      <c r="L193" s="202" t="str">
        <f>IF(A193="","",ROUND(SUMIFS(aditivos!$L$2:$L$200,aditivos!$A$2:$A$200,A193,aditivos!$C$2:$C$200,"C2"),2))</f>
        <v/>
      </c>
      <c r="M193" s="198" t="str">
        <f t="shared" si="59"/>
        <v/>
      </c>
      <c r="N193" s="198" t="str">
        <f>IF(A193="","",IF(itens_Remanesc!G193="","",itens_Remanesc!G193))</f>
        <v/>
      </c>
      <c r="O193" s="206" t="str">
        <f t="shared" si="60"/>
        <v/>
      </c>
      <c r="P193" s="208" t="str">
        <f>IF(A193="","",ROUND(SUMIFS(aditivos!$L$2:$L$200,aditivos!$A$2:$A$200,A193,aditivos!$C$2:$C$200,"C3"),2))</f>
        <v/>
      </c>
      <c r="Q193" s="204" t="str">
        <f t="shared" si="61"/>
        <v/>
      </c>
      <c r="R193" s="204" t="str">
        <f>IF(A193="","",IF(itens_Remanesc!I193="","",itens_Remanesc!I193))</f>
        <v/>
      </c>
      <c r="S193" s="210" t="str">
        <f t="shared" si="62"/>
        <v/>
      </c>
      <c r="T193" s="202" t="str">
        <f>IF(A193="","",ROUND(SUMIFS(aditivos!$L$2:$L$200,aditivos!$A$2:$A$200,A193,aditivos!$C$2:$C$200,"C4"),2))</f>
        <v/>
      </c>
      <c r="U193" s="198" t="str">
        <f t="shared" si="63"/>
        <v/>
      </c>
      <c r="V193" s="198" t="str">
        <f>IF(A193="","",IF(itens_Remanesc!K193="","",itens_Remanesc!K193))</f>
        <v/>
      </c>
      <c r="W193" s="198" t="str">
        <f t="shared" si="64"/>
        <v/>
      </c>
      <c r="X193" s="181" t="str">
        <f t="shared" si="65"/>
        <v/>
      </c>
    </row>
    <row r="194" spans="1:24" x14ac:dyDescent="0.35">
      <c r="A194" s="181" t="str">
        <f>IF(itens_Remanesc!A194="","",itens_Remanesc!A194)</f>
        <v/>
      </c>
      <c r="B194" s="181" t="str">
        <f>IF(A194="","",itens_Remanesc!C194)</f>
        <v/>
      </c>
      <c r="C194" s="200" t="str">
        <f>IF(A194="","",itens_Remanesc!B194)</f>
        <v/>
      </c>
      <c r="D194" s="202" t="str">
        <f>IF(A194="","",ROUND(SUMIFS(aditivos!$L$2:$L$200,aditivos!$A$2:$A$200,A194,aditivos!$C$2:$C$200,"C0"),2))</f>
        <v/>
      </c>
      <c r="E194" s="198" t="str">
        <f t="shared" ref="E194:E225" si="66">IF(A194="","",ROUND(C194+D194,2))</f>
        <v/>
      </c>
      <c r="F194" s="198" t="str">
        <f>IF(A194="","",IF(itens_Remanesc!B194="","",itens_Remanesc!B194))</f>
        <v/>
      </c>
      <c r="G194" s="206" t="str">
        <f t="shared" ref="G194:G200" si="67">IF(A194="","",E194)</f>
        <v/>
      </c>
      <c r="H194" s="208" t="str">
        <f>IF(A194="","",ROUND(SUMIFS(aditivos!$L$2:$L$200,aditivos!$A$2:$A$200,A194,aditivos!$C$2:$C$200,"C1"),2))</f>
        <v/>
      </c>
      <c r="I194" s="204" t="str">
        <f t="shared" ref="I194:I225" si="68">IF(A194="","",ROUND(E194+H194,2))</f>
        <v/>
      </c>
      <c r="J194" s="204" t="str">
        <f>IF(A194="","",IF(itens_Remanesc!E194="","",itens_Remanesc!E194))</f>
        <v/>
      </c>
      <c r="K194" s="210" t="str">
        <f t="shared" ref="K194:K225" si="69">IF(OR(A194="",J194=""),"",ROUND(J194,2))</f>
        <v/>
      </c>
      <c r="L194" s="202" t="str">
        <f>IF(A194="","",ROUND(SUMIFS(aditivos!$L$2:$L$200,aditivos!$A$2:$A$200,A194,aditivos!$C$2:$C$200,"C2"),2))</f>
        <v/>
      </c>
      <c r="M194" s="198" t="str">
        <f t="shared" ref="M194:M225" si="70">IF(A194="","",ROUND(I194+L194,2))</f>
        <v/>
      </c>
      <c r="N194" s="198" t="str">
        <f>IF(A194="","",IF(itens_Remanesc!G194="","",itens_Remanesc!G194))</f>
        <v/>
      </c>
      <c r="O194" s="206" t="str">
        <f t="shared" ref="O194:O225" si="71">IF(OR(A194="",N194=""),"",ROUND(N194,2))</f>
        <v/>
      </c>
      <c r="P194" s="208" t="str">
        <f>IF(A194="","",ROUND(SUMIFS(aditivos!$L$2:$L$200,aditivos!$A$2:$A$200,A194,aditivos!$C$2:$C$200,"C3"),2))</f>
        <v/>
      </c>
      <c r="Q194" s="204" t="str">
        <f t="shared" ref="Q194:Q225" si="72">IF(A194="","",ROUND(M194+P194,2))</f>
        <v/>
      </c>
      <c r="R194" s="204" t="str">
        <f>IF(A194="","",IF(itens_Remanesc!I194="","",itens_Remanesc!I194))</f>
        <v/>
      </c>
      <c r="S194" s="210" t="str">
        <f t="shared" ref="S194:S225" si="73">IF(OR(A194="",R194=""),"",ROUND(R194,2))</f>
        <v/>
      </c>
      <c r="T194" s="202" t="str">
        <f>IF(A194="","",ROUND(SUMIFS(aditivos!$L$2:$L$200,aditivos!$A$2:$A$200,A194,aditivos!$C$2:$C$200,"C4"),2))</f>
        <v/>
      </c>
      <c r="U194" s="198" t="str">
        <f t="shared" ref="U194:U225" si="74">IF(A194="","",ROUND(Q194+T194,2))</f>
        <v/>
      </c>
      <c r="V194" s="198" t="str">
        <f>IF(A194="","",IF(itens_Remanesc!K194="","",itens_Remanesc!K194))</f>
        <v/>
      </c>
      <c r="W194" s="198" t="str">
        <f t="shared" ref="W194:W225" si="75">IF(OR(A194="",V194=""),"",ROUND(V194,2))</f>
        <v/>
      </c>
      <c r="X194" s="181" t="str">
        <f t="shared" ref="X194:X225" si="76">IF(A194="","",IF(COUNTIF($A$2:$A$200,A194)&gt;1,"ALERTA: ITEM_DUPLICADO",IF(MIN(E194,I194,M194,Q194,U194,G194,K194,O194,S194,W194)&lt;0,"ALERTA: POSICAO_NEGATIVA",IF(OR(AND(G194&lt;&gt;"",G194&gt;E194),AND(K194&lt;&gt;"",K194&gt;I194),AND(O194&lt;&gt;"",O194&gt;M194),AND(S194&lt;&gt;"",S194&gt;Q194),AND(W194&lt;&gt;"",W194&gt;U194)),"ALERTA: REMANESCENTE_SUPERA_POSICAO","OK"))))</f>
        <v/>
      </c>
    </row>
    <row r="195" spans="1:24" x14ac:dyDescent="0.35">
      <c r="A195" s="181" t="str">
        <f>IF(itens_Remanesc!A195="","",itens_Remanesc!A195)</f>
        <v/>
      </c>
      <c r="B195" s="181" t="str">
        <f>IF(A195="","",itens_Remanesc!C195)</f>
        <v/>
      </c>
      <c r="C195" s="200" t="str">
        <f>IF(A195="","",itens_Remanesc!B195)</f>
        <v/>
      </c>
      <c r="D195" s="202" t="str">
        <f>IF(A195="","",ROUND(SUMIFS(aditivos!$L$2:$L$200,aditivos!$A$2:$A$200,A195,aditivos!$C$2:$C$200,"C0"),2))</f>
        <v/>
      </c>
      <c r="E195" s="198" t="str">
        <f t="shared" si="66"/>
        <v/>
      </c>
      <c r="F195" s="198" t="str">
        <f>IF(A195="","",IF(itens_Remanesc!B195="","",itens_Remanesc!B195))</f>
        <v/>
      </c>
      <c r="G195" s="206" t="str">
        <f t="shared" si="67"/>
        <v/>
      </c>
      <c r="H195" s="208" t="str">
        <f>IF(A195="","",ROUND(SUMIFS(aditivos!$L$2:$L$200,aditivos!$A$2:$A$200,A195,aditivos!$C$2:$C$200,"C1"),2))</f>
        <v/>
      </c>
      <c r="I195" s="204" t="str">
        <f t="shared" si="68"/>
        <v/>
      </c>
      <c r="J195" s="204" t="str">
        <f>IF(A195="","",IF(itens_Remanesc!E195="","",itens_Remanesc!E195))</f>
        <v/>
      </c>
      <c r="K195" s="210" t="str">
        <f t="shared" si="69"/>
        <v/>
      </c>
      <c r="L195" s="202" t="str">
        <f>IF(A195="","",ROUND(SUMIFS(aditivos!$L$2:$L$200,aditivos!$A$2:$A$200,A195,aditivos!$C$2:$C$200,"C2"),2))</f>
        <v/>
      </c>
      <c r="M195" s="198" t="str">
        <f t="shared" si="70"/>
        <v/>
      </c>
      <c r="N195" s="198" t="str">
        <f>IF(A195="","",IF(itens_Remanesc!G195="","",itens_Remanesc!G195))</f>
        <v/>
      </c>
      <c r="O195" s="206" t="str">
        <f t="shared" si="71"/>
        <v/>
      </c>
      <c r="P195" s="208" t="str">
        <f>IF(A195="","",ROUND(SUMIFS(aditivos!$L$2:$L$200,aditivos!$A$2:$A$200,A195,aditivos!$C$2:$C$200,"C3"),2))</f>
        <v/>
      </c>
      <c r="Q195" s="204" t="str">
        <f t="shared" si="72"/>
        <v/>
      </c>
      <c r="R195" s="204" t="str">
        <f>IF(A195="","",IF(itens_Remanesc!I195="","",itens_Remanesc!I195))</f>
        <v/>
      </c>
      <c r="S195" s="210" t="str">
        <f t="shared" si="73"/>
        <v/>
      </c>
      <c r="T195" s="202" t="str">
        <f>IF(A195="","",ROUND(SUMIFS(aditivos!$L$2:$L$200,aditivos!$A$2:$A$200,A195,aditivos!$C$2:$C$200,"C4"),2))</f>
        <v/>
      </c>
      <c r="U195" s="198" t="str">
        <f t="shared" si="74"/>
        <v/>
      </c>
      <c r="V195" s="198" t="str">
        <f>IF(A195="","",IF(itens_Remanesc!K195="","",itens_Remanesc!K195))</f>
        <v/>
      </c>
      <c r="W195" s="198" t="str">
        <f t="shared" si="75"/>
        <v/>
      </c>
      <c r="X195" s="181" t="str">
        <f t="shared" si="76"/>
        <v/>
      </c>
    </row>
    <row r="196" spans="1:24" x14ac:dyDescent="0.35">
      <c r="A196" s="181" t="str">
        <f>IF(itens_Remanesc!A196="","",itens_Remanesc!A196)</f>
        <v/>
      </c>
      <c r="B196" s="181" t="str">
        <f>IF(A196="","",itens_Remanesc!C196)</f>
        <v/>
      </c>
      <c r="C196" s="200" t="str">
        <f>IF(A196="","",itens_Remanesc!B196)</f>
        <v/>
      </c>
      <c r="D196" s="202" t="str">
        <f>IF(A196="","",ROUND(SUMIFS(aditivos!$L$2:$L$200,aditivos!$A$2:$A$200,A196,aditivos!$C$2:$C$200,"C0"),2))</f>
        <v/>
      </c>
      <c r="E196" s="198" t="str">
        <f t="shared" si="66"/>
        <v/>
      </c>
      <c r="F196" s="198" t="str">
        <f>IF(A196="","",IF(itens_Remanesc!B196="","",itens_Remanesc!B196))</f>
        <v/>
      </c>
      <c r="G196" s="206" t="str">
        <f t="shared" si="67"/>
        <v/>
      </c>
      <c r="H196" s="208" t="str">
        <f>IF(A196="","",ROUND(SUMIFS(aditivos!$L$2:$L$200,aditivos!$A$2:$A$200,A196,aditivos!$C$2:$C$200,"C1"),2))</f>
        <v/>
      </c>
      <c r="I196" s="204" t="str">
        <f t="shared" si="68"/>
        <v/>
      </c>
      <c r="J196" s="204" t="str">
        <f>IF(A196="","",IF(itens_Remanesc!E196="","",itens_Remanesc!E196))</f>
        <v/>
      </c>
      <c r="K196" s="210" t="str">
        <f t="shared" si="69"/>
        <v/>
      </c>
      <c r="L196" s="202" t="str">
        <f>IF(A196="","",ROUND(SUMIFS(aditivos!$L$2:$L$200,aditivos!$A$2:$A$200,A196,aditivos!$C$2:$C$200,"C2"),2))</f>
        <v/>
      </c>
      <c r="M196" s="198" t="str">
        <f t="shared" si="70"/>
        <v/>
      </c>
      <c r="N196" s="198" t="str">
        <f>IF(A196="","",IF(itens_Remanesc!G196="","",itens_Remanesc!G196))</f>
        <v/>
      </c>
      <c r="O196" s="206" t="str">
        <f t="shared" si="71"/>
        <v/>
      </c>
      <c r="P196" s="208" t="str">
        <f>IF(A196="","",ROUND(SUMIFS(aditivos!$L$2:$L$200,aditivos!$A$2:$A$200,A196,aditivos!$C$2:$C$200,"C3"),2))</f>
        <v/>
      </c>
      <c r="Q196" s="204" t="str">
        <f t="shared" si="72"/>
        <v/>
      </c>
      <c r="R196" s="204" t="str">
        <f>IF(A196="","",IF(itens_Remanesc!I196="","",itens_Remanesc!I196))</f>
        <v/>
      </c>
      <c r="S196" s="210" t="str">
        <f t="shared" si="73"/>
        <v/>
      </c>
      <c r="T196" s="202" t="str">
        <f>IF(A196="","",ROUND(SUMIFS(aditivos!$L$2:$L$200,aditivos!$A$2:$A$200,A196,aditivos!$C$2:$C$200,"C4"),2))</f>
        <v/>
      </c>
      <c r="U196" s="198" t="str">
        <f t="shared" si="74"/>
        <v/>
      </c>
      <c r="V196" s="198" t="str">
        <f>IF(A196="","",IF(itens_Remanesc!K196="","",itens_Remanesc!K196))</f>
        <v/>
      </c>
      <c r="W196" s="198" t="str">
        <f t="shared" si="75"/>
        <v/>
      </c>
      <c r="X196" s="181" t="str">
        <f t="shared" si="76"/>
        <v/>
      </c>
    </row>
    <row r="197" spans="1:24" x14ac:dyDescent="0.35">
      <c r="A197" s="181" t="str">
        <f>IF(itens_Remanesc!A197="","",itens_Remanesc!A197)</f>
        <v/>
      </c>
      <c r="B197" s="181" t="str">
        <f>IF(A197="","",itens_Remanesc!C197)</f>
        <v/>
      </c>
      <c r="C197" s="200" t="str">
        <f>IF(A197="","",itens_Remanesc!B197)</f>
        <v/>
      </c>
      <c r="D197" s="202" t="str">
        <f>IF(A197="","",ROUND(SUMIFS(aditivos!$L$2:$L$200,aditivos!$A$2:$A$200,A197,aditivos!$C$2:$C$200,"C0"),2))</f>
        <v/>
      </c>
      <c r="E197" s="198" t="str">
        <f t="shared" si="66"/>
        <v/>
      </c>
      <c r="F197" s="198" t="str">
        <f>IF(A197="","",IF(itens_Remanesc!B197="","",itens_Remanesc!B197))</f>
        <v/>
      </c>
      <c r="G197" s="206" t="str">
        <f t="shared" si="67"/>
        <v/>
      </c>
      <c r="H197" s="208" t="str">
        <f>IF(A197="","",ROUND(SUMIFS(aditivos!$L$2:$L$200,aditivos!$A$2:$A$200,A197,aditivos!$C$2:$C$200,"C1"),2))</f>
        <v/>
      </c>
      <c r="I197" s="204" t="str">
        <f t="shared" si="68"/>
        <v/>
      </c>
      <c r="J197" s="204" t="str">
        <f>IF(A197="","",IF(itens_Remanesc!E197="","",itens_Remanesc!E197))</f>
        <v/>
      </c>
      <c r="K197" s="210" t="str">
        <f t="shared" si="69"/>
        <v/>
      </c>
      <c r="L197" s="202" t="str">
        <f>IF(A197="","",ROUND(SUMIFS(aditivos!$L$2:$L$200,aditivos!$A$2:$A$200,A197,aditivos!$C$2:$C$200,"C2"),2))</f>
        <v/>
      </c>
      <c r="M197" s="198" t="str">
        <f t="shared" si="70"/>
        <v/>
      </c>
      <c r="N197" s="198" t="str">
        <f>IF(A197="","",IF(itens_Remanesc!G197="","",itens_Remanesc!G197))</f>
        <v/>
      </c>
      <c r="O197" s="206" t="str">
        <f t="shared" si="71"/>
        <v/>
      </c>
      <c r="P197" s="208" t="str">
        <f>IF(A197="","",ROUND(SUMIFS(aditivos!$L$2:$L$200,aditivos!$A$2:$A$200,A197,aditivos!$C$2:$C$200,"C3"),2))</f>
        <v/>
      </c>
      <c r="Q197" s="204" t="str">
        <f t="shared" si="72"/>
        <v/>
      </c>
      <c r="R197" s="204" t="str">
        <f>IF(A197="","",IF(itens_Remanesc!I197="","",itens_Remanesc!I197))</f>
        <v/>
      </c>
      <c r="S197" s="210" t="str">
        <f t="shared" si="73"/>
        <v/>
      </c>
      <c r="T197" s="202" t="str">
        <f>IF(A197="","",ROUND(SUMIFS(aditivos!$L$2:$L$200,aditivos!$A$2:$A$200,A197,aditivos!$C$2:$C$200,"C4"),2))</f>
        <v/>
      </c>
      <c r="U197" s="198" t="str">
        <f t="shared" si="74"/>
        <v/>
      </c>
      <c r="V197" s="198" t="str">
        <f>IF(A197="","",IF(itens_Remanesc!K197="","",itens_Remanesc!K197))</f>
        <v/>
      </c>
      <c r="W197" s="198" t="str">
        <f t="shared" si="75"/>
        <v/>
      </c>
      <c r="X197" s="181" t="str">
        <f t="shared" si="76"/>
        <v/>
      </c>
    </row>
    <row r="198" spans="1:24" x14ac:dyDescent="0.35">
      <c r="A198" s="181" t="str">
        <f>IF(itens_Remanesc!A198="","",itens_Remanesc!A198)</f>
        <v/>
      </c>
      <c r="B198" s="181" t="str">
        <f>IF(A198="","",itens_Remanesc!C198)</f>
        <v/>
      </c>
      <c r="C198" s="200" t="str">
        <f>IF(A198="","",itens_Remanesc!B198)</f>
        <v/>
      </c>
      <c r="D198" s="202" t="str">
        <f>IF(A198="","",ROUND(SUMIFS(aditivos!$L$2:$L$200,aditivos!$A$2:$A$200,A198,aditivos!$C$2:$C$200,"C0"),2))</f>
        <v/>
      </c>
      <c r="E198" s="198" t="str">
        <f t="shared" si="66"/>
        <v/>
      </c>
      <c r="F198" s="198" t="str">
        <f>IF(A198="","",IF(itens_Remanesc!B198="","",itens_Remanesc!B198))</f>
        <v/>
      </c>
      <c r="G198" s="206" t="str">
        <f t="shared" si="67"/>
        <v/>
      </c>
      <c r="H198" s="208" t="str">
        <f>IF(A198="","",ROUND(SUMIFS(aditivos!$L$2:$L$200,aditivos!$A$2:$A$200,A198,aditivos!$C$2:$C$200,"C1"),2))</f>
        <v/>
      </c>
      <c r="I198" s="204" t="str">
        <f t="shared" si="68"/>
        <v/>
      </c>
      <c r="J198" s="204" t="str">
        <f>IF(A198="","",IF(itens_Remanesc!E198="","",itens_Remanesc!E198))</f>
        <v/>
      </c>
      <c r="K198" s="210" t="str">
        <f t="shared" si="69"/>
        <v/>
      </c>
      <c r="L198" s="202" t="str">
        <f>IF(A198="","",ROUND(SUMIFS(aditivos!$L$2:$L$200,aditivos!$A$2:$A$200,A198,aditivos!$C$2:$C$200,"C2"),2))</f>
        <v/>
      </c>
      <c r="M198" s="198" t="str">
        <f t="shared" si="70"/>
        <v/>
      </c>
      <c r="N198" s="198" t="str">
        <f>IF(A198="","",IF(itens_Remanesc!G198="","",itens_Remanesc!G198))</f>
        <v/>
      </c>
      <c r="O198" s="206" t="str">
        <f t="shared" si="71"/>
        <v/>
      </c>
      <c r="P198" s="208" t="str">
        <f>IF(A198="","",ROUND(SUMIFS(aditivos!$L$2:$L$200,aditivos!$A$2:$A$200,A198,aditivos!$C$2:$C$200,"C3"),2))</f>
        <v/>
      </c>
      <c r="Q198" s="204" t="str">
        <f t="shared" si="72"/>
        <v/>
      </c>
      <c r="R198" s="204" t="str">
        <f>IF(A198="","",IF(itens_Remanesc!I198="","",itens_Remanesc!I198))</f>
        <v/>
      </c>
      <c r="S198" s="210" t="str">
        <f t="shared" si="73"/>
        <v/>
      </c>
      <c r="T198" s="202" t="str">
        <f>IF(A198="","",ROUND(SUMIFS(aditivos!$L$2:$L$200,aditivos!$A$2:$A$200,A198,aditivos!$C$2:$C$200,"C4"),2))</f>
        <v/>
      </c>
      <c r="U198" s="198" t="str">
        <f t="shared" si="74"/>
        <v/>
      </c>
      <c r="V198" s="198" t="str">
        <f>IF(A198="","",IF(itens_Remanesc!K198="","",itens_Remanesc!K198))</f>
        <v/>
      </c>
      <c r="W198" s="198" t="str">
        <f t="shared" si="75"/>
        <v/>
      </c>
      <c r="X198" s="181" t="str">
        <f t="shared" si="76"/>
        <v/>
      </c>
    </row>
    <row r="199" spans="1:24" x14ac:dyDescent="0.35">
      <c r="A199" s="181" t="str">
        <f>IF(itens_Remanesc!A199="","",itens_Remanesc!A199)</f>
        <v/>
      </c>
      <c r="B199" s="181" t="str">
        <f>IF(A199="","",itens_Remanesc!C199)</f>
        <v/>
      </c>
      <c r="C199" s="200" t="str">
        <f>IF(A199="","",itens_Remanesc!B199)</f>
        <v/>
      </c>
      <c r="D199" s="202" t="str">
        <f>IF(A199="","",ROUND(SUMIFS(aditivos!$L$2:$L$200,aditivos!$A$2:$A$200,A199,aditivos!$C$2:$C$200,"C0"),2))</f>
        <v/>
      </c>
      <c r="E199" s="198" t="str">
        <f t="shared" si="66"/>
        <v/>
      </c>
      <c r="F199" s="198" t="str">
        <f>IF(A199="","",IF(itens_Remanesc!B199="","",itens_Remanesc!B199))</f>
        <v/>
      </c>
      <c r="G199" s="206" t="str">
        <f t="shared" si="67"/>
        <v/>
      </c>
      <c r="H199" s="208" t="str">
        <f>IF(A199="","",ROUND(SUMIFS(aditivos!$L$2:$L$200,aditivos!$A$2:$A$200,A199,aditivos!$C$2:$C$200,"C1"),2))</f>
        <v/>
      </c>
      <c r="I199" s="204" t="str">
        <f t="shared" si="68"/>
        <v/>
      </c>
      <c r="J199" s="204" t="str">
        <f>IF(A199="","",IF(itens_Remanesc!E199="","",itens_Remanesc!E199))</f>
        <v/>
      </c>
      <c r="K199" s="210" t="str">
        <f t="shared" si="69"/>
        <v/>
      </c>
      <c r="L199" s="202" t="str">
        <f>IF(A199="","",ROUND(SUMIFS(aditivos!$L$2:$L$200,aditivos!$A$2:$A$200,A199,aditivos!$C$2:$C$200,"C2"),2))</f>
        <v/>
      </c>
      <c r="M199" s="198" t="str">
        <f t="shared" si="70"/>
        <v/>
      </c>
      <c r="N199" s="198" t="str">
        <f>IF(A199="","",IF(itens_Remanesc!G199="","",itens_Remanesc!G199))</f>
        <v/>
      </c>
      <c r="O199" s="206" t="str">
        <f t="shared" si="71"/>
        <v/>
      </c>
      <c r="P199" s="208" t="str">
        <f>IF(A199="","",ROUND(SUMIFS(aditivos!$L$2:$L$200,aditivos!$A$2:$A$200,A199,aditivos!$C$2:$C$200,"C3"),2))</f>
        <v/>
      </c>
      <c r="Q199" s="204" t="str">
        <f t="shared" si="72"/>
        <v/>
      </c>
      <c r="R199" s="204" t="str">
        <f>IF(A199="","",IF(itens_Remanesc!I199="","",itens_Remanesc!I199))</f>
        <v/>
      </c>
      <c r="S199" s="210" t="str">
        <f t="shared" si="73"/>
        <v/>
      </c>
      <c r="T199" s="202" t="str">
        <f>IF(A199="","",ROUND(SUMIFS(aditivos!$L$2:$L$200,aditivos!$A$2:$A$200,A199,aditivos!$C$2:$C$200,"C4"),2))</f>
        <v/>
      </c>
      <c r="U199" s="198" t="str">
        <f t="shared" si="74"/>
        <v/>
      </c>
      <c r="V199" s="198" t="str">
        <f>IF(A199="","",IF(itens_Remanesc!K199="","",itens_Remanesc!K199))</f>
        <v/>
      </c>
      <c r="W199" s="198" t="str">
        <f t="shared" si="75"/>
        <v/>
      </c>
      <c r="X199" s="181" t="str">
        <f t="shared" si="76"/>
        <v/>
      </c>
    </row>
    <row r="200" spans="1:24" x14ac:dyDescent="0.35">
      <c r="A200" s="181" t="str">
        <f>IF(itens_Remanesc!A200="","",itens_Remanesc!A200)</f>
        <v/>
      </c>
      <c r="B200" s="181" t="str">
        <f>IF(A200="","",itens_Remanesc!C200)</f>
        <v/>
      </c>
      <c r="C200" s="200" t="str">
        <f>IF(A200="","",itens_Remanesc!B200)</f>
        <v/>
      </c>
      <c r="D200" s="202" t="str">
        <f>IF(A200="","",ROUND(SUMIFS(aditivos!$L$2:$L$200,aditivos!$A$2:$A$200,A200,aditivos!$C$2:$C$200,"C0"),2))</f>
        <v/>
      </c>
      <c r="E200" s="198" t="str">
        <f t="shared" si="66"/>
        <v/>
      </c>
      <c r="F200" s="198" t="str">
        <f>IF(A200="","",IF(itens_Remanesc!B200="","",itens_Remanesc!B200))</f>
        <v/>
      </c>
      <c r="G200" s="206" t="str">
        <f t="shared" si="67"/>
        <v/>
      </c>
      <c r="H200" s="208" t="str">
        <f>IF(A200="","",ROUND(SUMIFS(aditivos!$L$2:$L$200,aditivos!$A$2:$A$200,A200,aditivos!$C$2:$C$200,"C1"),2))</f>
        <v/>
      </c>
      <c r="I200" s="204" t="str">
        <f t="shared" si="68"/>
        <v/>
      </c>
      <c r="J200" s="204" t="str">
        <f>IF(A200="","",IF(itens_Remanesc!E200="","",itens_Remanesc!E200))</f>
        <v/>
      </c>
      <c r="K200" s="210" t="str">
        <f t="shared" si="69"/>
        <v/>
      </c>
      <c r="L200" s="202" t="str">
        <f>IF(A200="","",ROUND(SUMIFS(aditivos!$L$2:$L$200,aditivos!$A$2:$A$200,A200,aditivos!$C$2:$C$200,"C2"),2))</f>
        <v/>
      </c>
      <c r="M200" s="198" t="str">
        <f t="shared" si="70"/>
        <v/>
      </c>
      <c r="N200" s="198" t="str">
        <f>IF(A200="","",IF(itens_Remanesc!G200="","",itens_Remanesc!G200))</f>
        <v/>
      </c>
      <c r="O200" s="206" t="str">
        <f t="shared" si="71"/>
        <v/>
      </c>
      <c r="P200" s="208" t="str">
        <f>IF(A200="","",ROUND(SUMIFS(aditivos!$L$2:$L$200,aditivos!$A$2:$A$200,A200,aditivos!$C$2:$C$200,"C3"),2))</f>
        <v/>
      </c>
      <c r="Q200" s="204" t="str">
        <f t="shared" si="72"/>
        <v/>
      </c>
      <c r="R200" s="204" t="str">
        <f>IF(A200="","",IF(itens_Remanesc!I200="","",itens_Remanesc!I200))</f>
        <v/>
      </c>
      <c r="S200" s="210" t="str">
        <f t="shared" si="73"/>
        <v/>
      </c>
      <c r="T200" s="202" t="str">
        <f>IF(A200="","",ROUND(SUMIFS(aditivos!$L$2:$L$200,aditivos!$A$2:$A$200,A200,aditivos!$C$2:$C$200,"C4"),2))</f>
        <v/>
      </c>
      <c r="U200" s="198" t="str">
        <f t="shared" si="74"/>
        <v/>
      </c>
      <c r="V200" s="198" t="str">
        <f>IF(A200="","",IF(itens_Remanesc!K200="","",itens_Remanesc!K200))</f>
        <v/>
      </c>
      <c r="W200" s="198" t="str">
        <f t="shared" si="75"/>
        <v/>
      </c>
      <c r="X200" s="181" t="str">
        <f t="shared" si="76"/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03"/>
  <sheetViews>
    <sheetView showGridLines="0" workbookViewId="0">
      <pane ySplit="2" topLeftCell="A3" activePane="bottomLeft" state="frozen"/>
      <selection pane="bottomLeft" sqref="A1:A2"/>
    </sheetView>
  </sheetViews>
  <sheetFormatPr defaultColWidth="8.54296875" defaultRowHeight="14.5" x14ac:dyDescent="0.35"/>
  <cols>
    <col min="1" max="1" width="8" customWidth="1"/>
    <col min="2" max="2" width="14" customWidth="1"/>
    <col min="3" max="3" width="12" customWidth="1"/>
    <col min="4" max="4" width="15" customWidth="1"/>
    <col min="5" max="5" width="14" customWidth="1"/>
    <col min="6" max="6" width="12" customWidth="1"/>
    <col min="7" max="7" width="15" customWidth="1"/>
    <col min="8" max="8" width="14" customWidth="1"/>
    <col min="9" max="9" width="12" customWidth="1"/>
    <col min="10" max="10" width="18.1796875" customWidth="1"/>
    <col min="11" max="11" width="14" customWidth="1"/>
    <col min="12" max="12" width="12" customWidth="1"/>
    <col min="13" max="13" width="15" customWidth="1"/>
    <col min="14" max="14" width="14" customWidth="1"/>
    <col min="15" max="15" width="12" customWidth="1"/>
    <col min="16" max="16" width="15" customWidth="1"/>
  </cols>
  <sheetData>
    <row r="1" spans="1:16" ht="30" customHeight="1" x14ac:dyDescent="0.35">
      <c r="A1" s="215" t="s">
        <v>144</v>
      </c>
      <c r="B1" s="215" t="s">
        <v>26</v>
      </c>
      <c r="C1" s="216"/>
      <c r="D1" s="217"/>
      <c r="E1" s="215" t="s">
        <v>35</v>
      </c>
      <c r="F1" s="216"/>
      <c r="G1" s="217"/>
      <c r="H1" s="215" t="s">
        <v>37</v>
      </c>
      <c r="I1" s="216"/>
      <c r="J1" s="217"/>
      <c r="K1" s="215" t="s">
        <v>38</v>
      </c>
      <c r="L1" s="216"/>
      <c r="M1" s="217"/>
      <c r="N1" s="215" t="s">
        <v>39</v>
      </c>
      <c r="O1" s="216"/>
      <c r="P1" s="217"/>
    </row>
    <row r="2" spans="1:16" x14ac:dyDescent="0.35">
      <c r="A2" s="218"/>
      <c r="B2" s="72" t="s">
        <v>145</v>
      </c>
      <c r="C2" s="72" t="s">
        <v>146</v>
      </c>
      <c r="D2" s="72" t="s">
        <v>147</v>
      </c>
      <c r="E2" s="73" t="s">
        <v>145</v>
      </c>
      <c r="F2" s="73" t="s">
        <v>146</v>
      </c>
      <c r="G2" s="73" t="s">
        <v>147</v>
      </c>
      <c r="H2" s="72" t="s">
        <v>145</v>
      </c>
      <c r="I2" s="72" t="s">
        <v>146</v>
      </c>
      <c r="J2" s="72" t="s">
        <v>147</v>
      </c>
      <c r="K2" s="73" t="s">
        <v>145</v>
      </c>
      <c r="L2" s="73" t="s">
        <v>146</v>
      </c>
      <c r="M2" s="73" t="s">
        <v>147</v>
      </c>
      <c r="N2" s="72" t="s">
        <v>145</v>
      </c>
      <c r="O2" s="72" t="s">
        <v>146</v>
      </c>
      <c r="P2" s="72" t="s">
        <v>147</v>
      </c>
    </row>
    <row r="3" spans="1:16" x14ac:dyDescent="0.35">
      <c r="A3" s="141" t="str">
        <f>IF(FALSE,"TOTAL",IF(itens_Remanesc!A2="","",itens_Remanesc!A2))</f>
        <v>ITEM-001</v>
      </c>
      <c r="B3" s="142">
        <f>IF(OR(itens_Remanesc!A2="",NOT(ISNUMBER(parametros!$F$2))),"",ROUND(itens_Remanesc!C2*parametros!$F$2,2))</f>
        <v>250</v>
      </c>
      <c r="C3" s="143">
        <f>IF(posicao_contratual!A2="","",posicao_contratual!G2)</f>
        <v>120</v>
      </c>
      <c r="D3" s="142">
        <f>IF(A3="TOTAL",ROUND(SUM($D2:D$3),2),IF(A3="","",ROUND(B3*C3,2)))</f>
        <v>30000</v>
      </c>
      <c r="E3" s="144">
        <f>IF(OR(itens_Remanesc!A2="",NOT(ISNUMBER(parametros!$F$3))),"",ROUND(itens_Remanesc!C2*parametros!$F$3,2))</f>
        <v>262.8</v>
      </c>
      <c r="F3" s="145">
        <f>IF(posicao_contratual!A2="","",posicao_contratual!K2)</f>
        <v>120</v>
      </c>
      <c r="G3" s="144">
        <f>IF(A3="TOTAL",ROUND(SUM($G2:G$3),2),IF(OR(A3="",E3="",F3=""),"",ROUND(E3*F3,2)))</f>
        <v>31536</v>
      </c>
      <c r="H3" s="142">
        <f>IF(OR(itens_Remanesc!A2="",NOT(ISNUMBER(parametros!$F$4))),"",ROUND(itens_Remanesc!C2*parametros!$F$4,2))</f>
        <v>272.63</v>
      </c>
      <c r="I3" s="143">
        <f>IF(posicao_contratual!A2="","",posicao_contratual!O2)</f>
        <v>120</v>
      </c>
      <c r="J3" s="146">
        <f>IF(A3="TOTAL",ROUND(SUM($J2:J$3),2),IF(OR(A3="",H3="",I3=""),"",ROUND(H3*I3,2)))</f>
        <v>32715.599999999999</v>
      </c>
      <c r="K3" s="144">
        <f>IF(OR(itens_Remanesc!A2="",NOT(ISNUMBER(parametros!$F$5))),"",ROUND(itens_Remanesc!C2*parametros!$F$5,2))</f>
        <v>280.51</v>
      </c>
      <c r="L3" s="145">
        <f>IF(posicao_contratual!A2="","",posicao_contratual!S2)</f>
        <v>120</v>
      </c>
      <c r="M3" s="147">
        <f>IF(A3="TOTAL",ROUND(SUM($M2:M$3),2),IF(OR(A3="",K3="",L3=""),"",ROUND(K3*L3,2)))</f>
        <v>33661.199999999997</v>
      </c>
      <c r="N3" s="142" t="str">
        <f>IF(OR(itens_Remanesc!A2="",NOT(ISNUMBER(parametros!$F$6))),"",ROUND(itens_Remanesc!C2*parametros!$F$6,2))</f>
        <v/>
      </c>
      <c r="O3" s="143">
        <f>IF(posicao_contratual!A2="","",posicao_contratual!W2)</f>
        <v>120</v>
      </c>
      <c r="P3" s="146" t="str">
        <f>IF(A3="TOTAL",ROUND(SUM($P2:P$3),2),IF(OR(A3="",N3="",O3=""),"",ROUND(N3*O3,2)))</f>
        <v/>
      </c>
    </row>
    <row r="4" spans="1:16" x14ac:dyDescent="0.35">
      <c r="A4" s="141" t="str">
        <f>IF(AND(itens_Remanesc!A3="",itens_Remanesc!A2&lt;&gt;"",COUNTIF(itens_Remanesc!A4:$A$200,"&lt;&gt;")=0),"TOTAL",IF(itens_Remanesc!A3="","",itens_Remanesc!A3))</f>
        <v>ITEM-002</v>
      </c>
      <c r="B4" s="142">
        <f>IF(OR(itens_Remanesc!A3="",NOT(ISNUMBER(parametros!$F$2))),"",ROUND(itens_Remanesc!C3*parametros!$F$2,2))</f>
        <v>1500</v>
      </c>
      <c r="C4" s="143">
        <f>IF(posicao_contratual!A3="","",posicao_contratual!G3)</f>
        <v>80</v>
      </c>
      <c r="D4" s="142">
        <f>IF(A4="TOTAL",ROUND(SUM($D$3:D3),2),IF(A4="","",ROUND(B4*C4,2)))</f>
        <v>120000</v>
      </c>
      <c r="E4" s="144">
        <f>IF(OR(itens_Remanesc!A3="",NOT(ISNUMBER(parametros!$F$3))),"",ROUND(itens_Remanesc!C3*parametros!$F$3,2))</f>
        <v>1576.8</v>
      </c>
      <c r="F4" s="145">
        <f>IF(posicao_contratual!A3="","",posicao_contratual!K3)</f>
        <v>80</v>
      </c>
      <c r="G4" s="144">
        <f>IF(A4="TOTAL",ROUND(SUM($G$3:G3),2),IF(OR(A4="",E4="",F4=""),"",ROUND(E4*F4,2)))</f>
        <v>126144</v>
      </c>
      <c r="H4" s="142">
        <f>IF(OR(itens_Remanesc!A3="",NOT(ISNUMBER(parametros!$F$4))),"",ROUND(itens_Remanesc!C3*parametros!$F$4,2))</f>
        <v>1635.77</v>
      </c>
      <c r="I4" s="143">
        <f>IF(posicao_contratual!A3="","",posicao_contratual!O3)</f>
        <v>80</v>
      </c>
      <c r="J4" s="146">
        <f>IF(A4="TOTAL",ROUND(SUM($J$3:J3),2),IF(OR(A4="",H4="",I4=""),"",ROUND(H4*I4,2)))</f>
        <v>130861.6</v>
      </c>
      <c r="K4" s="144">
        <f>IF(OR(itens_Remanesc!A3="",NOT(ISNUMBER(parametros!$F$5))),"",ROUND(itens_Remanesc!C3*parametros!$F$5,2))</f>
        <v>1683.05</v>
      </c>
      <c r="L4" s="145">
        <f>IF(posicao_contratual!A3="","",posicao_contratual!S3)</f>
        <v>80</v>
      </c>
      <c r="M4" s="147">
        <f>IF(A4="TOTAL",ROUND(SUM($M$3:M3),2),IF(OR(A4="",K4="",L4=""),"",ROUND(K4*L4,2)))</f>
        <v>134644</v>
      </c>
      <c r="N4" s="142" t="str">
        <f>IF(OR(itens_Remanesc!A3="",NOT(ISNUMBER(parametros!$F$6))),"",ROUND(itens_Remanesc!C3*parametros!$F$6,2))</f>
        <v/>
      </c>
      <c r="O4" s="143">
        <f>IF(posicao_contratual!A3="","",posicao_contratual!W3)</f>
        <v>80</v>
      </c>
      <c r="P4" s="146" t="str">
        <f>IF(A4="TOTAL",ROUND(SUM($P$3:P3),2),IF(OR(A4="",N4="",O4=""),"",ROUND(N4*O4,2)))</f>
        <v/>
      </c>
    </row>
    <row r="5" spans="1:16" x14ac:dyDescent="0.35">
      <c r="A5" s="141" t="str">
        <f>IF(AND(itens_Remanesc!A4="",itens_Remanesc!A3&lt;&gt;"",COUNTIF(itens_Remanesc!A5:$A$200,"&lt;&gt;")=0),"TOTAL",IF(itens_Remanesc!A4="","",itens_Remanesc!A4))</f>
        <v>ITEM-003</v>
      </c>
      <c r="B5" s="142">
        <f>IF(OR(itens_Remanesc!A4="",NOT(ISNUMBER(parametros!$F$2))),"",ROUND(itens_Remanesc!C4*parametros!$F$2,2))</f>
        <v>3200</v>
      </c>
      <c r="C5" s="143">
        <f>IF(posicao_contratual!A4="","",posicao_contratual!G4)</f>
        <v>40</v>
      </c>
      <c r="D5" s="142">
        <f>IF(A5="TOTAL",ROUND(SUM($D$3:D4),2),IF(A5="","",ROUND(B5*C5,2)))</f>
        <v>128000</v>
      </c>
      <c r="E5" s="144">
        <f>IF(OR(itens_Remanesc!A4="",NOT(ISNUMBER(parametros!$F$3))),"",ROUND(itens_Remanesc!C4*parametros!$F$3,2))</f>
        <v>3363.84</v>
      </c>
      <c r="F5" s="145">
        <f>IF(posicao_contratual!A4="","",posicao_contratual!K4)</f>
        <v>40</v>
      </c>
      <c r="G5" s="144">
        <f>IF(A5="TOTAL",ROUND(SUM($G$3:G4),2),IF(OR(A5="",E5="",F5=""),"",ROUND(E5*F5,2)))</f>
        <v>134553.60000000001</v>
      </c>
      <c r="H5" s="142">
        <f>IF(OR(itens_Remanesc!A4="",NOT(ISNUMBER(parametros!$F$4))),"",ROUND(itens_Remanesc!C4*parametros!$F$4,2))</f>
        <v>3489.65</v>
      </c>
      <c r="I5" s="143">
        <f>IF(posicao_contratual!A4="","",posicao_contratual!O4)</f>
        <v>40</v>
      </c>
      <c r="J5" s="146">
        <f>IF(A5="TOTAL",ROUND(SUM($J$3:J4),2),IF(OR(A5="",H5="",I5=""),"",ROUND(H5*I5,2)))</f>
        <v>139586</v>
      </c>
      <c r="K5" s="144">
        <f>IF(OR(itens_Remanesc!A4="",NOT(ISNUMBER(parametros!$F$5))),"",ROUND(itens_Remanesc!C4*parametros!$F$5,2))</f>
        <v>3590.5</v>
      </c>
      <c r="L5" s="145">
        <f>IF(posicao_contratual!A4="","",posicao_contratual!S4)</f>
        <v>40</v>
      </c>
      <c r="M5" s="147">
        <f>IF(A5="TOTAL",ROUND(SUM($M$3:M4),2),IF(OR(A5="",K5="",L5=""),"",ROUND(K5*L5,2)))</f>
        <v>143620</v>
      </c>
      <c r="N5" s="142" t="str">
        <f>IF(OR(itens_Remanesc!A4="",NOT(ISNUMBER(parametros!$F$6))),"",ROUND(itens_Remanesc!C4*parametros!$F$6,2))</f>
        <v/>
      </c>
      <c r="O5" s="143">
        <f>IF(posicao_contratual!A4="","",posicao_contratual!W4)</f>
        <v>40</v>
      </c>
      <c r="P5" s="146" t="str">
        <f>IF(A5="TOTAL",ROUND(SUM($P$3:P4),2),IF(OR(A5="",N5="",O5=""),"",ROUND(N5*O5,2)))</f>
        <v/>
      </c>
    </row>
    <row r="6" spans="1:16" x14ac:dyDescent="0.35">
      <c r="A6" s="141" t="str">
        <f>IF(AND(itens_Remanesc!A5="",itens_Remanesc!A4&lt;&gt;"",COUNTIF(itens_Remanesc!A6:$A$200,"&lt;&gt;")=0),"TOTAL",IF(itens_Remanesc!A5="","",itens_Remanesc!A5))</f>
        <v>TOTAL</v>
      </c>
      <c r="B6" s="142" t="str">
        <f>IF(OR(itens_Remanesc!A5="",NOT(ISNUMBER(parametros!$F$2))),"",ROUND(itens_Remanesc!C5*parametros!$F$2,2))</f>
        <v/>
      </c>
      <c r="C6" s="143" t="str">
        <f>IF(posicao_contratual!A5="","",posicao_contratual!G5)</f>
        <v/>
      </c>
      <c r="D6" s="142">
        <f>IF(A6="TOTAL",ROUND(SUM($D$3:D5),2),IF(A6="","",ROUND(B6*C6,2)))</f>
        <v>278000</v>
      </c>
      <c r="E6" s="144" t="str">
        <f>IF(OR(itens_Remanesc!A5="",NOT(ISNUMBER(parametros!$F$3))),"",ROUND(itens_Remanesc!C5*parametros!$F$3,2))</f>
        <v/>
      </c>
      <c r="F6" s="145" t="str">
        <f>IF(posicao_contratual!A5="","",posicao_contratual!K5)</f>
        <v/>
      </c>
      <c r="G6" s="144">
        <f>IF(A6="TOTAL",ROUND(SUM($G$3:G5),2),IF(OR(A6="",E6="",F6=""),"",ROUND(E6*F6,2)))</f>
        <v>292233.59999999998</v>
      </c>
      <c r="H6" s="142" t="str">
        <f>IF(OR(itens_Remanesc!A5="",NOT(ISNUMBER(parametros!$F$4))),"",ROUND(itens_Remanesc!C5*parametros!$F$4,2))</f>
        <v/>
      </c>
      <c r="I6" s="143" t="str">
        <f>IF(posicao_contratual!A5="","",posicao_contratual!O5)</f>
        <v/>
      </c>
      <c r="J6" s="146">
        <f>IF(A6="TOTAL",ROUND(SUM($J$3:J5),2),IF(OR(A6="",H6="",I6=""),"",ROUND(H6*I6,2)))</f>
        <v>303163.2</v>
      </c>
      <c r="K6" s="144" t="str">
        <f>IF(OR(itens_Remanesc!A5="",NOT(ISNUMBER(parametros!$F$5))),"",ROUND(itens_Remanesc!C5*parametros!$F$5,2))</f>
        <v/>
      </c>
      <c r="L6" s="145" t="str">
        <f>IF(posicao_contratual!A5="","",posicao_contratual!S5)</f>
        <v/>
      </c>
      <c r="M6" s="147">
        <f>IF(A6="TOTAL",ROUND(SUM($M$3:M5),2),IF(OR(A6="",K6="",L6=""),"",ROUND(K6*L6,2)))</f>
        <v>311925.2</v>
      </c>
      <c r="N6" s="142" t="str">
        <f>IF(OR(itens_Remanesc!A5="",NOT(ISNUMBER(parametros!$F$6))),"",ROUND(itens_Remanesc!C5*parametros!$F$6,2))</f>
        <v/>
      </c>
      <c r="O6" s="143" t="str">
        <f>IF(posicao_contratual!A5="","",posicao_contratual!W5)</f>
        <v/>
      </c>
      <c r="P6" s="146">
        <f>IF(A6="TOTAL",ROUND(SUM($P$3:P5),2),IF(OR(A6="",N6="",O6=""),"",ROUND(N6*O6,2)))</f>
        <v>0</v>
      </c>
    </row>
    <row r="7" spans="1:16" x14ac:dyDescent="0.35">
      <c r="A7" s="141" t="str">
        <f>IF(AND(itens_Remanesc!A6="",itens_Remanesc!A5&lt;&gt;"",COUNTIF(itens_Remanesc!A7:$A$200,"&lt;&gt;")=0),"TOTAL",IF(itens_Remanesc!A6="","",itens_Remanesc!A6))</f>
        <v/>
      </c>
      <c r="B7" s="142" t="str">
        <f>IF(OR(itens_Remanesc!A6="",NOT(ISNUMBER(parametros!$F$2))),"",ROUND(itens_Remanesc!C6*parametros!$F$2,2))</f>
        <v/>
      </c>
      <c r="C7" s="143" t="str">
        <f>IF(posicao_contratual!A6="","",posicao_contratual!G6)</f>
        <v/>
      </c>
      <c r="D7" s="142" t="str">
        <f>IF(A7="TOTAL",ROUND(SUM($D$3:D6),2),IF(A7="","",ROUND(B7*C7,2)))</f>
        <v/>
      </c>
      <c r="E7" s="144" t="str">
        <f>IF(OR(itens_Remanesc!A6="",NOT(ISNUMBER(parametros!$F$3))),"",ROUND(itens_Remanesc!C6*parametros!$F$3,2))</f>
        <v/>
      </c>
      <c r="F7" s="145" t="str">
        <f>IF(posicao_contratual!A6="","",posicao_contratual!K6)</f>
        <v/>
      </c>
      <c r="G7" s="144" t="str">
        <f>IF(A7="TOTAL",ROUND(SUM($G$3:G6),2),IF(OR(A7="",E7="",F7=""),"",ROUND(E7*F7,2)))</f>
        <v/>
      </c>
      <c r="H7" s="142" t="str">
        <f>IF(OR(itens_Remanesc!A6="",NOT(ISNUMBER(parametros!$F$4))),"",ROUND(itens_Remanesc!C6*parametros!$F$4,2))</f>
        <v/>
      </c>
      <c r="I7" s="143" t="str">
        <f>IF(posicao_contratual!A6="","",posicao_contratual!O6)</f>
        <v/>
      </c>
      <c r="J7" s="146" t="str">
        <f>IF(A7="TOTAL",ROUND(SUM($J$3:J6),2),IF(OR(A7="",H7="",I7=""),"",ROUND(H7*I7,2)))</f>
        <v/>
      </c>
      <c r="K7" s="144" t="str">
        <f>IF(OR(itens_Remanesc!A6="",NOT(ISNUMBER(parametros!$F$5))),"",ROUND(itens_Remanesc!C6*parametros!$F$5,2))</f>
        <v/>
      </c>
      <c r="L7" s="145" t="str">
        <f>IF(posicao_contratual!A6="","",posicao_contratual!S6)</f>
        <v/>
      </c>
      <c r="M7" s="147" t="str">
        <f>IF(A7="TOTAL",ROUND(SUM($M$3:M6),2),IF(OR(A7="",K7="",L7=""),"",ROUND(K7*L7,2)))</f>
        <v/>
      </c>
      <c r="N7" s="142" t="str">
        <f>IF(OR(itens_Remanesc!A6="",NOT(ISNUMBER(parametros!$F$6))),"",ROUND(itens_Remanesc!C6*parametros!$F$6,2))</f>
        <v/>
      </c>
      <c r="O7" s="143" t="str">
        <f>IF(posicao_contratual!A6="","",posicao_contratual!W6)</f>
        <v/>
      </c>
      <c r="P7" s="146" t="str">
        <f>IF(A7="TOTAL",ROUND(SUM($P$3:P6),2),IF(OR(A7="",N7="",O7=""),"",ROUND(N7*O7,2)))</f>
        <v/>
      </c>
    </row>
    <row r="8" spans="1:16" x14ac:dyDescent="0.35">
      <c r="A8" s="141" t="str">
        <f>IF(AND(itens_Remanesc!A7="",itens_Remanesc!A6&lt;&gt;"",COUNTIF(itens_Remanesc!A8:$A$200,"&lt;&gt;")=0),"TOTAL",IF(itens_Remanesc!A7="","",itens_Remanesc!A7))</f>
        <v/>
      </c>
      <c r="B8" s="142" t="str">
        <f>IF(OR(itens_Remanesc!A7="",NOT(ISNUMBER(parametros!$F$2))),"",ROUND(itens_Remanesc!C7*parametros!$F$2,2))</f>
        <v/>
      </c>
      <c r="C8" s="143" t="str">
        <f>IF(posicao_contratual!A7="","",posicao_contratual!G7)</f>
        <v/>
      </c>
      <c r="D8" s="142" t="str">
        <f>IF(A8="TOTAL",ROUND(SUM($D$3:D7),2),IF(A8="","",ROUND(B8*C8,2)))</f>
        <v/>
      </c>
      <c r="E8" s="144" t="str">
        <f>IF(OR(itens_Remanesc!A7="",NOT(ISNUMBER(parametros!$F$3))),"",ROUND(itens_Remanesc!C7*parametros!$F$3,2))</f>
        <v/>
      </c>
      <c r="F8" s="145" t="str">
        <f>IF(posicao_contratual!A7="","",posicao_contratual!K7)</f>
        <v/>
      </c>
      <c r="G8" s="144" t="str">
        <f>IF(A8="TOTAL",ROUND(SUM($G$3:G7),2),IF(OR(A8="",E8="",F8=""),"",ROUND(E8*F8,2)))</f>
        <v/>
      </c>
      <c r="H8" s="142" t="str">
        <f>IF(OR(itens_Remanesc!A7="",NOT(ISNUMBER(parametros!$F$4))),"",ROUND(itens_Remanesc!C7*parametros!$F$4,2))</f>
        <v/>
      </c>
      <c r="I8" s="143" t="str">
        <f>IF(posicao_contratual!A7="","",posicao_contratual!O7)</f>
        <v/>
      </c>
      <c r="J8" s="146" t="str">
        <f>IF(A8="TOTAL",ROUND(SUM($J$3:J7),2),IF(OR(A8="",H8="",I8=""),"",ROUND(H8*I8,2)))</f>
        <v/>
      </c>
      <c r="K8" s="144" t="str">
        <f>IF(OR(itens_Remanesc!A7="",NOT(ISNUMBER(parametros!$F$5))),"",ROUND(itens_Remanesc!C7*parametros!$F$5,2))</f>
        <v/>
      </c>
      <c r="L8" s="145" t="str">
        <f>IF(posicao_contratual!A7="","",posicao_contratual!S7)</f>
        <v/>
      </c>
      <c r="M8" s="147" t="str">
        <f>IF(A8="TOTAL",ROUND(SUM($M$3:M7),2),IF(OR(A8="",K8="",L8=""),"",ROUND(K8*L8,2)))</f>
        <v/>
      </c>
      <c r="N8" s="142" t="str">
        <f>IF(OR(itens_Remanesc!A7="",NOT(ISNUMBER(parametros!$F$6))),"",ROUND(itens_Remanesc!C7*parametros!$F$6,2))</f>
        <v/>
      </c>
      <c r="O8" s="143" t="str">
        <f>IF(posicao_contratual!A7="","",posicao_contratual!W7)</f>
        <v/>
      </c>
      <c r="P8" s="146" t="str">
        <f>IF(A8="TOTAL",ROUND(SUM($P$3:P7),2),IF(OR(A8="",N8="",O8=""),"",ROUND(N8*O8,2)))</f>
        <v/>
      </c>
    </row>
    <row r="9" spans="1:16" x14ac:dyDescent="0.35">
      <c r="A9" s="141" t="str">
        <f>IF(AND(itens_Remanesc!A8="",itens_Remanesc!A7&lt;&gt;"",COUNTIF(itens_Remanesc!A9:$A$200,"&lt;&gt;")=0),"TOTAL",IF(itens_Remanesc!A8="","",itens_Remanesc!A8))</f>
        <v/>
      </c>
      <c r="B9" s="142" t="str">
        <f>IF(OR(itens_Remanesc!A8="",NOT(ISNUMBER(parametros!$F$2))),"",ROUND(itens_Remanesc!C8*parametros!$F$2,2))</f>
        <v/>
      </c>
      <c r="C9" s="143" t="str">
        <f>IF(posicao_contratual!A8="","",posicao_contratual!G8)</f>
        <v/>
      </c>
      <c r="D9" s="142" t="str">
        <f>IF(A9="TOTAL",ROUND(SUM($D$3:D8),2),IF(A9="","",ROUND(B9*C9,2)))</f>
        <v/>
      </c>
      <c r="E9" s="144" t="str">
        <f>IF(OR(itens_Remanesc!A8="",NOT(ISNUMBER(parametros!$F$3))),"",ROUND(itens_Remanesc!C8*parametros!$F$3,2))</f>
        <v/>
      </c>
      <c r="F9" s="145" t="str">
        <f>IF(posicao_contratual!A8="","",posicao_contratual!K8)</f>
        <v/>
      </c>
      <c r="G9" s="144" t="str">
        <f>IF(A9="TOTAL",ROUND(SUM($G$3:G8),2),IF(OR(A9="",E9="",F9=""),"",ROUND(E9*F9,2)))</f>
        <v/>
      </c>
      <c r="H9" s="142" t="str">
        <f>IF(OR(itens_Remanesc!A8="",NOT(ISNUMBER(parametros!$F$4))),"",ROUND(itens_Remanesc!C8*parametros!$F$4,2))</f>
        <v/>
      </c>
      <c r="I9" s="143" t="str">
        <f>IF(posicao_contratual!A8="","",posicao_contratual!O8)</f>
        <v/>
      </c>
      <c r="J9" s="146" t="str">
        <f>IF(A9="TOTAL",ROUND(SUM($J$3:J8),2),IF(OR(A9="",H9="",I9=""),"",ROUND(H9*I9,2)))</f>
        <v/>
      </c>
      <c r="K9" s="144" t="str">
        <f>IF(OR(itens_Remanesc!A8="",NOT(ISNUMBER(parametros!$F$5))),"",ROUND(itens_Remanesc!C8*parametros!$F$5,2))</f>
        <v/>
      </c>
      <c r="L9" s="145" t="str">
        <f>IF(posicao_contratual!A8="","",posicao_contratual!S8)</f>
        <v/>
      </c>
      <c r="M9" s="147" t="str">
        <f>IF(A9="TOTAL",ROUND(SUM($M$3:M8),2),IF(OR(A9="",K9="",L9=""),"",ROUND(K9*L9,2)))</f>
        <v/>
      </c>
      <c r="N9" s="142" t="str">
        <f>IF(OR(itens_Remanesc!A8="",NOT(ISNUMBER(parametros!$F$6))),"",ROUND(itens_Remanesc!C8*parametros!$F$6,2))</f>
        <v/>
      </c>
      <c r="O9" s="143" t="str">
        <f>IF(posicao_contratual!A8="","",posicao_contratual!W8)</f>
        <v/>
      </c>
      <c r="P9" s="146" t="str">
        <f>IF(A9="TOTAL",ROUND(SUM($P$3:P8),2),IF(OR(A9="",N9="",O9=""),"",ROUND(N9*O9,2)))</f>
        <v/>
      </c>
    </row>
    <row r="10" spans="1:16" x14ac:dyDescent="0.35">
      <c r="A10" s="141" t="str">
        <f>IF(AND(itens_Remanesc!A9="",itens_Remanesc!A8&lt;&gt;"",COUNTIF(itens_Remanesc!A10:$A$200,"&lt;&gt;")=0),"TOTAL",IF(itens_Remanesc!A9="","",itens_Remanesc!A9))</f>
        <v/>
      </c>
      <c r="B10" s="142" t="str">
        <f>IF(OR(itens_Remanesc!A9="",NOT(ISNUMBER(parametros!$F$2))),"",ROUND(itens_Remanesc!C9*parametros!$F$2,2))</f>
        <v/>
      </c>
      <c r="C10" s="143" t="str">
        <f>IF(posicao_contratual!A9="","",posicao_contratual!G9)</f>
        <v/>
      </c>
      <c r="D10" s="142" t="str">
        <f>IF(A10="TOTAL",ROUND(SUM($D$3:D9),2),IF(A10="","",ROUND(B10*C10,2)))</f>
        <v/>
      </c>
      <c r="E10" s="144" t="str">
        <f>IF(OR(itens_Remanesc!A9="",NOT(ISNUMBER(parametros!$F$3))),"",ROUND(itens_Remanesc!C9*parametros!$F$3,2))</f>
        <v/>
      </c>
      <c r="F10" s="145" t="str">
        <f>IF(posicao_contratual!A9="","",posicao_contratual!K9)</f>
        <v/>
      </c>
      <c r="G10" s="144" t="str">
        <f>IF(A10="TOTAL",ROUND(SUM($G$3:G9),2),IF(OR(A10="",E10="",F10=""),"",ROUND(E10*F10,2)))</f>
        <v/>
      </c>
      <c r="H10" s="142" t="str">
        <f>IF(OR(itens_Remanesc!A9="",NOT(ISNUMBER(parametros!$F$4))),"",ROUND(itens_Remanesc!C9*parametros!$F$4,2))</f>
        <v/>
      </c>
      <c r="I10" s="143" t="str">
        <f>IF(posicao_contratual!A9="","",posicao_contratual!O9)</f>
        <v/>
      </c>
      <c r="J10" s="146" t="str">
        <f>IF(A10="TOTAL",ROUND(SUM($J$3:J9),2),IF(OR(A10="",H10="",I10=""),"",ROUND(H10*I10,2)))</f>
        <v/>
      </c>
      <c r="K10" s="144" t="str">
        <f>IF(OR(itens_Remanesc!A9="",NOT(ISNUMBER(parametros!$F$5))),"",ROUND(itens_Remanesc!C9*parametros!$F$5,2))</f>
        <v/>
      </c>
      <c r="L10" s="145" t="str">
        <f>IF(posicao_contratual!A9="","",posicao_contratual!S9)</f>
        <v/>
      </c>
      <c r="M10" s="147" t="str">
        <f>IF(A10="TOTAL",ROUND(SUM($M$3:M9),2),IF(OR(A10="",K10="",L10=""),"",ROUND(K10*L10,2)))</f>
        <v/>
      </c>
      <c r="N10" s="142" t="str">
        <f>IF(OR(itens_Remanesc!A9="",NOT(ISNUMBER(parametros!$F$6))),"",ROUND(itens_Remanesc!C9*parametros!$F$6,2))</f>
        <v/>
      </c>
      <c r="O10" s="143" t="str">
        <f>IF(posicao_contratual!A9="","",posicao_contratual!W9)</f>
        <v/>
      </c>
      <c r="P10" s="146" t="str">
        <f>IF(A10="TOTAL",ROUND(SUM($P$3:P9),2),IF(OR(A10="",N10="",O10=""),"",ROUND(N10*O10,2)))</f>
        <v/>
      </c>
    </row>
    <row r="11" spans="1:16" x14ac:dyDescent="0.35">
      <c r="A11" s="141" t="str">
        <f>IF(AND(itens_Remanesc!A10="",itens_Remanesc!A9&lt;&gt;"",COUNTIF(itens_Remanesc!A11:$A$200,"&lt;&gt;")=0),"TOTAL",IF(itens_Remanesc!A10="","",itens_Remanesc!A10))</f>
        <v/>
      </c>
      <c r="B11" s="142" t="str">
        <f>IF(OR(itens_Remanesc!A10="",NOT(ISNUMBER(parametros!$F$2))),"",ROUND(itens_Remanesc!C10*parametros!$F$2,2))</f>
        <v/>
      </c>
      <c r="C11" s="143" t="str">
        <f>IF(posicao_contratual!A10="","",posicao_contratual!G10)</f>
        <v/>
      </c>
      <c r="D11" s="142" t="str">
        <f>IF(A11="TOTAL",ROUND(SUM($D$3:D10),2),IF(A11="","",ROUND(B11*C11,2)))</f>
        <v/>
      </c>
      <c r="E11" s="144" t="str">
        <f>IF(OR(itens_Remanesc!A10="",NOT(ISNUMBER(parametros!$F$3))),"",ROUND(itens_Remanesc!C10*parametros!$F$3,2))</f>
        <v/>
      </c>
      <c r="F11" s="145" t="str">
        <f>IF(posicao_contratual!A10="","",posicao_contratual!K10)</f>
        <v/>
      </c>
      <c r="G11" s="144" t="str">
        <f>IF(A11="TOTAL",ROUND(SUM($G$3:G10),2),IF(OR(A11="",E11="",F11=""),"",ROUND(E11*F11,2)))</f>
        <v/>
      </c>
      <c r="H11" s="142" t="str">
        <f>IF(OR(itens_Remanesc!A10="",NOT(ISNUMBER(parametros!$F$4))),"",ROUND(itens_Remanesc!C10*parametros!$F$4,2))</f>
        <v/>
      </c>
      <c r="I11" s="143" t="str">
        <f>IF(posicao_contratual!A10="","",posicao_contratual!O10)</f>
        <v/>
      </c>
      <c r="J11" s="146" t="str">
        <f>IF(A11="TOTAL",ROUND(SUM($J$3:J10),2),IF(OR(A11="",H11="",I11=""),"",ROUND(H11*I11,2)))</f>
        <v/>
      </c>
      <c r="K11" s="144" t="str">
        <f>IF(OR(itens_Remanesc!A10="",NOT(ISNUMBER(parametros!$F$5))),"",ROUND(itens_Remanesc!C10*parametros!$F$5,2))</f>
        <v/>
      </c>
      <c r="L11" s="145" t="str">
        <f>IF(posicao_contratual!A10="","",posicao_contratual!S10)</f>
        <v/>
      </c>
      <c r="M11" s="147" t="str">
        <f>IF(A11="TOTAL",ROUND(SUM($M$3:M10),2),IF(OR(A11="",K11="",L11=""),"",ROUND(K11*L11,2)))</f>
        <v/>
      </c>
      <c r="N11" s="142" t="str">
        <f>IF(OR(itens_Remanesc!A10="",NOT(ISNUMBER(parametros!$F$6))),"",ROUND(itens_Remanesc!C10*parametros!$F$6,2))</f>
        <v/>
      </c>
      <c r="O11" s="143" t="str">
        <f>IF(posicao_contratual!A10="","",posicao_contratual!W10)</f>
        <v/>
      </c>
      <c r="P11" s="146" t="str">
        <f>IF(A11="TOTAL",ROUND(SUM($P$3:P10),2),IF(OR(A11="",N11="",O11=""),"",ROUND(N11*O11,2)))</f>
        <v/>
      </c>
    </row>
    <row r="12" spans="1:16" x14ac:dyDescent="0.35">
      <c r="A12" s="141" t="str">
        <f>IF(AND(itens_Remanesc!A11="",itens_Remanesc!A10&lt;&gt;"",COUNTIF(itens_Remanesc!A12:$A$200,"&lt;&gt;")=0),"TOTAL",IF(itens_Remanesc!A11="","",itens_Remanesc!A11))</f>
        <v/>
      </c>
      <c r="B12" s="142" t="str">
        <f>IF(OR(itens_Remanesc!A11="",NOT(ISNUMBER(parametros!$F$2))),"",ROUND(itens_Remanesc!C11*parametros!$F$2,2))</f>
        <v/>
      </c>
      <c r="C12" s="143" t="str">
        <f>IF(posicao_contratual!A11="","",posicao_contratual!G11)</f>
        <v/>
      </c>
      <c r="D12" s="142" t="str">
        <f>IF(A12="TOTAL",ROUND(SUM($D$3:D11),2),IF(A12="","",ROUND(B12*C12,2)))</f>
        <v/>
      </c>
      <c r="E12" s="144" t="str">
        <f>IF(OR(itens_Remanesc!A11="",NOT(ISNUMBER(parametros!$F$3))),"",ROUND(itens_Remanesc!C11*parametros!$F$3,2))</f>
        <v/>
      </c>
      <c r="F12" s="145" t="str">
        <f>IF(posicao_contratual!A11="","",posicao_contratual!K11)</f>
        <v/>
      </c>
      <c r="G12" s="144" t="str">
        <f>IF(A12="TOTAL",ROUND(SUM($G$3:G11),2),IF(OR(A12="",E12="",F12=""),"",ROUND(E12*F12,2)))</f>
        <v/>
      </c>
      <c r="H12" s="142" t="str">
        <f>IF(OR(itens_Remanesc!A11="",NOT(ISNUMBER(parametros!$F$4))),"",ROUND(itens_Remanesc!C11*parametros!$F$4,2))</f>
        <v/>
      </c>
      <c r="I12" s="143" t="str">
        <f>IF(posicao_contratual!A11="","",posicao_contratual!O11)</f>
        <v/>
      </c>
      <c r="J12" s="146" t="str">
        <f>IF(A12="TOTAL",ROUND(SUM($J$3:J11),2),IF(OR(A12="",H12="",I12=""),"",ROUND(H12*I12,2)))</f>
        <v/>
      </c>
      <c r="K12" s="144" t="str">
        <f>IF(OR(itens_Remanesc!A11="",NOT(ISNUMBER(parametros!$F$5))),"",ROUND(itens_Remanesc!C11*parametros!$F$5,2))</f>
        <v/>
      </c>
      <c r="L12" s="145" t="str">
        <f>IF(posicao_contratual!A11="","",posicao_contratual!S11)</f>
        <v/>
      </c>
      <c r="M12" s="144" t="str">
        <f>IF(A12="TOTAL",ROUND(SUM($M$3:M11),2),IF(OR(A12="",K12="",L12=""),"",ROUND(K12*L12,2)))</f>
        <v/>
      </c>
      <c r="N12" s="142" t="str">
        <f>IF(OR(itens_Remanesc!A11="",NOT(ISNUMBER(parametros!$F$6))),"",ROUND(itens_Remanesc!C11*parametros!$F$6,2))</f>
        <v/>
      </c>
      <c r="O12" s="143" t="str">
        <f>IF(posicao_contratual!A11="","",posicao_contratual!W11)</f>
        <v/>
      </c>
      <c r="P12" s="146" t="str">
        <f>IF(A12="TOTAL",ROUND(SUM($P$3:P11),2),IF(OR(A12="",N12="",O12=""),"",ROUND(N12*O12,2)))</f>
        <v/>
      </c>
    </row>
    <row r="13" spans="1:16" x14ac:dyDescent="0.35">
      <c r="A13" s="141" t="str">
        <f>IF(AND(itens_Remanesc!A12="",itens_Remanesc!A11&lt;&gt;"",COUNTIF(itens_Remanesc!A13:$A$200,"&lt;&gt;")=0),"TOTAL",IF(itens_Remanesc!A12="","",itens_Remanesc!A12))</f>
        <v/>
      </c>
      <c r="B13" s="142" t="str">
        <f>IF(OR(itens_Remanesc!A12="",NOT(ISNUMBER(parametros!$F$2))),"",ROUND(itens_Remanesc!C12*parametros!$F$2,2))</f>
        <v/>
      </c>
      <c r="C13" s="143" t="str">
        <f>IF(posicao_contratual!A12="","",posicao_contratual!G12)</f>
        <v/>
      </c>
      <c r="D13" s="142" t="str">
        <f>IF(A13="TOTAL",ROUND(SUM($D$3:D12),2),IF(A13="","",ROUND(B13*C13,2)))</f>
        <v/>
      </c>
      <c r="E13" s="144" t="str">
        <f>IF(OR(itens_Remanesc!A12="",NOT(ISNUMBER(parametros!$F$3))),"",ROUND(itens_Remanesc!C12*parametros!$F$3,2))</f>
        <v/>
      </c>
      <c r="F13" s="145" t="str">
        <f>IF(posicao_contratual!A12="","",posicao_contratual!K12)</f>
        <v/>
      </c>
      <c r="G13" s="144" t="str">
        <f>IF(A13="TOTAL",ROUND(SUM($G$3:G12),2),IF(OR(A13="",E13="",F13=""),"",ROUND(E13*F13,2)))</f>
        <v/>
      </c>
      <c r="H13" s="142" t="str">
        <f>IF(OR(itens_Remanesc!A12="",NOT(ISNUMBER(parametros!$F$4))),"",ROUND(itens_Remanesc!C12*parametros!$F$4,2))</f>
        <v/>
      </c>
      <c r="I13" s="143" t="str">
        <f>IF(posicao_contratual!A12="","",posicao_contratual!O12)</f>
        <v/>
      </c>
      <c r="J13" s="142" t="str">
        <f>IF(A13="TOTAL",ROUND(SUM($J$3:J12),2),IF(OR(A13="",H13="",I13=""),"",ROUND(H13*I13,2)))</f>
        <v/>
      </c>
      <c r="K13" s="144" t="str">
        <f>IF(OR(itens_Remanesc!A12="",NOT(ISNUMBER(parametros!$F$5))),"",ROUND(itens_Remanesc!C12*parametros!$F$5,2))</f>
        <v/>
      </c>
      <c r="L13" s="145" t="str">
        <f>IF(posicao_contratual!A12="","",posicao_contratual!S12)</f>
        <v/>
      </c>
      <c r="M13" s="144" t="str">
        <f>IF(A13="TOTAL",ROUND(SUM($M$3:M12),2),IF(OR(A13="",K13="",L13=""),"",ROUND(K13*L13,2)))</f>
        <v/>
      </c>
      <c r="N13" s="142" t="str">
        <f>IF(OR(itens_Remanesc!A12="",NOT(ISNUMBER(parametros!$F$6))),"",ROUND(itens_Remanesc!C12*parametros!$F$6,2))</f>
        <v/>
      </c>
      <c r="O13" s="143" t="str">
        <f>IF(posicao_contratual!A12="","",posicao_contratual!W12)</f>
        <v/>
      </c>
      <c r="P13" s="142" t="str">
        <f>IF(A13="TOTAL",ROUND(SUM($P$3:P12),2),IF(OR(A13="",N13="",O13=""),"",ROUND(N13*O13,2)))</f>
        <v/>
      </c>
    </row>
    <row r="14" spans="1:16" x14ac:dyDescent="0.35">
      <c r="A14" s="141" t="str">
        <f>IF(AND(itens_Remanesc!A13="",itens_Remanesc!A12&lt;&gt;"",COUNTIF(itens_Remanesc!A14:$A$200,"&lt;&gt;")=0),"TOTAL",IF(itens_Remanesc!A13="","",itens_Remanesc!A13))</f>
        <v/>
      </c>
      <c r="B14" s="142" t="str">
        <f>IF(OR(itens_Remanesc!A13="",NOT(ISNUMBER(parametros!$F$2))),"",ROUND(itens_Remanesc!C13*parametros!$F$2,2))</f>
        <v/>
      </c>
      <c r="C14" s="143" t="str">
        <f>IF(posicao_contratual!A13="","",posicao_contratual!G13)</f>
        <v/>
      </c>
      <c r="D14" s="142" t="str">
        <f>IF(A14="TOTAL",ROUND(SUM($D$3:D13),2),IF(A14="","",ROUND(B14*C14,2)))</f>
        <v/>
      </c>
      <c r="E14" s="144" t="str">
        <f>IF(OR(itens_Remanesc!A13="",NOT(ISNUMBER(parametros!$F$3))),"",ROUND(itens_Remanesc!C13*parametros!$F$3,2))</f>
        <v/>
      </c>
      <c r="F14" s="145" t="str">
        <f>IF(posicao_contratual!A13="","",posicao_contratual!K13)</f>
        <v/>
      </c>
      <c r="G14" s="144" t="str">
        <f>IF(A14="TOTAL",ROUND(SUM($G$3:G13),2),IF(OR(A14="",E14="",F14=""),"",ROUND(E14*F14,2)))</f>
        <v/>
      </c>
      <c r="H14" s="142" t="str">
        <f>IF(OR(itens_Remanesc!A13="",NOT(ISNUMBER(parametros!$F$4))),"",ROUND(itens_Remanesc!C13*parametros!$F$4,2))</f>
        <v/>
      </c>
      <c r="I14" s="143" t="str">
        <f>IF(posicao_contratual!A13="","",posicao_contratual!O13)</f>
        <v/>
      </c>
      <c r="J14" s="142" t="str">
        <f>IF(A14="TOTAL",ROUND(SUM($J$3:J13),2),IF(OR(A14="",H14="",I14=""),"",ROUND(H14*I14,2)))</f>
        <v/>
      </c>
      <c r="K14" s="144" t="str">
        <f>IF(OR(itens_Remanesc!A13="",NOT(ISNUMBER(parametros!$F$5))),"",ROUND(itens_Remanesc!C13*parametros!$F$5,2))</f>
        <v/>
      </c>
      <c r="L14" s="145" t="str">
        <f>IF(posicao_contratual!A13="","",posicao_contratual!S13)</f>
        <v/>
      </c>
      <c r="M14" s="144" t="str">
        <f>IF(A14="TOTAL",ROUND(SUM($M$3:M13),2),IF(OR(A14="",K14="",L14=""),"",ROUND(K14*L14,2)))</f>
        <v/>
      </c>
      <c r="N14" s="142" t="str">
        <f>IF(OR(itens_Remanesc!A13="",NOT(ISNUMBER(parametros!$F$6))),"",ROUND(itens_Remanesc!C13*parametros!$F$6,2))</f>
        <v/>
      </c>
      <c r="O14" s="143" t="str">
        <f>IF(posicao_contratual!A13="","",posicao_contratual!W13)</f>
        <v/>
      </c>
      <c r="P14" s="142" t="str">
        <f>IF(A14="TOTAL",ROUND(SUM($P$3:P13),2),IF(OR(A14="",N14="",O14=""),"",ROUND(N14*O14,2)))</f>
        <v/>
      </c>
    </row>
    <row r="15" spans="1:16" x14ac:dyDescent="0.35">
      <c r="A15" s="141" t="str">
        <f>IF(AND(itens_Remanesc!A14="",itens_Remanesc!A13&lt;&gt;"",COUNTIF(itens_Remanesc!A15:$A$200,"&lt;&gt;")=0),"TOTAL",IF(itens_Remanesc!A14="","",itens_Remanesc!A14))</f>
        <v/>
      </c>
      <c r="B15" s="142" t="str">
        <f>IF(OR(itens_Remanesc!A14="",NOT(ISNUMBER(parametros!$F$2))),"",ROUND(itens_Remanesc!C14*parametros!$F$2,2))</f>
        <v/>
      </c>
      <c r="C15" s="143" t="str">
        <f>IF(posicao_contratual!A14="","",posicao_contratual!G14)</f>
        <v/>
      </c>
      <c r="D15" s="142" t="str">
        <f>IF(A15="TOTAL",ROUND(SUM($D$3:D14),2),IF(A15="","",ROUND(B15*C15,2)))</f>
        <v/>
      </c>
      <c r="E15" s="144" t="str">
        <f>IF(OR(itens_Remanesc!A14="",NOT(ISNUMBER(parametros!$F$3))),"",ROUND(itens_Remanesc!C14*parametros!$F$3,2))</f>
        <v/>
      </c>
      <c r="F15" s="145" t="str">
        <f>IF(posicao_contratual!A14="","",posicao_contratual!K14)</f>
        <v/>
      </c>
      <c r="G15" s="144" t="str">
        <f>IF(A15="TOTAL",ROUND(SUM($G$3:G14),2),IF(OR(A15="",E15="",F15=""),"",ROUND(E15*F15,2)))</f>
        <v/>
      </c>
      <c r="H15" s="142" t="str">
        <f>IF(OR(itens_Remanesc!A14="",NOT(ISNUMBER(parametros!$F$4))),"",ROUND(itens_Remanesc!C14*parametros!$F$4,2))</f>
        <v/>
      </c>
      <c r="I15" s="143" t="str">
        <f>IF(posicao_contratual!A14="","",posicao_contratual!O14)</f>
        <v/>
      </c>
      <c r="J15" s="142" t="str">
        <f>IF(A15="TOTAL",ROUND(SUM($J$3:J14),2),IF(OR(A15="",H15="",I15=""),"",ROUND(H15*I15,2)))</f>
        <v/>
      </c>
      <c r="K15" s="144" t="str">
        <f>IF(OR(itens_Remanesc!A14="",NOT(ISNUMBER(parametros!$F$5))),"",ROUND(itens_Remanesc!C14*parametros!$F$5,2))</f>
        <v/>
      </c>
      <c r="L15" s="145" t="str">
        <f>IF(posicao_contratual!A14="","",posicao_contratual!S14)</f>
        <v/>
      </c>
      <c r="M15" s="144" t="str">
        <f>IF(A15="TOTAL",ROUND(SUM($M$3:M14),2),IF(OR(A15="",K15="",L15=""),"",ROUND(K15*L15,2)))</f>
        <v/>
      </c>
      <c r="N15" s="142" t="str">
        <f>IF(OR(itens_Remanesc!A14="",NOT(ISNUMBER(parametros!$F$6))),"",ROUND(itens_Remanesc!C14*parametros!$F$6,2))</f>
        <v/>
      </c>
      <c r="O15" s="143" t="str">
        <f>IF(posicao_contratual!A14="","",posicao_contratual!W14)</f>
        <v/>
      </c>
      <c r="P15" s="142" t="str">
        <f>IF(A15="TOTAL",ROUND(SUM($P$3:P14),2),IF(OR(A15="",N15="",O15=""),"",ROUND(N15*O15,2)))</f>
        <v/>
      </c>
    </row>
    <row r="16" spans="1:16" x14ac:dyDescent="0.35">
      <c r="A16" s="141" t="str">
        <f>IF(AND(itens_Remanesc!A15="",itens_Remanesc!A14&lt;&gt;"",COUNTIF(itens_Remanesc!A16:$A$200,"&lt;&gt;")=0),"TOTAL",IF(itens_Remanesc!A15="","",itens_Remanesc!A15))</f>
        <v/>
      </c>
      <c r="B16" s="142" t="str">
        <f>IF(OR(itens_Remanesc!A15="",NOT(ISNUMBER(parametros!$F$2))),"",ROUND(itens_Remanesc!C15*parametros!$F$2,2))</f>
        <v/>
      </c>
      <c r="C16" s="143" t="str">
        <f>IF(posicao_contratual!A15="","",posicao_contratual!G15)</f>
        <v/>
      </c>
      <c r="D16" s="142" t="str">
        <f>IF(A16="TOTAL",ROUND(SUM($D$3:D15),2),IF(A16="","",ROUND(B16*C16,2)))</f>
        <v/>
      </c>
      <c r="E16" s="144" t="str">
        <f>IF(OR(itens_Remanesc!A15="",NOT(ISNUMBER(parametros!$F$3))),"",ROUND(itens_Remanesc!C15*parametros!$F$3,2))</f>
        <v/>
      </c>
      <c r="F16" s="145" t="str">
        <f>IF(posicao_contratual!A15="","",posicao_contratual!K15)</f>
        <v/>
      </c>
      <c r="G16" s="144" t="str">
        <f>IF(A16="TOTAL",ROUND(SUM($G$3:G15),2),IF(OR(A16="",E16="",F16=""),"",ROUND(E16*F16,2)))</f>
        <v/>
      </c>
      <c r="H16" s="142" t="str">
        <f>IF(OR(itens_Remanesc!A15="",NOT(ISNUMBER(parametros!$F$4))),"",ROUND(itens_Remanesc!C15*parametros!$F$4,2))</f>
        <v/>
      </c>
      <c r="I16" s="143" t="str">
        <f>IF(posicao_contratual!A15="","",posicao_contratual!O15)</f>
        <v/>
      </c>
      <c r="J16" s="142" t="str">
        <f>IF(A16="TOTAL",ROUND(SUM($J$3:J15),2),IF(OR(A16="",H16="",I16=""),"",ROUND(H16*I16,2)))</f>
        <v/>
      </c>
      <c r="K16" s="144" t="str">
        <f>IF(OR(itens_Remanesc!A15="",NOT(ISNUMBER(parametros!$F$5))),"",ROUND(itens_Remanesc!C15*parametros!$F$5,2))</f>
        <v/>
      </c>
      <c r="L16" s="145" t="str">
        <f>IF(posicao_contratual!A15="","",posicao_contratual!S15)</f>
        <v/>
      </c>
      <c r="M16" s="144" t="str">
        <f>IF(A16="TOTAL",ROUND(SUM($M$3:M15),2),IF(OR(A16="",K16="",L16=""),"",ROUND(K16*L16,2)))</f>
        <v/>
      </c>
      <c r="N16" s="142" t="str">
        <f>IF(OR(itens_Remanesc!A15="",NOT(ISNUMBER(parametros!$F$6))),"",ROUND(itens_Remanesc!C15*parametros!$F$6,2))</f>
        <v/>
      </c>
      <c r="O16" s="143" t="str">
        <f>IF(posicao_contratual!A15="","",posicao_contratual!W15)</f>
        <v/>
      </c>
      <c r="P16" s="142" t="str">
        <f>IF(A16="TOTAL",ROUND(SUM($P$3:P15),2),IF(OR(A16="",N16="",O16=""),"",ROUND(N16*O16,2)))</f>
        <v/>
      </c>
    </row>
    <row r="17" spans="1:16" x14ac:dyDescent="0.35">
      <c r="A17" s="141" t="str">
        <f>IF(AND(itens_Remanesc!A16="",itens_Remanesc!A15&lt;&gt;"",COUNTIF(itens_Remanesc!A17:$A$200,"&lt;&gt;")=0),"TOTAL",IF(itens_Remanesc!A16="","",itens_Remanesc!A16))</f>
        <v/>
      </c>
      <c r="B17" s="142" t="str">
        <f>IF(OR(itens_Remanesc!A16="",NOT(ISNUMBER(parametros!$F$2))),"",ROUND(itens_Remanesc!C16*parametros!$F$2,2))</f>
        <v/>
      </c>
      <c r="C17" s="143" t="str">
        <f>IF(posicao_contratual!A16="","",posicao_contratual!G16)</f>
        <v/>
      </c>
      <c r="D17" s="142" t="str">
        <f>IF(A17="TOTAL",ROUND(SUM($D$3:D16),2),IF(A17="","",ROUND(B17*C17,2)))</f>
        <v/>
      </c>
      <c r="E17" s="144" t="str">
        <f>IF(OR(itens_Remanesc!A16="",NOT(ISNUMBER(parametros!$F$3))),"",ROUND(itens_Remanesc!C16*parametros!$F$3,2))</f>
        <v/>
      </c>
      <c r="F17" s="145" t="str">
        <f>IF(posicao_contratual!A16="","",posicao_contratual!K16)</f>
        <v/>
      </c>
      <c r="G17" s="144" t="str">
        <f>IF(A17="TOTAL",ROUND(SUM($G$3:G16),2),IF(OR(A17="",E17="",F17=""),"",ROUND(E17*F17,2)))</f>
        <v/>
      </c>
      <c r="H17" s="142" t="str">
        <f>IF(OR(itens_Remanesc!A16="",NOT(ISNUMBER(parametros!$F$4))),"",ROUND(itens_Remanesc!C16*parametros!$F$4,2))</f>
        <v/>
      </c>
      <c r="I17" s="143" t="str">
        <f>IF(posicao_contratual!A16="","",posicao_contratual!O16)</f>
        <v/>
      </c>
      <c r="J17" s="142" t="str">
        <f>IF(A17="TOTAL",ROUND(SUM($J$3:J16),2),IF(OR(A17="",H17="",I17=""),"",ROUND(H17*I17,2)))</f>
        <v/>
      </c>
      <c r="K17" s="144" t="str">
        <f>IF(OR(itens_Remanesc!A16="",NOT(ISNUMBER(parametros!$F$5))),"",ROUND(itens_Remanesc!C16*parametros!$F$5,2))</f>
        <v/>
      </c>
      <c r="L17" s="145" t="str">
        <f>IF(posicao_contratual!A16="","",posicao_contratual!S16)</f>
        <v/>
      </c>
      <c r="M17" s="144" t="str">
        <f>IF(A17="TOTAL",ROUND(SUM($M$3:M16),2),IF(OR(A17="",K17="",L17=""),"",ROUND(K17*L17,2)))</f>
        <v/>
      </c>
      <c r="N17" s="142" t="str">
        <f>IF(OR(itens_Remanesc!A16="",NOT(ISNUMBER(parametros!$F$6))),"",ROUND(itens_Remanesc!C16*parametros!$F$6,2))</f>
        <v/>
      </c>
      <c r="O17" s="143" t="str">
        <f>IF(posicao_contratual!A16="","",posicao_contratual!W16)</f>
        <v/>
      </c>
      <c r="P17" s="142" t="str">
        <f>IF(A17="TOTAL",ROUND(SUM($P$3:P16),2),IF(OR(A17="",N17="",O17=""),"",ROUND(N17*O17,2)))</f>
        <v/>
      </c>
    </row>
    <row r="18" spans="1:16" x14ac:dyDescent="0.35">
      <c r="A18" s="141" t="str">
        <f>IF(AND(itens_Remanesc!A17="",itens_Remanesc!A16&lt;&gt;"",COUNTIF(itens_Remanesc!A18:$A$200,"&lt;&gt;")=0),"TOTAL",IF(itens_Remanesc!A17="","",itens_Remanesc!A17))</f>
        <v/>
      </c>
      <c r="B18" s="142" t="str">
        <f>IF(OR(itens_Remanesc!A17="",NOT(ISNUMBER(parametros!$F$2))),"",ROUND(itens_Remanesc!C17*parametros!$F$2,2))</f>
        <v/>
      </c>
      <c r="C18" s="143" t="str">
        <f>IF(posicao_contratual!A17="","",posicao_contratual!G17)</f>
        <v/>
      </c>
      <c r="D18" s="142" t="str">
        <f>IF(A18="TOTAL",ROUND(SUM($D$3:D17),2),IF(A18="","",ROUND(B18*C18,2)))</f>
        <v/>
      </c>
      <c r="E18" s="144" t="str">
        <f>IF(OR(itens_Remanesc!A17="",NOT(ISNUMBER(parametros!$F$3))),"",ROUND(itens_Remanesc!C17*parametros!$F$3,2))</f>
        <v/>
      </c>
      <c r="F18" s="145" t="str">
        <f>IF(posicao_contratual!A17="","",posicao_contratual!K17)</f>
        <v/>
      </c>
      <c r="G18" s="144" t="str">
        <f>IF(A18="TOTAL",ROUND(SUM($G$3:G17),2),IF(OR(A18="",E18="",F18=""),"",ROUND(E18*F18,2)))</f>
        <v/>
      </c>
      <c r="H18" s="142" t="str">
        <f>IF(OR(itens_Remanesc!A17="",NOT(ISNUMBER(parametros!$F$4))),"",ROUND(itens_Remanesc!C17*parametros!$F$4,2))</f>
        <v/>
      </c>
      <c r="I18" s="143" t="str">
        <f>IF(posicao_contratual!A17="","",posicao_contratual!O17)</f>
        <v/>
      </c>
      <c r="J18" s="142" t="str">
        <f>IF(A18="TOTAL",ROUND(SUM($J$3:J17),2),IF(OR(A18="",H18="",I18=""),"",ROUND(H18*I18,2)))</f>
        <v/>
      </c>
      <c r="K18" s="144" t="str">
        <f>IF(OR(itens_Remanesc!A17="",NOT(ISNUMBER(parametros!$F$5))),"",ROUND(itens_Remanesc!C17*parametros!$F$5,2))</f>
        <v/>
      </c>
      <c r="L18" s="145" t="str">
        <f>IF(posicao_contratual!A17="","",posicao_contratual!S17)</f>
        <v/>
      </c>
      <c r="M18" s="144" t="str">
        <f>IF(A18="TOTAL",ROUND(SUM($M$3:M17),2),IF(OR(A18="",K18="",L18=""),"",ROUND(K18*L18,2)))</f>
        <v/>
      </c>
      <c r="N18" s="142" t="str">
        <f>IF(OR(itens_Remanesc!A17="",NOT(ISNUMBER(parametros!$F$6))),"",ROUND(itens_Remanesc!C17*parametros!$F$6,2))</f>
        <v/>
      </c>
      <c r="O18" s="143" t="str">
        <f>IF(posicao_contratual!A17="","",posicao_contratual!W17)</f>
        <v/>
      </c>
      <c r="P18" s="142" t="str">
        <f>IF(A18="TOTAL",ROUND(SUM($P$3:P17),2),IF(OR(A18="",N18="",O18=""),"",ROUND(N18*O18,2)))</f>
        <v/>
      </c>
    </row>
    <row r="19" spans="1:16" x14ac:dyDescent="0.35">
      <c r="A19" s="141" t="str">
        <f>IF(AND(itens_Remanesc!A18="",itens_Remanesc!A17&lt;&gt;"",COUNTIF(itens_Remanesc!A19:$A$200,"&lt;&gt;")=0),"TOTAL",IF(itens_Remanesc!A18="","",itens_Remanesc!A18))</f>
        <v/>
      </c>
      <c r="B19" s="142" t="str">
        <f>IF(OR(itens_Remanesc!A18="",NOT(ISNUMBER(parametros!$F$2))),"",ROUND(itens_Remanesc!C18*parametros!$F$2,2))</f>
        <v/>
      </c>
      <c r="C19" s="143" t="str">
        <f>IF(posicao_contratual!A18="","",posicao_contratual!G18)</f>
        <v/>
      </c>
      <c r="D19" s="142" t="str">
        <f>IF(A19="TOTAL",ROUND(SUM($D$3:D18),2),IF(A19="","",ROUND(B19*C19,2)))</f>
        <v/>
      </c>
      <c r="E19" s="144" t="str">
        <f>IF(OR(itens_Remanesc!A18="",NOT(ISNUMBER(parametros!$F$3))),"",ROUND(itens_Remanesc!C18*parametros!$F$3,2))</f>
        <v/>
      </c>
      <c r="F19" s="145" t="str">
        <f>IF(posicao_contratual!A18="","",posicao_contratual!K18)</f>
        <v/>
      </c>
      <c r="G19" s="144" t="str">
        <f>IF(A19="TOTAL",ROUND(SUM($G$3:G18),2),IF(OR(A19="",E19="",F19=""),"",ROUND(E19*F19,2)))</f>
        <v/>
      </c>
      <c r="H19" s="142" t="str">
        <f>IF(OR(itens_Remanesc!A18="",NOT(ISNUMBER(parametros!$F$4))),"",ROUND(itens_Remanesc!C18*parametros!$F$4,2))</f>
        <v/>
      </c>
      <c r="I19" s="143" t="str">
        <f>IF(posicao_contratual!A18="","",posicao_contratual!O18)</f>
        <v/>
      </c>
      <c r="J19" s="142" t="str">
        <f>IF(A19="TOTAL",ROUND(SUM($J$3:J18),2),IF(OR(A19="",H19="",I19=""),"",ROUND(H19*I19,2)))</f>
        <v/>
      </c>
      <c r="K19" s="144" t="str">
        <f>IF(OR(itens_Remanesc!A18="",NOT(ISNUMBER(parametros!$F$5))),"",ROUND(itens_Remanesc!C18*parametros!$F$5,2))</f>
        <v/>
      </c>
      <c r="L19" s="145" t="str">
        <f>IF(posicao_contratual!A18="","",posicao_contratual!S18)</f>
        <v/>
      </c>
      <c r="M19" s="144" t="str">
        <f>IF(A19="TOTAL",ROUND(SUM($M$3:M18),2),IF(OR(A19="",K19="",L19=""),"",ROUND(K19*L19,2)))</f>
        <v/>
      </c>
      <c r="N19" s="142" t="str">
        <f>IF(OR(itens_Remanesc!A18="",NOT(ISNUMBER(parametros!$F$6))),"",ROUND(itens_Remanesc!C18*parametros!$F$6,2))</f>
        <v/>
      </c>
      <c r="O19" s="143" t="str">
        <f>IF(posicao_contratual!A18="","",posicao_contratual!W18)</f>
        <v/>
      </c>
      <c r="P19" s="142" t="str">
        <f>IF(A19="TOTAL",ROUND(SUM($P$3:P18),2),IF(OR(A19="",N19="",O19=""),"",ROUND(N19*O19,2)))</f>
        <v/>
      </c>
    </row>
    <row r="20" spans="1:16" x14ac:dyDescent="0.35">
      <c r="A20" s="141" t="str">
        <f>IF(AND(itens_Remanesc!A19="",itens_Remanesc!A18&lt;&gt;"",COUNTIF(itens_Remanesc!A20:$A$200,"&lt;&gt;")=0),"TOTAL",IF(itens_Remanesc!A19="","",itens_Remanesc!A19))</f>
        <v/>
      </c>
      <c r="B20" s="142" t="str">
        <f>IF(OR(itens_Remanesc!A19="",NOT(ISNUMBER(parametros!$F$2))),"",ROUND(itens_Remanesc!C19*parametros!$F$2,2))</f>
        <v/>
      </c>
      <c r="C20" s="143" t="str">
        <f>IF(posicao_contratual!A19="","",posicao_contratual!G19)</f>
        <v/>
      </c>
      <c r="D20" s="142" t="str">
        <f>IF(A20="TOTAL",ROUND(SUM($D$3:D19),2),IF(A20="","",ROUND(B20*C20,2)))</f>
        <v/>
      </c>
      <c r="E20" s="144" t="str">
        <f>IF(OR(itens_Remanesc!A19="",NOT(ISNUMBER(parametros!$F$3))),"",ROUND(itens_Remanesc!C19*parametros!$F$3,2))</f>
        <v/>
      </c>
      <c r="F20" s="145" t="str">
        <f>IF(posicao_contratual!A19="","",posicao_contratual!K19)</f>
        <v/>
      </c>
      <c r="G20" s="144" t="str">
        <f>IF(A20="TOTAL",ROUND(SUM($G$3:G19),2),IF(OR(A20="",E20="",F20=""),"",ROUND(E20*F20,2)))</f>
        <v/>
      </c>
      <c r="H20" s="142" t="str">
        <f>IF(OR(itens_Remanesc!A19="",NOT(ISNUMBER(parametros!$F$4))),"",ROUND(itens_Remanesc!C19*parametros!$F$4,2))</f>
        <v/>
      </c>
      <c r="I20" s="143" t="str">
        <f>IF(posicao_contratual!A19="","",posicao_contratual!O19)</f>
        <v/>
      </c>
      <c r="J20" s="142" t="str">
        <f>IF(A20="TOTAL",ROUND(SUM($J$3:J19),2),IF(OR(A20="",H20="",I20=""),"",ROUND(H20*I20,2)))</f>
        <v/>
      </c>
      <c r="K20" s="144" t="str">
        <f>IF(OR(itens_Remanesc!A19="",NOT(ISNUMBER(parametros!$F$5))),"",ROUND(itens_Remanesc!C19*parametros!$F$5,2))</f>
        <v/>
      </c>
      <c r="L20" s="145" t="str">
        <f>IF(posicao_contratual!A19="","",posicao_contratual!S19)</f>
        <v/>
      </c>
      <c r="M20" s="144" t="str">
        <f>IF(A20="TOTAL",ROUND(SUM($M$3:M19),2),IF(OR(A20="",K20="",L20=""),"",ROUND(K20*L20,2)))</f>
        <v/>
      </c>
      <c r="N20" s="142" t="str">
        <f>IF(OR(itens_Remanesc!A19="",NOT(ISNUMBER(parametros!$F$6))),"",ROUND(itens_Remanesc!C19*parametros!$F$6,2))</f>
        <v/>
      </c>
      <c r="O20" s="143" t="str">
        <f>IF(posicao_contratual!A19="","",posicao_contratual!W19)</f>
        <v/>
      </c>
      <c r="P20" s="142" t="str">
        <f>IF(A20="TOTAL",ROUND(SUM($P$3:P19),2),IF(OR(A20="",N20="",O20=""),"",ROUND(N20*O20,2)))</f>
        <v/>
      </c>
    </row>
    <row r="21" spans="1:16" x14ac:dyDescent="0.35">
      <c r="A21" s="141" t="str">
        <f>IF(AND(itens_Remanesc!A20="",itens_Remanesc!A19&lt;&gt;"",COUNTIF(itens_Remanesc!A21:$A$200,"&lt;&gt;")=0),"TOTAL",IF(itens_Remanesc!A20="","",itens_Remanesc!A20))</f>
        <v/>
      </c>
      <c r="B21" s="142" t="str">
        <f>IF(OR(itens_Remanesc!A20="",NOT(ISNUMBER(parametros!$F$2))),"",ROUND(itens_Remanesc!C20*parametros!$F$2,2))</f>
        <v/>
      </c>
      <c r="C21" s="143" t="str">
        <f>IF(posicao_contratual!A20="","",posicao_contratual!G20)</f>
        <v/>
      </c>
      <c r="D21" s="142" t="str">
        <f>IF(A21="TOTAL",ROUND(SUM($D$3:D20),2),IF(A21="","",ROUND(B21*C21,2)))</f>
        <v/>
      </c>
      <c r="E21" s="144" t="str">
        <f>IF(OR(itens_Remanesc!A20="",NOT(ISNUMBER(parametros!$F$3))),"",ROUND(itens_Remanesc!C20*parametros!$F$3,2))</f>
        <v/>
      </c>
      <c r="F21" s="145" t="str">
        <f>IF(posicao_contratual!A20="","",posicao_contratual!K20)</f>
        <v/>
      </c>
      <c r="G21" s="144" t="str">
        <f>IF(A21="TOTAL",ROUND(SUM($G$3:G20),2),IF(OR(A21="",E21="",F21=""),"",ROUND(E21*F21,2)))</f>
        <v/>
      </c>
      <c r="H21" s="142" t="str">
        <f>IF(OR(itens_Remanesc!A20="",NOT(ISNUMBER(parametros!$F$4))),"",ROUND(itens_Remanesc!C20*parametros!$F$4,2))</f>
        <v/>
      </c>
      <c r="I21" s="143" t="str">
        <f>IF(posicao_contratual!A20="","",posicao_contratual!O20)</f>
        <v/>
      </c>
      <c r="J21" s="142" t="str">
        <f>IF(A21="TOTAL",ROUND(SUM($J$3:J20),2),IF(OR(A21="",H21="",I21=""),"",ROUND(H21*I21,2)))</f>
        <v/>
      </c>
      <c r="K21" s="144" t="str">
        <f>IF(OR(itens_Remanesc!A20="",NOT(ISNUMBER(parametros!$F$5))),"",ROUND(itens_Remanesc!C20*parametros!$F$5,2))</f>
        <v/>
      </c>
      <c r="L21" s="145" t="str">
        <f>IF(posicao_contratual!A20="","",posicao_contratual!S20)</f>
        <v/>
      </c>
      <c r="M21" s="144" t="str">
        <f>IF(A21="TOTAL",ROUND(SUM($M$3:M20),2),IF(OR(A21="",K21="",L21=""),"",ROUND(K21*L21,2)))</f>
        <v/>
      </c>
      <c r="N21" s="142" t="str">
        <f>IF(OR(itens_Remanesc!A20="",NOT(ISNUMBER(parametros!$F$6))),"",ROUND(itens_Remanesc!C20*parametros!$F$6,2))</f>
        <v/>
      </c>
      <c r="O21" s="143" t="str">
        <f>IF(posicao_contratual!A20="","",posicao_contratual!W20)</f>
        <v/>
      </c>
      <c r="P21" s="142" t="str">
        <f>IF(A21="TOTAL",ROUND(SUM($P$3:P20),2),IF(OR(A21="",N21="",O21=""),"",ROUND(N21*O21,2)))</f>
        <v/>
      </c>
    </row>
    <row r="22" spans="1:16" x14ac:dyDescent="0.35">
      <c r="A22" s="141" t="str">
        <f>IF(AND(itens_Remanesc!A21="",itens_Remanesc!A20&lt;&gt;"",COUNTIF(itens_Remanesc!A22:$A$200,"&lt;&gt;")=0),"TOTAL",IF(itens_Remanesc!A21="","",itens_Remanesc!A21))</f>
        <v/>
      </c>
      <c r="B22" s="142" t="str">
        <f>IF(OR(itens_Remanesc!A21="",NOT(ISNUMBER(parametros!$F$2))),"",ROUND(itens_Remanesc!C21*parametros!$F$2,2))</f>
        <v/>
      </c>
      <c r="C22" s="143" t="str">
        <f>IF(posicao_contratual!A21="","",posicao_contratual!G21)</f>
        <v/>
      </c>
      <c r="D22" s="142" t="str">
        <f>IF(A22="TOTAL",ROUND(SUM($D$3:D21),2),IF(A22="","",ROUND(B22*C22,2)))</f>
        <v/>
      </c>
      <c r="E22" s="144" t="str">
        <f>IF(OR(itens_Remanesc!A21="",NOT(ISNUMBER(parametros!$F$3))),"",ROUND(itens_Remanesc!C21*parametros!$F$3,2))</f>
        <v/>
      </c>
      <c r="F22" s="145" t="str">
        <f>IF(posicao_contratual!A21="","",posicao_contratual!K21)</f>
        <v/>
      </c>
      <c r="G22" s="144" t="str">
        <f>IF(A22="TOTAL",ROUND(SUM($G$3:G21),2),IF(OR(A22="",E22="",F22=""),"",ROUND(E22*F22,2)))</f>
        <v/>
      </c>
      <c r="H22" s="142" t="str">
        <f>IF(OR(itens_Remanesc!A21="",NOT(ISNUMBER(parametros!$F$4))),"",ROUND(itens_Remanesc!C21*parametros!$F$4,2))</f>
        <v/>
      </c>
      <c r="I22" s="143" t="str">
        <f>IF(posicao_contratual!A21="","",posicao_contratual!O21)</f>
        <v/>
      </c>
      <c r="J22" s="142" t="str">
        <f>IF(A22="TOTAL",ROUND(SUM($J$3:J21),2),IF(OR(A22="",H22="",I22=""),"",ROUND(H22*I22,2)))</f>
        <v/>
      </c>
      <c r="K22" s="144" t="str">
        <f>IF(OR(itens_Remanesc!A21="",NOT(ISNUMBER(parametros!$F$5))),"",ROUND(itens_Remanesc!C21*parametros!$F$5,2))</f>
        <v/>
      </c>
      <c r="L22" s="145" t="str">
        <f>IF(posicao_contratual!A21="","",posicao_contratual!S21)</f>
        <v/>
      </c>
      <c r="M22" s="144" t="str">
        <f>IF(A22="TOTAL",ROUND(SUM($M$3:M21),2),IF(OR(A22="",K22="",L22=""),"",ROUND(K22*L22,2)))</f>
        <v/>
      </c>
      <c r="N22" s="142" t="str">
        <f>IF(OR(itens_Remanesc!A21="",NOT(ISNUMBER(parametros!$F$6))),"",ROUND(itens_Remanesc!C21*parametros!$F$6,2))</f>
        <v/>
      </c>
      <c r="O22" s="143" t="str">
        <f>IF(posicao_contratual!A21="","",posicao_contratual!W21)</f>
        <v/>
      </c>
      <c r="P22" s="142" t="str">
        <f>IF(A22="TOTAL",ROUND(SUM($P$3:P21),2),IF(OR(A22="",N22="",O22=""),"",ROUND(N22*O22,2)))</f>
        <v/>
      </c>
    </row>
    <row r="23" spans="1:16" x14ac:dyDescent="0.35">
      <c r="A23" s="141" t="str">
        <f>IF(AND(itens_Remanesc!A22="",itens_Remanesc!A21&lt;&gt;"",COUNTIF(itens_Remanesc!A23:$A$200,"&lt;&gt;")=0),"TOTAL",IF(itens_Remanesc!A22="","",itens_Remanesc!A22))</f>
        <v/>
      </c>
      <c r="B23" s="142" t="str">
        <f>IF(OR(itens_Remanesc!A22="",NOT(ISNUMBER(parametros!$F$2))),"",ROUND(itens_Remanesc!C22*parametros!$F$2,2))</f>
        <v/>
      </c>
      <c r="C23" s="143" t="str">
        <f>IF(posicao_contratual!A22="","",posicao_contratual!G22)</f>
        <v/>
      </c>
      <c r="D23" s="142" t="str">
        <f>IF(A23="TOTAL",ROUND(SUM($D$3:D22),2),IF(A23="","",ROUND(B23*C23,2)))</f>
        <v/>
      </c>
      <c r="E23" s="144" t="str">
        <f>IF(OR(itens_Remanesc!A22="",NOT(ISNUMBER(parametros!$F$3))),"",ROUND(itens_Remanesc!C22*parametros!$F$3,2))</f>
        <v/>
      </c>
      <c r="F23" s="145" t="str">
        <f>IF(posicao_contratual!A22="","",posicao_contratual!K22)</f>
        <v/>
      </c>
      <c r="G23" s="144" t="str">
        <f>IF(A23="TOTAL",ROUND(SUM($G$3:G22),2),IF(OR(A23="",E23="",F23=""),"",ROUND(E23*F23,2)))</f>
        <v/>
      </c>
      <c r="H23" s="142" t="str">
        <f>IF(OR(itens_Remanesc!A22="",NOT(ISNUMBER(parametros!$F$4))),"",ROUND(itens_Remanesc!C22*parametros!$F$4,2))</f>
        <v/>
      </c>
      <c r="I23" s="143" t="str">
        <f>IF(posicao_contratual!A22="","",posicao_contratual!O22)</f>
        <v/>
      </c>
      <c r="J23" s="142" t="str">
        <f>IF(A23="TOTAL",ROUND(SUM($J$3:J22),2),IF(OR(A23="",H23="",I23=""),"",ROUND(H23*I23,2)))</f>
        <v/>
      </c>
      <c r="K23" s="144" t="str">
        <f>IF(OR(itens_Remanesc!A22="",NOT(ISNUMBER(parametros!$F$5))),"",ROUND(itens_Remanesc!C22*parametros!$F$5,2))</f>
        <v/>
      </c>
      <c r="L23" s="145" t="str">
        <f>IF(posicao_contratual!A22="","",posicao_contratual!S22)</f>
        <v/>
      </c>
      <c r="M23" s="144" t="str">
        <f>IF(A23="TOTAL",ROUND(SUM($M$3:M22),2),IF(OR(A23="",K23="",L23=""),"",ROUND(K23*L23,2)))</f>
        <v/>
      </c>
      <c r="N23" s="142" t="str">
        <f>IF(OR(itens_Remanesc!A22="",NOT(ISNUMBER(parametros!$F$6))),"",ROUND(itens_Remanesc!C22*parametros!$F$6,2))</f>
        <v/>
      </c>
      <c r="O23" s="143" t="str">
        <f>IF(posicao_contratual!A22="","",posicao_contratual!W22)</f>
        <v/>
      </c>
      <c r="P23" s="142" t="str">
        <f>IF(A23="TOTAL",ROUND(SUM($P$3:P22),2),IF(OR(A23="",N23="",O23=""),"",ROUND(N23*O23,2)))</f>
        <v/>
      </c>
    </row>
    <row r="24" spans="1:16" x14ac:dyDescent="0.35">
      <c r="A24" s="141" t="str">
        <f>IF(AND(itens_Remanesc!A23="",itens_Remanesc!A22&lt;&gt;"",COUNTIF(itens_Remanesc!A24:$A$200,"&lt;&gt;")=0),"TOTAL",IF(itens_Remanesc!A23="","",itens_Remanesc!A23))</f>
        <v/>
      </c>
      <c r="B24" s="142" t="str">
        <f>IF(OR(itens_Remanesc!A23="",NOT(ISNUMBER(parametros!$F$2))),"",ROUND(itens_Remanesc!C23*parametros!$F$2,2))</f>
        <v/>
      </c>
      <c r="C24" s="143" t="str">
        <f>IF(posicao_contratual!A23="","",posicao_contratual!G23)</f>
        <v/>
      </c>
      <c r="D24" s="142" t="str">
        <f>IF(A24="TOTAL",ROUND(SUM($D$3:D23),2),IF(A24="","",ROUND(B24*C24,2)))</f>
        <v/>
      </c>
      <c r="E24" s="144" t="str">
        <f>IF(OR(itens_Remanesc!A23="",NOT(ISNUMBER(parametros!$F$3))),"",ROUND(itens_Remanesc!C23*parametros!$F$3,2))</f>
        <v/>
      </c>
      <c r="F24" s="145" t="str">
        <f>IF(posicao_contratual!A23="","",posicao_contratual!K23)</f>
        <v/>
      </c>
      <c r="G24" s="144" t="str">
        <f>IF(A24="TOTAL",ROUND(SUM($G$3:G23),2),IF(OR(A24="",E24="",F24=""),"",ROUND(E24*F24,2)))</f>
        <v/>
      </c>
      <c r="H24" s="142" t="str">
        <f>IF(OR(itens_Remanesc!A23="",NOT(ISNUMBER(parametros!$F$4))),"",ROUND(itens_Remanesc!C23*parametros!$F$4,2))</f>
        <v/>
      </c>
      <c r="I24" s="143" t="str">
        <f>IF(posicao_contratual!A23="","",posicao_contratual!O23)</f>
        <v/>
      </c>
      <c r="J24" s="142" t="str">
        <f>IF(A24="TOTAL",ROUND(SUM($J$3:J23),2),IF(OR(A24="",H24="",I24=""),"",ROUND(H24*I24,2)))</f>
        <v/>
      </c>
      <c r="K24" s="144" t="str">
        <f>IF(OR(itens_Remanesc!A23="",NOT(ISNUMBER(parametros!$F$5))),"",ROUND(itens_Remanesc!C23*parametros!$F$5,2))</f>
        <v/>
      </c>
      <c r="L24" s="145" t="str">
        <f>IF(posicao_contratual!A23="","",posicao_contratual!S23)</f>
        <v/>
      </c>
      <c r="M24" s="144" t="str">
        <f>IF(A24="TOTAL",ROUND(SUM($M$3:M23),2),IF(OR(A24="",K24="",L24=""),"",ROUND(K24*L24,2)))</f>
        <v/>
      </c>
      <c r="N24" s="142" t="str">
        <f>IF(OR(itens_Remanesc!A23="",NOT(ISNUMBER(parametros!$F$6))),"",ROUND(itens_Remanesc!C23*parametros!$F$6,2))</f>
        <v/>
      </c>
      <c r="O24" s="143" t="str">
        <f>IF(posicao_contratual!A23="","",posicao_contratual!W23)</f>
        <v/>
      </c>
      <c r="P24" s="142" t="str">
        <f>IF(A24="TOTAL",ROUND(SUM($P$3:P23),2),IF(OR(A24="",N24="",O24=""),"",ROUND(N24*O24,2)))</f>
        <v/>
      </c>
    </row>
    <row r="25" spans="1:16" x14ac:dyDescent="0.35">
      <c r="A25" s="141" t="str">
        <f>IF(AND(itens_Remanesc!A24="",itens_Remanesc!A23&lt;&gt;"",COUNTIF(itens_Remanesc!A25:$A$200,"&lt;&gt;")=0),"TOTAL",IF(itens_Remanesc!A24="","",itens_Remanesc!A24))</f>
        <v/>
      </c>
      <c r="B25" s="142" t="str">
        <f>IF(OR(itens_Remanesc!A24="",NOT(ISNUMBER(parametros!$F$2))),"",ROUND(itens_Remanesc!C24*parametros!$F$2,2))</f>
        <v/>
      </c>
      <c r="C25" s="143" t="str">
        <f>IF(posicao_contratual!A24="","",posicao_contratual!G24)</f>
        <v/>
      </c>
      <c r="D25" s="142" t="str">
        <f>IF(A25="TOTAL",ROUND(SUM($D$3:D24),2),IF(A25="","",ROUND(B25*C25,2)))</f>
        <v/>
      </c>
      <c r="E25" s="144" t="str">
        <f>IF(OR(itens_Remanesc!A24="",NOT(ISNUMBER(parametros!$F$3))),"",ROUND(itens_Remanesc!C24*parametros!$F$3,2))</f>
        <v/>
      </c>
      <c r="F25" s="145" t="str">
        <f>IF(posicao_contratual!A24="","",posicao_contratual!K24)</f>
        <v/>
      </c>
      <c r="G25" s="144" t="str">
        <f>IF(A25="TOTAL",ROUND(SUM($G$3:G24),2),IF(OR(A25="",E25="",F25=""),"",ROUND(E25*F25,2)))</f>
        <v/>
      </c>
      <c r="H25" s="142" t="str">
        <f>IF(OR(itens_Remanesc!A24="",NOT(ISNUMBER(parametros!$F$4))),"",ROUND(itens_Remanesc!C24*parametros!$F$4,2))</f>
        <v/>
      </c>
      <c r="I25" s="143" t="str">
        <f>IF(posicao_contratual!A24="","",posicao_contratual!O24)</f>
        <v/>
      </c>
      <c r="J25" s="142" t="str">
        <f>IF(A25="TOTAL",ROUND(SUM($J$3:J24),2),IF(OR(A25="",H25="",I25=""),"",ROUND(H25*I25,2)))</f>
        <v/>
      </c>
      <c r="K25" s="144" t="str">
        <f>IF(OR(itens_Remanesc!A24="",NOT(ISNUMBER(parametros!$F$5))),"",ROUND(itens_Remanesc!C24*parametros!$F$5,2))</f>
        <v/>
      </c>
      <c r="L25" s="145" t="str">
        <f>IF(posicao_contratual!A24="","",posicao_contratual!S24)</f>
        <v/>
      </c>
      <c r="M25" s="144" t="str">
        <f>IF(A25="TOTAL",ROUND(SUM($M$3:M24),2),IF(OR(A25="",K25="",L25=""),"",ROUND(K25*L25,2)))</f>
        <v/>
      </c>
      <c r="N25" s="142" t="str">
        <f>IF(OR(itens_Remanesc!A24="",NOT(ISNUMBER(parametros!$F$6))),"",ROUND(itens_Remanesc!C24*parametros!$F$6,2))</f>
        <v/>
      </c>
      <c r="O25" s="143" t="str">
        <f>IF(posicao_contratual!A24="","",posicao_contratual!W24)</f>
        <v/>
      </c>
      <c r="P25" s="142" t="str">
        <f>IF(A25="TOTAL",ROUND(SUM($P$3:P24),2),IF(OR(A25="",N25="",O25=""),"",ROUND(N25*O25,2)))</f>
        <v/>
      </c>
    </row>
    <row r="26" spans="1:16" x14ac:dyDescent="0.35">
      <c r="A26" s="141" t="str">
        <f>IF(AND(itens_Remanesc!A25="",itens_Remanesc!A24&lt;&gt;"",COUNTIF(itens_Remanesc!A26:$A$200,"&lt;&gt;")=0),"TOTAL",IF(itens_Remanesc!A25="","",itens_Remanesc!A25))</f>
        <v/>
      </c>
      <c r="B26" s="142" t="str">
        <f>IF(OR(itens_Remanesc!A25="",NOT(ISNUMBER(parametros!$F$2))),"",ROUND(itens_Remanesc!C25*parametros!$F$2,2))</f>
        <v/>
      </c>
      <c r="C26" s="143" t="str">
        <f>IF(posicao_contratual!A25="","",posicao_contratual!G25)</f>
        <v/>
      </c>
      <c r="D26" s="142" t="str">
        <f>IF(A26="TOTAL",ROUND(SUM($D$3:D25),2),IF(A26="","",ROUND(B26*C26,2)))</f>
        <v/>
      </c>
      <c r="E26" s="144" t="str">
        <f>IF(OR(itens_Remanesc!A25="",NOT(ISNUMBER(parametros!$F$3))),"",ROUND(itens_Remanesc!C25*parametros!$F$3,2))</f>
        <v/>
      </c>
      <c r="F26" s="145" t="str">
        <f>IF(posicao_contratual!A25="","",posicao_contratual!K25)</f>
        <v/>
      </c>
      <c r="G26" s="144" t="str">
        <f>IF(A26="TOTAL",ROUND(SUM($G$3:G25),2),IF(OR(A26="",E26="",F26=""),"",ROUND(E26*F26,2)))</f>
        <v/>
      </c>
      <c r="H26" s="142" t="str">
        <f>IF(OR(itens_Remanesc!A25="",NOT(ISNUMBER(parametros!$F$4))),"",ROUND(itens_Remanesc!C25*parametros!$F$4,2))</f>
        <v/>
      </c>
      <c r="I26" s="143" t="str">
        <f>IF(posicao_contratual!A25="","",posicao_contratual!O25)</f>
        <v/>
      </c>
      <c r="J26" s="142" t="str">
        <f>IF(A26="TOTAL",ROUND(SUM($J$3:J25),2),IF(OR(A26="",H26="",I26=""),"",ROUND(H26*I26,2)))</f>
        <v/>
      </c>
      <c r="K26" s="144" t="str">
        <f>IF(OR(itens_Remanesc!A25="",NOT(ISNUMBER(parametros!$F$5))),"",ROUND(itens_Remanesc!C25*parametros!$F$5,2))</f>
        <v/>
      </c>
      <c r="L26" s="145" t="str">
        <f>IF(posicao_contratual!A25="","",posicao_contratual!S25)</f>
        <v/>
      </c>
      <c r="M26" s="144" t="str">
        <f>IF(A26="TOTAL",ROUND(SUM($M$3:M25),2),IF(OR(A26="",K26="",L26=""),"",ROUND(K26*L26,2)))</f>
        <v/>
      </c>
      <c r="N26" s="142" t="str">
        <f>IF(OR(itens_Remanesc!A25="",NOT(ISNUMBER(parametros!$F$6))),"",ROUND(itens_Remanesc!C25*parametros!$F$6,2))</f>
        <v/>
      </c>
      <c r="O26" s="143" t="str">
        <f>IF(posicao_contratual!A25="","",posicao_contratual!W25)</f>
        <v/>
      </c>
      <c r="P26" s="142" t="str">
        <f>IF(A26="TOTAL",ROUND(SUM($P$3:P25),2),IF(OR(A26="",N26="",O26=""),"",ROUND(N26*O26,2)))</f>
        <v/>
      </c>
    </row>
    <row r="27" spans="1:16" x14ac:dyDescent="0.35">
      <c r="A27" s="141" t="str">
        <f>IF(AND(itens_Remanesc!A26="",itens_Remanesc!A25&lt;&gt;"",COUNTIF(itens_Remanesc!A27:$A$200,"&lt;&gt;")=0),"TOTAL",IF(itens_Remanesc!A26="","",itens_Remanesc!A26))</f>
        <v/>
      </c>
      <c r="B27" s="142" t="str">
        <f>IF(OR(itens_Remanesc!A26="",NOT(ISNUMBER(parametros!$F$2))),"",ROUND(itens_Remanesc!C26*parametros!$F$2,2))</f>
        <v/>
      </c>
      <c r="C27" s="143" t="str">
        <f>IF(posicao_contratual!A26="","",posicao_contratual!G26)</f>
        <v/>
      </c>
      <c r="D27" s="142" t="str">
        <f>IF(A27="TOTAL",ROUND(SUM($D$3:D26),2),IF(A27="","",ROUND(B27*C27,2)))</f>
        <v/>
      </c>
      <c r="E27" s="144" t="str">
        <f>IF(OR(itens_Remanesc!A26="",NOT(ISNUMBER(parametros!$F$3))),"",ROUND(itens_Remanesc!C26*parametros!$F$3,2))</f>
        <v/>
      </c>
      <c r="F27" s="145" t="str">
        <f>IF(posicao_contratual!A26="","",posicao_contratual!K26)</f>
        <v/>
      </c>
      <c r="G27" s="144" t="str">
        <f>IF(A27="TOTAL",ROUND(SUM($G$3:G26),2),IF(OR(A27="",E27="",F27=""),"",ROUND(E27*F27,2)))</f>
        <v/>
      </c>
      <c r="H27" s="142" t="str">
        <f>IF(OR(itens_Remanesc!A26="",NOT(ISNUMBER(parametros!$F$4))),"",ROUND(itens_Remanesc!C26*parametros!$F$4,2))</f>
        <v/>
      </c>
      <c r="I27" s="143" t="str">
        <f>IF(posicao_contratual!A26="","",posicao_contratual!O26)</f>
        <v/>
      </c>
      <c r="J27" s="142" t="str">
        <f>IF(A27="TOTAL",ROUND(SUM($J$3:J26),2),IF(OR(A27="",H27="",I27=""),"",ROUND(H27*I27,2)))</f>
        <v/>
      </c>
      <c r="K27" s="144" t="str">
        <f>IF(OR(itens_Remanesc!A26="",NOT(ISNUMBER(parametros!$F$5))),"",ROUND(itens_Remanesc!C26*parametros!$F$5,2))</f>
        <v/>
      </c>
      <c r="L27" s="145" t="str">
        <f>IF(posicao_contratual!A26="","",posicao_contratual!S26)</f>
        <v/>
      </c>
      <c r="M27" s="144" t="str">
        <f>IF(A27="TOTAL",ROUND(SUM($M$3:M26),2),IF(OR(A27="",K27="",L27=""),"",ROUND(K27*L27,2)))</f>
        <v/>
      </c>
      <c r="N27" s="142" t="str">
        <f>IF(OR(itens_Remanesc!A26="",NOT(ISNUMBER(parametros!$F$6))),"",ROUND(itens_Remanesc!C26*parametros!$F$6,2))</f>
        <v/>
      </c>
      <c r="O27" s="143" t="str">
        <f>IF(posicao_contratual!A26="","",posicao_contratual!W26)</f>
        <v/>
      </c>
      <c r="P27" s="142" t="str">
        <f>IF(A27="TOTAL",ROUND(SUM($P$3:P26),2),IF(OR(A27="",N27="",O27=""),"",ROUND(N27*O27,2)))</f>
        <v/>
      </c>
    </row>
    <row r="28" spans="1:16" x14ac:dyDescent="0.35">
      <c r="A28" s="141" t="str">
        <f>IF(AND(itens_Remanesc!A27="",itens_Remanesc!A26&lt;&gt;"",COUNTIF(itens_Remanesc!A28:$A$200,"&lt;&gt;")=0),"TOTAL",IF(itens_Remanesc!A27="","",itens_Remanesc!A27))</f>
        <v/>
      </c>
      <c r="B28" s="142" t="str">
        <f>IF(OR(itens_Remanesc!A27="",NOT(ISNUMBER(parametros!$F$2))),"",ROUND(itens_Remanesc!C27*parametros!$F$2,2))</f>
        <v/>
      </c>
      <c r="C28" s="143" t="str">
        <f>IF(posicao_contratual!A27="","",posicao_contratual!G27)</f>
        <v/>
      </c>
      <c r="D28" s="142" t="str">
        <f>IF(A28="TOTAL",ROUND(SUM($D$3:D27),2),IF(A28="","",ROUND(B28*C28,2)))</f>
        <v/>
      </c>
      <c r="E28" s="144" t="str">
        <f>IF(OR(itens_Remanesc!A27="",NOT(ISNUMBER(parametros!$F$3))),"",ROUND(itens_Remanesc!C27*parametros!$F$3,2))</f>
        <v/>
      </c>
      <c r="F28" s="145" t="str">
        <f>IF(posicao_contratual!A27="","",posicao_contratual!K27)</f>
        <v/>
      </c>
      <c r="G28" s="144" t="str">
        <f>IF(A28="TOTAL",ROUND(SUM($G$3:G27),2),IF(OR(A28="",E28="",F28=""),"",ROUND(E28*F28,2)))</f>
        <v/>
      </c>
      <c r="H28" s="142" t="str">
        <f>IF(OR(itens_Remanesc!A27="",NOT(ISNUMBER(parametros!$F$4))),"",ROUND(itens_Remanesc!C27*parametros!$F$4,2))</f>
        <v/>
      </c>
      <c r="I28" s="143" t="str">
        <f>IF(posicao_contratual!A27="","",posicao_contratual!O27)</f>
        <v/>
      </c>
      <c r="J28" s="142" t="str">
        <f>IF(A28="TOTAL",ROUND(SUM($J$3:J27),2),IF(OR(A28="",H28="",I28=""),"",ROUND(H28*I28,2)))</f>
        <v/>
      </c>
      <c r="K28" s="144" t="str">
        <f>IF(OR(itens_Remanesc!A27="",NOT(ISNUMBER(parametros!$F$5))),"",ROUND(itens_Remanesc!C27*parametros!$F$5,2))</f>
        <v/>
      </c>
      <c r="L28" s="145" t="str">
        <f>IF(posicao_contratual!A27="","",posicao_contratual!S27)</f>
        <v/>
      </c>
      <c r="M28" s="144" t="str">
        <f>IF(A28="TOTAL",ROUND(SUM($M$3:M27),2),IF(OR(A28="",K28="",L28=""),"",ROUND(K28*L28,2)))</f>
        <v/>
      </c>
      <c r="N28" s="142" t="str">
        <f>IF(OR(itens_Remanesc!A27="",NOT(ISNUMBER(parametros!$F$6))),"",ROUND(itens_Remanesc!C27*parametros!$F$6,2))</f>
        <v/>
      </c>
      <c r="O28" s="143" t="str">
        <f>IF(posicao_contratual!A27="","",posicao_contratual!W27)</f>
        <v/>
      </c>
      <c r="P28" s="142" t="str">
        <f>IF(A28="TOTAL",ROUND(SUM($P$3:P27),2),IF(OR(A28="",N28="",O28=""),"",ROUND(N28*O28,2)))</f>
        <v/>
      </c>
    </row>
    <row r="29" spans="1:16" x14ac:dyDescent="0.35">
      <c r="A29" s="141" t="str">
        <f>IF(AND(itens_Remanesc!A28="",itens_Remanesc!A27&lt;&gt;"",COUNTIF(itens_Remanesc!A29:$A$200,"&lt;&gt;")=0),"TOTAL",IF(itens_Remanesc!A28="","",itens_Remanesc!A28))</f>
        <v/>
      </c>
      <c r="B29" s="142" t="str">
        <f>IF(OR(itens_Remanesc!A28="",NOT(ISNUMBER(parametros!$F$2))),"",ROUND(itens_Remanesc!C28*parametros!$F$2,2))</f>
        <v/>
      </c>
      <c r="C29" s="143" t="str">
        <f>IF(posicao_contratual!A28="","",posicao_contratual!G28)</f>
        <v/>
      </c>
      <c r="D29" s="142" t="str">
        <f>IF(A29="TOTAL",ROUND(SUM($D$3:D28),2),IF(A29="","",ROUND(B29*C29,2)))</f>
        <v/>
      </c>
      <c r="E29" s="144" t="str">
        <f>IF(OR(itens_Remanesc!A28="",NOT(ISNUMBER(parametros!$F$3))),"",ROUND(itens_Remanesc!C28*parametros!$F$3,2))</f>
        <v/>
      </c>
      <c r="F29" s="145" t="str">
        <f>IF(posicao_contratual!A28="","",posicao_contratual!K28)</f>
        <v/>
      </c>
      <c r="G29" s="144" t="str">
        <f>IF(A29="TOTAL",ROUND(SUM($G$3:G28),2),IF(OR(A29="",E29="",F29=""),"",ROUND(E29*F29,2)))</f>
        <v/>
      </c>
      <c r="H29" s="142" t="str">
        <f>IF(OR(itens_Remanesc!A28="",NOT(ISNUMBER(parametros!$F$4))),"",ROUND(itens_Remanesc!C28*parametros!$F$4,2))</f>
        <v/>
      </c>
      <c r="I29" s="143" t="str">
        <f>IF(posicao_contratual!A28="","",posicao_contratual!O28)</f>
        <v/>
      </c>
      <c r="J29" s="142" t="str">
        <f>IF(A29="TOTAL",ROUND(SUM($J$3:J28),2),IF(OR(A29="",H29="",I29=""),"",ROUND(H29*I29,2)))</f>
        <v/>
      </c>
      <c r="K29" s="144" t="str">
        <f>IF(OR(itens_Remanesc!A28="",NOT(ISNUMBER(parametros!$F$5))),"",ROUND(itens_Remanesc!C28*parametros!$F$5,2))</f>
        <v/>
      </c>
      <c r="L29" s="145" t="str">
        <f>IF(posicao_contratual!A28="","",posicao_contratual!S28)</f>
        <v/>
      </c>
      <c r="M29" s="144" t="str">
        <f>IF(A29="TOTAL",ROUND(SUM($M$3:M28),2),IF(OR(A29="",K29="",L29=""),"",ROUND(K29*L29,2)))</f>
        <v/>
      </c>
      <c r="N29" s="142" t="str">
        <f>IF(OR(itens_Remanesc!A28="",NOT(ISNUMBER(parametros!$F$6))),"",ROUND(itens_Remanesc!C28*parametros!$F$6,2))</f>
        <v/>
      </c>
      <c r="O29" s="143" t="str">
        <f>IF(posicao_contratual!A28="","",posicao_contratual!W28)</f>
        <v/>
      </c>
      <c r="P29" s="142" t="str">
        <f>IF(A29="TOTAL",ROUND(SUM($P$3:P28),2),IF(OR(A29="",N29="",O29=""),"",ROUND(N29*O29,2)))</f>
        <v/>
      </c>
    </row>
    <row r="30" spans="1:16" x14ac:dyDescent="0.35">
      <c r="A30" s="141" t="str">
        <f>IF(AND(itens_Remanesc!A29="",itens_Remanesc!A28&lt;&gt;"",COUNTIF(itens_Remanesc!A30:$A$200,"&lt;&gt;")=0),"TOTAL",IF(itens_Remanesc!A29="","",itens_Remanesc!A29))</f>
        <v/>
      </c>
      <c r="B30" s="142" t="str">
        <f>IF(OR(itens_Remanesc!A29="",NOT(ISNUMBER(parametros!$F$2))),"",ROUND(itens_Remanesc!C29*parametros!$F$2,2))</f>
        <v/>
      </c>
      <c r="C30" s="143" t="str">
        <f>IF(posicao_contratual!A29="","",posicao_contratual!G29)</f>
        <v/>
      </c>
      <c r="D30" s="142" t="str">
        <f>IF(A30="TOTAL",ROUND(SUM($D$3:D29),2),IF(A30="","",ROUND(B30*C30,2)))</f>
        <v/>
      </c>
      <c r="E30" s="144" t="str">
        <f>IF(OR(itens_Remanesc!A29="",NOT(ISNUMBER(parametros!$F$3))),"",ROUND(itens_Remanesc!C29*parametros!$F$3,2))</f>
        <v/>
      </c>
      <c r="F30" s="145" t="str">
        <f>IF(posicao_contratual!A29="","",posicao_contratual!K29)</f>
        <v/>
      </c>
      <c r="G30" s="144" t="str">
        <f>IF(A30="TOTAL",ROUND(SUM($G$3:G29),2),IF(OR(A30="",E30="",F30=""),"",ROUND(E30*F30,2)))</f>
        <v/>
      </c>
      <c r="H30" s="142" t="str">
        <f>IF(OR(itens_Remanesc!A29="",NOT(ISNUMBER(parametros!$F$4))),"",ROUND(itens_Remanesc!C29*parametros!$F$4,2))</f>
        <v/>
      </c>
      <c r="I30" s="143" t="str">
        <f>IF(posicao_contratual!A29="","",posicao_contratual!O29)</f>
        <v/>
      </c>
      <c r="J30" s="142" t="str">
        <f>IF(A30="TOTAL",ROUND(SUM($J$3:J29),2),IF(OR(A30="",H30="",I30=""),"",ROUND(H30*I30,2)))</f>
        <v/>
      </c>
      <c r="K30" s="144" t="str">
        <f>IF(OR(itens_Remanesc!A29="",NOT(ISNUMBER(parametros!$F$5))),"",ROUND(itens_Remanesc!C29*parametros!$F$5,2))</f>
        <v/>
      </c>
      <c r="L30" s="145" t="str">
        <f>IF(posicao_contratual!A29="","",posicao_contratual!S29)</f>
        <v/>
      </c>
      <c r="M30" s="144" t="str">
        <f>IF(A30="TOTAL",ROUND(SUM($M$3:M29),2),IF(OR(A30="",K30="",L30=""),"",ROUND(K30*L30,2)))</f>
        <v/>
      </c>
      <c r="N30" s="142" t="str">
        <f>IF(OR(itens_Remanesc!A29="",NOT(ISNUMBER(parametros!$F$6))),"",ROUND(itens_Remanesc!C29*parametros!$F$6,2))</f>
        <v/>
      </c>
      <c r="O30" s="143" t="str">
        <f>IF(posicao_contratual!A29="","",posicao_contratual!W29)</f>
        <v/>
      </c>
      <c r="P30" s="142" t="str">
        <f>IF(A30="TOTAL",ROUND(SUM($P$3:P29),2),IF(OR(A30="",N30="",O30=""),"",ROUND(N30*O30,2)))</f>
        <v/>
      </c>
    </row>
    <row r="31" spans="1:16" x14ac:dyDescent="0.35">
      <c r="A31" s="141" t="str">
        <f>IF(AND(itens_Remanesc!A30="",itens_Remanesc!A29&lt;&gt;"",COUNTIF(itens_Remanesc!A31:$A$200,"&lt;&gt;")=0),"TOTAL",IF(itens_Remanesc!A30="","",itens_Remanesc!A30))</f>
        <v/>
      </c>
      <c r="B31" s="142" t="str">
        <f>IF(OR(itens_Remanesc!A30="",NOT(ISNUMBER(parametros!$F$2))),"",ROUND(itens_Remanesc!C30*parametros!$F$2,2))</f>
        <v/>
      </c>
      <c r="C31" s="143" t="str">
        <f>IF(posicao_contratual!A30="","",posicao_contratual!G30)</f>
        <v/>
      </c>
      <c r="D31" s="142" t="str">
        <f>IF(A31="TOTAL",ROUND(SUM($D$3:D30),2),IF(A31="","",ROUND(B31*C31,2)))</f>
        <v/>
      </c>
      <c r="E31" s="144" t="str">
        <f>IF(OR(itens_Remanesc!A30="",NOT(ISNUMBER(parametros!$F$3))),"",ROUND(itens_Remanesc!C30*parametros!$F$3,2))</f>
        <v/>
      </c>
      <c r="F31" s="145" t="str">
        <f>IF(posicao_contratual!A30="","",posicao_contratual!K30)</f>
        <v/>
      </c>
      <c r="G31" s="144" t="str">
        <f>IF(A31="TOTAL",ROUND(SUM($G$3:G30),2),IF(OR(A31="",E31="",F31=""),"",ROUND(E31*F31,2)))</f>
        <v/>
      </c>
      <c r="H31" s="142" t="str">
        <f>IF(OR(itens_Remanesc!A30="",NOT(ISNUMBER(parametros!$F$4))),"",ROUND(itens_Remanesc!C30*parametros!$F$4,2))</f>
        <v/>
      </c>
      <c r="I31" s="143" t="str">
        <f>IF(posicao_contratual!A30="","",posicao_contratual!O30)</f>
        <v/>
      </c>
      <c r="J31" s="142" t="str">
        <f>IF(A31="TOTAL",ROUND(SUM($J$3:J30),2),IF(OR(A31="",H31="",I31=""),"",ROUND(H31*I31,2)))</f>
        <v/>
      </c>
      <c r="K31" s="144" t="str">
        <f>IF(OR(itens_Remanesc!A30="",NOT(ISNUMBER(parametros!$F$5))),"",ROUND(itens_Remanesc!C30*parametros!$F$5,2))</f>
        <v/>
      </c>
      <c r="L31" s="145" t="str">
        <f>IF(posicao_contratual!A30="","",posicao_contratual!S30)</f>
        <v/>
      </c>
      <c r="M31" s="144" t="str">
        <f>IF(A31="TOTAL",ROUND(SUM($M$3:M30),2),IF(OR(A31="",K31="",L31=""),"",ROUND(K31*L31,2)))</f>
        <v/>
      </c>
      <c r="N31" s="142" t="str">
        <f>IF(OR(itens_Remanesc!A30="",NOT(ISNUMBER(parametros!$F$6))),"",ROUND(itens_Remanesc!C30*parametros!$F$6,2))</f>
        <v/>
      </c>
      <c r="O31" s="143" t="str">
        <f>IF(posicao_contratual!A30="","",posicao_contratual!W30)</f>
        <v/>
      </c>
      <c r="P31" s="142" t="str">
        <f>IF(A31="TOTAL",ROUND(SUM($P$3:P30),2),IF(OR(A31="",N31="",O31=""),"",ROUND(N31*O31,2)))</f>
        <v/>
      </c>
    </row>
    <row r="32" spans="1:16" x14ac:dyDescent="0.35">
      <c r="A32" s="141" t="str">
        <f>IF(AND(itens_Remanesc!A31="",itens_Remanesc!A30&lt;&gt;"",COUNTIF(itens_Remanesc!A32:$A$200,"&lt;&gt;")=0),"TOTAL",IF(itens_Remanesc!A31="","",itens_Remanesc!A31))</f>
        <v/>
      </c>
      <c r="B32" s="142" t="str">
        <f>IF(OR(itens_Remanesc!A31="",NOT(ISNUMBER(parametros!$F$2))),"",ROUND(itens_Remanesc!C31*parametros!$F$2,2))</f>
        <v/>
      </c>
      <c r="C32" s="143" t="str">
        <f>IF(posicao_contratual!A31="","",posicao_contratual!G31)</f>
        <v/>
      </c>
      <c r="D32" s="142" t="str">
        <f>IF(A32="TOTAL",ROUND(SUM($D$3:D31),2),IF(A32="","",ROUND(B32*C32,2)))</f>
        <v/>
      </c>
      <c r="E32" s="144" t="str">
        <f>IF(OR(itens_Remanesc!A31="",NOT(ISNUMBER(parametros!$F$3))),"",ROUND(itens_Remanesc!C31*parametros!$F$3,2))</f>
        <v/>
      </c>
      <c r="F32" s="145" t="str">
        <f>IF(posicao_contratual!A31="","",posicao_contratual!K31)</f>
        <v/>
      </c>
      <c r="G32" s="144" t="str">
        <f>IF(A32="TOTAL",ROUND(SUM($G$3:G31),2),IF(OR(A32="",E32="",F32=""),"",ROUND(E32*F32,2)))</f>
        <v/>
      </c>
      <c r="H32" s="142" t="str">
        <f>IF(OR(itens_Remanesc!A31="",NOT(ISNUMBER(parametros!$F$4))),"",ROUND(itens_Remanesc!C31*parametros!$F$4,2))</f>
        <v/>
      </c>
      <c r="I32" s="143" t="str">
        <f>IF(posicao_contratual!A31="","",posicao_contratual!O31)</f>
        <v/>
      </c>
      <c r="J32" s="142" t="str">
        <f>IF(A32="TOTAL",ROUND(SUM($J$3:J31),2),IF(OR(A32="",H32="",I32=""),"",ROUND(H32*I32,2)))</f>
        <v/>
      </c>
      <c r="K32" s="144" t="str">
        <f>IF(OR(itens_Remanesc!A31="",NOT(ISNUMBER(parametros!$F$5))),"",ROUND(itens_Remanesc!C31*parametros!$F$5,2))</f>
        <v/>
      </c>
      <c r="L32" s="145" t="str">
        <f>IF(posicao_contratual!A31="","",posicao_contratual!S31)</f>
        <v/>
      </c>
      <c r="M32" s="144" t="str">
        <f>IF(A32="TOTAL",ROUND(SUM($M$3:M31),2),IF(OR(A32="",K32="",L32=""),"",ROUND(K32*L32,2)))</f>
        <v/>
      </c>
      <c r="N32" s="142" t="str">
        <f>IF(OR(itens_Remanesc!A31="",NOT(ISNUMBER(parametros!$F$6))),"",ROUND(itens_Remanesc!C31*parametros!$F$6,2))</f>
        <v/>
      </c>
      <c r="O32" s="143" t="str">
        <f>IF(posicao_contratual!A31="","",posicao_contratual!W31)</f>
        <v/>
      </c>
      <c r="P32" s="142" t="str">
        <f>IF(A32="TOTAL",ROUND(SUM($P$3:P31),2),IF(OR(A32="",N32="",O32=""),"",ROUND(N32*O32,2)))</f>
        <v/>
      </c>
    </row>
    <row r="33" spans="1:16" x14ac:dyDescent="0.35">
      <c r="A33" s="148" t="str">
        <f>IF(AND(itens_Remanesc!A32="",itens_Remanesc!A31&lt;&gt;"",COUNTIF(itens_Remanesc!A33:$A$200,"&lt;&gt;")=0),"TOTAL",IF(itens_Remanesc!A32="","",itens_Remanesc!A32))</f>
        <v/>
      </c>
      <c r="B33" s="142" t="str">
        <f>IF(OR(itens_Remanesc!A32="",NOT(ISNUMBER(parametros!$F$2))),"",ROUND(itens_Remanesc!C32*parametros!$F$2,2))</f>
        <v/>
      </c>
      <c r="C33" s="143" t="str">
        <f>IF(posicao_contratual!A32="","",posicao_contratual!G32)</f>
        <v/>
      </c>
      <c r="D33" s="142" t="str">
        <f>IF(A33="TOTAL",ROUND(SUM($D$3:D32),2),IF(A33="","",ROUND(B33*C33,2)))</f>
        <v/>
      </c>
      <c r="E33" s="144" t="str">
        <f>IF(OR(itens_Remanesc!A32="",NOT(ISNUMBER(parametros!$F$3))),"",ROUND(itens_Remanesc!C32*parametros!$F$3,2))</f>
        <v/>
      </c>
      <c r="F33" s="145" t="str">
        <f>IF(posicao_contratual!A32="","",posicao_contratual!K32)</f>
        <v/>
      </c>
      <c r="G33" s="144" t="str">
        <f>IF(A33="TOTAL",ROUND(SUM($G$3:G32),2),IF(OR(A33="",E33="",F33=""),"",ROUND(E33*F33,2)))</f>
        <v/>
      </c>
      <c r="H33" s="142" t="str">
        <f>IF(OR(itens_Remanesc!A32="",NOT(ISNUMBER(parametros!$F$4))),"",ROUND(itens_Remanesc!C32*parametros!$F$4,2))</f>
        <v/>
      </c>
      <c r="I33" s="143" t="str">
        <f>IF(posicao_contratual!A32="","",posicao_contratual!O32)</f>
        <v/>
      </c>
      <c r="J33" s="142" t="str">
        <f>IF(A33="TOTAL",ROUND(SUM($J$3:J32),2),IF(OR(A33="",H33="",I33=""),"",ROUND(H33*I33,2)))</f>
        <v/>
      </c>
      <c r="K33" s="144" t="str">
        <f>IF(OR(itens_Remanesc!A32="",NOT(ISNUMBER(parametros!$F$5))),"",ROUND(itens_Remanesc!C32*parametros!$F$5,2))</f>
        <v/>
      </c>
      <c r="L33" s="145" t="str">
        <f>IF(posicao_contratual!A32="","",posicao_contratual!S32)</f>
        <v/>
      </c>
      <c r="M33" s="144" t="str">
        <f>IF(A33="TOTAL",ROUND(SUM($M$3:M32),2),IF(OR(A33="",K33="",L33=""),"",ROUND(K33*L33,2)))</f>
        <v/>
      </c>
      <c r="N33" s="142" t="str">
        <f>IF(OR(itens_Remanesc!A32="",NOT(ISNUMBER(parametros!$F$6))),"",ROUND(itens_Remanesc!C32*parametros!$F$6,2))</f>
        <v/>
      </c>
      <c r="O33" s="143" t="str">
        <f>IF(posicao_contratual!A32="","",posicao_contratual!W32)</f>
        <v/>
      </c>
      <c r="P33" s="142" t="str">
        <f>IF(A33="TOTAL",ROUND(SUM($P$3:P32),2),IF(OR(A33="",N33="",O33=""),"",ROUND(N33*O33,2)))</f>
        <v/>
      </c>
    </row>
    <row r="34" spans="1:16" x14ac:dyDescent="0.35">
      <c r="A34" s="141" t="str">
        <f>IF(AND(itens_Remanesc!A33="",itens_Remanesc!A32&lt;&gt;"",COUNTIF(itens_Remanesc!A34:$A$200,"&lt;&gt;")=0),"TOTAL",IF(itens_Remanesc!A33="","",itens_Remanesc!A33))</f>
        <v/>
      </c>
      <c r="B34" s="142" t="str">
        <f>IF(OR(itens_Remanesc!A33="",NOT(ISNUMBER(parametros!$F$2))),"",ROUND(itens_Remanesc!C33*parametros!$F$2,2))</f>
        <v/>
      </c>
      <c r="C34" s="143" t="str">
        <f>IF(posicao_contratual!A33="","",posicao_contratual!G33)</f>
        <v/>
      </c>
      <c r="D34" s="142" t="str">
        <f>IF(A34="TOTAL",ROUND(SUM($D$3:D33),2),IF(A34="","",ROUND(B34*C34,2)))</f>
        <v/>
      </c>
      <c r="E34" s="144" t="str">
        <f>IF(OR(itens_Remanesc!A33="",NOT(ISNUMBER(parametros!$F$3))),"",ROUND(itens_Remanesc!C33*parametros!$F$3,2))</f>
        <v/>
      </c>
      <c r="F34" s="145" t="str">
        <f>IF(posicao_contratual!A33="","",posicao_contratual!K33)</f>
        <v/>
      </c>
      <c r="G34" s="144" t="str">
        <f>IF(A34="TOTAL",ROUND(SUM($G$3:G33),2),IF(OR(A34="",E34="",F34=""),"",ROUND(E34*F34,2)))</f>
        <v/>
      </c>
      <c r="H34" s="142" t="str">
        <f>IF(OR(itens_Remanesc!A33="",NOT(ISNUMBER(parametros!$F$4))),"",ROUND(itens_Remanesc!C33*parametros!$F$4,2))</f>
        <v/>
      </c>
      <c r="I34" s="143" t="str">
        <f>IF(posicao_contratual!A33="","",posicao_contratual!O33)</f>
        <v/>
      </c>
      <c r="J34" s="142" t="str">
        <f>IF(A34="TOTAL",ROUND(SUM($J$3:J33),2),IF(OR(A34="",H34="",I34=""),"",ROUND(H34*I34,2)))</f>
        <v/>
      </c>
      <c r="K34" s="144" t="str">
        <f>IF(OR(itens_Remanesc!A33="",NOT(ISNUMBER(parametros!$F$5))),"",ROUND(itens_Remanesc!C33*parametros!$F$5,2))</f>
        <v/>
      </c>
      <c r="L34" s="145" t="str">
        <f>IF(posicao_contratual!A33="","",posicao_contratual!S33)</f>
        <v/>
      </c>
      <c r="M34" s="144" t="str">
        <f>IF(A34="TOTAL",ROUND(SUM($M$3:M33),2),IF(OR(A34="",K34="",L34=""),"",ROUND(K34*L34,2)))</f>
        <v/>
      </c>
      <c r="N34" s="142" t="str">
        <f>IF(OR(itens_Remanesc!A33="",NOT(ISNUMBER(parametros!$F$6))),"",ROUND(itens_Remanesc!C33*parametros!$F$6,2))</f>
        <v/>
      </c>
      <c r="O34" s="143" t="str">
        <f>IF(posicao_contratual!A33="","",posicao_contratual!W33)</f>
        <v/>
      </c>
      <c r="P34" s="142" t="str">
        <f>IF(A34="TOTAL",ROUND(SUM($P$3:P33),2),IF(OR(A34="",N34="",O34=""),"",ROUND(N34*O34,2)))</f>
        <v/>
      </c>
    </row>
    <row r="35" spans="1:16" x14ac:dyDescent="0.35">
      <c r="A35" s="141" t="str">
        <f>IF(AND(itens_Remanesc!A34="",itens_Remanesc!A33&lt;&gt;"",COUNTIF(itens_Remanesc!A35:$A$200,"&lt;&gt;")=0),"TOTAL",IF(itens_Remanesc!A34="","",itens_Remanesc!A34))</f>
        <v/>
      </c>
      <c r="B35" s="142" t="str">
        <f>IF(OR(itens_Remanesc!A34="",NOT(ISNUMBER(parametros!$F$2))),"",ROUND(itens_Remanesc!C34*parametros!$F$2,2))</f>
        <v/>
      </c>
      <c r="C35" s="143" t="str">
        <f>IF(posicao_contratual!A34="","",posicao_contratual!G34)</f>
        <v/>
      </c>
      <c r="D35" s="142" t="str">
        <f>IF(A35="TOTAL",ROUND(SUM($D$3:D34),2),IF(A35="","",ROUND(B35*C35,2)))</f>
        <v/>
      </c>
      <c r="E35" s="144" t="str">
        <f>IF(OR(itens_Remanesc!A34="",NOT(ISNUMBER(parametros!$F$3))),"",ROUND(itens_Remanesc!C34*parametros!$F$3,2))</f>
        <v/>
      </c>
      <c r="F35" s="145" t="str">
        <f>IF(posicao_contratual!A34="","",posicao_contratual!K34)</f>
        <v/>
      </c>
      <c r="G35" s="144" t="str">
        <f>IF(A35="TOTAL",ROUND(SUM($G$3:G34),2),IF(OR(A35="",E35="",F35=""),"",ROUND(E35*F35,2)))</f>
        <v/>
      </c>
      <c r="H35" s="142" t="str">
        <f>IF(OR(itens_Remanesc!A34="",NOT(ISNUMBER(parametros!$F$4))),"",ROUND(itens_Remanesc!C34*parametros!$F$4,2))</f>
        <v/>
      </c>
      <c r="I35" s="143" t="str">
        <f>IF(posicao_contratual!A34="","",posicao_contratual!O34)</f>
        <v/>
      </c>
      <c r="J35" s="142" t="str">
        <f>IF(A35="TOTAL",ROUND(SUM($J$3:J34),2),IF(OR(A35="",H35="",I35=""),"",ROUND(H35*I35,2)))</f>
        <v/>
      </c>
      <c r="K35" s="144" t="str">
        <f>IF(OR(itens_Remanesc!A34="",NOT(ISNUMBER(parametros!$F$5))),"",ROUND(itens_Remanesc!C34*parametros!$F$5,2))</f>
        <v/>
      </c>
      <c r="L35" s="145" t="str">
        <f>IF(posicao_contratual!A34="","",posicao_contratual!S34)</f>
        <v/>
      </c>
      <c r="M35" s="144" t="str">
        <f>IF(A35="TOTAL",ROUND(SUM($M$3:M34),2),IF(OR(A35="",K35="",L35=""),"",ROUND(K35*L35,2)))</f>
        <v/>
      </c>
      <c r="N35" s="142" t="str">
        <f>IF(OR(itens_Remanesc!A34="",NOT(ISNUMBER(parametros!$F$6))),"",ROUND(itens_Remanesc!C34*parametros!$F$6,2))</f>
        <v/>
      </c>
      <c r="O35" s="143" t="str">
        <f>IF(posicao_contratual!A34="","",posicao_contratual!W34)</f>
        <v/>
      </c>
      <c r="P35" s="142" t="str">
        <f>IF(A35="TOTAL",ROUND(SUM($P$3:P34),2),IF(OR(A35="",N35="",O35=""),"",ROUND(N35*O35,2)))</f>
        <v/>
      </c>
    </row>
    <row r="36" spans="1:16" x14ac:dyDescent="0.35">
      <c r="A36" s="141" t="str">
        <f>IF(AND(itens_Remanesc!A35="",itens_Remanesc!A34&lt;&gt;"",COUNTIF(itens_Remanesc!A36:$A$200,"&lt;&gt;")=0),"TOTAL",IF(itens_Remanesc!A35="","",itens_Remanesc!A35))</f>
        <v/>
      </c>
      <c r="B36" s="142" t="str">
        <f>IF(OR(itens_Remanesc!A35="",NOT(ISNUMBER(parametros!$F$2))),"",ROUND(itens_Remanesc!C35*parametros!$F$2,2))</f>
        <v/>
      </c>
      <c r="C36" s="143" t="str">
        <f>IF(posicao_contratual!A35="","",posicao_contratual!G35)</f>
        <v/>
      </c>
      <c r="D36" s="142" t="str">
        <f>IF(A36="TOTAL",ROUND(SUM($D$3:D35),2),IF(A36="","",ROUND(B36*C36,2)))</f>
        <v/>
      </c>
      <c r="E36" s="144" t="str">
        <f>IF(OR(itens_Remanesc!A35="",NOT(ISNUMBER(parametros!$F$3))),"",ROUND(itens_Remanesc!C35*parametros!$F$3,2))</f>
        <v/>
      </c>
      <c r="F36" s="145" t="str">
        <f>IF(posicao_contratual!A35="","",posicao_contratual!K35)</f>
        <v/>
      </c>
      <c r="G36" s="144" t="str">
        <f>IF(A36="TOTAL",ROUND(SUM($G$3:G35),2),IF(OR(A36="",E36="",F36=""),"",ROUND(E36*F36,2)))</f>
        <v/>
      </c>
      <c r="H36" s="142" t="str">
        <f>IF(OR(itens_Remanesc!A35="",NOT(ISNUMBER(parametros!$F$4))),"",ROUND(itens_Remanesc!C35*parametros!$F$4,2))</f>
        <v/>
      </c>
      <c r="I36" s="143" t="str">
        <f>IF(posicao_contratual!A35="","",posicao_contratual!O35)</f>
        <v/>
      </c>
      <c r="J36" s="142" t="str">
        <f>IF(A36="TOTAL",ROUND(SUM($J$3:J35),2),IF(OR(A36="",H36="",I36=""),"",ROUND(H36*I36,2)))</f>
        <v/>
      </c>
      <c r="K36" s="144" t="str">
        <f>IF(OR(itens_Remanesc!A35="",NOT(ISNUMBER(parametros!$F$5))),"",ROUND(itens_Remanesc!C35*parametros!$F$5,2))</f>
        <v/>
      </c>
      <c r="L36" s="145" t="str">
        <f>IF(posicao_contratual!A35="","",posicao_contratual!S35)</f>
        <v/>
      </c>
      <c r="M36" s="144" t="str">
        <f>IF(A36="TOTAL",ROUND(SUM($M$3:M35),2),IF(OR(A36="",K36="",L36=""),"",ROUND(K36*L36,2)))</f>
        <v/>
      </c>
      <c r="N36" s="142" t="str">
        <f>IF(OR(itens_Remanesc!A35="",NOT(ISNUMBER(parametros!$F$6))),"",ROUND(itens_Remanesc!C35*parametros!$F$6,2))</f>
        <v/>
      </c>
      <c r="O36" s="143" t="str">
        <f>IF(posicao_contratual!A35="","",posicao_contratual!W35)</f>
        <v/>
      </c>
      <c r="P36" s="142" t="str">
        <f>IF(A36="TOTAL",ROUND(SUM($P$3:P35),2),IF(OR(A36="",N36="",O36=""),"",ROUND(N36*O36,2)))</f>
        <v/>
      </c>
    </row>
    <row r="37" spans="1:16" x14ac:dyDescent="0.35">
      <c r="A37" s="141" t="str">
        <f>IF(AND(itens_Remanesc!A36="",itens_Remanesc!A35&lt;&gt;"",COUNTIF(itens_Remanesc!A37:$A$200,"&lt;&gt;")=0),"TOTAL",IF(itens_Remanesc!A36="","",itens_Remanesc!A36))</f>
        <v/>
      </c>
      <c r="B37" s="142" t="str">
        <f>IF(OR(itens_Remanesc!A36="",NOT(ISNUMBER(parametros!$F$2))),"",ROUND(itens_Remanesc!C36*parametros!$F$2,2))</f>
        <v/>
      </c>
      <c r="C37" s="143" t="str">
        <f>IF(posicao_contratual!A36="","",posicao_contratual!G36)</f>
        <v/>
      </c>
      <c r="D37" s="142" t="str">
        <f>IF(A37="TOTAL",ROUND(SUM($D$3:D36),2),IF(A37="","",ROUND(B37*C37,2)))</f>
        <v/>
      </c>
      <c r="E37" s="144" t="str">
        <f>IF(OR(itens_Remanesc!A36="",NOT(ISNUMBER(parametros!$F$3))),"",ROUND(itens_Remanesc!C36*parametros!$F$3,2))</f>
        <v/>
      </c>
      <c r="F37" s="145" t="str">
        <f>IF(posicao_contratual!A36="","",posicao_contratual!K36)</f>
        <v/>
      </c>
      <c r="G37" s="144" t="str">
        <f>IF(A37="TOTAL",ROUND(SUM($G$3:G36),2),IF(OR(A37="",E37="",F37=""),"",ROUND(E37*F37,2)))</f>
        <v/>
      </c>
      <c r="H37" s="142" t="str">
        <f>IF(OR(itens_Remanesc!A36="",NOT(ISNUMBER(parametros!$F$4))),"",ROUND(itens_Remanesc!C36*parametros!$F$4,2))</f>
        <v/>
      </c>
      <c r="I37" s="143" t="str">
        <f>IF(posicao_contratual!A36="","",posicao_contratual!O36)</f>
        <v/>
      </c>
      <c r="J37" s="142" t="str">
        <f>IF(A37="TOTAL",ROUND(SUM($J$3:J36),2),IF(OR(A37="",H37="",I37=""),"",ROUND(H37*I37,2)))</f>
        <v/>
      </c>
      <c r="K37" s="144" t="str">
        <f>IF(OR(itens_Remanesc!A36="",NOT(ISNUMBER(parametros!$F$5))),"",ROUND(itens_Remanesc!C36*parametros!$F$5,2))</f>
        <v/>
      </c>
      <c r="L37" s="145" t="str">
        <f>IF(posicao_contratual!A36="","",posicao_contratual!S36)</f>
        <v/>
      </c>
      <c r="M37" s="144" t="str">
        <f>IF(A37="TOTAL",ROUND(SUM($M$3:M36),2),IF(OR(A37="",K37="",L37=""),"",ROUND(K37*L37,2)))</f>
        <v/>
      </c>
      <c r="N37" s="142" t="str">
        <f>IF(OR(itens_Remanesc!A36="",NOT(ISNUMBER(parametros!$F$6))),"",ROUND(itens_Remanesc!C36*parametros!$F$6,2))</f>
        <v/>
      </c>
      <c r="O37" s="143" t="str">
        <f>IF(posicao_contratual!A36="","",posicao_contratual!W36)</f>
        <v/>
      </c>
      <c r="P37" s="142" t="str">
        <f>IF(A37="TOTAL",ROUND(SUM($P$3:P36),2),IF(OR(A37="",N37="",O37=""),"",ROUND(N37*O37,2)))</f>
        <v/>
      </c>
    </row>
    <row r="38" spans="1:16" x14ac:dyDescent="0.35">
      <c r="A38" s="141" t="str">
        <f>IF(AND(itens_Remanesc!A37="",itens_Remanesc!A36&lt;&gt;"",COUNTIF(itens_Remanesc!A38:$A$200,"&lt;&gt;")=0),"TOTAL",IF(itens_Remanesc!A37="","",itens_Remanesc!A37))</f>
        <v/>
      </c>
      <c r="B38" s="142" t="str">
        <f>IF(OR(itens_Remanesc!A37="",NOT(ISNUMBER(parametros!$F$2))),"",ROUND(itens_Remanesc!C37*parametros!$F$2,2))</f>
        <v/>
      </c>
      <c r="C38" s="143" t="str">
        <f>IF(posicao_contratual!A37="","",posicao_contratual!G37)</f>
        <v/>
      </c>
      <c r="D38" s="142" t="str">
        <f>IF(A38="TOTAL",ROUND(SUM($D$3:D37),2),IF(A38="","",ROUND(B38*C38,2)))</f>
        <v/>
      </c>
      <c r="E38" s="144" t="str">
        <f>IF(OR(itens_Remanesc!A37="",NOT(ISNUMBER(parametros!$F$3))),"",ROUND(itens_Remanesc!C37*parametros!$F$3,2))</f>
        <v/>
      </c>
      <c r="F38" s="145" t="str">
        <f>IF(posicao_contratual!A37="","",posicao_contratual!K37)</f>
        <v/>
      </c>
      <c r="G38" s="144" t="str">
        <f>IF(A38="TOTAL",ROUND(SUM($G$3:G37),2),IF(OR(A38="",E38="",F38=""),"",ROUND(E38*F38,2)))</f>
        <v/>
      </c>
      <c r="H38" s="142" t="str">
        <f>IF(OR(itens_Remanesc!A37="",NOT(ISNUMBER(parametros!$F$4))),"",ROUND(itens_Remanesc!C37*parametros!$F$4,2))</f>
        <v/>
      </c>
      <c r="I38" s="143" t="str">
        <f>IF(posicao_contratual!A37="","",posicao_contratual!O37)</f>
        <v/>
      </c>
      <c r="J38" s="142" t="str">
        <f>IF(A38="TOTAL",ROUND(SUM($J$3:J37),2),IF(OR(A38="",H38="",I38=""),"",ROUND(H38*I38,2)))</f>
        <v/>
      </c>
      <c r="K38" s="144" t="str">
        <f>IF(OR(itens_Remanesc!A37="",NOT(ISNUMBER(parametros!$F$5))),"",ROUND(itens_Remanesc!C37*parametros!$F$5,2))</f>
        <v/>
      </c>
      <c r="L38" s="145" t="str">
        <f>IF(posicao_contratual!A37="","",posicao_contratual!S37)</f>
        <v/>
      </c>
      <c r="M38" s="144" t="str">
        <f>IF(A38="TOTAL",ROUND(SUM($M$3:M37),2),IF(OR(A38="",K38="",L38=""),"",ROUND(K38*L38,2)))</f>
        <v/>
      </c>
      <c r="N38" s="142" t="str">
        <f>IF(OR(itens_Remanesc!A37="",NOT(ISNUMBER(parametros!$F$6))),"",ROUND(itens_Remanesc!C37*parametros!$F$6,2))</f>
        <v/>
      </c>
      <c r="O38" s="143" t="str">
        <f>IF(posicao_contratual!A37="","",posicao_contratual!W37)</f>
        <v/>
      </c>
      <c r="P38" s="142" t="str">
        <f>IF(A38="TOTAL",ROUND(SUM($P$3:P37),2),IF(OR(A38="",N38="",O38=""),"",ROUND(N38*O38,2)))</f>
        <v/>
      </c>
    </row>
    <row r="39" spans="1:16" x14ac:dyDescent="0.35">
      <c r="A39" s="141" t="str">
        <f>IF(AND(itens_Remanesc!A38="",itens_Remanesc!A37&lt;&gt;"",COUNTIF(itens_Remanesc!A39:$A$200,"&lt;&gt;")=0),"TOTAL",IF(itens_Remanesc!A38="","",itens_Remanesc!A38))</f>
        <v/>
      </c>
      <c r="B39" s="142" t="str">
        <f>IF(OR(itens_Remanesc!A38="",NOT(ISNUMBER(parametros!$F$2))),"",ROUND(itens_Remanesc!C38*parametros!$F$2,2))</f>
        <v/>
      </c>
      <c r="C39" s="143" t="str">
        <f>IF(posicao_contratual!A38="","",posicao_contratual!G38)</f>
        <v/>
      </c>
      <c r="D39" s="142" t="str">
        <f>IF(A39="TOTAL",ROUND(SUM($D$3:D38),2),IF(A39="","",ROUND(B39*C39,2)))</f>
        <v/>
      </c>
      <c r="E39" s="144" t="str">
        <f>IF(OR(itens_Remanesc!A38="",NOT(ISNUMBER(parametros!$F$3))),"",ROUND(itens_Remanesc!C38*parametros!$F$3,2))</f>
        <v/>
      </c>
      <c r="F39" s="145" t="str">
        <f>IF(posicao_contratual!A38="","",posicao_contratual!K38)</f>
        <v/>
      </c>
      <c r="G39" s="144" t="str">
        <f>IF(A39="TOTAL",ROUND(SUM($G$3:G38),2),IF(OR(A39="",E39="",F39=""),"",ROUND(E39*F39,2)))</f>
        <v/>
      </c>
      <c r="H39" s="142" t="str">
        <f>IF(OR(itens_Remanesc!A38="",NOT(ISNUMBER(parametros!$F$4))),"",ROUND(itens_Remanesc!C38*parametros!$F$4,2))</f>
        <v/>
      </c>
      <c r="I39" s="143" t="str">
        <f>IF(posicao_contratual!A38="","",posicao_contratual!O38)</f>
        <v/>
      </c>
      <c r="J39" s="142" t="str">
        <f>IF(A39="TOTAL",ROUND(SUM($J$3:J38),2),IF(OR(A39="",H39="",I39=""),"",ROUND(H39*I39,2)))</f>
        <v/>
      </c>
      <c r="K39" s="144" t="str">
        <f>IF(OR(itens_Remanesc!A38="",NOT(ISNUMBER(parametros!$F$5))),"",ROUND(itens_Remanesc!C38*parametros!$F$5,2))</f>
        <v/>
      </c>
      <c r="L39" s="145" t="str">
        <f>IF(posicao_contratual!A38="","",posicao_contratual!S38)</f>
        <v/>
      </c>
      <c r="M39" s="144" t="str">
        <f>IF(A39="TOTAL",ROUND(SUM($M$3:M38),2),IF(OR(A39="",K39="",L39=""),"",ROUND(K39*L39,2)))</f>
        <v/>
      </c>
      <c r="N39" s="142" t="str">
        <f>IF(OR(itens_Remanesc!A38="",NOT(ISNUMBER(parametros!$F$6))),"",ROUND(itens_Remanesc!C38*parametros!$F$6,2))</f>
        <v/>
      </c>
      <c r="O39" s="143" t="str">
        <f>IF(posicao_contratual!A38="","",posicao_contratual!W38)</f>
        <v/>
      </c>
      <c r="P39" s="142" t="str">
        <f>IF(A39="TOTAL",ROUND(SUM($P$3:P38),2),IF(OR(A39="",N39="",O39=""),"",ROUND(N39*O39,2)))</f>
        <v/>
      </c>
    </row>
    <row r="40" spans="1:16" x14ac:dyDescent="0.35">
      <c r="A40" s="141" t="str">
        <f>IF(AND(itens_Remanesc!A39="",itens_Remanesc!A38&lt;&gt;"",COUNTIF(itens_Remanesc!A40:$A$200,"&lt;&gt;")=0),"TOTAL",IF(itens_Remanesc!A39="","",itens_Remanesc!A39))</f>
        <v/>
      </c>
      <c r="B40" s="142" t="str">
        <f>IF(OR(itens_Remanesc!A39="",NOT(ISNUMBER(parametros!$F$2))),"",ROUND(itens_Remanesc!C39*parametros!$F$2,2))</f>
        <v/>
      </c>
      <c r="C40" s="143" t="str">
        <f>IF(posicao_contratual!A39="","",posicao_contratual!G39)</f>
        <v/>
      </c>
      <c r="D40" s="142" t="str">
        <f>IF(A40="TOTAL",ROUND(SUM($D$3:D39),2),IF(A40="","",ROUND(B40*C40,2)))</f>
        <v/>
      </c>
      <c r="E40" s="144" t="str">
        <f>IF(OR(itens_Remanesc!A39="",NOT(ISNUMBER(parametros!$F$3))),"",ROUND(itens_Remanesc!C39*parametros!$F$3,2))</f>
        <v/>
      </c>
      <c r="F40" s="145" t="str">
        <f>IF(posicao_contratual!A39="","",posicao_contratual!K39)</f>
        <v/>
      </c>
      <c r="G40" s="144" t="str">
        <f>IF(A40="TOTAL",ROUND(SUM($G$3:G39),2),IF(OR(A40="",E40="",F40=""),"",ROUND(E40*F40,2)))</f>
        <v/>
      </c>
      <c r="H40" s="142" t="str">
        <f>IF(OR(itens_Remanesc!A39="",NOT(ISNUMBER(parametros!$F$4))),"",ROUND(itens_Remanesc!C39*parametros!$F$4,2))</f>
        <v/>
      </c>
      <c r="I40" s="143" t="str">
        <f>IF(posicao_contratual!A39="","",posicao_contratual!O39)</f>
        <v/>
      </c>
      <c r="J40" s="142" t="str">
        <f>IF(A40="TOTAL",ROUND(SUM($J$3:J39),2),IF(OR(A40="",H40="",I40=""),"",ROUND(H40*I40,2)))</f>
        <v/>
      </c>
      <c r="K40" s="144" t="str">
        <f>IF(OR(itens_Remanesc!A39="",NOT(ISNUMBER(parametros!$F$5))),"",ROUND(itens_Remanesc!C39*parametros!$F$5,2))</f>
        <v/>
      </c>
      <c r="L40" s="145" t="str">
        <f>IF(posicao_contratual!A39="","",posicao_contratual!S39)</f>
        <v/>
      </c>
      <c r="M40" s="144" t="str">
        <f>IF(A40="TOTAL",ROUND(SUM($M$3:M39),2),IF(OR(A40="",K40="",L40=""),"",ROUND(K40*L40,2)))</f>
        <v/>
      </c>
      <c r="N40" s="142" t="str">
        <f>IF(OR(itens_Remanesc!A39="",NOT(ISNUMBER(parametros!$F$6))),"",ROUND(itens_Remanesc!C39*parametros!$F$6,2))</f>
        <v/>
      </c>
      <c r="O40" s="143" t="str">
        <f>IF(posicao_contratual!A39="","",posicao_contratual!W39)</f>
        <v/>
      </c>
      <c r="P40" s="142" t="str">
        <f>IF(A40="TOTAL",ROUND(SUM($P$3:P39),2),IF(OR(A40="",N40="",O40=""),"",ROUND(N40*O40,2)))</f>
        <v/>
      </c>
    </row>
    <row r="41" spans="1:16" x14ac:dyDescent="0.35">
      <c r="A41" s="141" t="str">
        <f>IF(AND(itens_Remanesc!A40="",itens_Remanesc!A39&lt;&gt;"",COUNTIF(itens_Remanesc!A41:$A$200,"&lt;&gt;")=0),"TOTAL",IF(itens_Remanesc!A40="","",itens_Remanesc!A40))</f>
        <v/>
      </c>
      <c r="B41" s="142" t="str">
        <f>IF(OR(itens_Remanesc!A40="",NOT(ISNUMBER(parametros!$F$2))),"",ROUND(itens_Remanesc!C40*parametros!$F$2,2))</f>
        <v/>
      </c>
      <c r="C41" s="143" t="str">
        <f>IF(posicao_contratual!A40="","",posicao_contratual!G40)</f>
        <v/>
      </c>
      <c r="D41" s="142" t="str">
        <f>IF(A41="TOTAL",ROUND(SUM($D$3:D40),2),IF(A41="","",ROUND(B41*C41,2)))</f>
        <v/>
      </c>
      <c r="E41" s="144" t="str">
        <f>IF(OR(itens_Remanesc!A40="",NOT(ISNUMBER(parametros!$F$3))),"",ROUND(itens_Remanesc!C40*parametros!$F$3,2))</f>
        <v/>
      </c>
      <c r="F41" s="145" t="str">
        <f>IF(posicao_contratual!A40="","",posicao_contratual!K40)</f>
        <v/>
      </c>
      <c r="G41" s="144" t="str">
        <f>IF(A41="TOTAL",ROUND(SUM($G$3:G40),2),IF(OR(A41="",E41="",F41=""),"",ROUND(E41*F41,2)))</f>
        <v/>
      </c>
      <c r="H41" s="142" t="str">
        <f>IF(OR(itens_Remanesc!A40="",NOT(ISNUMBER(parametros!$F$4))),"",ROUND(itens_Remanesc!C40*parametros!$F$4,2))</f>
        <v/>
      </c>
      <c r="I41" s="143" t="str">
        <f>IF(posicao_contratual!A40="","",posicao_contratual!O40)</f>
        <v/>
      </c>
      <c r="J41" s="142" t="str">
        <f>IF(A41="TOTAL",ROUND(SUM($J$3:J40),2),IF(OR(A41="",H41="",I41=""),"",ROUND(H41*I41,2)))</f>
        <v/>
      </c>
      <c r="K41" s="144" t="str">
        <f>IF(OR(itens_Remanesc!A40="",NOT(ISNUMBER(parametros!$F$5))),"",ROUND(itens_Remanesc!C40*parametros!$F$5,2))</f>
        <v/>
      </c>
      <c r="L41" s="145" t="str">
        <f>IF(posicao_contratual!A40="","",posicao_contratual!S40)</f>
        <v/>
      </c>
      <c r="M41" s="144" t="str">
        <f>IF(A41="TOTAL",ROUND(SUM($M$3:M40),2),IF(OR(A41="",K41="",L41=""),"",ROUND(K41*L41,2)))</f>
        <v/>
      </c>
      <c r="N41" s="142" t="str">
        <f>IF(OR(itens_Remanesc!A40="",NOT(ISNUMBER(parametros!$F$6))),"",ROUND(itens_Remanesc!C40*parametros!$F$6,2))</f>
        <v/>
      </c>
      <c r="O41" s="143" t="str">
        <f>IF(posicao_contratual!A40="","",posicao_contratual!W40)</f>
        <v/>
      </c>
      <c r="P41" s="142" t="str">
        <f>IF(A41="TOTAL",ROUND(SUM($P$3:P40),2),IF(OR(A41="",N41="",O41=""),"",ROUND(N41*O41,2)))</f>
        <v/>
      </c>
    </row>
    <row r="42" spans="1:16" x14ac:dyDescent="0.35">
      <c r="A42" s="141" t="str">
        <f>IF(AND(itens_Remanesc!A41="",itens_Remanesc!A40&lt;&gt;"",COUNTIF(itens_Remanesc!A42:$A$200,"&lt;&gt;")=0),"TOTAL",IF(itens_Remanesc!A41="","",itens_Remanesc!A41))</f>
        <v/>
      </c>
      <c r="B42" s="142" t="str">
        <f>IF(OR(itens_Remanesc!A41="",NOT(ISNUMBER(parametros!$F$2))),"",ROUND(itens_Remanesc!C41*parametros!$F$2,2))</f>
        <v/>
      </c>
      <c r="C42" s="143" t="str">
        <f>IF(posicao_contratual!A41="","",posicao_contratual!G41)</f>
        <v/>
      </c>
      <c r="D42" s="142" t="str">
        <f>IF(A42="TOTAL",ROUND(SUM($D$3:D41),2),IF(A42="","",ROUND(B42*C42,2)))</f>
        <v/>
      </c>
      <c r="E42" s="144" t="str">
        <f>IF(OR(itens_Remanesc!A41="",NOT(ISNUMBER(parametros!$F$3))),"",ROUND(itens_Remanesc!C41*parametros!$F$3,2))</f>
        <v/>
      </c>
      <c r="F42" s="145" t="str">
        <f>IF(posicao_contratual!A41="","",posicao_contratual!K41)</f>
        <v/>
      </c>
      <c r="G42" s="144" t="str">
        <f>IF(A42="TOTAL",ROUND(SUM($G$3:G41),2),IF(OR(A42="",E42="",F42=""),"",ROUND(E42*F42,2)))</f>
        <v/>
      </c>
      <c r="H42" s="142" t="str">
        <f>IF(OR(itens_Remanesc!A41="",NOT(ISNUMBER(parametros!$F$4))),"",ROUND(itens_Remanesc!C41*parametros!$F$4,2))</f>
        <v/>
      </c>
      <c r="I42" s="143" t="str">
        <f>IF(posicao_contratual!A41="","",posicao_contratual!O41)</f>
        <v/>
      </c>
      <c r="J42" s="142" t="str">
        <f>IF(A42="TOTAL",ROUND(SUM($J$3:J41),2),IF(OR(A42="",H42="",I42=""),"",ROUND(H42*I42,2)))</f>
        <v/>
      </c>
      <c r="K42" s="144" t="str">
        <f>IF(OR(itens_Remanesc!A41="",NOT(ISNUMBER(parametros!$F$5))),"",ROUND(itens_Remanesc!C41*parametros!$F$5,2))</f>
        <v/>
      </c>
      <c r="L42" s="145" t="str">
        <f>IF(posicao_contratual!A41="","",posicao_contratual!S41)</f>
        <v/>
      </c>
      <c r="M42" s="144" t="str">
        <f>IF(A42="TOTAL",ROUND(SUM($M$3:M41),2),IF(OR(A42="",K42="",L42=""),"",ROUND(K42*L42,2)))</f>
        <v/>
      </c>
      <c r="N42" s="142" t="str">
        <f>IF(OR(itens_Remanesc!A41="",NOT(ISNUMBER(parametros!$F$6))),"",ROUND(itens_Remanesc!C41*parametros!$F$6,2))</f>
        <v/>
      </c>
      <c r="O42" s="143" t="str">
        <f>IF(posicao_contratual!A41="","",posicao_contratual!W41)</f>
        <v/>
      </c>
      <c r="P42" s="142" t="str">
        <f>IF(A42="TOTAL",ROUND(SUM($P$3:P41),2),IF(OR(A42="",N42="",O42=""),"",ROUND(N42*O42,2)))</f>
        <v/>
      </c>
    </row>
    <row r="43" spans="1:16" x14ac:dyDescent="0.35">
      <c r="A43" s="141" t="str">
        <f>IF(AND(itens_Remanesc!A42="",itens_Remanesc!A41&lt;&gt;"",COUNTIF(itens_Remanesc!A43:$A$200,"&lt;&gt;")=0),"TOTAL",IF(itens_Remanesc!A42="","",itens_Remanesc!A42))</f>
        <v/>
      </c>
      <c r="B43" s="142" t="str">
        <f>IF(OR(itens_Remanesc!A42="",NOT(ISNUMBER(parametros!$F$2))),"",ROUND(itens_Remanesc!C42*parametros!$F$2,2))</f>
        <v/>
      </c>
      <c r="C43" s="143" t="str">
        <f>IF(posicao_contratual!A42="","",posicao_contratual!G42)</f>
        <v/>
      </c>
      <c r="D43" s="142" t="str">
        <f>IF(A43="TOTAL",ROUND(SUM($D$3:D42),2),IF(A43="","",ROUND(B43*C43,2)))</f>
        <v/>
      </c>
      <c r="E43" s="144" t="str">
        <f>IF(OR(itens_Remanesc!A42="",NOT(ISNUMBER(parametros!$F$3))),"",ROUND(itens_Remanesc!C42*parametros!$F$3,2))</f>
        <v/>
      </c>
      <c r="F43" s="145" t="str">
        <f>IF(posicao_contratual!A42="","",posicao_contratual!K42)</f>
        <v/>
      </c>
      <c r="G43" s="144" t="str">
        <f>IF(A43="TOTAL",ROUND(SUM($G$3:G42),2),IF(OR(A43="",E43="",F43=""),"",ROUND(E43*F43,2)))</f>
        <v/>
      </c>
      <c r="H43" s="142" t="str">
        <f>IF(OR(itens_Remanesc!A42="",NOT(ISNUMBER(parametros!$F$4))),"",ROUND(itens_Remanesc!C42*parametros!$F$4,2))</f>
        <v/>
      </c>
      <c r="I43" s="143" t="str">
        <f>IF(posicao_contratual!A42="","",posicao_contratual!O42)</f>
        <v/>
      </c>
      <c r="J43" s="142" t="str">
        <f>IF(A43="TOTAL",ROUND(SUM($J$3:J42),2),IF(OR(A43="",H43="",I43=""),"",ROUND(H43*I43,2)))</f>
        <v/>
      </c>
      <c r="K43" s="144" t="str">
        <f>IF(OR(itens_Remanesc!A42="",NOT(ISNUMBER(parametros!$F$5))),"",ROUND(itens_Remanesc!C42*parametros!$F$5,2))</f>
        <v/>
      </c>
      <c r="L43" s="145" t="str">
        <f>IF(posicao_contratual!A42="","",posicao_contratual!S42)</f>
        <v/>
      </c>
      <c r="M43" s="144" t="str">
        <f>IF(A43="TOTAL",ROUND(SUM($M$3:M42),2),IF(OR(A43="",K43="",L43=""),"",ROUND(K43*L43,2)))</f>
        <v/>
      </c>
      <c r="N43" s="142" t="str">
        <f>IF(OR(itens_Remanesc!A42="",NOT(ISNUMBER(parametros!$F$6))),"",ROUND(itens_Remanesc!C42*parametros!$F$6,2))</f>
        <v/>
      </c>
      <c r="O43" s="143" t="str">
        <f>IF(posicao_contratual!A42="","",posicao_contratual!W42)</f>
        <v/>
      </c>
      <c r="P43" s="142" t="str">
        <f>IF(A43="TOTAL",ROUND(SUM($P$3:P42),2),IF(OR(A43="",N43="",O43=""),"",ROUND(N43*O43,2)))</f>
        <v/>
      </c>
    </row>
    <row r="44" spans="1:16" x14ac:dyDescent="0.35">
      <c r="A44" s="141" t="str">
        <f>IF(AND(itens_Remanesc!A43="",itens_Remanesc!A42&lt;&gt;"",COUNTIF(itens_Remanesc!A44:$A$200,"&lt;&gt;")=0),"TOTAL",IF(itens_Remanesc!A43="","",itens_Remanesc!A43))</f>
        <v/>
      </c>
      <c r="B44" s="142" t="str">
        <f>IF(OR(itens_Remanesc!A43="",NOT(ISNUMBER(parametros!$F$2))),"",ROUND(itens_Remanesc!C43*parametros!$F$2,2))</f>
        <v/>
      </c>
      <c r="C44" s="143" t="str">
        <f>IF(posicao_contratual!A43="","",posicao_contratual!G43)</f>
        <v/>
      </c>
      <c r="D44" s="142" t="str">
        <f>IF(A44="TOTAL",ROUND(SUM($D$3:D43),2),IF(A44="","",ROUND(B44*C44,2)))</f>
        <v/>
      </c>
      <c r="E44" s="144" t="str">
        <f>IF(OR(itens_Remanesc!A43="",NOT(ISNUMBER(parametros!$F$3))),"",ROUND(itens_Remanesc!C43*parametros!$F$3,2))</f>
        <v/>
      </c>
      <c r="F44" s="145" t="str">
        <f>IF(posicao_contratual!A43="","",posicao_contratual!K43)</f>
        <v/>
      </c>
      <c r="G44" s="144" t="str">
        <f>IF(A44="TOTAL",ROUND(SUM($G$3:G43),2),IF(OR(A44="",E44="",F44=""),"",ROUND(E44*F44,2)))</f>
        <v/>
      </c>
      <c r="H44" s="142" t="str">
        <f>IF(OR(itens_Remanesc!A43="",NOT(ISNUMBER(parametros!$F$4))),"",ROUND(itens_Remanesc!C43*parametros!$F$4,2))</f>
        <v/>
      </c>
      <c r="I44" s="143" t="str">
        <f>IF(posicao_contratual!A43="","",posicao_contratual!O43)</f>
        <v/>
      </c>
      <c r="J44" s="142" t="str">
        <f>IF(A44="TOTAL",ROUND(SUM($J$3:J43),2),IF(OR(A44="",H44="",I44=""),"",ROUND(H44*I44,2)))</f>
        <v/>
      </c>
      <c r="K44" s="144" t="str">
        <f>IF(OR(itens_Remanesc!A43="",NOT(ISNUMBER(parametros!$F$5))),"",ROUND(itens_Remanesc!C43*parametros!$F$5,2))</f>
        <v/>
      </c>
      <c r="L44" s="145" t="str">
        <f>IF(posicao_contratual!A43="","",posicao_contratual!S43)</f>
        <v/>
      </c>
      <c r="M44" s="144" t="str">
        <f>IF(A44="TOTAL",ROUND(SUM($M$3:M43),2),IF(OR(A44="",K44="",L44=""),"",ROUND(K44*L44,2)))</f>
        <v/>
      </c>
      <c r="N44" s="142" t="str">
        <f>IF(OR(itens_Remanesc!A43="",NOT(ISNUMBER(parametros!$F$6))),"",ROUND(itens_Remanesc!C43*parametros!$F$6,2))</f>
        <v/>
      </c>
      <c r="O44" s="143" t="str">
        <f>IF(posicao_contratual!A43="","",posicao_contratual!W43)</f>
        <v/>
      </c>
      <c r="P44" s="142" t="str">
        <f>IF(A44="TOTAL",ROUND(SUM($P$3:P43),2),IF(OR(A44="",N44="",O44=""),"",ROUND(N44*O44,2)))</f>
        <v/>
      </c>
    </row>
    <row r="45" spans="1:16" x14ac:dyDescent="0.35">
      <c r="A45" s="141" t="str">
        <f>IF(AND(itens_Remanesc!A44="",itens_Remanesc!A43&lt;&gt;"",COUNTIF(itens_Remanesc!A45:$A$200,"&lt;&gt;")=0),"TOTAL",IF(itens_Remanesc!A44="","",itens_Remanesc!A44))</f>
        <v/>
      </c>
      <c r="B45" s="142" t="str">
        <f>IF(OR(itens_Remanesc!A44="",NOT(ISNUMBER(parametros!$F$2))),"",ROUND(itens_Remanesc!C44*parametros!$F$2,2))</f>
        <v/>
      </c>
      <c r="C45" s="143" t="str">
        <f>IF(posicao_contratual!A44="","",posicao_contratual!G44)</f>
        <v/>
      </c>
      <c r="D45" s="142" t="str">
        <f>IF(A45="TOTAL",ROUND(SUM($D$3:D44),2),IF(A45="","",ROUND(B45*C45,2)))</f>
        <v/>
      </c>
      <c r="E45" s="144" t="str">
        <f>IF(OR(itens_Remanesc!A44="",NOT(ISNUMBER(parametros!$F$3))),"",ROUND(itens_Remanesc!C44*parametros!$F$3,2))</f>
        <v/>
      </c>
      <c r="F45" s="145" t="str">
        <f>IF(posicao_contratual!A44="","",posicao_contratual!K44)</f>
        <v/>
      </c>
      <c r="G45" s="144" t="str">
        <f>IF(A45="TOTAL",ROUND(SUM($G$3:G44),2),IF(OR(A45="",E45="",F45=""),"",ROUND(E45*F45,2)))</f>
        <v/>
      </c>
      <c r="H45" s="142" t="str">
        <f>IF(OR(itens_Remanesc!A44="",NOT(ISNUMBER(parametros!$F$4))),"",ROUND(itens_Remanesc!C44*parametros!$F$4,2))</f>
        <v/>
      </c>
      <c r="I45" s="143" t="str">
        <f>IF(posicao_contratual!A44="","",posicao_contratual!O44)</f>
        <v/>
      </c>
      <c r="J45" s="142" t="str">
        <f>IF(A45="TOTAL",ROUND(SUM($J$3:J44),2),IF(OR(A45="",H45="",I45=""),"",ROUND(H45*I45,2)))</f>
        <v/>
      </c>
      <c r="K45" s="144" t="str">
        <f>IF(OR(itens_Remanesc!A44="",NOT(ISNUMBER(parametros!$F$5))),"",ROUND(itens_Remanesc!C44*parametros!$F$5,2))</f>
        <v/>
      </c>
      <c r="L45" s="145" t="str">
        <f>IF(posicao_contratual!A44="","",posicao_contratual!S44)</f>
        <v/>
      </c>
      <c r="M45" s="144" t="str">
        <f>IF(A45="TOTAL",ROUND(SUM($M$3:M44),2),IF(OR(A45="",K45="",L45=""),"",ROUND(K45*L45,2)))</f>
        <v/>
      </c>
      <c r="N45" s="142" t="str">
        <f>IF(OR(itens_Remanesc!A44="",NOT(ISNUMBER(parametros!$F$6))),"",ROUND(itens_Remanesc!C44*parametros!$F$6,2))</f>
        <v/>
      </c>
      <c r="O45" s="143" t="str">
        <f>IF(posicao_contratual!A44="","",posicao_contratual!W44)</f>
        <v/>
      </c>
      <c r="P45" s="142" t="str">
        <f>IF(A45="TOTAL",ROUND(SUM($P$3:P44),2),IF(OR(A45="",N45="",O45=""),"",ROUND(N45*O45,2)))</f>
        <v/>
      </c>
    </row>
    <row r="46" spans="1:16" x14ac:dyDescent="0.35">
      <c r="A46" s="141" t="str">
        <f>IF(AND(itens_Remanesc!A45="",itens_Remanesc!A44&lt;&gt;"",COUNTIF(itens_Remanesc!A46:$A$200,"&lt;&gt;")=0),"TOTAL",IF(itens_Remanesc!A45="","",itens_Remanesc!A45))</f>
        <v/>
      </c>
      <c r="B46" s="142" t="str">
        <f>IF(OR(itens_Remanesc!A45="",NOT(ISNUMBER(parametros!$F$2))),"",ROUND(itens_Remanesc!C45*parametros!$F$2,2))</f>
        <v/>
      </c>
      <c r="C46" s="143" t="str">
        <f>IF(posicao_contratual!A45="","",posicao_contratual!G45)</f>
        <v/>
      </c>
      <c r="D46" s="142" t="str">
        <f>IF(A46="TOTAL",ROUND(SUM($D$3:D45),2),IF(A46="","",ROUND(B46*C46,2)))</f>
        <v/>
      </c>
      <c r="E46" s="144" t="str">
        <f>IF(OR(itens_Remanesc!A45="",NOT(ISNUMBER(parametros!$F$3))),"",ROUND(itens_Remanesc!C45*parametros!$F$3,2))</f>
        <v/>
      </c>
      <c r="F46" s="145" t="str">
        <f>IF(posicao_contratual!A45="","",posicao_contratual!K45)</f>
        <v/>
      </c>
      <c r="G46" s="144" t="str">
        <f>IF(A46="TOTAL",ROUND(SUM($G$3:G45),2),IF(OR(A46="",E46="",F46=""),"",ROUND(E46*F46,2)))</f>
        <v/>
      </c>
      <c r="H46" s="142" t="str">
        <f>IF(OR(itens_Remanesc!A45="",NOT(ISNUMBER(parametros!$F$4))),"",ROUND(itens_Remanesc!C45*parametros!$F$4,2))</f>
        <v/>
      </c>
      <c r="I46" s="143" t="str">
        <f>IF(posicao_contratual!A45="","",posicao_contratual!O45)</f>
        <v/>
      </c>
      <c r="J46" s="142" t="str">
        <f>IF(A46="TOTAL",ROUND(SUM($J$3:J45),2),IF(OR(A46="",H46="",I46=""),"",ROUND(H46*I46,2)))</f>
        <v/>
      </c>
      <c r="K46" s="144" t="str">
        <f>IF(OR(itens_Remanesc!A45="",NOT(ISNUMBER(parametros!$F$5))),"",ROUND(itens_Remanesc!C45*parametros!$F$5,2))</f>
        <v/>
      </c>
      <c r="L46" s="145" t="str">
        <f>IF(posicao_contratual!A45="","",posicao_contratual!S45)</f>
        <v/>
      </c>
      <c r="M46" s="144" t="str">
        <f>IF(A46="TOTAL",ROUND(SUM($M$3:M45),2),IF(OR(A46="",K46="",L46=""),"",ROUND(K46*L46,2)))</f>
        <v/>
      </c>
      <c r="N46" s="142" t="str">
        <f>IF(OR(itens_Remanesc!A45="",NOT(ISNUMBER(parametros!$F$6))),"",ROUND(itens_Remanesc!C45*parametros!$F$6,2))</f>
        <v/>
      </c>
      <c r="O46" s="143" t="str">
        <f>IF(posicao_contratual!A45="","",posicao_contratual!W45)</f>
        <v/>
      </c>
      <c r="P46" s="142" t="str">
        <f>IF(A46="TOTAL",ROUND(SUM($P$3:P45),2),IF(OR(A46="",N46="",O46=""),"",ROUND(N46*O46,2)))</f>
        <v/>
      </c>
    </row>
    <row r="47" spans="1:16" x14ac:dyDescent="0.35">
      <c r="A47" s="141" t="str">
        <f>IF(AND(itens_Remanesc!A46="",itens_Remanesc!A45&lt;&gt;"",COUNTIF(itens_Remanesc!A47:$A$200,"&lt;&gt;")=0),"TOTAL",IF(itens_Remanesc!A46="","",itens_Remanesc!A46))</f>
        <v/>
      </c>
      <c r="B47" s="142" t="str">
        <f>IF(OR(itens_Remanesc!A46="",NOT(ISNUMBER(parametros!$F$2))),"",ROUND(itens_Remanesc!C46*parametros!$F$2,2))</f>
        <v/>
      </c>
      <c r="C47" s="143" t="str">
        <f>IF(posicao_contratual!A46="","",posicao_contratual!G46)</f>
        <v/>
      </c>
      <c r="D47" s="142" t="str">
        <f>IF(A47="TOTAL",ROUND(SUM($D$3:D46),2),IF(A47="","",ROUND(B47*C47,2)))</f>
        <v/>
      </c>
      <c r="E47" s="144" t="str">
        <f>IF(OR(itens_Remanesc!A46="",NOT(ISNUMBER(parametros!$F$3))),"",ROUND(itens_Remanesc!C46*parametros!$F$3,2))</f>
        <v/>
      </c>
      <c r="F47" s="145" t="str">
        <f>IF(posicao_contratual!A46="","",posicao_contratual!K46)</f>
        <v/>
      </c>
      <c r="G47" s="144" t="str">
        <f>IF(A47="TOTAL",ROUND(SUM($G$3:G46),2),IF(OR(A47="",E47="",F47=""),"",ROUND(E47*F47,2)))</f>
        <v/>
      </c>
      <c r="H47" s="142" t="str">
        <f>IF(OR(itens_Remanesc!A46="",NOT(ISNUMBER(parametros!$F$4))),"",ROUND(itens_Remanesc!C46*parametros!$F$4,2))</f>
        <v/>
      </c>
      <c r="I47" s="143" t="str">
        <f>IF(posicao_contratual!A46="","",posicao_contratual!O46)</f>
        <v/>
      </c>
      <c r="J47" s="142" t="str">
        <f>IF(A47="TOTAL",ROUND(SUM($J$3:J46),2),IF(OR(A47="",H47="",I47=""),"",ROUND(H47*I47,2)))</f>
        <v/>
      </c>
      <c r="K47" s="144" t="str">
        <f>IF(OR(itens_Remanesc!A46="",NOT(ISNUMBER(parametros!$F$5))),"",ROUND(itens_Remanesc!C46*parametros!$F$5,2))</f>
        <v/>
      </c>
      <c r="L47" s="145" t="str">
        <f>IF(posicao_contratual!A46="","",posicao_contratual!S46)</f>
        <v/>
      </c>
      <c r="M47" s="144" t="str">
        <f>IF(A47="TOTAL",ROUND(SUM($M$3:M46),2),IF(OR(A47="",K47="",L47=""),"",ROUND(K47*L47,2)))</f>
        <v/>
      </c>
      <c r="N47" s="142" t="str">
        <f>IF(OR(itens_Remanesc!A46="",NOT(ISNUMBER(parametros!$F$6))),"",ROUND(itens_Remanesc!C46*parametros!$F$6,2))</f>
        <v/>
      </c>
      <c r="O47" s="143" t="str">
        <f>IF(posicao_contratual!A46="","",posicao_contratual!W46)</f>
        <v/>
      </c>
      <c r="P47" s="142" t="str">
        <f>IF(A47="TOTAL",ROUND(SUM($P$3:P46),2),IF(OR(A47="",N47="",O47=""),"",ROUND(N47*O47,2)))</f>
        <v/>
      </c>
    </row>
    <row r="48" spans="1:16" x14ac:dyDescent="0.35">
      <c r="A48" s="141" t="str">
        <f>IF(AND(itens_Remanesc!A47="",itens_Remanesc!A46&lt;&gt;"",COUNTIF(itens_Remanesc!A48:$A$200,"&lt;&gt;")=0),"TOTAL",IF(itens_Remanesc!A47="","",itens_Remanesc!A47))</f>
        <v/>
      </c>
      <c r="B48" s="142" t="str">
        <f>IF(OR(itens_Remanesc!A47="",NOT(ISNUMBER(parametros!$F$2))),"",ROUND(itens_Remanesc!C47*parametros!$F$2,2))</f>
        <v/>
      </c>
      <c r="C48" s="143" t="str">
        <f>IF(posicao_contratual!A47="","",posicao_contratual!G47)</f>
        <v/>
      </c>
      <c r="D48" s="142" t="str">
        <f>IF(A48="TOTAL",ROUND(SUM($D$3:D47),2),IF(A48="","",ROUND(B48*C48,2)))</f>
        <v/>
      </c>
      <c r="E48" s="144" t="str">
        <f>IF(OR(itens_Remanesc!A47="",NOT(ISNUMBER(parametros!$F$3))),"",ROUND(itens_Remanesc!C47*parametros!$F$3,2))</f>
        <v/>
      </c>
      <c r="F48" s="145" t="str">
        <f>IF(posicao_contratual!A47="","",posicao_contratual!K47)</f>
        <v/>
      </c>
      <c r="G48" s="144" t="str">
        <f>IF(A48="TOTAL",ROUND(SUM($G$3:G47),2),IF(OR(A48="",E48="",F48=""),"",ROUND(E48*F48,2)))</f>
        <v/>
      </c>
      <c r="H48" s="142" t="str">
        <f>IF(OR(itens_Remanesc!A47="",NOT(ISNUMBER(parametros!$F$4))),"",ROUND(itens_Remanesc!C47*parametros!$F$4,2))</f>
        <v/>
      </c>
      <c r="I48" s="143" t="str">
        <f>IF(posicao_contratual!A47="","",posicao_contratual!O47)</f>
        <v/>
      </c>
      <c r="J48" s="142" t="str">
        <f>IF(A48="TOTAL",ROUND(SUM($J$3:J47),2),IF(OR(A48="",H48="",I48=""),"",ROUND(H48*I48,2)))</f>
        <v/>
      </c>
      <c r="K48" s="144" t="str">
        <f>IF(OR(itens_Remanesc!A47="",NOT(ISNUMBER(parametros!$F$5))),"",ROUND(itens_Remanesc!C47*parametros!$F$5,2))</f>
        <v/>
      </c>
      <c r="L48" s="145" t="str">
        <f>IF(posicao_contratual!A47="","",posicao_contratual!S47)</f>
        <v/>
      </c>
      <c r="M48" s="144" t="str">
        <f>IF(A48="TOTAL",ROUND(SUM($M$3:M47),2),IF(OR(A48="",K48="",L48=""),"",ROUND(K48*L48,2)))</f>
        <v/>
      </c>
      <c r="N48" s="142" t="str">
        <f>IF(OR(itens_Remanesc!A47="",NOT(ISNUMBER(parametros!$F$6))),"",ROUND(itens_Remanesc!C47*parametros!$F$6,2))</f>
        <v/>
      </c>
      <c r="O48" s="143" t="str">
        <f>IF(posicao_contratual!A47="","",posicao_contratual!W47)</f>
        <v/>
      </c>
      <c r="P48" s="142" t="str">
        <f>IF(A48="TOTAL",ROUND(SUM($P$3:P47),2),IF(OR(A48="",N48="",O48=""),"",ROUND(N48*O48,2)))</f>
        <v/>
      </c>
    </row>
    <row r="49" spans="1:16" x14ac:dyDescent="0.35">
      <c r="A49" s="141" t="str">
        <f>IF(AND(itens_Remanesc!A48="",itens_Remanesc!A47&lt;&gt;"",COUNTIF(itens_Remanesc!A49:$A$200,"&lt;&gt;")=0),"TOTAL",IF(itens_Remanesc!A48="","",itens_Remanesc!A48))</f>
        <v/>
      </c>
      <c r="B49" s="142" t="str">
        <f>IF(OR(itens_Remanesc!A48="",NOT(ISNUMBER(parametros!$F$2))),"",ROUND(itens_Remanesc!C48*parametros!$F$2,2))</f>
        <v/>
      </c>
      <c r="C49" s="143" t="str">
        <f>IF(posicao_contratual!A48="","",posicao_contratual!G48)</f>
        <v/>
      </c>
      <c r="D49" s="142" t="str">
        <f>IF(A49="TOTAL",ROUND(SUM($D$3:D48),2),IF(A49="","",ROUND(B49*C49,2)))</f>
        <v/>
      </c>
      <c r="E49" s="144" t="str">
        <f>IF(OR(itens_Remanesc!A48="",NOT(ISNUMBER(parametros!$F$3))),"",ROUND(itens_Remanesc!C48*parametros!$F$3,2))</f>
        <v/>
      </c>
      <c r="F49" s="145" t="str">
        <f>IF(posicao_contratual!A48="","",posicao_contratual!K48)</f>
        <v/>
      </c>
      <c r="G49" s="144" t="str">
        <f>IF(A49="TOTAL",ROUND(SUM($G$3:G48),2),IF(OR(A49="",E49="",F49=""),"",ROUND(E49*F49,2)))</f>
        <v/>
      </c>
      <c r="H49" s="142" t="str">
        <f>IF(OR(itens_Remanesc!A48="",NOT(ISNUMBER(parametros!$F$4))),"",ROUND(itens_Remanesc!C48*parametros!$F$4,2))</f>
        <v/>
      </c>
      <c r="I49" s="143" t="str">
        <f>IF(posicao_contratual!A48="","",posicao_contratual!O48)</f>
        <v/>
      </c>
      <c r="J49" s="142" t="str">
        <f>IF(A49="TOTAL",ROUND(SUM($J$3:J48),2),IF(OR(A49="",H49="",I49=""),"",ROUND(H49*I49,2)))</f>
        <v/>
      </c>
      <c r="K49" s="144" t="str">
        <f>IF(OR(itens_Remanesc!A48="",NOT(ISNUMBER(parametros!$F$5))),"",ROUND(itens_Remanesc!C48*parametros!$F$5,2))</f>
        <v/>
      </c>
      <c r="L49" s="145" t="str">
        <f>IF(posicao_contratual!A48="","",posicao_contratual!S48)</f>
        <v/>
      </c>
      <c r="M49" s="144" t="str">
        <f>IF(A49="TOTAL",ROUND(SUM($M$3:M48),2),IF(OR(A49="",K49="",L49=""),"",ROUND(K49*L49,2)))</f>
        <v/>
      </c>
      <c r="N49" s="142" t="str">
        <f>IF(OR(itens_Remanesc!A48="",NOT(ISNUMBER(parametros!$F$6))),"",ROUND(itens_Remanesc!C48*parametros!$F$6,2))</f>
        <v/>
      </c>
      <c r="O49" s="143" t="str">
        <f>IF(posicao_contratual!A48="","",posicao_contratual!W48)</f>
        <v/>
      </c>
      <c r="P49" s="142" t="str">
        <f>IF(A49="TOTAL",ROUND(SUM($P$3:P48),2),IF(OR(A49="",N49="",O49=""),"",ROUND(N49*O49,2)))</f>
        <v/>
      </c>
    </row>
    <row r="50" spans="1:16" x14ac:dyDescent="0.35">
      <c r="A50" s="141" t="str">
        <f>IF(AND(itens_Remanesc!A49="",itens_Remanesc!A48&lt;&gt;"",COUNTIF(itens_Remanesc!A50:$A$200,"&lt;&gt;")=0),"TOTAL",IF(itens_Remanesc!A49="","",itens_Remanesc!A49))</f>
        <v/>
      </c>
      <c r="B50" s="142" t="str">
        <f>IF(OR(itens_Remanesc!A49="",NOT(ISNUMBER(parametros!$F$2))),"",ROUND(itens_Remanesc!C49*parametros!$F$2,2))</f>
        <v/>
      </c>
      <c r="C50" s="143" t="str">
        <f>IF(posicao_contratual!A49="","",posicao_contratual!G49)</f>
        <v/>
      </c>
      <c r="D50" s="142" t="str">
        <f>IF(A50="TOTAL",ROUND(SUM($D$3:D49),2),IF(A50="","",ROUND(B50*C50,2)))</f>
        <v/>
      </c>
      <c r="E50" s="144" t="str">
        <f>IF(OR(itens_Remanesc!A49="",NOT(ISNUMBER(parametros!$F$3))),"",ROUND(itens_Remanesc!C49*parametros!$F$3,2))</f>
        <v/>
      </c>
      <c r="F50" s="145" t="str">
        <f>IF(posicao_contratual!A49="","",posicao_contratual!K49)</f>
        <v/>
      </c>
      <c r="G50" s="144" t="str">
        <f>IF(A50="TOTAL",ROUND(SUM($G$3:G49),2),IF(OR(A50="",E50="",F50=""),"",ROUND(E50*F50,2)))</f>
        <v/>
      </c>
      <c r="H50" s="142" t="str">
        <f>IF(OR(itens_Remanesc!A49="",NOT(ISNUMBER(parametros!$F$4))),"",ROUND(itens_Remanesc!C49*parametros!$F$4,2))</f>
        <v/>
      </c>
      <c r="I50" s="143" t="str">
        <f>IF(posicao_contratual!A49="","",posicao_contratual!O49)</f>
        <v/>
      </c>
      <c r="J50" s="142" t="str">
        <f>IF(A50="TOTAL",ROUND(SUM($J$3:J49),2),IF(OR(A50="",H50="",I50=""),"",ROUND(H50*I50,2)))</f>
        <v/>
      </c>
      <c r="K50" s="144" t="str">
        <f>IF(OR(itens_Remanesc!A49="",NOT(ISNUMBER(parametros!$F$5))),"",ROUND(itens_Remanesc!C49*parametros!$F$5,2))</f>
        <v/>
      </c>
      <c r="L50" s="145" t="str">
        <f>IF(posicao_contratual!A49="","",posicao_contratual!S49)</f>
        <v/>
      </c>
      <c r="M50" s="144" t="str">
        <f>IF(A50="TOTAL",ROUND(SUM($M$3:M49),2),IF(OR(A50="",K50="",L50=""),"",ROUND(K50*L50,2)))</f>
        <v/>
      </c>
      <c r="N50" s="142" t="str">
        <f>IF(OR(itens_Remanesc!A49="",NOT(ISNUMBER(parametros!$F$6))),"",ROUND(itens_Remanesc!C49*parametros!$F$6,2))</f>
        <v/>
      </c>
      <c r="O50" s="143" t="str">
        <f>IF(posicao_contratual!A49="","",posicao_contratual!W49)</f>
        <v/>
      </c>
      <c r="P50" s="142" t="str">
        <f>IF(A50="TOTAL",ROUND(SUM($P$3:P49),2),IF(OR(A50="",N50="",O50=""),"",ROUND(N50*O50,2)))</f>
        <v/>
      </c>
    </row>
    <row r="51" spans="1:16" x14ac:dyDescent="0.35">
      <c r="A51" s="141" t="str">
        <f>IF(AND(itens_Remanesc!A50="",itens_Remanesc!A49&lt;&gt;"",COUNTIF(itens_Remanesc!A51:$A$200,"&lt;&gt;")=0),"TOTAL",IF(itens_Remanesc!A50="","",itens_Remanesc!A50))</f>
        <v/>
      </c>
      <c r="B51" s="142" t="str">
        <f>IF(OR(itens_Remanesc!A50="",NOT(ISNUMBER(parametros!$F$2))),"",ROUND(itens_Remanesc!C50*parametros!$F$2,2))</f>
        <v/>
      </c>
      <c r="C51" s="143" t="str">
        <f>IF(posicao_contratual!A50="","",posicao_contratual!G50)</f>
        <v/>
      </c>
      <c r="D51" s="142" t="str">
        <f>IF(A51="TOTAL",ROUND(SUM($D$3:D50),2),IF(A51="","",ROUND(B51*C51,2)))</f>
        <v/>
      </c>
      <c r="E51" s="144" t="str">
        <f>IF(OR(itens_Remanesc!A50="",NOT(ISNUMBER(parametros!$F$3))),"",ROUND(itens_Remanesc!C50*parametros!$F$3,2))</f>
        <v/>
      </c>
      <c r="F51" s="145" t="str">
        <f>IF(posicao_contratual!A50="","",posicao_contratual!K50)</f>
        <v/>
      </c>
      <c r="G51" s="144" t="str">
        <f>IF(A51="TOTAL",ROUND(SUM($G$3:G50),2),IF(OR(A51="",E51="",F51=""),"",ROUND(E51*F51,2)))</f>
        <v/>
      </c>
      <c r="H51" s="142" t="str">
        <f>IF(OR(itens_Remanesc!A50="",NOT(ISNUMBER(parametros!$F$4))),"",ROUND(itens_Remanesc!C50*parametros!$F$4,2))</f>
        <v/>
      </c>
      <c r="I51" s="143" t="str">
        <f>IF(posicao_contratual!A50="","",posicao_contratual!O50)</f>
        <v/>
      </c>
      <c r="J51" s="142" t="str">
        <f>IF(A51="TOTAL",ROUND(SUM($J$3:J50),2),IF(OR(A51="",H51="",I51=""),"",ROUND(H51*I51,2)))</f>
        <v/>
      </c>
      <c r="K51" s="144" t="str">
        <f>IF(OR(itens_Remanesc!A50="",NOT(ISNUMBER(parametros!$F$5))),"",ROUND(itens_Remanesc!C50*parametros!$F$5,2))</f>
        <v/>
      </c>
      <c r="L51" s="145" t="str">
        <f>IF(posicao_contratual!A50="","",posicao_contratual!S50)</f>
        <v/>
      </c>
      <c r="M51" s="144" t="str">
        <f>IF(A51="TOTAL",ROUND(SUM($M$3:M50),2),IF(OR(A51="",K51="",L51=""),"",ROUND(K51*L51,2)))</f>
        <v/>
      </c>
      <c r="N51" s="142" t="str">
        <f>IF(OR(itens_Remanesc!A50="",NOT(ISNUMBER(parametros!$F$6))),"",ROUND(itens_Remanesc!C50*parametros!$F$6,2))</f>
        <v/>
      </c>
      <c r="O51" s="143" t="str">
        <f>IF(posicao_contratual!A50="","",posicao_contratual!W50)</f>
        <v/>
      </c>
      <c r="P51" s="142" t="str">
        <f>IF(A51="TOTAL",ROUND(SUM($P$3:P50),2),IF(OR(A51="",N51="",O51=""),"",ROUND(N51*O51,2)))</f>
        <v/>
      </c>
    </row>
    <row r="52" spans="1:16" x14ac:dyDescent="0.35">
      <c r="A52" s="141" t="str">
        <f>IF(AND(itens_Remanesc!A51="",itens_Remanesc!A50&lt;&gt;"",COUNTIF(itens_Remanesc!A52:$A$200,"&lt;&gt;")=0),"TOTAL",IF(itens_Remanesc!A51="","",itens_Remanesc!A51))</f>
        <v/>
      </c>
      <c r="B52" s="142" t="str">
        <f>IF(OR(itens_Remanesc!A51="",NOT(ISNUMBER(parametros!$F$2))),"",ROUND(itens_Remanesc!C51*parametros!$F$2,2))</f>
        <v/>
      </c>
      <c r="C52" s="143" t="str">
        <f>IF(posicao_contratual!A51="","",posicao_contratual!G51)</f>
        <v/>
      </c>
      <c r="D52" s="142" t="str">
        <f>IF(A52="TOTAL",ROUND(SUM($D$3:D51),2),IF(A52="","",ROUND(B52*C52,2)))</f>
        <v/>
      </c>
      <c r="E52" s="144" t="str">
        <f>IF(OR(itens_Remanesc!A51="",NOT(ISNUMBER(parametros!$F$3))),"",ROUND(itens_Remanesc!C51*parametros!$F$3,2))</f>
        <v/>
      </c>
      <c r="F52" s="145" t="str">
        <f>IF(posicao_contratual!A51="","",posicao_contratual!K51)</f>
        <v/>
      </c>
      <c r="G52" s="144" t="str">
        <f>IF(A52="TOTAL",ROUND(SUM($G$3:G51),2),IF(OR(A52="",E52="",F52=""),"",ROUND(E52*F52,2)))</f>
        <v/>
      </c>
      <c r="H52" s="142" t="str">
        <f>IF(OR(itens_Remanesc!A51="",NOT(ISNUMBER(parametros!$F$4))),"",ROUND(itens_Remanesc!C51*parametros!$F$4,2))</f>
        <v/>
      </c>
      <c r="I52" s="143" t="str">
        <f>IF(posicao_contratual!A51="","",posicao_contratual!O51)</f>
        <v/>
      </c>
      <c r="J52" s="142" t="str">
        <f>IF(A52="TOTAL",ROUND(SUM($J$3:J51),2),IF(OR(A52="",H52="",I52=""),"",ROUND(H52*I52,2)))</f>
        <v/>
      </c>
      <c r="K52" s="144" t="str">
        <f>IF(OR(itens_Remanesc!A51="",NOT(ISNUMBER(parametros!$F$5))),"",ROUND(itens_Remanesc!C51*parametros!$F$5,2))</f>
        <v/>
      </c>
      <c r="L52" s="145" t="str">
        <f>IF(posicao_contratual!A51="","",posicao_contratual!S51)</f>
        <v/>
      </c>
      <c r="M52" s="144" t="str">
        <f>IF(A52="TOTAL",ROUND(SUM($M$3:M51),2),IF(OR(A52="",K52="",L52=""),"",ROUND(K52*L52,2)))</f>
        <v/>
      </c>
      <c r="N52" s="142" t="str">
        <f>IF(OR(itens_Remanesc!A51="",NOT(ISNUMBER(parametros!$F$6))),"",ROUND(itens_Remanesc!C51*parametros!$F$6,2))</f>
        <v/>
      </c>
      <c r="O52" s="143" t="str">
        <f>IF(posicao_contratual!A51="","",posicao_contratual!W51)</f>
        <v/>
      </c>
      <c r="P52" s="142" t="str">
        <f>IF(A52="TOTAL",ROUND(SUM($P$3:P51),2),IF(OR(A52="",N52="",O52=""),"",ROUND(N52*O52,2)))</f>
        <v/>
      </c>
    </row>
    <row r="53" spans="1:16" x14ac:dyDescent="0.35">
      <c r="A53" s="141" t="str">
        <f>IF(AND(itens_Remanesc!A52="",itens_Remanesc!A51&lt;&gt;"",COUNTIF(itens_Remanesc!A53:$A$200,"&lt;&gt;")=0),"TOTAL",IF(itens_Remanesc!A52="","",itens_Remanesc!A52))</f>
        <v/>
      </c>
      <c r="B53" s="142" t="str">
        <f>IF(OR(itens_Remanesc!A52="",NOT(ISNUMBER(parametros!$F$2))),"",ROUND(itens_Remanesc!C52*parametros!$F$2,2))</f>
        <v/>
      </c>
      <c r="C53" s="143" t="str">
        <f>IF(posicao_contratual!A52="","",posicao_contratual!G52)</f>
        <v/>
      </c>
      <c r="D53" s="142" t="str">
        <f>IF(A53="TOTAL",ROUND(SUM($D$3:D52),2),IF(A53="","",ROUND(B53*C53,2)))</f>
        <v/>
      </c>
      <c r="E53" s="144" t="str">
        <f>IF(OR(itens_Remanesc!A52="",NOT(ISNUMBER(parametros!$F$3))),"",ROUND(itens_Remanesc!C52*parametros!$F$3,2))</f>
        <v/>
      </c>
      <c r="F53" s="145" t="str">
        <f>IF(posicao_contratual!A52="","",posicao_contratual!K52)</f>
        <v/>
      </c>
      <c r="G53" s="144" t="str">
        <f>IF(A53="TOTAL",ROUND(SUM($G$3:G52),2),IF(OR(A53="",E53="",F53=""),"",ROUND(E53*F53,2)))</f>
        <v/>
      </c>
      <c r="H53" s="142" t="str">
        <f>IF(OR(itens_Remanesc!A52="",NOT(ISNUMBER(parametros!$F$4))),"",ROUND(itens_Remanesc!C52*parametros!$F$4,2))</f>
        <v/>
      </c>
      <c r="I53" s="143" t="str">
        <f>IF(posicao_contratual!A52="","",posicao_contratual!O52)</f>
        <v/>
      </c>
      <c r="J53" s="142" t="str">
        <f>IF(A53="TOTAL",ROUND(SUM($J$3:J52),2),IF(OR(A53="",H53="",I53=""),"",ROUND(H53*I53,2)))</f>
        <v/>
      </c>
      <c r="K53" s="144" t="str">
        <f>IF(OR(itens_Remanesc!A52="",NOT(ISNUMBER(parametros!$F$5))),"",ROUND(itens_Remanesc!C52*parametros!$F$5,2))</f>
        <v/>
      </c>
      <c r="L53" s="145" t="str">
        <f>IF(posicao_contratual!A52="","",posicao_contratual!S52)</f>
        <v/>
      </c>
      <c r="M53" s="144" t="str">
        <f>IF(A53="TOTAL",ROUND(SUM($M$3:M52),2),IF(OR(A53="",K53="",L53=""),"",ROUND(K53*L53,2)))</f>
        <v/>
      </c>
      <c r="N53" s="142" t="str">
        <f>IF(OR(itens_Remanesc!A52="",NOT(ISNUMBER(parametros!$F$6))),"",ROUND(itens_Remanesc!C52*parametros!$F$6,2))</f>
        <v/>
      </c>
      <c r="O53" s="143" t="str">
        <f>IF(posicao_contratual!A52="","",posicao_contratual!W52)</f>
        <v/>
      </c>
      <c r="P53" s="142" t="str">
        <f>IF(A53="TOTAL",ROUND(SUM($P$3:P52),2),IF(OR(A53="",N53="",O53=""),"",ROUND(N53*O53,2)))</f>
        <v/>
      </c>
    </row>
    <row r="54" spans="1:16" x14ac:dyDescent="0.35">
      <c r="A54" s="141" t="str">
        <f>IF(AND(itens_Remanesc!A53="",itens_Remanesc!A52&lt;&gt;"",COUNTIF(itens_Remanesc!A54:$A$200,"&lt;&gt;")=0),"TOTAL",IF(itens_Remanesc!A53="","",itens_Remanesc!A53))</f>
        <v/>
      </c>
      <c r="B54" s="142" t="str">
        <f>IF(OR(itens_Remanesc!A53="",NOT(ISNUMBER(parametros!$F$2))),"",ROUND(itens_Remanesc!C53*parametros!$F$2,2))</f>
        <v/>
      </c>
      <c r="C54" s="143" t="str">
        <f>IF(posicao_contratual!A53="","",posicao_contratual!G53)</f>
        <v/>
      </c>
      <c r="D54" s="142" t="str">
        <f>IF(A54="TOTAL",ROUND(SUM($D$3:D53),2),IF(A54="","",ROUND(B54*C54,2)))</f>
        <v/>
      </c>
      <c r="E54" s="144" t="str">
        <f>IF(OR(itens_Remanesc!A53="",NOT(ISNUMBER(parametros!$F$3))),"",ROUND(itens_Remanesc!C53*parametros!$F$3,2))</f>
        <v/>
      </c>
      <c r="F54" s="145" t="str">
        <f>IF(posicao_contratual!A53="","",posicao_contratual!K53)</f>
        <v/>
      </c>
      <c r="G54" s="144" t="str">
        <f>IF(A54="TOTAL",ROUND(SUM($G$3:G53),2),IF(OR(A54="",E54="",F54=""),"",ROUND(E54*F54,2)))</f>
        <v/>
      </c>
      <c r="H54" s="142" t="str">
        <f>IF(OR(itens_Remanesc!A53="",NOT(ISNUMBER(parametros!$F$4))),"",ROUND(itens_Remanesc!C53*parametros!$F$4,2))</f>
        <v/>
      </c>
      <c r="I54" s="143" t="str">
        <f>IF(posicao_contratual!A53="","",posicao_contratual!O53)</f>
        <v/>
      </c>
      <c r="J54" s="142" t="str">
        <f>IF(A54="TOTAL",ROUND(SUM($J$3:J53),2),IF(OR(A54="",H54="",I54=""),"",ROUND(H54*I54,2)))</f>
        <v/>
      </c>
      <c r="K54" s="144" t="str">
        <f>IF(OR(itens_Remanesc!A53="",NOT(ISNUMBER(parametros!$F$5))),"",ROUND(itens_Remanesc!C53*parametros!$F$5,2))</f>
        <v/>
      </c>
      <c r="L54" s="145" t="str">
        <f>IF(posicao_contratual!A53="","",posicao_contratual!S53)</f>
        <v/>
      </c>
      <c r="M54" s="144" t="str">
        <f>IF(A54="TOTAL",ROUND(SUM($M$3:M53),2),IF(OR(A54="",K54="",L54=""),"",ROUND(K54*L54,2)))</f>
        <v/>
      </c>
      <c r="N54" s="142" t="str">
        <f>IF(OR(itens_Remanesc!A53="",NOT(ISNUMBER(parametros!$F$6))),"",ROUND(itens_Remanesc!C53*parametros!$F$6,2))</f>
        <v/>
      </c>
      <c r="O54" s="143" t="str">
        <f>IF(posicao_contratual!A53="","",posicao_contratual!W53)</f>
        <v/>
      </c>
      <c r="P54" s="142" t="str">
        <f>IF(A54="TOTAL",ROUND(SUM($P$3:P53),2),IF(OR(A54="",N54="",O54=""),"",ROUND(N54*O54,2)))</f>
        <v/>
      </c>
    </row>
    <row r="55" spans="1:16" x14ac:dyDescent="0.35">
      <c r="A55" s="141" t="str">
        <f>IF(AND(itens_Remanesc!A54="",itens_Remanesc!A53&lt;&gt;"",COUNTIF(itens_Remanesc!A55:$A$200,"&lt;&gt;")=0),"TOTAL",IF(itens_Remanesc!A54="","",itens_Remanesc!A54))</f>
        <v/>
      </c>
      <c r="B55" s="142" t="str">
        <f>IF(OR(itens_Remanesc!A54="",NOT(ISNUMBER(parametros!$F$2))),"",ROUND(itens_Remanesc!C54*parametros!$F$2,2))</f>
        <v/>
      </c>
      <c r="C55" s="143" t="str">
        <f>IF(posicao_contratual!A54="","",posicao_contratual!G54)</f>
        <v/>
      </c>
      <c r="D55" s="142" t="str">
        <f>IF(A55="TOTAL",ROUND(SUM($D$3:D54),2),IF(A55="","",ROUND(B55*C55,2)))</f>
        <v/>
      </c>
      <c r="E55" s="144" t="str">
        <f>IF(OR(itens_Remanesc!A54="",NOT(ISNUMBER(parametros!$F$3))),"",ROUND(itens_Remanesc!C54*parametros!$F$3,2))</f>
        <v/>
      </c>
      <c r="F55" s="145" t="str">
        <f>IF(posicao_contratual!A54="","",posicao_contratual!K54)</f>
        <v/>
      </c>
      <c r="G55" s="144" t="str">
        <f>IF(A55="TOTAL",ROUND(SUM($G$3:G54),2),IF(OR(A55="",E55="",F55=""),"",ROUND(E55*F55,2)))</f>
        <v/>
      </c>
      <c r="H55" s="142" t="str">
        <f>IF(OR(itens_Remanesc!A54="",NOT(ISNUMBER(parametros!$F$4))),"",ROUND(itens_Remanesc!C54*parametros!$F$4,2))</f>
        <v/>
      </c>
      <c r="I55" s="143" t="str">
        <f>IF(posicao_contratual!A54="","",posicao_contratual!O54)</f>
        <v/>
      </c>
      <c r="J55" s="142" t="str">
        <f>IF(A55="TOTAL",ROUND(SUM($J$3:J54),2),IF(OR(A55="",H55="",I55=""),"",ROUND(H55*I55,2)))</f>
        <v/>
      </c>
      <c r="K55" s="144" t="str">
        <f>IF(OR(itens_Remanesc!A54="",NOT(ISNUMBER(parametros!$F$5))),"",ROUND(itens_Remanesc!C54*parametros!$F$5,2))</f>
        <v/>
      </c>
      <c r="L55" s="145" t="str">
        <f>IF(posicao_contratual!A54="","",posicao_contratual!S54)</f>
        <v/>
      </c>
      <c r="M55" s="144" t="str">
        <f>IF(A55="TOTAL",ROUND(SUM($M$3:M54),2),IF(OR(A55="",K55="",L55=""),"",ROUND(K55*L55,2)))</f>
        <v/>
      </c>
      <c r="N55" s="142" t="str">
        <f>IF(OR(itens_Remanesc!A54="",NOT(ISNUMBER(parametros!$F$6))),"",ROUND(itens_Remanesc!C54*parametros!$F$6,2))</f>
        <v/>
      </c>
      <c r="O55" s="143" t="str">
        <f>IF(posicao_contratual!A54="","",posicao_contratual!W54)</f>
        <v/>
      </c>
      <c r="P55" s="142" t="str">
        <f>IF(A55="TOTAL",ROUND(SUM($P$3:P54),2),IF(OR(A55="",N55="",O55=""),"",ROUND(N55*O55,2)))</f>
        <v/>
      </c>
    </row>
    <row r="56" spans="1:16" x14ac:dyDescent="0.35">
      <c r="A56" s="141" t="str">
        <f>IF(AND(itens_Remanesc!A55="",itens_Remanesc!A54&lt;&gt;"",COUNTIF(itens_Remanesc!A56:$A$200,"&lt;&gt;")=0),"TOTAL",IF(itens_Remanesc!A55="","",itens_Remanesc!A55))</f>
        <v/>
      </c>
      <c r="B56" s="142" t="str">
        <f>IF(OR(itens_Remanesc!A55="",NOT(ISNUMBER(parametros!$F$2))),"",ROUND(itens_Remanesc!C55*parametros!$F$2,2))</f>
        <v/>
      </c>
      <c r="C56" s="143" t="str">
        <f>IF(posicao_contratual!A55="","",posicao_contratual!G55)</f>
        <v/>
      </c>
      <c r="D56" s="142" t="str">
        <f>IF(A56="TOTAL",ROUND(SUM($D$3:D55),2),IF(A56="","",ROUND(B56*C56,2)))</f>
        <v/>
      </c>
      <c r="E56" s="144" t="str">
        <f>IF(OR(itens_Remanesc!A55="",NOT(ISNUMBER(parametros!$F$3))),"",ROUND(itens_Remanesc!C55*parametros!$F$3,2))</f>
        <v/>
      </c>
      <c r="F56" s="145" t="str">
        <f>IF(posicao_contratual!A55="","",posicao_contratual!K55)</f>
        <v/>
      </c>
      <c r="G56" s="144" t="str">
        <f>IF(A56="TOTAL",ROUND(SUM($G$3:G55),2),IF(OR(A56="",E56="",F56=""),"",ROUND(E56*F56,2)))</f>
        <v/>
      </c>
      <c r="H56" s="142" t="str">
        <f>IF(OR(itens_Remanesc!A55="",NOT(ISNUMBER(parametros!$F$4))),"",ROUND(itens_Remanesc!C55*parametros!$F$4,2))</f>
        <v/>
      </c>
      <c r="I56" s="143" t="str">
        <f>IF(posicao_contratual!A55="","",posicao_contratual!O55)</f>
        <v/>
      </c>
      <c r="J56" s="142" t="str">
        <f>IF(A56="TOTAL",ROUND(SUM($J$3:J55),2),IF(OR(A56="",H56="",I56=""),"",ROUND(H56*I56,2)))</f>
        <v/>
      </c>
      <c r="K56" s="144" t="str">
        <f>IF(OR(itens_Remanesc!A55="",NOT(ISNUMBER(parametros!$F$5))),"",ROUND(itens_Remanesc!C55*parametros!$F$5,2))</f>
        <v/>
      </c>
      <c r="L56" s="145" t="str">
        <f>IF(posicao_contratual!A55="","",posicao_contratual!S55)</f>
        <v/>
      </c>
      <c r="M56" s="144" t="str">
        <f>IF(A56="TOTAL",ROUND(SUM($M$3:M55),2),IF(OR(A56="",K56="",L56=""),"",ROUND(K56*L56,2)))</f>
        <v/>
      </c>
      <c r="N56" s="142" t="str">
        <f>IF(OR(itens_Remanesc!A55="",NOT(ISNUMBER(parametros!$F$6))),"",ROUND(itens_Remanesc!C55*parametros!$F$6,2))</f>
        <v/>
      </c>
      <c r="O56" s="143" t="str">
        <f>IF(posicao_contratual!A55="","",posicao_contratual!W55)</f>
        <v/>
      </c>
      <c r="P56" s="142" t="str">
        <f>IF(A56="TOTAL",ROUND(SUM($P$3:P55),2),IF(OR(A56="",N56="",O56=""),"",ROUND(N56*O56,2)))</f>
        <v/>
      </c>
    </row>
    <row r="57" spans="1:16" x14ac:dyDescent="0.35">
      <c r="A57" s="141" t="str">
        <f>IF(AND(itens_Remanesc!A56="",itens_Remanesc!A55&lt;&gt;"",COUNTIF(itens_Remanesc!A57:$A$200,"&lt;&gt;")=0),"TOTAL",IF(itens_Remanesc!A56="","",itens_Remanesc!A56))</f>
        <v/>
      </c>
      <c r="B57" s="142" t="str">
        <f>IF(OR(itens_Remanesc!A56="",NOT(ISNUMBER(parametros!$F$2))),"",ROUND(itens_Remanesc!C56*parametros!$F$2,2))</f>
        <v/>
      </c>
      <c r="C57" s="143" t="str">
        <f>IF(posicao_contratual!A56="","",posicao_contratual!G56)</f>
        <v/>
      </c>
      <c r="D57" s="142" t="str">
        <f>IF(A57="TOTAL",ROUND(SUM($D$3:D56),2),IF(A57="","",ROUND(B57*C57,2)))</f>
        <v/>
      </c>
      <c r="E57" s="144" t="str">
        <f>IF(OR(itens_Remanesc!A56="",NOT(ISNUMBER(parametros!$F$3))),"",ROUND(itens_Remanesc!C56*parametros!$F$3,2))</f>
        <v/>
      </c>
      <c r="F57" s="145" t="str">
        <f>IF(posicao_contratual!A56="","",posicao_contratual!K56)</f>
        <v/>
      </c>
      <c r="G57" s="144" t="str">
        <f>IF(A57="TOTAL",ROUND(SUM($G$3:G56),2),IF(OR(A57="",E57="",F57=""),"",ROUND(E57*F57,2)))</f>
        <v/>
      </c>
      <c r="H57" s="142" t="str">
        <f>IF(OR(itens_Remanesc!A56="",NOT(ISNUMBER(parametros!$F$4))),"",ROUND(itens_Remanesc!C56*parametros!$F$4,2))</f>
        <v/>
      </c>
      <c r="I57" s="143" t="str">
        <f>IF(posicao_contratual!A56="","",posicao_contratual!O56)</f>
        <v/>
      </c>
      <c r="J57" s="142" t="str">
        <f>IF(A57="TOTAL",ROUND(SUM($J$3:J56),2),IF(OR(A57="",H57="",I57=""),"",ROUND(H57*I57,2)))</f>
        <v/>
      </c>
      <c r="K57" s="144" t="str">
        <f>IF(OR(itens_Remanesc!A56="",NOT(ISNUMBER(parametros!$F$5))),"",ROUND(itens_Remanesc!C56*parametros!$F$5,2))</f>
        <v/>
      </c>
      <c r="L57" s="145" t="str">
        <f>IF(posicao_contratual!A56="","",posicao_contratual!S56)</f>
        <v/>
      </c>
      <c r="M57" s="144" t="str">
        <f>IF(A57="TOTAL",ROUND(SUM($M$3:M56),2),IF(OR(A57="",K57="",L57=""),"",ROUND(K57*L57,2)))</f>
        <v/>
      </c>
      <c r="N57" s="142" t="str">
        <f>IF(OR(itens_Remanesc!A56="",NOT(ISNUMBER(parametros!$F$6))),"",ROUND(itens_Remanesc!C56*parametros!$F$6,2))</f>
        <v/>
      </c>
      <c r="O57" s="143" t="str">
        <f>IF(posicao_contratual!A56="","",posicao_contratual!W56)</f>
        <v/>
      </c>
      <c r="P57" s="142" t="str">
        <f>IF(A57="TOTAL",ROUND(SUM($P$3:P56),2),IF(OR(A57="",N57="",O57=""),"",ROUND(N57*O57,2)))</f>
        <v/>
      </c>
    </row>
    <row r="58" spans="1:16" x14ac:dyDescent="0.35">
      <c r="A58" s="141" t="str">
        <f>IF(AND(itens_Remanesc!A57="",itens_Remanesc!A56&lt;&gt;"",COUNTIF(itens_Remanesc!A58:$A$200,"&lt;&gt;")=0),"TOTAL",IF(itens_Remanesc!A57="","",itens_Remanesc!A57))</f>
        <v/>
      </c>
      <c r="B58" s="142" t="str">
        <f>IF(OR(itens_Remanesc!A57="",NOT(ISNUMBER(parametros!$F$2))),"",ROUND(itens_Remanesc!C57*parametros!$F$2,2))</f>
        <v/>
      </c>
      <c r="C58" s="143" t="str">
        <f>IF(posicao_contratual!A57="","",posicao_contratual!G57)</f>
        <v/>
      </c>
      <c r="D58" s="142" t="str">
        <f>IF(A58="TOTAL",ROUND(SUM($D$3:D57),2),IF(A58="","",ROUND(B58*C58,2)))</f>
        <v/>
      </c>
      <c r="E58" s="144" t="str">
        <f>IF(OR(itens_Remanesc!A57="",NOT(ISNUMBER(parametros!$F$3))),"",ROUND(itens_Remanesc!C57*parametros!$F$3,2))</f>
        <v/>
      </c>
      <c r="F58" s="145" t="str">
        <f>IF(posicao_contratual!A57="","",posicao_contratual!K57)</f>
        <v/>
      </c>
      <c r="G58" s="144" t="str">
        <f>IF(A58="TOTAL",ROUND(SUM($G$3:G57),2),IF(OR(A58="",E58="",F58=""),"",ROUND(E58*F58,2)))</f>
        <v/>
      </c>
      <c r="H58" s="142" t="str">
        <f>IF(OR(itens_Remanesc!A57="",NOT(ISNUMBER(parametros!$F$4))),"",ROUND(itens_Remanesc!C57*parametros!$F$4,2))</f>
        <v/>
      </c>
      <c r="I58" s="143" t="str">
        <f>IF(posicao_contratual!A57="","",posicao_contratual!O57)</f>
        <v/>
      </c>
      <c r="J58" s="142" t="str">
        <f>IF(A58="TOTAL",ROUND(SUM($J$3:J57),2),IF(OR(A58="",H58="",I58=""),"",ROUND(H58*I58,2)))</f>
        <v/>
      </c>
      <c r="K58" s="144" t="str">
        <f>IF(OR(itens_Remanesc!A57="",NOT(ISNUMBER(parametros!$F$5))),"",ROUND(itens_Remanesc!C57*parametros!$F$5,2))</f>
        <v/>
      </c>
      <c r="L58" s="145" t="str">
        <f>IF(posicao_contratual!A57="","",posicao_contratual!S57)</f>
        <v/>
      </c>
      <c r="M58" s="144" t="str">
        <f>IF(A58="TOTAL",ROUND(SUM($M$3:M57),2),IF(OR(A58="",K58="",L58=""),"",ROUND(K58*L58,2)))</f>
        <v/>
      </c>
      <c r="N58" s="142" t="str">
        <f>IF(OR(itens_Remanesc!A57="",NOT(ISNUMBER(parametros!$F$6))),"",ROUND(itens_Remanesc!C57*parametros!$F$6,2))</f>
        <v/>
      </c>
      <c r="O58" s="143" t="str">
        <f>IF(posicao_contratual!A57="","",posicao_contratual!W57)</f>
        <v/>
      </c>
      <c r="P58" s="142" t="str">
        <f>IF(A58="TOTAL",ROUND(SUM($P$3:P57),2),IF(OR(A58="",N58="",O58=""),"",ROUND(N58*O58,2)))</f>
        <v/>
      </c>
    </row>
    <row r="59" spans="1:16" x14ac:dyDescent="0.35">
      <c r="A59" s="141" t="str">
        <f>IF(AND(itens_Remanesc!A58="",itens_Remanesc!A57&lt;&gt;"",COUNTIF(itens_Remanesc!A59:$A$200,"&lt;&gt;")=0),"TOTAL",IF(itens_Remanesc!A58="","",itens_Remanesc!A58))</f>
        <v/>
      </c>
      <c r="B59" s="142" t="str">
        <f>IF(OR(itens_Remanesc!A58="",NOT(ISNUMBER(parametros!$F$2))),"",ROUND(itens_Remanesc!C58*parametros!$F$2,2))</f>
        <v/>
      </c>
      <c r="C59" s="143" t="str">
        <f>IF(posicao_contratual!A58="","",posicao_contratual!G58)</f>
        <v/>
      </c>
      <c r="D59" s="142" t="str">
        <f>IF(A59="TOTAL",ROUND(SUM($D$3:D58),2),IF(A59="","",ROUND(B59*C59,2)))</f>
        <v/>
      </c>
      <c r="E59" s="144" t="str">
        <f>IF(OR(itens_Remanesc!A58="",NOT(ISNUMBER(parametros!$F$3))),"",ROUND(itens_Remanesc!C58*parametros!$F$3,2))</f>
        <v/>
      </c>
      <c r="F59" s="145" t="str">
        <f>IF(posicao_contratual!A58="","",posicao_contratual!K58)</f>
        <v/>
      </c>
      <c r="G59" s="144" t="str">
        <f>IF(A59="TOTAL",ROUND(SUM($G$3:G58),2),IF(OR(A59="",E59="",F59=""),"",ROUND(E59*F59,2)))</f>
        <v/>
      </c>
      <c r="H59" s="142" t="str">
        <f>IF(OR(itens_Remanesc!A58="",NOT(ISNUMBER(parametros!$F$4))),"",ROUND(itens_Remanesc!C58*parametros!$F$4,2))</f>
        <v/>
      </c>
      <c r="I59" s="143" t="str">
        <f>IF(posicao_contratual!A58="","",posicao_contratual!O58)</f>
        <v/>
      </c>
      <c r="J59" s="142" t="str">
        <f>IF(A59="TOTAL",ROUND(SUM($J$3:J58),2),IF(OR(A59="",H59="",I59=""),"",ROUND(H59*I59,2)))</f>
        <v/>
      </c>
      <c r="K59" s="144" t="str">
        <f>IF(OR(itens_Remanesc!A58="",NOT(ISNUMBER(parametros!$F$5))),"",ROUND(itens_Remanesc!C58*parametros!$F$5,2))</f>
        <v/>
      </c>
      <c r="L59" s="145" t="str">
        <f>IF(posicao_contratual!A58="","",posicao_contratual!S58)</f>
        <v/>
      </c>
      <c r="M59" s="144" t="str">
        <f>IF(A59="TOTAL",ROUND(SUM($M$3:M58),2),IF(OR(A59="",K59="",L59=""),"",ROUND(K59*L59,2)))</f>
        <v/>
      </c>
      <c r="N59" s="142" t="str">
        <f>IF(OR(itens_Remanesc!A58="",NOT(ISNUMBER(parametros!$F$6))),"",ROUND(itens_Remanesc!C58*parametros!$F$6,2))</f>
        <v/>
      </c>
      <c r="O59" s="143" t="str">
        <f>IF(posicao_contratual!A58="","",posicao_contratual!W58)</f>
        <v/>
      </c>
      <c r="P59" s="142" t="str">
        <f>IF(A59="TOTAL",ROUND(SUM($P$3:P58),2),IF(OR(A59="",N59="",O59=""),"",ROUND(N59*O59,2)))</f>
        <v/>
      </c>
    </row>
    <row r="60" spans="1:16" x14ac:dyDescent="0.35">
      <c r="A60" s="141" t="str">
        <f>IF(AND(itens_Remanesc!A59="",itens_Remanesc!A58&lt;&gt;"",COUNTIF(itens_Remanesc!A60:$A$200,"&lt;&gt;")=0),"TOTAL",IF(itens_Remanesc!A59="","",itens_Remanesc!A59))</f>
        <v/>
      </c>
      <c r="B60" s="142" t="str">
        <f>IF(OR(itens_Remanesc!A59="",NOT(ISNUMBER(parametros!$F$2))),"",ROUND(itens_Remanesc!C59*parametros!$F$2,2))</f>
        <v/>
      </c>
      <c r="C60" s="143" t="str">
        <f>IF(posicao_contratual!A59="","",posicao_contratual!G59)</f>
        <v/>
      </c>
      <c r="D60" s="142" t="str">
        <f>IF(A60="TOTAL",ROUND(SUM($D$3:D59),2),IF(A60="","",ROUND(B60*C60,2)))</f>
        <v/>
      </c>
      <c r="E60" s="144" t="str">
        <f>IF(OR(itens_Remanesc!A59="",NOT(ISNUMBER(parametros!$F$3))),"",ROUND(itens_Remanesc!C59*parametros!$F$3,2))</f>
        <v/>
      </c>
      <c r="F60" s="145" t="str">
        <f>IF(posicao_contratual!A59="","",posicao_contratual!K59)</f>
        <v/>
      </c>
      <c r="G60" s="144" t="str">
        <f>IF(A60="TOTAL",ROUND(SUM($G$3:G59),2),IF(OR(A60="",E60="",F60=""),"",ROUND(E60*F60,2)))</f>
        <v/>
      </c>
      <c r="H60" s="142" t="str">
        <f>IF(OR(itens_Remanesc!A59="",NOT(ISNUMBER(parametros!$F$4))),"",ROUND(itens_Remanesc!C59*parametros!$F$4,2))</f>
        <v/>
      </c>
      <c r="I60" s="143" t="str">
        <f>IF(posicao_contratual!A59="","",posicao_contratual!O59)</f>
        <v/>
      </c>
      <c r="J60" s="142" t="str">
        <f>IF(A60="TOTAL",ROUND(SUM($J$3:J59),2),IF(OR(A60="",H60="",I60=""),"",ROUND(H60*I60,2)))</f>
        <v/>
      </c>
      <c r="K60" s="144" t="str">
        <f>IF(OR(itens_Remanesc!A59="",NOT(ISNUMBER(parametros!$F$5))),"",ROUND(itens_Remanesc!C59*parametros!$F$5,2))</f>
        <v/>
      </c>
      <c r="L60" s="145" t="str">
        <f>IF(posicao_contratual!A59="","",posicao_contratual!S59)</f>
        <v/>
      </c>
      <c r="M60" s="144" t="str">
        <f>IF(A60="TOTAL",ROUND(SUM($M$3:M59),2),IF(OR(A60="",K60="",L60=""),"",ROUND(K60*L60,2)))</f>
        <v/>
      </c>
      <c r="N60" s="142" t="str">
        <f>IF(OR(itens_Remanesc!A59="",NOT(ISNUMBER(parametros!$F$6))),"",ROUND(itens_Remanesc!C59*parametros!$F$6,2))</f>
        <v/>
      </c>
      <c r="O60" s="143" t="str">
        <f>IF(posicao_contratual!A59="","",posicao_contratual!W59)</f>
        <v/>
      </c>
      <c r="P60" s="142" t="str">
        <f>IF(A60="TOTAL",ROUND(SUM($P$3:P59),2),IF(OR(A60="",N60="",O60=""),"",ROUND(N60*O60,2)))</f>
        <v/>
      </c>
    </row>
    <row r="61" spans="1:16" x14ac:dyDescent="0.35">
      <c r="A61" s="141" t="str">
        <f>IF(AND(itens_Remanesc!A60="",itens_Remanesc!A59&lt;&gt;"",COUNTIF(itens_Remanesc!A61:$A$200,"&lt;&gt;")=0),"TOTAL",IF(itens_Remanesc!A60="","",itens_Remanesc!A60))</f>
        <v/>
      </c>
      <c r="B61" s="142" t="str">
        <f>IF(OR(itens_Remanesc!A60="",NOT(ISNUMBER(parametros!$F$2))),"",ROUND(itens_Remanesc!C60*parametros!$F$2,2))</f>
        <v/>
      </c>
      <c r="C61" s="143" t="str">
        <f>IF(posicao_contratual!A60="","",posicao_contratual!G60)</f>
        <v/>
      </c>
      <c r="D61" s="142" t="str">
        <f>IF(A61="TOTAL",ROUND(SUM($D$3:D60),2),IF(A61="","",ROUND(B61*C61,2)))</f>
        <v/>
      </c>
      <c r="E61" s="144" t="str">
        <f>IF(OR(itens_Remanesc!A60="",NOT(ISNUMBER(parametros!$F$3))),"",ROUND(itens_Remanesc!C60*parametros!$F$3,2))</f>
        <v/>
      </c>
      <c r="F61" s="145" t="str">
        <f>IF(posicao_contratual!A60="","",posicao_contratual!K60)</f>
        <v/>
      </c>
      <c r="G61" s="144" t="str">
        <f>IF(A61="TOTAL",ROUND(SUM($G$3:G60),2),IF(OR(A61="",E61="",F61=""),"",ROUND(E61*F61,2)))</f>
        <v/>
      </c>
      <c r="H61" s="142" t="str">
        <f>IF(OR(itens_Remanesc!A60="",NOT(ISNUMBER(parametros!$F$4))),"",ROUND(itens_Remanesc!C60*parametros!$F$4,2))</f>
        <v/>
      </c>
      <c r="I61" s="143" t="str">
        <f>IF(posicao_contratual!A60="","",posicao_contratual!O60)</f>
        <v/>
      </c>
      <c r="J61" s="142" t="str">
        <f>IF(A61="TOTAL",ROUND(SUM($J$3:J60),2),IF(OR(A61="",H61="",I61=""),"",ROUND(H61*I61,2)))</f>
        <v/>
      </c>
      <c r="K61" s="144" t="str">
        <f>IF(OR(itens_Remanesc!A60="",NOT(ISNUMBER(parametros!$F$5))),"",ROUND(itens_Remanesc!C60*parametros!$F$5,2))</f>
        <v/>
      </c>
      <c r="L61" s="145" t="str">
        <f>IF(posicao_contratual!A60="","",posicao_contratual!S60)</f>
        <v/>
      </c>
      <c r="M61" s="144" t="str">
        <f>IF(A61="TOTAL",ROUND(SUM($M$3:M60),2),IF(OR(A61="",K61="",L61=""),"",ROUND(K61*L61,2)))</f>
        <v/>
      </c>
      <c r="N61" s="142" t="str">
        <f>IF(OR(itens_Remanesc!A60="",NOT(ISNUMBER(parametros!$F$6))),"",ROUND(itens_Remanesc!C60*parametros!$F$6,2))</f>
        <v/>
      </c>
      <c r="O61" s="143" t="str">
        <f>IF(posicao_contratual!A60="","",posicao_contratual!W60)</f>
        <v/>
      </c>
      <c r="P61" s="142" t="str">
        <f>IF(A61="TOTAL",ROUND(SUM($P$3:P60),2),IF(OR(A61="",N61="",O61=""),"",ROUND(N61*O61,2)))</f>
        <v/>
      </c>
    </row>
    <row r="62" spans="1:16" x14ac:dyDescent="0.35">
      <c r="A62" s="141" t="str">
        <f>IF(AND(itens_Remanesc!A61="",itens_Remanesc!A60&lt;&gt;"",COUNTIF(itens_Remanesc!A62:$A$200,"&lt;&gt;")=0),"TOTAL",IF(itens_Remanesc!A61="","",itens_Remanesc!A61))</f>
        <v/>
      </c>
      <c r="B62" s="142" t="str">
        <f>IF(OR(itens_Remanesc!A61="",NOT(ISNUMBER(parametros!$F$2))),"",ROUND(itens_Remanesc!C61*parametros!$F$2,2))</f>
        <v/>
      </c>
      <c r="C62" s="143" t="str">
        <f>IF(posicao_contratual!A61="","",posicao_contratual!G61)</f>
        <v/>
      </c>
      <c r="D62" s="142" t="str">
        <f>IF(A62="TOTAL",ROUND(SUM($D$3:D61),2),IF(A62="","",ROUND(B62*C62,2)))</f>
        <v/>
      </c>
      <c r="E62" s="144" t="str">
        <f>IF(OR(itens_Remanesc!A61="",NOT(ISNUMBER(parametros!$F$3))),"",ROUND(itens_Remanesc!C61*parametros!$F$3,2))</f>
        <v/>
      </c>
      <c r="F62" s="145" t="str">
        <f>IF(posicao_contratual!A61="","",posicao_contratual!K61)</f>
        <v/>
      </c>
      <c r="G62" s="144" t="str">
        <f>IF(A62="TOTAL",ROUND(SUM($G$3:G61),2),IF(OR(A62="",E62="",F62=""),"",ROUND(E62*F62,2)))</f>
        <v/>
      </c>
      <c r="H62" s="142" t="str">
        <f>IF(OR(itens_Remanesc!A61="",NOT(ISNUMBER(parametros!$F$4))),"",ROUND(itens_Remanesc!C61*parametros!$F$4,2))</f>
        <v/>
      </c>
      <c r="I62" s="143" t="str">
        <f>IF(posicao_contratual!A61="","",posicao_contratual!O61)</f>
        <v/>
      </c>
      <c r="J62" s="142" t="str">
        <f>IF(A62="TOTAL",ROUND(SUM($J$3:J61),2),IF(OR(A62="",H62="",I62=""),"",ROUND(H62*I62,2)))</f>
        <v/>
      </c>
      <c r="K62" s="144" t="str">
        <f>IF(OR(itens_Remanesc!A61="",NOT(ISNUMBER(parametros!$F$5))),"",ROUND(itens_Remanesc!C61*parametros!$F$5,2))</f>
        <v/>
      </c>
      <c r="L62" s="145" t="str">
        <f>IF(posicao_contratual!A61="","",posicao_contratual!S61)</f>
        <v/>
      </c>
      <c r="M62" s="144" t="str">
        <f>IF(A62="TOTAL",ROUND(SUM($M$3:M61),2),IF(OR(A62="",K62="",L62=""),"",ROUND(K62*L62,2)))</f>
        <v/>
      </c>
      <c r="N62" s="142" t="str">
        <f>IF(OR(itens_Remanesc!A61="",NOT(ISNUMBER(parametros!$F$6))),"",ROUND(itens_Remanesc!C61*parametros!$F$6,2))</f>
        <v/>
      </c>
      <c r="O62" s="143" t="str">
        <f>IF(posicao_contratual!A61="","",posicao_contratual!W61)</f>
        <v/>
      </c>
      <c r="P62" s="142" t="str">
        <f>IF(A62="TOTAL",ROUND(SUM($P$3:P61),2),IF(OR(A62="",N62="",O62=""),"",ROUND(N62*O62,2)))</f>
        <v/>
      </c>
    </row>
    <row r="63" spans="1:16" x14ac:dyDescent="0.35">
      <c r="A63" s="141" t="str">
        <f>IF(AND(itens_Remanesc!A62="",itens_Remanesc!A61&lt;&gt;"",COUNTIF(itens_Remanesc!A63:$A$200,"&lt;&gt;")=0),"TOTAL",IF(itens_Remanesc!A62="","",itens_Remanesc!A62))</f>
        <v/>
      </c>
      <c r="B63" s="142" t="str">
        <f>IF(OR(itens_Remanesc!A62="",NOT(ISNUMBER(parametros!$F$2))),"",ROUND(itens_Remanesc!C62*parametros!$F$2,2))</f>
        <v/>
      </c>
      <c r="C63" s="143" t="str">
        <f>IF(posicao_contratual!A62="","",posicao_contratual!G62)</f>
        <v/>
      </c>
      <c r="D63" s="142" t="str">
        <f>IF(A63="TOTAL",ROUND(SUM($D$3:D62),2),IF(A63="","",ROUND(B63*C63,2)))</f>
        <v/>
      </c>
      <c r="E63" s="144" t="str">
        <f>IF(OR(itens_Remanesc!A62="",NOT(ISNUMBER(parametros!$F$3))),"",ROUND(itens_Remanesc!C62*parametros!$F$3,2))</f>
        <v/>
      </c>
      <c r="F63" s="145" t="str">
        <f>IF(posicao_contratual!A62="","",posicao_contratual!K62)</f>
        <v/>
      </c>
      <c r="G63" s="144" t="str">
        <f>IF(A63="TOTAL",ROUND(SUM($G$3:G62),2),IF(OR(A63="",E63="",F63=""),"",ROUND(E63*F63,2)))</f>
        <v/>
      </c>
      <c r="H63" s="142" t="str">
        <f>IF(OR(itens_Remanesc!A62="",NOT(ISNUMBER(parametros!$F$4))),"",ROUND(itens_Remanesc!C62*parametros!$F$4,2))</f>
        <v/>
      </c>
      <c r="I63" s="143" t="str">
        <f>IF(posicao_contratual!A62="","",posicao_contratual!O62)</f>
        <v/>
      </c>
      <c r="J63" s="142" t="str">
        <f>IF(A63="TOTAL",ROUND(SUM($J$3:J62),2),IF(OR(A63="",H63="",I63=""),"",ROUND(H63*I63,2)))</f>
        <v/>
      </c>
      <c r="K63" s="144" t="str">
        <f>IF(OR(itens_Remanesc!A62="",NOT(ISNUMBER(parametros!$F$5))),"",ROUND(itens_Remanesc!C62*parametros!$F$5,2))</f>
        <v/>
      </c>
      <c r="L63" s="145" t="str">
        <f>IF(posicao_contratual!A62="","",posicao_contratual!S62)</f>
        <v/>
      </c>
      <c r="M63" s="144" t="str">
        <f>IF(A63="TOTAL",ROUND(SUM($M$3:M62),2),IF(OR(A63="",K63="",L63=""),"",ROUND(K63*L63,2)))</f>
        <v/>
      </c>
      <c r="N63" s="142" t="str">
        <f>IF(OR(itens_Remanesc!A62="",NOT(ISNUMBER(parametros!$F$6))),"",ROUND(itens_Remanesc!C62*parametros!$F$6,2))</f>
        <v/>
      </c>
      <c r="O63" s="143" t="str">
        <f>IF(posicao_contratual!A62="","",posicao_contratual!W62)</f>
        <v/>
      </c>
      <c r="P63" s="142" t="str">
        <f>IF(A63="TOTAL",ROUND(SUM($P$3:P62),2),IF(OR(A63="",N63="",O63=""),"",ROUND(N63*O63,2)))</f>
        <v/>
      </c>
    </row>
    <row r="64" spans="1:16" x14ac:dyDescent="0.35">
      <c r="A64" s="141" t="str">
        <f>IF(AND(itens_Remanesc!A63="",itens_Remanesc!A62&lt;&gt;"",COUNTIF(itens_Remanesc!A64:$A$200,"&lt;&gt;")=0),"TOTAL",IF(itens_Remanesc!A63="","",itens_Remanesc!A63))</f>
        <v/>
      </c>
      <c r="B64" s="142" t="str">
        <f>IF(OR(itens_Remanesc!A63="",NOT(ISNUMBER(parametros!$F$2))),"",ROUND(itens_Remanesc!C63*parametros!$F$2,2))</f>
        <v/>
      </c>
      <c r="C64" s="143" t="str">
        <f>IF(posicao_contratual!A63="","",posicao_contratual!G63)</f>
        <v/>
      </c>
      <c r="D64" s="142" t="str">
        <f>IF(A64="TOTAL",ROUND(SUM($D$3:D63),2),IF(A64="","",ROUND(B64*C64,2)))</f>
        <v/>
      </c>
      <c r="E64" s="144" t="str">
        <f>IF(OR(itens_Remanesc!A63="",NOT(ISNUMBER(parametros!$F$3))),"",ROUND(itens_Remanesc!C63*parametros!$F$3,2))</f>
        <v/>
      </c>
      <c r="F64" s="145" t="str">
        <f>IF(posicao_contratual!A63="","",posicao_contratual!K63)</f>
        <v/>
      </c>
      <c r="G64" s="144" t="str">
        <f>IF(A64="TOTAL",ROUND(SUM($G$3:G63),2),IF(OR(A64="",E64="",F64=""),"",ROUND(E64*F64,2)))</f>
        <v/>
      </c>
      <c r="H64" s="142" t="str">
        <f>IF(OR(itens_Remanesc!A63="",NOT(ISNUMBER(parametros!$F$4))),"",ROUND(itens_Remanesc!C63*parametros!$F$4,2))</f>
        <v/>
      </c>
      <c r="I64" s="143" t="str">
        <f>IF(posicao_contratual!A63="","",posicao_contratual!O63)</f>
        <v/>
      </c>
      <c r="J64" s="142" t="str">
        <f>IF(A64="TOTAL",ROUND(SUM($J$3:J63),2),IF(OR(A64="",H64="",I64=""),"",ROUND(H64*I64,2)))</f>
        <v/>
      </c>
      <c r="K64" s="144" t="str">
        <f>IF(OR(itens_Remanesc!A63="",NOT(ISNUMBER(parametros!$F$5))),"",ROUND(itens_Remanesc!C63*parametros!$F$5,2))</f>
        <v/>
      </c>
      <c r="L64" s="145" t="str">
        <f>IF(posicao_contratual!A63="","",posicao_contratual!S63)</f>
        <v/>
      </c>
      <c r="M64" s="144" t="str">
        <f>IF(A64="TOTAL",ROUND(SUM($M$3:M63),2),IF(OR(A64="",K64="",L64=""),"",ROUND(K64*L64,2)))</f>
        <v/>
      </c>
      <c r="N64" s="142" t="str">
        <f>IF(OR(itens_Remanesc!A63="",NOT(ISNUMBER(parametros!$F$6))),"",ROUND(itens_Remanesc!C63*parametros!$F$6,2))</f>
        <v/>
      </c>
      <c r="O64" s="143" t="str">
        <f>IF(posicao_contratual!A63="","",posicao_contratual!W63)</f>
        <v/>
      </c>
      <c r="P64" s="142" t="str">
        <f>IF(A64="TOTAL",ROUND(SUM($P$3:P63),2),IF(OR(A64="",N64="",O64=""),"",ROUND(N64*O64,2)))</f>
        <v/>
      </c>
    </row>
    <row r="65" spans="1:16" x14ac:dyDescent="0.35">
      <c r="A65" s="141" t="str">
        <f>IF(AND(itens_Remanesc!A64="",itens_Remanesc!A63&lt;&gt;"",COUNTIF(itens_Remanesc!A65:$A$200,"&lt;&gt;")=0),"TOTAL",IF(itens_Remanesc!A64="","",itens_Remanesc!A64))</f>
        <v/>
      </c>
      <c r="B65" s="142" t="str">
        <f>IF(OR(itens_Remanesc!A64="",NOT(ISNUMBER(parametros!$F$2))),"",ROUND(itens_Remanesc!C64*parametros!$F$2,2))</f>
        <v/>
      </c>
      <c r="C65" s="143" t="str">
        <f>IF(posicao_contratual!A64="","",posicao_contratual!G64)</f>
        <v/>
      </c>
      <c r="D65" s="142" t="str">
        <f>IF(A65="TOTAL",ROUND(SUM($D$3:D64),2),IF(A65="","",ROUND(B65*C65,2)))</f>
        <v/>
      </c>
      <c r="E65" s="144" t="str">
        <f>IF(OR(itens_Remanesc!A64="",NOT(ISNUMBER(parametros!$F$3))),"",ROUND(itens_Remanesc!C64*parametros!$F$3,2))</f>
        <v/>
      </c>
      <c r="F65" s="145" t="str">
        <f>IF(posicao_contratual!A64="","",posicao_contratual!K64)</f>
        <v/>
      </c>
      <c r="G65" s="144" t="str">
        <f>IF(A65="TOTAL",ROUND(SUM($G$3:G64),2),IF(OR(A65="",E65="",F65=""),"",ROUND(E65*F65,2)))</f>
        <v/>
      </c>
      <c r="H65" s="142" t="str">
        <f>IF(OR(itens_Remanesc!A64="",NOT(ISNUMBER(parametros!$F$4))),"",ROUND(itens_Remanesc!C64*parametros!$F$4,2))</f>
        <v/>
      </c>
      <c r="I65" s="143" t="str">
        <f>IF(posicao_contratual!A64="","",posicao_contratual!O64)</f>
        <v/>
      </c>
      <c r="J65" s="142" t="str">
        <f>IF(A65="TOTAL",ROUND(SUM($J$3:J64),2),IF(OR(A65="",H65="",I65=""),"",ROUND(H65*I65,2)))</f>
        <v/>
      </c>
      <c r="K65" s="144" t="str">
        <f>IF(OR(itens_Remanesc!A64="",NOT(ISNUMBER(parametros!$F$5))),"",ROUND(itens_Remanesc!C64*parametros!$F$5,2))</f>
        <v/>
      </c>
      <c r="L65" s="145" t="str">
        <f>IF(posicao_contratual!A64="","",posicao_contratual!S64)</f>
        <v/>
      </c>
      <c r="M65" s="144" t="str">
        <f>IF(A65="TOTAL",ROUND(SUM($M$3:M64),2),IF(OR(A65="",K65="",L65=""),"",ROUND(K65*L65,2)))</f>
        <v/>
      </c>
      <c r="N65" s="142" t="str">
        <f>IF(OR(itens_Remanesc!A64="",NOT(ISNUMBER(parametros!$F$6))),"",ROUND(itens_Remanesc!C64*parametros!$F$6,2))</f>
        <v/>
      </c>
      <c r="O65" s="143" t="str">
        <f>IF(posicao_contratual!A64="","",posicao_contratual!W64)</f>
        <v/>
      </c>
      <c r="P65" s="142" t="str">
        <f>IF(A65="TOTAL",ROUND(SUM($P$3:P64),2),IF(OR(A65="",N65="",O65=""),"",ROUND(N65*O65,2)))</f>
        <v/>
      </c>
    </row>
    <row r="66" spans="1:16" x14ac:dyDescent="0.35">
      <c r="A66" s="141" t="str">
        <f>IF(AND(itens_Remanesc!A65="",itens_Remanesc!A64&lt;&gt;"",COUNTIF(itens_Remanesc!A66:$A$200,"&lt;&gt;")=0),"TOTAL",IF(itens_Remanesc!A65="","",itens_Remanesc!A65))</f>
        <v/>
      </c>
      <c r="B66" s="142" t="str">
        <f>IF(OR(itens_Remanesc!A65="",NOT(ISNUMBER(parametros!$F$2))),"",ROUND(itens_Remanesc!C65*parametros!$F$2,2))</f>
        <v/>
      </c>
      <c r="C66" s="143" t="str">
        <f>IF(posicao_contratual!A65="","",posicao_contratual!G65)</f>
        <v/>
      </c>
      <c r="D66" s="142" t="str">
        <f>IF(A66="TOTAL",ROUND(SUM($D$3:D65),2),IF(A66="","",ROUND(B66*C66,2)))</f>
        <v/>
      </c>
      <c r="E66" s="144" t="str">
        <f>IF(OR(itens_Remanesc!A65="",NOT(ISNUMBER(parametros!$F$3))),"",ROUND(itens_Remanesc!C65*parametros!$F$3,2))</f>
        <v/>
      </c>
      <c r="F66" s="145" t="str">
        <f>IF(posicao_contratual!A65="","",posicao_contratual!K65)</f>
        <v/>
      </c>
      <c r="G66" s="144" t="str">
        <f>IF(A66="TOTAL",ROUND(SUM($G$3:G65),2),IF(OR(A66="",E66="",F66=""),"",ROUND(E66*F66,2)))</f>
        <v/>
      </c>
      <c r="H66" s="142" t="str">
        <f>IF(OR(itens_Remanesc!A65="",NOT(ISNUMBER(parametros!$F$4))),"",ROUND(itens_Remanesc!C65*parametros!$F$4,2))</f>
        <v/>
      </c>
      <c r="I66" s="143" t="str">
        <f>IF(posicao_contratual!A65="","",posicao_contratual!O65)</f>
        <v/>
      </c>
      <c r="J66" s="142" t="str">
        <f>IF(A66="TOTAL",ROUND(SUM($J$3:J65),2),IF(OR(A66="",H66="",I66=""),"",ROUND(H66*I66,2)))</f>
        <v/>
      </c>
      <c r="K66" s="144" t="str">
        <f>IF(OR(itens_Remanesc!A65="",NOT(ISNUMBER(parametros!$F$5))),"",ROUND(itens_Remanesc!C65*parametros!$F$5,2))</f>
        <v/>
      </c>
      <c r="L66" s="145" t="str">
        <f>IF(posicao_contratual!A65="","",posicao_contratual!S65)</f>
        <v/>
      </c>
      <c r="M66" s="144" t="str">
        <f>IF(A66="TOTAL",ROUND(SUM($M$3:M65),2),IF(OR(A66="",K66="",L66=""),"",ROUND(K66*L66,2)))</f>
        <v/>
      </c>
      <c r="N66" s="142" t="str">
        <f>IF(OR(itens_Remanesc!A65="",NOT(ISNUMBER(parametros!$F$6))),"",ROUND(itens_Remanesc!C65*parametros!$F$6,2))</f>
        <v/>
      </c>
      <c r="O66" s="143" t="str">
        <f>IF(posicao_contratual!A65="","",posicao_contratual!W65)</f>
        <v/>
      </c>
      <c r="P66" s="142" t="str">
        <f>IF(A66="TOTAL",ROUND(SUM($P$3:P65),2),IF(OR(A66="",N66="",O66=""),"",ROUND(N66*O66,2)))</f>
        <v/>
      </c>
    </row>
    <row r="67" spans="1:16" x14ac:dyDescent="0.35">
      <c r="A67" s="141" t="str">
        <f>IF(AND(itens_Remanesc!A66="",itens_Remanesc!A65&lt;&gt;"",COUNTIF(itens_Remanesc!A67:$A$200,"&lt;&gt;")=0),"TOTAL",IF(itens_Remanesc!A66="","",itens_Remanesc!A66))</f>
        <v/>
      </c>
      <c r="B67" s="142" t="str">
        <f>IF(OR(itens_Remanesc!A66="",NOT(ISNUMBER(parametros!$F$2))),"",ROUND(itens_Remanesc!C66*parametros!$F$2,2))</f>
        <v/>
      </c>
      <c r="C67" s="143" t="str">
        <f>IF(posicao_contratual!A66="","",posicao_contratual!G66)</f>
        <v/>
      </c>
      <c r="D67" s="142" t="str">
        <f>IF(A67="TOTAL",ROUND(SUM($D$3:D66),2),IF(A67="","",ROUND(B67*C67,2)))</f>
        <v/>
      </c>
      <c r="E67" s="144" t="str">
        <f>IF(OR(itens_Remanesc!A66="",NOT(ISNUMBER(parametros!$F$3))),"",ROUND(itens_Remanesc!C66*parametros!$F$3,2))</f>
        <v/>
      </c>
      <c r="F67" s="145" t="str">
        <f>IF(posicao_contratual!A66="","",posicao_contratual!K66)</f>
        <v/>
      </c>
      <c r="G67" s="144" t="str">
        <f>IF(A67="TOTAL",ROUND(SUM($G$3:G66),2),IF(OR(A67="",E67="",F67=""),"",ROUND(E67*F67,2)))</f>
        <v/>
      </c>
      <c r="H67" s="142" t="str">
        <f>IF(OR(itens_Remanesc!A66="",NOT(ISNUMBER(parametros!$F$4))),"",ROUND(itens_Remanesc!C66*parametros!$F$4,2))</f>
        <v/>
      </c>
      <c r="I67" s="143" t="str">
        <f>IF(posicao_contratual!A66="","",posicao_contratual!O66)</f>
        <v/>
      </c>
      <c r="J67" s="142" t="str">
        <f>IF(A67="TOTAL",ROUND(SUM($J$3:J66),2),IF(OR(A67="",H67="",I67=""),"",ROUND(H67*I67,2)))</f>
        <v/>
      </c>
      <c r="K67" s="144" t="str">
        <f>IF(OR(itens_Remanesc!A66="",NOT(ISNUMBER(parametros!$F$5))),"",ROUND(itens_Remanesc!C66*parametros!$F$5,2))</f>
        <v/>
      </c>
      <c r="L67" s="145" t="str">
        <f>IF(posicao_contratual!A66="","",posicao_contratual!S66)</f>
        <v/>
      </c>
      <c r="M67" s="144" t="str">
        <f>IF(A67="TOTAL",ROUND(SUM($M$3:M66),2),IF(OR(A67="",K67="",L67=""),"",ROUND(K67*L67,2)))</f>
        <v/>
      </c>
      <c r="N67" s="142" t="str">
        <f>IF(OR(itens_Remanesc!A66="",NOT(ISNUMBER(parametros!$F$6))),"",ROUND(itens_Remanesc!C66*parametros!$F$6,2))</f>
        <v/>
      </c>
      <c r="O67" s="143" t="str">
        <f>IF(posicao_contratual!A66="","",posicao_contratual!W66)</f>
        <v/>
      </c>
      <c r="P67" s="142" t="str">
        <f>IF(A67="TOTAL",ROUND(SUM($P$3:P66),2),IF(OR(A67="",N67="",O67=""),"",ROUND(N67*O67,2)))</f>
        <v/>
      </c>
    </row>
    <row r="68" spans="1:16" x14ac:dyDescent="0.35">
      <c r="A68" s="141" t="str">
        <f>IF(AND(itens_Remanesc!A67="",itens_Remanesc!A66&lt;&gt;"",COUNTIF(itens_Remanesc!A68:$A$200,"&lt;&gt;")=0),"TOTAL",IF(itens_Remanesc!A67="","",itens_Remanesc!A67))</f>
        <v/>
      </c>
      <c r="B68" s="142" t="str">
        <f>IF(OR(itens_Remanesc!A67="",NOT(ISNUMBER(parametros!$F$2))),"",ROUND(itens_Remanesc!C67*parametros!$F$2,2))</f>
        <v/>
      </c>
      <c r="C68" s="143" t="str">
        <f>IF(posicao_contratual!A67="","",posicao_contratual!G67)</f>
        <v/>
      </c>
      <c r="D68" s="142" t="str">
        <f>IF(A68="TOTAL",ROUND(SUM($D$3:D67),2),IF(A68="","",ROUND(B68*C68,2)))</f>
        <v/>
      </c>
      <c r="E68" s="144" t="str">
        <f>IF(OR(itens_Remanesc!A67="",NOT(ISNUMBER(parametros!$F$3))),"",ROUND(itens_Remanesc!C67*parametros!$F$3,2))</f>
        <v/>
      </c>
      <c r="F68" s="145" t="str">
        <f>IF(posicao_contratual!A67="","",posicao_contratual!K67)</f>
        <v/>
      </c>
      <c r="G68" s="144" t="str">
        <f>IF(A68="TOTAL",ROUND(SUM($G$3:G67),2),IF(OR(A68="",E68="",F68=""),"",ROUND(E68*F68,2)))</f>
        <v/>
      </c>
      <c r="H68" s="142" t="str">
        <f>IF(OR(itens_Remanesc!A67="",NOT(ISNUMBER(parametros!$F$4))),"",ROUND(itens_Remanesc!C67*parametros!$F$4,2))</f>
        <v/>
      </c>
      <c r="I68" s="143" t="str">
        <f>IF(posicao_contratual!A67="","",posicao_contratual!O67)</f>
        <v/>
      </c>
      <c r="J68" s="142" t="str">
        <f>IF(A68="TOTAL",ROUND(SUM($J$3:J67),2),IF(OR(A68="",H68="",I68=""),"",ROUND(H68*I68,2)))</f>
        <v/>
      </c>
      <c r="K68" s="144" t="str">
        <f>IF(OR(itens_Remanesc!A67="",NOT(ISNUMBER(parametros!$F$5))),"",ROUND(itens_Remanesc!C67*parametros!$F$5,2))</f>
        <v/>
      </c>
      <c r="L68" s="145" t="str">
        <f>IF(posicao_contratual!A67="","",posicao_contratual!S67)</f>
        <v/>
      </c>
      <c r="M68" s="144" t="str">
        <f>IF(A68="TOTAL",ROUND(SUM($M$3:M67),2),IF(OR(A68="",K68="",L68=""),"",ROUND(K68*L68,2)))</f>
        <v/>
      </c>
      <c r="N68" s="142" t="str">
        <f>IF(OR(itens_Remanesc!A67="",NOT(ISNUMBER(parametros!$F$6))),"",ROUND(itens_Remanesc!C67*parametros!$F$6,2))</f>
        <v/>
      </c>
      <c r="O68" s="143" t="str">
        <f>IF(posicao_contratual!A67="","",posicao_contratual!W67)</f>
        <v/>
      </c>
      <c r="P68" s="142" t="str">
        <f>IF(A68="TOTAL",ROUND(SUM($P$3:P67),2),IF(OR(A68="",N68="",O68=""),"",ROUND(N68*O68,2)))</f>
        <v/>
      </c>
    </row>
    <row r="69" spans="1:16" x14ac:dyDescent="0.35">
      <c r="A69" s="141" t="str">
        <f>IF(AND(itens_Remanesc!A68="",itens_Remanesc!A67&lt;&gt;"",COUNTIF(itens_Remanesc!A69:$A$200,"&lt;&gt;")=0),"TOTAL",IF(itens_Remanesc!A68="","",itens_Remanesc!A68))</f>
        <v/>
      </c>
      <c r="B69" s="142" t="str">
        <f>IF(OR(itens_Remanesc!A68="",NOT(ISNUMBER(parametros!$F$2))),"",ROUND(itens_Remanesc!C68*parametros!$F$2,2))</f>
        <v/>
      </c>
      <c r="C69" s="143" t="str">
        <f>IF(posicao_contratual!A68="","",posicao_contratual!G68)</f>
        <v/>
      </c>
      <c r="D69" s="142" t="str">
        <f>IF(A69="TOTAL",ROUND(SUM($D$3:D68),2),IF(A69="","",ROUND(B69*C69,2)))</f>
        <v/>
      </c>
      <c r="E69" s="144" t="str">
        <f>IF(OR(itens_Remanesc!A68="",NOT(ISNUMBER(parametros!$F$3))),"",ROUND(itens_Remanesc!C68*parametros!$F$3,2))</f>
        <v/>
      </c>
      <c r="F69" s="145" t="str">
        <f>IF(posicao_contratual!A68="","",posicao_contratual!K68)</f>
        <v/>
      </c>
      <c r="G69" s="144" t="str">
        <f>IF(A69="TOTAL",ROUND(SUM($G$3:G68),2),IF(OR(A69="",E69="",F69=""),"",ROUND(E69*F69,2)))</f>
        <v/>
      </c>
      <c r="H69" s="142" t="str">
        <f>IF(OR(itens_Remanesc!A68="",NOT(ISNUMBER(parametros!$F$4))),"",ROUND(itens_Remanesc!C68*parametros!$F$4,2))</f>
        <v/>
      </c>
      <c r="I69" s="143" t="str">
        <f>IF(posicao_contratual!A68="","",posicao_contratual!O68)</f>
        <v/>
      </c>
      <c r="J69" s="142" t="str">
        <f>IF(A69="TOTAL",ROUND(SUM($J$3:J68),2),IF(OR(A69="",H69="",I69=""),"",ROUND(H69*I69,2)))</f>
        <v/>
      </c>
      <c r="K69" s="144" t="str">
        <f>IF(OR(itens_Remanesc!A68="",NOT(ISNUMBER(parametros!$F$5))),"",ROUND(itens_Remanesc!C68*parametros!$F$5,2))</f>
        <v/>
      </c>
      <c r="L69" s="145" t="str">
        <f>IF(posicao_contratual!A68="","",posicao_contratual!S68)</f>
        <v/>
      </c>
      <c r="M69" s="144" t="str">
        <f>IF(A69="TOTAL",ROUND(SUM($M$3:M68),2),IF(OR(A69="",K69="",L69=""),"",ROUND(K69*L69,2)))</f>
        <v/>
      </c>
      <c r="N69" s="142" t="str">
        <f>IF(OR(itens_Remanesc!A68="",NOT(ISNUMBER(parametros!$F$6))),"",ROUND(itens_Remanesc!C68*parametros!$F$6,2))</f>
        <v/>
      </c>
      <c r="O69" s="143" t="str">
        <f>IF(posicao_contratual!A68="","",posicao_contratual!W68)</f>
        <v/>
      </c>
      <c r="P69" s="142" t="str">
        <f>IF(A69="TOTAL",ROUND(SUM($P$3:P68),2),IF(OR(A69="",N69="",O69=""),"",ROUND(N69*O69,2)))</f>
        <v/>
      </c>
    </row>
    <row r="70" spans="1:16" x14ac:dyDescent="0.35">
      <c r="A70" s="141" t="str">
        <f>IF(AND(itens_Remanesc!A69="",itens_Remanesc!A68&lt;&gt;"",COUNTIF(itens_Remanesc!A70:$A$200,"&lt;&gt;")=0),"TOTAL",IF(itens_Remanesc!A69="","",itens_Remanesc!A69))</f>
        <v/>
      </c>
      <c r="B70" s="142" t="str">
        <f>IF(OR(itens_Remanesc!A69="",NOT(ISNUMBER(parametros!$F$2))),"",ROUND(itens_Remanesc!C69*parametros!$F$2,2))</f>
        <v/>
      </c>
      <c r="C70" s="143" t="str">
        <f>IF(posicao_contratual!A69="","",posicao_contratual!G69)</f>
        <v/>
      </c>
      <c r="D70" s="142" t="str">
        <f>IF(A70="TOTAL",ROUND(SUM($D$3:D69),2),IF(A70="","",ROUND(B70*C70,2)))</f>
        <v/>
      </c>
      <c r="E70" s="144" t="str">
        <f>IF(OR(itens_Remanesc!A69="",NOT(ISNUMBER(parametros!$F$3))),"",ROUND(itens_Remanesc!C69*parametros!$F$3,2))</f>
        <v/>
      </c>
      <c r="F70" s="145" t="str">
        <f>IF(posicao_contratual!A69="","",posicao_contratual!K69)</f>
        <v/>
      </c>
      <c r="G70" s="144" t="str">
        <f>IF(A70="TOTAL",ROUND(SUM($G$3:G69),2),IF(OR(A70="",E70="",F70=""),"",ROUND(E70*F70,2)))</f>
        <v/>
      </c>
      <c r="H70" s="142" t="str">
        <f>IF(OR(itens_Remanesc!A69="",NOT(ISNUMBER(parametros!$F$4))),"",ROUND(itens_Remanesc!C69*parametros!$F$4,2))</f>
        <v/>
      </c>
      <c r="I70" s="143" t="str">
        <f>IF(posicao_contratual!A69="","",posicao_contratual!O69)</f>
        <v/>
      </c>
      <c r="J70" s="142" t="str">
        <f>IF(A70="TOTAL",ROUND(SUM($J$3:J69),2),IF(OR(A70="",H70="",I70=""),"",ROUND(H70*I70,2)))</f>
        <v/>
      </c>
      <c r="K70" s="144" t="str">
        <f>IF(OR(itens_Remanesc!A69="",NOT(ISNUMBER(parametros!$F$5))),"",ROUND(itens_Remanesc!C69*parametros!$F$5,2))</f>
        <v/>
      </c>
      <c r="L70" s="145" t="str">
        <f>IF(posicao_contratual!A69="","",posicao_contratual!S69)</f>
        <v/>
      </c>
      <c r="M70" s="144" t="str">
        <f>IF(A70="TOTAL",ROUND(SUM($M$3:M69),2),IF(OR(A70="",K70="",L70=""),"",ROUND(K70*L70,2)))</f>
        <v/>
      </c>
      <c r="N70" s="142" t="str">
        <f>IF(OR(itens_Remanesc!A69="",NOT(ISNUMBER(parametros!$F$6))),"",ROUND(itens_Remanesc!C69*parametros!$F$6,2))</f>
        <v/>
      </c>
      <c r="O70" s="143" t="str">
        <f>IF(posicao_contratual!A69="","",posicao_contratual!W69)</f>
        <v/>
      </c>
      <c r="P70" s="142" t="str">
        <f>IF(A70="TOTAL",ROUND(SUM($P$3:P69),2),IF(OR(A70="",N70="",O70=""),"",ROUND(N70*O70,2)))</f>
        <v/>
      </c>
    </row>
    <row r="71" spans="1:16" x14ac:dyDescent="0.35">
      <c r="A71" s="141" t="str">
        <f>IF(AND(itens_Remanesc!A70="",itens_Remanesc!A69&lt;&gt;"",COUNTIF(itens_Remanesc!A71:$A$200,"&lt;&gt;")=0),"TOTAL",IF(itens_Remanesc!A70="","",itens_Remanesc!A70))</f>
        <v/>
      </c>
      <c r="B71" s="142" t="str">
        <f>IF(OR(itens_Remanesc!A70="",NOT(ISNUMBER(parametros!$F$2))),"",ROUND(itens_Remanesc!C70*parametros!$F$2,2))</f>
        <v/>
      </c>
      <c r="C71" s="143" t="str">
        <f>IF(posicao_contratual!A70="","",posicao_contratual!G70)</f>
        <v/>
      </c>
      <c r="D71" s="142" t="str">
        <f>IF(A71="TOTAL",ROUND(SUM($D$3:D70),2),IF(A71="","",ROUND(B71*C71,2)))</f>
        <v/>
      </c>
      <c r="E71" s="144" t="str">
        <f>IF(OR(itens_Remanesc!A70="",NOT(ISNUMBER(parametros!$F$3))),"",ROUND(itens_Remanesc!C70*parametros!$F$3,2))</f>
        <v/>
      </c>
      <c r="F71" s="145" t="str">
        <f>IF(posicao_contratual!A70="","",posicao_contratual!K70)</f>
        <v/>
      </c>
      <c r="G71" s="144" t="str">
        <f>IF(A71="TOTAL",ROUND(SUM($G$3:G70),2),IF(OR(A71="",E71="",F71=""),"",ROUND(E71*F71,2)))</f>
        <v/>
      </c>
      <c r="H71" s="142" t="str">
        <f>IF(OR(itens_Remanesc!A70="",NOT(ISNUMBER(parametros!$F$4))),"",ROUND(itens_Remanesc!C70*parametros!$F$4,2))</f>
        <v/>
      </c>
      <c r="I71" s="143" t="str">
        <f>IF(posicao_contratual!A70="","",posicao_contratual!O70)</f>
        <v/>
      </c>
      <c r="J71" s="142" t="str">
        <f>IF(A71="TOTAL",ROUND(SUM($J$3:J70),2),IF(OR(A71="",H71="",I71=""),"",ROUND(H71*I71,2)))</f>
        <v/>
      </c>
      <c r="K71" s="144" t="str">
        <f>IF(OR(itens_Remanesc!A70="",NOT(ISNUMBER(parametros!$F$5))),"",ROUND(itens_Remanesc!C70*parametros!$F$5,2))</f>
        <v/>
      </c>
      <c r="L71" s="145" t="str">
        <f>IF(posicao_contratual!A70="","",posicao_contratual!S70)</f>
        <v/>
      </c>
      <c r="M71" s="144" t="str">
        <f>IF(A71="TOTAL",ROUND(SUM($M$3:M70),2),IF(OR(A71="",K71="",L71=""),"",ROUND(K71*L71,2)))</f>
        <v/>
      </c>
      <c r="N71" s="142" t="str">
        <f>IF(OR(itens_Remanesc!A70="",NOT(ISNUMBER(parametros!$F$6))),"",ROUND(itens_Remanesc!C70*parametros!$F$6,2))</f>
        <v/>
      </c>
      <c r="O71" s="143" t="str">
        <f>IF(posicao_contratual!A70="","",posicao_contratual!W70)</f>
        <v/>
      </c>
      <c r="P71" s="142" t="str">
        <f>IF(A71="TOTAL",ROUND(SUM($P$3:P70),2),IF(OR(A71="",N71="",O71=""),"",ROUND(N71*O71,2)))</f>
        <v/>
      </c>
    </row>
    <row r="72" spans="1:16" x14ac:dyDescent="0.35">
      <c r="A72" s="141" t="str">
        <f>IF(AND(itens_Remanesc!A71="",itens_Remanesc!A70&lt;&gt;"",COUNTIF(itens_Remanesc!A72:$A$200,"&lt;&gt;")=0),"TOTAL",IF(itens_Remanesc!A71="","",itens_Remanesc!A71))</f>
        <v/>
      </c>
      <c r="B72" s="142" t="str">
        <f>IF(OR(itens_Remanesc!A71="",NOT(ISNUMBER(parametros!$F$2))),"",ROUND(itens_Remanesc!C71*parametros!$F$2,2))</f>
        <v/>
      </c>
      <c r="C72" s="143" t="str">
        <f>IF(posicao_contratual!A71="","",posicao_contratual!G71)</f>
        <v/>
      </c>
      <c r="D72" s="142" t="str">
        <f>IF(A72="TOTAL",ROUND(SUM($D$3:D71),2),IF(A72="","",ROUND(B72*C72,2)))</f>
        <v/>
      </c>
      <c r="E72" s="144" t="str">
        <f>IF(OR(itens_Remanesc!A71="",NOT(ISNUMBER(parametros!$F$3))),"",ROUND(itens_Remanesc!C71*parametros!$F$3,2))</f>
        <v/>
      </c>
      <c r="F72" s="145" t="str">
        <f>IF(posicao_contratual!A71="","",posicao_contratual!K71)</f>
        <v/>
      </c>
      <c r="G72" s="144" t="str">
        <f>IF(A72="TOTAL",ROUND(SUM($G$3:G71),2),IF(OR(A72="",E72="",F72=""),"",ROUND(E72*F72,2)))</f>
        <v/>
      </c>
      <c r="H72" s="142" t="str">
        <f>IF(OR(itens_Remanesc!A71="",NOT(ISNUMBER(parametros!$F$4))),"",ROUND(itens_Remanesc!C71*parametros!$F$4,2))</f>
        <v/>
      </c>
      <c r="I72" s="143" t="str">
        <f>IF(posicao_contratual!A71="","",posicao_contratual!O71)</f>
        <v/>
      </c>
      <c r="J72" s="142" t="str">
        <f>IF(A72="TOTAL",ROUND(SUM($J$3:J71),2),IF(OR(A72="",H72="",I72=""),"",ROUND(H72*I72,2)))</f>
        <v/>
      </c>
      <c r="K72" s="144" t="str">
        <f>IF(OR(itens_Remanesc!A71="",NOT(ISNUMBER(parametros!$F$5))),"",ROUND(itens_Remanesc!C71*parametros!$F$5,2))</f>
        <v/>
      </c>
      <c r="L72" s="145" t="str">
        <f>IF(posicao_contratual!A71="","",posicao_contratual!S71)</f>
        <v/>
      </c>
      <c r="M72" s="144" t="str">
        <f>IF(A72="TOTAL",ROUND(SUM($M$3:M71),2),IF(OR(A72="",K72="",L72=""),"",ROUND(K72*L72,2)))</f>
        <v/>
      </c>
      <c r="N72" s="142" t="str">
        <f>IF(OR(itens_Remanesc!A71="",NOT(ISNUMBER(parametros!$F$6))),"",ROUND(itens_Remanesc!C71*parametros!$F$6,2))</f>
        <v/>
      </c>
      <c r="O72" s="143" t="str">
        <f>IF(posicao_contratual!A71="","",posicao_contratual!W71)</f>
        <v/>
      </c>
      <c r="P72" s="142" t="str">
        <f>IF(A72="TOTAL",ROUND(SUM($P$3:P71),2),IF(OR(A72="",N72="",O72=""),"",ROUND(N72*O72,2)))</f>
        <v/>
      </c>
    </row>
    <row r="73" spans="1:16" x14ac:dyDescent="0.35">
      <c r="A73" s="141" t="str">
        <f>IF(AND(itens_Remanesc!A72="",itens_Remanesc!A71&lt;&gt;"",COUNTIF(itens_Remanesc!A73:$A$200,"&lt;&gt;")=0),"TOTAL",IF(itens_Remanesc!A72="","",itens_Remanesc!A72))</f>
        <v/>
      </c>
      <c r="B73" s="142" t="str">
        <f>IF(OR(itens_Remanesc!A72="",NOT(ISNUMBER(parametros!$F$2))),"",ROUND(itens_Remanesc!C72*parametros!$F$2,2))</f>
        <v/>
      </c>
      <c r="C73" s="143" t="str">
        <f>IF(posicao_contratual!A72="","",posicao_contratual!G72)</f>
        <v/>
      </c>
      <c r="D73" s="142" t="str">
        <f>IF(A73="TOTAL",ROUND(SUM($D$3:D72),2),IF(A73="","",ROUND(B73*C73,2)))</f>
        <v/>
      </c>
      <c r="E73" s="144" t="str">
        <f>IF(OR(itens_Remanesc!A72="",NOT(ISNUMBER(parametros!$F$3))),"",ROUND(itens_Remanesc!C72*parametros!$F$3,2))</f>
        <v/>
      </c>
      <c r="F73" s="145" t="str">
        <f>IF(posicao_contratual!A72="","",posicao_contratual!K72)</f>
        <v/>
      </c>
      <c r="G73" s="144" t="str">
        <f>IF(A73="TOTAL",ROUND(SUM($G$3:G72),2),IF(OR(A73="",E73="",F73=""),"",ROUND(E73*F73,2)))</f>
        <v/>
      </c>
      <c r="H73" s="142" t="str">
        <f>IF(OR(itens_Remanesc!A72="",NOT(ISNUMBER(parametros!$F$4))),"",ROUND(itens_Remanesc!C72*parametros!$F$4,2))</f>
        <v/>
      </c>
      <c r="I73" s="143" t="str">
        <f>IF(posicao_contratual!A72="","",posicao_contratual!O72)</f>
        <v/>
      </c>
      <c r="J73" s="142" t="str">
        <f>IF(A73="TOTAL",ROUND(SUM($J$3:J72),2),IF(OR(A73="",H73="",I73=""),"",ROUND(H73*I73,2)))</f>
        <v/>
      </c>
      <c r="K73" s="144" t="str">
        <f>IF(OR(itens_Remanesc!A72="",NOT(ISNUMBER(parametros!$F$5))),"",ROUND(itens_Remanesc!C72*parametros!$F$5,2))</f>
        <v/>
      </c>
      <c r="L73" s="145" t="str">
        <f>IF(posicao_contratual!A72="","",posicao_contratual!S72)</f>
        <v/>
      </c>
      <c r="M73" s="144" t="str">
        <f>IF(A73="TOTAL",ROUND(SUM($M$3:M72),2),IF(OR(A73="",K73="",L73=""),"",ROUND(K73*L73,2)))</f>
        <v/>
      </c>
      <c r="N73" s="142" t="str">
        <f>IF(OR(itens_Remanesc!A72="",NOT(ISNUMBER(parametros!$F$6))),"",ROUND(itens_Remanesc!C72*parametros!$F$6,2))</f>
        <v/>
      </c>
      <c r="O73" s="143" t="str">
        <f>IF(posicao_contratual!A72="","",posicao_contratual!W72)</f>
        <v/>
      </c>
      <c r="P73" s="142" t="str">
        <f>IF(A73="TOTAL",ROUND(SUM($P$3:P72),2),IF(OR(A73="",N73="",O73=""),"",ROUND(N73*O73,2)))</f>
        <v/>
      </c>
    </row>
    <row r="74" spans="1:16" x14ac:dyDescent="0.35">
      <c r="A74" s="141" t="str">
        <f>IF(AND(itens_Remanesc!A73="",itens_Remanesc!A72&lt;&gt;"",COUNTIF(itens_Remanesc!A74:$A$200,"&lt;&gt;")=0),"TOTAL",IF(itens_Remanesc!A73="","",itens_Remanesc!A73))</f>
        <v/>
      </c>
      <c r="B74" s="142" t="str">
        <f>IF(OR(itens_Remanesc!A73="",NOT(ISNUMBER(parametros!$F$2))),"",ROUND(itens_Remanesc!C73*parametros!$F$2,2))</f>
        <v/>
      </c>
      <c r="C74" s="143" t="str">
        <f>IF(posicao_contratual!A73="","",posicao_contratual!G73)</f>
        <v/>
      </c>
      <c r="D74" s="142" t="str">
        <f>IF(A74="TOTAL",ROUND(SUM($D$3:D73),2),IF(A74="","",ROUND(B74*C74,2)))</f>
        <v/>
      </c>
      <c r="E74" s="144" t="str">
        <f>IF(OR(itens_Remanesc!A73="",NOT(ISNUMBER(parametros!$F$3))),"",ROUND(itens_Remanesc!C73*parametros!$F$3,2))</f>
        <v/>
      </c>
      <c r="F74" s="145" t="str">
        <f>IF(posicao_contratual!A73="","",posicao_contratual!K73)</f>
        <v/>
      </c>
      <c r="G74" s="144" t="str">
        <f>IF(A74="TOTAL",ROUND(SUM($G$3:G73),2),IF(OR(A74="",E74="",F74=""),"",ROUND(E74*F74,2)))</f>
        <v/>
      </c>
      <c r="H74" s="142" t="str">
        <f>IF(OR(itens_Remanesc!A73="",NOT(ISNUMBER(parametros!$F$4))),"",ROUND(itens_Remanesc!C73*parametros!$F$4,2))</f>
        <v/>
      </c>
      <c r="I74" s="143" t="str">
        <f>IF(posicao_contratual!A73="","",posicao_contratual!O73)</f>
        <v/>
      </c>
      <c r="J74" s="142" t="str">
        <f>IF(A74="TOTAL",ROUND(SUM($J$3:J73),2),IF(OR(A74="",H74="",I74=""),"",ROUND(H74*I74,2)))</f>
        <v/>
      </c>
      <c r="K74" s="144" t="str">
        <f>IF(OR(itens_Remanesc!A73="",NOT(ISNUMBER(parametros!$F$5))),"",ROUND(itens_Remanesc!C73*parametros!$F$5,2))</f>
        <v/>
      </c>
      <c r="L74" s="145" t="str">
        <f>IF(posicao_contratual!A73="","",posicao_contratual!S73)</f>
        <v/>
      </c>
      <c r="M74" s="144" t="str">
        <f>IF(A74="TOTAL",ROUND(SUM($M$3:M73),2),IF(OR(A74="",K74="",L74=""),"",ROUND(K74*L74,2)))</f>
        <v/>
      </c>
      <c r="N74" s="142" t="str">
        <f>IF(OR(itens_Remanesc!A73="",NOT(ISNUMBER(parametros!$F$6))),"",ROUND(itens_Remanesc!C73*parametros!$F$6,2))</f>
        <v/>
      </c>
      <c r="O74" s="143" t="str">
        <f>IF(posicao_contratual!A73="","",posicao_contratual!W73)</f>
        <v/>
      </c>
      <c r="P74" s="142" t="str">
        <f>IF(A74="TOTAL",ROUND(SUM($P$3:P73),2),IF(OR(A74="",N74="",O74=""),"",ROUND(N74*O74,2)))</f>
        <v/>
      </c>
    </row>
    <row r="75" spans="1:16" x14ac:dyDescent="0.35">
      <c r="A75" s="141" t="str">
        <f>IF(AND(itens_Remanesc!A74="",itens_Remanesc!A73&lt;&gt;"",COUNTIF(itens_Remanesc!A75:$A$200,"&lt;&gt;")=0),"TOTAL",IF(itens_Remanesc!A74="","",itens_Remanesc!A74))</f>
        <v/>
      </c>
      <c r="B75" s="142" t="str">
        <f>IF(OR(itens_Remanesc!A74="",NOT(ISNUMBER(parametros!$F$2))),"",ROUND(itens_Remanesc!C74*parametros!$F$2,2))</f>
        <v/>
      </c>
      <c r="C75" s="143" t="str">
        <f>IF(posicao_contratual!A74="","",posicao_contratual!G74)</f>
        <v/>
      </c>
      <c r="D75" s="142" t="str">
        <f>IF(A75="TOTAL",ROUND(SUM($D$3:D74),2),IF(A75="","",ROUND(B75*C75,2)))</f>
        <v/>
      </c>
      <c r="E75" s="144" t="str">
        <f>IF(OR(itens_Remanesc!A74="",NOT(ISNUMBER(parametros!$F$3))),"",ROUND(itens_Remanesc!C74*parametros!$F$3,2))</f>
        <v/>
      </c>
      <c r="F75" s="145" t="str">
        <f>IF(posicao_contratual!A74="","",posicao_contratual!K74)</f>
        <v/>
      </c>
      <c r="G75" s="144" t="str">
        <f>IF(A75="TOTAL",ROUND(SUM($G$3:G74),2),IF(OR(A75="",E75="",F75=""),"",ROUND(E75*F75,2)))</f>
        <v/>
      </c>
      <c r="H75" s="142" t="str">
        <f>IF(OR(itens_Remanesc!A74="",NOT(ISNUMBER(parametros!$F$4))),"",ROUND(itens_Remanesc!C74*parametros!$F$4,2))</f>
        <v/>
      </c>
      <c r="I75" s="143" t="str">
        <f>IF(posicao_contratual!A74="","",posicao_contratual!O74)</f>
        <v/>
      </c>
      <c r="J75" s="142" t="str">
        <f>IF(A75="TOTAL",ROUND(SUM($J$3:J74),2),IF(OR(A75="",H75="",I75=""),"",ROUND(H75*I75,2)))</f>
        <v/>
      </c>
      <c r="K75" s="144" t="str">
        <f>IF(OR(itens_Remanesc!A74="",NOT(ISNUMBER(parametros!$F$5))),"",ROUND(itens_Remanesc!C74*parametros!$F$5,2))</f>
        <v/>
      </c>
      <c r="L75" s="145" t="str">
        <f>IF(posicao_contratual!A74="","",posicao_contratual!S74)</f>
        <v/>
      </c>
      <c r="M75" s="144" t="str">
        <f>IF(A75="TOTAL",ROUND(SUM($M$3:M74),2),IF(OR(A75="",K75="",L75=""),"",ROUND(K75*L75,2)))</f>
        <v/>
      </c>
      <c r="N75" s="142" t="str">
        <f>IF(OR(itens_Remanesc!A74="",NOT(ISNUMBER(parametros!$F$6))),"",ROUND(itens_Remanesc!C74*parametros!$F$6,2))</f>
        <v/>
      </c>
      <c r="O75" s="143" t="str">
        <f>IF(posicao_contratual!A74="","",posicao_contratual!W74)</f>
        <v/>
      </c>
      <c r="P75" s="142" t="str">
        <f>IF(A75="TOTAL",ROUND(SUM($P$3:P74),2),IF(OR(A75="",N75="",O75=""),"",ROUND(N75*O75,2)))</f>
        <v/>
      </c>
    </row>
    <row r="76" spans="1:16" x14ac:dyDescent="0.35">
      <c r="A76" s="141" t="str">
        <f>IF(AND(itens_Remanesc!A75="",itens_Remanesc!A74&lt;&gt;"",COUNTIF(itens_Remanesc!A76:$A$200,"&lt;&gt;")=0),"TOTAL",IF(itens_Remanesc!A75="","",itens_Remanesc!A75))</f>
        <v/>
      </c>
      <c r="B76" s="142" t="str">
        <f>IF(OR(itens_Remanesc!A75="",NOT(ISNUMBER(parametros!$F$2))),"",ROUND(itens_Remanesc!C75*parametros!$F$2,2))</f>
        <v/>
      </c>
      <c r="C76" s="143" t="str">
        <f>IF(posicao_contratual!A75="","",posicao_contratual!G75)</f>
        <v/>
      </c>
      <c r="D76" s="142" t="str">
        <f>IF(A76="TOTAL",ROUND(SUM($D$3:D75),2),IF(A76="","",ROUND(B76*C76,2)))</f>
        <v/>
      </c>
      <c r="E76" s="144" t="str">
        <f>IF(OR(itens_Remanesc!A75="",NOT(ISNUMBER(parametros!$F$3))),"",ROUND(itens_Remanesc!C75*parametros!$F$3,2))</f>
        <v/>
      </c>
      <c r="F76" s="145" t="str">
        <f>IF(posicao_contratual!A75="","",posicao_contratual!K75)</f>
        <v/>
      </c>
      <c r="G76" s="144" t="str">
        <f>IF(A76="TOTAL",ROUND(SUM($G$3:G75),2),IF(OR(A76="",E76="",F76=""),"",ROUND(E76*F76,2)))</f>
        <v/>
      </c>
      <c r="H76" s="142" t="str">
        <f>IF(OR(itens_Remanesc!A75="",NOT(ISNUMBER(parametros!$F$4))),"",ROUND(itens_Remanesc!C75*parametros!$F$4,2))</f>
        <v/>
      </c>
      <c r="I76" s="143" t="str">
        <f>IF(posicao_contratual!A75="","",posicao_contratual!O75)</f>
        <v/>
      </c>
      <c r="J76" s="142" t="str">
        <f>IF(A76="TOTAL",ROUND(SUM($J$3:J75),2),IF(OR(A76="",H76="",I76=""),"",ROUND(H76*I76,2)))</f>
        <v/>
      </c>
      <c r="K76" s="144" t="str">
        <f>IF(OR(itens_Remanesc!A75="",NOT(ISNUMBER(parametros!$F$5))),"",ROUND(itens_Remanesc!C75*parametros!$F$5,2))</f>
        <v/>
      </c>
      <c r="L76" s="145" t="str">
        <f>IF(posicao_contratual!A75="","",posicao_contratual!S75)</f>
        <v/>
      </c>
      <c r="M76" s="144" t="str">
        <f>IF(A76="TOTAL",ROUND(SUM($M$3:M75),2),IF(OR(A76="",K76="",L76=""),"",ROUND(K76*L76,2)))</f>
        <v/>
      </c>
      <c r="N76" s="142" t="str">
        <f>IF(OR(itens_Remanesc!A75="",NOT(ISNUMBER(parametros!$F$6))),"",ROUND(itens_Remanesc!C75*parametros!$F$6,2))</f>
        <v/>
      </c>
      <c r="O76" s="143" t="str">
        <f>IF(posicao_contratual!A75="","",posicao_contratual!W75)</f>
        <v/>
      </c>
      <c r="P76" s="142" t="str">
        <f>IF(A76="TOTAL",ROUND(SUM($P$3:P75),2),IF(OR(A76="",N76="",O76=""),"",ROUND(N76*O76,2)))</f>
        <v/>
      </c>
    </row>
    <row r="77" spans="1:16" x14ac:dyDescent="0.35">
      <c r="A77" s="141" t="str">
        <f>IF(AND(itens_Remanesc!A76="",itens_Remanesc!A75&lt;&gt;"",COUNTIF(itens_Remanesc!A77:$A$200,"&lt;&gt;")=0),"TOTAL",IF(itens_Remanesc!A76="","",itens_Remanesc!A76))</f>
        <v/>
      </c>
      <c r="B77" s="142" t="str">
        <f>IF(OR(itens_Remanesc!A76="",NOT(ISNUMBER(parametros!$F$2))),"",ROUND(itens_Remanesc!C76*parametros!$F$2,2))</f>
        <v/>
      </c>
      <c r="C77" s="143" t="str">
        <f>IF(posicao_contratual!A76="","",posicao_contratual!G76)</f>
        <v/>
      </c>
      <c r="D77" s="142" t="str">
        <f>IF(A77="TOTAL",ROUND(SUM($D$3:D76),2),IF(A77="","",ROUND(B77*C77,2)))</f>
        <v/>
      </c>
      <c r="E77" s="144" t="str">
        <f>IF(OR(itens_Remanesc!A76="",NOT(ISNUMBER(parametros!$F$3))),"",ROUND(itens_Remanesc!C76*parametros!$F$3,2))</f>
        <v/>
      </c>
      <c r="F77" s="145" t="str">
        <f>IF(posicao_contratual!A76="","",posicao_contratual!K76)</f>
        <v/>
      </c>
      <c r="G77" s="144" t="str">
        <f>IF(A77="TOTAL",ROUND(SUM($G$3:G76),2),IF(OR(A77="",E77="",F77=""),"",ROUND(E77*F77,2)))</f>
        <v/>
      </c>
      <c r="H77" s="142" t="str">
        <f>IF(OR(itens_Remanesc!A76="",NOT(ISNUMBER(parametros!$F$4))),"",ROUND(itens_Remanesc!C76*parametros!$F$4,2))</f>
        <v/>
      </c>
      <c r="I77" s="143" t="str">
        <f>IF(posicao_contratual!A76="","",posicao_contratual!O76)</f>
        <v/>
      </c>
      <c r="J77" s="142" t="str">
        <f>IF(A77="TOTAL",ROUND(SUM($J$3:J76),2),IF(OR(A77="",H77="",I77=""),"",ROUND(H77*I77,2)))</f>
        <v/>
      </c>
      <c r="K77" s="144" t="str">
        <f>IF(OR(itens_Remanesc!A76="",NOT(ISNUMBER(parametros!$F$5))),"",ROUND(itens_Remanesc!C76*parametros!$F$5,2))</f>
        <v/>
      </c>
      <c r="L77" s="145" t="str">
        <f>IF(posicao_contratual!A76="","",posicao_contratual!S76)</f>
        <v/>
      </c>
      <c r="M77" s="144" t="str">
        <f>IF(A77="TOTAL",ROUND(SUM($M$3:M76),2),IF(OR(A77="",K77="",L77=""),"",ROUND(K77*L77,2)))</f>
        <v/>
      </c>
      <c r="N77" s="142" t="str">
        <f>IF(OR(itens_Remanesc!A76="",NOT(ISNUMBER(parametros!$F$6))),"",ROUND(itens_Remanesc!C76*parametros!$F$6,2))</f>
        <v/>
      </c>
      <c r="O77" s="143" t="str">
        <f>IF(posicao_contratual!A76="","",posicao_contratual!W76)</f>
        <v/>
      </c>
      <c r="P77" s="142" t="str">
        <f>IF(A77="TOTAL",ROUND(SUM($P$3:P76),2),IF(OR(A77="",N77="",O77=""),"",ROUND(N77*O77,2)))</f>
        <v/>
      </c>
    </row>
    <row r="78" spans="1:16" x14ac:dyDescent="0.35">
      <c r="A78" s="141" t="str">
        <f>IF(AND(itens_Remanesc!A77="",itens_Remanesc!A76&lt;&gt;"",COUNTIF(itens_Remanesc!A78:$A$200,"&lt;&gt;")=0),"TOTAL",IF(itens_Remanesc!A77="","",itens_Remanesc!A77))</f>
        <v/>
      </c>
      <c r="B78" s="142" t="str">
        <f>IF(OR(itens_Remanesc!A77="",NOT(ISNUMBER(parametros!$F$2))),"",ROUND(itens_Remanesc!C77*parametros!$F$2,2))</f>
        <v/>
      </c>
      <c r="C78" s="143" t="str">
        <f>IF(posicao_contratual!A77="","",posicao_contratual!G77)</f>
        <v/>
      </c>
      <c r="D78" s="142" t="str">
        <f>IF(A78="TOTAL",ROUND(SUM($D$3:D77),2),IF(A78="","",ROUND(B78*C78,2)))</f>
        <v/>
      </c>
      <c r="E78" s="144" t="str">
        <f>IF(OR(itens_Remanesc!A77="",NOT(ISNUMBER(parametros!$F$3))),"",ROUND(itens_Remanesc!C77*parametros!$F$3,2))</f>
        <v/>
      </c>
      <c r="F78" s="145" t="str">
        <f>IF(posicao_contratual!A77="","",posicao_contratual!K77)</f>
        <v/>
      </c>
      <c r="G78" s="144" t="str">
        <f>IF(A78="TOTAL",ROUND(SUM($G$3:G77),2),IF(OR(A78="",E78="",F78=""),"",ROUND(E78*F78,2)))</f>
        <v/>
      </c>
      <c r="H78" s="142" t="str">
        <f>IF(OR(itens_Remanesc!A77="",NOT(ISNUMBER(parametros!$F$4))),"",ROUND(itens_Remanesc!C77*parametros!$F$4,2))</f>
        <v/>
      </c>
      <c r="I78" s="143" t="str">
        <f>IF(posicao_contratual!A77="","",posicao_contratual!O77)</f>
        <v/>
      </c>
      <c r="J78" s="142" t="str">
        <f>IF(A78="TOTAL",ROUND(SUM($J$3:J77),2),IF(OR(A78="",H78="",I78=""),"",ROUND(H78*I78,2)))</f>
        <v/>
      </c>
      <c r="K78" s="144" t="str">
        <f>IF(OR(itens_Remanesc!A77="",NOT(ISNUMBER(parametros!$F$5))),"",ROUND(itens_Remanesc!C77*parametros!$F$5,2))</f>
        <v/>
      </c>
      <c r="L78" s="145" t="str">
        <f>IF(posicao_contratual!A77="","",posicao_contratual!S77)</f>
        <v/>
      </c>
      <c r="M78" s="144" t="str">
        <f>IF(A78="TOTAL",ROUND(SUM($M$3:M77),2),IF(OR(A78="",K78="",L78=""),"",ROUND(K78*L78,2)))</f>
        <v/>
      </c>
      <c r="N78" s="142" t="str">
        <f>IF(OR(itens_Remanesc!A77="",NOT(ISNUMBER(parametros!$F$6))),"",ROUND(itens_Remanesc!C77*parametros!$F$6,2))</f>
        <v/>
      </c>
      <c r="O78" s="143" t="str">
        <f>IF(posicao_contratual!A77="","",posicao_contratual!W77)</f>
        <v/>
      </c>
      <c r="P78" s="142" t="str">
        <f>IF(A78="TOTAL",ROUND(SUM($P$3:P77),2),IF(OR(A78="",N78="",O78=""),"",ROUND(N78*O78,2)))</f>
        <v/>
      </c>
    </row>
    <row r="79" spans="1:16" x14ac:dyDescent="0.35">
      <c r="A79" s="141" t="str">
        <f>IF(AND(itens_Remanesc!A78="",itens_Remanesc!A77&lt;&gt;"",COUNTIF(itens_Remanesc!A79:$A$200,"&lt;&gt;")=0),"TOTAL",IF(itens_Remanesc!A78="","",itens_Remanesc!A78))</f>
        <v/>
      </c>
      <c r="B79" s="142" t="str">
        <f>IF(OR(itens_Remanesc!A78="",NOT(ISNUMBER(parametros!$F$2))),"",ROUND(itens_Remanesc!C78*parametros!$F$2,2))</f>
        <v/>
      </c>
      <c r="C79" s="143" t="str">
        <f>IF(posicao_contratual!A78="","",posicao_contratual!G78)</f>
        <v/>
      </c>
      <c r="D79" s="142" t="str">
        <f>IF(A79="TOTAL",ROUND(SUM($D$3:D78),2),IF(A79="","",ROUND(B79*C79,2)))</f>
        <v/>
      </c>
      <c r="E79" s="144" t="str">
        <f>IF(OR(itens_Remanesc!A78="",NOT(ISNUMBER(parametros!$F$3))),"",ROUND(itens_Remanesc!C78*parametros!$F$3,2))</f>
        <v/>
      </c>
      <c r="F79" s="145" t="str">
        <f>IF(posicao_contratual!A78="","",posicao_contratual!K78)</f>
        <v/>
      </c>
      <c r="G79" s="144" t="str">
        <f>IF(A79="TOTAL",ROUND(SUM($G$3:G78),2),IF(OR(A79="",E79="",F79=""),"",ROUND(E79*F79,2)))</f>
        <v/>
      </c>
      <c r="H79" s="142" t="str">
        <f>IF(OR(itens_Remanesc!A78="",NOT(ISNUMBER(parametros!$F$4))),"",ROUND(itens_Remanesc!C78*parametros!$F$4,2))</f>
        <v/>
      </c>
      <c r="I79" s="143" t="str">
        <f>IF(posicao_contratual!A78="","",posicao_contratual!O78)</f>
        <v/>
      </c>
      <c r="J79" s="142" t="str">
        <f>IF(A79="TOTAL",ROUND(SUM($J$3:J78),2),IF(OR(A79="",H79="",I79=""),"",ROUND(H79*I79,2)))</f>
        <v/>
      </c>
      <c r="K79" s="144" t="str">
        <f>IF(OR(itens_Remanesc!A78="",NOT(ISNUMBER(parametros!$F$5))),"",ROUND(itens_Remanesc!C78*parametros!$F$5,2))</f>
        <v/>
      </c>
      <c r="L79" s="145" t="str">
        <f>IF(posicao_contratual!A78="","",posicao_contratual!S78)</f>
        <v/>
      </c>
      <c r="M79" s="144" t="str">
        <f>IF(A79="TOTAL",ROUND(SUM($M$3:M78),2),IF(OR(A79="",K79="",L79=""),"",ROUND(K79*L79,2)))</f>
        <v/>
      </c>
      <c r="N79" s="142" t="str">
        <f>IF(OR(itens_Remanesc!A78="",NOT(ISNUMBER(parametros!$F$6))),"",ROUND(itens_Remanesc!C78*parametros!$F$6,2))</f>
        <v/>
      </c>
      <c r="O79" s="143" t="str">
        <f>IF(posicao_contratual!A78="","",posicao_contratual!W78)</f>
        <v/>
      </c>
      <c r="P79" s="142" t="str">
        <f>IF(A79="TOTAL",ROUND(SUM($P$3:P78),2),IF(OR(A79="",N79="",O79=""),"",ROUND(N79*O79,2)))</f>
        <v/>
      </c>
    </row>
    <row r="80" spans="1:16" x14ac:dyDescent="0.35">
      <c r="A80" s="141" t="str">
        <f>IF(AND(itens_Remanesc!A79="",itens_Remanesc!A78&lt;&gt;"",COUNTIF(itens_Remanesc!A80:$A$200,"&lt;&gt;")=0),"TOTAL",IF(itens_Remanesc!A79="","",itens_Remanesc!A79))</f>
        <v/>
      </c>
      <c r="B80" s="142" t="str">
        <f>IF(OR(itens_Remanesc!A79="",NOT(ISNUMBER(parametros!$F$2))),"",ROUND(itens_Remanesc!C79*parametros!$F$2,2))</f>
        <v/>
      </c>
      <c r="C80" s="143" t="str">
        <f>IF(posicao_contratual!A79="","",posicao_contratual!G79)</f>
        <v/>
      </c>
      <c r="D80" s="142" t="str">
        <f>IF(A80="TOTAL",ROUND(SUM($D$3:D79),2),IF(A80="","",ROUND(B80*C80,2)))</f>
        <v/>
      </c>
      <c r="E80" s="144" t="str">
        <f>IF(OR(itens_Remanesc!A79="",NOT(ISNUMBER(parametros!$F$3))),"",ROUND(itens_Remanesc!C79*parametros!$F$3,2))</f>
        <v/>
      </c>
      <c r="F80" s="145" t="str">
        <f>IF(posicao_contratual!A79="","",posicao_contratual!K79)</f>
        <v/>
      </c>
      <c r="G80" s="144" t="str">
        <f>IF(A80="TOTAL",ROUND(SUM($G$3:G79),2),IF(OR(A80="",E80="",F80=""),"",ROUND(E80*F80,2)))</f>
        <v/>
      </c>
      <c r="H80" s="142" t="str">
        <f>IF(OR(itens_Remanesc!A79="",NOT(ISNUMBER(parametros!$F$4))),"",ROUND(itens_Remanesc!C79*parametros!$F$4,2))</f>
        <v/>
      </c>
      <c r="I80" s="143" t="str">
        <f>IF(posicao_contratual!A79="","",posicao_contratual!O79)</f>
        <v/>
      </c>
      <c r="J80" s="142" t="str">
        <f>IF(A80="TOTAL",ROUND(SUM($J$3:J79),2),IF(OR(A80="",H80="",I80=""),"",ROUND(H80*I80,2)))</f>
        <v/>
      </c>
      <c r="K80" s="144" t="str">
        <f>IF(OR(itens_Remanesc!A79="",NOT(ISNUMBER(parametros!$F$5))),"",ROUND(itens_Remanesc!C79*parametros!$F$5,2))</f>
        <v/>
      </c>
      <c r="L80" s="145" t="str">
        <f>IF(posicao_contratual!A79="","",posicao_contratual!S79)</f>
        <v/>
      </c>
      <c r="M80" s="144" t="str">
        <f>IF(A80="TOTAL",ROUND(SUM($M$3:M79),2),IF(OR(A80="",K80="",L80=""),"",ROUND(K80*L80,2)))</f>
        <v/>
      </c>
      <c r="N80" s="142" t="str">
        <f>IF(OR(itens_Remanesc!A79="",NOT(ISNUMBER(parametros!$F$6))),"",ROUND(itens_Remanesc!C79*parametros!$F$6,2))</f>
        <v/>
      </c>
      <c r="O80" s="143" t="str">
        <f>IF(posicao_contratual!A79="","",posicao_contratual!W79)</f>
        <v/>
      </c>
      <c r="P80" s="142" t="str">
        <f>IF(A80="TOTAL",ROUND(SUM($P$3:P79),2),IF(OR(A80="",N80="",O80=""),"",ROUND(N80*O80,2)))</f>
        <v/>
      </c>
    </row>
    <row r="81" spans="1:16" x14ac:dyDescent="0.35">
      <c r="A81" s="141" t="str">
        <f>IF(AND(itens_Remanesc!A80="",itens_Remanesc!A79&lt;&gt;"",COUNTIF(itens_Remanesc!A81:$A$200,"&lt;&gt;")=0),"TOTAL",IF(itens_Remanesc!A80="","",itens_Remanesc!A80))</f>
        <v/>
      </c>
      <c r="B81" s="142" t="str">
        <f>IF(OR(itens_Remanesc!A80="",NOT(ISNUMBER(parametros!$F$2))),"",ROUND(itens_Remanesc!C80*parametros!$F$2,2))</f>
        <v/>
      </c>
      <c r="C81" s="143" t="str">
        <f>IF(posicao_contratual!A80="","",posicao_contratual!G80)</f>
        <v/>
      </c>
      <c r="D81" s="142" t="str">
        <f>IF(A81="TOTAL",ROUND(SUM($D$3:D80),2),IF(A81="","",ROUND(B81*C81,2)))</f>
        <v/>
      </c>
      <c r="E81" s="144" t="str">
        <f>IF(OR(itens_Remanesc!A80="",NOT(ISNUMBER(parametros!$F$3))),"",ROUND(itens_Remanesc!C80*parametros!$F$3,2))</f>
        <v/>
      </c>
      <c r="F81" s="145" t="str">
        <f>IF(posicao_contratual!A80="","",posicao_contratual!K80)</f>
        <v/>
      </c>
      <c r="G81" s="144" t="str">
        <f>IF(A81="TOTAL",ROUND(SUM($G$3:G80),2),IF(OR(A81="",E81="",F81=""),"",ROUND(E81*F81,2)))</f>
        <v/>
      </c>
      <c r="H81" s="142" t="str">
        <f>IF(OR(itens_Remanesc!A80="",NOT(ISNUMBER(parametros!$F$4))),"",ROUND(itens_Remanesc!C80*parametros!$F$4,2))</f>
        <v/>
      </c>
      <c r="I81" s="143" t="str">
        <f>IF(posicao_contratual!A80="","",posicao_contratual!O80)</f>
        <v/>
      </c>
      <c r="J81" s="142" t="str">
        <f>IF(A81="TOTAL",ROUND(SUM($J$3:J80),2),IF(OR(A81="",H81="",I81=""),"",ROUND(H81*I81,2)))</f>
        <v/>
      </c>
      <c r="K81" s="144" t="str">
        <f>IF(OR(itens_Remanesc!A80="",NOT(ISNUMBER(parametros!$F$5))),"",ROUND(itens_Remanesc!C80*parametros!$F$5,2))</f>
        <v/>
      </c>
      <c r="L81" s="145" t="str">
        <f>IF(posicao_contratual!A80="","",posicao_contratual!S80)</f>
        <v/>
      </c>
      <c r="M81" s="144" t="str">
        <f>IF(A81="TOTAL",ROUND(SUM($M$3:M80),2),IF(OR(A81="",K81="",L81=""),"",ROUND(K81*L81,2)))</f>
        <v/>
      </c>
      <c r="N81" s="142" t="str">
        <f>IF(OR(itens_Remanesc!A80="",NOT(ISNUMBER(parametros!$F$6))),"",ROUND(itens_Remanesc!C80*parametros!$F$6,2))</f>
        <v/>
      </c>
      <c r="O81" s="143" t="str">
        <f>IF(posicao_contratual!A80="","",posicao_contratual!W80)</f>
        <v/>
      </c>
      <c r="P81" s="142" t="str">
        <f>IF(A81="TOTAL",ROUND(SUM($P$3:P80),2),IF(OR(A81="",N81="",O81=""),"",ROUND(N81*O81,2)))</f>
        <v/>
      </c>
    </row>
    <row r="82" spans="1:16" x14ac:dyDescent="0.35">
      <c r="A82" s="141" t="str">
        <f>IF(AND(itens_Remanesc!A81="",itens_Remanesc!A80&lt;&gt;"",COUNTIF(itens_Remanesc!A82:$A$200,"&lt;&gt;")=0),"TOTAL",IF(itens_Remanesc!A81="","",itens_Remanesc!A81))</f>
        <v/>
      </c>
      <c r="B82" s="142" t="str">
        <f>IF(OR(itens_Remanesc!A81="",NOT(ISNUMBER(parametros!$F$2))),"",ROUND(itens_Remanesc!C81*parametros!$F$2,2))</f>
        <v/>
      </c>
      <c r="C82" s="143" t="str">
        <f>IF(posicao_contratual!A81="","",posicao_contratual!G81)</f>
        <v/>
      </c>
      <c r="D82" s="142" t="str">
        <f>IF(A82="TOTAL",ROUND(SUM($D$3:D81),2),IF(A82="","",ROUND(B82*C82,2)))</f>
        <v/>
      </c>
      <c r="E82" s="144" t="str">
        <f>IF(OR(itens_Remanesc!A81="",NOT(ISNUMBER(parametros!$F$3))),"",ROUND(itens_Remanesc!C81*parametros!$F$3,2))</f>
        <v/>
      </c>
      <c r="F82" s="145" t="str">
        <f>IF(posicao_contratual!A81="","",posicao_contratual!K81)</f>
        <v/>
      </c>
      <c r="G82" s="144" t="str">
        <f>IF(A82="TOTAL",ROUND(SUM($G$3:G81),2),IF(OR(A82="",E82="",F82=""),"",ROUND(E82*F82,2)))</f>
        <v/>
      </c>
      <c r="H82" s="142" t="str">
        <f>IF(OR(itens_Remanesc!A81="",NOT(ISNUMBER(parametros!$F$4))),"",ROUND(itens_Remanesc!C81*parametros!$F$4,2))</f>
        <v/>
      </c>
      <c r="I82" s="143" t="str">
        <f>IF(posicao_contratual!A81="","",posicao_contratual!O81)</f>
        <v/>
      </c>
      <c r="J82" s="142" t="str">
        <f>IF(A82="TOTAL",ROUND(SUM($J$3:J81),2),IF(OR(A82="",H82="",I82=""),"",ROUND(H82*I82,2)))</f>
        <v/>
      </c>
      <c r="K82" s="144" t="str">
        <f>IF(OR(itens_Remanesc!A81="",NOT(ISNUMBER(parametros!$F$5))),"",ROUND(itens_Remanesc!C81*parametros!$F$5,2))</f>
        <v/>
      </c>
      <c r="L82" s="145" t="str">
        <f>IF(posicao_contratual!A81="","",posicao_contratual!S81)</f>
        <v/>
      </c>
      <c r="M82" s="144" t="str">
        <f>IF(A82="TOTAL",ROUND(SUM($M$3:M81),2),IF(OR(A82="",K82="",L82=""),"",ROUND(K82*L82,2)))</f>
        <v/>
      </c>
      <c r="N82" s="142" t="str">
        <f>IF(OR(itens_Remanesc!A81="",NOT(ISNUMBER(parametros!$F$6))),"",ROUND(itens_Remanesc!C81*parametros!$F$6,2))</f>
        <v/>
      </c>
      <c r="O82" s="143" t="str">
        <f>IF(posicao_contratual!A81="","",posicao_contratual!W81)</f>
        <v/>
      </c>
      <c r="P82" s="142" t="str">
        <f>IF(A82="TOTAL",ROUND(SUM($P$3:P81),2),IF(OR(A82="",N82="",O82=""),"",ROUND(N82*O82,2)))</f>
        <v/>
      </c>
    </row>
    <row r="83" spans="1:16" x14ac:dyDescent="0.35">
      <c r="A83" s="141" t="str">
        <f>IF(AND(itens_Remanesc!A82="",itens_Remanesc!A81&lt;&gt;"",COUNTIF(itens_Remanesc!A83:$A$200,"&lt;&gt;")=0),"TOTAL",IF(itens_Remanesc!A82="","",itens_Remanesc!A82))</f>
        <v/>
      </c>
      <c r="B83" s="142" t="str">
        <f>IF(OR(itens_Remanesc!A82="",NOT(ISNUMBER(parametros!$F$2))),"",ROUND(itens_Remanesc!C82*parametros!$F$2,2))</f>
        <v/>
      </c>
      <c r="C83" s="143" t="str">
        <f>IF(posicao_contratual!A82="","",posicao_contratual!G82)</f>
        <v/>
      </c>
      <c r="D83" s="142" t="str">
        <f>IF(A83="TOTAL",ROUND(SUM($D$3:D82),2),IF(A83="","",ROUND(B83*C83,2)))</f>
        <v/>
      </c>
      <c r="E83" s="144" t="str">
        <f>IF(OR(itens_Remanesc!A82="",NOT(ISNUMBER(parametros!$F$3))),"",ROUND(itens_Remanesc!C82*parametros!$F$3,2))</f>
        <v/>
      </c>
      <c r="F83" s="145" t="str">
        <f>IF(posicao_contratual!A82="","",posicao_contratual!K82)</f>
        <v/>
      </c>
      <c r="G83" s="144" t="str">
        <f>IF(A83="TOTAL",ROUND(SUM($G$3:G82),2),IF(OR(A83="",E83="",F83=""),"",ROUND(E83*F83,2)))</f>
        <v/>
      </c>
      <c r="H83" s="142" t="str">
        <f>IF(OR(itens_Remanesc!A82="",NOT(ISNUMBER(parametros!$F$4))),"",ROUND(itens_Remanesc!C82*parametros!$F$4,2))</f>
        <v/>
      </c>
      <c r="I83" s="143" t="str">
        <f>IF(posicao_contratual!A82="","",posicao_contratual!O82)</f>
        <v/>
      </c>
      <c r="J83" s="142" t="str">
        <f>IF(A83="TOTAL",ROUND(SUM($J$3:J82),2),IF(OR(A83="",H83="",I83=""),"",ROUND(H83*I83,2)))</f>
        <v/>
      </c>
      <c r="K83" s="144" t="str">
        <f>IF(OR(itens_Remanesc!A82="",NOT(ISNUMBER(parametros!$F$5))),"",ROUND(itens_Remanesc!C82*parametros!$F$5,2))</f>
        <v/>
      </c>
      <c r="L83" s="145" t="str">
        <f>IF(posicao_contratual!A82="","",posicao_contratual!S82)</f>
        <v/>
      </c>
      <c r="M83" s="144" t="str">
        <f>IF(A83="TOTAL",ROUND(SUM($M$3:M82),2),IF(OR(A83="",K83="",L83=""),"",ROUND(K83*L83,2)))</f>
        <v/>
      </c>
      <c r="N83" s="142" t="str">
        <f>IF(OR(itens_Remanesc!A82="",NOT(ISNUMBER(parametros!$F$6))),"",ROUND(itens_Remanesc!C82*parametros!$F$6,2))</f>
        <v/>
      </c>
      <c r="O83" s="143" t="str">
        <f>IF(posicao_contratual!A82="","",posicao_contratual!W82)</f>
        <v/>
      </c>
      <c r="P83" s="142" t="str">
        <f>IF(A83="TOTAL",ROUND(SUM($P$3:P82),2),IF(OR(A83="",N83="",O83=""),"",ROUND(N83*O83,2)))</f>
        <v/>
      </c>
    </row>
    <row r="84" spans="1:16" x14ac:dyDescent="0.35">
      <c r="A84" s="141" t="str">
        <f>IF(AND(itens_Remanesc!A83="",itens_Remanesc!A82&lt;&gt;"",COUNTIF(itens_Remanesc!A84:$A$200,"&lt;&gt;")=0),"TOTAL",IF(itens_Remanesc!A83="","",itens_Remanesc!A83))</f>
        <v/>
      </c>
      <c r="B84" s="142" t="str">
        <f>IF(OR(itens_Remanesc!A83="",NOT(ISNUMBER(parametros!$F$2))),"",ROUND(itens_Remanesc!C83*parametros!$F$2,2))</f>
        <v/>
      </c>
      <c r="C84" s="143" t="str">
        <f>IF(posicao_contratual!A83="","",posicao_contratual!G83)</f>
        <v/>
      </c>
      <c r="D84" s="142" t="str">
        <f>IF(A84="TOTAL",ROUND(SUM($D$3:D83),2),IF(A84="","",ROUND(B84*C84,2)))</f>
        <v/>
      </c>
      <c r="E84" s="144" t="str">
        <f>IF(OR(itens_Remanesc!A83="",NOT(ISNUMBER(parametros!$F$3))),"",ROUND(itens_Remanesc!C83*parametros!$F$3,2))</f>
        <v/>
      </c>
      <c r="F84" s="145" t="str">
        <f>IF(posicao_contratual!A83="","",posicao_contratual!K83)</f>
        <v/>
      </c>
      <c r="G84" s="144" t="str">
        <f>IF(A84="TOTAL",ROUND(SUM($G$3:G83),2),IF(OR(A84="",E84="",F84=""),"",ROUND(E84*F84,2)))</f>
        <v/>
      </c>
      <c r="H84" s="142" t="str">
        <f>IF(OR(itens_Remanesc!A83="",NOT(ISNUMBER(parametros!$F$4))),"",ROUND(itens_Remanesc!C83*parametros!$F$4,2))</f>
        <v/>
      </c>
      <c r="I84" s="143" t="str">
        <f>IF(posicao_contratual!A83="","",posicao_contratual!O83)</f>
        <v/>
      </c>
      <c r="J84" s="142" t="str">
        <f>IF(A84="TOTAL",ROUND(SUM($J$3:J83),2),IF(OR(A84="",H84="",I84=""),"",ROUND(H84*I84,2)))</f>
        <v/>
      </c>
      <c r="K84" s="144" t="str">
        <f>IF(OR(itens_Remanesc!A83="",NOT(ISNUMBER(parametros!$F$5))),"",ROUND(itens_Remanesc!C83*parametros!$F$5,2))</f>
        <v/>
      </c>
      <c r="L84" s="145" t="str">
        <f>IF(posicao_contratual!A83="","",posicao_contratual!S83)</f>
        <v/>
      </c>
      <c r="M84" s="144" t="str">
        <f>IF(A84="TOTAL",ROUND(SUM($M$3:M83),2),IF(OR(A84="",K84="",L84=""),"",ROUND(K84*L84,2)))</f>
        <v/>
      </c>
      <c r="N84" s="142" t="str">
        <f>IF(OR(itens_Remanesc!A83="",NOT(ISNUMBER(parametros!$F$6))),"",ROUND(itens_Remanesc!C83*parametros!$F$6,2))</f>
        <v/>
      </c>
      <c r="O84" s="143" t="str">
        <f>IF(posicao_contratual!A83="","",posicao_contratual!W83)</f>
        <v/>
      </c>
      <c r="P84" s="142" t="str">
        <f>IF(A84="TOTAL",ROUND(SUM($P$3:P83),2),IF(OR(A84="",N84="",O84=""),"",ROUND(N84*O84,2)))</f>
        <v/>
      </c>
    </row>
    <row r="85" spans="1:16" x14ac:dyDescent="0.35">
      <c r="A85" s="141" t="str">
        <f>IF(AND(itens_Remanesc!A84="",itens_Remanesc!A83&lt;&gt;"",COUNTIF(itens_Remanesc!A85:$A$200,"&lt;&gt;")=0),"TOTAL",IF(itens_Remanesc!A84="","",itens_Remanesc!A84))</f>
        <v/>
      </c>
      <c r="B85" s="142" t="str">
        <f>IF(OR(itens_Remanesc!A84="",NOT(ISNUMBER(parametros!$F$2))),"",ROUND(itens_Remanesc!C84*parametros!$F$2,2))</f>
        <v/>
      </c>
      <c r="C85" s="143" t="str">
        <f>IF(posicao_contratual!A84="","",posicao_contratual!G84)</f>
        <v/>
      </c>
      <c r="D85" s="142" t="str">
        <f>IF(A85="TOTAL",ROUND(SUM($D$3:D84),2),IF(A85="","",ROUND(B85*C85,2)))</f>
        <v/>
      </c>
      <c r="E85" s="144" t="str">
        <f>IF(OR(itens_Remanesc!A84="",NOT(ISNUMBER(parametros!$F$3))),"",ROUND(itens_Remanesc!C84*parametros!$F$3,2))</f>
        <v/>
      </c>
      <c r="F85" s="145" t="str">
        <f>IF(posicao_contratual!A84="","",posicao_contratual!K84)</f>
        <v/>
      </c>
      <c r="G85" s="144" t="str">
        <f>IF(A85="TOTAL",ROUND(SUM($G$3:G84),2),IF(OR(A85="",E85="",F85=""),"",ROUND(E85*F85,2)))</f>
        <v/>
      </c>
      <c r="H85" s="142" t="str">
        <f>IF(OR(itens_Remanesc!A84="",NOT(ISNUMBER(parametros!$F$4))),"",ROUND(itens_Remanesc!C84*parametros!$F$4,2))</f>
        <v/>
      </c>
      <c r="I85" s="143" t="str">
        <f>IF(posicao_contratual!A84="","",posicao_contratual!O84)</f>
        <v/>
      </c>
      <c r="J85" s="142" t="str">
        <f>IF(A85="TOTAL",ROUND(SUM($J$3:J84),2),IF(OR(A85="",H85="",I85=""),"",ROUND(H85*I85,2)))</f>
        <v/>
      </c>
      <c r="K85" s="144" t="str">
        <f>IF(OR(itens_Remanesc!A84="",NOT(ISNUMBER(parametros!$F$5))),"",ROUND(itens_Remanesc!C84*parametros!$F$5,2))</f>
        <v/>
      </c>
      <c r="L85" s="145" t="str">
        <f>IF(posicao_contratual!A84="","",posicao_contratual!S84)</f>
        <v/>
      </c>
      <c r="M85" s="144" t="str">
        <f>IF(A85="TOTAL",ROUND(SUM($M$3:M84),2),IF(OR(A85="",K85="",L85=""),"",ROUND(K85*L85,2)))</f>
        <v/>
      </c>
      <c r="N85" s="142" t="str">
        <f>IF(OR(itens_Remanesc!A84="",NOT(ISNUMBER(parametros!$F$6))),"",ROUND(itens_Remanesc!C84*parametros!$F$6,2))</f>
        <v/>
      </c>
      <c r="O85" s="143" t="str">
        <f>IF(posicao_contratual!A84="","",posicao_contratual!W84)</f>
        <v/>
      </c>
      <c r="P85" s="142" t="str">
        <f>IF(A85="TOTAL",ROUND(SUM($P$3:P84),2),IF(OR(A85="",N85="",O85=""),"",ROUND(N85*O85,2)))</f>
        <v/>
      </c>
    </row>
    <row r="86" spans="1:16" x14ac:dyDescent="0.35">
      <c r="A86" s="141" t="str">
        <f>IF(AND(itens_Remanesc!A85="",itens_Remanesc!A84&lt;&gt;"",COUNTIF(itens_Remanesc!A86:$A$200,"&lt;&gt;")=0),"TOTAL",IF(itens_Remanesc!A85="","",itens_Remanesc!A85))</f>
        <v/>
      </c>
      <c r="B86" s="142" t="str">
        <f>IF(OR(itens_Remanesc!A85="",NOT(ISNUMBER(parametros!$F$2))),"",ROUND(itens_Remanesc!C85*parametros!$F$2,2))</f>
        <v/>
      </c>
      <c r="C86" s="143" t="str">
        <f>IF(posicao_contratual!A85="","",posicao_contratual!G85)</f>
        <v/>
      </c>
      <c r="D86" s="142" t="str">
        <f>IF(A86="TOTAL",ROUND(SUM($D$3:D85),2),IF(A86="","",ROUND(B86*C86,2)))</f>
        <v/>
      </c>
      <c r="E86" s="144" t="str">
        <f>IF(OR(itens_Remanesc!A85="",NOT(ISNUMBER(parametros!$F$3))),"",ROUND(itens_Remanesc!C85*parametros!$F$3,2))</f>
        <v/>
      </c>
      <c r="F86" s="145" t="str">
        <f>IF(posicao_contratual!A85="","",posicao_contratual!K85)</f>
        <v/>
      </c>
      <c r="G86" s="144" t="str">
        <f>IF(A86="TOTAL",ROUND(SUM($G$3:G85),2),IF(OR(A86="",E86="",F86=""),"",ROUND(E86*F86,2)))</f>
        <v/>
      </c>
      <c r="H86" s="142" t="str">
        <f>IF(OR(itens_Remanesc!A85="",NOT(ISNUMBER(parametros!$F$4))),"",ROUND(itens_Remanesc!C85*parametros!$F$4,2))</f>
        <v/>
      </c>
      <c r="I86" s="143" t="str">
        <f>IF(posicao_contratual!A85="","",posicao_contratual!O85)</f>
        <v/>
      </c>
      <c r="J86" s="142" t="str">
        <f>IF(A86="TOTAL",ROUND(SUM($J$3:J85),2),IF(OR(A86="",H86="",I86=""),"",ROUND(H86*I86,2)))</f>
        <v/>
      </c>
      <c r="K86" s="144" t="str">
        <f>IF(OR(itens_Remanesc!A85="",NOT(ISNUMBER(parametros!$F$5))),"",ROUND(itens_Remanesc!C85*parametros!$F$5,2))</f>
        <v/>
      </c>
      <c r="L86" s="145" t="str">
        <f>IF(posicao_contratual!A85="","",posicao_contratual!S85)</f>
        <v/>
      </c>
      <c r="M86" s="144" t="str">
        <f>IF(A86="TOTAL",ROUND(SUM($M$3:M85),2),IF(OR(A86="",K86="",L86=""),"",ROUND(K86*L86,2)))</f>
        <v/>
      </c>
      <c r="N86" s="142" t="str">
        <f>IF(OR(itens_Remanesc!A85="",NOT(ISNUMBER(parametros!$F$6))),"",ROUND(itens_Remanesc!C85*parametros!$F$6,2))</f>
        <v/>
      </c>
      <c r="O86" s="143" t="str">
        <f>IF(posicao_contratual!A85="","",posicao_contratual!W85)</f>
        <v/>
      </c>
      <c r="P86" s="142" t="str">
        <f>IF(A86="TOTAL",ROUND(SUM($P$3:P85),2),IF(OR(A86="",N86="",O86=""),"",ROUND(N86*O86,2)))</f>
        <v/>
      </c>
    </row>
    <row r="87" spans="1:16" x14ac:dyDescent="0.35">
      <c r="A87" s="141" t="str">
        <f>IF(AND(itens_Remanesc!A86="",itens_Remanesc!A85&lt;&gt;"",COUNTIF(itens_Remanesc!A87:$A$200,"&lt;&gt;")=0),"TOTAL",IF(itens_Remanesc!A86="","",itens_Remanesc!A86))</f>
        <v/>
      </c>
      <c r="B87" s="142" t="str">
        <f>IF(OR(itens_Remanesc!A86="",NOT(ISNUMBER(parametros!$F$2))),"",ROUND(itens_Remanesc!C86*parametros!$F$2,2))</f>
        <v/>
      </c>
      <c r="C87" s="143" t="str">
        <f>IF(posicao_contratual!A86="","",posicao_contratual!G86)</f>
        <v/>
      </c>
      <c r="D87" s="142" t="str">
        <f>IF(A87="TOTAL",ROUND(SUM($D$3:D86),2),IF(A87="","",ROUND(B87*C87,2)))</f>
        <v/>
      </c>
      <c r="E87" s="144" t="str">
        <f>IF(OR(itens_Remanesc!A86="",NOT(ISNUMBER(parametros!$F$3))),"",ROUND(itens_Remanesc!C86*parametros!$F$3,2))</f>
        <v/>
      </c>
      <c r="F87" s="145" t="str">
        <f>IF(posicao_contratual!A86="","",posicao_contratual!K86)</f>
        <v/>
      </c>
      <c r="G87" s="144" t="str">
        <f>IF(A87="TOTAL",ROUND(SUM($G$3:G86),2),IF(OR(A87="",E87="",F87=""),"",ROUND(E87*F87,2)))</f>
        <v/>
      </c>
      <c r="H87" s="142" t="str">
        <f>IF(OR(itens_Remanesc!A86="",NOT(ISNUMBER(parametros!$F$4))),"",ROUND(itens_Remanesc!C86*parametros!$F$4,2))</f>
        <v/>
      </c>
      <c r="I87" s="143" t="str">
        <f>IF(posicao_contratual!A86="","",posicao_contratual!O86)</f>
        <v/>
      </c>
      <c r="J87" s="142" t="str">
        <f>IF(A87="TOTAL",ROUND(SUM($J$3:J86),2),IF(OR(A87="",H87="",I87=""),"",ROUND(H87*I87,2)))</f>
        <v/>
      </c>
      <c r="K87" s="144" t="str">
        <f>IF(OR(itens_Remanesc!A86="",NOT(ISNUMBER(parametros!$F$5))),"",ROUND(itens_Remanesc!C86*parametros!$F$5,2))</f>
        <v/>
      </c>
      <c r="L87" s="145" t="str">
        <f>IF(posicao_contratual!A86="","",posicao_contratual!S86)</f>
        <v/>
      </c>
      <c r="M87" s="144" t="str">
        <f>IF(A87="TOTAL",ROUND(SUM($M$3:M86),2),IF(OR(A87="",K87="",L87=""),"",ROUND(K87*L87,2)))</f>
        <v/>
      </c>
      <c r="N87" s="142" t="str">
        <f>IF(OR(itens_Remanesc!A86="",NOT(ISNUMBER(parametros!$F$6))),"",ROUND(itens_Remanesc!C86*parametros!$F$6,2))</f>
        <v/>
      </c>
      <c r="O87" s="143" t="str">
        <f>IF(posicao_contratual!A86="","",posicao_contratual!W86)</f>
        <v/>
      </c>
      <c r="P87" s="142" t="str">
        <f>IF(A87="TOTAL",ROUND(SUM($P$3:P86),2),IF(OR(A87="",N87="",O87=""),"",ROUND(N87*O87,2)))</f>
        <v/>
      </c>
    </row>
    <row r="88" spans="1:16" x14ac:dyDescent="0.35">
      <c r="A88" s="141" t="str">
        <f>IF(AND(itens_Remanesc!A87="",itens_Remanesc!A86&lt;&gt;"",COUNTIF(itens_Remanesc!A88:$A$200,"&lt;&gt;")=0),"TOTAL",IF(itens_Remanesc!A87="","",itens_Remanesc!A87))</f>
        <v/>
      </c>
      <c r="B88" s="142" t="str">
        <f>IF(OR(itens_Remanesc!A87="",NOT(ISNUMBER(parametros!$F$2))),"",ROUND(itens_Remanesc!C87*parametros!$F$2,2))</f>
        <v/>
      </c>
      <c r="C88" s="143" t="str">
        <f>IF(posicao_contratual!A87="","",posicao_contratual!G87)</f>
        <v/>
      </c>
      <c r="D88" s="142" t="str">
        <f>IF(A88="TOTAL",ROUND(SUM($D$3:D87),2),IF(A88="","",ROUND(B88*C88,2)))</f>
        <v/>
      </c>
      <c r="E88" s="144" t="str">
        <f>IF(OR(itens_Remanesc!A87="",NOT(ISNUMBER(parametros!$F$3))),"",ROUND(itens_Remanesc!C87*parametros!$F$3,2))</f>
        <v/>
      </c>
      <c r="F88" s="145" t="str">
        <f>IF(posicao_contratual!A87="","",posicao_contratual!K87)</f>
        <v/>
      </c>
      <c r="G88" s="144" t="str">
        <f>IF(A88="TOTAL",ROUND(SUM($G$3:G87),2),IF(OR(A88="",E88="",F88=""),"",ROUND(E88*F88,2)))</f>
        <v/>
      </c>
      <c r="H88" s="142" t="str">
        <f>IF(OR(itens_Remanesc!A87="",NOT(ISNUMBER(parametros!$F$4))),"",ROUND(itens_Remanesc!C87*parametros!$F$4,2))</f>
        <v/>
      </c>
      <c r="I88" s="143" t="str">
        <f>IF(posicao_contratual!A87="","",posicao_contratual!O87)</f>
        <v/>
      </c>
      <c r="J88" s="142" t="str">
        <f>IF(A88="TOTAL",ROUND(SUM($J$3:J87),2),IF(OR(A88="",H88="",I88=""),"",ROUND(H88*I88,2)))</f>
        <v/>
      </c>
      <c r="K88" s="144" t="str">
        <f>IF(OR(itens_Remanesc!A87="",NOT(ISNUMBER(parametros!$F$5))),"",ROUND(itens_Remanesc!C87*parametros!$F$5,2))</f>
        <v/>
      </c>
      <c r="L88" s="145" t="str">
        <f>IF(posicao_contratual!A87="","",posicao_contratual!S87)</f>
        <v/>
      </c>
      <c r="M88" s="144" t="str">
        <f>IF(A88="TOTAL",ROUND(SUM($M$3:M87),2),IF(OR(A88="",K88="",L88=""),"",ROUND(K88*L88,2)))</f>
        <v/>
      </c>
      <c r="N88" s="142" t="str">
        <f>IF(OR(itens_Remanesc!A87="",NOT(ISNUMBER(parametros!$F$6))),"",ROUND(itens_Remanesc!C87*parametros!$F$6,2))</f>
        <v/>
      </c>
      <c r="O88" s="143" t="str">
        <f>IF(posicao_contratual!A87="","",posicao_contratual!W87)</f>
        <v/>
      </c>
      <c r="P88" s="142" t="str">
        <f>IF(A88="TOTAL",ROUND(SUM($P$3:P87),2),IF(OR(A88="",N88="",O88=""),"",ROUND(N88*O88,2)))</f>
        <v/>
      </c>
    </row>
    <row r="89" spans="1:16" x14ac:dyDescent="0.35">
      <c r="A89" s="141" t="str">
        <f>IF(AND(itens_Remanesc!A88="",itens_Remanesc!A87&lt;&gt;"",COUNTIF(itens_Remanesc!A89:$A$200,"&lt;&gt;")=0),"TOTAL",IF(itens_Remanesc!A88="","",itens_Remanesc!A88))</f>
        <v/>
      </c>
      <c r="B89" s="142" t="str">
        <f>IF(OR(itens_Remanesc!A88="",NOT(ISNUMBER(parametros!$F$2))),"",ROUND(itens_Remanesc!C88*parametros!$F$2,2))</f>
        <v/>
      </c>
      <c r="C89" s="143" t="str">
        <f>IF(posicao_contratual!A88="","",posicao_contratual!G88)</f>
        <v/>
      </c>
      <c r="D89" s="142" t="str">
        <f>IF(A89="TOTAL",ROUND(SUM($D$3:D88),2),IF(A89="","",ROUND(B89*C89,2)))</f>
        <v/>
      </c>
      <c r="E89" s="144" t="str">
        <f>IF(OR(itens_Remanesc!A88="",NOT(ISNUMBER(parametros!$F$3))),"",ROUND(itens_Remanesc!C88*parametros!$F$3,2))</f>
        <v/>
      </c>
      <c r="F89" s="145" t="str">
        <f>IF(posicao_contratual!A88="","",posicao_contratual!K88)</f>
        <v/>
      </c>
      <c r="G89" s="144" t="str">
        <f>IF(A89="TOTAL",ROUND(SUM($G$3:G88),2),IF(OR(A89="",E89="",F89=""),"",ROUND(E89*F89,2)))</f>
        <v/>
      </c>
      <c r="H89" s="142" t="str">
        <f>IF(OR(itens_Remanesc!A88="",NOT(ISNUMBER(parametros!$F$4))),"",ROUND(itens_Remanesc!C88*parametros!$F$4,2))</f>
        <v/>
      </c>
      <c r="I89" s="143" t="str">
        <f>IF(posicao_contratual!A88="","",posicao_contratual!O88)</f>
        <v/>
      </c>
      <c r="J89" s="142" t="str">
        <f>IF(A89="TOTAL",ROUND(SUM($J$3:J88),2),IF(OR(A89="",H89="",I89=""),"",ROUND(H89*I89,2)))</f>
        <v/>
      </c>
      <c r="K89" s="144" t="str">
        <f>IF(OR(itens_Remanesc!A88="",NOT(ISNUMBER(parametros!$F$5))),"",ROUND(itens_Remanesc!C88*parametros!$F$5,2))</f>
        <v/>
      </c>
      <c r="L89" s="145" t="str">
        <f>IF(posicao_contratual!A88="","",posicao_contratual!S88)</f>
        <v/>
      </c>
      <c r="M89" s="144" t="str">
        <f>IF(A89="TOTAL",ROUND(SUM($M$3:M88),2),IF(OR(A89="",K89="",L89=""),"",ROUND(K89*L89,2)))</f>
        <v/>
      </c>
      <c r="N89" s="142" t="str">
        <f>IF(OR(itens_Remanesc!A88="",NOT(ISNUMBER(parametros!$F$6))),"",ROUND(itens_Remanesc!C88*parametros!$F$6,2))</f>
        <v/>
      </c>
      <c r="O89" s="143" t="str">
        <f>IF(posicao_contratual!A88="","",posicao_contratual!W88)</f>
        <v/>
      </c>
      <c r="P89" s="142" t="str">
        <f>IF(A89="TOTAL",ROUND(SUM($P$3:P88),2),IF(OR(A89="",N89="",O89=""),"",ROUND(N89*O89,2)))</f>
        <v/>
      </c>
    </row>
    <row r="90" spans="1:16" x14ac:dyDescent="0.35">
      <c r="A90" s="141" t="str">
        <f>IF(AND(itens_Remanesc!A89="",itens_Remanesc!A88&lt;&gt;"",COUNTIF(itens_Remanesc!A90:$A$200,"&lt;&gt;")=0),"TOTAL",IF(itens_Remanesc!A89="","",itens_Remanesc!A89))</f>
        <v/>
      </c>
      <c r="B90" s="142" t="str">
        <f>IF(OR(itens_Remanesc!A89="",NOT(ISNUMBER(parametros!$F$2))),"",ROUND(itens_Remanesc!C89*parametros!$F$2,2))</f>
        <v/>
      </c>
      <c r="C90" s="143" t="str">
        <f>IF(posicao_contratual!A89="","",posicao_contratual!G89)</f>
        <v/>
      </c>
      <c r="D90" s="142" t="str">
        <f>IF(A90="TOTAL",ROUND(SUM($D$3:D89),2),IF(A90="","",ROUND(B90*C90,2)))</f>
        <v/>
      </c>
      <c r="E90" s="144" t="str">
        <f>IF(OR(itens_Remanesc!A89="",NOT(ISNUMBER(parametros!$F$3))),"",ROUND(itens_Remanesc!C89*parametros!$F$3,2))</f>
        <v/>
      </c>
      <c r="F90" s="145" t="str">
        <f>IF(posicao_contratual!A89="","",posicao_contratual!K89)</f>
        <v/>
      </c>
      <c r="G90" s="144" t="str">
        <f>IF(A90="TOTAL",ROUND(SUM($G$3:G89),2),IF(OR(A90="",E90="",F90=""),"",ROUND(E90*F90,2)))</f>
        <v/>
      </c>
      <c r="H90" s="142" t="str">
        <f>IF(OR(itens_Remanesc!A89="",NOT(ISNUMBER(parametros!$F$4))),"",ROUND(itens_Remanesc!C89*parametros!$F$4,2))</f>
        <v/>
      </c>
      <c r="I90" s="143" t="str">
        <f>IF(posicao_contratual!A89="","",posicao_contratual!O89)</f>
        <v/>
      </c>
      <c r="J90" s="142" t="str">
        <f>IF(A90="TOTAL",ROUND(SUM($J$3:J89),2),IF(OR(A90="",H90="",I90=""),"",ROUND(H90*I90,2)))</f>
        <v/>
      </c>
      <c r="K90" s="144" t="str">
        <f>IF(OR(itens_Remanesc!A89="",NOT(ISNUMBER(parametros!$F$5))),"",ROUND(itens_Remanesc!C89*parametros!$F$5,2))</f>
        <v/>
      </c>
      <c r="L90" s="145" t="str">
        <f>IF(posicao_contratual!A89="","",posicao_contratual!S89)</f>
        <v/>
      </c>
      <c r="M90" s="144" t="str">
        <f>IF(A90="TOTAL",ROUND(SUM($M$3:M89),2),IF(OR(A90="",K90="",L90=""),"",ROUND(K90*L90,2)))</f>
        <v/>
      </c>
      <c r="N90" s="142" t="str">
        <f>IF(OR(itens_Remanesc!A89="",NOT(ISNUMBER(parametros!$F$6))),"",ROUND(itens_Remanesc!C89*parametros!$F$6,2))</f>
        <v/>
      </c>
      <c r="O90" s="143" t="str">
        <f>IF(posicao_contratual!A89="","",posicao_contratual!W89)</f>
        <v/>
      </c>
      <c r="P90" s="142" t="str">
        <f>IF(A90="TOTAL",ROUND(SUM($P$3:P89),2),IF(OR(A90="",N90="",O90=""),"",ROUND(N90*O90,2)))</f>
        <v/>
      </c>
    </row>
    <row r="91" spans="1:16" x14ac:dyDescent="0.35">
      <c r="A91" s="141" t="str">
        <f>IF(AND(itens_Remanesc!A90="",itens_Remanesc!A89&lt;&gt;"",COUNTIF(itens_Remanesc!A91:$A$200,"&lt;&gt;")=0),"TOTAL",IF(itens_Remanesc!A90="","",itens_Remanesc!A90))</f>
        <v/>
      </c>
      <c r="B91" s="142" t="str">
        <f>IF(OR(itens_Remanesc!A90="",NOT(ISNUMBER(parametros!$F$2))),"",ROUND(itens_Remanesc!C90*parametros!$F$2,2))</f>
        <v/>
      </c>
      <c r="C91" s="143" t="str">
        <f>IF(posicao_contratual!A90="","",posicao_contratual!G90)</f>
        <v/>
      </c>
      <c r="D91" s="142" t="str">
        <f>IF(A91="TOTAL",ROUND(SUM($D$3:D90),2),IF(A91="","",ROUND(B91*C91,2)))</f>
        <v/>
      </c>
      <c r="E91" s="144" t="str">
        <f>IF(OR(itens_Remanesc!A90="",NOT(ISNUMBER(parametros!$F$3))),"",ROUND(itens_Remanesc!C90*parametros!$F$3,2))</f>
        <v/>
      </c>
      <c r="F91" s="145" t="str">
        <f>IF(posicao_contratual!A90="","",posicao_contratual!K90)</f>
        <v/>
      </c>
      <c r="G91" s="144" t="str">
        <f>IF(A91="TOTAL",ROUND(SUM($G$3:G90),2),IF(OR(A91="",E91="",F91=""),"",ROUND(E91*F91,2)))</f>
        <v/>
      </c>
      <c r="H91" s="142" t="str">
        <f>IF(OR(itens_Remanesc!A90="",NOT(ISNUMBER(parametros!$F$4))),"",ROUND(itens_Remanesc!C90*parametros!$F$4,2))</f>
        <v/>
      </c>
      <c r="I91" s="143" t="str">
        <f>IF(posicao_contratual!A90="","",posicao_contratual!O90)</f>
        <v/>
      </c>
      <c r="J91" s="142" t="str">
        <f>IF(A91="TOTAL",ROUND(SUM($J$3:J90),2),IF(OR(A91="",H91="",I91=""),"",ROUND(H91*I91,2)))</f>
        <v/>
      </c>
      <c r="K91" s="144" t="str">
        <f>IF(OR(itens_Remanesc!A90="",NOT(ISNUMBER(parametros!$F$5))),"",ROUND(itens_Remanesc!C90*parametros!$F$5,2))</f>
        <v/>
      </c>
      <c r="L91" s="145" t="str">
        <f>IF(posicao_contratual!A90="","",posicao_contratual!S90)</f>
        <v/>
      </c>
      <c r="M91" s="144" t="str">
        <f>IF(A91="TOTAL",ROUND(SUM($M$3:M90),2),IF(OR(A91="",K91="",L91=""),"",ROUND(K91*L91,2)))</f>
        <v/>
      </c>
      <c r="N91" s="142" t="str">
        <f>IF(OR(itens_Remanesc!A90="",NOT(ISNUMBER(parametros!$F$6))),"",ROUND(itens_Remanesc!C90*parametros!$F$6,2))</f>
        <v/>
      </c>
      <c r="O91" s="143" t="str">
        <f>IF(posicao_contratual!A90="","",posicao_contratual!W90)</f>
        <v/>
      </c>
      <c r="P91" s="142" t="str">
        <f>IF(A91="TOTAL",ROUND(SUM($P$3:P90),2),IF(OR(A91="",N91="",O91=""),"",ROUND(N91*O91,2)))</f>
        <v/>
      </c>
    </row>
    <row r="92" spans="1:16" x14ac:dyDescent="0.35">
      <c r="A92" s="141" t="str">
        <f>IF(AND(itens_Remanesc!A91="",itens_Remanesc!A90&lt;&gt;"",COUNTIF(itens_Remanesc!A92:$A$200,"&lt;&gt;")=0),"TOTAL",IF(itens_Remanesc!A91="","",itens_Remanesc!A91))</f>
        <v/>
      </c>
      <c r="B92" s="142" t="str">
        <f>IF(OR(itens_Remanesc!A91="",NOT(ISNUMBER(parametros!$F$2))),"",ROUND(itens_Remanesc!C91*parametros!$F$2,2))</f>
        <v/>
      </c>
      <c r="C92" s="143" t="str">
        <f>IF(posicao_contratual!A91="","",posicao_contratual!G91)</f>
        <v/>
      </c>
      <c r="D92" s="142" t="str">
        <f>IF(A92="TOTAL",ROUND(SUM($D$3:D91),2),IF(A92="","",ROUND(B92*C92,2)))</f>
        <v/>
      </c>
      <c r="E92" s="144" t="str">
        <f>IF(OR(itens_Remanesc!A91="",NOT(ISNUMBER(parametros!$F$3))),"",ROUND(itens_Remanesc!C91*parametros!$F$3,2))</f>
        <v/>
      </c>
      <c r="F92" s="145" t="str">
        <f>IF(posicao_contratual!A91="","",posicao_contratual!K91)</f>
        <v/>
      </c>
      <c r="G92" s="144" t="str">
        <f>IF(A92="TOTAL",ROUND(SUM($G$3:G91),2),IF(OR(A92="",E92="",F92=""),"",ROUND(E92*F92,2)))</f>
        <v/>
      </c>
      <c r="H92" s="142" t="str">
        <f>IF(OR(itens_Remanesc!A91="",NOT(ISNUMBER(parametros!$F$4))),"",ROUND(itens_Remanesc!C91*parametros!$F$4,2))</f>
        <v/>
      </c>
      <c r="I92" s="143" t="str">
        <f>IF(posicao_contratual!A91="","",posicao_contratual!O91)</f>
        <v/>
      </c>
      <c r="J92" s="142" t="str">
        <f>IF(A92="TOTAL",ROUND(SUM($J$3:J91),2),IF(OR(A92="",H92="",I92=""),"",ROUND(H92*I92,2)))</f>
        <v/>
      </c>
      <c r="K92" s="144" t="str">
        <f>IF(OR(itens_Remanesc!A91="",NOT(ISNUMBER(parametros!$F$5))),"",ROUND(itens_Remanesc!C91*parametros!$F$5,2))</f>
        <v/>
      </c>
      <c r="L92" s="145" t="str">
        <f>IF(posicao_contratual!A91="","",posicao_contratual!S91)</f>
        <v/>
      </c>
      <c r="M92" s="144" t="str">
        <f>IF(A92="TOTAL",ROUND(SUM($M$3:M91),2),IF(OR(A92="",K92="",L92=""),"",ROUND(K92*L92,2)))</f>
        <v/>
      </c>
      <c r="N92" s="142" t="str">
        <f>IF(OR(itens_Remanesc!A91="",NOT(ISNUMBER(parametros!$F$6))),"",ROUND(itens_Remanesc!C91*parametros!$F$6,2))</f>
        <v/>
      </c>
      <c r="O92" s="143" t="str">
        <f>IF(posicao_contratual!A91="","",posicao_contratual!W91)</f>
        <v/>
      </c>
      <c r="P92" s="142" t="str">
        <f>IF(A92="TOTAL",ROUND(SUM($P$3:P91),2),IF(OR(A92="",N92="",O92=""),"",ROUND(N92*O92,2)))</f>
        <v/>
      </c>
    </row>
    <row r="93" spans="1:16" x14ac:dyDescent="0.35">
      <c r="A93" s="141" t="str">
        <f>IF(AND(itens_Remanesc!A92="",itens_Remanesc!A91&lt;&gt;"",COUNTIF(itens_Remanesc!A93:$A$200,"&lt;&gt;")=0),"TOTAL",IF(itens_Remanesc!A92="","",itens_Remanesc!A92))</f>
        <v/>
      </c>
      <c r="B93" s="142" t="str">
        <f>IF(OR(itens_Remanesc!A92="",NOT(ISNUMBER(parametros!$F$2))),"",ROUND(itens_Remanesc!C92*parametros!$F$2,2))</f>
        <v/>
      </c>
      <c r="C93" s="143" t="str">
        <f>IF(posicao_contratual!A92="","",posicao_contratual!G92)</f>
        <v/>
      </c>
      <c r="D93" s="142" t="str">
        <f>IF(A93="TOTAL",ROUND(SUM($D$3:D92),2),IF(A93="","",ROUND(B93*C93,2)))</f>
        <v/>
      </c>
      <c r="E93" s="144" t="str">
        <f>IF(OR(itens_Remanesc!A92="",NOT(ISNUMBER(parametros!$F$3))),"",ROUND(itens_Remanesc!C92*parametros!$F$3,2))</f>
        <v/>
      </c>
      <c r="F93" s="145" t="str">
        <f>IF(posicao_contratual!A92="","",posicao_contratual!K92)</f>
        <v/>
      </c>
      <c r="G93" s="144" t="str">
        <f>IF(A93="TOTAL",ROUND(SUM($G$3:G92),2),IF(OR(A93="",E93="",F93=""),"",ROUND(E93*F93,2)))</f>
        <v/>
      </c>
      <c r="H93" s="142" t="str">
        <f>IF(OR(itens_Remanesc!A92="",NOT(ISNUMBER(parametros!$F$4))),"",ROUND(itens_Remanesc!C92*parametros!$F$4,2))</f>
        <v/>
      </c>
      <c r="I93" s="143" t="str">
        <f>IF(posicao_contratual!A92="","",posicao_contratual!O92)</f>
        <v/>
      </c>
      <c r="J93" s="142" t="str">
        <f>IF(A93="TOTAL",ROUND(SUM($J$3:J92),2),IF(OR(A93="",H93="",I93=""),"",ROUND(H93*I93,2)))</f>
        <v/>
      </c>
      <c r="K93" s="144" t="str">
        <f>IF(OR(itens_Remanesc!A92="",NOT(ISNUMBER(parametros!$F$5))),"",ROUND(itens_Remanesc!C92*parametros!$F$5,2))</f>
        <v/>
      </c>
      <c r="L93" s="145" t="str">
        <f>IF(posicao_contratual!A92="","",posicao_contratual!S92)</f>
        <v/>
      </c>
      <c r="M93" s="144" t="str">
        <f>IF(A93="TOTAL",ROUND(SUM($M$3:M92),2),IF(OR(A93="",K93="",L93=""),"",ROUND(K93*L93,2)))</f>
        <v/>
      </c>
      <c r="N93" s="142" t="str">
        <f>IF(OR(itens_Remanesc!A92="",NOT(ISNUMBER(parametros!$F$6))),"",ROUND(itens_Remanesc!C92*parametros!$F$6,2))</f>
        <v/>
      </c>
      <c r="O93" s="143" t="str">
        <f>IF(posicao_contratual!A92="","",posicao_contratual!W92)</f>
        <v/>
      </c>
      <c r="P93" s="142" t="str">
        <f>IF(A93="TOTAL",ROUND(SUM($P$3:P92),2),IF(OR(A93="",N93="",O93=""),"",ROUND(N93*O93,2)))</f>
        <v/>
      </c>
    </row>
    <row r="94" spans="1:16" x14ac:dyDescent="0.35">
      <c r="A94" s="141" t="str">
        <f>IF(AND(itens_Remanesc!A93="",itens_Remanesc!A92&lt;&gt;"",COUNTIF(itens_Remanesc!A94:$A$200,"&lt;&gt;")=0),"TOTAL",IF(itens_Remanesc!A93="","",itens_Remanesc!A93))</f>
        <v/>
      </c>
      <c r="B94" s="142" t="str">
        <f>IF(OR(itens_Remanesc!A93="",NOT(ISNUMBER(parametros!$F$2))),"",ROUND(itens_Remanesc!C93*parametros!$F$2,2))</f>
        <v/>
      </c>
      <c r="C94" s="143" t="str">
        <f>IF(posicao_contratual!A93="","",posicao_contratual!G93)</f>
        <v/>
      </c>
      <c r="D94" s="142" t="str">
        <f>IF(A94="TOTAL",ROUND(SUM($D$3:D93),2),IF(A94="","",ROUND(B94*C94,2)))</f>
        <v/>
      </c>
      <c r="E94" s="144" t="str">
        <f>IF(OR(itens_Remanesc!A93="",NOT(ISNUMBER(parametros!$F$3))),"",ROUND(itens_Remanesc!C93*parametros!$F$3,2))</f>
        <v/>
      </c>
      <c r="F94" s="145" t="str">
        <f>IF(posicao_contratual!A93="","",posicao_contratual!K93)</f>
        <v/>
      </c>
      <c r="G94" s="144" t="str">
        <f>IF(A94="TOTAL",ROUND(SUM($G$3:G93),2),IF(OR(A94="",E94="",F94=""),"",ROUND(E94*F94,2)))</f>
        <v/>
      </c>
      <c r="H94" s="142" t="str">
        <f>IF(OR(itens_Remanesc!A93="",NOT(ISNUMBER(parametros!$F$4))),"",ROUND(itens_Remanesc!C93*parametros!$F$4,2))</f>
        <v/>
      </c>
      <c r="I94" s="143" t="str">
        <f>IF(posicao_contratual!A93="","",posicao_contratual!O93)</f>
        <v/>
      </c>
      <c r="J94" s="142" t="str">
        <f>IF(A94="TOTAL",ROUND(SUM($J$3:J93),2),IF(OR(A94="",H94="",I94=""),"",ROUND(H94*I94,2)))</f>
        <v/>
      </c>
      <c r="K94" s="144" t="str">
        <f>IF(OR(itens_Remanesc!A93="",NOT(ISNUMBER(parametros!$F$5))),"",ROUND(itens_Remanesc!C93*parametros!$F$5,2))</f>
        <v/>
      </c>
      <c r="L94" s="145" t="str">
        <f>IF(posicao_contratual!A93="","",posicao_contratual!S93)</f>
        <v/>
      </c>
      <c r="M94" s="144" t="str">
        <f>IF(A94="TOTAL",ROUND(SUM($M$3:M93),2),IF(OR(A94="",K94="",L94=""),"",ROUND(K94*L94,2)))</f>
        <v/>
      </c>
      <c r="N94" s="142" t="str">
        <f>IF(OR(itens_Remanesc!A93="",NOT(ISNUMBER(parametros!$F$6))),"",ROUND(itens_Remanesc!C93*parametros!$F$6,2))</f>
        <v/>
      </c>
      <c r="O94" s="143" t="str">
        <f>IF(posicao_contratual!A93="","",posicao_contratual!W93)</f>
        <v/>
      </c>
      <c r="P94" s="142" t="str">
        <f>IF(A94="TOTAL",ROUND(SUM($P$3:P93),2),IF(OR(A94="",N94="",O94=""),"",ROUND(N94*O94,2)))</f>
        <v/>
      </c>
    </row>
    <row r="95" spans="1:16" x14ac:dyDescent="0.35">
      <c r="A95" s="141" t="str">
        <f>IF(AND(itens_Remanesc!A94="",itens_Remanesc!A93&lt;&gt;"",COUNTIF(itens_Remanesc!A95:$A$200,"&lt;&gt;")=0),"TOTAL",IF(itens_Remanesc!A94="","",itens_Remanesc!A94))</f>
        <v/>
      </c>
      <c r="B95" s="142" t="str">
        <f>IF(OR(itens_Remanesc!A94="",NOT(ISNUMBER(parametros!$F$2))),"",ROUND(itens_Remanesc!C94*parametros!$F$2,2))</f>
        <v/>
      </c>
      <c r="C95" s="143" t="str">
        <f>IF(posicao_contratual!A94="","",posicao_contratual!G94)</f>
        <v/>
      </c>
      <c r="D95" s="142" t="str">
        <f>IF(A95="TOTAL",ROUND(SUM($D$3:D94),2),IF(A95="","",ROUND(B95*C95,2)))</f>
        <v/>
      </c>
      <c r="E95" s="144" t="str">
        <f>IF(OR(itens_Remanesc!A94="",NOT(ISNUMBER(parametros!$F$3))),"",ROUND(itens_Remanesc!C94*parametros!$F$3,2))</f>
        <v/>
      </c>
      <c r="F95" s="145" t="str">
        <f>IF(posicao_contratual!A94="","",posicao_contratual!K94)</f>
        <v/>
      </c>
      <c r="G95" s="144" t="str">
        <f>IF(A95="TOTAL",ROUND(SUM($G$3:G94),2),IF(OR(A95="",E95="",F95=""),"",ROUND(E95*F95,2)))</f>
        <v/>
      </c>
      <c r="H95" s="142" t="str">
        <f>IF(OR(itens_Remanesc!A94="",NOT(ISNUMBER(parametros!$F$4))),"",ROUND(itens_Remanesc!C94*parametros!$F$4,2))</f>
        <v/>
      </c>
      <c r="I95" s="143" t="str">
        <f>IF(posicao_contratual!A94="","",posicao_contratual!O94)</f>
        <v/>
      </c>
      <c r="J95" s="142" t="str">
        <f>IF(A95="TOTAL",ROUND(SUM($J$3:J94),2),IF(OR(A95="",H95="",I95=""),"",ROUND(H95*I95,2)))</f>
        <v/>
      </c>
      <c r="K95" s="144" t="str">
        <f>IF(OR(itens_Remanesc!A94="",NOT(ISNUMBER(parametros!$F$5))),"",ROUND(itens_Remanesc!C94*parametros!$F$5,2))</f>
        <v/>
      </c>
      <c r="L95" s="145" t="str">
        <f>IF(posicao_contratual!A94="","",posicao_contratual!S94)</f>
        <v/>
      </c>
      <c r="M95" s="144" t="str">
        <f>IF(A95="TOTAL",ROUND(SUM($M$3:M94),2),IF(OR(A95="",K95="",L95=""),"",ROUND(K95*L95,2)))</f>
        <v/>
      </c>
      <c r="N95" s="142" t="str">
        <f>IF(OR(itens_Remanesc!A94="",NOT(ISNUMBER(parametros!$F$6))),"",ROUND(itens_Remanesc!C94*parametros!$F$6,2))</f>
        <v/>
      </c>
      <c r="O95" s="143" t="str">
        <f>IF(posicao_contratual!A94="","",posicao_contratual!W94)</f>
        <v/>
      </c>
      <c r="P95" s="142" t="str">
        <f>IF(A95="TOTAL",ROUND(SUM($P$3:P94),2),IF(OR(A95="",N95="",O95=""),"",ROUND(N95*O95,2)))</f>
        <v/>
      </c>
    </row>
    <row r="96" spans="1:16" x14ac:dyDescent="0.35">
      <c r="A96" s="141" t="str">
        <f>IF(AND(itens_Remanesc!A95="",itens_Remanesc!A94&lt;&gt;"",COUNTIF(itens_Remanesc!A96:$A$200,"&lt;&gt;")=0),"TOTAL",IF(itens_Remanesc!A95="","",itens_Remanesc!A95))</f>
        <v/>
      </c>
      <c r="B96" s="142" t="str">
        <f>IF(OR(itens_Remanesc!A95="",NOT(ISNUMBER(parametros!$F$2))),"",ROUND(itens_Remanesc!C95*parametros!$F$2,2))</f>
        <v/>
      </c>
      <c r="C96" s="143" t="str">
        <f>IF(posicao_contratual!A95="","",posicao_contratual!G95)</f>
        <v/>
      </c>
      <c r="D96" s="142" t="str">
        <f>IF(A96="TOTAL",ROUND(SUM($D$3:D95),2),IF(A96="","",ROUND(B96*C96,2)))</f>
        <v/>
      </c>
      <c r="E96" s="144" t="str">
        <f>IF(OR(itens_Remanesc!A95="",NOT(ISNUMBER(parametros!$F$3))),"",ROUND(itens_Remanesc!C95*parametros!$F$3,2))</f>
        <v/>
      </c>
      <c r="F96" s="145" t="str">
        <f>IF(posicao_contratual!A95="","",posicao_contratual!K95)</f>
        <v/>
      </c>
      <c r="G96" s="144" t="str">
        <f>IF(A96="TOTAL",ROUND(SUM($G$3:G95),2),IF(OR(A96="",E96="",F96=""),"",ROUND(E96*F96,2)))</f>
        <v/>
      </c>
      <c r="H96" s="142" t="str">
        <f>IF(OR(itens_Remanesc!A95="",NOT(ISNUMBER(parametros!$F$4))),"",ROUND(itens_Remanesc!C95*parametros!$F$4,2))</f>
        <v/>
      </c>
      <c r="I96" s="143" t="str">
        <f>IF(posicao_contratual!A95="","",posicao_contratual!O95)</f>
        <v/>
      </c>
      <c r="J96" s="142" t="str">
        <f>IF(A96="TOTAL",ROUND(SUM($J$3:J95),2),IF(OR(A96="",H96="",I96=""),"",ROUND(H96*I96,2)))</f>
        <v/>
      </c>
      <c r="K96" s="144" t="str">
        <f>IF(OR(itens_Remanesc!A95="",NOT(ISNUMBER(parametros!$F$5))),"",ROUND(itens_Remanesc!C95*parametros!$F$5,2))</f>
        <v/>
      </c>
      <c r="L96" s="145" t="str">
        <f>IF(posicao_contratual!A95="","",posicao_contratual!S95)</f>
        <v/>
      </c>
      <c r="M96" s="144" t="str">
        <f>IF(A96="TOTAL",ROUND(SUM($M$3:M95),2),IF(OR(A96="",K96="",L96=""),"",ROUND(K96*L96,2)))</f>
        <v/>
      </c>
      <c r="N96" s="142" t="str">
        <f>IF(OR(itens_Remanesc!A95="",NOT(ISNUMBER(parametros!$F$6))),"",ROUND(itens_Remanesc!C95*parametros!$F$6,2))</f>
        <v/>
      </c>
      <c r="O96" s="143" t="str">
        <f>IF(posicao_contratual!A95="","",posicao_contratual!W95)</f>
        <v/>
      </c>
      <c r="P96" s="142" t="str">
        <f>IF(A96="TOTAL",ROUND(SUM($P$3:P95),2),IF(OR(A96="",N96="",O96=""),"",ROUND(N96*O96,2)))</f>
        <v/>
      </c>
    </row>
    <row r="97" spans="1:16" x14ac:dyDescent="0.35">
      <c r="A97" s="141" t="str">
        <f>IF(AND(itens_Remanesc!A96="",itens_Remanesc!A95&lt;&gt;"",COUNTIF(itens_Remanesc!A97:$A$200,"&lt;&gt;")=0),"TOTAL",IF(itens_Remanesc!A96="","",itens_Remanesc!A96))</f>
        <v/>
      </c>
      <c r="B97" s="142" t="str">
        <f>IF(OR(itens_Remanesc!A96="",NOT(ISNUMBER(parametros!$F$2))),"",ROUND(itens_Remanesc!C96*parametros!$F$2,2))</f>
        <v/>
      </c>
      <c r="C97" s="143" t="str">
        <f>IF(posicao_contratual!A96="","",posicao_contratual!G96)</f>
        <v/>
      </c>
      <c r="D97" s="142" t="str">
        <f>IF(A97="TOTAL",ROUND(SUM($D$3:D96),2),IF(A97="","",ROUND(B97*C97,2)))</f>
        <v/>
      </c>
      <c r="E97" s="144" t="str">
        <f>IF(OR(itens_Remanesc!A96="",NOT(ISNUMBER(parametros!$F$3))),"",ROUND(itens_Remanesc!C96*parametros!$F$3,2))</f>
        <v/>
      </c>
      <c r="F97" s="145" t="str">
        <f>IF(posicao_contratual!A96="","",posicao_contratual!K96)</f>
        <v/>
      </c>
      <c r="G97" s="144" t="str">
        <f>IF(A97="TOTAL",ROUND(SUM($G$3:G96),2),IF(OR(A97="",E97="",F97=""),"",ROUND(E97*F97,2)))</f>
        <v/>
      </c>
      <c r="H97" s="142" t="str">
        <f>IF(OR(itens_Remanesc!A96="",NOT(ISNUMBER(parametros!$F$4))),"",ROUND(itens_Remanesc!C96*parametros!$F$4,2))</f>
        <v/>
      </c>
      <c r="I97" s="143" t="str">
        <f>IF(posicao_contratual!A96="","",posicao_contratual!O96)</f>
        <v/>
      </c>
      <c r="J97" s="142" t="str">
        <f>IF(A97="TOTAL",ROUND(SUM($J$3:J96),2),IF(OR(A97="",H97="",I97=""),"",ROUND(H97*I97,2)))</f>
        <v/>
      </c>
      <c r="K97" s="144" t="str">
        <f>IF(OR(itens_Remanesc!A96="",NOT(ISNUMBER(parametros!$F$5))),"",ROUND(itens_Remanesc!C96*parametros!$F$5,2))</f>
        <v/>
      </c>
      <c r="L97" s="145" t="str">
        <f>IF(posicao_contratual!A96="","",posicao_contratual!S96)</f>
        <v/>
      </c>
      <c r="M97" s="144" t="str">
        <f>IF(A97="TOTAL",ROUND(SUM($M$3:M96),2),IF(OR(A97="",K97="",L97=""),"",ROUND(K97*L97,2)))</f>
        <v/>
      </c>
      <c r="N97" s="142" t="str">
        <f>IF(OR(itens_Remanesc!A96="",NOT(ISNUMBER(parametros!$F$6))),"",ROUND(itens_Remanesc!C96*parametros!$F$6,2))</f>
        <v/>
      </c>
      <c r="O97" s="143" t="str">
        <f>IF(posicao_contratual!A96="","",posicao_contratual!W96)</f>
        <v/>
      </c>
      <c r="P97" s="142" t="str">
        <f>IF(A97="TOTAL",ROUND(SUM($P$3:P96),2),IF(OR(A97="",N97="",O97=""),"",ROUND(N97*O97,2)))</f>
        <v/>
      </c>
    </row>
    <row r="98" spans="1:16" x14ac:dyDescent="0.35">
      <c r="A98" s="141" t="str">
        <f>IF(AND(itens_Remanesc!A97="",itens_Remanesc!A96&lt;&gt;"",COUNTIF(itens_Remanesc!A98:$A$200,"&lt;&gt;")=0),"TOTAL",IF(itens_Remanesc!A97="","",itens_Remanesc!A97))</f>
        <v/>
      </c>
      <c r="B98" s="142" t="str">
        <f>IF(OR(itens_Remanesc!A97="",NOT(ISNUMBER(parametros!$F$2))),"",ROUND(itens_Remanesc!C97*parametros!$F$2,2))</f>
        <v/>
      </c>
      <c r="C98" s="143" t="str">
        <f>IF(posicao_contratual!A97="","",posicao_contratual!G97)</f>
        <v/>
      </c>
      <c r="D98" s="142" t="str">
        <f>IF(A98="TOTAL",ROUND(SUM($D$3:D97),2),IF(A98="","",ROUND(B98*C98,2)))</f>
        <v/>
      </c>
      <c r="E98" s="144" t="str">
        <f>IF(OR(itens_Remanesc!A97="",NOT(ISNUMBER(parametros!$F$3))),"",ROUND(itens_Remanesc!C97*parametros!$F$3,2))</f>
        <v/>
      </c>
      <c r="F98" s="145" t="str">
        <f>IF(posicao_contratual!A97="","",posicao_contratual!K97)</f>
        <v/>
      </c>
      <c r="G98" s="144" t="str">
        <f>IF(A98="TOTAL",ROUND(SUM($G$3:G97),2),IF(OR(A98="",E98="",F98=""),"",ROUND(E98*F98,2)))</f>
        <v/>
      </c>
      <c r="H98" s="142" t="str">
        <f>IF(OR(itens_Remanesc!A97="",NOT(ISNUMBER(parametros!$F$4))),"",ROUND(itens_Remanesc!C97*parametros!$F$4,2))</f>
        <v/>
      </c>
      <c r="I98" s="143" t="str">
        <f>IF(posicao_contratual!A97="","",posicao_contratual!O97)</f>
        <v/>
      </c>
      <c r="J98" s="142" t="str">
        <f>IF(A98="TOTAL",ROUND(SUM($J$3:J97),2),IF(OR(A98="",H98="",I98=""),"",ROUND(H98*I98,2)))</f>
        <v/>
      </c>
      <c r="K98" s="144" t="str">
        <f>IF(OR(itens_Remanesc!A97="",NOT(ISNUMBER(parametros!$F$5))),"",ROUND(itens_Remanesc!C97*parametros!$F$5,2))</f>
        <v/>
      </c>
      <c r="L98" s="145" t="str">
        <f>IF(posicao_contratual!A97="","",posicao_contratual!S97)</f>
        <v/>
      </c>
      <c r="M98" s="144" t="str">
        <f>IF(A98="TOTAL",ROUND(SUM($M$3:M97),2),IF(OR(A98="",K98="",L98=""),"",ROUND(K98*L98,2)))</f>
        <v/>
      </c>
      <c r="N98" s="142" t="str">
        <f>IF(OR(itens_Remanesc!A97="",NOT(ISNUMBER(parametros!$F$6))),"",ROUND(itens_Remanesc!C97*parametros!$F$6,2))</f>
        <v/>
      </c>
      <c r="O98" s="143" t="str">
        <f>IF(posicao_contratual!A97="","",posicao_contratual!W97)</f>
        <v/>
      </c>
      <c r="P98" s="142" t="str">
        <f>IF(A98="TOTAL",ROUND(SUM($P$3:P97),2),IF(OR(A98="",N98="",O98=""),"",ROUND(N98*O98,2)))</f>
        <v/>
      </c>
    </row>
    <row r="99" spans="1:16" x14ac:dyDescent="0.35">
      <c r="A99" s="141" t="str">
        <f>IF(AND(itens_Remanesc!A98="",itens_Remanesc!A97&lt;&gt;"",COUNTIF(itens_Remanesc!A99:$A$200,"&lt;&gt;")=0),"TOTAL",IF(itens_Remanesc!A98="","",itens_Remanesc!A98))</f>
        <v/>
      </c>
      <c r="B99" s="142" t="str">
        <f>IF(OR(itens_Remanesc!A98="",NOT(ISNUMBER(parametros!$F$2))),"",ROUND(itens_Remanesc!C98*parametros!$F$2,2))</f>
        <v/>
      </c>
      <c r="C99" s="143" t="str">
        <f>IF(posicao_contratual!A98="","",posicao_contratual!G98)</f>
        <v/>
      </c>
      <c r="D99" s="142" t="str">
        <f>IF(A99="TOTAL",ROUND(SUM($D$3:D98),2),IF(A99="","",ROUND(B99*C99,2)))</f>
        <v/>
      </c>
      <c r="E99" s="144" t="str">
        <f>IF(OR(itens_Remanesc!A98="",NOT(ISNUMBER(parametros!$F$3))),"",ROUND(itens_Remanesc!C98*parametros!$F$3,2))</f>
        <v/>
      </c>
      <c r="F99" s="145" t="str">
        <f>IF(posicao_contratual!A98="","",posicao_contratual!K98)</f>
        <v/>
      </c>
      <c r="G99" s="144" t="str">
        <f>IF(A99="TOTAL",ROUND(SUM($G$3:G98),2),IF(OR(A99="",E99="",F99=""),"",ROUND(E99*F99,2)))</f>
        <v/>
      </c>
      <c r="H99" s="142" t="str">
        <f>IF(OR(itens_Remanesc!A98="",NOT(ISNUMBER(parametros!$F$4))),"",ROUND(itens_Remanesc!C98*parametros!$F$4,2))</f>
        <v/>
      </c>
      <c r="I99" s="143" t="str">
        <f>IF(posicao_contratual!A98="","",posicao_contratual!O98)</f>
        <v/>
      </c>
      <c r="J99" s="142" t="str">
        <f>IF(A99="TOTAL",ROUND(SUM($J$3:J98),2),IF(OR(A99="",H99="",I99=""),"",ROUND(H99*I99,2)))</f>
        <v/>
      </c>
      <c r="K99" s="144" t="str">
        <f>IF(OR(itens_Remanesc!A98="",NOT(ISNUMBER(parametros!$F$5))),"",ROUND(itens_Remanesc!C98*parametros!$F$5,2))</f>
        <v/>
      </c>
      <c r="L99" s="145" t="str">
        <f>IF(posicao_contratual!A98="","",posicao_contratual!S98)</f>
        <v/>
      </c>
      <c r="M99" s="144" t="str">
        <f>IF(A99="TOTAL",ROUND(SUM($M$3:M98),2),IF(OR(A99="",K99="",L99=""),"",ROUND(K99*L99,2)))</f>
        <v/>
      </c>
      <c r="N99" s="142" t="str">
        <f>IF(OR(itens_Remanesc!A98="",NOT(ISNUMBER(parametros!$F$6))),"",ROUND(itens_Remanesc!C98*parametros!$F$6,2))</f>
        <v/>
      </c>
      <c r="O99" s="143" t="str">
        <f>IF(posicao_contratual!A98="","",posicao_contratual!W98)</f>
        <v/>
      </c>
      <c r="P99" s="142" t="str">
        <f>IF(A99="TOTAL",ROUND(SUM($P$3:P98),2),IF(OR(A99="",N99="",O99=""),"",ROUND(N99*O99,2)))</f>
        <v/>
      </c>
    </row>
    <row r="100" spans="1:16" x14ac:dyDescent="0.35">
      <c r="A100" s="141" t="str">
        <f>IF(AND(itens_Remanesc!A99="",itens_Remanesc!A98&lt;&gt;"",COUNTIF(itens_Remanesc!A100:$A$200,"&lt;&gt;")=0),"TOTAL",IF(itens_Remanesc!A99="","",itens_Remanesc!A99))</f>
        <v/>
      </c>
      <c r="B100" s="142" t="str">
        <f>IF(OR(itens_Remanesc!A99="",NOT(ISNUMBER(parametros!$F$2))),"",ROUND(itens_Remanesc!C99*parametros!$F$2,2))</f>
        <v/>
      </c>
      <c r="C100" s="143" t="str">
        <f>IF(posicao_contratual!A99="","",posicao_contratual!G99)</f>
        <v/>
      </c>
      <c r="D100" s="142" t="str">
        <f>IF(A100="TOTAL",ROUND(SUM($D$3:D99),2),IF(A100="","",ROUND(B100*C100,2)))</f>
        <v/>
      </c>
      <c r="E100" s="144" t="str">
        <f>IF(OR(itens_Remanesc!A99="",NOT(ISNUMBER(parametros!$F$3))),"",ROUND(itens_Remanesc!C99*parametros!$F$3,2))</f>
        <v/>
      </c>
      <c r="F100" s="145" t="str">
        <f>IF(posicao_contratual!A99="","",posicao_contratual!K99)</f>
        <v/>
      </c>
      <c r="G100" s="144" t="str">
        <f>IF(A100="TOTAL",ROUND(SUM($G$3:G99),2),IF(OR(A100="",E100="",F100=""),"",ROUND(E100*F100,2)))</f>
        <v/>
      </c>
      <c r="H100" s="142" t="str">
        <f>IF(OR(itens_Remanesc!A99="",NOT(ISNUMBER(parametros!$F$4))),"",ROUND(itens_Remanesc!C99*parametros!$F$4,2))</f>
        <v/>
      </c>
      <c r="I100" s="143" t="str">
        <f>IF(posicao_contratual!A99="","",posicao_contratual!O99)</f>
        <v/>
      </c>
      <c r="J100" s="142" t="str">
        <f>IF(A100="TOTAL",ROUND(SUM($J$3:J99),2),IF(OR(A100="",H100="",I100=""),"",ROUND(H100*I100,2)))</f>
        <v/>
      </c>
      <c r="K100" s="144" t="str">
        <f>IF(OR(itens_Remanesc!A99="",NOT(ISNUMBER(parametros!$F$5))),"",ROUND(itens_Remanesc!C99*parametros!$F$5,2))</f>
        <v/>
      </c>
      <c r="L100" s="145" t="str">
        <f>IF(posicao_contratual!A99="","",posicao_contratual!S99)</f>
        <v/>
      </c>
      <c r="M100" s="144" t="str">
        <f>IF(A100="TOTAL",ROUND(SUM($M$3:M99),2),IF(OR(A100="",K100="",L100=""),"",ROUND(K100*L100,2)))</f>
        <v/>
      </c>
      <c r="N100" s="142" t="str">
        <f>IF(OR(itens_Remanesc!A99="",NOT(ISNUMBER(parametros!$F$6))),"",ROUND(itens_Remanesc!C99*parametros!$F$6,2))</f>
        <v/>
      </c>
      <c r="O100" s="143" t="str">
        <f>IF(posicao_contratual!A99="","",posicao_contratual!W99)</f>
        <v/>
      </c>
      <c r="P100" s="142" t="str">
        <f>IF(A100="TOTAL",ROUND(SUM($P$3:P99),2),IF(OR(A100="",N100="",O100=""),"",ROUND(N100*O100,2)))</f>
        <v/>
      </c>
    </row>
    <row r="101" spans="1:16" x14ac:dyDescent="0.35">
      <c r="A101" s="141" t="str">
        <f>IF(AND(itens_Remanesc!A100="",itens_Remanesc!A99&lt;&gt;"",COUNTIF(itens_Remanesc!A101:$A$200,"&lt;&gt;")=0),"TOTAL",IF(itens_Remanesc!A100="","",itens_Remanesc!A100))</f>
        <v/>
      </c>
      <c r="B101" s="142" t="str">
        <f>IF(OR(itens_Remanesc!A100="",NOT(ISNUMBER(parametros!$F$2))),"",ROUND(itens_Remanesc!C100*parametros!$F$2,2))</f>
        <v/>
      </c>
      <c r="C101" s="143" t="str">
        <f>IF(posicao_contratual!A100="","",posicao_contratual!G100)</f>
        <v/>
      </c>
      <c r="D101" s="142" t="str">
        <f>IF(A101="TOTAL",ROUND(SUM($D$3:D100),2),IF(A101="","",ROUND(B101*C101,2)))</f>
        <v/>
      </c>
      <c r="E101" s="144" t="str">
        <f>IF(OR(itens_Remanesc!A100="",NOT(ISNUMBER(parametros!$F$3))),"",ROUND(itens_Remanesc!C100*parametros!$F$3,2))</f>
        <v/>
      </c>
      <c r="F101" s="145" t="str">
        <f>IF(posicao_contratual!A100="","",posicao_contratual!K100)</f>
        <v/>
      </c>
      <c r="G101" s="144" t="str">
        <f>IF(A101="TOTAL",ROUND(SUM($G$3:G100),2),IF(OR(A101="",E101="",F101=""),"",ROUND(E101*F101,2)))</f>
        <v/>
      </c>
      <c r="H101" s="142" t="str">
        <f>IF(OR(itens_Remanesc!A100="",NOT(ISNUMBER(parametros!$F$4))),"",ROUND(itens_Remanesc!C100*parametros!$F$4,2))</f>
        <v/>
      </c>
      <c r="I101" s="143" t="str">
        <f>IF(posicao_contratual!A100="","",posicao_contratual!O100)</f>
        <v/>
      </c>
      <c r="J101" s="142" t="str">
        <f>IF(A101="TOTAL",ROUND(SUM($J$3:J100),2),IF(OR(A101="",H101="",I101=""),"",ROUND(H101*I101,2)))</f>
        <v/>
      </c>
      <c r="K101" s="144" t="str">
        <f>IF(OR(itens_Remanesc!A100="",NOT(ISNUMBER(parametros!$F$5))),"",ROUND(itens_Remanesc!C100*parametros!$F$5,2))</f>
        <v/>
      </c>
      <c r="L101" s="145" t="str">
        <f>IF(posicao_contratual!A100="","",posicao_contratual!S100)</f>
        <v/>
      </c>
      <c r="M101" s="144" t="str">
        <f>IF(A101="TOTAL",ROUND(SUM($M$3:M100),2),IF(OR(A101="",K101="",L101=""),"",ROUND(K101*L101,2)))</f>
        <v/>
      </c>
      <c r="N101" s="142" t="str">
        <f>IF(OR(itens_Remanesc!A100="",NOT(ISNUMBER(parametros!$F$6))),"",ROUND(itens_Remanesc!C100*parametros!$F$6,2))</f>
        <v/>
      </c>
      <c r="O101" s="143" t="str">
        <f>IF(posicao_contratual!A100="","",posicao_contratual!W100)</f>
        <v/>
      </c>
      <c r="P101" s="142" t="str">
        <f>IF(A101="TOTAL",ROUND(SUM($P$3:P100),2),IF(OR(A101="",N101="",O101=""),"",ROUND(N101*O101,2)))</f>
        <v/>
      </c>
    </row>
    <row r="102" spans="1:16" x14ac:dyDescent="0.35">
      <c r="A102" s="141" t="str">
        <f>IF(AND(itens_Remanesc!A101="",itens_Remanesc!A100&lt;&gt;"",COUNTIF(itens_Remanesc!A102:$A$200,"&lt;&gt;")=0),"TOTAL",IF(itens_Remanesc!A101="","",itens_Remanesc!A101))</f>
        <v/>
      </c>
      <c r="B102" s="142" t="str">
        <f>IF(OR(itens_Remanesc!A101="",NOT(ISNUMBER(parametros!$F$2))),"",ROUND(itens_Remanesc!C101*parametros!$F$2,2))</f>
        <v/>
      </c>
      <c r="C102" s="143" t="str">
        <f>IF(posicao_contratual!A101="","",posicao_contratual!G101)</f>
        <v/>
      </c>
      <c r="D102" s="142" t="str">
        <f>IF(A102="TOTAL",ROUND(SUM($D$3:D101),2),IF(A102="","",ROUND(B102*C102,2)))</f>
        <v/>
      </c>
      <c r="E102" s="144" t="str">
        <f>IF(OR(itens_Remanesc!A101="",NOT(ISNUMBER(parametros!$F$3))),"",ROUND(itens_Remanesc!C101*parametros!$F$3,2))</f>
        <v/>
      </c>
      <c r="F102" s="145" t="str">
        <f>IF(posicao_contratual!A101="","",posicao_contratual!K101)</f>
        <v/>
      </c>
      <c r="G102" s="144" t="str">
        <f>IF(A102="TOTAL",ROUND(SUM($G$3:G101),2),IF(OR(A102="",E102="",F102=""),"",ROUND(E102*F102,2)))</f>
        <v/>
      </c>
      <c r="H102" s="142" t="str">
        <f>IF(OR(itens_Remanesc!A101="",NOT(ISNUMBER(parametros!$F$4))),"",ROUND(itens_Remanesc!C101*parametros!$F$4,2))</f>
        <v/>
      </c>
      <c r="I102" s="143" t="str">
        <f>IF(posicao_contratual!A101="","",posicao_contratual!O101)</f>
        <v/>
      </c>
      <c r="J102" s="142" t="str">
        <f>IF(A102="TOTAL",ROUND(SUM($J$3:J101),2),IF(OR(A102="",H102="",I102=""),"",ROUND(H102*I102,2)))</f>
        <v/>
      </c>
      <c r="K102" s="144" t="str">
        <f>IF(OR(itens_Remanesc!A101="",NOT(ISNUMBER(parametros!$F$5))),"",ROUND(itens_Remanesc!C101*parametros!$F$5,2))</f>
        <v/>
      </c>
      <c r="L102" s="145" t="str">
        <f>IF(posicao_contratual!A101="","",posicao_contratual!S101)</f>
        <v/>
      </c>
      <c r="M102" s="144" t="str">
        <f>IF(A102="TOTAL",ROUND(SUM($M$3:M101),2),IF(OR(A102="",K102="",L102=""),"",ROUND(K102*L102,2)))</f>
        <v/>
      </c>
      <c r="N102" s="142" t="str">
        <f>IF(OR(itens_Remanesc!A101="",NOT(ISNUMBER(parametros!$F$6))),"",ROUND(itens_Remanesc!C101*parametros!$F$6,2))</f>
        <v/>
      </c>
      <c r="O102" s="143" t="str">
        <f>IF(posicao_contratual!A101="","",posicao_contratual!W101)</f>
        <v/>
      </c>
      <c r="P102" s="142" t="str">
        <f>IF(A102="TOTAL",ROUND(SUM($P$3:P101),2),IF(OR(A102="",N102="",O102=""),"",ROUND(N102*O102,2)))</f>
        <v/>
      </c>
    </row>
    <row r="103" spans="1:16" x14ac:dyDescent="0.35">
      <c r="A103" s="141" t="str">
        <f>IF(AND(itens_Remanesc!A102="",itens_Remanesc!A101&lt;&gt;"",COUNTIF(itens_Remanesc!A103:$A$200,"&lt;&gt;")=0),"TOTAL",IF(itens_Remanesc!A102="","",itens_Remanesc!A102))</f>
        <v/>
      </c>
      <c r="B103" s="142" t="str">
        <f>IF(OR(itens_Remanesc!A102="",NOT(ISNUMBER(parametros!$F$2))),"",ROUND(itens_Remanesc!C102*parametros!$F$2,2))</f>
        <v/>
      </c>
      <c r="C103" s="143" t="str">
        <f>IF(posicao_contratual!A102="","",posicao_contratual!G102)</f>
        <v/>
      </c>
      <c r="D103" s="142" t="str">
        <f>IF(A103="TOTAL",ROUND(SUM($D$3:D102),2),IF(A103="","",ROUND(B103*C103,2)))</f>
        <v/>
      </c>
      <c r="E103" s="144" t="str">
        <f>IF(OR(itens_Remanesc!A102="",NOT(ISNUMBER(parametros!$F$3))),"",ROUND(itens_Remanesc!C102*parametros!$F$3,2))</f>
        <v/>
      </c>
      <c r="F103" s="145" t="str">
        <f>IF(posicao_contratual!A102="","",posicao_contratual!K102)</f>
        <v/>
      </c>
      <c r="G103" s="144" t="str">
        <f>IF(A103="TOTAL",ROUND(SUM($G$3:G102),2),IF(OR(A103="",E103="",F103=""),"",ROUND(E103*F103,2)))</f>
        <v/>
      </c>
      <c r="H103" s="142" t="str">
        <f>IF(OR(itens_Remanesc!A102="",NOT(ISNUMBER(parametros!$F$4))),"",ROUND(itens_Remanesc!C102*parametros!$F$4,2))</f>
        <v/>
      </c>
      <c r="I103" s="143" t="str">
        <f>IF(posicao_contratual!A102="","",posicao_contratual!O102)</f>
        <v/>
      </c>
      <c r="J103" s="142" t="str">
        <f>IF(A103="TOTAL",ROUND(SUM($J$3:J102),2),IF(OR(A103="",H103="",I103=""),"",ROUND(H103*I103,2)))</f>
        <v/>
      </c>
      <c r="K103" s="144" t="str">
        <f>IF(OR(itens_Remanesc!A102="",NOT(ISNUMBER(parametros!$F$5))),"",ROUND(itens_Remanesc!C102*parametros!$F$5,2))</f>
        <v/>
      </c>
      <c r="L103" s="145" t="str">
        <f>IF(posicao_contratual!A102="","",posicao_contratual!S102)</f>
        <v/>
      </c>
      <c r="M103" s="144" t="str">
        <f>IF(A103="TOTAL",ROUND(SUM($M$3:M102),2),IF(OR(A103="",K103="",L103=""),"",ROUND(K103*L103,2)))</f>
        <v/>
      </c>
      <c r="N103" s="142" t="str">
        <f>IF(OR(itens_Remanesc!A102="",NOT(ISNUMBER(parametros!$F$6))),"",ROUND(itens_Remanesc!C102*parametros!$F$6,2))</f>
        <v/>
      </c>
      <c r="O103" s="143" t="str">
        <f>IF(posicao_contratual!A102="","",posicao_contratual!W102)</f>
        <v/>
      </c>
      <c r="P103" s="142" t="str">
        <f>IF(A103="TOTAL",ROUND(SUM($P$3:P102),2),IF(OR(A103="",N103="",O103=""),"",ROUND(N103*O103,2)))</f>
        <v/>
      </c>
    </row>
    <row r="104" spans="1:16" x14ac:dyDescent="0.35">
      <c r="A104" s="141" t="str">
        <f>IF(AND(itens_Remanesc!A103="",itens_Remanesc!A102&lt;&gt;"",COUNTIF(itens_Remanesc!A104:$A$200,"&lt;&gt;")=0),"TOTAL",IF(itens_Remanesc!A103="","",itens_Remanesc!A103))</f>
        <v/>
      </c>
      <c r="B104" s="142" t="str">
        <f>IF(OR(itens_Remanesc!A103="",NOT(ISNUMBER(parametros!$F$2))),"",ROUND(itens_Remanesc!C103*parametros!$F$2,2))</f>
        <v/>
      </c>
      <c r="C104" s="143" t="str">
        <f>IF(posicao_contratual!A103="","",posicao_contratual!G103)</f>
        <v/>
      </c>
      <c r="D104" s="142" t="str">
        <f>IF(A104="TOTAL",ROUND(SUM($D$3:D103),2),IF(A104="","",ROUND(B104*C104,2)))</f>
        <v/>
      </c>
      <c r="E104" s="144" t="str">
        <f>IF(OR(itens_Remanesc!A103="",NOT(ISNUMBER(parametros!$F$3))),"",ROUND(itens_Remanesc!C103*parametros!$F$3,2))</f>
        <v/>
      </c>
      <c r="F104" s="145" t="str">
        <f>IF(posicao_contratual!A103="","",posicao_contratual!K103)</f>
        <v/>
      </c>
      <c r="G104" s="144" t="str">
        <f>IF(A104="TOTAL",ROUND(SUM($G$3:G103),2),IF(OR(A104="",E104="",F104=""),"",ROUND(E104*F104,2)))</f>
        <v/>
      </c>
      <c r="H104" s="142" t="str">
        <f>IF(OR(itens_Remanesc!A103="",NOT(ISNUMBER(parametros!$F$4))),"",ROUND(itens_Remanesc!C103*parametros!$F$4,2))</f>
        <v/>
      </c>
      <c r="I104" s="143" t="str">
        <f>IF(posicao_contratual!A103="","",posicao_contratual!O103)</f>
        <v/>
      </c>
      <c r="J104" s="142" t="str">
        <f>IF(A104="TOTAL",ROUND(SUM($J$3:J103),2),IF(OR(A104="",H104="",I104=""),"",ROUND(H104*I104,2)))</f>
        <v/>
      </c>
      <c r="K104" s="144" t="str">
        <f>IF(OR(itens_Remanesc!A103="",NOT(ISNUMBER(parametros!$F$5))),"",ROUND(itens_Remanesc!C103*parametros!$F$5,2))</f>
        <v/>
      </c>
      <c r="L104" s="145" t="str">
        <f>IF(posicao_contratual!A103="","",posicao_contratual!S103)</f>
        <v/>
      </c>
      <c r="M104" s="144" t="str">
        <f>IF(A104="TOTAL",ROUND(SUM($M$3:M103),2),IF(OR(A104="",K104="",L104=""),"",ROUND(K104*L104,2)))</f>
        <v/>
      </c>
      <c r="N104" s="142" t="str">
        <f>IF(OR(itens_Remanesc!A103="",NOT(ISNUMBER(parametros!$F$6))),"",ROUND(itens_Remanesc!C103*parametros!$F$6,2))</f>
        <v/>
      </c>
      <c r="O104" s="143" t="str">
        <f>IF(posicao_contratual!A103="","",posicao_contratual!W103)</f>
        <v/>
      </c>
      <c r="P104" s="142" t="str">
        <f>IF(A104="TOTAL",ROUND(SUM($P$3:P103),2),IF(OR(A104="",N104="",O104=""),"",ROUND(N104*O104,2)))</f>
        <v/>
      </c>
    </row>
    <row r="105" spans="1:16" x14ac:dyDescent="0.35">
      <c r="A105" s="141" t="str">
        <f>IF(AND(itens_Remanesc!A104="",itens_Remanesc!A103&lt;&gt;"",COUNTIF(itens_Remanesc!A105:$A$200,"&lt;&gt;")=0),"TOTAL",IF(itens_Remanesc!A104="","",itens_Remanesc!A104))</f>
        <v/>
      </c>
      <c r="B105" s="142" t="str">
        <f>IF(OR(itens_Remanesc!A104="",NOT(ISNUMBER(parametros!$F$2))),"",ROUND(itens_Remanesc!C104*parametros!$F$2,2))</f>
        <v/>
      </c>
      <c r="C105" s="143" t="str">
        <f>IF(posicao_contratual!A104="","",posicao_contratual!G104)</f>
        <v/>
      </c>
      <c r="D105" s="142" t="str">
        <f>IF(A105="TOTAL",ROUND(SUM($D$3:D104),2),IF(A105="","",ROUND(B105*C105,2)))</f>
        <v/>
      </c>
      <c r="E105" s="144" t="str">
        <f>IF(OR(itens_Remanesc!A104="",NOT(ISNUMBER(parametros!$F$3))),"",ROUND(itens_Remanesc!C104*parametros!$F$3,2))</f>
        <v/>
      </c>
      <c r="F105" s="145" t="str">
        <f>IF(posicao_contratual!A104="","",posicao_contratual!K104)</f>
        <v/>
      </c>
      <c r="G105" s="144" t="str">
        <f>IF(A105="TOTAL",ROUND(SUM($G$3:G104),2),IF(OR(A105="",E105="",F105=""),"",ROUND(E105*F105,2)))</f>
        <v/>
      </c>
      <c r="H105" s="142" t="str">
        <f>IF(OR(itens_Remanesc!A104="",NOT(ISNUMBER(parametros!$F$4))),"",ROUND(itens_Remanesc!C104*parametros!$F$4,2))</f>
        <v/>
      </c>
      <c r="I105" s="143" t="str">
        <f>IF(posicao_contratual!A104="","",posicao_contratual!O104)</f>
        <v/>
      </c>
      <c r="J105" s="142" t="str">
        <f>IF(A105="TOTAL",ROUND(SUM($J$3:J104),2),IF(OR(A105="",H105="",I105=""),"",ROUND(H105*I105,2)))</f>
        <v/>
      </c>
      <c r="K105" s="144" t="str">
        <f>IF(OR(itens_Remanesc!A104="",NOT(ISNUMBER(parametros!$F$5))),"",ROUND(itens_Remanesc!C104*parametros!$F$5,2))</f>
        <v/>
      </c>
      <c r="L105" s="145" t="str">
        <f>IF(posicao_contratual!A104="","",posicao_contratual!S104)</f>
        <v/>
      </c>
      <c r="M105" s="144" t="str">
        <f>IF(A105="TOTAL",ROUND(SUM($M$3:M104),2),IF(OR(A105="",K105="",L105=""),"",ROUND(K105*L105,2)))</f>
        <v/>
      </c>
      <c r="N105" s="142" t="str">
        <f>IF(OR(itens_Remanesc!A104="",NOT(ISNUMBER(parametros!$F$6))),"",ROUND(itens_Remanesc!C104*parametros!$F$6,2))</f>
        <v/>
      </c>
      <c r="O105" s="143" t="str">
        <f>IF(posicao_contratual!A104="","",posicao_contratual!W104)</f>
        <v/>
      </c>
      <c r="P105" s="142" t="str">
        <f>IF(A105="TOTAL",ROUND(SUM($P$3:P104),2),IF(OR(A105="",N105="",O105=""),"",ROUND(N105*O105,2)))</f>
        <v/>
      </c>
    </row>
    <row r="106" spans="1:16" x14ac:dyDescent="0.35">
      <c r="A106" s="141" t="str">
        <f>IF(AND(itens_Remanesc!A105="",itens_Remanesc!A104&lt;&gt;"",COUNTIF(itens_Remanesc!A106:$A$200,"&lt;&gt;")=0),"TOTAL",IF(itens_Remanesc!A105="","",itens_Remanesc!A105))</f>
        <v/>
      </c>
      <c r="B106" s="142" t="str">
        <f>IF(OR(itens_Remanesc!A105="",NOT(ISNUMBER(parametros!$F$2))),"",ROUND(itens_Remanesc!C105*parametros!$F$2,2))</f>
        <v/>
      </c>
      <c r="C106" s="143" t="str">
        <f>IF(posicao_contratual!A105="","",posicao_contratual!G105)</f>
        <v/>
      </c>
      <c r="D106" s="142" t="str">
        <f>IF(A106="TOTAL",ROUND(SUM($D$3:D105),2),IF(A106="","",ROUND(B106*C106,2)))</f>
        <v/>
      </c>
      <c r="E106" s="144" t="str">
        <f>IF(OR(itens_Remanesc!A105="",NOT(ISNUMBER(parametros!$F$3))),"",ROUND(itens_Remanesc!C105*parametros!$F$3,2))</f>
        <v/>
      </c>
      <c r="F106" s="145" t="str">
        <f>IF(posicao_contratual!A105="","",posicao_contratual!K105)</f>
        <v/>
      </c>
      <c r="G106" s="144" t="str">
        <f>IF(A106="TOTAL",ROUND(SUM($G$3:G105),2),IF(OR(A106="",E106="",F106=""),"",ROUND(E106*F106,2)))</f>
        <v/>
      </c>
      <c r="H106" s="142" t="str">
        <f>IF(OR(itens_Remanesc!A105="",NOT(ISNUMBER(parametros!$F$4))),"",ROUND(itens_Remanesc!C105*parametros!$F$4,2))</f>
        <v/>
      </c>
      <c r="I106" s="143" t="str">
        <f>IF(posicao_contratual!A105="","",posicao_contratual!O105)</f>
        <v/>
      </c>
      <c r="J106" s="142" t="str">
        <f>IF(A106="TOTAL",ROUND(SUM($J$3:J105),2),IF(OR(A106="",H106="",I106=""),"",ROUND(H106*I106,2)))</f>
        <v/>
      </c>
      <c r="K106" s="144" t="str">
        <f>IF(OR(itens_Remanesc!A105="",NOT(ISNUMBER(parametros!$F$5))),"",ROUND(itens_Remanesc!C105*parametros!$F$5,2))</f>
        <v/>
      </c>
      <c r="L106" s="145" t="str">
        <f>IF(posicao_contratual!A105="","",posicao_contratual!S105)</f>
        <v/>
      </c>
      <c r="M106" s="144" t="str">
        <f>IF(A106="TOTAL",ROUND(SUM($M$3:M105),2),IF(OR(A106="",K106="",L106=""),"",ROUND(K106*L106,2)))</f>
        <v/>
      </c>
      <c r="N106" s="142" t="str">
        <f>IF(OR(itens_Remanesc!A105="",NOT(ISNUMBER(parametros!$F$6))),"",ROUND(itens_Remanesc!C105*parametros!$F$6,2))</f>
        <v/>
      </c>
      <c r="O106" s="143" t="str">
        <f>IF(posicao_contratual!A105="","",posicao_contratual!W105)</f>
        <v/>
      </c>
      <c r="P106" s="142" t="str">
        <f>IF(A106="TOTAL",ROUND(SUM($P$3:P105),2),IF(OR(A106="",N106="",O106=""),"",ROUND(N106*O106,2)))</f>
        <v/>
      </c>
    </row>
    <row r="107" spans="1:16" x14ac:dyDescent="0.35">
      <c r="A107" s="141" t="str">
        <f>IF(AND(itens_Remanesc!A106="",itens_Remanesc!A105&lt;&gt;"",COUNTIF(itens_Remanesc!A107:$A$200,"&lt;&gt;")=0),"TOTAL",IF(itens_Remanesc!A106="","",itens_Remanesc!A106))</f>
        <v/>
      </c>
      <c r="B107" s="142" t="str">
        <f>IF(OR(itens_Remanesc!A106="",NOT(ISNUMBER(parametros!$F$2))),"",ROUND(itens_Remanesc!C106*parametros!$F$2,2))</f>
        <v/>
      </c>
      <c r="C107" s="143" t="str">
        <f>IF(posicao_contratual!A106="","",posicao_contratual!G106)</f>
        <v/>
      </c>
      <c r="D107" s="142" t="str">
        <f>IF(A107="TOTAL",ROUND(SUM($D$3:D106),2),IF(A107="","",ROUND(B107*C107,2)))</f>
        <v/>
      </c>
      <c r="E107" s="144" t="str">
        <f>IF(OR(itens_Remanesc!A106="",NOT(ISNUMBER(parametros!$F$3))),"",ROUND(itens_Remanesc!C106*parametros!$F$3,2))</f>
        <v/>
      </c>
      <c r="F107" s="145" t="str">
        <f>IF(posicao_contratual!A106="","",posicao_contratual!K106)</f>
        <v/>
      </c>
      <c r="G107" s="144" t="str">
        <f>IF(A107="TOTAL",ROUND(SUM($G$3:G106),2),IF(OR(A107="",E107="",F107=""),"",ROUND(E107*F107,2)))</f>
        <v/>
      </c>
      <c r="H107" s="142" t="str">
        <f>IF(OR(itens_Remanesc!A106="",NOT(ISNUMBER(parametros!$F$4))),"",ROUND(itens_Remanesc!C106*parametros!$F$4,2))</f>
        <v/>
      </c>
      <c r="I107" s="143" t="str">
        <f>IF(posicao_contratual!A106="","",posicao_contratual!O106)</f>
        <v/>
      </c>
      <c r="J107" s="142" t="str">
        <f>IF(A107="TOTAL",ROUND(SUM($J$3:J106),2),IF(OR(A107="",H107="",I107=""),"",ROUND(H107*I107,2)))</f>
        <v/>
      </c>
      <c r="K107" s="144" t="str">
        <f>IF(OR(itens_Remanesc!A106="",NOT(ISNUMBER(parametros!$F$5))),"",ROUND(itens_Remanesc!C106*parametros!$F$5,2))</f>
        <v/>
      </c>
      <c r="L107" s="145" t="str">
        <f>IF(posicao_contratual!A106="","",posicao_contratual!S106)</f>
        <v/>
      </c>
      <c r="M107" s="144" t="str">
        <f>IF(A107="TOTAL",ROUND(SUM($M$3:M106),2),IF(OR(A107="",K107="",L107=""),"",ROUND(K107*L107,2)))</f>
        <v/>
      </c>
      <c r="N107" s="142" t="str">
        <f>IF(OR(itens_Remanesc!A106="",NOT(ISNUMBER(parametros!$F$6))),"",ROUND(itens_Remanesc!C106*parametros!$F$6,2))</f>
        <v/>
      </c>
      <c r="O107" s="143" t="str">
        <f>IF(posicao_contratual!A106="","",posicao_contratual!W106)</f>
        <v/>
      </c>
      <c r="P107" s="142" t="str">
        <f>IF(A107="TOTAL",ROUND(SUM($P$3:P106),2),IF(OR(A107="",N107="",O107=""),"",ROUND(N107*O107,2)))</f>
        <v/>
      </c>
    </row>
    <row r="108" spans="1:16" x14ac:dyDescent="0.35">
      <c r="A108" s="141" t="str">
        <f>IF(AND(itens_Remanesc!A107="",itens_Remanesc!A106&lt;&gt;"",COUNTIF(itens_Remanesc!A108:$A$200,"&lt;&gt;")=0),"TOTAL",IF(itens_Remanesc!A107="","",itens_Remanesc!A107))</f>
        <v/>
      </c>
      <c r="B108" s="142" t="str">
        <f>IF(OR(itens_Remanesc!A107="",NOT(ISNUMBER(parametros!$F$2))),"",ROUND(itens_Remanesc!C107*parametros!$F$2,2))</f>
        <v/>
      </c>
      <c r="C108" s="143" t="str">
        <f>IF(posicao_contratual!A107="","",posicao_contratual!G107)</f>
        <v/>
      </c>
      <c r="D108" s="142" t="str">
        <f>IF(A108="TOTAL",ROUND(SUM($D$3:D107),2),IF(A108="","",ROUND(B108*C108,2)))</f>
        <v/>
      </c>
      <c r="E108" s="144" t="str">
        <f>IF(OR(itens_Remanesc!A107="",NOT(ISNUMBER(parametros!$F$3))),"",ROUND(itens_Remanesc!C107*parametros!$F$3,2))</f>
        <v/>
      </c>
      <c r="F108" s="145" t="str">
        <f>IF(posicao_contratual!A107="","",posicao_contratual!K107)</f>
        <v/>
      </c>
      <c r="G108" s="144" t="str">
        <f>IF(A108="TOTAL",ROUND(SUM($G$3:G107),2),IF(OR(A108="",E108="",F108=""),"",ROUND(E108*F108,2)))</f>
        <v/>
      </c>
      <c r="H108" s="142" t="str">
        <f>IF(OR(itens_Remanesc!A107="",NOT(ISNUMBER(parametros!$F$4))),"",ROUND(itens_Remanesc!C107*parametros!$F$4,2))</f>
        <v/>
      </c>
      <c r="I108" s="143" t="str">
        <f>IF(posicao_contratual!A107="","",posicao_contratual!O107)</f>
        <v/>
      </c>
      <c r="J108" s="142" t="str">
        <f>IF(A108="TOTAL",ROUND(SUM($J$3:J107),2),IF(OR(A108="",H108="",I108=""),"",ROUND(H108*I108,2)))</f>
        <v/>
      </c>
      <c r="K108" s="144" t="str">
        <f>IF(OR(itens_Remanesc!A107="",NOT(ISNUMBER(parametros!$F$5))),"",ROUND(itens_Remanesc!C107*parametros!$F$5,2))</f>
        <v/>
      </c>
      <c r="L108" s="145" t="str">
        <f>IF(posicao_contratual!A107="","",posicao_contratual!S107)</f>
        <v/>
      </c>
      <c r="M108" s="144" t="str">
        <f>IF(A108="TOTAL",ROUND(SUM($M$3:M107),2),IF(OR(A108="",K108="",L108=""),"",ROUND(K108*L108,2)))</f>
        <v/>
      </c>
      <c r="N108" s="142" t="str">
        <f>IF(OR(itens_Remanesc!A107="",NOT(ISNUMBER(parametros!$F$6))),"",ROUND(itens_Remanesc!C107*parametros!$F$6,2))</f>
        <v/>
      </c>
      <c r="O108" s="143" t="str">
        <f>IF(posicao_contratual!A107="","",posicao_contratual!W107)</f>
        <v/>
      </c>
      <c r="P108" s="142" t="str">
        <f>IF(A108="TOTAL",ROUND(SUM($P$3:P107),2),IF(OR(A108="",N108="",O108=""),"",ROUND(N108*O108,2)))</f>
        <v/>
      </c>
    </row>
    <row r="109" spans="1:16" x14ac:dyDescent="0.35">
      <c r="A109" s="141" t="str">
        <f>IF(AND(itens_Remanesc!A108="",itens_Remanesc!A107&lt;&gt;"",COUNTIF(itens_Remanesc!A109:$A$200,"&lt;&gt;")=0),"TOTAL",IF(itens_Remanesc!A108="","",itens_Remanesc!A108))</f>
        <v/>
      </c>
      <c r="B109" s="142" t="str">
        <f>IF(OR(itens_Remanesc!A108="",NOT(ISNUMBER(parametros!$F$2))),"",ROUND(itens_Remanesc!C108*parametros!$F$2,2))</f>
        <v/>
      </c>
      <c r="C109" s="143" t="str">
        <f>IF(posicao_contratual!A108="","",posicao_contratual!G108)</f>
        <v/>
      </c>
      <c r="D109" s="142" t="str">
        <f>IF(A109="TOTAL",ROUND(SUM($D$3:D108),2),IF(A109="","",ROUND(B109*C109,2)))</f>
        <v/>
      </c>
      <c r="E109" s="144" t="str">
        <f>IF(OR(itens_Remanesc!A108="",NOT(ISNUMBER(parametros!$F$3))),"",ROUND(itens_Remanesc!C108*parametros!$F$3,2))</f>
        <v/>
      </c>
      <c r="F109" s="145" t="str">
        <f>IF(posicao_contratual!A108="","",posicao_contratual!K108)</f>
        <v/>
      </c>
      <c r="G109" s="144" t="str">
        <f>IF(A109="TOTAL",ROUND(SUM($G$3:G108),2),IF(OR(A109="",E109="",F109=""),"",ROUND(E109*F109,2)))</f>
        <v/>
      </c>
      <c r="H109" s="142" t="str">
        <f>IF(OR(itens_Remanesc!A108="",NOT(ISNUMBER(parametros!$F$4))),"",ROUND(itens_Remanesc!C108*parametros!$F$4,2))</f>
        <v/>
      </c>
      <c r="I109" s="143" t="str">
        <f>IF(posicao_contratual!A108="","",posicao_contratual!O108)</f>
        <v/>
      </c>
      <c r="J109" s="142" t="str">
        <f>IF(A109="TOTAL",ROUND(SUM($J$3:J108),2),IF(OR(A109="",H109="",I109=""),"",ROUND(H109*I109,2)))</f>
        <v/>
      </c>
      <c r="K109" s="144" t="str">
        <f>IF(OR(itens_Remanesc!A108="",NOT(ISNUMBER(parametros!$F$5))),"",ROUND(itens_Remanesc!C108*parametros!$F$5,2))</f>
        <v/>
      </c>
      <c r="L109" s="145" t="str">
        <f>IF(posicao_contratual!A108="","",posicao_contratual!S108)</f>
        <v/>
      </c>
      <c r="M109" s="144" t="str">
        <f>IF(A109="TOTAL",ROUND(SUM($M$3:M108),2),IF(OR(A109="",K109="",L109=""),"",ROUND(K109*L109,2)))</f>
        <v/>
      </c>
      <c r="N109" s="142" t="str">
        <f>IF(OR(itens_Remanesc!A108="",NOT(ISNUMBER(parametros!$F$6))),"",ROUND(itens_Remanesc!C108*parametros!$F$6,2))</f>
        <v/>
      </c>
      <c r="O109" s="143" t="str">
        <f>IF(posicao_contratual!A108="","",posicao_contratual!W108)</f>
        <v/>
      </c>
      <c r="P109" s="142" t="str">
        <f>IF(A109="TOTAL",ROUND(SUM($P$3:P108),2),IF(OR(A109="",N109="",O109=""),"",ROUND(N109*O109,2)))</f>
        <v/>
      </c>
    </row>
    <row r="110" spans="1:16" x14ac:dyDescent="0.35">
      <c r="A110" s="141" t="str">
        <f>IF(AND(itens_Remanesc!A109="",itens_Remanesc!A108&lt;&gt;"",COUNTIF(itens_Remanesc!A110:$A$200,"&lt;&gt;")=0),"TOTAL",IF(itens_Remanesc!A109="","",itens_Remanesc!A109))</f>
        <v/>
      </c>
      <c r="B110" s="142" t="str">
        <f>IF(OR(itens_Remanesc!A109="",NOT(ISNUMBER(parametros!$F$2))),"",ROUND(itens_Remanesc!C109*parametros!$F$2,2))</f>
        <v/>
      </c>
      <c r="C110" s="143" t="str">
        <f>IF(posicao_contratual!A109="","",posicao_contratual!G109)</f>
        <v/>
      </c>
      <c r="D110" s="142" t="str">
        <f>IF(A110="TOTAL",ROUND(SUM($D$3:D109),2),IF(A110="","",ROUND(B110*C110,2)))</f>
        <v/>
      </c>
      <c r="E110" s="144" t="str">
        <f>IF(OR(itens_Remanesc!A109="",NOT(ISNUMBER(parametros!$F$3))),"",ROUND(itens_Remanesc!C109*parametros!$F$3,2))</f>
        <v/>
      </c>
      <c r="F110" s="145" t="str">
        <f>IF(posicao_contratual!A109="","",posicao_contratual!K109)</f>
        <v/>
      </c>
      <c r="G110" s="144" t="str">
        <f>IF(A110="TOTAL",ROUND(SUM($G$3:G109),2),IF(OR(A110="",E110="",F110=""),"",ROUND(E110*F110,2)))</f>
        <v/>
      </c>
      <c r="H110" s="142" t="str">
        <f>IF(OR(itens_Remanesc!A109="",NOT(ISNUMBER(parametros!$F$4))),"",ROUND(itens_Remanesc!C109*parametros!$F$4,2))</f>
        <v/>
      </c>
      <c r="I110" s="143" t="str">
        <f>IF(posicao_contratual!A109="","",posicao_contratual!O109)</f>
        <v/>
      </c>
      <c r="J110" s="142" t="str">
        <f>IF(A110="TOTAL",ROUND(SUM($J$3:J109),2),IF(OR(A110="",H110="",I110=""),"",ROUND(H110*I110,2)))</f>
        <v/>
      </c>
      <c r="K110" s="144" t="str">
        <f>IF(OR(itens_Remanesc!A109="",NOT(ISNUMBER(parametros!$F$5))),"",ROUND(itens_Remanesc!C109*parametros!$F$5,2))</f>
        <v/>
      </c>
      <c r="L110" s="145" t="str">
        <f>IF(posicao_contratual!A109="","",posicao_contratual!S109)</f>
        <v/>
      </c>
      <c r="M110" s="144" t="str">
        <f>IF(A110="TOTAL",ROUND(SUM($M$3:M109),2),IF(OR(A110="",K110="",L110=""),"",ROUND(K110*L110,2)))</f>
        <v/>
      </c>
      <c r="N110" s="142" t="str">
        <f>IF(OR(itens_Remanesc!A109="",NOT(ISNUMBER(parametros!$F$6))),"",ROUND(itens_Remanesc!C109*parametros!$F$6,2))</f>
        <v/>
      </c>
      <c r="O110" s="143" t="str">
        <f>IF(posicao_contratual!A109="","",posicao_contratual!W109)</f>
        <v/>
      </c>
      <c r="P110" s="142" t="str">
        <f>IF(A110="TOTAL",ROUND(SUM($P$3:P109),2),IF(OR(A110="",N110="",O110=""),"",ROUND(N110*O110,2)))</f>
        <v/>
      </c>
    </row>
    <row r="111" spans="1:16" x14ac:dyDescent="0.35">
      <c r="A111" s="141" t="str">
        <f>IF(AND(itens_Remanesc!A110="",itens_Remanesc!A109&lt;&gt;"",COUNTIF(itens_Remanesc!A111:$A$200,"&lt;&gt;")=0),"TOTAL",IF(itens_Remanesc!A110="","",itens_Remanesc!A110))</f>
        <v/>
      </c>
      <c r="B111" s="142" t="str">
        <f>IF(OR(itens_Remanesc!A110="",NOT(ISNUMBER(parametros!$F$2))),"",ROUND(itens_Remanesc!C110*parametros!$F$2,2))</f>
        <v/>
      </c>
      <c r="C111" s="143" t="str">
        <f>IF(posicao_contratual!A110="","",posicao_contratual!G110)</f>
        <v/>
      </c>
      <c r="D111" s="142" t="str">
        <f>IF(A111="TOTAL",ROUND(SUM($D$3:D110),2),IF(A111="","",ROUND(B111*C111,2)))</f>
        <v/>
      </c>
      <c r="E111" s="144" t="str">
        <f>IF(OR(itens_Remanesc!A110="",NOT(ISNUMBER(parametros!$F$3))),"",ROUND(itens_Remanesc!C110*parametros!$F$3,2))</f>
        <v/>
      </c>
      <c r="F111" s="145" t="str">
        <f>IF(posicao_contratual!A110="","",posicao_contratual!K110)</f>
        <v/>
      </c>
      <c r="G111" s="144" t="str">
        <f>IF(A111="TOTAL",ROUND(SUM($G$3:G110),2),IF(OR(A111="",E111="",F111=""),"",ROUND(E111*F111,2)))</f>
        <v/>
      </c>
      <c r="H111" s="142" t="str">
        <f>IF(OR(itens_Remanesc!A110="",NOT(ISNUMBER(parametros!$F$4))),"",ROUND(itens_Remanesc!C110*parametros!$F$4,2))</f>
        <v/>
      </c>
      <c r="I111" s="143" t="str">
        <f>IF(posicao_contratual!A110="","",posicao_contratual!O110)</f>
        <v/>
      </c>
      <c r="J111" s="142" t="str">
        <f>IF(A111="TOTAL",ROUND(SUM($J$3:J110),2),IF(OR(A111="",H111="",I111=""),"",ROUND(H111*I111,2)))</f>
        <v/>
      </c>
      <c r="K111" s="144" t="str">
        <f>IF(OR(itens_Remanesc!A110="",NOT(ISNUMBER(parametros!$F$5))),"",ROUND(itens_Remanesc!C110*parametros!$F$5,2))</f>
        <v/>
      </c>
      <c r="L111" s="145" t="str">
        <f>IF(posicao_contratual!A110="","",posicao_contratual!S110)</f>
        <v/>
      </c>
      <c r="M111" s="144" t="str">
        <f>IF(A111="TOTAL",ROUND(SUM($M$3:M110),2),IF(OR(A111="",K111="",L111=""),"",ROUND(K111*L111,2)))</f>
        <v/>
      </c>
      <c r="N111" s="142" t="str">
        <f>IF(OR(itens_Remanesc!A110="",NOT(ISNUMBER(parametros!$F$6))),"",ROUND(itens_Remanesc!C110*parametros!$F$6,2))</f>
        <v/>
      </c>
      <c r="O111" s="143" t="str">
        <f>IF(posicao_contratual!A110="","",posicao_contratual!W110)</f>
        <v/>
      </c>
      <c r="P111" s="142" t="str">
        <f>IF(A111="TOTAL",ROUND(SUM($P$3:P110),2),IF(OR(A111="",N111="",O111=""),"",ROUND(N111*O111,2)))</f>
        <v/>
      </c>
    </row>
    <row r="112" spans="1:16" x14ac:dyDescent="0.35">
      <c r="A112" s="141" t="str">
        <f>IF(AND(itens_Remanesc!A111="",itens_Remanesc!A110&lt;&gt;"",COUNTIF(itens_Remanesc!A112:$A$200,"&lt;&gt;")=0),"TOTAL",IF(itens_Remanesc!A111="","",itens_Remanesc!A111))</f>
        <v/>
      </c>
      <c r="B112" s="142" t="str">
        <f>IF(OR(itens_Remanesc!A111="",NOT(ISNUMBER(parametros!$F$2))),"",ROUND(itens_Remanesc!C111*parametros!$F$2,2))</f>
        <v/>
      </c>
      <c r="C112" s="143" t="str">
        <f>IF(posicao_contratual!A111="","",posicao_contratual!G111)</f>
        <v/>
      </c>
      <c r="D112" s="142" t="str">
        <f>IF(A112="TOTAL",ROUND(SUM($D$3:D111),2),IF(A112="","",ROUND(B112*C112,2)))</f>
        <v/>
      </c>
      <c r="E112" s="144" t="str">
        <f>IF(OR(itens_Remanesc!A111="",NOT(ISNUMBER(parametros!$F$3))),"",ROUND(itens_Remanesc!C111*parametros!$F$3,2))</f>
        <v/>
      </c>
      <c r="F112" s="145" t="str">
        <f>IF(posicao_contratual!A111="","",posicao_contratual!K111)</f>
        <v/>
      </c>
      <c r="G112" s="144" t="str">
        <f>IF(A112="TOTAL",ROUND(SUM($G$3:G111),2),IF(OR(A112="",E112="",F112=""),"",ROUND(E112*F112,2)))</f>
        <v/>
      </c>
      <c r="H112" s="142" t="str">
        <f>IF(OR(itens_Remanesc!A111="",NOT(ISNUMBER(parametros!$F$4))),"",ROUND(itens_Remanesc!C111*parametros!$F$4,2))</f>
        <v/>
      </c>
      <c r="I112" s="143" t="str">
        <f>IF(posicao_contratual!A111="","",posicao_contratual!O111)</f>
        <v/>
      </c>
      <c r="J112" s="142" t="str">
        <f>IF(A112="TOTAL",ROUND(SUM($J$3:J111),2),IF(OR(A112="",H112="",I112=""),"",ROUND(H112*I112,2)))</f>
        <v/>
      </c>
      <c r="K112" s="144" t="str">
        <f>IF(OR(itens_Remanesc!A111="",NOT(ISNUMBER(parametros!$F$5))),"",ROUND(itens_Remanesc!C111*parametros!$F$5,2))</f>
        <v/>
      </c>
      <c r="L112" s="145" t="str">
        <f>IF(posicao_contratual!A111="","",posicao_contratual!S111)</f>
        <v/>
      </c>
      <c r="M112" s="144" t="str">
        <f>IF(A112="TOTAL",ROUND(SUM($M$3:M111),2),IF(OR(A112="",K112="",L112=""),"",ROUND(K112*L112,2)))</f>
        <v/>
      </c>
      <c r="N112" s="142" t="str">
        <f>IF(OR(itens_Remanesc!A111="",NOT(ISNUMBER(parametros!$F$6))),"",ROUND(itens_Remanesc!C111*parametros!$F$6,2))</f>
        <v/>
      </c>
      <c r="O112" s="143" t="str">
        <f>IF(posicao_contratual!A111="","",posicao_contratual!W111)</f>
        <v/>
      </c>
      <c r="P112" s="142" t="str">
        <f>IF(A112="TOTAL",ROUND(SUM($P$3:P111),2),IF(OR(A112="",N112="",O112=""),"",ROUND(N112*O112,2)))</f>
        <v/>
      </c>
    </row>
    <row r="113" spans="1:16" x14ac:dyDescent="0.35">
      <c r="A113" s="141" t="str">
        <f>IF(AND(itens_Remanesc!A112="",itens_Remanesc!A111&lt;&gt;"",COUNTIF(itens_Remanesc!A113:$A$200,"&lt;&gt;")=0),"TOTAL",IF(itens_Remanesc!A112="","",itens_Remanesc!A112))</f>
        <v/>
      </c>
      <c r="B113" s="142" t="str">
        <f>IF(OR(itens_Remanesc!A112="",NOT(ISNUMBER(parametros!$F$2))),"",ROUND(itens_Remanesc!C112*parametros!$F$2,2))</f>
        <v/>
      </c>
      <c r="C113" s="143" t="str">
        <f>IF(posicao_contratual!A112="","",posicao_contratual!G112)</f>
        <v/>
      </c>
      <c r="D113" s="142" t="str">
        <f>IF(A113="TOTAL",ROUND(SUM($D$3:D112),2),IF(A113="","",ROUND(B113*C113,2)))</f>
        <v/>
      </c>
      <c r="E113" s="144" t="str">
        <f>IF(OR(itens_Remanesc!A112="",NOT(ISNUMBER(parametros!$F$3))),"",ROUND(itens_Remanesc!C112*parametros!$F$3,2))</f>
        <v/>
      </c>
      <c r="F113" s="145" t="str">
        <f>IF(posicao_contratual!A112="","",posicao_contratual!K112)</f>
        <v/>
      </c>
      <c r="G113" s="144" t="str">
        <f>IF(A113="TOTAL",ROUND(SUM($G$3:G112),2),IF(OR(A113="",E113="",F113=""),"",ROUND(E113*F113,2)))</f>
        <v/>
      </c>
      <c r="H113" s="142" t="str">
        <f>IF(OR(itens_Remanesc!A112="",NOT(ISNUMBER(parametros!$F$4))),"",ROUND(itens_Remanesc!C112*parametros!$F$4,2))</f>
        <v/>
      </c>
      <c r="I113" s="143" t="str">
        <f>IF(posicao_contratual!A112="","",posicao_contratual!O112)</f>
        <v/>
      </c>
      <c r="J113" s="142" t="str">
        <f>IF(A113="TOTAL",ROUND(SUM($J$3:J112),2),IF(OR(A113="",H113="",I113=""),"",ROUND(H113*I113,2)))</f>
        <v/>
      </c>
      <c r="K113" s="144" t="str">
        <f>IF(OR(itens_Remanesc!A112="",NOT(ISNUMBER(parametros!$F$5))),"",ROUND(itens_Remanesc!C112*parametros!$F$5,2))</f>
        <v/>
      </c>
      <c r="L113" s="145" t="str">
        <f>IF(posicao_contratual!A112="","",posicao_contratual!S112)</f>
        <v/>
      </c>
      <c r="M113" s="144" t="str">
        <f>IF(A113="TOTAL",ROUND(SUM($M$3:M112),2),IF(OR(A113="",K113="",L113=""),"",ROUND(K113*L113,2)))</f>
        <v/>
      </c>
      <c r="N113" s="142" t="str">
        <f>IF(OR(itens_Remanesc!A112="",NOT(ISNUMBER(parametros!$F$6))),"",ROUND(itens_Remanesc!C112*parametros!$F$6,2))</f>
        <v/>
      </c>
      <c r="O113" s="143" t="str">
        <f>IF(posicao_contratual!A112="","",posicao_contratual!W112)</f>
        <v/>
      </c>
      <c r="P113" s="142" t="str">
        <f>IF(A113="TOTAL",ROUND(SUM($P$3:P112),2),IF(OR(A113="",N113="",O113=""),"",ROUND(N113*O113,2)))</f>
        <v/>
      </c>
    </row>
    <row r="114" spans="1:16" x14ac:dyDescent="0.35">
      <c r="A114" s="141" t="str">
        <f>IF(AND(itens_Remanesc!A113="",itens_Remanesc!A112&lt;&gt;"",COUNTIF(itens_Remanesc!A114:$A$200,"&lt;&gt;")=0),"TOTAL",IF(itens_Remanesc!A113="","",itens_Remanesc!A113))</f>
        <v/>
      </c>
      <c r="B114" s="142" t="str">
        <f>IF(OR(itens_Remanesc!A113="",NOT(ISNUMBER(parametros!$F$2))),"",ROUND(itens_Remanesc!C113*parametros!$F$2,2))</f>
        <v/>
      </c>
      <c r="C114" s="143" t="str">
        <f>IF(posicao_contratual!A113="","",posicao_contratual!G113)</f>
        <v/>
      </c>
      <c r="D114" s="142" t="str">
        <f>IF(A114="TOTAL",ROUND(SUM($D$3:D113),2),IF(A114="","",ROUND(B114*C114,2)))</f>
        <v/>
      </c>
      <c r="E114" s="144" t="str">
        <f>IF(OR(itens_Remanesc!A113="",NOT(ISNUMBER(parametros!$F$3))),"",ROUND(itens_Remanesc!C113*parametros!$F$3,2))</f>
        <v/>
      </c>
      <c r="F114" s="145" t="str">
        <f>IF(posicao_contratual!A113="","",posicao_contratual!K113)</f>
        <v/>
      </c>
      <c r="G114" s="144" t="str">
        <f>IF(A114="TOTAL",ROUND(SUM($G$3:G113),2),IF(OR(A114="",E114="",F114=""),"",ROUND(E114*F114,2)))</f>
        <v/>
      </c>
      <c r="H114" s="142" t="str">
        <f>IF(OR(itens_Remanesc!A113="",NOT(ISNUMBER(parametros!$F$4))),"",ROUND(itens_Remanesc!C113*parametros!$F$4,2))</f>
        <v/>
      </c>
      <c r="I114" s="143" t="str">
        <f>IF(posicao_contratual!A113="","",posicao_contratual!O113)</f>
        <v/>
      </c>
      <c r="J114" s="142" t="str">
        <f>IF(A114="TOTAL",ROUND(SUM($J$3:J113),2),IF(OR(A114="",H114="",I114=""),"",ROUND(H114*I114,2)))</f>
        <v/>
      </c>
      <c r="K114" s="144" t="str">
        <f>IF(OR(itens_Remanesc!A113="",NOT(ISNUMBER(parametros!$F$5))),"",ROUND(itens_Remanesc!C113*parametros!$F$5,2))</f>
        <v/>
      </c>
      <c r="L114" s="145" t="str">
        <f>IF(posicao_contratual!A113="","",posicao_contratual!S113)</f>
        <v/>
      </c>
      <c r="M114" s="144" t="str">
        <f>IF(A114="TOTAL",ROUND(SUM($M$3:M113),2),IF(OR(A114="",K114="",L114=""),"",ROUND(K114*L114,2)))</f>
        <v/>
      </c>
      <c r="N114" s="142" t="str">
        <f>IF(OR(itens_Remanesc!A113="",NOT(ISNUMBER(parametros!$F$6))),"",ROUND(itens_Remanesc!C113*parametros!$F$6,2))</f>
        <v/>
      </c>
      <c r="O114" s="143" t="str">
        <f>IF(posicao_contratual!A113="","",posicao_contratual!W113)</f>
        <v/>
      </c>
      <c r="P114" s="142" t="str">
        <f>IF(A114="TOTAL",ROUND(SUM($P$3:P113),2),IF(OR(A114="",N114="",O114=""),"",ROUND(N114*O114,2)))</f>
        <v/>
      </c>
    </row>
    <row r="115" spans="1:16" x14ac:dyDescent="0.35">
      <c r="A115" s="141" t="str">
        <f>IF(AND(itens_Remanesc!A114="",itens_Remanesc!A113&lt;&gt;"",COUNTIF(itens_Remanesc!A115:$A$200,"&lt;&gt;")=0),"TOTAL",IF(itens_Remanesc!A114="","",itens_Remanesc!A114))</f>
        <v/>
      </c>
      <c r="B115" s="142" t="str">
        <f>IF(OR(itens_Remanesc!A114="",NOT(ISNUMBER(parametros!$F$2))),"",ROUND(itens_Remanesc!C114*parametros!$F$2,2))</f>
        <v/>
      </c>
      <c r="C115" s="143" t="str">
        <f>IF(posicao_contratual!A114="","",posicao_contratual!G114)</f>
        <v/>
      </c>
      <c r="D115" s="142" t="str">
        <f>IF(A115="TOTAL",ROUND(SUM($D$3:D114),2),IF(A115="","",ROUND(B115*C115,2)))</f>
        <v/>
      </c>
      <c r="E115" s="144" t="str">
        <f>IF(OR(itens_Remanesc!A114="",NOT(ISNUMBER(parametros!$F$3))),"",ROUND(itens_Remanesc!C114*parametros!$F$3,2))</f>
        <v/>
      </c>
      <c r="F115" s="145" t="str">
        <f>IF(posicao_contratual!A114="","",posicao_contratual!K114)</f>
        <v/>
      </c>
      <c r="G115" s="144" t="str">
        <f>IF(A115="TOTAL",ROUND(SUM($G$3:G114),2),IF(OR(A115="",E115="",F115=""),"",ROUND(E115*F115,2)))</f>
        <v/>
      </c>
      <c r="H115" s="142" t="str">
        <f>IF(OR(itens_Remanesc!A114="",NOT(ISNUMBER(parametros!$F$4))),"",ROUND(itens_Remanesc!C114*parametros!$F$4,2))</f>
        <v/>
      </c>
      <c r="I115" s="143" t="str">
        <f>IF(posicao_contratual!A114="","",posicao_contratual!O114)</f>
        <v/>
      </c>
      <c r="J115" s="142" t="str">
        <f>IF(A115="TOTAL",ROUND(SUM($J$3:J114),2),IF(OR(A115="",H115="",I115=""),"",ROUND(H115*I115,2)))</f>
        <v/>
      </c>
      <c r="K115" s="144" t="str">
        <f>IF(OR(itens_Remanesc!A114="",NOT(ISNUMBER(parametros!$F$5))),"",ROUND(itens_Remanesc!C114*parametros!$F$5,2))</f>
        <v/>
      </c>
      <c r="L115" s="145" t="str">
        <f>IF(posicao_contratual!A114="","",posicao_contratual!S114)</f>
        <v/>
      </c>
      <c r="M115" s="144" t="str">
        <f>IF(A115="TOTAL",ROUND(SUM($M$3:M114),2),IF(OR(A115="",K115="",L115=""),"",ROUND(K115*L115,2)))</f>
        <v/>
      </c>
      <c r="N115" s="142" t="str">
        <f>IF(OR(itens_Remanesc!A114="",NOT(ISNUMBER(parametros!$F$6))),"",ROUND(itens_Remanesc!C114*parametros!$F$6,2))</f>
        <v/>
      </c>
      <c r="O115" s="143" t="str">
        <f>IF(posicao_contratual!A114="","",posicao_contratual!W114)</f>
        <v/>
      </c>
      <c r="P115" s="142" t="str">
        <f>IF(A115="TOTAL",ROUND(SUM($P$3:P114),2),IF(OR(A115="",N115="",O115=""),"",ROUND(N115*O115,2)))</f>
        <v/>
      </c>
    </row>
    <row r="116" spans="1:16" x14ac:dyDescent="0.35">
      <c r="A116" s="141" t="str">
        <f>IF(AND(itens_Remanesc!A115="",itens_Remanesc!A114&lt;&gt;"",COUNTIF(itens_Remanesc!A116:$A$200,"&lt;&gt;")=0),"TOTAL",IF(itens_Remanesc!A115="","",itens_Remanesc!A115))</f>
        <v/>
      </c>
      <c r="B116" s="142" t="str">
        <f>IF(OR(itens_Remanesc!A115="",NOT(ISNUMBER(parametros!$F$2))),"",ROUND(itens_Remanesc!C115*parametros!$F$2,2))</f>
        <v/>
      </c>
      <c r="C116" s="143" t="str">
        <f>IF(posicao_contratual!A115="","",posicao_contratual!G115)</f>
        <v/>
      </c>
      <c r="D116" s="142" t="str">
        <f>IF(A116="TOTAL",ROUND(SUM($D$3:D115),2),IF(A116="","",ROUND(B116*C116,2)))</f>
        <v/>
      </c>
      <c r="E116" s="144" t="str">
        <f>IF(OR(itens_Remanesc!A115="",NOT(ISNUMBER(parametros!$F$3))),"",ROUND(itens_Remanesc!C115*parametros!$F$3,2))</f>
        <v/>
      </c>
      <c r="F116" s="145" t="str">
        <f>IF(posicao_contratual!A115="","",posicao_contratual!K115)</f>
        <v/>
      </c>
      <c r="G116" s="144" t="str">
        <f>IF(A116="TOTAL",ROUND(SUM($G$3:G115),2),IF(OR(A116="",E116="",F116=""),"",ROUND(E116*F116,2)))</f>
        <v/>
      </c>
      <c r="H116" s="142" t="str">
        <f>IF(OR(itens_Remanesc!A115="",NOT(ISNUMBER(parametros!$F$4))),"",ROUND(itens_Remanesc!C115*parametros!$F$4,2))</f>
        <v/>
      </c>
      <c r="I116" s="143" t="str">
        <f>IF(posicao_contratual!A115="","",posicao_contratual!O115)</f>
        <v/>
      </c>
      <c r="J116" s="142" t="str">
        <f>IF(A116="TOTAL",ROUND(SUM($J$3:J115),2),IF(OR(A116="",H116="",I116=""),"",ROUND(H116*I116,2)))</f>
        <v/>
      </c>
      <c r="K116" s="144" t="str">
        <f>IF(OR(itens_Remanesc!A115="",NOT(ISNUMBER(parametros!$F$5))),"",ROUND(itens_Remanesc!C115*parametros!$F$5,2))</f>
        <v/>
      </c>
      <c r="L116" s="145" t="str">
        <f>IF(posicao_contratual!A115="","",posicao_contratual!S115)</f>
        <v/>
      </c>
      <c r="M116" s="144" t="str">
        <f>IF(A116="TOTAL",ROUND(SUM($M$3:M115),2),IF(OR(A116="",K116="",L116=""),"",ROUND(K116*L116,2)))</f>
        <v/>
      </c>
      <c r="N116" s="142" t="str">
        <f>IF(OR(itens_Remanesc!A115="",NOT(ISNUMBER(parametros!$F$6))),"",ROUND(itens_Remanesc!C115*parametros!$F$6,2))</f>
        <v/>
      </c>
      <c r="O116" s="143" t="str">
        <f>IF(posicao_contratual!A115="","",posicao_contratual!W115)</f>
        <v/>
      </c>
      <c r="P116" s="142" t="str">
        <f>IF(A116="TOTAL",ROUND(SUM($P$3:P115),2),IF(OR(A116="",N116="",O116=""),"",ROUND(N116*O116,2)))</f>
        <v/>
      </c>
    </row>
    <row r="117" spans="1:16" x14ac:dyDescent="0.35">
      <c r="A117" s="141" t="str">
        <f>IF(AND(itens_Remanesc!A116="",itens_Remanesc!A115&lt;&gt;"",COUNTIF(itens_Remanesc!A117:$A$200,"&lt;&gt;")=0),"TOTAL",IF(itens_Remanesc!A116="","",itens_Remanesc!A116))</f>
        <v/>
      </c>
      <c r="B117" s="142" t="str">
        <f>IF(OR(itens_Remanesc!A116="",NOT(ISNUMBER(parametros!$F$2))),"",ROUND(itens_Remanesc!C116*parametros!$F$2,2))</f>
        <v/>
      </c>
      <c r="C117" s="143" t="str">
        <f>IF(posicao_contratual!A116="","",posicao_contratual!G116)</f>
        <v/>
      </c>
      <c r="D117" s="142" t="str">
        <f>IF(A117="TOTAL",ROUND(SUM($D$3:D116),2),IF(A117="","",ROUND(B117*C117,2)))</f>
        <v/>
      </c>
      <c r="E117" s="144" t="str">
        <f>IF(OR(itens_Remanesc!A116="",NOT(ISNUMBER(parametros!$F$3))),"",ROUND(itens_Remanesc!C116*parametros!$F$3,2))</f>
        <v/>
      </c>
      <c r="F117" s="145" t="str">
        <f>IF(posicao_contratual!A116="","",posicao_contratual!K116)</f>
        <v/>
      </c>
      <c r="G117" s="144" t="str">
        <f>IF(A117="TOTAL",ROUND(SUM($G$3:G116),2),IF(OR(A117="",E117="",F117=""),"",ROUND(E117*F117,2)))</f>
        <v/>
      </c>
      <c r="H117" s="142" t="str">
        <f>IF(OR(itens_Remanesc!A116="",NOT(ISNUMBER(parametros!$F$4))),"",ROUND(itens_Remanesc!C116*parametros!$F$4,2))</f>
        <v/>
      </c>
      <c r="I117" s="143" t="str">
        <f>IF(posicao_contratual!A116="","",posicao_contratual!O116)</f>
        <v/>
      </c>
      <c r="J117" s="142" t="str">
        <f>IF(A117="TOTAL",ROUND(SUM($J$3:J116),2),IF(OR(A117="",H117="",I117=""),"",ROUND(H117*I117,2)))</f>
        <v/>
      </c>
      <c r="K117" s="144" t="str">
        <f>IF(OR(itens_Remanesc!A116="",NOT(ISNUMBER(parametros!$F$5))),"",ROUND(itens_Remanesc!C116*parametros!$F$5,2))</f>
        <v/>
      </c>
      <c r="L117" s="145" t="str">
        <f>IF(posicao_contratual!A116="","",posicao_contratual!S116)</f>
        <v/>
      </c>
      <c r="M117" s="144" t="str">
        <f>IF(A117="TOTAL",ROUND(SUM($M$3:M116),2),IF(OR(A117="",K117="",L117=""),"",ROUND(K117*L117,2)))</f>
        <v/>
      </c>
      <c r="N117" s="142" t="str">
        <f>IF(OR(itens_Remanesc!A116="",NOT(ISNUMBER(parametros!$F$6))),"",ROUND(itens_Remanesc!C116*parametros!$F$6,2))</f>
        <v/>
      </c>
      <c r="O117" s="143" t="str">
        <f>IF(posicao_contratual!A116="","",posicao_contratual!W116)</f>
        <v/>
      </c>
      <c r="P117" s="142" t="str">
        <f>IF(A117="TOTAL",ROUND(SUM($P$3:P116),2),IF(OR(A117="",N117="",O117=""),"",ROUND(N117*O117,2)))</f>
        <v/>
      </c>
    </row>
    <row r="118" spans="1:16" x14ac:dyDescent="0.35">
      <c r="A118" s="141" t="str">
        <f>IF(AND(itens_Remanesc!A117="",itens_Remanesc!A116&lt;&gt;"",COUNTIF(itens_Remanesc!A118:$A$200,"&lt;&gt;")=0),"TOTAL",IF(itens_Remanesc!A117="","",itens_Remanesc!A117))</f>
        <v/>
      </c>
      <c r="B118" s="142" t="str">
        <f>IF(OR(itens_Remanesc!A117="",NOT(ISNUMBER(parametros!$F$2))),"",ROUND(itens_Remanesc!C117*parametros!$F$2,2))</f>
        <v/>
      </c>
      <c r="C118" s="143" t="str">
        <f>IF(posicao_contratual!A117="","",posicao_contratual!G117)</f>
        <v/>
      </c>
      <c r="D118" s="142" t="str">
        <f>IF(A118="TOTAL",ROUND(SUM($D$3:D117),2),IF(A118="","",ROUND(B118*C118,2)))</f>
        <v/>
      </c>
      <c r="E118" s="144" t="str">
        <f>IF(OR(itens_Remanesc!A117="",NOT(ISNUMBER(parametros!$F$3))),"",ROUND(itens_Remanesc!C117*parametros!$F$3,2))</f>
        <v/>
      </c>
      <c r="F118" s="145" t="str">
        <f>IF(posicao_contratual!A117="","",posicao_contratual!K117)</f>
        <v/>
      </c>
      <c r="G118" s="144" t="str">
        <f>IF(A118="TOTAL",ROUND(SUM($G$3:G117),2),IF(OR(A118="",E118="",F118=""),"",ROUND(E118*F118,2)))</f>
        <v/>
      </c>
      <c r="H118" s="142" t="str">
        <f>IF(OR(itens_Remanesc!A117="",NOT(ISNUMBER(parametros!$F$4))),"",ROUND(itens_Remanesc!C117*parametros!$F$4,2))</f>
        <v/>
      </c>
      <c r="I118" s="143" t="str">
        <f>IF(posicao_contratual!A117="","",posicao_contratual!O117)</f>
        <v/>
      </c>
      <c r="J118" s="142" t="str">
        <f>IF(A118="TOTAL",ROUND(SUM($J$3:J117),2),IF(OR(A118="",H118="",I118=""),"",ROUND(H118*I118,2)))</f>
        <v/>
      </c>
      <c r="K118" s="144" t="str">
        <f>IF(OR(itens_Remanesc!A117="",NOT(ISNUMBER(parametros!$F$5))),"",ROUND(itens_Remanesc!C117*parametros!$F$5,2))</f>
        <v/>
      </c>
      <c r="L118" s="145" t="str">
        <f>IF(posicao_contratual!A117="","",posicao_contratual!S117)</f>
        <v/>
      </c>
      <c r="M118" s="144" t="str">
        <f>IF(A118="TOTAL",ROUND(SUM($M$3:M117),2),IF(OR(A118="",K118="",L118=""),"",ROUND(K118*L118,2)))</f>
        <v/>
      </c>
      <c r="N118" s="142" t="str">
        <f>IF(OR(itens_Remanesc!A117="",NOT(ISNUMBER(parametros!$F$6))),"",ROUND(itens_Remanesc!C117*parametros!$F$6,2))</f>
        <v/>
      </c>
      <c r="O118" s="143" t="str">
        <f>IF(posicao_contratual!A117="","",posicao_contratual!W117)</f>
        <v/>
      </c>
      <c r="P118" s="142" t="str">
        <f>IF(A118="TOTAL",ROUND(SUM($P$3:P117),2),IF(OR(A118="",N118="",O118=""),"",ROUND(N118*O118,2)))</f>
        <v/>
      </c>
    </row>
    <row r="119" spans="1:16" x14ac:dyDescent="0.35">
      <c r="A119" s="141" t="str">
        <f>IF(AND(itens_Remanesc!A118="",itens_Remanesc!A117&lt;&gt;"",COUNTIF(itens_Remanesc!A119:$A$200,"&lt;&gt;")=0),"TOTAL",IF(itens_Remanesc!A118="","",itens_Remanesc!A118))</f>
        <v/>
      </c>
      <c r="B119" s="142" t="str">
        <f>IF(OR(itens_Remanesc!A118="",NOT(ISNUMBER(parametros!$F$2))),"",ROUND(itens_Remanesc!C118*parametros!$F$2,2))</f>
        <v/>
      </c>
      <c r="C119" s="143" t="str">
        <f>IF(posicao_contratual!A118="","",posicao_contratual!G118)</f>
        <v/>
      </c>
      <c r="D119" s="142" t="str">
        <f>IF(A119="TOTAL",ROUND(SUM($D$3:D118),2),IF(A119="","",ROUND(B119*C119,2)))</f>
        <v/>
      </c>
      <c r="E119" s="144" t="str">
        <f>IF(OR(itens_Remanesc!A118="",NOT(ISNUMBER(parametros!$F$3))),"",ROUND(itens_Remanesc!C118*parametros!$F$3,2))</f>
        <v/>
      </c>
      <c r="F119" s="145" t="str">
        <f>IF(posicao_contratual!A118="","",posicao_contratual!K118)</f>
        <v/>
      </c>
      <c r="G119" s="144" t="str">
        <f>IF(A119="TOTAL",ROUND(SUM($G$3:G118),2),IF(OR(A119="",E119="",F119=""),"",ROUND(E119*F119,2)))</f>
        <v/>
      </c>
      <c r="H119" s="142" t="str">
        <f>IF(OR(itens_Remanesc!A118="",NOT(ISNUMBER(parametros!$F$4))),"",ROUND(itens_Remanesc!C118*parametros!$F$4,2))</f>
        <v/>
      </c>
      <c r="I119" s="143" t="str">
        <f>IF(posicao_contratual!A118="","",posicao_contratual!O118)</f>
        <v/>
      </c>
      <c r="J119" s="142" t="str">
        <f>IF(A119="TOTAL",ROUND(SUM($J$3:J118),2),IF(OR(A119="",H119="",I119=""),"",ROUND(H119*I119,2)))</f>
        <v/>
      </c>
      <c r="K119" s="144" t="str">
        <f>IF(OR(itens_Remanesc!A118="",NOT(ISNUMBER(parametros!$F$5))),"",ROUND(itens_Remanesc!C118*parametros!$F$5,2))</f>
        <v/>
      </c>
      <c r="L119" s="145" t="str">
        <f>IF(posicao_contratual!A118="","",posicao_contratual!S118)</f>
        <v/>
      </c>
      <c r="M119" s="144" t="str">
        <f>IF(A119="TOTAL",ROUND(SUM($M$3:M118),2),IF(OR(A119="",K119="",L119=""),"",ROUND(K119*L119,2)))</f>
        <v/>
      </c>
      <c r="N119" s="142" t="str">
        <f>IF(OR(itens_Remanesc!A118="",NOT(ISNUMBER(parametros!$F$6))),"",ROUND(itens_Remanesc!C118*parametros!$F$6,2))</f>
        <v/>
      </c>
      <c r="O119" s="143" t="str">
        <f>IF(posicao_contratual!A118="","",posicao_contratual!W118)</f>
        <v/>
      </c>
      <c r="P119" s="142" t="str">
        <f>IF(A119="TOTAL",ROUND(SUM($P$3:P118),2),IF(OR(A119="",N119="",O119=""),"",ROUND(N119*O119,2)))</f>
        <v/>
      </c>
    </row>
    <row r="120" spans="1:16" x14ac:dyDescent="0.35">
      <c r="A120" s="141" t="str">
        <f>IF(AND(itens_Remanesc!A119="",itens_Remanesc!A118&lt;&gt;"",COUNTIF(itens_Remanesc!A120:$A$200,"&lt;&gt;")=0),"TOTAL",IF(itens_Remanesc!A119="","",itens_Remanesc!A119))</f>
        <v/>
      </c>
      <c r="B120" s="142" t="str">
        <f>IF(OR(itens_Remanesc!A119="",NOT(ISNUMBER(parametros!$F$2))),"",ROUND(itens_Remanesc!C119*parametros!$F$2,2))</f>
        <v/>
      </c>
      <c r="C120" s="143" t="str">
        <f>IF(posicao_contratual!A119="","",posicao_contratual!G119)</f>
        <v/>
      </c>
      <c r="D120" s="142" t="str">
        <f>IF(A120="TOTAL",ROUND(SUM($D$3:D119),2),IF(A120="","",ROUND(B120*C120,2)))</f>
        <v/>
      </c>
      <c r="E120" s="144" t="str">
        <f>IF(OR(itens_Remanesc!A119="",NOT(ISNUMBER(parametros!$F$3))),"",ROUND(itens_Remanesc!C119*parametros!$F$3,2))</f>
        <v/>
      </c>
      <c r="F120" s="145" t="str">
        <f>IF(posicao_contratual!A119="","",posicao_contratual!K119)</f>
        <v/>
      </c>
      <c r="G120" s="144" t="str">
        <f>IF(A120="TOTAL",ROUND(SUM($G$3:G119),2),IF(OR(A120="",E120="",F120=""),"",ROUND(E120*F120,2)))</f>
        <v/>
      </c>
      <c r="H120" s="142" t="str">
        <f>IF(OR(itens_Remanesc!A119="",NOT(ISNUMBER(parametros!$F$4))),"",ROUND(itens_Remanesc!C119*parametros!$F$4,2))</f>
        <v/>
      </c>
      <c r="I120" s="143" t="str">
        <f>IF(posicao_contratual!A119="","",posicao_contratual!O119)</f>
        <v/>
      </c>
      <c r="J120" s="142" t="str">
        <f>IF(A120="TOTAL",ROUND(SUM($J$3:J119),2),IF(OR(A120="",H120="",I120=""),"",ROUND(H120*I120,2)))</f>
        <v/>
      </c>
      <c r="K120" s="144" t="str">
        <f>IF(OR(itens_Remanesc!A119="",NOT(ISNUMBER(parametros!$F$5))),"",ROUND(itens_Remanesc!C119*parametros!$F$5,2))</f>
        <v/>
      </c>
      <c r="L120" s="145" t="str">
        <f>IF(posicao_contratual!A119="","",posicao_contratual!S119)</f>
        <v/>
      </c>
      <c r="M120" s="144" t="str">
        <f>IF(A120="TOTAL",ROUND(SUM($M$3:M119),2),IF(OR(A120="",K120="",L120=""),"",ROUND(K120*L120,2)))</f>
        <v/>
      </c>
      <c r="N120" s="142" t="str">
        <f>IF(OR(itens_Remanesc!A119="",NOT(ISNUMBER(parametros!$F$6))),"",ROUND(itens_Remanesc!C119*parametros!$F$6,2))</f>
        <v/>
      </c>
      <c r="O120" s="143" t="str">
        <f>IF(posicao_contratual!A119="","",posicao_contratual!W119)</f>
        <v/>
      </c>
      <c r="P120" s="142" t="str">
        <f>IF(A120="TOTAL",ROUND(SUM($P$3:P119),2),IF(OR(A120="",N120="",O120=""),"",ROUND(N120*O120,2)))</f>
        <v/>
      </c>
    </row>
    <row r="121" spans="1:16" x14ac:dyDescent="0.35">
      <c r="A121" s="141" t="str">
        <f>IF(AND(itens_Remanesc!A120="",itens_Remanesc!A119&lt;&gt;"",COUNTIF(itens_Remanesc!A121:$A$200,"&lt;&gt;")=0),"TOTAL",IF(itens_Remanesc!A120="","",itens_Remanesc!A120))</f>
        <v/>
      </c>
      <c r="B121" s="142" t="str">
        <f>IF(OR(itens_Remanesc!A120="",NOT(ISNUMBER(parametros!$F$2))),"",ROUND(itens_Remanesc!C120*parametros!$F$2,2))</f>
        <v/>
      </c>
      <c r="C121" s="143" t="str">
        <f>IF(posicao_contratual!A120="","",posicao_contratual!G120)</f>
        <v/>
      </c>
      <c r="D121" s="142" t="str">
        <f>IF(A121="TOTAL",ROUND(SUM($D$3:D120),2),IF(A121="","",ROUND(B121*C121,2)))</f>
        <v/>
      </c>
      <c r="E121" s="144" t="str">
        <f>IF(OR(itens_Remanesc!A120="",NOT(ISNUMBER(parametros!$F$3))),"",ROUND(itens_Remanesc!C120*parametros!$F$3,2))</f>
        <v/>
      </c>
      <c r="F121" s="145" t="str">
        <f>IF(posicao_contratual!A120="","",posicao_contratual!K120)</f>
        <v/>
      </c>
      <c r="G121" s="144" t="str">
        <f>IF(A121="TOTAL",ROUND(SUM($G$3:G120),2),IF(OR(A121="",E121="",F121=""),"",ROUND(E121*F121,2)))</f>
        <v/>
      </c>
      <c r="H121" s="142" t="str">
        <f>IF(OR(itens_Remanesc!A120="",NOT(ISNUMBER(parametros!$F$4))),"",ROUND(itens_Remanesc!C120*parametros!$F$4,2))</f>
        <v/>
      </c>
      <c r="I121" s="143" t="str">
        <f>IF(posicao_contratual!A120="","",posicao_contratual!O120)</f>
        <v/>
      </c>
      <c r="J121" s="142" t="str">
        <f>IF(A121="TOTAL",ROUND(SUM($J$3:J120),2),IF(OR(A121="",H121="",I121=""),"",ROUND(H121*I121,2)))</f>
        <v/>
      </c>
      <c r="K121" s="144" t="str">
        <f>IF(OR(itens_Remanesc!A120="",NOT(ISNUMBER(parametros!$F$5))),"",ROUND(itens_Remanesc!C120*parametros!$F$5,2))</f>
        <v/>
      </c>
      <c r="L121" s="145" t="str">
        <f>IF(posicao_contratual!A120="","",posicao_contratual!S120)</f>
        <v/>
      </c>
      <c r="M121" s="144" t="str">
        <f>IF(A121="TOTAL",ROUND(SUM($M$3:M120),2),IF(OR(A121="",K121="",L121=""),"",ROUND(K121*L121,2)))</f>
        <v/>
      </c>
      <c r="N121" s="142" t="str">
        <f>IF(OR(itens_Remanesc!A120="",NOT(ISNUMBER(parametros!$F$6))),"",ROUND(itens_Remanesc!C120*parametros!$F$6,2))</f>
        <v/>
      </c>
      <c r="O121" s="143" t="str">
        <f>IF(posicao_contratual!A120="","",posicao_contratual!W120)</f>
        <v/>
      </c>
      <c r="P121" s="142" t="str">
        <f>IF(A121="TOTAL",ROUND(SUM($P$3:P120),2),IF(OR(A121="",N121="",O121=""),"",ROUND(N121*O121,2)))</f>
        <v/>
      </c>
    </row>
    <row r="122" spans="1:16" x14ac:dyDescent="0.35">
      <c r="A122" s="141" t="str">
        <f>IF(AND(itens_Remanesc!A121="",itens_Remanesc!A120&lt;&gt;"",COUNTIF(itens_Remanesc!A122:$A$200,"&lt;&gt;")=0),"TOTAL",IF(itens_Remanesc!A121="","",itens_Remanesc!A121))</f>
        <v/>
      </c>
      <c r="B122" s="142" t="str">
        <f>IF(OR(itens_Remanesc!A121="",NOT(ISNUMBER(parametros!$F$2))),"",ROUND(itens_Remanesc!C121*parametros!$F$2,2))</f>
        <v/>
      </c>
      <c r="C122" s="143" t="str">
        <f>IF(posicao_contratual!A121="","",posicao_contratual!G121)</f>
        <v/>
      </c>
      <c r="D122" s="142" t="str">
        <f>IF(A122="TOTAL",ROUND(SUM($D$3:D121),2),IF(A122="","",ROUND(B122*C122,2)))</f>
        <v/>
      </c>
      <c r="E122" s="144" t="str">
        <f>IF(OR(itens_Remanesc!A121="",NOT(ISNUMBER(parametros!$F$3))),"",ROUND(itens_Remanesc!C121*parametros!$F$3,2))</f>
        <v/>
      </c>
      <c r="F122" s="145" t="str">
        <f>IF(posicao_contratual!A121="","",posicao_contratual!K121)</f>
        <v/>
      </c>
      <c r="G122" s="144" t="str">
        <f>IF(A122="TOTAL",ROUND(SUM($G$3:G121),2),IF(OR(A122="",E122="",F122=""),"",ROUND(E122*F122,2)))</f>
        <v/>
      </c>
      <c r="H122" s="142" t="str">
        <f>IF(OR(itens_Remanesc!A121="",NOT(ISNUMBER(parametros!$F$4))),"",ROUND(itens_Remanesc!C121*parametros!$F$4,2))</f>
        <v/>
      </c>
      <c r="I122" s="143" t="str">
        <f>IF(posicao_contratual!A121="","",posicao_contratual!O121)</f>
        <v/>
      </c>
      <c r="J122" s="142" t="str">
        <f>IF(A122="TOTAL",ROUND(SUM($J$3:J121),2),IF(OR(A122="",H122="",I122=""),"",ROUND(H122*I122,2)))</f>
        <v/>
      </c>
      <c r="K122" s="144" t="str">
        <f>IF(OR(itens_Remanesc!A121="",NOT(ISNUMBER(parametros!$F$5))),"",ROUND(itens_Remanesc!C121*parametros!$F$5,2))</f>
        <v/>
      </c>
      <c r="L122" s="145" t="str">
        <f>IF(posicao_contratual!A121="","",posicao_contratual!S121)</f>
        <v/>
      </c>
      <c r="M122" s="144" t="str">
        <f>IF(A122="TOTAL",ROUND(SUM($M$3:M121),2),IF(OR(A122="",K122="",L122=""),"",ROUND(K122*L122,2)))</f>
        <v/>
      </c>
      <c r="N122" s="142" t="str">
        <f>IF(OR(itens_Remanesc!A121="",NOT(ISNUMBER(parametros!$F$6))),"",ROUND(itens_Remanesc!C121*parametros!$F$6,2))</f>
        <v/>
      </c>
      <c r="O122" s="143" t="str">
        <f>IF(posicao_contratual!A121="","",posicao_contratual!W121)</f>
        <v/>
      </c>
      <c r="P122" s="142" t="str">
        <f>IF(A122="TOTAL",ROUND(SUM($P$3:P121),2),IF(OR(A122="",N122="",O122=""),"",ROUND(N122*O122,2)))</f>
        <v/>
      </c>
    </row>
    <row r="123" spans="1:16" x14ac:dyDescent="0.35">
      <c r="A123" s="141" t="str">
        <f>IF(AND(itens_Remanesc!A122="",itens_Remanesc!A121&lt;&gt;"",COUNTIF(itens_Remanesc!A123:$A$200,"&lt;&gt;")=0),"TOTAL",IF(itens_Remanesc!A122="","",itens_Remanesc!A122))</f>
        <v/>
      </c>
      <c r="B123" s="142" t="str">
        <f>IF(OR(itens_Remanesc!A122="",NOT(ISNUMBER(parametros!$F$2))),"",ROUND(itens_Remanesc!C122*parametros!$F$2,2))</f>
        <v/>
      </c>
      <c r="C123" s="143" t="str">
        <f>IF(posicao_contratual!A122="","",posicao_contratual!G122)</f>
        <v/>
      </c>
      <c r="D123" s="142" t="str">
        <f>IF(A123="TOTAL",ROUND(SUM($D$3:D122),2),IF(A123="","",ROUND(B123*C123,2)))</f>
        <v/>
      </c>
      <c r="E123" s="144" t="str">
        <f>IF(OR(itens_Remanesc!A122="",NOT(ISNUMBER(parametros!$F$3))),"",ROUND(itens_Remanesc!C122*parametros!$F$3,2))</f>
        <v/>
      </c>
      <c r="F123" s="145" t="str">
        <f>IF(posicao_contratual!A122="","",posicao_contratual!K122)</f>
        <v/>
      </c>
      <c r="G123" s="144" t="str">
        <f>IF(A123="TOTAL",ROUND(SUM($G$3:G122),2),IF(OR(A123="",E123="",F123=""),"",ROUND(E123*F123,2)))</f>
        <v/>
      </c>
      <c r="H123" s="142" t="str">
        <f>IF(OR(itens_Remanesc!A122="",NOT(ISNUMBER(parametros!$F$4))),"",ROUND(itens_Remanesc!C122*parametros!$F$4,2))</f>
        <v/>
      </c>
      <c r="I123" s="143" t="str">
        <f>IF(posicao_contratual!A122="","",posicao_contratual!O122)</f>
        <v/>
      </c>
      <c r="J123" s="142" t="str">
        <f>IF(A123="TOTAL",ROUND(SUM($J$3:J122),2),IF(OR(A123="",H123="",I123=""),"",ROUND(H123*I123,2)))</f>
        <v/>
      </c>
      <c r="K123" s="144" t="str">
        <f>IF(OR(itens_Remanesc!A122="",NOT(ISNUMBER(parametros!$F$5))),"",ROUND(itens_Remanesc!C122*parametros!$F$5,2))</f>
        <v/>
      </c>
      <c r="L123" s="145" t="str">
        <f>IF(posicao_contratual!A122="","",posicao_contratual!S122)</f>
        <v/>
      </c>
      <c r="M123" s="144" t="str">
        <f>IF(A123="TOTAL",ROUND(SUM($M$3:M122),2),IF(OR(A123="",K123="",L123=""),"",ROUND(K123*L123,2)))</f>
        <v/>
      </c>
      <c r="N123" s="142" t="str">
        <f>IF(OR(itens_Remanesc!A122="",NOT(ISNUMBER(parametros!$F$6))),"",ROUND(itens_Remanesc!C122*parametros!$F$6,2))</f>
        <v/>
      </c>
      <c r="O123" s="143" t="str">
        <f>IF(posicao_contratual!A122="","",posicao_contratual!W122)</f>
        <v/>
      </c>
      <c r="P123" s="142" t="str">
        <f>IF(A123="TOTAL",ROUND(SUM($P$3:P122),2),IF(OR(A123="",N123="",O123=""),"",ROUND(N123*O123,2)))</f>
        <v/>
      </c>
    </row>
    <row r="124" spans="1:16" x14ac:dyDescent="0.35">
      <c r="A124" s="141" t="str">
        <f>IF(AND(itens_Remanesc!A123="",itens_Remanesc!A122&lt;&gt;"",COUNTIF(itens_Remanesc!A124:$A$200,"&lt;&gt;")=0),"TOTAL",IF(itens_Remanesc!A123="","",itens_Remanesc!A123))</f>
        <v/>
      </c>
      <c r="B124" s="142" t="str">
        <f>IF(OR(itens_Remanesc!A123="",NOT(ISNUMBER(parametros!$F$2))),"",ROUND(itens_Remanesc!C123*parametros!$F$2,2))</f>
        <v/>
      </c>
      <c r="C124" s="143" t="str">
        <f>IF(posicao_contratual!A123="","",posicao_contratual!G123)</f>
        <v/>
      </c>
      <c r="D124" s="142" t="str">
        <f>IF(A124="TOTAL",ROUND(SUM($D$3:D123),2),IF(A124="","",ROUND(B124*C124,2)))</f>
        <v/>
      </c>
      <c r="E124" s="144" t="str">
        <f>IF(OR(itens_Remanesc!A123="",NOT(ISNUMBER(parametros!$F$3))),"",ROUND(itens_Remanesc!C123*parametros!$F$3,2))</f>
        <v/>
      </c>
      <c r="F124" s="145" t="str">
        <f>IF(posicao_contratual!A123="","",posicao_contratual!K123)</f>
        <v/>
      </c>
      <c r="G124" s="144" t="str">
        <f>IF(A124="TOTAL",ROUND(SUM($G$3:G123),2),IF(OR(A124="",E124="",F124=""),"",ROUND(E124*F124,2)))</f>
        <v/>
      </c>
      <c r="H124" s="142" t="str">
        <f>IF(OR(itens_Remanesc!A123="",NOT(ISNUMBER(parametros!$F$4))),"",ROUND(itens_Remanesc!C123*parametros!$F$4,2))</f>
        <v/>
      </c>
      <c r="I124" s="143" t="str">
        <f>IF(posicao_contratual!A123="","",posicao_contratual!O123)</f>
        <v/>
      </c>
      <c r="J124" s="142" t="str">
        <f>IF(A124="TOTAL",ROUND(SUM($J$3:J123),2),IF(OR(A124="",H124="",I124=""),"",ROUND(H124*I124,2)))</f>
        <v/>
      </c>
      <c r="K124" s="144" t="str">
        <f>IF(OR(itens_Remanesc!A123="",NOT(ISNUMBER(parametros!$F$5))),"",ROUND(itens_Remanesc!C123*parametros!$F$5,2))</f>
        <v/>
      </c>
      <c r="L124" s="145" t="str">
        <f>IF(posicao_contratual!A123="","",posicao_contratual!S123)</f>
        <v/>
      </c>
      <c r="M124" s="144" t="str">
        <f>IF(A124="TOTAL",ROUND(SUM($M$3:M123),2),IF(OR(A124="",K124="",L124=""),"",ROUND(K124*L124,2)))</f>
        <v/>
      </c>
      <c r="N124" s="142" t="str">
        <f>IF(OR(itens_Remanesc!A123="",NOT(ISNUMBER(parametros!$F$6))),"",ROUND(itens_Remanesc!C123*parametros!$F$6,2))</f>
        <v/>
      </c>
      <c r="O124" s="143" t="str">
        <f>IF(posicao_contratual!A123="","",posicao_contratual!W123)</f>
        <v/>
      </c>
      <c r="P124" s="142" t="str">
        <f>IF(A124="TOTAL",ROUND(SUM($P$3:P123),2),IF(OR(A124="",N124="",O124=""),"",ROUND(N124*O124,2)))</f>
        <v/>
      </c>
    </row>
    <row r="125" spans="1:16" x14ac:dyDescent="0.35">
      <c r="A125" s="141" t="str">
        <f>IF(AND(itens_Remanesc!A124="",itens_Remanesc!A123&lt;&gt;"",COUNTIF(itens_Remanesc!A125:$A$200,"&lt;&gt;")=0),"TOTAL",IF(itens_Remanesc!A124="","",itens_Remanesc!A124))</f>
        <v/>
      </c>
      <c r="B125" s="142" t="str">
        <f>IF(OR(itens_Remanesc!A124="",NOT(ISNUMBER(parametros!$F$2))),"",ROUND(itens_Remanesc!C124*parametros!$F$2,2))</f>
        <v/>
      </c>
      <c r="C125" s="143" t="str">
        <f>IF(posicao_contratual!A124="","",posicao_contratual!G124)</f>
        <v/>
      </c>
      <c r="D125" s="142" t="str">
        <f>IF(A125="TOTAL",ROUND(SUM($D$3:D124),2),IF(A125="","",ROUND(B125*C125,2)))</f>
        <v/>
      </c>
      <c r="E125" s="144" t="str">
        <f>IF(OR(itens_Remanesc!A124="",NOT(ISNUMBER(parametros!$F$3))),"",ROUND(itens_Remanesc!C124*parametros!$F$3,2))</f>
        <v/>
      </c>
      <c r="F125" s="145" t="str">
        <f>IF(posicao_contratual!A124="","",posicao_contratual!K124)</f>
        <v/>
      </c>
      <c r="G125" s="144" t="str">
        <f>IF(A125="TOTAL",ROUND(SUM($G$3:G124),2),IF(OR(A125="",E125="",F125=""),"",ROUND(E125*F125,2)))</f>
        <v/>
      </c>
      <c r="H125" s="142" t="str">
        <f>IF(OR(itens_Remanesc!A124="",NOT(ISNUMBER(parametros!$F$4))),"",ROUND(itens_Remanesc!C124*parametros!$F$4,2))</f>
        <v/>
      </c>
      <c r="I125" s="143" t="str">
        <f>IF(posicao_contratual!A124="","",posicao_contratual!O124)</f>
        <v/>
      </c>
      <c r="J125" s="142" t="str">
        <f>IF(A125="TOTAL",ROUND(SUM($J$3:J124),2),IF(OR(A125="",H125="",I125=""),"",ROUND(H125*I125,2)))</f>
        <v/>
      </c>
      <c r="K125" s="144" t="str">
        <f>IF(OR(itens_Remanesc!A124="",NOT(ISNUMBER(parametros!$F$5))),"",ROUND(itens_Remanesc!C124*parametros!$F$5,2))</f>
        <v/>
      </c>
      <c r="L125" s="145" t="str">
        <f>IF(posicao_contratual!A124="","",posicao_contratual!S124)</f>
        <v/>
      </c>
      <c r="M125" s="144" t="str">
        <f>IF(A125="TOTAL",ROUND(SUM($M$3:M124),2),IF(OR(A125="",K125="",L125=""),"",ROUND(K125*L125,2)))</f>
        <v/>
      </c>
      <c r="N125" s="142" t="str">
        <f>IF(OR(itens_Remanesc!A124="",NOT(ISNUMBER(parametros!$F$6))),"",ROUND(itens_Remanesc!C124*parametros!$F$6,2))</f>
        <v/>
      </c>
      <c r="O125" s="143" t="str">
        <f>IF(posicao_contratual!A124="","",posicao_contratual!W124)</f>
        <v/>
      </c>
      <c r="P125" s="142" t="str">
        <f>IF(A125="TOTAL",ROUND(SUM($P$3:P124),2),IF(OR(A125="",N125="",O125=""),"",ROUND(N125*O125,2)))</f>
        <v/>
      </c>
    </row>
    <row r="126" spans="1:16" x14ac:dyDescent="0.35">
      <c r="A126" s="141" t="str">
        <f>IF(AND(itens_Remanesc!A125="",itens_Remanesc!A124&lt;&gt;"",COUNTIF(itens_Remanesc!A126:$A$200,"&lt;&gt;")=0),"TOTAL",IF(itens_Remanesc!A125="","",itens_Remanesc!A125))</f>
        <v/>
      </c>
      <c r="B126" s="142" t="str">
        <f>IF(OR(itens_Remanesc!A125="",NOT(ISNUMBER(parametros!$F$2))),"",ROUND(itens_Remanesc!C125*parametros!$F$2,2))</f>
        <v/>
      </c>
      <c r="C126" s="143" t="str">
        <f>IF(posicao_contratual!A125="","",posicao_contratual!G125)</f>
        <v/>
      </c>
      <c r="D126" s="142" t="str">
        <f>IF(A126="TOTAL",ROUND(SUM($D$3:D125),2),IF(A126="","",ROUND(B126*C126,2)))</f>
        <v/>
      </c>
      <c r="E126" s="144" t="str">
        <f>IF(OR(itens_Remanesc!A125="",NOT(ISNUMBER(parametros!$F$3))),"",ROUND(itens_Remanesc!C125*parametros!$F$3,2))</f>
        <v/>
      </c>
      <c r="F126" s="145" t="str">
        <f>IF(posicao_contratual!A125="","",posicao_contratual!K125)</f>
        <v/>
      </c>
      <c r="G126" s="144" t="str">
        <f>IF(A126="TOTAL",ROUND(SUM($G$3:G125),2),IF(OR(A126="",E126="",F126=""),"",ROUND(E126*F126,2)))</f>
        <v/>
      </c>
      <c r="H126" s="142" t="str">
        <f>IF(OR(itens_Remanesc!A125="",NOT(ISNUMBER(parametros!$F$4))),"",ROUND(itens_Remanesc!C125*parametros!$F$4,2))</f>
        <v/>
      </c>
      <c r="I126" s="143" t="str">
        <f>IF(posicao_contratual!A125="","",posicao_contratual!O125)</f>
        <v/>
      </c>
      <c r="J126" s="142" t="str">
        <f>IF(A126="TOTAL",ROUND(SUM($J$3:J125),2),IF(OR(A126="",H126="",I126=""),"",ROUND(H126*I126,2)))</f>
        <v/>
      </c>
      <c r="K126" s="144" t="str">
        <f>IF(OR(itens_Remanesc!A125="",NOT(ISNUMBER(parametros!$F$5))),"",ROUND(itens_Remanesc!C125*parametros!$F$5,2))</f>
        <v/>
      </c>
      <c r="L126" s="145" t="str">
        <f>IF(posicao_contratual!A125="","",posicao_contratual!S125)</f>
        <v/>
      </c>
      <c r="M126" s="144" t="str">
        <f>IF(A126="TOTAL",ROUND(SUM($M$3:M125),2),IF(OR(A126="",K126="",L126=""),"",ROUND(K126*L126,2)))</f>
        <v/>
      </c>
      <c r="N126" s="142" t="str">
        <f>IF(OR(itens_Remanesc!A125="",NOT(ISNUMBER(parametros!$F$6))),"",ROUND(itens_Remanesc!C125*parametros!$F$6,2))</f>
        <v/>
      </c>
      <c r="O126" s="143" t="str">
        <f>IF(posicao_contratual!A125="","",posicao_contratual!W125)</f>
        <v/>
      </c>
      <c r="P126" s="142" t="str">
        <f>IF(A126="TOTAL",ROUND(SUM($P$3:P125),2),IF(OR(A126="",N126="",O126=""),"",ROUND(N126*O126,2)))</f>
        <v/>
      </c>
    </row>
    <row r="127" spans="1:16" x14ac:dyDescent="0.35">
      <c r="A127" s="141" t="str">
        <f>IF(AND(itens_Remanesc!A126="",itens_Remanesc!A125&lt;&gt;"",COUNTIF(itens_Remanesc!A127:$A$200,"&lt;&gt;")=0),"TOTAL",IF(itens_Remanesc!A126="","",itens_Remanesc!A126))</f>
        <v/>
      </c>
      <c r="B127" s="142" t="str">
        <f>IF(OR(itens_Remanesc!A126="",NOT(ISNUMBER(parametros!$F$2))),"",ROUND(itens_Remanesc!C126*parametros!$F$2,2))</f>
        <v/>
      </c>
      <c r="C127" s="143" t="str">
        <f>IF(posicao_contratual!A126="","",posicao_contratual!G126)</f>
        <v/>
      </c>
      <c r="D127" s="142" t="str">
        <f>IF(A127="TOTAL",ROUND(SUM($D$3:D126),2),IF(A127="","",ROUND(B127*C127,2)))</f>
        <v/>
      </c>
      <c r="E127" s="144" t="str">
        <f>IF(OR(itens_Remanesc!A126="",NOT(ISNUMBER(parametros!$F$3))),"",ROUND(itens_Remanesc!C126*parametros!$F$3,2))</f>
        <v/>
      </c>
      <c r="F127" s="145" t="str">
        <f>IF(posicao_contratual!A126="","",posicao_contratual!K126)</f>
        <v/>
      </c>
      <c r="G127" s="144" t="str">
        <f>IF(A127="TOTAL",ROUND(SUM($G$3:G126),2),IF(OR(A127="",E127="",F127=""),"",ROUND(E127*F127,2)))</f>
        <v/>
      </c>
      <c r="H127" s="142" t="str">
        <f>IF(OR(itens_Remanesc!A126="",NOT(ISNUMBER(parametros!$F$4))),"",ROUND(itens_Remanesc!C126*parametros!$F$4,2))</f>
        <v/>
      </c>
      <c r="I127" s="143" t="str">
        <f>IF(posicao_contratual!A126="","",posicao_contratual!O126)</f>
        <v/>
      </c>
      <c r="J127" s="142" t="str">
        <f>IF(A127="TOTAL",ROUND(SUM($J$3:J126),2),IF(OR(A127="",H127="",I127=""),"",ROUND(H127*I127,2)))</f>
        <v/>
      </c>
      <c r="K127" s="144" t="str">
        <f>IF(OR(itens_Remanesc!A126="",NOT(ISNUMBER(parametros!$F$5))),"",ROUND(itens_Remanesc!C126*parametros!$F$5,2))</f>
        <v/>
      </c>
      <c r="L127" s="145" t="str">
        <f>IF(posicao_contratual!A126="","",posicao_contratual!S126)</f>
        <v/>
      </c>
      <c r="M127" s="144" t="str">
        <f>IF(A127="TOTAL",ROUND(SUM($M$3:M126),2),IF(OR(A127="",K127="",L127=""),"",ROUND(K127*L127,2)))</f>
        <v/>
      </c>
      <c r="N127" s="142" t="str">
        <f>IF(OR(itens_Remanesc!A126="",NOT(ISNUMBER(parametros!$F$6))),"",ROUND(itens_Remanesc!C126*parametros!$F$6,2))</f>
        <v/>
      </c>
      <c r="O127" s="143" t="str">
        <f>IF(posicao_contratual!A126="","",posicao_contratual!W126)</f>
        <v/>
      </c>
      <c r="P127" s="142" t="str">
        <f>IF(A127="TOTAL",ROUND(SUM($P$3:P126),2),IF(OR(A127="",N127="",O127=""),"",ROUND(N127*O127,2)))</f>
        <v/>
      </c>
    </row>
    <row r="128" spans="1:16" x14ac:dyDescent="0.35">
      <c r="A128" s="141" t="str">
        <f>IF(AND(itens_Remanesc!A127="",itens_Remanesc!A126&lt;&gt;"",COUNTIF(itens_Remanesc!A128:$A$200,"&lt;&gt;")=0),"TOTAL",IF(itens_Remanesc!A127="","",itens_Remanesc!A127))</f>
        <v/>
      </c>
      <c r="B128" s="142" t="str">
        <f>IF(OR(itens_Remanesc!A127="",NOT(ISNUMBER(parametros!$F$2))),"",ROUND(itens_Remanesc!C127*parametros!$F$2,2))</f>
        <v/>
      </c>
      <c r="C128" s="143" t="str">
        <f>IF(posicao_contratual!A127="","",posicao_contratual!G127)</f>
        <v/>
      </c>
      <c r="D128" s="142" t="str">
        <f>IF(A128="TOTAL",ROUND(SUM($D$3:D127),2),IF(A128="","",ROUND(B128*C128,2)))</f>
        <v/>
      </c>
      <c r="E128" s="144" t="str">
        <f>IF(OR(itens_Remanesc!A127="",NOT(ISNUMBER(parametros!$F$3))),"",ROUND(itens_Remanesc!C127*parametros!$F$3,2))</f>
        <v/>
      </c>
      <c r="F128" s="145" t="str">
        <f>IF(posicao_contratual!A127="","",posicao_contratual!K127)</f>
        <v/>
      </c>
      <c r="G128" s="144" t="str">
        <f>IF(A128="TOTAL",ROUND(SUM($G$3:G127),2),IF(OR(A128="",E128="",F128=""),"",ROUND(E128*F128,2)))</f>
        <v/>
      </c>
      <c r="H128" s="142" t="str">
        <f>IF(OR(itens_Remanesc!A127="",NOT(ISNUMBER(parametros!$F$4))),"",ROUND(itens_Remanesc!C127*parametros!$F$4,2))</f>
        <v/>
      </c>
      <c r="I128" s="143" t="str">
        <f>IF(posicao_contratual!A127="","",posicao_contratual!O127)</f>
        <v/>
      </c>
      <c r="J128" s="142" t="str">
        <f>IF(A128="TOTAL",ROUND(SUM($J$3:J127),2),IF(OR(A128="",H128="",I128=""),"",ROUND(H128*I128,2)))</f>
        <v/>
      </c>
      <c r="K128" s="144" t="str">
        <f>IF(OR(itens_Remanesc!A127="",NOT(ISNUMBER(parametros!$F$5))),"",ROUND(itens_Remanesc!C127*parametros!$F$5,2))</f>
        <v/>
      </c>
      <c r="L128" s="145" t="str">
        <f>IF(posicao_contratual!A127="","",posicao_contratual!S127)</f>
        <v/>
      </c>
      <c r="M128" s="144" t="str">
        <f>IF(A128="TOTAL",ROUND(SUM($M$3:M127),2),IF(OR(A128="",K128="",L128=""),"",ROUND(K128*L128,2)))</f>
        <v/>
      </c>
      <c r="N128" s="142" t="str">
        <f>IF(OR(itens_Remanesc!A127="",NOT(ISNUMBER(parametros!$F$6))),"",ROUND(itens_Remanesc!C127*parametros!$F$6,2))</f>
        <v/>
      </c>
      <c r="O128" s="143" t="str">
        <f>IF(posicao_contratual!A127="","",posicao_contratual!W127)</f>
        <v/>
      </c>
      <c r="P128" s="142" t="str">
        <f>IF(A128="TOTAL",ROUND(SUM($P$3:P127),2),IF(OR(A128="",N128="",O128=""),"",ROUND(N128*O128,2)))</f>
        <v/>
      </c>
    </row>
    <row r="129" spans="1:16" x14ac:dyDescent="0.35">
      <c r="A129" s="141" t="str">
        <f>IF(AND(itens_Remanesc!A128="",itens_Remanesc!A127&lt;&gt;"",COUNTIF(itens_Remanesc!A129:$A$200,"&lt;&gt;")=0),"TOTAL",IF(itens_Remanesc!A128="","",itens_Remanesc!A128))</f>
        <v/>
      </c>
      <c r="B129" s="142" t="str">
        <f>IF(OR(itens_Remanesc!A128="",NOT(ISNUMBER(parametros!$F$2))),"",ROUND(itens_Remanesc!C128*parametros!$F$2,2))</f>
        <v/>
      </c>
      <c r="C129" s="143" t="str">
        <f>IF(posicao_contratual!A128="","",posicao_contratual!G128)</f>
        <v/>
      </c>
      <c r="D129" s="142" t="str">
        <f>IF(A129="TOTAL",ROUND(SUM($D$3:D128),2),IF(A129="","",ROUND(B129*C129,2)))</f>
        <v/>
      </c>
      <c r="E129" s="144" t="str">
        <f>IF(OR(itens_Remanesc!A128="",NOT(ISNUMBER(parametros!$F$3))),"",ROUND(itens_Remanesc!C128*parametros!$F$3,2))</f>
        <v/>
      </c>
      <c r="F129" s="145" t="str">
        <f>IF(posicao_contratual!A128="","",posicao_contratual!K128)</f>
        <v/>
      </c>
      <c r="G129" s="144" t="str">
        <f>IF(A129="TOTAL",ROUND(SUM($G$3:G128),2),IF(OR(A129="",E129="",F129=""),"",ROUND(E129*F129,2)))</f>
        <v/>
      </c>
      <c r="H129" s="142" t="str">
        <f>IF(OR(itens_Remanesc!A128="",NOT(ISNUMBER(parametros!$F$4))),"",ROUND(itens_Remanesc!C128*parametros!$F$4,2))</f>
        <v/>
      </c>
      <c r="I129" s="143" t="str">
        <f>IF(posicao_contratual!A128="","",posicao_contratual!O128)</f>
        <v/>
      </c>
      <c r="J129" s="142" t="str">
        <f>IF(A129="TOTAL",ROUND(SUM($J$3:J128),2),IF(OR(A129="",H129="",I129=""),"",ROUND(H129*I129,2)))</f>
        <v/>
      </c>
      <c r="K129" s="144" t="str">
        <f>IF(OR(itens_Remanesc!A128="",NOT(ISNUMBER(parametros!$F$5))),"",ROUND(itens_Remanesc!C128*parametros!$F$5,2))</f>
        <v/>
      </c>
      <c r="L129" s="145" t="str">
        <f>IF(posicao_contratual!A128="","",posicao_contratual!S128)</f>
        <v/>
      </c>
      <c r="M129" s="144" t="str">
        <f>IF(A129="TOTAL",ROUND(SUM($M$3:M128),2),IF(OR(A129="",K129="",L129=""),"",ROUND(K129*L129,2)))</f>
        <v/>
      </c>
      <c r="N129" s="142" t="str">
        <f>IF(OR(itens_Remanesc!A128="",NOT(ISNUMBER(parametros!$F$6))),"",ROUND(itens_Remanesc!C128*parametros!$F$6,2))</f>
        <v/>
      </c>
      <c r="O129" s="143" t="str">
        <f>IF(posicao_contratual!A128="","",posicao_contratual!W128)</f>
        <v/>
      </c>
      <c r="P129" s="142" t="str">
        <f>IF(A129="TOTAL",ROUND(SUM($P$3:P128),2),IF(OR(A129="",N129="",O129=""),"",ROUND(N129*O129,2)))</f>
        <v/>
      </c>
    </row>
    <row r="130" spans="1:16" x14ac:dyDescent="0.35">
      <c r="A130" s="141" t="str">
        <f>IF(AND(itens_Remanesc!A129="",itens_Remanesc!A128&lt;&gt;"",COUNTIF(itens_Remanesc!A130:$A$200,"&lt;&gt;")=0),"TOTAL",IF(itens_Remanesc!A129="","",itens_Remanesc!A129))</f>
        <v/>
      </c>
      <c r="B130" s="142" t="str">
        <f>IF(OR(itens_Remanesc!A129="",NOT(ISNUMBER(parametros!$F$2))),"",ROUND(itens_Remanesc!C129*parametros!$F$2,2))</f>
        <v/>
      </c>
      <c r="C130" s="143" t="str">
        <f>IF(posicao_contratual!A129="","",posicao_contratual!G129)</f>
        <v/>
      </c>
      <c r="D130" s="142" t="str">
        <f>IF(A130="TOTAL",ROUND(SUM($D$3:D129),2),IF(A130="","",ROUND(B130*C130,2)))</f>
        <v/>
      </c>
      <c r="E130" s="144" t="str">
        <f>IF(OR(itens_Remanesc!A129="",NOT(ISNUMBER(parametros!$F$3))),"",ROUND(itens_Remanesc!C129*parametros!$F$3,2))</f>
        <v/>
      </c>
      <c r="F130" s="145" t="str">
        <f>IF(posicao_contratual!A129="","",posicao_contratual!K129)</f>
        <v/>
      </c>
      <c r="G130" s="144" t="str">
        <f>IF(A130="TOTAL",ROUND(SUM($G$3:G129),2),IF(OR(A130="",E130="",F130=""),"",ROUND(E130*F130,2)))</f>
        <v/>
      </c>
      <c r="H130" s="142" t="str">
        <f>IF(OR(itens_Remanesc!A129="",NOT(ISNUMBER(parametros!$F$4))),"",ROUND(itens_Remanesc!C129*parametros!$F$4,2))</f>
        <v/>
      </c>
      <c r="I130" s="143" t="str">
        <f>IF(posicao_contratual!A129="","",posicao_contratual!O129)</f>
        <v/>
      </c>
      <c r="J130" s="142" t="str">
        <f>IF(A130="TOTAL",ROUND(SUM($J$3:J129),2),IF(OR(A130="",H130="",I130=""),"",ROUND(H130*I130,2)))</f>
        <v/>
      </c>
      <c r="K130" s="144" t="str">
        <f>IF(OR(itens_Remanesc!A129="",NOT(ISNUMBER(parametros!$F$5))),"",ROUND(itens_Remanesc!C129*parametros!$F$5,2))</f>
        <v/>
      </c>
      <c r="L130" s="145" t="str">
        <f>IF(posicao_contratual!A129="","",posicao_contratual!S129)</f>
        <v/>
      </c>
      <c r="M130" s="144" t="str">
        <f>IF(A130="TOTAL",ROUND(SUM($M$3:M129),2),IF(OR(A130="",K130="",L130=""),"",ROUND(K130*L130,2)))</f>
        <v/>
      </c>
      <c r="N130" s="142" t="str">
        <f>IF(OR(itens_Remanesc!A129="",NOT(ISNUMBER(parametros!$F$6))),"",ROUND(itens_Remanesc!C129*parametros!$F$6,2))</f>
        <v/>
      </c>
      <c r="O130" s="143" t="str">
        <f>IF(posicao_contratual!A129="","",posicao_contratual!W129)</f>
        <v/>
      </c>
      <c r="P130" s="142" t="str">
        <f>IF(A130="TOTAL",ROUND(SUM($P$3:P129),2),IF(OR(A130="",N130="",O130=""),"",ROUND(N130*O130,2)))</f>
        <v/>
      </c>
    </row>
    <row r="131" spans="1:16" x14ac:dyDescent="0.35">
      <c r="A131" s="141" t="str">
        <f>IF(AND(itens_Remanesc!A130="",itens_Remanesc!A129&lt;&gt;"",COUNTIF(itens_Remanesc!A131:$A$200,"&lt;&gt;")=0),"TOTAL",IF(itens_Remanesc!A130="","",itens_Remanesc!A130))</f>
        <v/>
      </c>
      <c r="B131" s="142" t="str">
        <f>IF(OR(itens_Remanesc!A130="",NOT(ISNUMBER(parametros!$F$2))),"",ROUND(itens_Remanesc!C130*parametros!$F$2,2))</f>
        <v/>
      </c>
      <c r="C131" s="143" t="str">
        <f>IF(posicao_contratual!A130="","",posicao_contratual!G130)</f>
        <v/>
      </c>
      <c r="D131" s="142" t="str">
        <f>IF(A131="TOTAL",ROUND(SUM($D$3:D130),2),IF(A131="","",ROUND(B131*C131,2)))</f>
        <v/>
      </c>
      <c r="E131" s="144" t="str">
        <f>IF(OR(itens_Remanesc!A130="",NOT(ISNUMBER(parametros!$F$3))),"",ROUND(itens_Remanesc!C130*parametros!$F$3,2))</f>
        <v/>
      </c>
      <c r="F131" s="145" t="str">
        <f>IF(posicao_contratual!A130="","",posicao_contratual!K130)</f>
        <v/>
      </c>
      <c r="G131" s="144" t="str">
        <f>IF(A131="TOTAL",ROUND(SUM($G$3:G130),2),IF(OR(A131="",E131="",F131=""),"",ROUND(E131*F131,2)))</f>
        <v/>
      </c>
      <c r="H131" s="142" t="str">
        <f>IF(OR(itens_Remanesc!A130="",NOT(ISNUMBER(parametros!$F$4))),"",ROUND(itens_Remanesc!C130*parametros!$F$4,2))</f>
        <v/>
      </c>
      <c r="I131" s="143" t="str">
        <f>IF(posicao_contratual!A130="","",posicao_contratual!O130)</f>
        <v/>
      </c>
      <c r="J131" s="142" t="str">
        <f>IF(A131="TOTAL",ROUND(SUM($J$3:J130),2),IF(OR(A131="",H131="",I131=""),"",ROUND(H131*I131,2)))</f>
        <v/>
      </c>
      <c r="K131" s="144" t="str">
        <f>IF(OR(itens_Remanesc!A130="",NOT(ISNUMBER(parametros!$F$5))),"",ROUND(itens_Remanesc!C130*parametros!$F$5,2))</f>
        <v/>
      </c>
      <c r="L131" s="145" t="str">
        <f>IF(posicao_contratual!A130="","",posicao_contratual!S130)</f>
        <v/>
      </c>
      <c r="M131" s="144" t="str">
        <f>IF(A131="TOTAL",ROUND(SUM($M$3:M130),2),IF(OR(A131="",K131="",L131=""),"",ROUND(K131*L131,2)))</f>
        <v/>
      </c>
      <c r="N131" s="142" t="str">
        <f>IF(OR(itens_Remanesc!A130="",NOT(ISNUMBER(parametros!$F$6))),"",ROUND(itens_Remanesc!C130*parametros!$F$6,2))</f>
        <v/>
      </c>
      <c r="O131" s="143" t="str">
        <f>IF(posicao_contratual!A130="","",posicao_contratual!W130)</f>
        <v/>
      </c>
      <c r="P131" s="142" t="str">
        <f>IF(A131="TOTAL",ROUND(SUM($P$3:P130),2),IF(OR(A131="",N131="",O131=""),"",ROUND(N131*O131,2)))</f>
        <v/>
      </c>
    </row>
    <row r="132" spans="1:16" x14ac:dyDescent="0.35">
      <c r="A132" s="141" t="str">
        <f>IF(AND(itens_Remanesc!A131="",itens_Remanesc!A130&lt;&gt;"",COUNTIF(itens_Remanesc!A132:$A$200,"&lt;&gt;")=0),"TOTAL",IF(itens_Remanesc!A131="","",itens_Remanesc!A131))</f>
        <v/>
      </c>
      <c r="B132" s="142" t="str">
        <f>IF(OR(itens_Remanesc!A131="",NOT(ISNUMBER(parametros!$F$2))),"",ROUND(itens_Remanesc!C131*parametros!$F$2,2))</f>
        <v/>
      </c>
      <c r="C132" s="143" t="str">
        <f>IF(posicao_contratual!A131="","",posicao_contratual!G131)</f>
        <v/>
      </c>
      <c r="D132" s="142" t="str">
        <f>IF(A132="TOTAL",ROUND(SUM($D$3:D131),2),IF(A132="","",ROUND(B132*C132,2)))</f>
        <v/>
      </c>
      <c r="E132" s="144" t="str">
        <f>IF(OR(itens_Remanesc!A131="",NOT(ISNUMBER(parametros!$F$3))),"",ROUND(itens_Remanesc!C131*parametros!$F$3,2))</f>
        <v/>
      </c>
      <c r="F132" s="145" t="str">
        <f>IF(posicao_contratual!A131="","",posicao_contratual!K131)</f>
        <v/>
      </c>
      <c r="G132" s="144" t="str">
        <f>IF(A132="TOTAL",ROUND(SUM($G$3:G131),2),IF(OR(A132="",E132="",F132=""),"",ROUND(E132*F132,2)))</f>
        <v/>
      </c>
      <c r="H132" s="142" t="str">
        <f>IF(OR(itens_Remanesc!A131="",NOT(ISNUMBER(parametros!$F$4))),"",ROUND(itens_Remanesc!C131*parametros!$F$4,2))</f>
        <v/>
      </c>
      <c r="I132" s="143" t="str">
        <f>IF(posicao_contratual!A131="","",posicao_contratual!O131)</f>
        <v/>
      </c>
      <c r="J132" s="142" t="str">
        <f>IF(A132="TOTAL",ROUND(SUM($J$3:J131),2),IF(OR(A132="",H132="",I132=""),"",ROUND(H132*I132,2)))</f>
        <v/>
      </c>
      <c r="K132" s="144" t="str">
        <f>IF(OR(itens_Remanesc!A131="",NOT(ISNUMBER(parametros!$F$5))),"",ROUND(itens_Remanesc!C131*parametros!$F$5,2))</f>
        <v/>
      </c>
      <c r="L132" s="145" t="str">
        <f>IF(posicao_contratual!A131="","",posicao_contratual!S131)</f>
        <v/>
      </c>
      <c r="M132" s="144" t="str">
        <f>IF(A132="TOTAL",ROUND(SUM($M$3:M131),2),IF(OR(A132="",K132="",L132=""),"",ROUND(K132*L132,2)))</f>
        <v/>
      </c>
      <c r="N132" s="142" t="str">
        <f>IF(OR(itens_Remanesc!A131="",NOT(ISNUMBER(parametros!$F$6))),"",ROUND(itens_Remanesc!C131*parametros!$F$6,2))</f>
        <v/>
      </c>
      <c r="O132" s="143" t="str">
        <f>IF(posicao_contratual!A131="","",posicao_contratual!W131)</f>
        <v/>
      </c>
      <c r="P132" s="142" t="str">
        <f>IF(A132="TOTAL",ROUND(SUM($P$3:P131),2),IF(OR(A132="",N132="",O132=""),"",ROUND(N132*O132,2)))</f>
        <v/>
      </c>
    </row>
    <row r="133" spans="1:16" x14ac:dyDescent="0.35">
      <c r="A133" s="141" t="str">
        <f>IF(AND(itens_Remanesc!A132="",itens_Remanesc!A131&lt;&gt;"",COUNTIF(itens_Remanesc!A133:$A$200,"&lt;&gt;")=0),"TOTAL",IF(itens_Remanesc!A132="","",itens_Remanesc!A132))</f>
        <v/>
      </c>
      <c r="B133" s="142" t="str">
        <f>IF(OR(itens_Remanesc!A132="",NOT(ISNUMBER(parametros!$F$2))),"",ROUND(itens_Remanesc!C132*parametros!$F$2,2))</f>
        <v/>
      </c>
      <c r="C133" s="143" t="str">
        <f>IF(posicao_contratual!A132="","",posicao_contratual!G132)</f>
        <v/>
      </c>
      <c r="D133" s="142" t="str">
        <f>IF(A133="TOTAL",ROUND(SUM($D$3:D132),2),IF(A133="","",ROUND(B133*C133,2)))</f>
        <v/>
      </c>
      <c r="E133" s="144" t="str">
        <f>IF(OR(itens_Remanesc!A132="",NOT(ISNUMBER(parametros!$F$3))),"",ROUND(itens_Remanesc!C132*parametros!$F$3,2))</f>
        <v/>
      </c>
      <c r="F133" s="145" t="str">
        <f>IF(posicao_contratual!A132="","",posicao_contratual!K132)</f>
        <v/>
      </c>
      <c r="G133" s="144" t="str">
        <f>IF(A133="TOTAL",ROUND(SUM($G$3:G132),2),IF(OR(A133="",E133="",F133=""),"",ROUND(E133*F133,2)))</f>
        <v/>
      </c>
      <c r="H133" s="142" t="str">
        <f>IF(OR(itens_Remanesc!A132="",NOT(ISNUMBER(parametros!$F$4))),"",ROUND(itens_Remanesc!C132*parametros!$F$4,2))</f>
        <v/>
      </c>
      <c r="I133" s="143" t="str">
        <f>IF(posicao_contratual!A132="","",posicao_contratual!O132)</f>
        <v/>
      </c>
      <c r="J133" s="142" t="str">
        <f>IF(A133="TOTAL",ROUND(SUM($J$3:J132),2),IF(OR(A133="",H133="",I133=""),"",ROUND(H133*I133,2)))</f>
        <v/>
      </c>
      <c r="K133" s="144" t="str">
        <f>IF(OR(itens_Remanesc!A132="",NOT(ISNUMBER(parametros!$F$5))),"",ROUND(itens_Remanesc!C132*parametros!$F$5,2))</f>
        <v/>
      </c>
      <c r="L133" s="145" t="str">
        <f>IF(posicao_contratual!A132="","",posicao_contratual!S132)</f>
        <v/>
      </c>
      <c r="M133" s="144" t="str">
        <f>IF(A133="TOTAL",ROUND(SUM($M$3:M132),2),IF(OR(A133="",K133="",L133=""),"",ROUND(K133*L133,2)))</f>
        <v/>
      </c>
      <c r="N133" s="142" t="str">
        <f>IF(OR(itens_Remanesc!A132="",NOT(ISNUMBER(parametros!$F$6))),"",ROUND(itens_Remanesc!C132*parametros!$F$6,2))</f>
        <v/>
      </c>
      <c r="O133" s="143" t="str">
        <f>IF(posicao_contratual!A132="","",posicao_contratual!W132)</f>
        <v/>
      </c>
      <c r="P133" s="142" t="str">
        <f>IF(A133="TOTAL",ROUND(SUM($P$3:P132),2),IF(OR(A133="",N133="",O133=""),"",ROUND(N133*O133,2)))</f>
        <v/>
      </c>
    </row>
    <row r="134" spans="1:16" x14ac:dyDescent="0.35">
      <c r="A134" s="141" t="str">
        <f>IF(AND(itens_Remanesc!A133="",itens_Remanesc!A132&lt;&gt;"",COUNTIF(itens_Remanesc!A134:$A$200,"&lt;&gt;")=0),"TOTAL",IF(itens_Remanesc!A133="","",itens_Remanesc!A133))</f>
        <v/>
      </c>
      <c r="B134" s="142" t="str">
        <f>IF(OR(itens_Remanesc!A133="",NOT(ISNUMBER(parametros!$F$2))),"",ROUND(itens_Remanesc!C133*parametros!$F$2,2))</f>
        <v/>
      </c>
      <c r="C134" s="143" t="str">
        <f>IF(posicao_contratual!A133="","",posicao_contratual!G133)</f>
        <v/>
      </c>
      <c r="D134" s="142" t="str">
        <f>IF(A134="TOTAL",ROUND(SUM($D$3:D133),2),IF(A134="","",ROUND(B134*C134,2)))</f>
        <v/>
      </c>
      <c r="E134" s="144" t="str">
        <f>IF(OR(itens_Remanesc!A133="",NOT(ISNUMBER(parametros!$F$3))),"",ROUND(itens_Remanesc!C133*parametros!$F$3,2))</f>
        <v/>
      </c>
      <c r="F134" s="145" t="str">
        <f>IF(posicao_contratual!A133="","",posicao_contratual!K133)</f>
        <v/>
      </c>
      <c r="G134" s="144" t="str">
        <f>IF(A134="TOTAL",ROUND(SUM($G$3:G133),2),IF(OR(A134="",E134="",F134=""),"",ROUND(E134*F134,2)))</f>
        <v/>
      </c>
      <c r="H134" s="142" t="str">
        <f>IF(OR(itens_Remanesc!A133="",NOT(ISNUMBER(parametros!$F$4))),"",ROUND(itens_Remanesc!C133*parametros!$F$4,2))</f>
        <v/>
      </c>
      <c r="I134" s="143" t="str">
        <f>IF(posicao_contratual!A133="","",posicao_contratual!O133)</f>
        <v/>
      </c>
      <c r="J134" s="142" t="str">
        <f>IF(A134="TOTAL",ROUND(SUM($J$3:J133),2),IF(OR(A134="",H134="",I134=""),"",ROUND(H134*I134,2)))</f>
        <v/>
      </c>
      <c r="K134" s="144" t="str">
        <f>IF(OR(itens_Remanesc!A133="",NOT(ISNUMBER(parametros!$F$5))),"",ROUND(itens_Remanesc!C133*parametros!$F$5,2))</f>
        <v/>
      </c>
      <c r="L134" s="145" t="str">
        <f>IF(posicao_contratual!A133="","",posicao_contratual!S133)</f>
        <v/>
      </c>
      <c r="M134" s="144" t="str">
        <f>IF(A134="TOTAL",ROUND(SUM($M$3:M133),2),IF(OR(A134="",K134="",L134=""),"",ROUND(K134*L134,2)))</f>
        <v/>
      </c>
      <c r="N134" s="142" t="str">
        <f>IF(OR(itens_Remanesc!A133="",NOT(ISNUMBER(parametros!$F$6))),"",ROUND(itens_Remanesc!C133*parametros!$F$6,2))</f>
        <v/>
      </c>
      <c r="O134" s="143" t="str">
        <f>IF(posicao_contratual!A133="","",posicao_contratual!W133)</f>
        <v/>
      </c>
      <c r="P134" s="142" t="str">
        <f>IF(A134="TOTAL",ROUND(SUM($P$3:P133),2),IF(OR(A134="",N134="",O134=""),"",ROUND(N134*O134,2)))</f>
        <v/>
      </c>
    </row>
    <row r="135" spans="1:16" x14ac:dyDescent="0.35">
      <c r="A135" s="141" t="str">
        <f>IF(AND(itens_Remanesc!A134="",itens_Remanesc!A133&lt;&gt;"",COUNTIF(itens_Remanesc!A135:$A$200,"&lt;&gt;")=0),"TOTAL",IF(itens_Remanesc!A134="","",itens_Remanesc!A134))</f>
        <v/>
      </c>
      <c r="B135" s="142" t="str">
        <f>IF(OR(itens_Remanesc!A134="",NOT(ISNUMBER(parametros!$F$2))),"",ROUND(itens_Remanesc!C134*parametros!$F$2,2))</f>
        <v/>
      </c>
      <c r="C135" s="143" t="str">
        <f>IF(posicao_contratual!A134="","",posicao_contratual!G134)</f>
        <v/>
      </c>
      <c r="D135" s="142" t="str">
        <f>IF(A135="TOTAL",ROUND(SUM($D$3:D134),2),IF(A135="","",ROUND(B135*C135,2)))</f>
        <v/>
      </c>
      <c r="E135" s="144" t="str">
        <f>IF(OR(itens_Remanesc!A134="",NOT(ISNUMBER(parametros!$F$3))),"",ROUND(itens_Remanesc!C134*parametros!$F$3,2))</f>
        <v/>
      </c>
      <c r="F135" s="145" t="str">
        <f>IF(posicao_contratual!A134="","",posicao_contratual!K134)</f>
        <v/>
      </c>
      <c r="G135" s="144" t="str">
        <f>IF(A135="TOTAL",ROUND(SUM($G$3:G134),2),IF(OR(A135="",E135="",F135=""),"",ROUND(E135*F135,2)))</f>
        <v/>
      </c>
      <c r="H135" s="142" t="str">
        <f>IF(OR(itens_Remanesc!A134="",NOT(ISNUMBER(parametros!$F$4))),"",ROUND(itens_Remanesc!C134*parametros!$F$4,2))</f>
        <v/>
      </c>
      <c r="I135" s="143" t="str">
        <f>IF(posicao_contratual!A134="","",posicao_contratual!O134)</f>
        <v/>
      </c>
      <c r="J135" s="142" t="str">
        <f>IF(A135="TOTAL",ROUND(SUM($J$3:J134),2),IF(OR(A135="",H135="",I135=""),"",ROUND(H135*I135,2)))</f>
        <v/>
      </c>
      <c r="K135" s="144" t="str">
        <f>IF(OR(itens_Remanesc!A134="",NOT(ISNUMBER(parametros!$F$5))),"",ROUND(itens_Remanesc!C134*parametros!$F$5,2))</f>
        <v/>
      </c>
      <c r="L135" s="145" t="str">
        <f>IF(posicao_contratual!A134="","",posicao_contratual!S134)</f>
        <v/>
      </c>
      <c r="M135" s="144" t="str">
        <f>IF(A135="TOTAL",ROUND(SUM($M$3:M134),2),IF(OR(A135="",K135="",L135=""),"",ROUND(K135*L135,2)))</f>
        <v/>
      </c>
      <c r="N135" s="142" t="str">
        <f>IF(OR(itens_Remanesc!A134="",NOT(ISNUMBER(parametros!$F$6))),"",ROUND(itens_Remanesc!C134*parametros!$F$6,2))</f>
        <v/>
      </c>
      <c r="O135" s="143" t="str">
        <f>IF(posicao_contratual!A134="","",posicao_contratual!W134)</f>
        <v/>
      </c>
      <c r="P135" s="142" t="str">
        <f>IF(A135="TOTAL",ROUND(SUM($P$3:P134),2),IF(OR(A135="",N135="",O135=""),"",ROUND(N135*O135,2)))</f>
        <v/>
      </c>
    </row>
    <row r="136" spans="1:16" x14ac:dyDescent="0.35">
      <c r="A136" s="141" t="str">
        <f>IF(AND(itens_Remanesc!A135="",itens_Remanesc!A134&lt;&gt;"",COUNTIF(itens_Remanesc!A136:$A$200,"&lt;&gt;")=0),"TOTAL",IF(itens_Remanesc!A135="","",itens_Remanesc!A135))</f>
        <v/>
      </c>
      <c r="B136" s="142" t="str">
        <f>IF(OR(itens_Remanesc!A135="",NOT(ISNUMBER(parametros!$F$2))),"",ROUND(itens_Remanesc!C135*parametros!$F$2,2))</f>
        <v/>
      </c>
      <c r="C136" s="143" t="str">
        <f>IF(posicao_contratual!A135="","",posicao_contratual!G135)</f>
        <v/>
      </c>
      <c r="D136" s="142" t="str">
        <f>IF(A136="TOTAL",ROUND(SUM($D$3:D135),2),IF(A136="","",ROUND(B136*C136,2)))</f>
        <v/>
      </c>
      <c r="E136" s="144" t="str">
        <f>IF(OR(itens_Remanesc!A135="",NOT(ISNUMBER(parametros!$F$3))),"",ROUND(itens_Remanesc!C135*parametros!$F$3,2))</f>
        <v/>
      </c>
      <c r="F136" s="145" t="str">
        <f>IF(posicao_contratual!A135="","",posicao_contratual!K135)</f>
        <v/>
      </c>
      <c r="G136" s="144" t="str">
        <f>IF(A136="TOTAL",ROUND(SUM($G$3:G135),2),IF(OR(A136="",E136="",F136=""),"",ROUND(E136*F136,2)))</f>
        <v/>
      </c>
      <c r="H136" s="142" t="str">
        <f>IF(OR(itens_Remanesc!A135="",NOT(ISNUMBER(parametros!$F$4))),"",ROUND(itens_Remanesc!C135*parametros!$F$4,2))</f>
        <v/>
      </c>
      <c r="I136" s="143" t="str">
        <f>IF(posicao_contratual!A135="","",posicao_contratual!O135)</f>
        <v/>
      </c>
      <c r="J136" s="142" t="str">
        <f>IF(A136="TOTAL",ROUND(SUM($J$3:J135),2),IF(OR(A136="",H136="",I136=""),"",ROUND(H136*I136,2)))</f>
        <v/>
      </c>
      <c r="K136" s="144" t="str">
        <f>IF(OR(itens_Remanesc!A135="",NOT(ISNUMBER(parametros!$F$5))),"",ROUND(itens_Remanesc!C135*parametros!$F$5,2))</f>
        <v/>
      </c>
      <c r="L136" s="145" t="str">
        <f>IF(posicao_contratual!A135="","",posicao_contratual!S135)</f>
        <v/>
      </c>
      <c r="M136" s="144" t="str">
        <f>IF(A136="TOTAL",ROUND(SUM($M$3:M135),2),IF(OR(A136="",K136="",L136=""),"",ROUND(K136*L136,2)))</f>
        <v/>
      </c>
      <c r="N136" s="142" t="str">
        <f>IF(OR(itens_Remanesc!A135="",NOT(ISNUMBER(parametros!$F$6))),"",ROUND(itens_Remanesc!C135*parametros!$F$6,2))</f>
        <v/>
      </c>
      <c r="O136" s="143" t="str">
        <f>IF(posicao_contratual!A135="","",posicao_contratual!W135)</f>
        <v/>
      </c>
      <c r="P136" s="142" t="str">
        <f>IF(A136="TOTAL",ROUND(SUM($P$3:P135),2),IF(OR(A136="",N136="",O136=""),"",ROUND(N136*O136,2)))</f>
        <v/>
      </c>
    </row>
    <row r="137" spans="1:16" x14ac:dyDescent="0.35">
      <c r="A137" s="141" t="str">
        <f>IF(AND(itens_Remanesc!A136="",itens_Remanesc!A135&lt;&gt;"",COUNTIF(itens_Remanesc!A137:$A$200,"&lt;&gt;")=0),"TOTAL",IF(itens_Remanesc!A136="","",itens_Remanesc!A136))</f>
        <v/>
      </c>
      <c r="B137" s="142" t="str">
        <f>IF(OR(itens_Remanesc!A136="",NOT(ISNUMBER(parametros!$F$2))),"",ROUND(itens_Remanesc!C136*parametros!$F$2,2))</f>
        <v/>
      </c>
      <c r="C137" s="143" t="str">
        <f>IF(posicao_contratual!A136="","",posicao_contratual!G136)</f>
        <v/>
      </c>
      <c r="D137" s="142" t="str">
        <f>IF(A137="TOTAL",ROUND(SUM($D$3:D136),2),IF(A137="","",ROUND(B137*C137,2)))</f>
        <v/>
      </c>
      <c r="E137" s="144" t="str">
        <f>IF(OR(itens_Remanesc!A136="",NOT(ISNUMBER(parametros!$F$3))),"",ROUND(itens_Remanesc!C136*parametros!$F$3,2))</f>
        <v/>
      </c>
      <c r="F137" s="145" t="str">
        <f>IF(posicao_contratual!A136="","",posicao_contratual!K136)</f>
        <v/>
      </c>
      <c r="G137" s="144" t="str">
        <f>IF(A137="TOTAL",ROUND(SUM($G$3:G136),2),IF(OR(A137="",E137="",F137=""),"",ROUND(E137*F137,2)))</f>
        <v/>
      </c>
      <c r="H137" s="142" t="str">
        <f>IF(OR(itens_Remanesc!A136="",NOT(ISNUMBER(parametros!$F$4))),"",ROUND(itens_Remanesc!C136*parametros!$F$4,2))</f>
        <v/>
      </c>
      <c r="I137" s="143" t="str">
        <f>IF(posicao_contratual!A136="","",posicao_contratual!O136)</f>
        <v/>
      </c>
      <c r="J137" s="142" t="str">
        <f>IF(A137="TOTAL",ROUND(SUM($J$3:J136),2),IF(OR(A137="",H137="",I137=""),"",ROUND(H137*I137,2)))</f>
        <v/>
      </c>
      <c r="K137" s="144" t="str">
        <f>IF(OR(itens_Remanesc!A136="",NOT(ISNUMBER(parametros!$F$5))),"",ROUND(itens_Remanesc!C136*parametros!$F$5,2))</f>
        <v/>
      </c>
      <c r="L137" s="145" t="str">
        <f>IF(posicao_contratual!A136="","",posicao_contratual!S136)</f>
        <v/>
      </c>
      <c r="M137" s="144" t="str">
        <f>IF(A137="TOTAL",ROUND(SUM($M$3:M136),2),IF(OR(A137="",K137="",L137=""),"",ROUND(K137*L137,2)))</f>
        <v/>
      </c>
      <c r="N137" s="142" t="str">
        <f>IF(OR(itens_Remanesc!A136="",NOT(ISNUMBER(parametros!$F$6))),"",ROUND(itens_Remanesc!C136*parametros!$F$6,2))</f>
        <v/>
      </c>
      <c r="O137" s="143" t="str">
        <f>IF(posicao_contratual!A136="","",posicao_contratual!W136)</f>
        <v/>
      </c>
      <c r="P137" s="142" t="str">
        <f>IF(A137="TOTAL",ROUND(SUM($P$3:P136),2),IF(OR(A137="",N137="",O137=""),"",ROUND(N137*O137,2)))</f>
        <v/>
      </c>
    </row>
    <row r="138" spans="1:16" x14ac:dyDescent="0.35">
      <c r="A138" s="141" t="str">
        <f>IF(AND(itens_Remanesc!A137="",itens_Remanesc!A136&lt;&gt;"",COUNTIF(itens_Remanesc!A138:$A$200,"&lt;&gt;")=0),"TOTAL",IF(itens_Remanesc!A137="","",itens_Remanesc!A137))</f>
        <v/>
      </c>
      <c r="B138" s="142" t="str">
        <f>IF(OR(itens_Remanesc!A137="",NOT(ISNUMBER(parametros!$F$2))),"",ROUND(itens_Remanesc!C137*parametros!$F$2,2))</f>
        <v/>
      </c>
      <c r="C138" s="143" t="str">
        <f>IF(posicao_contratual!A137="","",posicao_contratual!G137)</f>
        <v/>
      </c>
      <c r="D138" s="142" t="str">
        <f>IF(A138="TOTAL",ROUND(SUM($D$3:D137),2),IF(A138="","",ROUND(B138*C138,2)))</f>
        <v/>
      </c>
      <c r="E138" s="144" t="str">
        <f>IF(OR(itens_Remanesc!A137="",NOT(ISNUMBER(parametros!$F$3))),"",ROUND(itens_Remanesc!C137*parametros!$F$3,2))</f>
        <v/>
      </c>
      <c r="F138" s="145" t="str">
        <f>IF(posicao_contratual!A137="","",posicao_contratual!K137)</f>
        <v/>
      </c>
      <c r="G138" s="144" t="str">
        <f>IF(A138="TOTAL",ROUND(SUM($G$3:G137),2),IF(OR(A138="",E138="",F138=""),"",ROUND(E138*F138,2)))</f>
        <v/>
      </c>
      <c r="H138" s="142" t="str">
        <f>IF(OR(itens_Remanesc!A137="",NOT(ISNUMBER(parametros!$F$4))),"",ROUND(itens_Remanesc!C137*parametros!$F$4,2))</f>
        <v/>
      </c>
      <c r="I138" s="143" t="str">
        <f>IF(posicao_contratual!A137="","",posicao_contratual!O137)</f>
        <v/>
      </c>
      <c r="J138" s="142" t="str">
        <f>IF(A138="TOTAL",ROUND(SUM($J$3:J137),2),IF(OR(A138="",H138="",I138=""),"",ROUND(H138*I138,2)))</f>
        <v/>
      </c>
      <c r="K138" s="144" t="str">
        <f>IF(OR(itens_Remanesc!A137="",NOT(ISNUMBER(parametros!$F$5))),"",ROUND(itens_Remanesc!C137*parametros!$F$5,2))</f>
        <v/>
      </c>
      <c r="L138" s="145" t="str">
        <f>IF(posicao_contratual!A137="","",posicao_contratual!S137)</f>
        <v/>
      </c>
      <c r="M138" s="144" t="str">
        <f>IF(A138="TOTAL",ROUND(SUM($M$3:M137),2),IF(OR(A138="",K138="",L138=""),"",ROUND(K138*L138,2)))</f>
        <v/>
      </c>
      <c r="N138" s="142" t="str">
        <f>IF(OR(itens_Remanesc!A137="",NOT(ISNUMBER(parametros!$F$6))),"",ROUND(itens_Remanesc!C137*parametros!$F$6,2))</f>
        <v/>
      </c>
      <c r="O138" s="143" t="str">
        <f>IF(posicao_contratual!A137="","",posicao_contratual!W137)</f>
        <v/>
      </c>
      <c r="P138" s="142" t="str">
        <f>IF(A138="TOTAL",ROUND(SUM($P$3:P137),2),IF(OR(A138="",N138="",O138=""),"",ROUND(N138*O138,2)))</f>
        <v/>
      </c>
    </row>
    <row r="139" spans="1:16" x14ac:dyDescent="0.35">
      <c r="A139" s="141" t="str">
        <f>IF(AND(itens_Remanesc!A138="",itens_Remanesc!A137&lt;&gt;"",COUNTIF(itens_Remanesc!A139:$A$200,"&lt;&gt;")=0),"TOTAL",IF(itens_Remanesc!A138="","",itens_Remanesc!A138))</f>
        <v/>
      </c>
      <c r="B139" s="142" t="str">
        <f>IF(OR(itens_Remanesc!A138="",NOT(ISNUMBER(parametros!$F$2))),"",ROUND(itens_Remanesc!C138*parametros!$F$2,2))</f>
        <v/>
      </c>
      <c r="C139" s="143" t="str">
        <f>IF(posicao_contratual!A138="","",posicao_contratual!G138)</f>
        <v/>
      </c>
      <c r="D139" s="142" t="str">
        <f>IF(A139="TOTAL",ROUND(SUM($D$3:D138),2),IF(A139="","",ROUND(B139*C139,2)))</f>
        <v/>
      </c>
      <c r="E139" s="144" t="str">
        <f>IF(OR(itens_Remanesc!A138="",NOT(ISNUMBER(parametros!$F$3))),"",ROUND(itens_Remanesc!C138*parametros!$F$3,2))</f>
        <v/>
      </c>
      <c r="F139" s="145" t="str">
        <f>IF(posicao_contratual!A138="","",posicao_contratual!K138)</f>
        <v/>
      </c>
      <c r="G139" s="144" t="str">
        <f>IF(A139="TOTAL",ROUND(SUM($G$3:G138),2),IF(OR(A139="",E139="",F139=""),"",ROUND(E139*F139,2)))</f>
        <v/>
      </c>
      <c r="H139" s="142" t="str">
        <f>IF(OR(itens_Remanesc!A138="",NOT(ISNUMBER(parametros!$F$4))),"",ROUND(itens_Remanesc!C138*parametros!$F$4,2))</f>
        <v/>
      </c>
      <c r="I139" s="143" t="str">
        <f>IF(posicao_contratual!A138="","",posicao_contratual!O138)</f>
        <v/>
      </c>
      <c r="J139" s="142" t="str">
        <f>IF(A139="TOTAL",ROUND(SUM($J$3:J138),2),IF(OR(A139="",H139="",I139=""),"",ROUND(H139*I139,2)))</f>
        <v/>
      </c>
      <c r="K139" s="144" t="str">
        <f>IF(OR(itens_Remanesc!A138="",NOT(ISNUMBER(parametros!$F$5))),"",ROUND(itens_Remanesc!C138*parametros!$F$5,2))</f>
        <v/>
      </c>
      <c r="L139" s="145" t="str">
        <f>IF(posicao_contratual!A138="","",posicao_contratual!S138)</f>
        <v/>
      </c>
      <c r="M139" s="144" t="str">
        <f>IF(A139="TOTAL",ROUND(SUM($M$3:M138),2),IF(OR(A139="",K139="",L139=""),"",ROUND(K139*L139,2)))</f>
        <v/>
      </c>
      <c r="N139" s="142" t="str">
        <f>IF(OR(itens_Remanesc!A138="",NOT(ISNUMBER(parametros!$F$6))),"",ROUND(itens_Remanesc!C138*parametros!$F$6,2))</f>
        <v/>
      </c>
      <c r="O139" s="143" t="str">
        <f>IF(posicao_contratual!A138="","",posicao_contratual!W138)</f>
        <v/>
      </c>
      <c r="P139" s="142" t="str">
        <f>IF(A139="TOTAL",ROUND(SUM($P$3:P138),2),IF(OR(A139="",N139="",O139=""),"",ROUND(N139*O139,2)))</f>
        <v/>
      </c>
    </row>
    <row r="140" spans="1:16" x14ac:dyDescent="0.35">
      <c r="A140" s="141" t="str">
        <f>IF(AND(itens_Remanesc!A139="",itens_Remanesc!A138&lt;&gt;"",COUNTIF(itens_Remanesc!A140:$A$200,"&lt;&gt;")=0),"TOTAL",IF(itens_Remanesc!A139="","",itens_Remanesc!A139))</f>
        <v/>
      </c>
      <c r="B140" s="142" t="str">
        <f>IF(OR(itens_Remanesc!A139="",NOT(ISNUMBER(parametros!$F$2))),"",ROUND(itens_Remanesc!C139*parametros!$F$2,2))</f>
        <v/>
      </c>
      <c r="C140" s="143" t="str">
        <f>IF(posicao_contratual!A139="","",posicao_contratual!G139)</f>
        <v/>
      </c>
      <c r="D140" s="142" t="str">
        <f>IF(A140="TOTAL",ROUND(SUM($D$3:D139),2),IF(A140="","",ROUND(B140*C140,2)))</f>
        <v/>
      </c>
      <c r="E140" s="144" t="str">
        <f>IF(OR(itens_Remanesc!A139="",NOT(ISNUMBER(parametros!$F$3))),"",ROUND(itens_Remanesc!C139*parametros!$F$3,2))</f>
        <v/>
      </c>
      <c r="F140" s="145" t="str">
        <f>IF(posicao_contratual!A139="","",posicao_contratual!K139)</f>
        <v/>
      </c>
      <c r="G140" s="144" t="str">
        <f>IF(A140="TOTAL",ROUND(SUM($G$3:G139),2),IF(OR(A140="",E140="",F140=""),"",ROUND(E140*F140,2)))</f>
        <v/>
      </c>
      <c r="H140" s="142" t="str">
        <f>IF(OR(itens_Remanesc!A139="",NOT(ISNUMBER(parametros!$F$4))),"",ROUND(itens_Remanesc!C139*parametros!$F$4,2))</f>
        <v/>
      </c>
      <c r="I140" s="143" t="str">
        <f>IF(posicao_contratual!A139="","",posicao_contratual!O139)</f>
        <v/>
      </c>
      <c r="J140" s="142" t="str">
        <f>IF(A140="TOTAL",ROUND(SUM($J$3:J139),2),IF(OR(A140="",H140="",I140=""),"",ROUND(H140*I140,2)))</f>
        <v/>
      </c>
      <c r="K140" s="144" t="str">
        <f>IF(OR(itens_Remanesc!A139="",NOT(ISNUMBER(parametros!$F$5))),"",ROUND(itens_Remanesc!C139*parametros!$F$5,2))</f>
        <v/>
      </c>
      <c r="L140" s="145" t="str">
        <f>IF(posicao_contratual!A139="","",posicao_contratual!S139)</f>
        <v/>
      </c>
      <c r="M140" s="144" t="str">
        <f>IF(A140="TOTAL",ROUND(SUM($M$3:M139),2),IF(OR(A140="",K140="",L140=""),"",ROUND(K140*L140,2)))</f>
        <v/>
      </c>
      <c r="N140" s="142" t="str">
        <f>IF(OR(itens_Remanesc!A139="",NOT(ISNUMBER(parametros!$F$6))),"",ROUND(itens_Remanesc!C139*parametros!$F$6,2))</f>
        <v/>
      </c>
      <c r="O140" s="143" t="str">
        <f>IF(posicao_contratual!A139="","",posicao_contratual!W139)</f>
        <v/>
      </c>
      <c r="P140" s="142" t="str">
        <f>IF(A140="TOTAL",ROUND(SUM($P$3:P139),2),IF(OR(A140="",N140="",O140=""),"",ROUND(N140*O140,2)))</f>
        <v/>
      </c>
    </row>
    <row r="141" spans="1:16" x14ac:dyDescent="0.35">
      <c r="A141" s="141" t="str">
        <f>IF(AND(itens_Remanesc!A140="",itens_Remanesc!A139&lt;&gt;"",COUNTIF(itens_Remanesc!A141:$A$200,"&lt;&gt;")=0),"TOTAL",IF(itens_Remanesc!A140="","",itens_Remanesc!A140))</f>
        <v/>
      </c>
      <c r="B141" s="142" t="str">
        <f>IF(OR(itens_Remanesc!A140="",NOT(ISNUMBER(parametros!$F$2))),"",ROUND(itens_Remanesc!C140*parametros!$F$2,2))</f>
        <v/>
      </c>
      <c r="C141" s="143" t="str">
        <f>IF(posicao_contratual!A140="","",posicao_contratual!G140)</f>
        <v/>
      </c>
      <c r="D141" s="142" t="str">
        <f>IF(A141="TOTAL",ROUND(SUM($D$3:D140),2),IF(A141="","",ROUND(B141*C141,2)))</f>
        <v/>
      </c>
      <c r="E141" s="144" t="str">
        <f>IF(OR(itens_Remanesc!A140="",NOT(ISNUMBER(parametros!$F$3))),"",ROUND(itens_Remanesc!C140*parametros!$F$3,2))</f>
        <v/>
      </c>
      <c r="F141" s="145" t="str">
        <f>IF(posicao_contratual!A140="","",posicao_contratual!K140)</f>
        <v/>
      </c>
      <c r="G141" s="144" t="str">
        <f>IF(A141="TOTAL",ROUND(SUM($G$3:G140),2),IF(OR(A141="",E141="",F141=""),"",ROUND(E141*F141,2)))</f>
        <v/>
      </c>
      <c r="H141" s="142" t="str">
        <f>IF(OR(itens_Remanesc!A140="",NOT(ISNUMBER(parametros!$F$4))),"",ROUND(itens_Remanesc!C140*parametros!$F$4,2))</f>
        <v/>
      </c>
      <c r="I141" s="143" t="str">
        <f>IF(posicao_contratual!A140="","",posicao_contratual!O140)</f>
        <v/>
      </c>
      <c r="J141" s="142" t="str">
        <f>IF(A141="TOTAL",ROUND(SUM($J$3:J140),2),IF(OR(A141="",H141="",I141=""),"",ROUND(H141*I141,2)))</f>
        <v/>
      </c>
      <c r="K141" s="144" t="str">
        <f>IF(OR(itens_Remanesc!A140="",NOT(ISNUMBER(parametros!$F$5))),"",ROUND(itens_Remanesc!C140*parametros!$F$5,2))</f>
        <v/>
      </c>
      <c r="L141" s="145" t="str">
        <f>IF(posicao_contratual!A140="","",posicao_contratual!S140)</f>
        <v/>
      </c>
      <c r="M141" s="144" t="str">
        <f>IF(A141="TOTAL",ROUND(SUM($M$3:M140),2),IF(OR(A141="",K141="",L141=""),"",ROUND(K141*L141,2)))</f>
        <v/>
      </c>
      <c r="N141" s="142" t="str">
        <f>IF(OR(itens_Remanesc!A140="",NOT(ISNUMBER(parametros!$F$6))),"",ROUND(itens_Remanesc!C140*parametros!$F$6,2))</f>
        <v/>
      </c>
      <c r="O141" s="143" t="str">
        <f>IF(posicao_contratual!A140="","",posicao_contratual!W140)</f>
        <v/>
      </c>
      <c r="P141" s="142" t="str">
        <f>IF(A141="TOTAL",ROUND(SUM($P$3:P140),2),IF(OR(A141="",N141="",O141=""),"",ROUND(N141*O141,2)))</f>
        <v/>
      </c>
    </row>
    <row r="142" spans="1:16" x14ac:dyDescent="0.35">
      <c r="A142" s="141" t="str">
        <f>IF(AND(itens_Remanesc!A141="",itens_Remanesc!A140&lt;&gt;"",COUNTIF(itens_Remanesc!A142:$A$200,"&lt;&gt;")=0),"TOTAL",IF(itens_Remanesc!A141="","",itens_Remanesc!A141))</f>
        <v/>
      </c>
      <c r="B142" s="142" t="str">
        <f>IF(OR(itens_Remanesc!A141="",NOT(ISNUMBER(parametros!$F$2))),"",ROUND(itens_Remanesc!C141*parametros!$F$2,2))</f>
        <v/>
      </c>
      <c r="C142" s="143" t="str">
        <f>IF(posicao_contratual!A141="","",posicao_contratual!G141)</f>
        <v/>
      </c>
      <c r="D142" s="142" t="str">
        <f>IF(A142="TOTAL",ROUND(SUM($D$3:D141),2),IF(A142="","",ROUND(B142*C142,2)))</f>
        <v/>
      </c>
      <c r="E142" s="144" t="str">
        <f>IF(OR(itens_Remanesc!A141="",NOT(ISNUMBER(parametros!$F$3))),"",ROUND(itens_Remanesc!C141*parametros!$F$3,2))</f>
        <v/>
      </c>
      <c r="F142" s="145" t="str">
        <f>IF(posicao_contratual!A141="","",posicao_contratual!K141)</f>
        <v/>
      </c>
      <c r="G142" s="144" t="str">
        <f>IF(A142="TOTAL",ROUND(SUM($G$3:G141),2),IF(OR(A142="",E142="",F142=""),"",ROUND(E142*F142,2)))</f>
        <v/>
      </c>
      <c r="H142" s="142" t="str">
        <f>IF(OR(itens_Remanesc!A141="",NOT(ISNUMBER(parametros!$F$4))),"",ROUND(itens_Remanesc!C141*parametros!$F$4,2))</f>
        <v/>
      </c>
      <c r="I142" s="143" t="str">
        <f>IF(posicao_contratual!A141="","",posicao_contratual!O141)</f>
        <v/>
      </c>
      <c r="J142" s="142" t="str">
        <f>IF(A142="TOTAL",ROUND(SUM($J$3:J141),2),IF(OR(A142="",H142="",I142=""),"",ROUND(H142*I142,2)))</f>
        <v/>
      </c>
      <c r="K142" s="144" t="str">
        <f>IF(OR(itens_Remanesc!A141="",NOT(ISNUMBER(parametros!$F$5))),"",ROUND(itens_Remanesc!C141*parametros!$F$5,2))</f>
        <v/>
      </c>
      <c r="L142" s="145" t="str">
        <f>IF(posicao_contratual!A141="","",posicao_contratual!S141)</f>
        <v/>
      </c>
      <c r="M142" s="144" t="str">
        <f>IF(A142="TOTAL",ROUND(SUM($M$3:M141),2),IF(OR(A142="",K142="",L142=""),"",ROUND(K142*L142,2)))</f>
        <v/>
      </c>
      <c r="N142" s="142" t="str">
        <f>IF(OR(itens_Remanesc!A141="",NOT(ISNUMBER(parametros!$F$6))),"",ROUND(itens_Remanesc!C141*parametros!$F$6,2))</f>
        <v/>
      </c>
      <c r="O142" s="143" t="str">
        <f>IF(posicao_contratual!A141="","",posicao_contratual!W141)</f>
        <v/>
      </c>
      <c r="P142" s="142" t="str">
        <f>IF(A142="TOTAL",ROUND(SUM($P$3:P141),2),IF(OR(A142="",N142="",O142=""),"",ROUND(N142*O142,2)))</f>
        <v/>
      </c>
    </row>
    <row r="143" spans="1:16" x14ac:dyDescent="0.35">
      <c r="A143" s="141" t="str">
        <f>IF(AND(itens_Remanesc!A142="",itens_Remanesc!A141&lt;&gt;"",COUNTIF(itens_Remanesc!A143:$A$200,"&lt;&gt;")=0),"TOTAL",IF(itens_Remanesc!A142="","",itens_Remanesc!A142))</f>
        <v/>
      </c>
      <c r="B143" s="142" t="str">
        <f>IF(OR(itens_Remanesc!A142="",NOT(ISNUMBER(parametros!$F$2))),"",ROUND(itens_Remanesc!C142*parametros!$F$2,2))</f>
        <v/>
      </c>
      <c r="C143" s="143" t="str">
        <f>IF(posicao_contratual!A142="","",posicao_contratual!G142)</f>
        <v/>
      </c>
      <c r="D143" s="142" t="str">
        <f>IF(A143="TOTAL",ROUND(SUM($D$3:D142),2),IF(A143="","",ROUND(B143*C143,2)))</f>
        <v/>
      </c>
      <c r="E143" s="144" t="str">
        <f>IF(OR(itens_Remanesc!A142="",NOT(ISNUMBER(parametros!$F$3))),"",ROUND(itens_Remanesc!C142*parametros!$F$3,2))</f>
        <v/>
      </c>
      <c r="F143" s="145" t="str">
        <f>IF(posicao_contratual!A142="","",posicao_contratual!K142)</f>
        <v/>
      </c>
      <c r="G143" s="144" t="str">
        <f>IF(A143="TOTAL",ROUND(SUM($G$3:G142),2),IF(OR(A143="",E143="",F143=""),"",ROUND(E143*F143,2)))</f>
        <v/>
      </c>
      <c r="H143" s="142" t="str">
        <f>IF(OR(itens_Remanesc!A142="",NOT(ISNUMBER(parametros!$F$4))),"",ROUND(itens_Remanesc!C142*parametros!$F$4,2))</f>
        <v/>
      </c>
      <c r="I143" s="143" t="str">
        <f>IF(posicao_contratual!A142="","",posicao_contratual!O142)</f>
        <v/>
      </c>
      <c r="J143" s="142" t="str">
        <f>IF(A143="TOTAL",ROUND(SUM($J$3:J142),2),IF(OR(A143="",H143="",I143=""),"",ROUND(H143*I143,2)))</f>
        <v/>
      </c>
      <c r="K143" s="144" t="str">
        <f>IF(OR(itens_Remanesc!A142="",NOT(ISNUMBER(parametros!$F$5))),"",ROUND(itens_Remanesc!C142*parametros!$F$5,2))</f>
        <v/>
      </c>
      <c r="L143" s="145" t="str">
        <f>IF(posicao_contratual!A142="","",posicao_contratual!S142)</f>
        <v/>
      </c>
      <c r="M143" s="144" t="str">
        <f>IF(A143="TOTAL",ROUND(SUM($M$3:M142),2),IF(OR(A143="",K143="",L143=""),"",ROUND(K143*L143,2)))</f>
        <v/>
      </c>
      <c r="N143" s="142" t="str">
        <f>IF(OR(itens_Remanesc!A142="",NOT(ISNUMBER(parametros!$F$6))),"",ROUND(itens_Remanesc!C142*parametros!$F$6,2))</f>
        <v/>
      </c>
      <c r="O143" s="143" t="str">
        <f>IF(posicao_contratual!A142="","",posicao_contratual!W142)</f>
        <v/>
      </c>
      <c r="P143" s="142" t="str">
        <f>IF(A143="TOTAL",ROUND(SUM($P$3:P142),2),IF(OR(A143="",N143="",O143=""),"",ROUND(N143*O143,2)))</f>
        <v/>
      </c>
    </row>
    <row r="144" spans="1:16" x14ac:dyDescent="0.35">
      <c r="A144" s="141" t="str">
        <f>IF(AND(itens_Remanesc!A143="",itens_Remanesc!A142&lt;&gt;"",COUNTIF(itens_Remanesc!A144:$A$200,"&lt;&gt;")=0),"TOTAL",IF(itens_Remanesc!A143="","",itens_Remanesc!A143))</f>
        <v/>
      </c>
      <c r="B144" s="142" t="str">
        <f>IF(OR(itens_Remanesc!A143="",NOT(ISNUMBER(parametros!$F$2))),"",ROUND(itens_Remanesc!C143*parametros!$F$2,2))</f>
        <v/>
      </c>
      <c r="C144" s="143" t="str">
        <f>IF(posicao_contratual!A143="","",posicao_contratual!G143)</f>
        <v/>
      </c>
      <c r="D144" s="142" t="str">
        <f>IF(A144="TOTAL",ROUND(SUM($D$3:D143),2),IF(A144="","",ROUND(B144*C144,2)))</f>
        <v/>
      </c>
      <c r="E144" s="144" t="str">
        <f>IF(OR(itens_Remanesc!A143="",NOT(ISNUMBER(parametros!$F$3))),"",ROUND(itens_Remanesc!C143*parametros!$F$3,2))</f>
        <v/>
      </c>
      <c r="F144" s="145" t="str">
        <f>IF(posicao_contratual!A143="","",posicao_contratual!K143)</f>
        <v/>
      </c>
      <c r="G144" s="144" t="str">
        <f>IF(A144="TOTAL",ROUND(SUM($G$3:G143),2),IF(OR(A144="",E144="",F144=""),"",ROUND(E144*F144,2)))</f>
        <v/>
      </c>
      <c r="H144" s="142" t="str">
        <f>IF(OR(itens_Remanesc!A143="",NOT(ISNUMBER(parametros!$F$4))),"",ROUND(itens_Remanesc!C143*parametros!$F$4,2))</f>
        <v/>
      </c>
      <c r="I144" s="143" t="str">
        <f>IF(posicao_contratual!A143="","",posicao_contratual!O143)</f>
        <v/>
      </c>
      <c r="J144" s="142" t="str">
        <f>IF(A144="TOTAL",ROUND(SUM($J$3:J143),2),IF(OR(A144="",H144="",I144=""),"",ROUND(H144*I144,2)))</f>
        <v/>
      </c>
      <c r="K144" s="144" t="str">
        <f>IF(OR(itens_Remanesc!A143="",NOT(ISNUMBER(parametros!$F$5))),"",ROUND(itens_Remanesc!C143*parametros!$F$5,2))</f>
        <v/>
      </c>
      <c r="L144" s="145" t="str">
        <f>IF(posicao_contratual!A143="","",posicao_contratual!S143)</f>
        <v/>
      </c>
      <c r="M144" s="144" t="str">
        <f>IF(A144="TOTAL",ROUND(SUM($M$3:M143),2),IF(OR(A144="",K144="",L144=""),"",ROUND(K144*L144,2)))</f>
        <v/>
      </c>
      <c r="N144" s="142" t="str">
        <f>IF(OR(itens_Remanesc!A143="",NOT(ISNUMBER(parametros!$F$6))),"",ROUND(itens_Remanesc!C143*parametros!$F$6,2))</f>
        <v/>
      </c>
      <c r="O144" s="143" t="str">
        <f>IF(posicao_contratual!A143="","",posicao_contratual!W143)</f>
        <v/>
      </c>
      <c r="P144" s="142" t="str">
        <f>IF(A144="TOTAL",ROUND(SUM($P$3:P143),2),IF(OR(A144="",N144="",O144=""),"",ROUND(N144*O144,2)))</f>
        <v/>
      </c>
    </row>
    <row r="145" spans="1:16" x14ac:dyDescent="0.35">
      <c r="A145" s="141" t="str">
        <f>IF(AND(itens_Remanesc!A144="",itens_Remanesc!A143&lt;&gt;"",COUNTIF(itens_Remanesc!A145:$A$200,"&lt;&gt;")=0),"TOTAL",IF(itens_Remanesc!A144="","",itens_Remanesc!A144))</f>
        <v/>
      </c>
      <c r="B145" s="142" t="str">
        <f>IF(OR(itens_Remanesc!A144="",NOT(ISNUMBER(parametros!$F$2))),"",ROUND(itens_Remanesc!C144*parametros!$F$2,2))</f>
        <v/>
      </c>
      <c r="C145" s="143" t="str">
        <f>IF(posicao_contratual!A144="","",posicao_contratual!G144)</f>
        <v/>
      </c>
      <c r="D145" s="142" t="str">
        <f>IF(A145="TOTAL",ROUND(SUM($D$3:D144),2),IF(A145="","",ROUND(B145*C145,2)))</f>
        <v/>
      </c>
      <c r="E145" s="144" t="str">
        <f>IF(OR(itens_Remanesc!A144="",NOT(ISNUMBER(parametros!$F$3))),"",ROUND(itens_Remanesc!C144*parametros!$F$3,2))</f>
        <v/>
      </c>
      <c r="F145" s="145" t="str">
        <f>IF(posicao_contratual!A144="","",posicao_contratual!K144)</f>
        <v/>
      </c>
      <c r="G145" s="144" t="str">
        <f>IF(A145="TOTAL",ROUND(SUM($G$3:G144),2),IF(OR(A145="",E145="",F145=""),"",ROUND(E145*F145,2)))</f>
        <v/>
      </c>
      <c r="H145" s="142" t="str">
        <f>IF(OR(itens_Remanesc!A144="",NOT(ISNUMBER(parametros!$F$4))),"",ROUND(itens_Remanesc!C144*parametros!$F$4,2))</f>
        <v/>
      </c>
      <c r="I145" s="143" t="str">
        <f>IF(posicao_contratual!A144="","",posicao_contratual!O144)</f>
        <v/>
      </c>
      <c r="J145" s="142" t="str">
        <f>IF(A145="TOTAL",ROUND(SUM($J$3:J144),2),IF(OR(A145="",H145="",I145=""),"",ROUND(H145*I145,2)))</f>
        <v/>
      </c>
      <c r="K145" s="144" t="str">
        <f>IF(OR(itens_Remanesc!A144="",NOT(ISNUMBER(parametros!$F$5))),"",ROUND(itens_Remanesc!C144*parametros!$F$5,2))</f>
        <v/>
      </c>
      <c r="L145" s="145" t="str">
        <f>IF(posicao_contratual!A144="","",posicao_contratual!S144)</f>
        <v/>
      </c>
      <c r="M145" s="144" t="str">
        <f>IF(A145="TOTAL",ROUND(SUM($M$3:M144),2),IF(OR(A145="",K145="",L145=""),"",ROUND(K145*L145,2)))</f>
        <v/>
      </c>
      <c r="N145" s="142" t="str">
        <f>IF(OR(itens_Remanesc!A144="",NOT(ISNUMBER(parametros!$F$6))),"",ROUND(itens_Remanesc!C144*parametros!$F$6,2))</f>
        <v/>
      </c>
      <c r="O145" s="143" t="str">
        <f>IF(posicao_contratual!A144="","",posicao_contratual!W144)</f>
        <v/>
      </c>
      <c r="P145" s="142" t="str">
        <f>IF(A145="TOTAL",ROUND(SUM($P$3:P144),2),IF(OR(A145="",N145="",O145=""),"",ROUND(N145*O145,2)))</f>
        <v/>
      </c>
    </row>
    <row r="146" spans="1:16" x14ac:dyDescent="0.35">
      <c r="A146" s="141" t="str">
        <f>IF(AND(itens_Remanesc!A145="",itens_Remanesc!A144&lt;&gt;"",COUNTIF(itens_Remanesc!A146:$A$200,"&lt;&gt;")=0),"TOTAL",IF(itens_Remanesc!A145="","",itens_Remanesc!A145))</f>
        <v/>
      </c>
      <c r="B146" s="142" t="str">
        <f>IF(OR(itens_Remanesc!A145="",NOT(ISNUMBER(parametros!$F$2))),"",ROUND(itens_Remanesc!C145*parametros!$F$2,2))</f>
        <v/>
      </c>
      <c r="C146" s="143" t="str">
        <f>IF(posicao_contratual!A145="","",posicao_contratual!G145)</f>
        <v/>
      </c>
      <c r="D146" s="142" t="str">
        <f>IF(A146="TOTAL",ROUND(SUM($D$3:D145),2),IF(A146="","",ROUND(B146*C146,2)))</f>
        <v/>
      </c>
      <c r="E146" s="144" t="str">
        <f>IF(OR(itens_Remanesc!A145="",NOT(ISNUMBER(parametros!$F$3))),"",ROUND(itens_Remanesc!C145*parametros!$F$3,2))</f>
        <v/>
      </c>
      <c r="F146" s="145" t="str">
        <f>IF(posicao_contratual!A145="","",posicao_contratual!K145)</f>
        <v/>
      </c>
      <c r="G146" s="144" t="str">
        <f>IF(A146="TOTAL",ROUND(SUM($G$3:G145),2),IF(OR(A146="",E146="",F146=""),"",ROUND(E146*F146,2)))</f>
        <v/>
      </c>
      <c r="H146" s="142" t="str">
        <f>IF(OR(itens_Remanesc!A145="",NOT(ISNUMBER(parametros!$F$4))),"",ROUND(itens_Remanesc!C145*parametros!$F$4,2))</f>
        <v/>
      </c>
      <c r="I146" s="143" t="str">
        <f>IF(posicao_contratual!A145="","",posicao_contratual!O145)</f>
        <v/>
      </c>
      <c r="J146" s="142" t="str">
        <f>IF(A146="TOTAL",ROUND(SUM($J$3:J145),2),IF(OR(A146="",H146="",I146=""),"",ROUND(H146*I146,2)))</f>
        <v/>
      </c>
      <c r="K146" s="144" t="str">
        <f>IF(OR(itens_Remanesc!A145="",NOT(ISNUMBER(parametros!$F$5))),"",ROUND(itens_Remanesc!C145*parametros!$F$5,2))</f>
        <v/>
      </c>
      <c r="L146" s="145" t="str">
        <f>IF(posicao_contratual!A145="","",posicao_contratual!S145)</f>
        <v/>
      </c>
      <c r="M146" s="144" t="str">
        <f>IF(A146="TOTAL",ROUND(SUM($M$3:M145),2),IF(OR(A146="",K146="",L146=""),"",ROUND(K146*L146,2)))</f>
        <v/>
      </c>
      <c r="N146" s="142" t="str">
        <f>IF(OR(itens_Remanesc!A145="",NOT(ISNUMBER(parametros!$F$6))),"",ROUND(itens_Remanesc!C145*parametros!$F$6,2))</f>
        <v/>
      </c>
      <c r="O146" s="143" t="str">
        <f>IF(posicao_contratual!A145="","",posicao_contratual!W145)</f>
        <v/>
      </c>
      <c r="P146" s="142" t="str">
        <f>IF(A146="TOTAL",ROUND(SUM($P$3:P145),2),IF(OR(A146="",N146="",O146=""),"",ROUND(N146*O146,2)))</f>
        <v/>
      </c>
    </row>
    <row r="147" spans="1:16" x14ac:dyDescent="0.35">
      <c r="A147" s="141" t="str">
        <f>IF(AND(itens_Remanesc!A146="",itens_Remanesc!A145&lt;&gt;"",COUNTIF(itens_Remanesc!A147:$A$200,"&lt;&gt;")=0),"TOTAL",IF(itens_Remanesc!A146="","",itens_Remanesc!A146))</f>
        <v/>
      </c>
      <c r="B147" s="142" t="str">
        <f>IF(OR(itens_Remanesc!A146="",NOT(ISNUMBER(parametros!$F$2))),"",ROUND(itens_Remanesc!C146*parametros!$F$2,2))</f>
        <v/>
      </c>
      <c r="C147" s="143" t="str">
        <f>IF(posicao_contratual!A146="","",posicao_contratual!G146)</f>
        <v/>
      </c>
      <c r="D147" s="142" t="str">
        <f>IF(A147="TOTAL",ROUND(SUM($D$3:D146),2),IF(A147="","",ROUND(B147*C147,2)))</f>
        <v/>
      </c>
      <c r="E147" s="144" t="str">
        <f>IF(OR(itens_Remanesc!A146="",NOT(ISNUMBER(parametros!$F$3))),"",ROUND(itens_Remanesc!C146*parametros!$F$3,2))</f>
        <v/>
      </c>
      <c r="F147" s="145" t="str">
        <f>IF(posicao_contratual!A146="","",posicao_contratual!K146)</f>
        <v/>
      </c>
      <c r="G147" s="144" t="str">
        <f>IF(A147="TOTAL",ROUND(SUM($G$3:G146),2),IF(OR(A147="",E147="",F147=""),"",ROUND(E147*F147,2)))</f>
        <v/>
      </c>
      <c r="H147" s="142" t="str">
        <f>IF(OR(itens_Remanesc!A146="",NOT(ISNUMBER(parametros!$F$4))),"",ROUND(itens_Remanesc!C146*parametros!$F$4,2))</f>
        <v/>
      </c>
      <c r="I147" s="143" t="str">
        <f>IF(posicao_contratual!A146="","",posicao_contratual!O146)</f>
        <v/>
      </c>
      <c r="J147" s="142" t="str">
        <f>IF(A147="TOTAL",ROUND(SUM($J$3:J146),2),IF(OR(A147="",H147="",I147=""),"",ROUND(H147*I147,2)))</f>
        <v/>
      </c>
      <c r="K147" s="144" t="str">
        <f>IF(OR(itens_Remanesc!A146="",NOT(ISNUMBER(parametros!$F$5))),"",ROUND(itens_Remanesc!C146*parametros!$F$5,2))</f>
        <v/>
      </c>
      <c r="L147" s="145" t="str">
        <f>IF(posicao_contratual!A146="","",posicao_contratual!S146)</f>
        <v/>
      </c>
      <c r="M147" s="144" t="str">
        <f>IF(A147="TOTAL",ROUND(SUM($M$3:M146),2),IF(OR(A147="",K147="",L147=""),"",ROUND(K147*L147,2)))</f>
        <v/>
      </c>
      <c r="N147" s="142" t="str">
        <f>IF(OR(itens_Remanesc!A146="",NOT(ISNUMBER(parametros!$F$6))),"",ROUND(itens_Remanesc!C146*parametros!$F$6,2))</f>
        <v/>
      </c>
      <c r="O147" s="143" t="str">
        <f>IF(posicao_contratual!A146="","",posicao_contratual!W146)</f>
        <v/>
      </c>
      <c r="P147" s="142" t="str">
        <f>IF(A147="TOTAL",ROUND(SUM($P$3:P146),2),IF(OR(A147="",N147="",O147=""),"",ROUND(N147*O147,2)))</f>
        <v/>
      </c>
    </row>
    <row r="148" spans="1:16" x14ac:dyDescent="0.35">
      <c r="A148" s="141" t="str">
        <f>IF(AND(itens_Remanesc!A147="",itens_Remanesc!A146&lt;&gt;"",COUNTIF(itens_Remanesc!A148:$A$200,"&lt;&gt;")=0),"TOTAL",IF(itens_Remanesc!A147="","",itens_Remanesc!A147))</f>
        <v/>
      </c>
      <c r="B148" s="142" t="str">
        <f>IF(OR(itens_Remanesc!A147="",NOT(ISNUMBER(parametros!$F$2))),"",ROUND(itens_Remanesc!C147*parametros!$F$2,2))</f>
        <v/>
      </c>
      <c r="C148" s="143" t="str">
        <f>IF(posicao_contratual!A147="","",posicao_contratual!G147)</f>
        <v/>
      </c>
      <c r="D148" s="142" t="str">
        <f>IF(A148="TOTAL",ROUND(SUM($D$3:D147),2),IF(A148="","",ROUND(B148*C148,2)))</f>
        <v/>
      </c>
      <c r="E148" s="144" t="str">
        <f>IF(OR(itens_Remanesc!A147="",NOT(ISNUMBER(parametros!$F$3))),"",ROUND(itens_Remanesc!C147*parametros!$F$3,2))</f>
        <v/>
      </c>
      <c r="F148" s="145" t="str">
        <f>IF(posicao_contratual!A147="","",posicao_contratual!K147)</f>
        <v/>
      </c>
      <c r="G148" s="144" t="str">
        <f>IF(A148="TOTAL",ROUND(SUM($G$3:G147),2),IF(OR(A148="",E148="",F148=""),"",ROUND(E148*F148,2)))</f>
        <v/>
      </c>
      <c r="H148" s="142" t="str">
        <f>IF(OR(itens_Remanesc!A147="",NOT(ISNUMBER(parametros!$F$4))),"",ROUND(itens_Remanesc!C147*parametros!$F$4,2))</f>
        <v/>
      </c>
      <c r="I148" s="143" t="str">
        <f>IF(posicao_contratual!A147="","",posicao_contratual!O147)</f>
        <v/>
      </c>
      <c r="J148" s="142" t="str">
        <f>IF(A148="TOTAL",ROUND(SUM($J$3:J147),2),IF(OR(A148="",H148="",I148=""),"",ROUND(H148*I148,2)))</f>
        <v/>
      </c>
      <c r="K148" s="144" t="str">
        <f>IF(OR(itens_Remanesc!A147="",NOT(ISNUMBER(parametros!$F$5))),"",ROUND(itens_Remanesc!C147*parametros!$F$5,2))</f>
        <v/>
      </c>
      <c r="L148" s="145" t="str">
        <f>IF(posicao_contratual!A147="","",posicao_contratual!S147)</f>
        <v/>
      </c>
      <c r="M148" s="144" t="str">
        <f>IF(A148="TOTAL",ROUND(SUM($M$3:M147),2),IF(OR(A148="",K148="",L148=""),"",ROUND(K148*L148,2)))</f>
        <v/>
      </c>
      <c r="N148" s="142" t="str">
        <f>IF(OR(itens_Remanesc!A147="",NOT(ISNUMBER(parametros!$F$6))),"",ROUND(itens_Remanesc!C147*parametros!$F$6,2))</f>
        <v/>
      </c>
      <c r="O148" s="143" t="str">
        <f>IF(posicao_contratual!A147="","",posicao_contratual!W147)</f>
        <v/>
      </c>
      <c r="P148" s="142" t="str">
        <f>IF(A148="TOTAL",ROUND(SUM($P$3:P147),2),IF(OR(A148="",N148="",O148=""),"",ROUND(N148*O148,2)))</f>
        <v/>
      </c>
    </row>
    <row r="149" spans="1:16" x14ac:dyDescent="0.35">
      <c r="A149" s="141" t="str">
        <f>IF(AND(itens_Remanesc!A148="",itens_Remanesc!A147&lt;&gt;"",COUNTIF(itens_Remanesc!A149:$A$200,"&lt;&gt;")=0),"TOTAL",IF(itens_Remanesc!A148="","",itens_Remanesc!A148))</f>
        <v/>
      </c>
      <c r="B149" s="142" t="str">
        <f>IF(OR(itens_Remanesc!A148="",NOT(ISNUMBER(parametros!$F$2))),"",ROUND(itens_Remanesc!C148*parametros!$F$2,2))</f>
        <v/>
      </c>
      <c r="C149" s="143" t="str">
        <f>IF(posicao_contratual!A148="","",posicao_contratual!G148)</f>
        <v/>
      </c>
      <c r="D149" s="142" t="str">
        <f>IF(A149="TOTAL",ROUND(SUM($D$3:D148),2),IF(A149="","",ROUND(B149*C149,2)))</f>
        <v/>
      </c>
      <c r="E149" s="144" t="str">
        <f>IF(OR(itens_Remanesc!A148="",NOT(ISNUMBER(parametros!$F$3))),"",ROUND(itens_Remanesc!C148*parametros!$F$3,2))</f>
        <v/>
      </c>
      <c r="F149" s="145" t="str">
        <f>IF(posicao_contratual!A148="","",posicao_contratual!K148)</f>
        <v/>
      </c>
      <c r="G149" s="144" t="str">
        <f>IF(A149="TOTAL",ROUND(SUM($G$3:G148),2),IF(OR(A149="",E149="",F149=""),"",ROUND(E149*F149,2)))</f>
        <v/>
      </c>
      <c r="H149" s="142" t="str">
        <f>IF(OR(itens_Remanesc!A148="",NOT(ISNUMBER(parametros!$F$4))),"",ROUND(itens_Remanesc!C148*parametros!$F$4,2))</f>
        <v/>
      </c>
      <c r="I149" s="143" t="str">
        <f>IF(posicao_contratual!A148="","",posicao_contratual!O148)</f>
        <v/>
      </c>
      <c r="J149" s="142" t="str">
        <f>IF(A149="TOTAL",ROUND(SUM($J$3:J148),2),IF(OR(A149="",H149="",I149=""),"",ROUND(H149*I149,2)))</f>
        <v/>
      </c>
      <c r="K149" s="144" t="str">
        <f>IF(OR(itens_Remanesc!A148="",NOT(ISNUMBER(parametros!$F$5))),"",ROUND(itens_Remanesc!C148*parametros!$F$5,2))</f>
        <v/>
      </c>
      <c r="L149" s="145" t="str">
        <f>IF(posicao_contratual!A148="","",posicao_contratual!S148)</f>
        <v/>
      </c>
      <c r="M149" s="144" t="str">
        <f>IF(A149="TOTAL",ROUND(SUM($M$3:M148),2),IF(OR(A149="",K149="",L149=""),"",ROUND(K149*L149,2)))</f>
        <v/>
      </c>
      <c r="N149" s="142" t="str">
        <f>IF(OR(itens_Remanesc!A148="",NOT(ISNUMBER(parametros!$F$6))),"",ROUND(itens_Remanesc!C148*parametros!$F$6,2))</f>
        <v/>
      </c>
      <c r="O149" s="143" t="str">
        <f>IF(posicao_contratual!A148="","",posicao_contratual!W148)</f>
        <v/>
      </c>
      <c r="P149" s="142" t="str">
        <f>IF(A149="TOTAL",ROUND(SUM($P$3:P148),2),IF(OR(A149="",N149="",O149=""),"",ROUND(N149*O149,2)))</f>
        <v/>
      </c>
    </row>
    <row r="150" spans="1:16" x14ac:dyDescent="0.35">
      <c r="A150" s="141" t="str">
        <f>IF(AND(itens_Remanesc!A149="",itens_Remanesc!A148&lt;&gt;"",COUNTIF(itens_Remanesc!A150:$A$200,"&lt;&gt;")=0),"TOTAL",IF(itens_Remanesc!A149="","",itens_Remanesc!A149))</f>
        <v/>
      </c>
      <c r="B150" s="142" t="str">
        <f>IF(OR(itens_Remanesc!A149="",NOT(ISNUMBER(parametros!$F$2))),"",ROUND(itens_Remanesc!C149*parametros!$F$2,2))</f>
        <v/>
      </c>
      <c r="C150" s="143" t="str">
        <f>IF(posicao_contratual!A149="","",posicao_contratual!G149)</f>
        <v/>
      </c>
      <c r="D150" s="142" t="str">
        <f>IF(A150="TOTAL",ROUND(SUM($D$3:D149),2),IF(A150="","",ROUND(B150*C150,2)))</f>
        <v/>
      </c>
      <c r="E150" s="144" t="str">
        <f>IF(OR(itens_Remanesc!A149="",NOT(ISNUMBER(parametros!$F$3))),"",ROUND(itens_Remanesc!C149*parametros!$F$3,2))</f>
        <v/>
      </c>
      <c r="F150" s="145" t="str">
        <f>IF(posicao_contratual!A149="","",posicao_contratual!K149)</f>
        <v/>
      </c>
      <c r="G150" s="144" t="str">
        <f>IF(A150="TOTAL",ROUND(SUM($G$3:G149),2),IF(OR(A150="",E150="",F150=""),"",ROUND(E150*F150,2)))</f>
        <v/>
      </c>
      <c r="H150" s="142" t="str">
        <f>IF(OR(itens_Remanesc!A149="",NOT(ISNUMBER(parametros!$F$4))),"",ROUND(itens_Remanesc!C149*parametros!$F$4,2))</f>
        <v/>
      </c>
      <c r="I150" s="143" t="str">
        <f>IF(posicao_contratual!A149="","",posicao_contratual!O149)</f>
        <v/>
      </c>
      <c r="J150" s="142" t="str">
        <f>IF(A150="TOTAL",ROUND(SUM($J$3:J149),2),IF(OR(A150="",H150="",I150=""),"",ROUND(H150*I150,2)))</f>
        <v/>
      </c>
      <c r="K150" s="144" t="str">
        <f>IF(OR(itens_Remanesc!A149="",NOT(ISNUMBER(parametros!$F$5))),"",ROUND(itens_Remanesc!C149*parametros!$F$5,2))</f>
        <v/>
      </c>
      <c r="L150" s="145" t="str">
        <f>IF(posicao_contratual!A149="","",posicao_contratual!S149)</f>
        <v/>
      </c>
      <c r="M150" s="144" t="str">
        <f>IF(A150="TOTAL",ROUND(SUM($M$3:M149),2),IF(OR(A150="",K150="",L150=""),"",ROUND(K150*L150,2)))</f>
        <v/>
      </c>
      <c r="N150" s="142" t="str">
        <f>IF(OR(itens_Remanesc!A149="",NOT(ISNUMBER(parametros!$F$6))),"",ROUND(itens_Remanesc!C149*parametros!$F$6,2))</f>
        <v/>
      </c>
      <c r="O150" s="143" t="str">
        <f>IF(posicao_contratual!A149="","",posicao_contratual!W149)</f>
        <v/>
      </c>
      <c r="P150" s="142" t="str">
        <f>IF(A150="TOTAL",ROUND(SUM($P$3:P149),2),IF(OR(A150="",N150="",O150=""),"",ROUND(N150*O150,2)))</f>
        <v/>
      </c>
    </row>
    <row r="151" spans="1:16" x14ac:dyDescent="0.35">
      <c r="A151" s="141" t="str">
        <f>IF(AND(itens_Remanesc!A150="",itens_Remanesc!A149&lt;&gt;"",COUNTIF(itens_Remanesc!A151:$A$200,"&lt;&gt;")=0),"TOTAL",IF(itens_Remanesc!A150="","",itens_Remanesc!A150))</f>
        <v/>
      </c>
      <c r="B151" s="142" t="str">
        <f>IF(OR(itens_Remanesc!A150="",NOT(ISNUMBER(parametros!$F$2))),"",ROUND(itens_Remanesc!C150*parametros!$F$2,2))</f>
        <v/>
      </c>
      <c r="C151" s="143" t="str">
        <f>IF(posicao_contratual!A150="","",posicao_contratual!G150)</f>
        <v/>
      </c>
      <c r="D151" s="142" t="str">
        <f>IF(A151="TOTAL",ROUND(SUM($D$3:D150),2),IF(A151="","",ROUND(B151*C151,2)))</f>
        <v/>
      </c>
      <c r="E151" s="144" t="str">
        <f>IF(OR(itens_Remanesc!A150="",NOT(ISNUMBER(parametros!$F$3))),"",ROUND(itens_Remanesc!C150*parametros!$F$3,2))</f>
        <v/>
      </c>
      <c r="F151" s="145" t="str">
        <f>IF(posicao_contratual!A150="","",posicao_contratual!K150)</f>
        <v/>
      </c>
      <c r="G151" s="144" t="str">
        <f>IF(A151="TOTAL",ROUND(SUM($G$3:G150),2),IF(OR(A151="",E151="",F151=""),"",ROUND(E151*F151,2)))</f>
        <v/>
      </c>
      <c r="H151" s="142" t="str">
        <f>IF(OR(itens_Remanesc!A150="",NOT(ISNUMBER(parametros!$F$4))),"",ROUND(itens_Remanesc!C150*parametros!$F$4,2))</f>
        <v/>
      </c>
      <c r="I151" s="143" t="str">
        <f>IF(posicao_contratual!A150="","",posicao_contratual!O150)</f>
        <v/>
      </c>
      <c r="J151" s="142" t="str">
        <f>IF(A151="TOTAL",ROUND(SUM($J$3:J150),2),IF(OR(A151="",H151="",I151=""),"",ROUND(H151*I151,2)))</f>
        <v/>
      </c>
      <c r="K151" s="144" t="str">
        <f>IF(OR(itens_Remanesc!A150="",NOT(ISNUMBER(parametros!$F$5))),"",ROUND(itens_Remanesc!C150*parametros!$F$5,2))</f>
        <v/>
      </c>
      <c r="L151" s="145" t="str">
        <f>IF(posicao_contratual!A150="","",posicao_contratual!S150)</f>
        <v/>
      </c>
      <c r="M151" s="144" t="str">
        <f>IF(A151="TOTAL",ROUND(SUM($M$3:M150),2),IF(OR(A151="",K151="",L151=""),"",ROUND(K151*L151,2)))</f>
        <v/>
      </c>
      <c r="N151" s="142" t="str">
        <f>IF(OR(itens_Remanesc!A150="",NOT(ISNUMBER(parametros!$F$6))),"",ROUND(itens_Remanesc!C150*parametros!$F$6,2))</f>
        <v/>
      </c>
      <c r="O151" s="143" t="str">
        <f>IF(posicao_contratual!A150="","",posicao_contratual!W150)</f>
        <v/>
      </c>
      <c r="P151" s="142" t="str">
        <f>IF(A151="TOTAL",ROUND(SUM($P$3:P150),2),IF(OR(A151="",N151="",O151=""),"",ROUND(N151*O151,2)))</f>
        <v/>
      </c>
    </row>
    <row r="152" spans="1:16" x14ac:dyDescent="0.35">
      <c r="A152" s="141" t="str">
        <f>IF(AND(itens_Remanesc!A151="",itens_Remanesc!A150&lt;&gt;"",COUNTIF(itens_Remanesc!A152:$A$200,"&lt;&gt;")=0),"TOTAL",IF(itens_Remanesc!A151="","",itens_Remanesc!A151))</f>
        <v/>
      </c>
      <c r="B152" s="142" t="str">
        <f>IF(OR(itens_Remanesc!A151="",NOT(ISNUMBER(parametros!$F$2))),"",ROUND(itens_Remanesc!C151*parametros!$F$2,2))</f>
        <v/>
      </c>
      <c r="C152" s="143" t="str">
        <f>IF(posicao_contratual!A151="","",posicao_contratual!G151)</f>
        <v/>
      </c>
      <c r="D152" s="142" t="str">
        <f>IF(A152="TOTAL",ROUND(SUM($D$3:D151),2),IF(A152="","",ROUND(B152*C152,2)))</f>
        <v/>
      </c>
      <c r="E152" s="144" t="str">
        <f>IF(OR(itens_Remanesc!A151="",NOT(ISNUMBER(parametros!$F$3))),"",ROUND(itens_Remanesc!C151*parametros!$F$3,2))</f>
        <v/>
      </c>
      <c r="F152" s="145" t="str">
        <f>IF(posicao_contratual!A151="","",posicao_contratual!K151)</f>
        <v/>
      </c>
      <c r="G152" s="144" t="str">
        <f>IF(A152="TOTAL",ROUND(SUM($G$3:G151),2),IF(OR(A152="",E152="",F152=""),"",ROUND(E152*F152,2)))</f>
        <v/>
      </c>
      <c r="H152" s="142" t="str">
        <f>IF(OR(itens_Remanesc!A151="",NOT(ISNUMBER(parametros!$F$4))),"",ROUND(itens_Remanesc!C151*parametros!$F$4,2))</f>
        <v/>
      </c>
      <c r="I152" s="143" t="str">
        <f>IF(posicao_contratual!A151="","",posicao_contratual!O151)</f>
        <v/>
      </c>
      <c r="J152" s="142" t="str">
        <f>IF(A152="TOTAL",ROUND(SUM($J$3:J151),2),IF(OR(A152="",H152="",I152=""),"",ROUND(H152*I152,2)))</f>
        <v/>
      </c>
      <c r="K152" s="144" t="str">
        <f>IF(OR(itens_Remanesc!A151="",NOT(ISNUMBER(parametros!$F$5))),"",ROUND(itens_Remanesc!C151*parametros!$F$5,2))</f>
        <v/>
      </c>
      <c r="L152" s="145" t="str">
        <f>IF(posicao_contratual!A151="","",posicao_contratual!S151)</f>
        <v/>
      </c>
      <c r="M152" s="144" t="str">
        <f>IF(A152="TOTAL",ROUND(SUM($M$3:M151),2),IF(OR(A152="",K152="",L152=""),"",ROUND(K152*L152,2)))</f>
        <v/>
      </c>
      <c r="N152" s="142" t="str">
        <f>IF(OR(itens_Remanesc!A151="",NOT(ISNUMBER(parametros!$F$6))),"",ROUND(itens_Remanesc!C151*parametros!$F$6,2))</f>
        <v/>
      </c>
      <c r="O152" s="143" t="str">
        <f>IF(posicao_contratual!A151="","",posicao_contratual!W151)</f>
        <v/>
      </c>
      <c r="P152" s="142" t="str">
        <f>IF(A152="TOTAL",ROUND(SUM($P$3:P151),2),IF(OR(A152="",N152="",O152=""),"",ROUND(N152*O152,2)))</f>
        <v/>
      </c>
    </row>
    <row r="153" spans="1:16" x14ac:dyDescent="0.35">
      <c r="A153" s="141" t="str">
        <f>IF(AND(itens_Remanesc!A152="",itens_Remanesc!A151&lt;&gt;"",COUNTIF(itens_Remanesc!A153:$A$200,"&lt;&gt;")=0),"TOTAL",IF(itens_Remanesc!A152="","",itens_Remanesc!A152))</f>
        <v/>
      </c>
      <c r="B153" s="142" t="str">
        <f>IF(OR(itens_Remanesc!A152="",NOT(ISNUMBER(parametros!$F$2))),"",ROUND(itens_Remanesc!C152*parametros!$F$2,2))</f>
        <v/>
      </c>
      <c r="C153" s="143" t="str">
        <f>IF(posicao_contratual!A152="","",posicao_contratual!G152)</f>
        <v/>
      </c>
      <c r="D153" s="142" t="str">
        <f>IF(A153="TOTAL",ROUND(SUM($D$3:D152),2),IF(A153="","",ROUND(B153*C153,2)))</f>
        <v/>
      </c>
      <c r="E153" s="144" t="str">
        <f>IF(OR(itens_Remanesc!A152="",NOT(ISNUMBER(parametros!$F$3))),"",ROUND(itens_Remanesc!C152*parametros!$F$3,2))</f>
        <v/>
      </c>
      <c r="F153" s="145" t="str">
        <f>IF(posicao_contratual!A152="","",posicao_contratual!K152)</f>
        <v/>
      </c>
      <c r="G153" s="144" t="str">
        <f>IF(A153="TOTAL",ROUND(SUM($G$3:G152),2),IF(OR(A153="",E153="",F153=""),"",ROUND(E153*F153,2)))</f>
        <v/>
      </c>
      <c r="H153" s="142" t="str">
        <f>IF(OR(itens_Remanesc!A152="",NOT(ISNUMBER(parametros!$F$4))),"",ROUND(itens_Remanesc!C152*parametros!$F$4,2))</f>
        <v/>
      </c>
      <c r="I153" s="143" t="str">
        <f>IF(posicao_contratual!A152="","",posicao_contratual!O152)</f>
        <v/>
      </c>
      <c r="J153" s="142" t="str">
        <f>IF(A153="TOTAL",ROUND(SUM($J$3:J152),2),IF(OR(A153="",H153="",I153=""),"",ROUND(H153*I153,2)))</f>
        <v/>
      </c>
      <c r="K153" s="144" t="str">
        <f>IF(OR(itens_Remanesc!A152="",NOT(ISNUMBER(parametros!$F$5))),"",ROUND(itens_Remanesc!C152*parametros!$F$5,2))</f>
        <v/>
      </c>
      <c r="L153" s="145" t="str">
        <f>IF(posicao_contratual!A152="","",posicao_contratual!S152)</f>
        <v/>
      </c>
      <c r="M153" s="144" t="str">
        <f>IF(A153="TOTAL",ROUND(SUM($M$3:M152),2),IF(OR(A153="",K153="",L153=""),"",ROUND(K153*L153,2)))</f>
        <v/>
      </c>
      <c r="N153" s="142" t="str">
        <f>IF(OR(itens_Remanesc!A152="",NOT(ISNUMBER(parametros!$F$6))),"",ROUND(itens_Remanesc!C152*parametros!$F$6,2))</f>
        <v/>
      </c>
      <c r="O153" s="143" t="str">
        <f>IF(posicao_contratual!A152="","",posicao_contratual!W152)</f>
        <v/>
      </c>
      <c r="P153" s="142" t="str">
        <f>IF(A153="TOTAL",ROUND(SUM($P$3:P152),2),IF(OR(A153="",N153="",O153=""),"",ROUND(N153*O153,2)))</f>
        <v/>
      </c>
    </row>
    <row r="154" spans="1:16" x14ac:dyDescent="0.35">
      <c r="A154" s="141" t="str">
        <f>IF(AND(itens_Remanesc!A153="",itens_Remanesc!A152&lt;&gt;"",COUNTIF(itens_Remanesc!A154:$A$200,"&lt;&gt;")=0),"TOTAL",IF(itens_Remanesc!A153="","",itens_Remanesc!A153))</f>
        <v/>
      </c>
      <c r="B154" s="142" t="str">
        <f>IF(OR(itens_Remanesc!A153="",NOT(ISNUMBER(parametros!$F$2))),"",ROUND(itens_Remanesc!C153*parametros!$F$2,2))</f>
        <v/>
      </c>
      <c r="C154" s="143" t="str">
        <f>IF(posicao_contratual!A153="","",posicao_contratual!G153)</f>
        <v/>
      </c>
      <c r="D154" s="142" t="str">
        <f>IF(A154="TOTAL",ROUND(SUM($D$3:D153),2),IF(A154="","",ROUND(B154*C154,2)))</f>
        <v/>
      </c>
      <c r="E154" s="144" t="str">
        <f>IF(OR(itens_Remanesc!A153="",NOT(ISNUMBER(parametros!$F$3))),"",ROUND(itens_Remanesc!C153*parametros!$F$3,2))</f>
        <v/>
      </c>
      <c r="F154" s="145" t="str">
        <f>IF(posicao_contratual!A153="","",posicao_contratual!K153)</f>
        <v/>
      </c>
      <c r="G154" s="144" t="str">
        <f>IF(A154="TOTAL",ROUND(SUM($G$3:G153),2),IF(OR(A154="",E154="",F154=""),"",ROUND(E154*F154,2)))</f>
        <v/>
      </c>
      <c r="H154" s="142" t="str">
        <f>IF(OR(itens_Remanesc!A153="",NOT(ISNUMBER(parametros!$F$4))),"",ROUND(itens_Remanesc!C153*parametros!$F$4,2))</f>
        <v/>
      </c>
      <c r="I154" s="143" t="str">
        <f>IF(posicao_contratual!A153="","",posicao_contratual!O153)</f>
        <v/>
      </c>
      <c r="J154" s="142" t="str">
        <f>IF(A154="TOTAL",ROUND(SUM($J$3:J153),2),IF(OR(A154="",H154="",I154=""),"",ROUND(H154*I154,2)))</f>
        <v/>
      </c>
      <c r="K154" s="144" t="str">
        <f>IF(OR(itens_Remanesc!A153="",NOT(ISNUMBER(parametros!$F$5))),"",ROUND(itens_Remanesc!C153*parametros!$F$5,2))</f>
        <v/>
      </c>
      <c r="L154" s="145" t="str">
        <f>IF(posicao_contratual!A153="","",posicao_contratual!S153)</f>
        <v/>
      </c>
      <c r="M154" s="144" t="str">
        <f>IF(A154="TOTAL",ROUND(SUM($M$3:M153),2),IF(OR(A154="",K154="",L154=""),"",ROUND(K154*L154,2)))</f>
        <v/>
      </c>
      <c r="N154" s="142" t="str">
        <f>IF(OR(itens_Remanesc!A153="",NOT(ISNUMBER(parametros!$F$6))),"",ROUND(itens_Remanesc!C153*parametros!$F$6,2))</f>
        <v/>
      </c>
      <c r="O154" s="143" t="str">
        <f>IF(posicao_contratual!A153="","",posicao_contratual!W153)</f>
        <v/>
      </c>
      <c r="P154" s="142" t="str">
        <f>IF(A154="TOTAL",ROUND(SUM($P$3:P153),2),IF(OR(A154="",N154="",O154=""),"",ROUND(N154*O154,2)))</f>
        <v/>
      </c>
    </row>
    <row r="155" spans="1:16" x14ac:dyDescent="0.35">
      <c r="A155" s="141" t="str">
        <f>IF(AND(itens_Remanesc!A154="",itens_Remanesc!A153&lt;&gt;"",COUNTIF(itens_Remanesc!A155:$A$200,"&lt;&gt;")=0),"TOTAL",IF(itens_Remanesc!A154="","",itens_Remanesc!A154))</f>
        <v/>
      </c>
      <c r="B155" s="142" t="str">
        <f>IF(OR(itens_Remanesc!A154="",NOT(ISNUMBER(parametros!$F$2))),"",ROUND(itens_Remanesc!C154*parametros!$F$2,2))</f>
        <v/>
      </c>
      <c r="C155" s="143" t="str">
        <f>IF(posicao_contratual!A154="","",posicao_contratual!G154)</f>
        <v/>
      </c>
      <c r="D155" s="142" t="str">
        <f>IF(A155="TOTAL",ROUND(SUM($D$3:D154),2),IF(A155="","",ROUND(B155*C155,2)))</f>
        <v/>
      </c>
      <c r="E155" s="144" t="str">
        <f>IF(OR(itens_Remanesc!A154="",NOT(ISNUMBER(parametros!$F$3))),"",ROUND(itens_Remanesc!C154*parametros!$F$3,2))</f>
        <v/>
      </c>
      <c r="F155" s="145" t="str">
        <f>IF(posicao_contratual!A154="","",posicao_contratual!K154)</f>
        <v/>
      </c>
      <c r="G155" s="144" t="str">
        <f>IF(A155="TOTAL",ROUND(SUM($G$3:G154),2),IF(OR(A155="",E155="",F155=""),"",ROUND(E155*F155,2)))</f>
        <v/>
      </c>
      <c r="H155" s="142" t="str">
        <f>IF(OR(itens_Remanesc!A154="",NOT(ISNUMBER(parametros!$F$4))),"",ROUND(itens_Remanesc!C154*parametros!$F$4,2))</f>
        <v/>
      </c>
      <c r="I155" s="143" t="str">
        <f>IF(posicao_contratual!A154="","",posicao_contratual!O154)</f>
        <v/>
      </c>
      <c r="J155" s="142" t="str">
        <f>IF(A155="TOTAL",ROUND(SUM($J$3:J154),2),IF(OR(A155="",H155="",I155=""),"",ROUND(H155*I155,2)))</f>
        <v/>
      </c>
      <c r="K155" s="144" t="str">
        <f>IF(OR(itens_Remanesc!A154="",NOT(ISNUMBER(parametros!$F$5))),"",ROUND(itens_Remanesc!C154*parametros!$F$5,2))</f>
        <v/>
      </c>
      <c r="L155" s="145" t="str">
        <f>IF(posicao_contratual!A154="","",posicao_contratual!S154)</f>
        <v/>
      </c>
      <c r="M155" s="144" t="str">
        <f>IF(A155="TOTAL",ROUND(SUM($M$3:M154),2),IF(OR(A155="",K155="",L155=""),"",ROUND(K155*L155,2)))</f>
        <v/>
      </c>
      <c r="N155" s="142" t="str">
        <f>IF(OR(itens_Remanesc!A154="",NOT(ISNUMBER(parametros!$F$6))),"",ROUND(itens_Remanesc!C154*parametros!$F$6,2))</f>
        <v/>
      </c>
      <c r="O155" s="143" t="str">
        <f>IF(posicao_contratual!A154="","",posicao_contratual!W154)</f>
        <v/>
      </c>
      <c r="P155" s="142" t="str">
        <f>IF(A155="TOTAL",ROUND(SUM($P$3:P154),2),IF(OR(A155="",N155="",O155=""),"",ROUND(N155*O155,2)))</f>
        <v/>
      </c>
    </row>
    <row r="156" spans="1:16" x14ac:dyDescent="0.35">
      <c r="A156" s="141" t="str">
        <f>IF(AND(itens_Remanesc!A155="",itens_Remanesc!A154&lt;&gt;"",COUNTIF(itens_Remanesc!A156:$A$200,"&lt;&gt;")=0),"TOTAL",IF(itens_Remanesc!A155="","",itens_Remanesc!A155))</f>
        <v/>
      </c>
      <c r="B156" s="142" t="str">
        <f>IF(OR(itens_Remanesc!A155="",NOT(ISNUMBER(parametros!$F$2))),"",ROUND(itens_Remanesc!C155*parametros!$F$2,2))</f>
        <v/>
      </c>
      <c r="C156" s="143" t="str">
        <f>IF(posicao_contratual!A155="","",posicao_contratual!G155)</f>
        <v/>
      </c>
      <c r="D156" s="142" t="str">
        <f>IF(A156="TOTAL",ROUND(SUM($D$3:D155),2),IF(A156="","",ROUND(B156*C156,2)))</f>
        <v/>
      </c>
      <c r="E156" s="144" t="str">
        <f>IF(OR(itens_Remanesc!A155="",NOT(ISNUMBER(parametros!$F$3))),"",ROUND(itens_Remanesc!C155*parametros!$F$3,2))</f>
        <v/>
      </c>
      <c r="F156" s="145" t="str">
        <f>IF(posicao_contratual!A155="","",posicao_contratual!K155)</f>
        <v/>
      </c>
      <c r="G156" s="144" t="str">
        <f>IF(A156="TOTAL",ROUND(SUM($G$3:G155),2),IF(OR(A156="",E156="",F156=""),"",ROUND(E156*F156,2)))</f>
        <v/>
      </c>
      <c r="H156" s="142" t="str">
        <f>IF(OR(itens_Remanesc!A155="",NOT(ISNUMBER(parametros!$F$4))),"",ROUND(itens_Remanesc!C155*parametros!$F$4,2))</f>
        <v/>
      </c>
      <c r="I156" s="143" t="str">
        <f>IF(posicao_contratual!A155="","",posicao_contratual!O155)</f>
        <v/>
      </c>
      <c r="J156" s="142" t="str">
        <f>IF(A156="TOTAL",ROUND(SUM($J$3:J155),2),IF(OR(A156="",H156="",I156=""),"",ROUND(H156*I156,2)))</f>
        <v/>
      </c>
      <c r="K156" s="144" t="str">
        <f>IF(OR(itens_Remanesc!A155="",NOT(ISNUMBER(parametros!$F$5))),"",ROUND(itens_Remanesc!C155*parametros!$F$5,2))</f>
        <v/>
      </c>
      <c r="L156" s="145" t="str">
        <f>IF(posicao_contratual!A155="","",posicao_contratual!S155)</f>
        <v/>
      </c>
      <c r="M156" s="144" t="str">
        <f>IF(A156="TOTAL",ROUND(SUM($M$3:M155),2),IF(OR(A156="",K156="",L156=""),"",ROUND(K156*L156,2)))</f>
        <v/>
      </c>
      <c r="N156" s="142" t="str">
        <f>IF(OR(itens_Remanesc!A155="",NOT(ISNUMBER(parametros!$F$6))),"",ROUND(itens_Remanesc!C155*parametros!$F$6,2))</f>
        <v/>
      </c>
      <c r="O156" s="143" t="str">
        <f>IF(posicao_contratual!A155="","",posicao_contratual!W155)</f>
        <v/>
      </c>
      <c r="P156" s="142" t="str">
        <f>IF(A156="TOTAL",ROUND(SUM($P$3:P155),2),IF(OR(A156="",N156="",O156=""),"",ROUND(N156*O156,2)))</f>
        <v/>
      </c>
    </row>
    <row r="157" spans="1:16" x14ac:dyDescent="0.35">
      <c r="A157" s="141" t="str">
        <f>IF(AND(itens_Remanesc!A156="",itens_Remanesc!A155&lt;&gt;"",COUNTIF(itens_Remanesc!A157:$A$200,"&lt;&gt;")=0),"TOTAL",IF(itens_Remanesc!A156="","",itens_Remanesc!A156))</f>
        <v/>
      </c>
      <c r="B157" s="142" t="str">
        <f>IF(OR(itens_Remanesc!A156="",NOT(ISNUMBER(parametros!$F$2))),"",ROUND(itens_Remanesc!C156*parametros!$F$2,2))</f>
        <v/>
      </c>
      <c r="C157" s="143" t="str">
        <f>IF(posicao_contratual!A156="","",posicao_contratual!G156)</f>
        <v/>
      </c>
      <c r="D157" s="142" t="str">
        <f>IF(A157="TOTAL",ROUND(SUM($D$3:D156),2),IF(A157="","",ROUND(B157*C157,2)))</f>
        <v/>
      </c>
      <c r="E157" s="144" t="str">
        <f>IF(OR(itens_Remanesc!A156="",NOT(ISNUMBER(parametros!$F$3))),"",ROUND(itens_Remanesc!C156*parametros!$F$3,2))</f>
        <v/>
      </c>
      <c r="F157" s="145" t="str">
        <f>IF(posicao_contratual!A156="","",posicao_contratual!K156)</f>
        <v/>
      </c>
      <c r="G157" s="144" t="str">
        <f>IF(A157="TOTAL",ROUND(SUM($G$3:G156),2),IF(OR(A157="",E157="",F157=""),"",ROUND(E157*F157,2)))</f>
        <v/>
      </c>
      <c r="H157" s="142" t="str">
        <f>IF(OR(itens_Remanesc!A156="",NOT(ISNUMBER(parametros!$F$4))),"",ROUND(itens_Remanesc!C156*parametros!$F$4,2))</f>
        <v/>
      </c>
      <c r="I157" s="143" t="str">
        <f>IF(posicao_contratual!A156="","",posicao_contratual!O156)</f>
        <v/>
      </c>
      <c r="J157" s="142" t="str">
        <f>IF(A157="TOTAL",ROUND(SUM($J$3:J156),2),IF(OR(A157="",H157="",I157=""),"",ROUND(H157*I157,2)))</f>
        <v/>
      </c>
      <c r="K157" s="144" t="str">
        <f>IF(OR(itens_Remanesc!A156="",NOT(ISNUMBER(parametros!$F$5))),"",ROUND(itens_Remanesc!C156*parametros!$F$5,2))</f>
        <v/>
      </c>
      <c r="L157" s="145" t="str">
        <f>IF(posicao_contratual!A156="","",posicao_contratual!S156)</f>
        <v/>
      </c>
      <c r="M157" s="144" t="str">
        <f>IF(A157="TOTAL",ROUND(SUM($M$3:M156),2),IF(OR(A157="",K157="",L157=""),"",ROUND(K157*L157,2)))</f>
        <v/>
      </c>
      <c r="N157" s="142" t="str">
        <f>IF(OR(itens_Remanesc!A156="",NOT(ISNUMBER(parametros!$F$6))),"",ROUND(itens_Remanesc!C156*parametros!$F$6,2))</f>
        <v/>
      </c>
      <c r="O157" s="143" t="str">
        <f>IF(posicao_contratual!A156="","",posicao_contratual!W156)</f>
        <v/>
      </c>
      <c r="P157" s="142" t="str">
        <f>IF(A157="TOTAL",ROUND(SUM($P$3:P156),2),IF(OR(A157="",N157="",O157=""),"",ROUND(N157*O157,2)))</f>
        <v/>
      </c>
    </row>
    <row r="158" spans="1:16" x14ac:dyDescent="0.35">
      <c r="A158" s="141" t="str">
        <f>IF(AND(itens_Remanesc!A157="",itens_Remanesc!A156&lt;&gt;"",COUNTIF(itens_Remanesc!A158:$A$200,"&lt;&gt;")=0),"TOTAL",IF(itens_Remanesc!A157="","",itens_Remanesc!A157))</f>
        <v/>
      </c>
      <c r="B158" s="142" t="str">
        <f>IF(OR(itens_Remanesc!A157="",NOT(ISNUMBER(parametros!$F$2))),"",ROUND(itens_Remanesc!C157*parametros!$F$2,2))</f>
        <v/>
      </c>
      <c r="C158" s="143" t="str">
        <f>IF(posicao_contratual!A157="","",posicao_contratual!G157)</f>
        <v/>
      </c>
      <c r="D158" s="142" t="str">
        <f>IF(A158="TOTAL",ROUND(SUM($D$3:D157),2),IF(A158="","",ROUND(B158*C158,2)))</f>
        <v/>
      </c>
      <c r="E158" s="144" t="str">
        <f>IF(OR(itens_Remanesc!A157="",NOT(ISNUMBER(parametros!$F$3))),"",ROUND(itens_Remanesc!C157*parametros!$F$3,2))</f>
        <v/>
      </c>
      <c r="F158" s="145" t="str">
        <f>IF(posicao_contratual!A157="","",posicao_contratual!K157)</f>
        <v/>
      </c>
      <c r="G158" s="144" t="str">
        <f>IF(A158="TOTAL",ROUND(SUM($G$3:G157),2),IF(OR(A158="",E158="",F158=""),"",ROUND(E158*F158,2)))</f>
        <v/>
      </c>
      <c r="H158" s="142" t="str">
        <f>IF(OR(itens_Remanesc!A157="",NOT(ISNUMBER(parametros!$F$4))),"",ROUND(itens_Remanesc!C157*parametros!$F$4,2))</f>
        <v/>
      </c>
      <c r="I158" s="143" t="str">
        <f>IF(posicao_contratual!A157="","",posicao_contratual!O157)</f>
        <v/>
      </c>
      <c r="J158" s="142" t="str">
        <f>IF(A158="TOTAL",ROUND(SUM($J$3:J157),2),IF(OR(A158="",H158="",I158=""),"",ROUND(H158*I158,2)))</f>
        <v/>
      </c>
      <c r="K158" s="144" t="str">
        <f>IF(OR(itens_Remanesc!A157="",NOT(ISNUMBER(parametros!$F$5))),"",ROUND(itens_Remanesc!C157*parametros!$F$5,2))</f>
        <v/>
      </c>
      <c r="L158" s="145" t="str">
        <f>IF(posicao_contratual!A157="","",posicao_contratual!S157)</f>
        <v/>
      </c>
      <c r="M158" s="144" t="str">
        <f>IF(A158="TOTAL",ROUND(SUM($M$3:M157),2),IF(OR(A158="",K158="",L158=""),"",ROUND(K158*L158,2)))</f>
        <v/>
      </c>
      <c r="N158" s="142" t="str">
        <f>IF(OR(itens_Remanesc!A157="",NOT(ISNUMBER(parametros!$F$6))),"",ROUND(itens_Remanesc!C157*parametros!$F$6,2))</f>
        <v/>
      </c>
      <c r="O158" s="143" t="str">
        <f>IF(posicao_contratual!A157="","",posicao_contratual!W157)</f>
        <v/>
      </c>
      <c r="P158" s="142" t="str">
        <f>IF(A158="TOTAL",ROUND(SUM($P$3:P157),2),IF(OR(A158="",N158="",O158=""),"",ROUND(N158*O158,2)))</f>
        <v/>
      </c>
    </row>
    <row r="159" spans="1:16" x14ac:dyDescent="0.35">
      <c r="A159" s="141" t="str">
        <f>IF(AND(itens_Remanesc!A158="",itens_Remanesc!A157&lt;&gt;"",COUNTIF(itens_Remanesc!A159:$A$200,"&lt;&gt;")=0),"TOTAL",IF(itens_Remanesc!A158="","",itens_Remanesc!A158))</f>
        <v/>
      </c>
      <c r="B159" s="142" t="str">
        <f>IF(OR(itens_Remanesc!A158="",NOT(ISNUMBER(parametros!$F$2))),"",ROUND(itens_Remanesc!C158*parametros!$F$2,2))</f>
        <v/>
      </c>
      <c r="C159" s="143" t="str">
        <f>IF(posicao_contratual!A158="","",posicao_contratual!G158)</f>
        <v/>
      </c>
      <c r="D159" s="142" t="str">
        <f>IF(A159="TOTAL",ROUND(SUM($D$3:D158),2),IF(A159="","",ROUND(B159*C159,2)))</f>
        <v/>
      </c>
      <c r="E159" s="144" t="str">
        <f>IF(OR(itens_Remanesc!A158="",NOT(ISNUMBER(parametros!$F$3))),"",ROUND(itens_Remanesc!C158*parametros!$F$3,2))</f>
        <v/>
      </c>
      <c r="F159" s="145" t="str">
        <f>IF(posicao_contratual!A158="","",posicao_contratual!K158)</f>
        <v/>
      </c>
      <c r="G159" s="144" t="str">
        <f>IF(A159="TOTAL",ROUND(SUM($G$3:G158),2),IF(OR(A159="",E159="",F159=""),"",ROUND(E159*F159,2)))</f>
        <v/>
      </c>
      <c r="H159" s="142" t="str">
        <f>IF(OR(itens_Remanesc!A158="",NOT(ISNUMBER(parametros!$F$4))),"",ROUND(itens_Remanesc!C158*parametros!$F$4,2))</f>
        <v/>
      </c>
      <c r="I159" s="143" t="str">
        <f>IF(posicao_contratual!A158="","",posicao_contratual!O158)</f>
        <v/>
      </c>
      <c r="J159" s="142" t="str">
        <f>IF(A159="TOTAL",ROUND(SUM($J$3:J158),2),IF(OR(A159="",H159="",I159=""),"",ROUND(H159*I159,2)))</f>
        <v/>
      </c>
      <c r="K159" s="144" t="str">
        <f>IF(OR(itens_Remanesc!A158="",NOT(ISNUMBER(parametros!$F$5))),"",ROUND(itens_Remanesc!C158*parametros!$F$5,2))</f>
        <v/>
      </c>
      <c r="L159" s="145" t="str">
        <f>IF(posicao_contratual!A158="","",posicao_contratual!S158)</f>
        <v/>
      </c>
      <c r="M159" s="144" t="str">
        <f>IF(A159="TOTAL",ROUND(SUM($M$3:M158),2),IF(OR(A159="",K159="",L159=""),"",ROUND(K159*L159,2)))</f>
        <v/>
      </c>
      <c r="N159" s="142" t="str">
        <f>IF(OR(itens_Remanesc!A158="",NOT(ISNUMBER(parametros!$F$6))),"",ROUND(itens_Remanesc!C158*parametros!$F$6,2))</f>
        <v/>
      </c>
      <c r="O159" s="143" t="str">
        <f>IF(posicao_contratual!A158="","",posicao_contratual!W158)</f>
        <v/>
      </c>
      <c r="P159" s="142" t="str">
        <f>IF(A159="TOTAL",ROUND(SUM($P$3:P158),2),IF(OR(A159="",N159="",O159=""),"",ROUND(N159*O159,2)))</f>
        <v/>
      </c>
    </row>
    <row r="160" spans="1:16" x14ac:dyDescent="0.35">
      <c r="A160" s="141" t="str">
        <f>IF(AND(itens_Remanesc!A159="",itens_Remanesc!A158&lt;&gt;"",COUNTIF(itens_Remanesc!A160:$A$200,"&lt;&gt;")=0),"TOTAL",IF(itens_Remanesc!A159="","",itens_Remanesc!A159))</f>
        <v/>
      </c>
      <c r="B160" s="142" t="str">
        <f>IF(OR(itens_Remanesc!A159="",NOT(ISNUMBER(parametros!$F$2))),"",ROUND(itens_Remanesc!C159*parametros!$F$2,2))</f>
        <v/>
      </c>
      <c r="C160" s="143" t="str">
        <f>IF(posicao_contratual!A159="","",posicao_contratual!G159)</f>
        <v/>
      </c>
      <c r="D160" s="142" t="str">
        <f>IF(A160="TOTAL",ROUND(SUM($D$3:D159),2),IF(A160="","",ROUND(B160*C160,2)))</f>
        <v/>
      </c>
      <c r="E160" s="144" t="str">
        <f>IF(OR(itens_Remanesc!A159="",NOT(ISNUMBER(parametros!$F$3))),"",ROUND(itens_Remanesc!C159*parametros!$F$3,2))</f>
        <v/>
      </c>
      <c r="F160" s="145" t="str">
        <f>IF(posicao_contratual!A159="","",posicao_contratual!K159)</f>
        <v/>
      </c>
      <c r="G160" s="144" t="str">
        <f>IF(A160="TOTAL",ROUND(SUM($G$3:G159),2),IF(OR(A160="",E160="",F160=""),"",ROUND(E160*F160,2)))</f>
        <v/>
      </c>
      <c r="H160" s="142" t="str">
        <f>IF(OR(itens_Remanesc!A159="",NOT(ISNUMBER(parametros!$F$4))),"",ROUND(itens_Remanesc!C159*parametros!$F$4,2))</f>
        <v/>
      </c>
      <c r="I160" s="143" t="str">
        <f>IF(posicao_contratual!A159="","",posicao_contratual!O159)</f>
        <v/>
      </c>
      <c r="J160" s="142" t="str">
        <f>IF(A160="TOTAL",ROUND(SUM($J$3:J159),2),IF(OR(A160="",H160="",I160=""),"",ROUND(H160*I160,2)))</f>
        <v/>
      </c>
      <c r="K160" s="144" t="str">
        <f>IF(OR(itens_Remanesc!A159="",NOT(ISNUMBER(parametros!$F$5))),"",ROUND(itens_Remanesc!C159*parametros!$F$5,2))</f>
        <v/>
      </c>
      <c r="L160" s="145" t="str">
        <f>IF(posicao_contratual!A159="","",posicao_contratual!S159)</f>
        <v/>
      </c>
      <c r="M160" s="144" t="str">
        <f>IF(A160="TOTAL",ROUND(SUM($M$3:M159),2),IF(OR(A160="",K160="",L160=""),"",ROUND(K160*L160,2)))</f>
        <v/>
      </c>
      <c r="N160" s="142" t="str">
        <f>IF(OR(itens_Remanesc!A159="",NOT(ISNUMBER(parametros!$F$6))),"",ROUND(itens_Remanesc!C159*parametros!$F$6,2))</f>
        <v/>
      </c>
      <c r="O160" s="143" t="str">
        <f>IF(posicao_contratual!A159="","",posicao_contratual!W159)</f>
        <v/>
      </c>
      <c r="P160" s="142" t="str">
        <f>IF(A160="TOTAL",ROUND(SUM($P$3:P159),2),IF(OR(A160="",N160="",O160=""),"",ROUND(N160*O160,2)))</f>
        <v/>
      </c>
    </row>
    <row r="161" spans="1:16" x14ac:dyDescent="0.35">
      <c r="A161" s="141" t="str">
        <f>IF(AND(itens_Remanesc!A160="",itens_Remanesc!A159&lt;&gt;"",COUNTIF(itens_Remanesc!A161:$A$200,"&lt;&gt;")=0),"TOTAL",IF(itens_Remanesc!A160="","",itens_Remanesc!A160))</f>
        <v/>
      </c>
      <c r="B161" s="142" t="str">
        <f>IF(OR(itens_Remanesc!A160="",NOT(ISNUMBER(parametros!$F$2))),"",ROUND(itens_Remanesc!C160*parametros!$F$2,2))</f>
        <v/>
      </c>
      <c r="C161" s="143" t="str">
        <f>IF(posicao_contratual!A160="","",posicao_contratual!G160)</f>
        <v/>
      </c>
      <c r="D161" s="142" t="str">
        <f>IF(A161="TOTAL",ROUND(SUM($D$3:D160),2),IF(A161="","",ROUND(B161*C161,2)))</f>
        <v/>
      </c>
      <c r="E161" s="144" t="str">
        <f>IF(OR(itens_Remanesc!A160="",NOT(ISNUMBER(parametros!$F$3))),"",ROUND(itens_Remanesc!C160*parametros!$F$3,2))</f>
        <v/>
      </c>
      <c r="F161" s="145" t="str">
        <f>IF(posicao_contratual!A160="","",posicao_contratual!K160)</f>
        <v/>
      </c>
      <c r="G161" s="144" t="str">
        <f>IF(A161="TOTAL",ROUND(SUM($G$3:G160),2),IF(OR(A161="",E161="",F161=""),"",ROUND(E161*F161,2)))</f>
        <v/>
      </c>
      <c r="H161" s="142" t="str">
        <f>IF(OR(itens_Remanesc!A160="",NOT(ISNUMBER(parametros!$F$4))),"",ROUND(itens_Remanesc!C160*parametros!$F$4,2))</f>
        <v/>
      </c>
      <c r="I161" s="143" t="str">
        <f>IF(posicao_contratual!A160="","",posicao_contratual!O160)</f>
        <v/>
      </c>
      <c r="J161" s="142" t="str">
        <f>IF(A161="TOTAL",ROUND(SUM($J$3:J160),2),IF(OR(A161="",H161="",I161=""),"",ROUND(H161*I161,2)))</f>
        <v/>
      </c>
      <c r="K161" s="144" t="str">
        <f>IF(OR(itens_Remanesc!A160="",NOT(ISNUMBER(parametros!$F$5))),"",ROUND(itens_Remanesc!C160*parametros!$F$5,2))</f>
        <v/>
      </c>
      <c r="L161" s="145" t="str">
        <f>IF(posicao_contratual!A160="","",posicao_contratual!S160)</f>
        <v/>
      </c>
      <c r="M161" s="144" t="str">
        <f>IF(A161="TOTAL",ROUND(SUM($M$3:M160),2),IF(OR(A161="",K161="",L161=""),"",ROUND(K161*L161,2)))</f>
        <v/>
      </c>
      <c r="N161" s="142" t="str">
        <f>IF(OR(itens_Remanesc!A160="",NOT(ISNUMBER(parametros!$F$6))),"",ROUND(itens_Remanesc!C160*parametros!$F$6,2))</f>
        <v/>
      </c>
      <c r="O161" s="143" t="str">
        <f>IF(posicao_contratual!A160="","",posicao_contratual!W160)</f>
        <v/>
      </c>
      <c r="P161" s="142" t="str">
        <f>IF(A161="TOTAL",ROUND(SUM($P$3:P160),2),IF(OR(A161="",N161="",O161=""),"",ROUND(N161*O161,2)))</f>
        <v/>
      </c>
    </row>
    <row r="162" spans="1:16" x14ac:dyDescent="0.35">
      <c r="A162" s="141" t="str">
        <f>IF(AND(itens_Remanesc!A161="",itens_Remanesc!A160&lt;&gt;"",COUNTIF(itens_Remanesc!A162:$A$200,"&lt;&gt;")=0),"TOTAL",IF(itens_Remanesc!A161="","",itens_Remanesc!A161))</f>
        <v/>
      </c>
      <c r="B162" s="142" t="str">
        <f>IF(OR(itens_Remanesc!A161="",NOT(ISNUMBER(parametros!$F$2))),"",ROUND(itens_Remanesc!C161*parametros!$F$2,2))</f>
        <v/>
      </c>
      <c r="C162" s="143" t="str">
        <f>IF(posicao_contratual!A161="","",posicao_contratual!G161)</f>
        <v/>
      </c>
      <c r="D162" s="142" t="str">
        <f>IF(A162="TOTAL",ROUND(SUM($D$3:D161),2),IF(A162="","",ROUND(B162*C162,2)))</f>
        <v/>
      </c>
      <c r="E162" s="144" t="str">
        <f>IF(OR(itens_Remanesc!A161="",NOT(ISNUMBER(parametros!$F$3))),"",ROUND(itens_Remanesc!C161*parametros!$F$3,2))</f>
        <v/>
      </c>
      <c r="F162" s="145" t="str">
        <f>IF(posicao_contratual!A161="","",posicao_contratual!K161)</f>
        <v/>
      </c>
      <c r="G162" s="144" t="str">
        <f>IF(A162="TOTAL",ROUND(SUM($G$3:G161),2),IF(OR(A162="",E162="",F162=""),"",ROUND(E162*F162,2)))</f>
        <v/>
      </c>
      <c r="H162" s="142" t="str">
        <f>IF(OR(itens_Remanesc!A161="",NOT(ISNUMBER(parametros!$F$4))),"",ROUND(itens_Remanesc!C161*parametros!$F$4,2))</f>
        <v/>
      </c>
      <c r="I162" s="143" t="str">
        <f>IF(posicao_contratual!A161="","",posicao_contratual!O161)</f>
        <v/>
      </c>
      <c r="J162" s="142" t="str">
        <f>IF(A162="TOTAL",ROUND(SUM($J$3:J161),2),IF(OR(A162="",H162="",I162=""),"",ROUND(H162*I162,2)))</f>
        <v/>
      </c>
      <c r="K162" s="144" t="str">
        <f>IF(OR(itens_Remanesc!A161="",NOT(ISNUMBER(parametros!$F$5))),"",ROUND(itens_Remanesc!C161*parametros!$F$5,2))</f>
        <v/>
      </c>
      <c r="L162" s="145" t="str">
        <f>IF(posicao_contratual!A161="","",posicao_contratual!S161)</f>
        <v/>
      </c>
      <c r="M162" s="144" t="str">
        <f>IF(A162="TOTAL",ROUND(SUM($M$3:M161),2),IF(OR(A162="",K162="",L162=""),"",ROUND(K162*L162,2)))</f>
        <v/>
      </c>
      <c r="N162" s="142" t="str">
        <f>IF(OR(itens_Remanesc!A161="",NOT(ISNUMBER(parametros!$F$6))),"",ROUND(itens_Remanesc!C161*parametros!$F$6,2))</f>
        <v/>
      </c>
      <c r="O162" s="143" t="str">
        <f>IF(posicao_contratual!A161="","",posicao_contratual!W161)</f>
        <v/>
      </c>
      <c r="P162" s="142" t="str">
        <f>IF(A162="TOTAL",ROUND(SUM($P$3:P161),2),IF(OR(A162="",N162="",O162=""),"",ROUND(N162*O162,2)))</f>
        <v/>
      </c>
    </row>
    <row r="163" spans="1:16" x14ac:dyDescent="0.35">
      <c r="A163" s="141" t="str">
        <f>IF(AND(itens_Remanesc!A162="",itens_Remanesc!A161&lt;&gt;"",COUNTIF(itens_Remanesc!A163:$A$200,"&lt;&gt;")=0),"TOTAL",IF(itens_Remanesc!A162="","",itens_Remanesc!A162))</f>
        <v/>
      </c>
      <c r="B163" s="142" t="str">
        <f>IF(OR(itens_Remanesc!A162="",NOT(ISNUMBER(parametros!$F$2))),"",ROUND(itens_Remanesc!C162*parametros!$F$2,2))</f>
        <v/>
      </c>
      <c r="C163" s="143" t="str">
        <f>IF(posicao_contratual!A162="","",posicao_contratual!G162)</f>
        <v/>
      </c>
      <c r="D163" s="142" t="str">
        <f>IF(A163="TOTAL",ROUND(SUM($D$3:D162),2),IF(A163="","",ROUND(B163*C163,2)))</f>
        <v/>
      </c>
      <c r="E163" s="144" t="str">
        <f>IF(OR(itens_Remanesc!A162="",NOT(ISNUMBER(parametros!$F$3))),"",ROUND(itens_Remanesc!C162*parametros!$F$3,2))</f>
        <v/>
      </c>
      <c r="F163" s="145" t="str">
        <f>IF(posicao_contratual!A162="","",posicao_contratual!K162)</f>
        <v/>
      </c>
      <c r="G163" s="144" t="str">
        <f>IF(A163="TOTAL",ROUND(SUM($G$3:G162),2),IF(OR(A163="",E163="",F163=""),"",ROUND(E163*F163,2)))</f>
        <v/>
      </c>
      <c r="H163" s="142" t="str">
        <f>IF(OR(itens_Remanesc!A162="",NOT(ISNUMBER(parametros!$F$4))),"",ROUND(itens_Remanesc!C162*parametros!$F$4,2))</f>
        <v/>
      </c>
      <c r="I163" s="143" t="str">
        <f>IF(posicao_contratual!A162="","",posicao_contratual!O162)</f>
        <v/>
      </c>
      <c r="J163" s="142" t="str">
        <f>IF(A163="TOTAL",ROUND(SUM($J$3:J162),2),IF(OR(A163="",H163="",I163=""),"",ROUND(H163*I163,2)))</f>
        <v/>
      </c>
      <c r="K163" s="144" t="str">
        <f>IF(OR(itens_Remanesc!A162="",NOT(ISNUMBER(parametros!$F$5))),"",ROUND(itens_Remanesc!C162*parametros!$F$5,2))</f>
        <v/>
      </c>
      <c r="L163" s="145" t="str">
        <f>IF(posicao_contratual!A162="","",posicao_contratual!S162)</f>
        <v/>
      </c>
      <c r="M163" s="144" t="str">
        <f>IF(A163="TOTAL",ROUND(SUM($M$3:M162),2),IF(OR(A163="",K163="",L163=""),"",ROUND(K163*L163,2)))</f>
        <v/>
      </c>
      <c r="N163" s="142" t="str">
        <f>IF(OR(itens_Remanesc!A162="",NOT(ISNUMBER(parametros!$F$6))),"",ROUND(itens_Remanesc!C162*parametros!$F$6,2))</f>
        <v/>
      </c>
      <c r="O163" s="143" t="str">
        <f>IF(posicao_contratual!A162="","",posicao_contratual!W162)</f>
        <v/>
      </c>
      <c r="P163" s="142" t="str">
        <f>IF(A163="TOTAL",ROUND(SUM($P$3:P162),2),IF(OR(A163="",N163="",O163=""),"",ROUND(N163*O163,2)))</f>
        <v/>
      </c>
    </row>
    <row r="164" spans="1:16" x14ac:dyDescent="0.35">
      <c r="A164" s="141" t="str">
        <f>IF(AND(itens_Remanesc!A163="",itens_Remanesc!A162&lt;&gt;"",COUNTIF(itens_Remanesc!A164:$A$200,"&lt;&gt;")=0),"TOTAL",IF(itens_Remanesc!A163="","",itens_Remanesc!A163))</f>
        <v/>
      </c>
      <c r="B164" s="142" t="str">
        <f>IF(OR(itens_Remanesc!A163="",NOT(ISNUMBER(parametros!$F$2))),"",ROUND(itens_Remanesc!C163*parametros!$F$2,2))</f>
        <v/>
      </c>
      <c r="C164" s="143" t="str">
        <f>IF(posicao_contratual!A163="","",posicao_contratual!G163)</f>
        <v/>
      </c>
      <c r="D164" s="142" t="str">
        <f>IF(A164="TOTAL",ROUND(SUM($D$3:D163),2),IF(A164="","",ROUND(B164*C164,2)))</f>
        <v/>
      </c>
      <c r="E164" s="144" t="str">
        <f>IF(OR(itens_Remanesc!A163="",NOT(ISNUMBER(parametros!$F$3))),"",ROUND(itens_Remanesc!C163*parametros!$F$3,2))</f>
        <v/>
      </c>
      <c r="F164" s="145" t="str">
        <f>IF(posicao_contratual!A163="","",posicao_contratual!K163)</f>
        <v/>
      </c>
      <c r="G164" s="144" t="str">
        <f>IF(A164="TOTAL",ROUND(SUM($G$3:G163),2),IF(OR(A164="",E164="",F164=""),"",ROUND(E164*F164,2)))</f>
        <v/>
      </c>
      <c r="H164" s="142" t="str">
        <f>IF(OR(itens_Remanesc!A163="",NOT(ISNUMBER(parametros!$F$4))),"",ROUND(itens_Remanesc!C163*parametros!$F$4,2))</f>
        <v/>
      </c>
      <c r="I164" s="143" t="str">
        <f>IF(posicao_contratual!A163="","",posicao_contratual!O163)</f>
        <v/>
      </c>
      <c r="J164" s="142" t="str">
        <f>IF(A164="TOTAL",ROUND(SUM($J$3:J163),2),IF(OR(A164="",H164="",I164=""),"",ROUND(H164*I164,2)))</f>
        <v/>
      </c>
      <c r="K164" s="144" t="str">
        <f>IF(OR(itens_Remanesc!A163="",NOT(ISNUMBER(parametros!$F$5))),"",ROUND(itens_Remanesc!C163*parametros!$F$5,2))</f>
        <v/>
      </c>
      <c r="L164" s="145" t="str">
        <f>IF(posicao_contratual!A163="","",posicao_contratual!S163)</f>
        <v/>
      </c>
      <c r="M164" s="144" t="str">
        <f>IF(A164="TOTAL",ROUND(SUM($M$3:M163),2),IF(OR(A164="",K164="",L164=""),"",ROUND(K164*L164,2)))</f>
        <v/>
      </c>
      <c r="N164" s="142" t="str">
        <f>IF(OR(itens_Remanesc!A163="",NOT(ISNUMBER(parametros!$F$6))),"",ROUND(itens_Remanesc!C163*parametros!$F$6,2))</f>
        <v/>
      </c>
      <c r="O164" s="143" t="str">
        <f>IF(posicao_contratual!A163="","",posicao_contratual!W163)</f>
        <v/>
      </c>
      <c r="P164" s="142" t="str">
        <f>IF(A164="TOTAL",ROUND(SUM($P$3:P163),2),IF(OR(A164="",N164="",O164=""),"",ROUND(N164*O164,2)))</f>
        <v/>
      </c>
    </row>
    <row r="165" spans="1:16" x14ac:dyDescent="0.35">
      <c r="A165" s="141" t="str">
        <f>IF(AND(itens_Remanesc!A164="",itens_Remanesc!A163&lt;&gt;"",COUNTIF(itens_Remanesc!A165:$A$200,"&lt;&gt;")=0),"TOTAL",IF(itens_Remanesc!A164="","",itens_Remanesc!A164))</f>
        <v/>
      </c>
      <c r="B165" s="142" t="str">
        <f>IF(OR(itens_Remanesc!A164="",NOT(ISNUMBER(parametros!$F$2))),"",ROUND(itens_Remanesc!C164*parametros!$F$2,2))</f>
        <v/>
      </c>
      <c r="C165" s="143" t="str">
        <f>IF(posicao_contratual!A164="","",posicao_contratual!G164)</f>
        <v/>
      </c>
      <c r="D165" s="142" t="str">
        <f>IF(A165="TOTAL",ROUND(SUM($D$3:D164),2),IF(A165="","",ROUND(B165*C165,2)))</f>
        <v/>
      </c>
      <c r="E165" s="144" t="str">
        <f>IF(OR(itens_Remanesc!A164="",NOT(ISNUMBER(parametros!$F$3))),"",ROUND(itens_Remanesc!C164*parametros!$F$3,2))</f>
        <v/>
      </c>
      <c r="F165" s="145" t="str">
        <f>IF(posicao_contratual!A164="","",posicao_contratual!K164)</f>
        <v/>
      </c>
      <c r="G165" s="144" t="str">
        <f>IF(A165="TOTAL",ROUND(SUM($G$3:G164),2),IF(OR(A165="",E165="",F165=""),"",ROUND(E165*F165,2)))</f>
        <v/>
      </c>
      <c r="H165" s="142" t="str">
        <f>IF(OR(itens_Remanesc!A164="",NOT(ISNUMBER(parametros!$F$4))),"",ROUND(itens_Remanesc!C164*parametros!$F$4,2))</f>
        <v/>
      </c>
      <c r="I165" s="143" t="str">
        <f>IF(posicao_contratual!A164="","",posicao_contratual!O164)</f>
        <v/>
      </c>
      <c r="J165" s="142" t="str">
        <f>IF(A165="TOTAL",ROUND(SUM($J$3:J164),2),IF(OR(A165="",H165="",I165=""),"",ROUND(H165*I165,2)))</f>
        <v/>
      </c>
      <c r="K165" s="144" t="str">
        <f>IF(OR(itens_Remanesc!A164="",NOT(ISNUMBER(parametros!$F$5))),"",ROUND(itens_Remanesc!C164*parametros!$F$5,2))</f>
        <v/>
      </c>
      <c r="L165" s="145" t="str">
        <f>IF(posicao_contratual!A164="","",posicao_contratual!S164)</f>
        <v/>
      </c>
      <c r="M165" s="144" t="str">
        <f>IF(A165="TOTAL",ROUND(SUM($M$3:M164),2),IF(OR(A165="",K165="",L165=""),"",ROUND(K165*L165,2)))</f>
        <v/>
      </c>
      <c r="N165" s="142" t="str">
        <f>IF(OR(itens_Remanesc!A164="",NOT(ISNUMBER(parametros!$F$6))),"",ROUND(itens_Remanesc!C164*parametros!$F$6,2))</f>
        <v/>
      </c>
      <c r="O165" s="143" t="str">
        <f>IF(posicao_contratual!A164="","",posicao_contratual!W164)</f>
        <v/>
      </c>
      <c r="P165" s="142" t="str">
        <f>IF(A165="TOTAL",ROUND(SUM($P$3:P164),2),IF(OR(A165="",N165="",O165=""),"",ROUND(N165*O165,2)))</f>
        <v/>
      </c>
    </row>
    <row r="166" spans="1:16" x14ac:dyDescent="0.35">
      <c r="A166" s="141" t="str">
        <f>IF(AND(itens_Remanesc!A165="",itens_Remanesc!A164&lt;&gt;"",COUNTIF(itens_Remanesc!A166:$A$200,"&lt;&gt;")=0),"TOTAL",IF(itens_Remanesc!A165="","",itens_Remanesc!A165))</f>
        <v/>
      </c>
      <c r="B166" s="142" t="str">
        <f>IF(OR(itens_Remanesc!A165="",NOT(ISNUMBER(parametros!$F$2))),"",ROUND(itens_Remanesc!C165*parametros!$F$2,2))</f>
        <v/>
      </c>
      <c r="C166" s="143" t="str">
        <f>IF(posicao_contratual!A165="","",posicao_contratual!G165)</f>
        <v/>
      </c>
      <c r="D166" s="142" t="str">
        <f>IF(A166="TOTAL",ROUND(SUM($D$3:D165),2),IF(A166="","",ROUND(B166*C166,2)))</f>
        <v/>
      </c>
      <c r="E166" s="144" t="str">
        <f>IF(OR(itens_Remanesc!A165="",NOT(ISNUMBER(parametros!$F$3))),"",ROUND(itens_Remanesc!C165*parametros!$F$3,2))</f>
        <v/>
      </c>
      <c r="F166" s="145" t="str">
        <f>IF(posicao_contratual!A165="","",posicao_contratual!K165)</f>
        <v/>
      </c>
      <c r="G166" s="144" t="str">
        <f>IF(A166="TOTAL",ROUND(SUM($G$3:G165),2),IF(OR(A166="",E166="",F166=""),"",ROUND(E166*F166,2)))</f>
        <v/>
      </c>
      <c r="H166" s="142" t="str">
        <f>IF(OR(itens_Remanesc!A165="",NOT(ISNUMBER(parametros!$F$4))),"",ROUND(itens_Remanesc!C165*parametros!$F$4,2))</f>
        <v/>
      </c>
      <c r="I166" s="143" t="str">
        <f>IF(posicao_contratual!A165="","",posicao_contratual!O165)</f>
        <v/>
      </c>
      <c r="J166" s="142" t="str">
        <f>IF(A166="TOTAL",ROUND(SUM($J$3:J165),2),IF(OR(A166="",H166="",I166=""),"",ROUND(H166*I166,2)))</f>
        <v/>
      </c>
      <c r="K166" s="144" t="str">
        <f>IF(OR(itens_Remanesc!A165="",NOT(ISNUMBER(parametros!$F$5))),"",ROUND(itens_Remanesc!C165*parametros!$F$5,2))</f>
        <v/>
      </c>
      <c r="L166" s="145" t="str">
        <f>IF(posicao_contratual!A165="","",posicao_contratual!S165)</f>
        <v/>
      </c>
      <c r="M166" s="144" t="str">
        <f>IF(A166="TOTAL",ROUND(SUM($M$3:M165),2),IF(OR(A166="",K166="",L166=""),"",ROUND(K166*L166,2)))</f>
        <v/>
      </c>
      <c r="N166" s="142" t="str">
        <f>IF(OR(itens_Remanesc!A165="",NOT(ISNUMBER(parametros!$F$6))),"",ROUND(itens_Remanesc!C165*parametros!$F$6,2))</f>
        <v/>
      </c>
      <c r="O166" s="143" t="str">
        <f>IF(posicao_contratual!A165="","",posicao_contratual!W165)</f>
        <v/>
      </c>
      <c r="P166" s="142" t="str">
        <f>IF(A166="TOTAL",ROUND(SUM($P$3:P165),2),IF(OR(A166="",N166="",O166=""),"",ROUND(N166*O166,2)))</f>
        <v/>
      </c>
    </row>
    <row r="167" spans="1:16" x14ac:dyDescent="0.35">
      <c r="A167" s="141" t="str">
        <f>IF(AND(itens_Remanesc!A166="",itens_Remanesc!A165&lt;&gt;"",COUNTIF(itens_Remanesc!A167:$A$200,"&lt;&gt;")=0),"TOTAL",IF(itens_Remanesc!A166="","",itens_Remanesc!A166))</f>
        <v/>
      </c>
      <c r="B167" s="142" t="str">
        <f>IF(OR(itens_Remanesc!A166="",NOT(ISNUMBER(parametros!$F$2))),"",ROUND(itens_Remanesc!C166*parametros!$F$2,2))</f>
        <v/>
      </c>
      <c r="C167" s="143" t="str">
        <f>IF(posicao_contratual!A166="","",posicao_contratual!G166)</f>
        <v/>
      </c>
      <c r="D167" s="142" t="str">
        <f>IF(A167="TOTAL",ROUND(SUM($D$3:D166),2),IF(A167="","",ROUND(B167*C167,2)))</f>
        <v/>
      </c>
      <c r="E167" s="144" t="str">
        <f>IF(OR(itens_Remanesc!A166="",NOT(ISNUMBER(parametros!$F$3))),"",ROUND(itens_Remanesc!C166*parametros!$F$3,2))</f>
        <v/>
      </c>
      <c r="F167" s="145" t="str">
        <f>IF(posicao_contratual!A166="","",posicao_contratual!K166)</f>
        <v/>
      </c>
      <c r="G167" s="144" t="str">
        <f>IF(A167="TOTAL",ROUND(SUM($G$3:G166),2),IF(OR(A167="",E167="",F167=""),"",ROUND(E167*F167,2)))</f>
        <v/>
      </c>
      <c r="H167" s="142" t="str">
        <f>IF(OR(itens_Remanesc!A166="",NOT(ISNUMBER(parametros!$F$4))),"",ROUND(itens_Remanesc!C166*parametros!$F$4,2))</f>
        <v/>
      </c>
      <c r="I167" s="143" t="str">
        <f>IF(posicao_contratual!A166="","",posicao_contratual!O166)</f>
        <v/>
      </c>
      <c r="J167" s="142" t="str">
        <f>IF(A167="TOTAL",ROUND(SUM($J$3:J166),2),IF(OR(A167="",H167="",I167=""),"",ROUND(H167*I167,2)))</f>
        <v/>
      </c>
      <c r="K167" s="144" t="str">
        <f>IF(OR(itens_Remanesc!A166="",NOT(ISNUMBER(parametros!$F$5))),"",ROUND(itens_Remanesc!C166*parametros!$F$5,2))</f>
        <v/>
      </c>
      <c r="L167" s="145" t="str">
        <f>IF(posicao_contratual!A166="","",posicao_contratual!S166)</f>
        <v/>
      </c>
      <c r="M167" s="144" t="str">
        <f>IF(A167="TOTAL",ROUND(SUM($M$3:M166),2),IF(OR(A167="",K167="",L167=""),"",ROUND(K167*L167,2)))</f>
        <v/>
      </c>
      <c r="N167" s="142" t="str">
        <f>IF(OR(itens_Remanesc!A166="",NOT(ISNUMBER(parametros!$F$6))),"",ROUND(itens_Remanesc!C166*parametros!$F$6,2))</f>
        <v/>
      </c>
      <c r="O167" s="143" t="str">
        <f>IF(posicao_contratual!A166="","",posicao_contratual!W166)</f>
        <v/>
      </c>
      <c r="P167" s="142" t="str">
        <f>IF(A167="TOTAL",ROUND(SUM($P$3:P166),2),IF(OR(A167="",N167="",O167=""),"",ROUND(N167*O167,2)))</f>
        <v/>
      </c>
    </row>
    <row r="168" spans="1:16" x14ac:dyDescent="0.35">
      <c r="A168" s="141" t="str">
        <f>IF(AND(itens_Remanesc!A167="",itens_Remanesc!A166&lt;&gt;"",COUNTIF(itens_Remanesc!A168:$A$200,"&lt;&gt;")=0),"TOTAL",IF(itens_Remanesc!A167="","",itens_Remanesc!A167))</f>
        <v/>
      </c>
      <c r="B168" s="142" t="str">
        <f>IF(OR(itens_Remanesc!A167="",NOT(ISNUMBER(parametros!$F$2))),"",ROUND(itens_Remanesc!C167*parametros!$F$2,2))</f>
        <v/>
      </c>
      <c r="C168" s="143" t="str">
        <f>IF(posicao_contratual!A167="","",posicao_contratual!G167)</f>
        <v/>
      </c>
      <c r="D168" s="142" t="str">
        <f>IF(A168="TOTAL",ROUND(SUM($D$3:D167),2),IF(A168="","",ROUND(B168*C168,2)))</f>
        <v/>
      </c>
      <c r="E168" s="144" t="str">
        <f>IF(OR(itens_Remanesc!A167="",NOT(ISNUMBER(parametros!$F$3))),"",ROUND(itens_Remanesc!C167*parametros!$F$3,2))</f>
        <v/>
      </c>
      <c r="F168" s="145" t="str">
        <f>IF(posicao_contratual!A167="","",posicao_contratual!K167)</f>
        <v/>
      </c>
      <c r="G168" s="144" t="str">
        <f>IF(A168="TOTAL",ROUND(SUM($G$3:G167),2),IF(OR(A168="",E168="",F168=""),"",ROUND(E168*F168,2)))</f>
        <v/>
      </c>
      <c r="H168" s="142" t="str">
        <f>IF(OR(itens_Remanesc!A167="",NOT(ISNUMBER(parametros!$F$4))),"",ROUND(itens_Remanesc!C167*parametros!$F$4,2))</f>
        <v/>
      </c>
      <c r="I168" s="143" t="str">
        <f>IF(posicao_contratual!A167="","",posicao_contratual!O167)</f>
        <v/>
      </c>
      <c r="J168" s="142" t="str">
        <f>IF(A168="TOTAL",ROUND(SUM($J$3:J167),2),IF(OR(A168="",H168="",I168=""),"",ROUND(H168*I168,2)))</f>
        <v/>
      </c>
      <c r="K168" s="144" t="str">
        <f>IF(OR(itens_Remanesc!A167="",NOT(ISNUMBER(parametros!$F$5))),"",ROUND(itens_Remanesc!C167*parametros!$F$5,2))</f>
        <v/>
      </c>
      <c r="L168" s="145" t="str">
        <f>IF(posicao_contratual!A167="","",posicao_contratual!S167)</f>
        <v/>
      </c>
      <c r="M168" s="144" t="str">
        <f>IF(A168="TOTAL",ROUND(SUM($M$3:M167),2),IF(OR(A168="",K168="",L168=""),"",ROUND(K168*L168,2)))</f>
        <v/>
      </c>
      <c r="N168" s="142" t="str">
        <f>IF(OR(itens_Remanesc!A167="",NOT(ISNUMBER(parametros!$F$6))),"",ROUND(itens_Remanesc!C167*parametros!$F$6,2))</f>
        <v/>
      </c>
      <c r="O168" s="143" t="str">
        <f>IF(posicao_contratual!A167="","",posicao_contratual!W167)</f>
        <v/>
      </c>
      <c r="P168" s="142" t="str">
        <f>IF(A168="TOTAL",ROUND(SUM($P$3:P167),2),IF(OR(A168="",N168="",O168=""),"",ROUND(N168*O168,2)))</f>
        <v/>
      </c>
    </row>
    <row r="169" spans="1:16" x14ac:dyDescent="0.35">
      <c r="A169" s="141" t="str">
        <f>IF(AND(itens_Remanesc!A168="",itens_Remanesc!A167&lt;&gt;"",COUNTIF(itens_Remanesc!A169:$A$200,"&lt;&gt;")=0),"TOTAL",IF(itens_Remanesc!A168="","",itens_Remanesc!A168))</f>
        <v/>
      </c>
      <c r="B169" s="142" t="str">
        <f>IF(OR(itens_Remanesc!A168="",NOT(ISNUMBER(parametros!$F$2))),"",ROUND(itens_Remanesc!C168*parametros!$F$2,2))</f>
        <v/>
      </c>
      <c r="C169" s="143" t="str">
        <f>IF(posicao_contratual!A168="","",posicao_contratual!G168)</f>
        <v/>
      </c>
      <c r="D169" s="142" t="str">
        <f>IF(A169="TOTAL",ROUND(SUM($D$3:D168),2),IF(A169="","",ROUND(B169*C169,2)))</f>
        <v/>
      </c>
      <c r="E169" s="144" t="str">
        <f>IF(OR(itens_Remanesc!A168="",NOT(ISNUMBER(parametros!$F$3))),"",ROUND(itens_Remanesc!C168*parametros!$F$3,2))</f>
        <v/>
      </c>
      <c r="F169" s="145" t="str">
        <f>IF(posicao_contratual!A168="","",posicao_contratual!K168)</f>
        <v/>
      </c>
      <c r="G169" s="144" t="str">
        <f>IF(A169="TOTAL",ROUND(SUM($G$3:G168),2),IF(OR(A169="",E169="",F169=""),"",ROUND(E169*F169,2)))</f>
        <v/>
      </c>
      <c r="H169" s="142" t="str">
        <f>IF(OR(itens_Remanesc!A168="",NOT(ISNUMBER(parametros!$F$4))),"",ROUND(itens_Remanesc!C168*parametros!$F$4,2))</f>
        <v/>
      </c>
      <c r="I169" s="143" t="str">
        <f>IF(posicao_contratual!A168="","",posicao_contratual!O168)</f>
        <v/>
      </c>
      <c r="J169" s="142" t="str">
        <f>IF(A169="TOTAL",ROUND(SUM($J$3:J168),2),IF(OR(A169="",H169="",I169=""),"",ROUND(H169*I169,2)))</f>
        <v/>
      </c>
      <c r="K169" s="144" t="str">
        <f>IF(OR(itens_Remanesc!A168="",NOT(ISNUMBER(parametros!$F$5))),"",ROUND(itens_Remanesc!C168*parametros!$F$5,2))</f>
        <v/>
      </c>
      <c r="L169" s="145" t="str">
        <f>IF(posicao_contratual!A168="","",posicao_contratual!S168)</f>
        <v/>
      </c>
      <c r="M169" s="144" t="str">
        <f>IF(A169="TOTAL",ROUND(SUM($M$3:M168),2),IF(OR(A169="",K169="",L169=""),"",ROUND(K169*L169,2)))</f>
        <v/>
      </c>
      <c r="N169" s="142" t="str">
        <f>IF(OR(itens_Remanesc!A168="",NOT(ISNUMBER(parametros!$F$6))),"",ROUND(itens_Remanesc!C168*parametros!$F$6,2))</f>
        <v/>
      </c>
      <c r="O169" s="143" t="str">
        <f>IF(posicao_contratual!A168="","",posicao_contratual!W168)</f>
        <v/>
      </c>
      <c r="P169" s="142" t="str">
        <f>IF(A169="TOTAL",ROUND(SUM($P$3:P168),2),IF(OR(A169="",N169="",O169=""),"",ROUND(N169*O169,2)))</f>
        <v/>
      </c>
    </row>
    <row r="170" spans="1:16" x14ac:dyDescent="0.35">
      <c r="A170" s="141" t="str">
        <f>IF(AND(itens_Remanesc!A169="",itens_Remanesc!A168&lt;&gt;"",COUNTIF(itens_Remanesc!A170:$A$200,"&lt;&gt;")=0),"TOTAL",IF(itens_Remanesc!A169="","",itens_Remanesc!A169))</f>
        <v/>
      </c>
      <c r="B170" s="142" t="str">
        <f>IF(OR(itens_Remanesc!A169="",NOT(ISNUMBER(parametros!$F$2))),"",ROUND(itens_Remanesc!C169*parametros!$F$2,2))</f>
        <v/>
      </c>
      <c r="C170" s="143" t="str">
        <f>IF(posicao_contratual!A169="","",posicao_contratual!G169)</f>
        <v/>
      </c>
      <c r="D170" s="142" t="str">
        <f>IF(A170="TOTAL",ROUND(SUM($D$3:D169),2),IF(A170="","",ROUND(B170*C170,2)))</f>
        <v/>
      </c>
      <c r="E170" s="144" t="str">
        <f>IF(OR(itens_Remanesc!A169="",NOT(ISNUMBER(parametros!$F$3))),"",ROUND(itens_Remanesc!C169*parametros!$F$3,2))</f>
        <v/>
      </c>
      <c r="F170" s="145" t="str">
        <f>IF(posicao_contratual!A169="","",posicao_contratual!K169)</f>
        <v/>
      </c>
      <c r="G170" s="144" t="str">
        <f>IF(A170="TOTAL",ROUND(SUM($G$3:G169),2),IF(OR(A170="",E170="",F170=""),"",ROUND(E170*F170,2)))</f>
        <v/>
      </c>
      <c r="H170" s="142" t="str">
        <f>IF(OR(itens_Remanesc!A169="",NOT(ISNUMBER(parametros!$F$4))),"",ROUND(itens_Remanesc!C169*parametros!$F$4,2))</f>
        <v/>
      </c>
      <c r="I170" s="143" t="str">
        <f>IF(posicao_contratual!A169="","",posicao_contratual!O169)</f>
        <v/>
      </c>
      <c r="J170" s="142" t="str">
        <f>IF(A170="TOTAL",ROUND(SUM($J$3:J169),2),IF(OR(A170="",H170="",I170=""),"",ROUND(H170*I170,2)))</f>
        <v/>
      </c>
      <c r="K170" s="144" t="str">
        <f>IF(OR(itens_Remanesc!A169="",NOT(ISNUMBER(parametros!$F$5))),"",ROUND(itens_Remanesc!C169*parametros!$F$5,2))</f>
        <v/>
      </c>
      <c r="L170" s="145" t="str">
        <f>IF(posicao_contratual!A169="","",posicao_contratual!S169)</f>
        <v/>
      </c>
      <c r="M170" s="144" t="str">
        <f>IF(A170="TOTAL",ROUND(SUM($M$3:M169),2),IF(OR(A170="",K170="",L170=""),"",ROUND(K170*L170,2)))</f>
        <v/>
      </c>
      <c r="N170" s="142" t="str">
        <f>IF(OR(itens_Remanesc!A169="",NOT(ISNUMBER(parametros!$F$6))),"",ROUND(itens_Remanesc!C169*parametros!$F$6,2))</f>
        <v/>
      </c>
      <c r="O170" s="143" t="str">
        <f>IF(posicao_contratual!A169="","",posicao_contratual!W169)</f>
        <v/>
      </c>
      <c r="P170" s="142" t="str">
        <f>IF(A170="TOTAL",ROUND(SUM($P$3:P169),2),IF(OR(A170="",N170="",O170=""),"",ROUND(N170*O170,2)))</f>
        <v/>
      </c>
    </row>
    <row r="171" spans="1:16" x14ac:dyDescent="0.35">
      <c r="A171" s="141" t="str">
        <f>IF(AND(itens_Remanesc!A170="",itens_Remanesc!A169&lt;&gt;"",COUNTIF(itens_Remanesc!A171:$A$200,"&lt;&gt;")=0),"TOTAL",IF(itens_Remanesc!A170="","",itens_Remanesc!A170))</f>
        <v/>
      </c>
      <c r="B171" s="142" t="str">
        <f>IF(OR(itens_Remanesc!A170="",NOT(ISNUMBER(parametros!$F$2))),"",ROUND(itens_Remanesc!C170*parametros!$F$2,2))</f>
        <v/>
      </c>
      <c r="C171" s="143" t="str">
        <f>IF(posicao_contratual!A170="","",posicao_contratual!G170)</f>
        <v/>
      </c>
      <c r="D171" s="142" t="str">
        <f>IF(A171="TOTAL",ROUND(SUM($D$3:D170),2),IF(A171="","",ROUND(B171*C171,2)))</f>
        <v/>
      </c>
      <c r="E171" s="144" t="str">
        <f>IF(OR(itens_Remanesc!A170="",NOT(ISNUMBER(parametros!$F$3))),"",ROUND(itens_Remanesc!C170*parametros!$F$3,2))</f>
        <v/>
      </c>
      <c r="F171" s="145" t="str">
        <f>IF(posicao_contratual!A170="","",posicao_contratual!K170)</f>
        <v/>
      </c>
      <c r="G171" s="144" t="str">
        <f>IF(A171="TOTAL",ROUND(SUM($G$3:G170),2),IF(OR(A171="",E171="",F171=""),"",ROUND(E171*F171,2)))</f>
        <v/>
      </c>
      <c r="H171" s="142" t="str">
        <f>IF(OR(itens_Remanesc!A170="",NOT(ISNUMBER(parametros!$F$4))),"",ROUND(itens_Remanesc!C170*parametros!$F$4,2))</f>
        <v/>
      </c>
      <c r="I171" s="143" t="str">
        <f>IF(posicao_contratual!A170="","",posicao_contratual!O170)</f>
        <v/>
      </c>
      <c r="J171" s="142" t="str">
        <f>IF(A171="TOTAL",ROUND(SUM($J$3:J170),2),IF(OR(A171="",H171="",I171=""),"",ROUND(H171*I171,2)))</f>
        <v/>
      </c>
      <c r="K171" s="144" t="str">
        <f>IF(OR(itens_Remanesc!A170="",NOT(ISNUMBER(parametros!$F$5))),"",ROUND(itens_Remanesc!C170*parametros!$F$5,2))</f>
        <v/>
      </c>
      <c r="L171" s="145" t="str">
        <f>IF(posicao_contratual!A170="","",posicao_contratual!S170)</f>
        <v/>
      </c>
      <c r="M171" s="144" t="str">
        <f>IF(A171="TOTAL",ROUND(SUM($M$3:M170),2),IF(OR(A171="",K171="",L171=""),"",ROUND(K171*L171,2)))</f>
        <v/>
      </c>
      <c r="N171" s="142" t="str">
        <f>IF(OR(itens_Remanesc!A170="",NOT(ISNUMBER(parametros!$F$6))),"",ROUND(itens_Remanesc!C170*parametros!$F$6,2))</f>
        <v/>
      </c>
      <c r="O171" s="143" t="str">
        <f>IF(posicao_contratual!A170="","",posicao_contratual!W170)</f>
        <v/>
      </c>
      <c r="P171" s="142" t="str">
        <f>IF(A171="TOTAL",ROUND(SUM($P$3:P170),2),IF(OR(A171="",N171="",O171=""),"",ROUND(N171*O171,2)))</f>
        <v/>
      </c>
    </row>
    <row r="172" spans="1:16" x14ac:dyDescent="0.35">
      <c r="A172" s="141" t="str">
        <f>IF(AND(itens_Remanesc!A171="",itens_Remanesc!A170&lt;&gt;"",COUNTIF(itens_Remanesc!A172:$A$200,"&lt;&gt;")=0),"TOTAL",IF(itens_Remanesc!A171="","",itens_Remanesc!A171))</f>
        <v/>
      </c>
      <c r="B172" s="142" t="str">
        <f>IF(OR(itens_Remanesc!A171="",NOT(ISNUMBER(parametros!$F$2))),"",ROUND(itens_Remanesc!C171*parametros!$F$2,2))</f>
        <v/>
      </c>
      <c r="C172" s="143" t="str">
        <f>IF(posicao_contratual!A171="","",posicao_contratual!G171)</f>
        <v/>
      </c>
      <c r="D172" s="142" t="str">
        <f>IF(A172="TOTAL",ROUND(SUM($D$3:D171),2),IF(A172="","",ROUND(B172*C172,2)))</f>
        <v/>
      </c>
      <c r="E172" s="144" t="str">
        <f>IF(OR(itens_Remanesc!A171="",NOT(ISNUMBER(parametros!$F$3))),"",ROUND(itens_Remanesc!C171*parametros!$F$3,2))</f>
        <v/>
      </c>
      <c r="F172" s="145" t="str">
        <f>IF(posicao_contratual!A171="","",posicao_contratual!K171)</f>
        <v/>
      </c>
      <c r="G172" s="144" t="str">
        <f>IF(A172="TOTAL",ROUND(SUM($G$3:G171),2),IF(OR(A172="",E172="",F172=""),"",ROUND(E172*F172,2)))</f>
        <v/>
      </c>
      <c r="H172" s="142" t="str">
        <f>IF(OR(itens_Remanesc!A171="",NOT(ISNUMBER(parametros!$F$4))),"",ROUND(itens_Remanesc!C171*parametros!$F$4,2))</f>
        <v/>
      </c>
      <c r="I172" s="143" t="str">
        <f>IF(posicao_contratual!A171="","",posicao_contratual!O171)</f>
        <v/>
      </c>
      <c r="J172" s="142" t="str">
        <f>IF(A172="TOTAL",ROUND(SUM($J$3:J171),2),IF(OR(A172="",H172="",I172=""),"",ROUND(H172*I172,2)))</f>
        <v/>
      </c>
      <c r="K172" s="144" t="str">
        <f>IF(OR(itens_Remanesc!A171="",NOT(ISNUMBER(parametros!$F$5))),"",ROUND(itens_Remanesc!C171*parametros!$F$5,2))</f>
        <v/>
      </c>
      <c r="L172" s="145" t="str">
        <f>IF(posicao_contratual!A171="","",posicao_contratual!S171)</f>
        <v/>
      </c>
      <c r="M172" s="144" t="str">
        <f>IF(A172="TOTAL",ROUND(SUM($M$3:M171),2),IF(OR(A172="",K172="",L172=""),"",ROUND(K172*L172,2)))</f>
        <v/>
      </c>
      <c r="N172" s="142" t="str">
        <f>IF(OR(itens_Remanesc!A171="",NOT(ISNUMBER(parametros!$F$6))),"",ROUND(itens_Remanesc!C171*parametros!$F$6,2))</f>
        <v/>
      </c>
      <c r="O172" s="143" t="str">
        <f>IF(posicao_contratual!A171="","",posicao_contratual!W171)</f>
        <v/>
      </c>
      <c r="P172" s="142" t="str">
        <f>IF(A172="TOTAL",ROUND(SUM($P$3:P171),2),IF(OR(A172="",N172="",O172=""),"",ROUND(N172*O172,2)))</f>
        <v/>
      </c>
    </row>
    <row r="173" spans="1:16" x14ac:dyDescent="0.35">
      <c r="A173" s="141" t="str">
        <f>IF(AND(itens_Remanesc!A172="",itens_Remanesc!A171&lt;&gt;"",COUNTIF(itens_Remanesc!A173:$A$200,"&lt;&gt;")=0),"TOTAL",IF(itens_Remanesc!A172="","",itens_Remanesc!A172))</f>
        <v/>
      </c>
      <c r="B173" s="142" t="str">
        <f>IF(OR(itens_Remanesc!A172="",NOT(ISNUMBER(parametros!$F$2))),"",ROUND(itens_Remanesc!C172*parametros!$F$2,2))</f>
        <v/>
      </c>
      <c r="C173" s="143" t="str">
        <f>IF(posicao_contratual!A172="","",posicao_contratual!G172)</f>
        <v/>
      </c>
      <c r="D173" s="142" t="str">
        <f>IF(A173="TOTAL",ROUND(SUM($D$3:D172),2),IF(A173="","",ROUND(B173*C173,2)))</f>
        <v/>
      </c>
      <c r="E173" s="144" t="str">
        <f>IF(OR(itens_Remanesc!A172="",NOT(ISNUMBER(parametros!$F$3))),"",ROUND(itens_Remanesc!C172*parametros!$F$3,2))</f>
        <v/>
      </c>
      <c r="F173" s="145" t="str">
        <f>IF(posicao_contratual!A172="","",posicao_contratual!K172)</f>
        <v/>
      </c>
      <c r="G173" s="144" t="str">
        <f>IF(A173="TOTAL",ROUND(SUM($G$3:G172),2),IF(OR(A173="",E173="",F173=""),"",ROUND(E173*F173,2)))</f>
        <v/>
      </c>
      <c r="H173" s="142" t="str">
        <f>IF(OR(itens_Remanesc!A172="",NOT(ISNUMBER(parametros!$F$4))),"",ROUND(itens_Remanesc!C172*parametros!$F$4,2))</f>
        <v/>
      </c>
      <c r="I173" s="143" t="str">
        <f>IF(posicao_contratual!A172="","",posicao_contratual!O172)</f>
        <v/>
      </c>
      <c r="J173" s="142" t="str">
        <f>IF(A173="TOTAL",ROUND(SUM($J$3:J172),2),IF(OR(A173="",H173="",I173=""),"",ROUND(H173*I173,2)))</f>
        <v/>
      </c>
      <c r="K173" s="144" t="str">
        <f>IF(OR(itens_Remanesc!A172="",NOT(ISNUMBER(parametros!$F$5))),"",ROUND(itens_Remanesc!C172*parametros!$F$5,2))</f>
        <v/>
      </c>
      <c r="L173" s="145" t="str">
        <f>IF(posicao_contratual!A172="","",posicao_contratual!S172)</f>
        <v/>
      </c>
      <c r="M173" s="144" t="str">
        <f>IF(A173="TOTAL",ROUND(SUM($M$3:M172),2),IF(OR(A173="",K173="",L173=""),"",ROUND(K173*L173,2)))</f>
        <v/>
      </c>
      <c r="N173" s="142" t="str">
        <f>IF(OR(itens_Remanesc!A172="",NOT(ISNUMBER(parametros!$F$6))),"",ROUND(itens_Remanesc!C172*parametros!$F$6,2))</f>
        <v/>
      </c>
      <c r="O173" s="143" t="str">
        <f>IF(posicao_contratual!A172="","",posicao_contratual!W172)</f>
        <v/>
      </c>
      <c r="P173" s="142" t="str">
        <f>IF(A173="TOTAL",ROUND(SUM($P$3:P172),2),IF(OR(A173="",N173="",O173=""),"",ROUND(N173*O173,2)))</f>
        <v/>
      </c>
    </row>
    <row r="174" spans="1:16" x14ac:dyDescent="0.35">
      <c r="A174" s="141" t="str">
        <f>IF(AND(itens_Remanesc!A173="",itens_Remanesc!A172&lt;&gt;"",COUNTIF(itens_Remanesc!A174:$A$200,"&lt;&gt;")=0),"TOTAL",IF(itens_Remanesc!A173="","",itens_Remanesc!A173))</f>
        <v/>
      </c>
      <c r="B174" s="142" t="str">
        <f>IF(OR(itens_Remanesc!A173="",NOT(ISNUMBER(parametros!$F$2))),"",ROUND(itens_Remanesc!C173*parametros!$F$2,2))</f>
        <v/>
      </c>
      <c r="C174" s="143" t="str">
        <f>IF(posicao_contratual!A173="","",posicao_contratual!G173)</f>
        <v/>
      </c>
      <c r="D174" s="142" t="str">
        <f>IF(A174="TOTAL",ROUND(SUM($D$3:D173),2),IF(A174="","",ROUND(B174*C174,2)))</f>
        <v/>
      </c>
      <c r="E174" s="144" t="str">
        <f>IF(OR(itens_Remanesc!A173="",NOT(ISNUMBER(parametros!$F$3))),"",ROUND(itens_Remanesc!C173*parametros!$F$3,2))</f>
        <v/>
      </c>
      <c r="F174" s="145" t="str">
        <f>IF(posicao_contratual!A173="","",posicao_contratual!K173)</f>
        <v/>
      </c>
      <c r="G174" s="144" t="str">
        <f>IF(A174="TOTAL",ROUND(SUM($G$3:G173),2),IF(OR(A174="",E174="",F174=""),"",ROUND(E174*F174,2)))</f>
        <v/>
      </c>
      <c r="H174" s="142" t="str">
        <f>IF(OR(itens_Remanesc!A173="",NOT(ISNUMBER(parametros!$F$4))),"",ROUND(itens_Remanesc!C173*parametros!$F$4,2))</f>
        <v/>
      </c>
      <c r="I174" s="143" t="str">
        <f>IF(posicao_contratual!A173="","",posicao_contratual!O173)</f>
        <v/>
      </c>
      <c r="J174" s="142" t="str">
        <f>IF(A174="TOTAL",ROUND(SUM($J$3:J173),2),IF(OR(A174="",H174="",I174=""),"",ROUND(H174*I174,2)))</f>
        <v/>
      </c>
      <c r="K174" s="144" t="str">
        <f>IF(OR(itens_Remanesc!A173="",NOT(ISNUMBER(parametros!$F$5))),"",ROUND(itens_Remanesc!C173*parametros!$F$5,2))</f>
        <v/>
      </c>
      <c r="L174" s="145" t="str">
        <f>IF(posicao_contratual!A173="","",posicao_contratual!S173)</f>
        <v/>
      </c>
      <c r="M174" s="144" t="str">
        <f>IF(A174="TOTAL",ROUND(SUM($M$3:M173),2),IF(OR(A174="",K174="",L174=""),"",ROUND(K174*L174,2)))</f>
        <v/>
      </c>
      <c r="N174" s="142" t="str">
        <f>IF(OR(itens_Remanesc!A173="",NOT(ISNUMBER(parametros!$F$6))),"",ROUND(itens_Remanesc!C173*parametros!$F$6,2))</f>
        <v/>
      </c>
      <c r="O174" s="143" t="str">
        <f>IF(posicao_contratual!A173="","",posicao_contratual!W173)</f>
        <v/>
      </c>
      <c r="P174" s="142" t="str">
        <f>IF(A174="TOTAL",ROUND(SUM($P$3:P173),2),IF(OR(A174="",N174="",O174=""),"",ROUND(N174*O174,2)))</f>
        <v/>
      </c>
    </row>
    <row r="175" spans="1:16" x14ac:dyDescent="0.35">
      <c r="A175" s="141" t="str">
        <f>IF(AND(itens_Remanesc!A174="",itens_Remanesc!A173&lt;&gt;"",COUNTIF(itens_Remanesc!A175:$A$200,"&lt;&gt;")=0),"TOTAL",IF(itens_Remanesc!A174="","",itens_Remanesc!A174))</f>
        <v/>
      </c>
      <c r="B175" s="142" t="str">
        <f>IF(OR(itens_Remanesc!A174="",NOT(ISNUMBER(parametros!$F$2))),"",ROUND(itens_Remanesc!C174*parametros!$F$2,2))</f>
        <v/>
      </c>
      <c r="C175" s="143" t="str">
        <f>IF(posicao_contratual!A174="","",posicao_contratual!G174)</f>
        <v/>
      </c>
      <c r="D175" s="142" t="str">
        <f>IF(A175="TOTAL",ROUND(SUM($D$3:D174),2),IF(A175="","",ROUND(B175*C175,2)))</f>
        <v/>
      </c>
      <c r="E175" s="144" t="str">
        <f>IF(OR(itens_Remanesc!A174="",NOT(ISNUMBER(parametros!$F$3))),"",ROUND(itens_Remanesc!C174*parametros!$F$3,2))</f>
        <v/>
      </c>
      <c r="F175" s="145" t="str">
        <f>IF(posicao_contratual!A174="","",posicao_contratual!K174)</f>
        <v/>
      </c>
      <c r="G175" s="144" t="str">
        <f>IF(A175="TOTAL",ROUND(SUM($G$3:G174),2),IF(OR(A175="",E175="",F175=""),"",ROUND(E175*F175,2)))</f>
        <v/>
      </c>
      <c r="H175" s="142" t="str">
        <f>IF(OR(itens_Remanesc!A174="",NOT(ISNUMBER(parametros!$F$4))),"",ROUND(itens_Remanesc!C174*parametros!$F$4,2))</f>
        <v/>
      </c>
      <c r="I175" s="143" t="str">
        <f>IF(posicao_contratual!A174="","",posicao_contratual!O174)</f>
        <v/>
      </c>
      <c r="J175" s="142" t="str">
        <f>IF(A175="TOTAL",ROUND(SUM($J$3:J174),2),IF(OR(A175="",H175="",I175=""),"",ROUND(H175*I175,2)))</f>
        <v/>
      </c>
      <c r="K175" s="144" t="str">
        <f>IF(OR(itens_Remanesc!A174="",NOT(ISNUMBER(parametros!$F$5))),"",ROUND(itens_Remanesc!C174*parametros!$F$5,2))</f>
        <v/>
      </c>
      <c r="L175" s="145" t="str">
        <f>IF(posicao_contratual!A174="","",posicao_contratual!S174)</f>
        <v/>
      </c>
      <c r="M175" s="144" t="str">
        <f>IF(A175="TOTAL",ROUND(SUM($M$3:M174),2),IF(OR(A175="",K175="",L175=""),"",ROUND(K175*L175,2)))</f>
        <v/>
      </c>
      <c r="N175" s="142" t="str">
        <f>IF(OR(itens_Remanesc!A174="",NOT(ISNUMBER(parametros!$F$6))),"",ROUND(itens_Remanesc!C174*parametros!$F$6,2))</f>
        <v/>
      </c>
      <c r="O175" s="143" t="str">
        <f>IF(posicao_contratual!A174="","",posicao_contratual!W174)</f>
        <v/>
      </c>
      <c r="P175" s="142" t="str">
        <f>IF(A175="TOTAL",ROUND(SUM($P$3:P174),2),IF(OR(A175="",N175="",O175=""),"",ROUND(N175*O175,2)))</f>
        <v/>
      </c>
    </row>
    <row r="176" spans="1:16" x14ac:dyDescent="0.35">
      <c r="A176" s="141" t="str">
        <f>IF(AND(itens_Remanesc!A175="",itens_Remanesc!A174&lt;&gt;"",COUNTIF(itens_Remanesc!A176:$A$200,"&lt;&gt;")=0),"TOTAL",IF(itens_Remanesc!A175="","",itens_Remanesc!A175))</f>
        <v/>
      </c>
      <c r="B176" s="142" t="str">
        <f>IF(OR(itens_Remanesc!A175="",NOT(ISNUMBER(parametros!$F$2))),"",ROUND(itens_Remanesc!C175*parametros!$F$2,2))</f>
        <v/>
      </c>
      <c r="C176" s="143" t="str">
        <f>IF(posicao_contratual!A175="","",posicao_contratual!G175)</f>
        <v/>
      </c>
      <c r="D176" s="142" t="str">
        <f>IF(A176="TOTAL",ROUND(SUM($D$3:D175),2),IF(A176="","",ROUND(B176*C176,2)))</f>
        <v/>
      </c>
      <c r="E176" s="144" t="str">
        <f>IF(OR(itens_Remanesc!A175="",NOT(ISNUMBER(parametros!$F$3))),"",ROUND(itens_Remanesc!C175*parametros!$F$3,2))</f>
        <v/>
      </c>
      <c r="F176" s="145" t="str">
        <f>IF(posicao_contratual!A175="","",posicao_contratual!K175)</f>
        <v/>
      </c>
      <c r="G176" s="144" t="str">
        <f>IF(A176="TOTAL",ROUND(SUM($G$3:G175),2),IF(OR(A176="",E176="",F176=""),"",ROUND(E176*F176,2)))</f>
        <v/>
      </c>
      <c r="H176" s="142" t="str">
        <f>IF(OR(itens_Remanesc!A175="",NOT(ISNUMBER(parametros!$F$4))),"",ROUND(itens_Remanesc!C175*parametros!$F$4,2))</f>
        <v/>
      </c>
      <c r="I176" s="143" t="str">
        <f>IF(posicao_contratual!A175="","",posicao_contratual!O175)</f>
        <v/>
      </c>
      <c r="J176" s="142" t="str">
        <f>IF(A176="TOTAL",ROUND(SUM($J$3:J175),2),IF(OR(A176="",H176="",I176=""),"",ROUND(H176*I176,2)))</f>
        <v/>
      </c>
      <c r="K176" s="144" t="str">
        <f>IF(OR(itens_Remanesc!A175="",NOT(ISNUMBER(parametros!$F$5))),"",ROUND(itens_Remanesc!C175*parametros!$F$5,2))</f>
        <v/>
      </c>
      <c r="L176" s="145" t="str">
        <f>IF(posicao_contratual!A175="","",posicao_contratual!S175)</f>
        <v/>
      </c>
      <c r="M176" s="144" t="str">
        <f>IF(A176="TOTAL",ROUND(SUM($M$3:M175),2),IF(OR(A176="",K176="",L176=""),"",ROUND(K176*L176,2)))</f>
        <v/>
      </c>
      <c r="N176" s="142" t="str">
        <f>IF(OR(itens_Remanesc!A175="",NOT(ISNUMBER(parametros!$F$6))),"",ROUND(itens_Remanesc!C175*parametros!$F$6,2))</f>
        <v/>
      </c>
      <c r="O176" s="143" t="str">
        <f>IF(posicao_contratual!A175="","",posicao_contratual!W175)</f>
        <v/>
      </c>
      <c r="P176" s="142" t="str">
        <f>IF(A176="TOTAL",ROUND(SUM($P$3:P175),2),IF(OR(A176="",N176="",O176=""),"",ROUND(N176*O176,2)))</f>
        <v/>
      </c>
    </row>
    <row r="177" spans="1:16" x14ac:dyDescent="0.35">
      <c r="A177" s="141" t="str">
        <f>IF(AND(itens_Remanesc!A176="",itens_Remanesc!A175&lt;&gt;"",COUNTIF(itens_Remanesc!A177:$A$200,"&lt;&gt;")=0),"TOTAL",IF(itens_Remanesc!A176="","",itens_Remanesc!A176))</f>
        <v/>
      </c>
      <c r="B177" s="142" t="str">
        <f>IF(OR(itens_Remanesc!A176="",NOT(ISNUMBER(parametros!$F$2))),"",ROUND(itens_Remanesc!C176*parametros!$F$2,2))</f>
        <v/>
      </c>
      <c r="C177" s="143" t="str">
        <f>IF(posicao_contratual!A176="","",posicao_contratual!G176)</f>
        <v/>
      </c>
      <c r="D177" s="142" t="str">
        <f>IF(A177="TOTAL",ROUND(SUM($D$3:D176),2),IF(A177="","",ROUND(B177*C177,2)))</f>
        <v/>
      </c>
      <c r="E177" s="144" t="str">
        <f>IF(OR(itens_Remanesc!A176="",NOT(ISNUMBER(parametros!$F$3))),"",ROUND(itens_Remanesc!C176*parametros!$F$3,2))</f>
        <v/>
      </c>
      <c r="F177" s="145" t="str">
        <f>IF(posicao_contratual!A176="","",posicao_contratual!K176)</f>
        <v/>
      </c>
      <c r="G177" s="144" t="str">
        <f>IF(A177="TOTAL",ROUND(SUM($G$3:G176),2),IF(OR(A177="",E177="",F177=""),"",ROUND(E177*F177,2)))</f>
        <v/>
      </c>
      <c r="H177" s="142" t="str">
        <f>IF(OR(itens_Remanesc!A176="",NOT(ISNUMBER(parametros!$F$4))),"",ROUND(itens_Remanesc!C176*parametros!$F$4,2))</f>
        <v/>
      </c>
      <c r="I177" s="143" t="str">
        <f>IF(posicao_contratual!A176="","",posicao_contratual!O176)</f>
        <v/>
      </c>
      <c r="J177" s="142" t="str">
        <f>IF(A177="TOTAL",ROUND(SUM($J$3:J176),2),IF(OR(A177="",H177="",I177=""),"",ROUND(H177*I177,2)))</f>
        <v/>
      </c>
      <c r="K177" s="144" t="str">
        <f>IF(OR(itens_Remanesc!A176="",NOT(ISNUMBER(parametros!$F$5))),"",ROUND(itens_Remanesc!C176*parametros!$F$5,2))</f>
        <v/>
      </c>
      <c r="L177" s="145" t="str">
        <f>IF(posicao_contratual!A176="","",posicao_contratual!S176)</f>
        <v/>
      </c>
      <c r="M177" s="144" t="str">
        <f>IF(A177="TOTAL",ROUND(SUM($M$3:M176),2),IF(OR(A177="",K177="",L177=""),"",ROUND(K177*L177,2)))</f>
        <v/>
      </c>
      <c r="N177" s="142" t="str">
        <f>IF(OR(itens_Remanesc!A176="",NOT(ISNUMBER(parametros!$F$6))),"",ROUND(itens_Remanesc!C176*parametros!$F$6,2))</f>
        <v/>
      </c>
      <c r="O177" s="143" t="str">
        <f>IF(posicao_contratual!A176="","",posicao_contratual!W176)</f>
        <v/>
      </c>
      <c r="P177" s="142" t="str">
        <f>IF(A177="TOTAL",ROUND(SUM($P$3:P176),2),IF(OR(A177="",N177="",O177=""),"",ROUND(N177*O177,2)))</f>
        <v/>
      </c>
    </row>
    <row r="178" spans="1:16" x14ac:dyDescent="0.35">
      <c r="A178" s="141" t="str">
        <f>IF(AND(itens_Remanesc!A177="",itens_Remanesc!A176&lt;&gt;"",COUNTIF(itens_Remanesc!A178:$A$200,"&lt;&gt;")=0),"TOTAL",IF(itens_Remanesc!A177="","",itens_Remanesc!A177))</f>
        <v/>
      </c>
      <c r="B178" s="142" t="str">
        <f>IF(OR(itens_Remanesc!A177="",NOT(ISNUMBER(parametros!$F$2))),"",ROUND(itens_Remanesc!C177*parametros!$F$2,2))</f>
        <v/>
      </c>
      <c r="C178" s="143" t="str">
        <f>IF(posicao_contratual!A177="","",posicao_contratual!G177)</f>
        <v/>
      </c>
      <c r="D178" s="142" t="str">
        <f>IF(A178="TOTAL",ROUND(SUM($D$3:D177),2),IF(A178="","",ROUND(B178*C178,2)))</f>
        <v/>
      </c>
      <c r="E178" s="144" t="str">
        <f>IF(OR(itens_Remanesc!A177="",NOT(ISNUMBER(parametros!$F$3))),"",ROUND(itens_Remanesc!C177*parametros!$F$3,2))</f>
        <v/>
      </c>
      <c r="F178" s="145" t="str">
        <f>IF(posicao_contratual!A177="","",posicao_contratual!K177)</f>
        <v/>
      </c>
      <c r="G178" s="144" t="str">
        <f>IF(A178="TOTAL",ROUND(SUM($G$3:G177),2),IF(OR(A178="",E178="",F178=""),"",ROUND(E178*F178,2)))</f>
        <v/>
      </c>
      <c r="H178" s="142" t="str">
        <f>IF(OR(itens_Remanesc!A177="",NOT(ISNUMBER(parametros!$F$4))),"",ROUND(itens_Remanesc!C177*parametros!$F$4,2))</f>
        <v/>
      </c>
      <c r="I178" s="143" t="str">
        <f>IF(posicao_contratual!A177="","",posicao_contratual!O177)</f>
        <v/>
      </c>
      <c r="J178" s="142" t="str">
        <f>IF(A178="TOTAL",ROUND(SUM($J$3:J177),2),IF(OR(A178="",H178="",I178=""),"",ROUND(H178*I178,2)))</f>
        <v/>
      </c>
      <c r="K178" s="144" t="str">
        <f>IF(OR(itens_Remanesc!A177="",NOT(ISNUMBER(parametros!$F$5))),"",ROUND(itens_Remanesc!C177*parametros!$F$5,2))</f>
        <v/>
      </c>
      <c r="L178" s="145" t="str">
        <f>IF(posicao_contratual!A177="","",posicao_contratual!S177)</f>
        <v/>
      </c>
      <c r="M178" s="144" t="str">
        <f>IF(A178="TOTAL",ROUND(SUM($M$3:M177),2),IF(OR(A178="",K178="",L178=""),"",ROUND(K178*L178,2)))</f>
        <v/>
      </c>
      <c r="N178" s="142" t="str">
        <f>IF(OR(itens_Remanesc!A177="",NOT(ISNUMBER(parametros!$F$6))),"",ROUND(itens_Remanesc!C177*parametros!$F$6,2))</f>
        <v/>
      </c>
      <c r="O178" s="143" t="str">
        <f>IF(posicao_contratual!A177="","",posicao_contratual!W177)</f>
        <v/>
      </c>
      <c r="P178" s="142" t="str">
        <f>IF(A178="TOTAL",ROUND(SUM($P$3:P177),2),IF(OR(A178="",N178="",O178=""),"",ROUND(N178*O178,2)))</f>
        <v/>
      </c>
    </row>
    <row r="179" spans="1:16" x14ac:dyDescent="0.35">
      <c r="A179" s="141" t="str">
        <f>IF(AND(itens_Remanesc!A178="",itens_Remanesc!A177&lt;&gt;"",COUNTIF(itens_Remanesc!A179:$A$200,"&lt;&gt;")=0),"TOTAL",IF(itens_Remanesc!A178="","",itens_Remanesc!A178))</f>
        <v/>
      </c>
      <c r="B179" s="142" t="str">
        <f>IF(OR(itens_Remanesc!A178="",NOT(ISNUMBER(parametros!$F$2))),"",ROUND(itens_Remanesc!C178*parametros!$F$2,2))</f>
        <v/>
      </c>
      <c r="C179" s="143" t="str">
        <f>IF(posicao_contratual!A178="","",posicao_contratual!G178)</f>
        <v/>
      </c>
      <c r="D179" s="142" t="str">
        <f>IF(A179="TOTAL",ROUND(SUM($D$3:D178),2),IF(A179="","",ROUND(B179*C179,2)))</f>
        <v/>
      </c>
      <c r="E179" s="144" t="str">
        <f>IF(OR(itens_Remanesc!A178="",NOT(ISNUMBER(parametros!$F$3))),"",ROUND(itens_Remanesc!C178*parametros!$F$3,2))</f>
        <v/>
      </c>
      <c r="F179" s="145" t="str">
        <f>IF(posicao_contratual!A178="","",posicao_contratual!K178)</f>
        <v/>
      </c>
      <c r="G179" s="144" t="str">
        <f>IF(A179="TOTAL",ROUND(SUM($G$3:G178),2),IF(OR(A179="",E179="",F179=""),"",ROUND(E179*F179,2)))</f>
        <v/>
      </c>
      <c r="H179" s="142" t="str">
        <f>IF(OR(itens_Remanesc!A178="",NOT(ISNUMBER(parametros!$F$4))),"",ROUND(itens_Remanesc!C178*parametros!$F$4,2))</f>
        <v/>
      </c>
      <c r="I179" s="143" t="str">
        <f>IF(posicao_contratual!A178="","",posicao_contratual!O178)</f>
        <v/>
      </c>
      <c r="J179" s="142" t="str">
        <f>IF(A179="TOTAL",ROUND(SUM($J$3:J178),2),IF(OR(A179="",H179="",I179=""),"",ROUND(H179*I179,2)))</f>
        <v/>
      </c>
      <c r="K179" s="144" t="str">
        <f>IF(OR(itens_Remanesc!A178="",NOT(ISNUMBER(parametros!$F$5))),"",ROUND(itens_Remanesc!C178*parametros!$F$5,2))</f>
        <v/>
      </c>
      <c r="L179" s="145" t="str">
        <f>IF(posicao_contratual!A178="","",posicao_contratual!S178)</f>
        <v/>
      </c>
      <c r="M179" s="144" t="str">
        <f>IF(A179="TOTAL",ROUND(SUM($M$3:M178),2),IF(OR(A179="",K179="",L179=""),"",ROUND(K179*L179,2)))</f>
        <v/>
      </c>
      <c r="N179" s="142" t="str">
        <f>IF(OR(itens_Remanesc!A178="",NOT(ISNUMBER(parametros!$F$6))),"",ROUND(itens_Remanesc!C178*parametros!$F$6,2))</f>
        <v/>
      </c>
      <c r="O179" s="143" t="str">
        <f>IF(posicao_contratual!A178="","",posicao_contratual!W178)</f>
        <v/>
      </c>
      <c r="P179" s="142" t="str">
        <f>IF(A179="TOTAL",ROUND(SUM($P$3:P178),2),IF(OR(A179="",N179="",O179=""),"",ROUND(N179*O179,2)))</f>
        <v/>
      </c>
    </row>
    <row r="180" spans="1:16" x14ac:dyDescent="0.35">
      <c r="A180" s="141" t="str">
        <f>IF(AND(itens_Remanesc!A179="",itens_Remanesc!A178&lt;&gt;"",COUNTIF(itens_Remanesc!A180:$A$200,"&lt;&gt;")=0),"TOTAL",IF(itens_Remanesc!A179="","",itens_Remanesc!A179))</f>
        <v/>
      </c>
      <c r="B180" s="142" t="str">
        <f>IF(OR(itens_Remanesc!A179="",NOT(ISNUMBER(parametros!$F$2))),"",ROUND(itens_Remanesc!C179*parametros!$F$2,2))</f>
        <v/>
      </c>
      <c r="C180" s="143" t="str">
        <f>IF(posicao_contratual!A179="","",posicao_contratual!G179)</f>
        <v/>
      </c>
      <c r="D180" s="142" t="str">
        <f>IF(A180="TOTAL",ROUND(SUM($D$3:D179),2),IF(A180="","",ROUND(B180*C180,2)))</f>
        <v/>
      </c>
      <c r="E180" s="144" t="str">
        <f>IF(OR(itens_Remanesc!A179="",NOT(ISNUMBER(parametros!$F$3))),"",ROUND(itens_Remanesc!C179*parametros!$F$3,2))</f>
        <v/>
      </c>
      <c r="F180" s="145" t="str">
        <f>IF(posicao_contratual!A179="","",posicao_contratual!K179)</f>
        <v/>
      </c>
      <c r="G180" s="144" t="str">
        <f>IF(A180="TOTAL",ROUND(SUM($G$3:G179),2),IF(OR(A180="",E180="",F180=""),"",ROUND(E180*F180,2)))</f>
        <v/>
      </c>
      <c r="H180" s="142" t="str">
        <f>IF(OR(itens_Remanesc!A179="",NOT(ISNUMBER(parametros!$F$4))),"",ROUND(itens_Remanesc!C179*parametros!$F$4,2))</f>
        <v/>
      </c>
      <c r="I180" s="143" t="str">
        <f>IF(posicao_contratual!A179="","",posicao_contratual!O179)</f>
        <v/>
      </c>
      <c r="J180" s="142" t="str">
        <f>IF(A180="TOTAL",ROUND(SUM($J$3:J179),2),IF(OR(A180="",H180="",I180=""),"",ROUND(H180*I180,2)))</f>
        <v/>
      </c>
      <c r="K180" s="144" t="str">
        <f>IF(OR(itens_Remanesc!A179="",NOT(ISNUMBER(parametros!$F$5))),"",ROUND(itens_Remanesc!C179*parametros!$F$5,2))</f>
        <v/>
      </c>
      <c r="L180" s="145" t="str">
        <f>IF(posicao_contratual!A179="","",posicao_contratual!S179)</f>
        <v/>
      </c>
      <c r="M180" s="144" t="str">
        <f>IF(A180="TOTAL",ROUND(SUM($M$3:M179),2),IF(OR(A180="",K180="",L180=""),"",ROUND(K180*L180,2)))</f>
        <v/>
      </c>
      <c r="N180" s="142" t="str">
        <f>IF(OR(itens_Remanesc!A179="",NOT(ISNUMBER(parametros!$F$6))),"",ROUND(itens_Remanesc!C179*parametros!$F$6,2))</f>
        <v/>
      </c>
      <c r="O180" s="143" t="str">
        <f>IF(posicao_contratual!A179="","",posicao_contratual!W179)</f>
        <v/>
      </c>
      <c r="P180" s="142" t="str">
        <f>IF(A180="TOTAL",ROUND(SUM($P$3:P179),2),IF(OR(A180="",N180="",O180=""),"",ROUND(N180*O180,2)))</f>
        <v/>
      </c>
    </row>
    <row r="181" spans="1:16" x14ac:dyDescent="0.35">
      <c r="A181" s="141" t="str">
        <f>IF(AND(itens_Remanesc!A180="",itens_Remanesc!A179&lt;&gt;"",COUNTIF(itens_Remanesc!A181:$A$200,"&lt;&gt;")=0),"TOTAL",IF(itens_Remanesc!A180="","",itens_Remanesc!A180))</f>
        <v/>
      </c>
      <c r="B181" s="142" t="str">
        <f>IF(OR(itens_Remanesc!A180="",NOT(ISNUMBER(parametros!$F$2))),"",ROUND(itens_Remanesc!C180*parametros!$F$2,2))</f>
        <v/>
      </c>
      <c r="C181" s="143" t="str">
        <f>IF(posicao_contratual!A180="","",posicao_contratual!G180)</f>
        <v/>
      </c>
      <c r="D181" s="142" t="str">
        <f>IF(A181="TOTAL",ROUND(SUM($D$3:D180),2),IF(A181="","",ROUND(B181*C181,2)))</f>
        <v/>
      </c>
      <c r="E181" s="144" t="str">
        <f>IF(OR(itens_Remanesc!A180="",NOT(ISNUMBER(parametros!$F$3))),"",ROUND(itens_Remanesc!C180*parametros!$F$3,2))</f>
        <v/>
      </c>
      <c r="F181" s="145" t="str">
        <f>IF(posicao_contratual!A180="","",posicao_contratual!K180)</f>
        <v/>
      </c>
      <c r="G181" s="144" t="str">
        <f>IF(A181="TOTAL",ROUND(SUM($G$3:G180),2),IF(OR(A181="",E181="",F181=""),"",ROUND(E181*F181,2)))</f>
        <v/>
      </c>
      <c r="H181" s="142" t="str">
        <f>IF(OR(itens_Remanesc!A180="",NOT(ISNUMBER(parametros!$F$4))),"",ROUND(itens_Remanesc!C180*parametros!$F$4,2))</f>
        <v/>
      </c>
      <c r="I181" s="143" t="str">
        <f>IF(posicao_contratual!A180="","",posicao_contratual!O180)</f>
        <v/>
      </c>
      <c r="J181" s="142" t="str">
        <f>IF(A181="TOTAL",ROUND(SUM($J$3:J180),2),IF(OR(A181="",H181="",I181=""),"",ROUND(H181*I181,2)))</f>
        <v/>
      </c>
      <c r="K181" s="144" t="str">
        <f>IF(OR(itens_Remanesc!A180="",NOT(ISNUMBER(parametros!$F$5))),"",ROUND(itens_Remanesc!C180*parametros!$F$5,2))</f>
        <v/>
      </c>
      <c r="L181" s="145" t="str">
        <f>IF(posicao_contratual!A180="","",posicao_contratual!S180)</f>
        <v/>
      </c>
      <c r="M181" s="144" t="str">
        <f>IF(A181="TOTAL",ROUND(SUM($M$3:M180),2),IF(OR(A181="",K181="",L181=""),"",ROUND(K181*L181,2)))</f>
        <v/>
      </c>
      <c r="N181" s="142" t="str">
        <f>IF(OR(itens_Remanesc!A180="",NOT(ISNUMBER(parametros!$F$6))),"",ROUND(itens_Remanesc!C180*parametros!$F$6,2))</f>
        <v/>
      </c>
      <c r="O181" s="143" t="str">
        <f>IF(posicao_contratual!A180="","",posicao_contratual!W180)</f>
        <v/>
      </c>
      <c r="P181" s="142" t="str">
        <f>IF(A181="TOTAL",ROUND(SUM($P$3:P180),2),IF(OR(A181="",N181="",O181=""),"",ROUND(N181*O181,2)))</f>
        <v/>
      </c>
    </row>
    <row r="182" spans="1:16" x14ac:dyDescent="0.35">
      <c r="A182" s="141" t="str">
        <f>IF(AND(itens_Remanesc!A181="",itens_Remanesc!A180&lt;&gt;"",COUNTIF(itens_Remanesc!A182:$A$200,"&lt;&gt;")=0),"TOTAL",IF(itens_Remanesc!A181="","",itens_Remanesc!A181))</f>
        <v/>
      </c>
      <c r="B182" s="142" t="str">
        <f>IF(OR(itens_Remanesc!A181="",NOT(ISNUMBER(parametros!$F$2))),"",ROUND(itens_Remanesc!C181*parametros!$F$2,2))</f>
        <v/>
      </c>
      <c r="C182" s="143" t="str">
        <f>IF(posicao_contratual!A181="","",posicao_contratual!G181)</f>
        <v/>
      </c>
      <c r="D182" s="142" t="str">
        <f>IF(A182="TOTAL",ROUND(SUM($D$3:D181),2),IF(A182="","",ROUND(B182*C182,2)))</f>
        <v/>
      </c>
      <c r="E182" s="144" t="str">
        <f>IF(OR(itens_Remanesc!A181="",NOT(ISNUMBER(parametros!$F$3))),"",ROUND(itens_Remanesc!C181*parametros!$F$3,2))</f>
        <v/>
      </c>
      <c r="F182" s="145" t="str">
        <f>IF(posicao_contratual!A181="","",posicao_contratual!K181)</f>
        <v/>
      </c>
      <c r="G182" s="144" t="str">
        <f>IF(A182="TOTAL",ROUND(SUM($G$3:G181),2),IF(OR(A182="",E182="",F182=""),"",ROUND(E182*F182,2)))</f>
        <v/>
      </c>
      <c r="H182" s="142" t="str">
        <f>IF(OR(itens_Remanesc!A181="",NOT(ISNUMBER(parametros!$F$4))),"",ROUND(itens_Remanesc!C181*parametros!$F$4,2))</f>
        <v/>
      </c>
      <c r="I182" s="143" t="str">
        <f>IF(posicao_contratual!A181="","",posicao_contratual!O181)</f>
        <v/>
      </c>
      <c r="J182" s="142" t="str">
        <f>IF(A182="TOTAL",ROUND(SUM($J$3:J181),2),IF(OR(A182="",H182="",I182=""),"",ROUND(H182*I182,2)))</f>
        <v/>
      </c>
      <c r="K182" s="144" t="str">
        <f>IF(OR(itens_Remanesc!A181="",NOT(ISNUMBER(parametros!$F$5))),"",ROUND(itens_Remanesc!C181*parametros!$F$5,2))</f>
        <v/>
      </c>
      <c r="L182" s="145" t="str">
        <f>IF(posicao_contratual!A181="","",posicao_contratual!S181)</f>
        <v/>
      </c>
      <c r="M182" s="144" t="str">
        <f>IF(A182="TOTAL",ROUND(SUM($M$3:M181),2),IF(OR(A182="",K182="",L182=""),"",ROUND(K182*L182,2)))</f>
        <v/>
      </c>
      <c r="N182" s="142" t="str">
        <f>IF(OR(itens_Remanesc!A181="",NOT(ISNUMBER(parametros!$F$6))),"",ROUND(itens_Remanesc!C181*parametros!$F$6,2))</f>
        <v/>
      </c>
      <c r="O182" s="143" t="str">
        <f>IF(posicao_contratual!A181="","",posicao_contratual!W181)</f>
        <v/>
      </c>
      <c r="P182" s="142" t="str">
        <f>IF(A182="TOTAL",ROUND(SUM($P$3:P181),2),IF(OR(A182="",N182="",O182=""),"",ROUND(N182*O182,2)))</f>
        <v/>
      </c>
    </row>
    <row r="183" spans="1:16" x14ac:dyDescent="0.35">
      <c r="A183" s="141" t="str">
        <f>IF(AND(itens_Remanesc!A182="",itens_Remanesc!A181&lt;&gt;"",COUNTIF(itens_Remanesc!A183:$A$200,"&lt;&gt;")=0),"TOTAL",IF(itens_Remanesc!A182="","",itens_Remanesc!A182))</f>
        <v/>
      </c>
      <c r="B183" s="142" t="str">
        <f>IF(OR(itens_Remanesc!A182="",NOT(ISNUMBER(parametros!$F$2))),"",ROUND(itens_Remanesc!C182*parametros!$F$2,2))</f>
        <v/>
      </c>
      <c r="C183" s="143" t="str">
        <f>IF(posicao_contratual!A182="","",posicao_contratual!G182)</f>
        <v/>
      </c>
      <c r="D183" s="142" t="str">
        <f>IF(A183="TOTAL",ROUND(SUM($D$3:D182),2),IF(A183="","",ROUND(B183*C183,2)))</f>
        <v/>
      </c>
      <c r="E183" s="144" t="str">
        <f>IF(OR(itens_Remanesc!A182="",NOT(ISNUMBER(parametros!$F$3))),"",ROUND(itens_Remanesc!C182*parametros!$F$3,2))</f>
        <v/>
      </c>
      <c r="F183" s="145" t="str">
        <f>IF(posicao_contratual!A182="","",posicao_contratual!K182)</f>
        <v/>
      </c>
      <c r="G183" s="144" t="str">
        <f>IF(A183="TOTAL",ROUND(SUM($G$3:G182),2),IF(OR(A183="",E183="",F183=""),"",ROUND(E183*F183,2)))</f>
        <v/>
      </c>
      <c r="H183" s="142" t="str">
        <f>IF(OR(itens_Remanesc!A182="",NOT(ISNUMBER(parametros!$F$4))),"",ROUND(itens_Remanesc!C182*parametros!$F$4,2))</f>
        <v/>
      </c>
      <c r="I183" s="143" t="str">
        <f>IF(posicao_contratual!A182="","",posicao_contratual!O182)</f>
        <v/>
      </c>
      <c r="J183" s="142" t="str">
        <f>IF(A183="TOTAL",ROUND(SUM($J$3:J182),2),IF(OR(A183="",H183="",I183=""),"",ROUND(H183*I183,2)))</f>
        <v/>
      </c>
      <c r="K183" s="144" t="str">
        <f>IF(OR(itens_Remanesc!A182="",NOT(ISNUMBER(parametros!$F$5))),"",ROUND(itens_Remanesc!C182*parametros!$F$5,2))</f>
        <v/>
      </c>
      <c r="L183" s="145" t="str">
        <f>IF(posicao_contratual!A182="","",posicao_contratual!S182)</f>
        <v/>
      </c>
      <c r="M183" s="144" t="str">
        <f>IF(A183="TOTAL",ROUND(SUM($M$3:M182),2),IF(OR(A183="",K183="",L183=""),"",ROUND(K183*L183,2)))</f>
        <v/>
      </c>
      <c r="N183" s="142" t="str">
        <f>IF(OR(itens_Remanesc!A182="",NOT(ISNUMBER(parametros!$F$6))),"",ROUND(itens_Remanesc!C182*parametros!$F$6,2))</f>
        <v/>
      </c>
      <c r="O183" s="143" t="str">
        <f>IF(posicao_contratual!A182="","",posicao_contratual!W182)</f>
        <v/>
      </c>
      <c r="P183" s="142" t="str">
        <f>IF(A183="TOTAL",ROUND(SUM($P$3:P182),2),IF(OR(A183="",N183="",O183=""),"",ROUND(N183*O183,2)))</f>
        <v/>
      </c>
    </row>
    <row r="184" spans="1:16" x14ac:dyDescent="0.35">
      <c r="A184" s="141" t="str">
        <f>IF(AND(itens_Remanesc!A183="",itens_Remanesc!A182&lt;&gt;"",COUNTIF(itens_Remanesc!A184:$A$200,"&lt;&gt;")=0),"TOTAL",IF(itens_Remanesc!A183="","",itens_Remanesc!A183))</f>
        <v/>
      </c>
      <c r="B184" s="142" t="str">
        <f>IF(OR(itens_Remanesc!A183="",NOT(ISNUMBER(parametros!$F$2))),"",ROUND(itens_Remanesc!C183*parametros!$F$2,2))</f>
        <v/>
      </c>
      <c r="C184" s="143" t="str">
        <f>IF(posicao_contratual!A183="","",posicao_contratual!G183)</f>
        <v/>
      </c>
      <c r="D184" s="142" t="str">
        <f>IF(A184="TOTAL",ROUND(SUM($D$3:D183),2),IF(A184="","",ROUND(B184*C184,2)))</f>
        <v/>
      </c>
      <c r="E184" s="144" t="str">
        <f>IF(OR(itens_Remanesc!A183="",NOT(ISNUMBER(parametros!$F$3))),"",ROUND(itens_Remanesc!C183*parametros!$F$3,2))</f>
        <v/>
      </c>
      <c r="F184" s="145" t="str">
        <f>IF(posicao_contratual!A183="","",posicao_contratual!K183)</f>
        <v/>
      </c>
      <c r="G184" s="144" t="str">
        <f>IF(A184="TOTAL",ROUND(SUM($G$3:G183),2),IF(OR(A184="",E184="",F184=""),"",ROUND(E184*F184,2)))</f>
        <v/>
      </c>
      <c r="H184" s="142" t="str">
        <f>IF(OR(itens_Remanesc!A183="",NOT(ISNUMBER(parametros!$F$4))),"",ROUND(itens_Remanesc!C183*parametros!$F$4,2))</f>
        <v/>
      </c>
      <c r="I184" s="143" t="str">
        <f>IF(posicao_contratual!A183="","",posicao_contratual!O183)</f>
        <v/>
      </c>
      <c r="J184" s="142" t="str">
        <f>IF(A184="TOTAL",ROUND(SUM($J$3:J183),2),IF(OR(A184="",H184="",I184=""),"",ROUND(H184*I184,2)))</f>
        <v/>
      </c>
      <c r="K184" s="144" t="str">
        <f>IF(OR(itens_Remanesc!A183="",NOT(ISNUMBER(parametros!$F$5))),"",ROUND(itens_Remanesc!C183*parametros!$F$5,2))</f>
        <v/>
      </c>
      <c r="L184" s="145" t="str">
        <f>IF(posicao_contratual!A183="","",posicao_contratual!S183)</f>
        <v/>
      </c>
      <c r="M184" s="144" t="str">
        <f>IF(A184="TOTAL",ROUND(SUM($M$3:M183),2),IF(OR(A184="",K184="",L184=""),"",ROUND(K184*L184,2)))</f>
        <v/>
      </c>
      <c r="N184" s="142" t="str">
        <f>IF(OR(itens_Remanesc!A183="",NOT(ISNUMBER(parametros!$F$6))),"",ROUND(itens_Remanesc!C183*parametros!$F$6,2))</f>
        <v/>
      </c>
      <c r="O184" s="143" t="str">
        <f>IF(posicao_contratual!A183="","",posicao_contratual!W183)</f>
        <v/>
      </c>
      <c r="P184" s="142" t="str">
        <f>IF(A184="TOTAL",ROUND(SUM($P$3:P183),2),IF(OR(A184="",N184="",O184=""),"",ROUND(N184*O184,2)))</f>
        <v/>
      </c>
    </row>
    <row r="185" spans="1:16" x14ac:dyDescent="0.35">
      <c r="A185" s="141" t="str">
        <f>IF(AND(itens_Remanesc!A184="",itens_Remanesc!A183&lt;&gt;"",COUNTIF(itens_Remanesc!A185:$A$200,"&lt;&gt;")=0),"TOTAL",IF(itens_Remanesc!A184="","",itens_Remanesc!A184))</f>
        <v/>
      </c>
      <c r="B185" s="142" t="str">
        <f>IF(OR(itens_Remanesc!A184="",NOT(ISNUMBER(parametros!$F$2))),"",ROUND(itens_Remanesc!C184*parametros!$F$2,2))</f>
        <v/>
      </c>
      <c r="C185" s="143" t="str">
        <f>IF(posicao_contratual!A184="","",posicao_contratual!G184)</f>
        <v/>
      </c>
      <c r="D185" s="142" t="str">
        <f>IF(A185="TOTAL",ROUND(SUM($D$3:D184),2),IF(A185="","",ROUND(B185*C185,2)))</f>
        <v/>
      </c>
      <c r="E185" s="144" t="str">
        <f>IF(OR(itens_Remanesc!A184="",NOT(ISNUMBER(parametros!$F$3))),"",ROUND(itens_Remanesc!C184*parametros!$F$3,2))</f>
        <v/>
      </c>
      <c r="F185" s="145" t="str">
        <f>IF(posicao_contratual!A184="","",posicao_contratual!K184)</f>
        <v/>
      </c>
      <c r="G185" s="144" t="str">
        <f>IF(A185="TOTAL",ROUND(SUM($G$3:G184),2),IF(OR(A185="",E185="",F185=""),"",ROUND(E185*F185,2)))</f>
        <v/>
      </c>
      <c r="H185" s="142" t="str">
        <f>IF(OR(itens_Remanesc!A184="",NOT(ISNUMBER(parametros!$F$4))),"",ROUND(itens_Remanesc!C184*parametros!$F$4,2))</f>
        <v/>
      </c>
      <c r="I185" s="143" t="str">
        <f>IF(posicao_contratual!A184="","",posicao_contratual!O184)</f>
        <v/>
      </c>
      <c r="J185" s="142" t="str">
        <f>IF(A185="TOTAL",ROUND(SUM($J$3:J184),2),IF(OR(A185="",H185="",I185=""),"",ROUND(H185*I185,2)))</f>
        <v/>
      </c>
      <c r="K185" s="144" t="str">
        <f>IF(OR(itens_Remanesc!A184="",NOT(ISNUMBER(parametros!$F$5))),"",ROUND(itens_Remanesc!C184*parametros!$F$5,2))</f>
        <v/>
      </c>
      <c r="L185" s="145" t="str">
        <f>IF(posicao_contratual!A184="","",posicao_contratual!S184)</f>
        <v/>
      </c>
      <c r="M185" s="144" t="str">
        <f>IF(A185="TOTAL",ROUND(SUM($M$3:M184),2),IF(OR(A185="",K185="",L185=""),"",ROUND(K185*L185,2)))</f>
        <v/>
      </c>
      <c r="N185" s="142" t="str">
        <f>IF(OR(itens_Remanesc!A184="",NOT(ISNUMBER(parametros!$F$6))),"",ROUND(itens_Remanesc!C184*parametros!$F$6,2))</f>
        <v/>
      </c>
      <c r="O185" s="143" t="str">
        <f>IF(posicao_contratual!A184="","",posicao_contratual!W184)</f>
        <v/>
      </c>
      <c r="P185" s="142" t="str">
        <f>IF(A185="TOTAL",ROUND(SUM($P$3:P184),2),IF(OR(A185="",N185="",O185=""),"",ROUND(N185*O185,2)))</f>
        <v/>
      </c>
    </row>
    <row r="186" spans="1:16" x14ac:dyDescent="0.35">
      <c r="A186" s="141" t="str">
        <f>IF(AND(itens_Remanesc!A185="",itens_Remanesc!A184&lt;&gt;"",COUNTIF(itens_Remanesc!A186:$A$200,"&lt;&gt;")=0),"TOTAL",IF(itens_Remanesc!A185="","",itens_Remanesc!A185))</f>
        <v/>
      </c>
      <c r="B186" s="142" t="str">
        <f>IF(OR(itens_Remanesc!A185="",NOT(ISNUMBER(parametros!$F$2))),"",ROUND(itens_Remanesc!C185*parametros!$F$2,2))</f>
        <v/>
      </c>
      <c r="C186" s="143" t="str">
        <f>IF(posicao_contratual!A185="","",posicao_contratual!G185)</f>
        <v/>
      </c>
      <c r="D186" s="142" t="str">
        <f>IF(A186="TOTAL",ROUND(SUM($D$3:D185),2),IF(A186="","",ROUND(B186*C186,2)))</f>
        <v/>
      </c>
      <c r="E186" s="144" t="str">
        <f>IF(OR(itens_Remanesc!A185="",NOT(ISNUMBER(parametros!$F$3))),"",ROUND(itens_Remanesc!C185*parametros!$F$3,2))</f>
        <v/>
      </c>
      <c r="F186" s="145" t="str">
        <f>IF(posicao_contratual!A185="","",posicao_contratual!K185)</f>
        <v/>
      </c>
      <c r="G186" s="144" t="str">
        <f>IF(A186="TOTAL",ROUND(SUM($G$3:G185),2),IF(OR(A186="",E186="",F186=""),"",ROUND(E186*F186,2)))</f>
        <v/>
      </c>
      <c r="H186" s="142" t="str">
        <f>IF(OR(itens_Remanesc!A185="",NOT(ISNUMBER(parametros!$F$4))),"",ROUND(itens_Remanesc!C185*parametros!$F$4,2))</f>
        <v/>
      </c>
      <c r="I186" s="143" t="str">
        <f>IF(posicao_contratual!A185="","",posicao_contratual!O185)</f>
        <v/>
      </c>
      <c r="J186" s="142" t="str">
        <f>IF(A186="TOTAL",ROUND(SUM($J$3:J185),2),IF(OR(A186="",H186="",I186=""),"",ROUND(H186*I186,2)))</f>
        <v/>
      </c>
      <c r="K186" s="144" t="str">
        <f>IF(OR(itens_Remanesc!A185="",NOT(ISNUMBER(parametros!$F$5))),"",ROUND(itens_Remanesc!C185*parametros!$F$5,2))</f>
        <v/>
      </c>
      <c r="L186" s="145" t="str">
        <f>IF(posicao_contratual!A185="","",posicao_contratual!S185)</f>
        <v/>
      </c>
      <c r="M186" s="144" t="str">
        <f>IF(A186="TOTAL",ROUND(SUM($M$3:M185),2),IF(OR(A186="",K186="",L186=""),"",ROUND(K186*L186,2)))</f>
        <v/>
      </c>
      <c r="N186" s="142" t="str">
        <f>IF(OR(itens_Remanesc!A185="",NOT(ISNUMBER(parametros!$F$6))),"",ROUND(itens_Remanesc!C185*parametros!$F$6,2))</f>
        <v/>
      </c>
      <c r="O186" s="143" t="str">
        <f>IF(posicao_contratual!A185="","",posicao_contratual!W185)</f>
        <v/>
      </c>
      <c r="P186" s="142" t="str">
        <f>IF(A186="TOTAL",ROUND(SUM($P$3:P185),2),IF(OR(A186="",N186="",O186=""),"",ROUND(N186*O186,2)))</f>
        <v/>
      </c>
    </row>
    <row r="187" spans="1:16" x14ac:dyDescent="0.35">
      <c r="A187" s="141" t="str">
        <f>IF(AND(itens_Remanesc!A186="",itens_Remanesc!A185&lt;&gt;"",COUNTIF(itens_Remanesc!A187:$A$200,"&lt;&gt;")=0),"TOTAL",IF(itens_Remanesc!A186="","",itens_Remanesc!A186))</f>
        <v/>
      </c>
      <c r="B187" s="142" t="str">
        <f>IF(OR(itens_Remanesc!A186="",NOT(ISNUMBER(parametros!$F$2))),"",ROUND(itens_Remanesc!C186*parametros!$F$2,2))</f>
        <v/>
      </c>
      <c r="C187" s="143" t="str">
        <f>IF(posicao_contratual!A186="","",posicao_contratual!G186)</f>
        <v/>
      </c>
      <c r="D187" s="142" t="str">
        <f>IF(A187="TOTAL",ROUND(SUM($D$3:D186),2),IF(A187="","",ROUND(B187*C187,2)))</f>
        <v/>
      </c>
      <c r="E187" s="144" t="str">
        <f>IF(OR(itens_Remanesc!A186="",NOT(ISNUMBER(parametros!$F$3))),"",ROUND(itens_Remanesc!C186*parametros!$F$3,2))</f>
        <v/>
      </c>
      <c r="F187" s="145" t="str">
        <f>IF(posicao_contratual!A186="","",posicao_contratual!K186)</f>
        <v/>
      </c>
      <c r="G187" s="144" t="str">
        <f>IF(A187="TOTAL",ROUND(SUM($G$3:G186),2),IF(OR(A187="",E187="",F187=""),"",ROUND(E187*F187,2)))</f>
        <v/>
      </c>
      <c r="H187" s="142" t="str">
        <f>IF(OR(itens_Remanesc!A186="",NOT(ISNUMBER(parametros!$F$4))),"",ROUND(itens_Remanesc!C186*parametros!$F$4,2))</f>
        <v/>
      </c>
      <c r="I187" s="143" t="str">
        <f>IF(posicao_contratual!A186="","",posicao_contratual!O186)</f>
        <v/>
      </c>
      <c r="J187" s="142" t="str">
        <f>IF(A187="TOTAL",ROUND(SUM($J$3:J186),2),IF(OR(A187="",H187="",I187=""),"",ROUND(H187*I187,2)))</f>
        <v/>
      </c>
      <c r="K187" s="144" t="str">
        <f>IF(OR(itens_Remanesc!A186="",NOT(ISNUMBER(parametros!$F$5))),"",ROUND(itens_Remanesc!C186*parametros!$F$5,2))</f>
        <v/>
      </c>
      <c r="L187" s="145" t="str">
        <f>IF(posicao_contratual!A186="","",posicao_contratual!S186)</f>
        <v/>
      </c>
      <c r="M187" s="144" t="str">
        <f>IF(A187="TOTAL",ROUND(SUM($M$3:M186),2),IF(OR(A187="",K187="",L187=""),"",ROUND(K187*L187,2)))</f>
        <v/>
      </c>
      <c r="N187" s="142" t="str">
        <f>IF(OR(itens_Remanesc!A186="",NOT(ISNUMBER(parametros!$F$6))),"",ROUND(itens_Remanesc!C186*parametros!$F$6,2))</f>
        <v/>
      </c>
      <c r="O187" s="143" t="str">
        <f>IF(posicao_contratual!A186="","",posicao_contratual!W186)</f>
        <v/>
      </c>
      <c r="P187" s="142" t="str">
        <f>IF(A187="TOTAL",ROUND(SUM($P$3:P186),2),IF(OR(A187="",N187="",O187=""),"",ROUND(N187*O187,2)))</f>
        <v/>
      </c>
    </row>
    <row r="188" spans="1:16" x14ac:dyDescent="0.35">
      <c r="A188" s="141" t="str">
        <f>IF(AND(itens_Remanesc!A187="",itens_Remanesc!A186&lt;&gt;"",COUNTIF(itens_Remanesc!A188:$A$200,"&lt;&gt;")=0),"TOTAL",IF(itens_Remanesc!A187="","",itens_Remanesc!A187))</f>
        <v/>
      </c>
      <c r="B188" s="142" t="str">
        <f>IF(OR(itens_Remanesc!A187="",NOT(ISNUMBER(parametros!$F$2))),"",ROUND(itens_Remanesc!C187*parametros!$F$2,2))</f>
        <v/>
      </c>
      <c r="C188" s="143" t="str">
        <f>IF(posicao_contratual!A187="","",posicao_contratual!G187)</f>
        <v/>
      </c>
      <c r="D188" s="142" t="str">
        <f>IF(A188="TOTAL",ROUND(SUM($D$3:D187),2),IF(A188="","",ROUND(B188*C188,2)))</f>
        <v/>
      </c>
      <c r="E188" s="144" t="str">
        <f>IF(OR(itens_Remanesc!A187="",NOT(ISNUMBER(parametros!$F$3))),"",ROUND(itens_Remanesc!C187*parametros!$F$3,2))</f>
        <v/>
      </c>
      <c r="F188" s="145" t="str">
        <f>IF(posicao_contratual!A187="","",posicao_contratual!K187)</f>
        <v/>
      </c>
      <c r="G188" s="144" t="str">
        <f>IF(A188="TOTAL",ROUND(SUM($G$3:G187),2),IF(OR(A188="",E188="",F188=""),"",ROUND(E188*F188,2)))</f>
        <v/>
      </c>
      <c r="H188" s="142" t="str">
        <f>IF(OR(itens_Remanesc!A187="",NOT(ISNUMBER(parametros!$F$4))),"",ROUND(itens_Remanesc!C187*parametros!$F$4,2))</f>
        <v/>
      </c>
      <c r="I188" s="143" t="str">
        <f>IF(posicao_contratual!A187="","",posicao_contratual!O187)</f>
        <v/>
      </c>
      <c r="J188" s="142" t="str">
        <f>IF(A188="TOTAL",ROUND(SUM($J$3:J187),2),IF(OR(A188="",H188="",I188=""),"",ROUND(H188*I188,2)))</f>
        <v/>
      </c>
      <c r="K188" s="144" t="str">
        <f>IF(OR(itens_Remanesc!A187="",NOT(ISNUMBER(parametros!$F$5))),"",ROUND(itens_Remanesc!C187*parametros!$F$5,2))</f>
        <v/>
      </c>
      <c r="L188" s="145" t="str">
        <f>IF(posicao_contratual!A187="","",posicao_contratual!S187)</f>
        <v/>
      </c>
      <c r="M188" s="144" t="str">
        <f>IF(A188="TOTAL",ROUND(SUM($M$3:M187),2),IF(OR(A188="",K188="",L188=""),"",ROUND(K188*L188,2)))</f>
        <v/>
      </c>
      <c r="N188" s="142" t="str">
        <f>IF(OR(itens_Remanesc!A187="",NOT(ISNUMBER(parametros!$F$6))),"",ROUND(itens_Remanesc!C187*parametros!$F$6,2))</f>
        <v/>
      </c>
      <c r="O188" s="143" t="str">
        <f>IF(posicao_contratual!A187="","",posicao_contratual!W187)</f>
        <v/>
      </c>
      <c r="P188" s="142" t="str">
        <f>IF(A188="TOTAL",ROUND(SUM($P$3:P187),2),IF(OR(A188="",N188="",O188=""),"",ROUND(N188*O188,2)))</f>
        <v/>
      </c>
    </row>
    <row r="189" spans="1:16" x14ac:dyDescent="0.35">
      <c r="A189" s="141" t="str">
        <f>IF(AND(itens_Remanesc!A188="",itens_Remanesc!A187&lt;&gt;"",COUNTIF(itens_Remanesc!A189:$A$200,"&lt;&gt;")=0),"TOTAL",IF(itens_Remanesc!A188="","",itens_Remanesc!A188))</f>
        <v/>
      </c>
      <c r="B189" s="142" t="str">
        <f>IF(OR(itens_Remanesc!A188="",NOT(ISNUMBER(parametros!$F$2))),"",ROUND(itens_Remanesc!C188*parametros!$F$2,2))</f>
        <v/>
      </c>
      <c r="C189" s="143" t="str">
        <f>IF(posicao_contratual!A188="","",posicao_contratual!G188)</f>
        <v/>
      </c>
      <c r="D189" s="142" t="str">
        <f>IF(A189="TOTAL",ROUND(SUM($D$3:D188),2),IF(A189="","",ROUND(B189*C189,2)))</f>
        <v/>
      </c>
      <c r="E189" s="144" t="str">
        <f>IF(OR(itens_Remanesc!A188="",NOT(ISNUMBER(parametros!$F$3))),"",ROUND(itens_Remanesc!C188*parametros!$F$3,2))</f>
        <v/>
      </c>
      <c r="F189" s="145" t="str">
        <f>IF(posicao_contratual!A188="","",posicao_contratual!K188)</f>
        <v/>
      </c>
      <c r="G189" s="144" t="str">
        <f>IF(A189="TOTAL",ROUND(SUM($G$3:G188),2),IF(OR(A189="",E189="",F189=""),"",ROUND(E189*F189,2)))</f>
        <v/>
      </c>
      <c r="H189" s="142" t="str">
        <f>IF(OR(itens_Remanesc!A188="",NOT(ISNUMBER(parametros!$F$4))),"",ROUND(itens_Remanesc!C188*parametros!$F$4,2))</f>
        <v/>
      </c>
      <c r="I189" s="143" t="str">
        <f>IF(posicao_contratual!A188="","",posicao_contratual!O188)</f>
        <v/>
      </c>
      <c r="J189" s="142" t="str">
        <f>IF(A189="TOTAL",ROUND(SUM($J$3:J188),2),IF(OR(A189="",H189="",I189=""),"",ROUND(H189*I189,2)))</f>
        <v/>
      </c>
      <c r="K189" s="144" t="str">
        <f>IF(OR(itens_Remanesc!A188="",NOT(ISNUMBER(parametros!$F$5))),"",ROUND(itens_Remanesc!C188*parametros!$F$5,2))</f>
        <v/>
      </c>
      <c r="L189" s="145" t="str">
        <f>IF(posicao_contratual!A188="","",posicao_contratual!S188)</f>
        <v/>
      </c>
      <c r="M189" s="144" t="str">
        <f>IF(A189="TOTAL",ROUND(SUM($M$3:M188),2),IF(OR(A189="",K189="",L189=""),"",ROUND(K189*L189,2)))</f>
        <v/>
      </c>
      <c r="N189" s="142" t="str">
        <f>IF(OR(itens_Remanesc!A188="",NOT(ISNUMBER(parametros!$F$6))),"",ROUND(itens_Remanesc!C188*parametros!$F$6,2))</f>
        <v/>
      </c>
      <c r="O189" s="143" t="str">
        <f>IF(posicao_contratual!A188="","",posicao_contratual!W188)</f>
        <v/>
      </c>
      <c r="P189" s="142" t="str">
        <f>IF(A189="TOTAL",ROUND(SUM($P$3:P188),2),IF(OR(A189="",N189="",O189=""),"",ROUND(N189*O189,2)))</f>
        <v/>
      </c>
    </row>
    <row r="190" spans="1:16" x14ac:dyDescent="0.35">
      <c r="A190" s="141" t="str">
        <f>IF(AND(itens_Remanesc!A189="",itens_Remanesc!A188&lt;&gt;"",COUNTIF(itens_Remanesc!A190:$A$200,"&lt;&gt;")=0),"TOTAL",IF(itens_Remanesc!A189="","",itens_Remanesc!A189))</f>
        <v/>
      </c>
      <c r="B190" s="142" t="str">
        <f>IF(OR(itens_Remanesc!A189="",NOT(ISNUMBER(parametros!$F$2))),"",ROUND(itens_Remanesc!C189*parametros!$F$2,2))</f>
        <v/>
      </c>
      <c r="C190" s="143" t="str">
        <f>IF(posicao_contratual!A189="","",posicao_contratual!G189)</f>
        <v/>
      </c>
      <c r="D190" s="142" t="str">
        <f>IF(A190="TOTAL",ROUND(SUM($D$3:D189),2),IF(A190="","",ROUND(B190*C190,2)))</f>
        <v/>
      </c>
      <c r="E190" s="144" t="str">
        <f>IF(OR(itens_Remanesc!A189="",NOT(ISNUMBER(parametros!$F$3))),"",ROUND(itens_Remanesc!C189*parametros!$F$3,2))</f>
        <v/>
      </c>
      <c r="F190" s="145" t="str">
        <f>IF(posicao_contratual!A189="","",posicao_contratual!K189)</f>
        <v/>
      </c>
      <c r="G190" s="144" t="str">
        <f>IF(A190="TOTAL",ROUND(SUM($G$3:G189),2),IF(OR(A190="",E190="",F190=""),"",ROUND(E190*F190,2)))</f>
        <v/>
      </c>
      <c r="H190" s="142" t="str">
        <f>IF(OR(itens_Remanesc!A189="",NOT(ISNUMBER(parametros!$F$4))),"",ROUND(itens_Remanesc!C189*parametros!$F$4,2))</f>
        <v/>
      </c>
      <c r="I190" s="143" t="str">
        <f>IF(posicao_contratual!A189="","",posicao_contratual!O189)</f>
        <v/>
      </c>
      <c r="J190" s="142" t="str">
        <f>IF(A190="TOTAL",ROUND(SUM($J$3:J189),2),IF(OR(A190="",H190="",I190=""),"",ROUND(H190*I190,2)))</f>
        <v/>
      </c>
      <c r="K190" s="144" t="str">
        <f>IF(OR(itens_Remanesc!A189="",NOT(ISNUMBER(parametros!$F$5))),"",ROUND(itens_Remanesc!C189*parametros!$F$5,2))</f>
        <v/>
      </c>
      <c r="L190" s="145" t="str">
        <f>IF(posicao_contratual!A189="","",posicao_contratual!S189)</f>
        <v/>
      </c>
      <c r="M190" s="144" t="str">
        <f>IF(A190="TOTAL",ROUND(SUM($M$3:M189),2),IF(OR(A190="",K190="",L190=""),"",ROUND(K190*L190,2)))</f>
        <v/>
      </c>
      <c r="N190" s="142" t="str">
        <f>IF(OR(itens_Remanesc!A189="",NOT(ISNUMBER(parametros!$F$6))),"",ROUND(itens_Remanesc!C189*parametros!$F$6,2))</f>
        <v/>
      </c>
      <c r="O190" s="143" t="str">
        <f>IF(posicao_contratual!A189="","",posicao_contratual!W189)</f>
        <v/>
      </c>
      <c r="P190" s="142" t="str">
        <f>IF(A190="TOTAL",ROUND(SUM($P$3:P189),2),IF(OR(A190="",N190="",O190=""),"",ROUND(N190*O190,2)))</f>
        <v/>
      </c>
    </row>
    <row r="191" spans="1:16" x14ac:dyDescent="0.35">
      <c r="A191" s="141" t="str">
        <f>IF(AND(itens_Remanesc!A190="",itens_Remanesc!A189&lt;&gt;"",COUNTIF(itens_Remanesc!A191:$A$200,"&lt;&gt;")=0),"TOTAL",IF(itens_Remanesc!A190="","",itens_Remanesc!A190))</f>
        <v/>
      </c>
      <c r="B191" s="142" t="str">
        <f>IF(OR(itens_Remanesc!A190="",NOT(ISNUMBER(parametros!$F$2))),"",ROUND(itens_Remanesc!C190*parametros!$F$2,2))</f>
        <v/>
      </c>
      <c r="C191" s="143" t="str">
        <f>IF(posicao_contratual!A190="","",posicao_contratual!G190)</f>
        <v/>
      </c>
      <c r="D191" s="142" t="str">
        <f>IF(A191="TOTAL",ROUND(SUM($D$3:D190),2),IF(A191="","",ROUND(B191*C191,2)))</f>
        <v/>
      </c>
      <c r="E191" s="144" t="str">
        <f>IF(OR(itens_Remanesc!A190="",NOT(ISNUMBER(parametros!$F$3))),"",ROUND(itens_Remanesc!C190*parametros!$F$3,2))</f>
        <v/>
      </c>
      <c r="F191" s="145" t="str">
        <f>IF(posicao_contratual!A190="","",posicao_contratual!K190)</f>
        <v/>
      </c>
      <c r="G191" s="144" t="str">
        <f>IF(A191="TOTAL",ROUND(SUM($G$3:G190),2),IF(OR(A191="",E191="",F191=""),"",ROUND(E191*F191,2)))</f>
        <v/>
      </c>
      <c r="H191" s="142" t="str">
        <f>IF(OR(itens_Remanesc!A190="",NOT(ISNUMBER(parametros!$F$4))),"",ROUND(itens_Remanesc!C190*parametros!$F$4,2))</f>
        <v/>
      </c>
      <c r="I191" s="143" t="str">
        <f>IF(posicao_contratual!A190="","",posicao_contratual!O190)</f>
        <v/>
      </c>
      <c r="J191" s="142" t="str">
        <f>IF(A191="TOTAL",ROUND(SUM($J$3:J190),2),IF(OR(A191="",H191="",I191=""),"",ROUND(H191*I191,2)))</f>
        <v/>
      </c>
      <c r="K191" s="144" t="str">
        <f>IF(OR(itens_Remanesc!A190="",NOT(ISNUMBER(parametros!$F$5))),"",ROUND(itens_Remanesc!C190*parametros!$F$5,2))</f>
        <v/>
      </c>
      <c r="L191" s="145" t="str">
        <f>IF(posicao_contratual!A190="","",posicao_contratual!S190)</f>
        <v/>
      </c>
      <c r="M191" s="144" t="str">
        <f>IF(A191="TOTAL",ROUND(SUM($M$3:M190),2),IF(OR(A191="",K191="",L191=""),"",ROUND(K191*L191,2)))</f>
        <v/>
      </c>
      <c r="N191" s="142" t="str">
        <f>IF(OR(itens_Remanesc!A190="",NOT(ISNUMBER(parametros!$F$6))),"",ROUND(itens_Remanesc!C190*parametros!$F$6,2))</f>
        <v/>
      </c>
      <c r="O191" s="143" t="str">
        <f>IF(posicao_contratual!A190="","",posicao_contratual!W190)</f>
        <v/>
      </c>
      <c r="P191" s="142" t="str">
        <f>IF(A191="TOTAL",ROUND(SUM($P$3:P190),2),IF(OR(A191="",N191="",O191=""),"",ROUND(N191*O191,2)))</f>
        <v/>
      </c>
    </row>
    <row r="192" spans="1:16" x14ac:dyDescent="0.35">
      <c r="A192" s="141" t="str">
        <f>IF(AND(itens_Remanesc!A191="",itens_Remanesc!A190&lt;&gt;"",COUNTIF(itens_Remanesc!A192:$A$200,"&lt;&gt;")=0),"TOTAL",IF(itens_Remanesc!A191="","",itens_Remanesc!A191))</f>
        <v/>
      </c>
      <c r="B192" s="142" t="str">
        <f>IF(OR(itens_Remanesc!A191="",NOT(ISNUMBER(parametros!$F$2))),"",ROUND(itens_Remanesc!C191*parametros!$F$2,2))</f>
        <v/>
      </c>
      <c r="C192" s="143" t="str">
        <f>IF(posicao_contratual!A191="","",posicao_contratual!G191)</f>
        <v/>
      </c>
      <c r="D192" s="142" t="str">
        <f>IF(A192="TOTAL",ROUND(SUM($D$3:D191),2),IF(A192="","",ROUND(B192*C192,2)))</f>
        <v/>
      </c>
      <c r="E192" s="144" t="str">
        <f>IF(OR(itens_Remanesc!A191="",NOT(ISNUMBER(parametros!$F$3))),"",ROUND(itens_Remanesc!C191*parametros!$F$3,2))</f>
        <v/>
      </c>
      <c r="F192" s="145" t="str">
        <f>IF(posicao_contratual!A191="","",posicao_contratual!K191)</f>
        <v/>
      </c>
      <c r="G192" s="144" t="str">
        <f>IF(A192="TOTAL",ROUND(SUM($G$3:G191),2),IF(OR(A192="",E192="",F192=""),"",ROUND(E192*F192,2)))</f>
        <v/>
      </c>
      <c r="H192" s="142" t="str">
        <f>IF(OR(itens_Remanesc!A191="",NOT(ISNUMBER(parametros!$F$4))),"",ROUND(itens_Remanesc!C191*parametros!$F$4,2))</f>
        <v/>
      </c>
      <c r="I192" s="143" t="str">
        <f>IF(posicao_contratual!A191="","",posicao_contratual!O191)</f>
        <v/>
      </c>
      <c r="J192" s="142" t="str">
        <f>IF(A192="TOTAL",ROUND(SUM($J$3:J191),2),IF(OR(A192="",H192="",I192=""),"",ROUND(H192*I192,2)))</f>
        <v/>
      </c>
      <c r="K192" s="144" t="str">
        <f>IF(OR(itens_Remanesc!A191="",NOT(ISNUMBER(parametros!$F$5))),"",ROUND(itens_Remanesc!C191*parametros!$F$5,2))</f>
        <v/>
      </c>
      <c r="L192" s="145" t="str">
        <f>IF(posicao_contratual!A191="","",posicao_contratual!S191)</f>
        <v/>
      </c>
      <c r="M192" s="144" t="str">
        <f>IF(A192="TOTAL",ROUND(SUM($M$3:M191),2),IF(OR(A192="",K192="",L192=""),"",ROUND(K192*L192,2)))</f>
        <v/>
      </c>
      <c r="N192" s="142" t="str">
        <f>IF(OR(itens_Remanesc!A191="",NOT(ISNUMBER(parametros!$F$6))),"",ROUND(itens_Remanesc!C191*parametros!$F$6,2))</f>
        <v/>
      </c>
      <c r="O192" s="143" t="str">
        <f>IF(posicao_contratual!A191="","",posicao_contratual!W191)</f>
        <v/>
      </c>
      <c r="P192" s="142" t="str">
        <f>IF(A192="TOTAL",ROUND(SUM($P$3:P191),2),IF(OR(A192="",N192="",O192=""),"",ROUND(N192*O192,2)))</f>
        <v/>
      </c>
    </row>
    <row r="193" spans="1:16" x14ac:dyDescent="0.35">
      <c r="A193" s="141" t="str">
        <f>IF(AND(itens_Remanesc!A192="",itens_Remanesc!A191&lt;&gt;"",COUNTIF(itens_Remanesc!A193:$A$200,"&lt;&gt;")=0),"TOTAL",IF(itens_Remanesc!A192="","",itens_Remanesc!A192))</f>
        <v/>
      </c>
      <c r="B193" s="142" t="str">
        <f>IF(OR(itens_Remanesc!A192="",NOT(ISNUMBER(parametros!$F$2))),"",ROUND(itens_Remanesc!C192*parametros!$F$2,2))</f>
        <v/>
      </c>
      <c r="C193" s="143" t="str">
        <f>IF(posicao_contratual!A192="","",posicao_contratual!G192)</f>
        <v/>
      </c>
      <c r="D193" s="142" t="str">
        <f>IF(A193="TOTAL",ROUND(SUM($D$3:D192),2),IF(A193="","",ROUND(B193*C193,2)))</f>
        <v/>
      </c>
      <c r="E193" s="144" t="str">
        <f>IF(OR(itens_Remanesc!A192="",NOT(ISNUMBER(parametros!$F$3))),"",ROUND(itens_Remanesc!C192*parametros!$F$3,2))</f>
        <v/>
      </c>
      <c r="F193" s="145" t="str">
        <f>IF(posicao_contratual!A192="","",posicao_contratual!K192)</f>
        <v/>
      </c>
      <c r="G193" s="144" t="str">
        <f>IF(A193="TOTAL",ROUND(SUM($G$3:G192),2),IF(OR(A193="",E193="",F193=""),"",ROUND(E193*F193,2)))</f>
        <v/>
      </c>
      <c r="H193" s="142" t="str">
        <f>IF(OR(itens_Remanesc!A192="",NOT(ISNUMBER(parametros!$F$4))),"",ROUND(itens_Remanesc!C192*parametros!$F$4,2))</f>
        <v/>
      </c>
      <c r="I193" s="143" t="str">
        <f>IF(posicao_contratual!A192="","",posicao_contratual!O192)</f>
        <v/>
      </c>
      <c r="J193" s="142" t="str">
        <f>IF(A193="TOTAL",ROUND(SUM($J$3:J192),2),IF(OR(A193="",H193="",I193=""),"",ROUND(H193*I193,2)))</f>
        <v/>
      </c>
      <c r="K193" s="144" t="str">
        <f>IF(OR(itens_Remanesc!A192="",NOT(ISNUMBER(parametros!$F$5))),"",ROUND(itens_Remanesc!C192*parametros!$F$5,2))</f>
        <v/>
      </c>
      <c r="L193" s="145" t="str">
        <f>IF(posicao_contratual!A192="","",posicao_contratual!S192)</f>
        <v/>
      </c>
      <c r="M193" s="144" t="str">
        <f>IF(A193="TOTAL",ROUND(SUM($M$3:M192),2),IF(OR(A193="",K193="",L193=""),"",ROUND(K193*L193,2)))</f>
        <v/>
      </c>
      <c r="N193" s="142" t="str">
        <f>IF(OR(itens_Remanesc!A192="",NOT(ISNUMBER(parametros!$F$6))),"",ROUND(itens_Remanesc!C192*parametros!$F$6,2))</f>
        <v/>
      </c>
      <c r="O193" s="143" t="str">
        <f>IF(posicao_contratual!A192="","",posicao_contratual!W192)</f>
        <v/>
      </c>
      <c r="P193" s="142" t="str">
        <f>IF(A193="TOTAL",ROUND(SUM($P$3:P192),2),IF(OR(A193="",N193="",O193=""),"",ROUND(N193*O193,2)))</f>
        <v/>
      </c>
    </row>
    <row r="194" spans="1:16" x14ac:dyDescent="0.35">
      <c r="A194" s="141" t="str">
        <f>IF(AND(itens_Remanesc!A193="",itens_Remanesc!A192&lt;&gt;"",COUNTIF(itens_Remanesc!A194:$A$200,"&lt;&gt;")=0),"TOTAL",IF(itens_Remanesc!A193="","",itens_Remanesc!A193))</f>
        <v/>
      </c>
      <c r="B194" s="142" t="str">
        <f>IF(OR(itens_Remanesc!A193="",NOT(ISNUMBER(parametros!$F$2))),"",ROUND(itens_Remanesc!C193*parametros!$F$2,2))</f>
        <v/>
      </c>
      <c r="C194" s="143" t="str">
        <f>IF(posicao_contratual!A193="","",posicao_contratual!G193)</f>
        <v/>
      </c>
      <c r="D194" s="142" t="str">
        <f>IF(A194="TOTAL",ROUND(SUM($D$3:D193),2),IF(A194="","",ROUND(B194*C194,2)))</f>
        <v/>
      </c>
      <c r="E194" s="144" t="str">
        <f>IF(OR(itens_Remanesc!A193="",NOT(ISNUMBER(parametros!$F$3))),"",ROUND(itens_Remanesc!C193*parametros!$F$3,2))</f>
        <v/>
      </c>
      <c r="F194" s="145" t="str">
        <f>IF(posicao_contratual!A193="","",posicao_contratual!K193)</f>
        <v/>
      </c>
      <c r="G194" s="144" t="str">
        <f>IF(A194="TOTAL",ROUND(SUM($G$3:G193),2),IF(OR(A194="",E194="",F194=""),"",ROUND(E194*F194,2)))</f>
        <v/>
      </c>
      <c r="H194" s="142" t="str">
        <f>IF(OR(itens_Remanesc!A193="",NOT(ISNUMBER(parametros!$F$4))),"",ROUND(itens_Remanesc!C193*parametros!$F$4,2))</f>
        <v/>
      </c>
      <c r="I194" s="143" t="str">
        <f>IF(posicao_contratual!A193="","",posicao_contratual!O193)</f>
        <v/>
      </c>
      <c r="J194" s="142" t="str">
        <f>IF(A194="TOTAL",ROUND(SUM($J$3:J193),2),IF(OR(A194="",H194="",I194=""),"",ROUND(H194*I194,2)))</f>
        <v/>
      </c>
      <c r="K194" s="144" t="str">
        <f>IF(OR(itens_Remanesc!A193="",NOT(ISNUMBER(parametros!$F$5))),"",ROUND(itens_Remanesc!C193*parametros!$F$5,2))</f>
        <v/>
      </c>
      <c r="L194" s="145" t="str">
        <f>IF(posicao_contratual!A193="","",posicao_contratual!S193)</f>
        <v/>
      </c>
      <c r="M194" s="144" t="str">
        <f>IF(A194="TOTAL",ROUND(SUM($M$3:M193),2),IF(OR(A194="",K194="",L194=""),"",ROUND(K194*L194,2)))</f>
        <v/>
      </c>
      <c r="N194" s="142" t="str">
        <f>IF(OR(itens_Remanesc!A193="",NOT(ISNUMBER(parametros!$F$6))),"",ROUND(itens_Remanesc!C193*parametros!$F$6,2))</f>
        <v/>
      </c>
      <c r="O194" s="143" t="str">
        <f>IF(posicao_contratual!A193="","",posicao_contratual!W193)</f>
        <v/>
      </c>
      <c r="P194" s="142" t="str">
        <f>IF(A194="TOTAL",ROUND(SUM($P$3:P193),2),IF(OR(A194="",N194="",O194=""),"",ROUND(N194*O194,2)))</f>
        <v/>
      </c>
    </row>
    <row r="195" spans="1:16" x14ac:dyDescent="0.35">
      <c r="A195" s="141" t="str">
        <f>IF(AND(itens_Remanesc!A194="",itens_Remanesc!A193&lt;&gt;"",COUNTIF(itens_Remanesc!A195:$A$200,"&lt;&gt;")=0),"TOTAL",IF(itens_Remanesc!A194="","",itens_Remanesc!A194))</f>
        <v/>
      </c>
      <c r="B195" s="142" t="str">
        <f>IF(OR(itens_Remanesc!A194="",NOT(ISNUMBER(parametros!$F$2))),"",ROUND(itens_Remanesc!C194*parametros!$F$2,2))</f>
        <v/>
      </c>
      <c r="C195" s="143" t="str">
        <f>IF(posicao_contratual!A194="","",posicao_contratual!G194)</f>
        <v/>
      </c>
      <c r="D195" s="142" t="str">
        <f>IF(A195="TOTAL",ROUND(SUM($D$3:D194),2),IF(A195="","",ROUND(B195*C195,2)))</f>
        <v/>
      </c>
      <c r="E195" s="144" t="str">
        <f>IF(OR(itens_Remanesc!A194="",NOT(ISNUMBER(parametros!$F$3))),"",ROUND(itens_Remanesc!C194*parametros!$F$3,2))</f>
        <v/>
      </c>
      <c r="F195" s="145" t="str">
        <f>IF(posicao_contratual!A194="","",posicao_contratual!K194)</f>
        <v/>
      </c>
      <c r="G195" s="144" t="str">
        <f>IF(A195="TOTAL",ROUND(SUM($G$3:G194),2),IF(OR(A195="",E195="",F195=""),"",ROUND(E195*F195,2)))</f>
        <v/>
      </c>
      <c r="H195" s="142" t="str">
        <f>IF(OR(itens_Remanesc!A194="",NOT(ISNUMBER(parametros!$F$4))),"",ROUND(itens_Remanesc!C194*parametros!$F$4,2))</f>
        <v/>
      </c>
      <c r="I195" s="143" t="str">
        <f>IF(posicao_contratual!A194="","",posicao_contratual!O194)</f>
        <v/>
      </c>
      <c r="J195" s="142" t="str">
        <f>IF(A195="TOTAL",ROUND(SUM($J$3:J194),2),IF(OR(A195="",H195="",I195=""),"",ROUND(H195*I195,2)))</f>
        <v/>
      </c>
      <c r="K195" s="144" t="str">
        <f>IF(OR(itens_Remanesc!A194="",NOT(ISNUMBER(parametros!$F$5))),"",ROUND(itens_Remanesc!C194*parametros!$F$5,2))</f>
        <v/>
      </c>
      <c r="L195" s="145" t="str">
        <f>IF(posicao_contratual!A194="","",posicao_contratual!S194)</f>
        <v/>
      </c>
      <c r="M195" s="144" t="str">
        <f>IF(A195="TOTAL",ROUND(SUM($M$3:M194),2),IF(OR(A195="",K195="",L195=""),"",ROUND(K195*L195,2)))</f>
        <v/>
      </c>
      <c r="N195" s="142" t="str">
        <f>IF(OR(itens_Remanesc!A194="",NOT(ISNUMBER(parametros!$F$6))),"",ROUND(itens_Remanesc!C194*parametros!$F$6,2))</f>
        <v/>
      </c>
      <c r="O195" s="143" t="str">
        <f>IF(posicao_contratual!A194="","",posicao_contratual!W194)</f>
        <v/>
      </c>
      <c r="P195" s="142" t="str">
        <f>IF(A195="TOTAL",ROUND(SUM($P$3:P194),2),IF(OR(A195="",N195="",O195=""),"",ROUND(N195*O195,2)))</f>
        <v/>
      </c>
    </row>
    <row r="196" spans="1:16" x14ac:dyDescent="0.35">
      <c r="A196" s="141" t="str">
        <f>IF(AND(itens_Remanesc!A195="",itens_Remanesc!A194&lt;&gt;"",COUNTIF(itens_Remanesc!A196:$A$200,"&lt;&gt;")=0),"TOTAL",IF(itens_Remanesc!A195="","",itens_Remanesc!A195))</f>
        <v/>
      </c>
      <c r="B196" s="142" t="str">
        <f>IF(OR(itens_Remanesc!A195="",NOT(ISNUMBER(parametros!$F$2))),"",ROUND(itens_Remanesc!C195*parametros!$F$2,2))</f>
        <v/>
      </c>
      <c r="C196" s="143" t="str">
        <f>IF(posicao_contratual!A195="","",posicao_contratual!G195)</f>
        <v/>
      </c>
      <c r="D196" s="142" t="str">
        <f>IF(A196="TOTAL",ROUND(SUM($D$3:D195),2),IF(A196="","",ROUND(B196*C196,2)))</f>
        <v/>
      </c>
      <c r="E196" s="144" t="str">
        <f>IF(OR(itens_Remanesc!A195="",NOT(ISNUMBER(parametros!$F$3))),"",ROUND(itens_Remanesc!C195*parametros!$F$3,2))</f>
        <v/>
      </c>
      <c r="F196" s="145" t="str">
        <f>IF(posicao_contratual!A195="","",posicao_contratual!K195)</f>
        <v/>
      </c>
      <c r="G196" s="144" t="str">
        <f>IF(A196="TOTAL",ROUND(SUM($G$3:G195),2),IF(OR(A196="",E196="",F196=""),"",ROUND(E196*F196,2)))</f>
        <v/>
      </c>
      <c r="H196" s="142" t="str">
        <f>IF(OR(itens_Remanesc!A195="",NOT(ISNUMBER(parametros!$F$4))),"",ROUND(itens_Remanesc!C195*parametros!$F$4,2))</f>
        <v/>
      </c>
      <c r="I196" s="143" t="str">
        <f>IF(posicao_contratual!A195="","",posicao_contratual!O195)</f>
        <v/>
      </c>
      <c r="J196" s="142" t="str">
        <f>IF(A196="TOTAL",ROUND(SUM($J$3:J195),2),IF(OR(A196="",H196="",I196=""),"",ROUND(H196*I196,2)))</f>
        <v/>
      </c>
      <c r="K196" s="144" t="str">
        <f>IF(OR(itens_Remanesc!A195="",NOT(ISNUMBER(parametros!$F$5))),"",ROUND(itens_Remanesc!C195*parametros!$F$5,2))</f>
        <v/>
      </c>
      <c r="L196" s="145" t="str">
        <f>IF(posicao_contratual!A195="","",posicao_contratual!S195)</f>
        <v/>
      </c>
      <c r="M196" s="144" t="str">
        <f>IF(A196="TOTAL",ROUND(SUM($M$3:M195),2),IF(OR(A196="",K196="",L196=""),"",ROUND(K196*L196,2)))</f>
        <v/>
      </c>
      <c r="N196" s="142" t="str">
        <f>IF(OR(itens_Remanesc!A195="",NOT(ISNUMBER(parametros!$F$6))),"",ROUND(itens_Remanesc!C195*parametros!$F$6,2))</f>
        <v/>
      </c>
      <c r="O196" s="143" t="str">
        <f>IF(posicao_contratual!A195="","",posicao_contratual!W195)</f>
        <v/>
      </c>
      <c r="P196" s="142" t="str">
        <f>IF(A196="TOTAL",ROUND(SUM($P$3:P195),2),IF(OR(A196="",N196="",O196=""),"",ROUND(N196*O196,2)))</f>
        <v/>
      </c>
    </row>
    <row r="197" spans="1:16" x14ac:dyDescent="0.35">
      <c r="A197" s="141" t="str">
        <f>IF(AND(itens_Remanesc!A196="",itens_Remanesc!A195&lt;&gt;"",COUNTIF(itens_Remanesc!A197:$A$200,"&lt;&gt;")=0),"TOTAL",IF(itens_Remanesc!A196="","",itens_Remanesc!A196))</f>
        <v/>
      </c>
      <c r="B197" s="142" t="str">
        <f>IF(OR(itens_Remanesc!A196="",NOT(ISNUMBER(parametros!$F$2))),"",ROUND(itens_Remanesc!C196*parametros!$F$2,2))</f>
        <v/>
      </c>
      <c r="C197" s="143" t="str">
        <f>IF(posicao_contratual!A196="","",posicao_contratual!G196)</f>
        <v/>
      </c>
      <c r="D197" s="142" t="str">
        <f>IF(A197="TOTAL",ROUND(SUM($D$3:D196),2),IF(A197="","",ROUND(B197*C197,2)))</f>
        <v/>
      </c>
      <c r="E197" s="144" t="str">
        <f>IF(OR(itens_Remanesc!A196="",NOT(ISNUMBER(parametros!$F$3))),"",ROUND(itens_Remanesc!C196*parametros!$F$3,2))</f>
        <v/>
      </c>
      <c r="F197" s="145" t="str">
        <f>IF(posicao_contratual!A196="","",posicao_contratual!K196)</f>
        <v/>
      </c>
      <c r="G197" s="144" t="str">
        <f>IF(A197="TOTAL",ROUND(SUM($G$3:G196),2),IF(OR(A197="",E197="",F197=""),"",ROUND(E197*F197,2)))</f>
        <v/>
      </c>
      <c r="H197" s="142" t="str">
        <f>IF(OR(itens_Remanesc!A196="",NOT(ISNUMBER(parametros!$F$4))),"",ROUND(itens_Remanesc!C196*parametros!$F$4,2))</f>
        <v/>
      </c>
      <c r="I197" s="143" t="str">
        <f>IF(posicao_contratual!A196="","",posicao_contratual!O196)</f>
        <v/>
      </c>
      <c r="J197" s="142" t="str">
        <f>IF(A197="TOTAL",ROUND(SUM($J$3:J196),2),IF(OR(A197="",H197="",I197=""),"",ROUND(H197*I197,2)))</f>
        <v/>
      </c>
      <c r="K197" s="144" t="str">
        <f>IF(OR(itens_Remanesc!A196="",NOT(ISNUMBER(parametros!$F$5))),"",ROUND(itens_Remanesc!C196*parametros!$F$5,2))</f>
        <v/>
      </c>
      <c r="L197" s="145" t="str">
        <f>IF(posicao_contratual!A196="","",posicao_contratual!S196)</f>
        <v/>
      </c>
      <c r="M197" s="144" t="str">
        <f>IF(A197="TOTAL",ROUND(SUM($M$3:M196),2),IF(OR(A197="",K197="",L197=""),"",ROUND(K197*L197,2)))</f>
        <v/>
      </c>
      <c r="N197" s="142" t="str">
        <f>IF(OR(itens_Remanesc!A196="",NOT(ISNUMBER(parametros!$F$6))),"",ROUND(itens_Remanesc!C196*parametros!$F$6,2))</f>
        <v/>
      </c>
      <c r="O197" s="143" t="str">
        <f>IF(posicao_contratual!A196="","",posicao_contratual!W196)</f>
        <v/>
      </c>
      <c r="P197" s="142" t="str">
        <f>IF(A197="TOTAL",ROUND(SUM($P$3:P196),2),IF(OR(A197="",N197="",O197=""),"",ROUND(N197*O197,2)))</f>
        <v/>
      </c>
    </row>
    <row r="198" spans="1:16" x14ac:dyDescent="0.35">
      <c r="A198" s="141" t="str">
        <f>IF(AND(itens_Remanesc!A197="",itens_Remanesc!A196&lt;&gt;"",COUNTIF(itens_Remanesc!A198:$A$200,"&lt;&gt;")=0),"TOTAL",IF(itens_Remanesc!A197="","",itens_Remanesc!A197))</f>
        <v/>
      </c>
      <c r="B198" s="142" t="str">
        <f>IF(OR(itens_Remanesc!A197="",NOT(ISNUMBER(parametros!$F$2))),"",ROUND(itens_Remanesc!C197*parametros!$F$2,2))</f>
        <v/>
      </c>
      <c r="C198" s="143" t="str">
        <f>IF(posicao_contratual!A197="","",posicao_contratual!G197)</f>
        <v/>
      </c>
      <c r="D198" s="142" t="str">
        <f>IF(A198="TOTAL",ROUND(SUM($D$3:D197),2),IF(A198="","",ROUND(B198*C198,2)))</f>
        <v/>
      </c>
      <c r="E198" s="144" t="str">
        <f>IF(OR(itens_Remanesc!A197="",NOT(ISNUMBER(parametros!$F$3))),"",ROUND(itens_Remanesc!C197*parametros!$F$3,2))</f>
        <v/>
      </c>
      <c r="F198" s="145" t="str">
        <f>IF(posicao_contratual!A197="","",posicao_contratual!K197)</f>
        <v/>
      </c>
      <c r="G198" s="144" t="str">
        <f>IF(A198="TOTAL",ROUND(SUM($G$3:G197),2),IF(OR(A198="",E198="",F198=""),"",ROUND(E198*F198,2)))</f>
        <v/>
      </c>
      <c r="H198" s="142" t="str">
        <f>IF(OR(itens_Remanesc!A197="",NOT(ISNUMBER(parametros!$F$4))),"",ROUND(itens_Remanesc!C197*parametros!$F$4,2))</f>
        <v/>
      </c>
      <c r="I198" s="143" t="str">
        <f>IF(posicao_contratual!A197="","",posicao_contratual!O197)</f>
        <v/>
      </c>
      <c r="J198" s="142" t="str">
        <f>IF(A198="TOTAL",ROUND(SUM($J$3:J197),2),IF(OR(A198="",H198="",I198=""),"",ROUND(H198*I198,2)))</f>
        <v/>
      </c>
      <c r="K198" s="144" t="str">
        <f>IF(OR(itens_Remanesc!A197="",NOT(ISNUMBER(parametros!$F$5))),"",ROUND(itens_Remanesc!C197*parametros!$F$5,2))</f>
        <v/>
      </c>
      <c r="L198" s="145" t="str">
        <f>IF(posicao_contratual!A197="","",posicao_contratual!S197)</f>
        <v/>
      </c>
      <c r="M198" s="144" t="str">
        <f>IF(A198="TOTAL",ROUND(SUM($M$3:M197),2),IF(OR(A198="",K198="",L198=""),"",ROUND(K198*L198,2)))</f>
        <v/>
      </c>
      <c r="N198" s="142" t="str">
        <f>IF(OR(itens_Remanesc!A197="",NOT(ISNUMBER(parametros!$F$6))),"",ROUND(itens_Remanesc!C197*parametros!$F$6,2))</f>
        <v/>
      </c>
      <c r="O198" s="143" t="str">
        <f>IF(posicao_contratual!A197="","",posicao_contratual!W197)</f>
        <v/>
      </c>
      <c r="P198" s="142" t="str">
        <f>IF(A198="TOTAL",ROUND(SUM($P$3:P197),2),IF(OR(A198="",N198="",O198=""),"",ROUND(N198*O198,2)))</f>
        <v/>
      </c>
    </row>
    <row r="199" spans="1:16" x14ac:dyDescent="0.35">
      <c r="A199" s="141" t="str">
        <f>IF(AND(itens_Remanesc!A198="",itens_Remanesc!A197&lt;&gt;"",COUNTIF(itens_Remanesc!A199:$A$200,"&lt;&gt;")=0),"TOTAL",IF(itens_Remanesc!A198="","",itens_Remanesc!A198))</f>
        <v/>
      </c>
      <c r="B199" s="142" t="str">
        <f>IF(OR(itens_Remanesc!A198="",NOT(ISNUMBER(parametros!$F$2))),"",ROUND(itens_Remanesc!C198*parametros!$F$2,2))</f>
        <v/>
      </c>
      <c r="C199" s="143" t="str">
        <f>IF(posicao_contratual!A198="","",posicao_contratual!G198)</f>
        <v/>
      </c>
      <c r="D199" s="142" t="str">
        <f>IF(A199="TOTAL",ROUND(SUM($D$3:D198),2),IF(A199="","",ROUND(B199*C199,2)))</f>
        <v/>
      </c>
      <c r="E199" s="144" t="str">
        <f>IF(OR(itens_Remanesc!A198="",NOT(ISNUMBER(parametros!$F$3))),"",ROUND(itens_Remanesc!C198*parametros!$F$3,2))</f>
        <v/>
      </c>
      <c r="F199" s="145" t="str">
        <f>IF(posicao_contratual!A198="","",posicao_contratual!K198)</f>
        <v/>
      </c>
      <c r="G199" s="144" t="str">
        <f>IF(A199="TOTAL",ROUND(SUM($G$3:G198),2),IF(OR(A199="",E199="",F199=""),"",ROUND(E199*F199,2)))</f>
        <v/>
      </c>
      <c r="H199" s="142" t="str">
        <f>IF(OR(itens_Remanesc!A198="",NOT(ISNUMBER(parametros!$F$4))),"",ROUND(itens_Remanesc!C198*parametros!$F$4,2))</f>
        <v/>
      </c>
      <c r="I199" s="143" t="str">
        <f>IF(posicao_contratual!A198="","",posicao_contratual!O198)</f>
        <v/>
      </c>
      <c r="J199" s="142" t="str">
        <f>IF(A199="TOTAL",ROUND(SUM($J$3:J198),2),IF(OR(A199="",H199="",I199=""),"",ROUND(H199*I199,2)))</f>
        <v/>
      </c>
      <c r="K199" s="144" t="str">
        <f>IF(OR(itens_Remanesc!A198="",NOT(ISNUMBER(parametros!$F$5))),"",ROUND(itens_Remanesc!C198*parametros!$F$5,2))</f>
        <v/>
      </c>
      <c r="L199" s="145" t="str">
        <f>IF(posicao_contratual!A198="","",posicao_contratual!S198)</f>
        <v/>
      </c>
      <c r="M199" s="144" t="str">
        <f>IF(A199="TOTAL",ROUND(SUM($M$3:M198),2),IF(OR(A199="",K199="",L199=""),"",ROUND(K199*L199,2)))</f>
        <v/>
      </c>
      <c r="N199" s="142" t="str">
        <f>IF(OR(itens_Remanesc!A198="",NOT(ISNUMBER(parametros!$F$6))),"",ROUND(itens_Remanesc!C198*parametros!$F$6,2))</f>
        <v/>
      </c>
      <c r="O199" s="143" t="str">
        <f>IF(posicao_contratual!A198="","",posicao_contratual!W198)</f>
        <v/>
      </c>
      <c r="P199" s="142" t="str">
        <f>IF(A199="TOTAL",ROUND(SUM($P$3:P198),2),IF(OR(A199="",N199="",O199=""),"",ROUND(N199*O199,2)))</f>
        <v/>
      </c>
    </row>
    <row r="200" spans="1:16" x14ac:dyDescent="0.35">
      <c r="A200" s="141" t="str">
        <f>IF(AND(itens_Remanesc!A199="",itens_Remanesc!A198&lt;&gt;"",COUNTIF(itens_Remanesc!A200:$A$200,"&lt;&gt;")=0),"TOTAL",IF(itens_Remanesc!A199="","",itens_Remanesc!A199))</f>
        <v/>
      </c>
      <c r="B200" s="142" t="str">
        <f>IF(OR(itens_Remanesc!A199="",NOT(ISNUMBER(parametros!$F$2))),"",ROUND(itens_Remanesc!C199*parametros!$F$2,2))</f>
        <v/>
      </c>
      <c r="C200" s="143" t="str">
        <f>IF(posicao_contratual!A199="","",posicao_contratual!G199)</f>
        <v/>
      </c>
      <c r="D200" s="142" t="str">
        <f>IF(A200="TOTAL",ROUND(SUM($D$3:D199),2),IF(A200="","",ROUND(B200*C200,2)))</f>
        <v/>
      </c>
      <c r="E200" s="144" t="str">
        <f>IF(OR(itens_Remanesc!A199="",NOT(ISNUMBER(parametros!$F$3))),"",ROUND(itens_Remanesc!C199*parametros!$F$3,2))</f>
        <v/>
      </c>
      <c r="F200" s="145" t="str">
        <f>IF(posicao_contratual!A199="","",posicao_contratual!K199)</f>
        <v/>
      </c>
      <c r="G200" s="144" t="str">
        <f>IF(A200="TOTAL",ROUND(SUM($G$3:G199),2),IF(OR(A200="",E200="",F200=""),"",ROUND(E200*F200,2)))</f>
        <v/>
      </c>
      <c r="H200" s="142" t="str">
        <f>IF(OR(itens_Remanesc!A199="",NOT(ISNUMBER(parametros!$F$4))),"",ROUND(itens_Remanesc!C199*parametros!$F$4,2))</f>
        <v/>
      </c>
      <c r="I200" s="143" t="str">
        <f>IF(posicao_contratual!A199="","",posicao_contratual!O199)</f>
        <v/>
      </c>
      <c r="J200" s="142" t="str">
        <f>IF(A200="TOTAL",ROUND(SUM($J$3:J199),2),IF(OR(A200="",H200="",I200=""),"",ROUND(H200*I200,2)))</f>
        <v/>
      </c>
      <c r="K200" s="144" t="str">
        <f>IF(OR(itens_Remanesc!A199="",NOT(ISNUMBER(parametros!$F$5))),"",ROUND(itens_Remanesc!C199*parametros!$F$5,2))</f>
        <v/>
      </c>
      <c r="L200" s="145" t="str">
        <f>IF(posicao_contratual!A199="","",posicao_contratual!S199)</f>
        <v/>
      </c>
      <c r="M200" s="144" t="str">
        <f>IF(A200="TOTAL",ROUND(SUM($M$3:M199),2),IF(OR(A200="",K200="",L200=""),"",ROUND(K200*L200,2)))</f>
        <v/>
      </c>
      <c r="N200" s="142" t="str">
        <f>IF(OR(itens_Remanesc!A199="",NOT(ISNUMBER(parametros!$F$6))),"",ROUND(itens_Remanesc!C199*parametros!$F$6,2))</f>
        <v/>
      </c>
      <c r="O200" s="143" t="str">
        <f>IF(posicao_contratual!A199="","",posicao_contratual!W199)</f>
        <v/>
      </c>
      <c r="P200" s="142" t="str">
        <f>IF(A200="TOTAL",ROUND(SUM($P$3:P199),2),IF(OR(A200="",N200="",O200=""),"",ROUND(N200*O200,2)))</f>
        <v/>
      </c>
    </row>
    <row r="201" spans="1:16" x14ac:dyDescent="0.35">
      <c r="A201" s="141" t="str">
        <f>IF(AND(itens_Remanesc!A200="",itens_Remanesc!A199&lt;&gt;"",COUNTIF(itens_Remanesc!A$200:$A201,"&lt;&gt;")=0),"TOTAL",IF(itens_Remanesc!A200="","",itens_Remanesc!A200))</f>
        <v/>
      </c>
      <c r="B201" s="142" t="str">
        <f>IF(OR(itens_Remanesc!A200="",NOT(ISNUMBER(parametros!$F$2))),"",ROUND(itens_Remanesc!C200*parametros!$F$2,2))</f>
        <v/>
      </c>
      <c r="C201" s="143" t="str">
        <f>IF(posicao_contratual!A200="","",posicao_contratual!G200)</f>
        <v/>
      </c>
      <c r="D201" s="142" t="str">
        <f>IF(A201="TOTAL",ROUND(SUM($D$3:D200),2),IF(A201="","",ROUND(B201*C201,2)))</f>
        <v/>
      </c>
      <c r="E201" s="144" t="str">
        <f>IF(OR(itens_Remanesc!A200="",NOT(ISNUMBER(parametros!$F$3))),"",ROUND(itens_Remanesc!C200*parametros!$F$3,2))</f>
        <v/>
      </c>
      <c r="F201" s="145" t="str">
        <f>IF(posicao_contratual!A200="","",posicao_contratual!K200)</f>
        <v/>
      </c>
      <c r="G201" s="144" t="str">
        <f>IF(A201="TOTAL",ROUND(SUM($G$3:G200),2),IF(OR(A201="",E201="",F201=""),"",ROUND(E201*F201,2)))</f>
        <v/>
      </c>
      <c r="H201" s="142" t="str">
        <f>IF(OR(itens_Remanesc!A200="",NOT(ISNUMBER(parametros!$F$4))),"",ROUND(itens_Remanesc!C200*parametros!$F$4,2))</f>
        <v/>
      </c>
      <c r="I201" s="143" t="str">
        <f>IF(posicao_contratual!A200="","",posicao_contratual!O200)</f>
        <v/>
      </c>
      <c r="J201" s="142" t="str">
        <f>IF(A201="TOTAL",ROUND(SUM($J$3:J200),2),IF(OR(A201="",H201="",I201=""),"",ROUND(H201*I201,2)))</f>
        <v/>
      </c>
      <c r="K201" s="144" t="str">
        <f>IF(OR(itens_Remanesc!A200="",NOT(ISNUMBER(parametros!$F$5))),"",ROUND(itens_Remanesc!C200*parametros!$F$5,2))</f>
        <v/>
      </c>
      <c r="L201" s="145" t="str">
        <f>IF(posicao_contratual!A200="","",posicao_contratual!S200)</f>
        <v/>
      </c>
      <c r="M201" s="144" t="str">
        <f>IF(A201="TOTAL",ROUND(SUM($M$3:M200),2),IF(OR(A201="",K201="",L201=""),"",ROUND(K201*L201,2)))</f>
        <v/>
      </c>
      <c r="N201" s="142" t="str">
        <f>IF(OR(itens_Remanesc!A200="",NOT(ISNUMBER(parametros!$F$6))),"",ROUND(itens_Remanesc!C200*parametros!$F$6,2))</f>
        <v/>
      </c>
      <c r="O201" s="143" t="str">
        <f>IF(posicao_contratual!A200="","",posicao_contratual!W200)</f>
        <v/>
      </c>
      <c r="P201" s="142" t="str">
        <f>IF(A201="TOTAL",ROUND(SUM($P$3:P200),2),IF(OR(A201="",N201="",O201=""),"",ROUND(N201*O201,2)))</f>
        <v/>
      </c>
    </row>
    <row r="202" spans="1:16" x14ac:dyDescent="0.35">
      <c r="A202" s="141" t="str">
        <f>IF(AND(itens_Remanesc!A201="",itens_Remanesc!A200&lt;&gt;"",COUNTIF(itens_Remanesc!A$200:$A202,"&lt;&gt;")=0),"TOTAL",IF(itens_Remanesc!A201="","",itens_Remanesc!A201))</f>
        <v/>
      </c>
      <c r="B202" s="142" t="str">
        <f>IF(OR(itens_Remanesc!A201="",NOT(ISNUMBER(parametros!$F$2))),"",ROUND(itens_Remanesc!C201*parametros!$F$2,2))</f>
        <v/>
      </c>
      <c r="C202" s="143" t="str">
        <f>IF(posicao_contratual!A201="","",posicao_contratual!G201)</f>
        <v/>
      </c>
      <c r="D202" s="142" t="str">
        <f>IF(A202="TOTAL",ROUND(SUM($D$3:D201),2),IF(A202="","",ROUND(B202*C202,2)))</f>
        <v/>
      </c>
      <c r="E202" s="144" t="str">
        <f>IF(OR(itens_Remanesc!A201="",NOT(ISNUMBER(parametros!$F$3))),"",ROUND(itens_Remanesc!C201*parametros!$F$3,2))</f>
        <v/>
      </c>
      <c r="F202" s="145" t="str">
        <f>IF(posicao_contratual!A201="","",posicao_contratual!K201)</f>
        <v/>
      </c>
      <c r="G202" s="144" t="str">
        <f>IF(A202="TOTAL",ROUND(SUM($G$3:G201),2),IF(OR(A202="",E202="",F202=""),"",ROUND(E202*F202,2)))</f>
        <v/>
      </c>
      <c r="H202" s="142" t="str">
        <f>IF(OR(itens_Remanesc!A201="",NOT(ISNUMBER(parametros!$F$4))),"",ROUND(itens_Remanesc!C201*parametros!$F$4,2))</f>
        <v/>
      </c>
      <c r="I202" s="143" t="str">
        <f>IF(posicao_contratual!A201="","",posicao_contratual!O201)</f>
        <v/>
      </c>
      <c r="J202" s="142" t="str">
        <f>IF(A202="TOTAL",ROUND(SUM($J$3:J201),2),IF(OR(A202="",H202="",I202=""),"",ROUND(H202*I202,2)))</f>
        <v/>
      </c>
      <c r="K202" s="144" t="str">
        <f>IF(OR(itens_Remanesc!A201="",NOT(ISNUMBER(parametros!$F$5))),"",ROUND(itens_Remanesc!C201*parametros!$F$5,2))</f>
        <v/>
      </c>
      <c r="L202" s="145" t="str">
        <f>IF(posicao_contratual!A201="","",posicao_contratual!S201)</f>
        <v/>
      </c>
      <c r="M202" s="144" t="str">
        <f>IF(A202="TOTAL",ROUND(SUM($M$3:M201),2),IF(OR(A202="",K202="",L202=""),"",ROUND(K202*L202,2)))</f>
        <v/>
      </c>
      <c r="N202" s="142" t="str">
        <f>IF(OR(itens_Remanesc!A201="",NOT(ISNUMBER(parametros!$F$6))),"",ROUND(itens_Remanesc!C201*parametros!$F$6,2))</f>
        <v/>
      </c>
      <c r="O202" s="143" t="str">
        <f>IF(posicao_contratual!A201="","",posicao_contratual!W201)</f>
        <v/>
      </c>
      <c r="P202" s="142" t="str">
        <f>IF(A202="TOTAL",ROUND(SUM($P$3:P201),2),IF(OR(A202="",N202="",O202=""),"",ROUND(N202*O202,2)))</f>
        <v/>
      </c>
    </row>
    <row r="203" spans="1:16" x14ac:dyDescent="0.35">
      <c r="A203" s="74"/>
      <c r="B203" s="74"/>
      <c r="C203" s="74"/>
      <c r="D203" s="75"/>
      <c r="E203" s="74"/>
      <c r="F203" s="74"/>
      <c r="G203" s="75"/>
      <c r="H203" s="74"/>
      <c r="I203" s="74"/>
      <c r="J203" s="75"/>
      <c r="K203" s="74"/>
      <c r="L203" s="74"/>
      <c r="M203" s="75"/>
      <c r="N203" s="74"/>
      <c r="O203" s="74"/>
      <c r="P203" s="75"/>
    </row>
  </sheetData>
  <mergeCells count="6">
    <mergeCell ref="H1:J1"/>
    <mergeCell ref="B1:D1"/>
    <mergeCell ref="N1:P1"/>
    <mergeCell ref="A1:A2"/>
    <mergeCell ref="E1:G1"/>
    <mergeCell ref="K1:M1"/>
  </mergeCells>
  <conditionalFormatting sqref="A3:P202">
    <cfRule type="expression" dxfId="5" priority="2">
      <formula>$A3="TOTAL"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210"/>
  <sheetViews>
    <sheetView showGridLines="0" workbookViewId="0">
      <pane xSplit="1" ySplit="1" topLeftCell="Q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1.54296875" customWidth="1"/>
    <col min="2" max="7" width="12" customWidth="1"/>
    <col min="8" max="8" width="16" customWidth="1"/>
    <col min="9" max="9" width="3" customWidth="1"/>
    <col min="10" max="10" width="8" customWidth="1"/>
    <col min="11" max="11" width="14" customWidth="1"/>
    <col min="12" max="12" width="16" customWidth="1"/>
    <col min="13" max="13" width="18" customWidth="1"/>
    <col min="14" max="23" width="23" customWidth="1"/>
  </cols>
  <sheetData>
    <row r="1" spans="1:23" ht="32" customHeight="1" x14ac:dyDescent="0.35">
      <c r="A1" s="54" t="s">
        <v>78</v>
      </c>
      <c r="B1" s="70" t="s">
        <v>148</v>
      </c>
      <c r="C1" s="71" t="s">
        <v>149</v>
      </c>
      <c r="D1" s="76" t="s">
        <v>150</v>
      </c>
      <c r="E1" s="39" t="s">
        <v>151</v>
      </c>
      <c r="F1" s="76" t="s">
        <v>152</v>
      </c>
      <c r="G1" s="39" t="s">
        <v>153</v>
      </c>
      <c r="H1" s="54" t="s">
        <v>154</v>
      </c>
      <c r="I1" s="14"/>
      <c r="J1" s="57" t="s">
        <v>11</v>
      </c>
      <c r="K1" s="57" t="s">
        <v>84</v>
      </c>
      <c r="L1" s="57" t="s">
        <v>4</v>
      </c>
      <c r="M1" s="14"/>
      <c r="N1" s="83" t="s">
        <v>155</v>
      </c>
      <c r="O1" s="83" t="s">
        <v>156</v>
      </c>
      <c r="P1" s="83" t="s">
        <v>157</v>
      </c>
      <c r="Q1" s="83" t="s">
        <v>158</v>
      </c>
      <c r="R1" s="83" t="s">
        <v>159</v>
      </c>
      <c r="S1" s="83" t="s">
        <v>93</v>
      </c>
      <c r="T1" s="83" t="s">
        <v>94</v>
      </c>
      <c r="U1" s="83" t="s">
        <v>95</v>
      </c>
      <c r="V1" s="83" t="s">
        <v>96</v>
      </c>
      <c r="W1" s="83" t="s">
        <v>97</v>
      </c>
    </row>
    <row r="2" spans="1:23" x14ac:dyDescent="0.35">
      <c r="A2" s="111" t="str">
        <f>IF(itens_Remanesc!A2="","",itens_Remanesc!A2)</f>
        <v>ITEM-001</v>
      </c>
      <c r="B2" s="110">
        <f>IF(posicao_contratual!A2="","",posicao_contratual!E2)</f>
        <v>120</v>
      </c>
      <c r="C2" s="104">
        <f>IF(itens_Remanesc!A2="","",itens_Remanesc!C2)</f>
        <v>250</v>
      </c>
      <c r="D2" s="104">
        <f t="shared" ref="D2:D33" si="0">IF(OR(A2="",C2="",NOT(ISNUMBER($L$3))),"",ROUND(C2*$L$3,2))</f>
        <v>262.8</v>
      </c>
      <c r="E2" s="104">
        <f t="shared" ref="E2:E33" si="1">IF(OR(A2="",C2="",NOT(ISNUMBER($L$4))),"",ROUND(C2*$L$4,2))</f>
        <v>272.63</v>
      </c>
      <c r="F2" s="104">
        <f t="shared" ref="F2:F33" si="2">IF(OR(A2="",C2="",NOT(ISNUMBER($L$5))),"",ROUND(C2*$L$5,2))</f>
        <v>280.51</v>
      </c>
      <c r="G2" s="104" t="str">
        <f t="shared" ref="G2:G33" si="3">IF(OR(A2="",C2="",NOT(ISNUMBER($L$6))),"",ROUND(C2*$L$6,2))</f>
        <v/>
      </c>
      <c r="H2" s="149" t="str">
        <f t="shared" ref="H2:H33" si="4">IF(OR(A2="",C2="",C2=0,NOT(ISNUMBER($L$6))),"",ROUND($L$6-1,4))</f>
        <v/>
      </c>
      <c r="I2" s="40"/>
      <c r="J2" s="112" t="s">
        <v>26</v>
      </c>
      <c r="K2" s="114">
        <f>IF(ISNUMBER(parametros!$E$2),parametros!$E$2,"")</f>
        <v>0</v>
      </c>
      <c r="L2" s="115">
        <f>IF(ISNUMBER(parametros!$F$2),parametros!$F$2,"")</f>
        <v>1</v>
      </c>
      <c r="M2" s="40"/>
      <c r="N2" s="182">
        <f>IF(A2="","",posicao_contratual!E2)</f>
        <v>120</v>
      </c>
      <c r="O2" s="180">
        <f>IF(A2="","",posicao_contratual!I2)</f>
        <v>130</v>
      </c>
      <c r="P2" s="180">
        <f>IF(A2="","",posicao_contratual!M2)</f>
        <v>130</v>
      </c>
      <c r="Q2" s="180">
        <f>IF(A2="","",posicao_contratual!Q2)</f>
        <v>130</v>
      </c>
      <c r="R2" s="180">
        <f>IF(A2="","",posicao_contratual!U2)</f>
        <v>130</v>
      </c>
      <c r="S2" s="180">
        <f>IF(A2="","",posicao_contratual!G2)</f>
        <v>120</v>
      </c>
      <c r="T2" s="180">
        <f>IF(A2="","",posicao_contratual!K2)</f>
        <v>120</v>
      </c>
      <c r="U2" s="180">
        <f>IF(A2="","",posicao_contratual!O2)</f>
        <v>120</v>
      </c>
      <c r="V2" s="180">
        <f>IF(A2="","",posicao_contratual!S2)</f>
        <v>120</v>
      </c>
      <c r="W2" s="180">
        <f>IF(A2="","",posicao_contratual!W2)</f>
        <v>120</v>
      </c>
    </row>
    <row r="3" spans="1:23" x14ac:dyDescent="0.35">
      <c r="A3" s="111" t="str">
        <f>IF(itens_Remanesc!A3="","",itens_Remanesc!A3)</f>
        <v>ITEM-002</v>
      </c>
      <c r="B3" s="110">
        <f>IF(posicao_contratual!A3="","",posicao_contratual!E3)</f>
        <v>80</v>
      </c>
      <c r="C3" s="104">
        <f>IF(itens_Remanesc!A3="","",itens_Remanesc!C3)</f>
        <v>1500</v>
      </c>
      <c r="D3" s="104">
        <f t="shared" si="0"/>
        <v>1576.8</v>
      </c>
      <c r="E3" s="104">
        <f t="shared" si="1"/>
        <v>1635.77</v>
      </c>
      <c r="F3" s="104">
        <f t="shared" si="2"/>
        <v>1683.05</v>
      </c>
      <c r="G3" s="104" t="str">
        <f t="shared" si="3"/>
        <v/>
      </c>
      <c r="H3" s="149" t="str">
        <f t="shared" si="4"/>
        <v/>
      </c>
      <c r="I3" s="16"/>
      <c r="J3" s="112" t="s">
        <v>35</v>
      </c>
      <c r="K3" s="114">
        <f>IF(ISNUMBER(parametros!$E$3),parametros!$E$3,"")</f>
        <v>5.1200000000000002E-2</v>
      </c>
      <c r="L3" s="115">
        <f>IF(ISNUMBER(parametros!$F$3),parametros!$F$3,"")</f>
        <v>1.0511999999999999</v>
      </c>
      <c r="M3" s="16"/>
      <c r="N3" s="180">
        <f>IF(A3="","",posicao_contratual!E3)</f>
        <v>80</v>
      </c>
      <c r="O3" s="180">
        <f>IF(A3="","",posicao_contratual!I3)</f>
        <v>80</v>
      </c>
      <c r="P3" s="180">
        <f>IF(A3="","",posicao_contratual!M3)</f>
        <v>80</v>
      </c>
      <c r="Q3" s="180">
        <f>IF(A3="","",posicao_contratual!Q3)</f>
        <v>80</v>
      </c>
      <c r="R3" s="180">
        <f>IF(A3="","",posicao_contratual!U3)</f>
        <v>80</v>
      </c>
      <c r="S3" s="180">
        <f>IF(A3="","",posicao_contratual!G3)</f>
        <v>80</v>
      </c>
      <c r="T3" s="180">
        <f>IF(A3="","",posicao_contratual!K3)</f>
        <v>80</v>
      </c>
      <c r="U3" s="180">
        <f>IF(A3="","",posicao_contratual!O3)</f>
        <v>80</v>
      </c>
      <c r="V3" s="180">
        <f>IF(A3="","",posicao_contratual!S3)</f>
        <v>80</v>
      </c>
      <c r="W3" s="180">
        <f>IF(A3="","",posicao_contratual!W3)</f>
        <v>80</v>
      </c>
    </row>
    <row r="4" spans="1:23" x14ac:dyDescent="0.35">
      <c r="A4" s="111" t="str">
        <f>IF(itens_Remanesc!A4="","",itens_Remanesc!A4)</f>
        <v>ITEM-003</v>
      </c>
      <c r="B4" s="110">
        <f>IF(posicao_contratual!A4="","",posicao_contratual!E4)</f>
        <v>40</v>
      </c>
      <c r="C4" s="104">
        <f>IF(itens_Remanesc!A4="","",itens_Remanesc!C4)</f>
        <v>3200</v>
      </c>
      <c r="D4" s="104">
        <f t="shared" si="0"/>
        <v>3363.84</v>
      </c>
      <c r="E4" s="104">
        <f t="shared" si="1"/>
        <v>3489.65</v>
      </c>
      <c r="F4" s="104">
        <f t="shared" si="2"/>
        <v>3590.5</v>
      </c>
      <c r="G4" s="104" t="str">
        <f t="shared" si="3"/>
        <v/>
      </c>
      <c r="H4" s="149" t="str">
        <f t="shared" si="4"/>
        <v/>
      </c>
      <c r="I4" s="16"/>
      <c r="J4" s="112" t="s">
        <v>37</v>
      </c>
      <c r="K4" s="114">
        <f>IF(ISNUMBER(parametros!$E$4),parametros!$E$4,"")</f>
        <v>3.7400000000000003E-2</v>
      </c>
      <c r="L4" s="115">
        <f>IF(ISNUMBER(parametros!$F$4),parametros!$F$4,"")</f>
        <v>1.09051488</v>
      </c>
      <c r="M4" s="16"/>
      <c r="N4" s="180">
        <f>IF(A4="","",posicao_contratual!E4)</f>
        <v>40</v>
      </c>
      <c r="O4" s="180">
        <f>IF(A4="","",posicao_contratual!I4)</f>
        <v>40</v>
      </c>
      <c r="P4" s="180">
        <f>IF(A4="","",posicao_contratual!M4)</f>
        <v>40</v>
      </c>
      <c r="Q4" s="180">
        <f>IF(A4="","",posicao_contratual!Q4)</f>
        <v>40</v>
      </c>
      <c r="R4" s="180">
        <f>IF(A4="","",posicao_contratual!U4)</f>
        <v>40</v>
      </c>
      <c r="S4" s="180">
        <f>IF(A4="","",posicao_contratual!G4)</f>
        <v>40</v>
      </c>
      <c r="T4" s="180">
        <f>IF(A4="","",posicao_contratual!K4)</f>
        <v>40</v>
      </c>
      <c r="U4" s="180">
        <f>IF(A4="","",posicao_contratual!O4)</f>
        <v>40</v>
      </c>
      <c r="V4" s="180">
        <f>IF(A4="","",posicao_contratual!S4)</f>
        <v>40</v>
      </c>
      <c r="W4" s="180">
        <f>IF(A4="","",posicao_contratual!W4)</f>
        <v>40</v>
      </c>
    </row>
    <row r="5" spans="1:23" x14ac:dyDescent="0.35">
      <c r="A5" s="111" t="str">
        <f>IF(itens_Remanesc!A5="","",itens_Remanesc!A5)</f>
        <v/>
      </c>
      <c r="B5" s="110" t="str">
        <f>IF(posicao_contratual!A5="","",posicao_contratual!E5)</f>
        <v/>
      </c>
      <c r="C5" s="104" t="str">
        <f>IF(itens_Remanesc!A5="","",itens_Remanesc!C5)</f>
        <v/>
      </c>
      <c r="D5" s="104" t="str">
        <f t="shared" si="0"/>
        <v/>
      </c>
      <c r="E5" s="104" t="str">
        <f t="shared" si="1"/>
        <v/>
      </c>
      <c r="F5" s="104" t="str">
        <f t="shared" si="2"/>
        <v/>
      </c>
      <c r="G5" s="104" t="str">
        <f t="shared" si="3"/>
        <v/>
      </c>
      <c r="H5" s="149" t="str">
        <f t="shared" si="4"/>
        <v/>
      </c>
      <c r="I5" s="16"/>
      <c r="J5" s="112" t="s">
        <v>38</v>
      </c>
      <c r="K5" s="114">
        <f>IF(ISNUMBER(parametros!$E$5),parametros!$E$5,"")</f>
        <v>2.8899999999999999E-2</v>
      </c>
      <c r="L5" s="115">
        <f>IF(ISNUMBER(parametros!$F$5),parametros!$F$5,"")</f>
        <v>1.1220307600319999</v>
      </c>
      <c r="M5" s="16"/>
      <c r="N5" s="180" t="str">
        <f>IF(A5="","",posicao_contratual!E5)</f>
        <v/>
      </c>
      <c r="O5" s="180" t="str">
        <f>IF(A5="","",posicao_contratual!I5)</f>
        <v/>
      </c>
      <c r="P5" s="180" t="str">
        <f>IF(A5="","",posicao_contratual!M5)</f>
        <v/>
      </c>
      <c r="Q5" s="180" t="str">
        <f>IF(A5="","",posicao_contratual!Q5)</f>
        <v/>
      </c>
      <c r="R5" s="180" t="str">
        <f>IF(A5="","",posicao_contratual!U5)</f>
        <v/>
      </c>
      <c r="S5" s="180" t="str">
        <f>IF(A5="","",posicao_contratual!G5)</f>
        <v/>
      </c>
      <c r="T5" s="180" t="str">
        <f>IF(A5="","",posicao_contratual!K5)</f>
        <v/>
      </c>
      <c r="U5" s="180" t="str">
        <f>IF(A5="","",posicao_contratual!O5)</f>
        <v/>
      </c>
      <c r="V5" s="180" t="str">
        <f>IF(A5="","",posicao_contratual!S5)</f>
        <v/>
      </c>
      <c r="W5" s="180" t="str">
        <f>IF(A5="","",posicao_contratual!W5)</f>
        <v/>
      </c>
    </row>
    <row r="6" spans="1:23" x14ac:dyDescent="0.35">
      <c r="A6" s="111" t="str">
        <f>IF(itens_Remanesc!A6="","",itens_Remanesc!A6)</f>
        <v/>
      </c>
      <c r="B6" s="110" t="str">
        <f>IF(posicao_contratual!A6="","",posicao_contratual!E6)</f>
        <v/>
      </c>
      <c r="C6" s="104" t="str">
        <f>IF(itens_Remanesc!A6="","",itens_Remanesc!C6)</f>
        <v/>
      </c>
      <c r="D6" s="104" t="str">
        <f t="shared" si="0"/>
        <v/>
      </c>
      <c r="E6" s="104" t="str">
        <f t="shared" si="1"/>
        <v/>
      </c>
      <c r="F6" s="104" t="str">
        <f t="shared" si="2"/>
        <v/>
      </c>
      <c r="G6" s="104" t="str">
        <f t="shared" si="3"/>
        <v/>
      </c>
      <c r="H6" s="149" t="str">
        <f t="shared" si="4"/>
        <v/>
      </c>
      <c r="I6" s="16"/>
      <c r="J6" s="112" t="s">
        <v>39</v>
      </c>
      <c r="K6" s="114" t="str">
        <f>IF(ISNUMBER(parametros!$E$6),parametros!$E$6,"")</f>
        <v/>
      </c>
      <c r="L6" s="115" t="str">
        <f>IF(ISNUMBER(parametros!$F$6),parametros!$F$6,"")</f>
        <v/>
      </c>
      <c r="M6" s="16"/>
      <c r="N6" s="180" t="str">
        <f>IF(A6="","",posicao_contratual!E6)</f>
        <v/>
      </c>
      <c r="O6" s="180" t="str">
        <f>IF(A6="","",posicao_contratual!I6)</f>
        <v/>
      </c>
      <c r="P6" s="180" t="str">
        <f>IF(A6="","",posicao_contratual!M6)</f>
        <v/>
      </c>
      <c r="Q6" s="180" t="str">
        <f>IF(A6="","",posicao_contratual!Q6)</f>
        <v/>
      </c>
      <c r="R6" s="180" t="str">
        <f>IF(A6="","",posicao_contratual!U6)</f>
        <v/>
      </c>
      <c r="S6" s="180" t="str">
        <f>IF(A6="","",posicao_contratual!G6)</f>
        <v/>
      </c>
      <c r="T6" s="180" t="str">
        <f>IF(A6="","",posicao_contratual!K6)</f>
        <v/>
      </c>
      <c r="U6" s="180" t="str">
        <f>IF(A6="","",posicao_contratual!O6)</f>
        <v/>
      </c>
      <c r="V6" s="180" t="str">
        <f>IF(A6="","",posicao_contratual!S6)</f>
        <v/>
      </c>
      <c r="W6" s="180" t="str">
        <f>IF(A6="","",posicao_contratual!W6)</f>
        <v/>
      </c>
    </row>
    <row r="7" spans="1:23" x14ac:dyDescent="0.35">
      <c r="A7" s="111" t="str">
        <f>IF(itens_Remanesc!A7="","",itens_Remanesc!A7)</f>
        <v/>
      </c>
      <c r="B7" s="110" t="str">
        <f>IF(posicao_contratual!A7="","",posicao_contratual!E7)</f>
        <v/>
      </c>
      <c r="C7" s="104" t="str">
        <f>IF(itens_Remanesc!A7="","",itens_Remanesc!C7)</f>
        <v/>
      </c>
      <c r="D7" s="104" t="str">
        <f t="shared" si="0"/>
        <v/>
      </c>
      <c r="E7" s="104" t="str">
        <f t="shared" si="1"/>
        <v/>
      </c>
      <c r="F7" s="104" t="str">
        <f t="shared" si="2"/>
        <v/>
      </c>
      <c r="G7" s="104" t="str">
        <f t="shared" si="3"/>
        <v/>
      </c>
      <c r="H7" s="149" t="str">
        <f t="shared" si="4"/>
        <v/>
      </c>
      <c r="I7" s="16"/>
      <c r="J7" s="16"/>
      <c r="K7" s="16"/>
      <c r="L7" s="16"/>
      <c r="M7" s="16"/>
      <c r="N7" s="180" t="str">
        <f>IF(A7="","",posicao_contratual!E7)</f>
        <v/>
      </c>
      <c r="O7" s="180" t="str">
        <f>IF(A7="","",posicao_contratual!I7)</f>
        <v/>
      </c>
      <c r="P7" s="180" t="str">
        <f>IF(A7="","",posicao_contratual!M7)</f>
        <v/>
      </c>
      <c r="Q7" s="180" t="str">
        <f>IF(A7="","",posicao_contratual!Q7)</f>
        <v/>
      </c>
      <c r="R7" s="180" t="str">
        <f>IF(A7="","",posicao_contratual!U7)</f>
        <v/>
      </c>
      <c r="S7" s="180" t="str">
        <f>IF(A7="","",posicao_contratual!G7)</f>
        <v/>
      </c>
      <c r="T7" s="180" t="str">
        <f>IF(A7="","",posicao_contratual!K7)</f>
        <v/>
      </c>
      <c r="U7" s="180" t="str">
        <f>IF(A7="","",posicao_contratual!O7)</f>
        <v/>
      </c>
      <c r="V7" s="180" t="str">
        <f>IF(A7="","",posicao_contratual!S7)</f>
        <v/>
      </c>
      <c r="W7" s="180" t="str">
        <f>IF(A7="","",posicao_contratual!W7)</f>
        <v/>
      </c>
    </row>
    <row r="8" spans="1:23" x14ac:dyDescent="0.35">
      <c r="A8" s="111" t="str">
        <f>IF(itens_Remanesc!A8="","",itens_Remanesc!A8)</f>
        <v/>
      </c>
      <c r="B8" s="110" t="str">
        <f>IF(posicao_contratual!A8="","",posicao_contratual!E8)</f>
        <v/>
      </c>
      <c r="C8" s="104" t="str">
        <f>IF(itens_Remanesc!A8="","",itens_Remanesc!C8)</f>
        <v/>
      </c>
      <c r="D8" s="104" t="str">
        <f t="shared" si="0"/>
        <v/>
      </c>
      <c r="E8" s="104" t="str">
        <f t="shared" si="1"/>
        <v/>
      </c>
      <c r="F8" s="104" t="str">
        <f t="shared" si="2"/>
        <v/>
      </c>
      <c r="G8" s="104" t="str">
        <f t="shared" si="3"/>
        <v/>
      </c>
      <c r="H8" s="149" t="str">
        <f t="shared" si="4"/>
        <v/>
      </c>
      <c r="I8" s="16"/>
      <c r="J8" s="16"/>
      <c r="K8" s="16"/>
      <c r="L8" s="16"/>
      <c r="M8" s="16"/>
      <c r="N8" s="180" t="str">
        <f>IF(A8="","",posicao_contratual!E8)</f>
        <v/>
      </c>
      <c r="O8" s="180" t="str">
        <f>IF(A8="","",posicao_contratual!I8)</f>
        <v/>
      </c>
      <c r="P8" s="180" t="str">
        <f>IF(A8="","",posicao_contratual!M8)</f>
        <v/>
      </c>
      <c r="Q8" s="180" t="str">
        <f>IF(A8="","",posicao_contratual!Q8)</f>
        <v/>
      </c>
      <c r="R8" s="180" t="str">
        <f>IF(A8="","",posicao_contratual!U8)</f>
        <v/>
      </c>
      <c r="S8" s="180" t="str">
        <f>IF(A8="","",posicao_contratual!G8)</f>
        <v/>
      </c>
      <c r="T8" s="180" t="str">
        <f>IF(A8="","",posicao_contratual!K8)</f>
        <v/>
      </c>
      <c r="U8" s="180" t="str">
        <f>IF(A8="","",posicao_contratual!O8)</f>
        <v/>
      </c>
      <c r="V8" s="180" t="str">
        <f>IF(A8="","",posicao_contratual!S8)</f>
        <v/>
      </c>
      <c r="W8" s="180" t="str">
        <f>IF(A8="","",posicao_contratual!W8)</f>
        <v/>
      </c>
    </row>
    <row r="9" spans="1:23" x14ac:dyDescent="0.35">
      <c r="A9" s="111" t="str">
        <f>IF(itens_Remanesc!A9="","",itens_Remanesc!A9)</f>
        <v/>
      </c>
      <c r="B9" s="110" t="str">
        <f>IF(posicao_contratual!A9="","",posicao_contratual!E9)</f>
        <v/>
      </c>
      <c r="C9" s="104" t="str">
        <f>IF(itens_Remanesc!A9="","",itens_Remanesc!C9)</f>
        <v/>
      </c>
      <c r="D9" s="104" t="str">
        <f t="shared" si="0"/>
        <v/>
      </c>
      <c r="E9" s="104" t="str">
        <f t="shared" si="1"/>
        <v/>
      </c>
      <c r="F9" s="104" t="str">
        <f t="shared" si="2"/>
        <v/>
      </c>
      <c r="G9" s="104" t="str">
        <f t="shared" si="3"/>
        <v/>
      </c>
      <c r="H9" s="149" t="str">
        <f t="shared" si="4"/>
        <v/>
      </c>
      <c r="I9" s="16"/>
      <c r="J9" s="16"/>
      <c r="K9" s="16"/>
      <c r="L9" s="16"/>
      <c r="M9" s="16"/>
      <c r="N9" s="180" t="str">
        <f>IF(A9="","",posicao_contratual!E9)</f>
        <v/>
      </c>
      <c r="O9" s="180" t="str">
        <f>IF(A9="","",posicao_contratual!I9)</f>
        <v/>
      </c>
      <c r="P9" s="180" t="str">
        <f>IF(A9="","",posicao_contratual!M9)</f>
        <v/>
      </c>
      <c r="Q9" s="180" t="str">
        <f>IF(A9="","",posicao_contratual!Q9)</f>
        <v/>
      </c>
      <c r="R9" s="180" t="str">
        <f>IF(A9="","",posicao_contratual!U9)</f>
        <v/>
      </c>
      <c r="S9" s="180" t="str">
        <f>IF(A9="","",posicao_contratual!G9)</f>
        <v/>
      </c>
      <c r="T9" s="180" t="str">
        <f>IF(A9="","",posicao_contratual!K9)</f>
        <v/>
      </c>
      <c r="U9" s="180" t="str">
        <f>IF(A9="","",posicao_contratual!O9)</f>
        <v/>
      </c>
      <c r="V9" s="180" t="str">
        <f>IF(A9="","",posicao_contratual!S9)</f>
        <v/>
      </c>
      <c r="W9" s="180" t="str">
        <f>IF(A9="","",posicao_contratual!W9)</f>
        <v/>
      </c>
    </row>
    <row r="10" spans="1:23" x14ac:dyDescent="0.35">
      <c r="A10" s="111" t="str">
        <f>IF(itens_Remanesc!A10="","",itens_Remanesc!A10)</f>
        <v/>
      </c>
      <c r="B10" s="110" t="str">
        <f>IF(posicao_contratual!A10="","",posicao_contratual!E10)</f>
        <v/>
      </c>
      <c r="C10" s="104" t="str">
        <f>IF(itens_Remanesc!A10="","",itens_Remanesc!C10)</f>
        <v/>
      </c>
      <c r="D10" s="104" t="str">
        <f t="shared" si="0"/>
        <v/>
      </c>
      <c r="E10" s="104" t="str">
        <f t="shared" si="1"/>
        <v/>
      </c>
      <c r="F10" s="104" t="str">
        <f t="shared" si="2"/>
        <v/>
      </c>
      <c r="G10" s="104" t="str">
        <f t="shared" si="3"/>
        <v/>
      </c>
      <c r="H10" s="149" t="str">
        <f t="shared" si="4"/>
        <v/>
      </c>
      <c r="I10" s="16"/>
      <c r="J10" s="16"/>
      <c r="K10" s="16"/>
      <c r="L10" s="16"/>
      <c r="M10" s="16"/>
      <c r="N10" s="180" t="str">
        <f>IF(A10="","",posicao_contratual!E10)</f>
        <v/>
      </c>
      <c r="O10" s="180" t="str">
        <f>IF(A10="","",posicao_contratual!I10)</f>
        <v/>
      </c>
      <c r="P10" s="180" t="str">
        <f>IF(A10="","",posicao_contratual!M10)</f>
        <v/>
      </c>
      <c r="Q10" s="180" t="str">
        <f>IF(A10="","",posicao_contratual!Q10)</f>
        <v/>
      </c>
      <c r="R10" s="180" t="str">
        <f>IF(A10="","",posicao_contratual!U10)</f>
        <v/>
      </c>
      <c r="S10" s="180" t="str">
        <f>IF(A10="","",posicao_contratual!G10)</f>
        <v/>
      </c>
      <c r="T10" s="180" t="str">
        <f>IF(A10="","",posicao_contratual!K10)</f>
        <v/>
      </c>
      <c r="U10" s="180" t="str">
        <f>IF(A10="","",posicao_contratual!O10)</f>
        <v/>
      </c>
      <c r="V10" s="180" t="str">
        <f>IF(A10="","",posicao_contratual!S10)</f>
        <v/>
      </c>
      <c r="W10" s="180" t="str">
        <f>IF(A10="","",posicao_contratual!W10)</f>
        <v/>
      </c>
    </row>
    <row r="11" spans="1:23" x14ac:dyDescent="0.35">
      <c r="A11" s="111" t="str">
        <f>IF(itens_Remanesc!A11="","",itens_Remanesc!A11)</f>
        <v/>
      </c>
      <c r="B11" s="110" t="str">
        <f>IF(posicao_contratual!A11="","",posicao_contratual!E11)</f>
        <v/>
      </c>
      <c r="C11" s="104" t="str">
        <f>IF(itens_Remanesc!A11="","",itens_Remanesc!C11)</f>
        <v/>
      </c>
      <c r="D11" s="104" t="str">
        <f t="shared" si="0"/>
        <v/>
      </c>
      <c r="E11" s="104" t="str">
        <f t="shared" si="1"/>
        <v/>
      </c>
      <c r="F11" s="104" t="str">
        <f t="shared" si="2"/>
        <v/>
      </c>
      <c r="G11" s="104" t="str">
        <f t="shared" si="3"/>
        <v/>
      </c>
      <c r="H11" s="149" t="str">
        <f t="shared" si="4"/>
        <v/>
      </c>
      <c r="I11" s="16"/>
      <c r="J11" s="16"/>
      <c r="K11" s="16"/>
      <c r="L11" s="16"/>
      <c r="M11" s="16"/>
      <c r="N11" s="180" t="str">
        <f>IF(A11="","",posicao_contratual!E11)</f>
        <v/>
      </c>
      <c r="O11" s="180" t="str">
        <f>IF(A11="","",posicao_contratual!I11)</f>
        <v/>
      </c>
      <c r="P11" s="180" t="str">
        <f>IF(A11="","",posicao_contratual!M11)</f>
        <v/>
      </c>
      <c r="Q11" s="180" t="str">
        <f>IF(A11="","",posicao_contratual!Q11)</f>
        <v/>
      </c>
      <c r="R11" s="180" t="str">
        <f>IF(A11="","",posicao_contratual!U11)</f>
        <v/>
      </c>
      <c r="S11" s="180" t="str">
        <f>IF(A11="","",posicao_contratual!G11)</f>
        <v/>
      </c>
      <c r="T11" s="180" t="str">
        <f>IF(A11="","",posicao_contratual!K11)</f>
        <v/>
      </c>
      <c r="U11" s="180" t="str">
        <f>IF(A11="","",posicao_contratual!O11)</f>
        <v/>
      </c>
      <c r="V11" s="180" t="str">
        <f>IF(A11="","",posicao_contratual!S11)</f>
        <v/>
      </c>
      <c r="W11" s="180" t="str">
        <f>IF(A11="","",posicao_contratual!W11)</f>
        <v/>
      </c>
    </row>
    <row r="12" spans="1:23" x14ac:dyDescent="0.35">
      <c r="A12" s="111" t="str">
        <f>IF(itens_Remanesc!A12="","",itens_Remanesc!A12)</f>
        <v/>
      </c>
      <c r="B12" s="110" t="str">
        <f>IF(posicao_contratual!A12="","",posicao_contratual!E12)</f>
        <v/>
      </c>
      <c r="C12" s="104" t="str">
        <f>IF(itens_Remanesc!A12="","",itens_Remanesc!C12)</f>
        <v/>
      </c>
      <c r="D12" s="104" t="str">
        <f t="shared" si="0"/>
        <v/>
      </c>
      <c r="E12" s="104" t="str">
        <f t="shared" si="1"/>
        <v/>
      </c>
      <c r="F12" s="104" t="str">
        <f t="shared" si="2"/>
        <v/>
      </c>
      <c r="G12" s="104" t="str">
        <f t="shared" si="3"/>
        <v/>
      </c>
      <c r="H12" s="149" t="str">
        <f t="shared" si="4"/>
        <v/>
      </c>
      <c r="I12" s="16"/>
      <c r="J12" s="16"/>
      <c r="K12" s="16"/>
      <c r="L12" s="16"/>
      <c r="M12" s="16"/>
      <c r="N12" s="180" t="str">
        <f>IF(A12="","",posicao_contratual!E12)</f>
        <v/>
      </c>
      <c r="O12" s="180" t="str">
        <f>IF(A12="","",posicao_contratual!I12)</f>
        <v/>
      </c>
      <c r="P12" s="180" t="str">
        <f>IF(A12="","",posicao_contratual!M12)</f>
        <v/>
      </c>
      <c r="Q12" s="180" t="str">
        <f>IF(A12="","",posicao_contratual!Q12)</f>
        <v/>
      </c>
      <c r="R12" s="180" t="str">
        <f>IF(A12="","",posicao_contratual!U12)</f>
        <v/>
      </c>
      <c r="S12" s="180" t="str">
        <f>IF(A12="","",posicao_contratual!G12)</f>
        <v/>
      </c>
      <c r="T12" s="180" t="str">
        <f>IF(A12="","",posicao_contratual!K12)</f>
        <v/>
      </c>
      <c r="U12" s="180" t="str">
        <f>IF(A12="","",posicao_contratual!O12)</f>
        <v/>
      </c>
      <c r="V12" s="180" t="str">
        <f>IF(A12="","",posicao_contratual!S12)</f>
        <v/>
      </c>
      <c r="W12" s="180" t="str">
        <f>IF(A12="","",posicao_contratual!W12)</f>
        <v/>
      </c>
    </row>
    <row r="13" spans="1:23" x14ac:dyDescent="0.35">
      <c r="A13" s="111" t="str">
        <f>IF(itens_Remanesc!A13="","",itens_Remanesc!A13)</f>
        <v/>
      </c>
      <c r="B13" s="110" t="str">
        <f>IF(posicao_contratual!A13="","",posicao_contratual!E13)</f>
        <v/>
      </c>
      <c r="C13" s="104" t="str">
        <f>IF(itens_Remanesc!A13="","",itens_Remanesc!C13)</f>
        <v/>
      </c>
      <c r="D13" s="104" t="str">
        <f t="shared" si="0"/>
        <v/>
      </c>
      <c r="E13" s="104" t="str">
        <f t="shared" si="1"/>
        <v/>
      </c>
      <c r="F13" s="104" t="str">
        <f t="shared" si="2"/>
        <v/>
      </c>
      <c r="G13" s="104" t="str">
        <f t="shared" si="3"/>
        <v/>
      </c>
      <c r="H13" s="149" t="str">
        <f t="shared" si="4"/>
        <v/>
      </c>
      <c r="I13" s="16"/>
      <c r="J13" s="16"/>
      <c r="K13" s="16"/>
      <c r="L13" s="16"/>
      <c r="M13" s="16"/>
      <c r="N13" s="180" t="str">
        <f>IF(A13="","",posicao_contratual!E13)</f>
        <v/>
      </c>
      <c r="O13" s="180" t="str">
        <f>IF(A13="","",posicao_contratual!I13)</f>
        <v/>
      </c>
      <c r="P13" s="180" t="str">
        <f>IF(A13="","",posicao_contratual!M13)</f>
        <v/>
      </c>
      <c r="Q13" s="180" t="str">
        <f>IF(A13="","",posicao_contratual!Q13)</f>
        <v/>
      </c>
      <c r="R13" s="180" t="str">
        <f>IF(A13="","",posicao_contratual!U13)</f>
        <v/>
      </c>
      <c r="S13" s="180" t="str">
        <f>IF(A13="","",posicao_contratual!G13)</f>
        <v/>
      </c>
      <c r="T13" s="180" t="str">
        <f>IF(A13="","",posicao_contratual!K13)</f>
        <v/>
      </c>
      <c r="U13" s="180" t="str">
        <f>IF(A13="","",posicao_contratual!O13)</f>
        <v/>
      </c>
      <c r="V13" s="180" t="str">
        <f>IF(A13="","",posicao_contratual!S13)</f>
        <v/>
      </c>
      <c r="W13" s="180" t="str">
        <f>IF(A13="","",posicao_contratual!W13)</f>
        <v/>
      </c>
    </row>
    <row r="14" spans="1:23" x14ac:dyDescent="0.35">
      <c r="A14" s="111" t="str">
        <f>IF(itens_Remanesc!A14="","",itens_Remanesc!A14)</f>
        <v/>
      </c>
      <c r="B14" s="110" t="str">
        <f>IF(posicao_contratual!A14="","",posicao_contratual!E14)</f>
        <v/>
      </c>
      <c r="C14" s="104" t="str">
        <f>IF(itens_Remanesc!A14="","",itens_Remanesc!C14)</f>
        <v/>
      </c>
      <c r="D14" s="104" t="str">
        <f t="shared" si="0"/>
        <v/>
      </c>
      <c r="E14" s="104" t="str">
        <f t="shared" si="1"/>
        <v/>
      </c>
      <c r="F14" s="104" t="str">
        <f t="shared" si="2"/>
        <v/>
      </c>
      <c r="G14" s="104" t="str">
        <f t="shared" si="3"/>
        <v/>
      </c>
      <c r="H14" s="149" t="str">
        <f t="shared" si="4"/>
        <v/>
      </c>
      <c r="I14" s="16"/>
      <c r="J14" s="16"/>
      <c r="K14" s="16"/>
      <c r="L14" s="16"/>
      <c r="M14" s="16"/>
      <c r="N14" s="180" t="str">
        <f>IF(A14="","",posicao_contratual!E14)</f>
        <v/>
      </c>
      <c r="O14" s="180" t="str">
        <f>IF(A14="","",posicao_contratual!I14)</f>
        <v/>
      </c>
      <c r="P14" s="180" t="str">
        <f>IF(A14="","",posicao_contratual!M14)</f>
        <v/>
      </c>
      <c r="Q14" s="180" t="str">
        <f>IF(A14="","",posicao_contratual!Q14)</f>
        <v/>
      </c>
      <c r="R14" s="180" t="str">
        <f>IF(A14="","",posicao_contratual!U14)</f>
        <v/>
      </c>
      <c r="S14" s="180" t="str">
        <f>IF(A14="","",posicao_contratual!G14)</f>
        <v/>
      </c>
      <c r="T14" s="180" t="str">
        <f>IF(A14="","",posicao_contratual!K14)</f>
        <v/>
      </c>
      <c r="U14" s="180" t="str">
        <f>IF(A14="","",posicao_contratual!O14)</f>
        <v/>
      </c>
      <c r="V14" s="180" t="str">
        <f>IF(A14="","",posicao_contratual!S14)</f>
        <v/>
      </c>
      <c r="W14" s="180" t="str">
        <f>IF(A14="","",posicao_contratual!W14)</f>
        <v/>
      </c>
    </row>
    <row r="15" spans="1:23" x14ac:dyDescent="0.35">
      <c r="A15" s="111" t="str">
        <f>IF(itens_Remanesc!A15="","",itens_Remanesc!A15)</f>
        <v/>
      </c>
      <c r="B15" s="110" t="str">
        <f>IF(posicao_contratual!A15="","",posicao_contratual!E15)</f>
        <v/>
      </c>
      <c r="C15" s="104" t="str">
        <f>IF(itens_Remanesc!A15="","",itens_Remanesc!C15)</f>
        <v/>
      </c>
      <c r="D15" s="104" t="str">
        <f t="shared" si="0"/>
        <v/>
      </c>
      <c r="E15" s="104" t="str">
        <f t="shared" si="1"/>
        <v/>
      </c>
      <c r="F15" s="104" t="str">
        <f t="shared" si="2"/>
        <v/>
      </c>
      <c r="G15" s="104" t="str">
        <f t="shared" si="3"/>
        <v/>
      </c>
      <c r="H15" s="149" t="str">
        <f t="shared" si="4"/>
        <v/>
      </c>
      <c r="I15" s="16"/>
      <c r="J15" s="16"/>
      <c r="K15" s="16"/>
      <c r="L15" s="16"/>
      <c r="M15" s="16"/>
      <c r="N15" s="180" t="str">
        <f>IF(A15="","",posicao_contratual!E15)</f>
        <v/>
      </c>
      <c r="O15" s="180" t="str">
        <f>IF(A15="","",posicao_contratual!I15)</f>
        <v/>
      </c>
      <c r="P15" s="180" t="str">
        <f>IF(A15="","",posicao_contratual!M15)</f>
        <v/>
      </c>
      <c r="Q15" s="180" t="str">
        <f>IF(A15="","",posicao_contratual!Q15)</f>
        <v/>
      </c>
      <c r="R15" s="180" t="str">
        <f>IF(A15="","",posicao_contratual!U15)</f>
        <v/>
      </c>
      <c r="S15" s="180" t="str">
        <f>IF(A15="","",posicao_contratual!G15)</f>
        <v/>
      </c>
      <c r="T15" s="180" t="str">
        <f>IF(A15="","",posicao_contratual!K15)</f>
        <v/>
      </c>
      <c r="U15" s="180" t="str">
        <f>IF(A15="","",posicao_contratual!O15)</f>
        <v/>
      </c>
      <c r="V15" s="180" t="str">
        <f>IF(A15="","",posicao_contratual!S15)</f>
        <v/>
      </c>
      <c r="W15" s="180" t="str">
        <f>IF(A15="","",posicao_contratual!W15)</f>
        <v/>
      </c>
    </row>
    <row r="16" spans="1:23" x14ac:dyDescent="0.35">
      <c r="A16" s="111" t="str">
        <f>IF(itens_Remanesc!A16="","",itens_Remanesc!A16)</f>
        <v/>
      </c>
      <c r="B16" s="110" t="str">
        <f>IF(posicao_contratual!A16="","",posicao_contratual!E16)</f>
        <v/>
      </c>
      <c r="C16" s="104" t="str">
        <f>IF(itens_Remanesc!A16="","",itens_Remanesc!C16)</f>
        <v/>
      </c>
      <c r="D16" s="104" t="str">
        <f t="shared" si="0"/>
        <v/>
      </c>
      <c r="E16" s="104" t="str">
        <f t="shared" si="1"/>
        <v/>
      </c>
      <c r="F16" s="104" t="str">
        <f t="shared" si="2"/>
        <v/>
      </c>
      <c r="G16" s="104" t="str">
        <f t="shared" si="3"/>
        <v/>
      </c>
      <c r="H16" s="149" t="str">
        <f t="shared" si="4"/>
        <v/>
      </c>
      <c r="I16" s="16"/>
      <c r="J16" s="16"/>
      <c r="K16" s="16"/>
      <c r="L16" s="16"/>
      <c r="M16" s="16"/>
      <c r="N16" s="180" t="str">
        <f>IF(A16="","",posicao_contratual!E16)</f>
        <v/>
      </c>
      <c r="O16" s="180" t="str">
        <f>IF(A16="","",posicao_contratual!I16)</f>
        <v/>
      </c>
      <c r="P16" s="180" t="str">
        <f>IF(A16="","",posicao_contratual!M16)</f>
        <v/>
      </c>
      <c r="Q16" s="180" t="str">
        <f>IF(A16="","",posicao_contratual!Q16)</f>
        <v/>
      </c>
      <c r="R16" s="180" t="str">
        <f>IF(A16="","",posicao_contratual!U16)</f>
        <v/>
      </c>
      <c r="S16" s="180" t="str">
        <f>IF(A16="","",posicao_contratual!G16)</f>
        <v/>
      </c>
      <c r="T16" s="180" t="str">
        <f>IF(A16="","",posicao_contratual!K16)</f>
        <v/>
      </c>
      <c r="U16" s="180" t="str">
        <f>IF(A16="","",posicao_contratual!O16)</f>
        <v/>
      </c>
      <c r="V16" s="180" t="str">
        <f>IF(A16="","",posicao_contratual!S16)</f>
        <v/>
      </c>
      <c r="W16" s="180" t="str">
        <f>IF(A16="","",posicao_contratual!W16)</f>
        <v/>
      </c>
    </row>
    <row r="17" spans="1:23" x14ac:dyDescent="0.35">
      <c r="A17" s="111" t="str">
        <f>IF(itens_Remanesc!A17="","",itens_Remanesc!A17)</f>
        <v/>
      </c>
      <c r="B17" s="110" t="str">
        <f>IF(posicao_contratual!A17="","",posicao_contratual!E17)</f>
        <v/>
      </c>
      <c r="C17" s="104" t="str">
        <f>IF(itens_Remanesc!A17="","",itens_Remanesc!C17)</f>
        <v/>
      </c>
      <c r="D17" s="104" t="str">
        <f t="shared" si="0"/>
        <v/>
      </c>
      <c r="E17" s="104" t="str">
        <f t="shared" si="1"/>
        <v/>
      </c>
      <c r="F17" s="104" t="str">
        <f t="shared" si="2"/>
        <v/>
      </c>
      <c r="G17" s="104" t="str">
        <f t="shared" si="3"/>
        <v/>
      </c>
      <c r="H17" s="149" t="str">
        <f t="shared" si="4"/>
        <v/>
      </c>
      <c r="I17" s="16"/>
      <c r="J17" s="16"/>
      <c r="K17" s="16"/>
      <c r="L17" s="16"/>
      <c r="M17" s="16"/>
      <c r="N17" s="180" t="str">
        <f>IF(A17="","",posicao_contratual!E17)</f>
        <v/>
      </c>
      <c r="O17" s="180" t="str">
        <f>IF(A17="","",posicao_contratual!I17)</f>
        <v/>
      </c>
      <c r="P17" s="180" t="str">
        <f>IF(A17="","",posicao_contratual!M17)</f>
        <v/>
      </c>
      <c r="Q17" s="180" t="str">
        <f>IF(A17="","",posicao_contratual!Q17)</f>
        <v/>
      </c>
      <c r="R17" s="180" t="str">
        <f>IF(A17="","",posicao_contratual!U17)</f>
        <v/>
      </c>
      <c r="S17" s="180" t="str">
        <f>IF(A17="","",posicao_contratual!G17)</f>
        <v/>
      </c>
      <c r="T17" s="180" t="str">
        <f>IF(A17="","",posicao_contratual!K17)</f>
        <v/>
      </c>
      <c r="U17" s="180" t="str">
        <f>IF(A17="","",posicao_contratual!O17)</f>
        <v/>
      </c>
      <c r="V17" s="180" t="str">
        <f>IF(A17="","",posicao_contratual!S17)</f>
        <v/>
      </c>
      <c r="W17" s="180" t="str">
        <f>IF(A17="","",posicao_contratual!W17)</f>
        <v/>
      </c>
    </row>
    <row r="18" spans="1:23" x14ac:dyDescent="0.35">
      <c r="A18" s="111" t="str">
        <f>IF(itens_Remanesc!A18="","",itens_Remanesc!A18)</f>
        <v/>
      </c>
      <c r="B18" s="110" t="str">
        <f>IF(posicao_contratual!A18="","",posicao_contratual!E18)</f>
        <v/>
      </c>
      <c r="C18" s="104" t="str">
        <f>IF(itens_Remanesc!A18="","",itens_Remanesc!C18)</f>
        <v/>
      </c>
      <c r="D18" s="104" t="str">
        <f t="shared" si="0"/>
        <v/>
      </c>
      <c r="E18" s="104" t="str">
        <f t="shared" si="1"/>
        <v/>
      </c>
      <c r="F18" s="104" t="str">
        <f t="shared" si="2"/>
        <v/>
      </c>
      <c r="G18" s="104" t="str">
        <f t="shared" si="3"/>
        <v/>
      </c>
      <c r="H18" s="149" t="str">
        <f t="shared" si="4"/>
        <v/>
      </c>
      <c r="I18" s="16"/>
      <c r="J18" s="16"/>
      <c r="K18" s="16"/>
      <c r="L18" s="16"/>
      <c r="M18" s="16"/>
      <c r="N18" s="180" t="str">
        <f>IF(A18="","",posicao_contratual!E18)</f>
        <v/>
      </c>
      <c r="O18" s="180" t="str">
        <f>IF(A18="","",posicao_contratual!I18)</f>
        <v/>
      </c>
      <c r="P18" s="180" t="str">
        <f>IF(A18="","",posicao_contratual!M18)</f>
        <v/>
      </c>
      <c r="Q18" s="180" t="str">
        <f>IF(A18="","",posicao_contratual!Q18)</f>
        <v/>
      </c>
      <c r="R18" s="180" t="str">
        <f>IF(A18="","",posicao_contratual!U18)</f>
        <v/>
      </c>
      <c r="S18" s="180" t="str">
        <f>IF(A18="","",posicao_contratual!G18)</f>
        <v/>
      </c>
      <c r="T18" s="180" t="str">
        <f>IF(A18="","",posicao_contratual!K18)</f>
        <v/>
      </c>
      <c r="U18" s="180" t="str">
        <f>IF(A18="","",posicao_contratual!O18)</f>
        <v/>
      </c>
      <c r="V18" s="180" t="str">
        <f>IF(A18="","",posicao_contratual!S18)</f>
        <v/>
      </c>
      <c r="W18" s="180" t="str">
        <f>IF(A18="","",posicao_contratual!W18)</f>
        <v/>
      </c>
    </row>
    <row r="19" spans="1:23" x14ac:dyDescent="0.35">
      <c r="A19" s="111" t="str">
        <f>IF(itens_Remanesc!A19="","",itens_Remanesc!A19)</f>
        <v/>
      </c>
      <c r="B19" s="110" t="str">
        <f>IF(posicao_contratual!A19="","",posicao_contratual!E19)</f>
        <v/>
      </c>
      <c r="C19" s="104" t="str">
        <f>IF(itens_Remanesc!A19="","",itens_Remanesc!C19)</f>
        <v/>
      </c>
      <c r="D19" s="104" t="str">
        <f t="shared" si="0"/>
        <v/>
      </c>
      <c r="E19" s="104" t="str">
        <f t="shared" si="1"/>
        <v/>
      </c>
      <c r="F19" s="104" t="str">
        <f t="shared" si="2"/>
        <v/>
      </c>
      <c r="G19" s="104" t="str">
        <f t="shared" si="3"/>
        <v/>
      </c>
      <c r="H19" s="149" t="str">
        <f t="shared" si="4"/>
        <v/>
      </c>
      <c r="I19" s="16"/>
      <c r="J19" s="16"/>
      <c r="K19" s="16"/>
      <c r="L19" s="16"/>
      <c r="M19" s="16"/>
      <c r="N19" s="180" t="str">
        <f>IF(A19="","",posicao_contratual!E19)</f>
        <v/>
      </c>
      <c r="O19" s="180" t="str">
        <f>IF(A19="","",posicao_contratual!I19)</f>
        <v/>
      </c>
      <c r="P19" s="180" t="str">
        <f>IF(A19="","",posicao_contratual!M19)</f>
        <v/>
      </c>
      <c r="Q19" s="180" t="str">
        <f>IF(A19="","",posicao_contratual!Q19)</f>
        <v/>
      </c>
      <c r="R19" s="180" t="str">
        <f>IF(A19="","",posicao_contratual!U19)</f>
        <v/>
      </c>
      <c r="S19" s="180" t="str">
        <f>IF(A19="","",posicao_contratual!G19)</f>
        <v/>
      </c>
      <c r="T19" s="180" t="str">
        <f>IF(A19="","",posicao_contratual!K19)</f>
        <v/>
      </c>
      <c r="U19" s="180" t="str">
        <f>IF(A19="","",posicao_contratual!O19)</f>
        <v/>
      </c>
      <c r="V19" s="180" t="str">
        <f>IF(A19="","",posicao_contratual!S19)</f>
        <v/>
      </c>
      <c r="W19" s="180" t="str">
        <f>IF(A19="","",posicao_contratual!W19)</f>
        <v/>
      </c>
    </row>
    <row r="20" spans="1:23" x14ac:dyDescent="0.35">
      <c r="A20" s="111" t="str">
        <f>IF(itens_Remanesc!A20="","",itens_Remanesc!A20)</f>
        <v/>
      </c>
      <c r="B20" s="110" t="str">
        <f>IF(posicao_contratual!A20="","",posicao_contratual!E20)</f>
        <v/>
      </c>
      <c r="C20" s="104" t="str">
        <f>IF(itens_Remanesc!A20="","",itens_Remanesc!C20)</f>
        <v/>
      </c>
      <c r="D20" s="104" t="str">
        <f t="shared" si="0"/>
        <v/>
      </c>
      <c r="E20" s="104" t="str">
        <f t="shared" si="1"/>
        <v/>
      </c>
      <c r="F20" s="104" t="str">
        <f t="shared" si="2"/>
        <v/>
      </c>
      <c r="G20" s="104" t="str">
        <f t="shared" si="3"/>
        <v/>
      </c>
      <c r="H20" s="149" t="str">
        <f t="shared" si="4"/>
        <v/>
      </c>
      <c r="I20" s="16"/>
      <c r="J20" s="16"/>
      <c r="K20" s="16"/>
      <c r="L20" s="16"/>
      <c r="M20" s="16"/>
      <c r="N20" s="180" t="str">
        <f>IF(A20="","",posicao_contratual!E20)</f>
        <v/>
      </c>
      <c r="O20" s="180" t="str">
        <f>IF(A20="","",posicao_contratual!I20)</f>
        <v/>
      </c>
      <c r="P20" s="180" t="str">
        <f>IF(A20="","",posicao_contratual!M20)</f>
        <v/>
      </c>
      <c r="Q20" s="180" t="str">
        <f>IF(A20="","",posicao_contratual!Q20)</f>
        <v/>
      </c>
      <c r="R20" s="180" t="str">
        <f>IF(A20="","",posicao_contratual!U20)</f>
        <v/>
      </c>
      <c r="S20" s="180" t="str">
        <f>IF(A20="","",posicao_contratual!G20)</f>
        <v/>
      </c>
      <c r="T20" s="180" t="str">
        <f>IF(A20="","",posicao_contratual!K20)</f>
        <v/>
      </c>
      <c r="U20" s="180" t="str">
        <f>IF(A20="","",posicao_contratual!O20)</f>
        <v/>
      </c>
      <c r="V20" s="180" t="str">
        <f>IF(A20="","",posicao_contratual!S20)</f>
        <v/>
      </c>
      <c r="W20" s="180" t="str">
        <f>IF(A20="","",posicao_contratual!W20)</f>
        <v/>
      </c>
    </row>
    <row r="21" spans="1:23" x14ac:dyDescent="0.35">
      <c r="A21" s="111" t="str">
        <f>IF(itens_Remanesc!A21="","",itens_Remanesc!A21)</f>
        <v/>
      </c>
      <c r="B21" s="110" t="str">
        <f>IF(posicao_contratual!A21="","",posicao_contratual!E21)</f>
        <v/>
      </c>
      <c r="C21" s="104" t="str">
        <f>IF(itens_Remanesc!A21="","",itens_Remanesc!C21)</f>
        <v/>
      </c>
      <c r="D21" s="104" t="str">
        <f t="shared" si="0"/>
        <v/>
      </c>
      <c r="E21" s="104" t="str">
        <f t="shared" si="1"/>
        <v/>
      </c>
      <c r="F21" s="104" t="str">
        <f t="shared" si="2"/>
        <v/>
      </c>
      <c r="G21" s="104" t="str">
        <f t="shared" si="3"/>
        <v/>
      </c>
      <c r="H21" s="149" t="str">
        <f t="shared" si="4"/>
        <v/>
      </c>
      <c r="I21" s="16"/>
      <c r="J21" s="16"/>
      <c r="K21" s="16"/>
      <c r="L21" s="16"/>
      <c r="M21" s="16"/>
      <c r="N21" s="180" t="str">
        <f>IF(A21="","",posicao_contratual!E21)</f>
        <v/>
      </c>
      <c r="O21" s="180" t="str">
        <f>IF(A21="","",posicao_contratual!I21)</f>
        <v/>
      </c>
      <c r="P21" s="180" t="str">
        <f>IF(A21="","",posicao_contratual!M21)</f>
        <v/>
      </c>
      <c r="Q21" s="180" t="str">
        <f>IF(A21="","",posicao_contratual!Q21)</f>
        <v/>
      </c>
      <c r="R21" s="180" t="str">
        <f>IF(A21="","",posicao_contratual!U21)</f>
        <v/>
      </c>
      <c r="S21" s="180" t="str">
        <f>IF(A21="","",posicao_contratual!G21)</f>
        <v/>
      </c>
      <c r="T21" s="180" t="str">
        <f>IF(A21="","",posicao_contratual!K21)</f>
        <v/>
      </c>
      <c r="U21" s="180" t="str">
        <f>IF(A21="","",posicao_contratual!O21)</f>
        <v/>
      </c>
      <c r="V21" s="180" t="str">
        <f>IF(A21="","",posicao_contratual!S21)</f>
        <v/>
      </c>
      <c r="W21" s="180" t="str">
        <f>IF(A21="","",posicao_contratual!W21)</f>
        <v/>
      </c>
    </row>
    <row r="22" spans="1:23" x14ac:dyDescent="0.35">
      <c r="A22" s="111" t="str">
        <f>IF(itens_Remanesc!A22="","",itens_Remanesc!A22)</f>
        <v/>
      </c>
      <c r="B22" s="110" t="str">
        <f>IF(posicao_contratual!A22="","",posicao_contratual!E22)</f>
        <v/>
      </c>
      <c r="C22" s="104" t="str">
        <f>IF(itens_Remanesc!A22="","",itens_Remanesc!C22)</f>
        <v/>
      </c>
      <c r="D22" s="104" t="str">
        <f t="shared" si="0"/>
        <v/>
      </c>
      <c r="E22" s="104" t="str">
        <f t="shared" si="1"/>
        <v/>
      </c>
      <c r="F22" s="104" t="str">
        <f t="shared" si="2"/>
        <v/>
      </c>
      <c r="G22" s="104" t="str">
        <f t="shared" si="3"/>
        <v/>
      </c>
      <c r="H22" s="149" t="str">
        <f t="shared" si="4"/>
        <v/>
      </c>
      <c r="I22" s="16"/>
      <c r="J22" s="16"/>
      <c r="K22" s="16"/>
      <c r="L22" s="16"/>
      <c r="M22" s="16"/>
      <c r="N22" s="180" t="str">
        <f>IF(A22="","",posicao_contratual!E22)</f>
        <v/>
      </c>
      <c r="O22" s="180" t="str">
        <f>IF(A22="","",posicao_contratual!I22)</f>
        <v/>
      </c>
      <c r="P22" s="180" t="str">
        <f>IF(A22="","",posicao_contratual!M22)</f>
        <v/>
      </c>
      <c r="Q22" s="180" t="str">
        <f>IF(A22="","",posicao_contratual!Q22)</f>
        <v/>
      </c>
      <c r="R22" s="180" t="str">
        <f>IF(A22="","",posicao_contratual!U22)</f>
        <v/>
      </c>
      <c r="S22" s="180" t="str">
        <f>IF(A22="","",posicao_contratual!G22)</f>
        <v/>
      </c>
      <c r="T22" s="180" t="str">
        <f>IF(A22="","",posicao_contratual!K22)</f>
        <v/>
      </c>
      <c r="U22" s="180" t="str">
        <f>IF(A22="","",posicao_contratual!O22)</f>
        <v/>
      </c>
      <c r="V22" s="180" t="str">
        <f>IF(A22="","",posicao_contratual!S22)</f>
        <v/>
      </c>
      <c r="W22" s="180" t="str">
        <f>IF(A22="","",posicao_contratual!W22)</f>
        <v/>
      </c>
    </row>
    <row r="23" spans="1:23" x14ac:dyDescent="0.35">
      <c r="A23" s="111" t="str">
        <f>IF(itens_Remanesc!A23="","",itens_Remanesc!A23)</f>
        <v/>
      </c>
      <c r="B23" s="110" t="str">
        <f>IF(posicao_contratual!A23="","",posicao_contratual!E23)</f>
        <v/>
      </c>
      <c r="C23" s="104" t="str">
        <f>IF(itens_Remanesc!A23="","",itens_Remanesc!C23)</f>
        <v/>
      </c>
      <c r="D23" s="104" t="str">
        <f t="shared" si="0"/>
        <v/>
      </c>
      <c r="E23" s="104" t="str">
        <f t="shared" si="1"/>
        <v/>
      </c>
      <c r="F23" s="104" t="str">
        <f t="shared" si="2"/>
        <v/>
      </c>
      <c r="G23" s="104" t="str">
        <f t="shared" si="3"/>
        <v/>
      </c>
      <c r="H23" s="149" t="str">
        <f t="shared" si="4"/>
        <v/>
      </c>
      <c r="I23" s="16"/>
      <c r="J23" s="16"/>
      <c r="K23" s="16"/>
      <c r="L23" s="16"/>
      <c r="M23" s="16"/>
      <c r="N23" s="180" t="str">
        <f>IF(A23="","",posicao_contratual!E23)</f>
        <v/>
      </c>
      <c r="O23" s="180" t="str">
        <f>IF(A23="","",posicao_contratual!I23)</f>
        <v/>
      </c>
      <c r="P23" s="180" t="str">
        <f>IF(A23="","",posicao_contratual!M23)</f>
        <v/>
      </c>
      <c r="Q23" s="180" t="str">
        <f>IF(A23="","",posicao_contratual!Q23)</f>
        <v/>
      </c>
      <c r="R23" s="180" t="str">
        <f>IF(A23="","",posicao_contratual!U23)</f>
        <v/>
      </c>
      <c r="S23" s="180" t="str">
        <f>IF(A23="","",posicao_contratual!G23)</f>
        <v/>
      </c>
      <c r="T23" s="180" t="str">
        <f>IF(A23="","",posicao_contratual!K23)</f>
        <v/>
      </c>
      <c r="U23" s="180" t="str">
        <f>IF(A23="","",posicao_contratual!O23)</f>
        <v/>
      </c>
      <c r="V23" s="180" t="str">
        <f>IF(A23="","",posicao_contratual!S23)</f>
        <v/>
      </c>
      <c r="W23" s="180" t="str">
        <f>IF(A23="","",posicao_contratual!W23)</f>
        <v/>
      </c>
    </row>
    <row r="24" spans="1:23" x14ac:dyDescent="0.35">
      <c r="A24" s="111" t="str">
        <f>IF(itens_Remanesc!A24="","",itens_Remanesc!A24)</f>
        <v/>
      </c>
      <c r="B24" s="110" t="str">
        <f>IF(posicao_contratual!A24="","",posicao_contratual!E24)</f>
        <v/>
      </c>
      <c r="C24" s="104" t="str">
        <f>IF(itens_Remanesc!A24="","",itens_Remanesc!C24)</f>
        <v/>
      </c>
      <c r="D24" s="104" t="str">
        <f t="shared" si="0"/>
        <v/>
      </c>
      <c r="E24" s="104" t="str">
        <f t="shared" si="1"/>
        <v/>
      </c>
      <c r="F24" s="104" t="str">
        <f t="shared" si="2"/>
        <v/>
      </c>
      <c r="G24" s="104" t="str">
        <f t="shared" si="3"/>
        <v/>
      </c>
      <c r="H24" s="149" t="str">
        <f t="shared" si="4"/>
        <v/>
      </c>
      <c r="I24" s="16"/>
      <c r="J24" s="16"/>
      <c r="K24" s="16"/>
      <c r="L24" s="16"/>
      <c r="M24" s="16"/>
      <c r="N24" s="180" t="str">
        <f>IF(A24="","",posicao_contratual!E24)</f>
        <v/>
      </c>
      <c r="O24" s="180" t="str">
        <f>IF(A24="","",posicao_contratual!I24)</f>
        <v/>
      </c>
      <c r="P24" s="180" t="str">
        <f>IF(A24="","",posicao_contratual!M24)</f>
        <v/>
      </c>
      <c r="Q24" s="180" t="str">
        <f>IF(A24="","",posicao_contratual!Q24)</f>
        <v/>
      </c>
      <c r="R24" s="180" t="str">
        <f>IF(A24="","",posicao_contratual!U24)</f>
        <v/>
      </c>
      <c r="S24" s="180" t="str">
        <f>IF(A24="","",posicao_contratual!G24)</f>
        <v/>
      </c>
      <c r="T24" s="180" t="str">
        <f>IF(A24="","",posicao_contratual!K24)</f>
        <v/>
      </c>
      <c r="U24" s="180" t="str">
        <f>IF(A24="","",posicao_contratual!O24)</f>
        <v/>
      </c>
      <c r="V24" s="180" t="str">
        <f>IF(A24="","",posicao_contratual!S24)</f>
        <v/>
      </c>
      <c r="W24" s="180" t="str">
        <f>IF(A24="","",posicao_contratual!W24)</f>
        <v/>
      </c>
    </row>
    <row r="25" spans="1:23" x14ac:dyDescent="0.35">
      <c r="A25" s="111" t="str">
        <f>IF(itens_Remanesc!A25="","",itens_Remanesc!A25)</f>
        <v/>
      </c>
      <c r="B25" s="110" t="str">
        <f>IF(posicao_contratual!A25="","",posicao_contratual!E25)</f>
        <v/>
      </c>
      <c r="C25" s="104" t="str">
        <f>IF(itens_Remanesc!A25="","",itens_Remanesc!C25)</f>
        <v/>
      </c>
      <c r="D25" s="104" t="str">
        <f t="shared" si="0"/>
        <v/>
      </c>
      <c r="E25" s="104" t="str">
        <f t="shared" si="1"/>
        <v/>
      </c>
      <c r="F25" s="104" t="str">
        <f t="shared" si="2"/>
        <v/>
      </c>
      <c r="G25" s="104" t="str">
        <f t="shared" si="3"/>
        <v/>
      </c>
      <c r="H25" s="149" t="str">
        <f t="shared" si="4"/>
        <v/>
      </c>
      <c r="I25" s="16"/>
      <c r="J25" s="16"/>
      <c r="K25" s="16"/>
      <c r="L25" s="16"/>
      <c r="M25" s="16"/>
      <c r="N25" s="180" t="str">
        <f>IF(A25="","",posicao_contratual!E25)</f>
        <v/>
      </c>
      <c r="O25" s="180" t="str">
        <f>IF(A25="","",posicao_contratual!I25)</f>
        <v/>
      </c>
      <c r="P25" s="180" t="str">
        <f>IF(A25="","",posicao_contratual!M25)</f>
        <v/>
      </c>
      <c r="Q25" s="180" t="str">
        <f>IF(A25="","",posicao_contratual!Q25)</f>
        <v/>
      </c>
      <c r="R25" s="180" t="str">
        <f>IF(A25="","",posicao_contratual!U25)</f>
        <v/>
      </c>
      <c r="S25" s="180" t="str">
        <f>IF(A25="","",posicao_contratual!G25)</f>
        <v/>
      </c>
      <c r="T25" s="180" t="str">
        <f>IF(A25="","",posicao_contratual!K25)</f>
        <v/>
      </c>
      <c r="U25" s="180" t="str">
        <f>IF(A25="","",posicao_contratual!O25)</f>
        <v/>
      </c>
      <c r="V25" s="180" t="str">
        <f>IF(A25="","",posicao_contratual!S25)</f>
        <v/>
      </c>
      <c r="W25" s="180" t="str">
        <f>IF(A25="","",posicao_contratual!W25)</f>
        <v/>
      </c>
    </row>
    <row r="26" spans="1:23" x14ac:dyDescent="0.35">
      <c r="A26" s="111" t="str">
        <f>IF(itens_Remanesc!A26="","",itens_Remanesc!A26)</f>
        <v/>
      </c>
      <c r="B26" s="110" t="str">
        <f>IF(posicao_contratual!A26="","",posicao_contratual!E26)</f>
        <v/>
      </c>
      <c r="C26" s="104" t="str">
        <f>IF(itens_Remanesc!A26="","",itens_Remanesc!C26)</f>
        <v/>
      </c>
      <c r="D26" s="104" t="str">
        <f t="shared" si="0"/>
        <v/>
      </c>
      <c r="E26" s="104" t="str">
        <f t="shared" si="1"/>
        <v/>
      </c>
      <c r="F26" s="104" t="str">
        <f t="shared" si="2"/>
        <v/>
      </c>
      <c r="G26" s="104" t="str">
        <f t="shared" si="3"/>
        <v/>
      </c>
      <c r="H26" s="149" t="str">
        <f t="shared" si="4"/>
        <v/>
      </c>
      <c r="I26" s="16"/>
      <c r="J26" s="16"/>
      <c r="K26" s="16"/>
      <c r="L26" s="16"/>
      <c r="M26" s="16"/>
      <c r="N26" s="180" t="str">
        <f>IF(A26="","",posicao_contratual!E26)</f>
        <v/>
      </c>
      <c r="O26" s="180" t="str">
        <f>IF(A26="","",posicao_contratual!I26)</f>
        <v/>
      </c>
      <c r="P26" s="180" t="str">
        <f>IF(A26="","",posicao_contratual!M26)</f>
        <v/>
      </c>
      <c r="Q26" s="180" t="str">
        <f>IF(A26="","",posicao_contratual!Q26)</f>
        <v/>
      </c>
      <c r="R26" s="180" t="str">
        <f>IF(A26="","",posicao_contratual!U26)</f>
        <v/>
      </c>
      <c r="S26" s="180" t="str">
        <f>IF(A26="","",posicao_contratual!G26)</f>
        <v/>
      </c>
      <c r="T26" s="180" t="str">
        <f>IF(A26="","",posicao_contratual!K26)</f>
        <v/>
      </c>
      <c r="U26" s="180" t="str">
        <f>IF(A26="","",posicao_contratual!O26)</f>
        <v/>
      </c>
      <c r="V26" s="180" t="str">
        <f>IF(A26="","",posicao_contratual!S26)</f>
        <v/>
      </c>
      <c r="W26" s="180" t="str">
        <f>IF(A26="","",posicao_contratual!W26)</f>
        <v/>
      </c>
    </row>
    <row r="27" spans="1:23" x14ac:dyDescent="0.35">
      <c r="A27" s="111" t="str">
        <f>IF(itens_Remanesc!A27="","",itens_Remanesc!A27)</f>
        <v/>
      </c>
      <c r="B27" s="110" t="str">
        <f>IF(posicao_contratual!A27="","",posicao_contratual!E27)</f>
        <v/>
      </c>
      <c r="C27" s="104" t="str">
        <f>IF(itens_Remanesc!A27="","",itens_Remanesc!C27)</f>
        <v/>
      </c>
      <c r="D27" s="104" t="str">
        <f t="shared" si="0"/>
        <v/>
      </c>
      <c r="E27" s="104" t="str">
        <f t="shared" si="1"/>
        <v/>
      </c>
      <c r="F27" s="104" t="str">
        <f t="shared" si="2"/>
        <v/>
      </c>
      <c r="G27" s="104" t="str">
        <f t="shared" si="3"/>
        <v/>
      </c>
      <c r="H27" s="149" t="str">
        <f t="shared" si="4"/>
        <v/>
      </c>
      <c r="I27" s="16"/>
      <c r="J27" s="16"/>
      <c r="K27" s="16"/>
      <c r="L27" s="16"/>
      <c r="M27" s="16"/>
      <c r="N27" s="180" t="str">
        <f>IF(A27="","",posicao_contratual!E27)</f>
        <v/>
      </c>
      <c r="O27" s="180" t="str">
        <f>IF(A27="","",posicao_contratual!I27)</f>
        <v/>
      </c>
      <c r="P27" s="180" t="str">
        <f>IF(A27="","",posicao_contratual!M27)</f>
        <v/>
      </c>
      <c r="Q27" s="180" t="str">
        <f>IF(A27="","",posicao_contratual!Q27)</f>
        <v/>
      </c>
      <c r="R27" s="180" t="str">
        <f>IF(A27="","",posicao_contratual!U27)</f>
        <v/>
      </c>
      <c r="S27" s="180" t="str">
        <f>IF(A27="","",posicao_contratual!G27)</f>
        <v/>
      </c>
      <c r="T27" s="180" t="str">
        <f>IF(A27="","",posicao_contratual!K27)</f>
        <v/>
      </c>
      <c r="U27" s="180" t="str">
        <f>IF(A27="","",posicao_contratual!O27)</f>
        <v/>
      </c>
      <c r="V27" s="180" t="str">
        <f>IF(A27="","",posicao_contratual!S27)</f>
        <v/>
      </c>
      <c r="W27" s="180" t="str">
        <f>IF(A27="","",posicao_contratual!W27)</f>
        <v/>
      </c>
    </row>
    <row r="28" spans="1:23" x14ac:dyDescent="0.35">
      <c r="A28" s="111" t="str">
        <f>IF(itens_Remanesc!A28="","",itens_Remanesc!A28)</f>
        <v/>
      </c>
      <c r="B28" s="110" t="str">
        <f>IF(posicao_contratual!A28="","",posicao_contratual!E28)</f>
        <v/>
      </c>
      <c r="C28" s="104" t="str">
        <f>IF(itens_Remanesc!A28="","",itens_Remanesc!C28)</f>
        <v/>
      </c>
      <c r="D28" s="104" t="str">
        <f t="shared" si="0"/>
        <v/>
      </c>
      <c r="E28" s="104" t="str">
        <f t="shared" si="1"/>
        <v/>
      </c>
      <c r="F28" s="104" t="str">
        <f t="shared" si="2"/>
        <v/>
      </c>
      <c r="G28" s="104" t="str">
        <f t="shared" si="3"/>
        <v/>
      </c>
      <c r="H28" s="149" t="str">
        <f t="shared" si="4"/>
        <v/>
      </c>
      <c r="I28" s="16"/>
      <c r="J28" s="16"/>
      <c r="K28" s="16"/>
      <c r="L28" s="16"/>
      <c r="M28" s="16"/>
      <c r="N28" s="180" t="str">
        <f>IF(A28="","",posicao_contratual!E28)</f>
        <v/>
      </c>
      <c r="O28" s="180" t="str">
        <f>IF(A28="","",posicao_contratual!I28)</f>
        <v/>
      </c>
      <c r="P28" s="180" t="str">
        <f>IF(A28="","",posicao_contratual!M28)</f>
        <v/>
      </c>
      <c r="Q28" s="180" t="str">
        <f>IF(A28="","",posicao_contratual!Q28)</f>
        <v/>
      </c>
      <c r="R28" s="180" t="str">
        <f>IF(A28="","",posicao_contratual!U28)</f>
        <v/>
      </c>
      <c r="S28" s="180" t="str">
        <f>IF(A28="","",posicao_contratual!G28)</f>
        <v/>
      </c>
      <c r="T28" s="180" t="str">
        <f>IF(A28="","",posicao_contratual!K28)</f>
        <v/>
      </c>
      <c r="U28" s="180" t="str">
        <f>IF(A28="","",posicao_contratual!O28)</f>
        <v/>
      </c>
      <c r="V28" s="180" t="str">
        <f>IF(A28="","",posicao_contratual!S28)</f>
        <v/>
      </c>
      <c r="W28" s="180" t="str">
        <f>IF(A28="","",posicao_contratual!W28)</f>
        <v/>
      </c>
    </row>
    <row r="29" spans="1:23" x14ac:dyDescent="0.35">
      <c r="A29" s="111" t="str">
        <f>IF(itens_Remanesc!A29="","",itens_Remanesc!A29)</f>
        <v/>
      </c>
      <c r="B29" s="110" t="str">
        <f>IF(posicao_contratual!A29="","",posicao_contratual!E29)</f>
        <v/>
      </c>
      <c r="C29" s="104" t="str">
        <f>IF(itens_Remanesc!A29="","",itens_Remanesc!C29)</f>
        <v/>
      </c>
      <c r="D29" s="104" t="str">
        <f t="shared" si="0"/>
        <v/>
      </c>
      <c r="E29" s="104" t="str">
        <f t="shared" si="1"/>
        <v/>
      </c>
      <c r="F29" s="104" t="str">
        <f t="shared" si="2"/>
        <v/>
      </c>
      <c r="G29" s="104" t="str">
        <f t="shared" si="3"/>
        <v/>
      </c>
      <c r="H29" s="149" t="str">
        <f t="shared" si="4"/>
        <v/>
      </c>
      <c r="I29" s="16"/>
      <c r="J29" s="16"/>
      <c r="K29" s="16"/>
      <c r="L29" s="16"/>
      <c r="M29" s="16"/>
      <c r="N29" s="180" t="str">
        <f>IF(A29="","",posicao_contratual!E29)</f>
        <v/>
      </c>
      <c r="O29" s="180" t="str">
        <f>IF(A29="","",posicao_contratual!I29)</f>
        <v/>
      </c>
      <c r="P29" s="180" t="str">
        <f>IF(A29="","",posicao_contratual!M29)</f>
        <v/>
      </c>
      <c r="Q29" s="180" t="str">
        <f>IF(A29="","",posicao_contratual!Q29)</f>
        <v/>
      </c>
      <c r="R29" s="180" t="str">
        <f>IF(A29="","",posicao_contratual!U29)</f>
        <v/>
      </c>
      <c r="S29" s="180" t="str">
        <f>IF(A29="","",posicao_contratual!G29)</f>
        <v/>
      </c>
      <c r="T29" s="180" t="str">
        <f>IF(A29="","",posicao_contratual!K29)</f>
        <v/>
      </c>
      <c r="U29" s="180" t="str">
        <f>IF(A29="","",posicao_contratual!O29)</f>
        <v/>
      </c>
      <c r="V29" s="180" t="str">
        <f>IF(A29="","",posicao_contratual!S29)</f>
        <v/>
      </c>
      <c r="W29" s="180" t="str">
        <f>IF(A29="","",posicao_contratual!W29)</f>
        <v/>
      </c>
    </row>
    <row r="30" spans="1:23" x14ac:dyDescent="0.35">
      <c r="A30" s="111" t="str">
        <f>IF(itens_Remanesc!A30="","",itens_Remanesc!A30)</f>
        <v/>
      </c>
      <c r="B30" s="110" t="str">
        <f>IF(posicao_contratual!A30="","",posicao_contratual!E30)</f>
        <v/>
      </c>
      <c r="C30" s="104" t="str">
        <f>IF(itens_Remanesc!A30="","",itens_Remanesc!C30)</f>
        <v/>
      </c>
      <c r="D30" s="104" t="str">
        <f t="shared" si="0"/>
        <v/>
      </c>
      <c r="E30" s="104" t="str">
        <f t="shared" si="1"/>
        <v/>
      </c>
      <c r="F30" s="104" t="str">
        <f t="shared" si="2"/>
        <v/>
      </c>
      <c r="G30" s="104" t="str">
        <f t="shared" si="3"/>
        <v/>
      </c>
      <c r="H30" s="149" t="str">
        <f t="shared" si="4"/>
        <v/>
      </c>
      <c r="I30" s="16"/>
      <c r="J30" s="16"/>
      <c r="K30" s="16"/>
      <c r="L30" s="16"/>
      <c r="M30" s="16"/>
      <c r="N30" s="180" t="str">
        <f>IF(A30="","",posicao_contratual!E30)</f>
        <v/>
      </c>
      <c r="O30" s="180" t="str">
        <f>IF(A30="","",posicao_contratual!I30)</f>
        <v/>
      </c>
      <c r="P30" s="180" t="str">
        <f>IF(A30="","",posicao_contratual!M30)</f>
        <v/>
      </c>
      <c r="Q30" s="180" t="str">
        <f>IF(A30="","",posicao_contratual!Q30)</f>
        <v/>
      </c>
      <c r="R30" s="180" t="str">
        <f>IF(A30="","",posicao_contratual!U30)</f>
        <v/>
      </c>
      <c r="S30" s="180" t="str">
        <f>IF(A30="","",posicao_contratual!G30)</f>
        <v/>
      </c>
      <c r="T30" s="180" t="str">
        <f>IF(A30="","",posicao_contratual!K30)</f>
        <v/>
      </c>
      <c r="U30" s="180" t="str">
        <f>IF(A30="","",posicao_contratual!O30)</f>
        <v/>
      </c>
      <c r="V30" s="180" t="str">
        <f>IF(A30="","",posicao_contratual!S30)</f>
        <v/>
      </c>
      <c r="W30" s="180" t="str">
        <f>IF(A30="","",posicao_contratual!W30)</f>
        <v/>
      </c>
    </row>
    <row r="31" spans="1:23" x14ac:dyDescent="0.35">
      <c r="A31" s="111" t="str">
        <f>IF(itens_Remanesc!A31="","",itens_Remanesc!A31)</f>
        <v/>
      </c>
      <c r="B31" s="110" t="str">
        <f>IF(posicao_contratual!A31="","",posicao_contratual!E31)</f>
        <v/>
      </c>
      <c r="C31" s="104" t="str">
        <f>IF(itens_Remanesc!A31="","",itens_Remanesc!C31)</f>
        <v/>
      </c>
      <c r="D31" s="104" t="str">
        <f t="shared" si="0"/>
        <v/>
      </c>
      <c r="E31" s="104" t="str">
        <f t="shared" si="1"/>
        <v/>
      </c>
      <c r="F31" s="104" t="str">
        <f t="shared" si="2"/>
        <v/>
      </c>
      <c r="G31" s="104" t="str">
        <f t="shared" si="3"/>
        <v/>
      </c>
      <c r="H31" s="149" t="str">
        <f t="shared" si="4"/>
        <v/>
      </c>
      <c r="I31" s="16"/>
      <c r="J31" s="16"/>
      <c r="K31" s="16"/>
      <c r="L31" s="16"/>
      <c r="M31" s="16"/>
      <c r="N31" s="180" t="str">
        <f>IF(A31="","",posicao_contratual!E31)</f>
        <v/>
      </c>
      <c r="O31" s="180" t="str">
        <f>IF(A31="","",posicao_contratual!I31)</f>
        <v/>
      </c>
      <c r="P31" s="180" t="str">
        <f>IF(A31="","",posicao_contratual!M31)</f>
        <v/>
      </c>
      <c r="Q31" s="180" t="str">
        <f>IF(A31="","",posicao_contratual!Q31)</f>
        <v/>
      </c>
      <c r="R31" s="180" t="str">
        <f>IF(A31="","",posicao_contratual!U31)</f>
        <v/>
      </c>
      <c r="S31" s="180" t="str">
        <f>IF(A31="","",posicao_contratual!G31)</f>
        <v/>
      </c>
      <c r="T31" s="180" t="str">
        <f>IF(A31="","",posicao_contratual!K31)</f>
        <v/>
      </c>
      <c r="U31" s="180" t="str">
        <f>IF(A31="","",posicao_contratual!O31)</f>
        <v/>
      </c>
      <c r="V31" s="180" t="str">
        <f>IF(A31="","",posicao_contratual!S31)</f>
        <v/>
      </c>
      <c r="W31" s="180" t="str">
        <f>IF(A31="","",posicao_contratual!W31)</f>
        <v/>
      </c>
    </row>
    <row r="32" spans="1:23" x14ac:dyDescent="0.35">
      <c r="A32" s="111" t="str">
        <f>IF(itens_Remanesc!A32="","",itens_Remanesc!A32)</f>
        <v/>
      </c>
      <c r="B32" s="110" t="str">
        <f>IF(posicao_contratual!A32="","",posicao_contratual!E32)</f>
        <v/>
      </c>
      <c r="C32" s="104" t="str">
        <f>IF(itens_Remanesc!A32="","",itens_Remanesc!C32)</f>
        <v/>
      </c>
      <c r="D32" s="104" t="str">
        <f t="shared" si="0"/>
        <v/>
      </c>
      <c r="E32" s="104" t="str">
        <f t="shared" si="1"/>
        <v/>
      </c>
      <c r="F32" s="104" t="str">
        <f t="shared" si="2"/>
        <v/>
      </c>
      <c r="G32" s="104" t="str">
        <f t="shared" si="3"/>
        <v/>
      </c>
      <c r="H32" s="149" t="str">
        <f t="shared" si="4"/>
        <v/>
      </c>
      <c r="I32" s="16"/>
      <c r="J32" s="16"/>
      <c r="K32" s="16"/>
      <c r="L32" s="16"/>
      <c r="M32" s="16"/>
      <c r="N32" s="180" t="str">
        <f>IF(A32="","",posicao_contratual!E32)</f>
        <v/>
      </c>
      <c r="O32" s="180" t="str">
        <f>IF(A32="","",posicao_contratual!I32)</f>
        <v/>
      </c>
      <c r="P32" s="180" t="str">
        <f>IF(A32="","",posicao_contratual!M32)</f>
        <v/>
      </c>
      <c r="Q32" s="180" t="str">
        <f>IF(A32="","",posicao_contratual!Q32)</f>
        <v/>
      </c>
      <c r="R32" s="180" t="str">
        <f>IF(A32="","",posicao_contratual!U32)</f>
        <v/>
      </c>
      <c r="S32" s="180" t="str">
        <f>IF(A32="","",posicao_contratual!G32)</f>
        <v/>
      </c>
      <c r="T32" s="180" t="str">
        <f>IF(A32="","",posicao_contratual!K32)</f>
        <v/>
      </c>
      <c r="U32" s="180" t="str">
        <f>IF(A32="","",posicao_contratual!O32)</f>
        <v/>
      </c>
      <c r="V32" s="180" t="str">
        <f>IF(A32="","",posicao_contratual!S32)</f>
        <v/>
      </c>
      <c r="W32" s="180" t="str">
        <f>IF(A32="","",posicao_contratual!W32)</f>
        <v/>
      </c>
    </row>
    <row r="33" spans="1:23" x14ac:dyDescent="0.35">
      <c r="A33" s="111" t="str">
        <f>IF(itens_Remanesc!A33="","",itens_Remanesc!A33)</f>
        <v/>
      </c>
      <c r="B33" s="110" t="str">
        <f>IF(posicao_contratual!A33="","",posicao_contratual!E33)</f>
        <v/>
      </c>
      <c r="C33" s="104" t="str">
        <f>IF(itens_Remanesc!A33="","",itens_Remanesc!C33)</f>
        <v/>
      </c>
      <c r="D33" s="104" t="str">
        <f t="shared" si="0"/>
        <v/>
      </c>
      <c r="E33" s="104" t="str">
        <f t="shared" si="1"/>
        <v/>
      </c>
      <c r="F33" s="104" t="str">
        <f t="shared" si="2"/>
        <v/>
      </c>
      <c r="G33" s="104" t="str">
        <f t="shared" si="3"/>
        <v/>
      </c>
      <c r="H33" s="149" t="str">
        <f t="shared" si="4"/>
        <v/>
      </c>
      <c r="I33" s="16"/>
      <c r="J33" s="16"/>
      <c r="K33" s="16"/>
      <c r="L33" s="16"/>
      <c r="M33" s="16"/>
      <c r="N33" s="180" t="str">
        <f>IF(A33="","",posicao_contratual!E33)</f>
        <v/>
      </c>
      <c r="O33" s="180" t="str">
        <f>IF(A33="","",posicao_contratual!I33)</f>
        <v/>
      </c>
      <c r="P33" s="180" t="str">
        <f>IF(A33="","",posicao_contratual!M33)</f>
        <v/>
      </c>
      <c r="Q33" s="180" t="str">
        <f>IF(A33="","",posicao_contratual!Q33)</f>
        <v/>
      </c>
      <c r="R33" s="180" t="str">
        <f>IF(A33="","",posicao_contratual!U33)</f>
        <v/>
      </c>
      <c r="S33" s="180" t="str">
        <f>IF(A33="","",posicao_contratual!G33)</f>
        <v/>
      </c>
      <c r="T33" s="180" t="str">
        <f>IF(A33="","",posicao_contratual!K33)</f>
        <v/>
      </c>
      <c r="U33" s="180" t="str">
        <f>IF(A33="","",posicao_contratual!O33)</f>
        <v/>
      </c>
      <c r="V33" s="180" t="str">
        <f>IF(A33="","",posicao_contratual!S33)</f>
        <v/>
      </c>
      <c r="W33" s="180" t="str">
        <f>IF(A33="","",posicao_contratual!W33)</f>
        <v/>
      </c>
    </row>
    <row r="34" spans="1:23" x14ac:dyDescent="0.35">
      <c r="A34" s="111" t="str">
        <f>IF(itens_Remanesc!A34="","",itens_Remanesc!A34)</f>
        <v/>
      </c>
      <c r="B34" s="110" t="str">
        <f>IF(posicao_contratual!A34="","",posicao_contratual!E34)</f>
        <v/>
      </c>
      <c r="C34" s="104" t="str">
        <f>IF(itens_Remanesc!A34="","",itens_Remanesc!C34)</f>
        <v/>
      </c>
      <c r="D34" s="104" t="str">
        <f t="shared" ref="D34:D65" si="5">IF(OR(A34="",C34="",NOT(ISNUMBER($L$3))),"",ROUND(C34*$L$3,2))</f>
        <v/>
      </c>
      <c r="E34" s="104" t="str">
        <f t="shared" ref="E34:E65" si="6">IF(OR(A34="",C34="",NOT(ISNUMBER($L$4))),"",ROUND(C34*$L$4,2))</f>
        <v/>
      </c>
      <c r="F34" s="104" t="str">
        <f t="shared" ref="F34:F65" si="7">IF(OR(A34="",C34="",NOT(ISNUMBER($L$5))),"",ROUND(C34*$L$5,2))</f>
        <v/>
      </c>
      <c r="G34" s="104" t="str">
        <f t="shared" ref="G34:G65" si="8">IF(OR(A34="",C34="",NOT(ISNUMBER($L$6))),"",ROUND(C34*$L$6,2))</f>
        <v/>
      </c>
      <c r="H34" s="149" t="str">
        <f t="shared" ref="H34:H65" si="9">IF(OR(A34="",C34="",C34=0,NOT(ISNUMBER($L$6))),"",ROUND($L$6-1,4))</f>
        <v/>
      </c>
      <c r="I34" s="16"/>
      <c r="J34" s="16"/>
      <c r="K34" s="16"/>
      <c r="L34" s="16"/>
      <c r="M34" s="16"/>
      <c r="N34" s="180" t="str">
        <f>IF(A34="","",posicao_contratual!E34)</f>
        <v/>
      </c>
      <c r="O34" s="180" t="str">
        <f>IF(A34="","",posicao_contratual!I34)</f>
        <v/>
      </c>
      <c r="P34" s="180" t="str">
        <f>IF(A34="","",posicao_contratual!M34)</f>
        <v/>
      </c>
      <c r="Q34" s="180" t="str">
        <f>IF(A34="","",posicao_contratual!Q34)</f>
        <v/>
      </c>
      <c r="R34" s="180" t="str">
        <f>IF(A34="","",posicao_contratual!U34)</f>
        <v/>
      </c>
      <c r="S34" s="180" t="str">
        <f>IF(A34="","",posicao_contratual!G34)</f>
        <v/>
      </c>
      <c r="T34" s="180" t="str">
        <f>IF(A34="","",posicao_contratual!K34)</f>
        <v/>
      </c>
      <c r="U34" s="180" t="str">
        <f>IF(A34="","",posicao_contratual!O34)</f>
        <v/>
      </c>
      <c r="V34" s="180" t="str">
        <f>IF(A34="","",posicao_contratual!S34)</f>
        <v/>
      </c>
      <c r="W34" s="180" t="str">
        <f>IF(A34="","",posicao_contratual!W34)</f>
        <v/>
      </c>
    </row>
    <row r="35" spans="1:23" x14ac:dyDescent="0.35">
      <c r="A35" s="111" t="str">
        <f>IF(itens_Remanesc!A35="","",itens_Remanesc!A35)</f>
        <v/>
      </c>
      <c r="B35" s="110" t="str">
        <f>IF(posicao_contratual!A35="","",posicao_contratual!E35)</f>
        <v/>
      </c>
      <c r="C35" s="104" t="str">
        <f>IF(itens_Remanesc!A35="","",itens_Remanesc!C35)</f>
        <v/>
      </c>
      <c r="D35" s="104" t="str">
        <f t="shared" si="5"/>
        <v/>
      </c>
      <c r="E35" s="104" t="str">
        <f t="shared" si="6"/>
        <v/>
      </c>
      <c r="F35" s="104" t="str">
        <f t="shared" si="7"/>
        <v/>
      </c>
      <c r="G35" s="104" t="str">
        <f t="shared" si="8"/>
        <v/>
      </c>
      <c r="H35" s="149" t="str">
        <f t="shared" si="9"/>
        <v/>
      </c>
      <c r="I35" s="16"/>
      <c r="J35" s="16"/>
      <c r="K35" s="16"/>
      <c r="L35" s="16"/>
      <c r="M35" s="16"/>
      <c r="N35" s="180" t="str">
        <f>IF(A35="","",posicao_contratual!E35)</f>
        <v/>
      </c>
      <c r="O35" s="180" t="str">
        <f>IF(A35="","",posicao_contratual!I35)</f>
        <v/>
      </c>
      <c r="P35" s="180" t="str">
        <f>IF(A35="","",posicao_contratual!M35)</f>
        <v/>
      </c>
      <c r="Q35" s="180" t="str">
        <f>IF(A35="","",posicao_contratual!Q35)</f>
        <v/>
      </c>
      <c r="R35" s="180" t="str">
        <f>IF(A35="","",posicao_contratual!U35)</f>
        <v/>
      </c>
      <c r="S35" s="180" t="str">
        <f>IF(A35="","",posicao_contratual!G35)</f>
        <v/>
      </c>
      <c r="T35" s="180" t="str">
        <f>IF(A35="","",posicao_contratual!K35)</f>
        <v/>
      </c>
      <c r="U35" s="180" t="str">
        <f>IF(A35="","",posicao_contratual!O35)</f>
        <v/>
      </c>
      <c r="V35" s="180" t="str">
        <f>IF(A35="","",posicao_contratual!S35)</f>
        <v/>
      </c>
      <c r="W35" s="180" t="str">
        <f>IF(A35="","",posicao_contratual!W35)</f>
        <v/>
      </c>
    </row>
    <row r="36" spans="1:23" x14ac:dyDescent="0.35">
      <c r="A36" s="111" t="str">
        <f>IF(itens_Remanesc!A36="","",itens_Remanesc!A36)</f>
        <v/>
      </c>
      <c r="B36" s="110" t="str">
        <f>IF(posicao_contratual!A36="","",posicao_contratual!E36)</f>
        <v/>
      </c>
      <c r="C36" s="104" t="str">
        <f>IF(itens_Remanesc!A36="","",itens_Remanesc!C36)</f>
        <v/>
      </c>
      <c r="D36" s="104" t="str">
        <f t="shared" si="5"/>
        <v/>
      </c>
      <c r="E36" s="104" t="str">
        <f t="shared" si="6"/>
        <v/>
      </c>
      <c r="F36" s="104" t="str">
        <f t="shared" si="7"/>
        <v/>
      </c>
      <c r="G36" s="104" t="str">
        <f t="shared" si="8"/>
        <v/>
      </c>
      <c r="H36" s="149" t="str">
        <f t="shared" si="9"/>
        <v/>
      </c>
      <c r="I36" s="16"/>
      <c r="J36" s="16"/>
      <c r="K36" s="16"/>
      <c r="L36" s="16"/>
      <c r="M36" s="16"/>
      <c r="N36" s="180" t="str">
        <f>IF(A36="","",posicao_contratual!E36)</f>
        <v/>
      </c>
      <c r="O36" s="180" t="str">
        <f>IF(A36="","",posicao_contratual!I36)</f>
        <v/>
      </c>
      <c r="P36" s="180" t="str">
        <f>IF(A36="","",posicao_contratual!M36)</f>
        <v/>
      </c>
      <c r="Q36" s="180" t="str">
        <f>IF(A36="","",posicao_contratual!Q36)</f>
        <v/>
      </c>
      <c r="R36" s="180" t="str">
        <f>IF(A36="","",posicao_contratual!U36)</f>
        <v/>
      </c>
      <c r="S36" s="180" t="str">
        <f>IF(A36="","",posicao_contratual!G36)</f>
        <v/>
      </c>
      <c r="T36" s="180" t="str">
        <f>IF(A36="","",posicao_contratual!K36)</f>
        <v/>
      </c>
      <c r="U36" s="180" t="str">
        <f>IF(A36="","",posicao_contratual!O36)</f>
        <v/>
      </c>
      <c r="V36" s="180" t="str">
        <f>IF(A36="","",posicao_contratual!S36)</f>
        <v/>
      </c>
      <c r="W36" s="180" t="str">
        <f>IF(A36="","",posicao_contratual!W36)</f>
        <v/>
      </c>
    </row>
    <row r="37" spans="1:23" x14ac:dyDescent="0.35">
      <c r="A37" s="111" t="str">
        <f>IF(itens_Remanesc!A37="","",itens_Remanesc!A37)</f>
        <v/>
      </c>
      <c r="B37" s="110" t="str">
        <f>IF(posicao_contratual!A37="","",posicao_contratual!E37)</f>
        <v/>
      </c>
      <c r="C37" s="104" t="str">
        <f>IF(itens_Remanesc!A37="","",itens_Remanesc!C37)</f>
        <v/>
      </c>
      <c r="D37" s="104" t="str">
        <f t="shared" si="5"/>
        <v/>
      </c>
      <c r="E37" s="104" t="str">
        <f t="shared" si="6"/>
        <v/>
      </c>
      <c r="F37" s="104" t="str">
        <f t="shared" si="7"/>
        <v/>
      </c>
      <c r="G37" s="104" t="str">
        <f t="shared" si="8"/>
        <v/>
      </c>
      <c r="H37" s="149" t="str">
        <f t="shared" si="9"/>
        <v/>
      </c>
      <c r="I37" s="16"/>
      <c r="J37" s="16"/>
      <c r="K37" s="16"/>
      <c r="L37" s="16"/>
      <c r="M37" s="16"/>
      <c r="N37" s="180" t="str">
        <f>IF(A37="","",posicao_contratual!E37)</f>
        <v/>
      </c>
      <c r="O37" s="180" t="str">
        <f>IF(A37="","",posicao_contratual!I37)</f>
        <v/>
      </c>
      <c r="P37" s="180" t="str">
        <f>IF(A37="","",posicao_contratual!M37)</f>
        <v/>
      </c>
      <c r="Q37" s="180" t="str">
        <f>IF(A37="","",posicao_contratual!Q37)</f>
        <v/>
      </c>
      <c r="R37" s="180" t="str">
        <f>IF(A37="","",posicao_contratual!U37)</f>
        <v/>
      </c>
      <c r="S37" s="180" t="str">
        <f>IF(A37="","",posicao_contratual!G37)</f>
        <v/>
      </c>
      <c r="T37" s="180" t="str">
        <f>IF(A37="","",posicao_contratual!K37)</f>
        <v/>
      </c>
      <c r="U37" s="180" t="str">
        <f>IF(A37="","",posicao_contratual!O37)</f>
        <v/>
      </c>
      <c r="V37" s="180" t="str">
        <f>IF(A37="","",posicao_contratual!S37)</f>
        <v/>
      </c>
      <c r="W37" s="180" t="str">
        <f>IF(A37="","",posicao_contratual!W37)</f>
        <v/>
      </c>
    </row>
    <row r="38" spans="1:23" x14ac:dyDescent="0.35">
      <c r="A38" s="111" t="str">
        <f>IF(itens_Remanesc!A38="","",itens_Remanesc!A38)</f>
        <v/>
      </c>
      <c r="B38" s="110" t="str">
        <f>IF(posicao_contratual!A38="","",posicao_contratual!E38)</f>
        <v/>
      </c>
      <c r="C38" s="104" t="str">
        <f>IF(itens_Remanesc!A38="","",itens_Remanesc!C38)</f>
        <v/>
      </c>
      <c r="D38" s="104" t="str">
        <f t="shared" si="5"/>
        <v/>
      </c>
      <c r="E38" s="104" t="str">
        <f t="shared" si="6"/>
        <v/>
      </c>
      <c r="F38" s="104" t="str">
        <f t="shared" si="7"/>
        <v/>
      </c>
      <c r="G38" s="104" t="str">
        <f t="shared" si="8"/>
        <v/>
      </c>
      <c r="H38" s="149" t="str">
        <f t="shared" si="9"/>
        <v/>
      </c>
      <c r="I38" s="16"/>
      <c r="J38" s="16"/>
      <c r="K38" s="16"/>
      <c r="L38" s="16"/>
      <c r="M38" s="16"/>
      <c r="N38" s="180" t="str">
        <f>IF(A38="","",posicao_contratual!E38)</f>
        <v/>
      </c>
      <c r="O38" s="180" t="str">
        <f>IF(A38="","",posicao_contratual!I38)</f>
        <v/>
      </c>
      <c r="P38" s="180" t="str">
        <f>IF(A38="","",posicao_contratual!M38)</f>
        <v/>
      </c>
      <c r="Q38" s="180" t="str">
        <f>IF(A38="","",posicao_contratual!Q38)</f>
        <v/>
      </c>
      <c r="R38" s="180" t="str">
        <f>IF(A38="","",posicao_contratual!U38)</f>
        <v/>
      </c>
      <c r="S38" s="180" t="str">
        <f>IF(A38="","",posicao_contratual!G38)</f>
        <v/>
      </c>
      <c r="T38" s="180" t="str">
        <f>IF(A38="","",posicao_contratual!K38)</f>
        <v/>
      </c>
      <c r="U38" s="180" t="str">
        <f>IF(A38="","",posicao_contratual!O38)</f>
        <v/>
      </c>
      <c r="V38" s="180" t="str">
        <f>IF(A38="","",posicao_contratual!S38)</f>
        <v/>
      </c>
      <c r="W38" s="180" t="str">
        <f>IF(A38="","",posicao_contratual!W38)</f>
        <v/>
      </c>
    </row>
    <row r="39" spans="1:23" x14ac:dyDescent="0.35">
      <c r="A39" s="111" t="str">
        <f>IF(itens_Remanesc!A39="","",itens_Remanesc!A39)</f>
        <v/>
      </c>
      <c r="B39" s="110" t="str">
        <f>IF(posicao_contratual!A39="","",posicao_contratual!E39)</f>
        <v/>
      </c>
      <c r="C39" s="104" t="str">
        <f>IF(itens_Remanesc!A39="","",itens_Remanesc!C39)</f>
        <v/>
      </c>
      <c r="D39" s="104" t="str">
        <f t="shared" si="5"/>
        <v/>
      </c>
      <c r="E39" s="104" t="str">
        <f t="shared" si="6"/>
        <v/>
      </c>
      <c r="F39" s="104" t="str">
        <f t="shared" si="7"/>
        <v/>
      </c>
      <c r="G39" s="104" t="str">
        <f t="shared" si="8"/>
        <v/>
      </c>
      <c r="H39" s="149" t="str">
        <f t="shared" si="9"/>
        <v/>
      </c>
      <c r="I39" s="16"/>
      <c r="J39" s="16"/>
      <c r="K39" s="16"/>
      <c r="L39" s="16"/>
      <c r="M39" s="16"/>
      <c r="N39" s="180" t="str">
        <f>IF(A39="","",posicao_contratual!E39)</f>
        <v/>
      </c>
      <c r="O39" s="180" t="str">
        <f>IF(A39="","",posicao_contratual!I39)</f>
        <v/>
      </c>
      <c r="P39" s="180" t="str">
        <f>IF(A39="","",posicao_contratual!M39)</f>
        <v/>
      </c>
      <c r="Q39" s="180" t="str">
        <f>IF(A39="","",posicao_contratual!Q39)</f>
        <v/>
      </c>
      <c r="R39" s="180" t="str">
        <f>IF(A39="","",posicao_contratual!U39)</f>
        <v/>
      </c>
      <c r="S39" s="180" t="str">
        <f>IF(A39="","",posicao_contratual!G39)</f>
        <v/>
      </c>
      <c r="T39" s="180" t="str">
        <f>IF(A39="","",posicao_contratual!K39)</f>
        <v/>
      </c>
      <c r="U39" s="180" t="str">
        <f>IF(A39="","",posicao_contratual!O39)</f>
        <v/>
      </c>
      <c r="V39" s="180" t="str">
        <f>IF(A39="","",posicao_contratual!S39)</f>
        <v/>
      </c>
      <c r="W39" s="180" t="str">
        <f>IF(A39="","",posicao_contratual!W39)</f>
        <v/>
      </c>
    </row>
    <row r="40" spans="1:23" x14ac:dyDescent="0.35">
      <c r="A40" s="111" t="str">
        <f>IF(itens_Remanesc!A40="","",itens_Remanesc!A40)</f>
        <v/>
      </c>
      <c r="B40" s="110" t="str">
        <f>IF(posicao_contratual!A40="","",posicao_contratual!E40)</f>
        <v/>
      </c>
      <c r="C40" s="104" t="str">
        <f>IF(itens_Remanesc!A40="","",itens_Remanesc!C40)</f>
        <v/>
      </c>
      <c r="D40" s="104" t="str">
        <f t="shared" si="5"/>
        <v/>
      </c>
      <c r="E40" s="104" t="str">
        <f t="shared" si="6"/>
        <v/>
      </c>
      <c r="F40" s="104" t="str">
        <f t="shared" si="7"/>
        <v/>
      </c>
      <c r="G40" s="104" t="str">
        <f t="shared" si="8"/>
        <v/>
      </c>
      <c r="H40" s="149" t="str">
        <f t="shared" si="9"/>
        <v/>
      </c>
      <c r="I40" s="16"/>
      <c r="J40" s="16"/>
      <c r="K40" s="16"/>
      <c r="L40" s="16"/>
      <c r="M40" s="16"/>
      <c r="N40" s="180" t="str">
        <f>IF(A40="","",posicao_contratual!E40)</f>
        <v/>
      </c>
      <c r="O40" s="180" t="str">
        <f>IF(A40="","",posicao_contratual!I40)</f>
        <v/>
      </c>
      <c r="P40" s="180" t="str">
        <f>IF(A40="","",posicao_contratual!M40)</f>
        <v/>
      </c>
      <c r="Q40" s="180" t="str">
        <f>IF(A40="","",posicao_contratual!Q40)</f>
        <v/>
      </c>
      <c r="R40" s="180" t="str">
        <f>IF(A40="","",posicao_contratual!U40)</f>
        <v/>
      </c>
      <c r="S40" s="180" t="str">
        <f>IF(A40="","",posicao_contratual!G40)</f>
        <v/>
      </c>
      <c r="T40" s="180" t="str">
        <f>IF(A40="","",posicao_contratual!K40)</f>
        <v/>
      </c>
      <c r="U40" s="180" t="str">
        <f>IF(A40="","",posicao_contratual!O40)</f>
        <v/>
      </c>
      <c r="V40" s="180" t="str">
        <f>IF(A40="","",posicao_contratual!S40)</f>
        <v/>
      </c>
      <c r="W40" s="180" t="str">
        <f>IF(A40="","",posicao_contratual!W40)</f>
        <v/>
      </c>
    </row>
    <row r="41" spans="1:23" x14ac:dyDescent="0.35">
      <c r="A41" s="111" t="str">
        <f>IF(itens_Remanesc!A41="","",itens_Remanesc!A41)</f>
        <v/>
      </c>
      <c r="B41" s="110" t="str">
        <f>IF(posicao_contratual!A41="","",posicao_contratual!E41)</f>
        <v/>
      </c>
      <c r="C41" s="104" t="str">
        <f>IF(itens_Remanesc!A41="","",itens_Remanesc!C41)</f>
        <v/>
      </c>
      <c r="D41" s="104" t="str">
        <f t="shared" si="5"/>
        <v/>
      </c>
      <c r="E41" s="104" t="str">
        <f t="shared" si="6"/>
        <v/>
      </c>
      <c r="F41" s="104" t="str">
        <f t="shared" si="7"/>
        <v/>
      </c>
      <c r="G41" s="104" t="str">
        <f t="shared" si="8"/>
        <v/>
      </c>
      <c r="H41" s="149" t="str">
        <f t="shared" si="9"/>
        <v/>
      </c>
      <c r="I41" s="16"/>
      <c r="J41" s="16"/>
      <c r="K41" s="16"/>
      <c r="L41" s="16"/>
      <c r="M41" s="16"/>
      <c r="N41" s="180" t="str">
        <f>IF(A41="","",posicao_contratual!E41)</f>
        <v/>
      </c>
      <c r="O41" s="180" t="str">
        <f>IF(A41="","",posicao_contratual!I41)</f>
        <v/>
      </c>
      <c r="P41" s="180" t="str">
        <f>IF(A41="","",posicao_contratual!M41)</f>
        <v/>
      </c>
      <c r="Q41" s="180" t="str">
        <f>IF(A41="","",posicao_contratual!Q41)</f>
        <v/>
      </c>
      <c r="R41" s="180" t="str">
        <f>IF(A41="","",posicao_contratual!U41)</f>
        <v/>
      </c>
      <c r="S41" s="180" t="str">
        <f>IF(A41="","",posicao_contratual!G41)</f>
        <v/>
      </c>
      <c r="T41" s="180" t="str">
        <f>IF(A41="","",posicao_contratual!K41)</f>
        <v/>
      </c>
      <c r="U41" s="180" t="str">
        <f>IF(A41="","",posicao_contratual!O41)</f>
        <v/>
      </c>
      <c r="V41" s="180" t="str">
        <f>IF(A41="","",posicao_contratual!S41)</f>
        <v/>
      </c>
      <c r="W41" s="180" t="str">
        <f>IF(A41="","",posicao_contratual!W41)</f>
        <v/>
      </c>
    </row>
    <row r="42" spans="1:23" x14ac:dyDescent="0.35">
      <c r="A42" s="111" t="str">
        <f>IF(itens_Remanesc!A42="","",itens_Remanesc!A42)</f>
        <v/>
      </c>
      <c r="B42" s="110" t="str">
        <f>IF(posicao_contratual!A42="","",posicao_contratual!E42)</f>
        <v/>
      </c>
      <c r="C42" s="104" t="str">
        <f>IF(itens_Remanesc!A42="","",itens_Remanesc!C42)</f>
        <v/>
      </c>
      <c r="D42" s="104" t="str">
        <f t="shared" si="5"/>
        <v/>
      </c>
      <c r="E42" s="104" t="str">
        <f t="shared" si="6"/>
        <v/>
      </c>
      <c r="F42" s="104" t="str">
        <f t="shared" si="7"/>
        <v/>
      </c>
      <c r="G42" s="104" t="str">
        <f t="shared" si="8"/>
        <v/>
      </c>
      <c r="H42" s="149" t="str">
        <f t="shared" si="9"/>
        <v/>
      </c>
      <c r="I42" s="16"/>
      <c r="J42" s="16"/>
      <c r="K42" s="16"/>
      <c r="L42" s="16"/>
      <c r="M42" s="16"/>
      <c r="N42" s="180" t="str">
        <f>IF(A42="","",posicao_contratual!E42)</f>
        <v/>
      </c>
      <c r="O42" s="180" t="str">
        <f>IF(A42="","",posicao_contratual!I42)</f>
        <v/>
      </c>
      <c r="P42" s="180" t="str">
        <f>IF(A42="","",posicao_contratual!M42)</f>
        <v/>
      </c>
      <c r="Q42" s="180" t="str">
        <f>IF(A42="","",posicao_contratual!Q42)</f>
        <v/>
      </c>
      <c r="R42" s="180" t="str">
        <f>IF(A42="","",posicao_contratual!U42)</f>
        <v/>
      </c>
      <c r="S42" s="180" t="str">
        <f>IF(A42="","",posicao_contratual!G42)</f>
        <v/>
      </c>
      <c r="T42" s="180" t="str">
        <f>IF(A42="","",posicao_contratual!K42)</f>
        <v/>
      </c>
      <c r="U42" s="180" t="str">
        <f>IF(A42="","",posicao_contratual!O42)</f>
        <v/>
      </c>
      <c r="V42" s="180" t="str">
        <f>IF(A42="","",posicao_contratual!S42)</f>
        <v/>
      </c>
      <c r="W42" s="180" t="str">
        <f>IF(A42="","",posicao_contratual!W42)</f>
        <v/>
      </c>
    </row>
    <row r="43" spans="1:23" x14ac:dyDescent="0.35">
      <c r="A43" s="111" t="str">
        <f>IF(itens_Remanesc!A43="","",itens_Remanesc!A43)</f>
        <v/>
      </c>
      <c r="B43" s="110" t="str">
        <f>IF(posicao_contratual!A43="","",posicao_contratual!E43)</f>
        <v/>
      </c>
      <c r="C43" s="104" t="str">
        <f>IF(itens_Remanesc!A43="","",itens_Remanesc!C43)</f>
        <v/>
      </c>
      <c r="D43" s="104" t="str">
        <f t="shared" si="5"/>
        <v/>
      </c>
      <c r="E43" s="104" t="str">
        <f t="shared" si="6"/>
        <v/>
      </c>
      <c r="F43" s="104" t="str">
        <f t="shared" si="7"/>
        <v/>
      </c>
      <c r="G43" s="104" t="str">
        <f t="shared" si="8"/>
        <v/>
      </c>
      <c r="H43" s="149" t="str">
        <f t="shared" si="9"/>
        <v/>
      </c>
      <c r="I43" s="16"/>
      <c r="J43" s="16"/>
      <c r="K43" s="16"/>
      <c r="L43" s="16"/>
      <c r="M43" s="16"/>
      <c r="N43" s="180" t="str">
        <f>IF(A43="","",posicao_contratual!E43)</f>
        <v/>
      </c>
      <c r="O43" s="180" t="str">
        <f>IF(A43="","",posicao_contratual!I43)</f>
        <v/>
      </c>
      <c r="P43" s="180" t="str">
        <f>IF(A43="","",posicao_contratual!M43)</f>
        <v/>
      </c>
      <c r="Q43" s="180" t="str">
        <f>IF(A43="","",posicao_contratual!Q43)</f>
        <v/>
      </c>
      <c r="R43" s="180" t="str">
        <f>IF(A43="","",posicao_contratual!U43)</f>
        <v/>
      </c>
      <c r="S43" s="180" t="str">
        <f>IF(A43="","",posicao_contratual!G43)</f>
        <v/>
      </c>
      <c r="T43" s="180" t="str">
        <f>IF(A43="","",posicao_contratual!K43)</f>
        <v/>
      </c>
      <c r="U43" s="180" t="str">
        <f>IF(A43="","",posicao_contratual!O43)</f>
        <v/>
      </c>
      <c r="V43" s="180" t="str">
        <f>IF(A43="","",posicao_contratual!S43)</f>
        <v/>
      </c>
      <c r="W43" s="180" t="str">
        <f>IF(A43="","",posicao_contratual!W43)</f>
        <v/>
      </c>
    </row>
    <row r="44" spans="1:23" x14ac:dyDescent="0.35">
      <c r="A44" s="111" t="str">
        <f>IF(itens_Remanesc!A44="","",itens_Remanesc!A44)</f>
        <v/>
      </c>
      <c r="B44" s="110" t="str">
        <f>IF(posicao_contratual!A44="","",posicao_contratual!E44)</f>
        <v/>
      </c>
      <c r="C44" s="104" t="str">
        <f>IF(itens_Remanesc!A44="","",itens_Remanesc!C44)</f>
        <v/>
      </c>
      <c r="D44" s="104" t="str">
        <f t="shared" si="5"/>
        <v/>
      </c>
      <c r="E44" s="104" t="str">
        <f t="shared" si="6"/>
        <v/>
      </c>
      <c r="F44" s="104" t="str">
        <f t="shared" si="7"/>
        <v/>
      </c>
      <c r="G44" s="104" t="str">
        <f t="shared" si="8"/>
        <v/>
      </c>
      <c r="H44" s="149" t="str">
        <f t="shared" si="9"/>
        <v/>
      </c>
      <c r="I44" s="16"/>
      <c r="J44" s="16"/>
      <c r="K44" s="16"/>
      <c r="L44" s="16"/>
      <c r="M44" s="16"/>
      <c r="N44" s="180" t="str">
        <f>IF(A44="","",posicao_contratual!E44)</f>
        <v/>
      </c>
      <c r="O44" s="180" t="str">
        <f>IF(A44="","",posicao_contratual!I44)</f>
        <v/>
      </c>
      <c r="P44" s="180" t="str">
        <f>IF(A44="","",posicao_contratual!M44)</f>
        <v/>
      </c>
      <c r="Q44" s="180" t="str">
        <f>IF(A44="","",posicao_contratual!Q44)</f>
        <v/>
      </c>
      <c r="R44" s="180" t="str">
        <f>IF(A44="","",posicao_contratual!U44)</f>
        <v/>
      </c>
      <c r="S44" s="180" t="str">
        <f>IF(A44="","",posicao_contratual!G44)</f>
        <v/>
      </c>
      <c r="T44" s="180" t="str">
        <f>IF(A44="","",posicao_contratual!K44)</f>
        <v/>
      </c>
      <c r="U44" s="180" t="str">
        <f>IF(A44="","",posicao_contratual!O44)</f>
        <v/>
      </c>
      <c r="V44" s="180" t="str">
        <f>IF(A44="","",posicao_contratual!S44)</f>
        <v/>
      </c>
      <c r="W44" s="180" t="str">
        <f>IF(A44="","",posicao_contratual!W44)</f>
        <v/>
      </c>
    </row>
    <row r="45" spans="1:23" x14ac:dyDescent="0.35">
      <c r="A45" s="111" t="str">
        <f>IF(itens_Remanesc!A45="","",itens_Remanesc!A45)</f>
        <v/>
      </c>
      <c r="B45" s="110" t="str">
        <f>IF(posicao_contratual!A45="","",posicao_contratual!E45)</f>
        <v/>
      </c>
      <c r="C45" s="104" t="str">
        <f>IF(itens_Remanesc!A45="","",itens_Remanesc!C45)</f>
        <v/>
      </c>
      <c r="D45" s="104" t="str">
        <f t="shared" si="5"/>
        <v/>
      </c>
      <c r="E45" s="104" t="str">
        <f t="shared" si="6"/>
        <v/>
      </c>
      <c r="F45" s="104" t="str">
        <f t="shared" si="7"/>
        <v/>
      </c>
      <c r="G45" s="104" t="str">
        <f t="shared" si="8"/>
        <v/>
      </c>
      <c r="H45" s="149" t="str">
        <f t="shared" si="9"/>
        <v/>
      </c>
      <c r="I45" s="16"/>
      <c r="J45" s="16"/>
      <c r="K45" s="16"/>
      <c r="L45" s="16"/>
      <c r="M45" s="16"/>
      <c r="N45" s="180" t="str">
        <f>IF(A45="","",posicao_contratual!E45)</f>
        <v/>
      </c>
      <c r="O45" s="180" t="str">
        <f>IF(A45="","",posicao_contratual!I45)</f>
        <v/>
      </c>
      <c r="P45" s="180" t="str">
        <f>IF(A45="","",posicao_contratual!M45)</f>
        <v/>
      </c>
      <c r="Q45" s="180" t="str">
        <f>IF(A45="","",posicao_contratual!Q45)</f>
        <v/>
      </c>
      <c r="R45" s="180" t="str">
        <f>IF(A45="","",posicao_contratual!U45)</f>
        <v/>
      </c>
      <c r="S45" s="180" t="str">
        <f>IF(A45="","",posicao_contratual!G45)</f>
        <v/>
      </c>
      <c r="T45" s="180" t="str">
        <f>IF(A45="","",posicao_contratual!K45)</f>
        <v/>
      </c>
      <c r="U45" s="180" t="str">
        <f>IF(A45="","",posicao_contratual!O45)</f>
        <v/>
      </c>
      <c r="V45" s="180" t="str">
        <f>IF(A45="","",posicao_contratual!S45)</f>
        <v/>
      </c>
      <c r="W45" s="180" t="str">
        <f>IF(A45="","",posicao_contratual!W45)</f>
        <v/>
      </c>
    </row>
    <row r="46" spans="1:23" x14ac:dyDescent="0.35">
      <c r="A46" s="111" t="str">
        <f>IF(itens_Remanesc!A46="","",itens_Remanesc!A46)</f>
        <v/>
      </c>
      <c r="B46" s="110" t="str">
        <f>IF(posicao_contratual!A46="","",posicao_contratual!E46)</f>
        <v/>
      </c>
      <c r="C46" s="104" t="str">
        <f>IF(itens_Remanesc!A46="","",itens_Remanesc!C46)</f>
        <v/>
      </c>
      <c r="D46" s="104" t="str">
        <f t="shared" si="5"/>
        <v/>
      </c>
      <c r="E46" s="104" t="str">
        <f t="shared" si="6"/>
        <v/>
      </c>
      <c r="F46" s="104" t="str">
        <f t="shared" si="7"/>
        <v/>
      </c>
      <c r="G46" s="104" t="str">
        <f t="shared" si="8"/>
        <v/>
      </c>
      <c r="H46" s="149" t="str">
        <f t="shared" si="9"/>
        <v/>
      </c>
      <c r="I46" s="16"/>
      <c r="J46" s="16"/>
      <c r="K46" s="16"/>
      <c r="L46" s="16"/>
      <c r="M46" s="16"/>
      <c r="N46" s="180" t="str">
        <f>IF(A46="","",posicao_contratual!E46)</f>
        <v/>
      </c>
      <c r="O46" s="180" t="str">
        <f>IF(A46="","",posicao_contratual!I46)</f>
        <v/>
      </c>
      <c r="P46" s="180" t="str">
        <f>IF(A46="","",posicao_contratual!M46)</f>
        <v/>
      </c>
      <c r="Q46" s="180" t="str">
        <f>IF(A46="","",posicao_contratual!Q46)</f>
        <v/>
      </c>
      <c r="R46" s="180" t="str">
        <f>IF(A46="","",posicao_contratual!U46)</f>
        <v/>
      </c>
      <c r="S46" s="180" t="str">
        <f>IF(A46="","",posicao_contratual!G46)</f>
        <v/>
      </c>
      <c r="T46" s="180" t="str">
        <f>IF(A46="","",posicao_contratual!K46)</f>
        <v/>
      </c>
      <c r="U46" s="180" t="str">
        <f>IF(A46="","",posicao_contratual!O46)</f>
        <v/>
      </c>
      <c r="V46" s="180" t="str">
        <f>IF(A46="","",posicao_contratual!S46)</f>
        <v/>
      </c>
      <c r="W46" s="180" t="str">
        <f>IF(A46="","",posicao_contratual!W46)</f>
        <v/>
      </c>
    </row>
    <row r="47" spans="1:23" x14ac:dyDescent="0.35">
      <c r="A47" s="111" t="str">
        <f>IF(itens_Remanesc!A47="","",itens_Remanesc!A47)</f>
        <v/>
      </c>
      <c r="B47" s="110" t="str">
        <f>IF(posicao_contratual!A47="","",posicao_contratual!E47)</f>
        <v/>
      </c>
      <c r="C47" s="104" t="str">
        <f>IF(itens_Remanesc!A47="","",itens_Remanesc!C47)</f>
        <v/>
      </c>
      <c r="D47" s="104" t="str">
        <f t="shared" si="5"/>
        <v/>
      </c>
      <c r="E47" s="104" t="str">
        <f t="shared" si="6"/>
        <v/>
      </c>
      <c r="F47" s="104" t="str">
        <f t="shared" si="7"/>
        <v/>
      </c>
      <c r="G47" s="104" t="str">
        <f t="shared" si="8"/>
        <v/>
      </c>
      <c r="H47" s="149" t="str">
        <f t="shared" si="9"/>
        <v/>
      </c>
      <c r="I47" s="16"/>
      <c r="J47" s="16"/>
      <c r="K47" s="16"/>
      <c r="L47" s="16"/>
      <c r="M47" s="16"/>
      <c r="N47" s="180" t="str">
        <f>IF(A47="","",posicao_contratual!E47)</f>
        <v/>
      </c>
      <c r="O47" s="180" t="str">
        <f>IF(A47="","",posicao_contratual!I47)</f>
        <v/>
      </c>
      <c r="P47" s="180" t="str">
        <f>IF(A47="","",posicao_contratual!M47)</f>
        <v/>
      </c>
      <c r="Q47" s="180" t="str">
        <f>IF(A47="","",posicao_contratual!Q47)</f>
        <v/>
      </c>
      <c r="R47" s="180" t="str">
        <f>IF(A47="","",posicao_contratual!U47)</f>
        <v/>
      </c>
      <c r="S47" s="180" t="str">
        <f>IF(A47="","",posicao_contratual!G47)</f>
        <v/>
      </c>
      <c r="T47" s="180" t="str">
        <f>IF(A47="","",posicao_contratual!K47)</f>
        <v/>
      </c>
      <c r="U47" s="180" t="str">
        <f>IF(A47="","",posicao_contratual!O47)</f>
        <v/>
      </c>
      <c r="V47" s="180" t="str">
        <f>IF(A47="","",posicao_contratual!S47)</f>
        <v/>
      </c>
      <c r="W47" s="180" t="str">
        <f>IF(A47="","",posicao_contratual!W47)</f>
        <v/>
      </c>
    </row>
    <row r="48" spans="1:23" x14ac:dyDescent="0.35">
      <c r="A48" s="111" t="str">
        <f>IF(itens_Remanesc!A48="","",itens_Remanesc!A48)</f>
        <v/>
      </c>
      <c r="B48" s="110" t="str">
        <f>IF(posicao_contratual!A48="","",posicao_contratual!E48)</f>
        <v/>
      </c>
      <c r="C48" s="104" t="str">
        <f>IF(itens_Remanesc!A48="","",itens_Remanesc!C48)</f>
        <v/>
      </c>
      <c r="D48" s="104" t="str">
        <f t="shared" si="5"/>
        <v/>
      </c>
      <c r="E48" s="104" t="str">
        <f t="shared" si="6"/>
        <v/>
      </c>
      <c r="F48" s="104" t="str">
        <f t="shared" si="7"/>
        <v/>
      </c>
      <c r="G48" s="104" t="str">
        <f t="shared" si="8"/>
        <v/>
      </c>
      <c r="H48" s="149" t="str">
        <f t="shared" si="9"/>
        <v/>
      </c>
      <c r="I48" s="16"/>
      <c r="J48" s="16"/>
      <c r="K48" s="16"/>
      <c r="L48" s="16"/>
      <c r="M48" s="16"/>
      <c r="N48" s="180" t="str">
        <f>IF(A48="","",posicao_contratual!E48)</f>
        <v/>
      </c>
      <c r="O48" s="180" t="str">
        <f>IF(A48="","",posicao_contratual!I48)</f>
        <v/>
      </c>
      <c r="P48" s="180" t="str">
        <f>IF(A48="","",posicao_contratual!M48)</f>
        <v/>
      </c>
      <c r="Q48" s="180" t="str">
        <f>IF(A48="","",posicao_contratual!Q48)</f>
        <v/>
      </c>
      <c r="R48" s="180" t="str">
        <f>IF(A48="","",posicao_contratual!U48)</f>
        <v/>
      </c>
      <c r="S48" s="180" t="str">
        <f>IF(A48="","",posicao_contratual!G48)</f>
        <v/>
      </c>
      <c r="T48" s="180" t="str">
        <f>IF(A48="","",posicao_contratual!K48)</f>
        <v/>
      </c>
      <c r="U48" s="180" t="str">
        <f>IF(A48="","",posicao_contratual!O48)</f>
        <v/>
      </c>
      <c r="V48" s="180" t="str">
        <f>IF(A48="","",posicao_contratual!S48)</f>
        <v/>
      </c>
      <c r="W48" s="180" t="str">
        <f>IF(A48="","",posicao_contratual!W48)</f>
        <v/>
      </c>
    </row>
    <row r="49" spans="1:23" x14ac:dyDescent="0.35">
      <c r="A49" s="111" t="str">
        <f>IF(itens_Remanesc!A49="","",itens_Remanesc!A49)</f>
        <v/>
      </c>
      <c r="B49" s="110" t="str">
        <f>IF(posicao_contratual!A49="","",posicao_contratual!E49)</f>
        <v/>
      </c>
      <c r="C49" s="104" t="str">
        <f>IF(itens_Remanesc!A49="","",itens_Remanesc!C49)</f>
        <v/>
      </c>
      <c r="D49" s="104" t="str">
        <f t="shared" si="5"/>
        <v/>
      </c>
      <c r="E49" s="104" t="str">
        <f t="shared" si="6"/>
        <v/>
      </c>
      <c r="F49" s="104" t="str">
        <f t="shared" si="7"/>
        <v/>
      </c>
      <c r="G49" s="104" t="str">
        <f t="shared" si="8"/>
        <v/>
      </c>
      <c r="H49" s="149" t="str">
        <f t="shared" si="9"/>
        <v/>
      </c>
      <c r="I49" s="16"/>
      <c r="J49" s="16"/>
      <c r="K49" s="16"/>
      <c r="L49" s="16"/>
      <c r="M49" s="16"/>
      <c r="N49" s="180" t="str">
        <f>IF(A49="","",posicao_contratual!E49)</f>
        <v/>
      </c>
      <c r="O49" s="180" t="str">
        <f>IF(A49="","",posicao_contratual!I49)</f>
        <v/>
      </c>
      <c r="P49" s="180" t="str">
        <f>IF(A49="","",posicao_contratual!M49)</f>
        <v/>
      </c>
      <c r="Q49" s="180" t="str">
        <f>IF(A49="","",posicao_contratual!Q49)</f>
        <v/>
      </c>
      <c r="R49" s="180" t="str">
        <f>IF(A49="","",posicao_contratual!U49)</f>
        <v/>
      </c>
      <c r="S49" s="180" t="str">
        <f>IF(A49="","",posicao_contratual!G49)</f>
        <v/>
      </c>
      <c r="T49" s="180" t="str">
        <f>IF(A49="","",posicao_contratual!K49)</f>
        <v/>
      </c>
      <c r="U49" s="180" t="str">
        <f>IF(A49="","",posicao_contratual!O49)</f>
        <v/>
      </c>
      <c r="V49" s="180" t="str">
        <f>IF(A49="","",posicao_contratual!S49)</f>
        <v/>
      </c>
      <c r="W49" s="180" t="str">
        <f>IF(A49="","",posicao_contratual!W49)</f>
        <v/>
      </c>
    </row>
    <row r="50" spans="1:23" x14ac:dyDescent="0.35">
      <c r="A50" s="111" t="str">
        <f>IF(itens_Remanesc!A50="","",itens_Remanesc!A50)</f>
        <v/>
      </c>
      <c r="B50" s="110" t="str">
        <f>IF(posicao_contratual!A50="","",posicao_contratual!E50)</f>
        <v/>
      </c>
      <c r="C50" s="104" t="str">
        <f>IF(itens_Remanesc!A50="","",itens_Remanesc!C50)</f>
        <v/>
      </c>
      <c r="D50" s="104" t="str">
        <f t="shared" si="5"/>
        <v/>
      </c>
      <c r="E50" s="104" t="str">
        <f t="shared" si="6"/>
        <v/>
      </c>
      <c r="F50" s="104" t="str">
        <f t="shared" si="7"/>
        <v/>
      </c>
      <c r="G50" s="104" t="str">
        <f t="shared" si="8"/>
        <v/>
      </c>
      <c r="H50" s="149" t="str">
        <f t="shared" si="9"/>
        <v/>
      </c>
      <c r="I50" s="16"/>
      <c r="J50" s="16"/>
      <c r="K50" s="16"/>
      <c r="L50" s="16"/>
      <c r="M50" s="16"/>
      <c r="N50" s="180" t="str">
        <f>IF(A50="","",posicao_contratual!E50)</f>
        <v/>
      </c>
      <c r="O50" s="180" t="str">
        <f>IF(A50="","",posicao_contratual!I50)</f>
        <v/>
      </c>
      <c r="P50" s="180" t="str">
        <f>IF(A50="","",posicao_contratual!M50)</f>
        <v/>
      </c>
      <c r="Q50" s="180" t="str">
        <f>IF(A50="","",posicao_contratual!Q50)</f>
        <v/>
      </c>
      <c r="R50" s="180" t="str">
        <f>IF(A50="","",posicao_contratual!U50)</f>
        <v/>
      </c>
      <c r="S50" s="180" t="str">
        <f>IF(A50="","",posicao_contratual!G50)</f>
        <v/>
      </c>
      <c r="T50" s="180" t="str">
        <f>IF(A50="","",posicao_contratual!K50)</f>
        <v/>
      </c>
      <c r="U50" s="180" t="str">
        <f>IF(A50="","",posicao_contratual!O50)</f>
        <v/>
      </c>
      <c r="V50" s="180" t="str">
        <f>IF(A50="","",posicao_contratual!S50)</f>
        <v/>
      </c>
      <c r="W50" s="180" t="str">
        <f>IF(A50="","",posicao_contratual!W50)</f>
        <v/>
      </c>
    </row>
    <row r="51" spans="1:23" x14ac:dyDescent="0.35">
      <c r="A51" s="111" t="str">
        <f>IF(itens_Remanesc!A51="","",itens_Remanesc!A51)</f>
        <v/>
      </c>
      <c r="B51" s="110" t="str">
        <f>IF(posicao_contratual!A51="","",posicao_contratual!E51)</f>
        <v/>
      </c>
      <c r="C51" s="104" t="str">
        <f>IF(itens_Remanesc!A51="","",itens_Remanesc!C51)</f>
        <v/>
      </c>
      <c r="D51" s="104" t="str">
        <f t="shared" si="5"/>
        <v/>
      </c>
      <c r="E51" s="104" t="str">
        <f t="shared" si="6"/>
        <v/>
      </c>
      <c r="F51" s="104" t="str">
        <f t="shared" si="7"/>
        <v/>
      </c>
      <c r="G51" s="104" t="str">
        <f t="shared" si="8"/>
        <v/>
      </c>
      <c r="H51" s="149" t="str">
        <f t="shared" si="9"/>
        <v/>
      </c>
      <c r="I51" s="16"/>
      <c r="J51" s="16"/>
      <c r="K51" s="16"/>
      <c r="L51" s="16"/>
      <c r="M51" s="16"/>
      <c r="N51" s="180" t="str">
        <f>IF(A51="","",posicao_contratual!E51)</f>
        <v/>
      </c>
      <c r="O51" s="180" t="str">
        <f>IF(A51="","",posicao_contratual!I51)</f>
        <v/>
      </c>
      <c r="P51" s="180" t="str">
        <f>IF(A51="","",posicao_contratual!M51)</f>
        <v/>
      </c>
      <c r="Q51" s="180" t="str">
        <f>IF(A51="","",posicao_contratual!Q51)</f>
        <v/>
      </c>
      <c r="R51" s="180" t="str">
        <f>IF(A51="","",posicao_contratual!U51)</f>
        <v/>
      </c>
      <c r="S51" s="180" t="str">
        <f>IF(A51="","",posicao_contratual!G51)</f>
        <v/>
      </c>
      <c r="T51" s="180" t="str">
        <f>IF(A51="","",posicao_contratual!K51)</f>
        <v/>
      </c>
      <c r="U51" s="180" t="str">
        <f>IF(A51="","",posicao_contratual!O51)</f>
        <v/>
      </c>
      <c r="V51" s="180" t="str">
        <f>IF(A51="","",posicao_contratual!S51)</f>
        <v/>
      </c>
      <c r="W51" s="180" t="str">
        <f>IF(A51="","",posicao_contratual!W51)</f>
        <v/>
      </c>
    </row>
    <row r="52" spans="1:23" x14ac:dyDescent="0.35">
      <c r="A52" s="111" t="str">
        <f>IF(itens_Remanesc!A52="","",itens_Remanesc!A52)</f>
        <v/>
      </c>
      <c r="B52" s="110" t="str">
        <f>IF(posicao_contratual!A52="","",posicao_contratual!E52)</f>
        <v/>
      </c>
      <c r="C52" s="104" t="str">
        <f>IF(itens_Remanesc!A52="","",itens_Remanesc!C52)</f>
        <v/>
      </c>
      <c r="D52" s="104" t="str">
        <f t="shared" si="5"/>
        <v/>
      </c>
      <c r="E52" s="104" t="str">
        <f t="shared" si="6"/>
        <v/>
      </c>
      <c r="F52" s="104" t="str">
        <f t="shared" si="7"/>
        <v/>
      </c>
      <c r="G52" s="104" t="str">
        <f t="shared" si="8"/>
        <v/>
      </c>
      <c r="H52" s="149" t="str">
        <f t="shared" si="9"/>
        <v/>
      </c>
      <c r="I52" s="16"/>
      <c r="J52" s="16"/>
      <c r="K52" s="16"/>
      <c r="L52" s="16"/>
      <c r="M52" s="16"/>
      <c r="N52" s="180" t="str">
        <f>IF(A52="","",posicao_contratual!E52)</f>
        <v/>
      </c>
      <c r="O52" s="180" t="str">
        <f>IF(A52="","",posicao_contratual!I52)</f>
        <v/>
      </c>
      <c r="P52" s="180" t="str">
        <f>IF(A52="","",posicao_contratual!M52)</f>
        <v/>
      </c>
      <c r="Q52" s="180" t="str">
        <f>IF(A52="","",posicao_contratual!Q52)</f>
        <v/>
      </c>
      <c r="R52" s="180" t="str">
        <f>IF(A52="","",posicao_contratual!U52)</f>
        <v/>
      </c>
      <c r="S52" s="180" t="str">
        <f>IF(A52="","",posicao_contratual!G52)</f>
        <v/>
      </c>
      <c r="T52" s="180" t="str">
        <f>IF(A52="","",posicao_contratual!K52)</f>
        <v/>
      </c>
      <c r="U52" s="180" t="str">
        <f>IF(A52="","",posicao_contratual!O52)</f>
        <v/>
      </c>
      <c r="V52" s="180" t="str">
        <f>IF(A52="","",posicao_contratual!S52)</f>
        <v/>
      </c>
      <c r="W52" s="180" t="str">
        <f>IF(A52="","",posicao_contratual!W52)</f>
        <v/>
      </c>
    </row>
    <row r="53" spans="1:23" x14ac:dyDescent="0.35">
      <c r="A53" s="111" t="str">
        <f>IF(itens_Remanesc!A53="","",itens_Remanesc!A53)</f>
        <v/>
      </c>
      <c r="B53" s="110" t="str">
        <f>IF(posicao_contratual!A53="","",posicao_contratual!E53)</f>
        <v/>
      </c>
      <c r="C53" s="104" t="str">
        <f>IF(itens_Remanesc!A53="","",itens_Remanesc!C53)</f>
        <v/>
      </c>
      <c r="D53" s="104" t="str">
        <f t="shared" si="5"/>
        <v/>
      </c>
      <c r="E53" s="104" t="str">
        <f t="shared" si="6"/>
        <v/>
      </c>
      <c r="F53" s="104" t="str">
        <f t="shared" si="7"/>
        <v/>
      </c>
      <c r="G53" s="104" t="str">
        <f t="shared" si="8"/>
        <v/>
      </c>
      <c r="H53" s="149" t="str">
        <f t="shared" si="9"/>
        <v/>
      </c>
      <c r="I53" s="16"/>
      <c r="J53" s="16"/>
      <c r="K53" s="16"/>
      <c r="L53" s="16"/>
      <c r="M53" s="16"/>
      <c r="N53" s="180" t="str">
        <f>IF(A53="","",posicao_contratual!E53)</f>
        <v/>
      </c>
      <c r="O53" s="180" t="str">
        <f>IF(A53="","",posicao_contratual!I53)</f>
        <v/>
      </c>
      <c r="P53" s="180" t="str">
        <f>IF(A53="","",posicao_contratual!M53)</f>
        <v/>
      </c>
      <c r="Q53" s="180" t="str">
        <f>IF(A53="","",posicao_contratual!Q53)</f>
        <v/>
      </c>
      <c r="R53" s="180" t="str">
        <f>IF(A53="","",posicao_contratual!U53)</f>
        <v/>
      </c>
      <c r="S53" s="180" t="str">
        <f>IF(A53="","",posicao_contratual!G53)</f>
        <v/>
      </c>
      <c r="T53" s="180" t="str">
        <f>IF(A53="","",posicao_contratual!K53)</f>
        <v/>
      </c>
      <c r="U53" s="180" t="str">
        <f>IF(A53="","",posicao_contratual!O53)</f>
        <v/>
      </c>
      <c r="V53" s="180" t="str">
        <f>IF(A53="","",posicao_contratual!S53)</f>
        <v/>
      </c>
      <c r="W53" s="180" t="str">
        <f>IF(A53="","",posicao_contratual!W53)</f>
        <v/>
      </c>
    </row>
    <row r="54" spans="1:23" x14ac:dyDescent="0.35">
      <c r="A54" s="111" t="str">
        <f>IF(itens_Remanesc!A54="","",itens_Remanesc!A54)</f>
        <v/>
      </c>
      <c r="B54" s="110" t="str">
        <f>IF(posicao_contratual!A54="","",posicao_contratual!E54)</f>
        <v/>
      </c>
      <c r="C54" s="104" t="str">
        <f>IF(itens_Remanesc!A54="","",itens_Remanesc!C54)</f>
        <v/>
      </c>
      <c r="D54" s="104" t="str">
        <f t="shared" si="5"/>
        <v/>
      </c>
      <c r="E54" s="104" t="str">
        <f t="shared" si="6"/>
        <v/>
      </c>
      <c r="F54" s="104" t="str">
        <f t="shared" si="7"/>
        <v/>
      </c>
      <c r="G54" s="104" t="str">
        <f t="shared" si="8"/>
        <v/>
      </c>
      <c r="H54" s="149" t="str">
        <f t="shared" si="9"/>
        <v/>
      </c>
      <c r="I54" s="16"/>
      <c r="J54" s="16"/>
      <c r="K54" s="16"/>
      <c r="L54" s="16"/>
      <c r="M54" s="16"/>
      <c r="N54" s="180" t="str">
        <f>IF(A54="","",posicao_contratual!E54)</f>
        <v/>
      </c>
      <c r="O54" s="180" t="str">
        <f>IF(A54="","",posicao_contratual!I54)</f>
        <v/>
      </c>
      <c r="P54" s="180" t="str">
        <f>IF(A54="","",posicao_contratual!M54)</f>
        <v/>
      </c>
      <c r="Q54" s="180" t="str">
        <f>IF(A54="","",posicao_contratual!Q54)</f>
        <v/>
      </c>
      <c r="R54" s="180" t="str">
        <f>IF(A54="","",posicao_contratual!U54)</f>
        <v/>
      </c>
      <c r="S54" s="180" t="str">
        <f>IF(A54="","",posicao_contratual!G54)</f>
        <v/>
      </c>
      <c r="T54" s="180" t="str">
        <f>IF(A54="","",posicao_contratual!K54)</f>
        <v/>
      </c>
      <c r="U54" s="180" t="str">
        <f>IF(A54="","",posicao_contratual!O54)</f>
        <v/>
      </c>
      <c r="V54" s="180" t="str">
        <f>IF(A54="","",posicao_contratual!S54)</f>
        <v/>
      </c>
      <c r="W54" s="180" t="str">
        <f>IF(A54="","",posicao_contratual!W54)</f>
        <v/>
      </c>
    </row>
    <row r="55" spans="1:23" x14ac:dyDescent="0.35">
      <c r="A55" s="111" t="str">
        <f>IF(itens_Remanesc!A55="","",itens_Remanesc!A55)</f>
        <v/>
      </c>
      <c r="B55" s="110" t="str">
        <f>IF(posicao_contratual!A55="","",posicao_contratual!E55)</f>
        <v/>
      </c>
      <c r="C55" s="104" t="str">
        <f>IF(itens_Remanesc!A55="","",itens_Remanesc!C55)</f>
        <v/>
      </c>
      <c r="D55" s="104" t="str">
        <f t="shared" si="5"/>
        <v/>
      </c>
      <c r="E55" s="104" t="str">
        <f t="shared" si="6"/>
        <v/>
      </c>
      <c r="F55" s="104" t="str">
        <f t="shared" si="7"/>
        <v/>
      </c>
      <c r="G55" s="104" t="str">
        <f t="shared" si="8"/>
        <v/>
      </c>
      <c r="H55" s="149" t="str">
        <f t="shared" si="9"/>
        <v/>
      </c>
      <c r="I55" s="16"/>
      <c r="J55" s="16"/>
      <c r="K55" s="16"/>
      <c r="L55" s="16"/>
      <c r="M55" s="16"/>
      <c r="N55" s="180" t="str">
        <f>IF(A55="","",posicao_contratual!E55)</f>
        <v/>
      </c>
      <c r="O55" s="180" t="str">
        <f>IF(A55="","",posicao_contratual!I55)</f>
        <v/>
      </c>
      <c r="P55" s="180" t="str">
        <f>IF(A55="","",posicao_contratual!M55)</f>
        <v/>
      </c>
      <c r="Q55" s="180" t="str">
        <f>IF(A55="","",posicao_contratual!Q55)</f>
        <v/>
      </c>
      <c r="R55" s="180" t="str">
        <f>IF(A55="","",posicao_contratual!U55)</f>
        <v/>
      </c>
      <c r="S55" s="180" t="str">
        <f>IF(A55="","",posicao_contratual!G55)</f>
        <v/>
      </c>
      <c r="T55" s="180" t="str">
        <f>IF(A55="","",posicao_contratual!K55)</f>
        <v/>
      </c>
      <c r="U55" s="180" t="str">
        <f>IF(A55="","",posicao_contratual!O55)</f>
        <v/>
      </c>
      <c r="V55" s="180" t="str">
        <f>IF(A55="","",posicao_contratual!S55)</f>
        <v/>
      </c>
      <c r="W55" s="180" t="str">
        <f>IF(A55="","",posicao_contratual!W55)</f>
        <v/>
      </c>
    </row>
    <row r="56" spans="1:23" x14ac:dyDescent="0.35">
      <c r="A56" s="111" t="str">
        <f>IF(itens_Remanesc!A56="","",itens_Remanesc!A56)</f>
        <v/>
      </c>
      <c r="B56" s="110" t="str">
        <f>IF(posicao_contratual!A56="","",posicao_contratual!E56)</f>
        <v/>
      </c>
      <c r="C56" s="104" t="str">
        <f>IF(itens_Remanesc!A56="","",itens_Remanesc!C56)</f>
        <v/>
      </c>
      <c r="D56" s="104" t="str">
        <f t="shared" si="5"/>
        <v/>
      </c>
      <c r="E56" s="104" t="str">
        <f t="shared" si="6"/>
        <v/>
      </c>
      <c r="F56" s="104" t="str">
        <f t="shared" si="7"/>
        <v/>
      </c>
      <c r="G56" s="104" t="str">
        <f t="shared" si="8"/>
        <v/>
      </c>
      <c r="H56" s="149" t="str">
        <f t="shared" si="9"/>
        <v/>
      </c>
      <c r="I56" s="16"/>
      <c r="J56" s="16"/>
      <c r="K56" s="16"/>
      <c r="L56" s="16"/>
      <c r="M56" s="16"/>
      <c r="N56" s="180" t="str">
        <f>IF(A56="","",posicao_contratual!E56)</f>
        <v/>
      </c>
      <c r="O56" s="180" t="str">
        <f>IF(A56="","",posicao_contratual!I56)</f>
        <v/>
      </c>
      <c r="P56" s="180" t="str">
        <f>IF(A56="","",posicao_contratual!M56)</f>
        <v/>
      </c>
      <c r="Q56" s="180" t="str">
        <f>IF(A56="","",posicao_contratual!Q56)</f>
        <v/>
      </c>
      <c r="R56" s="180" t="str">
        <f>IF(A56="","",posicao_contratual!U56)</f>
        <v/>
      </c>
      <c r="S56" s="180" t="str">
        <f>IF(A56="","",posicao_contratual!G56)</f>
        <v/>
      </c>
      <c r="T56" s="180" t="str">
        <f>IF(A56="","",posicao_contratual!K56)</f>
        <v/>
      </c>
      <c r="U56" s="180" t="str">
        <f>IF(A56="","",posicao_contratual!O56)</f>
        <v/>
      </c>
      <c r="V56" s="180" t="str">
        <f>IF(A56="","",posicao_contratual!S56)</f>
        <v/>
      </c>
      <c r="W56" s="180" t="str">
        <f>IF(A56="","",posicao_contratual!W56)</f>
        <v/>
      </c>
    </row>
    <row r="57" spans="1:23" x14ac:dyDescent="0.35">
      <c r="A57" s="111" t="str">
        <f>IF(itens_Remanesc!A57="","",itens_Remanesc!A57)</f>
        <v/>
      </c>
      <c r="B57" s="110" t="str">
        <f>IF(posicao_contratual!A57="","",posicao_contratual!E57)</f>
        <v/>
      </c>
      <c r="C57" s="104" t="str">
        <f>IF(itens_Remanesc!A57="","",itens_Remanesc!C57)</f>
        <v/>
      </c>
      <c r="D57" s="104" t="str">
        <f t="shared" si="5"/>
        <v/>
      </c>
      <c r="E57" s="104" t="str">
        <f t="shared" si="6"/>
        <v/>
      </c>
      <c r="F57" s="104" t="str">
        <f t="shared" si="7"/>
        <v/>
      </c>
      <c r="G57" s="104" t="str">
        <f t="shared" si="8"/>
        <v/>
      </c>
      <c r="H57" s="149" t="str">
        <f t="shared" si="9"/>
        <v/>
      </c>
      <c r="I57" s="16"/>
      <c r="J57" s="16"/>
      <c r="K57" s="16"/>
      <c r="L57" s="16"/>
      <c r="M57" s="16"/>
      <c r="N57" s="180" t="str">
        <f>IF(A57="","",posicao_contratual!E57)</f>
        <v/>
      </c>
      <c r="O57" s="180" t="str">
        <f>IF(A57="","",posicao_contratual!I57)</f>
        <v/>
      </c>
      <c r="P57" s="180" t="str">
        <f>IF(A57="","",posicao_contratual!M57)</f>
        <v/>
      </c>
      <c r="Q57" s="180" t="str">
        <f>IF(A57="","",posicao_contratual!Q57)</f>
        <v/>
      </c>
      <c r="R57" s="180" t="str">
        <f>IF(A57="","",posicao_contratual!U57)</f>
        <v/>
      </c>
      <c r="S57" s="180" t="str">
        <f>IF(A57="","",posicao_contratual!G57)</f>
        <v/>
      </c>
      <c r="T57" s="180" t="str">
        <f>IF(A57="","",posicao_contratual!K57)</f>
        <v/>
      </c>
      <c r="U57" s="180" t="str">
        <f>IF(A57="","",posicao_contratual!O57)</f>
        <v/>
      </c>
      <c r="V57" s="180" t="str">
        <f>IF(A57="","",posicao_contratual!S57)</f>
        <v/>
      </c>
      <c r="W57" s="180" t="str">
        <f>IF(A57="","",posicao_contratual!W57)</f>
        <v/>
      </c>
    </row>
    <row r="58" spans="1:23" x14ac:dyDescent="0.35">
      <c r="A58" s="111" t="str">
        <f>IF(itens_Remanesc!A58="","",itens_Remanesc!A58)</f>
        <v/>
      </c>
      <c r="B58" s="110" t="str">
        <f>IF(posicao_contratual!A58="","",posicao_contratual!E58)</f>
        <v/>
      </c>
      <c r="C58" s="104" t="str">
        <f>IF(itens_Remanesc!A58="","",itens_Remanesc!C58)</f>
        <v/>
      </c>
      <c r="D58" s="104" t="str">
        <f t="shared" si="5"/>
        <v/>
      </c>
      <c r="E58" s="104" t="str">
        <f t="shared" si="6"/>
        <v/>
      </c>
      <c r="F58" s="104" t="str">
        <f t="shared" si="7"/>
        <v/>
      </c>
      <c r="G58" s="104" t="str">
        <f t="shared" si="8"/>
        <v/>
      </c>
      <c r="H58" s="149" t="str">
        <f t="shared" si="9"/>
        <v/>
      </c>
      <c r="I58" s="16"/>
      <c r="J58" s="16"/>
      <c r="K58" s="16"/>
      <c r="L58" s="16"/>
      <c r="M58" s="16"/>
      <c r="N58" s="180" t="str">
        <f>IF(A58="","",posicao_contratual!E58)</f>
        <v/>
      </c>
      <c r="O58" s="180" t="str">
        <f>IF(A58="","",posicao_contratual!I58)</f>
        <v/>
      </c>
      <c r="P58" s="180" t="str">
        <f>IF(A58="","",posicao_contratual!M58)</f>
        <v/>
      </c>
      <c r="Q58" s="180" t="str">
        <f>IF(A58="","",posicao_contratual!Q58)</f>
        <v/>
      </c>
      <c r="R58" s="180" t="str">
        <f>IF(A58="","",posicao_contratual!U58)</f>
        <v/>
      </c>
      <c r="S58" s="180" t="str">
        <f>IF(A58="","",posicao_contratual!G58)</f>
        <v/>
      </c>
      <c r="T58" s="180" t="str">
        <f>IF(A58="","",posicao_contratual!K58)</f>
        <v/>
      </c>
      <c r="U58" s="180" t="str">
        <f>IF(A58="","",posicao_contratual!O58)</f>
        <v/>
      </c>
      <c r="V58" s="180" t="str">
        <f>IF(A58="","",posicao_contratual!S58)</f>
        <v/>
      </c>
      <c r="W58" s="180" t="str">
        <f>IF(A58="","",posicao_contratual!W58)</f>
        <v/>
      </c>
    </row>
    <row r="59" spans="1:23" x14ac:dyDescent="0.35">
      <c r="A59" s="111" t="str">
        <f>IF(itens_Remanesc!A59="","",itens_Remanesc!A59)</f>
        <v/>
      </c>
      <c r="B59" s="110" t="str">
        <f>IF(posicao_contratual!A59="","",posicao_contratual!E59)</f>
        <v/>
      </c>
      <c r="C59" s="104" t="str">
        <f>IF(itens_Remanesc!A59="","",itens_Remanesc!C59)</f>
        <v/>
      </c>
      <c r="D59" s="104" t="str">
        <f t="shared" si="5"/>
        <v/>
      </c>
      <c r="E59" s="104" t="str">
        <f t="shared" si="6"/>
        <v/>
      </c>
      <c r="F59" s="104" t="str">
        <f t="shared" si="7"/>
        <v/>
      </c>
      <c r="G59" s="104" t="str">
        <f t="shared" si="8"/>
        <v/>
      </c>
      <c r="H59" s="149" t="str">
        <f t="shared" si="9"/>
        <v/>
      </c>
      <c r="I59" s="16"/>
      <c r="J59" s="16"/>
      <c r="K59" s="16"/>
      <c r="L59" s="16"/>
      <c r="M59" s="16"/>
      <c r="N59" s="180" t="str">
        <f>IF(A59="","",posicao_contratual!E59)</f>
        <v/>
      </c>
      <c r="O59" s="180" t="str">
        <f>IF(A59="","",posicao_contratual!I59)</f>
        <v/>
      </c>
      <c r="P59" s="180" t="str">
        <f>IF(A59="","",posicao_contratual!M59)</f>
        <v/>
      </c>
      <c r="Q59" s="180" t="str">
        <f>IF(A59="","",posicao_contratual!Q59)</f>
        <v/>
      </c>
      <c r="R59" s="180" t="str">
        <f>IF(A59="","",posicao_contratual!U59)</f>
        <v/>
      </c>
      <c r="S59" s="180" t="str">
        <f>IF(A59="","",posicao_contratual!G59)</f>
        <v/>
      </c>
      <c r="T59" s="180" t="str">
        <f>IF(A59="","",posicao_contratual!K59)</f>
        <v/>
      </c>
      <c r="U59" s="180" t="str">
        <f>IF(A59="","",posicao_contratual!O59)</f>
        <v/>
      </c>
      <c r="V59" s="180" t="str">
        <f>IF(A59="","",posicao_contratual!S59)</f>
        <v/>
      </c>
      <c r="W59" s="180" t="str">
        <f>IF(A59="","",posicao_contratual!W59)</f>
        <v/>
      </c>
    </row>
    <row r="60" spans="1:23" x14ac:dyDescent="0.35">
      <c r="A60" s="111" t="str">
        <f>IF(itens_Remanesc!A60="","",itens_Remanesc!A60)</f>
        <v/>
      </c>
      <c r="B60" s="110" t="str">
        <f>IF(posicao_contratual!A60="","",posicao_contratual!E60)</f>
        <v/>
      </c>
      <c r="C60" s="104" t="str">
        <f>IF(itens_Remanesc!A60="","",itens_Remanesc!C60)</f>
        <v/>
      </c>
      <c r="D60" s="104" t="str">
        <f t="shared" si="5"/>
        <v/>
      </c>
      <c r="E60" s="104" t="str">
        <f t="shared" si="6"/>
        <v/>
      </c>
      <c r="F60" s="104" t="str">
        <f t="shared" si="7"/>
        <v/>
      </c>
      <c r="G60" s="104" t="str">
        <f t="shared" si="8"/>
        <v/>
      </c>
      <c r="H60" s="149" t="str">
        <f t="shared" si="9"/>
        <v/>
      </c>
      <c r="I60" s="16"/>
      <c r="J60" s="16"/>
      <c r="K60" s="16"/>
      <c r="L60" s="16"/>
      <c r="M60" s="16"/>
      <c r="N60" s="180" t="str">
        <f>IF(A60="","",posicao_contratual!E60)</f>
        <v/>
      </c>
      <c r="O60" s="180" t="str">
        <f>IF(A60="","",posicao_contratual!I60)</f>
        <v/>
      </c>
      <c r="P60" s="180" t="str">
        <f>IF(A60="","",posicao_contratual!M60)</f>
        <v/>
      </c>
      <c r="Q60" s="180" t="str">
        <f>IF(A60="","",posicao_contratual!Q60)</f>
        <v/>
      </c>
      <c r="R60" s="180" t="str">
        <f>IF(A60="","",posicao_contratual!U60)</f>
        <v/>
      </c>
      <c r="S60" s="180" t="str">
        <f>IF(A60="","",posicao_contratual!G60)</f>
        <v/>
      </c>
      <c r="T60" s="180" t="str">
        <f>IF(A60="","",posicao_contratual!K60)</f>
        <v/>
      </c>
      <c r="U60" s="180" t="str">
        <f>IF(A60="","",posicao_contratual!O60)</f>
        <v/>
      </c>
      <c r="V60" s="180" t="str">
        <f>IF(A60="","",posicao_contratual!S60)</f>
        <v/>
      </c>
      <c r="W60" s="180" t="str">
        <f>IF(A60="","",posicao_contratual!W60)</f>
        <v/>
      </c>
    </row>
    <row r="61" spans="1:23" x14ac:dyDescent="0.35">
      <c r="A61" s="111" t="str">
        <f>IF(itens_Remanesc!A61="","",itens_Remanesc!A61)</f>
        <v/>
      </c>
      <c r="B61" s="110" t="str">
        <f>IF(posicao_contratual!A61="","",posicao_contratual!E61)</f>
        <v/>
      </c>
      <c r="C61" s="104" t="str">
        <f>IF(itens_Remanesc!A61="","",itens_Remanesc!C61)</f>
        <v/>
      </c>
      <c r="D61" s="104" t="str">
        <f t="shared" si="5"/>
        <v/>
      </c>
      <c r="E61" s="104" t="str">
        <f t="shared" si="6"/>
        <v/>
      </c>
      <c r="F61" s="104" t="str">
        <f t="shared" si="7"/>
        <v/>
      </c>
      <c r="G61" s="104" t="str">
        <f t="shared" si="8"/>
        <v/>
      </c>
      <c r="H61" s="149" t="str">
        <f t="shared" si="9"/>
        <v/>
      </c>
      <c r="I61" s="16"/>
      <c r="J61" s="16"/>
      <c r="K61" s="16"/>
      <c r="L61" s="16"/>
      <c r="M61" s="16"/>
      <c r="N61" s="180" t="str">
        <f>IF(A61="","",posicao_contratual!E61)</f>
        <v/>
      </c>
      <c r="O61" s="180" t="str">
        <f>IF(A61="","",posicao_contratual!I61)</f>
        <v/>
      </c>
      <c r="P61" s="180" t="str">
        <f>IF(A61="","",posicao_contratual!M61)</f>
        <v/>
      </c>
      <c r="Q61" s="180" t="str">
        <f>IF(A61="","",posicao_contratual!Q61)</f>
        <v/>
      </c>
      <c r="R61" s="180" t="str">
        <f>IF(A61="","",posicao_contratual!U61)</f>
        <v/>
      </c>
      <c r="S61" s="180" t="str">
        <f>IF(A61="","",posicao_contratual!G61)</f>
        <v/>
      </c>
      <c r="T61" s="180" t="str">
        <f>IF(A61="","",posicao_contratual!K61)</f>
        <v/>
      </c>
      <c r="U61" s="180" t="str">
        <f>IF(A61="","",posicao_contratual!O61)</f>
        <v/>
      </c>
      <c r="V61" s="180" t="str">
        <f>IF(A61="","",posicao_contratual!S61)</f>
        <v/>
      </c>
      <c r="W61" s="180" t="str">
        <f>IF(A61="","",posicao_contratual!W61)</f>
        <v/>
      </c>
    </row>
    <row r="62" spans="1:23" x14ac:dyDescent="0.35">
      <c r="A62" s="111" t="str">
        <f>IF(itens_Remanesc!A62="","",itens_Remanesc!A62)</f>
        <v/>
      </c>
      <c r="B62" s="110" t="str">
        <f>IF(posicao_contratual!A62="","",posicao_contratual!E62)</f>
        <v/>
      </c>
      <c r="C62" s="104" t="str">
        <f>IF(itens_Remanesc!A62="","",itens_Remanesc!C62)</f>
        <v/>
      </c>
      <c r="D62" s="104" t="str">
        <f t="shared" si="5"/>
        <v/>
      </c>
      <c r="E62" s="104" t="str">
        <f t="shared" si="6"/>
        <v/>
      </c>
      <c r="F62" s="104" t="str">
        <f t="shared" si="7"/>
        <v/>
      </c>
      <c r="G62" s="104" t="str">
        <f t="shared" si="8"/>
        <v/>
      </c>
      <c r="H62" s="149" t="str">
        <f t="shared" si="9"/>
        <v/>
      </c>
      <c r="I62" s="16"/>
      <c r="J62" s="16"/>
      <c r="K62" s="16"/>
      <c r="L62" s="16"/>
      <c r="M62" s="16"/>
      <c r="N62" s="180" t="str">
        <f>IF(A62="","",posicao_contratual!E62)</f>
        <v/>
      </c>
      <c r="O62" s="180" t="str">
        <f>IF(A62="","",posicao_contratual!I62)</f>
        <v/>
      </c>
      <c r="P62" s="180" t="str">
        <f>IF(A62="","",posicao_contratual!M62)</f>
        <v/>
      </c>
      <c r="Q62" s="180" t="str">
        <f>IF(A62="","",posicao_contratual!Q62)</f>
        <v/>
      </c>
      <c r="R62" s="180" t="str">
        <f>IF(A62="","",posicao_contratual!U62)</f>
        <v/>
      </c>
      <c r="S62" s="180" t="str">
        <f>IF(A62="","",posicao_contratual!G62)</f>
        <v/>
      </c>
      <c r="T62" s="180" t="str">
        <f>IF(A62="","",posicao_contratual!K62)</f>
        <v/>
      </c>
      <c r="U62" s="180" t="str">
        <f>IF(A62="","",posicao_contratual!O62)</f>
        <v/>
      </c>
      <c r="V62" s="180" t="str">
        <f>IF(A62="","",posicao_contratual!S62)</f>
        <v/>
      </c>
      <c r="W62" s="180" t="str">
        <f>IF(A62="","",posicao_contratual!W62)</f>
        <v/>
      </c>
    </row>
    <row r="63" spans="1:23" x14ac:dyDescent="0.35">
      <c r="A63" s="111" t="str">
        <f>IF(itens_Remanesc!A63="","",itens_Remanesc!A63)</f>
        <v/>
      </c>
      <c r="B63" s="110" t="str">
        <f>IF(posicao_contratual!A63="","",posicao_contratual!E63)</f>
        <v/>
      </c>
      <c r="C63" s="104" t="str">
        <f>IF(itens_Remanesc!A63="","",itens_Remanesc!C63)</f>
        <v/>
      </c>
      <c r="D63" s="104" t="str">
        <f t="shared" si="5"/>
        <v/>
      </c>
      <c r="E63" s="104" t="str">
        <f t="shared" si="6"/>
        <v/>
      </c>
      <c r="F63" s="104" t="str">
        <f t="shared" si="7"/>
        <v/>
      </c>
      <c r="G63" s="104" t="str">
        <f t="shared" si="8"/>
        <v/>
      </c>
      <c r="H63" s="149" t="str">
        <f t="shared" si="9"/>
        <v/>
      </c>
      <c r="I63" s="16"/>
      <c r="J63" s="16"/>
      <c r="K63" s="16"/>
      <c r="L63" s="16"/>
      <c r="M63" s="16"/>
      <c r="N63" s="180" t="str">
        <f>IF(A63="","",posicao_contratual!E63)</f>
        <v/>
      </c>
      <c r="O63" s="180" t="str">
        <f>IF(A63="","",posicao_contratual!I63)</f>
        <v/>
      </c>
      <c r="P63" s="180" t="str">
        <f>IF(A63="","",posicao_contratual!M63)</f>
        <v/>
      </c>
      <c r="Q63" s="180" t="str">
        <f>IF(A63="","",posicao_contratual!Q63)</f>
        <v/>
      </c>
      <c r="R63" s="180" t="str">
        <f>IF(A63="","",posicao_contratual!U63)</f>
        <v/>
      </c>
      <c r="S63" s="180" t="str">
        <f>IF(A63="","",posicao_contratual!G63)</f>
        <v/>
      </c>
      <c r="T63" s="180" t="str">
        <f>IF(A63="","",posicao_contratual!K63)</f>
        <v/>
      </c>
      <c r="U63" s="180" t="str">
        <f>IF(A63="","",posicao_contratual!O63)</f>
        <v/>
      </c>
      <c r="V63" s="180" t="str">
        <f>IF(A63="","",posicao_contratual!S63)</f>
        <v/>
      </c>
      <c r="W63" s="180" t="str">
        <f>IF(A63="","",posicao_contratual!W63)</f>
        <v/>
      </c>
    </row>
    <row r="64" spans="1:23" x14ac:dyDescent="0.35">
      <c r="A64" s="111" t="str">
        <f>IF(itens_Remanesc!A64="","",itens_Remanesc!A64)</f>
        <v/>
      </c>
      <c r="B64" s="110" t="str">
        <f>IF(posicao_contratual!A64="","",posicao_contratual!E64)</f>
        <v/>
      </c>
      <c r="C64" s="104" t="str">
        <f>IF(itens_Remanesc!A64="","",itens_Remanesc!C64)</f>
        <v/>
      </c>
      <c r="D64" s="104" t="str">
        <f t="shared" si="5"/>
        <v/>
      </c>
      <c r="E64" s="104" t="str">
        <f t="shared" si="6"/>
        <v/>
      </c>
      <c r="F64" s="104" t="str">
        <f t="shared" si="7"/>
        <v/>
      </c>
      <c r="G64" s="104" t="str">
        <f t="shared" si="8"/>
        <v/>
      </c>
      <c r="H64" s="149" t="str">
        <f t="shared" si="9"/>
        <v/>
      </c>
      <c r="I64" s="16"/>
      <c r="J64" s="16"/>
      <c r="K64" s="16"/>
      <c r="L64" s="16"/>
      <c r="M64" s="16"/>
      <c r="N64" s="180" t="str">
        <f>IF(A64="","",posicao_contratual!E64)</f>
        <v/>
      </c>
      <c r="O64" s="180" t="str">
        <f>IF(A64="","",posicao_contratual!I64)</f>
        <v/>
      </c>
      <c r="P64" s="180" t="str">
        <f>IF(A64="","",posicao_contratual!M64)</f>
        <v/>
      </c>
      <c r="Q64" s="180" t="str">
        <f>IF(A64="","",posicao_contratual!Q64)</f>
        <v/>
      </c>
      <c r="R64" s="180" t="str">
        <f>IF(A64="","",posicao_contratual!U64)</f>
        <v/>
      </c>
      <c r="S64" s="180" t="str">
        <f>IF(A64="","",posicao_contratual!G64)</f>
        <v/>
      </c>
      <c r="T64" s="180" t="str">
        <f>IF(A64="","",posicao_contratual!K64)</f>
        <v/>
      </c>
      <c r="U64" s="180" t="str">
        <f>IF(A64="","",posicao_contratual!O64)</f>
        <v/>
      </c>
      <c r="V64" s="180" t="str">
        <f>IF(A64="","",posicao_contratual!S64)</f>
        <v/>
      </c>
      <c r="W64" s="180" t="str">
        <f>IF(A64="","",posicao_contratual!W64)</f>
        <v/>
      </c>
    </row>
    <row r="65" spans="1:23" x14ac:dyDescent="0.35">
      <c r="A65" s="111" t="str">
        <f>IF(itens_Remanesc!A65="","",itens_Remanesc!A65)</f>
        <v/>
      </c>
      <c r="B65" s="110" t="str">
        <f>IF(posicao_contratual!A65="","",posicao_contratual!E65)</f>
        <v/>
      </c>
      <c r="C65" s="104" t="str">
        <f>IF(itens_Remanesc!A65="","",itens_Remanesc!C65)</f>
        <v/>
      </c>
      <c r="D65" s="104" t="str">
        <f t="shared" si="5"/>
        <v/>
      </c>
      <c r="E65" s="104" t="str">
        <f t="shared" si="6"/>
        <v/>
      </c>
      <c r="F65" s="104" t="str">
        <f t="shared" si="7"/>
        <v/>
      </c>
      <c r="G65" s="104" t="str">
        <f t="shared" si="8"/>
        <v/>
      </c>
      <c r="H65" s="149" t="str">
        <f t="shared" si="9"/>
        <v/>
      </c>
      <c r="I65" s="16"/>
      <c r="J65" s="16"/>
      <c r="K65" s="16"/>
      <c r="L65" s="16"/>
      <c r="M65" s="16"/>
      <c r="N65" s="180" t="str">
        <f>IF(A65="","",posicao_contratual!E65)</f>
        <v/>
      </c>
      <c r="O65" s="180" t="str">
        <f>IF(A65="","",posicao_contratual!I65)</f>
        <v/>
      </c>
      <c r="P65" s="180" t="str">
        <f>IF(A65="","",posicao_contratual!M65)</f>
        <v/>
      </c>
      <c r="Q65" s="180" t="str">
        <f>IF(A65="","",posicao_contratual!Q65)</f>
        <v/>
      </c>
      <c r="R65" s="180" t="str">
        <f>IF(A65="","",posicao_contratual!U65)</f>
        <v/>
      </c>
      <c r="S65" s="180" t="str">
        <f>IF(A65="","",posicao_contratual!G65)</f>
        <v/>
      </c>
      <c r="T65" s="180" t="str">
        <f>IF(A65="","",posicao_contratual!K65)</f>
        <v/>
      </c>
      <c r="U65" s="180" t="str">
        <f>IF(A65="","",posicao_contratual!O65)</f>
        <v/>
      </c>
      <c r="V65" s="180" t="str">
        <f>IF(A65="","",posicao_contratual!S65)</f>
        <v/>
      </c>
      <c r="W65" s="180" t="str">
        <f>IF(A65="","",posicao_contratual!W65)</f>
        <v/>
      </c>
    </row>
    <row r="66" spans="1:23" x14ac:dyDescent="0.35">
      <c r="A66" s="111" t="str">
        <f>IF(itens_Remanesc!A66="","",itens_Remanesc!A66)</f>
        <v/>
      </c>
      <c r="B66" s="110" t="str">
        <f>IF(posicao_contratual!A66="","",posicao_contratual!E66)</f>
        <v/>
      </c>
      <c r="C66" s="104" t="str">
        <f>IF(itens_Remanesc!A66="","",itens_Remanesc!C66)</f>
        <v/>
      </c>
      <c r="D66" s="104" t="str">
        <f t="shared" ref="D66:D97" si="10">IF(OR(A66="",C66="",NOT(ISNUMBER($L$3))),"",ROUND(C66*$L$3,2))</f>
        <v/>
      </c>
      <c r="E66" s="104" t="str">
        <f t="shared" ref="E66:E97" si="11">IF(OR(A66="",C66="",NOT(ISNUMBER($L$4))),"",ROUND(C66*$L$4,2))</f>
        <v/>
      </c>
      <c r="F66" s="104" t="str">
        <f t="shared" ref="F66:F97" si="12">IF(OR(A66="",C66="",NOT(ISNUMBER($L$5))),"",ROUND(C66*$L$5,2))</f>
        <v/>
      </c>
      <c r="G66" s="104" t="str">
        <f t="shared" ref="G66:G97" si="13">IF(OR(A66="",C66="",NOT(ISNUMBER($L$6))),"",ROUND(C66*$L$6,2))</f>
        <v/>
      </c>
      <c r="H66" s="149" t="str">
        <f t="shared" ref="H66:H97" si="14">IF(OR(A66="",C66="",C66=0,NOT(ISNUMBER($L$6))),"",ROUND($L$6-1,4))</f>
        <v/>
      </c>
      <c r="I66" s="16"/>
      <c r="J66" s="16"/>
      <c r="K66" s="16"/>
      <c r="L66" s="16"/>
      <c r="M66" s="16"/>
      <c r="N66" s="180" t="str">
        <f>IF(A66="","",posicao_contratual!E66)</f>
        <v/>
      </c>
      <c r="O66" s="180" t="str">
        <f>IF(A66="","",posicao_contratual!I66)</f>
        <v/>
      </c>
      <c r="P66" s="180" t="str">
        <f>IF(A66="","",posicao_contratual!M66)</f>
        <v/>
      </c>
      <c r="Q66" s="180" t="str">
        <f>IF(A66="","",posicao_contratual!Q66)</f>
        <v/>
      </c>
      <c r="R66" s="180" t="str">
        <f>IF(A66="","",posicao_contratual!U66)</f>
        <v/>
      </c>
      <c r="S66" s="180" t="str">
        <f>IF(A66="","",posicao_contratual!G66)</f>
        <v/>
      </c>
      <c r="T66" s="180" t="str">
        <f>IF(A66="","",posicao_contratual!K66)</f>
        <v/>
      </c>
      <c r="U66" s="180" t="str">
        <f>IF(A66="","",posicao_contratual!O66)</f>
        <v/>
      </c>
      <c r="V66" s="180" t="str">
        <f>IF(A66="","",posicao_contratual!S66)</f>
        <v/>
      </c>
      <c r="W66" s="180" t="str">
        <f>IF(A66="","",posicao_contratual!W66)</f>
        <v/>
      </c>
    </row>
    <row r="67" spans="1:23" x14ac:dyDescent="0.35">
      <c r="A67" s="111" t="str">
        <f>IF(itens_Remanesc!A67="","",itens_Remanesc!A67)</f>
        <v/>
      </c>
      <c r="B67" s="110" t="str">
        <f>IF(posicao_contratual!A67="","",posicao_contratual!E67)</f>
        <v/>
      </c>
      <c r="C67" s="104" t="str">
        <f>IF(itens_Remanesc!A67="","",itens_Remanesc!C67)</f>
        <v/>
      </c>
      <c r="D67" s="104" t="str">
        <f t="shared" si="10"/>
        <v/>
      </c>
      <c r="E67" s="104" t="str">
        <f t="shared" si="11"/>
        <v/>
      </c>
      <c r="F67" s="104" t="str">
        <f t="shared" si="12"/>
        <v/>
      </c>
      <c r="G67" s="104" t="str">
        <f t="shared" si="13"/>
        <v/>
      </c>
      <c r="H67" s="149" t="str">
        <f t="shared" si="14"/>
        <v/>
      </c>
      <c r="I67" s="16"/>
      <c r="J67" s="16"/>
      <c r="K67" s="16"/>
      <c r="L67" s="16"/>
      <c r="M67" s="16"/>
      <c r="N67" s="180" t="str">
        <f>IF(A67="","",posicao_contratual!E67)</f>
        <v/>
      </c>
      <c r="O67" s="180" t="str">
        <f>IF(A67="","",posicao_contratual!I67)</f>
        <v/>
      </c>
      <c r="P67" s="180" t="str">
        <f>IF(A67="","",posicao_contratual!M67)</f>
        <v/>
      </c>
      <c r="Q67" s="180" t="str">
        <f>IF(A67="","",posicao_contratual!Q67)</f>
        <v/>
      </c>
      <c r="R67" s="180" t="str">
        <f>IF(A67="","",posicao_contratual!U67)</f>
        <v/>
      </c>
      <c r="S67" s="180" t="str">
        <f>IF(A67="","",posicao_contratual!G67)</f>
        <v/>
      </c>
      <c r="T67" s="180" t="str">
        <f>IF(A67="","",posicao_contratual!K67)</f>
        <v/>
      </c>
      <c r="U67" s="180" t="str">
        <f>IF(A67="","",posicao_contratual!O67)</f>
        <v/>
      </c>
      <c r="V67" s="180" t="str">
        <f>IF(A67="","",posicao_contratual!S67)</f>
        <v/>
      </c>
      <c r="W67" s="180" t="str">
        <f>IF(A67="","",posicao_contratual!W67)</f>
        <v/>
      </c>
    </row>
    <row r="68" spans="1:23" x14ac:dyDescent="0.35">
      <c r="A68" s="111" t="str">
        <f>IF(itens_Remanesc!A68="","",itens_Remanesc!A68)</f>
        <v/>
      </c>
      <c r="B68" s="110" t="str">
        <f>IF(posicao_contratual!A68="","",posicao_contratual!E68)</f>
        <v/>
      </c>
      <c r="C68" s="104" t="str">
        <f>IF(itens_Remanesc!A68="","",itens_Remanesc!C68)</f>
        <v/>
      </c>
      <c r="D68" s="104" t="str">
        <f t="shared" si="10"/>
        <v/>
      </c>
      <c r="E68" s="104" t="str">
        <f t="shared" si="11"/>
        <v/>
      </c>
      <c r="F68" s="104" t="str">
        <f t="shared" si="12"/>
        <v/>
      </c>
      <c r="G68" s="104" t="str">
        <f t="shared" si="13"/>
        <v/>
      </c>
      <c r="H68" s="149" t="str">
        <f t="shared" si="14"/>
        <v/>
      </c>
      <c r="I68" s="16"/>
      <c r="J68" s="16"/>
      <c r="K68" s="16"/>
      <c r="L68" s="16"/>
      <c r="M68" s="16"/>
      <c r="N68" s="180" t="str">
        <f>IF(A68="","",posicao_contratual!E68)</f>
        <v/>
      </c>
      <c r="O68" s="180" t="str">
        <f>IF(A68="","",posicao_contratual!I68)</f>
        <v/>
      </c>
      <c r="P68" s="180" t="str">
        <f>IF(A68="","",posicao_contratual!M68)</f>
        <v/>
      </c>
      <c r="Q68" s="180" t="str">
        <f>IF(A68="","",posicao_contratual!Q68)</f>
        <v/>
      </c>
      <c r="R68" s="180" t="str">
        <f>IF(A68="","",posicao_contratual!U68)</f>
        <v/>
      </c>
      <c r="S68" s="180" t="str">
        <f>IF(A68="","",posicao_contratual!G68)</f>
        <v/>
      </c>
      <c r="T68" s="180" t="str">
        <f>IF(A68="","",posicao_contratual!K68)</f>
        <v/>
      </c>
      <c r="U68" s="180" t="str">
        <f>IF(A68="","",posicao_contratual!O68)</f>
        <v/>
      </c>
      <c r="V68" s="180" t="str">
        <f>IF(A68="","",posicao_contratual!S68)</f>
        <v/>
      </c>
      <c r="W68" s="180" t="str">
        <f>IF(A68="","",posicao_contratual!W68)</f>
        <v/>
      </c>
    </row>
    <row r="69" spans="1:23" x14ac:dyDescent="0.35">
      <c r="A69" s="111" t="str">
        <f>IF(itens_Remanesc!A69="","",itens_Remanesc!A69)</f>
        <v/>
      </c>
      <c r="B69" s="110" t="str">
        <f>IF(posicao_contratual!A69="","",posicao_contratual!E69)</f>
        <v/>
      </c>
      <c r="C69" s="104" t="str">
        <f>IF(itens_Remanesc!A69="","",itens_Remanesc!C69)</f>
        <v/>
      </c>
      <c r="D69" s="104" t="str">
        <f t="shared" si="10"/>
        <v/>
      </c>
      <c r="E69" s="104" t="str">
        <f t="shared" si="11"/>
        <v/>
      </c>
      <c r="F69" s="104" t="str">
        <f t="shared" si="12"/>
        <v/>
      </c>
      <c r="G69" s="104" t="str">
        <f t="shared" si="13"/>
        <v/>
      </c>
      <c r="H69" s="149" t="str">
        <f t="shared" si="14"/>
        <v/>
      </c>
      <c r="I69" s="16"/>
      <c r="J69" s="16"/>
      <c r="K69" s="16"/>
      <c r="L69" s="16"/>
      <c r="M69" s="16"/>
      <c r="N69" s="180" t="str">
        <f>IF(A69="","",posicao_contratual!E69)</f>
        <v/>
      </c>
      <c r="O69" s="180" t="str">
        <f>IF(A69="","",posicao_contratual!I69)</f>
        <v/>
      </c>
      <c r="P69" s="180" t="str">
        <f>IF(A69="","",posicao_contratual!M69)</f>
        <v/>
      </c>
      <c r="Q69" s="180" t="str">
        <f>IF(A69="","",posicao_contratual!Q69)</f>
        <v/>
      </c>
      <c r="R69" s="180" t="str">
        <f>IF(A69="","",posicao_contratual!U69)</f>
        <v/>
      </c>
      <c r="S69" s="180" t="str">
        <f>IF(A69="","",posicao_contratual!G69)</f>
        <v/>
      </c>
      <c r="T69" s="180" t="str">
        <f>IF(A69="","",posicao_contratual!K69)</f>
        <v/>
      </c>
      <c r="U69" s="180" t="str">
        <f>IF(A69="","",posicao_contratual!O69)</f>
        <v/>
      </c>
      <c r="V69" s="180" t="str">
        <f>IF(A69="","",posicao_contratual!S69)</f>
        <v/>
      </c>
      <c r="W69" s="180" t="str">
        <f>IF(A69="","",posicao_contratual!W69)</f>
        <v/>
      </c>
    </row>
    <row r="70" spans="1:23" x14ac:dyDescent="0.35">
      <c r="A70" s="111" t="str">
        <f>IF(itens_Remanesc!A70="","",itens_Remanesc!A70)</f>
        <v/>
      </c>
      <c r="B70" s="110" t="str">
        <f>IF(posicao_contratual!A70="","",posicao_contratual!E70)</f>
        <v/>
      </c>
      <c r="C70" s="104" t="str">
        <f>IF(itens_Remanesc!A70="","",itens_Remanesc!C70)</f>
        <v/>
      </c>
      <c r="D70" s="104" t="str">
        <f t="shared" si="10"/>
        <v/>
      </c>
      <c r="E70" s="104" t="str">
        <f t="shared" si="11"/>
        <v/>
      </c>
      <c r="F70" s="104" t="str">
        <f t="shared" si="12"/>
        <v/>
      </c>
      <c r="G70" s="104" t="str">
        <f t="shared" si="13"/>
        <v/>
      </c>
      <c r="H70" s="149" t="str">
        <f t="shared" si="14"/>
        <v/>
      </c>
      <c r="I70" s="16"/>
      <c r="J70" s="16"/>
      <c r="K70" s="16"/>
      <c r="L70" s="16"/>
      <c r="M70" s="16"/>
      <c r="N70" s="180" t="str">
        <f>IF(A70="","",posicao_contratual!E70)</f>
        <v/>
      </c>
      <c r="O70" s="180" t="str">
        <f>IF(A70="","",posicao_contratual!I70)</f>
        <v/>
      </c>
      <c r="P70" s="180" t="str">
        <f>IF(A70="","",posicao_contratual!M70)</f>
        <v/>
      </c>
      <c r="Q70" s="180" t="str">
        <f>IF(A70="","",posicao_contratual!Q70)</f>
        <v/>
      </c>
      <c r="R70" s="180" t="str">
        <f>IF(A70="","",posicao_contratual!U70)</f>
        <v/>
      </c>
      <c r="S70" s="180" t="str">
        <f>IF(A70="","",posicao_contratual!G70)</f>
        <v/>
      </c>
      <c r="T70" s="180" t="str">
        <f>IF(A70="","",posicao_contratual!K70)</f>
        <v/>
      </c>
      <c r="U70" s="180" t="str">
        <f>IF(A70="","",posicao_contratual!O70)</f>
        <v/>
      </c>
      <c r="V70" s="180" t="str">
        <f>IF(A70="","",posicao_contratual!S70)</f>
        <v/>
      </c>
      <c r="W70" s="180" t="str">
        <f>IF(A70="","",posicao_contratual!W70)</f>
        <v/>
      </c>
    </row>
    <row r="71" spans="1:23" x14ac:dyDescent="0.35">
      <c r="A71" s="111" t="str">
        <f>IF(itens_Remanesc!A71="","",itens_Remanesc!A71)</f>
        <v/>
      </c>
      <c r="B71" s="110" t="str">
        <f>IF(posicao_contratual!A71="","",posicao_contratual!E71)</f>
        <v/>
      </c>
      <c r="C71" s="104" t="str">
        <f>IF(itens_Remanesc!A71="","",itens_Remanesc!C71)</f>
        <v/>
      </c>
      <c r="D71" s="104" t="str">
        <f t="shared" si="10"/>
        <v/>
      </c>
      <c r="E71" s="104" t="str">
        <f t="shared" si="11"/>
        <v/>
      </c>
      <c r="F71" s="104" t="str">
        <f t="shared" si="12"/>
        <v/>
      </c>
      <c r="G71" s="104" t="str">
        <f t="shared" si="13"/>
        <v/>
      </c>
      <c r="H71" s="149" t="str">
        <f t="shared" si="14"/>
        <v/>
      </c>
      <c r="I71" s="16"/>
      <c r="J71" s="16"/>
      <c r="K71" s="16"/>
      <c r="L71" s="16"/>
      <c r="M71" s="16"/>
      <c r="N71" s="180" t="str">
        <f>IF(A71="","",posicao_contratual!E71)</f>
        <v/>
      </c>
      <c r="O71" s="180" t="str">
        <f>IF(A71="","",posicao_contratual!I71)</f>
        <v/>
      </c>
      <c r="P71" s="180" t="str">
        <f>IF(A71="","",posicao_contratual!M71)</f>
        <v/>
      </c>
      <c r="Q71" s="180" t="str">
        <f>IF(A71="","",posicao_contratual!Q71)</f>
        <v/>
      </c>
      <c r="R71" s="180" t="str">
        <f>IF(A71="","",posicao_contratual!U71)</f>
        <v/>
      </c>
      <c r="S71" s="180" t="str">
        <f>IF(A71="","",posicao_contratual!G71)</f>
        <v/>
      </c>
      <c r="T71" s="180" t="str">
        <f>IF(A71="","",posicao_contratual!K71)</f>
        <v/>
      </c>
      <c r="U71" s="180" t="str">
        <f>IF(A71="","",posicao_contratual!O71)</f>
        <v/>
      </c>
      <c r="V71" s="180" t="str">
        <f>IF(A71="","",posicao_contratual!S71)</f>
        <v/>
      </c>
      <c r="W71" s="180" t="str">
        <f>IF(A71="","",posicao_contratual!W71)</f>
        <v/>
      </c>
    </row>
    <row r="72" spans="1:23" x14ac:dyDescent="0.35">
      <c r="A72" s="111" t="str">
        <f>IF(itens_Remanesc!A72="","",itens_Remanesc!A72)</f>
        <v/>
      </c>
      <c r="B72" s="110" t="str">
        <f>IF(posicao_contratual!A72="","",posicao_contratual!E72)</f>
        <v/>
      </c>
      <c r="C72" s="104" t="str">
        <f>IF(itens_Remanesc!A72="","",itens_Remanesc!C72)</f>
        <v/>
      </c>
      <c r="D72" s="104" t="str">
        <f t="shared" si="10"/>
        <v/>
      </c>
      <c r="E72" s="104" t="str">
        <f t="shared" si="11"/>
        <v/>
      </c>
      <c r="F72" s="104" t="str">
        <f t="shared" si="12"/>
        <v/>
      </c>
      <c r="G72" s="104" t="str">
        <f t="shared" si="13"/>
        <v/>
      </c>
      <c r="H72" s="149" t="str">
        <f t="shared" si="14"/>
        <v/>
      </c>
      <c r="I72" s="16"/>
      <c r="J72" s="16"/>
      <c r="K72" s="16"/>
      <c r="L72" s="16"/>
      <c r="M72" s="16"/>
      <c r="N72" s="180" t="str">
        <f>IF(A72="","",posicao_contratual!E72)</f>
        <v/>
      </c>
      <c r="O72" s="180" t="str">
        <f>IF(A72="","",posicao_contratual!I72)</f>
        <v/>
      </c>
      <c r="P72" s="180" t="str">
        <f>IF(A72="","",posicao_contratual!M72)</f>
        <v/>
      </c>
      <c r="Q72" s="180" t="str">
        <f>IF(A72="","",posicao_contratual!Q72)</f>
        <v/>
      </c>
      <c r="R72" s="180" t="str">
        <f>IF(A72="","",posicao_contratual!U72)</f>
        <v/>
      </c>
      <c r="S72" s="180" t="str">
        <f>IF(A72="","",posicao_contratual!G72)</f>
        <v/>
      </c>
      <c r="T72" s="180" t="str">
        <f>IF(A72="","",posicao_contratual!K72)</f>
        <v/>
      </c>
      <c r="U72" s="180" t="str">
        <f>IF(A72="","",posicao_contratual!O72)</f>
        <v/>
      </c>
      <c r="V72" s="180" t="str">
        <f>IF(A72="","",posicao_contratual!S72)</f>
        <v/>
      </c>
      <c r="W72" s="180" t="str">
        <f>IF(A72="","",posicao_contratual!W72)</f>
        <v/>
      </c>
    </row>
    <row r="73" spans="1:23" x14ac:dyDescent="0.35">
      <c r="A73" s="111" t="str">
        <f>IF(itens_Remanesc!A73="","",itens_Remanesc!A73)</f>
        <v/>
      </c>
      <c r="B73" s="110" t="str">
        <f>IF(posicao_contratual!A73="","",posicao_contratual!E73)</f>
        <v/>
      </c>
      <c r="C73" s="104" t="str">
        <f>IF(itens_Remanesc!A73="","",itens_Remanesc!C73)</f>
        <v/>
      </c>
      <c r="D73" s="104" t="str">
        <f t="shared" si="10"/>
        <v/>
      </c>
      <c r="E73" s="104" t="str">
        <f t="shared" si="11"/>
        <v/>
      </c>
      <c r="F73" s="104" t="str">
        <f t="shared" si="12"/>
        <v/>
      </c>
      <c r="G73" s="104" t="str">
        <f t="shared" si="13"/>
        <v/>
      </c>
      <c r="H73" s="149" t="str">
        <f t="shared" si="14"/>
        <v/>
      </c>
      <c r="I73" s="16"/>
      <c r="J73" s="16"/>
      <c r="K73" s="16"/>
      <c r="L73" s="16"/>
      <c r="M73" s="16"/>
      <c r="N73" s="180" t="str">
        <f>IF(A73="","",posicao_contratual!E73)</f>
        <v/>
      </c>
      <c r="O73" s="180" t="str">
        <f>IF(A73="","",posicao_contratual!I73)</f>
        <v/>
      </c>
      <c r="P73" s="180" t="str">
        <f>IF(A73="","",posicao_contratual!M73)</f>
        <v/>
      </c>
      <c r="Q73" s="180" t="str">
        <f>IF(A73="","",posicao_contratual!Q73)</f>
        <v/>
      </c>
      <c r="R73" s="180" t="str">
        <f>IF(A73="","",posicao_contratual!U73)</f>
        <v/>
      </c>
      <c r="S73" s="180" t="str">
        <f>IF(A73="","",posicao_contratual!G73)</f>
        <v/>
      </c>
      <c r="T73" s="180" t="str">
        <f>IF(A73="","",posicao_contratual!K73)</f>
        <v/>
      </c>
      <c r="U73" s="180" t="str">
        <f>IF(A73="","",posicao_contratual!O73)</f>
        <v/>
      </c>
      <c r="V73" s="180" t="str">
        <f>IF(A73="","",posicao_contratual!S73)</f>
        <v/>
      </c>
      <c r="W73" s="180" t="str">
        <f>IF(A73="","",posicao_contratual!W73)</f>
        <v/>
      </c>
    </row>
    <row r="74" spans="1:23" x14ac:dyDescent="0.35">
      <c r="A74" s="111" t="str">
        <f>IF(itens_Remanesc!A74="","",itens_Remanesc!A74)</f>
        <v/>
      </c>
      <c r="B74" s="110" t="str">
        <f>IF(posicao_contratual!A74="","",posicao_contratual!E74)</f>
        <v/>
      </c>
      <c r="C74" s="104" t="str">
        <f>IF(itens_Remanesc!A74="","",itens_Remanesc!C74)</f>
        <v/>
      </c>
      <c r="D74" s="104" t="str">
        <f t="shared" si="10"/>
        <v/>
      </c>
      <c r="E74" s="104" t="str">
        <f t="shared" si="11"/>
        <v/>
      </c>
      <c r="F74" s="104" t="str">
        <f t="shared" si="12"/>
        <v/>
      </c>
      <c r="G74" s="104" t="str">
        <f t="shared" si="13"/>
        <v/>
      </c>
      <c r="H74" s="149" t="str">
        <f t="shared" si="14"/>
        <v/>
      </c>
      <c r="I74" s="16"/>
      <c r="J74" s="16"/>
      <c r="K74" s="16"/>
      <c r="L74" s="16"/>
      <c r="M74" s="16"/>
      <c r="N74" s="180" t="str">
        <f>IF(A74="","",posicao_contratual!E74)</f>
        <v/>
      </c>
      <c r="O74" s="180" t="str">
        <f>IF(A74="","",posicao_contratual!I74)</f>
        <v/>
      </c>
      <c r="P74" s="180" t="str">
        <f>IF(A74="","",posicao_contratual!M74)</f>
        <v/>
      </c>
      <c r="Q74" s="180" t="str">
        <f>IF(A74="","",posicao_contratual!Q74)</f>
        <v/>
      </c>
      <c r="R74" s="180" t="str">
        <f>IF(A74="","",posicao_contratual!U74)</f>
        <v/>
      </c>
      <c r="S74" s="180" t="str">
        <f>IF(A74="","",posicao_contratual!G74)</f>
        <v/>
      </c>
      <c r="T74" s="180" t="str">
        <f>IF(A74="","",posicao_contratual!K74)</f>
        <v/>
      </c>
      <c r="U74" s="180" t="str">
        <f>IF(A74="","",posicao_contratual!O74)</f>
        <v/>
      </c>
      <c r="V74" s="180" t="str">
        <f>IF(A74="","",posicao_contratual!S74)</f>
        <v/>
      </c>
      <c r="W74" s="180" t="str">
        <f>IF(A74="","",posicao_contratual!W74)</f>
        <v/>
      </c>
    </row>
    <row r="75" spans="1:23" x14ac:dyDescent="0.35">
      <c r="A75" s="111" t="str">
        <f>IF(itens_Remanesc!A75="","",itens_Remanesc!A75)</f>
        <v/>
      </c>
      <c r="B75" s="110" t="str">
        <f>IF(posicao_contratual!A75="","",posicao_contratual!E75)</f>
        <v/>
      </c>
      <c r="C75" s="104" t="str">
        <f>IF(itens_Remanesc!A75="","",itens_Remanesc!C75)</f>
        <v/>
      </c>
      <c r="D75" s="104" t="str">
        <f t="shared" si="10"/>
        <v/>
      </c>
      <c r="E75" s="104" t="str">
        <f t="shared" si="11"/>
        <v/>
      </c>
      <c r="F75" s="104" t="str">
        <f t="shared" si="12"/>
        <v/>
      </c>
      <c r="G75" s="104" t="str">
        <f t="shared" si="13"/>
        <v/>
      </c>
      <c r="H75" s="149" t="str">
        <f t="shared" si="14"/>
        <v/>
      </c>
      <c r="I75" s="16"/>
      <c r="J75" s="16"/>
      <c r="K75" s="16"/>
      <c r="L75" s="16"/>
      <c r="M75" s="16"/>
      <c r="N75" s="180" t="str">
        <f>IF(A75="","",posicao_contratual!E75)</f>
        <v/>
      </c>
      <c r="O75" s="180" t="str">
        <f>IF(A75="","",posicao_contratual!I75)</f>
        <v/>
      </c>
      <c r="P75" s="180" t="str">
        <f>IF(A75="","",posicao_contratual!M75)</f>
        <v/>
      </c>
      <c r="Q75" s="180" t="str">
        <f>IF(A75="","",posicao_contratual!Q75)</f>
        <v/>
      </c>
      <c r="R75" s="180" t="str">
        <f>IF(A75="","",posicao_contratual!U75)</f>
        <v/>
      </c>
      <c r="S75" s="180" t="str">
        <f>IF(A75="","",posicao_contratual!G75)</f>
        <v/>
      </c>
      <c r="T75" s="180" t="str">
        <f>IF(A75="","",posicao_contratual!K75)</f>
        <v/>
      </c>
      <c r="U75" s="180" t="str">
        <f>IF(A75="","",posicao_contratual!O75)</f>
        <v/>
      </c>
      <c r="V75" s="180" t="str">
        <f>IF(A75="","",posicao_contratual!S75)</f>
        <v/>
      </c>
      <c r="W75" s="180" t="str">
        <f>IF(A75="","",posicao_contratual!W75)</f>
        <v/>
      </c>
    </row>
    <row r="76" spans="1:23" x14ac:dyDescent="0.35">
      <c r="A76" s="111" t="str">
        <f>IF(itens_Remanesc!A76="","",itens_Remanesc!A76)</f>
        <v/>
      </c>
      <c r="B76" s="110" t="str">
        <f>IF(posicao_contratual!A76="","",posicao_contratual!E76)</f>
        <v/>
      </c>
      <c r="C76" s="104" t="str">
        <f>IF(itens_Remanesc!A76="","",itens_Remanesc!C76)</f>
        <v/>
      </c>
      <c r="D76" s="104" t="str">
        <f t="shared" si="10"/>
        <v/>
      </c>
      <c r="E76" s="104" t="str">
        <f t="shared" si="11"/>
        <v/>
      </c>
      <c r="F76" s="104" t="str">
        <f t="shared" si="12"/>
        <v/>
      </c>
      <c r="G76" s="104" t="str">
        <f t="shared" si="13"/>
        <v/>
      </c>
      <c r="H76" s="149" t="str">
        <f t="shared" si="14"/>
        <v/>
      </c>
      <c r="I76" s="16"/>
      <c r="J76" s="16"/>
      <c r="K76" s="16"/>
      <c r="L76" s="16"/>
      <c r="M76" s="16"/>
      <c r="N76" s="180" t="str">
        <f>IF(A76="","",posicao_contratual!E76)</f>
        <v/>
      </c>
      <c r="O76" s="180" t="str">
        <f>IF(A76="","",posicao_contratual!I76)</f>
        <v/>
      </c>
      <c r="P76" s="180" t="str">
        <f>IF(A76="","",posicao_contratual!M76)</f>
        <v/>
      </c>
      <c r="Q76" s="180" t="str">
        <f>IF(A76="","",posicao_contratual!Q76)</f>
        <v/>
      </c>
      <c r="R76" s="180" t="str">
        <f>IF(A76="","",posicao_contratual!U76)</f>
        <v/>
      </c>
      <c r="S76" s="180" t="str">
        <f>IF(A76="","",posicao_contratual!G76)</f>
        <v/>
      </c>
      <c r="T76" s="180" t="str">
        <f>IF(A76="","",posicao_contratual!K76)</f>
        <v/>
      </c>
      <c r="U76" s="180" t="str">
        <f>IF(A76="","",posicao_contratual!O76)</f>
        <v/>
      </c>
      <c r="V76" s="180" t="str">
        <f>IF(A76="","",posicao_contratual!S76)</f>
        <v/>
      </c>
      <c r="W76" s="180" t="str">
        <f>IF(A76="","",posicao_contratual!W76)</f>
        <v/>
      </c>
    </row>
    <row r="77" spans="1:23" x14ac:dyDescent="0.35">
      <c r="A77" s="111" t="str">
        <f>IF(itens_Remanesc!A77="","",itens_Remanesc!A77)</f>
        <v/>
      </c>
      <c r="B77" s="110" t="str">
        <f>IF(posicao_contratual!A77="","",posicao_contratual!E77)</f>
        <v/>
      </c>
      <c r="C77" s="104" t="str">
        <f>IF(itens_Remanesc!A77="","",itens_Remanesc!C77)</f>
        <v/>
      </c>
      <c r="D77" s="104" t="str">
        <f t="shared" si="10"/>
        <v/>
      </c>
      <c r="E77" s="104" t="str">
        <f t="shared" si="11"/>
        <v/>
      </c>
      <c r="F77" s="104" t="str">
        <f t="shared" si="12"/>
        <v/>
      </c>
      <c r="G77" s="104" t="str">
        <f t="shared" si="13"/>
        <v/>
      </c>
      <c r="H77" s="149" t="str">
        <f t="shared" si="14"/>
        <v/>
      </c>
      <c r="I77" s="16"/>
      <c r="J77" s="16"/>
      <c r="K77" s="16"/>
      <c r="L77" s="16"/>
      <c r="M77" s="16"/>
      <c r="N77" s="180" t="str">
        <f>IF(A77="","",posicao_contratual!E77)</f>
        <v/>
      </c>
      <c r="O77" s="180" t="str">
        <f>IF(A77="","",posicao_contratual!I77)</f>
        <v/>
      </c>
      <c r="P77" s="180" t="str">
        <f>IF(A77="","",posicao_contratual!M77)</f>
        <v/>
      </c>
      <c r="Q77" s="180" t="str">
        <f>IF(A77="","",posicao_contratual!Q77)</f>
        <v/>
      </c>
      <c r="R77" s="180" t="str">
        <f>IF(A77="","",posicao_contratual!U77)</f>
        <v/>
      </c>
      <c r="S77" s="180" t="str">
        <f>IF(A77="","",posicao_contratual!G77)</f>
        <v/>
      </c>
      <c r="T77" s="180" t="str">
        <f>IF(A77="","",posicao_contratual!K77)</f>
        <v/>
      </c>
      <c r="U77" s="180" t="str">
        <f>IF(A77="","",posicao_contratual!O77)</f>
        <v/>
      </c>
      <c r="V77" s="180" t="str">
        <f>IF(A77="","",posicao_contratual!S77)</f>
        <v/>
      </c>
      <c r="W77" s="180" t="str">
        <f>IF(A77="","",posicao_contratual!W77)</f>
        <v/>
      </c>
    </row>
    <row r="78" spans="1:23" x14ac:dyDescent="0.35">
      <c r="A78" s="111" t="str">
        <f>IF(itens_Remanesc!A78="","",itens_Remanesc!A78)</f>
        <v/>
      </c>
      <c r="B78" s="110" t="str">
        <f>IF(posicao_contratual!A78="","",posicao_contratual!E78)</f>
        <v/>
      </c>
      <c r="C78" s="104" t="str">
        <f>IF(itens_Remanesc!A78="","",itens_Remanesc!C78)</f>
        <v/>
      </c>
      <c r="D78" s="104" t="str">
        <f t="shared" si="10"/>
        <v/>
      </c>
      <c r="E78" s="104" t="str">
        <f t="shared" si="11"/>
        <v/>
      </c>
      <c r="F78" s="104" t="str">
        <f t="shared" si="12"/>
        <v/>
      </c>
      <c r="G78" s="104" t="str">
        <f t="shared" si="13"/>
        <v/>
      </c>
      <c r="H78" s="149" t="str">
        <f t="shared" si="14"/>
        <v/>
      </c>
      <c r="I78" s="16"/>
      <c r="J78" s="16"/>
      <c r="K78" s="16"/>
      <c r="L78" s="16"/>
      <c r="M78" s="16"/>
      <c r="N78" s="180" t="str">
        <f>IF(A78="","",posicao_contratual!E78)</f>
        <v/>
      </c>
      <c r="O78" s="180" t="str">
        <f>IF(A78="","",posicao_contratual!I78)</f>
        <v/>
      </c>
      <c r="P78" s="180" t="str">
        <f>IF(A78="","",posicao_contratual!M78)</f>
        <v/>
      </c>
      <c r="Q78" s="180" t="str">
        <f>IF(A78="","",posicao_contratual!Q78)</f>
        <v/>
      </c>
      <c r="R78" s="180" t="str">
        <f>IF(A78="","",posicao_contratual!U78)</f>
        <v/>
      </c>
      <c r="S78" s="180" t="str">
        <f>IF(A78="","",posicao_contratual!G78)</f>
        <v/>
      </c>
      <c r="T78" s="180" t="str">
        <f>IF(A78="","",posicao_contratual!K78)</f>
        <v/>
      </c>
      <c r="U78" s="180" t="str">
        <f>IF(A78="","",posicao_contratual!O78)</f>
        <v/>
      </c>
      <c r="V78" s="180" t="str">
        <f>IF(A78="","",posicao_contratual!S78)</f>
        <v/>
      </c>
      <c r="W78" s="180" t="str">
        <f>IF(A78="","",posicao_contratual!W78)</f>
        <v/>
      </c>
    </row>
    <row r="79" spans="1:23" x14ac:dyDescent="0.35">
      <c r="A79" s="111" t="str">
        <f>IF(itens_Remanesc!A79="","",itens_Remanesc!A79)</f>
        <v/>
      </c>
      <c r="B79" s="110" t="str">
        <f>IF(posicao_contratual!A79="","",posicao_contratual!E79)</f>
        <v/>
      </c>
      <c r="C79" s="104" t="str">
        <f>IF(itens_Remanesc!A79="","",itens_Remanesc!C79)</f>
        <v/>
      </c>
      <c r="D79" s="104" t="str">
        <f t="shared" si="10"/>
        <v/>
      </c>
      <c r="E79" s="104" t="str">
        <f t="shared" si="11"/>
        <v/>
      </c>
      <c r="F79" s="104" t="str">
        <f t="shared" si="12"/>
        <v/>
      </c>
      <c r="G79" s="104" t="str">
        <f t="shared" si="13"/>
        <v/>
      </c>
      <c r="H79" s="149" t="str">
        <f t="shared" si="14"/>
        <v/>
      </c>
      <c r="I79" s="16"/>
      <c r="J79" s="16"/>
      <c r="K79" s="16"/>
      <c r="L79" s="16"/>
      <c r="M79" s="16"/>
      <c r="N79" s="180" t="str">
        <f>IF(A79="","",posicao_contratual!E79)</f>
        <v/>
      </c>
      <c r="O79" s="180" t="str">
        <f>IF(A79="","",posicao_contratual!I79)</f>
        <v/>
      </c>
      <c r="P79" s="180" t="str">
        <f>IF(A79="","",posicao_contratual!M79)</f>
        <v/>
      </c>
      <c r="Q79" s="180" t="str">
        <f>IF(A79="","",posicao_contratual!Q79)</f>
        <v/>
      </c>
      <c r="R79" s="180" t="str">
        <f>IF(A79="","",posicao_contratual!U79)</f>
        <v/>
      </c>
      <c r="S79" s="180" t="str">
        <f>IF(A79="","",posicao_contratual!G79)</f>
        <v/>
      </c>
      <c r="T79" s="180" t="str">
        <f>IF(A79="","",posicao_contratual!K79)</f>
        <v/>
      </c>
      <c r="U79" s="180" t="str">
        <f>IF(A79="","",posicao_contratual!O79)</f>
        <v/>
      </c>
      <c r="V79" s="180" t="str">
        <f>IF(A79="","",posicao_contratual!S79)</f>
        <v/>
      </c>
      <c r="W79" s="180" t="str">
        <f>IF(A79="","",posicao_contratual!W79)</f>
        <v/>
      </c>
    </row>
    <row r="80" spans="1:23" x14ac:dyDescent="0.35">
      <c r="A80" s="111" t="str">
        <f>IF(itens_Remanesc!A80="","",itens_Remanesc!A80)</f>
        <v/>
      </c>
      <c r="B80" s="110" t="str">
        <f>IF(posicao_contratual!A80="","",posicao_contratual!E80)</f>
        <v/>
      </c>
      <c r="C80" s="104" t="str">
        <f>IF(itens_Remanesc!A80="","",itens_Remanesc!C80)</f>
        <v/>
      </c>
      <c r="D80" s="104" t="str">
        <f t="shared" si="10"/>
        <v/>
      </c>
      <c r="E80" s="104" t="str">
        <f t="shared" si="11"/>
        <v/>
      </c>
      <c r="F80" s="104" t="str">
        <f t="shared" si="12"/>
        <v/>
      </c>
      <c r="G80" s="104" t="str">
        <f t="shared" si="13"/>
        <v/>
      </c>
      <c r="H80" s="149" t="str">
        <f t="shared" si="14"/>
        <v/>
      </c>
      <c r="I80" s="16"/>
      <c r="J80" s="16"/>
      <c r="K80" s="16"/>
      <c r="L80" s="16"/>
      <c r="M80" s="16"/>
      <c r="N80" s="180" t="str">
        <f>IF(A80="","",posicao_contratual!E80)</f>
        <v/>
      </c>
      <c r="O80" s="180" t="str">
        <f>IF(A80="","",posicao_contratual!I80)</f>
        <v/>
      </c>
      <c r="P80" s="180" t="str">
        <f>IF(A80="","",posicao_contratual!M80)</f>
        <v/>
      </c>
      <c r="Q80" s="180" t="str">
        <f>IF(A80="","",posicao_contratual!Q80)</f>
        <v/>
      </c>
      <c r="R80" s="180" t="str">
        <f>IF(A80="","",posicao_contratual!U80)</f>
        <v/>
      </c>
      <c r="S80" s="180" t="str">
        <f>IF(A80="","",posicao_contratual!G80)</f>
        <v/>
      </c>
      <c r="T80" s="180" t="str">
        <f>IF(A80="","",posicao_contratual!K80)</f>
        <v/>
      </c>
      <c r="U80" s="180" t="str">
        <f>IF(A80="","",posicao_contratual!O80)</f>
        <v/>
      </c>
      <c r="V80" s="180" t="str">
        <f>IF(A80="","",posicao_contratual!S80)</f>
        <v/>
      </c>
      <c r="W80" s="180" t="str">
        <f>IF(A80="","",posicao_contratual!W80)</f>
        <v/>
      </c>
    </row>
    <row r="81" spans="1:23" x14ac:dyDescent="0.35">
      <c r="A81" s="111" t="str">
        <f>IF(itens_Remanesc!A81="","",itens_Remanesc!A81)</f>
        <v/>
      </c>
      <c r="B81" s="110" t="str">
        <f>IF(posicao_contratual!A81="","",posicao_contratual!E81)</f>
        <v/>
      </c>
      <c r="C81" s="104" t="str">
        <f>IF(itens_Remanesc!A81="","",itens_Remanesc!C81)</f>
        <v/>
      </c>
      <c r="D81" s="104" t="str">
        <f t="shared" si="10"/>
        <v/>
      </c>
      <c r="E81" s="104" t="str">
        <f t="shared" si="11"/>
        <v/>
      </c>
      <c r="F81" s="104" t="str">
        <f t="shared" si="12"/>
        <v/>
      </c>
      <c r="G81" s="104" t="str">
        <f t="shared" si="13"/>
        <v/>
      </c>
      <c r="H81" s="149" t="str">
        <f t="shared" si="14"/>
        <v/>
      </c>
      <c r="I81" s="16"/>
      <c r="J81" s="16"/>
      <c r="K81" s="16"/>
      <c r="L81" s="16"/>
      <c r="M81" s="16"/>
      <c r="N81" s="180" t="str">
        <f>IF(A81="","",posicao_contratual!E81)</f>
        <v/>
      </c>
      <c r="O81" s="180" t="str">
        <f>IF(A81="","",posicao_contratual!I81)</f>
        <v/>
      </c>
      <c r="P81" s="180" t="str">
        <f>IF(A81="","",posicao_contratual!M81)</f>
        <v/>
      </c>
      <c r="Q81" s="180" t="str">
        <f>IF(A81="","",posicao_contratual!Q81)</f>
        <v/>
      </c>
      <c r="R81" s="180" t="str">
        <f>IF(A81="","",posicao_contratual!U81)</f>
        <v/>
      </c>
      <c r="S81" s="180" t="str">
        <f>IF(A81="","",posicao_contratual!G81)</f>
        <v/>
      </c>
      <c r="T81" s="180" t="str">
        <f>IF(A81="","",posicao_contratual!K81)</f>
        <v/>
      </c>
      <c r="U81" s="180" t="str">
        <f>IF(A81="","",posicao_contratual!O81)</f>
        <v/>
      </c>
      <c r="V81" s="180" t="str">
        <f>IF(A81="","",posicao_contratual!S81)</f>
        <v/>
      </c>
      <c r="W81" s="180" t="str">
        <f>IF(A81="","",posicao_contratual!W81)</f>
        <v/>
      </c>
    </row>
    <row r="82" spans="1:23" x14ac:dyDescent="0.35">
      <c r="A82" s="111" t="str">
        <f>IF(itens_Remanesc!A82="","",itens_Remanesc!A82)</f>
        <v/>
      </c>
      <c r="B82" s="110" t="str">
        <f>IF(posicao_contratual!A82="","",posicao_contratual!E82)</f>
        <v/>
      </c>
      <c r="C82" s="104" t="str">
        <f>IF(itens_Remanesc!A82="","",itens_Remanesc!C82)</f>
        <v/>
      </c>
      <c r="D82" s="104" t="str">
        <f t="shared" si="10"/>
        <v/>
      </c>
      <c r="E82" s="104" t="str">
        <f t="shared" si="11"/>
        <v/>
      </c>
      <c r="F82" s="104" t="str">
        <f t="shared" si="12"/>
        <v/>
      </c>
      <c r="G82" s="104" t="str">
        <f t="shared" si="13"/>
        <v/>
      </c>
      <c r="H82" s="149" t="str">
        <f t="shared" si="14"/>
        <v/>
      </c>
      <c r="I82" s="16"/>
      <c r="J82" s="16"/>
      <c r="K82" s="16"/>
      <c r="L82" s="16"/>
      <c r="M82" s="16"/>
      <c r="N82" s="180" t="str">
        <f>IF(A82="","",posicao_contratual!E82)</f>
        <v/>
      </c>
      <c r="O82" s="180" t="str">
        <f>IF(A82="","",posicao_contratual!I82)</f>
        <v/>
      </c>
      <c r="P82" s="180" t="str">
        <f>IF(A82="","",posicao_contratual!M82)</f>
        <v/>
      </c>
      <c r="Q82" s="180" t="str">
        <f>IF(A82="","",posicao_contratual!Q82)</f>
        <v/>
      </c>
      <c r="R82" s="180" t="str">
        <f>IF(A82="","",posicao_contratual!U82)</f>
        <v/>
      </c>
      <c r="S82" s="180" t="str">
        <f>IF(A82="","",posicao_contratual!G82)</f>
        <v/>
      </c>
      <c r="T82" s="180" t="str">
        <f>IF(A82="","",posicao_contratual!K82)</f>
        <v/>
      </c>
      <c r="U82" s="180" t="str">
        <f>IF(A82="","",posicao_contratual!O82)</f>
        <v/>
      </c>
      <c r="V82" s="180" t="str">
        <f>IF(A82="","",posicao_contratual!S82)</f>
        <v/>
      </c>
      <c r="W82" s="180" t="str">
        <f>IF(A82="","",posicao_contratual!W82)</f>
        <v/>
      </c>
    </row>
    <row r="83" spans="1:23" x14ac:dyDescent="0.35">
      <c r="A83" s="111" t="str">
        <f>IF(itens_Remanesc!A83="","",itens_Remanesc!A83)</f>
        <v/>
      </c>
      <c r="B83" s="110" t="str">
        <f>IF(posicao_contratual!A83="","",posicao_contratual!E83)</f>
        <v/>
      </c>
      <c r="C83" s="104" t="str">
        <f>IF(itens_Remanesc!A83="","",itens_Remanesc!C83)</f>
        <v/>
      </c>
      <c r="D83" s="104" t="str">
        <f t="shared" si="10"/>
        <v/>
      </c>
      <c r="E83" s="104" t="str">
        <f t="shared" si="11"/>
        <v/>
      </c>
      <c r="F83" s="104" t="str">
        <f t="shared" si="12"/>
        <v/>
      </c>
      <c r="G83" s="104" t="str">
        <f t="shared" si="13"/>
        <v/>
      </c>
      <c r="H83" s="149" t="str">
        <f t="shared" si="14"/>
        <v/>
      </c>
      <c r="I83" s="16"/>
      <c r="J83" s="16"/>
      <c r="K83" s="16"/>
      <c r="L83" s="16"/>
      <c r="M83" s="16"/>
      <c r="N83" s="180" t="str">
        <f>IF(A83="","",posicao_contratual!E83)</f>
        <v/>
      </c>
      <c r="O83" s="180" t="str">
        <f>IF(A83="","",posicao_contratual!I83)</f>
        <v/>
      </c>
      <c r="P83" s="180" t="str">
        <f>IF(A83="","",posicao_contratual!M83)</f>
        <v/>
      </c>
      <c r="Q83" s="180" t="str">
        <f>IF(A83="","",posicao_contratual!Q83)</f>
        <v/>
      </c>
      <c r="R83" s="180" t="str">
        <f>IF(A83="","",posicao_contratual!U83)</f>
        <v/>
      </c>
      <c r="S83" s="180" t="str">
        <f>IF(A83="","",posicao_contratual!G83)</f>
        <v/>
      </c>
      <c r="T83" s="180" t="str">
        <f>IF(A83="","",posicao_contratual!K83)</f>
        <v/>
      </c>
      <c r="U83" s="180" t="str">
        <f>IF(A83="","",posicao_contratual!O83)</f>
        <v/>
      </c>
      <c r="V83" s="180" t="str">
        <f>IF(A83="","",posicao_contratual!S83)</f>
        <v/>
      </c>
      <c r="W83" s="180" t="str">
        <f>IF(A83="","",posicao_contratual!W83)</f>
        <v/>
      </c>
    </row>
    <row r="84" spans="1:23" x14ac:dyDescent="0.35">
      <c r="A84" s="111" t="str">
        <f>IF(itens_Remanesc!A84="","",itens_Remanesc!A84)</f>
        <v/>
      </c>
      <c r="B84" s="110" t="str">
        <f>IF(posicao_contratual!A84="","",posicao_contratual!E84)</f>
        <v/>
      </c>
      <c r="C84" s="104" t="str">
        <f>IF(itens_Remanesc!A84="","",itens_Remanesc!C84)</f>
        <v/>
      </c>
      <c r="D84" s="104" t="str">
        <f t="shared" si="10"/>
        <v/>
      </c>
      <c r="E84" s="104" t="str">
        <f t="shared" si="11"/>
        <v/>
      </c>
      <c r="F84" s="104" t="str">
        <f t="shared" si="12"/>
        <v/>
      </c>
      <c r="G84" s="104" t="str">
        <f t="shared" si="13"/>
        <v/>
      </c>
      <c r="H84" s="149" t="str">
        <f t="shared" si="14"/>
        <v/>
      </c>
      <c r="I84" s="16"/>
      <c r="J84" s="16"/>
      <c r="K84" s="16"/>
      <c r="L84" s="16"/>
      <c r="M84" s="16"/>
      <c r="N84" s="180" t="str">
        <f>IF(A84="","",posicao_contratual!E84)</f>
        <v/>
      </c>
      <c r="O84" s="180" t="str">
        <f>IF(A84="","",posicao_contratual!I84)</f>
        <v/>
      </c>
      <c r="P84" s="180" t="str">
        <f>IF(A84="","",posicao_contratual!M84)</f>
        <v/>
      </c>
      <c r="Q84" s="180" t="str">
        <f>IF(A84="","",posicao_contratual!Q84)</f>
        <v/>
      </c>
      <c r="R84" s="180" t="str">
        <f>IF(A84="","",posicao_contratual!U84)</f>
        <v/>
      </c>
      <c r="S84" s="180" t="str">
        <f>IF(A84="","",posicao_contratual!G84)</f>
        <v/>
      </c>
      <c r="T84" s="180" t="str">
        <f>IF(A84="","",posicao_contratual!K84)</f>
        <v/>
      </c>
      <c r="U84" s="180" t="str">
        <f>IF(A84="","",posicao_contratual!O84)</f>
        <v/>
      </c>
      <c r="V84" s="180" t="str">
        <f>IF(A84="","",posicao_contratual!S84)</f>
        <v/>
      </c>
      <c r="W84" s="180" t="str">
        <f>IF(A84="","",posicao_contratual!W84)</f>
        <v/>
      </c>
    </row>
    <row r="85" spans="1:23" x14ac:dyDescent="0.35">
      <c r="A85" s="111" t="str">
        <f>IF(itens_Remanesc!A85="","",itens_Remanesc!A85)</f>
        <v/>
      </c>
      <c r="B85" s="110" t="str">
        <f>IF(posicao_contratual!A85="","",posicao_contratual!E85)</f>
        <v/>
      </c>
      <c r="C85" s="104" t="str">
        <f>IF(itens_Remanesc!A85="","",itens_Remanesc!C85)</f>
        <v/>
      </c>
      <c r="D85" s="104" t="str">
        <f t="shared" si="10"/>
        <v/>
      </c>
      <c r="E85" s="104" t="str">
        <f t="shared" si="11"/>
        <v/>
      </c>
      <c r="F85" s="104" t="str">
        <f t="shared" si="12"/>
        <v/>
      </c>
      <c r="G85" s="104" t="str">
        <f t="shared" si="13"/>
        <v/>
      </c>
      <c r="H85" s="149" t="str">
        <f t="shared" si="14"/>
        <v/>
      </c>
      <c r="I85" s="16"/>
      <c r="J85" s="16"/>
      <c r="K85" s="16"/>
      <c r="L85" s="16"/>
      <c r="M85" s="16"/>
      <c r="N85" s="180" t="str">
        <f>IF(A85="","",posicao_contratual!E85)</f>
        <v/>
      </c>
      <c r="O85" s="180" t="str">
        <f>IF(A85="","",posicao_contratual!I85)</f>
        <v/>
      </c>
      <c r="P85" s="180" t="str">
        <f>IF(A85="","",posicao_contratual!M85)</f>
        <v/>
      </c>
      <c r="Q85" s="180" t="str">
        <f>IF(A85="","",posicao_contratual!Q85)</f>
        <v/>
      </c>
      <c r="R85" s="180" t="str">
        <f>IF(A85="","",posicao_contratual!U85)</f>
        <v/>
      </c>
      <c r="S85" s="180" t="str">
        <f>IF(A85="","",posicao_contratual!G85)</f>
        <v/>
      </c>
      <c r="T85" s="180" t="str">
        <f>IF(A85="","",posicao_contratual!K85)</f>
        <v/>
      </c>
      <c r="U85" s="180" t="str">
        <f>IF(A85="","",posicao_contratual!O85)</f>
        <v/>
      </c>
      <c r="V85" s="180" t="str">
        <f>IF(A85="","",posicao_contratual!S85)</f>
        <v/>
      </c>
      <c r="W85" s="180" t="str">
        <f>IF(A85="","",posicao_contratual!W85)</f>
        <v/>
      </c>
    </row>
    <row r="86" spans="1:23" x14ac:dyDescent="0.35">
      <c r="A86" s="111" t="str">
        <f>IF(itens_Remanesc!A86="","",itens_Remanesc!A86)</f>
        <v/>
      </c>
      <c r="B86" s="110" t="str">
        <f>IF(posicao_contratual!A86="","",posicao_contratual!E86)</f>
        <v/>
      </c>
      <c r="C86" s="104" t="str">
        <f>IF(itens_Remanesc!A86="","",itens_Remanesc!C86)</f>
        <v/>
      </c>
      <c r="D86" s="104" t="str">
        <f t="shared" si="10"/>
        <v/>
      </c>
      <c r="E86" s="104" t="str">
        <f t="shared" si="11"/>
        <v/>
      </c>
      <c r="F86" s="104" t="str">
        <f t="shared" si="12"/>
        <v/>
      </c>
      <c r="G86" s="104" t="str">
        <f t="shared" si="13"/>
        <v/>
      </c>
      <c r="H86" s="149" t="str">
        <f t="shared" si="14"/>
        <v/>
      </c>
      <c r="I86" s="16"/>
      <c r="J86" s="16"/>
      <c r="K86" s="16"/>
      <c r="L86" s="16"/>
      <c r="M86" s="16"/>
      <c r="N86" s="180" t="str">
        <f>IF(A86="","",posicao_contratual!E86)</f>
        <v/>
      </c>
      <c r="O86" s="180" t="str">
        <f>IF(A86="","",posicao_contratual!I86)</f>
        <v/>
      </c>
      <c r="P86" s="180" t="str">
        <f>IF(A86="","",posicao_contratual!M86)</f>
        <v/>
      </c>
      <c r="Q86" s="180" t="str">
        <f>IF(A86="","",posicao_contratual!Q86)</f>
        <v/>
      </c>
      <c r="R86" s="180" t="str">
        <f>IF(A86="","",posicao_contratual!U86)</f>
        <v/>
      </c>
      <c r="S86" s="180" t="str">
        <f>IF(A86="","",posicao_contratual!G86)</f>
        <v/>
      </c>
      <c r="T86" s="180" t="str">
        <f>IF(A86="","",posicao_contratual!K86)</f>
        <v/>
      </c>
      <c r="U86" s="180" t="str">
        <f>IF(A86="","",posicao_contratual!O86)</f>
        <v/>
      </c>
      <c r="V86" s="180" t="str">
        <f>IF(A86="","",posicao_contratual!S86)</f>
        <v/>
      </c>
      <c r="W86" s="180" t="str">
        <f>IF(A86="","",posicao_contratual!W86)</f>
        <v/>
      </c>
    </row>
    <row r="87" spans="1:23" x14ac:dyDescent="0.35">
      <c r="A87" s="111" t="str">
        <f>IF(itens_Remanesc!A87="","",itens_Remanesc!A87)</f>
        <v/>
      </c>
      <c r="B87" s="110" t="str">
        <f>IF(posicao_contratual!A87="","",posicao_contratual!E87)</f>
        <v/>
      </c>
      <c r="C87" s="104" t="str">
        <f>IF(itens_Remanesc!A87="","",itens_Remanesc!C87)</f>
        <v/>
      </c>
      <c r="D87" s="104" t="str">
        <f t="shared" si="10"/>
        <v/>
      </c>
      <c r="E87" s="104" t="str">
        <f t="shared" si="11"/>
        <v/>
      </c>
      <c r="F87" s="104" t="str">
        <f t="shared" si="12"/>
        <v/>
      </c>
      <c r="G87" s="104" t="str">
        <f t="shared" si="13"/>
        <v/>
      </c>
      <c r="H87" s="149" t="str">
        <f t="shared" si="14"/>
        <v/>
      </c>
      <c r="I87" s="16"/>
      <c r="J87" s="16"/>
      <c r="K87" s="16"/>
      <c r="L87" s="16"/>
      <c r="M87" s="16"/>
      <c r="N87" s="180" t="str">
        <f>IF(A87="","",posicao_contratual!E87)</f>
        <v/>
      </c>
      <c r="O87" s="180" t="str">
        <f>IF(A87="","",posicao_contratual!I87)</f>
        <v/>
      </c>
      <c r="P87" s="180" t="str">
        <f>IF(A87="","",posicao_contratual!M87)</f>
        <v/>
      </c>
      <c r="Q87" s="180" t="str">
        <f>IF(A87="","",posicao_contratual!Q87)</f>
        <v/>
      </c>
      <c r="R87" s="180" t="str">
        <f>IF(A87="","",posicao_contratual!U87)</f>
        <v/>
      </c>
      <c r="S87" s="180" t="str">
        <f>IF(A87="","",posicao_contratual!G87)</f>
        <v/>
      </c>
      <c r="T87" s="180" t="str">
        <f>IF(A87="","",posicao_contratual!K87)</f>
        <v/>
      </c>
      <c r="U87" s="180" t="str">
        <f>IF(A87="","",posicao_contratual!O87)</f>
        <v/>
      </c>
      <c r="V87" s="180" t="str">
        <f>IF(A87="","",posicao_contratual!S87)</f>
        <v/>
      </c>
      <c r="W87" s="180" t="str">
        <f>IF(A87="","",posicao_contratual!W87)</f>
        <v/>
      </c>
    </row>
    <row r="88" spans="1:23" x14ac:dyDescent="0.35">
      <c r="A88" s="111" t="str">
        <f>IF(itens_Remanesc!A88="","",itens_Remanesc!A88)</f>
        <v/>
      </c>
      <c r="B88" s="110" t="str">
        <f>IF(posicao_contratual!A88="","",posicao_contratual!E88)</f>
        <v/>
      </c>
      <c r="C88" s="104" t="str">
        <f>IF(itens_Remanesc!A88="","",itens_Remanesc!C88)</f>
        <v/>
      </c>
      <c r="D88" s="104" t="str">
        <f t="shared" si="10"/>
        <v/>
      </c>
      <c r="E88" s="104" t="str">
        <f t="shared" si="11"/>
        <v/>
      </c>
      <c r="F88" s="104" t="str">
        <f t="shared" si="12"/>
        <v/>
      </c>
      <c r="G88" s="104" t="str">
        <f t="shared" si="13"/>
        <v/>
      </c>
      <c r="H88" s="149" t="str">
        <f t="shared" si="14"/>
        <v/>
      </c>
      <c r="I88" s="16"/>
      <c r="J88" s="16"/>
      <c r="K88" s="16"/>
      <c r="L88" s="16"/>
      <c r="M88" s="16"/>
      <c r="N88" s="180" t="str">
        <f>IF(A88="","",posicao_contratual!E88)</f>
        <v/>
      </c>
      <c r="O88" s="180" t="str">
        <f>IF(A88="","",posicao_contratual!I88)</f>
        <v/>
      </c>
      <c r="P88" s="180" t="str">
        <f>IF(A88="","",posicao_contratual!M88)</f>
        <v/>
      </c>
      <c r="Q88" s="180" t="str">
        <f>IF(A88="","",posicao_contratual!Q88)</f>
        <v/>
      </c>
      <c r="R88" s="180" t="str">
        <f>IF(A88="","",posicao_contratual!U88)</f>
        <v/>
      </c>
      <c r="S88" s="180" t="str">
        <f>IF(A88="","",posicao_contratual!G88)</f>
        <v/>
      </c>
      <c r="T88" s="180" t="str">
        <f>IF(A88="","",posicao_contratual!K88)</f>
        <v/>
      </c>
      <c r="U88" s="180" t="str">
        <f>IF(A88="","",posicao_contratual!O88)</f>
        <v/>
      </c>
      <c r="V88" s="180" t="str">
        <f>IF(A88="","",posicao_contratual!S88)</f>
        <v/>
      </c>
      <c r="W88" s="180" t="str">
        <f>IF(A88="","",posicao_contratual!W88)</f>
        <v/>
      </c>
    </row>
    <row r="89" spans="1:23" x14ac:dyDescent="0.35">
      <c r="A89" s="111" t="str">
        <f>IF(itens_Remanesc!A89="","",itens_Remanesc!A89)</f>
        <v/>
      </c>
      <c r="B89" s="110" t="str">
        <f>IF(posicao_contratual!A89="","",posicao_contratual!E89)</f>
        <v/>
      </c>
      <c r="C89" s="104" t="str">
        <f>IF(itens_Remanesc!A89="","",itens_Remanesc!C89)</f>
        <v/>
      </c>
      <c r="D89" s="104" t="str">
        <f t="shared" si="10"/>
        <v/>
      </c>
      <c r="E89" s="104" t="str">
        <f t="shared" si="11"/>
        <v/>
      </c>
      <c r="F89" s="104" t="str">
        <f t="shared" si="12"/>
        <v/>
      </c>
      <c r="G89" s="104" t="str">
        <f t="shared" si="13"/>
        <v/>
      </c>
      <c r="H89" s="149" t="str">
        <f t="shared" si="14"/>
        <v/>
      </c>
      <c r="I89" s="16"/>
      <c r="J89" s="16"/>
      <c r="K89" s="16"/>
      <c r="L89" s="16"/>
      <c r="M89" s="16"/>
      <c r="N89" s="180" t="str">
        <f>IF(A89="","",posicao_contratual!E89)</f>
        <v/>
      </c>
      <c r="O89" s="180" t="str">
        <f>IF(A89="","",posicao_contratual!I89)</f>
        <v/>
      </c>
      <c r="P89" s="180" t="str">
        <f>IF(A89="","",posicao_contratual!M89)</f>
        <v/>
      </c>
      <c r="Q89" s="180" t="str">
        <f>IF(A89="","",posicao_contratual!Q89)</f>
        <v/>
      </c>
      <c r="R89" s="180" t="str">
        <f>IF(A89="","",posicao_contratual!U89)</f>
        <v/>
      </c>
      <c r="S89" s="180" t="str">
        <f>IF(A89="","",posicao_contratual!G89)</f>
        <v/>
      </c>
      <c r="T89" s="180" t="str">
        <f>IF(A89="","",posicao_contratual!K89)</f>
        <v/>
      </c>
      <c r="U89" s="180" t="str">
        <f>IF(A89="","",posicao_contratual!O89)</f>
        <v/>
      </c>
      <c r="V89" s="180" t="str">
        <f>IF(A89="","",posicao_contratual!S89)</f>
        <v/>
      </c>
      <c r="W89" s="180" t="str">
        <f>IF(A89="","",posicao_contratual!W89)</f>
        <v/>
      </c>
    </row>
    <row r="90" spans="1:23" x14ac:dyDescent="0.35">
      <c r="A90" s="111" t="str">
        <f>IF(itens_Remanesc!A90="","",itens_Remanesc!A90)</f>
        <v/>
      </c>
      <c r="B90" s="110" t="str">
        <f>IF(posicao_contratual!A90="","",posicao_contratual!E90)</f>
        <v/>
      </c>
      <c r="C90" s="104" t="str">
        <f>IF(itens_Remanesc!A90="","",itens_Remanesc!C90)</f>
        <v/>
      </c>
      <c r="D90" s="104" t="str">
        <f t="shared" si="10"/>
        <v/>
      </c>
      <c r="E90" s="104" t="str">
        <f t="shared" si="11"/>
        <v/>
      </c>
      <c r="F90" s="104" t="str">
        <f t="shared" si="12"/>
        <v/>
      </c>
      <c r="G90" s="104" t="str">
        <f t="shared" si="13"/>
        <v/>
      </c>
      <c r="H90" s="149" t="str">
        <f t="shared" si="14"/>
        <v/>
      </c>
      <c r="I90" s="16"/>
      <c r="J90" s="16"/>
      <c r="K90" s="16"/>
      <c r="L90" s="16"/>
      <c r="M90" s="16"/>
      <c r="N90" s="180" t="str">
        <f>IF(A90="","",posicao_contratual!E90)</f>
        <v/>
      </c>
      <c r="O90" s="180" t="str">
        <f>IF(A90="","",posicao_contratual!I90)</f>
        <v/>
      </c>
      <c r="P90" s="180" t="str">
        <f>IF(A90="","",posicao_contratual!M90)</f>
        <v/>
      </c>
      <c r="Q90" s="180" t="str">
        <f>IF(A90="","",posicao_contratual!Q90)</f>
        <v/>
      </c>
      <c r="R90" s="180" t="str">
        <f>IF(A90="","",posicao_contratual!U90)</f>
        <v/>
      </c>
      <c r="S90" s="180" t="str">
        <f>IF(A90="","",posicao_contratual!G90)</f>
        <v/>
      </c>
      <c r="T90" s="180" t="str">
        <f>IF(A90="","",posicao_contratual!K90)</f>
        <v/>
      </c>
      <c r="U90" s="180" t="str">
        <f>IF(A90="","",posicao_contratual!O90)</f>
        <v/>
      </c>
      <c r="V90" s="180" t="str">
        <f>IF(A90="","",posicao_contratual!S90)</f>
        <v/>
      </c>
      <c r="W90" s="180" t="str">
        <f>IF(A90="","",posicao_contratual!W90)</f>
        <v/>
      </c>
    </row>
    <row r="91" spans="1:23" x14ac:dyDescent="0.35">
      <c r="A91" s="111" t="str">
        <f>IF(itens_Remanesc!A91="","",itens_Remanesc!A91)</f>
        <v/>
      </c>
      <c r="B91" s="110" t="str">
        <f>IF(posicao_contratual!A91="","",posicao_contratual!E91)</f>
        <v/>
      </c>
      <c r="C91" s="104" t="str">
        <f>IF(itens_Remanesc!A91="","",itens_Remanesc!C91)</f>
        <v/>
      </c>
      <c r="D91" s="104" t="str">
        <f t="shared" si="10"/>
        <v/>
      </c>
      <c r="E91" s="104" t="str">
        <f t="shared" si="11"/>
        <v/>
      </c>
      <c r="F91" s="104" t="str">
        <f t="shared" si="12"/>
        <v/>
      </c>
      <c r="G91" s="104" t="str">
        <f t="shared" si="13"/>
        <v/>
      </c>
      <c r="H91" s="149" t="str">
        <f t="shared" si="14"/>
        <v/>
      </c>
      <c r="I91" s="16"/>
      <c r="J91" s="16"/>
      <c r="K91" s="16"/>
      <c r="L91" s="16"/>
      <c r="M91" s="16"/>
      <c r="N91" s="180" t="str">
        <f>IF(A91="","",posicao_contratual!E91)</f>
        <v/>
      </c>
      <c r="O91" s="180" t="str">
        <f>IF(A91="","",posicao_contratual!I91)</f>
        <v/>
      </c>
      <c r="P91" s="180" t="str">
        <f>IF(A91="","",posicao_contratual!M91)</f>
        <v/>
      </c>
      <c r="Q91" s="180" t="str">
        <f>IF(A91="","",posicao_contratual!Q91)</f>
        <v/>
      </c>
      <c r="R91" s="180" t="str">
        <f>IF(A91="","",posicao_contratual!U91)</f>
        <v/>
      </c>
      <c r="S91" s="180" t="str">
        <f>IF(A91="","",posicao_contratual!G91)</f>
        <v/>
      </c>
      <c r="T91" s="180" t="str">
        <f>IF(A91="","",posicao_contratual!K91)</f>
        <v/>
      </c>
      <c r="U91" s="180" t="str">
        <f>IF(A91="","",posicao_contratual!O91)</f>
        <v/>
      </c>
      <c r="V91" s="180" t="str">
        <f>IF(A91="","",posicao_contratual!S91)</f>
        <v/>
      </c>
      <c r="W91" s="180" t="str">
        <f>IF(A91="","",posicao_contratual!W91)</f>
        <v/>
      </c>
    </row>
    <row r="92" spans="1:23" x14ac:dyDescent="0.35">
      <c r="A92" s="111" t="str">
        <f>IF(itens_Remanesc!A92="","",itens_Remanesc!A92)</f>
        <v/>
      </c>
      <c r="B92" s="110" t="str">
        <f>IF(posicao_contratual!A92="","",posicao_contratual!E92)</f>
        <v/>
      </c>
      <c r="C92" s="104" t="str">
        <f>IF(itens_Remanesc!A92="","",itens_Remanesc!C92)</f>
        <v/>
      </c>
      <c r="D92" s="104" t="str">
        <f t="shared" si="10"/>
        <v/>
      </c>
      <c r="E92" s="104" t="str">
        <f t="shared" si="11"/>
        <v/>
      </c>
      <c r="F92" s="104" t="str">
        <f t="shared" si="12"/>
        <v/>
      </c>
      <c r="G92" s="104" t="str">
        <f t="shared" si="13"/>
        <v/>
      </c>
      <c r="H92" s="149" t="str">
        <f t="shared" si="14"/>
        <v/>
      </c>
      <c r="I92" s="16"/>
      <c r="J92" s="16"/>
      <c r="K92" s="16"/>
      <c r="L92" s="16"/>
      <c r="M92" s="16"/>
      <c r="N92" s="180" t="str">
        <f>IF(A92="","",posicao_contratual!E92)</f>
        <v/>
      </c>
      <c r="O92" s="180" t="str">
        <f>IF(A92="","",posicao_contratual!I92)</f>
        <v/>
      </c>
      <c r="P92" s="180" t="str">
        <f>IF(A92="","",posicao_contratual!M92)</f>
        <v/>
      </c>
      <c r="Q92" s="180" t="str">
        <f>IF(A92="","",posicao_contratual!Q92)</f>
        <v/>
      </c>
      <c r="R92" s="180" t="str">
        <f>IF(A92="","",posicao_contratual!U92)</f>
        <v/>
      </c>
      <c r="S92" s="180" t="str">
        <f>IF(A92="","",posicao_contratual!G92)</f>
        <v/>
      </c>
      <c r="T92" s="180" t="str">
        <f>IF(A92="","",posicao_contratual!K92)</f>
        <v/>
      </c>
      <c r="U92" s="180" t="str">
        <f>IF(A92="","",posicao_contratual!O92)</f>
        <v/>
      </c>
      <c r="V92" s="180" t="str">
        <f>IF(A92="","",posicao_contratual!S92)</f>
        <v/>
      </c>
      <c r="W92" s="180" t="str">
        <f>IF(A92="","",posicao_contratual!W92)</f>
        <v/>
      </c>
    </row>
    <row r="93" spans="1:23" x14ac:dyDescent="0.35">
      <c r="A93" s="111" t="str">
        <f>IF(itens_Remanesc!A93="","",itens_Remanesc!A93)</f>
        <v/>
      </c>
      <c r="B93" s="110" t="str">
        <f>IF(posicao_contratual!A93="","",posicao_contratual!E93)</f>
        <v/>
      </c>
      <c r="C93" s="104" t="str">
        <f>IF(itens_Remanesc!A93="","",itens_Remanesc!C93)</f>
        <v/>
      </c>
      <c r="D93" s="104" t="str">
        <f t="shared" si="10"/>
        <v/>
      </c>
      <c r="E93" s="104" t="str">
        <f t="shared" si="11"/>
        <v/>
      </c>
      <c r="F93" s="104" t="str">
        <f t="shared" si="12"/>
        <v/>
      </c>
      <c r="G93" s="104" t="str">
        <f t="shared" si="13"/>
        <v/>
      </c>
      <c r="H93" s="149" t="str">
        <f t="shared" si="14"/>
        <v/>
      </c>
      <c r="I93" s="16"/>
      <c r="J93" s="16"/>
      <c r="K93" s="16"/>
      <c r="L93" s="16"/>
      <c r="M93" s="16"/>
      <c r="N93" s="180" t="str">
        <f>IF(A93="","",posicao_contratual!E93)</f>
        <v/>
      </c>
      <c r="O93" s="180" t="str">
        <f>IF(A93="","",posicao_contratual!I93)</f>
        <v/>
      </c>
      <c r="P93" s="180" t="str">
        <f>IF(A93="","",posicao_contratual!M93)</f>
        <v/>
      </c>
      <c r="Q93" s="180" t="str">
        <f>IF(A93="","",posicao_contratual!Q93)</f>
        <v/>
      </c>
      <c r="R93" s="180" t="str">
        <f>IF(A93="","",posicao_contratual!U93)</f>
        <v/>
      </c>
      <c r="S93" s="180" t="str">
        <f>IF(A93="","",posicao_contratual!G93)</f>
        <v/>
      </c>
      <c r="T93" s="180" t="str">
        <f>IF(A93="","",posicao_contratual!K93)</f>
        <v/>
      </c>
      <c r="U93" s="180" t="str">
        <f>IF(A93="","",posicao_contratual!O93)</f>
        <v/>
      </c>
      <c r="V93" s="180" t="str">
        <f>IF(A93="","",posicao_contratual!S93)</f>
        <v/>
      </c>
      <c r="W93" s="180" t="str">
        <f>IF(A93="","",posicao_contratual!W93)</f>
        <v/>
      </c>
    </row>
    <row r="94" spans="1:23" x14ac:dyDescent="0.35">
      <c r="A94" s="111" t="str">
        <f>IF(itens_Remanesc!A94="","",itens_Remanesc!A94)</f>
        <v/>
      </c>
      <c r="B94" s="110" t="str">
        <f>IF(posicao_contratual!A94="","",posicao_contratual!E94)</f>
        <v/>
      </c>
      <c r="C94" s="104" t="str">
        <f>IF(itens_Remanesc!A94="","",itens_Remanesc!C94)</f>
        <v/>
      </c>
      <c r="D94" s="104" t="str">
        <f t="shared" si="10"/>
        <v/>
      </c>
      <c r="E94" s="104" t="str">
        <f t="shared" si="11"/>
        <v/>
      </c>
      <c r="F94" s="104" t="str">
        <f t="shared" si="12"/>
        <v/>
      </c>
      <c r="G94" s="104" t="str">
        <f t="shared" si="13"/>
        <v/>
      </c>
      <c r="H94" s="149" t="str">
        <f t="shared" si="14"/>
        <v/>
      </c>
      <c r="I94" s="16"/>
      <c r="J94" s="16"/>
      <c r="K94" s="16"/>
      <c r="L94" s="16"/>
      <c r="M94" s="16"/>
      <c r="N94" s="180" t="str">
        <f>IF(A94="","",posicao_contratual!E94)</f>
        <v/>
      </c>
      <c r="O94" s="180" t="str">
        <f>IF(A94="","",posicao_contratual!I94)</f>
        <v/>
      </c>
      <c r="P94" s="180" t="str">
        <f>IF(A94="","",posicao_contratual!M94)</f>
        <v/>
      </c>
      <c r="Q94" s="180" t="str">
        <f>IF(A94="","",posicao_contratual!Q94)</f>
        <v/>
      </c>
      <c r="R94" s="180" t="str">
        <f>IF(A94="","",posicao_contratual!U94)</f>
        <v/>
      </c>
      <c r="S94" s="180" t="str">
        <f>IF(A94="","",posicao_contratual!G94)</f>
        <v/>
      </c>
      <c r="T94" s="180" t="str">
        <f>IF(A94="","",posicao_contratual!K94)</f>
        <v/>
      </c>
      <c r="U94" s="180" t="str">
        <f>IF(A94="","",posicao_contratual!O94)</f>
        <v/>
      </c>
      <c r="V94" s="180" t="str">
        <f>IF(A94="","",posicao_contratual!S94)</f>
        <v/>
      </c>
      <c r="W94" s="180" t="str">
        <f>IF(A94="","",posicao_contratual!W94)</f>
        <v/>
      </c>
    </row>
    <row r="95" spans="1:23" x14ac:dyDescent="0.35">
      <c r="A95" s="111" t="str">
        <f>IF(itens_Remanesc!A95="","",itens_Remanesc!A95)</f>
        <v/>
      </c>
      <c r="B95" s="110" t="str">
        <f>IF(posicao_contratual!A95="","",posicao_contratual!E95)</f>
        <v/>
      </c>
      <c r="C95" s="104" t="str">
        <f>IF(itens_Remanesc!A95="","",itens_Remanesc!C95)</f>
        <v/>
      </c>
      <c r="D95" s="104" t="str">
        <f t="shared" si="10"/>
        <v/>
      </c>
      <c r="E95" s="104" t="str">
        <f t="shared" si="11"/>
        <v/>
      </c>
      <c r="F95" s="104" t="str">
        <f t="shared" si="12"/>
        <v/>
      </c>
      <c r="G95" s="104" t="str">
        <f t="shared" si="13"/>
        <v/>
      </c>
      <c r="H95" s="149" t="str">
        <f t="shared" si="14"/>
        <v/>
      </c>
      <c r="I95" s="16"/>
      <c r="J95" s="16"/>
      <c r="K95" s="16"/>
      <c r="L95" s="16"/>
      <c r="M95" s="16"/>
      <c r="N95" s="180" t="str">
        <f>IF(A95="","",posicao_contratual!E95)</f>
        <v/>
      </c>
      <c r="O95" s="180" t="str">
        <f>IF(A95="","",posicao_contratual!I95)</f>
        <v/>
      </c>
      <c r="P95" s="180" t="str">
        <f>IF(A95="","",posicao_contratual!M95)</f>
        <v/>
      </c>
      <c r="Q95" s="180" t="str">
        <f>IF(A95="","",posicao_contratual!Q95)</f>
        <v/>
      </c>
      <c r="R95" s="180" t="str">
        <f>IF(A95="","",posicao_contratual!U95)</f>
        <v/>
      </c>
      <c r="S95" s="180" t="str">
        <f>IF(A95="","",posicao_contratual!G95)</f>
        <v/>
      </c>
      <c r="T95" s="180" t="str">
        <f>IF(A95="","",posicao_contratual!K95)</f>
        <v/>
      </c>
      <c r="U95" s="180" t="str">
        <f>IF(A95="","",posicao_contratual!O95)</f>
        <v/>
      </c>
      <c r="V95" s="180" t="str">
        <f>IF(A95="","",posicao_contratual!S95)</f>
        <v/>
      </c>
      <c r="W95" s="180" t="str">
        <f>IF(A95="","",posicao_contratual!W95)</f>
        <v/>
      </c>
    </row>
    <row r="96" spans="1:23" x14ac:dyDescent="0.35">
      <c r="A96" s="111" t="str">
        <f>IF(itens_Remanesc!A96="","",itens_Remanesc!A96)</f>
        <v/>
      </c>
      <c r="B96" s="110" t="str">
        <f>IF(posicao_contratual!A96="","",posicao_contratual!E96)</f>
        <v/>
      </c>
      <c r="C96" s="104" t="str">
        <f>IF(itens_Remanesc!A96="","",itens_Remanesc!C96)</f>
        <v/>
      </c>
      <c r="D96" s="104" t="str">
        <f t="shared" si="10"/>
        <v/>
      </c>
      <c r="E96" s="104" t="str">
        <f t="shared" si="11"/>
        <v/>
      </c>
      <c r="F96" s="104" t="str">
        <f t="shared" si="12"/>
        <v/>
      </c>
      <c r="G96" s="104" t="str">
        <f t="shared" si="13"/>
        <v/>
      </c>
      <c r="H96" s="149" t="str">
        <f t="shared" si="14"/>
        <v/>
      </c>
      <c r="I96" s="16"/>
      <c r="J96" s="16"/>
      <c r="K96" s="16"/>
      <c r="L96" s="16"/>
      <c r="M96" s="16"/>
      <c r="N96" s="180" t="str">
        <f>IF(A96="","",posicao_contratual!E96)</f>
        <v/>
      </c>
      <c r="O96" s="180" t="str">
        <f>IF(A96="","",posicao_contratual!I96)</f>
        <v/>
      </c>
      <c r="P96" s="180" t="str">
        <f>IF(A96="","",posicao_contratual!M96)</f>
        <v/>
      </c>
      <c r="Q96" s="180" t="str">
        <f>IF(A96="","",posicao_contratual!Q96)</f>
        <v/>
      </c>
      <c r="R96" s="180" t="str">
        <f>IF(A96="","",posicao_contratual!U96)</f>
        <v/>
      </c>
      <c r="S96" s="180" t="str">
        <f>IF(A96="","",posicao_contratual!G96)</f>
        <v/>
      </c>
      <c r="T96" s="180" t="str">
        <f>IF(A96="","",posicao_contratual!K96)</f>
        <v/>
      </c>
      <c r="U96" s="180" t="str">
        <f>IF(A96="","",posicao_contratual!O96)</f>
        <v/>
      </c>
      <c r="V96" s="180" t="str">
        <f>IF(A96="","",posicao_contratual!S96)</f>
        <v/>
      </c>
      <c r="W96" s="180" t="str">
        <f>IF(A96="","",posicao_contratual!W96)</f>
        <v/>
      </c>
    </row>
    <row r="97" spans="1:23" x14ac:dyDescent="0.35">
      <c r="A97" s="111" t="str">
        <f>IF(itens_Remanesc!A97="","",itens_Remanesc!A97)</f>
        <v/>
      </c>
      <c r="B97" s="110" t="str">
        <f>IF(posicao_contratual!A97="","",posicao_contratual!E97)</f>
        <v/>
      </c>
      <c r="C97" s="104" t="str">
        <f>IF(itens_Remanesc!A97="","",itens_Remanesc!C97)</f>
        <v/>
      </c>
      <c r="D97" s="104" t="str">
        <f t="shared" si="10"/>
        <v/>
      </c>
      <c r="E97" s="104" t="str">
        <f t="shared" si="11"/>
        <v/>
      </c>
      <c r="F97" s="104" t="str">
        <f t="shared" si="12"/>
        <v/>
      </c>
      <c r="G97" s="104" t="str">
        <f t="shared" si="13"/>
        <v/>
      </c>
      <c r="H97" s="149" t="str">
        <f t="shared" si="14"/>
        <v/>
      </c>
      <c r="I97" s="16"/>
      <c r="J97" s="16"/>
      <c r="K97" s="16"/>
      <c r="L97" s="16"/>
      <c r="M97" s="16"/>
      <c r="N97" s="180" t="str">
        <f>IF(A97="","",posicao_contratual!E97)</f>
        <v/>
      </c>
      <c r="O97" s="180" t="str">
        <f>IF(A97="","",posicao_contratual!I97)</f>
        <v/>
      </c>
      <c r="P97" s="180" t="str">
        <f>IF(A97="","",posicao_contratual!M97)</f>
        <v/>
      </c>
      <c r="Q97" s="180" t="str">
        <f>IF(A97="","",posicao_contratual!Q97)</f>
        <v/>
      </c>
      <c r="R97" s="180" t="str">
        <f>IF(A97="","",posicao_contratual!U97)</f>
        <v/>
      </c>
      <c r="S97" s="180" t="str">
        <f>IF(A97="","",posicao_contratual!G97)</f>
        <v/>
      </c>
      <c r="T97" s="180" t="str">
        <f>IF(A97="","",posicao_contratual!K97)</f>
        <v/>
      </c>
      <c r="U97" s="180" t="str">
        <f>IF(A97="","",posicao_contratual!O97)</f>
        <v/>
      </c>
      <c r="V97" s="180" t="str">
        <f>IF(A97="","",posicao_contratual!S97)</f>
        <v/>
      </c>
      <c r="W97" s="180" t="str">
        <f>IF(A97="","",posicao_contratual!W97)</f>
        <v/>
      </c>
    </row>
    <row r="98" spans="1:23" x14ac:dyDescent="0.35">
      <c r="A98" s="111" t="str">
        <f>IF(itens_Remanesc!A98="","",itens_Remanesc!A98)</f>
        <v/>
      </c>
      <c r="B98" s="110" t="str">
        <f>IF(posicao_contratual!A98="","",posicao_contratual!E98)</f>
        <v/>
      </c>
      <c r="C98" s="104" t="str">
        <f>IF(itens_Remanesc!A98="","",itens_Remanesc!C98)</f>
        <v/>
      </c>
      <c r="D98" s="104" t="str">
        <f t="shared" ref="D98:D129" si="15">IF(OR(A98="",C98="",NOT(ISNUMBER($L$3))),"",ROUND(C98*$L$3,2))</f>
        <v/>
      </c>
      <c r="E98" s="104" t="str">
        <f t="shared" ref="E98:E129" si="16">IF(OR(A98="",C98="",NOT(ISNUMBER($L$4))),"",ROUND(C98*$L$4,2))</f>
        <v/>
      </c>
      <c r="F98" s="104" t="str">
        <f t="shared" ref="F98:F129" si="17">IF(OR(A98="",C98="",NOT(ISNUMBER($L$5))),"",ROUND(C98*$L$5,2))</f>
        <v/>
      </c>
      <c r="G98" s="104" t="str">
        <f t="shared" ref="G98:G129" si="18">IF(OR(A98="",C98="",NOT(ISNUMBER($L$6))),"",ROUND(C98*$L$6,2))</f>
        <v/>
      </c>
      <c r="H98" s="149" t="str">
        <f t="shared" ref="H98:H129" si="19">IF(OR(A98="",C98="",C98=0,NOT(ISNUMBER($L$6))),"",ROUND($L$6-1,4))</f>
        <v/>
      </c>
      <c r="I98" s="16"/>
      <c r="J98" s="16"/>
      <c r="K98" s="16"/>
      <c r="L98" s="16"/>
      <c r="M98" s="16"/>
      <c r="N98" s="180" t="str">
        <f>IF(A98="","",posicao_contratual!E98)</f>
        <v/>
      </c>
      <c r="O98" s="180" t="str">
        <f>IF(A98="","",posicao_contratual!I98)</f>
        <v/>
      </c>
      <c r="P98" s="180" t="str">
        <f>IF(A98="","",posicao_contratual!M98)</f>
        <v/>
      </c>
      <c r="Q98" s="180" t="str">
        <f>IF(A98="","",posicao_contratual!Q98)</f>
        <v/>
      </c>
      <c r="R98" s="180" t="str">
        <f>IF(A98="","",posicao_contratual!U98)</f>
        <v/>
      </c>
      <c r="S98" s="180" t="str">
        <f>IF(A98="","",posicao_contratual!G98)</f>
        <v/>
      </c>
      <c r="T98" s="180" t="str">
        <f>IF(A98="","",posicao_contratual!K98)</f>
        <v/>
      </c>
      <c r="U98" s="180" t="str">
        <f>IF(A98="","",posicao_contratual!O98)</f>
        <v/>
      </c>
      <c r="V98" s="180" t="str">
        <f>IF(A98="","",posicao_contratual!S98)</f>
        <v/>
      </c>
      <c r="W98" s="180" t="str">
        <f>IF(A98="","",posicao_contratual!W98)</f>
        <v/>
      </c>
    </row>
    <row r="99" spans="1:23" x14ac:dyDescent="0.35">
      <c r="A99" s="111" t="str">
        <f>IF(itens_Remanesc!A99="","",itens_Remanesc!A99)</f>
        <v/>
      </c>
      <c r="B99" s="110" t="str">
        <f>IF(posicao_contratual!A99="","",posicao_contratual!E99)</f>
        <v/>
      </c>
      <c r="C99" s="104" t="str">
        <f>IF(itens_Remanesc!A99="","",itens_Remanesc!C99)</f>
        <v/>
      </c>
      <c r="D99" s="104" t="str">
        <f t="shared" si="15"/>
        <v/>
      </c>
      <c r="E99" s="104" t="str">
        <f t="shared" si="16"/>
        <v/>
      </c>
      <c r="F99" s="104" t="str">
        <f t="shared" si="17"/>
        <v/>
      </c>
      <c r="G99" s="104" t="str">
        <f t="shared" si="18"/>
        <v/>
      </c>
      <c r="H99" s="149" t="str">
        <f t="shared" si="19"/>
        <v/>
      </c>
      <c r="I99" s="16"/>
      <c r="J99" s="16"/>
      <c r="K99" s="16"/>
      <c r="L99" s="16"/>
      <c r="M99" s="16"/>
      <c r="N99" s="180" t="str">
        <f>IF(A99="","",posicao_contratual!E99)</f>
        <v/>
      </c>
      <c r="O99" s="180" t="str">
        <f>IF(A99="","",posicao_contratual!I99)</f>
        <v/>
      </c>
      <c r="P99" s="180" t="str">
        <f>IF(A99="","",posicao_contratual!M99)</f>
        <v/>
      </c>
      <c r="Q99" s="180" t="str">
        <f>IF(A99="","",posicao_contratual!Q99)</f>
        <v/>
      </c>
      <c r="R99" s="180" t="str">
        <f>IF(A99="","",posicao_contratual!U99)</f>
        <v/>
      </c>
      <c r="S99" s="180" t="str">
        <f>IF(A99="","",posicao_contratual!G99)</f>
        <v/>
      </c>
      <c r="T99" s="180" t="str">
        <f>IF(A99="","",posicao_contratual!K99)</f>
        <v/>
      </c>
      <c r="U99" s="180" t="str">
        <f>IF(A99="","",posicao_contratual!O99)</f>
        <v/>
      </c>
      <c r="V99" s="180" t="str">
        <f>IF(A99="","",posicao_contratual!S99)</f>
        <v/>
      </c>
      <c r="W99" s="180" t="str">
        <f>IF(A99="","",posicao_contratual!W99)</f>
        <v/>
      </c>
    </row>
    <row r="100" spans="1:23" x14ac:dyDescent="0.35">
      <c r="A100" s="111" t="str">
        <f>IF(itens_Remanesc!A100="","",itens_Remanesc!A100)</f>
        <v/>
      </c>
      <c r="B100" s="110" t="str">
        <f>IF(posicao_contratual!A100="","",posicao_contratual!E100)</f>
        <v/>
      </c>
      <c r="C100" s="104" t="str">
        <f>IF(itens_Remanesc!A100="","",itens_Remanesc!C100)</f>
        <v/>
      </c>
      <c r="D100" s="104" t="str">
        <f t="shared" si="15"/>
        <v/>
      </c>
      <c r="E100" s="104" t="str">
        <f t="shared" si="16"/>
        <v/>
      </c>
      <c r="F100" s="104" t="str">
        <f t="shared" si="17"/>
        <v/>
      </c>
      <c r="G100" s="104" t="str">
        <f t="shared" si="18"/>
        <v/>
      </c>
      <c r="H100" s="149" t="str">
        <f t="shared" si="19"/>
        <v/>
      </c>
      <c r="I100" s="16"/>
      <c r="J100" s="16"/>
      <c r="K100" s="16"/>
      <c r="L100" s="16"/>
      <c r="M100" s="16"/>
      <c r="N100" s="180" t="str">
        <f>IF(A100="","",posicao_contratual!E100)</f>
        <v/>
      </c>
      <c r="O100" s="180" t="str">
        <f>IF(A100="","",posicao_contratual!I100)</f>
        <v/>
      </c>
      <c r="P100" s="180" t="str">
        <f>IF(A100="","",posicao_contratual!M100)</f>
        <v/>
      </c>
      <c r="Q100" s="180" t="str">
        <f>IF(A100="","",posicao_contratual!Q100)</f>
        <v/>
      </c>
      <c r="R100" s="180" t="str">
        <f>IF(A100="","",posicao_contratual!U100)</f>
        <v/>
      </c>
      <c r="S100" s="180" t="str">
        <f>IF(A100="","",posicao_contratual!G100)</f>
        <v/>
      </c>
      <c r="T100" s="180" t="str">
        <f>IF(A100="","",posicao_contratual!K100)</f>
        <v/>
      </c>
      <c r="U100" s="180" t="str">
        <f>IF(A100="","",posicao_contratual!O100)</f>
        <v/>
      </c>
      <c r="V100" s="180" t="str">
        <f>IF(A100="","",posicao_contratual!S100)</f>
        <v/>
      </c>
      <c r="W100" s="180" t="str">
        <f>IF(A100="","",posicao_contratual!W100)</f>
        <v/>
      </c>
    </row>
    <row r="101" spans="1:23" x14ac:dyDescent="0.35">
      <c r="A101" s="111" t="str">
        <f>IF(itens_Remanesc!A101="","",itens_Remanesc!A101)</f>
        <v/>
      </c>
      <c r="B101" s="110" t="str">
        <f>IF(posicao_contratual!A101="","",posicao_contratual!E101)</f>
        <v/>
      </c>
      <c r="C101" s="104" t="str">
        <f>IF(itens_Remanesc!A101="","",itens_Remanesc!C101)</f>
        <v/>
      </c>
      <c r="D101" s="104" t="str">
        <f t="shared" si="15"/>
        <v/>
      </c>
      <c r="E101" s="104" t="str">
        <f t="shared" si="16"/>
        <v/>
      </c>
      <c r="F101" s="104" t="str">
        <f t="shared" si="17"/>
        <v/>
      </c>
      <c r="G101" s="104" t="str">
        <f t="shared" si="18"/>
        <v/>
      </c>
      <c r="H101" s="149" t="str">
        <f t="shared" si="19"/>
        <v/>
      </c>
      <c r="I101" s="15"/>
      <c r="J101" s="15"/>
      <c r="K101" s="15"/>
      <c r="L101" s="15"/>
      <c r="M101" s="15"/>
      <c r="N101" s="180" t="str">
        <f>IF(A101="","",posicao_contratual!E101)</f>
        <v/>
      </c>
      <c r="O101" s="180" t="str">
        <f>IF(A101="","",posicao_contratual!I101)</f>
        <v/>
      </c>
      <c r="P101" s="180" t="str">
        <f>IF(A101="","",posicao_contratual!M101)</f>
        <v/>
      </c>
      <c r="Q101" s="180" t="str">
        <f>IF(A101="","",posicao_contratual!Q101)</f>
        <v/>
      </c>
      <c r="R101" s="180" t="str">
        <f>IF(A101="","",posicao_contratual!U101)</f>
        <v/>
      </c>
      <c r="S101" s="180" t="str">
        <f>IF(A101="","",posicao_contratual!G101)</f>
        <v/>
      </c>
      <c r="T101" s="180" t="str">
        <f>IF(A101="","",posicao_contratual!K101)</f>
        <v/>
      </c>
      <c r="U101" s="180" t="str">
        <f>IF(A101="","",posicao_contratual!O101)</f>
        <v/>
      </c>
      <c r="V101" s="180" t="str">
        <f>IF(A101="","",posicao_contratual!S101)</f>
        <v/>
      </c>
      <c r="W101" s="180" t="str">
        <f>IF(A101="","",posicao_contratual!W101)</f>
        <v/>
      </c>
    </row>
    <row r="102" spans="1:23" x14ac:dyDescent="0.35">
      <c r="A102" s="111" t="str">
        <f>IF(itens_Remanesc!A102="","",itens_Remanesc!A102)</f>
        <v/>
      </c>
      <c r="B102" s="110" t="str">
        <f>IF(posicao_contratual!A102="","",posicao_contratual!E102)</f>
        <v/>
      </c>
      <c r="C102" s="104" t="str">
        <f>IF(itens_Remanesc!A102="","",itens_Remanesc!C102)</f>
        <v/>
      </c>
      <c r="D102" s="104" t="str">
        <f t="shared" si="15"/>
        <v/>
      </c>
      <c r="E102" s="104" t="str">
        <f t="shared" si="16"/>
        <v/>
      </c>
      <c r="F102" s="104" t="str">
        <f t="shared" si="17"/>
        <v/>
      </c>
      <c r="G102" s="104" t="str">
        <f t="shared" si="18"/>
        <v/>
      </c>
      <c r="H102" s="149" t="str">
        <f t="shared" si="19"/>
        <v/>
      </c>
      <c r="I102" s="15"/>
      <c r="J102" s="15"/>
      <c r="K102" s="15"/>
      <c r="L102" s="15"/>
      <c r="M102" s="15"/>
      <c r="N102" s="180" t="str">
        <f>IF(A102="","",posicao_contratual!E102)</f>
        <v/>
      </c>
      <c r="O102" s="180" t="str">
        <f>IF(A102="","",posicao_contratual!I102)</f>
        <v/>
      </c>
      <c r="P102" s="180" t="str">
        <f>IF(A102="","",posicao_contratual!M102)</f>
        <v/>
      </c>
      <c r="Q102" s="180" t="str">
        <f>IF(A102="","",posicao_contratual!Q102)</f>
        <v/>
      </c>
      <c r="R102" s="180" t="str">
        <f>IF(A102="","",posicao_contratual!U102)</f>
        <v/>
      </c>
      <c r="S102" s="180" t="str">
        <f>IF(A102="","",posicao_contratual!G102)</f>
        <v/>
      </c>
      <c r="T102" s="180" t="str">
        <f>IF(A102="","",posicao_contratual!K102)</f>
        <v/>
      </c>
      <c r="U102" s="180" t="str">
        <f>IF(A102="","",posicao_contratual!O102)</f>
        <v/>
      </c>
      <c r="V102" s="180" t="str">
        <f>IF(A102="","",posicao_contratual!S102)</f>
        <v/>
      </c>
      <c r="W102" s="180" t="str">
        <f>IF(A102="","",posicao_contratual!W102)</f>
        <v/>
      </c>
    </row>
    <row r="103" spans="1:23" x14ac:dyDescent="0.35">
      <c r="A103" s="111" t="str">
        <f>IF(itens_Remanesc!A103="","",itens_Remanesc!A103)</f>
        <v/>
      </c>
      <c r="B103" s="110" t="str">
        <f>IF(posicao_contratual!A103="","",posicao_contratual!E103)</f>
        <v/>
      </c>
      <c r="C103" s="104" t="str">
        <f>IF(itens_Remanesc!A103="","",itens_Remanesc!C103)</f>
        <v/>
      </c>
      <c r="D103" s="104" t="str">
        <f t="shared" si="15"/>
        <v/>
      </c>
      <c r="E103" s="104" t="str">
        <f t="shared" si="16"/>
        <v/>
      </c>
      <c r="F103" s="104" t="str">
        <f t="shared" si="17"/>
        <v/>
      </c>
      <c r="G103" s="104" t="str">
        <f t="shared" si="18"/>
        <v/>
      </c>
      <c r="H103" s="149" t="str">
        <f t="shared" si="19"/>
        <v/>
      </c>
      <c r="I103" s="15"/>
      <c r="J103" s="15"/>
      <c r="K103" s="15"/>
      <c r="L103" s="15"/>
      <c r="M103" s="15"/>
      <c r="N103" s="180" t="str">
        <f>IF(A103="","",posicao_contratual!E103)</f>
        <v/>
      </c>
      <c r="O103" s="180" t="str">
        <f>IF(A103="","",posicao_contratual!I103)</f>
        <v/>
      </c>
      <c r="P103" s="180" t="str">
        <f>IF(A103="","",posicao_contratual!M103)</f>
        <v/>
      </c>
      <c r="Q103" s="180" t="str">
        <f>IF(A103="","",posicao_contratual!Q103)</f>
        <v/>
      </c>
      <c r="R103" s="180" t="str">
        <f>IF(A103="","",posicao_contratual!U103)</f>
        <v/>
      </c>
      <c r="S103" s="180" t="str">
        <f>IF(A103="","",posicao_contratual!G103)</f>
        <v/>
      </c>
      <c r="T103" s="180" t="str">
        <f>IF(A103="","",posicao_contratual!K103)</f>
        <v/>
      </c>
      <c r="U103" s="180" t="str">
        <f>IF(A103="","",posicao_contratual!O103)</f>
        <v/>
      </c>
      <c r="V103" s="180" t="str">
        <f>IF(A103="","",posicao_contratual!S103)</f>
        <v/>
      </c>
      <c r="W103" s="180" t="str">
        <f>IF(A103="","",posicao_contratual!W103)</f>
        <v/>
      </c>
    </row>
    <row r="104" spans="1:23" x14ac:dyDescent="0.35">
      <c r="A104" s="111" t="str">
        <f>IF(itens_Remanesc!A104="","",itens_Remanesc!A104)</f>
        <v/>
      </c>
      <c r="B104" s="110" t="str">
        <f>IF(posicao_contratual!A104="","",posicao_contratual!E104)</f>
        <v/>
      </c>
      <c r="C104" s="104" t="str">
        <f>IF(itens_Remanesc!A104="","",itens_Remanesc!C104)</f>
        <v/>
      </c>
      <c r="D104" s="104" t="str">
        <f t="shared" si="15"/>
        <v/>
      </c>
      <c r="E104" s="104" t="str">
        <f t="shared" si="16"/>
        <v/>
      </c>
      <c r="F104" s="104" t="str">
        <f t="shared" si="17"/>
        <v/>
      </c>
      <c r="G104" s="104" t="str">
        <f t="shared" si="18"/>
        <v/>
      </c>
      <c r="H104" s="149" t="str">
        <f t="shared" si="19"/>
        <v/>
      </c>
      <c r="I104" s="15"/>
      <c r="J104" s="15"/>
      <c r="K104" s="15"/>
      <c r="L104" s="15"/>
      <c r="M104" s="15"/>
      <c r="N104" s="180" t="str">
        <f>IF(A104="","",posicao_contratual!E104)</f>
        <v/>
      </c>
      <c r="O104" s="180" t="str">
        <f>IF(A104="","",posicao_contratual!I104)</f>
        <v/>
      </c>
      <c r="P104" s="180" t="str">
        <f>IF(A104="","",posicao_contratual!M104)</f>
        <v/>
      </c>
      <c r="Q104" s="180" t="str">
        <f>IF(A104="","",posicao_contratual!Q104)</f>
        <v/>
      </c>
      <c r="R104" s="180" t="str">
        <f>IF(A104="","",posicao_contratual!U104)</f>
        <v/>
      </c>
      <c r="S104" s="180" t="str">
        <f>IF(A104="","",posicao_contratual!G104)</f>
        <v/>
      </c>
      <c r="T104" s="180" t="str">
        <f>IF(A104="","",posicao_contratual!K104)</f>
        <v/>
      </c>
      <c r="U104" s="180" t="str">
        <f>IF(A104="","",posicao_contratual!O104)</f>
        <v/>
      </c>
      <c r="V104" s="180" t="str">
        <f>IF(A104="","",posicao_contratual!S104)</f>
        <v/>
      </c>
      <c r="W104" s="180" t="str">
        <f>IF(A104="","",posicao_contratual!W104)</f>
        <v/>
      </c>
    </row>
    <row r="105" spans="1:23" x14ac:dyDescent="0.35">
      <c r="A105" s="111" t="str">
        <f>IF(itens_Remanesc!A105="","",itens_Remanesc!A105)</f>
        <v/>
      </c>
      <c r="B105" s="110" t="str">
        <f>IF(posicao_contratual!A105="","",posicao_contratual!E105)</f>
        <v/>
      </c>
      <c r="C105" s="104" t="str">
        <f>IF(itens_Remanesc!A105="","",itens_Remanesc!C105)</f>
        <v/>
      </c>
      <c r="D105" s="104" t="str">
        <f t="shared" si="15"/>
        <v/>
      </c>
      <c r="E105" s="104" t="str">
        <f t="shared" si="16"/>
        <v/>
      </c>
      <c r="F105" s="104" t="str">
        <f t="shared" si="17"/>
        <v/>
      </c>
      <c r="G105" s="104" t="str">
        <f t="shared" si="18"/>
        <v/>
      </c>
      <c r="H105" s="149" t="str">
        <f t="shared" si="19"/>
        <v/>
      </c>
      <c r="I105" s="15"/>
      <c r="J105" s="15"/>
      <c r="K105" s="15"/>
      <c r="L105" s="15"/>
      <c r="M105" s="15"/>
      <c r="N105" s="180" t="str">
        <f>IF(A105="","",posicao_contratual!E105)</f>
        <v/>
      </c>
      <c r="O105" s="180" t="str">
        <f>IF(A105="","",posicao_contratual!I105)</f>
        <v/>
      </c>
      <c r="P105" s="180" t="str">
        <f>IF(A105="","",posicao_contratual!M105)</f>
        <v/>
      </c>
      <c r="Q105" s="180" t="str">
        <f>IF(A105="","",posicao_contratual!Q105)</f>
        <v/>
      </c>
      <c r="R105" s="180" t="str">
        <f>IF(A105="","",posicao_contratual!U105)</f>
        <v/>
      </c>
      <c r="S105" s="180" t="str">
        <f>IF(A105="","",posicao_contratual!G105)</f>
        <v/>
      </c>
      <c r="T105" s="180" t="str">
        <f>IF(A105="","",posicao_contratual!K105)</f>
        <v/>
      </c>
      <c r="U105" s="180" t="str">
        <f>IF(A105="","",posicao_contratual!O105)</f>
        <v/>
      </c>
      <c r="V105" s="180" t="str">
        <f>IF(A105="","",posicao_contratual!S105)</f>
        <v/>
      </c>
      <c r="W105" s="180" t="str">
        <f>IF(A105="","",posicao_contratual!W105)</f>
        <v/>
      </c>
    </row>
    <row r="106" spans="1:23" x14ac:dyDescent="0.35">
      <c r="A106" s="111" t="str">
        <f>IF(itens_Remanesc!A106="","",itens_Remanesc!A106)</f>
        <v/>
      </c>
      <c r="B106" s="110" t="str">
        <f>IF(posicao_contratual!A106="","",posicao_contratual!E106)</f>
        <v/>
      </c>
      <c r="C106" s="104" t="str">
        <f>IF(itens_Remanesc!A106="","",itens_Remanesc!C106)</f>
        <v/>
      </c>
      <c r="D106" s="104" t="str">
        <f t="shared" si="15"/>
        <v/>
      </c>
      <c r="E106" s="104" t="str">
        <f t="shared" si="16"/>
        <v/>
      </c>
      <c r="F106" s="104" t="str">
        <f t="shared" si="17"/>
        <v/>
      </c>
      <c r="G106" s="104" t="str">
        <f t="shared" si="18"/>
        <v/>
      </c>
      <c r="H106" s="149" t="str">
        <f t="shared" si="19"/>
        <v/>
      </c>
      <c r="I106" s="15"/>
      <c r="J106" s="15"/>
      <c r="K106" s="15"/>
      <c r="L106" s="15"/>
      <c r="M106" s="15"/>
      <c r="N106" s="180" t="str">
        <f>IF(A106="","",posicao_contratual!E106)</f>
        <v/>
      </c>
      <c r="O106" s="180" t="str">
        <f>IF(A106="","",posicao_contratual!I106)</f>
        <v/>
      </c>
      <c r="P106" s="180" t="str">
        <f>IF(A106="","",posicao_contratual!M106)</f>
        <v/>
      </c>
      <c r="Q106" s="180" t="str">
        <f>IF(A106="","",posicao_contratual!Q106)</f>
        <v/>
      </c>
      <c r="R106" s="180" t="str">
        <f>IF(A106="","",posicao_contratual!U106)</f>
        <v/>
      </c>
      <c r="S106" s="180" t="str">
        <f>IF(A106="","",posicao_contratual!G106)</f>
        <v/>
      </c>
      <c r="T106" s="180" t="str">
        <f>IF(A106="","",posicao_contratual!K106)</f>
        <v/>
      </c>
      <c r="U106" s="180" t="str">
        <f>IF(A106="","",posicao_contratual!O106)</f>
        <v/>
      </c>
      <c r="V106" s="180" t="str">
        <f>IF(A106="","",posicao_contratual!S106)</f>
        <v/>
      </c>
      <c r="W106" s="180" t="str">
        <f>IF(A106="","",posicao_contratual!W106)</f>
        <v/>
      </c>
    </row>
    <row r="107" spans="1:23" x14ac:dyDescent="0.35">
      <c r="A107" s="111" t="str">
        <f>IF(itens_Remanesc!A107="","",itens_Remanesc!A107)</f>
        <v/>
      </c>
      <c r="B107" s="110" t="str">
        <f>IF(posicao_contratual!A107="","",posicao_contratual!E107)</f>
        <v/>
      </c>
      <c r="C107" s="104" t="str">
        <f>IF(itens_Remanesc!A107="","",itens_Remanesc!C107)</f>
        <v/>
      </c>
      <c r="D107" s="104" t="str">
        <f t="shared" si="15"/>
        <v/>
      </c>
      <c r="E107" s="104" t="str">
        <f t="shared" si="16"/>
        <v/>
      </c>
      <c r="F107" s="104" t="str">
        <f t="shared" si="17"/>
        <v/>
      </c>
      <c r="G107" s="104" t="str">
        <f t="shared" si="18"/>
        <v/>
      </c>
      <c r="H107" s="149" t="str">
        <f t="shared" si="19"/>
        <v/>
      </c>
      <c r="I107" s="15"/>
      <c r="J107" s="15"/>
      <c r="K107" s="15"/>
      <c r="L107" s="15"/>
      <c r="M107" s="15"/>
      <c r="N107" s="180" t="str">
        <f>IF(A107="","",posicao_contratual!E107)</f>
        <v/>
      </c>
      <c r="O107" s="180" t="str">
        <f>IF(A107="","",posicao_contratual!I107)</f>
        <v/>
      </c>
      <c r="P107" s="180" t="str">
        <f>IF(A107="","",posicao_contratual!M107)</f>
        <v/>
      </c>
      <c r="Q107" s="180" t="str">
        <f>IF(A107="","",posicao_contratual!Q107)</f>
        <v/>
      </c>
      <c r="R107" s="180" t="str">
        <f>IF(A107="","",posicao_contratual!U107)</f>
        <v/>
      </c>
      <c r="S107" s="180" t="str">
        <f>IF(A107="","",posicao_contratual!G107)</f>
        <v/>
      </c>
      <c r="T107" s="180" t="str">
        <f>IF(A107="","",posicao_contratual!K107)</f>
        <v/>
      </c>
      <c r="U107" s="180" t="str">
        <f>IF(A107="","",posicao_contratual!O107)</f>
        <v/>
      </c>
      <c r="V107" s="180" t="str">
        <f>IF(A107="","",posicao_contratual!S107)</f>
        <v/>
      </c>
      <c r="W107" s="180" t="str">
        <f>IF(A107="","",posicao_contratual!W107)</f>
        <v/>
      </c>
    </row>
    <row r="108" spans="1:23" x14ac:dyDescent="0.35">
      <c r="A108" s="111" t="str">
        <f>IF(itens_Remanesc!A108="","",itens_Remanesc!A108)</f>
        <v/>
      </c>
      <c r="B108" s="110" t="str">
        <f>IF(posicao_contratual!A108="","",posicao_contratual!E108)</f>
        <v/>
      </c>
      <c r="C108" s="104" t="str">
        <f>IF(itens_Remanesc!A108="","",itens_Remanesc!C108)</f>
        <v/>
      </c>
      <c r="D108" s="104" t="str">
        <f t="shared" si="15"/>
        <v/>
      </c>
      <c r="E108" s="104" t="str">
        <f t="shared" si="16"/>
        <v/>
      </c>
      <c r="F108" s="104" t="str">
        <f t="shared" si="17"/>
        <v/>
      </c>
      <c r="G108" s="104" t="str">
        <f t="shared" si="18"/>
        <v/>
      </c>
      <c r="H108" s="149" t="str">
        <f t="shared" si="19"/>
        <v/>
      </c>
      <c r="I108" s="15"/>
      <c r="J108" s="15"/>
      <c r="K108" s="15"/>
      <c r="L108" s="15"/>
      <c r="M108" s="15"/>
      <c r="N108" s="180" t="str">
        <f>IF(A108="","",posicao_contratual!E108)</f>
        <v/>
      </c>
      <c r="O108" s="180" t="str">
        <f>IF(A108="","",posicao_contratual!I108)</f>
        <v/>
      </c>
      <c r="P108" s="180" t="str">
        <f>IF(A108="","",posicao_contratual!M108)</f>
        <v/>
      </c>
      <c r="Q108" s="180" t="str">
        <f>IF(A108="","",posicao_contratual!Q108)</f>
        <v/>
      </c>
      <c r="R108" s="180" t="str">
        <f>IF(A108="","",posicao_contratual!U108)</f>
        <v/>
      </c>
      <c r="S108" s="180" t="str">
        <f>IF(A108="","",posicao_contratual!G108)</f>
        <v/>
      </c>
      <c r="T108" s="180" t="str">
        <f>IF(A108="","",posicao_contratual!K108)</f>
        <v/>
      </c>
      <c r="U108" s="180" t="str">
        <f>IF(A108="","",posicao_contratual!O108)</f>
        <v/>
      </c>
      <c r="V108" s="180" t="str">
        <f>IF(A108="","",posicao_contratual!S108)</f>
        <v/>
      </c>
      <c r="W108" s="180" t="str">
        <f>IF(A108="","",posicao_contratual!W108)</f>
        <v/>
      </c>
    </row>
    <row r="109" spans="1:23" x14ac:dyDescent="0.35">
      <c r="A109" s="111" t="str">
        <f>IF(itens_Remanesc!A109="","",itens_Remanesc!A109)</f>
        <v/>
      </c>
      <c r="B109" s="110" t="str">
        <f>IF(posicao_contratual!A109="","",posicao_contratual!E109)</f>
        <v/>
      </c>
      <c r="C109" s="104" t="str">
        <f>IF(itens_Remanesc!A109="","",itens_Remanesc!C109)</f>
        <v/>
      </c>
      <c r="D109" s="104" t="str">
        <f t="shared" si="15"/>
        <v/>
      </c>
      <c r="E109" s="104" t="str">
        <f t="shared" si="16"/>
        <v/>
      </c>
      <c r="F109" s="104" t="str">
        <f t="shared" si="17"/>
        <v/>
      </c>
      <c r="G109" s="104" t="str">
        <f t="shared" si="18"/>
        <v/>
      </c>
      <c r="H109" s="149" t="str">
        <f t="shared" si="19"/>
        <v/>
      </c>
      <c r="I109" s="15"/>
      <c r="J109" s="15"/>
      <c r="K109" s="15"/>
      <c r="L109" s="15"/>
      <c r="M109" s="15"/>
      <c r="N109" s="180" t="str">
        <f>IF(A109="","",posicao_contratual!E109)</f>
        <v/>
      </c>
      <c r="O109" s="180" t="str">
        <f>IF(A109="","",posicao_contratual!I109)</f>
        <v/>
      </c>
      <c r="P109" s="180" t="str">
        <f>IF(A109="","",posicao_contratual!M109)</f>
        <v/>
      </c>
      <c r="Q109" s="180" t="str">
        <f>IF(A109="","",posicao_contratual!Q109)</f>
        <v/>
      </c>
      <c r="R109" s="180" t="str">
        <f>IF(A109="","",posicao_contratual!U109)</f>
        <v/>
      </c>
      <c r="S109" s="180" t="str">
        <f>IF(A109="","",posicao_contratual!G109)</f>
        <v/>
      </c>
      <c r="T109" s="180" t="str">
        <f>IF(A109="","",posicao_contratual!K109)</f>
        <v/>
      </c>
      <c r="U109" s="180" t="str">
        <f>IF(A109="","",posicao_contratual!O109)</f>
        <v/>
      </c>
      <c r="V109" s="180" t="str">
        <f>IF(A109="","",posicao_contratual!S109)</f>
        <v/>
      </c>
      <c r="W109" s="180" t="str">
        <f>IF(A109="","",posicao_contratual!W109)</f>
        <v/>
      </c>
    </row>
    <row r="110" spans="1:23" x14ac:dyDescent="0.35">
      <c r="A110" s="111" t="str">
        <f>IF(itens_Remanesc!A110="","",itens_Remanesc!A110)</f>
        <v/>
      </c>
      <c r="B110" s="110" t="str">
        <f>IF(posicao_contratual!A110="","",posicao_contratual!E110)</f>
        <v/>
      </c>
      <c r="C110" s="104" t="str">
        <f>IF(itens_Remanesc!A110="","",itens_Remanesc!C110)</f>
        <v/>
      </c>
      <c r="D110" s="104" t="str">
        <f t="shared" si="15"/>
        <v/>
      </c>
      <c r="E110" s="104" t="str">
        <f t="shared" si="16"/>
        <v/>
      </c>
      <c r="F110" s="104" t="str">
        <f t="shared" si="17"/>
        <v/>
      </c>
      <c r="G110" s="104" t="str">
        <f t="shared" si="18"/>
        <v/>
      </c>
      <c r="H110" s="149" t="str">
        <f t="shared" si="19"/>
        <v/>
      </c>
      <c r="I110" s="15"/>
      <c r="J110" s="15"/>
      <c r="K110" s="15"/>
      <c r="L110" s="15"/>
      <c r="M110" s="15"/>
      <c r="N110" s="180" t="str">
        <f>IF(A110="","",posicao_contratual!E110)</f>
        <v/>
      </c>
      <c r="O110" s="180" t="str">
        <f>IF(A110="","",posicao_contratual!I110)</f>
        <v/>
      </c>
      <c r="P110" s="180" t="str">
        <f>IF(A110="","",posicao_contratual!M110)</f>
        <v/>
      </c>
      <c r="Q110" s="180" t="str">
        <f>IF(A110="","",posicao_contratual!Q110)</f>
        <v/>
      </c>
      <c r="R110" s="180" t="str">
        <f>IF(A110="","",posicao_contratual!U110)</f>
        <v/>
      </c>
      <c r="S110" s="180" t="str">
        <f>IF(A110="","",posicao_contratual!G110)</f>
        <v/>
      </c>
      <c r="T110" s="180" t="str">
        <f>IF(A110="","",posicao_contratual!K110)</f>
        <v/>
      </c>
      <c r="U110" s="180" t="str">
        <f>IF(A110="","",posicao_contratual!O110)</f>
        <v/>
      </c>
      <c r="V110" s="180" t="str">
        <f>IF(A110="","",posicao_contratual!S110)</f>
        <v/>
      </c>
      <c r="W110" s="180" t="str">
        <f>IF(A110="","",posicao_contratual!W110)</f>
        <v/>
      </c>
    </row>
    <row r="111" spans="1:23" x14ac:dyDescent="0.35">
      <c r="A111" s="111" t="str">
        <f>IF(itens_Remanesc!A111="","",itens_Remanesc!A111)</f>
        <v/>
      </c>
      <c r="B111" s="110" t="str">
        <f>IF(posicao_contratual!A111="","",posicao_contratual!E111)</f>
        <v/>
      </c>
      <c r="C111" s="104" t="str">
        <f>IF(itens_Remanesc!A111="","",itens_Remanesc!C111)</f>
        <v/>
      </c>
      <c r="D111" s="104" t="str">
        <f t="shared" si="15"/>
        <v/>
      </c>
      <c r="E111" s="104" t="str">
        <f t="shared" si="16"/>
        <v/>
      </c>
      <c r="F111" s="104" t="str">
        <f t="shared" si="17"/>
        <v/>
      </c>
      <c r="G111" s="104" t="str">
        <f t="shared" si="18"/>
        <v/>
      </c>
      <c r="H111" s="149" t="str">
        <f t="shared" si="19"/>
        <v/>
      </c>
      <c r="I111" s="15"/>
      <c r="J111" s="15"/>
      <c r="K111" s="15"/>
      <c r="L111" s="15"/>
      <c r="M111" s="15"/>
      <c r="N111" s="180" t="str">
        <f>IF(A111="","",posicao_contratual!E111)</f>
        <v/>
      </c>
      <c r="O111" s="180" t="str">
        <f>IF(A111="","",posicao_contratual!I111)</f>
        <v/>
      </c>
      <c r="P111" s="180" t="str">
        <f>IF(A111="","",posicao_contratual!M111)</f>
        <v/>
      </c>
      <c r="Q111" s="180" t="str">
        <f>IF(A111="","",posicao_contratual!Q111)</f>
        <v/>
      </c>
      <c r="R111" s="180" t="str">
        <f>IF(A111="","",posicao_contratual!U111)</f>
        <v/>
      </c>
      <c r="S111" s="180" t="str">
        <f>IF(A111="","",posicao_contratual!G111)</f>
        <v/>
      </c>
      <c r="T111" s="180" t="str">
        <f>IF(A111="","",posicao_contratual!K111)</f>
        <v/>
      </c>
      <c r="U111" s="180" t="str">
        <f>IF(A111="","",posicao_contratual!O111)</f>
        <v/>
      </c>
      <c r="V111" s="180" t="str">
        <f>IF(A111="","",posicao_contratual!S111)</f>
        <v/>
      </c>
      <c r="W111" s="180" t="str">
        <f>IF(A111="","",posicao_contratual!W111)</f>
        <v/>
      </c>
    </row>
    <row r="112" spans="1:23" x14ac:dyDescent="0.35">
      <c r="A112" s="111" t="str">
        <f>IF(itens_Remanesc!A112="","",itens_Remanesc!A112)</f>
        <v/>
      </c>
      <c r="B112" s="110" t="str">
        <f>IF(posicao_contratual!A112="","",posicao_contratual!E112)</f>
        <v/>
      </c>
      <c r="C112" s="104" t="str">
        <f>IF(itens_Remanesc!A112="","",itens_Remanesc!C112)</f>
        <v/>
      </c>
      <c r="D112" s="104" t="str">
        <f t="shared" si="15"/>
        <v/>
      </c>
      <c r="E112" s="104" t="str">
        <f t="shared" si="16"/>
        <v/>
      </c>
      <c r="F112" s="104" t="str">
        <f t="shared" si="17"/>
        <v/>
      </c>
      <c r="G112" s="104" t="str">
        <f t="shared" si="18"/>
        <v/>
      </c>
      <c r="H112" s="149" t="str">
        <f t="shared" si="19"/>
        <v/>
      </c>
      <c r="I112" s="15"/>
      <c r="J112" s="15"/>
      <c r="K112" s="15"/>
      <c r="L112" s="15"/>
      <c r="M112" s="15"/>
      <c r="N112" s="180" t="str">
        <f>IF(A112="","",posicao_contratual!E112)</f>
        <v/>
      </c>
      <c r="O112" s="180" t="str">
        <f>IF(A112="","",posicao_contratual!I112)</f>
        <v/>
      </c>
      <c r="P112" s="180" t="str">
        <f>IF(A112="","",posicao_contratual!M112)</f>
        <v/>
      </c>
      <c r="Q112" s="180" t="str">
        <f>IF(A112="","",posicao_contratual!Q112)</f>
        <v/>
      </c>
      <c r="R112" s="180" t="str">
        <f>IF(A112="","",posicao_contratual!U112)</f>
        <v/>
      </c>
      <c r="S112" s="180" t="str">
        <f>IF(A112="","",posicao_contratual!G112)</f>
        <v/>
      </c>
      <c r="T112" s="180" t="str">
        <f>IF(A112="","",posicao_contratual!K112)</f>
        <v/>
      </c>
      <c r="U112" s="180" t="str">
        <f>IF(A112="","",posicao_contratual!O112)</f>
        <v/>
      </c>
      <c r="V112" s="180" t="str">
        <f>IF(A112="","",posicao_contratual!S112)</f>
        <v/>
      </c>
      <c r="W112" s="180" t="str">
        <f>IF(A112="","",posicao_contratual!W112)</f>
        <v/>
      </c>
    </row>
    <row r="113" spans="1:23" x14ac:dyDescent="0.35">
      <c r="A113" s="111" t="str">
        <f>IF(itens_Remanesc!A113="","",itens_Remanesc!A113)</f>
        <v/>
      </c>
      <c r="B113" s="110" t="str">
        <f>IF(posicao_contratual!A113="","",posicao_contratual!E113)</f>
        <v/>
      </c>
      <c r="C113" s="104" t="str">
        <f>IF(itens_Remanesc!A113="","",itens_Remanesc!C113)</f>
        <v/>
      </c>
      <c r="D113" s="104" t="str">
        <f t="shared" si="15"/>
        <v/>
      </c>
      <c r="E113" s="104" t="str">
        <f t="shared" si="16"/>
        <v/>
      </c>
      <c r="F113" s="104" t="str">
        <f t="shared" si="17"/>
        <v/>
      </c>
      <c r="G113" s="104" t="str">
        <f t="shared" si="18"/>
        <v/>
      </c>
      <c r="H113" s="149" t="str">
        <f t="shared" si="19"/>
        <v/>
      </c>
      <c r="I113" s="15"/>
      <c r="J113" s="15"/>
      <c r="K113" s="15"/>
      <c r="L113" s="15"/>
      <c r="M113" s="15"/>
      <c r="N113" s="180" t="str">
        <f>IF(A113="","",posicao_contratual!E113)</f>
        <v/>
      </c>
      <c r="O113" s="180" t="str">
        <f>IF(A113="","",posicao_contratual!I113)</f>
        <v/>
      </c>
      <c r="P113" s="180" t="str">
        <f>IF(A113="","",posicao_contratual!M113)</f>
        <v/>
      </c>
      <c r="Q113" s="180" t="str">
        <f>IF(A113="","",posicao_contratual!Q113)</f>
        <v/>
      </c>
      <c r="R113" s="180" t="str">
        <f>IF(A113="","",posicao_contratual!U113)</f>
        <v/>
      </c>
      <c r="S113" s="180" t="str">
        <f>IF(A113="","",posicao_contratual!G113)</f>
        <v/>
      </c>
      <c r="T113" s="180" t="str">
        <f>IF(A113="","",posicao_contratual!K113)</f>
        <v/>
      </c>
      <c r="U113" s="180" t="str">
        <f>IF(A113="","",posicao_contratual!O113)</f>
        <v/>
      </c>
      <c r="V113" s="180" t="str">
        <f>IF(A113="","",posicao_contratual!S113)</f>
        <v/>
      </c>
      <c r="W113" s="180" t="str">
        <f>IF(A113="","",posicao_contratual!W113)</f>
        <v/>
      </c>
    </row>
    <row r="114" spans="1:23" x14ac:dyDescent="0.35">
      <c r="A114" s="111" t="str">
        <f>IF(itens_Remanesc!A114="","",itens_Remanesc!A114)</f>
        <v/>
      </c>
      <c r="B114" s="110" t="str">
        <f>IF(posicao_contratual!A114="","",posicao_contratual!E114)</f>
        <v/>
      </c>
      <c r="C114" s="104" t="str">
        <f>IF(itens_Remanesc!A114="","",itens_Remanesc!C114)</f>
        <v/>
      </c>
      <c r="D114" s="104" t="str">
        <f t="shared" si="15"/>
        <v/>
      </c>
      <c r="E114" s="104" t="str">
        <f t="shared" si="16"/>
        <v/>
      </c>
      <c r="F114" s="104" t="str">
        <f t="shared" si="17"/>
        <v/>
      </c>
      <c r="G114" s="104" t="str">
        <f t="shared" si="18"/>
        <v/>
      </c>
      <c r="H114" s="149" t="str">
        <f t="shared" si="19"/>
        <v/>
      </c>
      <c r="I114" s="15"/>
      <c r="J114" s="15"/>
      <c r="K114" s="15"/>
      <c r="L114" s="15"/>
      <c r="M114" s="15"/>
      <c r="N114" s="180" t="str">
        <f>IF(A114="","",posicao_contratual!E114)</f>
        <v/>
      </c>
      <c r="O114" s="180" t="str">
        <f>IF(A114="","",posicao_contratual!I114)</f>
        <v/>
      </c>
      <c r="P114" s="180" t="str">
        <f>IF(A114="","",posicao_contratual!M114)</f>
        <v/>
      </c>
      <c r="Q114" s="180" t="str">
        <f>IF(A114="","",posicao_contratual!Q114)</f>
        <v/>
      </c>
      <c r="R114" s="180" t="str">
        <f>IF(A114="","",posicao_contratual!U114)</f>
        <v/>
      </c>
      <c r="S114" s="180" t="str">
        <f>IF(A114="","",posicao_contratual!G114)</f>
        <v/>
      </c>
      <c r="T114" s="180" t="str">
        <f>IF(A114="","",posicao_contratual!K114)</f>
        <v/>
      </c>
      <c r="U114" s="180" t="str">
        <f>IF(A114="","",posicao_contratual!O114)</f>
        <v/>
      </c>
      <c r="V114" s="180" t="str">
        <f>IF(A114="","",posicao_contratual!S114)</f>
        <v/>
      </c>
      <c r="W114" s="180" t="str">
        <f>IF(A114="","",posicao_contratual!W114)</f>
        <v/>
      </c>
    </row>
    <row r="115" spans="1:23" x14ac:dyDescent="0.35">
      <c r="A115" s="111" t="str">
        <f>IF(itens_Remanesc!A115="","",itens_Remanesc!A115)</f>
        <v/>
      </c>
      <c r="B115" s="110" t="str">
        <f>IF(posicao_contratual!A115="","",posicao_contratual!E115)</f>
        <v/>
      </c>
      <c r="C115" s="104" t="str">
        <f>IF(itens_Remanesc!A115="","",itens_Remanesc!C115)</f>
        <v/>
      </c>
      <c r="D115" s="104" t="str">
        <f t="shared" si="15"/>
        <v/>
      </c>
      <c r="E115" s="104" t="str">
        <f t="shared" si="16"/>
        <v/>
      </c>
      <c r="F115" s="104" t="str">
        <f t="shared" si="17"/>
        <v/>
      </c>
      <c r="G115" s="104" t="str">
        <f t="shared" si="18"/>
        <v/>
      </c>
      <c r="H115" s="149" t="str">
        <f t="shared" si="19"/>
        <v/>
      </c>
      <c r="I115" s="15"/>
      <c r="J115" s="15"/>
      <c r="K115" s="15"/>
      <c r="L115" s="15"/>
      <c r="M115" s="15"/>
      <c r="N115" s="180" t="str">
        <f>IF(A115="","",posicao_contratual!E115)</f>
        <v/>
      </c>
      <c r="O115" s="180" t="str">
        <f>IF(A115="","",posicao_contratual!I115)</f>
        <v/>
      </c>
      <c r="P115" s="180" t="str">
        <f>IF(A115="","",posicao_contratual!M115)</f>
        <v/>
      </c>
      <c r="Q115" s="180" t="str">
        <f>IF(A115="","",posicao_contratual!Q115)</f>
        <v/>
      </c>
      <c r="R115" s="180" t="str">
        <f>IF(A115="","",posicao_contratual!U115)</f>
        <v/>
      </c>
      <c r="S115" s="180" t="str">
        <f>IF(A115="","",posicao_contratual!G115)</f>
        <v/>
      </c>
      <c r="T115" s="180" t="str">
        <f>IF(A115="","",posicao_contratual!K115)</f>
        <v/>
      </c>
      <c r="U115" s="180" t="str">
        <f>IF(A115="","",posicao_contratual!O115)</f>
        <v/>
      </c>
      <c r="V115" s="180" t="str">
        <f>IF(A115="","",posicao_contratual!S115)</f>
        <v/>
      </c>
      <c r="W115" s="180" t="str">
        <f>IF(A115="","",posicao_contratual!W115)</f>
        <v/>
      </c>
    </row>
    <row r="116" spans="1:23" x14ac:dyDescent="0.35">
      <c r="A116" s="111" t="str">
        <f>IF(itens_Remanesc!A116="","",itens_Remanesc!A116)</f>
        <v/>
      </c>
      <c r="B116" s="110" t="str">
        <f>IF(posicao_contratual!A116="","",posicao_contratual!E116)</f>
        <v/>
      </c>
      <c r="C116" s="104" t="str">
        <f>IF(itens_Remanesc!A116="","",itens_Remanesc!C116)</f>
        <v/>
      </c>
      <c r="D116" s="104" t="str">
        <f t="shared" si="15"/>
        <v/>
      </c>
      <c r="E116" s="104" t="str">
        <f t="shared" si="16"/>
        <v/>
      </c>
      <c r="F116" s="104" t="str">
        <f t="shared" si="17"/>
        <v/>
      </c>
      <c r="G116" s="104" t="str">
        <f t="shared" si="18"/>
        <v/>
      </c>
      <c r="H116" s="149" t="str">
        <f t="shared" si="19"/>
        <v/>
      </c>
      <c r="I116" s="15"/>
      <c r="J116" s="15"/>
      <c r="K116" s="15"/>
      <c r="L116" s="15"/>
      <c r="M116" s="15"/>
      <c r="N116" s="180" t="str">
        <f>IF(A116="","",posicao_contratual!E116)</f>
        <v/>
      </c>
      <c r="O116" s="180" t="str">
        <f>IF(A116="","",posicao_contratual!I116)</f>
        <v/>
      </c>
      <c r="P116" s="180" t="str">
        <f>IF(A116="","",posicao_contratual!M116)</f>
        <v/>
      </c>
      <c r="Q116" s="180" t="str">
        <f>IF(A116="","",posicao_contratual!Q116)</f>
        <v/>
      </c>
      <c r="R116" s="180" t="str">
        <f>IF(A116="","",posicao_contratual!U116)</f>
        <v/>
      </c>
      <c r="S116" s="180" t="str">
        <f>IF(A116="","",posicao_contratual!G116)</f>
        <v/>
      </c>
      <c r="T116" s="180" t="str">
        <f>IF(A116="","",posicao_contratual!K116)</f>
        <v/>
      </c>
      <c r="U116" s="180" t="str">
        <f>IF(A116="","",posicao_contratual!O116)</f>
        <v/>
      </c>
      <c r="V116" s="180" t="str">
        <f>IF(A116="","",posicao_contratual!S116)</f>
        <v/>
      </c>
      <c r="W116" s="180" t="str">
        <f>IF(A116="","",posicao_contratual!W116)</f>
        <v/>
      </c>
    </row>
    <row r="117" spans="1:23" x14ac:dyDescent="0.35">
      <c r="A117" s="111" t="str">
        <f>IF(itens_Remanesc!A117="","",itens_Remanesc!A117)</f>
        <v/>
      </c>
      <c r="B117" s="110" t="str">
        <f>IF(posicao_contratual!A117="","",posicao_contratual!E117)</f>
        <v/>
      </c>
      <c r="C117" s="104" t="str">
        <f>IF(itens_Remanesc!A117="","",itens_Remanesc!C117)</f>
        <v/>
      </c>
      <c r="D117" s="104" t="str">
        <f t="shared" si="15"/>
        <v/>
      </c>
      <c r="E117" s="104" t="str">
        <f t="shared" si="16"/>
        <v/>
      </c>
      <c r="F117" s="104" t="str">
        <f t="shared" si="17"/>
        <v/>
      </c>
      <c r="G117" s="104" t="str">
        <f t="shared" si="18"/>
        <v/>
      </c>
      <c r="H117" s="149" t="str">
        <f t="shared" si="19"/>
        <v/>
      </c>
      <c r="I117" s="15"/>
      <c r="J117" s="15"/>
      <c r="K117" s="15"/>
      <c r="L117" s="15"/>
      <c r="M117" s="15"/>
      <c r="N117" s="180" t="str">
        <f>IF(A117="","",posicao_contratual!E117)</f>
        <v/>
      </c>
      <c r="O117" s="180" t="str">
        <f>IF(A117="","",posicao_contratual!I117)</f>
        <v/>
      </c>
      <c r="P117" s="180" t="str">
        <f>IF(A117="","",posicao_contratual!M117)</f>
        <v/>
      </c>
      <c r="Q117" s="180" t="str">
        <f>IF(A117="","",posicao_contratual!Q117)</f>
        <v/>
      </c>
      <c r="R117" s="180" t="str">
        <f>IF(A117="","",posicao_contratual!U117)</f>
        <v/>
      </c>
      <c r="S117" s="180" t="str">
        <f>IF(A117="","",posicao_contratual!G117)</f>
        <v/>
      </c>
      <c r="T117" s="180" t="str">
        <f>IF(A117="","",posicao_contratual!K117)</f>
        <v/>
      </c>
      <c r="U117" s="180" t="str">
        <f>IF(A117="","",posicao_contratual!O117)</f>
        <v/>
      </c>
      <c r="V117" s="180" t="str">
        <f>IF(A117="","",posicao_contratual!S117)</f>
        <v/>
      </c>
      <c r="W117" s="180" t="str">
        <f>IF(A117="","",posicao_contratual!W117)</f>
        <v/>
      </c>
    </row>
    <row r="118" spans="1:23" x14ac:dyDescent="0.35">
      <c r="A118" s="111" t="str">
        <f>IF(itens_Remanesc!A118="","",itens_Remanesc!A118)</f>
        <v/>
      </c>
      <c r="B118" s="110" t="str">
        <f>IF(posicao_contratual!A118="","",posicao_contratual!E118)</f>
        <v/>
      </c>
      <c r="C118" s="104" t="str">
        <f>IF(itens_Remanesc!A118="","",itens_Remanesc!C118)</f>
        <v/>
      </c>
      <c r="D118" s="104" t="str">
        <f t="shared" si="15"/>
        <v/>
      </c>
      <c r="E118" s="104" t="str">
        <f t="shared" si="16"/>
        <v/>
      </c>
      <c r="F118" s="104" t="str">
        <f t="shared" si="17"/>
        <v/>
      </c>
      <c r="G118" s="104" t="str">
        <f t="shared" si="18"/>
        <v/>
      </c>
      <c r="H118" s="149" t="str">
        <f t="shared" si="19"/>
        <v/>
      </c>
      <c r="I118" s="15"/>
      <c r="J118" s="15"/>
      <c r="K118" s="15"/>
      <c r="L118" s="15"/>
      <c r="M118" s="15"/>
      <c r="N118" s="180" t="str">
        <f>IF(A118="","",posicao_contratual!E118)</f>
        <v/>
      </c>
      <c r="O118" s="180" t="str">
        <f>IF(A118="","",posicao_contratual!I118)</f>
        <v/>
      </c>
      <c r="P118" s="180" t="str">
        <f>IF(A118="","",posicao_contratual!M118)</f>
        <v/>
      </c>
      <c r="Q118" s="180" t="str">
        <f>IF(A118="","",posicao_contratual!Q118)</f>
        <v/>
      </c>
      <c r="R118" s="180" t="str">
        <f>IF(A118="","",posicao_contratual!U118)</f>
        <v/>
      </c>
      <c r="S118" s="180" t="str">
        <f>IF(A118="","",posicao_contratual!G118)</f>
        <v/>
      </c>
      <c r="T118" s="180" t="str">
        <f>IF(A118="","",posicao_contratual!K118)</f>
        <v/>
      </c>
      <c r="U118" s="180" t="str">
        <f>IF(A118="","",posicao_contratual!O118)</f>
        <v/>
      </c>
      <c r="V118" s="180" t="str">
        <f>IF(A118="","",posicao_contratual!S118)</f>
        <v/>
      </c>
      <c r="W118" s="180" t="str">
        <f>IF(A118="","",posicao_contratual!W118)</f>
        <v/>
      </c>
    </row>
    <row r="119" spans="1:23" x14ac:dyDescent="0.35">
      <c r="A119" s="111" t="str">
        <f>IF(itens_Remanesc!A119="","",itens_Remanesc!A119)</f>
        <v/>
      </c>
      <c r="B119" s="110" t="str">
        <f>IF(posicao_contratual!A119="","",posicao_contratual!E119)</f>
        <v/>
      </c>
      <c r="C119" s="104" t="str">
        <f>IF(itens_Remanesc!A119="","",itens_Remanesc!C119)</f>
        <v/>
      </c>
      <c r="D119" s="104" t="str">
        <f t="shared" si="15"/>
        <v/>
      </c>
      <c r="E119" s="104" t="str">
        <f t="shared" si="16"/>
        <v/>
      </c>
      <c r="F119" s="104" t="str">
        <f t="shared" si="17"/>
        <v/>
      </c>
      <c r="G119" s="104" t="str">
        <f t="shared" si="18"/>
        <v/>
      </c>
      <c r="H119" s="149" t="str">
        <f t="shared" si="19"/>
        <v/>
      </c>
      <c r="I119" s="15"/>
      <c r="J119" s="15"/>
      <c r="K119" s="15"/>
      <c r="L119" s="15"/>
      <c r="M119" s="15"/>
      <c r="N119" s="180" t="str">
        <f>IF(A119="","",posicao_contratual!E119)</f>
        <v/>
      </c>
      <c r="O119" s="180" t="str">
        <f>IF(A119="","",posicao_contratual!I119)</f>
        <v/>
      </c>
      <c r="P119" s="180" t="str">
        <f>IF(A119="","",posicao_contratual!M119)</f>
        <v/>
      </c>
      <c r="Q119" s="180" t="str">
        <f>IF(A119="","",posicao_contratual!Q119)</f>
        <v/>
      </c>
      <c r="R119" s="180" t="str">
        <f>IF(A119="","",posicao_contratual!U119)</f>
        <v/>
      </c>
      <c r="S119" s="180" t="str">
        <f>IF(A119="","",posicao_contratual!G119)</f>
        <v/>
      </c>
      <c r="T119" s="180" t="str">
        <f>IF(A119="","",posicao_contratual!K119)</f>
        <v/>
      </c>
      <c r="U119" s="180" t="str">
        <f>IF(A119="","",posicao_contratual!O119)</f>
        <v/>
      </c>
      <c r="V119" s="180" t="str">
        <f>IF(A119="","",posicao_contratual!S119)</f>
        <v/>
      </c>
      <c r="W119" s="180" t="str">
        <f>IF(A119="","",posicao_contratual!W119)</f>
        <v/>
      </c>
    </row>
    <row r="120" spans="1:23" x14ac:dyDescent="0.35">
      <c r="A120" s="111" t="str">
        <f>IF(itens_Remanesc!A120="","",itens_Remanesc!A120)</f>
        <v/>
      </c>
      <c r="B120" s="110" t="str">
        <f>IF(posicao_contratual!A120="","",posicao_contratual!E120)</f>
        <v/>
      </c>
      <c r="C120" s="104" t="str">
        <f>IF(itens_Remanesc!A120="","",itens_Remanesc!C120)</f>
        <v/>
      </c>
      <c r="D120" s="104" t="str">
        <f t="shared" si="15"/>
        <v/>
      </c>
      <c r="E120" s="104" t="str">
        <f t="shared" si="16"/>
        <v/>
      </c>
      <c r="F120" s="104" t="str">
        <f t="shared" si="17"/>
        <v/>
      </c>
      <c r="G120" s="104" t="str">
        <f t="shared" si="18"/>
        <v/>
      </c>
      <c r="H120" s="149" t="str">
        <f t="shared" si="19"/>
        <v/>
      </c>
      <c r="I120" s="15"/>
      <c r="J120" s="15"/>
      <c r="K120" s="15"/>
      <c r="L120" s="15"/>
      <c r="M120" s="15"/>
      <c r="N120" s="180" t="str">
        <f>IF(A120="","",posicao_contratual!E120)</f>
        <v/>
      </c>
      <c r="O120" s="180" t="str">
        <f>IF(A120="","",posicao_contratual!I120)</f>
        <v/>
      </c>
      <c r="P120" s="180" t="str">
        <f>IF(A120="","",posicao_contratual!M120)</f>
        <v/>
      </c>
      <c r="Q120" s="180" t="str">
        <f>IF(A120="","",posicao_contratual!Q120)</f>
        <v/>
      </c>
      <c r="R120" s="180" t="str">
        <f>IF(A120="","",posicao_contratual!U120)</f>
        <v/>
      </c>
      <c r="S120" s="180" t="str">
        <f>IF(A120="","",posicao_contratual!G120)</f>
        <v/>
      </c>
      <c r="T120" s="180" t="str">
        <f>IF(A120="","",posicao_contratual!K120)</f>
        <v/>
      </c>
      <c r="U120" s="180" t="str">
        <f>IF(A120="","",posicao_contratual!O120)</f>
        <v/>
      </c>
      <c r="V120" s="180" t="str">
        <f>IF(A120="","",posicao_contratual!S120)</f>
        <v/>
      </c>
      <c r="W120" s="180" t="str">
        <f>IF(A120="","",posicao_contratual!W120)</f>
        <v/>
      </c>
    </row>
    <row r="121" spans="1:23" x14ac:dyDescent="0.35">
      <c r="A121" s="111" t="str">
        <f>IF(itens_Remanesc!A121="","",itens_Remanesc!A121)</f>
        <v/>
      </c>
      <c r="B121" s="110" t="str">
        <f>IF(posicao_contratual!A121="","",posicao_contratual!E121)</f>
        <v/>
      </c>
      <c r="C121" s="104" t="str">
        <f>IF(itens_Remanesc!A121="","",itens_Remanesc!C121)</f>
        <v/>
      </c>
      <c r="D121" s="104" t="str">
        <f t="shared" si="15"/>
        <v/>
      </c>
      <c r="E121" s="104" t="str">
        <f t="shared" si="16"/>
        <v/>
      </c>
      <c r="F121" s="104" t="str">
        <f t="shared" si="17"/>
        <v/>
      </c>
      <c r="G121" s="104" t="str">
        <f t="shared" si="18"/>
        <v/>
      </c>
      <c r="H121" s="149" t="str">
        <f t="shared" si="19"/>
        <v/>
      </c>
      <c r="I121" s="15"/>
      <c r="J121" s="15"/>
      <c r="K121" s="15"/>
      <c r="L121" s="15"/>
      <c r="M121" s="15"/>
      <c r="N121" s="180" t="str">
        <f>IF(A121="","",posicao_contratual!E121)</f>
        <v/>
      </c>
      <c r="O121" s="180" t="str">
        <f>IF(A121="","",posicao_contratual!I121)</f>
        <v/>
      </c>
      <c r="P121" s="180" t="str">
        <f>IF(A121="","",posicao_contratual!M121)</f>
        <v/>
      </c>
      <c r="Q121" s="180" t="str">
        <f>IF(A121="","",posicao_contratual!Q121)</f>
        <v/>
      </c>
      <c r="R121" s="180" t="str">
        <f>IF(A121="","",posicao_contratual!U121)</f>
        <v/>
      </c>
      <c r="S121" s="180" t="str">
        <f>IF(A121="","",posicao_contratual!G121)</f>
        <v/>
      </c>
      <c r="T121" s="180" t="str">
        <f>IF(A121="","",posicao_contratual!K121)</f>
        <v/>
      </c>
      <c r="U121" s="180" t="str">
        <f>IF(A121="","",posicao_contratual!O121)</f>
        <v/>
      </c>
      <c r="V121" s="180" t="str">
        <f>IF(A121="","",posicao_contratual!S121)</f>
        <v/>
      </c>
      <c r="W121" s="180" t="str">
        <f>IF(A121="","",posicao_contratual!W121)</f>
        <v/>
      </c>
    </row>
    <row r="122" spans="1:23" x14ac:dyDescent="0.35">
      <c r="A122" s="111" t="str">
        <f>IF(itens_Remanesc!A122="","",itens_Remanesc!A122)</f>
        <v/>
      </c>
      <c r="B122" s="110" t="str">
        <f>IF(posicao_contratual!A122="","",posicao_contratual!E122)</f>
        <v/>
      </c>
      <c r="C122" s="104" t="str">
        <f>IF(itens_Remanesc!A122="","",itens_Remanesc!C122)</f>
        <v/>
      </c>
      <c r="D122" s="104" t="str">
        <f t="shared" si="15"/>
        <v/>
      </c>
      <c r="E122" s="104" t="str">
        <f t="shared" si="16"/>
        <v/>
      </c>
      <c r="F122" s="104" t="str">
        <f t="shared" si="17"/>
        <v/>
      </c>
      <c r="G122" s="104" t="str">
        <f t="shared" si="18"/>
        <v/>
      </c>
      <c r="H122" s="149" t="str">
        <f t="shared" si="19"/>
        <v/>
      </c>
      <c r="I122" s="15"/>
      <c r="J122" s="15"/>
      <c r="K122" s="15"/>
      <c r="L122" s="15"/>
      <c r="M122" s="15"/>
      <c r="N122" s="180" t="str">
        <f>IF(A122="","",posicao_contratual!E122)</f>
        <v/>
      </c>
      <c r="O122" s="180" t="str">
        <f>IF(A122="","",posicao_contratual!I122)</f>
        <v/>
      </c>
      <c r="P122" s="180" t="str">
        <f>IF(A122="","",posicao_contratual!M122)</f>
        <v/>
      </c>
      <c r="Q122" s="180" t="str">
        <f>IF(A122="","",posicao_contratual!Q122)</f>
        <v/>
      </c>
      <c r="R122" s="180" t="str">
        <f>IF(A122="","",posicao_contratual!U122)</f>
        <v/>
      </c>
      <c r="S122" s="180" t="str">
        <f>IF(A122="","",posicao_contratual!G122)</f>
        <v/>
      </c>
      <c r="T122" s="180" t="str">
        <f>IF(A122="","",posicao_contratual!K122)</f>
        <v/>
      </c>
      <c r="U122" s="180" t="str">
        <f>IF(A122="","",posicao_contratual!O122)</f>
        <v/>
      </c>
      <c r="V122" s="180" t="str">
        <f>IF(A122="","",posicao_contratual!S122)</f>
        <v/>
      </c>
      <c r="W122" s="180" t="str">
        <f>IF(A122="","",posicao_contratual!W122)</f>
        <v/>
      </c>
    </row>
    <row r="123" spans="1:23" x14ac:dyDescent="0.35">
      <c r="A123" s="111" t="str">
        <f>IF(itens_Remanesc!A123="","",itens_Remanesc!A123)</f>
        <v/>
      </c>
      <c r="B123" s="110" t="str">
        <f>IF(posicao_contratual!A123="","",posicao_contratual!E123)</f>
        <v/>
      </c>
      <c r="C123" s="104" t="str">
        <f>IF(itens_Remanesc!A123="","",itens_Remanesc!C123)</f>
        <v/>
      </c>
      <c r="D123" s="104" t="str">
        <f t="shared" si="15"/>
        <v/>
      </c>
      <c r="E123" s="104" t="str">
        <f t="shared" si="16"/>
        <v/>
      </c>
      <c r="F123" s="104" t="str">
        <f t="shared" si="17"/>
        <v/>
      </c>
      <c r="G123" s="104" t="str">
        <f t="shared" si="18"/>
        <v/>
      </c>
      <c r="H123" s="149" t="str">
        <f t="shared" si="19"/>
        <v/>
      </c>
      <c r="I123" s="15"/>
      <c r="J123" s="15"/>
      <c r="K123" s="15"/>
      <c r="L123" s="15"/>
      <c r="M123" s="15"/>
      <c r="N123" s="180" t="str">
        <f>IF(A123="","",posicao_contratual!E123)</f>
        <v/>
      </c>
      <c r="O123" s="180" t="str">
        <f>IF(A123="","",posicao_contratual!I123)</f>
        <v/>
      </c>
      <c r="P123" s="180" t="str">
        <f>IF(A123="","",posicao_contratual!M123)</f>
        <v/>
      </c>
      <c r="Q123" s="180" t="str">
        <f>IF(A123="","",posicao_contratual!Q123)</f>
        <v/>
      </c>
      <c r="R123" s="180" t="str">
        <f>IF(A123="","",posicao_contratual!U123)</f>
        <v/>
      </c>
      <c r="S123" s="180" t="str">
        <f>IF(A123="","",posicao_contratual!G123)</f>
        <v/>
      </c>
      <c r="T123" s="180" t="str">
        <f>IF(A123="","",posicao_contratual!K123)</f>
        <v/>
      </c>
      <c r="U123" s="180" t="str">
        <f>IF(A123="","",posicao_contratual!O123)</f>
        <v/>
      </c>
      <c r="V123" s="180" t="str">
        <f>IF(A123="","",posicao_contratual!S123)</f>
        <v/>
      </c>
      <c r="W123" s="180" t="str">
        <f>IF(A123="","",posicao_contratual!W123)</f>
        <v/>
      </c>
    </row>
    <row r="124" spans="1:23" x14ac:dyDescent="0.35">
      <c r="A124" s="111" t="str">
        <f>IF(itens_Remanesc!A124="","",itens_Remanesc!A124)</f>
        <v/>
      </c>
      <c r="B124" s="110" t="str">
        <f>IF(posicao_contratual!A124="","",posicao_contratual!E124)</f>
        <v/>
      </c>
      <c r="C124" s="104" t="str">
        <f>IF(itens_Remanesc!A124="","",itens_Remanesc!C124)</f>
        <v/>
      </c>
      <c r="D124" s="104" t="str">
        <f t="shared" si="15"/>
        <v/>
      </c>
      <c r="E124" s="104" t="str">
        <f t="shared" si="16"/>
        <v/>
      </c>
      <c r="F124" s="104" t="str">
        <f t="shared" si="17"/>
        <v/>
      </c>
      <c r="G124" s="104" t="str">
        <f t="shared" si="18"/>
        <v/>
      </c>
      <c r="H124" s="149" t="str">
        <f t="shared" si="19"/>
        <v/>
      </c>
      <c r="I124" s="15"/>
      <c r="J124" s="15"/>
      <c r="K124" s="15"/>
      <c r="L124" s="15"/>
      <c r="M124" s="15"/>
      <c r="N124" s="180" t="str">
        <f>IF(A124="","",posicao_contratual!E124)</f>
        <v/>
      </c>
      <c r="O124" s="180" t="str">
        <f>IF(A124="","",posicao_contratual!I124)</f>
        <v/>
      </c>
      <c r="P124" s="180" t="str">
        <f>IF(A124="","",posicao_contratual!M124)</f>
        <v/>
      </c>
      <c r="Q124" s="180" t="str">
        <f>IF(A124="","",posicao_contratual!Q124)</f>
        <v/>
      </c>
      <c r="R124" s="180" t="str">
        <f>IF(A124="","",posicao_contratual!U124)</f>
        <v/>
      </c>
      <c r="S124" s="180" t="str">
        <f>IF(A124="","",posicao_contratual!G124)</f>
        <v/>
      </c>
      <c r="T124" s="180" t="str">
        <f>IF(A124="","",posicao_contratual!K124)</f>
        <v/>
      </c>
      <c r="U124" s="180" t="str">
        <f>IF(A124="","",posicao_contratual!O124)</f>
        <v/>
      </c>
      <c r="V124" s="180" t="str">
        <f>IF(A124="","",posicao_contratual!S124)</f>
        <v/>
      </c>
      <c r="W124" s="180" t="str">
        <f>IF(A124="","",posicao_contratual!W124)</f>
        <v/>
      </c>
    </row>
    <row r="125" spans="1:23" x14ac:dyDescent="0.35">
      <c r="A125" s="111" t="str">
        <f>IF(itens_Remanesc!A125="","",itens_Remanesc!A125)</f>
        <v/>
      </c>
      <c r="B125" s="110" t="str">
        <f>IF(posicao_contratual!A125="","",posicao_contratual!E125)</f>
        <v/>
      </c>
      <c r="C125" s="104" t="str">
        <f>IF(itens_Remanesc!A125="","",itens_Remanesc!C125)</f>
        <v/>
      </c>
      <c r="D125" s="104" t="str">
        <f t="shared" si="15"/>
        <v/>
      </c>
      <c r="E125" s="104" t="str">
        <f t="shared" si="16"/>
        <v/>
      </c>
      <c r="F125" s="104" t="str">
        <f t="shared" si="17"/>
        <v/>
      </c>
      <c r="G125" s="104" t="str">
        <f t="shared" si="18"/>
        <v/>
      </c>
      <c r="H125" s="149" t="str">
        <f t="shared" si="19"/>
        <v/>
      </c>
      <c r="I125" s="15"/>
      <c r="J125" s="15"/>
      <c r="K125" s="15"/>
      <c r="L125" s="15"/>
      <c r="M125" s="15"/>
      <c r="N125" s="180" t="str">
        <f>IF(A125="","",posicao_contratual!E125)</f>
        <v/>
      </c>
      <c r="O125" s="180" t="str">
        <f>IF(A125="","",posicao_contratual!I125)</f>
        <v/>
      </c>
      <c r="P125" s="180" t="str">
        <f>IF(A125="","",posicao_contratual!M125)</f>
        <v/>
      </c>
      <c r="Q125" s="180" t="str">
        <f>IF(A125="","",posicao_contratual!Q125)</f>
        <v/>
      </c>
      <c r="R125" s="180" t="str">
        <f>IF(A125="","",posicao_contratual!U125)</f>
        <v/>
      </c>
      <c r="S125" s="180" t="str">
        <f>IF(A125="","",posicao_contratual!G125)</f>
        <v/>
      </c>
      <c r="T125" s="180" t="str">
        <f>IF(A125="","",posicao_contratual!K125)</f>
        <v/>
      </c>
      <c r="U125" s="180" t="str">
        <f>IF(A125="","",posicao_contratual!O125)</f>
        <v/>
      </c>
      <c r="V125" s="180" t="str">
        <f>IF(A125="","",posicao_contratual!S125)</f>
        <v/>
      </c>
      <c r="W125" s="180" t="str">
        <f>IF(A125="","",posicao_contratual!W125)</f>
        <v/>
      </c>
    </row>
    <row r="126" spans="1:23" x14ac:dyDescent="0.35">
      <c r="A126" s="111" t="str">
        <f>IF(itens_Remanesc!A126="","",itens_Remanesc!A126)</f>
        <v/>
      </c>
      <c r="B126" s="110" t="str">
        <f>IF(posicao_contratual!A126="","",posicao_contratual!E126)</f>
        <v/>
      </c>
      <c r="C126" s="104" t="str">
        <f>IF(itens_Remanesc!A126="","",itens_Remanesc!C126)</f>
        <v/>
      </c>
      <c r="D126" s="104" t="str">
        <f t="shared" si="15"/>
        <v/>
      </c>
      <c r="E126" s="104" t="str">
        <f t="shared" si="16"/>
        <v/>
      </c>
      <c r="F126" s="104" t="str">
        <f t="shared" si="17"/>
        <v/>
      </c>
      <c r="G126" s="104" t="str">
        <f t="shared" si="18"/>
        <v/>
      </c>
      <c r="H126" s="149" t="str">
        <f t="shared" si="19"/>
        <v/>
      </c>
      <c r="I126" s="15"/>
      <c r="J126" s="15"/>
      <c r="K126" s="15"/>
      <c r="L126" s="15"/>
      <c r="M126" s="15"/>
      <c r="N126" s="180" t="str">
        <f>IF(A126="","",posicao_contratual!E126)</f>
        <v/>
      </c>
      <c r="O126" s="180" t="str">
        <f>IF(A126="","",posicao_contratual!I126)</f>
        <v/>
      </c>
      <c r="P126" s="180" t="str">
        <f>IF(A126="","",posicao_contratual!M126)</f>
        <v/>
      </c>
      <c r="Q126" s="180" t="str">
        <f>IF(A126="","",posicao_contratual!Q126)</f>
        <v/>
      </c>
      <c r="R126" s="180" t="str">
        <f>IF(A126="","",posicao_contratual!U126)</f>
        <v/>
      </c>
      <c r="S126" s="180" t="str">
        <f>IF(A126="","",posicao_contratual!G126)</f>
        <v/>
      </c>
      <c r="T126" s="180" t="str">
        <f>IF(A126="","",posicao_contratual!K126)</f>
        <v/>
      </c>
      <c r="U126" s="180" t="str">
        <f>IF(A126="","",posicao_contratual!O126)</f>
        <v/>
      </c>
      <c r="V126" s="180" t="str">
        <f>IF(A126="","",posicao_contratual!S126)</f>
        <v/>
      </c>
      <c r="W126" s="180" t="str">
        <f>IF(A126="","",posicao_contratual!W126)</f>
        <v/>
      </c>
    </row>
    <row r="127" spans="1:23" x14ac:dyDescent="0.35">
      <c r="A127" s="111" t="str">
        <f>IF(itens_Remanesc!A127="","",itens_Remanesc!A127)</f>
        <v/>
      </c>
      <c r="B127" s="110" t="str">
        <f>IF(posicao_contratual!A127="","",posicao_contratual!E127)</f>
        <v/>
      </c>
      <c r="C127" s="104" t="str">
        <f>IF(itens_Remanesc!A127="","",itens_Remanesc!C127)</f>
        <v/>
      </c>
      <c r="D127" s="104" t="str">
        <f t="shared" si="15"/>
        <v/>
      </c>
      <c r="E127" s="104" t="str">
        <f t="shared" si="16"/>
        <v/>
      </c>
      <c r="F127" s="104" t="str">
        <f t="shared" si="17"/>
        <v/>
      </c>
      <c r="G127" s="104" t="str">
        <f t="shared" si="18"/>
        <v/>
      </c>
      <c r="H127" s="149" t="str">
        <f t="shared" si="19"/>
        <v/>
      </c>
      <c r="I127" s="15"/>
      <c r="J127" s="15"/>
      <c r="K127" s="15"/>
      <c r="L127" s="15"/>
      <c r="M127" s="15"/>
      <c r="N127" s="180" t="str">
        <f>IF(A127="","",posicao_contratual!E127)</f>
        <v/>
      </c>
      <c r="O127" s="180" t="str">
        <f>IF(A127="","",posicao_contratual!I127)</f>
        <v/>
      </c>
      <c r="P127" s="180" t="str">
        <f>IF(A127="","",posicao_contratual!M127)</f>
        <v/>
      </c>
      <c r="Q127" s="180" t="str">
        <f>IF(A127="","",posicao_contratual!Q127)</f>
        <v/>
      </c>
      <c r="R127" s="180" t="str">
        <f>IF(A127="","",posicao_contratual!U127)</f>
        <v/>
      </c>
      <c r="S127" s="180" t="str">
        <f>IF(A127="","",posicao_contratual!G127)</f>
        <v/>
      </c>
      <c r="T127" s="180" t="str">
        <f>IF(A127="","",posicao_contratual!K127)</f>
        <v/>
      </c>
      <c r="U127" s="180" t="str">
        <f>IF(A127="","",posicao_contratual!O127)</f>
        <v/>
      </c>
      <c r="V127" s="180" t="str">
        <f>IF(A127="","",posicao_contratual!S127)</f>
        <v/>
      </c>
      <c r="W127" s="180" t="str">
        <f>IF(A127="","",posicao_contratual!W127)</f>
        <v/>
      </c>
    </row>
    <row r="128" spans="1:23" x14ac:dyDescent="0.35">
      <c r="A128" s="111" t="str">
        <f>IF(itens_Remanesc!A128="","",itens_Remanesc!A128)</f>
        <v/>
      </c>
      <c r="B128" s="110" t="str">
        <f>IF(posicao_contratual!A128="","",posicao_contratual!E128)</f>
        <v/>
      </c>
      <c r="C128" s="104" t="str">
        <f>IF(itens_Remanesc!A128="","",itens_Remanesc!C128)</f>
        <v/>
      </c>
      <c r="D128" s="104" t="str">
        <f t="shared" si="15"/>
        <v/>
      </c>
      <c r="E128" s="104" t="str">
        <f t="shared" si="16"/>
        <v/>
      </c>
      <c r="F128" s="104" t="str">
        <f t="shared" si="17"/>
        <v/>
      </c>
      <c r="G128" s="104" t="str">
        <f t="shared" si="18"/>
        <v/>
      </c>
      <c r="H128" s="149" t="str">
        <f t="shared" si="19"/>
        <v/>
      </c>
      <c r="I128" s="15"/>
      <c r="J128" s="15"/>
      <c r="K128" s="15"/>
      <c r="L128" s="15"/>
      <c r="M128" s="15"/>
      <c r="N128" s="180" t="str">
        <f>IF(A128="","",posicao_contratual!E128)</f>
        <v/>
      </c>
      <c r="O128" s="180" t="str">
        <f>IF(A128="","",posicao_contratual!I128)</f>
        <v/>
      </c>
      <c r="P128" s="180" t="str">
        <f>IF(A128="","",posicao_contratual!M128)</f>
        <v/>
      </c>
      <c r="Q128" s="180" t="str">
        <f>IF(A128="","",posicao_contratual!Q128)</f>
        <v/>
      </c>
      <c r="R128" s="180" t="str">
        <f>IF(A128="","",posicao_contratual!U128)</f>
        <v/>
      </c>
      <c r="S128" s="180" t="str">
        <f>IF(A128="","",posicao_contratual!G128)</f>
        <v/>
      </c>
      <c r="T128" s="180" t="str">
        <f>IF(A128="","",posicao_contratual!K128)</f>
        <v/>
      </c>
      <c r="U128" s="180" t="str">
        <f>IF(A128="","",posicao_contratual!O128)</f>
        <v/>
      </c>
      <c r="V128" s="180" t="str">
        <f>IF(A128="","",posicao_contratual!S128)</f>
        <v/>
      </c>
      <c r="W128" s="180" t="str">
        <f>IF(A128="","",posicao_contratual!W128)</f>
        <v/>
      </c>
    </row>
    <row r="129" spans="1:23" x14ac:dyDescent="0.35">
      <c r="A129" s="111" t="str">
        <f>IF(itens_Remanesc!A129="","",itens_Remanesc!A129)</f>
        <v/>
      </c>
      <c r="B129" s="110" t="str">
        <f>IF(posicao_contratual!A129="","",posicao_contratual!E129)</f>
        <v/>
      </c>
      <c r="C129" s="104" t="str">
        <f>IF(itens_Remanesc!A129="","",itens_Remanesc!C129)</f>
        <v/>
      </c>
      <c r="D129" s="104" t="str">
        <f t="shared" si="15"/>
        <v/>
      </c>
      <c r="E129" s="104" t="str">
        <f t="shared" si="16"/>
        <v/>
      </c>
      <c r="F129" s="104" t="str">
        <f t="shared" si="17"/>
        <v/>
      </c>
      <c r="G129" s="104" t="str">
        <f t="shared" si="18"/>
        <v/>
      </c>
      <c r="H129" s="149" t="str">
        <f t="shared" si="19"/>
        <v/>
      </c>
      <c r="I129" s="15"/>
      <c r="J129" s="15"/>
      <c r="K129" s="15"/>
      <c r="L129" s="15"/>
      <c r="M129" s="15"/>
      <c r="N129" s="180" t="str">
        <f>IF(A129="","",posicao_contratual!E129)</f>
        <v/>
      </c>
      <c r="O129" s="180" t="str">
        <f>IF(A129="","",posicao_contratual!I129)</f>
        <v/>
      </c>
      <c r="P129" s="180" t="str">
        <f>IF(A129="","",posicao_contratual!M129)</f>
        <v/>
      </c>
      <c r="Q129" s="180" t="str">
        <f>IF(A129="","",posicao_contratual!Q129)</f>
        <v/>
      </c>
      <c r="R129" s="180" t="str">
        <f>IF(A129="","",posicao_contratual!U129)</f>
        <v/>
      </c>
      <c r="S129" s="180" t="str">
        <f>IF(A129="","",posicao_contratual!G129)</f>
        <v/>
      </c>
      <c r="T129" s="180" t="str">
        <f>IF(A129="","",posicao_contratual!K129)</f>
        <v/>
      </c>
      <c r="U129" s="180" t="str">
        <f>IF(A129="","",posicao_contratual!O129)</f>
        <v/>
      </c>
      <c r="V129" s="180" t="str">
        <f>IF(A129="","",posicao_contratual!S129)</f>
        <v/>
      </c>
      <c r="W129" s="180" t="str">
        <f>IF(A129="","",posicao_contratual!W129)</f>
        <v/>
      </c>
    </row>
    <row r="130" spans="1:23" x14ac:dyDescent="0.35">
      <c r="A130" s="111" t="str">
        <f>IF(itens_Remanesc!A130="","",itens_Remanesc!A130)</f>
        <v/>
      </c>
      <c r="B130" s="110" t="str">
        <f>IF(posicao_contratual!A130="","",posicao_contratual!E130)</f>
        <v/>
      </c>
      <c r="C130" s="104" t="str">
        <f>IF(itens_Remanesc!A130="","",itens_Remanesc!C130)</f>
        <v/>
      </c>
      <c r="D130" s="104" t="str">
        <f t="shared" ref="D130:D161" si="20">IF(OR(A130="",C130="",NOT(ISNUMBER($L$3))),"",ROUND(C130*$L$3,2))</f>
        <v/>
      </c>
      <c r="E130" s="104" t="str">
        <f t="shared" ref="E130:E161" si="21">IF(OR(A130="",C130="",NOT(ISNUMBER($L$4))),"",ROUND(C130*$L$4,2))</f>
        <v/>
      </c>
      <c r="F130" s="104" t="str">
        <f t="shared" ref="F130:F161" si="22">IF(OR(A130="",C130="",NOT(ISNUMBER($L$5))),"",ROUND(C130*$L$5,2))</f>
        <v/>
      </c>
      <c r="G130" s="104" t="str">
        <f t="shared" ref="G130:G161" si="23">IF(OR(A130="",C130="",NOT(ISNUMBER($L$6))),"",ROUND(C130*$L$6,2))</f>
        <v/>
      </c>
      <c r="H130" s="149" t="str">
        <f t="shared" ref="H130:H161" si="24">IF(OR(A130="",C130="",C130=0,NOT(ISNUMBER($L$6))),"",ROUND($L$6-1,4))</f>
        <v/>
      </c>
      <c r="I130" s="15"/>
      <c r="J130" s="15"/>
      <c r="K130" s="15"/>
      <c r="L130" s="15"/>
      <c r="M130" s="15"/>
      <c r="N130" s="180" t="str">
        <f>IF(A130="","",posicao_contratual!E130)</f>
        <v/>
      </c>
      <c r="O130" s="180" t="str">
        <f>IF(A130="","",posicao_contratual!I130)</f>
        <v/>
      </c>
      <c r="P130" s="180" t="str">
        <f>IF(A130="","",posicao_contratual!M130)</f>
        <v/>
      </c>
      <c r="Q130" s="180" t="str">
        <f>IF(A130="","",posicao_contratual!Q130)</f>
        <v/>
      </c>
      <c r="R130" s="180" t="str">
        <f>IF(A130="","",posicao_contratual!U130)</f>
        <v/>
      </c>
      <c r="S130" s="180" t="str">
        <f>IF(A130="","",posicao_contratual!G130)</f>
        <v/>
      </c>
      <c r="T130" s="180" t="str">
        <f>IF(A130="","",posicao_contratual!K130)</f>
        <v/>
      </c>
      <c r="U130" s="180" t="str">
        <f>IF(A130="","",posicao_contratual!O130)</f>
        <v/>
      </c>
      <c r="V130" s="180" t="str">
        <f>IF(A130="","",posicao_contratual!S130)</f>
        <v/>
      </c>
      <c r="W130" s="180" t="str">
        <f>IF(A130="","",posicao_contratual!W130)</f>
        <v/>
      </c>
    </row>
    <row r="131" spans="1:23" x14ac:dyDescent="0.35">
      <c r="A131" s="111" t="str">
        <f>IF(itens_Remanesc!A131="","",itens_Remanesc!A131)</f>
        <v/>
      </c>
      <c r="B131" s="110" t="str">
        <f>IF(posicao_contratual!A131="","",posicao_contratual!E131)</f>
        <v/>
      </c>
      <c r="C131" s="104" t="str">
        <f>IF(itens_Remanesc!A131="","",itens_Remanesc!C131)</f>
        <v/>
      </c>
      <c r="D131" s="104" t="str">
        <f t="shared" si="20"/>
        <v/>
      </c>
      <c r="E131" s="104" t="str">
        <f t="shared" si="21"/>
        <v/>
      </c>
      <c r="F131" s="104" t="str">
        <f t="shared" si="22"/>
        <v/>
      </c>
      <c r="G131" s="104" t="str">
        <f t="shared" si="23"/>
        <v/>
      </c>
      <c r="H131" s="149" t="str">
        <f t="shared" si="24"/>
        <v/>
      </c>
      <c r="I131" s="15"/>
      <c r="J131" s="15"/>
      <c r="K131" s="15"/>
      <c r="L131" s="15"/>
      <c r="M131" s="15"/>
      <c r="N131" s="180" t="str">
        <f>IF(A131="","",posicao_contratual!E131)</f>
        <v/>
      </c>
      <c r="O131" s="180" t="str">
        <f>IF(A131="","",posicao_contratual!I131)</f>
        <v/>
      </c>
      <c r="P131" s="180" t="str">
        <f>IF(A131="","",posicao_contratual!M131)</f>
        <v/>
      </c>
      <c r="Q131" s="180" t="str">
        <f>IF(A131="","",posicao_contratual!Q131)</f>
        <v/>
      </c>
      <c r="R131" s="180" t="str">
        <f>IF(A131="","",posicao_contratual!U131)</f>
        <v/>
      </c>
      <c r="S131" s="180" t="str">
        <f>IF(A131="","",posicao_contratual!G131)</f>
        <v/>
      </c>
      <c r="T131" s="180" t="str">
        <f>IF(A131="","",posicao_contratual!K131)</f>
        <v/>
      </c>
      <c r="U131" s="180" t="str">
        <f>IF(A131="","",posicao_contratual!O131)</f>
        <v/>
      </c>
      <c r="V131" s="180" t="str">
        <f>IF(A131="","",posicao_contratual!S131)</f>
        <v/>
      </c>
      <c r="W131" s="180" t="str">
        <f>IF(A131="","",posicao_contratual!W131)</f>
        <v/>
      </c>
    </row>
    <row r="132" spans="1:23" x14ac:dyDescent="0.35">
      <c r="A132" s="111" t="str">
        <f>IF(itens_Remanesc!A132="","",itens_Remanesc!A132)</f>
        <v/>
      </c>
      <c r="B132" s="110" t="str">
        <f>IF(posicao_contratual!A132="","",posicao_contratual!E132)</f>
        <v/>
      </c>
      <c r="C132" s="104" t="str">
        <f>IF(itens_Remanesc!A132="","",itens_Remanesc!C132)</f>
        <v/>
      </c>
      <c r="D132" s="104" t="str">
        <f t="shared" si="20"/>
        <v/>
      </c>
      <c r="E132" s="104" t="str">
        <f t="shared" si="21"/>
        <v/>
      </c>
      <c r="F132" s="104" t="str">
        <f t="shared" si="22"/>
        <v/>
      </c>
      <c r="G132" s="104" t="str">
        <f t="shared" si="23"/>
        <v/>
      </c>
      <c r="H132" s="149" t="str">
        <f t="shared" si="24"/>
        <v/>
      </c>
      <c r="I132" s="15"/>
      <c r="J132" s="15"/>
      <c r="K132" s="15"/>
      <c r="L132" s="15"/>
      <c r="M132" s="15"/>
      <c r="N132" s="180" t="str">
        <f>IF(A132="","",posicao_contratual!E132)</f>
        <v/>
      </c>
      <c r="O132" s="180" t="str">
        <f>IF(A132="","",posicao_contratual!I132)</f>
        <v/>
      </c>
      <c r="P132" s="180" t="str">
        <f>IF(A132="","",posicao_contratual!M132)</f>
        <v/>
      </c>
      <c r="Q132" s="180" t="str">
        <f>IF(A132="","",posicao_contratual!Q132)</f>
        <v/>
      </c>
      <c r="R132" s="180" t="str">
        <f>IF(A132="","",posicao_contratual!U132)</f>
        <v/>
      </c>
      <c r="S132" s="180" t="str">
        <f>IF(A132="","",posicao_contratual!G132)</f>
        <v/>
      </c>
      <c r="T132" s="180" t="str">
        <f>IF(A132="","",posicao_contratual!K132)</f>
        <v/>
      </c>
      <c r="U132" s="180" t="str">
        <f>IF(A132="","",posicao_contratual!O132)</f>
        <v/>
      </c>
      <c r="V132" s="180" t="str">
        <f>IF(A132="","",posicao_contratual!S132)</f>
        <v/>
      </c>
      <c r="W132" s="180" t="str">
        <f>IF(A132="","",posicao_contratual!W132)</f>
        <v/>
      </c>
    </row>
    <row r="133" spans="1:23" x14ac:dyDescent="0.35">
      <c r="A133" s="111" t="str">
        <f>IF(itens_Remanesc!A133="","",itens_Remanesc!A133)</f>
        <v/>
      </c>
      <c r="B133" s="110" t="str">
        <f>IF(posicao_contratual!A133="","",posicao_contratual!E133)</f>
        <v/>
      </c>
      <c r="C133" s="104" t="str">
        <f>IF(itens_Remanesc!A133="","",itens_Remanesc!C133)</f>
        <v/>
      </c>
      <c r="D133" s="104" t="str">
        <f t="shared" si="20"/>
        <v/>
      </c>
      <c r="E133" s="104" t="str">
        <f t="shared" si="21"/>
        <v/>
      </c>
      <c r="F133" s="104" t="str">
        <f t="shared" si="22"/>
        <v/>
      </c>
      <c r="G133" s="104" t="str">
        <f t="shared" si="23"/>
        <v/>
      </c>
      <c r="H133" s="149" t="str">
        <f t="shared" si="24"/>
        <v/>
      </c>
      <c r="I133" s="15"/>
      <c r="J133" s="15"/>
      <c r="K133" s="15"/>
      <c r="L133" s="15"/>
      <c r="M133" s="15"/>
      <c r="N133" s="180" t="str">
        <f>IF(A133="","",posicao_contratual!E133)</f>
        <v/>
      </c>
      <c r="O133" s="180" t="str">
        <f>IF(A133="","",posicao_contratual!I133)</f>
        <v/>
      </c>
      <c r="P133" s="180" t="str">
        <f>IF(A133="","",posicao_contratual!M133)</f>
        <v/>
      </c>
      <c r="Q133" s="180" t="str">
        <f>IF(A133="","",posicao_contratual!Q133)</f>
        <v/>
      </c>
      <c r="R133" s="180" t="str">
        <f>IF(A133="","",posicao_contratual!U133)</f>
        <v/>
      </c>
      <c r="S133" s="180" t="str">
        <f>IF(A133="","",posicao_contratual!G133)</f>
        <v/>
      </c>
      <c r="T133" s="180" t="str">
        <f>IF(A133="","",posicao_contratual!K133)</f>
        <v/>
      </c>
      <c r="U133" s="180" t="str">
        <f>IF(A133="","",posicao_contratual!O133)</f>
        <v/>
      </c>
      <c r="V133" s="180" t="str">
        <f>IF(A133="","",posicao_contratual!S133)</f>
        <v/>
      </c>
      <c r="W133" s="180" t="str">
        <f>IF(A133="","",posicao_contratual!W133)</f>
        <v/>
      </c>
    </row>
    <row r="134" spans="1:23" x14ac:dyDescent="0.35">
      <c r="A134" s="111" t="str">
        <f>IF(itens_Remanesc!A134="","",itens_Remanesc!A134)</f>
        <v/>
      </c>
      <c r="B134" s="110" t="str">
        <f>IF(posicao_contratual!A134="","",posicao_contratual!E134)</f>
        <v/>
      </c>
      <c r="C134" s="104" t="str">
        <f>IF(itens_Remanesc!A134="","",itens_Remanesc!C134)</f>
        <v/>
      </c>
      <c r="D134" s="104" t="str">
        <f t="shared" si="20"/>
        <v/>
      </c>
      <c r="E134" s="104" t="str">
        <f t="shared" si="21"/>
        <v/>
      </c>
      <c r="F134" s="104" t="str">
        <f t="shared" si="22"/>
        <v/>
      </c>
      <c r="G134" s="104" t="str">
        <f t="shared" si="23"/>
        <v/>
      </c>
      <c r="H134" s="149" t="str">
        <f t="shared" si="24"/>
        <v/>
      </c>
      <c r="I134" s="15"/>
      <c r="J134" s="15"/>
      <c r="K134" s="15"/>
      <c r="L134" s="15"/>
      <c r="M134" s="15"/>
      <c r="N134" s="180" t="str">
        <f>IF(A134="","",posicao_contratual!E134)</f>
        <v/>
      </c>
      <c r="O134" s="180" t="str">
        <f>IF(A134="","",posicao_contratual!I134)</f>
        <v/>
      </c>
      <c r="P134" s="180" t="str">
        <f>IF(A134="","",posicao_contratual!M134)</f>
        <v/>
      </c>
      <c r="Q134" s="180" t="str">
        <f>IF(A134="","",posicao_contratual!Q134)</f>
        <v/>
      </c>
      <c r="R134" s="180" t="str">
        <f>IF(A134="","",posicao_contratual!U134)</f>
        <v/>
      </c>
      <c r="S134" s="180" t="str">
        <f>IF(A134="","",posicao_contratual!G134)</f>
        <v/>
      </c>
      <c r="T134" s="180" t="str">
        <f>IF(A134="","",posicao_contratual!K134)</f>
        <v/>
      </c>
      <c r="U134" s="180" t="str">
        <f>IF(A134="","",posicao_contratual!O134)</f>
        <v/>
      </c>
      <c r="V134" s="180" t="str">
        <f>IF(A134="","",posicao_contratual!S134)</f>
        <v/>
      </c>
      <c r="W134" s="180" t="str">
        <f>IF(A134="","",posicao_contratual!W134)</f>
        <v/>
      </c>
    </row>
    <row r="135" spans="1:23" x14ac:dyDescent="0.35">
      <c r="A135" s="111" t="str">
        <f>IF(itens_Remanesc!A135="","",itens_Remanesc!A135)</f>
        <v/>
      </c>
      <c r="B135" s="110" t="str">
        <f>IF(posicao_contratual!A135="","",posicao_contratual!E135)</f>
        <v/>
      </c>
      <c r="C135" s="104" t="str">
        <f>IF(itens_Remanesc!A135="","",itens_Remanesc!C135)</f>
        <v/>
      </c>
      <c r="D135" s="104" t="str">
        <f t="shared" si="20"/>
        <v/>
      </c>
      <c r="E135" s="104" t="str">
        <f t="shared" si="21"/>
        <v/>
      </c>
      <c r="F135" s="104" t="str">
        <f t="shared" si="22"/>
        <v/>
      </c>
      <c r="G135" s="104" t="str">
        <f t="shared" si="23"/>
        <v/>
      </c>
      <c r="H135" s="149" t="str">
        <f t="shared" si="24"/>
        <v/>
      </c>
      <c r="I135" s="15"/>
      <c r="J135" s="15"/>
      <c r="K135" s="15"/>
      <c r="L135" s="15"/>
      <c r="M135" s="15"/>
      <c r="N135" s="180" t="str">
        <f>IF(A135="","",posicao_contratual!E135)</f>
        <v/>
      </c>
      <c r="O135" s="180" t="str">
        <f>IF(A135="","",posicao_contratual!I135)</f>
        <v/>
      </c>
      <c r="P135" s="180" t="str">
        <f>IF(A135="","",posicao_contratual!M135)</f>
        <v/>
      </c>
      <c r="Q135" s="180" t="str">
        <f>IF(A135="","",posicao_contratual!Q135)</f>
        <v/>
      </c>
      <c r="R135" s="180" t="str">
        <f>IF(A135="","",posicao_contratual!U135)</f>
        <v/>
      </c>
      <c r="S135" s="180" t="str">
        <f>IF(A135="","",posicao_contratual!G135)</f>
        <v/>
      </c>
      <c r="T135" s="180" t="str">
        <f>IF(A135="","",posicao_contratual!K135)</f>
        <v/>
      </c>
      <c r="U135" s="180" t="str">
        <f>IF(A135="","",posicao_contratual!O135)</f>
        <v/>
      </c>
      <c r="V135" s="180" t="str">
        <f>IF(A135="","",posicao_contratual!S135)</f>
        <v/>
      </c>
      <c r="W135" s="180" t="str">
        <f>IF(A135="","",posicao_contratual!W135)</f>
        <v/>
      </c>
    </row>
    <row r="136" spans="1:23" x14ac:dyDescent="0.35">
      <c r="A136" s="111" t="str">
        <f>IF(itens_Remanesc!A136="","",itens_Remanesc!A136)</f>
        <v/>
      </c>
      <c r="B136" s="110" t="str">
        <f>IF(posicao_contratual!A136="","",posicao_contratual!E136)</f>
        <v/>
      </c>
      <c r="C136" s="104" t="str">
        <f>IF(itens_Remanesc!A136="","",itens_Remanesc!C136)</f>
        <v/>
      </c>
      <c r="D136" s="104" t="str">
        <f t="shared" si="20"/>
        <v/>
      </c>
      <c r="E136" s="104" t="str">
        <f t="shared" si="21"/>
        <v/>
      </c>
      <c r="F136" s="104" t="str">
        <f t="shared" si="22"/>
        <v/>
      </c>
      <c r="G136" s="104" t="str">
        <f t="shared" si="23"/>
        <v/>
      </c>
      <c r="H136" s="149" t="str">
        <f t="shared" si="24"/>
        <v/>
      </c>
      <c r="I136" s="15"/>
      <c r="J136" s="15"/>
      <c r="K136" s="15"/>
      <c r="L136" s="15"/>
      <c r="M136" s="15"/>
      <c r="N136" s="180" t="str">
        <f>IF(A136="","",posicao_contratual!E136)</f>
        <v/>
      </c>
      <c r="O136" s="180" t="str">
        <f>IF(A136="","",posicao_contratual!I136)</f>
        <v/>
      </c>
      <c r="P136" s="180" t="str">
        <f>IF(A136="","",posicao_contratual!M136)</f>
        <v/>
      </c>
      <c r="Q136" s="180" t="str">
        <f>IF(A136="","",posicao_contratual!Q136)</f>
        <v/>
      </c>
      <c r="R136" s="180" t="str">
        <f>IF(A136="","",posicao_contratual!U136)</f>
        <v/>
      </c>
      <c r="S136" s="180" t="str">
        <f>IF(A136="","",posicao_contratual!G136)</f>
        <v/>
      </c>
      <c r="T136" s="180" t="str">
        <f>IF(A136="","",posicao_contratual!K136)</f>
        <v/>
      </c>
      <c r="U136" s="180" t="str">
        <f>IF(A136="","",posicao_contratual!O136)</f>
        <v/>
      </c>
      <c r="V136" s="180" t="str">
        <f>IF(A136="","",posicao_contratual!S136)</f>
        <v/>
      </c>
      <c r="W136" s="180" t="str">
        <f>IF(A136="","",posicao_contratual!W136)</f>
        <v/>
      </c>
    </row>
    <row r="137" spans="1:23" x14ac:dyDescent="0.35">
      <c r="A137" s="111" t="str">
        <f>IF(itens_Remanesc!A137="","",itens_Remanesc!A137)</f>
        <v/>
      </c>
      <c r="B137" s="110" t="str">
        <f>IF(posicao_contratual!A137="","",posicao_contratual!E137)</f>
        <v/>
      </c>
      <c r="C137" s="104" t="str">
        <f>IF(itens_Remanesc!A137="","",itens_Remanesc!C137)</f>
        <v/>
      </c>
      <c r="D137" s="104" t="str">
        <f t="shared" si="20"/>
        <v/>
      </c>
      <c r="E137" s="104" t="str">
        <f t="shared" si="21"/>
        <v/>
      </c>
      <c r="F137" s="104" t="str">
        <f t="shared" si="22"/>
        <v/>
      </c>
      <c r="G137" s="104" t="str">
        <f t="shared" si="23"/>
        <v/>
      </c>
      <c r="H137" s="149" t="str">
        <f t="shared" si="24"/>
        <v/>
      </c>
      <c r="I137" s="15"/>
      <c r="J137" s="15"/>
      <c r="K137" s="15"/>
      <c r="L137" s="15"/>
      <c r="M137" s="15"/>
      <c r="N137" s="180" t="str">
        <f>IF(A137="","",posicao_contratual!E137)</f>
        <v/>
      </c>
      <c r="O137" s="180" t="str">
        <f>IF(A137="","",posicao_contratual!I137)</f>
        <v/>
      </c>
      <c r="P137" s="180" t="str">
        <f>IF(A137="","",posicao_contratual!M137)</f>
        <v/>
      </c>
      <c r="Q137" s="180" t="str">
        <f>IF(A137="","",posicao_contratual!Q137)</f>
        <v/>
      </c>
      <c r="R137" s="180" t="str">
        <f>IF(A137="","",posicao_contratual!U137)</f>
        <v/>
      </c>
      <c r="S137" s="180" t="str">
        <f>IF(A137="","",posicao_contratual!G137)</f>
        <v/>
      </c>
      <c r="T137" s="180" t="str">
        <f>IF(A137="","",posicao_contratual!K137)</f>
        <v/>
      </c>
      <c r="U137" s="180" t="str">
        <f>IF(A137="","",posicao_contratual!O137)</f>
        <v/>
      </c>
      <c r="V137" s="180" t="str">
        <f>IF(A137="","",posicao_contratual!S137)</f>
        <v/>
      </c>
      <c r="W137" s="180" t="str">
        <f>IF(A137="","",posicao_contratual!W137)</f>
        <v/>
      </c>
    </row>
    <row r="138" spans="1:23" x14ac:dyDescent="0.35">
      <c r="A138" s="111" t="str">
        <f>IF(itens_Remanesc!A138="","",itens_Remanesc!A138)</f>
        <v/>
      </c>
      <c r="B138" s="110" t="str">
        <f>IF(posicao_contratual!A138="","",posicao_contratual!E138)</f>
        <v/>
      </c>
      <c r="C138" s="104" t="str">
        <f>IF(itens_Remanesc!A138="","",itens_Remanesc!C138)</f>
        <v/>
      </c>
      <c r="D138" s="104" t="str">
        <f t="shared" si="20"/>
        <v/>
      </c>
      <c r="E138" s="104" t="str">
        <f t="shared" si="21"/>
        <v/>
      </c>
      <c r="F138" s="104" t="str">
        <f t="shared" si="22"/>
        <v/>
      </c>
      <c r="G138" s="104" t="str">
        <f t="shared" si="23"/>
        <v/>
      </c>
      <c r="H138" s="149" t="str">
        <f t="shared" si="24"/>
        <v/>
      </c>
      <c r="I138" s="15"/>
      <c r="J138" s="15"/>
      <c r="K138" s="15"/>
      <c r="L138" s="15"/>
      <c r="M138" s="15"/>
      <c r="N138" s="180" t="str">
        <f>IF(A138="","",posicao_contratual!E138)</f>
        <v/>
      </c>
      <c r="O138" s="180" t="str">
        <f>IF(A138="","",posicao_contratual!I138)</f>
        <v/>
      </c>
      <c r="P138" s="180" t="str">
        <f>IF(A138="","",posicao_contratual!M138)</f>
        <v/>
      </c>
      <c r="Q138" s="180" t="str">
        <f>IF(A138="","",posicao_contratual!Q138)</f>
        <v/>
      </c>
      <c r="R138" s="180" t="str">
        <f>IF(A138="","",posicao_contratual!U138)</f>
        <v/>
      </c>
      <c r="S138" s="180" t="str">
        <f>IF(A138="","",posicao_contratual!G138)</f>
        <v/>
      </c>
      <c r="T138" s="180" t="str">
        <f>IF(A138="","",posicao_contratual!K138)</f>
        <v/>
      </c>
      <c r="U138" s="180" t="str">
        <f>IF(A138="","",posicao_contratual!O138)</f>
        <v/>
      </c>
      <c r="V138" s="180" t="str">
        <f>IF(A138="","",posicao_contratual!S138)</f>
        <v/>
      </c>
      <c r="W138" s="180" t="str">
        <f>IF(A138="","",posicao_contratual!W138)</f>
        <v/>
      </c>
    </row>
    <row r="139" spans="1:23" x14ac:dyDescent="0.35">
      <c r="A139" s="111" t="str">
        <f>IF(itens_Remanesc!A139="","",itens_Remanesc!A139)</f>
        <v/>
      </c>
      <c r="B139" s="110" t="str">
        <f>IF(posicao_contratual!A139="","",posicao_contratual!E139)</f>
        <v/>
      </c>
      <c r="C139" s="104" t="str">
        <f>IF(itens_Remanesc!A139="","",itens_Remanesc!C139)</f>
        <v/>
      </c>
      <c r="D139" s="104" t="str">
        <f t="shared" si="20"/>
        <v/>
      </c>
      <c r="E139" s="104" t="str">
        <f t="shared" si="21"/>
        <v/>
      </c>
      <c r="F139" s="104" t="str">
        <f t="shared" si="22"/>
        <v/>
      </c>
      <c r="G139" s="104" t="str">
        <f t="shared" si="23"/>
        <v/>
      </c>
      <c r="H139" s="149" t="str">
        <f t="shared" si="24"/>
        <v/>
      </c>
      <c r="I139" s="15"/>
      <c r="J139" s="15"/>
      <c r="K139" s="15"/>
      <c r="L139" s="15"/>
      <c r="M139" s="15"/>
      <c r="N139" s="180" t="str">
        <f>IF(A139="","",posicao_contratual!E139)</f>
        <v/>
      </c>
      <c r="O139" s="180" t="str">
        <f>IF(A139="","",posicao_contratual!I139)</f>
        <v/>
      </c>
      <c r="P139" s="180" t="str">
        <f>IF(A139="","",posicao_contratual!M139)</f>
        <v/>
      </c>
      <c r="Q139" s="180" t="str">
        <f>IF(A139="","",posicao_contratual!Q139)</f>
        <v/>
      </c>
      <c r="R139" s="180" t="str">
        <f>IF(A139="","",posicao_contratual!U139)</f>
        <v/>
      </c>
      <c r="S139" s="180" t="str">
        <f>IF(A139="","",posicao_contratual!G139)</f>
        <v/>
      </c>
      <c r="T139" s="180" t="str">
        <f>IF(A139="","",posicao_contratual!K139)</f>
        <v/>
      </c>
      <c r="U139" s="180" t="str">
        <f>IF(A139="","",posicao_contratual!O139)</f>
        <v/>
      </c>
      <c r="V139" s="180" t="str">
        <f>IF(A139="","",posicao_contratual!S139)</f>
        <v/>
      </c>
      <c r="W139" s="180" t="str">
        <f>IF(A139="","",posicao_contratual!W139)</f>
        <v/>
      </c>
    </row>
    <row r="140" spans="1:23" x14ac:dyDescent="0.35">
      <c r="A140" s="111" t="str">
        <f>IF(itens_Remanesc!A140="","",itens_Remanesc!A140)</f>
        <v/>
      </c>
      <c r="B140" s="110" t="str">
        <f>IF(posicao_contratual!A140="","",posicao_contratual!E140)</f>
        <v/>
      </c>
      <c r="C140" s="104" t="str">
        <f>IF(itens_Remanesc!A140="","",itens_Remanesc!C140)</f>
        <v/>
      </c>
      <c r="D140" s="104" t="str">
        <f t="shared" si="20"/>
        <v/>
      </c>
      <c r="E140" s="104" t="str">
        <f t="shared" si="21"/>
        <v/>
      </c>
      <c r="F140" s="104" t="str">
        <f t="shared" si="22"/>
        <v/>
      </c>
      <c r="G140" s="104" t="str">
        <f t="shared" si="23"/>
        <v/>
      </c>
      <c r="H140" s="149" t="str">
        <f t="shared" si="24"/>
        <v/>
      </c>
      <c r="I140" s="15"/>
      <c r="J140" s="15"/>
      <c r="K140" s="15"/>
      <c r="L140" s="15"/>
      <c r="M140" s="15"/>
      <c r="N140" s="180" t="str">
        <f>IF(A140="","",posicao_contratual!E140)</f>
        <v/>
      </c>
      <c r="O140" s="180" t="str">
        <f>IF(A140="","",posicao_contratual!I140)</f>
        <v/>
      </c>
      <c r="P140" s="180" t="str">
        <f>IF(A140="","",posicao_contratual!M140)</f>
        <v/>
      </c>
      <c r="Q140" s="180" t="str">
        <f>IF(A140="","",posicao_contratual!Q140)</f>
        <v/>
      </c>
      <c r="R140" s="180" t="str">
        <f>IF(A140="","",posicao_contratual!U140)</f>
        <v/>
      </c>
      <c r="S140" s="180" t="str">
        <f>IF(A140="","",posicao_contratual!G140)</f>
        <v/>
      </c>
      <c r="T140" s="180" t="str">
        <f>IF(A140="","",posicao_contratual!K140)</f>
        <v/>
      </c>
      <c r="U140" s="180" t="str">
        <f>IF(A140="","",posicao_contratual!O140)</f>
        <v/>
      </c>
      <c r="V140" s="180" t="str">
        <f>IF(A140="","",posicao_contratual!S140)</f>
        <v/>
      </c>
      <c r="W140" s="180" t="str">
        <f>IF(A140="","",posicao_contratual!W140)</f>
        <v/>
      </c>
    </row>
    <row r="141" spans="1:23" x14ac:dyDescent="0.35">
      <c r="A141" s="111" t="str">
        <f>IF(itens_Remanesc!A141="","",itens_Remanesc!A141)</f>
        <v/>
      </c>
      <c r="B141" s="110" t="str">
        <f>IF(posicao_contratual!A141="","",posicao_contratual!E141)</f>
        <v/>
      </c>
      <c r="C141" s="104" t="str">
        <f>IF(itens_Remanesc!A141="","",itens_Remanesc!C141)</f>
        <v/>
      </c>
      <c r="D141" s="104" t="str">
        <f t="shared" si="20"/>
        <v/>
      </c>
      <c r="E141" s="104" t="str">
        <f t="shared" si="21"/>
        <v/>
      </c>
      <c r="F141" s="104" t="str">
        <f t="shared" si="22"/>
        <v/>
      </c>
      <c r="G141" s="104" t="str">
        <f t="shared" si="23"/>
        <v/>
      </c>
      <c r="H141" s="149" t="str">
        <f t="shared" si="24"/>
        <v/>
      </c>
      <c r="I141" s="15"/>
      <c r="J141" s="15"/>
      <c r="K141" s="15"/>
      <c r="L141" s="15"/>
      <c r="M141" s="15"/>
      <c r="N141" s="180" t="str">
        <f>IF(A141="","",posicao_contratual!E141)</f>
        <v/>
      </c>
      <c r="O141" s="180" t="str">
        <f>IF(A141="","",posicao_contratual!I141)</f>
        <v/>
      </c>
      <c r="P141" s="180" t="str">
        <f>IF(A141="","",posicao_contratual!M141)</f>
        <v/>
      </c>
      <c r="Q141" s="180" t="str">
        <f>IF(A141="","",posicao_contratual!Q141)</f>
        <v/>
      </c>
      <c r="R141" s="180" t="str">
        <f>IF(A141="","",posicao_contratual!U141)</f>
        <v/>
      </c>
      <c r="S141" s="180" t="str">
        <f>IF(A141="","",posicao_contratual!G141)</f>
        <v/>
      </c>
      <c r="T141" s="180" t="str">
        <f>IF(A141="","",posicao_contratual!K141)</f>
        <v/>
      </c>
      <c r="U141" s="180" t="str">
        <f>IF(A141="","",posicao_contratual!O141)</f>
        <v/>
      </c>
      <c r="V141" s="180" t="str">
        <f>IF(A141="","",posicao_contratual!S141)</f>
        <v/>
      </c>
      <c r="W141" s="180" t="str">
        <f>IF(A141="","",posicao_contratual!W141)</f>
        <v/>
      </c>
    </row>
    <row r="142" spans="1:23" x14ac:dyDescent="0.35">
      <c r="A142" s="111" t="str">
        <f>IF(itens_Remanesc!A142="","",itens_Remanesc!A142)</f>
        <v/>
      </c>
      <c r="B142" s="110" t="str">
        <f>IF(posicao_contratual!A142="","",posicao_contratual!E142)</f>
        <v/>
      </c>
      <c r="C142" s="104" t="str">
        <f>IF(itens_Remanesc!A142="","",itens_Remanesc!C142)</f>
        <v/>
      </c>
      <c r="D142" s="104" t="str">
        <f t="shared" si="20"/>
        <v/>
      </c>
      <c r="E142" s="104" t="str">
        <f t="shared" si="21"/>
        <v/>
      </c>
      <c r="F142" s="104" t="str">
        <f t="shared" si="22"/>
        <v/>
      </c>
      <c r="G142" s="104" t="str">
        <f t="shared" si="23"/>
        <v/>
      </c>
      <c r="H142" s="149" t="str">
        <f t="shared" si="24"/>
        <v/>
      </c>
      <c r="I142" s="15"/>
      <c r="J142" s="15"/>
      <c r="K142" s="15"/>
      <c r="L142" s="15"/>
      <c r="M142" s="15"/>
      <c r="N142" s="180" t="str">
        <f>IF(A142="","",posicao_contratual!E142)</f>
        <v/>
      </c>
      <c r="O142" s="180" t="str">
        <f>IF(A142="","",posicao_contratual!I142)</f>
        <v/>
      </c>
      <c r="P142" s="180" t="str">
        <f>IF(A142="","",posicao_contratual!M142)</f>
        <v/>
      </c>
      <c r="Q142" s="180" t="str">
        <f>IF(A142="","",posicao_contratual!Q142)</f>
        <v/>
      </c>
      <c r="R142" s="180" t="str">
        <f>IF(A142="","",posicao_contratual!U142)</f>
        <v/>
      </c>
      <c r="S142" s="180" t="str">
        <f>IF(A142="","",posicao_contratual!G142)</f>
        <v/>
      </c>
      <c r="T142" s="180" t="str">
        <f>IF(A142="","",posicao_contratual!K142)</f>
        <v/>
      </c>
      <c r="U142" s="180" t="str">
        <f>IF(A142="","",posicao_contratual!O142)</f>
        <v/>
      </c>
      <c r="V142" s="180" t="str">
        <f>IF(A142="","",posicao_contratual!S142)</f>
        <v/>
      </c>
      <c r="W142" s="180" t="str">
        <f>IF(A142="","",posicao_contratual!W142)</f>
        <v/>
      </c>
    </row>
    <row r="143" spans="1:23" x14ac:dyDescent="0.35">
      <c r="A143" s="111" t="str">
        <f>IF(itens_Remanesc!A143="","",itens_Remanesc!A143)</f>
        <v/>
      </c>
      <c r="B143" s="110" t="str">
        <f>IF(posicao_contratual!A143="","",posicao_contratual!E143)</f>
        <v/>
      </c>
      <c r="C143" s="104" t="str">
        <f>IF(itens_Remanesc!A143="","",itens_Remanesc!C143)</f>
        <v/>
      </c>
      <c r="D143" s="104" t="str">
        <f t="shared" si="20"/>
        <v/>
      </c>
      <c r="E143" s="104" t="str">
        <f t="shared" si="21"/>
        <v/>
      </c>
      <c r="F143" s="104" t="str">
        <f t="shared" si="22"/>
        <v/>
      </c>
      <c r="G143" s="104" t="str">
        <f t="shared" si="23"/>
        <v/>
      </c>
      <c r="H143" s="149" t="str">
        <f t="shared" si="24"/>
        <v/>
      </c>
      <c r="I143" s="15"/>
      <c r="J143" s="15"/>
      <c r="K143" s="15"/>
      <c r="L143" s="15"/>
      <c r="M143" s="15"/>
      <c r="N143" s="180" t="str">
        <f>IF(A143="","",posicao_contratual!E143)</f>
        <v/>
      </c>
      <c r="O143" s="180" t="str">
        <f>IF(A143="","",posicao_contratual!I143)</f>
        <v/>
      </c>
      <c r="P143" s="180" t="str">
        <f>IF(A143="","",posicao_contratual!M143)</f>
        <v/>
      </c>
      <c r="Q143" s="180" t="str">
        <f>IF(A143="","",posicao_contratual!Q143)</f>
        <v/>
      </c>
      <c r="R143" s="180" t="str">
        <f>IF(A143="","",posicao_contratual!U143)</f>
        <v/>
      </c>
      <c r="S143" s="180" t="str">
        <f>IF(A143="","",posicao_contratual!G143)</f>
        <v/>
      </c>
      <c r="T143" s="180" t="str">
        <f>IF(A143="","",posicao_contratual!K143)</f>
        <v/>
      </c>
      <c r="U143" s="180" t="str">
        <f>IF(A143="","",posicao_contratual!O143)</f>
        <v/>
      </c>
      <c r="V143" s="180" t="str">
        <f>IF(A143="","",posicao_contratual!S143)</f>
        <v/>
      </c>
      <c r="W143" s="180" t="str">
        <f>IF(A143="","",posicao_contratual!W143)</f>
        <v/>
      </c>
    </row>
    <row r="144" spans="1:23" x14ac:dyDescent="0.35">
      <c r="A144" s="111" t="str">
        <f>IF(itens_Remanesc!A144="","",itens_Remanesc!A144)</f>
        <v/>
      </c>
      <c r="B144" s="110" t="str">
        <f>IF(posicao_contratual!A144="","",posicao_contratual!E144)</f>
        <v/>
      </c>
      <c r="C144" s="104" t="str">
        <f>IF(itens_Remanesc!A144="","",itens_Remanesc!C144)</f>
        <v/>
      </c>
      <c r="D144" s="104" t="str">
        <f t="shared" si="20"/>
        <v/>
      </c>
      <c r="E144" s="104" t="str">
        <f t="shared" si="21"/>
        <v/>
      </c>
      <c r="F144" s="104" t="str">
        <f t="shared" si="22"/>
        <v/>
      </c>
      <c r="G144" s="104" t="str">
        <f t="shared" si="23"/>
        <v/>
      </c>
      <c r="H144" s="149" t="str">
        <f t="shared" si="24"/>
        <v/>
      </c>
      <c r="I144" s="15"/>
      <c r="J144" s="15"/>
      <c r="K144" s="15"/>
      <c r="L144" s="15"/>
      <c r="M144" s="15"/>
      <c r="N144" s="180" t="str">
        <f>IF(A144="","",posicao_contratual!E144)</f>
        <v/>
      </c>
      <c r="O144" s="180" t="str">
        <f>IF(A144="","",posicao_contratual!I144)</f>
        <v/>
      </c>
      <c r="P144" s="180" t="str">
        <f>IF(A144="","",posicao_contratual!M144)</f>
        <v/>
      </c>
      <c r="Q144" s="180" t="str">
        <f>IF(A144="","",posicao_contratual!Q144)</f>
        <v/>
      </c>
      <c r="R144" s="180" t="str">
        <f>IF(A144="","",posicao_contratual!U144)</f>
        <v/>
      </c>
      <c r="S144" s="180" t="str">
        <f>IF(A144="","",posicao_contratual!G144)</f>
        <v/>
      </c>
      <c r="T144" s="180" t="str">
        <f>IF(A144="","",posicao_contratual!K144)</f>
        <v/>
      </c>
      <c r="U144" s="180" t="str">
        <f>IF(A144="","",posicao_contratual!O144)</f>
        <v/>
      </c>
      <c r="V144" s="180" t="str">
        <f>IF(A144="","",posicao_contratual!S144)</f>
        <v/>
      </c>
      <c r="W144" s="180" t="str">
        <f>IF(A144="","",posicao_contratual!W144)</f>
        <v/>
      </c>
    </row>
    <row r="145" spans="1:23" x14ac:dyDescent="0.35">
      <c r="A145" s="111" t="str">
        <f>IF(itens_Remanesc!A145="","",itens_Remanesc!A145)</f>
        <v/>
      </c>
      <c r="B145" s="110" t="str">
        <f>IF(posicao_contratual!A145="","",posicao_contratual!E145)</f>
        <v/>
      </c>
      <c r="C145" s="104" t="str">
        <f>IF(itens_Remanesc!A145="","",itens_Remanesc!C145)</f>
        <v/>
      </c>
      <c r="D145" s="104" t="str">
        <f t="shared" si="20"/>
        <v/>
      </c>
      <c r="E145" s="104" t="str">
        <f t="shared" si="21"/>
        <v/>
      </c>
      <c r="F145" s="104" t="str">
        <f t="shared" si="22"/>
        <v/>
      </c>
      <c r="G145" s="104" t="str">
        <f t="shared" si="23"/>
        <v/>
      </c>
      <c r="H145" s="149" t="str">
        <f t="shared" si="24"/>
        <v/>
      </c>
      <c r="I145" s="15"/>
      <c r="J145" s="15"/>
      <c r="K145" s="15"/>
      <c r="L145" s="15"/>
      <c r="M145" s="15"/>
      <c r="N145" s="180" t="str">
        <f>IF(A145="","",posicao_contratual!E145)</f>
        <v/>
      </c>
      <c r="O145" s="180" t="str">
        <f>IF(A145="","",posicao_contratual!I145)</f>
        <v/>
      </c>
      <c r="P145" s="180" t="str">
        <f>IF(A145="","",posicao_contratual!M145)</f>
        <v/>
      </c>
      <c r="Q145" s="180" t="str">
        <f>IF(A145="","",posicao_contratual!Q145)</f>
        <v/>
      </c>
      <c r="R145" s="180" t="str">
        <f>IF(A145="","",posicao_contratual!U145)</f>
        <v/>
      </c>
      <c r="S145" s="180" t="str">
        <f>IF(A145="","",posicao_contratual!G145)</f>
        <v/>
      </c>
      <c r="T145" s="180" t="str">
        <f>IF(A145="","",posicao_contratual!K145)</f>
        <v/>
      </c>
      <c r="U145" s="180" t="str">
        <f>IF(A145="","",posicao_contratual!O145)</f>
        <v/>
      </c>
      <c r="V145" s="180" t="str">
        <f>IF(A145="","",posicao_contratual!S145)</f>
        <v/>
      </c>
      <c r="W145" s="180" t="str">
        <f>IF(A145="","",posicao_contratual!W145)</f>
        <v/>
      </c>
    </row>
    <row r="146" spans="1:23" x14ac:dyDescent="0.35">
      <c r="A146" s="111" t="str">
        <f>IF(itens_Remanesc!A146="","",itens_Remanesc!A146)</f>
        <v/>
      </c>
      <c r="B146" s="110" t="str">
        <f>IF(posicao_contratual!A146="","",posicao_contratual!E146)</f>
        <v/>
      </c>
      <c r="C146" s="104" t="str">
        <f>IF(itens_Remanesc!A146="","",itens_Remanesc!C146)</f>
        <v/>
      </c>
      <c r="D146" s="104" t="str">
        <f t="shared" si="20"/>
        <v/>
      </c>
      <c r="E146" s="104" t="str">
        <f t="shared" si="21"/>
        <v/>
      </c>
      <c r="F146" s="104" t="str">
        <f t="shared" si="22"/>
        <v/>
      </c>
      <c r="G146" s="104" t="str">
        <f t="shared" si="23"/>
        <v/>
      </c>
      <c r="H146" s="149" t="str">
        <f t="shared" si="24"/>
        <v/>
      </c>
      <c r="I146" s="15"/>
      <c r="J146" s="15"/>
      <c r="K146" s="15"/>
      <c r="L146" s="15"/>
      <c r="M146" s="15"/>
      <c r="N146" s="180" t="str">
        <f>IF(A146="","",posicao_contratual!E146)</f>
        <v/>
      </c>
      <c r="O146" s="180" t="str">
        <f>IF(A146="","",posicao_contratual!I146)</f>
        <v/>
      </c>
      <c r="P146" s="180" t="str">
        <f>IF(A146="","",posicao_contratual!M146)</f>
        <v/>
      </c>
      <c r="Q146" s="180" t="str">
        <f>IF(A146="","",posicao_contratual!Q146)</f>
        <v/>
      </c>
      <c r="R146" s="180" t="str">
        <f>IF(A146="","",posicao_contratual!U146)</f>
        <v/>
      </c>
      <c r="S146" s="180" t="str">
        <f>IF(A146="","",posicao_contratual!G146)</f>
        <v/>
      </c>
      <c r="T146" s="180" t="str">
        <f>IF(A146="","",posicao_contratual!K146)</f>
        <v/>
      </c>
      <c r="U146" s="180" t="str">
        <f>IF(A146="","",posicao_contratual!O146)</f>
        <v/>
      </c>
      <c r="V146" s="180" t="str">
        <f>IF(A146="","",posicao_contratual!S146)</f>
        <v/>
      </c>
      <c r="W146" s="180" t="str">
        <f>IF(A146="","",posicao_contratual!W146)</f>
        <v/>
      </c>
    </row>
    <row r="147" spans="1:23" x14ac:dyDescent="0.35">
      <c r="A147" s="111" t="str">
        <f>IF(itens_Remanesc!A147="","",itens_Remanesc!A147)</f>
        <v/>
      </c>
      <c r="B147" s="110" t="str">
        <f>IF(posicao_contratual!A147="","",posicao_contratual!E147)</f>
        <v/>
      </c>
      <c r="C147" s="104" t="str">
        <f>IF(itens_Remanesc!A147="","",itens_Remanesc!C147)</f>
        <v/>
      </c>
      <c r="D147" s="104" t="str">
        <f t="shared" si="20"/>
        <v/>
      </c>
      <c r="E147" s="104" t="str">
        <f t="shared" si="21"/>
        <v/>
      </c>
      <c r="F147" s="104" t="str">
        <f t="shared" si="22"/>
        <v/>
      </c>
      <c r="G147" s="104" t="str">
        <f t="shared" si="23"/>
        <v/>
      </c>
      <c r="H147" s="149" t="str">
        <f t="shared" si="24"/>
        <v/>
      </c>
      <c r="I147" s="15"/>
      <c r="J147" s="15"/>
      <c r="K147" s="15"/>
      <c r="L147" s="15"/>
      <c r="M147" s="15"/>
      <c r="N147" s="180" t="str">
        <f>IF(A147="","",posicao_contratual!E147)</f>
        <v/>
      </c>
      <c r="O147" s="180" t="str">
        <f>IF(A147="","",posicao_contratual!I147)</f>
        <v/>
      </c>
      <c r="P147" s="180" t="str">
        <f>IF(A147="","",posicao_contratual!M147)</f>
        <v/>
      </c>
      <c r="Q147" s="180" t="str">
        <f>IF(A147="","",posicao_contratual!Q147)</f>
        <v/>
      </c>
      <c r="R147" s="180" t="str">
        <f>IF(A147="","",posicao_contratual!U147)</f>
        <v/>
      </c>
      <c r="S147" s="180" t="str">
        <f>IF(A147="","",posicao_contratual!G147)</f>
        <v/>
      </c>
      <c r="T147" s="180" t="str">
        <f>IF(A147="","",posicao_contratual!K147)</f>
        <v/>
      </c>
      <c r="U147" s="180" t="str">
        <f>IF(A147="","",posicao_contratual!O147)</f>
        <v/>
      </c>
      <c r="V147" s="180" t="str">
        <f>IF(A147="","",posicao_contratual!S147)</f>
        <v/>
      </c>
      <c r="W147" s="180" t="str">
        <f>IF(A147="","",posicao_contratual!W147)</f>
        <v/>
      </c>
    </row>
    <row r="148" spans="1:23" x14ac:dyDescent="0.35">
      <c r="A148" s="111" t="str">
        <f>IF(itens_Remanesc!A148="","",itens_Remanesc!A148)</f>
        <v/>
      </c>
      <c r="B148" s="110" t="str">
        <f>IF(posicao_contratual!A148="","",posicao_contratual!E148)</f>
        <v/>
      </c>
      <c r="C148" s="104" t="str">
        <f>IF(itens_Remanesc!A148="","",itens_Remanesc!C148)</f>
        <v/>
      </c>
      <c r="D148" s="104" t="str">
        <f t="shared" si="20"/>
        <v/>
      </c>
      <c r="E148" s="104" t="str">
        <f t="shared" si="21"/>
        <v/>
      </c>
      <c r="F148" s="104" t="str">
        <f t="shared" si="22"/>
        <v/>
      </c>
      <c r="G148" s="104" t="str">
        <f t="shared" si="23"/>
        <v/>
      </c>
      <c r="H148" s="149" t="str">
        <f t="shared" si="24"/>
        <v/>
      </c>
      <c r="I148" s="15"/>
      <c r="J148" s="15"/>
      <c r="K148" s="15"/>
      <c r="L148" s="15"/>
      <c r="M148" s="15"/>
      <c r="N148" s="180" t="str">
        <f>IF(A148="","",posicao_contratual!E148)</f>
        <v/>
      </c>
      <c r="O148" s="180" t="str">
        <f>IF(A148="","",posicao_contratual!I148)</f>
        <v/>
      </c>
      <c r="P148" s="180" t="str">
        <f>IF(A148="","",posicao_contratual!M148)</f>
        <v/>
      </c>
      <c r="Q148" s="180" t="str">
        <f>IF(A148="","",posicao_contratual!Q148)</f>
        <v/>
      </c>
      <c r="R148" s="180" t="str">
        <f>IF(A148="","",posicao_contratual!U148)</f>
        <v/>
      </c>
      <c r="S148" s="180" t="str">
        <f>IF(A148="","",posicao_contratual!G148)</f>
        <v/>
      </c>
      <c r="T148" s="180" t="str">
        <f>IF(A148="","",posicao_contratual!K148)</f>
        <v/>
      </c>
      <c r="U148" s="180" t="str">
        <f>IF(A148="","",posicao_contratual!O148)</f>
        <v/>
      </c>
      <c r="V148" s="180" t="str">
        <f>IF(A148="","",posicao_contratual!S148)</f>
        <v/>
      </c>
      <c r="W148" s="180" t="str">
        <f>IF(A148="","",posicao_contratual!W148)</f>
        <v/>
      </c>
    </row>
    <row r="149" spans="1:23" x14ac:dyDescent="0.35">
      <c r="A149" s="111" t="str">
        <f>IF(itens_Remanesc!A149="","",itens_Remanesc!A149)</f>
        <v/>
      </c>
      <c r="B149" s="110" t="str">
        <f>IF(posicao_contratual!A149="","",posicao_contratual!E149)</f>
        <v/>
      </c>
      <c r="C149" s="104" t="str">
        <f>IF(itens_Remanesc!A149="","",itens_Remanesc!C149)</f>
        <v/>
      </c>
      <c r="D149" s="104" t="str">
        <f t="shared" si="20"/>
        <v/>
      </c>
      <c r="E149" s="104" t="str">
        <f t="shared" si="21"/>
        <v/>
      </c>
      <c r="F149" s="104" t="str">
        <f t="shared" si="22"/>
        <v/>
      </c>
      <c r="G149" s="104" t="str">
        <f t="shared" si="23"/>
        <v/>
      </c>
      <c r="H149" s="149" t="str">
        <f t="shared" si="24"/>
        <v/>
      </c>
      <c r="I149" s="15"/>
      <c r="J149" s="15"/>
      <c r="K149" s="15"/>
      <c r="L149" s="15"/>
      <c r="M149" s="15"/>
      <c r="N149" s="180" t="str">
        <f>IF(A149="","",posicao_contratual!E149)</f>
        <v/>
      </c>
      <c r="O149" s="180" t="str">
        <f>IF(A149="","",posicao_contratual!I149)</f>
        <v/>
      </c>
      <c r="P149" s="180" t="str">
        <f>IF(A149="","",posicao_contratual!M149)</f>
        <v/>
      </c>
      <c r="Q149" s="180" t="str">
        <f>IF(A149="","",posicao_contratual!Q149)</f>
        <v/>
      </c>
      <c r="R149" s="180" t="str">
        <f>IF(A149="","",posicao_contratual!U149)</f>
        <v/>
      </c>
      <c r="S149" s="180" t="str">
        <f>IF(A149="","",posicao_contratual!G149)</f>
        <v/>
      </c>
      <c r="T149" s="180" t="str">
        <f>IF(A149="","",posicao_contratual!K149)</f>
        <v/>
      </c>
      <c r="U149" s="180" t="str">
        <f>IF(A149="","",posicao_contratual!O149)</f>
        <v/>
      </c>
      <c r="V149" s="180" t="str">
        <f>IF(A149="","",posicao_contratual!S149)</f>
        <v/>
      </c>
      <c r="W149" s="180" t="str">
        <f>IF(A149="","",posicao_contratual!W149)</f>
        <v/>
      </c>
    </row>
    <row r="150" spans="1:23" x14ac:dyDescent="0.35">
      <c r="A150" s="111" t="str">
        <f>IF(itens_Remanesc!A150="","",itens_Remanesc!A150)</f>
        <v/>
      </c>
      <c r="B150" s="110" t="str">
        <f>IF(posicao_contratual!A150="","",posicao_contratual!E150)</f>
        <v/>
      </c>
      <c r="C150" s="104" t="str">
        <f>IF(itens_Remanesc!A150="","",itens_Remanesc!C150)</f>
        <v/>
      </c>
      <c r="D150" s="104" t="str">
        <f t="shared" si="20"/>
        <v/>
      </c>
      <c r="E150" s="104" t="str">
        <f t="shared" si="21"/>
        <v/>
      </c>
      <c r="F150" s="104" t="str">
        <f t="shared" si="22"/>
        <v/>
      </c>
      <c r="G150" s="104" t="str">
        <f t="shared" si="23"/>
        <v/>
      </c>
      <c r="H150" s="149" t="str">
        <f t="shared" si="24"/>
        <v/>
      </c>
      <c r="I150" s="15"/>
      <c r="J150" s="15"/>
      <c r="K150" s="15"/>
      <c r="L150" s="15"/>
      <c r="M150" s="15"/>
      <c r="N150" s="180" t="str">
        <f>IF(A150="","",posicao_contratual!E150)</f>
        <v/>
      </c>
      <c r="O150" s="180" t="str">
        <f>IF(A150="","",posicao_contratual!I150)</f>
        <v/>
      </c>
      <c r="P150" s="180" t="str">
        <f>IF(A150="","",posicao_contratual!M150)</f>
        <v/>
      </c>
      <c r="Q150" s="180" t="str">
        <f>IF(A150="","",posicao_contratual!Q150)</f>
        <v/>
      </c>
      <c r="R150" s="180" t="str">
        <f>IF(A150="","",posicao_contratual!U150)</f>
        <v/>
      </c>
      <c r="S150" s="180" t="str">
        <f>IF(A150="","",posicao_contratual!G150)</f>
        <v/>
      </c>
      <c r="T150" s="180" t="str">
        <f>IF(A150="","",posicao_contratual!K150)</f>
        <v/>
      </c>
      <c r="U150" s="180" t="str">
        <f>IF(A150="","",posicao_contratual!O150)</f>
        <v/>
      </c>
      <c r="V150" s="180" t="str">
        <f>IF(A150="","",posicao_contratual!S150)</f>
        <v/>
      </c>
      <c r="W150" s="180" t="str">
        <f>IF(A150="","",posicao_contratual!W150)</f>
        <v/>
      </c>
    </row>
    <row r="151" spans="1:23" x14ac:dyDescent="0.35">
      <c r="A151" s="111" t="str">
        <f>IF(itens_Remanesc!A151="","",itens_Remanesc!A151)</f>
        <v/>
      </c>
      <c r="B151" s="110" t="str">
        <f>IF(posicao_contratual!A151="","",posicao_contratual!E151)</f>
        <v/>
      </c>
      <c r="C151" s="104" t="str">
        <f>IF(itens_Remanesc!A151="","",itens_Remanesc!C151)</f>
        <v/>
      </c>
      <c r="D151" s="104" t="str">
        <f t="shared" si="20"/>
        <v/>
      </c>
      <c r="E151" s="104" t="str">
        <f t="shared" si="21"/>
        <v/>
      </c>
      <c r="F151" s="104" t="str">
        <f t="shared" si="22"/>
        <v/>
      </c>
      <c r="G151" s="104" t="str">
        <f t="shared" si="23"/>
        <v/>
      </c>
      <c r="H151" s="149" t="str">
        <f t="shared" si="24"/>
        <v/>
      </c>
      <c r="I151" s="15"/>
      <c r="J151" s="15"/>
      <c r="K151" s="15"/>
      <c r="L151" s="15"/>
      <c r="M151" s="15"/>
      <c r="N151" s="180" t="str">
        <f>IF(A151="","",posicao_contratual!E151)</f>
        <v/>
      </c>
      <c r="O151" s="180" t="str">
        <f>IF(A151="","",posicao_contratual!I151)</f>
        <v/>
      </c>
      <c r="P151" s="180" t="str">
        <f>IF(A151="","",posicao_contratual!M151)</f>
        <v/>
      </c>
      <c r="Q151" s="180" t="str">
        <f>IF(A151="","",posicao_contratual!Q151)</f>
        <v/>
      </c>
      <c r="R151" s="180" t="str">
        <f>IF(A151="","",posicao_contratual!U151)</f>
        <v/>
      </c>
      <c r="S151" s="180" t="str">
        <f>IF(A151="","",posicao_contratual!G151)</f>
        <v/>
      </c>
      <c r="T151" s="180" t="str">
        <f>IF(A151="","",posicao_contratual!K151)</f>
        <v/>
      </c>
      <c r="U151" s="180" t="str">
        <f>IF(A151="","",posicao_contratual!O151)</f>
        <v/>
      </c>
      <c r="V151" s="180" t="str">
        <f>IF(A151="","",posicao_contratual!S151)</f>
        <v/>
      </c>
      <c r="W151" s="180" t="str">
        <f>IF(A151="","",posicao_contratual!W151)</f>
        <v/>
      </c>
    </row>
    <row r="152" spans="1:23" x14ac:dyDescent="0.35">
      <c r="A152" s="111" t="str">
        <f>IF(itens_Remanesc!A152="","",itens_Remanesc!A152)</f>
        <v/>
      </c>
      <c r="B152" s="110" t="str">
        <f>IF(posicao_contratual!A152="","",posicao_contratual!E152)</f>
        <v/>
      </c>
      <c r="C152" s="104" t="str">
        <f>IF(itens_Remanesc!A152="","",itens_Remanesc!C152)</f>
        <v/>
      </c>
      <c r="D152" s="104" t="str">
        <f t="shared" si="20"/>
        <v/>
      </c>
      <c r="E152" s="104" t="str">
        <f t="shared" si="21"/>
        <v/>
      </c>
      <c r="F152" s="104" t="str">
        <f t="shared" si="22"/>
        <v/>
      </c>
      <c r="G152" s="104" t="str">
        <f t="shared" si="23"/>
        <v/>
      </c>
      <c r="H152" s="149" t="str">
        <f t="shared" si="24"/>
        <v/>
      </c>
      <c r="I152" s="15"/>
      <c r="J152" s="15"/>
      <c r="K152" s="15"/>
      <c r="L152" s="15"/>
      <c r="M152" s="15"/>
      <c r="N152" s="180" t="str">
        <f>IF(A152="","",posicao_contratual!E152)</f>
        <v/>
      </c>
      <c r="O152" s="180" t="str">
        <f>IF(A152="","",posicao_contratual!I152)</f>
        <v/>
      </c>
      <c r="P152" s="180" t="str">
        <f>IF(A152="","",posicao_contratual!M152)</f>
        <v/>
      </c>
      <c r="Q152" s="180" t="str">
        <f>IF(A152="","",posicao_contratual!Q152)</f>
        <v/>
      </c>
      <c r="R152" s="180" t="str">
        <f>IF(A152="","",posicao_contratual!U152)</f>
        <v/>
      </c>
      <c r="S152" s="180" t="str">
        <f>IF(A152="","",posicao_contratual!G152)</f>
        <v/>
      </c>
      <c r="T152" s="180" t="str">
        <f>IF(A152="","",posicao_contratual!K152)</f>
        <v/>
      </c>
      <c r="U152" s="180" t="str">
        <f>IF(A152="","",posicao_contratual!O152)</f>
        <v/>
      </c>
      <c r="V152" s="180" t="str">
        <f>IF(A152="","",posicao_contratual!S152)</f>
        <v/>
      </c>
      <c r="W152" s="180" t="str">
        <f>IF(A152="","",posicao_contratual!W152)</f>
        <v/>
      </c>
    </row>
    <row r="153" spans="1:23" x14ac:dyDescent="0.35">
      <c r="A153" s="111" t="str">
        <f>IF(itens_Remanesc!A153="","",itens_Remanesc!A153)</f>
        <v/>
      </c>
      <c r="B153" s="110" t="str">
        <f>IF(posicao_contratual!A153="","",posicao_contratual!E153)</f>
        <v/>
      </c>
      <c r="C153" s="104" t="str">
        <f>IF(itens_Remanesc!A153="","",itens_Remanesc!C153)</f>
        <v/>
      </c>
      <c r="D153" s="104" t="str">
        <f t="shared" si="20"/>
        <v/>
      </c>
      <c r="E153" s="104" t="str">
        <f t="shared" si="21"/>
        <v/>
      </c>
      <c r="F153" s="104" t="str">
        <f t="shared" si="22"/>
        <v/>
      </c>
      <c r="G153" s="104" t="str">
        <f t="shared" si="23"/>
        <v/>
      </c>
      <c r="H153" s="149" t="str">
        <f t="shared" si="24"/>
        <v/>
      </c>
      <c r="I153" s="15"/>
      <c r="J153" s="15"/>
      <c r="K153" s="15"/>
      <c r="L153" s="15"/>
      <c r="M153" s="15"/>
      <c r="N153" s="180" t="str">
        <f>IF(A153="","",posicao_contratual!E153)</f>
        <v/>
      </c>
      <c r="O153" s="180" t="str">
        <f>IF(A153="","",posicao_contratual!I153)</f>
        <v/>
      </c>
      <c r="P153" s="180" t="str">
        <f>IF(A153="","",posicao_contratual!M153)</f>
        <v/>
      </c>
      <c r="Q153" s="180" t="str">
        <f>IF(A153="","",posicao_contratual!Q153)</f>
        <v/>
      </c>
      <c r="R153" s="180" t="str">
        <f>IF(A153="","",posicao_contratual!U153)</f>
        <v/>
      </c>
      <c r="S153" s="180" t="str">
        <f>IF(A153="","",posicao_contratual!G153)</f>
        <v/>
      </c>
      <c r="T153" s="180" t="str">
        <f>IF(A153="","",posicao_contratual!K153)</f>
        <v/>
      </c>
      <c r="U153" s="180" t="str">
        <f>IF(A153="","",posicao_contratual!O153)</f>
        <v/>
      </c>
      <c r="V153" s="180" t="str">
        <f>IF(A153="","",posicao_contratual!S153)</f>
        <v/>
      </c>
      <c r="W153" s="180" t="str">
        <f>IF(A153="","",posicao_contratual!W153)</f>
        <v/>
      </c>
    </row>
    <row r="154" spans="1:23" x14ac:dyDescent="0.35">
      <c r="A154" s="111" t="str">
        <f>IF(itens_Remanesc!A154="","",itens_Remanesc!A154)</f>
        <v/>
      </c>
      <c r="B154" s="110" t="str">
        <f>IF(posicao_contratual!A154="","",posicao_contratual!E154)</f>
        <v/>
      </c>
      <c r="C154" s="104" t="str">
        <f>IF(itens_Remanesc!A154="","",itens_Remanesc!C154)</f>
        <v/>
      </c>
      <c r="D154" s="104" t="str">
        <f t="shared" si="20"/>
        <v/>
      </c>
      <c r="E154" s="104" t="str">
        <f t="shared" si="21"/>
        <v/>
      </c>
      <c r="F154" s="104" t="str">
        <f t="shared" si="22"/>
        <v/>
      </c>
      <c r="G154" s="104" t="str">
        <f t="shared" si="23"/>
        <v/>
      </c>
      <c r="H154" s="149" t="str">
        <f t="shared" si="24"/>
        <v/>
      </c>
      <c r="I154" s="15"/>
      <c r="J154" s="15"/>
      <c r="K154" s="15"/>
      <c r="L154" s="15"/>
      <c r="M154" s="15"/>
      <c r="N154" s="180" t="str">
        <f>IF(A154="","",posicao_contratual!E154)</f>
        <v/>
      </c>
      <c r="O154" s="180" t="str">
        <f>IF(A154="","",posicao_contratual!I154)</f>
        <v/>
      </c>
      <c r="P154" s="180" t="str">
        <f>IF(A154="","",posicao_contratual!M154)</f>
        <v/>
      </c>
      <c r="Q154" s="180" t="str">
        <f>IF(A154="","",posicao_contratual!Q154)</f>
        <v/>
      </c>
      <c r="R154" s="180" t="str">
        <f>IF(A154="","",posicao_contratual!U154)</f>
        <v/>
      </c>
      <c r="S154" s="180" t="str">
        <f>IF(A154="","",posicao_contratual!G154)</f>
        <v/>
      </c>
      <c r="T154" s="180" t="str">
        <f>IF(A154="","",posicao_contratual!K154)</f>
        <v/>
      </c>
      <c r="U154" s="180" t="str">
        <f>IF(A154="","",posicao_contratual!O154)</f>
        <v/>
      </c>
      <c r="V154" s="180" t="str">
        <f>IF(A154="","",posicao_contratual!S154)</f>
        <v/>
      </c>
      <c r="W154" s="180" t="str">
        <f>IF(A154="","",posicao_contratual!W154)</f>
        <v/>
      </c>
    </row>
    <row r="155" spans="1:23" x14ac:dyDescent="0.35">
      <c r="A155" s="111" t="str">
        <f>IF(itens_Remanesc!A155="","",itens_Remanesc!A155)</f>
        <v/>
      </c>
      <c r="B155" s="110" t="str">
        <f>IF(posicao_contratual!A155="","",posicao_contratual!E155)</f>
        <v/>
      </c>
      <c r="C155" s="104" t="str">
        <f>IF(itens_Remanesc!A155="","",itens_Remanesc!C155)</f>
        <v/>
      </c>
      <c r="D155" s="104" t="str">
        <f t="shared" si="20"/>
        <v/>
      </c>
      <c r="E155" s="104" t="str">
        <f t="shared" si="21"/>
        <v/>
      </c>
      <c r="F155" s="104" t="str">
        <f t="shared" si="22"/>
        <v/>
      </c>
      <c r="G155" s="104" t="str">
        <f t="shared" si="23"/>
        <v/>
      </c>
      <c r="H155" s="149" t="str">
        <f t="shared" si="24"/>
        <v/>
      </c>
      <c r="I155" s="15"/>
      <c r="J155" s="15"/>
      <c r="K155" s="15"/>
      <c r="L155" s="15"/>
      <c r="M155" s="15"/>
      <c r="N155" s="180" t="str">
        <f>IF(A155="","",posicao_contratual!E155)</f>
        <v/>
      </c>
      <c r="O155" s="180" t="str">
        <f>IF(A155="","",posicao_contratual!I155)</f>
        <v/>
      </c>
      <c r="P155" s="180" t="str">
        <f>IF(A155="","",posicao_contratual!M155)</f>
        <v/>
      </c>
      <c r="Q155" s="180" t="str">
        <f>IF(A155="","",posicao_contratual!Q155)</f>
        <v/>
      </c>
      <c r="R155" s="180" t="str">
        <f>IF(A155="","",posicao_contratual!U155)</f>
        <v/>
      </c>
      <c r="S155" s="180" t="str">
        <f>IF(A155="","",posicao_contratual!G155)</f>
        <v/>
      </c>
      <c r="T155" s="180" t="str">
        <f>IF(A155="","",posicao_contratual!K155)</f>
        <v/>
      </c>
      <c r="U155" s="180" t="str">
        <f>IF(A155="","",posicao_contratual!O155)</f>
        <v/>
      </c>
      <c r="V155" s="180" t="str">
        <f>IF(A155="","",posicao_contratual!S155)</f>
        <v/>
      </c>
      <c r="W155" s="180" t="str">
        <f>IF(A155="","",posicao_contratual!W155)</f>
        <v/>
      </c>
    </row>
    <row r="156" spans="1:23" x14ac:dyDescent="0.35">
      <c r="A156" s="111" t="str">
        <f>IF(itens_Remanesc!A156="","",itens_Remanesc!A156)</f>
        <v/>
      </c>
      <c r="B156" s="110" t="str">
        <f>IF(posicao_contratual!A156="","",posicao_contratual!E156)</f>
        <v/>
      </c>
      <c r="C156" s="104" t="str">
        <f>IF(itens_Remanesc!A156="","",itens_Remanesc!C156)</f>
        <v/>
      </c>
      <c r="D156" s="104" t="str">
        <f t="shared" si="20"/>
        <v/>
      </c>
      <c r="E156" s="104" t="str">
        <f t="shared" si="21"/>
        <v/>
      </c>
      <c r="F156" s="104" t="str">
        <f t="shared" si="22"/>
        <v/>
      </c>
      <c r="G156" s="104" t="str">
        <f t="shared" si="23"/>
        <v/>
      </c>
      <c r="H156" s="149" t="str">
        <f t="shared" si="24"/>
        <v/>
      </c>
      <c r="I156" s="15"/>
      <c r="J156" s="15"/>
      <c r="K156" s="15"/>
      <c r="L156" s="15"/>
      <c r="M156" s="15"/>
      <c r="N156" s="180" t="str">
        <f>IF(A156="","",posicao_contratual!E156)</f>
        <v/>
      </c>
      <c r="O156" s="180" t="str">
        <f>IF(A156="","",posicao_contratual!I156)</f>
        <v/>
      </c>
      <c r="P156" s="180" t="str">
        <f>IF(A156="","",posicao_contratual!M156)</f>
        <v/>
      </c>
      <c r="Q156" s="180" t="str">
        <f>IF(A156="","",posicao_contratual!Q156)</f>
        <v/>
      </c>
      <c r="R156" s="180" t="str">
        <f>IF(A156="","",posicao_contratual!U156)</f>
        <v/>
      </c>
      <c r="S156" s="180" t="str">
        <f>IF(A156="","",posicao_contratual!G156)</f>
        <v/>
      </c>
      <c r="T156" s="180" t="str">
        <f>IF(A156="","",posicao_contratual!K156)</f>
        <v/>
      </c>
      <c r="U156" s="180" t="str">
        <f>IF(A156="","",posicao_contratual!O156)</f>
        <v/>
      </c>
      <c r="V156" s="180" t="str">
        <f>IF(A156="","",posicao_contratual!S156)</f>
        <v/>
      </c>
      <c r="W156" s="180" t="str">
        <f>IF(A156="","",posicao_contratual!W156)</f>
        <v/>
      </c>
    </row>
    <row r="157" spans="1:23" x14ac:dyDescent="0.35">
      <c r="A157" s="111" t="str">
        <f>IF(itens_Remanesc!A157="","",itens_Remanesc!A157)</f>
        <v/>
      </c>
      <c r="B157" s="110" t="str">
        <f>IF(posicao_contratual!A157="","",posicao_contratual!E157)</f>
        <v/>
      </c>
      <c r="C157" s="104" t="str">
        <f>IF(itens_Remanesc!A157="","",itens_Remanesc!C157)</f>
        <v/>
      </c>
      <c r="D157" s="104" t="str">
        <f t="shared" si="20"/>
        <v/>
      </c>
      <c r="E157" s="104" t="str">
        <f t="shared" si="21"/>
        <v/>
      </c>
      <c r="F157" s="104" t="str">
        <f t="shared" si="22"/>
        <v/>
      </c>
      <c r="G157" s="104" t="str">
        <f t="shared" si="23"/>
        <v/>
      </c>
      <c r="H157" s="149" t="str">
        <f t="shared" si="24"/>
        <v/>
      </c>
      <c r="I157" s="15"/>
      <c r="J157" s="15"/>
      <c r="K157" s="15"/>
      <c r="L157" s="15"/>
      <c r="M157" s="15"/>
      <c r="N157" s="180" t="str">
        <f>IF(A157="","",posicao_contratual!E157)</f>
        <v/>
      </c>
      <c r="O157" s="180" t="str">
        <f>IF(A157="","",posicao_contratual!I157)</f>
        <v/>
      </c>
      <c r="P157" s="180" t="str">
        <f>IF(A157="","",posicao_contratual!M157)</f>
        <v/>
      </c>
      <c r="Q157" s="180" t="str">
        <f>IF(A157="","",posicao_contratual!Q157)</f>
        <v/>
      </c>
      <c r="R157" s="180" t="str">
        <f>IF(A157="","",posicao_contratual!U157)</f>
        <v/>
      </c>
      <c r="S157" s="180" t="str">
        <f>IF(A157="","",posicao_contratual!G157)</f>
        <v/>
      </c>
      <c r="T157" s="180" t="str">
        <f>IF(A157="","",posicao_contratual!K157)</f>
        <v/>
      </c>
      <c r="U157" s="180" t="str">
        <f>IF(A157="","",posicao_contratual!O157)</f>
        <v/>
      </c>
      <c r="V157" s="180" t="str">
        <f>IF(A157="","",posicao_contratual!S157)</f>
        <v/>
      </c>
      <c r="W157" s="180" t="str">
        <f>IF(A157="","",posicao_contratual!W157)</f>
        <v/>
      </c>
    </row>
    <row r="158" spans="1:23" x14ac:dyDescent="0.35">
      <c r="A158" s="111" t="str">
        <f>IF(itens_Remanesc!A158="","",itens_Remanesc!A158)</f>
        <v/>
      </c>
      <c r="B158" s="110" t="str">
        <f>IF(posicao_contratual!A158="","",posicao_contratual!E158)</f>
        <v/>
      </c>
      <c r="C158" s="104" t="str">
        <f>IF(itens_Remanesc!A158="","",itens_Remanesc!C158)</f>
        <v/>
      </c>
      <c r="D158" s="104" t="str">
        <f t="shared" si="20"/>
        <v/>
      </c>
      <c r="E158" s="104" t="str">
        <f t="shared" si="21"/>
        <v/>
      </c>
      <c r="F158" s="104" t="str">
        <f t="shared" si="22"/>
        <v/>
      </c>
      <c r="G158" s="104" t="str">
        <f t="shared" si="23"/>
        <v/>
      </c>
      <c r="H158" s="149" t="str">
        <f t="shared" si="24"/>
        <v/>
      </c>
      <c r="I158" s="15"/>
      <c r="J158" s="15"/>
      <c r="K158" s="15"/>
      <c r="L158" s="15"/>
      <c r="M158" s="15"/>
      <c r="N158" s="180" t="str">
        <f>IF(A158="","",posicao_contratual!E158)</f>
        <v/>
      </c>
      <c r="O158" s="180" t="str">
        <f>IF(A158="","",posicao_contratual!I158)</f>
        <v/>
      </c>
      <c r="P158" s="180" t="str">
        <f>IF(A158="","",posicao_contratual!M158)</f>
        <v/>
      </c>
      <c r="Q158" s="180" t="str">
        <f>IF(A158="","",posicao_contratual!Q158)</f>
        <v/>
      </c>
      <c r="R158" s="180" t="str">
        <f>IF(A158="","",posicao_contratual!U158)</f>
        <v/>
      </c>
      <c r="S158" s="180" t="str">
        <f>IF(A158="","",posicao_contratual!G158)</f>
        <v/>
      </c>
      <c r="T158" s="180" t="str">
        <f>IF(A158="","",posicao_contratual!K158)</f>
        <v/>
      </c>
      <c r="U158" s="180" t="str">
        <f>IF(A158="","",posicao_contratual!O158)</f>
        <v/>
      </c>
      <c r="V158" s="180" t="str">
        <f>IF(A158="","",posicao_contratual!S158)</f>
        <v/>
      </c>
      <c r="W158" s="180" t="str">
        <f>IF(A158="","",posicao_contratual!W158)</f>
        <v/>
      </c>
    </row>
    <row r="159" spans="1:23" x14ac:dyDescent="0.35">
      <c r="A159" s="111" t="str">
        <f>IF(itens_Remanesc!A159="","",itens_Remanesc!A159)</f>
        <v/>
      </c>
      <c r="B159" s="110" t="str">
        <f>IF(posicao_contratual!A159="","",posicao_contratual!E159)</f>
        <v/>
      </c>
      <c r="C159" s="104" t="str">
        <f>IF(itens_Remanesc!A159="","",itens_Remanesc!C159)</f>
        <v/>
      </c>
      <c r="D159" s="104" t="str">
        <f t="shared" si="20"/>
        <v/>
      </c>
      <c r="E159" s="104" t="str">
        <f t="shared" si="21"/>
        <v/>
      </c>
      <c r="F159" s="104" t="str">
        <f t="shared" si="22"/>
        <v/>
      </c>
      <c r="G159" s="104" t="str">
        <f t="shared" si="23"/>
        <v/>
      </c>
      <c r="H159" s="149" t="str">
        <f t="shared" si="24"/>
        <v/>
      </c>
      <c r="I159" s="15"/>
      <c r="J159" s="15"/>
      <c r="K159" s="15"/>
      <c r="L159" s="15"/>
      <c r="M159" s="15"/>
      <c r="N159" s="180" t="str">
        <f>IF(A159="","",posicao_contratual!E159)</f>
        <v/>
      </c>
      <c r="O159" s="180" t="str">
        <f>IF(A159="","",posicao_contratual!I159)</f>
        <v/>
      </c>
      <c r="P159" s="180" t="str">
        <f>IF(A159="","",posicao_contratual!M159)</f>
        <v/>
      </c>
      <c r="Q159" s="180" t="str">
        <f>IF(A159="","",posicao_contratual!Q159)</f>
        <v/>
      </c>
      <c r="R159" s="180" t="str">
        <f>IF(A159="","",posicao_contratual!U159)</f>
        <v/>
      </c>
      <c r="S159" s="180" t="str">
        <f>IF(A159="","",posicao_contratual!G159)</f>
        <v/>
      </c>
      <c r="T159" s="180" t="str">
        <f>IF(A159="","",posicao_contratual!K159)</f>
        <v/>
      </c>
      <c r="U159" s="180" t="str">
        <f>IF(A159="","",posicao_contratual!O159)</f>
        <v/>
      </c>
      <c r="V159" s="180" t="str">
        <f>IF(A159="","",posicao_contratual!S159)</f>
        <v/>
      </c>
      <c r="W159" s="180" t="str">
        <f>IF(A159="","",posicao_contratual!W159)</f>
        <v/>
      </c>
    </row>
    <row r="160" spans="1:23" x14ac:dyDescent="0.35">
      <c r="A160" s="111" t="str">
        <f>IF(itens_Remanesc!A160="","",itens_Remanesc!A160)</f>
        <v/>
      </c>
      <c r="B160" s="110" t="str">
        <f>IF(posicao_contratual!A160="","",posicao_contratual!E160)</f>
        <v/>
      </c>
      <c r="C160" s="104" t="str">
        <f>IF(itens_Remanesc!A160="","",itens_Remanesc!C160)</f>
        <v/>
      </c>
      <c r="D160" s="104" t="str">
        <f t="shared" si="20"/>
        <v/>
      </c>
      <c r="E160" s="104" t="str">
        <f t="shared" si="21"/>
        <v/>
      </c>
      <c r="F160" s="104" t="str">
        <f t="shared" si="22"/>
        <v/>
      </c>
      <c r="G160" s="104" t="str">
        <f t="shared" si="23"/>
        <v/>
      </c>
      <c r="H160" s="149" t="str">
        <f t="shared" si="24"/>
        <v/>
      </c>
      <c r="I160" s="15"/>
      <c r="J160" s="15"/>
      <c r="K160" s="15"/>
      <c r="L160" s="15"/>
      <c r="M160" s="15"/>
      <c r="N160" s="180" t="str">
        <f>IF(A160="","",posicao_contratual!E160)</f>
        <v/>
      </c>
      <c r="O160" s="180" t="str">
        <f>IF(A160="","",posicao_contratual!I160)</f>
        <v/>
      </c>
      <c r="P160" s="180" t="str">
        <f>IF(A160="","",posicao_contratual!M160)</f>
        <v/>
      </c>
      <c r="Q160" s="180" t="str">
        <f>IF(A160="","",posicao_contratual!Q160)</f>
        <v/>
      </c>
      <c r="R160" s="180" t="str">
        <f>IF(A160="","",posicao_contratual!U160)</f>
        <v/>
      </c>
      <c r="S160" s="180" t="str">
        <f>IF(A160="","",posicao_contratual!G160)</f>
        <v/>
      </c>
      <c r="T160" s="180" t="str">
        <f>IF(A160="","",posicao_contratual!K160)</f>
        <v/>
      </c>
      <c r="U160" s="180" t="str">
        <f>IF(A160="","",posicao_contratual!O160)</f>
        <v/>
      </c>
      <c r="V160" s="180" t="str">
        <f>IF(A160="","",posicao_contratual!S160)</f>
        <v/>
      </c>
      <c r="W160" s="180" t="str">
        <f>IF(A160="","",posicao_contratual!W160)</f>
        <v/>
      </c>
    </row>
    <row r="161" spans="1:23" x14ac:dyDescent="0.35">
      <c r="A161" s="111" t="str">
        <f>IF(itens_Remanesc!A161="","",itens_Remanesc!A161)</f>
        <v/>
      </c>
      <c r="B161" s="110" t="str">
        <f>IF(posicao_contratual!A161="","",posicao_contratual!E161)</f>
        <v/>
      </c>
      <c r="C161" s="104" t="str">
        <f>IF(itens_Remanesc!A161="","",itens_Remanesc!C161)</f>
        <v/>
      </c>
      <c r="D161" s="104" t="str">
        <f t="shared" si="20"/>
        <v/>
      </c>
      <c r="E161" s="104" t="str">
        <f t="shared" si="21"/>
        <v/>
      </c>
      <c r="F161" s="104" t="str">
        <f t="shared" si="22"/>
        <v/>
      </c>
      <c r="G161" s="104" t="str">
        <f t="shared" si="23"/>
        <v/>
      </c>
      <c r="H161" s="149" t="str">
        <f t="shared" si="24"/>
        <v/>
      </c>
      <c r="I161" s="15"/>
      <c r="J161" s="15"/>
      <c r="K161" s="15"/>
      <c r="L161" s="15"/>
      <c r="M161" s="15"/>
      <c r="N161" s="180" t="str">
        <f>IF(A161="","",posicao_contratual!E161)</f>
        <v/>
      </c>
      <c r="O161" s="180" t="str">
        <f>IF(A161="","",posicao_contratual!I161)</f>
        <v/>
      </c>
      <c r="P161" s="180" t="str">
        <f>IF(A161="","",posicao_contratual!M161)</f>
        <v/>
      </c>
      <c r="Q161" s="180" t="str">
        <f>IF(A161="","",posicao_contratual!Q161)</f>
        <v/>
      </c>
      <c r="R161" s="180" t="str">
        <f>IF(A161="","",posicao_contratual!U161)</f>
        <v/>
      </c>
      <c r="S161" s="180" t="str">
        <f>IF(A161="","",posicao_contratual!G161)</f>
        <v/>
      </c>
      <c r="T161" s="180" t="str">
        <f>IF(A161="","",posicao_contratual!K161)</f>
        <v/>
      </c>
      <c r="U161" s="180" t="str">
        <f>IF(A161="","",posicao_contratual!O161)</f>
        <v/>
      </c>
      <c r="V161" s="180" t="str">
        <f>IF(A161="","",posicao_contratual!S161)</f>
        <v/>
      </c>
      <c r="W161" s="180" t="str">
        <f>IF(A161="","",posicao_contratual!W161)</f>
        <v/>
      </c>
    </row>
    <row r="162" spans="1:23" x14ac:dyDescent="0.35">
      <c r="A162" s="111" t="str">
        <f>IF(itens_Remanesc!A162="","",itens_Remanesc!A162)</f>
        <v/>
      </c>
      <c r="B162" s="110" t="str">
        <f>IF(posicao_contratual!A162="","",posicao_contratual!E162)</f>
        <v/>
      </c>
      <c r="C162" s="104" t="str">
        <f>IF(itens_Remanesc!A162="","",itens_Remanesc!C162)</f>
        <v/>
      </c>
      <c r="D162" s="104" t="str">
        <f t="shared" ref="D162:D193" si="25">IF(OR(A162="",C162="",NOT(ISNUMBER($L$3))),"",ROUND(C162*$L$3,2))</f>
        <v/>
      </c>
      <c r="E162" s="104" t="str">
        <f t="shared" ref="E162:E193" si="26">IF(OR(A162="",C162="",NOT(ISNUMBER($L$4))),"",ROUND(C162*$L$4,2))</f>
        <v/>
      </c>
      <c r="F162" s="104" t="str">
        <f t="shared" ref="F162:F193" si="27">IF(OR(A162="",C162="",NOT(ISNUMBER($L$5))),"",ROUND(C162*$L$5,2))</f>
        <v/>
      </c>
      <c r="G162" s="104" t="str">
        <f t="shared" ref="G162:G193" si="28">IF(OR(A162="",C162="",NOT(ISNUMBER($L$6))),"",ROUND(C162*$L$6,2))</f>
        <v/>
      </c>
      <c r="H162" s="149" t="str">
        <f t="shared" ref="H162:H193" si="29">IF(OR(A162="",C162="",C162=0,NOT(ISNUMBER($L$6))),"",ROUND($L$6-1,4))</f>
        <v/>
      </c>
      <c r="I162" s="15"/>
      <c r="J162" s="15"/>
      <c r="K162" s="15"/>
      <c r="L162" s="15"/>
      <c r="M162" s="15"/>
      <c r="N162" s="180" t="str">
        <f>IF(A162="","",posicao_contratual!E162)</f>
        <v/>
      </c>
      <c r="O162" s="180" t="str">
        <f>IF(A162="","",posicao_contratual!I162)</f>
        <v/>
      </c>
      <c r="P162" s="180" t="str">
        <f>IF(A162="","",posicao_contratual!M162)</f>
        <v/>
      </c>
      <c r="Q162" s="180" t="str">
        <f>IF(A162="","",posicao_contratual!Q162)</f>
        <v/>
      </c>
      <c r="R162" s="180" t="str">
        <f>IF(A162="","",posicao_contratual!U162)</f>
        <v/>
      </c>
      <c r="S162" s="180" t="str">
        <f>IF(A162="","",posicao_contratual!G162)</f>
        <v/>
      </c>
      <c r="T162" s="180" t="str">
        <f>IF(A162="","",posicao_contratual!K162)</f>
        <v/>
      </c>
      <c r="U162" s="180" t="str">
        <f>IF(A162="","",posicao_contratual!O162)</f>
        <v/>
      </c>
      <c r="V162" s="180" t="str">
        <f>IF(A162="","",posicao_contratual!S162)</f>
        <v/>
      </c>
      <c r="W162" s="180" t="str">
        <f>IF(A162="","",posicao_contratual!W162)</f>
        <v/>
      </c>
    </row>
    <row r="163" spans="1:23" x14ac:dyDescent="0.35">
      <c r="A163" s="111" t="str">
        <f>IF(itens_Remanesc!A163="","",itens_Remanesc!A163)</f>
        <v/>
      </c>
      <c r="B163" s="110" t="str">
        <f>IF(posicao_contratual!A163="","",posicao_contratual!E163)</f>
        <v/>
      </c>
      <c r="C163" s="104" t="str">
        <f>IF(itens_Remanesc!A163="","",itens_Remanesc!C163)</f>
        <v/>
      </c>
      <c r="D163" s="104" t="str">
        <f t="shared" si="25"/>
        <v/>
      </c>
      <c r="E163" s="104" t="str">
        <f t="shared" si="26"/>
        <v/>
      </c>
      <c r="F163" s="104" t="str">
        <f t="shared" si="27"/>
        <v/>
      </c>
      <c r="G163" s="104" t="str">
        <f t="shared" si="28"/>
        <v/>
      </c>
      <c r="H163" s="149" t="str">
        <f t="shared" si="29"/>
        <v/>
      </c>
      <c r="I163" s="15"/>
      <c r="J163" s="15"/>
      <c r="K163" s="15"/>
      <c r="L163" s="15"/>
      <c r="M163" s="15"/>
      <c r="N163" s="180" t="str">
        <f>IF(A163="","",posicao_contratual!E163)</f>
        <v/>
      </c>
      <c r="O163" s="180" t="str">
        <f>IF(A163="","",posicao_contratual!I163)</f>
        <v/>
      </c>
      <c r="P163" s="180" t="str">
        <f>IF(A163="","",posicao_contratual!M163)</f>
        <v/>
      </c>
      <c r="Q163" s="180" t="str">
        <f>IF(A163="","",posicao_contratual!Q163)</f>
        <v/>
      </c>
      <c r="R163" s="180" t="str">
        <f>IF(A163="","",posicao_contratual!U163)</f>
        <v/>
      </c>
      <c r="S163" s="180" t="str">
        <f>IF(A163="","",posicao_contratual!G163)</f>
        <v/>
      </c>
      <c r="T163" s="180" t="str">
        <f>IF(A163="","",posicao_contratual!K163)</f>
        <v/>
      </c>
      <c r="U163" s="180" t="str">
        <f>IF(A163="","",posicao_contratual!O163)</f>
        <v/>
      </c>
      <c r="V163" s="180" t="str">
        <f>IF(A163="","",posicao_contratual!S163)</f>
        <v/>
      </c>
      <c r="W163" s="180" t="str">
        <f>IF(A163="","",posicao_contratual!W163)</f>
        <v/>
      </c>
    </row>
    <row r="164" spans="1:23" x14ac:dyDescent="0.35">
      <c r="A164" s="111" t="str">
        <f>IF(itens_Remanesc!A164="","",itens_Remanesc!A164)</f>
        <v/>
      </c>
      <c r="B164" s="110" t="str">
        <f>IF(posicao_contratual!A164="","",posicao_contratual!E164)</f>
        <v/>
      </c>
      <c r="C164" s="104" t="str">
        <f>IF(itens_Remanesc!A164="","",itens_Remanesc!C164)</f>
        <v/>
      </c>
      <c r="D164" s="104" t="str">
        <f t="shared" si="25"/>
        <v/>
      </c>
      <c r="E164" s="104" t="str">
        <f t="shared" si="26"/>
        <v/>
      </c>
      <c r="F164" s="104" t="str">
        <f t="shared" si="27"/>
        <v/>
      </c>
      <c r="G164" s="104" t="str">
        <f t="shared" si="28"/>
        <v/>
      </c>
      <c r="H164" s="149" t="str">
        <f t="shared" si="29"/>
        <v/>
      </c>
      <c r="I164" s="15"/>
      <c r="J164" s="15"/>
      <c r="K164" s="15"/>
      <c r="L164" s="15"/>
      <c r="M164" s="15"/>
      <c r="N164" s="180" t="str">
        <f>IF(A164="","",posicao_contratual!E164)</f>
        <v/>
      </c>
      <c r="O164" s="180" t="str">
        <f>IF(A164="","",posicao_contratual!I164)</f>
        <v/>
      </c>
      <c r="P164" s="180" t="str">
        <f>IF(A164="","",posicao_contratual!M164)</f>
        <v/>
      </c>
      <c r="Q164" s="180" t="str">
        <f>IF(A164="","",posicao_contratual!Q164)</f>
        <v/>
      </c>
      <c r="R164" s="180" t="str">
        <f>IF(A164="","",posicao_contratual!U164)</f>
        <v/>
      </c>
      <c r="S164" s="180" t="str">
        <f>IF(A164="","",posicao_contratual!G164)</f>
        <v/>
      </c>
      <c r="T164" s="180" t="str">
        <f>IF(A164="","",posicao_contratual!K164)</f>
        <v/>
      </c>
      <c r="U164" s="180" t="str">
        <f>IF(A164="","",posicao_contratual!O164)</f>
        <v/>
      </c>
      <c r="V164" s="180" t="str">
        <f>IF(A164="","",posicao_contratual!S164)</f>
        <v/>
      </c>
      <c r="W164" s="180" t="str">
        <f>IF(A164="","",posicao_contratual!W164)</f>
        <v/>
      </c>
    </row>
    <row r="165" spans="1:23" x14ac:dyDescent="0.35">
      <c r="A165" s="111" t="str">
        <f>IF(itens_Remanesc!A165="","",itens_Remanesc!A165)</f>
        <v/>
      </c>
      <c r="B165" s="110" t="str">
        <f>IF(posicao_contratual!A165="","",posicao_contratual!E165)</f>
        <v/>
      </c>
      <c r="C165" s="104" t="str">
        <f>IF(itens_Remanesc!A165="","",itens_Remanesc!C165)</f>
        <v/>
      </c>
      <c r="D165" s="104" t="str">
        <f t="shared" si="25"/>
        <v/>
      </c>
      <c r="E165" s="104" t="str">
        <f t="shared" si="26"/>
        <v/>
      </c>
      <c r="F165" s="104" t="str">
        <f t="shared" si="27"/>
        <v/>
      </c>
      <c r="G165" s="104" t="str">
        <f t="shared" si="28"/>
        <v/>
      </c>
      <c r="H165" s="149" t="str">
        <f t="shared" si="29"/>
        <v/>
      </c>
      <c r="I165" s="15"/>
      <c r="J165" s="15"/>
      <c r="K165" s="15"/>
      <c r="L165" s="15"/>
      <c r="M165" s="15"/>
      <c r="N165" s="180" t="str">
        <f>IF(A165="","",posicao_contratual!E165)</f>
        <v/>
      </c>
      <c r="O165" s="180" t="str">
        <f>IF(A165="","",posicao_contratual!I165)</f>
        <v/>
      </c>
      <c r="P165" s="180" t="str">
        <f>IF(A165="","",posicao_contratual!M165)</f>
        <v/>
      </c>
      <c r="Q165" s="180" t="str">
        <f>IF(A165="","",posicao_contratual!Q165)</f>
        <v/>
      </c>
      <c r="R165" s="180" t="str">
        <f>IF(A165="","",posicao_contratual!U165)</f>
        <v/>
      </c>
      <c r="S165" s="180" t="str">
        <f>IF(A165="","",posicao_contratual!G165)</f>
        <v/>
      </c>
      <c r="T165" s="180" t="str">
        <f>IF(A165="","",posicao_contratual!K165)</f>
        <v/>
      </c>
      <c r="U165" s="180" t="str">
        <f>IF(A165="","",posicao_contratual!O165)</f>
        <v/>
      </c>
      <c r="V165" s="180" t="str">
        <f>IF(A165="","",posicao_contratual!S165)</f>
        <v/>
      </c>
      <c r="W165" s="180" t="str">
        <f>IF(A165="","",posicao_contratual!W165)</f>
        <v/>
      </c>
    </row>
    <row r="166" spans="1:23" x14ac:dyDescent="0.35">
      <c r="A166" s="111" t="str">
        <f>IF(itens_Remanesc!A166="","",itens_Remanesc!A166)</f>
        <v/>
      </c>
      <c r="B166" s="110" t="str">
        <f>IF(posicao_contratual!A166="","",posicao_contratual!E166)</f>
        <v/>
      </c>
      <c r="C166" s="104" t="str">
        <f>IF(itens_Remanesc!A166="","",itens_Remanesc!C166)</f>
        <v/>
      </c>
      <c r="D166" s="104" t="str">
        <f t="shared" si="25"/>
        <v/>
      </c>
      <c r="E166" s="104" t="str">
        <f t="shared" si="26"/>
        <v/>
      </c>
      <c r="F166" s="104" t="str">
        <f t="shared" si="27"/>
        <v/>
      </c>
      <c r="G166" s="104" t="str">
        <f t="shared" si="28"/>
        <v/>
      </c>
      <c r="H166" s="149" t="str">
        <f t="shared" si="29"/>
        <v/>
      </c>
      <c r="I166" s="15"/>
      <c r="J166" s="15"/>
      <c r="K166" s="15"/>
      <c r="L166" s="15"/>
      <c r="M166" s="15"/>
      <c r="N166" s="180" t="str">
        <f>IF(A166="","",posicao_contratual!E166)</f>
        <v/>
      </c>
      <c r="O166" s="180" t="str">
        <f>IF(A166="","",posicao_contratual!I166)</f>
        <v/>
      </c>
      <c r="P166" s="180" t="str">
        <f>IF(A166="","",posicao_contratual!M166)</f>
        <v/>
      </c>
      <c r="Q166" s="180" t="str">
        <f>IF(A166="","",posicao_contratual!Q166)</f>
        <v/>
      </c>
      <c r="R166" s="180" t="str">
        <f>IF(A166="","",posicao_contratual!U166)</f>
        <v/>
      </c>
      <c r="S166" s="180" t="str">
        <f>IF(A166="","",posicao_contratual!G166)</f>
        <v/>
      </c>
      <c r="T166" s="180" t="str">
        <f>IF(A166="","",posicao_contratual!K166)</f>
        <v/>
      </c>
      <c r="U166" s="180" t="str">
        <f>IF(A166="","",posicao_contratual!O166)</f>
        <v/>
      </c>
      <c r="V166" s="180" t="str">
        <f>IF(A166="","",posicao_contratual!S166)</f>
        <v/>
      </c>
      <c r="W166" s="180" t="str">
        <f>IF(A166="","",posicao_contratual!W166)</f>
        <v/>
      </c>
    </row>
    <row r="167" spans="1:23" x14ac:dyDescent="0.35">
      <c r="A167" s="111" t="str">
        <f>IF(itens_Remanesc!A167="","",itens_Remanesc!A167)</f>
        <v/>
      </c>
      <c r="B167" s="110" t="str">
        <f>IF(posicao_contratual!A167="","",posicao_contratual!E167)</f>
        <v/>
      </c>
      <c r="C167" s="104" t="str">
        <f>IF(itens_Remanesc!A167="","",itens_Remanesc!C167)</f>
        <v/>
      </c>
      <c r="D167" s="104" t="str">
        <f t="shared" si="25"/>
        <v/>
      </c>
      <c r="E167" s="104" t="str">
        <f t="shared" si="26"/>
        <v/>
      </c>
      <c r="F167" s="104" t="str">
        <f t="shared" si="27"/>
        <v/>
      </c>
      <c r="G167" s="104" t="str">
        <f t="shared" si="28"/>
        <v/>
      </c>
      <c r="H167" s="149" t="str">
        <f t="shared" si="29"/>
        <v/>
      </c>
      <c r="I167" s="15"/>
      <c r="J167" s="15"/>
      <c r="K167" s="15"/>
      <c r="L167" s="15"/>
      <c r="M167" s="15"/>
      <c r="N167" s="180" t="str">
        <f>IF(A167="","",posicao_contratual!E167)</f>
        <v/>
      </c>
      <c r="O167" s="180" t="str">
        <f>IF(A167="","",posicao_contratual!I167)</f>
        <v/>
      </c>
      <c r="P167" s="180" t="str">
        <f>IF(A167="","",posicao_contratual!M167)</f>
        <v/>
      </c>
      <c r="Q167" s="180" t="str">
        <f>IF(A167="","",posicao_contratual!Q167)</f>
        <v/>
      </c>
      <c r="R167" s="180" t="str">
        <f>IF(A167="","",posicao_contratual!U167)</f>
        <v/>
      </c>
      <c r="S167" s="180" t="str">
        <f>IF(A167="","",posicao_contratual!G167)</f>
        <v/>
      </c>
      <c r="T167" s="180" t="str">
        <f>IF(A167="","",posicao_contratual!K167)</f>
        <v/>
      </c>
      <c r="U167" s="180" t="str">
        <f>IF(A167="","",posicao_contratual!O167)</f>
        <v/>
      </c>
      <c r="V167" s="180" t="str">
        <f>IF(A167="","",posicao_contratual!S167)</f>
        <v/>
      </c>
      <c r="W167" s="180" t="str">
        <f>IF(A167="","",posicao_contratual!W167)</f>
        <v/>
      </c>
    </row>
    <row r="168" spans="1:23" x14ac:dyDescent="0.35">
      <c r="A168" s="111" t="str">
        <f>IF(itens_Remanesc!A168="","",itens_Remanesc!A168)</f>
        <v/>
      </c>
      <c r="B168" s="110" t="str">
        <f>IF(posicao_contratual!A168="","",posicao_contratual!E168)</f>
        <v/>
      </c>
      <c r="C168" s="104" t="str">
        <f>IF(itens_Remanesc!A168="","",itens_Remanesc!C168)</f>
        <v/>
      </c>
      <c r="D168" s="104" t="str">
        <f t="shared" si="25"/>
        <v/>
      </c>
      <c r="E168" s="104" t="str">
        <f t="shared" si="26"/>
        <v/>
      </c>
      <c r="F168" s="104" t="str">
        <f t="shared" si="27"/>
        <v/>
      </c>
      <c r="G168" s="104" t="str">
        <f t="shared" si="28"/>
        <v/>
      </c>
      <c r="H168" s="149" t="str">
        <f t="shared" si="29"/>
        <v/>
      </c>
      <c r="I168" s="15"/>
      <c r="J168" s="15"/>
      <c r="K168" s="15"/>
      <c r="L168" s="15"/>
      <c r="M168" s="15"/>
      <c r="N168" s="180" t="str">
        <f>IF(A168="","",posicao_contratual!E168)</f>
        <v/>
      </c>
      <c r="O168" s="180" t="str">
        <f>IF(A168="","",posicao_contratual!I168)</f>
        <v/>
      </c>
      <c r="P168" s="180" t="str">
        <f>IF(A168="","",posicao_contratual!M168)</f>
        <v/>
      </c>
      <c r="Q168" s="180" t="str">
        <f>IF(A168="","",posicao_contratual!Q168)</f>
        <v/>
      </c>
      <c r="R168" s="180" t="str">
        <f>IF(A168="","",posicao_contratual!U168)</f>
        <v/>
      </c>
      <c r="S168" s="180" t="str">
        <f>IF(A168="","",posicao_contratual!G168)</f>
        <v/>
      </c>
      <c r="T168" s="180" t="str">
        <f>IF(A168="","",posicao_contratual!K168)</f>
        <v/>
      </c>
      <c r="U168" s="180" t="str">
        <f>IF(A168="","",posicao_contratual!O168)</f>
        <v/>
      </c>
      <c r="V168" s="180" t="str">
        <f>IF(A168="","",posicao_contratual!S168)</f>
        <v/>
      </c>
      <c r="W168" s="180" t="str">
        <f>IF(A168="","",posicao_contratual!W168)</f>
        <v/>
      </c>
    </row>
    <row r="169" spans="1:23" x14ac:dyDescent="0.35">
      <c r="A169" s="111" t="str">
        <f>IF(itens_Remanesc!A169="","",itens_Remanesc!A169)</f>
        <v/>
      </c>
      <c r="B169" s="110" t="str">
        <f>IF(posicao_contratual!A169="","",posicao_contratual!E169)</f>
        <v/>
      </c>
      <c r="C169" s="104" t="str">
        <f>IF(itens_Remanesc!A169="","",itens_Remanesc!C169)</f>
        <v/>
      </c>
      <c r="D169" s="104" t="str">
        <f t="shared" si="25"/>
        <v/>
      </c>
      <c r="E169" s="104" t="str">
        <f t="shared" si="26"/>
        <v/>
      </c>
      <c r="F169" s="104" t="str">
        <f t="shared" si="27"/>
        <v/>
      </c>
      <c r="G169" s="104" t="str">
        <f t="shared" si="28"/>
        <v/>
      </c>
      <c r="H169" s="149" t="str">
        <f t="shared" si="29"/>
        <v/>
      </c>
      <c r="I169" s="15"/>
      <c r="J169" s="15"/>
      <c r="K169" s="15"/>
      <c r="L169" s="15"/>
      <c r="M169" s="15"/>
      <c r="N169" s="180" t="str">
        <f>IF(A169="","",posicao_contratual!E169)</f>
        <v/>
      </c>
      <c r="O169" s="180" t="str">
        <f>IF(A169="","",posicao_contratual!I169)</f>
        <v/>
      </c>
      <c r="P169" s="180" t="str">
        <f>IF(A169="","",posicao_contratual!M169)</f>
        <v/>
      </c>
      <c r="Q169" s="180" t="str">
        <f>IF(A169="","",posicao_contratual!Q169)</f>
        <v/>
      </c>
      <c r="R169" s="180" t="str">
        <f>IF(A169="","",posicao_contratual!U169)</f>
        <v/>
      </c>
      <c r="S169" s="180" t="str">
        <f>IF(A169="","",posicao_contratual!G169)</f>
        <v/>
      </c>
      <c r="T169" s="180" t="str">
        <f>IF(A169="","",posicao_contratual!K169)</f>
        <v/>
      </c>
      <c r="U169" s="180" t="str">
        <f>IF(A169="","",posicao_contratual!O169)</f>
        <v/>
      </c>
      <c r="V169" s="180" t="str">
        <f>IF(A169="","",posicao_contratual!S169)</f>
        <v/>
      </c>
      <c r="W169" s="180" t="str">
        <f>IF(A169="","",posicao_contratual!W169)</f>
        <v/>
      </c>
    </row>
    <row r="170" spans="1:23" x14ac:dyDescent="0.35">
      <c r="A170" s="111" t="str">
        <f>IF(itens_Remanesc!A170="","",itens_Remanesc!A170)</f>
        <v/>
      </c>
      <c r="B170" s="110" t="str">
        <f>IF(posicao_contratual!A170="","",posicao_contratual!E170)</f>
        <v/>
      </c>
      <c r="C170" s="104" t="str">
        <f>IF(itens_Remanesc!A170="","",itens_Remanesc!C170)</f>
        <v/>
      </c>
      <c r="D170" s="104" t="str">
        <f t="shared" si="25"/>
        <v/>
      </c>
      <c r="E170" s="104" t="str">
        <f t="shared" si="26"/>
        <v/>
      </c>
      <c r="F170" s="104" t="str">
        <f t="shared" si="27"/>
        <v/>
      </c>
      <c r="G170" s="104" t="str">
        <f t="shared" si="28"/>
        <v/>
      </c>
      <c r="H170" s="149" t="str">
        <f t="shared" si="29"/>
        <v/>
      </c>
      <c r="I170" s="15"/>
      <c r="J170" s="15"/>
      <c r="K170" s="15"/>
      <c r="L170" s="15"/>
      <c r="M170" s="15"/>
      <c r="N170" s="180" t="str">
        <f>IF(A170="","",posicao_contratual!E170)</f>
        <v/>
      </c>
      <c r="O170" s="180" t="str">
        <f>IF(A170="","",posicao_contratual!I170)</f>
        <v/>
      </c>
      <c r="P170" s="180" t="str">
        <f>IF(A170="","",posicao_contratual!M170)</f>
        <v/>
      </c>
      <c r="Q170" s="180" t="str">
        <f>IF(A170="","",posicao_contratual!Q170)</f>
        <v/>
      </c>
      <c r="R170" s="180" t="str">
        <f>IF(A170="","",posicao_contratual!U170)</f>
        <v/>
      </c>
      <c r="S170" s="180" t="str">
        <f>IF(A170="","",posicao_contratual!G170)</f>
        <v/>
      </c>
      <c r="T170" s="180" t="str">
        <f>IF(A170="","",posicao_contratual!K170)</f>
        <v/>
      </c>
      <c r="U170" s="180" t="str">
        <f>IF(A170="","",posicao_contratual!O170)</f>
        <v/>
      </c>
      <c r="V170" s="180" t="str">
        <f>IF(A170="","",posicao_contratual!S170)</f>
        <v/>
      </c>
      <c r="W170" s="180" t="str">
        <f>IF(A170="","",posicao_contratual!W170)</f>
        <v/>
      </c>
    </row>
    <row r="171" spans="1:23" x14ac:dyDescent="0.35">
      <c r="A171" s="111" t="str">
        <f>IF(itens_Remanesc!A171="","",itens_Remanesc!A171)</f>
        <v/>
      </c>
      <c r="B171" s="110" t="str">
        <f>IF(posicao_contratual!A171="","",posicao_contratual!E171)</f>
        <v/>
      </c>
      <c r="C171" s="104" t="str">
        <f>IF(itens_Remanesc!A171="","",itens_Remanesc!C171)</f>
        <v/>
      </c>
      <c r="D171" s="104" t="str">
        <f t="shared" si="25"/>
        <v/>
      </c>
      <c r="E171" s="104" t="str">
        <f t="shared" si="26"/>
        <v/>
      </c>
      <c r="F171" s="104" t="str">
        <f t="shared" si="27"/>
        <v/>
      </c>
      <c r="G171" s="104" t="str">
        <f t="shared" si="28"/>
        <v/>
      </c>
      <c r="H171" s="149" t="str">
        <f t="shared" si="29"/>
        <v/>
      </c>
      <c r="I171" s="15"/>
      <c r="J171" s="15"/>
      <c r="K171" s="15"/>
      <c r="L171" s="15"/>
      <c r="M171" s="15"/>
      <c r="N171" s="180" t="str">
        <f>IF(A171="","",posicao_contratual!E171)</f>
        <v/>
      </c>
      <c r="O171" s="180" t="str">
        <f>IF(A171="","",posicao_contratual!I171)</f>
        <v/>
      </c>
      <c r="P171" s="180" t="str">
        <f>IF(A171="","",posicao_contratual!M171)</f>
        <v/>
      </c>
      <c r="Q171" s="180" t="str">
        <f>IF(A171="","",posicao_contratual!Q171)</f>
        <v/>
      </c>
      <c r="R171" s="180" t="str">
        <f>IF(A171="","",posicao_contratual!U171)</f>
        <v/>
      </c>
      <c r="S171" s="180" t="str">
        <f>IF(A171="","",posicao_contratual!G171)</f>
        <v/>
      </c>
      <c r="T171" s="180" t="str">
        <f>IF(A171="","",posicao_contratual!K171)</f>
        <v/>
      </c>
      <c r="U171" s="180" t="str">
        <f>IF(A171="","",posicao_contratual!O171)</f>
        <v/>
      </c>
      <c r="V171" s="180" t="str">
        <f>IF(A171="","",posicao_contratual!S171)</f>
        <v/>
      </c>
      <c r="W171" s="180" t="str">
        <f>IF(A171="","",posicao_contratual!W171)</f>
        <v/>
      </c>
    </row>
    <row r="172" spans="1:23" x14ac:dyDescent="0.35">
      <c r="A172" s="111" t="str">
        <f>IF(itens_Remanesc!A172="","",itens_Remanesc!A172)</f>
        <v/>
      </c>
      <c r="B172" s="110" t="str">
        <f>IF(posicao_contratual!A172="","",posicao_contratual!E172)</f>
        <v/>
      </c>
      <c r="C172" s="104" t="str">
        <f>IF(itens_Remanesc!A172="","",itens_Remanesc!C172)</f>
        <v/>
      </c>
      <c r="D172" s="104" t="str">
        <f t="shared" si="25"/>
        <v/>
      </c>
      <c r="E172" s="104" t="str">
        <f t="shared" si="26"/>
        <v/>
      </c>
      <c r="F172" s="104" t="str">
        <f t="shared" si="27"/>
        <v/>
      </c>
      <c r="G172" s="104" t="str">
        <f t="shared" si="28"/>
        <v/>
      </c>
      <c r="H172" s="149" t="str">
        <f t="shared" si="29"/>
        <v/>
      </c>
      <c r="I172" s="15"/>
      <c r="J172" s="15"/>
      <c r="K172" s="15"/>
      <c r="L172" s="15"/>
      <c r="M172" s="15"/>
      <c r="N172" s="180" t="str">
        <f>IF(A172="","",posicao_contratual!E172)</f>
        <v/>
      </c>
      <c r="O172" s="180" t="str">
        <f>IF(A172="","",posicao_contratual!I172)</f>
        <v/>
      </c>
      <c r="P172" s="180" t="str">
        <f>IF(A172="","",posicao_contratual!M172)</f>
        <v/>
      </c>
      <c r="Q172" s="180" t="str">
        <f>IF(A172="","",posicao_contratual!Q172)</f>
        <v/>
      </c>
      <c r="R172" s="180" t="str">
        <f>IF(A172="","",posicao_contratual!U172)</f>
        <v/>
      </c>
      <c r="S172" s="180" t="str">
        <f>IF(A172="","",posicao_contratual!G172)</f>
        <v/>
      </c>
      <c r="T172" s="180" t="str">
        <f>IF(A172="","",posicao_contratual!K172)</f>
        <v/>
      </c>
      <c r="U172" s="180" t="str">
        <f>IF(A172="","",posicao_contratual!O172)</f>
        <v/>
      </c>
      <c r="V172" s="180" t="str">
        <f>IF(A172="","",posicao_contratual!S172)</f>
        <v/>
      </c>
      <c r="W172" s="180" t="str">
        <f>IF(A172="","",posicao_contratual!W172)</f>
        <v/>
      </c>
    </row>
    <row r="173" spans="1:23" x14ac:dyDescent="0.35">
      <c r="A173" s="111" t="str">
        <f>IF(itens_Remanesc!A173="","",itens_Remanesc!A173)</f>
        <v/>
      </c>
      <c r="B173" s="110" t="str">
        <f>IF(posicao_contratual!A173="","",posicao_contratual!E173)</f>
        <v/>
      </c>
      <c r="C173" s="104" t="str">
        <f>IF(itens_Remanesc!A173="","",itens_Remanesc!C173)</f>
        <v/>
      </c>
      <c r="D173" s="104" t="str">
        <f t="shared" si="25"/>
        <v/>
      </c>
      <c r="E173" s="104" t="str">
        <f t="shared" si="26"/>
        <v/>
      </c>
      <c r="F173" s="104" t="str">
        <f t="shared" si="27"/>
        <v/>
      </c>
      <c r="G173" s="104" t="str">
        <f t="shared" si="28"/>
        <v/>
      </c>
      <c r="H173" s="149" t="str">
        <f t="shared" si="29"/>
        <v/>
      </c>
      <c r="I173" s="15"/>
      <c r="J173" s="15"/>
      <c r="K173" s="15"/>
      <c r="L173" s="15"/>
      <c r="M173" s="15"/>
      <c r="N173" s="180" t="str">
        <f>IF(A173="","",posicao_contratual!E173)</f>
        <v/>
      </c>
      <c r="O173" s="180" t="str">
        <f>IF(A173="","",posicao_contratual!I173)</f>
        <v/>
      </c>
      <c r="P173" s="180" t="str">
        <f>IF(A173="","",posicao_contratual!M173)</f>
        <v/>
      </c>
      <c r="Q173" s="180" t="str">
        <f>IF(A173="","",posicao_contratual!Q173)</f>
        <v/>
      </c>
      <c r="R173" s="180" t="str">
        <f>IF(A173="","",posicao_contratual!U173)</f>
        <v/>
      </c>
      <c r="S173" s="180" t="str">
        <f>IF(A173="","",posicao_contratual!G173)</f>
        <v/>
      </c>
      <c r="T173" s="180" t="str">
        <f>IF(A173="","",posicao_contratual!K173)</f>
        <v/>
      </c>
      <c r="U173" s="180" t="str">
        <f>IF(A173="","",posicao_contratual!O173)</f>
        <v/>
      </c>
      <c r="V173" s="180" t="str">
        <f>IF(A173="","",posicao_contratual!S173)</f>
        <v/>
      </c>
      <c r="W173" s="180" t="str">
        <f>IF(A173="","",posicao_contratual!W173)</f>
        <v/>
      </c>
    </row>
    <row r="174" spans="1:23" x14ac:dyDescent="0.35">
      <c r="A174" s="111" t="str">
        <f>IF(itens_Remanesc!A174="","",itens_Remanesc!A174)</f>
        <v/>
      </c>
      <c r="B174" s="110" t="str">
        <f>IF(posicao_contratual!A174="","",posicao_contratual!E174)</f>
        <v/>
      </c>
      <c r="C174" s="104" t="str">
        <f>IF(itens_Remanesc!A174="","",itens_Remanesc!C174)</f>
        <v/>
      </c>
      <c r="D174" s="104" t="str">
        <f t="shared" si="25"/>
        <v/>
      </c>
      <c r="E174" s="104" t="str">
        <f t="shared" si="26"/>
        <v/>
      </c>
      <c r="F174" s="104" t="str">
        <f t="shared" si="27"/>
        <v/>
      </c>
      <c r="G174" s="104" t="str">
        <f t="shared" si="28"/>
        <v/>
      </c>
      <c r="H174" s="149" t="str">
        <f t="shared" si="29"/>
        <v/>
      </c>
      <c r="I174" s="15"/>
      <c r="J174" s="15"/>
      <c r="K174" s="15"/>
      <c r="L174" s="15"/>
      <c r="M174" s="15"/>
      <c r="N174" s="180" t="str">
        <f>IF(A174="","",posicao_contratual!E174)</f>
        <v/>
      </c>
      <c r="O174" s="180" t="str">
        <f>IF(A174="","",posicao_contratual!I174)</f>
        <v/>
      </c>
      <c r="P174" s="180" t="str">
        <f>IF(A174="","",posicao_contratual!M174)</f>
        <v/>
      </c>
      <c r="Q174" s="180" t="str">
        <f>IF(A174="","",posicao_contratual!Q174)</f>
        <v/>
      </c>
      <c r="R174" s="180" t="str">
        <f>IF(A174="","",posicao_contratual!U174)</f>
        <v/>
      </c>
      <c r="S174" s="180" t="str">
        <f>IF(A174="","",posicao_contratual!G174)</f>
        <v/>
      </c>
      <c r="T174" s="180" t="str">
        <f>IF(A174="","",posicao_contratual!K174)</f>
        <v/>
      </c>
      <c r="U174" s="180" t="str">
        <f>IF(A174="","",posicao_contratual!O174)</f>
        <v/>
      </c>
      <c r="V174" s="180" t="str">
        <f>IF(A174="","",posicao_contratual!S174)</f>
        <v/>
      </c>
      <c r="W174" s="180" t="str">
        <f>IF(A174="","",posicao_contratual!W174)</f>
        <v/>
      </c>
    </row>
    <row r="175" spans="1:23" x14ac:dyDescent="0.35">
      <c r="A175" s="111" t="str">
        <f>IF(itens_Remanesc!A175="","",itens_Remanesc!A175)</f>
        <v/>
      </c>
      <c r="B175" s="110" t="str">
        <f>IF(posicao_contratual!A175="","",posicao_contratual!E175)</f>
        <v/>
      </c>
      <c r="C175" s="104" t="str">
        <f>IF(itens_Remanesc!A175="","",itens_Remanesc!C175)</f>
        <v/>
      </c>
      <c r="D175" s="104" t="str">
        <f t="shared" si="25"/>
        <v/>
      </c>
      <c r="E175" s="104" t="str">
        <f t="shared" si="26"/>
        <v/>
      </c>
      <c r="F175" s="104" t="str">
        <f t="shared" si="27"/>
        <v/>
      </c>
      <c r="G175" s="104" t="str">
        <f t="shared" si="28"/>
        <v/>
      </c>
      <c r="H175" s="149" t="str">
        <f t="shared" si="29"/>
        <v/>
      </c>
      <c r="I175" s="15"/>
      <c r="J175" s="15"/>
      <c r="K175" s="15"/>
      <c r="L175" s="15"/>
      <c r="M175" s="15"/>
      <c r="N175" s="180" t="str">
        <f>IF(A175="","",posicao_contratual!E175)</f>
        <v/>
      </c>
      <c r="O175" s="180" t="str">
        <f>IF(A175="","",posicao_contratual!I175)</f>
        <v/>
      </c>
      <c r="P175" s="180" t="str">
        <f>IF(A175="","",posicao_contratual!M175)</f>
        <v/>
      </c>
      <c r="Q175" s="180" t="str">
        <f>IF(A175="","",posicao_contratual!Q175)</f>
        <v/>
      </c>
      <c r="R175" s="180" t="str">
        <f>IF(A175="","",posicao_contratual!U175)</f>
        <v/>
      </c>
      <c r="S175" s="180" t="str">
        <f>IF(A175="","",posicao_contratual!G175)</f>
        <v/>
      </c>
      <c r="T175" s="180" t="str">
        <f>IF(A175="","",posicao_contratual!K175)</f>
        <v/>
      </c>
      <c r="U175" s="180" t="str">
        <f>IF(A175="","",posicao_contratual!O175)</f>
        <v/>
      </c>
      <c r="V175" s="180" t="str">
        <f>IF(A175="","",posicao_contratual!S175)</f>
        <v/>
      </c>
      <c r="W175" s="180" t="str">
        <f>IF(A175="","",posicao_contratual!W175)</f>
        <v/>
      </c>
    </row>
    <row r="176" spans="1:23" x14ac:dyDescent="0.35">
      <c r="A176" s="111" t="str">
        <f>IF(itens_Remanesc!A176="","",itens_Remanesc!A176)</f>
        <v/>
      </c>
      <c r="B176" s="110" t="str">
        <f>IF(posicao_contratual!A176="","",posicao_contratual!E176)</f>
        <v/>
      </c>
      <c r="C176" s="104" t="str">
        <f>IF(itens_Remanesc!A176="","",itens_Remanesc!C176)</f>
        <v/>
      </c>
      <c r="D176" s="104" t="str">
        <f t="shared" si="25"/>
        <v/>
      </c>
      <c r="E176" s="104" t="str">
        <f t="shared" si="26"/>
        <v/>
      </c>
      <c r="F176" s="104" t="str">
        <f t="shared" si="27"/>
        <v/>
      </c>
      <c r="G176" s="104" t="str">
        <f t="shared" si="28"/>
        <v/>
      </c>
      <c r="H176" s="149" t="str">
        <f t="shared" si="29"/>
        <v/>
      </c>
      <c r="I176" s="15"/>
      <c r="J176" s="15"/>
      <c r="K176" s="15"/>
      <c r="L176" s="15"/>
      <c r="M176" s="15"/>
      <c r="N176" s="180" t="str">
        <f>IF(A176="","",posicao_contratual!E176)</f>
        <v/>
      </c>
      <c r="O176" s="180" t="str">
        <f>IF(A176="","",posicao_contratual!I176)</f>
        <v/>
      </c>
      <c r="P176" s="180" t="str">
        <f>IF(A176="","",posicao_contratual!M176)</f>
        <v/>
      </c>
      <c r="Q176" s="180" t="str">
        <f>IF(A176="","",posicao_contratual!Q176)</f>
        <v/>
      </c>
      <c r="R176" s="180" t="str">
        <f>IF(A176="","",posicao_contratual!U176)</f>
        <v/>
      </c>
      <c r="S176" s="180" t="str">
        <f>IF(A176="","",posicao_contratual!G176)</f>
        <v/>
      </c>
      <c r="T176" s="180" t="str">
        <f>IF(A176="","",posicao_contratual!K176)</f>
        <v/>
      </c>
      <c r="U176" s="180" t="str">
        <f>IF(A176="","",posicao_contratual!O176)</f>
        <v/>
      </c>
      <c r="V176" s="180" t="str">
        <f>IF(A176="","",posicao_contratual!S176)</f>
        <v/>
      </c>
      <c r="W176" s="180" t="str">
        <f>IF(A176="","",posicao_contratual!W176)</f>
        <v/>
      </c>
    </row>
    <row r="177" spans="1:23" x14ac:dyDescent="0.35">
      <c r="A177" s="111" t="str">
        <f>IF(itens_Remanesc!A177="","",itens_Remanesc!A177)</f>
        <v/>
      </c>
      <c r="B177" s="110" t="str">
        <f>IF(posicao_contratual!A177="","",posicao_contratual!E177)</f>
        <v/>
      </c>
      <c r="C177" s="104" t="str">
        <f>IF(itens_Remanesc!A177="","",itens_Remanesc!C177)</f>
        <v/>
      </c>
      <c r="D177" s="104" t="str">
        <f t="shared" si="25"/>
        <v/>
      </c>
      <c r="E177" s="104" t="str">
        <f t="shared" si="26"/>
        <v/>
      </c>
      <c r="F177" s="104" t="str">
        <f t="shared" si="27"/>
        <v/>
      </c>
      <c r="G177" s="104" t="str">
        <f t="shared" si="28"/>
        <v/>
      </c>
      <c r="H177" s="149" t="str">
        <f t="shared" si="29"/>
        <v/>
      </c>
      <c r="I177" s="15"/>
      <c r="J177" s="15"/>
      <c r="K177" s="15"/>
      <c r="L177" s="15"/>
      <c r="M177" s="15"/>
      <c r="N177" s="180" t="str">
        <f>IF(A177="","",posicao_contratual!E177)</f>
        <v/>
      </c>
      <c r="O177" s="180" t="str">
        <f>IF(A177="","",posicao_contratual!I177)</f>
        <v/>
      </c>
      <c r="P177" s="180" t="str">
        <f>IF(A177="","",posicao_contratual!M177)</f>
        <v/>
      </c>
      <c r="Q177" s="180" t="str">
        <f>IF(A177="","",posicao_contratual!Q177)</f>
        <v/>
      </c>
      <c r="R177" s="180" t="str">
        <f>IF(A177="","",posicao_contratual!U177)</f>
        <v/>
      </c>
      <c r="S177" s="180" t="str">
        <f>IF(A177="","",posicao_contratual!G177)</f>
        <v/>
      </c>
      <c r="T177" s="180" t="str">
        <f>IF(A177="","",posicao_contratual!K177)</f>
        <v/>
      </c>
      <c r="U177" s="180" t="str">
        <f>IF(A177="","",posicao_contratual!O177)</f>
        <v/>
      </c>
      <c r="V177" s="180" t="str">
        <f>IF(A177="","",posicao_contratual!S177)</f>
        <v/>
      </c>
      <c r="W177" s="180" t="str">
        <f>IF(A177="","",posicao_contratual!W177)</f>
        <v/>
      </c>
    </row>
    <row r="178" spans="1:23" x14ac:dyDescent="0.35">
      <c r="A178" s="111" t="str">
        <f>IF(itens_Remanesc!A178="","",itens_Remanesc!A178)</f>
        <v/>
      </c>
      <c r="B178" s="110" t="str">
        <f>IF(posicao_contratual!A178="","",posicao_contratual!E178)</f>
        <v/>
      </c>
      <c r="C178" s="104" t="str">
        <f>IF(itens_Remanesc!A178="","",itens_Remanesc!C178)</f>
        <v/>
      </c>
      <c r="D178" s="104" t="str">
        <f t="shared" si="25"/>
        <v/>
      </c>
      <c r="E178" s="104" t="str">
        <f t="shared" si="26"/>
        <v/>
      </c>
      <c r="F178" s="104" t="str">
        <f t="shared" si="27"/>
        <v/>
      </c>
      <c r="G178" s="104" t="str">
        <f t="shared" si="28"/>
        <v/>
      </c>
      <c r="H178" s="149" t="str">
        <f t="shared" si="29"/>
        <v/>
      </c>
      <c r="I178" s="15"/>
      <c r="J178" s="15"/>
      <c r="K178" s="15"/>
      <c r="L178" s="15"/>
      <c r="M178" s="15"/>
      <c r="N178" s="180" t="str">
        <f>IF(A178="","",posicao_contratual!E178)</f>
        <v/>
      </c>
      <c r="O178" s="180" t="str">
        <f>IF(A178="","",posicao_contratual!I178)</f>
        <v/>
      </c>
      <c r="P178" s="180" t="str">
        <f>IF(A178="","",posicao_contratual!M178)</f>
        <v/>
      </c>
      <c r="Q178" s="180" t="str">
        <f>IF(A178="","",posicao_contratual!Q178)</f>
        <v/>
      </c>
      <c r="R178" s="180" t="str">
        <f>IF(A178="","",posicao_contratual!U178)</f>
        <v/>
      </c>
      <c r="S178" s="180" t="str">
        <f>IF(A178="","",posicao_contratual!G178)</f>
        <v/>
      </c>
      <c r="T178" s="180" t="str">
        <f>IF(A178="","",posicao_contratual!K178)</f>
        <v/>
      </c>
      <c r="U178" s="180" t="str">
        <f>IF(A178="","",posicao_contratual!O178)</f>
        <v/>
      </c>
      <c r="V178" s="180" t="str">
        <f>IF(A178="","",posicao_contratual!S178)</f>
        <v/>
      </c>
      <c r="W178" s="180" t="str">
        <f>IF(A178="","",posicao_contratual!W178)</f>
        <v/>
      </c>
    </row>
    <row r="179" spans="1:23" x14ac:dyDescent="0.35">
      <c r="A179" s="111" t="str">
        <f>IF(itens_Remanesc!A179="","",itens_Remanesc!A179)</f>
        <v/>
      </c>
      <c r="B179" s="110" t="str">
        <f>IF(posicao_contratual!A179="","",posicao_contratual!E179)</f>
        <v/>
      </c>
      <c r="C179" s="104" t="str">
        <f>IF(itens_Remanesc!A179="","",itens_Remanesc!C179)</f>
        <v/>
      </c>
      <c r="D179" s="104" t="str">
        <f t="shared" si="25"/>
        <v/>
      </c>
      <c r="E179" s="104" t="str">
        <f t="shared" si="26"/>
        <v/>
      </c>
      <c r="F179" s="104" t="str">
        <f t="shared" si="27"/>
        <v/>
      </c>
      <c r="G179" s="104" t="str">
        <f t="shared" si="28"/>
        <v/>
      </c>
      <c r="H179" s="149" t="str">
        <f t="shared" si="29"/>
        <v/>
      </c>
      <c r="I179" s="15"/>
      <c r="J179" s="15"/>
      <c r="K179" s="15"/>
      <c r="L179" s="15"/>
      <c r="M179" s="15"/>
      <c r="N179" s="180" t="str">
        <f>IF(A179="","",posicao_contratual!E179)</f>
        <v/>
      </c>
      <c r="O179" s="180" t="str">
        <f>IF(A179="","",posicao_contratual!I179)</f>
        <v/>
      </c>
      <c r="P179" s="180" t="str">
        <f>IF(A179="","",posicao_contratual!M179)</f>
        <v/>
      </c>
      <c r="Q179" s="180" t="str">
        <f>IF(A179="","",posicao_contratual!Q179)</f>
        <v/>
      </c>
      <c r="R179" s="180" t="str">
        <f>IF(A179="","",posicao_contratual!U179)</f>
        <v/>
      </c>
      <c r="S179" s="180" t="str">
        <f>IF(A179="","",posicao_contratual!G179)</f>
        <v/>
      </c>
      <c r="T179" s="180" t="str">
        <f>IF(A179="","",posicao_contratual!K179)</f>
        <v/>
      </c>
      <c r="U179" s="180" t="str">
        <f>IF(A179="","",posicao_contratual!O179)</f>
        <v/>
      </c>
      <c r="V179" s="180" t="str">
        <f>IF(A179="","",posicao_contratual!S179)</f>
        <v/>
      </c>
      <c r="W179" s="180" t="str">
        <f>IF(A179="","",posicao_contratual!W179)</f>
        <v/>
      </c>
    </row>
    <row r="180" spans="1:23" x14ac:dyDescent="0.35">
      <c r="A180" s="111" t="str">
        <f>IF(itens_Remanesc!A180="","",itens_Remanesc!A180)</f>
        <v/>
      </c>
      <c r="B180" s="110" t="str">
        <f>IF(posicao_contratual!A180="","",posicao_contratual!E180)</f>
        <v/>
      </c>
      <c r="C180" s="104" t="str">
        <f>IF(itens_Remanesc!A180="","",itens_Remanesc!C180)</f>
        <v/>
      </c>
      <c r="D180" s="104" t="str">
        <f t="shared" si="25"/>
        <v/>
      </c>
      <c r="E180" s="104" t="str">
        <f t="shared" si="26"/>
        <v/>
      </c>
      <c r="F180" s="104" t="str">
        <f t="shared" si="27"/>
        <v/>
      </c>
      <c r="G180" s="104" t="str">
        <f t="shared" si="28"/>
        <v/>
      </c>
      <c r="H180" s="149" t="str">
        <f t="shared" si="29"/>
        <v/>
      </c>
      <c r="I180" s="15"/>
      <c r="J180" s="15"/>
      <c r="K180" s="15"/>
      <c r="L180" s="15"/>
      <c r="M180" s="15"/>
      <c r="N180" s="180" t="str">
        <f>IF(A180="","",posicao_contratual!E180)</f>
        <v/>
      </c>
      <c r="O180" s="180" t="str">
        <f>IF(A180="","",posicao_contratual!I180)</f>
        <v/>
      </c>
      <c r="P180" s="180" t="str">
        <f>IF(A180="","",posicao_contratual!M180)</f>
        <v/>
      </c>
      <c r="Q180" s="180" t="str">
        <f>IF(A180="","",posicao_contratual!Q180)</f>
        <v/>
      </c>
      <c r="R180" s="180" t="str">
        <f>IF(A180="","",posicao_contratual!U180)</f>
        <v/>
      </c>
      <c r="S180" s="180" t="str">
        <f>IF(A180="","",posicao_contratual!G180)</f>
        <v/>
      </c>
      <c r="T180" s="180" t="str">
        <f>IF(A180="","",posicao_contratual!K180)</f>
        <v/>
      </c>
      <c r="U180" s="180" t="str">
        <f>IF(A180="","",posicao_contratual!O180)</f>
        <v/>
      </c>
      <c r="V180" s="180" t="str">
        <f>IF(A180="","",posicao_contratual!S180)</f>
        <v/>
      </c>
      <c r="W180" s="180" t="str">
        <f>IF(A180="","",posicao_contratual!W180)</f>
        <v/>
      </c>
    </row>
    <row r="181" spans="1:23" x14ac:dyDescent="0.35">
      <c r="A181" s="111" t="str">
        <f>IF(itens_Remanesc!A181="","",itens_Remanesc!A181)</f>
        <v/>
      </c>
      <c r="B181" s="110" t="str">
        <f>IF(posicao_contratual!A181="","",posicao_contratual!E181)</f>
        <v/>
      </c>
      <c r="C181" s="104" t="str">
        <f>IF(itens_Remanesc!A181="","",itens_Remanesc!C181)</f>
        <v/>
      </c>
      <c r="D181" s="104" t="str">
        <f t="shared" si="25"/>
        <v/>
      </c>
      <c r="E181" s="104" t="str">
        <f t="shared" si="26"/>
        <v/>
      </c>
      <c r="F181" s="104" t="str">
        <f t="shared" si="27"/>
        <v/>
      </c>
      <c r="G181" s="104" t="str">
        <f t="shared" si="28"/>
        <v/>
      </c>
      <c r="H181" s="149" t="str">
        <f t="shared" si="29"/>
        <v/>
      </c>
      <c r="I181" s="15"/>
      <c r="J181" s="15"/>
      <c r="K181" s="15"/>
      <c r="L181" s="15"/>
      <c r="M181" s="15"/>
      <c r="N181" s="180" t="str">
        <f>IF(A181="","",posicao_contratual!E181)</f>
        <v/>
      </c>
      <c r="O181" s="180" t="str">
        <f>IF(A181="","",posicao_contratual!I181)</f>
        <v/>
      </c>
      <c r="P181" s="180" t="str">
        <f>IF(A181="","",posicao_contratual!M181)</f>
        <v/>
      </c>
      <c r="Q181" s="180" t="str">
        <f>IF(A181="","",posicao_contratual!Q181)</f>
        <v/>
      </c>
      <c r="R181" s="180" t="str">
        <f>IF(A181="","",posicao_contratual!U181)</f>
        <v/>
      </c>
      <c r="S181" s="180" t="str">
        <f>IF(A181="","",posicao_contratual!G181)</f>
        <v/>
      </c>
      <c r="T181" s="180" t="str">
        <f>IF(A181="","",posicao_contratual!K181)</f>
        <v/>
      </c>
      <c r="U181" s="180" t="str">
        <f>IF(A181="","",posicao_contratual!O181)</f>
        <v/>
      </c>
      <c r="V181" s="180" t="str">
        <f>IF(A181="","",posicao_contratual!S181)</f>
        <v/>
      </c>
      <c r="W181" s="180" t="str">
        <f>IF(A181="","",posicao_contratual!W181)</f>
        <v/>
      </c>
    </row>
    <row r="182" spans="1:23" x14ac:dyDescent="0.35">
      <c r="A182" s="111" t="str">
        <f>IF(itens_Remanesc!A182="","",itens_Remanesc!A182)</f>
        <v/>
      </c>
      <c r="B182" s="110" t="str">
        <f>IF(posicao_contratual!A182="","",posicao_contratual!E182)</f>
        <v/>
      </c>
      <c r="C182" s="104" t="str">
        <f>IF(itens_Remanesc!A182="","",itens_Remanesc!C182)</f>
        <v/>
      </c>
      <c r="D182" s="104" t="str">
        <f t="shared" si="25"/>
        <v/>
      </c>
      <c r="E182" s="104" t="str">
        <f t="shared" si="26"/>
        <v/>
      </c>
      <c r="F182" s="104" t="str">
        <f t="shared" si="27"/>
        <v/>
      </c>
      <c r="G182" s="104" t="str">
        <f t="shared" si="28"/>
        <v/>
      </c>
      <c r="H182" s="149" t="str">
        <f t="shared" si="29"/>
        <v/>
      </c>
      <c r="I182" s="15"/>
      <c r="J182" s="15"/>
      <c r="K182" s="15"/>
      <c r="L182" s="15"/>
      <c r="M182" s="15"/>
      <c r="N182" s="180" t="str">
        <f>IF(A182="","",posicao_contratual!E182)</f>
        <v/>
      </c>
      <c r="O182" s="180" t="str">
        <f>IF(A182="","",posicao_contratual!I182)</f>
        <v/>
      </c>
      <c r="P182" s="180" t="str">
        <f>IF(A182="","",posicao_contratual!M182)</f>
        <v/>
      </c>
      <c r="Q182" s="180" t="str">
        <f>IF(A182="","",posicao_contratual!Q182)</f>
        <v/>
      </c>
      <c r="R182" s="180" t="str">
        <f>IF(A182="","",posicao_contratual!U182)</f>
        <v/>
      </c>
      <c r="S182" s="180" t="str">
        <f>IF(A182="","",posicao_contratual!G182)</f>
        <v/>
      </c>
      <c r="T182" s="180" t="str">
        <f>IF(A182="","",posicao_contratual!K182)</f>
        <v/>
      </c>
      <c r="U182" s="180" t="str">
        <f>IF(A182="","",posicao_contratual!O182)</f>
        <v/>
      </c>
      <c r="V182" s="180" t="str">
        <f>IF(A182="","",posicao_contratual!S182)</f>
        <v/>
      </c>
      <c r="W182" s="180" t="str">
        <f>IF(A182="","",posicao_contratual!W182)</f>
        <v/>
      </c>
    </row>
    <row r="183" spans="1:23" x14ac:dyDescent="0.35">
      <c r="A183" s="111" t="str">
        <f>IF(itens_Remanesc!A183="","",itens_Remanesc!A183)</f>
        <v/>
      </c>
      <c r="B183" s="110" t="str">
        <f>IF(posicao_contratual!A183="","",posicao_contratual!E183)</f>
        <v/>
      </c>
      <c r="C183" s="104" t="str">
        <f>IF(itens_Remanesc!A183="","",itens_Remanesc!C183)</f>
        <v/>
      </c>
      <c r="D183" s="104" t="str">
        <f t="shared" si="25"/>
        <v/>
      </c>
      <c r="E183" s="104" t="str">
        <f t="shared" si="26"/>
        <v/>
      </c>
      <c r="F183" s="104" t="str">
        <f t="shared" si="27"/>
        <v/>
      </c>
      <c r="G183" s="104" t="str">
        <f t="shared" si="28"/>
        <v/>
      </c>
      <c r="H183" s="149" t="str">
        <f t="shared" si="29"/>
        <v/>
      </c>
      <c r="I183" s="15"/>
      <c r="J183" s="15"/>
      <c r="K183" s="15"/>
      <c r="L183" s="15"/>
      <c r="M183" s="15"/>
      <c r="N183" s="180" t="str">
        <f>IF(A183="","",posicao_contratual!E183)</f>
        <v/>
      </c>
      <c r="O183" s="180" t="str">
        <f>IF(A183="","",posicao_contratual!I183)</f>
        <v/>
      </c>
      <c r="P183" s="180" t="str">
        <f>IF(A183="","",posicao_contratual!M183)</f>
        <v/>
      </c>
      <c r="Q183" s="180" t="str">
        <f>IF(A183="","",posicao_contratual!Q183)</f>
        <v/>
      </c>
      <c r="R183" s="180" t="str">
        <f>IF(A183="","",posicao_contratual!U183)</f>
        <v/>
      </c>
      <c r="S183" s="180" t="str">
        <f>IF(A183="","",posicao_contratual!G183)</f>
        <v/>
      </c>
      <c r="T183" s="180" t="str">
        <f>IF(A183="","",posicao_contratual!K183)</f>
        <v/>
      </c>
      <c r="U183" s="180" t="str">
        <f>IF(A183="","",posicao_contratual!O183)</f>
        <v/>
      </c>
      <c r="V183" s="180" t="str">
        <f>IF(A183="","",posicao_contratual!S183)</f>
        <v/>
      </c>
      <c r="W183" s="180" t="str">
        <f>IF(A183="","",posicao_contratual!W183)</f>
        <v/>
      </c>
    </row>
    <row r="184" spans="1:23" x14ac:dyDescent="0.35">
      <c r="A184" s="111" t="str">
        <f>IF(itens_Remanesc!A184="","",itens_Remanesc!A184)</f>
        <v/>
      </c>
      <c r="B184" s="110" t="str">
        <f>IF(posicao_contratual!A184="","",posicao_contratual!E184)</f>
        <v/>
      </c>
      <c r="C184" s="104" t="str">
        <f>IF(itens_Remanesc!A184="","",itens_Remanesc!C184)</f>
        <v/>
      </c>
      <c r="D184" s="104" t="str">
        <f t="shared" si="25"/>
        <v/>
      </c>
      <c r="E184" s="104" t="str">
        <f t="shared" si="26"/>
        <v/>
      </c>
      <c r="F184" s="104" t="str">
        <f t="shared" si="27"/>
        <v/>
      </c>
      <c r="G184" s="104" t="str">
        <f t="shared" si="28"/>
        <v/>
      </c>
      <c r="H184" s="149" t="str">
        <f t="shared" si="29"/>
        <v/>
      </c>
      <c r="I184" s="15"/>
      <c r="J184" s="15"/>
      <c r="K184" s="15"/>
      <c r="L184" s="15"/>
      <c r="M184" s="15"/>
      <c r="N184" s="180" t="str">
        <f>IF(A184="","",posicao_contratual!E184)</f>
        <v/>
      </c>
      <c r="O184" s="180" t="str">
        <f>IF(A184="","",posicao_contratual!I184)</f>
        <v/>
      </c>
      <c r="P184" s="180" t="str">
        <f>IF(A184="","",posicao_contratual!M184)</f>
        <v/>
      </c>
      <c r="Q184" s="180" t="str">
        <f>IF(A184="","",posicao_contratual!Q184)</f>
        <v/>
      </c>
      <c r="R184" s="180" t="str">
        <f>IF(A184="","",posicao_contratual!U184)</f>
        <v/>
      </c>
      <c r="S184" s="180" t="str">
        <f>IF(A184="","",posicao_contratual!G184)</f>
        <v/>
      </c>
      <c r="T184" s="180" t="str">
        <f>IF(A184="","",posicao_contratual!K184)</f>
        <v/>
      </c>
      <c r="U184" s="180" t="str">
        <f>IF(A184="","",posicao_contratual!O184)</f>
        <v/>
      </c>
      <c r="V184" s="180" t="str">
        <f>IF(A184="","",posicao_contratual!S184)</f>
        <v/>
      </c>
      <c r="W184" s="180" t="str">
        <f>IF(A184="","",posicao_contratual!W184)</f>
        <v/>
      </c>
    </row>
    <row r="185" spans="1:23" x14ac:dyDescent="0.35">
      <c r="A185" s="111" t="str">
        <f>IF(itens_Remanesc!A185="","",itens_Remanesc!A185)</f>
        <v/>
      </c>
      <c r="B185" s="110" t="str">
        <f>IF(posicao_contratual!A185="","",posicao_contratual!E185)</f>
        <v/>
      </c>
      <c r="C185" s="104" t="str">
        <f>IF(itens_Remanesc!A185="","",itens_Remanesc!C185)</f>
        <v/>
      </c>
      <c r="D185" s="104" t="str">
        <f t="shared" si="25"/>
        <v/>
      </c>
      <c r="E185" s="104" t="str">
        <f t="shared" si="26"/>
        <v/>
      </c>
      <c r="F185" s="104" t="str">
        <f t="shared" si="27"/>
        <v/>
      </c>
      <c r="G185" s="104" t="str">
        <f t="shared" si="28"/>
        <v/>
      </c>
      <c r="H185" s="149" t="str">
        <f t="shared" si="29"/>
        <v/>
      </c>
      <c r="I185" s="15"/>
      <c r="J185" s="15"/>
      <c r="K185" s="15"/>
      <c r="L185" s="15"/>
      <c r="M185" s="15"/>
      <c r="N185" s="180" t="str">
        <f>IF(A185="","",posicao_contratual!E185)</f>
        <v/>
      </c>
      <c r="O185" s="180" t="str">
        <f>IF(A185="","",posicao_contratual!I185)</f>
        <v/>
      </c>
      <c r="P185" s="180" t="str">
        <f>IF(A185="","",posicao_contratual!M185)</f>
        <v/>
      </c>
      <c r="Q185" s="180" t="str">
        <f>IF(A185="","",posicao_contratual!Q185)</f>
        <v/>
      </c>
      <c r="R185" s="180" t="str">
        <f>IF(A185="","",posicao_contratual!U185)</f>
        <v/>
      </c>
      <c r="S185" s="180" t="str">
        <f>IF(A185="","",posicao_contratual!G185)</f>
        <v/>
      </c>
      <c r="T185" s="180" t="str">
        <f>IF(A185="","",posicao_contratual!K185)</f>
        <v/>
      </c>
      <c r="U185" s="180" t="str">
        <f>IF(A185="","",posicao_contratual!O185)</f>
        <v/>
      </c>
      <c r="V185" s="180" t="str">
        <f>IF(A185="","",posicao_contratual!S185)</f>
        <v/>
      </c>
      <c r="W185" s="180" t="str">
        <f>IF(A185="","",posicao_contratual!W185)</f>
        <v/>
      </c>
    </row>
    <row r="186" spans="1:23" x14ac:dyDescent="0.35">
      <c r="A186" s="111" t="str">
        <f>IF(itens_Remanesc!A186="","",itens_Remanesc!A186)</f>
        <v/>
      </c>
      <c r="B186" s="110" t="str">
        <f>IF(posicao_contratual!A186="","",posicao_contratual!E186)</f>
        <v/>
      </c>
      <c r="C186" s="104" t="str">
        <f>IF(itens_Remanesc!A186="","",itens_Remanesc!C186)</f>
        <v/>
      </c>
      <c r="D186" s="104" t="str">
        <f t="shared" si="25"/>
        <v/>
      </c>
      <c r="E186" s="104" t="str">
        <f t="shared" si="26"/>
        <v/>
      </c>
      <c r="F186" s="104" t="str">
        <f t="shared" si="27"/>
        <v/>
      </c>
      <c r="G186" s="104" t="str">
        <f t="shared" si="28"/>
        <v/>
      </c>
      <c r="H186" s="149" t="str">
        <f t="shared" si="29"/>
        <v/>
      </c>
      <c r="I186" s="15"/>
      <c r="J186" s="15"/>
      <c r="K186" s="15"/>
      <c r="L186" s="15"/>
      <c r="M186" s="15"/>
      <c r="N186" s="180" t="str">
        <f>IF(A186="","",posicao_contratual!E186)</f>
        <v/>
      </c>
      <c r="O186" s="180" t="str">
        <f>IF(A186="","",posicao_contratual!I186)</f>
        <v/>
      </c>
      <c r="P186" s="180" t="str">
        <f>IF(A186="","",posicao_contratual!M186)</f>
        <v/>
      </c>
      <c r="Q186" s="180" t="str">
        <f>IF(A186="","",posicao_contratual!Q186)</f>
        <v/>
      </c>
      <c r="R186" s="180" t="str">
        <f>IF(A186="","",posicao_contratual!U186)</f>
        <v/>
      </c>
      <c r="S186" s="180" t="str">
        <f>IF(A186="","",posicao_contratual!G186)</f>
        <v/>
      </c>
      <c r="T186" s="180" t="str">
        <f>IF(A186="","",posicao_contratual!K186)</f>
        <v/>
      </c>
      <c r="U186" s="180" t="str">
        <f>IF(A186="","",posicao_contratual!O186)</f>
        <v/>
      </c>
      <c r="V186" s="180" t="str">
        <f>IF(A186="","",posicao_contratual!S186)</f>
        <v/>
      </c>
      <c r="W186" s="180" t="str">
        <f>IF(A186="","",posicao_contratual!W186)</f>
        <v/>
      </c>
    </row>
    <row r="187" spans="1:23" x14ac:dyDescent="0.35">
      <c r="A187" s="111" t="str">
        <f>IF(itens_Remanesc!A187="","",itens_Remanesc!A187)</f>
        <v/>
      </c>
      <c r="B187" s="110" t="str">
        <f>IF(posicao_contratual!A187="","",posicao_contratual!E187)</f>
        <v/>
      </c>
      <c r="C187" s="104" t="str">
        <f>IF(itens_Remanesc!A187="","",itens_Remanesc!C187)</f>
        <v/>
      </c>
      <c r="D187" s="104" t="str">
        <f t="shared" si="25"/>
        <v/>
      </c>
      <c r="E187" s="104" t="str">
        <f t="shared" si="26"/>
        <v/>
      </c>
      <c r="F187" s="104" t="str">
        <f t="shared" si="27"/>
        <v/>
      </c>
      <c r="G187" s="104" t="str">
        <f t="shared" si="28"/>
        <v/>
      </c>
      <c r="H187" s="149" t="str">
        <f t="shared" si="29"/>
        <v/>
      </c>
      <c r="I187" s="15"/>
      <c r="J187" s="15"/>
      <c r="K187" s="15"/>
      <c r="L187" s="15"/>
      <c r="M187" s="15"/>
      <c r="N187" s="180" t="str">
        <f>IF(A187="","",posicao_contratual!E187)</f>
        <v/>
      </c>
      <c r="O187" s="180" t="str">
        <f>IF(A187="","",posicao_contratual!I187)</f>
        <v/>
      </c>
      <c r="P187" s="180" t="str">
        <f>IF(A187="","",posicao_contratual!M187)</f>
        <v/>
      </c>
      <c r="Q187" s="180" t="str">
        <f>IF(A187="","",posicao_contratual!Q187)</f>
        <v/>
      </c>
      <c r="R187" s="180" t="str">
        <f>IF(A187="","",posicao_contratual!U187)</f>
        <v/>
      </c>
      <c r="S187" s="180" t="str">
        <f>IF(A187="","",posicao_contratual!G187)</f>
        <v/>
      </c>
      <c r="T187" s="180" t="str">
        <f>IF(A187="","",posicao_contratual!K187)</f>
        <v/>
      </c>
      <c r="U187" s="180" t="str">
        <f>IF(A187="","",posicao_contratual!O187)</f>
        <v/>
      </c>
      <c r="V187" s="180" t="str">
        <f>IF(A187="","",posicao_contratual!S187)</f>
        <v/>
      </c>
      <c r="W187" s="180" t="str">
        <f>IF(A187="","",posicao_contratual!W187)</f>
        <v/>
      </c>
    </row>
    <row r="188" spans="1:23" x14ac:dyDescent="0.35">
      <c r="A188" s="111" t="str">
        <f>IF(itens_Remanesc!A188="","",itens_Remanesc!A188)</f>
        <v/>
      </c>
      <c r="B188" s="110" t="str">
        <f>IF(posicao_contratual!A188="","",posicao_contratual!E188)</f>
        <v/>
      </c>
      <c r="C188" s="104" t="str">
        <f>IF(itens_Remanesc!A188="","",itens_Remanesc!C188)</f>
        <v/>
      </c>
      <c r="D188" s="104" t="str">
        <f t="shared" si="25"/>
        <v/>
      </c>
      <c r="E188" s="104" t="str">
        <f t="shared" si="26"/>
        <v/>
      </c>
      <c r="F188" s="104" t="str">
        <f t="shared" si="27"/>
        <v/>
      </c>
      <c r="G188" s="104" t="str">
        <f t="shared" si="28"/>
        <v/>
      </c>
      <c r="H188" s="149" t="str">
        <f t="shared" si="29"/>
        <v/>
      </c>
      <c r="I188" s="15"/>
      <c r="J188" s="15"/>
      <c r="K188" s="15"/>
      <c r="L188" s="15"/>
      <c r="M188" s="15"/>
      <c r="N188" s="180" t="str">
        <f>IF(A188="","",posicao_contratual!E188)</f>
        <v/>
      </c>
      <c r="O188" s="180" t="str">
        <f>IF(A188="","",posicao_contratual!I188)</f>
        <v/>
      </c>
      <c r="P188" s="180" t="str">
        <f>IF(A188="","",posicao_contratual!M188)</f>
        <v/>
      </c>
      <c r="Q188" s="180" t="str">
        <f>IF(A188="","",posicao_contratual!Q188)</f>
        <v/>
      </c>
      <c r="R188" s="180" t="str">
        <f>IF(A188="","",posicao_contratual!U188)</f>
        <v/>
      </c>
      <c r="S188" s="180" t="str">
        <f>IF(A188="","",posicao_contratual!G188)</f>
        <v/>
      </c>
      <c r="T188" s="180" t="str">
        <f>IF(A188="","",posicao_contratual!K188)</f>
        <v/>
      </c>
      <c r="U188" s="180" t="str">
        <f>IF(A188="","",posicao_contratual!O188)</f>
        <v/>
      </c>
      <c r="V188" s="180" t="str">
        <f>IF(A188="","",posicao_contratual!S188)</f>
        <v/>
      </c>
      <c r="W188" s="180" t="str">
        <f>IF(A188="","",posicao_contratual!W188)</f>
        <v/>
      </c>
    </row>
    <row r="189" spans="1:23" x14ac:dyDescent="0.35">
      <c r="A189" s="111" t="str">
        <f>IF(itens_Remanesc!A189="","",itens_Remanesc!A189)</f>
        <v/>
      </c>
      <c r="B189" s="110" t="str">
        <f>IF(posicao_contratual!A189="","",posicao_contratual!E189)</f>
        <v/>
      </c>
      <c r="C189" s="104" t="str">
        <f>IF(itens_Remanesc!A189="","",itens_Remanesc!C189)</f>
        <v/>
      </c>
      <c r="D189" s="104" t="str">
        <f t="shared" si="25"/>
        <v/>
      </c>
      <c r="E189" s="104" t="str">
        <f t="shared" si="26"/>
        <v/>
      </c>
      <c r="F189" s="104" t="str">
        <f t="shared" si="27"/>
        <v/>
      </c>
      <c r="G189" s="104" t="str">
        <f t="shared" si="28"/>
        <v/>
      </c>
      <c r="H189" s="149" t="str">
        <f t="shared" si="29"/>
        <v/>
      </c>
      <c r="I189" s="15"/>
      <c r="J189" s="15"/>
      <c r="K189" s="15"/>
      <c r="L189" s="15"/>
      <c r="M189" s="15"/>
      <c r="N189" s="180" t="str">
        <f>IF(A189="","",posicao_contratual!E189)</f>
        <v/>
      </c>
      <c r="O189" s="180" t="str">
        <f>IF(A189="","",posicao_contratual!I189)</f>
        <v/>
      </c>
      <c r="P189" s="180" t="str">
        <f>IF(A189="","",posicao_contratual!M189)</f>
        <v/>
      </c>
      <c r="Q189" s="180" t="str">
        <f>IF(A189="","",posicao_contratual!Q189)</f>
        <v/>
      </c>
      <c r="R189" s="180" t="str">
        <f>IF(A189="","",posicao_contratual!U189)</f>
        <v/>
      </c>
      <c r="S189" s="180" t="str">
        <f>IF(A189="","",posicao_contratual!G189)</f>
        <v/>
      </c>
      <c r="T189" s="180" t="str">
        <f>IF(A189="","",posicao_contratual!K189)</f>
        <v/>
      </c>
      <c r="U189" s="180" t="str">
        <f>IF(A189="","",posicao_contratual!O189)</f>
        <v/>
      </c>
      <c r="V189" s="180" t="str">
        <f>IF(A189="","",posicao_contratual!S189)</f>
        <v/>
      </c>
      <c r="W189" s="180" t="str">
        <f>IF(A189="","",posicao_contratual!W189)</f>
        <v/>
      </c>
    </row>
    <row r="190" spans="1:23" x14ac:dyDescent="0.35">
      <c r="A190" s="111" t="str">
        <f>IF(itens_Remanesc!A190="","",itens_Remanesc!A190)</f>
        <v/>
      </c>
      <c r="B190" s="110" t="str">
        <f>IF(posicao_contratual!A190="","",posicao_contratual!E190)</f>
        <v/>
      </c>
      <c r="C190" s="104" t="str">
        <f>IF(itens_Remanesc!A190="","",itens_Remanesc!C190)</f>
        <v/>
      </c>
      <c r="D190" s="104" t="str">
        <f t="shared" si="25"/>
        <v/>
      </c>
      <c r="E190" s="104" t="str">
        <f t="shared" si="26"/>
        <v/>
      </c>
      <c r="F190" s="104" t="str">
        <f t="shared" si="27"/>
        <v/>
      </c>
      <c r="G190" s="104" t="str">
        <f t="shared" si="28"/>
        <v/>
      </c>
      <c r="H190" s="149" t="str">
        <f t="shared" si="29"/>
        <v/>
      </c>
      <c r="I190" s="15"/>
      <c r="J190" s="15"/>
      <c r="K190" s="15"/>
      <c r="L190" s="15"/>
      <c r="M190" s="15"/>
      <c r="N190" s="180" t="str">
        <f>IF(A190="","",posicao_contratual!E190)</f>
        <v/>
      </c>
      <c r="O190" s="180" t="str">
        <f>IF(A190="","",posicao_contratual!I190)</f>
        <v/>
      </c>
      <c r="P190" s="180" t="str">
        <f>IF(A190="","",posicao_contratual!M190)</f>
        <v/>
      </c>
      <c r="Q190" s="180" t="str">
        <f>IF(A190="","",posicao_contratual!Q190)</f>
        <v/>
      </c>
      <c r="R190" s="180" t="str">
        <f>IF(A190="","",posicao_contratual!U190)</f>
        <v/>
      </c>
      <c r="S190" s="180" t="str">
        <f>IF(A190="","",posicao_contratual!G190)</f>
        <v/>
      </c>
      <c r="T190" s="180" t="str">
        <f>IF(A190="","",posicao_contratual!K190)</f>
        <v/>
      </c>
      <c r="U190" s="180" t="str">
        <f>IF(A190="","",posicao_contratual!O190)</f>
        <v/>
      </c>
      <c r="V190" s="180" t="str">
        <f>IF(A190="","",posicao_contratual!S190)</f>
        <v/>
      </c>
      <c r="W190" s="180" t="str">
        <f>IF(A190="","",posicao_contratual!W190)</f>
        <v/>
      </c>
    </row>
    <row r="191" spans="1:23" x14ac:dyDescent="0.35">
      <c r="A191" s="111" t="str">
        <f>IF(itens_Remanesc!A191="","",itens_Remanesc!A191)</f>
        <v/>
      </c>
      <c r="B191" s="110" t="str">
        <f>IF(posicao_contratual!A191="","",posicao_contratual!E191)</f>
        <v/>
      </c>
      <c r="C191" s="104" t="str">
        <f>IF(itens_Remanesc!A191="","",itens_Remanesc!C191)</f>
        <v/>
      </c>
      <c r="D191" s="104" t="str">
        <f t="shared" si="25"/>
        <v/>
      </c>
      <c r="E191" s="104" t="str">
        <f t="shared" si="26"/>
        <v/>
      </c>
      <c r="F191" s="104" t="str">
        <f t="shared" si="27"/>
        <v/>
      </c>
      <c r="G191" s="104" t="str">
        <f t="shared" si="28"/>
        <v/>
      </c>
      <c r="H191" s="149" t="str">
        <f t="shared" si="29"/>
        <v/>
      </c>
      <c r="I191" s="15"/>
      <c r="J191" s="15"/>
      <c r="K191" s="15"/>
      <c r="L191" s="15"/>
      <c r="M191" s="15"/>
      <c r="N191" s="180" t="str">
        <f>IF(A191="","",posicao_contratual!E191)</f>
        <v/>
      </c>
      <c r="O191" s="180" t="str">
        <f>IF(A191="","",posicao_contratual!I191)</f>
        <v/>
      </c>
      <c r="P191" s="180" t="str">
        <f>IF(A191="","",posicao_contratual!M191)</f>
        <v/>
      </c>
      <c r="Q191" s="180" t="str">
        <f>IF(A191="","",posicao_contratual!Q191)</f>
        <v/>
      </c>
      <c r="R191" s="180" t="str">
        <f>IF(A191="","",posicao_contratual!U191)</f>
        <v/>
      </c>
      <c r="S191" s="180" t="str">
        <f>IF(A191="","",posicao_contratual!G191)</f>
        <v/>
      </c>
      <c r="T191" s="180" t="str">
        <f>IF(A191="","",posicao_contratual!K191)</f>
        <v/>
      </c>
      <c r="U191" s="180" t="str">
        <f>IF(A191="","",posicao_contratual!O191)</f>
        <v/>
      </c>
      <c r="V191" s="180" t="str">
        <f>IF(A191="","",posicao_contratual!S191)</f>
        <v/>
      </c>
      <c r="W191" s="180" t="str">
        <f>IF(A191="","",posicao_contratual!W191)</f>
        <v/>
      </c>
    </row>
    <row r="192" spans="1:23" x14ac:dyDescent="0.35">
      <c r="A192" s="111" t="str">
        <f>IF(itens_Remanesc!A192="","",itens_Remanesc!A192)</f>
        <v/>
      </c>
      <c r="B192" s="110" t="str">
        <f>IF(posicao_contratual!A192="","",posicao_contratual!E192)</f>
        <v/>
      </c>
      <c r="C192" s="104" t="str">
        <f>IF(itens_Remanesc!A192="","",itens_Remanesc!C192)</f>
        <v/>
      </c>
      <c r="D192" s="104" t="str">
        <f t="shared" si="25"/>
        <v/>
      </c>
      <c r="E192" s="104" t="str">
        <f t="shared" si="26"/>
        <v/>
      </c>
      <c r="F192" s="104" t="str">
        <f t="shared" si="27"/>
        <v/>
      </c>
      <c r="G192" s="104" t="str">
        <f t="shared" si="28"/>
        <v/>
      </c>
      <c r="H192" s="149" t="str">
        <f t="shared" si="29"/>
        <v/>
      </c>
      <c r="I192" s="15"/>
      <c r="J192" s="15"/>
      <c r="K192" s="15"/>
      <c r="L192" s="15"/>
      <c r="M192" s="15"/>
      <c r="N192" s="180" t="str">
        <f>IF(A192="","",posicao_contratual!E192)</f>
        <v/>
      </c>
      <c r="O192" s="180" t="str">
        <f>IF(A192="","",posicao_contratual!I192)</f>
        <v/>
      </c>
      <c r="P192" s="180" t="str">
        <f>IF(A192="","",posicao_contratual!M192)</f>
        <v/>
      </c>
      <c r="Q192" s="180" t="str">
        <f>IF(A192="","",posicao_contratual!Q192)</f>
        <v/>
      </c>
      <c r="R192" s="180" t="str">
        <f>IF(A192="","",posicao_contratual!U192)</f>
        <v/>
      </c>
      <c r="S192" s="180" t="str">
        <f>IF(A192="","",posicao_contratual!G192)</f>
        <v/>
      </c>
      <c r="T192" s="180" t="str">
        <f>IF(A192="","",posicao_contratual!K192)</f>
        <v/>
      </c>
      <c r="U192" s="180" t="str">
        <f>IF(A192="","",posicao_contratual!O192)</f>
        <v/>
      </c>
      <c r="V192" s="180" t="str">
        <f>IF(A192="","",posicao_contratual!S192)</f>
        <v/>
      </c>
      <c r="W192" s="180" t="str">
        <f>IF(A192="","",posicao_contratual!W192)</f>
        <v/>
      </c>
    </row>
    <row r="193" spans="1:23" x14ac:dyDescent="0.35">
      <c r="A193" s="111" t="str">
        <f>IF(itens_Remanesc!A193="","",itens_Remanesc!A193)</f>
        <v/>
      </c>
      <c r="B193" s="110" t="str">
        <f>IF(posicao_contratual!A193="","",posicao_contratual!E193)</f>
        <v/>
      </c>
      <c r="C193" s="104" t="str">
        <f>IF(itens_Remanesc!A193="","",itens_Remanesc!C193)</f>
        <v/>
      </c>
      <c r="D193" s="104" t="str">
        <f t="shared" si="25"/>
        <v/>
      </c>
      <c r="E193" s="104" t="str">
        <f t="shared" si="26"/>
        <v/>
      </c>
      <c r="F193" s="104" t="str">
        <f t="shared" si="27"/>
        <v/>
      </c>
      <c r="G193" s="104" t="str">
        <f t="shared" si="28"/>
        <v/>
      </c>
      <c r="H193" s="149" t="str">
        <f t="shared" si="29"/>
        <v/>
      </c>
      <c r="I193" s="15"/>
      <c r="J193" s="15"/>
      <c r="K193" s="15"/>
      <c r="L193" s="15"/>
      <c r="M193" s="15"/>
      <c r="N193" s="180" t="str">
        <f>IF(A193="","",posicao_contratual!E193)</f>
        <v/>
      </c>
      <c r="O193" s="180" t="str">
        <f>IF(A193="","",posicao_contratual!I193)</f>
        <v/>
      </c>
      <c r="P193" s="180" t="str">
        <f>IF(A193="","",posicao_contratual!M193)</f>
        <v/>
      </c>
      <c r="Q193" s="180" t="str">
        <f>IF(A193="","",posicao_contratual!Q193)</f>
        <v/>
      </c>
      <c r="R193" s="180" t="str">
        <f>IF(A193="","",posicao_contratual!U193)</f>
        <v/>
      </c>
      <c r="S193" s="180" t="str">
        <f>IF(A193="","",posicao_contratual!G193)</f>
        <v/>
      </c>
      <c r="T193" s="180" t="str">
        <f>IF(A193="","",posicao_contratual!K193)</f>
        <v/>
      </c>
      <c r="U193" s="180" t="str">
        <f>IF(A193="","",posicao_contratual!O193)</f>
        <v/>
      </c>
      <c r="V193" s="180" t="str">
        <f>IF(A193="","",posicao_contratual!S193)</f>
        <v/>
      </c>
      <c r="W193" s="180" t="str">
        <f>IF(A193="","",posicao_contratual!W193)</f>
        <v/>
      </c>
    </row>
    <row r="194" spans="1:23" x14ac:dyDescent="0.35">
      <c r="A194" s="111" t="str">
        <f>IF(itens_Remanesc!A194="","",itens_Remanesc!A194)</f>
        <v/>
      </c>
      <c r="B194" s="110" t="str">
        <f>IF(posicao_contratual!A194="","",posicao_contratual!E194)</f>
        <v/>
      </c>
      <c r="C194" s="104" t="str">
        <f>IF(itens_Remanesc!A194="","",itens_Remanesc!C194)</f>
        <v/>
      </c>
      <c r="D194" s="104" t="str">
        <f t="shared" ref="D194:D225" si="30">IF(OR(A194="",C194="",NOT(ISNUMBER($L$3))),"",ROUND(C194*$L$3,2))</f>
        <v/>
      </c>
      <c r="E194" s="104" t="str">
        <f t="shared" ref="E194:E200" si="31">IF(OR(A194="",C194="",NOT(ISNUMBER($L$4))),"",ROUND(C194*$L$4,2))</f>
        <v/>
      </c>
      <c r="F194" s="104" t="str">
        <f t="shared" ref="F194:F200" si="32">IF(OR(A194="",C194="",NOT(ISNUMBER($L$5))),"",ROUND(C194*$L$5,2))</f>
        <v/>
      </c>
      <c r="G194" s="104" t="str">
        <f t="shared" ref="G194:G200" si="33">IF(OR(A194="",C194="",NOT(ISNUMBER($L$6))),"",ROUND(C194*$L$6,2))</f>
        <v/>
      </c>
      <c r="H194" s="149" t="str">
        <f t="shared" ref="H194:H200" si="34">IF(OR(A194="",C194="",C194=0,NOT(ISNUMBER($L$6))),"",ROUND($L$6-1,4))</f>
        <v/>
      </c>
      <c r="I194" s="15"/>
      <c r="J194" s="15"/>
      <c r="K194" s="15"/>
      <c r="L194" s="15"/>
      <c r="M194" s="15"/>
      <c r="N194" s="180" t="str">
        <f>IF(A194="","",posicao_contratual!E194)</f>
        <v/>
      </c>
      <c r="O194" s="180" t="str">
        <f>IF(A194="","",posicao_contratual!I194)</f>
        <v/>
      </c>
      <c r="P194" s="180" t="str">
        <f>IF(A194="","",posicao_contratual!M194)</f>
        <v/>
      </c>
      <c r="Q194" s="180" t="str">
        <f>IF(A194="","",posicao_contratual!Q194)</f>
        <v/>
      </c>
      <c r="R194" s="180" t="str">
        <f>IF(A194="","",posicao_contratual!U194)</f>
        <v/>
      </c>
      <c r="S194" s="180" t="str">
        <f>IF(A194="","",posicao_contratual!G194)</f>
        <v/>
      </c>
      <c r="T194" s="180" t="str">
        <f>IF(A194="","",posicao_contratual!K194)</f>
        <v/>
      </c>
      <c r="U194" s="180" t="str">
        <f>IF(A194="","",posicao_contratual!O194)</f>
        <v/>
      </c>
      <c r="V194" s="180" t="str">
        <f>IF(A194="","",posicao_contratual!S194)</f>
        <v/>
      </c>
      <c r="W194" s="180" t="str">
        <f>IF(A194="","",posicao_contratual!W194)</f>
        <v/>
      </c>
    </row>
    <row r="195" spans="1:23" x14ac:dyDescent="0.35">
      <c r="A195" s="111" t="str">
        <f>IF(itens_Remanesc!A195="","",itens_Remanesc!A195)</f>
        <v/>
      </c>
      <c r="B195" s="110" t="str">
        <f>IF(posicao_contratual!A195="","",posicao_contratual!E195)</f>
        <v/>
      </c>
      <c r="C195" s="104" t="str">
        <f>IF(itens_Remanesc!A195="","",itens_Remanesc!C195)</f>
        <v/>
      </c>
      <c r="D195" s="104" t="str">
        <f t="shared" si="30"/>
        <v/>
      </c>
      <c r="E195" s="104" t="str">
        <f t="shared" si="31"/>
        <v/>
      </c>
      <c r="F195" s="104" t="str">
        <f t="shared" si="32"/>
        <v/>
      </c>
      <c r="G195" s="104" t="str">
        <f t="shared" si="33"/>
        <v/>
      </c>
      <c r="H195" s="149" t="str">
        <f t="shared" si="34"/>
        <v/>
      </c>
      <c r="I195" s="15"/>
      <c r="J195" s="15"/>
      <c r="K195" s="15"/>
      <c r="L195" s="15"/>
      <c r="M195" s="15"/>
      <c r="N195" s="180" t="str">
        <f>IF(A195="","",posicao_contratual!E195)</f>
        <v/>
      </c>
      <c r="O195" s="180" t="str">
        <f>IF(A195="","",posicao_contratual!I195)</f>
        <v/>
      </c>
      <c r="P195" s="180" t="str">
        <f>IF(A195="","",posicao_contratual!M195)</f>
        <v/>
      </c>
      <c r="Q195" s="180" t="str">
        <f>IF(A195="","",posicao_contratual!Q195)</f>
        <v/>
      </c>
      <c r="R195" s="180" t="str">
        <f>IF(A195="","",posicao_contratual!U195)</f>
        <v/>
      </c>
      <c r="S195" s="180" t="str">
        <f>IF(A195="","",posicao_contratual!G195)</f>
        <v/>
      </c>
      <c r="T195" s="180" t="str">
        <f>IF(A195="","",posicao_contratual!K195)</f>
        <v/>
      </c>
      <c r="U195" s="180" t="str">
        <f>IF(A195="","",posicao_contratual!O195)</f>
        <v/>
      </c>
      <c r="V195" s="180" t="str">
        <f>IF(A195="","",posicao_contratual!S195)</f>
        <v/>
      </c>
      <c r="W195" s="180" t="str">
        <f>IF(A195="","",posicao_contratual!W195)</f>
        <v/>
      </c>
    </row>
    <row r="196" spans="1:23" x14ac:dyDescent="0.35">
      <c r="A196" s="111" t="str">
        <f>IF(itens_Remanesc!A196="","",itens_Remanesc!A196)</f>
        <v/>
      </c>
      <c r="B196" s="110" t="str">
        <f>IF(posicao_contratual!A196="","",posicao_contratual!E196)</f>
        <v/>
      </c>
      <c r="C196" s="104" t="str">
        <f>IF(itens_Remanesc!A196="","",itens_Remanesc!C196)</f>
        <v/>
      </c>
      <c r="D196" s="104" t="str">
        <f t="shared" si="30"/>
        <v/>
      </c>
      <c r="E196" s="104" t="str">
        <f t="shared" si="31"/>
        <v/>
      </c>
      <c r="F196" s="104" t="str">
        <f t="shared" si="32"/>
        <v/>
      </c>
      <c r="G196" s="104" t="str">
        <f t="shared" si="33"/>
        <v/>
      </c>
      <c r="H196" s="149" t="str">
        <f t="shared" si="34"/>
        <v/>
      </c>
      <c r="I196" s="15"/>
      <c r="J196" s="15"/>
      <c r="K196" s="15"/>
      <c r="L196" s="15"/>
      <c r="M196" s="15"/>
      <c r="N196" s="180" t="str">
        <f>IF(A196="","",posicao_contratual!E196)</f>
        <v/>
      </c>
      <c r="O196" s="180" t="str">
        <f>IF(A196="","",posicao_contratual!I196)</f>
        <v/>
      </c>
      <c r="P196" s="180" t="str">
        <f>IF(A196="","",posicao_contratual!M196)</f>
        <v/>
      </c>
      <c r="Q196" s="180" t="str">
        <f>IF(A196="","",posicao_contratual!Q196)</f>
        <v/>
      </c>
      <c r="R196" s="180" t="str">
        <f>IF(A196="","",posicao_contratual!U196)</f>
        <v/>
      </c>
      <c r="S196" s="180" t="str">
        <f>IF(A196="","",posicao_contratual!G196)</f>
        <v/>
      </c>
      <c r="T196" s="180" t="str">
        <f>IF(A196="","",posicao_contratual!K196)</f>
        <v/>
      </c>
      <c r="U196" s="180" t="str">
        <f>IF(A196="","",posicao_contratual!O196)</f>
        <v/>
      </c>
      <c r="V196" s="180" t="str">
        <f>IF(A196="","",posicao_contratual!S196)</f>
        <v/>
      </c>
      <c r="W196" s="180" t="str">
        <f>IF(A196="","",posicao_contratual!W196)</f>
        <v/>
      </c>
    </row>
    <row r="197" spans="1:23" x14ac:dyDescent="0.35">
      <c r="A197" s="111" t="str">
        <f>IF(itens_Remanesc!A197="","",itens_Remanesc!A197)</f>
        <v/>
      </c>
      <c r="B197" s="110" t="str">
        <f>IF(posicao_contratual!A197="","",posicao_contratual!E197)</f>
        <v/>
      </c>
      <c r="C197" s="104" t="str">
        <f>IF(itens_Remanesc!A197="","",itens_Remanesc!C197)</f>
        <v/>
      </c>
      <c r="D197" s="104" t="str">
        <f t="shared" si="30"/>
        <v/>
      </c>
      <c r="E197" s="104" t="str">
        <f t="shared" si="31"/>
        <v/>
      </c>
      <c r="F197" s="104" t="str">
        <f t="shared" si="32"/>
        <v/>
      </c>
      <c r="G197" s="104" t="str">
        <f t="shared" si="33"/>
        <v/>
      </c>
      <c r="H197" s="149" t="str">
        <f t="shared" si="34"/>
        <v/>
      </c>
      <c r="I197" s="15"/>
      <c r="J197" s="15"/>
      <c r="K197" s="15"/>
      <c r="L197" s="15"/>
      <c r="M197" s="15"/>
      <c r="N197" s="180" t="str">
        <f>IF(A197="","",posicao_contratual!E197)</f>
        <v/>
      </c>
      <c r="O197" s="180" t="str">
        <f>IF(A197="","",posicao_contratual!I197)</f>
        <v/>
      </c>
      <c r="P197" s="180" t="str">
        <f>IF(A197="","",posicao_contratual!M197)</f>
        <v/>
      </c>
      <c r="Q197" s="180" t="str">
        <f>IF(A197="","",posicao_contratual!Q197)</f>
        <v/>
      </c>
      <c r="R197" s="180" t="str">
        <f>IF(A197="","",posicao_contratual!U197)</f>
        <v/>
      </c>
      <c r="S197" s="180" t="str">
        <f>IF(A197="","",posicao_contratual!G197)</f>
        <v/>
      </c>
      <c r="T197" s="180" t="str">
        <f>IF(A197="","",posicao_contratual!K197)</f>
        <v/>
      </c>
      <c r="U197" s="180" t="str">
        <f>IF(A197="","",posicao_contratual!O197)</f>
        <v/>
      </c>
      <c r="V197" s="180" t="str">
        <f>IF(A197="","",posicao_contratual!S197)</f>
        <v/>
      </c>
      <c r="W197" s="180" t="str">
        <f>IF(A197="","",posicao_contratual!W197)</f>
        <v/>
      </c>
    </row>
    <row r="198" spans="1:23" x14ac:dyDescent="0.35">
      <c r="A198" s="111" t="str">
        <f>IF(itens_Remanesc!A198="","",itens_Remanesc!A198)</f>
        <v/>
      </c>
      <c r="B198" s="110" t="str">
        <f>IF(posicao_contratual!A198="","",posicao_contratual!E198)</f>
        <v/>
      </c>
      <c r="C198" s="104" t="str">
        <f>IF(itens_Remanesc!A198="","",itens_Remanesc!C198)</f>
        <v/>
      </c>
      <c r="D198" s="104" t="str">
        <f t="shared" si="30"/>
        <v/>
      </c>
      <c r="E198" s="104" t="str">
        <f t="shared" si="31"/>
        <v/>
      </c>
      <c r="F198" s="104" t="str">
        <f t="shared" si="32"/>
        <v/>
      </c>
      <c r="G198" s="104" t="str">
        <f t="shared" si="33"/>
        <v/>
      </c>
      <c r="H198" s="149" t="str">
        <f t="shared" si="34"/>
        <v/>
      </c>
      <c r="I198" s="15"/>
      <c r="J198" s="15"/>
      <c r="K198" s="15"/>
      <c r="L198" s="15"/>
      <c r="M198" s="15"/>
      <c r="N198" s="180" t="str">
        <f>IF(A198="","",posicao_contratual!E198)</f>
        <v/>
      </c>
      <c r="O198" s="180" t="str">
        <f>IF(A198="","",posicao_contratual!I198)</f>
        <v/>
      </c>
      <c r="P198" s="180" t="str">
        <f>IF(A198="","",posicao_contratual!M198)</f>
        <v/>
      </c>
      <c r="Q198" s="180" t="str">
        <f>IF(A198="","",posicao_contratual!Q198)</f>
        <v/>
      </c>
      <c r="R198" s="180" t="str">
        <f>IF(A198="","",posicao_contratual!U198)</f>
        <v/>
      </c>
      <c r="S198" s="180" t="str">
        <f>IF(A198="","",posicao_contratual!G198)</f>
        <v/>
      </c>
      <c r="T198" s="180" t="str">
        <f>IF(A198="","",posicao_contratual!K198)</f>
        <v/>
      </c>
      <c r="U198" s="180" t="str">
        <f>IF(A198="","",posicao_contratual!O198)</f>
        <v/>
      </c>
      <c r="V198" s="180" t="str">
        <f>IF(A198="","",posicao_contratual!S198)</f>
        <v/>
      </c>
      <c r="W198" s="180" t="str">
        <f>IF(A198="","",posicao_contratual!W198)</f>
        <v/>
      </c>
    </row>
    <row r="199" spans="1:23" x14ac:dyDescent="0.35">
      <c r="A199" s="111" t="str">
        <f>IF(itens_Remanesc!A199="","",itens_Remanesc!A199)</f>
        <v/>
      </c>
      <c r="B199" s="110" t="str">
        <f>IF(posicao_contratual!A199="","",posicao_contratual!E199)</f>
        <v/>
      </c>
      <c r="C199" s="104" t="str">
        <f>IF(itens_Remanesc!A199="","",itens_Remanesc!C199)</f>
        <v/>
      </c>
      <c r="D199" s="104" t="str">
        <f t="shared" si="30"/>
        <v/>
      </c>
      <c r="E199" s="104" t="str">
        <f t="shared" si="31"/>
        <v/>
      </c>
      <c r="F199" s="104" t="str">
        <f t="shared" si="32"/>
        <v/>
      </c>
      <c r="G199" s="104" t="str">
        <f t="shared" si="33"/>
        <v/>
      </c>
      <c r="H199" s="149" t="str">
        <f t="shared" si="34"/>
        <v/>
      </c>
      <c r="I199" s="15"/>
      <c r="J199" s="15"/>
      <c r="K199" s="15"/>
      <c r="L199" s="15"/>
      <c r="M199" s="15"/>
      <c r="N199" s="180" t="str">
        <f>IF(A199="","",posicao_contratual!E199)</f>
        <v/>
      </c>
      <c r="O199" s="180" t="str">
        <f>IF(A199="","",posicao_contratual!I199)</f>
        <v/>
      </c>
      <c r="P199" s="180" t="str">
        <f>IF(A199="","",posicao_contratual!M199)</f>
        <v/>
      </c>
      <c r="Q199" s="180" t="str">
        <f>IF(A199="","",posicao_contratual!Q199)</f>
        <v/>
      </c>
      <c r="R199" s="180" t="str">
        <f>IF(A199="","",posicao_contratual!U199)</f>
        <v/>
      </c>
      <c r="S199" s="180" t="str">
        <f>IF(A199="","",posicao_contratual!G199)</f>
        <v/>
      </c>
      <c r="T199" s="180" t="str">
        <f>IF(A199="","",posicao_contratual!K199)</f>
        <v/>
      </c>
      <c r="U199" s="180" t="str">
        <f>IF(A199="","",posicao_contratual!O199)</f>
        <v/>
      </c>
      <c r="V199" s="180" t="str">
        <f>IF(A199="","",posicao_contratual!S199)</f>
        <v/>
      </c>
      <c r="W199" s="180" t="str">
        <f>IF(A199="","",posicao_contratual!W199)</f>
        <v/>
      </c>
    </row>
    <row r="200" spans="1:23" x14ac:dyDescent="0.35">
      <c r="A200" s="111" t="str">
        <f>IF(itens_Remanesc!A200="","",itens_Remanesc!A200)</f>
        <v/>
      </c>
      <c r="B200" s="110" t="str">
        <f>IF(posicao_contratual!A200="","",posicao_contratual!E200)</f>
        <v/>
      </c>
      <c r="C200" s="104" t="str">
        <f>IF(itens_Remanesc!A200="","",itens_Remanesc!C200)</f>
        <v/>
      </c>
      <c r="D200" s="104" t="str">
        <f t="shared" si="30"/>
        <v/>
      </c>
      <c r="E200" s="104" t="str">
        <f t="shared" si="31"/>
        <v/>
      </c>
      <c r="F200" s="104" t="str">
        <f t="shared" si="32"/>
        <v/>
      </c>
      <c r="G200" s="104" t="str">
        <f t="shared" si="33"/>
        <v/>
      </c>
      <c r="H200" s="149" t="str">
        <f t="shared" si="34"/>
        <v/>
      </c>
      <c r="I200" s="15"/>
      <c r="J200" s="15"/>
      <c r="K200" s="15"/>
      <c r="L200" s="15"/>
      <c r="M200" s="15"/>
      <c r="N200" s="180" t="str">
        <f>IF(A200="","",posicao_contratual!E200)</f>
        <v/>
      </c>
      <c r="O200" s="180" t="str">
        <f>IF(A200="","",posicao_contratual!I200)</f>
        <v/>
      </c>
      <c r="P200" s="180" t="str">
        <f>IF(A200="","",posicao_contratual!M200)</f>
        <v/>
      </c>
      <c r="Q200" s="180" t="str">
        <f>IF(A200="","",posicao_contratual!Q200)</f>
        <v/>
      </c>
      <c r="R200" s="180" t="str">
        <f>IF(A200="","",posicao_contratual!U200)</f>
        <v/>
      </c>
      <c r="S200" s="180" t="str">
        <f>IF(A200="","",posicao_contratual!G200)</f>
        <v/>
      </c>
      <c r="T200" s="180" t="str">
        <f>IF(A200="","",posicao_contratual!K200)</f>
        <v/>
      </c>
      <c r="U200" s="180" t="str">
        <f>IF(A200="","",posicao_contratual!O200)</f>
        <v/>
      </c>
      <c r="V200" s="180" t="str">
        <f>IF(A200="","",posicao_contratual!S200)</f>
        <v/>
      </c>
      <c r="W200" s="180" t="str">
        <f>IF(A200="","",posicao_contratual!W200)</f>
        <v/>
      </c>
    </row>
    <row r="201" spans="1:23" x14ac:dyDescent="0.35">
      <c r="A201" s="15"/>
      <c r="B201" s="41"/>
      <c r="C201" s="42"/>
      <c r="D201" s="42"/>
      <c r="E201" s="42"/>
      <c r="F201" s="42"/>
      <c r="G201" s="42"/>
      <c r="H201" s="15"/>
      <c r="I201" s="15"/>
      <c r="J201" s="15"/>
      <c r="K201" s="15"/>
      <c r="L201" s="15"/>
      <c r="M201" s="15"/>
      <c r="N201" s="15"/>
      <c r="O201" s="15"/>
    </row>
    <row r="202" spans="1:23" x14ac:dyDescent="0.35">
      <c r="A202" s="15"/>
      <c r="B202" s="41"/>
      <c r="C202" s="42"/>
      <c r="D202" s="42"/>
      <c r="E202" s="42"/>
      <c r="F202" s="42"/>
      <c r="G202" s="42"/>
      <c r="H202" s="15"/>
      <c r="I202" s="15"/>
      <c r="J202" s="15"/>
      <c r="K202" s="15"/>
      <c r="L202" s="15"/>
      <c r="M202" s="15"/>
      <c r="N202" s="15"/>
      <c r="O202" s="15"/>
    </row>
    <row r="203" spans="1:23" x14ac:dyDescent="0.35">
      <c r="A203" s="15"/>
      <c r="B203" s="41"/>
      <c r="C203" s="42"/>
      <c r="D203" s="42"/>
      <c r="E203" s="42"/>
      <c r="F203" s="42"/>
      <c r="G203" s="42"/>
      <c r="H203" s="15"/>
      <c r="I203" s="15"/>
      <c r="J203" s="15"/>
      <c r="K203" s="15"/>
      <c r="L203" s="15"/>
      <c r="M203" s="15"/>
      <c r="N203" s="15"/>
      <c r="O203" s="15"/>
    </row>
    <row r="204" spans="1:23" x14ac:dyDescent="0.35">
      <c r="A204" s="15"/>
      <c r="B204" s="41"/>
      <c r="C204" s="42"/>
      <c r="D204" s="42"/>
      <c r="E204" s="42"/>
      <c r="F204" s="42"/>
      <c r="G204" s="42"/>
      <c r="H204" s="15"/>
      <c r="I204" s="15"/>
      <c r="J204" s="15"/>
      <c r="K204" s="15"/>
      <c r="L204" s="15"/>
      <c r="M204" s="15"/>
      <c r="N204" s="15"/>
      <c r="O204" s="15"/>
    </row>
    <row r="205" spans="1:23" x14ac:dyDescent="0.35">
      <c r="A205" s="15"/>
      <c r="B205" s="41"/>
      <c r="C205" s="42"/>
      <c r="D205" s="42"/>
      <c r="E205" s="42"/>
      <c r="F205" s="42"/>
      <c r="G205" s="42"/>
      <c r="H205" s="15"/>
      <c r="I205" s="15"/>
      <c r="J205" s="15"/>
      <c r="K205" s="15"/>
      <c r="L205" s="15"/>
      <c r="M205" s="15"/>
      <c r="N205" s="15"/>
      <c r="O205" s="15"/>
    </row>
    <row r="206" spans="1:23" x14ac:dyDescent="0.35">
      <c r="A206" s="15"/>
      <c r="B206" s="41"/>
      <c r="C206" s="42"/>
      <c r="D206" s="42"/>
      <c r="E206" s="42"/>
      <c r="F206" s="42"/>
      <c r="G206" s="42"/>
      <c r="H206" s="15"/>
      <c r="I206" s="15"/>
      <c r="J206" s="15"/>
      <c r="K206" s="15"/>
      <c r="L206" s="15"/>
      <c r="M206" s="15"/>
      <c r="N206" s="15"/>
      <c r="O206" s="15"/>
    </row>
    <row r="207" spans="1:23" x14ac:dyDescent="0.35">
      <c r="A207" s="15"/>
      <c r="B207" s="41"/>
      <c r="C207" s="42"/>
      <c r="D207" s="42"/>
      <c r="E207" s="42"/>
      <c r="F207" s="42"/>
      <c r="G207" s="42"/>
      <c r="H207" s="15"/>
      <c r="I207" s="15"/>
      <c r="J207" s="15"/>
      <c r="K207" s="15"/>
      <c r="L207" s="15"/>
      <c r="M207" s="15"/>
      <c r="N207" s="15"/>
      <c r="O207" s="15"/>
    </row>
    <row r="208" spans="1:23" x14ac:dyDescent="0.35">
      <c r="A208" s="15"/>
      <c r="B208" s="41"/>
      <c r="C208" s="42"/>
      <c r="D208" s="42"/>
      <c r="E208" s="42"/>
      <c r="F208" s="42"/>
      <c r="G208" s="42"/>
      <c r="H208" s="15"/>
      <c r="I208" s="15"/>
      <c r="J208" s="15"/>
      <c r="K208" s="15"/>
      <c r="L208" s="15"/>
      <c r="M208" s="15"/>
      <c r="N208" s="15"/>
      <c r="O208" s="15"/>
    </row>
    <row r="209" spans="1:15" x14ac:dyDescent="0.35">
      <c r="A209" s="15"/>
      <c r="B209" s="41"/>
      <c r="C209" s="42"/>
      <c r="D209" s="42"/>
      <c r="E209" s="42"/>
      <c r="F209" s="42"/>
      <c r="G209" s="42"/>
      <c r="H209" s="15"/>
      <c r="I209" s="15"/>
      <c r="J209" s="15"/>
      <c r="K209" s="15"/>
      <c r="L209" s="15"/>
      <c r="M209" s="15"/>
      <c r="N209" s="15"/>
      <c r="O209" s="15"/>
    </row>
    <row r="210" spans="1:15" x14ac:dyDescent="0.35">
      <c r="A210" s="15"/>
      <c r="B210" s="41"/>
      <c r="C210" s="42"/>
      <c r="D210" s="42"/>
      <c r="E210" s="42"/>
      <c r="F210" s="42"/>
      <c r="G210" s="42"/>
      <c r="H210" s="15"/>
      <c r="I210" s="15"/>
      <c r="J210" s="15"/>
      <c r="K210" s="15"/>
      <c r="L210" s="15"/>
      <c r="M210" s="15"/>
      <c r="N210" s="15"/>
      <c r="O210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A1538"/>
  </sheetPr>
  <dimension ref="A1:Q253"/>
  <sheetViews>
    <sheetView showGridLines="0" workbookViewId="0">
      <selection activeCell="B4" sqref="B4"/>
    </sheetView>
  </sheetViews>
  <sheetFormatPr defaultRowHeight="14.5" x14ac:dyDescent="0.35"/>
  <cols>
    <col min="1" max="1" width="30" customWidth="1"/>
    <col min="2" max="2" width="18" customWidth="1"/>
    <col min="3" max="3" width="23" customWidth="1"/>
    <col min="4" max="5" width="22" customWidth="1"/>
    <col min="6" max="6" width="30" customWidth="1"/>
    <col min="7" max="7" width="24" customWidth="1"/>
    <col min="8" max="8" width="20" customWidth="1"/>
    <col min="9" max="9" width="16" customWidth="1"/>
    <col min="10" max="10" width="30" customWidth="1"/>
    <col min="11" max="14" width="17" customWidth="1"/>
    <col min="15" max="17" width="18" customWidth="1"/>
  </cols>
  <sheetData>
    <row r="1" spans="1:17" ht="28" customHeight="1" x14ac:dyDescent="0.35">
      <c r="A1" s="219" t="s">
        <v>160</v>
      </c>
      <c r="B1" s="220"/>
      <c r="C1" s="220"/>
      <c r="D1" s="220"/>
      <c r="E1" s="220"/>
      <c r="F1" s="220"/>
      <c r="G1" s="220"/>
      <c r="H1" s="220"/>
      <c r="I1" s="220"/>
      <c r="J1" s="220"/>
      <c r="K1" s="77"/>
      <c r="L1" s="77"/>
      <c r="M1" s="77"/>
      <c r="N1" s="77"/>
      <c r="O1" s="77"/>
      <c r="P1" s="77"/>
      <c r="Q1" s="77"/>
    </row>
    <row r="2" spans="1:17" ht="34" customHeight="1" x14ac:dyDescent="0.35">
      <c r="A2" s="227" t="s">
        <v>161</v>
      </c>
      <c r="B2" s="220"/>
      <c r="C2" s="220"/>
      <c r="D2" s="220"/>
      <c r="E2" s="220"/>
      <c r="F2" s="220"/>
      <c r="G2" s="220"/>
      <c r="H2" s="220"/>
      <c r="I2" s="220"/>
      <c r="J2" s="220"/>
      <c r="K2" s="77"/>
      <c r="L2" s="77"/>
      <c r="M2" s="77"/>
      <c r="N2" s="77"/>
      <c r="O2" s="77"/>
      <c r="P2" s="77"/>
      <c r="Q2" s="77"/>
    </row>
    <row r="3" spans="1:17" x14ac:dyDescent="0.35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</row>
    <row r="4" spans="1:17" ht="24" customHeight="1" x14ac:dyDescent="0.35">
      <c r="A4" s="150" t="s">
        <v>162</v>
      </c>
      <c r="B4" s="211" t="s">
        <v>163</v>
      </c>
      <c r="C4" s="150" t="s">
        <v>164</v>
      </c>
      <c r="D4" s="151">
        <v>5.0000000000000001E-3</v>
      </c>
      <c r="E4" s="150" t="s">
        <v>165</v>
      </c>
      <c r="F4" s="152" t="str">
        <f>UPPER(CONTROLE!B2)</f>
        <v>C1</v>
      </c>
      <c r="G4" s="150" t="s">
        <v>166</v>
      </c>
      <c r="H4" s="152" t="str">
        <f>IF(CONTROLE!B1="Itens Consumidos","Itens",IF(CONTROLE!B1="Pedidos de Compras","PCs","Informado"))</f>
        <v>Informado</v>
      </c>
      <c r="I4" s="150" t="s">
        <v>167</v>
      </c>
      <c r="J4" s="152" t="str">
        <f>IF(OR(E26="MANUAL VALIDADO",E26="CALCULADO — CONFERIR",E26="VTA COM AJUSTE MANUAL — CONFERIR"),IF(OR(F16="CALCULADO — CONFERIR",F16="MANUAL VALIDADO"),IF(OR(F36="CALCULADO — CONFERIR",F36="BASE ÚNICA — CONFERIR"),"CONSOLIDADO — CONFERIR",F36),F16),E26)</f>
        <v>CÁLCULO MANUAL REQUERIDO</v>
      </c>
      <c r="K4" s="77"/>
      <c r="L4" s="77"/>
      <c r="M4" s="77"/>
      <c r="N4" s="77"/>
      <c r="O4" s="77"/>
      <c r="P4" s="77"/>
      <c r="Q4" s="77"/>
    </row>
    <row r="5" spans="1:17" ht="24" customHeight="1" x14ac:dyDescent="0.35">
      <c r="A5" s="150" t="s">
        <v>168</v>
      </c>
      <c r="B5" s="80"/>
      <c r="C5" s="150" t="s">
        <v>169</v>
      </c>
      <c r="D5" s="230"/>
      <c r="E5" s="231"/>
      <c r="F5" s="231"/>
      <c r="G5" s="231"/>
      <c r="H5" s="231"/>
      <c r="I5" s="231"/>
      <c r="J5" s="232"/>
      <c r="K5" s="77"/>
      <c r="L5" s="77"/>
      <c r="M5" s="77"/>
      <c r="N5" s="77"/>
      <c r="O5" s="77"/>
      <c r="P5" s="77"/>
      <c r="Q5" s="77"/>
    </row>
    <row r="6" spans="1:17" ht="34" customHeight="1" x14ac:dyDescent="0.35">
      <c r="A6" s="225" t="s">
        <v>170</v>
      </c>
      <c r="B6" s="220"/>
      <c r="C6" s="220"/>
      <c r="D6" s="220"/>
      <c r="E6" s="220"/>
      <c r="F6" s="220"/>
      <c r="G6" s="220"/>
      <c r="H6" s="220"/>
      <c r="I6" s="220"/>
      <c r="J6" s="220"/>
      <c r="K6" s="77"/>
      <c r="L6" s="77"/>
      <c r="M6" s="77"/>
      <c r="N6" s="77"/>
      <c r="O6" s="77"/>
      <c r="P6" s="77"/>
      <c r="Q6" s="77"/>
    </row>
    <row r="7" spans="1:17" x14ac:dyDescent="0.35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</row>
    <row r="8" spans="1:17" ht="24" customHeight="1" x14ac:dyDescent="0.35">
      <c r="A8" s="224" t="s">
        <v>171</v>
      </c>
      <c r="B8" s="220"/>
      <c r="C8" s="220"/>
      <c r="D8" s="220"/>
      <c r="E8" s="220"/>
      <c r="F8" s="220"/>
      <c r="G8" s="220"/>
      <c r="H8" s="220"/>
      <c r="I8" s="220"/>
      <c r="J8" s="220"/>
      <c r="K8" s="77"/>
      <c r="L8" s="77"/>
      <c r="M8" s="77"/>
      <c r="N8" s="77"/>
      <c r="O8" s="77"/>
      <c r="P8" s="77"/>
      <c r="Q8" s="77"/>
    </row>
    <row r="9" spans="1:17" x14ac:dyDescent="0.35">
      <c r="A9" s="153" t="s">
        <v>172</v>
      </c>
      <c r="B9" s="153" t="s">
        <v>173</v>
      </c>
      <c r="C9" s="153" t="s">
        <v>174</v>
      </c>
      <c r="D9" s="153" t="s">
        <v>175</v>
      </c>
      <c r="E9" s="153" t="s">
        <v>176</v>
      </c>
      <c r="F9" s="153" t="s">
        <v>177</v>
      </c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</row>
    <row r="10" spans="1:17" x14ac:dyDescent="0.35">
      <c r="A10" s="154" t="s">
        <v>26</v>
      </c>
      <c r="B10" s="155">
        <f>IF(COUNTIFS(financeiro!$B$2:$B$73,"c0",financeiro!$C$2:$C$73,"&gt;0",financeiro!$G$2:$G$73,"Sim")=0,"",ROUND(SUMIFS(financeiro!$F$2:$F$73,financeiro!$B$2:$B$73,"c0",financeiro!$G$2:$G$73,"Sim"),2))</f>
        <v>0</v>
      </c>
      <c r="C10" s="155" t="str">
        <f>IF(COUNTIFS(itens_PC!$C$2:$C$100,"C0",itens_PC!$D$2:$D$100,"&gt;0",itens_PC!$G$2:$G$100,"Sim")=0,"",ROUND(SUMIFS(itens_PC!$H$2:$H$100,itens_PC!$C$2:$C$100,"C0",itens_PC!$G$2:$G$100,"Sim"),2))</f>
        <v/>
      </c>
      <c r="D10" s="155">
        <f>IF(COUNTIFS(itens_Consumidos!$E$2:$E$200,"&gt;0")=0,"",0)</f>
        <v>0</v>
      </c>
      <c r="E10" s="155">
        <f t="shared" ref="E10:E15" si="0">IF($B$4="Financeiro",B10,IF($B$4="PCs",C10,D10))</f>
        <v>0</v>
      </c>
      <c r="F10" s="156" t="str">
        <f>IF(COUNT(B10:D10)=0,"SEM BASE",IF(E10="","FONTE OFICIAL AUSENTE","CONFERIR"))</f>
        <v>CONFERIR</v>
      </c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</row>
    <row r="11" spans="1:17" x14ac:dyDescent="0.35">
      <c r="A11" s="154" t="s">
        <v>35</v>
      </c>
      <c r="B11" s="155">
        <f>IF(COUNTIFS(financeiro!$B$2:$B$73,"c1",financeiro!$C$2:$C$73,"&gt;0",financeiro!$G$2:$G$73,"Sim")=0,"",ROUND(SUMIFS(financeiro!$F$2:$F$73,financeiro!$B$2:$B$73,"c1",financeiro!$G$2:$G$73,"Sim"),2))</f>
        <v>26112</v>
      </c>
      <c r="C11" s="155">
        <f>IF(COUNTIFS(itens_PC!$C$2:$C$100,"C1",itens_PC!$D$2:$D$100,"&gt;0",itens_PC!$G$2:$G$100,"Sim")=0,"",ROUND(SUMIFS(itens_PC!$H$2:$H$100,itens_PC!$C$2:$C$100,"C1",itens_PC!$G$2:$G$100,"Sim"),2))</f>
        <v>14156.8</v>
      </c>
      <c r="D11" s="155">
        <f>IF(OR(COUNTIFS(itens_Consumidos!$G$2:$G$200,"&gt;0")=0,NOT(ISNUMBER(parametros!$F3)),NOT(ISNUMBER(parametros!$D12)),parametros!$D12=0),"",ROUND(SUMPRODUCT(itens_Consumidos!$G$2:$G$200,itens_Consumidos!$C$2:$C$200)*(parametros!$F3-parametros!$F3/parametros!$D12),2))</f>
        <v>6668.8</v>
      </c>
      <c r="E11" s="155">
        <f t="shared" si="0"/>
        <v>26112</v>
      </c>
      <c r="F11" s="156" t="str">
        <f>IF(COUNT(B11:D11)=0,"SEM BASE",IF(E11="","FONTE OFICIAL AUSENTE","CONFERIR"))</f>
        <v>CONFERIR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</row>
    <row r="12" spans="1:17" x14ac:dyDescent="0.35">
      <c r="A12" s="154" t="s">
        <v>37</v>
      </c>
      <c r="B12" s="155" t="str">
        <f>IF(COUNTIFS(financeiro!$B$2:$B$73,"c2",financeiro!$C$2:$C$73,"&gt;0",financeiro!$G$2:$G$73,"Sim")=0,"",ROUND(SUMIFS(financeiro!$F$2:$F$73,financeiro!$B$2:$B$73,"c2",financeiro!$G$2:$G$73,"Sim"),2))</f>
        <v/>
      </c>
      <c r="C12" s="155" t="str">
        <f>IF(COUNTIFS(itens_PC!$C$2:$C$100,"C2",itens_PC!$D$2:$D$100,"&gt;0",itens_PC!$G$2:$G$100,"Sim")=0,"",ROUND(SUMIFS(itens_PC!$H$2:$H$100,itens_PC!$C$2:$C$100,"C2",itens_PC!$G$2:$G$100,"Sim"),2))</f>
        <v/>
      </c>
      <c r="D12" s="155" t="str">
        <f>IF(OR(COUNTIFS(itens_Consumidos!$I$2:$I$200,"&gt;0")=0,NOT(ISNUMBER(parametros!$F4)),NOT(ISNUMBER(parametros!$D13)),parametros!$D13=0),"",ROUND(SUMPRODUCT(itens_Consumidos!$I$2:$I$200,itens_Consumidos!$C$2:$C$200)*(parametros!$F4-parametros!$F4/parametros!$D13),2))</f>
        <v/>
      </c>
      <c r="E12" s="155" t="str">
        <f t="shared" si="0"/>
        <v/>
      </c>
      <c r="F12" s="156" t="str">
        <f>IF(COUNT(B12:D12)=0,"SEM BASE",IF(E12="","FONTE OFICIAL AUSENTE","CONFERIR"))</f>
        <v>SEM BASE</v>
      </c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</row>
    <row r="13" spans="1:17" x14ac:dyDescent="0.35">
      <c r="A13" s="154" t="s">
        <v>38</v>
      </c>
      <c r="B13" s="155" t="str">
        <f>IF(COUNTIFS(financeiro!$B$2:$B$73,"c3",financeiro!$C$2:$C$73,"&gt;0",financeiro!$G$2:$G$73,"Sim")=0,"",ROUND(SUMIFS(financeiro!$F$2:$F$73,financeiro!$B$2:$B$73,"c3",financeiro!$G$2:$G$73,"Sim"),2))</f>
        <v/>
      </c>
      <c r="C13" s="155" t="str">
        <f>IF(COUNTIFS(itens_PC!$C$2:$C$100,"C3",itens_PC!$D$2:$D$100,"&gt;0",itens_PC!$G$2:$G$100,"Sim")=0,"",ROUND(SUMIFS(itens_PC!$H$2:$H$100,itens_PC!$C$2:$C$100,"C3",itens_PC!$G$2:$G$100,"Sim"),2))</f>
        <v/>
      </c>
      <c r="D13" s="155" t="str">
        <f>IF(OR(COUNTIFS(itens_Consumidos!$K$2:$K$200,"&gt;0")=0,NOT(ISNUMBER(parametros!$F5)),NOT(ISNUMBER(parametros!$D14)),parametros!$D14=0),"",ROUND(SUMPRODUCT(itens_Consumidos!$K$2:$K$200,itens_Consumidos!$C$2:$C$200)*(parametros!$F5-parametros!$F5/parametros!$D14),2))</f>
        <v/>
      </c>
      <c r="E13" s="155" t="str">
        <f t="shared" si="0"/>
        <v/>
      </c>
      <c r="F13" s="156" t="str">
        <f>IF(COUNT(B13:D13)=0,"SEM BASE",IF(E13="","FONTE OFICIAL AUSENTE","CONFERIR"))</f>
        <v>SEM BASE</v>
      </c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</row>
    <row r="14" spans="1:17" x14ac:dyDescent="0.35">
      <c r="A14" s="154" t="s">
        <v>39</v>
      </c>
      <c r="B14" s="155" t="str">
        <f>IF(COUNTIFS(financeiro!$B$2:$B$73,"c4",financeiro!$C$2:$C$73,"&gt;0",financeiro!$G$2:$G$73,"Sim")=0,"",ROUND(SUMIFS(financeiro!$F$2:$F$73,financeiro!$B$2:$B$73,"c4",financeiro!$G$2:$G$73,"Sim"),2))</f>
        <v/>
      </c>
      <c r="C14" s="155" t="str">
        <f>IF(COUNTIFS(itens_PC!$C$2:$C$100,"C4",itens_PC!$D$2:$D$100,"&gt;0",itens_PC!$G$2:$G$100,"Sim")=0,"",ROUND(SUMIFS(itens_PC!$H$2:$H$100,itens_PC!$C$2:$C$100,"C4",itens_PC!$G$2:$G$100,"Sim"),2))</f>
        <v/>
      </c>
      <c r="D14" s="155" t="str">
        <f>IF(OR(COUNTIFS(itens_Consumidos!$M$2:$M$200,"&gt;0")=0,NOT(ISNUMBER(parametros!$F6)),NOT(ISNUMBER(parametros!$D15)),parametros!$D15=0),"",ROUND(SUMPRODUCT(itens_Consumidos!$M$2:$M$200,itens_Consumidos!$C$2:$C$200)*(parametros!$F6-parametros!$F6/parametros!$D15),2))</f>
        <v/>
      </c>
      <c r="E14" s="155" t="str">
        <f t="shared" si="0"/>
        <v/>
      </c>
      <c r="F14" s="156" t="str">
        <f>IF(COUNT(B14:D14)=0,"SEM BASE",IF(E14="","FONTE OFICIAL AUSENTE","CONFERIR"))</f>
        <v>SEM BASE</v>
      </c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</row>
    <row r="15" spans="1:17" x14ac:dyDescent="0.35">
      <c r="A15" s="157" t="s">
        <v>40</v>
      </c>
      <c r="B15" s="158">
        <f>IF(COUNT(B10:B14)=0,"",ROUND(SUM(B10:B14),2))</f>
        <v>26112</v>
      </c>
      <c r="C15" s="158">
        <f>IF(COUNT(C10:C14)=0,"",ROUND(SUM(C10:C14),2))</f>
        <v>14156.8</v>
      </c>
      <c r="D15" s="158">
        <f>IF(COUNT(D10:D14)=0,"",ROUND(SUM(D10:D14),2))</f>
        <v>6668.8</v>
      </c>
      <c r="E15" s="158">
        <f t="shared" si="0"/>
        <v>26112</v>
      </c>
      <c r="F15" s="159" t="str">
        <f>IF(E15="","SEM TOTAL OFICIAL","CONFERIR")</f>
        <v>CONFERIR</v>
      </c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</row>
    <row r="16" spans="1:17" x14ac:dyDescent="0.35">
      <c r="A16" s="152" t="s">
        <v>178</v>
      </c>
      <c r="B16" s="160">
        <f>IF(ISNUMBER($B$5),$B$5,E15)</f>
        <v>26112</v>
      </c>
      <c r="C16" s="152" t="s">
        <v>179</v>
      </c>
      <c r="D16" s="152" t="str">
        <f>IF(ISNUMBER($B$5),"MANUAL",$B$4)</f>
        <v>Financeiro</v>
      </c>
      <c r="E16" s="152" t="s">
        <v>180</v>
      </c>
      <c r="F16" s="152" t="str">
        <f>IF(AND($B$5&lt;&gt;"",NOT(ISNUMBER($B$5))),"VALOR MANUAL INVÁLIDO",IF(ISNUMBER($B$5),IF($D$5="","JUSTIFICATIVA OBRIGATÓRIA","MANUAL VALIDADO"),IF(E15="",IF(COUNT(B15:D15)=0,"INCOMPLETO — SEM BASE","CÁLCULO MANUAL REQUERIDO"),IF(IF($B$4="Financeiro",$B$44,IF($B$4="PCs",$D$44,$F$44))&gt;0,"CÁLCULO MANUAL REQUERIDO",IF(OR(IF(AND(ISNUMBER(B15),$B$4&lt;&gt;"Financeiro"),ABS(B15-E15)/MAX(ABS(E15),1)&gt;$D$4,FALSE),IF(AND(ISNUMBER(C15),$B$4&lt;&gt;"PCs"),ABS(C15-E15)/MAX(ABS(E15),1)&gt;$D$4,FALSE),IF(AND(ISNUMBER(D15),$B$4&lt;&gt;"Itens"),ABS(D15-E15)/MAX(ABS(E15),1)&gt;$D$4,FALSE)),"DIVERGENTE — CÁLCULO MANUAL REQUERIDO","CALCULADO — CONFERIR")))))</f>
        <v>DIVERGENTE — CÁLCULO MANUAL REQUERIDO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</row>
    <row r="17" spans="1:17" ht="24" customHeight="1" x14ac:dyDescent="0.35">
      <c r="A17" s="226" t="s">
        <v>181</v>
      </c>
      <c r="B17" s="220"/>
      <c r="C17" s="220"/>
      <c r="D17" s="220"/>
      <c r="E17" s="220"/>
      <c r="F17" s="220"/>
      <c r="G17" s="220"/>
      <c r="H17" s="220"/>
      <c r="I17" s="220"/>
      <c r="J17" s="220"/>
      <c r="K17" s="77"/>
      <c r="L17" s="77"/>
      <c r="M17" s="77"/>
      <c r="N17" s="77"/>
      <c r="O17" s="77"/>
      <c r="P17" s="77"/>
      <c r="Q17" s="77"/>
    </row>
    <row r="18" spans="1:17" x14ac:dyDescent="0.35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</row>
    <row r="19" spans="1:17" ht="24" customHeight="1" x14ac:dyDescent="0.35">
      <c r="A19" s="224" t="s">
        <v>182</v>
      </c>
      <c r="B19" s="220"/>
      <c r="C19" s="220"/>
      <c r="D19" s="220"/>
      <c r="E19" s="220"/>
      <c r="F19" s="220"/>
      <c r="G19" s="220"/>
      <c r="H19" s="220"/>
      <c r="I19" s="220"/>
      <c r="J19" s="220"/>
      <c r="K19" s="77"/>
      <c r="L19" s="77"/>
      <c r="M19" s="77"/>
      <c r="N19" s="77"/>
      <c r="O19" s="77"/>
      <c r="P19" s="77"/>
      <c r="Q19" s="77"/>
    </row>
    <row r="20" spans="1:17" x14ac:dyDescent="0.35">
      <c r="A20" s="150" t="s">
        <v>183</v>
      </c>
      <c r="B20" s="161">
        <f>IF(COUNTIF(itens_Remanesc!$A$2:$A$200,"&lt;&gt;")=0,"",ROUND(SUMIF(itens_Remanesc!$A$2:$A$200,"&lt;&gt;",itens_Remanesc!$D$2:$D$200),2))</f>
        <v>278000</v>
      </c>
      <c r="C20" s="78"/>
      <c r="D20" s="78"/>
      <c r="E20" s="78"/>
      <c r="F20" s="78"/>
      <c r="G20" s="78"/>
      <c r="H20" s="78"/>
      <c r="I20" s="78"/>
      <c r="J20" s="78"/>
      <c r="K20" s="77"/>
      <c r="L20" s="77"/>
      <c r="M20" s="77"/>
      <c r="N20" s="77"/>
      <c r="O20" s="77"/>
      <c r="P20" s="77"/>
      <c r="Q20" s="77"/>
    </row>
    <row r="21" spans="1:17" x14ac:dyDescent="0.35">
      <c r="A21" s="150" t="s">
        <v>184</v>
      </c>
      <c r="B21" s="161">
        <f>IF(B16="","",B16)</f>
        <v>26112</v>
      </c>
      <c r="C21" s="78"/>
      <c r="D21" s="78"/>
      <c r="E21" s="78"/>
      <c r="F21" s="78"/>
      <c r="G21" s="78"/>
      <c r="H21" s="78"/>
      <c r="I21" s="78"/>
      <c r="J21" s="78"/>
      <c r="K21" s="77"/>
      <c r="L21" s="77"/>
      <c r="M21" s="77"/>
      <c r="N21" s="77"/>
      <c r="O21" s="77"/>
      <c r="P21" s="77"/>
      <c r="Q21" s="77"/>
    </row>
    <row r="22" spans="1:17" x14ac:dyDescent="0.35">
      <c r="A22" s="150" t="s">
        <v>185</v>
      </c>
      <c r="B22" s="161">
        <f>IF(OR(C35="",D35=""),"",ROUND(D35-C35,2))</f>
        <v>14233.6</v>
      </c>
      <c r="C22" s="78"/>
      <c r="D22" s="78"/>
      <c r="E22" s="78"/>
      <c r="F22" s="78"/>
      <c r="G22" s="78"/>
      <c r="H22" s="78"/>
      <c r="I22" s="78"/>
      <c r="J22" s="78"/>
      <c r="K22" s="77"/>
      <c r="L22" s="77"/>
      <c r="M22" s="77"/>
      <c r="N22" s="77"/>
      <c r="O22" s="77"/>
      <c r="P22" s="77"/>
      <c r="Q22" s="77"/>
    </row>
    <row r="23" spans="1:17" x14ac:dyDescent="0.35">
      <c r="A23" s="150" t="s">
        <v>186</v>
      </c>
      <c r="B23" s="161">
        <f>IF(OR(B20="",B21="",B22=""),"",ROUND(B20+B21+B22,2))</f>
        <v>318345.59999999998</v>
      </c>
      <c r="C23" s="78"/>
      <c r="D23" s="78"/>
      <c r="E23" s="78"/>
      <c r="F23" s="78"/>
      <c r="G23" s="78"/>
      <c r="H23" s="78"/>
      <c r="I23" s="78"/>
      <c r="J23" s="78"/>
      <c r="K23" s="77"/>
      <c r="L23" s="77"/>
      <c r="M23" s="77"/>
      <c r="N23" s="77"/>
      <c r="O23" s="77"/>
      <c r="P23" s="77"/>
      <c r="Q23" s="77"/>
    </row>
    <row r="24" spans="1:17" x14ac:dyDescent="0.35">
      <c r="A24" s="150" t="s">
        <v>187</v>
      </c>
      <c r="B24" s="80"/>
      <c r="C24" s="150" t="s">
        <v>188</v>
      </c>
      <c r="D24" s="230"/>
      <c r="E24" s="231"/>
      <c r="F24" s="231"/>
      <c r="G24" s="231"/>
      <c r="H24" s="231"/>
      <c r="I24" s="231"/>
      <c r="J24" s="232"/>
      <c r="K24" s="77"/>
      <c r="L24" s="77"/>
      <c r="M24" s="77"/>
      <c r="N24" s="77"/>
      <c r="O24" s="77"/>
      <c r="P24" s="77"/>
      <c r="Q24" s="77"/>
    </row>
    <row r="25" spans="1:17" ht="26" customHeight="1" x14ac:dyDescent="0.35">
      <c r="A25" s="150" t="s">
        <v>189</v>
      </c>
      <c r="B25" s="80"/>
      <c r="C25" s="150" t="s">
        <v>190</v>
      </c>
      <c r="D25" s="230"/>
      <c r="E25" s="231"/>
      <c r="F25" s="231"/>
      <c r="G25" s="231"/>
      <c r="H25" s="231"/>
      <c r="I25" s="231"/>
      <c r="J25" s="232"/>
      <c r="K25" s="77"/>
      <c r="L25" s="77"/>
      <c r="M25" s="77"/>
      <c r="N25" s="77"/>
      <c r="O25" s="77"/>
      <c r="P25" s="77"/>
      <c r="Q25" s="77"/>
    </row>
    <row r="26" spans="1:17" x14ac:dyDescent="0.35">
      <c r="A26" s="150" t="s">
        <v>191</v>
      </c>
      <c r="B26" s="162">
        <f>IF(AND(B24&lt;&gt;"",B25&lt;&gt;""),"",IF(ISNUMBER(B25),B25,IF(OR(B23="",AND(B24&lt;&gt;"",NOT(ISNUMBER(B24)))),"",ROUND(B23+IF(ISNUMBER(B24),B24,0),2))))</f>
        <v>318345.59999999998</v>
      </c>
      <c r="C26" s="150" t="s">
        <v>180</v>
      </c>
      <c r="D26" s="78"/>
      <c r="E26" s="233" t="str">
        <f>IF(AND(B24&lt;&gt;"",B25&lt;&gt;""),"ENTRADA MANUAL DUPLA — CORRIGIR",IF(B25&lt;&gt;"",IF(NOT(ISNUMBER(B25)),"VTA MANUAL INVÁLIDO",IF(D25="","JUSTIFICATIVA OBRIGATÓRIA","MANUAL VALIDADO")),IF(B24&lt;&gt;"",IF(NOT(ISNUMBER(B24)),"AJUSTE MANUAL INVÁLIDO",IF(D24="","JUSTIFICATIVA OBRIGATÓRIA",IF(B23="","BASE INDISPONÍVEL — USE VTA MANUAL","VTA COM AJUSTE MANUAL — CONFERIR"))),IF(B23="","INCOMPLETO — CÁLCULO MANUAL REQUERIDO",IF(OR(AND(F16&lt;&gt;"CALCULADO — CONFERIR",F16&lt;&gt;"MANUAL VALIDADO"),AND(F36&lt;&gt;"CALCULADO — CONFERIR",F36&lt;&gt;"BASE ÚNICA — CONFERIR"),$J$44&gt;0,$B$45&gt;0),"CÁLCULO MANUAL REQUERIDO","CALCULADO — CONFERIR")))))</f>
        <v>CÁLCULO MANUAL REQUERIDO</v>
      </c>
      <c r="F26" s="231"/>
      <c r="G26" s="231"/>
      <c r="H26" s="231"/>
      <c r="I26" s="231"/>
      <c r="J26" s="232"/>
      <c r="K26" s="77"/>
      <c r="L26" s="77"/>
      <c r="M26" s="77"/>
      <c r="N26" s="77"/>
      <c r="O26" s="77"/>
      <c r="P26" s="77"/>
      <c r="Q26" s="77"/>
    </row>
    <row r="27" spans="1:17" ht="34" customHeight="1" x14ac:dyDescent="0.35">
      <c r="A27" s="227" t="s">
        <v>192</v>
      </c>
      <c r="B27" s="220"/>
      <c r="C27" s="220"/>
      <c r="D27" s="220"/>
      <c r="E27" s="220"/>
      <c r="F27" s="220"/>
      <c r="G27" s="220"/>
      <c r="H27" s="220"/>
      <c r="I27" s="220"/>
      <c r="J27" s="220"/>
      <c r="K27" s="77"/>
      <c r="L27" s="77"/>
      <c r="M27" s="77"/>
      <c r="N27" s="77"/>
      <c r="O27" s="77"/>
      <c r="P27" s="77"/>
      <c r="Q27" s="77"/>
    </row>
    <row r="28" spans="1:17" x14ac:dyDescent="0.3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</row>
    <row r="29" spans="1:17" x14ac:dyDescent="0.35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</row>
    <row r="30" spans="1:17" ht="24" customHeight="1" x14ac:dyDescent="0.35">
      <c r="A30" s="224" t="s">
        <v>193</v>
      </c>
      <c r="B30" s="220"/>
      <c r="C30" s="220"/>
      <c r="D30" s="220"/>
      <c r="E30" s="220"/>
      <c r="F30" s="220"/>
      <c r="G30" s="220"/>
      <c r="H30" s="220"/>
      <c r="I30" s="220"/>
      <c r="J30" s="220"/>
      <c r="K30" s="77"/>
      <c r="L30" s="77"/>
      <c r="M30" s="77"/>
      <c r="N30" s="77"/>
      <c r="O30" s="77"/>
      <c r="P30" s="77"/>
      <c r="Q30" s="77"/>
    </row>
    <row r="31" spans="1:17" x14ac:dyDescent="0.35">
      <c r="A31" s="153" t="s">
        <v>194</v>
      </c>
      <c r="B31" s="153" t="s">
        <v>195</v>
      </c>
      <c r="C31" s="153" t="s">
        <v>196</v>
      </c>
      <c r="D31" s="153" t="s">
        <v>197</v>
      </c>
      <c r="E31" s="153" t="s">
        <v>198</v>
      </c>
      <c r="F31" s="153" t="s">
        <v>199</v>
      </c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</row>
    <row r="32" spans="1:17" x14ac:dyDescent="0.35">
      <c r="A32" s="159" t="s">
        <v>200</v>
      </c>
      <c r="B32" s="163">
        <f>IF(COUNTIF(itens_Remanesc!$A$2:$A$200,"&lt;&gt;")=0,"",ROUND(IF($F$4="C0",SUM(posicao_contratual!$G$2:$G$200),IF($F$4="C1",SUM(posicao_contratual!$K$2:$K$200),IF($F$4="C2",SUM(posicao_contratual!$O$2:$O$200),IF($F$4="C3",SUM(posicao_contratual!$S$2:$S$200),SUM(posicao_contratual!$W$2:$W$200))))),2))</f>
        <v>240</v>
      </c>
      <c r="C32" s="164">
        <f>IF(COUNTIF(itens_Remanesc!$A$2:$A$200,"&lt;&gt;")=0,"",ROUND(IF($F$4="C0",SUMPRODUCT(posicao_contratual!$G$2:$G$200,itens_Remanesc!$C$2:$C$200),IF($F$4="C1",SUMPRODUCT(posicao_contratual!$K$2:$K$200,itens_Remanesc!$C$2:$C$200),IF($F$4="C2",SUMPRODUCT(posicao_contratual!$O$2:$O$200,itens_Remanesc!$C$2:$C$200),IF($F$4="C3",SUMPRODUCT(posicao_contratual!$S$2:$S$200,itens_Remanesc!$C$2:$C$200),SUMPRODUCT(posicao_contratual!$W$2:$W$200,itens_Remanesc!$C$2:$C$200))))),2))</f>
        <v>278000</v>
      </c>
      <c r="D32" s="164">
        <f>IF(COUNTIF(itens_Remanesc!$A$2:$A$200,"&lt;&gt;")=0,"",ROUND(IF($F$4="C0",SUMIFS(itens_RC!$D$3:$D$202,itens_RC!$A$3:$A$202,"&lt;&gt;TOTAL",itens_RC!$A$3:$A$202,"&lt;&gt;"),IF($F$4="C1",SUMIFS(itens_RC!$G$3:$G$202,itens_RC!$A$3:$A$202,"&lt;&gt;TOTAL",itens_RC!$A$3:$A$202,"&lt;&gt;"),IF($F$4="C2",SUMIFS(itens_RC!$J$3:$J$202,itens_RC!$A$3:$A$202,"&lt;&gt;TOTAL",itens_RC!$A$3:$A$202,"&lt;&gt;"),IF($F$4="C3",SUMIFS(itens_RC!$M$3:$M$202,itens_RC!$A$3:$A$202,"&lt;&gt;TOTAL",itens_RC!$A$3:$A$202,"&lt;&gt;"),SUMIFS(itens_RC!$P$3:$P$202,itens_RC!$A$3:$A$202,"&lt;&gt;TOTAL",itens_RC!$A$3:$A$202,"&lt;&gt;"))))),2))</f>
        <v>292233.59999999998</v>
      </c>
      <c r="E32" s="164">
        <f>IF(OR(C32="",D32=""),"",ROUND(D32-C32,2))</f>
        <v>14233.6</v>
      </c>
      <c r="F32" s="165" t="str">
        <f>IF(B32="","SEM BASE",IF($H$44&gt;0,"COM ERROS — NÃO CONFIÁVEL","PREENCHIDO"))</f>
        <v>PREENCHIDO</v>
      </c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1:17" x14ac:dyDescent="0.35">
      <c r="A33" s="159" t="s">
        <v>201</v>
      </c>
      <c r="B33" s="163">
        <f>IF(COUNTIF(itens_Consumidos!$A$2:$A$200,"&lt;&gt;")=0,"",ROUND(SUMPRODUCT((N(itens_Consumidos!$B$2:$B$200)-N(itens_Consumidos!$O$2:$O$200)&gt;0)*(N(itens_Consumidos!$B$2:$B$200)-N(itens_Consumidos!$O$2:$O$200))),2))</f>
        <v>45</v>
      </c>
      <c r="C33" s="164">
        <f>IF(COUNTIF(itens_Consumidos!$A$2:$A$200,"&lt;&gt;")=0,"",ROUND(SUMPRODUCT((N(itens_Consumidos!$B$2:$B$200)-N(itens_Consumidos!$O$2:$O$200)&gt;0)*(N(itens_Consumidos!$B$2:$B$200)-N(itens_Consumidos!$O$2:$O$200)),N(itens_Consumidos!$C$2:$C$200)),2))</f>
        <v>11250</v>
      </c>
      <c r="D33" s="164">
        <f>IF(OR(COUNTIF(itens_Consumidos!$A$2:$A$200,"&lt;&gt;")=0,NOT(ISNUMBER(IF($F$4="C0",parametros!$F$2,IF($F$4="C1",parametros!$F$3,IF($F$4="C2",parametros!$F$4,IF($F$4="C3",parametros!$F$5,parametros!$F$6))))))),"",ROUND(SUMPRODUCT((N(itens_Consumidos!$B$2:$B$200)-N(itens_Consumidos!$O$2:$O$200)&gt;0)*(N(itens_Consumidos!$B$2:$B$200)-N(itens_Consumidos!$O$2:$O$200)),N(itens_Consumidos!$C$2:$C$200))*IF($F$4="C0",parametros!$F$2,IF($F$4="C1",parametros!$F$3,IF($F$4="C2",parametros!$F$4,IF($F$4="C3",parametros!$F$5,parametros!$F$6)))),2))</f>
        <v>11826</v>
      </c>
      <c r="E33" s="164">
        <f>IF(OR(C33="",D33=""),"",ROUND(D33-C33,2))</f>
        <v>576</v>
      </c>
      <c r="F33" s="165" t="str">
        <f>IF(B33="","SEM BASE",IF($F$44&gt;0,"COM ERROS — NÃO CONFIÁVEL","DERIVADO"))</f>
        <v>DERIVADO</v>
      </c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17" ht="26" customHeight="1" x14ac:dyDescent="0.35">
      <c r="A34" s="159" t="s">
        <v>202</v>
      </c>
      <c r="B34" s="81"/>
      <c r="C34" s="82"/>
      <c r="D34" s="82"/>
      <c r="E34" s="82"/>
      <c r="F34" s="165" t="s">
        <v>203</v>
      </c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</row>
    <row r="35" spans="1:17" x14ac:dyDescent="0.35">
      <c r="A35" s="159" t="s">
        <v>204</v>
      </c>
      <c r="B35" s="163">
        <f>IF(CONTROLE!$B$1="Principal",B32,IF(CONTROLE!$B$1="Itens Consumidos",B33,""))</f>
        <v>240</v>
      </c>
      <c r="C35" s="164">
        <f>IF(CONTROLE!$B$1="Principal",C32,IF(CONTROLE!$B$1="Itens Consumidos",C33,""))</f>
        <v>278000</v>
      </c>
      <c r="D35" s="164">
        <f>IF(CONTROLE!$B$1="Principal",D32,IF(CONTROLE!$B$1="Itens Consumidos",D33,""))</f>
        <v>292233.59999999998</v>
      </c>
      <c r="E35" s="164">
        <f>IF(OR(C35="",D35=""),"",ROUND(D35-C35,2))</f>
        <v>14233.6</v>
      </c>
      <c r="F35" s="165" t="str">
        <f>IF(CONTROLE!$B$1="Principal","INFORMADO",IF(CONTROLE!$B$1="Itens Consumidos","ITENS","PCs — SEM QUANTIDADE"))</f>
        <v>INFORMADO</v>
      </c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</row>
    <row r="36" spans="1:17" ht="26" x14ac:dyDescent="0.35">
      <c r="A36" s="159" t="s">
        <v>205</v>
      </c>
      <c r="B36" s="221"/>
      <c r="C36" s="222"/>
      <c r="D36" s="222"/>
      <c r="E36" s="223"/>
      <c r="F36" s="166" t="str">
        <f>IF(CONTROLE!$B$1="Pedidos de Compras","CÁLCULO MANUAL REQUERIDO",IF(B35="",IF(OR(B32&lt;&gt;"",B33&lt;&gt;""),"CÁLCULO MANUAL REQUERIDO","INCOMPLETO — SEM BASE"),IF(OR(AND(CONTROLE!$B$1="Principal",$H$44&gt;0),AND(CONTROLE!$B$1="Itens Consumidos",$F$44&gt;0)),"CÁLCULO MANUAL REQUERIDO",IF(AND(ISNUMBER(B32),ISNUMBER(B33)),IF(OR(ABS(B32-B33)/MAX(ABS(B35),1)&gt;$D$4,ABS(C32-C33)/MAX(ABS(C35),1)&gt;$D$4,ABS(D32-D33)/MAX(ABS(D35),1)&gt;$D$4),"DIVERGENTE — CÁLCULO MANUAL REQUERIDO","CALCULADO — CONFERIR"),"BASE ÚNICA — CONFERIR"))))</f>
        <v>DIVERGENTE — CÁLCULO MANUAL REQUERIDO</v>
      </c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</row>
    <row r="37" spans="1:17" x14ac:dyDescent="0.35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</row>
    <row r="38" spans="1:17" x14ac:dyDescent="0.35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</row>
    <row r="39" spans="1:17" x14ac:dyDescent="0.35">
      <c r="A39" s="77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</row>
    <row r="40" spans="1:17" ht="24" customHeight="1" x14ac:dyDescent="0.35">
      <c r="A40" s="224" t="s">
        <v>206</v>
      </c>
      <c r="B40" s="220"/>
      <c r="C40" s="220"/>
      <c r="D40" s="220"/>
      <c r="E40" s="220"/>
      <c r="F40" s="220"/>
      <c r="G40" s="220"/>
      <c r="H40" s="220"/>
      <c r="I40" s="220"/>
      <c r="J40" s="220"/>
      <c r="K40" s="77"/>
      <c r="L40" s="77"/>
      <c r="M40" s="77"/>
      <c r="N40" s="77"/>
      <c r="O40" s="77"/>
      <c r="P40" s="77"/>
      <c r="Q40" s="77"/>
    </row>
    <row r="41" spans="1:17" x14ac:dyDescent="0.35">
      <c r="A41" s="159" t="s">
        <v>207</v>
      </c>
      <c r="B41" s="164">
        <f>IF(B15="","",B15)</f>
        <v>26112</v>
      </c>
      <c r="C41" s="167" t="s">
        <v>208</v>
      </c>
      <c r="D41" s="164">
        <f>IF(C15="","",C15)</f>
        <v>14156.8</v>
      </c>
      <c r="E41" s="167" t="s">
        <v>209</v>
      </c>
      <c r="F41" s="164">
        <f>IF(D15="","",D15)</f>
        <v>6668.8</v>
      </c>
      <c r="G41" s="167" t="s">
        <v>210</v>
      </c>
      <c r="H41" s="164">
        <f>IF(B16="","",B16)</f>
        <v>26112</v>
      </c>
      <c r="I41" s="159" t="s">
        <v>180</v>
      </c>
      <c r="J41" s="168" t="str">
        <f>F16</f>
        <v>DIVERGENTE — CÁLCULO MANUAL REQUERIDO</v>
      </c>
      <c r="K41" s="77"/>
      <c r="L41" s="77"/>
      <c r="M41" s="77"/>
      <c r="N41" s="77"/>
      <c r="O41" s="77"/>
      <c r="P41" s="77"/>
      <c r="Q41" s="77"/>
    </row>
    <row r="42" spans="1:17" x14ac:dyDescent="0.35">
      <c r="A42" s="159" t="s">
        <v>211</v>
      </c>
      <c r="B42" s="169">
        <f>IF($F$4="C0",parametros!$F$2,IF($F$4="C1",parametros!$F$3,IF($F$4="C2",parametros!$F$4,IF($F$4="C3",parametros!$F$5,parametros!$F$6))))</f>
        <v>1.0511999999999999</v>
      </c>
      <c r="C42" s="170" t="s">
        <v>212</v>
      </c>
      <c r="D42" s="169">
        <f>IF($F$4="C0",parametros!$D$11,IF($F$4="C1",parametros!$D$12,IF($F$4="C2",parametros!$D$13,IF($F$4="C3",parametros!$D$14,parametros!$D$15))))</f>
        <v>1.0511999999999999</v>
      </c>
      <c r="E42" s="170" t="s">
        <v>213</v>
      </c>
      <c r="F42" s="169">
        <f>IF(OR(NOT(ISNUMBER(B42)),NOT(ISNUMBER(D42)),D42=0),"",B42/D42)</f>
        <v>1</v>
      </c>
      <c r="G42" s="170" t="s">
        <v>214</v>
      </c>
      <c r="H42" s="169">
        <f>IF(OR(NOT(ISNUMBER(B42)),NOT(ISNUMBER(F42))),"",B42-F42)</f>
        <v>5.1199999999999912E-2</v>
      </c>
      <c r="I42" s="79"/>
      <c r="J42" s="79"/>
      <c r="K42" s="77"/>
      <c r="L42" s="77"/>
      <c r="M42" s="77"/>
      <c r="N42" s="77"/>
      <c r="O42" s="77"/>
      <c r="P42" s="77"/>
      <c r="Q42" s="77"/>
    </row>
    <row r="43" spans="1:17" x14ac:dyDescent="0.35">
      <c r="A43" s="79"/>
      <c r="B43" s="79"/>
      <c r="C43" s="79"/>
      <c r="D43" s="79"/>
      <c r="E43" s="79"/>
      <c r="F43" s="79"/>
      <c r="G43" s="79"/>
      <c r="H43" s="79"/>
      <c r="I43" s="79"/>
      <c r="J43" s="79"/>
      <c r="K43" s="77"/>
      <c r="L43" s="77"/>
      <c r="M43" s="77"/>
      <c r="N43" s="77"/>
      <c r="O43" s="77"/>
      <c r="P43" s="77"/>
      <c r="Q43" s="77"/>
    </row>
    <row r="44" spans="1:17" ht="26" customHeight="1" x14ac:dyDescent="0.35">
      <c r="A44" s="159" t="s">
        <v>215</v>
      </c>
      <c r="B44" s="168">
        <f>SUMPRODUCT(--(financeiro!$C$2:$C$73&lt;&gt;""),--(((financeiro!$B$2:$B$73="")+(financeiro!$G$2:$G$73=""))&gt;0))</f>
        <v>0</v>
      </c>
      <c r="C44" s="159" t="s">
        <v>216</v>
      </c>
      <c r="D44" s="168">
        <f>SUMPRODUCT(--(((itens_PC!$B$2:$B$100&lt;&gt;"")+(itens_PC!$D$2:$D$100&lt;&gt;"")+(itens_PC!$G$2:$G$100&lt;&gt;""))&gt;0),--(itens_PC!$K$2:$K$100&lt;&gt;"OK"))</f>
        <v>0</v>
      </c>
      <c r="E44" s="159" t="s">
        <v>217</v>
      </c>
      <c r="F44" s="168">
        <f>COUNTIFS(itens_Consumidos!$A$2:$A$200,"&lt;&gt;",itens_Consumidos!$Q$2:$Q$200,"&lt;&gt;OK")+COUNTIFS(itens_Consumidos!$A$2:$A$200,"&lt;&gt;",itens_Consumidos!$C$2:$C$200,"")</f>
        <v>0</v>
      </c>
      <c r="G44" s="159" t="s">
        <v>218</v>
      </c>
      <c r="H44" s="168">
        <f>COUNTIFS(itens_Remanesc!$A$2:$A$200,"&lt;&gt;",itens_Remanesc!$U$2:$U$200,"&lt;&gt;OK")+COUNTIFS(itens_Remanesc!$A$2:$A$200,"&lt;&gt;",itens_Remanesc!$V$2:$V$200,"&lt;&gt;OK")</f>
        <v>0</v>
      </c>
      <c r="I44" s="159" t="s">
        <v>219</v>
      </c>
      <c r="J44" s="168">
        <f>COUNTIFS(itens_Remanesc!$A$2:$A$200,"&lt;&gt;",itens_Remanesc!$B$2:$B$200,"")+COUNTIFS(itens_Remanesc!$A$2:$A$200,"&lt;&gt;",itens_Remanesc!$C$2:$C$200,"")</f>
        <v>0</v>
      </c>
      <c r="K44" s="77"/>
      <c r="L44" s="77"/>
      <c r="M44" s="77"/>
      <c r="N44" s="77"/>
      <c r="O44" s="77"/>
      <c r="P44" s="77"/>
      <c r="Q44" s="77"/>
    </row>
    <row r="45" spans="1:17" ht="26" customHeight="1" x14ac:dyDescent="0.35">
      <c r="A45" s="159" t="s">
        <v>220</v>
      </c>
      <c r="B45" s="168">
        <f>COUNTIF(aditivos!$K$2:$K$200,"Sim")</f>
        <v>1</v>
      </c>
      <c r="C45" s="159" t="s">
        <v>221</v>
      </c>
      <c r="D45" s="164">
        <f>ROUND(SUM(itens_PC!$J$2:$J$100),2)</f>
        <v>7436.8</v>
      </c>
      <c r="E45" s="79"/>
      <c r="F45" s="79"/>
      <c r="G45" s="79"/>
      <c r="H45" s="79"/>
      <c r="I45" s="79"/>
      <c r="J45" s="79"/>
      <c r="K45" s="77"/>
      <c r="L45" s="77"/>
      <c r="M45" s="77"/>
      <c r="N45" s="77"/>
      <c r="O45" s="77"/>
      <c r="P45" s="77"/>
      <c r="Q45" s="77"/>
    </row>
    <row r="46" spans="1:17" x14ac:dyDescent="0.35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</row>
    <row r="47" spans="1:17" x14ac:dyDescent="0.35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</row>
    <row r="48" spans="1:17" ht="34" customHeight="1" x14ac:dyDescent="0.35">
      <c r="A48" s="225" t="s">
        <v>222</v>
      </c>
      <c r="B48" s="220"/>
      <c r="C48" s="220"/>
      <c r="D48" s="220"/>
      <c r="E48" s="220"/>
      <c r="F48" s="220"/>
      <c r="G48" s="220"/>
      <c r="H48" s="220"/>
      <c r="I48" s="220"/>
      <c r="J48" s="220"/>
      <c r="K48" s="77"/>
      <c r="L48" s="77"/>
      <c r="M48" s="77"/>
      <c r="N48" s="77"/>
      <c r="O48" s="77"/>
      <c r="P48" s="77"/>
      <c r="Q48" s="77"/>
    </row>
    <row r="49" spans="1:17" ht="34" customHeight="1" x14ac:dyDescent="0.35">
      <c r="A49" s="225" t="s">
        <v>223</v>
      </c>
      <c r="B49" s="220"/>
      <c r="C49" s="220"/>
      <c r="D49" s="220"/>
      <c r="E49" s="220"/>
      <c r="F49" s="220"/>
      <c r="G49" s="220"/>
      <c r="H49" s="220"/>
      <c r="I49" s="220"/>
      <c r="J49" s="220"/>
      <c r="K49" s="77"/>
      <c r="L49" s="77"/>
      <c r="M49" s="77"/>
      <c r="N49" s="77"/>
      <c r="O49" s="77"/>
      <c r="P49" s="77"/>
      <c r="Q49" s="77"/>
    </row>
    <row r="50" spans="1:17" x14ac:dyDescent="0.35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</row>
    <row r="51" spans="1:17" x14ac:dyDescent="0.35">
      <c r="A51" s="77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</row>
    <row r="52" spans="1:17" x14ac:dyDescent="0.35">
      <c r="A52" s="228" t="s">
        <v>224</v>
      </c>
      <c r="B52" s="229"/>
      <c r="C52" s="229"/>
      <c r="D52" s="229"/>
      <c r="E52" s="229"/>
      <c r="F52" s="229"/>
      <c r="G52" s="229"/>
      <c r="H52" s="229"/>
      <c r="I52" s="77"/>
      <c r="J52" s="228" t="s">
        <v>225</v>
      </c>
      <c r="K52" s="229"/>
      <c r="L52" s="229"/>
      <c r="M52" s="229"/>
      <c r="N52" s="229"/>
      <c r="O52" s="229"/>
      <c r="P52" s="229"/>
      <c r="Q52" s="229"/>
    </row>
    <row r="53" spans="1:17" x14ac:dyDescent="0.35">
      <c r="A53" s="171" t="s">
        <v>78</v>
      </c>
      <c r="B53" s="171" t="s">
        <v>226</v>
      </c>
      <c r="C53" s="171" t="s">
        <v>227</v>
      </c>
      <c r="D53" s="171" t="s">
        <v>228</v>
      </c>
      <c r="E53" s="171" t="s">
        <v>229</v>
      </c>
      <c r="F53" s="171" t="s">
        <v>230</v>
      </c>
      <c r="G53" s="171" t="s">
        <v>231</v>
      </c>
      <c r="H53" s="171" t="s">
        <v>232</v>
      </c>
      <c r="I53" s="77"/>
      <c r="J53" s="171" t="s">
        <v>78</v>
      </c>
      <c r="K53" s="171" t="s">
        <v>233</v>
      </c>
      <c r="L53" s="171" t="s">
        <v>234</v>
      </c>
      <c r="M53" s="171" t="s">
        <v>235</v>
      </c>
      <c r="N53" s="171" t="s">
        <v>236</v>
      </c>
      <c r="O53" s="171" t="s">
        <v>237</v>
      </c>
      <c r="P53" s="171" t="s">
        <v>238</v>
      </c>
      <c r="Q53" s="171" t="s">
        <v>71</v>
      </c>
    </row>
    <row r="54" spans="1:17" x14ac:dyDescent="0.35">
      <c r="A54" s="172" t="str">
        <f>IF(historico_VU!A2="","",historico_VU!A2)</f>
        <v>ITEM-001</v>
      </c>
      <c r="B54" s="173">
        <f>IF(A54="","",historico_VU!B2)</f>
        <v>120</v>
      </c>
      <c r="C54" s="174">
        <f>IF(A54="","",historico_VU!C2)</f>
        <v>250</v>
      </c>
      <c r="D54" s="174">
        <f>IF(A54="","",historico_VU!D2)</f>
        <v>262.8</v>
      </c>
      <c r="E54" s="174">
        <f>IF(A54="","",historico_VU!E2)</f>
        <v>272.63</v>
      </c>
      <c r="F54" s="174">
        <f>IF(A54="","",historico_VU!F2)</f>
        <v>280.51</v>
      </c>
      <c r="G54" s="174" t="str">
        <f>IF(A54="","",historico_VU!G2)</f>
        <v/>
      </c>
      <c r="H54" s="175" t="str">
        <f>IF(A54="","",historico_VU!H2)</f>
        <v/>
      </c>
      <c r="I54" s="77"/>
      <c r="J54" s="172" t="str">
        <f>IF(itens_Remanesc!A2="","",itens_Remanesc!A2)</f>
        <v>ITEM-001</v>
      </c>
      <c r="K54" s="173">
        <f>IF(J54="","",IF($F$4="C0",itens_Remanesc!B2,IF($F$4="C1",itens_Remanesc!E2,IF($F$4="C2",itens_Remanesc!G2,IF($F$4="C3",itens_Remanesc!I2,itens_Remanesc!K2)))))</f>
        <v>120</v>
      </c>
      <c r="L54" s="173">
        <f>IF(J54="","",IF(SUMIF(itens_Consumidos!$A$2:$A$200,J54,itens_Consumidos!$B$2:$B$200)-SUMIF(itens_Consumidos!$A$2:$A$200,J54,itens_Consumidos!$O$2:$O$200)&lt;0,0,SUMIF(itens_Consumidos!$A$2:$A$200,J54,itens_Consumidos!$B$2:$B$200)-SUMIF(itens_Consumidos!$A$2:$A$200,J54,itens_Consumidos!$O$2:$O$200)))</f>
        <v>45</v>
      </c>
      <c r="M54" s="176">
        <f>IF(J54="","",itens_Remanesc!C2)</f>
        <v>250</v>
      </c>
      <c r="N54" s="176">
        <f>IF(J54="","",IF($F$4="C0",historico_VU!C2,IF($F$4="C1",historico_VU!D2,IF($F$4="C2",historico_VU!E2,IF($F$4="C3",historico_VU!F2,historico_VU!G2)))))</f>
        <v>262.8</v>
      </c>
      <c r="O54" s="176">
        <f>IF(J54="","",IF(CONTROLE!$B$1="Principal",IF(OR(K54="",M54=""),"",ROUND(K54*M54,2)),IF(CONTROLE!$B$1="Itens Consumidos",IF(OR(L54="",M54=""),"",ROUND(L54*M54,2)),"")))</f>
        <v>30000</v>
      </c>
      <c r="P54" s="176">
        <f>IF(J54="","",IF(CONTROLE!$B$1="Principal",IF(OR(K54="",N54=""),"",ROUND(K54*N54,2)),IF(CONTROLE!$B$1="Itens Consumidos",IF(OR(L54="",N54=""),"",ROUND(L54*N54,2)),"")))</f>
        <v>31536</v>
      </c>
      <c r="Q54" s="177" t="str">
        <f>IF(J54="","",IF(OR(M54="",AND(CONTROLE!$B$1="Principal",K54=""),AND(CONTROLE!$B$1="Itens Consumidos",L54="")),"INCOMPLETO",IF(CONTROLE!$B$1="Pedidos de Compras","MANUAL",IF(AND(ISNUMBER(K54),ISNUMBER(L54),ABS(K54-L54)/MAX(ABS(IF(CONTROLE!$B$1="Principal",K54,L54)),1)&gt;$D$4),"DIVERGENTE","OK"))))</f>
        <v>DIVERGENTE</v>
      </c>
    </row>
    <row r="55" spans="1:17" x14ac:dyDescent="0.35">
      <c r="A55" s="172" t="str">
        <f>IF(historico_VU!A3="","",historico_VU!A3)</f>
        <v>ITEM-002</v>
      </c>
      <c r="B55" s="173">
        <f>IF(A55="","",historico_VU!B3)</f>
        <v>80</v>
      </c>
      <c r="C55" s="174">
        <f>IF(A55="","",historico_VU!C3)</f>
        <v>1500</v>
      </c>
      <c r="D55" s="174">
        <f>IF(A55="","",historico_VU!D3)</f>
        <v>1576.8</v>
      </c>
      <c r="E55" s="174">
        <f>IF(A55="","",historico_VU!E3)</f>
        <v>1635.77</v>
      </c>
      <c r="F55" s="174">
        <f>IF(A55="","",historico_VU!F3)</f>
        <v>1683.05</v>
      </c>
      <c r="G55" s="174" t="str">
        <f>IF(A55="","",historico_VU!G3)</f>
        <v/>
      </c>
      <c r="H55" s="175" t="str">
        <f>IF(A55="","",historico_VU!H3)</f>
        <v/>
      </c>
      <c r="I55" s="77"/>
      <c r="J55" s="172" t="str">
        <f>IF(itens_Remanesc!A3="","",itens_Remanesc!A3)</f>
        <v>ITEM-002</v>
      </c>
      <c r="K55" s="173">
        <f>IF(J55="","",IF($F$4="C0",itens_Remanesc!B3,IF($F$4="C1",itens_Remanesc!E3,IF($F$4="C2",itens_Remanesc!G3,IF($F$4="C3",itens_Remanesc!I3,itens_Remanesc!K3)))))</f>
        <v>80</v>
      </c>
      <c r="L55" s="173">
        <f>IF(J55="","",IF(SUMIF(itens_Consumidos!$A$2:$A$200,J55,itens_Consumidos!$B$2:$B$200)-SUMIF(itens_Consumidos!$A$2:$A$200,J55,itens_Consumidos!$O$2:$O$200)&lt;0,0,SUMIF(itens_Consumidos!$A$2:$A$200,J55,itens_Consumidos!$B$2:$B$200)-SUMIF(itens_Consumidos!$A$2:$A$200,J55,itens_Consumidos!$O$2:$O$200)))</f>
        <v>30</v>
      </c>
      <c r="M55" s="176">
        <f>IF(J55="","",itens_Remanesc!C3)</f>
        <v>1500</v>
      </c>
      <c r="N55" s="176">
        <f>IF(J55="","",IF($F$4="C0",historico_VU!C3,IF($F$4="C1",historico_VU!D3,IF($F$4="C2",historico_VU!E3,IF($F$4="C3",historico_VU!F3,historico_VU!G3)))))</f>
        <v>1576.8</v>
      </c>
      <c r="O55" s="176">
        <f>IF(J55="","",IF(CONTROLE!$B$1="Principal",IF(OR(K55="",M55=""),"",ROUND(K55*M55,2)),IF(CONTROLE!$B$1="Itens Consumidos",IF(OR(L55="",M55=""),"",ROUND(L55*M55,2)),"")))</f>
        <v>120000</v>
      </c>
      <c r="P55" s="176">
        <f>IF(J55="","",IF(CONTROLE!$B$1="Principal",IF(OR(K55="",N55=""),"",ROUND(K55*N55,2)),IF(CONTROLE!$B$1="Itens Consumidos",IF(OR(L55="",N55=""),"",ROUND(L55*N55,2)),"")))</f>
        <v>126144</v>
      </c>
      <c r="Q55" s="177" t="str">
        <f>IF(J55="","",IF(OR(M55="",AND(CONTROLE!$B$1="Principal",K55=""),AND(CONTROLE!$B$1="Itens Consumidos",L55="")),"INCOMPLETO",IF(CONTROLE!$B$1="Pedidos de Compras","MANUAL",IF(AND(ISNUMBER(K55),ISNUMBER(L55),ABS(K55-L55)/MAX(ABS(IF(CONTROLE!$B$1="Principal",K55,L55)),1)&gt;$D$4),"DIVERGENTE","OK"))))</f>
        <v>DIVERGENTE</v>
      </c>
    </row>
    <row r="56" spans="1:17" x14ac:dyDescent="0.35">
      <c r="A56" s="172" t="str">
        <f>IF(historico_VU!A4="","",historico_VU!A4)</f>
        <v>ITEM-003</v>
      </c>
      <c r="B56" s="173">
        <f>IF(A56="","",historico_VU!B4)</f>
        <v>40</v>
      </c>
      <c r="C56" s="174">
        <f>IF(A56="","",historico_VU!C4)</f>
        <v>3200</v>
      </c>
      <c r="D56" s="174">
        <f>IF(A56="","",historico_VU!D4)</f>
        <v>3363.84</v>
      </c>
      <c r="E56" s="174">
        <f>IF(A56="","",historico_VU!E4)</f>
        <v>3489.65</v>
      </c>
      <c r="F56" s="174">
        <f>IF(A56="","",historico_VU!F4)</f>
        <v>3590.5</v>
      </c>
      <c r="G56" s="174" t="str">
        <f>IF(A56="","",historico_VU!G4)</f>
        <v/>
      </c>
      <c r="H56" s="175" t="str">
        <f>IF(A56="","",historico_VU!H4)</f>
        <v/>
      </c>
      <c r="I56" s="77"/>
      <c r="J56" s="172" t="str">
        <f>IF(itens_Remanesc!A4="","",itens_Remanesc!A4)</f>
        <v>ITEM-003</v>
      </c>
      <c r="K56" s="173">
        <f>IF(J56="","",IF($F$4="C0",itens_Remanesc!B4,IF($F$4="C1",itens_Remanesc!E4,IF($F$4="C2",itens_Remanesc!G4,IF($F$4="C3",itens_Remanesc!I4,itens_Remanesc!K4)))))</f>
        <v>40</v>
      </c>
      <c r="L56" s="173">
        <f>IF(J56="","",IF(SUMIF(itens_Consumidos!$A$2:$A$200,J56,itens_Consumidos!$B$2:$B$200)-SUMIF(itens_Consumidos!$A$2:$A$200,J56,itens_Consumidos!$O$2:$O$200)&lt;0,0,SUMIF(itens_Consumidos!$A$2:$A$200,J56,itens_Consumidos!$B$2:$B$200)-SUMIF(itens_Consumidos!$A$2:$A$200,J56,itens_Consumidos!$O$2:$O$200)))</f>
        <v>12</v>
      </c>
      <c r="M56" s="176">
        <f>IF(J56="","",itens_Remanesc!C4)</f>
        <v>3200</v>
      </c>
      <c r="N56" s="176">
        <f>IF(J56="","",IF($F$4="C0",historico_VU!C4,IF($F$4="C1",historico_VU!D4,IF($F$4="C2",historico_VU!E4,IF($F$4="C3",historico_VU!F4,historico_VU!G4)))))</f>
        <v>3363.84</v>
      </c>
      <c r="O56" s="176">
        <f>IF(J56="","",IF(CONTROLE!$B$1="Principal",IF(OR(K56="",M56=""),"",ROUND(K56*M56,2)),IF(CONTROLE!$B$1="Itens Consumidos",IF(OR(L56="",M56=""),"",ROUND(L56*M56,2)),"")))</f>
        <v>128000</v>
      </c>
      <c r="P56" s="176">
        <f>IF(J56="","",IF(CONTROLE!$B$1="Principal",IF(OR(K56="",N56=""),"",ROUND(K56*N56,2)),IF(CONTROLE!$B$1="Itens Consumidos",IF(OR(L56="",N56=""),"",ROUND(L56*N56,2)),"")))</f>
        <v>134553.60000000001</v>
      </c>
      <c r="Q56" s="177" t="str">
        <f>IF(J56="","",IF(OR(M56="",AND(CONTROLE!$B$1="Principal",K56=""),AND(CONTROLE!$B$1="Itens Consumidos",L56="")),"INCOMPLETO",IF(CONTROLE!$B$1="Pedidos de Compras","MANUAL",IF(AND(ISNUMBER(K56),ISNUMBER(L56),ABS(K56-L56)/MAX(ABS(IF(CONTROLE!$B$1="Principal",K56,L56)),1)&gt;$D$4),"DIVERGENTE","OK"))))</f>
        <v>DIVERGENTE</v>
      </c>
    </row>
    <row r="57" spans="1:17" x14ac:dyDescent="0.35">
      <c r="A57" s="172" t="str">
        <f>IF(historico_VU!A5="","",historico_VU!A5)</f>
        <v/>
      </c>
      <c r="B57" s="173" t="str">
        <f>IF(A57="","",historico_VU!B5)</f>
        <v/>
      </c>
      <c r="C57" s="174" t="str">
        <f>IF(A57="","",historico_VU!C5)</f>
        <v/>
      </c>
      <c r="D57" s="174" t="str">
        <f>IF(A57="","",historico_VU!D5)</f>
        <v/>
      </c>
      <c r="E57" s="174" t="str">
        <f>IF(A57="","",historico_VU!E5)</f>
        <v/>
      </c>
      <c r="F57" s="174" t="str">
        <f>IF(A57="","",historico_VU!F5)</f>
        <v/>
      </c>
      <c r="G57" s="174" t="str">
        <f>IF(A57="","",historico_VU!G5)</f>
        <v/>
      </c>
      <c r="H57" s="175" t="str">
        <f>IF(A57="","",historico_VU!H5)</f>
        <v/>
      </c>
      <c r="I57" s="77"/>
      <c r="J57" s="172" t="str">
        <f>IF(itens_Remanesc!A5="","",itens_Remanesc!A5)</f>
        <v/>
      </c>
      <c r="K57" s="173" t="str">
        <f>IF(J57="","",IF($F$4="C0",itens_Remanesc!B5,IF($F$4="C1",itens_Remanesc!E5,IF($F$4="C2",itens_Remanesc!G5,IF($F$4="C3",itens_Remanesc!I5,itens_Remanesc!K5)))))</f>
        <v/>
      </c>
      <c r="L57" s="173" t="str">
        <f>IF(J57="","",IF(SUMIF(itens_Consumidos!$A$2:$A$200,J57,itens_Consumidos!$B$2:$B$200)-SUMIF(itens_Consumidos!$A$2:$A$200,J57,itens_Consumidos!$O$2:$O$200)&lt;0,0,SUMIF(itens_Consumidos!$A$2:$A$200,J57,itens_Consumidos!$B$2:$B$200)-SUMIF(itens_Consumidos!$A$2:$A$200,J57,itens_Consumidos!$O$2:$O$200)))</f>
        <v/>
      </c>
      <c r="M57" s="176" t="str">
        <f>IF(J57="","",itens_Remanesc!C5)</f>
        <v/>
      </c>
      <c r="N57" s="176" t="str">
        <f>IF(J57="","",IF($F$4="C0",historico_VU!C5,IF($F$4="C1",historico_VU!D5,IF($F$4="C2",historico_VU!E5,IF($F$4="C3",historico_VU!F5,historico_VU!G5)))))</f>
        <v/>
      </c>
      <c r="O57" s="176" t="str">
        <f>IF(J57="","",IF(CONTROLE!$B$1="Principal",IF(OR(K57="",M57=""),"",ROUND(K57*M57,2)),IF(CONTROLE!$B$1="Itens Consumidos",IF(OR(L57="",M57=""),"",ROUND(L57*M57,2)),"")))</f>
        <v/>
      </c>
      <c r="P57" s="176" t="str">
        <f>IF(J57="","",IF(CONTROLE!$B$1="Principal",IF(OR(K57="",N57=""),"",ROUND(K57*N57,2)),IF(CONTROLE!$B$1="Itens Consumidos",IF(OR(L57="",N57=""),"",ROUND(L57*N57,2)),"")))</f>
        <v/>
      </c>
      <c r="Q57" s="177" t="str">
        <f>IF(J57="","",IF(OR(M57="",AND(CONTROLE!$B$1="Principal",K57=""),AND(CONTROLE!$B$1="Itens Consumidos",L57="")),"INCOMPLETO",IF(CONTROLE!$B$1="Pedidos de Compras","MANUAL",IF(AND(ISNUMBER(K57),ISNUMBER(L57),ABS(K57-L57)/MAX(ABS(IF(CONTROLE!$B$1="Principal",K57,L57)),1)&gt;$D$4),"DIVERGENTE","OK"))))</f>
        <v/>
      </c>
    </row>
    <row r="58" spans="1:17" x14ac:dyDescent="0.35">
      <c r="A58" s="172" t="str">
        <f>IF(historico_VU!A6="","",historico_VU!A6)</f>
        <v/>
      </c>
      <c r="B58" s="173" t="str">
        <f>IF(A58="","",historico_VU!B6)</f>
        <v/>
      </c>
      <c r="C58" s="174" t="str">
        <f>IF(A58="","",historico_VU!C6)</f>
        <v/>
      </c>
      <c r="D58" s="174" t="str">
        <f>IF(A58="","",historico_VU!D6)</f>
        <v/>
      </c>
      <c r="E58" s="174" t="str">
        <f>IF(A58="","",historico_VU!E6)</f>
        <v/>
      </c>
      <c r="F58" s="174" t="str">
        <f>IF(A58="","",historico_VU!F6)</f>
        <v/>
      </c>
      <c r="G58" s="174" t="str">
        <f>IF(A58="","",historico_VU!G6)</f>
        <v/>
      </c>
      <c r="H58" s="175" t="str">
        <f>IF(A58="","",historico_VU!H6)</f>
        <v/>
      </c>
      <c r="I58" s="77"/>
      <c r="J58" s="172" t="str">
        <f>IF(itens_Remanesc!A6="","",itens_Remanesc!A6)</f>
        <v/>
      </c>
      <c r="K58" s="173" t="str">
        <f>IF(J58="","",IF($F$4="C0",itens_Remanesc!B6,IF($F$4="C1",itens_Remanesc!E6,IF($F$4="C2",itens_Remanesc!G6,IF($F$4="C3",itens_Remanesc!I6,itens_Remanesc!K6)))))</f>
        <v/>
      </c>
      <c r="L58" s="173" t="str">
        <f>IF(J58="","",IF(SUMIF(itens_Consumidos!$A$2:$A$200,J58,itens_Consumidos!$B$2:$B$200)-SUMIF(itens_Consumidos!$A$2:$A$200,J58,itens_Consumidos!$O$2:$O$200)&lt;0,0,SUMIF(itens_Consumidos!$A$2:$A$200,J58,itens_Consumidos!$B$2:$B$200)-SUMIF(itens_Consumidos!$A$2:$A$200,J58,itens_Consumidos!$O$2:$O$200)))</f>
        <v/>
      </c>
      <c r="M58" s="176" t="str">
        <f>IF(J58="","",itens_Remanesc!C6)</f>
        <v/>
      </c>
      <c r="N58" s="176" t="str">
        <f>IF(J58="","",IF($F$4="C0",historico_VU!C6,IF($F$4="C1",historico_VU!D6,IF($F$4="C2",historico_VU!E6,IF($F$4="C3",historico_VU!F6,historico_VU!G6)))))</f>
        <v/>
      </c>
      <c r="O58" s="176" t="str">
        <f>IF(J58="","",IF(CONTROLE!$B$1="Principal",IF(OR(K58="",M58=""),"",ROUND(K58*M58,2)),IF(CONTROLE!$B$1="Itens Consumidos",IF(OR(L58="",M58=""),"",ROUND(L58*M58,2)),"")))</f>
        <v/>
      </c>
      <c r="P58" s="176" t="str">
        <f>IF(J58="","",IF(CONTROLE!$B$1="Principal",IF(OR(K58="",N58=""),"",ROUND(K58*N58,2)),IF(CONTROLE!$B$1="Itens Consumidos",IF(OR(L58="",N58=""),"",ROUND(L58*N58,2)),"")))</f>
        <v/>
      </c>
      <c r="Q58" s="177" t="str">
        <f>IF(J58="","",IF(OR(M58="",AND(CONTROLE!$B$1="Principal",K58=""),AND(CONTROLE!$B$1="Itens Consumidos",L58="")),"INCOMPLETO",IF(CONTROLE!$B$1="Pedidos de Compras","MANUAL",IF(AND(ISNUMBER(K58),ISNUMBER(L58),ABS(K58-L58)/MAX(ABS(IF(CONTROLE!$B$1="Principal",K58,L58)),1)&gt;$D$4),"DIVERGENTE","OK"))))</f>
        <v/>
      </c>
    </row>
    <row r="59" spans="1:17" x14ac:dyDescent="0.35">
      <c r="A59" s="172" t="str">
        <f>IF(historico_VU!A7="","",historico_VU!A7)</f>
        <v/>
      </c>
      <c r="B59" s="173" t="str">
        <f>IF(A59="","",historico_VU!B7)</f>
        <v/>
      </c>
      <c r="C59" s="174" t="str">
        <f>IF(A59="","",historico_VU!C7)</f>
        <v/>
      </c>
      <c r="D59" s="174" t="str">
        <f>IF(A59="","",historico_VU!D7)</f>
        <v/>
      </c>
      <c r="E59" s="174" t="str">
        <f>IF(A59="","",historico_VU!E7)</f>
        <v/>
      </c>
      <c r="F59" s="174" t="str">
        <f>IF(A59="","",historico_VU!F7)</f>
        <v/>
      </c>
      <c r="G59" s="174" t="str">
        <f>IF(A59="","",historico_VU!G7)</f>
        <v/>
      </c>
      <c r="H59" s="175" t="str">
        <f>IF(A59="","",historico_VU!H7)</f>
        <v/>
      </c>
      <c r="I59" s="77"/>
      <c r="J59" s="172" t="str">
        <f>IF(itens_Remanesc!A7="","",itens_Remanesc!A7)</f>
        <v/>
      </c>
      <c r="K59" s="173" t="str">
        <f>IF(J59="","",IF($F$4="C0",itens_Remanesc!B7,IF($F$4="C1",itens_Remanesc!E7,IF($F$4="C2",itens_Remanesc!G7,IF($F$4="C3",itens_Remanesc!I7,itens_Remanesc!K7)))))</f>
        <v/>
      </c>
      <c r="L59" s="173" t="str">
        <f>IF(J59="","",IF(SUMIF(itens_Consumidos!$A$2:$A$200,J59,itens_Consumidos!$B$2:$B$200)-SUMIF(itens_Consumidos!$A$2:$A$200,J59,itens_Consumidos!$O$2:$O$200)&lt;0,0,SUMIF(itens_Consumidos!$A$2:$A$200,J59,itens_Consumidos!$B$2:$B$200)-SUMIF(itens_Consumidos!$A$2:$A$200,J59,itens_Consumidos!$O$2:$O$200)))</f>
        <v/>
      </c>
      <c r="M59" s="176" t="str">
        <f>IF(J59="","",itens_Remanesc!C7)</f>
        <v/>
      </c>
      <c r="N59" s="176" t="str">
        <f>IF(J59="","",IF($F$4="C0",historico_VU!C7,IF($F$4="C1",historico_VU!D7,IF($F$4="C2",historico_VU!E7,IF($F$4="C3",historico_VU!F7,historico_VU!G7)))))</f>
        <v/>
      </c>
      <c r="O59" s="176" t="str">
        <f>IF(J59="","",IF(CONTROLE!$B$1="Principal",IF(OR(K59="",M59=""),"",ROUND(K59*M59,2)),IF(CONTROLE!$B$1="Itens Consumidos",IF(OR(L59="",M59=""),"",ROUND(L59*M59,2)),"")))</f>
        <v/>
      </c>
      <c r="P59" s="176" t="str">
        <f>IF(J59="","",IF(CONTROLE!$B$1="Principal",IF(OR(K59="",N59=""),"",ROUND(K59*N59,2)),IF(CONTROLE!$B$1="Itens Consumidos",IF(OR(L59="",N59=""),"",ROUND(L59*N59,2)),"")))</f>
        <v/>
      </c>
      <c r="Q59" s="177" t="str">
        <f>IF(J59="","",IF(OR(M59="",AND(CONTROLE!$B$1="Principal",K59=""),AND(CONTROLE!$B$1="Itens Consumidos",L59="")),"INCOMPLETO",IF(CONTROLE!$B$1="Pedidos de Compras","MANUAL",IF(AND(ISNUMBER(K59),ISNUMBER(L59),ABS(K59-L59)/MAX(ABS(IF(CONTROLE!$B$1="Principal",K59,L59)),1)&gt;$D$4),"DIVERGENTE","OK"))))</f>
        <v/>
      </c>
    </row>
    <row r="60" spans="1:17" x14ac:dyDescent="0.35">
      <c r="A60" s="172" t="str">
        <f>IF(historico_VU!A8="","",historico_VU!A8)</f>
        <v/>
      </c>
      <c r="B60" s="173" t="str">
        <f>IF(A60="","",historico_VU!B8)</f>
        <v/>
      </c>
      <c r="C60" s="174" t="str">
        <f>IF(A60="","",historico_VU!C8)</f>
        <v/>
      </c>
      <c r="D60" s="174" t="str">
        <f>IF(A60="","",historico_VU!D8)</f>
        <v/>
      </c>
      <c r="E60" s="174" t="str">
        <f>IF(A60="","",historico_VU!E8)</f>
        <v/>
      </c>
      <c r="F60" s="174" t="str">
        <f>IF(A60="","",historico_VU!F8)</f>
        <v/>
      </c>
      <c r="G60" s="174" t="str">
        <f>IF(A60="","",historico_VU!G8)</f>
        <v/>
      </c>
      <c r="H60" s="175" t="str">
        <f>IF(A60="","",historico_VU!H8)</f>
        <v/>
      </c>
      <c r="I60" s="77"/>
      <c r="J60" s="172" t="str">
        <f>IF(itens_Remanesc!A8="","",itens_Remanesc!A8)</f>
        <v/>
      </c>
      <c r="K60" s="173" t="str">
        <f>IF(J60="","",IF($F$4="C0",itens_Remanesc!B8,IF($F$4="C1",itens_Remanesc!E8,IF($F$4="C2",itens_Remanesc!G8,IF($F$4="C3",itens_Remanesc!I8,itens_Remanesc!K8)))))</f>
        <v/>
      </c>
      <c r="L60" s="173" t="str">
        <f>IF(J60="","",IF(SUMIF(itens_Consumidos!$A$2:$A$200,J60,itens_Consumidos!$B$2:$B$200)-SUMIF(itens_Consumidos!$A$2:$A$200,J60,itens_Consumidos!$O$2:$O$200)&lt;0,0,SUMIF(itens_Consumidos!$A$2:$A$200,J60,itens_Consumidos!$B$2:$B$200)-SUMIF(itens_Consumidos!$A$2:$A$200,J60,itens_Consumidos!$O$2:$O$200)))</f>
        <v/>
      </c>
      <c r="M60" s="176" t="str">
        <f>IF(J60="","",itens_Remanesc!C8)</f>
        <v/>
      </c>
      <c r="N60" s="176" t="str">
        <f>IF(J60="","",IF($F$4="C0",historico_VU!C8,IF($F$4="C1",historico_VU!D8,IF($F$4="C2",historico_VU!E8,IF($F$4="C3",historico_VU!F8,historico_VU!G8)))))</f>
        <v/>
      </c>
      <c r="O60" s="176" t="str">
        <f>IF(J60="","",IF(CONTROLE!$B$1="Principal",IF(OR(K60="",M60=""),"",ROUND(K60*M60,2)),IF(CONTROLE!$B$1="Itens Consumidos",IF(OR(L60="",M60=""),"",ROUND(L60*M60,2)),"")))</f>
        <v/>
      </c>
      <c r="P60" s="176" t="str">
        <f>IF(J60="","",IF(CONTROLE!$B$1="Principal",IF(OR(K60="",N60=""),"",ROUND(K60*N60,2)),IF(CONTROLE!$B$1="Itens Consumidos",IF(OR(L60="",N60=""),"",ROUND(L60*N60,2)),"")))</f>
        <v/>
      </c>
      <c r="Q60" s="177" t="str">
        <f>IF(J60="","",IF(OR(M60="",AND(CONTROLE!$B$1="Principal",K60=""),AND(CONTROLE!$B$1="Itens Consumidos",L60="")),"INCOMPLETO",IF(CONTROLE!$B$1="Pedidos de Compras","MANUAL",IF(AND(ISNUMBER(K60),ISNUMBER(L60),ABS(K60-L60)/MAX(ABS(IF(CONTROLE!$B$1="Principal",K60,L60)),1)&gt;$D$4),"DIVERGENTE","OK"))))</f>
        <v/>
      </c>
    </row>
    <row r="61" spans="1:17" x14ac:dyDescent="0.35">
      <c r="A61" s="172" t="str">
        <f>IF(historico_VU!A9="","",historico_VU!A9)</f>
        <v/>
      </c>
      <c r="B61" s="173" t="str">
        <f>IF(A61="","",historico_VU!B9)</f>
        <v/>
      </c>
      <c r="C61" s="174" t="str">
        <f>IF(A61="","",historico_VU!C9)</f>
        <v/>
      </c>
      <c r="D61" s="174" t="str">
        <f>IF(A61="","",historico_VU!D9)</f>
        <v/>
      </c>
      <c r="E61" s="174" t="str">
        <f>IF(A61="","",historico_VU!E9)</f>
        <v/>
      </c>
      <c r="F61" s="174" t="str">
        <f>IF(A61="","",historico_VU!F9)</f>
        <v/>
      </c>
      <c r="G61" s="174" t="str">
        <f>IF(A61="","",historico_VU!G9)</f>
        <v/>
      </c>
      <c r="H61" s="175" t="str">
        <f>IF(A61="","",historico_VU!H9)</f>
        <v/>
      </c>
      <c r="I61" s="77"/>
      <c r="J61" s="172" t="str">
        <f>IF(itens_Remanesc!A9="","",itens_Remanesc!A9)</f>
        <v/>
      </c>
      <c r="K61" s="173" t="str">
        <f>IF(J61="","",IF($F$4="C0",itens_Remanesc!B9,IF($F$4="C1",itens_Remanesc!E9,IF($F$4="C2",itens_Remanesc!G9,IF($F$4="C3",itens_Remanesc!I9,itens_Remanesc!K9)))))</f>
        <v/>
      </c>
      <c r="L61" s="173" t="str">
        <f>IF(J61="","",IF(SUMIF(itens_Consumidos!$A$2:$A$200,J61,itens_Consumidos!$B$2:$B$200)-SUMIF(itens_Consumidos!$A$2:$A$200,J61,itens_Consumidos!$O$2:$O$200)&lt;0,0,SUMIF(itens_Consumidos!$A$2:$A$200,J61,itens_Consumidos!$B$2:$B$200)-SUMIF(itens_Consumidos!$A$2:$A$200,J61,itens_Consumidos!$O$2:$O$200)))</f>
        <v/>
      </c>
      <c r="M61" s="176" t="str">
        <f>IF(J61="","",itens_Remanesc!C9)</f>
        <v/>
      </c>
      <c r="N61" s="176" t="str">
        <f>IF(J61="","",IF($F$4="C0",historico_VU!C9,IF($F$4="C1",historico_VU!D9,IF($F$4="C2",historico_VU!E9,IF($F$4="C3",historico_VU!F9,historico_VU!G9)))))</f>
        <v/>
      </c>
      <c r="O61" s="176" t="str">
        <f>IF(J61="","",IF(CONTROLE!$B$1="Principal",IF(OR(K61="",M61=""),"",ROUND(K61*M61,2)),IF(CONTROLE!$B$1="Itens Consumidos",IF(OR(L61="",M61=""),"",ROUND(L61*M61,2)),"")))</f>
        <v/>
      </c>
      <c r="P61" s="176" t="str">
        <f>IF(J61="","",IF(CONTROLE!$B$1="Principal",IF(OR(K61="",N61=""),"",ROUND(K61*N61,2)),IF(CONTROLE!$B$1="Itens Consumidos",IF(OR(L61="",N61=""),"",ROUND(L61*N61,2)),"")))</f>
        <v/>
      </c>
      <c r="Q61" s="177" t="str">
        <f>IF(J61="","",IF(OR(M61="",AND(CONTROLE!$B$1="Principal",K61=""),AND(CONTROLE!$B$1="Itens Consumidos",L61="")),"INCOMPLETO",IF(CONTROLE!$B$1="Pedidos de Compras","MANUAL",IF(AND(ISNUMBER(K61),ISNUMBER(L61),ABS(K61-L61)/MAX(ABS(IF(CONTROLE!$B$1="Principal",K61,L61)),1)&gt;$D$4),"DIVERGENTE","OK"))))</f>
        <v/>
      </c>
    </row>
    <row r="62" spans="1:17" ht="24" customHeight="1" x14ac:dyDescent="0.35">
      <c r="A62" s="172" t="str">
        <f>IF(historico_VU!A10="","",historico_VU!A10)</f>
        <v/>
      </c>
      <c r="B62" s="173" t="str">
        <f>IF(A62="","",historico_VU!B10)</f>
        <v/>
      </c>
      <c r="C62" s="174" t="str">
        <f>IF(A62="","",historico_VU!C10)</f>
        <v/>
      </c>
      <c r="D62" s="174" t="str">
        <f>IF(A62="","",historico_VU!D10)</f>
        <v/>
      </c>
      <c r="E62" s="174" t="str">
        <f>IF(A62="","",historico_VU!E10)</f>
        <v/>
      </c>
      <c r="F62" s="174" t="str">
        <f>IF(A62="","",historico_VU!F10)</f>
        <v/>
      </c>
      <c r="G62" s="174" t="str">
        <f>IF(A62="","",historico_VU!G10)</f>
        <v/>
      </c>
      <c r="H62" s="175" t="str">
        <f>IF(A62="","",historico_VU!H10)</f>
        <v/>
      </c>
      <c r="I62" s="77"/>
      <c r="J62" s="172" t="str">
        <f>IF(itens_Remanesc!A10="","",itens_Remanesc!A10)</f>
        <v/>
      </c>
      <c r="K62" s="173" t="str">
        <f>IF(J62="","",IF($F$4="C0",itens_Remanesc!B10,IF($F$4="C1",itens_Remanesc!E10,IF($F$4="C2",itens_Remanesc!G10,IF($F$4="C3",itens_Remanesc!I10,itens_Remanesc!K10)))))</f>
        <v/>
      </c>
      <c r="L62" s="173" t="str">
        <f>IF(J62="","",IF(SUMIF(itens_Consumidos!$A$2:$A$200,J62,itens_Consumidos!$B$2:$B$200)-SUMIF(itens_Consumidos!$A$2:$A$200,J62,itens_Consumidos!$O$2:$O$200)&lt;0,0,SUMIF(itens_Consumidos!$A$2:$A$200,J62,itens_Consumidos!$B$2:$B$200)-SUMIF(itens_Consumidos!$A$2:$A$200,J62,itens_Consumidos!$O$2:$O$200)))</f>
        <v/>
      </c>
      <c r="M62" s="176" t="str">
        <f>IF(J62="","",itens_Remanesc!C10)</f>
        <v/>
      </c>
      <c r="N62" s="176" t="str">
        <f>IF(J62="","",IF($F$4="C0",historico_VU!C10,IF($F$4="C1",historico_VU!D10,IF($F$4="C2",historico_VU!E10,IF($F$4="C3",historico_VU!F10,historico_VU!G10)))))</f>
        <v/>
      </c>
      <c r="O62" s="176" t="str">
        <f>IF(J62="","",IF(CONTROLE!$B$1="Principal",IF(OR(K62="",M62=""),"",ROUND(K62*M62,2)),IF(CONTROLE!$B$1="Itens Consumidos",IF(OR(L62="",M62=""),"",ROUND(L62*M62,2)),"")))</f>
        <v/>
      </c>
      <c r="P62" s="176" t="str">
        <f>IF(J62="","",IF(CONTROLE!$B$1="Principal",IF(OR(K62="",N62=""),"",ROUND(K62*N62,2)),IF(CONTROLE!$B$1="Itens Consumidos",IF(OR(L62="",N62=""),"",ROUND(L62*N62,2)),"")))</f>
        <v/>
      </c>
      <c r="Q62" s="177" t="str">
        <f>IF(J62="","",IF(OR(M62="",AND(CONTROLE!$B$1="Principal",K62=""),AND(CONTROLE!$B$1="Itens Consumidos",L62="")),"INCOMPLETO",IF(CONTROLE!$B$1="Pedidos de Compras","MANUAL",IF(AND(ISNUMBER(K62),ISNUMBER(L62),ABS(K62-L62)/MAX(ABS(IF(CONTROLE!$B$1="Principal",K62,L62)),1)&gt;$D$4),"DIVERGENTE","OK"))))</f>
        <v/>
      </c>
    </row>
    <row r="63" spans="1:17" ht="24" customHeight="1" x14ac:dyDescent="0.35">
      <c r="A63" s="172" t="str">
        <f>IF(historico_VU!A11="","",historico_VU!A11)</f>
        <v/>
      </c>
      <c r="B63" s="173" t="str">
        <f>IF(A63="","",historico_VU!B11)</f>
        <v/>
      </c>
      <c r="C63" s="174" t="str">
        <f>IF(A63="","",historico_VU!C11)</f>
        <v/>
      </c>
      <c r="D63" s="174" t="str">
        <f>IF(A63="","",historico_VU!D11)</f>
        <v/>
      </c>
      <c r="E63" s="174" t="str">
        <f>IF(A63="","",historico_VU!E11)</f>
        <v/>
      </c>
      <c r="F63" s="174" t="str">
        <f>IF(A63="","",historico_VU!F11)</f>
        <v/>
      </c>
      <c r="G63" s="174" t="str">
        <f>IF(A63="","",historico_VU!G11)</f>
        <v/>
      </c>
      <c r="H63" s="175" t="str">
        <f>IF(A63="","",historico_VU!H11)</f>
        <v/>
      </c>
      <c r="I63" s="77"/>
      <c r="J63" s="172" t="str">
        <f>IF(itens_Remanesc!A11="","",itens_Remanesc!A11)</f>
        <v/>
      </c>
      <c r="K63" s="173" t="str">
        <f>IF(J63="","",IF($F$4="C0",itens_Remanesc!B11,IF($F$4="C1",itens_Remanesc!E11,IF($F$4="C2",itens_Remanesc!G11,IF($F$4="C3",itens_Remanesc!I11,itens_Remanesc!K11)))))</f>
        <v/>
      </c>
      <c r="L63" s="173" t="str">
        <f>IF(J63="","",IF(SUMIF(itens_Consumidos!$A$2:$A$200,J63,itens_Consumidos!$B$2:$B$200)-SUMIF(itens_Consumidos!$A$2:$A$200,J63,itens_Consumidos!$O$2:$O$200)&lt;0,0,SUMIF(itens_Consumidos!$A$2:$A$200,J63,itens_Consumidos!$B$2:$B$200)-SUMIF(itens_Consumidos!$A$2:$A$200,J63,itens_Consumidos!$O$2:$O$200)))</f>
        <v/>
      </c>
      <c r="M63" s="176" t="str">
        <f>IF(J63="","",itens_Remanesc!C11)</f>
        <v/>
      </c>
      <c r="N63" s="176" t="str">
        <f>IF(J63="","",IF($F$4="C0",historico_VU!C11,IF($F$4="C1",historico_VU!D11,IF($F$4="C2",historico_VU!E11,IF($F$4="C3",historico_VU!F11,historico_VU!G11)))))</f>
        <v/>
      </c>
      <c r="O63" s="176" t="str">
        <f>IF(J63="","",IF(CONTROLE!$B$1="Principal",IF(OR(K63="",M63=""),"",ROUND(K63*M63,2)),IF(CONTROLE!$B$1="Itens Consumidos",IF(OR(L63="",M63=""),"",ROUND(L63*M63,2)),"")))</f>
        <v/>
      </c>
      <c r="P63" s="176" t="str">
        <f>IF(J63="","",IF(CONTROLE!$B$1="Principal",IF(OR(K63="",N63=""),"",ROUND(K63*N63,2)),IF(CONTROLE!$B$1="Itens Consumidos",IF(OR(L63="",N63=""),"",ROUND(L63*N63,2)),"")))</f>
        <v/>
      </c>
      <c r="Q63" s="177" t="str">
        <f>IF(J63="","",IF(OR(M63="",AND(CONTROLE!$B$1="Principal",K63=""),AND(CONTROLE!$B$1="Itens Consumidos",L63="")),"INCOMPLETO",IF(CONTROLE!$B$1="Pedidos de Compras","MANUAL",IF(AND(ISNUMBER(K63),ISNUMBER(L63),ABS(K63-L63)/MAX(ABS(IF(CONTROLE!$B$1="Principal",K63,L63)),1)&gt;$D$4),"DIVERGENTE","OK"))))</f>
        <v/>
      </c>
    </row>
    <row r="64" spans="1:17" x14ac:dyDescent="0.35">
      <c r="A64" s="172" t="str">
        <f>IF(historico_VU!A12="","",historico_VU!A12)</f>
        <v/>
      </c>
      <c r="B64" s="173" t="str">
        <f>IF(A64="","",historico_VU!B12)</f>
        <v/>
      </c>
      <c r="C64" s="174" t="str">
        <f>IF(A64="","",historico_VU!C12)</f>
        <v/>
      </c>
      <c r="D64" s="174" t="str">
        <f>IF(A64="","",historico_VU!D12)</f>
        <v/>
      </c>
      <c r="E64" s="174" t="str">
        <f>IF(A64="","",historico_VU!E12)</f>
        <v/>
      </c>
      <c r="F64" s="174" t="str">
        <f>IF(A64="","",historico_VU!F12)</f>
        <v/>
      </c>
      <c r="G64" s="174" t="str">
        <f>IF(A64="","",historico_VU!G12)</f>
        <v/>
      </c>
      <c r="H64" s="175" t="str">
        <f>IF(A64="","",historico_VU!H12)</f>
        <v/>
      </c>
      <c r="I64" s="77"/>
      <c r="J64" s="172" t="str">
        <f>IF(itens_Remanesc!A12="","",itens_Remanesc!A12)</f>
        <v/>
      </c>
      <c r="K64" s="173" t="str">
        <f>IF(J64="","",IF($F$4="C0",itens_Remanesc!B12,IF($F$4="C1",itens_Remanesc!E12,IF($F$4="C2",itens_Remanesc!G12,IF($F$4="C3",itens_Remanesc!I12,itens_Remanesc!K12)))))</f>
        <v/>
      </c>
      <c r="L64" s="173" t="str">
        <f>IF(J64="","",IF(SUMIF(itens_Consumidos!$A$2:$A$200,J64,itens_Consumidos!$B$2:$B$200)-SUMIF(itens_Consumidos!$A$2:$A$200,J64,itens_Consumidos!$O$2:$O$200)&lt;0,0,SUMIF(itens_Consumidos!$A$2:$A$200,J64,itens_Consumidos!$B$2:$B$200)-SUMIF(itens_Consumidos!$A$2:$A$200,J64,itens_Consumidos!$O$2:$O$200)))</f>
        <v/>
      </c>
      <c r="M64" s="176" t="str">
        <f>IF(J64="","",itens_Remanesc!C12)</f>
        <v/>
      </c>
      <c r="N64" s="176" t="str">
        <f>IF(J64="","",IF($F$4="C0",historico_VU!C12,IF($F$4="C1",historico_VU!D12,IF($F$4="C2",historico_VU!E12,IF($F$4="C3",historico_VU!F12,historico_VU!G12)))))</f>
        <v/>
      </c>
      <c r="O64" s="176" t="str">
        <f>IF(J64="","",IF(CONTROLE!$B$1="Principal",IF(OR(K64="",M64=""),"",ROUND(K64*M64,2)),IF(CONTROLE!$B$1="Itens Consumidos",IF(OR(L64="",M64=""),"",ROUND(L64*M64,2)),"")))</f>
        <v/>
      </c>
      <c r="P64" s="176" t="str">
        <f>IF(J64="","",IF(CONTROLE!$B$1="Principal",IF(OR(K64="",N64=""),"",ROUND(K64*N64,2)),IF(CONTROLE!$B$1="Itens Consumidos",IF(OR(L64="",N64=""),"",ROUND(L64*N64,2)),"")))</f>
        <v/>
      </c>
      <c r="Q64" s="177" t="str">
        <f>IF(J64="","",IF(OR(M64="",AND(CONTROLE!$B$1="Principal",K64=""),AND(CONTROLE!$B$1="Itens Consumidos",L64="")),"INCOMPLETO",IF(CONTROLE!$B$1="Pedidos de Compras","MANUAL",IF(AND(ISNUMBER(K64),ISNUMBER(L64),ABS(K64-L64)/MAX(ABS(IF(CONTROLE!$B$1="Principal",K64,L64)),1)&gt;$D$4),"DIVERGENTE","OK"))))</f>
        <v/>
      </c>
    </row>
    <row r="65" spans="1:17" x14ac:dyDescent="0.35">
      <c r="A65" s="172" t="str">
        <f>IF(historico_VU!A13="","",historico_VU!A13)</f>
        <v/>
      </c>
      <c r="B65" s="173" t="str">
        <f>IF(A65="","",historico_VU!B13)</f>
        <v/>
      </c>
      <c r="C65" s="174" t="str">
        <f>IF(A65="","",historico_VU!C13)</f>
        <v/>
      </c>
      <c r="D65" s="174" t="str">
        <f>IF(A65="","",historico_VU!D13)</f>
        <v/>
      </c>
      <c r="E65" s="174" t="str">
        <f>IF(A65="","",historico_VU!E13)</f>
        <v/>
      </c>
      <c r="F65" s="174" t="str">
        <f>IF(A65="","",historico_VU!F13)</f>
        <v/>
      </c>
      <c r="G65" s="174" t="str">
        <f>IF(A65="","",historico_VU!G13)</f>
        <v/>
      </c>
      <c r="H65" s="175" t="str">
        <f>IF(A65="","",historico_VU!H13)</f>
        <v/>
      </c>
      <c r="I65" s="77"/>
      <c r="J65" s="172" t="str">
        <f>IF(itens_Remanesc!A13="","",itens_Remanesc!A13)</f>
        <v/>
      </c>
      <c r="K65" s="173" t="str">
        <f>IF(J65="","",IF($F$4="C0",itens_Remanesc!B13,IF($F$4="C1",itens_Remanesc!E13,IF($F$4="C2",itens_Remanesc!G13,IF($F$4="C3",itens_Remanesc!I13,itens_Remanesc!K13)))))</f>
        <v/>
      </c>
      <c r="L65" s="173" t="str">
        <f>IF(J65="","",IF(SUMIF(itens_Consumidos!$A$2:$A$200,J65,itens_Consumidos!$B$2:$B$200)-SUMIF(itens_Consumidos!$A$2:$A$200,J65,itens_Consumidos!$O$2:$O$200)&lt;0,0,SUMIF(itens_Consumidos!$A$2:$A$200,J65,itens_Consumidos!$B$2:$B$200)-SUMIF(itens_Consumidos!$A$2:$A$200,J65,itens_Consumidos!$O$2:$O$200)))</f>
        <v/>
      </c>
      <c r="M65" s="176" t="str">
        <f>IF(J65="","",itens_Remanesc!C13)</f>
        <v/>
      </c>
      <c r="N65" s="176" t="str">
        <f>IF(J65="","",IF($F$4="C0",historico_VU!C13,IF($F$4="C1",historico_VU!D13,IF($F$4="C2",historico_VU!E13,IF($F$4="C3",historico_VU!F13,historico_VU!G13)))))</f>
        <v/>
      </c>
      <c r="O65" s="176" t="str">
        <f>IF(J65="","",IF(CONTROLE!$B$1="Principal",IF(OR(K65="",M65=""),"",ROUND(K65*M65,2)),IF(CONTROLE!$B$1="Itens Consumidos",IF(OR(L65="",M65=""),"",ROUND(L65*M65,2)),"")))</f>
        <v/>
      </c>
      <c r="P65" s="176" t="str">
        <f>IF(J65="","",IF(CONTROLE!$B$1="Principal",IF(OR(K65="",N65=""),"",ROUND(K65*N65,2)),IF(CONTROLE!$B$1="Itens Consumidos",IF(OR(L65="",N65=""),"",ROUND(L65*N65,2)),"")))</f>
        <v/>
      </c>
      <c r="Q65" s="177" t="str">
        <f>IF(J65="","",IF(OR(M65="",AND(CONTROLE!$B$1="Principal",K65=""),AND(CONTROLE!$B$1="Itens Consumidos",L65="")),"INCOMPLETO",IF(CONTROLE!$B$1="Pedidos de Compras","MANUAL",IF(AND(ISNUMBER(K65),ISNUMBER(L65),ABS(K65-L65)/MAX(ABS(IF(CONTROLE!$B$1="Principal",K65,L65)),1)&gt;$D$4),"DIVERGENTE","OK"))))</f>
        <v/>
      </c>
    </row>
    <row r="66" spans="1:17" x14ac:dyDescent="0.35">
      <c r="A66" s="172" t="str">
        <f>IF(historico_VU!A14="","",historico_VU!A14)</f>
        <v/>
      </c>
      <c r="B66" s="173" t="str">
        <f>IF(A66="","",historico_VU!B14)</f>
        <v/>
      </c>
      <c r="C66" s="174" t="str">
        <f>IF(A66="","",historico_VU!C14)</f>
        <v/>
      </c>
      <c r="D66" s="174" t="str">
        <f>IF(A66="","",historico_VU!D14)</f>
        <v/>
      </c>
      <c r="E66" s="174" t="str">
        <f>IF(A66="","",historico_VU!E14)</f>
        <v/>
      </c>
      <c r="F66" s="174" t="str">
        <f>IF(A66="","",historico_VU!F14)</f>
        <v/>
      </c>
      <c r="G66" s="174" t="str">
        <f>IF(A66="","",historico_VU!G14)</f>
        <v/>
      </c>
      <c r="H66" s="175" t="str">
        <f>IF(A66="","",historico_VU!H14)</f>
        <v/>
      </c>
      <c r="I66" s="77"/>
      <c r="J66" s="172" t="str">
        <f>IF(itens_Remanesc!A14="","",itens_Remanesc!A14)</f>
        <v/>
      </c>
      <c r="K66" s="173" t="str">
        <f>IF(J66="","",IF($F$4="C0",itens_Remanesc!B14,IF($F$4="C1",itens_Remanesc!E14,IF($F$4="C2",itens_Remanesc!G14,IF($F$4="C3",itens_Remanesc!I14,itens_Remanesc!K14)))))</f>
        <v/>
      </c>
      <c r="L66" s="173" t="str">
        <f>IF(J66="","",IF(SUMIF(itens_Consumidos!$A$2:$A$200,J66,itens_Consumidos!$B$2:$B$200)-SUMIF(itens_Consumidos!$A$2:$A$200,J66,itens_Consumidos!$O$2:$O$200)&lt;0,0,SUMIF(itens_Consumidos!$A$2:$A$200,J66,itens_Consumidos!$B$2:$B$200)-SUMIF(itens_Consumidos!$A$2:$A$200,J66,itens_Consumidos!$O$2:$O$200)))</f>
        <v/>
      </c>
      <c r="M66" s="176" t="str">
        <f>IF(J66="","",itens_Remanesc!C14)</f>
        <v/>
      </c>
      <c r="N66" s="176" t="str">
        <f>IF(J66="","",IF($F$4="C0",historico_VU!C14,IF($F$4="C1",historico_VU!D14,IF($F$4="C2",historico_VU!E14,IF($F$4="C3",historico_VU!F14,historico_VU!G14)))))</f>
        <v/>
      </c>
      <c r="O66" s="176" t="str">
        <f>IF(J66="","",IF(CONTROLE!$B$1="Principal",IF(OR(K66="",M66=""),"",ROUND(K66*M66,2)),IF(CONTROLE!$B$1="Itens Consumidos",IF(OR(L66="",M66=""),"",ROUND(L66*M66,2)),"")))</f>
        <v/>
      </c>
      <c r="P66" s="176" t="str">
        <f>IF(J66="","",IF(CONTROLE!$B$1="Principal",IF(OR(K66="",N66=""),"",ROUND(K66*N66,2)),IF(CONTROLE!$B$1="Itens Consumidos",IF(OR(L66="",N66=""),"",ROUND(L66*N66,2)),"")))</f>
        <v/>
      </c>
      <c r="Q66" s="177" t="str">
        <f>IF(J66="","",IF(OR(M66="",AND(CONTROLE!$B$1="Principal",K66=""),AND(CONTROLE!$B$1="Itens Consumidos",L66="")),"INCOMPLETO",IF(CONTROLE!$B$1="Pedidos de Compras","MANUAL",IF(AND(ISNUMBER(K66),ISNUMBER(L66),ABS(K66-L66)/MAX(ABS(IF(CONTROLE!$B$1="Principal",K66,L66)),1)&gt;$D$4),"DIVERGENTE","OK"))))</f>
        <v/>
      </c>
    </row>
    <row r="67" spans="1:17" x14ac:dyDescent="0.35">
      <c r="A67" s="172" t="str">
        <f>IF(historico_VU!A15="","",historico_VU!A15)</f>
        <v/>
      </c>
      <c r="B67" s="173" t="str">
        <f>IF(A67="","",historico_VU!B15)</f>
        <v/>
      </c>
      <c r="C67" s="174" t="str">
        <f>IF(A67="","",historico_VU!C15)</f>
        <v/>
      </c>
      <c r="D67" s="174" t="str">
        <f>IF(A67="","",historico_VU!D15)</f>
        <v/>
      </c>
      <c r="E67" s="174" t="str">
        <f>IF(A67="","",historico_VU!E15)</f>
        <v/>
      </c>
      <c r="F67" s="174" t="str">
        <f>IF(A67="","",historico_VU!F15)</f>
        <v/>
      </c>
      <c r="G67" s="174" t="str">
        <f>IF(A67="","",historico_VU!G15)</f>
        <v/>
      </c>
      <c r="H67" s="175" t="str">
        <f>IF(A67="","",historico_VU!H15)</f>
        <v/>
      </c>
      <c r="I67" s="77"/>
      <c r="J67" s="172" t="str">
        <f>IF(itens_Remanesc!A15="","",itens_Remanesc!A15)</f>
        <v/>
      </c>
      <c r="K67" s="173" t="str">
        <f>IF(J67="","",IF($F$4="C0",itens_Remanesc!B15,IF($F$4="C1",itens_Remanesc!E15,IF($F$4="C2",itens_Remanesc!G15,IF($F$4="C3",itens_Remanesc!I15,itens_Remanesc!K15)))))</f>
        <v/>
      </c>
      <c r="L67" s="173" t="str">
        <f>IF(J67="","",IF(SUMIF(itens_Consumidos!$A$2:$A$200,J67,itens_Consumidos!$B$2:$B$200)-SUMIF(itens_Consumidos!$A$2:$A$200,J67,itens_Consumidos!$O$2:$O$200)&lt;0,0,SUMIF(itens_Consumidos!$A$2:$A$200,J67,itens_Consumidos!$B$2:$B$200)-SUMIF(itens_Consumidos!$A$2:$A$200,J67,itens_Consumidos!$O$2:$O$200)))</f>
        <v/>
      </c>
      <c r="M67" s="176" t="str">
        <f>IF(J67="","",itens_Remanesc!C15)</f>
        <v/>
      </c>
      <c r="N67" s="176" t="str">
        <f>IF(J67="","",IF($F$4="C0",historico_VU!C15,IF($F$4="C1",historico_VU!D15,IF($F$4="C2",historico_VU!E15,IF($F$4="C3",historico_VU!F15,historico_VU!G15)))))</f>
        <v/>
      </c>
      <c r="O67" s="176" t="str">
        <f>IF(J67="","",IF(CONTROLE!$B$1="Principal",IF(OR(K67="",M67=""),"",ROUND(K67*M67,2)),IF(CONTROLE!$B$1="Itens Consumidos",IF(OR(L67="",M67=""),"",ROUND(L67*M67,2)),"")))</f>
        <v/>
      </c>
      <c r="P67" s="176" t="str">
        <f>IF(J67="","",IF(CONTROLE!$B$1="Principal",IF(OR(K67="",N67=""),"",ROUND(K67*N67,2)),IF(CONTROLE!$B$1="Itens Consumidos",IF(OR(L67="",N67=""),"",ROUND(L67*N67,2)),"")))</f>
        <v/>
      </c>
      <c r="Q67" s="177" t="str">
        <f>IF(J67="","",IF(OR(M67="",AND(CONTROLE!$B$1="Principal",K67=""),AND(CONTROLE!$B$1="Itens Consumidos",L67="")),"INCOMPLETO",IF(CONTROLE!$B$1="Pedidos de Compras","MANUAL",IF(AND(ISNUMBER(K67),ISNUMBER(L67),ABS(K67-L67)/MAX(ABS(IF(CONTROLE!$B$1="Principal",K67,L67)),1)&gt;$D$4),"DIVERGENTE","OK"))))</f>
        <v/>
      </c>
    </row>
    <row r="68" spans="1:17" x14ac:dyDescent="0.35">
      <c r="A68" s="172" t="str">
        <f>IF(historico_VU!A16="","",historico_VU!A16)</f>
        <v/>
      </c>
      <c r="B68" s="173" t="str">
        <f>IF(A68="","",historico_VU!B16)</f>
        <v/>
      </c>
      <c r="C68" s="174" t="str">
        <f>IF(A68="","",historico_VU!C16)</f>
        <v/>
      </c>
      <c r="D68" s="174" t="str">
        <f>IF(A68="","",historico_VU!D16)</f>
        <v/>
      </c>
      <c r="E68" s="174" t="str">
        <f>IF(A68="","",historico_VU!E16)</f>
        <v/>
      </c>
      <c r="F68" s="174" t="str">
        <f>IF(A68="","",historico_VU!F16)</f>
        <v/>
      </c>
      <c r="G68" s="174" t="str">
        <f>IF(A68="","",historico_VU!G16)</f>
        <v/>
      </c>
      <c r="H68" s="175" t="str">
        <f>IF(A68="","",historico_VU!H16)</f>
        <v/>
      </c>
      <c r="I68" s="77"/>
      <c r="J68" s="172" t="str">
        <f>IF(itens_Remanesc!A16="","",itens_Remanesc!A16)</f>
        <v/>
      </c>
      <c r="K68" s="173" t="str">
        <f>IF(J68="","",IF($F$4="C0",itens_Remanesc!B16,IF($F$4="C1",itens_Remanesc!E16,IF($F$4="C2",itens_Remanesc!G16,IF($F$4="C3",itens_Remanesc!I16,itens_Remanesc!K16)))))</f>
        <v/>
      </c>
      <c r="L68" s="173" t="str">
        <f>IF(J68="","",IF(SUMIF(itens_Consumidos!$A$2:$A$200,J68,itens_Consumidos!$B$2:$B$200)-SUMIF(itens_Consumidos!$A$2:$A$200,J68,itens_Consumidos!$O$2:$O$200)&lt;0,0,SUMIF(itens_Consumidos!$A$2:$A$200,J68,itens_Consumidos!$B$2:$B$200)-SUMIF(itens_Consumidos!$A$2:$A$200,J68,itens_Consumidos!$O$2:$O$200)))</f>
        <v/>
      </c>
      <c r="M68" s="176" t="str">
        <f>IF(J68="","",itens_Remanesc!C16)</f>
        <v/>
      </c>
      <c r="N68" s="176" t="str">
        <f>IF(J68="","",IF($F$4="C0",historico_VU!C16,IF($F$4="C1",historico_VU!D16,IF($F$4="C2",historico_VU!E16,IF($F$4="C3",historico_VU!F16,historico_VU!G16)))))</f>
        <v/>
      </c>
      <c r="O68" s="176" t="str">
        <f>IF(J68="","",IF(CONTROLE!$B$1="Principal",IF(OR(K68="",M68=""),"",ROUND(K68*M68,2)),IF(CONTROLE!$B$1="Itens Consumidos",IF(OR(L68="",M68=""),"",ROUND(L68*M68,2)),"")))</f>
        <v/>
      </c>
      <c r="P68" s="176" t="str">
        <f>IF(J68="","",IF(CONTROLE!$B$1="Principal",IF(OR(K68="",N68=""),"",ROUND(K68*N68,2)),IF(CONTROLE!$B$1="Itens Consumidos",IF(OR(L68="",N68=""),"",ROUND(L68*N68,2)),"")))</f>
        <v/>
      </c>
      <c r="Q68" s="177" t="str">
        <f>IF(J68="","",IF(OR(M68="",AND(CONTROLE!$B$1="Principal",K68=""),AND(CONTROLE!$B$1="Itens Consumidos",L68="")),"INCOMPLETO",IF(CONTROLE!$B$1="Pedidos de Compras","MANUAL",IF(AND(ISNUMBER(K68),ISNUMBER(L68),ABS(K68-L68)/MAX(ABS(IF(CONTROLE!$B$1="Principal",K68,L68)),1)&gt;$D$4),"DIVERGENTE","OK"))))</f>
        <v/>
      </c>
    </row>
    <row r="69" spans="1:17" x14ac:dyDescent="0.35">
      <c r="A69" s="172" t="str">
        <f>IF(historico_VU!A17="","",historico_VU!A17)</f>
        <v/>
      </c>
      <c r="B69" s="173" t="str">
        <f>IF(A69="","",historico_VU!B17)</f>
        <v/>
      </c>
      <c r="C69" s="174" t="str">
        <f>IF(A69="","",historico_VU!C17)</f>
        <v/>
      </c>
      <c r="D69" s="174" t="str">
        <f>IF(A69="","",historico_VU!D17)</f>
        <v/>
      </c>
      <c r="E69" s="174" t="str">
        <f>IF(A69="","",historico_VU!E17)</f>
        <v/>
      </c>
      <c r="F69" s="174" t="str">
        <f>IF(A69="","",historico_VU!F17)</f>
        <v/>
      </c>
      <c r="G69" s="174" t="str">
        <f>IF(A69="","",historico_VU!G17)</f>
        <v/>
      </c>
      <c r="H69" s="175" t="str">
        <f>IF(A69="","",historico_VU!H17)</f>
        <v/>
      </c>
      <c r="I69" s="77"/>
      <c r="J69" s="172" t="str">
        <f>IF(itens_Remanesc!A17="","",itens_Remanesc!A17)</f>
        <v/>
      </c>
      <c r="K69" s="173" t="str">
        <f>IF(J69="","",IF($F$4="C0",itens_Remanesc!B17,IF($F$4="C1",itens_Remanesc!E17,IF($F$4="C2",itens_Remanesc!G17,IF($F$4="C3",itens_Remanesc!I17,itens_Remanesc!K17)))))</f>
        <v/>
      </c>
      <c r="L69" s="173" t="str">
        <f>IF(J69="","",IF(SUMIF(itens_Consumidos!$A$2:$A$200,J69,itens_Consumidos!$B$2:$B$200)-SUMIF(itens_Consumidos!$A$2:$A$200,J69,itens_Consumidos!$O$2:$O$200)&lt;0,0,SUMIF(itens_Consumidos!$A$2:$A$200,J69,itens_Consumidos!$B$2:$B$200)-SUMIF(itens_Consumidos!$A$2:$A$200,J69,itens_Consumidos!$O$2:$O$200)))</f>
        <v/>
      </c>
      <c r="M69" s="176" t="str">
        <f>IF(J69="","",itens_Remanesc!C17)</f>
        <v/>
      </c>
      <c r="N69" s="176" t="str">
        <f>IF(J69="","",IF($F$4="C0",historico_VU!C17,IF($F$4="C1",historico_VU!D17,IF($F$4="C2",historico_VU!E17,IF($F$4="C3",historico_VU!F17,historico_VU!G17)))))</f>
        <v/>
      </c>
      <c r="O69" s="176" t="str">
        <f>IF(J69="","",IF(CONTROLE!$B$1="Principal",IF(OR(K69="",M69=""),"",ROUND(K69*M69,2)),IF(CONTROLE!$B$1="Itens Consumidos",IF(OR(L69="",M69=""),"",ROUND(L69*M69,2)),"")))</f>
        <v/>
      </c>
      <c r="P69" s="176" t="str">
        <f>IF(J69="","",IF(CONTROLE!$B$1="Principal",IF(OR(K69="",N69=""),"",ROUND(K69*N69,2)),IF(CONTROLE!$B$1="Itens Consumidos",IF(OR(L69="",N69=""),"",ROUND(L69*N69,2)),"")))</f>
        <v/>
      </c>
      <c r="Q69" s="177" t="str">
        <f>IF(J69="","",IF(OR(M69="",AND(CONTROLE!$B$1="Principal",K69=""),AND(CONTROLE!$B$1="Itens Consumidos",L69="")),"INCOMPLETO",IF(CONTROLE!$B$1="Pedidos de Compras","MANUAL",IF(AND(ISNUMBER(K69),ISNUMBER(L69),ABS(K69-L69)/MAX(ABS(IF(CONTROLE!$B$1="Principal",K69,L69)),1)&gt;$D$4),"DIVERGENTE","OK"))))</f>
        <v/>
      </c>
    </row>
    <row r="70" spans="1:17" x14ac:dyDescent="0.35">
      <c r="A70" s="172" t="str">
        <f>IF(historico_VU!A18="","",historico_VU!A18)</f>
        <v/>
      </c>
      <c r="B70" s="173" t="str">
        <f>IF(A70="","",historico_VU!B18)</f>
        <v/>
      </c>
      <c r="C70" s="174" t="str">
        <f>IF(A70="","",historico_VU!C18)</f>
        <v/>
      </c>
      <c r="D70" s="174" t="str">
        <f>IF(A70="","",historico_VU!D18)</f>
        <v/>
      </c>
      <c r="E70" s="174" t="str">
        <f>IF(A70="","",historico_VU!E18)</f>
        <v/>
      </c>
      <c r="F70" s="174" t="str">
        <f>IF(A70="","",historico_VU!F18)</f>
        <v/>
      </c>
      <c r="G70" s="174" t="str">
        <f>IF(A70="","",historico_VU!G18)</f>
        <v/>
      </c>
      <c r="H70" s="175" t="str">
        <f>IF(A70="","",historico_VU!H18)</f>
        <v/>
      </c>
      <c r="I70" s="77"/>
      <c r="J70" s="172" t="str">
        <f>IF(itens_Remanesc!A18="","",itens_Remanesc!A18)</f>
        <v/>
      </c>
      <c r="K70" s="173" t="str">
        <f>IF(J70="","",IF($F$4="C0",itens_Remanesc!B18,IF($F$4="C1",itens_Remanesc!E18,IF($F$4="C2",itens_Remanesc!G18,IF($F$4="C3",itens_Remanesc!I18,itens_Remanesc!K18)))))</f>
        <v/>
      </c>
      <c r="L70" s="173" t="str">
        <f>IF(J70="","",IF(SUMIF(itens_Consumidos!$A$2:$A$200,J70,itens_Consumidos!$B$2:$B$200)-SUMIF(itens_Consumidos!$A$2:$A$200,J70,itens_Consumidos!$O$2:$O$200)&lt;0,0,SUMIF(itens_Consumidos!$A$2:$A$200,J70,itens_Consumidos!$B$2:$B$200)-SUMIF(itens_Consumidos!$A$2:$A$200,J70,itens_Consumidos!$O$2:$O$200)))</f>
        <v/>
      </c>
      <c r="M70" s="176" t="str">
        <f>IF(J70="","",itens_Remanesc!C18)</f>
        <v/>
      </c>
      <c r="N70" s="176" t="str">
        <f>IF(J70="","",IF($F$4="C0",historico_VU!C18,IF($F$4="C1",historico_VU!D18,IF($F$4="C2",historico_VU!E18,IF($F$4="C3",historico_VU!F18,historico_VU!G18)))))</f>
        <v/>
      </c>
      <c r="O70" s="176" t="str">
        <f>IF(J70="","",IF(CONTROLE!$B$1="Principal",IF(OR(K70="",M70=""),"",ROUND(K70*M70,2)),IF(CONTROLE!$B$1="Itens Consumidos",IF(OR(L70="",M70=""),"",ROUND(L70*M70,2)),"")))</f>
        <v/>
      </c>
      <c r="P70" s="176" t="str">
        <f>IF(J70="","",IF(CONTROLE!$B$1="Principal",IF(OR(K70="",N70=""),"",ROUND(K70*N70,2)),IF(CONTROLE!$B$1="Itens Consumidos",IF(OR(L70="",N70=""),"",ROUND(L70*N70,2)),"")))</f>
        <v/>
      </c>
      <c r="Q70" s="177" t="str">
        <f>IF(J70="","",IF(OR(M70="",AND(CONTROLE!$B$1="Principal",K70=""),AND(CONTROLE!$B$1="Itens Consumidos",L70="")),"INCOMPLETO",IF(CONTROLE!$B$1="Pedidos de Compras","MANUAL",IF(AND(ISNUMBER(K70),ISNUMBER(L70),ABS(K70-L70)/MAX(ABS(IF(CONTROLE!$B$1="Principal",K70,L70)),1)&gt;$D$4),"DIVERGENTE","OK"))))</f>
        <v/>
      </c>
    </row>
    <row r="71" spans="1:17" x14ac:dyDescent="0.35">
      <c r="A71" s="172" t="str">
        <f>IF(historico_VU!A19="","",historico_VU!A19)</f>
        <v/>
      </c>
      <c r="B71" s="173" t="str">
        <f>IF(A71="","",historico_VU!B19)</f>
        <v/>
      </c>
      <c r="C71" s="174" t="str">
        <f>IF(A71="","",historico_VU!C19)</f>
        <v/>
      </c>
      <c r="D71" s="174" t="str">
        <f>IF(A71="","",historico_VU!D19)</f>
        <v/>
      </c>
      <c r="E71" s="174" t="str">
        <f>IF(A71="","",historico_VU!E19)</f>
        <v/>
      </c>
      <c r="F71" s="174" t="str">
        <f>IF(A71="","",historico_VU!F19)</f>
        <v/>
      </c>
      <c r="G71" s="174" t="str">
        <f>IF(A71="","",historico_VU!G19)</f>
        <v/>
      </c>
      <c r="H71" s="175" t="str">
        <f>IF(A71="","",historico_VU!H19)</f>
        <v/>
      </c>
      <c r="I71" s="77"/>
      <c r="J71" s="172" t="str">
        <f>IF(itens_Remanesc!A19="","",itens_Remanesc!A19)</f>
        <v/>
      </c>
      <c r="K71" s="173" t="str">
        <f>IF(J71="","",IF($F$4="C0",itens_Remanesc!B19,IF($F$4="C1",itens_Remanesc!E19,IF($F$4="C2",itens_Remanesc!G19,IF($F$4="C3",itens_Remanesc!I19,itens_Remanesc!K19)))))</f>
        <v/>
      </c>
      <c r="L71" s="173" t="str">
        <f>IF(J71="","",IF(SUMIF(itens_Consumidos!$A$2:$A$200,J71,itens_Consumidos!$B$2:$B$200)-SUMIF(itens_Consumidos!$A$2:$A$200,J71,itens_Consumidos!$O$2:$O$200)&lt;0,0,SUMIF(itens_Consumidos!$A$2:$A$200,J71,itens_Consumidos!$B$2:$B$200)-SUMIF(itens_Consumidos!$A$2:$A$200,J71,itens_Consumidos!$O$2:$O$200)))</f>
        <v/>
      </c>
      <c r="M71" s="176" t="str">
        <f>IF(J71="","",itens_Remanesc!C19)</f>
        <v/>
      </c>
      <c r="N71" s="176" t="str">
        <f>IF(J71="","",IF($F$4="C0",historico_VU!C19,IF($F$4="C1",historico_VU!D19,IF($F$4="C2",historico_VU!E19,IF($F$4="C3",historico_VU!F19,historico_VU!G19)))))</f>
        <v/>
      </c>
      <c r="O71" s="176" t="str">
        <f>IF(J71="","",IF(CONTROLE!$B$1="Principal",IF(OR(K71="",M71=""),"",ROUND(K71*M71,2)),IF(CONTROLE!$B$1="Itens Consumidos",IF(OR(L71="",M71=""),"",ROUND(L71*M71,2)),"")))</f>
        <v/>
      </c>
      <c r="P71" s="176" t="str">
        <f>IF(J71="","",IF(CONTROLE!$B$1="Principal",IF(OR(K71="",N71=""),"",ROUND(K71*N71,2)),IF(CONTROLE!$B$1="Itens Consumidos",IF(OR(L71="",N71=""),"",ROUND(L71*N71,2)),"")))</f>
        <v/>
      </c>
      <c r="Q71" s="177" t="str">
        <f>IF(J71="","",IF(OR(M71="",AND(CONTROLE!$B$1="Principal",K71=""),AND(CONTROLE!$B$1="Itens Consumidos",L71="")),"INCOMPLETO",IF(CONTROLE!$B$1="Pedidos de Compras","MANUAL",IF(AND(ISNUMBER(K71),ISNUMBER(L71),ABS(K71-L71)/MAX(ABS(IF(CONTROLE!$B$1="Principal",K71,L71)),1)&gt;$D$4),"DIVERGENTE","OK"))))</f>
        <v/>
      </c>
    </row>
    <row r="72" spans="1:17" x14ac:dyDescent="0.35">
      <c r="A72" s="172" t="str">
        <f>IF(historico_VU!A20="","",historico_VU!A20)</f>
        <v/>
      </c>
      <c r="B72" s="173" t="str">
        <f>IF(A72="","",historico_VU!B20)</f>
        <v/>
      </c>
      <c r="C72" s="174" t="str">
        <f>IF(A72="","",historico_VU!C20)</f>
        <v/>
      </c>
      <c r="D72" s="174" t="str">
        <f>IF(A72="","",historico_VU!D20)</f>
        <v/>
      </c>
      <c r="E72" s="174" t="str">
        <f>IF(A72="","",historico_VU!E20)</f>
        <v/>
      </c>
      <c r="F72" s="174" t="str">
        <f>IF(A72="","",historico_VU!F20)</f>
        <v/>
      </c>
      <c r="G72" s="174" t="str">
        <f>IF(A72="","",historico_VU!G20)</f>
        <v/>
      </c>
      <c r="H72" s="175" t="str">
        <f>IF(A72="","",historico_VU!H20)</f>
        <v/>
      </c>
      <c r="I72" s="77"/>
      <c r="J72" s="172" t="str">
        <f>IF(itens_Remanesc!A20="","",itens_Remanesc!A20)</f>
        <v/>
      </c>
      <c r="K72" s="173" t="str">
        <f>IF(J72="","",IF($F$4="C0",itens_Remanesc!B20,IF($F$4="C1",itens_Remanesc!E20,IF($F$4="C2",itens_Remanesc!G20,IF($F$4="C3",itens_Remanesc!I20,itens_Remanesc!K20)))))</f>
        <v/>
      </c>
      <c r="L72" s="173" t="str">
        <f>IF(J72="","",IF(SUMIF(itens_Consumidos!$A$2:$A$200,J72,itens_Consumidos!$B$2:$B$200)-SUMIF(itens_Consumidos!$A$2:$A$200,J72,itens_Consumidos!$O$2:$O$200)&lt;0,0,SUMIF(itens_Consumidos!$A$2:$A$200,J72,itens_Consumidos!$B$2:$B$200)-SUMIF(itens_Consumidos!$A$2:$A$200,J72,itens_Consumidos!$O$2:$O$200)))</f>
        <v/>
      </c>
      <c r="M72" s="176" t="str">
        <f>IF(J72="","",itens_Remanesc!C20)</f>
        <v/>
      </c>
      <c r="N72" s="176" t="str">
        <f>IF(J72="","",IF($F$4="C0",historico_VU!C20,IF($F$4="C1",historico_VU!D20,IF($F$4="C2",historico_VU!E20,IF($F$4="C3",historico_VU!F20,historico_VU!G20)))))</f>
        <v/>
      </c>
      <c r="O72" s="176" t="str">
        <f>IF(J72="","",IF(CONTROLE!$B$1="Principal",IF(OR(K72="",M72=""),"",ROUND(K72*M72,2)),IF(CONTROLE!$B$1="Itens Consumidos",IF(OR(L72="",M72=""),"",ROUND(L72*M72,2)),"")))</f>
        <v/>
      </c>
      <c r="P72" s="176" t="str">
        <f>IF(J72="","",IF(CONTROLE!$B$1="Principal",IF(OR(K72="",N72=""),"",ROUND(K72*N72,2)),IF(CONTROLE!$B$1="Itens Consumidos",IF(OR(L72="",N72=""),"",ROUND(L72*N72,2)),"")))</f>
        <v/>
      </c>
      <c r="Q72" s="177" t="str">
        <f>IF(J72="","",IF(OR(M72="",AND(CONTROLE!$B$1="Principal",K72=""),AND(CONTROLE!$B$1="Itens Consumidos",L72="")),"INCOMPLETO",IF(CONTROLE!$B$1="Pedidos de Compras","MANUAL",IF(AND(ISNUMBER(K72),ISNUMBER(L72),ABS(K72-L72)/MAX(ABS(IF(CONTROLE!$B$1="Principal",K72,L72)),1)&gt;$D$4),"DIVERGENTE","OK"))))</f>
        <v/>
      </c>
    </row>
    <row r="73" spans="1:17" x14ac:dyDescent="0.35">
      <c r="A73" s="172" t="str">
        <f>IF(historico_VU!A21="","",historico_VU!A21)</f>
        <v/>
      </c>
      <c r="B73" s="173" t="str">
        <f>IF(A73="","",historico_VU!B21)</f>
        <v/>
      </c>
      <c r="C73" s="174" t="str">
        <f>IF(A73="","",historico_VU!C21)</f>
        <v/>
      </c>
      <c r="D73" s="174" t="str">
        <f>IF(A73="","",historico_VU!D21)</f>
        <v/>
      </c>
      <c r="E73" s="174" t="str">
        <f>IF(A73="","",historico_VU!E21)</f>
        <v/>
      </c>
      <c r="F73" s="174" t="str">
        <f>IF(A73="","",historico_VU!F21)</f>
        <v/>
      </c>
      <c r="G73" s="174" t="str">
        <f>IF(A73="","",historico_VU!G21)</f>
        <v/>
      </c>
      <c r="H73" s="175" t="str">
        <f>IF(A73="","",historico_VU!H21)</f>
        <v/>
      </c>
      <c r="I73" s="77"/>
      <c r="J73" s="172" t="str">
        <f>IF(itens_Remanesc!A21="","",itens_Remanesc!A21)</f>
        <v/>
      </c>
      <c r="K73" s="173" t="str">
        <f>IF(J73="","",IF($F$4="C0",itens_Remanesc!B21,IF($F$4="C1",itens_Remanesc!E21,IF($F$4="C2",itens_Remanesc!G21,IF($F$4="C3",itens_Remanesc!I21,itens_Remanesc!K21)))))</f>
        <v/>
      </c>
      <c r="L73" s="173" t="str">
        <f>IF(J73="","",IF(SUMIF(itens_Consumidos!$A$2:$A$200,J73,itens_Consumidos!$B$2:$B$200)-SUMIF(itens_Consumidos!$A$2:$A$200,J73,itens_Consumidos!$O$2:$O$200)&lt;0,0,SUMIF(itens_Consumidos!$A$2:$A$200,J73,itens_Consumidos!$B$2:$B$200)-SUMIF(itens_Consumidos!$A$2:$A$200,J73,itens_Consumidos!$O$2:$O$200)))</f>
        <v/>
      </c>
      <c r="M73" s="176" t="str">
        <f>IF(J73="","",itens_Remanesc!C21)</f>
        <v/>
      </c>
      <c r="N73" s="176" t="str">
        <f>IF(J73="","",IF($F$4="C0",historico_VU!C21,IF($F$4="C1",historico_VU!D21,IF($F$4="C2",historico_VU!E21,IF($F$4="C3",historico_VU!F21,historico_VU!G21)))))</f>
        <v/>
      </c>
      <c r="O73" s="176" t="str">
        <f>IF(J73="","",IF(CONTROLE!$B$1="Principal",IF(OR(K73="",M73=""),"",ROUND(K73*M73,2)),IF(CONTROLE!$B$1="Itens Consumidos",IF(OR(L73="",M73=""),"",ROUND(L73*M73,2)),"")))</f>
        <v/>
      </c>
      <c r="P73" s="176" t="str">
        <f>IF(J73="","",IF(CONTROLE!$B$1="Principal",IF(OR(K73="",N73=""),"",ROUND(K73*N73,2)),IF(CONTROLE!$B$1="Itens Consumidos",IF(OR(L73="",N73=""),"",ROUND(L73*N73,2)),"")))</f>
        <v/>
      </c>
      <c r="Q73" s="177" t="str">
        <f>IF(J73="","",IF(OR(M73="",AND(CONTROLE!$B$1="Principal",K73=""),AND(CONTROLE!$B$1="Itens Consumidos",L73="")),"INCOMPLETO",IF(CONTROLE!$B$1="Pedidos de Compras","MANUAL",IF(AND(ISNUMBER(K73),ISNUMBER(L73),ABS(K73-L73)/MAX(ABS(IF(CONTROLE!$B$1="Principal",K73,L73)),1)&gt;$D$4),"DIVERGENTE","OK"))))</f>
        <v/>
      </c>
    </row>
    <row r="74" spans="1:17" x14ac:dyDescent="0.35">
      <c r="A74" s="172" t="str">
        <f>IF(historico_VU!A22="","",historico_VU!A22)</f>
        <v/>
      </c>
      <c r="B74" s="173" t="str">
        <f>IF(A74="","",historico_VU!B22)</f>
        <v/>
      </c>
      <c r="C74" s="174" t="str">
        <f>IF(A74="","",historico_VU!C22)</f>
        <v/>
      </c>
      <c r="D74" s="174" t="str">
        <f>IF(A74="","",historico_VU!D22)</f>
        <v/>
      </c>
      <c r="E74" s="174" t="str">
        <f>IF(A74="","",historico_VU!E22)</f>
        <v/>
      </c>
      <c r="F74" s="174" t="str">
        <f>IF(A74="","",historico_VU!F22)</f>
        <v/>
      </c>
      <c r="G74" s="174" t="str">
        <f>IF(A74="","",historico_VU!G22)</f>
        <v/>
      </c>
      <c r="H74" s="175" t="str">
        <f>IF(A74="","",historico_VU!H22)</f>
        <v/>
      </c>
      <c r="I74" s="77"/>
      <c r="J74" s="172" t="str">
        <f>IF(itens_Remanesc!A22="","",itens_Remanesc!A22)</f>
        <v/>
      </c>
      <c r="K74" s="173" t="str">
        <f>IF(J74="","",IF($F$4="C0",itens_Remanesc!B22,IF($F$4="C1",itens_Remanesc!E22,IF($F$4="C2",itens_Remanesc!G22,IF($F$4="C3",itens_Remanesc!I22,itens_Remanesc!K22)))))</f>
        <v/>
      </c>
      <c r="L74" s="173" t="str">
        <f>IF(J74="","",IF(SUMIF(itens_Consumidos!$A$2:$A$200,J74,itens_Consumidos!$B$2:$B$200)-SUMIF(itens_Consumidos!$A$2:$A$200,J74,itens_Consumidos!$O$2:$O$200)&lt;0,0,SUMIF(itens_Consumidos!$A$2:$A$200,J74,itens_Consumidos!$B$2:$B$200)-SUMIF(itens_Consumidos!$A$2:$A$200,J74,itens_Consumidos!$O$2:$O$200)))</f>
        <v/>
      </c>
      <c r="M74" s="176" t="str">
        <f>IF(J74="","",itens_Remanesc!C22)</f>
        <v/>
      </c>
      <c r="N74" s="176" t="str">
        <f>IF(J74="","",IF($F$4="C0",historico_VU!C22,IF($F$4="C1",historico_VU!D22,IF($F$4="C2",historico_VU!E22,IF($F$4="C3",historico_VU!F22,historico_VU!G22)))))</f>
        <v/>
      </c>
      <c r="O74" s="176" t="str">
        <f>IF(J74="","",IF(CONTROLE!$B$1="Principal",IF(OR(K74="",M74=""),"",ROUND(K74*M74,2)),IF(CONTROLE!$B$1="Itens Consumidos",IF(OR(L74="",M74=""),"",ROUND(L74*M74,2)),"")))</f>
        <v/>
      </c>
      <c r="P74" s="176" t="str">
        <f>IF(J74="","",IF(CONTROLE!$B$1="Principal",IF(OR(K74="",N74=""),"",ROUND(K74*N74,2)),IF(CONTROLE!$B$1="Itens Consumidos",IF(OR(L74="",N74=""),"",ROUND(L74*N74,2)),"")))</f>
        <v/>
      </c>
      <c r="Q74" s="177" t="str">
        <f>IF(J74="","",IF(OR(M74="",AND(CONTROLE!$B$1="Principal",K74=""),AND(CONTROLE!$B$1="Itens Consumidos",L74="")),"INCOMPLETO",IF(CONTROLE!$B$1="Pedidos de Compras","MANUAL",IF(AND(ISNUMBER(K74),ISNUMBER(L74),ABS(K74-L74)/MAX(ABS(IF(CONTROLE!$B$1="Principal",K74,L74)),1)&gt;$D$4),"DIVERGENTE","OK"))))</f>
        <v/>
      </c>
    </row>
    <row r="75" spans="1:17" x14ac:dyDescent="0.35">
      <c r="A75" s="172" t="str">
        <f>IF(historico_VU!A23="","",historico_VU!A23)</f>
        <v/>
      </c>
      <c r="B75" s="173" t="str">
        <f>IF(A75="","",historico_VU!B23)</f>
        <v/>
      </c>
      <c r="C75" s="174" t="str">
        <f>IF(A75="","",historico_VU!C23)</f>
        <v/>
      </c>
      <c r="D75" s="174" t="str">
        <f>IF(A75="","",historico_VU!D23)</f>
        <v/>
      </c>
      <c r="E75" s="174" t="str">
        <f>IF(A75="","",historico_VU!E23)</f>
        <v/>
      </c>
      <c r="F75" s="174" t="str">
        <f>IF(A75="","",historico_VU!F23)</f>
        <v/>
      </c>
      <c r="G75" s="174" t="str">
        <f>IF(A75="","",historico_VU!G23)</f>
        <v/>
      </c>
      <c r="H75" s="175" t="str">
        <f>IF(A75="","",historico_VU!H23)</f>
        <v/>
      </c>
      <c r="I75" s="77"/>
      <c r="J75" s="172" t="str">
        <f>IF(itens_Remanesc!A23="","",itens_Remanesc!A23)</f>
        <v/>
      </c>
      <c r="K75" s="173" t="str">
        <f>IF(J75="","",IF($F$4="C0",itens_Remanesc!B23,IF($F$4="C1",itens_Remanesc!E23,IF($F$4="C2",itens_Remanesc!G23,IF($F$4="C3",itens_Remanesc!I23,itens_Remanesc!K23)))))</f>
        <v/>
      </c>
      <c r="L75" s="173" t="str">
        <f>IF(J75="","",IF(SUMIF(itens_Consumidos!$A$2:$A$200,J75,itens_Consumidos!$B$2:$B$200)-SUMIF(itens_Consumidos!$A$2:$A$200,J75,itens_Consumidos!$O$2:$O$200)&lt;0,0,SUMIF(itens_Consumidos!$A$2:$A$200,J75,itens_Consumidos!$B$2:$B$200)-SUMIF(itens_Consumidos!$A$2:$A$200,J75,itens_Consumidos!$O$2:$O$200)))</f>
        <v/>
      </c>
      <c r="M75" s="176" t="str">
        <f>IF(J75="","",itens_Remanesc!C23)</f>
        <v/>
      </c>
      <c r="N75" s="176" t="str">
        <f>IF(J75="","",IF($F$4="C0",historico_VU!C23,IF($F$4="C1",historico_VU!D23,IF($F$4="C2",historico_VU!E23,IF($F$4="C3",historico_VU!F23,historico_VU!G23)))))</f>
        <v/>
      </c>
      <c r="O75" s="176" t="str">
        <f>IF(J75="","",IF(CONTROLE!$B$1="Principal",IF(OR(K75="",M75=""),"",ROUND(K75*M75,2)),IF(CONTROLE!$B$1="Itens Consumidos",IF(OR(L75="",M75=""),"",ROUND(L75*M75,2)),"")))</f>
        <v/>
      </c>
      <c r="P75" s="176" t="str">
        <f>IF(J75="","",IF(CONTROLE!$B$1="Principal",IF(OR(K75="",N75=""),"",ROUND(K75*N75,2)),IF(CONTROLE!$B$1="Itens Consumidos",IF(OR(L75="",N75=""),"",ROUND(L75*N75,2)),"")))</f>
        <v/>
      </c>
      <c r="Q75" s="177" t="str">
        <f>IF(J75="","",IF(OR(M75="",AND(CONTROLE!$B$1="Principal",K75=""),AND(CONTROLE!$B$1="Itens Consumidos",L75="")),"INCOMPLETO",IF(CONTROLE!$B$1="Pedidos de Compras","MANUAL",IF(AND(ISNUMBER(K75),ISNUMBER(L75),ABS(K75-L75)/MAX(ABS(IF(CONTROLE!$B$1="Principal",K75,L75)),1)&gt;$D$4),"DIVERGENTE","OK"))))</f>
        <v/>
      </c>
    </row>
    <row r="76" spans="1:17" x14ac:dyDescent="0.35">
      <c r="A76" s="172" t="str">
        <f>IF(historico_VU!A24="","",historico_VU!A24)</f>
        <v/>
      </c>
      <c r="B76" s="173" t="str">
        <f>IF(A76="","",historico_VU!B24)</f>
        <v/>
      </c>
      <c r="C76" s="174" t="str">
        <f>IF(A76="","",historico_VU!C24)</f>
        <v/>
      </c>
      <c r="D76" s="174" t="str">
        <f>IF(A76="","",historico_VU!D24)</f>
        <v/>
      </c>
      <c r="E76" s="174" t="str">
        <f>IF(A76="","",historico_VU!E24)</f>
        <v/>
      </c>
      <c r="F76" s="174" t="str">
        <f>IF(A76="","",historico_VU!F24)</f>
        <v/>
      </c>
      <c r="G76" s="174" t="str">
        <f>IF(A76="","",historico_VU!G24)</f>
        <v/>
      </c>
      <c r="H76" s="175" t="str">
        <f>IF(A76="","",historico_VU!H24)</f>
        <v/>
      </c>
      <c r="I76" s="77"/>
      <c r="J76" s="172" t="str">
        <f>IF(itens_Remanesc!A24="","",itens_Remanesc!A24)</f>
        <v/>
      </c>
      <c r="K76" s="173" t="str">
        <f>IF(J76="","",IF($F$4="C0",itens_Remanesc!B24,IF($F$4="C1",itens_Remanesc!E24,IF($F$4="C2",itens_Remanesc!G24,IF($F$4="C3",itens_Remanesc!I24,itens_Remanesc!K24)))))</f>
        <v/>
      </c>
      <c r="L76" s="173" t="str">
        <f>IF(J76="","",IF(SUMIF(itens_Consumidos!$A$2:$A$200,J76,itens_Consumidos!$B$2:$B$200)-SUMIF(itens_Consumidos!$A$2:$A$200,J76,itens_Consumidos!$O$2:$O$200)&lt;0,0,SUMIF(itens_Consumidos!$A$2:$A$200,J76,itens_Consumidos!$B$2:$B$200)-SUMIF(itens_Consumidos!$A$2:$A$200,J76,itens_Consumidos!$O$2:$O$200)))</f>
        <v/>
      </c>
      <c r="M76" s="176" t="str">
        <f>IF(J76="","",itens_Remanesc!C24)</f>
        <v/>
      </c>
      <c r="N76" s="176" t="str">
        <f>IF(J76="","",IF($F$4="C0",historico_VU!C24,IF($F$4="C1",historico_VU!D24,IF($F$4="C2",historico_VU!E24,IF($F$4="C3",historico_VU!F24,historico_VU!G24)))))</f>
        <v/>
      </c>
      <c r="O76" s="176" t="str">
        <f>IF(J76="","",IF(CONTROLE!$B$1="Principal",IF(OR(K76="",M76=""),"",ROUND(K76*M76,2)),IF(CONTROLE!$B$1="Itens Consumidos",IF(OR(L76="",M76=""),"",ROUND(L76*M76,2)),"")))</f>
        <v/>
      </c>
      <c r="P76" s="176" t="str">
        <f>IF(J76="","",IF(CONTROLE!$B$1="Principal",IF(OR(K76="",N76=""),"",ROUND(K76*N76,2)),IF(CONTROLE!$B$1="Itens Consumidos",IF(OR(L76="",N76=""),"",ROUND(L76*N76,2)),"")))</f>
        <v/>
      </c>
      <c r="Q76" s="177" t="str">
        <f>IF(J76="","",IF(OR(M76="",AND(CONTROLE!$B$1="Principal",K76=""),AND(CONTROLE!$B$1="Itens Consumidos",L76="")),"INCOMPLETO",IF(CONTROLE!$B$1="Pedidos de Compras","MANUAL",IF(AND(ISNUMBER(K76),ISNUMBER(L76),ABS(K76-L76)/MAX(ABS(IF(CONTROLE!$B$1="Principal",K76,L76)),1)&gt;$D$4),"DIVERGENTE","OK"))))</f>
        <v/>
      </c>
    </row>
    <row r="77" spans="1:17" x14ac:dyDescent="0.35">
      <c r="A77" s="172" t="str">
        <f>IF(historico_VU!A25="","",historico_VU!A25)</f>
        <v/>
      </c>
      <c r="B77" s="173" t="str">
        <f>IF(A77="","",historico_VU!B25)</f>
        <v/>
      </c>
      <c r="C77" s="174" t="str">
        <f>IF(A77="","",historico_VU!C25)</f>
        <v/>
      </c>
      <c r="D77" s="174" t="str">
        <f>IF(A77="","",historico_VU!D25)</f>
        <v/>
      </c>
      <c r="E77" s="174" t="str">
        <f>IF(A77="","",historico_VU!E25)</f>
        <v/>
      </c>
      <c r="F77" s="174" t="str">
        <f>IF(A77="","",historico_VU!F25)</f>
        <v/>
      </c>
      <c r="G77" s="174" t="str">
        <f>IF(A77="","",historico_VU!G25)</f>
        <v/>
      </c>
      <c r="H77" s="175" t="str">
        <f>IF(A77="","",historico_VU!H25)</f>
        <v/>
      </c>
      <c r="I77" s="77"/>
      <c r="J77" s="172" t="str">
        <f>IF(itens_Remanesc!A25="","",itens_Remanesc!A25)</f>
        <v/>
      </c>
      <c r="K77" s="173" t="str">
        <f>IF(J77="","",IF($F$4="C0",itens_Remanesc!B25,IF($F$4="C1",itens_Remanesc!E25,IF($F$4="C2",itens_Remanesc!G25,IF($F$4="C3",itens_Remanesc!I25,itens_Remanesc!K25)))))</f>
        <v/>
      </c>
      <c r="L77" s="173" t="str">
        <f>IF(J77="","",IF(SUMIF(itens_Consumidos!$A$2:$A$200,J77,itens_Consumidos!$B$2:$B$200)-SUMIF(itens_Consumidos!$A$2:$A$200,J77,itens_Consumidos!$O$2:$O$200)&lt;0,0,SUMIF(itens_Consumidos!$A$2:$A$200,J77,itens_Consumidos!$B$2:$B$200)-SUMIF(itens_Consumidos!$A$2:$A$200,J77,itens_Consumidos!$O$2:$O$200)))</f>
        <v/>
      </c>
      <c r="M77" s="176" t="str">
        <f>IF(J77="","",itens_Remanesc!C25)</f>
        <v/>
      </c>
      <c r="N77" s="176" t="str">
        <f>IF(J77="","",IF($F$4="C0",historico_VU!C25,IF($F$4="C1",historico_VU!D25,IF($F$4="C2",historico_VU!E25,IF($F$4="C3",historico_VU!F25,historico_VU!G25)))))</f>
        <v/>
      </c>
      <c r="O77" s="176" t="str">
        <f>IF(J77="","",IF(CONTROLE!$B$1="Principal",IF(OR(K77="",M77=""),"",ROUND(K77*M77,2)),IF(CONTROLE!$B$1="Itens Consumidos",IF(OR(L77="",M77=""),"",ROUND(L77*M77,2)),"")))</f>
        <v/>
      </c>
      <c r="P77" s="176" t="str">
        <f>IF(J77="","",IF(CONTROLE!$B$1="Principal",IF(OR(K77="",N77=""),"",ROUND(K77*N77,2)),IF(CONTROLE!$B$1="Itens Consumidos",IF(OR(L77="",N77=""),"",ROUND(L77*N77,2)),"")))</f>
        <v/>
      </c>
      <c r="Q77" s="177" t="str">
        <f>IF(J77="","",IF(OR(M77="",AND(CONTROLE!$B$1="Principal",K77=""),AND(CONTROLE!$B$1="Itens Consumidos",L77="")),"INCOMPLETO",IF(CONTROLE!$B$1="Pedidos de Compras","MANUAL",IF(AND(ISNUMBER(K77),ISNUMBER(L77),ABS(K77-L77)/MAX(ABS(IF(CONTROLE!$B$1="Principal",K77,L77)),1)&gt;$D$4),"DIVERGENTE","OK"))))</f>
        <v/>
      </c>
    </row>
    <row r="78" spans="1:17" x14ac:dyDescent="0.35">
      <c r="A78" s="172" t="str">
        <f>IF(historico_VU!A26="","",historico_VU!A26)</f>
        <v/>
      </c>
      <c r="B78" s="173" t="str">
        <f>IF(A78="","",historico_VU!B26)</f>
        <v/>
      </c>
      <c r="C78" s="174" t="str">
        <f>IF(A78="","",historico_VU!C26)</f>
        <v/>
      </c>
      <c r="D78" s="174" t="str">
        <f>IF(A78="","",historico_VU!D26)</f>
        <v/>
      </c>
      <c r="E78" s="174" t="str">
        <f>IF(A78="","",historico_VU!E26)</f>
        <v/>
      </c>
      <c r="F78" s="174" t="str">
        <f>IF(A78="","",historico_VU!F26)</f>
        <v/>
      </c>
      <c r="G78" s="174" t="str">
        <f>IF(A78="","",historico_VU!G26)</f>
        <v/>
      </c>
      <c r="H78" s="175" t="str">
        <f>IF(A78="","",historico_VU!H26)</f>
        <v/>
      </c>
      <c r="I78" s="77"/>
      <c r="J78" s="172" t="str">
        <f>IF(itens_Remanesc!A26="","",itens_Remanesc!A26)</f>
        <v/>
      </c>
      <c r="K78" s="173" t="str">
        <f>IF(J78="","",IF($F$4="C0",itens_Remanesc!B26,IF($F$4="C1",itens_Remanesc!E26,IF($F$4="C2",itens_Remanesc!G26,IF($F$4="C3",itens_Remanesc!I26,itens_Remanesc!K26)))))</f>
        <v/>
      </c>
      <c r="L78" s="173" t="str">
        <f>IF(J78="","",IF(SUMIF(itens_Consumidos!$A$2:$A$200,J78,itens_Consumidos!$B$2:$B$200)-SUMIF(itens_Consumidos!$A$2:$A$200,J78,itens_Consumidos!$O$2:$O$200)&lt;0,0,SUMIF(itens_Consumidos!$A$2:$A$200,J78,itens_Consumidos!$B$2:$B$200)-SUMIF(itens_Consumidos!$A$2:$A$200,J78,itens_Consumidos!$O$2:$O$200)))</f>
        <v/>
      </c>
      <c r="M78" s="176" t="str">
        <f>IF(J78="","",itens_Remanesc!C26)</f>
        <v/>
      </c>
      <c r="N78" s="176" t="str">
        <f>IF(J78="","",IF($F$4="C0",historico_VU!C26,IF($F$4="C1",historico_VU!D26,IF($F$4="C2",historico_VU!E26,IF($F$4="C3",historico_VU!F26,historico_VU!G26)))))</f>
        <v/>
      </c>
      <c r="O78" s="176" t="str">
        <f>IF(J78="","",IF(CONTROLE!$B$1="Principal",IF(OR(K78="",M78=""),"",ROUND(K78*M78,2)),IF(CONTROLE!$B$1="Itens Consumidos",IF(OR(L78="",M78=""),"",ROUND(L78*M78,2)),"")))</f>
        <v/>
      </c>
      <c r="P78" s="176" t="str">
        <f>IF(J78="","",IF(CONTROLE!$B$1="Principal",IF(OR(K78="",N78=""),"",ROUND(K78*N78,2)),IF(CONTROLE!$B$1="Itens Consumidos",IF(OR(L78="",N78=""),"",ROUND(L78*N78,2)),"")))</f>
        <v/>
      </c>
      <c r="Q78" s="177" t="str">
        <f>IF(J78="","",IF(OR(M78="",AND(CONTROLE!$B$1="Principal",K78=""),AND(CONTROLE!$B$1="Itens Consumidos",L78="")),"INCOMPLETO",IF(CONTROLE!$B$1="Pedidos de Compras","MANUAL",IF(AND(ISNUMBER(K78),ISNUMBER(L78),ABS(K78-L78)/MAX(ABS(IF(CONTROLE!$B$1="Principal",K78,L78)),1)&gt;$D$4),"DIVERGENTE","OK"))))</f>
        <v/>
      </c>
    </row>
    <row r="79" spans="1:17" x14ac:dyDescent="0.35">
      <c r="A79" s="172" t="str">
        <f>IF(historico_VU!A27="","",historico_VU!A27)</f>
        <v/>
      </c>
      <c r="B79" s="173" t="str">
        <f>IF(A79="","",historico_VU!B27)</f>
        <v/>
      </c>
      <c r="C79" s="174" t="str">
        <f>IF(A79="","",historico_VU!C27)</f>
        <v/>
      </c>
      <c r="D79" s="174" t="str">
        <f>IF(A79="","",historico_VU!D27)</f>
        <v/>
      </c>
      <c r="E79" s="174" t="str">
        <f>IF(A79="","",historico_VU!E27)</f>
        <v/>
      </c>
      <c r="F79" s="174" t="str">
        <f>IF(A79="","",historico_VU!F27)</f>
        <v/>
      </c>
      <c r="G79" s="174" t="str">
        <f>IF(A79="","",historico_VU!G27)</f>
        <v/>
      </c>
      <c r="H79" s="175" t="str">
        <f>IF(A79="","",historico_VU!H27)</f>
        <v/>
      </c>
      <c r="I79" s="77"/>
      <c r="J79" s="172" t="str">
        <f>IF(itens_Remanesc!A27="","",itens_Remanesc!A27)</f>
        <v/>
      </c>
      <c r="K79" s="173" t="str">
        <f>IF(J79="","",IF($F$4="C0",itens_Remanesc!B27,IF($F$4="C1",itens_Remanesc!E27,IF($F$4="C2",itens_Remanesc!G27,IF($F$4="C3",itens_Remanesc!I27,itens_Remanesc!K27)))))</f>
        <v/>
      </c>
      <c r="L79" s="173" t="str">
        <f>IF(J79="","",IF(SUMIF(itens_Consumidos!$A$2:$A$200,J79,itens_Consumidos!$B$2:$B$200)-SUMIF(itens_Consumidos!$A$2:$A$200,J79,itens_Consumidos!$O$2:$O$200)&lt;0,0,SUMIF(itens_Consumidos!$A$2:$A$200,J79,itens_Consumidos!$B$2:$B$200)-SUMIF(itens_Consumidos!$A$2:$A$200,J79,itens_Consumidos!$O$2:$O$200)))</f>
        <v/>
      </c>
      <c r="M79" s="176" t="str">
        <f>IF(J79="","",itens_Remanesc!C27)</f>
        <v/>
      </c>
      <c r="N79" s="176" t="str">
        <f>IF(J79="","",IF($F$4="C0",historico_VU!C27,IF($F$4="C1",historico_VU!D27,IF($F$4="C2",historico_VU!E27,IF($F$4="C3",historico_VU!F27,historico_VU!G27)))))</f>
        <v/>
      </c>
      <c r="O79" s="176" t="str">
        <f>IF(J79="","",IF(CONTROLE!$B$1="Principal",IF(OR(K79="",M79=""),"",ROUND(K79*M79,2)),IF(CONTROLE!$B$1="Itens Consumidos",IF(OR(L79="",M79=""),"",ROUND(L79*M79,2)),"")))</f>
        <v/>
      </c>
      <c r="P79" s="176" t="str">
        <f>IF(J79="","",IF(CONTROLE!$B$1="Principal",IF(OR(K79="",N79=""),"",ROUND(K79*N79,2)),IF(CONTROLE!$B$1="Itens Consumidos",IF(OR(L79="",N79=""),"",ROUND(L79*N79,2)),"")))</f>
        <v/>
      </c>
      <c r="Q79" s="177" t="str">
        <f>IF(J79="","",IF(OR(M79="",AND(CONTROLE!$B$1="Principal",K79=""),AND(CONTROLE!$B$1="Itens Consumidos",L79="")),"INCOMPLETO",IF(CONTROLE!$B$1="Pedidos de Compras","MANUAL",IF(AND(ISNUMBER(K79),ISNUMBER(L79),ABS(K79-L79)/MAX(ABS(IF(CONTROLE!$B$1="Principal",K79,L79)),1)&gt;$D$4),"DIVERGENTE","OK"))))</f>
        <v/>
      </c>
    </row>
    <row r="80" spans="1:17" x14ac:dyDescent="0.35">
      <c r="A80" s="172" t="str">
        <f>IF(historico_VU!A28="","",historico_VU!A28)</f>
        <v/>
      </c>
      <c r="B80" s="173" t="str">
        <f>IF(A80="","",historico_VU!B28)</f>
        <v/>
      </c>
      <c r="C80" s="174" t="str">
        <f>IF(A80="","",historico_VU!C28)</f>
        <v/>
      </c>
      <c r="D80" s="174" t="str">
        <f>IF(A80="","",historico_VU!D28)</f>
        <v/>
      </c>
      <c r="E80" s="174" t="str">
        <f>IF(A80="","",historico_VU!E28)</f>
        <v/>
      </c>
      <c r="F80" s="174" t="str">
        <f>IF(A80="","",historico_VU!F28)</f>
        <v/>
      </c>
      <c r="G80" s="174" t="str">
        <f>IF(A80="","",historico_VU!G28)</f>
        <v/>
      </c>
      <c r="H80" s="175" t="str">
        <f>IF(A80="","",historico_VU!H28)</f>
        <v/>
      </c>
      <c r="I80" s="77"/>
      <c r="J80" s="172" t="str">
        <f>IF(itens_Remanesc!A28="","",itens_Remanesc!A28)</f>
        <v/>
      </c>
      <c r="K80" s="173" t="str">
        <f>IF(J80="","",IF($F$4="C0",itens_Remanesc!B28,IF($F$4="C1",itens_Remanesc!E28,IF($F$4="C2",itens_Remanesc!G28,IF($F$4="C3",itens_Remanesc!I28,itens_Remanesc!K28)))))</f>
        <v/>
      </c>
      <c r="L80" s="173" t="str">
        <f>IF(J80="","",IF(SUMIF(itens_Consumidos!$A$2:$A$200,J80,itens_Consumidos!$B$2:$B$200)-SUMIF(itens_Consumidos!$A$2:$A$200,J80,itens_Consumidos!$O$2:$O$200)&lt;0,0,SUMIF(itens_Consumidos!$A$2:$A$200,J80,itens_Consumidos!$B$2:$B$200)-SUMIF(itens_Consumidos!$A$2:$A$200,J80,itens_Consumidos!$O$2:$O$200)))</f>
        <v/>
      </c>
      <c r="M80" s="176" t="str">
        <f>IF(J80="","",itens_Remanesc!C28)</f>
        <v/>
      </c>
      <c r="N80" s="176" t="str">
        <f>IF(J80="","",IF($F$4="C0",historico_VU!C28,IF($F$4="C1",historico_VU!D28,IF($F$4="C2",historico_VU!E28,IF($F$4="C3",historico_VU!F28,historico_VU!G28)))))</f>
        <v/>
      </c>
      <c r="O80" s="176" t="str">
        <f>IF(J80="","",IF(CONTROLE!$B$1="Principal",IF(OR(K80="",M80=""),"",ROUND(K80*M80,2)),IF(CONTROLE!$B$1="Itens Consumidos",IF(OR(L80="",M80=""),"",ROUND(L80*M80,2)),"")))</f>
        <v/>
      </c>
      <c r="P80" s="176" t="str">
        <f>IF(J80="","",IF(CONTROLE!$B$1="Principal",IF(OR(K80="",N80=""),"",ROUND(K80*N80,2)),IF(CONTROLE!$B$1="Itens Consumidos",IF(OR(L80="",N80=""),"",ROUND(L80*N80,2)),"")))</f>
        <v/>
      </c>
      <c r="Q80" s="177" t="str">
        <f>IF(J80="","",IF(OR(M80="",AND(CONTROLE!$B$1="Principal",K80=""),AND(CONTROLE!$B$1="Itens Consumidos",L80="")),"INCOMPLETO",IF(CONTROLE!$B$1="Pedidos de Compras","MANUAL",IF(AND(ISNUMBER(K80),ISNUMBER(L80),ABS(K80-L80)/MAX(ABS(IF(CONTROLE!$B$1="Principal",K80,L80)),1)&gt;$D$4),"DIVERGENTE","OK"))))</f>
        <v/>
      </c>
    </row>
    <row r="81" spans="1:17" x14ac:dyDescent="0.35">
      <c r="A81" s="172" t="str">
        <f>IF(historico_VU!A29="","",historico_VU!A29)</f>
        <v/>
      </c>
      <c r="B81" s="173" t="str">
        <f>IF(A81="","",historico_VU!B29)</f>
        <v/>
      </c>
      <c r="C81" s="174" t="str">
        <f>IF(A81="","",historico_VU!C29)</f>
        <v/>
      </c>
      <c r="D81" s="174" t="str">
        <f>IF(A81="","",historico_VU!D29)</f>
        <v/>
      </c>
      <c r="E81" s="174" t="str">
        <f>IF(A81="","",historico_VU!E29)</f>
        <v/>
      </c>
      <c r="F81" s="174" t="str">
        <f>IF(A81="","",historico_VU!F29)</f>
        <v/>
      </c>
      <c r="G81" s="174" t="str">
        <f>IF(A81="","",historico_VU!G29)</f>
        <v/>
      </c>
      <c r="H81" s="175" t="str">
        <f>IF(A81="","",historico_VU!H29)</f>
        <v/>
      </c>
      <c r="I81" s="77"/>
      <c r="J81" s="172" t="str">
        <f>IF(itens_Remanesc!A29="","",itens_Remanesc!A29)</f>
        <v/>
      </c>
      <c r="K81" s="173" t="str">
        <f>IF(J81="","",IF($F$4="C0",itens_Remanesc!B29,IF($F$4="C1",itens_Remanesc!E29,IF($F$4="C2",itens_Remanesc!G29,IF($F$4="C3",itens_Remanesc!I29,itens_Remanesc!K29)))))</f>
        <v/>
      </c>
      <c r="L81" s="173" t="str">
        <f>IF(J81="","",IF(SUMIF(itens_Consumidos!$A$2:$A$200,J81,itens_Consumidos!$B$2:$B$200)-SUMIF(itens_Consumidos!$A$2:$A$200,J81,itens_Consumidos!$O$2:$O$200)&lt;0,0,SUMIF(itens_Consumidos!$A$2:$A$200,J81,itens_Consumidos!$B$2:$B$200)-SUMIF(itens_Consumidos!$A$2:$A$200,J81,itens_Consumidos!$O$2:$O$200)))</f>
        <v/>
      </c>
      <c r="M81" s="176" t="str">
        <f>IF(J81="","",itens_Remanesc!C29)</f>
        <v/>
      </c>
      <c r="N81" s="176" t="str">
        <f>IF(J81="","",IF($F$4="C0",historico_VU!C29,IF($F$4="C1",historico_VU!D29,IF($F$4="C2",historico_VU!E29,IF($F$4="C3",historico_VU!F29,historico_VU!G29)))))</f>
        <v/>
      </c>
      <c r="O81" s="176" t="str">
        <f>IF(J81="","",IF(CONTROLE!$B$1="Principal",IF(OR(K81="",M81=""),"",ROUND(K81*M81,2)),IF(CONTROLE!$B$1="Itens Consumidos",IF(OR(L81="",M81=""),"",ROUND(L81*M81,2)),"")))</f>
        <v/>
      </c>
      <c r="P81" s="176" t="str">
        <f>IF(J81="","",IF(CONTROLE!$B$1="Principal",IF(OR(K81="",N81=""),"",ROUND(K81*N81,2)),IF(CONTROLE!$B$1="Itens Consumidos",IF(OR(L81="",N81=""),"",ROUND(L81*N81,2)),"")))</f>
        <v/>
      </c>
      <c r="Q81" s="177" t="str">
        <f>IF(J81="","",IF(OR(M81="",AND(CONTROLE!$B$1="Principal",K81=""),AND(CONTROLE!$B$1="Itens Consumidos",L81="")),"INCOMPLETO",IF(CONTROLE!$B$1="Pedidos de Compras","MANUAL",IF(AND(ISNUMBER(K81),ISNUMBER(L81),ABS(K81-L81)/MAX(ABS(IF(CONTROLE!$B$1="Principal",K81,L81)),1)&gt;$D$4),"DIVERGENTE","OK"))))</f>
        <v/>
      </c>
    </row>
    <row r="82" spans="1:17" x14ac:dyDescent="0.35">
      <c r="A82" s="172" t="str">
        <f>IF(historico_VU!A30="","",historico_VU!A30)</f>
        <v/>
      </c>
      <c r="B82" s="173" t="str">
        <f>IF(A82="","",historico_VU!B30)</f>
        <v/>
      </c>
      <c r="C82" s="174" t="str">
        <f>IF(A82="","",historico_VU!C30)</f>
        <v/>
      </c>
      <c r="D82" s="174" t="str">
        <f>IF(A82="","",historico_VU!D30)</f>
        <v/>
      </c>
      <c r="E82" s="174" t="str">
        <f>IF(A82="","",historico_VU!E30)</f>
        <v/>
      </c>
      <c r="F82" s="174" t="str">
        <f>IF(A82="","",historico_VU!F30)</f>
        <v/>
      </c>
      <c r="G82" s="174" t="str">
        <f>IF(A82="","",historico_VU!G30)</f>
        <v/>
      </c>
      <c r="H82" s="175" t="str">
        <f>IF(A82="","",historico_VU!H30)</f>
        <v/>
      </c>
      <c r="I82" s="77"/>
      <c r="J82" s="172" t="str">
        <f>IF(itens_Remanesc!A30="","",itens_Remanesc!A30)</f>
        <v/>
      </c>
      <c r="K82" s="173" t="str">
        <f>IF(J82="","",IF($F$4="C0",itens_Remanesc!B30,IF($F$4="C1",itens_Remanesc!E30,IF($F$4="C2",itens_Remanesc!G30,IF($F$4="C3",itens_Remanesc!I30,itens_Remanesc!K30)))))</f>
        <v/>
      </c>
      <c r="L82" s="173" t="str">
        <f>IF(J82="","",IF(SUMIF(itens_Consumidos!$A$2:$A$200,J82,itens_Consumidos!$B$2:$B$200)-SUMIF(itens_Consumidos!$A$2:$A$200,J82,itens_Consumidos!$O$2:$O$200)&lt;0,0,SUMIF(itens_Consumidos!$A$2:$A$200,J82,itens_Consumidos!$B$2:$B$200)-SUMIF(itens_Consumidos!$A$2:$A$200,J82,itens_Consumidos!$O$2:$O$200)))</f>
        <v/>
      </c>
      <c r="M82" s="176" t="str">
        <f>IF(J82="","",itens_Remanesc!C30)</f>
        <v/>
      </c>
      <c r="N82" s="176" t="str">
        <f>IF(J82="","",IF($F$4="C0",historico_VU!C30,IF($F$4="C1",historico_VU!D30,IF($F$4="C2",historico_VU!E30,IF($F$4="C3",historico_VU!F30,historico_VU!G30)))))</f>
        <v/>
      </c>
      <c r="O82" s="176" t="str">
        <f>IF(J82="","",IF(CONTROLE!$B$1="Principal",IF(OR(K82="",M82=""),"",ROUND(K82*M82,2)),IF(CONTROLE!$B$1="Itens Consumidos",IF(OR(L82="",M82=""),"",ROUND(L82*M82,2)),"")))</f>
        <v/>
      </c>
      <c r="P82" s="176" t="str">
        <f>IF(J82="","",IF(CONTROLE!$B$1="Principal",IF(OR(K82="",N82=""),"",ROUND(K82*N82,2)),IF(CONTROLE!$B$1="Itens Consumidos",IF(OR(L82="",N82=""),"",ROUND(L82*N82,2)),"")))</f>
        <v/>
      </c>
      <c r="Q82" s="177" t="str">
        <f>IF(J82="","",IF(OR(M82="",AND(CONTROLE!$B$1="Principal",K82=""),AND(CONTROLE!$B$1="Itens Consumidos",L82="")),"INCOMPLETO",IF(CONTROLE!$B$1="Pedidos de Compras","MANUAL",IF(AND(ISNUMBER(K82),ISNUMBER(L82),ABS(K82-L82)/MAX(ABS(IF(CONTROLE!$B$1="Principal",K82,L82)),1)&gt;$D$4),"DIVERGENTE","OK"))))</f>
        <v/>
      </c>
    </row>
    <row r="83" spans="1:17" x14ac:dyDescent="0.35">
      <c r="A83" s="172" t="str">
        <f>IF(historico_VU!A31="","",historico_VU!A31)</f>
        <v/>
      </c>
      <c r="B83" s="173" t="str">
        <f>IF(A83="","",historico_VU!B31)</f>
        <v/>
      </c>
      <c r="C83" s="174" t="str">
        <f>IF(A83="","",historico_VU!C31)</f>
        <v/>
      </c>
      <c r="D83" s="174" t="str">
        <f>IF(A83="","",historico_VU!D31)</f>
        <v/>
      </c>
      <c r="E83" s="174" t="str">
        <f>IF(A83="","",historico_VU!E31)</f>
        <v/>
      </c>
      <c r="F83" s="174" t="str">
        <f>IF(A83="","",historico_VU!F31)</f>
        <v/>
      </c>
      <c r="G83" s="174" t="str">
        <f>IF(A83="","",historico_VU!G31)</f>
        <v/>
      </c>
      <c r="H83" s="175" t="str">
        <f>IF(A83="","",historico_VU!H31)</f>
        <v/>
      </c>
      <c r="I83" s="77"/>
      <c r="J83" s="172" t="str">
        <f>IF(itens_Remanesc!A31="","",itens_Remanesc!A31)</f>
        <v/>
      </c>
      <c r="K83" s="173" t="str">
        <f>IF(J83="","",IF($F$4="C0",itens_Remanesc!B31,IF($F$4="C1",itens_Remanesc!E31,IF($F$4="C2",itens_Remanesc!G31,IF($F$4="C3",itens_Remanesc!I31,itens_Remanesc!K31)))))</f>
        <v/>
      </c>
      <c r="L83" s="173" t="str">
        <f>IF(J83="","",IF(SUMIF(itens_Consumidos!$A$2:$A$200,J83,itens_Consumidos!$B$2:$B$200)-SUMIF(itens_Consumidos!$A$2:$A$200,J83,itens_Consumidos!$O$2:$O$200)&lt;0,0,SUMIF(itens_Consumidos!$A$2:$A$200,J83,itens_Consumidos!$B$2:$B$200)-SUMIF(itens_Consumidos!$A$2:$A$200,J83,itens_Consumidos!$O$2:$O$200)))</f>
        <v/>
      </c>
      <c r="M83" s="176" t="str">
        <f>IF(J83="","",itens_Remanesc!C31)</f>
        <v/>
      </c>
      <c r="N83" s="176" t="str">
        <f>IF(J83="","",IF($F$4="C0",historico_VU!C31,IF($F$4="C1",historico_VU!D31,IF($F$4="C2",historico_VU!E31,IF($F$4="C3",historico_VU!F31,historico_VU!G31)))))</f>
        <v/>
      </c>
      <c r="O83" s="176" t="str">
        <f>IF(J83="","",IF(CONTROLE!$B$1="Principal",IF(OR(K83="",M83=""),"",ROUND(K83*M83,2)),IF(CONTROLE!$B$1="Itens Consumidos",IF(OR(L83="",M83=""),"",ROUND(L83*M83,2)),"")))</f>
        <v/>
      </c>
      <c r="P83" s="176" t="str">
        <f>IF(J83="","",IF(CONTROLE!$B$1="Principal",IF(OR(K83="",N83=""),"",ROUND(K83*N83,2)),IF(CONTROLE!$B$1="Itens Consumidos",IF(OR(L83="",N83=""),"",ROUND(L83*N83,2)),"")))</f>
        <v/>
      </c>
      <c r="Q83" s="177" t="str">
        <f>IF(J83="","",IF(OR(M83="",AND(CONTROLE!$B$1="Principal",K83=""),AND(CONTROLE!$B$1="Itens Consumidos",L83="")),"INCOMPLETO",IF(CONTROLE!$B$1="Pedidos de Compras","MANUAL",IF(AND(ISNUMBER(K83),ISNUMBER(L83),ABS(K83-L83)/MAX(ABS(IF(CONTROLE!$B$1="Principal",K83,L83)),1)&gt;$D$4),"DIVERGENTE","OK"))))</f>
        <v/>
      </c>
    </row>
    <row r="84" spans="1:17" x14ac:dyDescent="0.35">
      <c r="A84" s="172" t="str">
        <f>IF(historico_VU!A32="","",historico_VU!A32)</f>
        <v/>
      </c>
      <c r="B84" s="173" t="str">
        <f>IF(A84="","",historico_VU!B32)</f>
        <v/>
      </c>
      <c r="C84" s="174" t="str">
        <f>IF(A84="","",historico_VU!C32)</f>
        <v/>
      </c>
      <c r="D84" s="174" t="str">
        <f>IF(A84="","",historico_VU!D32)</f>
        <v/>
      </c>
      <c r="E84" s="174" t="str">
        <f>IF(A84="","",historico_VU!E32)</f>
        <v/>
      </c>
      <c r="F84" s="174" t="str">
        <f>IF(A84="","",historico_VU!F32)</f>
        <v/>
      </c>
      <c r="G84" s="174" t="str">
        <f>IF(A84="","",historico_VU!G32)</f>
        <v/>
      </c>
      <c r="H84" s="175" t="str">
        <f>IF(A84="","",historico_VU!H32)</f>
        <v/>
      </c>
      <c r="I84" s="77"/>
      <c r="J84" s="172" t="str">
        <f>IF(itens_Remanesc!A32="","",itens_Remanesc!A32)</f>
        <v/>
      </c>
      <c r="K84" s="173" t="str">
        <f>IF(J84="","",IF($F$4="C0",itens_Remanesc!B32,IF($F$4="C1",itens_Remanesc!E32,IF($F$4="C2",itens_Remanesc!G32,IF($F$4="C3",itens_Remanesc!I32,itens_Remanesc!K32)))))</f>
        <v/>
      </c>
      <c r="L84" s="173" t="str">
        <f>IF(J84="","",IF(SUMIF(itens_Consumidos!$A$2:$A$200,J84,itens_Consumidos!$B$2:$B$200)-SUMIF(itens_Consumidos!$A$2:$A$200,J84,itens_Consumidos!$O$2:$O$200)&lt;0,0,SUMIF(itens_Consumidos!$A$2:$A$200,J84,itens_Consumidos!$B$2:$B$200)-SUMIF(itens_Consumidos!$A$2:$A$200,J84,itens_Consumidos!$O$2:$O$200)))</f>
        <v/>
      </c>
      <c r="M84" s="176" t="str">
        <f>IF(J84="","",itens_Remanesc!C32)</f>
        <v/>
      </c>
      <c r="N84" s="176" t="str">
        <f>IF(J84="","",IF($F$4="C0",historico_VU!C32,IF($F$4="C1",historico_VU!D32,IF($F$4="C2",historico_VU!E32,IF($F$4="C3",historico_VU!F32,historico_VU!G32)))))</f>
        <v/>
      </c>
      <c r="O84" s="176" t="str">
        <f>IF(J84="","",IF(CONTROLE!$B$1="Principal",IF(OR(K84="",M84=""),"",ROUND(K84*M84,2)),IF(CONTROLE!$B$1="Itens Consumidos",IF(OR(L84="",M84=""),"",ROUND(L84*M84,2)),"")))</f>
        <v/>
      </c>
      <c r="P84" s="176" t="str">
        <f>IF(J84="","",IF(CONTROLE!$B$1="Principal",IF(OR(K84="",N84=""),"",ROUND(K84*N84,2)),IF(CONTROLE!$B$1="Itens Consumidos",IF(OR(L84="",N84=""),"",ROUND(L84*N84,2)),"")))</f>
        <v/>
      </c>
      <c r="Q84" s="177" t="str">
        <f>IF(J84="","",IF(OR(M84="",AND(CONTROLE!$B$1="Principal",K84=""),AND(CONTROLE!$B$1="Itens Consumidos",L84="")),"INCOMPLETO",IF(CONTROLE!$B$1="Pedidos de Compras","MANUAL",IF(AND(ISNUMBER(K84),ISNUMBER(L84),ABS(K84-L84)/MAX(ABS(IF(CONTROLE!$B$1="Principal",K84,L84)),1)&gt;$D$4),"DIVERGENTE","OK"))))</f>
        <v/>
      </c>
    </row>
    <row r="85" spans="1:17" x14ac:dyDescent="0.35">
      <c r="A85" s="172" t="str">
        <f>IF(historico_VU!A33="","",historico_VU!A33)</f>
        <v/>
      </c>
      <c r="B85" s="173" t="str">
        <f>IF(A85="","",historico_VU!B33)</f>
        <v/>
      </c>
      <c r="C85" s="174" t="str">
        <f>IF(A85="","",historico_VU!C33)</f>
        <v/>
      </c>
      <c r="D85" s="174" t="str">
        <f>IF(A85="","",historico_VU!D33)</f>
        <v/>
      </c>
      <c r="E85" s="174" t="str">
        <f>IF(A85="","",historico_VU!E33)</f>
        <v/>
      </c>
      <c r="F85" s="174" t="str">
        <f>IF(A85="","",historico_VU!F33)</f>
        <v/>
      </c>
      <c r="G85" s="174" t="str">
        <f>IF(A85="","",historico_VU!G33)</f>
        <v/>
      </c>
      <c r="H85" s="175" t="str">
        <f>IF(A85="","",historico_VU!H33)</f>
        <v/>
      </c>
      <c r="I85" s="77"/>
      <c r="J85" s="172" t="str">
        <f>IF(itens_Remanesc!A33="","",itens_Remanesc!A33)</f>
        <v/>
      </c>
      <c r="K85" s="173" t="str">
        <f>IF(J85="","",IF($F$4="C0",itens_Remanesc!B33,IF($F$4="C1",itens_Remanesc!E33,IF($F$4="C2",itens_Remanesc!G33,IF($F$4="C3",itens_Remanesc!I33,itens_Remanesc!K33)))))</f>
        <v/>
      </c>
      <c r="L85" s="173" t="str">
        <f>IF(J85="","",IF(SUMIF(itens_Consumidos!$A$2:$A$200,J85,itens_Consumidos!$B$2:$B$200)-SUMIF(itens_Consumidos!$A$2:$A$200,J85,itens_Consumidos!$O$2:$O$200)&lt;0,0,SUMIF(itens_Consumidos!$A$2:$A$200,J85,itens_Consumidos!$B$2:$B$200)-SUMIF(itens_Consumidos!$A$2:$A$200,J85,itens_Consumidos!$O$2:$O$200)))</f>
        <v/>
      </c>
      <c r="M85" s="176" t="str">
        <f>IF(J85="","",itens_Remanesc!C33)</f>
        <v/>
      </c>
      <c r="N85" s="176" t="str">
        <f>IF(J85="","",IF($F$4="C0",historico_VU!C33,IF($F$4="C1",historico_VU!D33,IF($F$4="C2",historico_VU!E33,IF($F$4="C3",historico_VU!F33,historico_VU!G33)))))</f>
        <v/>
      </c>
      <c r="O85" s="176" t="str">
        <f>IF(J85="","",IF(CONTROLE!$B$1="Principal",IF(OR(K85="",M85=""),"",ROUND(K85*M85,2)),IF(CONTROLE!$B$1="Itens Consumidos",IF(OR(L85="",M85=""),"",ROUND(L85*M85,2)),"")))</f>
        <v/>
      </c>
      <c r="P85" s="176" t="str">
        <f>IF(J85="","",IF(CONTROLE!$B$1="Principal",IF(OR(K85="",N85=""),"",ROUND(K85*N85,2)),IF(CONTROLE!$B$1="Itens Consumidos",IF(OR(L85="",N85=""),"",ROUND(L85*N85,2)),"")))</f>
        <v/>
      </c>
      <c r="Q85" s="177" t="str">
        <f>IF(J85="","",IF(OR(M85="",AND(CONTROLE!$B$1="Principal",K85=""),AND(CONTROLE!$B$1="Itens Consumidos",L85="")),"INCOMPLETO",IF(CONTROLE!$B$1="Pedidos de Compras","MANUAL",IF(AND(ISNUMBER(K85),ISNUMBER(L85),ABS(K85-L85)/MAX(ABS(IF(CONTROLE!$B$1="Principal",K85,L85)),1)&gt;$D$4),"DIVERGENTE","OK"))))</f>
        <v/>
      </c>
    </row>
    <row r="86" spans="1:17" x14ac:dyDescent="0.35">
      <c r="A86" s="172" t="str">
        <f>IF(historico_VU!A34="","",historico_VU!A34)</f>
        <v/>
      </c>
      <c r="B86" s="173" t="str">
        <f>IF(A86="","",historico_VU!B34)</f>
        <v/>
      </c>
      <c r="C86" s="174" t="str">
        <f>IF(A86="","",historico_VU!C34)</f>
        <v/>
      </c>
      <c r="D86" s="174" t="str">
        <f>IF(A86="","",historico_VU!D34)</f>
        <v/>
      </c>
      <c r="E86" s="174" t="str">
        <f>IF(A86="","",historico_VU!E34)</f>
        <v/>
      </c>
      <c r="F86" s="174" t="str">
        <f>IF(A86="","",historico_VU!F34)</f>
        <v/>
      </c>
      <c r="G86" s="174" t="str">
        <f>IF(A86="","",historico_VU!G34)</f>
        <v/>
      </c>
      <c r="H86" s="175" t="str">
        <f>IF(A86="","",historico_VU!H34)</f>
        <v/>
      </c>
      <c r="I86" s="77"/>
      <c r="J86" s="172" t="str">
        <f>IF(itens_Remanesc!A34="","",itens_Remanesc!A34)</f>
        <v/>
      </c>
      <c r="K86" s="173" t="str">
        <f>IF(J86="","",IF($F$4="C0",itens_Remanesc!B34,IF($F$4="C1",itens_Remanesc!E34,IF($F$4="C2",itens_Remanesc!G34,IF($F$4="C3",itens_Remanesc!I34,itens_Remanesc!K34)))))</f>
        <v/>
      </c>
      <c r="L86" s="173" t="str">
        <f>IF(J86="","",IF(SUMIF(itens_Consumidos!$A$2:$A$200,J86,itens_Consumidos!$B$2:$B$200)-SUMIF(itens_Consumidos!$A$2:$A$200,J86,itens_Consumidos!$O$2:$O$200)&lt;0,0,SUMIF(itens_Consumidos!$A$2:$A$200,J86,itens_Consumidos!$B$2:$B$200)-SUMIF(itens_Consumidos!$A$2:$A$200,J86,itens_Consumidos!$O$2:$O$200)))</f>
        <v/>
      </c>
      <c r="M86" s="176" t="str">
        <f>IF(J86="","",itens_Remanesc!C34)</f>
        <v/>
      </c>
      <c r="N86" s="176" t="str">
        <f>IF(J86="","",IF($F$4="C0",historico_VU!C34,IF($F$4="C1",historico_VU!D34,IF($F$4="C2",historico_VU!E34,IF($F$4="C3",historico_VU!F34,historico_VU!G34)))))</f>
        <v/>
      </c>
      <c r="O86" s="176" t="str">
        <f>IF(J86="","",IF(CONTROLE!$B$1="Principal",IF(OR(K86="",M86=""),"",ROUND(K86*M86,2)),IF(CONTROLE!$B$1="Itens Consumidos",IF(OR(L86="",M86=""),"",ROUND(L86*M86,2)),"")))</f>
        <v/>
      </c>
      <c r="P86" s="176" t="str">
        <f>IF(J86="","",IF(CONTROLE!$B$1="Principal",IF(OR(K86="",N86=""),"",ROUND(K86*N86,2)),IF(CONTROLE!$B$1="Itens Consumidos",IF(OR(L86="",N86=""),"",ROUND(L86*N86,2)),"")))</f>
        <v/>
      </c>
      <c r="Q86" s="177" t="str">
        <f>IF(J86="","",IF(OR(M86="",AND(CONTROLE!$B$1="Principal",K86=""),AND(CONTROLE!$B$1="Itens Consumidos",L86="")),"INCOMPLETO",IF(CONTROLE!$B$1="Pedidos de Compras","MANUAL",IF(AND(ISNUMBER(K86),ISNUMBER(L86),ABS(K86-L86)/MAX(ABS(IF(CONTROLE!$B$1="Principal",K86,L86)),1)&gt;$D$4),"DIVERGENTE","OK"))))</f>
        <v/>
      </c>
    </row>
    <row r="87" spans="1:17" x14ac:dyDescent="0.35">
      <c r="A87" s="172" t="str">
        <f>IF(historico_VU!A35="","",historico_VU!A35)</f>
        <v/>
      </c>
      <c r="B87" s="173" t="str">
        <f>IF(A87="","",historico_VU!B35)</f>
        <v/>
      </c>
      <c r="C87" s="174" t="str">
        <f>IF(A87="","",historico_VU!C35)</f>
        <v/>
      </c>
      <c r="D87" s="174" t="str">
        <f>IF(A87="","",historico_VU!D35)</f>
        <v/>
      </c>
      <c r="E87" s="174" t="str">
        <f>IF(A87="","",historico_VU!E35)</f>
        <v/>
      </c>
      <c r="F87" s="174" t="str">
        <f>IF(A87="","",historico_VU!F35)</f>
        <v/>
      </c>
      <c r="G87" s="174" t="str">
        <f>IF(A87="","",historico_VU!G35)</f>
        <v/>
      </c>
      <c r="H87" s="175" t="str">
        <f>IF(A87="","",historico_VU!H35)</f>
        <v/>
      </c>
      <c r="I87" s="77"/>
      <c r="J87" s="172" t="str">
        <f>IF(itens_Remanesc!A35="","",itens_Remanesc!A35)</f>
        <v/>
      </c>
      <c r="K87" s="173" t="str">
        <f>IF(J87="","",IF($F$4="C0",itens_Remanesc!B35,IF($F$4="C1",itens_Remanesc!E35,IF($F$4="C2",itens_Remanesc!G35,IF($F$4="C3",itens_Remanesc!I35,itens_Remanesc!K35)))))</f>
        <v/>
      </c>
      <c r="L87" s="173" t="str">
        <f>IF(J87="","",IF(SUMIF(itens_Consumidos!$A$2:$A$200,J87,itens_Consumidos!$B$2:$B$200)-SUMIF(itens_Consumidos!$A$2:$A$200,J87,itens_Consumidos!$O$2:$O$200)&lt;0,0,SUMIF(itens_Consumidos!$A$2:$A$200,J87,itens_Consumidos!$B$2:$B$200)-SUMIF(itens_Consumidos!$A$2:$A$200,J87,itens_Consumidos!$O$2:$O$200)))</f>
        <v/>
      </c>
      <c r="M87" s="176" t="str">
        <f>IF(J87="","",itens_Remanesc!C35)</f>
        <v/>
      </c>
      <c r="N87" s="176" t="str">
        <f>IF(J87="","",IF($F$4="C0",historico_VU!C35,IF($F$4="C1",historico_VU!D35,IF($F$4="C2",historico_VU!E35,IF($F$4="C3",historico_VU!F35,historico_VU!G35)))))</f>
        <v/>
      </c>
      <c r="O87" s="176" t="str">
        <f>IF(J87="","",IF(CONTROLE!$B$1="Principal",IF(OR(K87="",M87=""),"",ROUND(K87*M87,2)),IF(CONTROLE!$B$1="Itens Consumidos",IF(OR(L87="",M87=""),"",ROUND(L87*M87,2)),"")))</f>
        <v/>
      </c>
      <c r="P87" s="176" t="str">
        <f>IF(J87="","",IF(CONTROLE!$B$1="Principal",IF(OR(K87="",N87=""),"",ROUND(K87*N87,2)),IF(CONTROLE!$B$1="Itens Consumidos",IF(OR(L87="",N87=""),"",ROUND(L87*N87,2)),"")))</f>
        <v/>
      </c>
      <c r="Q87" s="177" t="str">
        <f>IF(J87="","",IF(OR(M87="",AND(CONTROLE!$B$1="Principal",K87=""),AND(CONTROLE!$B$1="Itens Consumidos",L87="")),"INCOMPLETO",IF(CONTROLE!$B$1="Pedidos de Compras","MANUAL",IF(AND(ISNUMBER(K87),ISNUMBER(L87),ABS(K87-L87)/MAX(ABS(IF(CONTROLE!$B$1="Principal",K87,L87)),1)&gt;$D$4),"DIVERGENTE","OK"))))</f>
        <v/>
      </c>
    </row>
    <row r="88" spans="1:17" x14ac:dyDescent="0.35">
      <c r="A88" s="172" t="str">
        <f>IF(historico_VU!A36="","",historico_VU!A36)</f>
        <v/>
      </c>
      <c r="B88" s="173" t="str">
        <f>IF(A88="","",historico_VU!B36)</f>
        <v/>
      </c>
      <c r="C88" s="174" t="str">
        <f>IF(A88="","",historico_VU!C36)</f>
        <v/>
      </c>
      <c r="D88" s="174" t="str">
        <f>IF(A88="","",historico_VU!D36)</f>
        <v/>
      </c>
      <c r="E88" s="174" t="str">
        <f>IF(A88="","",historico_VU!E36)</f>
        <v/>
      </c>
      <c r="F88" s="174" t="str">
        <f>IF(A88="","",historico_VU!F36)</f>
        <v/>
      </c>
      <c r="G88" s="174" t="str">
        <f>IF(A88="","",historico_VU!G36)</f>
        <v/>
      </c>
      <c r="H88" s="175" t="str">
        <f>IF(A88="","",historico_VU!H36)</f>
        <v/>
      </c>
      <c r="I88" s="77"/>
      <c r="J88" s="172" t="str">
        <f>IF(itens_Remanesc!A36="","",itens_Remanesc!A36)</f>
        <v/>
      </c>
      <c r="K88" s="173" t="str">
        <f>IF(J88="","",IF($F$4="C0",itens_Remanesc!B36,IF($F$4="C1",itens_Remanesc!E36,IF($F$4="C2",itens_Remanesc!G36,IF($F$4="C3",itens_Remanesc!I36,itens_Remanesc!K36)))))</f>
        <v/>
      </c>
      <c r="L88" s="173" t="str">
        <f>IF(J88="","",IF(SUMIF(itens_Consumidos!$A$2:$A$200,J88,itens_Consumidos!$B$2:$B$200)-SUMIF(itens_Consumidos!$A$2:$A$200,J88,itens_Consumidos!$O$2:$O$200)&lt;0,0,SUMIF(itens_Consumidos!$A$2:$A$200,J88,itens_Consumidos!$B$2:$B$200)-SUMIF(itens_Consumidos!$A$2:$A$200,J88,itens_Consumidos!$O$2:$O$200)))</f>
        <v/>
      </c>
      <c r="M88" s="176" t="str">
        <f>IF(J88="","",itens_Remanesc!C36)</f>
        <v/>
      </c>
      <c r="N88" s="176" t="str">
        <f>IF(J88="","",IF($F$4="C0",historico_VU!C36,IF($F$4="C1",historico_VU!D36,IF($F$4="C2",historico_VU!E36,IF($F$4="C3",historico_VU!F36,historico_VU!G36)))))</f>
        <v/>
      </c>
      <c r="O88" s="176" t="str">
        <f>IF(J88="","",IF(CONTROLE!$B$1="Principal",IF(OR(K88="",M88=""),"",ROUND(K88*M88,2)),IF(CONTROLE!$B$1="Itens Consumidos",IF(OR(L88="",M88=""),"",ROUND(L88*M88,2)),"")))</f>
        <v/>
      </c>
      <c r="P88" s="176" t="str">
        <f>IF(J88="","",IF(CONTROLE!$B$1="Principal",IF(OR(K88="",N88=""),"",ROUND(K88*N88,2)),IF(CONTROLE!$B$1="Itens Consumidos",IF(OR(L88="",N88=""),"",ROUND(L88*N88,2)),"")))</f>
        <v/>
      </c>
      <c r="Q88" s="177" t="str">
        <f>IF(J88="","",IF(OR(M88="",AND(CONTROLE!$B$1="Principal",K88=""),AND(CONTROLE!$B$1="Itens Consumidos",L88="")),"INCOMPLETO",IF(CONTROLE!$B$1="Pedidos de Compras","MANUAL",IF(AND(ISNUMBER(K88),ISNUMBER(L88),ABS(K88-L88)/MAX(ABS(IF(CONTROLE!$B$1="Principal",K88,L88)),1)&gt;$D$4),"DIVERGENTE","OK"))))</f>
        <v/>
      </c>
    </row>
    <row r="89" spans="1:17" x14ac:dyDescent="0.35">
      <c r="A89" s="172" t="str">
        <f>IF(historico_VU!A37="","",historico_VU!A37)</f>
        <v/>
      </c>
      <c r="B89" s="173" t="str">
        <f>IF(A89="","",historico_VU!B37)</f>
        <v/>
      </c>
      <c r="C89" s="174" t="str">
        <f>IF(A89="","",historico_VU!C37)</f>
        <v/>
      </c>
      <c r="D89" s="174" t="str">
        <f>IF(A89="","",historico_VU!D37)</f>
        <v/>
      </c>
      <c r="E89" s="174" t="str">
        <f>IF(A89="","",historico_VU!E37)</f>
        <v/>
      </c>
      <c r="F89" s="174" t="str">
        <f>IF(A89="","",historico_VU!F37)</f>
        <v/>
      </c>
      <c r="G89" s="174" t="str">
        <f>IF(A89="","",historico_VU!G37)</f>
        <v/>
      </c>
      <c r="H89" s="175" t="str">
        <f>IF(A89="","",historico_VU!H37)</f>
        <v/>
      </c>
      <c r="I89" s="77"/>
      <c r="J89" s="172" t="str">
        <f>IF(itens_Remanesc!A37="","",itens_Remanesc!A37)</f>
        <v/>
      </c>
      <c r="K89" s="173" t="str">
        <f>IF(J89="","",IF($F$4="C0",itens_Remanesc!B37,IF($F$4="C1",itens_Remanesc!E37,IF($F$4="C2",itens_Remanesc!G37,IF($F$4="C3",itens_Remanesc!I37,itens_Remanesc!K37)))))</f>
        <v/>
      </c>
      <c r="L89" s="173" t="str">
        <f>IF(J89="","",IF(SUMIF(itens_Consumidos!$A$2:$A$200,J89,itens_Consumidos!$B$2:$B$200)-SUMIF(itens_Consumidos!$A$2:$A$200,J89,itens_Consumidos!$O$2:$O$200)&lt;0,0,SUMIF(itens_Consumidos!$A$2:$A$200,J89,itens_Consumidos!$B$2:$B$200)-SUMIF(itens_Consumidos!$A$2:$A$200,J89,itens_Consumidos!$O$2:$O$200)))</f>
        <v/>
      </c>
      <c r="M89" s="176" t="str">
        <f>IF(J89="","",itens_Remanesc!C37)</f>
        <v/>
      </c>
      <c r="N89" s="176" t="str">
        <f>IF(J89="","",IF($F$4="C0",historico_VU!C37,IF($F$4="C1",historico_VU!D37,IF($F$4="C2",historico_VU!E37,IF($F$4="C3",historico_VU!F37,historico_VU!G37)))))</f>
        <v/>
      </c>
      <c r="O89" s="176" t="str">
        <f>IF(J89="","",IF(CONTROLE!$B$1="Principal",IF(OR(K89="",M89=""),"",ROUND(K89*M89,2)),IF(CONTROLE!$B$1="Itens Consumidos",IF(OR(L89="",M89=""),"",ROUND(L89*M89,2)),"")))</f>
        <v/>
      </c>
      <c r="P89" s="176" t="str">
        <f>IF(J89="","",IF(CONTROLE!$B$1="Principal",IF(OR(K89="",N89=""),"",ROUND(K89*N89,2)),IF(CONTROLE!$B$1="Itens Consumidos",IF(OR(L89="",N89=""),"",ROUND(L89*N89,2)),"")))</f>
        <v/>
      </c>
      <c r="Q89" s="177" t="str">
        <f>IF(J89="","",IF(OR(M89="",AND(CONTROLE!$B$1="Principal",K89=""),AND(CONTROLE!$B$1="Itens Consumidos",L89="")),"INCOMPLETO",IF(CONTROLE!$B$1="Pedidos de Compras","MANUAL",IF(AND(ISNUMBER(K89),ISNUMBER(L89),ABS(K89-L89)/MAX(ABS(IF(CONTROLE!$B$1="Principal",K89,L89)),1)&gt;$D$4),"DIVERGENTE","OK"))))</f>
        <v/>
      </c>
    </row>
    <row r="90" spans="1:17" x14ac:dyDescent="0.35">
      <c r="A90" s="172" t="str">
        <f>IF(historico_VU!A38="","",historico_VU!A38)</f>
        <v/>
      </c>
      <c r="B90" s="173" t="str">
        <f>IF(A90="","",historico_VU!B38)</f>
        <v/>
      </c>
      <c r="C90" s="174" t="str">
        <f>IF(A90="","",historico_VU!C38)</f>
        <v/>
      </c>
      <c r="D90" s="174" t="str">
        <f>IF(A90="","",historico_VU!D38)</f>
        <v/>
      </c>
      <c r="E90" s="174" t="str">
        <f>IF(A90="","",historico_VU!E38)</f>
        <v/>
      </c>
      <c r="F90" s="174" t="str">
        <f>IF(A90="","",historico_VU!F38)</f>
        <v/>
      </c>
      <c r="G90" s="174" t="str">
        <f>IF(A90="","",historico_VU!G38)</f>
        <v/>
      </c>
      <c r="H90" s="175" t="str">
        <f>IF(A90="","",historico_VU!H38)</f>
        <v/>
      </c>
      <c r="I90" s="77"/>
      <c r="J90" s="172" t="str">
        <f>IF(itens_Remanesc!A38="","",itens_Remanesc!A38)</f>
        <v/>
      </c>
      <c r="K90" s="173" t="str">
        <f>IF(J90="","",IF($F$4="C0",itens_Remanesc!B38,IF($F$4="C1",itens_Remanesc!E38,IF($F$4="C2",itens_Remanesc!G38,IF($F$4="C3",itens_Remanesc!I38,itens_Remanesc!K38)))))</f>
        <v/>
      </c>
      <c r="L90" s="173" t="str">
        <f>IF(J90="","",IF(SUMIF(itens_Consumidos!$A$2:$A$200,J90,itens_Consumidos!$B$2:$B$200)-SUMIF(itens_Consumidos!$A$2:$A$200,J90,itens_Consumidos!$O$2:$O$200)&lt;0,0,SUMIF(itens_Consumidos!$A$2:$A$200,J90,itens_Consumidos!$B$2:$B$200)-SUMIF(itens_Consumidos!$A$2:$A$200,J90,itens_Consumidos!$O$2:$O$200)))</f>
        <v/>
      </c>
      <c r="M90" s="176" t="str">
        <f>IF(J90="","",itens_Remanesc!C38)</f>
        <v/>
      </c>
      <c r="N90" s="176" t="str">
        <f>IF(J90="","",IF($F$4="C0",historico_VU!C38,IF($F$4="C1",historico_VU!D38,IF($F$4="C2",historico_VU!E38,IF($F$4="C3",historico_VU!F38,historico_VU!G38)))))</f>
        <v/>
      </c>
      <c r="O90" s="176" t="str">
        <f>IF(J90="","",IF(CONTROLE!$B$1="Principal",IF(OR(K90="",M90=""),"",ROUND(K90*M90,2)),IF(CONTROLE!$B$1="Itens Consumidos",IF(OR(L90="",M90=""),"",ROUND(L90*M90,2)),"")))</f>
        <v/>
      </c>
      <c r="P90" s="176" t="str">
        <f>IF(J90="","",IF(CONTROLE!$B$1="Principal",IF(OR(K90="",N90=""),"",ROUND(K90*N90,2)),IF(CONTROLE!$B$1="Itens Consumidos",IF(OR(L90="",N90=""),"",ROUND(L90*N90,2)),"")))</f>
        <v/>
      </c>
      <c r="Q90" s="177" t="str">
        <f>IF(J90="","",IF(OR(M90="",AND(CONTROLE!$B$1="Principal",K90=""),AND(CONTROLE!$B$1="Itens Consumidos",L90="")),"INCOMPLETO",IF(CONTROLE!$B$1="Pedidos de Compras","MANUAL",IF(AND(ISNUMBER(K90),ISNUMBER(L90),ABS(K90-L90)/MAX(ABS(IF(CONTROLE!$B$1="Principal",K90,L90)),1)&gt;$D$4),"DIVERGENTE","OK"))))</f>
        <v/>
      </c>
    </row>
    <row r="91" spans="1:17" x14ac:dyDescent="0.35">
      <c r="A91" s="172" t="str">
        <f>IF(historico_VU!A39="","",historico_VU!A39)</f>
        <v/>
      </c>
      <c r="B91" s="173" t="str">
        <f>IF(A91="","",historico_VU!B39)</f>
        <v/>
      </c>
      <c r="C91" s="174" t="str">
        <f>IF(A91="","",historico_VU!C39)</f>
        <v/>
      </c>
      <c r="D91" s="174" t="str">
        <f>IF(A91="","",historico_VU!D39)</f>
        <v/>
      </c>
      <c r="E91" s="174" t="str">
        <f>IF(A91="","",historico_VU!E39)</f>
        <v/>
      </c>
      <c r="F91" s="174" t="str">
        <f>IF(A91="","",historico_VU!F39)</f>
        <v/>
      </c>
      <c r="G91" s="174" t="str">
        <f>IF(A91="","",historico_VU!G39)</f>
        <v/>
      </c>
      <c r="H91" s="175" t="str">
        <f>IF(A91="","",historico_VU!H39)</f>
        <v/>
      </c>
      <c r="I91" s="77"/>
      <c r="J91" s="172" t="str">
        <f>IF(itens_Remanesc!A39="","",itens_Remanesc!A39)</f>
        <v/>
      </c>
      <c r="K91" s="173" t="str">
        <f>IF(J91="","",IF($F$4="C0",itens_Remanesc!B39,IF($F$4="C1",itens_Remanesc!E39,IF($F$4="C2",itens_Remanesc!G39,IF($F$4="C3",itens_Remanesc!I39,itens_Remanesc!K39)))))</f>
        <v/>
      </c>
      <c r="L91" s="173" t="str">
        <f>IF(J91="","",IF(SUMIF(itens_Consumidos!$A$2:$A$200,J91,itens_Consumidos!$B$2:$B$200)-SUMIF(itens_Consumidos!$A$2:$A$200,J91,itens_Consumidos!$O$2:$O$200)&lt;0,0,SUMIF(itens_Consumidos!$A$2:$A$200,J91,itens_Consumidos!$B$2:$B$200)-SUMIF(itens_Consumidos!$A$2:$A$200,J91,itens_Consumidos!$O$2:$O$200)))</f>
        <v/>
      </c>
      <c r="M91" s="176" t="str">
        <f>IF(J91="","",itens_Remanesc!C39)</f>
        <v/>
      </c>
      <c r="N91" s="176" t="str">
        <f>IF(J91="","",IF($F$4="C0",historico_VU!C39,IF($F$4="C1",historico_VU!D39,IF($F$4="C2",historico_VU!E39,IF($F$4="C3",historico_VU!F39,historico_VU!G39)))))</f>
        <v/>
      </c>
      <c r="O91" s="176" t="str">
        <f>IF(J91="","",IF(CONTROLE!$B$1="Principal",IF(OR(K91="",M91=""),"",ROUND(K91*M91,2)),IF(CONTROLE!$B$1="Itens Consumidos",IF(OR(L91="",M91=""),"",ROUND(L91*M91,2)),"")))</f>
        <v/>
      </c>
      <c r="P91" s="176" t="str">
        <f>IF(J91="","",IF(CONTROLE!$B$1="Principal",IF(OR(K91="",N91=""),"",ROUND(K91*N91,2)),IF(CONTROLE!$B$1="Itens Consumidos",IF(OR(L91="",N91=""),"",ROUND(L91*N91,2)),"")))</f>
        <v/>
      </c>
      <c r="Q91" s="177" t="str">
        <f>IF(J91="","",IF(OR(M91="",AND(CONTROLE!$B$1="Principal",K91=""),AND(CONTROLE!$B$1="Itens Consumidos",L91="")),"INCOMPLETO",IF(CONTROLE!$B$1="Pedidos de Compras","MANUAL",IF(AND(ISNUMBER(K91),ISNUMBER(L91),ABS(K91-L91)/MAX(ABS(IF(CONTROLE!$B$1="Principal",K91,L91)),1)&gt;$D$4),"DIVERGENTE","OK"))))</f>
        <v/>
      </c>
    </row>
    <row r="92" spans="1:17" x14ac:dyDescent="0.35">
      <c r="A92" s="172" t="str">
        <f>IF(historico_VU!A40="","",historico_VU!A40)</f>
        <v/>
      </c>
      <c r="B92" s="173" t="str">
        <f>IF(A92="","",historico_VU!B40)</f>
        <v/>
      </c>
      <c r="C92" s="174" t="str">
        <f>IF(A92="","",historico_VU!C40)</f>
        <v/>
      </c>
      <c r="D92" s="174" t="str">
        <f>IF(A92="","",historico_VU!D40)</f>
        <v/>
      </c>
      <c r="E92" s="174" t="str">
        <f>IF(A92="","",historico_VU!E40)</f>
        <v/>
      </c>
      <c r="F92" s="174" t="str">
        <f>IF(A92="","",historico_VU!F40)</f>
        <v/>
      </c>
      <c r="G92" s="174" t="str">
        <f>IF(A92="","",historico_VU!G40)</f>
        <v/>
      </c>
      <c r="H92" s="175" t="str">
        <f>IF(A92="","",historico_VU!H40)</f>
        <v/>
      </c>
      <c r="I92" s="77"/>
      <c r="J92" s="172" t="str">
        <f>IF(itens_Remanesc!A40="","",itens_Remanesc!A40)</f>
        <v/>
      </c>
      <c r="K92" s="173" t="str">
        <f>IF(J92="","",IF($F$4="C0",itens_Remanesc!B40,IF($F$4="C1",itens_Remanesc!E40,IF($F$4="C2",itens_Remanesc!G40,IF($F$4="C3",itens_Remanesc!I40,itens_Remanesc!K40)))))</f>
        <v/>
      </c>
      <c r="L92" s="173" t="str">
        <f>IF(J92="","",IF(SUMIF(itens_Consumidos!$A$2:$A$200,J92,itens_Consumidos!$B$2:$B$200)-SUMIF(itens_Consumidos!$A$2:$A$200,J92,itens_Consumidos!$O$2:$O$200)&lt;0,0,SUMIF(itens_Consumidos!$A$2:$A$200,J92,itens_Consumidos!$B$2:$B$200)-SUMIF(itens_Consumidos!$A$2:$A$200,J92,itens_Consumidos!$O$2:$O$200)))</f>
        <v/>
      </c>
      <c r="M92" s="176" t="str">
        <f>IF(J92="","",itens_Remanesc!C40)</f>
        <v/>
      </c>
      <c r="N92" s="176" t="str">
        <f>IF(J92="","",IF($F$4="C0",historico_VU!C40,IF($F$4="C1",historico_VU!D40,IF($F$4="C2",historico_VU!E40,IF($F$4="C3",historico_VU!F40,historico_VU!G40)))))</f>
        <v/>
      </c>
      <c r="O92" s="176" t="str">
        <f>IF(J92="","",IF(CONTROLE!$B$1="Principal",IF(OR(K92="",M92=""),"",ROUND(K92*M92,2)),IF(CONTROLE!$B$1="Itens Consumidos",IF(OR(L92="",M92=""),"",ROUND(L92*M92,2)),"")))</f>
        <v/>
      </c>
      <c r="P92" s="176" t="str">
        <f>IF(J92="","",IF(CONTROLE!$B$1="Principal",IF(OR(K92="",N92=""),"",ROUND(K92*N92,2)),IF(CONTROLE!$B$1="Itens Consumidos",IF(OR(L92="",N92=""),"",ROUND(L92*N92,2)),"")))</f>
        <v/>
      </c>
      <c r="Q92" s="177" t="str">
        <f>IF(J92="","",IF(OR(M92="",AND(CONTROLE!$B$1="Principal",K92=""),AND(CONTROLE!$B$1="Itens Consumidos",L92="")),"INCOMPLETO",IF(CONTROLE!$B$1="Pedidos de Compras","MANUAL",IF(AND(ISNUMBER(K92),ISNUMBER(L92),ABS(K92-L92)/MAX(ABS(IF(CONTROLE!$B$1="Principal",K92,L92)),1)&gt;$D$4),"DIVERGENTE","OK"))))</f>
        <v/>
      </c>
    </row>
    <row r="93" spans="1:17" x14ac:dyDescent="0.35">
      <c r="A93" s="172" t="str">
        <f>IF(historico_VU!A41="","",historico_VU!A41)</f>
        <v/>
      </c>
      <c r="B93" s="173" t="str">
        <f>IF(A93="","",historico_VU!B41)</f>
        <v/>
      </c>
      <c r="C93" s="174" t="str">
        <f>IF(A93="","",historico_VU!C41)</f>
        <v/>
      </c>
      <c r="D93" s="174" t="str">
        <f>IF(A93="","",historico_VU!D41)</f>
        <v/>
      </c>
      <c r="E93" s="174" t="str">
        <f>IF(A93="","",historico_VU!E41)</f>
        <v/>
      </c>
      <c r="F93" s="174" t="str">
        <f>IF(A93="","",historico_VU!F41)</f>
        <v/>
      </c>
      <c r="G93" s="174" t="str">
        <f>IF(A93="","",historico_VU!G41)</f>
        <v/>
      </c>
      <c r="H93" s="175" t="str">
        <f>IF(A93="","",historico_VU!H41)</f>
        <v/>
      </c>
      <c r="I93" s="77"/>
      <c r="J93" s="172" t="str">
        <f>IF(itens_Remanesc!A41="","",itens_Remanesc!A41)</f>
        <v/>
      </c>
      <c r="K93" s="173" t="str">
        <f>IF(J93="","",IF($F$4="C0",itens_Remanesc!B41,IF($F$4="C1",itens_Remanesc!E41,IF($F$4="C2",itens_Remanesc!G41,IF($F$4="C3",itens_Remanesc!I41,itens_Remanesc!K41)))))</f>
        <v/>
      </c>
      <c r="L93" s="173" t="str">
        <f>IF(J93="","",IF(SUMIF(itens_Consumidos!$A$2:$A$200,J93,itens_Consumidos!$B$2:$B$200)-SUMIF(itens_Consumidos!$A$2:$A$200,J93,itens_Consumidos!$O$2:$O$200)&lt;0,0,SUMIF(itens_Consumidos!$A$2:$A$200,J93,itens_Consumidos!$B$2:$B$200)-SUMIF(itens_Consumidos!$A$2:$A$200,J93,itens_Consumidos!$O$2:$O$200)))</f>
        <v/>
      </c>
      <c r="M93" s="176" t="str">
        <f>IF(J93="","",itens_Remanesc!C41)</f>
        <v/>
      </c>
      <c r="N93" s="176" t="str">
        <f>IF(J93="","",IF($F$4="C0",historico_VU!C41,IF($F$4="C1",historico_VU!D41,IF($F$4="C2",historico_VU!E41,IF($F$4="C3",historico_VU!F41,historico_VU!G41)))))</f>
        <v/>
      </c>
      <c r="O93" s="176" t="str">
        <f>IF(J93="","",IF(CONTROLE!$B$1="Principal",IF(OR(K93="",M93=""),"",ROUND(K93*M93,2)),IF(CONTROLE!$B$1="Itens Consumidos",IF(OR(L93="",M93=""),"",ROUND(L93*M93,2)),"")))</f>
        <v/>
      </c>
      <c r="P93" s="176" t="str">
        <f>IF(J93="","",IF(CONTROLE!$B$1="Principal",IF(OR(K93="",N93=""),"",ROUND(K93*N93,2)),IF(CONTROLE!$B$1="Itens Consumidos",IF(OR(L93="",N93=""),"",ROUND(L93*N93,2)),"")))</f>
        <v/>
      </c>
      <c r="Q93" s="177" t="str">
        <f>IF(J93="","",IF(OR(M93="",AND(CONTROLE!$B$1="Principal",K93=""),AND(CONTROLE!$B$1="Itens Consumidos",L93="")),"INCOMPLETO",IF(CONTROLE!$B$1="Pedidos de Compras","MANUAL",IF(AND(ISNUMBER(K93),ISNUMBER(L93),ABS(K93-L93)/MAX(ABS(IF(CONTROLE!$B$1="Principal",K93,L93)),1)&gt;$D$4),"DIVERGENTE","OK"))))</f>
        <v/>
      </c>
    </row>
    <row r="94" spans="1:17" x14ac:dyDescent="0.35">
      <c r="A94" s="172" t="str">
        <f>IF(historico_VU!A42="","",historico_VU!A42)</f>
        <v/>
      </c>
      <c r="B94" s="173" t="str">
        <f>IF(A94="","",historico_VU!B42)</f>
        <v/>
      </c>
      <c r="C94" s="174" t="str">
        <f>IF(A94="","",historico_VU!C42)</f>
        <v/>
      </c>
      <c r="D94" s="174" t="str">
        <f>IF(A94="","",historico_VU!D42)</f>
        <v/>
      </c>
      <c r="E94" s="174" t="str">
        <f>IF(A94="","",historico_VU!E42)</f>
        <v/>
      </c>
      <c r="F94" s="174" t="str">
        <f>IF(A94="","",historico_VU!F42)</f>
        <v/>
      </c>
      <c r="G94" s="174" t="str">
        <f>IF(A94="","",historico_VU!G42)</f>
        <v/>
      </c>
      <c r="H94" s="175" t="str">
        <f>IF(A94="","",historico_VU!H42)</f>
        <v/>
      </c>
      <c r="I94" s="77"/>
      <c r="J94" s="172" t="str">
        <f>IF(itens_Remanesc!A42="","",itens_Remanesc!A42)</f>
        <v/>
      </c>
      <c r="K94" s="173" t="str">
        <f>IF(J94="","",IF($F$4="C0",itens_Remanesc!B42,IF($F$4="C1",itens_Remanesc!E42,IF($F$4="C2",itens_Remanesc!G42,IF($F$4="C3",itens_Remanesc!I42,itens_Remanesc!K42)))))</f>
        <v/>
      </c>
      <c r="L94" s="173" t="str">
        <f>IF(J94="","",IF(SUMIF(itens_Consumidos!$A$2:$A$200,J94,itens_Consumidos!$B$2:$B$200)-SUMIF(itens_Consumidos!$A$2:$A$200,J94,itens_Consumidos!$O$2:$O$200)&lt;0,0,SUMIF(itens_Consumidos!$A$2:$A$200,J94,itens_Consumidos!$B$2:$B$200)-SUMIF(itens_Consumidos!$A$2:$A$200,J94,itens_Consumidos!$O$2:$O$200)))</f>
        <v/>
      </c>
      <c r="M94" s="176" t="str">
        <f>IF(J94="","",itens_Remanesc!C42)</f>
        <v/>
      </c>
      <c r="N94" s="176" t="str">
        <f>IF(J94="","",IF($F$4="C0",historico_VU!C42,IF($F$4="C1",historico_VU!D42,IF($F$4="C2",historico_VU!E42,IF($F$4="C3",historico_VU!F42,historico_VU!G42)))))</f>
        <v/>
      </c>
      <c r="O94" s="176" t="str">
        <f>IF(J94="","",IF(CONTROLE!$B$1="Principal",IF(OR(K94="",M94=""),"",ROUND(K94*M94,2)),IF(CONTROLE!$B$1="Itens Consumidos",IF(OR(L94="",M94=""),"",ROUND(L94*M94,2)),"")))</f>
        <v/>
      </c>
      <c r="P94" s="176" t="str">
        <f>IF(J94="","",IF(CONTROLE!$B$1="Principal",IF(OR(K94="",N94=""),"",ROUND(K94*N94,2)),IF(CONTROLE!$B$1="Itens Consumidos",IF(OR(L94="",N94=""),"",ROUND(L94*N94,2)),"")))</f>
        <v/>
      </c>
      <c r="Q94" s="177" t="str">
        <f>IF(J94="","",IF(OR(M94="",AND(CONTROLE!$B$1="Principal",K94=""),AND(CONTROLE!$B$1="Itens Consumidos",L94="")),"INCOMPLETO",IF(CONTROLE!$B$1="Pedidos de Compras","MANUAL",IF(AND(ISNUMBER(K94),ISNUMBER(L94),ABS(K94-L94)/MAX(ABS(IF(CONTROLE!$B$1="Principal",K94,L94)),1)&gt;$D$4),"DIVERGENTE","OK"))))</f>
        <v/>
      </c>
    </row>
    <row r="95" spans="1:17" x14ac:dyDescent="0.35">
      <c r="A95" s="172" t="str">
        <f>IF(historico_VU!A43="","",historico_VU!A43)</f>
        <v/>
      </c>
      <c r="B95" s="173" t="str">
        <f>IF(A95="","",historico_VU!B43)</f>
        <v/>
      </c>
      <c r="C95" s="174" t="str">
        <f>IF(A95="","",historico_VU!C43)</f>
        <v/>
      </c>
      <c r="D95" s="174" t="str">
        <f>IF(A95="","",historico_VU!D43)</f>
        <v/>
      </c>
      <c r="E95" s="174" t="str">
        <f>IF(A95="","",historico_VU!E43)</f>
        <v/>
      </c>
      <c r="F95" s="174" t="str">
        <f>IF(A95="","",historico_VU!F43)</f>
        <v/>
      </c>
      <c r="G95" s="174" t="str">
        <f>IF(A95="","",historico_VU!G43)</f>
        <v/>
      </c>
      <c r="H95" s="175" t="str">
        <f>IF(A95="","",historico_VU!H43)</f>
        <v/>
      </c>
      <c r="I95" s="77"/>
      <c r="J95" s="172" t="str">
        <f>IF(itens_Remanesc!A43="","",itens_Remanesc!A43)</f>
        <v/>
      </c>
      <c r="K95" s="173" t="str">
        <f>IF(J95="","",IF($F$4="C0",itens_Remanesc!B43,IF($F$4="C1",itens_Remanesc!E43,IF($F$4="C2",itens_Remanesc!G43,IF($F$4="C3",itens_Remanesc!I43,itens_Remanesc!K43)))))</f>
        <v/>
      </c>
      <c r="L95" s="173" t="str">
        <f>IF(J95="","",IF(SUMIF(itens_Consumidos!$A$2:$A$200,J95,itens_Consumidos!$B$2:$B$200)-SUMIF(itens_Consumidos!$A$2:$A$200,J95,itens_Consumidos!$O$2:$O$200)&lt;0,0,SUMIF(itens_Consumidos!$A$2:$A$200,J95,itens_Consumidos!$B$2:$B$200)-SUMIF(itens_Consumidos!$A$2:$A$200,J95,itens_Consumidos!$O$2:$O$200)))</f>
        <v/>
      </c>
      <c r="M95" s="176" t="str">
        <f>IF(J95="","",itens_Remanesc!C43)</f>
        <v/>
      </c>
      <c r="N95" s="176" t="str">
        <f>IF(J95="","",IF($F$4="C0",historico_VU!C43,IF($F$4="C1",historico_VU!D43,IF($F$4="C2",historico_VU!E43,IF($F$4="C3",historico_VU!F43,historico_VU!G43)))))</f>
        <v/>
      </c>
      <c r="O95" s="176" t="str">
        <f>IF(J95="","",IF(CONTROLE!$B$1="Principal",IF(OR(K95="",M95=""),"",ROUND(K95*M95,2)),IF(CONTROLE!$B$1="Itens Consumidos",IF(OR(L95="",M95=""),"",ROUND(L95*M95,2)),"")))</f>
        <v/>
      </c>
      <c r="P95" s="176" t="str">
        <f>IF(J95="","",IF(CONTROLE!$B$1="Principal",IF(OR(K95="",N95=""),"",ROUND(K95*N95,2)),IF(CONTROLE!$B$1="Itens Consumidos",IF(OR(L95="",N95=""),"",ROUND(L95*N95,2)),"")))</f>
        <v/>
      </c>
      <c r="Q95" s="177" t="str">
        <f>IF(J95="","",IF(OR(M95="",AND(CONTROLE!$B$1="Principal",K95=""),AND(CONTROLE!$B$1="Itens Consumidos",L95="")),"INCOMPLETO",IF(CONTROLE!$B$1="Pedidos de Compras","MANUAL",IF(AND(ISNUMBER(K95),ISNUMBER(L95),ABS(K95-L95)/MAX(ABS(IF(CONTROLE!$B$1="Principal",K95,L95)),1)&gt;$D$4),"DIVERGENTE","OK"))))</f>
        <v/>
      </c>
    </row>
    <row r="96" spans="1:17" x14ac:dyDescent="0.35">
      <c r="A96" s="172" t="str">
        <f>IF(historico_VU!A44="","",historico_VU!A44)</f>
        <v/>
      </c>
      <c r="B96" s="173" t="str">
        <f>IF(A96="","",historico_VU!B44)</f>
        <v/>
      </c>
      <c r="C96" s="174" t="str">
        <f>IF(A96="","",historico_VU!C44)</f>
        <v/>
      </c>
      <c r="D96" s="174" t="str">
        <f>IF(A96="","",historico_VU!D44)</f>
        <v/>
      </c>
      <c r="E96" s="174" t="str">
        <f>IF(A96="","",historico_VU!E44)</f>
        <v/>
      </c>
      <c r="F96" s="174" t="str">
        <f>IF(A96="","",historico_VU!F44)</f>
        <v/>
      </c>
      <c r="G96" s="174" t="str">
        <f>IF(A96="","",historico_VU!G44)</f>
        <v/>
      </c>
      <c r="H96" s="175" t="str">
        <f>IF(A96="","",historico_VU!H44)</f>
        <v/>
      </c>
      <c r="I96" s="77"/>
      <c r="J96" s="172" t="str">
        <f>IF(itens_Remanesc!A44="","",itens_Remanesc!A44)</f>
        <v/>
      </c>
      <c r="K96" s="173" t="str">
        <f>IF(J96="","",IF($F$4="C0",itens_Remanesc!B44,IF($F$4="C1",itens_Remanesc!E44,IF($F$4="C2",itens_Remanesc!G44,IF($F$4="C3",itens_Remanesc!I44,itens_Remanesc!K44)))))</f>
        <v/>
      </c>
      <c r="L96" s="173" t="str">
        <f>IF(J96="","",IF(SUMIF(itens_Consumidos!$A$2:$A$200,J96,itens_Consumidos!$B$2:$B$200)-SUMIF(itens_Consumidos!$A$2:$A$200,J96,itens_Consumidos!$O$2:$O$200)&lt;0,0,SUMIF(itens_Consumidos!$A$2:$A$200,J96,itens_Consumidos!$B$2:$B$200)-SUMIF(itens_Consumidos!$A$2:$A$200,J96,itens_Consumidos!$O$2:$O$200)))</f>
        <v/>
      </c>
      <c r="M96" s="176" t="str">
        <f>IF(J96="","",itens_Remanesc!C44)</f>
        <v/>
      </c>
      <c r="N96" s="176" t="str">
        <f>IF(J96="","",IF($F$4="C0",historico_VU!C44,IF($F$4="C1",historico_VU!D44,IF($F$4="C2",historico_VU!E44,IF($F$4="C3",historico_VU!F44,historico_VU!G44)))))</f>
        <v/>
      </c>
      <c r="O96" s="176" t="str">
        <f>IF(J96="","",IF(CONTROLE!$B$1="Principal",IF(OR(K96="",M96=""),"",ROUND(K96*M96,2)),IF(CONTROLE!$B$1="Itens Consumidos",IF(OR(L96="",M96=""),"",ROUND(L96*M96,2)),"")))</f>
        <v/>
      </c>
      <c r="P96" s="176" t="str">
        <f>IF(J96="","",IF(CONTROLE!$B$1="Principal",IF(OR(K96="",N96=""),"",ROUND(K96*N96,2)),IF(CONTROLE!$B$1="Itens Consumidos",IF(OR(L96="",N96=""),"",ROUND(L96*N96,2)),"")))</f>
        <v/>
      </c>
      <c r="Q96" s="177" t="str">
        <f>IF(J96="","",IF(OR(M96="",AND(CONTROLE!$B$1="Principal",K96=""),AND(CONTROLE!$B$1="Itens Consumidos",L96="")),"INCOMPLETO",IF(CONTROLE!$B$1="Pedidos de Compras","MANUAL",IF(AND(ISNUMBER(K96),ISNUMBER(L96),ABS(K96-L96)/MAX(ABS(IF(CONTROLE!$B$1="Principal",K96,L96)),1)&gt;$D$4),"DIVERGENTE","OK"))))</f>
        <v/>
      </c>
    </row>
    <row r="97" spans="1:17" x14ac:dyDescent="0.35">
      <c r="A97" s="172" t="str">
        <f>IF(historico_VU!A45="","",historico_VU!A45)</f>
        <v/>
      </c>
      <c r="B97" s="173" t="str">
        <f>IF(A97="","",historico_VU!B45)</f>
        <v/>
      </c>
      <c r="C97" s="174" t="str">
        <f>IF(A97="","",historico_VU!C45)</f>
        <v/>
      </c>
      <c r="D97" s="174" t="str">
        <f>IF(A97="","",historico_VU!D45)</f>
        <v/>
      </c>
      <c r="E97" s="174" t="str">
        <f>IF(A97="","",historico_VU!E45)</f>
        <v/>
      </c>
      <c r="F97" s="174" t="str">
        <f>IF(A97="","",historico_VU!F45)</f>
        <v/>
      </c>
      <c r="G97" s="174" t="str">
        <f>IF(A97="","",historico_VU!G45)</f>
        <v/>
      </c>
      <c r="H97" s="175" t="str">
        <f>IF(A97="","",historico_VU!H45)</f>
        <v/>
      </c>
      <c r="I97" s="77"/>
      <c r="J97" s="172" t="str">
        <f>IF(itens_Remanesc!A45="","",itens_Remanesc!A45)</f>
        <v/>
      </c>
      <c r="K97" s="173" t="str">
        <f>IF(J97="","",IF($F$4="C0",itens_Remanesc!B45,IF($F$4="C1",itens_Remanesc!E45,IF($F$4="C2",itens_Remanesc!G45,IF($F$4="C3",itens_Remanesc!I45,itens_Remanesc!K45)))))</f>
        <v/>
      </c>
      <c r="L97" s="173" t="str">
        <f>IF(J97="","",IF(SUMIF(itens_Consumidos!$A$2:$A$200,J97,itens_Consumidos!$B$2:$B$200)-SUMIF(itens_Consumidos!$A$2:$A$200,J97,itens_Consumidos!$O$2:$O$200)&lt;0,0,SUMIF(itens_Consumidos!$A$2:$A$200,J97,itens_Consumidos!$B$2:$B$200)-SUMIF(itens_Consumidos!$A$2:$A$200,J97,itens_Consumidos!$O$2:$O$200)))</f>
        <v/>
      </c>
      <c r="M97" s="176" t="str">
        <f>IF(J97="","",itens_Remanesc!C45)</f>
        <v/>
      </c>
      <c r="N97" s="176" t="str">
        <f>IF(J97="","",IF($F$4="C0",historico_VU!C45,IF($F$4="C1",historico_VU!D45,IF($F$4="C2",historico_VU!E45,IF($F$4="C3",historico_VU!F45,historico_VU!G45)))))</f>
        <v/>
      </c>
      <c r="O97" s="176" t="str">
        <f>IF(J97="","",IF(CONTROLE!$B$1="Principal",IF(OR(K97="",M97=""),"",ROUND(K97*M97,2)),IF(CONTROLE!$B$1="Itens Consumidos",IF(OR(L97="",M97=""),"",ROUND(L97*M97,2)),"")))</f>
        <v/>
      </c>
      <c r="P97" s="176" t="str">
        <f>IF(J97="","",IF(CONTROLE!$B$1="Principal",IF(OR(K97="",N97=""),"",ROUND(K97*N97,2)),IF(CONTROLE!$B$1="Itens Consumidos",IF(OR(L97="",N97=""),"",ROUND(L97*N97,2)),"")))</f>
        <v/>
      </c>
      <c r="Q97" s="177" t="str">
        <f>IF(J97="","",IF(OR(M97="",AND(CONTROLE!$B$1="Principal",K97=""),AND(CONTROLE!$B$1="Itens Consumidos",L97="")),"INCOMPLETO",IF(CONTROLE!$B$1="Pedidos de Compras","MANUAL",IF(AND(ISNUMBER(K97),ISNUMBER(L97),ABS(K97-L97)/MAX(ABS(IF(CONTROLE!$B$1="Principal",K97,L97)),1)&gt;$D$4),"DIVERGENTE","OK"))))</f>
        <v/>
      </c>
    </row>
    <row r="98" spans="1:17" x14ac:dyDescent="0.35">
      <c r="A98" s="172" t="str">
        <f>IF(historico_VU!A46="","",historico_VU!A46)</f>
        <v/>
      </c>
      <c r="B98" s="173" t="str">
        <f>IF(A98="","",historico_VU!B46)</f>
        <v/>
      </c>
      <c r="C98" s="174" t="str">
        <f>IF(A98="","",historico_VU!C46)</f>
        <v/>
      </c>
      <c r="D98" s="174" t="str">
        <f>IF(A98="","",historico_VU!D46)</f>
        <v/>
      </c>
      <c r="E98" s="174" t="str">
        <f>IF(A98="","",historico_VU!E46)</f>
        <v/>
      </c>
      <c r="F98" s="174" t="str">
        <f>IF(A98="","",historico_VU!F46)</f>
        <v/>
      </c>
      <c r="G98" s="174" t="str">
        <f>IF(A98="","",historico_VU!G46)</f>
        <v/>
      </c>
      <c r="H98" s="175" t="str">
        <f>IF(A98="","",historico_VU!H46)</f>
        <v/>
      </c>
      <c r="I98" s="77"/>
      <c r="J98" s="172" t="str">
        <f>IF(itens_Remanesc!A46="","",itens_Remanesc!A46)</f>
        <v/>
      </c>
      <c r="K98" s="173" t="str">
        <f>IF(J98="","",IF($F$4="C0",itens_Remanesc!B46,IF($F$4="C1",itens_Remanesc!E46,IF($F$4="C2",itens_Remanesc!G46,IF($F$4="C3",itens_Remanesc!I46,itens_Remanesc!K46)))))</f>
        <v/>
      </c>
      <c r="L98" s="173" t="str">
        <f>IF(J98="","",IF(SUMIF(itens_Consumidos!$A$2:$A$200,J98,itens_Consumidos!$B$2:$B$200)-SUMIF(itens_Consumidos!$A$2:$A$200,J98,itens_Consumidos!$O$2:$O$200)&lt;0,0,SUMIF(itens_Consumidos!$A$2:$A$200,J98,itens_Consumidos!$B$2:$B$200)-SUMIF(itens_Consumidos!$A$2:$A$200,J98,itens_Consumidos!$O$2:$O$200)))</f>
        <v/>
      </c>
      <c r="M98" s="176" t="str">
        <f>IF(J98="","",itens_Remanesc!C46)</f>
        <v/>
      </c>
      <c r="N98" s="176" t="str">
        <f>IF(J98="","",IF($F$4="C0",historico_VU!C46,IF($F$4="C1",historico_VU!D46,IF($F$4="C2",historico_VU!E46,IF($F$4="C3",historico_VU!F46,historico_VU!G46)))))</f>
        <v/>
      </c>
      <c r="O98" s="176" t="str">
        <f>IF(J98="","",IF(CONTROLE!$B$1="Principal",IF(OR(K98="",M98=""),"",ROUND(K98*M98,2)),IF(CONTROLE!$B$1="Itens Consumidos",IF(OR(L98="",M98=""),"",ROUND(L98*M98,2)),"")))</f>
        <v/>
      </c>
      <c r="P98" s="176" t="str">
        <f>IF(J98="","",IF(CONTROLE!$B$1="Principal",IF(OR(K98="",N98=""),"",ROUND(K98*N98,2)),IF(CONTROLE!$B$1="Itens Consumidos",IF(OR(L98="",N98=""),"",ROUND(L98*N98,2)),"")))</f>
        <v/>
      </c>
      <c r="Q98" s="177" t="str">
        <f>IF(J98="","",IF(OR(M98="",AND(CONTROLE!$B$1="Principal",K98=""),AND(CONTROLE!$B$1="Itens Consumidos",L98="")),"INCOMPLETO",IF(CONTROLE!$B$1="Pedidos de Compras","MANUAL",IF(AND(ISNUMBER(K98),ISNUMBER(L98),ABS(K98-L98)/MAX(ABS(IF(CONTROLE!$B$1="Principal",K98,L98)),1)&gt;$D$4),"DIVERGENTE","OK"))))</f>
        <v/>
      </c>
    </row>
    <row r="99" spans="1:17" x14ac:dyDescent="0.35">
      <c r="A99" s="172" t="str">
        <f>IF(historico_VU!A47="","",historico_VU!A47)</f>
        <v/>
      </c>
      <c r="B99" s="173" t="str">
        <f>IF(A99="","",historico_VU!B47)</f>
        <v/>
      </c>
      <c r="C99" s="174" t="str">
        <f>IF(A99="","",historico_VU!C47)</f>
        <v/>
      </c>
      <c r="D99" s="174" t="str">
        <f>IF(A99="","",historico_VU!D47)</f>
        <v/>
      </c>
      <c r="E99" s="174" t="str">
        <f>IF(A99="","",historico_VU!E47)</f>
        <v/>
      </c>
      <c r="F99" s="174" t="str">
        <f>IF(A99="","",historico_VU!F47)</f>
        <v/>
      </c>
      <c r="G99" s="174" t="str">
        <f>IF(A99="","",historico_VU!G47)</f>
        <v/>
      </c>
      <c r="H99" s="175" t="str">
        <f>IF(A99="","",historico_VU!H47)</f>
        <v/>
      </c>
      <c r="I99" s="77"/>
      <c r="J99" s="172" t="str">
        <f>IF(itens_Remanesc!A47="","",itens_Remanesc!A47)</f>
        <v/>
      </c>
      <c r="K99" s="173" t="str">
        <f>IF(J99="","",IF($F$4="C0",itens_Remanesc!B47,IF($F$4="C1",itens_Remanesc!E47,IF($F$4="C2",itens_Remanesc!G47,IF($F$4="C3",itens_Remanesc!I47,itens_Remanesc!K47)))))</f>
        <v/>
      </c>
      <c r="L99" s="173" t="str">
        <f>IF(J99="","",IF(SUMIF(itens_Consumidos!$A$2:$A$200,J99,itens_Consumidos!$B$2:$B$200)-SUMIF(itens_Consumidos!$A$2:$A$200,J99,itens_Consumidos!$O$2:$O$200)&lt;0,0,SUMIF(itens_Consumidos!$A$2:$A$200,J99,itens_Consumidos!$B$2:$B$200)-SUMIF(itens_Consumidos!$A$2:$A$200,J99,itens_Consumidos!$O$2:$O$200)))</f>
        <v/>
      </c>
      <c r="M99" s="176" t="str">
        <f>IF(J99="","",itens_Remanesc!C47)</f>
        <v/>
      </c>
      <c r="N99" s="176" t="str">
        <f>IF(J99="","",IF($F$4="C0",historico_VU!C47,IF($F$4="C1",historico_VU!D47,IF($F$4="C2",historico_VU!E47,IF($F$4="C3",historico_VU!F47,historico_VU!G47)))))</f>
        <v/>
      </c>
      <c r="O99" s="176" t="str">
        <f>IF(J99="","",IF(CONTROLE!$B$1="Principal",IF(OR(K99="",M99=""),"",ROUND(K99*M99,2)),IF(CONTROLE!$B$1="Itens Consumidos",IF(OR(L99="",M99=""),"",ROUND(L99*M99,2)),"")))</f>
        <v/>
      </c>
      <c r="P99" s="176" t="str">
        <f>IF(J99="","",IF(CONTROLE!$B$1="Principal",IF(OR(K99="",N99=""),"",ROUND(K99*N99,2)),IF(CONTROLE!$B$1="Itens Consumidos",IF(OR(L99="",N99=""),"",ROUND(L99*N99,2)),"")))</f>
        <v/>
      </c>
      <c r="Q99" s="177" t="str">
        <f>IF(J99="","",IF(OR(M99="",AND(CONTROLE!$B$1="Principal",K99=""),AND(CONTROLE!$B$1="Itens Consumidos",L99="")),"INCOMPLETO",IF(CONTROLE!$B$1="Pedidos de Compras","MANUAL",IF(AND(ISNUMBER(K99),ISNUMBER(L99),ABS(K99-L99)/MAX(ABS(IF(CONTROLE!$B$1="Principal",K99,L99)),1)&gt;$D$4),"DIVERGENTE","OK"))))</f>
        <v/>
      </c>
    </row>
    <row r="100" spans="1:17" x14ac:dyDescent="0.35">
      <c r="A100" s="172" t="str">
        <f>IF(historico_VU!A48="","",historico_VU!A48)</f>
        <v/>
      </c>
      <c r="B100" s="173" t="str">
        <f>IF(A100="","",historico_VU!B48)</f>
        <v/>
      </c>
      <c r="C100" s="174" t="str">
        <f>IF(A100="","",historico_VU!C48)</f>
        <v/>
      </c>
      <c r="D100" s="174" t="str">
        <f>IF(A100="","",historico_VU!D48)</f>
        <v/>
      </c>
      <c r="E100" s="174" t="str">
        <f>IF(A100="","",historico_VU!E48)</f>
        <v/>
      </c>
      <c r="F100" s="174" t="str">
        <f>IF(A100="","",historico_VU!F48)</f>
        <v/>
      </c>
      <c r="G100" s="174" t="str">
        <f>IF(A100="","",historico_VU!G48)</f>
        <v/>
      </c>
      <c r="H100" s="175" t="str">
        <f>IF(A100="","",historico_VU!H48)</f>
        <v/>
      </c>
      <c r="I100" s="77"/>
      <c r="J100" s="172" t="str">
        <f>IF(itens_Remanesc!A48="","",itens_Remanesc!A48)</f>
        <v/>
      </c>
      <c r="K100" s="173" t="str">
        <f>IF(J100="","",IF($F$4="C0",itens_Remanesc!B48,IF($F$4="C1",itens_Remanesc!E48,IF($F$4="C2",itens_Remanesc!G48,IF($F$4="C3",itens_Remanesc!I48,itens_Remanesc!K48)))))</f>
        <v/>
      </c>
      <c r="L100" s="173" t="str">
        <f>IF(J100="","",IF(SUMIF(itens_Consumidos!$A$2:$A$200,J100,itens_Consumidos!$B$2:$B$200)-SUMIF(itens_Consumidos!$A$2:$A$200,J100,itens_Consumidos!$O$2:$O$200)&lt;0,0,SUMIF(itens_Consumidos!$A$2:$A$200,J100,itens_Consumidos!$B$2:$B$200)-SUMIF(itens_Consumidos!$A$2:$A$200,J100,itens_Consumidos!$O$2:$O$200)))</f>
        <v/>
      </c>
      <c r="M100" s="176" t="str">
        <f>IF(J100="","",itens_Remanesc!C48)</f>
        <v/>
      </c>
      <c r="N100" s="176" t="str">
        <f>IF(J100="","",IF($F$4="C0",historico_VU!C48,IF($F$4="C1",historico_VU!D48,IF($F$4="C2",historico_VU!E48,IF($F$4="C3",historico_VU!F48,historico_VU!G48)))))</f>
        <v/>
      </c>
      <c r="O100" s="176" t="str">
        <f>IF(J100="","",IF(CONTROLE!$B$1="Principal",IF(OR(K100="",M100=""),"",ROUND(K100*M100,2)),IF(CONTROLE!$B$1="Itens Consumidos",IF(OR(L100="",M100=""),"",ROUND(L100*M100,2)),"")))</f>
        <v/>
      </c>
      <c r="P100" s="176" t="str">
        <f>IF(J100="","",IF(CONTROLE!$B$1="Principal",IF(OR(K100="",N100=""),"",ROUND(K100*N100,2)),IF(CONTROLE!$B$1="Itens Consumidos",IF(OR(L100="",N100=""),"",ROUND(L100*N100,2)),"")))</f>
        <v/>
      </c>
      <c r="Q100" s="177" t="str">
        <f>IF(J100="","",IF(OR(M100="",AND(CONTROLE!$B$1="Principal",K100=""),AND(CONTROLE!$B$1="Itens Consumidos",L100="")),"INCOMPLETO",IF(CONTROLE!$B$1="Pedidos de Compras","MANUAL",IF(AND(ISNUMBER(K100),ISNUMBER(L100),ABS(K100-L100)/MAX(ABS(IF(CONTROLE!$B$1="Principal",K100,L100)),1)&gt;$D$4),"DIVERGENTE","OK"))))</f>
        <v/>
      </c>
    </row>
    <row r="101" spans="1:17" x14ac:dyDescent="0.35">
      <c r="A101" s="172" t="str">
        <f>IF(historico_VU!A49="","",historico_VU!A49)</f>
        <v/>
      </c>
      <c r="B101" s="173" t="str">
        <f>IF(A101="","",historico_VU!B49)</f>
        <v/>
      </c>
      <c r="C101" s="174" t="str">
        <f>IF(A101="","",historico_VU!C49)</f>
        <v/>
      </c>
      <c r="D101" s="174" t="str">
        <f>IF(A101="","",historico_VU!D49)</f>
        <v/>
      </c>
      <c r="E101" s="174" t="str">
        <f>IF(A101="","",historico_VU!E49)</f>
        <v/>
      </c>
      <c r="F101" s="174" t="str">
        <f>IF(A101="","",historico_VU!F49)</f>
        <v/>
      </c>
      <c r="G101" s="174" t="str">
        <f>IF(A101="","",historico_VU!G49)</f>
        <v/>
      </c>
      <c r="H101" s="175" t="str">
        <f>IF(A101="","",historico_VU!H49)</f>
        <v/>
      </c>
      <c r="I101" s="77"/>
      <c r="J101" s="172" t="str">
        <f>IF(itens_Remanesc!A49="","",itens_Remanesc!A49)</f>
        <v/>
      </c>
      <c r="K101" s="173" t="str">
        <f>IF(J101="","",IF($F$4="C0",itens_Remanesc!B49,IF($F$4="C1",itens_Remanesc!E49,IF($F$4="C2",itens_Remanesc!G49,IF($F$4="C3",itens_Remanesc!I49,itens_Remanesc!K49)))))</f>
        <v/>
      </c>
      <c r="L101" s="173" t="str">
        <f>IF(J101="","",IF(SUMIF(itens_Consumidos!$A$2:$A$200,J101,itens_Consumidos!$B$2:$B$200)-SUMIF(itens_Consumidos!$A$2:$A$200,J101,itens_Consumidos!$O$2:$O$200)&lt;0,0,SUMIF(itens_Consumidos!$A$2:$A$200,J101,itens_Consumidos!$B$2:$B$200)-SUMIF(itens_Consumidos!$A$2:$A$200,J101,itens_Consumidos!$O$2:$O$200)))</f>
        <v/>
      </c>
      <c r="M101" s="176" t="str">
        <f>IF(J101="","",itens_Remanesc!C49)</f>
        <v/>
      </c>
      <c r="N101" s="176" t="str">
        <f>IF(J101="","",IF($F$4="C0",historico_VU!C49,IF($F$4="C1",historico_VU!D49,IF($F$4="C2",historico_VU!E49,IF($F$4="C3",historico_VU!F49,historico_VU!G49)))))</f>
        <v/>
      </c>
      <c r="O101" s="176" t="str">
        <f>IF(J101="","",IF(CONTROLE!$B$1="Principal",IF(OR(K101="",M101=""),"",ROUND(K101*M101,2)),IF(CONTROLE!$B$1="Itens Consumidos",IF(OR(L101="",M101=""),"",ROUND(L101*M101,2)),"")))</f>
        <v/>
      </c>
      <c r="P101" s="176" t="str">
        <f>IF(J101="","",IF(CONTROLE!$B$1="Principal",IF(OR(K101="",N101=""),"",ROUND(K101*N101,2)),IF(CONTROLE!$B$1="Itens Consumidos",IF(OR(L101="",N101=""),"",ROUND(L101*N101,2)),"")))</f>
        <v/>
      </c>
      <c r="Q101" s="177" t="str">
        <f>IF(J101="","",IF(OR(M101="",AND(CONTROLE!$B$1="Principal",K101=""),AND(CONTROLE!$B$1="Itens Consumidos",L101="")),"INCOMPLETO",IF(CONTROLE!$B$1="Pedidos de Compras","MANUAL",IF(AND(ISNUMBER(K101),ISNUMBER(L101),ABS(K101-L101)/MAX(ABS(IF(CONTROLE!$B$1="Principal",K101,L101)),1)&gt;$D$4),"DIVERGENTE","OK"))))</f>
        <v/>
      </c>
    </row>
    <row r="102" spans="1:17" x14ac:dyDescent="0.35">
      <c r="A102" s="172" t="str">
        <f>IF(historico_VU!A50="","",historico_VU!A50)</f>
        <v/>
      </c>
      <c r="B102" s="173" t="str">
        <f>IF(A102="","",historico_VU!B50)</f>
        <v/>
      </c>
      <c r="C102" s="174" t="str">
        <f>IF(A102="","",historico_VU!C50)</f>
        <v/>
      </c>
      <c r="D102" s="174" t="str">
        <f>IF(A102="","",historico_VU!D50)</f>
        <v/>
      </c>
      <c r="E102" s="174" t="str">
        <f>IF(A102="","",historico_VU!E50)</f>
        <v/>
      </c>
      <c r="F102" s="174" t="str">
        <f>IF(A102="","",historico_VU!F50)</f>
        <v/>
      </c>
      <c r="G102" s="174" t="str">
        <f>IF(A102="","",historico_VU!G50)</f>
        <v/>
      </c>
      <c r="H102" s="175" t="str">
        <f>IF(A102="","",historico_VU!H50)</f>
        <v/>
      </c>
      <c r="I102" s="77"/>
      <c r="J102" s="172" t="str">
        <f>IF(itens_Remanesc!A50="","",itens_Remanesc!A50)</f>
        <v/>
      </c>
      <c r="K102" s="173" t="str">
        <f>IF(J102="","",IF($F$4="C0",itens_Remanesc!B50,IF($F$4="C1",itens_Remanesc!E50,IF($F$4="C2",itens_Remanesc!G50,IF($F$4="C3",itens_Remanesc!I50,itens_Remanesc!K50)))))</f>
        <v/>
      </c>
      <c r="L102" s="173" t="str">
        <f>IF(J102="","",IF(SUMIF(itens_Consumidos!$A$2:$A$200,J102,itens_Consumidos!$B$2:$B$200)-SUMIF(itens_Consumidos!$A$2:$A$200,J102,itens_Consumidos!$O$2:$O$200)&lt;0,0,SUMIF(itens_Consumidos!$A$2:$A$200,J102,itens_Consumidos!$B$2:$B$200)-SUMIF(itens_Consumidos!$A$2:$A$200,J102,itens_Consumidos!$O$2:$O$200)))</f>
        <v/>
      </c>
      <c r="M102" s="176" t="str">
        <f>IF(J102="","",itens_Remanesc!C50)</f>
        <v/>
      </c>
      <c r="N102" s="176" t="str">
        <f>IF(J102="","",IF($F$4="C0",historico_VU!C50,IF($F$4="C1",historico_VU!D50,IF($F$4="C2",historico_VU!E50,IF($F$4="C3",historico_VU!F50,historico_VU!G50)))))</f>
        <v/>
      </c>
      <c r="O102" s="176" t="str">
        <f>IF(J102="","",IF(CONTROLE!$B$1="Principal",IF(OR(K102="",M102=""),"",ROUND(K102*M102,2)),IF(CONTROLE!$B$1="Itens Consumidos",IF(OR(L102="",M102=""),"",ROUND(L102*M102,2)),"")))</f>
        <v/>
      </c>
      <c r="P102" s="176" t="str">
        <f>IF(J102="","",IF(CONTROLE!$B$1="Principal",IF(OR(K102="",N102=""),"",ROUND(K102*N102,2)),IF(CONTROLE!$B$1="Itens Consumidos",IF(OR(L102="",N102=""),"",ROUND(L102*N102,2)),"")))</f>
        <v/>
      </c>
      <c r="Q102" s="177" t="str">
        <f>IF(J102="","",IF(OR(M102="",AND(CONTROLE!$B$1="Principal",K102=""),AND(CONTROLE!$B$1="Itens Consumidos",L102="")),"INCOMPLETO",IF(CONTROLE!$B$1="Pedidos de Compras","MANUAL",IF(AND(ISNUMBER(K102),ISNUMBER(L102),ABS(K102-L102)/MAX(ABS(IF(CONTROLE!$B$1="Principal",K102,L102)),1)&gt;$D$4),"DIVERGENTE","OK"))))</f>
        <v/>
      </c>
    </row>
    <row r="103" spans="1:17" x14ac:dyDescent="0.35">
      <c r="A103" s="172" t="str">
        <f>IF(historico_VU!A51="","",historico_VU!A51)</f>
        <v/>
      </c>
      <c r="B103" s="173" t="str">
        <f>IF(A103="","",historico_VU!B51)</f>
        <v/>
      </c>
      <c r="C103" s="174" t="str">
        <f>IF(A103="","",historico_VU!C51)</f>
        <v/>
      </c>
      <c r="D103" s="174" t="str">
        <f>IF(A103="","",historico_VU!D51)</f>
        <v/>
      </c>
      <c r="E103" s="174" t="str">
        <f>IF(A103="","",historico_VU!E51)</f>
        <v/>
      </c>
      <c r="F103" s="174" t="str">
        <f>IF(A103="","",historico_VU!F51)</f>
        <v/>
      </c>
      <c r="G103" s="174" t="str">
        <f>IF(A103="","",historico_VU!G51)</f>
        <v/>
      </c>
      <c r="H103" s="175" t="str">
        <f>IF(A103="","",historico_VU!H51)</f>
        <v/>
      </c>
      <c r="I103" s="77"/>
      <c r="J103" s="172" t="str">
        <f>IF(itens_Remanesc!A51="","",itens_Remanesc!A51)</f>
        <v/>
      </c>
      <c r="K103" s="173" t="str">
        <f>IF(J103="","",IF($F$4="C0",itens_Remanesc!B51,IF($F$4="C1",itens_Remanesc!E51,IF($F$4="C2",itens_Remanesc!G51,IF($F$4="C3",itens_Remanesc!I51,itens_Remanesc!K51)))))</f>
        <v/>
      </c>
      <c r="L103" s="173" t="str">
        <f>IF(J103="","",IF(SUMIF(itens_Consumidos!$A$2:$A$200,J103,itens_Consumidos!$B$2:$B$200)-SUMIF(itens_Consumidos!$A$2:$A$200,J103,itens_Consumidos!$O$2:$O$200)&lt;0,0,SUMIF(itens_Consumidos!$A$2:$A$200,J103,itens_Consumidos!$B$2:$B$200)-SUMIF(itens_Consumidos!$A$2:$A$200,J103,itens_Consumidos!$O$2:$O$200)))</f>
        <v/>
      </c>
      <c r="M103" s="176" t="str">
        <f>IF(J103="","",itens_Remanesc!C51)</f>
        <v/>
      </c>
      <c r="N103" s="176" t="str">
        <f>IF(J103="","",IF($F$4="C0",historico_VU!C51,IF($F$4="C1",historico_VU!D51,IF($F$4="C2",historico_VU!E51,IF($F$4="C3",historico_VU!F51,historico_VU!G51)))))</f>
        <v/>
      </c>
      <c r="O103" s="176" t="str">
        <f>IF(J103="","",IF(CONTROLE!$B$1="Principal",IF(OR(K103="",M103=""),"",ROUND(K103*M103,2)),IF(CONTROLE!$B$1="Itens Consumidos",IF(OR(L103="",M103=""),"",ROUND(L103*M103,2)),"")))</f>
        <v/>
      </c>
      <c r="P103" s="176" t="str">
        <f>IF(J103="","",IF(CONTROLE!$B$1="Principal",IF(OR(K103="",N103=""),"",ROUND(K103*N103,2)),IF(CONTROLE!$B$1="Itens Consumidos",IF(OR(L103="",N103=""),"",ROUND(L103*N103,2)),"")))</f>
        <v/>
      </c>
      <c r="Q103" s="177" t="str">
        <f>IF(J103="","",IF(OR(M103="",AND(CONTROLE!$B$1="Principal",K103=""),AND(CONTROLE!$B$1="Itens Consumidos",L103="")),"INCOMPLETO",IF(CONTROLE!$B$1="Pedidos de Compras","MANUAL",IF(AND(ISNUMBER(K103),ISNUMBER(L103),ABS(K103-L103)/MAX(ABS(IF(CONTROLE!$B$1="Principal",K103,L103)),1)&gt;$D$4),"DIVERGENTE","OK"))))</f>
        <v/>
      </c>
    </row>
    <row r="104" spans="1:17" x14ac:dyDescent="0.35">
      <c r="A104" s="172" t="str">
        <f>IF(historico_VU!A52="","",historico_VU!A52)</f>
        <v/>
      </c>
      <c r="B104" s="173" t="str">
        <f>IF(A104="","",historico_VU!B52)</f>
        <v/>
      </c>
      <c r="C104" s="174" t="str">
        <f>IF(A104="","",historico_VU!C52)</f>
        <v/>
      </c>
      <c r="D104" s="174" t="str">
        <f>IF(A104="","",historico_VU!D52)</f>
        <v/>
      </c>
      <c r="E104" s="174" t="str">
        <f>IF(A104="","",historico_VU!E52)</f>
        <v/>
      </c>
      <c r="F104" s="174" t="str">
        <f>IF(A104="","",historico_VU!F52)</f>
        <v/>
      </c>
      <c r="G104" s="174" t="str">
        <f>IF(A104="","",historico_VU!G52)</f>
        <v/>
      </c>
      <c r="H104" s="175" t="str">
        <f>IF(A104="","",historico_VU!H52)</f>
        <v/>
      </c>
      <c r="I104" s="77"/>
      <c r="J104" s="172" t="str">
        <f>IF(itens_Remanesc!A52="","",itens_Remanesc!A52)</f>
        <v/>
      </c>
      <c r="K104" s="173" t="str">
        <f>IF(J104="","",IF($F$4="C0",itens_Remanesc!B52,IF($F$4="C1",itens_Remanesc!E52,IF($F$4="C2",itens_Remanesc!G52,IF($F$4="C3",itens_Remanesc!I52,itens_Remanesc!K52)))))</f>
        <v/>
      </c>
      <c r="L104" s="173" t="str">
        <f>IF(J104="","",IF(SUMIF(itens_Consumidos!$A$2:$A$200,J104,itens_Consumidos!$B$2:$B$200)-SUMIF(itens_Consumidos!$A$2:$A$200,J104,itens_Consumidos!$O$2:$O$200)&lt;0,0,SUMIF(itens_Consumidos!$A$2:$A$200,J104,itens_Consumidos!$B$2:$B$200)-SUMIF(itens_Consumidos!$A$2:$A$200,J104,itens_Consumidos!$O$2:$O$200)))</f>
        <v/>
      </c>
      <c r="M104" s="176" t="str">
        <f>IF(J104="","",itens_Remanesc!C52)</f>
        <v/>
      </c>
      <c r="N104" s="176" t="str">
        <f>IF(J104="","",IF($F$4="C0",historico_VU!C52,IF($F$4="C1",historico_VU!D52,IF($F$4="C2",historico_VU!E52,IF($F$4="C3",historico_VU!F52,historico_VU!G52)))))</f>
        <v/>
      </c>
      <c r="O104" s="176" t="str">
        <f>IF(J104="","",IF(CONTROLE!$B$1="Principal",IF(OR(K104="",M104=""),"",ROUND(K104*M104,2)),IF(CONTROLE!$B$1="Itens Consumidos",IF(OR(L104="",M104=""),"",ROUND(L104*M104,2)),"")))</f>
        <v/>
      </c>
      <c r="P104" s="176" t="str">
        <f>IF(J104="","",IF(CONTROLE!$B$1="Principal",IF(OR(K104="",N104=""),"",ROUND(K104*N104,2)),IF(CONTROLE!$B$1="Itens Consumidos",IF(OR(L104="",N104=""),"",ROUND(L104*N104,2)),"")))</f>
        <v/>
      </c>
      <c r="Q104" s="177" t="str">
        <f>IF(J104="","",IF(OR(M104="",AND(CONTROLE!$B$1="Principal",K104=""),AND(CONTROLE!$B$1="Itens Consumidos",L104="")),"INCOMPLETO",IF(CONTROLE!$B$1="Pedidos de Compras","MANUAL",IF(AND(ISNUMBER(K104),ISNUMBER(L104),ABS(K104-L104)/MAX(ABS(IF(CONTROLE!$B$1="Principal",K104,L104)),1)&gt;$D$4),"DIVERGENTE","OK"))))</f>
        <v/>
      </c>
    </row>
    <row r="105" spans="1:17" x14ac:dyDescent="0.35">
      <c r="A105" s="172" t="str">
        <f>IF(historico_VU!A53="","",historico_VU!A53)</f>
        <v/>
      </c>
      <c r="B105" s="173" t="str">
        <f>IF(A105="","",historico_VU!B53)</f>
        <v/>
      </c>
      <c r="C105" s="174" t="str">
        <f>IF(A105="","",historico_VU!C53)</f>
        <v/>
      </c>
      <c r="D105" s="174" t="str">
        <f>IF(A105="","",historico_VU!D53)</f>
        <v/>
      </c>
      <c r="E105" s="174" t="str">
        <f>IF(A105="","",historico_VU!E53)</f>
        <v/>
      </c>
      <c r="F105" s="174" t="str">
        <f>IF(A105="","",historico_VU!F53)</f>
        <v/>
      </c>
      <c r="G105" s="174" t="str">
        <f>IF(A105="","",historico_VU!G53)</f>
        <v/>
      </c>
      <c r="H105" s="175" t="str">
        <f>IF(A105="","",historico_VU!H53)</f>
        <v/>
      </c>
      <c r="I105" s="77"/>
      <c r="J105" s="172" t="str">
        <f>IF(itens_Remanesc!A53="","",itens_Remanesc!A53)</f>
        <v/>
      </c>
      <c r="K105" s="173" t="str">
        <f>IF(J105="","",IF($F$4="C0",itens_Remanesc!B53,IF($F$4="C1",itens_Remanesc!E53,IF($F$4="C2",itens_Remanesc!G53,IF($F$4="C3",itens_Remanesc!I53,itens_Remanesc!K53)))))</f>
        <v/>
      </c>
      <c r="L105" s="173" t="str">
        <f>IF(J105="","",IF(SUMIF(itens_Consumidos!$A$2:$A$200,J105,itens_Consumidos!$B$2:$B$200)-SUMIF(itens_Consumidos!$A$2:$A$200,J105,itens_Consumidos!$O$2:$O$200)&lt;0,0,SUMIF(itens_Consumidos!$A$2:$A$200,J105,itens_Consumidos!$B$2:$B$200)-SUMIF(itens_Consumidos!$A$2:$A$200,J105,itens_Consumidos!$O$2:$O$200)))</f>
        <v/>
      </c>
      <c r="M105" s="176" t="str">
        <f>IF(J105="","",itens_Remanesc!C53)</f>
        <v/>
      </c>
      <c r="N105" s="176" t="str">
        <f>IF(J105="","",IF($F$4="C0",historico_VU!C53,IF($F$4="C1",historico_VU!D53,IF($F$4="C2",historico_VU!E53,IF($F$4="C3",historico_VU!F53,historico_VU!G53)))))</f>
        <v/>
      </c>
      <c r="O105" s="176" t="str">
        <f>IF(J105="","",IF(CONTROLE!$B$1="Principal",IF(OR(K105="",M105=""),"",ROUND(K105*M105,2)),IF(CONTROLE!$B$1="Itens Consumidos",IF(OR(L105="",M105=""),"",ROUND(L105*M105,2)),"")))</f>
        <v/>
      </c>
      <c r="P105" s="176" t="str">
        <f>IF(J105="","",IF(CONTROLE!$B$1="Principal",IF(OR(K105="",N105=""),"",ROUND(K105*N105,2)),IF(CONTROLE!$B$1="Itens Consumidos",IF(OR(L105="",N105=""),"",ROUND(L105*N105,2)),"")))</f>
        <v/>
      </c>
      <c r="Q105" s="177" t="str">
        <f>IF(J105="","",IF(OR(M105="",AND(CONTROLE!$B$1="Principal",K105=""),AND(CONTROLE!$B$1="Itens Consumidos",L105="")),"INCOMPLETO",IF(CONTROLE!$B$1="Pedidos de Compras","MANUAL",IF(AND(ISNUMBER(K105),ISNUMBER(L105),ABS(K105-L105)/MAX(ABS(IF(CONTROLE!$B$1="Principal",K105,L105)),1)&gt;$D$4),"DIVERGENTE","OK"))))</f>
        <v/>
      </c>
    </row>
    <row r="106" spans="1:17" x14ac:dyDescent="0.35">
      <c r="A106" s="172" t="str">
        <f>IF(historico_VU!A54="","",historico_VU!A54)</f>
        <v/>
      </c>
      <c r="B106" s="173" t="str">
        <f>IF(A106="","",historico_VU!B54)</f>
        <v/>
      </c>
      <c r="C106" s="174" t="str">
        <f>IF(A106="","",historico_VU!C54)</f>
        <v/>
      </c>
      <c r="D106" s="174" t="str">
        <f>IF(A106="","",historico_VU!D54)</f>
        <v/>
      </c>
      <c r="E106" s="174" t="str">
        <f>IF(A106="","",historico_VU!E54)</f>
        <v/>
      </c>
      <c r="F106" s="174" t="str">
        <f>IF(A106="","",historico_VU!F54)</f>
        <v/>
      </c>
      <c r="G106" s="174" t="str">
        <f>IF(A106="","",historico_VU!G54)</f>
        <v/>
      </c>
      <c r="H106" s="175" t="str">
        <f>IF(A106="","",historico_VU!H54)</f>
        <v/>
      </c>
      <c r="I106" s="77"/>
      <c r="J106" s="172" t="str">
        <f>IF(itens_Remanesc!A54="","",itens_Remanesc!A54)</f>
        <v/>
      </c>
      <c r="K106" s="173" t="str">
        <f>IF(J106="","",IF($F$4="C0",itens_Remanesc!B54,IF($F$4="C1",itens_Remanesc!E54,IF($F$4="C2",itens_Remanesc!G54,IF($F$4="C3",itens_Remanesc!I54,itens_Remanesc!K54)))))</f>
        <v/>
      </c>
      <c r="L106" s="173" t="str">
        <f>IF(J106="","",IF(SUMIF(itens_Consumidos!$A$2:$A$200,J106,itens_Consumidos!$B$2:$B$200)-SUMIF(itens_Consumidos!$A$2:$A$200,J106,itens_Consumidos!$O$2:$O$200)&lt;0,0,SUMIF(itens_Consumidos!$A$2:$A$200,J106,itens_Consumidos!$B$2:$B$200)-SUMIF(itens_Consumidos!$A$2:$A$200,J106,itens_Consumidos!$O$2:$O$200)))</f>
        <v/>
      </c>
      <c r="M106" s="176" t="str">
        <f>IF(J106="","",itens_Remanesc!C54)</f>
        <v/>
      </c>
      <c r="N106" s="176" t="str">
        <f>IF(J106="","",IF($F$4="C0",historico_VU!C54,IF($F$4="C1",historico_VU!D54,IF($F$4="C2",historico_VU!E54,IF($F$4="C3",historico_VU!F54,historico_VU!G54)))))</f>
        <v/>
      </c>
      <c r="O106" s="176" t="str">
        <f>IF(J106="","",IF(CONTROLE!$B$1="Principal",IF(OR(K106="",M106=""),"",ROUND(K106*M106,2)),IF(CONTROLE!$B$1="Itens Consumidos",IF(OR(L106="",M106=""),"",ROUND(L106*M106,2)),"")))</f>
        <v/>
      </c>
      <c r="P106" s="176" t="str">
        <f>IF(J106="","",IF(CONTROLE!$B$1="Principal",IF(OR(K106="",N106=""),"",ROUND(K106*N106,2)),IF(CONTROLE!$B$1="Itens Consumidos",IF(OR(L106="",N106=""),"",ROUND(L106*N106,2)),"")))</f>
        <v/>
      </c>
      <c r="Q106" s="177" t="str">
        <f>IF(J106="","",IF(OR(M106="",AND(CONTROLE!$B$1="Principal",K106=""),AND(CONTROLE!$B$1="Itens Consumidos",L106="")),"INCOMPLETO",IF(CONTROLE!$B$1="Pedidos de Compras","MANUAL",IF(AND(ISNUMBER(K106),ISNUMBER(L106),ABS(K106-L106)/MAX(ABS(IF(CONTROLE!$B$1="Principal",K106,L106)),1)&gt;$D$4),"DIVERGENTE","OK"))))</f>
        <v/>
      </c>
    </row>
    <row r="107" spans="1:17" x14ac:dyDescent="0.35">
      <c r="A107" s="172" t="str">
        <f>IF(historico_VU!A55="","",historico_VU!A55)</f>
        <v/>
      </c>
      <c r="B107" s="173" t="str">
        <f>IF(A107="","",historico_VU!B55)</f>
        <v/>
      </c>
      <c r="C107" s="174" t="str">
        <f>IF(A107="","",historico_VU!C55)</f>
        <v/>
      </c>
      <c r="D107" s="174" t="str">
        <f>IF(A107="","",historico_VU!D55)</f>
        <v/>
      </c>
      <c r="E107" s="174" t="str">
        <f>IF(A107="","",historico_VU!E55)</f>
        <v/>
      </c>
      <c r="F107" s="174" t="str">
        <f>IF(A107="","",historico_VU!F55)</f>
        <v/>
      </c>
      <c r="G107" s="174" t="str">
        <f>IF(A107="","",historico_VU!G55)</f>
        <v/>
      </c>
      <c r="H107" s="175" t="str">
        <f>IF(A107="","",historico_VU!H55)</f>
        <v/>
      </c>
      <c r="I107" s="77"/>
      <c r="J107" s="172" t="str">
        <f>IF(itens_Remanesc!A55="","",itens_Remanesc!A55)</f>
        <v/>
      </c>
      <c r="K107" s="173" t="str">
        <f>IF(J107="","",IF($F$4="C0",itens_Remanesc!B55,IF($F$4="C1",itens_Remanesc!E55,IF($F$4="C2",itens_Remanesc!G55,IF($F$4="C3",itens_Remanesc!I55,itens_Remanesc!K55)))))</f>
        <v/>
      </c>
      <c r="L107" s="173" t="str">
        <f>IF(J107="","",IF(SUMIF(itens_Consumidos!$A$2:$A$200,J107,itens_Consumidos!$B$2:$B$200)-SUMIF(itens_Consumidos!$A$2:$A$200,J107,itens_Consumidos!$O$2:$O$200)&lt;0,0,SUMIF(itens_Consumidos!$A$2:$A$200,J107,itens_Consumidos!$B$2:$B$200)-SUMIF(itens_Consumidos!$A$2:$A$200,J107,itens_Consumidos!$O$2:$O$200)))</f>
        <v/>
      </c>
      <c r="M107" s="176" t="str">
        <f>IF(J107="","",itens_Remanesc!C55)</f>
        <v/>
      </c>
      <c r="N107" s="176" t="str">
        <f>IF(J107="","",IF($F$4="C0",historico_VU!C55,IF($F$4="C1",historico_VU!D55,IF($F$4="C2",historico_VU!E55,IF($F$4="C3",historico_VU!F55,historico_VU!G55)))))</f>
        <v/>
      </c>
      <c r="O107" s="176" t="str">
        <f>IF(J107="","",IF(CONTROLE!$B$1="Principal",IF(OR(K107="",M107=""),"",ROUND(K107*M107,2)),IF(CONTROLE!$B$1="Itens Consumidos",IF(OR(L107="",M107=""),"",ROUND(L107*M107,2)),"")))</f>
        <v/>
      </c>
      <c r="P107" s="176" t="str">
        <f>IF(J107="","",IF(CONTROLE!$B$1="Principal",IF(OR(K107="",N107=""),"",ROUND(K107*N107,2)),IF(CONTROLE!$B$1="Itens Consumidos",IF(OR(L107="",N107=""),"",ROUND(L107*N107,2)),"")))</f>
        <v/>
      </c>
      <c r="Q107" s="177" t="str">
        <f>IF(J107="","",IF(OR(M107="",AND(CONTROLE!$B$1="Principal",K107=""),AND(CONTROLE!$B$1="Itens Consumidos",L107="")),"INCOMPLETO",IF(CONTROLE!$B$1="Pedidos de Compras","MANUAL",IF(AND(ISNUMBER(K107),ISNUMBER(L107),ABS(K107-L107)/MAX(ABS(IF(CONTROLE!$B$1="Principal",K107,L107)),1)&gt;$D$4),"DIVERGENTE","OK"))))</f>
        <v/>
      </c>
    </row>
    <row r="108" spans="1:17" x14ac:dyDescent="0.35">
      <c r="A108" s="172" t="str">
        <f>IF(historico_VU!A56="","",historico_VU!A56)</f>
        <v/>
      </c>
      <c r="B108" s="173" t="str">
        <f>IF(A108="","",historico_VU!B56)</f>
        <v/>
      </c>
      <c r="C108" s="174" t="str">
        <f>IF(A108="","",historico_VU!C56)</f>
        <v/>
      </c>
      <c r="D108" s="174" t="str">
        <f>IF(A108="","",historico_VU!D56)</f>
        <v/>
      </c>
      <c r="E108" s="174" t="str">
        <f>IF(A108="","",historico_VU!E56)</f>
        <v/>
      </c>
      <c r="F108" s="174" t="str">
        <f>IF(A108="","",historico_VU!F56)</f>
        <v/>
      </c>
      <c r="G108" s="174" t="str">
        <f>IF(A108="","",historico_VU!G56)</f>
        <v/>
      </c>
      <c r="H108" s="175" t="str">
        <f>IF(A108="","",historico_VU!H56)</f>
        <v/>
      </c>
      <c r="I108" s="77"/>
      <c r="J108" s="172" t="str">
        <f>IF(itens_Remanesc!A56="","",itens_Remanesc!A56)</f>
        <v/>
      </c>
      <c r="K108" s="173" t="str">
        <f>IF(J108="","",IF($F$4="C0",itens_Remanesc!B56,IF($F$4="C1",itens_Remanesc!E56,IF($F$4="C2",itens_Remanesc!G56,IF($F$4="C3",itens_Remanesc!I56,itens_Remanesc!K56)))))</f>
        <v/>
      </c>
      <c r="L108" s="173" t="str">
        <f>IF(J108="","",IF(SUMIF(itens_Consumidos!$A$2:$A$200,J108,itens_Consumidos!$B$2:$B$200)-SUMIF(itens_Consumidos!$A$2:$A$200,J108,itens_Consumidos!$O$2:$O$200)&lt;0,0,SUMIF(itens_Consumidos!$A$2:$A$200,J108,itens_Consumidos!$B$2:$B$200)-SUMIF(itens_Consumidos!$A$2:$A$200,J108,itens_Consumidos!$O$2:$O$200)))</f>
        <v/>
      </c>
      <c r="M108" s="176" t="str">
        <f>IF(J108="","",itens_Remanesc!C56)</f>
        <v/>
      </c>
      <c r="N108" s="176" t="str">
        <f>IF(J108="","",IF($F$4="C0",historico_VU!C56,IF($F$4="C1",historico_VU!D56,IF($F$4="C2",historico_VU!E56,IF($F$4="C3",historico_VU!F56,historico_VU!G56)))))</f>
        <v/>
      </c>
      <c r="O108" s="176" t="str">
        <f>IF(J108="","",IF(CONTROLE!$B$1="Principal",IF(OR(K108="",M108=""),"",ROUND(K108*M108,2)),IF(CONTROLE!$B$1="Itens Consumidos",IF(OR(L108="",M108=""),"",ROUND(L108*M108,2)),"")))</f>
        <v/>
      </c>
      <c r="P108" s="176" t="str">
        <f>IF(J108="","",IF(CONTROLE!$B$1="Principal",IF(OR(K108="",N108=""),"",ROUND(K108*N108,2)),IF(CONTROLE!$B$1="Itens Consumidos",IF(OR(L108="",N108=""),"",ROUND(L108*N108,2)),"")))</f>
        <v/>
      </c>
      <c r="Q108" s="177" t="str">
        <f>IF(J108="","",IF(OR(M108="",AND(CONTROLE!$B$1="Principal",K108=""),AND(CONTROLE!$B$1="Itens Consumidos",L108="")),"INCOMPLETO",IF(CONTROLE!$B$1="Pedidos de Compras","MANUAL",IF(AND(ISNUMBER(K108),ISNUMBER(L108),ABS(K108-L108)/MAX(ABS(IF(CONTROLE!$B$1="Principal",K108,L108)),1)&gt;$D$4),"DIVERGENTE","OK"))))</f>
        <v/>
      </c>
    </row>
    <row r="109" spans="1:17" x14ac:dyDescent="0.35">
      <c r="A109" s="172" t="str">
        <f>IF(historico_VU!A57="","",historico_VU!A57)</f>
        <v/>
      </c>
      <c r="B109" s="173" t="str">
        <f>IF(A109="","",historico_VU!B57)</f>
        <v/>
      </c>
      <c r="C109" s="174" t="str">
        <f>IF(A109="","",historico_VU!C57)</f>
        <v/>
      </c>
      <c r="D109" s="174" t="str">
        <f>IF(A109="","",historico_VU!D57)</f>
        <v/>
      </c>
      <c r="E109" s="174" t="str">
        <f>IF(A109="","",historico_VU!E57)</f>
        <v/>
      </c>
      <c r="F109" s="174" t="str">
        <f>IF(A109="","",historico_VU!F57)</f>
        <v/>
      </c>
      <c r="G109" s="174" t="str">
        <f>IF(A109="","",historico_VU!G57)</f>
        <v/>
      </c>
      <c r="H109" s="175" t="str">
        <f>IF(A109="","",historico_VU!H57)</f>
        <v/>
      </c>
      <c r="I109" s="77"/>
      <c r="J109" s="172" t="str">
        <f>IF(itens_Remanesc!A57="","",itens_Remanesc!A57)</f>
        <v/>
      </c>
      <c r="K109" s="173" t="str">
        <f>IF(J109="","",IF($F$4="C0",itens_Remanesc!B57,IF($F$4="C1",itens_Remanesc!E57,IF($F$4="C2",itens_Remanesc!G57,IF($F$4="C3",itens_Remanesc!I57,itens_Remanesc!K57)))))</f>
        <v/>
      </c>
      <c r="L109" s="173" t="str">
        <f>IF(J109="","",IF(SUMIF(itens_Consumidos!$A$2:$A$200,J109,itens_Consumidos!$B$2:$B$200)-SUMIF(itens_Consumidos!$A$2:$A$200,J109,itens_Consumidos!$O$2:$O$200)&lt;0,0,SUMIF(itens_Consumidos!$A$2:$A$200,J109,itens_Consumidos!$B$2:$B$200)-SUMIF(itens_Consumidos!$A$2:$A$200,J109,itens_Consumidos!$O$2:$O$200)))</f>
        <v/>
      </c>
      <c r="M109" s="176" t="str">
        <f>IF(J109="","",itens_Remanesc!C57)</f>
        <v/>
      </c>
      <c r="N109" s="176" t="str">
        <f>IF(J109="","",IF($F$4="C0",historico_VU!C57,IF($F$4="C1",historico_VU!D57,IF($F$4="C2",historico_VU!E57,IF($F$4="C3",historico_VU!F57,historico_VU!G57)))))</f>
        <v/>
      </c>
      <c r="O109" s="176" t="str">
        <f>IF(J109="","",IF(CONTROLE!$B$1="Principal",IF(OR(K109="",M109=""),"",ROUND(K109*M109,2)),IF(CONTROLE!$B$1="Itens Consumidos",IF(OR(L109="",M109=""),"",ROUND(L109*M109,2)),"")))</f>
        <v/>
      </c>
      <c r="P109" s="176" t="str">
        <f>IF(J109="","",IF(CONTROLE!$B$1="Principal",IF(OR(K109="",N109=""),"",ROUND(K109*N109,2)),IF(CONTROLE!$B$1="Itens Consumidos",IF(OR(L109="",N109=""),"",ROUND(L109*N109,2)),"")))</f>
        <v/>
      </c>
      <c r="Q109" s="177" t="str">
        <f>IF(J109="","",IF(OR(M109="",AND(CONTROLE!$B$1="Principal",K109=""),AND(CONTROLE!$B$1="Itens Consumidos",L109="")),"INCOMPLETO",IF(CONTROLE!$B$1="Pedidos de Compras","MANUAL",IF(AND(ISNUMBER(K109),ISNUMBER(L109),ABS(K109-L109)/MAX(ABS(IF(CONTROLE!$B$1="Principal",K109,L109)),1)&gt;$D$4),"DIVERGENTE","OK"))))</f>
        <v/>
      </c>
    </row>
    <row r="110" spans="1:17" x14ac:dyDescent="0.35">
      <c r="A110" s="172" t="str">
        <f>IF(historico_VU!A58="","",historico_VU!A58)</f>
        <v/>
      </c>
      <c r="B110" s="173" t="str">
        <f>IF(A110="","",historico_VU!B58)</f>
        <v/>
      </c>
      <c r="C110" s="174" t="str">
        <f>IF(A110="","",historico_VU!C58)</f>
        <v/>
      </c>
      <c r="D110" s="174" t="str">
        <f>IF(A110="","",historico_VU!D58)</f>
        <v/>
      </c>
      <c r="E110" s="174" t="str">
        <f>IF(A110="","",historico_VU!E58)</f>
        <v/>
      </c>
      <c r="F110" s="174" t="str">
        <f>IF(A110="","",historico_VU!F58)</f>
        <v/>
      </c>
      <c r="G110" s="174" t="str">
        <f>IF(A110="","",historico_VU!G58)</f>
        <v/>
      </c>
      <c r="H110" s="175" t="str">
        <f>IF(A110="","",historico_VU!H58)</f>
        <v/>
      </c>
      <c r="I110" s="77"/>
      <c r="J110" s="172" t="str">
        <f>IF(itens_Remanesc!A58="","",itens_Remanesc!A58)</f>
        <v/>
      </c>
      <c r="K110" s="173" t="str">
        <f>IF(J110="","",IF($F$4="C0",itens_Remanesc!B58,IF($F$4="C1",itens_Remanesc!E58,IF($F$4="C2",itens_Remanesc!G58,IF($F$4="C3",itens_Remanesc!I58,itens_Remanesc!K58)))))</f>
        <v/>
      </c>
      <c r="L110" s="173" t="str">
        <f>IF(J110="","",IF(SUMIF(itens_Consumidos!$A$2:$A$200,J110,itens_Consumidos!$B$2:$B$200)-SUMIF(itens_Consumidos!$A$2:$A$200,J110,itens_Consumidos!$O$2:$O$200)&lt;0,0,SUMIF(itens_Consumidos!$A$2:$A$200,J110,itens_Consumidos!$B$2:$B$200)-SUMIF(itens_Consumidos!$A$2:$A$200,J110,itens_Consumidos!$O$2:$O$200)))</f>
        <v/>
      </c>
      <c r="M110" s="176" t="str">
        <f>IF(J110="","",itens_Remanesc!C58)</f>
        <v/>
      </c>
      <c r="N110" s="176" t="str">
        <f>IF(J110="","",IF($F$4="C0",historico_VU!C58,IF($F$4="C1",historico_VU!D58,IF($F$4="C2",historico_VU!E58,IF($F$4="C3",historico_VU!F58,historico_VU!G58)))))</f>
        <v/>
      </c>
      <c r="O110" s="176" t="str">
        <f>IF(J110="","",IF(CONTROLE!$B$1="Principal",IF(OR(K110="",M110=""),"",ROUND(K110*M110,2)),IF(CONTROLE!$B$1="Itens Consumidos",IF(OR(L110="",M110=""),"",ROUND(L110*M110,2)),"")))</f>
        <v/>
      </c>
      <c r="P110" s="176" t="str">
        <f>IF(J110="","",IF(CONTROLE!$B$1="Principal",IF(OR(K110="",N110=""),"",ROUND(K110*N110,2)),IF(CONTROLE!$B$1="Itens Consumidos",IF(OR(L110="",N110=""),"",ROUND(L110*N110,2)),"")))</f>
        <v/>
      </c>
      <c r="Q110" s="177" t="str">
        <f>IF(J110="","",IF(OR(M110="",AND(CONTROLE!$B$1="Principal",K110=""),AND(CONTROLE!$B$1="Itens Consumidos",L110="")),"INCOMPLETO",IF(CONTROLE!$B$1="Pedidos de Compras","MANUAL",IF(AND(ISNUMBER(K110),ISNUMBER(L110),ABS(K110-L110)/MAX(ABS(IF(CONTROLE!$B$1="Principal",K110,L110)),1)&gt;$D$4),"DIVERGENTE","OK"))))</f>
        <v/>
      </c>
    </row>
    <row r="111" spans="1:17" x14ac:dyDescent="0.35">
      <c r="A111" s="172" t="str">
        <f>IF(historico_VU!A59="","",historico_VU!A59)</f>
        <v/>
      </c>
      <c r="B111" s="173" t="str">
        <f>IF(A111="","",historico_VU!B59)</f>
        <v/>
      </c>
      <c r="C111" s="174" t="str">
        <f>IF(A111="","",historico_VU!C59)</f>
        <v/>
      </c>
      <c r="D111" s="174" t="str">
        <f>IF(A111="","",historico_VU!D59)</f>
        <v/>
      </c>
      <c r="E111" s="174" t="str">
        <f>IF(A111="","",historico_VU!E59)</f>
        <v/>
      </c>
      <c r="F111" s="174" t="str">
        <f>IF(A111="","",historico_VU!F59)</f>
        <v/>
      </c>
      <c r="G111" s="174" t="str">
        <f>IF(A111="","",historico_VU!G59)</f>
        <v/>
      </c>
      <c r="H111" s="175" t="str">
        <f>IF(A111="","",historico_VU!H59)</f>
        <v/>
      </c>
      <c r="I111" s="77"/>
      <c r="J111" s="172" t="str">
        <f>IF(itens_Remanesc!A59="","",itens_Remanesc!A59)</f>
        <v/>
      </c>
      <c r="K111" s="173" t="str">
        <f>IF(J111="","",IF($F$4="C0",itens_Remanesc!B59,IF($F$4="C1",itens_Remanesc!E59,IF($F$4="C2",itens_Remanesc!G59,IF($F$4="C3",itens_Remanesc!I59,itens_Remanesc!K59)))))</f>
        <v/>
      </c>
      <c r="L111" s="173" t="str">
        <f>IF(J111="","",IF(SUMIF(itens_Consumidos!$A$2:$A$200,J111,itens_Consumidos!$B$2:$B$200)-SUMIF(itens_Consumidos!$A$2:$A$200,J111,itens_Consumidos!$O$2:$O$200)&lt;0,0,SUMIF(itens_Consumidos!$A$2:$A$200,J111,itens_Consumidos!$B$2:$B$200)-SUMIF(itens_Consumidos!$A$2:$A$200,J111,itens_Consumidos!$O$2:$O$200)))</f>
        <v/>
      </c>
      <c r="M111" s="176" t="str">
        <f>IF(J111="","",itens_Remanesc!C59)</f>
        <v/>
      </c>
      <c r="N111" s="176" t="str">
        <f>IF(J111="","",IF($F$4="C0",historico_VU!C59,IF($F$4="C1",historico_VU!D59,IF($F$4="C2",historico_VU!E59,IF($F$4="C3",historico_VU!F59,historico_VU!G59)))))</f>
        <v/>
      </c>
      <c r="O111" s="176" t="str">
        <f>IF(J111="","",IF(CONTROLE!$B$1="Principal",IF(OR(K111="",M111=""),"",ROUND(K111*M111,2)),IF(CONTROLE!$B$1="Itens Consumidos",IF(OR(L111="",M111=""),"",ROUND(L111*M111,2)),"")))</f>
        <v/>
      </c>
      <c r="P111" s="176" t="str">
        <f>IF(J111="","",IF(CONTROLE!$B$1="Principal",IF(OR(K111="",N111=""),"",ROUND(K111*N111,2)),IF(CONTROLE!$B$1="Itens Consumidos",IF(OR(L111="",N111=""),"",ROUND(L111*N111,2)),"")))</f>
        <v/>
      </c>
      <c r="Q111" s="177" t="str">
        <f>IF(J111="","",IF(OR(M111="",AND(CONTROLE!$B$1="Principal",K111=""),AND(CONTROLE!$B$1="Itens Consumidos",L111="")),"INCOMPLETO",IF(CONTROLE!$B$1="Pedidos de Compras","MANUAL",IF(AND(ISNUMBER(K111),ISNUMBER(L111),ABS(K111-L111)/MAX(ABS(IF(CONTROLE!$B$1="Principal",K111,L111)),1)&gt;$D$4),"DIVERGENTE","OK"))))</f>
        <v/>
      </c>
    </row>
    <row r="112" spans="1:17" x14ac:dyDescent="0.35">
      <c r="A112" s="172" t="str">
        <f>IF(historico_VU!A60="","",historico_VU!A60)</f>
        <v/>
      </c>
      <c r="B112" s="173" t="str">
        <f>IF(A112="","",historico_VU!B60)</f>
        <v/>
      </c>
      <c r="C112" s="174" t="str">
        <f>IF(A112="","",historico_VU!C60)</f>
        <v/>
      </c>
      <c r="D112" s="174" t="str">
        <f>IF(A112="","",historico_VU!D60)</f>
        <v/>
      </c>
      <c r="E112" s="174" t="str">
        <f>IF(A112="","",historico_VU!E60)</f>
        <v/>
      </c>
      <c r="F112" s="174" t="str">
        <f>IF(A112="","",historico_VU!F60)</f>
        <v/>
      </c>
      <c r="G112" s="174" t="str">
        <f>IF(A112="","",historico_VU!G60)</f>
        <v/>
      </c>
      <c r="H112" s="175" t="str">
        <f>IF(A112="","",historico_VU!H60)</f>
        <v/>
      </c>
      <c r="I112" s="77"/>
      <c r="J112" s="172" t="str">
        <f>IF(itens_Remanesc!A60="","",itens_Remanesc!A60)</f>
        <v/>
      </c>
      <c r="K112" s="173" t="str">
        <f>IF(J112="","",IF($F$4="C0",itens_Remanesc!B60,IF($F$4="C1",itens_Remanesc!E60,IF($F$4="C2",itens_Remanesc!G60,IF($F$4="C3",itens_Remanesc!I60,itens_Remanesc!K60)))))</f>
        <v/>
      </c>
      <c r="L112" s="173" t="str">
        <f>IF(J112="","",IF(SUMIF(itens_Consumidos!$A$2:$A$200,J112,itens_Consumidos!$B$2:$B$200)-SUMIF(itens_Consumidos!$A$2:$A$200,J112,itens_Consumidos!$O$2:$O$200)&lt;0,0,SUMIF(itens_Consumidos!$A$2:$A$200,J112,itens_Consumidos!$B$2:$B$200)-SUMIF(itens_Consumidos!$A$2:$A$200,J112,itens_Consumidos!$O$2:$O$200)))</f>
        <v/>
      </c>
      <c r="M112" s="176" t="str">
        <f>IF(J112="","",itens_Remanesc!C60)</f>
        <v/>
      </c>
      <c r="N112" s="176" t="str">
        <f>IF(J112="","",IF($F$4="C0",historico_VU!C60,IF($F$4="C1",historico_VU!D60,IF($F$4="C2",historico_VU!E60,IF($F$4="C3",historico_VU!F60,historico_VU!G60)))))</f>
        <v/>
      </c>
      <c r="O112" s="176" t="str">
        <f>IF(J112="","",IF(CONTROLE!$B$1="Principal",IF(OR(K112="",M112=""),"",ROUND(K112*M112,2)),IF(CONTROLE!$B$1="Itens Consumidos",IF(OR(L112="",M112=""),"",ROUND(L112*M112,2)),"")))</f>
        <v/>
      </c>
      <c r="P112" s="176" t="str">
        <f>IF(J112="","",IF(CONTROLE!$B$1="Principal",IF(OR(K112="",N112=""),"",ROUND(K112*N112,2)),IF(CONTROLE!$B$1="Itens Consumidos",IF(OR(L112="",N112=""),"",ROUND(L112*N112,2)),"")))</f>
        <v/>
      </c>
      <c r="Q112" s="177" t="str">
        <f>IF(J112="","",IF(OR(M112="",AND(CONTROLE!$B$1="Principal",K112=""),AND(CONTROLE!$B$1="Itens Consumidos",L112="")),"INCOMPLETO",IF(CONTROLE!$B$1="Pedidos de Compras","MANUAL",IF(AND(ISNUMBER(K112),ISNUMBER(L112),ABS(K112-L112)/MAX(ABS(IF(CONTROLE!$B$1="Principal",K112,L112)),1)&gt;$D$4),"DIVERGENTE","OK"))))</f>
        <v/>
      </c>
    </row>
    <row r="113" spans="1:17" x14ac:dyDescent="0.35">
      <c r="A113" s="172" t="str">
        <f>IF(historico_VU!A61="","",historico_VU!A61)</f>
        <v/>
      </c>
      <c r="B113" s="173" t="str">
        <f>IF(A113="","",historico_VU!B61)</f>
        <v/>
      </c>
      <c r="C113" s="174" t="str">
        <f>IF(A113="","",historico_VU!C61)</f>
        <v/>
      </c>
      <c r="D113" s="174" t="str">
        <f>IF(A113="","",historico_VU!D61)</f>
        <v/>
      </c>
      <c r="E113" s="174" t="str">
        <f>IF(A113="","",historico_VU!E61)</f>
        <v/>
      </c>
      <c r="F113" s="174" t="str">
        <f>IF(A113="","",historico_VU!F61)</f>
        <v/>
      </c>
      <c r="G113" s="174" t="str">
        <f>IF(A113="","",historico_VU!G61)</f>
        <v/>
      </c>
      <c r="H113" s="175" t="str">
        <f>IF(A113="","",historico_VU!H61)</f>
        <v/>
      </c>
      <c r="I113" s="77"/>
      <c r="J113" s="172" t="str">
        <f>IF(itens_Remanesc!A61="","",itens_Remanesc!A61)</f>
        <v/>
      </c>
      <c r="K113" s="173" t="str">
        <f>IF(J113="","",IF($F$4="C0",itens_Remanesc!B61,IF($F$4="C1",itens_Remanesc!E61,IF($F$4="C2",itens_Remanesc!G61,IF($F$4="C3",itens_Remanesc!I61,itens_Remanesc!K61)))))</f>
        <v/>
      </c>
      <c r="L113" s="173" t="str">
        <f>IF(J113="","",IF(SUMIF(itens_Consumidos!$A$2:$A$200,J113,itens_Consumidos!$B$2:$B$200)-SUMIF(itens_Consumidos!$A$2:$A$200,J113,itens_Consumidos!$O$2:$O$200)&lt;0,0,SUMIF(itens_Consumidos!$A$2:$A$200,J113,itens_Consumidos!$B$2:$B$200)-SUMIF(itens_Consumidos!$A$2:$A$200,J113,itens_Consumidos!$O$2:$O$200)))</f>
        <v/>
      </c>
      <c r="M113" s="176" t="str">
        <f>IF(J113="","",itens_Remanesc!C61)</f>
        <v/>
      </c>
      <c r="N113" s="176" t="str">
        <f>IF(J113="","",IF($F$4="C0",historico_VU!C61,IF($F$4="C1",historico_VU!D61,IF($F$4="C2",historico_VU!E61,IF($F$4="C3",historico_VU!F61,historico_VU!G61)))))</f>
        <v/>
      </c>
      <c r="O113" s="176" t="str">
        <f>IF(J113="","",IF(CONTROLE!$B$1="Principal",IF(OR(K113="",M113=""),"",ROUND(K113*M113,2)),IF(CONTROLE!$B$1="Itens Consumidos",IF(OR(L113="",M113=""),"",ROUND(L113*M113,2)),"")))</f>
        <v/>
      </c>
      <c r="P113" s="176" t="str">
        <f>IF(J113="","",IF(CONTROLE!$B$1="Principal",IF(OR(K113="",N113=""),"",ROUND(K113*N113,2)),IF(CONTROLE!$B$1="Itens Consumidos",IF(OR(L113="",N113=""),"",ROUND(L113*N113,2)),"")))</f>
        <v/>
      </c>
      <c r="Q113" s="177" t="str">
        <f>IF(J113="","",IF(OR(M113="",AND(CONTROLE!$B$1="Principal",K113=""),AND(CONTROLE!$B$1="Itens Consumidos",L113="")),"INCOMPLETO",IF(CONTROLE!$B$1="Pedidos de Compras","MANUAL",IF(AND(ISNUMBER(K113),ISNUMBER(L113),ABS(K113-L113)/MAX(ABS(IF(CONTROLE!$B$1="Principal",K113,L113)),1)&gt;$D$4),"DIVERGENTE","OK"))))</f>
        <v/>
      </c>
    </row>
    <row r="114" spans="1:17" x14ac:dyDescent="0.35">
      <c r="A114" s="172" t="str">
        <f>IF(historico_VU!A62="","",historico_VU!A62)</f>
        <v/>
      </c>
      <c r="B114" s="173" t="str">
        <f>IF(A114="","",historico_VU!B62)</f>
        <v/>
      </c>
      <c r="C114" s="174" t="str">
        <f>IF(A114="","",historico_VU!C62)</f>
        <v/>
      </c>
      <c r="D114" s="174" t="str">
        <f>IF(A114="","",historico_VU!D62)</f>
        <v/>
      </c>
      <c r="E114" s="174" t="str">
        <f>IF(A114="","",historico_VU!E62)</f>
        <v/>
      </c>
      <c r="F114" s="174" t="str">
        <f>IF(A114="","",historico_VU!F62)</f>
        <v/>
      </c>
      <c r="G114" s="174" t="str">
        <f>IF(A114="","",historico_VU!G62)</f>
        <v/>
      </c>
      <c r="H114" s="175" t="str">
        <f>IF(A114="","",historico_VU!H62)</f>
        <v/>
      </c>
      <c r="I114" s="77"/>
      <c r="J114" s="172" t="str">
        <f>IF(itens_Remanesc!A62="","",itens_Remanesc!A62)</f>
        <v/>
      </c>
      <c r="K114" s="173" t="str">
        <f>IF(J114="","",IF($F$4="C0",itens_Remanesc!B62,IF($F$4="C1",itens_Remanesc!E62,IF($F$4="C2",itens_Remanesc!G62,IF($F$4="C3",itens_Remanesc!I62,itens_Remanesc!K62)))))</f>
        <v/>
      </c>
      <c r="L114" s="173" t="str">
        <f>IF(J114="","",IF(SUMIF(itens_Consumidos!$A$2:$A$200,J114,itens_Consumidos!$B$2:$B$200)-SUMIF(itens_Consumidos!$A$2:$A$200,J114,itens_Consumidos!$O$2:$O$200)&lt;0,0,SUMIF(itens_Consumidos!$A$2:$A$200,J114,itens_Consumidos!$B$2:$B$200)-SUMIF(itens_Consumidos!$A$2:$A$200,J114,itens_Consumidos!$O$2:$O$200)))</f>
        <v/>
      </c>
      <c r="M114" s="176" t="str">
        <f>IF(J114="","",itens_Remanesc!C62)</f>
        <v/>
      </c>
      <c r="N114" s="176" t="str">
        <f>IF(J114="","",IF($F$4="C0",historico_VU!C62,IF($F$4="C1",historico_VU!D62,IF($F$4="C2",historico_VU!E62,IF($F$4="C3",historico_VU!F62,historico_VU!G62)))))</f>
        <v/>
      </c>
      <c r="O114" s="176" t="str">
        <f>IF(J114="","",IF(CONTROLE!$B$1="Principal",IF(OR(K114="",M114=""),"",ROUND(K114*M114,2)),IF(CONTROLE!$B$1="Itens Consumidos",IF(OR(L114="",M114=""),"",ROUND(L114*M114,2)),"")))</f>
        <v/>
      </c>
      <c r="P114" s="176" t="str">
        <f>IF(J114="","",IF(CONTROLE!$B$1="Principal",IF(OR(K114="",N114=""),"",ROUND(K114*N114,2)),IF(CONTROLE!$B$1="Itens Consumidos",IF(OR(L114="",N114=""),"",ROUND(L114*N114,2)),"")))</f>
        <v/>
      </c>
      <c r="Q114" s="177" t="str">
        <f>IF(J114="","",IF(OR(M114="",AND(CONTROLE!$B$1="Principal",K114=""),AND(CONTROLE!$B$1="Itens Consumidos",L114="")),"INCOMPLETO",IF(CONTROLE!$B$1="Pedidos de Compras","MANUAL",IF(AND(ISNUMBER(K114),ISNUMBER(L114),ABS(K114-L114)/MAX(ABS(IF(CONTROLE!$B$1="Principal",K114,L114)),1)&gt;$D$4),"DIVERGENTE","OK"))))</f>
        <v/>
      </c>
    </row>
    <row r="115" spans="1:17" x14ac:dyDescent="0.35">
      <c r="A115" s="172" t="str">
        <f>IF(historico_VU!A63="","",historico_VU!A63)</f>
        <v/>
      </c>
      <c r="B115" s="173" t="str">
        <f>IF(A115="","",historico_VU!B63)</f>
        <v/>
      </c>
      <c r="C115" s="174" t="str">
        <f>IF(A115="","",historico_VU!C63)</f>
        <v/>
      </c>
      <c r="D115" s="174" t="str">
        <f>IF(A115="","",historico_VU!D63)</f>
        <v/>
      </c>
      <c r="E115" s="174" t="str">
        <f>IF(A115="","",historico_VU!E63)</f>
        <v/>
      </c>
      <c r="F115" s="174" t="str">
        <f>IF(A115="","",historico_VU!F63)</f>
        <v/>
      </c>
      <c r="G115" s="174" t="str">
        <f>IF(A115="","",historico_VU!G63)</f>
        <v/>
      </c>
      <c r="H115" s="175" t="str">
        <f>IF(A115="","",historico_VU!H63)</f>
        <v/>
      </c>
      <c r="I115" s="77"/>
      <c r="J115" s="172" t="str">
        <f>IF(itens_Remanesc!A63="","",itens_Remanesc!A63)</f>
        <v/>
      </c>
      <c r="K115" s="173" t="str">
        <f>IF(J115="","",IF($F$4="C0",itens_Remanesc!B63,IF($F$4="C1",itens_Remanesc!E63,IF($F$4="C2",itens_Remanesc!G63,IF($F$4="C3",itens_Remanesc!I63,itens_Remanesc!K63)))))</f>
        <v/>
      </c>
      <c r="L115" s="173" t="str">
        <f>IF(J115="","",IF(SUMIF(itens_Consumidos!$A$2:$A$200,J115,itens_Consumidos!$B$2:$B$200)-SUMIF(itens_Consumidos!$A$2:$A$200,J115,itens_Consumidos!$O$2:$O$200)&lt;0,0,SUMIF(itens_Consumidos!$A$2:$A$200,J115,itens_Consumidos!$B$2:$B$200)-SUMIF(itens_Consumidos!$A$2:$A$200,J115,itens_Consumidos!$O$2:$O$200)))</f>
        <v/>
      </c>
      <c r="M115" s="176" t="str">
        <f>IF(J115="","",itens_Remanesc!C63)</f>
        <v/>
      </c>
      <c r="N115" s="176" t="str">
        <f>IF(J115="","",IF($F$4="C0",historico_VU!C63,IF($F$4="C1",historico_VU!D63,IF($F$4="C2",historico_VU!E63,IF($F$4="C3",historico_VU!F63,historico_VU!G63)))))</f>
        <v/>
      </c>
      <c r="O115" s="176" t="str">
        <f>IF(J115="","",IF(CONTROLE!$B$1="Principal",IF(OR(K115="",M115=""),"",ROUND(K115*M115,2)),IF(CONTROLE!$B$1="Itens Consumidos",IF(OR(L115="",M115=""),"",ROUND(L115*M115,2)),"")))</f>
        <v/>
      </c>
      <c r="P115" s="176" t="str">
        <f>IF(J115="","",IF(CONTROLE!$B$1="Principal",IF(OR(K115="",N115=""),"",ROUND(K115*N115,2)),IF(CONTROLE!$B$1="Itens Consumidos",IF(OR(L115="",N115=""),"",ROUND(L115*N115,2)),"")))</f>
        <v/>
      </c>
      <c r="Q115" s="177" t="str">
        <f>IF(J115="","",IF(OR(M115="",AND(CONTROLE!$B$1="Principal",K115=""),AND(CONTROLE!$B$1="Itens Consumidos",L115="")),"INCOMPLETO",IF(CONTROLE!$B$1="Pedidos de Compras","MANUAL",IF(AND(ISNUMBER(K115),ISNUMBER(L115),ABS(K115-L115)/MAX(ABS(IF(CONTROLE!$B$1="Principal",K115,L115)),1)&gt;$D$4),"DIVERGENTE","OK"))))</f>
        <v/>
      </c>
    </row>
    <row r="116" spans="1:17" x14ac:dyDescent="0.35">
      <c r="A116" s="172" t="str">
        <f>IF(historico_VU!A64="","",historico_VU!A64)</f>
        <v/>
      </c>
      <c r="B116" s="173" t="str">
        <f>IF(A116="","",historico_VU!B64)</f>
        <v/>
      </c>
      <c r="C116" s="174" t="str">
        <f>IF(A116="","",historico_VU!C64)</f>
        <v/>
      </c>
      <c r="D116" s="174" t="str">
        <f>IF(A116="","",historico_VU!D64)</f>
        <v/>
      </c>
      <c r="E116" s="174" t="str">
        <f>IF(A116="","",historico_VU!E64)</f>
        <v/>
      </c>
      <c r="F116" s="174" t="str">
        <f>IF(A116="","",historico_VU!F64)</f>
        <v/>
      </c>
      <c r="G116" s="174" t="str">
        <f>IF(A116="","",historico_VU!G64)</f>
        <v/>
      </c>
      <c r="H116" s="175" t="str">
        <f>IF(A116="","",historico_VU!H64)</f>
        <v/>
      </c>
      <c r="I116" s="77"/>
      <c r="J116" s="172" t="str">
        <f>IF(itens_Remanesc!A64="","",itens_Remanesc!A64)</f>
        <v/>
      </c>
      <c r="K116" s="173" t="str">
        <f>IF(J116="","",IF($F$4="C0",itens_Remanesc!B64,IF($F$4="C1",itens_Remanesc!E64,IF($F$4="C2",itens_Remanesc!G64,IF($F$4="C3",itens_Remanesc!I64,itens_Remanesc!K64)))))</f>
        <v/>
      </c>
      <c r="L116" s="173" t="str">
        <f>IF(J116="","",IF(SUMIF(itens_Consumidos!$A$2:$A$200,J116,itens_Consumidos!$B$2:$B$200)-SUMIF(itens_Consumidos!$A$2:$A$200,J116,itens_Consumidos!$O$2:$O$200)&lt;0,0,SUMIF(itens_Consumidos!$A$2:$A$200,J116,itens_Consumidos!$B$2:$B$200)-SUMIF(itens_Consumidos!$A$2:$A$200,J116,itens_Consumidos!$O$2:$O$200)))</f>
        <v/>
      </c>
      <c r="M116" s="176" t="str">
        <f>IF(J116="","",itens_Remanesc!C64)</f>
        <v/>
      </c>
      <c r="N116" s="176" t="str">
        <f>IF(J116="","",IF($F$4="C0",historico_VU!C64,IF($F$4="C1",historico_VU!D64,IF($F$4="C2",historico_VU!E64,IF($F$4="C3",historico_VU!F64,historico_VU!G64)))))</f>
        <v/>
      </c>
      <c r="O116" s="176" t="str">
        <f>IF(J116="","",IF(CONTROLE!$B$1="Principal",IF(OR(K116="",M116=""),"",ROUND(K116*M116,2)),IF(CONTROLE!$B$1="Itens Consumidos",IF(OR(L116="",M116=""),"",ROUND(L116*M116,2)),"")))</f>
        <v/>
      </c>
      <c r="P116" s="176" t="str">
        <f>IF(J116="","",IF(CONTROLE!$B$1="Principal",IF(OR(K116="",N116=""),"",ROUND(K116*N116,2)),IF(CONTROLE!$B$1="Itens Consumidos",IF(OR(L116="",N116=""),"",ROUND(L116*N116,2)),"")))</f>
        <v/>
      </c>
      <c r="Q116" s="177" t="str">
        <f>IF(J116="","",IF(OR(M116="",AND(CONTROLE!$B$1="Principal",K116=""),AND(CONTROLE!$B$1="Itens Consumidos",L116="")),"INCOMPLETO",IF(CONTROLE!$B$1="Pedidos de Compras","MANUAL",IF(AND(ISNUMBER(K116),ISNUMBER(L116),ABS(K116-L116)/MAX(ABS(IF(CONTROLE!$B$1="Principal",K116,L116)),1)&gt;$D$4),"DIVERGENTE","OK"))))</f>
        <v/>
      </c>
    </row>
    <row r="117" spans="1:17" x14ac:dyDescent="0.35">
      <c r="A117" s="172" t="str">
        <f>IF(historico_VU!A65="","",historico_VU!A65)</f>
        <v/>
      </c>
      <c r="B117" s="173" t="str">
        <f>IF(A117="","",historico_VU!B65)</f>
        <v/>
      </c>
      <c r="C117" s="174" t="str">
        <f>IF(A117="","",historico_VU!C65)</f>
        <v/>
      </c>
      <c r="D117" s="174" t="str">
        <f>IF(A117="","",historico_VU!D65)</f>
        <v/>
      </c>
      <c r="E117" s="174" t="str">
        <f>IF(A117="","",historico_VU!E65)</f>
        <v/>
      </c>
      <c r="F117" s="174" t="str">
        <f>IF(A117="","",historico_VU!F65)</f>
        <v/>
      </c>
      <c r="G117" s="174" t="str">
        <f>IF(A117="","",historico_VU!G65)</f>
        <v/>
      </c>
      <c r="H117" s="175" t="str">
        <f>IF(A117="","",historico_VU!H65)</f>
        <v/>
      </c>
      <c r="I117" s="77"/>
      <c r="J117" s="172" t="str">
        <f>IF(itens_Remanesc!A65="","",itens_Remanesc!A65)</f>
        <v/>
      </c>
      <c r="K117" s="173" t="str">
        <f>IF(J117="","",IF($F$4="C0",itens_Remanesc!B65,IF($F$4="C1",itens_Remanesc!E65,IF($F$4="C2",itens_Remanesc!G65,IF($F$4="C3",itens_Remanesc!I65,itens_Remanesc!K65)))))</f>
        <v/>
      </c>
      <c r="L117" s="173" t="str">
        <f>IF(J117="","",IF(SUMIF(itens_Consumidos!$A$2:$A$200,J117,itens_Consumidos!$B$2:$B$200)-SUMIF(itens_Consumidos!$A$2:$A$200,J117,itens_Consumidos!$O$2:$O$200)&lt;0,0,SUMIF(itens_Consumidos!$A$2:$A$200,J117,itens_Consumidos!$B$2:$B$200)-SUMIF(itens_Consumidos!$A$2:$A$200,J117,itens_Consumidos!$O$2:$O$200)))</f>
        <v/>
      </c>
      <c r="M117" s="176" t="str">
        <f>IF(J117="","",itens_Remanesc!C65)</f>
        <v/>
      </c>
      <c r="N117" s="176" t="str">
        <f>IF(J117="","",IF($F$4="C0",historico_VU!C65,IF($F$4="C1",historico_VU!D65,IF($F$4="C2",historico_VU!E65,IF($F$4="C3",historico_VU!F65,historico_VU!G65)))))</f>
        <v/>
      </c>
      <c r="O117" s="176" t="str">
        <f>IF(J117="","",IF(CONTROLE!$B$1="Principal",IF(OR(K117="",M117=""),"",ROUND(K117*M117,2)),IF(CONTROLE!$B$1="Itens Consumidos",IF(OR(L117="",M117=""),"",ROUND(L117*M117,2)),"")))</f>
        <v/>
      </c>
      <c r="P117" s="176" t="str">
        <f>IF(J117="","",IF(CONTROLE!$B$1="Principal",IF(OR(K117="",N117=""),"",ROUND(K117*N117,2)),IF(CONTROLE!$B$1="Itens Consumidos",IF(OR(L117="",N117=""),"",ROUND(L117*N117,2)),"")))</f>
        <v/>
      </c>
      <c r="Q117" s="177" t="str">
        <f>IF(J117="","",IF(OR(M117="",AND(CONTROLE!$B$1="Principal",K117=""),AND(CONTROLE!$B$1="Itens Consumidos",L117="")),"INCOMPLETO",IF(CONTROLE!$B$1="Pedidos de Compras","MANUAL",IF(AND(ISNUMBER(K117),ISNUMBER(L117),ABS(K117-L117)/MAX(ABS(IF(CONTROLE!$B$1="Principal",K117,L117)),1)&gt;$D$4),"DIVERGENTE","OK"))))</f>
        <v/>
      </c>
    </row>
    <row r="118" spans="1:17" x14ac:dyDescent="0.35">
      <c r="A118" s="172" t="str">
        <f>IF(historico_VU!A66="","",historico_VU!A66)</f>
        <v/>
      </c>
      <c r="B118" s="173" t="str">
        <f>IF(A118="","",historico_VU!B66)</f>
        <v/>
      </c>
      <c r="C118" s="174" t="str">
        <f>IF(A118="","",historico_VU!C66)</f>
        <v/>
      </c>
      <c r="D118" s="174" t="str">
        <f>IF(A118="","",historico_VU!D66)</f>
        <v/>
      </c>
      <c r="E118" s="174" t="str">
        <f>IF(A118="","",historico_VU!E66)</f>
        <v/>
      </c>
      <c r="F118" s="174" t="str">
        <f>IF(A118="","",historico_VU!F66)</f>
        <v/>
      </c>
      <c r="G118" s="174" t="str">
        <f>IF(A118="","",historico_VU!G66)</f>
        <v/>
      </c>
      <c r="H118" s="175" t="str">
        <f>IF(A118="","",historico_VU!H66)</f>
        <v/>
      </c>
      <c r="I118" s="77"/>
      <c r="J118" s="172" t="str">
        <f>IF(itens_Remanesc!A66="","",itens_Remanesc!A66)</f>
        <v/>
      </c>
      <c r="K118" s="173" t="str">
        <f>IF(J118="","",IF($F$4="C0",itens_Remanesc!B66,IF($F$4="C1",itens_Remanesc!E66,IF($F$4="C2",itens_Remanesc!G66,IF($F$4="C3",itens_Remanesc!I66,itens_Remanesc!K66)))))</f>
        <v/>
      </c>
      <c r="L118" s="173" t="str">
        <f>IF(J118="","",IF(SUMIF(itens_Consumidos!$A$2:$A$200,J118,itens_Consumidos!$B$2:$B$200)-SUMIF(itens_Consumidos!$A$2:$A$200,J118,itens_Consumidos!$O$2:$O$200)&lt;0,0,SUMIF(itens_Consumidos!$A$2:$A$200,J118,itens_Consumidos!$B$2:$B$200)-SUMIF(itens_Consumidos!$A$2:$A$200,J118,itens_Consumidos!$O$2:$O$200)))</f>
        <v/>
      </c>
      <c r="M118" s="176" t="str">
        <f>IF(J118="","",itens_Remanesc!C66)</f>
        <v/>
      </c>
      <c r="N118" s="176" t="str">
        <f>IF(J118="","",IF($F$4="C0",historico_VU!C66,IF($F$4="C1",historico_VU!D66,IF($F$4="C2",historico_VU!E66,IF($F$4="C3",historico_VU!F66,historico_VU!G66)))))</f>
        <v/>
      </c>
      <c r="O118" s="176" t="str">
        <f>IF(J118="","",IF(CONTROLE!$B$1="Principal",IF(OR(K118="",M118=""),"",ROUND(K118*M118,2)),IF(CONTROLE!$B$1="Itens Consumidos",IF(OR(L118="",M118=""),"",ROUND(L118*M118,2)),"")))</f>
        <v/>
      </c>
      <c r="P118" s="176" t="str">
        <f>IF(J118="","",IF(CONTROLE!$B$1="Principal",IF(OR(K118="",N118=""),"",ROUND(K118*N118,2)),IF(CONTROLE!$B$1="Itens Consumidos",IF(OR(L118="",N118=""),"",ROUND(L118*N118,2)),"")))</f>
        <v/>
      </c>
      <c r="Q118" s="177" t="str">
        <f>IF(J118="","",IF(OR(M118="",AND(CONTROLE!$B$1="Principal",K118=""),AND(CONTROLE!$B$1="Itens Consumidos",L118="")),"INCOMPLETO",IF(CONTROLE!$B$1="Pedidos de Compras","MANUAL",IF(AND(ISNUMBER(K118),ISNUMBER(L118),ABS(K118-L118)/MAX(ABS(IF(CONTROLE!$B$1="Principal",K118,L118)),1)&gt;$D$4),"DIVERGENTE","OK"))))</f>
        <v/>
      </c>
    </row>
    <row r="119" spans="1:17" x14ac:dyDescent="0.35">
      <c r="A119" s="172" t="str">
        <f>IF(historico_VU!A67="","",historico_VU!A67)</f>
        <v/>
      </c>
      <c r="B119" s="173" t="str">
        <f>IF(A119="","",historico_VU!B67)</f>
        <v/>
      </c>
      <c r="C119" s="174" t="str">
        <f>IF(A119="","",historico_VU!C67)</f>
        <v/>
      </c>
      <c r="D119" s="174" t="str">
        <f>IF(A119="","",historico_VU!D67)</f>
        <v/>
      </c>
      <c r="E119" s="174" t="str">
        <f>IF(A119="","",historico_VU!E67)</f>
        <v/>
      </c>
      <c r="F119" s="174" t="str">
        <f>IF(A119="","",historico_VU!F67)</f>
        <v/>
      </c>
      <c r="G119" s="174" t="str">
        <f>IF(A119="","",historico_VU!G67)</f>
        <v/>
      </c>
      <c r="H119" s="175" t="str">
        <f>IF(A119="","",historico_VU!H67)</f>
        <v/>
      </c>
      <c r="I119" s="77"/>
      <c r="J119" s="172" t="str">
        <f>IF(itens_Remanesc!A67="","",itens_Remanesc!A67)</f>
        <v/>
      </c>
      <c r="K119" s="173" t="str">
        <f>IF(J119="","",IF($F$4="C0",itens_Remanesc!B67,IF($F$4="C1",itens_Remanesc!E67,IF($F$4="C2",itens_Remanesc!G67,IF($F$4="C3",itens_Remanesc!I67,itens_Remanesc!K67)))))</f>
        <v/>
      </c>
      <c r="L119" s="173" t="str">
        <f>IF(J119="","",IF(SUMIF(itens_Consumidos!$A$2:$A$200,J119,itens_Consumidos!$B$2:$B$200)-SUMIF(itens_Consumidos!$A$2:$A$200,J119,itens_Consumidos!$O$2:$O$200)&lt;0,0,SUMIF(itens_Consumidos!$A$2:$A$200,J119,itens_Consumidos!$B$2:$B$200)-SUMIF(itens_Consumidos!$A$2:$A$200,J119,itens_Consumidos!$O$2:$O$200)))</f>
        <v/>
      </c>
      <c r="M119" s="176" t="str">
        <f>IF(J119="","",itens_Remanesc!C67)</f>
        <v/>
      </c>
      <c r="N119" s="176" t="str">
        <f>IF(J119="","",IF($F$4="C0",historico_VU!C67,IF($F$4="C1",historico_VU!D67,IF($F$4="C2",historico_VU!E67,IF($F$4="C3",historico_VU!F67,historico_VU!G67)))))</f>
        <v/>
      </c>
      <c r="O119" s="176" t="str">
        <f>IF(J119="","",IF(CONTROLE!$B$1="Principal",IF(OR(K119="",M119=""),"",ROUND(K119*M119,2)),IF(CONTROLE!$B$1="Itens Consumidos",IF(OR(L119="",M119=""),"",ROUND(L119*M119,2)),"")))</f>
        <v/>
      </c>
      <c r="P119" s="176" t="str">
        <f>IF(J119="","",IF(CONTROLE!$B$1="Principal",IF(OR(K119="",N119=""),"",ROUND(K119*N119,2)),IF(CONTROLE!$B$1="Itens Consumidos",IF(OR(L119="",N119=""),"",ROUND(L119*N119,2)),"")))</f>
        <v/>
      </c>
      <c r="Q119" s="177" t="str">
        <f>IF(J119="","",IF(OR(M119="",AND(CONTROLE!$B$1="Principal",K119=""),AND(CONTROLE!$B$1="Itens Consumidos",L119="")),"INCOMPLETO",IF(CONTROLE!$B$1="Pedidos de Compras","MANUAL",IF(AND(ISNUMBER(K119),ISNUMBER(L119),ABS(K119-L119)/MAX(ABS(IF(CONTROLE!$B$1="Principal",K119,L119)),1)&gt;$D$4),"DIVERGENTE","OK"))))</f>
        <v/>
      </c>
    </row>
    <row r="120" spans="1:17" x14ac:dyDescent="0.35">
      <c r="A120" s="172" t="str">
        <f>IF(historico_VU!A68="","",historico_VU!A68)</f>
        <v/>
      </c>
      <c r="B120" s="173" t="str">
        <f>IF(A120="","",historico_VU!B68)</f>
        <v/>
      </c>
      <c r="C120" s="174" t="str">
        <f>IF(A120="","",historico_VU!C68)</f>
        <v/>
      </c>
      <c r="D120" s="174" t="str">
        <f>IF(A120="","",historico_VU!D68)</f>
        <v/>
      </c>
      <c r="E120" s="174" t="str">
        <f>IF(A120="","",historico_VU!E68)</f>
        <v/>
      </c>
      <c r="F120" s="174" t="str">
        <f>IF(A120="","",historico_VU!F68)</f>
        <v/>
      </c>
      <c r="G120" s="174" t="str">
        <f>IF(A120="","",historico_VU!G68)</f>
        <v/>
      </c>
      <c r="H120" s="175" t="str">
        <f>IF(A120="","",historico_VU!H68)</f>
        <v/>
      </c>
      <c r="I120" s="77"/>
      <c r="J120" s="172" t="str">
        <f>IF(itens_Remanesc!A68="","",itens_Remanesc!A68)</f>
        <v/>
      </c>
      <c r="K120" s="173" t="str">
        <f>IF(J120="","",IF($F$4="C0",itens_Remanesc!B68,IF($F$4="C1",itens_Remanesc!E68,IF($F$4="C2",itens_Remanesc!G68,IF($F$4="C3",itens_Remanesc!I68,itens_Remanesc!K68)))))</f>
        <v/>
      </c>
      <c r="L120" s="173" t="str">
        <f>IF(J120="","",IF(SUMIF(itens_Consumidos!$A$2:$A$200,J120,itens_Consumidos!$B$2:$B$200)-SUMIF(itens_Consumidos!$A$2:$A$200,J120,itens_Consumidos!$O$2:$O$200)&lt;0,0,SUMIF(itens_Consumidos!$A$2:$A$200,J120,itens_Consumidos!$B$2:$B$200)-SUMIF(itens_Consumidos!$A$2:$A$200,J120,itens_Consumidos!$O$2:$O$200)))</f>
        <v/>
      </c>
      <c r="M120" s="176" t="str">
        <f>IF(J120="","",itens_Remanesc!C68)</f>
        <v/>
      </c>
      <c r="N120" s="176" t="str">
        <f>IF(J120="","",IF($F$4="C0",historico_VU!C68,IF($F$4="C1",historico_VU!D68,IF($F$4="C2",historico_VU!E68,IF($F$4="C3",historico_VU!F68,historico_VU!G68)))))</f>
        <v/>
      </c>
      <c r="O120" s="176" t="str">
        <f>IF(J120="","",IF(CONTROLE!$B$1="Principal",IF(OR(K120="",M120=""),"",ROUND(K120*M120,2)),IF(CONTROLE!$B$1="Itens Consumidos",IF(OR(L120="",M120=""),"",ROUND(L120*M120,2)),"")))</f>
        <v/>
      </c>
      <c r="P120" s="176" t="str">
        <f>IF(J120="","",IF(CONTROLE!$B$1="Principal",IF(OR(K120="",N120=""),"",ROUND(K120*N120,2)),IF(CONTROLE!$B$1="Itens Consumidos",IF(OR(L120="",N120=""),"",ROUND(L120*N120,2)),"")))</f>
        <v/>
      </c>
      <c r="Q120" s="177" t="str">
        <f>IF(J120="","",IF(OR(M120="",AND(CONTROLE!$B$1="Principal",K120=""),AND(CONTROLE!$B$1="Itens Consumidos",L120="")),"INCOMPLETO",IF(CONTROLE!$B$1="Pedidos de Compras","MANUAL",IF(AND(ISNUMBER(K120),ISNUMBER(L120),ABS(K120-L120)/MAX(ABS(IF(CONTROLE!$B$1="Principal",K120,L120)),1)&gt;$D$4),"DIVERGENTE","OK"))))</f>
        <v/>
      </c>
    </row>
    <row r="121" spans="1:17" x14ac:dyDescent="0.35">
      <c r="A121" s="172" t="str">
        <f>IF(historico_VU!A69="","",historico_VU!A69)</f>
        <v/>
      </c>
      <c r="B121" s="173" t="str">
        <f>IF(A121="","",historico_VU!B69)</f>
        <v/>
      </c>
      <c r="C121" s="174" t="str">
        <f>IF(A121="","",historico_VU!C69)</f>
        <v/>
      </c>
      <c r="D121" s="174" t="str">
        <f>IF(A121="","",historico_VU!D69)</f>
        <v/>
      </c>
      <c r="E121" s="174" t="str">
        <f>IF(A121="","",historico_VU!E69)</f>
        <v/>
      </c>
      <c r="F121" s="174" t="str">
        <f>IF(A121="","",historico_VU!F69)</f>
        <v/>
      </c>
      <c r="G121" s="174" t="str">
        <f>IF(A121="","",historico_VU!G69)</f>
        <v/>
      </c>
      <c r="H121" s="175" t="str">
        <f>IF(A121="","",historico_VU!H69)</f>
        <v/>
      </c>
      <c r="I121" s="77"/>
      <c r="J121" s="172" t="str">
        <f>IF(itens_Remanesc!A69="","",itens_Remanesc!A69)</f>
        <v/>
      </c>
      <c r="K121" s="173" t="str">
        <f>IF(J121="","",IF($F$4="C0",itens_Remanesc!B69,IF($F$4="C1",itens_Remanesc!E69,IF($F$4="C2",itens_Remanesc!G69,IF($F$4="C3",itens_Remanesc!I69,itens_Remanesc!K69)))))</f>
        <v/>
      </c>
      <c r="L121" s="173" t="str">
        <f>IF(J121="","",IF(SUMIF(itens_Consumidos!$A$2:$A$200,J121,itens_Consumidos!$B$2:$B$200)-SUMIF(itens_Consumidos!$A$2:$A$200,J121,itens_Consumidos!$O$2:$O$200)&lt;0,0,SUMIF(itens_Consumidos!$A$2:$A$200,J121,itens_Consumidos!$B$2:$B$200)-SUMIF(itens_Consumidos!$A$2:$A$200,J121,itens_Consumidos!$O$2:$O$200)))</f>
        <v/>
      </c>
      <c r="M121" s="176" t="str">
        <f>IF(J121="","",itens_Remanesc!C69)</f>
        <v/>
      </c>
      <c r="N121" s="176" t="str">
        <f>IF(J121="","",IF($F$4="C0",historico_VU!C69,IF($F$4="C1",historico_VU!D69,IF($F$4="C2",historico_VU!E69,IF($F$4="C3",historico_VU!F69,historico_VU!G69)))))</f>
        <v/>
      </c>
      <c r="O121" s="176" t="str">
        <f>IF(J121="","",IF(CONTROLE!$B$1="Principal",IF(OR(K121="",M121=""),"",ROUND(K121*M121,2)),IF(CONTROLE!$B$1="Itens Consumidos",IF(OR(L121="",M121=""),"",ROUND(L121*M121,2)),"")))</f>
        <v/>
      </c>
      <c r="P121" s="176" t="str">
        <f>IF(J121="","",IF(CONTROLE!$B$1="Principal",IF(OR(K121="",N121=""),"",ROUND(K121*N121,2)),IF(CONTROLE!$B$1="Itens Consumidos",IF(OR(L121="",N121=""),"",ROUND(L121*N121,2)),"")))</f>
        <v/>
      </c>
      <c r="Q121" s="177" t="str">
        <f>IF(J121="","",IF(OR(M121="",AND(CONTROLE!$B$1="Principal",K121=""),AND(CONTROLE!$B$1="Itens Consumidos",L121="")),"INCOMPLETO",IF(CONTROLE!$B$1="Pedidos de Compras","MANUAL",IF(AND(ISNUMBER(K121),ISNUMBER(L121),ABS(K121-L121)/MAX(ABS(IF(CONTROLE!$B$1="Principal",K121,L121)),1)&gt;$D$4),"DIVERGENTE","OK"))))</f>
        <v/>
      </c>
    </row>
    <row r="122" spans="1:17" x14ac:dyDescent="0.35">
      <c r="A122" s="172" t="str">
        <f>IF(historico_VU!A70="","",historico_VU!A70)</f>
        <v/>
      </c>
      <c r="B122" s="173" t="str">
        <f>IF(A122="","",historico_VU!B70)</f>
        <v/>
      </c>
      <c r="C122" s="174" t="str">
        <f>IF(A122="","",historico_VU!C70)</f>
        <v/>
      </c>
      <c r="D122" s="174" t="str">
        <f>IF(A122="","",historico_VU!D70)</f>
        <v/>
      </c>
      <c r="E122" s="174" t="str">
        <f>IF(A122="","",historico_VU!E70)</f>
        <v/>
      </c>
      <c r="F122" s="174" t="str">
        <f>IF(A122="","",historico_VU!F70)</f>
        <v/>
      </c>
      <c r="G122" s="174" t="str">
        <f>IF(A122="","",historico_VU!G70)</f>
        <v/>
      </c>
      <c r="H122" s="175" t="str">
        <f>IF(A122="","",historico_VU!H70)</f>
        <v/>
      </c>
      <c r="I122" s="77"/>
      <c r="J122" s="172" t="str">
        <f>IF(itens_Remanesc!A70="","",itens_Remanesc!A70)</f>
        <v/>
      </c>
      <c r="K122" s="173" t="str">
        <f>IF(J122="","",IF($F$4="C0",itens_Remanesc!B70,IF($F$4="C1",itens_Remanesc!E70,IF($F$4="C2",itens_Remanesc!G70,IF($F$4="C3",itens_Remanesc!I70,itens_Remanesc!K70)))))</f>
        <v/>
      </c>
      <c r="L122" s="173" t="str">
        <f>IF(J122="","",IF(SUMIF(itens_Consumidos!$A$2:$A$200,J122,itens_Consumidos!$B$2:$B$200)-SUMIF(itens_Consumidos!$A$2:$A$200,J122,itens_Consumidos!$O$2:$O$200)&lt;0,0,SUMIF(itens_Consumidos!$A$2:$A$200,J122,itens_Consumidos!$B$2:$B$200)-SUMIF(itens_Consumidos!$A$2:$A$200,J122,itens_Consumidos!$O$2:$O$200)))</f>
        <v/>
      </c>
      <c r="M122" s="176" t="str">
        <f>IF(J122="","",itens_Remanesc!C70)</f>
        <v/>
      </c>
      <c r="N122" s="176" t="str">
        <f>IF(J122="","",IF($F$4="C0",historico_VU!C70,IF($F$4="C1",historico_VU!D70,IF($F$4="C2",historico_VU!E70,IF($F$4="C3",historico_VU!F70,historico_VU!G70)))))</f>
        <v/>
      </c>
      <c r="O122" s="176" t="str">
        <f>IF(J122="","",IF(CONTROLE!$B$1="Principal",IF(OR(K122="",M122=""),"",ROUND(K122*M122,2)),IF(CONTROLE!$B$1="Itens Consumidos",IF(OR(L122="",M122=""),"",ROUND(L122*M122,2)),"")))</f>
        <v/>
      </c>
      <c r="P122" s="176" t="str">
        <f>IF(J122="","",IF(CONTROLE!$B$1="Principal",IF(OR(K122="",N122=""),"",ROUND(K122*N122,2)),IF(CONTROLE!$B$1="Itens Consumidos",IF(OR(L122="",N122=""),"",ROUND(L122*N122,2)),"")))</f>
        <v/>
      </c>
      <c r="Q122" s="177" t="str">
        <f>IF(J122="","",IF(OR(M122="",AND(CONTROLE!$B$1="Principal",K122=""),AND(CONTROLE!$B$1="Itens Consumidos",L122="")),"INCOMPLETO",IF(CONTROLE!$B$1="Pedidos de Compras","MANUAL",IF(AND(ISNUMBER(K122),ISNUMBER(L122),ABS(K122-L122)/MAX(ABS(IF(CONTROLE!$B$1="Principal",K122,L122)),1)&gt;$D$4),"DIVERGENTE","OK"))))</f>
        <v/>
      </c>
    </row>
    <row r="123" spans="1:17" x14ac:dyDescent="0.35">
      <c r="A123" s="172" t="str">
        <f>IF(historico_VU!A71="","",historico_VU!A71)</f>
        <v/>
      </c>
      <c r="B123" s="173" t="str">
        <f>IF(A123="","",historico_VU!B71)</f>
        <v/>
      </c>
      <c r="C123" s="174" t="str">
        <f>IF(A123="","",historico_VU!C71)</f>
        <v/>
      </c>
      <c r="D123" s="174" t="str">
        <f>IF(A123="","",historico_VU!D71)</f>
        <v/>
      </c>
      <c r="E123" s="174" t="str">
        <f>IF(A123="","",historico_VU!E71)</f>
        <v/>
      </c>
      <c r="F123" s="174" t="str">
        <f>IF(A123="","",historico_VU!F71)</f>
        <v/>
      </c>
      <c r="G123" s="174" t="str">
        <f>IF(A123="","",historico_VU!G71)</f>
        <v/>
      </c>
      <c r="H123" s="175" t="str">
        <f>IF(A123="","",historico_VU!H71)</f>
        <v/>
      </c>
      <c r="I123" s="77"/>
      <c r="J123" s="172" t="str">
        <f>IF(itens_Remanesc!A71="","",itens_Remanesc!A71)</f>
        <v/>
      </c>
      <c r="K123" s="173" t="str">
        <f>IF(J123="","",IF($F$4="C0",itens_Remanesc!B71,IF($F$4="C1",itens_Remanesc!E71,IF($F$4="C2",itens_Remanesc!G71,IF($F$4="C3",itens_Remanesc!I71,itens_Remanesc!K71)))))</f>
        <v/>
      </c>
      <c r="L123" s="173" t="str">
        <f>IF(J123="","",IF(SUMIF(itens_Consumidos!$A$2:$A$200,J123,itens_Consumidos!$B$2:$B$200)-SUMIF(itens_Consumidos!$A$2:$A$200,J123,itens_Consumidos!$O$2:$O$200)&lt;0,0,SUMIF(itens_Consumidos!$A$2:$A$200,J123,itens_Consumidos!$B$2:$B$200)-SUMIF(itens_Consumidos!$A$2:$A$200,J123,itens_Consumidos!$O$2:$O$200)))</f>
        <v/>
      </c>
      <c r="M123" s="176" t="str">
        <f>IF(J123="","",itens_Remanesc!C71)</f>
        <v/>
      </c>
      <c r="N123" s="176" t="str">
        <f>IF(J123="","",IF($F$4="C0",historico_VU!C71,IF($F$4="C1",historico_VU!D71,IF($F$4="C2",historico_VU!E71,IF($F$4="C3",historico_VU!F71,historico_VU!G71)))))</f>
        <v/>
      </c>
      <c r="O123" s="176" t="str">
        <f>IF(J123="","",IF(CONTROLE!$B$1="Principal",IF(OR(K123="",M123=""),"",ROUND(K123*M123,2)),IF(CONTROLE!$B$1="Itens Consumidos",IF(OR(L123="",M123=""),"",ROUND(L123*M123,2)),"")))</f>
        <v/>
      </c>
      <c r="P123" s="176" t="str">
        <f>IF(J123="","",IF(CONTROLE!$B$1="Principal",IF(OR(K123="",N123=""),"",ROUND(K123*N123,2)),IF(CONTROLE!$B$1="Itens Consumidos",IF(OR(L123="",N123=""),"",ROUND(L123*N123,2)),"")))</f>
        <v/>
      </c>
      <c r="Q123" s="177" t="str">
        <f>IF(J123="","",IF(OR(M123="",AND(CONTROLE!$B$1="Principal",K123=""),AND(CONTROLE!$B$1="Itens Consumidos",L123="")),"INCOMPLETO",IF(CONTROLE!$B$1="Pedidos de Compras","MANUAL",IF(AND(ISNUMBER(K123),ISNUMBER(L123),ABS(K123-L123)/MAX(ABS(IF(CONTROLE!$B$1="Principal",K123,L123)),1)&gt;$D$4),"DIVERGENTE","OK"))))</f>
        <v/>
      </c>
    </row>
    <row r="124" spans="1:17" x14ac:dyDescent="0.35">
      <c r="A124" s="172" t="str">
        <f>IF(historico_VU!A72="","",historico_VU!A72)</f>
        <v/>
      </c>
      <c r="B124" s="173" t="str">
        <f>IF(A124="","",historico_VU!B72)</f>
        <v/>
      </c>
      <c r="C124" s="174" t="str">
        <f>IF(A124="","",historico_VU!C72)</f>
        <v/>
      </c>
      <c r="D124" s="174" t="str">
        <f>IF(A124="","",historico_VU!D72)</f>
        <v/>
      </c>
      <c r="E124" s="174" t="str">
        <f>IF(A124="","",historico_VU!E72)</f>
        <v/>
      </c>
      <c r="F124" s="174" t="str">
        <f>IF(A124="","",historico_VU!F72)</f>
        <v/>
      </c>
      <c r="G124" s="174" t="str">
        <f>IF(A124="","",historico_VU!G72)</f>
        <v/>
      </c>
      <c r="H124" s="175" t="str">
        <f>IF(A124="","",historico_VU!H72)</f>
        <v/>
      </c>
      <c r="I124" s="77"/>
      <c r="J124" s="172" t="str">
        <f>IF(itens_Remanesc!A72="","",itens_Remanesc!A72)</f>
        <v/>
      </c>
      <c r="K124" s="173" t="str">
        <f>IF(J124="","",IF($F$4="C0",itens_Remanesc!B72,IF($F$4="C1",itens_Remanesc!E72,IF($F$4="C2",itens_Remanesc!G72,IF($F$4="C3",itens_Remanesc!I72,itens_Remanesc!K72)))))</f>
        <v/>
      </c>
      <c r="L124" s="173" t="str">
        <f>IF(J124="","",IF(SUMIF(itens_Consumidos!$A$2:$A$200,J124,itens_Consumidos!$B$2:$B$200)-SUMIF(itens_Consumidos!$A$2:$A$200,J124,itens_Consumidos!$O$2:$O$200)&lt;0,0,SUMIF(itens_Consumidos!$A$2:$A$200,J124,itens_Consumidos!$B$2:$B$200)-SUMIF(itens_Consumidos!$A$2:$A$200,J124,itens_Consumidos!$O$2:$O$200)))</f>
        <v/>
      </c>
      <c r="M124" s="176" t="str">
        <f>IF(J124="","",itens_Remanesc!C72)</f>
        <v/>
      </c>
      <c r="N124" s="176" t="str">
        <f>IF(J124="","",IF($F$4="C0",historico_VU!C72,IF($F$4="C1",historico_VU!D72,IF($F$4="C2",historico_VU!E72,IF($F$4="C3",historico_VU!F72,historico_VU!G72)))))</f>
        <v/>
      </c>
      <c r="O124" s="176" t="str">
        <f>IF(J124="","",IF(CONTROLE!$B$1="Principal",IF(OR(K124="",M124=""),"",ROUND(K124*M124,2)),IF(CONTROLE!$B$1="Itens Consumidos",IF(OR(L124="",M124=""),"",ROUND(L124*M124,2)),"")))</f>
        <v/>
      </c>
      <c r="P124" s="176" t="str">
        <f>IF(J124="","",IF(CONTROLE!$B$1="Principal",IF(OR(K124="",N124=""),"",ROUND(K124*N124,2)),IF(CONTROLE!$B$1="Itens Consumidos",IF(OR(L124="",N124=""),"",ROUND(L124*N124,2)),"")))</f>
        <v/>
      </c>
      <c r="Q124" s="177" t="str">
        <f>IF(J124="","",IF(OR(M124="",AND(CONTROLE!$B$1="Principal",K124=""),AND(CONTROLE!$B$1="Itens Consumidos",L124="")),"INCOMPLETO",IF(CONTROLE!$B$1="Pedidos de Compras","MANUAL",IF(AND(ISNUMBER(K124),ISNUMBER(L124),ABS(K124-L124)/MAX(ABS(IF(CONTROLE!$B$1="Principal",K124,L124)),1)&gt;$D$4),"DIVERGENTE","OK"))))</f>
        <v/>
      </c>
    </row>
    <row r="125" spans="1:17" x14ac:dyDescent="0.35">
      <c r="A125" s="172" t="str">
        <f>IF(historico_VU!A73="","",historico_VU!A73)</f>
        <v/>
      </c>
      <c r="B125" s="173" t="str">
        <f>IF(A125="","",historico_VU!B73)</f>
        <v/>
      </c>
      <c r="C125" s="174" t="str">
        <f>IF(A125="","",historico_VU!C73)</f>
        <v/>
      </c>
      <c r="D125" s="174" t="str">
        <f>IF(A125="","",historico_VU!D73)</f>
        <v/>
      </c>
      <c r="E125" s="174" t="str">
        <f>IF(A125="","",historico_VU!E73)</f>
        <v/>
      </c>
      <c r="F125" s="174" t="str">
        <f>IF(A125="","",historico_VU!F73)</f>
        <v/>
      </c>
      <c r="G125" s="174" t="str">
        <f>IF(A125="","",historico_VU!G73)</f>
        <v/>
      </c>
      <c r="H125" s="175" t="str">
        <f>IF(A125="","",historico_VU!H73)</f>
        <v/>
      </c>
      <c r="I125" s="77"/>
      <c r="J125" s="172" t="str">
        <f>IF(itens_Remanesc!A73="","",itens_Remanesc!A73)</f>
        <v/>
      </c>
      <c r="K125" s="173" t="str">
        <f>IF(J125="","",IF($F$4="C0",itens_Remanesc!B73,IF($F$4="C1",itens_Remanesc!E73,IF($F$4="C2",itens_Remanesc!G73,IF($F$4="C3",itens_Remanesc!I73,itens_Remanesc!K73)))))</f>
        <v/>
      </c>
      <c r="L125" s="173" t="str">
        <f>IF(J125="","",IF(SUMIF(itens_Consumidos!$A$2:$A$200,J125,itens_Consumidos!$B$2:$B$200)-SUMIF(itens_Consumidos!$A$2:$A$200,J125,itens_Consumidos!$O$2:$O$200)&lt;0,0,SUMIF(itens_Consumidos!$A$2:$A$200,J125,itens_Consumidos!$B$2:$B$200)-SUMIF(itens_Consumidos!$A$2:$A$200,J125,itens_Consumidos!$O$2:$O$200)))</f>
        <v/>
      </c>
      <c r="M125" s="176" t="str">
        <f>IF(J125="","",itens_Remanesc!C73)</f>
        <v/>
      </c>
      <c r="N125" s="176" t="str">
        <f>IF(J125="","",IF($F$4="C0",historico_VU!C73,IF($F$4="C1",historico_VU!D73,IF($F$4="C2",historico_VU!E73,IF($F$4="C3",historico_VU!F73,historico_VU!G73)))))</f>
        <v/>
      </c>
      <c r="O125" s="176" t="str">
        <f>IF(J125="","",IF(CONTROLE!$B$1="Principal",IF(OR(K125="",M125=""),"",ROUND(K125*M125,2)),IF(CONTROLE!$B$1="Itens Consumidos",IF(OR(L125="",M125=""),"",ROUND(L125*M125,2)),"")))</f>
        <v/>
      </c>
      <c r="P125" s="176" t="str">
        <f>IF(J125="","",IF(CONTROLE!$B$1="Principal",IF(OR(K125="",N125=""),"",ROUND(K125*N125,2)),IF(CONTROLE!$B$1="Itens Consumidos",IF(OR(L125="",N125=""),"",ROUND(L125*N125,2)),"")))</f>
        <v/>
      </c>
      <c r="Q125" s="177" t="str">
        <f>IF(J125="","",IF(OR(M125="",AND(CONTROLE!$B$1="Principal",K125=""),AND(CONTROLE!$B$1="Itens Consumidos",L125="")),"INCOMPLETO",IF(CONTROLE!$B$1="Pedidos de Compras","MANUAL",IF(AND(ISNUMBER(K125),ISNUMBER(L125),ABS(K125-L125)/MAX(ABS(IF(CONTROLE!$B$1="Principal",K125,L125)),1)&gt;$D$4),"DIVERGENTE","OK"))))</f>
        <v/>
      </c>
    </row>
    <row r="126" spans="1:17" x14ac:dyDescent="0.35">
      <c r="A126" s="172" t="str">
        <f>IF(historico_VU!A74="","",historico_VU!A74)</f>
        <v/>
      </c>
      <c r="B126" s="173" t="str">
        <f>IF(A126="","",historico_VU!B74)</f>
        <v/>
      </c>
      <c r="C126" s="174" t="str">
        <f>IF(A126="","",historico_VU!C74)</f>
        <v/>
      </c>
      <c r="D126" s="174" t="str">
        <f>IF(A126="","",historico_VU!D74)</f>
        <v/>
      </c>
      <c r="E126" s="174" t="str">
        <f>IF(A126="","",historico_VU!E74)</f>
        <v/>
      </c>
      <c r="F126" s="174" t="str">
        <f>IF(A126="","",historico_VU!F74)</f>
        <v/>
      </c>
      <c r="G126" s="174" t="str">
        <f>IF(A126="","",historico_VU!G74)</f>
        <v/>
      </c>
      <c r="H126" s="175" t="str">
        <f>IF(A126="","",historico_VU!H74)</f>
        <v/>
      </c>
      <c r="I126" s="77"/>
      <c r="J126" s="172" t="str">
        <f>IF(itens_Remanesc!A74="","",itens_Remanesc!A74)</f>
        <v/>
      </c>
      <c r="K126" s="173" t="str">
        <f>IF(J126="","",IF($F$4="C0",itens_Remanesc!B74,IF($F$4="C1",itens_Remanesc!E74,IF($F$4="C2",itens_Remanesc!G74,IF($F$4="C3",itens_Remanesc!I74,itens_Remanesc!K74)))))</f>
        <v/>
      </c>
      <c r="L126" s="173" t="str">
        <f>IF(J126="","",IF(SUMIF(itens_Consumidos!$A$2:$A$200,J126,itens_Consumidos!$B$2:$B$200)-SUMIF(itens_Consumidos!$A$2:$A$200,J126,itens_Consumidos!$O$2:$O$200)&lt;0,0,SUMIF(itens_Consumidos!$A$2:$A$200,J126,itens_Consumidos!$B$2:$B$200)-SUMIF(itens_Consumidos!$A$2:$A$200,J126,itens_Consumidos!$O$2:$O$200)))</f>
        <v/>
      </c>
      <c r="M126" s="176" t="str">
        <f>IF(J126="","",itens_Remanesc!C74)</f>
        <v/>
      </c>
      <c r="N126" s="176" t="str">
        <f>IF(J126="","",IF($F$4="C0",historico_VU!C74,IF($F$4="C1",historico_VU!D74,IF($F$4="C2",historico_VU!E74,IF($F$4="C3",historico_VU!F74,historico_VU!G74)))))</f>
        <v/>
      </c>
      <c r="O126" s="176" t="str">
        <f>IF(J126="","",IF(CONTROLE!$B$1="Principal",IF(OR(K126="",M126=""),"",ROUND(K126*M126,2)),IF(CONTROLE!$B$1="Itens Consumidos",IF(OR(L126="",M126=""),"",ROUND(L126*M126,2)),"")))</f>
        <v/>
      </c>
      <c r="P126" s="176" t="str">
        <f>IF(J126="","",IF(CONTROLE!$B$1="Principal",IF(OR(K126="",N126=""),"",ROUND(K126*N126,2)),IF(CONTROLE!$B$1="Itens Consumidos",IF(OR(L126="",N126=""),"",ROUND(L126*N126,2)),"")))</f>
        <v/>
      </c>
      <c r="Q126" s="177" t="str">
        <f>IF(J126="","",IF(OR(M126="",AND(CONTROLE!$B$1="Principal",K126=""),AND(CONTROLE!$B$1="Itens Consumidos",L126="")),"INCOMPLETO",IF(CONTROLE!$B$1="Pedidos de Compras","MANUAL",IF(AND(ISNUMBER(K126),ISNUMBER(L126),ABS(K126-L126)/MAX(ABS(IF(CONTROLE!$B$1="Principal",K126,L126)),1)&gt;$D$4),"DIVERGENTE","OK"))))</f>
        <v/>
      </c>
    </row>
    <row r="127" spans="1:17" x14ac:dyDescent="0.35">
      <c r="A127" s="172" t="str">
        <f>IF(historico_VU!A75="","",historico_VU!A75)</f>
        <v/>
      </c>
      <c r="B127" s="173" t="str">
        <f>IF(A127="","",historico_VU!B75)</f>
        <v/>
      </c>
      <c r="C127" s="174" t="str">
        <f>IF(A127="","",historico_VU!C75)</f>
        <v/>
      </c>
      <c r="D127" s="174" t="str">
        <f>IF(A127="","",historico_VU!D75)</f>
        <v/>
      </c>
      <c r="E127" s="174" t="str">
        <f>IF(A127="","",historico_VU!E75)</f>
        <v/>
      </c>
      <c r="F127" s="174" t="str">
        <f>IF(A127="","",historico_VU!F75)</f>
        <v/>
      </c>
      <c r="G127" s="174" t="str">
        <f>IF(A127="","",historico_VU!G75)</f>
        <v/>
      </c>
      <c r="H127" s="175" t="str">
        <f>IF(A127="","",historico_VU!H75)</f>
        <v/>
      </c>
      <c r="I127" s="77"/>
      <c r="J127" s="172" t="str">
        <f>IF(itens_Remanesc!A75="","",itens_Remanesc!A75)</f>
        <v/>
      </c>
      <c r="K127" s="173" t="str">
        <f>IF(J127="","",IF($F$4="C0",itens_Remanesc!B75,IF($F$4="C1",itens_Remanesc!E75,IF($F$4="C2",itens_Remanesc!G75,IF($F$4="C3",itens_Remanesc!I75,itens_Remanesc!K75)))))</f>
        <v/>
      </c>
      <c r="L127" s="173" t="str">
        <f>IF(J127="","",IF(SUMIF(itens_Consumidos!$A$2:$A$200,J127,itens_Consumidos!$B$2:$B$200)-SUMIF(itens_Consumidos!$A$2:$A$200,J127,itens_Consumidos!$O$2:$O$200)&lt;0,0,SUMIF(itens_Consumidos!$A$2:$A$200,J127,itens_Consumidos!$B$2:$B$200)-SUMIF(itens_Consumidos!$A$2:$A$200,J127,itens_Consumidos!$O$2:$O$200)))</f>
        <v/>
      </c>
      <c r="M127" s="176" t="str">
        <f>IF(J127="","",itens_Remanesc!C75)</f>
        <v/>
      </c>
      <c r="N127" s="176" t="str">
        <f>IF(J127="","",IF($F$4="C0",historico_VU!C75,IF($F$4="C1",historico_VU!D75,IF($F$4="C2",historico_VU!E75,IF($F$4="C3",historico_VU!F75,historico_VU!G75)))))</f>
        <v/>
      </c>
      <c r="O127" s="176" t="str">
        <f>IF(J127="","",IF(CONTROLE!$B$1="Principal",IF(OR(K127="",M127=""),"",ROUND(K127*M127,2)),IF(CONTROLE!$B$1="Itens Consumidos",IF(OR(L127="",M127=""),"",ROUND(L127*M127,2)),"")))</f>
        <v/>
      </c>
      <c r="P127" s="176" t="str">
        <f>IF(J127="","",IF(CONTROLE!$B$1="Principal",IF(OR(K127="",N127=""),"",ROUND(K127*N127,2)),IF(CONTROLE!$B$1="Itens Consumidos",IF(OR(L127="",N127=""),"",ROUND(L127*N127,2)),"")))</f>
        <v/>
      </c>
      <c r="Q127" s="177" t="str">
        <f>IF(J127="","",IF(OR(M127="",AND(CONTROLE!$B$1="Principal",K127=""),AND(CONTROLE!$B$1="Itens Consumidos",L127="")),"INCOMPLETO",IF(CONTROLE!$B$1="Pedidos de Compras","MANUAL",IF(AND(ISNUMBER(K127),ISNUMBER(L127),ABS(K127-L127)/MAX(ABS(IF(CONTROLE!$B$1="Principal",K127,L127)),1)&gt;$D$4),"DIVERGENTE","OK"))))</f>
        <v/>
      </c>
    </row>
    <row r="128" spans="1:17" x14ac:dyDescent="0.35">
      <c r="A128" s="172" t="str">
        <f>IF(historico_VU!A76="","",historico_VU!A76)</f>
        <v/>
      </c>
      <c r="B128" s="173" t="str">
        <f>IF(A128="","",historico_VU!B76)</f>
        <v/>
      </c>
      <c r="C128" s="174" t="str">
        <f>IF(A128="","",historico_VU!C76)</f>
        <v/>
      </c>
      <c r="D128" s="174" t="str">
        <f>IF(A128="","",historico_VU!D76)</f>
        <v/>
      </c>
      <c r="E128" s="174" t="str">
        <f>IF(A128="","",historico_VU!E76)</f>
        <v/>
      </c>
      <c r="F128" s="174" t="str">
        <f>IF(A128="","",historico_VU!F76)</f>
        <v/>
      </c>
      <c r="G128" s="174" t="str">
        <f>IF(A128="","",historico_VU!G76)</f>
        <v/>
      </c>
      <c r="H128" s="175" t="str">
        <f>IF(A128="","",historico_VU!H76)</f>
        <v/>
      </c>
      <c r="I128" s="77"/>
      <c r="J128" s="172" t="str">
        <f>IF(itens_Remanesc!A76="","",itens_Remanesc!A76)</f>
        <v/>
      </c>
      <c r="K128" s="173" t="str">
        <f>IF(J128="","",IF($F$4="C0",itens_Remanesc!B76,IF($F$4="C1",itens_Remanesc!E76,IF($F$4="C2",itens_Remanesc!G76,IF($F$4="C3",itens_Remanesc!I76,itens_Remanesc!K76)))))</f>
        <v/>
      </c>
      <c r="L128" s="173" t="str">
        <f>IF(J128="","",IF(SUMIF(itens_Consumidos!$A$2:$A$200,J128,itens_Consumidos!$B$2:$B$200)-SUMIF(itens_Consumidos!$A$2:$A$200,J128,itens_Consumidos!$O$2:$O$200)&lt;0,0,SUMIF(itens_Consumidos!$A$2:$A$200,J128,itens_Consumidos!$B$2:$B$200)-SUMIF(itens_Consumidos!$A$2:$A$200,J128,itens_Consumidos!$O$2:$O$200)))</f>
        <v/>
      </c>
      <c r="M128" s="176" t="str">
        <f>IF(J128="","",itens_Remanesc!C76)</f>
        <v/>
      </c>
      <c r="N128" s="176" t="str">
        <f>IF(J128="","",IF($F$4="C0",historico_VU!C76,IF($F$4="C1",historico_VU!D76,IF($F$4="C2",historico_VU!E76,IF($F$4="C3",historico_VU!F76,historico_VU!G76)))))</f>
        <v/>
      </c>
      <c r="O128" s="176" t="str">
        <f>IF(J128="","",IF(CONTROLE!$B$1="Principal",IF(OR(K128="",M128=""),"",ROUND(K128*M128,2)),IF(CONTROLE!$B$1="Itens Consumidos",IF(OR(L128="",M128=""),"",ROUND(L128*M128,2)),"")))</f>
        <v/>
      </c>
      <c r="P128" s="176" t="str">
        <f>IF(J128="","",IF(CONTROLE!$B$1="Principal",IF(OR(K128="",N128=""),"",ROUND(K128*N128,2)),IF(CONTROLE!$B$1="Itens Consumidos",IF(OR(L128="",N128=""),"",ROUND(L128*N128,2)),"")))</f>
        <v/>
      </c>
      <c r="Q128" s="177" t="str">
        <f>IF(J128="","",IF(OR(M128="",AND(CONTROLE!$B$1="Principal",K128=""),AND(CONTROLE!$B$1="Itens Consumidos",L128="")),"INCOMPLETO",IF(CONTROLE!$B$1="Pedidos de Compras","MANUAL",IF(AND(ISNUMBER(K128),ISNUMBER(L128),ABS(K128-L128)/MAX(ABS(IF(CONTROLE!$B$1="Principal",K128,L128)),1)&gt;$D$4),"DIVERGENTE","OK"))))</f>
        <v/>
      </c>
    </row>
    <row r="129" spans="1:17" x14ac:dyDescent="0.35">
      <c r="A129" s="172" t="str">
        <f>IF(historico_VU!A77="","",historico_VU!A77)</f>
        <v/>
      </c>
      <c r="B129" s="173" t="str">
        <f>IF(A129="","",historico_VU!B77)</f>
        <v/>
      </c>
      <c r="C129" s="174" t="str">
        <f>IF(A129="","",historico_VU!C77)</f>
        <v/>
      </c>
      <c r="D129" s="174" t="str">
        <f>IF(A129="","",historico_VU!D77)</f>
        <v/>
      </c>
      <c r="E129" s="174" t="str">
        <f>IF(A129="","",historico_VU!E77)</f>
        <v/>
      </c>
      <c r="F129" s="174" t="str">
        <f>IF(A129="","",historico_VU!F77)</f>
        <v/>
      </c>
      <c r="G129" s="174" t="str">
        <f>IF(A129="","",historico_VU!G77)</f>
        <v/>
      </c>
      <c r="H129" s="175" t="str">
        <f>IF(A129="","",historico_VU!H77)</f>
        <v/>
      </c>
      <c r="I129" s="77"/>
      <c r="J129" s="172" t="str">
        <f>IF(itens_Remanesc!A77="","",itens_Remanesc!A77)</f>
        <v/>
      </c>
      <c r="K129" s="173" t="str">
        <f>IF(J129="","",IF($F$4="C0",itens_Remanesc!B77,IF($F$4="C1",itens_Remanesc!E77,IF($F$4="C2",itens_Remanesc!G77,IF($F$4="C3",itens_Remanesc!I77,itens_Remanesc!K77)))))</f>
        <v/>
      </c>
      <c r="L129" s="173" t="str">
        <f>IF(J129="","",IF(SUMIF(itens_Consumidos!$A$2:$A$200,J129,itens_Consumidos!$B$2:$B$200)-SUMIF(itens_Consumidos!$A$2:$A$200,J129,itens_Consumidos!$O$2:$O$200)&lt;0,0,SUMIF(itens_Consumidos!$A$2:$A$200,J129,itens_Consumidos!$B$2:$B$200)-SUMIF(itens_Consumidos!$A$2:$A$200,J129,itens_Consumidos!$O$2:$O$200)))</f>
        <v/>
      </c>
      <c r="M129" s="176" t="str">
        <f>IF(J129="","",itens_Remanesc!C77)</f>
        <v/>
      </c>
      <c r="N129" s="176" t="str">
        <f>IF(J129="","",IF($F$4="C0",historico_VU!C77,IF($F$4="C1",historico_VU!D77,IF($F$4="C2",historico_VU!E77,IF($F$4="C3",historico_VU!F77,historico_VU!G77)))))</f>
        <v/>
      </c>
      <c r="O129" s="176" t="str">
        <f>IF(J129="","",IF(CONTROLE!$B$1="Principal",IF(OR(K129="",M129=""),"",ROUND(K129*M129,2)),IF(CONTROLE!$B$1="Itens Consumidos",IF(OR(L129="",M129=""),"",ROUND(L129*M129,2)),"")))</f>
        <v/>
      </c>
      <c r="P129" s="176" t="str">
        <f>IF(J129="","",IF(CONTROLE!$B$1="Principal",IF(OR(K129="",N129=""),"",ROUND(K129*N129,2)),IF(CONTROLE!$B$1="Itens Consumidos",IF(OR(L129="",N129=""),"",ROUND(L129*N129,2)),"")))</f>
        <v/>
      </c>
      <c r="Q129" s="177" t="str">
        <f>IF(J129="","",IF(OR(M129="",AND(CONTROLE!$B$1="Principal",K129=""),AND(CONTROLE!$B$1="Itens Consumidos",L129="")),"INCOMPLETO",IF(CONTROLE!$B$1="Pedidos de Compras","MANUAL",IF(AND(ISNUMBER(K129),ISNUMBER(L129),ABS(K129-L129)/MAX(ABS(IF(CONTROLE!$B$1="Principal",K129,L129)),1)&gt;$D$4),"DIVERGENTE","OK"))))</f>
        <v/>
      </c>
    </row>
    <row r="130" spans="1:17" x14ac:dyDescent="0.35">
      <c r="A130" s="172" t="str">
        <f>IF(historico_VU!A78="","",historico_VU!A78)</f>
        <v/>
      </c>
      <c r="B130" s="173" t="str">
        <f>IF(A130="","",historico_VU!B78)</f>
        <v/>
      </c>
      <c r="C130" s="174" t="str">
        <f>IF(A130="","",historico_VU!C78)</f>
        <v/>
      </c>
      <c r="D130" s="174" t="str">
        <f>IF(A130="","",historico_VU!D78)</f>
        <v/>
      </c>
      <c r="E130" s="174" t="str">
        <f>IF(A130="","",historico_VU!E78)</f>
        <v/>
      </c>
      <c r="F130" s="174" t="str">
        <f>IF(A130="","",historico_VU!F78)</f>
        <v/>
      </c>
      <c r="G130" s="174" t="str">
        <f>IF(A130="","",historico_VU!G78)</f>
        <v/>
      </c>
      <c r="H130" s="175" t="str">
        <f>IF(A130="","",historico_VU!H78)</f>
        <v/>
      </c>
      <c r="I130" s="77"/>
      <c r="J130" s="172" t="str">
        <f>IF(itens_Remanesc!A78="","",itens_Remanesc!A78)</f>
        <v/>
      </c>
      <c r="K130" s="173" t="str">
        <f>IF(J130="","",IF($F$4="C0",itens_Remanesc!B78,IF($F$4="C1",itens_Remanesc!E78,IF($F$4="C2",itens_Remanesc!G78,IF($F$4="C3",itens_Remanesc!I78,itens_Remanesc!K78)))))</f>
        <v/>
      </c>
      <c r="L130" s="173" t="str">
        <f>IF(J130="","",IF(SUMIF(itens_Consumidos!$A$2:$A$200,J130,itens_Consumidos!$B$2:$B$200)-SUMIF(itens_Consumidos!$A$2:$A$200,J130,itens_Consumidos!$O$2:$O$200)&lt;0,0,SUMIF(itens_Consumidos!$A$2:$A$200,J130,itens_Consumidos!$B$2:$B$200)-SUMIF(itens_Consumidos!$A$2:$A$200,J130,itens_Consumidos!$O$2:$O$200)))</f>
        <v/>
      </c>
      <c r="M130" s="176" t="str">
        <f>IF(J130="","",itens_Remanesc!C78)</f>
        <v/>
      </c>
      <c r="N130" s="176" t="str">
        <f>IF(J130="","",IF($F$4="C0",historico_VU!C78,IF($F$4="C1",historico_VU!D78,IF($F$4="C2",historico_VU!E78,IF($F$4="C3",historico_VU!F78,historico_VU!G78)))))</f>
        <v/>
      </c>
      <c r="O130" s="176" t="str">
        <f>IF(J130="","",IF(CONTROLE!$B$1="Principal",IF(OR(K130="",M130=""),"",ROUND(K130*M130,2)),IF(CONTROLE!$B$1="Itens Consumidos",IF(OR(L130="",M130=""),"",ROUND(L130*M130,2)),"")))</f>
        <v/>
      </c>
      <c r="P130" s="176" t="str">
        <f>IF(J130="","",IF(CONTROLE!$B$1="Principal",IF(OR(K130="",N130=""),"",ROUND(K130*N130,2)),IF(CONTROLE!$B$1="Itens Consumidos",IF(OR(L130="",N130=""),"",ROUND(L130*N130,2)),"")))</f>
        <v/>
      </c>
      <c r="Q130" s="177" t="str">
        <f>IF(J130="","",IF(OR(M130="",AND(CONTROLE!$B$1="Principal",K130=""),AND(CONTROLE!$B$1="Itens Consumidos",L130="")),"INCOMPLETO",IF(CONTROLE!$B$1="Pedidos de Compras","MANUAL",IF(AND(ISNUMBER(K130),ISNUMBER(L130),ABS(K130-L130)/MAX(ABS(IF(CONTROLE!$B$1="Principal",K130,L130)),1)&gt;$D$4),"DIVERGENTE","OK"))))</f>
        <v/>
      </c>
    </row>
    <row r="131" spans="1:17" x14ac:dyDescent="0.35">
      <c r="A131" s="172" t="str">
        <f>IF(historico_VU!A79="","",historico_VU!A79)</f>
        <v/>
      </c>
      <c r="B131" s="173" t="str">
        <f>IF(A131="","",historico_VU!B79)</f>
        <v/>
      </c>
      <c r="C131" s="174" t="str">
        <f>IF(A131="","",historico_VU!C79)</f>
        <v/>
      </c>
      <c r="D131" s="174" t="str">
        <f>IF(A131="","",historico_VU!D79)</f>
        <v/>
      </c>
      <c r="E131" s="174" t="str">
        <f>IF(A131="","",historico_VU!E79)</f>
        <v/>
      </c>
      <c r="F131" s="174" t="str">
        <f>IF(A131="","",historico_VU!F79)</f>
        <v/>
      </c>
      <c r="G131" s="174" t="str">
        <f>IF(A131="","",historico_VU!G79)</f>
        <v/>
      </c>
      <c r="H131" s="175" t="str">
        <f>IF(A131="","",historico_VU!H79)</f>
        <v/>
      </c>
      <c r="I131" s="77"/>
      <c r="J131" s="172" t="str">
        <f>IF(itens_Remanesc!A79="","",itens_Remanesc!A79)</f>
        <v/>
      </c>
      <c r="K131" s="173" t="str">
        <f>IF(J131="","",IF($F$4="C0",itens_Remanesc!B79,IF($F$4="C1",itens_Remanesc!E79,IF($F$4="C2",itens_Remanesc!G79,IF($F$4="C3",itens_Remanesc!I79,itens_Remanesc!K79)))))</f>
        <v/>
      </c>
      <c r="L131" s="173" t="str">
        <f>IF(J131="","",IF(SUMIF(itens_Consumidos!$A$2:$A$200,J131,itens_Consumidos!$B$2:$B$200)-SUMIF(itens_Consumidos!$A$2:$A$200,J131,itens_Consumidos!$O$2:$O$200)&lt;0,0,SUMIF(itens_Consumidos!$A$2:$A$200,J131,itens_Consumidos!$B$2:$B$200)-SUMIF(itens_Consumidos!$A$2:$A$200,J131,itens_Consumidos!$O$2:$O$200)))</f>
        <v/>
      </c>
      <c r="M131" s="176" t="str">
        <f>IF(J131="","",itens_Remanesc!C79)</f>
        <v/>
      </c>
      <c r="N131" s="176" t="str">
        <f>IF(J131="","",IF($F$4="C0",historico_VU!C79,IF($F$4="C1",historico_VU!D79,IF($F$4="C2",historico_VU!E79,IF($F$4="C3",historico_VU!F79,historico_VU!G79)))))</f>
        <v/>
      </c>
      <c r="O131" s="176" t="str">
        <f>IF(J131="","",IF(CONTROLE!$B$1="Principal",IF(OR(K131="",M131=""),"",ROUND(K131*M131,2)),IF(CONTROLE!$B$1="Itens Consumidos",IF(OR(L131="",M131=""),"",ROUND(L131*M131,2)),"")))</f>
        <v/>
      </c>
      <c r="P131" s="176" t="str">
        <f>IF(J131="","",IF(CONTROLE!$B$1="Principal",IF(OR(K131="",N131=""),"",ROUND(K131*N131,2)),IF(CONTROLE!$B$1="Itens Consumidos",IF(OR(L131="",N131=""),"",ROUND(L131*N131,2)),"")))</f>
        <v/>
      </c>
      <c r="Q131" s="177" t="str">
        <f>IF(J131="","",IF(OR(M131="",AND(CONTROLE!$B$1="Principal",K131=""),AND(CONTROLE!$B$1="Itens Consumidos",L131="")),"INCOMPLETO",IF(CONTROLE!$B$1="Pedidos de Compras","MANUAL",IF(AND(ISNUMBER(K131),ISNUMBER(L131),ABS(K131-L131)/MAX(ABS(IF(CONTROLE!$B$1="Principal",K131,L131)),1)&gt;$D$4),"DIVERGENTE","OK"))))</f>
        <v/>
      </c>
    </row>
    <row r="132" spans="1:17" x14ac:dyDescent="0.35">
      <c r="A132" s="172" t="str">
        <f>IF(historico_VU!A80="","",historico_VU!A80)</f>
        <v/>
      </c>
      <c r="B132" s="173" t="str">
        <f>IF(A132="","",historico_VU!B80)</f>
        <v/>
      </c>
      <c r="C132" s="174" t="str">
        <f>IF(A132="","",historico_VU!C80)</f>
        <v/>
      </c>
      <c r="D132" s="174" t="str">
        <f>IF(A132="","",historico_VU!D80)</f>
        <v/>
      </c>
      <c r="E132" s="174" t="str">
        <f>IF(A132="","",historico_VU!E80)</f>
        <v/>
      </c>
      <c r="F132" s="174" t="str">
        <f>IF(A132="","",historico_VU!F80)</f>
        <v/>
      </c>
      <c r="G132" s="174" t="str">
        <f>IF(A132="","",historico_VU!G80)</f>
        <v/>
      </c>
      <c r="H132" s="175" t="str">
        <f>IF(A132="","",historico_VU!H80)</f>
        <v/>
      </c>
      <c r="I132" s="77"/>
      <c r="J132" s="172" t="str">
        <f>IF(itens_Remanesc!A80="","",itens_Remanesc!A80)</f>
        <v/>
      </c>
      <c r="K132" s="173" t="str">
        <f>IF(J132="","",IF($F$4="C0",itens_Remanesc!B80,IF($F$4="C1",itens_Remanesc!E80,IF($F$4="C2",itens_Remanesc!G80,IF($F$4="C3",itens_Remanesc!I80,itens_Remanesc!K80)))))</f>
        <v/>
      </c>
      <c r="L132" s="173" t="str">
        <f>IF(J132="","",IF(SUMIF(itens_Consumidos!$A$2:$A$200,J132,itens_Consumidos!$B$2:$B$200)-SUMIF(itens_Consumidos!$A$2:$A$200,J132,itens_Consumidos!$O$2:$O$200)&lt;0,0,SUMIF(itens_Consumidos!$A$2:$A$200,J132,itens_Consumidos!$B$2:$B$200)-SUMIF(itens_Consumidos!$A$2:$A$200,J132,itens_Consumidos!$O$2:$O$200)))</f>
        <v/>
      </c>
      <c r="M132" s="176" t="str">
        <f>IF(J132="","",itens_Remanesc!C80)</f>
        <v/>
      </c>
      <c r="N132" s="176" t="str">
        <f>IF(J132="","",IF($F$4="C0",historico_VU!C80,IF($F$4="C1",historico_VU!D80,IF($F$4="C2",historico_VU!E80,IF($F$4="C3",historico_VU!F80,historico_VU!G80)))))</f>
        <v/>
      </c>
      <c r="O132" s="176" t="str">
        <f>IF(J132="","",IF(CONTROLE!$B$1="Principal",IF(OR(K132="",M132=""),"",ROUND(K132*M132,2)),IF(CONTROLE!$B$1="Itens Consumidos",IF(OR(L132="",M132=""),"",ROUND(L132*M132,2)),"")))</f>
        <v/>
      </c>
      <c r="P132" s="176" t="str">
        <f>IF(J132="","",IF(CONTROLE!$B$1="Principal",IF(OR(K132="",N132=""),"",ROUND(K132*N132,2)),IF(CONTROLE!$B$1="Itens Consumidos",IF(OR(L132="",N132=""),"",ROUND(L132*N132,2)),"")))</f>
        <v/>
      </c>
      <c r="Q132" s="177" t="str">
        <f>IF(J132="","",IF(OR(M132="",AND(CONTROLE!$B$1="Principal",K132=""),AND(CONTROLE!$B$1="Itens Consumidos",L132="")),"INCOMPLETO",IF(CONTROLE!$B$1="Pedidos de Compras","MANUAL",IF(AND(ISNUMBER(K132),ISNUMBER(L132),ABS(K132-L132)/MAX(ABS(IF(CONTROLE!$B$1="Principal",K132,L132)),1)&gt;$D$4),"DIVERGENTE","OK"))))</f>
        <v/>
      </c>
    </row>
    <row r="133" spans="1:17" x14ac:dyDescent="0.35">
      <c r="A133" s="172" t="str">
        <f>IF(historico_VU!A81="","",historico_VU!A81)</f>
        <v/>
      </c>
      <c r="B133" s="173" t="str">
        <f>IF(A133="","",historico_VU!B81)</f>
        <v/>
      </c>
      <c r="C133" s="174" t="str">
        <f>IF(A133="","",historico_VU!C81)</f>
        <v/>
      </c>
      <c r="D133" s="174" t="str">
        <f>IF(A133="","",historico_VU!D81)</f>
        <v/>
      </c>
      <c r="E133" s="174" t="str">
        <f>IF(A133="","",historico_VU!E81)</f>
        <v/>
      </c>
      <c r="F133" s="174" t="str">
        <f>IF(A133="","",historico_VU!F81)</f>
        <v/>
      </c>
      <c r="G133" s="174" t="str">
        <f>IF(A133="","",historico_VU!G81)</f>
        <v/>
      </c>
      <c r="H133" s="175" t="str">
        <f>IF(A133="","",historico_VU!H81)</f>
        <v/>
      </c>
      <c r="I133" s="77"/>
      <c r="J133" s="172" t="str">
        <f>IF(itens_Remanesc!A81="","",itens_Remanesc!A81)</f>
        <v/>
      </c>
      <c r="K133" s="173" t="str">
        <f>IF(J133="","",IF($F$4="C0",itens_Remanesc!B81,IF($F$4="C1",itens_Remanesc!E81,IF($F$4="C2",itens_Remanesc!G81,IF($F$4="C3",itens_Remanesc!I81,itens_Remanesc!K81)))))</f>
        <v/>
      </c>
      <c r="L133" s="173" t="str">
        <f>IF(J133="","",IF(SUMIF(itens_Consumidos!$A$2:$A$200,J133,itens_Consumidos!$B$2:$B$200)-SUMIF(itens_Consumidos!$A$2:$A$200,J133,itens_Consumidos!$O$2:$O$200)&lt;0,0,SUMIF(itens_Consumidos!$A$2:$A$200,J133,itens_Consumidos!$B$2:$B$200)-SUMIF(itens_Consumidos!$A$2:$A$200,J133,itens_Consumidos!$O$2:$O$200)))</f>
        <v/>
      </c>
      <c r="M133" s="176" t="str">
        <f>IF(J133="","",itens_Remanesc!C81)</f>
        <v/>
      </c>
      <c r="N133" s="176" t="str">
        <f>IF(J133="","",IF($F$4="C0",historico_VU!C81,IF($F$4="C1",historico_VU!D81,IF($F$4="C2",historico_VU!E81,IF($F$4="C3",historico_VU!F81,historico_VU!G81)))))</f>
        <v/>
      </c>
      <c r="O133" s="176" t="str">
        <f>IF(J133="","",IF(CONTROLE!$B$1="Principal",IF(OR(K133="",M133=""),"",ROUND(K133*M133,2)),IF(CONTROLE!$B$1="Itens Consumidos",IF(OR(L133="",M133=""),"",ROUND(L133*M133,2)),"")))</f>
        <v/>
      </c>
      <c r="P133" s="176" t="str">
        <f>IF(J133="","",IF(CONTROLE!$B$1="Principal",IF(OR(K133="",N133=""),"",ROUND(K133*N133,2)),IF(CONTROLE!$B$1="Itens Consumidos",IF(OR(L133="",N133=""),"",ROUND(L133*N133,2)),"")))</f>
        <v/>
      </c>
      <c r="Q133" s="177" t="str">
        <f>IF(J133="","",IF(OR(M133="",AND(CONTROLE!$B$1="Principal",K133=""),AND(CONTROLE!$B$1="Itens Consumidos",L133="")),"INCOMPLETO",IF(CONTROLE!$B$1="Pedidos de Compras","MANUAL",IF(AND(ISNUMBER(K133),ISNUMBER(L133),ABS(K133-L133)/MAX(ABS(IF(CONTROLE!$B$1="Principal",K133,L133)),1)&gt;$D$4),"DIVERGENTE","OK"))))</f>
        <v/>
      </c>
    </row>
    <row r="134" spans="1:17" x14ac:dyDescent="0.35">
      <c r="A134" s="172" t="str">
        <f>IF(historico_VU!A82="","",historico_VU!A82)</f>
        <v/>
      </c>
      <c r="B134" s="173" t="str">
        <f>IF(A134="","",historico_VU!B82)</f>
        <v/>
      </c>
      <c r="C134" s="174" t="str">
        <f>IF(A134="","",historico_VU!C82)</f>
        <v/>
      </c>
      <c r="D134" s="174" t="str">
        <f>IF(A134="","",historico_VU!D82)</f>
        <v/>
      </c>
      <c r="E134" s="174" t="str">
        <f>IF(A134="","",historico_VU!E82)</f>
        <v/>
      </c>
      <c r="F134" s="174" t="str">
        <f>IF(A134="","",historico_VU!F82)</f>
        <v/>
      </c>
      <c r="G134" s="174" t="str">
        <f>IF(A134="","",historico_VU!G82)</f>
        <v/>
      </c>
      <c r="H134" s="175" t="str">
        <f>IF(A134="","",historico_VU!H82)</f>
        <v/>
      </c>
      <c r="I134" s="77"/>
      <c r="J134" s="172" t="str">
        <f>IF(itens_Remanesc!A82="","",itens_Remanesc!A82)</f>
        <v/>
      </c>
      <c r="K134" s="173" t="str">
        <f>IF(J134="","",IF($F$4="C0",itens_Remanesc!B82,IF($F$4="C1",itens_Remanesc!E82,IF($F$4="C2",itens_Remanesc!G82,IF($F$4="C3",itens_Remanesc!I82,itens_Remanesc!K82)))))</f>
        <v/>
      </c>
      <c r="L134" s="173" t="str">
        <f>IF(J134="","",IF(SUMIF(itens_Consumidos!$A$2:$A$200,J134,itens_Consumidos!$B$2:$B$200)-SUMIF(itens_Consumidos!$A$2:$A$200,J134,itens_Consumidos!$O$2:$O$200)&lt;0,0,SUMIF(itens_Consumidos!$A$2:$A$200,J134,itens_Consumidos!$B$2:$B$200)-SUMIF(itens_Consumidos!$A$2:$A$200,J134,itens_Consumidos!$O$2:$O$200)))</f>
        <v/>
      </c>
      <c r="M134" s="176" t="str">
        <f>IF(J134="","",itens_Remanesc!C82)</f>
        <v/>
      </c>
      <c r="N134" s="176" t="str">
        <f>IF(J134="","",IF($F$4="C0",historico_VU!C82,IF($F$4="C1",historico_VU!D82,IF($F$4="C2",historico_VU!E82,IF($F$4="C3",historico_VU!F82,historico_VU!G82)))))</f>
        <v/>
      </c>
      <c r="O134" s="176" t="str">
        <f>IF(J134="","",IF(CONTROLE!$B$1="Principal",IF(OR(K134="",M134=""),"",ROUND(K134*M134,2)),IF(CONTROLE!$B$1="Itens Consumidos",IF(OR(L134="",M134=""),"",ROUND(L134*M134,2)),"")))</f>
        <v/>
      </c>
      <c r="P134" s="176" t="str">
        <f>IF(J134="","",IF(CONTROLE!$B$1="Principal",IF(OR(K134="",N134=""),"",ROUND(K134*N134,2)),IF(CONTROLE!$B$1="Itens Consumidos",IF(OR(L134="",N134=""),"",ROUND(L134*N134,2)),"")))</f>
        <v/>
      </c>
      <c r="Q134" s="177" t="str">
        <f>IF(J134="","",IF(OR(M134="",AND(CONTROLE!$B$1="Principal",K134=""),AND(CONTROLE!$B$1="Itens Consumidos",L134="")),"INCOMPLETO",IF(CONTROLE!$B$1="Pedidos de Compras","MANUAL",IF(AND(ISNUMBER(K134),ISNUMBER(L134),ABS(K134-L134)/MAX(ABS(IF(CONTROLE!$B$1="Principal",K134,L134)),1)&gt;$D$4),"DIVERGENTE","OK"))))</f>
        <v/>
      </c>
    </row>
    <row r="135" spans="1:17" x14ac:dyDescent="0.35">
      <c r="A135" s="172" t="str">
        <f>IF(historico_VU!A83="","",historico_VU!A83)</f>
        <v/>
      </c>
      <c r="B135" s="173" t="str">
        <f>IF(A135="","",historico_VU!B83)</f>
        <v/>
      </c>
      <c r="C135" s="174" t="str">
        <f>IF(A135="","",historico_VU!C83)</f>
        <v/>
      </c>
      <c r="D135" s="174" t="str">
        <f>IF(A135="","",historico_VU!D83)</f>
        <v/>
      </c>
      <c r="E135" s="174" t="str">
        <f>IF(A135="","",historico_VU!E83)</f>
        <v/>
      </c>
      <c r="F135" s="174" t="str">
        <f>IF(A135="","",historico_VU!F83)</f>
        <v/>
      </c>
      <c r="G135" s="174" t="str">
        <f>IF(A135="","",historico_VU!G83)</f>
        <v/>
      </c>
      <c r="H135" s="175" t="str">
        <f>IF(A135="","",historico_VU!H83)</f>
        <v/>
      </c>
      <c r="I135" s="77"/>
      <c r="J135" s="172" t="str">
        <f>IF(itens_Remanesc!A83="","",itens_Remanesc!A83)</f>
        <v/>
      </c>
      <c r="K135" s="173" t="str">
        <f>IF(J135="","",IF($F$4="C0",itens_Remanesc!B83,IF($F$4="C1",itens_Remanesc!E83,IF($F$4="C2",itens_Remanesc!G83,IF($F$4="C3",itens_Remanesc!I83,itens_Remanesc!K83)))))</f>
        <v/>
      </c>
      <c r="L135" s="173" t="str">
        <f>IF(J135="","",IF(SUMIF(itens_Consumidos!$A$2:$A$200,J135,itens_Consumidos!$B$2:$B$200)-SUMIF(itens_Consumidos!$A$2:$A$200,J135,itens_Consumidos!$O$2:$O$200)&lt;0,0,SUMIF(itens_Consumidos!$A$2:$A$200,J135,itens_Consumidos!$B$2:$B$200)-SUMIF(itens_Consumidos!$A$2:$A$200,J135,itens_Consumidos!$O$2:$O$200)))</f>
        <v/>
      </c>
      <c r="M135" s="176" t="str">
        <f>IF(J135="","",itens_Remanesc!C83)</f>
        <v/>
      </c>
      <c r="N135" s="176" t="str">
        <f>IF(J135="","",IF($F$4="C0",historico_VU!C83,IF($F$4="C1",historico_VU!D83,IF($F$4="C2",historico_VU!E83,IF($F$4="C3",historico_VU!F83,historico_VU!G83)))))</f>
        <v/>
      </c>
      <c r="O135" s="176" t="str">
        <f>IF(J135="","",IF(CONTROLE!$B$1="Principal",IF(OR(K135="",M135=""),"",ROUND(K135*M135,2)),IF(CONTROLE!$B$1="Itens Consumidos",IF(OR(L135="",M135=""),"",ROUND(L135*M135,2)),"")))</f>
        <v/>
      </c>
      <c r="P135" s="176" t="str">
        <f>IF(J135="","",IF(CONTROLE!$B$1="Principal",IF(OR(K135="",N135=""),"",ROUND(K135*N135,2)),IF(CONTROLE!$B$1="Itens Consumidos",IF(OR(L135="",N135=""),"",ROUND(L135*N135,2)),"")))</f>
        <v/>
      </c>
      <c r="Q135" s="177" t="str">
        <f>IF(J135="","",IF(OR(M135="",AND(CONTROLE!$B$1="Principal",K135=""),AND(CONTROLE!$B$1="Itens Consumidos",L135="")),"INCOMPLETO",IF(CONTROLE!$B$1="Pedidos de Compras","MANUAL",IF(AND(ISNUMBER(K135),ISNUMBER(L135),ABS(K135-L135)/MAX(ABS(IF(CONTROLE!$B$1="Principal",K135,L135)),1)&gt;$D$4),"DIVERGENTE","OK"))))</f>
        <v/>
      </c>
    </row>
    <row r="136" spans="1:17" x14ac:dyDescent="0.35">
      <c r="A136" s="172" t="str">
        <f>IF(historico_VU!A84="","",historico_VU!A84)</f>
        <v/>
      </c>
      <c r="B136" s="173" t="str">
        <f>IF(A136="","",historico_VU!B84)</f>
        <v/>
      </c>
      <c r="C136" s="174" t="str">
        <f>IF(A136="","",historico_VU!C84)</f>
        <v/>
      </c>
      <c r="D136" s="174" t="str">
        <f>IF(A136="","",historico_VU!D84)</f>
        <v/>
      </c>
      <c r="E136" s="174" t="str">
        <f>IF(A136="","",historico_VU!E84)</f>
        <v/>
      </c>
      <c r="F136" s="174" t="str">
        <f>IF(A136="","",historico_VU!F84)</f>
        <v/>
      </c>
      <c r="G136" s="174" t="str">
        <f>IF(A136="","",historico_VU!G84)</f>
        <v/>
      </c>
      <c r="H136" s="175" t="str">
        <f>IF(A136="","",historico_VU!H84)</f>
        <v/>
      </c>
      <c r="I136" s="77"/>
      <c r="J136" s="172" t="str">
        <f>IF(itens_Remanesc!A84="","",itens_Remanesc!A84)</f>
        <v/>
      </c>
      <c r="K136" s="173" t="str">
        <f>IF(J136="","",IF($F$4="C0",itens_Remanesc!B84,IF($F$4="C1",itens_Remanesc!E84,IF($F$4="C2",itens_Remanesc!G84,IF($F$4="C3",itens_Remanesc!I84,itens_Remanesc!K84)))))</f>
        <v/>
      </c>
      <c r="L136" s="173" t="str">
        <f>IF(J136="","",IF(SUMIF(itens_Consumidos!$A$2:$A$200,J136,itens_Consumidos!$B$2:$B$200)-SUMIF(itens_Consumidos!$A$2:$A$200,J136,itens_Consumidos!$O$2:$O$200)&lt;0,0,SUMIF(itens_Consumidos!$A$2:$A$200,J136,itens_Consumidos!$B$2:$B$200)-SUMIF(itens_Consumidos!$A$2:$A$200,J136,itens_Consumidos!$O$2:$O$200)))</f>
        <v/>
      </c>
      <c r="M136" s="176" t="str">
        <f>IF(J136="","",itens_Remanesc!C84)</f>
        <v/>
      </c>
      <c r="N136" s="176" t="str">
        <f>IF(J136="","",IF($F$4="C0",historico_VU!C84,IF($F$4="C1",historico_VU!D84,IF($F$4="C2",historico_VU!E84,IF($F$4="C3",historico_VU!F84,historico_VU!G84)))))</f>
        <v/>
      </c>
      <c r="O136" s="176" t="str">
        <f>IF(J136="","",IF(CONTROLE!$B$1="Principal",IF(OR(K136="",M136=""),"",ROUND(K136*M136,2)),IF(CONTROLE!$B$1="Itens Consumidos",IF(OR(L136="",M136=""),"",ROUND(L136*M136,2)),"")))</f>
        <v/>
      </c>
      <c r="P136" s="176" t="str">
        <f>IF(J136="","",IF(CONTROLE!$B$1="Principal",IF(OR(K136="",N136=""),"",ROUND(K136*N136,2)),IF(CONTROLE!$B$1="Itens Consumidos",IF(OR(L136="",N136=""),"",ROUND(L136*N136,2)),"")))</f>
        <v/>
      </c>
      <c r="Q136" s="177" t="str">
        <f>IF(J136="","",IF(OR(M136="",AND(CONTROLE!$B$1="Principal",K136=""),AND(CONTROLE!$B$1="Itens Consumidos",L136="")),"INCOMPLETO",IF(CONTROLE!$B$1="Pedidos de Compras","MANUAL",IF(AND(ISNUMBER(K136),ISNUMBER(L136),ABS(K136-L136)/MAX(ABS(IF(CONTROLE!$B$1="Principal",K136,L136)),1)&gt;$D$4),"DIVERGENTE","OK"))))</f>
        <v/>
      </c>
    </row>
    <row r="137" spans="1:17" x14ac:dyDescent="0.35">
      <c r="A137" s="172" t="str">
        <f>IF(historico_VU!A85="","",historico_VU!A85)</f>
        <v/>
      </c>
      <c r="B137" s="173" t="str">
        <f>IF(A137="","",historico_VU!B85)</f>
        <v/>
      </c>
      <c r="C137" s="174" t="str">
        <f>IF(A137="","",historico_VU!C85)</f>
        <v/>
      </c>
      <c r="D137" s="174" t="str">
        <f>IF(A137="","",historico_VU!D85)</f>
        <v/>
      </c>
      <c r="E137" s="174" t="str">
        <f>IF(A137="","",historico_VU!E85)</f>
        <v/>
      </c>
      <c r="F137" s="174" t="str">
        <f>IF(A137="","",historico_VU!F85)</f>
        <v/>
      </c>
      <c r="G137" s="174" t="str">
        <f>IF(A137="","",historico_VU!G85)</f>
        <v/>
      </c>
      <c r="H137" s="175" t="str">
        <f>IF(A137="","",historico_VU!H85)</f>
        <v/>
      </c>
      <c r="I137" s="77"/>
      <c r="J137" s="172" t="str">
        <f>IF(itens_Remanesc!A85="","",itens_Remanesc!A85)</f>
        <v/>
      </c>
      <c r="K137" s="173" t="str">
        <f>IF(J137="","",IF($F$4="C0",itens_Remanesc!B85,IF($F$4="C1",itens_Remanesc!E85,IF($F$4="C2",itens_Remanesc!G85,IF($F$4="C3",itens_Remanesc!I85,itens_Remanesc!K85)))))</f>
        <v/>
      </c>
      <c r="L137" s="173" t="str">
        <f>IF(J137="","",IF(SUMIF(itens_Consumidos!$A$2:$A$200,J137,itens_Consumidos!$B$2:$B$200)-SUMIF(itens_Consumidos!$A$2:$A$200,J137,itens_Consumidos!$O$2:$O$200)&lt;0,0,SUMIF(itens_Consumidos!$A$2:$A$200,J137,itens_Consumidos!$B$2:$B$200)-SUMIF(itens_Consumidos!$A$2:$A$200,J137,itens_Consumidos!$O$2:$O$200)))</f>
        <v/>
      </c>
      <c r="M137" s="176" t="str">
        <f>IF(J137="","",itens_Remanesc!C85)</f>
        <v/>
      </c>
      <c r="N137" s="176" t="str">
        <f>IF(J137="","",IF($F$4="C0",historico_VU!C85,IF($F$4="C1",historico_VU!D85,IF($F$4="C2",historico_VU!E85,IF($F$4="C3",historico_VU!F85,historico_VU!G85)))))</f>
        <v/>
      </c>
      <c r="O137" s="176" t="str">
        <f>IF(J137="","",IF(CONTROLE!$B$1="Principal",IF(OR(K137="",M137=""),"",ROUND(K137*M137,2)),IF(CONTROLE!$B$1="Itens Consumidos",IF(OR(L137="",M137=""),"",ROUND(L137*M137,2)),"")))</f>
        <v/>
      </c>
      <c r="P137" s="176" t="str">
        <f>IF(J137="","",IF(CONTROLE!$B$1="Principal",IF(OR(K137="",N137=""),"",ROUND(K137*N137,2)),IF(CONTROLE!$B$1="Itens Consumidos",IF(OR(L137="",N137=""),"",ROUND(L137*N137,2)),"")))</f>
        <v/>
      </c>
      <c r="Q137" s="177" t="str">
        <f>IF(J137="","",IF(OR(M137="",AND(CONTROLE!$B$1="Principal",K137=""),AND(CONTROLE!$B$1="Itens Consumidos",L137="")),"INCOMPLETO",IF(CONTROLE!$B$1="Pedidos de Compras","MANUAL",IF(AND(ISNUMBER(K137),ISNUMBER(L137),ABS(K137-L137)/MAX(ABS(IF(CONTROLE!$B$1="Principal",K137,L137)),1)&gt;$D$4),"DIVERGENTE","OK"))))</f>
        <v/>
      </c>
    </row>
    <row r="138" spans="1:17" x14ac:dyDescent="0.35">
      <c r="A138" s="172" t="str">
        <f>IF(historico_VU!A86="","",historico_VU!A86)</f>
        <v/>
      </c>
      <c r="B138" s="173" t="str">
        <f>IF(A138="","",historico_VU!B86)</f>
        <v/>
      </c>
      <c r="C138" s="174" t="str">
        <f>IF(A138="","",historico_VU!C86)</f>
        <v/>
      </c>
      <c r="D138" s="174" t="str">
        <f>IF(A138="","",historico_VU!D86)</f>
        <v/>
      </c>
      <c r="E138" s="174" t="str">
        <f>IF(A138="","",historico_VU!E86)</f>
        <v/>
      </c>
      <c r="F138" s="174" t="str">
        <f>IF(A138="","",historico_VU!F86)</f>
        <v/>
      </c>
      <c r="G138" s="174" t="str">
        <f>IF(A138="","",historico_VU!G86)</f>
        <v/>
      </c>
      <c r="H138" s="175" t="str">
        <f>IF(A138="","",historico_VU!H86)</f>
        <v/>
      </c>
      <c r="I138" s="77"/>
      <c r="J138" s="172" t="str">
        <f>IF(itens_Remanesc!A86="","",itens_Remanesc!A86)</f>
        <v/>
      </c>
      <c r="K138" s="173" t="str">
        <f>IF(J138="","",IF($F$4="C0",itens_Remanesc!B86,IF($F$4="C1",itens_Remanesc!E86,IF($F$4="C2",itens_Remanesc!G86,IF($F$4="C3",itens_Remanesc!I86,itens_Remanesc!K86)))))</f>
        <v/>
      </c>
      <c r="L138" s="173" t="str">
        <f>IF(J138="","",IF(SUMIF(itens_Consumidos!$A$2:$A$200,J138,itens_Consumidos!$B$2:$B$200)-SUMIF(itens_Consumidos!$A$2:$A$200,J138,itens_Consumidos!$O$2:$O$200)&lt;0,0,SUMIF(itens_Consumidos!$A$2:$A$200,J138,itens_Consumidos!$B$2:$B$200)-SUMIF(itens_Consumidos!$A$2:$A$200,J138,itens_Consumidos!$O$2:$O$200)))</f>
        <v/>
      </c>
      <c r="M138" s="176" t="str">
        <f>IF(J138="","",itens_Remanesc!C86)</f>
        <v/>
      </c>
      <c r="N138" s="176" t="str">
        <f>IF(J138="","",IF($F$4="C0",historico_VU!C86,IF($F$4="C1",historico_VU!D86,IF($F$4="C2",historico_VU!E86,IF($F$4="C3",historico_VU!F86,historico_VU!G86)))))</f>
        <v/>
      </c>
      <c r="O138" s="176" t="str">
        <f>IF(J138="","",IF(CONTROLE!$B$1="Principal",IF(OR(K138="",M138=""),"",ROUND(K138*M138,2)),IF(CONTROLE!$B$1="Itens Consumidos",IF(OR(L138="",M138=""),"",ROUND(L138*M138,2)),"")))</f>
        <v/>
      </c>
      <c r="P138" s="176" t="str">
        <f>IF(J138="","",IF(CONTROLE!$B$1="Principal",IF(OR(K138="",N138=""),"",ROUND(K138*N138,2)),IF(CONTROLE!$B$1="Itens Consumidos",IF(OR(L138="",N138=""),"",ROUND(L138*N138,2)),"")))</f>
        <v/>
      </c>
      <c r="Q138" s="177" t="str">
        <f>IF(J138="","",IF(OR(M138="",AND(CONTROLE!$B$1="Principal",K138=""),AND(CONTROLE!$B$1="Itens Consumidos",L138="")),"INCOMPLETO",IF(CONTROLE!$B$1="Pedidos de Compras","MANUAL",IF(AND(ISNUMBER(K138),ISNUMBER(L138),ABS(K138-L138)/MAX(ABS(IF(CONTROLE!$B$1="Principal",K138,L138)),1)&gt;$D$4),"DIVERGENTE","OK"))))</f>
        <v/>
      </c>
    </row>
    <row r="139" spans="1:17" x14ac:dyDescent="0.35">
      <c r="A139" s="172" t="str">
        <f>IF(historico_VU!A87="","",historico_VU!A87)</f>
        <v/>
      </c>
      <c r="B139" s="173" t="str">
        <f>IF(A139="","",historico_VU!B87)</f>
        <v/>
      </c>
      <c r="C139" s="174" t="str">
        <f>IF(A139="","",historico_VU!C87)</f>
        <v/>
      </c>
      <c r="D139" s="174" t="str">
        <f>IF(A139="","",historico_VU!D87)</f>
        <v/>
      </c>
      <c r="E139" s="174" t="str">
        <f>IF(A139="","",historico_VU!E87)</f>
        <v/>
      </c>
      <c r="F139" s="174" t="str">
        <f>IF(A139="","",historico_VU!F87)</f>
        <v/>
      </c>
      <c r="G139" s="174" t="str">
        <f>IF(A139="","",historico_VU!G87)</f>
        <v/>
      </c>
      <c r="H139" s="175" t="str">
        <f>IF(A139="","",historico_VU!H87)</f>
        <v/>
      </c>
      <c r="I139" s="77"/>
      <c r="J139" s="172" t="str">
        <f>IF(itens_Remanesc!A87="","",itens_Remanesc!A87)</f>
        <v/>
      </c>
      <c r="K139" s="173" t="str">
        <f>IF(J139="","",IF($F$4="C0",itens_Remanesc!B87,IF($F$4="C1",itens_Remanesc!E87,IF($F$4="C2",itens_Remanesc!G87,IF($F$4="C3",itens_Remanesc!I87,itens_Remanesc!K87)))))</f>
        <v/>
      </c>
      <c r="L139" s="173" t="str">
        <f>IF(J139="","",IF(SUMIF(itens_Consumidos!$A$2:$A$200,J139,itens_Consumidos!$B$2:$B$200)-SUMIF(itens_Consumidos!$A$2:$A$200,J139,itens_Consumidos!$O$2:$O$200)&lt;0,0,SUMIF(itens_Consumidos!$A$2:$A$200,J139,itens_Consumidos!$B$2:$B$200)-SUMIF(itens_Consumidos!$A$2:$A$200,J139,itens_Consumidos!$O$2:$O$200)))</f>
        <v/>
      </c>
      <c r="M139" s="176" t="str">
        <f>IF(J139="","",itens_Remanesc!C87)</f>
        <v/>
      </c>
      <c r="N139" s="176" t="str">
        <f>IF(J139="","",IF($F$4="C0",historico_VU!C87,IF($F$4="C1",historico_VU!D87,IF($F$4="C2",historico_VU!E87,IF($F$4="C3",historico_VU!F87,historico_VU!G87)))))</f>
        <v/>
      </c>
      <c r="O139" s="176" t="str">
        <f>IF(J139="","",IF(CONTROLE!$B$1="Principal",IF(OR(K139="",M139=""),"",ROUND(K139*M139,2)),IF(CONTROLE!$B$1="Itens Consumidos",IF(OR(L139="",M139=""),"",ROUND(L139*M139,2)),"")))</f>
        <v/>
      </c>
      <c r="P139" s="176" t="str">
        <f>IF(J139="","",IF(CONTROLE!$B$1="Principal",IF(OR(K139="",N139=""),"",ROUND(K139*N139,2)),IF(CONTROLE!$B$1="Itens Consumidos",IF(OR(L139="",N139=""),"",ROUND(L139*N139,2)),"")))</f>
        <v/>
      </c>
      <c r="Q139" s="177" t="str">
        <f>IF(J139="","",IF(OR(M139="",AND(CONTROLE!$B$1="Principal",K139=""),AND(CONTROLE!$B$1="Itens Consumidos",L139="")),"INCOMPLETO",IF(CONTROLE!$B$1="Pedidos de Compras","MANUAL",IF(AND(ISNUMBER(K139),ISNUMBER(L139),ABS(K139-L139)/MAX(ABS(IF(CONTROLE!$B$1="Principal",K139,L139)),1)&gt;$D$4),"DIVERGENTE","OK"))))</f>
        <v/>
      </c>
    </row>
    <row r="140" spans="1:17" x14ac:dyDescent="0.35">
      <c r="A140" s="172" t="str">
        <f>IF(historico_VU!A88="","",historico_VU!A88)</f>
        <v/>
      </c>
      <c r="B140" s="173" t="str">
        <f>IF(A140="","",historico_VU!B88)</f>
        <v/>
      </c>
      <c r="C140" s="174" t="str">
        <f>IF(A140="","",historico_VU!C88)</f>
        <v/>
      </c>
      <c r="D140" s="174" t="str">
        <f>IF(A140="","",historico_VU!D88)</f>
        <v/>
      </c>
      <c r="E140" s="174" t="str">
        <f>IF(A140="","",historico_VU!E88)</f>
        <v/>
      </c>
      <c r="F140" s="174" t="str">
        <f>IF(A140="","",historico_VU!F88)</f>
        <v/>
      </c>
      <c r="G140" s="174" t="str">
        <f>IF(A140="","",historico_VU!G88)</f>
        <v/>
      </c>
      <c r="H140" s="175" t="str">
        <f>IF(A140="","",historico_VU!H88)</f>
        <v/>
      </c>
      <c r="I140" s="77"/>
      <c r="J140" s="172" t="str">
        <f>IF(itens_Remanesc!A88="","",itens_Remanesc!A88)</f>
        <v/>
      </c>
      <c r="K140" s="173" t="str">
        <f>IF(J140="","",IF($F$4="C0",itens_Remanesc!B88,IF($F$4="C1",itens_Remanesc!E88,IF($F$4="C2",itens_Remanesc!G88,IF($F$4="C3",itens_Remanesc!I88,itens_Remanesc!K88)))))</f>
        <v/>
      </c>
      <c r="L140" s="173" t="str">
        <f>IF(J140="","",IF(SUMIF(itens_Consumidos!$A$2:$A$200,J140,itens_Consumidos!$B$2:$B$200)-SUMIF(itens_Consumidos!$A$2:$A$200,J140,itens_Consumidos!$O$2:$O$200)&lt;0,0,SUMIF(itens_Consumidos!$A$2:$A$200,J140,itens_Consumidos!$B$2:$B$200)-SUMIF(itens_Consumidos!$A$2:$A$200,J140,itens_Consumidos!$O$2:$O$200)))</f>
        <v/>
      </c>
      <c r="M140" s="176" t="str">
        <f>IF(J140="","",itens_Remanesc!C88)</f>
        <v/>
      </c>
      <c r="N140" s="176" t="str">
        <f>IF(J140="","",IF($F$4="C0",historico_VU!C88,IF($F$4="C1",historico_VU!D88,IF($F$4="C2",historico_VU!E88,IF($F$4="C3",historico_VU!F88,historico_VU!G88)))))</f>
        <v/>
      </c>
      <c r="O140" s="176" t="str">
        <f>IF(J140="","",IF(CONTROLE!$B$1="Principal",IF(OR(K140="",M140=""),"",ROUND(K140*M140,2)),IF(CONTROLE!$B$1="Itens Consumidos",IF(OR(L140="",M140=""),"",ROUND(L140*M140,2)),"")))</f>
        <v/>
      </c>
      <c r="P140" s="176" t="str">
        <f>IF(J140="","",IF(CONTROLE!$B$1="Principal",IF(OR(K140="",N140=""),"",ROUND(K140*N140,2)),IF(CONTROLE!$B$1="Itens Consumidos",IF(OR(L140="",N140=""),"",ROUND(L140*N140,2)),"")))</f>
        <v/>
      </c>
      <c r="Q140" s="177" t="str">
        <f>IF(J140="","",IF(OR(M140="",AND(CONTROLE!$B$1="Principal",K140=""),AND(CONTROLE!$B$1="Itens Consumidos",L140="")),"INCOMPLETO",IF(CONTROLE!$B$1="Pedidos de Compras","MANUAL",IF(AND(ISNUMBER(K140),ISNUMBER(L140),ABS(K140-L140)/MAX(ABS(IF(CONTROLE!$B$1="Principal",K140,L140)),1)&gt;$D$4),"DIVERGENTE","OK"))))</f>
        <v/>
      </c>
    </row>
    <row r="141" spans="1:17" x14ac:dyDescent="0.35">
      <c r="A141" s="172" t="str">
        <f>IF(historico_VU!A89="","",historico_VU!A89)</f>
        <v/>
      </c>
      <c r="B141" s="173" t="str">
        <f>IF(A141="","",historico_VU!B89)</f>
        <v/>
      </c>
      <c r="C141" s="174" t="str">
        <f>IF(A141="","",historico_VU!C89)</f>
        <v/>
      </c>
      <c r="D141" s="174" t="str">
        <f>IF(A141="","",historico_VU!D89)</f>
        <v/>
      </c>
      <c r="E141" s="174" t="str">
        <f>IF(A141="","",historico_VU!E89)</f>
        <v/>
      </c>
      <c r="F141" s="174" t="str">
        <f>IF(A141="","",historico_VU!F89)</f>
        <v/>
      </c>
      <c r="G141" s="174" t="str">
        <f>IF(A141="","",historico_VU!G89)</f>
        <v/>
      </c>
      <c r="H141" s="175" t="str">
        <f>IF(A141="","",historico_VU!H89)</f>
        <v/>
      </c>
      <c r="I141" s="77"/>
      <c r="J141" s="172" t="str">
        <f>IF(itens_Remanesc!A89="","",itens_Remanesc!A89)</f>
        <v/>
      </c>
      <c r="K141" s="173" t="str">
        <f>IF(J141="","",IF($F$4="C0",itens_Remanesc!B89,IF($F$4="C1",itens_Remanesc!E89,IF($F$4="C2",itens_Remanesc!G89,IF($F$4="C3",itens_Remanesc!I89,itens_Remanesc!K89)))))</f>
        <v/>
      </c>
      <c r="L141" s="173" t="str">
        <f>IF(J141="","",IF(SUMIF(itens_Consumidos!$A$2:$A$200,J141,itens_Consumidos!$B$2:$B$200)-SUMIF(itens_Consumidos!$A$2:$A$200,J141,itens_Consumidos!$O$2:$O$200)&lt;0,0,SUMIF(itens_Consumidos!$A$2:$A$200,J141,itens_Consumidos!$B$2:$B$200)-SUMIF(itens_Consumidos!$A$2:$A$200,J141,itens_Consumidos!$O$2:$O$200)))</f>
        <v/>
      </c>
      <c r="M141" s="176" t="str">
        <f>IF(J141="","",itens_Remanesc!C89)</f>
        <v/>
      </c>
      <c r="N141" s="176" t="str">
        <f>IF(J141="","",IF($F$4="C0",historico_VU!C89,IF($F$4="C1",historico_VU!D89,IF($F$4="C2",historico_VU!E89,IF($F$4="C3",historico_VU!F89,historico_VU!G89)))))</f>
        <v/>
      </c>
      <c r="O141" s="176" t="str">
        <f>IF(J141="","",IF(CONTROLE!$B$1="Principal",IF(OR(K141="",M141=""),"",ROUND(K141*M141,2)),IF(CONTROLE!$B$1="Itens Consumidos",IF(OR(L141="",M141=""),"",ROUND(L141*M141,2)),"")))</f>
        <v/>
      </c>
      <c r="P141" s="176" t="str">
        <f>IF(J141="","",IF(CONTROLE!$B$1="Principal",IF(OR(K141="",N141=""),"",ROUND(K141*N141,2)),IF(CONTROLE!$B$1="Itens Consumidos",IF(OR(L141="",N141=""),"",ROUND(L141*N141,2)),"")))</f>
        <v/>
      </c>
      <c r="Q141" s="177" t="str">
        <f>IF(J141="","",IF(OR(M141="",AND(CONTROLE!$B$1="Principal",K141=""),AND(CONTROLE!$B$1="Itens Consumidos",L141="")),"INCOMPLETO",IF(CONTROLE!$B$1="Pedidos de Compras","MANUAL",IF(AND(ISNUMBER(K141),ISNUMBER(L141),ABS(K141-L141)/MAX(ABS(IF(CONTROLE!$B$1="Principal",K141,L141)),1)&gt;$D$4),"DIVERGENTE","OK"))))</f>
        <v/>
      </c>
    </row>
    <row r="142" spans="1:17" x14ac:dyDescent="0.35">
      <c r="A142" s="172" t="str">
        <f>IF(historico_VU!A90="","",historico_VU!A90)</f>
        <v/>
      </c>
      <c r="B142" s="173" t="str">
        <f>IF(A142="","",historico_VU!B90)</f>
        <v/>
      </c>
      <c r="C142" s="174" t="str">
        <f>IF(A142="","",historico_VU!C90)</f>
        <v/>
      </c>
      <c r="D142" s="174" t="str">
        <f>IF(A142="","",historico_VU!D90)</f>
        <v/>
      </c>
      <c r="E142" s="174" t="str">
        <f>IF(A142="","",historico_VU!E90)</f>
        <v/>
      </c>
      <c r="F142" s="174" t="str">
        <f>IF(A142="","",historico_VU!F90)</f>
        <v/>
      </c>
      <c r="G142" s="174" t="str">
        <f>IF(A142="","",historico_VU!G90)</f>
        <v/>
      </c>
      <c r="H142" s="175" t="str">
        <f>IF(A142="","",historico_VU!H90)</f>
        <v/>
      </c>
      <c r="I142" s="77"/>
      <c r="J142" s="172" t="str">
        <f>IF(itens_Remanesc!A90="","",itens_Remanesc!A90)</f>
        <v/>
      </c>
      <c r="K142" s="173" t="str">
        <f>IF(J142="","",IF($F$4="C0",itens_Remanesc!B90,IF($F$4="C1",itens_Remanesc!E90,IF($F$4="C2",itens_Remanesc!G90,IF($F$4="C3",itens_Remanesc!I90,itens_Remanesc!K90)))))</f>
        <v/>
      </c>
      <c r="L142" s="173" t="str">
        <f>IF(J142="","",IF(SUMIF(itens_Consumidos!$A$2:$A$200,J142,itens_Consumidos!$B$2:$B$200)-SUMIF(itens_Consumidos!$A$2:$A$200,J142,itens_Consumidos!$O$2:$O$200)&lt;0,0,SUMIF(itens_Consumidos!$A$2:$A$200,J142,itens_Consumidos!$B$2:$B$200)-SUMIF(itens_Consumidos!$A$2:$A$200,J142,itens_Consumidos!$O$2:$O$200)))</f>
        <v/>
      </c>
      <c r="M142" s="176" t="str">
        <f>IF(J142="","",itens_Remanesc!C90)</f>
        <v/>
      </c>
      <c r="N142" s="176" t="str">
        <f>IF(J142="","",IF($F$4="C0",historico_VU!C90,IF($F$4="C1",historico_VU!D90,IF($F$4="C2",historico_VU!E90,IF($F$4="C3",historico_VU!F90,historico_VU!G90)))))</f>
        <v/>
      </c>
      <c r="O142" s="176" t="str">
        <f>IF(J142="","",IF(CONTROLE!$B$1="Principal",IF(OR(K142="",M142=""),"",ROUND(K142*M142,2)),IF(CONTROLE!$B$1="Itens Consumidos",IF(OR(L142="",M142=""),"",ROUND(L142*M142,2)),"")))</f>
        <v/>
      </c>
      <c r="P142" s="176" t="str">
        <f>IF(J142="","",IF(CONTROLE!$B$1="Principal",IF(OR(K142="",N142=""),"",ROUND(K142*N142,2)),IF(CONTROLE!$B$1="Itens Consumidos",IF(OR(L142="",N142=""),"",ROUND(L142*N142,2)),"")))</f>
        <v/>
      </c>
      <c r="Q142" s="177" t="str">
        <f>IF(J142="","",IF(OR(M142="",AND(CONTROLE!$B$1="Principal",K142=""),AND(CONTROLE!$B$1="Itens Consumidos",L142="")),"INCOMPLETO",IF(CONTROLE!$B$1="Pedidos de Compras","MANUAL",IF(AND(ISNUMBER(K142),ISNUMBER(L142),ABS(K142-L142)/MAX(ABS(IF(CONTROLE!$B$1="Principal",K142,L142)),1)&gt;$D$4),"DIVERGENTE","OK"))))</f>
        <v/>
      </c>
    </row>
    <row r="143" spans="1:17" x14ac:dyDescent="0.35">
      <c r="A143" s="172" t="str">
        <f>IF(historico_VU!A91="","",historico_VU!A91)</f>
        <v/>
      </c>
      <c r="B143" s="173" t="str">
        <f>IF(A143="","",historico_VU!B91)</f>
        <v/>
      </c>
      <c r="C143" s="174" t="str">
        <f>IF(A143="","",historico_VU!C91)</f>
        <v/>
      </c>
      <c r="D143" s="174" t="str">
        <f>IF(A143="","",historico_VU!D91)</f>
        <v/>
      </c>
      <c r="E143" s="174" t="str">
        <f>IF(A143="","",historico_VU!E91)</f>
        <v/>
      </c>
      <c r="F143" s="174" t="str">
        <f>IF(A143="","",historico_VU!F91)</f>
        <v/>
      </c>
      <c r="G143" s="174" t="str">
        <f>IF(A143="","",historico_VU!G91)</f>
        <v/>
      </c>
      <c r="H143" s="175" t="str">
        <f>IF(A143="","",historico_VU!H91)</f>
        <v/>
      </c>
      <c r="I143" s="77"/>
      <c r="J143" s="172" t="str">
        <f>IF(itens_Remanesc!A91="","",itens_Remanesc!A91)</f>
        <v/>
      </c>
      <c r="K143" s="173" t="str">
        <f>IF(J143="","",IF($F$4="C0",itens_Remanesc!B91,IF($F$4="C1",itens_Remanesc!E91,IF($F$4="C2",itens_Remanesc!G91,IF($F$4="C3",itens_Remanesc!I91,itens_Remanesc!K91)))))</f>
        <v/>
      </c>
      <c r="L143" s="173" t="str">
        <f>IF(J143="","",IF(SUMIF(itens_Consumidos!$A$2:$A$200,J143,itens_Consumidos!$B$2:$B$200)-SUMIF(itens_Consumidos!$A$2:$A$200,J143,itens_Consumidos!$O$2:$O$200)&lt;0,0,SUMIF(itens_Consumidos!$A$2:$A$200,J143,itens_Consumidos!$B$2:$B$200)-SUMIF(itens_Consumidos!$A$2:$A$200,J143,itens_Consumidos!$O$2:$O$200)))</f>
        <v/>
      </c>
      <c r="M143" s="176" t="str">
        <f>IF(J143="","",itens_Remanesc!C91)</f>
        <v/>
      </c>
      <c r="N143" s="176" t="str">
        <f>IF(J143="","",IF($F$4="C0",historico_VU!C91,IF($F$4="C1",historico_VU!D91,IF($F$4="C2",historico_VU!E91,IF($F$4="C3",historico_VU!F91,historico_VU!G91)))))</f>
        <v/>
      </c>
      <c r="O143" s="176" t="str">
        <f>IF(J143="","",IF(CONTROLE!$B$1="Principal",IF(OR(K143="",M143=""),"",ROUND(K143*M143,2)),IF(CONTROLE!$B$1="Itens Consumidos",IF(OR(L143="",M143=""),"",ROUND(L143*M143,2)),"")))</f>
        <v/>
      </c>
      <c r="P143" s="176" t="str">
        <f>IF(J143="","",IF(CONTROLE!$B$1="Principal",IF(OR(K143="",N143=""),"",ROUND(K143*N143,2)),IF(CONTROLE!$B$1="Itens Consumidos",IF(OR(L143="",N143=""),"",ROUND(L143*N143,2)),"")))</f>
        <v/>
      </c>
      <c r="Q143" s="177" t="str">
        <f>IF(J143="","",IF(OR(M143="",AND(CONTROLE!$B$1="Principal",K143=""),AND(CONTROLE!$B$1="Itens Consumidos",L143="")),"INCOMPLETO",IF(CONTROLE!$B$1="Pedidos de Compras","MANUAL",IF(AND(ISNUMBER(K143),ISNUMBER(L143),ABS(K143-L143)/MAX(ABS(IF(CONTROLE!$B$1="Principal",K143,L143)),1)&gt;$D$4),"DIVERGENTE","OK"))))</f>
        <v/>
      </c>
    </row>
    <row r="144" spans="1:17" x14ac:dyDescent="0.35">
      <c r="A144" s="172" t="str">
        <f>IF(historico_VU!A92="","",historico_VU!A92)</f>
        <v/>
      </c>
      <c r="B144" s="173" t="str">
        <f>IF(A144="","",historico_VU!B92)</f>
        <v/>
      </c>
      <c r="C144" s="174" t="str">
        <f>IF(A144="","",historico_VU!C92)</f>
        <v/>
      </c>
      <c r="D144" s="174" t="str">
        <f>IF(A144="","",historico_VU!D92)</f>
        <v/>
      </c>
      <c r="E144" s="174" t="str">
        <f>IF(A144="","",historico_VU!E92)</f>
        <v/>
      </c>
      <c r="F144" s="174" t="str">
        <f>IF(A144="","",historico_VU!F92)</f>
        <v/>
      </c>
      <c r="G144" s="174" t="str">
        <f>IF(A144="","",historico_VU!G92)</f>
        <v/>
      </c>
      <c r="H144" s="175" t="str">
        <f>IF(A144="","",historico_VU!H92)</f>
        <v/>
      </c>
      <c r="I144" s="77"/>
      <c r="J144" s="172" t="str">
        <f>IF(itens_Remanesc!A92="","",itens_Remanesc!A92)</f>
        <v/>
      </c>
      <c r="K144" s="173" t="str">
        <f>IF(J144="","",IF($F$4="C0",itens_Remanesc!B92,IF($F$4="C1",itens_Remanesc!E92,IF($F$4="C2",itens_Remanesc!G92,IF($F$4="C3",itens_Remanesc!I92,itens_Remanesc!K92)))))</f>
        <v/>
      </c>
      <c r="L144" s="173" t="str">
        <f>IF(J144="","",IF(SUMIF(itens_Consumidos!$A$2:$A$200,J144,itens_Consumidos!$B$2:$B$200)-SUMIF(itens_Consumidos!$A$2:$A$200,J144,itens_Consumidos!$O$2:$O$200)&lt;0,0,SUMIF(itens_Consumidos!$A$2:$A$200,J144,itens_Consumidos!$B$2:$B$200)-SUMIF(itens_Consumidos!$A$2:$A$200,J144,itens_Consumidos!$O$2:$O$200)))</f>
        <v/>
      </c>
      <c r="M144" s="176" t="str">
        <f>IF(J144="","",itens_Remanesc!C92)</f>
        <v/>
      </c>
      <c r="N144" s="176" t="str">
        <f>IF(J144="","",IF($F$4="C0",historico_VU!C92,IF($F$4="C1",historico_VU!D92,IF($F$4="C2",historico_VU!E92,IF($F$4="C3",historico_VU!F92,historico_VU!G92)))))</f>
        <v/>
      </c>
      <c r="O144" s="176" t="str">
        <f>IF(J144="","",IF(CONTROLE!$B$1="Principal",IF(OR(K144="",M144=""),"",ROUND(K144*M144,2)),IF(CONTROLE!$B$1="Itens Consumidos",IF(OR(L144="",M144=""),"",ROUND(L144*M144,2)),"")))</f>
        <v/>
      </c>
      <c r="P144" s="176" t="str">
        <f>IF(J144="","",IF(CONTROLE!$B$1="Principal",IF(OR(K144="",N144=""),"",ROUND(K144*N144,2)),IF(CONTROLE!$B$1="Itens Consumidos",IF(OR(L144="",N144=""),"",ROUND(L144*N144,2)),"")))</f>
        <v/>
      </c>
      <c r="Q144" s="177" t="str">
        <f>IF(J144="","",IF(OR(M144="",AND(CONTROLE!$B$1="Principal",K144=""),AND(CONTROLE!$B$1="Itens Consumidos",L144="")),"INCOMPLETO",IF(CONTROLE!$B$1="Pedidos de Compras","MANUAL",IF(AND(ISNUMBER(K144),ISNUMBER(L144),ABS(K144-L144)/MAX(ABS(IF(CONTROLE!$B$1="Principal",K144,L144)),1)&gt;$D$4),"DIVERGENTE","OK"))))</f>
        <v/>
      </c>
    </row>
    <row r="145" spans="1:17" x14ac:dyDescent="0.35">
      <c r="A145" s="172" t="str">
        <f>IF(historico_VU!A93="","",historico_VU!A93)</f>
        <v/>
      </c>
      <c r="B145" s="173" t="str">
        <f>IF(A145="","",historico_VU!B93)</f>
        <v/>
      </c>
      <c r="C145" s="174" t="str">
        <f>IF(A145="","",historico_VU!C93)</f>
        <v/>
      </c>
      <c r="D145" s="174" t="str">
        <f>IF(A145="","",historico_VU!D93)</f>
        <v/>
      </c>
      <c r="E145" s="174" t="str">
        <f>IF(A145="","",historico_VU!E93)</f>
        <v/>
      </c>
      <c r="F145" s="174" t="str">
        <f>IF(A145="","",historico_VU!F93)</f>
        <v/>
      </c>
      <c r="G145" s="174" t="str">
        <f>IF(A145="","",historico_VU!G93)</f>
        <v/>
      </c>
      <c r="H145" s="175" t="str">
        <f>IF(A145="","",historico_VU!H93)</f>
        <v/>
      </c>
      <c r="I145" s="77"/>
      <c r="J145" s="172" t="str">
        <f>IF(itens_Remanesc!A93="","",itens_Remanesc!A93)</f>
        <v/>
      </c>
      <c r="K145" s="173" t="str">
        <f>IF(J145="","",IF($F$4="C0",itens_Remanesc!B93,IF($F$4="C1",itens_Remanesc!E93,IF($F$4="C2",itens_Remanesc!G93,IF($F$4="C3",itens_Remanesc!I93,itens_Remanesc!K93)))))</f>
        <v/>
      </c>
      <c r="L145" s="173" t="str">
        <f>IF(J145="","",IF(SUMIF(itens_Consumidos!$A$2:$A$200,J145,itens_Consumidos!$B$2:$B$200)-SUMIF(itens_Consumidos!$A$2:$A$200,J145,itens_Consumidos!$O$2:$O$200)&lt;0,0,SUMIF(itens_Consumidos!$A$2:$A$200,J145,itens_Consumidos!$B$2:$B$200)-SUMIF(itens_Consumidos!$A$2:$A$200,J145,itens_Consumidos!$O$2:$O$200)))</f>
        <v/>
      </c>
      <c r="M145" s="176" t="str">
        <f>IF(J145="","",itens_Remanesc!C93)</f>
        <v/>
      </c>
      <c r="N145" s="176" t="str">
        <f>IF(J145="","",IF($F$4="C0",historico_VU!C93,IF($F$4="C1",historico_VU!D93,IF($F$4="C2",historico_VU!E93,IF($F$4="C3",historico_VU!F93,historico_VU!G93)))))</f>
        <v/>
      </c>
      <c r="O145" s="176" t="str">
        <f>IF(J145="","",IF(CONTROLE!$B$1="Principal",IF(OR(K145="",M145=""),"",ROUND(K145*M145,2)),IF(CONTROLE!$B$1="Itens Consumidos",IF(OR(L145="",M145=""),"",ROUND(L145*M145,2)),"")))</f>
        <v/>
      </c>
      <c r="P145" s="176" t="str">
        <f>IF(J145="","",IF(CONTROLE!$B$1="Principal",IF(OR(K145="",N145=""),"",ROUND(K145*N145,2)),IF(CONTROLE!$B$1="Itens Consumidos",IF(OR(L145="",N145=""),"",ROUND(L145*N145,2)),"")))</f>
        <v/>
      </c>
      <c r="Q145" s="177" t="str">
        <f>IF(J145="","",IF(OR(M145="",AND(CONTROLE!$B$1="Principal",K145=""),AND(CONTROLE!$B$1="Itens Consumidos",L145="")),"INCOMPLETO",IF(CONTROLE!$B$1="Pedidos de Compras","MANUAL",IF(AND(ISNUMBER(K145),ISNUMBER(L145),ABS(K145-L145)/MAX(ABS(IF(CONTROLE!$B$1="Principal",K145,L145)),1)&gt;$D$4),"DIVERGENTE","OK"))))</f>
        <v/>
      </c>
    </row>
    <row r="146" spans="1:17" x14ac:dyDescent="0.35">
      <c r="A146" s="172" t="str">
        <f>IF(historico_VU!A94="","",historico_VU!A94)</f>
        <v/>
      </c>
      <c r="B146" s="173" t="str">
        <f>IF(A146="","",historico_VU!B94)</f>
        <v/>
      </c>
      <c r="C146" s="174" t="str">
        <f>IF(A146="","",historico_VU!C94)</f>
        <v/>
      </c>
      <c r="D146" s="174" t="str">
        <f>IF(A146="","",historico_VU!D94)</f>
        <v/>
      </c>
      <c r="E146" s="174" t="str">
        <f>IF(A146="","",historico_VU!E94)</f>
        <v/>
      </c>
      <c r="F146" s="174" t="str">
        <f>IF(A146="","",historico_VU!F94)</f>
        <v/>
      </c>
      <c r="G146" s="174" t="str">
        <f>IF(A146="","",historico_VU!G94)</f>
        <v/>
      </c>
      <c r="H146" s="175" t="str">
        <f>IF(A146="","",historico_VU!H94)</f>
        <v/>
      </c>
      <c r="I146" s="77"/>
      <c r="J146" s="172" t="str">
        <f>IF(itens_Remanesc!A94="","",itens_Remanesc!A94)</f>
        <v/>
      </c>
      <c r="K146" s="173" t="str">
        <f>IF(J146="","",IF($F$4="C0",itens_Remanesc!B94,IF($F$4="C1",itens_Remanesc!E94,IF($F$4="C2",itens_Remanesc!G94,IF($F$4="C3",itens_Remanesc!I94,itens_Remanesc!K94)))))</f>
        <v/>
      </c>
      <c r="L146" s="173" t="str">
        <f>IF(J146="","",IF(SUMIF(itens_Consumidos!$A$2:$A$200,J146,itens_Consumidos!$B$2:$B$200)-SUMIF(itens_Consumidos!$A$2:$A$200,J146,itens_Consumidos!$O$2:$O$200)&lt;0,0,SUMIF(itens_Consumidos!$A$2:$A$200,J146,itens_Consumidos!$B$2:$B$200)-SUMIF(itens_Consumidos!$A$2:$A$200,J146,itens_Consumidos!$O$2:$O$200)))</f>
        <v/>
      </c>
      <c r="M146" s="176" t="str">
        <f>IF(J146="","",itens_Remanesc!C94)</f>
        <v/>
      </c>
      <c r="N146" s="176" t="str">
        <f>IF(J146="","",IF($F$4="C0",historico_VU!C94,IF($F$4="C1",historico_VU!D94,IF($F$4="C2",historico_VU!E94,IF($F$4="C3",historico_VU!F94,historico_VU!G94)))))</f>
        <v/>
      </c>
      <c r="O146" s="176" t="str">
        <f>IF(J146="","",IF(CONTROLE!$B$1="Principal",IF(OR(K146="",M146=""),"",ROUND(K146*M146,2)),IF(CONTROLE!$B$1="Itens Consumidos",IF(OR(L146="",M146=""),"",ROUND(L146*M146,2)),"")))</f>
        <v/>
      </c>
      <c r="P146" s="176" t="str">
        <f>IF(J146="","",IF(CONTROLE!$B$1="Principal",IF(OR(K146="",N146=""),"",ROUND(K146*N146,2)),IF(CONTROLE!$B$1="Itens Consumidos",IF(OR(L146="",N146=""),"",ROUND(L146*N146,2)),"")))</f>
        <v/>
      </c>
      <c r="Q146" s="177" t="str">
        <f>IF(J146="","",IF(OR(M146="",AND(CONTROLE!$B$1="Principal",K146=""),AND(CONTROLE!$B$1="Itens Consumidos",L146="")),"INCOMPLETO",IF(CONTROLE!$B$1="Pedidos de Compras","MANUAL",IF(AND(ISNUMBER(K146),ISNUMBER(L146),ABS(K146-L146)/MAX(ABS(IF(CONTROLE!$B$1="Principal",K146,L146)),1)&gt;$D$4),"DIVERGENTE","OK"))))</f>
        <v/>
      </c>
    </row>
    <row r="147" spans="1:17" x14ac:dyDescent="0.35">
      <c r="A147" s="172" t="str">
        <f>IF(historico_VU!A95="","",historico_VU!A95)</f>
        <v/>
      </c>
      <c r="B147" s="173" t="str">
        <f>IF(A147="","",historico_VU!B95)</f>
        <v/>
      </c>
      <c r="C147" s="174" t="str">
        <f>IF(A147="","",historico_VU!C95)</f>
        <v/>
      </c>
      <c r="D147" s="174" t="str">
        <f>IF(A147="","",historico_VU!D95)</f>
        <v/>
      </c>
      <c r="E147" s="174" t="str">
        <f>IF(A147="","",historico_VU!E95)</f>
        <v/>
      </c>
      <c r="F147" s="174" t="str">
        <f>IF(A147="","",historico_VU!F95)</f>
        <v/>
      </c>
      <c r="G147" s="174" t="str">
        <f>IF(A147="","",historico_VU!G95)</f>
        <v/>
      </c>
      <c r="H147" s="175" t="str">
        <f>IF(A147="","",historico_VU!H95)</f>
        <v/>
      </c>
      <c r="I147" s="77"/>
      <c r="J147" s="172" t="str">
        <f>IF(itens_Remanesc!A95="","",itens_Remanesc!A95)</f>
        <v/>
      </c>
      <c r="K147" s="173" t="str">
        <f>IF(J147="","",IF($F$4="C0",itens_Remanesc!B95,IF($F$4="C1",itens_Remanesc!E95,IF($F$4="C2",itens_Remanesc!G95,IF($F$4="C3",itens_Remanesc!I95,itens_Remanesc!K95)))))</f>
        <v/>
      </c>
      <c r="L147" s="173" t="str">
        <f>IF(J147="","",IF(SUMIF(itens_Consumidos!$A$2:$A$200,J147,itens_Consumidos!$B$2:$B$200)-SUMIF(itens_Consumidos!$A$2:$A$200,J147,itens_Consumidos!$O$2:$O$200)&lt;0,0,SUMIF(itens_Consumidos!$A$2:$A$200,J147,itens_Consumidos!$B$2:$B$200)-SUMIF(itens_Consumidos!$A$2:$A$200,J147,itens_Consumidos!$O$2:$O$200)))</f>
        <v/>
      </c>
      <c r="M147" s="176" t="str">
        <f>IF(J147="","",itens_Remanesc!C95)</f>
        <v/>
      </c>
      <c r="N147" s="176" t="str">
        <f>IF(J147="","",IF($F$4="C0",historico_VU!C95,IF($F$4="C1",historico_VU!D95,IF($F$4="C2",historico_VU!E95,IF($F$4="C3",historico_VU!F95,historico_VU!G95)))))</f>
        <v/>
      </c>
      <c r="O147" s="176" t="str">
        <f>IF(J147="","",IF(CONTROLE!$B$1="Principal",IF(OR(K147="",M147=""),"",ROUND(K147*M147,2)),IF(CONTROLE!$B$1="Itens Consumidos",IF(OR(L147="",M147=""),"",ROUND(L147*M147,2)),"")))</f>
        <v/>
      </c>
      <c r="P147" s="176" t="str">
        <f>IF(J147="","",IF(CONTROLE!$B$1="Principal",IF(OR(K147="",N147=""),"",ROUND(K147*N147,2)),IF(CONTROLE!$B$1="Itens Consumidos",IF(OR(L147="",N147=""),"",ROUND(L147*N147,2)),"")))</f>
        <v/>
      </c>
      <c r="Q147" s="177" t="str">
        <f>IF(J147="","",IF(OR(M147="",AND(CONTROLE!$B$1="Principal",K147=""),AND(CONTROLE!$B$1="Itens Consumidos",L147="")),"INCOMPLETO",IF(CONTROLE!$B$1="Pedidos de Compras","MANUAL",IF(AND(ISNUMBER(K147),ISNUMBER(L147),ABS(K147-L147)/MAX(ABS(IF(CONTROLE!$B$1="Principal",K147,L147)),1)&gt;$D$4),"DIVERGENTE","OK"))))</f>
        <v/>
      </c>
    </row>
    <row r="148" spans="1:17" x14ac:dyDescent="0.35">
      <c r="A148" s="172" t="str">
        <f>IF(historico_VU!A96="","",historico_VU!A96)</f>
        <v/>
      </c>
      <c r="B148" s="173" t="str">
        <f>IF(A148="","",historico_VU!B96)</f>
        <v/>
      </c>
      <c r="C148" s="174" t="str">
        <f>IF(A148="","",historico_VU!C96)</f>
        <v/>
      </c>
      <c r="D148" s="174" t="str">
        <f>IF(A148="","",historico_VU!D96)</f>
        <v/>
      </c>
      <c r="E148" s="174" t="str">
        <f>IF(A148="","",historico_VU!E96)</f>
        <v/>
      </c>
      <c r="F148" s="174" t="str">
        <f>IF(A148="","",historico_VU!F96)</f>
        <v/>
      </c>
      <c r="G148" s="174" t="str">
        <f>IF(A148="","",historico_VU!G96)</f>
        <v/>
      </c>
      <c r="H148" s="175" t="str">
        <f>IF(A148="","",historico_VU!H96)</f>
        <v/>
      </c>
      <c r="I148" s="77"/>
      <c r="J148" s="172" t="str">
        <f>IF(itens_Remanesc!A96="","",itens_Remanesc!A96)</f>
        <v/>
      </c>
      <c r="K148" s="173" t="str">
        <f>IF(J148="","",IF($F$4="C0",itens_Remanesc!B96,IF($F$4="C1",itens_Remanesc!E96,IF($F$4="C2",itens_Remanesc!G96,IF($F$4="C3",itens_Remanesc!I96,itens_Remanesc!K96)))))</f>
        <v/>
      </c>
      <c r="L148" s="173" t="str">
        <f>IF(J148="","",IF(SUMIF(itens_Consumidos!$A$2:$A$200,J148,itens_Consumidos!$B$2:$B$200)-SUMIF(itens_Consumidos!$A$2:$A$200,J148,itens_Consumidos!$O$2:$O$200)&lt;0,0,SUMIF(itens_Consumidos!$A$2:$A$200,J148,itens_Consumidos!$B$2:$B$200)-SUMIF(itens_Consumidos!$A$2:$A$200,J148,itens_Consumidos!$O$2:$O$200)))</f>
        <v/>
      </c>
      <c r="M148" s="176" t="str">
        <f>IF(J148="","",itens_Remanesc!C96)</f>
        <v/>
      </c>
      <c r="N148" s="176" t="str">
        <f>IF(J148="","",IF($F$4="C0",historico_VU!C96,IF($F$4="C1",historico_VU!D96,IF($F$4="C2",historico_VU!E96,IF($F$4="C3",historico_VU!F96,historico_VU!G96)))))</f>
        <v/>
      </c>
      <c r="O148" s="176" t="str">
        <f>IF(J148="","",IF(CONTROLE!$B$1="Principal",IF(OR(K148="",M148=""),"",ROUND(K148*M148,2)),IF(CONTROLE!$B$1="Itens Consumidos",IF(OR(L148="",M148=""),"",ROUND(L148*M148,2)),"")))</f>
        <v/>
      </c>
      <c r="P148" s="176" t="str">
        <f>IF(J148="","",IF(CONTROLE!$B$1="Principal",IF(OR(K148="",N148=""),"",ROUND(K148*N148,2)),IF(CONTROLE!$B$1="Itens Consumidos",IF(OR(L148="",N148=""),"",ROUND(L148*N148,2)),"")))</f>
        <v/>
      </c>
      <c r="Q148" s="177" t="str">
        <f>IF(J148="","",IF(OR(M148="",AND(CONTROLE!$B$1="Principal",K148=""),AND(CONTROLE!$B$1="Itens Consumidos",L148="")),"INCOMPLETO",IF(CONTROLE!$B$1="Pedidos de Compras","MANUAL",IF(AND(ISNUMBER(K148),ISNUMBER(L148),ABS(K148-L148)/MAX(ABS(IF(CONTROLE!$B$1="Principal",K148,L148)),1)&gt;$D$4),"DIVERGENTE","OK"))))</f>
        <v/>
      </c>
    </row>
    <row r="149" spans="1:17" x14ac:dyDescent="0.35">
      <c r="A149" s="172" t="str">
        <f>IF(historico_VU!A97="","",historico_VU!A97)</f>
        <v/>
      </c>
      <c r="B149" s="173" t="str">
        <f>IF(A149="","",historico_VU!B97)</f>
        <v/>
      </c>
      <c r="C149" s="174" t="str">
        <f>IF(A149="","",historico_VU!C97)</f>
        <v/>
      </c>
      <c r="D149" s="174" t="str">
        <f>IF(A149="","",historico_VU!D97)</f>
        <v/>
      </c>
      <c r="E149" s="174" t="str">
        <f>IF(A149="","",historico_VU!E97)</f>
        <v/>
      </c>
      <c r="F149" s="174" t="str">
        <f>IF(A149="","",historico_VU!F97)</f>
        <v/>
      </c>
      <c r="G149" s="174" t="str">
        <f>IF(A149="","",historico_VU!G97)</f>
        <v/>
      </c>
      <c r="H149" s="175" t="str">
        <f>IF(A149="","",historico_VU!H97)</f>
        <v/>
      </c>
      <c r="I149" s="77"/>
      <c r="J149" s="172" t="str">
        <f>IF(itens_Remanesc!A97="","",itens_Remanesc!A97)</f>
        <v/>
      </c>
      <c r="K149" s="173" t="str">
        <f>IF(J149="","",IF($F$4="C0",itens_Remanesc!B97,IF($F$4="C1",itens_Remanesc!E97,IF($F$4="C2",itens_Remanesc!G97,IF($F$4="C3",itens_Remanesc!I97,itens_Remanesc!K97)))))</f>
        <v/>
      </c>
      <c r="L149" s="173" t="str">
        <f>IF(J149="","",IF(SUMIF(itens_Consumidos!$A$2:$A$200,J149,itens_Consumidos!$B$2:$B$200)-SUMIF(itens_Consumidos!$A$2:$A$200,J149,itens_Consumidos!$O$2:$O$200)&lt;0,0,SUMIF(itens_Consumidos!$A$2:$A$200,J149,itens_Consumidos!$B$2:$B$200)-SUMIF(itens_Consumidos!$A$2:$A$200,J149,itens_Consumidos!$O$2:$O$200)))</f>
        <v/>
      </c>
      <c r="M149" s="176" t="str">
        <f>IF(J149="","",itens_Remanesc!C97)</f>
        <v/>
      </c>
      <c r="N149" s="176" t="str">
        <f>IF(J149="","",IF($F$4="C0",historico_VU!C97,IF($F$4="C1",historico_VU!D97,IF($F$4="C2",historico_VU!E97,IF($F$4="C3",historico_VU!F97,historico_VU!G97)))))</f>
        <v/>
      </c>
      <c r="O149" s="176" t="str">
        <f>IF(J149="","",IF(CONTROLE!$B$1="Principal",IF(OR(K149="",M149=""),"",ROUND(K149*M149,2)),IF(CONTROLE!$B$1="Itens Consumidos",IF(OR(L149="",M149=""),"",ROUND(L149*M149,2)),"")))</f>
        <v/>
      </c>
      <c r="P149" s="176" t="str">
        <f>IF(J149="","",IF(CONTROLE!$B$1="Principal",IF(OR(K149="",N149=""),"",ROUND(K149*N149,2)),IF(CONTROLE!$B$1="Itens Consumidos",IF(OR(L149="",N149=""),"",ROUND(L149*N149,2)),"")))</f>
        <v/>
      </c>
      <c r="Q149" s="177" t="str">
        <f>IF(J149="","",IF(OR(M149="",AND(CONTROLE!$B$1="Principal",K149=""),AND(CONTROLE!$B$1="Itens Consumidos",L149="")),"INCOMPLETO",IF(CONTROLE!$B$1="Pedidos de Compras","MANUAL",IF(AND(ISNUMBER(K149),ISNUMBER(L149),ABS(K149-L149)/MAX(ABS(IF(CONTROLE!$B$1="Principal",K149,L149)),1)&gt;$D$4),"DIVERGENTE","OK"))))</f>
        <v/>
      </c>
    </row>
    <row r="150" spans="1:17" x14ac:dyDescent="0.35">
      <c r="A150" s="172" t="str">
        <f>IF(historico_VU!A98="","",historico_VU!A98)</f>
        <v/>
      </c>
      <c r="B150" s="173" t="str">
        <f>IF(A150="","",historico_VU!B98)</f>
        <v/>
      </c>
      <c r="C150" s="174" t="str">
        <f>IF(A150="","",historico_VU!C98)</f>
        <v/>
      </c>
      <c r="D150" s="174" t="str">
        <f>IF(A150="","",historico_VU!D98)</f>
        <v/>
      </c>
      <c r="E150" s="174" t="str">
        <f>IF(A150="","",historico_VU!E98)</f>
        <v/>
      </c>
      <c r="F150" s="174" t="str">
        <f>IF(A150="","",historico_VU!F98)</f>
        <v/>
      </c>
      <c r="G150" s="174" t="str">
        <f>IF(A150="","",historico_VU!G98)</f>
        <v/>
      </c>
      <c r="H150" s="175" t="str">
        <f>IF(A150="","",historico_VU!H98)</f>
        <v/>
      </c>
      <c r="I150" s="77"/>
      <c r="J150" s="172" t="str">
        <f>IF(itens_Remanesc!A98="","",itens_Remanesc!A98)</f>
        <v/>
      </c>
      <c r="K150" s="173" t="str">
        <f>IF(J150="","",IF($F$4="C0",itens_Remanesc!B98,IF($F$4="C1",itens_Remanesc!E98,IF($F$4="C2",itens_Remanesc!G98,IF($F$4="C3",itens_Remanesc!I98,itens_Remanesc!K98)))))</f>
        <v/>
      </c>
      <c r="L150" s="173" t="str">
        <f>IF(J150="","",IF(SUMIF(itens_Consumidos!$A$2:$A$200,J150,itens_Consumidos!$B$2:$B$200)-SUMIF(itens_Consumidos!$A$2:$A$200,J150,itens_Consumidos!$O$2:$O$200)&lt;0,0,SUMIF(itens_Consumidos!$A$2:$A$200,J150,itens_Consumidos!$B$2:$B$200)-SUMIF(itens_Consumidos!$A$2:$A$200,J150,itens_Consumidos!$O$2:$O$200)))</f>
        <v/>
      </c>
      <c r="M150" s="176" t="str">
        <f>IF(J150="","",itens_Remanesc!C98)</f>
        <v/>
      </c>
      <c r="N150" s="176" t="str">
        <f>IF(J150="","",IF($F$4="C0",historico_VU!C98,IF($F$4="C1",historico_VU!D98,IF($F$4="C2",historico_VU!E98,IF($F$4="C3",historico_VU!F98,historico_VU!G98)))))</f>
        <v/>
      </c>
      <c r="O150" s="176" t="str">
        <f>IF(J150="","",IF(CONTROLE!$B$1="Principal",IF(OR(K150="",M150=""),"",ROUND(K150*M150,2)),IF(CONTROLE!$B$1="Itens Consumidos",IF(OR(L150="",M150=""),"",ROUND(L150*M150,2)),"")))</f>
        <v/>
      </c>
      <c r="P150" s="176" t="str">
        <f>IF(J150="","",IF(CONTROLE!$B$1="Principal",IF(OR(K150="",N150=""),"",ROUND(K150*N150,2)),IF(CONTROLE!$B$1="Itens Consumidos",IF(OR(L150="",N150=""),"",ROUND(L150*N150,2)),"")))</f>
        <v/>
      </c>
      <c r="Q150" s="177" t="str">
        <f>IF(J150="","",IF(OR(M150="",AND(CONTROLE!$B$1="Principal",K150=""),AND(CONTROLE!$B$1="Itens Consumidos",L150="")),"INCOMPLETO",IF(CONTROLE!$B$1="Pedidos de Compras","MANUAL",IF(AND(ISNUMBER(K150),ISNUMBER(L150),ABS(K150-L150)/MAX(ABS(IF(CONTROLE!$B$1="Principal",K150,L150)),1)&gt;$D$4),"DIVERGENTE","OK"))))</f>
        <v/>
      </c>
    </row>
    <row r="151" spans="1:17" x14ac:dyDescent="0.35">
      <c r="A151" s="172" t="str">
        <f>IF(historico_VU!A99="","",historico_VU!A99)</f>
        <v/>
      </c>
      <c r="B151" s="173" t="str">
        <f>IF(A151="","",historico_VU!B99)</f>
        <v/>
      </c>
      <c r="C151" s="174" t="str">
        <f>IF(A151="","",historico_VU!C99)</f>
        <v/>
      </c>
      <c r="D151" s="174" t="str">
        <f>IF(A151="","",historico_VU!D99)</f>
        <v/>
      </c>
      <c r="E151" s="174" t="str">
        <f>IF(A151="","",historico_VU!E99)</f>
        <v/>
      </c>
      <c r="F151" s="174" t="str">
        <f>IF(A151="","",historico_VU!F99)</f>
        <v/>
      </c>
      <c r="G151" s="174" t="str">
        <f>IF(A151="","",historico_VU!G99)</f>
        <v/>
      </c>
      <c r="H151" s="175" t="str">
        <f>IF(A151="","",historico_VU!H99)</f>
        <v/>
      </c>
      <c r="I151" s="77"/>
      <c r="J151" s="172" t="str">
        <f>IF(itens_Remanesc!A99="","",itens_Remanesc!A99)</f>
        <v/>
      </c>
      <c r="K151" s="173" t="str">
        <f>IF(J151="","",IF($F$4="C0",itens_Remanesc!B99,IF($F$4="C1",itens_Remanesc!E99,IF($F$4="C2",itens_Remanesc!G99,IF($F$4="C3",itens_Remanesc!I99,itens_Remanesc!K99)))))</f>
        <v/>
      </c>
      <c r="L151" s="173" t="str">
        <f>IF(J151="","",IF(SUMIF(itens_Consumidos!$A$2:$A$200,J151,itens_Consumidos!$B$2:$B$200)-SUMIF(itens_Consumidos!$A$2:$A$200,J151,itens_Consumidos!$O$2:$O$200)&lt;0,0,SUMIF(itens_Consumidos!$A$2:$A$200,J151,itens_Consumidos!$B$2:$B$200)-SUMIF(itens_Consumidos!$A$2:$A$200,J151,itens_Consumidos!$O$2:$O$200)))</f>
        <v/>
      </c>
      <c r="M151" s="176" t="str">
        <f>IF(J151="","",itens_Remanesc!C99)</f>
        <v/>
      </c>
      <c r="N151" s="176" t="str">
        <f>IF(J151="","",IF($F$4="C0",historico_VU!C99,IF($F$4="C1",historico_VU!D99,IF($F$4="C2",historico_VU!E99,IF($F$4="C3",historico_VU!F99,historico_VU!G99)))))</f>
        <v/>
      </c>
      <c r="O151" s="176" t="str">
        <f>IF(J151="","",IF(CONTROLE!$B$1="Principal",IF(OR(K151="",M151=""),"",ROUND(K151*M151,2)),IF(CONTROLE!$B$1="Itens Consumidos",IF(OR(L151="",M151=""),"",ROUND(L151*M151,2)),"")))</f>
        <v/>
      </c>
      <c r="P151" s="176" t="str">
        <f>IF(J151="","",IF(CONTROLE!$B$1="Principal",IF(OR(K151="",N151=""),"",ROUND(K151*N151,2)),IF(CONTROLE!$B$1="Itens Consumidos",IF(OR(L151="",N151=""),"",ROUND(L151*N151,2)),"")))</f>
        <v/>
      </c>
      <c r="Q151" s="177" t="str">
        <f>IF(J151="","",IF(OR(M151="",AND(CONTROLE!$B$1="Principal",K151=""),AND(CONTROLE!$B$1="Itens Consumidos",L151="")),"INCOMPLETO",IF(CONTROLE!$B$1="Pedidos de Compras","MANUAL",IF(AND(ISNUMBER(K151),ISNUMBER(L151),ABS(K151-L151)/MAX(ABS(IF(CONTROLE!$B$1="Principal",K151,L151)),1)&gt;$D$4),"DIVERGENTE","OK"))))</f>
        <v/>
      </c>
    </row>
    <row r="152" spans="1:17" x14ac:dyDescent="0.35">
      <c r="A152" s="172" t="str">
        <f>IF(historico_VU!A100="","",historico_VU!A100)</f>
        <v/>
      </c>
      <c r="B152" s="173" t="str">
        <f>IF(A152="","",historico_VU!B100)</f>
        <v/>
      </c>
      <c r="C152" s="174" t="str">
        <f>IF(A152="","",historico_VU!C100)</f>
        <v/>
      </c>
      <c r="D152" s="174" t="str">
        <f>IF(A152="","",historico_VU!D100)</f>
        <v/>
      </c>
      <c r="E152" s="174" t="str">
        <f>IF(A152="","",historico_VU!E100)</f>
        <v/>
      </c>
      <c r="F152" s="174" t="str">
        <f>IF(A152="","",historico_VU!F100)</f>
        <v/>
      </c>
      <c r="G152" s="174" t="str">
        <f>IF(A152="","",historico_VU!G100)</f>
        <v/>
      </c>
      <c r="H152" s="175" t="str">
        <f>IF(A152="","",historico_VU!H100)</f>
        <v/>
      </c>
      <c r="I152" s="77"/>
      <c r="J152" s="172" t="str">
        <f>IF(itens_Remanesc!A100="","",itens_Remanesc!A100)</f>
        <v/>
      </c>
      <c r="K152" s="173" t="str">
        <f>IF(J152="","",IF($F$4="C0",itens_Remanesc!B100,IF($F$4="C1",itens_Remanesc!E100,IF($F$4="C2",itens_Remanesc!G100,IF($F$4="C3",itens_Remanesc!I100,itens_Remanesc!K100)))))</f>
        <v/>
      </c>
      <c r="L152" s="173" t="str">
        <f>IF(J152="","",IF(SUMIF(itens_Consumidos!$A$2:$A$200,J152,itens_Consumidos!$B$2:$B$200)-SUMIF(itens_Consumidos!$A$2:$A$200,J152,itens_Consumidos!$O$2:$O$200)&lt;0,0,SUMIF(itens_Consumidos!$A$2:$A$200,J152,itens_Consumidos!$B$2:$B$200)-SUMIF(itens_Consumidos!$A$2:$A$200,J152,itens_Consumidos!$O$2:$O$200)))</f>
        <v/>
      </c>
      <c r="M152" s="176" t="str">
        <f>IF(J152="","",itens_Remanesc!C100)</f>
        <v/>
      </c>
      <c r="N152" s="176" t="str">
        <f>IF(J152="","",IF($F$4="C0",historico_VU!C100,IF($F$4="C1",historico_VU!D100,IF($F$4="C2",historico_VU!E100,IF($F$4="C3",historico_VU!F100,historico_VU!G100)))))</f>
        <v/>
      </c>
      <c r="O152" s="176" t="str">
        <f>IF(J152="","",IF(CONTROLE!$B$1="Principal",IF(OR(K152="",M152=""),"",ROUND(K152*M152,2)),IF(CONTROLE!$B$1="Itens Consumidos",IF(OR(L152="",M152=""),"",ROUND(L152*M152,2)),"")))</f>
        <v/>
      </c>
      <c r="P152" s="176" t="str">
        <f>IF(J152="","",IF(CONTROLE!$B$1="Principal",IF(OR(K152="",N152=""),"",ROUND(K152*N152,2)),IF(CONTROLE!$B$1="Itens Consumidos",IF(OR(L152="",N152=""),"",ROUND(L152*N152,2)),"")))</f>
        <v/>
      </c>
      <c r="Q152" s="177" t="str">
        <f>IF(J152="","",IF(OR(M152="",AND(CONTROLE!$B$1="Principal",K152=""),AND(CONTROLE!$B$1="Itens Consumidos",L152="")),"INCOMPLETO",IF(CONTROLE!$B$1="Pedidos de Compras","MANUAL",IF(AND(ISNUMBER(K152),ISNUMBER(L152),ABS(K152-L152)/MAX(ABS(IF(CONTROLE!$B$1="Principal",K152,L152)),1)&gt;$D$4),"DIVERGENTE","OK"))))</f>
        <v/>
      </c>
    </row>
    <row r="153" spans="1:17" x14ac:dyDescent="0.35">
      <c r="A153" s="172" t="str">
        <f>IF(historico_VU!A101="","",historico_VU!A101)</f>
        <v/>
      </c>
      <c r="B153" s="173" t="str">
        <f>IF(A153="","",historico_VU!B101)</f>
        <v/>
      </c>
      <c r="C153" s="174" t="str">
        <f>IF(A153="","",historico_VU!C101)</f>
        <v/>
      </c>
      <c r="D153" s="174" t="str">
        <f>IF(A153="","",historico_VU!D101)</f>
        <v/>
      </c>
      <c r="E153" s="174" t="str">
        <f>IF(A153="","",historico_VU!E101)</f>
        <v/>
      </c>
      <c r="F153" s="174" t="str">
        <f>IF(A153="","",historico_VU!F101)</f>
        <v/>
      </c>
      <c r="G153" s="174" t="str">
        <f>IF(A153="","",historico_VU!G101)</f>
        <v/>
      </c>
      <c r="H153" s="175" t="str">
        <f>IF(A153="","",historico_VU!H101)</f>
        <v/>
      </c>
      <c r="I153" s="77"/>
      <c r="J153" s="172" t="str">
        <f>IF(itens_Remanesc!A101="","",itens_Remanesc!A101)</f>
        <v/>
      </c>
      <c r="K153" s="173" t="str">
        <f>IF(J153="","",IF($F$4="C0",itens_Remanesc!B101,IF($F$4="C1",itens_Remanesc!E101,IF($F$4="C2",itens_Remanesc!G101,IF($F$4="C3",itens_Remanesc!I101,itens_Remanesc!K101)))))</f>
        <v/>
      </c>
      <c r="L153" s="173" t="str">
        <f>IF(J153="","",IF(SUMIF(itens_Consumidos!$A$2:$A$200,J153,itens_Consumidos!$B$2:$B$200)-SUMIF(itens_Consumidos!$A$2:$A$200,J153,itens_Consumidos!$O$2:$O$200)&lt;0,0,SUMIF(itens_Consumidos!$A$2:$A$200,J153,itens_Consumidos!$B$2:$B$200)-SUMIF(itens_Consumidos!$A$2:$A$200,J153,itens_Consumidos!$O$2:$O$200)))</f>
        <v/>
      </c>
      <c r="M153" s="176" t="str">
        <f>IF(J153="","",itens_Remanesc!C101)</f>
        <v/>
      </c>
      <c r="N153" s="176" t="str">
        <f>IF(J153="","",IF($F$4="C0",historico_VU!C101,IF($F$4="C1",historico_VU!D101,IF($F$4="C2",historico_VU!E101,IF($F$4="C3",historico_VU!F101,historico_VU!G101)))))</f>
        <v/>
      </c>
      <c r="O153" s="176" t="str">
        <f>IF(J153="","",IF(CONTROLE!$B$1="Principal",IF(OR(K153="",M153=""),"",ROUND(K153*M153,2)),IF(CONTROLE!$B$1="Itens Consumidos",IF(OR(L153="",M153=""),"",ROUND(L153*M153,2)),"")))</f>
        <v/>
      </c>
      <c r="P153" s="176" t="str">
        <f>IF(J153="","",IF(CONTROLE!$B$1="Principal",IF(OR(K153="",N153=""),"",ROUND(K153*N153,2)),IF(CONTROLE!$B$1="Itens Consumidos",IF(OR(L153="",N153=""),"",ROUND(L153*N153,2)),"")))</f>
        <v/>
      </c>
      <c r="Q153" s="177" t="str">
        <f>IF(J153="","",IF(OR(M153="",AND(CONTROLE!$B$1="Principal",K153=""),AND(CONTROLE!$B$1="Itens Consumidos",L153="")),"INCOMPLETO",IF(CONTROLE!$B$1="Pedidos de Compras","MANUAL",IF(AND(ISNUMBER(K153),ISNUMBER(L153),ABS(K153-L153)/MAX(ABS(IF(CONTROLE!$B$1="Principal",K153,L153)),1)&gt;$D$4),"DIVERGENTE","OK"))))</f>
        <v/>
      </c>
    </row>
    <row r="154" spans="1:17" x14ac:dyDescent="0.35">
      <c r="A154" s="172" t="str">
        <f>IF(historico_VU!A102="","",historico_VU!A102)</f>
        <v/>
      </c>
      <c r="B154" s="173" t="str">
        <f>IF(A154="","",historico_VU!B102)</f>
        <v/>
      </c>
      <c r="C154" s="174" t="str">
        <f>IF(A154="","",historico_VU!C102)</f>
        <v/>
      </c>
      <c r="D154" s="174" t="str">
        <f>IF(A154="","",historico_VU!D102)</f>
        <v/>
      </c>
      <c r="E154" s="174" t="str">
        <f>IF(A154="","",historico_VU!E102)</f>
        <v/>
      </c>
      <c r="F154" s="174" t="str">
        <f>IF(A154="","",historico_VU!F102)</f>
        <v/>
      </c>
      <c r="G154" s="174" t="str">
        <f>IF(A154="","",historico_VU!G102)</f>
        <v/>
      </c>
      <c r="H154" s="175" t="str">
        <f>IF(A154="","",historico_VU!H102)</f>
        <v/>
      </c>
      <c r="I154" s="77"/>
      <c r="J154" s="172" t="str">
        <f>IF(itens_Remanesc!A102="","",itens_Remanesc!A102)</f>
        <v/>
      </c>
      <c r="K154" s="173" t="str">
        <f>IF(J154="","",IF($F$4="C0",itens_Remanesc!B102,IF($F$4="C1",itens_Remanesc!E102,IF($F$4="C2",itens_Remanesc!G102,IF($F$4="C3",itens_Remanesc!I102,itens_Remanesc!K102)))))</f>
        <v/>
      </c>
      <c r="L154" s="173" t="str">
        <f>IF(J154="","",IF(SUMIF(itens_Consumidos!$A$2:$A$200,J154,itens_Consumidos!$B$2:$B$200)-SUMIF(itens_Consumidos!$A$2:$A$200,J154,itens_Consumidos!$O$2:$O$200)&lt;0,0,SUMIF(itens_Consumidos!$A$2:$A$200,J154,itens_Consumidos!$B$2:$B$200)-SUMIF(itens_Consumidos!$A$2:$A$200,J154,itens_Consumidos!$O$2:$O$200)))</f>
        <v/>
      </c>
      <c r="M154" s="176" t="str">
        <f>IF(J154="","",itens_Remanesc!C102)</f>
        <v/>
      </c>
      <c r="N154" s="176" t="str">
        <f>IF(J154="","",IF($F$4="C0",historico_VU!C102,IF($F$4="C1",historico_VU!D102,IF($F$4="C2",historico_VU!E102,IF($F$4="C3",historico_VU!F102,historico_VU!G102)))))</f>
        <v/>
      </c>
      <c r="O154" s="176" t="str">
        <f>IF(J154="","",IF(CONTROLE!$B$1="Principal",IF(OR(K154="",M154=""),"",ROUND(K154*M154,2)),IF(CONTROLE!$B$1="Itens Consumidos",IF(OR(L154="",M154=""),"",ROUND(L154*M154,2)),"")))</f>
        <v/>
      </c>
      <c r="P154" s="176" t="str">
        <f>IF(J154="","",IF(CONTROLE!$B$1="Principal",IF(OR(K154="",N154=""),"",ROUND(K154*N154,2)),IF(CONTROLE!$B$1="Itens Consumidos",IF(OR(L154="",N154=""),"",ROUND(L154*N154,2)),"")))</f>
        <v/>
      </c>
      <c r="Q154" s="177" t="str">
        <f>IF(J154="","",IF(OR(M154="",AND(CONTROLE!$B$1="Principal",K154=""),AND(CONTROLE!$B$1="Itens Consumidos",L154="")),"INCOMPLETO",IF(CONTROLE!$B$1="Pedidos de Compras","MANUAL",IF(AND(ISNUMBER(K154),ISNUMBER(L154),ABS(K154-L154)/MAX(ABS(IF(CONTROLE!$B$1="Principal",K154,L154)),1)&gt;$D$4),"DIVERGENTE","OK"))))</f>
        <v/>
      </c>
    </row>
    <row r="155" spans="1:17" x14ac:dyDescent="0.35">
      <c r="A155" s="172" t="str">
        <f>IF(historico_VU!A103="","",historico_VU!A103)</f>
        <v/>
      </c>
      <c r="B155" s="173" t="str">
        <f>IF(A155="","",historico_VU!B103)</f>
        <v/>
      </c>
      <c r="C155" s="174" t="str">
        <f>IF(A155="","",historico_VU!C103)</f>
        <v/>
      </c>
      <c r="D155" s="174" t="str">
        <f>IF(A155="","",historico_VU!D103)</f>
        <v/>
      </c>
      <c r="E155" s="174" t="str">
        <f>IF(A155="","",historico_VU!E103)</f>
        <v/>
      </c>
      <c r="F155" s="174" t="str">
        <f>IF(A155="","",historico_VU!F103)</f>
        <v/>
      </c>
      <c r="G155" s="174" t="str">
        <f>IF(A155="","",historico_VU!G103)</f>
        <v/>
      </c>
      <c r="H155" s="175" t="str">
        <f>IF(A155="","",historico_VU!H103)</f>
        <v/>
      </c>
      <c r="I155" s="77"/>
      <c r="J155" s="172" t="str">
        <f>IF(itens_Remanesc!A103="","",itens_Remanesc!A103)</f>
        <v/>
      </c>
      <c r="K155" s="173" t="str">
        <f>IF(J155="","",IF($F$4="C0",itens_Remanesc!B103,IF($F$4="C1",itens_Remanesc!E103,IF($F$4="C2",itens_Remanesc!G103,IF($F$4="C3",itens_Remanesc!I103,itens_Remanesc!K103)))))</f>
        <v/>
      </c>
      <c r="L155" s="173" t="str">
        <f>IF(J155="","",IF(SUMIF(itens_Consumidos!$A$2:$A$200,J155,itens_Consumidos!$B$2:$B$200)-SUMIF(itens_Consumidos!$A$2:$A$200,J155,itens_Consumidos!$O$2:$O$200)&lt;0,0,SUMIF(itens_Consumidos!$A$2:$A$200,J155,itens_Consumidos!$B$2:$B$200)-SUMIF(itens_Consumidos!$A$2:$A$200,J155,itens_Consumidos!$O$2:$O$200)))</f>
        <v/>
      </c>
      <c r="M155" s="176" t="str">
        <f>IF(J155="","",itens_Remanesc!C103)</f>
        <v/>
      </c>
      <c r="N155" s="176" t="str">
        <f>IF(J155="","",IF($F$4="C0",historico_VU!C103,IF($F$4="C1",historico_VU!D103,IF($F$4="C2",historico_VU!E103,IF($F$4="C3",historico_VU!F103,historico_VU!G103)))))</f>
        <v/>
      </c>
      <c r="O155" s="176" t="str">
        <f>IF(J155="","",IF(CONTROLE!$B$1="Principal",IF(OR(K155="",M155=""),"",ROUND(K155*M155,2)),IF(CONTROLE!$B$1="Itens Consumidos",IF(OR(L155="",M155=""),"",ROUND(L155*M155,2)),"")))</f>
        <v/>
      </c>
      <c r="P155" s="176" t="str">
        <f>IF(J155="","",IF(CONTROLE!$B$1="Principal",IF(OR(K155="",N155=""),"",ROUND(K155*N155,2)),IF(CONTROLE!$B$1="Itens Consumidos",IF(OR(L155="",N155=""),"",ROUND(L155*N155,2)),"")))</f>
        <v/>
      </c>
      <c r="Q155" s="177" t="str">
        <f>IF(J155="","",IF(OR(M155="",AND(CONTROLE!$B$1="Principal",K155=""),AND(CONTROLE!$B$1="Itens Consumidos",L155="")),"INCOMPLETO",IF(CONTROLE!$B$1="Pedidos de Compras","MANUAL",IF(AND(ISNUMBER(K155),ISNUMBER(L155),ABS(K155-L155)/MAX(ABS(IF(CONTROLE!$B$1="Principal",K155,L155)),1)&gt;$D$4),"DIVERGENTE","OK"))))</f>
        <v/>
      </c>
    </row>
    <row r="156" spans="1:17" x14ac:dyDescent="0.35">
      <c r="A156" s="172" t="str">
        <f>IF(historico_VU!A104="","",historico_VU!A104)</f>
        <v/>
      </c>
      <c r="B156" s="173" t="str">
        <f>IF(A156="","",historico_VU!B104)</f>
        <v/>
      </c>
      <c r="C156" s="174" t="str">
        <f>IF(A156="","",historico_VU!C104)</f>
        <v/>
      </c>
      <c r="D156" s="174" t="str">
        <f>IF(A156="","",historico_VU!D104)</f>
        <v/>
      </c>
      <c r="E156" s="174" t="str">
        <f>IF(A156="","",historico_VU!E104)</f>
        <v/>
      </c>
      <c r="F156" s="174" t="str">
        <f>IF(A156="","",historico_VU!F104)</f>
        <v/>
      </c>
      <c r="G156" s="174" t="str">
        <f>IF(A156="","",historico_VU!G104)</f>
        <v/>
      </c>
      <c r="H156" s="175" t="str">
        <f>IF(A156="","",historico_VU!H104)</f>
        <v/>
      </c>
      <c r="I156" s="77"/>
      <c r="J156" s="172" t="str">
        <f>IF(itens_Remanesc!A104="","",itens_Remanesc!A104)</f>
        <v/>
      </c>
      <c r="K156" s="173" t="str">
        <f>IF(J156="","",IF($F$4="C0",itens_Remanesc!B104,IF($F$4="C1",itens_Remanesc!E104,IF($F$4="C2",itens_Remanesc!G104,IF($F$4="C3",itens_Remanesc!I104,itens_Remanesc!K104)))))</f>
        <v/>
      </c>
      <c r="L156" s="173" t="str">
        <f>IF(J156="","",IF(SUMIF(itens_Consumidos!$A$2:$A$200,J156,itens_Consumidos!$B$2:$B$200)-SUMIF(itens_Consumidos!$A$2:$A$200,J156,itens_Consumidos!$O$2:$O$200)&lt;0,0,SUMIF(itens_Consumidos!$A$2:$A$200,J156,itens_Consumidos!$B$2:$B$200)-SUMIF(itens_Consumidos!$A$2:$A$200,J156,itens_Consumidos!$O$2:$O$200)))</f>
        <v/>
      </c>
      <c r="M156" s="176" t="str">
        <f>IF(J156="","",itens_Remanesc!C104)</f>
        <v/>
      </c>
      <c r="N156" s="176" t="str">
        <f>IF(J156="","",IF($F$4="C0",historico_VU!C104,IF($F$4="C1",historico_VU!D104,IF($F$4="C2",historico_VU!E104,IF($F$4="C3",historico_VU!F104,historico_VU!G104)))))</f>
        <v/>
      </c>
      <c r="O156" s="176" t="str">
        <f>IF(J156="","",IF(CONTROLE!$B$1="Principal",IF(OR(K156="",M156=""),"",ROUND(K156*M156,2)),IF(CONTROLE!$B$1="Itens Consumidos",IF(OR(L156="",M156=""),"",ROUND(L156*M156,2)),"")))</f>
        <v/>
      </c>
      <c r="P156" s="176" t="str">
        <f>IF(J156="","",IF(CONTROLE!$B$1="Principal",IF(OR(K156="",N156=""),"",ROUND(K156*N156,2)),IF(CONTROLE!$B$1="Itens Consumidos",IF(OR(L156="",N156=""),"",ROUND(L156*N156,2)),"")))</f>
        <v/>
      </c>
      <c r="Q156" s="177" t="str">
        <f>IF(J156="","",IF(OR(M156="",AND(CONTROLE!$B$1="Principal",K156=""),AND(CONTROLE!$B$1="Itens Consumidos",L156="")),"INCOMPLETO",IF(CONTROLE!$B$1="Pedidos de Compras","MANUAL",IF(AND(ISNUMBER(K156),ISNUMBER(L156),ABS(K156-L156)/MAX(ABS(IF(CONTROLE!$B$1="Principal",K156,L156)),1)&gt;$D$4),"DIVERGENTE","OK"))))</f>
        <v/>
      </c>
    </row>
    <row r="157" spans="1:17" x14ac:dyDescent="0.35">
      <c r="A157" s="172" t="str">
        <f>IF(historico_VU!A105="","",historico_VU!A105)</f>
        <v/>
      </c>
      <c r="B157" s="173" t="str">
        <f>IF(A157="","",historico_VU!B105)</f>
        <v/>
      </c>
      <c r="C157" s="174" t="str">
        <f>IF(A157="","",historico_VU!C105)</f>
        <v/>
      </c>
      <c r="D157" s="174" t="str">
        <f>IF(A157="","",historico_VU!D105)</f>
        <v/>
      </c>
      <c r="E157" s="174" t="str">
        <f>IF(A157="","",historico_VU!E105)</f>
        <v/>
      </c>
      <c r="F157" s="174" t="str">
        <f>IF(A157="","",historico_VU!F105)</f>
        <v/>
      </c>
      <c r="G157" s="174" t="str">
        <f>IF(A157="","",historico_VU!G105)</f>
        <v/>
      </c>
      <c r="H157" s="175" t="str">
        <f>IF(A157="","",historico_VU!H105)</f>
        <v/>
      </c>
      <c r="I157" s="77"/>
      <c r="J157" s="172" t="str">
        <f>IF(itens_Remanesc!A105="","",itens_Remanesc!A105)</f>
        <v/>
      </c>
      <c r="K157" s="173" t="str">
        <f>IF(J157="","",IF($F$4="C0",itens_Remanesc!B105,IF($F$4="C1",itens_Remanesc!E105,IF($F$4="C2",itens_Remanesc!G105,IF($F$4="C3",itens_Remanesc!I105,itens_Remanesc!K105)))))</f>
        <v/>
      </c>
      <c r="L157" s="173" t="str">
        <f>IF(J157="","",IF(SUMIF(itens_Consumidos!$A$2:$A$200,J157,itens_Consumidos!$B$2:$B$200)-SUMIF(itens_Consumidos!$A$2:$A$200,J157,itens_Consumidos!$O$2:$O$200)&lt;0,0,SUMIF(itens_Consumidos!$A$2:$A$200,J157,itens_Consumidos!$B$2:$B$200)-SUMIF(itens_Consumidos!$A$2:$A$200,J157,itens_Consumidos!$O$2:$O$200)))</f>
        <v/>
      </c>
      <c r="M157" s="176" t="str">
        <f>IF(J157="","",itens_Remanesc!C105)</f>
        <v/>
      </c>
      <c r="N157" s="176" t="str">
        <f>IF(J157="","",IF($F$4="C0",historico_VU!C105,IF($F$4="C1",historico_VU!D105,IF($F$4="C2",historico_VU!E105,IF($F$4="C3",historico_VU!F105,historico_VU!G105)))))</f>
        <v/>
      </c>
      <c r="O157" s="176" t="str">
        <f>IF(J157="","",IF(CONTROLE!$B$1="Principal",IF(OR(K157="",M157=""),"",ROUND(K157*M157,2)),IF(CONTROLE!$B$1="Itens Consumidos",IF(OR(L157="",M157=""),"",ROUND(L157*M157,2)),"")))</f>
        <v/>
      </c>
      <c r="P157" s="176" t="str">
        <f>IF(J157="","",IF(CONTROLE!$B$1="Principal",IF(OR(K157="",N157=""),"",ROUND(K157*N157,2)),IF(CONTROLE!$B$1="Itens Consumidos",IF(OR(L157="",N157=""),"",ROUND(L157*N157,2)),"")))</f>
        <v/>
      </c>
      <c r="Q157" s="177" t="str">
        <f>IF(J157="","",IF(OR(M157="",AND(CONTROLE!$B$1="Principal",K157=""),AND(CONTROLE!$B$1="Itens Consumidos",L157="")),"INCOMPLETO",IF(CONTROLE!$B$1="Pedidos de Compras","MANUAL",IF(AND(ISNUMBER(K157),ISNUMBER(L157),ABS(K157-L157)/MAX(ABS(IF(CONTROLE!$B$1="Principal",K157,L157)),1)&gt;$D$4),"DIVERGENTE","OK"))))</f>
        <v/>
      </c>
    </row>
    <row r="158" spans="1:17" x14ac:dyDescent="0.35">
      <c r="A158" s="172" t="str">
        <f>IF(historico_VU!A106="","",historico_VU!A106)</f>
        <v/>
      </c>
      <c r="B158" s="173" t="str">
        <f>IF(A158="","",historico_VU!B106)</f>
        <v/>
      </c>
      <c r="C158" s="174" t="str">
        <f>IF(A158="","",historico_VU!C106)</f>
        <v/>
      </c>
      <c r="D158" s="174" t="str">
        <f>IF(A158="","",historico_VU!D106)</f>
        <v/>
      </c>
      <c r="E158" s="174" t="str">
        <f>IF(A158="","",historico_VU!E106)</f>
        <v/>
      </c>
      <c r="F158" s="174" t="str">
        <f>IF(A158="","",historico_VU!F106)</f>
        <v/>
      </c>
      <c r="G158" s="174" t="str">
        <f>IF(A158="","",historico_VU!G106)</f>
        <v/>
      </c>
      <c r="H158" s="175" t="str">
        <f>IF(A158="","",historico_VU!H106)</f>
        <v/>
      </c>
      <c r="I158" s="77"/>
      <c r="J158" s="172" t="str">
        <f>IF(itens_Remanesc!A106="","",itens_Remanesc!A106)</f>
        <v/>
      </c>
      <c r="K158" s="173" t="str">
        <f>IF(J158="","",IF($F$4="C0",itens_Remanesc!B106,IF($F$4="C1",itens_Remanesc!E106,IF($F$4="C2",itens_Remanesc!G106,IF($F$4="C3",itens_Remanesc!I106,itens_Remanesc!K106)))))</f>
        <v/>
      </c>
      <c r="L158" s="173" t="str">
        <f>IF(J158="","",IF(SUMIF(itens_Consumidos!$A$2:$A$200,J158,itens_Consumidos!$B$2:$B$200)-SUMIF(itens_Consumidos!$A$2:$A$200,J158,itens_Consumidos!$O$2:$O$200)&lt;0,0,SUMIF(itens_Consumidos!$A$2:$A$200,J158,itens_Consumidos!$B$2:$B$200)-SUMIF(itens_Consumidos!$A$2:$A$200,J158,itens_Consumidos!$O$2:$O$200)))</f>
        <v/>
      </c>
      <c r="M158" s="176" t="str">
        <f>IF(J158="","",itens_Remanesc!C106)</f>
        <v/>
      </c>
      <c r="N158" s="176" t="str">
        <f>IF(J158="","",IF($F$4="C0",historico_VU!C106,IF($F$4="C1",historico_VU!D106,IF($F$4="C2",historico_VU!E106,IF($F$4="C3",historico_VU!F106,historico_VU!G106)))))</f>
        <v/>
      </c>
      <c r="O158" s="176" t="str">
        <f>IF(J158="","",IF(CONTROLE!$B$1="Principal",IF(OR(K158="",M158=""),"",ROUND(K158*M158,2)),IF(CONTROLE!$B$1="Itens Consumidos",IF(OR(L158="",M158=""),"",ROUND(L158*M158,2)),"")))</f>
        <v/>
      </c>
      <c r="P158" s="176" t="str">
        <f>IF(J158="","",IF(CONTROLE!$B$1="Principal",IF(OR(K158="",N158=""),"",ROUND(K158*N158,2)),IF(CONTROLE!$B$1="Itens Consumidos",IF(OR(L158="",N158=""),"",ROUND(L158*N158,2)),"")))</f>
        <v/>
      </c>
      <c r="Q158" s="177" t="str">
        <f>IF(J158="","",IF(OR(M158="",AND(CONTROLE!$B$1="Principal",K158=""),AND(CONTROLE!$B$1="Itens Consumidos",L158="")),"INCOMPLETO",IF(CONTROLE!$B$1="Pedidos de Compras","MANUAL",IF(AND(ISNUMBER(K158),ISNUMBER(L158),ABS(K158-L158)/MAX(ABS(IF(CONTROLE!$B$1="Principal",K158,L158)),1)&gt;$D$4),"DIVERGENTE","OK"))))</f>
        <v/>
      </c>
    </row>
    <row r="159" spans="1:17" x14ac:dyDescent="0.35">
      <c r="A159" s="172" t="str">
        <f>IF(historico_VU!A107="","",historico_VU!A107)</f>
        <v/>
      </c>
      <c r="B159" s="173" t="str">
        <f>IF(A159="","",historico_VU!B107)</f>
        <v/>
      </c>
      <c r="C159" s="174" t="str">
        <f>IF(A159="","",historico_VU!C107)</f>
        <v/>
      </c>
      <c r="D159" s="174" t="str">
        <f>IF(A159="","",historico_VU!D107)</f>
        <v/>
      </c>
      <c r="E159" s="174" t="str">
        <f>IF(A159="","",historico_VU!E107)</f>
        <v/>
      </c>
      <c r="F159" s="174" t="str">
        <f>IF(A159="","",historico_VU!F107)</f>
        <v/>
      </c>
      <c r="G159" s="174" t="str">
        <f>IF(A159="","",historico_VU!G107)</f>
        <v/>
      </c>
      <c r="H159" s="175" t="str">
        <f>IF(A159="","",historico_VU!H107)</f>
        <v/>
      </c>
      <c r="I159" s="77"/>
      <c r="J159" s="172" t="str">
        <f>IF(itens_Remanesc!A107="","",itens_Remanesc!A107)</f>
        <v/>
      </c>
      <c r="K159" s="173" t="str">
        <f>IF(J159="","",IF($F$4="C0",itens_Remanesc!B107,IF($F$4="C1",itens_Remanesc!E107,IF($F$4="C2",itens_Remanesc!G107,IF($F$4="C3",itens_Remanesc!I107,itens_Remanesc!K107)))))</f>
        <v/>
      </c>
      <c r="L159" s="173" t="str">
        <f>IF(J159="","",IF(SUMIF(itens_Consumidos!$A$2:$A$200,J159,itens_Consumidos!$B$2:$B$200)-SUMIF(itens_Consumidos!$A$2:$A$200,J159,itens_Consumidos!$O$2:$O$200)&lt;0,0,SUMIF(itens_Consumidos!$A$2:$A$200,J159,itens_Consumidos!$B$2:$B$200)-SUMIF(itens_Consumidos!$A$2:$A$200,J159,itens_Consumidos!$O$2:$O$200)))</f>
        <v/>
      </c>
      <c r="M159" s="176" t="str">
        <f>IF(J159="","",itens_Remanesc!C107)</f>
        <v/>
      </c>
      <c r="N159" s="176" t="str">
        <f>IF(J159="","",IF($F$4="C0",historico_VU!C107,IF($F$4="C1",historico_VU!D107,IF($F$4="C2",historico_VU!E107,IF($F$4="C3",historico_VU!F107,historico_VU!G107)))))</f>
        <v/>
      </c>
      <c r="O159" s="176" t="str">
        <f>IF(J159="","",IF(CONTROLE!$B$1="Principal",IF(OR(K159="",M159=""),"",ROUND(K159*M159,2)),IF(CONTROLE!$B$1="Itens Consumidos",IF(OR(L159="",M159=""),"",ROUND(L159*M159,2)),"")))</f>
        <v/>
      </c>
      <c r="P159" s="176" t="str">
        <f>IF(J159="","",IF(CONTROLE!$B$1="Principal",IF(OR(K159="",N159=""),"",ROUND(K159*N159,2)),IF(CONTROLE!$B$1="Itens Consumidos",IF(OR(L159="",N159=""),"",ROUND(L159*N159,2)),"")))</f>
        <v/>
      </c>
      <c r="Q159" s="177" t="str">
        <f>IF(J159="","",IF(OR(M159="",AND(CONTROLE!$B$1="Principal",K159=""),AND(CONTROLE!$B$1="Itens Consumidos",L159="")),"INCOMPLETO",IF(CONTROLE!$B$1="Pedidos de Compras","MANUAL",IF(AND(ISNUMBER(K159),ISNUMBER(L159),ABS(K159-L159)/MAX(ABS(IF(CONTROLE!$B$1="Principal",K159,L159)),1)&gt;$D$4),"DIVERGENTE","OK"))))</f>
        <v/>
      </c>
    </row>
    <row r="160" spans="1:17" x14ac:dyDescent="0.35">
      <c r="A160" s="172" t="str">
        <f>IF(historico_VU!A108="","",historico_VU!A108)</f>
        <v/>
      </c>
      <c r="B160" s="173" t="str">
        <f>IF(A160="","",historico_VU!B108)</f>
        <v/>
      </c>
      <c r="C160" s="174" t="str">
        <f>IF(A160="","",historico_VU!C108)</f>
        <v/>
      </c>
      <c r="D160" s="174" t="str">
        <f>IF(A160="","",historico_VU!D108)</f>
        <v/>
      </c>
      <c r="E160" s="174" t="str">
        <f>IF(A160="","",historico_VU!E108)</f>
        <v/>
      </c>
      <c r="F160" s="174" t="str">
        <f>IF(A160="","",historico_VU!F108)</f>
        <v/>
      </c>
      <c r="G160" s="174" t="str">
        <f>IF(A160="","",historico_VU!G108)</f>
        <v/>
      </c>
      <c r="H160" s="175" t="str">
        <f>IF(A160="","",historico_VU!H108)</f>
        <v/>
      </c>
      <c r="I160" s="77"/>
      <c r="J160" s="172" t="str">
        <f>IF(itens_Remanesc!A108="","",itens_Remanesc!A108)</f>
        <v/>
      </c>
      <c r="K160" s="173" t="str">
        <f>IF(J160="","",IF($F$4="C0",itens_Remanesc!B108,IF($F$4="C1",itens_Remanesc!E108,IF($F$4="C2",itens_Remanesc!G108,IF($F$4="C3",itens_Remanesc!I108,itens_Remanesc!K108)))))</f>
        <v/>
      </c>
      <c r="L160" s="173" t="str">
        <f>IF(J160="","",IF(SUMIF(itens_Consumidos!$A$2:$A$200,J160,itens_Consumidos!$B$2:$B$200)-SUMIF(itens_Consumidos!$A$2:$A$200,J160,itens_Consumidos!$O$2:$O$200)&lt;0,0,SUMIF(itens_Consumidos!$A$2:$A$200,J160,itens_Consumidos!$B$2:$B$200)-SUMIF(itens_Consumidos!$A$2:$A$200,J160,itens_Consumidos!$O$2:$O$200)))</f>
        <v/>
      </c>
      <c r="M160" s="176" t="str">
        <f>IF(J160="","",itens_Remanesc!C108)</f>
        <v/>
      </c>
      <c r="N160" s="176" t="str">
        <f>IF(J160="","",IF($F$4="C0",historico_VU!C108,IF($F$4="C1",historico_VU!D108,IF($F$4="C2",historico_VU!E108,IF($F$4="C3",historico_VU!F108,historico_VU!G108)))))</f>
        <v/>
      </c>
      <c r="O160" s="176" t="str">
        <f>IF(J160="","",IF(CONTROLE!$B$1="Principal",IF(OR(K160="",M160=""),"",ROUND(K160*M160,2)),IF(CONTROLE!$B$1="Itens Consumidos",IF(OR(L160="",M160=""),"",ROUND(L160*M160,2)),"")))</f>
        <v/>
      </c>
      <c r="P160" s="176" t="str">
        <f>IF(J160="","",IF(CONTROLE!$B$1="Principal",IF(OR(K160="",N160=""),"",ROUND(K160*N160,2)),IF(CONTROLE!$B$1="Itens Consumidos",IF(OR(L160="",N160=""),"",ROUND(L160*N160,2)),"")))</f>
        <v/>
      </c>
      <c r="Q160" s="177" t="str">
        <f>IF(J160="","",IF(OR(M160="",AND(CONTROLE!$B$1="Principal",K160=""),AND(CONTROLE!$B$1="Itens Consumidos",L160="")),"INCOMPLETO",IF(CONTROLE!$B$1="Pedidos de Compras","MANUAL",IF(AND(ISNUMBER(K160),ISNUMBER(L160),ABS(K160-L160)/MAX(ABS(IF(CONTROLE!$B$1="Principal",K160,L160)),1)&gt;$D$4),"DIVERGENTE","OK"))))</f>
        <v/>
      </c>
    </row>
    <row r="161" spans="1:17" x14ac:dyDescent="0.35">
      <c r="A161" s="172" t="str">
        <f>IF(historico_VU!A109="","",historico_VU!A109)</f>
        <v/>
      </c>
      <c r="B161" s="173" t="str">
        <f>IF(A161="","",historico_VU!B109)</f>
        <v/>
      </c>
      <c r="C161" s="174" t="str">
        <f>IF(A161="","",historico_VU!C109)</f>
        <v/>
      </c>
      <c r="D161" s="174" t="str">
        <f>IF(A161="","",historico_VU!D109)</f>
        <v/>
      </c>
      <c r="E161" s="174" t="str">
        <f>IF(A161="","",historico_VU!E109)</f>
        <v/>
      </c>
      <c r="F161" s="174" t="str">
        <f>IF(A161="","",historico_VU!F109)</f>
        <v/>
      </c>
      <c r="G161" s="174" t="str">
        <f>IF(A161="","",historico_VU!G109)</f>
        <v/>
      </c>
      <c r="H161" s="175" t="str">
        <f>IF(A161="","",historico_VU!H109)</f>
        <v/>
      </c>
      <c r="I161" s="77"/>
      <c r="J161" s="172" t="str">
        <f>IF(itens_Remanesc!A109="","",itens_Remanesc!A109)</f>
        <v/>
      </c>
      <c r="K161" s="173" t="str">
        <f>IF(J161="","",IF($F$4="C0",itens_Remanesc!B109,IF($F$4="C1",itens_Remanesc!E109,IF($F$4="C2",itens_Remanesc!G109,IF($F$4="C3",itens_Remanesc!I109,itens_Remanesc!K109)))))</f>
        <v/>
      </c>
      <c r="L161" s="173" t="str">
        <f>IF(J161="","",IF(SUMIF(itens_Consumidos!$A$2:$A$200,J161,itens_Consumidos!$B$2:$B$200)-SUMIF(itens_Consumidos!$A$2:$A$200,J161,itens_Consumidos!$O$2:$O$200)&lt;0,0,SUMIF(itens_Consumidos!$A$2:$A$200,J161,itens_Consumidos!$B$2:$B$200)-SUMIF(itens_Consumidos!$A$2:$A$200,J161,itens_Consumidos!$O$2:$O$200)))</f>
        <v/>
      </c>
      <c r="M161" s="176" t="str">
        <f>IF(J161="","",itens_Remanesc!C109)</f>
        <v/>
      </c>
      <c r="N161" s="176" t="str">
        <f>IF(J161="","",IF($F$4="C0",historico_VU!C109,IF($F$4="C1",historico_VU!D109,IF($F$4="C2",historico_VU!E109,IF($F$4="C3",historico_VU!F109,historico_VU!G109)))))</f>
        <v/>
      </c>
      <c r="O161" s="176" t="str">
        <f>IF(J161="","",IF(CONTROLE!$B$1="Principal",IF(OR(K161="",M161=""),"",ROUND(K161*M161,2)),IF(CONTROLE!$B$1="Itens Consumidos",IF(OR(L161="",M161=""),"",ROUND(L161*M161,2)),"")))</f>
        <v/>
      </c>
      <c r="P161" s="176" t="str">
        <f>IF(J161="","",IF(CONTROLE!$B$1="Principal",IF(OR(K161="",N161=""),"",ROUND(K161*N161,2)),IF(CONTROLE!$B$1="Itens Consumidos",IF(OR(L161="",N161=""),"",ROUND(L161*N161,2)),"")))</f>
        <v/>
      </c>
      <c r="Q161" s="177" t="str">
        <f>IF(J161="","",IF(OR(M161="",AND(CONTROLE!$B$1="Principal",K161=""),AND(CONTROLE!$B$1="Itens Consumidos",L161="")),"INCOMPLETO",IF(CONTROLE!$B$1="Pedidos de Compras","MANUAL",IF(AND(ISNUMBER(K161),ISNUMBER(L161),ABS(K161-L161)/MAX(ABS(IF(CONTROLE!$B$1="Principal",K161,L161)),1)&gt;$D$4),"DIVERGENTE","OK"))))</f>
        <v/>
      </c>
    </row>
    <row r="162" spans="1:17" x14ac:dyDescent="0.35">
      <c r="A162" s="172" t="str">
        <f>IF(historico_VU!A110="","",historico_VU!A110)</f>
        <v/>
      </c>
      <c r="B162" s="173" t="str">
        <f>IF(A162="","",historico_VU!B110)</f>
        <v/>
      </c>
      <c r="C162" s="174" t="str">
        <f>IF(A162="","",historico_VU!C110)</f>
        <v/>
      </c>
      <c r="D162" s="174" t="str">
        <f>IF(A162="","",historico_VU!D110)</f>
        <v/>
      </c>
      <c r="E162" s="174" t="str">
        <f>IF(A162="","",historico_VU!E110)</f>
        <v/>
      </c>
      <c r="F162" s="174" t="str">
        <f>IF(A162="","",historico_VU!F110)</f>
        <v/>
      </c>
      <c r="G162" s="174" t="str">
        <f>IF(A162="","",historico_VU!G110)</f>
        <v/>
      </c>
      <c r="H162" s="175" t="str">
        <f>IF(A162="","",historico_VU!H110)</f>
        <v/>
      </c>
      <c r="I162" s="77"/>
      <c r="J162" s="172" t="str">
        <f>IF(itens_Remanesc!A110="","",itens_Remanesc!A110)</f>
        <v/>
      </c>
      <c r="K162" s="173" t="str">
        <f>IF(J162="","",IF($F$4="C0",itens_Remanesc!B110,IF($F$4="C1",itens_Remanesc!E110,IF($F$4="C2",itens_Remanesc!G110,IF($F$4="C3",itens_Remanesc!I110,itens_Remanesc!K110)))))</f>
        <v/>
      </c>
      <c r="L162" s="173" t="str">
        <f>IF(J162="","",IF(SUMIF(itens_Consumidos!$A$2:$A$200,J162,itens_Consumidos!$B$2:$B$200)-SUMIF(itens_Consumidos!$A$2:$A$200,J162,itens_Consumidos!$O$2:$O$200)&lt;0,0,SUMIF(itens_Consumidos!$A$2:$A$200,J162,itens_Consumidos!$B$2:$B$200)-SUMIF(itens_Consumidos!$A$2:$A$200,J162,itens_Consumidos!$O$2:$O$200)))</f>
        <v/>
      </c>
      <c r="M162" s="176" t="str">
        <f>IF(J162="","",itens_Remanesc!C110)</f>
        <v/>
      </c>
      <c r="N162" s="176" t="str">
        <f>IF(J162="","",IF($F$4="C0",historico_VU!C110,IF($F$4="C1",historico_VU!D110,IF($F$4="C2",historico_VU!E110,IF($F$4="C3",historico_VU!F110,historico_VU!G110)))))</f>
        <v/>
      </c>
      <c r="O162" s="176" t="str">
        <f>IF(J162="","",IF(CONTROLE!$B$1="Principal",IF(OR(K162="",M162=""),"",ROUND(K162*M162,2)),IF(CONTROLE!$B$1="Itens Consumidos",IF(OR(L162="",M162=""),"",ROUND(L162*M162,2)),"")))</f>
        <v/>
      </c>
      <c r="P162" s="176" t="str">
        <f>IF(J162="","",IF(CONTROLE!$B$1="Principal",IF(OR(K162="",N162=""),"",ROUND(K162*N162,2)),IF(CONTROLE!$B$1="Itens Consumidos",IF(OR(L162="",N162=""),"",ROUND(L162*N162,2)),"")))</f>
        <v/>
      </c>
      <c r="Q162" s="177" t="str">
        <f>IF(J162="","",IF(OR(M162="",AND(CONTROLE!$B$1="Principal",K162=""),AND(CONTROLE!$B$1="Itens Consumidos",L162="")),"INCOMPLETO",IF(CONTROLE!$B$1="Pedidos de Compras","MANUAL",IF(AND(ISNUMBER(K162),ISNUMBER(L162),ABS(K162-L162)/MAX(ABS(IF(CONTROLE!$B$1="Principal",K162,L162)),1)&gt;$D$4),"DIVERGENTE","OK"))))</f>
        <v/>
      </c>
    </row>
    <row r="163" spans="1:17" x14ac:dyDescent="0.35">
      <c r="A163" s="172" t="str">
        <f>IF(historico_VU!A111="","",historico_VU!A111)</f>
        <v/>
      </c>
      <c r="B163" s="173" t="str">
        <f>IF(A163="","",historico_VU!B111)</f>
        <v/>
      </c>
      <c r="C163" s="174" t="str">
        <f>IF(A163="","",historico_VU!C111)</f>
        <v/>
      </c>
      <c r="D163" s="174" t="str">
        <f>IF(A163="","",historico_VU!D111)</f>
        <v/>
      </c>
      <c r="E163" s="174" t="str">
        <f>IF(A163="","",historico_VU!E111)</f>
        <v/>
      </c>
      <c r="F163" s="174" t="str">
        <f>IF(A163="","",historico_VU!F111)</f>
        <v/>
      </c>
      <c r="G163" s="174" t="str">
        <f>IF(A163="","",historico_VU!G111)</f>
        <v/>
      </c>
      <c r="H163" s="175" t="str">
        <f>IF(A163="","",historico_VU!H111)</f>
        <v/>
      </c>
      <c r="I163" s="77"/>
      <c r="J163" s="172" t="str">
        <f>IF(itens_Remanesc!A111="","",itens_Remanesc!A111)</f>
        <v/>
      </c>
      <c r="K163" s="173" t="str">
        <f>IF(J163="","",IF($F$4="C0",itens_Remanesc!B111,IF($F$4="C1",itens_Remanesc!E111,IF($F$4="C2",itens_Remanesc!G111,IF($F$4="C3",itens_Remanesc!I111,itens_Remanesc!K111)))))</f>
        <v/>
      </c>
      <c r="L163" s="173" t="str">
        <f>IF(J163="","",IF(SUMIF(itens_Consumidos!$A$2:$A$200,J163,itens_Consumidos!$B$2:$B$200)-SUMIF(itens_Consumidos!$A$2:$A$200,J163,itens_Consumidos!$O$2:$O$200)&lt;0,0,SUMIF(itens_Consumidos!$A$2:$A$200,J163,itens_Consumidos!$B$2:$B$200)-SUMIF(itens_Consumidos!$A$2:$A$200,J163,itens_Consumidos!$O$2:$O$200)))</f>
        <v/>
      </c>
      <c r="M163" s="176" t="str">
        <f>IF(J163="","",itens_Remanesc!C111)</f>
        <v/>
      </c>
      <c r="N163" s="176" t="str">
        <f>IF(J163="","",IF($F$4="C0",historico_VU!C111,IF($F$4="C1",historico_VU!D111,IF($F$4="C2",historico_VU!E111,IF($F$4="C3",historico_VU!F111,historico_VU!G111)))))</f>
        <v/>
      </c>
      <c r="O163" s="176" t="str">
        <f>IF(J163="","",IF(CONTROLE!$B$1="Principal",IF(OR(K163="",M163=""),"",ROUND(K163*M163,2)),IF(CONTROLE!$B$1="Itens Consumidos",IF(OR(L163="",M163=""),"",ROUND(L163*M163,2)),"")))</f>
        <v/>
      </c>
      <c r="P163" s="176" t="str">
        <f>IF(J163="","",IF(CONTROLE!$B$1="Principal",IF(OR(K163="",N163=""),"",ROUND(K163*N163,2)),IF(CONTROLE!$B$1="Itens Consumidos",IF(OR(L163="",N163=""),"",ROUND(L163*N163,2)),"")))</f>
        <v/>
      </c>
      <c r="Q163" s="177" t="str">
        <f>IF(J163="","",IF(OR(M163="",AND(CONTROLE!$B$1="Principal",K163=""),AND(CONTROLE!$B$1="Itens Consumidos",L163="")),"INCOMPLETO",IF(CONTROLE!$B$1="Pedidos de Compras","MANUAL",IF(AND(ISNUMBER(K163),ISNUMBER(L163),ABS(K163-L163)/MAX(ABS(IF(CONTROLE!$B$1="Principal",K163,L163)),1)&gt;$D$4),"DIVERGENTE","OK"))))</f>
        <v/>
      </c>
    </row>
    <row r="164" spans="1:17" x14ac:dyDescent="0.35">
      <c r="A164" s="172" t="str">
        <f>IF(historico_VU!A112="","",historico_VU!A112)</f>
        <v/>
      </c>
      <c r="B164" s="173" t="str">
        <f>IF(A164="","",historico_VU!B112)</f>
        <v/>
      </c>
      <c r="C164" s="174" t="str">
        <f>IF(A164="","",historico_VU!C112)</f>
        <v/>
      </c>
      <c r="D164" s="174" t="str">
        <f>IF(A164="","",historico_VU!D112)</f>
        <v/>
      </c>
      <c r="E164" s="174" t="str">
        <f>IF(A164="","",historico_VU!E112)</f>
        <v/>
      </c>
      <c r="F164" s="174" t="str">
        <f>IF(A164="","",historico_VU!F112)</f>
        <v/>
      </c>
      <c r="G164" s="174" t="str">
        <f>IF(A164="","",historico_VU!G112)</f>
        <v/>
      </c>
      <c r="H164" s="175" t="str">
        <f>IF(A164="","",historico_VU!H112)</f>
        <v/>
      </c>
      <c r="I164" s="77"/>
      <c r="J164" s="172" t="str">
        <f>IF(itens_Remanesc!A112="","",itens_Remanesc!A112)</f>
        <v/>
      </c>
      <c r="K164" s="173" t="str">
        <f>IF(J164="","",IF($F$4="C0",itens_Remanesc!B112,IF($F$4="C1",itens_Remanesc!E112,IF($F$4="C2",itens_Remanesc!G112,IF($F$4="C3",itens_Remanesc!I112,itens_Remanesc!K112)))))</f>
        <v/>
      </c>
      <c r="L164" s="173" t="str">
        <f>IF(J164="","",IF(SUMIF(itens_Consumidos!$A$2:$A$200,J164,itens_Consumidos!$B$2:$B$200)-SUMIF(itens_Consumidos!$A$2:$A$200,J164,itens_Consumidos!$O$2:$O$200)&lt;0,0,SUMIF(itens_Consumidos!$A$2:$A$200,J164,itens_Consumidos!$B$2:$B$200)-SUMIF(itens_Consumidos!$A$2:$A$200,J164,itens_Consumidos!$O$2:$O$200)))</f>
        <v/>
      </c>
      <c r="M164" s="176" t="str">
        <f>IF(J164="","",itens_Remanesc!C112)</f>
        <v/>
      </c>
      <c r="N164" s="176" t="str">
        <f>IF(J164="","",IF($F$4="C0",historico_VU!C112,IF($F$4="C1",historico_VU!D112,IF($F$4="C2",historico_VU!E112,IF($F$4="C3",historico_VU!F112,historico_VU!G112)))))</f>
        <v/>
      </c>
      <c r="O164" s="176" t="str">
        <f>IF(J164="","",IF(CONTROLE!$B$1="Principal",IF(OR(K164="",M164=""),"",ROUND(K164*M164,2)),IF(CONTROLE!$B$1="Itens Consumidos",IF(OR(L164="",M164=""),"",ROUND(L164*M164,2)),"")))</f>
        <v/>
      </c>
      <c r="P164" s="176" t="str">
        <f>IF(J164="","",IF(CONTROLE!$B$1="Principal",IF(OR(K164="",N164=""),"",ROUND(K164*N164,2)),IF(CONTROLE!$B$1="Itens Consumidos",IF(OR(L164="",N164=""),"",ROUND(L164*N164,2)),"")))</f>
        <v/>
      </c>
      <c r="Q164" s="177" t="str">
        <f>IF(J164="","",IF(OR(M164="",AND(CONTROLE!$B$1="Principal",K164=""),AND(CONTROLE!$B$1="Itens Consumidos",L164="")),"INCOMPLETO",IF(CONTROLE!$B$1="Pedidos de Compras","MANUAL",IF(AND(ISNUMBER(K164),ISNUMBER(L164),ABS(K164-L164)/MAX(ABS(IF(CONTROLE!$B$1="Principal",K164,L164)),1)&gt;$D$4),"DIVERGENTE","OK"))))</f>
        <v/>
      </c>
    </row>
    <row r="165" spans="1:17" x14ac:dyDescent="0.35">
      <c r="A165" s="172" t="str">
        <f>IF(historico_VU!A113="","",historico_VU!A113)</f>
        <v/>
      </c>
      <c r="B165" s="173" t="str">
        <f>IF(A165="","",historico_VU!B113)</f>
        <v/>
      </c>
      <c r="C165" s="174" t="str">
        <f>IF(A165="","",historico_VU!C113)</f>
        <v/>
      </c>
      <c r="D165" s="174" t="str">
        <f>IF(A165="","",historico_VU!D113)</f>
        <v/>
      </c>
      <c r="E165" s="174" t="str">
        <f>IF(A165="","",historico_VU!E113)</f>
        <v/>
      </c>
      <c r="F165" s="174" t="str">
        <f>IF(A165="","",historico_VU!F113)</f>
        <v/>
      </c>
      <c r="G165" s="174" t="str">
        <f>IF(A165="","",historico_VU!G113)</f>
        <v/>
      </c>
      <c r="H165" s="175" t="str">
        <f>IF(A165="","",historico_VU!H113)</f>
        <v/>
      </c>
      <c r="I165" s="77"/>
      <c r="J165" s="172" t="str">
        <f>IF(itens_Remanesc!A113="","",itens_Remanesc!A113)</f>
        <v/>
      </c>
      <c r="K165" s="173" t="str">
        <f>IF(J165="","",IF($F$4="C0",itens_Remanesc!B113,IF($F$4="C1",itens_Remanesc!E113,IF($F$4="C2",itens_Remanesc!G113,IF($F$4="C3",itens_Remanesc!I113,itens_Remanesc!K113)))))</f>
        <v/>
      </c>
      <c r="L165" s="173" t="str">
        <f>IF(J165="","",IF(SUMIF(itens_Consumidos!$A$2:$A$200,J165,itens_Consumidos!$B$2:$B$200)-SUMIF(itens_Consumidos!$A$2:$A$200,J165,itens_Consumidos!$O$2:$O$200)&lt;0,0,SUMIF(itens_Consumidos!$A$2:$A$200,J165,itens_Consumidos!$B$2:$B$200)-SUMIF(itens_Consumidos!$A$2:$A$200,J165,itens_Consumidos!$O$2:$O$200)))</f>
        <v/>
      </c>
      <c r="M165" s="176" t="str">
        <f>IF(J165="","",itens_Remanesc!C113)</f>
        <v/>
      </c>
      <c r="N165" s="176" t="str">
        <f>IF(J165="","",IF($F$4="C0",historico_VU!C113,IF($F$4="C1",historico_VU!D113,IF($F$4="C2",historico_VU!E113,IF($F$4="C3",historico_VU!F113,historico_VU!G113)))))</f>
        <v/>
      </c>
      <c r="O165" s="176" t="str">
        <f>IF(J165="","",IF(CONTROLE!$B$1="Principal",IF(OR(K165="",M165=""),"",ROUND(K165*M165,2)),IF(CONTROLE!$B$1="Itens Consumidos",IF(OR(L165="",M165=""),"",ROUND(L165*M165,2)),"")))</f>
        <v/>
      </c>
      <c r="P165" s="176" t="str">
        <f>IF(J165="","",IF(CONTROLE!$B$1="Principal",IF(OR(K165="",N165=""),"",ROUND(K165*N165,2)),IF(CONTROLE!$B$1="Itens Consumidos",IF(OR(L165="",N165=""),"",ROUND(L165*N165,2)),"")))</f>
        <v/>
      </c>
      <c r="Q165" s="177" t="str">
        <f>IF(J165="","",IF(OR(M165="",AND(CONTROLE!$B$1="Principal",K165=""),AND(CONTROLE!$B$1="Itens Consumidos",L165="")),"INCOMPLETO",IF(CONTROLE!$B$1="Pedidos de Compras","MANUAL",IF(AND(ISNUMBER(K165),ISNUMBER(L165),ABS(K165-L165)/MAX(ABS(IF(CONTROLE!$B$1="Principal",K165,L165)),1)&gt;$D$4),"DIVERGENTE","OK"))))</f>
        <v/>
      </c>
    </row>
    <row r="166" spans="1:17" x14ac:dyDescent="0.35">
      <c r="A166" s="172" t="str">
        <f>IF(historico_VU!A114="","",historico_VU!A114)</f>
        <v/>
      </c>
      <c r="B166" s="173" t="str">
        <f>IF(A166="","",historico_VU!B114)</f>
        <v/>
      </c>
      <c r="C166" s="174" t="str">
        <f>IF(A166="","",historico_VU!C114)</f>
        <v/>
      </c>
      <c r="D166" s="174" t="str">
        <f>IF(A166="","",historico_VU!D114)</f>
        <v/>
      </c>
      <c r="E166" s="174" t="str">
        <f>IF(A166="","",historico_VU!E114)</f>
        <v/>
      </c>
      <c r="F166" s="174" t="str">
        <f>IF(A166="","",historico_VU!F114)</f>
        <v/>
      </c>
      <c r="G166" s="174" t="str">
        <f>IF(A166="","",historico_VU!G114)</f>
        <v/>
      </c>
      <c r="H166" s="175" t="str">
        <f>IF(A166="","",historico_VU!H114)</f>
        <v/>
      </c>
      <c r="I166" s="77"/>
      <c r="J166" s="172" t="str">
        <f>IF(itens_Remanesc!A114="","",itens_Remanesc!A114)</f>
        <v/>
      </c>
      <c r="K166" s="173" t="str">
        <f>IF(J166="","",IF($F$4="C0",itens_Remanesc!B114,IF($F$4="C1",itens_Remanesc!E114,IF($F$4="C2",itens_Remanesc!G114,IF($F$4="C3",itens_Remanesc!I114,itens_Remanesc!K114)))))</f>
        <v/>
      </c>
      <c r="L166" s="173" t="str">
        <f>IF(J166="","",IF(SUMIF(itens_Consumidos!$A$2:$A$200,J166,itens_Consumidos!$B$2:$B$200)-SUMIF(itens_Consumidos!$A$2:$A$200,J166,itens_Consumidos!$O$2:$O$200)&lt;0,0,SUMIF(itens_Consumidos!$A$2:$A$200,J166,itens_Consumidos!$B$2:$B$200)-SUMIF(itens_Consumidos!$A$2:$A$200,J166,itens_Consumidos!$O$2:$O$200)))</f>
        <v/>
      </c>
      <c r="M166" s="176" t="str">
        <f>IF(J166="","",itens_Remanesc!C114)</f>
        <v/>
      </c>
      <c r="N166" s="176" t="str">
        <f>IF(J166="","",IF($F$4="C0",historico_VU!C114,IF($F$4="C1",historico_VU!D114,IF($F$4="C2",historico_VU!E114,IF($F$4="C3",historico_VU!F114,historico_VU!G114)))))</f>
        <v/>
      </c>
      <c r="O166" s="176" t="str">
        <f>IF(J166="","",IF(CONTROLE!$B$1="Principal",IF(OR(K166="",M166=""),"",ROUND(K166*M166,2)),IF(CONTROLE!$B$1="Itens Consumidos",IF(OR(L166="",M166=""),"",ROUND(L166*M166,2)),"")))</f>
        <v/>
      </c>
      <c r="P166" s="176" t="str">
        <f>IF(J166="","",IF(CONTROLE!$B$1="Principal",IF(OR(K166="",N166=""),"",ROUND(K166*N166,2)),IF(CONTROLE!$B$1="Itens Consumidos",IF(OR(L166="",N166=""),"",ROUND(L166*N166,2)),"")))</f>
        <v/>
      </c>
      <c r="Q166" s="177" t="str">
        <f>IF(J166="","",IF(OR(M166="",AND(CONTROLE!$B$1="Principal",K166=""),AND(CONTROLE!$B$1="Itens Consumidos",L166="")),"INCOMPLETO",IF(CONTROLE!$B$1="Pedidos de Compras","MANUAL",IF(AND(ISNUMBER(K166),ISNUMBER(L166),ABS(K166-L166)/MAX(ABS(IF(CONTROLE!$B$1="Principal",K166,L166)),1)&gt;$D$4),"DIVERGENTE","OK"))))</f>
        <v/>
      </c>
    </row>
    <row r="167" spans="1:17" x14ac:dyDescent="0.35">
      <c r="A167" s="172" t="str">
        <f>IF(historico_VU!A115="","",historico_VU!A115)</f>
        <v/>
      </c>
      <c r="B167" s="173" t="str">
        <f>IF(A167="","",historico_VU!B115)</f>
        <v/>
      </c>
      <c r="C167" s="174" t="str">
        <f>IF(A167="","",historico_VU!C115)</f>
        <v/>
      </c>
      <c r="D167" s="174" t="str">
        <f>IF(A167="","",historico_VU!D115)</f>
        <v/>
      </c>
      <c r="E167" s="174" t="str">
        <f>IF(A167="","",historico_VU!E115)</f>
        <v/>
      </c>
      <c r="F167" s="174" t="str">
        <f>IF(A167="","",historico_VU!F115)</f>
        <v/>
      </c>
      <c r="G167" s="174" t="str">
        <f>IF(A167="","",historico_VU!G115)</f>
        <v/>
      </c>
      <c r="H167" s="175" t="str">
        <f>IF(A167="","",historico_VU!H115)</f>
        <v/>
      </c>
      <c r="I167" s="77"/>
      <c r="J167" s="172" t="str">
        <f>IF(itens_Remanesc!A115="","",itens_Remanesc!A115)</f>
        <v/>
      </c>
      <c r="K167" s="173" t="str">
        <f>IF(J167="","",IF($F$4="C0",itens_Remanesc!B115,IF($F$4="C1",itens_Remanesc!E115,IF($F$4="C2",itens_Remanesc!G115,IF($F$4="C3",itens_Remanesc!I115,itens_Remanesc!K115)))))</f>
        <v/>
      </c>
      <c r="L167" s="173" t="str">
        <f>IF(J167="","",IF(SUMIF(itens_Consumidos!$A$2:$A$200,J167,itens_Consumidos!$B$2:$B$200)-SUMIF(itens_Consumidos!$A$2:$A$200,J167,itens_Consumidos!$O$2:$O$200)&lt;0,0,SUMIF(itens_Consumidos!$A$2:$A$200,J167,itens_Consumidos!$B$2:$B$200)-SUMIF(itens_Consumidos!$A$2:$A$200,J167,itens_Consumidos!$O$2:$O$200)))</f>
        <v/>
      </c>
      <c r="M167" s="176" t="str">
        <f>IF(J167="","",itens_Remanesc!C115)</f>
        <v/>
      </c>
      <c r="N167" s="176" t="str">
        <f>IF(J167="","",IF($F$4="C0",historico_VU!C115,IF($F$4="C1",historico_VU!D115,IF($F$4="C2",historico_VU!E115,IF($F$4="C3",historico_VU!F115,historico_VU!G115)))))</f>
        <v/>
      </c>
      <c r="O167" s="176" t="str">
        <f>IF(J167="","",IF(CONTROLE!$B$1="Principal",IF(OR(K167="",M167=""),"",ROUND(K167*M167,2)),IF(CONTROLE!$B$1="Itens Consumidos",IF(OR(L167="",M167=""),"",ROUND(L167*M167,2)),"")))</f>
        <v/>
      </c>
      <c r="P167" s="176" t="str">
        <f>IF(J167="","",IF(CONTROLE!$B$1="Principal",IF(OR(K167="",N167=""),"",ROUND(K167*N167,2)),IF(CONTROLE!$B$1="Itens Consumidos",IF(OR(L167="",N167=""),"",ROUND(L167*N167,2)),"")))</f>
        <v/>
      </c>
      <c r="Q167" s="177" t="str">
        <f>IF(J167="","",IF(OR(M167="",AND(CONTROLE!$B$1="Principal",K167=""),AND(CONTROLE!$B$1="Itens Consumidos",L167="")),"INCOMPLETO",IF(CONTROLE!$B$1="Pedidos de Compras","MANUAL",IF(AND(ISNUMBER(K167),ISNUMBER(L167),ABS(K167-L167)/MAX(ABS(IF(CONTROLE!$B$1="Principal",K167,L167)),1)&gt;$D$4),"DIVERGENTE","OK"))))</f>
        <v/>
      </c>
    </row>
    <row r="168" spans="1:17" x14ac:dyDescent="0.35">
      <c r="A168" s="172" t="str">
        <f>IF(historico_VU!A116="","",historico_VU!A116)</f>
        <v/>
      </c>
      <c r="B168" s="173" t="str">
        <f>IF(A168="","",historico_VU!B116)</f>
        <v/>
      </c>
      <c r="C168" s="174" t="str">
        <f>IF(A168="","",historico_VU!C116)</f>
        <v/>
      </c>
      <c r="D168" s="174" t="str">
        <f>IF(A168="","",historico_VU!D116)</f>
        <v/>
      </c>
      <c r="E168" s="174" t="str">
        <f>IF(A168="","",historico_VU!E116)</f>
        <v/>
      </c>
      <c r="F168" s="174" t="str">
        <f>IF(A168="","",historico_VU!F116)</f>
        <v/>
      </c>
      <c r="G168" s="174" t="str">
        <f>IF(A168="","",historico_VU!G116)</f>
        <v/>
      </c>
      <c r="H168" s="175" t="str">
        <f>IF(A168="","",historico_VU!H116)</f>
        <v/>
      </c>
      <c r="I168" s="77"/>
      <c r="J168" s="172" t="str">
        <f>IF(itens_Remanesc!A116="","",itens_Remanesc!A116)</f>
        <v/>
      </c>
      <c r="K168" s="173" t="str">
        <f>IF(J168="","",IF($F$4="C0",itens_Remanesc!B116,IF($F$4="C1",itens_Remanesc!E116,IF($F$4="C2",itens_Remanesc!G116,IF($F$4="C3",itens_Remanesc!I116,itens_Remanesc!K116)))))</f>
        <v/>
      </c>
      <c r="L168" s="173" t="str">
        <f>IF(J168="","",IF(SUMIF(itens_Consumidos!$A$2:$A$200,J168,itens_Consumidos!$B$2:$B$200)-SUMIF(itens_Consumidos!$A$2:$A$200,J168,itens_Consumidos!$O$2:$O$200)&lt;0,0,SUMIF(itens_Consumidos!$A$2:$A$200,J168,itens_Consumidos!$B$2:$B$200)-SUMIF(itens_Consumidos!$A$2:$A$200,J168,itens_Consumidos!$O$2:$O$200)))</f>
        <v/>
      </c>
      <c r="M168" s="176" t="str">
        <f>IF(J168="","",itens_Remanesc!C116)</f>
        <v/>
      </c>
      <c r="N168" s="176" t="str">
        <f>IF(J168="","",IF($F$4="C0",historico_VU!C116,IF($F$4="C1",historico_VU!D116,IF($F$4="C2",historico_VU!E116,IF($F$4="C3",historico_VU!F116,historico_VU!G116)))))</f>
        <v/>
      </c>
      <c r="O168" s="176" t="str">
        <f>IF(J168="","",IF(CONTROLE!$B$1="Principal",IF(OR(K168="",M168=""),"",ROUND(K168*M168,2)),IF(CONTROLE!$B$1="Itens Consumidos",IF(OR(L168="",M168=""),"",ROUND(L168*M168,2)),"")))</f>
        <v/>
      </c>
      <c r="P168" s="176" t="str">
        <f>IF(J168="","",IF(CONTROLE!$B$1="Principal",IF(OR(K168="",N168=""),"",ROUND(K168*N168,2)),IF(CONTROLE!$B$1="Itens Consumidos",IF(OR(L168="",N168=""),"",ROUND(L168*N168,2)),"")))</f>
        <v/>
      </c>
      <c r="Q168" s="177" t="str">
        <f>IF(J168="","",IF(OR(M168="",AND(CONTROLE!$B$1="Principal",K168=""),AND(CONTROLE!$B$1="Itens Consumidos",L168="")),"INCOMPLETO",IF(CONTROLE!$B$1="Pedidos de Compras","MANUAL",IF(AND(ISNUMBER(K168),ISNUMBER(L168),ABS(K168-L168)/MAX(ABS(IF(CONTROLE!$B$1="Principal",K168,L168)),1)&gt;$D$4),"DIVERGENTE","OK"))))</f>
        <v/>
      </c>
    </row>
    <row r="169" spans="1:17" x14ac:dyDescent="0.35">
      <c r="A169" s="172" t="str">
        <f>IF(historico_VU!A117="","",historico_VU!A117)</f>
        <v/>
      </c>
      <c r="B169" s="173" t="str">
        <f>IF(A169="","",historico_VU!B117)</f>
        <v/>
      </c>
      <c r="C169" s="174" t="str">
        <f>IF(A169="","",historico_VU!C117)</f>
        <v/>
      </c>
      <c r="D169" s="174" t="str">
        <f>IF(A169="","",historico_VU!D117)</f>
        <v/>
      </c>
      <c r="E169" s="174" t="str">
        <f>IF(A169="","",historico_VU!E117)</f>
        <v/>
      </c>
      <c r="F169" s="174" t="str">
        <f>IF(A169="","",historico_VU!F117)</f>
        <v/>
      </c>
      <c r="G169" s="174" t="str">
        <f>IF(A169="","",historico_VU!G117)</f>
        <v/>
      </c>
      <c r="H169" s="175" t="str">
        <f>IF(A169="","",historico_VU!H117)</f>
        <v/>
      </c>
      <c r="I169" s="77"/>
      <c r="J169" s="172" t="str">
        <f>IF(itens_Remanesc!A117="","",itens_Remanesc!A117)</f>
        <v/>
      </c>
      <c r="K169" s="173" t="str">
        <f>IF(J169="","",IF($F$4="C0",itens_Remanesc!B117,IF($F$4="C1",itens_Remanesc!E117,IF($F$4="C2",itens_Remanesc!G117,IF($F$4="C3",itens_Remanesc!I117,itens_Remanesc!K117)))))</f>
        <v/>
      </c>
      <c r="L169" s="173" t="str">
        <f>IF(J169="","",IF(SUMIF(itens_Consumidos!$A$2:$A$200,J169,itens_Consumidos!$B$2:$B$200)-SUMIF(itens_Consumidos!$A$2:$A$200,J169,itens_Consumidos!$O$2:$O$200)&lt;0,0,SUMIF(itens_Consumidos!$A$2:$A$200,J169,itens_Consumidos!$B$2:$B$200)-SUMIF(itens_Consumidos!$A$2:$A$200,J169,itens_Consumidos!$O$2:$O$200)))</f>
        <v/>
      </c>
      <c r="M169" s="176" t="str">
        <f>IF(J169="","",itens_Remanesc!C117)</f>
        <v/>
      </c>
      <c r="N169" s="176" t="str">
        <f>IF(J169="","",IF($F$4="C0",historico_VU!C117,IF($F$4="C1",historico_VU!D117,IF($F$4="C2",historico_VU!E117,IF($F$4="C3",historico_VU!F117,historico_VU!G117)))))</f>
        <v/>
      </c>
      <c r="O169" s="176" t="str">
        <f>IF(J169="","",IF(CONTROLE!$B$1="Principal",IF(OR(K169="",M169=""),"",ROUND(K169*M169,2)),IF(CONTROLE!$B$1="Itens Consumidos",IF(OR(L169="",M169=""),"",ROUND(L169*M169,2)),"")))</f>
        <v/>
      </c>
      <c r="P169" s="176" t="str">
        <f>IF(J169="","",IF(CONTROLE!$B$1="Principal",IF(OR(K169="",N169=""),"",ROUND(K169*N169,2)),IF(CONTROLE!$B$1="Itens Consumidos",IF(OR(L169="",N169=""),"",ROUND(L169*N169,2)),"")))</f>
        <v/>
      </c>
      <c r="Q169" s="177" t="str">
        <f>IF(J169="","",IF(OR(M169="",AND(CONTROLE!$B$1="Principal",K169=""),AND(CONTROLE!$B$1="Itens Consumidos",L169="")),"INCOMPLETO",IF(CONTROLE!$B$1="Pedidos de Compras","MANUAL",IF(AND(ISNUMBER(K169),ISNUMBER(L169),ABS(K169-L169)/MAX(ABS(IF(CONTROLE!$B$1="Principal",K169,L169)),1)&gt;$D$4),"DIVERGENTE","OK"))))</f>
        <v/>
      </c>
    </row>
    <row r="170" spans="1:17" x14ac:dyDescent="0.35">
      <c r="A170" s="172" t="str">
        <f>IF(historico_VU!A118="","",historico_VU!A118)</f>
        <v/>
      </c>
      <c r="B170" s="173" t="str">
        <f>IF(A170="","",historico_VU!B118)</f>
        <v/>
      </c>
      <c r="C170" s="174" t="str">
        <f>IF(A170="","",historico_VU!C118)</f>
        <v/>
      </c>
      <c r="D170" s="174" t="str">
        <f>IF(A170="","",historico_VU!D118)</f>
        <v/>
      </c>
      <c r="E170" s="174" t="str">
        <f>IF(A170="","",historico_VU!E118)</f>
        <v/>
      </c>
      <c r="F170" s="174" t="str">
        <f>IF(A170="","",historico_VU!F118)</f>
        <v/>
      </c>
      <c r="G170" s="174" t="str">
        <f>IF(A170="","",historico_VU!G118)</f>
        <v/>
      </c>
      <c r="H170" s="175" t="str">
        <f>IF(A170="","",historico_VU!H118)</f>
        <v/>
      </c>
      <c r="I170" s="77"/>
      <c r="J170" s="172" t="str">
        <f>IF(itens_Remanesc!A118="","",itens_Remanesc!A118)</f>
        <v/>
      </c>
      <c r="K170" s="173" t="str">
        <f>IF(J170="","",IF($F$4="C0",itens_Remanesc!B118,IF($F$4="C1",itens_Remanesc!E118,IF($F$4="C2",itens_Remanesc!G118,IF($F$4="C3",itens_Remanesc!I118,itens_Remanesc!K118)))))</f>
        <v/>
      </c>
      <c r="L170" s="173" t="str">
        <f>IF(J170="","",IF(SUMIF(itens_Consumidos!$A$2:$A$200,J170,itens_Consumidos!$B$2:$B$200)-SUMIF(itens_Consumidos!$A$2:$A$200,J170,itens_Consumidos!$O$2:$O$200)&lt;0,0,SUMIF(itens_Consumidos!$A$2:$A$200,J170,itens_Consumidos!$B$2:$B$200)-SUMIF(itens_Consumidos!$A$2:$A$200,J170,itens_Consumidos!$O$2:$O$200)))</f>
        <v/>
      </c>
      <c r="M170" s="176" t="str">
        <f>IF(J170="","",itens_Remanesc!C118)</f>
        <v/>
      </c>
      <c r="N170" s="176" t="str">
        <f>IF(J170="","",IF($F$4="C0",historico_VU!C118,IF($F$4="C1",historico_VU!D118,IF($F$4="C2",historico_VU!E118,IF($F$4="C3",historico_VU!F118,historico_VU!G118)))))</f>
        <v/>
      </c>
      <c r="O170" s="176" t="str">
        <f>IF(J170="","",IF(CONTROLE!$B$1="Principal",IF(OR(K170="",M170=""),"",ROUND(K170*M170,2)),IF(CONTROLE!$B$1="Itens Consumidos",IF(OR(L170="",M170=""),"",ROUND(L170*M170,2)),"")))</f>
        <v/>
      </c>
      <c r="P170" s="176" t="str">
        <f>IF(J170="","",IF(CONTROLE!$B$1="Principal",IF(OR(K170="",N170=""),"",ROUND(K170*N170,2)),IF(CONTROLE!$B$1="Itens Consumidos",IF(OR(L170="",N170=""),"",ROUND(L170*N170,2)),"")))</f>
        <v/>
      </c>
      <c r="Q170" s="177" t="str">
        <f>IF(J170="","",IF(OR(M170="",AND(CONTROLE!$B$1="Principal",K170=""),AND(CONTROLE!$B$1="Itens Consumidos",L170="")),"INCOMPLETO",IF(CONTROLE!$B$1="Pedidos de Compras","MANUAL",IF(AND(ISNUMBER(K170),ISNUMBER(L170),ABS(K170-L170)/MAX(ABS(IF(CONTROLE!$B$1="Principal",K170,L170)),1)&gt;$D$4),"DIVERGENTE","OK"))))</f>
        <v/>
      </c>
    </row>
    <row r="171" spans="1:17" x14ac:dyDescent="0.35">
      <c r="A171" s="172" t="str">
        <f>IF(historico_VU!A119="","",historico_VU!A119)</f>
        <v/>
      </c>
      <c r="B171" s="173" t="str">
        <f>IF(A171="","",historico_VU!B119)</f>
        <v/>
      </c>
      <c r="C171" s="174" t="str">
        <f>IF(A171="","",historico_VU!C119)</f>
        <v/>
      </c>
      <c r="D171" s="174" t="str">
        <f>IF(A171="","",historico_VU!D119)</f>
        <v/>
      </c>
      <c r="E171" s="174" t="str">
        <f>IF(A171="","",historico_VU!E119)</f>
        <v/>
      </c>
      <c r="F171" s="174" t="str">
        <f>IF(A171="","",historico_VU!F119)</f>
        <v/>
      </c>
      <c r="G171" s="174" t="str">
        <f>IF(A171="","",historico_VU!G119)</f>
        <v/>
      </c>
      <c r="H171" s="175" t="str">
        <f>IF(A171="","",historico_VU!H119)</f>
        <v/>
      </c>
      <c r="I171" s="77"/>
      <c r="J171" s="172" t="str">
        <f>IF(itens_Remanesc!A119="","",itens_Remanesc!A119)</f>
        <v/>
      </c>
      <c r="K171" s="173" t="str">
        <f>IF(J171="","",IF($F$4="C0",itens_Remanesc!B119,IF($F$4="C1",itens_Remanesc!E119,IF($F$4="C2",itens_Remanesc!G119,IF($F$4="C3",itens_Remanesc!I119,itens_Remanesc!K119)))))</f>
        <v/>
      </c>
      <c r="L171" s="173" t="str">
        <f>IF(J171="","",IF(SUMIF(itens_Consumidos!$A$2:$A$200,J171,itens_Consumidos!$B$2:$B$200)-SUMIF(itens_Consumidos!$A$2:$A$200,J171,itens_Consumidos!$O$2:$O$200)&lt;0,0,SUMIF(itens_Consumidos!$A$2:$A$200,J171,itens_Consumidos!$B$2:$B$200)-SUMIF(itens_Consumidos!$A$2:$A$200,J171,itens_Consumidos!$O$2:$O$200)))</f>
        <v/>
      </c>
      <c r="M171" s="176" t="str">
        <f>IF(J171="","",itens_Remanesc!C119)</f>
        <v/>
      </c>
      <c r="N171" s="176" t="str">
        <f>IF(J171="","",IF($F$4="C0",historico_VU!C119,IF($F$4="C1",historico_VU!D119,IF($F$4="C2",historico_VU!E119,IF($F$4="C3",historico_VU!F119,historico_VU!G119)))))</f>
        <v/>
      </c>
      <c r="O171" s="176" t="str">
        <f>IF(J171="","",IF(CONTROLE!$B$1="Principal",IF(OR(K171="",M171=""),"",ROUND(K171*M171,2)),IF(CONTROLE!$B$1="Itens Consumidos",IF(OR(L171="",M171=""),"",ROUND(L171*M171,2)),"")))</f>
        <v/>
      </c>
      <c r="P171" s="176" t="str">
        <f>IF(J171="","",IF(CONTROLE!$B$1="Principal",IF(OR(K171="",N171=""),"",ROUND(K171*N171,2)),IF(CONTROLE!$B$1="Itens Consumidos",IF(OR(L171="",N171=""),"",ROUND(L171*N171,2)),"")))</f>
        <v/>
      </c>
      <c r="Q171" s="177" t="str">
        <f>IF(J171="","",IF(OR(M171="",AND(CONTROLE!$B$1="Principal",K171=""),AND(CONTROLE!$B$1="Itens Consumidos",L171="")),"INCOMPLETO",IF(CONTROLE!$B$1="Pedidos de Compras","MANUAL",IF(AND(ISNUMBER(K171),ISNUMBER(L171),ABS(K171-L171)/MAX(ABS(IF(CONTROLE!$B$1="Principal",K171,L171)),1)&gt;$D$4),"DIVERGENTE","OK"))))</f>
        <v/>
      </c>
    </row>
    <row r="172" spans="1:17" x14ac:dyDescent="0.35">
      <c r="A172" s="172" t="str">
        <f>IF(historico_VU!A120="","",historico_VU!A120)</f>
        <v/>
      </c>
      <c r="B172" s="173" t="str">
        <f>IF(A172="","",historico_VU!B120)</f>
        <v/>
      </c>
      <c r="C172" s="174" t="str">
        <f>IF(A172="","",historico_VU!C120)</f>
        <v/>
      </c>
      <c r="D172" s="174" t="str">
        <f>IF(A172="","",historico_VU!D120)</f>
        <v/>
      </c>
      <c r="E172" s="174" t="str">
        <f>IF(A172="","",historico_VU!E120)</f>
        <v/>
      </c>
      <c r="F172" s="174" t="str">
        <f>IF(A172="","",historico_VU!F120)</f>
        <v/>
      </c>
      <c r="G172" s="174" t="str">
        <f>IF(A172="","",historico_VU!G120)</f>
        <v/>
      </c>
      <c r="H172" s="175" t="str">
        <f>IF(A172="","",historico_VU!H120)</f>
        <v/>
      </c>
      <c r="I172" s="77"/>
      <c r="J172" s="172" t="str">
        <f>IF(itens_Remanesc!A120="","",itens_Remanesc!A120)</f>
        <v/>
      </c>
      <c r="K172" s="173" t="str">
        <f>IF(J172="","",IF($F$4="C0",itens_Remanesc!B120,IF($F$4="C1",itens_Remanesc!E120,IF($F$4="C2",itens_Remanesc!G120,IF($F$4="C3",itens_Remanesc!I120,itens_Remanesc!K120)))))</f>
        <v/>
      </c>
      <c r="L172" s="173" t="str">
        <f>IF(J172="","",IF(SUMIF(itens_Consumidos!$A$2:$A$200,J172,itens_Consumidos!$B$2:$B$200)-SUMIF(itens_Consumidos!$A$2:$A$200,J172,itens_Consumidos!$O$2:$O$200)&lt;0,0,SUMIF(itens_Consumidos!$A$2:$A$200,J172,itens_Consumidos!$B$2:$B$200)-SUMIF(itens_Consumidos!$A$2:$A$200,J172,itens_Consumidos!$O$2:$O$200)))</f>
        <v/>
      </c>
      <c r="M172" s="176" t="str">
        <f>IF(J172="","",itens_Remanesc!C120)</f>
        <v/>
      </c>
      <c r="N172" s="176" t="str">
        <f>IF(J172="","",IF($F$4="C0",historico_VU!C120,IF($F$4="C1",historico_VU!D120,IF($F$4="C2",historico_VU!E120,IF($F$4="C3",historico_VU!F120,historico_VU!G120)))))</f>
        <v/>
      </c>
      <c r="O172" s="176" t="str">
        <f>IF(J172="","",IF(CONTROLE!$B$1="Principal",IF(OR(K172="",M172=""),"",ROUND(K172*M172,2)),IF(CONTROLE!$B$1="Itens Consumidos",IF(OR(L172="",M172=""),"",ROUND(L172*M172,2)),"")))</f>
        <v/>
      </c>
      <c r="P172" s="176" t="str">
        <f>IF(J172="","",IF(CONTROLE!$B$1="Principal",IF(OR(K172="",N172=""),"",ROUND(K172*N172,2)),IF(CONTROLE!$B$1="Itens Consumidos",IF(OR(L172="",N172=""),"",ROUND(L172*N172,2)),"")))</f>
        <v/>
      </c>
      <c r="Q172" s="177" t="str">
        <f>IF(J172="","",IF(OR(M172="",AND(CONTROLE!$B$1="Principal",K172=""),AND(CONTROLE!$B$1="Itens Consumidos",L172="")),"INCOMPLETO",IF(CONTROLE!$B$1="Pedidos de Compras","MANUAL",IF(AND(ISNUMBER(K172),ISNUMBER(L172),ABS(K172-L172)/MAX(ABS(IF(CONTROLE!$B$1="Principal",K172,L172)),1)&gt;$D$4),"DIVERGENTE","OK"))))</f>
        <v/>
      </c>
    </row>
    <row r="173" spans="1:17" x14ac:dyDescent="0.35">
      <c r="A173" s="172" t="str">
        <f>IF(historico_VU!A121="","",historico_VU!A121)</f>
        <v/>
      </c>
      <c r="B173" s="173" t="str">
        <f>IF(A173="","",historico_VU!B121)</f>
        <v/>
      </c>
      <c r="C173" s="174" t="str">
        <f>IF(A173="","",historico_VU!C121)</f>
        <v/>
      </c>
      <c r="D173" s="174" t="str">
        <f>IF(A173="","",historico_VU!D121)</f>
        <v/>
      </c>
      <c r="E173" s="174" t="str">
        <f>IF(A173="","",historico_VU!E121)</f>
        <v/>
      </c>
      <c r="F173" s="174" t="str">
        <f>IF(A173="","",historico_VU!F121)</f>
        <v/>
      </c>
      <c r="G173" s="174" t="str">
        <f>IF(A173="","",historico_VU!G121)</f>
        <v/>
      </c>
      <c r="H173" s="175" t="str">
        <f>IF(A173="","",historico_VU!H121)</f>
        <v/>
      </c>
      <c r="I173" s="77"/>
      <c r="J173" s="172" t="str">
        <f>IF(itens_Remanesc!A121="","",itens_Remanesc!A121)</f>
        <v/>
      </c>
      <c r="K173" s="173" t="str">
        <f>IF(J173="","",IF($F$4="C0",itens_Remanesc!B121,IF($F$4="C1",itens_Remanesc!E121,IF($F$4="C2",itens_Remanesc!G121,IF($F$4="C3",itens_Remanesc!I121,itens_Remanesc!K121)))))</f>
        <v/>
      </c>
      <c r="L173" s="173" t="str">
        <f>IF(J173="","",IF(SUMIF(itens_Consumidos!$A$2:$A$200,J173,itens_Consumidos!$B$2:$B$200)-SUMIF(itens_Consumidos!$A$2:$A$200,J173,itens_Consumidos!$O$2:$O$200)&lt;0,0,SUMIF(itens_Consumidos!$A$2:$A$200,J173,itens_Consumidos!$B$2:$B$200)-SUMIF(itens_Consumidos!$A$2:$A$200,J173,itens_Consumidos!$O$2:$O$200)))</f>
        <v/>
      </c>
      <c r="M173" s="176" t="str">
        <f>IF(J173="","",itens_Remanesc!C121)</f>
        <v/>
      </c>
      <c r="N173" s="176" t="str">
        <f>IF(J173="","",IF($F$4="C0",historico_VU!C121,IF($F$4="C1",historico_VU!D121,IF($F$4="C2",historico_VU!E121,IF($F$4="C3",historico_VU!F121,historico_VU!G121)))))</f>
        <v/>
      </c>
      <c r="O173" s="176" t="str">
        <f>IF(J173="","",IF(CONTROLE!$B$1="Principal",IF(OR(K173="",M173=""),"",ROUND(K173*M173,2)),IF(CONTROLE!$B$1="Itens Consumidos",IF(OR(L173="",M173=""),"",ROUND(L173*M173,2)),"")))</f>
        <v/>
      </c>
      <c r="P173" s="176" t="str">
        <f>IF(J173="","",IF(CONTROLE!$B$1="Principal",IF(OR(K173="",N173=""),"",ROUND(K173*N173,2)),IF(CONTROLE!$B$1="Itens Consumidos",IF(OR(L173="",N173=""),"",ROUND(L173*N173,2)),"")))</f>
        <v/>
      </c>
      <c r="Q173" s="177" t="str">
        <f>IF(J173="","",IF(OR(M173="",AND(CONTROLE!$B$1="Principal",K173=""),AND(CONTROLE!$B$1="Itens Consumidos",L173="")),"INCOMPLETO",IF(CONTROLE!$B$1="Pedidos de Compras","MANUAL",IF(AND(ISNUMBER(K173),ISNUMBER(L173),ABS(K173-L173)/MAX(ABS(IF(CONTROLE!$B$1="Principal",K173,L173)),1)&gt;$D$4),"DIVERGENTE","OK"))))</f>
        <v/>
      </c>
    </row>
    <row r="174" spans="1:17" x14ac:dyDescent="0.35">
      <c r="A174" s="172" t="str">
        <f>IF(historico_VU!A122="","",historico_VU!A122)</f>
        <v/>
      </c>
      <c r="B174" s="173" t="str">
        <f>IF(A174="","",historico_VU!B122)</f>
        <v/>
      </c>
      <c r="C174" s="174" t="str">
        <f>IF(A174="","",historico_VU!C122)</f>
        <v/>
      </c>
      <c r="D174" s="174" t="str">
        <f>IF(A174="","",historico_VU!D122)</f>
        <v/>
      </c>
      <c r="E174" s="174" t="str">
        <f>IF(A174="","",historico_VU!E122)</f>
        <v/>
      </c>
      <c r="F174" s="174" t="str">
        <f>IF(A174="","",historico_VU!F122)</f>
        <v/>
      </c>
      <c r="G174" s="174" t="str">
        <f>IF(A174="","",historico_VU!G122)</f>
        <v/>
      </c>
      <c r="H174" s="175" t="str">
        <f>IF(A174="","",historico_VU!H122)</f>
        <v/>
      </c>
      <c r="I174" s="77"/>
      <c r="J174" s="172" t="str">
        <f>IF(itens_Remanesc!A122="","",itens_Remanesc!A122)</f>
        <v/>
      </c>
      <c r="K174" s="173" t="str">
        <f>IF(J174="","",IF($F$4="C0",itens_Remanesc!B122,IF($F$4="C1",itens_Remanesc!E122,IF($F$4="C2",itens_Remanesc!G122,IF($F$4="C3",itens_Remanesc!I122,itens_Remanesc!K122)))))</f>
        <v/>
      </c>
      <c r="L174" s="173" t="str">
        <f>IF(J174="","",IF(SUMIF(itens_Consumidos!$A$2:$A$200,J174,itens_Consumidos!$B$2:$B$200)-SUMIF(itens_Consumidos!$A$2:$A$200,J174,itens_Consumidos!$O$2:$O$200)&lt;0,0,SUMIF(itens_Consumidos!$A$2:$A$200,J174,itens_Consumidos!$B$2:$B$200)-SUMIF(itens_Consumidos!$A$2:$A$200,J174,itens_Consumidos!$O$2:$O$200)))</f>
        <v/>
      </c>
      <c r="M174" s="176" t="str">
        <f>IF(J174="","",itens_Remanesc!C122)</f>
        <v/>
      </c>
      <c r="N174" s="176" t="str">
        <f>IF(J174="","",IF($F$4="C0",historico_VU!C122,IF($F$4="C1",historico_VU!D122,IF($F$4="C2",historico_VU!E122,IF($F$4="C3",historico_VU!F122,historico_VU!G122)))))</f>
        <v/>
      </c>
      <c r="O174" s="176" t="str">
        <f>IF(J174="","",IF(CONTROLE!$B$1="Principal",IF(OR(K174="",M174=""),"",ROUND(K174*M174,2)),IF(CONTROLE!$B$1="Itens Consumidos",IF(OR(L174="",M174=""),"",ROUND(L174*M174,2)),"")))</f>
        <v/>
      </c>
      <c r="P174" s="176" t="str">
        <f>IF(J174="","",IF(CONTROLE!$B$1="Principal",IF(OR(K174="",N174=""),"",ROUND(K174*N174,2)),IF(CONTROLE!$B$1="Itens Consumidos",IF(OR(L174="",N174=""),"",ROUND(L174*N174,2)),"")))</f>
        <v/>
      </c>
      <c r="Q174" s="177" t="str">
        <f>IF(J174="","",IF(OR(M174="",AND(CONTROLE!$B$1="Principal",K174=""),AND(CONTROLE!$B$1="Itens Consumidos",L174="")),"INCOMPLETO",IF(CONTROLE!$B$1="Pedidos de Compras","MANUAL",IF(AND(ISNUMBER(K174),ISNUMBER(L174),ABS(K174-L174)/MAX(ABS(IF(CONTROLE!$B$1="Principal",K174,L174)),1)&gt;$D$4),"DIVERGENTE","OK"))))</f>
        <v/>
      </c>
    </row>
    <row r="175" spans="1:17" x14ac:dyDescent="0.35">
      <c r="A175" s="172" t="str">
        <f>IF(historico_VU!A123="","",historico_VU!A123)</f>
        <v/>
      </c>
      <c r="B175" s="173" t="str">
        <f>IF(A175="","",historico_VU!B123)</f>
        <v/>
      </c>
      <c r="C175" s="174" t="str">
        <f>IF(A175="","",historico_VU!C123)</f>
        <v/>
      </c>
      <c r="D175" s="174" t="str">
        <f>IF(A175="","",historico_VU!D123)</f>
        <v/>
      </c>
      <c r="E175" s="174" t="str">
        <f>IF(A175="","",historico_VU!E123)</f>
        <v/>
      </c>
      <c r="F175" s="174" t="str">
        <f>IF(A175="","",historico_VU!F123)</f>
        <v/>
      </c>
      <c r="G175" s="174" t="str">
        <f>IF(A175="","",historico_VU!G123)</f>
        <v/>
      </c>
      <c r="H175" s="175" t="str">
        <f>IF(A175="","",historico_VU!H123)</f>
        <v/>
      </c>
      <c r="I175" s="77"/>
      <c r="J175" s="172" t="str">
        <f>IF(itens_Remanesc!A123="","",itens_Remanesc!A123)</f>
        <v/>
      </c>
      <c r="K175" s="173" t="str">
        <f>IF(J175="","",IF($F$4="C0",itens_Remanesc!B123,IF($F$4="C1",itens_Remanesc!E123,IF($F$4="C2",itens_Remanesc!G123,IF($F$4="C3",itens_Remanesc!I123,itens_Remanesc!K123)))))</f>
        <v/>
      </c>
      <c r="L175" s="173" t="str">
        <f>IF(J175="","",IF(SUMIF(itens_Consumidos!$A$2:$A$200,J175,itens_Consumidos!$B$2:$B$200)-SUMIF(itens_Consumidos!$A$2:$A$200,J175,itens_Consumidos!$O$2:$O$200)&lt;0,0,SUMIF(itens_Consumidos!$A$2:$A$200,J175,itens_Consumidos!$B$2:$B$200)-SUMIF(itens_Consumidos!$A$2:$A$200,J175,itens_Consumidos!$O$2:$O$200)))</f>
        <v/>
      </c>
      <c r="M175" s="176" t="str">
        <f>IF(J175="","",itens_Remanesc!C123)</f>
        <v/>
      </c>
      <c r="N175" s="176" t="str">
        <f>IF(J175="","",IF($F$4="C0",historico_VU!C123,IF($F$4="C1",historico_VU!D123,IF($F$4="C2",historico_VU!E123,IF($F$4="C3",historico_VU!F123,historico_VU!G123)))))</f>
        <v/>
      </c>
      <c r="O175" s="176" t="str">
        <f>IF(J175="","",IF(CONTROLE!$B$1="Principal",IF(OR(K175="",M175=""),"",ROUND(K175*M175,2)),IF(CONTROLE!$B$1="Itens Consumidos",IF(OR(L175="",M175=""),"",ROUND(L175*M175,2)),"")))</f>
        <v/>
      </c>
      <c r="P175" s="176" t="str">
        <f>IF(J175="","",IF(CONTROLE!$B$1="Principal",IF(OR(K175="",N175=""),"",ROUND(K175*N175,2)),IF(CONTROLE!$B$1="Itens Consumidos",IF(OR(L175="",N175=""),"",ROUND(L175*N175,2)),"")))</f>
        <v/>
      </c>
      <c r="Q175" s="177" t="str">
        <f>IF(J175="","",IF(OR(M175="",AND(CONTROLE!$B$1="Principal",K175=""),AND(CONTROLE!$B$1="Itens Consumidos",L175="")),"INCOMPLETO",IF(CONTROLE!$B$1="Pedidos de Compras","MANUAL",IF(AND(ISNUMBER(K175),ISNUMBER(L175),ABS(K175-L175)/MAX(ABS(IF(CONTROLE!$B$1="Principal",K175,L175)),1)&gt;$D$4),"DIVERGENTE","OK"))))</f>
        <v/>
      </c>
    </row>
    <row r="176" spans="1:17" x14ac:dyDescent="0.35">
      <c r="A176" s="172" t="str">
        <f>IF(historico_VU!A124="","",historico_VU!A124)</f>
        <v/>
      </c>
      <c r="B176" s="173" t="str">
        <f>IF(A176="","",historico_VU!B124)</f>
        <v/>
      </c>
      <c r="C176" s="174" t="str">
        <f>IF(A176="","",historico_VU!C124)</f>
        <v/>
      </c>
      <c r="D176" s="174" t="str">
        <f>IF(A176="","",historico_VU!D124)</f>
        <v/>
      </c>
      <c r="E176" s="174" t="str">
        <f>IF(A176="","",historico_VU!E124)</f>
        <v/>
      </c>
      <c r="F176" s="174" t="str">
        <f>IF(A176="","",historico_VU!F124)</f>
        <v/>
      </c>
      <c r="G176" s="174" t="str">
        <f>IF(A176="","",historico_VU!G124)</f>
        <v/>
      </c>
      <c r="H176" s="175" t="str">
        <f>IF(A176="","",historico_VU!H124)</f>
        <v/>
      </c>
      <c r="I176" s="77"/>
      <c r="J176" s="172" t="str">
        <f>IF(itens_Remanesc!A124="","",itens_Remanesc!A124)</f>
        <v/>
      </c>
      <c r="K176" s="173" t="str">
        <f>IF(J176="","",IF($F$4="C0",itens_Remanesc!B124,IF($F$4="C1",itens_Remanesc!E124,IF($F$4="C2",itens_Remanesc!G124,IF($F$4="C3",itens_Remanesc!I124,itens_Remanesc!K124)))))</f>
        <v/>
      </c>
      <c r="L176" s="173" t="str">
        <f>IF(J176="","",IF(SUMIF(itens_Consumidos!$A$2:$A$200,J176,itens_Consumidos!$B$2:$B$200)-SUMIF(itens_Consumidos!$A$2:$A$200,J176,itens_Consumidos!$O$2:$O$200)&lt;0,0,SUMIF(itens_Consumidos!$A$2:$A$200,J176,itens_Consumidos!$B$2:$B$200)-SUMIF(itens_Consumidos!$A$2:$A$200,J176,itens_Consumidos!$O$2:$O$200)))</f>
        <v/>
      </c>
      <c r="M176" s="176" t="str">
        <f>IF(J176="","",itens_Remanesc!C124)</f>
        <v/>
      </c>
      <c r="N176" s="176" t="str">
        <f>IF(J176="","",IF($F$4="C0",historico_VU!C124,IF($F$4="C1",historico_VU!D124,IF($F$4="C2",historico_VU!E124,IF($F$4="C3",historico_VU!F124,historico_VU!G124)))))</f>
        <v/>
      </c>
      <c r="O176" s="176" t="str">
        <f>IF(J176="","",IF(CONTROLE!$B$1="Principal",IF(OR(K176="",M176=""),"",ROUND(K176*M176,2)),IF(CONTROLE!$B$1="Itens Consumidos",IF(OR(L176="",M176=""),"",ROUND(L176*M176,2)),"")))</f>
        <v/>
      </c>
      <c r="P176" s="176" t="str">
        <f>IF(J176="","",IF(CONTROLE!$B$1="Principal",IF(OR(K176="",N176=""),"",ROUND(K176*N176,2)),IF(CONTROLE!$B$1="Itens Consumidos",IF(OR(L176="",N176=""),"",ROUND(L176*N176,2)),"")))</f>
        <v/>
      </c>
      <c r="Q176" s="177" t="str">
        <f>IF(J176="","",IF(OR(M176="",AND(CONTROLE!$B$1="Principal",K176=""),AND(CONTROLE!$B$1="Itens Consumidos",L176="")),"INCOMPLETO",IF(CONTROLE!$B$1="Pedidos de Compras","MANUAL",IF(AND(ISNUMBER(K176),ISNUMBER(L176),ABS(K176-L176)/MAX(ABS(IF(CONTROLE!$B$1="Principal",K176,L176)),1)&gt;$D$4),"DIVERGENTE","OK"))))</f>
        <v/>
      </c>
    </row>
    <row r="177" spans="1:17" x14ac:dyDescent="0.35">
      <c r="A177" s="172" t="str">
        <f>IF(historico_VU!A125="","",historico_VU!A125)</f>
        <v/>
      </c>
      <c r="B177" s="173" t="str">
        <f>IF(A177="","",historico_VU!B125)</f>
        <v/>
      </c>
      <c r="C177" s="174" t="str">
        <f>IF(A177="","",historico_VU!C125)</f>
        <v/>
      </c>
      <c r="D177" s="174" t="str">
        <f>IF(A177="","",historico_VU!D125)</f>
        <v/>
      </c>
      <c r="E177" s="174" t="str">
        <f>IF(A177="","",historico_VU!E125)</f>
        <v/>
      </c>
      <c r="F177" s="174" t="str">
        <f>IF(A177="","",historico_VU!F125)</f>
        <v/>
      </c>
      <c r="G177" s="174" t="str">
        <f>IF(A177="","",historico_VU!G125)</f>
        <v/>
      </c>
      <c r="H177" s="175" t="str">
        <f>IF(A177="","",historico_VU!H125)</f>
        <v/>
      </c>
      <c r="I177" s="77"/>
      <c r="J177" s="172" t="str">
        <f>IF(itens_Remanesc!A125="","",itens_Remanesc!A125)</f>
        <v/>
      </c>
      <c r="K177" s="173" t="str">
        <f>IF(J177="","",IF($F$4="C0",itens_Remanesc!B125,IF($F$4="C1",itens_Remanesc!E125,IF($F$4="C2",itens_Remanesc!G125,IF($F$4="C3",itens_Remanesc!I125,itens_Remanesc!K125)))))</f>
        <v/>
      </c>
      <c r="L177" s="173" t="str">
        <f>IF(J177="","",IF(SUMIF(itens_Consumidos!$A$2:$A$200,J177,itens_Consumidos!$B$2:$B$200)-SUMIF(itens_Consumidos!$A$2:$A$200,J177,itens_Consumidos!$O$2:$O$200)&lt;0,0,SUMIF(itens_Consumidos!$A$2:$A$200,J177,itens_Consumidos!$B$2:$B$200)-SUMIF(itens_Consumidos!$A$2:$A$200,J177,itens_Consumidos!$O$2:$O$200)))</f>
        <v/>
      </c>
      <c r="M177" s="176" t="str">
        <f>IF(J177="","",itens_Remanesc!C125)</f>
        <v/>
      </c>
      <c r="N177" s="176" t="str">
        <f>IF(J177="","",IF($F$4="C0",historico_VU!C125,IF($F$4="C1",historico_VU!D125,IF($F$4="C2",historico_VU!E125,IF($F$4="C3",historico_VU!F125,historico_VU!G125)))))</f>
        <v/>
      </c>
      <c r="O177" s="176" t="str">
        <f>IF(J177="","",IF(CONTROLE!$B$1="Principal",IF(OR(K177="",M177=""),"",ROUND(K177*M177,2)),IF(CONTROLE!$B$1="Itens Consumidos",IF(OR(L177="",M177=""),"",ROUND(L177*M177,2)),"")))</f>
        <v/>
      </c>
      <c r="P177" s="176" t="str">
        <f>IF(J177="","",IF(CONTROLE!$B$1="Principal",IF(OR(K177="",N177=""),"",ROUND(K177*N177,2)),IF(CONTROLE!$B$1="Itens Consumidos",IF(OR(L177="",N177=""),"",ROUND(L177*N177,2)),"")))</f>
        <v/>
      </c>
      <c r="Q177" s="177" t="str">
        <f>IF(J177="","",IF(OR(M177="",AND(CONTROLE!$B$1="Principal",K177=""),AND(CONTROLE!$B$1="Itens Consumidos",L177="")),"INCOMPLETO",IF(CONTROLE!$B$1="Pedidos de Compras","MANUAL",IF(AND(ISNUMBER(K177),ISNUMBER(L177),ABS(K177-L177)/MAX(ABS(IF(CONTROLE!$B$1="Principal",K177,L177)),1)&gt;$D$4),"DIVERGENTE","OK"))))</f>
        <v/>
      </c>
    </row>
    <row r="178" spans="1:17" x14ac:dyDescent="0.35">
      <c r="A178" s="172" t="str">
        <f>IF(historico_VU!A126="","",historico_VU!A126)</f>
        <v/>
      </c>
      <c r="B178" s="173" t="str">
        <f>IF(A178="","",historico_VU!B126)</f>
        <v/>
      </c>
      <c r="C178" s="174" t="str">
        <f>IF(A178="","",historico_VU!C126)</f>
        <v/>
      </c>
      <c r="D178" s="174" t="str">
        <f>IF(A178="","",historico_VU!D126)</f>
        <v/>
      </c>
      <c r="E178" s="174" t="str">
        <f>IF(A178="","",historico_VU!E126)</f>
        <v/>
      </c>
      <c r="F178" s="174" t="str">
        <f>IF(A178="","",historico_VU!F126)</f>
        <v/>
      </c>
      <c r="G178" s="174" t="str">
        <f>IF(A178="","",historico_VU!G126)</f>
        <v/>
      </c>
      <c r="H178" s="175" t="str">
        <f>IF(A178="","",historico_VU!H126)</f>
        <v/>
      </c>
      <c r="I178" s="77"/>
      <c r="J178" s="172" t="str">
        <f>IF(itens_Remanesc!A126="","",itens_Remanesc!A126)</f>
        <v/>
      </c>
      <c r="K178" s="173" t="str">
        <f>IF(J178="","",IF($F$4="C0",itens_Remanesc!B126,IF($F$4="C1",itens_Remanesc!E126,IF($F$4="C2",itens_Remanesc!G126,IF($F$4="C3",itens_Remanesc!I126,itens_Remanesc!K126)))))</f>
        <v/>
      </c>
      <c r="L178" s="173" t="str">
        <f>IF(J178="","",IF(SUMIF(itens_Consumidos!$A$2:$A$200,J178,itens_Consumidos!$B$2:$B$200)-SUMIF(itens_Consumidos!$A$2:$A$200,J178,itens_Consumidos!$O$2:$O$200)&lt;0,0,SUMIF(itens_Consumidos!$A$2:$A$200,J178,itens_Consumidos!$B$2:$B$200)-SUMIF(itens_Consumidos!$A$2:$A$200,J178,itens_Consumidos!$O$2:$O$200)))</f>
        <v/>
      </c>
      <c r="M178" s="176" t="str">
        <f>IF(J178="","",itens_Remanesc!C126)</f>
        <v/>
      </c>
      <c r="N178" s="176" t="str">
        <f>IF(J178="","",IF($F$4="C0",historico_VU!C126,IF($F$4="C1",historico_VU!D126,IF($F$4="C2",historico_VU!E126,IF($F$4="C3",historico_VU!F126,historico_VU!G126)))))</f>
        <v/>
      </c>
      <c r="O178" s="176" t="str">
        <f>IF(J178="","",IF(CONTROLE!$B$1="Principal",IF(OR(K178="",M178=""),"",ROUND(K178*M178,2)),IF(CONTROLE!$B$1="Itens Consumidos",IF(OR(L178="",M178=""),"",ROUND(L178*M178,2)),"")))</f>
        <v/>
      </c>
      <c r="P178" s="176" t="str">
        <f>IF(J178="","",IF(CONTROLE!$B$1="Principal",IF(OR(K178="",N178=""),"",ROUND(K178*N178,2)),IF(CONTROLE!$B$1="Itens Consumidos",IF(OR(L178="",N178=""),"",ROUND(L178*N178,2)),"")))</f>
        <v/>
      </c>
      <c r="Q178" s="177" t="str">
        <f>IF(J178="","",IF(OR(M178="",AND(CONTROLE!$B$1="Principal",K178=""),AND(CONTROLE!$B$1="Itens Consumidos",L178="")),"INCOMPLETO",IF(CONTROLE!$B$1="Pedidos de Compras","MANUAL",IF(AND(ISNUMBER(K178),ISNUMBER(L178),ABS(K178-L178)/MAX(ABS(IF(CONTROLE!$B$1="Principal",K178,L178)),1)&gt;$D$4),"DIVERGENTE","OK"))))</f>
        <v/>
      </c>
    </row>
    <row r="179" spans="1:17" x14ac:dyDescent="0.35">
      <c r="A179" s="172" t="str">
        <f>IF(historico_VU!A127="","",historico_VU!A127)</f>
        <v/>
      </c>
      <c r="B179" s="173" t="str">
        <f>IF(A179="","",historico_VU!B127)</f>
        <v/>
      </c>
      <c r="C179" s="174" t="str">
        <f>IF(A179="","",historico_VU!C127)</f>
        <v/>
      </c>
      <c r="D179" s="174" t="str">
        <f>IF(A179="","",historico_VU!D127)</f>
        <v/>
      </c>
      <c r="E179" s="174" t="str">
        <f>IF(A179="","",historico_VU!E127)</f>
        <v/>
      </c>
      <c r="F179" s="174" t="str">
        <f>IF(A179="","",historico_VU!F127)</f>
        <v/>
      </c>
      <c r="G179" s="174" t="str">
        <f>IF(A179="","",historico_VU!G127)</f>
        <v/>
      </c>
      <c r="H179" s="175" t="str">
        <f>IF(A179="","",historico_VU!H127)</f>
        <v/>
      </c>
      <c r="I179" s="77"/>
      <c r="J179" s="172" t="str">
        <f>IF(itens_Remanesc!A127="","",itens_Remanesc!A127)</f>
        <v/>
      </c>
      <c r="K179" s="173" t="str">
        <f>IF(J179="","",IF($F$4="C0",itens_Remanesc!B127,IF($F$4="C1",itens_Remanesc!E127,IF($F$4="C2",itens_Remanesc!G127,IF($F$4="C3",itens_Remanesc!I127,itens_Remanesc!K127)))))</f>
        <v/>
      </c>
      <c r="L179" s="173" t="str">
        <f>IF(J179="","",IF(SUMIF(itens_Consumidos!$A$2:$A$200,J179,itens_Consumidos!$B$2:$B$200)-SUMIF(itens_Consumidos!$A$2:$A$200,J179,itens_Consumidos!$O$2:$O$200)&lt;0,0,SUMIF(itens_Consumidos!$A$2:$A$200,J179,itens_Consumidos!$B$2:$B$200)-SUMIF(itens_Consumidos!$A$2:$A$200,J179,itens_Consumidos!$O$2:$O$200)))</f>
        <v/>
      </c>
      <c r="M179" s="176" t="str">
        <f>IF(J179="","",itens_Remanesc!C127)</f>
        <v/>
      </c>
      <c r="N179" s="176" t="str">
        <f>IF(J179="","",IF($F$4="C0",historico_VU!C127,IF($F$4="C1",historico_VU!D127,IF($F$4="C2",historico_VU!E127,IF($F$4="C3",historico_VU!F127,historico_VU!G127)))))</f>
        <v/>
      </c>
      <c r="O179" s="176" t="str">
        <f>IF(J179="","",IF(CONTROLE!$B$1="Principal",IF(OR(K179="",M179=""),"",ROUND(K179*M179,2)),IF(CONTROLE!$B$1="Itens Consumidos",IF(OR(L179="",M179=""),"",ROUND(L179*M179,2)),"")))</f>
        <v/>
      </c>
      <c r="P179" s="176" t="str">
        <f>IF(J179="","",IF(CONTROLE!$B$1="Principal",IF(OR(K179="",N179=""),"",ROUND(K179*N179,2)),IF(CONTROLE!$B$1="Itens Consumidos",IF(OR(L179="",N179=""),"",ROUND(L179*N179,2)),"")))</f>
        <v/>
      </c>
      <c r="Q179" s="177" t="str">
        <f>IF(J179="","",IF(OR(M179="",AND(CONTROLE!$B$1="Principal",K179=""),AND(CONTROLE!$B$1="Itens Consumidos",L179="")),"INCOMPLETO",IF(CONTROLE!$B$1="Pedidos de Compras","MANUAL",IF(AND(ISNUMBER(K179),ISNUMBER(L179),ABS(K179-L179)/MAX(ABS(IF(CONTROLE!$B$1="Principal",K179,L179)),1)&gt;$D$4),"DIVERGENTE","OK"))))</f>
        <v/>
      </c>
    </row>
    <row r="180" spans="1:17" x14ac:dyDescent="0.35">
      <c r="A180" s="172" t="str">
        <f>IF(historico_VU!A128="","",historico_VU!A128)</f>
        <v/>
      </c>
      <c r="B180" s="173" t="str">
        <f>IF(A180="","",historico_VU!B128)</f>
        <v/>
      </c>
      <c r="C180" s="174" t="str">
        <f>IF(A180="","",historico_VU!C128)</f>
        <v/>
      </c>
      <c r="D180" s="174" t="str">
        <f>IF(A180="","",historico_VU!D128)</f>
        <v/>
      </c>
      <c r="E180" s="174" t="str">
        <f>IF(A180="","",historico_VU!E128)</f>
        <v/>
      </c>
      <c r="F180" s="174" t="str">
        <f>IF(A180="","",historico_VU!F128)</f>
        <v/>
      </c>
      <c r="G180" s="174" t="str">
        <f>IF(A180="","",historico_VU!G128)</f>
        <v/>
      </c>
      <c r="H180" s="175" t="str">
        <f>IF(A180="","",historico_VU!H128)</f>
        <v/>
      </c>
      <c r="I180" s="77"/>
      <c r="J180" s="172" t="str">
        <f>IF(itens_Remanesc!A128="","",itens_Remanesc!A128)</f>
        <v/>
      </c>
      <c r="K180" s="173" t="str">
        <f>IF(J180="","",IF($F$4="C0",itens_Remanesc!B128,IF($F$4="C1",itens_Remanesc!E128,IF($F$4="C2",itens_Remanesc!G128,IF($F$4="C3",itens_Remanesc!I128,itens_Remanesc!K128)))))</f>
        <v/>
      </c>
      <c r="L180" s="173" t="str">
        <f>IF(J180="","",IF(SUMIF(itens_Consumidos!$A$2:$A$200,J180,itens_Consumidos!$B$2:$B$200)-SUMIF(itens_Consumidos!$A$2:$A$200,J180,itens_Consumidos!$O$2:$O$200)&lt;0,0,SUMIF(itens_Consumidos!$A$2:$A$200,J180,itens_Consumidos!$B$2:$B$200)-SUMIF(itens_Consumidos!$A$2:$A$200,J180,itens_Consumidos!$O$2:$O$200)))</f>
        <v/>
      </c>
      <c r="M180" s="176" t="str">
        <f>IF(J180="","",itens_Remanesc!C128)</f>
        <v/>
      </c>
      <c r="N180" s="176" t="str">
        <f>IF(J180="","",IF($F$4="C0",historico_VU!C128,IF($F$4="C1",historico_VU!D128,IF($F$4="C2",historico_VU!E128,IF($F$4="C3",historico_VU!F128,historico_VU!G128)))))</f>
        <v/>
      </c>
      <c r="O180" s="176" t="str">
        <f>IF(J180="","",IF(CONTROLE!$B$1="Principal",IF(OR(K180="",M180=""),"",ROUND(K180*M180,2)),IF(CONTROLE!$B$1="Itens Consumidos",IF(OR(L180="",M180=""),"",ROUND(L180*M180,2)),"")))</f>
        <v/>
      </c>
      <c r="P180" s="176" t="str">
        <f>IF(J180="","",IF(CONTROLE!$B$1="Principal",IF(OR(K180="",N180=""),"",ROUND(K180*N180,2)),IF(CONTROLE!$B$1="Itens Consumidos",IF(OR(L180="",N180=""),"",ROUND(L180*N180,2)),"")))</f>
        <v/>
      </c>
      <c r="Q180" s="177" t="str">
        <f>IF(J180="","",IF(OR(M180="",AND(CONTROLE!$B$1="Principal",K180=""),AND(CONTROLE!$B$1="Itens Consumidos",L180="")),"INCOMPLETO",IF(CONTROLE!$B$1="Pedidos de Compras","MANUAL",IF(AND(ISNUMBER(K180),ISNUMBER(L180),ABS(K180-L180)/MAX(ABS(IF(CONTROLE!$B$1="Principal",K180,L180)),1)&gt;$D$4),"DIVERGENTE","OK"))))</f>
        <v/>
      </c>
    </row>
    <row r="181" spans="1:17" x14ac:dyDescent="0.35">
      <c r="A181" s="172" t="str">
        <f>IF(historico_VU!A129="","",historico_VU!A129)</f>
        <v/>
      </c>
      <c r="B181" s="173" t="str">
        <f>IF(A181="","",historico_VU!B129)</f>
        <v/>
      </c>
      <c r="C181" s="174" t="str">
        <f>IF(A181="","",historico_VU!C129)</f>
        <v/>
      </c>
      <c r="D181" s="174" t="str">
        <f>IF(A181="","",historico_VU!D129)</f>
        <v/>
      </c>
      <c r="E181" s="174" t="str">
        <f>IF(A181="","",historico_VU!E129)</f>
        <v/>
      </c>
      <c r="F181" s="174" t="str">
        <f>IF(A181="","",historico_VU!F129)</f>
        <v/>
      </c>
      <c r="G181" s="174" t="str">
        <f>IF(A181="","",historico_VU!G129)</f>
        <v/>
      </c>
      <c r="H181" s="175" t="str">
        <f>IF(A181="","",historico_VU!H129)</f>
        <v/>
      </c>
      <c r="I181" s="77"/>
      <c r="J181" s="172" t="str">
        <f>IF(itens_Remanesc!A129="","",itens_Remanesc!A129)</f>
        <v/>
      </c>
      <c r="K181" s="173" t="str">
        <f>IF(J181="","",IF($F$4="C0",itens_Remanesc!B129,IF($F$4="C1",itens_Remanesc!E129,IF($F$4="C2",itens_Remanesc!G129,IF($F$4="C3",itens_Remanesc!I129,itens_Remanesc!K129)))))</f>
        <v/>
      </c>
      <c r="L181" s="173" t="str">
        <f>IF(J181="","",IF(SUMIF(itens_Consumidos!$A$2:$A$200,J181,itens_Consumidos!$B$2:$B$200)-SUMIF(itens_Consumidos!$A$2:$A$200,J181,itens_Consumidos!$O$2:$O$200)&lt;0,0,SUMIF(itens_Consumidos!$A$2:$A$200,J181,itens_Consumidos!$B$2:$B$200)-SUMIF(itens_Consumidos!$A$2:$A$200,J181,itens_Consumidos!$O$2:$O$200)))</f>
        <v/>
      </c>
      <c r="M181" s="176" t="str">
        <f>IF(J181="","",itens_Remanesc!C129)</f>
        <v/>
      </c>
      <c r="N181" s="176" t="str">
        <f>IF(J181="","",IF($F$4="C0",historico_VU!C129,IF($F$4="C1",historico_VU!D129,IF($F$4="C2",historico_VU!E129,IF($F$4="C3",historico_VU!F129,historico_VU!G129)))))</f>
        <v/>
      </c>
      <c r="O181" s="176" t="str">
        <f>IF(J181="","",IF(CONTROLE!$B$1="Principal",IF(OR(K181="",M181=""),"",ROUND(K181*M181,2)),IF(CONTROLE!$B$1="Itens Consumidos",IF(OR(L181="",M181=""),"",ROUND(L181*M181,2)),"")))</f>
        <v/>
      </c>
      <c r="P181" s="176" t="str">
        <f>IF(J181="","",IF(CONTROLE!$B$1="Principal",IF(OR(K181="",N181=""),"",ROUND(K181*N181,2)),IF(CONTROLE!$B$1="Itens Consumidos",IF(OR(L181="",N181=""),"",ROUND(L181*N181,2)),"")))</f>
        <v/>
      </c>
      <c r="Q181" s="177" t="str">
        <f>IF(J181="","",IF(OR(M181="",AND(CONTROLE!$B$1="Principal",K181=""),AND(CONTROLE!$B$1="Itens Consumidos",L181="")),"INCOMPLETO",IF(CONTROLE!$B$1="Pedidos de Compras","MANUAL",IF(AND(ISNUMBER(K181),ISNUMBER(L181),ABS(K181-L181)/MAX(ABS(IF(CONTROLE!$B$1="Principal",K181,L181)),1)&gt;$D$4),"DIVERGENTE","OK"))))</f>
        <v/>
      </c>
    </row>
    <row r="182" spans="1:17" x14ac:dyDescent="0.35">
      <c r="A182" s="172" t="str">
        <f>IF(historico_VU!A130="","",historico_VU!A130)</f>
        <v/>
      </c>
      <c r="B182" s="173" t="str">
        <f>IF(A182="","",historico_VU!B130)</f>
        <v/>
      </c>
      <c r="C182" s="174" t="str">
        <f>IF(A182="","",historico_VU!C130)</f>
        <v/>
      </c>
      <c r="D182" s="174" t="str">
        <f>IF(A182="","",historico_VU!D130)</f>
        <v/>
      </c>
      <c r="E182" s="174" t="str">
        <f>IF(A182="","",historico_VU!E130)</f>
        <v/>
      </c>
      <c r="F182" s="174" t="str">
        <f>IF(A182="","",historico_VU!F130)</f>
        <v/>
      </c>
      <c r="G182" s="174" t="str">
        <f>IF(A182="","",historico_VU!G130)</f>
        <v/>
      </c>
      <c r="H182" s="175" t="str">
        <f>IF(A182="","",historico_VU!H130)</f>
        <v/>
      </c>
      <c r="I182" s="77"/>
      <c r="J182" s="172" t="str">
        <f>IF(itens_Remanesc!A130="","",itens_Remanesc!A130)</f>
        <v/>
      </c>
      <c r="K182" s="173" t="str">
        <f>IF(J182="","",IF($F$4="C0",itens_Remanesc!B130,IF($F$4="C1",itens_Remanesc!E130,IF($F$4="C2",itens_Remanesc!G130,IF($F$4="C3",itens_Remanesc!I130,itens_Remanesc!K130)))))</f>
        <v/>
      </c>
      <c r="L182" s="173" t="str">
        <f>IF(J182="","",IF(SUMIF(itens_Consumidos!$A$2:$A$200,J182,itens_Consumidos!$B$2:$B$200)-SUMIF(itens_Consumidos!$A$2:$A$200,J182,itens_Consumidos!$O$2:$O$200)&lt;0,0,SUMIF(itens_Consumidos!$A$2:$A$200,J182,itens_Consumidos!$B$2:$B$200)-SUMIF(itens_Consumidos!$A$2:$A$200,J182,itens_Consumidos!$O$2:$O$200)))</f>
        <v/>
      </c>
      <c r="M182" s="176" t="str">
        <f>IF(J182="","",itens_Remanesc!C130)</f>
        <v/>
      </c>
      <c r="N182" s="176" t="str">
        <f>IF(J182="","",IF($F$4="C0",historico_VU!C130,IF($F$4="C1",historico_VU!D130,IF($F$4="C2",historico_VU!E130,IF($F$4="C3",historico_VU!F130,historico_VU!G130)))))</f>
        <v/>
      </c>
      <c r="O182" s="176" t="str">
        <f>IF(J182="","",IF(CONTROLE!$B$1="Principal",IF(OR(K182="",M182=""),"",ROUND(K182*M182,2)),IF(CONTROLE!$B$1="Itens Consumidos",IF(OR(L182="",M182=""),"",ROUND(L182*M182,2)),"")))</f>
        <v/>
      </c>
      <c r="P182" s="176" t="str">
        <f>IF(J182="","",IF(CONTROLE!$B$1="Principal",IF(OR(K182="",N182=""),"",ROUND(K182*N182,2)),IF(CONTROLE!$B$1="Itens Consumidos",IF(OR(L182="",N182=""),"",ROUND(L182*N182,2)),"")))</f>
        <v/>
      </c>
      <c r="Q182" s="177" t="str">
        <f>IF(J182="","",IF(OR(M182="",AND(CONTROLE!$B$1="Principal",K182=""),AND(CONTROLE!$B$1="Itens Consumidos",L182="")),"INCOMPLETO",IF(CONTROLE!$B$1="Pedidos de Compras","MANUAL",IF(AND(ISNUMBER(K182),ISNUMBER(L182),ABS(K182-L182)/MAX(ABS(IF(CONTROLE!$B$1="Principal",K182,L182)),1)&gt;$D$4),"DIVERGENTE","OK"))))</f>
        <v/>
      </c>
    </row>
    <row r="183" spans="1:17" x14ac:dyDescent="0.35">
      <c r="A183" s="172" t="str">
        <f>IF(historico_VU!A131="","",historico_VU!A131)</f>
        <v/>
      </c>
      <c r="B183" s="173" t="str">
        <f>IF(A183="","",historico_VU!B131)</f>
        <v/>
      </c>
      <c r="C183" s="174" t="str">
        <f>IF(A183="","",historico_VU!C131)</f>
        <v/>
      </c>
      <c r="D183" s="174" t="str">
        <f>IF(A183="","",historico_VU!D131)</f>
        <v/>
      </c>
      <c r="E183" s="174" t="str">
        <f>IF(A183="","",historico_VU!E131)</f>
        <v/>
      </c>
      <c r="F183" s="174" t="str">
        <f>IF(A183="","",historico_VU!F131)</f>
        <v/>
      </c>
      <c r="G183" s="174" t="str">
        <f>IF(A183="","",historico_VU!G131)</f>
        <v/>
      </c>
      <c r="H183" s="175" t="str">
        <f>IF(A183="","",historico_VU!H131)</f>
        <v/>
      </c>
      <c r="I183" s="77"/>
      <c r="J183" s="172" t="str">
        <f>IF(itens_Remanesc!A131="","",itens_Remanesc!A131)</f>
        <v/>
      </c>
      <c r="K183" s="173" t="str">
        <f>IF(J183="","",IF($F$4="C0",itens_Remanesc!B131,IF($F$4="C1",itens_Remanesc!E131,IF($F$4="C2",itens_Remanesc!G131,IF($F$4="C3",itens_Remanesc!I131,itens_Remanesc!K131)))))</f>
        <v/>
      </c>
      <c r="L183" s="173" t="str">
        <f>IF(J183="","",IF(SUMIF(itens_Consumidos!$A$2:$A$200,J183,itens_Consumidos!$B$2:$B$200)-SUMIF(itens_Consumidos!$A$2:$A$200,J183,itens_Consumidos!$O$2:$O$200)&lt;0,0,SUMIF(itens_Consumidos!$A$2:$A$200,J183,itens_Consumidos!$B$2:$B$200)-SUMIF(itens_Consumidos!$A$2:$A$200,J183,itens_Consumidos!$O$2:$O$200)))</f>
        <v/>
      </c>
      <c r="M183" s="176" t="str">
        <f>IF(J183="","",itens_Remanesc!C131)</f>
        <v/>
      </c>
      <c r="N183" s="176" t="str">
        <f>IF(J183="","",IF($F$4="C0",historico_VU!C131,IF($F$4="C1",historico_VU!D131,IF($F$4="C2",historico_VU!E131,IF($F$4="C3",historico_VU!F131,historico_VU!G131)))))</f>
        <v/>
      </c>
      <c r="O183" s="176" t="str">
        <f>IF(J183="","",IF(CONTROLE!$B$1="Principal",IF(OR(K183="",M183=""),"",ROUND(K183*M183,2)),IF(CONTROLE!$B$1="Itens Consumidos",IF(OR(L183="",M183=""),"",ROUND(L183*M183,2)),"")))</f>
        <v/>
      </c>
      <c r="P183" s="176" t="str">
        <f>IF(J183="","",IF(CONTROLE!$B$1="Principal",IF(OR(K183="",N183=""),"",ROUND(K183*N183,2)),IF(CONTROLE!$B$1="Itens Consumidos",IF(OR(L183="",N183=""),"",ROUND(L183*N183,2)),"")))</f>
        <v/>
      </c>
      <c r="Q183" s="177" t="str">
        <f>IF(J183="","",IF(OR(M183="",AND(CONTROLE!$B$1="Principal",K183=""),AND(CONTROLE!$B$1="Itens Consumidos",L183="")),"INCOMPLETO",IF(CONTROLE!$B$1="Pedidos de Compras","MANUAL",IF(AND(ISNUMBER(K183),ISNUMBER(L183),ABS(K183-L183)/MAX(ABS(IF(CONTROLE!$B$1="Principal",K183,L183)),1)&gt;$D$4),"DIVERGENTE","OK"))))</f>
        <v/>
      </c>
    </row>
    <row r="184" spans="1:17" x14ac:dyDescent="0.35">
      <c r="A184" s="172" t="str">
        <f>IF(historico_VU!A132="","",historico_VU!A132)</f>
        <v/>
      </c>
      <c r="B184" s="173" t="str">
        <f>IF(A184="","",historico_VU!B132)</f>
        <v/>
      </c>
      <c r="C184" s="174" t="str">
        <f>IF(A184="","",historico_VU!C132)</f>
        <v/>
      </c>
      <c r="D184" s="174" t="str">
        <f>IF(A184="","",historico_VU!D132)</f>
        <v/>
      </c>
      <c r="E184" s="174" t="str">
        <f>IF(A184="","",historico_VU!E132)</f>
        <v/>
      </c>
      <c r="F184" s="174" t="str">
        <f>IF(A184="","",historico_VU!F132)</f>
        <v/>
      </c>
      <c r="G184" s="174" t="str">
        <f>IF(A184="","",historico_VU!G132)</f>
        <v/>
      </c>
      <c r="H184" s="175" t="str">
        <f>IF(A184="","",historico_VU!H132)</f>
        <v/>
      </c>
      <c r="I184" s="77"/>
      <c r="J184" s="172" t="str">
        <f>IF(itens_Remanesc!A132="","",itens_Remanesc!A132)</f>
        <v/>
      </c>
      <c r="K184" s="173" t="str">
        <f>IF(J184="","",IF($F$4="C0",itens_Remanesc!B132,IF($F$4="C1",itens_Remanesc!E132,IF($F$4="C2",itens_Remanesc!G132,IF($F$4="C3",itens_Remanesc!I132,itens_Remanesc!K132)))))</f>
        <v/>
      </c>
      <c r="L184" s="173" t="str">
        <f>IF(J184="","",IF(SUMIF(itens_Consumidos!$A$2:$A$200,J184,itens_Consumidos!$B$2:$B$200)-SUMIF(itens_Consumidos!$A$2:$A$200,J184,itens_Consumidos!$O$2:$O$200)&lt;0,0,SUMIF(itens_Consumidos!$A$2:$A$200,J184,itens_Consumidos!$B$2:$B$200)-SUMIF(itens_Consumidos!$A$2:$A$200,J184,itens_Consumidos!$O$2:$O$200)))</f>
        <v/>
      </c>
      <c r="M184" s="176" t="str">
        <f>IF(J184="","",itens_Remanesc!C132)</f>
        <v/>
      </c>
      <c r="N184" s="176" t="str">
        <f>IF(J184="","",IF($F$4="C0",historico_VU!C132,IF($F$4="C1",historico_VU!D132,IF($F$4="C2",historico_VU!E132,IF($F$4="C3",historico_VU!F132,historico_VU!G132)))))</f>
        <v/>
      </c>
      <c r="O184" s="176" t="str">
        <f>IF(J184="","",IF(CONTROLE!$B$1="Principal",IF(OR(K184="",M184=""),"",ROUND(K184*M184,2)),IF(CONTROLE!$B$1="Itens Consumidos",IF(OR(L184="",M184=""),"",ROUND(L184*M184,2)),"")))</f>
        <v/>
      </c>
      <c r="P184" s="176" t="str">
        <f>IF(J184="","",IF(CONTROLE!$B$1="Principal",IF(OR(K184="",N184=""),"",ROUND(K184*N184,2)),IF(CONTROLE!$B$1="Itens Consumidos",IF(OR(L184="",N184=""),"",ROUND(L184*N184,2)),"")))</f>
        <v/>
      </c>
      <c r="Q184" s="177" t="str">
        <f>IF(J184="","",IF(OR(M184="",AND(CONTROLE!$B$1="Principal",K184=""),AND(CONTROLE!$B$1="Itens Consumidos",L184="")),"INCOMPLETO",IF(CONTROLE!$B$1="Pedidos de Compras","MANUAL",IF(AND(ISNUMBER(K184),ISNUMBER(L184),ABS(K184-L184)/MAX(ABS(IF(CONTROLE!$B$1="Principal",K184,L184)),1)&gt;$D$4),"DIVERGENTE","OK"))))</f>
        <v/>
      </c>
    </row>
    <row r="185" spans="1:17" x14ac:dyDescent="0.35">
      <c r="A185" s="172" t="str">
        <f>IF(historico_VU!A133="","",historico_VU!A133)</f>
        <v/>
      </c>
      <c r="B185" s="173" t="str">
        <f>IF(A185="","",historico_VU!B133)</f>
        <v/>
      </c>
      <c r="C185" s="174" t="str">
        <f>IF(A185="","",historico_VU!C133)</f>
        <v/>
      </c>
      <c r="D185" s="174" t="str">
        <f>IF(A185="","",historico_VU!D133)</f>
        <v/>
      </c>
      <c r="E185" s="174" t="str">
        <f>IF(A185="","",historico_VU!E133)</f>
        <v/>
      </c>
      <c r="F185" s="174" t="str">
        <f>IF(A185="","",historico_VU!F133)</f>
        <v/>
      </c>
      <c r="G185" s="174" t="str">
        <f>IF(A185="","",historico_VU!G133)</f>
        <v/>
      </c>
      <c r="H185" s="175" t="str">
        <f>IF(A185="","",historico_VU!H133)</f>
        <v/>
      </c>
      <c r="I185" s="77"/>
      <c r="J185" s="172" t="str">
        <f>IF(itens_Remanesc!A133="","",itens_Remanesc!A133)</f>
        <v/>
      </c>
      <c r="K185" s="173" t="str">
        <f>IF(J185="","",IF($F$4="C0",itens_Remanesc!B133,IF($F$4="C1",itens_Remanesc!E133,IF($F$4="C2",itens_Remanesc!G133,IF($F$4="C3",itens_Remanesc!I133,itens_Remanesc!K133)))))</f>
        <v/>
      </c>
      <c r="L185" s="173" t="str">
        <f>IF(J185="","",IF(SUMIF(itens_Consumidos!$A$2:$A$200,J185,itens_Consumidos!$B$2:$B$200)-SUMIF(itens_Consumidos!$A$2:$A$200,J185,itens_Consumidos!$O$2:$O$200)&lt;0,0,SUMIF(itens_Consumidos!$A$2:$A$200,J185,itens_Consumidos!$B$2:$B$200)-SUMIF(itens_Consumidos!$A$2:$A$200,J185,itens_Consumidos!$O$2:$O$200)))</f>
        <v/>
      </c>
      <c r="M185" s="176" t="str">
        <f>IF(J185="","",itens_Remanesc!C133)</f>
        <v/>
      </c>
      <c r="N185" s="176" t="str">
        <f>IF(J185="","",IF($F$4="C0",historico_VU!C133,IF($F$4="C1",historico_VU!D133,IF($F$4="C2",historico_VU!E133,IF($F$4="C3",historico_VU!F133,historico_VU!G133)))))</f>
        <v/>
      </c>
      <c r="O185" s="176" t="str">
        <f>IF(J185="","",IF(CONTROLE!$B$1="Principal",IF(OR(K185="",M185=""),"",ROUND(K185*M185,2)),IF(CONTROLE!$B$1="Itens Consumidos",IF(OR(L185="",M185=""),"",ROUND(L185*M185,2)),"")))</f>
        <v/>
      </c>
      <c r="P185" s="176" t="str">
        <f>IF(J185="","",IF(CONTROLE!$B$1="Principal",IF(OR(K185="",N185=""),"",ROUND(K185*N185,2)),IF(CONTROLE!$B$1="Itens Consumidos",IF(OR(L185="",N185=""),"",ROUND(L185*N185,2)),"")))</f>
        <v/>
      </c>
      <c r="Q185" s="177" t="str">
        <f>IF(J185="","",IF(OR(M185="",AND(CONTROLE!$B$1="Principal",K185=""),AND(CONTROLE!$B$1="Itens Consumidos",L185="")),"INCOMPLETO",IF(CONTROLE!$B$1="Pedidos de Compras","MANUAL",IF(AND(ISNUMBER(K185),ISNUMBER(L185),ABS(K185-L185)/MAX(ABS(IF(CONTROLE!$B$1="Principal",K185,L185)),1)&gt;$D$4),"DIVERGENTE","OK"))))</f>
        <v/>
      </c>
    </row>
    <row r="186" spans="1:17" x14ac:dyDescent="0.35">
      <c r="A186" s="172" t="str">
        <f>IF(historico_VU!A134="","",historico_VU!A134)</f>
        <v/>
      </c>
      <c r="B186" s="173" t="str">
        <f>IF(A186="","",historico_VU!B134)</f>
        <v/>
      </c>
      <c r="C186" s="174" t="str">
        <f>IF(A186="","",historico_VU!C134)</f>
        <v/>
      </c>
      <c r="D186" s="174" t="str">
        <f>IF(A186="","",historico_VU!D134)</f>
        <v/>
      </c>
      <c r="E186" s="174" t="str">
        <f>IF(A186="","",historico_VU!E134)</f>
        <v/>
      </c>
      <c r="F186" s="174" t="str">
        <f>IF(A186="","",historico_VU!F134)</f>
        <v/>
      </c>
      <c r="G186" s="174" t="str">
        <f>IF(A186="","",historico_VU!G134)</f>
        <v/>
      </c>
      <c r="H186" s="175" t="str">
        <f>IF(A186="","",historico_VU!H134)</f>
        <v/>
      </c>
      <c r="I186" s="77"/>
      <c r="J186" s="172" t="str">
        <f>IF(itens_Remanesc!A134="","",itens_Remanesc!A134)</f>
        <v/>
      </c>
      <c r="K186" s="173" t="str">
        <f>IF(J186="","",IF($F$4="C0",itens_Remanesc!B134,IF($F$4="C1",itens_Remanesc!E134,IF($F$4="C2",itens_Remanesc!G134,IF($F$4="C3",itens_Remanesc!I134,itens_Remanesc!K134)))))</f>
        <v/>
      </c>
      <c r="L186" s="173" t="str">
        <f>IF(J186="","",IF(SUMIF(itens_Consumidos!$A$2:$A$200,J186,itens_Consumidos!$B$2:$B$200)-SUMIF(itens_Consumidos!$A$2:$A$200,J186,itens_Consumidos!$O$2:$O$200)&lt;0,0,SUMIF(itens_Consumidos!$A$2:$A$200,J186,itens_Consumidos!$B$2:$B$200)-SUMIF(itens_Consumidos!$A$2:$A$200,J186,itens_Consumidos!$O$2:$O$200)))</f>
        <v/>
      </c>
      <c r="M186" s="176" t="str">
        <f>IF(J186="","",itens_Remanesc!C134)</f>
        <v/>
      </c>
      <c r="N186" s="176" t="str">
        <f>IF(J186="","",IF($F$4="C0",historico_VU!C134,IF($F$4="C1",historico_VU!D134,IF($F$4="C2",historico_VU!E134,IF($F$4="C3",historico_VU!F134,historico_VU!G134)))))</f>
        <v/>
      </c>
      <c r="O186" s="176" t="str">
        <f>IF(J186="","",IF(CONTROLE!$B$1="Principal",IF(OR(K186="",M186=""),"",ROUND(K186*M186,2)),IF(CONTROLE!$B$1="Itens Consumidos",IF(OR(L186="",M186=""),"",ROUND(L186*M186,2)),"")))</f>
        <v/>
      </c>
      <c r="P186" s="176" t="str">
        <f>IF(J186="","",IF(CONTROLE!$B$1="Principal",IF(OR(K186="",N186=""),"",ROUND(K186*N186,2)),IF(CONTROLE!$B$1="Itens Consumidos",IF(OR(L186="",N186=""),"",ROUND(L186*N186,2)),"")))</f>
        <v/>
      </c>
      <c r="Q186" s="177" t="str">
        <f>IF(J186="","",IF(OR(M186="",AND(CONTROLE!$B$1="Principal",K186=""),AND(CONTROLE!$B$1="Itens Consumidos",L186="")),"INCOMPLETO",IF(CONTROLE!$B$1="Pedidos de Compras","MANUAL",IF(AND(ISNUMBER(K186),ISNUMBER(L186),ABS(K186-L186)/MAX(ABS(IF(CONTROLE!$B$1="Principal",K186,L186)),1)&gt;$D$4),"DIVERGENTE","OK"))))</f>
        <v/>
      </c>
    </row>
    <row r="187" spans="1:17" x14ac:dyDescent="0.35">
      <c r="A187" s="172" t="str">
        <f>IF(historico_VU!A135="","",historico_VU!A135)</f>
        <v/>
      </c>
      <c r="B187" s="173" t="str">
        <f>IF(A187="","",historico_VU!B135)</f>
        <v/>
      </c>
      <c r="C187" s="174" t="str">
        <f>IF(A187="","",historico_VU!C135)</f>
        <v/>
      </c>
      <c r="D187" s="174" t="str">
        <f>IF(A187="","",historico_VU!D135)</f>
        <v/>
      </c>
      <c r="E187" s="174" t="str">
        <f>IF(A187="","",historico_VU!E135)</f>
        <v/>
      </c>
      <c r="F187" s="174" t="str">
        <f>IF(A187="","",historico_VU!F135)</f>
        <v/>
      </c>
      <c r="G187" s="174" t="str">
        <f>IF(A187="","",historico_VU!G135)</f>
        <v/>
      </c>
      <c r="H187" s="175" t="str">
        <f>IF(A187="","",historico_VU!H135)</f>
        <v/>
      </c>
      <c r="I187" s="77"/>
      <c r="J187" s="172" t="str">
        <f>IF(itens_Remanesc!A135="","",itens_Remanesc!A135)</f>
        <v/>
      </c>
      <c r="K187" s="173" t="str">
        <f>IF(J187="","",IF($F$4="C0",itens_Remanesc!B135,IF($F$4="C1",itens_Remanesc!E135,IF($F$4="C2",itens_Remanesc!G135,IF($F$4="C3",itens_Remanesc!I135,itens_Remanesc!K135)))))</f>
        <v/>
      </c>
      <c r="L187" s="173" t="str">
        <f>IF(J187="","",IF(SUMIF(itens_Consumidos!$A$2:$A$200,J187,itens_Consumidos!$B$2:$B$200)-SUMIF(itens_Consumidos!$A$2:$A$200,J187,itens_Consumidos!$O$2:$O$200)&lt;0,0,SUMIF(itens_Consumidos!$A$2:$A$200,J187,itens_Consumidos!$B$2:$B$200)-SUMIF(itens_Consumidos!$A$2:$A$200,J187,itens_Consumidos!$O$2:$O$200)))</f>
        <v/>
      </c>
      <c r="M187" s="176" t="str">
        <f>IF(J187="","",itens_Remanesc!C135)</f>
        <v/>
      </c>
      <c r="N187" s="176" t="str">
        <f>IF(J187="","",IF($F$4="C0",historico_VU!C135,IF($F$4="C1",historico_VU!D135,IF($F$4="C2",historico_VU!E135,IF($F$4="C3",historico_VU!F135,historico_VU!G135)))))</f>
        <v/>
      </c>
      <c r="O187" s="176" t="str">
        <f>IF(J187="","",IF(CONTROLE!$B$1="Principal",IF(OR(K187="",M187=""),"",ROUND(K187*M187,2)),IF(CONTROLE!$B$1="Itens Consumidos",IF(OR(L187="",M187=""),"",ROUND(L187*M187,2)),"")))</f>
        <v/>
      </c>
      <c r="P187" s="176" t="str">
        <f>IF(J187="","",IF(CONTROLE!$B$1="Principal",IF(OR(K187="",N187=""),"",ROUND(K187*N187,2)),IF(CONTROLE!$B$1="Itens Consumidos",IF(OR(L187="",N187=""),"",ROUND(L187*N187,2)),"")))</f>
        <v/>
      </c>
      <c r="Q187" s="177" t="str">
        <f>IF(J187="","",IF(OR(M187="",AND(CONTROLE!$B$1="Principal",K187=""),AND(CONTROLE!$B$1="Itens Consumidos",L187="")),"INCOMPLETO",IF(CONTROLE!$B$1="Pedidos de Compras","MANUAL",IF(AND(ISNUMBER(K187),ISNUMBER(L187),ABS(K187-L187)/MAX(ABS(IF(CONTROLE!$B$1="Principal",K187,L187)),1)&gt;$D$4),"DIVERGENTE","OK"))))</f>
        <v/>
      </c>
    </row>
    <row r="188" spans="1:17" x14ac:dyDescent="0.35">
      <c r="A188" s="172" t="str">
        <f>IF(historico_VU!A136="","",historico_VU!A136)</f>
        <v/>
      </c>
      <c r="B188" s="173" t="str">
        <f>IF(A188="","",historico_VU!B136)</f>
        <v/>
      </c>
      <c r="C188" s="174" t="str">
        <f>IF(A188="","",historico_VU!C136)</f>
        <v/>
      </c>
      <c r="D188" s="174" t="str">
        <f>IF(A188="","",historico_VU!D136)</f>
        <v/>
      </c>
      <c r="E188" s="174" t="str">
        <f>IF(A188="","",historico_VU!E136)</f>
        <v/>
      </c>
      <c r="F188" s="174" t="str">
        <f>IF(A188="","",historico_VU!F136)</f>
        <v/>
      </c>
      <c r="G188" s="174" t="str">
        <f>IF(A188="","",historico_VU!G136)</f>
        <v/>
      </c>
      <c r="H188" s="175" t="str">
        <f>IF(A188="","",historico_VU!H136)</f>
        <v/>
      </c>
      <c r="I188" s="77"/>
      <c r="J188" s="172" t="str">
        <f>IF(itens_Remanesc!A136="","",itens_Remanesc!A136)</f>
        <v/>
      </c>
      <c r="K188" s="173" t="str">
        <f>IF(J188="","",IF($F$4="C0",itens_Remanesc!B136,IF($F$4="C1",itens_Remanesc!E136,IF($F$4="C2",itens_Remanesc!G136,IF($F$4="C3",itens_Remanesc!I136,itens_Remanesc!K136)))))</f>
        <v/>
      </c>
      <c r="L188" s="173" t="str">
        <f>IF(J188="","",IF(SUMIF(itens_Consumidos!$A$2:$A$200,J188,itens_Consumidos!$B$2:$B$200)-SUMIF(itens_Consumidos!$A$2:$A$200,J188,itens_Consumidos!$O$2:$O$200)&lt;0,0,SUMIF(itens_Consumidos!$A$2:$A$200,J188,itens_Consumidos!$B$2:$B$200)-SUMIF(itens_Consumidos!$A$2:$A$200,J188,itens_Consumidos!$O$2:$O$200)))</f>
        <v/>
      </c>
      <c r="M188" s="176" t="str">
        <f>IF(J188="","",itens_Remanesc!C136)</f>
        <v/>
      </c>
      <c r="N188" s="176" t="str">
        <f>IF(J188="","",IF($F$4="C0",historico_VU!C136,IF($F$4="C1",historico_VU!D136,IF($F$4="C2",historico_VU!E136,IF($F$4="C3",historico_VU!F136,historico_VU!G136)))))</f>
        <v/>
      </c>
      <c r="O188" s="176" t="str">
        <f>IF(J188="","",IF(CONTROLE!$B$1="Principal",IF(OR(K188="",M188=""),"",ROUND(K188*M188,2)),IF(CONTROLE!$B$1="Itens Consumidos",IF(OR(L188="",M188=""),"",ROUND(L188*M188,2)),"")))</f>
        <v/>
      </c>
      <c r="P188" s="176" t="str">
        <f>IF(J188="","",IF(CONTROLE!$B$1="Principal",IF(OR(K188="",N188=""),"",ROUND(K188*N188,2)),IF(CONTROLE!$B$1="Itens Consumidos",IF(OR(L188="",N188=""),"",ROUND(L188*N188,2)),"")))</f>
        <v/>
      </c>
      <c r="Q188" s="177" t="str">
        <f>IF(J188="","",IF(OR(M188="",AND(CONTROLE!$B$1="Principal",K188=""),AND(CONTROLE!$B$1="Itens Consumidos",L188="")),"INCOMPLETO",IF(CONTROLE!$B$1="Pedidos de Compras","MANUAL",IF(AND(ISNUMBER(K188),ISNUMBER(L188),ABS(K188-L188)/MAX(ABS(IF(CONTROLE!$B$1="Principal",K188,L188)),1)&gt;$D$4),"DIVERGENTE","OK"))))</f>
        <v/>
      </c>
    </row>
    <row r="189" spans="1:17" x14ac:dyDescent="0.35">
      <c r="A189" s="172" t="str">
        <f>IF(historico_VU!A137="","",historico_VU!A137)</f>
        <v/>
      </c>
      <c r="B189" s="173" t="str">
        <f>IF(A189="","",historico_VU!B137)</f>
        <v/>
      </c>
      <c r="C189" s="174" t="str">
        <f>IF(A189="","",historico_VU!C137)</f>
        <v/>
      </c>
      <c r="D189" s="174" t="str">
        <f>IF(A189="","",historico_VU!D137)</f>
        <v/>
      </c>
      <c r="E189" s="174" t="str">
        <f>IF(A189="","",historico_VU!E137)</f>
        <v/>
      </c>
      <c r="F189" s="174" t="str">
        <f>IF(A189="","",historico_VU!F137)</f>
        <v/>
      </c>
      <c r="G189" s="174" t="str">
        <f>IF(A189="","",historico_VU!G137)</f>
        <v/>
      </c>
      <c r="H189" s="175" t="str">
        <f>IF(A189="","",historico_VU!H137)</f>
        <v/>
      </c>
      <c r="I189" s="77"/>
      <c r="J189" s="172" t="str">
        <f>IF(itens_Remanesc!A137="","",itens_Remanesc!A137)</f>
        <v/>
      </c>
      <c r="K189" s="173" t="str">
        <f>IF(J189="","",IF($F$4="C0",itens_Remanesc!B137,IF($F$4="C1",itens_Remanesc!E137,IF($F$4="C2",itens_Remanesc!G137,IF($F$4="C3",itens_Remanesc!I137,itens_Remanesc!K137)))))</f>
        <v/>
      </c>
      <c r="L189" s="173" t="str">
        <f>IF(J189="","",IF(SUMIF(itens_Consumidos!$A$2:$A$200,J189,itens_Consumidos!$B$2:$B$200)-SUMIF(itens_Consumidos!$A$2:$A$200,J189,itens_Consumidos!$O$2:$O$200)&lt;0,0,SUMIF(itens_Consumidos!$A$2:$A$200,J189,itens_Consumidos!$B$2:$B$200)-SUMIF(itens_Consumidos!$A$2:$A$200,J189,itens_Consumidos!$O$2:$O$200)))</f>
        <v/>
      </c>
      <c r="M189" s="176" t="str">
        <f>IF(J189="","",itens_Remanesc!C137)</f>
        <v/>
      </c>
      <c r="N189" s="176" t="str">
        <f>IF(J189="","",IF($F$4="C0",historico_VU!C137,IF($F$4="C1",historico_VU!D137,IF($F$4="C2",historico_VU!E137,IF($F$4="C3",historico_VU!F137,historico_VU!G137)))))</f>
        <v/>
      </c>
      <c r="O189" s="176" t="str">
        <f>IF(J189="","",IF(CONTROLE!$B$1="Principal",IF(OR(K189="",M189=""),"",ROUND(K189*M189,2)),IF(CONTROLE!$B$1="Itens Consumidos",IF(OR(L189="",M189=""),"",ROUND(L189*M189,2)),"")))</f>
        <v/>
      </c>
      <c r="P189" s="176" t="str">
        <f>IF(J189="","",IF(CONTROLE!$B$1="Principal",IF(OR(K189="",N189=""),"",ROUND(K189*N189,2)),IF(CONTROLE!$B$1="Itens Consumidos",IF(OR(L189="",N189=""),"",ROUND(L189*N189,2)),"")))</f>
        <v/>
      </c>
      <c r="Q189" s="177" t="str">
        <f>IF(J189="","",IF(OR(M189="",AND(CONTROLE!$B$1="Principal",K189=""),AND(CONTROLE!$B$1="Itens Consumidos",L189="")),"INCOMPLETO",IF(CONTROLE!$B$1="Pedidos de Compras","MANUAL",IF(AND(ISNUMBER(K189),ISNUMBER(L189),ABS(K189-L189)/MAX(ABS(IF(CONTROLE!$B$1="Principal",K189,L189)),1)&gt;$D$4),"DIVERGENTE","OK"))))</f>
        <v/>
      </c>
    </row>
    <row r="190" spans="1:17" x14ac:dyDescent="0.35">
      <c r="A190" s="172" t="str">
        <f>IF(historico_VU!A138="","",historico_VU!A138)</f>
        <v/>
      </c>
      <c r="B190" s="173" t="str">
        <f>IF(A190="","",historico_VU!B138)</f>
        <v/>
      </c>
      <c r="C190" s="174" t="str">
        <f>IF(A190="","",historico_VU!C138)</f>
        <v/>
      </c>
      <c r="D190" s="174" t="str">
        <f>IF(A190="","",historico_VU!D138)</f>
        <v/>
      </c>
      <c r="E190" s="174" t="str">
        <f>IF(A190="","",historico_VU!E138)</f>
        <v/>
      </c>
      <c r="F190" s="174" t="str">
        <f>IF(A190="","",historico_VU!F138)</f>
        <v/>
      </c>
      <c r="G190" s="174" t="str">
        <f>IF(A190="","",historico_VU!G138)</f>
        <v/>
      </c>
      <c r="H190" s="175" t="str">
        <f>IF(A190="","",historico_VU!H138)</f>
        <v/>
      </c>
      <c r="I190" s="77"/>
      <c r="J190" s="172" t="str">
        <f>IF(itens_Remanesc!A138="","",itens_Remanesc!A138)</f>
        <v/>
      </c>
      <c r="K190" s="173" t="str">
        <f>IF(J190="","",IF($F$4="C0",itens_Remanesc!B138,IF($F$4="C1",itens_Remanesc!E138,IF($F$4="C2",itens_Remanesc!G138,IF($F$4="C3",itens_Remanesc!I138,itens_Remanesc!K138)))))</f>
        <v/>
      </c>
      <c r="L190" s="173" t="str">
        <f>IF(J190="","",IF(SUMIF(itens_Consumidos!$A$2:$A$200,J190,itens_Consumidos!$B$2:$B$200)-SUMIF(itens_Consumidos!$A$2:$A$200,J190,itens_Consumidos!$O$2:$O$200)&lt;0,0,SUMIF(itens_Consumidos!$A$2:$A$200,J190,itens_Consumidos!$B$2:$B$200)-SUMIF(itens_Consumidos!$A$2:$A$200,J190,itens_Consumidos!$O$2:$O$200)))</f>
        <v/>
      </c>
      <c r="M190" s="176" t="str">
        <f>IF(J190="","",itens_Remanesc!C138)</f>
        <v/>
      </c>
      <c r="N190" s="176" t="str">
        <f>IF(J190="","",IF($F$4="C0",historico_VU!C138,IF($F$4="C1",historico_VU!D138,IF($F$4="C2",historico_VU!E138,IF($F$4="C3",historico_VU!F138,historico_VU!G138)))))</f>
        <v/>
      </c>
      <c r="O190" s="176" t="str">
        <f>IF(J190="","",IF(CONTROLE!$B$1="Principal",IF(OR(K190="",M190=""),"",ROUND(K190*M190,2)),IF(CONTROLE!$B$1="Itens Consumidos",IF(OR(L190="",M190=""),"",ROUND(L190*M190,2)),"")))</f>
        <v/>
      </c>
      <c r="P190" s="176" t="str">
        <f>IF(J190="","",IF(CONTROLE!$B$1="Principal",IF(OR(K190="",N190=""),"",ROUND(K190*N190,2)),IF(CONTROLE!$B$1="Itens Consumidos",IF(OR(L190="",N190=""),"",ROUND(L190*N190,2)),"")))</f>
        <v/>
      </c>
      <c r="Q190" s="177" t="str">
        <f>IF(J190="","",IF(OR(M190="",AND(CONTROLE!$B$1="Principal",K190=""),AND(CONTROLE!$B$1="Itens Consumidos",L190="")),"INCOMPLETO",IF(CONTROLE!$B$1="Pedidos de Compras","MANUAL",IF(AND(ISNUMBER(K190),ISNUMBER(L190),ABS(K190-L190)/MAX(ABS(IF(CONTROLE!$B$1="Principal",K190,L190)),1)&gt;$D$4),"DIVERGENTE","OK"))))</f>
        <v/>
      </c>
    </row>
    <row r="191" spans="1:17" x14ac:dyDescent="0.35">
      <c r="A191" s="172" t="str">
        <f>IF(historico_VU!A139="","",historico_VU!A139)</f>
        <v/>
      </c>
      <c r="B191" s="173" t="str">
        <f>IF(A191="","",historico_VU!B139)</f>
        <v/>
      </c>
      <c r="C191" s="174" t="str">
        <f>IF(A191="","",historico_VU!C139)</f>
        <v/>
      </c>
      <c r="D191" s="174" t="str">
        <f>IF(A191="","",historico_VU!D139)</f>
        <v/>
      </c>
      <c r="E191" s="174" t="str">
        <f>IF(A191="","",historico_VU!E139)</f>
        <v/>
      </c>
      <c r="F191" s="174" t="str">
        <f>IF(A191="","",historico_VU!F139)</f>
        <v/>
      </c>
      <c r="G191" s="174" t="str">
        <f>IF(A191="","",historico_VU!G139)</f>
        <v/>
      </c>
      <c r="H191" s="175" t="str">
        <f>IF(A191="","",historico_VU!H139)</f>
        <v/>
      </c>
      <c r="I191" s="77"/>
      <c r="J191" s="172" t="str">
        <f>IF(itens_Remanesc!A139="","",itens_Remanesc!A139)</f>
        <v/>
      </c>
      <c r="K191" s="173" t="str">
        <f>IF(J191="","",IF($F$4="C0",itens_Remanesc!B139,IF($F$4="C1",itens_Remanesc!E139,IF($F$4="C2",itens_Remanesc!G139,IF($F$4="C3",itens_Remanesc!I139,itens_Remanesc!K139)))))</f>
        <v/>
      </c>
      <c r="L191" s="173" t="str">
        <f>IF(J191="","",IF(SUMIF(itens_Consumidos!$A$2:$A$200,J191,itens_Consumidos!$B$2:$B$200)-SUMIF(itens_Consumidos!$A$2:$A$200,J191,itens_Consumidos!$O$2:$O$200)&lt;0,0,SUMIF(itens_Consumidos!$A$2:$A$200,J191,itens_Consumidos!$B$2:$B$200)-SUMIF(itens_Consumidos!$A$2:$A$200,J191,itens_Consumidos!$O$2:$O$200)))</f>
        <v/>
      </c>
      <c r="M191" s="176" t="str">
        <f>IF(J191="","",itens_Remanesc!C139)</f>
        <v/>
      </c>
      <c r="N191" s="176" t="str">
        <f>IF(J191="","",IF($F$4="C0",historico_VU!C139,IF($F$4="C1",historico_VU!D139,IF($F$4="C2",historico_VU!E139,IF($F$4="C3",historico_VU!F139,historico_VU!G139)))))</f>
        <v/>
      </c>
      <c r="O191" s="176" t="str">
        <f>IF(J191="","",IF(CONTROLE!$B$1="Principal",IF(OR(K191="",M191=""),"",ROUND(K191*M191,2)),IF(CONTROLE!$B$1="Itens Consumidos",IF(OR(L191="",M191=""),"",ROUND(L191*M191,2)),"")))</f>
        <v/>
      </c>
      <c r="P191" s="176" t="str">
        <f>IF(J191="","",IF(CONTROLE!$B$1="Principal",IF(OR(K191="",N191=""),"",ROUND(K191*N191,2)),IF(CONTROLE!$B$1="Itens Consumidos",IF(OR(L191="",N191=""),"",ROUND(L191*N191,2)),"")))</f>
        <v/>
      </c>
      <c r="Q191" s="177" t="str">
        <f>IF(J191="","",IF(OR(M191="",AND(CONTROLE!$B$1="Principal",K191=""),AND(CONTROLE!$B$1="Itens Consumidos",L191="")),"INCOMPLETO",IF(CONTROLE!$B$1="Pedidos de Compras","MANUAL",IF(AND(ISNUMBER(K191),ISNUMBER(L191),ABS(K191-L191)/MAX(ABS(IF(CONTROLE!$B$1="Principal",K191,L191)),1)&gt;$D$4),"DIVERGENTE","OK"))))</f>
        <v/>
      </c>
    </row>
    <row r="192" spans="1:17" x14ac:dyDescent="0.35">
      <c r="A192" s="172" t="str">
        <f>IF(historico_VU!A140="","",historico_VU!A140)</f>
        <v/>
      </c>
      <c r="B192" s="173" t="str">
        <f>IF(A192="","",historico_VU!B140)</f>
        <v/>
      </c>
      <c r="C192" s="174" t="str">
        <f>IF(A192="","",historico_VU!C140)</f>
        <v/>
      </c>
      <c r="D192" s="174" t="str">
        <f>IF(A192="","",historico_VU!D140)</f>
        <v/>
      </c>
      <c r="E192" s="174" t="str">
        <f>IF(A192="","",historico_VU!E140)</f>
        <v/>
      </c>
      <c r="F192" s="174" t="str">
        <f>IF(A192="","",historico_VU!F140)</f>
        <v/>
      </c>
      <c r="G192" s="174" t="str">
        <f>IF(A192="","",historico_VU!G140)</f>
        <v/>
      </c>
      <c r="H192" s="175" t="str">
        <f>IF(A192="","",historico_VU!H140)</f>
        <v/>
      </c>
      <c r="I192" s="77"/>
      <c r="J192" s="172" t="str">
        <f>IF(itens_Remanesc!A140="","",itens_Remanesc!A140)</f>
        <v/>
      </c>
      <c r="K192" s="173" t="str">
        <f>IF(J192="","",IF($F$4="C0",itens_Remanesc!B140,IF($F$4="C1",itens_Remanesc!E140,IF($F$4="C2",itens_Remanesc!G140,IF($F$4="C3",itens_Remanesc!I140,itens_Remanesc!K140)))))</f>
        <v/>
      </c>
      <c r="L192" s="173" t="str">
        <f>IF(J192="","",IF(SUMIF(itens_Consumidos!$A$2:$A$200,J192,itens_Consumidos!$B$2:$B$200)-SUMIF(itens_Consumidos!$A$2:$A$200,J192,itens_Consumidos!$O$2:$O$200)&lt;0,0,SUMIF(itens_Consumidos!$A$2:$A$200,J192,itens_Consumidos!$B$2:$B$200)-SUMIF(itens_Consumidos!$A$2:$A$200,J192,itens_Consumidos!$O$2:$O$200)))</f>
        <v/>
      </c>
      <c r="M192" s="176" t="str">
        <f>IF(J192="","",itens_Remanesc!C140)</f>
        <v/>
      </c>
      <c r="N192" s="176" t="str">
        <f>IF(J192="","",IF($F$4="C0",historico_VU!C140,IF($F$4="C1",historico_VU!D140,IF($F$4="C2",historico_VU!E140,IF($F$4="C3",historico_VU!F140,historico_VU!G140)))))</f>
        <v/>
      </c>
      <c r="O192" s="176" t="str">
        <f>IF(J192="","",IF(CONTROLE!$B$1="Principal",IF(OR(K192="",M192=""),"",ROUND(K192*M192,2)),IF(CONTROLE!$B$1="Itens Consumidos",IF(OR(L192="",M192=""),"",ROUND(L192*M192,2)),"")))</f>
        <v/>
      </c>
      <c r="P192" s="176" t="str">
        <f>IF(J192="","",IF(CONTROLE!$B$1="Principal",IF(OR(K192="",N192=""),"",ROUND(K192*N192,2)),IF(CONTROLE!$B$1="Itens Consumidos",IF(OR(L192="",N192=""),"",ROUND(L192*N192,2)),"")))</f>
        <v/>
      </c>
      <c r="Q192" s="177" t="str">
        <f>IF(J192="","",IF(OR(M192="",AND(CONTROLE!$B$1="Principal",K192=""),AND(CONTROLE!$B$1="Itens Consumidos",L192="")),"INCOMPLETO",IF(CONTROLE!$B$1="Pedidos de Compras","MANUAL",IF(AND(ISNUMBER(K192),ISNUMBER(L192),ABS(K192-L192)/MAX(ABS(IF(CONTROLE!$B$1="Principal",K192,L192)),1)&gt;$D$4),"DIVERGENTE","OK"))))</f>
        <v/>
      </c>
    </row>
    <row r="193" spans="1:17" x14ac:dyDescent="0.35">
      <c r="A193" s="172" t="str">
        <f>IF(historico_VU!A141="","",historico_VU!A141)</f>
        <v/>
      </c>
      <c r="B193" s="173" t="str">
        <f>IF(A193="","",historico_VU!B141)</f>
        <v/>
      </c>
      <c r="C193" s="174" t="str">
        <f>IF(A193="","",historico_VU!C141)</f>
        <v/>
      </c>
      <c r="D193" s="174" t="str">
        <f>IF(A193="","",historico_VU!D141)</f>
        <v/>
      </c>
      <c r="E193" s="174" t="str">
        <f>IF(A193="","",historico_VU!E141)</f>
        <v/>
      </c>
      <c r="F193" s="174" t="str">
        <f>IF(A193="","",historico_VU!F141)</f>
        <v/>
      </c>
      <c r="G193" s="174" t="str">
        <f>IF(A193="","",historico_VU!G141)</f>
        <v/>
      </c>
      <c r="H193" s="175" t="str">
        <f>IF(A193="","",historico_VU!H141)</f>
        <v/>
      </c>
      <c r="I193" s="77"/>
      <c r="J193" s="172" t="str">
        <f>IF(itens_Remanesc!A141="","",itens_Remanesc!A141)</f>
        <v/>
      </c>
      <c r="K193" s="173" t="str">
        <f>IF(J193="","",IF($F$4="C0",itens_Remanesc!B141,IF($F$4="C1",itens_Remanesc!E141,IF($F$4="C2",itens_Remanesc!G141,IF($F$4="C3",itens_Remanesc!I141,itens_Remanesc!K141)))))</f>
        <v/>
      </c>
      <c r="L193" s="173" t="str">
        <f>IF(J193="","",IF(SUMIF(itens_Consumidos!$A$2:$A$200,J193,itens_Consumidos!$B$2:$B$200)-SUMIF(itens_Consumidos!$A$2:$A$200,J193,itens_Consumidos!$O$2:$O$200)&lt;0,0,SUMIF(itens_Consumidos!$A$2:$A$200,J193,itens_Consumidos!$B$2:$B$200)-SUMIF(itens_Consumidos!$A$2:$A$200,J193,itens_Consumidos!$O$2:$O$200)))</f>
        <v/>
      </c>
      <c r="M193" s="176" t="str">
        <f>IF(J193="","",itens_Remanesc!C141)</f>
        <v/>
      </c>
      <c r="N193" s="176" t="str">
        <f>IF(J193="","",IF($F$4="C0",historico_VU!C141,IF($F$4="C1",historico_VU!D141,IF($F$4="C2",historico_VU!E141,IF($F$4="C3",historico_VU!F141,historico_VU!G141)))))</f>
        <v/>
      </c>
      <c r="O193" s="176" t="str">
        <f>IF(J193="","",IF(CONTROLE!$B$1="Principal",IF(OR(K193="",M193=""),"",ROUND(K193*M193,2)),IF(CONTROLE!$B$1="Itens Consumidos",IF(OR(L193="",M193=""),"",ROUND(L193*M193,2)),"")))</f>
        <v/>
      </c>
      <c r="P193" s="176" t="str">
        <f>IF(J193="","",IF(CONTROLE!$B$1="Principal",IF(OR(K193="",N193=""),"",ROUND(K193*N193,2)),IF(CONTROLE!$B$1="Itens Consumidos",IF(OR(L193="",N193=""),"",ROUND(L193*N193,2)),"")))</f>
        <v/>
      </c>
      <c r="Q193" s="177" t="str">
        <f>IF(J193="","",IF(OR(M193="",AND(CONTROLE!$B$1="Principal",K193=""),AND(CONTROLE!$B$1="Itens Consumidos",L193="")),"INCOMPLETO",IF(CONTROLE!$B$1="Pedidos de Compras","MANUAL",IF(AND(ISNUMBER(K193),ISNUMBER(L193),ABS(K193-L193)/MAX(ABS(IF(CONTROLE!$B$1="Principal",K193,L193)),1)&gt;$D$4),"DIVERGENTE","OK"))))</f>
        <v/>
      </c>
    </row>
    <row r="194" spans="1:17" x14ac:dyDescent="0.35">
      <c r="A194" s="172" t="str">
        <f>IF(historico_VU!A142="","",historico_VU!A142)</f>
        <v/>
      </c>
      <c r="B194" s="173" t="str">
        <f>IF(A194="","",historico_VU!B142)</f>
        <v/>
      </c>
      <c r="C194" s="174" t="str">
        <f>IF(A194="","",historico_VU!C142)</f>
        <v/>
      </c>
      <c r="D194" s="174" t="str">
        <f>IF(A194="","",historico_VU!D142)</f>
        <v/>
      </c>
      <c r="E194" s="174" t="str">
        <f>IF(A194="","",historico_VU!E142)</f>
        <v/>
      </c>
      <c r="F194" s="174" t="str">
        <f>IF(A194="","",historico_VU!F142)</f>
        <v/>
      </c>
      <c r="G194" s="174" t="str">
        <f>IF(A194="","",historico_VU!G142)</f>
        <v/>
      </c>
      <c r="H194" s="175" t="str">
        <f>IF(A194="","",historico_VU!H142)</f>
        <v/>
      </c>
      <c r="I194" s="77"/>
      <c r="J194" s="172" t="str">
        <f>IF(itens_Remanesc!A142="","",itens_Remanesc!A142)</f>
        <v/>
      </c>
      <c r="K194" s="173" t="str">
        <f>IF(J194="","",IF($F$4="C0",itens_Remanesc!B142,IF($F$4="C1",itens_Remanesc!E142,IF($F$4="C2",itens_Remanesc!G142,IF($F$4="C3",itens_Remanesc!I142,itens_Remanesc!K142)))))</f>
        <v/>
      </c>
      <c r="L194" s="173" t="str">
        <f>IF(J194="","",IF(SUMIF(itens_Consumidos!$A$2:$A$200,J194,itens_Consumidos!$B$2:$B$200)-SUMIF(itens_Consumidos!$A$2:$A$200,J194,itens_Consumidos!$O$2:$O$200)&lt;0,0,SUMIF(itens_Consumidos!$A$2:$A$200,J194,itens_Consumidos!$B$2:$B$200)-SUMIF(itens_Consumidos!$A$2:$A$200,J194,itens_Consumidos!$O$2:$O$200)))</f>
        <v/>
      </c>
      <c r="M194" s="176" t="str">
        <f>IF(J194="","",itens_Remanesc!C142)</f>
        <v/>
      </c>
      <c r="N194" s="176" t="str">
        <f>IF(J194="","",IF($F$4="C0",historico_VU!C142,IF($F$4="C1",historico_VU!D142,IF($F$4="C2",historico_VU!E142,IF($F$4="C3",historico_VU!F142,historico_VU!G142)))))</f>
        <v/>
      </c>
      <c r="O194" s="176" t="str">
        <f>IF(J194="","",IF(CONTROLE!$B$1="Principal",IF(OR(K194="",M194=""),"",ROUND(K194*M194,2)),IF(CONTROLE!$B$1="Itens Consumidos",IF(OR(L194="",M194=""),"",ROUND(L194*M194,2)),"")))</f>
        <v/>
      </c>
      <c r="P194" s="176" t="str">
        <f>IF(J194="","",IF(CONTROLE!$B$1="Principal",IF(OR(K194="",N194=""),"",ROUND(K194*N194,2)),IF(CONTROLE!$B$1="Itens Consumidos",IF(OR(L194="",N194=""),"",ROUND(L194*N194,2)),"")))</f>
        <v/>
      </c>
      <c r="Q194" s="177" t="str">
        <f>IF(J194="","",IF(OR(M194="",AND(CONTROLE!$B$1="Principal",K194=""),AND(CONTROLE!$B$1="Itens Consumidos",L194="")),"INCOMPLETO",IF(CONTROLE!$B$1="Pedidos de Compras","MANUAL",IF(AND(ISNUMBER(K194),ISNUMBER(L194),ABS(K194-L194)/MAX(ABS(IF(CONTROLE!$B$1="Principal",K194,L194)),1)&gt;$D$4),"DIVERGENTE","OK"))))</f>
        <v/>
      </c>
    </row>
    <row r="195" spans="1:17" x14ac:dyDescent="0.35">
      <c r="A195" s="172" t="str">
        <f>IF(historico_VU!A143="","",historico_VU!A143)</f>
        <v/>
      </c>
      <c r="B195" s="173" t="str">
        <f>IF(A195="","",historico_VU!B143)</f>
        <v/>
      </c>
      <c r="C195" s="174" t="str">
        <f>IF(A195="","",historico_VU!C143)</f>
        <v/>
      </c>
      <c r="D195" s="174" t="str">
        <f>IF(A195="","",historico_VU!D143)</f>
        <v/>
      </c>
      <c r="E195" s="174" t="str">
        <f>IF(A195="","",historico_VU!E143)</f>
        <v/>
      </c>
      <c r="F195" s="174" t="str">
        <f>IF(A195="","",historico_VU!F143)</f>
        <v/>
      </c>
      <c r="G195" s="174" t="str">
        <f>IF(A195="","",historico_VU!G143)</f>
        <v/>
      </c>
      <c r="H195" s="175" t="str">
        <f>IF(A195="","",historico_VU!H143)</f>
        <v/>
      </c>
      <c r="I195" s="77"/>
      <c r="J195" s="172" t="str">
        <f>IF(itens_Remanesc!A143="","",itens_Remanesc!A143)</f>
        <v/>
      </c>
      <c r="K195" s="173" t="str">
        <f>IF(J195="","",IF($F$4="C0",itens_Remanesc!B143,IF($F$4="C1",itens_Remanesc!E143,IF($F$4="C2",itens_Remanesc!G143,IF($F$4="C3",itens_Remanesc!I143,itens_Remanesc!K143)))))</f>
        <v/>
      </c>
      <c r="L195" s="173" t="str">
        <f>IF(J195="","",IF(SUMIF(itens_Consumidos!$A$2:$A$200,J195,itens_Consumidos!$B$2:$B$200)-SUMIF(itens_Consumidos!$A$2:$A$200,J195,itens_Consumidos!$O$2:$O$200)&lt;0,0,SUMIF(itens_Consumidos!$A$2:$A$200,J195,itens_Consumidos!$B$2:$B$200)-SUMIF(itens_Consumidos!$A$2:$A$200,J195,itens_Consumidos!$O$2:$O$200)))</f>
        <v/>
      </c>
      <c r="M195" s="176" t="str">
        <f>IF(J195="","",itens_Remanesc!C143)</f>
        <v/>
      </c>
      <c r="N195" s="176" t="str">
        <f>IF(J195="","",IF($F$4="C0",historico_VU!C143,IF($F$4="C1",historico_VU!D143,IF($F$4="C2",historico_VU!E143,IF($F$4="C3",historico_VU!F143,historico_VU!G143)))))</f>
        <v/>
      </c>
      <c r="O195" s="176" t="str">
        <f>IF(J195="","",IF(CONTROLE!$B$1="Principal",IF(OR(K195="",M195=""),"",ROUND(K195*M195,2)),IF(CONTROLE!$B$1="Itens Consumidos",IF(OR(L195="",M195=""),"",ROUND(L195*M195,2)),"")))</f>
        <v/>
      </c>
      <c r="P195" s="176" t="str">
        <f>IF(J195="","",IF(CONTROLE!$B$1="Principal",IF(OR(K195="",N195=""),"",ROUND(K195*N195,2)),IF(CONTROLE!$B$1="Itens Consumidos",IF(OR(L195="",N195=""),"",ROUND(L195*N195,2)),"")))</f>
        <v/>
      </c>
      <c r="Q195" s="177" t="str">
        <f>IF(J195="","",IF(OR(M195="",AND(CONTROLE!$B$1="Principal",K195=""),AND(CONTROLE!$B$1="Itens Consumidos",L195="")),"INCOMPLETO",IF(CONTROLE!$B$1="Pedidos de Compras","MANUAL",IF(AND(ISNUMBER(K195),ISNUMBER(L195),ABS(K195-L195)/MAX(ABS(IF(CONTROLE!$B$1="Principal",K195,L195)),1)&gt;$D$4),"DIVERGENTE","OK"))))</f>
        <v/>
      </c>
    </row>
    <row r="196" spans="1:17" x14ac:dyDescent="0.35">
      <c r="A196" s="172" t="str">
        <f>IF(historico_VU!A144="","",historico_VU!A144)</f>
        <v/>
      </c>
      <c r="B196" s="173" t="str">
        <f>IF(A196="","",historico_VU!B144)</f>
        <v/>
      </c>
      <c r="C196" s="174" t="str">
        <f>IF(A196="","",historico_VU!C144)</f>
        <v/>
      </c>
      <c r="D196" s="174" t="str">
        <f>IF(A196="","",historico_VU!D144)</f>
        <v/>
      </c>
      <c r="E196" s="174" t="str">
        <f>IF(A196="","",historico_VU!E144)</f>
        <v/>
      </c>
      <c r="F196" s="174" t="str">
        <f>IF(A196="","",historico_VU!F144)</f>
        <v/>
      </c>
      <c r="G196" s="174" t="str">
        <f>IF(A196="","",historico_VU!G144)</f>
        <v/>
      </c>
      <c r="H196" s="175" t="str">
        <f>IF(A196="","",historico_VU!H144)</f>
        <v/>
      </c>
      <c r="I196" s="77"/>
      <c r="J196" s="172" t="str">
        <f>IF(itens_Remanesc!A144="","",itens_Remanesc!A144)</f>
        <v/>
      </c>
      <c r="K196" s="173" t="str">
        <f>IF(J196="","",IF($F$4="C0",itens_Remanesc!B144,IF($F$4="C1",itens_Remanesc!E144,IF($F$4="C2",itens_Remanesc!G144,IF($F$4="C3",itens_Remanesc!I144,itens_Remanesc!K144)))))</f>
        <v/>
      </c>
      <c r="L196" s="173" t="str">
        <f>IF(J196="","",IF(SUMIF(itens_Consumidos!$A$2:$A$200,J196,itens_Consumidos!$B$2:$B$200)-SUMIF(itens_Consumidos!$A$2:$A$200,J196,itens_Consumidos!$O$2:$O$200)&lt;0,0,SUMIF(itens_Consumidos!$A$2:$A$200,J196,itens_Consumidos!$B$2:$B$200)-SUMIF(itens_Consumidos!$A$2:$A$200,J196,itens_Consumidos!$O$2:$O$200)))</f>
        <v/>
      </c>
      <c r="M196" s="176" t="str">
        <f>IF(J196="","",itens_Remanesc!C144)</f>
        <v/>
      </c>
      <c r="N196" s="176" t="str">
        <f>IF(J196="","",IF($F$4="C0",historico_VU!C144,IF($F$4="C1",historico_VU!D144,IF($F$4="C2",historico_VU!E144,IF($F$4="C3",historico_VU!F144,historico_VU!G144)))))</f>
        <v/>
      </c>
      <c r="O196" s="176" t="str">
        <f>IF(J196="","",IF(CONTROLE!$B$1="Principal",IF(OR(K196="",M196=""),"",ROUND(K196*M196,2)),IF(CONTROLE!$B$1="Itens Consumidos",IF(OR(L196="",M196=""),"",ROUND(L196*M196,2)),"")))</f>
        <v/>
      </c>
      <c r="P196" s="176" t="str">
        <f>IF(J196="","",IF(CONTROLE!$B$1="Principal",IF(OR(K196="",N196=""),"",ROUND(K196*N196,2)),IF(CONTROLE!$B$1="Itens Consumidos",IF(OR(L196="",N196=""),"",ROUND(L196*N196,2)),"")))</f>
        <v/>
      </c>
      <c r="Q196" s="177" t="str">
        <f>IF(J196="","",IF(OR(M196="",AND(CONTROLE!$B$1="Principal",K196=""),AND(CONTROLE!$B$1="Itens Consumidos",L196="")),"INCOMPLETO",IF(CONTROLE!$B$1="Pedidos de Compras","MANUAL",IF(AND(ISNUMBER(K196),ISNUMBER(L196),ABS(K196-L196)/MAX(ABS(IF(CONTROLE!$B$1="Principal",K196,L196)),1)&gt;$D$4),"DIVERGENTE","OK"))))</f>
        <v/>
      </c>
    </row>
    <row r="197" spans="1:17" x14ac:dyDescent="0.35">
      <c r="A197" s="172" t="str">
        <f>IF(historico_VU!A145="","",historico_VU!A145)</f>
        <v/>
      </c>
      <c r="B197" s="173" t="str">
        <f>IF(A197="","",historico_VU!B145)</f>
        <v/>
      </c>
      <c r="C197" s="174" t="str">
        <f>IF(A197="","",historico_VU!C145)</f>
        <v/>
      </c>
      <c r="D197" s="174" t="str">
        <f>IF(A197="","",historico_VU!D145)</f>
        <v/>
      </c>
      <c r="E197" s="174" t="str">
        <f>IF(A197="","",historico_VU!E145)</f>
        <v/>
      </c>
      <c r="F197" s="174" t="str">
        <f>IF(A197="","",historico_VU!F145)</f>
        <v/>
      </c>
      <c r="G197" s="174" t="str">
        <f>IF(A197="","",historico_VU!G145)</f>
        <v/>
      </c>
      <c r="H197" s="175" t="str">
        <f>IF(A197="","",historico_VU!H145)</f>
        <v/>
      </c>
      <c r="I197" s="77"/>
      <c r="J197" s="172" t="str">
        <f>IF(itens_Remanesc!A145="","",itens_Remanesc!A145)</f>
        <v/>
      </c>
      <c r="K197" s="173" t="str">
        <f>IF(J197="","",IF($F$4="C0",itens_Remanesc!B145,IF($F$4="C1",itens_Remanesc!E145,IF($F$4="C2",itens_Remanesc!G145,IF($F$4="C3",itens_Remanesc!I145,itens_Remanesc!K145)))))</f>
        <v/>
      </c>
      <c r="L197" s="173" t="str">
        <f>IF(J197="","",IF(SUMIF(itens_Consumidos!$A$2:$A$200,J197,itens_Consumidos!$B$2:$B$200)-SUMIF(itens_Consumidos!$A$2:$A$200,J197,itens_Consumidos!$O$2:$O$200)&lt;0,0,SUMIF(itens_Consumidos!$A$2:$A$200,J197,itens_Consumidos!$B$2:$B$200)-SUMIF(itens_Consumidos!$A$2:$A$200,J197,itens_Consumidos!$O$2:$O$200)))</f>
        <v/>
      </c>
      <c r="M197" s="176" t="str">
        <f>IF(J197="","",itens_Remanesc!C145)</f>
        <v/>
      </c>
      <c r="N197" s="176" t="str">
        <f>IF(J197="","",IF($F$4="C0",historico_VU!C145,IF($F$4="C1",historico_VU!D145,IF($F$4="C2",historico_VU!E145,IF($F$4="C3",historico_VU!F145,historico_VU!G145)))))</f>
        <v/>
      </c>
      <c r="O197" s="176" t="str">
        <f>IF(J197="","",IF(CONTROLE!$B$1="Principal",IF(OR(K197="",M197=""),"",ROUND(K197*M197,2)),IF(CONTROLE!$B$1="Itens Consumidos",IF(OR(L197="",M197=""),"",ROUND(L197*M197,2)),"")))</f>
        <v/>
      </c>
      <c r="P197" s="176" t="str">
        <f>IF(J197="","",IF(CONTROLE!$B$1="Principal",IF(OR(K197="",N197=""),"",ROUND(K197*N197,2)),IF(CONTROLE!$B$1="Itens Consumidos",IF(OR(L197="",N197=""),"",ROUND(L197*N197,2)),"")))</f>
        <v/>
      </c>
      <c r="Q197" s="177" t="str">
        <f>IF(J197="","",IF(OR(M197="",AND(CONTROLE!$B$1="Principal",K197=""),AND(CONTROLE!$B$1="Itens Consumidos",L197="")),"INCOMPLETO",IF(CONTROLE!$B$1="Pedidos de Compras","MANUAL",IF(AND(ISNUMBER(K197),ISNUMBER(L197),ABS(K197-L197)/MAX(ABS(IF(CONTROLE!$B$1="Principal",K197,L197)),1)&gt;$D$4),"DIVERGENTE","OK"))))</f>
        <v/>
      </c>
    </row>
    <row r="198" spans="1:17" x14ac:dyDescent="0.35">
      <c r="A198" s="172" t="str">
        <f>IF(historico_VU!A146="","",historico_VU!A146)</f>
        <v/>
      </c>
      <c r="B198" s="173" t="str">
        <f>IF(A198="","",historico_VU!B146)</f>
        <v/>
      </c>
      <c r="C198" s="174" t="str">
        <f>IF(A198="","",historico_VU!C146)</f>
        <v/>
      </c>
      <c r="D198" s="174" t="str">
        <f>IF(A198="","",historico_VU!D146)</f>
        <v/>
      </c>
      <c r="E198" s="174" t="str">
        <f>IF(A198="","",historico_VU!E146)</f>
        <v/>
      </c>
      <c r="F198" s="174" t="str">
        <f>IF(A198="","",historico_VU!F146)</f>
        <v/>
      </c>
      <c r="G198" s="174" t="str">
        <f>IF(A198="","",historico_VU!G146)</f>
        <v/>
      </c>
      <c r="H198" s="175" t="str">
        <f>IF(A198="","",historico_VU!H146)</f>
        <v/>
      </c>
      <c r="I198" s="77"/>
      <c r="J198" s="172" t="str">
        <f>IF(itens_Remanesc!A146="","",itens_Remanesc!A146)</f>
        <v/>
      </c>
      <c r="K198" s="173" t="str">
        <f>IF(J198="","",IF($F$4="C0",itens_Remanesc!B146,IF($F$4="C1",itens_Remanesc!E146,IF($F$4="C2",itens_Remanesc!G146,IF($F$4="C3",itens_Remanesc!I146,itens_Remanesc!K146)))))</f>
        <v/>
      </c>
      <c r="L198" s="173" t="str">
        <f>IF(J198="","",IF(SUMIF(itens_Consumidos!$A$2:$A$200,J198,itens_Consumidos!$B$2:$B$200)-SUMIF(itens_Consumidos!$A$2:$A$200,J198,itens_Consumidos!$O$2:$O$200)&lt;0,0,SUMIF(itens_Consumidos!$A$2:$A$200,J198,itens_Consumidos!$B$2:$B$200)-SUMIF(itens_Consumidos!$A$2:$A$200,J198,itens_Consumidos!$O$2:$O$200)))</f>
        <v/>
      </c>
      <c r="M198" s="176" t="str">
        <f>IF(J198="","",itens_Remanesc!C146)</f>
        <v/>
      </c>
      <c r="N198" s="176" t="str">
        <f>IF(J198="","",IF($F$4="C0",historico_VU!C146,IF($F$4="C1",historico_VU!D146,IF($F$4="C2",historico_VU!E146,IF($F$4="C3",historico_VU!F146,historico_VU!G146)))))</f>
        <v/>
      </c>
      <c r="O198" s="176" t="str">
        <f>IF(J198="","",IF(CONTROLE!$B$1="Principal",IF(OR(K198="",M198=""),"",ROUND(K198*M198,2)),IF(CONTROLE!$B$1="Itens Consumidos",IF(OR(L198="",M198=""),"",ROUND(L198*M198,2)),"")))</f>
        <v/>
      </c>
      <c r="P198" s="176" t="str">
        <f>IF(J198="","",IF(CONTROLE!$B$1="Principal",IF(OR(K198="",N198=""),"",ROUND(K198*N198,2)),IF(CONTROLE!$B$1="Itens Consumidos",IF(OR(L198="",N198=""),"",ROUND(L198*N198,2)),"")))</f>
        <v/>
      </c>
      <c r="Q198" s="177" t="str">
        <f>IF(J198="","",IF(OR(M198="",AND(CONTROLE!$B$1="Principal",K198=""),AND(CONTROLE!$B$1="Itens Consumidos",L198="")),"INCOMPLETO",IF(CONTROLE!$B$1="Pedidos de Compras","MANUAL",IF(AND(ISNUMBER(K198),ISNUMBER(L198),ABS(K198-L198)/MAX(ABS(IF(CONTROLE!$B$1="Principal",K198,L198)),1)&gt;$D$4),"DIVERGENTE","OK"))))</f>
        <v/>
      </c>
    </row>
    <row r="199" spans="1:17" x14ac:dyDescent="0.35">
      <c r="A199" s="172" t="str">
        <f>IF(historico_VU!A147="","",historico_VU!A147)</f>
        <v/>
      </c>
      <c r="B199" s="173" t="str">
        <f>IF(A199="","",historico_VU!B147)</f>
        <v/>
      </c>
      <c r="C199" s="174" t="str">
        <f>IF(A199="","",historico_VU!C147)</f>
        <v/>
      </c>
      <c r="D199" s="174" t="str">
        <f>IF(A199="","",historico_VU!D147)</f>
        <v/>
      </c>
      <c r="E199" s="174" t="str">
        <f>IF(A199="","",historico_VU!E147)</f>
        <v/>
      </c>
      <c r="F199" s="174" t="str">
        <f>IF(A199="","",historico_VU!F147)</f>
        <v/>
      </c>
      <c r="G199" s="174" t="str">
        <f>IF(A199="","",historico_VU!G147)</f>
        <v/>
      </c>
      <c r="H199" s="175" t="str">
        <f>IF(A199="","",historico_VU!H147)</f>
        <v/>
      </c>
      <c r="I199" s="77"/>
      <c r="J199" s="172" t="str">
        <f>IF(itens_Remanesc!A147="","",itens_Remanesc!A147)</f>
        <v/>
      </c>
      <c r="K199" s="173" t="str">
        <f>IF(J199="","",IF($F$4="C0",itens_Remanesc!B147,IF($F$4="C1",itens_Remanesc!E147,IF($F$4="C2",itens_Remanesc!G147,IF($F$4="C3",itens_Remanesc!I147,itens_Remanesc!K147)))))</f>
        <v/>
      </c>
      <c r="L199" s="173" t="str">
        <f>IF(J199="","",IF(SUMIF(itens_Consumidos!$A$2:$A$200,J199,itens_Consumidos!$B$2:$B$200)-SUMIF(itens_Consumidos!$A$2:$A$200,J199,itens_Consumidos!$O$2:$O$200)&lt;0,0,SUMIF(itens_Consumidos!$A$2:$A$200,J199,itens_Consumidos!$B$2:$B$200)-SUMIF(itens_Consumidos!$A$2:$A$200,J199,itens_Consumidos!$O$2:$O$200)))</f>
        <v/>
      </c>
      <c r="M199" s="176" t="str">
        <f>IF(J199="","",itens_Remanesc!C147)</f>
        <v/>
      </c>
      <c r="N199" s="176" t="str">
        <f>IF(J199="","",IF($F$4="C0",historico_VU!C147,IF($F$4="C1",historico_VU!D147,IF($F$4="C2",historico_VU!E147,IF($F$4="C3",historico_VU!F147,historico_VU!G147)))))</f>
        <v/>
      </c>
      <c r="O199" s="176" t="str">
        <f>IF(J199="","",IF(CONTROLE!$B$1="Principal",IF(OR(K199="",M199=""),"",ROUND(K199*M199,2)),IF(CONTROLE!$B$1="Itens Consumidos",IF(OR(L199="",M199=""),"",ROUND(L199*M199,2)),"")))</f>
        <v/>
      </c>
      <c r="P199" s="176" t="str">
        <f>IF(J199="","",IF(CONTROLE!$B$1="Principal",IF(OR(K199="",N199=""),"",ROUND(K199*N199,2)),IF(CONTROLE!$B$1="Itens Consumidos",IF(OR(L199="",N199=""),"",ROUND(L199*N199,2)),"")))</f>
        <v/>
      </c>
      <c r="Q199" s="177" t="str">
        <f>IF(J199="","",IF(OR(M199="",AND(CONTROLE!$B$1="Principal",K199=""),AND(CONTROLE!$B$1="Itens Consumidos",L199="")),"INCOMPLETO",IF(CONTROLE!$B$1="Pedidos de Compras","MANUAL",IF(AND(ISNUMBER(K199),ISNUMBER(L199),ABS(K199-L199)/MAX(ABS(IF(CONTROLE!$B$1="Principal",K199,L199)),1)&gt;$D$4),"DIVERGENTE","OK"))))</f>
        <v/>
      </c>
    </row>
    <row r="200" spans="1:17" x14ac:dyDescent="0.35">
      <c r="A200" s="172" t="str">
        <f>IF(historico_VU!A148="","",historico_VU!A148)</f>
        <v/>
      </c>
      <c r="B200" s="173" t="str">
        <f>IF(A200="","",historico_VU!B148)</f>
        <v/>
      </c>
      <c r="C200" s="174" t="str">
        <f>IF(A200="","",historico_VU!C148)</f>
        <v/>
      </c>
      <c r="D200" s="174" t="str">
        <f>IF(A200="","",historico_VU!D148)</f>
        <v/>
      </c>
      <c r="E200" s="174" t="str">
        <f>IF(A200="","",historico_VU!E148)</f>
        <v/>
      </c>
      <c r="F200" s="174" t="str">
        <f>IF(A200="","",historico_VU!F148)</f>
        <v/>
      </c>
      <c r="G200" s="174" t="str">
        <f>IF(A200="","",historico_VU!G148)</f>
        <v/>
      </c>
      <c r="H200" s="175" t="str">
        <f>IF(A200="","",historico_VU!H148)</f>
        <v/>
      </c>
      <c r="I200" s="77"/>
      <c r="J200" s="172" t="str">
        <f>IF(itens_Remanesc!A148="","",itens_Remanesc!A148)</f>
        <v/>
      </c>
      <c r="K200" s="173" t="str">
        <f>IF(J200="","",IF($F$4="C0",itens_Remanesc!B148,IF($F$4="C1",itens_Remanesc!E148,IF($F$4="C2",itens_Remanesc!G148,IF($F$4="C3",itens_Remanesc!I148,itens_Remanesc!K148)))))</f>
        <v/>
      </c>
      <c r="L200" s="173" t="str">
        <f>IF(J200="","",IF(SUMIF(itens_Consumidos!$A$2:$A$200,J200,itens_Consumidos!$B$2:$B$200)-SUMIF(itens_Consumidos!$A$2:$A$200,J200,itens_Consumidos!$O$2:$O$200)&lt;0,0,SUMIF(itens_Consumidos!$A$2:$A$200,J200,itens_Consumidos!$B$2:$B$200)-SUMIF(itens_Consumidos!$A$2:$A$200,J200,itens_Consumidos!$O$2:$O$200)))</f>
        <v/>
      </c>
      <c r="M200" s="176" t="str">
        <f>IF(J200="","",itens_Remanesc!C148)</f>
        <v/>
      </c>
      <c r="N200" s="176" t="str">
        <f>IF(J200="","",IF($F$4="C0",historico_VU!C148,IF($F$4="C1",historico_VU!D148,IF($F$4="C2",historico_VU!E148,IF($F$4="C3",historico_VU!F148,historico_VU!G148)))))</f>
        <v/>
      </c>
      <c r="O200" s="176" t="str">
        <f>IF(J200="","",IF(CONTROLE!$B$1="Principal",IF(OR(K200="",M200=""),"",ROUND(K200*M200,2)),IF(CONTROLE!$B$1="Itens Consumidos",IF(OR(L200="",M200=""),"",ROUND(L200*M200,2)),"")))</f>
        <v/>
      </c>
      <c r="P200" s="176" t="str">
        <f>IF(J200="","",IF(CONTROLE!$B$1="Principal",IF(OR(K200="",N200=""),"",ROUND(K200*N200,2)),IF(CONTROLE!$B$1="Itens Consumidos",IF(OR(L200="",N200=""),"",ROUND(L200*N200,2)),"")))</f>
        <v/>
      </c>
      <c r="Q200" s="177" t="str">
        <f>IF(J200="","",IF(OR(M200="",AND(CONTROLE!$B$1="Principal",K200=""),AND(CONTROLE!$B$1="Itens Consumidos",L200="")),"INCOMPLETO",IF(CONTROLE!$B$1="Pedidos de Compras","MANUAL",IF(AND(ISNUMBER(K200),ISNUMBER(L200),ABS(K200-L200)/MAX(ABS(IF(CONTROLE!$B$1="Principal",K200,L200)),1)&gt;$D$4),"DIVERGENTE","OK"))))</f>
        <v/>
      </c>
    </row>
    <row r="201" spans="1:17" x14ac:dyDescent="0.35">
      <c r="A201" s="172" t="str">
        <f>IF(historico_VU!A149="","",historico_VU!A149)</f>
        <v/>
      </c>
      <c r="B201" s="173" t="str">
        <f>IF(A201="","",historico_VU!B149)</f>
        <v/>
      </c>
      <c r="C201" s="174" t="str">
        <f>IF(A201="","",historico_VU!C149)</f>
        <v/>
      </c>
      <c r="D201" s="174" t="str">
        <f>IF(A201="","",historico_VU!D149)</f>
        <v/>
      </c>
      <c r="E201" s="174" t="str">
        <f>IF(A201="","",historico_VU!E149)</f>
        <v/>
      </c>
      <c r="F201" s="174" t="str">
        <f>IF(A201="","",historico_VU!F149)</f>
        <v/>
      </c>
      <c r="G201" s="174" t="str">
        <f>IF(A201="","",historico_VU!G149)</f>
        <v/>
      </c>
      <c r="H201" s="175" t="str">
        <f>IF(A201="","",historico_VU!H149)</f>
        <v/>
      </c>
      <c r="I201" s="77"/>
      <c r="J201" s="172" t="str">
        <f>IF(itens_Remanesc!A149="","",itens_Remanesc!A149)</f>
        <v/>
      </c>
      <c r="K201" s="173" t="str">
        <f>IF(J201="","",IF($F$4="C0",itens_Remanesc!B149,IF($F$4="C1",itens_Remanesc!E149,IF($F$4="C2",itens_Remanesc!G149,IF($F$4="C3",itens_Remanesc!I149,itens_Remanesc!K149)))))</f>
        <v/>
      </c>
      <c r="L201" s="173" t="str">
        <f>IF(J201="","",IF(SUMIF(itens_Consumidos!$A$2:$A$200,J201,itens_Consumidos!$B$2:$B$200)-SUMIF(itens_Consumidos!$A$2:$A$200,J201,itens_Consumidos!$O$2:$O$200)&lt;0,0,SUMIF(itens_Consumidos!$A$2:$A$200,J201,itens_Consumidos!$B$2:$B$200)-SUMIF(itens_Consumidos!$A$2:$A$200,J201,itens_Consumidos!$O$2:$O$200)))</f>
        <v/>
      </c>
      <c r="M201" s="176" t="str">
        <f>IF(J201="","",itens_Remanesc!C149)</f>
        <v/>
      </c>
      <c r="N201" s="176" t="str">
        <f>IF(J201="","",IF($F$4="C0",historico_VU!C149,IF($F$4="C1",historico_VU!D149,IF($F$4="C2",historico_VU!E149,IF($F$4="C3",historico_VU!F149,historico_VU!G149)))))</f>
        <v/>
      </c>
      <c r="O201" s="176" t="str">
        <f>IF(J201="","",IF(CONTROLE!$B$1="Principal",IF(OR(K201="",M201=""),"",ROUND(K201*M201,2)),IF(CONTROLE!$B$1="Itens Consumidos",IF(OR(L201="",M201=""),"",ROUND(L201*M201,2)),"")))</f>
        <v/>
      </c>
      <c r="P201" s="176" t="str">
        <f>IF(J201="","",IF(CONTROLE!$B$1="Principal",IF(OR(K201="",N201=""),"",ROUND(K201*N201,2)),IF(CONTROLE!$B$1="Itens Consumidos",IF(OR(L201="",N201=""),"",ROUND(L201*N201,2)),"")))</f>
        <v/>
      </c>
      <c r="Q201" s="177" t="str">
        <f>IF(J201="","",IF(OR(M201="",AND(CONTROLE!$B$1="Principal",K201=""),AND(CONTROLE!$B$1="Itens Consumidos",L201="")),"INCOMPLETO",IF(CONTROLE!$B$1="Pedidos de Compras","MANUAL",IF(AND(ISNUMBER(K201),ISNUMBER(L201),ABS(K201-L201)/MAX(ABS(IF(CONTROLE!$B$1="Principal",K201,L201)),1)&gt;$D$4),"DIVERGENTE","OK"))))</f>
        <v/>
      </c>
    </row>
    <row r="202" spans="1:17" x14ac:dyDescent="0.35">
      <c r="A202" s="172" t="str">
        <f>IF(historico_VU!A150="","",historico_VU!A150)</f>
        <v/>
      </c>
      <c r="B202" s="173" t="str">
        <f>IF(A202="","",historico_VU!B150)</f>
        <v/>
      </c>
      <c r="C202" s="174" t="str">
        <f>IF(A202="","",historico_VU!C150)</f>
        <v/>
      </c>
      <c r="D202" s="174" t="str">
        <f>IF(A202="","",historico_VU!D150)</f>
        <v/>
      </c>
      <c r="E202" s="174" t="str">
        <f>IF(A202="","",historico_VU!E150)</f>
        <v/>
      </c>
      <c r="F202" s="174" t="str">
        <f>IF(A202="","",historico_VU!F150)</f>
        <v/>
      </c>
      <c r="G202" s="174" t="str">
        <f>IF(A202="","",historico_VU!G150)</f>
        <v/>
      </c>
      <c r="H202" s="175" t="str">
        <f>IF(A202="","",historico_VU!H150)</f>
        <v/>
      </c>
      <c r="I202" s="77"/>
      <c r="J202" s="172" t="str">
        <f>IF(itens_Remanesc!A150="","",itens_Remanesc!A150)</f>
        <v/>
      </c>
      <c r="K202" s="173" t="str">
        <f>IF(J202="","",IF($F$4="C0",itens_Remanesc!B150,IF($F$4="C1",itens_Remanesc!E150,IF($F$4="C2",itens_Remanesc!G150,IF($F$4="C3",itens_Remanesc!I150,itens_Remanesc!K150)))))</f>
        <v/>
      </c>
      <c r="L202" s="173" t="str">
        <f>IF(J202="","",IF(SUMIF(itens_Consumidos!$A$2:$A$200,J202,itens_Consumidos!$B$2:$B$200)-SUMIF(itens_Consumidos!$A$2:$A$200,J202,itens_Consumidos!$O$2:$O$200)&lt;0,0,SUMIF(itens_Consumidos!$A$2:$A$200,J202,itens_Consumidos!$B$2:$B$200)-SUMIF(itens_Consumidos!$A$2:$A$200,J202,itens_Consumidos!$O$2:$O$200)))</f>
        <v/>
      </c>
      <c r="M202" s="176" t="str">
        <f>IF(J202="","",itens_Remanesc!C150)</f>
        <v/>
      </c>
      <c r="N202" s="176" t="str">
        <f>IF(J202="","",IF($F$4="C0",historico_VU!C150,IF($F$4="C1",historico_VU!D150,IF($F$4="C2",historico_VU!E150,IF($F$4="C3",historico_VU!F150,historico_VU!G150)))))</f>
        <v/>
      </c>
      <c r="O202" s="176" t="str">
        <f>IF(J202="","",IF(CONTROLE!$B$1="Principal",IF(OR(K202="",M202=""),"",ROUND(K202*M202,2)),IF(CONTROLE!$B$1="Itens Consumidos",IF(OR(L202="",M202=""),"",ROUND(L202*M202,2)),"")))</f>
        <v/>
      </c>
      <c r="P202" s="176" t="str">
        <f>IF(J202="","",IF(CONTROLE!$B$1="Principal",IF(OR(K202="",N202=""),"",ROUND(K202*N202,2)),IF(CONTROLE!$B$1="Itens Consumidos",IF(OR(L202="",N202=""),"",ROUND(L202*N202,2)),"")))</f>
        <v/>
      </c>
      <c r="Q202" s="177" t="str">
        <f>IF(J202="","",IF(OR(M202="",AND(CONTROLE!$B$1="Principal",K202=""),AND(CONTROLE!$B$1="Itens Consumidos",L202="")),"INCOMPLETO",IF(CONTROLE!$B$1="Pedidos de Compras","MANUAL",IF(AND(ISNUMBER(K202),ISNUMBER(L202),ABS(K202-L202)/MAX(ABS(IF(CONTROLE!$B$1="Principal",K202,L202)),1)&gt;$D$4),"DIVERGENTE","OK"))))</f>
        <v/>
      </c>
    </row>
    <row r="203" spans="1:17" x14ac:dyDescent="0.35">
      <c r="A203" s="172" t="str">
        <f>IF(historico_VU!A151="","",historico_VU!A151)</f>
        <v/>
      </c>
      <c r="B203" s="173" t="str">
        <f>IF(A203="","",historico_VU!B151)</f>
        <v/>
      </c>
      <c r="C203" s="174" t="str">
        <f>IF(A203="","",historico_VU!C151)</f>
        <v/>
      </c>
      <c r="D203" s="174" t="str">
        <f>IF(A203="","",historico_VU!D151)</f>
        <v/>
      </c>
      <c r="E203" s="174" t="str">
        <f>IF(A203="","",historico_VU!E151)</f>
        <v/>
      </c>
      <c r="F203" s="174" t="str">
        <f>IF(A203="","",historico_VU!F151)</f>
        <v/>
      </c>
      <c r="G203" s="174" t="str">
        <f>IF(A203="","",historico_VU!G151)</f>
        <v/>
      </c>
      <c r="H203" s="175" t="str">
        <f>IF(A203="","",historico_VU!H151)</f>
        <v/>
      </c>
      <c r="I203" s="77"/>
      <c r="J203" s="172" t="str">
        <f>IF(itens_Remanesc!A151="","",itens_Remanesc!A151)</f>
        <v/>
      </c>
      <c r="K203" s="173" t="str">
        <f>IF(J203="","",IF($F$4="C0",itens_Remanesc!B151,IF($F$4="C1",itens_Remanesc!E151,IF($F$4="C2",itens_Remanesc!G151,IF($F$4="C3",itens_Remanesc!I151,itens_Remanesc!K151)))))</f>
        <v/>
      </c>
      <c r="L203" s="173" t="str">
        <f>IF(J203="","",IF(SUMIF(itens_Consumidos!$A$2:$A$200,J203,itens_Consumidos!$B$2:$B$200)-SUMIF(itens_Consumidos!$A$2:$A$200,J203,itens_Consumidos!$O$2:$O$200)&lt;0,0,SUMIF(itens_Consumidos!$A$2:$A$200,J203,itens_Consumidos!$B$2:$B$200)-SUMIF(itens_Consumidos!$A$2:$A$200,J203,itens_Consumidos!$O$2:$O$200)))</f>
        <v/>
      </c>
      <c r="M203" s="176" t="str">
        <f>IF(J203="","",itens_Remanesc!C151)</f>
        <v/>
      </c>
      <c r="N203" s="176" t="str">
        <f>IF(J203="","",IF($F$4="C0",historico_VU!C151,IF($F$4="C1",historico_VU!D151,IF($F$4="C2",historico_VU!E151,IF($F$4="C3",historico_VU!F151,historico_VU!G151)))))</f>
        <v/>
      </c>
      <c r="O203" s="176" t="str">
        <f>IF(J203="","",IF(CONTROLE!$B$1="Principal",IF(OR(K203="",M203=""),"",ROUND(K203*M203,2)),IF(CONTROLE!$B$1="Itens Consumidos",IF(OR(L203="",M203=""),"",ROUND(L203*M203,2)),"")))</f>
        <v/>
      </c>
      <c r="P203" s="176" t="str">
        <f>IF(J203="","",IF(CONTROLE!$B$1="Principal",IF(OR(K203="",N203=""),"",ROUND(K203*N203,2)),IF(CONTROLE!$B$1="Itens Consumidos",IF(OR(L203="",N203=""),"",ROUND(L203*N203,2)),"")))</f>
        <v/>
      </c>
      <c r="Q203" s="177" t="str">
        <f>IF(J203="","",IF(OR(M203="",AND(CONTROLE!$B$1="Principal",K203=""),AND(CONTROLE!$B$1="Itens Consumidos",L203="")),"INCOMPLETO",IF(CONTROLE!$B$1="Pedidos de Compras","MANUAL",IF(AND(ISNUMBER(K203),ISNUMBER(L203),ABS(K203-L203)/MAX(ABS(IF(CONTROLE!$B$1="Principal",K203,L203)),1)&gt;$D$4),"DIVERGENTE","OK"))))</f>
        <v/>
      </c>
    </row>
    <row r="204" spans="1:17" x14ac:dyDescent="0.35">
      <c r="A204" s="172" t="str">
        <f>IF(historico_VU!A152="","",historico_VU!A152)</f>
        <v/>
      </c>
      <c r="B204" s="173" t="str">
        <f>IF(A204="","",historico_VU!B152)</f>
        <v/>
      </c>
      <c r="C204" s="174" t="str">
        <f>IF(A204="","",historico_VU!C152)</f>
        <v/>
      </c>
      <c r="D204" s="174" t="str">
        <f>IF(A204="","",historico_VU!D152)</f>
        <v/>
      </c>
      <c r="E204" s="174" t="str">
        <f>IF(A204="","",historico_VU!E152)</f>
        <v/>
      </c>
      <c r="F204" s="174" t="str">
        <f>IF(A204="","",historico_VU!F152)</f>
        <v/>
      </c>
      <c r="G204" s="174" t="str">
        <f>IF(A204="","",historico_VU!G152)</f>
        <v/>
      </c>
      <c r="H204" s="175" t="str">
        <f>IF(A204="","",historico_VU!H152)</f>
        <v/>
      </c>
      <c r="I204" s="77"/>
      <c r="J204" s="172" t="str">
        <f>IF(itens_Remanesc!A152="","",itens_Remanesc!A152)</f>
        <v/>
      </c>
      <c r="K204" s="173" t="str">
        <f>IF(J204="","",IF($F$4="C0",itens_Remanesc!B152,IF($F$4="C1",itens_Remanesc!E152,IF($F$4="C2",itens_Remanesc!G152,IF($F$4="C3",itens_Remanesc!I152,itens_Remanesc!K152)))))</f>
        <v/>
      </c>
      <c r="L204" s="173" t="str">
        <f>IF(J204="","",IF(SUMIF(itens_Consumidos!$A$2:$A$200,J204,itens_Consumidos!$B$2:$B$200)-SUMIF(itens_Consumidos!$A$2:$A$200,J204,itens_Consumidos!$O$2:$O$200)&lt;0,0,SUMIF(itens_Consumidos!$A$2:$A$200,J204,itens_Consumidos!$B$2:$B$200)-SUMIF(itens_Consumidos!$A$2:$A$200,J204,itens_Consumidos!$O$2:$O$200)))</f>
        <v/>
      </c>
      <c r="M204" s="176" t="str">
        <f>IF(J204="","",itens_Remanesc!C152)</f>
        <v/>
      </c>
      <c r="N204" s="176" t="str">
        <f>IF(J204="","",IF($F$4="C0",historico_VU!C152,IF($F$4="C1",historico_VU!D152,IF($F$4="C2",historico_VU!E152,IF($F$4="C3",historico_VU!F152,historico_VU!G152)))))</f>
        <v/>
      </c>
      <c r="O204" s="176" t="str">
        <f>IF(J204="","",IF(CONTROLE!$B$1="Principal",IF(OR(K204="",M204=""),"",ROUND(K204*M204,2)),IF(CONTROLE!$B$1="Itens Consumidos",IF(OR(L204="",M204=""),"",ROUND(L204*M204,2)),"")))</f>
        <v/>
      </c>
      <c r="P204" s="176" t="str">
        <f>IF(J204="","",IF(CONTROLE!$B$1="Principal",IF(OR(K204="",N204=""),"",ROUND(K204*N204,2)),IF(CONTROLE!$B$1="Itens Consumidos",IF(OR(L204="",N204=""),"",ROUND(L204*N204,2)),"")))</f>
        <v/>
      </c>
      <c r="Q204" s="177" t="str">
        <f>IF(J204="","",IF(OR(M204="",AND(CONTROLE!$B$1="Principal",K204=""),AND(CONTROLE!$B$1="Itens Consumidos",L204="")),"INCOMPLETO",IF(CONTROLE!$B$1="Pedidos de Compras","MANUAL",IF(AND(ISNUMBER(K204),ISNUMBER(L204),ABS(K204-L204)/MAX(ABS(IF(CONTROLE!$B$1="Principal",K204,L204)),1)&gt;$D$4),"DIVERGENTE","OK"))))</f>
        <v/>
      </c>
    </row>
    <row r="205" spans="1:17" x14ac:dyDescent="0.35">
      <c r="A205" s="172" t="str">
        <f>IF(historico_VU!A153="","",historico_VU!A153)</f>
        <v/>
      </c>
      <c r="B205" s="173" t="str">
        <f>IF(A205="","",historico_VU!B153)</f>
        <v/>
      </c>
      <c r="C205" s="174" t="str">
        <f>IF(A205="","",historico_VU!C153)</f>
        <v/>
      </c>
      <c r="D205" s="174" t="str">
        <f>IF(A205="","",historico_VU!D153)</f>
        <v/>
      </c>
      <c r="E205" s="174" t="str">
        <f>IF(A205="","",historico_VU!E153)</f>
        <v/>
      </c>
      <c r="F205" s="174" t="str">
        <f>IF(A205="","",historico_VU!F153)</f>
        <v/>
      </c>
      <c r="G205" s="174" t="str">
        <f>IF(A205="","",historico_VU!G153)</f>
        <v/>
      </c>
      <c r="H205" s="175" t="str">
        <f>IF(A205="","",historico_VU!H153)</f>
        <v/>
      </c>
      <c r="I205" s="77"/>
      <c r="J205" s="172" t="str">
        <f>IF(itens_Remanesc!A153="","",itens_Remanesc!A153)</f>
        <v/>
      </c>
      <c r="K205" s="173" t="str">
        <f>IF(J205="","",IF($F$4="C0",itens_Remanesc!B153,IF($F$4="C1",itens_Remanesc!E153,IF($F$4="C2",itens_Remanesc!G153,IF($F$4="C3",itens_Remanesc!I153,itens_Remanesc!K153)))))</f>
        <v/>
      </c>
      <c r="L205" s="173" t="str">
        <f>IF(J205="","",IF(SUMIF(itens_Consumidos!$A$2:$A$200,J205,itens_Consumidos!$B$2:$B$200)-SUMIF(itens_Consumidos!$A$2:$A$200,J205,itens_Consumidos!$O$2:$O$200)&lt;0,0,SUMIF(itens_Consumidos!$A$2:$A$200,J205,itens_Consumidos!$B$2:$B$200)-SUMIF(itens_Consumidos!$A$2:$A$200,J205,itens_Consumidos!$O$2:$O$200)))</f>
        <v/>
      </c>
      <c r="M205" s="176" t="str">
        <f>IF(J205="","",itens_Remanesc!C153)</f>
        <v/>
      </c>
      <c r="N205" s="176" t="str">
        <f>IF(J205="","",IF($F$4="C0",historico_VU!C153,IF($F$4="C1",historico_VU!D153,IF($F$4="C2",historico_VU!E153,IF($F$4="C3",historico_VU!F153,historico_VU!G153)))))</f>
        <v/>
      </c>
      <c r="O205" s="176" t="str">
        <f>IF(J205="","",IF(CONTROLE!$B$1="Principal",IF(OR(K205="",M205=""),"",ROUND(K205*M205,2)),IF(CONTROLE!$B$1="Itens Consumidos",IF(OR(L205="",M205=""),"",ROUND(L205*M205,2)),"")))</f>
        <v/>
      </c>
      <c r="P205" s="176" t="str">
        <f>IF(J205="","",IF(CONTROLE!$B$1="Principal",IF(OR(K205="",N205=""),"",ROUND(K205*N205,2)),IF(CONTROLE!$B$1="Itens Consumidos",IF(OR(L205="",N205=""),"",ROUND(L205*N205,2)),"")))</f>
        <v/>
      </c>
      <c r="Q205" s="177" t="str">
        <f>IF(J205="","",IF(OR(M205="",AND(CONTROLE!$B$1="Principal",K205=""),AND(CONTROLE!$B$1="Itens Consumidos",L205="")),"INCOMPLETO",IF(CONTROLE!$B$1="Pedidos de Compras","MANUAL",IF(AND(ISNUMBER(K205),ISNUMBER(L205),ABS(K205-L205)/MAX(ABS(IF(CONTROLE!$B$1="Principal",K205,L205)),1)&gt;$D$4),"DIVERGENTE","OK"))))</f>
        <v/>
      </c>
    </row>
    <row r="206" spans="1:17" x14ac:dyDescent="0.35">
      <c r="A206" s="172" t="str">
        <f>IF(historico_VU!A154="","",historico_VU!A154)</f>
        <v/>
      </c>
      <c r="B206" s="173" t="str">
        <f>IF(A206="","",historico_VU!B154)</f>
        <v/>
      </c>
      <c r="C206" s="174" t="str">
        <f>IF(A206="","",historico_VU!C154)</f>
        <v/>
      </c>
      <c r="D206" s="174" t="str">
        <f>IF(A206="","",historico_VU!D154)</f>
        <v/>
      </c>
      <c r="E206" s="174" t="str">
        <f>IF(A206="","",historico_VU!E154)</f>
        <v/>
      </c>
      <c r="F206" s="174" t="str">
        <f>IF(A206="","",historico_VU!F154)</f>
        <v/>
      </c>
      <c r="G206" s="174" t="str">
        <f>IF(A206="","",historico_VU!G154)</f>
        <v/>
      </c>
      <c r="H206" s="175" t="str">
        <f>IF(A206="","",historico_VU!H154)</f>
        <v/>
      </c>
      <c r="I206" s="77"/>
      <c r="J206" s="172" t="str">
        <f>IF(itens_Remanesc!A154="","",itens_Remanesc!A154)</f>
        <v/>
      </c>
      <c r="K206" s="173" t="str">
        <f>IF(J206="","",IF($F$4="C0",itens_Remanesc!B154,IF($F$4="C1",itens_Remanesc!E154,IF($F$4="C2",itens_Remanesc!G154,IF($F$4="C3",itens_Remanesc!I154,itens_Remanesc!K154)))))</f>
        <v/>
      </c>
      <c r="L206" s="173" t="str">
        <f>IF(J206="","",IF(SUMIF(itens_Consumidos!$A$2:$A$200,J206,itens_Consumidos!$B$2:$B$200)-SUMIF(itens_Consumidos!$A$2:$A$200,J206,itens_Consumidos!$O$2:$O$200)&lt;0,0,SUMIF(itens_Consumidos!$A$2:$A$200,J206,itens_Consumidos!$B$2:$B$200)-SUMIF(itens_Consumidos!$A$2:$A$200,J206,itens_Consumidos!$O$2:$O$200)))</f>
        <v/>
      </c>
      <c r="M206" s="176" t="str">
        <f>IF(J206="","",itens_Remanesc!C154)</f>
        <v/>
      </c>
      <c r="N206" s="176" t="str">
        <f>IF(J206="","",IF($F$4="C0",historico_VU!C154,IF($F$4="C1",historico_VU!D154,IF($F$4="C2",historico_VU!E154,IF($F$4="C3",historico_VU!F154,historico_VU!G154)))))</f>
        <v/>
      </c>
      <c r="O206" s="176" t="str">
        <f>IF(J206="","",IF(CONTROLE!$B$1="Principal",IF(OR(K206="",M206=""),"",ROUND(K206*M206,2)),IF(CONTROLE!$B$1="Itens Consumidos",IF(OR(L206="",M206=""),"",ROUND(L206*M206,2)),"")))</f>
        <v/>
      </c>
      <c r="P206" s="176" t="str">
        <f>IF(J206="","",IF(CONTROLE!$B$1="Principal",IF(OR(K206="",N206=""),"",ROUND(K206*N206,2)),IF(CONTROLE!$B$1="Itens Consumidos",IF(OR(L206="",N206=""),"",ROUND(L206*N206,2)),"")))</f>
        <v/>
      </c>
      <c r="Q206" s="177" t="str">
        <f>IF(J206="","",IF(OR(M206="",AND(CONTROLE!$B$1="Principal",K206=""),AND(CONTROLE!$B$1="Itens Consumidos",L206="")),"INCOMPLETO",IF(CONTROLE!$B$1="Pedidos de Compras","MANUAL",IF(AND(ISNUMBER(K206),ISNUMBER(L206),ABS(K206-L206)/MAX(ABS(IF(CONTROLE!$B$1="Principal",K206,L206)),1)&gt;$D$4),"DIVERGENTE","OK"))))</f>
        <v/>
      </c>
    </row>
    <row r="207" spans="1:17" x14ac:dyDescent="0.35">
      <c r="A207" s="172" t="str">
        <f>IF(historico_VU!A155="","",historico_VU!A155)</f>
        <v/>
      </c>
      <c r="B207" s="173" t="str">
        <f>IF(A207="","",historico_VU!B155)</f>
        <v/>
      </c>
      <c r="C207" s="174" t="str">
        <f>IF(A207="","",historico_VU!C155)</f>
        <v/>
      </c>
      <c r="D207" s="174" t="str">
        <f>IF(A207="","",historico_VU!D155)</f>
        <v/>
      </c>
      <c r="E207" s="174" t="str">
        <f>IF(A207="","",historico_VU!E155)</f>
        <v/>
      </c>
      <c r="F207" s="174" t="str">
        <f>IF(A207="","",historico_VU!F155)</f>
        <v/>
      </c>
      <c r="G207" s="174" t="str">
        <f>IF(A207="","",historico_VU!G155)</f>
        <v/>
      </c>
      <c r="H207" s="175" t="str">
        <f>IF(A207="","",historico_VU!H155)</f>
        <v/>
      </c>
      <c r="I207" s="77"/>
      <c r="J207" s="172" t="str">
        <f>IF(itens_Remanesc!A155="","",itens_Remanesc!A155)</f>
        <v/>
      </c>
      <c r="K207" s="173" t="str">
        <f>IF(J207="","",IF($F$4="C0",itens_Remanesc!B155,IF($F$4="C1",itens_Remanesc!E155,IF($F$4="C2",itens_Remanesc!G155,IF($F$4="C3",itens_Remanesc!I155,itens_Remanesc!K155)))))</f>
        <v/>
      </c>
      <c r="L207" s="173" t="str">
        <f>IF(J207="","",IF(SUMIF(itens_Consumidos!$A$2:$A$200,J207,itens_Consumidos!$B$2:$B$200)-SUMIF(itens_Consumidos!$A$2:$A$200,J207,itens_Consumidos!$O$2:$O$200)&lt;0,0,SUMIF(itens_Consumidos!$A$2:$A$200,J207,itens_Consumidos!$B$2:$B$200)-SUMIF(itens_Consumidos!$A$2:$A$200,J207,itens_Consumidos!$O$2:$O$200)))</f>
        <v/>
      </c>
      <c r="M207" s="176" t="str">
        <f>IF(J207="","",itens_Remanesc!C155)</f>
        <v/>
      </c>
      <c r="N207" s="176" t="str">
        <f>IF(J207="","",IF($F$4="C0",historico_VU!C155,IF($F$4="C1",historico_VU!D155,IF($F$4="C2",historico_VU!E155,IF($F$4="C3",historico_VU!F155,historico_VU!G155)))))</f>
        <v/>
      </c>
      <c r="O207" s="176" t="str">
        <f>IF(J207="","",IF(CONTROLE!$B$1="Principal",IF(OR(K207="",M207=""),"",ROUND(K207*M207,2)),IF(CONTROLE!$B$1="Itens Consumidos",IF(OR(L207="",M207=""),"",ROUND(L207*M207,2)),"")))</f>
        <v/>
      </c>
      <c r="P207" s="176" t="str">
        <f>IF(J207="","",IF(CONTROLE!$B$1="Principal",IF(OR(K207="",N207=""),"",ROUND(K207*N207,2)),IF(CONTROLE!$B$1="Itens Consumidos",IF(OR(L207="",N207=""),"",ROUND(L207*N207,2)),"")))</f>
        <v/>
      </c>
      <c r="Q207" s="177" t="str">
        <f>IF(J207="","",IF(OR(M207="",AND(CONTROLE!$B$1="Principal",K207=""),AND(CONTROLE!$B$1="Itens Consumidos",L207="")),"INCOMPLETO",IF(CONTROLE!$B$1="Pedidos de Compras","MANUAL",IF(AND(ISNUMBER(K207),ISNUMBER(L207),ABS(K207-L207)/MAX(ABS(IF(CONTROLE!$B$1="Principal",K207,L207)),1)&gt;$D$4),"DIVERGENTE","OK"))))</f>
        <v/>
      </c>
    </row>
    <row r="208" spans="1:17" x14ac:dyDescent="0.35">
      <c r="A208" s="172" t="str">
        <f>IF(historico_VU!A156="","",historico_VU!A156)</f>
        <v/>
      </c>
      <c r="B208" s="173" t="str">
        <f>IF(A208="","",historico_VU!B156)</f>
        <v/>
      </c>
      <c r="C208" s="174" t="str">
        <f>IF(A208="","",historico_VU!C156)</f>
        <v/>
      </c>
      <c r="D208" s="174" t="str">
        <f>IF(A208="","",historico_VU!D156)</f>
        <v/>
      </c>
      <c r="E208" s="174" t="str">
        <f>IF(A208="","",historico_VU!E156)</f>
        <v/>
      </c>
      <c r="F208" s="174" t="str">
        <f>IF(A208="","",historico_VU!F156)</f>
        <v/>
      </c>
      <c r="G208" s="174" t="str">
        <f>IF(A208="","",historico_VU!G156)</f>
        <v/>
      </c>
      <c r="H208" s="175" t="str">
        <f>IF(A208="","",historico_VU!H156)</f>
        <v/>
      </c>
      <c r="I208" s="77"/>
      <c r="J208" s="172" t="str">
        <f>IF(itens_Remanesc!A156="","",itens_Remanesc!A156)</f>
        <v/>
      </c>
      <c r="K208" s="173" t="str">
        <f>IF(J208="","",IF($F$4="C0",itens_Remanesc!B156,IF($F$4="C1",itens_Remanesc!E156,IF($F$4="C2",itens_Remanesc!G156,IF($F$4="C3",itens_Remanesc!I156,itens_Remanesc!K156)))))</f>
        <v/>
      </c>
      <c r="L208" s="173" t="str">
        <f>IF(J208="","",IF(SUMIF(itens_Consumidos!$A$2:$A$200,J208,itens_Consumidos!$B$2:$B$200)-SUMIF(itens_Consumidos!$A$2:$A$200,J208,itens_Consumidos!$O$2:$O$200)&lt;0,0,SUMIF(itens_Consumidos!$A$2:$A$200,J208,itens_Consumidos!$B$2:$B$200)-SUMIF(itens_Consumidos!$A$2:$A$200,J208,itens_Consumidos!$O$2:$O$200)))</f>
        <v/>
      </c>
      <c r="M208" s="176" t="str">
        <f>IF(J208="","",itens_Remanesc!C156)</f>
        <v/>
      </c>
      <c r="N208" s="176" t="str">
        <f>IF(J208="","",IF($F$4="C0",historico_VU!C156,IF($F$4="C1",historico_VU!D156,IF($F$4="C2",historico_VU!E156,IF($F$4="C3",historico_VU!F156,historico_VU!G156)))))</f>
        <v/>
      </c>
      <c r="O208" s="176" t="str">
        <f>IF(J208="","",IF(CONTROLE!$B$1="Principal",IF(OR(K208="",M208=""),"",ROUND(K208*M208,2)),IF(CONTROLE!$B$1="Itens Consumidos",IF(OR(L208="",M208=""),"",ROUND(L208*M208,2)),"")))</f>
        <v/>
      </c>
      <c r="P208" s="176" t="str">
        <f>IF(J208="","",IF(CONTROLE!$B$1="Principal",IF(OR(K208="",N208=""),"",ROUND(K208*N208,2)),IF(CONTROLE!$B$1="Itens Consumidos",IF(OR(L208="",N208=""),"",ROUND(L208*N208,2)),"")))</f>
        <v/>
      </c>
      <c r="Q208" s="177" t="str">
        <f>IF(J208="","",IF(OR(M208="",AND(CONTROLE!$B$1="Principal",K208=""),AND(CONTROLE!$B$1="Itens Consumidos",L208="")),"INCOMPLETO",IF(CONTROLE!$B$1="Pedidos de Compras","MANUAL",IF(AND(ISNUMBER(K208),ISNUMBER(L208),ABS(K208-L208)/MAX(ABS(IF(CONTROLE!$B$1="Principal",K208,L208)),1)&gt;$D$4),"DIVERGENTE","OK"))))</f>
        <v/>
      </c>
    </row>
    <row r="209" spans="1:17" x14ac:dyDescent="0.35">
      <c r="A209" s="172" t="str">
        <f>IF(historico_VU!A157="","",historico_VU!A157)</f>
        <v/>
      </c>
      <c r="B209" s="173" t="str">
        <f>IF(A209="","",historico_VU!B157)</f>
        <v/>
      </c>
      <c r="C209" s="174" t="str">
        <f>IF(A209="","",historico_VU!C157)</f>
        <v/>
      </c>
      <c r="D209" s="174" t="str">
        <f>IF(A209="","",historico_VU!D157)</f>
        <v/>
      </c>
      <c r="E209" s="174" t="str">
        <f>IF(A209="","",historico_VU!E157)</f>
        <v/>
      </c>
      <c r="F209" s="174" t="str">
        <f>IF(A209="","",historico_VU!F157)</f>
        <v/>
      </c>
      <c r="G209" s="174" t="str">
        <f>IF(A209="","",historico_VU!G157)</f>
        <v/>
      </c>
      <c r="H209" s="175" t="str">
        <f>IF(A209="","",historico_VU!H157)</f>
        <v/>
      </c>
      <c r="I209" s="77"/>
      <c r="J209" s="172" t="str">
        <f>IF(itens_Remanesc!A157="","",itens_Remanesc!A157)</f>
        <v/>
      </c>
      <c r="K209" s="173" t="str">
        <f>IF(J209="","",IF($F$4="C0",itens_Remanesc!B157,IF($F$4="C1",itens_Remanesc!E157,IF($F$4="C2",itens_Remanesc!G157,IF($F$4="C3",itens_Remanesc!I157,itens_Remanesc!K157)))))</f>
        <v/>
      </c>
      <c r="L209" s="173" t="str">
        <f>IF(J209="","",IF(SUMIF(itens_Consumidos!$A$2:$A$200,J209,itens_Consumidos!$B$2:$B$200)-SUMIF(itens_Consumidos!$A$2:$A$200,J209,itens_Consumidos!$O$2:$O$200)&lt;0,0,SUMIF(itens_Consumidos!$A$2:$A$200,J209,itens_Consumidos!$B$2:$B$200)-SUMIF(itens_Consumidos!$A$2:$A$200,J209,itens_Consumidos!$O$2:$O$200)))</f>
        <v/>
      </c>
      <c r="M209" s="176" t="str">
        <f>IF(J209="","",itens_Remanesc!C157)</f>
        <v/>
      </c>
      <c r="N209" s="176" t="str">
        <f>IF(J209="","",IF($F$4="C0",historico_VU!C157,IF($F$4="C1",historico_VU!D157,IF($F$4="C2",historico_VU!E157,IF($F$4="C3",historico_VU!F157,historico_VU!G157)))))</f>
        <v/>
      </c>
      <c r="O209" s="176" t="str">
        <f>IF(J209="","",IF(CONTROLE!$B$1="Principal",IF(OR(K209="",M209=""),"",ROUND(K209*M209,2)),IF(CONTROLE!$B$1="Itens Consumidos",IF(OR(L209="",M209=""),"",ROUND(L209*M209,2)),"")))</f>
        <v/>
      </c>
      <c r="P209" s="176" t="str">
        <f>IF(J209="","",IF(CONTROLE!$B$1="Principal",IF(OR(K209="",N209=""),"",ROUND(K209*N209,2)),IF(CONTROLE!$B$1="Itens Consumidos",IF(OR(L209="",N209=""),"",ROUND(L209*N209,2)),"")))</f>
        <v/>
      </c>
      <c r="Q209" s="177" t="str">
        <f>IF(J209="","",IF(OR(M209="",AND(CONTROLE!$B$1="Principal",K209=""),AND(CONTROLE!$B$1="Itens Consumidos",L209="")),"INCOMPLETO",IF(CONTROLE!$B$1="Pedidos de Compras","MANUAL",IF(AND(ISNUMBER(K209),ISNUMBER(L209),ABS(K209-L209)/MAX(ABS(IF(CONTROLE!$B$1="Principal",K209,L209)),1)&gt;$D$4),"DIVERGENTE","OK"))))</f>
        <v/>
      </c>
    </row>
    <row r="210" spans="1:17" x14ac:dyDescent="0.35">
      <c r="A210" s="172" t="str">
        <f>IF(historico_VU!A158="","",historico_VU!A158)</f>
        <v/>
      </c>
      <c r="B210" s="173" t="str">
        <f>IF(A210="","",historico_VU!B158)</f>
        <v/>
      </c>
      <c r="C210" s="174" t="str">
        <f>IF(A210="","",historico_VU!C158)</f>
        <v/>
      </c>
      <c r="D210" s="174" t="str">
        <f>IF(A210="","",historico_VU!D158)</f>
        <v/>
      </c>
      <c r="E210" s="174" t="str">
        <f>IF(A210="","",historico_VU!E158)</f>
        <v/>
      </c>
      <c r="F210" s="174" t="str">
        <f>IF(A210="","",historico_VU!F158)</f>
        <v/>
      </c>
      <c r="G210" s="174" t="str">
        <f>IF(A210="","",historico_VU!G158)</f>
        <v/>
      </c>
      <c r="H210" s="175" t="str">
        <f>IF(A210="","",historico_VU!H158)</f>
        <v/>
      </c>
      <c r="I210" s="77"/>
      <c r="J210" s="172" t="str">
        <f>IF(itens_Remanesc!A158="","",itens_Remanesc!A158)</f>
        <v/>
      </c>
      <c r="K210" s="173" t="str">
        <f>IF(J210="","",IF($F$4="C0",itens_Remanesc!B158,IF($F$4="C1",itens_Remanesc!E158,IF($F$4="C2",itens_Remanesc!G158,IF($F$4="C3",itens_Remanesc!I158,itens_Remanesc!K158)))))</f>
        <v/>
      </c>
      <c r="L210" s="173" t="str">
        <f>IF(J210="","",IF(SUMIF(itens_Consumidos!$A$2:$A$200,J210,itens_Consumidos!$B$2:$B$200)-SUMIF(itens_Consumidos!$A$2:$A$200,J210,itens_Consumidos!$O$2:$O$200)&lt;0,0,SUMIF(itens_Consumidos!$A$2:$A$200,J210,itens_Consumidos!$B$2:$B$200)-SUMIF(itens_Consumidos!$A$2:$A$200,J210,itens_Consumidos!$O$2:$O$200)))</f>
        <v/>
      </c>
      <c r="M210" s="176" t="str">
        <f>IF(J210="","",itens_Remanesc!C158)</f>
        <v/>
      </c>
      <c r="N210" s="176" t="str">
        <f>IF(J210="","",IF($F$4="C0",historico_VU!C158,IF($F$4="C1",historico_VU!D158,IF($F$4="C2",historico_VU!E158,IF($F$4="C3",historico_VU!F158,historico_VU!G158)))))</f>
        <v/>
      </c>
      <c r="O210" s="176" t="str">
        <f>IF(J210="","",IF(CONTROLE!$B$1="Principal",IF(OR(K210="",M210=""),"",ROUND(K210*M210,2)),IF(CONTROLE!$B$1="Itens Consumidos",IF(OR(L210="",M210=""),"",ROUND(L210*M210,2)),"")))</f>
        <v/>
      </c>
      <c r="P210" s="176" t="str">
        <f>IF(J210="","",IF(CONTROLE!$B$1="Principal",IF(OR(K210="",N210=""),"",ROUND(K210*N210,2)),IF(CONTROLE!$B$1="Itens Consumidos",IF(OR(L210="",N210=""),"",ROUND(L210*N210,2)),"")))</f>
        <v/>
      </c>
      <c r="Q210" s="177" t="str">
        <f>IF(J210="","",IF(OR(M210="",AND(CONTROLE!$B$1="Principal",K210=""),AND(CONTROLE!$B$1="Itens Consumidos",L210="")),"INCOMPLETO",IF(CONTROLE!$B$1="Pedidos de Compras","MANUAL",IF(AND(ISNUMBER(K210),ISNUMBER(L210),ABS(K210-L210)/MAX(ABS(IF(CONTROLE!$B$1="Principal",K210,L210)),1)&gt;$D$4),"DIVERGENTE","OK"))))</f>
        <v/>
      </c>
    </row>
    <row r="211" spans="1:17" x14ac:dyDescent="0.35">
      <c r="A211" s="172" t="str">
        <f>IF(historico_VU!A159="","",historico_VU!A159)</f>
        <v/>
      </c>
      <c r="B211" s="173" t="str">
        <f>IF(A211="","",historico_VU!B159)</f>
        <v/>
      </c>
      <c r="C211" s="174" t="str">
        <f>IF(A211="","",historico_VU!C159)</f>
        <v/>
      </c>
      <c r="D211" s="174" t="str">
        <f>IF(A211="","",historico_VU!D159)</f>
        <v/>
      </c>
      <c r="E211" s="174" t="str">
        <f>IF(A211="","",historico_VU!E159)</f>
        <v/>
      </c>
      <c r="F211" s="174" t="str">
        <f>IF(A211="","",historico_VU!F159)</f>
        <v/>
      </c>
      <c r="G211" s="174" t="str">
        <f>IF(A211="","",historico_VU!G159)</f>
        <v/>
      </c>
      <c r="H211" s="175" t="str">
        <f>IF(A211="","",historico_VU!H159)</f>
        <v/>
      </c>
      <c r="I211" s="77"/>
      <c r="J211" s="172" t="str">
        <f>IF(itens_Remanesc!A159="","",itens_Remanesc!A159)</f>
        <v/>
      </c>
      <c r="K211" s="173" t="str">
        <f>IF(J211="","",IF($F$4="C0",itens_Remanesc!B159,IF($F$4="C1",itens_Remanesc!E159,IF($F$4="C2",itens_Remanesc!G159,IF($F$4="C3",itens_Remanesc!I159,itens_Remanesc!K159)))))</f>
        <v/>
      </c>
      <c r="L211" s="173" t="str">
        <f>IF(J211="","",IF(SUMIF(itens_Consumidos!$A$2:$A$200,J211,itens_Consumidos!$B$2:$B$200)-SUMIF(itens_Consumidos!$A$2:$A$200,J211,itens_Consumidos!$O$2:$O$200)&lt;0,0,SUMIF(itens_Consumidos!$A$2:$A$200,J211,itens_Consumidos!$B$2:$B$200)-SUMIF(itens_Consumidos!$A$2:$A$200,J211,itens_Consumidos!$O$2:$O$200)))</f>
        <v/>
      </c>
      <c r="M211" s="176" t="str">
        <f>IF(J211="","",itens_Remanesc!C159)</f>
        <v/>
      </c>
      <c r="N211" s="176" t="str">
        <f>IF(J211="","",IF($F$4="C0",historico_VU!C159,IF($F$4="C1",historico_VU!D159,IF($F$4="C2",historico_VU!E159,IF($F$4="C3",historico_VU!F159,historico_VU!G159)))))</f>
        <v/>
      </c>
      <c r="O211" s="176" t="str">
        <f>IF(J211="","",IF(CONTROLE!$B$1="Principal",IF(OR(K211="",M211=""),"",ROUND(K211*M211,2)),IF(CONTROLE!$B$1="Itens Consumidos",IF(OR(L211="",M211=""),"",ROUND(L211*M211,2)),"")))</f>
        <v/>
      </c>
      <c r="P211" s="176" t="str">
        <f>IF(J211="","",IF(CONTROLE!$B$1="Principal",IF(OR(K211="",N211=""),"",ROUND(K211*N211,2)),IF(CONTROLE!$B$1="Itens Consumidos",IF(OR(L211="",N211=""),"",ROUND(L211*N211,2)),"")))</f>
        <v/>
      </c>
      <c r="Q211" s="177" t="str">
        <f>IF(J211="","",IF(OR(M211="",AND(CONTROLE!$B$1="Principal",K211=""),AND(CONTROLE!$B$1="Itens Consumidos",L211="")),"INCOMPLETO",IF(CONTROLE!$B$1="Pedidos de Compras","MANUAL",IF(AND(ISNUMBER(K211),ISNUMBER(L211),ABS(K211-L211)/MAX(ABS(IF(CONTROLE!$B$1="Principal",K211,L211)),1)&gt;$D$4),"DIVERGENTE","OK"))))</f>
        <v/>
      </c>
    </row>
    <row r="212" spans="1:17" x14ac:dyDescent="0.35">
      <c r="A212" s="172" t="str">
        <f>IF(historico_VU!A160="","",historico_VU!A160)</f>
        <v/>
      </c>
      <c r="B212" s="173" t="str">
        <f>IF(A212="","",historico_VU!B160)</f>
        <v/>
      </c>
      <c r="C212" s="174" t="str">
        <f>IF(A212="","",historico_VU!C160)</f>
        <v/>
      </c>
      <c r="D212" s="174" t="str">
        <f>IF(A212="","",historico_VU!D160)</f>
        <v/>
      </c>
      <c r="E212" s="174" t="str">
        <f>IF(A212="","",historico_VU!E160)</f>
        <v/>
      </c>
      <c r="F212" s="174" t="str">
        <f>IF(A212="","",historico_VU!F160)</f>
        <v/>
      </c>
      <c r="G212" s="174" t="str">
        <f>IF(A212="","",historico_VU!G160)</f>
        <v/>
      </c>
      <c r="H212" s="175" t="str">
        <f>IF(A212="","",historico_VU!H160)</f>
        <v/>
      </c>
      <c r="I212" s="77"/>
      <c r="J212" s="172" t="str">
        <f>IF(itens_Remanesc!A160="","",itens_Remanesc!A160)</f>
        <v/>
      </c>
      <c r="K212" s="173" t="str">
        <f>IF(J212="","",IF($F$4="C0",itens_Remanesc!B160,IF($F$4="C1",itens_Remanesc!E160,IF($F$4="C2",itens_Remanesc!G160,IF($F$4="C3",itens_Remanesc!I160,itens_Remanesc!K160)))))</f>
        <v/>
      </c>
      <c r="L212" s="173" t="str">
        <f>IF(J212="","",IF(SUMIF(itens_Consumidos!$A$2:$A$200,J212,itens_Consumidos!$B$2:$B$200)-SUMIF(itens_Consumidos!$A$2:$A$200,J212,itens_Consumidos!$O$2:$O$200)&lt;0,0,SUMIF(itens_Consumidos!$A$2:$A$200,J212,itens_Consumidos!$B$2:$B$200)-SUMIF(itens_Consumidos!$A$2:$A$200,J212,itens_Consumidos!$O$2:$O$200)))</f>
        <v/>
      </c>
      <c r="M212" s="176" t="str">
        <f>IF(J212="","",itens_Remanesc!C160)</f>
        <v/>
      </c>
      <c r="N212" s="176" t="str">
        <f>IF(J212="","",IF($F$4="C0",historico_VU!C160,IF($F$4="C1",historico_VU!D160,IF($F$4="C2",historico_VU!E160,IF($F$4="C3",historico_VU!F160,historico_VU!G160)))))</f>
        <v/>
      </c>
      <c r="O212" s="176" t="str">
        <f>IF(J212="","",IF(CONTROLE!$B$1="Principal",IF(OR(K212="",M212=""),"",ROUND(K212*M212,2)),IF(CONTROLE!$B$1="Itens Consumidos",IF(OR(L212="",M212=""),"",ROUND(L212*M212,2)),"")))</f>
        <v/>
      </c>
      <c r="P212" s="176" t="str">
        <f>IF(J212="","",IF(CONTROLE!$B$1="Principal",IF(OR(K212="",N212=""),"",ROUND(K212*N212,2)),IF(CONTROLE!$B$1="Itens Consumidos",IF(OR(L212="",N212=""),"",ROUND(L212*N212,2)),"")))</f>
        <v/>
      </c>
      <c r="Q212" s="177" t="str">
        <f>IF(J212="","",IF(OR(M212="",AND(CONTROLE!$B$1="Principal",K212=""),AND(CONTROLE!$B$1="Itens Consumidos",L212="")),"INCOMPLETO",IF(CONTROLE!$B$1="Pedidos de Compras","MANUAL",IF(AND(ISNUMBER(K212),ISNUMBER(L212),ABS(K212-L212)/MAX(ABS(IF(CONTROLE!$B$1="Principal",K212,L212)),1)&gt;$D$4),"DIVERGENTE","OK"))))</f>
        <v/>
      </c>
    </row>
    <row r="213" spans="1:17" x14ac:dyDescent="0.35">
      <c r="A213" s="172" t="str">
        <f>IF(historico_VU!A161="","",historico_VU!A161)</f>
        <v/>
      </c>
      <c r="B213" s="173" t="str">
        <f>IF(A213="","",historico_VU!B161)</f>
        <v/>
      </c>
      <c r="C213" s="174" t="str">
        <f>IF(A213="","",historico_VU!C161)</f>
        <v/>
      </c>
      <c r="D213" s="174" t="str">
        <f>IF(A213="","",historico_VU!D161)</f>
        <v/>
      </c>
      <c r="E213" s="174" t="str">
        <f>IF(A213="","",historico_VU!E161)</f>
        <v/>
      </c>
      <c r="F213" s="174" t="str">
        <f>IF(A213="","",historico_VU!F161)</f>
        <v/>
      </c>
      <c r="G213" s="174" t="str">
        <f>IF(A213="","",historico_VU!G161)</f>
        <v/>
      </c>
      <c r="H213" s="175" t="str">
        <f>IF(A213="","",historico_VU!H161)</f>
        <v/>
      </c>
      <c r="I213" s="77"/>
      <c r="J213" s="172" t="str">
        <f>IF(itens_Remanesc!A161="","",itens_Remanesc!A161)</f>
        <v/>
      </c>
      <c r="K213" s="173" t="str">
        <f>IF(J213="","",IF($F$4="C0",itens_Remanesc!B161,IF($F$4="C1",itens_Remanesc!E161,IF($F$4="C2",itens_Remanesc!G161,IF($F$4="C3",itens_Remanesc!I161,itens_Remanesc!K161)))))</f>
        <v/>
      </c>
      <c r="L213" s="173" t="str">
        <f>IF(J213="","",IF(SUMIF(itens_Consumidos!$A$2:$A$200,J213,itens_Consumidos!$B$2:$B$200)-SUMIF(itens_Consumidos!$A$2:$A$200,J213,itens_Consumidos!$O$2:$O$200)&lt;0,0,SUMIF(itens_Consumidos!$A$2:$A$200,J213,itens_Consumidos!$B$2:$B$200)-SUMIF(itens_Consumidos!$A$2:$A$200,J213,itens_Consumidos!$O$2:$O$200)))</f>
        <v/>
      </c>
      <c r="M213" s="176" t="str">
        <f>IF(J213="","",itens_Remanesc!C161)</f>
        <v/>
      </c>
      <c r="N213" s="176" t="str">
        <f>IF(J213="","",IF($F$4="C0",historico_VU!C161,IF($F$4="C1",historico_VU!D161,IF($F$4="C2",historico_VU!E161,IF($F$4="C3",historico_VU!F161,historico_VU!G161)))))</f>
        <v/>
      </c>
      <c r="O213" s="176" t="str">
        <f>IF(J213="","",IF(CONTROLE!$B$1="Principal",IF(OR(K213="",M213=""),"",ROUND(K213*M213,2)),IF(CONTROLE!$B$1="Itens Consumidos",IF(OR(L213="",M213=""),"",ROUND(L213*M213,2)),"")))</f>
        <v/>
      </c>
      <c r="P213" s="176" t="str">
        <f>IF(J213="","",IF(CONTROLE!$B$1="Principal",IF(OR(K213="",N213=""),"",ROUND(K213*N213,2)),IF(CONTROLE!$B$1="Itens Consumidos",IF(OR(L213="",N213=""),"",ROUND(L213*N213,2)),"")))</f>
        <v/>
      </c>
      <c r="Q213" s="177" t="str">
        <f>IF(J213="","",IF(OR(M213="",AND(CONTROLE!$B$1="Principal",K213=""),AND(CONTROLE!$B$1="Itens Consumidos",L213="")),"INCOMPLETO",IF(CONTROLE!$B$1="Pedidos de Compras","MANUAL",IF(AND(ISNUMBER(K213),ISNUMBER(L213),ABS(K213-L213)/MAX(ABS(IF(CONTROLE!$B$1="Principal",K213,L213)),1)&gt;$D$4),"DIVERGENTE","OK"))))</f>
        <v/>
      </c>
    </row>
    <row r="214" spans="1:17" x14ac:dyDescent="0.35">
      <c r="A214" s="172" t="str">
        <f>IF(historico_VU!A162="","",historico_VU!A162)</f>
        <v/>
      </c>
      <c r="B214" s="173" t="str">
        <f>IF(A214="","",historico_VU!B162)</f>
        <v/>
      </c>
      <c r="C214" s="174" t="str">
        <f>IF(A214="","",historico_VU!C162)</f>
        <v/>
      </c>
      <c r="D214" s="174" t="str">
        <f>IF(A214="","",historico_VU!D162)</f>
        <v/>
      </c>
      <c r="E214" s="174" t="str">
        <f>IF(A214="","",historico_VU!E162)</f>
        <v/>
      </c>
      <c r="F214" s="174" t="str">
        <f>IF(A214="","",historico_VU!F162)</f>
        <v/>
      </c>
      <c r="G214" s="174" t="str">
        <f>IF(A214="","",historico_VU!G162)</f>
        <v/>
      </c>
      <c r="H214" s="175" t="str">
        <f>IF(A214="","",historico_VU!H162)</f>
        <v/>
      </c>
      <c r="I214" s="77"/>
      <c r="J214" s="172" t="str">
        <f>IF(itens_Remanesc!A162="","",itens_Remanesc!A162)</f>
        <v/>
      </c>
      <c r="K214" s="173" t="str">
        <f>IF(J214="","",IF($F$4="C0",itens_Remanesc!B162,IF($F$4="C1",itens_Remanesc!E162,IF($F$4="C2",itens_Remanesc!G162,IF($F$4="C3",itens_Remanesc!I162,itens_Remanesc!K162)))))</f>
        <v/>
      </c>
      <c r="L214" s="173" t="str">
        <f>IF(J214="","",IF(SUMIF(itens_Consumidos!$A$2:$A$200,J214,itens_Consumidos!$B$2:$B$200)-SUMIF(itens_Consumidos!$A$2:$A$200,J214,itens_Consumidos!$O$2:$O$200)&lt;0,0,SUMIF(itens_Consumidos!$A$2:$A$200,J214,itens_Consumidos!$B$2:$B$200)-SUMIF(itens_Consumidos!$A$2:$A$200,J214,itens_Consumidos!$O$2:$O$200)))</f>
        <v/>
      </c>
      <c r="M214" s="176" t="str">
        <f>IF(J214="","",itens_Remanesc!C162)</f>
        <v/>
      </c>
      <c r="N214" s="176" t="str">
        <f>IF(J214="","",IF($F$4="C0",historico_VU!C162,IF($F$4="C1",historico_VU!D162,IF($F$4="C2",historico_VU!E162,IF($F$4="C3",historico_VU!F162,historico_VU!G162)))))</f>
        <v/>
      </c>
      <c r="O214" s="176" t="str">
        <f>IF(J214="","",IF(CONTROLE!$B$1="Principal",IF(OR(K214="",M214=""),"",ROUND(K214*M214,2)),IF(CONTROLE!$B$1="Itens Consumidos",IF(OR(L214="",M214=""),"",ROUND(L214*M214,2)),"")))</f>
        <v/>
      </c>
      <c r="P214" s="176" t="str">
        <f>IF(J214="","",IF(CONTROLE!$B$1="Principal",IF(OR(K214="",N214=""),"",ROUND(K214*N214,2)),IF(CONTROLE!$B$1="Itens Consumidos",IF(OR(L214="",N214=""),"",ROUND(L214*N214,2)),"")))</f>
        <v/>
      </c>
      <c r="Q214" s="177" t="str">
        <f>IF(J214="","",IF(OR(M214="",AND(CONTROLE!$B$1="Principal",K214=""),AND(CONTROLE!$B$1="Itens Consumidos",L214="")),"INCOMPLETO",IF(CONTROLE!$B$1="Pedidos de Compras","MANUAL",IF(AND(ISNUMBER(K214),ISNUMBER(L214),ABS(K214-L214)/MAX(ABS(IF(CONTROLE!$B$1="Principal",K214,L214)),1)&gt;$D$4),"DIVERGENTE","OK"))))</f>
        <v/>
      </c>
    </row>
    <row r="215" spans="1:17" x14ac:dyDescent="0.35">
      <c r="A215" s="172" t="str">
        <f>IF(historico_VU!A163="","",historico_VU!A163)</f>
        <v/>
      </c>
      <c r="B215" s="173" t="str">
        <f>IF(A215="","",historico_VU!B163)</f>
        <v/>
      </c>
      <c r="C215" s="174" t="str">
        <f>IF(A215="","",historico_VU!C163)</f>
        <v/>
      </c>
      <c r="D215" s="174" t="str">
        <f>IF(A215="","",historico_VU!D163)</f>
        <v/>
      </c>
      <c r="E215" s="174" t="str">
        <f>IF(A215="","",historico_VU!E163)</f>
        <v/>
      </c>
      <c r="F215" s="174" t="str">
        <f>IF(A215="","",historico_VU!F163)</f>
        <v/>
      </c>
      <c r="G215" s="174" t="str">
        <f>IF(A215="","",historico_VU!G163)</f>
        <v/>
      </c>
      <c r="H215" s="175" t="str">
        <f>IF(A215="","",historico_VU!H163)</f>
        <v/>
      </c>
      <c r="I215" s="77"/>
      <c r="J215" s="172" t="str">
        <f>IF(itens_Remanesc!A163="","",itens_Remanesc!A163)</f>
        <v/>
      </c>
      <c r="K215" s="173" t="str">
        <f>IF(J215="","",IF($F$4="C0",itens_Remanesc!B163,IF($F$4="C1",itens_Remanesc!E163,IF($F$4="C2",itens_Remanesc!G163,IF($F$4="C3",itens_Remanesc!I163,itens_Remanesc!K163)))))</f>
        <v/>
      </c>
      <c r="L215" s="173" t="str">
        <f>IF(J215="","",IF(SUMIF(itens_Consumidos!$A$2:$A$200,J215,itens_Consumidos!$B$2:$B$200)-SUMIF(itens_Consumidos!$A$2:$A$200,J215,itens_Consumidos!$O$2:$O$200)&lt;0,0,SUMIF(itens_Consumidos!$A$2:$A$200,J215,itens_Consumidos!$B$2:$B$200)-SUMIF(itens_Consumidos!$A$2:$A$200,J215,itens_Consumidos!$O$2:$O$200)))</f>
        <v/>
      </c>
      <c r="M215" s="176" t="str">
        <f>IF(J215="","",itens_Remanesc!C163)</f>
        <v/>
      </c>
      <c r="N215" s="176" t="str">
        <f>IF(J215="","",IF($F$4="C0",historico_VU!C163,IF($F$4="C1",historico_VU!D163,IF($F$4="C2",historico_VU!E163,IF($F$4="C3",historico_VU!F163,historico_VU!G163)))))</f>
        <v/>
      </c>
      <c r="O215" s="176" t="str">
        <f>IF(J215="","",IF(CONTROLE!$B$1="Principal",IF(OR(K215="",M215=""),"",ROUND(K215*M215,2)),IF(CONTROLE!$B$1="Itens Consumidos",IF(OR(L215="",M215=""),"",ROUND(L215*M215,2)),"")))</f>
        <v/>
      </c>
      <c r="P215" s="176" t="str">
        <f>IF(J215="","",IF(CONTROLE!$B$1="Principal",IF(OR(K215="",N215=""),"",ROUND(K215*N215,2)),IF(CONTROLE!$B$1="Itens Consumidos",IF(OR(L215="",N215=""),"",ROUND(L215*N215,2)),"")))</f>
        <v/>
      </c>
      <c r="Q215" s="177" t="str">
        <f>IF(J215="","",IF(OR(M215="",AND(CONTROLE!$B$1="Principal",K215=""),AND(CONTROLE!$B$1="Itens Consumidos",L215="")),"INCOMPLETO",IF(CONTROLE!$B$1="Pedidos de Compras","MANUAL",IF(AND(ISNUMBER(K215),ISNUMBER(L215),ABS(K215-L215)/MAX(ABS(IF(CONTROLE!$B$1="Principal",K215,L215)),1)&gt;$D$4),"DIVERGENTE","OK"))))</f>
        <v/>
      </c>
    </row>
    <row r="216" spans="1:17" x14ac:dyDescent="0.35">
      <c r="A216" s="172" t="str">
        <f>IF(historico_VU!A164="","",historico_VU!A164)</f>
        <v/>
      </c>
      <c r="B216" s="173" t="str">
        <f>IF(A216="","",historico_VU!B164)</f>
        <v/>
      </c>
      <c r="C216" s="174" t="str">
        <f>IF(A216="","",historico_VU!C164)</f>
        <v/>
      </c>
      <c r="D216" s="174" t="str">
        <f>IF(A216="","",historico_VU!D164)</f>
        <v/>
      </c>
      <c r="E216" s="174" t="str">
        <f>IF(A216="","",historico_VU!E164)</f>
        <v/>
      </c>
      <c r="F216" s="174" t="str">
        <f>IF(A216="","",historico_VU!F164)</f>
        <v/>
      </c>
      <c r="G216" s="174" t="str">
        <f>IF(A216="","",historico_VU!G164)</f>
        <v/>
      </c>
      <c r="H216" s="175" t="str">
        <f>IF(A216="","",historico_VU!H164)</f>
        <v/>
      </c>
      <c r="I216" s="77"/>
      <c r="J216" s="172" t="str">
        <f>IF(itens_Remanesc!A164="","",itens_Remanesc!A164)</f>
        <v/>
      </c>
      <c r="K216" s="173" t="str">
        <f>IF(J216="","",IF($F$4="C0",itens_Remanesc!B164,IF($F$4="C1",itens_Remanesc!E164,IF($F$4="C2",itens_Remanesc!G164,IF($F$4="C3",itens_Remanesc!I164,itens_Remanesc!K164)))))</f>
        <v/>
      </c>
      <c r="L216" s="173" t="str">
        <f>IF(J216="","",IF(SUMIF(itens_Consumidos!$A$2:$A$200,J216,itens_Consumidos!$B$2:$B$200)-SUMIF(itens_Consumidos!$A$2:$A$200,J216,itens_Consumidos!$O$2:$O$200)&lt;0,0,SUMIF(itens_Consumidos!$A$2:$A$200,J216,itens_Consumidos!$B$2:$B$200)-SUMIF(itens_Consumidos!$A$2:$A$200,J216,itens_Consumidos!$O$2:$O$200)))</f>
        <v/>
      </c>
      <c r="M216" s="176" t="str">
        <f>IF(J216="","",itens_Remanesc!C164)</f>
        <v/>
      </c>
      <c r="N216" s="176" t="str">
        <f>IF(J216="","",IF($F$4="C0",historico_VU!C164,IF($F$4="C1",historico_VU!D164,IF($F$4="C2",historico_VU!E164,IF($F$4="C3",historico_VU!F164,historico_VU!G164)))))</f>
        <v/>
      </c>
      <c r="O216" s="176" t="str">
        <f>IF(J216="","",IF(CONTROLE!$B$1="Principal",IF(OR(K216="",M216=""),"",ROUND(K216*M216,2)),IF(CONTROLE!$B$1="Itens Consumidos",IF(OR(L216="",M216=""),"",ROUND(L216*M216,2)),"")))</f>
        <v/>
      </c>
      <c r="P216" s="176" t="str">
        <f>IF(J216="","",IF(CONTROLE!$B$1="Principal",IF(OR(K216="",N216=""),"",ROUND(K216*N216,2)),IF(CONTROLE!$B$1="Itens Consumidos",IF(OR(L216="",N216=""),"",ROUND(L216*N216,2)),"")))</f>
        <v/>
      </c>
      <c r="Q216" s="177" t="str">
        <f>IF(J216="","",IF(OR(M216="",AND(CONTROLE!$B$1="Principal",K216=""),AND(CONTROLE!$B$1="Itens Consumidos",L216="")),"INCOMPLETO",IF(CONTROLE!$B$1="Pedidos de Compras","MANUAL",IF(AND(ISNUMBER(K216),ISNUMBER(L216),ABS(K216-L216)/MAX(ABS(IF(CONTROLE!$B$1="Principal",K216,L216)),1)&gt;$D$4),"DIVERGENTE","OK"))))</f>
        <v/>
      </c>
    </row>
    <row r="217" spans="1:17" x14ac:dyDescent="0.35">
      <c r="A217" s="172" t="str">
        <f>IF(historico_VU!A165="","",historico_VU!A165)</f>
        <v/>
      </c>
      <c r="B217" s="173" t="str">
        <f>IF(A217="","",historico_VU!B165)</f>
        <v/>
      </c>
      <c r="C217" s="174" t="str">
        <f>IF(A217="","",historico_VU!C165)</f>
        <v/>
      </c>
      <c r="D217" s="174" t="str">
        <f>IF(A217="","",historico_VU!D165)</f>
        <v/>
      </c>
      <c r="E217" s="174" t="str">
        <f>IF(A217="","",historico_VU!E165)</f>
        <v/>
      </c>
      <c r="F217" s="174" t="str">
        <f>IF(A217="","",historico_VU!F165)</f>
        <v/>
      </c>
      <c r="G217" s="174" t="str">
        <f>IF(A217="","",historico_VU!G165)</f>
        <v/>
      </c>
      <c r="H217" s="175" t="str">
        <f>IF(A217="","",historico_VU!H165)</f>
        <v/>
      </c>
      <c r="I217" s="77"/>
      <c r="J217" s="172" t="str">
        <f>IF(itens_Remanesc!A165="","",itens_Remanesc!A165)</f>
        <v/>
      </c>
      <c r="K217" s="173" t="str">
        <f>IF(J217="","",IF($F$4="C0",itens_Remanesc!B165,IF($F$4="C1",itens_Remanesc!E165,IF($F$4="C2",itens_Remanesc!G165,IF($F$4="C3",itens_Remanesc!I165,itens_Remanesc!K165)))))</f>
        <v/>
      </c>
      <c r="L217" s="173" t="str">
        <f>IF(J217="","",IF(SUMIF(itens_Consumidos!$A$2:$A$200,J217,itens_Consumidos!$B$2:$B$200)-SUMIF(itens_Consumidos!$A$2:$A$200,J217,itens_Consumidos!$O$2:$O$200)&lt;0,0,SUMIF(itens_Consumidos!$A$2:$A$200,J217,itens_Consumidos!$B$2:$B$200)-SUMIF(itens_Consumidos!$A$2:$A$200,J217,itens_Consumidos!$O$2:$O$200)))</f>
        <v/>
      </c>
      <c r="M217" s="176" t="str">
        <f>IF(J217="","",itens_Remanesc!C165)</f>
        <v/>
      </c>
      <c r="N217" s="176" t="str">
        <f>IF(J217="","",IF($F$4="C0",historico_VU!C165,IF($F$4="C1",historico_VU!D165,IF($F$4="C2",historico_VU!E165,IF($F$4="C3",historico_VU!F165,historico_VU!G165)))))</f>
        <v/>
      </c>
      <c r="O217" s="176" t="str">
        <f>IF(J217="","",IF(CONTROLE!$B$1="Principal",IF(OR(K217="",M217=""),"",ROUND(K217*M217,2)),IF(CONTROLE!$B$1="Itens Consumidos",IF(OR(L217="",M217=""),"",ROUND(L217*M217,2)),"")))</f>
        <v/>
      </c>
      <c r="P217" s="176" t="str">
        <f>IF(J217="","",IF(CONTROLE!$B$1="Principal",IF(OR(K217="",N217=""),"",ROUND(K217*N217,2)),IF(CONTROLE!$B$1="Itens Consumidos",IF(OR(L217="",N217=""),"",ROUND(L217*N217,2)),"")))</f>
        <v/>
      </c>
      <c r="Q217" s="177" t="str">
        <f>IF(J217="","",IF(OR(M217="",AND(CONTROLE!$B$1="Principal",K217=""),AND(CONTROLE!$B$1="Itens Consumidos",L217="")),"INCOMPLETO",IF(CONTROLE!$B$1="Pedidos de Compras","MANUAL",IF(AND(ISNUMBER(K217),ISNUMBER(L217),ABS(K217-L217)/MAX(ABS(IF(CONTROLE!$B$1="Principal",K217,L217)),1)&gt;$D$4),"DIVERGENTE","OK"))))</f>
        <v/>
      </c>
    </row>
    <row r="218" spans="1:17" x14ac:dyDescent="0.35">
      <c r="A218" s="172" t="str">
        <f>IF(historico_VU!A166="","",historico_VU!A166)</f>
        <v/>
      </c>
      <c r="B218" s="173" t="str">
        <f>IF(A218="","",historico_VU!B166)</f>
        <v/>
      </c>
      <c r="C218" s="174" t="str">
        <f>IF(A218="","",historico_VU!C166)</f>
        <v/>
      </c>
      <c r="D218" s="174" t="str">
        <f>IF(A218="","",historico_VU!D166)</f>
        <v/>
      </c>
      <c r="E218" s="174" t="str">
        <f>IF(A218="","",historico_VU!E166)</f>
        <v/>
      </c>
      <c r="F218" s="174" t="str">
        <f>IF(A218="","",historico_VU!F166)</f>
        <v/>
      </c>
      <c r="G218" s="174" t="str">
        <f>IF(A218="","",historico_VU!G166)</f>
        <v/>
      </c>
      <c r="H218" s="175" t="str">
        <f>IF(A218="","",historico_VU!H166)</f>
        <v/>
      </c>
      <c r="I218" s="77"/>
      <c r="J218" s="172" t="str">
        <f>IF(itens_Remanesc!A166="","",itens_Remanesc!A166)</f>
        <v/>
      </c>
      <c r="K218" s="173" t="str">
        <f>IF(J218="","",IF($F$4="C0",itens_Remanesc!B166,IF($F$4="C1",itens_Remanesc!E166,IF($F$4="C2",itens_Remanesc!G166,IF($F$4="C3",itens_Remanesc!I166,itens_Remanesc!K166)))))</f>
        <v/>
      </c>
      <c r="L218" s="173" t="str">
        <f>IF(J218="","",IF(SUMIF(itens_Consumidos!$A$2:$A$200,J218,itens_Consumidos!$B$2:$B$200)-SUMIF(itens_Consumidos!$A$2:$A$200,J218,itens_Consumidos!$O$2:$O$200)&lt;0,0,SUMIF(itens_Consumidos!$A$2:$A$200,J218,itens_Consumidos!$B$2:$B$200)-SUMIF(itens_Consumidos!$A$2:$A$200,J218,itens_Consumidos!$O$2:$O$200)))</f>
        <v/>
      </c>
      <c r="M218" s="176" t="str">
        <f>IF(J218="","",itens_Remanesc!C166)</f>
        <v/>
      </c>
      <c r="N218" s="176" t="str">
        <f>IF(J218="","",IF($F$4="C0",historico_VU!C166,IF($F$4="C1",historico_VU!D166,IF($F$4="C2",historico_VU!E166,IF($F$4="C3",historico_VU!F166,historico_VU!G166)))))</f>
        <v/>
      </c>
      <c r="O218" s="176" t="str">
        <f>IF(J218="","",IF(CONTROLE!$B$1="Principal",IF(OR(K218="",M218=""),"",ROUND(K218*M218,2)),IF(CONTROLE!$B$1="Itens Consumidos",IF(OR(L218="",M218=""),"",ROUND(L218*M218,2)),"")))</f>
        <v/>
      </c>
      <c r="P218" s="176" t="str">
        <f>IF(J218="","",IF(CONTROLE!$B$1="Principal",IF(OR(K218="",N218=""),"",ROUND(K218*N218,2)),IF(CONTROLE!$B$1="Itens Consumidos",IF(OR(L218="",N218=""),"",ROUND(L218*N218,2)),"")))</f>
        <v/>
      </c>
      <c r="Q218" s="177" t="str">
        <f>IF(J218="","",IF(OR(M218="",AND(CONTROLE!$B$1="Principal",K218=""),AND(CONTROLE!$B$1="Itens Consumidos",L218="")),"INCOMPLETO",IF(CONTROLE!$B$1="Pedidos de Compras","MANUAL",IF(AND(ISNUMBER(K218),ISNUMBER(L218),ABS(K218-L218)/MAX(ABS(IF(CONTROLE!$B$1="Principal",K218,L218)),1)&gt;$D$4),"DIVERGENTE","OK"))))</f>
        <v/>
      </c>
    </row>
    <row r="219" spans="1:17" x14ac:dyDescent="0.35">
      <c r="A219" s="172" t="str">
        <f>IF(historico_VU!A167="","",historico_VU!A167)</f>
        <v/>
      </c>
      <c r="B219" s="173" t="str">
        <f>IF(A219="","",historico_VU!B167)</f>
        <v/>
      </c>
      <c r="C219" s="174" t="str">
        <f>IF(A219="","",historico_VU!C167)</f>
        <v/>
      </c>
      <c r="D219" s="174" t="str">
        <f>IF(A219="","",historico_VU!D167)</f>
        <v/>
      </c>
      <c r="E219" s="174" t="str">
        <f>IF(A219="","",historico_VU!E167)</f>
        <v/>
      </c>
      <c r="F219" s="174" t="str">
        <f>IF(A219="","",historico_VU!F167)</f>
        <v/>
      </c>
      <c r="G219" s="174" t="str">
        <f>IF(A219="","",historico_VU!G167)</f>
        <v/>
      </c>
      <c r="H219" s="175" t="str">
        <f>IF(A219="","",historico_VU!H167)</f>
        <v/>
      </c>
      <c r="I219" s="77"/>
      <c r="J219" s="172" t="str">
        <f>IF(itens_Remanesc!A167="","",itens_Remanesc!A167)</f>
        <v/>
      </c>
      <c r="K219" s="173" t="str">
        <f>IF(J219="","",IF($F$4="C0",itens_Remanesc!B167,IF($F$4="C1",itens_Remanesc!E167,IF($F$4="C2",itens_Remanesc!G167,IF($F$4="C3",itens_Remanesc!I167,itens_Remanesc!K167)))))</f>
        <v/>
      </c>
      <c r="L219" s="173" t="str">
        <f>IF(J219="","",IF(SUMIF(itens_Consumidos!$A$2:$A$200,J219,itens_Consumidos!$B$2:$B$200)-SUMIF(itens_Consumidos!$A$2:$A$200,J219,itens_Consumidos!$O$2:$O$200)&lt;0,0,SUMIF(itens_Consumidos!$A$2:$A$200,J219,itens_Consumidos!$B$2:$B$200)-SUMIF(itens_Consumidos!$A$2:$A$200,J219,itens_Consumidos!$O$2:$O$200)))</f>
        <v/>
      </c>
      <c r="M219" s="176" t="str">
        <f>IF(J219="","",itens_Remanesc!C167)</f>
        <v/>
      </c>
      <c r="N219" s="176" t="str">
        <f>IF(J219="","",IF($F$4="C0",historico_VU!C167,IF($F$4="C1",historico_VU!D167,IF($F$4="C2",historico_VU!E167,IF($F$4="C3",historico_VU!F167,historico_VU!G167)))))</f>
        <v/>
      </c>
      <c r="O219" s="176" t="str">
        <f>IF(J219="","",IF(CONTROLE!$B$1="Principal",IF(OR(K219="",M219=""),"",ROUND(K219*M219,2)),IF(CONTROLE!$B$1="Itens Consumidos",IF(OR(L219="",M219=""),"",ROUND(L219*M219,2)),"")))</f>
        <v/>
      </c>
      <c r="P219" s="176" t="str">
        <f>IF(J219="","",IF(CONTROLE!$B$1="Principal",IF(OR(K219="",N219=""),"",ROUND(K219*N219,2)),IF(CONTROLE!$B$1="Itens Consumidos",IF(OR(L219="",N219=""),"",ROUND(L219*N219,2)),"")))</f>
        <v/>
      </c>
      <c r="Q219" s="177" t="str">
        <f>IF(J219="","",IF(OR(M219="",AND(CONTROLE!$B$1="Principal",K219=""),AND(CONTROLE!$B$1="Itens Consumidos",L219="")),"INCOMPLETO",IF(CONTROLE!$B$1="Pedidos de Compras","MANUAL",IF(AND(ISNUMBER(K219),ISNUMBER(L219),ABS(K219-L219)/MAX(ABS(IF(CONTROLE!$B$1="Principal",K219,L219)),1)&gt;$D$4),"DIVERGENTE","OK"))))</f>
        <v/>
      </c>
    </row>
    <row r="220" spans="1:17" x14ac:dyDescent="0.35">
      <c r="A220" s="172" t="str">
        <f>IF(historico_VU!A168="","",historico_VU!A168)</f>
        <v/>
      </c>
      <c r="B220" s="173" t="str">
        <f>IF(A220="","",historico_VU!B168)</f>
        <v/>
      </c>
      <c r="C220" s="174" t="str">
        <f>IF(A220="","",historico_VU!C168)</f>
        <v/>
      </c>
      <c r="D220" s="174" t="str">
        <f>IF(A220="","",historico_VU!D168)</f>
        <v/>
      </c>
      <c r="E220" s="174" t="str">
        <f>IF(A220="","",historico_VU!E168)</f>
        <v/>
      </c>
      <c r="F220" s="174" t="str">
        <f>IF(A220="","",historico_VU!F168)</f>
        <v/>
      </c>
      <c r="G220" s="174" t="str">
        <f>IF(A220="","",historico_VU!G168)</f>
        <v/>
      </c>
      <c r="H220" s="175" t="str">
        <f>IF(A220="","",historico_VU!H168)</f>
        <v/>
      </c>
      <c r="I220" s="77"/>
      <c r="J220" s="172" t="str">
        <f>IF(itens_Remanesc!A168="","",itens_Remanesc!A168)</f>
        <v/>
      </c>
      <c r="K220" s="173" t="str">
        <f>IF(J220="","",IF($F$4="C0",itens_Remanesc!B168,IF($F$4="C1",itens_Remanesc!E168,IF($F$4="C2",itens_Remanesc!G168,IF($F$4="C3",itens_Remanesc!I168,itens_Remanesc!K168)))))</f>
        <v/>
      </c>
      <c r="L220" s="173" t="str">
        <f>IF(J220="","",IF(SUMIF(itens_Consumidos!$A$2:$A$200,J220,itens_Consumidos!$B$2:$B$200)-SUMIF(itens_Consumidos!$A$2:$A$200,J220,itens_Consumidos!$O$2:$O$200)&lt;0,0,SUMIF(itens_Consumidos!$A$2:$A$200,J220,itens_Consumidos!$B$2:$B$200)-SUMIF(itens_Consumidos!$A$2:$A$200,J220,itens_Consumidos!$O$2:$O$200)))</f>
        <v/>
      </c>
      <c r="M220" s="176" t="str">
        <f>IF(J220="","",itens_Remanesc!C168)</f>
        <v/>
      </c>
      <c r="N220" s="176" t="str">
        <f>IF(J220="","",IF($F$4="C0",historico_VU!C168,IF($F$4="C1",historico_VU!D168,IF($F$4="C2",historico_VU!E168,IF($F$4="C3",historico_VU!F168,historico_VU!G168)))))</f>
        <v/>
      </c>
      <c r="O220" s="176" t="str">
        <f>IF(J220="","",IF(CONTROLE!$B$1="Principal",IF(OR(K220="",M220=""),"",ROUND(K220*M220,2)),IF(CONTROLE!$B$1="Itens Consumidos",IF(OR(L220="",M220=""),"",ROUND(L220*M220,2)),"")))</f>
        <v/>
      </c>
      <c r="P220" s="176" t="str">
        <f>IF(J220="","",IF(CONTROLE!$B$1="Principal",IF(OR(K220="",N220=""),"",ROUND(K220*N220,2)),IF(CONTROLE!$B$1="Itens Consumidos",IF(OR(L220="",N220=""),"",ROUND(L220*N220,2)),"")))</f>
        <v/>
      </c>
      <c r="Q220" s="177" t="str">
        <f>IF(J220="","",IF(OR(M220="",AND(CONTROLE!$B$1="Principal",K220=""),AND(CONTROLE!$B$1="Itens Consumidos",L220="")),"INCOMPLETO",IF(CONTROLE!$B$1="Pedidos de Compras","MANUAL",IF(AND(ISNUMBER(K220),ISNUMBER(L220),ABS(K220-L220)/MAX(ABS(IF(CONTROLE!$B$1="Principal",K220,L220)),1)&gt;$D$4),"DIVERGENTE","OK"))))</f>
        <v/>
      </c>
    </row>
    <row r="221" spans="1:17" x14ac:dyDescent="0.35">
      <c r="A221" s="172" t="str">
        <f>IF(historico_VU!A169="","",historico_VU!A169)</f>
        <v/>
      </c>
      <c r="B221" s="173" t="str">
        <f>IF(A221="","",historico_VU!B169)</f>
        <v/>
      </c>
      <c r="C221" s="174" t="str">
        <f>IF(A221="","",historico_VU!C169)</f>
        <v/>
      </c>
      <c r="D221" s="174" t="str">
        <f>IF(A221="","",historico_VU!D169)</f>
        <v/>
      </c>
      <c r="E221" s="174" t="str">
        <f>IF(A221="","",historico_VU!E169)</f>
        <v/>
      </c>
      <c r="F221" s="174" t="str">
        <f>IF(A221="","",historico_VU!F169)</f>
        <v/>
      </c>
      <c r="G221" s="174" t="str">
        <f>IF(A221="","",historico_VU!G169)</f>
        <v/>
      </c>
      <c r="H221" s="175" t="str">
        <f>IF(A221="","",historico_VU!H169)</f>
        <v/>
      </c>
      <c r="I221" s="77"/>
      <c r="J221" s="172" t="str">
        <f>IF(itens_Remanesc!A169="","",itens_Remanesc!A169)</f>
        <v/>
      </c>
      <c r="K221" s="173" t="str">
        <f>IF(J221="","",IF($F$4="C0",itens_Remanesc!B169,IF($F$4="C1",itens_Remanesc!E169,IF($F$4="C2",itens_Remanesc!G169,IF($F$4="C3",itens_Remanesc!I169,itens_Remanesc!K169)))))</f>
        <v/>
      </c>
      <c r="L221" s="173" t="str">
        <f>IF(J221="","",IF(SUMIF(itens_Consumidos!$A$2:$A$200,J221,itens_Consumidos!$B$2:$B$200)-SUMIF(itens_Consumidos!$A$2:$A$200,J221,itens_Consumidos!$O$2:$O$200)&lt;0,0,SUMIF(itens_Consumidos!$A$2:$A$200,J221,itens_Consumidos!$B$2:$B$200)-SUMIF(itens_Consumidos!$A$2:$A$200,J221,itens_Consumidos!$O$2:$O$200)))</f>
        <v/>
      </c>
      <c r="M221" s="176" t="str">
        <f>IF(J221="","",itens_Remanesc!C169)</f>
        <v/>
      </c>
      <c r="N221" s="176" t="str">
        <f>IF(J221="","",IF($F$4="C0",historico_VU!C169,IF($F$4="C1",historico_VU!D169,IF($F$4="C2",historico_VU!E169,IF($F$4="C3",historico_VU!F169,historico_VU!G169)))))</f>
        <v/>
      </c>
      <c r="O221" s="176" t="str">
        <f>IF(J221="","",IF(CONTROLE!$B$1="Principal",IF(OR(K221="",M221=""),"",ROUND(K221*M221,2)),IF(CONTROLE!$B$1="Itens Consumidos",IF(OR(L221="",M221=""),"",ROUND(L221*M221,2)),"")))</f>
        <v/>
      </c>
      <c r="P221" s="176" t="str">
        <f>IF(J221="","",IF(CONTROLE!$B$1="Principal",IF(OR(K221="",N221=""),"",ROUND(K221*N221,2)),IF(CONTROLE!$B$1="Itens Consumidos",IF(OR(L221="",N221=""),"",ROUND(L221*N221,2)),"")))</f>
        <v/>
      </c>
      <c r="Q221" s="177" t="str">
        <f>IF(J221="","",IF(OR(M221="",AND(CONTROLE!$B$1="Principal",K221=""),AND(CONTROLE!$B$1="Itens Consumidos",L221="")),"INCOMPLETO",IF(CONTROLE!$B$1="Pedidos de Compras","MANUAL",IF(AND(ISNUMBER(K221),ISNUMBER(L221),ABS(K221-L221)/MAX(ABS(IF(CONTROLE!$B$1="Principal",K221,L221)),1)&gt;$D$4),"DIVERGENTE","OK"))))</f>
        <v/>
      </c>
    </row>
    <row r="222" spans="1:17" x14ac:dyDescent="0.35">
      <c r="A222" s="172" t="str">
        <f>IF(historico_VU!A170="","",historico_VU!A170)</f>
        <v/>
      </c>
      <c r="B222" s="173" t="str">
        <f>IF(A222="","",historico_VU!B170)</f>
        <v/>
      </c>
      <c r="C222" s="174" t="str">
        <f>IF(A222="","",historico_VU!C170)</f>
        <v/>
      </c>
      <c r="D222" s="174" t="str">
        <f>IF(A222="","",historico_VU!D170)</f>
        <v/>
      </c>
      <c r="E222" s="174" t="str">
        <f>IF(A222="","",historico_VU!E170)</f>
        <v/>
      </c>
      <c r="F222" s="174" t="str">
        <f>IF(A222="","",historico_VU!F170)</f>
        <v/>
      </c>
      <c r="G222" s="174" t="str">
        <f>IF(A222="","",historico_VU!G170)</f>
        <v/>
      </c>
      <c r="H222" s="175" t="str">
        <f>IF(A222="","",historico_VU!H170)</f>
        <v/>
      </c>
      <c r="I222" s="77"/>
      <c r="J222" s="172" t="str">
        <f>IF(itens_Remanesc!A170="","",itens_Remanesc!A170)</f>
        <v/>
      </c>
      <c r="K222" s="173" t="str">
        <f>IF(J222="","",IF($F$4="C0",itens_Remanesc!B170,IF($F$4="C1",itens_Remanesc!E170,IF($F$4="C2",itens_Remanesc!G170,IF($F$4="C3",itens_Remanesc!I170,itens_Remanesc!K170)))))</f>
        <v/>
      </c>
      <c r="L222" s="173" t="str">
        <f>IF(J222="","",IF(SUMIF(itens_Consumidos!$A$2:$A$200,J222,itens_Consumidos!$B$2:$B$200)-SUMIF(itens_Consumidos!$A$2:$A$200,J222,itens_Consumidos!$O$2:$O$200)&lt;0,0,SUMIF(itens_Consumidos!$A$2:$A$200,J222,itens_Consumidos!$B$2:$B$200)-SUMIF(itens_Consumidos!$A$2:$A$200,J222,itens_Consumidos!$O$2:$O$200)))</f>
        <v/>
      </c>
      <c r="M222" s="176" t="str">
        <f>IF(J222="","",itens_Remanesc!C170)</f>
        <v/>
      </c>
      <c r="N222" s="176" t="str">
        <f>IF(J222="","",IF($F$4="C0",historico_VU!C170,IF($F$4="C1",historico_VU!D170,IF($F$4="C2",historico_VU!E170,IF($F$4="C3",historico_VU!F170,historico_VU!G170)))))</f>
        <v/>
      </c>
      <c r="O222" s="176" t="str">
        <f>IF(J222="","",IF(CONTROLE!$B$1="Principal",IF(OR(K222="",M222=""),"",ROUND(K222*M222,2)),IF(CONTROLE!$B$1="Itens Consumidos",IF(OR(L222="",M222=""),"",ROUND(L222*M222,2)),"")))</f>
        <v/>
      </c>
      <c r="P222" s="176" t="str">
        <f>IF(J222="","",IF(CONTROLE!$B$1="Principal",IF(OR(K222="",N222=""),"",ROUND(K222*N222,2)),IF(CONTROLE!$B$1="Itens Consumidos",IF(OR(L222="",N222=""),"",ROUND(L222*N222,2)),"")))</f>
        <v/>
      </c>
      <c r="Q222" s="177" t="str">
        <f>IF(J222="","",IF(OR(M222="",AND(CONTROLE!$B$1="Principal",K222=""),AND(CONTROLE!$B$1="Itens Consumidos",L222="")),"INCOMPLETO",IF(CONTROLE!$B$1="Pedidos de Compras","MANUAL",IF(AND(ISNUMBER(K222),ISNUMBER(L222),ABS(K222-L222)/MAX(ABS(IF(CONTROLE!$B$1="Principal",K222,L222)),1)&gt;$D$4),"DIVERGENTE","OK"))))</f>
        <v/>
      </c>
    </row>
    <row r="223" spans="1:17" x14ac:dyDescent="0.35">
      <c r="A223" s="172" t="str">
        <f>IF(historico_VU!A171="","",historico_VU!A171)</f>
        <v/>
      </c>
      <c r="B223" s="173" t="str">
        <f>IF(A223="","",historico_VU!B171)</f>
        <v/>
      </c>
      <c r="C223" s="174" t="str">
        <f>IF(A223="","",historico_VU!C171)</f>
        <v/>
      </c>
      <c r="D223" s="174" t="str">
        <f>IF(A223="","",historico_VU!D171)</f>
        <v/>
      </c>
      <c r="E223" s="174" t="str">
        <f>IF(A223="","",historico_VU!E171)</f>
        <v/>
      </c>
      <c r="F223" s="174" t="str">
        <f>IF(A223="","",historico_VU!F171)</f>
        <v/>
      </c>
      <c r="G223" s="174" t="str">
        <f>IF(A223="","",historico_VU!G171)</f>
        <v/>
      </c>
      <c r="H223" s="175" t="str">
        <f>IF(A223="","",historico_VU!H171)</f>
        <v/>
      </c>
      <c r="I223" s="77"/>
      <c r="J223" s="172" t="str">
        <f>IF(itens_Remanesc!A171="","",itens_Remanesc!A171)</f>
        <v/>
      </c>
      <c r="K223" s="173" t="str">
        <f>IF(J223="","",IF($F$4="C0",itens_Remanesc!B171,IF($F$4="C1",itens_Remanesc!E171,IF($F$4="C2",itens_Remanesc!G171,IF($F$4="C3",itens_Remanesc!I171,itens_Remanesc!K171)))))</f>
        <v/>
      </c>
      <c r="L223" s="173" t="str">
        <f>IF(J223="","",IF(SUMIF(itens_Consumidos!$A$2:$A$200,J223,itens_Consumidos!$B$2:$B$200)-SUMIF(itens_Consumidos!$A$2:$A$200,J223,itens_Consumidos!$O$2:$O$200)&lt;0,0,SUMIF(itens_Consumidos!$A$2:$A$200,J223,itens_Consumidos!$B$2:$B$200)-SUMIF(itens_Consumidos!$A$2:$A$200,J223,itens_Consumidos!$O$2:$O$200)))</f>
        <v/>
      </c>
      <c r="M223" s="176" t="str">
        <f>IF(J223="","",itens_Remanesc!C171)</f>
        <v/>
      </c>
      <c r="N223" s="176" t="str">
        <f>IF(J223="","",IF($F$4="C0",historico_VU!C171,IF($F$4="C1",historico_VU!D171,IF($F$4="C2",historico_VU!E171,IF($F$4="C3",historico_VU!F171,historico_VU!G171)))))</f>
        <v/>
      </c>
      <c r="O223" s="176" t="str">
        <f>IF(J223="","",IF(CONTROLE!$B$1="Principal",IF(OR(K223="",M223=""),"",ROUND(K223*M223,2)),IF(CONTROLE!$B$1="Itens Consumidos",IF(OR(L223="",M223=""),"",ROUND(L223*M223,2)),"")))</f>
        <v/>
      </c>
      <c r="P223" s="176" t="str">
        <f>IF(J223="","",IF(CONTROLE!$B$1="Principal",IF(OR(K223="",N223=""),"",ROUND(K223*N223,2)),IF(CONTROLE!$B$1="Itens Consumidos",IF(OR(L223="",N223=""),"",ROUND(L223*N223,2)),"")))</f>
        <v/>
      </c>
      <c r="Q223" s="177" t="str">
        <f>IF(J223="","",IF(OR(M223="",AND(CONTROLE!$B$1="Principal",K223=""),AND(CONTROLE!$B$1="Itens Consumidos",L223="")),"INCOMPLETO",IF(CONTROLE!$B$1="Pedidos de Compras","MANUAL",IF(AND(ISNUMBER(K223),ISNUMBER(L223),ABS(K223-L223)/MAX(ABS(IF(CONTROLE!$B$1="Principal",K223,L223)),1)&gt;$D$4),"DIVERGENTE","OK"))))</f>
        <v/>
      </c>
    </row>
    <row r="224" spans="1:17" x14ac:dyDescent="0.35">
      <c r="A224" s="172" t="str">
        <f>IF(historico_VU!A172="","",historico_VU!A172)</f>
        <v/>
      </c>
      <c r="B224" s="173" t="str">
        <f>IF(A224="","",historico_VU!B172)</f>
        <v/>
      </c>
      <c r="C224" s="174" t="str">
        <f>IF(A224="","",historico_VU!C172)</f>
        <v/>
      </c>
      <c r="D224" s="174" t="str">
        <f>IF(A224="","",historico_VU!D172)</f>
        <v/>
      </c>
      <c r="E224" s="174" t="str">
        <f>IF(A224="","",historico_VU!E172)</f>
        <v/>
      </c>
      <c r="F224" s="174" t="str">
        <f>IF(A224="","",historico_VU!F172)</f>
        <v/>
      </c>
      <c r="G224" s="174" t="str">
        <f>IF(A224="","",historico_VU!G172)</f>
        <v/>
      </c>
      <c r="H224" s="175" t="str">
        <f>IF(A224="","",historico_VU!H172)</f>
        <v/>
      </c>
      <c r="I224" s="77"/>
      <c r="J224" s="172" t="str">
        <f>IF(itens_Remanesc!A172="","",itens_Remanesc!A172)</f>
        <v/>
      </c>
      <c r="K224" s="173" t="str">
        <f>IF(J224="","",IF($F$4="C0",itens_Remanesc!B172,IF($F$4="C1",itens_Remanesc!E172,IF($F$4="C2",itens_Remanesc!G172,IF($F$4="C3",itens_Remanesc!I172,itens_Remanesc!K172)))))</f>
        <v/>
      </c>
      <c r="L224" s="173" t="str">
        <f>IF(J224="","",IF(SUMIF(itens_Consumidos!$A$2:$A$200,J224,itens_Consumidos!$B$2:$B$200)-SUMIF(itens_Consumidos!$A$2:$A$200,J224,itens_Consumidos!$O$2:$O$200)&lt;0,0,SUMIF(itens_Consumidos!$A$2:$A$200,J224,itens_Consumidos!$B$2:$B$200)-SUMIF(itens_Consumidos!$A$2:$A$200,J224,itens_Consumidos!$O$2:$O$200)))</f>
        <v/>
      </c>
      <c r="M224" s="176" t="str">
        <f>IF(J224="","",itens_Remanesc!C172)</f>
        <v/>
      </c>
      <c r="N224" s="176" t="str">
        <f>IF(J224="","",IF($F$4="C0",historico_VU!C172,IF($F$4="C1",historico_VU!D172,IF($F$4="C2",historico_VU!E172,IF($F$4="C3",historico_VU!F172,historico_VU!G172)))))</f>
        <v/>
      </c>
      <c r="O224" s="176" t="str">
        <f>IF(J224="","",IF(CONTROLE!$B$1="Principal",IF(OR(K224="",M224=""),"",ROUND(K224*M224,2)),IF(CONTROLE!$B$1="Itens Consumidos",IF(OR(L224="",M224=""),"",ROUND(L224*M224,2)),"")))</f>
        <v/>
      </c>
      <c r="P224" s="176" t="str">
        <f>IF(J224="","",IF(CONTROLE!$B$1="Principal",IF(OR(K224="",N224=""),"",ROUND(K224*N224,2)),IF(CONTROLE!$B$1="Itens Consumidos",IF(OR(L224="",N224=""),"",ROUND(L224*N224,2)),"")))</f>
        <v/>
      </c>
      <c r="Q224" s="177" t="str">
        <f>IF(J224="","",IF(OR(M224="",AND(CONTROLE!$B$1="Principal",K224=""),AND(CONTROLE!$B$1="Itens Consumidos",L224="")),"INCOMPLETO",IF(CONTROLE!$B$1="Pedidos de Compras","MANUAL",IF(AND(ISNUMBER(K224),ISNUMBER(L224),ABS(K224-L224)/MAX(ABS(IF(CONTROLE!$B$1="Principal",K224,L224)),1)&gt;$D$4),"DIVERGENTE","OK"))))</f>
        <v/>
      </c>
    </row>
    <row r="225" spans="1:17" x14ac:dyDescent="0.35">
      <c r="A225" s="172" t="str">
        <f>IF(historico_VU!A173="","",historico_VU!A173)</f>
        <v/>
      </c>
      <c r="B225" s="173" t="str">
        <f>IF(A225="","",historico_VU!B173)</f>
        <v/>
      </c>
      <c r="C225" s="174" t="str">
        <f>IF(A225="","",historico_VU!C173)</f>
        <v/>
      </c>
      <c r="D225" s="174" t="str">
        <f>IF(A225="","",historico_VU!D173)</f>
        <v/>
      </c>
      <c r="E225" s="174" t="str">
        <f>IF(A225="","",historico_VU!E173)</f>
        <v/>
      </c>
      <c r="F225" s="174" t="str">
        <f>IF(A225="","",historico_VU!F173)</f>
        <v/>
      </c>
      <c r="G225" s="174" t="str">
        <f>IF(A225="","",historico_VU!G173)</f>
        <v/>
      </c>
      <c r="H225" s="175" t="str">
        <f>IF(A225="","",historico_VU!H173)</f>
        <v/>
      </c>
      <c r="I225" s="77"/>
      <c r="J225" s="172" t="str">
        <f>IF(itens_Remanesc!A173="","",itens_Remanesc!A173)</f>
        <v/>
      </c>
      <c r="K225" s="173" t="str">
        <f>IF(J225="","",IF($F$4="C0",itens_Remanesc!B173,IF($F$4="C1",itens_Remanesc!E173,IF($F$4="C2",itens_Remanesc!G173,IF($F$4="C3",itens_Remanesc!I173,itens_Remanesc!K173)))))</f>
        <v/>
      </c>
      <c r="L225" s="173" t="str">
        <f>IF(J225="","",IF(SUMIF(itens_Consumidos!$A$2:$A$200,J225,itens_Consumidos!$B$2:$B$200)-SUMIF(itens_Consumidos!$A$2:$A$200,J225,itens_Consumidos!$O$2:$O$200)&lt;0,0,SUMIF(itens_Consumidos!$A$2:$A$200,J225,itens_Consumidos!$B$2:$B$200)-SUMIF(itens_Consumidos!$A$2:$A$200,J225,itens_Consumidos!$O$2:$O$200)))</f>
        <v/>
      </c>
      <c r="M225" s="176" t="str">
        <f>IF(J225="","",itens_Remanesc!C173)</f>
        <v/>
      </c>
      <c r="N225" s="176" t="str">
        <f>IF(J225="","",IF($F$4="C0",historico_VU!C173,IF($F$4="C1",historico_VU!D173,IF($F$4="C2",historico_VU!E173,IF($F$4="C3",historico_VU!F173,historico_VU!G173)))))</f>
        <v/>
      </c>
      <c r="O225" s="176" t="str">
        <f>IF(J225="","",IF(CONTROLE!$B$1="Principal",IF(OR(K225="",M225=""),"",ROUND(K225*M225,2)),IF(CONTROLE!$B$1="Itens Consumidos",IF(OR(L225="",M225=""),"",ROUND(L225*M225,2)),"")))</f>
        <v/>
      </c>
      <c r="P225" s="176" t="str">
        <f>IF(J225="","",IF(CONTROLE!$B$1="Principal",IF(OR(K225="",N225=""),"",ROUND(K225*N225,2)),IF(CONTROLE!$B$1="Itens Consumidos",IF(OR(L225="",N225=""),"",ROUND(L225*N225,2)),"")))</f>
        <v/>
      </c>
      <c r="Q225" s="177" t="str">
        <f>IF(J225="","",IF(OR(M225="",AND(CONTROLE!$B$1="Principal",K225=""),AND(CONTROLE!$B$1="Itens Consumidos",L225="")),"INCOMPLETO",IF(CONTROLE!$B$1="Pedidos de Compras","MANUAL",IF(AND(ISNUMBER(K225),ISNUMBER(L225),ABS(K225-L225)/MAX(ABS(IF(CONTROLE!$B$1="Principal",K225,L225)),1)&gt;$D$4),"DIVERGENTE","OK"))))</f>
        <v/>
      </c>
    </row>
    <row r="226" spans="1:17" x14ac:dyDescent="0.35">
      <c r="A226" s="172" t="str">
        <f>IF(historico_VU!A174="","",historico_VU!A174)</f>
        <v/>
      </c>
      <c r="B226" s="173" t="str">
        <f>IF(A226="","",historico_VU!B174)</f>
        <v/>
      </c>
      <c r="C226" s="174" t="str">
        <f>IF(A226="","",historico_VU!C174)</f>
        <v/>
      </c>
      <c r="D226" s="174" t="str">
        <f>IF(A226="","",historico_VU!D174)</f>
        <v/>
      </c>
      <c r="E226" s="174" t="str">
        <f>IF(A226="","",historico_VU!E174)</f>
        <v/>
      </c>
      <c r="F226" s="174" t="str">
        <f>IF(A226="","",historico_VU!F174)</f>
        <v/>
      </c>
      <c r="G226" s="174" t="str">
        <f>IF(A226="","",historico_VU!G174)</f>
        <v/>
      </c>
      <c r="H226" s="175" t="str">
        <f>IF(A226="","",historico_VU!H174)</f>
        <v/>
      </c>
      <c r="I226" s="77"/>
      <c r="J226" s="172" t="str">
        <f>IF(itens_Remanesc!A174="","",itens_Remanesc!A174)</f>
        <v/>
      </c>
      <c r="K226" s="173" t="str">
        <f>IF(J226="","",IF($F$4="C0",itens_Remanesc!B174,IF($F$4="C1",itens_Remanesc!E174,IF($F$4="C2",itens_Remanesc!G174,IF($F$4="C3",itens_Remanesc!I174,itens_Remanesc!K174)))))</f>
        <v/>
      </c>
      <c r="L226" s="173" t="str">
        <f>IF(J226="","",IF(SUMIF(itens_Consumidos!$A$2:$A$200,J226,itens_Consumidos!$B$2:$B$200)-SUMIF(itens_Consumidos!$A$2:$A$200,J226,itens_Consumidos!$O$2:$O$200)&lt;0,0,SUMIF(itens_Consumidos!$A$2:$A$200,J226,itens_Consumidos!$B$2:$B$200)-SUMIF(itens_Consumidos!$A$2:$A$200,J226,itens_Consumidos!$O$2:$O$200)))</f>
        <v/>
      </c>
      <c r="M226" s="176" t="str">
        <f>IF(J226="","",itens_Remanesc!C174)</f>
        <v/>
      </c>
      <c r="N226" s="176" t="str">
        <f>IF(J226="","",IF($F$4="C0",historico_VU!C174,IF($F$4="C1",historico_VU!D174,IF($F$4="C2",historico_VU!E174,IF($F$4="C3",historico_VU!F174,historico_VU!G174)))))</f>
        <v/>
      </c>
      <c r="O226" s="176" t="str">
        <f>IF(J226="","",IF(CONTROLE!$B$1="Principal",IF(OR(K226="",M226=""),"",ROUND(K226*M226,2)),IF(CONTROLE!$B$1="Itens Consumidos",IF(OR(L226="",M226=""),"",ROUND(L226*M226,2)),"")))</f>
        <v/>
      </c>
      <c r="P226" s="176" t="str">
        <f>IF(J226="","",IF(CONTROLE!$B$1="Principal",IF(OR(K226="",N226=""),"",ROUND(K226*N226,2)),IF(CONTROLE!$B$1="Itens Consumidos",IF(OR(L226="",N226=""),"",ROUND(L226*N226,2)),"")))</f>
        <v/>
      </c>
      <c r="Q226" s="177" t="str">
        <f>IF(J226="","",IF(OR(M226="",AND(CONTROLE!$B$1="Principal",K226=""),AND(CONTROLE!$B$1="Itens Consumidos",L226="")),"INCOMPLETO",IF(CONTROLE!$B$1="Pedidos de Compras","MANUAL",IF(AND(ISNUMBER(K226),ISNUMBER(L226),ABS(K226-L226)/MAX(ABS(IF(CONTROLE!$B$1="Principal",K226,L226)),1)&gt;$D$4),"DIVERGENTE","OK"))))</f>
        <v/>
      </c>
    </row>
    <row r="227" spans="1:17" x14ac:dyDescent="0.35">
      <c r="A227" s="172" t="str">
        <f>IF(historico_VU!A175="","",historico_VU!A175)</f>
        <v/>
      </c>
      <c r="B227" s="173" t="str">
        <f>IF(A227="","",historico_VU!B175)</f>
        <v/>
      </c>
      <c r="C227" s="174" t="str">
        <f>IF(A227="","",historico_VU!C175)</f>
        <v/>
      </c>
      <c r="D227" s="174" t="str">
        <f>IF(A227="","",historico_VU!D175)</f>
        <v/>
      </c>
      <c r="E227" s="174" t="str">
        <f>IF(A227="","",historico_VU!E175)</f>
        <v/>
      </c>
      <c r="F227" s="174" t="str">
        <f>IF(A227="","",historico_VU!F175)</f>
        <v/>
      </c>
      <c r="G227" s="174" t="str">
        <f>IF(A227="","",historico_VU!G175)</f>
        <v/>
      </c>
      <c r="H227" s="175" t="str">
        <f>IF(A227="","",historico_VU!H175)</f>
        <v/>
      </c>
      <c r="I227" s="77"/>
      <c r="J227" s="172" t="str">
        <f>IF(itens_Remanesc!A175="","",itens_Remanesc!A175)</f>
        <v/>
      </c>
      <c r="K227" s="173" t="str">
        <f>IF(J227="","",IF($F$4="C0",itens_Remanesc!B175,IF($F$4="C1",itens_Remanesc!E175,IF($F$4="C2",itens_Remanesc!G175,IF($F$4="C3",itens_Remanesc!I175,itens_Remanesc!K175)))))</f>
        <v/>
      </c>
      <c r="L227" s="173" t="str">
        <f>IF(J227="","",IF(SUMIF(itens_Consumidos!$A$2:$A$200,J227,itens_Consumidos!$B$2:$B$200)-SUMIF(itens_Consumidos!$A$2:$A$200,J227,itens_Consumidos!$O$2:$O$200)&lt;0,0,SUMIF(itens_Consumidos!$A$2:$A$200,J227,itens_Consumidos!$B$2:$B$200)-SUMIF(itens_Consumidos!$A$2:$A$200,J227,itens_Consumidos!$O$2:$O$200)))</f>
        <v/>
      </c>
      <c r="M227" s="176" t="str">
        <f>IF(J227="","",itens_Remanesc!C175)</f>
        <v/>
      </c>
      <c r="N227" s="176" t="str">
        <f>IF(J227="","",IF($F$4="C0",historico_VU!C175,IF($F$4="C1",historico_VU!D175,IF($F$4="C2",historico_VU!E175,IF($F$4="C3",historico_VU!F175,historico_VU!G175)))))</f>
        <v/>
      </c>
      <c r="O227" s="176" t="str">
        <f>IF(J227="","",IF(CONTROLE!$B$1="Principal",IF(OR(K227="",M227=""),"",ROUND(K227*M227,2)),IF(CONTROLE!$B$1="Itens Consumidos",IF(OR(L227="",M227=""),"",ROUND(L227*M227,2)),"")))</f>
        <v/>
      </c>
      <c r="P227" s="176" t="str">
        <f>IF(J227="","",IF(CONTROLE!$B$1="Principal",IF(OR(K227="",N227=""),"",ROUND(K227*N227,2)),IF(CONTROLE!$B$1="Itens Consumidos",IF(OR(L227="",N227=""),"",ROUND(L227*N227,2)),"")))</f>
        <v/>
      </c>
      <c r="Q227" s="177" t="str">
        <f>IF(J227="","",IF(OR(M227="",AND(CONTROLE!$B$1="Principal",K227=""),AND(CONTROLE!$B$1="Itens Consumidos",L227="")),"INCOMPLETO",IF(CONTROLE!$B$1="Pedidos de Compras","MANUAL",IF(AND(ISNUMBER(K227),ISNUMBER(L227),ABS(K227-L227)/MAX(ABS(IF(CONTROLE!$B$1="Principal",K227,L227)),1)&gt;$D$4),"DIVERGENTE","OK"))))</f>
        <v/>
      </c>
    </row>
    <row r="228" spans="1:17" x14ac:dyDescent="0.35">
      <c r="A228" s="172" t="str">
        <f>IF(historico_VU!A176="","",historico_VU!A176)</f>
        <v/>
      </c>
      <c r="B228" s="173" t="str">
        <f>IF(A228="","",historico_VU!B176)</f>
        <v/>
      </c>
      <c r="C228" s="174" t="str">
        <f>IF(A228="","",historico_VU!C176)</f>
        <v/>
      </c>
      <c r="D228" s="174" t="str">
        <f>IF(A228="","",historico_VU!D176)</f>
        <v/>
      </c>
      <c r="E228" s="174" t="str">
        <f>IF(A228="","",historico_VU!E176)</f>
        <v/>
      </c>
      <c r="F228" s="174" t="str">
        <f>IF(A228="","",historico_VU!F176)</f>
        <v/>
      </c>
      <c r="G228" s="174" t="str">
        <f>IF(A228="","",historico_VU!G176)</f>
        <v/>
      </c>
      <c r="H228" s="175" t="str">
        <f>IF(A228="","",historico_VU!H176)</f>
        <v/>
      </c>
      <c r="I228" s="77"/>
      <c r="J228" s="172" t="str">
        <f>IF(itens_Remanesc!A176="","",itens_Remanesc!A176)</f>
        <v/>
      </c>
      <c r="K228" s="173" t="str">
        <f>IF(J228="","",IF($F$4="C0",itens_Remanesc!B176,IF($F$4="C1",itens_Remanesc!E176,IF($F$4="C2",itens_Remanesc!G176,IF($F$4="C3",itens_Remanesc!I176,itens_Remanesc!K176)))))</f>
        <v/>
      </c>
      <c r="L228" s="173" t="str">
        <f>IF(J228="","",IF(SUMIF(itens_Consumidos!$A$2:$A$200,J228,itens_Consumidos!$B$2:$B$200)-SUMIF(itens_Consumidos!$A$2:$A$200,J228,itens_Consumidos!$O$2:$O$200)&lt;0,0,SUMIF(itens_Consumidos!$A$2:$A$200,J228,itens_Consumidos!$B$2:$B$200)-SUMIF(itens_Consumidos!$A$2:$A$200,J228,itens_Consumidos!$O$2:$O$200)))</f>
        <v/>
      </c>
      <c r="M228" s="176" t="str">
        <f>IF(J228="","",itens_Remanesc!C176)</f>
        <v/>
      </c>
      <c r="N228" s="176" t="str">
        <f>IF(J228="","",IF($F$4="C0",historico_VU!C176,IF($F$4="C1",historico_VU!D176,IF($F$4="C2",historico_VU!E176,IF($F$4="C3",historico_VU!F176,historico_VU!G176)))))</f>
        <v/>
      </c>
      <c r="O228" s="176" t="str">
        <f>IF(J228="","",IF(CONTROLE!$B$1="Principal",IF(OR(K228="",M228=""),"",ROUND(K228*M228,2)),IF(CONTROLE!$B$1="Itens Consumidos",IF(OR(L228="",M228=""),"",ROUND(L228*M228,2)),"")))</f>
        <v/>
      </c>
      <c r="P228" s="176" t="str">
        <f>IF(J228="","",IF(CONTROLE!$B$1="Principal",IF(OR(K228="",N228=""),"",ROUND(K228*N228,2)),IF(CONTROLE!$B$1="Itens Consumidos",IF(OR(L228="",N228=""),"",ROUND(L228*N228,2)),"")))</f>
        <v/>
      </c>
      <c r="Q228" s="177" t="str">
        <f>IF(J228="","",IF(OR(M228="",AND(CONTROLE!$B$1="Principal",K228=""),AND(CONTROLE!$B$1="Itens Consumidos",L228="")),"INCOMPLETO",IF(CONTROLE!$B$1="Pedidos de Compras","MANUAL",IF(AND(ISNUMBER(K228),ISNUMBER(L228),ABS(K228-L228)/MAX(ABS(IF(CONTROLE!$B$1="Principal",K228,L228)),1)&gt;$D$4),"DIVERGENTE","OK"))))</f>
        <v/>
      </c>
    </row>
    <row r="229" spans="1:17" x14ac:dyDescent="0.35">
      <c r="A229" s="172" t="str">
        <f>IF(historico_VU!A177="","",historico_VU!A177)</f>
        <v/>
      </c>
      <c r="B229" s="173" t="str">
        <f>IF(A229="","",historico_VU!B177)</f>
        <v/>
      </c>
      <c r="C229" s="174" t="str">
        <f>IF(A229="","",historico_VU!C177)</f>
        <v/>
      </c>
      <c r="D229" s="174" t="str">
        <f>IF(A229="","",historico_VU!D177)</f>
        <v/>
      </c>
      <c r="E229" s="174" t="str">
        <f>IF(A229="","",historico_VU!E177)</f>
        <v/>
      </c>
      <c r="F229" s="174" t="str">
        <f>IF(A229="","",historico_VU!F177)</f>
        <v/>
      </c>
      <c r="G229" s="174" t="str">
        <f>IF(A229="","",historico_VU!G177)</f>
        <v/>
      </c>
      <c r="H229" s="175" t="str">
        <f>IF(A229="","",historico_VU!H177)</f>
        <v/>
      </c>
      <c r="I229" s="77"/>
      <c r="J229" s="172" t="str">
        <f>IF(itens_Remanesc!A177="","",itens_Remanesc!A177)</f>
        <v/>
      </c>
      <c r="K229" s="173" t="str">
        <f>IF(J229="","",IF($F$4="C0",itens_Remanesc!B177,IF($F$4="C1",itens_Remanesc!E177,IF($F$4="C2",itens_Remanesc!G177,IF($F$4="C3",itens_Remanesc!I177,itens_Remanesc!K177)))))</f>
        <v/>
      </c>
      <c r="L229" s="173" t="str">
        <f>IF(J229="","",IF(SUMIF(itens_Consumidos!$A$2:$A$200,J229,itens_Consumidos!$B$2:$B$200)-SUMIF(itens_Consumidos!$A$2:$A$200,J229,itens_Consumidos!$O$2:$O$200)&lt;0,0,SUMIF(itens_Consumidos!$A$2:$A$200,J229,itens_Consumidos!$B$2:$B$200)-SUMIF(itens_Consumidos!$A$2:$A$200,J229,itens_Consumidos!$O$2:$O$200)))</f>
        <v/>
      </c>
      <c r="M229" s="176" t="str">
        <f>IF(J229="","",itens_Remanesc!C177)</f>
        <v/>
      </c>
      <c r="N229" s="176" t="str">
        <f>IF(J229="","",IF($F$4="C0",historico_VU!C177,IF($F$4="C1",historico_VU!D177,IF($F$4="C2",historico_VU!E177,IF($F$4="C3",historico_VU!F177,historico_VU!G177)))))</f>
        <v/>
      </c>
      <c r="O229" s="176" t="str">
        <f>IF(J229="","",IF(CONTROLE!$B$1="Principal",IF(OR(K229="",M229=""),"",ROUND(K229*M229,2)),IF(CONTROLE!$B$1="Itens Consumidos",IF(OR(L229="",M229=""),"",ROUND(L229*M229,2)),"")))</f>
        <v/>
      </c>
      <c r="P229" s="176" t="str">
        <f>IF(J229="","",IF(CONTROLE!$B$1="Principal",IF(OR(K229="",N229=""),"",ROUND(K229*N229,2)),IF(CONTROLE!$B$1="Itens Consumidos",IF(OR(L229="",N229=""),"",ROUND(L229*N229,2)),"")))</f>
        <v/>
      </c>
      <c r="Q229" s="177" t="str">
        <f>IF(J229="","",IF(OR(M229="",AND(CONTROLE!$B$1="Principal",K229=""),AND(CONTROLE!$B$1="Itens Consumidos",L229="")),"INCOMPLETO",IF(CONTROLE!$B$1="Pedidos de Compras","MANUAL",IF(AND(ISNUMBER(K229),ISNUMBER(L229),ABS(K229-L229)/MAX(ABS(IF(CONTROLE!$B$1="Principal",K229,L229)),1)&gt;$D$4),"DIVERGENTE","OK"))))</f>
        <v/>
      </c>
    </row>
    <row r="230" spans="1:17" x14ac:dyDescent="0.35">
      <c r="A230" s="172" t="str">
        <f>IF(historico_VU!A178="","",historico_VU!A178)</f>
        <v/>
      </c>
      <c r="B230" s="173" t="str">
        <f>IF(A230="","",historico_VU!B178)</f>
        <v/>
      </c>
      <c r="C230" s="174" t="str">
        <f>IF(A230="","",historico_VU!C178)</f>
        <v/>
      </c>
      <c r="D230" s="174" t="str">
        <f>IF(A230="","",historico_VU!D178)</f>
        <v/>
      </c>
      <c r="E230" s="174" t="str">
        <f>IF(A230="","",historico_VU!E178)</f>
        <v/>
      </c>
      <c r="F230" s="174" t="str">
        <f>IF(A230="","",historico_VU!F178)</f>
        <v/>
      </c>
      <c r="G230" s="174" t="str">
        <f>IF(A230="","",historico_VU!G178)</f>
        <v/>
      </c>
      <c r="H230" s="175" t="str">
        <f>IF(A230="","",historico_VU!H178)</f>
        <v/>
      </c>
      <c r="I230" s="77"/>
      <c r="J230" s="172" t="str">
        <f>IF(itens_Remanesc!A178="","",itens_Remanesc!A178)</f>
        <v/>
      </c>
      <c r="K230" s="173" t="str">
        <f>IF(J230="","",IF($F$4="C0",itens_Remanesc!B178,IF($F$4="C1",itens_Remanesc!E178,IF($F$4="C2",itens_Remanesc!G178,IF($F$4="C3",itens_Remanesc!I178,itens_Remanesc!K178)))))</f>
        <v/>
      </c>
      <c r="L230" s="173" t="str">
        <f>IF(J230="","",IF(SUMIF(itens_Consumidos!$A$2:$A$200,J230,itens_Consumidos!$B$2:$B$200)-SUMIF(itens_Consumidos!$A$2:$A$200,J230,itens_Consumidos!$O$2:$O$200)&lt;0,0,SUMIF(itens_Consumidos!$A$2:$A$200,J230,itens_Consumidos!$B$2:$B$200)-SUMIF(itens_Consumidos!$A$2:$A$200,J230,itens_Consumidos!$O$2:$O$200)))</f>
        <v/>
      </c>
      <c r="M230" s="176" t="str">
        <f>IF(J230="","",itens_Remanesc!C178)</f>
        <v/>
      </c>
      <c r="N230" s="176" t="str">
        <f>IF(J230="","",IF($F$4="C0",historico_VU!C178,IF($F$4="C1",historico_VU!D178,IF($F$4="C2",historico_VU!E178,IF($F$4="C3",historico_VU!F178,historico_VU!G178)))))</f>
        <v/>
      </c>
      <c r="O230" s="176" t="str">
        <f>IF(J230="","",IF(CONTROLE!$B$1="Principal",IF(OR(K230="",M230=""),"",ROUND(K230*M230,2)),IF(CONTROLE!$B$1="Itens Consumidos",IF(OR(L230="",M230=""),"",ROUND(L230*M230,2)),"")))</f>
        <v/>
      </c>
      <c r="P230" s="176" t="str">
        <f>IF(J230="","",IF(CONTROLE!$B$1="Principal",IF(OR(K230="",N230=""),"",ROUND(K230*N230,2)),IF(CONTROLE!$B$1="Itens Consumidos",IF(OR(L230="",N230=""),"",ROUND(L230*N230,2)),"")))</f>
        <v/>
      </c>
      <c r="Q230" s="177" t="str">
        <f>IF(J230="","",IF(OR(M230="",AND(CONTROLE!$B$1="Principal",K230=""),AND(CONTROLE!$B$1="Itens Consumidos",L230="")),"INCOMPLETO",IF(CONTROLE!$B$1="Pedidos de Compras","MANUAL",IF(AND(ISNUMBER(K230),ISNUMBER(L230),ABS(K230-L230)/MAX(ABS(IF(CONTROLE!$B$1="Principal",K230,L230)),1)&gt;$D$4),"DIVERGENTE","OK"))))</f>
        <v/>
      </c>
    </row>
    <row r="231" spans="1:17" x14ac:dyDescent="0.35">
      <c r="A231" s="172" t="str">
        <f>IF(historico_VU!A179="","",historico_VU!A179)</f>
        <v/>
      </c>
      <c r="B231" s="173" t="str">
        <f>IF(A231="","",historico_VU!B179)</f>
        <v/>
      </c>
      <c r="C231" s="174" t="str">
        <f>IF(A231="","",historico_VU!C179)</f>
        <v/>
      </c>
      <c r="D231" s="174" t="str">
        <f>IF(A231="","",historico_VU!D179)</f>
        <v/>
      </c>
      <c r="E231" s="174" t="str">
        <f>IF(A231="","",historico_VU!E179)</f>
        <v/>
      </c>
      <c r="F231" s="174" t="str">
        <f>IF(A231="","",historico_VU!F179)</f>
        <v/>
      </c>
      <c r="G231" s="174" t="str">
        <f>IF(A231="","",historico_VU!G179)</f>
        <v/>
      </c>
      <c r="H231" s="175" t="str">
        <f>IF(A231="","",historico_VU!H179)</f>
        <v/>
      </c>
      <c r="I231" s="77"/>
      <c r="J231" s="172" t="str">
        <f>IF(itens_Remanesc!A179="","",itens_Remanesc!A179)</f>
        <v/>
      </c>
      <c r="K231" s="173" t="str">
        <f>IF(J231="","",IF($F$4="C0",itens_Remanesc!B179,IF($F$4="C1",itens_Remanesc!E179,IF($F$4="C2",itens_Remanesc!G179,IF($F$4="C3",itens_Remanesc!I179,itens_Remanesc!K179)))))</f>
        <v/>
      </c>
      <c r="L231" s="173" t="str">
        <f>IF(J231="","",IF(SUMIF(itens_Consumidos!$A$2:$A$200,J231,itens_Consumidos!$B$2:$B$200)-SUMIF(itens_Consumidos!$A$2:$A$200,J231,itens_Consumidos!$O$2:$O$200)&lt;0,0,SUMIF(itens_Consumidos!$A$2:$A$200,J231,itens_Consumidos!$B$2:$B$200)-SUMIF(itens_Consumidos!$A$2:$A$200,J231,itens_Consumidos!$O$2:$O$200)))</f>
        <v/>
      </c>
      <c r="M231" s="176" t="str">
        <f>IF(J231="","",itens_Remanesc!C179)</f>
        <v/>
      </c>
      <c r="N231" s="176" t="str">
        <f>IF(J231="","",IF($F$4="C0",historico_VU!C179,IF($F$4="C1",historico_VU!D179,IF($F$4="C2",historico_VU!E179,IF($F$4="C3",historico_VU!F179,historico_VU!G179)))))</f>
        <v/>
      </c>
      <c r="O231" s="176" t="str">
        <f>IF(J231="","",IF(CONTROLE!$B$1="Principal",IF(OR(K231="",M231=""),"",ROUND(K231*M231,2)),IF(CONTROLE!$B$1="Itens Consumidos",IF(OR(L231="",M231=""),"",ROUND(L231*M231,2)),"")))</f>
        <v/>
      </c>
      <c r="P231" s="176" t="str">
        <f>IF(J231="","",IF(CONTROLE!$B$1="Principal",IF(OR(K231="",N231=""),"",ROUND(K231*N231,2)),IF(CONTROLE!$B$1="Itens Consumidos",IF(OR(L231="",N231=""),"",ROUND(L231*N231,2)),"")))</f>
        <v/>
      </c>
      <c r="Q231" s="177" t="str">
        <f>IF(J231="","",IF(OR(M231="",AND(CONTROLE!$B$1="Principal",K231=""),AND(CONTROLE!$B$1="Itens Consumidos",L231="")),"INCOMPLETO",IF(CONTROLE!$B$1="Pedidos de Compras","MANUAL",IF(AND(ISNUMBER(K231),ISNUMBER(L231),ABS(K231-L231)/MAX(ABS(IF(CONTROLE!$B$1="Principal",K231,L231)),1)&gt;$D$4),"DIVERGENTE","OK"))))</f>
        <v/>
      </c>
    </row>
    <row r="232" spans="1:17" x14ac:dyDescent="0.35">
      <c r="A232" s="172" t="str">
        <f>IF(historico_VU!A180="","",historico_VU!A180)</f>
        <v/>
      </c>
      <c r="B232" s="173" t="str">
        <f>IF(A232="","",historico_VU!B180)</f>
        <v/>
      </c>
      <c r="C232" s="174" t="str">
        <f>IF(A232="","",historico_VU!C180)</f>
        <v/>
      </c>
      <c r="D232" s="174" t="str">
        <f>IF(A232="","",historico_VU!D180)</f>
        <v/>
      </c>
      <c r="E232" s="174" t="str">
        <f>IF(A232="","",historico_VU!E180)</f>
        <v/>
      </c>
      <c r="F232" s="174" t="str">
        <f>IF(A232="","",historico_VU!F180)</f>
        <v/>
      </c>
      <c r="G232" s="174" t="str">
        <f>IF(A232="","",historico_VU!G180)</f>
        <v/>
      </c>
      <c r="H232" s="175" t="str">
        <f>IF(A232="","",historico_VU!H180)</f>
        <v/>
      </c>
      <c r="I232" s="77"/>
      <c r="J232" s="172" t="str">
        <f>IF(itens_Remanesc!A180="","",itens_Remanesc!A180)</f>
        <v/>
      </c>
      <c r="K232" s="173" t="str">
        <f>IF(J232="","",IF($F$4="C0",itens_Remanesc!B180,IF($F$4="C1",itens_Remanesc!E180,IF($F$4="C2",itens_Remanesc!G180,IF($F$4="C3",itens_Remanesc!I180,itens_Remanesc!K180)))))</f>
        <v/>
      </c>
      <c r="L232" s="173" t="str">
        <f>IF(J232="","",IF(SUMIF(itens_Consumidos!$A$2:$A$200,J232,itens_Consumidos!$B$2:$B$200)-SUMIF(itens_Consumidos!$A$2:$A$200,J232,itens_Consumidos!$O$2:$O$200)&lt;0,0,SUMIF(itens_Consumidos!$A$2:$A$200,J232,itens_Consumidos!$B$2:$B$200)-SUMIF(itens_Consumidos!$A$2:$A$200,J232,itens_Consumidos!$O$2:$O$200)))</f>
        <v/>
      </c>
      <c r="M232" s="176" t="str">
        <f>IF(J232="","",itens_Remanesc!C180)</f>
        <v/>
      </c>
      <c r="N232" s="176" t="str">
        <f>IF(J232="","",IF($F$4="C0",historico_VU!C180,IF($F$4="C1",historico_VU!D180,IF($F$4="C2",historico_VU!E180,IF($F$4="C3",historico_VU!F180,historico_VU!G180)))))</f>
        <v/>
      </c>
      <c r="O232" s="176" t="str">
        <f>IF(J232="","",IF(CONTROLE!$B$1="Principal",IF(OR(K232="",M232=""),"",ROUND(K232*M232,2)),IF(CONTROLE!$B$1="Itens Consumidos",IF(OR(L232="",M232=""),"",ROUND(L232*M232,2)),"")))</f>
        <v/>
      </c>
      <c r="P232" s="176" t="str">
        <f>IF(J232="","",IF(CONTROLE!$B$1="Principal",IF(OR(K232="",N232=""),"",ROUND(K232*N232,2)),IF(CONTROLE!$B$1="Itens Consumidos",IF(OR(L232="",N232=""),"",ROUND(L232*N232,2)),"")))</f>
        <v/>
      </c>
      <c r="Q232" s="177" t="str">
        <f>IF(J232="","",IF(OR(M232="",AND(CONTROLE!$B$1="Principal",K232=""),AND(CONTROLE!$B$1="Itens Consumidos",L232="")),"INCOMPLETO",IF(CONTROLE!$B$1="Pedidos de Compras","MANUAL",IF(AND(ISNUMBER(K232),ISNUMBER(L232),ABS(K232-L232)/MAX(ABS(IF(CONTROLE!$B$1="Principal",K232,L232)),1)&gt;$D$4),"DIVERGENTE","OK"))))</f>
        <v/>
      </c>
    </row>
    <row r="233" spans="1:17" x14ac:dyDescent="0.35">
      <c r="A233" s="172" t="str">
        <f>IF(historico_VU!A181="","",historico_VU!A181)</f>
        <v/>
      </c>
      <c r="B233" s="173" t="str">
        <f>IF(A233="","",historico_VU!B181)</f>
        <v/>
      </c>
      <c r="C233" s="174" t="str">
        <f>IF(A233="","",historico_VU!C181)</f>
        <v/>
      </c>
      <c r="D233" s="174" t="str">
        <f>IF(A233="","",historico_VU!D181)</f>
        <v/>
      </c>
      <c r="E233" s="174" t="str">
        <f>IF(A233="","",historico_VU!E181)</f>
        <v/>
      </c>
      <c r="F233" s="174" t="str">
        <f>IF(A233="","",historico_VU!F181)</f>
        <v/>
      </c>
      <c r="G233" s="174" t="str">
        <f>IF(A233="","",historico_VU!G181)</f>
        <v/>
      </c>
      <c r="H233" s="175" t="str">
        <f>IF(A233="","",historico_VU!H181)</f>
        <v/>
      </c>
      <c r="I233" s="77"/>
      <c r="J233" s="172" t="str">
        <f>IF(itens_Remanesc!A181="","",itens_Remanesc!A181)</f>
        <v/>
      </c>
      <c r="K233" s="173" t="str">
        <f>IF(J233="","",IF($F$4="C0",itens_Remanesc!B181,IF($F$4="C1",itens_Remanesc!E181,IF($F$4="C2",itens_Remanesc!G181,IF($F$4="C3",itens_Remanesc!I181,itens_Remanesc!K181)))))</f>
        <v/>
      </c>
      <c r="L233" s="173" t="str">
        <f>IF(J233="","",IF(SUMIF(itens_Consumidos!$A$2:$A$200,J233,itens_Consumidos!$B$2:$B$200)-SUMIF(itens_Consumidos!$A$2:$A$200,J233,itens_Consumidos!$O$2:$O$200)&lt;0,0,SUMIF(itens_Consumidos!$A$2:$A$200,J233,itens_Consumidos!$B$2:$B$200)-SUMIF(itens_Consumidos!$A$2:$A$200,J233,itens_Consumidos!$O$2:$O$200)))</f>
        <v/>
      </c>
      <c r="M233" s="176" t="str">
        <f>IF(J233="","",itens_Remanesc!C181)</f>
        <v/>
      </c>
      <c r="N233" s="176" t="str">
        <f>IF(J233="","",IF($F$4="C0",historico_VU!C181,IF($F$4="C1",historico_VU!D181,IF($F$4="C2",historico_VU!E181,IF($F$4="C3",historico_VU!F181,historico_VU!G181)))))</f>
        <v/>
      </c>
      <c r="O233" s="176" t="str">
        <f>IF(J233="","",IF(CONTROLE!$B$1="Principal",IF(OR(K233="",M233=""),"",ROUND(K233*M233,2)),IF(CONTROLE!$B$1="Itens Consumidos",IF(OR(L233="",M233=""),"",ROUND(L233*M233,2)),"")))</f>
        <v/>
      </c>
      <c r="P233" s="176" t="str">
        <f>IF(J233="","",IF(CONTROLE!$B$1="Principal",IF(OR(K233="",N233=""),"",ROUND(K233*N233,2)),IF(CONTROLE!$B$1="Itens Consumidos",IF(OR(L233="",N233=""),"",ROUND(L233*N233,2)),"")))</f>
        <v/>
      </c>
      <c r="Q233" s="177" t="str">
        <f>IF(J233="","",IF(OR(M233="",AND(CONTROLE!$B$1="Principal",K233=""),AND(CONTROLE!$B$1="Itens Consumidos",L233="")),"INCOMPLETO",IF(CONTROLE!$B$1="Pedidos de Compras","MANUAL",IF(AND(ISNUMBER(K233),ISNUMBER(L233),ABS(K233-L233)/MAX(ABS(IF(CONTROLE!$B$1="Principal",K233,L233)),1)&gt;$D$4),"DIVERGENTE","OK"))))</f>
        <v/>
      </c>
    </row>
    <row r="234" spans="1:17" x14ac:dyDescent="0.35">
      <c r="A234" s="172" t="str">
        <f>IF(historico_VU!A182="","",historico_VU!A182)</f>
        <v/>
      </c>
      <c r="B234" s="173" t="str">
        <f>IF(A234="","",historico_VU!B182)</f>
        <v/>
      </c>
      <c r="C234" s="174" t="str">
        <f>IF(A234="","",historico_VU!C182)</f>
        <v/>
      </c>
      <c r="D234" s="174" t="str">
        <f>IF(A234="","",historico_VU!D182)</f>
        <v/>
      </c>
      <c r="E234" s="174" t="str">
        <f>IF(A234="","",historico_VU!E182)</f>
        <v/>
      </c>
      <c r="F234" s="174" t="str">
        <f>IF(A234="","",historico_VU!F182)</f>
        <v/>
      </c>
      <c r="G234" s="174" t="str">
        <f>IF(A234="","",historico_VU!G182)</f>
        <v/>
      </c>
      <c r="H234" s="175" t="str">
        <f>IF(A234="","",historico_VU!H182)</f>
        <v/>
      </c>
      <c r="I234" s="77"/>
      <c r="J234" s="172" t="str">
        <f>IF(itens_Remanesc!A182="","",itens_Remanesc!A182)</f>
        <v/>
      </c>
      <c r="K234" s="173" t="str">
        <f>IF(J234="","",IF($F$4="C0",itens_Remanesc!B182,IF($F$4="C1",itens_Remanesc!E182,IF($F$4="C2",itens_Remanesc!G182,IF($F$4="C3",itens_Remanesc!I182,itens_Remanesc!K182)))))</f>
        <v/>
      </c>
      <c r="L234" s="173" t="str">
        <f>IF(J234="","",IF(SUMIF(itens_Consumidos!$A$2:$A$200,J234,itens_Consumidos!$B$2:$B$200)-SUMIF(itens_Consumidos!$A$2:$A$200,J234,itens_Consumidos!$O$2:$O$200)&lt;0,0,SUMIF(itens_Consumidos!$A$2:$A$200,J234,itens_Consumidos!$B$2:$B$200)-SUMIF(itens_Consumidos!$A$2:$A$200,J234,itens_Consumidos!$O$2:$O$200)))</f>
        <v/>
      </c>
      <c r="M234" s="176" t="str">
        <f>IF(J234="","",itens_Remanesc!C182)</f>
        <v/>
      </c>
      <c r="N234" s="176" t="str">
        <f>IF(J234="","",IF($F$4="C0",historico_VU!C182,IF($F$4="C1",historico_VU!D182,IF($F$4="C2",historico_VU!E182,IF($F$4="C3",historico_VU!F182,historico_VU!G182)))))</f>
        <v/>
      </c>
      <c r="O234" s="176" t="str">
        <f>IF(J234="","",IF(CONTROLE!$B$1="Principal",IF(OR(K234="",M234=""),"",ROUND(K234*M234,2)),IF(CONTROLE!$B$1="Itens Consumidos",IF(OR(L234="",M234=""),"",ROUND(L234*M234,2)),"")))</f>
        <v/>
      </c>
      <c r="P234" s="176" t="str">
        <f>IF(J234="","",IF(CONTROLE!$B$1="Principal",IF(OR(K234="",N234=""),"",ROUND(K234*N234,2)),IF(CONTROLE!$B$1="Itens Consumidos",IF(OR(L234="",N234=""),"",ROUND(L234*N234,2)),"")))</f>
        <v/>
      </c>
      <c r="Q234" s="177" t="str">
        <f>IF(J234="","",IF(OR(M234="",AND(CONTROLE!$B$1="Principal",K234=""),AND(CONTROLE!$B$1="Itens Consumidos",L234="")),"INCOMPLETO",IF(CONTROLE!$B$1="Pedidos de Compras","MANUAL",IF(AND(ISNUMBER(K234),ISNUMBER(L234),ABS(K234-L234)/MAX(ABS(IF(CONTROLE!$B$1="Principal",K234,L234)),1)&gt;$D$4),"DIVERGENTE","OK"))))</f>
        <v/>
      </c>
    </row>
    <row r="235" spans="1:17" x14ac:dyDescent="0.35">
      <c r="A235" s="172" t="str">
        <f>IF(historico_VU!A183="","",historico_VU!A183)</f>
        <v/>
      </c>
      <c r="B235" s="173" t="str">
        <f>IF(A235="","",historico_VU!B183)</f>
        <v/>
      </c>
      <c r="C235" s="174" t="str">
        <f>IF(A235="","",historico_VU!C183)</f>
        <v/>
      </c>
      <c r="D235" s="174" t="str">
        <f>IF(A235="","",historico_VU!D183)</f>
        <v/>
      </c>
      <c r="E235" s="174" t="str">
        <f>IF(A235="","",historico_VU!E183)</f>
        <v/>
      </c>
      <c r="F235" s="174" t="str">
        <f>IF(A235="","",historico_VU!F183)</f>
        <v/>
      </c>
      <c r="G235" s="174" t="str">
        <f>IF(A235="","",historico_VU!G183)</f>
        <v/>
      </c>
      <c r="H235" s="175" t="str">
        <f>IF(A235="","",historico_VU!H183)</f>
        <v/>
      </c>
      <c r="I235" s="77"/>
      <c r="J235" s="172" t="str">
        <f>IF(itens_Remanesc!A183="","",itens_Remanesc!A183)</f>
        <v/>
      </c>
      <c r="K235" s="173" t="str">
        <f>IF(J235="","",IF($F$4="C0",itens_Remanesc!B183,IF($F$4="C1",itens_Remanesc!E183,IF($F$4="C2",itens_Remanesc!G183,IF($F$4="C3",itens_Remanesc!I183,itens_Remanesc!K183)))))</f>
        <v/>
      </c>
      <c r="L235" s="173" t="str">
        <f>IF(J235="","",IF(SUMIF(itens_Consumidos!$A$2:$A$200,J235,itens_Consumidos!$B$2:$B$200)-SUMIF(itens_Consumidos!$A$2:$A$200,J235,itens_Consumidos!$O$2:$O$200)&lt;0,0,SUMIF(itens_Consumidos!$A$2:$A$200,J235,itens_Consumidos!$B$2:$B$200)-SUMIF(itens_Consumidos!$A$2:$A$200,J235,itens_Consumidos!$O$2:$O$200)))</f>
        <v/>
      </c>
      <c r="M235" s="176" t="str">
        <f>IF(J235="","",itens_Remanesc!C183)</f>
        <v/>
      </c>
      <c r="N235" s="176" t="str">
        <f>IF(J235="","",IF($F$4="C0",historico_VU!C183,IF($F$4="C1",historico_VU!D183,IF($F$4="C2",historico_VU!E183,IF($F$4="C3",historico_VU!F183,historico_VU!G183)))))</f>
        <v/>
      </c>
      <c r="O235" s="176" t="str">
        <f>IF(J235="","",IF(CONTROLE!$B$1="Principal",IF(OR(K235="",M235=""),"",ROUND(K235*M235,2)),IF(CONTROLE!$B$1="Itens Consumidos",IF(OR(L235="",M235=""),"",ROUND(L235*M235,2)),"")))</f>
        <v/>
      </c>
      <c r="P235" s="176" t="str">
        <f>IF(J235="","",IF(CONTROLE!$B$1="Principal",IF(OR(K235="",N235=""),"",ROUND(K235*N235,2)),IF(CONTROLE!$B$1="Itens Consumidos",IF(OR(L235="",N235=""),"",ROUND(L235*N235,2)),"")))</f>
        <v/>
      </c>
      <c r="Q235" s="177" t="str">
        <f>IF(J235="","",IF(OR(M235="",AND(CONTROLE!$B$1="Principal",K235=""),AND(CONTROLE!$B$1="Itens Consumidos",L235="")),"INCOMPLETO",IF(CONTROLE!$B$1="Pedidos de Compras","MANUAL",IF(AND(ISNUMBER(K235),ISNUMBER(L235),ABS(K235-L235)/MAX(ABS(IF(CONTROLE!$B$1="Principal",K235,L235)),1)&gt;$D$4),"DIVERGENTE","OK"))))</f>
        <v/>
      </c>
    </row>
    <row r="236" spans="1:17" x14ac:dyDescent="0.35">
      <c r="A236" s="172" t="str">
        <f>IF(historico_VU!A184="","",historico_VU!A184)</f>
        <v/>
      </c>
      <c r="B236" s="173" t="str">
        <f>IF(A236="","",historico_VU!B184)</f>
        <v/>
      </c>
      <c r="C236" s="174" t="str">
        <f>IF(A236="","",historico_VU!C184)</f>
        <v/>
      </c>
      <c r="D236" s="174" t="str">
        <f>IF(A236="","",historico_VU!D184)</f>
        <v/>
      </c>
      <c r="E236" s="174" t="str">
        <f>IF(A236="","",historico_VU!E184)</f>
        <v/>
      </c>
      <c r="F236" s="174" t="str">
        <f>IF(A236="","",historico_VU!F184)</f>
        <v/>
      </c>
      <c r="G236" s="174" t="str">
        <f>IF(A236="","",historico_VU!G184)</f>
        <v/>
      </c>
      <c r="H236" s="175" t="str">
        <f>IF(A236="","",historico_VU!H184)</f>
        <v/>
      </c>
      <c r="I236" s="77"/>
      <c r="J236" s="172" t="str">
        <f>IF(itens_Remanesc!A184="","",itens_Remanesc!A184)</f>
        <v/>
      </c>
      <c r="K236" s="173" t="str">
        <f>IF(J236="","",IF($F$4="C0",itens_Remanesc!B184,IF($F$4="C1",itens_Remanesc!E184,IF($F$4="C2",itens_Remanesc!G184,IF($F$4="C3",itens_Remanesc!I184,itens_Remanesc!K184)))))</f>
        <v/>
      </c>
      <c r="L236" s="173" t="str">
        <f>IF(J236="","",IF(SUMIF(itens_Consumidos!$A$2:$A$200,J236,itens_Consumidos!$B$2:$B$200)-SUMIF(itens_Consumidos!$A$2:$A$200,J236,itens_Consumidos!$O$2:$O$200)&lt;0,0,SUMIF(itens_Consumidos!$A$2:$A$200,J236,itens_Consumidos!$B$2:$B$200)-SUMIF(itens_Consumidos!$A$2:$A$200,J236,itens_Consumidos!$O$2:$O$200)))</f>
        <v/>
      </c>
      <c r="M236" s="176" t="str">
        <f>IF(J236="","",itens_Remanesc!C184)</f>
        <v/>
      </c>
      <c r="N236" s="176" t="str">
        <f>IF(J236="","",IF($F$4="C0",historico_VU!C184,IF($F$4="C1",historico_VU!D184,IF($F$4="C2",historico_VU!E184,IF($F$4="C3",historico_VU!F184,historico_VU!G184)))))</f>
        <v/>
      </c>
      <c r="O236" s="176" t="str">
        <f>IF(J236="","",IF(CONTROLE!$B$1="Principal",IF(OR(K236="",M236=""),"",ROUND(K236*M236,2)),IF(CONTROLE!$B$1="Itens Consumidos",IF(OR(L236="",M236=""),"",ROUND(L236*M236,2)),"")))</f>
        <v/>
      </c>
      <c r="P236" s="176" t="str">
        <f>IF(J236="","",IF(CONTROLE!$B$1="Principal",IF(OR(K236="",N236=""),"",ROUND(K236*N236,2)),IF(CONTROLE!$B$1="Itens Consumidos",IF(OR(L236="",N236=""),"",ROUND(L236*N236,2)),"")))</f>
        <v/>
      </c>
      <c r="Q236" s="177" t="str">
        <f>IF(J236="","",IF(OR(M236="",AND(CONTROLE!$B$1="Principal",K236=""),AND(CONTROLE!$B$1="Itens Consumidos",L236="")),"INCOMPLETO",IF(CONTROLE!$B$1="Pedidos de Compras","MANUAL",IF(AND(ISNUMBER(K236),ISNUMBER(L236),ABS(K236-L236)/MAX(ABS(IF(CONTROLE!$B$1="Principal",K236,L236)),1)&gt;$D$4),"DIVERGENTE","OK"))))</f>
        <v/>
      </c>
    </row>
    <row r="237" spans="1:17" x14ac:dyDescent="0.35">
      <c r="A237" s="172" t="str">
        <f>IF(historico_VU!A185="","",historico_VU!A185)</f>
        <v/>
      </c>
      <c r="B237" s="173" t="str">
        <f>IF(A237="","",historico_VU!B185)</f>
        <v/>
      </c>
      <c r="C237" s="174" t="str">
        <f>IF(A237="","",historico_VU!C185)</f>
        <v/>
      </c>
      <c r="D237" s="174" t="str">
        <f>IF(A237="","",historico_VU!D185)</f>
        <v/>
      </c>
      <c r="E237" s="174" t="str">
        <f>IF(A237="","",historico_VU!E185)</f>
        <v/>
      </c>
      <c r="F237" s="174" t="str">
        <f>IF(A237="","",historico_VU!F185)</f>
        <v/>
      </c>
      <c r="G237" s="174" t="str">
        <f>IF(A237="","",historico_VU!G185)</f>
        <v/>
      </c>
      <c r="H237" s="175" t="str">
        <f>IF(A237="","",historico_VU!H185)</f>
        <v/>
      </c>
      <c r="I237" s="77"/>
      <c r="J237" s="172" t="str">
        <f>IF(itens_Remanesc!A185="","",itens_Remanesc!A185)</f>
        <v/>
      </c>
      <c r="K237" s="173" t="str">
        <f>IF(J237="","",IF($F$4="C0",itens_Remanesc!B185,IF($F$4="C1",itens_Remanesc!E185,IF($F$4="C2",itens_Remanesc!G185,IF($F$4="C3",itens_Remanesc!I185,itens_Remanesc!K185)))))</f>
        <v/>
      </c>
      <c r="L237" s="173" t="str">
        <f>IF(J237="","",IF(SUMIF(itens_Consumidos!$A$2:$A$200,J237,itens_Consumidos!$B$2:$B$200)-SUMIF(itens_Consumidos!$A$2:$A$200,J237,itens_Consumidos!$O$2:$O$200)&lt;0,0,SUMIF(itens_Consumidos!$A$2:$A$200,J237,itens_Consumidos!$B$2:$B$200)-SUMIF(itens_Consumidos!$A$2:$A$200,J237,itens_Consumidos!$O$2:$O$200)))</f>
        <v/>
      </c>
      <c r="M237" s="176" t="str">
        <f>IF(J237="","",itens_Remanesc!C185)</f>
        <v/>
      </c>
      <c r="N237" s="176" t="str">
        <f>IF(J237="","",IF($F$4="C0",historico_VU!C185,IF($F$4="C1",historico_VU!D185,IF($F$4="C2",historico_VU!E185,IF($F$4="C3",historico_VU!F185,historico_VU!G185)))))</f>
        <v/>
      </c>
      <c r="O237" s="176" t="str">
        <f>IF(J237="","",IF(CONTROLE!$B$1="Principal",IF(OR(K237="",M237=""),"",ROUND(K237*M237,2)),IF(CONTROLE!$B$1="Itens Consumidos",IF(OR(L237="",M237=""),"",ROUND(L237*M237,2)),"")))</f>
        <v/>
      </c>
      <c r="P237" s="176" t="str">
        <f>IF(J237="","",IF(CONTROLE!$B$1="Principal",IF(OR(K237="",N237=""),"",ROUND(K237*N237,2)),IF(CONTROLE!$B$1="Itens Consumidos",IF(OR(L237="",N237=""),"",ROUND(L237*N237,2)),"")))</f>
        <v/>
      </c>
      <c r="Q237" s="177" t="str">
        <f>IF(J237="","",IF(OR(M237="",AND(CONTROLE!$B$1="Principal",K237=""),AND(CONTROLE!$B$1="Itens Consumidos",L237="")),"INCOMPLETO",IF(CONTROLE!$B$1="Pedidos de Compras","MANUAL",IF(AND(ISNUMBER(K237),ISNUMBER(L237),ABS(K237-L237)/MAX(ABS(IF(CONTROLE!$B$1="Principal",K237,L237)),1)&gt;$D$4),"DIVERGENTE","OK"))))</f>
        <v/>
      </c>
    </row>
    <row r="238" spans="1:17" x14ac:dyDescent="0.35">
      <c r="A238" s="172" t="str">
        <f>IF(historico_VU!A186="","",historico_VU!A186)</f>
        <v/>
      </c>
      <c r="B238" s="173" t="str">
        <f>IF(A238="","",historico_VU!B186)</f>
        <v/>
      </c>
      <c r="C238" s="174" t="str">
        <f>IF(A238="","",historico_VU!C186)</f>
        <v/>
      </c>
      <c r="D238" s="174" t="str">
        <f>IF(A238="","",historico_VU!D186)</f>
        <v/>
      </c>
      <c r="E238" s="174" t="str">
        <f>IF(A238="","",historico_VU!E186)</f>
        <v/>
      </c>
      <c r="F238" s="174" t="str">
        <f>IF(A238="","",historico_VU!F186)</f>
        <v/>
      </c>
      <c r="G238" s="174" t="str">
        <f>IF(A238="","",historico_VU!G186)</f>
        <v/>
      </c>
      <c r="H238" s="175" t="str">
        <f>IF(A238="","",historico_VU!H186)</f>
        <v/>
      </c>
      <c r="I238" s="77"/>
      <c r="J238" s="172" t="str">
        <f>IF(itens_Remanesc!A186="","",itens_Remanesc!A186)</f>
        <v/>
      </c>
      <c r="K238" s="173" t="str">
        <f>IF(J238="","",IF($F$4="C0",itens_Remanesc!B186,IF($F$4="C1",itens_Remanesc!E186,IF($F$4="C2",itens_Remanesc!G186,IF($F$4="C3",itens_Remanesc!I186,itens_Remanesc!K186)))))</f>
        <v/>
      </c>
      <c r="L238" s="173" t="str">
        <f>IF(J238="","",IF(SUMIF(itens_Consumidos!$A$2:$A$200,J238,itens_Consumidos!$B$2:$B$200)-SUMIF(itens_Consumidos!$A$2:$A$200,J238,itens_Consumidos!$O$2:$O$200)&lt;0,0,SUMIF(itens_Consumidos!$A$2:$A$200,J238,itens_Consumidos!$B$2:$B$200)-SUMIF(itens_Consumidos!$A$2:$A$200,J238,itens_Consumidos!$O$2:$O$200)))</f>
        <v/>
      </c>
      <c r="M238" s="176" t="str">
        <f>IF(J238="","",itens_Remanesc!C186)</f>
        <v/>
      </c>
      <c r="N238" s="176" t="str">
        <f>IF(J238="","",IF($F$4="C0",historico_VU!C186,IF($F$4="C1",historico_VU!D186,IF($F$4="C2",historico_VU!E186,IF($F$4="C3",historico_VU!F186,historico_VU!G186)))))</f>
        <v/>
      </c>
      <c r="O238" s="176" t="str">
        <f>IF(J238="","",IF(CONTROLE!$B$1="Principal",IF(OR(K238="",M238=""),"",ROUND(K238*M238,2)),IF(CONTROLE!$B$1="Itens Consumidos",IF(OR(L238="",M238=""),"",ROUND(L238*M238,2)),"")))</f>
        <v/>
      </c>
      <c r="P238" s="176" t="str">
        <f>IF(J238="","",IF(CONTROLE!$B$1="Principal",IF(OR(K238="",N238=""),"",ROUND(K238*N238,2)),IF(CONTROLE!$B$1="Itens Consumidos",IF(OR(L238="",N238=""),"",ROUND(L238*N238,2)),"")))</f>
        <v/>
      </c>
      <c r="Q238" s="177" t="str">
        <f>IF(J238="","",IF(OR(M238="",AND(CONTROLE!$B$1="Principal",K238=""),AND(CONTROLE!$B$1="Itens Consumidos",L238="")),"INCOMPLETO",IF(CONTROLE!$B$1="Pedidos de Compras","MANUAL",IF(AND(ISNUMBER(K238),ISNUMBER(L238),ABS(K238-L238)/MAX(ABS(IF(CONTROLE!$B$1="Principal",K238,L238)),1)&gt;$D$4),"DIVERGENTE","OK"))))</f>
        <v/>
      </c>
    </row>
    <row r="239" spans="1:17" x14ac:dyDescent="0.35">
      <c r="A239" s="172" t="str">
        <f>IF(historico_VU!A187="","",historico_VU!A187)</f>
        <v/>
      </c>
      <c r="B239" s="173" t="str">
        <f>IF(A239="","",historico_VU!B187)</f>
        <v/>
      </c>
      <c r="C239" s="174" t="str">
        <f>IF(A239="","",historico_VU!C187)</f>
        <v/>
      </c>
      <c r="D239" s="174" t="str">
        <f>IF(A239="","",historico_VU!D187)</f>
        <v/>
      </c>
      <c r="E239" s="174" t="str">
        <f>IF(A239="","",historico_VU!E187)</f>
        <v/>
      </c>
      <c r="F239" s="174" t="str">
        <f>IF(A239="","",historico_VU!F187)</f>
        <v/>
      </c>
      <c r="G239" s="174" t="str">
        <f>IF(A239="","",historico_VU!G187)</f>
        <v/>
      </c>
      <c r="H239" s="175" t="str">
        <f>IF(A239="","",historico_VU!H187)</f>
        <v/>
      </c>
      <c r="I239" s="77"/>
      <c r="J239" s="172" t="str">
        <f>IF(itens_Remanesc!A187="","",itens_Remanesc!A187)</f>
        <v/>
      </c>
      <c r="K239" s="173" t="str">
        <f>IF(J239="","",IF($F$4="C0",itens_Remanesc!B187,IF($F$4="C1",itens_Remanesc!E187,IF($F$4="C2",itens_Remanesc!G187,IF($F$4="C3",itens_Remanesc!I187,itens_Remanesc!K187)))))</f>
        <v/>
      </c>
      <c r="L239" s="173" t="str">
        <f>IF(J239="","",IF(SUMIF(itens_Consumidos!$A$2:$A$200,J239,itens_Consumidos!$B$2:$B$200)-SUMIF(itens_Consumidos!$A$2:$A$200,J239,itens_Consumidos!$O$2:$O$200)&lt;0,0,SUMIF(itens_Consumidos!$A$2:$A$200,J239,itens_Consumidos!$B$2:$B$200)-SUMIF(itens_Consumidos!$A$2:$A$200,J239,itens_Consumidos!$O$2:$O$200)))</f>
        <v/>
      </c>
      <c r="M239" s="176" t="str">
        <f>IF(J239="","",itens_Remanesc!C187)</f>
        <v/>
      </c>
      <c r="N239" s="176" t="str">
        <f>IF(J239="","",IF($F$4="C0",historico_VU!C187,IF($F$4="C1",historico_VU!D187,IF($F$4="C2",historico_VU!E187,IF($F$4="C3",historico_VU!F187,historico_VU!G187)))))</f>
        <v/>
      </c>
      <c r="O239" s="176" t="str">
        <f>IF(J239="","",IF(CONTROLE!$B$1="Principal",IF(OR(K239="",M239=""),"",ROUND(K239*M239,2)),IF(CONTROLE!$B$1="Itens Consumidos",IF(OR(L239="",M239=""),"",ROUND(L239*M239,2)),"")))</f>
        <v/>
      </c>
      <c r="P239" s="176" t="str">
        <f>IF(J239="","",IF(CONTROLE!$B$1="Principal",IF(OR(K239="",N239=""),"",ROUND(K239*N239,2)),IF(CONTROLE!$B$1="Itens Consumidos",IF(OR(L239="",N239=""),"",ROUND(L239*N239,2)),"")))</f>
        <v/>
      </c>
      <c r="Q239" s="177" t="str">
        <f>IF(J239="","",IF(OR(M239="",AND(CONTROLE!$B$1="Principal",K239=""),AND(CONTROLE!$B$1="Itens Consumidos",L239="")),"INCOMPLETO",IF(CONTROLE!$B$1="Pedidos de Compras","MANUAL",IF(AND(ISNUMBER(K239),ISNUMBER(L239),ABS(K239-L239)/MAX(ABS(IF(CONTROLE!$B$1="Principal",K239,L239)),1)&gt;$D$4),"DIVERGENTE","OK"))))</f>
        <v/>
      </c>
    </row>
    <row r="240" spans="1:17" x14ac:dyDescent="0.35">
      <c r="A240" s="172" t="str">
        <f>IF(historico_VU!A188="","",historico_VU!A188)</f>
        <v/>
      </c>
      <c r="B240" s="173" t="str">
        <f>IF(A240="","",historico_VU!B188)</f>
        <v/>
      </c>
      <c r="C240" s="174" t="str">
        <f>IF(A240="","",historico_VU!C188)</f>
        <v/>
      </c>
      <c r="D240" s="174" t="str">
        <f>IF(A240="","",historico_VU!D188)</f>
        <v/>
      </c>
      <c r="E240" s="174" t="str">
        <f>IF(A240="","",historico_VU!E188)</f>
        <v/>
      </c>
      <c r="F240" s="174" t="str">
        <f>IF(A240="","",historico_VU!F188)</f>
        <v/>
      </c>
      <c r="G240" s="174" t="str">
        <f>IF(A240="","",historico_VU!G188)</f>
        <v/>
      </c>
      <c r="H240" s="175" t="str">
        <f>IF(A240="","",historico_VU!H188)</f>
        <v/>
      </c>
      <c r="I240" s="77"/>
      <c r="J240" s="172" t="str">
        <f>IF(itens_Remanesc!A188="","",itens_Remanesc!A188)</f>
        <v/>
      </c>
      <c r="K240" s="173" t="str">
        <f>IF(J240="","",IF($F$4="C0",itens_Remanesc!B188,IF($F$4="C1",itens_Remanesc!E188,IF($F$4="C2",itens_Remanesc!G188,IF($F$4="C3",itens_Remanesc!I188,itens_Remanesc!K188)))))</f>
        <v/>
      </c>
      <c r="L240" s="173" t="str">
        <f>IF(J240="","",IF(SUMIF(itens_Consumidos!$A$2:$A$200,J240,itens_Consumidos!$B$2:$B$200)-SUMIF(itens_Consumidos!$A$2:$A$200,J240,itens_Consumidos!$O$2:$O$200)&lt;0,0,SUMIF(itens_Consumidos!$A$2:$A$200,J240,itens_Consumidos!$B$2:$B$200)-SUMIF(itens_Consumidos!$A$2:$A$200,J240,itens_Consumidos!$O$2:$O$200)))</f>
        <v/>
      </c>
      <c r="M240" s="176" t="str">
        <f>IF(J240="","",itens_Remanesc!C188)</f>
        <v/>
      </c>
      <c r="N240" s="176" t="str">
        <f>IF(J240="","",IF($F$4="C0",historico_VU!C188,IF($F$4="C1",historico_VU!D188,IF($F$4="C2",historico_VU!E188,IF($F$4="C3",historico_VU!F188,historico_VU!G188)))))</f>
        <v/>
      </c>
      <c r="O240" s="176" t="str">
        <f>IF(J240="","",IF(CONTROLE!$B$1="Principal",IF(OR(K240="",M240=""),"",ROUND(K240*M240,2)),IF(CONTROLE!$B$1="Itens Consumidos",IF(OR(L240="",M240=""),"",ROUND(L240*M240,2)),"")))</f>
        <v/>
      </c>
      <c r="P240" s="176" t="str">
        <f>IF(J240="","",IF(CONTROLE!$B$1="Principal",IF(OR(K240="",N240=""),"",ROUND(K240*N240,2)),IF(CONTROLE!$B$1="Itens Consumidos",IF(OR(L240="",N240=""),"",ROUND(L240*N240,2)),"")))</f>
        <v/>
      </c>
      <c r="Q240" s="177" t="str">
        <f>IF(J240="","",IF(OR(M240="",AND(CONTROLE!$B$1="Principal",K240=""),AND(CONTROLE!$B$1="Itens Consumidos",L240="")),"INCOMPLETO",IF(CONTROLE!$B$1="Pedidos de Compras","MANUAL",IF(AND(ISNUMBER(K240),ISNUMBER(L240),ABS(K240-L240)/MAX(ABS(IF(CONTROLE!$B$1="Principal",K240,L240)),1)&gt;$D$4),"DIVERGENTE","OK"))))</f>
        <v/>
      </c>
    </row>
    <row r="241" spans="1:17" x14ac:dyDescent="0.35">
      <c r="A241" s="172" t="str">
        <f>IF(historico_VU!A189="","",historico_VU!A189)</f>
        <v/>
      </c>
      <c r="B241" s="173" t="str">
        <f>IF(A241="","",historico_VU!B189)</f>
        <v/>
      </c>
      <c r="C241" s="174" t="str">
        <f>IF(A241="","",historico_VU!C189)</f>
        <v/>
      </c>
      <c r="D241" s="174" t="str">
        <f>IF(A241="","",historico_VU!D189)</f>
        <v/>
      </c>
      <c r="E241" s="174" t="str">
        <f>IF(A241="","",historico_VU!E189)</f>
        <v/>
      </c>
      <c r="F241" s="174" t="str">
        <f>IF(A241="","",historico_VU!F189)</f>
        <v/>
      </c>
      <c r="G241" s="174" t="str">
        <f>IF(A241="","",historico_VU!G189)</f>
        <v/>
      </c>
      <c r="H241" s="175" t="str">
        <f>IF(A241="","",historico_VU!H189)</f>
        <v/>
      </c>
      <c r="I241" s="77"/>
      <c r="J241" s="172" t="str">
        <f>IF(itens_Remanesc!A189="","",itens_Remanesc!A189)</f>
        <v/>
      </c>
      <c r="K241" s="173" t="str">
        <f>IF(J241="","",IF($F$4="C0",itens_Remanesc!B189,IF($F$4="C1",itens_Remanesc!E189,IF($F$4="C2",itens_Remanesc!G189,IF($F$4="C3",itens_Remanesc!I189,itens_Remanesc!K189)))))</f>
        <v/>
      </c>
      <c r="L241" s="173" t="str">
        <f>IF(J241="","",IF(SUMIF(itens_Consumidos!$A$2:$A$200,J241,itens_Consumidos!$B$2:$B$200)-SUMIF(itens_Consumidos!$A$2:$A$200,J241,itens_Consumidos!$O$2:$O$200)&lt;0,0,SUMIF(itens_Consumidos!$A$2:$A$200,J241,itens_Consumidos!$B$2:$B$200)-SUMIF(itens_Consumidos!$A$2:$A$200,J241,itens_Consumidos!$O$2:$O$200)))</f>
        <v/>
      </c>
      <c r="M241" s="176" t="str">
        <f>IF(J241="","",itens_Remanesc!C189)</f>
        <v/>
      </c>
      <c r="N241" s="176" t="str">
        <f>IF(J241="","",IF($F$4="C0",historico_VU!C189,IF($F$4="C1",historico_VU!D189,IF($F$4="C2",historico_VU!E189,IF($F$4="C3",historico_VU!F189,historico_VU!G189)))))</f>
        <v/>
      </c>
      <c r="O241" s="176" t="str">
        <f>IF(J241="","",IF(CONTROLE!$B$1="Principal",IF(OR(K241="",M241=""),"",ROUND(K241*M241,2)),IF(CONTROLE!$B$1="Itens Consumidos",IF(OR(L241="",M241=""),"",ROUND(L241*M241,2)),"")))</f>
        <v/>
      </c>
      <c r="P241" s="176" t="str">
        <f>IF(J241="","",IF(CONTROLE!$B$1="Principal",IF(OR(K241="",N241=""),"",ROUND(K241*N241,2)),IF(CONTROLE!$B$1="Itens Consumidos",IF(OR(L241="",N241=""),"",ROUND(L241*N241,2)),"")))</f>
        <v/>
      </c>
      <c r="Q241" s="177" t="str">
        <f>IF(J241="","",IF(OR(M241="",AND(CONTROLE!$B$1="Principal",K241=""),AND(CONTROLE!$B$1="Itens Consumidos",L241="")),"INCOMPLETO",IF(CONTROLE!$B$1="Pedidos de Compras","MANUAL",IF(AND(ISNUMBER(K241),ISNUMBER(L241),ABS(K241-L241)/MAX(ABS(IF(CONTROLE!$B$1="Principal",K241,L241)),1)&gt;$D$4),"DIVERGENTE","OK"))))</f>
        <v/>
      </c>
    </row>
    <row r="242" spans="1:17" x14ac:dyDescent="0.35">
      <c r="A242" s="172" t="str">
        <f>IF(historico_VU!A190="","",historico_VU!A190)</f>
        <v/>
      </c>
      <c r="B242" s="173" t="str">
        <f>IF(A242="","",historico_VU!B190)</f>
        <v/>
      </c>
      <c r="C242" s="174" t="str">
        <f>IF(A242="","",historico_VU!C190)</f>
        <v/>
      </c>
      <c r="D242" s="174" t="str">
        <f>IF(A242="","",historico_VU!D190)</f>
        <v/>
      </c>
      <c r="E242" s="174" t="str">
        <f>IF(A242="","",historico_VU!E190)</f>
        <v/>
      </c>
      <c r="F242" s="174" t="str">
        <f>IF(A242="","",historico_VU!F190)</f>
        <v/>
      </c>
      <c r="G242" s="174" t="str">
        <f>IF(A242="","",historico_VU!G190)</f>
        <v/>
      </c>
      <c r="H242" s="175" t="str">
        <f>IF(A242="","",historico_VU!H190)</f>
        <v/>
      </c>
      <c r="I242" s="77"/>
      <c r="J242" s="172" t="str">
        <f>IF(itens_Remanesc!A190="","",itens_Remanesc!A190)</f>
        <v/>
      </c>
      <c r="K242" s="173" t="str">
        <f>IF(J242="","",IF($F$4="C0",itens_Remanesc!B190,IF($F$4="C1",itens_Remanesc!E190,IF($F$4="C2",itens_Remanesc!G190,IF($F$4="C3",itens_Remanesc!I190,itens_Remanesc!K190)))))</f>
        <v/>
      </c>
      <c r="L242" s="173" t="str">
        <f>IF(J242="","",IF(SUMIF(itens_Consumidos!$A$2:$A$200,J242,itens_Consumidos!$B$2:$B$200)-SUMIF(itens_Consumidos!$A$2:$A$200,J242,itens_Consumidos!$O$2:$O$200)&lt;0,0,SUMIF(itens_Consumidos!$A$2:$A$200,J242,itens_Consumidos!$B$2:$B$200)-SUMIF(itens_Consumidos!$A$2:$A$200,J242,itens_Consumidos!$O$2:$O$200)))</f>
        <v/>
      </c>
      <c r="M242" s="176" t="str">
        <f>IF(J242="","",itens_Remanesc!C190)</f>
        <v/>
      </c>
      <c r="N242" s="176" t="str">
        <f>IF(J242="","",IF($F$4="C0",historico_VU!C190,IF($F$4="C1",historico_VU!D190,IF($F$4="C2",historico_VU!E190,IF($F$4="C3",historico_VU!F190,historico_VU!G190)))))</f>
        <v/>
      </c>
      <c r="O242" s="176" t="str">
        <f>IF(J242="","",IF(CONTROLE!$B$1="Principal",IF(OR(K242="",M242=""),"",ROUND(K242*M242,2)),IF(CONTROLE!$B$1="Itens Consumidos",IF(OR(L242="",M242=""),"",ROUND(L242*M242,2)),"")))</f>
        <v/>
      </c>
      <c r="P242" s="176" t="str">
        <f>IF(J242="","",IF(CONTROLE!$B$1="Principal",IF(OR(K242="",N242=""),"",ROUND(K242*N242,2)),IF(CONTROLE!$B$1="Itens Consumidos",IF(OR(L242="",N242=""),"",ROUND(L242*N242,2)),"")))</f>
        <v/>
      </c>
      <c r="Q242" s="177" t="str">
        <f>IF(J242="","",IF(OR(M242="",AND(CONTROLE!$B$1="Principal",K242=""),AND(CONTROLE!$B$1="Itens Consumidos",L242="")),"INCOMPLETO",IF(CONTROLE!$B$1="Pedidos de Compras","MANUAL",IF(AND(ISNUMBER(K242),ISNUMBER(L242),ABS(K242-L242)/MAX(ABS(IF(CONTROLE!$B$1="Principal",K242,L242)),1)&gt;$D$4),"DIVERGENTE","OK"))))</f>
        <v/>
      </c>
    </row>
    <row r="243" spans="1:17" x14ac:dyDescent="0.35">
      <c r="A243" s="172" t="str">
        <f>IF(historico_VU!A191="","",historico_VU!A191)</f>
        <v/>
      </c>
      <c r="B243" s="173" t="str">
        <f>IF(A243="","",historico_VU!B191)</f>
        <v/>
      </c>
      <c r="C243" s="174" t="str">
        <f>IF(A243="","",historico_VU!C191)</f>
        <v/>
      </c>
      <c r="D243" s="174" t="str">
        <f>IF(A243="","",historico_VU!D191)</f>
        <v/>
      </c>
      <c r="E243" s="174" t="str">
        <f>IF(A243="","",historico_VU!E191)</f>
        <v/>
      </c>
      <c r="F243" s="174" t="str">
        <f>IF(A243="","",historico_VU!F191)</f>
        <v/>
      </c>
      <c r="G243" s="174" t="str">
        <f>IF(A243="","",historico_VU!G191)</f>
        <v/>
      </c>
      <c r="H243" s="175" t="str">
        <f>IF(A243="","",historico_VU!H191)</f>
        <v/>
      </c>
      <c r="I243" s="77"/>
      <c r="J243" s="172" t="str">
        <f>IF(itens_Remanesc!A191="","",itens_Remanesc!A191)</f>
        <v/>
      </c>
      <c r="K243" s="173" t="str">
        <f>IF(J243="","",IF($F$4="C0",itens_Remanesc!B191,IF($F$4="C1",itens_Remanesc!E191,IF($F$4="C2",itens_Remanesc!G191,IF($F$4="C3",itens_Remanesc!I191,itens_Remanesc!K191)))))</f>
        <v/>
      </c>
      <c r="L243" s="173" t="str">
        <f>IF(J243="","",IF(SUMIF(itens_Consumidos!$A$2:$A$200,J243,itens_Consumidos!$B$2:$B$200)-SUMIF(itens_Consumidos!$A$2:$A$200,J243,itens_Consumidos!$O$2:$O$200)&lt;0,0,SUMIF(itens_Consumidos!$A$2:$A$200,J243,itens_Consumidos!$B$2:$B$200)-SUMIF(itens_Consumidos!$A$2:$A$200,J243,itens_Consumidos!$O$2:$O$200)))</f>
        <v/>
      </c>
      <c r="M243" s="176" t="str">
        <f>IF(J243="","",itens_Remanesc!C191)</f>
        <v/>
      </c>
      <c r="N243" s="176" t="str">
        <f>IF(J243="","",IF($F$4="C0",historico_VU!C191,IF($F$4="C1",historico_VU!D191,IF($F$4="C2",historico_VU!E191,IF($F$4="C3",historico_VU!F191,historico_VU!G191)))))</f>
        <v/>
      </c>
      <c r="O243" s="176" t="str">
        <f>IF(J243="","",IF(CONTROLE!$B$1="Principal",IF(OR(K243="",M243=""),"",ROUND(K243*M243,2)),IF(CONTROLE!$B$1="Itens Consumidos",IF(OR(L243="",M243=""),"",ROUND(L243*M243,2)),"")))</f>
        <v/>
      </c>
      <c r="P243" s="176" t="str">
        <f>IF(J243="","",IF(CONTROLE!$B$1="Principal",IF(OR(K243="",N243=""),"",ROUND(K243*N243,2)),IF(CONTROLE!$B$1="Itens Consumidos",IF(OR(L243="",N243=""),"",ROUND(L243*N243,2)),"")))</f>
        <v/>
      </c>
      <c r="Q243" s="177" t="str">
        <f>IF(J243="","",IF(OR(M243="",AND(CONTROLE!$B$1="Principal",K243=""),AND(CONTROLE!$B$1="Itens Consumidos",L243="")),"INCOMPLETO",IF(CONTROLE!$B$1="Pedidos de Compras","MANUAL",IF(AND(ISNUMBER(K243),ISNUMBER(L243),ABS(K243-L243)/MAX(ABS(IF(CONTROLE!$B$1="Principal",K243,L243)),1)&gt;$D$4),"DIVERGENTE","OK"))))</f>
        <v/>
      </c>
    </row>
    <row r="244" spans="1:17" x14ac:dyDescent="0.35">
      <c r="A244" s="172" t="str">
        <f>IF(historico_VU!A192="","",historico_VU!A192)</f>
        <v/>
      </c>
      <c r="B244" s="173" t="str">
        <f>IF(A244="","",historico_VU!B192)</f>
        <v/>
      </c>
      <c r="C244" s="174" t="str">
        <f>IF(A244="","",historico_VU!C192)</f>
        <v/>
      </c>
      <c r="D244" s="174" t="str">
        <f>IF(A244="","",historico_VU!D192)</f>
        <v/>
      </c>
      <c r="E244" s="174" t="str">
        <f>IF(A244="","",historico_VU!E192)</f>
        <v/>
      </c>
      <c r="F244" s="174" t="str">
        <f>IF(A244="","",historico_VU!F192)</f>
        <v/>
      </c>
      <c r="G244" s="174" t="str">
        <f>IF(A244="","",historico_VU!G192)</f>
        <v/>
      </c>
      <c r="H244" s="175" t="str">
        <f>IF(A244="","",historico_VU!H192)</f>
        <v/>
      </c>
      <c r="I244" s="77"/>
      <c r="J244" s="172" t="str">
        <f>IF(itens_Remanesc!A192="","",itens_Remanesc!A192)</f>
        <v/>
      </c>
      <c r="K244" s="173" t="str">
        <f>IF(J244="","",IF($F$4="C0",itens_Remanesc!B192,IF($F$4="C1",itens_Remanesc!E192,IF($F$4="C2",itens_Remanesc!G192,IF($F$4="C3",itens_Remanesc!I192,itens_Remanesc!K192)))))</f>
        <v/>
      </c>
      <c r="L244" s="173" t="str">
        <f>IF(J244="","",IF(SUMIF(itens_Consumidos!$A$2:$A$200,J244,itens_Consumidos!$B$2:$B$200)-SUMIF(itens_Consumidos!$A$2:$A$200,J244,itens_Consumidos!$O$2:$O$200)&lt;0,0,SUMIF(itens_Consumidos!$A$2:$A$200,J244,itens_Consumidos!$B$2:$B$200)-SUMIF(itens_Consumidos!$A$2:$A$200,J244,itens_Consumidos!$O$2:$O$200)))</f>
        <v/>
      </c>
      <c r="M244" s="176" t="str">
        <f>IF(J244="","",itens_Remanesc!C192)</f>
        <v/>
      </c>
      <c r="N244" s="176" t="str">
        <f>IF(J244="","",IF($F$4="C0",historico_VU!C192,IF($F$4="C1",historico_VU!D192,IF($F$4="C2",historico_VU!E192,IF($F$4="C3",historico_VU!F192,historico_VU!G192)))))</f>
        <v/>
      </c>
      <c r="O244" s="176" t="str">
        <f>IF(J244="","",IF(CONTROLE!$B$1="Principal",IF(OR(K244="",M244=""),"",ROUND(K244*M244,2)),IF(CONTROLE!$B$1="Itens Consumidos",IF(OR(L244="",M244=""),"",ROUND(L244*M244,2)),"")))</f>
        <v/>
      </c>
      <c r="P244" s="176" t="str">
        <f>IF(J244="","",IF(CONTROLE!$B$1="Principal",IF(OR(K244="",N244=""),"",ROUND(K244*N244,2)),IF(CONTROLE!$B$1="Itens Consumidos",IF(OR(L244="",N244=""),"",ROUND(L244*N244,2)),"")))</f>
        <v/>
      </c>
      <c r="Q244" s="177" t="str">
        <f>IF(J244="","",IF(OR(M244="",AND(CONTROLE!$B$1="Principal",K244=""),AND(CONTROLE!$B$1="Itens Consumidos",L244="")),"INCOMPLETO",IF(CONTROLE!$B$1="Pedidos de Compras","MANUAL",IF(AND(ISNUMBER(K244),ISNUMBER(L244),ABS(K244-L244)/MAX(ABS(IF(CONTROLE!$B$1="Principal",K244,L244)),1)&gt;$D$4),"DIVERGENTE","OK"))))</f>
        <v/>
      </c>
    </row>
    <row r="245" spans="1:17" x14ac:dyDescent="0.35">
      <c r="A245" s="172" t="str">
        <f>IF(historico_VU!A193="","",historico_VU!A193)</f>
        <v/>
      </c>
      <c r="B245" s="173" t="str">
        <f>IF(A245="","",historico_VU!B193)</f>
        <v/>
      </c>
      <c r="C245" s="174" t="str">
        <f>IF(A245="","",historico_VU!C193)</f>
        <v/>
      </c>
      <c r="D245" s="174" t="str">
        <f>IF(A245="","",historico_VU!D193)</f>
        <v/>
      </c>
      <c r="E245" s="174" t="str">
        <f>IF(A245="","",historico_VU!E193)</f>
        <v/>
      </c>
      <c r="F245" s="174" t="str">
        <f>IF(A245="","",historico_VU!F193)</f>
        <v/>
      </c>
      <c r="G245" s="174" t="str">
        <f>IF(A245="","",historico_VU!G193)</f>
        <v/>
      </c>
      <c r="H245" s="175" t="str">
        <f>IF(A245="","",historico_VU!H193)</f>
        <v/>
      </c>
      <c r="I245" s="77"/>
      <c r="J245" s="172" t="str">
        <f>IF(itens_Remanesc!A193="","",itens_Remanesc!A193)</f>
        <v/>
      </c>
      <c r="K245" s="173" t="str">
        <f>IF(J245="","",IF($F$4="C0",itens_Remanesc!B193,IF($F$4="C1",itens_Remanesc!E193,IF($F$4="C2",itens_Remanesc!G193,IF($F$4="C3",itens_Remanesc!I193,itens_Remanesc!K193)))))</f>
        <v/>
      </c>
      <c r="L245" s="173" t="str">
        <f>IF(J245="","",IF(SUMIF(itens_Consumidos!$A$2:$A$200,J245,itens_Consumidos!$B$2:$B$200)-SUMIF(itens_Consumidos!$A$2:$A$200,J245,itens_Consumidos!$O$2:$O$200)&lt;0,0,SUMIF(itens_Consumidos!$A$2:$A$200,J245,itens_Consumidos!$B$2:$B$200)-SUMIF(itens_Consumidos!$A$2:$A$200,J245,itens_Consumidos!$O$2:$O$200)))</f>
        <v/>
      </c>
      <c r="M245" s="176" t="str">
        <f>IF(J245="","",itens_Remanesc!C193)</f>
        <v/>
      </c>
      <c r="N245" s="176" t="str">
        <f>IF(J245="","",IF($F$4="C0",historico_VU!C193,IF($F$4="C1",historico_VU!D193,IF($F$4="C2",historico_VU!E193,IF($F$4="C3",historico_VU!F193,historico_VU!G193)))))</f>
        <v/>
      </c>
      <c r="O245" s="176" t="str">
        <f>IF(J245="","",IF(CONTROLE!$B$1="Principal",IF(OR(K245="",M245=""),"",ROUND(K245*M245,2)),IF(CONTROLE!$B$1="Itens Consumidos",IF(OR(L245="",M245=""),"",ROUND(L245*M245,2)),"")))</f>
        <v/>
      </c>
      <c r="P245" s="176" t="str">
        <f>IF(J245="","",IF(CONTROLE!$B$1="Principal",IF(OR(K245="",N245=""),"",ROUND(K245*N245,2)),IF(CONTROLE!$B$1="Itens Consumidos",IF(OR(L245="",N245=""),"",ROUND(L245*N245,2)),"")))</f>
        <v/>
      </c>
      <c r="Q245" s="177" t="str">
        <f>IF(J245="","",IF(OR(M245="",AND(CONTROLE!$B$1="Principal",K245=""),AND(CONTROLE!$B$1="Itens Consumidos",L245="")),"INCOMPLETO",IF(CONTROLE!$B$1="Pedidos de Compras","MANUAL",IF(AND(ISNUMBER(K245),ISNUMBER(L245),ABS(K245-L245)/MAX(ABS(IF(CONTROLE!$B$1="Principal",K245,L245)),1)&gt;$D$4),"DIVERGENTE","OK"))))</f>
        <v/>
      </c>
    </row>
    <row r="246" spans="1:17" x14ac:dyDescent="0.35">
      <c r="A246" s="172" t="str">
        <f>IF(historico_VU!A194="","",historico_VU!A194)</f>
        <v/>
      </c>
      <c r="B246" s="173" t="str">
        <f>IF(A246="","",historico_VU!B194)</f>
        <v/>
      </c>
      <c r="C246" s="174" t="str">
        <f>IF(A246="","",historico_VU!C194)</f>
        <v/>
      </c>
      <c r="D246" s="174" t="str">
        <f>IF(A246="","",historico_VU!D194)</f>
        <v/>
      </c>
      <c r="E246" s="174" t="str">
        <f>IF(A246="","",historico_VU!E194)</f>
        <v/>
      </c>
      <c r="F246" s="174" t="str">
        <f>IF(A246="","",historico_VU!F194)</f>
        <v/>
      </c>
      <c r="G246" s="174" t="str">
        <f>IF(A246="","",historico_VU!G194)</f>
        <v/>
      </c>
      <c r="H246" s="175" t="str">
        <f>IF(A246="","",historico_VU!H194)</f>
        <v/>
      </c>
      <c r="I246" s="77"/>
      <c r="J246" s="172" t="str">
        <f>IF(itens_Remanesc!A194="","",itens_Remanesc!A194)</f>
        <v/>
      </c>
      <c r="K246" s="173" t="str">
        <f>IF(J246="","",IF($F$4="C0",itens_Remanesc!B194,IF($F$4="C1",itens_Remanesc!E194,IF($F$4="C2",itens_Remanesc!G194,IF($F$4="C3",itens_Remanesc!I194,itens_Remanesc!K194)))))</f>
        <v/>
      </c>
      <c r="L246" s="173" t="str">
        <f>IF(J246="","",IF(SUMIF(itens_Consumidos!$A$2:$A$200,J246,itens_Consumidos!$B$2:$B$200)-SUMIF(itens_Consumidos!$A$2:$A$200,J246,itens_Consumidos!$O$2:$O$200)&lt;0,0,SUMIF(itens_Consumidos!$A$2:$A$200,J246,itens_Consumidos!$B$2:$B$200)-SUMIF(itens_Consumidos!$A$2:$A$200,J246,itens_Consumidos!$O$2:$O$200)))</f>
        <v/>
      </c>
      <c r="M246" s="176" t="str">
        <f>IF(J246="","",itens_Remanesc!C194)</f>
        <v/>
      </c>
      <c r="N246" s="176" t="str">
        <f>IF(J246="","",IF($F$4="C0",historico_VU!C194,IF($F$4="C1",historico_VU!D194,IF($F$4="C2",historico_VU!E194,IF($F$4="C3",historico_VU!F194,historico_VU!G194)))))</f>
        <v/>
      </c>
      <c r="O246" s="176" t="str">
        <f>IF(J246="","",IF(CONTROLE!$B$1="Principal",IF(OR(K246="",M246=""),"",ROUND(K246*M246,2)),IF(CONTROLE!$B$1="Itens Consumidos",IF(OR(L246="",M246=""),"",ROUND(L246*M246,2)),"")))</f>
        <v/>
      </c>
      <c r="P246" s="176" t="str">
        <f>IF(J246="","",IF(CONTROLE!$B$1="Principal",IF(OR(K246="",N246=""),"",ROUND(K246*N246,2)),IF(CONTROLE!$B$1="Itens Consumidos",IF(OR(L246="",N246=""),"",ROUND(L246*N246,2)),"")))</f>
        <v/>
      </c>
      <c r="Q246" s="177" t="str">
        <f>IF(J246="","",IF(OR(M246="",AND(CONTROLE!$B$1="Principal",K246=""),AND(CONTROLE!$B$1="Itens Consumidos",L246="")),"INCOMPLETO",IF(CONTROLE!$B$1="Pedidos de Compras","MANUAL",IF(AND(ISNUMBER(K246),ISNUMBER(L246),ABS(K246-L246)/MAX(ABS(IF(CONTROLE!$B$1="Principal",K246,L246)),1)&gt;$D$4),"DIVERGENTE","OK"))))</f>
        <v/>
      </c>
    </row>
    <row r="247" spans="1:17" x14ac:dyDescent="0.35">
      <c r="A247" s="172" t="str">
        <f>IF(historico_VU!A195="","",historico_VU!A195)</f>
        <v/>
      </c>
      <c r="B247" s="173" t="str">
        <f>IF(A247="","",historico_VU!B195)</f>
        <v/>
      </c>
      <c r="C247" s="174" t="str">
        <f>IF(A247="","",historico_VU!C195)</f>
        <v/>
      </c>
      <c r="D247" s="174" t="str">
        <f>IF(A247="","",historico_VU!D195)</f>
        <v/>
      </c>
      <c r="E247" s="174" t="str">
        <f>IF(A247="","",historico_VU!E195)</f>
        <v/>
      </c>
      <c r="F247" s="174" t="str">
        <f>IF(A247="","",historico_VU!F195)</f>
        <v/>
      </c>
      <c r="G247" s="174" t="str">
        <f>IF(A247="","",historico_VU!G195)</f>
        <v/>
      </c>
      <c r="H247" s="175" t="str">
        <f>IF(A247="","",historico_VU!H195)</f>
        <v/>
      </c>
      <c r="I247" s="77"/>
      <c r="J247" s="172" t="str">
        <f>IF(itens_Remanesc!A195="","",itens_Remanesc!A195)</f>
        <v/>
      </c>
      <c r="K247" s="173" t="str">
        <f>IF(J247="","",IF($F$4="C0",itens_Remanesc!B195,IF($F$4="C1",itens_Remanesc!E195,IF($F$4="C2",itens_Remanesc!G195,IF($F$4="C3",itens_Remanesc!I195,itens_Remanesc!K195)))))</f>
        <v/>
      </c>
      <c r="L247" s="173" t="str">
        <f>IF(J247="","",IF(SUMIF(itens_Consumidos!$A$2:$A$200,J247,itens_Consumidos!$B$2:$B$200)-SUMIF(itens_Consumidos!$A$2:$A$200,J247,itens_Consumidos!$O$2:$O$200)&lt;0,0,SUMIF(itens_Consumidos!$A$2:$A$200,J247,itens_Consumidos!$B$2:$B$200)-SUMIF(itens_Consumidos!$A$2:$A$200,J247,itens_Consumidos!$O$2:$O$200)))</f>
        <v/>
      </c>
      <c r="M247" s="176" t="str">
        <f>IF(J247="","",itens_Remanesc!C195)</f>
        <v/>
      </c>
      <c r="N247" s="176" t="str">
        <f>IF(J247="","",IF($F$4="C0",historico_VU!C195,IF($F$4="C1",historico_VU!D195,IF($F$4="C2",historico_VU!E195,IF($F$4="C3",historico_VU!F195,historico_VU!G195)))))</f>
        <v/>
      </c>
      <c r="O247" s="176" t="str">
        <f>IF(J247="","",IF(CONTROLE!$B$1="Principal",IF(OR(K247="",M247=""),"",ROUND(K247*M247,2)),IF(CONTROLE!$B$1="Itens Consumidos",IF(OR(L247="",M247=""),"",ROUND(L247*M247,2)),"")))</f>
        <v/>
      </c>
      <c r="P247" s="176" t="str">
        <f>IF(J247="","",IF(CONTROLE!$B$1="Principal",IF(OR(K247="",N247=""),"",ROUND(K247*N247,2)),IF(CONTROLE!$B$1="Itens Consumidos",IF(OR(L247="",N247=""),"",ROUND(L247*N247,2)),"")))</f>
        <v/>
      </c>
      <c r="Q247" s="177" t="str">
        <f>IF(J247="","",IF(OR(M247="",AND(CONTROLE!$B$1="Principal",K247=""),AND(CONTROLE!$B$1="Itens Consumidos",L247="")),"INCOMPLETO",IF(CONTROLE!$B$1="Pedidos de Compras","MANUAL",IF(AND(ISNUMBER(K247),ISNUMBER(L247),ABS(K247-L247)/MAX(ABS(IF(CONTROLE!$B$1="Principal",K247,L247)),1)&gt;$D$4),"DIVERGENTE","OK"))))</f>
        <v/>
      </c>
    </row>
    <row r="248" spans="1:17" x14ac:dyDescent="0.35">
      <c r="A248" s="172" t="str">
        <f>IF(historico_VU!A196="","",historico_VU!A196)</f>
        <v/>
      </c>
      <c r="B248" s="173" t="str">
        <f>IF(A248="","",historico_VU!B196)</f>
        <v/>
      </c>
      <c r="C248" s="174" t="str">
        <f>IF(A248="","",historico_VU!C196)</f>
        <v/>
      </c>
      <c r="D248" s="174" t="str">
        <f>IF(A248="","",historico_VU!D196)</f>
        <v/>
      </c>
      <c r="E248" s="174" t="str">
        <f>IF(A248="","",historico_VU!E196)</f>
        <v/>
      </c>
      <c r="F248" s="174" t="str">
        <f>IF(A248="","",historico_VU!F196)</f>
        <v/>
      </c>
      <c r="G248" s="174" t="str">
        <f>IF(A248="","",historico_VU!G196)</f>
        <v/>
      </c>
      <c r="H248" s="175" t="str">
        <f>IF(A248="","",historico_VU!H196)</f>
        <v/>
      </c>
      <c r="I248" s="77"/>
      <c r="J248" s="172" t="str">
        <f>IF(itens_Remanesc!A196="","",itens_Remanesc!A196)</f>
        <v/>
      </c>
      <c r="K248" s="173" t="str">
        <f>IF(J248="","",IF($F$4="C0",itens_Remanesc!B196,IF($F$4="C1",itens_Remanesc!E196,IF($F$4="C2",itens_Remanesc!G196,IF($F$4="C3",itens_Remanesc!I196,itens_Remanesc!K196)))))</f>
        <v/>
      </c>
      <c r="L248" s="173" t="str">
        <f>IF(J248="","",IF(SUMIF(itens_Consumidos!$A$2:$A$200,J248,itens_Consumidos!$B$2:$B$200)-SUMIF(itens_Consumidos!$A$2:$A$200,J248,itens_Consumidos!$O$2:$O$200)&lt;0,0,SUMIF(itens_Consumidos!$A$2:$A$200,J248,itens_Consumidos!$B$2:$B$200)-SUMIF(itens_Consumidos!$A$2:$A$200,J248,itens_Consumidos!$O$2:$O$200)))</f>
        <v/>
      </c>
      <c r="M248" s="176" t="str">
        <f>IF(J248="","",itens_Remanesc!C196)</f>
        <v/>
      </c>
      <c r="N248" s="176" t="str">
        <f>IF(J248="","",IF($F$4="C0",historico_VU!C196,IF($F$4="C1",historico_VU!D196,IF($F$4="C2",historico_VU!E196,IF($F$4="C3",historico_VU!F196,historico_VU!G196)))))</f>
        <v/>
      </c>
      <c r="O248" s="176" t="str">
        <f>IF(J248="","",IF(CONTROLE!$B$1="Principal",IF(OR(K248="",M248=""),"",ROUND(K248*M248,2)),IF(CONTROLE!$B$1="Itens Consumidos",IF(OR(L248="",M248=""),"",ROUND(L248*M248,2)),"")))</f>
        <v/>
      </c>
      <c r="P248" s="176" t="str">
        <f>IF(J248="","",IF(CONTROLE!$B$1="Principal",IF(OR(K248="",N248=""),"",ROUND(K248*N248,2)),IF(CONTROLE!$B$1="Itens Consumidos",IF(OR(L248="",N248=""),"",ROUND(L248*N248,2)),"")))</f>
        <v/>
      </c>
      <c r="Q248" s="177" t="str">
        <f>IF(J248="","",IF(OR(M248="",AND(CONTROLE!$B$1="Principal",K248=""),AND(CONTROLE!$B$1="Itens Consumidos",L248="")),"INCOMPLETO",IF(CONTROLE!$B$1="Pedidos de Compras","MANUAL",IF(AND(ISNUMBER(K248),ISNUMBER(L248),ABS(K248-L248)/MAX(ABS(IF(CONTROLE!$B$1="Principal",K248,L248)),1)&gt;$D$4),"DIVERGENTE","OK"))))</f>
        <v/>
      </c>
    </row>
    <row r="249" spans="1:17" x14ac:dyDescent="0.35">
      <c r="A249" s="172" t="str">
        <f>IF(historico_VU!A197="","",historico_VU!A197)</f>
        <v/>
      </c>
      <c r="B249" s="173" t="str">
        <f>IF(A249="","",historico_VU!B197)</f>
        <v/>
      </c>
      <c r="C249" s="174" t="str">
        <f>IF(A249="","",historico_VU!C197)</f>
        <v/>
      </c>
      <c r="D249" s="174" t="str">
        <f>IF(A249="","",historico_VU!D197)</f>
        <v/>
      </c>
      <c r="E249" s="174" t="str">
        <f>IF(A249="","",historico_VU!E197)</f>
        <v/>
      </c>
      <c r="F249" s="174" t="str">
        <f>IF(A249="","",historico_VU!F197)</f>
        <v/>
      </c>
      <c r="G249" s="174" t="str">
        <f>IF(A249="","",historico_VU!G197)</f>
        <v/>
      </c>
      <c r="H249" s="175" t="str">
        <f>IF(A249="","",historico_VU!H197)</f>
        <v/>
      </c>
      <c r="I249" s="77"/>
      <c r="J249" s="172" t="str">
        <f>IF(itens_Remanesc!A197="","",itens_Remanesc!A197)</f>
        <v/>
      </c>
      <c r="K249" s="173" t="str">
        <f>IF(J249="","",IF($F$4="C0",itens_Remanesc!B197,IF($F$4="C1",itens_Remanesc!E197,IF($F$4="C2",itens_Remanesc!G197,IF($F$4="C3",itens_Remanesc!I197,itens_Remanesc!K197)))))</f>
        <v/>
      </c>
      <c r="L249" s="173" t="str">
        <f>IF(J249="","",IF(SUMIF(itens_Consumidos!$A$2:$A$200,J249,itens_Consumidos!$B$2:$B$200)-SUMIF(itens_Consumidos!$A$2:$A$200,J249,itens_Consumidos!$O$2:$O$200)&lt;0,0,SUMIF(itens_Consumidos!$A$2:$A$200,J249,itens_Consumidos!$B$2:$B$200)-SUMIF(itens_Consumidos!$A$2:$A$200,J249,itens_Consumidos!$O$2:$O$200)))</f>
        <v/>
      </c>
      <c r="M249" s="176" t="str">
        <f>IF(J249="","",itens_Remanesc!C197)</f>
        <v/>
      </c>
      <c r="N249" s="176" t="str">
        <f>IF(J249="","",IF($F$4="C0",historico_VU!C197,IF($F$4="C1",historico_VU!D197,IF($F$4="C2",historico_VU!E197,IF($F$4="C3",historico_VU!F197,historico_VU!G197)))))</f>
        <v/>
      </c>
      <c r="O249" s="176" t="str">
        <f>IF(J249="","",IF(CONTROLE!$B$1="Principal",IF(OR(K249="",M249=""),"",ROUND(K249*M249,2)),IF(CONTROLE!$B$1="Itens Consumidos",IF(OR(L249="",M249=""),"",ROUND(L249*M249,2)),"")))</f>
        <v/>
      </c>
      <c r="P249" s="176" t="str">
        <f>IF(J249="","",IF(CONTROLE!$B$1="Principal",IF(OR(K249="",N249=""),"",ROUND(K249*N249,2)),IF(CONTROLE!$B$1="Itens Consumidos",IF(OR(L249="",N249=""),"",ROUND(L249*N249,2)),"")))</f>
        <v/>
      </c>
      <c r="Q249" s="177" t="str">
        <f>IF(J249="","",IF(OR(M249="",AND(CONTROLE!$B$1="Principal",K249=""),AND(CONTROLE!$B$1="Itens Consumidos",L249="")),"INCOMPLETO",IF(CONTROLE!$B$1="Pedidos de Compras","MANUAL",IF(AND(ISNUMBER(K249),ISNUMBER(L249),ABS(K249-L249)/MAX(ABS(IF(CONTROLE!$B$1="Principal",K249,L249)),1)&gt;$D$4),"DIVERGENTE","OK"))))</f>
        <v/>
      </c>
    </row>
    <row r="250" spans="1:17" x14ac:dyDescent="0.35">
      <c r="A250" s="172" t="str">
        <f>IF(historico_VU!A198="","",historico_VU!A198)</f>
        <v/>
      </c>
      <c r="B250" s="173" t="str">
        <f>IF(A250="","",historico_VU!B198)</f>
        <v/>
      </c>
      <c r="C250" s="174" t="str">
        <f>IF(A250="","",historico_VU!C198)</f>
        <v/>
      </c>
      <c r="D250" s="174" t="str">
        <f>IF(A250="","",historico_VU!D198)</f>
        <v/>
      </c>
      <c r="E250" s="174" t="str">
        <f>IF(A250="","",historico_VU!E198)</f>
        <v/>
      </c>
      <c r="F250" s="174" t="str">
        <f>IF(A250="","",historico_VU!F198)</f>
        <v/>
      </c>
      <c r="G250" s="174" t="str">
        <f>IF(A250="","",historico_VU!G198)</f>
        <v/>
      </c>
      <c r="H250" s="175" t="str">
        <f>IF(A250="","",historico_VU!H198)</f>
        <v/>
      </c>
      <c r="I250" s="77"/>
      <c r="J250" s="172" t="str">
        <f>IF(itens_Remanesc!A198="","",itens_Remanesc!A198)</f>
        <v/>
      </c>
      <c r="K250" s="173" t="str">
        <f>IF(J250="","",IF($F$4="C0",itens_Remanesc!B198,IF($F$4="C1",itens_Remanesc!E198,IF($F$4="C2",itens_Remanesc!G198,IF($F$4="C3",itens_Remanesc!I198,itens_Remanesc!K198)))))</f>
        <v/>
      </c>
      <c r="L250" s="173" t="str">
        <f>IF(J250="","",IF(SUMIF(itens_Consumidos!$A$2:$A$200,J250,itens_Consumidos!$B$2:$B$200)-SUMIF(itens_Consumidos!$A$2:$A$200,J250,itens_Consumidos!$O$2:$O$200)&lt;0,0,SUMIF(itens_Consumidos!$A$2:$A$200,J250,itens_Consumidos!$B$2:$B$200)-SUMIF(itens_Consumidos!$A$2:$A$200,J250,itens_Consumidos!$O$2:$O$200)))</f>
        <v/>
      </c>
      <c r="M250" s="176" t="str">
        <f>IF(J250="","",itens_Remanesc!C198)</f>
        <v/>
      </c>
      <c r="N250" s="176" t="str">
        <f>IF(J250="","",IF($F$4="C0",historico_VU!C198,IF($F$4="C1",historico_VU!D198,IF($F$4="C2",historico_VU!E198,IF($F$4="C3",historico_VU!F198,historico_VU!G198)))))</f>
        <v/>
      </c>
      <c r="O250" s="176" t="str">
        <f>IF(J250="","",IF(CONTROLE!$B$1="Principal",IF(OR(K250="",M250=""),"",ROUND(K250*M250,2)),IF(CONTROLE!$B$1="Itens Consumidos",IF(OR(L250="",M250=""),"",ROUND(L250*M250,2)),"")))</f>
        <v/>
      </c>
      <c r="P250" s="176" t="str">
        <f>IF(J250="","",IF(CONTROLE!$B$1="Principal",IF(OR(K250="",N250=""),"",ROUND(K250*N250,2)),IF(CONTROLE!$B$1="Itens Consumidos",IF(OR(L250="",N250=""),"",ROUND(L250*N250,2)),"")))</f>
        <v/>
      </c>
      <c r="Q250" s="177" t="str">
        <f>IF(J250="","",IF(OR(M250="",AND(CONTROLE!$B$1="Principal",K250=""),AND(CONTROLE!$B$1="Itens Consumidos",L250="")),"INCOMPLETO",IF(CONTROLE!$B$1="Pedidos de Compras","MANUAL",IF(AND(ISNUMBER(K250),ISNUMBER(L250),ABS(K250-L250)/MAX(ABS(IF(CONTROLE!$B$1="Principal",K250,L250)),1)&gt;$D$4),"DIVERGENTE","OK"))))</f>
        <v/>
      </c>
    </row>
    <row r="251" spans="1:17" x14ac:dyDescent="0.35">
      <c r="A251" s="172" t="str">
        <f>IF(historico_VU!A199="","",historico_VU!A199)</f>
        <v/>
      </c>
      <c r="B251" s="173" t="str">
        <f>IF(A251="","",historico_VU!B199)</f>
        <v/>
      </c>
      <c r="C251" s="174" t="str">
        <f>IF(A251="","",historico_VU!C199)</f>
        <v/>
      </c>
      <c r="D251" s="174" t="str">
        <f>IF(A251="","",historico_VU!D199)</f>
        <v/>
      </c>
      <c r="E251" s="174" t="str">
        <f>IF(A251="","",historico_VU!E199)</f>
        <v/>
      </c>
      <c r="F251" s="174" t="str">
        <f>IF(A251="","",historico_VU!F199)</f>
        <v/>
      </c>
      <c r="G251" s="174" t="str">
        <f>IF(A251="","",historico_VU!G199)</f>
        <v/>
      </c>
      <c r="H251" s="175" t="str">
        <f>IF(A251="","",historico_VU!H199)</f>
        <v/>
      </c>
      <c r="I251" s="77"/>
      <c r="J251" s="172" t="str">
        <f>IF(itens_Remanesc!A199="","",itens_Remanesc!A199)</f>
        <v/>
      </c>
      <c r="K251" s="173" t="str">
        <f>IF(J251="","",IF($F$4="C0",itens_Remanesc!B199,IF($F$4="C1",itens_Remanesc!E199,IF($F$4="C2",itens_Remanesc!G199,IF($F$4="C3",itens_Remanesc!I199,itens_Remanesc!K199)))))</f>
        <v/>
      </c>
      <c r="L251" s="173" t="str">
        <f>IF(J251="","",IF(SUMIF(itens_Consumidos!$A$2:$A$200,J251,itens_Consumidos!$B$2:$B$200)-SUMIF(itens_Consumidos!$A$2:$A$200,J251,itens_Consumidos!$O$2:$O$200)&lt;0,0,SUMIF(itens_Consumidos!$A$2:$A$200,J251,itens_Consumidos!$B$2:$B$200)-SUMIF(itens_Consumidos!$A$2:$A$200,J251,itens_Consumidos!$O$2:$O$200)))</f>
        <v/>
      </c>
      <c r="M251" s="176" t="str">
        <f>IF(J251="","",itens_Remanesc!C199)</f>
        <v/>
      </c>
      <c r="N251" s="176" t="str">
        <f>IF(J251="","",IF($F$4="C0",historico_VU!C199,IF($F$4="C1",historico_VU!D199,IF($F$4="C2",historico_VU!E199,IF($F$4="C3",historico_VU!F199,historico_VU!G199)))))</f>
        <v/>
      </c>
      <c r="O251" s="176" t="str">
        <f>IF(J251="","",IF(CONTROLE!$B$1="Principal",IF(OR(K251="",M251=""),"",ROUND(K251*M251,2)),IF(CONTROLE!$B$1="Itens Consumidos",IF(OR(L251="",M251=""),"",ROUND(L251*M251,2)),"")))</f>
        <v/>
      </c>
      <c r="P251" s="176" t="str">
        <f>IF(J251="","",IF(CONTROLE!$B$1="Principal",IF(OR(K251="",N251=""),"",ROUND(K251*N251,2)),IF(CONTROLE!$B$1="Itens Consumidos",IF(OR(L251="",N251=""),"",ROUND(L251*N251,2)),"")))</f>
        <v/>
      </c>
      <c r="Q251" s="177" t="str">
        <f>IF(J251="","",IF(OR(M251="",AND(CONTROLE!$B$1="Principal",K251=""),AND(CONTROLE!$B$1="Itens Consumidos",L251="")),"INCOMPLETO",IF(CONTROLE!$B$1="Pedidos de Compras","MANUAL",IF(AND(ISNUMBER(K251),ISNUMBER(L251),ABS(K251-L251)/MAX(ABS(IF(CONTROLE!$B$1="Principal",K251,L251)),1)&gt;$D$4),"DIVERGENTE","OK"))))</f>
        <v/>
      </c>
    </row>
    <row r="252" spans="1:17" x14ac:dyDescent="0.35">
      <c r="A252" s="172" t="str">
        <f>IF(historico_VU!A200="","",historico_VU!A200)</f>
        <v/>
      </c>
      <c r="B252" s="173" t="str">
        <f>IF(A252="","",historico_VU!B200)</f>
        <v/>
      </c>
      <c r="C252" s="174" t="str">
        <f>IF(A252="","",historico_VU!C200)</f>
        <v/>
      </c>
      <c r="D252" s="174" t="str">
        <f>IF(A252="","",historico_VU!D200)</f>
        <v/>
      </c>
      <c r="E252" s="174" t="str">
        <f>IF(A252="","",historico_VU!E200)</f>
        <v/>
      </c>
      <c r="F252" s="174" t="str">
        <f>IF(A252="","",historico_VU!F200)</f>
        <v/>
      </c>
      <c r="G252" s="174" t="str">
        <f>IF(A252="","",historico_VU!G200)</f>
        <v/>
      </c>
      <c r="H252" s="175" t="str">
        <f>IF(A252="","",historico_VU!H200)</f>
        <v/>
      </c>
      <c r="I252" s="77"/>
      <c r="J252" s="172" t="str">
        <f>IF(itens_Remanesc!A200="","",itens_Remanesc!A200)</f>
        <v/>
      </c>
      <c r="K252" s="173" t="str">
        <f>IF(J252="","",IF($F$4="C0",itens_Remanesc!B200,IF($F$4="C1",itens_Remanesc!E200,IF($F$4="C2",itens_Remanesc!G200,IF($F$4="C3",itens_Remanesc!I200,itens_Remanesc!K200)))))</f>
        <v/>
      </c>
      <c r="L252" s="173" t="str">
        <f>IF(J252="","",IF(SUMIF(itens_Consumidos!$A$2:$A$200,J252,itens_Consumidos!$B$2:$B$200)-SUMIF(itens_Consumidos!$A$2:$A$200,J252,itens_Consumidos!$O$2:$O$200)&lt;0,0,SUMIF(itens_Consumidos!$A$2:$A$200,J252,itens_Consumidos!$B$2:$B$200)-SUMIF(itens_Consumidos!$A$2:$A$200,J252,itens_Consumidos!$O$2:$O$200)))</f>
        <v/>
      </c>
      <c r="M252" s="176" t="str">
        <f>IF(J252="","",itens_Remanesc!C200)</f>
        <v/>
      </c>
      <c r="N252" s="176" t="str">
        <f>IF(J252="","",IF($F$4="C0",historico_VU!C200,IF($F$4="C1",historico_VU!D200,IF($F$4="C2",historico_VU!E200,IF($F$4="C3",historico_VU!F200,historico_VU!G200)))))</f>
        <v/>
      </c>
      <c r="O252" s="176" t="str">
        <f>IF(J252="","",IF(CONTROLE!$B$1="Principal",IF(OR(K252="",M252=""),"",ROUND(K252*M252,2)),IF(CONTROLE!$B$1="Itens Consumidos",IF(OR(L252="",M252=""),"",ROUND(L252*M252,2)),"")))</f>
        <v/>
      </c>
      <c r="P252" s="176" t="str">
        <f>IF(J252="","",IF(CONTROLE!$B$1="Principal",IF(OR(K252="",N252=""),"",ROUND(K252*N252,2)),IF(CONTROLE!$B$1="Itens Consumidos",IF(OR(L252="",N252=""),"",ROUND(L252*N252,2)),"")))</f>
        <v/>
      </c>
      <c r="Q252" s="177" t="str">
        <f>IF(J252="","",IF(OR(M252="",AND(CONTROLE!$B$1="Principal",K252=""),AND(CONTROLE!$B$1="Itens Consumidos",L252="")),"INCOMPLETO",IF(CONTROLE!$B$1="Pedidos de Compras","MANUAL",IF(AND(ISNUMBER(K252),ISNUMBER(L252),ABS(K252-L252)/MAX(ABS(IF(CONTROLE!$B$1="Principal",K252,L252)),1)&gt;$D$4),"DIVERGENTE","OK"))))</f>
        <v/>
      </c>
    </row>
    <row r="253" spans="1:17" x14ac:dyDescent="0.35">
      <c r="A253" s="172" t="str">
        <f>IF(historico_VU!A201="","",historico_VU!A201)</f>
        <v/>
      </c>
      <c r="B253" s="173" t="str">
        <f>IF(A253="","",historico_VU!B201)</f>
        <v/>
      </c>
      <c r="C253" s="174" t="str">
        <f>IF(A253="","",historico_VU!C201)</f>
        <v/>
      </c>
      <c r="D253" s="174" t="str">
        <f>IF(A253="","",historico_VU!D201)</f>
        <v/>
      </c>
      <c r="E253" s="174" t="str">
        <f>IF(A253="","",historico_VU!E201)</f>
        <v/>
      </c>
      <c r="F253" s="174" t="str">
        <f>IF(A253="","",historico_VU!F201)</f>
        <v/>
      </c>
      <c r="G253" s="174" t="str">
        <f>IF(A253="","",historico_VU!G201)</f>
        <v/>
      </c>
      <c r="H253" s="175" t="str">
        <f>IF(A253="","",historico_VU!H201)</f>
        <v/>
      </c>
      <c r="I253" s="77"/>
      <c r="J253" s="172" t="str">
        <f>IF(itens_Remanesc!A201="","",itens_Remanesc!A201)</f>
        <v/>
      </c>
      <c r="K253" s="173" t="str">
        <f>IF(J253="","",IF($F$4="C0",itens_Remanesc!B201,IF($F$4="C1",itens_Remanesc!E201,IF($F$4="C2",itens_Remanesc!G201,IF($F$4="C3",itens_Remanesc!I201,itens_Remanesc!K201)))))</f>
        <v/>
      </c>
      <c r="L253" s="173" t="str">
        <f>IF(J253="","",IF(SUMIF(itens_Consumidos!$A$2:$A$200,J253,itens_Consumidos!$B$2:$B$200)-SUMIF(itens_Consumidos!$A$2:$A$200,J253,itens_Consumidos!$O$2:$O$200)&lt;0,0,SUMIF(itens_Consumidos!$A$2:$A$200,J253,itens_Consumidos!$B$2:$B$200)-SUMIF(itens_Consumidos!$A$2:$A$200,J253,itens_Consumidos!$O$2:$O$200)))</f>
        <v/>
      </c>
      <c r="M253" s="176" t="str">
        <f>IF(J253="","",itens_Remanesc!C201)</f>
        <v/>
      </c>
      <c r="N253" s="176" t="str">
        <f>IF(J253="","",IF($F$4="C0",historico_VU!C201,IF($F$4="C1",historico_VU!D201,IF($F$4="C2",historico_VU!E201,IF($F$4="C3",historico_VU!F201,historico_VU!G201)))))</f>
        <v/>
      </c>
      <c r="O253" s="176" t="str">
        <f>IF(J253="","",IF(CONTROLE!$B$1="Principal",IF(OR(K253="",M253=""),"",ROUND(K253*M253,2)),IF(CONTROLE!$B$1="Itens Consumidos",IF(OR(L253="",M253=""),"",ROUND(L253*M253,2)),"")))</f>
        <v/>
      </c>
      <c r="P253" s="176" t="str">
        <f>IF(J253="","",IF(CONTROLE!$B$1="Principal",IF(OR(K253="",N253=""),"",ROUND(K253*N253,2)),IF(CONTROLE!$B$1="Itens Consumidos",IF(OR(L253="",N253=""),"",ROUND(L253*N253,2)),"")))</f>
        <v/>
      </c>
      <c r="Q253" s="177" t="str">
        <f>IF(J253="","",IF(OR(M253="",AND(CONTROLE!$B$1="Principal",K253=""),AND(CONTROLE!$B$1="Itens Consumidos",L253="")),"INCOMPLETO",IF(CONTROLE!$B$1="Pedidos de Compras","MANUAL",IF(AND(ISNUMBER(K253),ISNUMBER(L253),ABS(K253-L253)/MAX(ABS(IF(CONTROLE!$B$1="Principal",K253,L253)),1)&gt;$D$4),"DIVERGENTE","OK"))))</f>
        <v/>
      </c>
    </row>
  </sheetData>
  <mergeCells count="18">
    <mergeCell ref="A52:H52"/>
    <mergeCell ref="D25:J25"/>
    <mergeCell ref="A30:J30"/>
    <mergeCell ref="A48:J48"/>
    <mergeCell ref="D24:J24"/>
    <mergeCell ref="E26:J26"/>
    <mergeCell ref="J52:Q52"/>
    <mergeCell ref="A49:J49"/>
    <mergeCell ref="A1:J1"/>
    <mergeCell ref="B36:E36"/>
    <mergeCell ref="A8:J8"/>
    <mergeCell ref="A6:J6"/>
    <mergeCell ref="A40:J40"/>
    <mergeCell ref="A17:J17"/>
    <mergeCell ref="A27:J27"/>
    <mergeCell ref="A2:J2"/>
    <mergeCell ref="D5:J5"/>
    <mergeCell ref="A19:J19"/>
  </mergeCells>
  <conditionalFormatting sqref="E26:J26">
    <cfRule type="expression" dxfId="4" priority="3">
      <formula>OR(ISNUMBER(SEARCH("MANUAL REQUERIDO",E26)),ISNUMBER(SEARCH("INCOMPLETO",E26)),ISNUMBER(SEARCH("CORRIGIR",E26)),ISNUMBER(SEARCH("OBRIGATÓRIA",E26)))</formula>
    </cfRule>
  </conditionalFormatting>
  <conditionalFormatting sqref="F16">
    <cfRule type="expression" dxfId="3" priority="2">
      <formula>OR(ISNUMBER(SEARCH("MANUAL",F16)),ISNUMBER(SEARCH("DIVERGENTE",F16)),ISNUMBER(SEARCH("INCOMPLETO",F16)),ISNUMBER(SEARCH("OBRIGATÓRIA",F16)))</formula>
    </cfRule>
  </conditionalFormatting>
  <conditionalFormatting sqref="F36">
    <cfRule type="expression" dxfId="2" priority="4">
      <formula>OR(ISNUMBER(SEARCH("MANUAL",F36)),ISNUMBER(SEARCH("DIVERGENTE",F36)),ISNUMBER(SEARCH("INCOMPLETO",F36)))</formula>
    </cfRule>
  </conditionalFormatting>
  <conditionalFormatting sqref="J4">
    <cfRule type="expression" dxfId="1" priority="1">
      <formula>OR(ISNUMBER(SEARCH("MANUAL",J4)),ISNUMBER(SEARCH("DIVERGENTE",J4)),ISNUMBER(SEARCH("INCOMPLETO",J4)),ISNUMBER(SEARCH("CORRIGIR",J4)))</formula>
    </cfRule>
  </conditionalFormatting>
  <conditionalFormatting sqref="Q54:Q253">
    <cfRule type="expression" dxfId="0" priority="5">
      <formula>OR(Q54="DIVERGENTE",Q54="INCOMPLETO",Q54="MANUAL")</formula>
    </cfRule>
  </conditionalFormatting>
  <dataValidations count="2">
    <dataValidation type="list" sqref="B4" xr:uid="{00000000-0002-0000-0A00-000000000000}">
      <formula1>"Financeiro,PCs,Itens"</formula1>
    </dataValidation>
    <dataValidation type="decimal" sqref="D4" xr:uid="{00000000-0002-0000-0A00-000001000000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15</vt:i4>
      </vt:variant>
    </vt:vector>
  </HeadingPairs>
  <TitlesOfParts>
    <vt:vector size="26" baseType="lpstr">
      <vt:lpstr>CONTROLE</vt:lpstr>
      <vt:lpstr>parametros</vt:lpstr>
      <vt:lpstr>financeiro</vt:lpstr>
      <vt:lpstr>itens_Remanesc</vt:lpstr>
      <vt:lpstr>itens_Consumidos</vt:lpstr>
      <vt:lpstr>itens_PC</vt:lpstr>
      <vt:lpstr>aditivos</vt:lpstr>
      <vt:lpstr>posicao_contratual</vt:lpstr>
      <vt:lpstr>itens_RC</vt:lpstr>
      <vt:lpstr>historico_VU</vt:lpstr>
      <vt:lpstr>RESULTADOS</vt:lpstr>
      <vt:lpstr>AJUSTE_MANUAL_VTA</vt:lpstr>
      <vt:lpstr>JUSTIFICATIVA_RETRO</vt:lpstr>
      <vt:lpstr>METODO_RETROATIVO</vt:lpstr>
      <vt:lpstr>QTD_REM_OFICIAL</vt:lpstr>
      <vt:lpstr>REM_ATUALIZADO_OFICIAL</vt:lpstr>
      <vt:lpstr>REM_BASE_OFICIAL</vt:lpstr>
      <vt:lpstr>RETRO_FIN</vt:lpstr>
      <vt:lpstr>RETRO_ITENS</vt:lpstr>
      <vt:lpstr>RETRO_OFICIAL</vt:lpstr>
      <vt:lpstr>RETRO_PC</vt:lpstr>
      <vt:lpstr>TOLERANCIA_DIVERGENCIA</vt:lpstr>
      <vt:lpstr>VALOR_MANUAL_RETRO</vt:lpstr>
      <vt:lpstr>VTA_CALCULADO</vt:lpstr>
      <vt:lpstr>VTA_FINAL</vt:lpstr>
      <vt:lpstr>VTA_MANUAL_OFICIAL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P. da Silva</cp:lastModifiedBy>
  <dcterms:created xsi:type="dcterms:W3CDTF">2026-07-14T01:33:40Z</dcterms:created>
  <dcterms:modified xsi:type="dcterms:W3CDTF">2026-09-30T22:40:43Z</dcterms:modified>
</cp:coreProperties>
</file>