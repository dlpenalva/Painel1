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000" windowHeight="12000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itens_Remanesc" sheetId="4" state="visible" r:id="rId4"/>
    <sheet xmlns:r="http://schemas.openxmlformats.org/officeDocument/2006/relationships" name="itens_Consumidos" sheetId="5" state="visible" r:id="rId5"/>
    <sheet xmlns:r="http://schemas.openxmlformats.org/officeDocument/2006/relationships" name="itens_PC" sheetId="6" state="visible" r:id="rId6"/>
    <sheet xmlns:r="http://schemas.openxmlformats.org/officeDocument/2006/relationships" name="aditivos" sheetId="7" state="visible" r:id="rId7"/>
    <sheet xmlns:r="http://schemas.openxmlformats.org/officeDocument/2006/relationships" name="RESULTADOS" sheetId="8" state="visible" r:id="rId8"/>
    <sheet xmlns:r="http://schemas.openxmlformats.org/officeDocument/2006/relationships" name="itens_RC" sheetId="9" state="visible" r:id="rId9"/>
    <sheet xmlns:r="http://schemas.openxmlformats.org/officeDocument/2006/relationships" name="historico_VU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\R\$\ #,##0.00"/>
    <numFmt numFmtId="165" formatCode="#,##0.0000"/>
    <numFmt numFmtId="166" formatCode="0.0000"/>
    <numFmt numFmtId="167" formatCode="mm/yyyy"/>
    <numFmt numFmtId="168" formatCode="&quot;R$&quot;\ #,##0.00;[Red]\-&quot;R$&quot;\ #,##0.00"/>
    <numFmt numFmtId="169" formatCode="0.000%"/>
    <numFmt numFmtId="170" formatCode="R$ #,##0.00"/>
    <numFmt numFmtId="171" formatCode="dd/mm/yyyy"/>
  </numFmts>
  <fonts count="40">
    <font>
      <name val="Calibri"/>
      <color theme="1"/>
      <sz val="11"/>
    </font>
    <font>
      <name val="Calibri"/>
      <b val="1"/>
      <color rgb="FF065F46"/>
      <sz val="11"/>
    </font>
    <font>
      <name val="Calibri"/>
      <b val="1"/>
      <sz val="11"/>
    </font>
    <font>
      <name val="Calibri"/>
      <color theme="1"/>
      <sz val="11"/>
    </font>
    <font>
      <name val="Calibri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000000"/>
      <sz val="12"/>
    </font>
    <font>
      <name val="Calibri"/>
      <i val="1"/>
      <color rgb="FF595959"/>
      <sz val="10"/>
    </font>
    <font>
      <name val="Calibri"/>
      <sz val="10"/>
    </font>
    <font>
      <name val="Calibri"/>
      <b val="1"/>
      <color rgb="FF1F4E79"/>
      <sz val="10"/>
    </font>
    <font>
      <name val="Calibri"/>
      <b val="1"/>
      <color rgb="FF1F3864"/>
      <sz val="10"/>
    </font>
    <font>
      <name val="Calibri"/>
      <b val="1"/>
      <color rgb="FFFFFFFF"/>
      <sz val="10"/>
    </font>
    <font>
      <name val="Calibri"/>
      <b val="1"/>
      <sz val="10"/>
    </font>
    <font>
      <name val="Calibri"/>
      <b val="1"/>
      <color rgb="FF000000"/>
      <sz val="10"/>
    </font>
    <font>
      <name val="Calibri"/>
      <b val="1"/>
      <color rgb="FF4472C4"/>
      <sz val="10"/>
    </font>
    <font>
      <name val="Calibri"/>
      <b val="1"/>
      <color rgb="FFFFFFFF"/>
      <sz val="10"/>
    </font>
    <font>
      <name val="Calibri"/>
      <color theme="1"/>
      <sz val="10"/>
    </font>
    <font>
      <name val="Aptos"/>
      <color theme="1"/>
      <sz val="10"/>
    </font>
    <font>
      <name val="Calibri"/>
      <b val="1"/>
      <color theme="1"/>
      <sz val="10"/>
    </font>
    <font>
      <name val="Aptos"/>
      <b val="1"/>
      <color theme="1"/>
      <sz val="10"/>
    </font>
    <font>
      <name val="Aptos"/>
      <b val="1"/>
      <color rgb="FF9C0006"/>
      <sz val="10"/>
    </font>
    <font>
      <name val="Arial"/>
      <i val="1"/>
      <color rgb="FF595959"/>
      <sz val="10"/>
    </font>
    <font>
      <name val="Calibri"/>
      <b val="1"/>
      <color rgb="FFFFFFFF"/>
      <sz val="9"/>
    </font>
    <font>
      <name val="Calibri"/>
      <sz val="9"/>
    </font>
    <font>
      <name val="Calibri"/>
      <b val="1"/>
      <sz val="9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Aptos"/>
      <b val="1"/>
      <color theme="1"/>
      <sz val="10"/>
    </font>
    <font>
      <name val="Calibri"/>
      <b val="1"/>
      <i val="1"/>
      <color rgb="FF595959"/>
      <sz val="10"/>
    </font>
    <font>
      <name val="Calibri"/>
      <family val="2"/>
      <color theme="1"/>
      <sz val="10"/>
    </font>
    <font>
      <name val="Calibri"/>
      <family val="2"/>
      <sz val="10"/>
    </font>
    <font>
      <name val="Calibri"/>
      <family val="2"/>
      <i val="1"/>
      <color rgb="FF595959"/>
      <sz val="10"/>
    </font>
    <font>
      <name val="Calibri"/>
      <family val="2"/>
      <b val="1"/>
      <i val="1"/>
      <color rgb="FF595959"/>
      <sz val="10"/>
    </font>
    <font>
      <name val="Calibri"/>
      <sz val="8"/>
    </font>
    <font>
      <name val="Calibri"/>
      <color rgb="FF595959"/>
      <sz val="10"/>
    </font>
    <font>
      <name val="Calibri"/>
      <color rgb="FF595959"/>
      <sz val="9"/>
    </font>
    <font>
      <name val="Calibri"/>
      <b val="1"/>
      <color rgb="FF595959"/>
      <sz val="9"/>
    </font>
    <font>
      <name val="Calibri"/>
      <b val="1"/>
      <color rgb="FF595959"/>
      <sz val="10"/>
    </font>
  </fonts>
  <fills count="46">
    <fill>
      <patternFill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D966"/>
      </patternFill>
    </fill>
    <fill>
      <patternFill patternType="solid">
        <fgColor rgb="FFFFFACD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FCE4D6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C55A11"/>
      </patternFill>
    </fill>
    <fill>
      <patternFill patternType="solid">
        <fgColor rgb="FFD9E1F2"/>
      </patternFill>
    </fill>
    <fill>
      <patternFill patternType="solid">
        <fgColor rgb="FF7030A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3" fillId="0" borderId="5"/>
  </cellStyleXfs>
  <cellXfs count="34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4" fontId="3" fillId="2" borderId="1" pivotButton="0" quotePrefix="0" xfId="0"/>
    <xf numFmtId="0" fontId="0" fillId="13" borderId="0" pivotButton="0" quotePrefix="0" xfId="0"/>
    <xf numFmtId="0" fontId="8" fillId="18" borderId="6" applyAlignment="1" pivotButton="0" quotePrefix="0" xfId="0">
      <alignment horizontal="center" vertical="center"/>
    </xf>
    <xf numFmtId="0" fontId="4" fillId="0" borderId="5" pivotButton="0" quotePrefix="0" xfId="0"/>
    <xf numFmtId="0" fontId="9" fillId="19" borderId="7" pivotButton="0" quotePrefix="0" xfId="0"/>
    <xf numFmtId="0" fontId="10" fillId="9" borderId="7" pivotButton="0" quotePrefix="0" xfId="0"/>
    <xf numFmtId="4" fontId="10" fillId="9" borderId="7" pivotButton="0" quotePrefix="0" xfId="0"/>
    <xf numFmtId="0" fontId="10" fillId="23" borderId="7" pivotButton="0" quotePrefix="0" xfId="0"/>
    <xf numFmtId="0" fontId="10" fillId="21" borderId="7" pivotButton="0" quotePrefix="0" xfId="0"/>
    <xf numFmtId="164" fontId="10" fillId="9" borderId="7" pivotButton="0" quotePrefix="0" xfId="0"/>
    <xf numFmtId="0" fontId="13" fillId="5" borderId="7" applyAlignment="1" pivotButton="0" quotePrefix="0" xfId="0">
      <alignment horizontal="center" vertical="center"/>
    </xf>
    <xf numFmtId="0" fontId="14" fillId="37" borderId="7" applyAlignment="1" pivotButton="0" quotePrefix="0" xfId="0">
      <alignment vertical="center"/>
    </xf>
    <xf numFmtId="49" fontId="10" fillId="23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14" fontId="10" fillId="23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wrapText="1"/>
    </xf>
    <xf numFmtId="1" fontId="10" fillId="23" borderId="7" applyAlignment="1" pivotButton="0" quotePrefix="0" xfId="0">
      <alignment horizontal="center" vertical="center"/>
    </xf>
    <xf numFmtId="10" fontId="10" fillId="23" borderId="7" applyAlignment="1" pivotButton="0" quotePrefix="0" xfId="0">
      <alignment horizontal="center" vertical="center"/>
    </xf>
    <xf numFmtId="165" fontId="10" fillId="23" borderId="7" applyAlignment="1" pivotButton="0" quotePrefix="0" xfId="0">
      <alignment horizontal="center" vertical="center"/>
    </xf>
    <xf numFmtId="22" fontId="10" fillId="23" borderId="7" applyAlignment="1" pivotButton="0" quotePrefix="0" xfId="0">
      <alignment horizontal="center" vertical="center"/>
    </xf>
    <xf numFmtId="0" fontId="4" fillId="0" borderId="5" applyAlignment="1" pivotButton="0" quotePrefix="0" xfId="0">
      <alignment wrapText="1"/>
    </xf>
    <xf numFmtId="0" fontId="13" fillId="5" borderId="7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8" fillId="0" borderId="5" pivotButton="0" quotePrefix="0" xfId="0"/>
    <xf numFmtId="0" fontId="10" fillId="9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14" fontId="10" fillId="0" borderId="11" pivotButton="0" quotePrefix="0" xfId="0"/>
    <xf numFmtId="10" fontId="10" fillId="9" borderId="11" pivotButton="0" quotePrefix="0" xfId="0"/>
    <xf numFmtId="165" fontId="9" fillId="10" borderId="11" pivotButton="0" quotePrefix="0" xfId="0"/>
    <xf numFmtId="0" fontId="9" fillId="24" borderId="11" applyAlignment="1" pivotButton="0" quotePrefix="0" xfId="0">
      <alignment horizontal="center" vertical="center"/>
    </xf>
    <xf numFmtId="0" fontId="18" fillId="0" borderId="11" pivotButton="0" quotePrefix="0" xfId="0"/>
    <xf numFmtId="0" fontId="9" fillId="25" borderId="11" applyAlignment="1" pivotButton="0" quotePrefix="0" xfId="0">
      <alignment horizontal="center" vertical="center"/>
    </xf>
    <xf numFmtId="14" fontId="18" fillId="0" borderId="11" pivotButton="0" quotePrefix="0" xfId="0"/>
    <xf numFmtId="166" fontId="18" fillId="0" borderId="11" pivotButton="0" quotePrefix="0" xfId="0"/>
    <xf numFmtId="164" fontId="19" fillId="9" borderId="11" pivotButton="0" quotePrefix="0" xfId="0"/>
    <xf numFmtId="165" fontId="19" fillId="10" borderId="11" pivotButton="0" quotePrefix="0" xfId="0"/>
    <xf numFmtId="164" fontId="19" fillId="10" borderId="11" pivotButton="0" quotePrefix="0" xfId="0"/>
    <xf numFmtId="0" fontId="10" fillId="0" borderId="11" applyAlignment="1" pivotButton="0" quotePrefix="0" xfId="0">
      <alignment horizontal="center"/>
    </xf>
    <xf numFmtId="167" fontId="10" fillId="0" borderId="11" pivotButton="0" quotePrefix="0" xfId="0"/>
    <xf numFmtId="164" fontId="18" fillId="9" borderId="11" pivotButton="0" quotePrefix="0" xfId="0"/>
    <xf numFmtId="165" fontId="18" fillId="10" borderId="11" pivotButton="0" quotePrefix="0" xfId="0"/>
    <xf numFmtId="164" fontId="18" fillId="10" borderId="11" pivotButton="0" quotePrefix="0" xfId="0"/>
    <xf numFmtId="167" fontId="10" fillId="0" borderId="7" pivotButton="0" quotePrefix="0" xfId="0"/>
    <xf numFmtId="164" fontId="18" fillId="9" borderId="5" pivotButton="0" quotePrefix="0" xfId="0"/>
    <xf numFmtId="165" fontId="18" fillId="10" borderId="5" pivotButton="0" quotePrefix="0" xfId="0"/>
    <xf numFmtId="164" fontId="18" fillId="10" borderId="5" pivotButton="0" quotePrefix="0" xfId="0"/>
    <xf numFmtId="0" fontId="10" fillId="0" borderId="7" applyAlignment="1" pivotButton="0" quotePrefix="0" xfId="0">
      <alignment horizontal="center"/>
    </xf>
    <xf numFmtId="0" fontId="20" fillId="0" borderId="5" pivotButton="0" quotePrefix="0" xfId="0"/>
    <xf numFmtId="167" fontId="20" fillId="0" borderId="5" pivotButton="0" quotePrefix="0" xfId="0"/>
    <xf numFmtId="167" fontId="18" fillId="0" borderId="5" pivotButton="0" quotePrefix="0" xfId="0"/>
    <xf numFmtId="0" fontId="13" fillId="26" borderId="7" applyAlignment="1" pivotButton="0" quotePrefix="0" xfId="0">
      <alignment horizontal="center" vertical="center" wrapText="1"/>
    </xf>
    <xf numFmtId="0" fontId="15" fillId="27" borderId="7" applyAlignment="1" pivotButton="0" quotePrefix="0" xfId="0">
      <alignment horizontal="center" vertical="center" wrapText="1"/>
    </xf>
    <xf numFmtId="0" fontId="13" fillId="28" borderId="7" applyAlignment="1" pivotButton="0" quotePrefix="0" xfId="0">
      <alignment horizontal="center" vertical="center" wrapText="1"/>
    </xf>
    <xf numFmtId="0" fontId="15" fillId="29" borderId="7" applyAlignment="1" pivotButton="0" quotePrefix="0" xfId="0">
      <alignment horizontal="center" vertical="center" wrapText="1"/>
    </xf>
    <xf numFmtId="0" fontId="13" fillId="22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7" fillId="31" borderId="7" applyAlignment="1" pivotButton="0" quotePrefix="0" xfId="0">
      <alignment horizontal="center" vertical="center" wrapText="1"/>
    </xf>
    <xf numFmtId="0" fontId="19" fillId="0" borderId="11" pivotButton="0" quotePrefix="0" xfId="0"/>
    <xf numFmtId="4" fontId="19" fillId="0" borderId="11" pivotButton="0" quotePrefix="0" xfId="0"/>
    <xf numFmtId="164" fontId="19" fillId="0" borderId="11" pivotButton="0" quotePrefix="0" xfId="0"/>
    <xf numFmtId="4" fontId="12" fillId="0" borderId="11" pivotButton="0" quotePrefix="0" xfId="0"/>
    <xf numFmtId="164" fontId="9" fillId="10" borderId="11" pivotButton="0" quotePrefix="0" xfId="0"/>
    <xf numFmtId="4" fontId="9" fillId="10" borderId="11" pivotButton="0" quotePrefix="0" xfId="0"/>
    <xf numFmtId="0" fontId="9" fillId="10" borderId="11" pivotButton="0" quotePrefix="0" xfId="0"/>
    <xf numFmtId="0" fontId="14" fillId="10" borderId="11" applyAlignment="1" pivotButton="0" quotePrefix="0" xfId="0">
      <alignment horizontal="center"/>
    </xf>
    <xf numFmtId="0" fontId="9" fillId="10" borderId="11" applyAlignment="1" pivotButton="0" quotePrefix="0" xfId="0">
      <alignment horizontal="center"/>
    </xf>
    <xf numFmtId="10" fontId="9" fillId="10" borderId="11" pivotButton="0" quotePrefix="0" xfId="0"/>
    <xf numFmtId="165" fontId="9" fillId="10" borderId="7" pivotButton="0" quotePrefix="0" xfId="0"/>
    <xf numFmtId="4" fontId="9" fillId="32" borderId="7" pivotButton="0" quotePrefix="0" xfId="0"/>
    <xf numFmtId="164" fontId="9" fillId="32" borderId="7" pivotButton="0" quotePrefix="0" xfId="0"/>
    <xf numFmtId="0" fontId="14" fillId="30" borderId="7" applyAlignment="1" pivotButton="0" quotePrefix="0" xfId="0">
      <alignment horizontal="center" vertical="center" wrapText="1"/>
    </xf>
    <xf numFmtId="4" fontId="14" fillId="30" borderId="7" applyAlignment="1" pivotButton="0" quotePrefix="0" xfId="0">
      <alignment horizontal="center" vertical="center" wrapText="1"/>
    </xf>
    <xf numFmtId="164" fontId="14" fillId="30" borderId="7" applyAlignment="1" pivotButton="0" quotePrefix="0" xfId="0">
      <alignment horizontal="center" vertical="center" wrapText="1"/>
    </xf>
    <xf numFmtId="0" fontId="19" fillId="0" borderId="5" pivotButton="0" quotePrefix="0" xfId="0"/>
    <xf numFmtId="0" fontId="12" fillId="0" borderId="5" pivotButton="0" quotePrefix="0" xfId="0"/>
    <xf numFmtId="0" fontId="21" fillId="0" borderId="5" pivotButton="0" quotePrefix="0" xfId="0"/>
    <xf numFmtId="0" fontId="22" fillId="0" borderId="5" pivotButton="0" quotePrefix="0" xfId="0"/>
    <xf numFmtId="4" fontId="13" fillId="5" borderId="7" applyAlignment="1" pivotButton="0" quotePrefix="0" xfId="0">
      <alignment horizontal="center" vertical="center" wrapText="1"/>
    </xf>
    <xf numFmtId="164" fontId="13" fillId="5" borderId="7" applyAlignment="1" pivotButton="0" quotePrefix="0" xfId="0">
      <alignment horizontal="center" vertical="center" wrapText="1"/>
    </xf>
    <xf numFmtId="4" fontId="11" fillId="9" borderId="7" applyAlignment="1" pivotButton="0" quotePrefix="0" xfId="0">
      <alignment horizontal="center" vertical="center" wrapText="1"/>
    </xf>
    <xf numFmtId="164" fontId="11" fillId="9" borderId="7" applyAlignment="1" pivotButton="0" quotePrefix="0" xfId="0">
      <alignment horizontal="center" vertical="center" wrapText="1"/>
    </xf>
    <xf numFmtId="4" fontId="11" fillId="20" borderId="7" applyAlignment="1" pivotButton="0" quotePrefix="0" xfId="0">
      <alignment horizontal="center" vertical="center" wrapText="1"/>
    </xf>
    <xf numFmtId="164" fontId="11" fillId="20" borderId="7" applyAlignment="1" pivotButton="0" quotePrefix="0" xfId="0">
      <alignment horizontal="center" vertical="center" wrapText="1"/>
    </xf>
    <xf numFmtId="4" fontId="18" fillId="0" borderId="11" pivotButton="0" quotePrefix="0" xfId="0"/>
    <xf numFmtId="164" fontId="18" fillId="0" borderId="11" pivotButton="0" quotePrefix="0" xfId="0"/>
    <xf numFmtId="4" fontId="18" fillId="9" borderId="11" pivotButton="0" quotePrefix="0" xfId="0"/>
    <xf numFmtId="4" fontId="18" fillId="20" borderId="11" pivotButton="0" quotePrefix="0" xfId="0"/>
    <xf numFmtId="0" fontId="18" fillId="0" borderId="0" pivotButton="0" quotePrefix="0" xfId="0"/>
    <xf numFmtId="4" fontId="18" fillId="0" borderId="0" pivotButton="0" quotePrefix="0" xfId="0"/>
    <xf numFmtId="164" fontId="18" fillId="0" borderId="0" pivotButton="0" quotePrefix="0" xfId="0"/>
    <xf numFmtId="164" fontId="18" fillId="9" borderId="0" pivotButton="0" quotePrefix="0" xfId="0"/>
    <xf numFmtId="4" fontId="18" fillId="9" borderId="0" pivotButton="0" quotePrefix="0" xfId="0"/>
    <xf numFmtId="4" fontId="18" fillId="20" borderId="0" pivotButton="0" quotePrefix="0" xfId="0"/>
    <xf numFmtId="164" fontId="18" fillId="20" borderId="0" pivotButton="0" quotePrefix="0" xfId="0"/>
    <xf numFmtId="0" fontId="17" fillId="34" borderId="7" applyAlignment="1" pivotButton="0" quotePrefix="0" xfId="0">
      <alignment horizontal="center" vertical="center" wrapText="1"/>
    </xf>
    <xf numFmtId="0" fontId="17" fillId="35" borderId="7" applyAlignment="1" pivotButton="0" quotePrefix="0" xfId="0">
      <alignment horizontal="center" vertical="center" wrapText="1"/>
    </xf>
    <xf numFmtId="164" fontId="10" fillId="0" borderId="11" pivotButton="0" quotePrefix="0" xfId="0"/>
    <xf numFmtId="0" fontId="10" fillId="33" borderId="11" applyAlignment="1" pivotButton="0" quotePrefix="0" xfId="0">
      <alignment horizontal="center" vertical="center" wrapText="1"/>
    </xf>
    <xf numFmtId="164" fontId="9" fillId="10" borderId="11" applyAlignment="1" pivotButton="0" quotePrefix="0" xfId="0">
      <alignment horizontal="center" vertical="center" wrapText="1"/>
    </xf>
    <xf numFmtId="0" fontId="9" fillId="10" borderId="11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3" fontId="10" fillId="9" borderId="11" applyAlignment="1" pivotButton="0" quotePrefix="0" xfId="0">
      <alignment horizontal="center" vertical="center" wrapText="1"/>
    </xf>
    <xf numFmtId="164" fontId="10" fillId="9" borderId="11" applyAlignment="1" pivotButton="0" quotePrefix="0" xfId="0">
      <alignment horizontal="center" vertical="center" wrapText="1"/>
    </xf>
    <xf numFmtId="0" fontId="10" fillId="36" borderId="11" applyAlignment="1" pivotButton="0" quotePrefix="0" xfId="0">
      <alignment horizontal="center" vertical="center" wrapText="1"/>
    </xf>
    <xf numFmtId="0" fontId="10" fillId="36" borderId="7" applyAlignment="1" pivotButton="0" quotePrefix="0" xfId="0">
      <alignment horizontal="center" vertical="center" wrapText="1"/>
    </xf>
    <xf numFmtId="0" fontId="10" fillId="36" borderId="7" applyAlignment="1" pivotButton="0" quotePrefix="0" xfId="0">
      <alignment horizontal="left" vertical="center" wrapText="1"/>
    </xf>
    <xf numFmtId="0" fontId="14" fillId="30" borderId="11" applyAlignment="1" pivotButton="0" quotePrefix="0" xfId="0">
      <alignment horizontal="center" vertical="center" wrapText="1"/>
    </xf>
    <xf numFmtId="3" fontId="14" fillId="30" borderId="11" applyAlignment="1" pivotButton="0" quotePrefix="0" xfId="0">
      <alignment horizontal="center" vertical="center" wrapText="1"/>
    </xf>
    <xf numFmtId="164" fontId="14" fillId="30" borderId="11" applyAlignment="1" pivotButton="0" quotePrefix="0" xfId="0">
      <alignment horizontal="center" vertical="center" wrapText="1"/>
    </xf>
    <xf numFmtId="14" fontId="18" fillId="0" borderId="5" pivotButton="0" quotePrefix="0" xfId="0"/>
    <xf numFmtId="0" fontId="10" fillId="0" borderId="5" pivotButton="0" quotePrefix="0" xfId="0"/>
    <xf numFmtId="0" fontId="10" fillId="0" borderId="11" applyAlignment="1" pivotButton="0" quotePrefix="0" xfId="0">
      <alignment vertical="center"/>
    </xf>
    <xf numFmtId="14" fontId="10" fillId="9" borderId="11" applyAlignment="1" pivotButton="0" quotePrefix="0" xfId="0">
      <alignment vertical="center"/>
    </xf>
    <xf numFmtId="0" fontId="10" fillId="9" borderId="11" applyAlignment="1" pivotButton="0" quotePrefix="0" xfId="0">
      <alignment vertical="center"/>
    </xf>
    <xf numFmtId="4" fontId="10" fillId="9" borderId="11" applyAlignment="1" pivotButton="0" quotePrefix="0" xfId="0">
      <alignment vertical="center"/>
    </xf>
    <xf numFmtId="164" fontId="10" fillId="9" borderId="11" applyAlignment="1" pivotButton="0" quotePrefix="0" xfId="0">
      <alignment vertical="center"/>
    </xf>
    <xf numFmtId="164" fontId="10" fillId="10" borderId="11" applyAlignment="1" pivotButton="0" quotePrefix="0" xfId="0">
      <alignment vertical="center"/>
    </xf>
    <xf numFmtId="0" fontId="9" fillId="10" borderId="11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4" fontId="10" fillId="9" borderId="4" applyAlignment="1" pivotButton="0" quotePrefix="0" xfId="0">
      <alignment vertical="center"/>
    </xf>
    <xf numFmtId="0" fontId="9" fillId="10" borderId="7" applyAlignment="1" pivotButton="0" quotePrefix="0" xfId="0">
      <alignment horizontal="center"/>
    </xf>
    <xf numFmtId="0" fontId="10" fillId="9" borderId="4" applyAlignment="1" pivotButton="0" quotePrefix="0" xfId="0">
      <alignment vertical="center"/>
    </xf>
    <xf numFmtId="4" fontId="10" fillId="9" borderId="4" applyAlignment="1" pivotButton="0" quotePrefix="0" xfId="0">
      <alignment vertical="center"/>
    </xf>
    <xf numFmtId="164" fontId="10" fillId="9" borderId="4" applyAlignment="1" pivotButton="0" quotePrefix="0" xfId="0">
      <alignment vertical="center"/>
    </xf>
    <xf numFmtId="164" fontId="10" fillId="10" borderId="4" applyAlignment="1" pivotButton="0" quotePrefix="0" xfId="0">
      <alignment vertical="center"/>
    </xf>
    <xf numFmtId="0" fontId="9" fillId="10" borderId="7" applyAlignment="1" pivotButton="0" quotePrefix="0" xfId="0">
      <alignment vertical="center"/>
    </xf>
    <xf numFmtId="0" fontId="10" fillId="14" borderId="3" applyAlignment="1" pivotButton="0" quotePrefix="0" xfId="0">
      <alignment horizontal="centerContinuous" vertical="center"/>
    </xf>
    <xf numFmtId="0" fontId="5" fillId="8" borderId="11" applyAlignment="1" pivotButton="0" quotePrefix="0" xfId="0">
      <alignment horizontal="center" vertical="center"/>
    </xf>
    <xf numFmtId="0" fontId="10" fillId="0" borderId="11" pivotButton="0" quotePrefix="0" xfId="0"/>
    <xf numFmtId="0" fontId="6" fillId="0" borderId="11" applyAlignment="1" pivotButton="0" quotePrefix="0" xfId="0">
      <alignment horizontal="left" vertical="center"/>
    </xf>
    <xf numFmtId="164" fontId="6" fillId="0" borderId="11" applyAlignment="1" pivotButton="0" quotePrefix="0" xfId="0">
      <alignment horizontal="left" vertical="center"/>
    </xf>
    <xf numFmtId="0" fontId="7" fillId="15" borderId="11" applyAlignment="1" pivotButton="0" quotePrefix="0" xfId="0">
      <alignment horizontal="left" vertical="center"/>
    </xf>
    <xf numFmtId="164" fontId="7" fillId="15" borderId="11" applyAlignment="1" pivotButton="0" quotePrefix="0" xfId="0">
      <alignment horizontal="left" vertical="center"/>
    </xf>
    <xf numFmtId="0" fontId="5" fillId="14" borderId="11" applyAlignment="1" pivotButton="0" quotePrefix="0" xfId="0">
      <alignment horizontal="centerContinuous" vertical="center"/>
    </xf>
    <xf numFmtId="0" fontId="10" fillId="14" borderId="11" applyAlignment="1" pivotButton="0" quotePrefix="0" xfId="0">
      <alignment horizontal="centerContinuous" vertical="center"/>
    </xf>
    <xf numFmtId="0" fontId="7" fillId="0" borderId="11" applyAlignment="1" pivotButton="0" quotePrefix="0" xfId="0">
      <alignment horizontal="center" vertical="center"/>
    </xf>
    <xf numFmtId="0" fontId="7" fillId="16" borderId="11" applyAlignment="1" pivotButton="0" quotePrefix="0" xfId="0">
      <alignment horizontal="centerContinuous" vertical="center"/>
    </xf>
    <xf numFmtId="0" fontId="10" fillId="16" borderId="11" applyAlignment="1" pivotButton="0" quotePrefix="0" xfId="0">
      <alignment horizontal="centerContinuous" vertical="center"/>
    </xf>
    <xf numFmtId="0" fontId="23" fillId="0" borderId="11" applyAlignment="1" pivotButton="0" quotePrefix="0" xfId="0">
      <alignment horizontal="left" vertical="center"/>
    </xf>
    <xf numFmtId="0" fontId="7" fillId="16" borderId="11" applyAlignment="1" pivotButton="0" quotePrefix="0" xfId="0">
      <alignment horizontal="center" vertical="center"/>
    </xf>
    <xf numFmtId="0" fontId="7" fillId="17" borderId="11" applyAlignment="1" pivotButton="0" quotePrefix="0" xfId="0">
      <alignment horizontal="center" vertical="center"/>
    </xf>
    <xf numFmtId="164" fontId="10" fillId="17" borderId="11" pivotButton="0" quotePrefix="0" xfId="0"/>
    <xf numFmtId="0" fontId="10" fillId="17" borderId="11" applyAlignment="1" pivotButton="0" quotePrefix="0" xfId="0">
      <alignment horizontal="center" vertical="center"/>
    </xf>
    <xf numFmtId="0" fontId="7" fillId="16" borderId="11" applyAlignment="1" pivotButton="0" quotePrefix="0" xfId="0">
      <alignment horizontal="left" vertical="center"/>
    </xf>
    <xf numFmtId="0" fontId="7" fillId="16" borderId="11" pivotButton="0" quotePrefix="0" xfId="0"/>
    <xf numFmtId="164" fontId="7" fillId="16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/>
    </xf>
    <xf numFmtId="0" fontId="7" fillId="15" borderId="11" applyAlignment="1" pivotButton="0" quotePrefix="0" xfId="0">
      <alignment horizontal="center" vertical="center"/>
    </xf>
    <xf numFmtId="164" fontId="7" fillId="15" borderId="11" pivotButton="0" quotePrefix="0" xfId="0"/>
    <xf numFmtId="0" fontId="18" fillId="14" borderId="11" applyAlignment="1" pivotButton="0" quotePrefix="0" xfId="0">
      <alignment horizontal="centerContinuous" vertical="center"/>
    </xf>
    <xf numFmtId="0" fontId="6" fillId="0" borderId="11" pivotButton="0" quotePrefix="0" xfId="0"/>
    <xf numFmtId="164" fontId="6" fillId="0" borderId="11" pivotButton="0" quotePrefix="0" xfId="0"/>
    <xf numFmtId="10" fontId="6" fillId="0" borderId="11" pivotButton="0" quotePrefix="0" xfId="0"/>
    <xf numFmtId="0" fontId="13" fillId="11" borderId="11" applyAlignment="1" pivotButton="0" quotePrefix="0" xfId="0">
      <alignment horizontal="center" vertical="center" wrapText="1"/>
    </xf>
    <xf numFmtId="0" fontId="13" fillId="12" borderId="11" applyAlignment="1" pivotButton="0" quotePrefix="0" xfId="0">
      <alignment horizontal="center" vertical="center" wrapText="1"/>
    </xf>
    <xf numFmtId="0" fontId="19" fillId="3" borderId="11" pivotButton="0" quotePrefix="0" xfId="0"/>
    <xf numFmtId="164" fontId="19" fillId="4" borderId="11" pivotButton="0" quotePrefix="0" xfId="0"/>
    <xf numFmtId="4" fontId="19" fillId="4" borderId="11" pivotButton="0" quotePrefix="0" xfId="0"/>
    <xf numFmtId="164" fontId="19" fillId="6" borderId="11" pivotButton="0" quotePrefix="0" xfId="0"/>
    <xf numFmtId="4" fontId="19" fillId="6" borderId="11" pivotButton="0" quotePrefix="0" xfId="0"/>
    <xf numFmtId="0" fontId="18" fillId="4" borderId="11" pivotButton="0" quotePrefix="0" xfId="0"/>
    <xf numFmtId="0" fontId="19" fillId="3" borderId="1" pivotButton="0" quotePrefix="0" xfId="0"/>
    <xf numFmtId="164" fontId="19" fillId="4" borderId="1" pivotButton="0" quotePrefix="0" xfId="0"/>
    <xf numFmtId="4" fontId="19" fillId="4" borderId="1" pivotButton="0" quotePrefix="0" xfId="0"/>
    <xf numFmtId="164" fontId="19" fillId="6" borderId="1" pivotButton="0" quotePrefix="0" xfId="0"/>
    <xf numFmtId="4" fontId="19" fillId="6" borderId="1" pivotButton="0" quotePrefix="0" xfId="0"/>
    <xf numFmtId="0" fontId="18" fillId="4" borderId="0" pivotButton="0" quotePrefix="0" xfId="0"/>
    <xf numFmtId="0" fontId="20" fillId="7" borderId="0" pivotButton="0" quotePrefix="0" xfId="0"/>
    <xf numFmtId="0" fontId="20" fillId="4" borderId="0" pivotButton="0" quotePrefix="0" xfId="0"/>
    <xf numFmtId="164" fontId="20" fillId="4" borderId="0" pivotButton="0" quotePrefix="0" xfId="0"/>
    <xf numFmtId="0" fontId="20" fillId="6" borderId="0" pivotButton="0" quotePrefix="0" xfId="0"/>
    <xf numFmtId="164" fontId="20" fillId="6" borderId="0" pivotButton="0" quotePrefix="0" xfId="0"/>
    <xf numFmtId="164" fontId="13" fillId="26" borderId="7" applyAlignment="1" pivotButton="0" quotePrefix="0" xfId="0">
      <alignment horizontal="center" vertical="center" wrapText="1"/>
    </xf>
    <xf numFmtId="164" fontId="15" fillId="27" borderId="7" applyAlignment="1" pivotButton="0" quotePrefix="0" xfId="0">
      <alignment horizontal="center" vertical="center" wrapText="1"/>
    </xf>
    <xf numFmtId="0" fontId="9" fillId="0" borderId="11" pivotButton="0" quotePrefix="0" xfId="0"/>
    <xf numFmtId="4" fontId="9" fillId="0" borderId="11" pivotButton="0" quotePrefix="0" xfId="0"/>
    <xf numFmtId="164" fontId="9" fillId="0" borderId="11" pivotButton="0" quotePrefix="0" xfId="0"/>
    <xf numFmtId="4" fontId="18" fillId="0" borderId="5" pivotButton="0" quotePrefix="0" xfId="0"/>
    <xf numFmtId="164" fontId="18" fillId="0" borderId="5" pivotButton="0" quotePrefix="0" xfId="0"/>
    <xf numFmtId="0" fontId="10" fillId="9" borderId="11" pivotButton="0" quotePrefix="0" xfId="0"/>
    <xf numFmtId="4" fontId="10" fillId="9" borderId="11" pivotButton="0" quotePrefix="0" xfId="0"/>
    <xf numFmtId="164" fontId="10" fillId="9" borderId="11" pivotButton="0" quotePrefix="0" xfId="0"/>
    <xf numFmtId="0" fontId="10" fillId="23" borderId="11" pivotButton="0" quotePrefix="0" xfId="0"/>
    <xf numFmtId="0" fontId="10" fillId="21" borderId="11" pivotButton="0" quotePrefix="0" xfId="0"/>
    <xf numFmtId="4" fontId="9" fillId="19" borderId="7" pivotButton="0" quotePrefix="0" xfId="0"/>
    <xf numFmtId="164" fontId="9" fillId="19" borderId="7" pivotButton="0" quotePrefix="0" xfId="0"/>
    <xf numFmtId="0" fontId="24" fillId="5" borderId="14" applyAlignment="1" pivotButton="0" quotePrefix="0" xfId="0">
      <alignment horizontal="center" vertical="center"/>
    </xf>
    <xf numFmtId="14" fontId="24" fillId="5" borderId="14" applyAlignment="1" pivotButton="0" quotePrefix="0" xfId="0">
      <alignment horizontal="center" vertical="center"/>
    </xf>
    <xf numFmtId="0" fontId="25" fillId="10" borderId="14" applyAlignment="1" pivotButton="0" quotePrefix="0" xfId="0">
      <alignment horizontal="center" vertical="center"/>
    </xf>
    <xf numFmtId="10" fontId="25" fillId="10" borderId="14" applyAlignment="1" pivotButton="0" quotePrefix="0" xfId="0">
      <alignment horizontal="center" vertical="center"/>
    </xf>
    <xf numFmtId="166" fontId="25" fillId="10" borderId="14" applyAlignment="1" pivotButton="0" quotePrefix="0" xfId="0">
      <alignment horizontal="center" vertical="center"/>
    </xf>
    <xf numFmtId="0" fontId="25" fillId="21" borderId="14" applyAlignment="1" pivotButton="0" quotePrefix="0" xfId="0">
      <alignment horizontal="center" vertical="center"/>
    </xf>
    <xf numFmtId="10" fontId="25" fillId="21" borderId="14" applyAlignment="1" pivotButton="0" quotePrefix="0" xfId="0">
      <alignment horizontal="center" vertical="center"/>
    </xf>
    <xf numFmtId="166" fontId="25" fillId="21" borderId="14" applyAlignment="1" pivotButton="0" quotePrefix="0" xfId="0">
      <alignment horizontal="center" vertical="center"/>
    </xf>
    <xf numFmtId="0" fontId="26" fillId="39" borderId="14" applyAlignment="1" pivotButton="0" quotePrefix="0" xfId="0">
      <alignment horizontal="center" vertical="center"/>
    </xf>
    <xf numFmtId="14" fontId="26" fillId="39" borderId="14" applyAlignment="1" pivotButton="0" quotePrefix="0" xfId="0">
      <alignment horizontal="center" vertical="center"/>
    </xf>
    <xf numFmtId="166" fontId="26" fillId="39" borderId="14" applyAlignment="1" pivotButton="0" quotePrefix="0" xfId="0">
      <alignment horizontal="center" vertical="center"/>
    </xf>
    <xf numFmtId="10" fontId="26" fillId="39" borderId="14" applyAlignment="1" pivotButton="0" quotePrefix="0" xfId="0">
      <alignment horizontal="center" vertical="center"/>
    </xf>
    <xf numFmtId="0" fontId="27" fillId="4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168" fontId="28" fillId="0" borderId="0" pivotButton="0" quotePrefix="0" xfId="0"/>
    <xf numFmtId="164" fontId="29" fillId="10" borderId="11" pivotButton="0" quotePrefix="0" xfId="0"/>
    <xf numFmtId="169" fontId="10" fillId="38" borderId="11" pivotButton="0" quotePrefix="0" xfId="0"/>
    <xf numFmtId="4" fontId="9" fillId="41" borderId="11" pivotButton="0" quotePrefix="0" xfId="0"/>
    <xf numFmtId="164" fontId="9" fillId="41" borderId="11" pivotButton="0" quotePrefix="0" xfId="0"/>
    <xf numFmtId="164" fontId="30" fillId="42" borderId="11" pivotButton="0" quotePrefix="0" xfId="0"/>
    <xf numFmtId="4" fontId="12" fillId="42" borderId="11" pivotButton="0" quotePrefix="0" xfId="0"/>
    <xf numFmtId="0" fontId="13" fillId="5" borderId="10" applyAlignment="1" pivotButton="0" quotePrefix="0" xfId="0">
      <alignment horizontal="center" vertical="center" wrapText="1"/>
    </xf>
    <xf numFmtId="0" fontId="17" fillId="28" borderId="10" applyAlignment="1" pivotButton="0" quotePrefix="0" xfId="0">
      <alignment horizontal="center" vertical="center" wrapText="1"/>
    </xf>
    <xf numFmtId="0" fontId="18" fillId="0" borderId="15" pivotButton="0" quotePrefix="0" xfId="0"/>
    <xf numFmtId="14" fontId="10" fillId="0" borderId="15" pivotButton="0" quotePrefix="0" xfId="0"/>
    <xf numFmtId="0" fontId="9" fillId="10" borderId="15" applyAlignment="1" pivotButton="0" quotePrefix="0" xfId="0">
      <alignment horizontal="center"/>
    </xf>
    <xf numFmtId="164" fontId="10" fillId="0" borderId="15" pivotButton="0" quotePrefix="0" xfId="0"/>
    <xf numFmtId="165" fontId="9" fillId="10" borderId="15" pivotButton="0" quotePrefix="0" xfId="0"/>
    <xf numFmtId="164" fontId="9" fillId="10" borderId="15" pivotButton="0" quotePrefix="0" xfId="0"/>
    <xf numFmtId="0" fontId="10" fillId="33" borderId="15" applyAlignment="1" pivotButton="0" quotePrefix="0" xfId="0">
      <alignment horizontal="center" vertical="center" wrapText="1"/>
    </xf>
    <xf numFmtId="164" fontId="9" fillId="10" borderId="15" applyAlignment="1" pivotButton="0" quotePrefix="0" xfId="0">
      <alignment horizontal="center" vertical="center" wrapText="1"/>
    </xf>
    <xf numFmtId="0" fontId="9" fillId="10" borderId="15" applyAlignment="1" pivotButton="0" quotePrefix="0" xfId="0">
      <alignment horizontal="center" vertical="center" wrapText="1"/>
    </xf>
    <xf numFmtId="0" fontId="31" fillId="0" borderId="15" pivotButton="0" quotePrefix="0" xfId="0"/>
    <xf numFmtId="14" fontId="32" fillId="0" borderId="15" pivotButton="0" quotePrefix="0" xfId="0"/>
    <xf numFmtId="0" fontId="33" fillId="43" borderId="15" applyAlignment="1" pivotButton="0" quotePrefix="0" xfId="0">
      <alignment horizontal="center"/>
    </xf>
    <xf numFmtId="164" fontId="32" fillId="0" borderId="15" pivotButton="0" quotePrefix="0" xfId="0"/>
    <xf numFmtId="165" fontId="33" fillId="43" borderId="15" pivotButton="0" quotePrefix="0" xfId="0"/>
    <xf numFmtId="164" fontId="33" fillId="43" borderId="15" pivotButton="0" quotePrefix="0" xfId="0"/>
    <xf numFmtId="0" fontId="32" fillId="44" borderId="15" applyAlignment="1" pivotButton="0" quotePrefix="0" xfId="0">
      <alignment horizontal="center" vertical="center" wrapText="1"/>
    </xf>
    <xf numFmtId="0" fontId="33" fillId="43" borderId="15" applyAlignment="1" pivotButton="0" quotePrefix="0" xfId="0">
      <alignment horizontal="center" vertical="center" wrapText="1"/>
    </xf>
    <xf numFmtId="164" fontId="34" fillId="43" borderId="15" applyAlignment="1" pivotButton="0" quotePrefix="0" xfId="0">
      <alignment horizontal="center" vertical="center" wrapText="1"/>
    </xf>
    <xf numFmtId="164" fontId="19" fillId="42" borderId="11" pivotButton="0" quotePrefix="0" xfId="0"/>
    <xf numFmtId="164" fontId="19" fillId="45" borderId="11" pivotButton="0" quotePrefix="0" xfId="0"/>
    <xf numFmtId="0" fontId="13" fillId="5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7" fontId="3" fillId="2" borderId="1" pivotButton="0" quotePrefix="0" xfId="0"/>
    <xf numFmtId="167" fontId="10" fillId="23" borderId="7" applyAlignment="1" pivotButton="0" quotePrefix="0" xfId="0">
      <alignment horizontal="center" vertical="center"/>
    </xf>
    <xf numFmtId="165" fontId="10" fillId="23" borderId="7" applyAlignment="1" pivotButton="0" quotePrefix="0" xfId="0">
      <alignment horizontal="center" vertical="center"/>
    </xf>
    <xf numFmtId="0" fontId="17" fillId="8" borderId="22" applyAlignment="1" pivotButton="0" quotePrefix="0" xfId="0">
      <alignment horizontal="center" vertical="center" wrapText="1"/>
    </xf>
    <xf numFmtId="0" fontId="36" fillId="9" borderId="22" applyAlignment="1" pivotButton="0" quotePrefix="0" xfId="0">
      <alignment vertical="center"/>
    </xf>
    <xf numFmtId="0" fontId="36" fillId="0" borderId="22" applyAlignment="1" pivotButton="0" quotePrefix="0" xfId="0">
      <alignment vertical="center"/>
    </xf>
    <xf numFmtId="49" fontId="36" fillId="0" borderId="22" applyAlignment="1" pivotButton="0" quotePrefix="0" xfId="0">
      <alignment vertical="center"/>
    </xf>
    <xf numFmtId="167" fontId="36" fillId="0" borderId="22" applyAlignment="1" pivotButton="0" quotePrefix="0" xfId="0">
      <alignment vertical="center"/>
    </xf>
    <xf numFmtId="10" fontId="36" fillId="9" borderId="22" applyAlignment="1" pivotButton="0" quotePrefix="0" xfId="0">
      <alignment vertical="center"/>
    </xf>
    <xf numFmtId="165" fontId="36" fillId="10" borderId="22" applyAlignment="1" pivotButton="0" quotePrefix="0" xfId="0">
      <alignment vertical="center"/>
    </xf>
    <xf numFmtId="0" fontId="36" fillId="24" borderId="22" applyAlignment="1" pivotButton="0" quotePrefix="0" xfId="0">
      <alignment vertical="center"/>
    </xf>
    <xf numFmtId="0" fontId="36" fillId="25" borderId="22" applyAlignment="1" pivotButton="0" quotePrefix="0" xfId="0">
      <alignment vertical="center"/>
    </xf>
    <xf numFmtId="14" fontId="17" fillId="8" borderId="22" applyAlignment="1" pivotButton="0" quotePrefix="0" xfId="0">
      <alignment horizontal="center" vertical="center" wrapText="1"/>
    </xf>
    <xf numFmtId="0" fontId="36" fillId="10" borderId="22" applyAlignment="1" pivotButton="0" quotePrefix="0" xfId="0">
      <alignment horizontal="center" vertical="center"/>
    </xf>
    <xf numFmtId="10" fontId="36" fillId="10" borderId="22" applyAlignment="1" pivotButton="0" quotePrefix="0" xfId="0">
      <alignment horizontal="center" vertical="center"/>
    </xf>
    <xf numFmtId="165" fontId="36" fillId="10" borderId="22" applyAlignment="1" pivotButton="0" quotePrefix="0" xfId="0">
      <alignment horizontal="center" vertical="center"/>
    </xf>
    <xf numFmtId="0" fontId="36" fillId="21" borderId="22" applyAlignment="1" pivotButton="0" quotePrefix="0" xfId="0">
      <alignment horizontal="center" vertical="center"/>
    </xf>
    <xf numFmtId="10" fontId="36" fillId="21" borderId="22" applyAlignment="1" pivotButton="0" quotePrefix="0" xfId="0">
      <alignment horizontal="center" vertical="center"/>
    </xf>
    <xf numFmtId="165" fontId="36" fillId="21" borderId="22" applyAlignment="1" pivotButton="0" quotePrefix="0" xfId="0">
      <alignment horizontal="center" vertical="center"/>
    </xf>
    <xf numFmtId="0" fontId="39" fillId="39" borderId="22" applyAlignment="1" pivotButton="0" quotePrefix="0" xfId="0">
      <alignment horizontal="center" vertical="center"/>
    </xf>
    <xf numFmtId="0" fontId="38" fillId="39" borderId="22" applyAlignment="1" pivotButton="0" quotePrefix="0" xfId="0">
      <alignment horizontal="center" vertical="center"/>
    </xf>
    <xf numFmtId="14" fontId="38" fillId="39" borderId="22" applyAlignment="1" pivotButton="0" quotePrefix="0" xfId="0">
      <alignment horizontal="center" vertical="center"/>
    </xf>
    <xf numFmtId="165" fontId="39" fillId="39" borderId="22" applyAlignment="1" pivotButton="0" quotePrefix="0" xfId="0">
      <alignment horizontal="center" vertical="center"/>
    </xf>
    <xf numFmtId="10" fontId="39" fillId="39" borderId="22" applyAlignment="1" pivotButton="0" quotePrefix="0" xfId="0">
      <alignment horizontal="center" vertical="center"/>
    </xf>
    <xf numFmtId="166" fontId="18" fillId="0" borderId="11" pivotButton="0" quotePrefix="0" xfId="0"/>
    <xf numFmtId="0" fontId="17" fillId="5" borderId="7" applyAlignment="1" pivotButton="0" quotePrefix="0" xfId="0">
      <alignment horizontal="center" vertical="center" wrapText="1"/>
    </xf>
    <xf numFmtId="167" fontId="36" fillId="0" borderId="22" pivotButton="0" quotePrefix="0" xfId="0"/>
    <xf numFmtId="170" fontId="36" fillId="9" borderId="22" pivotButton="0" quotePrefix="0" xfId="0"/>
    <xf numFmtId="165" fontId="36" fillId="10" borderId="22" pivotButton="0" quotePrefix="0" xfId="0"/>
    <xf numFmtId="170" fontId="36" fillId="10" borderId="22" pivotButton="0" quotePrefix="0" xfId="0"/>
    <xf numFmtId="0" fontId="36" fillId="0" borderId="22" applyAlignment="1" pivotButton="0" quotePrefix="0" xfId="0">
      <alignment horizontal="center"/>
    </xf>
    <xf numFmtId="0" fontId="17" fillId="26" borderId="7" applyAlignment="1" pivotButton="0" quotePrefix="0" xfId="0">
      <alignment horizontal="center" vertical="center" wrapText="1"/>
    </xf>
    <xf numFmtId="0" fontId="17" fillId="28" borderId="7" applyAlignment="1" pivotButton="0" quotePrefix="0" xfId="0">
      <alignment horizontal="center" vertical="center" wrapText="1"/>
    </xf>
    <xf numFmtId="0" fontId="17" fillId="22" borderId="7" applyAlignment="1" pivotButton="0" quotePrefix="0" xfId="0">
      <alignment horizontal="center" vertical="center" wrapText="1"/>
    </xf>
    <xf numFmtId="0" fontId="19" fillId="9" borderId="22" pivotButton="0" quotePrefix="0" xfId="0"/>
    <xf numFmtId="4" fontId="19" fillId="9" borderId="22" pivotButton="0" quotePrefix="0" xfId="0"/>
    <xf numFmtId="170" fontId="19" fillId="9" borderId="22" pivotButton="0" quotePrefix="0" xfId="0"/>
    <xf numFmtId="4" fontId="12" fillId="9" borderId="22" pivotButton="0" quotePrefix="0" xfId="0"/>
    <xf numFmtId="4" fontId="36" fillId="10" borderId="22" pivotButton="0" quotePrefix="0" xfId="0"/>
    <xf numFmtId="170" fontId="19" fillId="0" borderId="11" pivotButton="0" quotePrefix="0" xfId="0"/>
    <xf numFmtId="0" fontId="36" fillId="10" borderId="22" pivotButton="0" quotePrefix="0" xfId="0"/>
    <xf numFmtId="0" fontId="14" fillId="10" borderId="22" applyAlignment="1" pivotButton="0" quotePrefix="0" xfId="0">
      <alignment horizontal="center"/>
    </xf>
    <xf numFmtId="0" fontId="9" fillId="10" borderId="22" applyAlignment="1" pivotButton="0" quotePrefix="0" xfId="0">
      <alignment horizontal="center"/>
    </xf>
    <xf numFmtId="10" fontId="9" fillId="10" borderId="22" pivotButton="0" quotePrefix="0" xfId="0"/>
    <xf numFmtId="165" fontId="9" fillId="10" borderId="22" pivotButton="0" quotePrefix="0" xfId="0"/>
    <xf numFmtId="0" fontId="14" fillId="9" borderId="22" applyAlignment="1" pivotButton="0" quotePrefix="0" xfId="0">
      <alignment horizontal="center" vertical="center" wrapText="1"/>
    </xf>
    <xf numFmtId="4" fontId="14" fillId="9" borderId="22" applyAlignment="1" pivotButton="0" quotePrefix="0" xfId="0">
      <alignment horizontal="center" vertical="center" wrapText="1"/>
    </xf>
    <xf numFmtId="170" fontId="14" fillId="9" borderId="22" applyAlignment="1" pivotButton="0" quotePrefix="0" xfId="0">
      <alignment horizontal="center" vertical="center" wrapText="1"/>
    </xf>
    <xf numFmtId="170" fontId="36" fillId="10" borderId="22" applyAlignment="1" pivotButton="0" quotePrefix="0" xfId="0">
      <alignment horizontal="center" vertical="center" wrapText="1"/>
    </xf>
    <xf numFmtId="4" fontId="36" fillId="10" borderId="22" applyAlignment="1" pivotButton="0" quotePrefix="0" xfId="0">
      <alignment horizontal="center" vertical="center" wrapText="1"/>
    </xf>
    <xf numFmtId="170" fontId="14" fillId="30" borderId="7" applyAlignment="1" pivotButton="0" quotePrefix="0" xfId="0">
      <alignment horizontal="center" vertical="center" wrapText="1"/>
    </xf>
    <xf numFmtId="0" fontId="36" fillId="10" borderId="22" applyAlignment="1" pivotButton="0" quotePrefix="0" xfId="0">
      <alignment horizontal="center" vertical="center" wrapText="1"/>
    </xf>
    <xf numFmtId="4" fontId="19" fillId="0" borderId="5" pivotButton="0" quotePrefix="0" xfId="0"/>
    <xf numFmtId="170" fontId="19" fillId="0" borderId="5" pivotButton="0" quotePrefix="0" xfId="0"/>
    <xf numFmtId="0" fontId="17" fillId="5" borderId="7" applyAlignment="1" pivotButton="0" quotePrefix="0" xfId="0">
      <alignment horizontal="center" vertical="center"/>
    </xf>
    <xf numFmtId="4" fontId="17" fillId="5" borderId="7" applyAlignment="1" pivotButton="0" quotePrefix="0" xfId="0">
      <alignment horizontal="center" vertical="center"/>
    </xf>
    <xf numFmtId="164" fontId="17" fillId="5" borderId="7" applyAlignment="1" pivotButton="0" quotePrefix="0" xfId="0">
      <alignment horizontal="center" vertical="center"/>
    </xf>
    <xf numFmtId="4" fontId="11" fillId="9" borderId="7" applyAlignment="1" pivotButton="0" quotePrefix="0" xfId="0">
      <alignment horizontal="center" vertical="center"/>
    </xf>
    <xf numFmtId="164" fontId="11" fillId="9" borderId="7" applyAlignment="1" pivotButton="0" quotePrefix="0" xfId="0">
      <alignment horizontal="center" vertical="center"/>
    </xf>
    <xf numFmtId="4" fontId="11" fillId="20" borderId="7" applyAlignment="1" pivotButton="0" quotePrefix="0" xfId="0">
      <alignment horizontal="center" vertical="center"/>
    </xf>
    <xf numFmtId="164" fontId="11" fillId="20" borderId="7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22" borderId="7" applyAlignment="1" pivotButton="0" quotePrefix="0" xfId="0">
      <alignment horizontal="center" vertical="center"/>
    </xf>
    <xf numFmtId="0" fontId="18" fillId="9" borderId="22" pivotButton="0" quotePrefix="0" xfId="0"/>
    <xf numFmtId="4" fontId="18" fillId="9" borderId="22" pivotButton="0" quotePrefix="0" xfId="0"/>
    <xf numFmtId="170" fontId="18" fillId="9" borderId="22" pivotButton="0" quotePrefix="0" xfId="0"/>
    <xf numFmtId="165" fontId="9" fillId="10" borderId="11" pivotButton="0" quotePrefix="0" xfId="0"/>
    <xf numFmtId="0" fontId="17" fillId="5" borderId="10" applyAlignment="1" pivotButton="0" quotePrefix="0" xfId="0">
      <alignment horizontal="center" vertical="center" wrapText="1"/>
    </xf>
    <xf numFmtId="171" fontId="10" fillId="9" borderId="22" pivotButton="0" quotePrefix="0" xfId="0"/>
    <xf numFmtId="0" fontId="36" fillId="10" borderId="22" applyAlignment="1" pivotButton="0" quotePrefix="0" xfId="0">
      <alignment horizontal="center"/>
    </xf>
    <xf numFmtId="170" fontId="10" fillId="9" borderId="22" pivotButton="0" quotePrefix="0" xfId="0"/>
    <xf numFmtId="0" fontId="10" fillId="9" borderId="22" applyAlignment="1" pivotButton="0" quotePrefix="0" xfId="0">
      <alignment horizontal="center" vertical="center" wrapText="1"/>
    </xf>
    <xf numFmtId="164" fontId="10" fillId="9" borderId="11" applyAlignment="1" pivotButton="0" quotePrefix="0" xfId="0">
      <alignment horizontal="center" vertical="center" wrapText="1"/>
    </xf>
    <xf numFmtId="164" fontId="14" fillId="30" borderId="11" applyAlignment="1" pivotButton="0" quotePrefix="0" xfId="0">
      <alignment horizontal="center" vertical="center" wrapText="1"/>
    </xf>
    <xf numFmtId="164" fontId="32" fillId="0" borderId="15" pivotButton="0" quotePrefix="0" xfId="0"/>
    <xf numFmtId="165" fontId="33" fillId="43" borderId="15" pivotButton="0" quotePrefix="0" xfId="0"/>
    <xf numFmtId="164" fontId="33" fillId="43" borderId="15" pivotButton="0" quotePrefix="0" xfId="0"/>
    <xf numFmtId="164" fontId="34" fillId="43" borderId="15" applyAlignment="1" pivotButton="0" quotePrefix="0" xfId="0">
      <alignment horizontal="center" vertical="center" wrapText="1"/>
    </xf>
    <xf numFmtId="4" fontId="17" fillId="5" borderId="7" applyAlignment="1" pivotButton="0" quotePrefix="0" xfId="0">
      <alignment horizontal="center" vertical="center" wrapText="1"/>
    </xf>
    <xf numFmtId="164" fontId="17" fillId="5" borderId="7" applyAlignment="1" pivotButton="0" quotePrefix="0" xfId="0">
      <alignment horizontal="center" vertical="center" wrapText="1"/>
    </xf>
    <xf numFmtId="0" fontId="10" fillId="9" borderId="22" applyAlignment="1" pivotButton="0" quotePrefix="0" xfId="0">
      <alignment vertical="center"/>
    </xf>
    <xf numFmtId="167" fontId="10" fillId="9" borderId="22" applyAlignment="1" pivotButton="0" quotePrefix="0" xfId="0">
      <alignment vertical="center"/>
    </xf>
    <xf numFmtId="4" fontId="10" fillId="9" borderId="22" applyAlignment="1" pivotButton="0" quotePrefix="0" xfId="0">
      <alignment vertical="center"/>
    </xf>
    <xf numFmtId="170" fontId="36" fillId="10" borderId="22" applyAlignment="1" pivotButton="0" quotePrefix="0" xfId="0">
      <alignment vertical="center"/>
    </xf>
    <xf numFmtId="0" fontId="17" fillId="11" borderId="11" applyAlignment="1" pivotButton="0" quotePrefix="0" xfId="0">
      <alignment horizontal="center" vertical="center" wrapText="1"/>
    </xf>
    <xf numFmtId="0" fontId="17" fillId="12" borderId="11" applyAlignment="1" pivotButton="0" quotePrefix="0" xfId="0">
      <alignment horizontal="center" vertical="center" wrapText="1"/>
    </xf>
    <xf numFmtId="0" fontId="18" fillId="3" borderId="22" pivotButton="0" quotePrefix="0" xfId="0"/>
    <xf numFmtId="170" fontId="18" fillId="4" borderId="22" pivotButton="0" quotePrefix="0" xfId="0"/>
    <xf numFmtId="4" fontId="18" fillId="4" borderId="22" pivotButton="0" quotePrefix="0" xfId="0"/>
    <xf numFmtId="170" fontId="18" fillId="6" borderId="22" pivotButton="0" quotePrefix="0" xfId="0"/>
    <xf numFmtId="4" fontId="18" fillId="6" borderId="22" pivotButton="0" quotePrefix="0" xfId="0"/>
    <xf numFmtId="170" fontId="18" fillId="45" borderId="22" pivotButton="0" quotePrefix="0" xfId="0"/>
    <xf numFmtId="170" fontId="18" fillId="42" borderId="22" pivotButton="0" quotePrefix="0" xfId="0"/>
    <xf numFmtId="0" fontId="18" fillId="0" borderId="22" pivotButton="0" quotePrefix="0" xfId="0"/>
    <xf numFmtId="0" fontId="14" fillId="7" borderId="22" pivotButton="0" quotePrefix="0" xfId="0"/>
    <xf numFmtId="170" fontId="14" fillId="7" borderId="22" pivotButton="0" quotePrefix="0" xfId="0"/>
    <xf numFmtId="164" fontId="17" fillId="26" borderId="7" applyAlignment="1" pivotButton="0" quotePrefix="0" xfId="0">
      <alignment horizontal="center" vertical="center" wrapText="1"/>
    </xf>
    <xf numFmtId="164" fontId="15" fillId="27" borderId="7" applyAlignment="1" pivotButton="0" quotePrefix="0" xfId="0">
      <alignment horizontal="center" vertical="center" wrapText="1"/>
    </xf>
    <xf numFmtId="10" fontId="36" fillId="10" borderId="22" pivotButton="0" quotePrefix="0" xfId="0"/>
    <xf numFmtId="164" fontId="18" fillId="0" borderId="5" pivotButton="0" quotePrefix="0" xfId="0"/>
  </cellXfs>
  <cellStyles count="1">
    <cellStyle name="Normal" xfId="0" builtinId="0"/>
  </cellStyles>
  <dxfs count="43"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name val="Calibri"/>
        <color rgb="FF9C0006"/>
        <sz val="11"/>
      </font>
      <fill>
        <patternFill>
          <bgColor rgb="FFFFC7CE"/>
        </patternFill>
      </fill>
    </dxf>
    <dxf>
      <font>
        <b val="1"/>
        <color indexed="9"/>
      </font>
      <fill>
        <patternFill>
          <bgColor indexed="10"/>
        </patternFill>
      </fill>
    </dxf>
    <dxf>
      <font>
        <b val="1"/>
        <color indexed="9"/>
      </font>
      <fill>
        <patternFill>
          <bgColor indexed="10"/>
        </patternFill>
      </fill>
    </dxf>
    <dxf>
      <font>
        <b val="1"/>
        <color indexed="9"/>
      </font>
      <fill>
        <patternFill>
          <bgColor indexed="10"/>
        </patternFill>
      </fill>
    </dxf>
    <dxf>
      <font>
        <b val="1"/>
        <color indexed="9"/>
      </font>
      <fill>
        <patternFill>
          <bgColor indexed="10"/>
        </patternFill>
      </fill>
    </dxf>
    <dxf>
      <font>
        <b val="1"/>
        <color indexed="9"/>
      </font>
      <fill>
        <patternFill>
          <bgColor indexed="1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name val="Calibri"/>
        <family val="2"/>
        <i val="1"/>
        <strike val="0"/>
        <outline val="0"/>
        <shadow val="0"/>
        <condense val="0"/>
        <color rgb="FF595959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b val="1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b val="1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b val="1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CE4D6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CE4D6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5" formatCode="\R\$\ #,##0.00"/>
      <fill>
        <patternFill patternType="solid">
          <fgColor indexed="64"/>
          <bgColor rgb="FFEDEDED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7" formatCode="#,##0.0000"/>
      <fill>
        <patternFill patternType="solid">
          <fgColor indexed="64"/>
          <bgColor rgb="FFEDEDED"/>
        </patternFill>
      </fill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numFmt numFmtId="167" formatCode="#,##0.0000"/>
      <fill>
        <patternFill patternType="solid">
          <fgColor indexed="64"/>
          <bgColor rgb="FFEDEDED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\R\$\ #,##0.0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numFmt numFmtId="165" formatCode="\R\$\ #,##0.00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i val="1"/>
        <strike val="0"/>
        <outline val="0"/>
        <shadow val="0"/>
        <condense val="0"/>
        <color rgb="FF595959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center" vertical="bottom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center" vertical="bottom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top style="thin">
          <color rgb="FFBFBFBF"/>
        </top>
        <bottom style="thin">
          <color rgb="FFD9D9D9"/>
        </bottom>
      </border>
    </dxf>
    <dxf>
      <font>
        <name val="Calibri"/>
        <i val="1"/>
        <strike val="0"/>
        <outline val="0"/>
        <shadow val="0"/>
        <condense val="0"/>
        <color rgb="FF595959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center" vertical="center" wrapText="1"/>
    </dxf>
    <dxf>
      <border outline="0">
        <bottom style="thin">
          <color rgb="FFBFBFBF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7F3F00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ColWidth="30" defaultRowHeight="15"/>
  <cols>
    <col width="36" customWidth="1" style="3" min="1" max="1"/>
    <col width="22" customWidth="1" style="3" min="2" max="2"/>
    <col width="48" customWidth="1" style="3" min="3" max="3"/>
    <col width="30" customWidth="1" style="3" min="4" max="4"/>
    <col width="28" customWidth="1" min="5" max="5"/>
    <col width="30" customWidth="1" style="3" min="6" max="16384"/>
  </cols>
  <sheetData>
    <row r="1" ht="15.75" customHeight="1">
      <c r="A1" s="1" t="inlineStr">
        <is>
          <t>MODO DE LEITURA</t>
        </is>
      </c>
      <c r="B1" s="6" t="inlineStr">
        <is>
          <t>Principal</t>
        </is>
      </c>
      <c r="C1" s="3" t="inlineStr">
        <is>
          <t>Principal = pago + remanescente | D = consumo por ciclo</t>
        </is>
      </c>
    </row>
    <row r="2">
      <c r="A2" s="1" t="inlineStr">
        <is>
          <t>Ciclo vigente (em execução)</t>
        </is>
      </c>
      <c r="B2" s="2" t="inlineStr">
        <is>
          <t>C0</t>
        </is>
      </c>
    </row>
    <row r="3">
      <c r="A3" s="1" t="inlineStr">
        <is>
          <t>Data de corte (única p/ contrato)</t>
        </is>
      </c>
      <c r="B3" s="244" t="n"/>
    </row>
    <row r="4" hidden="1">
      <c r="A4" s="3" t="inlineStr">
        <is>
          <t>C0 e ciclos fora da analise</t>
        </is>
      </c>
      <c r="B4" s="3" t="inlineStr">
        <is>
          <t>Preencher FINANCEIRO: coluna B com o nome do ciclo (ex: c0, c1), coluna C com o valor efetivamente pago. Se vazio, o sistema usa calculo por itens/estoque.</t>
        </is>
      </c>
    </row>
    <row r="5" ht="5.1" customHeight="1">
      <c r="A5" s="5" t="n"/>
    </row>
    <row r="6" ht="21.95" customHeight="1">
      <c r="A6" s="14" t="inlineStr">
        <is>
          <t>RESUMO DO REAJUSTE</t>
        </is>
      </c>
      <c r="B6" s="14" t="inlineStr">
        <is>
          <t>VALOR</t>
        </is>
      </c>
      <c r="C6" s="7" t="n"/>
      <c r="D6" s="7" t="n"/>
      <c r="E6" s="7" t="n"/>
      <c r="F6" s="7" t="n"/>
      <c r="G6" s="7" t="n"/>
    </row>
    <row r="7" ht="18" customHeight="1">
      <c r="A7" s="15" t="inlineStr">
        <is>
          <t>Índice utilizado</t>
        </is>
      </c>
      <c r="B7" s="16" t="n"/>
      <c r="C7" s="17" t="n"/>
      <c r="D7" s="17" t="n"/>
      <c r="E7" s="17" t="n"/>
      <c r="F7" s="7" t="n"/>
      <c r="G7" s="7" t="n"/>
    </row>
    <row r="8" ht="27.95" customHeight="1">
      <c r="A8" s="15" t="inlineStr">
        <is>
          <t>Data-base original</t>
        </is>
      </c>
      <c r="B8" s="245" t="n"/>
      <c r="C8" s="19" t="n"/>
      <c r="D8" s="19" t="n"/>
      <c r="E8" s="19" t="n"/>
      <c r="F8" s="7" t="n"/>
      <c r="G8" s="7" t="n"/>
    </row>
    <row r="9" ht="27.95" customHeight="1">
      <c r="A9" s="15" t="inlineStr">
        <is>
          <t>Quantidade de ciclos desta análise</t>
        </is>
      </c>
      <c r="B9" s="20">
        <f>COUNTIF(parametros!A2:A6,"Sim")</f>
        <v/>
      </c>
      <c r="C9" s="19" t="n"/>
      <c r="D9" s="19" t="n"/>
      <c r="E9" s="19" t="n"/>
      <c r="F9" s="7" t="n"/>
      <c r="G9" s="7" t="n"/>
    </row>
    <row r="10" ht="27.95" customHeight="1">
      <c r="A10" s="15" t="inlineStr">
        <is>
          <t>Variação acumulada final</t>
        </is>
      </c>
      <c r="B10" s="21">
        <f>IFERROR(IF(ISNUMBER(parametros!G6),parametros!G6-1,IF(ISNUMBER(parametros!G5),parametros!G5-1,IF(ISNUMBER(parametros!G4),parametros!G4-1,IF(ISNUMBER(parametros!G3),parametros!G3-1,IF(ISNUMBER(parametros!G2),parametros!G2-1,""))))),"")</f>
        <v/>
      </c>
      <c r="C10" s="19" t="n"/>
      <c r="D10" s="19" t="n"/>
      <c r="E10" s="19" t="n"/>
      <c r="F10" s="7" t="n"/>
      <c r="G10" s="7" t="n"/>
    </row>
    <row r="11" ht="27.95" customHeight="1">
      <c r="A11" s="15" t="inlineStr">
        <is>
          <t>Fator acumulado total</t>
        </is>
      </c>
      <c r="B11" s="246">
        <f>IFERROR(IF(ISNUMBER(parametros!G6),parametros!G6,IF(ISNUMBER(parametros!G5),parametros!G5,IF(ISNUMBER(parametros!G4),parametros!G4,IF(ISNUMBER(parametros!G3),parametros!G3,IF(ISNUMBER(parametros!G2),parametros!G2,""))))),"")</f>
        <v/>
      </c>
      <c r="C11" s="19" t="n"/>
      <c r="D11" s="19" t="n"/>
      <c r="E11" s="19" t="n"/>
      <c r="F11" s="7" t="n"/>
      <c r="G11" s="7" t="n"/>
    </row>
    <row r="12" ht="27.95" customHeight="1">
      <c r="A12" s="15" t="inlineStr">
        <is>
          <t>Último ciclo considerado nesta apuração</t>
        </is>
      </c>
      <c r="B12" s="16">
        <f>IFERROR(IF(parametros!A6="Sim",parametros!B6,IF(parametros!A5="Sim",parametros!B5,IF(parametros!A4="Sim",parametros!B4,IF(parametros!A3="Sim",parametros!B3,IF(parametros!A2="Sim",parametros!B2,"Nenhum"))))),"Nenhum")</f>
        <v/>
      </c>
      <c r="C12" s="19" t="n"/>
      <c r="D12" s="19" t="n"/>
      <c r="E12" s="19" t="n"/>
      <c r="F12" s="7" t="n"/>
      <c r="G12" s="7" t="n"/>
    </row>
    <row r="13" ht="20.1" customHeight="1">
      <c r="A13" s="15" t="inlineStr">
        <is>
          <t>Início do último ciclo considerado</t>
        </is>
      </c>
      <c r="B13" s="245">
        <f>IFERROR(IF(parametros!A6="Sim",parametros!D6,IF(parametros!A5="Sim",parametros!D5,IF(parametros!A4="Sim",parametros!D4,IF(parametros!A3="Sim",parametros!D3,IF(parametros!A2="Sim",parametros!D2,""))))),"")</f>
        <v/>
      </c>
      <c r="C13" s="7" t="n"/>
      <c r="D13" s="7" t="n"/>
      <c r="E13" s="7" t="n"/>
      <c r="F13" s="7" t="n"/>
      <c r="G13" s="7" t="n"/>
    </row>
    <row r="14" hidden="1" ht="5.1" customHeight="1">
      <c r="A14" s="15" t="inlineStr">
        <is>
          <t>Data de geracao do arquivo</t>
        </is>
      </c>
      <c r="B14" s="245">
        <f>NOW()</f>
        <v/>
      </c>
      <c r="C14" s="7" t="n"/>
      <c r="D14" s="7" t="n"/>
      <c r="E14" s="7" t="n"/>
      <c r="F14" s="7" t="n"/>
      <c r="G14" s="7" t="n"/>
    </row>
    <row r="15" hidden="1" ht="21.95" customHeight="1">
      <c r="A15" s="17" t="n"/>
      <c r="B15" s="7" t="n"/>
      <c r="C15" s="7" t="n"/>
      <c r="D15" s="7" t="n"/>
      <c r="E15" s="7" t="n"/>
      <c r="F15" s="7" t="n"/>
      <c r="G15" s="7" t="n"/>
    </row>
    <row r="16" hidden="1" ht="39.95" customHeight="1">
      <c r="A16" s="19" t="n"/>
      <c r="B16" s="7" t="n"/>
      <c r="C16" s="7" t="n"/>
      <c r="D16" s="7" t="n"/>
      <c r="E16" s="7" t="n"/>
      <c r="F16" s="7" t="n"/>
      <c r="G16" s="7" t="n"/>
    </row>
    <row r="17" hidden="1">
      <c r="A17" s="7" t="n"/>
      <c r="B17" s="7" t="n"/>
      <c r="C17" s="7" t="n"/>
      <c r="D17" s="7" t="n"/>
      <c r="E17" s="7" t="n"/>
      <c r="F17" s="7" t="n"/>
      <c r="G17" s="7" t="n"/>
    </row>
    <row r="18" hidden="1" ht="39.95" customHeight="1">
      <c r="A18" s="24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</sheetData>
  <dataValidations count="2">
    <dataValidation sqref="B2" showDropDown="0" showInputMessage="0" showErrorMessage="0" allowBlank="0" type="list">
      <formula1>"C0,C1,C2,C3,C4"</formula1>
      <formula2>0</formula2>
    </dataValidation>
    <dataValidation sqref="B1" showDropDown="0" showInputMessage="1" showErrorMessage="1" allowBlank="0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type="list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H19" sqref="H19"/>
    </sheetView>
  </sheetViews>
  <sheetFormatPr baseColWidth="8" defaultColWidth="8.5703125" defaultRowHeight="15"/>
  <cols>
    <col width="30" customWidth="1" style="3" min="1" max="1"/>
    <col width="10" customWidth="1" style="3" min="2" max="2"/>
    <col width="24" customWidth="1" style="3" min="3" max="3"/>
    <col width="16" customWidth="1" min="4" max="4"/>
    <col width="16" customWidth="1" style="3" min="5" max="6"/>
    <col width="23" customWidth="1" min="6" max="6"/>
    <col width="20" customWidth="1" style="3" min="7" max="7"/>
    <col width="28" customWidth="1" min="8" max="8"/>
    <col width="14" customWidth="1" style="3" min="9" max="9"/>
    <col width="8.5703125" customWidth="1" style="3" min="10" max="10"/>
    <col width="8.5703125" customWidth="1" style="3" min="11" max="16384"/>
  </cols>
  <sheetData>
    <row r="1" ht="32.1" customHeight="1">
      <c r="A1" s="247" t="inlineStr">
        <is>
          <t>COMPUTAR_NESTA_APURACAO</t>
        </is>
      </c>
      <c r="B1" s="247" t="inlineStr">
        <is>
          <t>CICLO</t>
        </is>
      </c>
      <c r="C1" s="247" t="inlineStr">
        <is>
          <t>PERIODO_DO_CICLO</t>
        </is>
      </c>
      <c r="D1" s="247" t="inlineStr">
        <is>
          <t>DATA_INICIO</t>
        </is>
      </c>
      <c r="E1" s="247" t="inlineStr">
        <is>
          <t>DATA_FIM</t>
        </is>
      </c>
      <c r="F1" s="247" t="inlineStr">
        <is>
          <t>PERCENTUAL_DO_CICLO</t>
        </is>
      </c>
      <c r="G1" s="247" t="inlineStr">
        <is>
          <t>FATOR_ACUMULADO</t>
        </is>
      </c>
      <c r="H1" s="247" t="inlineStr">
        <is>
          <t>SITUACAO</t>
        </is>
      </c>
    </row>
    <row r="2">
      <c r="A2" s="248" t="inlineStr">
        <is>
          <t>Nao</t>
        </is>
      </c>
      <c r="B2" s="249" t="inlineStr">
        <is>
          <t>C0</t>
        </is>
      </c>
      <c r="C2" s="250" t="n"/>
      <c r="D2" s="251" t="n"/>
      <c r="E2" s="251" t="n"/>
      <c r="F2" s="252" t="n">
        <v>0</v>
      </c>
      <c r="G2" s="253">
        <f>1</f>
        <v/>
      </c>
      <c r="H2" s="254" t="inlineStr">
        <is>
          <t>Base</t>
        </is>
      </c>
    </row>
    <row r="3">
      <c r="A3" s="248" t="inlineStr">
        <is>
          <t>Nao</t>
        </is>
      </c>
      <c r="B3" s="249" t="inlineStr">
        <is>
          <t>C1</t>
        </is>
      </c>
      <c r="C3" s="250" t="n"/>
      <c r="D3" s="251" t="n"/>
      <c r="E3" s="251" t="n"/>
      <c r="F3" s="252" t="n"/>
      <c r="G3" s="253">
        <f>IF(F3="","",IF(NOT(ISNUMBER(F3)),"",IF(NOT(ISNUMBER(G2)),"",G2*(1+F3))))</f>
        <v/>
      </c>
      <c r="H3" s="255" t="inlineStr">
        <is>
          <t>Fora desta apuracao</t>
        </is>
      </c>
    </row>
    <row r="4">
      <c r="A4" s="248" t="inlineStr">
        <is>
          <t>Nao</t>
        </is>
      </c>
      <c r="B4" s="249" t="inlineStr">
        <is>
          <t>C2</t>
        </is>
      </c>
      <c r="C4" s="250" t="n"/>
      <c r="D4" s="251" t="n"/>
      <c r="E4" s="251" t="n"/>
      <c r="F4" s="252" t="n"/>
      <c r="G4" s="253">
        <f>IF(F4="","",IF(NOT(ISNUMBER(F4)),"",IF(NOT(ISNUMBER(G3)),"",G3*(1+F4))))</f>
        <v/>
      </c>
      <c r="H4" s="255" t="inlineStr">
        <is>
          <t>Fora desta apuracao</t>
        </is>
      </c>
    </row>
    <row r="5">
      <c r="A5" s="248" t="inlineStr">
        <is>
          <t>Nao</t>
        </is>
      </c>
      <c r="B5" s="249" t="inlineStr">
        <is>
          <t>C3</t>
        </is>
      </c>
      <c r="C5" s="250" t="n"/>
      <c r="D5" s="251" t="n"/>
      <c r="E5" s="251" t="n"/>
      <c r="F5" s="252" t="n"/>
      <c r="G5" s="253">
        <f>IF(F5="","",IF(NOT(ISNUMBER(F5)),"",IF(NOT(ISNUMBER(G4)),"",G4*(1+F5))))</f>
        <v/>
      </c>
      <c r="H5" s="255" t="inlineStr">
        <is>
          <t>Fora desta apuracao</t>
        </is>
      </c>
    </row>
    <row r="6">
      <c r="A6" s="248" t="inlineStr">
        <is>
          <t>Nao</t>
        </is>
      </c>
      <c r="B6" s="249" t="inlineStr">
        <is>
          <t>C4</t>
        </is>
      </c>
      <c r="C6" s="250" t="n"/>
      <c r="D6" s="251" t="n"/>
      <c r="E6" s="251" t="n"/>
      <c r="F6" s="252" t="n"/>
      <c r="G6" s="253">
        <f>IF(F6="","",IF(NOT(ISNUMBER(F6)),"",IF(NOT(ISNUMBER(G5)),"",G5*(1+F6))))</f>
        <v/>
      </c>
      <c r="H6" s="255" t="inlineStr">
        <is>
          <t>Fora desta apuracao</t>
        </is>
      </c>
    </row>
    <row r="7">
      <c r="A7" s="34" t="n"/>
      <c r="B7" s="34" t="n"/>
      <c r="C7" s="34" t="n"/>
      <c r="D7" s="36" t="n"/>
      <c r="E7" s="36" t="n"/>
      <c r="F7" s="34" t="n"/>
      <c r="G7" s="34" t="n"/>
      <c r="H7" s="34" t="n"/>
    </row>
    <row r="8">
      <c r="A8" s="34" t="n"/>
      <c r="B8" s="34" t="n"/>
      <c r="C8" s="34" t="n"/>
      <c r="D8" s="36" t="n"/>
      <c r="E8" s="36" t="n"/>
      <c r="F8" s="34" t="n"/>
      <c r="G8" s="34" t="n"/>
      <c r="H8" s="34" t="n"/>
    </row>
    <row r="9">
      <c r="A9" s="241" t="inlineStr">
        <is>
          <t>MEMORIA DO FATOR APLICAVEL A APURACAO</t>
        </is>
      </c>
      <c r="B9" s="242" t="n"/>
      <c r="C9" s="242" t="n"/>
      <c r="D9" s="242" t="n"/>
      <c r="E9" s="242" t="n"/>
      <c r="F9" s="243" t="n"/>
      <c r="G9" s="34" t="n"/>
      <c r="H9" s="34" t="n"/>
    </row>
    <row r="10">
      <c r="A10" s="247" t="inlineStr">
        <is>
          <t>CICLO</t>
        </is>
      </c>
      <c r="B10" s="247" t="inlineStr">
        <is>
          <t>COMPUTA?</t>
        </is>
      </c>
      <c r="C10" s="247" t="inlineStr">
        <is>
          <t>PERCENTUAL</t>
        </is>
      </c>
      <c r="D10" s="256" t="inlineStr">
        <is>
          <t>FATOR</t>
        </is>
      </c>
      <c r="E10" s="256" t="inlineStr">
        <is>
          <t>FATOR_ACUMULADO_APURACAO</t>
        </is>
      </c>
      <c r="F10" s="247" t="inlineStr">
        <is>
          <t>STATUS</t>
        </is>
      </c>
      <c r="G10" s="34" t="n"/>
      <c r="H10" s="34" t="n"/>
    </row>
    <row r="11">
      <c r="A11" s="257" t="inlineStr">
        <is>
          <t>C0</t>
        </is>
      </c>
      <c r="B11" s="257">
        <f>A2</f>
        <v/>
      </c>
      <c r="C11" s="258">
        <f>IF(B11="Sim",F2,"")</f>
        <v/>
      </c>
      <c r="D11" s="259">
        <f>1</f>
        <v/>
      </c>
      <c r="E11" s="259">
        <f>1</f>
        <v/>
      </c>
      <c r="F11" s="257" t="inlineStr">
        <is>
          <t>Base</t>
        </is>
      </c>
      <c r="G11" s="34" t="n"/>
      <c r="H11" s="34" t="n"/>
    </row>
    <row r="12">
      <c r="A12" s="260" t="inlineStr">
        <is>
          <t>C1</t>
        </is>
      </c>
      <c r="B12" s="260">
        <f>A3</f>
        <v/>
      </c>
      <c r="C12" s="261">
        <f>IF(B12="Sim",F3,"")</f>
        <v/>
      </c>
      <c r="D12" s="262">
        <f>IF(C12="","",1+C12)</f>
        <v/>
      </c>
      <c r="E12" s="262">
        <f>IF(B12="Sim",E11*D12,E11)</f>
        <v/>
      </c>
      <c r="F12" s="260">
        <f>IF(B12="Sim","Aplicado","Fora da apuracao")</f>
        <v/>
      </c>
      <c r="G12" s="34" t="n"/>
      <c r="H12" s="34" t="n"/>
    </row>
    <row r="13">
      <c r="A13" s="260" t="inlineStr">
        <is>
          <t>C2</t>
        </is>
      </c>
      <c r="B13" s="260">
        <f>A4</f>
        <v/>
      </c>
      <c r="C13" s="261">
        <f>IF(B13="Sim",F4,"")</f>
        <v/>
      </c>
      <c r="D13" s="262">
        <f>IF(C13="","",1+C13)</f>
        <v/>
      </c>
      <c r="E13" s="262">
        <f>IF(B13="Sim",E12*D13,E12)</f>
        <v/>
      </c>
      <c r="F13" s="260">
        <f>IF(B13="Sim","Aplicado","Fora da apuracao")</f>
        <v/>
      </c>
      <c r="G13" s="34" t="n"/>
      <c r="H13" s="34" t="n"/>
    </row>
    <row r="14">
      <c r="A14" s="260" t="inlineStr">
        <is>
          <t>C3</t>
        </is>
      </c>
      <c r="B14" s="260">
        <f>A5</f>
        <v/>
      </c>
      <c r="C14" s="261">
        <f>IF(B14="Sim",F5,"")</f>
        <v/>
      </c>
      <c r="D14" s="262">
        <f>IF(C14="","",1+C14)</f>
        <v/>
      </c>
      <c r="E14" s="262">
        <f>IF(B14="Sim",E13*D14,E13)</f>
        <v/>
      </c>
      <c r="F14" s="260">
        <f>IF(B14="Sim","Aplicado","Fora da apuracao")</f>
        <v/>
      </c>
      <c r="G14" s="34" t="n"/>
      <c r="H14" s="34" t="n"/>
    </row>
    <row r="15">
      <c r="A15" s="260" t="inlineStr">
        <is>
          <t>C4</t>
        </is>
      </c>
      <c r="B15" s="260">
        <f>A6</f>
        <v/>
      </c>
      <c r="C15" s="261">
        <f>IF(B15="Sim",F6,"")</f>
        <v/>
      </c>
      <c r="D15" s="262">
        <f>IF(C15="","",1+C15)</f>
        <v/>
      </c>
      <c r="E15" s="262">
        <f>IF(B15="Sim",E14*D15,E14)</f>
        <v/>
      </c>
      <c r="F15" s="260">
        <f>IF(B15="Sim","Aplicado","Fora da apuracao")</f>
        <v/>
      </c>
      <c r="G15" s="34" t="n"/>
      <c r="H15" s="34" t="n"/>
    </row>
    <row r="16">
      <c r="A16" s="263" t="inlineStr">
        <is>
          <t>TOTAL APURACAO</t>
        </is>
      </c>
      <c r="B16" s="264" t="n"/>
      <c r="C16" s="264" t="n"/>
      <c r="D16" s="265" t="n"/>
      <c r="E16" s="266">
        <f>E15</f>
        <v/>
      </c>
      <c r="F16" s="267">
        <f>E16-1</f>
        <v/>
      </c>
      <c r="G16" s="268" t="n"/>
      <c r="H16" s="34" t="n"/>
    </row>
    <row r="17">
      <c r="A17" s="34" t="n"/>
      <c r="B17" s="34" t="n"/>
      <c r="C17" s="34" t="n"/>
      <c r="D17" s="36" t="n"/>
      <c r="E17" s="36" t="n"/>
      <c r="F17" s="268" t="n"/>
      <c r="G17" s="268" t="n"/>
      <c r="H17" s="34" t="n"/>
    </row>
    <row r="18">
      <c r="A18" s="34" t="n"/>
      <c r="B18" s="34" t="n"/>
      <c r="C18" s="34" t="n"/>
      <c r="D18" s="36" t="n"/>
      <c r="E18" s="36" t="n"/>
      <c r="F18" s="268" t="n"/>
      <c r="G18" s="268" t="n"/>
      <c r="H18" s="34" t="n"/>
    </row>
    <row r="19">
      <c r="A19" s="34" t="n"/>
      <c r="B19" s="34" t="n"/>
      <c r="C19" s="34" t="n"/>
      <c r="D19" s="36" t="n"/>
      <c r="E19" s="36" t="n"/>
      <c r="F19" s="268" t="n"/>
      <c r="G19" s="268" t="n"/>
      <c r="H19" s="34" t="n"/>
    </row>
    <row r="20">
      <c r="A20" s="34" t="n"/>
      <c r="B20" s="34" t="n"/>
      <c r="C20" s="34" t="n"/>
      <c r="D20" s="36" t="n"/>
      <c r="E20" s="36" t="n"/>
      <c r="F20" s="268" t="n"/>
      <c r="G20" s="268" t="n"/>
      <c r="H20" s="34" t="n"/>
    </row>
  </sheetData>
  <mergeCells count="1">
    <mergeCell ref="A9:F9"/>
  </mergeCells>
  <conditionalFormatting sqref="H2:H200">
    <cfRule type="expression" priority="2" dxfId="12">
      <formula>H2="Precluso"</formula>
    </cfRule>
  </conditionalFormatting>
  <conditionalFormatting sqref="I2:I6">
    <cfRule type="expression" priority="1" dxfId="11">
      <formula>OR(ISNUMBER(SEARCH("precluso",$I2)),ISNUMBER(SEARCH("fora",$I2)),ISNUMBER(SEARCH("nao tempestivo",$I2)),ISNUMBER(SEARCH("não tempestivo",$I2)),ISNUMBER(SEARCH("fora desta",$I2)))</formula>
    </cfRule>
  </conditionalFormatting>
  <dataValidations count="1">
    <dataValidation sqref="A2:A6" showDropDown="0" showInputMessage="0" showErrorMessage="0" allowBlank="0" type="list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tabSelected="1" workbookViewId="0">
      <selection activeCell="B60" sqref="B60"/>
    </sheetView>
  </sheetViews>
  <sheetFormatPr baseColWidth="8" defaultColWidth="8.5703125" defaultRowHeight="15"/>
  <cols>
    <col width="16" customWidth="1" min="1" max="1"/>
    <col width="14" customWidth="1" min="2" max="2"/>
    <col width="18" customWidth="1" min="3" max="3"/>
    <col width="17" customWidth="1" min="4" max="4"/>
    <col width="19" customWidth="1" min="5" max="6"/>
    <col width="18" customWidth="1" min="6" max="6"/>
    <col width="19" customWidth="1" min="7" max="7"/>
    <col width="12.7109375" customWidth="1" min="13" max="13"/>
  </cols>
  <sheetData>
    <row r="1" ht="32.1" customHeight="1">
      <c r="A1" s="269" t="inlineStr">
        <is>
          <t>COMPETENCIA</t>
        </is>
      </c>
      <c r="B1" s="269" t="inlineStr">
        <is>
          <t>CICLO</t>
        </is>
      </c>
      <c r="C1" s="269" t="inlineStr">
        <is>
          <t>VALOR_PAGO</t>
        </is>
      </c>
      <c r="D1" s="269" t="inlineStr">
        <is>
          <t>FATOR_APLICAVEL</t>
        </is>
      </c>
      <c r="E1" s="269" t="inlineStr">
        <is>
          <t>VALOR_ATUALIZADO</t>
        </is>
      </c>
      <c r="F1" s="269" t="inlineStr">
        <is>
          <t>DELTA</t>
        </is>
      </c>
      <c r="G1" s="269" t="inlineStr">
        <is>
          <t>EFEITO_FINANCEIRO</t>
        </is>
      </c>
    </row>
    <row r="2">
      <c r="A2" s="270" t="n"/>
      <c r="B2" s="270" t="n"/>
      <c r="C2" s="271" t="n"/>
      <c r="D2" s="272">
        <f>IF(B2="","",IF(B2="c0",1,IF(B2="c1",IF(parametros!$A$3&lt;&gt;"Sim","",IF(NOT(ISNUMBER(parametros!$F$3)),"",1+parametros!$F$3)),IF(B2="c2",IF(parametros!$A$4&lt;&gt;"Sim","",IF(NOT(ISNUMBER(parametros!$F$4)),"",IF(parametros!$A$3="Sim",1+parametros!$F$3,1)*(1+parametros!$F$4))),IF(B2="c3",IF(parametros!$A$5&lt;&gt;"Sim","",IF(NOT(ISNUMBER(parametros!$F$5)),"",IF(parametros!$A$3="Sim",1+parametros!$F$3,1)*IF(parametros!$A$4="Sim",1+parametros!$F$4,1)*(1+parametros!$F$5))),IF(B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" s="273">
        <f>IF(OR(C2="",NOT(ISNUMBER(D2))),"",ROUND(C2*D2,2))</f>
        <v/>
      </c>
      <c r="F2" s="273">
        <f>IF(OR(C2="",E2=""),"",IF(G2&lt;&gt;"Sim",0,ROUND(E2-C2,2)))</f>
        <v/>
      </c>
      <c r="G2" s="274" t="n"/>
    </row>
    <row r="3">
      <c r="A3" s="270" t="n"/>
      <c r="B3" s="270" t="n"/>
      <c r="C3" s="271" t="n"/>
      <c r="D3" s="272">
        <f>IF(B3="","",IF(B3="c0",1,IF(B3="c1",IF(parametros!$A$3&lt;&gt;"Sim","",IF(NOT(ISNUMBER(parametros!$F$3)),"",1+parametros!$F$3)),IF(B3="c2",IF(parametros!$A$4&lt;&gt;"Sim","",IF(NOT(ISNUMBER(parametros!$F$4)),"",IF(parametros!$A$3="Sim",1+parametros!$F$3,1)*(1+parametros!$F$4))),IF(B3="c3",IF(parametros!$A$5&lt;&gt;"Sim","",IF(NOT(ISNUMBER(parametros!$F$5)),"",IF(parametros!$A$3="Sim",1+parametros!$F$3,1)*IF(parametros!$A$4="Sim",1+parametros!$F$4,1)*(1+parametros!$F$5))),IF(B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" s="273">
        <f>IF(OR(C3="",NOT(ISNUMBER(D3))),"",ROUND(C3*D3,2))</f>
        <v/>
      </c>
      <c r="F3" s="273">
        <f>IF(OR(C3="",E3=""),"",IF(G3&lt;&gt;"Sim",0,ROUND(E3-C3,2)))</f>
        <v/>
      </c>
      <c r="G3" s="274" t="n"/>
    </row>
    <row r="4">
      <c r="A4" s="270" t="n"/>
      <c r="B4" s="270" t="n"/>
      <c r="C4" s="271" t="n"/>
      <c r="D4" s="272">
        <f>IF(B4="","",IF(B4="c0",1,IF(B4="c1",IF(parametros!$A$3&lt;&gt;"Sim","",IF(NOT(ISNUMBER(parametros!$F$3)),"",1+parametros!$F$3)),IF(B4="c2",IF(parametros!$A$4&lt;&gt;"Sim","",IF(NOT(ISNUMBER(parametros!$F$4)),"",IF(parametros!$A$3="Sim",1+parametros!$F$3,1)*(1+parametros!$F$4))),IF(B4="c3",IF(parametros!$A$5&lt;&gt;"Sim","",IF(NOT(ISNUMBER(parametros!$F$5)),"",IF(parametros!$A$3="Sim",1+parametros!$F$3,1)*IF(parametros!$A$4="Sim",1+parametros!$F$4,1)*(1+parametros!$F$5))),IF(B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" s="273">
        <f>IF(OR(C4="",NOT(ISNUMBER(D4))),"",ROUND(C4*D4,2))</f>
        <v/>
      </c>
      <c r="F4" s="273">
        <f>IF(OR(C4="",E4=""),"",IF(G4&lt;&gt;"Sim",0,ROUND(E4-C4,2)))</f>
        <v/>
      </c>
      <c r="G4" s="274" t="n"/>
    </row>
    <row r="5">
      <c r="A5" s="270" t="n"/>
      <c r="B5" s="270" t="n"/>
      <c r="C5" s="271" t="n"/>
      <c r="D5" s="272">
        <f>IF(B5="","",IF(B5="c0",1,IF(B5="c1",IF(parametros!$A$3&lt;&gt;"Sim","",IF(NOT(ISNUMBER(parametros!$F$3)),"",1+parametros!$F$3)),IF(B5="c2",IF(parametros!$A$4&lt;&gt;"Sim","",IF(NOT(ISNUMBER(parametros!$F$4)),"",IF(parametros!$A$3="Sim",1+parametros!$F$3,1)*(1+parametros!$F$4))),IF(B5="c3",IF(parametros!$A$5&lt;&gt;"Sim","",IF(NOT(ISNUMBER(parametros!$F$5)),"",IF(parametros!$A$3="Sim",1+parametros!$F$3,1)*IF(parametros!$A$4="Sim",1+parametros!$F$4,1)*(1+parametros!$F$5))),IF(B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" s="273">
        <f>IF(OR(C5="",NOT(ISNUMBER(D5))),"",ROUND(C5*D5,2))</f>
        <v/>
      </c>
      <c r="F5" s="273">
        <f>IF(OR(C5="",E5=""),"",IF(G5&lt;&gt;"Sim",0,ROUND(E5-C5,2)))</f>
        <v/>
      </c>
      <c r="G5" s="274" t="n"/>
    </row>
    <row r="6">
      <c r="A6" s="270" t="n"/>
      <c r="B6" s="270" t="n"/>
      <c r="C6" s="271" t="n"/>
      <c r="D6" s="272">
        <f>IF(B6="","",IF(B6="c0",1,IF(B6="c1",IF(parametros!$A$3&lt;&gt;"Sim","",IF(NOT(ISNUMBER(parametros!$F$3)),"",1+parametros!$F$3)),IF(B6="c2",IF(parametros!$A$4&lt;&gt;"Sim","",IF(NOT(ISNUMBER(parametros!$F$4)),"",IF(parametros!$A$3="Sim",1+parametros!$F$3,1)*(1+parametros!$F$4))),IF(B6="c3",IF(parametros!$A$5&lt;&gt;"Sim","",IF(NOT(ISNUMBER(parametros!$F$5)),"",IF(parametros!$A$3="Sim",1+parametros!$F$3,1)*IF(parametros!$A$4="Sim",1+parametros!$F$4,1)*(1+parametros!$F$5))),IF(B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6" s="273">
        <f>IF(OR(C6="",NOT(ISNUMBER(D6))),"",ROUND(C6*D6,2))</f>
        <v/>
      </c>
      <c r="F6" s="273">
        <f>IF(OR(C6="",E6=""),"",IF(G6&lt;&gt;"Sim",0,ROUND(E6-C6,2)))</f>
        <v/>
      </c>
      <c r="G6" s="274" t="n"/>
    </row>
    <row r="7">
      <c r="A7" s="270" t="n"/>
      <c r="B7" s="270" t="n"/>
      <c r="C7" s="271" t="n"/>
      <c r="D7" s="272">
        <f>IF(B7="","",IF(B7="c0",1,IF(B7="c1",IF(parametros!$A$3&lt;&gt;"Sim","",IF(NOT(ISNUMBER(parametros!$F$3)),"",1+parametros!$F$3)),IF(B7="c2",IF(parametros!$A$4&lt;&gt;"Sim","",IF(NOT(ISNUMBER(parametros!$F$4)),"",IF(parametros!$A$3="Sim",1+parametros!$F$3,1)*(1+parametros!$F$4))),IF(B7="c3",IF(parametros!$A$5&lt;&gt;"Sim","",IF(NOT(ISNUMBER(parametros!$F$5)),"",IF(parametros!$A$3="Sim",1+parametros!$F$3,1)*IF(parametros!$A$4="Sim",1+parametros!$F$4,1)*(1+parametros!$F$5))),IF(B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7" s="273">
        <f>IF(OR(C7="",NOT(ISNUMBER(D7))),"",ROUND(C7*D7,2))</f>
        <v/>
      </c>
      <c r="F7" s="273">
        <f>IF(OR(C7="",E7=""),"",IF(G7&lt;&gt;"Sim",0,ROUND(E7-C7,2)))</f>
        <v/>
      </c>
      <c r="G7" s="274" t="n"/>
    </row>
    <row r="8">
      <c r="A8" s="270" t="n"/>
      <c r="B8" s="270" t="n"/>
      <c r="C8" s="271" t="n"/>
      <c r="D8" s="272">
        <f>IF(B8="","",IF(B8="c0",1,IF(B8="c1",IF(parametros!$A$3&lt;&gt;"Sim","",IF(NOT(ISNUMBER(parametros!$F$3)),"",1+parametros!$F$3)),IF(B8="c2",IF(parametros!$A$4&lt;&gt;"Sim","",IF(NOT(ISNUMBER(parametros!$F$4)),"",IF(parametros!$A$3="Sim",1+parametros!$F$3,1)*(1+parametros!$F$4))),IF(B8="c3",IF(parametros!$A$5&lt;&gt;"Sim","",IF(NOT(ISNUMBER(parametros!$F$5)),"",IF(parametros!$A$3="Sim",1+parametros!$F$3,1)*IF(parametros!$A$4="Sim",1+parametros!$F$4,1)*(1+parametros!$F$5))),IF(B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8" s="273">
        <f>IF(OR(C8="",NOT(ISNUMBER(D8))),"",ROUND(C8*D8,2))</f>
        <v/>
      </c>
      <c r="F8" s="273">
        <f>IF(OR(C8="",E8=""),"",IF(G8&lt;&gt;"Sim",0,ROUND(E8-C8,2)))</f>
        <v/>
      </c>
      <c r="G8" s="274" t="n"/>
    </row>
    <row r="9">
      <c r="A9" s="270" t="n"/>
      <c r="B9" s="270" t="n"/>
      <c r="C9" s="271" t="n"/>
      <c r="D9" s="272">
        <f>IF(B9="","",IF(B9="c0",1,IF(B9="c1",IF(parametros!$A$3&lt;&gt;"Sim","",IF(NOT(ISNUMBER(parametros!$F$3)),"",1+parametros!$F$3)),IF(B9="c2",IF(parametros!$A$4&lt;&gt;"Sim","",IF(NOT(ISNUMBER(parametros!$F$4)),"",IF(parametros!$A$3="Sim",1+parametros!$F$3,1)*(1+parametros!$F$4))),IF(B9="c3",IF(parametros!$A$5&lt;&gt;"Sim","",IF(NOT(ISNUMBER(parametros!$F$5)),"",IF(parametros!$A$3="Sim",1+parametros!$F$3,1)*IF(parametros!$A$4="Sim",1+parametros!$F$4,1)*(1+parametros!$F$5))),IF(B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9" s="273">
        <f>IF(OR(C9="",NOT(ISNUMBER(D9))),"",ROUND(C9*D9,2))</f>
        <v/>
      </c>
      <c r="F9" s="273">
        <f>IF(OR(C9="",E9=""),"",IF(G9&lt;&gt;"Sim",0,ROUND(E9-C9,2)))</f>
        <v/>
      </c>
      <c r="G9" s="274" t="n"/>
    </row>
    <row r="10">
      <c r="A10" s="270" t="n"/>
      <c r="B10" s="270" t="n"/>
      <c r="C10" s="271" t="n"/>
      <c r="D10" s="272">
        <f>IF(B10="","",IF(B10="c0",1,IF(B10="c1",IF(parametros!$A$3&lt;&gt;"Sim","",IF(NOT(ISNUMBER(parametros!$F$3)),"",1+parametros!$F$3)),IF(B10="c2",IF(parametros!$A$4&lt;&gt;"Sim","",IF(NOT(ISNUMBER(parametros!$F$4)),"",IF(parametros!$A$3="Sim",1+parametros!$F$3,1)*(1+parametros!$F$4))),IF(B10="c3",IF(parametros!$A$5&lt;&gt;"Sim","",IF(NOT(ISNUMBER(parametros!$F$5)),"",IF(parametros!$A$3="Sim",1+parametros!$F$3,1)*IF(parametros!$A$4="Sim",1+parametros!$F$4,1)*(1+parametros!$F$5))),IF(B10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0" s="273">
        <f>IF(OR(C10="",NOT(ISNUMBER(D10))),"",ROUND(C10*D10,2))</f>
        <v/>
      </c>
      <c r="F10" s="273">
        <f>IF(OR(C10="",E10=""),"",IF(G10&lt;&gt;"Sim",0,ROUND(E10-C10,2)))</f>
        <v/>
      </c>
      <c r="G10" s="274" t="n"/>
    </row>
    <row r="11">
      <c r="A11" s="270" t="n"/>
      <c r="B11" s="270" t="n"/>
      <c r="C11" s="271" t="n"/>
      <c r="D11" s="272">
        <f>IF(B11="","",IF(B11="c0",1,IF(B11="c1",IF(parametros!$A$3&lt;&gt;"Sim","",IF(NOT(ISNUMBER(parametros!$F$3)),"",1+parametros!$F$3)),IF(B11="c2",IF(parametros!$A$4&lt;&gt;"Sim","",IF(NOT(ISNUMBER(parametros!$F$4)),"",IF(parametros!$A$3="Sim",1+parametros!$F$3,1)*(1+parametros!$F$4))),IF(B11="c3",IF(parametros!$A$5&lt;&gt;"Sim","",IF(NOT(ISNUMBER(parametros!$F$5)),"",IF(parametros!$A$3="Sim",1+parametros!$F$3,1)*IF(parametros!$A$4="Sim",1+parametros!$F$4,1)*(1+parametros!$F$5))),IF(B11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1" s="273">
        <f>IF(OR(C11="",NOT(ISNUMBER(D11))),"",ROUND(C11*D11,2))</f>
        <v/>
      </c>
      <c r="F11" s="273">
        <f>IF(OR(C11="",E11=""),"",IF(G11&lt;&gt;"Sim",0,ROUND(E11-C11,2)))</f>
        <v/>
      </c>
      <c r="G11" s="274" t="n"/>
    </row>
    <row r="12">
      <c r="A12" s="270" t="n"/>
      <c r="B12" s="270" t="n"/>
      <c r="C12" s="271" t="n"/>
      <c r="D12" s="272">
        <f>IF(B12="","",IF(B12="c0",1,IF(B12="c1",IF(parametros!$A$3&lt;&gt;"Sim","",IF(NOT(ISNUMBER(parametros!$F$3)),"",1+parametros!$F$3)),IF(B12="c2",IF(parametros!$A$4&lt;&gt;"Sim","",IF(NOT(ISNUMBER(parametros!$F$4)),"",IF(parametros!$A$3="Sim",1+parametros!$F$3,1)*(1+parametros!$F$4))),IF(B12="c3",IF(parametros!$A$5&lt;&gt;"Sim","",IF(NOT(ISNUMBER(parametros!$F$5)),"",IF(parametros!$A$3="Sim",1+parametros!$F$3,1)*IF(parametros!$A$4="Sim",1+parametros!$F$4,1)*(1+parametros!$F$5))),IF(B12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2" s="273">
        <f>IF(OR(C12="",NOT(ISNUMBER(D12))),"",ROUND(C12*D12,2))</f>
        <v/>
      </c>
      <c r="F12" s="273">
        <f>IF(OR(C12="",E12=""),"",IF(G12&lt;&gt;"Sim",0,ROUND(E12-C12,2)))</f>
        <v/>
      </c>
      <c r="G12" s="274" t="n"/>
    </row>
    <row r="13">
      <c r="A13" s="270" t="n"/>
      <c r="B13" s="270" t="n"/>
      <c r="C13" s="271" t="n"/>
      <c r="D13" s="272">
        <f>IF(B13="","",IF(B13="c0",1,IF(B13="c1",IF(parametros!$A$3&lt;&gt;"Sim","",IF(NOT(ISNUMBER(parametros!$F$3)),"",1+parametros!$F$3)),IF(B13="c2",IF(parametros!$A$4&lt;&gt;"Sim","",IF(NOT(ISNUMBER(parametros!$F$4)),"",IF(parametros!$A$3="Sim",1+parametros!$F$3,1)*(1+parametros!$F$4))),IF(B13="c3",IF(parametros!$A$5&lt;&gt;"Sim","",IF(NOT(ISNUMBER(parametros!$F$5)),"",IF(parametros!$A$3="Sim",1+parametros!$F$3,1)*IF(parametros!$A$4="Sim",1+parametros!$F$4,1)*(1+parametros!$F$5))),IF(B13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3" s="273">
        <f>IF(OR(C13="",NOT(ISNUMBER(D13))),"",ROUND(C13*D13,2))</f>
        <v/>
      </c>
      <c r="F13" s="273">
        <f>IF(OR(C13="",E13=""),"",IF(G13&lt;&gt;"Sim",0,ROUND(E13-C13,2)))</f>
        <v/>
      </c>
      <c r="G13" s="274" t="n"/>
    </row>
    <row r="14">
      <c r="A14" s="270" t="n"/>
      <c r="B14" s="270" t="n"/>
      <c r="C14" s="271" t="n"/>
      <c r="D14" s="272">
        <f>IF(B14="","",IF(B14="c0",1,IF(B14="c1",IF(parametros!$A$3&lt;&gt;"Sim","",IF(NOT(ISNUMBER(parametros!$F$3)),"",1+parametros!$F$3)),IF(B14="c2",IF(parametros!$A$4&lt;&gt;"Sim","",IF(NOT(ISNUMBER(parametros!$F$4)),"",IF(parametros!$A$3="Sim",1+parametros!$F$3,1)*(1+parametros!$F$4))),IF(B14="c3",IF(parametros!$A$5&lt;&gt;"Sim","",IF(NOT(ISNUMBER(parametros!$F$5)),"",IF(parametros!$A$3="Sim",1+parametros!$F$3,1)*IF(parametros!$A$4="Sim",1+parametros!$F$4,1)*(1+parametros!$F$5))),IF(B14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4" s="273">
        <f>IF(OR(C14="",NOT(ISNUMBER(D14))),"",ROUND(C14*D14,2))</f>
        <v/>
      </c>
      <c r="F14" s="273">
        <f>IF(OR(C14="",E14=""),"",IF(G14&lt;&gt;"Sim",0,ROUND(E14-C14,2)))</f>
        <v/>
      </c>
      <c r="G14" s="274" t="n"/>
    </row>
    <row r="15">
      <c r="A15" s="270" t="n"/>
      <c r="B15" s="270" t="n"/>
      <c r="C15" s="271" t="n"/>
      <c r="D15" s="272">
        <f>IF(B15="","",IF(B15="c0",1,IF(B15="c1",IF(parametros!$A$3&lt;&gt;"Sim","",IF(NOT(ISNUMBER(parametros!$F$3)),"",1+parametros!$F$3)),IF(B15="c2",IF(parametros!$A$4&lt;&gt;"Sim","",IF(NOT(ISNUMBER(parametros!$F$4)),"",IF(parametros!$A$3="Sim",1+parametros!$F$3,1)*(1+parametros!$F$4))),IF(B15="c3",IF(parametros!$A$5&lt;&gt;"Sim","",IF(NOT(ISNUMBER(parametros!$F$5)),"",IF(parametros!$A$3="Sim",1+parametros!$F$3,1)*IF(parametros!$A$4="Sim",1+parametros!$F$4,1)*(1+parametros!$F$5))),IF(B15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5" s="273">
        <f>IF(OR(C15="",NOT(ISNUMBER(D15))),"",ROUND(C15*D15,2))</f>
        <v/>
      </c>
      <c r="F15" s="273">
        <f>IF(OR(C15="",E15=""),"",IF(G15&lt;&gt;"Sim",0,ROUND(E15-C15,2)))</f>
        <v/>
      </c>
      <c r="G15" s="274" t="n"/>
    </row>
    <row r="16">
      <c r="A16" s="270" t="n"/>
      <c r="B16" s="270" t="n"/>
      <c r="C16" s="271" t="n"/>
      <c r="D16" s="272">
        <f>IF(B16="","",IF(B16="c0",1,IF(B16="c1",IF(parametros!$A$3&lt;&gt;"Sim","",IF(NOT(ISNUMBER(parametros!$F$3)),"",1+parametros!$F$3)),IF(B16="c2",IF(parametros!$A$4&lt;&gt;"Sim","",IF(NOT(ISNUMBER(parametros!$F$4)),"",IF(parametros!$A$3="Sim",1+parametros!$F$3,1)*(1+parametros!$F$4))),IF(B16="c3",IF(parametros!$A$5&lt;&gt;"Sim","",IF(NOT(ISNUMBER(parametros!$F$5)),"",IF(parametros!$A$3="Sim",1+parametros!$F$3,1)*IF(parametros!$A$4="Sim",1+parametros!$F$4,1)*(1+parametros!$F$5))),IF(B16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6" s="273">
        <f>IF(OR(C16="",NOT(ISNUMBER(D16))),"",ROUND(C16*D16,2))</f>
        <v/>
      </c>
      <c r="F16" s="273">
        <f>IF(OR(C16="",E16=""),"",IF(G16&lt;&gt;"Sim",0,ROUND(E16-C16,2)))</f>
        <v/>
      </c>
      <c r="G16" s="274" t="n"/>
    </row>
    <row r="17">
      <c r="A17" s="270" t="n"/>
      <c r="B17" s="270" t="n"/>
      <c r="C17" s="271" t="n"/>
      <c r="D17" s="272">
        <f>IF(B17="","",IF(B17="c0",1,IF(B17="c1",IF(parametros!$A$3&lt;&gt;"Sim","",IF(NOT(ISNUMBER(parametros!$F$3)),"",1+parametros!$F$3)),IF(B17="c2",IF(parametros!$A$4&lt;&gt;"Sim","",IF(NOT(ISNUMBER(parametros!$F$4)),"",IF(parametros!$A$3="Sim",1+parametros!$F$3,1)*(1+parametros!$F$4))),IF(B17="c3",IF(parametros!$A$5&lt;&gt;"Sim","",IF(NOT(ISNUMBER(parametros!$F$5)),"",IF(parametros!$A$3="Sim",1+parametros!$F$3,1)*IF(parametros!$A$4="Sim",1+parametros!$F$4,1)*(1+parametros!$F$5))),IF(B17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7" s="273">
        <f>IF(OR(C17="",NOT(ISNUMBER(D17))),"",ROUND(C17*D17,2))</f>
        <v/>
      </c>
      <c r="F17" s="273">
        <f>IF(OR(C17="",E17=""),"",IF(G17&lt;&gt;"Sim",0,ROUND(E17-C17,2)))</f>
        <v/>
      </c>
      <c r="G17" s="274" t="n"/>
    </row>
    <row r="18">
      <c r="A18" s="270" t="n"/>
      <c r="B18" s="270" t="n"/>
      <c r="C18" s="271" t="n"/>
      <c r="D18" s="272">
        <f>IF(B18="","",IF(B18="c0",1,IF(B18="c1",IF(parametros!$A$3&lt;&gt;"Sim","",IF(NOT(ISNUMBER(parametros!$F$3)),"",1+parametros!$F$3)),IF(B18="c2",IF(parametros!$A$4&lt;&gt;"Sim","",IF(NOT(ISNUMBER(parametros!$F$4)),"",IF(parametros!$A$3="Sim",1+parametros!$F$3,1)*(1+parametros!$F$4))),IF(B18="c3",IF(parametros!$A$5&lt;&gt;"Sim","",IF(NOT(ISNUMBER(parametros!$F$5)),"",IF(parametros!$A$3="Sim",1+parametros!$F$3,1)*IF(parametros!$A$4="Sim",1+parametros!$F$4,1)*(1+parametros!$F$5))),IF(B18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8" s="273">
        <f>IF(OR(C18="",NOT(ISNUMBER(D18))),"",ROUND(C18*D18,2))</f>
        <v/>
      </c>
      <c r="F18" s="273">
        <f>IF(OR(C18="",E18=""),"",IF(G18&lt;&gt;"Sim",0,ROUND(E18-C18,2)))</f>
        <v/>
      </c>
      <c r="G18" s="274" t="n"/>
    </row>
    <row r="19">
      <c r="A19" s="270" t="n"/>
      <c r="B19" s="270" t="n"/>
      <c r="C19" s="271" t="n"/>
      <c r="D19" s="272">
        <f>IF(B19="","",IF(B19="c0",1,IF(B19="c1",IF(parametros!$A$3&lt;&gt;"Sim","",IF(NOT(ISNUMBER(parametros!$F$3)),"",1+parametros!$F$3)),IF(B19="c2",IF(parametros!$A$4&lt;&gt;"Sim","",IF(NOT(ISNUMBER(parametros!$F$4)),"",IF(parametros!$A$3="Sim",1+parametros!$F$3,1)*(1+parametros!$F$4))),IF(B19="c3",IF(parametros!$A$5&lt;&gt;"Sim","",IF(NOT(ISNUMBER(parametros!$F$5)),"",IF(parametros!$A$3="Sim",1+parametros!$F$3,1)*IF(parametros!$A$4="Sim",1+parametros!$F$4,1)*(1+parametros!$F$5))),IF(B19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19" s="273">
        <f>IF(OR(C19="",NOT(ISNUMBER(D19))),"",ROUND(C19*D19,2))</f>
        <v/>
      </c>
      <c r="F19" s="273">
        <f>IF(OR(C19="",E19=""),"",IF(G19&lt;&gt;"Sim",0,ROUND(E19-C19,2)))</f>
        <v/>
      </c>
      <c r="G19" s="274" t="n"/>
    </row>
    <row r="20">
      <c r="A20" s="270" t="n"/>
      <c r="B20" s="270" t="n"/>
      <c r="C20" s="271" t="n"/>
      <c r="D20" s="272">
        <f>IF(B20="","",IF(B20="c0",1,IF(B20="c1",IF(parametros!$A$3&lt;&gt;"Sim","",IF(NOT(ISNUMBER(parametros!$F$3)),"",1+parametros!$F$3)),IF(B20="c2",IF(parametros!$A$4&lt;&gt;"Sim","",IF(NOT(ISNUMBER(parametros!$F$4)),"",IF(parametros!$A$3="Sim",1+parametros!$F$3,1)*(1+parametros!$F$4))),IF(B20="c3",IF(parametros!$A$5&lt;&gt;"Sim","",IF(NOT(ISNUMBER(parametros!$F$5)),"",IF(parametros!$A$3="Sim",1+parametros!$F$3,1)*IF(parametros!$A$4="Sim",1+parametros!$F$4,1)*(1+parametros!$F$5))),IF(B20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0" s="273">
        <f>IF(OR(C20="",NOT(ISNUMBER(D20))),"",ROUND(C20*D20,2))</f>
        <v/>
      </c>
      <c r="F20" s="273">
        <f>IF(OR(C20="",E20=""),"",IF(G20&lt;&gt;"Sim",0,ROUND(E20-C20,2)))</f>
        <v/>
      </c>
      <c r="G20" s="274" t="n"/>
    </row>
    <row r="21">
      <c r="A21" s="270" t="n"/>
      <c r="B21" s="270" t="n"/>
      <c r="C21" s="271" t="n"/>
      <c r="D21" s="272">
        <f>IF(B21="","",IF(B21="c0",1,IF(B21="c1",IF(parametros!$A$3&lt;&gt;"Sim","",IF(NOT(ISNUMBER(parametros!$F$3)),"",1+parametros!$F$3)),IF(B21="c2",IF(parametros!$A$4&lt;&gt;"Sim","",IF(NOT(ISNUMBER(parametros!$F$4)),"",IF(parametros!$A$3="Sim",1+parametros!$F$3,1)*(1+parametros!$F$4))),IF(B21="c3",IF(parametros!$A$5&lt;&gt;"Sim","",IF(NOT(ISNUMBER(parametros!$F$5)),"",IF(parametros!$A$3="Sim",1+parametros!$F$3,1)*IF(parametros!$A$4="Sim",1+parametros!$F$4,1)*(1+parametros!$F$5))),IF(B21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1" s="273">
        <f>IF(OR(C21="",NOT(ISNUMBER(D21))),"",ROUND(C21*D21,2))</f>
        <v/>
      </c>
      <c r="F21" s="273">
        <f>IF(OR(C21="",E21=""),"",IF(G21&lt;&gt;"Sim",0,ROUND(E21-C21,2)))</f>
        <v/>
      </c>
      <c r="G21" s="274" t="n"/>
    </row>
    <row r="22">
      <c r="A22" s="270" t="n"/>
      <c r="B22" s="270" t="n"/>
      <c r="C22" s="271" t="n"/>
      <c r="D22" s="272">
        <f>IF(B22="","",IF(B22="c0",1,IF(B22="c1",IF(parametros!$A$3&lt;&gt;"Sim","",IF(NOT(ISNUMBER(parametros!$F$3)),"",1+parametros!$F$3)),IF(B22="c2",IF(parametros!$A$4&lt;&gt;"Sim","",IF(NOT(ISNUMBER(parametros!$F$4)),"",IF(parametros!$A$3="Sim",1+parametros!$F$3,1)*(1+parametros!$F$4))),IF(B22="c3",IF(parametros!$A$5&lt;&gt;"Sim","",IF(NOT(ISNUMBER(parametros!$F$5)),"",IF(parametros!$A$3="Sim",1+parametros!$F$3,1)*IF(parametros!$A$4="Sim",1+parametros!$F$4,1)*(1+parametros!$F$5))),IF(B22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2" s="273">
        <f>IF(OR(C22="",NOT(ISNUMBER(D22))),"",ROUND(C22*D22,2))</f>
        <v/>
      </c>
      <c r="F22" s="273">
        <f>IF(OR(C22="",E22=""),"",IF(G22&lt;&gt;"Sim",0,ROUND(E22-C22,2)))</f>
        <v/>
      </c>
      <c r="G22" s="274" t="n"/>
    </row>
    <row r="23">
      <c r="A23" s="270" t="n"/>
      <c r="B23" s="270" t="n"/>
      <c r="C23" s="271" t="n"/>
      <c r="D23" s="272">
        <f>IF(B23="","",IF(B23="c0",1,IF(B23="c1",IF(parametros!$A$3&lt;&gt;"Sim","",IF(NOT(ISNUMBER(parametros!$F$3)),"",1+parametros!$F$3)),IF(B23="c2",IF(parametros!$A$4&lt;&gt;"Sim","",IF(NOT(ISNUMBER(parametros!$F$4)),"",IF(parametros!$A$3="Sim",1+parametros!$F$3,1)*(1+parametros!$F$4))),IF(B23="c3",IF(parametros!$A$5&lt;&gt;"Sim","",IF(NOT(ISNUMBER(parametros!$F$5)),"",IF(parametros!$A$3="Sim",1+parametros!$F$3,1)*IF(parametros!$A$4="Sim",1+parametros!$F$4,1)*(1+parametros!$F$5))),IF(B23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3" s="273">
        <f>IF(OR(C23="",NOT(ISNUMBER(D23))),"",ROUND(C23*D23,2))</f>
        <v/>
      </c>
      <c r="F23" s="273">
        <f>IF(OR(C23="",E23=""),"",IF(G23&lt;&gt;"Sim",0,ROUND(E23-C23,2)))</f>
        <v/>
      </c>
      <c r="G23" s="274" t="n"/>
    </row>
    <row r="24">
      <c r="A24" s="270" t="n"/>
      <c r="B24" s="270" t="n"/>
      <c r="C24" s="271" t="n"/>
      <c r="D24" s="272">
        <f>IF(B24="","",IF(B24="c0",1,IF(B24="c1",IF(parametros!$A$3&lt;&gt;"Sim","",IF(NOT(ISNUMBER(parametros!$F$3)),"",1+parametros!$F$3)),IF(B24="c2",IF(parametros!$A$4&lt;&gt;"Sim","",IF(NOT(ISNUMBER(parametros!$F$4)),"",IF(parametros!$A$3="Sim",1+parametros!$F$3,1)*(1+parametros!$F$4))),IF(B24="c3",IF(parametros!$A$5&lt;&gt;"Sim","",IF(NOT(ISNUMBER(parametros!$F$5)),"",IF(parametros!$A$3="Sim",1+parametros!$F$3,1)*IF(parametros!$A$4="Sim",1+parametros!$F$4,1)*(1+parametros!$F$5))),IF(B24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4" s="273">
        <f>IF(OR(C24="",NOT(ISNUMBER(D24))),"",ROUND(C24*D24,2))</f>
        <v/>
      </c>
      <c r="F24" s="273">
        <f>IF(OR(C24="",E24=""),"",IF(G24&lt;&gt;"Sim",0,ROUND(E24-C24,2)))</f>
        <v/>
      </c>
      <c r="G24" s="274" t="n"/>
    </row>
    <row r="25">
      <c r="A25" s="270" t="n"/>
      <c r="B25" s="270" t="n"/>
      <c r="C25" s="271" t="n"/>
      <c r="D25" s="272">
        <f>IF(B25="","",IF(B25="c0",1,IF(B25="c1",IF(parametros!$A$3&lt;&gt;"Sim","",IF(NOT(ISNUMBER(parametros!$F$3)),"",1+parametros!$F$3)),IF(B25="c2",IF(parametros!$A$4&lt;&gt;"Sim","",IF(NOT(ISNUMBER(parametros!$F$4)),"",IF(parametros!$A$3="Sim",1+parametros!$F$3,1)*(1+parametros!$F$4))),IF(B25="c3",IF(parametros!$A$5&lt;&gt;"Sim","",IF(NOT(ISNUMBER(parametros!$F$5)),"",IF(parametros!$A$3="Sim",1+parametros!$F$3,1)*IF(parametros!$A$4="Sim",1+parametros!$F$4,1)*(1+parametros!$F$5))),IF(B25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5" s="273">
        <f>IF(OR(C25="",NOT(ISNUMBER(D25))),"",ROUND(C25*D25,2))</f>
        <v/>
      </c>
      <c r="F25" s="273">
        <f>IF(OR(C25="",E25=""),"",IF(G25&lt;&gt;"Sim",0,ROUND(E25-C25,2)))</f>
        <v/>
      </c>
      <c r="G25" s="274" t="n"/>
    </row>
    <row r="26">
      <c r="A26" s="270" t="n"/>
      <c r="B26" s="270" t="n"/>
      <c r="C26" s="271" t="n"/>
      <c r="D26" s="272">
        <f>IF(B26="","",IF(B26="c0",1,IF(B26="c1",IF(parametros!$A$3&lt;&gt;"Sim","",IF(NOT(ISNUMBER(parametros!$F$3)),"",1+parametros!$F$3)),IF(B26="c2",IF(parametros!$A$4&lt;&gt;"Sim","",IF(NOT(ISNUMBER(parametros!$F$4)),"",IF(parametros!$A$3="Sim",1+parametros!$F$3,1)*(1+parametros!$F$4))),IF(B26="c3",IF(parametros!$A$5&lt;&gt;"Sim","",IF(NOT(ISNUMBER(parametros!$F$5)),"",IF(parametros!$A$3="Sim",1+parametros!$F$3,1)*IF(parametros!$A$4="Sim",1+parametros!$F$4,1)*(1+parametros!$F$5))),IF(B26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6" s="273">
        <f>IF(OR(C26="",NOT(ISNUMBER(D26))),"",ROUND(C26*D26,2))</f>
        <v/>
      </c>
      <c r="F26" s="273">
        <f>IF(OR(C26="",E26=""),"",IF(G26&lt;&gt;"Sim",0,ROUND(E26-C26,2)))</f>
        <v/>
      </c>
      <c r="G26" s="274" t="n"/>
    </row>
    <row r="27">
      <c r="A27" s="270" t="n"/>
      <c r="B27" s="270" t="n"/>
      <c r="C27" s="271" t="n"/>
      <c r="D27" s="272">
        <f>IF(B27="","",IF(B27="c0",1,IF(B27="c1",IF(parametros!$A$3&lt;&gt;"Sim","",IF(NOT(ISNUMBER(parametros!$F$3)),"",1+parametros!$F$3)),IF(B27="c2",IF(parametros!$A$4&lt;&gt;"Sim","",IF(NOT(ISNUMBER(parametros!$F$4)),"",IF(parametros!$A$3="Sim",1+parametros!$F$3,1)*(1+parametros!$F$4))),IF(B27="c3",IF(parametros!$A$5&lt;&gt;"Sim","",IF(NOT(ISNUMBER(parametros!$F$5)),"",IF(parametros!$A$3="Sim",1+parametros!$F$3,1)*IF(parametros!$A$4="Sim",1+parametros!$F$4,1)*(1+parametros!$F$5))),IF(B27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7" s="273">
        <f>IF(OR(C27="",NOT(ISNUMBER(D27))),"",ROUND(C27*D27,2))</f>
        <v/>
      </c>
      <c r="F27" s="273">
        <f>IF(OR(C27="",E27=""),"",IF(G27&lt;&gt;"Sim",0,ROUND(E27-C27,2)))</f>
        <v/>
      </c>
      <c r="G27" s="274" t="n"/>
    </row>
    <row r="28">
      <c r="A28" s="270" t="n"/>
      <c r="B28" s="270" t="n"/>
      <c r="C28" s="271" t="n"/>
      <c r="D28" s="272">
        <f>IF(B28="","",IF(B28="c0",1,IF(B28="c1",IF(parametros!$A$3&lt;&gt;"Sim","",IF(NOT(ISNUMBER(parametros!$F$3)),"",1+parametros!$F$3)),IF(B28="c2",IF(parametros!$A$4&lt;&gt;"Sim","",IF(NOT(ISNUMBER(parametros!$F$4)),"",IF(parametros!$A$3="Sim",1+parametros!$F$3,1)*(1+parametros!$F$4))),IF(B28="c3",IF(parametros!$A$5&lt;&gt;"Sim","",IF(NOT(ISNUMBER(parametros!$F$5)),"",IF(parametros!$A$3="Sim",1+parametros!$F$3,1)*IF(parametros!$A$4="Sim",1+parametros!$F$4,1)*(1+parametros!$F$5))),IF(B28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8" s="273">
        <f>IF(OR(C28="",NOT(ISNUMBER(D28))),"",ROUND(C28*D28,2))</f>
        <v/>
      </c>
      <c r="F28" s="273">
        <f>IF(OR(C28="",E28=""),"",IF(G28&lt;&gt;"Sim",0,ROUND(E28-C28,2)))</f>
        <v/>
      </c>
      <c r="G28" s="274" t="n"/>
    </row>
    <row r="29">
      <c r="A29" s="270" t="n"/>
      <c r="B29" s="270" t="n"/>
      <c r="C29" s="271" t="n"/>
      <c r="D29" s="272">
        <f>IF(B29="","",IF(B29="c0",1,IF(B29="c1",IF(parametros!$A$3&lt;&gt;"Sim","",IF(NOT(ISNUMBER(parametros!$F$3)),"",1+parametros!$F$3)),IF(B29="c2",IF(parametros!$A$4&lt;&gt;"Sim","",IF(NOT(ISNUMBER(parametros!$F$4)),"",IF(parametros!$A$3="Sim",1+parametros!$F$3,1)*(1+parametros!$F$4))),IF(B29="c3",IF(parametros!$A$5&lt;&gt;"Sim","",IF(NOT(ISNUMBER(parametros!$F$5)),"",IF(parametros!$A$3="Sim",1+parametros!$F$3,1)*IF(parametros!$A$4="Sim",1+parametros!$F$4,1)*(1+parametros!$F$5))),IF(B29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29" s="273">
        <f>IF(OR(C29="",NOT(ISNUMBER(D29))),"",ROUND(C29*D29,2))</f>
        <v/>
      </c>
      <c r="F29" s="273">
        <f>IF(OR(C29="",E29=""),"",IF(G29&lt;&gt;"Sim",0,ROUND(E29-C29,2)))</f>
        <v/>
      </c>
      <c r="G29" s="274" t="n"/>
    </row>
    <row r="30">
      <c r="A30" s="270" t="n"/>
      <c r="B30" s="270" t="n"/>
      <c r="C30" s="271" t="n"/>
      <c r="D30" s="272">
        <f>IF(B30="","",IF(B30="c0",1,IF(B30="c1",IF(parametros!$A$3&lt;&gt;"Sim","",IF(NOT(ISNUMBER(parametros!$F$3)),"",1+parametros!$F$3)),IF(B30="c2",IF(parametros!$A$4&lt;&gt;"Sim","",IF(NOT(ISNUMBER(parametros!$F$4)),"",IF(parametros!$A$3="Sim",1+parametros!$F$3,1)*(1+parametros!$F$4))),IF(B30="c3",IF(parametros!$A$5&lt;&gt;"Sim","",IF(NOT(ISNUMBER(parametros!$F$5)),"",IF(parametros!$A$3="Sim",1+parametros!$F$3,1)*IF(parametros!$A$4="Sim",1+parametros!$F$4,1)*(1+parametros!$F$5))),IF(B30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0" s="273">
        <f>IF(OR(C30="",NOT(ISNUMBER(D30))),"",ROUND(C30*D30,2))</f>
        <v/>
      </c>
      <c r="F30" s="273">
        <f>IF(OR(C30="",E30=""),"",IF(G30&lt;&gt;"Sim",0,ROUND(E30-C30,2)))</f>
        <v/>
      </c>
      <c r="G30" s="274" t="n"/>
    </row>
    <row r="31">
      <c r="A31" s="270" t="n"/>
      <c r="B31" s="270" t="n"/>
      <c r="C31" s="271" t="n"/>
      <c r="D31" s="272">
        <f>IF(B31="","",IF(B31="c0",1,IF(B31="c1",IF(parametros!$A$3&lt;&gt;"Sim","",IF(NOT(ISNUMBER(parametros!$F$3)),"",1+parametros!$F$3)),IF(B31="c2",IF(parametros!$A$4&lt;&gt;"Sim","",IF(NOT(ISNUMBER(parametros!$F$4)),"",IF(parametros!$A$3="Sim",1+parametros!$F$3,1)*(1+parametros!$F$4))),IF(B31="c3",IF(parametros!$A$5&lt;&gt;"Sim","",IF(NOT(ISNUMBER(parametros!$F$5)),"",IF(parametros!$A$3="Sim",1+parametros!$F$3,1)*IF(parametros!$A$4="Sim",1+parametros!$F$4,1)*(1+parametros!$F$5))),IF(B31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1" s="273">
        <f>IF(OR(C31="",NOT(ISNUMBER(D31))),"",ROUND(C31*D31,2))</f>
        <v/>
      </c>
      <c r="F31" s="273">
        <f>IF(OR(C31="",E31=""),"",IF(G31&lt;&gt;"Sim",0,ROUND(E31-C31,2)))</f>
        <v/>
      </c>
      <c r="G31" s="274" t="n"/>
    </row>
    <row r="32">
      <c r="A32" s="270" t="n"/>
      <c r="B32" s="270" t="n"/>
      <c r="C32" s="271" t="n"/>
      <c r="D32" s="272">
        <f>IF(B32="","",IF(B32="c0",1,IF(B32="c1",IF(parametros!$A$3&lt;&gt;"Sim","",IF(NOT(ISNUMBER(parametros!$F$3)),"",1+parametros!$F$3)),IF(B32="c2",IF(parametros!$A$4&lt;&gt;"Sim","",IF(NOT(ISNUMBER(parametros!$F$4)),"",IF(parametros!$A$3="Sim",1+parametros!$F$3,1)*(1+parametros!$F$4))),IF(B32="c3",IF(parametros!$A$5&lt;&gt;"Sim","",IF(NOT(ISNUMBER(parametros!$F$5)),"",IF(parametros!$A$3="Sim",1+parametros!$F$3,1)*IF(parametros!$A$4="Sim",1+parametros!$F$4,1)*(1+parametros!$F$5))),IF(B32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2" s="273">
        <f>IF(OR(C32="",NOT(ISNUMBER(D32))),"",ROUND(C32*D32,2))</f>
        <v/>
      </c>
      <c r="F32" s="273">
        <f>IF(OR(C32="",E32=""),"",IF(G32&lt;&gt;"Sim",0,ROUND(E32-C32,2)))</f>
        <v/>
      </c>
      <c r="G32" s="274" t="n"/>
    </row>
    <row r="33">
      <c r="A33" s="270" t="n"/>
      <c r="B33" s="270" t="n"/>
      <c r="C33" s="271" t="n"/>
      <c r="D33" s="272">
        <f>IF(B33="","",IF(B33="c0",1,IF(B33="c1",IF(parametros!$A$3&lt;&gt;"Sim","",IF(NOT(ISNUMBER(parametros!$F$3)),"",1+parametros!$F$3)),IF(B33="c2",IF(parametros!$A$4&lt;&gt;"Sim","",IF(NOT(ISNUMBER(parametros!$F$4)),"",IF(parametros!$A$3="Sim",1+parametros!$F$3,1)*(1+parametros!$F$4))),IF(B33="c3",IF(parametros!$A$5&lt;&gt;"Sim","",IF(NOT(ISNUMBER(parametros!$F$5)),"",IF(parametros!$A$3="Sim",1+parametros!$F$3,1)*IF(parametros!$A$4="Sim",1+parametros!$F$4,1)*(1+parametros!$F$5))),IF(B33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3" s="273">
        <f>IF(OR(C33="",NOT(ISNUMBER(D33))),"",ROUND(C33*D33,2))</f>
        <v/>
      </c>
      <c r="F33" s="273">
        <f>IF(OR(C33="",E33=""),"",IF(G33&lt;&gt;"Sim",0,ROUND(E33-C33,2)))</f>
        <v/>
      </c>
      <c r="G33" s="274" t="n"/>
    </row>
    <row r="34">
      <c r="A34" s="270" t="n"/>
      <c r="B34" s="270" t="n"/>
      <c r="C34" s="271" t="n"/>
      <c r="D34" s="272">
        <f>IF(B34="","",IF(B34="c0",1,IF(B34="c1",IF(parametros!$A$3&lt;&gt;"Sim","",IF(NOT(ISNUMBER(parametros!$F$3)),"",1+parametros!$F$3)),IF(B34="c2",IF(parametros!$A$4&lt;&gt;"Sim","",IF(NOT(ISNUMBER(parametros!$F$4)),"",IF(parametros!$A$3="Sim",1+parametros!$F$3,1)*(1+parametros!$F$4))),IF(B34="c3",IF(parametros!$A$5&lt;&gt;"Sim","",IF(NOT(ISNUMBER(parametros!$F$5)),"",IF(parametros!$A$3="Sim",1+parametros!$F$3,1)*IF(parametros!$A$4="Sim",1+parametros!$F$4,1)*(1+parametros!$F$5))),IF(B34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4" s="273">
        <f>IF(OR(C34="",NOT(ISNUMBER(D34))),"",ROUND(C34*D34,2))</f>
        <v/>
      </c>
      <c r="F34" s="273">
        <f>IF(OR(C34="",E34=""),"",IF(G34&lt;&gt;"Sim",0,ROUND(E34-C34,2)))</f>
        <v/>
      </c>
      <c r="G34" s="274" t="n"/>
    </row>
    <row r="35">
      <c r="A35" s="270" t="n"/>
      <c r="B35" s="270" t="n"/>
      <c r="C35" s="271" t="n"/>
      <c r="D35" s="272">
        <f>IF(B35="","",IF(B35="c0",1,IF(B35="c1",IF(parametros!$A$3&lt;&gt;"Sim","",IF(NOT(ISNUMBER(parametros!$F$3)),"",1+parametros!$F$3)),IF(B35="c2",IF(parametros!$A$4&lt;&gt;"Sim","",IF(NOT(ISNUMBER(parametros!$F$4)),"",IF(parametros!$A$3="Sim",1+parametros!$F$3,1)*(1+parametros!$F$4))),IF(B35="c3",IF(parametros!$A$5&lt;&gt;"Sim","",IF(NOT(ISNUMBER(parametros!$F$5)),"",IF(parametros!$A$3="Sim",1+parametros!$F$3,1)*IF(parametros!$A$4="Sim",1+parametros!$F$4,1)*(1+parametros!$F$5))),IF(B35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5" s="273">
        <f>IF(OR(C35="",NOT(ISNUMBER(D35))),"",ROUND(C35*D35,2))</f>
        <v/>
      </c>
      <c r="F35" s="273">
        <f>IF(OR(C35="",E35=""),"",IF(G35&lt;&gt;"Sim",0,ROUND(E35-C35,2)))</f>
        <v/>
      </c>
      <c r="G35" s="274" t="n"/>
    </row>
    <row r="36">
      <c r="A36" s="270" t="n"/>
      <c r="B36" s="270" t="n"/>
      <c r="C36" s="271" t="n"/>
      <c r="D36" s="272">
        <f>IF(B36="","",IF(B36="c0",1,IF(B36="c1",IF(parametros!$A$3&lt;&gt;"Sim","",IF(NOT(ISNUMBER(parametros!$F$3)),"",1+parametros!$F$3)),IF(B36="c2",IF(parametros!$A$4&lt;&gt;"Sim","",IF(NOT(ISNUMBER(parametros!$F$4)),"",IF(parametros!$A$3="Sim",1+parametros!$F$3,1)*(1+parametros!$F$4))),IF(B36="c3",IF(parametros!$A$5&lt;&gt;"Sim","",IF(NOT(ISNUMBER(parametros!$F$5)),"",IF(parametros!$A$3="Sim",1+parametros!$F$3,1)*IF(parametros!$A$4="Sim",1+parametros!$F$4,1)*(1+parametros!$F$5))),IF(B36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6" s="273">
        <f>IF(OR(C36="",NOT(ISNUMBER(D36))),"",ROUND(C36*D36,2))</f>
        <v/>
      </c>
      <c r="F36" s="273">
        <f>IF(OR(C36="",E36=""),"",IF(G36&lt;&gt;"Sim",0,ROUND(E36-C36,2)))</f>
        <v/>
      </c>
      <c r="G36" s="274" t="n"/>
    </row>
    <row r="37">
      <c r="A37" s="270" t="n"/>
      <c r="B37" s="270" t="n"/>
      <c r="C37" s="271" t="n"/>
      <c r="D37" s="272">
        <f>IF(B37="","",IF(B37="c0",1,IF(B37="c1",IF(parametros!$A$3&lt;&gt;"Sim","",IF(NOT(ISNUMBER(parametros!$F$3)),"",1+parametros!$F$3)),IF(B37="c2",IF(parametros!$A$4&lt;&gt;"Sim","",IF(NOT(ISNUMBER(parametros!$F$4)),"",IF(parametros!$A$3="Sim",1+parametros!$F$3,1)*(1+parametros!$F$4))),IF(B37="c3",IF(parametros!$A$5&lt;&gt;"Sim","",IF(NOT(ISNUMBER(parametros!$F$5)),"",IF(parametros!$A$3="Sim",1+parametros!$F$3,1)*IF(parametros!$A$4="Sim",1+parametros!$F$4,1)*(1+parametros!$F$5))),IF(B37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7" s="273">
        <f>IF(OR(C37="",NOT(ISNUMBER(D37))),"",ROUND(C37*D37,2))</f>
        <v/>
      </c>
      <c r="F37" s="273">
        <f>IF(OR(C37="",E37=""),"",IF(G37&lt;&gt;"Sim",0,ROUND(E37-C37,2)))</f>
        <v/>
      </c>
      <c r="G37" s="274" t="n"/>
    </row>
    <row r="38">
      <c r="A38" s="270" t="n"/>
      <c r="B38" s="270" t="n"/>
      <c r="C38" s="271" t="n"/>
      <c r="D38" s="272">
        <f>IF(B38="","",IF(B38="c0",1,IF(B38="c1",IF(parametros!$A$3&lt;&gt;"Sim","",IF(NOT(ISNUMBER(parametros!$F$3)),"",1+parametros!$F$3)),IF(B38="c2",IF(parametros!$A$4&lt;&gt;"Sim","",IF(NOT(ISNUMBER(parametros!$F$4)),"",IF(parametros!$A$3="Sim",1+parametros!$F$3,1)*(1+parametros!$F$4))),IF(B38="c3",IF(parametros!$A$5&lt;&gt;"Sim","",IF(NOT(ISNUMBER(parametros!$F$5)),"",IF(parametros!$A$3="Sim",1+parametros!$F$3,1)*IF(parametros!$A$4="Sim",1+parametros!$F$4,1)*(1+parametros!$F$5))),IF(B38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8" s="273">
        <f>IF(OR(C38="",NOT(ISNUMBER(D38))),"",ROUND(C38*D38,2))</f>
        <v/>
      </c>
      <c r="F38" s="273">
        <f>IF(OR(C38="",E38=""),"",IF(G38&lt;&gt;"Sim",0,ROUND(E38-C38,2)))</f>
        <v/>
      </c>
      <c r="G38" s="274" t="n"/>
    </row>
    <row r="39">
      <c r="A39" s="270" t="n"/>
      <c r="B39" s="270" t="n"/>
      <c r="C39" s="271" t="n"/>
      <c r="D39" s="272">
        <f>IF(B39="","",IF(B39="c0",1,IF(B39="c1",IF(parametros!$A$3&lt;&gt;"Sim","",IF(NOT(ISNUMBER(parametros!$F$3)),"",1+parametros!$F$3)),IF(B39="c2",IF(parametros!$A$4&lt;&gt;"Sim","",IF(NOT(ISNUMBER(parametros!$F$4)),"",IF(parametros!$A$3="Sim",1+parametros!$F$3,1)*(1+parametros!$F$4))),IF(B39="c3",IF(parametros!$A$5&lt;&gt;"Sim","",IF(NOT(ISNUMBER(parametros!$F$5)),"",IF(parametros!$A$3="Sim",1+parametros!$F$3,1)*IF(parametros!$A$4="Sim",1+parametros!$F$4,1)*(1+parametros!$F$5))),IF(B39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39" s="273">
        <f>IF(OR(C39="",NOT(ISNUMBER(D39))),"",ROUND(C39*D39,2))</f>
        <v/>
      </c>
      <c r="F39" s="273">
        <f>IF(OR(C39="",E39=""),"",IF(G39&lt;&gt;"Sim",0,ROUND(E39-C39,2)))</f>
        <v/>
      </c>
      <c r="G39" s="274" t="n"/>
    </row>
    <row r="40">
      <c r="A40" s="270" t="n"/>
      <c r="B40" s="270" t="n"/>
      <c r="C40" s="271" t="n"/>
      <c r="D40" s="272">
        <f>IF(B40="","",IF(B40="c0",1,IF(B40="c1",IF(parametros!$A$3&lt;&gt;"Sim","",IF(NOT(ISNUMBER(parametros!$F$3)),"",1+parametros!$F$3)),IF(B40="c2",IF(parametros!$A$4&lt;&gt;"Sim","",IF(NOT(ISNUMBER(parametros!$F$4)),"",IF(parametros!$A$3="Sim",1+parametros!$F$3,1)*(1+parametros!$F$4))),IF(B40="c3",IF(parametros!$A$5&lt;&gt;"Sim","",IF(NOT(ISNUMBER(parametros!$F$5)),"",IF(parametros!$A$3="Sim",1+parametros!$F$3,1)*IF(parametros!$A$4="Sim",1+parametros!$F$4,1)*(1+parametros!$F$5))),IF(B40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0" s="273">
        <f>IF(OR(C40="",NOT(ISNUMBER(D40))),"",ROUND(C40*D40,2))</f>
        <v/>
      </c>
      <c r="F40" s="273">
        <f>IF(OR(C40="",E40=""),"",IF(G40&lt;&gt;"Sim",0,ROUND(E40-C40,2)))</f>
        <v/>
      </c>
      <c r="G40" s="274" t="n"/>
    </row>
    <row r="41">
      <c r="A41" s="270" t="n"/>
      <c r="B41" s="270" t="n"/>
      <c r="C41" s="271" t="n"/>
      <c r="D41" s="272">
        <f>IF(B41="","",IF(B41="c0",1,IF(B41="c1",IF(parametros!$A$3&lt;&gt;"Sim","",IF(NOT(ISNUMBER(parametros!$F$3)),"",1+parametros!$F$3)),IF(B41="c2",IF(parametros!$A$4&lt;&gt;"Sim","",IF(NOT(ISNUMBER(parametros!$F$4)),"",IF(parametros!$A$3="Sim",1+parametros!$F$3,1)*(1+parametros!$F$4))),IF(B41="c3",IF(parametros!$A$5&lt;&gt;"Sim","",IF(NOT(ISNUMBER(parametros!$F$5)),"",IF(parametros!$A$3="Sim",1+parametros!$F$3,1)*IF(parametros!$A$4="Sim",1+parametros!$F$4,1)*(1+parametros!$F$5))),IF(B41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1" s="273">
        <f>IF(OR(C41="",NOT(ISNUMBER(D41))),"",ROUND(C41*D41,2))</f>
        <v/>
      </c>
      <c r="F41" s="273">
        <f>IF(OR(C41="",E41=""),"",IF(G41&lt;&gt;"Sim",0,ROUND(E41-C41,2)))</f>
        <v/>
      </c>
      <c r="G41" s="274" t="n"/>
    </row>
    <row r="42">
      <c r="A42" s="270" t="n"/>
      <c r="B42" s="270" t="n"/>
      <c r="C42" s="271" t="n"/>
      <c r="D42" s="272">
        <f>IF(B42="","",IF(B42="c0",1,IF(B42="c1",IF(parametros!$A$3&lt;&gt;"Sim","",IF(NOT(ISNUMBER(parametros!$F$3)),"",1+parametros!$F$3)),IF(B42="c2",IF(parametros!$A$4&lt;&gt;"Sim","",IF(NOT(ISNUMBER(parametros!$F$4)),"",IF(parametros!$A$3="Sim",1+parametros!$F$3,1)*(1+parametros!$F$4))),IF(B42="c3",IF(parametros!$A$5&lt;&gt;"Sim","",IF(NOT(ISNUMBER(parametros!$F$5)),"",IF(parametros!$A$3="Sim",1+parametros!$F$3,1)*IF(parametros!$A$4="Sim",1+parametros!$F$4,1)*(1+parametros!$F$5))),IF(B42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2" s="273">
        <f>IF(OR(C42="",NOT(ISNUMBER(D42))),"",ROUND(C42*D42,2))</f>
        <v/>
      </c>
      <c r="F42" s="273">
        <f>IF(OR(C42="",E42=""),"",IF(G42&lt;&gt;"Sim",0,ROUND(E42-C42,2)))</f>
        <v/>
      </c>
      <c r="G42" s="274" t="n"/>
    </row>
    <row r="43">
      <c r="A43" s="270" t="n"/>
      <c r="B43" s="270" t="n"/>
      <c r="C43" s="271" t="n"/>
      <c r="D43" s="272">
        <f>IF(B43="","",IF(B43="c0",1,IF(B43="c1",IF(parametros!$A$3&lt;&gt;"Sim","",IF(NOT(ISNUMBER(parametros!$F$3)),"",1+parametros!$F$3)),IF(B43="c2",IF(parametros!$A$4&lt;&gt;"Sim","",IF(NOT(ISNUMBER(parametros!$F$4)),"",IF(parametros!$A$3="Sim",1+parametros!$F$3,1)*(1+parametros!$F$4))),IF(B43="c3",IF(parametros!$A$5&lt;&gt;"Sim","",IF(NOT(ISNUMBER(parametros!$F$5)),"",IF(parametros!$A$3="Sim",1+parametros!$F$3,1)*IF(parametros!$A$4="Sim",1+parametros!$F$4,1)*(1+parametros!$F$5))),IF(B43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3" s="273">
        <f>IF(OR(C43="",NOT(ISNUMBER(D43))),"",ROUND(C43*D43,2))</f>
        <v/>
      </c>
      <c r="F43" s="273">
        <f>IF(OR(C43="",E43=""),"",IF(G43&lt;&gt;"Sim",0,ROUND(E43-C43,2)))</f>
        <v/>
      </c>
      <c r="G43" s="274" t="n"/>
    </row>
    <row r="44">
      <c r="A44" s="270" t="n"/>
      <c r="B44" s="270" t="n"/>
      <c r="C44" s="271" t="n"/>
      <c r="D44" s="272">
        <f>IF(B44="","",IF(B44="c0",1,IF(B44="c1",IF(parametros!$A$3&lt;&gt;"Sim","",IF(NOT(ISNUMBER(parametros!$F$3)),"",1+parametros!$F$3)),IF(B44="c2",IF(parametros!$A$4&lt;&gt;"Sim","",IF(NOT(ISNUMBER(parametros!$F$4)),"",IF(parametros!$A$3="Sim",1+parametros!$F$3,1)*(1+parametros!$F$4))),IF(B44="c3",IF(parametros!$A$5&lt;&gt;"Sim","",IF(NOT(ISNUMBER(parametros!$F$5)),"",IF(parametros!$A$3="Sim",1+parametros!$F$3,1)*IF(parametros!$A$4="Sim",1+parametros!$F$4,1)*(1+parametros!$F$5))),IF(B44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4" s="273">
        <f>IF(OR(C44="",NOT(ISNUMBER(D44))),"",ROUND(C44*D44,2))</f>
        <v/>
      </c>
      <c r="F44" s="273">
        <f>IF(OR(C44="",E44=""),"",IF(G44&lt;&gt;"Sim",0,ROUND(E44-C44,2)))</f>
        <v/>
      </c>
      <c r="G44" s="274" t="n"/>
    </row>
    <row r="45">
      <c r="A45" s="270" t="n"/>
      <c r="B45" s="270" t="n"/>
      <c r="C45" s="271" t="n"/>
      <c r="D45" s="272">
        <f>IF(B45="","",IF(B45="c0",1,IF(B45="c1",IF(parametros!$A$3&lt;&gt;"Sim","",IF(NOT(ISNUMBER(parametros!$F$3)),"",1+parametros!$F$3)),IF(B45="c2",IF(parametros!$A$4&lt;&gt;"Sim","",IF(NOT(ISNUMBER(parametros!$F$4)),"",IF(parametros!$A$3="Sim",1+parametros!$F$3,1)*(1+parametros!$F$4))),IF(B45="c3",IF(parametros!$A$5&lt;&gt;"Sim","",IF(NOT(ISNUMBER(parametros!$F$5)),"",IF(parametros!$A$3="Sim",1+parametros!$F$3,1)*IF(parametros!$A$4="Sim",1+parametros!$F$4,1)*(1+parametros!$F$5))),IF(B45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5" s="273">
        <f>IF(OR(C45="",NOT(ISNUMBER(D45))),"",ROUND(C45*D45,2))</f>
        <v/>
      </c>
      <c r="F45" s="273">
        <f>IF(OR(C45="",E45=""),"",IF(G45&lt;&gt;"Sim",0,ROUND(E45-C45,2)))</f>
        <v/>
      </c>
      <c r="G45" s="274" t="n"/>
    </row>
    <row r="46">
      <c r="A46" s="270" t="n"/>
      <c r="B46" s="270" t="n"/>
      <c r="C46" s="271" t="n"/>
      <c r="D46" s="272">
        <f>IF(B46="","",IF(B46="c0",1,IF(B46="c1",IF(parametros!$A$3&lt;&gt;"Sim","",IF(NOT(ISNUMBER(parametros!$F$3)),"",1+parametros!$F$3)),IF(B46="c2",IF(parametros!$A$4&lt;&gt;"Sim","",IF(NOT(ISNUMBER(parametros!$F$4)),"",IF(parametros!$A$3="Sim",1+parametros!$F$3,1)*(1+parametros!$F$4))),IF(B46="c3",IF(parametros!$A$5&lt;&gt;"Sim","",IF(NOT(ISNUMBER(parametros!$F$5)),"",IF(parametros!$A$3="Sim",1+parametros!$F$3,1)*IF(parametros!$A$4="Sim",1+parametros!$F$4,1)*(1+parametros!$F$5))),IF(B46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6" s="273">
        <f>IF(OR(C46="",NOT(ISNUMBER(D46))),"",ROUND(C46*D46,2))</f>
        <v/>
      </c>
      <c r="F46" s="273">
        <f>IF(OR(C46="",E46=""),"",IF(G46&lt;&gt;"Sim",0,ROUND(E46-C46,2)))</f>
        <v/>
      </c>
      <c r="G46" s="274" t="n"/>
    </row>
    <row r="47">
      <c r="A47" s="270" t="n"/>
      <c r="B47" s="270" t="n"/>
      <c r="C47" s="271" t="n"/>
      <c r="D47" s="272">
        <f>IF(B47="","",IF(B47="c0",1,IF(B47="c1",IF(parametros!$A$3&lt;&gt;"Sim","",IF(NOT(ISNUMBER(parametros!$F$3)),"",1+parametros!$F$3)),IF(B47="c2",IF(parametros!$A$4&lt;&gt;"Sim","",IF(NOT(ISNUMBER(parametros!$F$4)),"",IF(parametros!$A$3="Sim",1+parametros!$F$3,1)*(1+parametros!$F$4))),IF(B47="c3",IF(parametros!$A$5&lt;&gt;"Sim","",IF(NOT(ISNUMBER(parametros!$F$5)),"",IF(parametros!$A$3="Sim",1+parametros!$F$3,1)*IF(parametros!$A$4="Sim",1+parametros!$F$4,1)*(1+parametros!$F$5))),IF(B47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7" s="273">
        <f>IF(OR(C47="",NOT(ISNUMBER(D47))),"",ROUND(C47*D47,2))</f>
        <v/>
      </c>
      <c r="F47" s="273">
        <f>IF(OR(C47="",E47=""),"",IF(G47&lt;&gt;"Sim",0,ROUND(E47-C47,2)))</f>
        <v/>
      </c>
      <c r="G47" s="274" t="n"/>
    </row>
    <row r="48">
      <c r="A48" s="270" t="n"/>
      <c r="B48" s="270" t="n"/>
      <c r="C48" s="271" t="n"/>
      <c r="D48" s="272">
        <f>IF(B48="","",IF(B48="c0",1,IF(B48="c1",IF(parametros!$A$3&lt;&gt;"Sim","",IF(NOT(ISNUMBER(parametros!$F$3)),"",1+parametros!$F$3)),IF(B48="c2",IF(parametros!$A$4&lt;&gt;"Sim","",IF(NOT(ISNUMBER(parametros!$F$4)),"",IF(parametros!$A$3="Sim",1+parametros!$F$3,1)*(1+parametros!$F$4))),IF(B48="c3",IF(parametros!$A$5&lt;&gt;"Sim","",IF(NOT(ISNUMBER(parametros!$F$5)),"",IF(parametros!$A$3="Sim",1+parametros!$F$3,1)*IF(parametros!$A$4="Sim",1+parametros!$F$4,1)*(1+parametros!$F$5))),IF(B48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8" s="273">
        <f>IF(OR(C48="",NOT(ISNUMBER(D48))),"",ROUND(C48*D48,2))</f>
        <v/>
      </c>
      <c r="F48" s="273">
        <f>IF(OR(C48="",E48=""),"",IF(G48&lt;&gt;"Sim",0,ROUND(E48-C48,2)))</f>
        <v/>
      </c>
      <c r="G48" s="274" t="n"/>
    </row>
    <row r="49">
      <c r="A49" s="270" t="n"/>
      <c r="B49" s="270" t="n"/>
      <c r="C49" s="271" t="n"/>
      <c r="D49" s="272">
        <f>IF(B49="","",IF(B49="c0",1,IF(B49="c1",IF(parametros!$A$3&lt;&gt;"Sim","",IF(NOT(ISNUMBER(parametros!$F$3)),"",1+parametros!$F$3)),IF(B49="c2",IF(parametros!$A$4&lt;&gt;"Sim","",IF(NOT(ISNUMBER(parametros!$F$4)),"",IF(parametros!$A$3="Sim",1+parametros!$F$3,1)*(1+parametros!$F$4))),IF(B49="c3",IF(parametros!$A$5&lt;&gt;"Sim","",IF(NOT(ISNUMBER(parametros!$F$5)),"",IF(parametros!$A$3="Sim",1+parametros!$F$3,1)*IF(parametros!$A$4="Sim",1+parametros!$F$4,1)*(1+parametros!$F$5))),IF(B49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49" s="273">
        <f>IF(OR(C49="",NOT(ISNUMBER(D49))),"",ROUND(C49*D49,2))</f>
        <v/>
      </c>
      <c r="F49" s="273">
        <f>IF(OR(C49="",E49=""),"",IF(G49&lt;&gt;"Sim",0,ROUND(E49-C49,2)))</f>
        <v/>
      </c>
      <c r="G49" s="274" t="n"/>
    </row>
    <row r="50">
      <c r="A50" s="270" t="n"/>
      <c r="B50" s="270" t="n"/>
      <c r="C50" s="271" t="n"/>
      <c r="D50" s="272">
        <f>IF(B50="","",IF(B50="c0",1,IF(B50="c1",IF(parametros!$A$3&lt;&gt;"Sim","",IF(NOT(ISNUMBER(parametros!$F$3)),"",1+parametros!$F$3)),IF(B50="c2",IF(parametros!$A$4&lt;&gt;"Sim","",IF(NOT(ISNUMBER(parametros!$F$4)),"",IF(parametros!$A$3="Sim",1+parametros!$F$3,1)*(1+parametros!$F$4))),IF(B50="c3",IF(parametros!$A$5&lt;&gt;"Sim","",IF(NOT(ISNUMBER(parametros!$F$5)),"",IF(parametros!$A$3="Sim",1+parametros!$F$3,1)*IF(parametros!$A$4="Sim",1+parametros!$F$4,1)*(1+parametros!$F$5))),IF(B50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0" s="273">
        <f>IF(OR(C50="",NOT(ISNUMBER(D50))),"",ROUND(C50*D50,2))</f>
        <v/>
      </c>
      <c r="F50" s="273">
        <f>IF(OR(C50="",E50=""),"",IF(G50&lt;&gt;"Sim",0,ROUND(E50-C50,2)))</f>
        <v/>
      </c>
      <c r="G50" s="274" t="n"/>
    </row>
    <row r="51">
      <c r="A51" s="270" t="n"/>
      <c r="B51" s="270" t="n"/>
      <c r="C51" s="271" t="n"/>
      <c r="D51" s="272">
        <f>IF(B51="","",IF(B51="c0",1,IF(B51="c1",IF(parametros!$A$3&lt;&gt;"Sim","",IF(NOT(ISNUMBER(parametros!$F$3)),"",1+parametros!$F$3)),IF(B51="c2",IF(parametros!$A$4&lt;&gt;"Sim","",IF(NOT(ISNUMBER(parametros!$F$4)),"",IF(parametros!$A$3="Sim",1+parametros!$F$3,1)*(1+parametros!$F$4))),IF(B51="c3",IF(parametros!$A$5&lt;&gt;"Sim","",IF(NOT(ISNUMBER(parametros!$F$5)),"",IF(parametros!$A$3="Sim",1+parametros!$F$3,1)*IF(parametros!$A$4="Sim",1+parametros!$F$4,1)*(1+parametros!$F$5))),IF(B51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1" s="273">
        <f>IF(OR(C51="",NOT(ISNUMBER(D51))),"",ROUND(C51*D51,2))</f>
        <v/>
      </c>
      <c r="F51" s="273">
        <f>IF(OR(C51="",E51=""),"",IF(G51&lt;&gt;"Sim",0,ROUND(E51-C51,2)))</f>
        <v/>
      </c>
      <c r="G51" s="274" t="n"/>
    </row>
    <row r="52">
      <c r="A52" s="270" t="n"/>
      <c r="B52" s="270" t="n"/>
      <c r="C52" s="271" t="n"/>
      <c r="D52" s="272">
        <f>IF(B52="","",IF(B52="c0",1,IF(B52="c1",IF(parametros!$A$3&lt;&gt;"Sim","",IF(NOT(ISNUMBER(parametros!$F$3)),"",1+parametros!$F$3)),IF(B52="c2",IF(parametros!$A$4&lt;&gt;"Sim","",IF(NOT(ISNUMBER(parametros!$F$4)),"",IF(parametros!$A$3="Sim",1+parametros!$F$3,1)*(1+parametros!$F$4))),IF(B52="c3",IF(parametros!$A$5&lt;&gt;"Sim","",IF(NOT(ISNUMBER(parametros!$F$5)),"",IF(parametros!$A$3="Sim",1+parametros!$F$3,1)*IF(parametros!$A$4="Sim",1+parametros!$F$4,1)*(1+parametros!$F$5))),IF(B52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2" s="273">
        <f>IF(OR(C52="",NOT(ISNUMBER(D52))),"",ROUND(C52*D52,2))</f>
        <v/>
      </c>
      <c r="F52" s="273">
        <f>IF(OR(C52="",E52=""),"",IF(G52&lt;&gt;"Sim",0,ROUND(E52-C52,2)))</f>
        <v/>
      </c>
      <c r="G52" s="274" t="n"/>
    </row>
    <row r="53">
      <c r="A53" s="270" t="n"/>
      <c r="B53" s="270" t="n"/>
      <c r="C53" s="271" t="n"/>
      <c r="D53" s="272">
        <f>IF(B53="","",IF(B53="c0",1,IF(B53="c1",IF(parametros!$A$3&lt;&gt;"Sim","",IF(NOT(ISNUMBER(parametros!$F$3)),"",1+parametros!$F$3)),IF(B53="c2",IF(parametros!$A$4&lt;&gt;"Sim","",IF(NOT(ISNUMBER(parametros!$F$4)),"",IF(parametros!$A$3="Sim",1+parametros!$F$3,1)*(1+parametros!$F$4))),IF(B53="c3",IF(parametros!$A$5&lt;&gt;"Sim","",IF(NOT(ISNUMBER(parametros!$F$5)),"",IF(parametros!$A$3="Sim",1+parametros!$F$3,1)*IF(parametros!$A$4="Sim",1+parametros!$F$4,1)*(1+parametros!$F$5))),IF(B53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3" s="273">
        <f>IF(OR(C53="",NOT(ISNUMBER(D53))),"",ROUND(C53*D53,2))</f>
        <v/>
      </c>
      <c r="F53" s="273">
        <f>IF(OR(C53="",E53=""),"",IF(G53&lt;&gt;"Sim",0,ROUND(E53-C53,2)))</f>
        <v/>
      </c>
      <c r="G53" s="274" t="n"/>
    </row>
    <row r="54">
      <c r="A54" s="270" t="n"/>
      <c r="B54" s="270" t="n"/>
      <c r="C54" s="271" t="n"/>
      <c r="D54" s="272">
        <f>IF(B54="","",IF(B54="c0",1,IF(B54="c1",IF(parametros!$A$3&lt;&gt;"Sim","",IF(NOT(ISNUMBER(parametros!$F$3)),"",1+parametros!$F$3)),IF(B54="c2",IF(parametros!$A$4&lt;&gt;"Sim","",IF(NOT(ISNUMBER(parametros!$F$4)),"",IF(parametros!$A$3="Sim",1+parametros!$F$3,1)*(1+parametros!$F$4))),IF(B54="c3",IF(parametros!$A$5&lt;&gt;"Sim","",IF(NOT(ISNUMBER(parametros!$F$5)),"",IF(parametros!$A$3="Sim",1+parametros!$F$3,1)*IF(parametros!$A$4="Sim",1+parametros!$F$4,1)*(1+parametros!$F$5))),IF(B54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4" s="273">
        <f>IF(OR(C54="",NOT(ISNUMBER(D54))),"",ROUND(C54*D54,2))</f>
        <v/>
      </c>
      <c r="F54" s="273">
        <f>IF(OR(C54="",E54=""),"",IF(G54&lt;&gt;"Sim",0,ROUND(E54-C54,2)))</f>
        <v/>
      </c>
      <c r="G54" s="274" t="n"/>
    </row>
    <row r="55">
      <c r="A55" s="270" t="n"/>
      <c r="B55" s="270" t="n"/>
      <c r="C55" s="271" t="n"/>
      <c r="D55" s="272">
        <f>IF(B55="","",IF(B55="c0",1,IF(B55="c1",IF(parametros!$A$3&lt;&gt;"Sim","",IF(NOT(ISNUMBER(parametros!$F$3)),"",1+parametros!$F$3)),IF(B55="c2",IF(parametros!$A$4&lt;&gt;"Sim","",IF(NOT(ISNUMBER(parametros!$F$4)),"",IF(parametros!$A$3="Sim",1+parametros!$F$3,1)*(1+parametros!$F$4))),IF(B55="c3",IF(parametros!$A$5&lt;&gt;"Sim","",IF(NOT(ISNUMBER(parametros!$F$5)),"",IF(parametros!$A$3="Sim",1+parametros!$F$3,1)*IF(parametros!$A$4="Sim",1+parametros!$F$4,1)*(1+parametros!$F$5))),IF(B55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5" s="273">
        <f>IF(OR(C55="",NOT(ISNUMBER(D55))),"",ROUND(C55*D55,2))</f>
        <v/>
      </c>
      <c r="F55" s="273">
        <f>IF(OR(C55="",E55=""),"",IF(G55&lt;&gt;"Sim",0,ROUND(E55-C55,2)))</f>
        <v/>
      </c>
      <c r="G55" s="274" t="n"/>
    </row>
    <row r="56">
      <c r="A56" s="270" t="n"/>
      <c r="B56" s="270" t="n"/>
      <c r="C56" s="271" t="n"/>
      <c r="D56" s="272">
        <f>IF(B56="","",IF(B56="c0",1,IF(B56="c1",IF(parametros!$A$3&lt;&gt;"Sim","",IF(NOT(ISNUMBER(parametros!$F$3)),"",1+parametros!$F$3)),IF(B56="c2",IF(parametros!$A$4&lt;&gt;"Sim","",IF(NOT(ISNUMBER(parametros!$F$4)),"",IF(parametros!$A$3="Sim",1+parametros!$F$3,1)*(1+parametros!$F$4))),IF(B56="c3",IF(parametros!$A$5&lt;&gt;"Sim","",IF(NOT(ISNUMBER(parametros!$F$5)),"",IF(parametros!$A$3="Sim",1+parametros!$F$3,1)*IF(parametros!$A$4="Sim",1+parametros!$F$4,1)*(1+parametros!$F$5))),IF(B56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6" s="273">
        <f>IF(OR(C56="",NOT(ISNUMBER(D56))),"",ROUND(C56*D56,2))</f>
        <v/>
      </c>
      <c r="F56" s="273">
        <f>IF(OR(C56="",E56=""),"",IF(G56&lt;&gt;"Sim",0,ROUND(E56-C56,2)))</f>
        <v/>
      </c>
      <c r="G56" s="274" t="n"/>
    </row>
    <row r="57">
      <c r="A57" s="270" t="n"/>
      <c r="B57" s="270" t="n"/>
      <c r="C57" s="271" t="n"/>
      <c r="D57" s="272">
        <f>IF(B57="","",IF(B57="c0",1,IF(B57="c1",IF(parametros!$A$3&lt;&gt;"Sim","",IF(NOT(ISNUMBER(parametros!$F$3)),"",1+parametros!$F$3)),IF(B57="c2",IF(parametros!$A$4&lt;&gt;"Sim","",IF(NOT(ISNUMBER(parametros!$F$4)),"",IF(parametros!$A$3="Sim",1+parametros!$F$3,1)*(1+parametros!$F$4))),IF(B57="c3",IF(parametros!$A$5&lt;&gt;"Sim","",IF(NOT(ISNUMBER(parametros!$F$5)),"",IF(parametros!$A$3="Sim",1+parametros!$F$3,1)*IF(parametros!$A$4="Sim",1+parametros!$F$4,1)*(1+parametros!$F$5))),IF(B57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7" s="273">
        <f>IF(OR(C57="",NOT(ISNUMBER(D57))),"",ROUND(C57*D57,2))</f>
        <v/>
      </c>
      <c r="F57" s="273">
        <f>IF(OR(C57="",E57=""),"",IF(G57&lt;&gt;"Sim",0,ROUND(E57-C57,2)))</f>
        <v/>
      </c>
      <c r="G57" s="274" t="n"/>
    </row>
    <row r="58">
      <c r="A58" s="270" t="n"/>
      <c r="B58" s="270" t="n"/>
      <c r="C58" s="271" t="n"/>
      <c r="D58" s="272">
        <f>IF(B58="","",IF(B58="c0",1,IF(B58="c1",IF(parametros!$A$3&lt;&gt;"Sim","",IF(NOT(ISNUMBER(parametros!$F$3)),"",1+parametros!$F$3)),IF(B58="c2",IF(parametros!$A$4&lt;&gt;"Sim","",IF(NOT(ISNUMBER(parametros!$F$4)),"",IF(parametros!$A$3="Sim",1+parametros!$F$3,1)*(1+parametros!$F$4))),IF(B58="c3",IF(parametros!$A$5&lt;&gt;"Sim","",IF(NOT(ISNUMBER(parametros!$F$5)),"",IF(parametros!$A$3="Sim",1+parametros!$F$3,1)*IF(parametros!$A$4="Sim",1+parametros!$F$4,1)*(1+parametros!$F$5))),IF(B58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8" s="273">
        <f>IF(OR(C58="",NOT(ISNUMBER(D58))),"",ROUND(C58*D58,2))</f>
        <v/>
      </c>
      <c r="F58" s="273">
        <f>IF(OR(C58="",E58=""),"",IF(G58&lt;&gt;"Sim",0,ROUND(E58-C58,2)))</f>
        <v/>
      </c>
      <c r="G58" s="274" t="n"/>
    </row>
    <row r="59">
      <c r="A59" s="270" t="n"/>
      <c r="B59" s="270" t="n"/>
      <c r="C59" s="271" t="n"/>
      <c r="D59" s="272">
        <f>IF(B59="","",IF(B59="c0",1,IF(B59="c1",IF(parametros!$A$3&lt;&gt;"Sim","",IF(NOT(ISNUMBER(parametros!$F$3)),"",1+parametros!$F$3)),IF(B59="c2",IF(parametros!$A$4&lt;&gt;"Sim","",IF(NOT(ISNUMBER(parametros!$F$4)),"",IF(parametros!$A$3="Sim",1+parametros!$F$3,1)*(1+parametros!$F$4))),IF(B59="c3",IF(parametros!$A$5&lt;&gt;"Sim","",IF(NOT(ISNUMBER(parametros!$F$5)),"",IF(parametros!$A$3="Sim",1+parametros!$F$3,1)*IF(parametros!$A$4="Sim",1+parametros!$F$4,1)*(1+parametros!$F$5))),IF(B59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59" s="273">
        <f>IF(OR(C59="",NOT(ISNUMBER(D59))),"",ROUND(C59*D59,2))</f>
        <v/>
      </c>
      <c r="F59" s="273">
        <f>IF(OR(C59="",E59=""),"",IF(G59&lt;&gt;"Sim",0,ROUND(E59-C59,2)))</f>
        <v/>
      </c>
      <c r="G59" s="274" t="n"/>
    </row>
    <row r="60">
      <c r="A60" s="270" t="n"/>
      <c r="B60" s="270" t="n"/>
      <c r="C60" s="271" t="n"/>
      <c r="D60" s="272">
        <f>IF(B60="","",IF(B60="c0",1,IF(B60="c1",IF(parametros!$A$3&lt;&gt;"Sim","",IF(NOT(ISNUMBER(parametros!$F$3)),"",1+parametros!$F$3)),IF(B60="c2",IF(parametros!$A$4&lt;&gt;"Sim","",IF(NOT(ISNUMBER(parametros!$F$4)),"",IF(parametros!$A$3="Sim",1+parametros!$F$3,1)*(1+parametros!$F$4))),IF(B60="c3",IF(parametros!$A$5&lt;&gt;"Sim","",IF(NOT(ISNUMBER(parametros!$F$5)),"",IF(parametros!$A$3="Sim",1+parametros!$F$3,1)*IF(parametros!$A$4="Sim",1+parametros!$F$4,1)*(1+parametros!$F$5))),IF(B60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60" s="273">
        <f>IF(OR(C60="",NOT(ISNUMBER(D60))),"",ROUND(C60*D60,2))</f>
        <v/>
      </c>
      <c r="F60" s="273">
        <f>IF(OR(C60="",E60=""),"",IF(G60&lt;&gt;"Sim",0,ROUND(E60-C60,2)))</f>
        <v/>
      </c>
      <c r="G60" s="274" t="n"/>
    </row>
    <row r="61">
      <c r="A61" s="270" t="n"/>
      <c r="B61" s="270" t="n"/>
      <c r="C61" s="271" t="n"/>
      <c r="D61" s="272">
        <f>IF(B61="","",IF(B61="c0",1,IF(B61="c1",IF(parametros!$A$3&lt;&gt;"Sim","",IF(NOT(ISNUMBER(parametros!$F$3)),"",1+parametros!$F$3)),IF(B61="c2",IF(parametros!$A$4&lt;&gt;"Sim","",IF(NOT(ISNUMBER(parametros!$F$4)),"",IF(parametros!$A$3="Sim",1+parametros!$F$3,1)*(1+parametros!$F$4))),IF(B61="c3",IF(parametros!$A$5&lt;&gt;"Sim","",IF(NOT(ISNUMBER(parametros!$F$5)),"",IF(parametros!$A$3="Sim",1+parametros!$F$3,1)*IF(parametros!$A$4="Sim",1+parametros!$F$4,1)*(1+parametros!$F$5))),IF(B61="c4",IF(parametros!$A$6&lt;&gt;"Sim","",IF(NOT(ISNUMBER(parametros!$F$6)),"",IF(parametros!$A$3="Sim",1+parametros!$F$3,1)*IF(parametros!$A$4="Sim",1+parametros!$F$4,1)*IF(parametros!$A$5="Sim",1+parametros!$F$5,1)*(1+parametros!$F$6))),""))))))</f>
        <v/>
      </c>
      <c r="E61" s="273">
        <f>IF(OR(C61="",NOT(ISNUMBER(D61))),"",ROUND(C61*D61,2))</f>
        <v/>
      </c>
      <c r="F61" s="273">
        <f>IF(OR(C61="",E61=""),"",IF(G61&lt;&gt;"Sim",0,ROUND(E61-C61,2)))</f>
        <v/>
      </c>
      <c r="G61" s="274" t="n"/>
    </row>
  </sheetData>
  <dataValidations count="1">
    <dataValidation sqref="G2:G195" showDropDown="0" showInputMessage="0" showErrorMessage="1" allowBlank="1" errorTitle="Valor invalido" error="Usar apenas Sim ou Nao" type="list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0"/>
  <sheetViews>
    <sheetView showGridLines="0" workbookViewId="0">
      <pane ySplit="1" topLeftCell="A2" activePane="bottomLeft" state="frozen"/>
      <selection pane="bottomLeft" activeCell="H20" sqref="H20"/>
    </sheetView>
  </sheetViews>
  <sheetFormatPr baseColWidth="8" defaultColWidth="19" defaultRowHeight="15"/>
  <cols>
    <col width="6" customWidth="1" min="1" max="1"/>
    <col width="16.140625" customWidth="1" min="2" max="2"/>
    <col width="11.7109375" customWidth="1" min="3" max="3"/>
    <col width="14.42578125" customWidth="1" min="4" max="4"/>
    <col width="24.28515625" customWidth="1" min="21" max="21"/>
  </cols>
  <sheetData>
    <row r="1" ht="42" customHeight="1">
      <c r="A1" s="269" t="inlineStr">
        <is>
          <t>ITEM</t>
        </is>
      </c>
      <c r="B1" s="269" t="inlineStr">
        <is>
          <t>QTD_CONTRATADA</t>
        </is>
      </c>
      <c r="C1" s="269" t="inlineStr">
        <is>
          <t>VU_ORIGINAL</t>
        </is>
      </c>
      <c r="D1" s="269" t="inlineStr">
        <is>
          <t>VALOR_TOTAL</t>
        </is>
      </c>
      <c r="E1" s="275">
        <f>IF(parametros!$D$3="","QTD_REM_INICIO_C1","QTD_REM_INICIO_C1"&amp;CHAR(10)&amp;"Inicio: "&amp;RIGHT("0"&amp;DAY(parametros!$D$3),2)&amp;"/"&amp;RIGHT("0"&amp;MONTH(parametros!$D$3),2)&amp;"/"&amp;YEAR(parametros!$D$3))</f>
        <v/>
      </c>
      <c r="F1" s="275">
        <f>IF(parametros!$D$3="","VALOR_REM_INICIO_C1","VALOR_REM_INICIO_C1"&amp;CHAR(10)&amp;"Inicio: "&amp;RIGHT("0"&amp;DAY(parametros!$D$3),2)&amp;"/"&amp;RIGHT("0"&amp;MONTH(parametros!$D$3),2)&amp;"/"&amp;YEAR(parametros!$D$3))</f>
        <v/>
      </c>
      <c r="G1" s="55">
        <f>IF(parametros!$D$4="","QTD_REM_INICIO_C2","QTD_REM_INICIO_C2"&amp;CHAR(10)&amp;"Inicio: "&amp;RIGHT("0"&amp;DAY(parametros!$D$4),2)&amp;"/"&amp;RIGHT("0"&amp;MONTH(parametros!$D$4),2)&amp;"/"&amp;YEAR(parametros!$D$4))</f>
        <v/>
      </c>
      <c r="H1" s="55">
        <f>IF(parametros!$D$4="","VALOR_REM_INICIO_C2","VALOR_REM_INICIO_C2"&amp;CHAR(10)&amp;"Inicio: "&amp;RIGHT("0"&amp;DAY(parametros!$D$4),2)&amp;"/"&amp;RIGHT("0"&amp;MONTH(parametros!$D$4),2)&amp;"/"&amp;YEAR(parametros!$D$4))</f>
        <v/>
      </c>
      <c r="I1" s="275">
        <f>IF(parametros!$D$5="","QTD_REM_INICIO_C3","QTD_REM_INICIO_C3"&amp;CHAR(10)&amp;"Inicio: "&amp;RIGHT("0"&amp;DAY(parametros!$D$5),2)&amp;"/"&amp;RIGHT("0"&amp;MONTH(parametros!$D$5),2)&amp;"/"&amp;YEAR(parametros!$D$5))</f>
        <v/>
      </c>
      <c r="J1" s="275">
        <f>IF(parametros!$D$5="","VALOR_REM_INICIO_C3","VALOR_REM_INICIO_C3"&amp;CHAR(10)&amp;"Inicio: "&amp;RIGHT("0"&amp;DAY(parametros!$D$5),2)&amp;"/"&amp;RIGHT("0"&amp;MONTH(parametros!$D$5),2)&amp;"/"&amp;YEAR(parametros!$D$5))</f>
        <v/>
      </c>
      <c r="K1" s="55">
        <f>IF(parametros!$D$6="","QTD_REM_INICIO_C4","QTD_REM_INICIO_C4"&amp;CHAR(10)&amp;"Inicio: "&amp;RIGHT("0"&amp;DAY(parametros!$D$6),2)&amp;"/"&amp;RIGHT("0"&amp;MONTH(parametros!$D$6),2)&amp;"/"&amp;YEAR(parametros!$D$6))</f>
        <v/>
      </c>
      <c r="L1" s="55">
        <f>IF(parametros!$D$6="","VALOR_REM_INICIO_C4","VALOR_REM_INICIO_C4"&amp;CHAR(10)&amp;"Inicio: "&amp;RIGHT("0"&amp;DAY(parametros!$D$6),2)&amp;"/"&amp;RIGHT("0"&amp;MONTH(parametros!$D$6),2)&amp;"/"&amp;YEAR(parametros!$D$6))</f>
        <v/>
      </c>
      <c r="M1" s="276">
        <f>IF(parametros!$D$3="","QTD_EXECUTADA_C1","QTD_EXECUTADA_C1"&amp;CHAR(10)&amp;"Inicio: "&amp;RIGHT("0"&amp;DAY(parametros!$D$3),2)&amp;"/"&amp;RIGHT("0"&amp;MONTH(parametros!$D$3),2)&amp;"/"&amp;YEAR(parametros!$D$3))</f>
        <v/>
      </c>
      <c r="N1" s="276">
        <f>IF(parametros!$D$3="","VALOR_EXECUTADO_C1","VALOR_EXECUTADO_C1"&amp;CHAR(10)&amp;"Inicio: "&amp;RIGHT("0"&amp;DAY(parametros!$D$3),2)&amp;"/"&amp;RIGHT("0"&amp;MONTH(parametros!$D$3),2)&amp;"/"&amp;YEAR(parametros!$D$3))</f>
        <v/>
      </c>
      <c r="O1" s="57">
        <f>IF(parametros!$D$4="","QTD_EXECUTADA_C2","QTD_EXECUTADA_C2"&amp;CHAR(10)&amp;"Inicio: "&amp;RIGHT("0"&amp;DAY(parametros!$D$4),2)&amp;"/"&amp;RIGHT("0"&amp;MONTH(parametros!$D$4),2)&amp;"/"&amp;YEAR(parametros!$D$4))</f>
        <v/>
      </c>
      <c r="P1" s="57">
        <f>IF(parametros!$D$4="","VALOR_EXECUTADO_C2","VALOR_EXECUTADO_C2"&amp;CHAR(10)&amp;"Inicio: "&amp;RIGHT("0"&amp;DAY(parametros!$D$4),2)&amp;"/"&amp;RIGHT("0"&amp;MONTH(parametros!$D$4),2)&amp;"/"&amp;YEAR(parametros!$D$4))</f>
        <v/>
      </c>
      <c r="Q1" s="276">
        <f>IF(parametros!$D$5="","QTD_EXECUTADA_C3","QTD_EXECUTADA_C3"&amp;CHAR(10)&amp;"Inicio: "&amp;RIGHT("0"&amp;DAY(parametros!$D$5),2)&amp;"/"&amp;RIGHT("0"&amp;MONTH(parametros!$D$5),2)&amp;"/"&amp;YEAR(parametros!$D$5))</f>
        <v/>
      </c>
      <c r="R1" s="276">
        <f>IF(parametros!$D$5="","VALOR_EXECUTADO_C3","VALOR_EXECUTADO_C3"&amp;CHAR(10)&amp;"Inicio: "&amp;RIGHT("0"&amp;DAY(parametros!$D$5),2)&amp;"/"&amp;RIGHT("0"&amp;MONTH(parametros!$D$5),2)&amp;"/"&amp;YEAR(parametros!$D$5))</f>
        <v/>
      </c>
      <c r="S1" s="57">
        <f>IF(parametros!$D$6="","QTD_EXECUTADA_C4","QTD_EXECUTADA_C4"&amp;CHAR(10)&amp;"Inicio: "&amp;RIGHT("0"&amp;DAY(parametros!$D$6),2)&amp;"/"&amp;RIGHT("0"&amp;MONTH(parametros!$D$6),2)&amp;"/"&amp;YEAR(parametros!$D$6))</f>
        <v/>
      </c>
      <c r="T1" s="57">
        <f>IF(parametros!$D$6="","VALOR_EXECUTADO_C4","VALOR_EXECUTADO_C4"&amp;CHAR(10)&amp;"Inicio: "&amp;RIGHT("0"&amp;DAY(parametros!$D$6),2)&amp;"/"&amp;RIGHT("0"&amp;MONTH(parametros!$D$6),2)&amp;"/"&amp;YEAR(parametros!$D$6))</f>
        <v/>
      </c>
      <c r="U1" s="269" t="inlineStr">
        <is>
          <t>CHECK</t>
        </is>
      </c>
      <c r="V1" s="269" t="inlineStr">
        <is>
          <t>CHECK_QTD</t>
        </is>
      </c>
      <c r="W1" s="277" t="inlineStr">
        <is>
          <t>CICLO</t>
        </is>
      </c>
      <c r="X1" s="277" t="inlineStr">
        <is>
          <t>COMPUTAR_NESTA_APURACAO</t>
        </is>
      </c>
      <c r="Y1" s="277" t="inlineStr">
        <is>
          <t>FATOR_PROPRIO</t>
        </is>
      </c>
      <c r="Z1" s="277" t="inlineStr">
        <is>
          <t>FATOR_ACUMULADO</t>
        </is>
      </c>
      <c r="AA1" s="59" t="inlineStr">
        <is>
          <t>EXECUÇÃO IMPLÍCITA C0 — INFORMATIVO</t>
        </is>
      </c>
      <c r="AB1" s="60" t="inlineStr">
        <is>
          <t>QTD_EXECUTADA_C0</t>
        </is>
      </c>
      <c r="AC1" s="60" t="inlineStr">
        <is>
          <t>VALOR_EXECUTADO_C0</t>
        </is>
      </c>
      <c r="AD1" s="27" t="n"/>
    </row>
    <row r="2">
      <c r="A2" s="278" t="n"/>
      <c r="B2" s="279" t="n"/>
      <c r="C2" s="280" t="n"/>
      <c r="D2" s="273">
        <f>IF(OR(A2="",B2="",C2=""),"",ROUND(B2*C2,2))</f>
        <v/>
      </c>
      <c r="E2" s="281" t="n"/>
      <c r="F2" s="273">
        <f>IF(OR(A2="",E2="",C2="",NOT(ISNUMBER($Z$3))),"",ROUND(E2*C2*$Z$3,2))</f>
        <v/>
      </c>
      <c r="G2" s="281" t="n"/>
      <c r="H2" s="273">
        <f>IF(OR(A2="",G2="",C2="",NOT(ISNUMBER($Z$4))),"",ROUND(G2*C2*$Z$4,2))</f>
        <v/>
      </c>
      <c r="I2" s="281" t="n"/>
      <c r="J2" s="273">
        <f>IF(OR(A2="",I2="",C2="",NOT(ISNUMBER($Z$5))),"",ROUND(I2*C2*$Z$5,2))</f>
        <v/>
      </c>
      <c r="K2" s="281" t="n"/>
      <c r="L2" s="273">
        <f>IF(OR(A2="",K2="",C2="",NOT(ISNUMBER($Z$6))),"",ROUND(K2*C2*$Z$6,2))</f>
        <v/>
      </c>
      <c r="M2" s="282">
        <f>IF(OR(E2="",G2=""),"",ROUND(MAX(E2-G2,0),2))</f>
        <v/>
      </c>
      <c r="N2" s="273">
        <f>IF(OR(M2="",C2="",NOT(ISNUMBER($Z$3))),"",ROUND(M2*C2*$Z$3,2))</f>
        <v/>
      </c>
      <c r="O2" s="282">
        <f>IF(OR(G2="",I2=""),"",ROUND(MAX(G2-I2,0),2))</f>
        <v/>
      </c>
      <c r="P2" s="273">
        <f>IF(OR(O2="",C2="",NOT(ISNUMBER($Z$4))),"",ROUND(O2*C2*$Z$4,2))</f>
        <v/>
      </c>
      <c r="Q2" s="282">
        <f>IF(OR(I2="",K2=""),"",ROUND(MAX(I2-K2,0),2))</f>
        <v/>
      </c>
      <c r="R2" s="273">
        <f>IF(OR(Q2="",C2="",NOT(ISNUMBER($Z$5))),"",ROUND(Q2*C2*$Z$5,2))</f>
        <v/>
      </c>
      <c r="S2" s="62" t="n"/>
      <c r="T2" s="283" t="n"/>
      <c r="U2" s="284">
        <f>IF(A2="","",IF(AND(G2&lt;&gt;"",E2&lt;&gt;"",G2&gt;E2),"ALERTA: REM_C2&gt;REM_C1",IF(AND(I2&lt;&gt;"",G2&lt;&gt;"",I2&gt;G2),"ALERTA: REM_C3&gt;REM_C2",IF(AND(K2&lt;&gt;"",I2&lt;&gt;"",K2&gt;I2),"ALERTA: REM_C4&gt;REM_C3","OK"))))</f>
        <v/>
      </c>
      <c r="V2" s="284">
        <f>IF(A2="","",IF(B2="","",IF(OR(B2&lt;0,E2&gt;B2,G2&gt;B2,I2&gt;B2,K2&gt;B2),"ALERTA: QTD_INVALIDA","OK")))</f>
        <v/>
      </c>
      <c r="W2" s="285" t="inlineStr">
        <is>
          <t>C0</t>
        </is>
      </c>
      <c r="X2" s="286">
        <f>parametros!$A$2</f>
        <v/>
      </c>
      <c r="Y2" s="287">
        <f>IF(ISNUMBER(parametros!$F$2),parametros!$F$2,"")</f>
        <v/>
      </c>
      <c r="Z2" s="288">
        <f>IF(ISNUMBER(parametros!$G$2),parametros!$G$2,"")</f>
        <v/>
      </c>
      <c r="AA2" s="27" t="n"/>
      <c r="AB2" s="282">
        <f>IF(OR(A2="",E2=""),"",ROUND(B2-E2,2))</f>
        <v/>
      </c>
      <c r="AC2" s="273">
        <f>IF(OR(A2="",E2=""),"",ROUND(D2-E2*C2,2))</f>
        <v/>
      </c>
      <c r="AD2" s="27" t="n"/>
    </row>
    <row r="3">
      <c r="A3" s="278" t="n"/>
      <c r="B3" s="279" t="n"/>
      <c r="C3" s="280" t="n"/>
      <c r="D3" s="273">
        <f>IF(OR(A3="",B3="",C3=""),"",ROUND(B3*C3,2))</f>
        <v/>
      </c>
      <c r="E3" s="281" t="n"/>
      <c r="F3" s="273">
        <f>IF(OR(A3="",E3="",C3="",NOT(ISNUMBER($Z$3))),"",ROUND(E3*C3*$Z$3,2))</f>
        <v/>
      </c>
      <c r="G3" s="281" t="n"/>
      <c r="H3" s="273">
        <f>IF(OR(A3="",G3="",C3="",NOT(ISNUMBER($Z$4))),"",ROUND(G3*C3*$Z$4,2))</f>
        <v/>
      </c>
      <c r="I3" s="281" t="n"/>
      <c r="J3" s="273">
        <f>IF(OR(A3="",I3="",C3="",NOT(ISNUMBER($Z$5))),"",ROUND(I3*C3*$Z$5,2))</f>
        <v/>
      </c>
      <c r="K3" s="281" t="n"/>
      <c r="L3" s="273">
        <f>IF(OR(A3="",K3="",C3="",NOT(ISNUMBER($Z$6))),"",ROUND(K3*C3*$Z$6,2))</f>
        <v/>
      </c>
      <c r="M3" s="282">
        <f>IF(OR(E3="",G3=""),"",ROUND(MAX(E3-G3,0),2))</f>
        <v/>
      </c>
      <c r="N3" s="273">
        <f>IF(OR(M3="",C3="",NOT(ISNUMBER($Z$3))),"",ROUND(M3*C3*$Z$3,2))</f>
        <v/>
      </c>
      <c r="O3" s="282">
        <f>IF(OR(G3="",I3=""),"",ROUND(MAX(G3-I3,0),2))</f>
        <v/>
      </c>
      <c r="P3" s="273">
        <f>IF(OR(O3="",C3="",NOT(ISNUMBER($Z$4))),"",ROUND(O3*C3*$Z$4,2))</f>
        <v/>
      </c>
      <c r="Q3" s="282">
        <f>IF(OR(I3="",K3=""),"",ROUND(MAX(I3-K3,0),2))</f>
        <v/>
      </c>
      <c r="R3" s="273">
        <f>IF(OR(Q3="",C3="",NOT(ISNUMBER($Z$5))),"",ROUND(Q3*C3*$Z$5,2))</f>
        <v/>
      </c>
      <c r="S3" s="62" t="n"/>
      <c r="T3" s="283" t="n"/>
      <c r="U3" s="284">
        <f>IF(A3="","",IF(AND(G3&lt;&gt;"",E3&lt;&gt;"",G3&gt;E3),"ALERTA: REM_C2&gt;REM_C1",IF(AND(I3&lt;&gt;"",G3&lt;&gt;"",I3&gt;G3),"ALERTA: REM_C3&gt;REM_C2",IF(AND(K3&lt;&gt;"",I3&lt;&gt;"",K3&gt;I3),"ALERTA: REM_C4&gt;REM_C3","OK"))))</f>
        <v/>
      </c>
      <c r="V3" s="284">
        <f>IF(A3="","",IF(B3="","",IF(OR(B3&lt;0,E3&gt;B3,G3&gt;B3,I3&gt;B3,K3&gt;B3),"ALERTA: QTD_INVALIDA","OK")))</f>
        <v/>
      </c>
      <c r="W3" s="285" t="inlineStr">
        <is>
          <t>C1</t>
        </is>
      </c>
      <c r="X3" s="286">
        <f>parametros!$A$3</f>
        <v/>
      </c>
      <c r="Y3" s="287">
        <f>IF(ISNUMBER(parametros!$F$3),parametros!$F$3,"")</f>
        <v/>
      </c>
      <c r="Z3" s="288">
        <f>IF(ISNUMBER(parametros!$G$3),parametros!$G$3,"")</f>
        <v/>
      </c>
      <c r="AA3" s="27" t="n"/>
      <c r="AB3" s="282">
        <f>IF(OR(A3="",E3=""),"",ROUND(B3-E3,2))</f>
        <v/>
      </c>
      <c r="AC3" s="273">
        <f>IF(OR(A3="",E3=""),"",ROUND(D3-E3*C3,2))</f>
        <v/>
      </c>
      <c r="AD3" s="27" t="n"/>
    </row>
    <row r="4">
      <c r="A4" s="278" t="n"/>
      <c r="B4" s="279" t="n"/>
      <c r="C4" s="280" t="n"/>
      <c r="D4" s="273">
        <f>IF(OR(A4="",B4="",C4=""),"",ROUND(B4*C4,2))</f>
        <v/>
      </c>
      <c r="E4" s="281" t="n"/>
      <c r="F4" s="273">
        <f>IF(OR(A4="",E4="",C4="",NOT(ISNUMBER($Z$3))),"",ROUND(E4*C4*$Z$3,2))</f>
        <v/>
      </c>
      <c r="G4" s="281" t="n"/>
      <c r="H4" s="273">
        <f>IF(OR(A4="",G4="",C4="",NOT(ISNUMBER($Z$4))),"",ROUND(G4*C4*$Z$4,2))</f>
        <v/>
      </c>
      <c r="I4" s="281" t="n"/>
      <c r="J4" s="273">
        <f>IF(OR(A4="",I4="",C4="",NOT(ISNUMBER($Z$5))),"",ROUND(I4*C4*$Z$5,2))</f>
        <v/>
      </c>
      <c r="K4" s="281" t="n"/>
      <c r="L4" s="273">
        <f>IF(OR(A4="",K4="",C4="",NOT(ISNUMBER($Z$6))),"",ROUND(K4*C4*$Z$6,2))</f>
        <v/>
      </c>
      <c r="M4" s="282">
        <f>IF(OR(E4="",G4=""),"",ROUND(MAX(E4-G4,0),2))</f>
        <v/>
      </c>
      <c r="N4" s="273">
        <f>IF(OR(M4="",C4="",NOT(ISNUMBER($Z$3))),"",ROUND(M4*C4*$Z$3,2))</f>
        <v/>
      </c>
      <c r="O4" s="282">
        <f>IF(OR(G4="",I4=""),"",ROUND(MAX(G4-I4,0),2))</f>
        <v/>
      </c>
      <c r="P4" s="273">
        <f>IF(OR(O4="",C4="",NOT(ISNUMBER($Z$4))),"",ROUND(O4*C4*$Z$4,2))</f>
        <v/>
      </c>
      <c r="Q4" s="282">
        <f>IF(OR(I4="",K4=""),"",ROUND(MAX(I4-K4,0),2))</f>
        <v/>
      </c>
      <c r="R4" s="273">
        <f>IF(OR(Q4="",C4="",NOT(ISNUMBER($Z$5))),"",ROUND(Q4*C4*$Z$5,2))</f>
        <v/>
      </c>
      <c r="S4" s="62" t="n"/>
      <c r="T4" s="283" t="n"/>
      <c r="U4" s="284">
        <f>IF(A4="","",IF(AND(G4&lt;&gt;"",E4&lt;&gt;"",G4&gt;E4),"ALERTA: REM_C2&gt;REM_C1",IF(AND(I4&lt;&gt;"",G4&lt;&gt;"",I4&gt;G4),"ALERTA: REM_C3&gt;REM_C2",IF(AND(K4&lt;&gt;"",I4&lt;&gt;"",K4&gt;I4),"ALERTA: REM_C4&gt;REM_C3","OK"))))</f>
        <v/>
      </c>
      <c r="V4" s="284">
        <f>IF(A4="","",IF(B4="","",IF(OR(B4&lt;0,E4&gt;B4,G4&gt;B4,I4&gt;B4,K4&gt;B4),"ALERTA: QTD_INVALIDA","OK")))</f>
        <v/>
      </c>
      <c r="W4" s="285" t="inlineStr">
        <is>
          <t>C2</t>
        </is>
      </c>
      <c r="X4" s="286">
        <f>parametros!$A$4</f>
        <v/>
      </c>
      <c r="Y4" s="287">
        <f>IF(ISNUMBER(parametros!$F$4),parametros!$F$4,"")</f>
        <v/>
      </c>
      <c r="Z4" s="288">
        <f>IF(ISNUMBER(parametros!$G$4),parametros!$G$4,"")</f>
        <v/>
      </c>
      <c r="AA4" s="27" t="n"/>
      <c r="AB4" s="282">
        <f>IF(OR(A4="",E4=""),"",ROUND(B4-E4,2))</f>
        <v/>
      </c>
      <c r="AC4" s="273">
        <f>IF(OR(A4="",E4=""),"",ROUND(D4-E4*C4,2))</f>
        <v/>
      </c>
      <c r="AD4" s="27" t="n"/>
    </row>
    <row r="5">
      <c r="A5" s="278" t="n"/>
      <c r="B5" s="279" t="n"/>
      <c r="C5" s="280" t="n"/>
      <c r="D5" s="273">
        <f>IF(OR(A5="",B5="",C5=""),"",ROUND(B5*C5,2))</f>
        <v/>
      </c>
      <c r="E5" s="281" t="n"/>
      <c r="F5" s="273">
        <f>IF(OR(A5="",E5="",C5="",NOT(ISNUMBER($Z$3))),"",ROUND(E5*C5*$Z$3,2))</f>
        <v/>
      </c>
      <c r="G5" s="281" t="n"/>
      <c r="H5" s="273">
        <f>IF(OR(A5="",G5="",C5="",NOT(ISNUMBER($Z$4))),"",ROUND(G5*C5*$Z$4,2))</f>
        <v/>
      </c>
      <c r="I5" s="281" t="n"/>
      <c r="J5" s="273">
        <f>IF(OR(A5="",I5="",C5="",NOT(ISNUMBER($Z$5))),"",ROUND(I5*C5*$Z$5,2))</f>
        <v/>
      </c>
      <c r="K5" s="281" t="n"/>
      <c r="L5" s="273">
        <f>IF(OR(A5="",K5="",C5="",NOT(ISNUMBER($Z$6))),"",ROUND(K5*C5*$Z$6,2))</f>
        <v/>
      </c>
      <c r="M5" s="282">
        <f>IF(OR(E5="",G5=""),"",ROUND(MAX(E5-G5,0),2))</f>
        <v/>
      </c>
      <c r="N5" s="273">
        <f>IF(OR(M5="",C5="",NOT(ISNUMBER($Z$3))),"",ROUND(M5*C5*$Z$3,2))</f>
        <v/>
      </c>
      <c r="O5" s="282">
        <f>IF(OR(G5="",I5=""),"",ROUND(MAX(G5-I5,0),2))</f>
        <v/>
      </c>
      <c r="P5" s="273">
        <f>IF(OR(O5="",C5="",NOT(ISNUMBER($Z$4))),"",ROUND(O5*C5*$Z$4,2))</f>
        <v/>
      </c>
      <c r="Q5" s="282">
        <f>IF(OR(I5="",K5=""),"",ROUND(MAX(I5-K5,0),2))</f>
        <v/>
      </c>
      <c r="R5" s="273">
        <f>IF(OR(Q5="",C5="",NOT(ISNUMBER($Z$5))),"",ROUND(Q5*C5*$Z$5,2))</f>
        <v/>
      </c>
      <c r="S5" s="62" t="n"/>
      <c r="T5" s="283" t="n"/>
      <c r="U5" s="284">
        <f>IF(A5="","",IF(AND(G5&lt;&gt;"",E5&lt;&gt;"",G5&gt;E5),"ALERTA: REM_C2&gt;REM_C1",IF(AND(I5&lt;&gt;"",G5&lt;&gt;"",I5&gt;G5),"ALERTA: REM_C3&gt;REM_C2",IF(AND(K5&lt;&gt;"",I5&lt;&gt;"",K5&gt;I5),"ALERTA: REM_C4&gt;REM_C3","OK"))))</f>
        <v/>
      </c>
      <c r="V5" s="284">
        <f>IF(A5="","",IF(B5="","",IF(OR(B5&lt;0,E5&gt;B5,G5&gt;B5,I5&gt;B5,K5&gt;B5),"ALERTA: QTD_INVALIDA","OK")))</f>
        <v/>
      </c>
      <c r="W5" s="285" t="inlineStr">
        <is>
          <t>C3</t>
        </is>
      </c>
      <c r="X5" s="286">
        <f>parametros!$A$5</f>
        <v/>
      </c>
      <c r="Y5" s="287">
        <f>IF(ISNUMBER(parametros!$F$5),parametros!$F$5,"")</f>
        <v/>
      </c>
      <c r="Z5" s="288">
        <f>IF(ISNUMBER(parametros!$G$5),parametros!$G$5,"")</f>
        <v/>
      </c>
      <c r="AA5" s="27" t="n"/>
      <c r="AB5" s="282">
        <f>IF(OR(A5="",E5=""),"",ROUND(B5-E5,2))</f>
        <v/>
      </c>
      <c r="AC5" s="273">
        <f>IF(OR(A5="",E5=""),"",ROUND(D5-E5*C5,2))</f>
        <v/>
      </c>
      <c r="AD5" s="27" t="n"/>
    </row>
    <row r="6">
      <c r="A6" s="278" t="n"/>
      <c r="B6" s="279" t="n"/>
      <c r="C6" s="280" t="n"/>
      <c r="D6" s="273">
        <f>IF(OR(A6="",B6="",C6=""),"",ROUND(B6*C6,2))</f>
        <v/>
      </c>
      <c r="E6" s="281" t="n"/>
      <c r="F6" s="273">
        <f>IF(OR(A6="",E6="",C6="",NOT(ISNUMBER($Z$3))),"",ROUND(E6*C6*$Z$3,2))</f>
        <v/>
      </c>
      <c r="G6" s="281" t="n"/>
      <c r="H6" s="273">
        <f>IF(OR(A6="",G6="",C6="",NOT(ISNUMBER($Z$4))),"",ROUND(G6*C6*$Z$4,2))</f>
        <v/>
      </c>
      <c r="I6" s="281" t="n"/>
      <c r="J6" s="273">
        <f>IF(OR(A6="",I6="",C6="",NOT(ISNUMBER($Z$5))),"",ROUND(I6*C6*$Z$5,2))</f>
        <v/>
      </c>
      <c r="K6" s="281" t="n"/>
      <c r="L6" s="273">
        <f>IF(OR(A6="",K6="",C6="",NOT(ISNUMBER($Z$6))),"",ROUND(K6*C6*$Z$6,2))</f>
        <v/>
      </c>
      <c r="M6" s="282">
        <f>IF(OR(E6="",G6=""),"",ROUND(MAX(E6-G6,0),2))</f>
        <v/>
      </c>
      <c r="N6" s="273">
        <f>IF(OR(M6="",C6="",NOT(ISNUMBER($Z$3))),"",ROUND(M6*C6*$Z$3,2))</f>
        <v/>
      </c>
      <c r="O6" s="282">
        <f>IF(OR(G6="",I6=""),"",ROUND(MAX(G6-I6,0),2))</f>
        <v/>
      </c>
      <c r="P6" s="273">
        <f>IF(OR(O6="",C6="",NOT(ISNUMBER($Z$4))),"",ROUND(O6*C6*$Z$4,2))</f>
        <v/>
      </c>
      <c r="Q6" s="282">
        <f>IF(OR(I6="",K6=""),"",ROUND(MAX(I6-K6,0),2))</f>
        <v/>
      </c>
      <c r="R6" s="273">
        <f>IF(OR(Q6="",C6="",NOT(ISNUMBER($Z$5))),"",ROUND(Q6*C6*$Z$5,2))</f>
        <v/>
      </c>
      <c r="S6" s="62" t="n"/>
      <c r="T6" s="283" t="n"/>
      <c r="U6" s="284">
        <f>IF(A6="","",IF(AND(G6&lt;&gt;"",E6&lt;&gt;"",G6&gt;E6),"ALERTA: REM_C2&gt;REM_C1",IF(AND(I6&lt;&gt;"",G6&lt;&gt;"",I6&gt;G6),"ALERTA: REM_C3&gt;REM_C2",IF(AND(K6&lt;&gt;"",I6&lt;&gt;"",K6&gt;I6),"ALERTA: REM_C4&gt;REM_C3","OK"))))</f>
        <v/>
      </c>
      <c r="V6" s="284">
        <f>IF(A6="","",IF(B6="","",IF(OR(B6&lt;0,E6&gt;B6,G6&gt;B6,I6&gt;B6,K6&gt;B6),"ALERTA: QTD_INVALIDA","OK")))</f>
        <v/>
      </c>
      <c r="W6" s="285" t="inlineStr">
        <is>
          <t>C4</t>
        </is>
      </c>
      <c r="X6" s="286">
        <f>parametros!$A$6</f>
        <v/>
      </c>
      <c r="Y6" s="287">
        <f>IF(ISNUMBER(parametros!$F$6),parametros!$F$6,"")</f>
        <v/>
      </c>
      <c r="Z6" s="288">
        <f>IF(ISNUMBER(parametros!$G$6),parametros!$G$6,"")</f>
        <v/>
      </c>
      <c r="AA6" s="27" t="n"/>
      <c r="AB6" s="282">
        <f>IF(OR(A6="",E6=""),"",ROUND(B6-E6,2))</f>
        <v/>
      </c>
      <c r="AC6" s="273">
        <f>IF(OR(A6="",E6=""),"",ROUND(D6-E6*C6,2))</f>
        <v/>
      </c>
      <c r="AD6" s="27" t="n"/>
    </row>
    <row r="7">
      <c r="A7" s="278" t="n"/>
      <c r="B7" s="279" t="n"/>
      <c r="C7" s="280" t="n"/>
      <c r="D7" s="273">
        <f>IF(OR(A7="",B7="",C7=""),"",ROUND(B7*C7,2))</f>
        <v/>
      </c>
      <c r="E7" s="281" t="n"/>
      <c r="F7" s="273">
        <f>IF(OR(A7="",E7="",C7="",NOT(ISNUMBER($Z$3))),"",ROUND(E7*C7*$Z$3,2))</f>
        <v/>
      </c>
      <c r="G7" s="281" t="n"/>
      <c r="H7" s="273">
        <f>IF(OR(A7="",G7="",C7="",NOT(ISNUMBER($Z$4))),"",ROUND(G7*C7*$Z$4,2))</f>
        <v/>
      </c>
      <c r="I7" s="281" t="n"/>
      <c r="J7" s="273">
        <f>IF(OR(A7="",I7="",C7="",NOT(ISNUMBER($Z$5))),"",ROUND(I7*C7*$Z$5,2))</f>
        <v/>
      </c>
      <c r="K7" s="281" t="n"/>
      <c r="L7" s="273">
        <f>IF(OR(A7="",K7="",C7="",NOT(ISNUMBER($Z$6))),"",ROUND(K7*C7*$Z$6,2))</f>
        <v/>
      </c>
      <c r="M7" s="282">
        <f>IF(OR(E7="",G7=""),"",ROUND(MAX(E7-G7,0),2))</f>
        <v/>
      </c>
      <c r="N7" s="273">
        <f>IF(OR(M7="",C7="",NOT(ISNUMBER($Z$3))),"",ROUND(M7*C7*$Z$3,2))</f>
        <v/>
      </c>
      <c r="O7" s="282">
        <f>IF(OR(G7="",I7=""),"",ROUND(MAX(G7-I7,0),2))</f>
        <v/>
      </c>
      <c r="P7" s="273">
        <f>IF(OR(O7="",C7="",NOT(ISNUMBER($Z$4))),"",ROUND(O7*C7*$Z$4,2))</f>
        <v/>
      </c>
      <c r="Q7" s="282">
        <f>IF(OR(I7="",K7=""),"",ROUND(MAX(I7-K7,0),2))</f>
        <v/>
      </c>
      <c r="R7" s="273">
        <f>IF(OR(Q7="",C7="",NOT(ISNUMBER($Z$5))),"",ROUND(Q7*C7*$Z$5,2))</f>
        <v/>
      </c>
      <c r="S7" s="62" t="n"/>
      <c r="T7" s="283" t="n"/>
      <c r="U7" s="284">
        <f>IF(A7="","",IF(AND(G7&lt;&gt;"",E7&lt;&gt;"",G7&gt;E7),"ALERTA: REM_C2&gt;REM_C1",IF(AND(I7&lt;&gt;"",G7&lt;&gt;"",I7&gt;G7),"ALERTA: REM_C3&gt;REM_C2",IF(AND(K7&lt;&gt;"",I7&lt;&gt;"",K7&gt;I7),"ALERTA: REM_C4&gt;REM_C3","OK"))))</f>
        <v/>
      </c>
      <c r="V7" s="284">
        <f>IF(A7="","",IF(B7="","",IF(OR(B7&lt;0,E7&gt;B7,G7&gt;B7,I7&gt;B7,K7&gt;B7),"ALERTA: QTD_INVALIDA","OK")))</f>
        <v/>
      </c>
      <c r="W7" s="34" t="n"/>
      <c r="X7" s="34" t="n"/>
      <c r="Y7" s="34" t="n"/>
      <c r="Z7" s="27" t="n"/>
      <c r="AA7" s="27" t="n"/>
      <c r="AB7" s="282">
        <f>IF(OR(A7="",E7=""),"",ROUND(B7-E7,2))</f>
        <v/>
      </c>
      <c r="AC7" s="273">
        <f>IF(OR(A7="",E7=""),"",ROUND(D7-E7*C7,2))</f>
        <v/>
      </c>
      <c r="AD7" s="27" t="n"/>
    </row>
    <row r="8">
      <c r="A8" s="278" t="n"/>
      <c r="B8" s="279" t="n"/>
      <c r="C8" s="280" t="n"/>
      <c r="D8" s="273">
        <f>IF(OR(A8="",B8="",C8=""),"",ROUND(B8*C8,2))</f>
        <v/>
      </c>
      <c r="E8" s="281" t="n"/>
      <c r="F8" s="273">
        <f>IF(OR(A8="",E8="",C8="",NOT(ISNUMBER($Z$3))),"",ROUND(E8*C8*$Z$3,2))</f>
        <v/>
      </c>
      <c r="G8" s="281" t="n"/>
      <c r="H8" s="273">
        <f>IF(OR(A8="",G8="",C8="",NOT(ISNUMBER($Z$4))),"",ROUND(G8*C8*$Z$4,2))</f>
        <v/>
      </c>
      <c r="I8" s="281" t="n"/>
      <c r="J8" s="273">
        <f>IF(OR(A8="",I8="",C8="",NOT(ISNUMBER($Z$5))),"",ROUND(I8*C8*$Z$5,2))</f>
        <v/>
      </c>
      <c r="K8" s="281" t="n"/>
      <c r="L8" s="273">
        <f>IF(OR(A8="",K8="",C8="",NOT(ISNUMBER($Z$6))),"",ROUND(K8*C8*$Z$6,2))</f>
        <v/>
      </c>
      <c r="M8" s="282">
        <f>IF(OR(E8="",G8=""),"",ROUND(MAX(E8-G8,0),2))</f>
        <v/>
      </c>
      <c r="N8" s="273">
        <f>IF(OR(M8="",C8="",NOT(ISNUMBER($Z$3))),"",ROUND(M8*C8*$Z$3,2))</f>
        <v/>
      </c>
      <c r="O8" s="282">
        <f>IF(OR(G8="",I8=""),"",ROUND(MAX(G8-I8,0),2))</f>
        <v/>
      </c>
      <c r="P8" s="273">
        <f>IF(OR(O8="",C8="",NOT(ISNUMBER($Z$4))),"",ROUND(O8*C8*$Z$4,2))</f>
        <v/>
      </c>
      <c r="Q8" s="282">
        <f>IF(OR(I8="",K8=""),"",ROUND(MAX(I8-K8,0),2))</f>
        <v/>
      </c>
      <c r="R8" s="273">
        <f>IF(OR(Q8="",C8="",NOT(ISNUMBER($Z$5))),"",ROUND(Q8*C8*$Z$5,2))</f>
        <v/>
      </c>
      <c r="S8" s="62" t="n"/>
      <c r="T8" s="283" t="n"/>
      <c r="U8" s="284">
        <f>IF(A8="","",IF(AND(G8&lt;&gt;"",E8&lt;&gt;"",G8&gt;E8),"ALERTA: REM_C2&gt;REM_C1",IF(AND(I8&lt;&gt;"",G8&lt;&gt;"",I8&gt;G8),"ALERTA: REM_C3&gt;REM_C2",IF(AND(K8&lt;&gt;"",I8&lt;&gt;"",K8&gt;I8),"ALERTA: REM_C4&gt;REM_C3","OK"))))</f>
        <v/>
      </c>
      <c r="V8" s="284">
        <f>IF(A8="","",IF(B8="","",IF(OR(B8&lt;0,E8&gt;B8,G8&gt;B8,I8&gt;B8,K8&gt;B8),"ALERTA: QTD_INVALIDA","OK")))</f>
        <v/>
      </c>
      <c r="W8" s="34" t="n"/>
      <c r="X8" s="34" t="n"/>
      <c r="Y8" s="34" t="n"/>
      <c r="Z8" s="27" t="n"/>
      <c r="AA8" s="27" t="n"/>
      <c r="AB8" s="282">
        <f>IF(OR(A8="",E8=""),"",ROUND(B8-E8,2))</f>
        <v/>
      </c>
      <c r="AC8" s="273">
        <f>IF(OR(A8="",E8=""),"",ROUND(D8-E8*C8,2))</f>
        <v/>
      </c>
      <c r="AD8" s="27" t="n"/>
    </row>
    <row r="9">
      <c r="A9" s="278" t="n"/>
      <c r="B9" s="279" t="n"/>
      <c r="C9" s="280" t="n"/>
      <c r="D9" s="273">
        <f>IF(OR(A9="",B9="",C9=""),"",ROUND(B9*C9,2))</f>
        <v/>
      </c>
      <c r="E9" s="281" t="n"/>
      <c r="F9" s="273">
        <f>IF(OR(A9="",E9="",C9="",NOT(ISNUMBER($Z$3))),"",ROUND(E9*C9*$Z$3,2))</f>
        <v/>
      </c>
      <c r="G9" s="281" t="n"/>
      <c r="H9" s="273">
        <f>IF(OR(A9="",G9="",C9="",NOT(ISNUMBER($Z$4))),"",ROUND(G9*C9*$Z$4,2))</f>
        <v/>
      </c>
      <c r="I9" s="281" t="n"/>
      <c r="J9" s="273">
        <f>IF(OR(A9="",I9="",C9="",NOT(ISNUMBER($Z$5))),"",ROUND(I9*C9*$Z$5,2))</f>
        <v/>
      </c>
      <c r="K9" s="281" t="n"/>
      <c r="L9" s="273">
        <f>IF(OR(A9="",K9="",C9="",NOT(ISNUMBER($Z$6))),"",ROUND(K9*C9*$Z$6,2))</f>
        <v/>
      </c>
      <c r="M9" s="282">
        <f>IF(OR(E9="",G9=""),"",ROUND(MAX(E9-G9,0),2))</f>
        <v/>
      </c>
      <c r="N9" s="273">
        <f>IF(OR(M9="",C9="",NOT(ISNUMBER($Z$3))),"",ROUND(M9*C9*$Z$3,2))</f>
        <v/>
      </c>
      <c r="O9" s="282">
        <f>IF(OR(G9="",I9=""),"",ROUND(MAX(G9-I9,0),2))</f>
        <v/>
      </c>
      <c r="P9" s="273">
        <f>IF(OR(O9="",C9="",NOT(ISNUMBER($Z$4))),"",ROUND(O9*C9*$Z$4,2))</f>
        <v/>
      </c>
      <c r="Q9" s="282">
        <f>IF(OR(I9="",K9=""),"",ROUND(MAX(I9-K9,0),2))</f>
        <v/>
      </c>
      <c r="R9" s="273">
        <f>IF(OR(Q9="",C9="",NOT(ISNUMBER($Z$5))),"",ROUND(Q9*C9*$Z$5,2))</f>
        <v/>
      </c>
      <c r="S9" s="62" t="n"/>
      <c r="T9" s="283" t="n"/>
      <c r="U9" s="284">
        <f>IF(A9="","",IF(AND(G9&lt;&gt;"",E9&lt;&gt;"",G9&gt;E9),"ALERTA: REM_C2&gt;REM_C1",IF(AND(I9&lt;&gt;"",G9&lt;&gt;"",I9&gt;G9),"ALERTA: REM_C3&gt;REM_C2",IF(AND(K9&lt;&gt;"",I9&lt;&gt;"",K9&gt;I9),"ALERTA: REM_C4&gt;REM_C3","OK"))))</f>
        <v/>
      </c>
      <c r="V9" s="284">
        <f>IF(A9="","",IF(B9="","",IF(OR(B9&lt;0,E9&gt;B9,G9&gt;B9,I9&gt;B9,K9&gt;B9),"ALERTA: QTD_INVALIDA","OK")))</f>
        <v/>
      </c>
      <c r="W9" s="34" t="n"/>
      <c r="X9" s="34" t="n"/>
      <c r="Y9" s="34" t="n"/>
      <c r="Z9" s="27" t="n"/>
      <c r="AA9" s="27" t="n"/>
      <c r="AB9" s="282">
        <f>IF(OR(A9="",E9=""),"",ROUND(B9-E9,2))</f>
        <v/>
      </c>
      <c r="AC9" s="273">
        <f>IF(OR(A9="",E9=""),"",ROUND(D9-E9*C9,2))</f>
        <v/>
      </c>
      <c r="AD9" s="27" t="n"/>
    </row>
    <row r="10">
      <c r="A10" s="278" t="n"/>
      <c r="B10" s="279" t="n"/>
      <c r="C10" s="280" t="n"/>
      <c r="D10" s="273">
        <f>IF(OR(A10="",B10="",C10=""),"",ROUND(B10*C10,2))</f>
        <v/>
      </c>
      <c r="E10" s="281" t="n"/>
      <c r="F10" s="273">
        <f>IF(OR(A10="",E10="",C10="",NOT(ISNUMBER($Z$3))),"",ROUND(E10*C10*$Z$3,2))</f>
        <v/>
      </c>
      <c r="G10" s="281" t="n"/>
      <c r="H10" s="273">
        <f>IF(OR(A10="",G10="",C10="",NOT(ISNUMBER($Z$4))),"",ROUND(G10*C10*$Z$4,2))</f>
        <v/>
      </c>
      <c r="I10" s="281" t="n"/>
      <c r="J10" s="273">
        <f>IF(OR(A10="",I10="",C10="",NOT(ISNUMBER($Z$5))),"",ROUND(I10*C10*$Z$5,2))</f>
        <v/>
      </c>
      <c r="K10" s="281" t="n"/>
      <c r="L10" s="273">
        <f>IF(OR(A10="",K10="",C10="",NOT(ISNUMBER($Z$6))),"",ROUND(K10*C10*$Z$6,2))</f>
        <v/>
      </c>
      <c r="M10" s="282">
        <f>IF(OR(E10="",G10=""),"",ROUND(MAX(E10-G10,0),2))</f>
        <v/>
      </c>
      <c r="N10" s="273">
        <f>IF(OR(M10="",C10="",NOT(ISNUMBER($Z$3))),"",ROUND(M10*C10*$Z$3,2))</f>
        <v/>
      </c>
      <c r="O10" s="282">
        <f>IF(OR(G10="",I10=""),"",ROUND(MAX(G10-I10,0),2))</f>
        <v/>
      </c>
      <c r="P10" s="273">
        <f>IF(OR(O10="",C10="",NOT(ISNUMBER($Z$4))),"",ROUND(O10*C10*$Z$4,2))</f>
        <v/>
      </c>
      <c r="Q10" s="282">
        <f>IF(OR(I10="",K10=""),"",ROUND(MAX(I10-K10,0),2))</f>
        <v/>
      </c>
      <c r="R10" s="273">
        <f>IF(OR(Q10="",C10="",NOT(ISNUMBER($Z$5))),"",ROUND(Q10*C10*$Z$5,2))</f>
        <v/>
      </c>
      <c r="S10" s="62" t="n"/>
      <c r="T10" s="283" t="n"/>
      <c r="U10" s="284">
        <f>IF(A10="","",IF(AND(G10&lt;&gt;"",E10&lt;&gt;"",G10&gt;E10),"ALERTA: REM_C2&gt;REM_C1",IF(AND(I10&lt;&gt;"",G10&lt;&gt;"",I10&gt;G10),"ALERTA: REM_C3&gt;REM_C2",IF(AND(K10&lt;&gt;"",I10&lt;&gt;"",K10&gt;I10),"ALERTA: REM_C4&gt;REM_C3","OK"))))</f>
        <v/>
      </c>
      <c r="V10" s="284">
        <f>IF(A10="","",IF(B10="","",IF(OR(B10&lt;0,E10&gt;B10,G10&gt;B10,I10&gt;B10,K10&gt;B10),"ALERTA: QTD_INVALIDA","OK")))</f>
        <v/>
      </c>
      <c r="W10" s="34" t="n"/>
      <c r="X10" s="34" t="n"/>
      <c r="Y10" s="34" t="n"/>
      <c r="Z10" s="27" t="n"/>
      <c r="AA10" s="27" t="n"/>
      <c r="AB10" s="282">
        <f>IF(OR(A10="",E10=""),"",ROUND(B10-E10,2))</f>
        <v/>
      </c>
      <c r="AC10" s="273">
        <f>IF(OR(A10="",E10=""),"",ROUND(D10-E10*C10,2))</f>
        <v/>
      </c>
      <c r="AD10" s="27" t="n"/>
    </row>
    <row r="11">
      <c r="A11" s="278" t="n"/>
      <c r="B11" s="279" t="n"/>
      <c r="C11" s="280" t="n"/>
      <c r="D11" s="273">
        <f>IF(OR(A11="",B11="",C11=""),"",ROUND(B11*C11,2))</f>
        <v/>
      </c>
      <c r="E11" s="281" t="n"/>
      <c r="F11" s="273">
        <f>IF(OR(A11="",E11="",C11="",NOT(ISNUMBER($Z$3))),"",ROUND(E11*C11*$Z$3,2))</f>
        <v/>
      </c>
      <c r="G11" s="281" t="n"/>
      <c r="H11" s="273">
        <f>IF(OR(A11="",G11="",C11="",NOT(ISNUMBER($Z$4))),"",ROUND(G11*C11*$Z$4,2))</f>
        <v/>
      </c>
      <c r="I11" s="281" t="n"/>
      <c r="J11" s="273">
        <f>IF(OR(A11="",I11="",C11="",NOT(ISNUMBER($Z$5))),"",ROUND(I11*C11*$Z$5,2))</f>
        <v/>
      </c>
      <c r="K11" s="281" t="n"/>
      <c r="L11" s="273">
        <f>IF(OR(A11="",K11="",C11="",NOT(ISNUMBER($Z$6))),"",ROUND(K11*C11*$Z$6,2))</f>
        <v/>
      </c>
      <c r="M11" s="282">
        <f>IF(OR(E11="",G11=""),"",ROUND(MAX(E11-G11,0),2))</f>
        <v/>
      </c>
      <c r="N11" s="273">
        <f>IF(OR(M11="",C11="",NOT(ISNUMBER($Z$3))),"",ROUND(M11*C11*$Z$3,2))</f>
        <v/>
      </c>
      <c r="O11" s="282">
        <f>IF(OR(G11="",I11=""),"",ROUND(MAX(G11-I11,0),2))</f>
        <v/>
      </c>
      <c r="P11" s="273">
        <f>IF(OR(O11="",C11="",NOT(ISNUMBER($Z$4))),"",ROUND(O11*C11*$Z$4,2))</f>
        <v/>
      </c>
      <c r="Q11" s="282">
        <f>IF(OR(I11="",K11=""),"",ROUND(MAX(I11-K11,0),2))</f>
        <v/>
      </c>
      <c r="R11" s="273">
        <f>IF(OR(Q11="",C11="",NOT(ISNUMBER($Z$5))),"",ROUND(Q11*C11*$Z$5,2))</f>
        <v/>
      </c>
      <c r="S11" s="62" t="n"/>
      <c r="T11" s="283" t="n"/>
      <c r="U11" s="284">
        <f>IF(A11="","",IF(AND(G11&lt;&gt;"",E11&lt;&gt;"",G11&gt;E11),"ALERTA: REM_C2&gt;REM_C1",IF(AND(I11&lt;&gt;"",G11&lt;&gt;"",I11&gt;G11),"ALERTA: REM_C3&gt;REM_C2",IF(AND(K11&lt;&gt;"",I11&lt;&gt;"",K11&gt;I11),"ALERTA: REM_C4&gt;REM_C3","OK"))))</f>
        <v/>
      </c>
      <c r="V11" s="284">
        <f>IF(A11="","",IF(B11="","",IF(OR(B11&lt;0,E11&gt;B11,G11&gt;B11,I11&gt;B11,K11&gt;B11),"ALERTA: QTD_INVALIDA","OK")))</f>
        <v/>
      </c>
      <c r="W11" s="34" t="n"/>
      <c r="X11" s="34" t="n"/>
      <c r="Y11" s="34" t="n"/>
      <c r="Z11" s="27" t="n"/>
      <c r="AA11" s="27" t="n"/>
      <c r="AB11" s="282">
        <f>IF(OR(A11="",E11=""),"",ROUND(B11-E11,2))</f>
        <v/>
      </c>
      <c r="AC11" s="273">
        <f>IF(OR(A11="",E11=""),"",ROUND(D11-E11*C11,2))</f>
        <v/>
      </c>
      <c r="AD11" s="27" t="n"/>
    </row>
    <row r="12">
      <c r="A12" s="278" t="n"/>
      <c r="B12" s="279" t="n"/>
      <c r="C12" s="280" t="n"/>
      <c r="D12" s="273">
        <f>IF(OR(A12="",B12="",C12=""),"",ROUND(B12*C12,2))</f>
        <v/>
      </c>
      <c r="E12" s="281" t="n"/>
      <c r="F12" s="273">
        <f>IF(OR(A12="",E12="",C12="",NOT(ISNUMBER($Z$3))),"",ROUND(E12*C12*$Z$3,2))</f>
        <v/>
      </c>
      <c r="G12" s="281" t="n"/>
      <c r="H12" s="273">
        <f>IF(OR(A12="",G12="",C12="",NOT(ISNUMBER($Z$4))),"",ROUND(G12*C12*$Z$4,2))</f>
        <v/>
      </c>
      <c r="I12" s="281" t="n"/>
      <c r="J12" s="273">
        <f>IF(OR(A12="",I12="",C12="",NOT(ISNUMBER($Z$5))),"",ROUND(I12*C12*$Z$5,2))</f>
        <v/>
      </c>
      <c r="K12" s="281" t="n"/>
      <c r="L12" s="273">
        <f>IF(OR(A12="",K12="",C12="",NOT(ISNUMBER($Z$6))),"",ROUND(K12*C12*$Z$6,2))</f>
        <v/>
      </c>
      <c r="M12" s="282">
        <f>IF(OR(E12="",G12=""),"",ROUND(MAX(E12-G12,0),2))</f>
        <v/>
      </c>
      <c r="N12" s="273">
        <f>IF(OR(M12="",C12="",NOT(ISNUMBER($Z$3))),"",ROUND(M12*C12*$Z$3,2))</f>
        <v/>
      </c>
      <c r="O12" s="282">
        <f>IF(OR(G12="",I12=""),"",ROUND(MAX(G12-I12,0),2))</f>
        <v/>
      </c>
      <c r="P12" s="273">
        <f>IF(OR(O12="",C12="",NOT(ISNUMBER($Z$4))),"",ROUND(O12*C12*$Z$4,2))</f>
        <v/>
      </c>
      <c r="Q12" s="282">
        <f>IF(OR(I12="",K12=""),"",ROUND(MAX(I12-K12,0),2))</f>
        <v/>
      </c>
      <c r="R12" s="273">
        <f>IF(OR(Q12="",C12="",NOT(ISNUMBER($Z$5))),"",ROUND(Q12*C12*$Z$5,2))</f>
        <v/>
      </c>
      <c r="S12" s="62" t="n"/>
      <c r="T12" s="283" t="n"/>
      <c r="U12" s="284">
        <f>IF(A12="","",IF(AND(G12&lt;&gt;"",E12&lt;&gt;"",G12&gt;E12),"ALERTA: REM_C2&gt;REM_C1",IF(AND(I12&lt;&gt;"",G12&lt;&gt;"",I12&gt;G12),"ALERTA: REM_C3&gt;REM_C2",IF(AND(K12&lt;&gt;"",I12&lt;&gt;"",K12&gt;I12),"ALERTA: REM_C4&gt;REM_C3","OK"))))</f>
        <v/>
      </c>
      <c r="V12" s="284">
        <f>IF(A12="","",IF(B12="","",IF(OR(B12&lt;0,E12&gt;B12,G12&gt;B12,I12&gt;B12,K12&gt;B12),"ALERTA: QTD_INVALIDA","OK")))</f>
        <v/>
      </c>
      <c r="W12" s="34" t="n"/>
      <c r="X12" s="34" t="n"/>
      <c r="Y12" s="34" t="n"/>
      <c r="Z12" s="27" t="n"/>
      <c r="AA12" s="27" t="n"/>
      <c r="AB12" s="282">
        <f>IF(OR(A12="",E12=""),"",ROUND(B12-E12,2))</f>
        <v/>
      </c>
      <c r="AC12" s="273">
        <f>IF(OR(A12="",E12=""),"",ROUND(D12-E12*C12,2))</f>
        <v/>
      </c>
      <c r="AD12" s="27" t="n"/>
    </row>
    <row r="13">
      <c r="A13" s="278" t="n"/>
      <c r="B13" s="279" t="n"/>
      <c r="C13" s="280" t="n"/>
      <c r="D13" s="273">
        <f>IF(OR(A13="",B13="",C13=""),"",ROUND(B13*C13,2))</f>
        <v/>
      </c>
      <c r="E13" s="281" t="n"/>
      <c r="F13" s="273">
        <f>IF(OR(A13="",E13="",C13="",NOT(ISNUMBER($Z$3))),"",ROUND(E13*C13*$Z$3,2))</f>
        <v/>
      </c>
      <c r="G13" s="281" t="n"/>
      <c r="H13" s="273">
        <f>IF(OR(A13="",G13="",C13="",NOT(ISNUMBER($Z$4))),"",ROUND(G13*C13*$Z$4,2))</f>
        <v/>
      </c>
      <c r="I13" s="281" t="n"/>
      <c r="J13" s="273">
        <f>IF(OR(A13="",I13="",C13="",NOT(ISNUMBER($Z$5))),"",ROUND(I13*C13*$Z$5,2))</f>
        <v/>
      </c>
      <c r="K13" s="281" t="n"/>
      <c r="L13" s="273">
        <f>IF(OR(A13="",K13="",C13="",NOT(ISNUMBER($Z$6))),"",ROUND(K13*C13*$Z$6,2))</f>
        <v/>
      </c>
      <c r="M13" s="282">
        <f>IF(OR(E13="",G13=""),"",ROUND(MAX(E13-G13,0),2))</f>
        <v/>
      </c>
      <c r="N13" s="273">
        <f>IF(OR(M13="",C13="",NOT(ISNUMBER($Z$3))),"",ROUND(M13*C13*$Z$3,2))</f>
        <v/>
      </c>
      <c r="O13" s="282">
        <f>IF(OR(G13="",I13=""),"",ROUND(MAX(G13-I13,0),2))</f>
        <v/>
      </c>
      <c r="P13" s="273">
        <f>IF(OR(O13="",C13="",NOT(ISNUMBER($Z$4))),"",ROUND(O13*C13*$Z$4,2))</f>
        <v/>
      </c>
      <c r="Q13" s="282">
        <f>IF(OR(I13="",K13=""),"",ROUND(MAX(I13-K13,0),2))</f>
        <v/>
      </c>
      <c r="R13" s="273">
        <f>IF(OR(Q13="",C13="",NOT(ISNUMBER($Z$5))),"",ROUND(Q13*C13*$Z$5,2))</f>
        <v/>
      </c>
      <c r="S13" s="62" t="n"/>
      <c r="T13" s="283" t="n"/>
      <c r="U13" s="284">
        <f>IF(A13="","",IF(AND(G13&lt;&gt;"",E13&lt;&gt;"",G13&gt;E13),"ALERTA: REM_C2&gt;REM_C1",IF(AND(I13&lt;&gt;"",G13&lt;&gt;"",I13&gt;G13),"ALERTA: REM_C3&gt;REM_C2",IF(AND(K13&lt;&gt;"",I13&lt;&gt;"",K13&gt;I13),"ALERTA: REM_C4&gt;REM_C3","OK"))))</f>
        <v/>
      </c>
      <c r="V13" s="284">
        <f>IF(A13="","",IF(B13="","",IF(OR(B13&lt;0,E13&gt;B13,G13&gt;B13,I13&gt;B13,K13&gt;B13),"ALERTA: QTD_INVALIDA","OK")))</f>
        <v/>
      </c>
      <c r="W13" s="34" t="n"/>
      <c r="X13" s="34" t="n"/>
      <c r="Y13" s="34" t="n"/>
      <c r="Z13" s="27" t="n"/>
      <c r="AA13" s="27" t="n"/>
      <c r="AB13" s="282">
        <f>IF(OR(A13="",E13=""),"",ROUND(B13-E13,2))</f>
        <v/>
      </c>
      <c r="AC13" s="273">
        <f>IF(OR(A13="",E13=""),"",ROUND(D13-E13*C13,2))</f>
        <v/>
      </c>
      <c r="AD13" s="27" t="n"/>
    </row>
    <row r="14">
      <c r="A14" s="278" t="n"/>
      <c r="B14" s="279" t="n"/>
      <c r="C14" s="280" t="n"/>
      <c r="D14" s="273">
        <f>IF(OR(A14="",B14="",C14=""),"",ROUND(B14*C14,2))</f>
        <v/>
      </c>
      <c r="E14" s="281" t="n"/>
      <c r="F14" s="273">
        <f>IF(OR(A14="",E14="",C14="",NOT(ISNUMBER($Z$3))),"",ROUND(E14*C14*$Z$3,2))</f>
        <v/>
      </c>
      <c r="G14" s="281" t="n"/>
      <c r="H14" s="273">
        <f>IF(OR(A14="",G14="",C14="",NOT(ISNUMBER($Z$4))),"",ROUND(G14*C14*$Z$4,2))</f>
        <v/>
      </c>
      <c r="I14" s="281" t="n"/>
      <c r="J14" s="273">
        <f>IF(OR(A14="",I14="",C14="",NOT(ISNUMBER($Z$5))),"",ROUND(I14*C14*$Z$5,2))</f>
        <v/>
      </c>
      <c r="K14" s="281" t="n"/>
      <c r="L14" s="273">
        <f>IF(OR(A14="",K14="",C14="",NOT(ISNUMBER($Z$6))),"",ROUND(K14*C14*$Z$6,2))</f>
        <v/>
      </c>
      <c r="M14" s="282">
        <f>IF(OR(E14="",G14=""),"",ROUND(MAX(E14-G14,0),2))</f>
        <v/>
      </c>
      <c r="N14" s="273">
        <f>IF(OR(M14="",C14="",NOT(ISNUMBER($Z$3))),"",ROUND(M14*C14*$Z$3,2))</f>
        <v/>
      </c>
      <c r="O14" s="282">
        <f>IF(OR(G14="",I14=""),"",ROUND(MAX(G14-I14,0),2))</f>
        <v/>
      </c>
      <c r="P14" s="273">
        <f>IF(OR(O14="",C14="",NOT(ISNUMBER($Z$4))),"",ROUND(O14*C14*$Z$4,2))</f>
        <v/>
      </c>
      <c r="Q14" s="282">
        <f>IF(OR(I14="",K14=""),"",ROUND(MAX(I14-K14,0),2))</f>
        <v/>
      </c>
      <c r="R14" s="273">
        <f>IF(OR(Q14="",C14="",NOT(ISNUMBER($Z$5))),"",ROUND(Q14*C14*$Z$5,2))</f>
        <v/>
      </c>
      <c r="S14" s="62" t="n"/>
      <c r="T14" s="283" t="n"/>
      <c r="U14" s="284">
        <f>IF(A14="","",IF(AND(G14&lt;&gt;"",E14&lt;&gt;"",G14&gt;E14),"ALERTA: REM_C2&gt;REM_C1",IF(AND(I14&lt;&gt;"",G14&lt;&gt;"",I14&gt;G14),"ALERTA: REM_C3&gt;REM_C2",IF(AND(K14&lt;&gt;"",I14&lt;&gt;"",K14&gt;I14),"ALERTA: REM_C4&gt;REM_C3","OK"))))</f>
        <v/>
      </c>
      <c r="V14" s="284">
        <f>IF(A14="","",IF(B14="","",IF(OR(B14&lt;0,E14&gt;B14,G14&gt;B14,I14&gt;B14,K14&gt;B14),"ALERTA: QTD_INVALIDA","OK")))</f>
        <v/>
      </c>
      <c r="W14" s="34" t="n"/>
      <c r="X14" s="34" t="n"/>
      <c r="Y14" s="34" t="n"/>
      <c r="Z14" s="27" t="n"/>
      <c r="AA14" s="27" t="n"/>
      <c r="AB14" s="282">
        <f>IF(OR(A14="",E14=""),"",ROUND(B14-E14,2))</f>
        <v/>
      </c>
      <c r="AC14" s="273">
        <f>IF(OR(A14="",E14=""),"",ROUND(D14-E14*C14,2))</f>
        <v/>
      </c>
      <c r="AD14" s="27" t="n"/>
    </row>
    <row r="15">
      <c r="A15" s="278" t="n"/>
      <c r="B15" s="279" t="n"/>
      <c r="C15" s="280" t="n"/>
      <c r="D15" s="273">
        <f>IF(OR(A15="",B15="",C15=""),"",ROUND(B15*C15,2))</f>
        <v/>
      </c>
      <c r="E15" s="281" t="n"/>
      <c r="F15" s="273">
        <f>IF(OR(A15="",E15="",C15="",NOT(ISNUMBER($Z$3))),"",ROUND(E15*C15*$Z$3,2))</f>
        <v/>
      </c>
      <c r="G15" s="281" t="n"/>
      <c r="H15" s="273">
        <f>IF(OR(A15="",G15="",C15="",NOT(ISNUMBER($Z$4))),"",ROUND(G15*C15*$Z$4,2))</f>
        <v/>
      </c>
      <c r="I15" s="281" t="n"/>
      <c r="J15" s="273">
        <f>IF(OR(A15="",I15="",C15="",NOT(ISNUMBER($Z$5))),"",ROUND(I15*C15*$Z$5,2))</f>
        <v/>
      </c>
      <c r="K15" s="281" t="n"/>
      <c r="L15" s="273">
        <f>IF(OR(A15="",K15="",C15="",NOT(ISNUMBER($Z$6))),"",ROUND(K15*C15*$Z$6,2))</f>
        <v/>
      </c>
      <c r="M15" s="282">
        <f>IF(OR(E15="",G15=""),"",ROUND(MAX(E15-G15,0),2))</f>
        <v/>
      </c>
      <c r="N15" s="273">
        <f>IF(OR(M15="",C15="",NOT(ISNUMBER($Z$3))),"",ROUND(M15*C15*$Z$3,2))</f>
        <v/>
      </c>
      <c r="O15" s="282">
        <f>IF(OR(G15="",I15=""),"",ROUND(MAX(G15-I15,0),2))</f>
        <v/>
      </c>
      <c r="P15" s="273">
        <f>IF(OR(O15="",C15="",NOT(ISNUMBER($Z$4))),"",ROUND(O15*C15*$Z$4,2))</f>
        <v/>
      </c>
      <c r="Q15" s="282">
        <f>IF(OR(I15="",K15=""),"",ROUND(MAX(I15-K15,0),2))</f>
        <v/>
      </c>
      <c r="R15" s="273">
        <f>IF(OR(Q15="",C15="",NOT(ISNUMBER($Z$5))),"",ROUND(Q15*C15*$Z$5,2))</f>
        <v/>
      </c>
      <c r="S15" s="62" t="n"/>
      <c r="T15" s="283" t="n"/>
      <c r="U15" s="284">
        <f>IF(A15="","",IF(AND(G15&lt;&gt;"",E15&lt;&gt;"",G15&gt;E15),"ALERTA: REM_C2&gt;REM_C1",IF(AND(I15&lt;&gt;"",G15&lt;&gt;"",I15&gt;G15),"ALERTA: REM_C3&gt;REM_C2",IF(AND(K15&lt;&gt;"",I15&lt;&gt;"",K15&gt;I15),"ALERTA: REM_C4&gt;REM_C3","OK"))))</f>
        <v/>
      </c>
      <c r="V15" s="284">
        <f>IF(A15="","",IF(B15="","",IF(OR(B15&lt;0,E15&gt;B15,G15&gt;B15,I15&gt;B15,K15&gt;B15),"ALERTA: QTD_INVALIDA","OK")))</f>
        <v/>
      </c>
      <c r="W15" s="34" t="n"/>
      <c r="X15" s="34" t="n"/>
      <c r="Y15" s="34" t="n"/>
      <c r="Z15" s="27" t="n"/>
      <c r="AA15" s="27" t="n"/>
      <c r="AB15" s="282">
        <f>IF(OR(A15="",E15=""),"",ROUND(B15-E15,2))</f>
        <v/>
      </c>
      <c r="AC15" s="273">
        <f>IF(OR(A15="",E15=""),"",ROUND(D15-E15*C15,2))</f>
        <v/>
      </c>
      <c r="AD15" s="27" t="n"/>
    </row>
    <row r="16">
      <c r="A16" s="278" t="n"/>
      <c r="B16" s="279" t="n"/>
      <c r="C16" s="280" t="n"/>
      <c r="D16" s="273">
        <f>IF(OR(A16="",B16="",C16=""),"",ROUND(B16*C16,2))</f>
        <v/>
      </c>
      <c r="E16" s="281" t="n"/>
      <c r="F16" s="273">
        <f>IF(OR(A16="",E16="",C16="",NOT(ISNUMBER($Z$3))),"",ROUND(E16*C16*$Z$3,2))</f>
        <v/>
      </c>
      <c r="G16" s="281" t="n"/>
      <c r="H16" s="273">
        <f>IF(OR(A16="",G16="",C16="",NOT(ISNUMBER($Z$4))),"",ROUND(G16*C16*$Z$4,2))</f>
        <v/>
      </c>
      <c r="I16" s="281" t="n"/>
      <c r="J16" s="273">
        <f>IF(OR(A16="",I16="",C16="",NOT(ISNUMBER($Z$5))),"",ROUND(I16*C16*$Z$5,2))</f>
        <v/>
      </c>
      <c r="K16" s="281" t="n"/>
      <c r="L16" s="273">
        <f>IF(OR(A16="",K16="",C16="",NOT(ISNUMBER($Z$6))),"",ROUND(K16*C16*$Z$6,2))</f>
        <v/>
      </c>
      <c r="M16" s="282">
        <f>IF(OR(E16="",G16=""),"",ROUND(MAX(E16-G16,0),2))</f>
        <v/>
      </c>
      <c r="N16" s="273">
        <f>IF(OR(M16="",C16="",NOT(ISNUMBER($Z$3))),"",ROUND(M16*C16*$Z$3,2))</f>
        <v/>
      </c>
      <c r="O16" s="282">
        <f>IF(OR(G16="",I16=""),"",ROUND(MAX(G16-I16,0),2))</f>
        <v/>
      </c>
      <c r="P16" s="273">
        <f>IF(OR(O16="",C16="",NOT(ISNUMBER($Z$4))),"",ROUND(O16*C16*$Z$4,2))</f>
        <v/>
      </c>
      <c r="Q16" s="282">
        <f>IF(OR(I16="",K16=""),"",ROUND(MAX(I16-K16,0),2))</f>
        <v/>
      </c>
      <c r="R16" s="273">
        <f>IF(OR(Q16="",C16="",NOT(ISNUMBER($Z$5))),"",ROUND(Q16*C16*$Z$5,2))</f>
        <v/>
      </c>
      <c r="S16" s="62" t="n"/>
      <c r="T16" s="283" t="n"/>
      <c r="U16" s="284">
        <f>IF(A16="","",IF(AND(G16&lt;&gt;"",E16&lt;&gt;"",G16&gt;E16),"ALERTA: REM_C2&gt;REM_C1",IF(AND(I16&lt;&gt;"",G16&lt;&gt;"",I16&gt;G16),"ALERTA: REM_C3&gt;REM_C2",IF(AND(K16&lt;&gt;"",I16&lt;&gt;"",K16&gt;I16),"ALERTA: REM_C4&gt;REM_C3","OK"))))</f>
        <v/>
      </c>
      <c r="V16" s="284">
        <f>IF(A16="","",IF(B16="","",IF(OR(B16&lt;0,E16&gt;B16,G16&gt;B16,I16&gt;B16,K16&gt;B16),"ALERTA: QTD_INVALIDA","OK")))</f>
        <v/>
      </c>
      <c r="W16" s="34" t="n"/>
      <c r="X16" s="34" t="n"/>
      <c r="Y16" s="34" t="n"/>
      <c r="Z16" s="27" t="n"/>
      <c r="AA16" s="27" t="n"/>
      <c r="AB16" s="282">
        <f>IF(OR(A16="",E16=""),"",ROUND(B16-E16,2))</f>
        <v/>
      </c>
      <c r="AC16" s="273">
        <f>IF(OR(A16="",E16=""),"",ROUND(D16-E16*C16,2))</f>
        <v/>
      </c>
      <c r="AD16" s="27" t="n"/>
    </row>
    <row r="17">
      <c r="A17" s="278" t="n"/>
      <c r="B17" s="279" t="n"/>
      <c r="C17" s="280" t="n"/>
      <c r="D17" s="273">
        <f>IF(OR(A17="",B17="",C17=""),"",ROUND(B17*C17,2))</f>
        <v/>
      </c>
      <c r="E17" s="281" t="n"/>
      <c r="F17" s="273">
        <f>IF(OR(A17="",E17="",C17="",NOT(ISNUMBER($Z$3))),"",ROUND(E17*C17*$Z$3,2))</f>
        <v/>
      </c>
      <c r="G17" s="281" t="n"/>
      <c r="H17" s="273">
        <f>IF(OR(A17="",G17="",C17="",NOT(ISNUMBER($Z$4))),"",ROUND(G17*C17*$Z$4,2))</f>
        <v/>
      </c>
      <c r="I17" s="281" t="n"/>
      <c r="J17" s="273">
        <f>IF(OR(A17="",I17="",C17="",NOT(ISNUMBER($Z$5))),"",ROUND(I17*C17*$Z$5,2))</f>
        <v/>
      </c>
      <c r="K17" s="281" t="n"/>
      <c r="L17" s="273">
        <f>IF(OR(A17="",K17="",C17="",NOT(ISNUMBER($Z$6))),"",ROUND(K17*C17*$Z$6,2))</f>
        <v/>
      </c>
      <c r="M17" s="282">
        <f>IF(OR(E17="",G17=""),"",ROUND(MAX(E17-G17,0),2))</f>
        <v/>
      </c>
      <c r="N17" s="273">
        <f>IF(OR(M17="",C17="",NOT(ISNUMBER($Z$3))),"",ROUND(M17*C17*$Z$3,2))</f>
        <v/>
      </c>
      <c r="O17" s="282">
        <f>IF(OR(G17="",I17=""),"",ROUND(MAX(G17-I17,0),2))</f>
        <v/>
      </c>
      <c r="P17" s="273">
        <f>IF(OR(O17="",C17="",NOT(ISNUMBER($Z$4))),"",ROUND(O17*C17*$Z$4,2))</f>
        <v/>
      </c>
      <c r="Q17" s="282">
        <f>IF(OR(I17="",K17=""),"",ROUND(MAX(I17-K17,0),2))</f>
        <v/>
      </c>
      <c r="R17" s="273">
        <f>IF(OR(Q17="",C17="",NOT(ISNUMBER($Z$5))),"",ROUND(Q17*C17*$Z$5,2))</f>
        <v/>
      </c>
      <c r="S17" s="62" t="n"/>
      <c r="T17" s="283" t="n"/>
      <c r="U17" s="284">
        <f>IF(A17="","",IF(AND(G17&lt;&gt;"",E17&lt;&gt;"",G17&gt;E17),"ALERTA: REM_C2&gt;REM_C1",IF(AND(I17&lt;&gt;"",G17&lt;&gt;"",I17&gt;G17),"ALERTA: REM_C3&gt;REM_C2",IF(AND(K17&lt;&gt;"",I17&lt;&gt;"",K17&gt;I17),"ALERTA: REM_C4&gt;REM_C3","OK"))))</f>
        <v/>
      </c>
      <c r="V17" s="284">
        <f>IF(A17="","",IF(B17="","",IF(OR(B17&lt;0,E17&gt;B17,G17&gt;B17,I17&gt;B17,K17&gt;B17),"ALERTA: QTD_INVALIDA","OK")))</f>
        <v/>
      </c>
      <c r="W17" s="34" t="n"/>
      <c r="X17" s="34" t="n"/>
      <c r="Y17" s="34" t="n"/>
      <c r="Z17" s="27" t="n"/>
      <c r="AA17" s="27" t="n"/>
      <c r="AB17" s="282">
        <f>IF(OR(A17="",E17=""),"",ROUND(B17-E17,2))</f>
        <v/>
      </c>
      <c r="AC17" s="273">
        <f>IF(OR(A17="",E17=""),"",ROUND(D17-E17*C17,2))</f>
        <v/>
      </c>
      <c r="AD17" s="27" t="n"/>
    </row>
    <row r="18">
      <c r="A18" s="278" t="n"/>
      <c r="B18" s="279" t="n"/>
      <c r="C18" s="280" t="n"/>
      <c r="D18" s="273">
        <f>IF(OR(A18="",B18="",C18=""),"",ROUND(B18*C18,2))</f>
        <v/>
      </c>
      <c r="E18" s="281" t="n"/>
      <c r="F18" s="273">
        <f>IF(OR(A18="",E18="",C18="",NOT(ISNUMBER($Z$3))),"",ROUND(E18*C18*$Z$3,2))</f>
        <v/>
      </c>
      <c r="G18" s="281" t="n"/>
      <c r="H18" s="273">
        <f>IF(OR(A18="",G18="",C18="",NOT(ISNUMBER($Z$4))),"",ROUND(G18*C18*$Z$4,2))</f>
        <v/>
      </c>
      <c r="I18" s="281" t="n"/>
      <c r="J18" s="273">
        <f>IF(OR(A18="",I18="",C18="",NOT(ISNUMBER($Z$5))),"",ROUND(I18*C18*$Z$5,2))</f>
        <v/>
      </c>
      <c r="K18" s="281" t="n"/>
      <c r="L18" s="273">
        <f>IF(OR(A18="",K18="",C18="",NOT(ISNUMBER($Z$6))),"",ROUND(K18*C18*$Z$6,2))</f>
        <v/>
      </c>
      <c r="M18" s="282">
        <f>IF(OR(E18="",G18=""),"",ROUND(MAX(E18-G18,0),2))</f>
        <v/>
      </c>
      <c r="N18" s="273">
        <f>IF(OR(M18="",C18="",NOT(ISNUMBER($Z$3))),"",ROUND(M18*C18*$Z$3,2))</f>
        <v/>
      </c>
      <c r="O18" s="282">
        <f>IF(OR(G18="",I18=""),"",ROUND(MAX(G18-I18,0),2))</f>
        <v/>
      </c>
      <c r="P18" s="273">
        <f>IF(OR(O18="",C18="",NOT(ISNUMBER($Z$4))),"",ROUND(O18*C18*$Z$4,2))</f>
        <v/>
      </c>
      <c r="Q18" s="282">
        <f>IF(OR(I18="",K18=""),"",ROUND(MAX(I18-K18,0),2))</f>
        <v/>
      </c>
      <c r="R18" s="273">
        <f>IF(OR(Q18="",C18="",NOT(ISNUMBER($Z$5))),"",ROUND(Q18*C18*$Z$5,2))</f>
        <v/>
      </c>
      <c r="S18" s="62" t="n"/>
      <c r="T18" s="283" t="n"/>
      <c r="U18" s="284">
        <f>IF(A18="","",IF(AND(G18&lt;&gt;"",E18&lt;&gt;"",G18&gt;E18),"ALERTA: REM_C2&gt;REM_C1",IF(AND(I18&lt;&gt;"",G18&lt;&gt;"",I18&gt;G18),"ALERTA: REM_C3&gt;REM_C2",IF(AND(K18&lt;&gt;"",I18&lt;&gt;"",K18&gt;I18),"ALERTA: REM_C4&gt;REM_C3","OK"))))</f>
        <v/>
      </c>
      <c r="V18" s="284">
        <f>IF(A18="","",IF(B18="","",IF(OR(B18&lt;0,E18&gt;B18,G18&gt;B18,I18&gt;B18,K18&gt;B18),"ALERTA: QTD_INVALIDA","OK")))</f>
        <v/>
      </c>
      <c r="W18" s="34" t="n"/>
      <c r="X18" s="34" t="n"/>
      <c r="Y18" s="34" t="n"/>
      <c r="Z18" s="27" t="n"/>
      <c r="AA18" s="27" t="n"/>
      <c r="AB18" s="282">
        <f>IF(OR(A18="",E18=""),"",ROUND(B18-E18,2))</f>
        <v/>
      </c>
      <c r="AC18" s="273">
        <f>IF(OR(A18="",E18=""),"",ROUND(D18-E18*C18,2))</f>
        <v/>
      </c>
      <c r="AD18" s="27" t="n"/>
    </row>
    <row r="19">
      <c r="A19" s="278" t="n"/>
      <c r="B19" s="279" t="n"/>
      <c r="C19" s="280" t="n"/>
      <c r="D19" s="273">
        <f>IF(OR(A19="",B19="",C19=""),"",ROUND(B19*C19,2))</f>
        <v/>
      </c>
      <c r="E19" s="281" t="n"/>
      <c r="F19" s="273">
        <f>IF(OR(A19="",E19="",C19="",NOT(ISNUMBER($Z$3))),"",ROUND(E19*C19*$Z$3,2))</f>
        <v/>
      </c>
      <c r="G19" s="281" t="n"/>
      <c r="H19" s="273">
        <f>IF(OR(A19="",G19="",C19="",NOT(ISNUMBER($Z$4))),"",ROUND(G19*C19*$Z$4,2))</f>
        <v/>
      </c>
      <c r="I19" s="281" t="n"/>
      <c r="J19" s="273">
        <f>IF(OR(A19="",I19="",C19="",NOT(ISNUMBER($Z$5))),"",ROUND(I19*C19*$Z$5,2))</f>
        <v/>
      </c>
      <c r="K19" s="281" t="n"/>
      <c r="L19" s="273">
        <f>IF(OR(A19="",K19="",C19="",NOT(ISNUMBER($Z$6))),"",ROUND(K19*C19*$Z$6,2))</f>
        <v/>
      </c>
      <c r="M19" s="282">
        <f>IF(OR(E19="",G19=""),"",ROUND(MAX(E19-G19,0),2))</f>
        <v/>
      </c>
      <c r="N19" s="273">
        <f>IF(OR(M19="",C19="",NOT(ISNUMBER($Z$3))),"",ROUND(M19*C19*$Z$3,2))</f>
        <v/>
      </c>
      <c r="O19" s="282">
        <f>IF(OR(G19="",I19=""),"",ROUND(MAX(G19-I19,0),2))</f>
        <v/>
      </c>
      <c r="P19" s="273">
        <f>IF(OR(O19="",C19="",NOT(ISNUMBER($Z$4))),"",ROUND(O19*C19*$Z$4,2))</f>
        <v/>
      </c>
      <c r="Q19" s="282">
        <f>IF(OR(I19="",K19=""),"",ROUND(MAX(I19-K19,0),2))</f>
        <v/>
      </c>
      <c r="R19" s="273">
        <f>IF(OR(Q19="",C19="",NOT(ISNUMBER($Z$5))),"",ROUND(Q19*C19*$Z$5,2))</f>
        <v/>
      </c>
      <c r="S19" s="62" t="n"/>
      <c r="T19" s="283" t="n"/>
      <c r="U19" s="284">
        <f>IF(A19="","",IF(AND(G19&lt;&gt;"",E19&lt;&gt;"",G19&gt;E19),"ALERTA: REM_C2&gt;REM_C1",IF(AND(I19&lt;&gt;"",G19&lt;&gt;"",I19&gt;G19),"ALERTA: REM_C3&gt;REM_C2",IF(AND(K19&lt;&gt;"",I19&lt;&gt;"",K19&gt;I19),"ALERTA: REM_C4&gt;REM_C3","OK"))))</f>
        <v/>
      </c>
      <c r="V19" s="284">
        <f>IF(A19="","",IF(B19="","",IF(OR(B19&lt;0,E19&gt;B19,G19&gt;B19,I19&gt;B19,K19&gt;B19),"ALERTA: QTD_INVALIDA","OK")))</f>
        <v/>
      </c>
      <c r="W19" s="34" t="n"/>
      <c r="X19" s="34" t="n"/>
      <c r="Y19" s="34" t="n"/>
      <c r="Z19" s="27" t="n"/>
      <c r="AA19" s="27" t="n"/>
      <c r="AB19" s="282">
        <f>IF(OR(A19="",E19=""),"",ROUND(B19-E19,2))</f>
        <v/>
      </c>
      <c r="AC19" s="273">
        <f>IF(OR(A19="",E19=""),"",ROUND(D19-E19*C19,2))</f>
        <v/>
      </c>
      <c r="AD19" s="27" t="n"/>
    </row>
    <row r="20">
      <c r="A20" s="278" t="n"/>
      <c r="B20" s="279" t="n"/>
      <c r="C20" s="280" t="n"/>
      <c r="D20" s="273">
        <f>IF(OR(A20="",B20="",C20=""),"",ROUND(B20*C20,2))</f>
        <v/>
      </c>
      <c r="E20" s="281" t="n"/>
      <c r="F20" s="273">
        <f>IF(OR(A20="",E20="",C20="",NOT(ISNUMBER($Z$3))),"",ROUND(E20*C20*$Z$3,2))</f>
        <v/>
      </c>
      <c r="G20" s="281" t="n"/>
      <c r="H20" s="273">
        <f>IF(OR(A20="",G20="",C20="",NOT(ISNUMBER($Z$4))),"",ROUND(G20*C20*$Z$4,2))</f>
        <v/>
      </c>
      <c r="I20" s="281" t="n"/>
      <c r="J20" s="273">
        <f>IF(OR(A20="",I20="",C20="",NOT(ISNUMBER($Z$5))),"",ROUND(I20*C20*$Z$5,2))</f>
        <v/>
      </c>
      <c r="K20" s="281" t="n"/>
      <c r="L20" s="273">
        <f>IF(OR(A20="",K20="",C20="",NOT(ISNUMBER($Z$6))),"",ROUND(K20*C20*$Z$6,2))</f>
        <v/>
      </c>
      <c r="M20" s="282">
        <f>IF(OR(E20="",G20=""),"",ROUND(MAX(E20-G20,0),2))</f>
        <v/>
      </c>
      <c r="N20" s="273">
        <f>IF(OR(M20="",C20="",NOT(ISNUMBER($Z$3))),"",ROUND(M20*C20*$Z$3,2))</f>
        <v/>
      </c>
      <c r="O20" s="282">
        <f>IF(OR(G20="",I20=""),"",ROUND(MAX(G20-I20,0),2))</f>
        <v/>
      </c>
      <c r="P20" s="273">
        <f>IF(OR(O20="",C20="",NOT(ISNUMBER($Z$4))),"",ROUND(O20*C20*$Z$4,2))</f>
        <v/>
      </c>
      <c r="Q20" s="282">
        <f>IF(OR(I20="",K20=""),"",ROUND(MAX(I20-K20,0),2))</f>
        <v/>
      </c>
      <c r="R20" s="273">
        <f>IF(OR(Q20="",C20="",NOT(ISNUMBER($Z$5))),"",ROUND(Q20*C20*$Z$5,2))</f>
        <v/>
      </c>
      <c r="S20" s="62" t="n"/>
      <c r="T20" s="283" t="n"/>
      <c r="U20" s="284">
        <f>IF(A20="","",IF(AND(G20&lt;&gt;"",E20&lt;&gt;"",G20&gt;E20),"ALERTA: REM_C2&gt;REM_C1",IF(AND(I20&lt;&gt;"",G20&lt;&gt;"",I20&gt;G20),"ALERTA: REM_C3&gt;REM_C2",IF(AND(K20&lt;&gt;"",I20&lt;&gt;"",K20&gt;I20),"ALERTA: REM_C4&gt;REM_C3","OK"))))</f>
        <v/>
      </c>
      <c r="V20" s="284">
        <f>IF(A20="","",IF(B20="","",IF(OR(B20&lt;0,E20&gt;B20,G20&gt;B20,I20&gt;B20,K20&gt;B20),"ALERTA: QTD_INVALIDA","OK")))</f>
        <v/>
      </c>
      <c r="W20" s="34" t="n"/>
      <c r="X20" s="34" t="n"/>
      <c r="Y20" s="34" t="n"/>
      <c r="Z20" s="27" t="n"/>
      <c r="AA20" s="27" t="n"/>
      <c r="AB20" s="282">
        <f>IF(OR(A20="",E20=""),"",ROUND(B20-E20,2))</f>
        <v/>
      </c>
      <c r="AC20" s="273">
        <f>IF(OR(A20="",E20=""),"",ROUND(D20-E20*C20,2))</f>
        <v/>
      </c>
      <c r="AD20" s="27" t="n"/>
    </row>
    <row r="21">
      <c r="A21" s="278" t="n"/>
      <c r="B21" s="279" t="n"/>
      <c r="C21" s="280" t="n"/>
      <c r="D21" s="273">
        <f>IF(OR(A21="",B21="",C21=""),"",ROUND(B21*C21,2))</f>
        <v/>
      </c>
      <c r="E21" s="281" t="n"/>
      <c r="F21" s="273">
        <f>IF(OR(A21="",E21="",C21="",NOT(ISNUMBER($Z$3))),"",ROUND(E21*C21*$Z$3,2))</f>
        <v/>
      </c>
      <c r="G21" s="281" t="n"/>
      <c r="H21" s="273">
        <f>IF(OR(A21="",G21="",C21="",NOT(ISNUMBER($Z$4))),"",ROUND(G21*C21*$Z$4,2))</f>
        <v/>
      </c>
      <c r="I21" s="281" t="n"/>
      <c r="J21" s="273">
        <f>IF(OR(A21="",I21="",C21="",NOT(ISNUMBER($Z$5))),"",ROUND(I21*C21*$Z$5,2))</f>
        <v/>
      </c>
      <c r="K21" s="281" t="n"/>
      <c r="L21" s="273">
        <f>IF(OR(A21="",K21="",C21="",NOT(ISNUMBER($Z$6))),"",ROUND(K21*C21*$Z$6,2))</f>
        <v/>
      </c>
      <c r="M21" s="282">
        <f>IF(OR(E21="",G21=""),"",ROUND(MAX(E21-G21,0),2))</f>
        <v/>
      </c>
      <c r="N21" s="273">
        <f>IF(OR(M21="",C21="",NOT(ISNUMBER($Z$3))),"",ROUND(M21*C21*$Z$3,2))</f>
        <v/>
      </c>
      <c r="O21" s="282">
        <f>IF(OR(G21="",I21=""),"",ROUND(MAX(G21-I21,0),2))</f>
        <v/>
      </c>
      <c r="P21" s="273">
        <f>IF(OR(O21="",C21="",NOT(ISNUMBER($Z$4))),"",ROUND(O21*C21*$Z$4,2))</f>
        <v/>
      </c>
      <c r="Q21" s="282">
        <f>IF(OR(I21="",K21=""),"",ROUND(MAX(I21-K21,0),2))</f>
        <v/>
      </c>
      <c r="R21" s="273">
        <f>IF(OR(Q21="",C21="",NOT(ISNUMBER($Z$5))),"",ROUND(Q21*C21*$Z$5,2))</f>
        <v/>
      </c>
      <c r="S21" s="62" t="n"/>
      <c r="T21" s="283" t="n"/>
      <c r="U21" s="284">
        <f>IF(A21="","",IF(AND(G21&lt;&gt;"",E21&lt;&gt;"",G21&gt;E21),"ALERTA: REM_C2&gt;REM_C1",IF(AND(I21&lt;&gt;"",G21&lt;&gt;"",I21&gt;G21),"ALERTA: REM_C3&gt;REM_C2",IF(AND(K21&lt;&gt;"",I21&lt;&gt;"",K21&gt;I21),"ALERTA: REM_C4&gt;REM_C3","OK"))))</f>
        <v/>
      </c>
      <c r="V21" s="284">
        <f>IF(A21="","",IF(B21="","",IF(OR(B21&lt;0,E21&gt;B21,G21&gt;B21,I21&gt;B21,K21&gt;B21),"ALERTA: QTD_INVALIDA","OK")))</f>
        <v/>
      </c>
      <c r="W21" s="34" t="n"/>
      <c r="X21" s="34" t="n"/>
      <c r="Y21" s="34" t="n"/>
      <c r="Z21" s="27" t="n"/>
      <c r="AA21" s="27" t="n"/>
      <c r="AB21" s="282">
        <f>IF(OR(A21="",E21=""),"",ROUND(B21-E21,2))</f>
        <v/>
      </c>
      <c r="AC21" s="273">
        <f>IF(OR(A21="",E21=""),"",ROUND(D21-E21*C21,2))</f>
        <v/>
      </c>
      <c r="AD21" s="27" t="n"/>
    </row>
    <row r="22">
      <c r="A22" s="278" t="n"/>
      <c r="B22" s="279" t="n"/>
      <c r="C22" s="280" t="n"/>
      <c r="D22" s="273">
        <f>IF(OR(A22="",B22="",C22=""),"",ROUND(B22*C22,2))</f>
        <v/>
      </c>
      <c r="E22" s="281" t="n"/>
      <c r="F22" s="273">
        <f>IF(OR(A22="",E22="",C22="",NOT(ISNUMBER($Z$3))),"",ROUND(E22*C22*$Z$3,2))</f>
        <v/>
      </c>
      <c r="G22" s="281" t="n"/>
      <c r="H22" s="273">
        <f>IF(OR(A22="",G22="",C22="",NOT(ISNUMBER($Z$4))),"",ROUND(G22*C22*$Z$4,2))</f>
        <v/>
      </c>
      <c r="I22" s="281" t="n"/>
      <c r="J22" s="273">
        <f>IF(OR(A22="",I22="",C22="",NOT(ISNUMBER($Z$5))),"",ROUND(I22*C22*$Z$5,2))</f>
        <v/>
      </c>
      <c r="K22" s="281" t="n"/>
      <c r="L22" s="273">
        <f>IF(OR(A22="",K22="",C22="",NOT(ISNUMBER($Z$6))),"",ROUND(K22*C22*$Z$6,2))</f>
        <v/>
      </c>
      <c r="M22" s="282">
        <f>IF(OR(E22="",G22=""),"",ROUND(MAX(E22-G22,0),2))</f>
        <v/>
      </c>
      <c r="N22" s="273">
        <f>IF(OR(M22="",C22="",NOT(ISNUMBER($Z$3))),"",ROUND(M22*C22*$Z$3,2))</f>
        <v/>
      </c>
      <c r="O22" s="282">
        <f>IF(OR(G22="",I22=""),"",ROUND(MAX(G22-I22,0),2))</f>
        <v/>
      </c>
      <c r="P22" s="273">
        <f>IF(OR(O22="",C22="",NOT(ISNUMBER($Z$4))),"",ROUND(O22*C22*$Z$4,2))</f>
        <v/>
      </c>
      <c r="Q22" s="282">
        <f>IF(OR(I22="",K22=""),"",ROUND(MAX(I22-K22,0),2))</f>
        <v/>
      </c>
      <c r="R22" s="273">
        <f>IF(OR(Q22="",C22="",NOT(ISNUMBER($Z$5))),"",ROUND(Q22*C22*$Z$5,2))</f>
        <v/>
      </c>
      <c r="S22" s="62" t="n"/>
      <c r="T22" s="283" t="n"/>
      <c r="U22" s="284">
        <f>IF(A22="","",IF(AND(G22&lt;&gt;"",E22&lt;&gt;"",G22&gt;E22),"ALERTA: REM_C2&gt;REM_C1",IF(AND(I22&lt;&gt;"",G22&lt;&gt;"",I22&gt;G22),"ALERTA: REM_C3&gt;REM_C2",IF(AND(K22&lt;&gt;"",I22&lt;&gt;"",K22&gt;I22),"ALERTA: REM_C4&gt;REM_C3","OK"))))</f>
        <v/>
      </c>
      <c r="V22" s="284">
        <f>IF(A22="","",IF(B22="","",IF(OR(B22&lt;0,E22&gt;B22,G22&gt;B22,I22&gt;B22,K22&gt;B22),"ALERTA: QTD_INVALIDA","OK")))</f>
        <v/>
      </c>
      <c r="W22" s="34" t="n"/>
      <c r="X22" s="34" t="n"/>
      <c r="Y22" s="34" t="n"/>
      <c r="Z22" s="27" t="n"/>
      <c r="AA22" s="27" t="n"/>
      <c r="AB22" s="282">
        <f>IF(OR(A22="",E22=""),"",ROUND(B22-E22,2))</f>
        <v/>
      </c>
      <c r="AC22" s="273">
        <f>IF(OR(A22="",E22=""),"",ROUND(D22-E22*C22,2))</f>
        <v/>
      </c>
      <c r="AD22" s="27" t="n"/>
    </row>
    <row r="23">
      <c r="A23" s="278" t="n"/>
      <c r="B23" s="279" t="n"/>
      <c r="C23" s="280" t="n"/>
      <c r="D23" s="273">
        <f>IF(OR(A23="",B23="",C23=""),"",ROUND(B23*C23,2))</f>
        <v/>
      </c>
      <c r="E23" s="281" t="n"/>
      <c r="F23" s="273">
        <f>IF(OR(A23="",E23="",C23="",NOT(ISNUMBER($Z$3))),"",ROUND(E23*C23*$Z$3,2))</f>
        <v/>
      </c>
      <c r="G23" s="281" t="n"/>
      <c r="H23" s="273">
        <f>IF(OR(A23="",G23="",C23="",NOT(ISNUMBER($Z$4))),"",ROUND(G23*C23*$Z$4,2))</f>
        <v/>
      </c>
      <c r="I23" s="281" t="n"/>
      <c r="J23" s="273">
        <f>IF(OR(A23="",I23="",C23="",NOT(ISNUMBER($Z$5))),"",ROUND(I23*C23*$Z$5,2))</f>
        <v/>
      </c>
      <c r="K23" s="281" t="n"/>
      <c r="L23" s="273">
        <f>IF(OR(A23="",K23="",C23="",NOT(ISNUMBER($Z$6))),"",ROUND(K23*C23*$Z$6,2))</f>
        <v/>
      </c>
      <c r="M23" s="282">
        <f>IF(OR(E23="",G23=""),"",ROUND(MAX(E23-G23,0),2))</f>
        <v/>
      </c>
      <c r="N23" s="273">
        <f>IF(OR(M23="",C23="",NOT(ISNUMBER($Z$3))),"",ROUND(M23*C23*$Z$3,2))</f>
        <v/>
      </c>
      <c r="O23" s="282">
        <f>IF(OR(G23="",I23=""),"",ROUND(MAX(G23-I23,0),2))</f>
        <v/>
      </c>
      <c r="P23" s="273">
        <f>IF(OR(O23="",C23="",NOT(ISNUMBER($Z$4))),"",ROUND(O23*C23*$Z$4,2))</f>
        <v/>
      </c>
      <c r="Q23" s="282">
        <f>IF(OR(I23="",K23=""),"",ROUND(MAX(I23-K23,0),2))</f>
        <v/>
      </c>
      <c r="R23" s="273">
        <f>IF(OR(Q23="",C23="",NOT(ISNUMBER($Z$5))),"",ROUND(Q23*C23*$Z$5,2))</f>
        <v/>
      </c>
      <c r="S23" s="62" t="n"/>
      <c r="T23" s="283" t="n"/>
      <c r="U23" s="284">
        <f>IF(A23="","",IF(AND(G23&lt;&gt;"",E23&lt;&gt;"",G23&gt;E23),"ALERTA: REM_C2&gt;REM_C1",IF(AND(I23&lt;&gt;"",G23&lt;&gt;"",I23&gt;G23),"ALERTA: REM_C3&gt;REM_C2",IF(AND(K23&lt;&gt;"",I23&lt;&gt;"",K23&gt;I23),"ALERTA: REM_C4&gt;REM_C3","OK"))))</f>
        <v/>
      </c>
      <c r="V23" s="284">
        <f>IF(A23="","",IF(B23="","",IF(OR(B23&lt;0,E23&gt;B23,G23&gt;B23,I23&gt;B23,K23&gt;B23),"ALERTA: QTD_INVALIDA","OK")))</f>
        <v/>
      </c>
      <c r="W23" s="34" t="n"/>
      <c r="X23" s="34" t="n"/>
      <c r="Y23" s="34" t="n"/>
      <c r="Z23" s="27" t="n"/>
      <c r="AA23" s="27" t="n"/>
      <c r="AB23" s="282">
        <f>IF(OR(A23="",E23=""),"",ROUND(B23-E23,2))</f>
        <v/>
      </c>
      <c r="AC23" s="273">
        <f>IF(OR(A23="",E23=""),"",ROUND(D23-E23*C23,2))</f>
        <v/>
      </c>
      <c r="AD23" s="27" t="n"/>
    </row>
    <row r="24">
      <c r="A24" s="278" t="n"/>
      <c r="B24" s="279" t="n"/>
      <c r="C24" s="280" t="n"/>
      <c r="D24" s="273">
        <f>IF(OR(A24="",B24="",C24=""),"",ROUND(B24*C24,2))</f>
        <v/>
      </c>
      <c r="E24" s="281" t="n"/>
      <c r="F24" s="273">
        <f>IF(OR(A24="",E24="",C24="",NOT(ISNUMBER($Z$3))),"",ROUND(E24*C24*$Z$3,2))</f>
        <v/>
      </c>
      <c r="G24" s="281" t="n"/>
      <c r="H24" s="273">
        <f>IF(OR(A24="",G24="",C24="",NOT(ISNUMBER($Z$4))),"",ROUND(G24*C24*$Z$4,2))</f>
        <v/>
      </c>
      <c r="I24" s="281" t="n"/>
      <c r="J24" s="273">
        <f>IF(OR(A24="",I24="",C24="",NOT(ISNUMBER($Z$5))),"",ROUND(I24*C24*$Z$5,2))</f>
        <v/>
      </c>
      <c r="K24" s="281" t="n"/>
      <c r="L24" s="273">
        <f>IF(OR(A24="",K24="",C24="",NOT(ISNUMBER($Z$6))),"",ROUND(K24*C24*$Z$6,2))</f>
        <v/>
      </c>
      <c r="M24" s="282">
        <f>IF(OR(E24="",G24=""),"",ROUND(MAX(E24-G24,0),2))</f>
        <v/>
      </c>
      <c r="N24" s="273">
        <f>IF(OR(M24="",C24="",NOT(ISNUMBER($Z$3))),"",ROUND(M24*C24*$Z$3,2))</f>
        <v/>
      </c>
      <c r="O24" s="282">
        <f>IF(OR(G24="",I24=""),"",ROUND(MAX(G24-I24,0),2))</f>
        <v/>
      </c>
      <c r="P24" s="273">
        <f>IF(OR(O24="",C24="",NOT(ISNUMBER($Z$4))),"",ROUND(O24*C24*$Z$4,2))</f>
        <v/>
      </c>
      <c r="Q24" s="282">
        <f>IF(OR(I24="",K24=""),"",ROUND(MAX(I24-K24,0),2))</f>
        <v/>
      </c>
      <c r="R24" s="273">
        <f>IF(OR(Q24="",C24="",NOT(ISNUMBER($Z$5))),"",ROUND(Q24*C24*$Z$5,2))</f>
        <v/>
      </c>
      <c r="S24" s="62" t="n"/>
      <c r="T24" s="283" t="n"/>
      <c r="U24" s="284">
        <f>IF(A24="","",IF(AND(G24&lt;&gt;"",E24&lt;&gt;"",G24&gt;E24),"ALERTA: REM_C2&gt;REM_C1",IF(AND(I24&lt;&gt;"",G24&lt;&gt;"",I24&gt;G24),"ALERTA: REM_C3&gt;REM_C2",IF(AND(K24&lt;&gt;"",I24&lt;&gt;"",K24&gt;I24),"ALERTA: REM_C4&gt;REM_C3","OK"))))</f>
        <v/>
      </c>
      <c r="V24" s="284">
        <f>IF(A24="","",IF(B24="","",IF(OR(B24&lt;0,E24&gt;B24,G24&gt;B24,I24&gt;B24,K24&gt;B24),"ALERTA: QTD_INVALIDA","OK")))</f>
        <v/>
      </c>
      <c r="W24" s="34" t="n"/>
      <c r="X24" s="34" t="n"/>
      <c r="Y24" s="34" t="n"/>
      <c r="Z24" s="27" t="n"/>
      <c r="AA24" s="27" t="n"/>
      <c r="AB24" s="282">
        <f>IF(OR(A24="",E24=""),"",ROUND(B24-E24,2))</f>
        <v/>
      </c>
      <c r="AC24" s="273">
        <f>IF(OR(A24="",E24=""),"",ROUND(D24-E24*C24,2))</f>
        <v/>
      </c>
      <c r="AD24" s="27" t="n"/>
    </row>
    <row r="25">
      <c r="A25" s="278" t="n"/>
      <c r="B25" s="279" t="n"/>
      <c r="C25" s="280" t="n"/>
      <c r="D25" s="273">
        <f>IF(OR(A25="",B25="",C25=""),"",ROUND(B25*C25,2))</f>
        <v/>
      </c>
      <c r="E25" s="281" t="n"/>
      <c r="F25" s="273">
        <f>IF(OR(A25="",E25="",C25="",NOT(ISNUMBER($Z$3))),"",ROUND(E25*C25*$Z$3,2))</f>
        <v/>
      </c>
      <c r="G25" s="281" t="n"/>
      <c r="H25" s="273">
        <f>IF(OR(A25="",G25="",C25="",NOT(ISNUMBER($Z$4))),"",ROUND(G25*C25*$Z$4,2))</f>
        <v/>
      </c>
      <c r="I25" s="281" t="n"/>
      <c r="J25" s="273">
        <f>IF(OR(A25="",I25="",C25="",NOT(ISNUMBER($Z$5))),"",ROUND(I25*C25*$Z$5,2))</f>
        <v/>
      </c>
      <c r="K25" s="281" t="n"/>
      <c r="L25" s="273">
        <f>IF(OR(A25="",K25="",C25="",NOT(ISNUMBER($Z$6))),"",ROUND(K25*C25*$Z$6,2))</f>
        <v/>
      </c>
      <c r="M25" s="282">
        <f>IF(OR(E25="",G25=""),"",ROUND(MAX(E25-G25,0),2))</f>
        <v/>
      </c>
      <c r="N25" s="273">
        <f>IF(OR(M25="",C25="",NOT(ISNUMBER($Z$3))),"",ROUND(M25*C25*$Z$3,2))</f>
        <v/>
      </c>
      <c r="O25" s="282">
        <f>IF(OR(G25="",I25=""),"",ROUND(MAX(G25-I25,0),2))</f>
        <v/>
      </c>
      <c r="P25" s="273">
        <f>IF(OR(O25="",C25="",NOT(ISNUMBER($Z$4))),"",ROUND(O25*C25*$Z$4,2))</f>
        <v/>
      </c>
      <c r="Q25" s="282">
        <f>IF(OR(I25="",K25=""),"",ROUND(MAX(I25-K25,0),2))</f>
        <v/>
      </c>
      <c r="R25" s="273">
        <f>IF(OR(Q25="",C25="",NOT(ISNUMBER($Z$5))),"",ROUND(Q25*C25*$Z$5,2))</f>
        <v/>
      </c>
      <c r="S25" s="62" t="n"/>
      <c r="T25" s="283" t="n"/>
      <c r="U25" s="284">
        <f>IF(A25="","",IF(AND(G25&lt;&gt;"",E25&lt;&gt;"",G25&gt;E25),"ALERTA: REM_C2&gt;REM_C1",IF(AND(I25&lt;&gt;"",G25&lt;&gt;"",I25&gt;G25),"ALERTA: REM_C3&gt;REM_C2",IF(AND(K25&lt;&gt;"",I25&lt;&gt;"",K25&gt;I25),"ALERTA: REM_C4&gt;REM_C3","OK"))))</f>
        <v/>
      </c>
      <c r="V25" s="284">
        <f>IF(A25="","",IF(B25="","",IF(OR(B25&lt;0,E25&gt;B25,G25&gt;B25,I25&gt;B25,K25&gt;B25),"ALERTA: QTD_INVALIDA","OK")))</f>
        <v/>
      </c>
      <c r="W25" s="34" t="n"/>
      <c r="X25" s="34" t="n"/>
      <c r="Y25" s="34" t="n"/>
      <c r="Z25" s="27" t="n"/>
      <c r="AA25" s="27" t="n"/>
      <c r="AB25" s="282">
        <f>IF(OR(A25="",E25=""),"",ROUND(B25-E25,2))</f>
        <v/>
      </c>
      <c r="AC25" s="273">
        <f>IF(OR(A25="",E25=""),"",ROUND(D25-E25*C25,2))</f>
        <v/>
      </c>
      <c r="AD25" s="27" t="n"/>
    </row>
    <row r="26">
      <c r="A26" s="278" t="n"/>
      <c r="B26" s="279" t="n"/>
      <c r="C26" s="280" t="n"/>
      <c r="D26" s="273">
        <f>IF(OR(A26="",B26="",C26=""),"",ROUND(B26*C26,2))</f>
        <v/>
      </c>
      <c r="E26" s="281" t="n"/>
      <c r="F26" s="273">
        <f>IF(OR(A26="",E26="",C26="",NOT(ISNUMBER($Z$3))),"",ROUND(E26*C26*$Z$3,2))</f>
        <v/>
      </c>
      <c r="G26" s="281" t="n"/>
      <c r="H26" s="273">
        <f>IF(OR(A26="",G26="",C26="",NOT(ISNUMBER($Z$4))),"",ROUND(G26*C26*$Z$4,2))</f>
        <v/>
      </c>
      <c r="I26" s="281" t="n"/>
      <c r="J26" s="273">
        <f>IF(OR(A26="",I26="",C26="",NOT(ISNUMBER($Z$5))),"",ROUND(I26*C26*$Z$5,2))</f>
        <v/>
      </c>
      <c r="K26" s="281" t="n"/>
      <c r="L26" s="273">
        <f>IF(OR(A26="",K26="",C26="",NOT(ISNUMBER($Z$6))),"",ROUND(K26*C26*$Z$6,2))</f>
        <v/>
      </c>
      <c r="M26" s="282">
        <f>IF(OR(E26="",G26=""),"",ROUND(MAX(E26-G26,0),2))</f>
        <v/>
      </c>
      <c r="N26" s="273">
        <f>IF(OR(M26="",C26="",NOT(ISNUMBER($Z$3))),"",ROUND(M26*C26*$Z$3,2))</f>
        <v/>
      </c>
      <c r="O26" s="282">
        <f>IF(OR(G26="",I26=""),"",ROUND(MAX(G26-I26,0),2))</f>
        <v/>
      </c>
      <c r="P26" s="273">
        <f>IF(OR(O26="",C26="",NOT(ISNUMBER($Z$4))),"",ROUND(O26*C26*$Z$4,2))</f>
        <v/>
      </c>
      <c r="Q26" s="282">
        <f>IF(OR(I26="",K26=""),"",ROUND(MAX(I26-K26,0),2))</f>
        <v/>
      </c>
      <c r="R26" s="273">
        <f>IF(OR(Q26="",C26="",NOT(ISNUMBER($Z$5))),"",ROUND(Q26*C26*$Z$5,2))</f>
        <v/>
      </c>
      <c r="S26" s="62" t="n"/>
      <c r="T26" s="283" t="n"/>
      <c r="U26" s="284">
        <f>IF(A26="","",IF(AND(G26&lt;&gt;"",E26&lt;&gt;"",G26&gt;E26),"ALERTA: REM_C2&gt;REM_C1",IF(AND(I26&lt;&gt;"",G26&lt;&gt;"",I26&gt;G26),"ALERTA: REM_C3&gt;REM_C2",IF(AND(K26&lt;&gt;"",I26&lt;&gt;"",K26&gt;I26),"ALERTA: REM_C4&gt;REM_C3","OK"))))</f>
        <v/>
      </c>
      <c r="V26" s="284">
        <f>IF(A26="","",IF(B26="","",IF(OR(B26&lt;0,E26&gt;B26,G26&gt;B26,I26&gt;B26,K26&gt;B26),"ALERTA: QTD_INVALIDA","OK")))</f>
        <v/>
      </c>
      <c r="W26" s="34" t="n"/>
      <c r="X26" s="34" t="n"/>
      <c r="Y26" s="34" t="n"/>
      <c r="Z26" s="27" t="n"/>
      <c r="AA26" s="27" t="n"/>
      <c r="AB26" s="282">
        <f>IF(OR(A26="",E26=""),"",ROUND(B26-E26,2))</f>
        <v/>
      </c>
      <c r="AC26" s="273">
        <f>IF(OR(A26="",E26=""),"",ROUND(D26-E26*C26,2))</f>
        <v/>
      </c>
      <c r="AD26" s="27" t="n"/>
    </row>
    <row r="27">
      <c r="A27" s="278" t="n"/>
      <c r="B27" s="279" t="n"/>
      <c r="C27" s="280" t="n"/>
      <c r="D27" s="273">
        <f>IF(OR(A27="",B27="",C27=""),"",ROUND(B27*C27,2))</f>
        <v/>
      </c>
      <c r="E27" s="281" t="n"/>
      <c r="F27" s="273">
        <f>IF(OR(A27="",E27="",C27="",NOT(ISNUMBER($Z$3))),"",ROUND(E27*C27*$Z$3,2))</f>
        <v/>
      </c>
      <c r="G27" s="281" t="n"/>
      <c r="H27" s="273">
        <f>IF(OR(A27="",G27="",C27="",NOT(ISNUMBER($Z$4))),"",ROUND(G27*C27*$Z$4,2))</f>
        <v/>
      </c>
      <c r="I27" s="281" t="n"/>
      <c r="J27" s="273">
        <f>IF(OR(A27="",I27="",C27="",NOT(ISNUMBER($Z$5))),"",ROUND(I27*C27*$Z$5,2))</f>
        <v/>
      </c>
      <c r="K27" s="281" t="n"/>
      <c r="L27" s="273">
        <f>IF(OR(A27="",K27="",C27="",NOT(ISNUMBER($Z$6))),"",ROUND(K27*C27*$Z$6,2))</f>
        <v/>
      </c>
      <c r="M27" s="282">
        <f>IF(OR(E27="",G27=""),"",ROUND(MAX(E27-G27,0),2))</f>
        <v/>
      </c>
      <c r="N27" s="273">
        <f>IF(OR(M27="",C27="",NOT(ISNUMBER($Z$3))),"",ROUND(M27*C27*$Z$3,2))</f>
        <v/>
      </c>
      <c r="O27" s="282">
        <f>IF(OR(G27="",I27=""),"",ROUND(MAX(G27-I27,0),2))</f>
        <v/>
      </c>
      <c r="P27" s="273">
        <f>IF(OR(O27="",C27="",NOT(ISNUMBER($Z$4))),"",ROUND(O27*C27*$Z$4,2))</f>
        <v/>
      </c>
      <c r="Q27" s="282">
        <f>IF(OR(I27="",K27=""),"",ROUND(MAX(I27-K27,0),2))</f>
        <v/>
      </c>
      <c r="R27" s="273">
        <f>IF(OR(Q27="",C27="",NOT(ISNUMBER($Z$5))),"",ROUND(Q27*C27*$Z$5,2))</f>
        <v/>
      </c>
      <c r="S27" s="62" t="n"/>
      <c r="T27" s="283" t="n"/>
      <c r="U27" s="284">
        <f>IF(A27="","",IF(AND(G27&lt;&gt;"",E27&lt;&gt;"",G27&gt;E27),"ALERTA: REM_C2&gt;REM_C1",IF(AND(I27&lt;&gt;"",G27&lt;&gt;"",I27&gt;G27),"ALERTA: REM_C3&gt;REM_C2",IF(AND(K27&lt;&gt;"",I27&lt;&gt;"",K27&gt;I27),"ALERTA: REM_C4&gt;REM_C3","OK"))))</f>
        <v/>
      </c>
      <c r="V27" s="284">
        <f>IF(A27="","",IF(B27="","",IF(OR(B27&lt;0,E27&gt;B27,G27&gt;B27,I27&gt;B27,K27&gt;B27),"ALERTA: QTD_INVALIDA","OK")))</f>
        <v/>
      </c>
      <c r="W27" s="34" t="n"/>
      <c r="X27" s="34" t="n"/>
      <c r="Y27" s="34" t="n"/>
      <c r="Z27" s="27" t="n"/>
      <c r="AA27" s="27" t="n"/>
      <c r="AB27" s="282">
        <f>IF(OR(A27="",E27=""),"",ROUND(B27-E27,2))</f>
        <v/>
      </c>
      <c r="AC27" s="273">
        <f>IF(OR(A27="",E27=""),"",ROUND(D27-E27*C27,2))</f>
        <v/>
      </c>
      <c r="AD27" s="27" t="n"/>
    </row>
    <row r="28">
      <c r="A28" s="278" t="n"/>
      <c r="B28" s="279" t="n"/>
      <c r="C28" s="280" t="n"/>
      <c r="D28" s="273">
        <f>IF(OR(A28="",B28="",C28=""),"",ROUND(B28*C28,2))</f>
        <v/>
      </c>
      <c r="E28" s="281" t="n"/>
      <c r="F28" s="273">
        <f>IF(OR(A28="",E28="",C28="",NOT(ISNUMBER($Z$3))),"",ROUND(E28*C28*$Z$3,2))</f>
        <v/>
      </c>
      <c r="G28" s="281" t="n"/>
      <c r="H28" s="273">
        <f>IF(OR(A28="",G28="",C28="",NOT(ISNUMBER($Z$4))),"",ROUND(G28*C28*$Z$4,2))</f>
        <v/>
      </c>
      <c r="I28" s="281" t="n"/>
      <c r="J28" s="273">
        <f>IF(OR(A28="",I28="",C28="",NOT(ISNUMBER($Z$5))),"",ROUND(I28*C28*$Z$5,2))</f>
        <v/>
      </c>
      <c r="K28" s="281" t="n"/>
      <c r="L28" s="273">
        <f>IF(OR(A28="",K28="",C28="",NOT(ISNUMBER($Z$6))),"",ROUND(K28*C28*$Z$6,2))</f>
        <v/>
      </c>
      <c r="M28" s="282">
        <f>IF(OR(E28="",G28=""),"",ROUND(MAX(E28-G28,0),2))</f>
        <v/>
      </c>
      <c r="N28" s="273">
        <f>IF(OR(M28="",C28="",NOT(ISNUMBER($Z$3))),"",ROUND(M28*C28*$Z$3,2))</f>
        <v/>
      </c>
      <c r="O28" s="282">
        <f>IF(OR(G28="",I28=""),"",ROUND(MAX(G28-I28,0),2))</f>
        <v/>
      </c>
      <c r="P28" s="273">
        <f>IF(OR(O28="",C28="",NOT(ISNUMBER($Z$4))),"",ROUND(O28*C28*$Z$4,2))</f>
        <v/>
      </c>
      <c r="Q28" s="282">
        <f>IF(OR(I28="",K28=""),"",ROUND(MAX(I28-K28,0),2))</f>
        <v/>
      </c>
      <c r="R28" s="273">
        <f>IF(OR(Q28="",C28="",NOT(ISNUMBER($Z$5))),"",ROUND(Q28*C28*$Z$5,2))</f>
        <v/>
      </c>
      <c r="S28" s="62" t="n"/>
      <c r="T28" s="283" t="n"/>
      <c r="U28" s="284">
        <f>IF(A28="","",IF(AND(G28&lt;&gt;"",E28&lt;&gt;"",G28&gt;E28),"ALERTA: REM_C2&gt;REM_C1",IF(AND(I28&lt;&gt;"",G28&lt;&gt;"",I28&gt;G28),"ALERTA: REM_C3&gt;REM_C2",IF(AND(K28&lt;&gt;"",I28&lt;&gt;"",K28&gt;I28),"ALERTA: REM_C4&gt;REM_C3","OK"))))</f>
        <v/>
      </c>
      <c r="V28" s="284">
        <f>IF(A28="","",IF(B28="","",IF(OR(B28&lt;0,E28&gt;B28,G28&gt;B28,I28&gt;B28,K28&gt;B28),"ALERTA: QTD_INVALIDA","OK")))</f>
        <v/>
      </c>
      <c r="W28" s="34" t="n"/>
      <c r="X28" s="34" t="n"/>
      <c r="Y28" s="34" t="n"/>
      <c r="Z28" s="27" t="n"/>
      <c r="AA28" s="27" t="n"/>
      <c r="AB28" s="282">
        <f>IF(OR(A28="",E28=""),"",ROUND(B28-E28,2))</f>
        <v/>
      </c>
      <c r="AC28" s="273">
        <f>IF(OR(A28="",E28=""),"",ROUND(D28-E28*C28,2))</f>
        <v/>
      </c>
      <c r="AD28" s="27" t="n"/>
    </row>
    <row r="29">
      <c r="A29" s="278" t="n"/>
      <c r="B29" s="279" t="n"/>
      <c r="C29" s="280" t="n"/>
      <c r="D29" s="273">
        <f>IF(OR(A29="",B29="",C29=""),"",ROUND(B29*C29,2))</f>
        <v/>
      </c>
      <c r="E29" s="281" t="n"/>
      <c r="F29" s="273">
        <f>IF(OR(A29="",E29="",C29="",NOT(ISNUMBER($Z$3))),"",ROUND(E29*C29*$Z$3,2))</f>
        <v/>
      </c>
      <c r="G29" s="281" t="n"/>
      <c r="H29" s="273">
        <f>IF(OR(A29="",G29="",C29="",NOT(ISNUMBER($Z$4))),"",ROUND(G29*C29*$Z$4,2))</f>
        <v/>
      </c>
      <c r="I29" s="281" t="n"/>
      <c r="J29" s="273">
        <f>IF(OR(A29="",I29="",C29="",NOT(ISNUMBER($Z$5))),"",ROUND(I29*C29*$Z$5,2))</f>
        <v/>
      </c>
      <c r="K29" s="281" t="n"/>
      <c r="L29" s="273">
        <f>IF(OR(A29="",K29="",C29="",NOT(ISNUMBER($Z$6))),"",ROUND(K29*C29*$Z$6,2))</f>
        <v/>
      </c>
      <c r="M29" s="282">
        <f>IF(OR(E29="",G29=""),"",ROUND(MAX(E29-G29,0),2))</f>
        <v/>
      </c>
      <c r="N29" s="273">
        <f>IF(OR(M29="",C29="",NOT(ISNUMBER($Z$3))),"",ROUND(M29*C29*$Z$3,2))</f>
        <v/>
      </c>
      <c r="O29" s="282">
        <f>IF(OR(G29="",I29=""),"",ROUND(MAX(G29-I29,0),2))</f>
        <v/>
      </c>
      <c r="P29" s="273">
        <f>IF(OR(O29="",C29="",NOT(ISNUMBER($Z$4))),"",ROUND(O29*C29*$Z$4,2))</f>
        <v/>
      </c>
      <c r="Q29" s="282">
        <f>IF(OR(I29="",K29=""),"",ROUND(MAX(I29-K29,0),2))</f>
        <v/>
      </c>
      <c r="R29" s="273">
        <f>IF(OR(Q29="",C29="",NOT(ISNUMBER($Z$5))),"",ROUND(Q29*C29*$Z$5,2))</f>
        <v/>
      </c>
      <c r="S29" s="62" t="n"/>
      <c r="T29" s="283" t="n"/>
      <c r="U29" s="284">
        <f>IF(A29="","",IF(AND(G29&lt;&gt;"",E29&lt;&gt;"",G29&gt;E29),"ALERTA: REM_C2&gt;REM_C1",IF(AND(I29&lt;&gt;"",G29&lt;&gt;"",I29&gt;G29),"ALERTA: REM_C3&gt;REM_C2",IF(AND(K29&lt;&gt;"",I29&lt;&gt;"",K29&gt;I29),"ALERTA: REM_C4&gt;REM_C3","OK"))))</f>
        <v/>
      </c>
      <c r="V29" s="284">
        <f>IF(A29="","",IF(B29="","",IF(OR(B29&lt;0,E29&gt;B29,G29&gt;B29,I29&gt;B29,K29&gt;B29),"ALERTA: QTD_INVALIDA","OK")))</f>
        <v/>
      </c>
      <c r="W29" s="34" t="n"/>
      <c r="X29" s="34" t="n"/>
      <c r="Y29" s="34" t="n"/>
      <c r="Z29" s="27" t="n"/>
      <c r="AA29" s="27" t="n"/>
      <c r="AB29" s="282">
        <f>IF(OR(A29="",E29=""),"",ROUND(B29-E29,2))</f>
        <v/>
      </c>
      <c r="AC29" s="273">
        <f>IF(OR(A29="",E29=""),"",ROUND(D29-E29*C29,2))</f>
        <v/>
      </c>
      <c r="AD29" s="27" t="n"/>
    </row>
    <row r="30">
      <c r="A30" s="278" t="n"/>
      <c r="B30" s="279" t="n"/>
      <c r="C30" s="280" t="n"/>
      <c r="D30" s="273">
        <f>IF(OR(A30="",B30="",C30=""),"",ROUND(B30*C30,2))</f>
        <v/>
      </c>
      <c r="E30" s="281" t="n"/>
      <c r="F30" s="273">
        <f>IF(OR(A30="",E30="",C30="",NOT(ISNUMBER($Z$3))),"",ROUND(E30*C30*$Z$3,2))</f>
        <v/>
      </c>
      <c r="G30" s="281" t="n"/>
      <c r="H30" s="273">
        <f>IF(OR(A30="",G30="",C30="",NOT(ISNUMBER($Z$4))),"",ROUND(G30*C30*$Z$4,2))</f>
        <v/>
      </c>
      <c r="I30" s="281" t="n"/>
      <c r="J30" s="273">
        <f>IF(OR(A30="",I30="",C30="",NOT(ISNUMBER($Z$5))),"",ROUND(I30*C30*$Z$5,2))</f>
        <v/>
      </c>
      <c r="K30" s="281" t="n"/>
      <c r="L30" s="273">
        <f>IF(OR(A30="",K30="",C30="",NOT(ISNUMBER($Z$6))),"",ROUND(K30*C30*$Z$6,2))</f>
        <v/>
      </c>
      <c r="M30" s="282">
        <f>IF(OR(E30="",G30=""),"",ROUND(MAX(E30-G30,0),2))</f>
        <v/>
      </c>
      <c r="N30" s="273">
        <f>IF(OR(M30="",C30="",NOT(ISNUMBER($Z$3))),"",ROUND(M30*C30*$Z$3,2))</f>
        <v/>
      </c>
      <c r="O30" s="282">
        <f>IF(OR(G30="",I30=""),"",ROUND(MAX(G30-I30,0),2))</f>
        <v/>
      </c>
      <c r="P30" s="273">
        <f>IF(OR(O30="",C30="",NOT(ISNUMBER($Z$4))),"",ROUND(O30*C30*$Z$4,2))</f>
        <v/>
      </c>
      <c r="Q30" s="282">
        <f>IF(OR(I30="",K30=""),"",ROUND(MAX(I30-K30,0),2))</f>
        <v/>
      </c>
      <c r="R30" s="273">
        <f>IF(OR(Q30="",C30="",NOT(ISNUMBER($Z$5))),"",ROUND(Q30*C30*$Z$5,2))</f>
        <v/>
      </c>
      <c r="S30" s="62" t="n"/>
      <c r="T30" s="283" t="n"/>
      <c r="U30" s="284">
        <f>IF(A30="","",IF(AND(G30&lt;&gt;"",E30&lt;&gt;"",G30&gt;E30),"ALERTA: REM_C2&gt;REM_C1",IF(AND(I30&lt;&gt;"",G30&lt;&gt;"",I30&gt;G30),"ALERTA: REM_C3&gt;REM_C2",IF(AND(K30&lt;&gt;"",I30&lt;&gt;"",K30&gt;I30),"ALERTA: REM_C4&gt;REM_C3","OK"))))</f>
        <v/>
      </c>
      <c r="V30" s="284">
        <f>IF(A30="","",IF(B30="","",IF(OR(B30&lt;0,E30&gt;B30,G30&gt;B30,I30&gt;B30,K30&gt;B30),"ALERTA: QTD_INVALIDA","OK")))</f>
        <v/>
      </c>
      <c r="W30" s="34" t="n"/>
      <c r="X30" s="34" t="n"/>
      <c r="Y30" s="34" t="n"/>
      <c r="Z30" s="27" t="n"/>
      <c r="AA30" s="27" t="n"/>
      <c r="AB30" s="282">
        <f>IF(OR(A30="",E30=""),"",ROUND(B30-E30,2))</f>
        <v/>
      </c>
      <c r="AC30" s="273">
        <f>IF(OR(A30="",E30=""),"",ROUND(D30-E30*C30,2))</f>
        <v/>
      </c>
      <c r="AD30" s="27" t="n"/>
    </row>
    <row r="31">
      <c r="A31" s="278" t="n"/>
      <c r="B31" s="279" t="n"/>
      <c r="C31" s="280" t="n"/>
      <c r="D31" s="273">
        <f>IF(OR(A31="",B31="",C31=""),"",ROUND(B31*C31,2))</f>
        <v/>
      </c>
      <c r="E31" s="281" t="n"/>
      <c r="F31" s="273">
        <f>IF(OR(A31="",E31="",C31="",NOT(ISNUMBER($Z$3))),"",ROUND(E31*C31*$Z$3,2))</f>
        <v/>
      </c>
      <c r="G31" s="281" t="n"/>
      <c r="H31" s="273">
        <f>IF(OR(A31="",G31="",C31="",NOT(ISNUMBER($Z$4))),"",ROUND(G31*C31*$Z$4,2))</f>
        <v/>
      </c>
      <c r="I31" s="281" t="n"/>
      <c r="J31" s="273">
        <f>IF(OR(A31="",I31="",C31="",NOT(ISNUMBER($Z$5))),"",ROUND(I31*C31*$Z$5,2))</f>
        <v/>
      </c>
      <c r="K31" s="281" t="n"/>
      <c r="L31" s="273">
        <f>IF(OR(A31="",K31="",C31="",NOT(ISNUMBER($Z$6))),"",ROUND(K31*C31*$Z$6,2))</f>
        <v/>
      </c>
      <c r="M31" s="282">
        <f>IF(OR(E31="",G31=""),"",ROUND(MAX(E31-G31,0),2))</f>
        <v/>
      </c>
      <c r="N31" s="273">
        <f>IF(OR(M31="",C31="",NOT(ISNUMBER($Z$3))),"",ROUND(M31*C31*$Z$3,2))</f>
        <v/>
      </c>
      <c r="O31" s="282">
        <f>IF(OR(G31="",I31=""),"",ROUND(MAX(G31-I31,0),2))</f>
        <v/>
      </c>
      <c r="P31" s="273">
        <f>IF(OR(O31="",C31="",NOT(ISNUMBER($Z$4))),"",ROUND(O31*C31*$Z$4,2))</f>
        <v/>
      </c>
      <c r="Q31" s="282">
        <f>IF(OR(I31="",K31=""),"",ROUND(MAX(I31-K31,0),2))</f>
        <v/>
      </c>
      <c r="R31" s="273">
        <f>IF(OR(Q31="",C31="",NOT(ISNUMBER($Z$5))),"",ROUND(Q31*C31*$Z$5,2))</f>
        <v/>
      </c>
      <c r="S31" s="62" t="n"/>
      <c r="T31" s="283" t="n"/>
      <c r="U31" s="284">
        <f>IF(A31="","",IF(AND(G31&lt;&gt;"",E31&lt;&gt;"",G31&gt;E31),"ALERTA: REM_C2&gt;REM_C1",IF(AND(I31&lt;&gt;"",G31&lt;&gt;"",I31&gt;G31),"ALERTA: REM_C3&gt;REM_C2",IF(AND(K31&lt;&gt;"",I31&lt;&gt;"",K31&gt;I31),"ALERTA: REM_C4&gt;REM_C3","OK"))))</f>
        <v/>
      </c>
      <c r="V31" s="284">
        <f>IF(A31="","",IF(B31="","",IF(OR(B31&lt;0,E31&gt;B31,G31&gt;B31,I31&gt;B31,K31&gt;B31),"ALERTA: QTD_INVALIDA","OK")))</f>
        <v/>
      </c>
      <c r="W31" s="34" t="n"/>
      <c r="X31" s="34" t="n"/>
      <c r="Y31" s="34" t="n"/>
      <c r="Z31" s="27" t="n"/>
      <c r="AA31" s="27" t="n"/>
      <c r="AB31" s="282">
        <f>IF(OR(A31="",E31=""),"",ROUND(B31-E31,2))</f>
        <v/>
      </c>
      <c r="AC31" s="273">
        <f>IF(OR(A31="",E31=""),"",ROUND(D31-E31*C31,2))</f>
        <v/>
      </c>
      <c r="AD31" s="27" t="n"/>
    </row>
    <row r="32">
      <c r="A32" s="278" t="n"/>
      <c r="B32" s="279" t="n"/>
      <c r="C32" s="280" t="n"/>
      <c r="D32" s="273">
        <f>IF(OR(A32="",B32="",C32=""),"",ROUND(B32*C32,2))</f>
        <v/>
      </c>
      <c r="E32" s="281" t="n"/>
      <c r="F32" s="273">
        <f>IF(OR(A32="",E32="",C32="",NOT(ISNUMBER($Z$3))),"",ROUND(E32*C32*$Z$3,2))</f>
        <v/>
      </c>
      <c r="G32" s="281" t="n"/>
      <c r="H32" s="273">
        <f>IF(OR(A32="",G32="",C32="",NOT(ISNUMBER($Z$4))),"",ROUND(G32*C32*$Z$4,2))</f>
        <v/>
      </c>
      <c r="I32" s="281" t="n"/>
      <c r="J32" s="273">
        <f>IF(OR(A32="",I32="",C32="",NOT(ISNUMBER($Z$5))),"",ROUND(I32*C32*$Z$5,2))</f>
        <v/>
      </c>
      <c r="K32" s="281" t="n"/>
      <c r="L32" s="273">
        <f>IF(OR(A32="",K32="",C32="",NOT(ISNUMBER($Z$6))),"",ROUND(K32*C32*$Z$6,2))</f>
        <v/>
      </c>
      <c r="M32" s="282">
        <f>IF(OR(E32="",G32=""),"",ROUND(MAX(E32-G32,0),2))</f>
        <v/>
      </c>
      <c r="N32" s="273">
        <f>IF(OR(M32="",C32="",NOT(ISNUMBER($Z$3))),"",ROUND(M32*C32*$Z$3,2))</f>
        <v/>
      </c>
      <c r="O32" s="282">
        <f>IF(OR(G32="",I32=""),"",ROUND(MAX(G32-I32,0),2))</f>
        <v/>
      </c>
      <c r="P32" s="273">
        <f>IF(OR(O32="",C32="",NOT(ISNUMBER($Z$4))),"",ROUND(O32*C32*$Z$4,2))</f>
        <v/>
      </c>
      <c r="Q32" s="282">
        <f>IF(OR(I32="",K32=""),"",ROUND(MAX(I32-K32,0),2))</f>
        <v/>
      </c>
      <c r="R32" s="273">
        <f>IF(OR(Q32="",C32="",NOT(ISNUMBER($Z$5))),"",ROUND(Q32*C32*$Z$5,2))</f>
        <v/>
      </c>
      <c r="S32" s="62" t="n"/>
      <c r="T32" s="283" t="n"/>
      <c r="U32" s="284">
        <f>IF(A32="","",IF(AND(G32&lt;&gt;"",E32&lt;&gt;"",G32&gt;E32),"ALERTA: REM_C2&gt;REM_C1",IF(AND(I32&lt;&gt;"",G32&lt;&gt;"",I32&gt;G32),"ALERTA: REM_C3&gt;REM_C2",IF(AND(K32&lt;&gt;"",I32&lt;&gt;"",K32&gt;I32),"ALERTA: REM_C4&gt;REM_C3","OK"))))</f>
        <v/>
      </c>
      <c r="V32" s="284">
        <f>IF(A32="","",IF(B32="","",IF(OR(B32&lt;0,E32&gt;B32,G32&gt;B32,I32&gt;B32,K32&gt;B32),"ALERTA: QTD_INVALIDA","OK")))</f>
        <v/>
      </c>
      <c r="W32" s="34" t="n"/>
      <c r="X32" s="34" t="n"/>
      <c r="Y32" s="34" t="n"/>
      <c r="Z32" s="27" t="n"/>
      <c r="AA32" s="27" t="n"/>
      <c r="AB32" s="282">
        <f>IF(OR(A32="",E32=""),"",ROUND(B32-E32,2))</f>
        <v/>
      </c>
      <c r="AC32" s="273">
        <f>IF(OR(A32="",E32=""),"",ROUND(D32-E32*C32,2))</f>
        <v/>
      </c>
      <c r="AD32" s="27" t="n"/>
    </row>
    <row r="33">
      <c r="A33" s="278" t="n"/>
      <c r="B33" s="279" t="n"/>
      <c r="C33" s="280" t="n"/>
      <c r="D33" s="273">
        <f>IF(OR(A33="",B33="",C33=""),"",ROUND(B33*C33,2))</f>
        <v/>
      </c>
      <c r="E33" s="281" t="n"/>
      <c r="F33" s="273">
        <f>IF(OR(A33="",E33="",C33="",NOT(ISNUMBER($Z$3))),"",ROUND(E33*C33*$Z$3,2))</f>
        <v/>
      </c>
      <c r="G33" s="281" t="n"/>
      <c r="H33" s="273">
        <f>IF(OR(A33="",G33="",C33="",NOT(ISNUMBER($Z$4))),"",ROUND(G33*C33*$Z$4,2))</f>
        <v/>
      </c>
      <c r="I33" s="281" t="n"/>
      <c r="J33" s="273">
        <f>IF(OR(A33="",I33="",C33="",NOT(ISNUMBER($Z$5))),"",ROUND(I33*C33*$Z$5,2))</f>
        <v/>
      </c>
      <c r="K33" s="281" t="n"/>
      <c r="L33" s="273">
        <f>IF(OR(A33="",K33="",C33="",NOT(ISNUMBER($Z$6))),"",ROUND(K33*C33*$Z$6,2))</f>
        <v/>
      </c>
      <c r="M33" s="282">
        <f>IF(OR(E33="",G33=""),"",ROUND(MAX(E33-G33,0),2))</f>
        <v/>
      </c>
      <c r="N33" s="273">
        <f>IF(OR(M33="",C33="",NOT(ISNUMBER($Z$3))),"",ROUND(M33*C33*$Z$3,2))</f>
        <v/>
      </c>
      <c r="O33" s="282">
        <f>IF(OR(G33="",I33=""),"",ROUND(MAX(G33-I33,0),2))</f>
        <v/>
      </c>
      <c r="P33" s="273">
        <f>IF(OR(O33="",C33="",NOT(ISNUMBER($Z$4))),"",ROUND(O33*C33*$Z$4,2))</f>
        <v/>
      </c>
      <c r="Q33" s="282">
        <f>IF(OR(I33="",K33=""),"",ROUND(MAX(I33-K33,0),2))</f>
        <v/>
      </c>
      <c r="R33" s="273">
        <f>IF(OR(Q33="",C33="",NOT(ISNUMBER($Z$5))),"",ROUND(Q33*C33*$Z$5,2))</f>
        <v/>
      </c>
      <c r="S33" s="62" t="n"/>
      <c r="T33" s="283" t="n"/>
      <c r="U33" s="284">
        <f>IF(A33="","",IF(AND(G33&lt;&gt;"",E33&lt;&gt;"",G33&gt;E33),"ALERTA: REM_C2&gt;REM_C1",IF(AND(I33&lt;&gt;"",G33&lt;&gt;"",I33&gt;G33),"ALERTA: REM_C3&gt;REM_C2",IF(AND(K33&lt;&gt;"",I33&lt;&gt;"",K33&gt;I33),"ALERTA: REM_C4&gt;REM_C3","OK"))))</f>
        <v/>
      </c>
      <c r="V33" s="284">
        <f>IF(A33="","",IF(B33="","",IF(OR(B33&lt;0,E33&gt;B33,G33&gt;B33,I33&gt;B33,K33&gt;B33),"ALERTA: QTD_INVALIDA","OK")))</f>
        <v/>
      </c>
      <c r="W33" s="34" t="n"/>
      <c r="X33" s="34" t="n"/>
      <c r="Y33" s="34" t="n"/>
      <c r="Z33" s="27" t="n"/>
      <c r="AA33" s="27" t="n"/>
      <c r="AB33" s="282">
        <f>IF(OR(A33="",E33=""),"",ROUND(B33-E33,2))</f>
        <v/>
      </c>
      <c r="AC33" s="273">
        <f>IF(OR(A33="",E33=""),"",ROUND(D33-E33*C33,2))</f>
        <v/>
      </c>
      <c r="AD33" s="27" t="n"/>
    </row>
    <row r="34">
      <c r="A34" s="278" t="n"/>
      <c r="B34" s="279" t="n"/>
      <c r="C34" s="280" t="n"/>
      <c r="D34" s="273">
        <f>IF(OR(A34="",B34="",C34=""),"",ROUND(B34*C34,2))</f>
        <v/>
      </c>
      <c r="E34" s="281" t="n"/>
      <c r="F34" s="273">
        <f>IF(OR(A34="",E34="",C34="",NOT(ISNUMBER($Z$3))),"",ROUND(E34*C34*$Z$3,2))</f>
        <v/>
      </c>
      <c r="G34" s="281" t="n"/>
      <c r="H34" s="273">
        <f>IF(OR(A34="",G34="",C34="",NOT(ISNUMBER($Z$4))),"",ROUND(G34*C34*$Z$4,2))</f>
        <v/>
      </c>
      <c r="I34" s="281" t="n"/>
      <c r="J34" s="273">
        <f>IF(OR(A34="",I34="",C34="",NOT(ISNUMBER($Z$5))),"",ROUND(I34*C34*$Z$5,2))</f>
        <v/>
      </c>
      <c r="K34" s="281" t="n"/>
      <c r="L34" s="273">
        <f>IF(OR(A34="",K34="",C34="",NOT(ISNUMBER($Z$6))),"",ROUND(K34*C34*$Z$6,2))</f>
        <v/>
      </c>
      <c r="M34" s="282">
        <f>IF(OR(E34="",G34=""),"",ROUND(MAX(E34-G34,0),2))</f>
        <v/>
      </c>
      <c r="N34" s="273">
        <f>IF(OR(M34="",C34="",NOT(ISNUMBER($Z$3))),"",ROUND(M34*C34*$Z$3,2))</f>
        <v/>
      </c>
      <c r="O34" s="282">
        <f>IF(OR(G34="",I34=""),"",ROUND(MAX(G34-I34,0),2))</f>
        <v/>
      </c>
      <c r="P34" s="273">
        <f>IF(OR(O34="",C34="",NOT(ISNUMBER($Z$4))),"",ROUND(O34*C34*$Z$4,2))</f>
        <v/>
      </c>
      <c r="Q34" s="282">
        <f>IF(OR(I34="",K34=""),"",ROUND(MAX(I34-K34,0),2))</f>
        <v/>
      </c>
      <c r="R34" s="273">
        <f>IF(OR(Q34="",C34="",NOT(ISNUMBER($Z$5))),"",ROUND(Q34*C34*$Z$5,2))</f>
        <v/>
      </c>
      <c r="S34" s="62" t="n"/>
      <c r="T34" s="283" t="n"/>
      <c r="U34" s="284">
        <f>IF(A34="","",IF(AND(G34&lt;&gt;"",E34&lt;&gt;"",G34&gt;E34),"ALERTA: REM_C2&gt;REM_C1",IF(AND(I34&lt;&gt;"",G34&lt;&gt;"",I34&gt;G34),"ALERTA: REM_C3&gt;REM_C2",IF(AND(K34&lt;&gt;"",I34&lt;&gt;"",K34&gt;I34),"ALERTA: REM_C4&gt;REM_C3","OK"))))</f>
        <v/>
      </c>
      <c r="V34" s="284">
        <f>IF(A34="","",IF(B34="","",IF(OR(B34&lt;0,E34&gt;B34,G34&gt;B34,I34&gt;B34,K34&gt;B34),"ALERTA: QTD_INVALIDA","OK")))</f>
        <v/>
      </c>
      <c r="W34" s="34" t="n"/>
      <c r="X34" s="34" t="n"/>
      <c r="Y34" s="34" t="n"/>
      <c r="Z34" s="27" t="n"/>
      <c r="AA34" s="27" t="n"/>
      <c r="AB34" s="282">
        <f>IF(OR(A34="",E34=""),"",ROUND(B34-E34,2))</f>
        <v/>
      </c>
      <c r="AC34" s="273">
        <f>IF(OR(A34="",E34=""),"",ROUND(D34-E34*C34,2))</f>
        <v/>
      </c>
      <c r="AD34" s="27" t="n"/>
    </row>
    <row r="35">
      <c r="A35" s="278" t="n"/>
      <c r="B35" s="279" t="n"/>
      <c r="C35" s="280" t="n"/>
      <c r="D35" s="273">
        <f>IF(OR(A35="",B35="",C35=""),"",ROUND(B35*C35,2))</f>
        <v/>
      </c>
      <c r="E35" s="281" t="n"/>
      <c r="F35" s="273">
        <f>IF(OR(A35="",E35="",C35="",NOT(ISNUMBER($Z$3))),"",ROUND(E35*C35*$Z$3,2))</f>
        <v/>
      </c>
      <c r="G35" s="281" t="n"/>
      <c r="H35" s="273">
        <f>IF(OR(A35="",G35="",C35="",NOT(ISNUMBER($Z$4))),"",ROUND(G35*C35*$Z$4,2))</f>
        <v/>
      </c>
      <c r="I35" s="281" t="n"/>
      <c r="J35" s="273">
        <f>IF(OR(A35="",I35="",C35="",NOT(ISNUMBER($Z$5))),"",ROUND(I35*C35*$Z$5,2))</f>
        <v/>
      </c>
      <c r="K35" s="281" t="n"/>
      <c r="L35" s="273">
        <f>IF(OR(A35="",K35="",C35="",NOT(ISNUMBER($Z$6))),"",ROUND(K35*C35*$Z$6,2))</f>
        <v/>
      </c>
      <c r="M35" s="282">
        <f>IF(OR(E35="",G35=""),"",ROUND(MAX(E35-G35,0),2))</f>
        <v/>
      </c>
      <c r="N35" s="273">
        <f>IF(OR(M35="",C35="",NOT(ISNUMBER($Z$3))),"",ROUND(M35*C35*$Z$3,2))</f>
        <v/>
      </c>
      <c r="O35" s="282">
        <f>IF(OR(G35="",I35=""),"",ROUND(MAX(G35-I35,0),2))</f>
        <v/>
      </c>
      <c r="P35" s="273">
        <f>IF(OR(O35="",C35="",NOT(ISNUMBER($Z$4))),"",ROUND(O35*C35*$Z$4,2))</f>
        <v/>
      </c>
      <c r="Q35" s="282">
        <f>IF(OR(I35="",K35=""),"",ROUND(MAX(I35-K35,0),2))</f>
        <v/>
      </c>
      <c r="R35" s="273">
        <f>IF(OR(Q35="",C35="",NOT(ISNUMBER($Z$5))),"",ROUND(Q35*C35*$Z$5,2))</f>
        <v/>
      </c>
      <c r="S35" s="62" t="n"/>
      <c r="T35" s="283" t="n"/>
      <c r="U35" s="284">
        <f>IF(A35="","",IF(AND(G35&lt;&gt;"",E35&lt;&gt;"",G35&gt;E35),"ALERTA: REM_C2&gt;REM_C1",IF(AND(I35&lt;&gt;"",G35&lt;&gt;"",I35&gt;G35),"ALERTA: REM_C3&gt;REM_C2",IF(AND(K35&lt;&gt;"",I35&lt;&gt;"",K35&gt;I35),"ALERTA: REM_C4&gt;REM_C3","OK"))))</f>
        <v/>
      </c>
      <c r="V35" s="284">
        <f>IF(A35="","",IF(B35="","",IF(OR(B35&lt;0,E35&gt;B35,G35&gt;B35,I35&gt;B35,K35&gt;B35),"ALERTA: QTD_INVALIDA","OK")))</f>
        <v/>
      </c>
      <c r="W35" s="34" t="n"/>
      <c r="X35" s="34" t="n"/>
      <c r="Y35" s="34" t="n"/>
      <c r="Z35" s="27" t="n"/>
      <c r="AA35" s="27" t="n"/>
      <c r="AB35" s="282">
        <f>IF(OR(A35="",E35=""),"",ROUND(B35-E35,2))</f>
        <v/>
      </c>
      <c r="AC35" s="273">
        <f>IF(OR(A35="",E35=""),"",ROUND(D35-E35*C35,2))</f>
        <v/>
      </c>
      <c r="AD35" s="27" t="n"/>
    </row>
    <row r="36">
      <c r="A36" s="278" t="n"/>
      <c r="B36" s="279" t="n"/>
      <c r="C36" s="280" t="n"/>
      <c r="D36" s="273">
        <f>IF(OR(A36="",B36="",C36=""),"",ROUND(B36*C36,2))</f>
        <v/>
      </c>
      <c r="E36" s="281" t="n"/>
      <c r="F36" s="273">
        <f>IF(OR(A36="",E36="",C36="",NOT(ISNUMBER($Z$3))),"",ROUND(E36*C36*$Z$3,2))</f>
        <v/>
      </c>
      <c r="G36" s="281" t="n"/>
      <c r="H36" s="273">
        <f>IF(OR(A36="",G36="",C36="",NOT(ISNUMBER($Z$4))),"",ROUND(G36*C36*$Z$4,2))</f>
        <v/>
      </c>
      <c r="I36" s="281" t="n"/>
      <c r="J36" s="273">
        <f>IF(OR(A36="",I36="",C36="",NOT(ISNUMBER($Z$5))),"",ROUND(I36*C36*$Z$5,2))</f>
        <v/>
      </c>
      <c r="K36" s="281" t="n"/>
      <c r="L36" s="273">
        <f>IF(OR(A36="",K36="",C36="",NOT(ISNUMBER($Z$6))),"",ROUND(K36*C36*$Z$6,2))</f>
        <v/>
      </c>
      <c r="M36" s="282">
        <f>IF(OR(E36="",G36=""),"",ROUND(MAX(E36-G36,0),2))</f>
        <v/>
      </c>
      <c r="N36" s="273">
        <f>IF(OR(M36="",C36="",NOT(ISNUMBER($Z$3))),"",ROUND(M36*C36*$Z$3,2))</f>
        <v/>
      </c>
      <c r="O36" s="282">
        <f>IF(OR(G36="",I36=""),"",ROUND(MAX(G36-I36,0),2))</f>
        <v/>
      </c>
      <c r="P36" s="273">
        <f>IF(OR(O36="",C36="",NOT(ISNUMBER($Z$4))),"",ROUND(O36*C36*$Z$4,2))</f>
        <v/>
      </c>
      <c r="Q36" s="282">
        <f>IF(OR(I36="",K36=""),"",ROUND(MAX(I36-K36,0),2))</f>
        <v/>
      </c>
      <c r="R36" s="273">
        <f>IF(OR(Q36="",C36="",NOT(ISNUMBER($Z$5))),"",ROUND(Q36*C36*$Z$5,2))</f>
        <v/>
      </c>
      <c r="S36" s="62" t="n"/>
      <c r="T36" s="283" t="n"/>
      <c r="U36" s="284">
        <f>IF(A36="","",IF(AND(G36&lt;&gt;"",E36&lt;&gt;"",G36&gt;E36),"ALERTA: REM_C2&gt;REM_C1",IF(AND(I36&lt;&gt;"",G36&lt;&gt;"",I36&gt;G36),"ALERTA: REM_C3&gt;REM_C2",IF(AND(K36&lt;&gt;"",I36&lt;&gt;"",K36&gt;I36),"ALERTA: REM_C4&gt;REM_C3","OK"))))</f>
        <v/>
      </c>
      <c r="V36" s="284">
        <f>IF(A36="","",IF(B36="","",IF(OR(B36&lt;0,E36&gt;B36,G36&gt;B36,I36&gt;B36,K36&gt;B36),"ALERTA: QTD_INVALIDA","OK")))</f>
        <v/>
      </c>
      <c r="W36" s="34" t="n"/>
      <c r="X36" s="34" t="n"/>
      <c r="Y36" s="34" t="n"/>
      <c r="Z36" s="27" t="n"/>
      <c r="AA36" s="27" t="n"/>
      <c r="AB36" s="282">
        <f>IF(OR(A36="",E36=""),"",ROUND(B36-E36,2))</f>
        <v/>
      </c>
      <c r="AC36" s="273">
        <f>IF(OR(A36="",E36=""),"",ROUND(D36-E36*C36,2))</f>
        <v/>
      </c>
      <c r="AD36" s="27" t="n"/>
    </row>
    <row r="37">
      <c r="A37" s="278" t="n"/>
      <c r="B37" s="279" t="n"/>
      <c r="C37" s="280" t="n"/>
      <c r="D37" s="273">
        <f>IF(OR(A37="",B37="",C37=""),"",ROUND(B37*C37,2))</f>
        <v/>
      </c>
      <c r="E37" s="281" t="n"/>
      <c r="F37" s="273">
        <f>IF(OR(A37="",E37="",C37="",NOT(ISNUMBER($Z$3))),"",ROUND(E37*C37*$Z$3,2))</f>
        <v/>
      </c>
      <c r="G37" s="281" t="n"/>
      <c r="H37" s="273">
        <f>IF(OR(A37="",G37="",C37="",NOT(ISNUMBER($Z$4))),"",ROUND(G37*C37*$Z$4,2))</f>
        <v/>
      </c>
      <c r="I37" s="281" t="n"/>
      <c r="J37" s="273">
        <f>IF(OR(A37="",I37="",C37="",NOT(ISNUMBER($Z$5))),"",ROUND(I37*C37*$Z$5,2))</f>
        <v/>
      </c>
      <c r="K37" s="281" t="n"/>
      <c r="L37" s="273">
        <f>IF(OR(A37="",K37="",C37="",NOT(ISNUMBER($Z$6))),"",ROUND(K37*C37*$Z$6,2))</f>
        <v/>
      </c>
      <c r="M37" s="282">
        <f>IF(OR(E37="",G37=""),"",ROUND(MAX(E37-G37,0),2))</f>
        <v/>
      </c>
      <c r="N37" s="273">
        <f>IF(OR(M37="",C37="",NOT(ISNUMBER($Z$3))),"",ROUND(M37*C37*$Z$3,2))</f>
        <v/>
      </c>
      <c r="O37" s="282">
        <f>IF(OR(G37="",I37=""),"",ROUND(MAX(G37-I37,0),2))</f>
        <v/>
      </c>
      <c r="P37" s="273">
        <f>IF(OR(O37="",C37="",NOT(ISNUMBER($Z$4))),"",ROUND(O37*C37*$Z$4,2))</f>
        <v/>
      </c>
      <c r="Q37" s="282">
        <f>IF(OR(I37="",K37=""),"",ROUND(MAX(I37-K37,0),2))</f>
        <v/>
      </c>
      <c r="R37" s="273">
        <f>IF(OR(Q37="",C37="",NOT(ISNUMBER($Z$5))),"",ROUND(Q37*C37*$Z$5,2))</f>
        <v/>
      </c>
      <c r="S37" s="62" t="n"/>
      <c r="T37" s="283" t="n"/>
      <c r="U37" s="284">
        <f>IF(A37="","",IF(AND(G37&lt;&gt;"",E37&lt;&gt;"",G37&gt;E37),"ALERTA: REM_C2&gt;REM_C1",IF(AND(I37&lt;&gt;"",G37&lt;&gt;"",I37&gt;G37),"ALERTA: REM_C3&gt;REM_C2",IF(AND(K37&lt;&gt;"",I37&lt;&gt;"",K37&gt;I37),"ALERTA: REM_C4&gt;REM_C3","OK"))))</f>
        <v/>
      </c>
      <c r="V37" s="284">
        <f>IF(A37="","",IF(B37="","",IF(OR(B37&lt;0,E37&gt;B37,G37&gt;B37,I37&gt;B37,K37&gt;B37),"ALERTA: QTD_INVALIDA","OK")))</f>
        <v/>
      </c>
      <c r="W37" s="34" t="n"/>
      <c r="X37" s="34" t="n"/>
      <c r="Y37" s="34" t="n"/>
      <c r="Z37" s="27" t="n"/>
      <c r="AA37" s="27" t="n"/>
      <c r="AB37" s="282">
        <f>IF(OR(A37="",E37=""),"",ROUND(B37-E37,2))</f>
        <v/>
      </c>
      <c r="AC37" s="273">
        <f>IF(OR(A37="",E37=""),"",ROUND(D37-E37*C37,2))</f>
        <v/>
      </c>
      <c r="AD37" s="27" t="n"/>
    </row>
    <row r="38">
      <c r="A38" s="278" t="n"/>
      <c r="B38" s="279" t="n"/>
      <c r="C38" s="280" t="n"/>
      <c r="D38" s="273">
        <f>IF(OR(A38="",B38="",C38=""),"",ROUND(B38*C38,2))</f>
        <v/>
      </c>
      <c r="E38" s="281" t="n"/>
      <c r="F38" s="273">
        <f>IF(OR(A38="",E38="",C38="",NOT(ISNUMBER($Z$3))),"",ROUND(E38*C38*$Z$3,2))</f>
        <v/>
      </c>
      <c r="G38" s="281" t="n"/>
      <c r="H38" s="273">
        <f>IF(OR(A38="",G38="",C38="",NOT(ISNUMBER($Z$4))),"",ROUND(G38*C38*$Z$4,2))</f>
        <v/>
      </c>
      <c r="I38" s="281" t="n"/>
      <c r="J38" s="273">
        <f>IF(OR(A38="",I38="",C38="",NOT(ISNUMBER($Z$5))),"",ROUND(I38*C38*$Z$5,2))</f>
        <v/>
      </c>
      <c r="K38" s="281" t="n"/>
      <c r="L38" s="273">
        <f>IF(OR(A38="",K38="",C38="",NOT(ISNUMBER($Z$6))),"",ROUND(K38*C38*$Z$6,2))</f>
        <v/>
      </c>
      <c r="M38" s="282">
        <f>IF(OR(E38="",G38=""),"",ROUND(MAX(E38-G38,0),2))</f>
        <v/>
      </c>
      <c r="N38" s="273">
        <f>IF(OR(M38="",C38="",NOT(ISNUMBER($Z$3))),"",ROUND(M38*C38*$Z$3,2))</f>
        <v/>
      </c>
      <c r="O38" s="282">
        <f>IF(OR(G38="",I38=""),"",ROUND(MAX(G38-I38,0),2))</f>
        <v/>
      </c>
      <c r="P38" s="273">
        <f>IF(OR(O38="",C38="",NOT(ISNUMBER($Z$4))),"",ROUND(O38*C38*$Z$4,2))</f>
        <v/>
      </c>
      <c r="Q38" s="282">
        <f>IF(OR(I38="",K38=""),"",ROUND(MAX(I38-K38,0),2))</f>
        <v/>
      </c>
      <c r="R38" s="273">
        <f>IF(OR(Q38="",C38="",NOT(ISNUMBER($Z$5))),"",ROUND(Q38*C38*$Z$5,2))</f>
        <v/>
      </c>
      <c r="S38" s="62" t="n"/>
      <c r="T38" s="283" t="n"/>
      <c r="U38" s="284">
        <f>IF(A38="","",IF(AND(G38&lt;&gt;"",E38&lt;&gt;"",G38&gt;E38),"ALERTA: REM_C2&gt;REM_C1",IF(AND(I38&lt;&gt;"",G38&lt;&gt;"",I38&gt;G38),"ALERTA: REM_C3&gt;REM_C2",IF(AND(K38&lt;&gt;"",I38&lt;&gt;"",K38&gt;I38),"ALERTA: REM_C4&gt;REM_C3","OK"))))</f>
        <v/>
      </c>
      <c r="V38" s="284">
        <f>IF(A38="","",IF(B38="","",IF(OR(B38&lt;0,E38&gt;B38,G38&gt;B38,I38&gt;B38,K38&gt;B38),"ALERTA: QTD_INVALIDA","OK")))</f>
        <v/>
      </c>
      <c r="W38" s="34" t="n"/>
      <c r="X38" s="34" t="n"/>
      <c r="Y38" s="34" t="n"/>
      <c r="Z38" s="27" t="n"/>
      <c r="AA38" s="27" t="n"/>
      <c r="AB38" s="282">
        <f>IF(OR(A38="",E38=""),"",ROUND(B38-E38,2))</f>
        <v/>
      </c>
      <c r="AC38" s="273">
        <f>IF(OR(A38="",E38=""),"",ROUND(D38-E38*C38,2))</f>
        <v/>
      </c>
      <c r="AD38" s="27" t="n"/>
    </row>
    <row r="39">
      <c r="A39" s="278" t="n"/>
      <c r="B39" s="279" t="n"/>
      <c r="C39" s="280" t="n"/>
      <c r="D39" s="273">
        <f>IF(OR(A39="",B39="",C39=""),"",ROUND(B39*C39,2))</f>
        <v/>
      </c>
      <c r="E39" s="281" t="n"/>
      <c r="F39" s="273">
        <f>IF(OR(A39="",E39="",C39="",NOT(ISNUMBER($Z$3))),"",ROUND(E39*C39*$Z$3,2))</f>
        <v/>
      </c>
      <c r="G39" s="281" t="n"/>
      <c r="H39" s="273">
        <f>IF(OR(A39="",G39="",C39="",NOT(ISNUMBER($Z$4))),"",ROUND(G39*C39*$Z$4,2))</f>
        <v/>
      </c>
      <c r="I39" s="281" t="n"/>
      <c r="J39" s="273">
        <f>IF(OR(A39="",I39="",C39="",NOT(ISNUMBER($Z$5))),"",ROUND(I39*C39*$Z$5,2))</f>
        <v/>
      </c>
      <c r="K39" s="281" t="n"/>
      <c r="L39" s="273">
        <f>IF(OR(A39="",K39="",C39="",NOT(ISNUMBER($Z$6))),"",ROUND(K39*C39*$Z$6,2))</f>
        <v/>
      </c>
      <c r="M39" s="282">
        <f>IF(OR(E39="",G39=""),"",ROUND(MAX(E39-G39,0),2))</f>
        <v/>
      </c>
      <c r="N39" s="273">
        <f>IF(OR(M39="",C39="",NOT(ISNUMBER($Z$3))),"",ROUND(M39*C39*$Z$3,2))</f>
        <v/>
      </c>
      <c r="O39" s="282">
        <f>IF(OR(G39="",I39=""),"",ROUND(MAX(G39-I39,0),2))</f>
        <v/>
      </c>
      <c r="P39" s="273">
        <f>IF(OR(O39="",C39="",NOT(ISNUMBER($Z$4))),"",ROUND(O39*C39*$Z$4,2))</f>
        <v/>
      </c>
      <c r="Q39" s="282">
        <f>IF(OR(I39="",K39=""),"",ROUND(MAX(I39-K39,0),2))</f>
        <v/>
      </c>
      <c r="R39" s="273">
        <f>IF(OR(Q39="",C39="",NOT(ISNUMBER($Z$5))),"",ROUND(Q39*C39*$Z$5,2))</f>
        <v/>
      </c>
      <c r="S39" s="62" t="n"/>
      <c r="T39" s="283" t="n"/>
      <c r="U39" s="284">
        <f>IF(A39="","",IF(AND(G39&lt;&gt;"",E39&lt;&gt;"",G39&gt;E39),"ALERTA: REM_C2&gt;REM_C1",IF(AND(I39&lt;&gt;"",G39&lt;&gt;"",I39&gt;G39),"ALERTA: REM_C3&gt;REM_C2",IF(AND(K39&lt;&gt;"",I39&lt;&gt;"",K39&gt;I39),"ALERTA: REM_C4&gt;REM_C3","OK"))))</f>
        <v/>
      </c>
      <c r="V39" s="284">
        <f>IF(A39="","",IF(B39="","",IF(OR(B39&lt;0,E39&gt;B39,G39&gt;B39,I39&gt;B39,K39&gt;B39),"ALERTA: QTD_INVALIDA","OK")))</f>
        <v/>
      </c>
      <c r="W39" s="34" t="n"/>
      <c r="X39" s="34" t="n"/>
      <c r="Y39" s="34" t="n"/>
      <c r="Z39" s="27" t="n"/>
      <c r="AA39" s="27" t="n"/>
      <c r="AB39" s="282">
        <f>IF(OR(A39="",E39=""),"",ROUND(B39-E39,2))</f>
        <v/>
      </c>
      <c r="AC39" s="273">
        <f>IF(OR(A39="",E39=""),"",ROUND(D39-E39*C39,2))</f>
        <v/>
      </c>
      <c r="AD39" s="27" t="n"/>
    </row>
    <row r="40">
      <c r="A40" s="278" t="n"/>
      <c r="B40" s="279" t="n"/>
      <c r="C40" s="280" t="n"/>
      <c r="D40" s="273">
        <f>IF(OR(A40="",B40="",C40=""),"",ROUND(B40*C40,2))</f>
        <v/>
      </c>
      <c r="E40" s="281" t="n"/>
      <c r="F40" s="273">
        <f>IF(OR(A40="",E40="",C40="",NOT(ISNUMBER($Z$3))),"",ROUND(E40*C40*$Z$3,2))</f>
        <v/>
      </c>
      <c r="G40" s="281" t="n"/>
      <c r="H40" s="273">
        <f>IF(OR(A40="",G40="",C40="",NOT(ISNUMBER($Z$4))),"",ROUND(G40*C40*$Z$4,2))</f>
        <v/>
      </c>
      <c r="I40" s="281" t="n"/>
      <c r="J40" s="273">
        <f>IF(OR(A40="",I40="",C40="",NOT(ISNUMBER($Z$5))),"",ROUND(I40*C40*$Z$5,2))</f>
        <v/>
      </c>
      <c r="K40" s="281" t="n"/>
      <c r="L40" s="273">
        <f>IF(OR(A40="",K40="",C40="",NOT(ISNUMBER($Z$6))),"",ROUND(K40*C40*$Z$6,2))</f>
        <v/>
      </c>
      <c r="M40" s="282">
        <f>IF(OR(E40="",G40=""),"",ROUND(MAX(E40-G40,0),2))</f>
        <v/>
      </c>
      <c r="N40" s="273">
        <f>IF(OR(M40="",C40="",NOT(ISNUMBER($Z$3))),"",ROUND(M40*C40*$Z$3,2))</f>
        <v/>
      </c>
      <c r="O40" s="282">
        <f>IF(OR(G40="",I40=""),"",ROUND(MAX(G40-I40,0),2))</f>
        <v/>
      </c>
      <c r="P40" s="273">
        <f>IF(OR(O40="",C40="",NOT(ISNUMBER($Z$4))),"",ROUND(O40*C40*$Z$4,2))</f>
        <v/>
      </c>
      <c r="Q40" s="282">
        <f>IF(OR(I40="",K40=""),"",ROUND(MAX(I40-K40,0),2))</f>
        <v/>
      </c>
      <c r="R40" s="273">
        <f>IF(OR(Q40="",C40="",NOT(ISNUMBER($Z$5))),"",ROUND(Q40*C40*$Z$5,2))</f>
        <v/>
      </c>
      <c r="S40" s="62" t="n"/>
      <c r="T40" s="283" t="n"/>
      <c r="U40" s="284">
        <f>IF(A40="","",IF(AND(G40&lt;&gt;"",E40&lt;&gt;"",G40&gt;E40),"ALERTA: REM_C2&gt;REM_C1",IF(AND(I40&lt;&gt;"",G40&lt;&gt;"",I40&gt;G40),"ALERTA: REM_C3&gt;REM_C2",IF(AND(K40&lt;&gt;"",I40&lt;&gt;"",K40&gt;I40),"ALERTA: REM_C4&gt;REM_C3","OK"))))</f>
        <v/>
      </c>
      <c r="V40" s="284">
        <f>IF(A40="","",IF(B40="","",IF(OR(B40&lt;0,E40&gt;B40,G40&gt;B40,I40&gt;B40,K40&gt;B40),"ALERTA: QTD_INVALIDA","OK")))</f>
        <v/>
      </c>
      <c r="W40" s="34" t="n"/>
      <c r="X40" s="34" t="n"/>
      <c r="Y40" s="34" t="n"/>
      <c r="Z40" s="27" t="n"/>
      <c r="AA40" s="27" t="n"/>
      <c r="AB40" s="282">
        <f>IF(OR(A40="",E40=""),"",ROUND(B40-E40,2))</f>
        <v/>
      </c>
      <c r="AC40" s="273">
        <f>IF(OR(A40="",E40=""),"",ROUND(D40-E40*C40,2))</f>
        <v/>
      </c>
      <c r="AD40" s="27" t="n"/>
    </row>
    <row r="41">
      <c r="A41" s="278" t="n"/>
      <c r="B41" s="279" t="n"/>
      <c r="C41" s="280" t="n"/>
      <c r="D41" s="273">
        <f>IF(OR(A41="",B41="",C41=""),"",ROUND(B41*C41,2))</f>
        <v/>
      </c>
      <c r="E41" s="281" t="n"/>
      <c r="F41" s="273">
        <f>IF(OR(A41="",E41="",C41="",NOT(ISNUMBER($Z$3))),"",ROUND(E41*C41*$Z$3,2))</f>
        <v/>
      </c>
      <c r="G41" s="281" t="n"/>
      <c r="H41" s="273">
        <f>IF(OR(A41="",G41="",C41="",NOT(ISNUMBER($Z$4))),"",ROUND(G41*C41*$Z$4,2))</f>
        <v/>
      </c>
      <c r="I41" s="281" t="n"/>
      <c r="J41" s="273">
        <f>IF(OR(A41="",I41="",C41="",NOT(ISNUMBER($Z$5))),"",ROUND(I41*C41*$Z$5,2))</f>
        <v/>
      </c>
      <c r="K41" s="281" t="n"/>
      <c r="L41" s="273">
        <f>IF(OR(A41="",K41="",C41="",NOT(ISNUMBER($Z$6))),"",ROUND(K41*C41*$Z$6,2))</f>
        <v/>
      </c>
      <c r="M41" s="282">
        <f>IF(OR(E41="",G41=""),"",ROUND(MAX(E41-G41,0),2))</f>
        <v/>
      </c>
      <c r="N41" s="273">
        <f>IF(OR(M41="",C41="",NOT(ISNUMBER($Z$3))),"",ROUND(M41*C41*$Z$3,2))</f>
        <v/>
      </c>
      <c r="O41" s="282">
        <f>IF(OR(G41="",I41=""),"",ROUND(MAX(G41-I41,0),2))</f>
        <v/>
      </c>
      <c r="P41" s="273">
        <f>IF(OR(O41="",C41="",NOT(ISNUMBER($Z$4))),"",ROUND(O41*C41*$Z$4,2))</f>
        <v/>
      </c>
      <c r="Q41" s="282">
        <f>IF(OR(I41="",K41=""),"",ROUND(MAX(I41-K41,0),2))</f>
        <v/>
      </c>
      <c r="R41" s="273">
        <f>IF(OR(Q41="",C41="",NOT(ISNUMBER($Z$5))),"",ROUND(Q41*C41*$Z$5,2))</f>
        <v/>
      </c>
      <c r="S41" s="62" t="n"/>
      <c r="T41" s="283" t="n"/>
      <c r="U41" s="284">
        <f>IF(A41="","",IF(AND(G41&lt;&gt;"",E41&lt;&gt;"",G41&gt;E41),"ALERTA: REM_C2&gt;REM_C1",IF(AND(I41&lt;&gt;"",G41&lt;&gt;"",I41&gt;G41),"ALERTA: REM_C3&gt;REM_C2",IF(AND(K41&lt;&gt;"",I41&lt;&gt;"",K41&gt;I41),"ALERTA: REM_C4&gt;REM_C3","OK"))))</f>
        <v/>
      </c>
      <c r="V41" s="284">
        <f>IF(A41="","",IF(B41="","",IF(OR(B41&lt;0,E41&gt;B41,G41&gt;B41,I41&gt;B41,K41&gt;B41),"ALERTA: QTD_INVALIDA","OK")))</f>
        <v/>
      </c>
      <c r="W41" s="34" t="n"/>
      <c r="X41" s="34" t="n"/>
      <c r="Y41" s="34" t="n"/>
      <c r="Z41" s="27" t="n"/>
      <c r="AA41" s="27" t="n"/>
      <c r="AB41" s="282">
        <f>IF(OR(A41="",E41=""),"",ROUND(B41-E41,2))</f>
        <v/>
      </c>
      <c r="AC41" s="273">
        <f>IF(OR(A41="",E41=""),"",ROUND(D41-E41*C41,2))</f>
        <v/>
      </c>
      <c r="AD41" s="27" t="n"/>
    </row>
    <row r="42">
      <c r="A42" s="278" t="n"/>
      <c r="B42" s="279" t="n"/>
      <c r="C42" s="280" t="n"/>
      <c r="D42" s="273">
        <f>IF(OR(A42="",B42="",C42=""),"",ROUND(B42*C42,2))</f>
        <v/>
      </c>
      <c r="E42" s="281" t="n"/>
      <c r="F42" s="273">
        <f>IF(OR(A42="",E42="",C42="",NOT(ISNUMBER($Z$3))),"",ROUND(E42*C42*$Z$3,2))</f>
        <v/>
      </c>
      <c r="G42" s="281" t="n"/>
      <c r="H42" s="273">
        <f>IF(OR(A42="",G42="",C42="",NOT(ISNUMBER($Z$4))),"",ROUND(G42*C42*$Z$4,2))</f>
        <v/>
      </c>
      <c r="I42" s="281" t="n"/>
      <c r="J42" s="273">
        <f>IF(OR(A42="",I42="",C42="",NOT(ISNUMBER($Z$5))),"",ROUND(I42*C42*$Z$5,2))</f>
        <v/>
      </c>
      <c r="K42" s="281" t="n"/>
      <c r="L42" s="273">
        <f>IF(OR(A42="",K42="",C42="",NOT(ISNUMBER($Z$6))),"",ROUND(K42*C42*$Z$6,2))</f>
        <v/>
      </c>
      <c r="M42" s="282">
        <f>IF(OR(E42="",G42=""),"",ROUND(MAX(E42-G42,0),2))</f>
        <v/>
      </c>
      <c r="N42" s="273">
        <f>IF(OR(M42="",C42="",NOT(ISNUMBER($Z$3))),"",ROUND(M42*C42*$Z$3,2))</f>
        <v/>
      </c>
      <c r="O42" s="282">
        <f>IF(OR(G42="",I42=""),"",ROUND(MAX(G42-I42,0),2))</f>
        <v/>
      </c>
      <c r="P42" s="273">
        <f>IF(OR(O42="",C42="",NOT(ISNUMBER($Z$4))),"",ROUND(O42*C42*$Z$4,2))</f>
        <v/>
      </c>
      <c r="Q42" s="282">
        <f>IF(OR(I42="",K42=""),"",ROUND(MAX(I42-K42,0),2))</f>
        <v/>
      </c>
      <c r="R42" s="273">
        <f>IF(OR(Q42="",C42="",NOT(ISNUMBER($Z$5))),"",ROUND(Q42*C42*$Z$5,2))</f>
        <v/>
      </c>
      <c r="S42" s="62" t="n"/>
      <c r="T42" s="283" t="n"/>
      <c r="U42" s="284">
        <f>IF(A42="","",IF(AND(G42&lt;&gt;"",E42&lt;&gt;"",G42&gt;E42),"ALERTA: REM_C2&gt;REM_C1",IF(AND(I42&lt;&gt;"",G42&lt;&gt;"",I42&gt;G42),"ALERTA: REM_C3&gt;REM_C2",IF(AND(K42&lt;&gt;"",I42&lt;&gt;"",K42&gt;I42),"ALERTA: REM_C4&gt;REM_C3","OK"))))</f>
        <v/>
      </c>
      <c r="V42" s="284">
        <f>IF(A42="","",IF(B42="","",IF(OR(B42&lt;0,E42&gt;B42,G42&gt;B42,I42&gt;B42,K42&gt;B42),"ALERTA: QTD_INVALIDA","OK")))</f>
        <v/>
      </c>
      <c r="W42" s="34" t="n"/>
      <c r="X42" s="34" t="n"/>
      <c r="Y42" s="34" t="n"/>
      <c r="Z42" s="27" t="n"/>
      <c r="AA42" s="27" t="n"/>
      <c r="AB42" s="282">
        <f>IF(OR(A42="",E42=""),"",ROUND(B42-E42,2))</f>
        <v/>
      </c>
      <c r="AC42" s="273">
        <f>IF(OR(A42="",E42=""),"",ROUND(D42-E42*C42,2))</f>
        <v/>
      </c>
      <c r="AD42" s="27" t="n"/>
    </row>
    <row r="43">
      <c r="A43" s="278" t="n"/>
      <c r="B43" s="279" t="n"/>
      <c r="C43" s="280" t="n"/>
      <c r="D43" s="273">
        <f>IF(OR(A43="",B43="",C43=""),"",ROUND(B43*C43,2))</f>
        <v/>
      </c>
      <c r="E43" s="281" t="n"/>
      <c r="F43" s="273">
        <f>IF(OR(A43="",E43="",C43="",NOT(ISNUMBER($Z$3))),"",ROUND(E43*C43*$Z$3,2))</f>
        <v/>
      </c>
      <c r="G43" s="281" t="n"/>
      <c r="H43" s="273">
        <f>IF(OR(A43="",G43="",C43="",NOT(ISNUMBER($Z$4))),"",ROUND(G43*C43*$Z$4,2))</f>
        <v/>
      </c>
      <c r="I43" s="281" t="n"/>
      <c r="J43" s="273">
        <f>IF(OR(A43="",I43="",C43="",NOT(ISNUMBER($Z$5))),"",ROUND(I43*C43*$Z$5,2))</f>
        <v/>
      </c>
      <c r="K43" s="281" t="n"/>
      <c r="L43" s="273">
        <f>IF(OR(A43="",K43="",C43="",NOT(ISNUMBER($Z$6))),"",ROUND(K43*C43*$Z$6,2))</f>
        <v/>
      </c>
      <c r="M43" s="282">
        <f>IF(OR(E43="",G43=""),"",ROUND(MAX(E43-G43,0),2))</f>
        <v/>
      </c>
      <c r="N43" s="273">
        <f>IF(OR(M43="",C43="",NOT(ISNUMBER($Z$3))),"",ROUND(M43*C43*$Z$3,2))</f>
        <v/>
      </c>
      <c r="O43" s="282">
        <f>IF(OR(G43="",I43=""),"",ROUND(MAX(G43-I43,0),2))</f>
        <v/>
      </c>
      <c r="P43" s="273">
        <f>IF(OR(O43="",C43="",NOT(ISNUMBER($Z$4))),"",ROUND(O43*C43*$Z$4,2))</f>
        <v/>
      </c>
      <c r="Q43" s="282">
        <f>IF(OR(I43="",K43=""),"",ROUND(MAX(I43-K43,0),2))</f>
        <v/>
      </c>
      <c r="R43" s="273">
        <f>IF(OR(Q43="",C43="",NOT(ISNUMBER($Z$5))),"",ROUND(Q43*C43*$Z$5,2))</f>
        <v/>
      </c>
      <c r="S43" s="62" t="n"/>
      <c r="T43" s="283" t="n"/>
      <c r="U43" s="284">
        <f>IF(A43="","",IF(AND(G43&lt;&gt;"",E43&lt;&gt;"",G43&gt;E43),"ALERTA: REM_C2&gt;REM_C1",IF(AND(I43&lt;&gt;"",G43&lt;&gt;"",I43&gt;G43),"ALERTA: REM_C3&gt;REM_C2",IF(AND(K43&lt;&gt;"",I43&lt;&gt;"",K43&gt;I43),"ALERTA: REM_C4&gt;REM_C3","OK"))))</f>
        <v/>
      </c>
      <c r="V43" s="284">
        <f>IF(A43="","",IF(B43="","",IF(OR(B43&lt;0,E43&gt;B43,G43&gt;B43,I43&gt;B43,K43&gt;B43),"ALERTA: QTD_INVALIDA","OK")))</f>
        <v/>
      </c>
      <c r="W43" s="34" t="n"/>
      <c r="X43" s="34" t="n"/>
      <c r="Y43" s="34" t="n"/>
      <c r="Z43" s="27" t="n"/>
      <c r="AA43" s="27" t="n"/>
      <c r="AB43" s="282">
        <f>IF(OR(A43="",E43=""),"",ROUND(B43-E43,2))</f>
        <v/>
      </c>
      <c r="AC43" s="273">
        <f>IF(OR(A43="",E43=""),"",ROUND(D43-E43*C43,2))</f>
        <v/>
      </c>
      <c r="AD43" s="27" t="n"/>
    </row>
    <row r="44">
      <c r="A44" s="278" t="n"/>
      <c r="B44" s="279" t="n"/>
      <c r="C44" s="280" t="n"/>
      <c r="D44" s="273">
        <f>IF(OR(A44="",B44="",C44=""),"",ROUND(B44*C44,2))</f>
        <v/>
      </c>
      <c r="E44" s="281" t="n"/>
      <c r="F44" s="273">
        <f>IF(OR(A44="",E44="",C44="",NOT(ISNUMBER($Z$3))),"",ROUND(E44*C44*$Z$3,2))</f>
        <v/>
      </c>
      <c r="G44" s="281" t="n"/>
      <c r="H44" s="273">
        <f>IF(OR(A44="",G44="",C44="",NOT(ISNUMBER($Z$4))),"",ROUND(G44*C44*$Z$4,2))</f>
        <v/>
      </c>
      <c r="I44" s="281" t="n"/>
      <c r="J44" s="273">
        <f>IF(OR(A44="",I44="",C44="",NOT(ISNUMBER($Z$5))),"",ROUND(I44*C44*$Z$5,2))</f>
        <v/>
      </c>
      <c r="K44" s="281" t="n"/>
      <c r="L44" s="273">
        <f>IF(OR(A44="",K44="",C44="",NOT(ISNUMBER($Z$6))),"",ROUND(K44*C44*$Z$6,2))</f>
        <v/>
      </c>
      <c r="M44" s="282">
        <f>IF(OR(E44="",G44=""),"",ROUND(MAX(E44-G44,0),2))</f>
        <v/>
      </c>
      <c r="N44" s="273">
        <f>IF(OR(M44="",C44="",NOT(ISNUMBER($Z$3))),"",ROUND(M44*C44*$Z$3,2))</f>
        <v/>
      </c>
      <c r="O44" s="282">
        <f>IF(OR(G44="",I44=""),"",ROUND(MAX(G44-I44,0),2))</f>
        <v/>
      </c>
      <c r="P44" s="273">
        <f>IF(OR(O44="",C44="",NOT(ISNUMBER($Z$4))),"",ROUND(O44*C44*$Z$4,2))</f>
        <v/>
      </c>
      <c r="Q44" s="282">
        <f>IF(OR(I44="",K44=""),"",ROUND(MAX(I44-K44,0),2))</f>
        <v/>
      </c>
      <c r="R44" s="273">
        <f>IF(OR(Q44="",C44="",NOT(ISNUMBER($Z$5))),"",ROUND(Q44*C44*$Z$5,2))</f>
        <v/>
      </c>
      <c r="S44" s="62" t="n"/>
      <c r="T44" s="283" t="n"/>
      <c r="U44" s="284">
        <f>IF(A44="","",IF(AND(G44&lt;&gt;"",E44&lt;&gt;"",G44&gt;E44),"ALERTA: REM_C2&gt;REM_C1",IF(AND(I44&lt;&gt;"",G44&lt;&gt;"",I44&gt;G44),"ALERTA: REM_C3&gt;REM_C2",IF(AND(K44&lt;&gt;"",I44&lt;&gt;"",K44&gt;I44),"ALERTA: REM_C4&gt;REM_C3","OK"))))</f>
        <v/>
      </c>
      <c r="V44" s="284">
        <f>IF(A44="","",IF(B44="","",IF(OR(B44&lt;0,E44&gt;B44,G44&gt;B44,I44&gt;B44,K44&gt;B44),"ALERTA: QTD_INVALIDA","OK")))</f>
        <v/>
      </c>
      <c r="W44" s="34" t="n"/>
      <c r="X44" s="34" t="n"/>
      <c r="Y44" s="34" t="n"/>
      <c r="Z44" s="27" t="n"/>
      <c r="AA44" s="27" t="n"/>
      <c r="AB44" s="282">
        <f>IF(OR(A44="",E44=""),"",ROUND(B44-E44,2))</f>
        <v/>
      </c>
      <c r="AC44" s="273">
        <f>IF(OR(A44="",E44=""),"",ROUND(D44-E44*C44,2))</f>
        <v/>
      </c>
      <c r="AD44" s="27" t="n"/>
    </row>
    <row r="45">
      <c r="A45" s="278" t="n"/>
      <c r="B45" s="279" t="n"/>
      <c r="C45" s="280" t="n"/>
      <c r="D45" s="273">
        <f>IF(OR(A45="",B45="",C45=""),"",ROUND(B45*C45,2))</f>
        <v/>
      </c>
      <c r="E45" s="281" t="n"/>
      <c r="F45" s="273">
        <f>IF(OR(A45="",E45="",C45="",NOT(ISNUMBER($Z$3))),"",ROUND(E45*C45*$Z$3,2))</f>
        <v/>
      </c>
      <c r="G45" s="281" t="n"/>
      <c r="H45" s="273">
        <f>IF(OR(A45="",G45="",C45="",NOT(ISNUMBER($Z$4))),"",ROUND(G45*C45*$Z$4,2))</f>
        <v/>
      </c>
      <c r="I45" s="281" t="n"/>
      <c r="J45" s="273">
        <f>IF(OR(A45="",I45="",C45="",NOT(ISNUMBER($Z$5))),"",ROUND(I45*C45*$Z$5,2))</f>
        <v/>
      </c>
      <c r="K45" s="281" t="n"/>
      <c r="L45" s="273">
        <f>IF(OR(A45="",K45="",C45="",NOT(ISNUMBER($Z$6))),"",ROUND(K45*C45*$Z$6,2))</f>
        <v/>
      </c>
      <c r="M45" s="282">
        <f>IF(OR(E45="",G45=""),"",ROUND(MAX(E45-G45,0),2))</f>
        <v/>
      </c>
      <c r="N45" s="273">
        <f>IF(OR(M45="",C45="",NOT(ISNUMBER($Z$3))),"",ROUND(M45*C45*$Z$3,2))</f>
        <v/>
      </c>
      <c r="O45" s="282">
        <f>IF(OR(G45="",I45=""),"",ROUND(MAX(G45-I45,0),2))</f>
        <v/>
      </c>
      <c r="P45" s="273">
        <f>IF(OR(O45="",C45="",NOT(ISNUMBER($Z$4))),"",ROUND(O45*C45*$Z$4,2))</f>
        <v/>
      </c>
      <c r="Q45" s="282">
        <f>IF(OR(I45="",K45=""),"",ROUND(MAX(I45-K45,0),2))</f>
        <v/>
      </c>
      <c r="R45" s="273">
        <f>IF(OR(Q45="",C45="",NOT(ISNUMBER($Z$5))),"",ROUND(Q45*C45*$Z$5,2))</f>
        <v/>
      </c>
      <c r="S45" s="62" t="n"/>
      <c r="T45" s="283" t="n"/>
      <c r="U45" s="284">
        <f>IF(A45="","",IF(AND(G45&lt;&gt;"",E45&lt;&gt;"",G45&gt;E45),"ALERTA: REM_C2&gt;REM_C1",IF(AND(I45&lt;&gt;"",G45&lt;&gt;"",I45&gt;G45),"ALERTA: REM_C3&gt;REM_C2",IF(AND(K45&lt;&gt;"",I45&lt;&gt;"",K45&gt;I45),"ALERTA: REM_C4&gt;REM_C3","OK"))))</f>
        <v/>
      </c>
      <c r="V45" s="284">
        <f>IF(A45="","",IF(B45="","",IF(OR(B45&lt;0,E45&gt;B45,G45&gt;B45,I45&gt;B45,K45&gt;B45),"ALERTA: QTD_INVALIDA","OK")))</f>
        <v/>
      </c>
      <c r="W45" s="34" t="n"/>
      <c r="X45" s="34" t="n"/>
      <c r="Y45" s="34" t="n"/>
      <c r="Z45" s="27" t="n"/>
      <c r="AA45" s="27" t="n"/>
      <c r="AB45" s="282">
        <f>IF(OR(A45="",E45=""),"",ROUND(B45-E45,2))</f>
        <v/>
      </c>
      <c r="AC45" s="273">
        <f>IF(OR(A45="",E45=""),"",ROUND(D45-E45*C45,2))</f>
        <v/>
      </c>
      <c r="AD45" s="27" t="n"/>
    </row>
    <row r="46">
      <c r="A46" s="278" t="n"/>
      <c r="B46" s="279" t="n"/>
      <c r="C46" s="280" t="n"/>
      <c r="D46" s="273">
        <f>IF(OR(A46="",B46="",C46=""),"",ROUND(B46*C46,2))</f>
        <v/>
      </c>
      <c r="E46" s="281" t="n"/>
      <c r="F46" s="273">
        <f>IF(OR(A46="",E46="",C46="",NOT(ISNUMBER($Z$3))),"",ROUND(E46*C46*$Z$3,2))</f>
        <v/>
      </c>
      <c r="G46" s="281" t="n"/>
      <c r="H46" s="273">
        <f>IF(OR(A46="",G46="",C46="",NOT(ISNUMBER($Z$4))),"",ROUND(G46*C46*$Z$4,2))</f>
        <v/>
      </c>
      <c r="I46" s="281" t="n"/>
      <c r="J46" s="273">
        <f>IF(OR(A46="",I46="",C46="",NOT(ISNUMBER($Z$5))),"",ROUND(I46*C46*$Z$5,2))</f>
        <v/>
      </c>
      <c r="K46" s="281" t="n"/>
      <c r="L46" s="273">
        <f>IF(OR(A46="",K46="",C46="",NOT(ISNUMBER($Z$6))),"",ROUND(K46*C46*$Z$6,2))</f>
        <v/>
      </c>
      <c r="M46" s="282">
        <f>IF(OR(E46="",G46=""),"",ROUND(MAX(E46-G46,0),2))</f>
        <v/>
      </c>
      <c r="N46" s="273">
        <f>IF(OR(M46="",C46="",NOT(ISNUMBER($Z$3))),"",ROUND(M46*C46*$Z$3,2))</f>
        <v/>
      </c>
      <c r="O46" s="282">
        <f>IF(OR(G46="",I46=""),"",ROUND(MAX(G46-I46,0),2))</f>
        <v/>
      </c>
      <c r="P46" s="273">
        <f>IF(OR(O46="",C46="",NOT(ISNUMBER($Z$4))),"",ROUND(O46*C46*$Z$4,2))</f>
        <v/>
      </c>
      <c r="Q46" s="282">
        <f>IF(OR(I46="",K46=""),"",ROUND(MAX(I46-K46,0),2))</f>
        <v/>
      </c>
      <c r="R46" s="273">
        <f>IF(OR(Q46="",C46="",NOT(ISNUMBER($Z$5))),"",ROUND(Q46*C46*$Z$5,2))</f>
        <v/>
      </c>
      <c r="S46" s="62" t="n"/>
      <c r="T46" s="283" t="n"/>
      <c r="U46" s="284">
        <f>IF(A46="","",IF(AND(G46&lt;&gt;"",E46&lt;&gt;"",G46&gt;E46),"ALERTA: REM_C2&gt;REM_C1",IF(AND(I46&lt;&gt;"",G46&lt;&gt;"",I46&gt;G46),"ALERTA: REM_C3&gt;REM_C2",IF(AND(K46&lt;&gt;"",I46&lt;&gt;"",K46&gt;I46),"ALERTA: REM_C4&gt;REM_C3","OK"))))</f>
        <v/>
      </c>
      <c r="V46" s="284">
        <f>IF(A46="","",IF(B46="","",IF(OR(B46&lt;0,E46&gt;B46,G46&gt;B46,I46&gt;B46,K46&gt;B46),"ALERTA: QTD_INVALIDA","OK")))</f>
        <v/>
      </c>
      <c r="W46" s="34" t="n"/>
      <c r="X46" s="34" t="n"/>
      <c r="Y46" s="34" t="n"/>
      <c r="Z46" s="27" t="n"/>
      <c r="AA46" s="27" t="n"/>
      <c r="AB46" s="282">
        <f>IF(OR(A46="",E46=""),"",ROUND(B46-E46,2))</f>
        <v/>
      </c>
      <c r="AC46" s="273">
        <f>IF(OR(A46="",E46=""),"",ROUND(D46-E46*C46,2))</f>
        <v/>
      </c>
      <c r="AD46" s="27" t="n"/>
    </row>
    <row r="47">
      <c r="A47" s="278" t="n"/>
      <c r="B47" s="279" t="n"/>
      <c r="C47" s="280" t="n"/>
      <c r="D47" s="273">
        <f>IF(OR(A47="",B47="",C47=""),"",ROUND(B47*C47,2))</f>
        <v/>
      </c>
      <c r="E47" s="281" t="n"/>
      <c r="F47" s="273">
        <f>IF(OR(A47="",E47="",C47="",NOT(ISNUMBER($Z$3))),"",ROUND(E47*C47*$Z$3,2))</f>
        <v/>
      </c>
      <c r="G47" s="281" t="n"/>
      <c r="H47" s="273">
        <f>IF(OR(A47="",G47="",C47="",NOT(ISNUMBER($Z$4))),"",ROUND(G47*C47*$Z$4,2))</f>
        <v/>
      </c>
      <c r="I47" s="281" t="n"/>
      <c r="J47" s="273">
        <f>IF(OR(A47="",I47="",C47="",NOT(ISNUMBER($Z$5))),"",ROUND(I47*C47*$Z$5,2))</f>
        <v/>
      </c>
      <c r="K47" s="281" t="n"/>
      <c r="L47" s="273">
        <f>IF(OR(A47="",K47="",C47="",NOT(ISNUMBER($Z$6))),"",ROUND(K47*C47*$Z$6,2))</f>
        <v/>
      </c>
      <c r="M47" s="282">
        <f>IF(OR(E47="",G47=""),"",ROUND(MAX(E47-G47,0),2))</f>
        <v/>
      </c>
      <c r="N47" s="273">
        <f>IF(OR(M47="",C47="",NOT(ISNUMBER($Z$3))),"",ROUND(M47*C47*$Z$3,2))</f>
        <v/>
      </c>
      <c r="O47" s="282">
        <f>IF(OR(G47="",I47=""),"",ROUND(MAX(G47-I47,0),2))</f>
        <v/>
      </c>
      <c r="P47" s="273">
        <f>IF(OR(O47="",C47="",NOT(ISNUMBER($Z$4))),"",ROUND(O47*C47*$Z$4,2))</f>
        <v/>
      </c>
      <c r="Q47" s="282">
        <f>IF(OR(I47="",K47=""),"",ROUND(MAX(I47-K47,0),2))</f>
        <v/>
      </c>
      <c r="R47" s="273">
        <f>IF(OR(Q47="",C47="",NOT(ISNUMBER($Z$5))),"",ROUND(Q47*C47*$Z$5,2))</f>
        <v/>
      </c>
      <c r="S47" s="62" t="n"/>
      <c r="T47" s="283" t="n"/>
      <c r="U47" s="284">
        <f>IF(A47="","",IF(AND(G47&lt;&gt;"",E47&lt;&gt;"",G47&gt;E47),"ALERTA: REM_C2&gt;REM_C1",IF(AND(I47&lt;&gt;"",G47&lt;&gt;"",I47&gt;G47),"ALERTA: REM_C3&gt;REM_C2",IF(AND(K47&lt;&gt;"",I47&lt;&gt;"",K47&gt;I47),"ALERTA: REM_C4&gt;REM_C3","OK"))))</f>
        <v/>
      </c>
      <c r="V47" s="284">
        <f>IF(A47="","",IF(B47="","",IF(OR(B47&lt;0,E47&gt;B47,G47&gt;B47,I47&gt;B47,K47&gt;B47),"ALERTA: QTD_INVALIDA","OK")))</f>
        <v/>
      </c>
      <c r="W47" s="34" t="n"/>
      <c r="X47" s="34" t="n"/>
      <c r="Y47" s="34" t="n"/>
      <c r="Z47" s="27" t="n"/>
      <c r="AA47" s="27" t="n"/>
      <c r="AB47" s="282">
        <f>IF(OR(A47="",E47=""),"",ROUND(B47-E47,2))</f>
        <v/>
      </c>
      <c r="AC47" s="273">
        <f>IF(OR(A47="",E47=""),"",ROUND(D47-E47*C47,2))</f>
        <v/>
      </c>
      <c r="AD47" s="27" t="n"/>
    </row>
    <row r="48">
      <c r="A48" s="278" t="n"/>
      <c r="B48" s="279" t="n"/>
      <c r="C48" s="280" t="n"/>
      <c r="D48" s="273">
        <f>IF(OR(A48="",B48="",C48=""),"",ROUND(B48*C48,2))</f>
        <v/>
      </c>
      <c r="E48" s="281" t="n"/>
      <c r="F48" s="273">
        <f>IF(OR(A48="",E48="",C48="",NOT(ISNUMBER($Z$3))),"",ROUND(E48*C48*$Z$3,2))</f>
        <v/>
      </c>
      <c r="G48" s="281" t="n"/>
      <c r="H48" s="273">
        <f>IF(OR(A48="",G48="",C48="",NOT(ISNUMBER($Z$4))),"",ROUND(G48*C48*$Z$4,2))</f>
        <v/>
      </c>
      <c r="I48" s="281" t="n"/>
      <c r="J48" s="273">
        <f>IF(OR(A48="",I48="",C48="",NOT(ISNUMBER($Z$5))),"",ROUND(I48*C48*$Z$5,2))</f>
        <v/>
      </c>
      <c r="K48" s="281" t="n"/>
      <c r="L48" s="273">
        <f>IF(OR(A48="",K48="",C48="",NOT(ISNUMBER($Z$6))),"",ROUND(K48*C48*$Z$6,2))</f>
        <v/>
      </c>
      <c r="M48" s="282">
        <f>IF(OR(E48="",G48=""),"",ROUND(MAX(E48-G48,0),2))</f>
        <v/>
      </c>
      <c r="N48" s="273">
        <f>IF(OR(M48="",C48="",NOT(ISNUMBER($Z$3))),"",ROUND(M48*C48*$Z$3,2))</f>
        <v/>
      </c>
      <c r="O48" s="282">
        <f>IF(OR(G48="",I48=""),"",ROUND(MAX(G48-I48,0),2))</f>
        <v/>
      </c>
      <c r="P48" s="273">
        <f>IF(OR(O48="",C48="",NOT(ISNUMBER($Z$4))),"",ROUND(O48*C48*$Z$4,2))</f>
        <v/>
      </c>
      <c r="Q48" s="282">
        <f>IF(OR(I48="",K48=""),"",ROUND(MAX(I48-K48,0),2))</f>
        <v/>
      </c>
      <c r="R48" s="273">
        <f>IF(OR(Q48="",C48="",NOT(ISNUMBER($Z$5))),"",ROUND(Q48*C48*$Z$5,2))</f>
        <v/>
      </c>
      <c r="S48" s="62" t="n"/>
      <c r="T48" s="283" t="n"/>
      <c r="U48" s="284">
        <f>IF(A48="","",IF(AND(G48&lt;&gt;"",E48&lt;&gt;"",G48&gt;E48),"ALERTA: REM_C2&gt;REM_C1",IF(AND(I48&lt;&gt;"",G48&lt;&gt;"",I48&gt;G48),"ALERTA: REM_C3&gt;REM_C2",IF(AND(K48&lt;&gt;"",I48&lt;&gt;"",K48&gt;I48),"ALERTA: REM_C4&gt;REM_C3","OK"))))</f>
        <v/>
      </c>
      <c r="V48" s="284">
        <f>IF(A48="","",IF(B48="","",IF(OR(B48&lt;0,E48&gt;B48,G48&gt;B48,I48&gt;B48,K48&gt;B48),"ALERTA: QTD_INVALIDA","OK")))</f>
        <v/>
      </c>
      <c r="W48" s="34" t="n"/>
      <c r="X48" s="34" t="n"/>
      <c r="Y48" s="34" t="n"/>
      <c r="Z48" s="27" t="n"/>
      <c r="AA48" s="27" t="n"/>
      <c r="AB48" s="282">
        <f>IF(OR(A48="",E48=""),"",ROUND(B48-E48,2))</f>
        <v/>
      </c>
      <c r="AC48" s="273">
        <f>IF(OR(A48="",E48=""),"",ROUND(D48-E48*C48,2))</f>
        <v/>
      </c>
      <c r="AD48" s="27" t="n"/>
    </row>
    <row r="49">
      <c r="A49" s="278" t="n"/>
      <c r="B49" s="279" t="n"/>
      <c r="C49" s="280" t="n"/>
      <c r="D49" s="273">
        <f>IF(OR(A49="",B49="",C49=""),"",ROUND(B49*C49,2))</f>
        <v/>
      </c>
      <c r="E49" s="281" t="n"/>
      <c r="F49" s="273">
        <f>IF(OR(A49="",E49="",C49="",NOT(ISNUMBER($Z$3))),"",ROUND(E49*C49*$Z$3,2))</f>
        <v/>
      </c>
      <c r="G49" s="281" t="n"/>
      <c r="H49" s="273">
        <f>IF(OR(A49="",G49="",C49="",NOT(ISNUMBER($Z$4))),"",ROUND(G49*C49*$Z$4,2))</f>
        <v/>
      </c>
      <c r="I49" s="281" t="n"/>
      <c r="J49" s="273">
        <f>IF(OR(A49="",I49="",C49="",NOT(ISNUMBER($Z$5))),"",ROUND(I49*C49*$Z$5,2))</f>
        <v/>
      </c>
      <c r="K49" s="281" t="n"/>
      <c r="L49" s="273">
        <f>IF(OR(A49="",K49="",C49="",NOT(ISNUMBER($Z$6))),"",ROUND(K49*C49*$Z$6,2))</f>
        <v/>
      </c>
      <c r="M49" s="282">
        <f>IF(OR(E49="",G49=""),"",ROUND(MAX(E49-G49,0),2))</f>
        <v/>
      </c>
      <c r="N49" s="273">
        <f>IF(OR(M49="",C49="",NOT(ISNUMBER($Z$3))),"",ROUND(M49*C49*$Z$3,2))</f>
        <v/>
      </c>
      <c r="O49" s="282">
        <f>IF(OR(G49="",I49=""),"",ROUND(MAX(G49-I49,0),2))</f>
        <v/>
      </c>
      <c r="P49" s="273">
        <f>IF(OR(O49="",C49="",NOT(ISNUMBER($Z$4))),"",ROUND(O49*C49*$Z$4,2))</f>
        <v/>
      </c>
      <c r="Q49" s="282">
        <f>IF(OR(I49="",K49=""),"",ROUND(MAX(I49-K49,0),2))</f>
        <v/>
      </c>
      <c r="R49" s="273">
        <f>IF(OR(Q49="",C49="",NOT(ISNUMBER($Z$5))),"",ROUND(Q49*C49*$Z$5,2))</f>
        <v/>
      </c>
      <c r="S49" s="62" t="n"/>
      <c r="T49" s="283" t="n"/>
      <c r="U49" s="284">
        <f>IF(A49="","",IF(AND(G49&lt;&gt;"",E49&lt;&gt;"",G49&gt;E49),"ALERTA: REM_C2&gt;REM_C1",IF(AND(I49&lt;&gt;"",G49&lt;&gt;"",I49&gt;G49),"ALERTA: REM_C3&gt;REM_C2",IF(AND(K49&lt;&gt;"",I49&lt;&gt;"",K49&gt;I49),"ALERTA: REM_C4&gt;REM_C3","OK"))))</f>
        <v/>
      </c>
      <c r="V49" s="284">
        <f>IF(A49="","",IF(B49="","",IF(OR(B49&lt;0,E49&gt;B49,G49&gt;B49,I49&gt;B49,K49&gt;B49),"ALERTA: QTD_INVALIDA","OK")))</f>
        <v/>
      </c>
      <c r="W49" s="34" t="n"/>
      <c r="X49" s="34" t="n"/>
      <c r="Y49" s="34" t="n"/>
      <c r="Z49" s="27" t="n"/>
      <c r="AA49" s="27" t="n"/>
      <c r="AB49" s="282">
        <f>IF(OR(A49="",E49=""),"",ROUND(B49-E49,2))</f>
        <v/>
      </c>
      <c r="AC49" s="273">
        <f>IF(OR(A49="",E49=""),"",ROUND(D49-E49*C49,2))</f>
        <v/>
      </c>
      <c r="AD49" s="27" t="n"/>
    </row>
    <row r="50">
      <c r="A50" s="278" t="n"/>
      <c r="B50" s="279" t="n"/>
      <c r="C50" s="280" t="n"/>
      <c r="D50" s="273">
        <f>IF(OR(A50="",B50="",C50=""),"",ROUND(B50*C50,2))</f>
        <v/>
      </c>
      <c r="E50" s="281" t="n"/>
      <c r="F50" s="273">
        <f>IF(OR(A50="",E50="",C50="",NOT(ISNUMBER($Z$3))),"",ROUND(E50*C50*$Z$3,2))</f>
        <v/>
      </c>
      <c r="G50" s="281" t="n"/>
      <c r="H50" s="273">
        <f>IF(OR(A50="",G50="",C50="",NOT(ISNUMBER($Z$4))),"",ROUND(G50*C50*$Z$4,2))</f>
        <v/>
      </c>
      <c r="I50" s="281" t="n"/>
      <c r="J50" s="273">
        <f>IF(OR(A50="",I50="",C50="",NOT(ISNUMBER($Z$5))),"",ROUND(I50*C50*$Z$5,2))</f>
        <v/>
      </c>
      <c r="K50" s="281" t="n"/>
      <c r="L50" s="273">
        <f>IF(OR(A50="",K50="",C50="",NOT(ISNUMBER($Z$6))),"",ROUND(K50*C50*$Z$6,2))</f>
        <v/>
      </c>
      <c r="M50" s="282">
        <f>IF(OR(E50="",G50=""),"",ROUND(MAX(E50-G50,0),2))</f>
        <v/>
      </c>
      <c r="N50" s="273">
        <f>IF(OR(M50="",C50="",NOT(ISNUMBER($Z$3))),"",ROUND(M50*C50*$Z$3,2))</f>
        <v/>
      </c>
      <c r="O50" s="282">
        <f>IF(OR(G50="",I50=""),"",ROUND(MAX(G50-I50,0),2))</f>
        <v/>
      </c>
      <c r="P50" s="273">
        <f>IF(OR(O50="",C50="",NOT(ISNUMBER($Z$4))),"",ROUND(O50*C50*$Z$4,2))</f>
        <v/>
      </c>
      <c r="Q50" s="282">
        <f>IF(OR(I50="",K50=""),"",ROUND(MAX(I50-K50,0),2))</f>
        <v/>
      </c>
      <c r="R50" s="273">
        <f>IF(OR(Q50="",C50="",NOT(ISNUMBER($Z$5))),"",ROUND(Q50*C50*$Z$5,2))</f>
        <v/>
      </c>
      <c r="S50" s="62" t="n"/>
      <c r="T50" s="283" t="n"/>
      <c r="U50" s="284">
        <f>IF(A50="","",IF(AND(G50&lt;&gt;"",E50&lt;&gt;"",G50&gt;E50),"ALERTA: REM_C2&gt;REM_C1",IF(AND(I50&lt;&gt;"",G50&lt;&gt;"",I50&gt;G50),"ALERTA: REM_C3&gt;REM_C2",IF(AND(K50&lt;&gt;"",I50&lt;&gt;"",K50&gt;I50),"ALERTA: REM_C4&gt;REM_C3","OK"))))</f>
        <v/>
      </c>
      <c r="V50" s="284">
        <f>IF(A50="","",IF(B50="","",IF(OR(B50&lt;0,E50&gt;B50,G50&gt;B50,I50&gt;B50,K50&gt;B50),"ALERTA: QTD_INVALIDA","OK")))</f>
        <v/>
      </c>
      <c r="W50" s="34" t="n"/>
      <c r="X50" s="34" t="n"/>
      <c r="Y50" s="34" t="n"/>
      <c r="Z50" s="27" t="n"/>
      <c r="AA50" s="27" t="n"/>
      <c r="AB50" s="282">
        <f>IF(OR(A50="",E50=""),"",ROUND(B50-E50,2))</f>
        <v/>
      </c>
      <c r="AC50" s="273">
        <f>IF(OR(A50="",E50=""),"",ROUND(D50-E50*C50,2))</f>
        <v/>
      </c>
      <c r="AD50" s="27" t="n"/>
    </row>
    <row r="51">
      <c r="A51" s="278" t="n"/>
      <c r="B51" s="279" t="n"/>
      <c r="C51" s="280" t="n"/>
      <c r="D51" s="273">
        <f>IF(OR(A51="",B51="",C51=""),"",ROUND(B51*C51,2))</f>
        <v/>
      </c>
      <c r="E51" s="281" t="n"/>
      <c r="F51" s="273">
        <f>IF(OR(A51="",E51="",C51="",NOT(ISNUMBER($Z$3))),"",ROUND(E51*C51*$Z$3,2))</f>
        <v/>
      </c>
      <c r="G51" s="281" t="n"/>
      <c r="H51" s="273">
        <f>IF(OR(A51="",G51="",C51="",NOT(ISNUMBER($Z$4))),"",ROUND(G51*C51*$Z$4,2))</f>
        <v/>
      </c>
      <c r="I51" s="281" t="n"/>
      <c r="J51" s="273">
        <f>IF(OR(A51="",I51="",C51="",NOT(ISNUMBER($Z$5))),"",ROUND(I51*C51*$Z$5,2))</f>
        <v/>
      </c>
      <c r="K51" s="281" t="n"/>
      <c r="L51" s="273">
        <f>IF(OR(A51="",K51="",C51="",NOT(ISNUMBER($Z$6))),"",ROUND(K51*C51*$Z$6,2))</f>
        <v/>
      </c>
      <c r="M51" s="282">
        <f>IF(OR(E51="",G51=""),"",ROUND(MAX(E51-G51,0),2))</f>
        <v/>
      </c>
      <c r="N51" s="273">
        <f>IF(OR(M51="",C51="",NOT(ISNUMBER($Z$3))),"",ROUND(M51*C51*$Z$3,2))</f>
        <v/>
      </c>
      <c r="O51" s="282">
        <f>IF(OR(G51="",I51=""),"",ROUND(MAX(G51-I51,0),2))</f>
        <v/>
      </c>
      <c r="P51" s="273">
        <f>IF(OR(O51="",C51="",NOT(ISNUMBER($Z$4))),"",ROUND(O51*C51*$Z$4,2))</f>
        <v/>
      </c>
      <c r="Q51" s="282">
        <f>IF(OR(I51="",K51=""),"",ROUND(MAX(I51-K51,0),2))</f>
        <v/>
      </c>
      <c r="R51" s="273">
        <f>IF(OR(Q51="",C51="",NOT(ISNUMBER($Z$5))),"",ROUND(Q51*C51*$Z$5,2))</f>
        <v/>
      </c>
      <c r="S51" s="62" t="n"/>
      <c r="T51" s="283" t="n"/>
      <c r="U51" s="284">
        <f>IF(A51="","",IF(AND(G51&lt;&gt;"",E51&lt;&gt;"",G51&gt;E51),"ALERTA: REM_C2&gt;REM_C1",IF(AND(I51&lt;&gt;"",G51&lt;&gt;"",I51&gt;G51),"ALERTA: REM_C3&gt;REM_C2",IF(AND(K51&lt;&gt;"",I51&lt;&gt;"",K51&gt;I51),"ALERTA: REM_C4&gt;REM_C3","OK"))))</f>
        <v/>
      </c>
      <c r="V51" s="284">
        <f>IF(A51="","",IF(B51="","",IF(OR(B51&lt;0,E51&gt;B51,G51&gt;B51,I51&gt;B51,K51&gt;B51),"ALERTA: QTD_INVALIDA","OK")))</f>
        <v/>
      </c>
      <c r="W51" s="34" t="n"/>
      <c r="X51" s="34" t="n"/>
      <c r="Y51" s="34" t="n"/>
      <c r="Z51" s="27" t="n"/>
      <c r="AA51" s="27" t="n"/>
      <c r="AB51" s="282">
        <f>IF(OR(A51="",E51=""),"",ROUND(B51-E51,2))</f>
        <v/>
      </c>
      <c r="AC51" s="273">
        <f>IF(OR(A51="",E51=""),"",ROUND(D51-E51*C51,2))</f>
        <v/>
      </c>
      <c r="AD51" s="27" t="n"/>
    </row>
    <row r="52">
      <c r="A52" s="278" t="n"/>
      <c r="B52" s="279" t="n"/>
      <c r="C52" s="280" t="n"/>
      <c r="D52" s="273">
        <f>IF(OR(A52="",B52="",C52=""),"",ROUND(B52*C52,2))</f>
        <v/>
      </c>
      <c r="E52" s="281" t="n"/>
      <c r="F52" s="273">
        <f>IF(OR(A52="",E52="",C52="",NOT(ISNUMBER($Z$3))),"",ROUND(E52*C52*$Z$3,2))</f>
        <v/>
      </c>
      <c r="G52" s="281" t="n"/>
      <c r="H52" s="273">
        <f>IF(OR(A52="",G52="",C52="",NOT(ISNUMBER($Z$4))),"",ROUND(G52*C52*$Z$4,2))</f>
        <v/>
      </c>
      <c r="I52" s="281" t="n"/>
      <c r="J52" s="273">
        <f>IF(OR(A52="",I52="",C52="",NOT(ISNUMBER($Z$5))),"",ROUND(I52*C52*$Z$5,2))</f>
        <v/>
      </c>
      <c r="K52" s="281" t="n"/>
      <c r="L52" s="273">
        <f>IF(OR(A52="",K52="",C52="",NOT(ISNUMBER($Z$6))),"",ROUND(K52*C52*$Z$6,2))</f>
        <v/>
      </c>
      <c r="M52" s="282">
        <f>IF(OR(E52="",G52=""),"",ROUND(MAX(E52-G52,0),2))</f>
        <v/>
      </c>
      <c r="N52" s="273">
        <f>IF(OR(M52="",C52="",NOT(ISNUMBER($Z$3))),"",ROUND(M52*C52*$Z$3,2))</f>
        <v/>
      </c>
      <c r="O52" s="282">
        <f>IF(OR(G52="",I52=""),"",ROUND(MAX(G52-I52,0),2))</f>
        <v/>
      </c>
      <c r="P52" s="273">
        <f>IF(OR(O52="",C52="",NOT(ISNUMBER($Z$4))),"",ROUND(O52*C52*$Z$4,2))</f>
        <v/>
      </c>
      <c r="Q52" s="282">
        <f>IF(OR(I52="",K52=""),"",ROUND(MAX(I52-K52,0),2))</f>
        <v/>
      </c>
      <c r="R52" s="273">
        <f>IF(OR(Q52="",C52="",NOT(ISNUMBER($Z$5))),"",ROUND(Q52*C52*$Z$5,2))</f>
        <v/>
      </c>
      <c r="S52" s="62" t="n"/>
      <c r="T52" s="283" t="n"/>
      <c r="U52" s="284">
        <f>IF(A52="","",IF(AND(G52&lt;&gt;"",E52&lt;&gt;"",G52&gt;E52),"ALERTA: REM_C2&gt;REM_C1",IF(AND(I52&lt;&gt;"",G52&lt;&gt;"",I52&gt;G52),"ALERTA: REM_C3&gt;REM_C2",IF(AND(K52&lt;&gt;"",I52&lt;&gt;"",K52&gt;I52),"ALERTA: REM_C4&gt;REM_C3","OK"))))</f>
        <v/>
      </c>
      <c r="V52" s="284">
        <f>IF(A52="","",IF(B52="","",IF(OR(B52&lt;0,E52&gt;B52,G52&gt;B52,I52&gt;B52,K52&gt;B52),"ALERTA: QTD_INVALIDA","OK")))</f>
        <v/>
      </c>
      <c r="W52" s="34" t="n"/>
      <c r="X52" s="34" t="n"/>
      <c r="Y52" s="34" t="n"/>
      <c r="Z52" s="27" t="n"/>
      <c r="AA52" s="27" t="n"/>
      <c r="AB52" s="282">
        <f>IF(OR(A52="",E52=""),"",ROUND(B52-E52,2))</f>
        <v/>
      </c>
      <c r="AC52" s="273">
        <f>IF(OR(A52="",E52=""),"",ROUND(D52-E52*C52,2))</f>
        <v/>
      </c>
      <c r="AD52" s="27" t="n"/>
    </row>
    <row r="53">
      <c r="A53" s="278" t="n"/>
      <c r="B53" s="279" t="n"/>
      <c r="C53" s="280" t="n"/>
      <c r="D53" s="273">
        <f>IF(OR(A53="",B53="",C53=""),"",ROUND(B53*C53,2))</f>
        <v/>
      </c>
      <c r="E53" s="281" t="n"/>
      <c r="F53" s="273">
        <f>IF(OR(A53="",E53="",C53="",NOT(ISNUMBER($Z$3))),"",ROUND(E53*C53*$Z$3,2))</f>
        <v/>
      </c>
      <c r="G53" s="281" t="n"/>
      <c r="H53" s="273">
        <f>IF(OR(A53="",G53="",C53="",NOT(ISNUMBER($Z$4))),"",ROUND(G53*C53*$Z$4,2))</f>
        <v/>
      </c>
      <c r="I53" s="281" t="n"/>
      <c r="J53" s="273">
        <f>IF(OR(A53="",I53="",C53="",NOT(ISNUMBER($Z$5))),"",ROUND(I53*C53*$Z$5,2))</f>
        <v/>
      </c>
      <c r="K53" s="281" t="n"/>
      <c r="L53" s="273">
        <f>IF(OR(A53="",K53="",C53="",NOT(ISNUMBER($Z$6))),"",ROUND(K53*C53*$Z$6,2))</f>
        <v/>
      </c>
      <c r="M53" s="282">
        <f>IF(OR(E53="",G53=""),"",ROUND(MAX(E53-G53,0),2))</f>
        <v/>
      </c>
      <c r="N53" s="273">
        <f>IF(OR(M53="",C53="",NOT(ISNUMBER($Z$3))),"",ROUND(M53*C53*$Z$3,2))</f>
        <v/>
      </c>
      <c r="O53" s="282">
        <f>IF(OR(G53="",I53=""),"",ROUND(MAX(G53-I53,0),2))</f>
        <v/>
      </c>
      <c r="P53" s="273">
        <f>IF(OR(O53="",C53="",NOT(ISNUMBER($Z$4))),"",ROUND(O53*C53*$Z$4,2))</f>
        <v/>
      </c>
      <c r="Q53" s="282">
        <f>IF(OR(I53="",K53=""),"",ROUND(MAX(I53-K53,0),2))</f>
        <v/>
      </c>
      <c r="R53" s="273">
        <f>IF(OR(Q53="",C53="",NOT(ISNUMBER($Z$5))),"",ROUND(Q53*C53*$Z$5,2))</f>
        <v/>
      </c>
      <c r="S53" s="62" t="n"/>
      <c r="T53" s="283" t="n"/>
      <c r="U53" s="284">
        <f>IF(A53="","",IF(AND(G53&lt;&gt;"",E53&lt;&gt;"",G53&gt;E53),"ALERTA: REM_C2&gt;REM_C1",IF(AND(I53&lt;&gt;"",G53&lt;&gt;"",I53&gt;G53),"ALERTA: REM_C3&gt;REM_C2",IF(AND(K53&lt;&gt;"",I53&lt;&gt;"",K53&gt;I53),"ALERTA: REM_C4&gt;REM_C3","OK"))))</f>
        <v/>
      </c>
      <c r="V53" s="284">
        <f>IF(A53="","",IF(B53="","",IF(OR(B53&lt;0,E53&gt;B53,G53&gt;B53,I53&gt;B53,K53&gt;B53),"ALERTA: QTD_INVALIDA","OK")))</f>
        <v/>
      </c>
      <c r="W53" s="34" t="n"/>
      <c r="X53" s="34" t="n"/>
      <c r="Y53" s="34" t="n"/>
      <c r="Z53" s="27" t="n"/>
      <c r="AA53" s="27" t="n"/>
      <c r="AB53" s="282">
        <f>IF(OR(A53="",E53=""),"",ROUND(B53-E53,2))</f>
        <v/>
      </c>
      <c r="AC53" s="273">
        <f>IF(OR(A53="",E53=""),"",ROUND(D53-E53*C53,2))</f>
        <v/>
      </c>
      <c r="AD53" s="27" t="n"/>
    </row>
    <row r="54">
      <c r="A54" s="278" t="n"/>
      <c r="B54" s="279" t="n"/>
      <c r="C54" s="280" t="n"/>
      <c r="D54" s="273">
        <f>IF(OR(A54="",B54="",C54=""),"",ROUND(B54*C54,2))</f>
        <v/>
      </c>
      <c r="E54" s="281" t="n"/>
      <c r="F54" s="273">
        <f>IF(OR(A54="",E54="",C54="",NOT(ISNUMBER($Z$3))),"",ROUND(E54*C54*$Z$3,2))</f>
        <v/>
      </c>
      <c r="G54" s="281" t="n"/>
      <c r="H54" s="273">
        <f>IF(OR(A54="",G54="",C54="",NOT(ISNUMBER($Z$4))),"",ROUND(G54*C54*$Z$4,2))</f>
        <v/>
      </c>
      <c r="I54" s="281" t="n"/>
      <c r="J54" s="273">
        <f>IF(OR(A54="",I54="",C54="",NOT(ISNUMBER($Z$5))),"",ROUND(I54*C54*$Z$5,2))</f>
        <v/>
      </c>
      <c r="K54" s="281" t="n"/>
      <c r="L54" s="273">
        <f>IF(OR(A54="",K54="",C54="",NOT(ISNUMBER($Z$6))),"",ROUND(K54*C54*$Z$6,2))</f>
        <v/>
      </c>
      <c r="M54" s="282">
        <f>IF(OR(E54="",G54=""),"",ROUND(MAX(E54-G54,0),2))</f>
        <v/>
      </c>
      <c r="N54" s="273">
        <f>IF(OR(M54="",C54="",NOT(ISNUMBER($Z$3))),"",ROUND(M54*C54*$Z$3,2))</f>
        <v/>
      </c>
      <c r="O54" s="282">
        <f>IF(OR(G54="",I54=""),"",ROUND(MAX(G54-I54,0),2))</f>
        <v/>
      </c>
      <c r="P54" s="273">
        <f>IF(OR(O54="",C54="",NOT(ISNUMBER($Z$4))),"",ROUND(O54*C54*$Z$4,2))</f>
        <v/>
      </c>
      <c r="Q54" s="282">
        <f>IF(OR(I54="",K54=""),"",ROUND(MAX(I54-K54,0),2))</f>
        <v/>
      </c>
      <c r="R54" s="273">
        <f>IF(OR(Q54="",C54="",NOT(ISNUMBER($Z$5))),"",ROUND(Q54*C54*$Z$5,2))</f>
        <v/>
      </c>
      <c r="S54" s="62" t="n"/>
      <c r="T54" s="283" t="n"/>
      <c r="U54" s="284">
        <f>IF(A54="","",IF(AND(G54&lt;&gt;"",E54&lt;&gt;"",G54&gt;E54),"ALERTA: REM_C2&gt;REM_C1",IF(AND(I54&lt;&gt;"",G54&lt;&gt;"",I54&gt;G54),"ALERTA: REM_C3&gt;REM_C2",IF(AND(K54&lt;&gt;"",I54&lt;&gt;"",K54&gt;I54),"ALERTA: REM_C4&gt;REM_C3","OK"))))</f>
        <v/>
      </c>
      <c r="V54" s="284">
        <f>IF(A54="","",IF(B54="","",IF(OR(B54&lt;0,E54&gt;B54,G54&gt;B54,I54&gt;B54,K54&gt;B54),"ALERTA: QTD_INVALIDA","OK")))</f>
        <v/>
      </c>
      <c r="W54" s="34" t="n"/>
      <c r="X54" s="34" t="n"/>
      <c r="Y54" s="34" t="n"/>
      <c r="Z54" s="27" t="n"/>
      <c r="AA54" s="27" t="n"/>
      <c r="AB54" s="282">
        <f>IF(OR(A54="",E54=""),"",ROUND(B54-E54,2))</f>
        <v/>
      </c>
      <c r="AC54" s="273">
        <f>IF(OR(A54="",E54=""),"",ROUND(D54-E54*C54,2))</f>
        <v/>
      </c>
      <c r="AD54" s="27" t="n"/>
    </row>
    <row r="55">
      <c r="A55" s="278" t="n"/>
      <c r="B55" s="279" t="n"/>
      <c r="C55" s="280" t="n"/>
      <c r="D55" s="273">
        <f>IF(OR(A55="",B55="",C55=""),"",ROUND(B55*C55,2))</f>
        <v/>
      </c>
      <c r="E55" s="281" t="n"/>
      <c r="F55" s="273">
        <f>IF(OR(A55="",E55="",C55="",NOT(ISNUMBER($Z$3))),"",ROUND(E55*C55*$Z$3,2))</f>
        <v/>
      </c>
      <c r="G55" s="281" t="n"/>
      <c r="H55" s="273">
        <f>IF(OR(A55="",G55="",C55="",NOT(ISNUMBER($Z$4))),"",ROUND(G55*C55*$Z$4,2))</f>
        <v/>
      </c>
      <c r="I55" s="281" t="n"/>
      <c r="J55" s="273">
        <f>IF(OR(A55="",I55="",C55="",NOT(ISNUMBER($Z$5))),"",ROUND(I55*C55*$Z$5,2))</f>
        <v/>
      </c>
      <c r="K55" s="281" t="n"/>
      <c r="L55" s="273">
        <f>IF(OR(A55="",K55="",C55="",NOT(ISNUMBER($Z$6))),"",ROUND(K55*C55*$Z$6,2))</f>
        <v/>
      </c>
      <c r="M55" s="282">
        <f>IF(OR(E55="",G55=""),"",ROUND(MAX(E55-G55,0),2))</f>
        <v/>
      </c>
      <c r="N55" s="273">
        <f>IF(OR(M55="",C55="",NOT(ISNUMBER($Z$3))),"",ROUND(M55*C55*$Z$3,2))</f>
        <v/>
      </c>
      <c r="O55" s="282">
        <f>IF(OR(G55="",I55=""),"",ROUND(MAX(G55-I55,0),2))</f>
        <v/>
      </c>
      <c r="P55" s="273">
        <f>IF(OR(O55="",C55="",NOT(ISNUMBER($Z$4))),"",ROUND(O55*C55*$Z$4,2))</f>
        <v/>
      </c>
      <c r="Q55" s="282">
        <f>IF(OR(I55="",K55=""),"",ROUND(MAX(I55-K55,0),2))</f>
        <v/>
      </c>
      <c r="R55" s="273">
        <f>IF(OR(Q55="",C55="",NOT(ISNUMBER($Z$5))),"",ROUND(Q55*C55*$Z$5,2))</f>
        <v/>
      </c>
      <c r="S55" s="62" t="n"/>
      <c r="T55" s="283" t="n"/>
      <c r="U55" s="284">
        <f>IF(A55="","",IF(AND(G55&lt;&gt;"",E55&lt;&gt;"",G55&gt;E55),"ALERTA: REM_C2&gt;REM_C1",IF(AND(I55&lt;&gt;"",G55&lt;&gt;"",I55&gt;G55),"ALERTA: REM_C3&gt;REM_C2",IF(AND(K55&lt;&gt;"",I55&lt;&gt;"",K55&gt;I55),"ALERTA: REM_C4&gt;REM_C3","OK"))))</f>
        <v/>
      </c>
      <c r="V55" s="284">
        <f>IF(A55="","",IF(B55="","",IF(OR(B55&lt;0,E55&gt;B55,G55&gt;B55,I55&gt;B55,K55&gt;B55),"ALERTA: QTD_INVALIDA","OK")))</f>
        <v/>
      </c>
      <c r="W55" s="34" t="n"/>
      <c r="X55" s="34" t="n"/>
      <c r="Y55" s="34" t="n"/>
      <c r="Z55" s="27" t="n"/>
      <c r="AA55" s="27" t="n"/>
      <c r="AB55" s="282">
        <f>IF(OR(A55="",E55=""),"",ROUND(B55-E55,2))</f>
        <v/>
      </c>
      <c r="AC55" s="273">
        <f>IF(OR(A55="",E55=""),"",ROUND(D55-E55*C55,2))</f>
        <v/>
      </c>
      <c r="AD55" s="27" t="n"/>
    </row>
    <row r="56">
      <c r="A56" s="278" t="n"/>
      <c r="B56" s="279" t="n"/>
      <c r="C56" s="280" t="n"/>
      <c r="D56" s="273">
        <f>IF(OR(A56="",B56="",C56=""),"",ROUND(B56*C56,2))</f>
        <v/>
      </c>
      <c r="E56" s="281" t="n"/>
      <c r="F56" s="273">
        <f>IF(OR(A56="",E56="",C56="",NOT(ISNUMBER($Z$3))),"",ROUND(E56*C56*$Z$3,2))</f>
        <v/>
      </c>
      <c r="G56" s="281" t="n"/>
      <c r="H56" s="273">
        <f>IF(OR(A56="",G56="",C56="",NOT(ISNUMBER($Z$4))),"",ROUND(G56*C56*$Z$4,2))</f>
        <v/>
      </c>
      <c r="I56" s="281" t="n"/>
      <c r="J56" s="273">
        <f>IF(OR(A56="",I56="",C56="",NOT(ISNUMBER($Z$5))),"",ROUND(I56*C56*$Z$5,2))</f>
        <v/>
      </c>
      <c r="K56" s="281" t="n"/>
      <c r="L56" s="273">
        <f>IF(OR(A56="",K56="",C56="",NOT(ISNUMBER($Z$6))),"",ROUND(K56*C56*$Z$6,2))</f>
        <v/>
      </c>
      <c r="M56" s="282">
        <f>IF(OR(E56="",G56=""),"",ROUND(MAX(E56-G56,0),2))</f>
        <v/>
      </c>
      <c r="N56" s="273">
        <f>IF(OR(M56="",C56="",NOT(ISNUMBER($Z$3))),"",ROUND(M56*C56*$Z$3,2))</f>
        <v/>
      </c>
      <c r="O56" s="282">
        <f>IF(OR(G56="",I56=""),"",ROUND(MAX(G56-I56,0),2))</f>
        <v/>
      </c>
      <c r="P56" s="273">
        <f>IF(OR(O56="",C56="",NOT(ISNUMBER($Z$4))),"",ROUND(O56*C56*$Z$4,2))</f>
        <v/>
      </c>
      <c r="Q56" s="282">
        <f>IF(OR(I56="",K56=""),"",ROUND(MAX(I56-K56,0),2))</f>
        <v/>
      </c>
      <c r="R56" s="273">
        <f>IF(OR(Q56="",C56="",NOT(ISNUMBER($Z$5))),"",ROUND(Q56*C56*$Z$5,2))</f>
        <v/>
      </c>
      <c r="S56" s="62" t="n"/>
      <c r="T56" s="283" t="n"/>
      <c r="U56" s="284">
        <f>IF(A56="","",IF(AND(G56&lt;&gt;"",E56&lt;&gt;"",G56&gt;E56),"ALERTA: REM_C2&gt;REM_C1",IF(AND(I56&lt;&gt;"",G56&lt;&gt;"",I56&gt;G56),"ALERTA: REM_C3&gt;REM_C2",IF(AND(K56&lt;&gt;"",I56&lt;&gt;"",K56&gt;I56),"ALERTA: REM_C4&gt;REM_C3","OK"))))</f>
        <v/>
      </c>
      <c r="V56" s="284">
        <f>IF(A56="","",IF(B56="","",IF(OR(B56&lt;0,E56&gt;B56,G56&gt;B56,I56&gt;B56,K56&gt;B56),"ALERTA: QTD_INVALIDA","OK")))</f>
        <v/>
      </c>
      <c r="W56" s="34" t="n"/>
      <c r="X56" s="34" t="n"/>
      <c r="Y56" s="34" t="n"/>
      <c r="Z56" s="27" t="n"/>
      <c r="AA56" s="27" t="n"/>
      <c r="AB56" s="282">
        <f>IF(OR(A56="",E56=""),"",ROUND(B56-E56,2))</f>
        <v/>
      </c>
      <c r="AC56" s="273">
        <f>IF(OR(A56="",E56=""),"",ROUND(D56-E56*C56,2))</f>
        <v/>
      </c>
      <c r="AD56" s="27" t="n"/>
    </row>
    <row r="57">
      <c r="A57" s="278" t="n"/>
      <c r="B57" s="279" t="n"/>
      <c r="C57" s="280" t="n"/>
      <c r="D57" s="273">
        <f>IF(OR(A57="",B57="",C57=""),"",ROUND(B57*C57,2))</f>
        <v/>
      </c>
      <c r="E57" s="281" t="n"/>
      <c r="F57" s="273">
        <f>IF(OR(A57="",E57="",C57="",NOT(ISNUMBER($Z$3))),"",ROUND(E57*C57*$Z$3,2))</f>
        <v/>
      </c>
      <c r="G57" s="281" t="n"/>
      <c r="H57" s="273">
        <f>IF(OR(A57="",G57="",C57="",NOT(ISNUMBER($Z$4))),"",ROUND(G57*C57*$Z$4,2))</f>
        <v/>
      </c>
      <c r="I57" s="281" t="n"/>
      <c r="J57" s="273">
        <f>IF(OR(A57="",I57="",C57="",NOT(ISNUMBER($Z$5))),"",ROUND(I57*C57*$Z$5,2))</f>
        <v/>
      </c>
      <c r="K57" s="281" t="n"/>
      <c r="L57" s="273">
        <f>IF(OR(A57="",K57="",C57="",NOT(ISNUMBER($Z$6))),"",ROUND(K57*C57*$Z$6,2))</f>
        <v/>
      </c>
      <c r="M57" s="282">
        <f>IF(OR(E57="",G57=""),"",ROUND(MAX(E57-G57,0),2))</f>
        <v/>
      </c>
      <c r="N57" s="273">
        <f>IF(OR(M57="",C57="",NOT(ISNUMBER($Z$3))),"",ROUND(M57*C57*$Z$3,2))</f>
        <v/>
      </c>
      <c r="O57" s="282">
        <f>IF(OR(G57="",I57=""),"",ROUND(MAX(G57-I57,0),2))</f>
        <v/>
      </c>
      <c r="P57" s="273">
        <f>IF(OR(O57="",C57="",NOT(ISNUMBER($Z$4))),"",ROUND(O57*C57*$Z$4,2))</f>
        <v/>
      </c>
      <c r="Q57" s="282">
        <f>IF(OR(I57="",K57=""),"",ROUND(MAX(I57-K57,0),2))</f>
        <v/>
      </c>
      <c r="R57" s="273">
        <f>IF(OR(Q57="",C57="",NOT(ISNUMBER($Z$5))),"",ROUND(Q57*C57*$Z$5,2))</f>
        <v/>
      </c>
      <c r="S57" s="62" t="n"/>
      <c r="T57" s="283" t="n"/>
      <c r="U57" s="284">
        <f>IF(A57="","",IF(AND(G57&lt;&gt;"",E57&lt;&gt;"",G57&gt;E57),"ALERTA: REM_C2&gt;REM_C1",IF(AND(I57&lt;&gt;"",G57&lt;&gt;"",I57&gt;G57),"ALERTA: REM_C3&gt;REM_C2",IF(AND(K57&lt;&gt;"",I57&lt;&gt;"",K57&gt;I57),"ALERTA: REM_C4&gt;REM_C3","OK"))))</f>
        <v/>
      </c>
      <c r="V57" s="284">
        <f>IF(A57="","",IF(B57="","",IF(OR(B57&lt;0,E57&gt;B57,G57&gt;B57,I57&gt;B57,K57&gt;B57),"ALERTA: QTD_INVALIDA","OK")))</f>
        <v/>
      </c>
      <c r="W57" s="34" t="n"/>
      <c r="X57" s="34" t="n"/>
      <c r="Y57" s="34" t="n"/>
      <c r="Z57" s="27" t="n"/>
      <c r="AA57" s="27" t="n"/>
      <c r="AB57" s="282">
        <f>IF(OR(A57="",E57=""),"",ROUND(B57-E57,2))</f>
        <v/>
      </c>
      <c r="AC57" s="273">
        <f>IF(OR(A57="",E57=""),"",ROUND(D57-E57*C57,2))</f>
        <v/>
      </c>
      <c r="AD57" s="27" t="n"/>
    </row>
    <row r="58">
      <c r="A58" s="278" t="n"/>
      <c r="B58" s="279" t="n"/>
      <c r="C58" s="280" t="n"/>
      <c r="D58" s="273">
        <f>IF(OR(A58="",B58="",C58=""),"",ROUND(B58*C58,2))</f>
        <v/>
      </c>
      <c r="E58" s="281" t="n"/>
      <c r="F58" s="273">
        <f>IF(OR(A58="",E58="",C58="",NOT(ISNUMBER($Z$3))),"",ROUND(E58*C58*$Z$3,2))</f>
        <v/>
      </c>
      <c r="G58" s="281" t="n"/>
      <c r="H58" s="273">
        <f>IF(OR(A58="",G58="",C58="",NOT(ISNUMBER($Z$4))),"",ROUND(G58*C58*$Z$4,2))</f>
        <v/>
      </c>
      <c r="I58" s="281" t="n"/>
      <c r="J58" s="273">
        <f>IF(OR(A58="",I58="",C58="",NOT(ISNUMBER($Z$5))),"",ROUND(I58*C58*$Z$5,2))</f>
        <v/>
      </c>
      <c r="K58" s="281" t="n"/>
      <c r="L58" s="273">
        <f>IF(OR(A58="",K58="",C58="",NOT(ISNUMBER($Z$6))),"",ROUND(K58*C58*$Z$6,2))</f>
        <v/>
      </c>
      <c r="M58" s="282">
        <f>IF(OR(E58="",G58=""),"",ROUND(MAX(E58-G58,0),2))</f>
        <v/>
      </c>
      <c r="N58" s="273">
        <f>IF(OR(M58="",C58="",NOT(ISNUMBER($Z$3))),"",ROUND(M58*C58*$Z$3,2))</f>
        <v/>
      </c>
      <c r="O58" s="282">
        <f>IF(OR(G58="",I58=""),"",ROUND(MAX(G58-I58,0),2))</f>
        <v/>
      </c>
      <c r="P58" s="273">
        <f>IF(OR(O58="",C58="",NOT(ISNUMBER($Z$4))),"",ROUND(O58*C58*$Z$4,2))</f>
        <v/>
      </c>
      <c r="Q58" s="282">
        <f>IF(OR(I58="",K58=""),"",ROUND(MAX(I58-K58,0),2))</f>
        <v/>
      </c>
      <c r="R58" s="273">
        <f>IF(OR(Q58="",C58="",NOT(ISNUMBER($Z$5))),"",ROUND(Q58*C58*$Z$5,2))</f>
        <v/>
      </c>
      <c r="S58" s="62" t="n"/>
      <c r="T58" s="283" t="n"/>
      <c r="U58" s="284">
        <f>IF(A58="","",IF(AND(G58&lt;&gt;"",E58&lt;&gt;"",G58&gt;E58),"ALERTA: REM_C2&gt;REM_C1",IF(AND(I58&lt;&gt;"",G58&lt;&gt;"",I58&gt;G58),"ALERTA: REM_C3&gt;REM_C2",IF(AND(K58&lt;&gt;"",I58&lt;&gt;"",K58&gt;I58),"ALERTA: REM_C4&gt;REM_C3","OK"))))</f>
        <v/>
      </c>
      <c r="V58" s="284">
        <f>IF(A58="","",IF(B58="","",IF(OR(B58&lt;0,E58&gt;B58,G58&gt;B58,I58&gt;B58,K58&gt;B58),"ALERTA: QTD_INVALIDA","OK")))</f>
        <v/>
      </c>
      <c r="W58" s="34" t="n"/>
      <c r="X58" s="34" t="n"/>
      <c r="Y58" s="34" t="n"/>
      <c r="Z58" s="27" t="n"/>
      <c r="AA58" s="27" t="n"/>
      <c r="AB58" s="282">
        <f>IF(OR(A58="",E58=""),"",ROUND(B58-E58,2))</f>
        <v/>
      </c>
      <c r="AC58" s="273">
        <f>IF(OR(A58="",E58=""),"",ROUND(D58-E58*C58,2))</f>
        <v/>
      </c>
      <c r="AD58" s="27" t="n"/>
    </row>
    <row r="59">
      <c r="A59" s="278" t="n"/>
      <c r="B59" s="279" t="n"/>
      <c r="C59" s="280" t="n"/>
      <c r="D59" s="273">
        <f>IF(OR(A59="",B59="",C59=""),"",ROUND(B59*C59,2))</f>
        <v/>
      </c>
      <c r="E59" s="281" t="n"/>
      <c r="F59" s="273">
        <f>IF(OR(A59="",E59="",C59="",NOT(ISNUMBER($Z$3))),"",ROUND(E59*C59*$Z$3,2))</f>
        <v/>
      </c>
      <c r="G59" s="281" t="n"/>
      <c r="H59" s="273">
        <f>IF(OR(A59="",G59="",C59="",NOT(ISNUMBER($Z$4))),"",ROUND(G59*C59*$Z$4,2))</f>
        <v/>
      </c>
      <c r="I59" s="281" t="n"/>
      <c r="J59" s="273">
        <f>IF(OR(A59="",I59="",C59="",NOT(ISNUMBER($Z$5))),"",ROUND(I59*C59*$Z$5,2))</f>
        <v/>
      </c>
      <c r="K59" s="281" t="n"/>
      <c r="L59" s="273">
        <f>IF(OR(A59="",K59="",C59="",NOT(ISNUMBER($Z$6))),"",ROUND(K59*C59*$Z$6,2))</f>
        <v/>
      </c>
      <c r="M59" s="282">
        <f>IF(OR(E59="",G59=""),"",ROUND(MAX(E59-G59,0),2))</f>
        <v/>
      </c>
      <c r="N59" s="273">
        <f>IF(OR(M59="",C59="",NOT(ISNUMBER($Z$3))),"",ROUND(M59*C59*$Z$3,2))</f>
        <v/>
      </c>
      <c r="O59" s="282">
        <f>IF(OR(G59="",I59=""),"",ROUND(MAX(G59-I59,0),2))</f>
        <v/>
      </c>
      <c r="P59" s="273">
        <f>IF(OR(O59="",C59="",NOT(ISNUMBER($Z$4))),"",ROUND(O59*C59*$Z$4,2))</f>
        <v/>
      </c>
      <c r="Q59" s="282">
        <f>IF(OR(I59="",K59=""),"",ROUND(MAX(I59-K59,0),2))</f>
        <v/>
      </c>
      <c r="R59" s="273">
        <f>IF(OR(Q59="",C59="",NOT(ISNUMBER($Z$5))),"",ROUND(Q59*C59*$Z$5,2))</f>
        <v/>
      </c>
      <c r="S59" s="62" t="n"/>
      <c r="T59" s="283" t="n"/>
      <c r="U59" s="284">
        <f>IF(A59="","",IF(AND(G59&lt;&gt;"",E59&lt;&gt;"",G59&gt;E59),"ALERTA: REM_C2&gt;REM_C1",IF(AND(I59&lt;&gt;"",G59&lt;&gt;"",I59&gt;G59),"ALERTA: REM_C3&gt;REM_C2",IF(AND(K59&lt;&gt;"",I59&lt;&gt;"",K59&gt;I59),"ALERTA: REM_C4&gt;REM_C3","OK"))))</f>
        <v/>
      </c>
      <c r="V59" s="284">
        <f>IF(A59="","",IF(B59="","",IF(OR(B59&lt;0,E59&gt;B59,G59&gt;B59,I59&gt;B59,K59&gt;B59),"ALERTA: QTD_INVALIDA","OK")))</f>
        <v/>
      </c>
      <c r="W59" s="34" t="n"/>
      <c r="X59" s="34" t="n"/>
      <c r="Y59" s="34" t="n"/>
      <c r="Z59" s="27" t="n"/>
      <c r="AA59" s="27" t="n"/>
      <c r="AB59" s="282">
        <f>IF(OR(A59="",E59=""),"",ROUND(B59-E59,2))</f>
        <v/>
      </c>
      <c r="AC59" s="273">
        <f>IF(OR(A59="",E59=""),"",ROUND(D59-E59*C59,2))</f>
        <v/>
      </c>
      <c r="AD59" s="27" t="n"/>
    </row>
    <row r="60">
      <c r="A60" s="278" t="n"/>
      <c r="B60" s="279" t="n"/>
      <c r="C60" s="280" t="n"/>
      <c r="D60" s="273">
        <f>IF(OR(A60="",B60="",C60=""),"",ROUND(B60*C60,2))</f>
        <v/>
      </c>
      <c r="E60" s="281" t="n"/>
      <c r="F60" s="273">
        <f>IF(OR(A60="",E60="",C60="",NOT(ISNUMBER($Z$3))),"",ROUND(E60*C60*$Z$3,2))</f>
        <v/>
      </c>
      <c r="G60" s="281" t="n"/>
      <c r="H60" s="273">
        <f>IF(OR(A60="",G60="",C60="",NOT(ISNUMBER($Z$4))),"",ROUND(G60*C60*$Z$4,2))</f>
        <v/>
      </c>
      <c r="I60" s="281" t="n"/>
      <c r="J60" s="273">
        <f>IF(OR(A60="",I60="",C60="",NOT(ISNUMBER($Z$5))),"",ROUND(I60*C60*$Z$5,2))</f>
        <v/>
      </c>
      <c r="K60" s="281" t="n"/>
      <c r="L60" s="273">
        <f>IF(OR(A60="",K60="",C60="",NOT(ISNUMBER($Z$6))),"",ROUND(K60*C60*$Z$6,2))</f>
        <v/>
      </c>
      <c r="M60" s="282">
        <f>IF(OR(E60="",G60=""),"",ROUND(MAX(E60-G60,0),2))</f>
        <v/>
      </c>
      <c r="N60" s="273">
        <f>IF(OR(M60="",C60="",NOT(ISNUMBER($Z$3))),"",ROUND(M60*C60*$Z$3,2))</f>
        <v/>
      </c>
      <c r="O60" s="282">
        <f>IF(OR(G60="",I60=""),"",ROUND(MAX(G60-I60,0),2))</f>
        <v/>
      </c>
      <c r="P60" s="273">
        <f>IF(OR(O60="",C60="",NOT(ISNUMBER($Z$4))),"",ROUND(O60*C60*$Z$4,2))</f>
        <v/>
      </c>
      <c r="Q60" s="282">
        <f>IF(OR(I60="",K60=""),"",ROUND(MAX(I60-K60,0),2))</f>
        <v/>
      </c>
      <c r="R60" s="273">
        <f>IF(OR(Q60="",C60="",NOT(ISNUMBER($Z$5))),"",ROUND(Q60*C60*$Z$5,2))</f>
        <v/>
      </c>
      <c r="S60" s="62" t="n"/>
      <c r="T60" s="283" t="n"/>
      <c r="U60" s="284">
        <f>IF(A60="","",IF(AND(G60&lt;&gt;"",E60&lt;&gt;"",G60&gt;E60),"ALERTA: REM_C2&gt;REM_C1",IF(AND(I60&lt;&gt;"",G60&lt;&gt;"",I60&gt;G60),"ALERTA: REM_C3&gt;REM_C2",IF(AND(K60&lt;&gt;"",I60&lt;&gt;"",K60&gt;I60),"ALERTA: REM_C4&gt;REM_C3","OK"))))</f>
        <v/>
      </c>
      <c r="V60" s="284">
        <f>IF(A60="","",IF(B60="","",IF(OR(B60&lt;0,E60&gt;B60,G60&gt;B60,I60&gt;B60,K60&gt;B60),"ALERTA: QTD_INVALIDA","OK")))</f>
        <v/>
      </c>
      <c r="W60" s="34" t="n"/>
      <c r="X60" s="34" t="n"/>
      <c r="Y60" s="34" t="n"/>
      <c r="Z60" s="27" t="n"/>
      <c r="AA60" s="27" t="n"/>
      <c r="AB60" s="282">
        <f>IF(OR(A60="",E60=""),"",ROUND(B60-E60,2))</f>
        <v/>
      </c>
      <c r="AC60" s="273">
        <f>IF(OR(A60="",E60=""),"",ROUND(D60-E60*C60,2))</f>
        <v/>
      </c>
      <c r="AD60" s="27" t="n"/>
    </row>
    <row r="61">
      <c r="A61" s="278" t="n"/>
      <c r="B61" s="279" t="n"/>
      <c r="C61" s="280" t="n"/>
      <c r="D61" s="273">
        <f>IF(OR(A61="",B61="",C61=""),"",ROUND(B61*C61,2))</f>
        <v/>
      </c>
      <c r="E61" s="281" t="n"/>
      <c r="F61" s="273">
        <f>IF(OR(A61="",E61="",C61="",NOT(ISNUMBER($Z$3))),"",ROUND(E61*C61*$Z$3,2))</f>
        <v/>
      </c>
      <c r="G61" s="281" t="n"/>
      <c r="H61" s="273">
        <f>IF(OR(A61="",G61="",C61="",NOT(ISNUMBER($Z$4))),"",ROUND(G61*C61*$Z$4,2))</f>
        <v/>
      </c>
      <c r="I61" s="281" t="n"/>
      <c r="J61" s="273">
        <f>IF(OR(A61="",I61="",C61="",NOT(ISNUMBER($Z$5))),"",ROUND(I61*C61*$Z$5,2))</f>
        <v/>
      </c>
      <c r="K61" s="281" t="n"/>
      <c r="L61" s="273">
        <f>IF(OR(A61="",K61="",C61="",NOT(ISNUMBER($Z$6))),"",ROUND(K61*C61*$Z$6,2))</f>
        <v/>
      </c>
      <c r="M61" s="282">
        <f>IF(OR(E61="",G61=""),"",ROUND(MAX(E61-G61,0),2))</f>
        <v/>
      </c>
      <c r="N61" s="273">
        <f>IF(OR(M61="",C61="",NOT(ISNUMBER($Z$3))),"",ROUND(M61*C61*$Z$3,2))</f>
        <v/>
      </c>
      <c r="O61" s="282">
        <f>IF(OR(G61="",I61=""),"",ROUND(MAX(G61-I61,0),2))</f>
        <v/>
      </c>
      <c r="P61" s="273">
        <f>IF(OR(O61="",C61="",NOT(ISNUMBER($Z$4))),"",ROUND(O61*C61*$Z$4,2))</f>
        <v/>
      </c>
      <c r="Q61" s="282">
        <f>IF(OR(I61="",K61=""),"",ROUND(MAX(I61-K61,0),2))</f>
        <v/>
      </c>
      <c r="R61" s="273">
        <f>IF(OR(Q61="",C61="",NOT(ISNUMBER($Z$5))),"",ROUND(Q61*C61*$Z$5,2))</f>
        <v/>
      </c>
      <c r="S61" s="62" t="n"/>
      <c r="T61" s="283" t="n"/>
      <c r="U61" s="284">
        <f>IF(A61="","",IF(AND(G61&lt;&gt;"",E61&lt;&gt;"",G61&gt;E61),"ALERTA: REM_C2&gt;REM_C1",IF(AND(I61&lt;&gt;"",G61&lt;&gt;"",I61&gt;G61),"ALERTA: REM_C3&gt;REM_C2",IF(AND(K61&lt;&gt;"",I61&lt;&gt;"",K61&gt;I61),"ALERTA: REM_C4&gt;REM_C3","OK"))))</f>
        <v/>
      </c>
      <c r="V61" s="284">
        <f>IF(A61="","",IF(B61="","",IF(OR(B61&lt;0,E61&gt;B61,G61&gt;B61,I61&gt;B61,K61&gt;B61),"ALERTA: QTD_INVALIDA","OK")))</f>
        <v/>
      </c>
      <c r="W61" s="34" t="n"/>
      <c r="X61" s="34" t="n"/>
      <c r="Y61" s="34" t="n"/>
      <c r="Z61" s="27" t="n"/>
      <c r="AA61" s="27" t="n"/>
      <c r="AB61" s="282">
        <f>IF(OR(A61="",E61=""),"",ROUND(B61-E61,2))</f>
        <v/>
      </c>
      <c r="AC61" s="273">
        <f>IF(OR(A61="",E61=""),"",ROUND(D61-E61*C61,2))</f>
        <v/>
      </c>
      <c r="AD61" s="27" t="n"/>
    </row>
    <row r="62">
      <c r="A62" s="278" t="n"/>
      <c r="B62" s="279" t="n"/>
      <c r="C62" s="280" t="n"/>
      <c r="D62" s="273">
        <f>IF(OR(A62="",B62="",C62=""),"",ROUND(B62*C62,2))</f>
        <v/>
      </c>
      <c r="E62" s="281" t="n"/>
      <c r="F62" s="273">
        <f>IF(OR(A62="",E62="",C62="",NOT(ISNUMBER($Z$3))),"",ROUND(E62*C62*$Z$3,2))</f>
        <v/>
      </c>
      <c r="G62" s="281" t="n"/>
      <c r="H62" s="273">
        <f>IF(OR(A62="",G62="",C62="",NOT(ISNUMBER($Z$4))),"",ROUND(G62*C62*$Z$4,2))</f>
        <v/>
      </c>
      <c r="I62" s="281" t="n"/>
      <c r="J62" s="273">
        <f>IF(OR(A62="",I62="",C62="",NOT(ISNUMBER($Z$5))),"",ROUND(I62*C62*$Z$5,2))</f>
        <v/>
      </c>
      <c r="K62" s="281" t="n"/>
      <c r="L62" s="273">
        <f>IF(OR(A62="",K62="",C62="",NOT(ISNUMBER($Z$6))),"",ROUND(K62*C62*$Z$6,2))</f>
        <v/>
      </c>
      <c r="M62" s="282">
        <f>IF(OR(E62="",G62=""),"",ROUND(MAX(E62-G62,0),2))</f>
        <v/>
      </c>
      <c r="N62" s="273">
        <f>IF(OR(M62="",C62="",NOT(ISNUMBER($Z$3))),"",ROUND(M62*C62*$Z$3,2))</f>
        <v/>
      </c>
      <c r="O62" s="282">
        <f>IF(OR(G62="",I62=""),"",ROUND(MAX(G62-I62,0),2))</f>
        <v/>
      </c>
      <c r="P62" s="273">
        <f>IF(OR(O62="",C62="",NOT(ISNUMBER($Z$4))),"",ROUND(O62*C62*$Z$4,2))</f>
        <v/>
      </c>
      <c r="Q62" s="282">
        <f>IF(OR(I62="",K62=""),"",ROUND(MAX(I62-K62,0),2))</f>
        <v/>
      </c>
      <c r="R62" s="273">
        <f>IF(OR(Q62="",C62="",NOT(ISNUMBER($Z$5))),"",ROUND(Q62*C62*$Z$5,2))</f>
        <v/>
      </c>
      <c r="S62" s="62" t="n"/>
      <c r="T62" s="283" t="n"/>
      <c r="U62" s="284">
        <f>IF(A62="","",IF(AND(G62&lt;&gt;"",E62&lt;&gt;"",G62&gt;E62),"ALERTA: REM_C2&gt;REM_C1",IF(AND(I62&lt;&gt;"",G62&lt;&gt;"",I62&gt;G62),"ALERTA: REM_C3&gt;REM_C2",IF(AND(K62&lt;&gt;"",I62&lt;&gt;"",K62&gt;I62),"ALERTA: REM_C4&gt;REM_C3","OK"))))</f>
        <v/>
      </c>
      <c r="V62" s="284">
        <f>IF(A62="","",IF(B62="","",IF(OR(B62&lt;0,E62&gt;B62,G62&gt;B62,I62&gt;B62,K62&gt;B62),"ALERTA: QTD_INVALIDA","OK")))</f>
        <v/>
      </c>
      <c r="W62" s="34" t="n"/>
      <c r="X62" s="34" t="n"/>
      <c r="Y62" s="34" t="n"/>
      <c r="Z62" s="27" t="n"/>
      <c r="AA62" s="27" t="n"/>
      <c r="AB62" s="282">
        <f>IF(OR(A62="",E62=""),"",ROUND(B62-E62,2))</f>
        <v/>
      </c>
      <c r="AC62" s="273">
        <f>IF(OR(A62="",E62=""),"",ROUND(D62-E62*C62,2))</f>
        <v/>
      </c>
      <c r="AD62" s="27" t="n"/>
    </row>
    <row r="63">
      <c r="A63" s="278" t="n"/>
      <c r="B63" s="279" t="n"/>
      <c r="C63" s="280" t="n"/>
      <c r="D63" s="273">
        <f>IF(OR(A63="",B63="",C63=""),"",ROUND(B63*C63,2))</f>
        <v/>
      </c>
      <c r="E63" s="281" t="n"/>
      <c r="F63" s="273">
        <f>IF(OR(A63="",E63="",C63="",NOT(ISNUMBER($Z$3))),"",ROUND(E63*C63*$Z$3,2))</f>
        <v/>
      </c>
      <c r="G63" s="281" t="n"/>
      <c r="H63" s="273">
        <f>IF(OR(A63="",G63="",C63="",NOT(ISNUMBER($Z$4))),"",ROUND(G63*C63*$Z$4,2))</f>
        <v/>
      </c>
      <c r="I63" s="281" t="n"/>
      <c r="J63" s="273">
        <f>IF(OR(A63="",I63="",C63="",NOT(ISNUMBER($Z$5))),"",ROUND(I63*C63*$Z$5,2))</f>
        <v/>
      </c>
      <c r="K63" s="281" t="n"/>
      <c r="L63" s="273">
        <f>IF(OR(A63="",K63="",C63="",NOT(ISNUMBER($Z$6))),"",ROUND(K63*C63*$Z$6,2))</f>
        <v/>
      </c>
      <c r="M63" s="282">
        <f>IF(OR(E63="",G63=""),"",ROUND(MAX(E63-G63,0),2))</f>
        <v/>
      </c>
      <c r="N63" s="273">
        <f>IF(OR(M63="",C63="",NOT(ISNUMBER($Z$3))),"",ROUND(M63*C63*$Z$3,2))</f>
        <v/>
      </c>
      <c r="O63" s="282">
        <f>IF(OR(G63="",I63=""),"",ROUND(MAX(G63-I63,0),2))</f>
        <v/>
      </c>
      <c r="P63" s="273">
        <f>IF(OR(O63="",C63="",NOT(ISNUMBER($Z$4))),"",ROUND(O63*C63*$Z$4,2))</f>
        <v/>
      </c>
      <c r="Q63" s="282">
        <f>IF(OR(I63="",K63=""),"",ROUND(MAX(I63-K63,0),2))</f>
        <v/>
      </c>
      <c r="R63" s="273">
        <f>IF(OR(Q63="",C63="",NOT(ISNUMBER($Z$5))),"",ROUND(Q63*C63*$Z$5,2))</f>
        <v/>
      </c>
      <c r="S63" s="62" t="n"/>
      <c r="T63" s="283" t="n"/>
      <c r="U63" s="284">
        <f>IF(A63="","",IF(AND(G63&lt;&gt;"",E63&lt;&gt;"",G63&gt;E63),"ALERTA: REM_C2&gt;REM_C1",IF(AND(I63&lt;&gt;"",G63&lt;&gt;"",I63&gt;G63),"ALERTA: REM_C3&gt;REM_C2",IF(AND(K63&lt;&gt;"",I63&lt;&gt;"",K63&gt;I63),"ALERTA: REM_C4&gt;REM_C3","OK"))))</f>
        <v/>
      </c>
      <c r="V63" s="284">
        <f>IF(A63="","",IF(B63="","",IF(OR(B63&lt;0,E63&gt;B63,G63&gt;B63,I63&gt;B63,K63&gt;B63),"ALERTA: QTD_INVALIDA","OK")))</f>
        <v/>
      </c>
      <c r="W63" s="34" t="n"/>
      <c r="X63" s="34" t="n"/>
      <c r="Y63" s="34" t="n"/>
      <c r="Z63" s="27" t="n"/>
      <c r="AA63" s="27" t="n"/>
      <c r="AB63" s="282">
        <f>IF(OR(A63="",E63=""),"",ROUND(B63-E63,2))</f>
        <v/>
      </c>
      <c r="AC63" s="273">
        <f>IF(OR(A63="",E63=""),"",ROUND(D63-E63*C63,2))</f>
        <v/>
      </c>
      <c r="AD63" s="27" t="n"/>
    </row>
    <row r="64">
      <c r="A64" s="278" t="n"/>
      <c r="B64" s="279" t="n"/>
      <c r="C64" s="280" t="n"/>
      <c r="D64" s="273">
        <f>IF(OR(A64="",B64="",C64=""),"",ROUND(B64*C64,2))</f>
        <v/>
      </c>
      <c r="E64" s="281" t="n"/>
      <c r="F64" s="273">
        <f>IF(OR(A64="",E64="",C64="",NOT(ISNUMBER($Z$3))),"",ROUND(E64*C64*$Z$3,2))</f>
        <v/>
      </c>
      <c r="G64" s="281" t="n"/>
      <c r="H64" s="273">
        <f>IF(OR(A64="",G64="",C64="",NOT(ISNUMBER($Z$4))),"",ROUND(G64*C64*$Z$4,2))</f>
        <v/>
      </c>
      <c r="I64" s="281" t="n"/>
      <c r="J64" s="273">
        <f>IF(OR(A64="",I64="",C64="",NOT(ISNUMBER($Z$5))),"",ROUND(I64*C64*$Z$5,2))</f>
        <v/>
      </c>
      <c r="K64" s="281" t="n"/>
      <c r="L64" s="273">
        <f>IF(OR(A64="",K64="",C64="",NOT(ISNUMBER($Z$6))),"",ROUND(K64*C64*$Z$6,2))</f>
        <v/>
      </c>
      <c r="M64" s="282">
        <f>IF(OR(E64="",G64=""),"",ROUND(MAX(E64-G64,0),2))</f>
        <v/>
      </c>
      <c r="N64" s="273">
        <f>IF(OR(M64="",C64="",NOT(ISNUMBER($Z$3))),"",ROUND(M64*C64*$Z$3,2))</f>
        <v/>
      </c>
      <c r="O64" s="282">
        <f>IF(OR(G64="",I64=""),"",ROUND(MAX(G64-I64,0),2))</f>
        <v/>
      </c>
      <c r="P64" s="273">
        <f>IF(OR(O64="",C64="",NOT(ISNUMBER($Z$4))),"",ROUND(O64*C64*$Z$4,2))</f>
        <v/>
      </c>
      <c r="Q64" s="282">
        <f>IF(OR(I64="",K64=""),"",ROUND(MAX(I64-K64,0),2))</f>
        <v/>
      </c>
      <c r="R64" s="273">
        <f>IF(OR(Q64="",C64="",NOT(ISNUMBER($Z$5))),"",ROUND(Q64*C64*$Z$5,2))</f>
        <v/>
      </c>
      <c r="S64" s="62" t="n"/>
      <c r="T64" s="283" t="n"/>
      <c r="U64" s="284">
        <f>IF(A64="","",IF(AND(G64&lt;&gt;"",E64&lt;&gt;"",G64&gt;E64),"ALERTA: REM_C2&gt;REM_C1",IF(AND(I64&lt;&gt;"",G64&lt;&gt;"",I64&gt;G64),"ALERTA: REM_C3&gt;REM_C2",IF(AND(K64&lt;&gt;"",I64&lt;&gt;"",K64&gt;I64),"ALERTA: REM_C4&gt;REM_C3","OK"))))</f>
        <v/>
      </c>
      <c r="V64" s="284">
        <f>IF(A64="","",IF(B64="","",IF(OR(B64&lt;0,E64&gt;B64,G64&gt;B64,I64&gt;B64,K64&gt;B64),"ALERTA: QTD_INVALIDA","OK")))</f>
        <v/>
      </c>
      <c r="W64" s="34" t="n"/>
      <c r="X64" s="34" t="n"/>
      <c r="Y64" s="34" t="n"/>
      <c r="Z64" s="27" t="n"/>
      <c r="AA64" s="27" t="n"/>
      <c r="AB64" s="282">
        <f>IF(OR(A64="",E64=""),"",ROUND(B64-E64,2))</f>
        <v/>
      </c>
      <c r="AC64" s="273">
        <f>IF(OR(A64="",E64=""),"",ROUND(D64-E64*C64,2))</f>
        <v/>
      </c>
      <c r="AD64" s="27" t="n"/>
    </row>
    <row r="65">
      <c r="A65" s="278" t="n"/>
      <c r="B65" s="279" t="n"/>
      <c r="C65" s="280" t="n"/>
      <c r="D65" s="273">
        <f>IF(OR(A65="",B65="",C65=""),"",ROUND(B65*C65,2))</f>
        <v/>
      </c>
      <c r="E65" s="281" t="n"/>
      <c r="F65" s="273">
        <f>IF(OR(A65="",E65="",C65="",NOT(ISNUMBER($Z$3))),"",ROUND(E65*C65*$Z$3,2))</f>
        <v/>
      </c>
      <c r="G65" s="281" t="n"/>
      <c r="H65" s="273">
        <f>IF(OR(A65="",G65="",C65="",NOT(ISNUMBER($Z$4))),"",ROUND(G65*C65*$Z$4,2))</f>
        <v/>
      </c>
      <c r="I65" s="281" t="n"/>
      <c r="J65" s="273">
        <f>IF(OR(A65="",I65="",C65="",NOT(ISNUMBER($Z$5))),"",ROUND(I65*C65*$Z$5,2))</f>
        <v/>
      </c>
      <c r="K65" s="281" t="n"/>
      <c r="L65" s="273">
        <f>IF(OR(A65="",K65="",C65="",NOT(ISNUMBER($Z$6))),"",ROUND(K65*C65*$Z$6,2))</f>
        <v/>
      </c>
      <c r="M65" s="282">
        <f>IF(OR(E65="",G65=""),"",ROUND(MAX(E65-G65,0),2))</f>
        <v/>
      </c>
      <c r="N65" s="273">
        <f>IF(OR(M65="",C65="",NOT(ISNUMBER($Z$3))),"",ROUND(M65*C65*$Z$3,2))</f>
        <v/>
      </c>
      <c r="O65" s="282">
        <f>IF(OR(G65="",I65=""),"",ROUND(MAX(G65-I65,0),2))</f>
        <v/>
      </c>
      <c r="P65" s="273">
        <f>IF(OR(O65="",C65="",NOT(ISNUMBER($Z$4))),"",ROUND(O65*C65*$Z$4,2))</f>
        <v/>
      </c>
      <c r="Q65" s="282">
        <f>IF(OR(I65="",K65=""),"",ROUND(MAX(I65-K65,0),2))</f>
        <v/>
      </c>
      <c r="R65" s="273">
        <f>IF(OR(Q65="",C65="",NOT(ISNUMBER($Z$5))),"",ROUND(Q65*C65*$Z$5,2))</f>
        <v/>
      </c>
      <c r="S65" s="62" t="n"/>
      <c r="T65" s="283" t="n"/>
      <c r="U65" s="284">
        <f>IF(A65="","",IF(AND(G65&lt;&gt;"",E65&lt;&gt;"",G65&gt;E65),"ALERTA: REM_C2&gt;REM_C1",IF(AND(I65&lt;&gt;"",G65&lt;&gt;"",I65&gt;G65),"ALERTA: REM_C3&gt;REM_C2",IF(AND(K65&lt;&gt;"",I65&lt;&gt;"",K65&gt;I65),"ALERTA: REM_C4&gt;REM_C3","OK"))))</f>
        <v/>
      </c>
      <c r="V65" s="284">
        <f>IF(A65="","",IF(B65="","",IF(OR(B65&lt;0,E65&gt;B65,G65&gt;B65,I65&gt;B65,K65&gt;B65),"ALERTA: QTD_INVALIDA","OK")))</f>
        <v/>
      </c>
      <c r="W65" s="34" t="n"/>
      <c r="X65" s="34" t="n"/>
      <c r="Y65" s="34" t="n"/>
      <c r="Z65" s="27" t="n"/>
      <c r="AA65" s="27" t="n"/>
      <c r="AB65" s="282">
        <f>IF(OR(A65="",E65=""),"",ROUND(B65-E65,2))</f>
        <v/>
      </c>
      <c r="AC65" s="273">
        <f>IF(OR(A65="",E65=""),"",ROUND(D65-E65*C65,2))</f>
        <v/>
      </c>
      <c r="AD65" s="27" t="n"/>
    </row>
    <row r="66">
      <c r="A66" s="278" t="n"/>
      <c r="B66" s="279" t="n"/>
      <c r="C66" s="280" t="n"/>
      <c r="D66" s="273">
        <f>IF(OR(A66="",B66="",C66=""),"",ROUND(B66*C66,2))</f>
        <v/>
      </c>
      <c r="E66" s="281" t="n"/>
      <c r="F66" s="273">
        <f>IF(OR(A66="",E66="",C66="",NOT(ISNUMBER($Z$3))),"",ROUND(E66*C66*$Z$3,2))</f>
        <v/>
      </c>
      <c r="G66" s="281" t="n"/>
      <c r="H66" s="273">
        <f>IF(OR(A66="",G66="",C66="",NOT(ISNUMBER($Z$4))),"",ROUND(G66*C66*$Z$4,2))</f>
        <v/>
      </c>
      <c r="I66" s="281" t="n"/>
      <c r="J66" s="273">
        <f>IF(OR(A66="",I66="",C66="",NOT(ISNUMBER($Z$5))),"",ROUND(I66*C66*$Z$5,2))</f>
        <v/>
      </c>
      <c r="K66" s="281" t="n"/>
      <c r="L66" s="273">
        <f>IF(OR(A66="",K66="",C66="",NOT(ISNUMBER($Z$6))),"",ROUND(K66*C66*$Z$6,2))</f>
        <v/>
      </c>
      <c r="M66" s="282">
        <f>IF(OR(E66="",G66=""),"",ROUND(MAX(E66-G66,0),2))</f>
        <v/>
      </c>
      <c r="N66" s="273">
        <f>IF(OR(M66="",C66="",NOT(ISNUMBER($Z$3))),"",ROUND(M66*C66*$Z$3,2))</f>
        <v/>
      </c>
      <c r="O66" s="282">
        <f>IF(OR(G66="",I66=""),"",ROUND(MAX(G66-I66,0),2))</f>
        <v/>
      </c>
      <c r="P66" s="273">
        <f>IF(OR(O66="",C66="",NOT(ISNUMBER($Z$4))),"",ROUND(O66*C66*$Z$4,2))</f>
        <v/>
      </c>
      <c r="Q66" s="282">
        <f>IF(OR(I66="",K66=""),"",ROUND(MAX(I66-K66,0),2))</f>
        <v/>
      </c>
      <c r="R66" s="273">
        <f>IF(OR(Q66="",C66="",NOT(ISNUMBER($Z$5))),"",ROUND(Q66*C66*$Z$5,2))</f>
        <v/>
      </c>
      <c r="S66" s="62" t="n"/>
      <c r="T66" s="283" t="n"/>
      <c r="U66" s="284">
        <f>IF(A66="","",IF(AND(G66&lt;&gt;"",E66&lt;&gt;"",G66&gt;E66),"ALERTA: REM_C2&gt;REM_C1",IF(AND(I66&lt;&gt;"",G66&lt;&gt;"",I66&gt;G66),"ALERTA: REM_C3&gt;REM_C2",IF(AND(K66&lt;&gt;"",I66&lt;&gt;"",K66&gt;I66),"ALERTA: REM_C4&gt;REM_C3","OK"))))</f>
        <v/>
      </c>
      <c r="V66" s="284">
        <f>IF(A66="","",IF(B66="","",IF(OR(B66&lt;0,E66&gt;B66,G66&gt;B66,I66&gt;B66,K66&gt;B66),"ALERTA: QTD_INVALIDA","OK")))</f>
        <v/>
      </c>
      <c r="W66" s="34" t="n"/>
      <c r="X66" s="34" t="n"/>
      <c r="Y66" s="34" t="n"/>
      <c r="Z66" s="27" t="n"/>
      <c r="AA66" s="27" t="n"/>
      <c r="AB66" s="282">
        <f>IF(OR(A66="",E66=""),"",ROUND(B66-E66,2))</f>
        <v/>
      </c>
      <c r="AC66" s="273">
        <f>IF(OR(A66="",E66=""),"",ROUND(D66-E66*C66,2))</f>
        <v/>
      </c>
      <c r="AD66" s="27" t="n"/>
    </row>
    <row r="67">
      <c r="A67" s="278" t="n"/>
      <c r="B67" s="279" t="n"/>
      <c r="C67" s="280" t="n"/>
      <c r="D67" s="273">
        <f>IF(OR(A67="",B67="",C67=""),"",ROUND(B67*C67,2))</f>
        <v/>
      </c>
      <c r="E67" s="281" t="n"/>
      <c r="F67" s="273">
        <f>IF(OR(A67="",E67="",C67="",NOT(ISNUMBER($Z$3))),"",ROUND(E67*C67*$Z$3,2))</f>
        <v/>
      </c>
      <c r="G67" s="281" t="n"/>
      <c r="H67" s="273">
        <f>IF(OR(A67="",G67="",C67="",NOT(ISNUMBER($Z$4))),"",ROUND(G67*C67*$Z$4,2))</f>
        <v/>
      </c>
      <c r="I67" s="281" t="n"/>
      <c r="J67" s="273">
        <f>IF(OR(A67="",I67="",C67="",NOT(ISNUMBER($Z$5))),"",ROUND(I67*C67*$Z$5,2))</f>
        <v/>
      </c>
      <c r="K67" s="281" t="n"/>
      <c r="L67" s="273">
        <f>IF(OR(A67="",K67="",C67="",NOT(ISNUMBER($Z$6))),"",ROUND(K67*C67*$Z$6,2))</f>
        <v/>
      </c>
      <c r="M67" s="282">
        <f>IF(OR(E67="",G67=""),"",ROUND(MAX(E67-G67,0),2))</f>
        <v/>
      </c>
      <c r="N67" s="273">
        <f>IF(OR(M67="",C67="",NOT(ISNUMBER($Z$3))),"",ROUND(M67*C67*$Z$3,2))</f>
        <v/>
      </c>
      <c r="O67" s="282">
        <f>IF(OR(G67="",I67=""),"",ROUND(MAX(G67-I67,0),2))</f>
        <v/>
      </c>
      <c r="P67" s="273">
        <f>IF(OR(O67="",C67="",NOT(ISNUMBER($Z$4))),"",ROUND(O67*C67*$Z$4,2))</f>
        <v/>
      </c>
      <c r="Q67" s="282">
        <f>IF(OR(I67="",K67=""),"",ROUND(MAX(I67-K67,0),2))</f>
        <v/>
      </c>
      <c r="R67" s="273">
        <f>IF(OR(Q67="",C67="",NOT(ISNUMBER($Z$5))),"",ROUND(Q67*C67*$Z$5,2))</f>
        <v/>
      </c>
      <c r="S67" s="62" t="n"/>
      <c r="T67" s="283" t="n"/>
      <c r="U67" s="284">
        <f>IF(A67="","",IF(AND(G67&lt;&gt;"",E67&lt;&gt;"",G67&gt;E67),"ALERTA: REM_C2&gt;REM_C1",IF(AND(I67&lt;&gt;"",G67&lt;&gt;"",I67&gt;G67),"ALERTA: REM_C3&gt;REM_C2",IF(AND(K67&lt;&gt;"",I67&lt;&gt;"",K67&gt;I67),"ALERTA: REM_C4&gt;REM_C3","OK"))))</f>
        <v/>
      </c>
      <c r="V67" s="284">
        <f>IF(A67="","",IF(B67="","",IF(OR(B67&lt;0,E67&gt;B67,G67&gt;B67,I67&gt;B67,K67&gt;B67),"ALERTA: QTD_INVALIDA","OK")))</f>
        <v/>
      </c>
      <c r="W67" s="34" t="n"/>
      <c r="X67" s="34" t="n"/>
      <c r="Y67" s="34" t="n"/>
      <c r="Z67" s="27" t="n"/>
      <c r="AA67" s="27" t="n"/>
      <c r="AB67" s="282">
        <f>IF(OR(A67="",E67=""),"",ROUND(B67-E67,2))</f>
        <v/>
      </c>
      <c r="AC67" s="273">
        <f>IF(OR(A67="",E67=""),"",ROUND(D67-E67*C67,2))</f>
        <v/>
      </c>
      <c r="AD67" s="27" t="n"/>
    </row>
    <row r="68">
      <c r="A68" s="278" t="n"/>
      <c r="B68" s="279" t="n"/>
      <c r="C68" s="280" t="n"/>
      <c r="D68" s="273">
        <f>IF(OR(A68="",B68="",C68=""),"",ROUND(B68*C68,2))</f>
        <v/>
      </c>
      <c r="E68" s="281" t="n"/>
      <c r="F68" s="273">
        <f>IF(OR(A68="",E68="",C68="",NOT(ISNUMBER($Z$3))),"",ROUND(E68*C68*$Z$3,2))</f>
        <v/>
      </c>
      <c r="G68" s="281" t="n"/>
      <c r="H68" s="273">
        <f>IF(OR(A68="",G68="",C68="",NOT(ISNUMBER($Z$4))),"",ROUND(G68*C68*$Z$4,2))</f>
        <v/>
      </c>
      <c r="I68" s="281" t="n"/>
      <c r="J68" s="273">
        <f>IF(OR(A68="",I68="",C68="",NOT(ISNUMBER($Z$5))),"",ROUND(I68*C68*$Z$5,2))</f>
        <v/>
      </c>
      <c r="K68" s="281" t="n"/>
      <c r="L68" s="273">
        <f>IF(OR(A68="",K68="",C68="",NOT(ISNUMBER($Z$6))),"",ROUND(K68*C68*$Z$6,2))</f>
        <v/>
      </c>
      <c r="M68" s="282">
        <f>IF(OR(E68="",G68=""),"",ROUND(MAX(E68-G68,0),2))</f>
        <v/>
      </c>
      <c r="N68" s="273">
        <f>IF(OR(M68="",C68="",NOT(ISNUMBER($Z$3))),"",ROUND(M68*C68*$Z$3,2))</f>
        <v/>
      </c>
      <c r="O68" s="282">
        <f>IF(OR(G68="",I68=""),"",ROUND(MAX(G68-I68,0),2))</f>
        <v/>
      </c>
      <c r="P68" s="273">
        <f>IF(OR(O68="",C68="",NOT(ISNUMBER($Z$4))),"",ROUND(O68*C68*$Z$4,2))</f>
        <v/>
      </c>
      <c r="Q68" s="282">
        <f>IF(OR(I68="",K68=""),"",ROUND(MAX(I68-K68,0),2))</f>
        <v/>
      </c>
      <c r="R68" s="273">
        <f>IF(OR(Q68="",C68="",NOT(ISNUMBER($Z$5))),"",ROUND(Q68*C68*$Z$5,2))</f>
        <v/>
      </c>
      <c r="S68" s="62" t="n"/>
      <c r="T68" s="283" t="n"/>
      <c r="U68" s="284">
        <f>IF(A68="","",IF(AND(G68&lt;&gt;"",E68&lt;&gt;"",G68&gt;E68),"ALERTA: REM_C2&gt;REM_C1",IF(AND(I68&lt;&gt;"",G68&lt;&gt;"",I68&gt;G68),"ALERTA: REM_C3&gt;REM_C2",IF(AND(K68&lt;&gt;"",I68&lt;&gt;"",K68&gt;I68),"ALERTA: REM_C4&gt;REM_C3","OK"))))</f>
        <v/>
      </c>
      <c r="V68" s="284">
        <f>IF(A68="","",IF(B68="","",IF(OR(B68&lt;0,E68&gt;B68,G68&gt;B68,I68&gt;B68,K68&gt;B68),"ALERTA: QTD_INVALIDA","OK")))</f>
        <v/>
      </c>
      <c r="W68" s="34" t="n"/>
      <c r="X68" s="34" t="n"/>
      <c r="Y68" s="34" t="n"/>
      <c r="Z68" s="27" t="n"/>
      <c r="AA68" s="27" t="n"/>
      <c r="AB68" s="282">
        <f>IF(OR(A68="",E68=""),"",ROUND(B68-E68,2))</f>
        <v/>
      </c>
      <c r="AC68" s="273">
        <f>IF(OR(A68="",E68=""),"",ROUND(D68-E68*C68,2))</f>
        <v/>
      </c>
      <c r="AD68" s="27" t="n"/>
    </row>
    <row r="69">
      <c r="A69" s="278" t="n"/>
      <c r="B69" s="279" t="n"/>
      <c r="C69" s="280" t="n"/>
      <c r="D69" s="273">
        <f>IF(OR(A69="",B69="",C69=""),"",ROUND(B69*C69,2))</f>
        <v/>
      </c>
      <c r="E69" s="281" t="n"/>
      <c r="F69" s="273">
        <f>IF(OR(A69="",E69="",C69="",NOT(ISNUMBER($Z$3))),"",ROUND(E69*C69*$Z$3,2))</f>
        <v/>
      </c>
      <c r="G69" s="281" t="n"/>
      <c r="H69" s="273">
        <f>IF(OR(A69="",G69="",C69="",NOT(ISNUMBER($Z$4))),"",ROUND(G69*C69*$Z$4,2))</f>
        <v/>
      </c>
      <c r="I69" s="281" t="n"/>
      <c r="J69" s="273">
        <f>IF(OR(A69="",I69="",C69="",NOT(ISNUMBER($Z$5))),"",ROUND(I69*C69*$Z$5,2))</f>
        <v/>
      </c>
      <c r="K69" s="281" t="n"/>
      <c r="L69" s="273">
        <f>IF(OR(A69="",K69="",C69="",NOT(ISNUMBER($Z$6))),"",ROUND(K69*C69*$Z$6,2))</f>
        <v/>
      </c>
      <c r="M69" s="282">
        <f>IF(OR(E69="",G69=""),"",ROUND(MAX(E69-G69,0),2))</f>
        <v/>
      </c>
      <c r="N69" s="273">
        <f>IF(OR(M69="",C69="",NOT(ISNUMBER($Z$3))),"",ROUND(M69*C69*$Z$3,2))</f>
        <v/>
      </c>
      <c r="O69" s="282">
        <f>IF(OR(G69="",I69=""),"",ROUND(MAX(G69-I69,0),2))</f>
        <v/>
      </c>
      <c r="P69" s="273">
        <f>IF(OR(O69="",C69="",NOT(ISNUMBER($Z$4))),"",ROUND(O69*C69*$Z$4,2))</f>
        <v/>
      </c>
      <c r="Q69" s="282">
        <f>IF(OR(I69="",K69=""),"",ROUND(MAX(I69-K69,0),2))</f>
        <v/>
      </c>
      <c r="R69" s="273">
        <f>IF(OR(Q69="",C69="",NOT(ISNUMBER($Z$5))),"",ROUND(Q69*C69*$Z$5,2))</f>
        <v/>
      </c>
      <c r="S69" s="62" t="n"/>
      <c r="T69" s="283" t="n"/>
      <c r="U69" s="284">
        <f>IF(A69="","",IF(AND(G69&lt;&gt;"",E69&lt;&gt;"",G69&gt;E69),"ALERTA: REM_C2&gt;REM_C1",IF(AND(I69&lt;&gt;"",G69&lt;&gt;"",I69&gt;G69),"ALERTA: REM_C3&gt;REM_C2",IF(AND(K69&lt;&gt;"",I69&lt;&gt;"",K69&gt;I69),"ALERTA: REM_C4&gt;REM_C3","OK"))))</f>
        <v/>
      </c>
      <c r="V69" s="284">
        <f>IF(A69="","",IF(B69="","",IF(OR(B69&lt;0,E69&gt;B69,G69&gt;B69,I69&gt;B69,K69&gt;B69),"ALERTA: QTD_INVALIDA","OK")))</f>
        <v/>
      </c>
      <c r="W69" s="34" t="n"/>
      <c r="X69" s="34" t="n"/>
      <c r="Y69" s="34" t="n"/>
      <c r="Z69" s="27" t="n"/>
      <c r="AA69" s="27" t="n"/>
      <c r="AB69" s="282">
        <f>IF(OR(A69="",E69=""),"",ROUND(B69-E69,2))</f>
        <v/>
      </c>
      <c r="AC69" s="273">
        <f>IF(OR(A69="",E69=""),"",ROUND(D69-E69*C69,2))</f>
        <v/>
      </c>
      <c r="AD69" s="27" t="n"/>
    </row>
    <row r="70">
      <c r="A70" s="278" t="n"/>
      <c r="B70" s="279" t="n"/>
      <c r="C70" s="280" t="n"/>
      <c r="D70" s="273">
        <f>IF(OR(A70="",B70="",C70=""),"",ROUND(B70*C70,2))</f>
        <v/>
      </c>
      <c r="E70" s="281" t="n"/>
      <c r="F70" s="273">
        <f>IF(OR(A70="",E70="",C70="",NOT(ISNUMBER($Z$3))),"",ROUND(E70*C70*$Z$3,2))</f>
        <v/>
      </c>
      <c r="G70" s="281" t="n"/>
      <c r="H70" s="273">
        <f>IF(OR(A70="",G70="",C70="",NOT(ISNUMBER($Z$4))),"",ROUND(G70*C70*$Z$4,2))</f>
        <v/>
      </c>
      <c r="I70" s="281" t="n"/>
      <c r="J70" s="273">
        <f>IF(OR(A70="",I70="",C70="",NOT(ISNUMBER($Z$5))),"",ROUND(I70*C70*$Z$5,2))</f>
        <v/>
      </c>
      <c r="K70" s="281" t="n"/>
      <c r="L70" s="273">
        <f>IF(OR(A70="",K70="",C70="",NOT(ISNUMBER($Z$6))),"",ROUND(K70*C70*$Z$6,2))</f>
        <v/>
      </c>
      <c r="M70" s="282">
        <f>IF(OR(E70="",G70=""),"",ROUND(MAX(E70-G70,0),2))</f>
        <v/>
      </c>
      <c r="N70" s="273">
        <f>IF(OR(M70="",C70="",NOT(ISNUMBER($Z$3))),"",ROUND(M70*C70*$Z$3,2))</f>
        <v/>
      </c>
      <c r="O70" s="282">
        <f>IF(OR(G70="",I70=""),"",ROUND(MAX(G70-I70,0),2))</f>
        <v/>
      </c>
      <c r="P70" s="273">
        <f>IF(OR(O70="",C70="",NOT(ISNUMBER($Z$4))),"",ROUND(O70*C70*$Z$4,2))</f>
        <v/>
      </c>
      <c r="Q70" s="282">
        <f>IF(OR(I70="",K70=""),"",ROUND(MAX(I70-K70,0),2))</f>
        <v/>
      </c>
      <c r="R70" s="273">
        <f>IF(OR(Q70="",C70="",NOT(ISNUMBER($Z$5))),"",ROUND(Q70*C70*$Z$5,2))</f>
        <v/>
      </c>
      <c r="S70" s="62" t="n"/>
      <c r="T70" s="283" t="n"/>
      <c r="U70" s="284">
        <f>IF(A70="","",IF(AND(G70&lt;&gt;"",E70&lt;&gt;"",G70&gt;E70),"ALERTA: REM_C2&gt;REM_C1",IF(AND(I70&lt;&gt;"",G70&lt;&gt;"",I70&gt;G70),"ALERTA: REM_C3&gt;REM_C2",IF(AND(K70&lt;&gt;"",I70&lt;&gt;"",K70&gt;I70),"ALERTA: REM_C4&gt;REM_C3","OK"))))</f>
        <v/>
      </c>
      <c r="V70" s="284">
        <f>IF(A70="","",IF(B70="","",IF(OR(B70&lt;0,E70&gt;B70,G70&gt;B70,I70&gt;B70,K70&gt;B70),"ALERTA: QTD_INVALIDA","OK")))</f>
        <v/>
      </c>
      <c r="W70" s="34" t="n"/>
      <c r="X70" s="34" t="n"/>
      <c r="Y70" s="34" t="n"/>
      <c r="Z70" s="27" t="n"/>
      <c r="AA70" s="27" t="n"/>
      <c r="AB70" s="282">
        <f>IF(OR(A70="",E70=""),"",ROUND(B70-E70,2))</f>
        <v/>
      </c>
      <c r="AC70" s="273">
        <f>IF(OR(A70="",E70=""),"",ROUND(D70-E70*C70,2))</f>
        <v/>
      </c>
      <c r="AD70" s="27" t="n"/>
    </row>
    <row r="71">
      <c r="A71" s="278" t="n"/>
      <c r="B71" s="279" t="n"/>
      <c r="C71" s="280" t="n"/>
      <c r="D71" s="273">
        <f>IF(OR(A71="",B71="",C71=""),"",ROUND(B71*C71,2))</f>
        <v/>
      </c>
      <c r="E71" s="281" t="n"/>
      <c r="F71" s="273">
        <f>IF(OR(A71="",E71="",C71="",NOT(ISNUMBER($Z$3))),"",ROUND(E71*C71*$Z$3,2))</f>
        <v/>
      </c>
      <c r="G71" s="281" t="n"/>
      <c r="H71" s="273">
        <f>IF(OR(A71="",G71="",C71="",NOT(ISNUMBER($Z$4))),"",ROUND(G71*C71*$Z$4,2))</f>
        <v/>
      </c>
      <c r="I71" s="281" t="n"/>
      <c r="J71" s="273">
        <f>IF(OR(A71="",I71="",C71="",NOT(ISNUMBER($Z$5))),"",ROUND(I71*C71*$Z$5,2))</f>
        <v/>
      </c>
      <c r="K71" s="281" t="n"/>
      <c r="L71" s="273">
        <f>IF(OR(A71="",K71="",C71="",NOT(ISNUMBER($Z$6))),"",ROUND(K71*C71*$Z$6,2))</f>
        <v/>
      </c>
      <c r="M71" s="282">
        <f>IF(OR(E71="",G71=""),"",ROUND(MAX(E71-G71,0),2))</f>
        <v/>
      </c>
      <c r="N71" s="273">
        <f>IF(OR(M71="",C71="",NOT(ISNUMBER($Z$3))),"",ROUND(M71*C71*$Z$3,2))</f>
        <v/>
      </c>
      <c r="O71" s="282">
        <f>IF(OR(G71="",I71=""),"",ROUND(MAX(G71-I71,0),2))</f>
        <v/>
      </c>
      <c r="P71" s="273">
        <f>IF(OR(O71="",C71="",NOT(ISNUMBER($Z$4))),"",ROUND(O71*C71*$Z$4,2))</f>
        <v/>
      </c>
      <c r="Q71" s="282">
        <f>IF(OR(I71="",K71=""),"",ROUND(MAX(I71-K71,0),2))</f>
        <v/>
      </c>
      <c r="R71" s="273">
        <f>IF(OR(Q71="",C71="",NOT(ISNUMBER($Z$5))),"",ROUND(Q71*C71*$Z$5,2))</f>
        <v/>
      </c>
      <c r="S71" s="62" t="n"/>
      <c r="T71" s="283" t="n"/>
      <c r="U71" s="284">
        <f>IF(A71="","",IF(AND(G71&lt;&gt;"",E71&lt;&gt;"",G71&gt;E71),"ALERTA: REM_C2&gt;REM_C1",IF(AND(I71&lt;&gt;"",G71&lt;&gt;"",I71&gt;G71),"ALERTA: REM_C3&gt;REM_C2",IF(AND(K71&lt;&gt;"",I71&lt;&gt;"",K71&gt;I71),"ALERTA: REM_C4&gt;REM_C3","OK"))))</f>
        <v/>
      </c>
      <c r="V71" s="284">
        <f>IF(A71="","",IF(B71="","",IF(OR(B71&lt;0,E71&gt;B71,G71&gt;B71,I71&gt;B71,K71&gt;B71),"ALERTA: QTD_INVALIDA","OK")))</f>
        <v/>
      </c>
      <c r="W71" s="34" t="n"/>
      <c r="X71" s="34" t="n"/>
      <c r="Y71" s="34" t="n"/>
      <c r="Z71" s="27" t="n"/>
      <c r="AA71" s="27" t="n"/>
      <c r="AB71" s="282">
        <f>IF(OR(A71="",E71=""),"",ROUND(B71-E71,2))</f>
        <v/>
      </c>
      <c r="AC71" s="273">
        <f>IF(OR(A71="",E71=""),"",ROUND(D71-E71*C71,2))</f>
        <v/>
      </c>
      <c r="AD71" s="27" t="n"/>
    </row>
    <row r="72">
      <c r="A72" s="278" t="n"/>
      <c r="B72" s="279" t="n"/>
      <c r="C72" s="280" t="n"/>
      <c r="D72" s="273">
        <f>IF(OR(A72="",B72="",C72=""),"",ROUND(B72*C72,2))</f>
        <v/>
      </c>
      <c r="E72" s="281" t="n"/>
      <c r="F72" s="273">
        <f>IF(OR(A72="",E72="",C72="",NOT(ISNUMBER($Z$3))),"",ROUND(E72*C72*$Z$3,2))</f>
        <v/>
      </c>
      <c r="G72" s="281" t="n"/>
      <c r="H72" s="273">
        <f>IF(OR(A72="",G72="",C72="",NOT(ISNUMBER($Z$4))),"",ROUND(G72*C72*$Z$4,2))</f>
        <v/>
      </c>
      <c r="I72" s="281" t="n"/>
      <c r="J72" s="273">
        <f>IF(OR(A72="",I72="",C72="",NOT(ISNUMBER($Z$5))),"",ROUND(I72*C72*$Z$5,2))</f>
        <v/>
      </c>
      <c r="K72" s="281" t="n"/>
      <c r="L72" s="273">
        <f>IF(OR(A72="",K72="",C72="",NOT(ISNUMBER($Z$6))),"",ROUND(K72*C72*$Z$6,2))</f>
        <v/>
      </c>
      <c r="M72" s="282">
        <f>IF(OR(E72="",G72=""),"",ROUND(MAX(E72-G72,0),2))</f>
        <v/>
      </c>
      <c r="N72" s="273">
        <f>IF(OR(M72="",C72="",NOT(ISNUMBER($Z$3))),"",ROUND(M72*C72*$Z$3,2))</f>
        <v/>
      </c>
      <c r="O72" s="282">
        <f>IF(OR(G72="",I72=""),"",ROUND(MAX(G72-I72,0),2))</f>
        <v/>
      </c>
      <c r="P72" s="273">
        <f>IF(OR(O72="",C72="",NOT(ISNUMBER($Z$4))),"",ROUND(O72*C72*$Z$4,2))</f>
        <v/>
      </c>
      <c r="Q72" s="282">
        <f>IF(OR(I72="",K72=""),"",ROUND(MAX(I72-K72,0),2))</f>
        <v/>
      </c>
      <c r="R72" s="273">
        <f>IF(OR(Q72="",C72="",NOT(ISNUMBER($Z$5))),"",ROUND(Q72*C72*$Z$5,2))</f>
        <v/>
      </c>
      <c r="S72" s="62" t="n"/>
      <c r="T72" s="283" t="n"/>
      <c r="U72" s="284">
        <f>IF(A72="","",IF(AND(G72&lt;&gt;"",E72&lt;&gt;"",G72&gt;E72),"ALERTA: REM_C2&gt;REM_C1",IF(AND(I72&lt;&gt;"",G72&lt;&gt;"",I72&gt;G72),"ALERTA: REM_C3&gt;REM_C2",IF(AND(K72&lt;&gt;"",I72&lt;&gt;"",K72&gt;I72),"ALERTA: REM_C4&gt;REM_C3","OK"))))</f>
        <v/>
      </c>
      <c r="V72" s="284">
        <f>IF(A72="","",IF(B72="","",IF(OR(B72&lt;0,E72&gt;B72,G72&gt;B72,I72&gt;B72,K72&gt;B72),"ALERTA: QTD_INVALIDA","OK")))</f>
        <v/>
      </c>
      <c r="W72" s="34" t="n"/>
      <c r="X72" s="34" t="n"/>
      <c r="Y72" s="34" t="n"/>
      <c r="Z72" s="27" t="n"/>
      <c r="AA72" s="27" t="n"/>
      <c r="AB72" s="282">
        <f>IF(OR(A72="",E72=""),"",ROUND(B72-E72,2))</f>
        <v/>
      </c>
      <c r="AC72" s="273">
        <f>IF(OR(A72="",E72=""),"",ROUND(D72-E72*C72,2))</f>
        <v/>
      </c>
      <c r="AD72" s="27" t="n"/>
    </row>
    <row r="73">
      <c r="A73" s="278" t="n"/>
      <c r="B73" s="279" t="n"/>
      <c r="C73" s="280" t="n"/>
      <c r="D73" s="273">
        <f>IF(OR(A73="",B73="",C73=""),"",ROUND(B73*C73,2))</f>
        <v/>
      </c>
      <c r="E73" s="281" t="n"/>
      <c r="F73" s="273">
        <f>IF(OR(A73="",E73="",C73="",NOT(ISNUMBER($Z$3))),"",ROUND(E73*C73*$Z$3,2))</f>
        <v/>
      </c>
      <c r="G73" s="281" t="n"/>
      <c r="H73" s="273">
        <f>IF(OR(A73="",G73="",C73="",NOT(ISNUMBER($Z$4))),"",ROUND(G73*C73*$Z$4,2))</f>
        <v/>
      </c>
      <c r="I73" s="281" t="n"/>
      <c r="J73" s="273">
        <f>IF(OR(A73="",I73="",C73="",NOT(ISNUMBER($Z$5))),"",ROUND(I73*C73*$Z$5,2))</f>
        <v/>
      </c>
      <c r="K73" s="281" t="n"/>
      <c r="L73" s="273">
        <f>IF(OR(A73="",K73="",C73="",NOT(ISNUMBER($Z$6))),"",ROUND(K73*C73*$Z$6,2))</f>
        <v/>
      </c>
      <c r="M73" s="282">
        <f>IF(OR(E73="",G73=""),"",ROUND(MAX(E73-G73,0),2))</f>
        <v/>
      </c>
      <c r="N73" s="273">
        <f>IF(OR(M73="",C73="",NOT(ISNUMBER($Z$3))),"",ROUND(M73*C73*$Z$3,2))</f>
        <v/>
      </c>
      <c r="O73" s="282">
        <f>IF(OR(G73="",I73=""),"",ROUND(MAX(G73-I73,0),2))</f>
        <v/>
      </c>
      <c r="P73" s="273">
        <f>IF(OR(O73="",C73="",NOT(ISNUMBER($Z$4))),"",ROUND(O73*C73*$Z$4,2))</f>
        <v/>
      </c>
      <c r="Q73" s="282">
        <f>IF(OR(I73="",K73=""),"",ROUND(MAX(I73-K73,0),2))</f>
        <v/>
      </c>
      <c r="R73" s="273">
        <f>IF(OR(Q73="",C73="",NOT(ISNUMBER($Z$5))),"",ROUND(Q73*C73*$Z$5,2))</f>
        <v/>
      </c>
      <c r="S73" s="62" t="n"/>
      <c r="T73" s="283" t="n"/>
      <c r="U73" s="284">
        <f>IF(A73="","",IF(AND(G73&lt;&gt;"",E73&lt;&gt;"",G73&gt;E73),"ALERTA: REM_C2&gt;REM_C1",IF(AND(I73&lt;&gt;"",G73&lt;&gt;"",I73&gt;G73),"ALERTA: REM_C3&gt;REM_C2",IF(AND(K73&lt;&gt;"",I73&lt;&gt;"",K73&gt;I73),"ALERTA: REM_C4&gt;REM_C3","OK"))))</f>
        <v/>
      </c>
      <c r="V73" s="284">
        <f>IF(A73="","",IF(B73="","",IF(OR(B73&lt;0,E73&gt;B73,G73&gt;B73,I73&gt;B73,K73&gt;B73),"ALERTA: QTD_INVALIDA","OK")))</f>
        <v/>
      </c>
      <c r="W73" s="34" t="n"/>
      <c r="X73" s="34" t="n"/>
      <c r="Y73" s="34" t="n"/>
      <c r="Z73" s="27" t="n"/>
      <c r="AA73" s="27" t="n"/>
      <c r="AB73" s="282">
        <f>IF(OR(A73="",E73=""),"",ROUND(B73-E73,2))</f>
        <v/>
      </c>
      <c r="AC73" s="273">
        <f>IF(OR(A73="",E73=""),"",ROUND(D73-E73*C73,2))</f>
        <v/>
      </c>
      <c r="AD73" s="27" t="n"/>
    </row>
    <row r="74">
      <c r="A74" s="278" t="n"/>
      <c r="B74" s="279" t="n"/>
      <c r="C74" s="280" t="n"/>
      <c r="D74" s="273">
        <f>IF(OR(A74="",B74="",C74=""),"",ROUND(B74*C74,2))</f>
        <v/>
      </c>
      <c r="E74" s="281" t="n"/>
      <c r="F74" s="273">
        <f>IF(OR(A74="",E74="",C74="",NOT(ISNUMBER($Z$3))),"",ROUND(E74*C74*$Z$3,2))</f>
        <v/>
      </c>
      <c r="G74" s="281" t="n"/>
      <c r="H74" s="273">
        <f>IF(OR(A74="",G74="",C74="",NOT(ISNUMBER($Z$4))),"",ROUND(G74*C74*$Z$4,2))</f>
        <v/>
      </c>
      <c r="I74" s="281" t="n"/>
      <c r="J74" s="273">
        <f>IF(OR(A74="",I74="",C74="",NOT(ISNUMBER($Z$5))),"",ROUND(I74*C74*$Z$5,2))</f>
        <v/>
      </c>
      <c r="K74" s="281" t="n"/>
      <c r="L74" s="273">
        <f>IF(OR(A74="",K74="",C74="",NOT(ISNUMBER($Z$6))),"",ROUND(K74*C74*$Z$6,2))</f>
        <v/>
      </c>
      <c r="M74" s="282">
        <f>IF(OR(E74="",G74=""),"",ROUND(MAX(E74-G74,0),2))</f>
        <v/>
      </c>
      <c r="N74" s="273">
        <f>IF(OR(M74="",C74="",NOT(ISNUMBER($Z$3))),"",ROUND(M74*C74*$Z$3,2))</f>
        <v/>
      </c>
      <c r="O74" s="282">
        <f>IF(OR(G74="",I74=""),"",ROUND(MAX(G74-I74,0),2))</f>
        <v/>
      </c>
      <c r="P74" s="273">
        <f>IF(OR(O74="",C74="",NOT(ISNUMBER($Z$4))),"",ROUND(O74*C74*$Z$4,2))</f>
        <v/>
      </c>
      <c r="Q74" s="282">
        <f>IF(OR(I74="",K74=""),"",ROUND(MAX(I74-K74,0),2))</f>
        <v/>
      </c>
      <c r="R74" s="273">
        <f>IF(OR(Q74="",C74="",NOT(ISNUMBER($Z$5))),"",ROUND(Q74*C74*$Z$5,2))</f>
        <v/>
      </c>
      <c r="S74" s="62" t="n"/>
      <c r="T74" s="283" t="n"/>
      <c r="U74" s="284">
        <f>IF(A74="","",IF(AND(G74&lt;&gt;"",E74&lt;&gt;"",G74&gt;E74),"ALERTA: REM_C2&gt;REM_C1",IF(AND(I74&lt;&gt;"",G74&lt;&gt;"",I74&gt;G74),"ALERTA: REM_C3&gt;REM_C2",IF(AND(K74&lt;&gt;"",I74&lt;&gt;"",K74&gt;I74),"ALERTA: REM_C4&gt;REM_C3","OK"))))</f>
        <v/>
      </c>
      <c r="V74" s="284">
        <f>IF(A74="","",IF(B74="","",IF(OR(B74&lt;0,E74&gt;B74,G74&gt;B74,I74&gt;B74,K74&gt;B74),"ALERTA: QTD_INVALIDA","OK")))</f>
        <v/>
      </c>
      <c r="W74" s="34" t="n"/>
      <c r="X74" s="34" t="n"/>
      <c r="Y74" s="34" t="n"/>
      <c r="Z74" s="27" t="n"/>
      <c r="AA74" s="27" t="n"/>
      <c r="AB74" s="282">
        <f>IF(OR(A74="",E74=""),"",ROUND(B74-E74,2))</f>
        <v/>
      </c>
      <c r="AC74" s="273">
        <f>IF(OR(A74="",E74=""),"",ROUND(D74-E74*C74,2))</f>
        <v/>
      </c>
      <c r="AD74" s="27" t="n"/>
    </row>
    <row r="75">
      <c r="A75" s="278" t="n"/>
      <c r="B75" s="279" t="n"/>
      <c r="C75" s="280" t="n"/>
      <c r="D75" s="273">
        <f>IF(OR(A75="",B75="",C75=""),"",ROUND(B75*C75,2))</f>
        <v/>
      </c>
      <c r="E75" s="281" t="n"/>
      <c r="F75" s="273">
        <f>IF(OR(A75="",E75="",C75="",NOT(ISNUMBER($Z$3))),"",ROUND(E75*C75*$Z$3,2))</f>
        <v/>
      </c>
      <c r="G75" s="281" t="n"/>
      <c r="H75" s="273">
        <f>IF(OR(A75="",G75="",C75="",NOT(ISNUMBER($Z$4))),"",ROUND(G75*C75*$Z$4,2))</f>
        <v/>
      </c>
      <c r="I75" s="281" t="n"/>
      <c r="J75" s="273">
        <f>IF(OR(A75="",I75="",C75="",NOT(ISNUMBER($Z$5))),"",ROUND(I75*C75*$Z$5,2))</f>
        <v/>
      </c>
      <c r="K75" s="281" t="n"/>
      <c r="L75" s="273">
        <f>IF(OR(A75="",K75="",C75="",NOT(ISNUMBER($Z$6))),"",ROUND(K75*C75*$Z$6,2))</f>
        <v/>
      </c>
      <c r="M75" s="282">
        <f>IF(OR(E75="",G75=""),"",ROUND(MAX(E75-G75,0),2))</f>
        <v/>
      </c>
      <c r="N75" s="273">
        <f>IF(OR(M75="",C75="",NOT(ISNUMBER($Z$3))),"",ROUND(M75*C75*$Z$3,2))</f>
        <v/>
      </c>
      <c r="O75" s="282">
        <f>IF(OR(G75="",I75=""),"",ROUND(MAX(G75-I75,0),2))</f>
        <v/>
      </c>
      <c r="P75" s="273">
        <f>IF(OR(O75="",C75="",NOT(ISNUMBER($Z$4))),"",ROUND(O75*C75*$Z$4,2))</f>
        <v/>
      </c>
      <c r="Q75" s="282">
        <f>IF(OR(I75="",K75=""),"",ROUND(MAX(I75-K75,0),2))</f>
        <v/>
      </c>
      <c r="R75" s="273">
        <f>IF(OR(Q75="",C75="",NOT(ISNUMBER($Z$5))),"",ROUND(Q75*C75*$Z$5,2))</f>
        <v/>
      </c>
      <c r="S75" s="62" t="n"/>
      <c r="T75" s="283" t="n"/>
      <c r="U75" s="284">
        <f>IF(A75="","",IF(AND(G75&lt;&gt;"",E75&lt;&gt;"",G75&gt;E75),"ALERTA: REM_C2&gt;REM_C1",IF(AND(I75&lt;&gt;"",G75&lt;&gt;"",I75&gt;G75),"ALERTA: REM_C3&gt;REM_C2",IF(AND(K75&lt;&gt;"",I75&lt;&gt;"",K75&gt;I75),"ALERTA: REM_C4&gt;REM_C3","OK"))))</f>
        <v/>
      </c>
      <c r="V75" s="284">
        <f>IF(A75="","",IF(B75="","",IF(OR(B75&lt;0,E75&gt;B75,G75&gt;B75,I75&gt;B75,K75&gt;B75),"ALERTA: QTD_INVALIDA","OK")))</f>
        <v/>
      </c>
      <c r="W75" s="34" t="n"/>
      <c r="X75" s="34" t="n"/>
      <c r="Y75" s="34" t="n"/>
      <c r="Z75" s="27" t="n"/>
      <c r="AA75" s="27" t="n"/>
      <c r="AB75" s="282">
        <f>IF(OR(A75="",E75=""),"",ROUND(B75-E75,2))</f>
        <v/>
      </c>
      <c r="AC75" s="273">
        <f>IF(OR(A75="",E75=""),"",ROUND(D75-E75*C75,2))</f>
        <v/>
      </c>
      <c r="AD75" s="27" t="n"/>
    </row>
    <row r="76">
      <c r="A76" s="278" t="n"/>
      <c r="B76" s="279" t="n"/>
      <c r="C76" s="280" t="n"/>
      <c r="D76" s="273">
        <f>IF(OR(A76="",B76="",C76=""),"",ROUND(B76*C76,2))</f>
        <v/>
      </c>
      <c r="E76" s="281" t="n"/>
      <c r="F76" s="273">
        <f>IF(OR(A76="",E76="",C76="",NOT(ISNUMBER($Z$3))),"",ROUND(E76*C76*$Z$3,2))</f>
        <v/>
      </c>
      <c r="G76" s="281" t="n"/>
      <c r="H76" s="273">
        <f>IF(OR(A76="",G76="",C76="",NOT(ISNUMBER($Z$4))),"",ROUND(G76*C76*$Z$4,2))</f>
        <v/>
      </c>
      <c r="I76" s="281" t="n"/>
      <c r="J76" s="273">
        <f>IF(OR(A76="",I76="",C76="",NOT(ISNUMBER($Z$5))),"",ROUND(I76*C76*$Z$5,2))</f>
        <v/>
      </c>
      <c r="K76" s="281" t="n"/>
      <c r="L76" s="273">
        <f>IF(OR(A76="",K76="",C76="",NOT(ISNUMBER($Z$6))),"",ROUND(K76*C76*$Z$6,2))</f>
        <v/>
      </c>
      <c r="M76" s="282">
        <f>IF(OR(E76="",G76=""),"",ROUND(MAX(E76-G76,0),2))</f>
        <v/>
      </c>
      <c r="N76" s="273">
        <f>IF(OR(M76="",C76="",NOT(ISNUMBER($Z$3))),"",ROUND(M76*C76*$Z$3,2))</f>
        <v/>
      </c>
      <c r="O76" s="282">
        <f>IF(OR(G76="",I76=""),"",ROUND(MAX(G76-I76,0),2))</f>
        <v/>
      </c>
      <c r="P76" s="273">
        <f>IF(OR(O76="",C76="",NOT(ISNUMBER($Z$4))),"",ROUND(O76*C76*$Z$4,2))</f>
        <v/>
      </c>
      <c r="Q76" s="282">
        <f>IF(OR(I76="",K76=""),"",ROUND(MAX(I76-K76,0),2))</f>
        <v/>
      </c>
      <c r="R76" s="273">
        <f>IF(OR(Q76="",C76="",NOT(ISNUMBER($Z$5))),"",ROUND(Q76*C76*$Z$5,2))</f>
        <v/>
      </c>
      <c r="S76" s="62" t="n"/>
      <c r="T76" s="283" t="n"/>
      <c r="U76" s="284">
        <f>IF(A76="","",IF(AND(G76&lt;&gt;"",E76&lt;&gt;"",G76&gt;E76),"ALERTA: REM_C2&gt;REM_C1",IF(AND(I76&lt;&gt;"",G76&lt;&gt;"",I76&gt;G76),"ALERTA: REM_C3&gt;REM_C2",IF(AND(K76&lt;&gt;"",I76&lt;&gt;"",K76&gt;I76),"ALERTA: REM_C4&gt;REM_C3","OK"))))</f>
        <v/>
      </c>
      <c r="V76" s="284">
        <f>IF(A76="","",IF(B76="","",IF(OR(B76&lt;0,E76&gt;B76,G76&gt;B76,I76&gt;B76,K76&gt;B76),"ALERTA: QTD_INVALIDA","OK")))</f>
        <v/>
      </c>
      <c r="W76" s="34" t="n"/>
      <c r="X76" s="34" t="n"/>
      <c r="Y76" s="34" t="n"/>
      <c r="Z76" s="27" t="n"/>
      <c r="AA76" s="27" t="n"/>
      <c r="AB76" s="282">
        <f>IF(OR(A76="",E76=""),"",ROUND(B76-E76,2))</f>
        <v/>
      </c>
      <c r="AC76" s="273">
        <f>IF(OR(A76="",E76=""),"",ROUND(D76-E76*C76,2))</f>
        <v/>
      </c>
      <c r="AD76" s="27" t="n"/>
    </row>
    <row r="77">
      <c r="A77" s="278" t="n"/>
      <c r="B77" s="279" t="n"/>
      <c r="C77" s="280" t="n"/>
      <c r="D77" s="273">
        <f>IF(OR(A77="",B77="",C77=""),"",ROUND(B77*C77,2))</f>
        <v/>
      </c>
      <c r="E77" s="281" t="n"/>
      <c r="F77" s="273">
        <f>IF(OR(A77="",E77="",C77="",NOT(ISNUMBER($Z$3))),"",ROUND(E77*C77*$Z$3,2))</f>
        <v/>
      </c>
      <c r="G77" s="281" t="n"/>
      <c r="H77" s="273">
        <f>IF(OR(A77="",G77="",C77="",NOT(ISNUMBER($Z$4))),"",ROUND(G77*C77*$Z$4,2))</f>
        <v/>
      </c>
      <c r="I77" s="281" t="n"/>
      <c r="J77" s="273">
        <f>IF(OR(A77="",I77="",C77="",NOT(ISNUMBER($Z$5))),"",ROUND(I77*C77*$Z$5,2))</f>
        <v/>
      </c>
      <c r="K77" s="281" t="n"/>
      <c r="L77" s="273">
        <f>IF(OR(A77="",K77="",C77="",NOT(ISNUMBER($Z$6))),"",ROUND(K77*C77*$Z$6,2))</f>
        <v/>
      </c>
      <c r="M77" s="282">
        <f>IF(OR(E77="",G77=""),"",ROUND(MAX(E77-G77,0),2))</f>
        <v/>
      </c>
      <c r="N77" s="273">
        <f>IF(OR(M77="",C77="",NOT(ISNUMBER($Z$3))),"",ROUND(M77*C77*$Z$3,2))</f>
        <v/>
      </c>
      <c r="O77" s="282">
        <f>IF(OR(G77="",I77=""),"",ROUND(MAX(G77-I77,0),2))</f>
        <v/>
      </c>
      <c r="P77" s="273">
        <f>IF(OR(O77="",C77="",NOT(ISNUMBER($Z$4))),"",ROUND(O77*C77*$Z$4,2))</f>
        <v/>
      </c>
      <c r="Q77" s="282">
        <f>IF(OR(I77="",K77=""),"",ROUND(MAX(I77-K77,0),2))</f>
        <v/>
      </c>
      <c r="R77" s="273">
        <f>IF(OR(Q77="",C77="",NOT(ISNUMBER($Z$5))),"",ROUND(Q77*C77*$Z$5,2))</f>
        <v/>
      </c>
      <c r="S77" s="62" t="n"/>
      <c r="T77" s="283" t="n"/>
      <c r="U77" s="284">
        <f>IF(A77="","",IF(AND(G77&lt;&gt;"",E77&lt;&gt;"",G77&gt;E77),"ALERTA: REM_C2&gt;REM_C1",IF(AND(I77&lt;&gt;"",G77&lt;&gt;"",I77&gt;G77),"ALERTA: REM_C3&gt;REM_C2",IF(AND(K77&lt;&gt;"",I77&lt;&gt;"",K77&gt;I77),"ALERTA: REM_C4&gt;REM_C3","OK"))))</f>
        <v/>
      </c>
      <c r="V77" s="284">
        <f>IF(A77="","",IF(B77="","",IF(OR(B77&lt;0,E77&gt;B77,G77&gt;B77,I77&gt;B77,K77&gt;B77),"ALERTA: QTD_INVALIDA","OK")))</f>
        <v/>
      </c>
      <c r="W77" s="34" t="n"/>
      <c r="X77" s="34" t="n"/>
      <c r="Y77" s="34" t="n"/>
      <c r="Z77" s="27" t="n"/>
      <c r="AA77" s="27" t="n"/>
      <c r="AB77" s="282">
        <f>IF(OR(A77="",E77=""),"",ROUND(B77-E77,2))</f>
        <v/>
      </c>
      <c r="AC77" s="273">
        <f>IF(OR(A77="",E77=""),"",ROUND(D77-E77*C77,2))</f>
        <v/>
      </c>
      <c r="AD77" s="27" t="n"/>
    </row>
    <row r="78">
      <c r="A78" s="278" t="n"/>
      <c r="B78" s="279" t="n"/>
      <c r="C78" s="280" t="n"/>
      <c r="D78" s="273">
        <f>IF(OR(A78="",B78="",C78=""),"",ROUND(B78*C78,2))</f>
        <v/>
      </c>
      <c r="E78" s="281" t="n"/>
      <c r="F78" s="273">
        <f>IF(OR(A78="",E78="",C78="",NOT(ISNUMBER($Z$3))),"",ROUND(E78*C78*$Z$3,2))</f>
        <v/>
      </c>
      <c r="G78" s="281" t="n"/>
      <c r="H78" s="273">
        <f>IF(OR(A78="",G78="",C78="",NOT(ISNUMBER($Z$4))),"",ROUND(G78*C78*$Z$4,2))</f>
        <v/>
      </c>
      <c r="I78" s="281" t="n"/>
      <c r="J78" s="273">
        <f>IF(OR(A78="",I78="",C78="",NOT(ISNUMBER($Z$5))),"",ROUND(I78*C78*$Z$5,2))</f>
        <v/>
      </c>
      <c r="K78" s="281" t="n"/>
      <c r="L78" s="273">
        <f>IF(OR(A78="",K78="",C78="",NOT(ISNUMBER($Z$6))),"",ROUND(K78*C78*$Z$6,2))</f>
        <v/>
      </c>
      <c r="M78" s="282">
        <f>IF(OR(E78="",G78=""),"",ROUND(MAX(E78-G78,0),2))</f>
        <v/>
      </c>
      <c r="N78" s="273">
        <f>IF(OR(M78="",C78="",NOT(ISNUMBER($Z$3))),"",ROUND(M78*C78*$Z$3,2))</f>
        <v/>
      </c>
      <c r="O78" s="282">
        <f>IF(OR(G78="",I78=""),"",ROUND(MAX(G78-I78,0),2))</f>
        <v/>
      </c>
      <c r="P78" s="273">
        <f>IF(OR(O78="",C78="",NOT(ISNUMBER($Z$4))),"",ROUND(O78*C78*$Z$4,2))</f>
        <v/>
      </c>
      <c r="Q78" s="282">
        <f>IF(OR(I78="",K78=""),"",ROUND(MAX(I78-K78,0),2))</f>
        <v/>
      </c>
      <c r="R78" s="273">
        <f>IF(OR(Q78="",C78="",NOT(ISNUMBER($Z$5))),"",ROUND(Q78*C78*$Z$5,2))</f>
        <v/>
      </c>
      <c r="S78" s="62" t="n"/>
      <c r="T78" s="283" t="n"/>
      <c r="U78" s="284">
        <f>IF(A78="","",IF(AND(G78&lt;&gt;"",E78&lt;&gt;"",G78&gt;E78),"ALERTA: REM_C2&gt;REM_C1",IF(AND(I78&lt;&gt;"",G78&lt;&gt;"",I78&gt;G78),"ALERTA: REM_C3&gt;REM_C2",IF(AND(K78&lt;&gt;"",I78&lt;&gt;"",K78&gt;I78),"ALERTA: REM_C4&gt;REM_C3","OK"))))</f>
        <v/>
      </c>
      <c r="V78" s="284">
        <f>IF(A78="","",IF(B78="","",IF(OR(B78&lt;0,E78&gt;B78,G78&gt;B78,I78&gt;B78,K78&gt;B78),"ALERTA: QTD_INVALIDA","OK")))</f>
        <v/>
      </c>
      <c r="W78" s="34" t="n"/>
      <c r="X78" s="34" t="n"/>
      <c r="Y78" s="34" t="n"/>
      <c r="Z78" s="27" t="n"/>
      <c r="AA78" s="27" t="n"/>
      <c r="AB78" s="282">
        <f>IF(OR(A78="",E78=""),"",ROUND(B78-E78,2))</f>
        <v/>
      </c>
      <c r="AC78" s="273">
        <f>IF(OR(A78="",E78=""),"",ROUND(D78-E78*C78,2))</f>
        <v/>
      </c>
      <c r="AD78" s="27" t="n"/>
    </row>
    <row r="79">
      <c r="A79" s="278" t="n"/>
      <c r="B79" s="279" t="n"/>
      <c r="C79" s="280" t="n"/>
      <c r="D79" s="273">
        <f>IF(OR(A79="",B79="",C79=""),"",ROUND(B79*C79,2))</f>
        <v/>
      </c>
      <c r="E79" s="281" t="n"/>
      <c r="F79" s="273">
        <f>IF(OR(A79="",E79="",C79="",NOT(ISNUMBER($Z$3))),"",ROUND(E79*C79*$Z$3,2))</f>
        <v/>
      </c>
      <c r="G79" s="281" t="n"/>
      <c r="H79" s="273">
        <f>IF(OR(A79="",G79="",C79="",NOT(ISNUMBER($Z$4))),"",ROUND(G79*C79*$Z$4,2))</f>
        <v/>
      </c>
      <c r="I79" s="281" t="n"/>
      <c r="J79" s="273">
        <f>IF(OR(A79="",I79="",C79="",NOT(ISNUMBER($Z$5))),"",ROUND(I79*C79*$Z$5,2))</f>
        <v/>
      </c>
      <c r="K79" s="281" t="n"/>
      <c r="L79" s="273">
        <f>IF(OR(A79="",K79="",C79="",NOT(ISNUMBER($Z$6))),"",ROUND(K79*C79*$Z$6,2))</f>
        <v/>
      </c>
      <c r="M79" s="282">
        <f>IF(OR(E79="",G79=""),"",ROUND(MAX(E79-G79,0),2))</f>
        <v/>
      </c>
      <c r="N79" s="273">
        <f>IF(OR(M79="",C79="",NOT(ISNUMBER($Z$3))),"",ROUND(M79*C79*$Z$3,2))</f>
        <v/>
      </c>
      <c r="O79" s="282">
        <f>IF(OR(G79="",I79=""),"",ROUND(MAX(G79-I79,0),2))</f>
        <v/>
      </c>
      <c r="P79" s="273">
        <f>IF(OR(O79="",C79="",NOT(ISNUMBER($Z$4))),"",ROUND(O79*C79*$Z$4,2))</f>
        <v/>
      </c>
      <c r="Q79" s="282">
        <f>IF(OR(I79="",K79=""),"",ROUND(MAX(I79-K79,0),2))</f>
        <v/>
      </c>
      <c r="R79" s="273">
        <f>IF(OR(Q79="",C79="",NOT(ISNUMBER($Z$5))),"",ROUND(Q79*C79*$Z$5,2))</f>
        <v/>
      </c>
      <c r="S79" s="62" t="n"/>
      <c r="T79" s="283" t="n"/>
      <c r="U79" s="284">
        <f>IF(A79="","",IF(AND(G79&lt;&gt;"",E79&lt;&gt;"",G79&gt;E79),"ALERTA: REM_C2&gt;REM_C1",IF(AND(I79&lt;&gt;"",G79&lt;&gt;"",I79&gt;G79),"ALERTA: REM_C3&gt;REM_C2",IF(AND(K79&lt;&gt;"",I79&lt;&gt;"",K79&gt;I79),"ALERTA: REM_C4&gt;REM_C3","OK"))))</f>
        <v/>
      </c>
      <c r="V79" s="284">
        <f>IF(A79="","",IF(B79="","",IF(OR(B79&lt;0,E79&gt;B79,G79&gt;B79,I79&gt;B79,K79&gt;B79),"ALERTA: QTD_INVALIDA","OK")))</f>
        <v/>
      </c>
      <c r="W79" s="34" t="n"/>
      <c r="X79" s="34" t="n"/>
      <c r="Y79" s="34" t="n"/>
      <c r="Z79" s="27" t="n"/>
      <c r="AA79" s="27" t="n"/>
      <c r="AB79" s="282">
        <f>IF(OR(A79="",E79=""),"",ROUND(B79-E79,2))</f>
        <v/>
      </c>
      <c r="AC79" s="273">
        <f>IF(OR(A79="",E79=""),"",ROUND(D79-E79*C79,2))</f>
        <v/>
      </c>
      <c r="AD79" s="27" t="n"/>
    </row>
    <row r="80">
      <c r="A80" s="278" t="n"/>
      <c r="B80" s="279" t="n"/>
      <c r="C80" s="280" t="n"/>
      <c r="D80" s="273">
        <f>IF(OR(A80="",B80="",C80=""),"",ROUND(B80*C80,2))</f>
        <v/>
      </c>
      <c r="E80" s="281" t="n"/>
      <c r="F80" s="273">
        <f>IF(OR(A80="",E80="",C80="",NOT(ISNUMBER($Z$3))),"",ROUND(E80*C80*$Z$3,2))</f>
        <v/>
      </c>
      <c r="G80" s="281" t="n"/>
      <c r="H80" s="273">
        <f>IF(OR(A80="",G80="",C80="",NOT(ISNUMBER($Z$4))),"",ROUND(G80*C80*$Z$4,2))</f>
        <v/>
      </c>
      <c r="I80" s="281" t="n"/>
      <c r="J80" s="273">
        <f>IF(OR(A80="",I80="",C80="",NOT(ISNUMBER($Z$5))),"",ROUND(I80*C80*$Z$5,2))</f>
        <v/>
      </c>
      <c r="K80" s="281" t="n"/>
      <c r="L80" s="273">
        <f>IF(OR(A80="",K80="",C80="",NOT(ISNUMBER($Z$6))),"",ROUND(K80*C80*$Z$6,2))</f>
        <v/>
      </c>
      <c r="M80" s="282">
        <f>IF(OR(E80="",G80=""),"",ROUND(MAX(E80-G80,0),2))</f>
        <v/>
      </c>
      <c r="N80" s="273">
        <f>IF(OR(M80="",C80="",NOT(ISNUMBER($Z$3))),"",ROUND(M80*C80*$Z$3,2))</f>
        <v/>
      </c>
      <c r="O80" s="282">
        <f>IF(OR(G80="",I80=""),"",ROUND(MAX(G80-I80,0),2))</f>
        <v/>
      </c>
      <c r="P80" s="273">
        <f>IF(OR(O80="",C80="",NOT(ISNUMBER($Z$4))),"",ROUND(O80*C80*$Z$4,2))</f>
        <v/>
      </c>
      <c r="Q80" s="282">
        <f>IF(OR(I80="",K80=""),"",ROUND(MAX(I80-K80,0),2))</f>
        <v/>
      </c>
      <c r="R80" s="273">
        <f>IF(OR(Q80="",C80="",NOT(ISNUMBER($Z$5))),"",ROUND(Q80*C80*$Z$5,2))</f>
        <v/>
      </c>
      <c r="S80" s="62" t="n"/>
      <c r="T80" s="283" t="n"/>
      <c r="U80" s="284">
        <f>IF(A80="","",IF(AND(G80&lt;&gt;"",E80&lt;&gt;"",G80&gt;E80),"ALERTA: REM_C2&gt;REM_C1",IF(AND(I80&lt;&gt;"",G80&lt;&gt;"",I80&gt;G80),"ALERTA: REM_C3&gt;REM_C2",IF(AND(K80&lt;&gt;"",I80&lt;&gt;"",K80&gt;I80),"ALERTA: REM_C4&gt;REM_C3","OK"))))</f>
        <v/>
      </c>
      <c r="V80" s="284">
        <f>IF(A80="","",IF(B80="","",IF(OR(B80&lt;0,E80&gt;B80,G80&gt;B80,I80&gt;B80,K80&gt;B80),"ALERTA: QTD_INVALIDA","OK")))</f>
        <v/>
      </c>
      <c r="W80" s="34" t="n"/>
      <c r="X80" s="34" t="n"/>
      <c r="Y80" s="34" t="n"/>
      <c r="Z80" s="27" t="n"/>
      <c r="AA80" s="27" t="n"/>
      <c r="AB80" s="282">
        <f>IF(OR(A80="",E80=""),"",ROUND(B80-E80,2))</f>
        <v/>
      </c>
      <c r="AC80" s="273">
        <f>IF(OR(A80="",E80=""),"",ROUND(D80-E80*C80,2))</f>
        <v/>
      </c>
      <c r="AD80" s="27" t="n"/>
    </row>
    <row r="81">
      <c r="A81" s="278" t="n"/>
      <c r="B81" s="279" t="n"/>
      <c r="C81" s="280" t="n"/>
      <c r="D81" s="273">
        <f>IF(OR(A81="",B81="",C81=""),"",ROUND(B81*C81,2))</f>
        <v/>
      </c>
      <c r="E81" s="281" t="n"/>
      <c r="F81" s="273">
        <f>IF(OR(A81="",E81="",C81="",NOT(ISNUMBER($Z$3))),"",ROUND(E81*C81*$Z$3,2))</f>
        <v/>
      </c>
      <c r="G81" s="281" t="n"/>
      <c r="H81" s="273">
        <f>IF(OR(A81="",G81="",C81="",NOT(ISNUMBER($Z$4))),"",ROUND(G81*C81*$Z$4,2))</f>
        <v/>
      </c>
      <c r="I81" s="281" t="n"/>
      <c r="J81" s="273">
        <f>IF(OR(A81="",I81="",C81="",NOT(ISNUMBER($Z$5))),"",ROUND(I81*C81*$Z$5,2))</f>
        <v/>
      </c>
      <c r="K81" s="281" t="n"/>
      <c r="L81" s="273">
        <f>IF(OR(A81="",K81="",C81="",NOT(ISNUMBER($Z$6))),"",ROUND(K81*C81*$Z$6,2))</f>
        <v/>
      </c>
      <c r="M81" s="282">
        <f>IF(OR(E81="",G81=""),"",ROUND(MAX(E81-G81,0),2))</f>
        <v/>
      </c>
      <c r="N81" s="273">
        <f>IF(OR(M81="",C81="",NOT(ISNUMBER($Z$3))),"",ROUND(M81*C81*$Z$3,2))</f>
        <v/>
      </c>
      <c r="O81" s="282">
        <f>IF(OR(G81="",I81=""),"",ROUND(MAX(G81-I81,0),2))</f>
        <v/>
      </c>
      <c r="P81" s="273">
        <f>IF(OR(O81="",C81="",NOT(ISNUMBER($Z$4))),"",ROUND(O81*C81*$Z$4,2))</f>
        <v/>
      </c>
      <c r="Q81" s="282">
        <f>IF(OR(I81="",K81=""),"",ROUND(MAX(I81-K81,0),2))</f>
        <v/>
      </c>
      <c r="R81" s="273">
        <f>IF(OR(Q81="",C81="",NOT(ISNUMBER($Z$5))),"",ROUND(Q81*C81*$Z$5,2))</f>
        <v/>
      </c>
      <c r="S81" s="62" t="n"/>
      <c r="T81" s="283" t="n"/>
      <c r="U81" s="284">
        <f>IF(A81="","",IF(AND(G81&lt;&gt;"",E81&lt;&gt;"",G81&gt;E81),"ALERTA: REM_C2&gt;REM_C1",IF(AND(I81&lt;&gt;"",G81&lt;&gt;"",I81&gt;G81),"ALERTA: REM_C3&gt;REM_C2",IF(AND(K81&lt;&gt;"",I81&lt;&gt;"",K81&gt;I81),"ALERTA: REM_C4&gt;REM_C3","OK"))))</f>
        <v/>
      </c>
      <c r="V81" s="284">
        <f>IF(A81="","",IF(B81="","",IF(OR(B81&lt;0,E81&gt;B81,G81&gt;B81,I81&gt;B81,K81&gt;B81),"ALERTA: QTD_INVALIDA","OK")))</f>
        <v/>
      </c>
      <c r="W81" s="34" t="n"/>
      <c r="X81" s="34" t="n"/>
      <c r="Y81" s="34" t="n"/>
      <c r="Z81" s="27" t="n"/>
      <c r="AA81" s="27" t="n"/>
      <c r="AB81" s="282">
        <f>IF(OR(A81="",E81=""),"",ROUND(B81-E81,2))</f>
        <v/>
      </c>
      <c r="AC81" s="273">
        <f>IF(OR(A81="",E81=""),"",ROUND(D81-E81*C81,2))</f>
        <v/>
      </c>
      <c r="AD81" s="27" t="n"/>
    </row>
    <row r="82">
      <c r="A82" s="278" t="n"/>
      <c r="B82" s="279" t="n"/>
      <c r="C82" s="280" t="n"/>
      <c r="D82" s="273">
        <f>IF(OR(A82="",B82="",C82=""),"",ROUND(B82*C82,2))</f>
        <v/>
      </c>
      <c r="E82" s="281" t="n"/>
      <c r="F82" s="273">
        <f>IF(OR(A82="",E82="",C82="",NOT(ISNUMBER($Z$3))),"",ROUND(E82*C82*$Z$3,2))</f>
        <v/>
      </c>
      <c r="G82" s="281" t="n"/>
      <c r="H82" s="273">
        <f>IF(OR(A82="",G82="",C82="",NOT(ISNUMBER($Z$4))),"",ROUND(G82*C82*$Z$4,2))</f>
        <v/>
      </c>
      <c r="I82" s="281" t="n"/>
      <c r="J82" s="273">
        <f>IF(OR(A82="",I82="",C82="",NOT(ISNUMBER($Z$5))),"",ROUND(I82*C82*$Z$5,2))</f>
        <v/>
      </c>
      <c r="K82" s="281" t="n"/>
      <c r="L82" s="273">
        <f>IF(OR(A82="",K82="",C82="",NOT(ISNUMBER($Z$6))),"",ROUND(K82*C82*$Z$6,2))</f>
        <v/>
      </c>
      <c r="M82" s="282">
        <f>IF(OR(E82="",G82=""),"",ROUND(MAX(E82-G82,0),2))</f>
        <v/>
      </c>
      <c r="N82" s="273">
        <f>IF(OR(M82="",C82="",NOT(ISNUMBER($Z$3))),"",ROUND(M82*C82*$Z$3,2))</f>
        <v/>
      </c>
      <c r="O82" s="282">
        <f>IF(OR(G82="",I82=""),"",ROUND(MAX(G82-I82,0),2))</f>
        <v/>
      </c>
      <c r="P82" s="273">
        <f>IF(OR(O82="",C82="",NOT(ISNUMBER($Z$4))),"",ROUND(O82*C82*$Z$4,2))</f>
        <v/>
      </c>
      <c r="Q82" s="282">
        <f>IF(OR(I82="",K82=""),"",ROUND(MAX(I82-K82,0),2))</f>
        <v/>
      </c>
      <c r="R82" s="273">
        <f>IF(OR(Q82="",C82="",NOT(ISNUMBER($Z$5))),"",ROUND(Q82*C82*$Z$5,2))</f>
        <v/>
      </c>
      <c r="S82" s="62" t="n"/>
      <c r="T82" s="283" t="n"/>
      <c r="U82" s="284">
        <f>IF(A82="","",IF(AND(G82&lt;&gt;"",E82&lt;&gt;"",G82&gt;E82),"ALERTA: REM_C2&gt;REM_C1",IF(AND(I82&lt;&gt;"",G82&lt;&gt;"",I82&gt;G82),"ALERTA: REM_C3&gt;REM_C2",IF(AND(K82&lt;&gt;"",I82&lt;&gt;"",K82&gt;I82),"ALERTA: REM_C4&gt;REM_C3","OK"))))</f>
        <v/>
      </c>
      <c r="V82" s="284">
        <f>IF(A82="","",IF(B82="","",IF(OR(B82&lt;0,E82&gt;B82,G82&gt;B82,I82&gt;B82,K82&gt;B82),"ALERTA: QTD_INVALIDA","OK")))</f>
        <v/>
      </c>
      <c r="W82" s="34" t="n"/>
      <c r="X82" s="34" t="n"/>
      <c r="Y82" s="34" t="n"/>
      <c r="Z82" s="27" t="n"/>
      <c r="AA82" s="27" t="n"/>
      <c r="AB82" s="282">
        <f>IF(OR(A82="",E82=""),"",ROUND(B82-E82,2))</f>
        <v/>
      </c>
      <c r="AC82" s="273">
        <f>IF(OR(A82="",E82=""),"",ROUND(D82-E82*C82,2))</f>
        <v/>
      </c>
      <c r="AD82" s="27" t="n"/>
    </row>
    <row r="83">
      <c r="A83" s="278" t="n"/>
      <c r="B83" s="279" t="n"/>
      <c r="C83" s="280" t="n"/>
      <c r="D83" s="273">
        <f>IF(OR(A83="",B83="",C83=""),"",ROUND(B83*C83,2))</f>
        <v/>
      </c>
      <c r="E83" s="281" t="n"/>
      <c r="F83" s="273">
        <f>IF(OR(A83="",E83="",C83="",NOT(ISNUMBER($Z$3))),"",ROUND(E83*C83*$Z$3,2))</f>
        <v/>
      </c>
      <c r="G83" s="281" t="n"/>
      <c r="H83" s="273">
        <f>IF(OR(A83="",G83="",C83="",NOT(ISNUMBER($Z$4))),"",ROUND(G83*C83*$Z$4,2))</f>
        <v/>
      </c>
      <c r="I83" s="281" t="n"/>
      <c r="J83" s="273">
        <f>IF(OR(A83="",I83="",C83="",NOT(ISNUMBER($Z$5))),"",ROUND(I83*C83*$Z$5,2))</f>
        <v/>
      </c>
      <c r="K83" s="281" t="n"/>
      <c r="L83" s="273">
        <f>IF(OR(A83="",K83="",C83="",NOT(ISNUMBER($Z$6))),"",ROUND(K83*C83*$Z$6,2))</f>
        <v/>
      </c>
      <c r="M83" s="282">
        <f>IF(OR(E83="",G83=""),"",ROUND(MAX(E83-G83,0),2))</f>
        <v/>
      </c>
      <c r="N83" s="273">
        <f>IF(OR(M83="",C83="",NOT(ISNUMBER($Z$3))),"",ROUND(M83*C83*$Z$3,2))</f>
        <v/>
      </c>
      <c r="O83" s="282">
        <f>IF(OR(G83="",I83=""),"",ROUND(MAX(G83-I83,0),2))</f>
        <v/>
      </c>
      <c r="P83" s="273">
        <f>IF(OR(O83="",C83="",NOT(ISNUMBER($Z$4))),"",ROUND(O83*C83*$Z$4,2))</f>
        <v/>
      </c>
      <c r="Q83" s="282">
        <f>IF(OR(I83="",K83=""),"",ROUND(MAX(I83-K83,0),2))</f>
        <v/>
      </c>
      <c r="R83" s="273">
        <f>IF(OR(Q83="",C83="",NOT(ISNUMBER($Z$5))),"",ROUND(Q83*C83*$Z$5,2))</f>
        <v/>
      </c>
      <c r="S83" s="62" t="n"/>
      <c r="T83" s="283" t="n"/>
      <c r="U83" s="284">
        <f>IF(A83="","",IF(AND(G83&lt;&gt;"",E83&lt;&gt;"",G83&gt;E83),"ALERTA: REM_C2&gt;REM_C1",IF(AND(I83&lt;&gt;"",G83&lt;&gt;"",I83&gt;G83),"ALERTA: REM_C3&gt;REM_C2",IF(AND(K83&lt;&gt;"",I83&lt;&gt;"",K83&gt;I83),"ALERTA: REM_C4&gt;REM_C3","OK"))))</f>
        <v/>
      </c>
      <c r="V83" s="284">
        <f>IF(A83="","",IF(B83="","",IF(OR(B83&lt;0,E83&gt;B83,G83&gt;B83,I83&gt;B83,K83&gt;B83),"ALERTA: QTD_INVALIDA","OK")))</f>
        <v/>
      </c>
      <c r="W83" s="34" t="n"/>
      <c r="X83" s="34" t="n"/>
      <c r="Y83" s="34" t="n"/>
      <c r="Z83" s="27" t="n"/>
      <c r="AA83" s="27" t="n"/>
      <c r="AB83" s="282">
        <f>IF(OR(A83="",E83=""),"",ROUND(B83-E83,2))</f>
        <v/>
      </c>
      <c r="AC83" s="273">
        <f>IF(OR(A83="",E83=""),"",ROUND(D83-E83*C83,2))</f>
        <v/>
      </c>
      <c r="AD83" s="27" t="n"/>
    </row>
    <row r="84">
      <c r="A84" s="278" t="n"/>
      <c r="B84" s="279" t="n"/>
      <c r="C84" s="280" t="n"/>
      <c r="D84" s="273">
        <f>IF(OR(A84="",B84="",C84=""),"",ROUND(B84*C84,2))</f>
        <v/>
      </c>
      <c r="E84" s="281" t="n"/>
      <c r="F84" s="273">
        <f>IF(OR(A84="",E84="",C84="",NOT(ISNUMBER($Z$3))),"",ROUND(E84*C84*$Z$3,2))</f>
        <v/>
      </c>
      <c r="G84" s="281" t="n"/>
      <c r="H84" s="273">
        <f>IF(OR(A84="",G84="",C84="",NOT(ISNUMBER($Z$4))),"",ROUND(G84*C84*$Z$4,2))</f>
        <v/>
      </c>
      <c r="I84" s="281" t="n"/>
      <c r="J84" s="273">
        <f>IF(OR(A84="",I84="",C84="",NOT(ISNUMBER($Z$5))),"",ROUND(I84*C84*$Z$5,2))</f>
        <v/>
      </c>
      <c r="K84" s="281" t="n"/>
      <c r="L84" s="273">
        <f>IF(OR(A84="",K84="",C84="",NOT(ISNUMBER($Z$6))),"",ROUND(K84*C84*$Z$6,2))</f>
        <v/>
      </c>
      <c r="M84" s="282">
        <f>IF(OR(E84="",G84=""),"",ROUND(MAX(E84-G84,0),2))</f>
        <v/>
      </c>
      <c r="N84" s="273">
        <f>IF(OR(M84="",C84="",NOT(ISNUMBER($Z$3))),"",ROUND(M84*C84*$Z$3,2))</f>
        <v/>
      </c>
      <c r="O84" s="282">
        <f>IF(OR(G84="",I84=""),"",ROUND(MAX(G84-I84,0),2))</f>
        <v/>
      </c>
      <c r="P84" s="273">
        <f>IF(OR(O84="",C84="",NOT(ISNUMBER($Z$4))),"",ROUND(O84*C84*$Z$4,2))</f>
        <v/>
      </c>
      <c r="Q84" s="282">
        <f>IF(OR(I84="",K84=""),"",ROUND(MAX(I84-K84,0),2))</f>
        <v/>
      </c>
      <c r="R84" s="273">
        <f>IF(OR(Q84="",C84="",NOT(ISNUMBER($Z$5))),"",ROUND(Q84*C84*$Z$5,2))</f>
        <v/>
      </c>
      <c r="S84" s="62" t="n"/>
      <c r="T84" s="283" t="n"/>
      <c r="U84" s="284">
        <f>IF(A84="","",IF(AND(G84&lt;&gt;"",E84&lt;&gt;"",G84&gt;E84),"ALERTA: REM_C2&gt;REM_C1",IF(AND(I84&lt;&gt;"",G84&lt;&gt;"",I84&gt;G84),"ALERTA: REM_C3&gt;REM_C2",IF(AND(K84&lt;&gt;"",I84&lt;&gt;"",K84&gt;I84),"ALERTA: REM_C4&gt;REM_C3","OK"))))</f>
        <v/>
      </c>
      <c r="V84" s="284">
        <f>IF(A84="","",IF(B84="","",IF(OR(B84&lt;0,E84&gt;B84,G84&gt;B84,I84&gt;B84,K84&gt;B84),"ALERTA: QTD_INVALIDA","OK")))</f>
        <v/>
      </c>
      <c r="W84" s="34" t="n"/>
      <c r="X84" s="34" t="n"/>
      <c r="Y84" s="34" t="n"/>
      <c r="Z84" s="27" t="n"/>
      <c r="AA84" s="27" t="n"/>
      <c r="AB84" s="282">
        <f>IF(OR(A84="",E84=""),"",ROUND(B84-E84,2))</f>
        <v/>
      </c>
      <c r="AC84" s="273">
        <f>IF(OR(A84="",E84=""),"",ROUND(D84-E84*C84,2))</f>
        <v/>
      </c>
      <c r="AD84" s="27" t="n"/>
    </row>
    <row r="85">
      <c r="A85" s="278" t="n"/>
      <c r="B85" s="279" t="n"/>
      <c r="C85" s="280" t="n"/>
      <c r="D85" s="273">
        <f>IF(OR(A85="",B85="",C85=""),"",ROUND(B85*C85,2))</f>
        <v/>
      </c>
      <c r="E85" s="281" t="n"/>
      <c r="F85" s="273">
        <f>IF(OR(A85="",E85="",C85="",NOT(ISNUMBER($Z$3))),"",ROUND(E85*C85*$Z$3,2))</f>
        <v/>
      </c>
      <c r="G85" s="281" t="n"/>
      <c r="H85" s="273">
        <f>IF(OR(A85="",G85="",C85="",NOT(ISNUMBER($Z$4))),"",ROUND(G85*C85*$Z$4,2))</f>
        <v/>
      </c>
      <c r="I85" s="281" t="n"/>
      <c r="J85" s="273">
        <f>IF(OR(A85="",I85="",C85="",NOT(ISNUMBER($Z$5))),"",ROUND(I85*C85*$Z$5,2))</f>
        <v/>
      </c>
      <c r="K85" s="281" t="n"/>
      <c r="L85" s="273">
        <f>IF(OR(A85="",K85="",C85="",NOT(ISNUMBER($Z$6))),"",ROUND(K85*C85*$Z$6,2))</f>
        <v/>
      </c>
      <c r="M85" s="282">
        <f>IF(OR(E85="",G85=""),"",ROUND(MAX(E85-G85,0),2))</f>
        <v/>
      </c>
      <c r="N85" s="273">
        <f>IF(OR(M85="",C85="",NOT(ISNUMBER($Z$3))),"",ROUND(M85*C85*$Z$3,2))</f>
        <v/>
      </c>
      <c r="O85" s="282">
        <f>IF(OR(G85="",I85=""),"",ROUND(MAX(G85-I85,0),2))</f>
        <v/>
      </c>
      <c r="P85" s="273">
        <f>IF(OR(O85="",C85="",NOT(ISNUMBER($Z$4))),"",ROUND(O85*C85*$Z$4,2))</f>
        <v/>
      </c>
      <c r="Q85" s="282">
        <f>IF(OR(I85="",K85=""),"",ROUND(MAX(I85-K85,0),2))</f>
        <v/>
      </c>
      <c r="R85" s="273">
        <f>IF(OR(Q85="",C85="",NOT(ISNUMBER($Z$5))),"",ROUND(Q85*C85*$Z$5,2))</f>
        <v/>
      </c>
      <c r="S85" s="62" t="n"/>
      <c r="T85" s="283" t="n"/>
      <c r="U85" s="284">
        <f>IF(A85="","",IF(AND(G85&lt;&gt;"",E85&lt;&gt;"",G85&gt;E85),"ALERTA: REM_C2&gt;REM_C1",IF(AND(I85&lt;&gt;"",G85&lt;&gt;"",I85&gt;G85),"ALERTA: REM_C3&gt;REM_C2",IF(AND(K85&lt;&gt;"",I85&lt;&gt;"",K85&gt;I85),"ALERTA: REM_C4&gt;REM_C3","OK"))))</f>
        <v/>
      </c>
      <c r="V85" s="284">
        <f>IF(A85="","",IF(B85="","",IF(OR(B85&lt;0,E85&gt;B85,G85&gt;B85,I85&gt;B85,K85&gt;B85),"ALERTA: QTD_INVALIDA","OK")))</f>
        <v/>
      </c>
      <c r="W85" s="34" t="n"/>
      <c r="X85" s="34" t="n"/>
      <c r="Y85" s="34" t="n"/>
      <c r="Z85" s="27" t="n"/>
      <c r="AA85" s="27" t="n"/>
      <c r="AB85" s="282">
        <f>IF(OR(A85="",E85=""),"",ROUND(B85-E85,2))</f>
        <v/>
      </c>
      <c r="AC85" s="273">
        <f>IF(OR(A85="",E85=""),"",ROUND(D85-E85*C85,2))</f>
        <v/>
      </c>
      <c r="AD85" s="27" t="n"/>
    </row>
    <row r="86">
      <c r="A86" s="278" t="n"/>
      <c r="B86" s="279" t="n"/>
      <c r="C86" s="280" t="n"/>
      <c r="D86" s="273">
        <f>IF(OR(A86="",B86="",C86=""),"",ROUND(B86*C86,2))</f>
        <v/>
      </c>
      <c r="E86" s="281" t="n"/>
      <c r="F86" s="273">
        <f>IF(OR(A86="",E86="",C86="",NOT(ISNUMBER($Z$3))),"",ROUND(E86*C86*$Z$3,2))</f>
        <v/>
      </c>
      <c r="G86" s="281" t="n"/>
      <c r="H86" s="273">
        <f>IF(OR(A86="",G86="",C86="",NOT(ISNUMBER($Z$4))),"",ROUND(G86*C86*$Z$4,2))</f>
        <v/>
      </c>
      <c r="I86" s="281" t="n"/>
      <c r="J86" s="273">
        <f>IF(OR(A86="",I86="",C86="",NOT(ISNUMBER($Z$5))),"",ROUND(I86*C86*$Z$5,2))</f>
        <v/>
      </c>
      <c r="K86" s="281" t="n"/>
      <c r="L86" s="273">
        <f>IF(OR(A86="",K86="",C86="",NOT(ISNUMBER($Z$6))),"",ROUND(K86*C86*$Z$6,2))</f>
        <v/>
      </c>
      <c r="M86" s="282">
        <f>IF(OR(E86="",G86=""),"",ROUND(MAX(E86-G86,0),2))</f>
        <v/>
      </c>
      <c r="N86" s="273">
        <f>IF(OR(M86="",C86="",NOT(ISNUMBER($Z$3))),"",ROUND(M86*C86*$Z$3,2))</f>
        <v/>
      </c>
      <c r="O86" s="282">
        <f>IF(OR(G86="",I86=""),"",ROUND(MAX(G86-I86,0),2))</f>
        <v/>
      </c>
      <c r="P86" s="273">
        <f>IF(OR(O86="",C86="",NOT(ISNUMBER($Z$4))),"",ROUND(O86*C86*$Z$4,2))</f>
        <v/>
      </c>
      <c r="Q86" s="282">
        <f>IF(OR(I86="",K86=""),"",ROUND(MAX(I86-K86,0),2))</f>
        <v/>
      </c>
      <c r="R86" s="273">
        <f>IF(OR(Q86="",C86="",NOT(ISNUMBER($Z$5))),"",ROUND(Q86*C86*$Z$5,2))</f>
        <v/>
      </c>
      <c r="S86" s="62" t="n"/>
      <c r="T86" s="283" t="n"/>
      <c r="U86" s="284">
        <f>IF(A86="","",IF(AND(G86&lt;&gt;"",E86&lt;&gt;"",G86&gt;E86),"ALERTA: REM_C2&gt;REM_C1",IF(AND(I86&lt;&gt;"",G86&lt;&gt;"",I86&gt;G86),"ALERTA: REM_C3&gt;REM_C2",IF(AND(K86&lt;&gt;"",I86&lt;&gt;"",K86&gt;I86),"ALERTA: REM_C4&gt;REM_C3","OK"))))</f>
        <v/>
      </c>
      <c r="V86" s="284">
        <f>IF(A86="","",IF(B86="","",IF(OR(B86&lt;0,E86&gt;B86,G86&gt;B86,I86&gt;B86,K86&gt;B86),"ALERTA: QTD_INVALIDA","OK")))</f>
        <v/>
      </c>
      <c r="W86" s="34" t="n"/>
      <c r="X86" s="34" t="n"/>
      <c r="Y86" s="34" t="n"/>
      <c r="Z86" s="27" t="n"/>
      <c r="AA86" s="27" t="n"/>
      <c r="AB86" s="282">
        <f>IF(OR(A86="",E86=""),"",ROUND(B86-E86,2))</f>
        <v/>
      </c>
      <c r="AC86" s="273">
        <f>IF(OR(A86="",E86=""),"",ROUND(D86-E86*C86,2))</f>
        <v/>
      </c>
      <c r="AD86" s="27" t="n"/>
    </row>
    <row r="87">
      <c r="A87" s="278" t="n"/>
      <c r="B87" s="279" t="n"/>
      <c r="C87" s="280" t="n"/>
      <c r="D87" s="273">
        <f>IF(OR(A87="",B87="",C87=""),"",ROUND(B87*C87,2))</f>
        <v/>
      </c>
      <c r="E87" s="281" t="n"/>
      <c r="F87" s="273">
        <f>IF(OR(A87="",E87="",C87="",NOT(ISNUMBER($Z$3))),"",ROUND(E87*C87*$Z$3,2))</f>
        <v/>
      </c>
      <c r="G87" s="281" t="n"/>
      <c r="H87" s="273">
        <f>IF(OR(A87="",G87="",C87="",NOT(ISNUMBER($Z$4))),"",ROUND(G87*C87*$Z$4,2))</f>
        <v/>
      </c>
      <c r="I87" s="281" t="n"/>
      <c r="J87" s="273">
        <f>IF(OR(A87="",I87="",C87="",NOT(ISNUMBER($Z$5))),"",ROUND(I87*C87*$Z$5,2))</f>
        <v/>
      </c>
      <c r="K87" s="281" t="n"/>
      <c r="L87" s="273">
        <f>IF(OR(A87="",K87="",C87="",NOT(ISNUMBER($Z$6))),"",ROUND(K87*C87*$Z$6,2))</f>
        <v/>
      </c>
      <c r="M87" s="282">
        <f>IF(OR(E87="",G87=""),"",ROUND(MAX(E87-G87,0),2))</f>
        <v/>
      </c>
      <c r="N87" s="273">
        <f>IF(OR(M87="",C87="",NOT(ISNUMBER($Z$3))),"",ROUND(M87*C87*$Z$3,2))</f>
        <v/>
      </c>
      <c r="O87" s="282">
        <f>IF(OR(G87="",I87=""),"",ROUND(MAX(G87-I87,0),2))</f>
        <v/>
      </c>
      <c r="P87" s="273">
        <f>IF(OR(O87="",C87="",NOT(ISNUMBER($Z$4))),"",ROUND(O87*C87*$Z$4,2))</f>
        <v/>
      </c>
      <c r="Q87" s="282">
        <f>IF(OR(I87="",K87=""),"",ROUND(MAX(I87-K87,0),2))</f>
        <v/>
      </c>
      <c r="R87" s="273">
        <f>IF(OR(Q87="",C87="",NOT(ISNUMBER($Z$5))),"",ROUND(Q87*C87*$Z$5,2))</f>
        <v/>
      </c>
      <c r="S87" s="62" t="n"/>
      <c r="T87" s="283" t="n"/>
      <c r="U87" s="284">
        <f>IF(A87="","",IF(AND(G87&lt;&gt;"",E87&lt;&gt;"",G87&gt;E87),"ALERTA: REM_C2&gt;REM_C1",IF(AND(I87&lt;&gt;"",G87&lt;&gt;"",I87&gt;G87),"ALERTA: REM_C3&gt;REM_C2",IF(AND(K87&lt;&gt;"",I87&lt;&gt;"",K87&gt;I87),"ALERTA: REM_C4&gt;REM_C3","OK"))))</f>
        <v/>
      </c>
      <c r="V87" s="284">
        <f>IF(A87="","",IF(B87="","",IF(OR(B87&lt;0,E87&gt;B87,G87&gt;B87,I87&gt;B87,K87&gt;B87),"ALERTA: QTD_INVALIDA","OK")))</f>
        <v/>
      </c>
      <c r="W87" s="34" t="n"/>
      <c r="X87" s="34" t="n"/>
      <c r="Y87" s="34" t="n"/>
      <c r="Z87" s="27" t="n"/>
      <c r="AA87" s="27" t="n"/>
      <c r="AB87" s="282">
        <f>IF(OR(A87="",E87=""),"",ROUND(B87-E87,2))</f>
        <v/>
      </c>
      <c r="AC87" s="273">
        <f>IF(OR(A87="",E87=""),"",ROUND(D87-E87*C87,2))</f>
        <v/>
      </c>
      <c r="AD87" s="27" t="n"/>
    </row>
    <row r="88">
      <c r="A88" s="278" t="n"/>
      <c r="B88" s="279" t="n"/>
      <c r="C88" s="280" t="n"/>
      <c r="D88" s="273">
        <f>IF(OR(A88="",B88="",C88=""),"",ROUND(B88*C88,2))</f>
        <v/>
      </c>
      <c r="E88" s="281" t="n"/>
      <c r="F88" s="273">
        <f>IF(OR(A88="",E88="",C88="",NOT(ISNUMBER($Z$3))),"",ROUND(E88*C88*$Z$3,2))</f>
        <v/>
      </c>
      <c r="G88" s="281" t="n"/>
      <c r="H88" s="273">
        <f>IF(OR(A88="",G88="",C88="",NOT(ISNUMBER($Z$4))),"",ROUND(G88*C88*$Z$4,2))</f>
        <v/>
      </c>
      <c r="I88" s="281" t="n"/>
      <c r="J88" s="273">
        <f>IF(OR(A88="",I88="",C88="",NOT(ISNUMBER($Z$5))),"",ROUND(I88*C88*$Z$5,2))</f>
        <v/>
      </c>
      <c r="K88" s="281" t="n"/>
      <c r="L88" s="273">
        <f>IF(OR(A88="",K88="",C88="",NOT(ISNUMBER($Z$6))),"",ROUND(K88*C88*$Z$6,2))</f>
        <v/>
      </c>
      <c r="M88" s="282">
        <f>IF(OR(E88="",G88=""),"",ROUND(MAX(E88-G88,0),2))</f>
        <v/>
      </c>
      <c r="N88" s="273">
        <f>IF(OR(M88="",C88="",NOT(ISNUMBER($Z$3))),"",ROUND(M88*C88*$Z$3,2))</f>
        <v/>
      </c>
      <c r="O88" s="282">
        <f>IF(OR(G88="",I88=""),"",ROUND(MAX(G88-I88,0),2))</f>
        <v/>
      </c>
      <c r="P88" s="273">
        <f>IF(OR(O88="",C88="",NOT(ISNUMBER($Z$4))),"",ROUND(O88*C88*$Z$4,2))</f>
        <v/>
      </c>
      <c r="Q88" s="282">
        <f>IF(OR(I88="",K88=""),"",ROUND(MAX(I88-K88,0),2))</f>
        <v/>
      </c>
      <c r="R88" s="273">
        <f>IF(OR(Q88="",C88="",NOT(ISNUMBER($Z$5))),"",ROUND(Q88*C88*$Z$5,2))</f>
        <v/>
      </c>
      <c r="S88" s="62" t="n"/>
      <c r="T88" s="283" t="n"/>
      <c r="U88" s="284">
        <f>IF(A88="","",IF(AND(G88&lt;&gt;"",E88&lt;&gt;"",G88&gt;E88),"ALERTA: REM_C2&gt;REM_C1",IF(AND(I88&lt;&gt;"",G88&lt;&gt;"",I88&gt;G88),"ALERTA: REM_C3&gt;REM_C2",IF(AND(K88&lt;&gt;"",I88&lt;&gt;"",K88&gt;I88),"ALERTA: REM_C4&gt;REM_C3","OK"))))</f>
        <v/>
      </c>
      <c r="V88" s="284">
        <f>IF(A88="","",IF(B88="","",IF(OR(B88&lt;0,E88&gt;B88,G88&gt;B88,I88&gt;B88,K88&gt;B88),"ALERTA: QTD_INVALIDA","OK")))</f>
        <v/>
      </c>
      <c r="W88" s="34" t="n"/>
      <c r="X88" s="34" t="n"/>
      <c r="Y88" s="34" t="n"/>
      <c r="Z88" s="27" t="n"/>
      <c r="AA88" s="27" t="n"/>
      <c r="AB88" s="282">
        <f>IF(OR(A88="",E88=""),"",ROUND(B88-E88,2))</f>
        <v/>
      </c>
      <c r="AC88" s="273">
        <f>IF(OR(A88="",E88=""),"",ROUND(D88-E88*C88,2))</f>
        <v/>
      </c>
      <c r="AD88" s="27" t="n"/>
    </row>
    <row r="89">
      <c r="A89" s="278" t="n"/>
      <c r="B89" s="279" t="n"/>
      <c r="C89" s="280" t="n"/>
      <c r="D89" s="273">
        <f>IF(OR(A89="",B89="",C89=""),"",ROUND(B89*C89,2))</f>
        <v/>
      </c>
      <c r="E89" s="281" t="n"/>
      <c r="F89" s="273">
        <f>IF(OR(A89="",E89="",C89="",NOT(ISNUMBER($Z$3))),"",ROUND(E89*C89*$Z$3,2))</f>
        <v/>
      </c>
      <c r="G89" s="281" t="n"/>
      <c r="H89" s="273">
        <f>IF(OR(A89="",G89="",C89="",NOT(ISNUMBER($Z$4))),"",ROUND(G89*C89*$Z$4,2))</f>
        <v/>
      </c>
      <c r="I89" s="281" t="n"/>
      <c r="J89" s="273">
        <f>IF(OR(A89="",I89="",C89="",NOT(ISNUMBER($Z$5))),"",ROUND(I89*C89*$Z$5,2))</f>
        <v/>
      </c>
      <c r="K89" s="281" t="n"/>
      <c r="L89" s="273">
        <f>IF(OR(A89="",K89="",C89="",NOT(ISNUMBER($Z$6))),"",ROUND(K89*C89*$Z$6,2))</f>
        <v/>
      </c>
      <c r="M89" s="282">
        <f>IF(OR(E89="",G89=""),"",ROUND(MAX(E89-G89,0),2))</f>
        <v/>
      </c>
      <c r="N89" s="273">
        <f>IF(OR(M89="",C89="",NOT(ISNUMBER($Z$3))),"",ROUND(M89*C89*$Z$3,2))</f>
        <v/>
      </c>
      <c r="O89" s="282">
        <f>IF(OR(G89="",I89=""),"",ROUND(MAX(G89-I89,0),2))</f>
        <v/>
      </c>
      <c r="P89" s="273">
        <f>IF(OR(O89="",C89="",NOT(ISNUMBER($Z$4))),"",ROUND(O89*C89*$Z$4,2))</f>
        <v/>
      </c>
      <c r="Q89" s="282">
        <f>IF(OR(I89="",K89=""),"",ROUND(MAX(I89-K89,0),2))</f>
        <v/>
      </c>
      <c r="R89" s="273">
        <f>IF(OR(Q89="",C89="",NOT(ISNUMBER($Z$5))),"",ROUND(Q89*C89*$Z$5,2))</f>
        <v/>
      </c>
      <c r="S89" s="62" t="n"/>
      <c r="T89" s="283" t="n"/>
      <c r="U89" s="284">
        <f>IF(A89="","",IF(AND(G89&lt;&gt;"",E89&lt;&gt;"",G89&gt;E89),"ALERTA: REM_C2&gt;REM_C1",IF(AND(I89&lt;&gt;"",G89&lt;&gt;"",I89&gt;G89),"ALERTA: REM_C3&gt;REM_C2",IF(AND(K89&lt;&gt;"",I89&lt;&gt;"",K89&gt;I89),"ALERTA: REM_C4&gt;REM_C3","OK"))))</f>
        <v/>
      </c>
      <c r="V89" s="284">
        <f>IF(A89="","",IF(B89="","",IF(OR(B89&lt;0,E89&gt;B89,G89&gt;B89,I89&gt;B89,K89&gt;B89),"ALERTA: QTD_INVALIDA","OK")))</f>
        <v/>
      </c>
      <c r="W89" s="34" t="n"/>
      <c r="X89" s="34" t="n"/>
      <c r="Y89" s="34" t="n"/>
      <c r="Z89" s="27" t="n"/>
      <c r="AA89" s="27" t="n"/>
      <c r="AB89" s="282">
        <f>IF(OR(A89="",E89=""),"",ROUND(B89-E89,2))</f>
        <v/>
      </c>
      <c r="AC89" s="273">
        <f>IF(OR(A89="",E89=""),"",ROUND(D89-E89*C89,2))</f>
        <v/>
      </c>
      <c r="AD89" s="27" t="n"/>
    </row>
    <row r="90">
      <c r="A90" s="278" t="n"/>
      <c r="B90" s="279" t="n"/>
      <c r="C90" s="280" t="n"/>
      <c r="D90" s="273">
        <f>IF(OR(A90="",B90="",C90=""),"",ROUND(B90*C90,2))</f>
        <v/>
      </c>
      <c r="E90" s="281" t="n"/>
      <c r="F90" s="273">
        <f>IF(OR(A90="",E90="",C90="",NOT(ISNUMBER($Z$3))),"",ROUND(E90*C90*$Z$3,2))</f>
        <v/>
      </c>
      <c r="G90" s="281" t="n"/>
      <c r="H90" s="273">
        <f>IF(OR(A90="",G90="",C90="",NOT(ISNUMBER($Z$4))),"",ROUND(G90*C90*$Z$4,2))</f>
        <v/>
      </c>
      <c r="I90" s="281" t="n"/>
      <c r="J90" s="273">
        <f>IF(OR(A90="",I90="",C90="",NOT(ISNUMBER($Z$5))),"",ROUND(I90*C90*$Z$5,2))</f>
        <v/>
      </c>
      <c r="K90" s="281" t="n"/>
      <c r="L90" s="273">
        <f>IF(OR(A90="",K90="",C90="",NOT(ISNUMBER($Z$6))),"",ROUND(K90*C90*$Z$6,2))</f>
        <v/>
      </c>
      <c r="M90" s="282">
        <f>IF(OR(E90="",G90=""),"",ROUND(MAX(E90-G90,0),2))</f>
        <v/>
      </c>
      <c r="N90" s="273">
        <f>IF(OR(M90="",C90="",NOT(ISNUMBER($Z$3))),"",ROUND(M90*C90*$Z$3,2))</f>
        <v/>
      </c>
      <c r="O90" s="282">
        <f>IF(OR(G90="",I90=""),"",ROUND(MAX(G90-I90,0),2))</f>
        <v/>
      </c>
      <c r="P90" s="273">
        <f>IF(OR(O90="",C90="",NOT(ISNUMBER($Z$4))),"",ROUND(O90*C90*$Z$4,2))</f>
        <v/>
      </c>
      <c r="Q90" s="282">
        <f>IF(OR(I90="",K90=""),"",ROUND(MAX(I90-K90,0),2))</f>
        <v/>
      </c>
      <c r="R90" s="273">
        <f>IF(OR(Q90="",C90="",NOT(ISNUMBER($Z$5))),"",ROUND(Q90*C90*$Z$5,2))</f>
        <v/>
      </c>
      <c r="S90" s="62" t="n"/>
      <c r="T90" s="283" t="n"/>
      <c r="U90" s="284">
        <f>IF(A90="","",IF(AND(G90&lt;&gt;"",E90&lt;&gt;"",G90&gt;E90),"ALERTA: REM_C2&gt;REM_C1",IF(AND(I90&lt;&gt;"",G90&lt;&gt;"",I90&gt;G90),"ALERTA: REM_C3&gt;REM_C2",IF(AND(K90&lt;&gt;"",I90&lt;&gt;"",K90&gt;I90),"ALERTA: REM_C4&gt;REM_C3","OK"))))</f>
        <v/>
      </c>
      <c r="V90" s="284">
        <f>IF(A90="","",IF(B90="","",IF(OR(B90&lt;0,E90&gt;B90,G90&gt;B90,I90&gt;B90,K90&gt;B90),"ALERTA: QTD_INVALIDA","OK")))</f>
        <v/>
      </c>
      <c r="W90" s="34" t="n"/>
      <c r="X90" s="34" t="n"/>
      <c r="Y90" s="34" t="n"/>
      <c r="Z90" s="27" t="n"/>
      <c r="AA90" s="27" t="n"/>
      <c r="AB90" s="282">
        <f>IF(OR(A90="",E90=""),"",ROUND(B90-E90,2))</f>
        <v/>
      </c>
      <c r="AC90" s="273">
        <f>IF(OR(A90="",E90=""),"",ROUND(D90-E90*C90,2))</f>
        <v/>
      </c>
      <c r="AD90" s="27" t="n"/>
    </row>
    <row r="91">
      <c r="A91" s="278" t="n"/>
      <c r="B91" s="279" t="n"/>
      <c r="C91" s="280" t="n"/>
      <c r="D91" s="273">
        <f>IF(OR(A91="",B91="",C91=""),"",ROUND(B91*C91,2))</f>
        <v/>
      </c>
      <c r="E91" s="281" t="n"/>
      <c r="F91" s="273">
        <f>IF(OR(A91="",E91="",C91="",NOT(ISNUMBER($Z$3))),"",ROUND(E91*C91*$Z$3,2))</f>
        <v/>
      </c>
      <c r="G91" s="281" t="n"/>
      <c r="H91" s="273">
        <f>IF(OR(A91="",G91="",C91="",NOT(ISNUMBER($Z$4))),"",ROUND(G91*C91*$Z$4,2))</f>
        <v/>
      </c>
      <c r="I91" s="281" t="n"/>
      <c r="J91" s="273">
        <f>IF(OR(A91="",I91="",C91="",NOT(ISNUMBER($Z$5))),"",ROUND(I91*C91*$Z$5,2))</f>
        <v/>
      </c>
      <c r="K91" s="281" t="n"/>
      <c r="L91" s="273">
        <f>IF(OR(A91="",K91="",C91="",NOT(ISNUMBER($Z$6))),"",ROUND(K91*C91*$Z$6,2))</f>
        <v/>
      </c>
      <c r="M91" s="282">
        <f>IF(OR(E91="",G91=""),"",ROUND(MAX(E91-G91,0),2))</f>
        <v/>
      </c>
      <c r="N91" s="273">
        <f>IF(OR(M91="",C91="",NOT(ISNUMBER($Z$3))),"",ROUND(M91*C91*$Z$3,2))</f>
        <v/>
      </c>
      <c r="O91" s="282">
        <f>IF(OR(G91="",I91=""),"",ROUND(MAX(G91-I91,0),2))</f>
        <v/>
      </c>
      <c r="P91" s="273">
        <f>IF(OR(O91="",C91="",NOT(ISNUMBER($Z$4))),"",ROUND(O91*C91*$Z$4,2))</f>
        <v/>
      </c>
      <c r="Q91" s="282">
        <f>IF(OR(I91="",K91=""),"",ROUND(MAX(I91-K91,0),2))</f>
        <v/>
      </c>
      <c r="R91" s="273">
        <f>IF(OR(Q91="",C91="",NOT(ISNUMBER($Z$5))),"",ROUND(Q91*C91*$Z$5,2))</f>
        <v/>
      </c>
      <c r="S91" s="62" t="n"/>
      <c r="T91" s="283" t="n"/>
      <c r="U91" s="284">
        <f>IF(A91="","",IF(AND(G91&lt;&gt;"",E91&lt;&gt;"",G91&gt;E91),"ALERTA: REM_C2&gt;REM_C1",IF(AND(I91&lt;&gt;"",G91&lt;&gt;"",I91&gt;G91),"ALERTA: REM_C3&gt;REM_C2",IF(AND(K91&lt;&gt;"",I91&lt;&gt;"",K91&gt;I91),"ALERTA: REM_C4&gt;REM_C3","OK"))))</f>
        <v/>
      </c>
      <c r="V91" s="284">
        <f>IF(A91="","",IF(B91="","",IF(OR(B91&lt;0,E91&gt;B91,G91&gt;B91,I91&gt;B91,K91&gt;B91),"ALERTA: QTD_INVALIDA","OK")))</f>
        <v/>
      </c>
      <c r="W91" s="34" t="n"/>
      <c r="X91" s="34" t="n"/>
      <c r="Y91" s="34" t="n"/>
      <c r="Z91" s="27" t="n"/>
      <c r="AA91" s="27" t="n"/>
      <c r="AB91" s="282">
        <f>IF(OR(A91="",E91=""),"",ROUND(B91-E91,2))</f>
        <v/>
      </c>
      <c r="AC91" s="273">
        <f>IF(OR(A91="",E91=""),"",ROUND(D91-E91*C91,2))</f>
        <v/>
      </c>
      <c r="AD91" s="27" t="n"/>
    </row>
    <row r="92">
      <c r="A92" s="278" t="n"/>
      <c r="B92" s="279" t="n"/>
      <c r="C92" s="280" t="n"/>
      <c r="D92" s="273">
        <f>IF(OR(A92="",B92="",C92=""),"",ROUND(B92*C92,2))</f>
        <v/>
      </c>
      <c r="E92" s="281" t="n"/>
      <c r="F92" s="273">
        <f>IF(OR(A92="",E92="",C92="",NOT(ISNUMBER($Z$3))),"",ROUND(E92*C92*$Z$3,2))</f>
        <v/>
      </c>
      <c r="G92" s="281" t="n"/>
      <c r="H92" s="273">
        <f>IF(OR(A92="",G92="",C92="",NOT(ISNUMBER($Z$4))),"",ROUND(G92*C92*$Z$4,2))</f>
        <v/>
      </c>
      <c r="I92" s="281" t="n"/>
      <c r="J92" s="273">
        <f>IF(OR(A92="",I92="",C92="",NOT(ISNUMBER($Z$5))),"",ROUND(I92*C92*$Z$5,2))</f>
        <v/>
      </c>
      <c r="K92" s="281" t="n"/>
      <c r="L92" s="273">
        <f>IF(OR(A92="",K92="",C92="",NOT(ISNUMBER($Z$6))),"",ROUND(K92*C92*$Z$6,2))</f>
        <v/>
      </c>
      <c r="M92" s="282">
        <f>IF(OR(E92="",G92=""),"",ROUND(MAX(E92-G92,0),2))</f>
        <v/>
      </c>
      <c r="N92" s="273">
        <f>IF(OR(M92="",C92="",NOT(ISNUMBER($Z$3))),"",ROUND(M92*C92*$Z$3,2))</f>
        <v/>
      </c>
      <c r="O92" s="282">
        <f>IF(OR(G92="",I92=""),"",ROUND(MAX(G92-I92,0),2))</f>
        <v/>
      </c>
      <c r="P92" s="273">
        <f>IF(OR(O92="",C92="",NOT(ISNUMBER($Z$4))),"",ROUND(O92*C92*$Z$4,2))</f>
        <v/>
      </c>
      <c r="Q92" s="282">
        <f>IF(OR(I92="",K92=""),"",ROUND(MAX(I92-K92,0),2))</f>
        <v/>
      </c>
      <c r="R92" s="273">
        <f>IF(OR(Q92="",C92="",NOT(ISNUMBER($Z$5))),"",ROUND(Q92*C92*$Z$5,2))</f>
        <v/>
      </c>
      <c r="S92" s="62" t="n"/>
      <c r="T92" s="283" t="n"/>
      <c r="U92" s="284">
        <f>IF(A92="","",IF(AND(G92&lt;&gt;"",E92&lt;&gt;"",G92&gt;E92),"ALERTA: REM_C2&gt;REM_C1",IF(AND(I92&lt;&gt;"",G92&lt;&gt;"",I92&gt;G92),"ALERTA: REM_C3&gt;REM_C2",IF(AND(K92&lt;&gt;"",I92&lt;&gt;"",K92&gt;I92),"ALERTA: REM_C4&gt;REM_C3","OK"))))</f>
        <v/>
      </c>
      <c r="V92" s="284">
        <f>IF(A92="","",IF(B92="","",IF(OR(B92&lt;0,E92&gt;B92,G92&gt;B92,I92&gt;B92,K92&gt;B92),"ALERTA: QTD_INVALIDA","OK")))</f>
        <v/>
      </c>
      <c r="W92" s="34" t="n"/>
      <c r="X92" s="34" t="n"/>
      <c r="Y92" s="34" t="n"/>
      <c r="Z92" s="27" t="n"/>
      <c r="AA92" s="27" t="n"/>
      <c r="AB92" s="282">
        <f>IF(OR(A92="",E92=""),"",ROUND(B92-E92,2))</f>
        <v/>
      </c>
      <c r="AC92" s="273">
        <f>IF(OR(A92="",E92=""),"",ROUND(D92-E92*C92,2))</f>
        <v/>
      </c>
      <c r="AD92" s="27" t="n"/>
    </row>
    <row r="93">
      <c r="A93" s="278" t="n"/>
      <c r="B93" s="279" t="n"/>
      <c r="C93" s="280" t="n"/>
      <c r="D93" s="273">
        <f>IF(OR(A93="",B93="",C93=""),"",ROUND(B93*C93,2))</f>
        <v/>
      </c>
      <c r="E93" s="281" t="n"/>
      <c r="F93" s="273">
        <f>IF(OR(A93="",E93="",C93="",NOT(ISNUMBER($Z$3))),"",ROUND(E93*C93*$Z$3,2))</f>
        <v/>
      </c>
      <c r="G93" s="281" t="n"/>
      <c r="H93" s="273">
        <f>IF(OR(A93="",G93="",C93="",NOT(ISNUMBER($Z$4))),"",ROUND(G93*C93*$Z$4,2))</f>
        <v/>
      </c>
      <c r="I93" s="281" t="n"/>
      <c r="J93" s="273">
        <f>IF(OR(A93="",I93="",C93="",NOT(ISNUMBER($Z$5))),"",ROUND(I93*C93*$Z$5,2))</f>
        <v/>
      </c>
      <c r="K93" s="281" t="n"/>
      <c r="L93" s="273">
        <f>IF(OR(A93="",K93="",C93="",NOT(ISNUMBER($Z$6))),"",ROUND(K93*C93*$Z$6,2))</f>
        <v/>
      </c>
      <c r="M93" s="282">
        <f>IF(OR(E93="",G93=""),"",ROUND(MAX(E93-G93,0),2))</f>
        <v/>
      </c>
      <c r="N93" s="273">
        <f>IF(OR(M93="",C93="",NOT(ISNUMBER($Z$3))),"",ROUND(M93*C93*$Z$3,2))</f>
        <v/>
      </c>
      <c r="O93" s="282">
        <f>IF(OR(G93="",I93=""),"",ROUND(MAX(G93-I93,0),2))</f>
        <v/>
      </c>
      <c r="P93" s="273">
        <f>IF(OR(O93="",C93="",NOT(ISNUMBER($Z$4))),"",ROUND(O93*C93*$Z$4,2))</f>
        <v/>
      </c>
      <c r="Q93" s="282">
        <f>IF(OR(I93="",K93=""),"",ROUND(MAX(I93-K93,0),2))</f>
        <v/>
      </c>
      <c r="R93" s="273">
        <f>IF(OR(Q93="",C93="",NOT(ISNUMBER($Z$5))),"",ROUND(Q93*C93*$Z$5,2))</f>
        <v/>
      </c>
      <c r="S93" s="62" t="n"/>
      <c r="T93" s="283" t="n"/>
      <c r="U93" s="284">
        <f>IF(A93="","",IF(AND(G93&lt;&gt;"",E93&lt;&gt;"",G93&gt;E93),"ALERTA: REM_C2&gt;REM_C1",IF(AND(I93&lt;&gt;"",G93&lt;&gt;"",I93&gt;G93),"ALERTA: REM_C3&gt;REM_C2",IF(AND(K93&lt;&gt;"",I93&lt;&gt;"",K93&gt;I93),"ALERTA: REM_C4&gt;REM_C3","OK"))))</f>
        <v/>
      </c>
      <c r="V93" s="284">
        <f>IF(A93="","",IF(B93="","",IF(OR(B93&lt;0,E93&gt;B93,G93&gt;B93,I93&gt;B93,K93&gt;B93),"ALERTA: QTD_INVALIDA","OK")))</f>
        <v/>
      </c>
      <c r="W93" s="34" t="n"/>
      <c r="X93" s="34" t="n"/>
      <c r="Y93" s="34" t="n"/>
      <c r="Z93" s="27" t="n"/>
      <c r="AA93" s="27" t="n"/>
      <c r="AB93" s="282">
        <f>IF(OR(A93="",E93=""),"",ROUND(B93-E93,2))</f>
        <v/>
      </c>
      <c r="AC93" s="273">
        <f>IF(OR(A93="",E93=""),"",ROUND(D93-E93*C93,2))</f>
        <v/>
      </c>
      <c r="AD93" s="27" t="n"/>
    </row>
    <row r="94">
      <c r="A94" s="278" t="n"/>
      <c r="B94" s="279" t="n"/>
      <c r="C94" s="280" t="n"/>
      <c r="D94" s="273">
        <f>IF(OR(A94="",B94="",C94=""),"",ROUND(B94*C94,2))</f>
        <v/>
      </c>
      <c r="E94" s="281" t="n"/>
      <c r="F94" s="273">
        <f>IF(OR(A94="",E94="",C94="",NOT(ISNUMBER($Z$3))),"",ROUND(E94*C94*$Z$3,2))</f>
        <v/>
      </c>
      <c r="G94" s="281" t="n"/>
      <c r="H94" s="273">
        <f>IF(OR(A94="",G94="",C94="",NOT(ISNUMBER($Z$4))),"",ROUND(G94*C94*$Z$4,2))</f>
        <v/>
      </c>
      <c r="I94" s="281" t="n"/>
      <c r="J94" s="273">
        <f>IF(OR(A94="",I94="",C94="",NOT(ISNUMBER($Z$5))),"",ROUND(I94*C94*$Z$5,2))</f>
        <v/>
      </c>
      <c r="K94" s="281" t="n"/>
      <c r="L94" s="273">
        <f>IF(OR(A94="",K94="",C94="",NOT(ISNUMBER($Z$6))),"",ROUND(K94*C94*$Z$6,2))</f>
        <v/>
      </c>
      <c r="M94" s="282">
        <f>IF(OR(E94="",G94=""),"",ROUND(MAX(E94-G94,0),2))</f>
        <v/>
      </c>
      <c r="N94" s="273">
        <f>IF(OR(M94="",C94="",NOT(ISNUMBER($Z$3))),"",ROUND(M94*C94*$Z$3,2))</f>
        <v/>
      </c>
      <c r="O94" s="282">
        <f>IF(OR(G94="",I94=""),"",ROUND(MAX(G94-I94,0),2))</f>
        <v/>
      </c>
      <c r="P94" s="273">
        <f>IF(OR(O94="",C94="",NOT(ISNUMBER($Z$4))),"",ROUND(O94*C94*$Z$4,2))</f>
        <v/>
      </c>
      <c r="Q94" s="282">
        <f>IF(OR(I94="",K94=""),"",ROUND(MAX(I94-K94,0),2))</f>
        <v/>
      </c>
      <c r="R94" s="273">
        <f>IF(OR(Q94="",C94="",NOT(ISNUMBER($Z$5))),"",ROUND(Q94*C94*$Z$5,2))</f>
        <v/>
      </c>
      <c r="S94" s="62" t="n"/>
      <c r="T94" s="283" t="n"/>
      <c r="U94" s="284">
        <f>IF(A94="","",IF(AND(G94&lt;&gt;"",E94&lt;&gt;"",G94&gt;E94),"ALERTA: REM_C2&gt;REM_C1",IF(AND(I94&lt;&gt;"",G94&lt;&gt;"",I94&gt;G94),"ALERTA: REM_C3&gt;REM_C2",IF(AND(K94&lt;&gt;"",I94&lt;&gt;"",K94&gt;I94),"ALERTA: REM_C4&gt;REM_C3","OK"))))</f>
        <v/>
      </c>
      <c r="V94" s="284">
        <f>IF(A94="","",IF(B94="","",IF(OR(B94&lt;0,E94&gt;B94,G94&gt;B94,I94&gt;B94,K94&gt;B94),"ALERTA: QTD_INVALIDA","OK")))</f>
        <v/>
      </c>
      <c r="W94" s="34" t="n"/>
      <c r="X94" s="34" t="n"/>
      <c r="Y94" s="34" t="n"/>
      <c r="Z94" s="27" t="n"/>
      <c r="AA94" s="27" t="n"/>
      <c r="AB94" s="282">
        <f>IF(OR(A94="",E94=""),"",ROUND(B94-E94,2))</f>
        <v/>
      </c>
      <c r="AC94" s="273">
        <f>IF(OR(A94="",E94=""),"",ROUND(D94-E94*C94,2))</f>
        <v/>
      </c>
      <c r="AD94" s="27" t="n"/>
    </row>
    <row r="95">
      <c r="A95" s="278" t="n"/>
      <c r="B95" s="279" t="n"/>
      <c r="C95" s="280" t="n"/>
      <c r="D95" s="273">
        <f>IF(OR(A95="",B95="",C95=""),"",ROUND(B95*C95,2))</f>
        <v/>
      </c>
      <c r="E95" s="281" t="n"/>
      <c r="F95" s="273">
        <f>IF(OR(A95="",E95="",C95="",NOT(ISNUMBER($Z$3))),"",ROUND(E95*C95*$Z$3,2))</f>
        <v/>
      </c>
      <c r="G95" s="281" t="n"/>
      <c r="H95" s="273">
        <f>IF(OR(A95="",G95="",C95="",NOT(ISNUMBER($Z$4))),"",ROUND(G95*C95*$Z$4,2))</f>
        <v/>
      </c>
      <c r="I95" s="281" t="n"/>
      <c r="J95" s="273">
        <f>IF(OR(A95="",I95="",C95="",NOT(ISNUMBER($Z$5))),"",ROUND(I95*C95*$Z$5,2))</f>
        <v/>
      </c>
      <c r="K95" s="281" t="n"/>
      <c r="L95" s="273">
        <f>IF(OR(A95="",K95="",C95="",NOT(ISNUMBER($Z$6))),"",ROUND(K95*C95*$Z$6,2))</f>
        <v/>
      </c>
      <c r="M95" s="282">
        <f>IF(OR(E95="",G95=""),"",ROUND(MAX(E95-G95,0),2))</f>
        <v/>
      </c>
      <c r="N95" s="273">
        <f>IF(OR(M95="",C95="",NOT(ISNUMBER($Z$3))),"",ROUND(M95*C95*$Z$3,2))</f>
        <v/>
      </c>
      <c r="O95" s="282">
        <f>IF(OR(G95="",I95=""),"",ROUND(MAX(G95-I95,0),2))</f>
        <v/>
      </c>
      <c r="P95" s="273">
        <f>IF(OR(O95="",C95="",NOT(ISNUMBER($Z$4))),"",ROUND(O95*C95*$Z$4,2))</f>
        <v/>
      </c>
      <c r="Q95" s="282">
        <f>IF(OR(I95="",K95=""),"",ROUND(MAX(I95-K95,0),2))</f>
        <v/>
      </c>
      <c r="R95" s="273">
        <f>IF(OR(Q95="",C95="",NOT(ISNUMBER($Z$5))),"",ROUND(Q95*C95*$Z$5,2))</f>
        <v/>
      </c>
      <c r="S95" s="62" t="n"/>
      <c r="T95" s="283" t="n"/>
      <c r="U95" s="284">
        <f>IF(A95="","",IF(AND(G95&lt;&gt;"",E95&lt;&gt;"",G95&gt;E95),"ALERTA: REM_C2&gt;REM_C1",IF(AND(I95&lt;&gt;"",G95&lt;&gt;"",I95&gt;G95),"ALERTA: REM_C3&gt;REM_C2",IF(AND(K95&lt;&gt;"",I95&lt;&gt;"",K95&gt;I95),"ALERTA: REM_C4&gt;REM_C3","OK"))))</f>
        <v/>
      </c>
      <c r="V95" s="284">
        <f>IF(A95="","",IF(B95="","",IF(OR(B95&lt;0,E95&gt;B95,G95&gt;B95,I95&gt;B95,K95&gt;B95),"ALERTA: QTD_INVALIDA","OK")))</f>
        <v/>
      </c>
      <c r="W95" s="34" t="n"/>
      <c r="X95" s="34" t="n"/>
      <c r="Y95" s="34" t="n"/>
      <c r="Z95" s="27" t="n"/>
      <c r="AA95" s="27" t="n"/>
      <c r="AB95" s="282">
        <f>IF(OR(A95="",E95=""),"",ROUND(B95-E95,2))</f>
        <v/>
      </c>
      <c r="AC95" s="273">
        <f>IF(OR(A95="",E95=""),"",ROUND(D95-E95*C95,2))</f>
        <v/>
      </c>
      <c r="AD95" s="27" t="n"/>
    </row>
    <row r="96">
      <c r="A96" s="278" t="n"/>
      <c r="B96" s="279" t="n"/>
      <c r="C96" s="280" t="n"/>
      <c r="D96" s="273">
        <f>IF(OR(A96="",B96="",C96=""),"",ROUND(B96*C96,2))</f>
        <v/>
      </c>
      <c r="E96" s="281" t="n"/>
      <c r="F96" s="273">
        <f>IF(OR(A96="",E96="",C96="",NOT(ISNUMBER($Z$3))),"",ROUND(E96*C96*$Z$3,2))</f>
        <v/>
      </c>
      <c r="G96" s="281" t="n"/>
      <c r="H96" s="273">
        <f>IF(OR(A96="",G96="",C96="",NOT(ISNUMBER($Z$4))),"",ROUND(G96*C96*$Z$4,2))</f>
        <v/>
      </c>
      <c r="I96" s="281" t="n"/>
      <c r="J96" s="273">
        <f>IF(OR(A96="",I96="",C96="",NOT(ISNUMBER($Z$5))),"",ROUND(I96*C96*$Z$5,2))</f>
        <v/>
      </c>
      <c r="K96" s="281" t="n"/>
      <c r="L96" s="273">
        <f>IF(OR(A96="",K96="",C96="",NOT(ISNUMBER($Z$6))),"",ROUND(K96*C96*$Z$6,2))</f>
        <v/>
      </c>
      <c r="M96" s="282">
        <f>IF(OR(E96="",G96=""),"",ROUND(MAX(E96-G96,0),2))</f>
        <v/>
      </c>
      <c r="N96" s="273">
        <f>IF(OR(M96="",C96="",NOT(ISNUMBER($Z$3))),"",ROUND(M96*C96*$Z$3,2))</f>
        <v/>
      </c>
      <c r="O96" s="282">
        <f>IF(OR(G96="",I96=""),"",ROUND(MAX(G96-I96,0),2))</f>
        <v/>
      </c>
      <c r="P96" s="273">
        <f>IF(OR(O96="",C96="",NOT(ISNUMBER($Z$4))),"",ROUND(O96*C96*$Z$4,2))</f>
        <v/>
      </c>
      <c r="Q96" s="282">
        <f>IF(OR(I96="",K96=""),"",ROUND(MAX(I96-K96,0),2))</f>
        <v/>
      </c>
      <c r="R96" s="273">
        <f>IF(OR(Q96="",C96="",NOT(ISNUMBER($Z$5))),"",ROUND(Q96*C96*$Z$5,2))</f>
        <v/>
      </c>
      <c r="S96" s="62" t="n"/>
      <c r="T96" s="283" t="n"/>
      <c r="U96" s="284">
        <f>IF(A96="","",IF(AND(G96&lt;&gt;"",E96&lt;&gt;"",G96&gt;E96),"ALERTA: REM_C2&gt;REM_C1",IF(AND(I96&lt;&gt;"",G96&lt;&gt;"",I96&gt;G96),"ALERTA: REM_C3&gt;REM_C2",IF(AND(K96&lt;&gt;"",I96&lt;&gt;"",K96&gt;I96),"ALERTA: REM_C4&gt;REM_C3","OK"))))</f>
        <v/>
      </c>
      <c r="V96" s="284">
        <f>IF(A96="","",IF(B96="","",IF(OR(B96&lt;0,E96&gt;B96,G96&gt;B96,I96&gt;B96,K96&gt;B96),"ALERTA: QTD_INVALIDA","OK")))</f>
        <v/>
      </c>
      <c r="W96" s="34" t="n"/>
      <c r="X96" s="34" t="n"/>
      <c r="Y96" s="34" t="n"/>
      <c r="Z96" s="27" t="n"/>
      <c r="AA96" s="27" t="n"/>
      <c r="AB96" s="282">
        <f>IF(OR(A96="",E96=""),"",ROUND(B96-E96,2))</f>
        <v/>
      </c>
      <c r="AC96" s="273">
        <f>IF(OR(A96="",E96=""),"",ROUND(D96-E96*C96,2))</f>
        <v/>
      </c>
      <c r="AD96" s="27" t="n"/>
    </row>
    <row r="97">
      <c r="A97" s="278" t="n"/>
      <c r="B97" s="279" t="n"/>
      <c r="C97" s="280" t="n"/>
      <c r="D97" s="273">
        <f>IF(OR(A97="",B97="",C97=""),"",ROUND(B97*C97,2))</f>
        <v/>
      </c>
      <c r="E97" s="281" t="n"/>
      <c r="F97" s="273">
        <f>IF(OR(A97="",E97="",C97="",NOT(ISNUMBER($Z$3))),"",ROUND(E97*C97*$Z$3,2))</f>
        <v/>
      </c>
      <c r="G97" s="281" t="n"/>
      <c r="H97" s="273">
        <f>IF(OR(A97="",G97="",C97="",NOT(ISNUMBER($Z$4))),"",ROUND(G97*C97*$Z$4,2))</f>
        <v/>
      </c>
      <c r="I97" s="281" t="n"/>
      <c r="J97" s="273">
        <f>IF(OR(A97="",I97="",C97="",NOT(ISNUMBER($Z$5))),"",ROUND(I97*C97*$Z$5,2))</f>
        <v/>
      </c>
      <c r="K97" s="281" t="n"/>
      <c r="L97" s="273">
        <f>IF(OR(A97="",K97="",C97="",NOT(ISNUMBER($Z$6))),"",ROUND(K97*C97*$Z$6,2))</f>
        <v/>
      </c>
      <c r="M97" s="282">
        <f>IF(OR(E97="",G97=""),"",ROUND(MAX(E97-G97,0),2))</f>
        <v/>
      </c>
      <c r="N97" s="273">
        <f>IF(OR(M97="",C97="",NOT(ISNUMBER($Z$3))),"",ROUND(M97*C97*$Z$3,2))</f>
        <v/>
      </c>
      <c r="O97" s="282">
        <f>IF(OR(G97="",I97=""),"",ROUND(MAX(G97-I97,0),2))</f>
        <v/>
      </c>
      <c r="P97" s="273">
        <f>IF(OR(O97="",C97="",NOT(ISNUMBER($Z$4))),"",ROUND(O97*C97*$Z$4,2))</f>
        <v/>
      </c>
      <c r="Q97" s="282">
        <f>IF(OR(I97="",K97=""),"",ROUND(MAX(I97-K97,0),2))</f>
        <v/>
      </c>
      <c r="R97" s="273">
        <f>IF(OR(Q97="",C97="",NOT(ISNUMBER($Z$5))),"",ROUND(Q97*C97*$Z$5,2))</f>
        <v/>
      </c>
      <c r="S97" s="62" t="n"/>
      <c r="T97" s="283" t="n"/>
      <c r="U97" s="284">
        <f>IF(A97="","",IF(AND(G97&lt;&gt;"",E97&lt;&gt;"",G97&gt;E97),"ALERTA: REM_C2&gt;REM_C1",IF(AND(I97&lt;&gt;"",G97&lt;&gt;"",I97&gt;G97),"ALERTA: REM_C3&gt;REM_C2",IF(AND(K97&lt;&gt;"",I97&lt;&gt;"",K97&gt;I97),"ALERTA: REM_C4&gt;REM_C3","OK"))))</f>
        <v/>
      </c>
      <c r="V97" s="284">
        <f>IF(A97="","",IF(B97="","",IF(OR(B97&lt;0,E97&gt;B97,G97&gt;B97,I97&gt;B97,K97&gt;B97),"ALERTA: QTD_INVALIDA","OK")))</f>
        <v/>
      </c>
      <c r="W97" s="34" t="n"/>
      <c r="X97" s="34" t="n"/>
      <c r="Y97" s="34" t="n"/>
      <c r="Z97" s="27" t="n"/>
      <c r="AA97" s="27" t="n"/>
      <c r="AB97" s="282">
        <f>IF(OR(A97="",E97=""),"",ROUND(B97-E97,2))</f>
        <v/>
      </c>
      <c r="AC97" s="273">
        <f>IF(OR(A97="",E97=""),"",ROUND(D97-E97*C97,2))</f>
        <v/>
      </c>
      <c r="AD97" s="27" t="n"/>
    </row>
    <row r="98">
      <c r="A98" s="278" t="n"/>
      <c r="B98" s="279" t="n"/>
      <c r="C98" s="280" t="n"/>
      <c r="D98" s="273">
        <f>IF(OR(A98="",B98="",C98=""),"",ROUND(B98*C98,2))</f>
        <v/>
      </c>
      <c r="E98" s="281" t="n"/>
      <c r="F98" s="273">
        <f>IF(OR(A98="",E98="",C98="",NOT(ISNUMBER($Z$3))),"",ROUND(E98*C98*$Z$3,2))</f>
        <v/>
      </c>
      <c r="G98" s="281" t="n"/>
      <c r="H98" s="273">
        <f>IF(OR(A98="",G98="",C98="",NOT(ISNUMBER($Z$4))),"",ROUND(G98*C98*$Z$4,2))</f>
        <v/>
      </c>
      <c r="I98" s="281" t="n"/>
      <c r="J98" s="273">
        <f>IF(OR(A98="",I98="",C98="",NOT(ISNUMBER($Z$5))),"",ROUND(I98*C98*$Z$5,2))</f>
        <v/>
      </c>
      <c r="K98" s="281" t="n"/>
      <c r="L98" s="273">
        <f>IF(OR(A98="",K98="",C98="",NOT(ISNUMBER($Z$6))),"",ROUND(K98*C98*$Z$6,2))</f>
        <v/>
      </c>
      <c r="M98" s="282">
        <f>IF(OR(E98="",G98=""),"",ROUND(MAX(E98-G98,0),2))</f>
        <v/>
      </c>
      <c r="N98" s="273">
        <f>IF(OR(M98="",C98="",NOT(ISNUMBER($Z$3))),"",ROUND(M98*C98*$Z$3,2))</f>
        <v/>
      </c>
      <c r="O98" s="282">
        <f>IF(OR(G98="",I98=""),"",ROUND(MAX(G98-I98,0),2))</f>
        <v/>
      </c>
      <c r="P98" s="273">
        <f>IF(OR(O98="",C98="",NOT(ISNUMBER($Z$4))),"",ROUND(O98*C98*$Z$4,2))</f>
        <v/>
      </c>
      <c r="Q98" s="282">
        <f>IF(OR(I98="",K98=""),"",ROUND(MAX(I98-K98,0),2))</f>
        <v/>
      </c>
      <c r="R98" s="273">
        <f>IF(OR(Q98="",C98="",NOT(ISNUMBER($Z$5))),"",ROUND(Q98*C98*$Z$5,2))</f>
        <v/>
      </c>
      <c r="S98" s="62" t="n"/>
      <c r="T98" s="283" t="n"/>
      <c r="U98" s="284">
        <f>IF(A98="","",IF(AND(G98&lt;&gt;"",E98&lt;&gt;"",G98&gt;E98),"ALERTA: REM_C2&gt;REM_C1",IF(AND(I98&lt;&gt;"",G98&lt;&gt;"",I98&gt;G98),"ALERTA: REM_C3&gt;REM_C2",IF(AND(K98&lt;&gt;"",I98&lt;&gt;"",K98&gt;I98),"ALERTA: REM_C4&gt;REM_C3","OK"))))</f>
        <v/>
      </c>
      <c r="V98" s="284">
        <f>IF(A98="","",IF(B98="","",IF(OR(B98&lt;0,E98&gt;B98,G98&gt;B98,I98&gt;B98,K98&gt;B98),"ALERTA: QTD_INVALIDA","OK")))</f>
        <v/>
      </c>
      <c r="W98" s="34" t="n"/>
      <c r="X98" s="34" t="n"/>
      <c r="Y98" s="34" t="n"/>
      <c r="Z98" s="27" t="n"/>
      <c r="AA98" s="27" t="n"/>
      <c r="AB98" s="282">
        <f>IF(OR(A98="",E98=""),"",ROUND(B98-E98,2))</f>
        <v/>
      </c>
      <c r="AC98" s="273">
        <f>IF(OR(A98="",E98=""),"",ROUND(D98-E98*C98,2))</f>
        <v/>
      </c>
      <c r="AD98" s="27" t="n"/>
    </row>
    <row r="99">
      <c r="A99" s="278" t="n"/>
      <c r="B99" s="279" t="n"/>
      <c r="C99" s="280" t="n"/>
      <c r="D99" s="273">
        <f>IF(OR(A99="",B99="",C99=""),"",ROUND(B99*C99,2))</f>
        <v/>
      </c>
      <c r="E99" s="281" t="n"/>
      <c r="F99" s="273">
        <f>IF(OR(A99="",E99="",C99="",NOT(ISNUMBER($Z$3))),"",ROUND(E99*C99*$Z$3,2))</f>
        <v/>
      </c>
      <c r="G99" s="281" t="n"/>
      <c r="H99" s="273">
        <f>IF(OR(A99="",G99="",C99="",NOT(ISNUMBER($Z$4))),"",ROUND(G99*C99*$Z$4,2))</f>
        <v/>
      </c>
      <c r="I99" s="281" t="n"/>
      <c r="J99" s="273">
        <f>IF(OR(A99="",I99="",C99="",NOT(ISNUMBER($Z$5))),"",ROUND(I99*C99*$Z$5,2))</f>
        <v/>
      </c>
      <c r="K99" s="281" t="n"/>
      <c r="L99" s="273">
        <f>IF(OR(A99="",K99="",C99="",NOT(ISNUMBER($Z$6))),"",ROUND(K99*C99*$Z$6,2))</f>
        <v/>
      </c>
      <c r="M99" s="282">
        <f>IF(OR(E99="",G99=""),"",ROUND(MAX(E99-G99,0),2))</f>
        <v/>
      </c>
      <c r="N99" s="273">
        <f>IF(OR(M99="",C99="",NOT(ISNUMBER($Z$3))),"",ROUND(M99*C99*$Z$3,2))</f>
        <v/>
      </c>
      <c r="O99" s="282">
        <f>IF(OR(G99="",I99=""),"",ROUND(MAX(G99-I99,0),2))</f>
        <v/>
      </c>
      <c r="P99" s="273">
        <f>IF(OR(O99="",C99="",NOT(ISNUMBER($Z$4))),"",ROUND(O99*C99*$Z$4,2))</f>
        <v/>
      </c>
      <c r="Q99" s="282">
        <f>IF(OR(I99="",K99=""),"",ROUND(MAX(I99-K99,0),2))</f>
        <v/>
      </c>
      <c r="R99" s="273">
        <f>IF(OR(Q99="",C99="",NOT(ISNUMBER($Z$5))),"",ROUND(Q99*C99*$Z$5,2))</f>
        <v/>
      </c>
      <c r="S99" s="62" t="n"/>
      <c r="T99" s="283" t="n"/>
      <c r="U99" s="284">
        <f>IF(A99="","",IF(AND(G99&lt;&gt;"",E99&lt;&gt;"",G99&gt;E99),"ALERTA: REM_C2&gt;REM_C1",IF(AND(I99&lt;&gt;"",G99&lt;&gt;"",I99&gt;G99),"ALERTA: REM_C3&gt;REM_C2",IF(AND(K99&lt;&gt;"",I99&lt;&gt;"",K99&gt;I99),"ALERTA: REM_C4&gt;REM_C3","OK"))))</f>
        <v/>
      </c>
      <c r="V99" s="284">
        <f>IF(A99="","",IF(B99="","",IF(OR(B99&lt;0,E99&gt;B99,G99&gt;B99,I99&gt;B99,K99&gt;B99),"ALERTA: QTD_INVALIDA","OK")))</f>
        <v/>
      </c>
      <c r="W99" s="34" t="n"/>
      <c r="X99" s="34" t="n"/>
      <c r="Y99" s="34" t="n"/>
      <c r="Z99" s="27" t="n"/>
      <c r="AA99" s="27" t="n"/>
      <c r="AB99" s="282">
        <f>IF(OR(A99="",E99=""),"",ROUND(B99-E99,2))</f>
        <v/>
      </c>
      <c r="AC99" s="273">
        <f>IF(OR(A99="",E99=""),"",ROUND(D99-E99*C99,2))</f>
        <v/>
      </c>
      <c r="AD99" s="27" t="n"/>
    </row>
    <row r="100">
      <c r="A100" s="278" t="n"/>
      <c r="B100" s="279" t="n"/>
      <c r="C100" s="280" t="n"/>
      <c r="D100" s="273">
        <f>IF(OR(A100="",B100="",C100=""),"",ROUND(B100*C100,2))</f>
        <v/>
      </c>
      <c r="E100" s="281" t="n"/>
      <c r="F100" s="273">
        <f>IF(OR(A100="",E100="",C100="",NOT(ISNUMBER($Z$3))),"",ROUND(E100*C100*$Z$3,2))</f>
        <v/>
      </c>
      <c r="G100" s="281" t="n"/>
      <c r="H100" s="273">
        <f>IF(OR(A100="",G100="",C100="",NOT(ISNUMBER($Z$4))),"",ROUND(G100*C100*$Z$4,2))</f>
        <v/>
      </c>
      <c r="I100" s="281" t="n"/>
      <c r="J100" s="273">
        <f>IF(OR(A100="",I100="",C100="",NOT(ISNUMBER($Z$5))),"",ROUND(I100*C100*$Z$5,2))</f>
        <v/>
      </c>
      <c r="K100" s="281" t="n"/>
      <c r="L100" s="273">
        <f>IF(OR(A100="",K100="",C100="",NOT(ISNUMBER($Z$6))),"",ROUND(K100*C100*$Z$6,2))</f>
        <v/>
      </c>
      <c r="M100" s="282">
        <f>IF(OR(E100="",G100=""),"",ROUND(MAX(E100-G100,0),2))</f>
        <v/>
      </c>
      <c r="N100" s="273">
        <f>IF(OR(M100="",C100="",NOT(ISNUMBER($Z$3))),"",ROUND(M100*C100*$Z$3,2))</f>
        <v/>
      </c>
      <c r="O100" s="282">
        <f>IF(OR(G100="",I100=""),"",ROUND(MAX(G100-I100,0),2))</f>
        <v/>
      </c>
      <c r="P100" s="273">
        <f>IF(OR(O100="",C100="",NOT(ISNUMBER($Z$4))),"",ROUND(O100*C100*$Z$4,2))</f>
        <v/>
      </c>
      <c r="Q100" s="282">
        <f>IF(OR(I100="",K100=""),"",ROUND(MAX(I100-K100,0),2))</f>
        <v/>
      </c>
      <c r="R100" s="273">
        <f>IF(OR(Q100="",C100="",NOT(ISNUMBER($Z$5))),"",ROUND(Q100*C100*$Z$5,2))</f>
        <v/>
      </c>
      <c r="S100" s="62" t="n"/>
      <c r="T100" s="283" t="n"/>
      <c r="U100" s="284">
        <f>IF(A100="","",IF(AND(G100&lt;&gt;"",E100&lt;&gt;"",G100&gt;E100),"ALERTA: REM_C2&gt;REM_C1",IF(AND(I100&lt;&gt;"",G100&lt;&gt;"",I100&gt;G100),"ALERTA: REM_C3&gt;REM_C2",IF(AND(K100&lt;&gt;"",I100&lt;&gt;"",K100&gt;I100),"ALERTA: REM_C4&gt;REM_C3","OK"))))</f>
        <v/>
      </c>
      <c r="V100" s="284">
        <f>IF(A100="","",IF(B100="","",IF(OR(B100&lt;0,E100&gt;B100,G100&gt;B100,I100&gt;B100,K100&gt;B100),"ALERTA: QTD_INVALIDA","OK")))</f>
        <v/>
      </c>
      <c r="W100" s="34" t="n"/>
      <c r="X100" s="34" t="n"/>
      <c r="Y100" s="34" t="n"/>
      <c r="Z100" s="27" t="n"/>
      <c r="AA100" s="27" t="n"/>
      <c r="AB100" s="282">
        <f>IF(OR(A100="",E100=""),"",ROUND(B100-E100,2))</f>
        <v/>
      </c>
      <c r="AC100" s="273">
        <f>IF(OR(A100="",E100=""),"",ROUND(D100-E100*C100,2))</f>
        <v/>
      </c>
      <c r="AD100" s="27" t="n"/>
    </row>
    <row r="101" ht="24" customHeight="1">
      <c r="A101" s="289" t="n"/>
      <c r="B101" s="290" t="n"/>
      <c r="C101" s="291" t="n"/>
      <c r="D101" s="292">
        <f>IF(OR(A101="",B101="",C101=""),"",ROUND(B101*C101,2))</f>
        <v/>
      </c>
      <c r="E101" s="290" t="n"/>
      <c r="F101" s="292">
        <f>IF(OR(A101="",E101="",C101="",NOT(ISNUMBER($Z$3))),"",ROUND(E101*C101*$Z$3,2))</f>
        <v/>
      </c>
      <c r="G101" s="290" t="n"/>
      <c r="H101" s="292">
        <f>IF(OR(A101="",G101="",C101="",NOT(ISNUMBER($Z$4))),"",ROUND(G101*C101*$Z$4,2))</f>
        <v/>
      </c>
      <c r="I101" s="290" t="n"/>
      <c r="J101" s="292">
        <f>IF(OR(A101="",I101="",C101="",NOT(ISNUMBER($Z$5))),"",ROUND(I101*C101*$Z$5,2))</f>
        <v/>
      </c>
      <c r="K101" s="290" t="n"/>
      <c r="L101" s="292">
        <f>IF(OR(A101="",K101="",C101="",NOT(ISNUMBER($Z$6))),"",ROUND(K101*C101*$Z$6,2))</f>
        <v/>
      </c>
      <c r="M101" s="293">
        <f>IF(OR(E101="",G101=""),"",ROUND(MAX(E101-G101,0),2))</f>
        <v/>
      </c>
      <c r="N101" s="292">
        <f>IF(OR(M101="",C101="",NOT(ISNUMBER($Z$3))),"",ROUND(M101*C101*$Z$3,2))</f>
        <v/>
      </c>
      <c r="O101" s="293">
        <f>IF(OR(G101="",I101=""),"",ROUND(MAX(G101-I101,0),2))</f>
        <v/>
      </c>
      <c r="P101" s="292">
        <f>IF(OR(O101="",C101="",NOT(ISNUMBER($Z$4))),"",ROUND(O101*C101*$Z$4,2))</f>
        <v/>
      </c>
      <c r="Q101" s="293">
        <f>IF(OR(I101="",K101=""),"",ROUND(MAX(I101-K101,0),2))</f>
        <v/>
      </c>
      <c r="R101" s="292">
        <f>IF(OR(Q101="",C101="",NOT(ISNUMBER($Z$5))),"",ROUND(Q101*C101*$Z$5,2))</f>
        <v/>
      </c>
      <c r="S101" s="75" t="n"/>
      <c r="T101" s="294" t="n"/>
      <c r="U101" s="295">
        <f>IF(A101="","",IF(AND(G101&lt;&gt;"",E101&lt;&gt;"",G101&gt;E101),"ALERTA: REM_C2&gt;REM_C1",IF(AND(I101&lt;&gt;"",G101&lt;&gt;"",I101&gt;G101),"ALERTA: REM_C3&gt;REM_C2",IF(AND(K101&lt;&gt;"",I101&lt;&gt;"",K101&gt;I101),"ALERTA: REM_C4&gt;REM_C3","OK"))))</f>
        <v/>
      </c>
      <c r="V101" s="295">
        <f>IF(A101="","",IF(B101="","",IF(OR(B101&lt;0,E101&gt;B101,G101&gt;B101,I101&gt;B101,K101&gt;B101),"ALERTA: QTD_INVALIDA","OK")))</f>
        <v/>
      </c>
      <c r="W101" s="27" t="n"/>
      <c r="X101" s="27" t="n"/>
      <c r="Y101" s="27" t="n"/>
      <c r="Z101" s="27" t="n"/>
      <c r="AA101" s="27" t="n"/>
      <c r="AB101" s="282">
        <f>IF(OR(A101="",E101=""),"",ROUND(B101-E101,2))</f>
        <v/>
      </c>
      <c r="AC101" s="273">
        <f>IF(OR(A101="",E101=""),"",ROUND(D101-E101*C101,2))</f>
        <v/>
      </c>
      <c r="AD101" s="27" t="n"/>
    </row>
    <row r="102">
      <c r="A102" s="278" t="n"/>
      <c r="B102" s="279" t="n"/>
      <c r="C102" s="280" t="n"/>
      <c r="D102" s="273">
        <f>IF(OR(A102="",B102="",C102=""),"",ROUND(B102*C102,2))</f>
        <v/>
      </c>
      <c r="E102" s="281" t="n"/>
      <c r="F102" s="273">
        <f>IF(OR(A102="",E102="",C102="",NOT(ISNUMBER($Z$3))),"",ROUND(E102*C102*$Z$3,2))</f>
        <v/>
      </c>
      <c r="G102" s="281" t="n"/>
      <c r="H102" s="273">
        <f>IF(OR(A102="",G102="",C102="",NOT(ISNUMBER($Z$4))),"",ROUND(G102*C102*$Z$4,2))</f>
        <v/>
      </c>
      <c r="I102" s="281" t="n"/>
      <c r="J102" s="273">
        <f>IF(OR(A102="",I102="",C102="",NOT(ISNUMBER($Z$5))),"",ROUND(I102*C102*$Z$5,2))</f>
        <v/>
      </c>
      <c r="K102" s="281" t="n"/>
      <c r="L102" s="273">
        <f>IF(OR(A102="",K102="",C102="",NOT(ISNUMBER($Z$6))),"",ROUND(K102*C102*$Z$6,2))</f>
        <v/>
      </c>
      <c r="M102" s="282">
        <f>IF(OR(E102="",G102=""),"",ROUND(MAX(E102-G102,0),2))</f>
        <v/>
      </c>
      <c r="N102" s="273">
        <f>IF(OR(M102="",C102="",NOT(ISNUMBER($Z$3))),"",ROUND(M102*C102*$Z$3,2))</f>
        <v/>
      </c>
      <c r="O102" s="282">
        <f>IF(OR(G102="",I102=""),"",ROUND(MAX(G102-I102,0),2))</f>
        <v/>
      </c>
      <c r="P102" s="273">
        <f>IF(OR(O102="",C102="",NOT(ISNUMBER($Z$4))),"",ROUND(O102*C102*$Z$4,2))</f>
        <v/>
      </c>
      <c r="Q102" s="282">
        <f>IF(OR(I102="",K102=""),"",ROUND(MAX(I102-K102,0),2))</f>
        <v/>
      </c>
      <c r="R102" s="273">
        <f>IF(OR(Q102="",C102="",NOT(ISNUMBER($Z$5))),"",ROUND(Q102*C102*$Z$5,2))</f>
        <v/>
      </c>
      <c r="S102" s="296" t="n"/>
      <c r="T102" s="297" t="n"/>
      <c r="U102" s="284">
        <f>IF(A102="","",IF(AND(G102&lt;&gt;"",E102&lt;&gt;"",G102&gt;E102),"ALERTA: REM_C2&gt;REM_C1",IF(AND(I102&lt;&gt;"",G102&lt;&gt;"",I102&gt;G102),"ALERTA: REM_C3&gt;REM_C2",IF(AND(K102&lt;&gt;"",I102&lt;&gt;"",K102&gt;I102),"ALERTA: REM_C4&gt;REM_C3","OK"))))</f>
        <v/>
      </c>
      <c r="V102" s="284">
        <f>IF(A102="","",IF(B102="","",IF(OR(B102&lt;0,E102&gt;B102,G102&gt;B102,I102&gt;B102,K102&gt;B102),"ALERTA: QTD_INVALIDA","OK")))</f>
        <v/>
      </c>
      <c r="W102" s="27" t="n"/>
      <c r="X102" s="27" t="n"/>
      <c r="Y102" s="27" t="n"/>
      <c r="Z102" s="27" t="n"/>
      <c r="AA102" s="27" t="n"/>
      <c r="AB102" s="282">
        <f>IF(OR(A102="",E102=""),"",ROUND(B102-E102,2))</f>
        <v/>
      </c>
      <c r="AC102" s="273">
        <f>IF(OR(A102="",E102=""),"",ROUND(D102-E102*C102,2))</f>
        <v/>
      </c>
      <c r="AD102" s="27" t="n"/>
    </row>
    <row r="103">
      <c r="A103" s="278" t="n"/>
      <c r="B103" s="279" t="n"/>
      <c r="C103" s="280" t="n"/>
      <c r="D103" s="273">
        <f>IF(OR(A103="",B103="",C103=""),"",ROUND(B103*C103,2))</f>
        <v/>
      </c>
      <c r="E103" s="281" t="n"/>
      <c r="F103" s="273">
        <f>IF(OR(A103="",E103="",C103="",NOT(ISNUMBER($Z$3))),"",ROUND(E103*C103*$Z$3,2))</f>
        <v/>
      </c>
      <c r="G103" s="281" t="n"/>
      <c r="H103" s="273">
        <f>IF(OR(A103="",G103="",C103="",NOT(ISNUMBER($Z$4))),"",ROUND(G103*C103*$Z$4,2))</f>
        <v/>
      </c>
      <c r="I103" s="281" t="n"/>
      <c r="J103" s="273">
        <f>IF(OR(A103="",I103="",C103="",NOT(ISNUMBER($Z$5))),"",ROUND(I103*C103*$Z$5,2))</f>
        <v/>
      </c>
      <c r="K103" s="281" t="n"/>
      <c r="L103" s="273">
        <f>IF(OR(A103="",K103="",C103="",NOT(ISNUMBER($Z$6))),"",ROUND(K103*C103*$Z$6,2))</f>
        <v/>
      </c>
      <c r="M103" s="282">
        <f>IF(OR(E103="",G103=""),"",ROUND(MAX(E103-G103,0),2))</f>
        <v/>
      </c>
      <c r="N103" s="273">
        <f>IF(OR(M103="",C103="",NOT(ISNUMBER($Z$3))),"",ROUND(M103*C103*$Z$3,2))</f>
        <v/>
      </c>
      <c r="O103" s="282">
        <f>IF(OR(G103="",I103=""),"",ROUND(MAX(G103-I103,0),2))</f>
        <v/>
      </c>
      <c r="P103" s="273">
        <f>IF(OR(O103="",C103="",NOT(ISNUMBER($Z$4))),"",ROUND(O103*C103*$Z$4,2))</f>
        <v/>
      </c>
      <c r="Q103" s="282">
        <f>IF(OR(I103="",K103=""),"",ROUND(MAX(I103-K103,0),2))</f>
        <v/>
      </c>
      <c r="R103" s="273">
        <f>IF(OR(Q103="",C103="",NOT(ISNUMBER($Z$5))),"",ROUND(Q103*C103*$Z$5,2))</f>
        <v/>
      </c>
      <c r="S103" s="296" t="n"/>
      <c r="T103" s="297" t="n"/>
      <c r="U103" s="284">
        <f>IF(A103="","",IF(AND(G103&lt;&gt;"",E103&lt;&gt;"",G103&gt;E103),"ALERTA: REM_C2&gt;REM_C1",IF(AND(I103&lt;&gt;"",G103&lt;&gt;"",I103&gt;G103),"ALERTA: REM_C3&gt;REM_C2",IF(AND(K103&lt;&gt;"",I103&lt;&gt;"",K103&gt;I103),"ALERTA: REM_C4&gt;REM_C3","OK"))))</f>
        <v/>
      </c>
      <c r="V103" s="284">
        <f>IF(A103="","",IF(B103="","",IF(OR(B103&lt;0,E103&gt;B103,G103&gt;B103,I103&gt;B103,K103&gt;B103),"ALERTA: QTD_INVALIDA","OK")))</f>
        <v/>
      </c>
      <c r="W103" s="27" t="n"/>
      <c r="X103" s="27" t="n"/>
      <c r="Y103" s="27" t="n"/>
      <c r="Z103" s="27" t="n"/>
      <c r="AA103" s="27" t="n"/>
      <c r="AB103" s="282">
        <f>IF(OR(A103="",E103=""),"",ROUND(B103-E103,2))</f>
        <v/>
      </c>
      <c r="AC103" s="273">
        <f>IF(OR(A103="",E103=""),"",ROUND(D103-E103*C103,2))</f>
        <v/>
      </c>
      <c r="AD103" s="27" t="n"/>
    </row>
    <row r="104">
      <c r="A104" s="278" t="n"/>
      <c r="B104" s="279" t="n"/>
      <c r="C104" s="280" t="n"/>
      <c r="D104" s="273">
        <f>IF(OR(A104="",B104="",C104=""),"",ROUND(B104*C104,2))</f>
        <v/>
      </c>
      <c r="E104" s="281" t="n"/>
      <c r="F104" s="273">
        <f>IF(OR(A104="",E104="",C104="",NOT(ISNUMBER($Z$3))),"",ROUND(E104*C104*$Z$3,2))</f>
        <v/>
      </c>
      <c r="G104" s="281" t="n"/>
      <c r="H104" s="273">
        <f>IF(OR(A104="",G104="",C104="",NOT(ISNUMBER($Z$4))),"",ROUND(G104*C104*$Z$4,2))</f>
        <v/>
      </c>
      <c r="I104" s="281" t="n"/>
      <c r="J104" s="273">
        <f>IF(OR(A104="",I104="",C104="",NOT(ISNUMBER($Z$5))),"",ROUND(I104*C104*$Z$5,2))</f>
        <v/>
      </c>
      <c r="K104" s="281" t="n"/>
      <c r="L104" s="273">
        <f>IF(OR(A104="",K104="",C104="",NOT(ISNUMBER($Z$6))),"",ROUND(K104*C104*$Z$6,2))</f>
        <v/>
      </c>
      <c r="M104" s="282">
        <f>IF(OR(E104="",G104=""),"",ROUND(MAX(E104-G104,0),2))</f>
        <v/>
      </c>
      <c r="N104" s="273">
        <f>IF(OR(M104="",C104="",NOT(ISNUMBER($Z$3))),"",ROUND(M104*C104*$Z$3,2))</f>
        <v/>
      </c>
      <c r="O104" s="282">
        <f>IF(OR(G104="",I104=""),"",ROUND(MAX(G104-I104,0),2))</f>
        <v/>
      </c>
      <c r="P104" s="273">
        <f>IF(OR(O104="",C104="",NOT(ISNUMBER($Z$4))),"",ROUND(O104*C104*$Z$4,2))</f>
        <v/>
      </c>
      <c r="Q104" s="282">
        <f>IF(OR(I104="",K104=""),"",ROUND(MAX(I104-K104,0),2))</f>
        <v/>
      </c>
      <c r="R104" s="273">
        <f>IF(OR(Q104="",C104="",NOT(ISNUMBER($Z$5))),"",ROUND(Q104*C104*$Z$5,2))</f>
        <v/>
      </c>
      <c r="S104" s="296" t="n"/>
      <c r="T104" s="297" t="n"/>
      <c r="U104" s="284">
        <f>IF(A104="","",IF(AND(G104&lt;&gt;"",E104&lt;&gt;"",G104&gt;E104),"ALERTA: REM_C2&gt;REM_C1",IF(AND(I104&lt;&gt;"",G104&lt;&gt;"",I104&gt;G104),"ALERTA: REM_C3&gt;REM_C2",IF(AND(K104&lt;&gt;"",I104&lt;&gt;"",K104&gt;I104),"ALERTA: REM_C4&gt;REM_C3","OK"))))</f>
        <v/>
      </c>
      <c r="V104" s="284">
        <f>IF(A104="","",IF(B104="","",IF(OR(B104&lt;0,E104&gt;B104,G104&gt;B104,I104&gt;B104,K104&gt;B104),"ALERTA: QTD_INVALIDA","OK")))</f>
        <v/>
      </c>
      <c r="W104" s="27" t="n"/>
      <c r="X104" s="27" t="n"/>
      <c r="Y104" s="27" t="n"/>
      <c r="Z104" s="27" t="n"/>
      <c r="AA104" s="27" t="n"/>
      <c r="AB104" s="282">
        <f>IF(OR(A104="",E104=""),"",ROUND(B104-E104,2))</f>
        <v/>
      </c>
      <c r="AC104" s="273">
        <f>IF(OR(A104="",E104=""),"",ROUND(D104-E104*C104,2))</f>
        <v/>
      </c>
      <c r="AD104" s="27" t="n"/>
    </row>
    <row r="105">
      <c r="A105" s="278" t="n"/>
      <c r="B105" s="279" t="n"/>
      <c r="C105" s="280" t="n"/>
      <c r="D105" s="273">
        <f>IF(OR(A105="",B105="",C105=""),"",ROUND(B105*C105,2))</f>
        <v/>
      </c>
      <c r="E105" s="281" t="n"/>
      <c r="F105" s="273">
        <f>IF(OR(A105="",E105="",C105="",NOT(ISNUMBER($Z$3))),"",ROUND(E105*C105*$Z$3,2))</f>
        <v/>
      </c>
      <c r="G105" s="281" t="n"/>
      <c r="H105" s="273">
        <f>IF(OR(A105="",G105="",C105="",NOT(ISNUMBER($Z$4))),"",ROUND(G105*C105*$Z$4,2))</f>
        <v/>
      </c>
      <c r="I105" s="281" t="n"/>
      <c r="J105" s="273">
        <f>IF(OR(A105="",I105="",C105="",NOT(ISNUMBER($Z$5))),"",ROUND(I105*C105*$Z$5,2))</f>
        <v/>
      </c>
      <c r="K105" s="281" t="n"/>
      <c r="L105" s="273">
        <f>IF(OR(A105="",K105="",C105="",NOT(ISNUMBER($Z$6))),"",ROUND(K105*C105*$Z$6,2))</f>
        <v/>
      </c>
      <c r="M105" s="282">
        <f>IF(OR(E105="",G105=""),"",ROUND(MAX(E105-G105,0),2))</f>
        <v/>
      </c>
      <c r="N105" s="273">
        <f>IF(OR(M105="",C105="",NOT(ISNUMBER($Z$3))),"",ROUND(M105*C105*$Z$3,2))</f>
        <v/>
      </c>
      <c r="O105" s="282">
        <f>IF(OR(G105="",I105=""),"",ROUND(MAX(G105-I105,0),2))</f>
        <v/>
      </c>
      <c r="P105" s="273">
        <f>IF(OR(O105="",C105="",NOT(ISNUMBER($Z$4))),"",ROUND(O105*C105*$Z$4,2))</f>
        <v/>
      </c>
      <c r="Q105" s="282">
        <f>IF(OR(I105="",K105=""),"",ROUND(MAX(I105-K105,0),2))</f>
        <v/>
      </c>
      <c r="R105" s="273">
        <f>IF(OR(Q105="",C105="",NOT(ISNUMBER($Z$5))),"",ROUND(Q105*C105*$Z$5,2))</f>
        <v/>
      </c>
      <c r="S105" s="296" t="n"/>
      <c r="T105" s="297" t="n"/>
      <c r="U105" s="284">
        <f>IF(A105="","",IF(AND(G105&lt;&gt;"",E105&lt;&gt;"",G105&gt;E105),"ALERTA: REM_C2&gt;REM_C1",IF(AND(I105&lt;&gt;"",G105&lt;&gt;"",I105&gt;G105),"ALERTA: REM_C3&gt;REM_C2",IF(AND(K105&lt;&gt;"",I105&lt;&gt;"",K105&gt;I105),"ALERTA: REM_C4&gt;REM_C3","OK"))))</f>
        <v/>
      </c>
      <c r="V105" s="284">
        <f>IF(A105="","",IF(B105="","",IF(OR(B105&lt;0,E105&gt;B105,G105&gt;B105,I105&gt;B105,K105&gt;B105),"ALERTA: QTD_INVALIDA","OK")))</f>
        <v/>
      </c>
      <c r="W105" s="27" t="n"/>
      <c r="X105" s="27" t="n"/>
      <c r="Y105" s="27" t="n"/>
      <c r="Z105" s="27" t="n"/>
      <c r="AA105" s="27" t="n"/>
      <c r="AB105" s="282">
        <f>IF(OR(A105="",E105=""),"",ROUND(B105-E105,2))</f>
        <v/>
      </c>
      <c r="AC105" s="273">
        <f>IF(OR(A105="",E105=""),"",ROUND(D105-E105*C105,2))</f>
        <v/>
      </c>
      <c r="AD105" s="27" t="n"/>
    </row>
    <row r="106">
      <c r="A106" s="278" t="n"/>
      <c r="B106" s="279" t="n"/>
      <c r="C106" s="280" t="n"/>
      <c r="D106" s="273">
        <f>IF(OR(A106="",B106="",C106=""),"",ROUND(B106*C106,2))</f>
        <v/>
      </c>
      <c r="E106" s="281" t="n"/>
      <c r="F106" s="273">
        <f>IF(OR(A106="",E106="",C106="",NOT(ISNUMBER($Z$3))),"",ROUND(E106*C106*$Z$3,2))</f>
        <v/>
      </c>
      <c r="G106" s="281" t="n"/>
      <c r="H106" s="273">
        <f>IF(OR(A106="",G106="",C106="",NOT(ISNUMBER($Z$4))),"",ROUND(G106*C106*$Z$4,2))</f>
        <v/>
      </c>
      <c r="I106" s="281" t="n"/>
      <c r="J106" s="273">
        <f>IF(OR(A106="",I106="",C106="",NOT(ISNUMBER($Z$5))),"",ROUND(I106*C106*$Z$5,2))</f>
        <v/>
      </c>
      <c r="K106" s="281" t="n"/>
      <c r="L106" s="273">
        <f>IF(OR(A106="",K106="",C106="",NOT(ISNUMBER($Z$6))),"",ROUND(K106*C106*$Z$6,2))</f>
        <v/>
      </c>
      <c r="M106" s="282">
        <f>IF(OR(E106="",G106=""),"",ROUND(MAX(E106-G106,0),2))</f>
        <v/>
      </c>
      <c r="N106" s="273">
        <f>IF(OR(M106="",C106="",NOT(ISNUMBER($Z$3))),"",ROUND(M106*C106*$Z$3,2))</f>
        <v/>
      </c>
      <c r="O106" s="282">
        <f>IF(OR(G106="",I106=""),"",ROUND(MAX(G106-I106,0),2))</f>
        <v/>
      </c>
      <c r="P106" s="273">
        <f>IF(OR(O106="",C106="",NOT(ISNUMBER($Z$4))),"",ROUND(O106*C106*$Z$4,2))</f>
        <v/>
      </c>
      <c r="Q106" s="282">
        <f>IF(OR(I106="",K106=""),"",ROUND(MAX(I106-K106,0),2))</f>
        <v/>
      </c>
      <c r="R106" s="273">
        <f>IF(OR(Q106="",C106="",NOT(ISNUMBER($Z$5))),"",ROUND(Q106*C106*$Z$5,2))</f>
        <v/>
      </c>
      <c r="S106" s="296" t="n"/>
      <c r="T106" s="297" t="n"/>
      <c r="U106" s="284">
        <f>IF(A106="","",IF(AND(G106&lt;&gt;"",E106&lt;&gt;"",G106&gt;E106),"ALERTA: REM_C2&gt;REM_C1",IF(AND(I106&lt;&gt;"",G106&lt;&gt;"",I106&gt;G106),"ALERTA: REM_C3&gt;REM_C2",IF(AND(K106&lt;&gt;"",I106&lt;&gt;"",K106&gt;I106),"ALERTA: REM_C4&gt;REM_C3","OK"))))</f>
        <v/>
      </c>
      <c r="V106" s="284">
        <f>IF(A106="","",IF(B106="","",IF(OR(B106&lt;0,E106&gt;B106,G106&gt;B106,I106&gt;B106,K106&gt;B106),"ALERTA: QTD_INVALIDA","OK")))</f>
        <v/>
      </c>
      <c r="W106" s="27" t="n"/>
      <c r="X106" s="27" t="n"/>
      <c r="Y106" s="27" t="n"/>
      <c r="Z106" s="27" t="n"/>
      <c r="AA106" s="27" t="n"/>
      <c r="AB106" s="282">
        <f>IF(OR(A106="",E106=""),"",ROUND(B106-E106,2))</f>
        <v/>
      </c>
      <c r="AC106" s="273">
        <f>IF(OR(A106="",E106=""),"",ROUND(D106-E106*C106,2))</f>
        <v/>
      </c>
      <c r="AD106" s="27" t="n"/>
    </row>
    <row r="107">
      <c r="A107" s="278" t="n"/>
      <c r="B107" s="279" t="n"/>
      <c r="C107" s="280" t="n"/>
      <c r="D107" s="273">
        <f>IF(OR(A107="",B107="",C107=""),"",ROUND(B107*C107,2))</f>
        <v/>
      </c>
      <c r="E107" s="281" t="n"/>
      <c r="F107" s="273">
        <f>IF(OR(A107="",E107="",C107="",NOT(ISNUMBER($Z$3))),"",ROUND(E107*C107*$Z$3,2))</f>
        <v/>
      </c>
      <c r="G107" s="281" t="n"/>
      <c r="H107" s="273">
        <f>IF(OR(A107="",G107="",C107="",NOT(ISNUMBER($Z$4))),"",ROUND(G107*C107*$Z$4,2))</f>
        <v/>
      </c>
      <c r="I107" s="281" t="n"/>
      <c r="J107" s="273">
        <f>IF(OR(A107="",I107="",C107="",NOT(ISNUMBER($Z$5))),"",ROUND(I107*C107*$Z$5,2))</f>
        <v/>
      </c>
      <c r="K107" s="281" t="n"/>
      <c r="L107" s="273">
        <f>IF(OR(A107="",K107="",C107="",NOT(ISNUMBER($Z$6))),"",ROUND(K107*C107*$Z$6,2))</f>
        <v/>
      </c>
      <c r="M107" s="282">
        <f>IF(OR(E107="",G107=""),"",ROUND(MAX(E107-G107,0),2))</f>
        <v/>
      </c>
      <c r="N107" s="273">
        <f>IF(OR(M107="",C107="",NOT(ISNUMBER($Z$3))),"",ROUND(M107*C107*$Z$3,2))</f>
        <v/>
      </c>
      <c r="O107" s="282">
        <f>IF(OR(G107="",I107=""),"",ROUND(MAX(G107-I107,0),2))</f>
        <v/>
      </c>
      <c r="P107" s="273">
        <f>IF(OR(O107="",C107="",NOT(ISNUMBER($Z$4))),"",ROUND(O107*C107*$Z$4,2))</f>
        <v/>
      </c>
      <c r="Q107" s="282">
        <f>IF(OR(I107="",K107=""),"",ROUND(MAX(I107-K107,0),2))</f>
        <v/>
      </c>
      <c r="R107" s="273">
        <f>IF(OR(Q107="",C107="",NOT(ISNUMBER($Z$5))),"",ROUND(Q107*C107*$Z$5,2))</f>
        <v/>
      </c>
      <c r="S107" s="296" t="n"/>
      <c r="T107" s="297" t="n"/>
      <c r="U107" s="284">
        <f>IF(A107="","",IF(AND(G107&lt;&gt;"",E107&lt;&gt;"",G107&gt;E107),"ALERTA: REM_C2&gt;REM_C1",IF(AND(I107&lt;&gt;"",G107&lt;&gt;"",I107&gt;G107),"ALERTA: REM_C3&gt;REM_C2",IF(AND(K107&lt;&gt;"",I107&lt;&gt;"",K107&gt;I107),"ALERTA: REM_C4&gt;REM_C3","OK"))))</f>
        <v/>
      </c>
      <c r="V107" s="284">
        <f>IF(A107="","",IF(B107="","",IF(OR(B107&lt;0,E107&gt;B107,G107&gt;B107,I107&gt;B107,K107&gt;B107),"ALERTA: QTD_INVALIDA","OK")))</f>
        <v/>
      </c>
      <c r="W107" s="27" t="n"/>
      <c r="X107" s="27" t="n"/>
      <c r="Y107" s="27" t="n"/>
      <c r="Z107" s="27" t="n"/>
      <c r="AA107" s="27" t="n"/>
      <c r="AB107" s="282">
        <f>IF(OR(A107="",E107=""),"",ROUND(B107-E107,2))</f>
        <v/>
      </c>
      <c r="AC107" s="273">
        <f>IF(OR(A107="",E107=""),"",ROUND(D107-E107*C107,2))</f>
        <v/>
      </c>
      <c r="AD107" s="27" t="n"/>
    </row>
    <row r="108">
      <c r="A108" s="278" t="n"/>
      <c r="B108" s="279" t="n"/>
      <c r="C108" s="280" t="n"/>
      <c r="D108" s="273">
        <f>IF(OR(A108="",B108="",C108=""),"",ROUND(B108*C108,2))</f>
        <v/>
      </c>
      <c r="E108" s="281" t="n"/>
      <c r="F108" s="273">
        <f>IF(OR(A108="",E108="",C108="",NOT(ISNUMBER($Z$3))),"",ROUND(E108*C108*$Z$3,2))</f>
        <v/>
      </c>
      <c r="G108" s="281" t="n"/>
      <c r="H108" s="273">
        <f>IF(OR(A108="",G108="",C108="",NOT(ISNUMBER($Z$4))),"",ROUND(G108*C108*$Z$4,2))</f>
        <v/>
      </c>
      <c r="I108" s="281" t="n"/>
      <c r="J108" s="273">
        <f>IF(OR(A108="",I108="",C108="",NOT(ISNUMBER($Z$5))),"",ROUND(I108*C108*$Z$5,2))</f>
        <v/>
      </c>
      <c r="K108" s="281" t="n"/>
      <c r="L108" s="273">
        <f>IF(OR(A108="",K108="",C108="",NOT(ISNUMBER($Z$6))),"",ROUND(K108*C108*$Z$6,2))</f>
        <v/>
      </c>
      <c r="M108" s="282">
        <f>IF(OR(E108="",G108=""),"",ROUND(MAX(E108-G108,0),2))</f>
        <v/>
      </c>
      <c r="N108" s="273">
        <f>IF(OR(M108="",C108="",NOT(ISNUMBER($Z$3))),"",ROUND(M108*C108*$Z$3,2))</f>
        <v/>
      </c>
      <c r="O108" s="282">
        <f>IF(OR(G108="",I108=""),"",ROUND(MAX(G108-I108,0),2))</f>
        <v/>
      </c>
      <c r="P108" s="273">
        <f>IF(OR(O108="",C108="",NOT(ISNUMBER($Z$4))),"",ROUND(O108*C108*$Z$4,2))</f>
        <v/>
      </c>
      <c r="Q108" s="282">
        <f>IF(OR(I108="",K108=""),"",ROUND(MAX(I108-K108,0),2))</f>
        <v/>
      </c>
      <c r="R108" s="273">
        <f>IF(OR(Q108="",C108="",NOT(ISNUMBER($Z$5))),"",ROUND(Q108*C108*$Z$5,2))</f>
        <v/>
      </c>
      <c r="S108" s="296" t="n"/>
      <c r="T108" s="297" t="n"/>
      <c r="U108" s="284">
        <f>IF(A108="","",IF(AND(G108&lt;&gt;"",E108&lt;&gt;"",G108&gt;E108),"ALERTA: REM_C2&gt;REM_C1",IF(AND(I108&lt;&gt;"",G108&lt;&gt;"",I108&gt;G108),"ALERTA: REM_C3&gt;REM_C2",IF(AND(K108&lt;&gt;"",I108&lt;&gt;"",K108&gt;I108),"ALERTA: REM_C4&gt;REM_C3","OK"))))</f>
        <v/>
      </c>
      <c r="V108" s="284">
        <f>IF(A108="","",IF(B108="","",IF(OR(B108&lt;0,E108&gt;B108,G108&gt;B108,I108&gt;B108,K108&gt;B108),"ALERTA: QTD_INVALIDA","OK")))</f>
        <v/>
      </c>
      <c r="W108" s="27" t="n"/>
      <c r="X108" s="27" t="n"/>
      <c r="Y108" s="27" t="n"/>
      <c r="Z108" s="27" t="n"/>
      <c r="AA108" s="27" t="n"/>
      <c r="AB108" s="282">
        <f>IF(OR(A108="",E108=""),"",ROUND(B108-E108,2))</f>
        <v/>
      </c>
      <c r="AC108" s="273">
        <f>IF(OR(A108="",E108=""),"",ROUND(D108-E108*C108,2))</f>
        <v/>
      </c>
      <c r="AD108" s="27" t="n"/>
    </row>
    <row r="109">
      <c r="A109" s="278" t="n"/>
      <c r="B109" s="279" t="n"/>
      <c r="C109" s="280" t="n"/>
      <c r="D109" s="273">
        <f>IF(OR(A109="",B109="",C109=""),"",ROUND(B109*C109,2))</f>
        <v/>
      </c>
      <c r="E109" s="281" t="n"/>
      <c r="F109" s="273">
        <f>IF(OR(A109="",E109="",C109="",NOT(ISNUMBER($Z$3))),"",ROUND(E109*C109*$Z$3,2))</f>
        <v/>
      </c>
      <c r="G109" s="281" t="n"/>
      <c r="H109" s="273">
        <f>IF(OR(A109="",G109="",C109="",NOT(ISNUMBER($Z$4))),"",ROUND(G109*C109*$Z$4,2))</f>
        <v/>
      </c>
      <c r="I109" s="281" t="n"/>
      <c r="J109" s="273">
        <f>IF(OR(A109="",I109="",C109="",NOT(ISNUMBER($Z$5))),"",ROUND(I109*C109*$Z$5,2))</f>
        <v/>
      </c>
      <c r="K109" s="281" t="n"/>
      <c r="L109" s="273">
        <f>IF(OR(A109="",K109="",C109="",NOT(ISNUMBER($Z$6))),"",ROUND(K109*C109*$Z$6,2))</f>
        <v/>
      </c>
      <c r="M109" s="282">
        <f>IF(OR(E109="",G109=""),"",ROUND(MAX(E109-G109,0),2))</f>
        <v/>
      </c>
      <c r="N109" s="273">
        <f>IF(OR(M109="",C109="",NOT(ISNUMBER($Z$3))),"",ROUND(M109*C109*$Z$3,2))</f>
        <v/>
      </c>
      <c r="O109" s="282">
        <f>IF(OR(G109="",I109=""),"",ROUND(MAX(G109-I109,0),2))</f>
        <v/>
      </c>
      <c r="P109" s="273">
        <f>IF(OR(O109="",C109="",NOT(ISNUMBER($Z$4))),"",ROUND(O109*C109*$Z$4,2))</f>
        <v/>
      </c>
      <c r="Q109" s="282">
        <f>IF(OR(I109="",K109=""),"",ROUND(MAX(I109-K109,0),2))</f>
        <v/>
      </c>
      <c r="R109" s="273">
        <f>IF(OR(Q109="",C109="",NOT(ISNUMBER($Z$5))),"",ROUND(Q109*C109*$Z$5,2))</f>
        <v/>
      </c>
      <c r="S109" s="296" t="n"/>
      <c r="T109" s="297" t="n"/>
      <c r="U109" s="284">
        <f>IF(A109="","",IF(AND(G109&lt;&gt;"",E109&lt;&gt;"",G109&gt;E109),"ALERTA: REM_C2&gt;REM_C1",IF(AND(I109&lt;&gt;"",G109&lt;&gt;"",I109&gt;G109),"ALERTA: REM_C3&gt;REM_C2",IF(AND(K109&lt;&gt;"",I109&lt;&gt;"",K109&gt;I109),"ALERTA: REM_C4&gt;REM_C3","OK"))))</f>
        <v/>
      </c>
      <c r="V109" s="284">
        <f>IF(A109="","",IF(B109="","",IF(OR(B109&lt;0,E109&gt;B109,G109&gt;B109,I109&gt;B109,K109&gt;B109),"ALERTA: QTD_INVALIDA","OK")))</f>
        <v/>
      </c>
      <c r="W109" s="27" t="n"/>
      <c r="X109" s="27" t="n"/>
      <c r="Y109" s="27" t="n"/>
      <c r="Z109" s="27" t="n"/>
      <c r="AA109" s="27" t="n"/>
      <c r="AB109" s="282">
        <f>IF(OR(A109="",E109=""),"",ROUND(B109-E109,2))</f>
        <v/>
      </c>
      <c r="AC109" s="273">
        <f>IF(OR(A109="",E109=""),"",ROUND(D109-E109*C109,2))</f>
        <v/>
      </c>
      <c r="AD109" s="27" t="n"/>
    </row>
    <row r="110">
      <c r="A110" s="278" t="n"/>
      <c r="B110" s="279" t="n"/>
      <c r="C110" s="280" t="n"/>
      <c r="D110" s="273">
        <f>IF(OR(A110="",B110="",C110=""),"",ROUND(B110*C110,2))</f>
        <v/>
      </c>
      <c r="E110" s="281" t="n"/>
      <c r="F110" s="273">
        <f>IF(OR(A110="",E110="",C110="",NOT(ISNUMBER($Z$3))),"",ROUND(E110*C110*$Z$3,2))</f>
        <v/>
      </c>
      <c r="G110" s="281" t="n"/>
      <c r="H110" s="273">
        <f>IF(OR(A110="",G110="",C110="",NOT(ISNUMBER($Z$4))),"",ROUND(G110*C110*$Z$4,2))</f>
        <v/>
      </c>
      <c r="I110" s="281" t="n"/>
      <c r="J110" s="273">
        <f>IF(OR(A110="",I110="",C110="",NOT(ISNUMBER($Z$5))),"",ROUND(I110*C110*$Z$5,2))</f>
        <v/>
      </c>
      <c r="K110" s="281" t="n"/>
      <c r="L110" s="273">
        <f>IF(OR(A110="",K110="",C110="",NOT(ISNUMBER($Z$6))),"",ROUND(K110*C110*$Z$6,2))</f>
        <v/>
      </c>
      <c r="M110" s="282">
        <f>IF(OR(E110="",G110=""),"",ROUND(MAX(E110-G110,0),2))</f>
        <v/>
      </c>
      <c r="N110" s="273">
        <f>IF(OR(M110="",C110="",NOT(ISNUMBER($Z$3))),"",ROUND(M110*C110*$Z$3,2))</f>
        <v/>
      </c>
      <c r="O110" s="282">
        <f>IF(OR(G110="",I110=""),"",ROUND(MAX(G110-I110,0),2))</f>
        <v/>
      </c>
      <c r="P110" s="273">
        <f>IF(OR(O110="",C110="",NOT(ISNUMBER($Z$4))),"",ROUND(O110*C110*$Z$4,2))</f>
        <v/>
      </c>
      <c r="Q110" s="282">
        <f>IF(OR(I110="",K110=""),"",ROUND(MAX(I110-K110,0),2))</f>
        <v/>
      </c>
      <c r="R110" s="273">
        <f>IF(OR(Q110="",C110="",NOT(ISNUMBER($Z$5))),"",ROUND(Q110*C110*$Z$5,2))</f>
        <v/>
      </c>
      <c r="S110" s="296" t="n"/>
      <c r="T110" s="297" t="n"/>
      <c r="U110" s="284">
        <f>IF(A110="","",IF(AND(G110&lt;&gt;"",E110&lt;&gt;"",G110&gt;E110),"ALERTA: REM_C2&gt;REM_C1",IF(AND(I110&lt;&gt;"",G110&lt;&gt;"",I110&gt;G110),"ALERTA: REM_C3&gt;REM_C2",IF(AND(K110&lt;&gt;"",I110&lt;&gt;"",K110&gt;I110),"ALERTA: REM_C4&gt;REM_C3","OK"))))</f>
        <v/>
      </c>
      <c r="V110" s="284">
        <f>IF(A110="","",IF(B110="","",IF(OR(B110&lt;0,E110&gt;B110,G110&gt;B110,I110&gt;B110,K110&gt;B110),"ALERTA: QTD_INVALIDA","OK")))</f>
        <v/>
      </c>
      <c r="W110" s="27" t="n"/>
      <c r="X110" s="27" t="n"/>
      <c r="Y110" s="27" t="n"/>
      <c r="Z110" s="27" t="n"/>
      <c r="AA110" s="27" t="n"/>
      <c r="AB110" s="282">
        <f>IF(OR(A110="",E110=""),"",ROUND(B110-E110,2))</f>
        <v/>
      </c>
      <c r="AC110" s="273">
        <f>IF(OR(A110="",E110=""),"",ROUND(D110-E110*C110,2))</f>
        <v/>
      </c>
      <c r="AD110" s="27" t="n"/>
    </row>
    <row r="111">
      <c r="A111" s="278" t="n"/>
      <c r="B111" s="279" t="n"/>
      <c r="C111" s="280" t="n"/>
      <c r="D111" s="273">
        <f>IF(OR(A111="",B111="",C111=""),"",ROUND(B111*C111,2))</f>
        <v/>
      </c>
      <c r="E111" s="281" t="n"/>
      <c r="F111" s="273">
        <f>IF(OR(A111="",E111="",C111="",NOT(ISNUMBER($Z$3))),"",ROUND(E111*C111*$Z$3,2))</f>
        <v/>
      </c>
      <c r="G111" s="281" t="n"/>
      <c r="H111" s="273">
        <f>IF(OR(A111="",G111="",C111="",NOT(ISNUMBER($Z$4))),"",ROUND(G111*C111*$Z$4,2))</f>
        <v/>
      </c>
      <c r="I111" s="281" t="n"/>
      <c r="J111" s="273">
        <f>IF(OR(A111="",I111="",C111="",NOT(ISNUMBER($Z$5))),"",ROUND(I111*C111*$Z$5,2))</f>
        <v/>
      </c>
      <c r="K111" s="281" t="n"/>
      <c r="L111" s="273">
        <f>IF(OR(A111="",K111="",C111="",NOT(ISNUMBER($Z$6))),"",ROUND(K111*C111*$Z$6,2))</f>
        <v/>
      </c>
      <c r="M111" s="282">
        <f>IF(OR(E111="",G111=""),"",ROUND(MAX(E111-G111,0),2))</f>
        <v/>
      </c>
      <c r="N111" s="273">
        <f>IF(OR(M111="",C111="",NOT(ISNUMBER($Z$3))),"",ROUND(M111*C111*$Z$3,2))</f>
        <v/>
      </c>
      <c r="O111" s="282">
        <f>IF(OR(G111="",I111=""),"",ROUND(MAX(G111-I111,0),2))</f>
        <v/>
      </c>
      <c r="P111" s="273">
        <f>IF(OR(O111="",C111="",NOT(ISNUMBER($Z$4))),"",ROUND(O111*C111*$Z$4,2))</f>
        <v/>
      </c>
      <c r="Q111" s="282">
        <f>IF(OR(I111="",K111=""),"",ROUND(MAX(I111-K111,0),2))</f>
        <v/>
      </c>
      <c r="R111" s="273">
        <f>IF(OR(Q111="",C111="",NOT(ISNUMBER($Z$5))),"",ROUND(Q111*C111*$Z$5,2))</f>
        <v/>
      </c>
      <c r="S111" s="296" t="n"/>
      <c r="T111" s="297" t="n"/>
      <c r="U111" s="284">
        <f>IF(A111="","",IF(AND(G111&lt;&gt;"",E111&lt;&gt;"",G111&gt;E111),"ALERTA: REM_C2&gt;REM_C1",IF(AND(I111&lt;&gt;"",G111&lt;&gt;"",I111&gt;G111),"ALERTA: REM_C3&gt;REM_C2",IF(AND(K111&lt;&gt;"",I111&lt;&gt;"",K111&gt;I111),"ALERTA: REM_C4&gt;REM_C3","OK"))))</f>
        <v/>
      </c>
      <c r="V111" s="284">
        <f>IF(A111="","",IF(B111="","",IF(OR(B111&lt;0,E111&gt;B111,G111&gt;B111,I111&gt;B111,K111&gt;B111),"ALERTA: QTD_INVALIDA","OK")))</f>
        <v/>
      </c>
      <c r="W111" s="27" t="n"/>
      <c r="X111" s="27" t="n"/>
      <c r="Y111" s="27" t="n"/>
      <c r="Z111" s="27" t="n"/>
      <c r="AA111" s="27" t="n"/>
      <c r="AB111" s="282">
        <f>IF(OR(A111="",E111=""),"",ROUND(B111-E111,2))</f>
        <v/>
      </c>
      <c r="AC111" s="273">
        <f>IF(OR(A111="",E111=""),"",ROUND(D111-E111*C111,2))</f>
        <v/>
      </c>
      <c r="AD111" s="27" t="n"/>
    </row>
    <row r="112">
      <c r="A112" s="278" t="n"/>
      <c r="B112" s="279" t="n"/>
      <c r="C112" s="280" t="n"/>
      <c r="D112" s="273">
        <f>IF(OR(A112="",B112="",C112=""),"",ROUND(B112*C112,2))</f>
        <v/>
      </c>
      <c r="E112" s="281" t="n"/>
      <c r="F112" s="273">
        <f>IF(OR(A112="",E112="",C112="",NOT(ISNUMBER($Z$3))),"",ROUND(E112*C112*$Z$3,2))</f>
        <v/>
      </c>
      <c r="G112" s="281" t="n"/>
      <c r="H112" s="273">
        <f>IF(OR(A112="",G112="",C112="",NOT(ISNUMBER($Z$4))),"",ROUND(G112*C112*$Z$4,2))</f>
        <v/>
      </c>
      <c r="I112" s="281" t="n"/>
      <c r="J112" s="273">
        <f>IF(OR(A112="",I112="",C112="",NOT(ISNUMBER($Z$5))),"",ROUND(I112*C112*$Z$5,2))</f>
        <v/>
      </c>
      <c r="K112" s="281" t="n"/>
      <c r="L112" s="273">
        <f>IF(OR(A112="",K112="",C112="",NOT(ISNUMBER($Z$6))),"",ROUND(K112*C112*$Z$6,2))</f>
        <v/>
      </c>
      <c r="M112" s="282">
        <f>IF(OR(E112="",G112=""),"",ROUND(MAX(E112-G112,0),2))</f>
        <v/>
      </c>
      <c r="N112" s="273">
        <f>IF(OR(M112="",C112="",NOT(ISNUMBER($Z$3))),"",ROUND(M112*C112*$Z$3,2))</f>
        <v/>
      </c>
      <c r="O112" s="282">
        <f>IF(OR(G112="",I112=""),"",ROUND(MAX(G112-I112,0),2))</f>
        <v/>
      </c>
      <c r="P112" s="273">
        <f>IF(OR(O112="",C112="",NOT(ISNUMBER($Z$4))),"",ROUND(O112*C112*$Z$4,2))</f>
        <v/>
      </c>
      <c r="Q112" s="282">
        <f>IF(OR(I112="",K112=""),"",ROUND(MAX(I112-K112,0),2))</f>
        <v/>
      </c>
      <c r="R112" s="273">
        <f>IF(OR(Q112="",C112="",NOT(ISNUMBER($Z$5))),"",ROUND(Q112*C112*$Z$5,2))</f>
        <v/>
      </c>
      <c r="S112" s="296" t="n"/>
      <c r="T112" s="297" t="n"/>
      <c r="U112" s="284">
        <f>IF(A112="","",IF(AND(G112&lt;&gt;"",E112&lt;&gt;"",G112&gt;E112),"ALERTA: REM_C2&gt;REM_C1",IF(AND(I112&lt;&gt;"",G112&lt;&gt;"",I112&gt;G112),"ALERTA: REM_C3&gt;REM_C2",IF(AND(K112&lt;&gt;"",I112&lt;&gt;"",K112&gt;I112),"ALERTA: REM_C4&gt;REM_C3","OK"))))</f>
        <v/>
      </c>
      <c r="V112" s="284">
        <f>IF(A112="","",IF(B112="","",IF(OR(B112&lt;0,E112&gt;B112,G112&gt;B112,I112&gt;B112,K112&gt;B112),"ALERTA: QTD_INVALIDA","OK")))</f>
        <v/>
      </c>
      <c r="W112" s="27" t="n"/>
      <c r="X112" s="27" t="n"/>
      <c r="Y112" s="27" t="n"/>
      <c r="Z112" s="27" t="n"/>
      <c r="AA112" s="27" t="n"/>
      <c r="AB112" s="282">
        <f>IF(OR(A112="",E112=""),"",ROUND(B112-E112,2))</f>
        <v/>
      </c>
      <c r="AC112" s="273">
        <f>IF(OR(A112="",E112=""),"",ROUND(D112-E112*C112,2))</f>
        <v/>
      </c>
      <c r="AD112" s="27" t="n"/>
    </row>
    <row r="113">
      <c r="A113" s="278" t="n"/>
      <c r="B113" s="279" t="n"/>
      <c r="C113" s="280" t="n"/>
      <c r="D113" s="273">
        <f>IF(OR(A113="",B113="",C113=""),"",ROUND(B113*C113,2))</f>
        <v/>
      </c>
      <c r="E113" s="281" t="n"/>
      <c r="F113" s="273">
        <f>IF(OR(A113="",E113="",C113="",NOT(ISNUMBER($Z$3))),"",ROUND(E113*C113*$Z$3,2))</f>
        <v/>
      </c>
      <c r="G113" s="281" t="n"/>
      <c r="H113" s="273">
        <f>IF(OR(A113="",G113="",C113="",NOT(ISNUMBER($Z$4))),"",ROUND(G113*C113*$Z$4,2))</f>
        <v/>
      </c>
      <c r="I113" s="281" t="n"/>
      <c r="J113" s="273">
        <f>IF(OR(A113="",I113="",C113="",NOT(ISNUMBER($Z$5))),"",ROUND(I113*C113*$Z$5,2))</f>
        <v/>
      </c>
      <c r="K113" s="281" t="n"/>
      <c r="L113" s="273">
        <f>IF(OR(A113="",K113="",C113="",NOT(ISNUMBER($Z$6))),"",ROUND(K113*C113*$Z$6,2))</f>
        <v/>
      </c>
      <c r="M113" s="282">
        <f>IF(OR(E113="",G113=""),"",ROUND(MAX(E113-G113,0),2))</f>
        <v/>
      </c>
      <c r="N113" s="273">
        <f>IF(OR(M113="",C113="",NOT(ISNUMBER($Z$3))),"",ROUND(M113*C113*$Z$3,2))</f>
        <v/>
      </c>
      <c r="O113" s="282">
        <f>IF(OR(G113="",I113=""),"",ROUND(MAX(G113-I113,0),2))</f>
        <v/>
      </c>
      <c r="P113" s="273">
        <f>IF(OR(O113="",C113="",NOT(ISNUMBER($Z$4))),"",ROUND(O113*C113*$Z$4,2))</f>
        <v/>
      </c>
      <c r="Q113" s="282">
        <f>IF(OR(I113="",K113=""),"",ROUND(MAX(I113-K113,0),2))</f>
        <v/>
      </c>
      <c r="R113" s="273">
        <f>IF(OR(Q113="",C113="",NOT(ISNUMBER($Z$5))),"",ROUND(Q113*C113*$Z$5,2))</f>
        <v/>
      </c>
      <c r="S113" s="296" t="n"/>
      <c r="T113" s="297" t="n"/>
      <c r="U113" s="284">
        <f>IF(A113="","",IF(AND(G113&lt;&gt;"",E113&lt;&gt;"",G113&gt;E113),"ALERTA: REM_C2&gt;REM_C1",IF(AND(I113&lt;&gt;"",G113&lt;&gt;"",I113&gt;G113),"ALERTA: REM_C3&gt;REM_C2",IF(AND(K113&lt;&gt;"",I113&lt;&gt;"",K113&gt;I113),"ALERTA: REM_C4&gt;REM_C3","OK"))))</f>
        <v/>
      </c>
      <c r="V113" s="284">
        <f>IF(A113="","",IF(B113="","",IF(OR(B113&lt;0,E113&gt;B113,G113&gt;B113,I113&gt;B113,K113&gt;B113),"ALERTA: QTD_INVALIDA","OK")))</f>
        <v/>
      </c>
      <c r="W113" s="27" t="n"/>
      <c r="X113" s="27" t="n"/>
      <c r="Y113" s="27" t="n"/>
      <c r="Z113" s="27" t="n"/>
      <c r="AA113" s="27" t="n"/>
      <c r="AB113" s="282">
        <f>IF(OR(A113="",E113=""),"",ROUND(B113-E113,2))</f>
        <v/>
      </c>
      <c r="AC113" s="273">
        <f>IF(OR(A113="",E113=""),"",ROUND(D113-E113*C113,2))</f>
        <v/>
      </c>
      <c r="AD113" s="27" t="n"/>
    </row>
    <row r="114">
      <c r="A114" s="278" t="n"/>
      <c r="B114" s="279" t="n"/>
      <c r="C114" s="280" t="n"/>
      <c r="D114" s="273">
        <f>IF(OR(A114="",B114="",C114=""),"",ROUND(B114*C114,2))</f>
        <v/>
      </c>
      <c r="E114" s="281" t="n"/>
      <c r="F114" s="273">
        <f>IF(OR(A114="",E114="",C114="",NOT(ISNUMBER($Z$3))),"",ROUND(E114*C114*$Z$3,2))</f>
        <v/>
      </c>
      <c r="G114" s="281" t="n"/>
      <c r="H114" s="273">
        <f>IF(OR(A114="",G114="",C114="",NOT(ISNUMBER($Z$4))),"",ROUND(G114*C114*$Z$4,2))</f>
        <v/>
      </c>
      <c r="I114" s="281" t="n"/>
      <c r="J114" s="273">
        <f>IF(OR(A114="",I114="",C114="",NOT(ISNUMBER($Z$5))),"",ROUND(I114*C114*$Z$5,2))</f>
        <v/>
      </c>
      <c r="K114" s="281" t="n"/>
      <c r="L114" s="273">
        <f>IF(OR(A114="",K114="",C114="",NOT(ISNUMBER($Z$6))),"",ROUND(K114*C114*$Z$6,2))</f>
        <v/>
      </c>
      <c r="M114" s="282">
        <f>IF(OR(E114="",G114=""),"",ROUND(MAX(E114-G114,0),2))</f>
        <v/>
      </c>
      <c r="N114" s="273">
        <f>IF(OR(M114="",C114="",NOT(ISNUMBER($Z$3))),"",ROUND(M114*C114*$Z$3,2))</f>
        <v/>
      </c>
      <c r="O114" s="282">
        <f>IF(OR(G114="",I114=""),"",ROUND(MAX(G114-I114,0),2))</f>
        <v/>
      </c>
      <c r="P114" s="273">
        <f>IF(OR(O114="",C114="",NOT(ISNUMBER($Z$4))),"",ROUND(O114*C114*$Z$4,2))</f>
        <v/>
      </c>
      <c r="Q114" s="282">
        <f>IF(OR(I114="",K114=""),"",ROUND(MAX(I114-K114,0),2))</f>
        <v/>
      </c>
      <c r="R114" s="273">
        <f>IF(OR(Q114="",C114="",NOT(ISNUMBER($Z$5))),"",ROUND(Q114*C114*$Z$5,2))</f>
        <v/>
      </c>
      <c r="S114" s="296" t="n"/>
      <c r="T114" s="297" t="n"/>
      <c r="U114" s="284">
        <f>IF(A114="","",IF(AND(G114&lt;&gt;"",E114&lt;&gt;"",G114&gt;E114),"ALERTA: REM_C2&gt;REM_C1",IF(AND(I114&lt;&gt;"",G114&lt;&gt;"",I114&gt;G114),"ALERTA: REM_C3&gt;REM_C2",IF(AND(K114&lt;&gt;"",I114&lt;&gt;"",K114&gt;I114),"ALERTA: REM_C4&gt;REM_C3","OK"))))</f>
        <v/>
      </c>
      <c r="V114" s="284">
        <f>IF(A114="","",IF(B114="","",IF(OR(B114&lt;0,E114&gt;B114,G114&gt;B114,I114&gt;B114,K114&gt;B114),"ALERTA: QTD_INVALIDA","OK")))</f>
        <v/>
      </c>
      <c r="W114" s="27" t="n"/>
      <c r="X114" s="27" t="n"/>
      <c r="Y114" s="27" t="n"/>
      <c r="Z114" s="27" t="n"/>
      <c r="AA114" s="27" t="n"/>
      <c r="AB114" s="282">
        <f>IF(OR(A114="",E114=""),"",ROUND(B114-E114,2))</f>
        <v/>
      </c>
      <c r="AC114" s="273">
        <f>IF(OR(A114="",E114=""),"",ROUND(D114-E114*C114,2))</f>
        <v/>
      </c>
      <c r="AD114" s="27" t="n"/>
    </row>
    <row r="115">
      <c r="A115" s="278" t="n"/>
      <c r="B115" s="279" t="n"/>
      <c r="C115" s="280" t="n"/>
      <c r="D115" s="273">
        <f>IF(OR(A115="",B115="",C115=""),"",ROUND(B115*C115,2))</f>
        <v/>
      </c>
      <c r="E115" s="281" t="n"/>
      <c r="F115" s="273">
        <f>IF(OR(A115="",E115="",C115="",NOT(ISNUMBER($Z$3))),"",ROUND(E115*C115*$Z$3,2))</f>
        <v/>
      </c>
      <c r="G115" s="281" t="n"/>
      <c r="H115" s="273">
        <f>IF(OR(A115="",G115="",C115="",NOT(ISNUMBER($Z$4))),"",ROUND(G115*C115*$Z$4,2))</f>
        <v/>
      </c>
      <c r="I115" s="281" t="n"/>
      <c r="J115" s="273">
        <f>IF(OR(A115="",I115="",C115="",NOT(ISNUMBER($Z$5))),"",ROUND(I115*C115*$Z$5,2))</f>
        <v/>
      </c>
      <c r="K115" s="281" t="n"/>
      <c r="L115" s="273">
        <f>IF(OR(A115="",K115="",C115="",NOT(ISNUMBER($Z$6))),"",ROUND(K115*C115*$Z$6,2))</f>
        <v/>
      </c>
      <c r="M115" s="282">
        <f>IF(OR(E115="",G115=""),"",ROUND(MAX(E115-G115,0),2))</f>
        <v/>
      </c>
      <c r="N115" s="273">
        <f>IF(OR(M115="",C115="",NOT(ISNUMBER($Z$3))),"",ROUND(M115*C115*$Z$3,2))</f>
        <v/>
      </c>
      <c r="O115" s="282">
        <f>IF(OR(G115="",I115=""),"",ROUND(MAX(G115-I115,0),2))</f>
        <v/>
      </c>
      <c r="P115" s="273">
        <f>IF(OR(O115="",C115="",NOT(ISNUMBER($Z$4))),"",ROUND(O115*C115*$Z$4,2))</f>
        <v/>
      </c>
      <c r="Q115" s="282">
        <f>IF(OR(I115="",K115=""),"",ROUND(MAX(I115-K115,0),2))</f>
        <v/>
      </c>
      <c r="R115" s="273">
        <f>IF(OR(Q115="",C115="",NOT(ISNUMBER($Z$5))),"",ROUND(Q115*C115*$Z$5,2))</f>
        <v/>
      </c>
      <c r="S115" s="296" t="n"/>
      <c r="T115" s="297" t="n"/>
      <c r="U115" s="284">
        <f>IF(A115="","",IF(AND(G115&lt;&gt;"",E115&lt;&gt;"",G115&gt;E115),"ALERTA: REM_C2&gt;REM_C1",IF(AND(I115&lt;&gt;"",G115&lt;&gt;"",I115&gt;G115),"ALERTA: REM_C3&gt;REM_C2",IF(AND(K115&lt;&gt;"",I115&lt;&gt;"",K115&gt;I115),"ALERTA: REM_C4&gt;REM_C3","OK"))))</f>
        <v/>
      </c>
      <c r="V115" s="284">
        <f>IF(A115="","",IF(B115="","",IF(OR(B115&lt;0,E115&gt;B115,G115&gt;B115,I115&gt;B115,K115&gt;B115),"ALERTA: QTD_INVALIDA","OK")))</f>
        <v/>
      </c>
      <c r="W115" s="27" t="n"/>
      <c r="X115" s="27" t="n"/>
      <c r="Y115" s="27" t="n"/>
      <c r="Z115" s="27" t="n"/>
      <c r="AA115" s="27" t="n"/>
      <c r="AB115" s="282">
        <f>IF(OR(A115="",E115=""),"",ROUND(B115-E115,2))</f>
        <v/>
      </c>
      <c r="AC115" s="273">
        <f>IF(OR(A115="",E115=""),"",ROUND(D115-E115*C115,2))</f>
        <v/>
      </c>
      <c r="AD115" s="27" t="n"/>
    </row>
    <row r="116">
      <c r="A116" s="278" t="n"/>
      <c r="B116" s="279" t="n"/>
      <c r="C116" s="280" t="n"/>
      <c r="D116" s="273">
        <f>IF(OR(A116="",B116="",C116=""),"",ROUND(B116*C116,2))</f>
        <v/>
      </c>
      <c r="E116" s="281" t="n"/>
      <c r="F116" s="273">
        <f>IF(OR(A116="",E116="",C116="",NOT(ISNUMBER($Z$3))),"",ROUND(E116*C116*$Z$3,2))</f>
        <v/>
      </c>
      <c r="G116" s="281" t="n"/>
      <c r="H116" s="273">
        <f>IF(OR(A116="",G116="",C116="",NOT(ISNUMBER($Z$4))),"",ROUND(G116*C116*$Z$4,2))</f>
        <v/>
      </c>
      <c r="I116" s="281" t="n"/>
      <c r="J116" s="273">
        <f>IF(OR(A116="",I116="",C116="",NOT(ISNUMBER($Z$5))),"",ROUND(I116*C116*$Z$5,2))</f>
        <v/>
      </c>
      <c r="K116" s="281" t="n"/>
      <c r="L116" s="273">
        <f>IF(OR(A116="",K116="",C116="",NOT(ISNUMBER($Z$6))),"",ROUND(K116*C116*$Z$6,2))</f>
        <v/>
      </c>
      <c r="M116" s="282">
        <f>IF(OR(E116="",G116=""),"",ROUND(MAX(E116-G116,0),2))</f>
        <v/>
      </c>
      <c r="N116" s="273">
        <f>IF(OR(M116="",C116="",NOT(ISNUMBER($Z$3))),"",ROUND(M116*C116*$Z$3,2))</f>
        <v/>
      </c>
      <c r="O116" s="282">
        <f>IF(OR(G116="",I116=""),"",ROUND(MAX(G116-I116,0),2))</f>
        <v/>
      </c>
      <c r="P116" s="273">
        <f>IF(OR(O116="",C116="",NOT(ISNUMBER($Z$4))),"",ROUND(O116*C116*$Z$4,2))</f>
        <v/>
      </c>
      <c r="Q116" s="282">
        <f>IF(OR(I116="",K116=""),"",ROUND(MAX(I116-K116,0),2))</f>
        <v/>
      </c>
      <c r="R116" s="273">
        <f>IF(OR(Q116="",C116="",NOT(ISNUMBER($Z$5))),"",ROUND(Q116*C116*$Z$5,2))</f>
        <v/>
      </c>
      <c r="S116" s="296" t="n"/>
      <c r="T116" s="297" t="n"/>
      <c r="U116" s="284">
        <f>IF(A116="","",IF(AND(G116&lt;&gt;"",E116&lt;&gt;"",G116&gt;E116),"ALERTA: REM_C2&gt;REM_C1",IF(AND(I116&lt;&gt;"",G116&lt;&gt;"",I116&gt;G116),"ALERTA: REM_C3&gt;REM_C2",IF(AND(K116&lt;&gt;"",I116&lt;&gt;"",K116&gt;I116),"ALERTA: REM_C4&gt;REM_C3","OK"))))</f>
        <v/>
      </c>
      <c r="V116" s="284">
        <f>IF(A116="","",IF(B116="","",IF(OR(B116&lt;0,E116&gt;B116,G116&gt;B116,I116&gt;B116,K116&gt;B116),"ALERTA: QTD_INVALIDA","OK")))</f>
        <v/>
      </c>
      <c r="W116" s="27" t="n"/>
      <c r="X116" s="27" t="n"/>
      <c r="Y116" s="27" t="n"/>
      <c r="Z116" s="27" t="n"/>
      <c r="AA116" s="27" t="n"/>
      <c r="AB116" s="282">
        <f>IF(OR(A116="",E116=""),"",ROUND(B116-E116,2))</f>
        <v/>
      </c>
      <c r="AC116" s="273">
        <f>IF(OR(A116="",E116=""),"",ROUND(D116-E116*C116,2))</f>
        <v/>
      </c>
      <c r="AD116" s="27" t="n"/>
    </row>
    <row r="117">
      <c r="A117" s="278" t="n"/>
      <c r="B117" s="279" t="n"/>
      <c r="C117" s="280" t="n"/>
      <c r="D117" s="273">
        <f>IF(OR(A117="",B117="",C117=""),"",ROUND(B117*C117,2))</f>
        <v/>
      </c>
      <c r="E117" s="281" t="n"/>
      <c r="F117" s="273">
        <f>IF(OR(A117="",E117="",C117="",NOT(ISNUMBER($Z$3))),"",ROUND(E117*C117*$Z$3,2))</f>
        <v/>
      </c>
      <c r="G117" s="281" t="n"/>
      <c r="H117" s="273">
        <f>IF(OR(A117="",G117="",C117="",NOT(ISNUMBER($Z$4))),"",ROUND(G117*C117*$Z$4,2))</f>
        <v/>
      </c>
      <c r="I117" s="281" t="n"/>
      <c r="J117" s="273">
        <f>IF(OR(A117="",I117="",C117="",NOT(ISNUMBER($Z$5))),"",ROUND(I117*C117*$Z$5,2))</f>
        <v/>
      </c>
      <c r="K117" s="281" t="n"/>
      <c r="L117" s="273">
        <f>IF(OR(A117="",K117="",C117="",NOT(ISNUMBER($Z$6))),"",ROUND(K117*C117*$Z$6,2))</f>
        <v/>
      </c>
      <c r="M117" s="282">
        <f>IF(OR(E117="",G117=""),"",ROUND(MAX(E117-G117,0),2))</f>
        <v/>
      </c>
      <c r="N117" s="273">
        <f>IF(OR(M117="",C117="",NOT(ISNUMBER($Z$3))),"",ROUND(M117*C117*$Z$3,2))</f>
        <v/>
      </c>
      <c r="O117" s="282">
        <f>IF(OR(G117="",I117=""),"",ROUND(MAX(G117-I117,0),2))</f>
        <v/>
      </c>
      <c r="P117" s="273">
        <f>IF(OR(O117="",C117="",NOT(ISNUMBER($Z$4))),"",ROUND(O117*C117*$Z$4,2))</f>
        <v/>
      </c>
      <c r="Q117" s="282">
        <f>IF(OR(I117="",K117=""),"",ROUND(MAX(I117-K117,0),2))</f>
        <v/>
      </c>
      <c r="R117" s="273">
        <f>IF(OR(Q117="",C117="",NOT(ISNUMBER($Z$5))),"",ROUND(Q117*C117*$Z$5,2))</f>
        <v/>
      </c>
      <c r="S117" s="296" t="n"/>
      <c r="T117" s="297" t="n"/>
      <c r="U117" s="284">
        <f>IF(A117="","",IF(AND(G117&lt;&gt;"",E117&lt;&gt;"",G117&gt;E117),"ALERTA: REM_C2&gt;REM_C1",IF(AND(I117&lt;&gt;"",G117&lt;&gt;"",I117&gt;G117),"ALERTA: REM_C3&gt;REM_C2",IF(AND(K117&lt;&gt;"",I117&lt;&gt;"",K117&gt;I117),"ALERTA: REM_C4&gt;REM_C3","OK"))))</f>
        <v/>
      </c>
      <c r="V117" s="284">
        <f>IF(A117="","",IF(B117="","",IF(OR(B117&lt;0,E117&gt;B117,G117&gt;B117,I117&gt;B117,K117&gt;B117),"ALERTA: QTD_INVALIDA","OK")))</f>
        <v/>
      </c>
      <c r="W117" s="27" t="n"/>
      <c r="X117" s="27" t="n"/>
      <c r="Y117" s="27" t="n"/>
      <c r="Z117" s="27" t="n"/>
      <c r="AA117" s="27" t="n"/>
      <c r="AB117" s="282">
        <f>IF(OR(A117="",E117=""),"",ROUND(B117-E117,2))</f>
        <v/>
      </c>
      <c r="AC117" s="273">
        <f>IF(OR(A117="",E117=""),"",ROUND(D117-E117*C117,2))</f>
        <v/>
      </c>
      <c r="AD117" s="27" t="n"/>
    </row>
    <row r="118">
      <c r="A118" s="278" t="n"/>
      <c r="B118" s="279" t="n"/>
      <c r="C118" s="280" t="n"/>
      <c r="D118" s="273">
        <f>IF(OR(A118="",B118="",C118=""),"",ROUND(B118*C118,2))</f>
        <v/>
      </c>
      <c r="E118" s="281" t="n"/>
      <c r="F118" s="273">
        <f>IF(OR(A118="",E118="",C118="",NOT(ISNUMBER($Z$3))),"",ROUND(E118*C118*$Z$3,2))</f>
        <v/>
      </c>
      <c r="G118" s="281" t="n"/>
      <c r="H118" s="273">
        <f>IF(OR(A118="",G118="",C118="",NOT(ISNUMBER($Z$4))),"",ROUND(G118*C118*$Z$4,2))</f>
        <v/>
      </c>
      <c r="I118" s="281" t="n"/>
      <c r="J118" s="273">
        <f>IF(OR(A118="",I118="",C118="",NOT(ISNUMBER($Z$5))),"",ROUND(I118*C118*$Z$5,2))</f>
        <v/>
      </c>
      <c r="K118" s="281" t="n"/>
      <c r="L118" s="273">
        <f>IF(OR(A118="",K118="",C118="",NOT(ISNUMBER($Z$6))),"",ROUND(K118*C118*$Z$6,2))</f>
        <v/>
      </c>
      <c r="M118" s="282">
        <f>IF(OR(E118="",G118=""),"",ROUND(MAX(E118-G118,0),2))</f>
        <v/>
      </c>
      <c r="N118" s="273">
        <f>IF(OR(M118="",C118="",NOT(ISNUMBER($Z$3))),"",ROUND(M118*C118*$Z$3,2))</f>
        <v/>
      </c>
      <c r="O118" s="282">
        <f>IF(OR(G118="",I118=""),"",ROUND(MAX(G118-I118,0),2))</f>
        <v/>
      </c>
      <c r="P118" s="273">
        <f>IF(OR(O118="",C118="",NOT(ISNUMBER($Z$4))),"",ROUND(O118*C118*$Z$4,2))</f>
        <v/>
      </c>
      <c r="Q118" s="282">
        <f>IF(OR(I118="",K118=""),"",ROUND(MAX(I118-K118,0),2))</f>
        <v/>
      </c>
      <c r="R118" s="273">
        <f>IF(OR(Q118="",C118="",NOT(ISNUMBER($Z$5))),"",ROUND(Q118*C118*$Z$5,2))</f>
        <v/>
      </c>
      <c r="S118" s="296" t="n"/>
      <c r="T118" s="297" t="n"/>
      <c r="U118" s="284">
        <f>IF(A118="","",IF(AND(G118&lt;&gt;"",E118&lt;&gt;"",G118&gt;E118),"ALERTA: REM_C2&gt;REM_C1",IF(AND(I118&lt;&gt;"",G118&lt;&gt;"",I118&gt;G118),"ALERTA: REM_C3&gt;REM_C2",IF(AND(K118&lt;&gt;"",I118&lt;&gt;"",K118&gt;I118),"ALERTA: REM_C4&gt;REM_C3","OK"))))</f>
        <v/>
      </c>
      <c r="V118" s="284">
        <f>IF(A118="","",IF(B118="","",IF(OR(B118&lt;0,E118&gt;B118,G118&gt;B118,I118&gt;B118,K118&gt;B118),"ALERTA: QTD_INVALIDA","OK")))</f>
        <v/>
      </c>
      <c r="W118" s="27" t="n"/>
      <c r="X118" s="27" t="n"/>
      <c r="Y118" s="27" t="n"/>
      <c r="Z118" s="27" t="n"/>
      <c r="AA118" s="27" t="n"/>
      <c r="AB118" s="282">
        <f>IF(OR(A118="",E118=""),"",ROUND(B118-E118,2))</f>
        <v/>
      </c>
      <c r="AC118" s="273">
        <f>IF(OR(A118="",E118=""),"",ROUND(D118-E118*C118,2))</f>
        <v/>
      </c>
      <c r="AD118" s="27" t="n"/>
    </row>
    <row r="119">
      <c r="A119" s="278" t="n"/>
      <c r="B119" s="279" t="n"/>
      <c r="C119" s="280" t="n"/>
      <c r="D119" s="273">
        <f>IF(OR(A119="",B119="",C119=""),"",ROUND(B119*C119,2))</f>
        <v/>
      </c>
      <c r="E119" s="281" t="n"/>
      <c r="F119" s="273">
        <f>IF(OR(A119="",E119="",C119="",NOT(ISNUMBER($Z$3))),"",ROUND(E119*C119*$Z$3,2))</f>
        <v/>
      </c>
      <c r="G119" s="281" t="n"/>
      <c r="H119" s="273">
        <f>IF(OR(A119="",G119="",C119="",NOT(ISNUMBER($Z$4))),"",ROUND(G119*C119*$Z$4,2))</f>
        <v/>
      </c>
      <c r="I119" s="281" t="n"/>
      <c r="J119" s="273">
        <f>IF(OR(A119="",I119="",C119="",NOT(ISNUMBER($Z$5))),"",ROUND(I119*C119*$Z$5,2))</f>
        <v/>
      </c>
      <c r="K119" s="281" t="n"/>
      <c r="L119" s="273">
        <f>IF(OR(A119="",K119="",C119="",NOT(ISNUMBER($Z$6))),"",ROUND(K119*C119*$Z$6,2))</f>
        <v/>
      </c>
      <c r="M119" s="282">
        <f>IF(OR(E119="",G119=""),"",ROUND(MAX(E119-G119,0),2))</f>
        <v/>
      </c>
      <c r="N119" s="273">
        <f>IF(OR(M119="",C119="",NOT(ISNUMBER($Z$3))),"",ROUND(M119*C119*$Z$3,2))</f>
        <v/>
      </c>
      <c r="O119" s="282">
        <f>IF(OR(G119="",I119=""),"",ROUND(MAX(G119-I119,0),2))</f>
        <v/>
      </c>
      <c r="P119" s="273">
        <f>IF(OR(O119="",C119="",NOT(ISNUMBER($Z$4))),"",ROUND(O119*C119*$Z$4,2))</f>
        <v/>
      </c>
      <c r="Q119" s="282">
        <f>IF(OR(I119="",K119=""),"",ROUND(MAX(I119-K119,0),2))</f>
        <v/>
      </c>
      <c r="R119" s="273">
        <f>IF(OR(Q119="",C119="",NOT(ISNUMBER($Z$5))),"",ROUND(Q119*C119*$Z$5,2))</f>
        <v/>
      </c>
      <c r="S119" s="296" t="n"/>
      <c r="T119" s="297" t="n"/>
      <c r="U119" s="284">
        <f>IF(A119="","",IF(AND(G119&lt;&gt;"",E119&lt;&gt;"",G119&gt;E119),"ALERTA: REM_C2&gt;REM_C1",IF(AND(I119&lt;&gt;"",G119&lt;&gt;"",I119&gt;G119),"ALERTA: REM_C3&gt;REM_C2",IF(AND(K119&lt;&gt;"",I119&lt;&gt;"",K119&gt;I119),"ALERTA: REM_C4&gt;REM_C3","OK"))))</f>
        <v/>
      </c>
      <c r="V119" s="284">
        <f>IF(A119="","",IF(B119="","",IF(OR(B119&lt;0,E119&gt;B119,G119&gt;B119,I119&gt;B119,K119&gt;B119),"ALERTA: QTD_INVALIDA","OK")))</f>
        <v/>
      </c>
      <c r="W119" s="27" t="n"/>
      <c r="X119" s="27" t="n"/>
      <c r="Y119" s="27" t="n"/>
      <c r="Z119" s="27" t="n"/>
      <c r="AA119" s="27" t="n"/>
      <c r="AB119" s="282">
        <f>IF(OR(A119="",E119=""),"",ROUND(B119-E119,2))</f>
        <v/>
      </c>
      <c r="AC119" s="273">
        <f>IF(OR(A119="",E119=""),"",ROUND(D119-E119*C119,2))</f>
        <v/>
      </c>
      <c r="AD119" s="27" t="n"/>
    </row>
    <row r="120">
      <c r="A120" s="278" t="n"/>
      <c r="B120" s="279" t="n"/>
      <c r="C120" s="280" t="n"/>
      <c r="D120" s="273">
        <f>IF(OR(A120="",B120="",C120=""),"",ROUND(B120*C120,2))</f>
        <v/>
      </c>
      <c r="E120" s="281" t="n"/>
      <c r="F120" s="273">
        <f>IF(OR(A120="",E120="",C120="",NOT(ISNUMBER($Z$3))),"",ROUND(E120*C120*$Z$3,2))</f>
        <v/>
      </c>
      <c r="G120" s="281" t="n"/>
      <c r="H120" s="273">
        <f>IF(OR(A120="",G120="",C120="",NOT(ISNUMBER($Z$4))),"",ROUND(G120*C120*$Z$4,2))</f>
        <v/>
      </c>
      <c r="I120" s="281" t="n"/>
      <c r="J120" s="273">
        <f>IF(OR(A120="",I120="",C120="",NOT(ISNUMBER($Z$5))),"",ROUND(I120*C120*$Z$5,2))</f>
        <v/>
      </c>
      <c r="K120" s="281" t="n"/>
      <c r="L120" s="273">
        <f>IF(OR(A120="",K120="",C120="",NOT(ISNUMBER($Z$6))),"",ROUND(K120*C120*$Z$6,2))</f>
        <v/>
      </c>
      <c r="M120" s="282">
        <f>IF(OR(E120="",G120=""),"",ROUND(MAX(E120-G120,0),2))</f>
        <v/>
      </c>
      <c r="N120" s="273">
        <f>IF(OR(M120="",C120="",NOT(ISNUMBER($Z$3))),"",ROUND(M120*C120*$Z$3,2))</f>
        <v/>
      </c>
      <c r="O120" s="282">
        <f>IF(OR(G120="",I120=""),"",ROUND(MAX(G120-I120,0),2))</f>
        <v/>
      </c>
      <c r="P120" s="273">
        <f>IF(OR(O120="",C120="",NOT(ISNUMBER($Z$4))),"",ROUND(O120*C120*$Z$4,2))</f>
        <v/>
      </c>
      <c r="Q120" s="282">
        <f>IF(OR(I120="",K120=""),"",ROUND(MAX(I120-K120,0),2))</f>
        <v/>
      </c>
      <c r="R120" s="273">
        <f>IF(OR(Q120="",C120="",NOT(ISNUMBER($Z$5))),"",ROUND(Q120*C120*$Z$5,2))</f>
        <v/>
      </c>
      <c r="S120" s="296" t="n"/>
      <c r="T120" s="297" t="n"/>
      <c r="U120" s="284">
        <f>IF(A120="","",IF(AND(G120&lt;&gt;"",E120&lt;&gt;"",G120&gt;E120),"ALERTA: REM_C2&gt;REM_C1",IF(AND(I120&lt;&gt;"",G120&lt;&gt;"",I120&gt;G120),"ALERTA: REM_C3&gt;REM_C2",IF(AND(K120&lt;&gt;"",I120&lt;&gt;"",K120&gt;I120),"ALERTA: REM_C4&gt;REM_C3","OK"))))</f>
        <v/>
      </c>
      <c r="V120" s="284">
        <f>IF(A120="","",IF(B120="","",IF(OR(B120&lt;0,E120&gt;B120,G120&gt;B120,I120&gt;B120,K120&gt;B120),"ALERTA: QTD_INVALIDA","OK")))</f>
        <v/>
      </c>
      <c r="W120" s="27" t="n"/>
      <c r="X120" s="27" t="n"/>
      <c r="Y120" s="27" t="n"/>
      <c r="Z120" s="27" t="n"/>
      <c r="AA120" s="27" t="n"/>
      <c r="AB120" s="282">
        <f>IF(OR(A120="",E120=""),"",ROUND(B120-E120,2))</f>
        <v/>
      </c>
      <c r="AC120" s="273">
        <f>IF(OR(A120="",E120=""),"",ROUND(D120-E120*C120,2))</f>
        <v/>
      </c>
      <c r="AD120" s="27" t="n"/>
    </row>
    <row r="121">
      <c r="A121" s="278" t="n"/>
      <c r="B121" s="279" t="n"/>
      <c r="C121" s="280" t="n"/>
      <c r="D121" s="273">
        <f>IF(OR(A121="",B121="",C121=""),"",ROUND(B121*C121,2))</f>
        <v/>
      </c>
      <c r="E121" s="281" t="n"/>
      <c r="F121" s="273">
        <f>IF(OR(A121="",E121="",C121="",NOT(ISNUMBER($Z$3))),"",ROUND(E121*C121*$Z$3,2))</f>
        <v/>
      </c>
      <c r="G121" s="281" t="n"/>
      <c r="H121" s="273">
        <f>IF(OR(A121="",G121="",C121="",NOT(ISNUMBER($Z$4))),"",ROUND(G121*C121*$Z$4,2))</f>
        <v/>
      </c>
      <c r="I121" s="281" t="n"/>
      <c r="J121" s="273">
        <f>IF(OR(A121="",I121="",C121="",NOT(ISNUMBER($Z$5))),"",ROUND(I121*C121*$Z$5,2))</f>
        <v/>
      </c>
      <c r="K121" s="281" t="n"/>
      <c r="L121" s="273">
        <f>IF(OR(A121="",K121="",C121="",NOT(ISNUMBER($Z$6))),"",ROUND(K121*C121*$Z$6,2))</f>
        <v/>
      </c>
      <c r="M121" s="282">
        <f>IF(OR(E121="",G121=""),"",ROUND(MAX(E121-G121,0),2))</f>
        <v/>
      </c>
      <c r="N121" s="273">
        <f>IF(OR(M121="",C121="",NOT(ISNUMBER($Z$3))),"",ROUND(M121*C121*$Z$3,2))</f>
        <v/>
      </c>
      <c r="O121" s="282">
        <f>IF(OR(G121="",I121=""),"",ROUND(MAX(G121-I121,0),2))</f>
        <v/>
      </c>
      <c r="P121" s="273">
        <f>IF(OR(O121="",C121="",NOT(ISNUMBER($Z$4))),"",ROUND(O121*C121*$Z$4,2))</f>
        <v/>
      </c>
      <c r="Q121" s="282">
        <f>IF(OR(I121="",K121=""),"",ROUND(MAX(I121-K121,0),2))</f>
        <v/>
      </c>
      <c r="R121" s="273">
        <f>IF(OR(Q121="",C121="",NOT(ISNUMBER($Z$5))),"",ROUND(Q121*C121*$Z$5,2))</f>
        <v/>
      </c>
      <c r="S121" s="296" t="n"/>
      <c r="T121" s="297" t="n"/>
      <c r="U121" s="284">
        <f>IF(A121="","",IF(AND(G121&lt;&gt;"",E121&lt;&gt;"",G121&gt;E121),"ALERTA: REM_C2&gt;REM_C1",IF(AND(I121&lt;&gt;"",G121&lt;&gt;"",I121&gt;G121),"ALERTA: REM_C3&gt;REM_C2",IF(AND(K121&lt;&gt;"",I121&lt;&gt;"",K121&gt;I121),"ALERTA: REM_C4&gt;REM_C3","OK"))))</f>
        <v/>
      </c>
      <c r="V121" s="284">
        <f>IF(A121="","",IF(B121="","",IF(OR(B121&lt;0,E121&gt;B121,G121&gt;B121,I121&gt;B121,K121&gt;B121),"ALERTA: QTD_INVALIDA","OK")))</f>
        <v/>
      </c>
      <c r="W121" s="27" t="n"/>
      <c r="X121" s="27" t="n"/>
      <c r="Y121" s="27" t="n"/>
      <c r="Z121" s="27" t="n"/>
      <c r="AA121" s="27" t="n"/>
      <c r="AB121" s="282">
        <f>IF(OR(A121="",E121=""),"",ROUND(B121-E121,2))</f>
        <v/>
      </c>
      <c r="AC121" s="273">
        <f>IF(OR(A121="",E121=""),"",ROUND(D121-E121*C121,2))</f>
        <v/>
      </c>
      <c r="AD121" s="27" t="n"/>
    </row>
    <row r="122">
      <c r="A122" s="278" t="n"/>
      <c r="B122" s="279" t="n"/>
      <c r="C122" s="280" t="n"/>
      <c r="D122" s="273">
        <f>IF(OR(A122="",B122="",C122=""),"",ROUND(B122*C122,2))</f>
        <v/>
      </c>
      <c r="E122" s="281" t="n"/>
      <c r="F122" s="273">
        <f>IF(OR(A122="",E122="",C122="",NOT(ISNUMBER($Z$3))),"",ROUND(E122*C122*$Z$3,2))</f>
        <v/>
      </c>
      <c r="G122" s="281" t="n"/>
      <c r="H122" s="273">
        <f>IF(OR(A122="",G122="",C122="",NOT(ISNUMBER($Z$4))),"",ROUND(G122*C122*$Z$4,2))</f>
        <v/>
      </c>
      <c r="I122" s="281" t="n"/>
      <c r="J122" s="273">
        <f>IF(OR(A122="",I122="",C122="",NOT(ISNUMBER($Z$5))),"",ROUND(I122*C122*$Z$5,2))</f>
        <v/>
      </c>
      <c r="K122" s="281" t="n"/>
      <c r="L122" s="273">
        <f>IF(OR(A122="",K122="",C122="",NOT(ISNUMBER($Z$6))),"",ROUND(K122*C122*$Z$6,2))</f>
        <v/>
      </c>
      <c r="M122" s="282">
        <f>IF(OR(E122="",G122=""),"",ROUND(MAX(E122-G122,0),2))</f>
        <v/>
      </c>
      <c r="N122" s="273">
        <f>IF(OR(M122="",C122="",NOT(ISNUMBER($Z$3))),"",ROUND(M122*C122*$Z$3,2))</f>
        <v/>
      </c>
      <c r="O122" s="282">
        <f>IF(OR(G122="",I122=""),"",ROUND(MAX(G122-I122,0),2))</f>
        <v/>
      </c>
      <c r="P122" s="273">
        <f>IF(OR(O122="",C122="",NOT(ISNUMBER($Z$4))),"",ROUND(O122*C122*$Z$4,2))</f>
        <v/>
      </c>
      <c r="Q122" s="282">
        <f>IF(OR(I122="",K122=""),"",ROUND(MAX(I122-K122,0),2))</f>
        <v/>
      </c>
      <c r="R122" s="273">
        <f>IF(OR(Q122="",C122="",NOT(ISNUMBER($Z$5))),"",ROUND(Q122*C122*$Z$5,2))</f>
        <v/>
      </c>
      <c r="S122" s="296" t="n"/>
      <c r="T122" s="297" t="n"/>
      <c r="U122" s="284">
        <f>IF(A122="","",IF(AND(G122&lt;&gt;"",E122&lt;&gt;"",G122&gt;E122),"ALERTA: REM_C2&gt;REM_C1",IF(AND(I122&lt;&gt;"",G122&lt;&gt;"",I122&gt;G122),"ALERTA: REM_C3&gt;REM_C2",IF(AND(K122&lt;&gt;"",I122&lt;&gt;"",K122&gt;I122),"ALERTA: REM_C4&gt;REM_C3","OK"))))</f>
        <v/>
      </c>
      <c r="V122" s="284">
        <f>IF(A122="","",IF(B122="","",IF(OR(B122&lt;0,E122&gt;B122,G122&gt;B122,I122&gt;B122,K122&gt;B122),"ALERTA: QTD_INVALIDA","OK")))</f>
        <v/>
      </c>
      <c r="W122" s="27" t="n"/>
      <c r="X122" s="27" t="n"/>
      <c r="Y122" s="27" t="n"/>
      <c r="Z122" s="27" t="n"/>
      <c r="AA122" s="27" t="n"/>
      <c r="AB122" s="282">
        <f>IF(OR(A122="",E122=""),"",ROUND(B122-E122,2))</f>
        <v/>
      </c>
      <c r="AC122" s="273">
        <f>IF(OR(A122="",E122=""),"",ROUND(D122-E122*C122,2))</f>
        <v/>
      </c>
      <c r="AD122" s="27" t="n"/>
    </row>
    <row r="123">
      <c r="A123" s="278" t="n"/>
      <c r="B123" s="279" t="n"/>
      <c r="C123" s="280" t="n"/>
      <c r="D123" s="273">
        <f>IF(OR(A123="",B123="",C123=""),"",ROUND(B123*C123,2))</f>
        <v/>
      </c>
      <c r="E123" s="281" t="n"/>
      <c r="F123" s="273">
        <f>IF(OR(A123="",E123="",C123="",NOT(ISNUMBER($Z$3))),"",ROUND(E123*C123*$Z$3,2))</f>
        <v/>
      </c>
      <c r="G123" s="281" t="n"/>
      <c r="H123" s="273">
        <f>IF(OR(A123="",G123="",C123="",NOT(ISNUMBER($Z$4))),"",ROUND(G123*C123*$Z$4,2))</f>
        <v/>
      </c>
      <c r="I123" s="281" t="n"/>
      <c r="J123" s="273">
        <f>IF(OR(A123="",I123="",C123="",NOT(ISNUMBER($Z$5))),"",ROUND(I123*C123*$Z$5,2))</f>
        <v/>
      </c>
      <c r="K123" s="281" t="n"/>
      <c r="L123" s="273">
        <f>IF(OR(A123="",K123="",C123="",NOT(ISNUMBER($Z$6))),"",ROUND(K123*C123*$Z$6,2))</f>
        <v/>
      </c>
      <c r="M123" s="282">
        <f>IF(OR(E123="",G123=""),"",ROUND(MAX(E123-G123,0),2))</f>
        <v/>
      </c>
      <c r="N123" s="273">
        <f>IF(OR(M123="",C123="",NOT(ISNUMBER($Z$3))),"",ROUND(M123*C123*$Z$3,2))</f>
        <v/>
      </c>
      <c r="O123" s="282">
        <f>IF(OR(G123="",I123=""),"",ROUND(MAX(G123-I123,0),2))</f>
        <v/>
      </c>
      <c r="P123" s="273">
        <f>IF(OR(O123="",C123="",NOT(ISNUMBER($Z$4))),"",ROUND(O123*C123*$Z$4,2))</f>
        <v/>
      </c>
      <c r="Q123" s="282">
        <f>IF(OR(I123="",K123=""),"",ROUND(MAX(I123-K123,0),2))</f>
        <v/>
      </c>
      <c r="R123" s="273">
        <f>IF(OR(Q123="",C123="",NOT(ISNUMBER($Z$5))),"",ROUND(Q123*C123*$Z$5,2))</f>
        <v/>
      </c>
      <c r="S123" s="296" t="n"/>
      <c r="T123" s="297" t="n"/>
      <c r="U123" s="284">
        <f>IF(A123="","",IF(AND(G123&lt;&gt;"",E123&lt;&gt;"",G123&gt;E123),"ALERTA: REM_C2&gt;REM_C1",IF(AND(I123&lt;&gt;"",G123&lt;&gt;"",I123&gt;G123),"ALERTA: REM_C3&gt;REM_C2",IF(AND(K123&lt;&gt;"",I123&lt;&gt;"",K123&gt;I123),"ALERTA: REM_C4&gt;REM_C3","OK"))))</f>
        <v/>
      </c>
      <c r="V123" s="284">
        <f>IF(A123="","",IF(B123="","",IF(OR(B123&lt;0,E123&gt;B123,G123&gt;B123,I123&gt;B123,K123&gt;B123),"ALERTA: QTD_INVALIDA","OK")))</f>
        <v/>
      </c>
      <c r="W123" s="27" t="n"/>
      <c r="X123" s="27" t="n"/>
      <c r="Y123" s="27" t="n"/>
      <c r="Z123" s="27" t="n"/>
      <c r="AA123" s="27" t="n"/>
      <c r="AB123" s="282">
        <f>IF(OR(A123="",E123=""),"",ROUND(B123-E123,2))</f>
        <v/>
      </c>
      <c r="AC123" s="273">
        <f>IF(OR(A123="",E123=""),"",ROUND(D123-E123*C123,2))</f>
        <v/>
      </c>
      <c r="AD123" s="27" t="n"/>
    </row>
    <row r="124">
      <c r="A124" s="278" t="n"/>
      <c r="B124" s="279" t="n"/>
      <c r="C124" s="280" t="n"/>
      <c r="D124" s="273">
        <f>IF(OR(A124="",B124="",C124=""),"",ROUND(B124*C124,2))</f>
        <v/>
      </c>
      <c r="E124" s="281" t="n"/>
      <c r="F124" s="273">
        <f>IF(OR(A124="",E124="",C124="",NOT(ISNUMBER($Z$3))),"",ROUND(E124*C124*$Z$3,2))</f>
        <v/>
      </c>
      <c r="G124" s="281" t="n"/>
      <c r="H124" s="273">
        <f>IF(OR(A124="",G124="",C124="",NOT(ISNUMBER($Z$4))),"",ROUND(G124*C124*$Z$4,2))</f>
        <v/>
      </c>
      <c r="I124" s="281" t="n"/>
      <c r="J124" s="273">
        <f>IF(OR(A124="",I124="",C124="",NOT(ISNUMBER($Z$5))),"",ROUND(I124*C124*$Z$5,2))</f>
        <v/>
      </c>
      <c r="K124" s="281" t="n"/>
      <c r="L124" s="273">
        <f>IF(OR(A124="",K124="",C124="",NOT(ISNUMBER($Z$6))),"",ROUND(K124*C124*$Z$6,2))</f>
        <v/>
      </c>
      <c r="M124" s="282">
        <f>IF(OR(E124="",G124=""),"",ROUND(MAX(E124-G124,0),2))</f>
        <v/>
      </c>
      <c r="N124" s="273">
        <f>IF(OR(M124="",C124="",NOT(ISNUMBER($Z$3))),"",ROUND(M124*C124*$Z$3,2))</f>
        <v/>
      </c>
      <c r="O124" s="282">
        <f>IF(OR(G124="",I124=""),"",ROUND(MAX(G124-I124,0),2))</f>
        <v/>
      </c>
      <c r="P124" s="273">
        <f>IF(OR(O124="",C124="",NOT(ISNUMBER($Z$4))),"",ROUND(O124*C124*$Z$4,2))</f>
        <v/>
      </c>
      <c r="Q124" s="282">
        <f>IF(OR(I124="",K124=""),"",ROUND(MAX(I124-K124,0),2))</f>
        <v/>
      </c>
      <c r="R124" s="273">
        <f>IF(OR(Q124="",C124="",NOT(ISNUMBER($Z$5))),"",ROUND(Q124*C124*$Z$5,2))</f>
        <v/>
      </c>
      <c r="S124" s="296" t="n"/>
      <c r="T124" s="297" t="n"/>
      <c r="U124" s="284">
        <f>IF(A124="","",IF(AND(G124&lt;&gt;"",E124&lt;&gt;"",G124&gt;E124),"ALERTA: REM_C2&gt;REM_C1",IF(AND(I124&lt;&gt;"",G124&lt;&gt;"",I124&gt;G124),"ALERTA: REM_C3&gt;REM_C2",IF(AND(K124&lt;&gt;"",I124&lt;&gt;"",K124&gt;I124),"ALERTA: REM_C4&gt;REM_C3","OK"))))</f>
        <v/>
      </c>
      <c r="V124" s="284">
        <f>IF(A124="","",IF(B124="","",IF(OR(B124&lt;0,E124&gt;B124,G124&gt;B124,I124&gt;B124,K124&gt;B124),"ALERTA: QTD_INVALIDA","OK")))</f>
        <v/>
      </c>
      <c r="W124" s="27" t="n"/>
      <c r="X124" s="27" t="n"/>
      <c r="Y124" s="27" t="n"/>
      <c r="Z124" s="27" t="n"/>
      <c r="AA124" s="27" t="n"/>
      <c r="AB124" s="282">
        <f>IF(OR(A124="",E124=""),"",ROUND(B124-E124,2))</f>
        <v/>
      </c>
      <c r="AC124" s="273">
        <f>IF(OR(A124="",E124=""),"",ROUND(D124-E124*C124,2))</f>
        <v/>
      </c>
      <c r="AD124" s="27" t="n"/>
    </row>
    <row r="125">
      <c r="A125" s="278" t="n"/>
      <c r="B125" s="279" t="n"/>
      <c r="C125" s="280" t="n"/>
      <c r="D125" s="273">
        <f>IF(OR(A125="",B125="",C125=""),"",ROUND(B125*C125,2))</f>
        <v/>
      </c>
      <c r="E125" s="281" t="n"/>
      <c r="F125" s="273">
        <f>IF(OR(A125="",E125="",C125="",NOT(ISNUMBER($Z$3))),"",ROUND(E125*C125*$Z$3,2))</f>
        <v/>
      </c>
      <c r="G125" s="281" t="n"/>
      <c r="H125" s="273">
        <f>IF(OR(A125="",G125="",C125="",NOT(ISNUMBER($Z$4))),"",ROUND(G125*C125*$Z$4,2))</f>
        <v/>
      </c>
      <c r="I125" s="281" t="n"/>
      <c r="J125" s="273">
        <f>IF(OR(A125="",I125="",C125="",NOT(ISNUMBER($Z$5))),"",ROUND(I125*C125*$Z$5,2))</f>
        <v/>
      </c>
      <c r="K125" s="281" t="n"/>
      <c r="L125" s="273">
        <f>IF(OR(A125="",K125="",C125="",NOT(ISNUMBER($Z$6))),"",ROUND(K125*C125*$Z$6,2))</f>
        <v/>
      </c>
      <c r="M125" s="282">
        <f>IF(OR(E125="",G125=""),"",ROUND(MAX(E125-G125,0),2))</f>
        <v/>
      </c>
      <c r="N125" s="273">
        <f>IF(OR(M125="",C125="",NOT(ISNUMBER($Z$3))),"",ROUND(M125*C125*$Z$3,2))</f>
        <v/>
      </c>
      <c r="O125" s="282">
        <f>IF(OR(G125="",I125=""),"",ROUND(MAX(G125-I125,0),2))</f>
        <v/>
      </c>
      <c r="P125" s="273">
        <f>IF(OR(O125="",C125="",NOT(ISNUMBER($Z$4))),"",ROUND(O125*C125*$Z$4,2))</f>
        <v/>
      </c>
      <c r="Q125" s="282">
        <f>IF(OR(I125="",K125=""),"",ROUND(MAX(I125-K125,0),2))</f>
        <v/>
      </c>
      <c r="R125" s="273">
        <f>IF(OR(Q125="",C125="",NOT(ISNUMBER($Z$5))),"",ROUND(Q125*C125*$Z$5,2))</f>
        <v/>
      </c>
      <c r="S125" s="296" t="n"/>
      <c r="T125" s="297" t="n"/>
      <c r="U125" s="284">
        <f>IF(A125="","",IF(AND(G125&lt;&gt;"",E125&lt;&gt;"",G125&gt;E125),"ALERTA: REM_C2&gt;REM_C1",IF(AND(I125&lt;&gt;"",G125&lt;&gt;"",I125&gt;G125),"ALERTA: REM_C3&gt;REM_C2",IF(AND(K125&lt;&gt;"",I125&lt;&gt;"",K125&gt;I125),"ALERTA: REM_C4&gt;REM_C3","OK"))))</f>
        <v/>
      </c>
      <c r="V125" s="284">
        <f>IF(A125="","",IF(B125="","",IF(OR(B125&lt;0,E125&gt;B125,G125&gt;B125,I125&gt;B125,K125&gt;B125),"ALERTA: QTD_INVALIDA","OK")))</f>
        <v/>
      </c>
      <c r="W125" s="27" t="n"/>
      <c r="X125" s="27" t="n"/>
      <c r="Y125" s="27" t="n"/>
      <c r="Z125" s="27" t="n"/>
      <c r="AA125" s="27" t="n"/>
      <c r="AB125" s="282">
        <f>IF(OR(A125="",E125=""),"",ROUND(B125-E125,2))</f>
        <v/>
      </c>
      <c r="AC125" s="273">
        <f>IF(OR(A125="",E125=""),"",ROUND(D125-E125*C125,2))</f>
        <v/>
      </c>
      <c r="AD125" s="27" t="n"/>
    </row>
    <row r="126">
      <c r="A126" s="278" t="n"/>
      <c r="B126" s="279" t="n"/>
      <c r="C126" s="280" t="n"/>
      <c r="D126" s="273">
        <f>IF(OR(A126="",B126="",C126=""),"",ROUND(B126*C126,2))</f>
        <v/>
      </c>
      <c r="E126" s="281" t="n"/>
      <c r="F126" s="273">
        <f>IF(OR(A126="",E126="",C126="",NOT(ISNUMBER($Z$3))),"",ROUND(E126*C126*$Z$3,2))</f>
        <v/>
      </c>
      <c r="G126" s="281" t="n"/>
      <c r="H126" s="273">
        <f>IF(OR(A126="",G126="",C126="",NOT(ISNUMBER($Z$4))),"",ROUND(G126*C126*$Z$4,2))</f>
        <v/>
      </c>
      <c r="I126" s="281" t="n"/>
      <c r="J126" s="273">
        <f>IF(OR(A126="",I126="",C126="",NOT(ISNUMBER($Z$5))),"",ROUND(I126*C126*$Z$5,2))</f>
        <v/>
      </c>
      <c r="K126" s="281" t="n"/>
      <c r="L126" s="273">
        <f>IF(OR(A126="",K126="",C126="",NOT(ISNUMBER($Z$6))),"",ROUND(K126*C126*$Z$6,2))</f>
        <v/>
      </c>
      <c r="M126" s="282">
        <f>IF(OR(E126="",G126=""),"",ROUND(MAX(E126-G126,0),2))</f>
        <v/>
      </c>
      <c r="N126" s="273">
        <f>IF(OR(M126="",C126="",NOT(ISNUMBER($Z$3))),"",ROUND(M126*C126*$Z$3,2))</f>
        <v/>
      </c>
      <c r="O126" s="282">
        <f>IF(OR(G126="",I126=""),"",ROUND(MAX(G126-I126,0),2))</f>
        <v/>
      </c>
      <c r="P126" s="273">
        <f>IF(OR(O126="",C126="",NOT(ISNUMBER($Z$4))),"",ROUND(O126*C126*$Z$4,2))</f>
        <v/>
      </c>
      <c r="Q126" s="282">
        <f>IF(OR(I126="",K126=""),"",ROUND(MAX(I126-K126,0),2))</f>
        <v/>
      </c>
      <c r="R126" s="273">
        <f>IF(OR(Q126="",C126="",NOT(ISNUMBER($Z$5))),"",ROUND(Q126*C126*$Z$5,2))</f>
        <v/>
      </c>
      <c r="S126" s="296" t="n"/>
      <c r="T126" s="297" t="n"/>
      <c r="U126" s="284">
        <f>IF(A126="","",IF(AND(G126&lt;&gt;"",E126&lt;&gt;"",G126&gt;E126),"ALERTA: REM_C2&gt;REM_C1",IF(AND(I126&lt;&gt;"",G126&lt;&gt;"",I126&gt;G126),"ALERTA: REM_C3&gt;REM_C2",IF(AND(K126&lt;&gt;"",I126&lt;&gt;"",K126&gt;I126),"ALERTA: REM_C4&gt;REM_C3","OK"))))</f>
        <v/>
      </c>
      <c r="V126" s="284">
        <f>IF(A126="","",IF(B126="","",IF(OR(B126&lt;0,E126&gt;B126,G126&gt;B126,I126&gt;B126,K126&gt;B126),"ALERTA: QTD_INVALIDA","OK")))</f>
        <v/>
      </c>
      <c r="W126" s="27" t="n"/>
      <c r="X126" s="27" t="n"/>
      <c r="Y126" s="27" t="n"/>
      <c r="Z126" s="27" t="n"/>
      <c r="AA126" s="27" t="n"/>
      <c r="AB126" s="282">
        <f>IF(OR(A126="",E126=""),"",ROUND(B126-E126,2))</f>
        <v/>
      </c>
      <c r="AC126" s="273">
        <f>IF(OR(A126="",E126=""),"",ROUND(D126-E126*C126,2))</f>
        <v/>
      </c>
      <c r="AD126" s="27" t="n"/>
    </row>
    <row r="127">
      <c r="A127" s="278" t="n"/>
      <c r="B127" s="279" t="n"/>
      <c r="C127" s="280" t="n"/>
      <c r="D127" s="273">
        <f>IF(OR(A127="",B127="",C127=""),"",ROUND(B127*C127,2))</f>
        <v/>
      </c>
      <c r="E127" s="281" t="n"/>
      <c r="F127" s="273">
        <f>IF(OR(A127="",E127="",C127="",NOT(ISNUMBER($Z$3))),"",ROUND(E127*C127*$Z$3,2))</f>
        <v/>
      </c>
      <c r="G127" s="281" t="n"/>
      <c r="H127" s="273">
        <f>IF(OR(A127="",G127="",C127="",NOT(ISNUMBER($Z$4))),"",ROUND(G127*C127*$Z$4,2))</f>
        <v/>
      </c>
      <c r="I127" s="281" t="n"/>
      <c r="J127" s="273">
        <f>IF(OR(A127="",I127="",C127="",NOT(ISNUMBER($Z$5))),"",ROUND(I127*C127*$Z$5,2))</f>
        <v/>
      </c>
      <c r="K127" s="281" t="n"/>
      <c r="L127" s="273">
        <f>IF(OR(A127="",K127="",C127="",NOT(ISNUMBER($Z$6))),"",ROUND(K127*C127*$Z$6,2))</f>
        <v/>
      </c>
      <c r="M127" s="282">
        <f>IF(OR(E127="",G127=""),"",ROUND(MAX(E127-G127,0),2))</f>
        <v/>
      </c>
      <c r="N127" s="273">
        <f>IF(OR(M127="",C127="",NOT(ISNUMBER($Z$3))),"",ROUND(M127*C127*$Z$3,2))</f>
        <v/>
      </c>
      <c r="O127" s="282">
        <f>IF(OR(G127="",I127=""),"",ROUND(MAX(G127-I127,0),2))</f>
        <v/>
      </c>
      <c r="P127" s="273">
        <f>IF(OR(O127="",C127="",NOT(ISNUMBER($Z$4))),"",ROUND(O127*C127*$Z$4,2))</f>
        <v/>
      </c>
      <c r="Q127" s="282">
        <f>IF(OR(I127="",K127=""),"",ROUND(MAX(I127-K127,0),2))</f>
        <v/>
      </c>
      <c r="R127" s="273">
        <f>IF(OR(Q127="",C127="",NOT(ISNUMBER($Z$5))),"",ROUND(Q127*C127*$Z$5,2))</f>
        <v/>
      </c>
      <c r="S127" s="296" t="n"/>
      <c r="T127" s="297" t="n"/>
      <c r="U127" s="284">
        <f>IF(A127="","",IF(AND(G127&lt;&gt;"",E127&lt;&gt;"",G127&gt;E127),"ALERTA: REM_C2&gt;REM_C1",IF(AND(I127&lt;&gt;"",G127&lt;&gt;"",I127&gt;G127),"ALERTA: REM_C3&gt;REM_C2",IF(AND(K127&lt;&gt;"",I127&lt;&gt;"",K127&gt;I127),"ALERTA: REM_C4&gt;REM_C3","OK"))))</f>
        <v/>
      </c>
      <c r="V127" s="284">
        <f>IF(A127="","",IF(B127="","",IF(OR(B127&lt;0,E127&gt;B127,G127&gt;B127,I127&gt;B127,K127&gt;B127),"ALERTA: QTD_INVALIDA","OK")))</f>
        <v/>
      </c>
      <c r="W127" s="27" t="n"/>
      <c r="X127" s="27" t="n"/>
      <c r="Y127" s="27" t="n"/>
      <c r="Z127" s="27" t="n"/>
      <c r="AA127" s="27" t="n"/>
      <c r="AB127" s="282">
        <f>IF(OR(A127="",E127=""),"",ROUND(B127-E127,2))</f>
        <v/>
      </c>
      <c r="AC127" s="273">
        <f>IF(OR(A127="",E127=""),"",ROUND(D127-E127*C127,2))</f>
        <v/>
      </c>
      <c r="AD127" s="27" t="n"/>
    </row>
    <row r="128">
      <c r="A128" s="278" t="n"/>
      <c r="B128" s="279" t="n"/>
      <c r="C128" s="280" t="n"/>
      <c r="D128" s="273">
        <f>IF(OR(A128="",B128="",C128=""),"",ROUND(B128*C128,2))</f>
        <v/>
      </c>
      <c r="E128" s="281" t="n"/>
      <c r="F128" s="273">
        <f>IF(OR(A128="",E128="",C128="",NOT(ISNUMBER($Z$3))),"",ROUND(E128*C128*$Z$3,2))</f>
        <v/>
      </c>
      <c r="G128" s="281" t="n"/>
      <c r="H128" s="273">
        <f>IF(OR(A128="",G128="",C128="",NOT(ISNUMBER($Z$4))),"",ROUND(G128*C128*$Z$4,2))</f>
        <v/>
      </c>
      <c r="I128" s="281" t="n"/>
      <c r="J128" s="273">
        <f>IF(OR(A128="",I128="",C128="",NOT(ISNUMBER($Z$5))),"",ROUND(I128*C128*$Z$5,2))</f>
        <v/>
      </c>
      <c r="K128" s="281" t="n"/>
      <c r="L128" s="273">
        <f>IF(OR(A128="",K128="",C128="",NOT(ISNUMBER($Z$6))),"",ROUND(K128*C128*$Z$6,2))</f>
        <v/>
      </c>
      <c r="M128" s="282">
        <f>IF(OR(E128="",G128=""),"",ROUND(MAX(E128-G128,0),2))</f>
        <v/>
      </c>
      <c r="N128" s="273">
        <f>IF(OR(M128="",C128="",NOT(ISNUMBER($Z$3))),"",ROUND(M128*C128*$Z$3,2))</f>
        <v/>
      </c>
      <c r="O128" s="282">
        <f>IF(OR(G128="",I128=""),"",ROUND(MAX(G128-I128,0),2))</f>
        <v/>
      </c>
      <c r="P128" s="273">
        <f>IF(OR(O128="",C128="",NOT(ISNUMBER($Z$4))),"",ROUND(O128*C128*$Z$4,2))</f>
        <v/>
      </c>
      <c r="Q128" s="282">
        <f>IF(OR(I128="",K128=""),"",ROUND(MAX(I128-K128,0),2))</f>
        <v/>
      </c>
      <c r="R128" s="273">
        <f>IF(OR(Q128="",C128="",NOT(ISNUMBER($Z$5))),"",ROUND(Q128*C128*$Z$5,2))</f>
        <v/>
      </c>
      <c r="S128" s="296" t="n"/>
      <c r="T128" s="297" t="n"/>
      <c r="U128" s="284">
        <f>IF(A128="","",IF(AND(G128&lt;&gt;"",E128&lt;&gt;"",G128&gt;E128),"ALERTA: REM_C2&gt;REM_C1",IF(AND(I128&lt;&gt;"",G128&lt;&gt;"",I128&gt;G128),"ALERTA: REM_C3&gt;REM_C2",IF(AND(K128&lt;&gt;"",I128&lt;&gt;"",K128&gt;I128),"ALERTA: REM_C4&gt;REM_C3","OK"))))</f>
        <v/>
      </c>
      <c r="V128" s="284">
        <f>IF(A128="","",IF(B128="","",IF(OR(B128&lt;0,E128&gt;B128,G128&gt;B128,I128&gt;B128,K128&gt;B128),"ALERTA: QTD_INVALIDA","OK")))</f>
        <v/>
      </c>
      <c r="W128" s="27" t="n"/>
      <c r="X128" s="27" t="n"/>
      <c r="Y128" s="27" t="n"/>
      <c r="Z128" s="27" t="n"/>
      <c r="AA128" s="27" t="n"/>
      <c r="AB128" s="282">
        <f>IF(OR(A128="",E128=""),"",ROUND(B128-E128,2))</f>
        <v/>
      </c>
      <c r="AC128" s="273">
        <f>IF(OR(A128="",E128=""),"",ROUND(D128-E128*C128,2))</f>
        <v/>
      </c>
      <c r="AD128" s="27" t="n"/>
    </row>
    <row r="129">
      <c r="A129" s="278" t="n"/>
      <c r="B129" s="279" t="n"/>
      <c r="C129" s="280" t="n"/>
      <c r="D129" s="273">
        <f>IF(OR(A129="",B129="",C129=""),"",ROUND(B129*C129,2))</f>
        <v/>
      </c>
      <c r="E129" s="281" t="n"/>
      <c r="F129" s="273">
        <f>IF(OR(A129="",E129="",C129="",NOT(ISNUMBER($Z$3))),"",ROUND(E129*C129*$Z$3,2))</f>
        <v/>
      </c>
      <c r="G129" s="281" t="n"/>
      <c r="H129" s="273">
        <f>IF(OR(A129="",G129="",C129="",NOT(ISNUMBER($Z$4))),"",ROUND(G129*C129*$Z$4,2))</f>
        <v/>
      </c>
      <c r="I129" s="281" t="n"/>
      <c r="J129" s="273">
        <f>IF(OR(A129="",I129="",C129="",NOT(ISNUMBER($Z$5))),"",ROUND(I129*C129*$Z$5,2))</f>
        <v/>
      </c>
      <c r="K129" s="281" t="n"/>
      <c r="L129" s="273">
        <f>IF(OR(A129="",K129="",C129="",NOT(ISNUMBER($Z$6))),"",ROUND(K129*C129*$Z$6,2))</f>
        <v/>
      </c>
      <c r="M129" s="282">
        <f>IF(OR(E129="",G129=""),"",ROUND(MAX(E129-G129,0),2))</f>
        <v/>
      </c>
      <c r="N129" s="273">
        <f>IF(OR(M129="",C129="",NOT(ISNUMBER($Z$3))),"",ROUND(M129*C129*$Z$3,2))</f>
        <v/>
      </c>
      <c r="O129" s="282">
        <f>IF(OR(G129="",I129=""),"",ROUND(MAX(G129-I129,0),2))</f>
        <v/>
      </c>
      <c r="P129" s="273">
        <f>IF(OR(O129="",C129="",NOT(ISNUMBER($Z$4))),"",ROUND(O129*C129*$Z$4,2))</f>
        <v/>
      </c>
      <c r="Q129" s="282">
        <f>IF(OR(I129="",K129=""),"",ROUND(MAX(I129-K129,0),2))</f>
        <v/>
      </c>
      <c r="R129" s="273">
        <f>IF(OR(Q129="",C129="",NOT(ISNUMBER($Z$5))),"",ROUND(Q129*C129*$Z$5,2))</f>
        <v/>
      </c>
      <c r="S129" s="296" t="n"/>
      <c r="T129" s="297" t="n"/>
      <c r="U129" s="284">
        <f>IF(A129="","",IF(AND(G129&lt;&gt;"",E129&lt;&gt;"",G129&gt;E129),"ALERTA: REM_C2&gt;REM_C1",IF(AND(I129&lt;&gt;"",G129&lt;&gt;"",I129&gt;G129),"ALERTA: REM_C3&gt;REM_C2",IF(AND(K129&lt;&gt;"",I129&lt;&gt;"",K129&gt;I129),"ALERTA: REM_C4&gt;REM_C3","OK"))))</f>
        <v/>
      </c>
      <c r="V129" s="284">
        <f>IF(A129="","",IF(B129="","",IF(OR(B129&lt;0,E129&gt;B129,G129&gt;B129,I129&gt;B129,K129&gt;B129),"ALERTA: QTD_INVALIDA","OK")))</f>
        <v/>
      </c>
      <c r="W129" s="27" t="n"/>
      <c r="X129" s="27" t="n"/>
      <c r="Y129" s="27" t="n"/>
      <c r="Z129" s="27" t="n"/>
      <c r="AA129" s="27" t="n"/>
      <c r="AB129" s="282">
        <f>IF(OR(A129="",E129=""),"",ROUND(B129-E129,2))</f>
        <v/>
      </c>
      <c r="AC129" s="273">
        <f>IF(OR(A129="",E129=""),"",ROUND(D129-E129*C129,2))</f>
        <v/>
      </c>
      <c r="AD129" s="27" t="n"/>
    </row>
    <row r="130">
      <c r="A130" s="278" t="n"/>
      <c r="B130" s="279" t="n"/>
      <c r="C130" s="280" t="n"/>
      <c r="D130" s="273">
        <f>IF(OR(A130="",B130="",C130=""),"",ROUND(B130*C130,2))</f>
        <v/>
      </c>
      <c r="E130" s="281" t="n"/>
      <c r="F130" s="273">
        <f>IF(OR(A130="",E130="",C130="",NOT(ISNUMBER($Z$3))),"",ROUND(E130*C130*$Z$3,2))</f>
        <v/>
      </c>
      <c r="G130" s="281" t="n"/>
      <c r="H130" s="273">
        <f>IF(OR(A130="",G130="",C130="",NOT(ISNUMBER($Z$4))),"",ROUND(G130*C130*$Z$4,2))</f>
        <v/>
      </c>
      <c r="I130" s="281" t="n"/>
      <c r="J130" s="273">
        <f>IF(OR(A130="",I130="",C130="",NOT(ISNUMBER($Z$5))),"",ROUND(I130*C130*$Z$5,2))</f>
        <v/>
      </c>
      <c r="K130" s="281" t="n"/>
      <c r="L130" s="273">
        <f>IF(OR(A130="",K130="",C130="",NOT(ISNUMBER($Z$6))),"",ROUND(K130*C130*$Z$6,2))</f>
        <v/>
      </c>
      <c r="M130" s="282">
        <f>IF(OR(E130="",G130=""),"",ROUND(MAX(E130-G130,0),2))</f>
        <v/>
      </c>
      <c r="N130" s="273">
        <f>IF(OR(M130="",C130="",NOT(ISNUMBER($Z$3))),"",ROUND(M130*C130*$Z$3,2))</f>
        <v/>
      </c>
      <c r="O130" s="282">
        <f>IF(OR(G130="",I130=""),"",ROUND(MAX(G130-I130,0),2))</f>
        <v/>
      </c>
      <c r="P130" s="273">
        <f>IF(OR(O130="",C130="",NOT(ISNUMBER($Z$4))),"",ROUND(O130*C130*$Z$4,2))</f>
        <v/>
      </c>
      <c r="Q130" s="282">
        <f>IF(OR(I130="",K130=""),"",ROUND(MAX(I130-K130,0),2))</f>
        <v/>
      </c>
      <c r="R130" s="273">
        <f>IF(OR(Q130="",C130="",NOT(ISNUMBER($Z$5))),"",ROUND(Q130*C130*$Z$5,2))</f>
        <v/>
      </c>
      <c r="S130" s="296" t="n"/>
      <c r="T130" s="297" t="n"/>
      <c r="U130" s="284">
        <f>IF(A130="","",IF(AND(G130&lt;&gt;"",E130&lt;&gt;"",G130&gt;E130),"ALERTA: REM_C2&gt;REM_C1",IF(AND(I130&lt;&gt;"",G130&lt;&gt;"",I130&gt;G130),"ALERTA: REM_C3&gt;REM_C2",IF(AND(K130&lt;&gt;"",I130&lt;&gt;"",K130&gt;I130),"ALERTA: REM_C4&gt;REM_C3","OK"))))</f>
        <v/>
      </c>
      <c r="V130" s="284">
        <f>IF(A130="","",IF(B130="","",IF(OR(B130&lt;0,E130&gt;B130,G130&gt;B130,I130&gt;B130,K130&gt;B130),"ALERTA: QTD_INVALIDA","OK")))</f>
        <v/>
      </c>
      <c r="W130" s="27" t="n"/>
      <c r="X130" s="27" t="n"/>
      <c r="Y130" s="27" t="n"/>
      <c r="Z130" s="27" t="n"/>
      <c r="AA130" s="27" t="n"/>
      <c r="AB130" s="282">
        <f>IF(OR(A130="",E130=""),"",ROUND(B130-E130,2))</f>
        <v/>
      </c>
      <c r="AC130" s="273">
        <f>IF(OR(A130="",E130=""),"",ROUND(D130-E130*C130,2))</f>
        <v/>
      </c>
      <c r="AD130" s="27" t="n"/>
    </row>
    <row r="131">
      <c r="A131" s="278" t="n"/>
      <c r="B131" s="279" t="n"/>
      <c r="C131" s="280" t="n"/>
      <c r="D131" s="273">
        <f>IF(OR(A131="",B131="",C131=""),"",ROUND(B131*C131,2))</f>
        <v/>
      </c>
      <c r="E131" s="281" t="n"/>
      <c r="F131" s="273">
        <f>IF(OR(A131="",E131="",C131="",NOT(ISNUMBER($Z$3))),"",ROUND(E131*C131*$Z$3,2))</f>
        <v/>
      </c>
      <c r="G131" s="281" t="n"/>
      <c r="H131" s="273">
        <f>IF(OR(A131="",G131="",C131="",NOT(ISNUMBER($Z$4))),"",ROUND(G131*C131*$Z$4,2))</f>
        <v/>
      </c>
      <c r="I131" s="281" t="n"/>
      <c r="J131" s="273">
        <f>IF(OR(A131="",I131="",C131="",NOT(ISNUMBER($Z$5))),"",ROUND(I131*C131*$Z$5,2))</f>
        <v/>
      </c>
      <c r="K131" s="281" t="n"/>
      <c r="L131" s="273">
        <f>IF(OR(A131="",K131="",C131="",NOT(ISNUMBER($Z$6))),"",ROUND(K131*C131*$Z$6,2))</f>
        <v/>
      </c>
      <c r="M131" s="282">
        <f>IF(OR(E131="",G131=""),"",ROUND(MAX(E131-G131,0),2))</f>
        <v/>
      </c>
      <c r="N131" s="273">
        <f>IF(OR(M131="",C131="",NOT(ISNUMBER($Z$3))),"",ROUND(M131*C131*$Z$3,2))</f>
        <v/>
      </c>
      <c r="O131" s="282">
        <f>IF(OR(G131="",I131=""),"",ROUND(MAX(G131-I131,0),2))</f>
        <v/>
      </c>
      <c r="P131" s="273">
        <f>IF(OR(O131="",C131="",NOT(ISNUMBER($Z$4))),"",ROUND(O131*C131*$Z$4,2))</f>
        <v/>
      </c>
      <c r="Q131" s="282">
        <f>IF(OR(I131="",K131=""),"",ROUND(MAX(I131-K131,0),2))</f>
        <v/>
      </c>
      <c r="R131" s="273">
        <f>IF(OR(Q131="",C131="",NOT(ISNUMBER($Z$5))),"",ROUND(Q131*C131*$Z$5,2))</f>
        <v/>
      </c>
      <c r="S131" s="296" t="n"/>
      <c r="T131" s="297" t="n"/>
      <c r="U131" s="284">
        <f>IF(A131="","",IF(AND(G131&lt;&gt;"",E131&lt;&gt;"",G131&gt;E131),"ALERTA: REM_C2&gt;REM_C1",IF(AND(I131&lt;&gt;"",G131&lt;&gt;"",I131&gt;G131),"ALERTA: REM_C3&gt;REM_C2",IF(AND(K131&lt;&gt;"",I131&lt;&gt;"",K131&gt;I131),"ALERTA: REM_C4&gt;REM_C3","OK"))))</f>
        <v/>
      </c>
      <c r="V131" s="284">
        <f>IF(A131="","",IF(B131="","",IF(OR(B131&lt;0,E131&gt;B131,G131&gt;B131,I131&gt;B131,K131&gt;B131),"ALERTA: QTD_INVALIDA","OK")))</f>
        <v/>
      </c>
      <c r="W131" s="27" t="n"/>
      <c r="X131" s="27" t="n"/>
      <c r="Y131" s="27" t="n"/>
      <c r="Z131" s="27" t="n"/>
      <c r="AA131" s="27" t="n"/>
      <c r="AB131" s="282">
        <f>IF(OR(A131="",E131=""),"",ROUND(B131-E131,2))</f>
        <v/>
      </c>
      <c r="AC131" s="273">
        <f>IF(OR(A131="",E131=""),"",ROUND(D131-E131*C131,2))</f>
        <v/>
      </c>
      <c r="AD131" s="27" t="n"/>
    </row>
    <row r="132">
      <c r="A132" s="278" t="n"/>
      <c r="B132" s="279" t="n"/>
      <c r="C132" s="280" t="n"/>
      <c r="D132" s="273">
        <f>IF(OR(A132="",B132="",C132=""),"",ROUND(B132*C132,2))</f>
        <v/>
      </c>
      <c r="E132" s="281" t="n"/>
      <c r="F132" s="273">
        <f>IF(OR(A132="",E132="",C132="",NOT(ISNUMBER($Z$3))),"",ROUND(E132*C132*$Z$3,2))</f>
        <v/>
      </c>
      <c r="G132" s="281" t="n"/>
      <c r="H132" s="273">
        <f>IF(OR(A132="",G132="",C132="",NOT(ISNUMBER($Z$4))),"",ROUND(G132*C132*$Z$4,2))</f>
        <v/>
      </c>
      <c r="I132" s="281" t="n"/>
      <c r="J132" s="273">
        <f>IF(OR(A132="",I132="",C132="",NOT(ISNUMBER($Z$5))),"",ROUND(I132*C132*$Z$5,2))</f>
        <v/>
      </c>
      <c r="K132" s="281" t="n"/>
      <c r="L132" s="273">
        <f>IF(OR(A132="",K132="",C132="",NOT(ISNUMBER($Z$6))),"",ROUND(K132*C132*$Z$6,2))</f>
        <v/>
      </c>
      <c r="M132" s="282">
        <f>IF(OR(E132="",G132=""),"",ROUND(MAX(E132-G132,0),2))</f>
        <v/>
      </c>
      <c r="N132" s="273">
        <f>IF(OR(M132="",C132="",NOT(ISNUMBER($Z$3))),"",ROUND(M132*C132*$Z$3,2))</f>
        <v/>
      </c>
      <c r="O132" s="282">
        <f>IF(OR(G132="",I132=""),"",ROUND(MAX(G132-I132,0),2))</f>
        <v/>
      </c>
      <c r="P132" s="273">
        <f>IF(OR(O132="",C132="",NOT(ISNUMBER($Z$4))),"",ROUND(O132*C132*$Z$4,2))</f>
        <v/>
      </c>
      <c r="Q132" s="282">
        <f>IF(OR(I132="",K132=""),"",ROUND(MAX(I132-K132,0),2))</f>
        <v/>
      </c>
      <c r="R132" s="273">
        <f>IF(OR(Q132="",C132="",NOT(ISNUMBER($Z$5))),"",ROUND(Q132*C132*$Z$5,2))</f>
        <v/>
      </c>
      <c r="S132" s="296" t="n"/>
      <c r="T132" s="297" t="n"/>
      <c r="U132" s="284">
        <f>IF(A132="","",IF(AND(G132&lt;&gt;"",E132&lt;&gt;"",G132&gt;E132),"ALERTA: REM_C2&gt;REM_C1",IF(AND(I132&lt;&gt;"",G132&lt;&gt;"",I132&gt;G132),"ALERTA: REM_C3&gt;REM_C2",IF(AND(K132&lt;&gt;"",I132&lt;&gt;"",K132&gt;I132),"ALERTA: REM_C4&gt;REM_C3","OK"))))</f>
        <v/>
      </c>
      <c r="V132" s="284">
        <f>IF(A132="","",IF(B132="","",IF(OR(B132&lt;0,E132&gt;B132,G132&gt;B132,I132&gt;B132,K132&gt;B132),"ALERTA: QTD_INVALIDA","OK")))</f>
        <v/>
      </c>
      <c r="W132" s="27" t="n"/>
      <c r="X132" s="27" t="n"/>
      <c r="Y132" s="27" t="n"/>
      <c r="Z132" s="27" t="n"/>
      <c r="AA132" s="27" t="n"/>
      <c r="AB132" s="282">
        <f>IF(OR(A132="",E132=""),"",ROUND(B132-E132,2))</f>
        <v/>
      </c>
      <c r="AC132" s="273">
        <f>IF(OR(A132="",E132=""),"",ROUND(D132-E132*C132,2))</f>
        <v/>
      </c>
      <c r="AD132" s="27" t="n"/>
    </row>
    <row r="133">
      <c r="A133" s="278" t="n"/>
      <c r="B133" s="279" t="n"/>
      <c r="C133" s="280" t="n"/>
      <c r="D133" s="273">
        <f>IF(OR(A133="",B133="",C133=""),"",ROUND(B133*C133,2))</f>
        <v/>
      </c>
      <c r="E133" s="281" t="n"/>
      <c r="F133" s="273">
        <f>IF(OR(A133="",E133="",C133="",NOT(ISNUMBER($Z$3))),"",ROUND(E133*C133*$Z$3,2))</f>
        <v/>
      </c>
      <c r="G133" s="281" t="n"/>
      <c r="H133" s="273">
        <f>IF(OR(A133="",G133="",C133="",NOT(ISNUMBER($Z$4))),"",ROUND(G133*C133*$Z$4,2))</f>
        <v/>
      </c>
      <c r="I133" s="281" t="n"/>
      <c r="J133" s="273">
        <f>IF(OR(A133="",I133="",C133="",NOT(ISNUMBER($Z$5))),"",ROUND(I133*C133*$Z$5,2))</f>
        <v/>
      </c>
      <c r="K133" s="281" t="n"/>
      <c r="L133" s="273">
        <f>IF(OR(A133="",K133="",C133="",NOT(ISNUMBER($Z$6))),"",ROUND(K133*C133*$Z$6,2))</f>
        <v/>
      </c>
      <c r="M133" s="282">
        <f>IF(OR(E133="",G133=""),"",ROUND(MAX(E133-G133,0),2))</f>
        <v/>
      </c>
      <c r="N133" s="273">
        <f>IF(OR(M133="",C133="",NOT(ISNUMBER($Z$3))),"",ROUND(M133*C133*$Z$3,2))</f>
        <v/>
      </c>
      <c r="O133" s="282">
        <f>IF(OR(G133="",I133=""),"",ROUND(MAX(G133-I133,0),2))</f>
        <v/>
      </c>
      <c r="P133" s="273">
        <f>IF(OR(O133="",C133="",NOT(ISNUMBER($Z$4))),"",ROUND(O133*C133*$Z$4,2))</f>
        <v/>
      </c>
      <c r="Q133" s="282">
        <f>IF(OR(I133="",K133=""),"",ROUND(MAX(I133-K133,0),2))</f>
        <v/>
      </c>
      <c r="R133" s="273">
        <f>IF(OR(Q133="",C133="",NOT(ISNUMBER($Z$5))),"",ROUND(Q133*C133*$Z$5,2))</f>
        <v/>
      </c>
      <c r="S133" s="296" t="n"/>
      <c r="T133" s="297" t="n"/>
      <c r="U133" s="284">
        <f>IF(A133="","",IF(AND(G133&lt;&gt;"",E133&lt;&gt;"",G133&gt;E133),"ALERTA: REM_C2&gt;REM_C1",IF(AND(I133&lt;&gt;"",G133&lt;&gt;"",I133&gt;G133),"ALERTA: REM_C3&gt;REM_C2",IF(AND(K133&lt;&gt;"",I133&lt;&gt;"",K133&gt;I133),"ALERTA: REM_C4&gt;REM_C3","OK"))))</f>
        <v/>
      </c>
      <c r="V133" s="284">
        <f>IF(A133="","",IF(B133="","",IF(OR(B133&lt;0,E133&gt;B133,G133&gt;B133,I133&gt;B133,K133&gt;B133),"ALERTA: QTD_INVALIDA","OK")))</f>
        <v/>
      </c>
      <c r="W133" s="27" t="n"/>
      <c r="X133" s="27" t="n"/>
      <c r="Y133" s="27" t="n"/>
      <c r="Z133" s="27" t="n"/>
      <c r="AA133" s="27" t="n"/>
      <c r="AB133" s="282">
        <f>IF(OR(A133="",E133=""),"",ROUND(B133-E133,2))</f>
        <v/>
      </c>
      <c r="AC133" s="273">
        <f>IF(OR(A133="",E133=""),"",ROUND(D133-E133*C133,2))</f>
        <v/>
      </c>
      <c r="AD133" s="27" t="n"/>
    </row>
    <row r="134">
      <c r="A134" s="278" t="n"/>
      <c r="B134" s="279" t="n"/>
      <c r="C134" s="280" t="n"/>
      <c r="D134" s="273">
        <f>IF(OR(A134="",B134="",C134=""),"",ROUND(B134*C134,2))</f>
        <v/>
      </c>
      <c r="E134" s="281" t="n"/>
      <c r="F134" s="273">
        <f>IF(OR(A134="",E134="",C134="",NOT(ISNUMBER($Z$3))),"",ROUND(E134*C134*$Z$3,2))</f>
        <v/>
      </c>
      <c r="G134" s="281" t="n"/>
      <c r="H134" s="273">
        <f>IF(OR(A134="",G134="",C134="",NOT(ISNUMBER($Z$4))),"",ROUND(G134*C134*$Z$4,2))</f>
        <v/>
      </c>
      <c r="I134" s="281" t="n"/>
      <c r="J134" s="273">
        <f>IF(OR(A134="",I134="",C134="",NOT(ISNUMBER($Z$5))),"",ROUND(I134*C134*$Z$5,2))</f>
        <v/>
      </c>
      <c r="K134" s="281" t="n"/>
      <c r="L134" s="273">
        <f>IF(OR(A134="",K134="",C134="",NOT(ISNUMBER($Z$6))),"",ROUND(K134*C134*$Z$6,2))</f>
        <v/>
      </c>
      <c r="M134" s="282">
        <f>IF(OR(E134="",G134=""),"",ROUND(MAX(E134-G134,0),2))</f>
        <v/>
      </c>
      <c r="N134" s="273">
        <f>IF(OR(M134="",C134="",NOT(ISNUMBER($Z$3))),"",ROUND(M134*C134*$Z$3,2))</f>
        <v/>
      </c>
      <c r="O134" s="282">
        <f>IF(OR(G134="",I134=""),"",ROUND(MAX(G134-I134,0),2))</f>
        <v/>
      </c>
      <c r="P134" s="273">
        <f>IF(OR(O134="",C134="",NOT(ISNUMBER($Z$4))),"",ROUND(O134*C134*$Z$4,2))</f>
        <v/>
      </c>
      <c r="Q134" s="282">
        <f>IF(OR(I134="",K134=""),"",ROUND(MAX(I134-K134,0),2))</f>
        <v/>
      </c>
      <c r="R134" s="273">
        <f>IF(OR(Q134="",C134="",NOT(ISNUMBER($Z$5))),"",ROUND(Q134*C134*$Z$5,2))</f>
        <v/>
      </c>
      <c r="S134" s="296" t="n"/>
      <c r="T134" s="297" t="n"/>
      <c r="U134" s="284">
        <f>IF(A134="","",IF(AND(G134&lt;&gt;"",E134&lt;&gt;"",G134&gt;E134),"ALERTA: REM_C2&gt;REM_C1",IF(AND(I134&lt;&gt;"",G134&lt;&gt;"",I134&gt;G134),"ALERTA: REM_C3&gt;REM_C2",IF(AND(K134&lt;&gt;"",I134&lt;&gt;"",K134&gt;I134),"ALERTA: REM_C4&gt;REM_C3","OK"))))</f>
        <v/>
      </c>
      <c r="V134" s="284">
        <f>IF(A134="","",IF(B134="","",IF(OR(B134&lt;0,E134&gt;B134,G134&gt;B134,I134&gt;B134,K134&gt;B134),"ALERTA: QTD_INVALIDA","OK")))</f>
        <v/>
      </c>
      <c r="W134" s="27" t="n"/>
      <c r="X134" s="27" t="n"/>
      <c r="Y134" s="27" t="n"/>
      <c r="Z134" s="27" t="n"/>
      <c r="AA134" s="27" t="n"/>
      <c r="AB134" s="282">
        <f>IF(OR(A134="",E134=""),"",ROUND(B134-E134,2))</f>
        <v/>
      </c>
      <c r="AC134" s="273">
        <f>IF(OR(A134="",E134=""),"",ROUND(D134-E134*C134,2))</f>
        <v/>
      </c>
      <c r="AD134" s="27" t="n"/>
    </row>
    <row r="135">
      <c r="A135" s="278" t="n"/>
      <c r="B135" s="279" t="n"/>
      <c r="C135" s="280" t="n"/>
      <c r="D135" s="273">
        <f>IF(OR(A135="",B135="",C135=""),"",ROUND(B135*C135,2))</f>
        <v/>
      </c>
      <c r="E135" s="281" t="n"/>
      <c r="F135" s="273">
        <f>IF(OR(A135="",E135="",C135="",NOT(ISNUMBER($Z$3))),"",ROUND(E135*C135*$Z$3,2))</f>
        <v/>
      </c>
      <c r="G135" s="281" t="n"/>
      <c r="H135" s="273">
        <f>IF(OR(A135="",G135="",C135="",NOT(ISNUMBER($Z$4))),"",ROUND(G135*C135*$Z$4,2))</f>
        <v/>
      </c>
      <c r="I135" s="281" t="n"/>
      <c r="J135" s="273">
        <f>IF(OR(A135="",I135="",C135="",NOT(ISNUMBER($Z$5))),"",ROUND(I135*C135*$Z$5,2))</f>
        <v/>
      </c>
      <c r="K135" s="281" t="n"/>
      <c r="L135" s="273">
        <f>IF(OR(A135="",K135="",C135="",NOT(ISNUMBER($Z$6))),"",ROUND(K135*C135*$Z$6,2))</f>
        <v/>
      </c>
      <c r="M135" s="282">
        <f>IF(OR(E135="",G135=""),"",ROUND(MAX(E135-G135,0),2))</f>
        <v/>
      </c>
      <c r="N135" s="273">
        <f>IF(OR(M135="",C135="",NOT(ISNUMBER($Z$3))),"",ROUND(M135*C135*$Z$3,2))</f>
        <v/>
      </c>
      <c r="O135" s="282">
        <f>IF(OR(G135="",I135=""),"",ROUND(MAX(G135-I135,0),2))</f>
        <v/>
      </c>
      <c r="P135" s="273">
        <f>IF(OR(O135="",C135="",NOT(ISNUMBER($Z$4))),"",ROUND(O135*C135*$Z$4,2))</f>
        <v/>
      </c>
      <c r="Q135" s="282">
        <f>IF(OR(I135="",K135=""),"",ROUND(MAX(I135-K135,0),2))</f>
        <v/>
      </c>
      <c r="R135" s="273">
        <f>IF(OR(Q135="",C135="",NOT(ISNUMBER($Z$5))),"",ROUND(Q135*C135*$Z$5,2))</f>
        <v/>
      </c>
      <c r="S135" s="296" t="n"/>
      <c r="T135" s="297" t="n"/>
      <c r="U135" s="284">
        <f>IF(A135="","",IF(AND(G135&lt;&gt;"",E135&lt;&gt;"",G135&gt;E135),"ALERTA: REM_C2&gt;REM_C1",IF(AND(I135&lt;&gt;"",G135&lt;&gt;"",I135&gt;G135),"ALERTA: REM_C3&gt;REM_C2",IF(AND(K135&lt;&gt;"",I135&lt;&gt;"",K135&gt;I135),"ALERTA: REM_C4&gt;REM_C3","OK"))))</f>
        <v/>
      </c>
      <c r="V135" s="284">
        <f>IF(A135="","",IF(B135="","",IF(OR(B135&lt;0,E135&gt;B135,G135&gt;B135,I135&gt;B135,K135&gt;B135),"ALERTA: QTD_INVALIDA","OK")))</f>
        <v/>
      </c>
      <c r="W135" s="27" t="n"/>
      <c r="X135" s="27" t="n"/>
      <c r="Y135" s="27" t="n"/>
      <c r="Z135" s="27" t="n"/>
      <c r="AA135" s="27" t="n"/>
      <c r="AB135" s="282">
        <f>IF(OR(A135="",E135=""),"",ROUND(B135-E135,2))</f>
        <v/>
      </c>
      <c r="AC135" s="273">
        <f>IF(OR(A135="",E135=""),"",ROUND(D135-E135*C135,2))</f>
        <v/>
      </c>
      <c r="AD135" s="27" t="n"/>
    </row>
    <row r="136">
      <c r="A136" s="278" t="n"/>
      <c r="B136" s="279" t="n"/>
      <c r="C136" s="280" t="n"/>
      <c r="D136" s="273">
        <f>IF(OR(A136="",B136="",C136=""),"",ROUND(B136*C136,2))</f>
        <v/>
      </c>
      <c r="E136" s="281" t="n"/>
      <c r="F136" s="273">
        <f>IF(OR(A136="",E136="",C136="",NOT(ISNUMBER($Z$3))),"",ROUND(E136*C136*$Z$3,2))</f>
        <v/>
      </c>
      <c r="G136" s="281" t="n"/>
      <c r="H136" s="273">
        <f>IF(OR(A136="",G136="",C136="",NOT(ISNUMBER($Z$4))),"",ROUND(G136*C136*$Z$4,2))</f>
        <v/>
      </c>
      <c r="I136" s="281" t="n"/>
      <c r="J136" s="273">
        <f>IF(OR(A136="",I136="",C136="",NOT(ISNUMBER($Z$5))),"",ROUND(I136*C136*$Z$5,2))</f>
        <v/>
      </c>
      <c r="K136" s="281" t="n"/>
      <c r="L136" s="273">
        <f>IF(OR(A136="",K136="",C136="",NOT(ISNUMBER($Z$6))),"",ROUND(K136*C136*$Z$6,2))</f>
        <v/>
      </c>
      <c r="M136" s="282">
        <f>IF(OR(E136="",G136=""),"",ROUND(MAX(E136-G136,0),2))</f>
        <v/>
      </c>
      <c r="N136" s="273">
        <f>IF(OR(M136="",C136="",NOT(ISNUMBER($Z$3))),"",ROUND(M136*C136*$Z$3,2))</f>
        <v/>
      </c>
      <c r="O136" s="282">
        <f>IF(OR(G136="",I136=""),"",ROUND(MAX(G136-I136,0),2))</f>
        <v/>
      </c>
      <c r="P136" s="273">
        <f>IF(OR(O136="",C136="",NOT(ISNUMBER($Z$4))),"",ROUND(O136*C136*$Z$4,2))</f>
        <v/>
      </c>
      <c r="Q136" s="282">
        <f>IF(OR(I136="",K136=""),"",ROUND(MAX(I136-K136,0),2))</f>
        <v/>
      </c>
      <c r="R136" s="273">
        <f>IF(OR(Q136="",C136="",NOT(ISNUMBER($Z$5))),"",ROUND(Q136*C136*$Z$5,2))</f>
        <v/>
      </c>
      <c r="S136" s="296" t="n"/>
      <c r="T136" s="297" t="n"/>
      <c r="U136" s="284">
        <f>IF(A136="","",IF(AND(G136&lt;&gt;"",E136&lt;&gt;"",G136&gt;E136),"ALERTA: REM_C2&gt;REM_C1",IF(AND(I136&lt;&gt;"",G136&lt;&gt;"",I136&gt;G136),"ALERTA: REM_C3&gt;REM_C2",IF(AND(K136&lt;&gt;"",I136&lt;&gt;"",K136&gt;I136),"ALERTA: REM_C4&gt;REM_C3","OK"))))</f>
        <v/>
      </c>
      <c r="V136" s="284">
        <f>IF(A136="","",IF(B136="","",IF(OR(B136&lt;0,E136&gt;B136,G136&gt;B136,I136&gt;B136,K136&gt;B136),"ALERTA: QTD_INVALIDA","OK")))</f>
        <v/>
      </c>
      <c r="W136" s="27" t="n"/>
      <c r="X136" s="27" t="n"/>
      <c r="Y136" s="27" t="n"/>
      <c r="Z136" s="27" t="n"/>
      <c r="AA136" s="27" t="n"/>
      <c r="AB136" s="282">
        <f>IF(OR(A136="",E136=""),"",ROUND(B136-E136,2))</f>
        <v/>
      </c>
      <c r="AC136" s="273">
        <f>IF(OR(A136="",E136=""),"",ROUND(D136-E136*C136,2))</f>
        <v/>
      </c>
      <c r="AD136" s="27" t="n"/>
    </row>
    <row r="137">
      <c r="A137" s="278" t="n"/>
      <c r="B137" s="279" t="n"/>
      <c r="C137" s="280" t="n"/>
      <c r="D137" s="273">
        <f>IF(OR(A137="",B137="",C137=""),"",ROUND(B137*C137,2))</f>
        <v/>
      </c>
      <c r="E137" s="281" t="n"/>
      <c r="F137" s="273">
        <f>IF(OR(A137="",E137="",C137="",NOT(ISNUMBER($Z$3))),"",ROUND(E137*C137*$Z$3,2))</f>
        <v/>
      </c>
      <c r="G137" s="281" t="n"/>
      <c r="H137" s="273">
        <f>IF(OR(A137="",G137="",C137="",NOT(ISNUMBER($Z$4))),"",ROUND(G137*C137*$Z$4,2))</f>
        <v/>
      </c>
      <c r="I137" s="281" t="n"/>
      <c r="J137" s="273">
        <f>IF(OR(A137="",I137="",C137="",NOT(ISNUMBER($Z$5))),"",ROUND(I137*C137*$Z$5,2))</f>
        <v/>
      </c>
      <c r="K137" s="281" t="n"/>
      <c r="L137" s="273">
        <f>IF(OR(A137="",K137="",C137="",NOT(ISNUMBER($Z$6))),"",ROUND(K137*C137*$Z$6,2))</f>
        <v/>
      </c>
      <c r="M137" s="282">
        <f>IF(OR(E137="",G137=""),"",ROUND(MAX(E137-G137,0),2))</f>
        <v/>
      </c>
      <c r="N137" s="273">
        <f>IF(OR(M137="",C137="",NOT(ISNUMBER($Z$3))),"",ROUND(M137*C137*$Z$3,2))</f>
        <v/>
      </c>
      <c r="O137" s="282">
        <f>IF(OR(G137="",I137=""),"",ROUND(MAX(G137-I137,0),2))</f>
        <v/>
      </c>
      <c r="P137" s="273">
        <f>IF(OR(O137="",C137="",NOT(ISNUMBER($Z$4))),"",ROUND(O137*C137*$Z$4,2))</f>
        <v/>
      </c>
      <c r="Q137" s="282">
        <f>IF(OR(I137="",K137=""),"",ROUND(MAX(I137-K137,0),2))</f>
        <v/>
      </c>
      <c r="R137" s="273">
        <f>IF(OR(Q137="",C137="",NOT(ISNUMBER($Z$5))),"",ROUND(Q137*C137*$Z$5,2))</f>
        <v/>
      </c>
      <c r="S137" s="296" t="n"/>
      <c r="T137" s="297" t="n"/>
      <c r="U137" s="284">
        <f>IF(A137="","",IF(AND(G137&lt;&gt;"",E137&lt;&gt;"",G137&gt;E137),"ALERTA: REM_C2&gt;REM_C1",IF(AND(I137&lt;&gt;"",G137&lt;&gt;"",I137&gt;G137),"ALERTA: REM_C3&gt;REM_C2",IF(AND(K137&lt;&gt;"",I137&lt;&gt;"",K137&gt;I137),"ALERTA: REM_C4&gt;REM_C3","OK"))))</f>
        <v/>
      </c>
      <c r="V137" s="284">
        <f>IF(A137="","",IF(B137="","",IF(OR(B137&lt;0,E137&gt;B137,G137&gt;B137,I137&gt;B137,K137&gt;B137),"ALERTA: QTD_INVALIDA","OK")))</f>
        <v/>
      </c>
      <c r="W137" s="27" t="n"/>
      <c r="X137" s="27" t="n"/>
      <c r="Y137" s="27" t="n"/>
      <c r="Z137" s="27" t="n"/>
      <c r="AA137" s="27" t="n"/>
      <c r="AB137" s="282">
        <f>IF(OR(A137="",E137=""),"",ROUND(B137-E137,2))</f>
        <v/>
      </c>
      <c r="AC137" s="273">
        <f>IF(OR(A137="",E137=""),"",ROUND(D137-E137*C137,2))</f>
        <v/>
      </c>
      <c r="AD137" s="27" t="n"/>
    </row>
    <row r="138">
      <c r="A138" s="278" t="n"/>
      <c r="B138" s="279" t="n"/>
      <c r="C138" s="280" t="n"/>
      <c r="D138" s="273">
        <f>IF(OR(A138="",B138="",C138=""),"",ROUND(B138*C138,2))</f>
        <v/>
      </c>
      <c r="E138" s="281" t="n"/>
      <c r="F138" s="273">
        <f>IF(OR(A138="",E138="",C138="",NOT(ISNUMBER($Z$3))),"",ROUND(E138*C138*$Z$3,2))</f>
        <v/>
      </c>
      <c r="G138" s="281" t="n"/>
      <c r="H138" s="273">
        <f>IF(OR(A138="",G138="",C138="",NOT(ISNUMBER($Z$4))),"",ROUND(G138*C138*$Z$4,2))</f>
        <v/>
      </c>
      <c r="I138" s="281" t="n"/>
      <c r="J138" s="273">
        <f>IF(OR(A138="",I138="",C138="",NOT(ISNUMBER($Z$5))),"",ROUND(I138*C138*$Z$5,2))</f>
        <v/>
      </c>
      <c r="K138" s="281" t="n"/>
      <c r="L138" s="273">
        <f>IF(OR(A138="",K138="",C138="",NOT(ISNUMBER($Z$6))),"",ROUND(K138*C138*$Z$6,2))</f>
        <v/>
      </c>
      <c r="M138" s="282">
        <f>IF(OR(E138="",G138=""),"",ROUND(MAX(E138-G138,0),2))</f>
        <v/>
      </c>
      <c r="N138" s="273">
        <f>IF(OR(M138="",C138="",NOT(ISNUMBER($Z$3))),"",ROUND(M138*C138*$Z$3,2))</f>
        <v/>
      </c>
      <c r="O138" s="282">
        <f>IF(OR(G138="",I138=""),"",ROUND(MAX(G138-I138,0),2))</f>
        <v/>
      </c>
      <c r="P138" s="273">
        <f>IF(OR(O138="",C138="",NOT(ISNUMBER($Z$4))),"",ROUND(O138*C138*$Z$4,2))</f>
        <v/>
      </c>
      <c r="Q138" s="282">
        <f>IF(OR(I138="",K138=""),"",ROUND(MAX(I138-K138,0),2))</f>
        <v/>
      </c>
      <c r="R138" s="273">
        <f>IF(OR(Q138="",C138="",NOT(ISNUMBER($Z$5))),"",ROUND(Q138*C138*$Z$5,2))</f>
        <v/>
      </c>
      <c r="S138" s="296" t="n"/>
      <c r="T138" s="297" t="n"/>
      <c r="U138" s="284">
        <f>IF(A138="","",IF(AND(G138&lt;&gt;"",E138&lt;&gt;"",G138&gt;E138),"ALERTA: REM_C2&gt;REM_C1",IF(AND(I138&lt;&gt;"",G138&lt;&gt;"",I138&gt;G138),"ALERTA: REM_C3&gt;REM_C2",IF(AND(K138&lt;&gt;"",I138&lt;&gt;"",K138&gt;I138),"ALERTA: REM_C4&gt;REM_C3","OK"))))</f>
        <v/>
      </c>
      <c r="V138" s="284">
        <f>IF(A138="","",IF(B138="","",IF(OR(B138&lt;0,E138&gt;B138,G138&gt;B138,I138&gt;B138,K138&gt;B138),"ALERTA: QTD_INVALIDA","OK")))</f>
        <v/>
      </c>
      <c r="W138" s="27" t="n"/>
      <c r="X138" s="27" t="n"/>
      <c r="Y138" s="27" t="n"/>
      <c r="Z138" s="27" t="n"/>
      <c r="AA138" s="27" t="n"/>
      <c r="AB138" s="282">
        <f>IF(OR(A138="",E138=""),"",ROUND(B138-E138,2))</f>
        <v/>
      </c>
      <c r="AC138" s="273">
        <f>IF(OR(A138="",E138=""),"",ROUND(D138-E138*C138,2))</f>
        <v/>
      </c>
      <c r="AD138" s="27" t="n"/>
    </row>
    <row r="139">
      <c r="A139" s="278" t="n"/>
      <c r="B139" s="279" t="n"/>
      <c r="C139" s="280" t="n"/>
      <c r="D139" s="273">
        <f>IF(OR(A139="",B139="",C139=""),"",ROUND(B139*C139,2))</f>
        <v/>
      </c>
      <c r="E139" s="281" t="n"/>
      <c r="F139" s="273">
        <f>IF(OR(A139="",E139="",C139="",NOT(ISNUMBER($Z$3))),"",ROUND(E139*C139*$Z$3,2))</f>
        <v/>
      </c>
      <c r="G139" s="281" t="n"/>
      <c r="H139" s="273">
        <f>IF(OR(A139="",G139="",C139="",NOT(ISNUMBER($Z$4))),"",ROUND(G139*C139*$Z$4,2))</f>
        <v/>
      </c>
      <c r="I139" s="281" t="n"/>
      <c r="J139" s="273">
        <f>IF(OR(A139="",I139="",C139="",NOT(ISNUMBER($Z$5))),"",ROUND(I139*C139*$Z$5,2))</f>
        <v/>
      </c>
      <c r="K139" s="281" t="n"/>
      <c r="L139" s="273">
        <f>IF(OR(A139="",K139="",C139="",NOT(ISNUMBER($Z$6))),"",ROUND(K139*C139*$Z$6,2))</f>
        <v/>
      </c>
      <c r="M139" s="282">
        <f>IF(OR(E139="",G139=""),"",ROUND(MAX(E139-G139,0),2))</f>
        <v/>
      </c>
      <c r="N139" s="273">
        <f>IF(OR(M139="",C139="",NOT(ISNUMBER($Z$3))),"",ROUND(M139*C139*$Z$3,2))</f>
        <v/>
      </c>
      <c r="O139" s="282">
        <f>IF(OR(G139="",I139=""),"",ROUND(MAX(G139-I139,0),2))</f>
        <v/>
      </c>
      <c r="P139" s="273">
        <f>IF(OR(O139="",C139="",NOT(ISNUMBER($Z$4))),"",ROUND(O139*C139*$Z$4,2))</f>
        <v/>
      </c>
      <c r="Q139" s="282">
        <f>IF(OR(I139="",K139=""),"",ROUND(MAX(I139-K139,0),2))</f>
        <v/>
      </c>
      <c r="R139" s="273">
        <f>IF(OR(Q139="",C139="",NOT(ISNUMBER($Z$5))),"",ROUND(Q139*C139*$Z$5,2))</f>
        <v/>
      </c>
      <c r="S139" s="296" t="n"/>
      <c r="T139" s="297" t="n"/>
      <c r="U139" s="284">
        <f>IF(A139="","",IF(AND(G139&lt;&gt;"",E139&lt;&gt;"",G139&gt;E139),"ALERTA: REM_C2&gt;REM_C1",IF(AND(I139&lt;&gt;"",G139&lt;&gt;"",I139&gt;G139),"ALERTA: REM_C3&gt;REM_C2",IF(AND(K139&lt;&gt;"",I139&lt;&gt;"",K139&gt;I139),"ALERTA: REM_C4&gt;REM_C3","OK"))))</f>
        <v/>
      </c>
      <c r="V139" s="284">
        <f>IF(A139="","",IF(B139="","",IF(OR(B139&lt;0,E139&gt;B139,G139&gt;B139,I139&gt;B139,K139&gt;B139),"ALERTA: QTD_INVALIDA","OK")))</f>
        <v/>
      </c>
      <c r="W139" s="27" t="n"/>
      <c r="X139" s="27" t="n"/>
      <c r="Y139" s="27" t="n"/>
      <c r="Z139" s="27" t="n"/>
      <c r="AA139" s="27" t="n"/>
      <c r="AB139" s="282">
        <f>IF(OR(A139="",E139=""),"",ROUND(B139-E139,2))</f>
        <v/>
      </c>
      <c r="AC139" s="273">
        <f>IF(OR(A139="",E139=""),"",ROUND(D139-E139*C139,2))</f>
        <v/>
      </c>
      <c r="AD139" s="27" t="n"/>
    </row>
    <row r="140">
      <c r="A140" s="278" t="n"/>
      <c r="B140" s="279" t="n"/>
      <c r="C140" s="280" t="n"/>
      <c r="D140" s="273">
        <f>IF(OR(A140="",B140="",C140=""),"",ROUND(B140*C140,2))</f>
        <v/>
      </c>
      <c r="E140" s="281" t="n"/>
      <c r="F140" s="273">
        <f>IF(OR(A140="",E140="",C140="",NOT(ISNUMBER($Z$3))),"",ROUND(E140*C140*$Z$3,2))</f>
        <v/>
      </c>
      <c r="G140" s="281" t="n"/>
      <c r="H140" s="273">
        <f>IF(OR(A140="",G140="",C140="",NOT(ISNUMBER($Z$4))),"",ROUND(G140*C140*$Z$4,2))</f>
        <v/>
      </c>
      <c r="I140" s="281" t="n"/>
      <c r="J140" s="273">
        <f>IF(OR(A140="",I140="",C140="",NOT(ISNUMBER($Z$5))),"",ROUND(I140*C140*$Z$5,2))</f>
        <v/>
      </c>
      <c r="K140" s="281" t="n"/>
      <c r="L140" s="273">
        <f>IF(OR(A140="",K140="",C140="",NOT(ISNUMBER($Z$6))),"",ROUND(K140*C140*$Z$6,2))</f>
        <v/>
      </c>
      <c r="M140" s="282">
        <f>IF(OR(E140="",G140=""),"",ROUND(MAX(E140-G140,0),2))</f>
        <v/>
      </c>
      <c r="N140" s="273">
        <f>IF(OR(M140="",C140="",NOT(ISNUMBER($Z$3))),"",ROUND(M140*C140*$Z$3,2))</f>
        <v/>
      </c>
      <c r="O140" s="282">
        <f>IF(OR(G140="",I140=""),"",ROUND(MAX(G140-I140,0),2))</f>
        <v/>
      </c>
      <c r="P140" s="273">
        <f>IF(OR(O140="",C140="",NOT(ISNUMBER($Z$4))),"",ROUND(O140*C140*$Z$4,2))</f>
        <v/>
      </c>
      <c r="Q140" s="282">
        <f>IF(OR(I140="",K140=""),"",ROUND(MAX(I140-K140,0),2))</f>
        <v/>
      </c>
      <c r="R140" s="273">
        <f>IF(OR(Q140="",C140="",NOT(ISNUMBER($Z$5))),"",ROUND(Q140*C140*$Z$5,2))</f>
        <v/>
      </c>
      <c r="S140" s="296" t="n"/>
      <c r="T140" s="297" t="n"/>
      <c r="U140" s="284">
        <f>IF(A140="","",IF(AND(G140&lt;&gt;"",E140&lt;&gt;"",G140&gt;E140),"ALERTA: REM_C2&gt;REM_C1",IF(AND(I140&lt;&gt;"",G140&lt;&gt;"",I140&gt;G140),"ALERTA: REM_C3&gt;REM_C2",IF(AND(K140&lt;&gt;"",I140&lt;&gt;"",K140&gt;I140),"ALERTA: REM_C4&gt;REM_C3","OK"))))</f>
        <v/>
      </c>
      <c r="V140" s="284">
        <f>IF(A140="","",IF(B140="","",IF(OR(B140&lt;0,E140&gt;B140,G140&gt;B140,I140&gt;B140,K140&gt;B140),"ALERTA: QTD_INVALIDA","OK")))</f>
        <v/>
      </c>
      <c r="W140" s="27" t="n"/>
      <c r="X140" s="27" t="n"/>
      <c r="Y140" s="27" t="n"/>
      <c r="Z140" s="27" t="n"/>
      <c r="AA140" s="27" t="n"/>
      <c r="AB140" s="282">
        <f>IF(OR(A140="",E140=""),"",ROUND(B140-E140,2))</f>
        <v/>
      </c>
      <c r="AC140" s="273">
        <f>IF(OR(A140="",E140=""),"",ROUND(D140-E140*C140,2))</f>
        <v/>
      </c>
      <c r="AD140" s="27" t="n"/>
    </row>
    <row r="141">
      <c r="A141" s="278" t="n"/>
      <c r="B141" s="279" t="n"/>
      <c r="C141" s="280" t="n"/>
      <c r="D141" s="273">
        <f>IF(OR(A141="",B141="",C141=""),"",ROUND(B141*C141,2))</f>
        <v/>
      </c>
      <c r="E141" s="281" t="n"/>
      <c r="F141" s="273">
        <f>IF(OR(A141="",E141="",C141="",NOT(ISNUMBER($Z$3))),"",ROUND(E141*C141*$Z$3,2))</f>
        <v/>
      </c>
      <c r="G141" s="281" t="n"/>
      <c r="H141" s="273">
        <f>IF(OR(A141="",G141="",C141="",NOT(ISNUMBER($Z$4))),"",ROUND(G141*C141*$Z$4,2))</f>
        <v/>
      </c>
      <c r="I141" s="281" t="n"/>
      <c r="J141" s="273">
        <f>IF(OR(A141="",I141="",C141="",NOT(ISNUMBER($Z$5))),"",ROUND(I141*C141*$Z$5,2))</f>
        <v/>
      </c>
      <c r="K141" s="281" t="n"/>
      <c r="L141" s="273">
        <f>IF(OR(A141="",K141="",C141="",NOT(ISNUMBER($Z$6))),"",ROUND(K141*C141*$Z$6,2))</f>
        <v/>
      </c>
      <c r="M141" s="282">
        <f>IF(OR(E141="",G141=""),"",ROUND(MAX(E141-G141,0),2))</f>
        <v/>
      </c>
      <c r="N141" s="273">
        <f>IF(OR(M141="",C141="",NOT(ISNUMBER($Z$3))),"",ROUND(M141*C141*$Z$3,2))</f>
        <v/>
      </c>
      <c r="O141" s="282">
        <f>IF(OR(G141="",I141=""),"",ROUND(MAX(G141-I141,0),2))</f>
        <v/>
      </c>
      <c r="P141" s="273">
        <f>IF(OR(O141="",C141="",NOT(ISNUMBER($Z$4))),"",ROUND(O141*C141*$Z$4,2))</f>
        <v/>
      </c>
      <c r="Q141" s="282">
        <f>IF(OR(I141="",K141=""),"",ROUND(MAX(I141-K141,0),2))</f>
        <v/>
      </c>
      <c r="R141" s="273">
        <f>IF(OR(Q141="",C141="",NOT(ISNUMBER($Z$5))),"",ROUND(Q141*C141*$Z$5,2))</f>
        <v/>
      </c>
      <c r="S141" s="296" t="n"/>
      <c r="T141" s="297" t="n"/>
      <c r="U141" s="284">
        <f>IF(A141="","",IF(AND(G141&lt;&gt;"",E141&lt;&gt;"",G141&gt;E141),"ALERTA: REM_C2&gt;REM_C1",IF(AND(I141&lt;&gt;"",G141&lt;&gt;"",I141&gt;G141),"ALERTA: REM_C3&gt;REM_C2",IF(AND(K141&lt;&gt;"",I141&lt;&gt;"",K141&gt;I141),"ALERTA: REM_C4&gt;REM_C3","OK"))))</f>
        <v/>
      </c>
      <c r="V141" s="284">
        <f>IF(A141="","",IF(B141="","",IF(OR(B141&lt;0,E141&gt;B141,G141&gt;B141,I141&gt;B141,K141&gt;B141),"ALERTA: QTD_INVALIDA","OK")))</f>
        <v/>
      </c>
      <c r="W141" s="27" t="n"/>
      <c r="X141" s="27" t="n"/>
      <c r="Y141" s="27" t="n"/>
      <c r="Z141" s="27" t="n"/>
      <c r="AA141" s="27" t="n"/>
      <c r="AB141" s="282">
        <f>IF(OR(A141="",E141=""),"",ROUND(B141-E141,2))</f>
        <v/>
      </c>
      <c r="AC141" s="273">
        <f>IF(OR(A141="",E141=""),"",ROUND(D141-E141*C141,2))</f>
        <v/>
      </c>
      <c r="AD141" s="27" t="n"/>
    </row>
    <row r="142">
      <c r="A142" s="278" t="n"/>
      <c r="B142" s="279" t="n"/>
      <c r="C142" s="280" t="n"/>
      <c r="D142" s="273">
        <f>IF(OR(A142="",B142="",C142=""),"",ROUND(B142*C142,2))</f>
        <v/>
      </c>
      <c r="E142" s="281" t="n"/>
      <c r="F142" s="273">
        <f>IF(OR(A142="",E142="",C142="",NOT(ISNUMBER($Z$3))),"",ROUND(E142*C142*$Z$3,2))</f>
        <v/>
      </c>
      <c r="G142" s="281" t="n"/>
      <c r="H142" s="273">
        <f>IF(OR(A142="",G142="",C142="",NOT(ISNUMBER($Z$4))),"",ROUND(G142*C142*$Z$4,2))</f>
        <v/>
      </c>
      <c r="I142" s="281" t="n"/>
      <c r="J142" s="273">
        <f>IF(OR(A142="",I142="",C142="",NOT(ISNUMBER($Z$5))),"",ROUND(I142*C142*$Z$5,2))</f>
        <v/>
      </c>
      <c r="K142" s="281" t="n"/>
      <c r="L142" s="273">
        <f>IF(OR(A142="",K142="",C142="",NOT(ISNUMBER($Z$6))),"",ROUND(K142*C142*$Z$6,2))</f>
        <v/>
      </c>
      <c r="M142" s="282">
        <f>IF(OR(E142="",G142=""),"",ROUND(MAX(E142-G142,0),2))</f>
        <v/>
      </c>
      <c r="N142" s="273">
        <f>IF(OR(M142="",C142="",NOT(ISNUMBER($Z$3))),"",ROUND(M142*C142*$Z$3,2))</f>
        <v/>
      </c>
      <c r="O142" s="282">
        <f>IF(OR(G142="",I142=""),"",ROUND(MAX(G142-I142,0),2))</f>
        <v/>
      </c>
      <c r="P142" s="273">
        <f>IF(OR(O142="",C142="",NOT(ISNUMBER($Z$4))),"",ROUND(O142*C142*$Z$4,2))</f>
        <v/>
      </c>
      <c r="Q142" s="282">
        <f>IF(OR(I142="",K142=""),"",ROUND(MAX(I142-K142,0),2))</f>
        <v/>
      </c>
      <c r="R142" s="273">
        <f>IF(OR(Q142="",C142="",NOT(ISNUMBER($Z$5))),"",ROUND(Q142*C142*$Z$5,2))</f>
        <v/>
      </c>
      <c r="S142" s="296" t="n"/>
      <c r="T142" s="297" t="n"/>
      <c r="U142" s="284">
        <f>IF(A142="","",IF(AND(G142&lt;&gt;"",E142&lt;&gt;"",G142&gt;E142),"ALERTA: REM_C2&gt;REM_C1",IF(AND(I142&lt;&gt;"",G142&lt;&gt;"",I142&gt;G142),"ALERTA: REM_C3&gt;REM_C2",IF(AND(K142&lt;&gt;"",I142&lt;&gt;"",K142&gt;I142),"ALERTA: REM_C4&gt;REM_C3","OK"))))</f>
        <v/>
      </c>
      <c r="V142" s="284">
        <f>IF(A142="","",IF(B142="","",IF(OR(B142&lt;0,E142&gt;B142,G142&gt;B142,I142&gt;B142,K142&gt;B142),"ALERTA: QTD_INVALIDA","OK")))</f>
        <v/>
      </c>
      <c r="W142" s="27" t="n"/>
      <c r="X142" s="27" t="n"/>
      <c r="Y142" s="27" t="n"/>
      <c r="Z142" s="27" t="n"/>
      <c r="AA142" s="27" t="n"/>
      <c r="AB142" s="282">
        <f>IF(OR(A142="",E142=""),"",ROUND(B142-E142,2))</f>
        <v/>
      </c>
      <c r="AC142" s="273">
        <f>IF(OR(A142="",E142=""),"",ROUND(D142-E142*C142,2))</f>
        <v/>
      </c>
      <c r="AD142" s="27" t="n"/>
    </row>
    <row r="143">
      <c r="A143" s="278" t="n"/>
      <c r="B143" s="279" t="n"/>
      <c r="C143" s="280" t="n"/>
      <c r="D143" s="273">
        <f>IF(OR(A143="",B143="",C143=""),"",ROUND(B143*C143,2))</f>
        <v/>
      </c>
      <c r="E143" s="281" t="n"/>
      <c r="F143" s="273">
        <f>IF(OR(A143="",E143="",C143="",NOT(ISNUMBER($Z$3))),"",ROUND(E143*C143*$Z$3,2))</f>
        <v/>
      </c>
      <c r="G143" s="281" t="n"/>
      <c r="H143" s="273">
        <f>IF(OR(A143="",G143="",C143="",NOT(ISNUMBER($Z$4))),"",ROUND(G143*C143*$Z$4,2))</f>
        <v/>
      </c>
      <c r="I143" s="281" t="n"/>
      <c r="J143" s="273">
        <f>IF(OR(A143="",I143="",C143="",NOT(ISNUMBER($Z$5))),"",ROUND(I143*C143*$Z$5,2))</f>
        <v/>
      </c>
      <c r="K143" s="281" t="n"/>
      <c r="L143" s="273">
        <f>IF(OR(A143="",K143="",C143="",NOT(ISNUMBER($Z$6))),"",ROUND(K143*C143*$Z$6,2))</f>
        <v/>
      </c>
      <c r="M143" s="282">
        <f>IF(OR(E143="",G143=""),"",ROUND(MAX(E143-G143,0),2))</f>
        <v/>
      </c>
      <c r="N143" s="273">
        <f>IF(OR(M143="",C143="",NOT(ISNUMBER($Z$3))),"",ROUND(M143*C143*$Z$3,2))</f>
        <v/>
      </c>
      <c r="O143" s="282">
        <f>IF(OR(G143="",I143=""),"",ROUND(MAX(G143-I143,0),2))</f>
        <v/>
      </c>
      <c r="P143" s="273">
        <f>IF(OR(O143="",C143="",NOT(ISNUMBER($Z$4))),"",ROUND(O143*C143*$Z$4,2))</f>
        <v/>
      </c>
      <c r="Q143" s="282">
        <f>IF(OR(I143="",K143=""),"",ROUND(MAX(I143-K143,0),2))</f>
        <v/>
      </c>
      <c r="R143" s="273">
        <f>IF(OR(Q143="",C143="",NOT(ISNUMBER($Z$5))),"",ROUND(Q143*C143*$Z$5,2))</f>
        <v/>
      </c>
      <c r="S143" s="296" t="n"/>
      <c r="T143" s="297" t="n"/>
      <c r="U143" s="284">
        <f>IF(A143="","",IF(AND(G143&lt;&gt;"",E143&lt;&gt;"",G143&gt;E143),"ALERTA: REM_C2&gt;REM_C1",IF(AND(I143&lt;&gt;"",G143&lt;&gt;"",I143&gt;G143),"ALERTA: REM_C3&gt;REM_C2",IF(AND(K143&lt;&gt;"",I143&lt;&gt;"",K143&gt;I143),"ALERTA: REM_C4&gt;REM_C3","OK"))))</f>
        <v/>
      </c>
      <c r="V143" s="284">
        <f>IF(A143="","",IF(B143="","",IF(OR(B143&lt;0,E143&gt;B143,G143&gt;B143,I143&gt;B143,K143&gt;B143),"ALERTA: QTD_INVALIDA","OK")))</f>
        <v/>
      </c>
      <c r="W143" s="27" t="n"/>
      <c r="X143" s="27" t="n"/>
      <c r="Y143" s="27" t="n"/>
      <c r="Z143" s="27" t="n"/>
      <c r="AA143" s="27" t="n"/>
      <c r="AB143" s="282">
        <f>IF(OR(A143="",E143=""),"",ROUND(B143-E143,2))</f>
        <v/>
      </c>
      <c r="AC143" s="273">
        <f>IF(OR(A143="",E143=""),"",ROUND(D143-E143*C143,2))</f>
        <v/>
      </c>
      <c r="AD143" s="27" t="n"/>
    </row>
    <row r="144">
      <c r="A144" s="278" t="n"/>
      <c r="B144" s="279" t="n"/>
      <c r="C144" s="280" t="n"/>
      <c r="D144" s="273">
        <f>IF(OR(A144="",B144="",C144=""),"",ROUND(B144*C144,2))</f>
        <v/>
      </c>
      <c r="E144" s="281" t="n"/>
      <c r="F144" s="273">
        <f>IF(OR(A144="",E144="",C144="",NOT(ISNUMBER($Z$3))),"",ROUND(E144*C144*$Z$3,2))</f>
        <v/>
      </c>
      <c r="G144" s="281" t="n"/>
      <c r="H144" s="273">
        <f>IF(OR(A144="",G144="",C144="",NOT(ISNUMBER($Z$4))),"",ROUND(G144*C144*$Z$4,2))</f>
        <v/>
      </c>
      <c r="I144" s="281" t="n"/>
      <c r="J144" s="273">
        <f>IF(OR(A144="",I144="",C144="",NOT(ISNUMBER($Z$5))),"",ROUND(I144*C144*$Z$5,2))</f>
        <v/>
      </c>
      <c r="K144" s="281" t="n"/>
      <c r="L144" s="273">
        <f>IF(OR(A144="",K144="",C144="",NOT(ISNUMBER($Z$6))),"",ROUND(K144*C144*$Z$6,2))</f>
        <v/>
      </c>
      <c r="M144" s="282">
        <f>IF(OR(E144="",G144=""),"",ROUND(MAX(E144-G144,0),2))</f>
        <v/>
      </c>
      <c r="N144" s="273">
        <f>IF(OR(M144="",C144="",NOT(ISNUMBER($Z$3))),"",ROUND(M144*C144*$Z$3,2))</f>
        <v/>
      </c>
      <c r="O144" s="282">
        <f>IF(OR(G144="",I144=""),"",ROUND(MAX(G144-I144,0),2))</f>
        <v/>
      </c>
      <c r="P144" s="273">
        <f>IF(OR(O144="",C144="",NOT(ISNUMBER($Z$4))),"",ROUND(O144*C144*$Z$4,2))</f>
        <v/>
      </c>
      <c r="Q144" s="282">
        <f>IF(OR(I144="",K144=""),"",ROUND(MAX(I144-K144,0),2))</f>
        <v/>
      </c>
      <c r="R144" s="273">
        <f>IF(OR(Q144="",C144="",NOT(ISNUMBER($Z$5))),"",ROUND(Q144*C144*$Z$5,2))</f>
        <v/>
      </c>
      <c r="S144" s="296" t="n"/>
      <c r="T144" s="297" t="n"/>
      <c r="U144" s="284">
        <f>IF(A144="","",IF(AND(G144&lt;&gt;"",E144&lt;&gt;"",G144&gt;E144),"ALERTA: REM_C2&gt;REM_C1",IF(AND(I144&lt;&gt;"",G144&lt;&gt;"",I144&gt;G144),"ALERTA: REM_C3&gt;REM_C2",IF(AND(K144&lt;&gt;"",I144&lt;&gt;"",K144&gt;I144),"ALERTA: REM_C4&gt;REM_C3","OK"))))</f>
        <v/>
      </c>
      <c r="V144" s="284">
        <f>IF(A144="","",IF(B144="","",IF(OR(B144&lt;0,E144&gt;B144,G144&gt;B144,I144&gt;B144,K144&gt;B144),"ALERTA: QTD_INVALIDA","OK")))</f>
        <v/>
      </c>
      <c r="W144" s="27" t="n"/>
      <c r="X144" s="27" t="n"/>
      <c r="Y144" s="27" t="n"/>
      <c r="Z144" s="27" t="n"/>
      <c r="AA144" s="27" t="n"/>
      <c r="AB144" s="282">
        <f>IF(OR(A144="",E144=""),"",ROUND(B144-E144,2))</f>
        <v/>
      </c>
      <c r="AC144" s="273">
        <f>IF(OR(A144="",E144=""),"",ROUND(D144-E144*C144,2))</f>
        <v/>
      </c>
      <c r="AD144" s="27" t="n"/>
    </row>
    <row r="145">
      <c r="A145" s="278" t="n"/>
      <c r="B145" s="279" t="n"/>
      <c r="C145" s="280" t="n"/>
      <c r="D145" s="273">
        <f>IF(OR(A145="",B145="",C145=""),"",ROUND(B145*C145,2))</f>
        <v/>
      </c>
      <c r="E145" s="281" t="n"/>
      <c r="F145" s="273">
        <f>IF(OR(A145="",E145="",C145="",NOT(ISNUMBER($Z$3))),"",ROUND(E145*C145*$Z$3,2))</f>
        <v/>
      </c>
      <c r="G145" s="281" t="n"/>
      <c r="H145" s="273">
        <f>IF(OR(A145="",G145="",C145="",NOT(ISNUMBER($Z$4))),"",ROUND(G145*C145*$Z$4,2))</f>
        <v/>
      </c>
      <c r="I145" s="281" t="n"/>
      <c r="J145" s="273">
        <f>IF(OR(A145="",I145="",C145="",NOT(ISNUMBER($Z$5))),"",ROUND(I145*C145*$Z$5,2))</f>
        <v/>
      </c>
      <c r="K145" s="281" t="n"/>
      <c r="L145" s="273">
        <f>IF(OR(A145="",K145="",C145="",NOT(ISNUMBER($Z$6))),"",ROUND(K145*C145*$Z$6,2))</f>
        <v/>
      </c>
      <c r="M145" s="282">
        <f>IF(OR(E145="",G145=""),"",ROUND(MAX(E145-G145,0),2))</f>
        <v/>
      </c>
      <c r="N145" s="273">
        <f>IF(OR(M145="",C145="",NOT(ISNUMBER($Z$3))),"",ROUND(M145*C145*$Z$3,2))</f>
        <v/>
      </c>
      <c r="O145" s="282">
        <f>IF(OR(G145="",I145=""),"",ROUND(MAX(G145-I145,0),2))</f>
        <v/>
      </c>
      <c r="P145" s="273">
        <f>IF(OR(O145="",C145="",NOT(ISNUMBER($Z$4))),"",ROUND(O145*C145*$Z$4,2))</f>
        <v/>
      </c>
      <c r="Q145" s="282">
        <f>IF(OR(I145="",K145=""),"",ROUND(MAX(I145-K145,0),2))</f>
        <v/>
      </c>
      <c r="R145" s="273">
        <f>IF(OR(Q145="",C145="",NOT(ISNUMBER($Z$5))),"",ROUND(Q145*C145*$Z$5,2))</f>
        <v/>
      </c>
      <c r="S145" s="296" t="n"/>
      <c r="T145" s="297" t="n"/>
      <c r="U145" s="284">
        <f>IF(A145="","",IF(AND(G145&lt;&gt;"",E145&lt;&gt;"",G145&gt;E145),"ALERTA: REM_C2&gt;REM_C1",IF(AND(I145&lt;&gt;"",G145&lt;&gt;"",I145&gt;G145),"ALERTA: REM_C3&gt;REM_C2",IF(AND(K145&lt;&gt;"",I145&lt;&gt;"",K145&gt;I145),"ALERTA: REM_C4&gt;REM_C3","OK"))))</f>
        <v/>
      </c>
      <c r="V145" s="284">
        <f>IF(A145="","",IF(B145="","",IF(OR(B145&lt;0,E145&gt;B145,G145&gt;B145,I145&gt;B145,K145&gt;B145),"ALERTA: QTD_INVALIDA","OK")))</f>
        <v/>
      </c>
      <c r="W145" s="27" t="n"/>
      <c r="X145" s="27" t="n"/>
      <c r="Y145" s="27" t="n"/>
      <c r="Z145" s="27" t="n"/>
      <c r="AA145" s="27" t="n"/>
      <c r="AB145" s="282">
        <f>IF(OR(A145="",E145=""),"",ROUND(B145-E145,2))</f>
        <v/>
      </c>
      <c r="AC145" s="273">
        <f>IF(OR(A145="",E145=""),"",ROUND(D145-E145*C145,2))</f>
        <v/>
      </c>
      <c r="AD145" s="27" t="n"/>
    </row>
    <row r="146">
      <c r="A146" s="278" t="n"/>
      <c r="B146" s="279" t="n"/>
      <c r="C146" s="280" t="n"/>
      <c r="D146" s="273">
        <f>IF(OR(A146="",B146="",C146=""),"",ROUND(B146*C146,2))</f>
        <v/>
      </c>
      <c r="E146" s="281" t="n"/>
      <c r="F146" s="273">
        <f>IF(OR(A146="",E146="",C146="",NOT(ISNUMBER($Z$3))),"",ROUND(E146*C146*$Z$3,2))</f>
        <v/>
      </c>
      <c r="G146" s="281" t="n"/>
      <c r="H146" s="273">
        <f>IF(OR(A146="",G146="",C146="",NOT(ISNUMBER($Z$4))),"",ROUND(G146*C146*$Z$4,2))</f>
        <v/>
      </c>
      <c r="I146" s="281" t="n"/>
      <c r="J146" s="273">
        <f>IF(OR(A146="",I146="",C146="",NOT(ISNUMBER($Z$5))),"",ROUND(I146*C146*$Z$5,2))</f>
        <v/>
      </c>
      <c r="K146" s="281" t="n"/>
      <c r="L146" s="273">
        <f>IF(OR(A146="",K146="",C146="",NOT(ISNUMBER($Z$6))),"",ROUND(K146*C146*$Z$6,2))</f>
        <v/>
      </c>
      <c r="M146" s="282">
        <f>IF(OR(E146="",G146=""),"",ROUND(MAX(E146-G146,0),2))</f>
        <v/>
      </c>
      <c r="N146" s="273">
        <f>IF(OR(M146="",C146="",NOT(ISNUMBER($Z$3))),"",ROUND(M146*C146*$Z$3,2))</f>
        <v/>
      </c>
      <c r="O146" s="282">
        <f>IF(OR(G146="",I146=""),"",ROUND(MAX(G146-I146,0),2))</f>
        <v/>
      </c>
      <c r="P146" s="273">
        <f>IF(OR(O146="",C146="",NOT(ISNUMBER($Z$4))),"",ROUND(O146*C146*$Z$4,2))</f>
        <v/>
      </c>
      <c r="Q146" s="282">
        <f>IF(OR(I146="",K146=""),"",ROUND(MAX(I146-K146,0),2))</f>
        <v/>
      </c>
      <c r="R146" s="273">
        <f>IF(OR(Q146="",C146="",NOT(ISNUMBER($Z$5))),"",ROUND(Q146*C146*$Z$5,2))</f>
        <v/>
      </c>
      <c r="S146" s="296" t="n"/>
      <c r="T146" s="297" t="n"/>
      <c r="U146" s="284">
        <f>IF(A146="","",IF(AND(G146&lt;&gt;"",E146&lt;&gt;"",G146&gt;E146),"ALERTA: REM_C2&gt;REM_C1",IF(AND(I146&lt;&gt;"",G146&lt;&gt;"",I146&gt;G146),"ALERTA: REM_C3&gt;REM_C2",IF(AND(K146&lt;&gt;"",I146&lt;&gt;"",K146&gt;I146),"ALERTA: REM_C4&gt;REM_C3","OK"))))</f>
        <v/>
      </c>
      <c r="V146" s="284">
        <f>IF(A146="","",IF(B146="","",IF(OR(B146&lt;0,E146&gt;B146,G146&gt;B146,I146&gt;B146,K146&gt;B146),"ALERTA: QTD_INVALIDA","OK")))</f>
        <v/>
      </c>
      <c r="W146" s="27" t="n"/>
      <c r="X146" s="27" t="n"/>
      <c r="Y146" s="27" t="n"/>
      <c r="Z146" s="27" t="n"/>
      <c r="AA146" s="27" t="n"/>
      <c r="AB146" s="282">
        <f>IF(OR(A146="",E146=""),"",ROUND(B146-E146,2))</f>
        <v/>
      </c>
      <c r="AC146" s="273">
        <f>IF(OR(A146="",E146=""),"",ROUND(D146-E146*C146,2))</f>
        <v/>
      </c>
      <c r="AD146" s="27" t="n"/>
    </row>
    <row r="147">
      <c r="A147" s="278" t="n"/>
      <c r="B147" s="279" t="n"/>
      <c r="C147" s="280" t="n"/>
      <c r="D147" s="273">
        <f>IF(OR(A147="",B147="",C147=""),"",ROUND(B147*C147,2))</f>
        <v/>
      </c>
      <c r="E147" s="281" t="n"/>
      <c r="F147" s="273">
        <f>IF(OR(A147="",E147="",C147="",NOT(ISNUMBER($Z$3))),"",ROUND(E147*C147*$Z$3,2))</f>
        <v/>
      </c>
      <c r="G147" s="281" t="n"/>
      <c r="H147" s="273">
        <f>IF(OR(A147="",G147="",C147="",NOT(ISNUMBER($Z$4))),"",ROUND(G147*C147*$Z$4,2))</f>
        <v/>
      </c>
      <c r="I147" s="281" t="n"/>
      <c r="J147" s="273">
        <f>IF(OR(A147="",I147="",C147="",NOT(ISNUMBER($Z$5))),"",ROUND(I147*C147*$Z$5,2))</f>
        <v/>
      </c>
      <c r="K147" s="281" t="n"/>
      <c r="L147" s="273">
        <f>IF(OR(A147="",K147="",C147="",NOT(ISNUMBER($Z$6))),"",ROUND(K147*C147*$Z$6,2))</f>
        <v/>
      </c>
      <c r="M147" s="282">
        <f>IF(OR(E147="",G147=""),"",ROUND(MAX(E147-G147,0),2))</f>
        <v/>
      </c>
      <c r="N147" s="273">
        <f>IF(OR(M147="",C147="",NOT(ISNUMBER($Z$3))),"",ROUND(M147*C147*$Z$3,2))</f>
        <v/>
      </c>
      <c r="O147" s="282">
        <f>IF(OR(G147="",I147=""),"",ROUND(MAX(G147-I147,0),2))</f>
        <v/>
      </c>
      <c r="P147" s="273">
        <f>IF(OR(O147="",C147="",NOT(ISNUMBER($Z$4))),"",ROUND(O147*C147*$Z$4,2))</f>
        <v/>
      </c>
      <c r="Q147" s="282">
        <f>IF(OR(I147="",K147=""),"",ROUND(MAX(I147-K147,0),2))</f>
        <v/>
      </c>
      <c r="R147" s="273">
        <f>IF(OR(Q147="",C147="",NOT(ISNUMBER($Z$5))),"",ROUND(Q147*C147*$Z$5,2))</f>
        <v/>
      </c>
      <c r="S147" s="296" t="n"/>
      <c r="T147" s="297" t="n"/>
      <c r="U147" s="284">
        <f>IF(A147="","",IF(AND(G147&lt;&gt;"",E147&lt;&gt;"",G147&gt;E147),"ALERTA: REM_C2&gt;REM_C1",IF(AND(I147&lt;&gt;"",G147&lt;&gt;"",I147&gt;G147),"ALERTA: REM_C3&gt;REM_C2",IF(AND(K147&lt;&gt;"",I147&lt;&gt;"",K147&gt;I147),"ALERTA: REM_C4&gt;REM_C3","OK"))))</f>
        <v/>
      </c>
      <c r="V147" s="284">
        <f>IF(A147="","",IF(B147="","",IF(OR(B147&lt;0,E147&gt;B147,G147&gt;B147,I147&gt;B147,K147&gt;B147),"ALERTA: QTD_INVALIDA","OK")))</f>
        <v/>
      </c>
      <c r="W147" s="27" t="n"/>
      <c r="X147" s="27" t="n"/>
      <c r="Y147" s="27" t="n"/>
      <c r="Z147" s="27" t="n"/>
      <c r="AA147" s="27" t="n"/>
      <c r="AB147" s="282">
        <f>IF(OR(A147="",E147=""),"",ROUND(B147-E147,2))</f>
        <v/>
      </c>
      <c r="AC147" s="273">
        <f>IF(OR(A147="",E147=""),"",ROUND(D147-E147*C147,2))</f>
        <v/>
      </c>
      <c r="AD147" s="27" t="n"/>
    </row>
    <row r="148">
      <c r="A148" s="278" t="n"/>
      <c r="B148" s="279" t="n"/>
      <c r="C148" s="280" t="n"/>
      <c r="D148" s="273">
        <f>IF(OR(A148="",B148="",C148=""),"",ROUND(B148*C148,2))</f>
        <v/>
      </c>
      <c r="E148" s="281" t="n"/>
      <c r="F148" s="273">
        <f>IF(OR(A148="",E148="",C148="",NOT(ISNUMBER($Z$3))),"",ROUND(E148*C148*$Z$3,2))</f>
        <v/>
      </c>
      <c r="G148" s="281" t="n"/>
      <c r="H148" s="273">
        <f>IF(OR(A148="",G148="",C148="",NOT(ISNUMBER($Z$4))),"",ROUND(G148*C148*$Z$4,2))</f>
        <v/>
      </c>
      <c r="I148" s="281" t="n"/>
      <c r="J148" s="273">
        <f>IF(OR(A148="",I148="",C148="",NOT(ISNUMBER($Z$5))),"",ROUND(I148*C148*$Z$5,2))</f>
        <v/>
      </c>
      <c r="K148" s="281" t="n"/>
      <c r="L148" s="273">
        <f>IF(OR(A148="",K148="",C148="",NOT(ISNUMBER($Z$6))),"",ROUND(K148*C148*$Z$6,2))</f>
        <v/>
      </c>
      <c r="M148" s="282">
        <f>IF(OR(E148="",G148=""),"",ROUND(MAX(E148-G148,0),2))</f>
        <v/>
      </c>
      <c r="N148" s="273">
        <f>IF(OR(M148="",C148="",NOT(ISNUMBER($Z$3))),"",ROUND(M148*C148*$Z$3,2))</f>
        <v/>
      </c>
      <c r="O148" s="282">
        <f>IF(OR(G148="",I148=""),"",ROUND(MAX(G148-I148,0),2))</f>
        <v/>
      </c>
      <c r="P148" s="273">
        <f>IF(OR(O148="",C148="",NOT(ISNUMBER($Z$4))),"",ROUND(O148*C148*$Z$4,2))</f>
        <v/>
      </c>
      <c r="Q148" s="282">
        <f>IF(OR(I148="",K148=""),"",ROUND(MAX(I148-K148,0),2))</f>
        <v/>
      </c>
      <c r="R148" s="273">
        <f>IF(OR(Q148="",C148="",NOT(ISNUMBER($Z$5))),"",ROUND(Q148*C148*$Z$5,2))</f>
        <v/>
      </c>
      <c r="S148" s="296" t="n"/>
      <c r="T148" s="297" t="n"/>
      <c r="U148" s="284">
        <f>IF(A148="","",IF(AND(G148&lt;&gt;"",E148&lt;&gt;"",G148&gt;E148),"ALERTA: REM_C2&gt;REM_C1",IF(AND(I148&lt;&gt;"",G148&lt;&gt;"",I148&gt;G148),"ALERTA: REM_C3&gt;REM_C2",IF(AND(K148&lt;&gt;"",I148&lt;&gt;"",K148&gt;I148),"ALERTA: REM_C4&gt;REM_C3","OK"))))</f>
        <v/>
      </c>
      <c r="V148" s="284">
        <f>IF(A148="","",IF(B148="","",IF(OR(B148&lt;0,E148&gt;B148,G148&gt;B148,I148&gt;B148,K148&gt;B148),"ALERTA: QTD_INVALIDA","OK")))</f>
        <v/>
      </c>
      <c r="W148" s="27" t="n"/>
      <c r="X148" s="27" t="n"/>
      <c r="Y148" s="27" t="n"/>
      <c r="Z148" s="27" t="n"/>
      <c r="AA148" s="27" t="n"/>
      <c r="AB148" s="282">
        <f>IF(OR(A148="",E148=""),"",ROUND(B148-E148,2))</f>
        <v/>
      </c>
      <c r="AC148" s="273">
        <f>IF(OR(A148="",E148=""),"",ROUND(D148-E148*C148,2))</f>
        <v/>
      </c>
      <c r="AD148" s="27" t="n"/>
    </row>
    <row r="149">
      <c r="A149" s="278" t="n"/>
      <c r="B149" s="279" t="n"/>
      <c r="C149" s="280" t="n"/>
      <c r="D149" s="273">
        <f>IF(OR(A149="",B149="",C149=""),"",ROUND(B149*C149,2))</f>
        <v/>
      </c>
      <c r="E149" s="281" t="n"/>
      <c r="F149" s="273">
        <f>IF(OR(A149="",E149="",C149="",NOT(ISNUMBER($Z$3))),"",ROUND(E149*C149*$Z$3,2))</f>
        <v/>
      </c>
      <c r="G149" s="281" t="n"/>
      <c r="H149" s="273">
        <f>IF(OR(A149="",G149="",C149="",NOT(ISNUMBER($Z$4))),"",ROUND(G149*C149*$Z$4,2))</f>
        <v/>
      </c>
      <c r="I149" s="281" t="n"/>
      <c r="J149" s="273">
        <f>IF(OR(A149="",I149="",C149="",NOT(ISNUMBER($Z$5))),"",ROUND(I149*C149*$Z$5,2))</f>
        <v/>
      </c>
      <c r="K149" s="281" t="n"/>
      <c r="L149" s="273">
        <f>IF(OR(A149="",K149="",C149="",NOT(ISNUMBER($Z$6))),"",ROUND(K149*C149*$Z$6,2))</f>
        <v/>
      </c>
      <c r="M149" s="282">
        <f>IF(OR(E149="",G149=""),"",ROUND(MAX(E149-G149,0),2))</f>
        <v/>
      </c>
      <c r="N149" s="273">
        <f>IF(OR(M149="",C149="",NOT(ISNUMBER($Z$3))),"",ROUND(M149*C149*$Z$3,2))</f>
        <v/>
      </c>
      <c r="O149" s="282">
        <f>IF(OR(G149="",I149=""),"",ROUND(MAX(G149-I149,0),2))</f>
        <v/>
      </c>
      <c r="P149" s="273">
        <f>IF(OR(O149="",C149="",NOT(ISNUMBER($Z$4))),"",ROUND(O149*C149*$Z$4,2))</f>
        <v/>
      </c>
      <c r="Q149" s="282">
        <f>IF(OR(I149="",K149=""),"",ROUND(MAX(I149-K149,0),2))</f>
        <v/>
      </c>
      <c r="R149" s="273">
        <f>IF(OR(Q149="",C149="",NOT(ISNUMBER($Z$5))),"",ROUND(Q149*C149*$Z$5,2))</f>
        <v/>
      </c>
      <c r="S149" s="296" t="n"/>
      <c r="T149" s="297" t="n"/>
      <c r="U149" s="284">
        <f>IF(A149="","",IF(AND(G149&lt;&gt;"",E149&lt;&gt;"",G149&gt;E149),"ALERTA: REM_C2&gt;REM_C1",IF(AND(I149&lt;&gt;"",G149&lt;&gt;"",I149&gt;G149),"ALERTA: REM_C3&gt;REM_C2",IF(AND(K149&lt;&gt;"",I149&lt;&gt;"",K149&gt;I149),"ALERTA: REM_C4&gt;REM_C3","OK"))))</f>
        <v/>
      </c>
      <c r="V149" s="284">
        <f>IF(A149="","",IF(B149="","",IF(OR(B149&lt;0,E149&gt;B149,G149&gt;B149,I149&gt;B149,K149&gt;B149),"ALERTA: QTD_INVALIDA","OK")))</f>
        <v/>
      </c>
      <c r="W149" s="27" t="n"/>
      <c r="X149" s="27" t="n"/>
      <c r="Y149" s="27" t="n"/>
      <c r="Z149" s="27" t="n"/>
      <c r="AA149" s="27" t="n"/>
      <c r="AB149" s="282">
        <f>IF(OR(A149="",E149=""),"",ROUND(B149-E149,2))</f>
        <v/>
      </c>
      <c r="AC149" s="273">
        <f>IF(OR(A149="",E149=""),"",ROUND(D149-E149*C149,2))</f>
        <v/>
      </c>
      <c r="AD149" s="27" t="n"/>
    </row>
    <row r="150">
      <c r="A150" s="278" t="n"/>
      <c r="B150" s="279" t="n"/>
      <c r="C150" s="280" t="n"/>
      <c r="D150" s="273">
        <f>IF(OR(A150="",B150="",C150=""),"",ROUND(B150*C150,2))</f>
        <v/>
      </c>
      <c r="E150" s="281" t="n"/>
      <c r="F150" s="273">
        <f>IF(OR(A150="",E150="",C150="",NOT(ISNUMBER($Z$3))),"",ROUND(E150*C150*$Z$3,2))</f>
        <v/>
      </c>
      <c r="G150" s="281" t="n"/>
      <c r="H150" s="273">
        <f>IF(OR(A150="",G150="",C150="",NOT(ISNUMBER($Z$4))),"",ROUND(G150*C150*$Z$4,2))</f>
        <v/>
      </c>
      <c r="I150" s="281" t="n"/>
      <c r="J150" s="273">
        <f>IF(OR(A150="",I150="",C150="",NOT(ISNUMBER($Z$5))),"",ROUND(I150*C150*$Z$5,2))</f>
        <v/>
      </c>
      <c r="K150" s="281" t="n"/>
      <c r="L150" s="273">
        <f>IF(OR(A150="",K150="",C150="",NOT(ISNUMBER($Z$6))),"",ROUND(K150*C150*$Z$6,2))</f>
        <v/>
      </c>
      <c r="M150" s="282">
        <f>IF(OR(E150="",G150=""),"",ROUND(MAX(E150-G150,0),2))</f>
        <v/>
      </c>
      <c r="N150" s="273">
        <f>IF(OR(M150="",C150="",NOT(ISNUMBER($Z$3))),"",ROUND(M150*C150*$Z$3,2))</f>
        <v/>
      </c>
      <c r="O150" s="282">
        <f>IF(OR(G150="",I150=""),"",ROUND(MAX(G150-I150,0),2))</f>
        <v/>
      </c>
      <c r="P150" s="273">
        <f>IF(OR(O150="",C150="",NOT(ISNUMBER($Z$4))),"",ROUND(O150*C150*$Z$4,2))</f>
        <v/>
      </c>
      <c r="Q150" s="282">
        <f>IF(OR(I150="",K150=""),"",ROUND(MAX(I150-K150,0),2))</f>
        <v/>
      </c>
      <c r="R150" s="273">
        <f>IF(OR(Q150="",C150="",NOT(ISNUMBER($Z$5))),"",ROUND(Q150*C150*$Z$5,2))</f>
        <v/>
      </c>
      <c r="S150" s="296" t="n"/>
      <c r="T150" s="297" t="n"/>
      <c r="U150" s="284">
        <f>IF(A150="","",IF(AND(G150&lt;&gt;"",E150&lt;&gt;"",G150&gt;E150),"ALERTA: REM_C2&gt;REM_C1",IF(AND(I150&lt;&gt;"",G150&lt;&gt;"",I150&gt;G150),"ALERTA: REM_C3&gt;REM_C2",IF(AND(K150&lt;&gt;"",I150&lt;&gt;"",K150&gt;I150),"ALERTA: REM_C4&gt;REM_C3","OK"))))</f>
        <v/>
      </c>
      <c r="V150" s="284">
        <f>IF(A150="","",IF(B150="","",IF(OR(B150&lt;0,E150&gt;B150,G150&gt;B150,I150&gt;B150,K150&gt;B150),"ALERTA: QTD_INVALIDA","OK")))</f>
        <v/>
      </c>
      <c r="W150" s="27" t="n"/>
      <c r="X150" s="27" t="n"/>
      <c r="Y150" s="27" t="n"/>
      <c r="Z150" s="27" t="n"/>
      <c r="AA150" s="27" t="n"/>
      <c r="AB150" s="282">
        <f>IF(OR(A150="",E150=""),"",ROUND(B150-E150,2))</f>
        <v/>
      </c>
      <c r="AC150" s="273">
        <f>IF(OR(A150="",E150=""),"",ROUND(D150-E150*C150,2))</f>
        <v/>
      </c>
      <c r="AD150" s="27" t="n"/>
    </row>
    <row r="151">
      <c r="A151" s="278" t="n"/>
      <c r="B151" s="279" t="n"/>
      <c r="C151" s="280" t="n"/>
      <c r="D151" s="273">
        <f>IF(OR(A151="",B151="",C151=""),"",ROUND(B151*C151,2))</f>
        <v/>
      </c>
      <c r="E151" s="281" t="n"/>
      <c r="F151" s="273">
        <f>IF(OR(A151="",E151="",C151="",NOT(ISNUMBER($Z$3))),"",ROUND(E151*C151*$Z$3,2))</f>
        <v/>
      </c>
      <c r="G151" s="281" t="n"/>
      <c r="H151" s="273">
        <f>IF(OR(A151="",G151="",C151="",NOT(ISNUMBER($Z$4))),"",ROUND(G151*C151*$Z$4,2))</f>
        <v/>
      </c>
      <c r="I151" s="281" t="n"/>
      <c r="J151" s="273">
        <f>IF(OR(A151="",I151="",C151="",NOT(ISNUMBER($Z$5))),"",ROUND(I151*C151*$Z$5,2))</f>
        <v/>
      </c>
      <c r="K151" s="281" t="n"/>
      <c r="L151" s="273">
        <f>IF(OR(A151="",K151="",C151="",NOT(ISNUMBER($Z$6))),"",ROUND(K151*C151*$Z$6,2))</f>
        <v/>
      </c>
      <c r="M151" s="282">
        <f>IF(OR(E151="",G151=""),"",ROUND(MAX(E151-G151,0),2))</f>
        <v/>
      </c>
      <c r="N151" s="273">
        <f>IF(OR(M151="",C151="",NOT(ISNUMBER($Z$3))),"",ROUND(M151*C151*$Z$3,2))</f>
        <v/>
      </c>
      <c r="O151" s="282">
        <f>IF(OR(G151="",I151=""),"",ROUND(MAX(G151-I151,0),2))</f>
        <v/>
      </c>
      <c r="P151" s="273">
        <f>IF(OR(O151="",C151="",NOT(ISNUMBER($Z$4))),"",ROUND(O151*C151*$Z$4,2))</f>
        <v/>
      </c>
      <c r="Q151" s="282">
        <f>IF(OR(I151="",K151=""),"",ROUND(MAX(I151-K151,0),2))</f>
        <v/>
      </c>
      <c r="R151" s="273">
        <f>IF(OR(Q151="",C151="",NOT(ISNUMBER($Z$5))),"",ROUND(Q151*C151*$Z$5,2))</f>
        <v/>
      </c>
      <c r="S151" s="296" t="n"/>
      <c r="T151" s="297" t="n"/>
      <c r="U151" s="284">
        <f>IF(A151="","",IF(AND(G151&lt;&gt;"",E151&lt;&gt;"",G151&gt;E151),"ALERTA: REM_C2&gt;REM_C1",IF(AND(I151&lt;&gt;"",G151&lt;&gt;"",I151&gt;G151),"ALERTA: REM_C3&gt;REM_C2",IF(AND(K151&lt;&gt;"",I151&lt;&gt;"",K151&gt;I151),"ALERTA: REM_C4&gt;REM_C3","OK"))))</f>
        <v/>
      </c>
      <c r="V151" s="284">
        <f>IF(A151="","",IF(B151="","",IF(OR(B151&lt;0,E151&gt;B151,G151&gt;B151,I151&gt;B151,K151&gt;B151),"ALERTA: QTD_INVALIDA","OK")))</f>
        <v/>
      </c>
      <c r="W151" s="27" t="n"/>
      <c r="X151" s="27" t="n"/>
      <c r="Y151" s="27" t="n"/>
      <c r="Z151" s="27" t="n"/>
      <c r="AA151" s="27" t="n"/>
      <c r="AB151" s="282">
        <f>IF(OR(A151="",E151=""),"",ROUND(B151-E151,2))</f>
        <v/>
      </c>
      <c r="AC151" s="273">
        <f>IF(OR(A151="",E151=""),"",ROUND(D151-E151*C151,2))</f>
        <v/>
      </c>
      <c r="AD151" s="27" t="n"/>
    </row>
    <row r="152">
      <c r="A152" s="278" t="n"/>
      <c r="B152" s="279" t="n"/>
      <c r="C152" s="280" t="n"/>
      <c r="D152" s="273">
        <f>IF(OR(A152="",B152="",C152=""),"",ROUND(B152*C152,2))</f>
        <v/>
      </c>
      <c r="E152" s="281" t="n"/>
      <c r="F152" s="273">
        <f>IF(OR(A152="",E152="",C152="",NOT(ISNUMBER($Z$3))),"",ROUND(E152*C152*$Z$3,2))</f>
        <v/>
      </c>
      <c r="G152" s="281" t="n"/>
      <c r="H152" s="273">
        <f>IF(OR(A152="",G152="",C152="",NOT(ISNUMBER($Z$4))),"",ROUND(G152*C152*$Z$4,2))</f>
        <v/>
      </c>
      <c r="I152" s="281" t="n"/>
      <c r="J152" s="273">
        <f>IF(OR(A152="",I152="",C152="",NOT(ISNUMBER($Z$5))),"",ROUND(I152*C152*$Z$5,2))</f>
        <v/>
      </c>
      <c r="K152" s="281" t="n"/>
      <c r="L152" s="273">
        <f>IF(OR(A152="",K152="",C152="",NOT(ISNUMBER($Z$6))),"",ROUND(K152*C152*$Z$6,2))</f>
        <v/>
      </c>
      <c r="M152" s="282">
        <f>IF(OR(E152="",G152=""),"",ROUND(MAX(E152-G152,0),2))</f>
        <v/>
      </c>
      <c r="N152" s="273">
        <f>IF(OR(M152="",C152="",NOT(ISNUMBER($Z$3))),"",ROUND(M152*C152*$Z$3,2))</f>
        <v/>
      </c>
      <c r="O152" s="282">
        <f>IF(OR(G152="",I152=""),"",ROUND(MAX(G152-I152,0),2))</f>
        <v/>
      </c>
      <c r="P152" s="273">
        <f>IF(OR(O152="",C152="",NOT(ISNUMBER($Z$4))),"",ROUND(O152*C152*$Z$4,2))</f>
        <v/>
      </c>
      <c r="Q152" s="282">
        <f>IF(OR(I152="",K152=""),"",ROUND(MAX(I152-K152,0),2))</f>
        <v/>
      </c>
      <c r="R152" s="273">
        <f>IF(OR(Q152="",C152="",NOT(ISNUMBER($Z$5))),"",ROUND(Q152*C152*$Z$5,2))</f>
        <v/>
      </c>
      <c r="S152" s="296" t="n"/>
      <c r="T152" s="297" t="n"/>
      <c r="U152" s="284">
        <f>IF(A152="","",IF(AND(G152&lt;&gt;"",E152&lt;&gt;"",G152&gt;E152),"ALERTA: REM_C2&gt;REM_C1",IF(AND(I152&lt;&gt;"",G152&lt;&gt;"",I152&gt;G152),"ALERTA: REM_C3&gt;REM_C2",IF(AND(K152&lt;&gt;"",I152&lt;&gt;"",K152&gt;I152),"ALERTA: REM_C4&gt;REM_C3","OK"))))</f>
        <v/>
      </c>
      <c r="V152" s="284">
        <f>IF(A152="","",IF(B152="","",IF(OR(B152&lt;0,E152&gt;B152,G152&gt;B152,I152&gt;B152,K152&gt;B152),"ALERTA: QTD_INVALIDA","OK")))</f>
        <v/>
      </c>
      <c r="W152" s="27" t="n"/>
      <c r="X152" s="27" t="n"/>
      <c r="Y152" s="27" t="n"/>
      <c r="Z152" s="27" t="n"/>
      <c r="AA152" s="27" t="n"/>
      <c r="AB152" s="282">
        <f>IF(OR(A152="",E152=""),"",ROUND(B152-E152,2))</f>
        <v/>
      </c>
      <c r="AC152" s="273">
        <f>IF(OR(A152="",E152=""),"",ROUND(D152-E152*C152,2))</f>
        <v/>
      </c>
      <c r="AD152" s="27" t="n"/>
    </row>
    <row r="153">
      <c r="A153" s="278" t="n"/>
      <c r="B153" s="279" t="n"/>
      <c r="C153" s="280" t="n"/>
      <c r="D153" s="273">
        <f>IF(OR(A153="",B153="",C153=""),"",ROUND(B153*C153,2))</f>
        <v/>
      </c>
      <c r="E153" s="281" t="n"/>
      <c r="F153" s="273">
        <f>IF(OR(A153="",E153="",C153="",NOT(ISNUMBER($Z$3))),"",ROUND(E153*C153*$Z$3,2))</f>
        <v/>
      </c>
      <c r="G153" s="281" t="n"/>
      <c r="H153" s="273">
        <f>IF(OR(A153="",G153="",C153="",NOT(ISNUMBER($Z$4))),"",ROUND(G153*C153*$Z$4,2))</f>
        <v/>
      </c>
      <c r="I153" s="281" t="n"/>
      <c r="J153" s="273">
        <f>IF(OR(A153="",I153="",C153="",NOT(ISNUMBER($Z$5))),"",ROUND(I153*C153*$Z$5,2))</f>
        <v/>
      </c>
      <c r="K153" s="281" t="n"/>
      <c r="L153" s="273">
        <f>IF(OR(A153="",K153="",C153="",NOT(ISNUMBER($Z$6))),"",ROUND(K153*C153*$Z$6,2))</f>
        <v/>
      </c>
      <c r="M153" s="282">
        <f>IF(OR(E153="",G153=""),"",ROUND(MAX(E153-G153,0),2))</f>
        <v/>
      </c>
      <c r="N153" s="273">
        <f>IF(OR(M153="",C153="",NOT(ISNUMBER($Z$3))),"",ROUND(M153*C153*$Z$3,2))</f>
        <v/>
      </c>
      <c r="O153" s="282">
        <f>IF(OR(G153="",I153=""),"",ROUND(MAX(G153-I153,0),2))</f>
        <v/>
      </c>
      <c r="P153" s="273">
        <f>IF(OR(O153="",C153="",NOT(ISNUMBER($Z$4))),"",ROUND(O153*C153*$Z$4,2))</f>
        <v/>
      </c>
      <c r="Q153" s="282">
        <f>IF(OR(I153="",K153=""),"",ROUND(MAX(I153-K153,0),2))</f>
        <v/>
      </c>
      <c r="R153" s="273">
        <f>IF(OR(Q153="",C153="",NOT(ISNUMBER($Z$5))),"",ROUND(Q153*C153*$Z$5,2))</f>
        <v/>
      </c>
      <c r="S153" s="296" t="n"/>
      <c r="T153" s="297" t="n"/>
      <c r="U153" s="284">
        <f>IF(A153="","",IF(AND(G153&lt;&gt;"",E153&lt;&gt;"",G153&gt;E153),"ALERTA: REM_C2&gt;REM_C1",IF(AND(I153&lt;&gt;"",G153&lt;&gt;"",I153&gt;G153),"ALERTA: REM_C3&gt;REM_C2",IF(AND(K153&lt;&gt;"",I153&lt;&gt;"",K153&gt;I153),"ALERTA: REM_C4&gt;REM_C3","OK"))))</f>
        <v/>
      </c>
      <c r="V153" s="284">
        <f>IF(A153="","",IF(B153="","",IF(OR(B153&lt;0,E153&gt;B153,G153&gt;B153,I153&gt;B153,K153&gt;B153),"ALERTA: QTD_INVALIDA","OK")))</f>
        <v/>
      </c>
      <c r="W153" s="27" t="n"/>
      <c r="X153" s="27" t="n"/>
      <c r="Y153" s="27" t="n"/>
      <c r="Z153" s="27" t="n"/>
      <c r="AA153" s="27" t="n"/>
      <c r="AB153" s="282">
        <f>IF(OR(A153="",E153=""),"",ROUND(B153-E153,2))</f>
        <v/>
      </c>
      <c r="AC153" s="273">
        <f>IF(OR(A153="",E153=""),"",ROUND(D153-E153*C153,2))</f>
        <v/>
      </c>
      <c r="AD153" s="27" t="n"/>
    </row>
    <row r="154">
      <c r="A154" s="278" t="n"/>
      <c r="B154" s="279" t="n"/>
      <c r="C154" s="280" t="n"/>
      <c r="D154" s="273">
        <f>IF(OR(A154="",B154="",C154=""),"",ROUND(B154*C154,2))</f>
        <v/>
      </c>
      <c r="E154" s="281" t="n"/>
      <c r="F154" s="273">
        <f>IF(OR(A154="",E154="",C154="",NOT(ISNUMBER($Z$3))),"",ROUND(E154*C154*$Z$3,2))</f>
        <v/>
      </c>
      <c r="G154" s="281" t="n"/>
      <c r="H154" s="273">
        <f>IF(OR(A154="",G154="",C154="",NOT(ISNUMBER($Z$4))),"",ROUND(G154*C154*$Z$4,2))</f>
        <v/>
      </c>
      <c r="I154" s="281" t="n"/>
      <c r="J154" s="273">
        <f>IF(OR(A154="",I154="",C154="",NOT(ISNUMBER($Z$5))),"",ROUND(I154*C154*$Z$5,2))</f>
        <v/>
      </c>
      <c r="K154" s="281" t="n"/>
      <c r="L154" s="273">
        <f>IF(OR(A154="",K154="",C154="",NOT(ISNUMBER($Z$6))),"",ROUND(K154*C154*$Z$6,2))</f>
        <v/>
      </c>
      <c r="M154" s="282">
        <f>IF(OR(E154="",G154=""),"",ROUND(MAX(E154-G154,0),2))</f>
        <v/>
      </c>
      <c r="N154" s="273">
        <f>IF(OR(M154="",C154="",NOT(ISNUMBER($Z$3))),"",ROUND(M154*C154*$Z$3,2))</f>
        <v/>
      </c>
      <c r="O154" s="282">
        <f>IF(OR(G154="",I154=""),"",ROUND(MAX(G154-I154,0),2))</f>
        <v/>
      </c>
      <c r="P154" s="273">
        <f>IF(OR(O154="",C154="",NOT(ISNUMBER($Z$4))),"",ROUND(O154*C154*$Z$4,2))</f>
        <v/>
      </c>
      <c r="Q154" s="282">
        <f>IF(OR(I154="",K154=""),"",ROUND(MAX(I154-K154,0),2))</f>
        <v/>
      </c>
      <c r="R154" s="273">
        <f>IF(OR(Q154="",C154="",NOT(ISNUMBER($Z$5))),"",ROUND(Q154*C154*$Z$5,2))</f>
        <v/>
      </c>
      <c r="S154" s="296" t="n"/>
      <c r="T154" s="297" t="n"/>
      <c r="U154" s="284">
        <f>IF(A154="","",IF(AND(G154&lt;&gt;"",E154&lt;&gt;"",G154&gt;E154),"ALERTA: REM_C2&gt;REM_C1",IF(AND(I154&lt;&gt;"",G154&lt;&gt;"",I154&gt;G154),"ALERTA: REM_C3&gt;REM_C2",IF(AND(K154&lt;&gt;"",I154&lt;&gt;"",K154&gt;I154),"ALERTA: REM_C4&gt;REM_C3","OK"))))</f>
        <v/>
      </c>
      <c r="V154" s="284">
        <f>IF(A154="","",IF(B154="","",IF(OR(B154&lt;0,E154&gt;B154,G154&gt;B154,I154&gt;B154,K154&gt;B154),"ALERTA: QTD_INVALIDA","OK")))</f>
        <v/>
      </c>
      <c r="W154" s="27" t="n"/>
      <c r="X154" s="27" t="n"/>
      <c r="Y154" s="27" t="n"/>
      <c r="Z154" s="27" t="n"/>
      <c r="AA154" s="27" t="n"/>
      <c r="AB154" s="282">
        <f>IF(OR(A154="",E154=""),"",ROUND(B154-E154,2))</f>
        <v/>
      </c>
      <c r="AC154" s="273">
        <f>IF(OR(A154="",E154=""),"",ROUND(D154-E154*C154,2))</f>
        <v/>
      </c>
      <c r="AD154" s="27" t="n"/>
    </row>
    <row r="155">
      <c r="A155" s="278" t="n"/>
      <c r="B155" s="279" t="n"/>
      <c r="C155" s="280" t="n"/>
      <c r="D155" s="273">
        <f>IF(OR(A155="",B155="",C155=""),"",ROUND(B155*C155,2))</f>
        <v/>
      </c>
      <c r="E155" s="281" t="n"/>
      <c r="F155" s="273">
        <f>IF(OR(A155="",E155="",C155="",NOT(ISNUMBER($Z$3))),"",ROUND(E155*C155*$Z$3,2))</f>
        <v/>
      </c>
      <c r="G155" s="281" t="n"/>
      <c r="H155" s="273">
        <f>IF(OR(A155="",G155="",C155="",NOT(ISNUMBER($Z$4))),"",ROUND(G155*C155*$Z$4,2))</f>
        <v/>
      </c>
      <c r="I155" s="281" t="n"/>
      <c r="J155" s="273">
        <f>IF(OR(A155="",I155="",C155="",NOT(ISNUMBER($Z$5))),"",ROUND(I155*C155*$Z$5,2))</f>
        <v/>
      </c>
      <c r="K155" s="281" t="n"/>
      <c r="L155" s="273">
        <f>IF(OR(A155="",K155="",C155="",NOT(ISNUMBER($Z$6))),"",ROUND(K155*C155*$Z$6,2))</f>
        <v/>
      </c>
      <c r="M155" s="282">
        <f>IF(OR(E155="",G155=""),"",ROUND(MAX(E155-G155,0),2))</f>
        <v/>
      </c>
      <c r="N155" s="273">
        <f>IF(OR(M155="",C155="",NOT(ISNUMBER($Z$3))),"",ROUND(M155*C155*$Z$3,2))</f>
        <v/>
      </c>
      <c r="O155" s="282">
        <f>IF(OR(G155="",I155=""),"",ROUND(MAX(G155-I155,0),2))</f>
        <v/>
      </c>
      <c r="P155" s="273">
        <f>IF(OR(O155="",C155="",NOT(ISNUMBER($Z$4))),"",ROUND(O155*C155*$Z$4,2))</f>
        <v/>
      </c>
      <c r="Q155" s="282">
        <f>IF(OR(I155="",K155=""),"",ROUND(MAX(I155-K155,0),2))</f>
        <v/>
      </c>
      <c r="R155" s="273">
        <f>IF(OR(Q155="",C155="",NOT(ISNUMBER($Z$5))),"",ROUND(Q155*C155*$Z$5,2))</f>
        <v/>
      </c>
      <c r="S155" s="296" t="n"/>
      <c r="T155" s="297" t="n"/>
      <c r="U155" s="284">
        <f>IF(A155="","",IF(AND(G155&lt;&gt;"",E155&lt;&gt;"",G155&gt;E155),"ALERTA: REM_C2&gt;REM_C1",IF(AND(I155&lt;&gt;"",G155&lt;&gt;"",I155&gt;G155),"ALERTA: REM_C3&gt;REM_C2",IF(AND(K155&lt;&gt;"",I155&lt;&gt;"",K155&gt;I155),"ALERTA: REM_C4&gt;REM_C3","OK"))))</f>
        <v/>
      </c>
      <c r="V155" s="284">
        <f>IF(A155="","",IF(B155="","",IF(OR(B155&lt;0,E155&gt;B155,G155&gt;B155,I155&gt;B155,K155&gt;B155),"ALERTA: QTD_INVALIDA","OK")))</f>
        <v/>
      </c>
      <c r="W155" s="27" t="n"/>
      <c r="X155" s="27" t="n"/>
      <c r="Y155" s="27" t="n"/>
      <c r="Z155" s="27" t="n"/>
      <c r="AA155" s="27" t="n"/>
      <c r="AB155" s="282">
        <f>IF(OR(A155="",E155=""),"",ROUND(B155-E155,2))</f>
        <v/>
      </c>
      <c r="AC155" s="273">
        <f>IF(OR(A155="",E155=""),"",ROUND(D155-E155*C155,2))</f>
        <v/>
      </c>
      <c r="AD155" s="27" t="n"/>
    </row>
    <row r="156">
      <c r="A156" s="278" t="n"/>
      <c r="B156" s="279" t="n"/>
      <c r="C156" s="280" t="n"/>
      <c r="D156" s="273">
        <f>IF(OR(A156="",B156="",C156=""),"",ROUND(B156*C156,2))</f>
        <v/>
      </c>
      <c r="E156" s="281" t="n"/>
      <c r="F156" s="273">
        <f>IF(OR(A156="",E156="",C156="",NOT(ISNUMBER($Z$3))),"",ROUND(E156*C156*$Z$3,2))</f>
        <v/>
      </c>
      <c r="G156" s="281" t="n"/>
      <c r="H156" s="273">
        <f>IF(OR(A156="",G156="",C156="",NOT(ISNUMBER($Z$4))),"",ROUND(G156*C156*$Z$4,2))</f>
        <v/>
      </c>
      <c r="I156" s="281" t="n"/>
      <c r="J156" s="273">
        <f>IF(OR(A156="",I156="",C156="",NOT(ISNUMBER($Z$5))),"",ROUND(I156*C156*$Z$5,2))</f>
        <v/>
      </c>
      <c r="K156" s="281" t="n"/>
      <c r="L156" s="273">
        <f>IF(OR(A156="",K156="",C156="",NOT(ISNUMBER($Z$6))),"",ROUND(K156*C156*$Z$6,2))</f>
        <v/>
      </c>
      <c r="M156" s="282">
        <f>IF(OR(E156="",G156=""),"",ROUND(MAX(E156-G156,0),2))</f>
        <v/>
      </c>
      <c r="N156" s="273">
        <f>IF(OR(M156="",C156="",NOT(ISNUMBER($Z$3))),"",ROUND(M156*C156*$Z$3,2))</f>
        <v/>
      </c>
      <c r="O156" s="282">
        <f>IF(OR(G156="",I156=""),"",ROUND(MAX(G156-I156,0),2))</f>
        <v/>
      </c>
      <c r="P156" s="273">
        <f>IF(OR(O156="",C156="",NOT(ISNUMBER($Z$4))),"",ROUND(O156*C156*$Z$4,2))</f>
        <v/>
      </c>
      <c r="Q156" s="282">
        <f>IF(OR(I156="",K156=""),"",ROUND(MAX(I156-K156,0),2))</f>
        <v/>
      </c>
      <c r="R156" s="273">
        <f>IF(OR(Q156="",C156="",NOT(ISNUMBER($Z$5))),"",ROUND(Q156*C156*$Z$5,2))</f>
        <v/>
      </c>
      <c r="S156" s="296" t="n"/>
      <c r="T156" s="297" t="n"/>
      <c r="U156" s="284">
        <f>IF(A156="","",IF(AND(G156&lt;&gt;"",E156&lt;&gt;"",G156&gt;E156),"ALERTA: REM_C2&gt;REM_C1",IF(AND(I156&lt;&gt;"",G156&lt;&gt;"",I156&gt;G156),"ALERTA: REM_C3&gt;REM_C2",IF(AND(K156&lt;&gt;"",I156&lt;&gt;"",K156&gt;I156),"ALERTA: REM_C4&gt;REM_C3","OK"))))</f>
        <v/>
      </c>
      <c r="V156" s="284">
        <f>IF(A156="","",IF(B156="","",IF(OR(B156&lt;0,E156&gt;B156,G156&gt;B156,I156&gt;B156,K156&gt;B156),"ALERTA: QTD_INVALIDA","OK")))</f>
        <v/>
      </c>
      <c r="W156" s="27" t="n"/>
      <c r="X156" s="27" t="n"/>
      <c r="Y156" s="27" t="n"/>
      <c r="Z156" s="27" t="n"/>
      <c r="AA156" s="27" t="n"/>
      <c r="AB156" s="282">
        <f>IF(OR(A156="",E156=""),"",ROUND(B156-E156,2))</f>
        <v/>
      </c>
      <c r="AC156" s="273">
        <f>IF(OR(A156="",E156=""),"",ROUND(D156-E156*C156,2))</f>
        <v/>
      </c>
      <c r="AD156" s="27" t="n"/>
    </row>
    <row r="157">
      <c r="A157" s="278" t="n"/>
      <c r="B157" s="279" t="n"/>
      <c r="C157" s="280" t="n"/>
      <c r="D157" s="273">
        <f>IF(OR(A157="",B157="",C157=""),"",ROUND(B157*C157,2))</f>
        <v/>
      </c>
      <c r="E157" s="281" t="n"/>
      <c r="F157" s="273">
        <f>IF(OR(A157="",E157="",C157="",NOT(ISNUMBER($Z$3))),"",ROUND(E157*C157*$Z$3,2))</f>
        <v/>
      </c>
      <c r="G157" s="281" t="n"/>
      <c r="H157" s="273">
        <f>IF(OR(A157="",G157="",C157="",NOT(ISNUMBER($Z$4))),"",ROUND(G157*C157*$Z$4,2))</f>
        <v/>
      </c>
      <c r="I157" s="281" t="n"/>
      <c r="J157" s="273">
        <f>IF(OR(A157="",I157="",C157="",NOT(ISNUMBER($Z$5))),"",ROUND(I157*C157*$Z$5,2))</f>
        <v/>
      </c>
      <c r="K157" s="281" t="n"/>
      <c r="L157" s="273">
        <f>IF(OR(A157="",K157="",C157="",NOT(ISNUMBER($Z$6))),"",ROUND(K157*C157*$Z$6,2))</f>
        <v/>
      </c>
      <c r="M157" s="282">
        <f>IF(OR(E157="",G157=""),"",ROUND(MAX(E157-G157,0),2))</f>
        <v/>
      </c>
      <c r="N157" s="273">
        <f>IF(OR(M157="",C157="",NOT(ISNUMBER($Z$3))),"",ROUND(M157*C157*$Z$3,2))</f>
        <v/>
      </c>
      <c r="O157" s="282">
        <f>IF(OR(G157="",I157=""),"",ROUND(MAX(G157-I157,0),2))</f>
        <v/>
      </c>
      <c r="P157" s="273">
        <f>IF(OR(O157="",C157="",NOT(ISNUMBER($Z$4))),"",ROUND(O157*C157*$Z$4,2))</f>
        <v/>
      </c>
      <c r="Q157" s="282">
        <f>IF(OR(I157="",K157=""),"",ROUND(MAX(I157-K157,0),2))</f>
        <v/>
      </c>
      <c r="R157" s="273">
        <f>IF(OR(Q157="",C157="",NOT(ISNUMBER($Z$5))),"",ROUND(Q157*C157*$Z$5,2))</f>
        <v/>
      </c>
      <c r="S157" s="296" t="n"/>
      <c r="T157" s="297" t="n"/>
      <c r="U157" s="284">
        <f>IF(A157="","",IF(AND(G157&lt;&gt;"",E157&lt;&gt;"",G157&gt;E157),"ALERTA: REM_C2&gt;REM_C1",IF(AND(I157&lt;&gt;"",G157&lt;&gt;"",I157&gt;G157),"ALERTA: REM_C3&gt;REM_C2",IF(AND(K157&lt;&gt;"",I157&lt;&gt;"",K157&gt;I157),"ALERTA: REM_C4&gt;REM_C3","OK"))))</f>
        <v/>
      </c>
      <c r="V157" s="284">
        <f>IF(A157="","",IF(B157="","",IF(OR(B157&lt;0,E157&gt;B157,G157&gt;B157,I157&gt;B157,K157&gt;B157),"ALERTA: QTD_INVALIDA","OK")))</f>
        <v/>
      </c>
      <c r="W157" s="27" t="n"/>
      <c r="X157" s="27" t="n"/>
      <c r="Y157" s="27" t="n"/>
      <c r="Z157" s="27" t="n"/>
      <c r="AA157" s="27" t="n"/>
      <c r="AB157" s="282">
        <f>IF(OR(A157="",E157=""),"",ROUND(B157-E157,2))</f>
        <v/>
      </c>
      <c r="AC157" s="273">
        <f>IF(OR(A157="",E157=""),"",ROUND(D157-E157*C157,2))</f>
        <v/>
      </c>
      <c r="AD157" s="27" t="n"/>
    </row>
    <row r="158">
      <c r="A158" s="278" t="n"/>
      <c r="B158" s="279" t="n"/>
      <c r="C158" s="280" t="n"/>
      <c r="D158" s="273">
        <f>IF(OR(A158="",B158="",C158=""),"",ROUND(B158*C158,2))</f>
        <v/>
      </c>
      <c r="E158" s="281" t="n"/>
      <c r="F158" s="273">
        <f>IF(OR(A158="",E158="",C158="",NOT(ISNUMBER($Z$3))),"",ROUND(E158*C158*$Z$3,2))</f>
        <v/>
      </c>
      <c r="G158" s="281" t="n"/>
      <c r="H158" s="273">
        <f>IF(OR(A158="",G158="",C158="",NOT(ISNUMBER($Z$4))),"",ROUND(G158*C158*$Z$4,2))</f>
        <v/>
      </c>
      <c r="I158" s="281" t="n"/>
      <c r="J158" s="273">
        <f>IF(OR(A158="",I158="",C158="",NOT(ISNUMBER($Z$5))),"",ROUND(I158*C158*$Z$5,2))</f>
        <v/>
      </c>
      <c r="K158" s="281" t="n"/>
      <c r="L158" s="273">
        <f>IF(OR(A158="",K158="",C158="",NOT(ISNUMBER($Z$6))),"",ROUND(K158*C158*$Z$6,2))</f>
        <v/>
      </c>
      <c r="M158" s="282">
        <f>IF(OR(E158="",G158=""),"",ROUND(MAX(E158-G158,0),2))</f>
        <v/>
      </c>
      <c r="N158" s="273">
        <f>IF(OR(M158="",C158="",NOT(ISNUMBER($Z$3))),"",ROUND(M158*C158*$Z$3,2))</f>
        <v/>
      </c>
      <c r="O158" s="282">
        <f>IF(OR(G158="",I158=""),"",ROUND(MAX(G158-I158,0),2))</f>
        <v/>
      </c>
      <c r="P158" s="273">
        <f>IF(OR(O158="",C158="",NOT(ISNUMBER($Z$4))),"",ROUND(O158*C158*$Z$4,2))</f>
        <v/>
      </c>
      <c r="Q158" s="282">
        <f>IF(OR(I158="",K158=""),"",ROUND(MAX(I158-K158,0),2))</f>
        <v/>
      </c>
      <c r="R158" s="273">
        <f>IF(OR(Q158="",C158="",NOT(ISNUMBER($Z$5))),"",ROUND(Q158*C158*$Z$5,2))</f>
        <v/>
      </c>
      <c r="S158" s="296" t="n"/>
      <c r="T158" s="297" t="n"/>
      <c r="U158" s="284">
        <f>IF(A158="","",IF(AND(G158&lt;&gt;"",E158&lt;&gt;"",G158&gt;E158),"ALERTA: REM_C2&gt;REM_C1",IF(AND(I158&lt;&gt;"",G158&lt;&gt;"",I158&gt;G158),"ALERTA: REM_C3&gt;REM_C2",IF(AND(K158&lt;&gt;"",I158&lt;&gt;"",K158&gt;I158),"ALERTA: REM_C4&gt;REM_C3","OK"))))</f>
        <v/>
      </c>
      <c r="V158" s="284">
        <f>IF(A158="","",IF(B158="","",IF(OR(B158&lt;0,E158&gt;B158,G158&gt;B158,I158&gt;B158,K158&gt;B158),"ALERTA: QTD_INVALIDA","OK")))</f>
        <v/>
      </c>
      <c r="W158" s="27" t="n"/>
      <c r="X158" s="27" t="n"/>
      <c r="Y158" s="27" t="n"/>
      <c r="Z158" s="27" t="n"/>
      <c r="AA158" s="27" t="n"/>
      <c r="AB158" s="282">
        <f>IF(OR(A158="",E158=""),"",ROUND(B158-E158,2))</f>
        <v/>
      </c>
      <c r="AC158" s="273">
        <f>IF(OR(A158="",E158=""),"",ROUND(D158-E158*C158,2))</f>
        <v/>
      </c>
      <c r="AD158" s="27" t="n"/>
    </row>
    <row r="159">
      <c r="A159" s="278" t="n"/>
      <c r="B159" s="279" t="n"/>
      <c r="C159" s="280" t="n"/>
      <c r="D159" s="273">
        <f>IF(OR(A159="",B159="",C159=""),"",ROUND(B159*C159,2))</f>
        <v/>
      </c>
      <c r="E159" s="281" t="n"/>
      <c r="F159" s="273">
        <f>IF(OR(A159="",E159="",C159="",NOT(ISNUMBER($Z$3))),"",ROUND(E159*C159*$Z$3,2))</f>
        <v/>
      </c>
      <c r="G159" s="281" t="n"/>
      <c r="H159" s="273">
        <f>IF(OR(A159="",G159="",C159="",NOT(ISNUMBER($Z$4))),"",ROUND(G159*C159*$Z$4,2))</f>
        <v/>
      </c>
      <c r="I159" s="281" t="n"/>
      <c r="J159" s="273">
        <f>IF(OR(A159="",I159="",C159="",NOT(ISNUMBER($Z$5))),"",ROUND(I159*C159*$Z$5,2))</f>
        <v/>
      </c>
      <c r="K159" s="281" t="n"/>
      <c r="L159" s="273">
        <f>IF(OR(A159="",K159="",C159="",NOT(ISNUMBER($Z$6))),"",ROUND(K159*C159*$Z$6,2))</f>
        <v/>
      </c>
      <c r="M159" s="282">
        <f>IF(OR(E159="",G159=""),"",ROUND(MAX(E159-G159,0),2))</f>
        <v/>
      </c>
      <c r="N159" s="273">
        <f>IF(OR(M159="",C159="",NOT(ISNUMBER($Z$3))),"",ROUND(M159*C159*$Z$3,2))</f>
        <v/>
      </c>
      <c r="O159" s="282">
        <f>IF(OR(G159="",I159=""),"",ROUND(MAX(G159-I159,0),2))</f>
        <v/>
      </c>
      <c r="P159" s="273">
        <f>IF(OR(O159="",C159="",NOT(ISNUMBER($Z$4))),"",ROUND(O159*C159*$Z$4,2))</f>
        <v/>
      </c>
      <c r="Q159" s="282">
        <f>IF(OR(I159="",K159=""),"",ROUND(MAX(I159-K159,0),2))</f>
        <v/>
      </c>
      <c r="R159" s="273">
        <f>IF(OR(Q159="",C159="",NOT(ISNUMBER($Z$5))),"",ROUND(Q159*C159*$Z$5,2))</f>
        <v/>
      </c>
      <c r="S159" s="296" t="n"/>
      <c r="T159" s="297" t="n"/>
      <c r="U159" s="284">
        <f>IF(A159="","",IF(AND(G159&lt;&gt;"",E159&lt;&gt;"",G159&gt;E159),"ALERTA: REM_C2&gt;REM_C1",IF(AND(I159&lt;&gt;"",G159&lt;&gt;"",I159&gt;G159),"ALERTA: REM_C3&gt;REM_C2",IF(AND(K159&lt;&gt;"",I159&lt;&gt;"",K159&gt;I159),"ALERTA: REM_C4&gt;REM_C3","OK"))))</f>
        <v/>
      </c>
      <c r="V159" s="284">
        <f>IF(A159="","",IF(B159="","",IF(OR(B159&lt;0,E159&gt;B159,G159&gt;B159,I159&gt;B159,K159&gt;B159),"ALERTA: QTD_INVALIDA","OK")))</f>
        <v/>
      </c>
      <c r="W159" s="27" t="n"/>
      <c r="X159" s="27" t="n"/>
      <c r="Y159" s="27" t="n"/>
      <c r="Z159" s="27" t="n"/>
      <c r="AA159" s="27" t="n"/>
      <c r="AB159" s="282">
        <f>IF(OR(A159="",E159=""),"",ROUND(B159-E159,2))</f>
        <v/>
      </c>
      <c r="AC159" s="273">
        <f>IF(OR(A159="",E159=""),"",ROUND(D159-E159*C159,2))</f>
        <v/>
      </c>
      <c r="AD159" s="27" t="n"/>
    </row>
    <row r="160">
      <c r="A160" s="278" t="n"/>
      <c r="B160" s="279" t="n"/>
      <c r="C160" s="280" t="n"/>
      <c r="D160" s="273">
        <f>IF(OR(A160="",B160="",C160=""),"",ROUND(B160*C160,2))</f>
        <v/>
      </c>
      <c r="E160" s="281" t="n"/>
      <c r="F160" s="273">
        <f>IF(OR(A160="",E160="",C160="",NOT(ISNUMBER($Z$3))),"",ROUND(E160*C160*$Z$3,2))</f>
        <v/>
      </c>
      <c r="G160" s="281" t="n"/>
      <c r="H160" s="273">
        <f>IF(OR(A160="",G160="",C160="",NOT(ISNUMBER($Z$4))),"",ROUND(G160*C160*$Z$4,2))</f>
        <v/>
      </c>
      <c r="I160" s="281" t="n"/>
      <c r="J160" s="273">
        <f>IF(OR(A160="",I160="",C160="",NOT(ISNUMBER($Z$5))),"",ROUND(I160*C160*$Z$5,2))</f>
        <v/>
      </c>
      <c r="K160" s="281" t="n"/>
      <c r="L160" s="273">
        <f>IF(OR(A160="",K160="",C160="",NOT(ISNUMBER($Z$6))),"",ROUND(K160*C160*$Z$6,2))</f>
        <v/>
      </c>
      <c r="M160" s="282">
        <f>IF(OR(E160="",G160=""),"",ROUND(MAX(E160-G160,0),2))</f>
        <v/>
      </c>
      <c r="N160" s="273">
        <f>IF(OR(M160="",C160="",NOT(ISNUMBER($Z$3))),"",ROUND(M160*C160*$Z$3,2))</f>
        <v/>
      </c>
      <c r="O160" s="282">
        <f>IF(OR(G160="",I160=""),"",ROUND(MAX(G160-I160,0),2))</f>
        <v/>
      </c>
      <c r="P160" s="273">
        <f>IF(OR(O160="",C160="",NOT(ISNUMBER($Z$4))),"",ROUND(O160*C160*$Z$4,2))</f>
        <v/>
      </c>
      <c r="Q160" s="282">
        <f>IF(OR(I160="",K160=""),"",ROUND(MAX(I160-K160,0),2))</f>
        <v/>
      </c>
      <c r="R160" s="273">
        <f>IF(OR(Q160="",C160="",NOT(ISNUMBER($Z$5))),"",ROUND(Q160*C160*$Z$5,2))</f>
        <v/>
      </c>
      <c r="S160" s="296" t="n"/>
      <c r="T160" s="297" t="n"/>
      <c r="U160" s="284">
        <f>IF(A160="","",IF(AND(G160&lt;&gt;"",E160&lt;&gt;"",G160&gt;E160),"ALERTA: REM_C2&gt;REM_C1",IF(AND(I160&lt;&gt;"",G160&lt;&gt;"",I160&gt;G160),"ALERTA: REM_C3&gt;REM_C2",IF(AND(K160&lt;&gt;"",I160&lt;&gt;"",K160&gt;I160),"ALERTA: REM_C4&gt;REM_C3","OK"))))</f>
        <v/>
      </c>
      <c r="V160" s="284">
        <f>IF(A160="","",IF(B160="","",IF(OR(B160&lt;0,E160&gt;B160,G160&gt;B160,I160&gt;B160,K160&gt;B160),"ALERTA: QTD_INVALIDA","OK")))</f>
        <v/>
      </c>
      <c r="W160" s="27" t="n"/>
      <c r="X160" s="27" t="n"/>
      <c r="Y160" s="27" t="n"/>
      <c r="Z160" s="27" t="n"/>
      <c r="AA160" s="27" t="n"/>
      <c r="AB160" s="282">
        <f>IF(OR(A160="",E160=""),"",ROUND(B160-E160,2))</f>
        <v/>
      </c>
      <c r="AC160" s="273">
        <f>IF(OR(A160="",E160=""),"",ROUND(D160-E160*C160,2))</f>
        <v/>
      </c>
      <c r="AD160" s="27" t="n"/>
    </row>
    <row r="161">
      <c r="A161" s="278" t="n"/>
      <c r="B161" s="279" t="n"/>
      <c r="C161" s="280" t="n"/>
      <c r="D161" s="273">
        <f>IF(OR(A161="",B161="",C161=""),"",ROUND(B161*C161,2))</f>
        <v/>
      </c>
      <c r="E161" s="281" t="n"/>
      <c r="F161" s="273">
        <f>IF(OR(A161="",E161="",C161="",NOT(ISNUMBER($Z$3))),"",ROUND(E161*C161*$Z$3,2))</f>
        <v/>
      </c>
      <c r="G161" s="281" t="n"/>
      <c r="H161" s="273">
        <f>IF(OR(A161="",G161="",C161="",NOT(ISNUMBER($Z$4))),"",ROUND(G161*C161*$Z$4,2))</f>
        <v/>
      </c>
      <c r="I161" s="281" t="n"/>
      <c r="J161" s="273">
        <f>IF(OR(A161="",I161="",C161="",NOT(ISNUMBER($Z$5))),"",ROUND(I161*C161*$Z$5,2))</f>
        <v/>
      </c>
      <c r="K161" s="281" t="n"/>
      <c r="L161" s="273">
        <f>IF(OR(A161="",K161="",C161="",NOT(ISNUMBER($Z$6))),"",ROUND(K161*C161*$Z$6,2))</f>
        <v/>
      </c>
      <c r="M161" s="282">
        <f>IF(OR(E161="",G161=""),"",ROUND(MAX(E161-G161,0),2))</f>
        <v/>
      </c>
      <c r="N161" s="273">
        <f>IF(OR(M161="",C161="",NOT(ISNUMBER($Z$3))),"",ROUND(M161*C161*$Z$3,2))</f>
        <v/>
      </c>
      <c r="O161" s="282">
        <f>IF(OR(G161="",I161=""),"",ROUND(MAX(G161-I161,0),2))</f>
        <v/>
      </c>
      <c r="P161" s="273">
        <f>IF(OR(O161="",C161="",NOT(ISNUMBER($Z$4))),"",ROUND(O161*C161*$Z$4,2))</f>
        <v/>
      </c>
      <c r="Q161" s="282">
        <f>IF(OR(I161="",K161=""),"",ROUND(MAX(I161-K161,0),2))</f>
        <v/>
      </c>
      <c r="R161" s="273">
        <f>IF(OR(Q161="",C161="",NOT(ISNUMBER($Z$5))),"",ROUND(Q161*C161*$Z$5,2))</f>
        <v/>
      </c>
      <c r="S161" s="296" t="n"/>
      <c r="T161" s="297" t="n"/>
      <c r="U161" s="284">
        <f>IF(A161="","",IF(AND(G161&lt;&gt;"",E161&lt;&gt;"",G161&gt;E161),"ALERTA: REM_C2&gt;REM_C1",IF(AND(I161&lt;&gt;"",G161&lt;&gt;"",I161&gt;G161),"ALERTA: REM_C3&gt;REM_C2",IF(AND(K161&lt;&gt;"",I161&lt;&gt;"",K161&gt;I161),"ALERTA: REM_C4&gt;REM_C3","OK"))))</f>
        <v/>
      </c>
      <c r="V161" s="284">
        <f>IF(A161="","",IF(B161="","",IF(OR(B161&lt;0,E161&gt;B161,G161&gt;B161,I161&gt;B161,K161&gt;B161),"ALERTA: QTD_INVALIDA","OK")))</f>
        <v/>
      </c>
      <c r="W161" s="27" t="n"/>
      <c r="X161" s="27" t="n"/>
      <c r="Y161" s="27" t="n"/>
      <c r="Z161" s="27" t="n"/>
      <c r="AA161" s="27" t="n"/>
      <c r="AB161" s="282">
        <f>IF(OR(A161="",E161=""),"",ROUND(B161-E161,2))</f>
        <v/>
      </c>
      <c r="AC161" s="273">
        <f>IF(OR(A161="",E161=""),"",ROUND(D161-E161*C161,2))</f>
        <v/>
      </c>
      <c r="AD161" s="27" t="n"/>
    </row>
    <row r="162">
      <c r="A162" s="278" t="n"/>
      <c r="B162" s="279" t="n"/>
      <c r="C162" s="280" t="n"/>
      <c r="D162" s="273">
        <f>IF(OR(A162="",B162="",C162=""),"",ROUND(B162*C162,2))</f>
        <v/>
      </c>
      <c r="E162" s="281" t="n"/>
      <c r="F162" s="273">
        <f>IF(OR(A162="",E162="",C162="",NOT(ISNUMBER($Z$3))),"",ROUND(E162*C162*$Z$3,2))</f>
        <v/>
      </c>
      <c r="G162" s="281" t="n"/>
      <c r="H162" s="273">
        <f>IF(OR(A162="",G162="",C162="",NOT(ISNUMBER($Z$4))),"",ROUND(G162*C162*$Z$4,2))</f>
        <v/>
      </c>
      <c r="I162" s="281" t="n"/>
      <c r="J162" s="273">
        <f>IF(OR(A162="",I162="",C162="",NOT(ISNUMBER($Z$5))),"",ROUND(I162*C162*$Z$5,2))</f>
        <v/>
      </c>
      <c r="K162" s="281" t="n"/>
      <c r="L162" s="273">
        <f>IF(OR(A162="",K162="",C162="",NOT(ISNUMBER($Z$6))),"",ROUND(K162*C162*$Z$6,2))</f>
        <v/>
      </c>
      <c r="M162" s="282">
        <f>IF(OR(E162="",G162=""),"",ROUND(MAX(E162-G162,0),2))</f>
        <v/>
      </c>
      <c r="N162" s="273">
        <f>IF(OR(M162="",C162="",NOT(ISNUMBER($Z$3))),"",ROUND(M162*C162*$Z$3,2))</f>
        <v/>
      </c>
      <c r="O162" s="282">
        <f>IF(OR(G162="",I162=""),"",ROUND(MAX(G162-I162,0),2))</f>
        <v/>
      </c>
      <c r="P162" s="273">
        <f>IF(OR(O162="",C162="",NOT(ISNUMBER($Z$4))),"",ROUND(O162*C162*$Z$4,2))</f>
        <v/>
      </c>
      <c r="Q162" s="282">
        <f>IF(OR(I162="",K162=""),"",ROUND(MAX(I162-K162,0),2))</f>
        <v/>
      </c>
      <c r="R162" s="273">
        <f>IF(OR(Q162="",C162="",NOT(ISNUMBER($Z$5))),"",ROUND(Q162*C162*$Z$5,2))</f>
        <v/>
      </c>
      <c r="S162" s="296" t="n"/>
      <c r="T162" s="297" t="n"/>
      <c r="U162" s="284">
        <f>IF(A162="","",IF(AND(G162&lt;&gt;"",E162&lt;&gt;"",G162&gt;E162),"ALERTA: REM_C2&gt;REM_C1",IF(AND(I162&lt;&gt;"",G162&lt;&gt;"",I162&gt;G162),"ALERTA: REM_C3&gt;REM_C2",IF(AND(K162&lt;&gt;"",I162&lt;&gt;"",K162&gt;I162),"ALERTA: REM_C4&gt;REM_C3","OK"))))</f>
        <v/>
      </c>
      <c r="V162" s="284">
        <f>IF(A162="","",IF(B162="","",IF(OR(B162&lt;0,E162&gt;B162,G162&gt;B162,I162&gt;B162,K162&gt;B162),"ALERTA: QTD_INVALIDA","OK")))</f>
        <v/>
      </c>
      <c r="W162" s="27" t="n"/>
      <c r="X162" s="27" t="n"/>
      <c r="Y162" s="27" t="n"/>
      <c r="Z162" s="27" t="n"/>
      <c r="AA162" s="27" t="n"/>
      <c r="AB162" s="282">
        <f>IF(OR(A162="",E162=""),"",ROUND(B162-E162,2))</f>
        <v/>
      </c>
      <c r="AC162" s="273">
        <f>IF(OR(A162="",E162=""),"",ROUND(D162-E162*C162,2))</f>
        <v/>
      </c>
      <c r="AD162" s="27" t="n"/>
    </row>
    <row r="163">
      <c r="A163" s="278" t="n"/>
      <c r="B163" s="279" t="n"/>
      <c r="C163" s="280" t="n"/>
      <c r="D163" s="273">
        <f>IF(OR(A163="",B163="",C163=""),"",ROUND(B163*C163,2))</f>
        <v/>
      </c>
      <c r="E163" s="281" t="n"/>
      <c r="F163" s="273">
        <f>IF(OR(A163="",E163="",C163="",NOT(ISNUMBER($Z$3))),"",ROUND(E163*C163*$Z$3,2))</f>
        <v/>
      </c>
      <c r="G163" s="281" t="n"/>
      <c r="H163" s="273">
        <f>IF(OR(A163="",G163="",C163="",NOT(ISNUMBER($Z$4))),"",ROUND(G163*C163*$Z$4,2))</f>
        <v/>
      </c>
      <c r="I163" s="281" t="n"/>
      <c r="J163" s="273">
        <f>IF(OR(A163="",I163="",C163="",NOT(ISNUMBER($Z$5))),"",ROUND(I163*C163*$Z$5,2))</f>
        <v/>
      </c>
      <c r="K163" s="281" t="n"/>
      <c r="L163" s="273">
        <f>IF(OR(A163="",K163="",C163="",NOT(ISNUMBER($Z$6))),"",ROUND(K163*C163*$Z$6,2))</f>
        <v/>
      </c>
      <c r="M163" s="282">
        <f>IF(OR(E163="",G163=""),"",ROUND(MAX(E163-G163,0),2))</f>
        <v/>
      </c>
      <c r="N163" s="273">
        <f>IF(OR(M163="",C163="",NOT(ISNUMBER($Z$3))),"",ROUND(M163*C163*$Z$3,2))</f>
        <v/>
      </c>
      <c r="O163" s="282">
        <f>IF(OR(G163="",I163=""),"",ROUND(MAX(G163-I163,0),2))</f>
        <v/>
      </c>
      <c r="P163" s="273">
        <f>IF(OR(O163="",C163="",NOT(ISNUMBER($Z$4))),"",ROUND(O163*C163*$Z$4,2))</f>
        <v/>
      </c>
      <c r="Q163" s="282">
        <f>IF(OR(I163="",K163=""),"",ROUND(MAX(I163-K163,0),2))</f>
        <v/>
      </c>
      <c r="R163" s="273">
        <f>IF(OR(Q163="",C163="",NOT(ISNUMBER($Z$5))),"",ROUND(Q163*C163*$Z$5,2))</f>
        <v/>
      </c>
      <c r="S163" s="296" t="n"/>
      <c r="T163" s="297" t="n"/>
      <c r="U163" s="284">
        <f>IF(A163="","",IF(AND(G163&lt;&gt;"",E163&lt;&gt;"",G163&gt;E163),"ALERTA: REM_C2&gt;REM_C1",IF(AND(I163&lt;&gt;"",G163&lt;&gt;"",I163&gt;G163),"ALERTA: REM_C3&gt;REM_C2",IF(AND(K163&lt;&gt;"",I163&lt;&gt;"",K163&gt;I163),"ALERTA: REM_C4&gt;REM_C3","OK"))))</f>
        <v/>
      </c>
      <c r="V163" s="284">
        <f>IF(A163="","",IF(B163="","",IF(OR(B163&lt;0,E163&gt;B163,G163&gt;B163,I163&gt;B163,K163&gt;B163),"ALERTA: QTD_INVALIDA","OK")))</f>
        <v/>
      </c>
      <c r="W163" s="27" t="n"/>
      <c r="X163" s="27" t="n"/>
      <c r="Y163" s="27" t="n"/>
      <c r="Z163" s="27" t="n"/>
      <c r="AA163" s="27" t="n"/>
      <c r="AB163" s="282">
        <f>IF(OR(A163="",E163=""),"",ROUND(B163-E163,2))</f>
        <v/>
      </c>
      <c r="AC163" s="273">
        <f>IF(OR(A163="",E163=""),"",ROUND(D163-E163*C163,2))</f>
        <v/>
      </c>
      <c r="AD163" s="27" t="n"/>
    </row>
    <row r="164">
      <c r="A164" s="278" t="n"/>
      <c r="B164" s="279" t="n"/>
      <c r="C164" s="280" t="n"/>
      <c r="D164" s="273">
        <f>IF(OR(A164="",B164="",C164=""),"",ROUND(B164*C164,2))</f>
        <v/>
      </c>
      <c r="E164" s="281" t="n"/>
      <c r="F164" s="273">
        <f>IF(OR(A164="",E164="",C164="",NOT(ISNUMBER($Z$3))),"",ROUND(E164*C164*$Z$3,2))</f>
        <v/>
      </c>
      <c r="G164" s="281" t="n"/>
      <c r="H164" s="273">
        <f>IF(OR(A164="",G164="",C164="",NOT(ISNUMBER($Z$4))),"",ROUND(G164*C164*$Z$4,2))</f>
        <v/>
      </c>
      <c r="I164" s="281" t="n"/>
      <c r="J164" s="273">
        <f>IF(OR(A164="",I164="",C164="",NOT(ISNUMBER($Z$5))),"",ROUND(I164*C164*$Z$5,2))</f>
        <v/>
      </c>
      <c r="K164" s="281" t="n"/>
      <c r="L164" s="273">
        <f>IF(OR(A164="",K164="",C164="",NOT(ISNUMBER($Z$6))),"",ROUND(K164*C164*$Z$6,2))</f>
        <v/>
      </c>
      <c r="M164" s="282">
        <f>IF(OR(E164="",G164=""),"",ROUND(MAX(E164-G164,0),2))</f>
        <v/>
      </c>
      <c r="N164" s="273">
        <f>IF(OR(M164="",C164="",NOT(ISNUMBER($Z$3))),"",ROUND(M164*C164*$Z$3,2))</f>
        <v/>
      </c>
      <c r="O164" s="282">
        <f>IF(OR(G164="",I164=""),"",ROUND(MAX(G164-I164,0),2))</f>
        <v/>
      </c>
      <c r="P164" s="273">
        <f>IF(OR(O164="",C164="",NOT(ISNUMBER($Z$4))),"",ROUND(O164*C164*$Z$4,2))</f>
        <v/>
      </c>
      <c r="Q164" s="282">
        <f>IF(OR(I164="",K164=""),"",ROUND(MAX(I164-K164,0),2))</f>
        <v/>
      </c>
      <c r="R164" s="273">
        <f>IF(OR(Q164="",C164="",NOT(ISNUMBER($Z$5))),"",ROUND(Q164*C164*$Z$5,2))</f>
        <v/>
      </c>
      <c r="S164" s="296" t="n"/>
      <c r="T164" s="297" t="n"/>
      <c r="U164" s="284">
        <f>IF(A164="","",IF(AND(G164&lt;&gt;"",E164&lt;&gt;"",G164&gt;E164),"ALERTA: REM_C2&gt;REM_C1",IF(AND(I164&lt;&gt;"",G164&lt;&gt;"",I164&gt;G164),"ALERTA: REM_C3&gt;REM_C2",IF(AND(K164&lt;&gt;"",I164&lt;&gt;"",K164&gt;I164),"ALERTA: REM_C4&gt;REM_C3","OK"))))</f>
        <v/>
      </c>
      <c r="V164" s="284">
        <f>IF(A164="","",IF(B164="","",IF(OR(B164&lt;0,E164&gt;B164,G164&gt;B164,I164&gt;B164,K164&gt;B164),"ALERTA: QTD_INVALIDA","OK")))</f>
        <v/>
      </c>
      <c r="W164" s="27" t="n"/>
      <c r="X164" s="27" t="n"/>
      <c r="Y164" s="27" t="n"/>
      <c r="Z164" s="27" t="n"/>
      <c r="AA164" s="27" t="n"/>
      <c r="AB164" s="282">
        <f>IF(OR(A164="",E164=""),"",ROUND(B164-E164,2))</f>
        <v/>
      </c>
      <c r="AC164" s="273">
        <f>IF(OR(A164="",E164=""),"",ROUND(D164-E164*C164,2))</f>
        <v/>
      </c>
      <c r="AD164" s="27" t="n"/>
    </row>
    <row r="165">
      <c r="A165" s="278" t="n"/>
      <c r="B165" s="279" t="n"/>
      <c r="C165" s="280" t="n"/>
      <c r="D165" s="273">
        <f>IF(OR(A165="",B165="",C165=""),"",ROUND(B165*C165,2))</f>
        <v/>
      </c>
      <c r="E165" s="281" t="n"/>
      <c r="F165" s="273">
        <f>IF(OR(A165="",E165="",C165="",NOT(ISNUMBER($Z$3))),"",ROUND(E165*C165*$Z$3,2))</f>
        <v/>
      </c>
      <c r="G165" s="281" t="n"/>
      <c r="H165" s="273">
        <f>IF(OR(A165="",G165="",C165="",NOT(ISNUMBER($Z$4))),"",ROUND(G165*C165*$Z$4,2))</f>
        <v/>
      </c>
      <c r="I165" s="281" t="n"/>
      <c r="J165" s="273">
        <f>IF(OR(A165="",I165="",C165="",NOT(ISNUMBER($Z$5))),"",ROUND(I165*C165*$Z$5,2))</f>
        <v/>
      </c>
      <c r="K165" s="281" t="n"/>
      <c r="L165" s="273">
        <f>IF(OR(A165="",K165="",C165="",NOT(ISNUMBER($Z$6))),"",ROUND(K165*C165*$Z$6,2))</f>
        <v/>
      </c>
      <c r="M165" s="282">
        <f>IF(OR(E165="",G165=""),"",ROUND(MAX(E165-G165,0),2))</f>
        <v/>
      </c>
      <c r="N165" s="273">
        <f>IF(OR(M165="",C165="",NOT(ISNUMBER($Z$3))),"",ROUND(M165*C165*$Z$3,2))</f>
        <v/>
      </c>
      <c r="O165" s="282">
        <f>IF(OR(G165="",I165=""),"",ROUND(MAX(G165-I165,0),2))</f>
        <v/>
      </c>
      <c r="P165" s="273">
        <f>IF(OR(O165="",C165="",NOT(ISNUMBER($Z$4))),"",ROUND(O165*C165*$Z$4,2))</f>
        <v/>
      </c>
      <c r="Q165" s="282">
        <f>IF(OR(I165="",K165=""),"",ROUND(MAX(I165-K165,0),2))</f>
        <v/>
      </c>
      <c r="R165" s="273">
        <f>IF(OR(Q165="",C165="",NOT(ISNUMBER($Z$5))),"",ROUND(Q165*C165*$Z$5,2))</f>
        <v/>
      </c>
      <c r="S165" s="296" t="n"/>
      <c r="T165" s="297" t="n"/>
      <c r="U165" s="284">
        <f>IF(A165="","",IF(AND(G165&lt;&gt;"",E165&lt;&gt;"",G165&gt;E165),"ALERTA: REM_C2&gt;REM_C1",IF(AND(I165&lt;&gt;"",G165&lt;&gt;"",I165&gt;G165),"ALERTA: REM_C3&gt;REM_C2",IF(AND(K165&lt;&gt;"",I165&lt;&gt;"",K165&gt;I165),"ALERTA: REM_C4&gt;REM_C3","OK"))))</f>
        <v/>
      </c>
      <c r="V165" s="284">
        <f>IF(A165="","",IF(B165="","",IF(OR(B165&lt;0,E165&gt;B165,G165&gt;B165,I165&gt;B165,K165&gt;B165),"ALERTA: QTD_INVALIDA","OK")))</f>
        <v/>
      </c>
      <c r="W165" s="27" t="n"/>
      <c r="X165" s="27" t="n"/>
      <c r="Y165" s="27" t="n"/>
      <c r="Z165" s="27" t="n"/>
      <c r="AA165" s="27" t="n"/>
      <c r="AB165" s="282">
        <f>IF(OR(A165="",E165=""),"",ROUND(B165-E165,2))</f>
        <v/>
      </c>
      <c r="AC165" s="273">
        <f>IF(OR(A165="",E165=""),"",ROUND(D165-E165*C165,2))</f>
        <v/>
      </c>
      <c r="AD165" s="27" t="n"/>
    </row>
    <row r="166">
      <c r="A166" s="278" t="n"/>
      <c r="B166" s="279" t="n"/>
      <c r="C166" s="280" t="n"/>
      <c r="D166" s="273">
        <f>IF(OR(A166="",B166="",C166=""),"",ROUND(B166*C166,2))</f>
        <v/>
      </c>
      <c r="E166" s="281" t="n"/>
      <c r="F166" s="273">
        <f>IF(OR(A166="",E166="",C166="",NOT(ISNUMBER($Z$3))),"",ROUND(E166*C166*$Z$3,2))</f>
        <v/>
      </c>
      <c r="G166" s="281" t="n"/>
      <c r="H166" s="273">
        <f>IF(OR(A166="",G166="",C166="",NOT(ISNUMBER($Z$4))),"",ROUND(G166*C166*$Z$4,2))</f>
        <v/>
      </c>
      <c r="I166" s="281" t="n"/>
      <c r="J166" s="273">
        <f>IF(OR(A166="",I166="",C166="",NOT(ISNUMBER($Z$5))),"",ROUND(I166*C166*$Z$5,2))</f>
        <v/>
      </c>
      <c r="K166" s="281" t="n"/>
      <c r="L166" s="273">
        <f>IF(OR(A166="",K166="",C166="",NOT(ISNUMBER($Z$6))),"",ROUND(K166*C166*$Z$6,2))</f>
        <v/>
      </c>
      <c r="M166" s="282">
        <f>IF(OR(E166="",G166=""),"",ROUND(MAX(E166-G166,0),2))</f>
        <v/>
      </c>
      <c r="N166" s="273">
        <f>IF(OR(M166="",C166="",NOT(ISNUMBER($Z$3))),"",ROUND(M166*C166*$Z$3,2))</f>
        <v/>
      </c>
      <c r="O166" s="282">
        <f>IF(OR(G166="",I166=""),"",ROUND(MAX(G166-I166,0),2))</f>
        <v/>
      </c>
      <c r="P166" s="273">
        <f>IF(OR(O166="",C166="",NOT(ISNUMBER($Z$4))),"",ROUND(O166*C166*$Z$4,2))</f>
        <v/>
      </c>
      <c r="Q166" s="282">
        <f>IF(OR(I166="",K166=""),"",ROUND(MAX(I166-K166,0),2))</f>
        <v/>
      </c>
      <c r="R166" s="273">
        <f>IF(OR(Q166="",C166="",NOT(ISNUMBER($Z$5))),"",ROUND(Q166*C166*$Z$5,2))</f>
        <v/>
      </c>
      <c r="S166" s="296" t="n"/>
      <c r="T166" s="297" t="n"/>
      <c r="U166" s="284">
        <f>IF(A166="","",IF(AND(G166&lt;&gt;"",E166&lt;&gt;"",G166&gt;E166),"ALERTA: REM_C2&gt;REM_C1",IF(AND(I166&lt;&gt;"",G166&lt;&gt;"",I166&gt;G166),"ALERTA: REM_C3&gt;REM_C2",IF(AND(K166&lt;&gt;"",I166&lt;&gt;"",K166&gt;I166),"ALERTA: REM_C4&gt;REM_C3","OK"))))</f>
        <v/>
      </c>
      <c r="V166" s="284">
        <f>IF(A166="","",IF(B166="","",IF(OR(B166&lt;0,E166&gt;B166,G166&gt;B166,I166&gt;B166,K166&gt;B166),"ALERTA: QTD_INVALIDA","OK")))</f>
        <v/>
      </c>
      <c r="W166" s="27" t="n"/>
      <c r="X166" s="27" t="n"/>
      <c r="Y166" s="27" t="n"/>
      <c r="Z166" s="27" t="n"/>
      <c r="AA166" s="27" t="n"/>
      <c r="AB166" s="282">
        <f>IF(OR(A166="",E166=""),"",ROUND(B166-E166,2))</f>
        <v/>
      </c>
      <c r="AC166" s="273">
        <f>IF(OR(A166="",E166=""),"",ROUND(D166-E166*C166,2))</f>
        <v/>
      </c>
      <c r="AD166" s="27" t="n"/>
    </row>
    <row r="167">
      <c r="A167" s="278" t="n"/>
      <c r="B167" s="279" t="n"/>
      <c r="C167" s="280" t="n"/>
      <c r="D167" s="273">
        <f>IF(OR(A167="",B167="",C167=""),"",ROUND(B167*C167,2))</f>
        <v/>
      </c>
      <c r="E167" s="281" t="n"/>
      <c r="F167" s="273">
        <f>IF(OR(A167="",E167="",C167="",NOT(ISNUMBER($Z$3))),"",ROUND(E167*C167*$Z$3,2))</f>
        <v/>
      </c>
      <c r="G167" s="281" t="n"/>
      <c r="H167" s="273">
        <f>IF(OR(A167="",G167="",C167="",NOT(ISNUMBER($Z$4))),"",ROUND(G167*C167*$Z$4,2))</f>
        <v/>
      </c>
      <c r="I167" s="281" t="n"/>
      <c r="J167" s="273">
        <f>IF(OR(A167="",I167="",C167="",NOT(ISNUMBER($Z$5))),"",ROUND(I167*C167*$Z$5,2))</f>
        <v/>
      </c>
      <c r="K167" s="281" t="n"/>
      <c r="L167" s="273">
        <f>IF(OR(A167="",K167="",C167="",NOT(ISNUMBER($Z$6))),"",ROUND(K167*C167*$Z$6,2))</f>
        <v/>
      </c>
      <c r="M167" s="282">
        <f>IF(OR(E167="",G167=""),"",ROUND(MAX(E167-G167,0),2))</f>
        <v/>
      </c>
      <c r="N167" s="273">
        <f>IF(OR(M167="",C167="",NOT(ISNUMBER($Z$3))),"",ROUND(M167*C167*$Z$3,2))</f>
        <v/>
      </c>
      <c r="O167" s="282">
        <f>IF(OR(G167="",I167=""),"",ROUND(MAX(G167-I167,0),2))</f>
        <v/>
      </c>
      <c r="P167" s="273">
        <f>IF(OR(O167="",C167="",NOT(ISNUMBER($Z$4))),"",ROUND(O167*C167*$Z$4,2))</f>
        <v/>
      </c>
      <c r="Q167" s="282">
        <f>IF(OR(I167="",K167=""),"",ROUND(MAX(I167-K167,0),2))</f>
        <v/>
      </c>
      <c r="R167" s="273">
        <f>IF(OR(Q167="",C167="",NOT(ISNUMBER($Z$5))),"",ROUND(Q167*C167*$Z$5,2))</f>
        <v/>
      </c>
      <c r="S167" s="296" t="n"/>
      <c r="T167" s="297" t="n"/>
      <c r="U167" s="284">
        <f>IF(A167="","",IF(AND(G167&lt;&gt;"",E167&lt;&gt;"",G167&gt;E167),"ALERTA: REM_C2&gt;REM_C1",IF(AND(I167&lt;&gt;"",G167&lt;&gt;"",I167&gt;G167),"ALERTA: REM_C3&gt;REM_C2",IF(AND(K167&lt;&gt;"",I167&lt;&gt;"",K167&gt;I167),"ALERTA: REM_C4&gt;REM_C3","OK"))))</f>
        <v/>
      </c>
      <c r="V167" s="284">
        <f>IF(A167="","",IF(B167="","",IF(OR(B167&lt;0,E167&gt;B167,G167&gt;B167,I167&gt;B167,K167&gt;B167),"ALERTA: QTD_INVALIDA","OK")))</f>
        <v/>
      </c>
      <c r="W167" s="27" t="n"/>
      <c r="X167" s="27" t="n"/>
      <c r="Y167" s="27" t="n"/>
      <c r="Z167" s="27" t="n"/>
      <c r="AA167" s="27" t="n"/>
      <c r="AB167" s="282">
        <f>IF(OR(A167="",E167=""),"",ROUND(B167-E167,2))</f>
        <v/>
      </c>
      <c r="AC167" s="273">
        <f>IF(OR(A167="",E167=""),"",ROUND(D167-E167*C167,2))</f>
        <v/>
      </c>
      <c r="AD167" s="27" t="n"/>
    </row>
    <row r="168">
      <c r="A168" s="278" t="n"/>
      <c r="B168" s="279" t="n"/>
      <c r="C168" s="280" t="n"/>
      <c r="D168" s="273">
        <f>IF(OR(A168="",B168="",C168=""),"",ROUND(B168*C168,2))</f>
        <v/>
      </c>
      <c r="E168" s="281" t="n"/>
      <c r="F168" s="273">
        <f>IF(OR(A168="",E168="",C168="",NOT(ISNUMBER($Z$3))),"",ROUND(E168*C168*$Z$3,2))</f>
        <v/>
      </c>
      <c r="G168" s="281" t="n"/>
      <c r="H168" s="273">
        <f>IF(OR(A168="",G168="",C168="",NOT(ISNUMBER($Z$4))),"",ROUND(G168*C168*$Z$4,2))</f>
        <v/>
      </c>
      <c r="I168" s="281" t="n"/>
      <c r="J168" s="273">
        <f>IF(OR(A168="",I168="",C168="",NOT(ISNUMBER($Z$5))),"",ROUND(I168*C168*$Z$5,2))</f>
        <v/>
      </c>
      <c r="K168" s="281" t="n"/>
      <c r="L168" s="273">
        <f>IF(OR(A168="",K168="",C168="",NOT(ISNUMBER($Z$6))),"",ROUND(K168*C168*$Z$6,2))</f>
        <v/>
      </c>
      <c r="M168" s="282">
        <f>IF(OR(E168="",G168=""),"",ROUND(MAX(E168-G168,0),2))</f>
        <v/>
      </c>
      <c r="N168" s="273">
        <f>IF(OR(M168="",C168="",NOT(ISNUMBER($Z$3))),"",ROUND(M168*C168*$Z$3,2))</f>
        <v/>
      </c>
      <c r="O168" s="282">
        <f>IF(OR(G168="",I168=""),"",ROUND(MAX(G168-I168,0),2))</f>
        <v/>
      </c>
      <c r="P168" s="273">
        <f>IF(OR(O168="",C168="",NOT(ISNUMBER($Z$4))),"",ROUND(O168*C168*$Z$4,2))</f>
        <v/>
      </c>
      <c r="Q168" s="282">
        <f>IF(OR(I168="",K168=""),"",ROUND(MAX(I168-K168,0),2))</f>
        <v/>
      </c>
      <c r="R168" s="273">
        <f>IF(OR(Q168="",C168="",NOT(ISNUMBER($Z$5))),"",ROUND(Q168*C168*$Z$5,2))</f>
        <v/>
      </c>
      <c r="S168" s="296" t="n"/>
      <c r="T168" s="297" t="n"/>
      <c r="U168" s="284">
        <f>IF(A168="","",IF(AND(G168&lt;&gt;"",E168&lt;&gt;"",G168&gt;E168),"ALERTA: REM_C2&gt;REM_C1",IF(AND(I168&lt;&gt;"",G168&lt;&gt;"",I168&gt;G168),"ALERTA: REM_C3&gt;REM_C2",IF(AND(K168&lt;&gt;"",I168&lt;&gt;"",K168&gt;I168),"ALERTA: REM_C4&gt;REM_C3","OK"))))</f>
        <v/>
      </c>
      <c r="V168" s="284">
        <f>IF(A168="","",IF(B168="","",IF(OR(B168&lt;0,E168&gt;B168,G168&gt;B168,I168&gt;B168,K168&gt;B168),"ALERTA: QTD_INVALIDA","OK")))</f>
        <v/>
      </c>
      <c r="W168" s="27" t="n"/>
      <c r="X168" s="27" t="n"/>
      <c r="Y168" s="27" t="n"/>
      <c r="Z168" s="27" t="n"/>
      <c r="AA168" s="27" t="n"/>
      <c r="AB168" s="282">
        <f>IF(OR(A168="",E168=""),"",ROUND(B168-E168,2))</f>
        <v/>
      </c>
      <c r="AC168" s="273">
        <f>IF(OR(A168="",E168=""),"",ROUND(D168-E168*C168,2))</f>
        <v/>
      </c>
      <c r="AD168" s="27" t="n"/>
    </row>
    <row r="169">
      <c r="A169" s="278" t="n"/>
      <c r="B169" s="279" t="n"/>
      <c r="C169" s="280" t="n"/>
      <c r="D169" s="273">
        <f>IF(OR(A169="",B169="",C169=""),"",ROUND(B169*C169,2))</f>
        <v/>
      </c>
      <c r="E169" s="281" t="n"/>
      <c r="F169" s="273">
        <f>IF(OR(A169="",E169="",C169="",NOT(ISNUMBER($Z$3))),"",ROUND(E169*C169*$Z$3,2))</f>
        <v/>
      </c>
      <c r="G169" s="281" t="n"/>
      <c r="H169" s="273">
        <f>IF(OR(A169="",G169="",C169="",NOT(ISNUMBER($Z$4))),"",ROUND(G169*C169*$Z$4,2))</f>
        <v/>
      </c>
      <c r="I169" s="281" t="n"/>
      <c r="J169" s="273">
        <f>IF(OR(A169="",I169="",C169="",NOT(ISNUMBER($Z$5))),"",ROUND(I169*C169*$Z$5,2))</f>
        <v/>
      </c>
      <c r="K169" s="281" t="n"/>
      <c r="L169" s="273">
        <f>IF(OR(A169="",K169="",C169="",NOT(ISNUMBER($Z$6))),"",ROUND(K169*C169*$Z$6,2))</f>
        <v/>
      </c>
      <c r="M169" s="282">
        <f>IF(OR(E169="",G169=""),"",ROUND(MAX(E169-G169,0),2))</f>
        <v/>
      </c>
      <c r="N169" s="273">
        <f>IF(OR(M169="",C169="",NOT(ISNUMBER($Z$3))),"",ROUND(M169*C169*$Z$3,2))</f>
        <v/>
      </c>
      <c r="O169" s="282">
        <f>IF(OR(G169="",I169=""),"",ROUND(MAX(G169-I169,0),2))</f>
        <v/>
      </c>
      <c r="P169" s="273">
        <f>IF(OR(O169="",C169="",NOT(ISNUMBER($Z$4))),"",ROUND(O169*C169*$Z$4,2))</f>
        <v/>
      </c>
      <c r="Q169" s="282">
        <f>IF(OR(I169="",K169=""),"",ROUND(MAX(I169-K169,0),2))</f>
        <v/>
      </c>
      <c r="R169" s="273">
        <f>IF(OR(Q169="",C169="",NOT(ISNUMBER($Z$5))),"",ROUND(Q169*C169*$Z$5,2))</f>
        <v/>
      </c>
      <c r="S169" s="296" t="n"/>
      <c r="T169" s="297" t="n"/>
      <c r="U169" s="284">
        <f>IF(A169="","",IF(AND(G169&lt;&gt;"",E169&lt;&gt;"",G169&gt;E169),"ALERTA: REM_C2&gt;REM_C1",IF(AND(I169&lt;&gt;"",G169&lt;&gt;"",I169&gt;G169),"ALERTA: REM_C3&gt;REM_C2",IF(AND(K169&lt;&gt;"",I169&lt;&gt;"",K169&gt;I169),"ALERTA: REM_C4&gt;REM_C3","OK"))))</f>
        <v/>
      </c>
      <c r="V169" s="284">
        <f>IF(A169="","",IF(B169="","",IF(OR(B169&lt;0,E169&gt;B169,G169&gt;B169,I169&gt;B169,K169&gt;B169),"ALERTA: QTD_INVALIDA","OK")))</f>
        <v/>
      </c>
      <c r="W169" s="27" t="n"/>
      <c r="X169" s="27" t="n"/>
      <c r="Y169" s="27" t="n"/>
      <c r="Z169" s="27" t="n"/>
      <c r="AA169" s="27" t="n"/>
      <c r="AB169" s="282">
        <f>IF(OR(A169="",E169=""),"",ROUND(B169-E169,2))</f>
        <v/>
      </c>
      <c r="AC169" s="273">
        <f>IF(OR(A169="",E169=""),"",ROUND(D169-E169*C169,2))</f>
        <v/>
      </c>
      <c r="AD169" s="27" t="n"/>
    </row>
    <row r="170">
      <c r="A170" s="278" t="n"/>
      <c r="B170" s="279" t="n"/>
      <c r="C170" s="280" t="n"/>
      <c r="D170" s="273">
        <f>IF(OR(A170="",B170="",C170=""),"",ROUND(B170*C170,2))</f>
        <v/>
      </c>
      <c r="E170" s="281" t="n"/>
      <c r="F170" s="273">
        <f>IF(OR(A170="",E170="",C170="",NOT(ISNUMBER($Z$3))),"",ROUND(E170*C170*$Z$3,2))</f>
        <v/>
      </c>
      <c r="G170" s="281" t="n"/>
      <c r="H170" s="273">
        <f>IF(OR(A170="",G170="",C170="",NOT(ISNUMBER($Z$4))),"",ROUND(G170*C170*$Z$4,2))</f>
        <v/>
      </c>
      <c r="I170" s="281" t="n"/>
      <c r="J170" s="273">
        <f>IF(OR(A170="",I170="",C170="",NOT(ISNUMBER($Z$5))),"",ROUND(I170*C170*$Z$5,2))</f>
        <v/>
      </c>
      <c r="K170" s="281" t="n"/>
      <c r="L170" s="273">
        <f>IF(OR(A170="",K170="",C170="",NOT(ISNUMBER($Z$6))),"",ROUND(K170*C170*$Z$6,2))</f>
        <v/>
      </c>
      <c r="M170" s="282">
        <f>IF(OR(E170="",G170=""),"",ROUND(MAX(E170-G170,0),2))</f>
        <v/>
      </c>
      <c r="N170" s="273">
        <f>IF(OR(M170="",C170="",NOT(ISNUMBER($Z$3))),"",ROUND(M170*C170*$Z$3,2))</f>
        <v/>
      </c>
      <c r="O170" s="282">
        <f>IF(OR(G170="",I170=""),"",ROUND(MAX(G170-I170,0),2))</f>
        <v/>
      </c>
      <c r="P170" s="273">
        <f>IF(OR(O170="",C170="",NOT(ISNUMBER($Z$4))),"",ROUND(O170*C170*$Z$4,2))</f>
        <v/>
      </c>
      <c r="Q170" s="282">
        <f>IF(OR(I170="",K170=""),"",ROUND(MAX(I170-K170,0),2))</f>
        <v/>
      </c>
      <c r="R170" s="273">
        <f>IF(OR(Q170="",C170="",NOT(ISNUMBER($Z$5))),"",ROUND(Q170*C170*$Z$5,2))</f>
        <v/>
      </c>
      <c r="S170" s="296" t="n"/>
      <c r="T170" s="297" t="n"/>
      <c r="U170" s="284">
        <f>IF(A170="","",IF(AND(G170&lt;&gt;"",E170&lt;&gt;"",G170&gt;E170),"ALERTA: REM_C2&gt;REM_C1",IF(AND(I170&lt;&gt;"",G170&lt;&gt;"",I170&gt;G170),"ALERTA: REM_C3&gt;REM_C2",IF(AND(K170&lt;&gt;"",I170&lt;&gt;"",K170&gt;I170),"ALERTA: REM_C4&gt;REM_C3","OK"))))</f>
        <v/>
      </c>
      <c r="V170" s="284">
        <f>IF(A170="","",IF(B170="","",IF(OR(B170&lt;0,E170&gt;B170,G170&gt;B170,I170&gt;B170,K170&gt;B170),"ALERTA: QTD_INVALIDA","OK")))</f>
        <v/>
      </c>
      <c r="W170" s="27" t="n"/>
      <c r="X170" s="27" t="n"/>
      <c r="Y170" s="27" t="n"/>
      <c r="Z170" s="27" t="n"/>
      <c r="AA170" s="27" t="n"/>
      <c r="AB170" s="282">
        <f>IF(OR(A170="",E170=""),"",ROUND(B170-E170,2))</f>
        <v/>
      </c>
      <c r="AC170" s="273">
        <f>IF(OR(A170="",E170=""),"",ROUND(D170-E170*C170,2))</f>
        <v/>
      </c>
      <c r="AD170" s="27" t="n"/>
    </row>
    <row r="171">
      <c r="A171" s="278" t="n"/>
      <c r="B171" s="279" t="n"/>
      <c r="C171" s="280" t="n"/>
      <c r="D171" s="273">
        <f>IF(OR(A171="",B171="",C171=""),"",ROUND(B171*C171,2))</f>
        <v/>
      </c>
      <c r="E171" s="281" t="n"/>
      <c r="F171" s="273">
        <f>IF(OR(A171="",E171="",C171="",NOT(ISNUMBER($Z$3))),"",ROUND(E171*C171*$Z$3,2))</f>
        <v/>
      </c>
      <c r="G171" s="281" t="n"/>
      <c r="H171" s="273">
        <f>IF(OR(A171="",G171="",C171="",NOT(ISNUMBER($Z$4))),"",ROUND(G171*C171*$Z$4,2))</f>
        <v/>
      </c>
      <c r="I171" s="281" t="n"/>
      <c r="J171" s="273">
        <f>IF(OR(A171="",I171="",C171="",NOT(ISNUMBER($Z$5))),"",ROUND(I171*C171*$Z$5,2))</f>
        <v/>
      </c>
      <c r="K171" s="281" t="n"/>
      <c r="L171" s="273">
        <f>IF(OR(A171="",K171="",C171="",NOT(ISNUMBER($Z$6))),"",ROUND(K171*C171*$Z$6,2))</f>
        <v/>
      </c>
      <c r="M171" s="282">
        <f>IF(OR(E171="",G171=""),"",ROUND(MAX(E171-G171,0),2))</f>
        <v/>
      </c>
      <c r="N171" s="273">
        <f>IF(OR(M171="",C171="",NOT(ISNUMBER($Z$3))),"",ROUND(M171*C171*$Z$3,2))</f>
        <v/>
      </c>
      <c r="O171" s="282">
        <f>IF(OR(G171="",I171=""),"",ROUND(MAX(G171-I171,0),2))</f>
        <v/>
      </c>
      <c r="P171" s="273">
        <f>IF(OR(O171="",C171="",NOT(ISNUMBER($Z$4))),"",ROUND(O171*C171*$Z$4,2))</f>
        <v/>
      </c>
      <c r="Q171" s="282">
        <f>IF(OR(I171="",K171=""),"",ROUND(MAX(I171-K171,0),2))</f>
        <v/>
      </c>
      <c r="R171" s="273">
        <f>IF(OR(Q171="",C171="",NOT(ISNUMBER($Z$5))),"",ROUND(Q171*C171*$Z$5,2))</f>
        <v/>
      </c>
      <c r="S171" s="296" t="n"/>
      <c r="T171" s="297" t="n"/>
      <c r="U171" s="284">
        <f>IF(A171="","",IF(AND(G171&lt;&gt;"",E171&lt;&gt;"",G171&gt;E171),"ALERTA: REM_C2&gt;REM_C1",IF(AND(I171&lt;&gt;"",G171&lt;&gt;"",I171&gt;G171),"ALERTA: REM_C3&gt;REM_C2",IF(AND(K171&lt;&gt;"",I171&lt;&gt;"",K171&gt;I171),"ALERTA: REM_C4&gt;REM_C3","OK"))))</f>
        <v/>
      </c>
      <c r="V171" s="284">
        <f>IF(A171="","",IF(B171="","",IF(OR(B171&lt;0,E171&gt;B171,G171&gt;B171,I171&gt;B171,K171&gt;B171),"ALERTA: QTD_INVALIDA","OK")))</f>
        <v/>
      </c>
      <c r="W171" s="27" t="n"/>
      <c r="X171" s="27" t="n"/>
      <c r="Y171" s="27" t="n"/>
      <c r="Z171" s="27" t="n"/>
      <c r="AA171" s="27" t="n"/>
      <c r="AB171" s="282">
        <f>IF(OR(A171="",E171=""),"",ROUND(B171-E171,2))</f>
        <v/>
      </c>
      <c r="AC171" s="273">
        <f>IF(OR(A171="",E171=""),"",ROUND(D171-E171*C171,2))</f>
        <v/>
      </c>
      <c r="AD171" s="27" t="n"/>
    </row>
    <row r="172">
      <c r="A172" s="278" t="n"/>
      <c r="B172" s="279" t="n"/>
      <c r="C172" s="280" t="n"/>
      <c r="D172" s="273">
        <f>IF(OR(A172="",B172="",C172=""),"",ROUND(B172*C172,2))</f>
        <v/>
      </c>
      <c r="E172" s="281" t="n"/>
      <c r="F172" s="273">
        <f>IF(OR(A172="",E172="",C172="",NOT(ISNUMBER($Z$3))),"",ROUND(E172*C172*$Z$3,2))</f>
        <v/>
      </c>
      <c r="G172" s="281" t="n"/>
      <c r="H172" s="273">
        <f>IF(OR(A172="",G172="",C172="",NOT(ISNUMBER($Z$4))),"",ROUND(G172*C172*$Z$4,2))</f>
        <v/>
      </c>
      <c r="I172" s="281" t="n"/>
      <c r="J172" s="273">
        <f>IF(OR(A172="",I172="",C172="",NOT(ISNUMBER($Z$5))),"",ROUND(I172*C172*$Z$5,2))</f>
        <v/>
      </c>
      <c r="K172" s="281" t="n"/>
      <c r="L172" s="273">
        <f>IF(OR(A172="",K172="",C172="",NOT(ISNUMBER($Z$6))),"",ROUND(K172*C172*$Z$6,2))</f>
        <v/>
      </c>
      <c r="M172" s="282">
        <f>IF(OR(E172="",G172=""),"",ROUND(MAX(E172-G172,0),2))</f>
        <v/>
      </c>
      <c r="N172" s="273">
        <f>IF(OR(M172="",C172="",NOT(ISNUMBER($Z$3))),"",ROUND(M172*C172*$Z$3,2))</f>
        <v/>
      </c>
      <c r="O172" s="282">
        <f>IF(OR(G172="",I172=""),"",ROUND(MAX(G172-I172,0),2))</f>
        <v/>
      </c>
      <c r="P172" s="273">
        <f>IF(OR(O172="",C172="",NOT(ISNUMBER($Z$4))),"",ROUND(O172*C172*$Z$4,2))</f>
        <v/>
      </c>
      <c r="Q172" s="282">
        <f>IF(OR(I172="",K172=""),"",ROUND(MAX(I172-K172,0),2))</f>
        <v/>
      </c>
      <c r="R172" s="273">
        <f>IF(OR(Q172="",C172="",NOT(ISNUMBER($Z$5))),"",ROUND(Q172*C172*$Z$5,2))</f>
        <v/>
      </c>
      <c r="S172" s="296" t="n"/>
      <c r="T172" s="297" t="n"/>
      <c r="U172" s="284">
        <f>IF(A172="","",IF(AND(G172&lt;&gt;"",E172&lt;&gt;"",G172&gt;E172),"ALERTA: REM_C2&gt;REM_C1",IF(AND(I172&lt;&gt;"",G172&lt;&gt;"",I172&gt;G172),"ALERTA: REM_C3&gt;REM_C2",IF(AND(K172&lt;&gt;"",I172&lt;&gt;"",K172&gt;I172),"ALERTA: REM_C4&gt;REM_C3","OK"))))</f>
        <v/>
      </c>
      <c r="V172" s="284">
        <f>IF(A172="","",IF(B172="","",IF(OR(B172&lt;0,E172&gt;B172,G172&gt;B172,I172&gt;B172,K172&gt;B172),"ALERTA: QTD_INVALIDA","OK")))</f>
        <v/>
      </c>
      <c r="W172" s="27" t="n"/>
      <c r="X172" s="27" t="n"/>
      <c r="Y172" s="27" t="n"/>
      <c r="Z172" s="27" t="n"/>
      <c r="AA172" s="27" t="n"/>
      <c r="AB172" s="282">
        <f>IF(OR(A172="",E172=""),"",ROUND(B172-E172,2))</f>
        <v/>
      </c>
      <c r="AC172" s="273">
        <f>IF(OR(A172="",E172=""),"",ROUND(D172-E172*C172,2))</f>
        <v/>
      </c>
      <c r="AD172" s="27" t="n"/>
    </row>
    <row r="173">
      <c r="A173" s="278" t="n"/>
      <c r="B173" s="279" t="n"/>
      <c r="C173" s="280" t="n"/>
      <c r="D173" s="273">
        <f>IF(OR(A173="",B173="",C173=""),"",ROUND(B173*C173,2))</f>
        <v/>
      </c>
      <c r="E173" s="281" t="n"/>
      <c r="F173" s="273">
        <f>IF(OR(A173="",E173="",C173="",NOT(ISNUMBER($Z$3))),"",ROUND(E173*C173*$Z$3,2))</f>
        <v/>
      </c>
      <c r="G173" s="281" t="n"/>
      <c r="H173" s="273">
        <f>IF(OR(A173="",G173="",C173="",NOT(ISNUMBER($Z$4))),"",ROUND(G173*C173*$Z$4,2))</f>
        <v/>
      </c>
      <c r="I173" s="281" t="n"/>
      <c r="J173" s="273">
        <f>IF(OR(A173="",I173="",C173="",NOT(ISNUMBER($Z$5))),"",ROUND(I173*C173*$Z$5,2))</f>
        <v/>
      </c>
      <c r="K173" s="281" t="n"/>
      <c r="L173" s="273">
        <f>IF(OR(A173="",K173="",C173="",NOT(ISNUMBER($Z$6))),"",ROUND(K173*C173*$Z$6,2))</f>
        <v/>
      </c>
      <c r="M173" s="282">
        <f>IF(OR(E173="",G173=""),"",ROUND(MAX(E173-G173,0),2))</f>
        <v/>
      </c>
      <c r="N173" s="273">
        <f>IF(OR(M173="",C173="",NOT(ISNUMBER($Z$3))),"",ROUND(M173*C173*$Z$3,2))</f>
        <v/>
      </c>
      <c r="O173" s="282">
        <f>IF(OR(G173="",I173=""),"",ROUND(MAX(G173-I173,0),2))</f>
        <v/>
      </c>
      <c r="P173" s="273">
        <f>IF(OR(O173="",C173="",NOT(ISNUMBER($Z$4))),"",ROUND(O173*C173*$Z$4,2))</f>
        <v/>
      </c>
      <c r="Q173" s="282">
        <f>IF(OR(I173="",K173=""),"",ROUND(MAX(I173-K173,0),2))</f>
        <v/>
      </c>
      <c r="R173" s="273">
        <f>IF(OR(Q173="",C173="",NOT(ISNUMBER($Z$5))),"",ROUND(Q173*C173*$Z$5,2))</f>
        <v/>
      </c>
      <c r="S173" s="296" t="n"/>
      <c r="T173" s="297" t="n"/>
      <c r="U173" s="284">
        <f>IF(A173="","",IF(AND(G173&lt;&gt;"",E173&lt;&gt;"",G173&gt;E173),"ALERTA: REM_C2&gt;REM_C1",IF(AND(I173&lt;&gt;"",G173&lt;&gt;"",I173&gt;G173),"ALERTA: REM_C3&gt;REM_C2",IF(AND(K173&lt;&gt;"",I173&lt;&gt;"",K173&gt;I173),"ALERTA: REM_C4&gt;REM_C3","OK"))))</f>
        <v/>
      </c>
      <c r="V173" s="284">
        <f>IF(A173="","",IF(B173="","",IF(OR(B173&lt;0,E173&gt;B173,G173&gt;B173,I173&gt;B173,K173&gt;B173),"ALERTA: QTD_INVALIDA","OK")))</f>
        <v/>
      </c>
      <c r="W173" s="27" t="n"/>
      <c r="X173" s="27" t="n"/>
      <c r="Y173" s="27" t="n"/>
      <c r="Z173" s="27" t="n"/>
      <c r="AA173" s="27" t="n"/>
      <c r="AB173" s="282">
        <f>IF(OR(A173="",E173=""),"",ROUND(B173-E173,2))</f>
        <v/>
      </c>
      <c r="AC173" s="273">
        <f>IF(OR(A173="",E173=""),"",ROUND(D173-E173*C173,2))</f>
        <v/>
      </c>
      <c r="AD173" s="27" t="n"/>
    </row>
    <row r="174">
      <c r="A174" s="278" t="n"/>
      <c r="B174" s="279" t="n"/>
      <c r="C174" s="280" t="n"/>
      <c r="D174" s="273">
        <f>IF(OR(A174="",B174="",C174=""),"",ROUND(B174*C174,2))</f>
        <v/>
      </c>
      <c r="E174" s="281" t="n"/>
      <c r="F174" s="273">
        <f>IF(OR(A174="",E174="",C174="",NOT(ISNUMBER($Z$3))),"",ROUND(E174*C174*$Z$3,2))</f>
        <v/>
      </c>
      <c r="G174" s="281" t="n"/>
      <c r="H174" s="273">
        <f>IF(OR(A174="",G174="",C174="",NOT(ISNUMBER($Z$4))),"",ROUND(G174*C174*$Z$4,2))</f>
        <v/>
      </c>
      <c r="I174" s="281" t="n"/>
      <c r="J174" s="273">
        <f>IF(OR(A174="",I174="",C174="",NOT(ISNUMBER($Z$5))),"",ROUND(I174*C174*$Z$5,2))</f>
        <v/>
      </c>
      <c r="K174" s="281" t="n"/>
      <c r="L174" s="273">
        <f>IF(OR(A174="",K174="",C174="",NOT(ISNUMBER($Z$6))),"",ROUND(K174*C174*$Z$6,2))</f>
        <v/>
      </c>
      <c r="M174" s="282">
        <f>IF(OR(E174="",G174=""),"",ROUND(MAX(E174-G174,0),2))</f>
        <v/>
      </c>
      <c r="N174" s="273">
        <f>IF(OR(M174="",C174="",NOT(ISNUMBER($Z$3))),"",ROUND(M174*C174*$Z$3,2))</f>
        <v/>
      </c>
      <c r="O174" s="282">
        <f>IF(OR(G174="",I174=""),"",ROUND(MAX(G174-I174,0),2))</f>
        <v/>
      </c>
      <c r="P174" s="273">
        <f>IF(OR(O174="",C174="",NOT(ISNUMBER($Z$4))),"",ROUND(O174*C174*$Z$4,2))</f>
        <v/>
      </c>
      <c r="Q174" s="282">
        <f>IF(OR(I174="",K174=""),"",ROUND(MAX(I174-K174,0),2))</f>
        <v/>
      </c>
      <c r="R174" s="273">
        <f>IF(OR(Q174="",C174="",NOT(ISNUMBER($Z$5))),"",ROUND(Q174*C174*$Z$5,2))</f>
        <v/>
      </c>
      <c r="S174" s="296" t="n"/>
      <c r="T174" s="297" t="n"/>
      <c r="U174" s="284">
        <f>IF(A174="","",IF(AND(G174&lt;&gt;"",E174&lt;&gt;"",G174&gt;E174),"ALERTA: REM_C2&gt;REM_C1",IF(AND(I174&lt;&gt;"",G174&lt;&gt;"",I174&gt;G174),"ALERTA: REM_C3&gt;REM_C2",IF(AND(K174&lt;&gt;"",I174&lt;&gt;"",K174&gt;I174),"ALERTA: REM_C4&gt;REM_C3","OK"))))</f>
        <v/>
      </c>
      <c r="V174" s="284">
        <f>IF(A174="","",IF(B174="","",IF(OR(B174&lt;0,E174&gt;B174,G174&gt;B174,I174&gt;B174,K174&gt;B174),"ALERTA: QTD_INVALIDA","OK")))</f>
        <v/>
      </c>
      <c r="W174" s="27" t="n"/>
      <c r="X174" s="27" t="n"/>
      <c r="Y174" s="27" t="n"/>
      <c r="Z174" s="27" t="n"/>
      <c r="AA174" s="27" t="n"/>
      <c r="AB174" s="282">
        <f>IF(OR(A174="",E174=""),"",ROUND(B174-E174,2))</f>
        <v/>
      </c>
      <c r="AC174" s="273">
        <f>IF(OR(A174="",E174=""),"",ROUND(D174-E174*C174,2))</f>
        <v/>
      </c>
      <c r="AD174" s="27" t="n"/>
    </row>
    <row r="175">
      <c r="A175" s="278" t="n"/>
      <c r="B175" s="279" t="n"/>
      <c r="C175" s="280" t="n"/>
      <c r="D175" s="273">
        <f>IF(OR(A175="",B175="",C175=""),"",ROUND(B175*C175,2))</f>
        <v/>
      </c>
      <c r="E175" s="281" t="n"/>
      <c r="F175" s="273">
        <f>IF(OR(A175="",E175="",C175="",NOT(ISNUMBER($Z$3))),"",ROUND(E175*C175*$Z$3,2))</f>
        <v/>
      </c>
      <c r="G175" s="281" t="n"/>
      <c r="H175" s="273">
        <f>IF(OR(A175="",G175="",C175="",NOT(ISNUMBER($Z$4))),"",ROUND(G175*C175*$Z$4,2))</f>
        <v/>
      </c>
      <c r="I175" s="281" t="n"/>
      <c r="J175" s="273">
        <f>IF(OR(A175="",I175="",C175="",NOT(ISNUMBER($Z$5))),"",ROUND(I175*C175*$Z$5,2))</f>
        <v/>
      </c>
      <c r="K175" s="281" t="n"/>
      <c r="L175" s="273">
        <f>IF(OR(A175="",K175="",C175="",NOT(ISNUMBER($Z$6))),"",ROUND(K175*C175*$Z$6,2))</f>
        <v/>
      </c>
      <c r="M175" s="282">
        <f>IF(OR(E175="",G175=""),"",ROUND(MAX(E175-G175,0),2))</f>
        <v/>
      </c>
      <c r="N175" s="273">
        <f>IF(OR(M175="",C175="",NOT(ISNUMBER($Z$3))),"",ROUND(M175*C175*$Z$3,2))</f>
        <v/>
      </c>
      <c r="O175" s="282">
        <f>IF(OR(G175="",I175=""),"",ROUND(MAX(G175-I175,0),2))</f>
        <v/>
      </c>
      <c r="P175" s="273">
        <f>IF(OR(O175="",C175="",NOT(ISNUMBER($Z$4))),"",ROUND(O175*C175*$Z$4,2))</f>
        <v/>
      </c>
      <c r="Q175" s="282">
        <f>IF(OR(I175="",K175=""),"",ROUND(MAX(I175-K175,0),2))</f>
        <v/>
      </c>
      <c r="R175" s="273">
        <f>IF(OR(Q175="",C175="",NOT(ISNUMBER($Z$5))),"",ROUND(Q175*C175*$Z$5,2))</f>
        <v/>
      </c>
      <c r="S175" s="296" t="n"/>
      <c r="T175" s="297" t="n"/>
      <c r="U175" s="284">
        <f>IF(A175="","",IF(AND(G175&lt;&gt;"",E175&lt;&gt;"",G175&gt;E175),"ALERTA: REM_C2&gt;REM_C1",IF(AND(I175&lt;&gt;"",G175&lt;&gt;"",I175&gt;G175),"ALERTA: REM_C3&gt;REM_C2",IF(AND(K175&lt;&gt;"",I175&lt;&gt;"",K175&gt;I175),"ALERTA: REM_C4&gt;REM_C3","OK"))))</f>
        <v/>
      </c>
      <c r="V175" s="284">
        <f>IF(A175="","",IF(B175="","",IF(OR(B175&lt;0,E175&gt;B175,G175&gt;B175,I175&gt;B175,K175&gt;B175),"ALERTA: QTD_INVALIDA","OK")))</f>
        <v/>
      </c>
      <c r="W175" s="27" t="n"/>
      <c r="X175" s="27" t="n"/>
      <c r="Y175" s="27" t="n"/>
      <c r="Z175" s="27" t="n"/>
      <c r="AA175" s="27" t="n"/>
      <c r="AB175" s="282">
        <f>IF(OR(A175="",E175=""),"",ROUND(B175-E175,2))</f>
        <v/>
      </c>
      <c r="AC175" s="273">
        <f>IF(OR(A175="",E175=""),"",ROUND(D175-E175*C175,2))</f>
        <v/>
      </c>
      <c r="AD175" s="27" t="n"/>
    </row>
    <row r="176">
      <c r="A176" s="278" t="n"/>
      <c r="B176" s="279" t="n"/>
      <c r="C176" s="280" t="n"/>
      <c r="D176" s="273">
        <f>IF(OR(A176="",B176="",C176=""),"",ROUND(B176*C176,2))</f>
        <v/>
      </c>
      <c r="E176" s="281" t="n"/>
      <c r="F176" s="273">
        <f>IF(OR(A176="",E176="",C176="",NOT(ISNUMBER($Z$3))),"",ROUND(E176*C176*$Z$3,2))</f>
        <v/>
      </c>
      <c r="G176" s="281" t="n"/>
      <c r="H176" s="273">
        <f>IF(OR(A176="",G176="",C176="",NOT(ISNUMBER($Z$4))),"",ROUND(G176*C176*$Z$4,2))</f>
        <v/>
      </c>
      <c r="I176" s="281" t="n"/>
      <c r="J176" s="273">
        <f>IF(OR(A176="",I176="",C176="",NOT(ISNUMBER($Z$5))),"",ROUND(I176*C176*$Z$5,2))</f>
        <v/>
      </c>
      <c r="K176" s="281" t="n"/>
      <c r="L176" s="273">
        <f>IF(OR(A176="",K176="",C176="",NOT(ISNUMBER($Z$6))),"",ROUND(K176*C176*$Z$6,2))</f>
        <v/>
      </c>
      <c r="M176" s="282">
        <f>IF(OR(E176="",G176=""),"",ROUND(MAX(E176-G176,0),2))</f>
        <v/>
      </c>
      <c r="N176" s="273">
        <f>IF(OR(M176="",C176="",NOT(ISNUMBER($Z$3))),"",ROUND(M176*C176*$Z$3,2))</f>
        <v/>
      </c>
      <c r="O176" s="282">
        <f>IF(OR(G176="",I176=""),"",ROUND(MAX(G176-I176,0),2))</f>
        <v/>
      </c>
      <c r="P176" s="273">
        <f>IF(OR(O176="",C176="",NOT(ISNUMBER($Z$4))),"",ROUND(O176*C176*$Z$4,2))</f>
        <v/>
      </c>
      <c r="Q176" s="282">
        <f>IF(OR(I176="",K176=""),"",ROUND(MAX(I176-K176,0),2))</f>
        <v/>
      </c>
      <c r="R176" s="273">
        <f>IF(OR(Q176="",C176="",NOT(ISNUMBER($Z$5))),"",ROUND(Q176*C176*$Z$5,2))</f>
        <v/>
      </c>
      <c r="S176" s="296" t="n"/>
      <c r="T176" s="297" t="n"/>
      <c r="U176" s="284">
        <f>IF(A176="","",IF(AND(G176&lt;&gt;"",E176&lt;&gt;"",G176&gt;E176),"ALERTA: REM_C2&gt;REM_C1",IF(AND(I176&lt;&gt;"",G176&lt;&gt;"",I176&gt;G176),"ALERTA: REM_C3&gt;REM_C2",IF(AND(K176&lt;&gt;"",I176&lt;&gt;"",K176&gt;I176),"ALERTA: REM_C4&gt;REM_C3","OK"))))</f>
        <v/>
      </c>
      <c r="V176" s="284">
        <f>IF(A176="","",IF(B176="","",IF(OR(B176&lt;0,E176&gt;B176,G176&gt;B176,I176&gt;B176,K176&gt;B176),"ALERTA: QTD_INVALIDA","OK")))</f>
        <v/>
      </c>
      <c r="W176" s="27" t="n"/>
      <c r="X176" s="27" t="n"/>
      <c r="Y176" s="27" t="n"/>
      <c r="Z176" s="27" t="n"/>
      <c r="AA176" s="27" t="n"/>
      <c r="AB176" s="282">
        <f>IF(OR(A176="",E176=""),"",ROUND(B176-E176,2))</f>
        <v/>
      </c>
      <c r="AC176" s="273">
        <f>IF(OR(A176="",E176=""),"",ROUND(D176-E176*C176,2))</f>
        <v/>
      </c>
      <c r="AD176" s="27" t="n"/>
    </row>
    <row r="177">
      <c r="A177" s="278" t="n"/>
      <c r="B177" s="279" t="n"/>
      <c r="C177" s="280" t="n"/>
      <c r="D177" s="273">
        <f>IF(OR(A177="",B177="",C177=""),"",ROUND(B177*C177,2))</f>
        <v/>
      </c>
      <c r="E177" s="281" t="n"/>
      <c r="F177" s="273">
        <f>IF(OR(A177="",E177="",C177="",NOT(ISNUMBER($Z$3))),"",ROUND(E177*C177*$Z$3,2))</f>
        <v/>
      </c>
      <c r="G177" s="281" t="n"/>
      <c r="H177" s="273">
        <f>IF(OR(A177="",G177="",C177="",NOT(ISNUMBER($Z$4))),"",ROUND(G177*C177*$Z$4,2))</f>
        <v/>
      </c>
      <c r="I177" s="281" t="n"/>
      <c r="J177" s="273">
        <f>IF(OR(A177="",I177="",C177="",NOT(ISNUMBER($Z$5))),"",ROUND(I177*C177*$Z$5,2))</f>
        <v/>
      </c>
      <c r="K177" s="281" t="n"/>
      <c r="L177" s="273">
        <f>IF(OR(A177="",K177="",C177="",NOT(ISNUMBER($Z$6))),"",ROUND(K177*C177*$Z$6,2))</f>
        <v/>
      </c>
      <c r="M177" s="282">
        <f>IF(OR(E177="",G177=""),"",ROUND(MAX(E177-G177,0),2))</f>
        <v/>
      </c>
      <c r="N177" s="273">
        <f>IF(OR(M177="",C177="",NOT(ISNUMBER($Z$3))),"",ROUND(M177*C177*$Z$3,2))</f>
        <v/>
      </c>
      <c r="O177" s="282">
        <f>IF(OR(G177="",I177=""),"",ROUND(MAX(G177-I177,0),2))</f>
        <v/>
      </c>
      <c r="P177" s="273">
        <f>IF(OR(O177="",C177="",NOT(ISNUMBER($Z$4))),"",ROUND(O177*C177*$Z$4,2))</f>
        <v/>
      </c>
      <c r="Q177" s="282">
        <f>IF(OR(I177="",K177=""),"",ROUND(MAX(I177-K177,0),2))</f>
        <v/>
      </c>
      <c r="R177" s="273">
        <f>IF(OR(Q177="",C177="",NOT(ISNUMBER($Z$5))),"",ROUND(Q177*C177*$Z$5,2))</f>
        <v/>
      </c>
      <c r="S177" s="296" t="n"/>
      <c r="T177" s="297" t="n"/>
      <c r="U177" s="284">
        <f>IF(A177="","",IF(AND(G177&lt;&gt;"",E177&lt;&gt;"",G177&gt;E177),"ALERTA: REM_C2&gt;REM_C1",IF(AND(I177&lt;&gt;"",G177&lt;&gt;"",I177&gt;G177),"ALERTA: REM_C3&gt;REM_C2",IF(AND(K177&lt;&gt;"",I177&lt;&gt;"",K177&gt;I177),"ALERTA: REM_C4&gt;REM_C3","OK"))))</f>
        <v/>
      </c>
      <c r="V177" s="284">
        <f>IF(A177="","",IF(B177="","",IF(OR(B177&lt;0,E177&gt;B177,G177&gt;B177,I177&gt;B177,K177&gt;B177),"ALERTA: QTD_INVALIDA","OK")))</f>
        <v/>
      </c>
      <c r="W177" s="27" t="n"/>
      <c r="X177" s="27" t="n"/>
      <c r="Y177" s="27" t="n"/>
      <c r="Z177" s="27" t="n"/>
      <c r="AA177" s="27" t="n"/>
      <c r="AB177" s="282">
        <f>IF(OR(A177="",E177=""),"",ROUND(B177-E177,2))</f>
        <v/>
      </c>
      <c r="AC177" s="273">
        <f>IF(OR(A177="",E177=""),"",ROUND(D177-E177*C177,2))</f>
        <v/>
      </c>
      <c r="AD177" s="27" t="n"/>
    </row>
    <row r="178">
      <c r="A178" s="278" t="n"/>
      <c r="B178" s="279" t="n"/>
      <c r="C178" s="280" t="n"/>
      <c r="D178" s="273">
        <f>IF(OR(A178="",B178="",C178=""),"",ROUND(B178*C178,2))</f>
        <v/>
      </c>
      <c r="E178" s="281" t="n"/>
      <c r="F178" s="273">
        <f>IF(OR(A178="",E178="",C178="",NOT(ISNUMBER($Z$3))),"",ROUND(E178*C178*$Z$3,2))</f>
        <v/>
      </c>
      <c r="G178" s="281" t="n"/>
      <c r="H178" s="273">
        <f>IF(OR(A178="",G178="",C178="",NOT(ISNUMBER($Z$4))),"",ROUND(G178*C178*$Z$4,2))</f>
        <v/>
      </c>
      <c r="I178" s="281" t="n"/>
      <c r="J178" s="273">
        <f>IF(OR(A178="",I178="",C178="",NOT(ISNUMBER($Z$5))),"",ROUND(I178*C178*$Z$5,2))</f>
        <v/>
      </c>
      <c r="K178" s="281" t="n"/>
      <c r="L178" s="273">
        <f>IF(OR(A178="",K178="",C178="",NOT(ISNUMBER($Z$6))),"",ROUND(K178*C178*$Z$6,2))</f>
        <v/>
      </c>
      <c r="M178" s="282">
        <f>IF(OR(E178="",G178=""),"",ROUND(MAX(E178-G178,0),2))</f>
        <v/>
      </c>
      <c r="N178" s="273">
        <f>IF(OR(M178="",C178="",NOT(ISNUMBER($Z$3))),"",ROUND(M178*C178*$Z$3,2))</f>
        <v/>
      </c>
      <c r="O178" s="282">
        <f>IF(OR(G178="",I178=""),"",ROUND(MAX(G178-I178,0),2))</f>
        <v/>
      </c>
      <c r="P178" s="273">
        <f>IF(OR(O178="",C178="",NOT(ISNUMBER($Z$4))),"",ROUND(O178*C178*$Z$4,2))</f>
        <v/>
      </c>
      <c r="Q178" s="282">
        <f>IF(OR(I178="",K178=""),"",ROUND(MAX(I178-K178,0),2))</f>
        <v/>
      </c>
      <c r="R178" s="273">
        <f>IF(OR(Q178="",C178="",NOT(ISNUMBER($Z$5))),"",ROUND(Q178*C178*$Z$5,2))</f>
        <v/>
      </c>
      <c r="S178" s="296" t="n"/>
      <c r="T178" s="297" t="n"/>
      <c r="U178" s="284">
        <f>IF(A178="","",IF(AND(G178&lt;&gt;"",E178&lt;&gt;"",G178&gt;E178),"ALERTA: REM_C2&gt;REM_C1",IF(AND(I178&lt;&gt;"",G178&lt;&gt;"",I178&gt;G178),"ALERTA: REM_C3&gt;REM_C2",IF(AND(K178&lt;&gt;"",I178&lt;&gt;"",K178&gt;I178),"ALERTA: REM_C4&gt;REM_C3","OK"))))</f>
        <v/>
      </c>
      <c r="V178" s="284">
        <f>IF(A178="","",IF(B178="","",IF(OR(B178&lt;0,E178&gt;B178,G178&gt;B178,I178&gt;B178,K178&gt;B178),"ALERTA: QTD_INVALIDA","OK")))</f>
        <v/>
      </c>
      <c r="W178" s="27" t="n"/>
      <c r="X178" s="27" t="n"/>
      <c r="Y178" s="27" t="n"/>
      <c r="Z178" s="27" t="n"/>
      <c r="AA178" s="27" t="n"/>
      <c r="AB178" s="282">
        <f>IF(OR(A178="",E178=""),"",ROUND(B178-E178,2))</f>
        <v/>
      </c>
      <c r="AC178" s="273">
        <f>IF(OR(A178="",E178=""),"",ROUND(D178-E178*C178,2))</f>
        <v/>
      </c>
      <c r="AD178" s="27" t="n"/>
    </row>
    <row r="179">
      <c r="A179" s="278" t="n"/>
      <c r="B179" s="279" t="n"/>
      <c r="C179" s="280" t="n"/>
      <c r="D179" s="273">
        <f>IF(OR(A179="",B179="",C179=""),"",ROUND(B179*C179,2))</f>
        <v/>
      </c>
      <c r="E179" s="281" t="n"/>
      <c r="F179" s="273">
        <f>IF(OR(A179="",E179="",C179="",NOT(ISNUMBER($Z$3))),"",ROUND(E179*C179*$Z$3,2))</f>
        <v/>
      </c>
      <c r="G179" s="281" t="n"/>
      <c r="H179" s="273">
        <f>IF(OR(A179="",G179="",C179="",NOT(ISNUMBER($Z$4))),"",ROUND(G179*C179*$Z$4,2))</f>
        <v/>
      </c>
      <c r="I179" s="281" t="n"/>
      <c r="J179" s="273">
        <f>IF(OR(A179="",I179="",C179="",NOT(ISNUMBER($Z$5))),"",ROUND(I179*C179*$Z$5,2))</f>
        <v/>
      </c>
      <c r="K179" s="281" t="n"/>
      <c r="L179" s="273">
        <f>IF(OR(A179="",K179="",C179="",NOT(ISNUMBER($Z$6))),"",ROUND(K179*C179*$Z$6,2))</f>
        <v/>
      </c>
      <c r="M179" s="282">
        <f>IF(OR(E179="",G179=""),"",ROUND(MAX(E179-G179,0),2))</f>
        <v/>
      </c>
      <c r="N179" s="273">
        <f>IF(OR(M179="",C179="",NOT(ISNUMBER($Z$3))),"",ROUND(M179*C179*$Z$3,2))</f>
        <v/>
      </c>
      <c r="O179" s="282">
        <f>IF(OR(G179="",I179=""),"",ROUND(MAX(G179-I179,0),2))</f>
        <v/>
      </c>
      <c r="P179" s="273">
        <f>IF(OR(O179="",C179="",NOT(ISNUMBER($Z$4))),"",ROUND(O179*C179*$Z$4,2))</f>
        <v/>
      </c>
      <c r="Q179" s="282">
        <f>IF(OR(I179="",K179=""),"",ROUND(MAX(I179-K179,0),2))</f>
        <v/>
      </c>
      <c r="R179" s="273">
        <f>IF(OR(Q179="",C179="",NOT(ISNUMBER($Z$5))),"",ROUND(Q179*C179*$Z$5,2))</f>
        <v/>
      </c>
      <c r="S179" s="296" t="n"/>
      <c r="T179" s="297" t="n"/>
      <c r="U179" s="284">
        <f>IF(A179="","",IF(AND(G179&lt;&gt;"",E179&lt;&gt;"",G179&gt;E179),"ALERTA: REM_C2&gt;REM_C1",IF(AND(I179&lt;&gt;"",G179&lt;&gt;"",I179&gt;G179),"ALERTA: REM_C3&gt;REM_C2",IF(AND(K179&lt;&gt;"",I179&lt;&gt;"",K179&gt;I179),"ALERTA: REM_C4&gt;REM_C3","OK"))))</f>
        <v/>
      </c>
      <c r="V179" s="284">
        <f>IF(A179="","",IF(B179="","",IF(OR(B179&lt;0,E179&gt;B179,G179&gt;B179,I179&gt;B179,K179&gt;B179),"ALERTA: QTD_INVALIDA","OK")))</f>
        <v/>
      </c>
      <c r="W179" s="27" t="n"/>
      <c r="X179" s="27" t="n"/>
      <c r="Y179" s="27" t="n"/>
      <c r="Z179" s="27" t="n"/>
      <c r="AA179" s="27" t="n"/>
      <c r="AB179" s="282">
        <f>IF(OR(A179="",E179=""),"",ROUND(B179-E179,2))</f>
        <v/>
      </c>
      <c r="AC179" s="273">
        <f>IF(OR(A179="",E179=""),"",ROUND(D179-E179*C179,2))</f>
        <v/>
      </c>
      <c r="AD179" s="27" t="n"/>
    </row>
    <row r="180">
      <c r="A180" s="278" t="n"/>
      <c r="B180" s="279" t="n"/>
      <c r="C180" s="280" t="n"/>
      <c r="D180" s="273">
        <f>IF(OR(A180="",B180="",C180=""),"",ROUND(B180*C180,2))</f>
        <v/>
      </c>
      <c r="E180" s="281" t="n"/>
      <c r="F180" s="273">
        <f>IF(OR(A180="",E180="",C180="",NOT(ISNUMBER($Z$3))),"",ROUND(E180*C180*$Z$3,2))</f>
        <v/>
      </c>
      <c r="G180" s="281" t="n"/>
      <c r="H180" s="273">
        <f>IF(OR(A180="",G180="",C180="",NOT(ISNUMBER($Z$4))),"",ROUND(G180*C180*$Z$4,2))</f>
        <v/>
      </c>
      <c r="I180" s="281" t="n"/>
      <c r="J180" s="273">
        <f>IF(OR(A180="",I180="",C180="",NOT(ISNUMBER($Z$5))),"",ROUND(I180*C180*$Z$5,2))</f>
        <v/>
      </c>
      <c r="K180" s="281" t="n"/>
      <c r="L180" s="273">
        <f>IF(OR(A180="",K180="",C180="",NOT(ISNUMBER($Z$6))),"",ROUND(K180*C180*$Z$6,2))</f>
        <v/>
      </c>
      <c r="M180" s="282">
        <f>IF(OR(E180="",G180=""),"",ROUND(MAX(E180-G180,0),2))</f>
        <v/>
      </c>
      <c r="N180" s="273">
        <f>IF(OR(M180="",C180="",NOT(ISNUMBER($Z$3))),"",ROUND(M180*C180*$Z$3,2))</f>
        <v/>
      </c>
      <c r="O180" s="282">
        <f>IF(OR(G180="",I180=""),"",ROUND(MAX(G180-I180,0),2))</f>
        <v/>
      </c>
      <c r="P180" s="273">
        <f>IF(OR(O180="",C180="",NOT(ISNUMBER($Z$4))),"",ROUND(O180*C180*$Z$4,2))</f>
        <v/>
      </c>
      <c r="Q180" s="282">
        <f>IF(OR(I180="",K180=""),"",ROUND(MAX(I180-K180,0),2))</f>
        <v/>
      </c>
      <c r="R180" s="273">
        <f>IF(OR(Q180="",C180="",NOT(ISNUMBER($Z$5))),"",ROUND(Q180*C180*$Z$5,2))</f>
        <v/>
      </c>
      <c r="S180" s="296" t="n"/>
      <c r="T180" s="297" t="n"/>
      <c r="U180" s="284">
        <f>IF(A180="","",IF(AND(G180&lt;&gt;"",E180&lt;&gt;"",G180&gt;E180),"ALERTA: REM_C2&gt;REM_C1",IF(AND(I180&lt;&gt;"",G180&lt;&gt;"",I180&gt;G180),"ALERTA: REM_C3&gt;REM_C2",IF(AND(K180&lt;&gt;"",I180&lt;&gt;"",K180&gt;I180),"ALERTA: REM_C4&gt;REM_C3","OK"))))</f>
        <v/>
      </c>
      <c r="V180" s="284">
        <f>IF(A180="","",IF(B180="","",IF(OR(B180&lt;0,E180&gt;B180,G180&gt;B180,I180&gt;B180,K180&gt;B180),"ALERTA: QTD_INVALIDA","OK")))</f>
        <v/>
      </c>
      <c r="W180" s="27" t="n"/>
      <c r="X180" s="27" t="n"/>
      <c r="Y180" s="27" t="n"/>
      <c r="Z180" s="27" t="n"/>
      <c r="AA180" s="27" t="n"/>
      <c r="AB180" s="282">
        <f>IF(OR(A180="",E180=""),"",ROUND(B180-E180,2))</f>
        <v/>
      </c>
      <c r="AC180" s="273">
        <f>IF(OR(A180="",E180=""),"",ROUND(D180-E180*C180,2))</f>
        <v/>
      </c>
      <c r="AD180" s="27" t="n"/>
    </row>
    <row r="181">
      <c r="A181" s="278" t="n"/>
      <c r="B181" s="279" t="n"/>
      <c r="C181" s="280" t="n"/>
      <c r="D181" s="273">
        <f>IF(OR(A181="",B181="",C181=""),"",ROUND(B181*C181,2))</f>
        <v/>
      </c>
      <c r="E181" s="281" t="n"/>
      <c r="F181" s="273">
        <f>IF(OR(A181="",E181="",C181="",NOT(ISNUMBER($Z$3))),"",ROUND(E181*C181*$Z$3,2))</f>
        <v/>
      </c>
      <c r="G181" s="281" t="n"/>
      <c r="H181" s="273">
        <f>IF(OR(A181="",G181="",C181="",NOT(ISNUMBER($Z$4))),"",ROUND(G181*C181*$Z$4,2))</f>
        <v/>
      </c>
      <c r="I181" s="281" t="n"/>
      <c r="J181" s="273">
        <f>IF(OR(A181="",I181="",C181="",NOT(ISNUMBER($Z$5))),"",ROUND(I181*C181*$Z$5,2))</f>
        <v/>
      </c>
      <c r="K181" s="281" t="n"/>
      <c r="L181" s="273">
        <f>IF(OR(A181="",K181="",C181="",NOT(ISNUMBER($Z$6))),"",ROUND(K181*C181*$Z$6,2))</f>
        <v/>
      </c>
      <c r="M181" s="282">
        <f>IF(OR(E181="",G181=""),"",ROUND(MAX(E181-G181,0),2))</f>
        <v/>
      </c>
      <c r="N181" s="273">
        <f>IF(OR(M181="",C181="",NOT(ISNUMBER($Z$3))),"",ROUND(M181*C181*$Z$3,2))</f>
        <v/>
      </c>
      <c r="O181" s="282">
        <f>IF(OR(G181="",I181=""),"",ROUND(MAX(G181-I181,0),2))</f>
        <v/>
      </c>
      <c r="P181" s="273">
        <f>IF(OR(O181="",C181="",NOT(ISNUMBER($Z$4))),"",ROUND(O181*C181*$Z$4,2))</f>
        <v/>
      </c>
      <c r="Q181" s="282">
        <f>IF(OR(I181="",K181=""),"",ROUND(MAX(I181-K181,0),2))</f>
        <v/>
      </c>
      <c r="R181" s="273">
        <f>IF(OR(Q181="",C181="",NOT(ISNUMBER($Z$5))),"",ROUND(Q181*C181*$Z$5,2))</f>
        <v/>
      </c>
      <c r="S181" s="296" t="n"/>
      <c r="T181" s="297" t="n"/>
      <c r="U181" s="284">
        <f>IF(A181="","",IF(AND(G181&lt;&gt;"",E181&lt;&gt;"",G181&gt;E181),"ALERTA: REM_C2&gt;REM_C1",IF(AND(I181&lt;&gt;"",G181&lt;&gt;"",I181&gt;G181),"ALERTA: REM_C3&gt;REM_C2",IF(AND(K181&lt;&gt;"",I181&lt;&gt;"",K181&gt;I181),"ALERTA: REM_C4&gt;REM_C3","OK"))))</f>
        <v/>
      </c>
      <c r="V181" s="284">
        <f>IF(A181="","",IF(B181="","",IF(OR(B181&lt;0,E181&gt;B181,G181&gt;B181,I181&gt;B181,K181&gt;B181),"ALERTA: QTD_INVALIDA","OK")))</f>
        <v/>
      </c>
      <c r="W181" s="27" t="n"/>
      <c r="X181" s="27" t="n"/>
      <c r="Y181" s="27" t="n"/>
      <c r="Z181" s="27" t="n"/>
      <c r="AA181" s="27" t="n"/>
      <c r="AB181" s="282">
        <f>IF(OR(A181="",E181=""),"",ROUND(B181-E181,2))</f>
        <v/>
      </c>
      <c r="AC181" s="273">
        <f>IF(OR(A181="",E181=""),"",ROUND(D181-E181*C181,2))</f>
        <v/>
      </c>
      <c r="AD181" s="27" t="n"/>
    </row>
    <row r="182">
      <c r="A182" s="278" t="n"/>
      <c r="B182" s="279" t="n"/>
      <c r="C182" s="280" t="n"/>
      <c r="D182" s="273">
        <f>IF(OR(A182="",B182="",C182=""),"",ROUND(B182*C182,2))</f>
        <v/>
      </c>
      <c r="E182" s="281" t="n"/>
      <c r="F182" s="273">
        <f>IF(OR(A182="",E182="",C182="",NOT(ISNUMBER($Z$3))),"",ROUND(E182*C182*$Z$3,2))</f>
        <v/>
      </c>
      <c r="G182" s="281" t="n"/>
      <c r="H182" s="273">
        <f>IF(OR(A182="",G182="",C182="",NOT(ISNUMBER($Z$4))),"",ROUND(G182*C182*$Z$4,2))</f>
        <v/>
      </c>
      <c r="I182" s="281" t="n"/>
      <c r="J182" s="273">
        <f>IF(OR(A182="",I182="",C182="",NOT(ISNUMBER($Z$5))),"",ROUND(I182*C182*$Z$5,2))</f>
        <v/>
      </c>
      <c r="K182" s="281" t="n"/>
      <c r="L182" s="273">
        <f>IF(OR(A182="",K182="",C182="",NOT(ISNUMBER($Z$6))),"",ROUND(K182*C182*$Z$6,2))</f>
        <v/>
      </c>
      <c r="M182" s="282">
        <f>IF(OR(E182="",G182=""),"",ROUND(MAX(E182-G182,0),2))</f>
        <v/>
      </c>
      <c r="N182" s="273">
        <f>IF(OR(M182="",C182="",NOT(ISNUMBER($Z$3))),"",ROUND(M182*C182*$Z$3,2))</f>
        <v/>
      </c>
      <c r="O182" s="282">
        <f>IF(OR(G182="",I182=""),"",ROUND(MAX(G182-I182,0),2))</f>
        <v/>
      </c>
      <c r="P182" s="273">
        <f>IF(OR(O182="",C182="",NOT(ISNUMBER($Z$4))),"",ROUND(O182*C182*$Z$4,2))</f>
        <v/>
      </c>
      <c r="Q182" s="282">
        <f>IF(OR(I182="",K182=""),"",ROUND(MAX(I182-K182,0),2))</f>
        <v/>
      </c>
      <c r="R182" s="273">
        <f>IF(OR(Q182="",C182="",NOT(ISNUMBER($Z$5))),"",ROUND(Q182*C182*$Z$5,2))</f>
        <v/>
      </c>
      <c r="S182" s="296" t="n"/>
      <c r="T182" s="297" t="n"/>
      <c r="U182" s="284">
        <f>IF(A182="","",IF(AND(G182&lt;&gt;"",E182&lt;&gt;"",G182&gt;E182),"ALERTA: REM_C2&gt;REM_C1",IF(AND(I182&lt;&gt;"",G182&lt;&gt;"",I182&gt;G182),"ALERTA: REM_C3&gt;REM_C2",IF(AND(K182&lt;&gt;"",I182&lt;&gt;"",K182&gt;I182),"ALERTA: REM_C4&gt;REM_C3","OK"))))</f>
        <v/>
      </c>
      <c r="V182" s="284">
        <f>IF(A182="","",IF(B182="","",IF(OR(B182&lt;0,E182&gt;B182,G182&gt;B182,I182&gt;B182,K182&gt;B182),"ALERTA: QTD_INVALIDA","OK")))</f>
        <v/>
      </c>
      <c r="W182" s="27" t="n"/>
      <c r="X182" s="27" t="n"/>
      <c r="Y182" s="27" t="n"/>
      <c r="Z182" s="27" t="n"/>
      <c r="AA182" s="27" t="n"/>
      <c r="AB182" s="282">
        <f>IF(OR(A182="",E182=""),"",ROUND(B182-E182,2))</f>
        <v/>
      </c>
      <c r="AC182" s="273">
        <f>IF(OR(A182="",E182=""),"",ROUND(D182-E182*C182,2))</f>
        <v/>
      </c>
      <c r="AD182" s="27" t="n"/>
    </row>
    <row r="183">
      <c r="A183" s="278" t="n"/>
      <c r="B183" s="279" t="n"/>
      <c r="C183" s="280" t="n"/>
      <c r="D183" s="273">
        <f>IF(OR(A183="",B183="",C183=""),"",ROUND(B183*C183,2))</f>
        <v/>
      </c>
      <c r="E183" s="281" t="n"/>
      <c r="F183" s="273">
        <f>IF(OR(A183="",E183="",C183="",NOT(ISNUMBER($Z$3))),"",ROUND(E183*C183*$Z$3,2))</f>
        <v/>
      </c>
      <c r="G183" s="281" t="n"/>
      <c r="H183" s="273">
        <f>IF(OR(A183="",G183="",C183="",NOT(ISNUMBER($Z$4))),"",ROUND(G183*C183*$Z$4,2))</f>
        <v/>
      </c>
      <c r="I183" s="281" t="n"/>
      <c r="J183" s="273">
        <f>IF(OR(A183="",I183="",C183="",NOT(ISNUMBER($Z$5))),"",ROUND(I183*C183*$Z$5,2))</f>
        <v/>
      </c>
      <c r="K183" s="281" t="n"/>
      <c r="L183" s="273">
        <f>IF(OR(A183="",K183="",C183="",NOT(ISNUMBER($Z$6))),"",ROUND(K183*C183*$Z$6,2))</f>
        <v/>
      </c>
      <c r="M183" s="282">
        <f>IF(OR(E183="",G183=""),"",ROUND(MAX(E183-G183,0),2))</f>
        <v/>
      </c>
      <c r="N183" s="273">
        <f>IF(OR(M183="",C183="",NOT(ISNUMBER($Z$3))),"",ROUND(M183*C183*$Z$3,2))</f>
        <v/>
      </c>
      <c r="O183" s="282">
        <f>IF(OR(G183="",I183=""),"",ROUND(MAX(G183-I183,0),2))</f>
        <v/>
      </c>
      <c r="P183" s="273">
        <f>IF(OR(O183="",C183="",NOT(ISNUMBER($Z$4))),"",ROUND(O183*C183*$Z$4,2))</f>
        <v/>
      </c>
      <c r="Q183" s="282">
        <f>IF(OR(I183="",K183=""),"",ROUND(MAX(I183-K183,0),2))</f>
        <v/>
      </c>
      <c r="R183" s="273">
        <f>IF(OR(Q183="",C183="",NOT(ISNUMBER($Z$5))),"",ROUND(Q183*C183*$Z$5,2))</f>
        <v/>
      </c>
      <c r="S183" s="296" t="n"/>
      <c r="T183" s="297" t="n"/>
      <c r="U183" s="284">
        <f>IF(A183="","",IF(AND(G183&lt;&gt;"",E183&lt;&gt;"",G183&gt;E183),"ALERTA: REM_C2&gt;REM_C1",IF(AND(I183&lt;&gt;"",G183&lt;&gt;"",I183&gt;G183),"ALERTA: REM_C3&gt;REM_C2",IF(AND(K183&lt;&gt;"",I183&lt;&gt;"",K183&gt;I183),"ALERTA: REM_C4&gt;REM_C3","OK"))))</f>
        <v/>
      </c>
      <c r="V183" s="284">
        <f>IF(A183="","",IF(B183="","",IF(OR(B183&lt;0,E183&gt;B183,G183&gt;B183,I183&gt;B183,K183&gt;B183),"ALERTA: QTD_INVALIDA","OK")))</f>
        <v/>
      </c>
      <c r="W183" s="27" t="n"/>
      <c r="X183" s="27" t="n"/>
      <c r="Y183" s="27" t="n"/>
      <c r="Z183" s="27" t="n"/>
      <c r="AA183" s="27" t="n"/>
      <c r="AB183" s="282">
        <f>IF(OR(A183="",E183=""),"",ROUND(B183-E183,2))</f>
        <v/>
      </c>
      <c r="AC183" s="273">
        <f>IF(OR(A183="",E183=""),"",ROUND(D183-E183*C183,2))</f>
        <v/>
      </c>
      <c r="AD183" s="27" t="n"/>
    </row>
    <row r="184">
      <c r="A184" s="278" t="n"/>
      <c r="B184" s="279" t="n"/>
      <c r="C184" s="280" t="n"/>
      <c r="D184" s="273">
        <f>IF(OR(A184="",B184="",C184=""),"",ROUND(B184*C184,2))</f>
        <v/>
      </c>
      <c r="E184" s="281" t="n"/>
      <c r="F184" s="273">
        <f>IF(OR(A184="",E184="",C184="",NOT(ISNUMBER($Z$3))),"",ROUND(E184*C184*$Z$3,2))</f>
        <v/>
      </c>
      <c r="G184" s="281" t="n"/>
      <c r="H184" s="273">
        <f>IF(OR(A184="",G184="",C184="",NOT(ISNUMBER($Z$4))),"",ROUND(G184*C184*$Z$4,2))</f>
        <v/>
      </c>
      <c r="I184" s="281" t="n"/>
      <c r="J184" s="273">
        <f>IF(OR(A184="",I184="",C184="",NOT(ISNUMBER($Z$5))),"",ROUND(I184*C184*$Z$5,2))</f>
        <v/>
      </c>
      <c r="K184" s="281" t="n"/>
      <c r="L184" s="273">
        <f>IF(OR(A184="",K184="",C184="",NOT(ISNUMBER($Z$6))),"",ROUND(K184*C184*$Z$6,2))</f>
        <v/>
      </c>
      <c r="M184" s="282">
        <f>IF(OR(E184="",G184=""),"",ROUND(MAX(E184-G184,0),2))</f>
        <v/>
      </c>
      <c r="N184" s="273">
        <f>IF(OR(M184="",C184="",NOT(ISNUMBER($Z$3))),"",ROUND(M184*C184*$Z$3,2))</f>
        <v/>
      </c>
      <c r="O184" s="282">
        <f>IF(OR(G184="",I184=""),"",ROUND(MAX(G184-I184,0),2))</f>
        <v/>
      </c>
      <c r="P184" s="273">
        <f>IF(OR(O184="",C184="",NOT(ISNUMBER($Z$4))),"",ROUND(O184*C184*$Z$4,2))</f>
        <v/>
      </c>
      <c r="Q184" s="282">
        <f>IF(OR(I184="",K184=""),"",ROUND(MAX(I184-K184,0),2))</f>
        <v/>
      </c>
      <c r="R184" s="273">
        <f>IF(OR(Q184="",C184="",NOT(ISNUMBER($Z$5))),"",ROUND(Q184*C184*$Z$5,2))</f>
        <v/>
      </c>
      <c r="S184" s="296" t="n"/>
      <c r="T184" s="297" t="n"/>
      <c r="U184" s="284">
        <f>IF(A184="","",IF(AND(G184&lt;&gt;"",E184&lt;&gt;"",G184&gt;E184),"ALERTA: REM_C2&gt;REM_C1",IF(AND(I184&lt;&gt;"",G184&lt;&gt;"",I184&gt;G184),"ALERTA: REM_C3&gt;REM_C2",IF(AND(K184&lt;&gt;"",I184&lt;&gt;"",K184&gt;I184),"ALERTA: REM_C4&gt;REM_C3","OK"))))</f>
        <v/>
      </c>
      <c r="V184" s="284">
        <f>IF(A184="","",IF(B184="","",IF(OR(B184&lt;0,E184&gt;B184,G184&gt;B184,I184&gt;B184,K184&gt;B184),"ALERTA: QTD_INVALIDA","OK")))</f>
        <v/>
      </c>
      <c r="W184" s="27" t="n"/>
      <c r="X184" s="27" t="n"/>
      <c r="Y184" s="27" t="n"/>
      <c r="Z184" s="27" t="n"/>
      <c r="AA184" s="27" t="n"/>
      <c r="AB184" s="282">
        <f>IF(OR(A184="",E184=""),"",ROUND(B184-E184,2))</f>
        <v/>
      </c>
      <c r="AC184" s="273">
        <f>IF(OR(A184="",E184=""),"",ROUND(D184-E184*C184,2))</f>
        <v/>
      </c>
      <c r="AD184" s="27" t="n"/>
    </row>
    <row r="185">
      <c r="A185" s="278" t="n"/>
      <c r="B185" s="279" t="n"/>
      <c r="C185" s="280" t="n"/>
      <c r="D185" s="273">
        <f>IF(OR(A185="",B185="",C185=""),"",ROUND(B185*C185,2))</f>
        <v/>
      </c>
      <c r="E185" s="281" t="n"/>
      <c r="F185" s="273">
        <f>IF(OR(A185="",E185="",C185="",NOT(ISNUMBER($Z$3))),"",ROUND(E185*C185*$Z$3,2))</f>
        <v/>
      </c>
      <c r="G185" s="281" t="n"/>
      <c r="H185" s="273">
        <f>IF(OR(A185="",G185="",C185="",NOT(ISNUMBER($Z$4))),"",ROUND(G185*C185*$Z$4,2))</f>
        <v/>
      </c>
      <c r="I185" s="281" t="n"/>
      <c r="J185" s="273">
        <f>IF(OR(A185="",I185="",C185="",NOT(ISNUMBER($Z$5))),"",ROUND(I185*C185*$Z$5,2))</f>
        <v/>
      </c>
      <c r="K185" s="281" t="n"/>
      <c r="L185" s="273">
        <f>IF(OR(A185="",K185="",C185="",NOT(ISNUMBER($Z$6))),"",ROUND(K185*C185*$Z$6,2))</f>
        <v/>
      </c>
      <c r="M185" s="282">
        <f>IF(OR(E185="",G185=""),"",ROUND(MAX(E185-G185,0),2))</f>
        <v/>
      </c>
      <c r="N185" s="273">
        <f>IF(OR(M185="",C185="",NOT(ISNUMBER($Z$3))),"",ROUND(M185*C185*$Z$3,2))</f>
        <v/>
      </c>
      <c r="O185" s="282">
        <f>IF(OR(G185="",I185=""),"",ROUND(MAX(G185-I185,0),2))</f>
        <v/>
      </c>
      <c r="P185" s="273">
        <f>IF(OR(O185="",C185="",NOT(ISNUMBER($Z$4))),"",ROUND(O185*C185*$Z$4,2))</f>
        <v/>
      </c>
      <c r="Q185" s="282">
        <f>IF(OR(I185="",K185=""),"",ROUND(MAX(I185-K185,0),2))</f>
        <v/>
      </c>
      <c r="R185" s="273">
        <f>IF(OR(Q185="",C185="",NOT(ISNUMBER($Z$5))),"",ROUND(Q185*C185*$Z$5,2))</f>
        <v/>
      </c>
      <c r="S185" s="296" t="n"/>
      <c r="T185" s="297" t="n"/>
      <c r="U185" s="284">
        <f>IF(A185="","",IF(AND(G185&lt;&gt;"",E185&lt;&gt;"",G185&gt;E185),"ALERTA: REM_C2&gt;REM_C1",IF(AND(I185&lt;&gt;"",G185&lt;&gt;"",I185&gt;G185),"ALERTA: REM_C3&gt;REM_C2",IF(AND(K185&lt;&gt;"",I185&lt;&gt;"",K185&gt;I185),"ALERTA: REM_C4&gt;REM_C3","OK"))))</f>
        <v/>
      </c>
      <c r="V185" s="284">
        <f>IF(A185="","",IF(B185="","",IF(OR(B185&lt;0,E185&gt;B185,G185&gt;B185,I185&gt;B185,K185&gt;B185),"ALERTA: QTD_INVALIDA","OK")))</f>
        <v/>
      </c>
      <c r="W185" s="27" t="n"/>
      <c r="X185" s="27" t="n"/>
      <c r="Y185" s="27" t="n"/>
      <c r="Z185" s="27" t="n"/>
      <c r="AA185" s="27" t="n"/>
      <c r="AB185" s="282">
        <f>IF(OR(A185="",E185=""),"",ROUND(B185-E185,2))</f>
        <v/>
      </c>
      <c r="AC185" s="273">
        <f>IF(OR(A185="",E185=""),"",ROUND(D185-E185*C185,2))</f>
        <v/>
      </c>
      <c r="AD185" s="27" t="n"/>
    </row>
    <row r="186">
      <c r="A186" s="278" t="n"/>
      <c r="B186" s="279" t="n"/>
      <c r="C186" s="280" t="n"/>
      <c r="D186" s="273">
        <f>IF(OR(A186="",B186="",C186=""),"",ROUND(B186*C186,2))</f>
        <v/>
      </c>
      <c r="E186" s="281" t="n"/>
      <c r="F186" s="273">
        <f>IF(OR(A186="",E186="",C186="",NOT(ISNUMBER($Z$3))),"",ROUND(E186*C186*$Z$3,2))</f>
        <v/>
      </c>
      <c r="G186" s="281" t="n"/>
      <c r="H186" s="273">
        <f>IF(OR(A186="",G186="",C186="",NOT(ISNUMBER($Z$4))),"",ROUND(G186*C186*$Z$4,2))</f>
        <v/>
      </c>
      <c r="I186" s="281" t="n"/>
      <c r="J186" s="273">
        <f>IF(OR(A186="",I186="",C186="",NOT(ISNUMBER($Z$5))),"",ROUND(I186*C186*$Z$5,2))</f>
        <v/>
      </c>
      <c r="K186" s="281" t="n"/>
      <c r="L186" s="273">
        <f>IF(OR(A186="",K186="",C186="",NOT(ISNUMBER($Z$6))),"",ROUND(K186*C186*$Z$6,2))</f>
        <v/>
      </c>
      <c r="M186" s="282">
        <f>IF(OR(E186="",G186=""),"",ROUND(MAX(E186-G186,0),2))</f>
        <v/>
      </c>
      <c r="N186" s="273">
        <f>IF(OR(M186="",C186="",NOT(ISNUMBER($Z$3))),"",ROUND(M186*C186*$Z$3,2))</f>
        <v/>
      </c>
      <c r="O186" s="282">
        <f>IF(OR(G186="",I186=""),"",ROUND(MAX(G186-I186,0),2))</f>
        <v/>
      </c>
      <c r="P186" s="273">
        <f>IF(OR(O186="",C186="",NOT(ISNUMBER($Z$4))),"",ROUND(O186*C186*$Z$4,2))</f>
        <v/>
      </c>
      <c r="Q186" s="282">
        <f>IF(OR(I186="",K186=""),"",ROUND(MAX(I186-K186,0),2))</f>
        <v/>
      </c>
      <c r="R186" s="273">
        <f>IF(OR(Q186="",C186="",NOT(ISNUMBER($Z$5))),"",ROUND(Q186*C186*$Z$5,2))</f>
        <v/>
      </c>
      <c r="S186" s="296" t="n"/>
      <c r="T186" s="297" t="n"/>
      <c r="U186" s="284">
        <f>IF(A186="","",IF(AND(G186&lt;&gt;"",E186&lt;&gt;"",G186&gt;E186),"ALERTA: REM_C2&gt;REM_C1",IF(AND(I186&lt;&gt;"",G186&lt;&gt;"",I186&gt;G186),"ALERTA: REM_C3&gt;REM_C2",IF(AND(K186&lt;&gt;"",I186&lt;&gt;"",K186&gt;I186),"ALERTA: REM_C4&gt;REM_C3","OK"))))</f>
        <v/>
      </c>
      <c r="V186" s="284">
        <f>IF(A186="","",IF(B186="","",IF(OR(B186&lt;0,E186&gt;B186,G186&gt;B186,I186&gt;B186,K186&gt;B186),"ALERTA: QTD_INVALIDA","OK")))</f>
        <v/>
      </c>
      <c r="W186" s="27" t="n"/>
      <c r="X186" s="27" t="n"/>
      <c r="Y186" s="27" t="n"/>
      <c r="Z186" s="27" t="n"/>
      <c r="AA186" s="27" t="n"/>
      <c r="AB186" s="282">
        <f>IF(OR(A186="",E186=""),"",ROUND(B186-E186,2))</f>
        <v/>
      </c>
      <c r="AC186" s="273">
        <f>IF(OR(A186="",E186=""),"",ROUND(D186-E186*C186,2))</f>
        <v/>
      </c>
      <c r="AD186" s="27" t="n"/>
    </row>
    <row r="187">
      <c r="A187" s="278" t="n"/>
      <c r="B187" s="279" t="n"/>
      <c r="C187" s="280" t="n"/>
      <c r="D187" s="273">
        <f>IF(OR(A187="",B187="",C187=""),"",ROUND(B187*C187,2))</f>
        <v/>
      </c>
      <c r="E187" s="281" t="n"/>
      <c r="F187" s="273">
        <f>IF(OR(A187="",E187="",C187="",NOT(ISNUMBER($Z$3))),"",ROUND(E187*C187*$Z$3,2))</f>
        <v/>
      </c>
      <c r="G187" s="281" t="n"/>
      <c r="H187" s="273">
        <f>IF(OR(A187="",G187="",C187="",NOT(ISNUMBER($Z$4))),"",ROUND(G187*C187*$Z$4,2))</f>
        <v/>
      </c>
      <c r="I187" s="281" t="n"/>
      <c r="J187" s="273">
        <f>IF(OR(A187="",I187="",C187="",NOT(ISNUMBER($Z$5))),"",ROUND(I187*C187*$Z$5,2))</f>
        <v/>
      </c>
      <c r="K187" s="281" t="n"/>
      <c r="L187" s="273">
        <f>IF(OR(A187="",K187="",C187="",NOT(ISNUMBER($Z$6))),"",ROUND(K187*C187*$Z$6,2))</f>
        <v/>
      </c>
      <c r="M187" s="282">
        <f>IF(OR(E187="",G187=""),"",ROUND(MAX(E187-G187,0),2))</f>
        <v/>
      </c>
      <c r="N187" s="273">
        <f>IF(OR(M187="",C187="",NOT(ISNUMBER($Z$3))),"",ROUND(M187*C187*$Z$3,2))</f>
        <v/>
      </c>
      <c r="O187" s="282">
        <f>IF(OR(G187="",I187=""),"",ROUND(MAX(G187-I187,0),2))</f>
        <v/>
      </c>
      <c r="P187" s="273">
        <f>IF(OR(O187="",C187="",NOT(ISNUMBER($Z$4))),"",ROUND(O187*C187*$Z$4,2))</f>
        <v/>
      </c>
      <c r="Q187" s="282">
        <f>IF(OR(I187="",K187=""),"",ROUND(MAX(I187-K187,0),2))</f>
        <v/>
      </c>
      <c r="R187" s="273">
        <f>IF(OR(Q187="",C187="",NOT(ISNUMBER($Z$5))),"",ROUND(Q187*C187*$Z$5,2))</f>
        <v/>
      </c>
      <c r="S187" s="296" t="n"/>
      <c r="T187" s="297" t="n"/>
      <c r="U187" s="284">
        <f>IF(A187="","",IF(AND(G187&lt;&gt;"",E187&lt;&gt;"",G187&gt;E187),"ALERTA: REM_C2&gt;REM_C1",IF(AND(I187&lt;&gt;"",G187&lt;&gt;"",I187&gt;G187),"ALERTA: REM_C3&gt;REM_C2",IF(AND(K187&lt;&gt;"",I187&lt;&gt;"",K187&gt;I187),"ALERTA: REM_C4&gt;REM_C3","OK"))))</f>
        <v/>
      </c>
      <c r="V187" s="284">
        <f>IF(A187="","",IF(B187="","",IF(OR(B187&lt;0,E187&gt;B187,G187&gt;B187,I187&gt;B187,K187&gt;B187),"ALERTA: QTD_INVALIDA","OK")))</f>
        <v/>
      </c>
      <c r="W187" s="27" t="n"/>
      <c r="X187" s="27" t="n"/>
      <c r="Y187" s="27" t="n"/>
      <c r="Z187" s="27" t="n"/>
      <c r="AA187" s="27" t="n"/>
      <c r="AB187" s="282">
        <f>IF(OR(A187="",E187=""),"",ROUND(B187-E187,2))</f>
        <v/>
      </c>
      <c r="AC187" s="273">
        <f>IF(OR(A187="",E187=""),"",ROUND(D187-E187*C187,2))</f>
        <v/>
      </c>
      <c r="AD187" s="27" t="n"/>
    </row>
    <row r="188">
      <c r="A188" s="278" t="n"/>
      <c r="B188" s="279" t="n"/>
      <c r="C188" s="280" t="n"/>
      <c r="D188" s="273">
        <f>IF(OR(A188="",B188="",C188=""),"",ROUND(B188*C188,2))</f>
        <v/>
      </c>
      <c r="E188" s="281" t="n"/>
      <c r="F188" s="273">
        <f>IF(OR(A188="",E188="",C188="",NOT(ISNUMBER($Z$3))),"",ROUND(E188*C188*$Z$3,2))</f>
        <v/>
      </c>
      <c r="G188" s="281" t="n"/>
      <c r="H188" s="273">
        <f>IF(OR(A188="",G188="",C188="",NOT(ISNUMBER($Z$4))),"",ROUND(G188*C188*$Z$4,2))</f>
        <v/>
      </c>
      <c r="I188" s="281" t="n"/>
      <c r="J188" s="273">
        <f>IF(OR(A188="",I188="",C188="",NOT(ISNUMBER($Z$5))),"",ROUND(I188*C188*$Z$5,2))</f>
        <v/>
      </c>
      <c r="K188" s="281" t="n"/>
      <c r="L188" s="273">
        <f>IF(OR(A188="",K188="",C188="",NOT(ISNUMBER($Z$6))),"",ROUND(K188*C188*$Z$6,2))</f>
        <v/>
      </c>
      <c r="M188" s="282">
        <f>IF(OR(E188="",G188=""),"",ROUND(MAX(E188-G188,0),2))</f>
        <v/>
      </c>
      <c r="N188" s="273">
        <f>IF(OR(M188="",C188="",NOT(ISNUMBER($Z$3))),"",ROUND(M188*C188*$Z$3,2))</f>
        <v/>
      </c>
      <c r="O188" s="282">
        <f>IF(OR(G188="",I188=""),"",ROUND(MAX(G188-I188,0),2))</f>
        <v/>
      </c>
      <c r="P188" s="273">
        <f>IF(OR(O188="",C188="",NOT(ISNUMBER($Z$4))),"",ROUND(O188*C188*$Z$4,2))</f>
        <v/>
      </c>
      <c r="Q188" s="282">
        <f>IF(OR(I188="",K188=""),"",ROUND(MAX(I188-K188,0),2))</f>
        <v/>
      </c>
      <c r="R188" s="273">
        <f>IF(OR(Q188="",C188="",NOT(ISNUMBER($Z$5))),"",ROUND(Q188*C188*$Z$5,2))</f>
        <v/>
      </c>
      <c r="S188" s="296" t="n"/>
      <c r="T188" s="297" t="n"/>
      <c r="U188" s="284">
        <f>IF(A188="","",IF(AND(G188&lt;&gt;"",E188&lt;&gt;"",G188&gt;E188),"ALERTA: REM_C2&gt;REM_C1",IF(AND(I188&lt;&gt;"",G188&lt;&gt;"",I188&gt;G188),"ALERTA: REM_C3&gt;REM_C2",IF(AND(K188&lt;&gt;"",I188&lt;&gt;"",K188&gt;I188),"ALERTA: REM_C4&gt;REM_C3","OK"))))</f>
        <v/>
      </c>
      <c r="V188" s="284">
        <f>IF(A188="","",IF(B188="","",IF(OR(B188&lt;0,E188&gt;B188,G188&gt;B188,I188&gt;B188,K188&gt;B188),"ALERTA: QTD_INVALIDA","OK")))</f>
        <v/>
      </c>
      <c r="W188" s="27" t="n"/>
      <c r="X188" s="27" t="n"/>
      <c r="Y188" s="27" t="n"/>
      <c r="Z188" s="27" t="n"/>
      <c r="AA188" s="27" t="n"/>
      <c r="AB188" s="282">
        <f>IF(OR(A188="",E188=""),"",ROUND(B188-E188,2))</f>
        <v/>
      </c>
      <c r="AC188" s="273">
        <f>IF(OR(A188="",E188=""),"",ROUND(D188-E188*C188,2))</f>
        <v/>
      </c>
      <c r="AD188" s="27" t="n"/>
    </row>
    <row r="189">
      <c r="A189" s="278" t="n"/>
      <c r="B189" s="279" t="n"/>
      <c r="C189" s="280" t="n"/>
      <c r="D189" s="273">
        <f>IF(OR(A189="",B189="",C189=""),"",ROUND(B189*C189,2))</f>
        <v/>
      </c>
      <c r="E189" s="281" t="n"/>
      <c r="F189" s="273">
        <f>IF(OR(A189="",E189="",C189="",NOT(ISNUMBER($Z$3))),"",ROUND(E189*C189*$Z$3,2))</f>
        <v/>
      </c>
      <c r="G189" s="281" t="n"/>
      <c r="H189" s="273">
        <f>IF(OR(A189="",G189="",C189="",NOT(ISNUMBER($Z$4))),"",ROUND(G189*C189*$Z$4,2))</f>
        <v/>
      </c>
      <c r="I189" s="281" t="n"/>
      <c r="J189" s="273">
        <f>IF(OR(A189="",I189="",C189="",NOT(ISNUMBER($Z$5))),"",ROUND(I189*C189*$Z$5,2))</f>
        <v/>
      </c>
      <c r="K189" s="281" t="n"/>
      <c r="L189" s="273">
        <f>IF(OR(A189="",K189="",C189="",NOT(ISNUMBER($Z$6))),"",ROUND(K189*C189*$Z$6,2))</f>
        <v/>
      </c>
      <c r="M189" s="282">
        <f>IF(OR(E189="",G189=""),"",ROUND(MAX(E189-G189,0),2))</f>
        <v/>
      </c>
      <c r="N189" s="273">
        <f>IF(OR(M189="",C189="",NOT(ISNUMBER($Z$3))),"",ROUND(M189*C189*$Z$3,2))</f>
        <v/>
      </c>
      <c r="O189" s="282">
        <f>IF(OR(G189="",I189=""),"",ROUND(MAX(G189-I189,0),2))</f>
        <v/>
      </c>
      <c r="P189" s="273">
        <f>IF(OR(O189="",C189="",NOT(ISNUMBER($Z$4))),"",ROUND(O189*C189*$Z$4,2))</f>
        <v/>
      </c>
      <c r="Q189" s="282">
        <f>IF(OR(I189="",K189=""),"",ROUND(MAX(I189-K189,0),2))</f>
        <v/>
      </c>
      <c r="R189" s="273">
        <f>IF(OR(Q189="",C189="",NOT(ISNUMBER($Z$5))),"",ROUND(Q189*C189*$Z$5,2))</f>
        <v/>
      </c>
      <c r="S189" s="296" t="n"/>
      <c r="T189" s="297" t="n"/>
      <c r="U189" s="284">
        <f>IF(A189="","",IF(AND(G189&lt;&gt;"",E189&lt;&gt;"",G189&gt;E189),"ALERTA: REM_C2&gt;REM_C1",IF(AND(I189&lt;&gt;"",G189&lt;&gt;"",I189&gt;G189),"ALERTA: REM_C3&gt;REM_C2",IF(AND(K189&lt;&gt;"",I189&lt;&gt;"",K189&gt;I189),"ALERTA: REM_C4&gt;REM_C3","OK"))))</f>
        <v/>
      </c>
      <c r="V189" s="284">
        <f>IF(A189="","",IF(B189="","",IF(OR(B189&lt;0,E189&gt;B189,G189&gt;B189,I189&gt;B189,K189&gt;B189),"ALERTA: QTD_INVALIDA","OK")))</f>
        <v/>
      </c>
      <c r="W189" s="27" t="n"/>
      <c r="X189" s="27" t="n"/>
      <c r="Y189" s="27" t="n"/>
      <c r="Z189" s="27" t="n"/>
      <c r="AA189" s="27" t="n"/>
      <c r="AB189" s="282">
        <f>IF(OR(A189="",E189=""),"",ROUND(B189-E189,2))</f>
        <v/>
      </c>
      <c r="AC189" s="273">
        <f>IF(OR(A189="",E189=""),"",ROUND(D189-E189*C189,2))</f>
        <v/>
      </c>
      <c r="AD189" s="27" t="n"/>
    </row>
    <row r="190">
      <c r="A190" s="278" t="n"/>
      <c r="B190" s="279" t="n"/>
      <c r="C190" s="280" t="n"/>
      <c r="D190" s="273">
        <f>IF(OR(A190="",B190="",C190=""),"",ROUND(B190*C190,2))</f>
        <v/>
      </c>
      <c r="E190" s="281" t="n"/>
      <c r="F190" s="273">
        <f>IF(OR(A190="",E190="",C190="",NOT(ISNUMBER($Z$3))),"",ROUND(E190*C190*$Z$3,2))</f>
        <v/>
      </c>
      <c r="G190" s="281" t="n"/>
      <c r="H190" s="273">
        <f>IF(OR(A190="",G190="",C190="",NOT(ISNUMBER($Z$4))),"",ROUND(G190*C190*$Z$4,2))</f>
        <v/>
      </c>
      <c r="I190" s="281" t="n"/>
      <c r="J190" s="273">
        <f>IF(OR(A190="",I190="",C190="",NOT(ISNUMBER($Z$5))),"",ROUND(I190*C190*$Z$5,2))</f>
        <v/>
      </c>
      <c r="K190" s="281" t="n"/>
      <c r="L190" s="273">
        <f>IF(OR(A190="",K190="",C190="",NOT(ISNUMBER($Z$6))),"",ROUND(K190*C190*$Z$6,2))</f>
        <v/>
      </c>
      <c r="M190" s="282">
        <f>IF(OR(E190="",G190=""),"",ROUND(MAX(E190-G190,0),2))</f>
        <v/>
      </c>
      <c r="N190" s="273">
        <f>IF(OR(M190="",C190="",NOT(ISNUMBER($Z$3))),"",ROUND(M190*C190*$Z$3,2))</f>
        <v/>
      </c>
      <c r="O190" s="282">
        <f>IF(OR(G190="",I190=""),"",ROUND(MAX(G190-I190,0),2))</f>
        <v/>
      </c>
      <c r="P190" s="273">
        <f>IF(OR(O190="",C190="",NOT(ISNUMBER($Z$4))),"",ROUND(O190*C190*$Z$4,2))</f>
        <v/>
      </c>
      <c r="Q190" s="282">
        <f>IF(OR(I190="",K190=""),"",ROUND(MAX(I190-K190,0),2))</f>
        <v/>
      </c>
      <c r="R190" s="273">
        <f>IF(OR(Q190="",C190="",NOT(ISNUMBER($Z$5))),"",ROUND(Q190*C190*$Z$5,2))</f>
        <v/>
      </c>
      <c r="S190" s="296" t="n"/>
      <c r="T190" s="297" t="n"/>
      <c r="U190" s="284">
        <f>IF(A190="","",IF(AND(G190&lt;&gt;"",E190&lt;&gt;"",G190&gt;E190),"ALERTA: REM_C2&gt;REM_C1",IF(AND(I190&lt;&gt;"",G190&lt;&gt;"",I190&gt;G190),"ALERTA: REM_C3&gt;REM_C2",IF(AND(K190&lt;&gt;"",I190&lt;&gt;"",K190&gt;I190),"ALERTA: REM_C4&gt;REM_C3","OK"))))</f>
        <v/>
      </c>
      <c r="V190" s="284">
        <f>IF(A190="","",IF(B190="","",IF(OR(B190&lt;0,E190&gt;B190,G190&gt;B190,I190&gt;B190,K190&gt;B190),"ALERTA: QTD_INVALIDA","OK")))</f>
        <v/>
      </c>
      <c r="W190" s="27" t="n"/>
      <c r="X190" s="27" t="n"/>
      <c r="Y190" s="27" t="n"/>
      <c r="Z190" s="27" t="n"/>
      <c r="AA190" s="27" t="n"/>
      <c r="AB190" s="282">
        <f>IF(OR(A190="",E190=""),"",ROUND(B190-E190,2))</f>
        <v/>
      </c>
      <c r="AC190" s="273">
        <f>IF(OR(A190="",E190=""),"",ROUND(D190-E190*C190,2))</f>
        <v/>
      </c>
      <c r="AD190" s="27" t="n"/>
    </row>
    <row r="191">
      <c r="A191" s="278" t="n"/>
      <c r="B191" s="279" t="n"/>
      <c r="C191" s="280" t="n"/>
      <c r="D191" s="273">
        <f>IF(OR(A191="",B191="",C191=""),"",ROUND(B191*C191,2))</f>
        <v/>
      </c>
      <c r="E191" s="281" t="n"/>
      <c r="F191" s="273">
        <f>IF(OR(A191="",E191="",C191="",NOT(ISNUMBER($Z$3))),"",ROUND(E191*C191*$Z$3,2))</f>
        <v/>
      </c>
      <c r="G191" s="281" t="n"/>
      <c r="H191" s="273">
        <f>IF(OR(A191="",G191="",C191="",NOT(ISNUMBER($Z$4))),"",ROUND(G191*C191*$Z$4,2))</f>
        <v/>
      </c>
      <c r="I191" s="281" t="n"/>
      <c r="J191" s="273">
        <f>IF(OR(A191="",I191="",C191="",NOT(ISNUMBER($Z$5))),"",ROUND(I191*C191*$Z$5,2))</f>
        <v/>
      </c>
      <c r="K191" s="281" t="n"/>
      <c r="L191" s="273">
        <f>IF(OR(A191="",K191="",C191="",NOT(ISNUMBER($Z$6))),"",ROUND(K191*C191*$Z$6,2))</f>
        <v/>
      </c>
      <c r="M191" s="282">
        <f>IF(OR(E191="",G191=""),"",ROUND(MAX(E191-G191,0),2))</f>
        <v/>
      </c>
      <c r="N191" s="273">
        <f>IF(OR(M191="",C191="",NOT(ISNUMBER($Z$3))),"",ROUND(M191*C191*$Z$3,2))</f>
        <v/>
      </c>
      <c r="O191" s="282">
        <f>IF(OR(G191="",I191=""),"",ROUND(MAX(G191-I191,0),2))</f>
        <v/>
      </c>
      <c r="P191" s="273">
        <f>IF(OR(O191="",C191="",NOT(ISNUMBER($Z$4))),"",ROUND(O191*C191*$Z$4,2))</f>
        <v/>
      </c>
      <c r="Q191" s="282">
        <f>IF(OR(I191="",K191=""),"",ROUND(MAX(I191-K191,0),2))</f>
        <v/>
      </c>
      <c r="R191" s="273">
        <f>IF(OR(Q191="",C191="",NOT(ISNUMBER($Z$5))),"",ROUND(Q191*C191*$Z$5,2))</f>
        <v/>
      </c>
      <c r="S191" s="296" t="n"/>
      <c r="T191" s="297" t="n"/>
      <c r="U191" s="284">
        <f>IF(A191="","",IF(AND(G191&lt;&gt;"",E191&lt;&gt;"",G191&gt;E191),"ALERTA: REM_C2&gt;REM_C1",IF(AND(I191&lt;&gt;"",G191&lt;&gt;"",I191&gt;G191),"ALERTA: REM_C3&gt;REM_C2",IF(AND(K191&lt;&gt;"",I191&lt;&gt;"",K191&gt;I191),"ALERTA: REM_C4&gt;REM_C3","OK"))))</f>
        <v/>
      </c>
      <c r="V191" s="284">
        <f>IF(A191="","",IF(B191="","",IF(OR(B191&lt;0,E191&gt;B191,G191&gt;B191,I191&gt;B191,K191&gt;B191),"ALERTA: QTD_INVALIDA","OK")))</f>
        <v/>
      </c>
      <c r="W191" s="27" t="n"/>
      <c r="X191" s="27" t="n"/>
      <c r="Y191" s="27" t="n"/>
      <c r="Z191" s="27" t="n"/>
      <c r="AA191" s="27" t="n"/>
      <c r="AB191" s="282">
        <f>IF(OR(A191="",E191=""),"",ROUND(B191-E191,2))</f>
        <v/>
      </c>
      <c r="AC191" s="273">
        <f>IF(OR(A191="",E191=""),"",ROUND(D191-E191*C191,2))</f>
        <v/>
      </c>
      <c r="AD191" s="27" t="n"/>
    </row>
    <row r="192">
      <c r="A192" s="278" t="n"/>
      <c r="B192" s="279" t="n"/>
      <c r="C192" s="280" t="n"/>
      <c r="D192" s="273">
        <f>IF(OR(A192="",B192="",C192=""),"",ROUND(B192*C192,2))</f>
        <v/>
      </c>
      <c r="E192" s="281" t="n"/>
      <c r="F192" s="273">
        <f>IF(OR(A192="",E192="",C192="",NOT(ISNUMBER($Z$3))),"",ROUND(E192*C192*$Z$3,2))</f>
        <v/>
      </c>
      <c r="G192" s="281" t="n"/>
      <c r="H192" s="273">
        <f>IF(OR(A192="",G192="",C192="",NOT(ISNUMBER($Z$4))),"",ROUND(G192*C192*$Z$4,2))</f>
        <v/>
      </c>
      <c r="I192" s="281" t="n"/>
      <c r="J192" s="273">
        <f>IF(OR(A192="",I192="",C192="",NOT(ISNUMBER($Z$5))),"",ROUND(I192*C192*$Z$5,2))</f>
        <v/>
      </c>
      <c r="K192" s="281" t="n"/>
      <c r="L192" s="273">
        <f>IF(OR(A192="",K192="",C192="",NOT(ISNUMBER($Z$6))),"",ROUND(K192*C192*$Z$6,2))</f>
        <v/>
      </c>
      <c r="M192" s="282">
        <f>IF(OR(E192="",G192=""),"",ROUND(MAX(E192-G192,0),2))</f>
        <v/>
      </c>
      <c r="N192" s="273">
        <f>IF(OR(M192="",C192="",NOT(ISNUMBER($Z$3))),"",ROUND(M192*C192*$Z$3,2))</f>
        <v/>
      </c>
      <c r="O192" s="282">
        <f>IF(OR(G192="",I192=""),"",ROUND(MAX(G192-I192,0),2))</f>
        <v/>
      </c>
      <c r="P192" s="273">
        <f>IF(OR(O192="",C192="",NOT(ISNUMBER($Z$4))),"",ROUND(O192*C192*$Z$4,2))</f>
        <v/>
      </c>
      <c r="Q192" s="282">
        <f>IF(OR(I192="",K192=""),"",ROUND(MAX(I192-K192,0),2))</f>
        <v/>
      </c>
      <c r="R192" s="273">
        <f>IF(OR(Q192="",C192="",NOT(ISNUMBER($Z$5))),"",ROUND(Q192*C192*$Z$5,2))</f>
        <v/>
      </c>
      <c r="S192" s="296" t="n"/>
      <c r="T192" s="297" t="n"/>
      <c r="U192" s="284">
        <f>IF(A192="","",IF(AND(G192&lt;&gt;"",E192&lt;&gt;"",G192&gt;E192),"ALERTA: REM_C2&gt;REM_C1",IF(AND(I192&lt;&gt;"",G192&lt;&gt;"",I192&gt;G192),"ALERTA: REM_C3&gt;REM_C2",IF(AND(K192&lt;&gt;"",I192&lt;&gt;"",K192&gt;I192),"ALERTA: REM_C4&gt;REM_C3","OK"))))</f>
        <v/>
      </c>
      <c r="V192" s="284">
        <f>IF(A192="","",IF(B192="","",IF(OR(B192&lt;0,E192&gt;B192,G192&gt;B192,I192&gt;B192,K192&gt;B192),"ALERTA: QTD_INVALIDA","OK")))</f>
        <v/>
      </c>
      <c r="W192" s="27" t="n"/>
      <c r="X192" s="27" t="n"/>
      <c r="Y192" s="27" t="n"/>
      <c r="Z192" s="27" t="n"/>
      <c r="AA192" s="27" t="n"/>
      <c r="AB192" s="282">
        <f>IF(OR(A192="",E192=""),"",ROUND(B192-E192,2))</f>
        <v/>
      </c>
      <c r="AC192" s="273">
        <f>IF(OR(A192="",E192=""),"",ROUND(D192-E192*C192,2))</f>
        <v/>
      </c>
      <c r="AD192" s="27" t="n"/>
    </row>
    <row r="193">
      <c r="A193" s="278" t="n"/>
      <c r="B193" s="279" t="n"/>
      <c r="C193" s="280" t="n"/>
      <c r="D193" s="273">
        <f>IF(OR(A193="",B193="",C193=""),"",ROUND(B193*C193,2))</f>
        <v/>
      </c>
      <c r="E193" s="281" t="n"/>
      <c r="F193" s="273">
        <f>IF(OR(A193="",E193="",C193="",NOT(ISNUMBER($Z$3))),"",ROUND(E193*C193*$Z$3,2))</f>
        <v/>
      </c>
      <c r="G193" s="281" t="n"/>
      <c r="H193" s="273">
        <f>IF(OR(A193="",G193="",C193="",NOT(ISNUMBER($Z$4))),"",ROUND(G193*C193*$Z$4,2))</f>
        <v/>
      </c>
      <c r="I193" s="281" t="n"/>
      <c r="J193" s="273">
        <f>IF(OR(A193="",I193="",C193="",NOT(ISNUMBER($Z$5))),"",ROUND(I193*C193*$Z$5,2))</f>
        <v/>
      </c>
      <c r="K193" s="281" t="n"/>
      <c r="L193" s="273">
        <f>IF(OR(A193="",K193="",C193="",NOT(ISNUMBER($Z$6))),"",ROUND(K193*C193*$Z$6,2))</f>
        <v/>
      </c>
      <c r="M193" s="282">
        <f>IF(OR(E193="",G193=""),"",ROUND(MAX(E193-G193,0),2))</f>
        <v/>
      </c>
      <c r="N193" s="273">
        <f>IF(OR(M193="",C193="",NOT(ISNUMBER($Z$3))),"",ROUND(M193*C193*$Z$3,2))</f>
        <v/>
      </c>
      <c r="O193" s="282">
        <f>IF(OR(G193="",I193=""),"",ROUND(MAX(G193-I193,0),2))</f>
        <v/>
      </c>
      <c r="P193" s="273">
        <f>IF(OR(O193="",C193="",NOT(ISNUMBER($Z$4))),"",ROUND(O193*C193*$Z$4,2))</f>
        <v/>
      </c>
      <c r="Q193" s="282">
        <f>IF(OR(I193="",K193=""),"",ROUND(MAX(I193-K193,0),2))</f>
        <v/>
      </c>
      <c r="R193" s="273">
        <f>IF(OR(Q193="",C193="",NOT(ISNUMBER($Z$5))),"",ROUND(Q193*C193*$Z$5,2))</f>
        <v/>
      </c>
      <c r="S193" s="296" t="n"/>
      <c r="T193" s="297" t="n"/>
      <c r="U193" s="284">
        <f>IF(A193="","",IF(AND(G193&lt;&gt;"",E193&lt;&gt;"",G193&gt;E193),"ALERTA: REM_C2&gt;REM_C1",IF(AND(I193&lt;&gt;"",G193&lt;&gt;"",I193&gt;G193),"ALERTA: REM_C3&gt;REM_C2",IF(AND(K193&lt;&gt;"",I193&lt;&gt;"",K193&gt;I193),"ALERTA: REM_C4&gt;REM_C3","OK"))))</f>
        <v/>
      </c>
      <c r="V193" s="284">
        <f>IF(A193="","",IF(B193="","",IF(OR(B193&lt;0,E193&gt;B193,G193&gt;B193,I193&gt;B193,K193&gt;B193),"ALERTA: QTD_INVALIDA","OK")))</f>
        <v/>
      </c>
      <c r="W193" s="27" t="n"/>
      <c r="X193" s="27" t="n"/>
      <c r="Y193" s="27" t="n"/>
      <c r="Z193" s="27" t="n"/>
      <c r="AA193" s="27" t="n"/>
      <c r="AB193" s="282">
        <f>IF(OR(A193="",E193=""),"",ROUND(B193-E193,2))</f>
        <v/>
      </c>
      <c r="AC193" s="273">
        <f>IF(OR(A193="",E193=""),"",ROUND(D193-E193*C193,2))</f>
        <v/>
      </c>
      <c r="AD193" s="27" t="n"/>
    </row>
    <row r="194">
      <c r="A194" s="278" t="n"/>
      <c r="B194" s="279" t="n"/>
      <c r="C194" s="280" t="n"/>
      <c r="D194" s="273">
        <f>IF(OR(A194="",B194="",C194=""),"",ROUND(B194*C194,2))</f>
        <v/>
      </c>
      <c r="E194" s="281" t="n"/>
      <c r="F194" s="273">
        <f>IF(OR(A194="",E194="",C194="",NOT(ISNUMBER($Z$3))),"",ROUND(E194*C194*$Z$3,2))</f>
        <v/>
      </c>
      <c r="G194" s="281" t="n"/>
      <c r="H194" s="273">
        <f>IF(OR(A194="",G194="",C194="",NOT(ISNUMBER($Z$4))),"",ROUND(G194*C194*$Z$4,2))</f>
        <v/>
      </c>
      <c r="I194" s="281" t="n"/>
      <c r="J194" s="273">
        <f>IF(OR(A194="",I194="",C194="",NOT(ISNUMBER($Z$5))),"",ROUND(I194*C194*$Z$5,2))</f>
        <v/>
      </c>
      <c r="K194" s="281" t="n"/>
      <c r="L194" s="273">
        <f>IF(OR(A194="",K194="",C194="",NOT(ISNUMBER($Z$6))),"",ROUND(K194*C194*$Z$6,2))</f>
        <v/>
      </c>
      <c r="M194" s="282">
        <f>IF(OR(E194="",G194=""),"",ROUND(MAX(E194-G194,0),2))</f>
        <v/>
      </c>
      <c r="N194" s="273">
        <f>IF(OR(M194="",C194="",NOT(ISNUMBER($Z$3))),"",ROUND(M194*C194*$Z$3,2))</f>
        <v/>
      </c>
      <c r="O194" s="282">
        <f>IF(OR(G194="",I194=""),"",ROUND(MAX(G194-I194,0),2))</f>
        <v/>
      </c>
      <c r="P194" s="273">
        <f>IF(OR(O194="",C194="",NOT(ISNUMBER($Z$4))),"",ROUND(O194*C194*$Z$4,2))</f>
        <v/>
      </c>
      <c r="Q194" s="282">
        <f>IF(OR(I194="",K194=""),"",ROUND(MAX(I194-K194,0),2))</f>
        <v/>
      </c>
      <c r="R194" s="273">
        <f>IF(OR(Q194="",C194="",NOT(ISNUMBER($Z$5))),"",ROUND(Q194*C194*$Z$5,2))</f>
        <v/>
      </c>
      <c r="S194" s="296" t="n"/>
      <c r="T194" s="297" t="n"/>
      <c r="U194" s="284">
        <f>IF(A194="","",IF(AND(G194&lt;&gt;"",E194&lt;&gt;"",G194&gt;E194),"ALERTA: REM_C2&gt;REM_C1",IF(AND(I194&lt;&gt;"",G194&lt;&gt;"",I194&gt;G194),"ALERTA: REM_C3&gt;REM_C2",IF(AND(K194&lt;&gt;"",I194&lt;&gt;"",K194&gt;I194),"ALERTA: REM_C4&gt;REM_C3","OK"))))</f>
        <v/>
      </c>
      <c r="V194" s="284">
        <f>IF(A194="","",IF(B194="","",IF(OR(B194&lt;0,E194&gt;B194,G194&gt;B194,I194&gt;B194,K194&gt;B194),"ALERTA: QTD_INVALIDA","OK")))</f>
        <v/>
      </c>
      <c r="W194" s="27" t="n"/>
      <c r="X194" s="27" t="n"/>
      <c r="Y194" s="27" t="n"/>
      <c r="Z194" s="27" t="n"/>
      <c r="AA194" s="27" t="n"/>
      <c r="AB194" s="282">
        <f>IF(OR(A194="",E194=""),"",ROUND(B194-E194,2))</f>
        <v/>
      </c>
      <c r="AC194" s="273">
        <f>IF(OR(A194="",E194=""),"",ROUND(D194-E194*C194,2))</f>
        <v/>
      </c>
      <c r="AD194" s="27" t="n"/>
    </row>
    <row r="195">
      <c r="A195" s="278" t="n"/>
      <c r="B195" s="279" t="n"/>
      <c r="C195" s="280" t="n"/>
      <c r="D195" s="273">
        <f>IF(OR(A195="",B195="",C195=""),"",ROUND(B195*C195,2))</f>
        <v/>
      </c>
      <c r="E195" s="281" t="n"/>
      <c r="F195" s="273">
        <f>IF(OR(A195="",E195="",C195="",NOT(ISNUMBER($Z$3))),"",ROUND(E195*C195*$Z$3,2))</f>
        <v/>
      </c>
      <c r="G195" s="281" t="n"/>
      <c r="H195" s="273">
        <f>IF(OR(A195="",G195="",C195="",NOT(ISNUMBER($Z$4))),"",ROUND(G195*C195*$Z$4,2))</f>
        <v/>
      </c>
      <c r="I195" s="281" t="n"/>
      <c r="J195" s="273">
        <f>IF(OR(A195="",I195="",C195="",NOT(ISNUMBER($Z$5))),"",ROUND(I195*C195*$Z$5,2))</f>
        <v/>
      </c>
      <c r="K195" s="281" t="n"/>
      <c r="L195" s="273">
        <f>IF(OR(A195="",K195="",C195="",NOT(ISNUMBER($Z$6))),"",ROUND(K195*C195*$Z$6,2))</f>
        <v/>
      </c>
      <c r="M195" s="282">
        <f>IF(OR(E195="",G195=""),"",ROUND(MAX(E195-G195,0),2))</f>
        <v/>
      </c>
      <c r="N195" s="273">
        <f>IF(OR(M195="",C195="",NOT(ISNUMBER($Z$3))),"",ROUND(M195*C195*$Z$3,2))</f>
        <v/>
      </c>
      <c r="O195" s="282">
        <f>IF(OR(G195="",I195=""),"",ROUND(MAX(G195-I195,0),2))</f>
        <v/>
      </c>
      <c r="P195" s="273">
        <f>IF(OR(O195="",C195="",NOT(ISNUMBER($Z$4))),"",ROUND(O195*C195*$Z$4,2))</f>
        <v/>
      </c>
      <c r="Q195" s="282">
        <f>IF(OR(I195="",K195=""),"",ROUND(MAX(I195-K195,0),2))</f>
        <v/>
      </c>
      <c r="R195" s="273">
        <f>IF(OR(Q195="",C195="",NOT(ISNUMBER($Z$5))),"",ROUND(Q195*C195*$Z$5,2))</f>
        <v/>
      </c>
      <c r="S195" s="296" t="n"/>
      <c r="T195" s="297" t="n"/>
      <c r="U195" s="284">
        <f>IF(A195="","",IF(AND(G195&lt;&gt;"",E195&lt;&gt;"",G195&gt;E195),"ALERTA: REM_C2&gt;REM_C1",IF(AND(I195&lt;&gt;"",G195&lt;&gt;"",I195&gt;G195),"ALERTA: REM_C3&gt;REM_C2",IF(AND(K195&lt;&gt;"",I195&lt;&gt;"",K195&gt;I195),"ALERTA: REM_C4&gt;REM_C3","OK"))))</f>
        <v/>
      </c>
      <c r="V195" s="284">
        <f>IF(A195="","",IF(B195="","",IF(OR(B195&lt;0,E195&gt;B195,G195&gt;B195,I195&gt;B195,K195&gt;B195),"ALERTA: QTD_INVALIDA","OK")))</f>
        <v/>
      </c>
      <c r="W195" s="27" t="n"/>
      <c r="X195" s="27" t="n"/>
      <c r="Y195" s="27" t="n"/>
      <c r="Z195" s="27" t="n"/>
      <c r="AA195" s="27" t="n"/>
      <c r="AB195" s="282">
        <f>IF(OR(A195="",E195=""),"",ROUND(B195-E195,2))</f>
        <v/>
      </c>
      <c r="AC195" s="273">
        <f>IF(OR(A195="",E195=""),"",ROUND(D195-E195*C195,2))</f>
        <v/>
      </c>
      <c r="AD195" s="27" t="n"/>
    </row>
    <row r="196">
      <c r="A196" s="278" t="n"/>
      <c r="B196" s="279" t="n"/>
      <c r="C196" s="280" t="n"/>
      <c r="D196" s="273">
        <f>IF(OR(A196="",B196="",C196=""),"",ROUND(B196*C196,2))</f>
        <v/>
      </c>
      <c r="E196" s="281" t="n"/>
      <c r="F196" s="273">
        <f>IF(OR(A196="",E196="",C196="",NOT(ISNUMBER($Z$3))),"",ROUND(E196*C196*$Z$3,2))</f>
        <v/>
      </c>
      <c r="G196" s="281" t="n"/>
      <c r="H196" s="273">
        <f>IF(OR(A196="",G196="",C196="",NOT(ISNUMBER($Z$4))),"",ROUND(G196*C196*$Z$4,2))</f>
        <v/>
      </c>
      <c r="I196" s="281" t="n"/>
      <c r="J196" s="273">
        <f>IF(OR(A196="",I196="",C196="",NOT(ISNUMBER($Z$5))),"",ROUND(I196*C196*$Z$5,2))</f>
        <v/>
      </c>
      <c r="K196" s="281" t="n"/>
      <c r="L196" s="273">
        <f>IF(OR(A196="",K196="",C196="",NOT(ISNUMBER($Z$6))),"",ROUND(K196*C196*$Z$6,2))</f>
        <v/>
      </c>
      <c r="M196" s="282">
        <f>IF(OR(E196="",G196=""),"",ROUND(MAX(E196-G196,0),2))</f>
        <v/>
      </c>
      <c r="N196" s="273">
        <f>IF(OR(M196="",C196="",NOT(ISNUMBER($Z$3))),"",ROUND(M196*C196*$Z$3,2))</f>
        <v/>
      </c>
      <c r="O196" s="282">
        <f>IF(OR(G196="",I196=""),"",ROUND(MAX(G196-I196,0),2))</f>
        <v/>
      </c>
      <c r="P196" s="273">
        <f>IF(OR(O196="",C196="",NOT(ISNUMBER($Z$4))),"",ROUND(O196*C196*$Z$4,2))</f>
        <v/>
      </c>
      <c r="Q196" s="282">
        <f>IF(OR(I196="",K196=""),"",ROUND(MAX(I196-K196,0),2))</f>
        <v/>
      </c>
      <c r="R196" s="273">
        <f>IF(OR(Q196="",C196="",NOT(ISNUMBER($Z$5))),"",ROUND(Q196*C196*$Z$5,2))</f>
        <v/>
      </c>
      <c r="S196" s="296" t="n"/>
      <c r="T196" s="297" t="n"/>
      <c r="U196" s="284">
        <f>IF(A196="","",IF(AND(G196&lt;&gt;"",E196&lt;&gt;"",G196&gt;E196),"ALERTA: REM_C2&gt;REM_C1",IF(AND(I196&lt;&gt;"",G196&lt;&gt;"",I196&gt;G196),"ALERTA: REM_C3&gt;REM_C2",IF(AND(K196&lt;&gt;"",I196&lt;&gt;"",K196&gt;I196),"ALERTA: REM_C4&gt;REM_C3","OK"))))</f>
        <v/>
      </c>
      <c r="V196" s="284">
        <f>IF(A196="","",IF(B196="","",IF(OR(B196&lt;0,E196&gt;B196,G196&gt;B196,I196&gt;B196,K196&gt;B196),"ALERTA: QTD_INVALIDA","OK")))</f>
        <v/>
      </c>
      <c r="W196" s="27" t="n"/>
      <c r="X196" s="27" t="n"/>
      <c r="Y196" s="27" t="n"/>
      <c r="Z196" s="27" t="n"/>
      <c r="AA196" s="27" t="n"/>
      <c r="AB196" s="282">
        <f>IF(OR(A196="",E196=""),"",ROUND(B196-E196,2))</f>
        <v/>
      </c>
      <c r="AC196" s="273">
        <f>IF(OR(A196="",E196=""),"",ROUND(D196-E196*C196,2))</f>
        <v/>
      </c>
      <c r="AD196" s="27" t="n"/>
    </row>
    <row r="197">
      <c r="A197" s="278" t="n"/>
      <c r="B197" s="279" t="n"/>
      <c r="C197" s="280" t="n"/>
      <c r="D197" s="273">
        <f>IF(OR(A197="",B197="",C197=""),"",ROUND(B197*C197,2))</f>
        <v/>
      </c>
      <c r="E197" s="281" t="n"/>
      <c r="F197" s="273">
        <f>IF(OR(A197="",E197="",C197="",NOT(ISNUMBER($Z$3))),"",ROUND(E197*C197*$Z$3,2))</f>
        <v/>
      </c>
      <c r="G197" s="281" t="n"/>
      <c r="H197" s="273">
        <f>IF(OR(A197="",G197="",C197="",NOT(ISNUMBER($Z$4))),"",ROUND(G197*C197*$Z$4,2))</f>
        <v/>
      </c>
      <c r="I197" s="281" t="n"/>
      <c r="J197" s="273">
        <f>IF(OR(A197="",I197="",C197="",NOT(ISNUMBER($Z$5))),"",ROUND(I197*C197*$Z$5,2))</f>
        <v/>
      </c>
      <c r="K197" s="281" t="n"/>
      <c r="L197" s="273">
        <f>IF(OR(A197="",K197="",C197="",NOT(ISNUMBER($Z$6))),"",ROUND(K197*C197*$Z$6,2))</f>
        <v/>
      </c>
      <c r="M197" s="282">
        <f>IF(OR(E197="",G197=""),"",ROUND(MAX(E197-G197,0),2))</f>
        <v/>
      </c>
      <c r="N197" s="273">
        <f>IF(OR(M197="",C197="",NOT(ISNUMBER($Z$3))),"",ROUND(M197*C197*$Z$3,2))</f>
        <v/>
      </c>
      <c r="O197" s="282">
        <f>IF(OR(G197="",I197=""),"",ROUND(MAX(G197-I197,0),2))</f>
        <v/>
      </c>
      <c r="P197" s="273">
        <f>IF(OR(O197="",C197="",NOT(ISNUMBER($Z$4))),"",ROUND(O197*C197*$Z$4,2))</f>
        <v/>
      </c>
      <c r="Q197" s="282">
        <f>IF(OR(I197="",K197=""),"",ROUND(MAX(I197-K197,0),2))</f>
        <v/>
      </c>
      <c r="R197" s="273">
        <f>IF(OR(Q197="",C197="",NOT(ISNUMBER($Z$5))),"",ROUND(Q197*C197*$Z$5,2))</f>
        <v/>
      </c>
      <c r="S197" s="296" t="n"/>
      <c r="T197" s="297" t="n"/>
      <c r="U197" s="284">
        <f>IF(A197="","",IF(AND(G197&lt;&gt;"",E197&lt;&gt;"",G197&gt;E197),"ALERTA: REM_C2&gt;REM_C1",IF(AND(I197&lt;&gt;"",G197&lt;&gt;"",I197&gt;G197),"ALERTA: REM_C3&gt;REM_C2",IF(AND(K197&lt;&gt;"",I197&lt;&gt;"",K197&gt;I197),"ALERTA: REM_C4&gt;REM_C3","OK"))))</f>
        <v/>
      </c>
      <c r="V197" s="284">
        <f>IF(A197="","",IF(B197="","",IF(OR(B197&lt;0,E197&gt;B197,G197&gt;B197,I197&gt;B197,K197&gt;B197),"ALERTA: QTD_INVALIDA","OK")))</f>
        <v/>
      </c>
      <c r="W197" s="27" t="n"/>
      <c r="X197" s="27" t="n"/>
      <c r="Y197" s="27" t="n"/>
      <c r="Z197" s="27" t="n"/>
      <c r="AA197" s="27" t="n"/>
      <c r="AB197" s="282">
        <f>IF(OR(A197="",E197=""),"",ROUND(B197-E197,2))</f>
        <v/>
      </c>
      <c r="AC197" s="273">
        <f>IF(OR(A197="",E197=""),"",ROUND(D197-E197*C197,2))</f>
        <v/>
      </c>
      <c r="AD197" s="27" t="n"/>
    </row>
    <row r="198">
      <c r="A198" s="278" t="n"/>
      <c r="B198" s="279" t="n"/>
      <c r="C198" s="280" t="n"/>
      <c r="D198" s="273">
        <f>IF(OR(A198="",B198="",C198=""),"",ROUND(B198*C198,2))</f>
        <v/>
      </c>
      <c r="E198" s="281" t="n"/>
      <c r="F198" s="273">
        <f>IF(OR(A198="",E198="",C198="",NOT(ISNUMBER($Z$3))),"",ROUND(E198*C198*$Z$3,2))</f>
        <v/>
      </c>
      <c r="G198" s="281" t="n"/>
      <c r="H198" s="273">
        <f>IF(OR(A198="",G198="",C198="",NOT(ISNUMBER($Z$4))),"",ROUND(G198*C198*$Z$4,2))</f>
        <v/>
      </c>
      <c r="I198" s="281" t="n"/>
      <c r="J198" s="273">
        <f>IF(OR(A198="",I198="",C198="",NOT(ISNUMBER($Z$5))),"",ROUND(I198*C198*$Z$5,2))</f>
        <v/>
      </c>
      <c r="K198" s="281" t="n"/>
      <c r="L198" s="273">
        <f>IF(OR(A198="",K198="",C198="",NOT(ISNUMBER($Z$6))),"",ROUND(K198*C198*$Z$6,2))</f>
        <v/>
      </c>
      <c r="M198" s="282">
        <f>IF(OR(E198="",G198=""),"",ROUND(MAX(E198-G198,0),2))</f>
        <v/>
      </c>
      <c r="N198" s="273">
        <f>IF(OR(M198="",C198="",NOT(ISNUMBER($Z$3))),"",ROUND(M198*C198*$Z$3,2))</f>
        <v/>
      </c>
      <c r="O198" s="282">
        <f>IF(OR(G198="",I198=""),"",ROUND(MAX(G198-I198,0),2))</f>
        <v/>
      </c>
      <c r="P198" s="273">
        <f>IF(OR(O198="",C198="",NOT(ISNUMBER($Z$4))),"",ROUND(O198*C198*$Z$4,2))</f>
        <v/>
      </c>
      <c r="Q198" s="282">
        <f>IF(OR(I198="",K198=""),"",ROUND(MAX(I198-K198,0),2))</f>
        <v/>
      </c>
      <c r="R198" s="273">
        <f>IF(OR(Q198="",C198="",NOT(ISNUMBER($Z$5))),"",ROUND(Q198*C198*$Z$5,2))</f>
        <v/>
      </c>
      <c r="S198" s="296" t="n"/>
      <c r="T198" s="297" t="n"/>
      <c r="U198" s="284">
        <f>IF(A198="","",IF(AND(G198&lt;&gt;"",E198&lt;&gt;"",G198&gt;E198),"ALERTA: REM_C2&gt;REM_C1",IF(AND(I198&lt;&gt;"",G198&lt;&gt;"",I198&gt;G198),"ALERTA: REM_C3&gt;REM_C2",IF(AND(K198&lt;&gt;"",I198&lt;&gt;"",K198&gt;I198),"ALERTA: REM_C4&gt;REM_C3","OK"))))</f>
        <v/>
      </c>
      <c r="V198" s="284">
        <f>IF(A198="","",IF(B198="","",IF(OR(B198&lt;0,E198&gt;B198,G198&gt;B198,I198&gt;B198,K198&gt;B198),"ALERTA: QTD_INVALIDA","OK")))</f>
        <v/>
      </c>
      <c r="W198" s="27" t="n"/>
      <c r="X198" s="27" t="n"/>
      <c r="Y198" s="27" t="n"/>
      <c r="Z198" s="27" t="n"/>
      <c r="AA198" s="27" t="n"/>
      <c r="AB198" s="282">
        <f>IF(OR(A198="",E198=""),"",ROUND(B198-E198,2))</f>
        <v/>
      </c>
      <c r="AC198" s="273">
        <f>IF(OR(A198="",E198=""),"",ROUND(D198-E198*C198,2))</f>
        <v/>
      </c>
      <c r="AD198" s="27" t="n"/>
    </row>
    <row r="199">
      <c r="A199" s="278" t="n"/>
      <c r="B199" s="279" t="n"/>
      <c r="C199" s="280" t="n"/>
      <c r="D199" s="273">
        <f>IF(OR(A199="",B199="",C199=""),"",ROUND(B199*C199,2))</f>
        <v/>
      </c>
      <c r="E199" s="281" t="n"/>
      <c r="F199" s="273">
        <f>IF(OR(A199="",E199="",C199="",NOT(ISNUMBER($Z$3))),"",ROUND(E199*C199*$Z$3,2))</f>
        <v/>
      </c>
      <c r="G199" s="281" t="n"/>
      <c r="H199" s="273">
        <f>IF(OR(A199="",G199="",C199="",NOT(ISNUMBER($Z$4))),"",ROUND(G199*C199*$Z$4,2))</f>
        <v/>
      </c>
      <c r="I199" s="281" t="n"/>
      <c r="J199" s="273">
        <f>IF(OR(A199="",I199="",C199="",NOT(ISNUMBER($Z$5))),"",ROUND(I199*C199*$Z$5,2))</f>
        <v/>
      </c>
      <c r="K199" s="281" t="n"/>
      <c r="L199" s="273">
        <f>IF(OR(A199="",K199="",C199="",NOT(ISNUMBER($Z$6))),"",ROUND(K199*C199*$Z$6,2))</f>
        <v/>
      </c>
      <c r="M199" s="282">
        <f>IF(OR(E199="",G199=""),"",ROUND(MAX(E199-G199,0),2))</f>
        <v/>
      </c>
      <c r="N199" s="273">
        <f>IF(OR(M199="",C199="",NOT(ISNUMBER($Z$3))),"",ROUND(M199*C199*$Z$3,2))</f>
        <v/>
      </c>
      <c r="O199" s="282">
        <f>IF(OR(G199="",I199=""),"",ROUND(MAX(G199-I199,0),2))</f>
        <v/>
      </c>
      <c r="P199" s="273">
        <f>IF(OR(O199="",C199="",NOT(ISNUMBER($Z$4))),"",ROUND(O199*C199*$Z$4,2))</f>
        <v/>
      </c>
      <c r="Q199" s="282">
        <f>IF(OR(I199="",K199=""),"",ROUND(MAX(I199-K199,0),2))</f>
        <v/>
      </c>
      <c r="R199" s="273">
        <f>IF(OR(Q199="",C199="",NOT(ISNUMBER($Z$5))),"",ROUND(Q199*C199*$Z$5,2))</f>
        <v/>
      </c>
      <c r="S199" s="296" t="n"/>
      <c r="T199" s="297" t="n"/>
      <c r="U199" s="284">
        <f>IF(A199="","",IF(AND(G199&lt;&gt;"",E199&lt;&gt;"",G199&gt;E199),"ALERTA: REM_C2&gt;REM_C1",IF(AND(I199&lt;&gt;"",G199&lt;&gt;"",I199&gt;G199),"ALERTA: REM_C3&gt;REM_C2",IF(AND(K199&lt;&gt;"",I199&lt;&gt;"",K199&gt;I199),"ALERTA: REM_C4&gt;REM_C3","OK"))))</f>
        <v/>
      </c>
      <c r="V199" s="284">
        <f>IF(A199="","",IF(B199="","",IF(OR(B199&lt;0,E199&gt;B199,G199&gt;B199,I199&gt;B199,K199&gt;B199),"ALERTA: QTD_INVALIDA","OK")))</f>
        <v/>
      </c>
      <c r="W199" s="27" t="n"/>
      <c r="X199" s="27" t="n"/>
      <c r="Y199" s="27" t="n"/>
      <c r="Z199" s="27" t="n"/>
      <c r="AA199" s="27" t="n"/>
      <c r="AB199" s="282">
        <f>IF(OR(A199="",E199=""),"",ROUND(B199-E199,2))</f>
        <v/>
      </c>
      <c r="AC199" s="273">
        <f>IF(OR(A199="",E199=""),"",ROUND(D199-E199*C199,2))</f>
        <v/>
      </c>
      <c r="AD199" s="27" t="n"/>
    </row>
    <row r="200">
      <c r="A200" s="278" t="n"/>
      <c r="B200" s="279" t="n"/>
      <c r="C200" s="280" t="n"/>
      <c r="D200" s="273">
        <f>IF(OR(A200="",B200="",C200=""),"",ROUND(B200*C200,2))</f>
        <v/>
      </c>
      <c r="E200" s="281" t="n"/>
      <c r="F200" s="273">
        <f>IF(OR(A200="",E200="",C200="",NOT(ISNUMBER($Z$3))),"",ROUND(E200*C200*$Z$3,2))</f>
        <v/>
      </c>
      <c r="G200" s="281" t="n"/>
      <c r="H200" s="273">
        <f>IF(OR(A200="",G200="",C200="",NOT(ISNUMBER($Z$4))),"",ROUND(G200*C200*$Z$4,2))</f>
        <v/>
      </c>
      <c r="I200" s="281" t="n"/>
      <c r="J200" s="273">
        <f>IF(OR(A200="",I200="",C200="",NOT(ISNUMBER($Z$5))),"",ROUND(I200*C200*$Z$5,2))</f>
        <v/>
      </c>
      <c r="K200" s="281" t="n"/>
      <c r="L200" s="273">
        <f>IF(OR(A200="",K200="",C200="",NOT(ISNUMBER($Z$6))),"",ROUND(K200*C200*$Z$6,2))</f>
        <v/>
      </c>
      <c r="M200" s="282">
        <f>IF(OR(E200="",G200=""),"",ROUND(MAX(E200-G200,0),2))</f>
        <v/>
      </c>
      <c r="N200" s="273">
        <f>IF(OR(M200="",C200="",NOT(ISNUMBER($Z$3))),"",ROUND(M200*C200*$Z$3,2))</f>
        <v/>
      </c>
      <c r="O200" s="282">
        <f>IF(OR(G200="",I200=""),"",ROUND(MAX(G200-I200,0),2))</f>
        <v/>
      </c>
      <c r="P200" s="273">
        <f>IF(OR(O200="",C200="",NOT(ISNUMBER($Z$4))),"",ROUND(O200*C200*$Z$4,2))</f>
        <v/>
      </c>
      <c r="Q200" s="282">
        <f>IF(OR(I200="",K200=""),"",ROUND(MAX(I200-K200,0),2))</f>
        <v/>
      </c>
      <c r="R200" s="273">
        <f>IF(OR(Q200="",C200="",NOT(ISNUMBER($Z$5))),"",ROUND(Q200*C200*$Z$5,2))</f>
        <v/>
      </c>
      <c r="S200" s="296" t="n"/>
      <c r="T200" s="297" t="n"/>
      <c r="U200" s="284">
        <f>IF(A200="","",IF(AND(G200&lt;&gt;"",E200&lt;&gt;"",G200&gt;E200),"ALERTA: REM_C2&gt;REM_C1",IF(AND(I200&lt;&gt;"",G200&lt;&gt;"",I200&gt;G200),"ALERTA: REM_C3&gt;REM_C2",IF(AND(K200&lt;&gt;"",I200&lt;&gt;"",K200&gt;I200),"ALERTA: REM_C4&gt;REM_C3","OK"))))</f>
        <v/>
      </c>
      <c r="V200" s="284">
        <f>IF(A200="","",IF(B200="","",IF(OR(B200&lt;0,E200&gt;B200,G200&gt;B200,I200&gt;B200,K200&gt;B200),"ALERTA: QTD_INVALIDA","OK")))</f>
        <v/>
      </c>
      <c r="W200" s="27" t="n"/>
      <c r="X200" s="27" t="n"/>
      <c r="Y200" s="27" t="n"/>
      <c r="Z200" s="27" t="n"/>
      <c r="AA200" s="27" t="n"/>
      <c r="AB200" s="282">
        <f>IF(OR(A200="",E200=""),"",ROUND(B200-E200,2))</f>
        <v/>
      </c>
      <c r="AC200" s="273">
        <f>IF(OR(A200="",E200=""),"",ROUND(D200-E200*C200,2))</f>
        <v/>
      </c>
      <c r="AD200" s="27" t="n"/>
    </row>
    <row r="201">
      <c r="A201" s="79" t="n"/>
      <c r="B201" s="79" t="n"/>
      <c r="C201" s="79" t="n"/>
      <c r="D201" s="79" t="n"/>
      <c r="E201" s="80" t="n"/>
      <c r="F201" s="79" t="n"/>
      <c r="G201" s="80" t="n"/>
      <c r="H201" s="79" t="n"/>
      <c r="I201" s="80" t="n"/>
      <c r="J201" s="79" t="n"/>
      <c r="K201" s="80" t="n"/>
      <c r="L201" s="79" t="n"/>
      <c r="M201" s="80" t="n"/>
      <c r="N201" s="51" t="n"/>
      <c r="O201" s="51" t="n"/>
      <c r="P201" s="79" t="n"/>
      <c r="Q201" s="79" t="n"/>
      <c r="R201" s="79" t="n"/>
      <c r="S201" s="79" t="n"/>
      <c r="T201" s="79" t="n"/>
      <c r="U201" s="79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</row>
  </sheetData>
  <conditionalFormatting sqref="E2:E200">
    <cfRule type="cellIs" priority="1" operator="lessThan" dxfId="6" stopIfTrue="1">
      <formula>0</formula>
    </cfRule>
  </conditionalFormatting>
  <conditionalFormatting sqref="G2:G200">
    <cfRule type="cellIs" priority="2" operator="lessThan" dxfId="6" stopIfTrue="1">
      <formula>0</formula>
    </cfRule>
  </conditionalFormatting>
  <conditionalFormatting sqref="I2:I200">
    <cfRule type="cellIs" priority="3" operator="lessThan" dxfId="6" stopIfTrue="1">
      <formula>0</formula>
    </cfRule>
  </conditionalFormatting>
  <conditionalFormatting sqref="K2:K200">
    <cfRule type="cellIs" priority="4" operator="lessThan" dxfId="6" stopIfTrue="1">
      <formula>0</formula>
    </cfRule>
  </conditionalFormatting>
  <conditionalFormatting sqref="M2:M200">
    <cfRule type="cellIs" priority="5" operator="lessThan" dxfId="6" stopIfTrue="1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2"/>
    <col width="16" customWidth="1" min="13" max="13"/>
    <col width="17" customWidth="1" min="14" max="14"/>
    <col width="18" customWidth="1" min="15" max="15"/>
    <col width="20" customWidth="1" min="16" max="16"/>
    <col width="34" customWidth="1" min="17" max="17"/>
    <col width="10" customWidth="1" min="18" max="18"/>
    <col width="24" customWidth="1" min="19" max="19"/>
    <col width="16" customWidth="1" min="20" max="21"/>
  </cols>
  <sheetData>
    <row r="1" ht="24" customHeight="1">
      <c r="A1" s="298" t="inlineStr">
        <is>
          <t>ITEM</t>
        </is>
      </c>
      <c r="B1" s="299" t="inlineStr">
        <is>
          <t>QTD_CONTRATADA</t>
        </is>
      </c>
      <c r="C1" s="300" t="inlineStr">
        <is>
          <t>VU_ORIGINAL</t>
        </is>
      </c>
      <c r="D1" s="300" t="inlineStr">
        <is>
          <t>VALOR_TOTAL</t>
        </is>
      </c>
      <c r="E1" s="301" t="inlineStr">
        <is>
          <t>QTD_CONS_C0</t>
        </is>
      </c>
      <c r="F1" s="302" t="inlineStr">
        <is>
          <t>VALOR_CONS_C0</t>
        </is>
      </c>
      <c r="G1" s="303" t="inlineStr">
        <is>
          <t>QTD_CONS_C1</t>
        </is>
      </c>
      <c r="H1" s="304" t="inlineStr">
        <is>
          <t>VALOR_CONS_C1</t>
        </is>
      </c>
      <c r="I1" s="301" t="inlineStr">
        <is>
          <t>QTD_CONS_C2</t>
        </is>
      </c>
      <c r="J1" s="302" t="inlineStr">
        <is>
          <t>VALOR_CONS_C2</t>
        </is>
      </c>
      <c r="K1" s="303" t="inlineStr">
        <is>
          <t>QTD_CONS_C3</t>
        </is>
      </c>
      <c r="L1" s="304" t="inlineStr">
        <is>
          <t>VALOR_CONS_C3</t>
        </is>
      </c>
      <c r="M1" s="301" t="inlineStr">
        <is>
          <t>QTD_CONS_C4</t>
        </is>
      </c>
      <c r="N1" s="302" t="inlineStr">
        <is>
          <t>VALOR_CONS_C4</t>
        </is>
      </c>
      <c r="O1" s="299" t="inlineStr">
        <is>
          <t>CONS_QTD_TOTAL</t>
        </is>
      </c>
      <c r="P1" s="300" t="inlineStr">
        <is>
          <t>CONS_VALOR_TOTAL</t>
        </is>
      </c>
      <c r="Q1" s="305" t="inlineStr">
        <is>
          <t>CHECK</t>
        </is>
      </c>
      <c r="R1" s="306" t="inlineStr">
        <is>
          <t>CICLO</t>
        </is>
      </c>
      <c r="S1" s="306" t="inlineStr">
        <is>
          <t>COMPUTAR_NESTA_APURACAO</t>
        </is>
      </c>
      <c r="T1" s="306" t="inlineStr">
        <is>
          <t>FATOR_PROPRIO</t>
        </is>
      </c>
      <c r="U1" s="306" t="inlineStr">
        <is>
          <t>FATOR_ACUMULADO</t>
        </is>
      </c>
      <c r="V1" s="27" t="n"/>
      <c r="W1" s="27" t="n"/>
    </row>
    <row r="2">
      <c r="A2" s="307" t="n"/>
      <c r="B2" s="308" t="n"/>
      <c r="C2" s="309" t="n"/>
      <c r="D2" s="273">
        <f>IF(OR(A2="",B2="",C2=""),"",ROUND(B2*C2,2))</f>
        <v/>
      </c>
      <c r="E2" s="308" t="n"/>
      <c r="F2" s="273">
        <f>IF(OR(A2="",E2="",C2="",NOT(ISNUMBER($U$2))),"",ROUND(E2*C2*$U$2,2))</f>
        <v/>
      </c>
      <c r="G2" s="308" t="n"/>
      <c r="H2" s="273">
        <f>IF(OR(A2="",G2="",C2="",NOT(ISNUMBER($U$3))),"",ROUND(G2*C2*$U$3,2))</f>
        <v/>
      </c>
      <c r="I2" s="308" t="n"/>
      <c r="J2" s="273">
        <f>IF(OR(A2="",I2="",C2="",NOT(ISNUMBER($U$4))),"",ROUND(I2*C2*$U$4,2))</f>
        <v/>
      </c>
      <c r="K2" s="308" t="n"/>
      <c r="L2" s="273">
        <f>IF(OR(A2="",K2="",C2="",NOT(ISNUMBER($U$5))),"",ROUND(K2*C2*$U$5,2))</f>
        <v/>
      </c>
      <c r="M2" s="308" t="n"/>
      <c r="N2" s="273">
        <f>IF(OR(A2="",M2="",C2="",NOT(ISNUMBER($U$6))),"",ROUND(M2*C2*$U$6,2))</f>
        <v/>
      </c>
      <c r="O2" s="282">
        <f>IF(A2="","",SUM(E2,G2,I2,K2,M2))</f>
        <v/>
      </c>
      <c r="P2" s="273">
        <f>IF(A2="","",SUM(F2,H2,J2,L2,N2))</f>
        <v/>
      </c>
      <c r="Q2" s="284">
        <f>IF(A2="","",IF(O2&gt;B2,"DIVERGENCIA: CONSUMO MAIOR QUE CONTRATADO","OK"))</f>
        <v/>
      </c>
      <c r="R2" s="68" t="inlineStr">
        <is>
          <t>C0</t>
        </is>
      </c>
      <c r="S2" s="69">
        <f>parametros!$A$2</f>
        <v/>
      </c>
      <c r="T2" s="70">
        <f>IF(ISNUMBER(parametros!$F$2),parametros!$F$2,"")</f>
        <v/>
      </c>
      <c r="U2" s="310">
        <f>IF(ISNUMBER(parametros!$G$2),parametros!$G$2,"")</f>
        <v/>
      </c>
      <c r="V2" s="34" t="n"/>
      <c r="W2" s="34" t="n"/>
    </row>
    <row r="3">
      <c r="A3" s="307" t="n"/>
      <c r="B3" s="308" t="n"/>
      <c r="C3" s="309" t="n"/>
      <c r="D3" s="273">
        <f>IF(OR(A3="",B3="",C3=""),"",ROUND(B3*C3,2))</f>
        <v/>
      </c>
      <c r="E3" s="308" t="n"/>
      <c r="F3" s="273">
        <f>IF(OR(A3="",E3="",C3="",NOT(ISNUMBER($U$2))),"",ROUND(E3*C3*$U$2,2))</f>
        <v/>
      </c>
      <c r="G3" s="308" t="n"/>
      <c r="H3" s="273">
        <f>IF(OR(A3="",G3="",C3="",NOT(ISNUMBER($U$3))),"",ROUND(G3*C3*$U$3,2))</f>
        <v/>
      </c>
      <c r="I3" s="308" t="n"/>
      <c r="J3" s="273">
        <f>IF(OR(A3="",I3="",C3="",NOT(ISNUMBER($U$4))),"",ROUND(I3*C3*$U$4,2))</f>
        <v/>
      </c>
      <c r="K3" s="308" t="n"/>
      <c r="L3" s="273">
        <f>IF(OR(A3="",K3="",C3="",NOT(ISNUMBER($U$5))),"",ROUND(K3*C3*$U$5,2))</f>
        <v/>
      </c>
      <c r="M3" s="308" t="n"/>
      <c r="N3" s="273">
        <f>IF(OR(A3="",M3="",C3="",NOT(ISNUMBER($U$6))),"",ROUND(M3*C3*$U$6,2))</f>
        <v/>
      </c>
      <c r="O3" s="282">
        <f>IF(A3="","",SUM(E3,G3,I3,K3,M3))</f>
        <v/>
      </c>
      <c r="P3" s="273">
        <f>IF(A3="","",SUM(F3,H3,J3,L3,N3))</f>
        <v/>
      </c>
      <c r="Q3" s="284">
        <f>IF(A3="","",IF(O3&gt;B3,"DIVERGENCIA: CONSUMO MAIOR QUE CONTRATADO","OK"))</f>
        <v/>
      </c>
      <c r="R3" s="68" t="inlineStr">
        <is>
          <t>C1</t>
        </is>
      </c>
      <c r="S3" s="69">
        <f>parametros!$A$3</f>
        <v/>
      </c>
      <c r="T3" s="70">
        <f>IF(ISNUMBER(parametros!$F$3),parametros!$F$3,"")</f>
        <v/>
      </c>
      <c r="U3" s="310">
        <f>IF(ISNUMBER(parametros!$G$3),parametros!$G$3,"")</f>
        <v/>
      </c>
      <c r="V3" s="34" t="n"/>
      <c r="W3" s="34" t="n"/>
    </row>
    <row r="4">
      <c r="A4" s="307" t="n"/>
      <c r="B4" s="308" t="n"/>
      <c r="C4" s="309" t="n"/>
      <c r="D4" s="273">
        <f>IF(OR(A4="",B4="",C4=""),"",ROUND(B4*C4,2))</f>
        <v/>
      </c>
      <c r="E4" s="308" t="n"/>
      <c r="F4" s="273">
        <f>IF(OR(A4="",E4="",C4="",NOT(ISNUMBER($U$2))),"",ROUND(E4*C4*$U$2,2))</f>
        <v/>
      </c>
      <c r="G4" s="308" t="n"/>
      <c r="H4" s="273">
        <f>IF(OR(A4="",G4="",C4="",NOT(ISNUMBER($U$3))),"",ROUND(G4*C4*$U$3,2))</f>
        <v/>
      </c>
      <c r="I4" s="308" t="n"/>
      <c r="J4" s="273">
        <f>IF(OR(A4="",I4="",C4="",NOT(ISNUMBER($U$4))),"",ROUND(I4*C4*$U$4,2))</f>
        <v/>
      </c>
      <c r="K4" s="308" t="n"/>
      <c r="L4" s="273">
        <f>IF(OR(A4="",K4="",C4="",NOT(ISNUMBER($U$5))),"",ROUND(K4*C4*$U$5,2))</f>
        <v/>
      </c>
      <c r="M4" s="308" t="n"/>
      <c r="N4" s="273">
        <f>IF(OR(A4="",M4="",C4="",NOT(ISNUMBER($U$6))),"",ROUND(M4*C4*$U$6,2))</f>
        <v/>
      </c>
      <c r="O4" s="282">
        <f>IF(A4="","",SUM(E4,G4,I4,K4,M4))</f>
        <v/>
      </c>
      <c r="P4" s="273">
        <f>IF(A4="","",SUM(F4,H4,J4,L4,N4))</f>
        <v/>
      </c>
      <c r="Q4" s="284">
        <f>IF(A4="","",IF(O4&gt;B4,"DIVERGENCIA: CONSUMO MAIOR QUE CONTRATADO","OK"))</f>
        <v/>
      </c>
      <c r="R4" s="68" t="inlineStr">
        <is>
          <t>C2</t>
        </is>
      </c>
      <c r="S4" s="69">
        <f>parametros!$A$4</f>
        <v/>
      </c>
      <c r="T4" s="70">
        <f>IF(ISNUMBER(parametros!$F$4),parametros!$F$4,"")</f>
        <v/>
      </c>
      <c r="U4" s="310">
        <f>IF(ISNUMBER(parametros!$G$4),parametros!$G$4,"")</f>
        <v/>
      </c>
      <c r="V4" s="34" t="n"/>
      <c r="W4" s="34" t="n"/>
    </row>
    <row r="5">
      <c r="A5" s="307" t="n"/>
      <c r="B5" s="308" t="n"/>
      <c r="C5" s="309" t="n"/>
      <c r="D5" s="273">
        <f>IF(OR(A5="",B5="",C5=""),"",ROUND(B5*C5,2))</f>
        <v/>
      </c>
      <c r="E5" s="308" t="n"/>
      <c r="F5" s="273">
        <f>IF(OR(A5="",E5="",C5="",NOT(ISNUMBER($U$2))),"",ROUND(E5*C5*$U$2,2))</f>
        <v/>
      </c>
      <c r="G5" s="308" t="n"/>
      <c r="H5" s="273">
        <f>IF(OR(A5="",G5="",C5="",NOT(ISNUMBER($U$3))),"",ROUND(G5*C5*$U$3,2))</f>
        <v/>
      </c>
      <c r="I5" s="308" t="n"/>
      <c r="J5" s="273">
        <f>IF(OR(A5="",I5="",C5="",NOT(ISNUMBER($U$4))),"",ROUND(I5*C5*$U$4,2))</f>
        <v/>
      </c>
      <c r="K5" s="308" t="n"/>
      <c r="L5" s="273">
        <f>IF(OR(A5="",K5="",C5="",NOT(ISNUMBER($U$5))),"",ROUND(K5*C5*$U$5,2))</f>
        <v/>
      </c>
      <c r="M5" s="308" t="n"/>
      <c r="N5" s="273">
        <f>IF(OR(A5="",M5="",C5="",NOT(ISNUMBER($U$6))),"",ROUND(M5*C5*$U$6,2))</f>
        <v/>
      </c>
      <c r="O5" s="282">
        <f>IF(A5="","",SUM(E5,G5,I5,K5,M5))</f>
        <v/>
      </c>
      <c r="P5" s="273">
        <f>IF(A5="","",SUM(F5,H5,J5,L5,N5))</f>
        <v/>
      </c>
      <c r="Q5" s="284">
        <f>IF(A5="","",IF(O5&gt;B5,"DIVERGENCIA: CONSUMO MAIOR QUE CONTRATADO","OK"))</f>
        <v/>
      </c>
      <c r="R5" s="68" t="inlineStr">
        <is>
          <t>C3</t>
        </is>
      </c>
      <c r="S5" s="69">
        <f>parametros!$A$5</f>
        <v/>
      </c>
      <c r="T5" s="70">
        <f>IF(ISNUMBER(parametros!$F$5),parametros!$F$5,"")</f>
        <v/>
      </c>
      <c r="U5" s="310">
        <f>IF(ISNUMBER(parametros!$G$5),parametros!$G$5,"")</f>
        <v/>
      </c>
      <c r="V5" s="34" t="n"/>
      <c r="W5" s="34" t="n"/>
    </row>
    <row r="6">
      <c r="A6" s="307" t="n"/>
      <c r="B6" s="308" t="n"/>
      <c r="C6" s="309" t="n"/>
      <c r="D6" s="273">
        <f>IF(OR(A6="",B6="",C6=""),"",ROUND(B6*C6,2))</f>
        <v/>
      </c>
      <c r="E6" s="308" t="n"/>
      <c r="F6" s="273">
        <f>IF(OR(A6="",E6="",C6="",NOT(ISNUMBER($U$2))),"",ROUND(E6*C6*$U$2,2))</f>
        <v/>
      </c>
      <c r="G6" s="308" t="n"/>
      <c r="H6" s="273">
        <f>IF(OR(A6="",G6="",C6="",NOT(ISNUMBER($U$3))),"",ROUND(G6*C6*$U$3,2))</f>
        <v/>
      </c>
      <c r="I6" s="308" t="n"/>
      <c r="J6" s="273">
        <f>IF(OR(A6="",I6="",C6="",NOT(ISNUMBER($U$4))),"",ROUND(I6*C6*$U$4,2))</f>
        <v/>
      </c>
      <c r="K6" s="308" t="n"/>
      <c r="L6" s="273">
        <f>IF(OR(A6="",K6="",C6="",NOT(ISNUMBER($U$5))),"",ROUND(K6*C6*$U$5,2))</f>
        <v/>
      </c>
      <c r="M6" s="308" t="n"/>
      <c r="N6" s="273">
        <f>IF(OR(A6="",M6="",C6="",NOT(ISNUMBER($U$6))),"",ROUND(M6*C6*$U$6,2))</f>
        <v/>
      </c>
      <c r="O6" s="282">
        <f>IF(A6="","",SUM(E6,G6,I6,K6,M6))</f>
        <v/>
      </c>
      <c r="P6" s="273">
        <f>IF(A6="","",SUM(F6,H6,J6,L6,N6))</f>
        <v/>
      </c>
      <c r="Q6" s="284">
        <f>IF(A6="","",IF(O6&gt;B6,"DIVERGENCIA: CONSUMO MAIOR QUE CONTRATADO","OK"))</f>
        <v/>
      </c>
      <c r="R6" s="68" t="inlineStr">
        <is>
          <t>C4</t>
        </is>
      </c>
      <c r="S6" s="69">
        <f>parametros!$A$6</f>
        <v/>
      </c>
      <c r="T6" s="70">
        <f>IF(ISNUMBER(parametros!$F$6),parametros!$F$6,"")</f>
        <v/>
      </c>
      <c r="U6" s="310">
        <f>IF(ISNUMBER(parametros!$G$6),parametros!$G$6,"")</f>
        <v/>
      </c>
      <c r="V6" s="34" t="n"/>
      <c r="W6" s="34" t="n"/>
    </row>
    <row r="7">
      <c r="A7" s="307" t="n"/>
      <c r="B7" s="308" t="n"/>
      <c r="C7" s="309" t="n"/>
      <c r="D7" s="273">
        <f>IF(OR(A7="",B7="",C7=""),"",ROUND(B7*C7,2))</f>
        <v/>
      </c>
      <c r="E7" s="308" t="n"/>
      <c r="F7" s="273">
        <f>IF(OR(A7="",E7="",C7="",NOT(ISNUMBER($U$2))),"",ROUND(E7*C7*$U$2,2))</f>
        <v/>
      </c>
      <c r="G7" s="308" t="n"/>
      <c r="H7" s="273">
        <f>IF(OR(A7="",G7="",C7="",NOT(ISNUMBER($U$3))),"",ROUND(G7*C7*$U$3,2))</f>
        <v/>
      </c>
      <c r="I7" s="308" t="n"/>
      <c r="J7" s="273">
        <f>IF(OR(A7="",I7="",C7="",NOT(ISNUMBER($U$4))),"",ROUND(I7*C7*$U$4,2))</f>
        <v/>
      </c>
      <c r="K7" s="308" t="n"/>
      <c r="L7" s="273">
        <f>IF(OR(A7="",K7="",C7="",NOT(ISNUMBER($U$5))),"",ROUND(K7*C7*$U$5,2))</f>
        <v/>
      </c>
      <c r="M7" s="308" t="n"/>
      <c r="N7" s="273">
        <f>IF(OR(A7="",M7="",C7="",NOT(ISNUMBER($U$6))),"",ROUND(M7*C7*$U$6,2))</f>
        <v/>
      </c>
      <c r="O7" s="282">
        <f>IF(A7="","",SUM(E7,G7,I7,K7,M7))</f>
        <v/>
      </c>
      <c r="P7" s="273">
        <f>IF(A7="","",SUM(F7,H7,J7,L7,N7))</f>
        <v/>
      </c>
      <c r="Q7" s="284">
        <f>IF(A7="","",IF(O7&gt;B7,"DIVERGENCIA: CONSUMO MAIOR QUE CONTRATADO","OK"))</f>
        <v/>
      </c>
      <c r="R7" s="34" t="n"/>
      <c r="S7" s="34" t="n"/>
      <c r="T7" s="34" t="n"/>
      <c r="U7" s="34" t="n"/>
      <c r="V7" s="34" t="n"/>
      <c r="W7" s="34" t="n"/>
    </row>
    <row r="8">
      <c r="A8" s="307" t="n"/>
      <c r="B8" s="308" t="n"/>
      <c r="C8" s="309" t="n"/>
      <c r="D8" s="273">
        <f>IF(OR(A8="",B8="",C8=""),"",ROUND(B8*C8,2))</f>
        <v/>
      </c>
      <c r="E8" s="308" t="n"/>
      <c r="F8" s="273">
        <f>IF(OR(A8="",E8="",C8="",NOT(ISNUMBER($U$2))),"",ROUND(E8*C8*$U$2,2))</f>
        <v/>
      </c>
      <c r="G8" s="308" t="n"/>
      <c r="H8" s="273">
        <f>IF(OR(A8="",G8="",C8="",NOT(ISNUMBER($U$3))),"",ROUND(G8*C8*$U$3,2))</f>
        <v/>
      </c>
      <c r="I8" s="308" t="n"/>
      <c r="J8" s="273">
        <f>IF(OR(A8="",I8="",C8="",NOT(ISNUMBER($U$4))),"",ROUND(I8*C8*$U$4,2))</f>
        <v/>
      </c>
      <c r="K8" s="308" t="n"/>
      <c r="L8" s="273">
        <f>IF(OR(A8="",K8="",C8="",NOT(ISNUMBER($U$5))),"",ROUND(K8*C8*$U$5,2))</f>
        <v/>
      </c>
      <c r="M8" s="308" t="n"/>
      <c r="N8" s="273">
        <f>IF(OR(A8="",M8="",C8="",NOT(ISNUMBER($U$6))),"",ROUND(M8*C8*$U$6,2))</f>
        <v/>
      </c>
      <c r="O8" s="282">
        <f>IF(A8="","",SUM(E8,G8,I8,K8,M8))</f>
        <v/>
      </c>
      <c r="P8" s="273">
        <f>IF(A8="","",SUM(F8,H8,J8,L8,N8))</f>
        <v/>
      </c>
      <c r="Q8" s="284">
        <f>IF(A8="","",IF(O8&gt;B8,"DIVERGENCIA: CONSUMO MAIOR QUE CONTRATADO","OK"))</f>
        <v/>
      </c>
      <c r="R8" s="34" t="n"/>
      <c r="S8" s="34" t="n"/>
      <c r="T8" s="34" t="n"/>
      <c r="U8" s="34" t="n"/>
      <c r="V8" s="34" t="n"/>
      <c r="W8" s="34" t="n"/>
    </row>
    <row r="9">
      <c r="A9" s="307" t="n"/>
      <c r="B9" s="308" t="n"/>
      <c r="C9" s="309" t="n"/>
      <c r="D9" s="273">
        <f>IF(OR(A9="",B9="",C9=""),"",ROUND(B9*C9,2))</f>
        <v/>
      </c>
      <c r="E9" s="308" t="n"/>
      <c r="F9" s="273">
        <f>IF(OR(A9="",E9="",C9="",NOT(ISNUMBER($U$2))),"",ROUND(E9*C9*$U$2,2))</f>
        <v/>
      </c>
      <c r="G9" s="308" t="n"/>
      <c r="H9" s="273">
        <f>IF(OR(A9="",G9="",C9="",NOT(ISNUMBER($U$3))),"",ROUND(G9*C9*$U$3,2))</f>
        <v/>
      </c>
      <c r="I9" s="308" t="n"/>
      <c r="J9" s="273">
        <f>IF(OR(A9="",I9="",C9="",NOT(ISNUMBER($U$4))),"",ROUND(I9*C9*$U$4,2))</f>
        <v/>
      </c>
      <c r="K9" s="308" t="n"/>
      <c r="L9" s="273">
        <f>IF(OR(A9="",K9="",C9="",NOT(ISNUMBER($U$5))),"",ROUND(K9*C9*$U$5,2))</f>
        <v/>
      </c>
      <c r="M9" s="308" t="n"/>
      <c r="N9" s="273">
        <f>IF(OR(A9="",M9="",C9="",NOT(ISNUMBER($U$6))),"",ROUND(M9*C9*$U$6,2))</f>
        <v/>
      </c>
      <c r="O9" s="282">
        <f>IF(A9="","",SUM(E9,G9,I9,K9,M9))</f>
        <v/>
      </c>
      <c r="P9" s="273">
        <f>IF(A9="","",SUM(F9,H9,J9,L9,N9))</f>
        <v/>
      </c>
      <c r="Q9" s="284">
        <f>IF(A9="","",IF(O9&gt;B9,"DIVERGENCIA: CONSUMO MAIOR QUE CONTRATADO","OK"))</f>
        <v/>
      </c>
      <c r="R9" s="34" t="n"/>
      <c r="S9" s="34" t="n"/>
      <c r="T9" s="34" t="n"/>
      <c r="U9" s="34" t="n"/>
      <c r="V9" s="34" t="n"/>
      <c r="W9" s="34" t="n"/>
    </row>
    <row r="10">
      <c r="A10" s="307" t="n"/>
      <c r="B10" s="308" t="n"/>
      <c r="C10" s="309" t="n"/>
      <c r="D10" s="273">
        <f>IF(OR(A10="",B10="",C10=""),"",ROUND(B10*C10,2))</f>
        <v/>
      </c>
      <c r="E10" s="308" t="n"/>
      <c r="F10" s="273">
        <f>IF(OR(A10="",E10="",C10="",NOT(ISNUMBER($U$2))),"",ROUND(E10*C10*$U$2,2))</f>
        <v/>
      </c>
      <c r="G10" s="308" t="n"/>
      <c r="H10" s="273">
        <f>IF(OR(A10="",G10="",C10="",NOT(ISNUMBER($U$3))),"",ROUND(G10*C10*$U$3,2))</f>
        <v/>
      </c>
      <c r="I10" s="308" t="n"/>
      <c r="J10" s="273">
        <f>IF(OR(A10="",I10="",C10="",NOT(ISNUMBER($U$4))),"",ROUND(I10*C10*$U$4,2))</f>
        <v/>
      </c>
      <c r="K10" s="308" t="n"/>
      <c r="L10" s="273">
        <f>IF(OR(A10="",K10="",C10="",NOT(ISNUMBER($U$5))),"",ROUND(K10*C10*$U$5,2))</f>
        <v/>
      </c>
      <c r="M10" s="308" t="n"/>
      <c r="N10" s="273">
        <f>IF(OR(A10="",M10="",C10="",NOT(ISNUMBER($U$6))),"",ROUND(M10*C10*$U$6,2))</f>
        <v/>
      </c>
      <c r="O10" s="282">
        <f>IF(A10="","",SUM(E10,G10,I10,K10,M10))</f>
        <v/>
      </c>
      <c r="P10" s="273">
        <f>IF(A10="","",SUM(F10,H10,J10,L10,N10))</f>
        <v/>
      </c>
      <c r="Q10" s="284">
        <f>IF(A10="","",IF(O10&gt;B10,"DIVERGENCIA: CONSUMO MAIOR QUE CONTRATADO","OK"))</f>
        <v/>
      </c>
      <c r="R10" s="34" t="n"/>
      <c r="S10" s="34" t="n"/>
      <c r="T10" s="34" t="n"/>
      <c r="U10" s="34" t="n"/>
      <c r="V10" s="34" t="n"/>
      <c r="W10" s="34" t="n"/>
    </row>
    <row r="11">
      <c r="A11" s="307" t="n"/>
      <c r="B11" s="308" t="n"/>
      <c r="C11" s="309" t="n"/>
      <c r="D11" s="273">
        <f>IF(OR(A11="",B11="",C11=""),"",ROUND(B11*C11,2))</f>
        <v/>
      </c>
      <c r="E11" s="308" t="n"/>
      <c r="F11" s="273">
        <f>IF(OR(A11="",E11="",C11="",NOT(ISNUMBER($U$2))),"",ROUND(E11*C11*$U$2,2))</f>
        <v/>
      </c>
      <c r="G11" s="308" t="n"/>
      <c r="H11" s="273">
        <f>IF(OR(A11="",G11="",C11="",NOT(ISNUMBER($U$3))),"",ROUND(G11*C11*$U$3,2))</f>
        <v/>
      </c>
      <c r="I11" s="308" t="n"/>
      <c r="J11" s="273">
        <f>IF(OR(A11="",I11="",C11="",NOT(ISNUMBER($U$4))),"",ROUND(I11*C11*$U$4,2))</f>
        <v/>
      </c>
      <c r="K11" s="308" t="n"/>
      <c r="L11" s="273">
        <f>IF(OR(A11="",K11="",C11="",NOT(ISNUMBER($U$5))),"",ROUND(K11*C11*$U$5,2))</f>
        <v/>
      </c>
      <c r="M11" s="308" t="n"/>
      <c r="N11" s="273">
        <f>IF(OR(A11="",M11="",C11="",NOT(ISNUMBER($U$6))),"",ROUND(M11*C11*$U$6,2))</f>
        <v/>
      </c>
      <c r="O11" s="282">
        <f>IF(A11="","",SUM(E11,G11,I11,K11,M11))</f>
        <v/>
      </c>
      <c r="P11" s="273">
        <f>IF(A11="","",SUM(F11,H11,J11,L11,N11))</f>
        <v/>
      </c>
      <c r="Q11" s="284">
        <f>IF(A11="","",IF(O11&gt;B11,"DIVERGENCIA: CONSUMO MAIOR QUE CONTRATADO","OK"))</f>
        <v/>
      </c>
      <c r="R11" s="34" t="n"/>
      <c r="S11" s="34" t="n"/>
      <c r="T11" s="34" t="n"/>
      <c r="U11" s="34" t="n"/>
      <c r="V11" s="34" t="n"/>
      <c r="W11" s="34" t="n"/>
    </row>
    <row r="12">
      <c r="A12" s="307" t="n"/>
      <c r="B12" s="308" t="n"/>
      <c r="C12" s="309" t="n"/>
      <c r="D12" s="273">
        <f>IF(OR(A12="",B12="",C12=""),"",ROUND(B12*C12,2))</f>
        <v/>
      </c>
      <c r="E12" s="308" t="n"/>
      <c r="F12" s="273">
        <f>IF(OR(A12="",E12="",C12="",NOT(ISNUMBER($U$2))),"",ROUND(E12*C12*$U$2,2))</f>
        <v/>
      </c>
      <c r="G12" s="308" t="n"/>
      <c r="H12" s="273">
        <f>IF(OR(A12="",G12="",C12="",NOT(ISNUMBER($U$3))),"",ROUND(G12*C12*$U$3,2))</f>
        <v/>
      </c>
      <c r="I12" s="308" t="n"/>
      <c r="J12" s="273">
        <f>IF(OR(A12="",I12="",C12="",NOT(ISNUMBER($U$4))),"",ROUND(I12*C12*$U$4,2))</f>
        <v/>
      </c>
      <c r="K12" s="308" t="n"/>
      <c r="L12" s="273">
        <f>IF(OR(A12="",K12="",C12="",NOT(ISNUMBER($U$5))),"",ROUND(K12*C12*$U$5,2))</f>
        <v/>
      </c>
      <c r="M12" s="308" t="n"/>
      <c r="N12" s="273">
        <f>IF(OR(A12="",M12="",C12="",NOT(ISNUMBER($U$6))),"",ROUND(M12*C12*$U$6,2))</f>
        <v/>
      </c>
      <c r="O12" s="282">
        <f>IF(A12="","",SUM(E12,G12,I12,K12,M12))</f>
        <v/>
      </c>
      <c r="P12" s="273">
        <f>IF(A12="","",SUM(F12,H12,J12,L12,N12))</f>
        <v/>
      </c>
      <c r="Q12" s="284">
        <f>IF(A12="","",IF(O12&gt;B12,"DIVERGENCIA: CONSUMO MAIOR QUE CONTRATADO","OK"))</f>
        <v/>
      </c>
      <c r="R12" s="34" t="n"/>
      <c r="S12" s="34" t="n"/>
      <c r="T12" s="34" t="n"/>
      <c r="U12" s="34" t="n"/>
      <c r="V12" s="34" t="n"/>
      <c r="W12" s="34" t="n"/>
    </row>
    <row r="13">
      <c r="A13" s="307" t="n"/>
      <c r="B13" s="308" t="n"/>
      <c r="C13" s="309" t="n"/>
      <c r="D13" s="273">
        <f>IF(OR(A13="",B13="",C13=""),"",ROUND(B13*C13,2))</f>
        <v/>
      </c>
      <c r="E13" s="308" t="n"/>
      <c r="F13" s="273">
        <f>IF(OR(A13="",E13="",C13="",NOT(ISNUMBER($U$2))),"",ROUND(E13*C13*$U$2,2))</f>
        <v/>
      </c>
      <c r="G13" s="308" t="n"/>
      <c r="H13" s="273">
        <f>IF(OR(A13="",G13="",C13="",NOT(ISNUMBER($U$3))),"",ROUND(G13*C13*$U$3,2))</f>
        <v/>
      </c>
      <c r="I13" s="308" t="n"/>
      <c r="J13" s="273">
        <f>IF(OR(A13="",I13="",C13="",NOT(ISNUMBER($U$4))),"",ROUND(I13*C13*$U$4,2))</f>
        <v/>
      </c>
      <c r="K13" s="308" t="n"/>
      <c r="L13" s="273">
        <f>IF(OR(A13="",K13="",C13="",NOT(ISNUMBER($U$5))),"",ROUND(K13*C13*$U$5,2))</f>
        <v/>
      </c>
      <c r="M13" s="308" t="n"/>
      <c r="N13" s="273">
        <f>IF(OR(A13="",M13="",C13="",NOT(ISNUMBER($U$6))),"",ROUND(M13*C13*$U$6,2))</f>
        <v/>
      </c>
      <c r="O13" s="282">
        <f>IF(A13="","",SUM(E13,G13,I13,K13,M13))</f>
        <v/>
      </c>
      <c r="P13" s="273">
        <f>IF(A13="","",SUM(F13,H13,J13,L13,N13))</f>
        <v/>
      </c>
      <c r="Q13" s="284">
        <f>IF(A13="","",IF(O13&gt;B13,"DIVERGENCIA: CONSUMO MAIOR QUE CONTRATADO","OK"))</f>
        <v/>
      </c>
      <c r="R13" s="34" t="n"/>
      <c r="S13" s="34" t="n"/>
      <c r="T13" s="34" t="n"/>
      <c r="U13" s="34" t="n"/>
      <c r="V13" s="34" t="n"/>
      <c r="W13" s="34" t="n"/>
    </row>
    <row r="14">
      <c r="A14" s="307" t="n"/>
      <c r="B14" s="308" t="n"/>
      <c r="C14" s="309" t="n"/>
      <c r="D14" s="273">
        <f>IF(OR(A14="",B14="",C14=""),"",ROUND(B14*C14,2))</f>
        <v/>
      </c>
      <c r="E14" s="308" t="n"/>
      <c r="F14" s="273">
        <f>IF(OR(A14="",E14="",C14="",NOT(ISNUMBER($U$2))),"",ROUND(E14*C14*$U$2,2))</f>
        <v/>
      </c>
      <c r="G14" s="308" t="n"/>
      <c r="H14" s="273">
        <f>IF(OR(A14="",G14="",C14="",NOT(ISNUMBER($U$3))),"",ROUND(G14*C14*$U$3,2))</f>
        <v/>
      </c>
      <c r="I14" s="308" t="n"/>
      <c r="J14" s="273">
        <f>IF(OR(A14="",I14="",C14="",NOT(ISNUMBER($U$4))),"",ROUND(I14*C14*$U$4,2))</f>
        <v/>
      </c>
      <c r="K14" s="308" t="n"/>
      <c r="L14" s="273">
        <f>IF(OR(A14="",K14="",C14="",NOT(ISNUMBER($U$5))),"",ROUND(K14*C14*$U$5,2))</f>
        <v/>
      </c>
      <c r="M14" s="308" t="n"/>
      <c r="N14" s="273">
        <f>IF(OR(A14="",M14="",C14="",NOT(ISNUMBER($U$6))),"",ROUND(M14*C14*$U$6,2))</f>
        <v/>
      </c>
      <c r="O14" s="282">
        <f>IF(A14="","",SUM(E14,G14,I14,K14,M14))</f>
        <v/>
      </c>
      <c r="P14" s="273">
        <f>IF(A14="","",SUM(F14,H14,J14,L14,N14))</f>
        <v/>
      </c>
      <c r="Q14" s="284">
        <f>IF(A14="","",IF(O14&gt;B14,"DIVERGENCIA: CONSUMO MAIOR QUE CONTRATADO","OK"))</f>
        <v/>
      </c>
      <c r="R14" s="34" t="n"/>
      <c r="S14" s="34" t="n"/>
      <c r="T14" s="34" t="n"/>
      <c r="U14" s="34" t="n"/>
      <c r="V14" s="34" t="n"/>
      <c r="W14" s="34" t="n"/>
    </row>
    <row r="15">
      <c r="A15" s="307" t="n"/>
      <c r="B15" s="308" t="n"/>
      <c r="C15" s="309" t="n"/>
      <c r="D15" s="273">
        <f>IF(OR(A15="",B15="",C15=""),"",ROUND(B15*C15,2))</f>
        <v/>
      </c>
      <c r="E15" s="308" t="n"/>
      <c r="F15" s="273">
        <f>IF(OR(A15="",E15="",C15="",NOT(ISNUMBER($U$2))),"",ROUND(E15*C15*$U$2,2))</f>
        <v/>
      </c>
      <c r="G15" s="308" t="n"/>
      <c r="H15" s="273">
        <f>IF(OR(A15="",G15="",C15="",NOT(ISNUMBER($U$3))),"",ROUND(G15*C15*$U$3,2))</f>
        <v/>
      </c>
      <c r="I15" s="308" t="n"/>
      <c r="J15" s="273">
        <f>IF(OR(A15="",I15="",C15="",NOT(ISNUMBER($U$4))),"",ROUND(I15*C15*$U$4,2))</f>
        <v/>
      </c>
      <c r="K15" s="308" t="n"/>
      <c r="L15" s="273">
        <f>IF(OR(A15="",K15="",C15="",NOT(ISNUMBER($U$5))),"",ROUND(K15*C15*$U$5,2))</f>
        <v/>
      </c>
      <c r="M15" s="308" t="n"/>
      <c r="N15" s="273">
        <f>IF(OR(A15="",M15="",C15="",NOT(ISNUMBER($U$6))),"",ROUND(M15*C15*$U$6,2))</f>
        <v/>
      </c>
      <c r="O15" s="282">
        <f>IF(A15="","",SUM(E15,G15,I15,K15,M15))</f>
        <v/>
      </c>
      <c r="P15" s="273">
        <f>IF(A15="","",SUM(F15,H15,J15,L15,N15))</f>
        <v/>
      </c>
      <c r="Q15" s="284">
        <f>IF(A15="","",IF(O15&gt;B15,"DIVERGENCIA: CONSUMO MAIOR QUE CONTRATADO","OK"))</f>
        <v/>
      </c>
      <c r="R15" s="34" t="n"/>
      <c r="S15" s="34" t="n"/>
      <c r="T15" s="34" t="n"/>
      <c r="U15" s="34" t="n"/>
      <c r="V15" s="34" t="n"/>
      <c r="W15" s="34" t="n"/>
    </row>
    <row r="16">
      <c r="A16" s="307" t="n"/>
      <c r="B16" s="308" t="n"/>
      <c r="C16" s="309" t="n"/>
      <c r="D16" s="273">
        <f>IF(OR(A16="",B16="",C16=""),"",ROUND(B16*C16,2))</f>
        <v/>
      </c>
      <c r="E16" s="308" t="n"/>
      <c r="F16" s="273">
        <f>IF(OR(A16="",E16="",C16="",NOT(ISNUMBER($U$2))),"",ROUND(E16*C16*$U$2,2))</f>
        <v/>
      </c>
      <c r="G16" s="308" t="n"/>
      <c r="H16" s="273">
        <f>IF(OR(A16="",G16="",C16="",NOT(ISNUMBER($U$3))),"",ROUND(G16*C16*$U$3,2))</f>
        <v/>
      </c>
      <c r="I16" s="308" t="n"/>
      <c r="J16" s="273">
        <f>IF(OR(A16="",I16="",C16="",NOT(ISNUMBER($U$4))),"",ROUND(I16*C16*$U$4,2))</f>
        <v/>
      </c>
      <c r="K16" s="308" t="n"/>
      <c r="L16" s="273">
        <f>IF(OR(A16="",K16="",C16="",NOT(ISNUMBER($U$5))),"",ROUND(K16*C16*$U$5,2))</f>
        <v/>
      </c>
      <c r="M16" s="308" t="n"/>
      <c r="N16" s="273">
        <f>IF(OR(A16="",M16="",C16="",NOT(ISNUMBER($U$6))),"",ROUND(M16*C16*$U$6,2))</f>
        <v/>
      </c>
      <c r="O16" s="282">
        <f>IF(A16="","",SUM(E16,G16,I16,K16,M16))</f>
        <v/>
      </c>
      <c r="P16" s="273">
        <f>IF(A16="","",SUM(F16,H16,J16,L16,N16))</f>
        <v/>
      </c>
      <c r="Q16" s="284">
        <f>IF(A16="","",IF(O16&gt;B16,"DIVERGENCIA: CONSUMO MAIOR QUE CONTRATADO","OK"))</f>
        <v/>
      </c>
      <c r="R16" s="34" t="n"/>
      <c r="S16" s="34" t="n"/>
      <c r="T16" s="34" t="n"/>
      <c r="U16" s="34" t="n"/>
      <c r="V16" s="34" t="n"/>
      <c r="W16" s="34" t="n"/>
    </row>
    <row r="17">
      <c r="A17" s="307" t="n"/>
      <c r="B17" s="308" t="n"/>
      <c r="C17" s="309" t="n"/>
      <c r="D17" s="273">
        <f>IF(OR(A17="",B17="",C17=""),"",ROUND(B17*C17,2))</f>
        <v/>
      </c>
      <c r="E17" s="308" t="n"/>
      <c r="F17" s="273">
        <f>IF(OR(A17="",E17="",C17="",NOT(ISNUMBER($U$2))),"",ROUND(E17*C17*$U$2,2))</f>
        <v/>
      </c>
      <c r="G17" s="308" t="n"/>
      <c r="H17" s="273">
        <f>IF(OR(A17="",G17="",C17="",NOT(ISNUMBER($U$3))),"",ROUND(G17*C17*$U$3,2))</f>
        <v/>
      </c>
      <c r="I17" s="308" t="n"/>
      <c r="J17" s="273">
        <f>IF(OR(A17="",I17="",C17="",NOT(ISNUMBER($U$4))),"",ROUND(I17*C17*$U$4,2))</f>
        <v/>
      </c>
      <c r="K17" s="308" t="n"/>
      <c r="L17" s="273">
        <f>IF(OR(A17="",K17="",C17="",NOT(ISNUMBER($U$5))),"",ROUND(K17*C17*$U$5,2))</f>
        <v/>
      </c>
      <c r="M17" s="308" t="n"/>
      <c r="N17" s="273">
        <f>IF(OR(A17="",M17="",C17="",NOT(ISNUMBER($U$6))),"",ROUND(M17*C17*$U$6,2))</f>
        <v/>
      </c>
      <c r="O17" s="282">
        <f>IF(A17="","",SUM(E17,G17,I17,K17,M17))</f>
        <v/>
      </c>
      <c r="P17" s="273">
        <f>IF(A17="","",SUM(F17,H17,J17,L17,N17))</f>
        <v/>
      </c>
      <c r="Q17" s="284">
        <f>IF(A17="","",IF(O17&gt;B17,"DIVERGENCIA: CONSUMO MAIOR QUE CONTRATADO","OK"))</f>
        <v/>
      </c>
      <c r="R17" s="34" t="n"/>
      <c r="S17" s="34" t="n"/>
      <c r="T17" s="34" t="n"/>
      <c r="U17" s="34" t="n"/>
      <c r="V17" s="34" t="n"/>
      <c r="W17" s="34" t="n"/>
    </row>
    <row r="18">
      <c r="A18" s="307" t="n"/>
      <c r="B18" s="308" t="n"/>
      <c r="C18" s="309" t="n"/>
      <c r="D18" s="273">
        <f>IF(OR(A18="",B18="",C18=""),"",ROUND(B18*C18,2))</f>
        <v/>
      </c>
      <c r="E18" s="308" t="n"/>
      <c r="F18" s="273">
        <f>IF(OR(A18="",E18="",C18="",NOT(ISNUMBER($U$2))),"",ROUND(E18*C18*$U$2,2))</f>
        <v/>
      </c>
      <c r="G18" s="308" t="n"/>
      <c r="H18" s="273">
        <f>IF(OR(A18="",G18="",C18="",NOT(ISNUMBER($U$3))),"",ROUND(G18*C18*$U$3,2))</f>
        <v/>
      </c>
      <c r="I18" s="308" t="n"/>
      <c r="J18" s="273">
        <f>IF(OR(A18="",I18="",C18="",NOT(ISNUMBER($U$4))),"",ROUND(I18*C18*$U$4,2))</f>
        <v/>
      </c>
      <c r="K18" s="308" t="n"/>
      <c r="L18" s="273">
        <f>IF(OR(A18="",K18="",C18="",NOT(ISNUMBER($U$5))),"",ROUND(K18*C18*$U$5,2))</f>
        <v/>
      </c>
      <c r="M18" s="308" t="n"/>
      <c r="N18" s="273">
        <f>IF(OR(A18="",M18="",C18="",NOT(ISNUMBER($U$6))),"",ROUND(M18*C18*$U$6,2))</f>
        <v/>
      </c>
      <c r="O18" s="282">
        <f>IF(A18="","",SUM(E18,G18,I18,K18,M18))</f>
        <v/>
      </c>
      <c r="P18" s="273">
        <f>IF(A18="","",SUM(F18,H18,J18,L18,N18))</f>
        <v/>
      </c>
      <c r="Q18" s="284">
        <f>IF(A18="","",IF(O18&gt;B18,"DIVERGENCIA: CONSUMO MAIOR QUE CONTRATADO","OK"))</f>
        <v/>
      </c>
      <c r="R18" s="34" t="n"/>
      <c r="S18" s="34" t="n"/>
      <c r="T18" s="34" t="n"/>
      <c r="U18" s="34" t="n"/>
      <c r="V18" s="34" t="n"/>
      <c r="W18" s="34" t="n"/>
    </row>
    <row r="19">
      <c r="A19" s="307" t="n"/>
      <c r="B19" s="308" t="n"/>
      <c r="C19" s="309" t="n"/>
      <c r="D19" s="273">
        <f>IF(OR(A19="",B19="",C19=""),"",ROUND(B19*C19,2))</f>
        <v/>
      </c>
      <c r="E19" s="308" t="n"/>
      <c r="F19" s="273">
        <f>IF(OR(A19="",E19="",C19="",NOT(ISNUMBER($U$2))),"",ROUND(E19*C19*$U$2,2))</f>
        <v/>
      </c>
      <c r="G19" s="308" t="n"/>
      <c r="H19" s="273">
        <f>IF(OR(A19="",G19="",C19="",NOT(ISNUMBER($U$3))),"",ROUND(G19*C19*$U$3,2))</f>
        <v/>
      </c>
      <c r="I19" s="308" t="n"/>
      <c r="J19" s="273">
        <f>IF(OR(A19="",I19="",C19="",NOT(ISNUMBER($U$4))),"",ROUND(I19*C19*$U$4,2))</f>
        <v/>
      </c>
      <c r="K19" s="308" t="n"/>
      <c r="L19" s="273">
        <f>IF(OR(A19="",K19="",C19="",NOT(ISNUMBER($U$5))),"",ROUND(K19*C19*$U$5,2))</f>
        <v/>
      </c>
      <c r="M19" s="308" t="n"/>
      <c r="N19" s="273">
        <f>IF(OR(A19="",M19="",C19="",NOT(ISNUMBER($U$6))),"",ROUND(M19*C19*$U$6,2))</f>
        <v/>
      </c>
      <c r="O19" s="282">
        <f>IF(A19="","",SUM(E19,G19,I19,K19,M19))</f>
        <v/>
      </c>
      <c r="P19" s="273">
        <f>IF(A19="","",SUM(F19,H19,J19,L19,N19))</f>
        <v/>
      </c>
      <c r="Q19" s="284">
        <f>IF(A19="","",IF(O19&gt;B19,"DIVERGENCIA: CONSUMO MAIOR QUE CONTRATADO","OK"))</f>
        <v/>
      </c>
      <c r="R19" s="34" t="n"/>
      <c r="S19" s="34" t="n"/>
      <c r="T19" s="34" t="n"/>
      <c r="U19" s="34" t="n"/>
      <c r="V19" s="34" t="n"/>
      <c r="W19" s="34" t="n"/>
    </row>
    <row r="20">
      <c r="A20" s="307" t="n"/>
      <c r="B20" s="308" t="n"/>
      <c r="C20" s="309" t="n"/>
      <c r="D20" s="273">
        <f>IF(OR(A20="",B20="",C20=""),"",ROUND(B20*C20,2))</f>
        <v/>
      </c>
      <c r="E20" s="308" t="n"/>
      <c r="F20" s="273">
        <f>IF(OR(A20="",E20="",C20="",NOT(ISNUMBER($U$2))),"",ROUND(E20*C20*$U$2,2))</f>
        <v/>
      </c>
      <c r="G20" s="308" t="n"/>
      <c r="H20" s="273">
        <f>IF(OR(A20="",G20="",C20="",NOT(ISNUMBER($U$3))),"",ROUND(G20*C20*$U$3,2))</f>
        <v/>
      </c>
      <c r="I20" s="308" t="n"/>
      <c r="J20" s="273">
        <f>IF(OR(A20="",I20="",C20="",NOT(ISNUMBER($U$4))),"",ROUND(I20*C20*$U$4,2))</f>
        <v/>
      </c>
      <c r="K20" s="308" t="n"/>
      <c r="L20" s="273">
        <f>IF(OR(A20="",K20="",C20="",NOT(ISNUMBER($U$5))),"",ROUND(K20*C20*$U$5,2))</f>
        <v/>
      </c>
      <c r="M20" s="308" t="n"/>
      <c r="N20" s="273">
        <f>IF(OR(A20="",M20="",C20="",NOT(ISNUMBER($U$6))),"",ROUND(M20*C20*$U$6,2))</f>
        <v/>
      </c>
      <c r="O20" s="282">
        <f>IF(A20="","",SUM(E20,G20,I20,K20,M20))</f>
        <v/>
      </c>
      <c r="P20" s="273">
        <f>IF(A20="","",SUM(F20,H20,J20,L20,N20))</f>
        <v/>
      </c>
      <c r="Q20" s="284">
        <f>IF(A20="","",IF(O20&gt;B20,"DIVERGENCIA: CONSUMO MAIOR QUE CONTRATADO","OK"))</f>
        <v/>
      </c>
      <c r="R20" s="34" t="n"/>
      <c r="S20" s="34" t="n"/>
      <c r="T20" s="34" t="n"/>
      <c r="U20" s="34" t="n"/>
      <c r="V20" s="34" t="n"/>
      <c r="W20" s="34" t="n"/>
    </row>
    <row r="21">
      <c r="A21" s="307" t="n"/>
      <c r="B21" s="308" t="n"/>
      <c r="C21" s="309" t="n"/>
      <c r="D21" s="273">
        <f>IF(OR(A21="",B21="",C21=""),"",ROUND(B21*C21,2))</f>
        <v/>
      </c>
      <c r="E21" s="308" t="n"/>
      <c r="F21" s="273">
        <f>IF(OR(A21="",E21="",C21="",NOT(ISNUMBER($U$2))),"",ROUND(E21*C21*$U$2,2))</f>
        <v/>
      </c>
      <c r="G21" s="308" t="n"/>
      <c r="H21" s="273">
        <f>IF(OR(A21="",G21="",C21="",NOT(ISNUMBER($U$3))),"",ROUND(G21*C21*$U$3,2))</f>
        <v/>
      </c>
      <c r="I21" s="308" t="n"/>
      <c r="J21" s="273">
        <f>IF(OR(A21="",I21="",C21="",NOT(ISNUMBER($U$4))),"",ROUND(I21*C21*$U$4,2))</f>
        <v/>
      </c>
      <c r="K21" s="308" t="n"/>
      <c r="L21" s="273">
        <f>IF(OR(A21="",K21="",C21="",NOT(ISNUMBER($U$5))),"",ROUND(K21*C21*$U$5,2))</f>
        <v/>
      </c>
      <c r="M21" s="308" t="n"/>
      <c r="N21" s="273">
        <f>IF(OR(A21="",M21="",C21="",NOT(ISNUMBER($U$6))),"",ROUND(M21*C21*$U$6,2))</f>
        <v/>
      </c>
      <c r="O21" s="282">
        <f>IF(A21="","",SUM(E21,G21,I21,K21,M21))</f>
        <v/>
      </c>
      <c r="P21" s="273">
        <f>IF(A21="","",SUM(F21,H21,J21,L21,N21))</f>
        <v/>
      </c>
      <c r="Q21" s="284">
        <f>IF(A21="","",IF(O21&gt;B21,"DIVERGENCIA: CONSUMO MAIOR QUE CONTRATADO","OK"))</f>
        <v/>
      </c>
      <c r="R21" s="34" t="n"/>
      <c r="S21" s="34" t="n"/>
      <c r="T21" s="34" t="n"/>
      <c r="U21" s="34" t="n"/>
      <c r="V21" s="34" t="n"/>
      <c r="W21" s="34" t="n"/>
    </row>
    <row r="22">
      <c r="A22" s="307" t="n"/>
      <c r="B22" s="308" t="n"/>
      <c r="C22" s="309" t="n"/>
      <c r="D22" s="273">
        <f>IF(OR(A22="",B22="",C22=""),"",ROUND(B22*C22,2))</f>
        <v/>
      </c>
      <c r="E22" s="308" t="n"/>
      <c r="F22" s="273">
        <f>IF(OR(A22="",E22="",C22="",NOT(ISNUMBER($U$2))),"",ROUND(E22*C22*$U$2,2))</f>
        <v/>
      </c>
      <c r="G22" s="308" t="n"/>
      <c r="H22" s="273">
        <f>IF(OR(A22="",G22="",C22="",NOT(ISNUMBER($U$3))),"",ROUND(G22*C22*$U$3,2))</f>
        <v/>
      </c>
      <c r="I22" s="308" t="n"/>
      <c r="J22" s="273">
        <f>IF(OR(A22="",I22="",C22="",NOT(ISNUMBER($U$4))),"",ROUND(I22*C22*$U$4,2))</f>
        <v/>
      </c>
      <c r="K22" s="308" t="n"/>
      <c r="L22" s="273">
        <f>IF(OR(A22="",K22="",C22="",NOT(ISNUMBER($U$5))),"",ROUND(K22*C22*$U$5,2))</f>
        <v/>
      </c>
      <c r="M22" s="308" t="n"/>
      <c r="N22" s="273">
        <f>IF(OR(A22="",M22="",C22="",NOT(ISNUMBER($U$6))),"",ROUND(M22*C22*$U$6,2))</f>
        <v/>
      </c>
      <c r="O22" s="282">
        <f>IF(A22="","",SUM(E22,G22,I22,K22,M22))</f>
        <v/>
      </c>
      <c r="P22" s="273">
        <f>IF(A22="","",SUM(F22,H22,J22,L22,N22))</f>
        <v/>
      </c>
      <c r="Q22" s="284">
        <f>IF(A22="","",IF(O22&gt;B22,"DIVERGENCIA: CONSUMO MAIOR QUE CONTRATADO","OK"))</f>
        <v/>
      </c>
      <c r="R22" s="34" t="n"/>
      <c r="S22" s="34" t="n"/>
      <c r="T22" s="34" t="n"/>
      <c r="U22" s="34" t="n"/>
      <c r="V22" s="34" t="n"/>
      <c r="W22" s="34" t="n"/>
    </row>
    <row r="23">
      <c r="A23" s="307" t="n"/>
      <c r="B23" s="308" t="n"/>
      <c r="C23" s="309" t="n"/>
      <c r="D23" s="273">
        <f>IF(OR(A23="",B23="",C23=""),"",ROUND(B23*C23,2))</f>
        <v/>
      </c>
      <c r="E23" s="308" t="n"/>
      <c r="F23" s="273">
        <f>IF(OR(A23="",E23="",C23="",NOT(ISNUMBER($U$2))),"",ROUND(E23*C23*$U$2,2))</f>
        <v/>
      </c>
      <c r="G23" s="308" t="n"/>
      <c r="H23" s="273">
        <f>IF(OR(A23="",G23="",C23="",NOT(ISNUMBER($U$3))),"",ROUND(G23*C23*$U$3,2))</f>
        <v/>
      </c>
      <c r="I23" s="308" t="n"/>
      <c r="J23" s="273">
        <f>IF(OR(A23="",I23="",C23="",NOT(ISNUMBER($U$4))),"",ROUND(I23*C23*$U$4,2))</f>
        <v/>
      </c>
      <c r="K23" s="308" t="n"/>
      <c r="L23" s="273">
        <f>IF(OR(A23="",K23="",C23="",NOT(ISNUMBER($U$5))),"",ROUND(K23*C23*$U$5,2))</f>
        <v/>
      </c>
      <c r="M23" s="308" t="n"/>
      <c r="N23" s="273">
        <f>IF(OR(A23="",M23="",C23="",NOT(ISNUMBER($U$6))),"",ROUND(M23*C23*$U$6,2))</f>
        <v/>
      </c>
      <c r="O23" s="282">
        <f>IF(A23="","",SUM(E23,G23,I23,K23,M23))</f>
        <v/>
      </c>
      <c r="P23" s="273">
        <f>IF(A23="","",SUM(F23,H23,J23,L23,N23))</f>
        <v/>
      </c>
      <c r="Q23" s="284">
        <f>IF(A23="","",IF(O23&gt;B23,"DIVERGENCIA: CONSUMO MAIOR QUE CONTRATADO","OK"))</f>
        <v/>
      </c>
      <c r="R23" s="34" t="n"/>
      <c r="S23" s="34" t="n"/>
      <c r="T23" s="34" t="n"/>
      <c r="U23" s="34" t="n"/>
      <c r="V23" s="34" t="n"/>
      <c r="W23" s="34" t="n"/>
    </row>
    <row r="24">
      <c r="A24" s="307" t="n"/>
      <c r="B24" s="308" t="n"/>
      <c r="C24" s="309" t="n"/>
      <c r="D24" s="273">
        <f>IF(OR(A24="",B24="",C24=""),"",ROUND(B24*C24,2))</f>
        <v/>
      </c>
      <c r="E24" s="308" t="n"/>
      <c r="F24" s="273">
        <f>IF(OR(A24="",E24="",C24="",NOT(ISNUMBER($U$2))),"",ROUND(E24*C24*$U$2,2))</f>
        <v/>
      </c>
      <c r="G24" s="308" t="n"/>
      <c r="H24" s="273">
        <f>IF(OR(A24="",G24="",C24="",NOT(ISNUMBER($U$3))),"",ROUND(G24*C24*$U$3,2))</f>
        <v/>
      </c>
      <c r="I24" s="308" t="n"/>
      <c r="J24" s="273">
        <f>IF(OR(A24="",I24="",C24="",NOT(ISNUMBER($U$4))),"",ROUND(I24*C24*$U$4,2))</f>
        <v/>
      </c>
      <c r="K24" s="308" t="n"/>
      <c r="L24" s="273">
        <f>IF(OR(A24="",K24="",C24="",NOT(ISNUMBER($U$5))),"",ROUND(K24*C24*$U$5,2))</f>
        <v/>
      </c>
      <c r="M24" s="308" t="n"/>
      <c r="N24" s="273">
        <f>IF(OR(A24="",M24="",C24="",NOT(ISNUMBER($U$6))),"",ROUND(M24*C24*$U$6,2))</f>
        <v/>
      </c>
      <c r="O24" s="282">
        <f>IF(A24="","",SUM(E24,G24,I24,K24,M24))</f>
        <v/>
      </c>
      <c r="P24" s="273">
        <f>IF(A24="","",SUM(F24,H24,J24,L24,N24))</f>
        <v/>
      </c>
      <c r="Q24" s="284">
        <f>IF(A24="","",IF(O24&gt;B24,"DIVERGENCIA: CONSUMO MAIOR QUE CONTRATADO","OK"))</f>
        <v/>
      </c>
      <c r="R24" s="34" t="n"/>
      <c r="S24" s="34" t="n"/>
      <c r="T24" s="34" t="n"/>
      <c r="U24" s="34" t="n"/>
      <c r="V24" s="34" t="n"/>
      <c r="W24" s="34" t="n"/>
    </row>
    <row r="25">
      <c r="A25" s="307" t="n"/>
      <c r="B25" s="308" t="n"/>
      <c r="C25" s="309" t="n"/>
      <c r="D25" s="273">
        <f>IF(OR(A25="",B25="",C25=""),"",ROUND(B25*C25,2))</f>
        <v/>
      </c>
      <c r="E25" s="308" t="n"/>
      <c r="F25" s="273">
        <f>IF(OR(A25="",E25="",C25="",NOT(ISNUMBER($U$2))),"",ROUND(E25*C25*$U$2,2))</f>
        <v/>
      </c>
      <c r="G25" s="308" t="n"/>
      <c r="H25" s="273">
        <f>IF(OR(A25="",G25="",C25="",NOT(ISNUMBER($U$3))),"",ROUND(G25*C25*$U$3,2))</f>
        <v/>
      </c>
      <c r="I25" s="308" t="n"/>
      <c r="J25" s="273">
        <f>IF(OR(A25="",I25="",C25="",NOT(ISNUMBER($U$4))),"",ROUND(I25*C25*$U$4,2))</f>
        <v/>
      </c>
      <c r="K25" s="308" t="n"/>
      <c r="L25" s="273">
        <f>IF(OR(A25="",K25="",C25="",NOT(ISNUMBER($U$5))),"",ROUND(K25*C25*$U$5,2))</f>
        <v/>
      </c>
      <c r="M25" s="308" t="n"/>
      <c r="N25" s="273">
        <f>IF(OR(A25="",M25="",C25="",NOT(ISNUMBER($U$6))),"",ROUND(M25*C25*$U$6,2))</f>
        <v/>
      </c>
      <c r="O25" s="282">
        <f>IF(A25="","",SUM(E25,G25,I25,K25,M25))</f>
        <v/>
      </c>
      <c r="P25" s="273">
        <f>IF(A25="","",SUM(F25,H25,J25,L25,N25))</f>
        <v/>
      </c>
      <c r="Q25" s="284">
        <f>IF(A25="","",IF(O25&gt;B25,"DIVERGENCIA: CONSUMO MAIOR QUE CONTRATADO","OK"))</f>
        <v/>
      </c>
      <c r="R25" s="34" t="n"/>
      <c r="S25" s="34" t="n"/>
      <c r="T25" s="34" t="n"/>
      <c r="U25" s="34" t="n"/>
      <c r="V25" s="34" t="n"/>
      <c r="W25" s="34" t="n"/>
    </row>
    <row r="26">
      <c r="A26" s="307" t="n"/>
      <c r="B26" s="308" t="n"/>
      <c r="C26" s="309" t="n"/>
      <c r="D26" s="273">
        <f>IF(OR(A26="",B26="",C26=""),"",ROUND(B26*C26,2))</f>
        <v/>
      </c>
      <c r="E26" s="308" t="n"/>
      <c r="F26" s="273">
        <f>IF(OR(A26="",E26="",C26="",NOT(ISNUMBER($U$2))),"",ROUND(E26*C26*$U$2,2))</f>
        <v/>
      </c>
      <c r="G26" s="308" t="n"/>
      <c r="H26" s="273">
        <f>IF(OR(A26="",G26="",C26="",NOT(ISNUMBER($U$3))),"",ROUND(G26*C26*$U$3,2))</f>
        <v/>
      </c>
      <c r="I26" s="308" t="n"/>
      <c r="J26" s="273">
        <f>IF(OR(A26="",I26="",C26="",NOT(ISNUMBER($U$4))),"",ROUND(I26*C26*$U$4,2))</f>
        <v/>
      </c>
      <c r="K26" s="308" t="n"/>
      <c r="L26" s="273">
        <f>IF(OR(A26="",K26="",C26="",NOT(ISNUMBER($U$5))),"",ROUND(K26*C26*$U$5,2))</f>
        <v/>
      </c>
      <c r="M26" s="308" t="n"/>
      <c r="N26" s="273">
        <f>IF(OR(A26="",M26="",C26="",NOT(ISNUMBER($U$6))),"",ROUND(M26*C26*$U$6,2))</f>
        <v/>
      </c>
      <c r="O26" s="282">
        <f>IF(A26="","",SUM(E26,G26,I26,K26,M26))</f>
        <v/>
      </c>
      <c r="P26" s="273">
        <f>IF(A26="","",SUM(F26,H26,J26,L26,N26))</f>
        <v/>
      </c>
      <c r="Q26" s="284">
        <f>IF(A26="","",IF(O26&gt;B26,"DIVERGENCIA: CONSUMO MAIOR QUE CONTRATADO","OK"))</f>
        <v/>
      </c>
      <c r="R26" s="34" t="n"/>
      <c r="S26" s="34" t="n"/>
      <c r="T26" s="34" t="n"/>
      <c r="U26" s="34" t="n"/>
      <c r="V26" s="34" t="n"/>
      <c r="W26" s="34" t="n"/>
    </row>
    <row r="27">
      <c r="A27" s="307" t="n"/>
      <c r="B27" s="308" t="n"/>
      <c r="C27" s="309" t="n"/>
      <c r="D27" s="273">
        <f>IF(OR(A27="",B27="",C27=""),"",ROUND(B27*C27,2))</f>
        <v/>
      </c>
      <c r="E27" s="308" t="n"/>
      <c r="F27" s="273">
        <f>IF(OR(A27="",E27="",C27="",NOT(ISNUMBER($U$2))),"",ROUND(E27*C27*$U$2,2))</f>
        <v/>
      </c>
      <c r="G27" s="308" t="n"/>
      <c r="H27" s="273">
        <f>IF(OR(A27="",G27="",C27="",NOT(ISNUMBER($U$3))),"",ROUND(G27*C27*$U$3,2))</f>
        <v/>
      </c>
      <c r="I27" s="308" t="n"/>
      <c r="J27" s="273">
        <f>IF(OR(A27="",I27="",C27="",NOT(ISNUMBER($U$4))),"",ROUND(I27*C27*$U$4,2))</f>
        <v/>
      </c>
      <c r="K27" s="308" t="n"/>
      <c r="L27" s="273">
        <f>IF(OR(A27="",K27="",C27="",NOT(ISNUMBER($U$5))),"",ROUND(K27*C27*$U$5,2))</f>
        <v/>
      </c>
      <c r="M27" s="308" t="n"/>
      <c r="N27" s="273">
        <f>IF(OR(A27="",M27="",C27="",NOT(ISNUMBER($U$6))),"",ROUND(M27*C27*$U$6,2))</f>
        <v/>
      </c>
      <c r="O27" s="282">
        <f>IF(A27="","",SUM(E27,G27,I27,K27,M27))</f>
        <v/>
      </c>
      <c r="P27" s="273">
        <f>IF(A27="","",SUM(F27,H27,J27,L27,N27))</f>
        <v/>
      </c>
      <c r="Q27" s="284">
        <f>IF(A27="","",IF(O27&gt;B27,"DIVERGENCIA: CONSUMO MAIOR QUE CONTRATADO","OK"))</f>
        <v/>
      </c>
      <c r="R27" s="34" t="n"/>
      <c r="S27" s="34" t="n"/>
      <c r="T27" s="34" t="n"/>
      <c r="U27" s="34" t="n"/>
      <c r="V27" s="34" t="n"/>
      <c r="W27" s="34" t="n"/>
    </row>
    <row r="28">
      <c r="A28" s="307" t="n"/>
      <c r="B28" s="308" t="n"/>
      <c r="C28" s="309" t="n"/>
      <c r="D28" s="273">
        <f>IF(OR(A28="",B28="",C28=""),"",ROUND(B28*C28,2))</f>
        <v/>
      </c>
      <c r="E28" s="308" t="n"/>
      <c r="F28" s="273">
        <f>IF(OR(A28="",E28="",C28="",NOT(ISNUMBER($U$2))),"",ROUND(E28*C28*$U$2,2))</f>
        <v/>
      </c>
      <c r="G28" s="308" t="n"/>
      <c r="H28" s="273">
        <f>IF(OR(A28="",G28="",C28="",NOT(ISNUMBER($U$3))),"",ROUND(G28*C28*$U$3,2))</f>
        <v/>
      </c>
      <c r="I28" s="308" t="n"/>
      <c r="J28" s="273">
        <f>IF(OR(A28="",I28="",C28="",NOT(ISNUMBER($U$4))),"",ROUND(I28*C28*$U$4,2))</f>
        <v/>
      </c>
      <c r="K28" s="308" t="n"/>
      <c r="L28" s="273">
        <f>IF(OR(A28="",K28="",C28="",NOT(ISNUMBER($U$5))),"",ROUND(K28*C28*$U$5,2))</f>
        <v/>
      </c>
      <c r="M28" s="308" t="n"/>
      <c r="N28" s="273">
        <f>IF(OR(A28="",M28="",C28="",NOT(ISNUMBER($U$6))),"",ROUND(M28*C28*$U$6,2))</f>
        <v/>
      </c>
      <c r="O28" s="282">
        <f>IF(A28="","",SUM(E28,G28,I28,K28,M28))</f>
        <v/>
      </c>
      <c r="P28" s="273">
        <f>IF(A28="","",SUM(F28,H28,J28,L28,N28))</f>
        <v/>
      </c>
      <c r="Q28" s="284">
        <f>IF(A28="","",IF(O28&gt;B28,"DIVERGENCIA: CONSUMO MAIOR QUE CONTRATADO","OK"))</f>
        <v/>
      </c>
      <c r="R28" s="34" t="n"/>
      <c r="S28" s="34" t="n"/>
      <c r="T28" s="34" t="n"/>
      <c r="U28" s="34" t="n"/>
      <c r="V28" s="34" t="n"/>
      <c r="W28" s="34" t="n"/>
    </row>
    <row r="29">
      <c r="A29" s="307" t="n"/>
      <c r="B29" s="308" t="n"/>
      <c r="C29" s="309" t="n"/>
      <c r="D29" s="273">
        <f>IF(OR(A29="",B29="",C29=""),"",ROUND(B29*C29,2))</f>
        <v/>
      </c>
      <c r="E29" s="308" t="n"/>
      <c r="F29" s="273">
        <f>IF(OR(A29="",E29="",C29="",NOT(ISNUMBER($U$2))),"",ROUND(E29*C29*$U$2,2))</f>
        <v/>
      </c>
      <c r="G29" s="308" t="n"/>
      <c r="H29" s="273">
        <f>IF(OR(A29="",G29="",C29="",NOT(ISNUMBER($U$3))),"",ROUND(G29*C29*$U$3,2))</f>
        <v/>
      </c>
      <c r="I29" s="308" t="n"/>
      <c r="J29" s="273">
        <f>IF(OR(A29="",I29="",C29="",NOT(ISNUMBER($U$4))),"",ROUND(I29*C29*$U$4,2))</f>
        <v/>
      </c>
      <c r="K29" s="308" t="n"/>
      <c r="L29" s="273">
        <f>IF(OR(A29="",K29="",C29="",NOT(ISNUMBER($U$5))),"",ROUND(K29*C29*$U$5,2))</f>
        <v/>
      </c>
      <c r="M29" s="308" t="n"/>
      <c r="N29" s="273">
        <f>IF(OR(A29="",M29="",C29="",NOT(ISNUMBER($U$6))),"",ROUND(M29*C29*$U$6,2))</f>
        <v/>
      </c>
      <c r="O29" s="282">
        <f>IF(A29="","",SUM(E29,G29,I29,K29,M29))</f>
        <v/>
      </c>
      <c r="P29" s="273">
        <f>IF(A29="","",SUM(F29,H29,J29,L29,N29))</f>
        <v/>
      </c>
      <c r="Q29" s="284">
        <f>IF(A29="","",IF(O29&gt;B29,"DIVERGENCIA: CONSUMO MAIOR QUE CONTRATADO","OK"))</f>
        <v/>
      </c>
      <c r="R29" s="34" t="n"/>
      <c r="S29" s="34" t="n"/>
      <c r="T29" s="34" t="n"/>
      <c r="U29" s="34" t="n"/>
      <c r="V29" s="34" t="n"/>
      <c r="W29" s="34" t="n"/>
    </row>
    <row r="30">
      <c r="A30" s="307" t="n"/>
      <c r="B30" s="308" t="n"/>
      <c r="C30" s="309" t="n"/>
      <c r="D30" s="273">
        <f>IF(OR(A30="",B30="",C30=""),"",ROUND(B30*C30,2))</f>
        <v/>
      </c>
      <c r="E30" s="308" t="n"/>
      <c r="F30" s="273">
        <f>IF(OR(A30="",E30="",C30="",NOT(ISNUMBER($U$2))),"",ROUND(E30*C30*$U$2,2))</f>
        <v/>
      </c>
      <c r="G30" s="308" t="n"/>
      <c r="H30" s="273">
        <f>IF(OR(A30="",G30="",C30="",NOT(ISNUMBER($U$3))),"",ROUND(G30*C30*$U$3,2))</f>
        <v/>
      </c>
      <c r="I30" s="308" t="n"/>
      <c r="J30" s="273">
        <f>IF(OR(A30="",I30="",C30="",NOT(ISNUMBER($U$4))),"",ROUND(I30*C30*$U$4,2))</f>
        <v/>
      </c>
      <c r="K30" s="308" t="n"/>
      <c r="L30" s="273">
        <f>IF(OR(A30="",K30="",C30="",NOT(ISNUMBER($U$5))),"",ROUND(K30*C30*$U$5,2))</f>
        <v/>
      </c>
      <c r="M30" s="308" t="n"/>
      <c r="N30" s="273">
        <f>IF(OR(A30="",M30="",C30="",NOT(ISNUMBER($U$6))),"",ROUND(M30*C30*$U$6,2))</f>
        <v/>
      </c>
      <c r="O30" s="282">
        <f>IF(A30="","",SUM(E30,G30,I30,K30,M30))</f>
        <v/>
      </c>
      <c r="P30" s="273">
        <f>IF(A30="","",SUM(F30,H30,J30,L30,N30))</f>
        <v/>
      </c>
      <c r="Q30" s="284">
        <f>IF(A30="","",IF(O30&gt;B30,"DIVERGENCIA: CONSUMO MAIOR QUE CONTRATADO","OK"))</f>
        <v/>
      </c>
      <c r="R30" s="34" t="n"/>
      <c r="S30" s="34" t="n"/>
      <c r="T30" s="34" t="n"/>
      <c r="U30" s="34" t="n"/>
      <c r="V30" s="34" t="n"/>
      <c r="W30" s="34" t="n"/>
    </row>
    <row r="31">
      <c r="A31" s="307" t="n"/>
      <c r="B31" s="308" t="n"/>
      <c r="C31" s="309" t="n"/>
      <c r="D31" s="273">
        <f>IF(OR(A31="",B31="",C31=""),"",ROUND(B31*C31,2))</f>
        <v/>
      </c>
      <c r="E31" s="308" t="n"/>
      <c r="F31" s="273">
        <f>IF(OR(A31="",E31="",C31="",NOT(ISNUMBER($U$2))),"",ROUND(E31*C31*$U$2,2))</f>
        <v/>
      </c>
      <c r="G31" s="308" t="n"/>
      <c r="H31" s="273">
        <f>IF(OR(A31="",G31="",C31="",NOT(ISNUMBER($U$3))),"",ROUND(G31*C31*$U$3,2))</f>
        <v/>
      </c>
      <c r="I31" s="308" t="n"/>
      <c r="J31" s="273">
        <f>IF(OR(A31="",I31="",C31="",NOT(ISNUMBER($U$4))),"",ROUND(I31*C31*$U$4,2))</f>
        <v/>
      </c>
      <c r="K31" s="308" t="n"/>
      <c r="L31" s="273">
        <f>IF(OR(A31="",K31="",C31="",NOT(ISNUMBER($U$5))),"",ROUND(K31*C31*$U$5,2))</f>
        <v/>
      </c>
      <c r="M31" s="308" t="n"/>
      <c r="N31" s="273">
        <f>IF(OR(A31="",M31="",C31="",NOT(ISNUMBER($U$6))),"",ROUND(M31*C31*$U$6,2))</f>
        <v/>
      </c>
      <c r="O31" s="282">
        <f>IF(A31="","",SUM(E31,G31,I31,K31,M31))</f>
        <v/>
      </c>
      <c r="P31" s="273">
        <f>IF(A31="","",SUM(F31,H31,J31,L31,N31))</f>
        <v/>
      </c>
      <c r="Q31" s="284">
        <f>IF(A31="","",IF(O31&gt;B31,"DIVERGENCIA: CONSUMO MAIOR QUE CONTRATADO","OK"))</f>
        <v/>
      </c>
      <c r="R31" s="34" t="n"/>
      <c r="S31" s="34" t="n"/>
      <c r="T31" s="34" t="n"/>
      <c r="U31" s="34" t="n"/>
      <c r="V31" s="34" t="n"/>
      <c r="W31" s="34" t="n"/>
    </row>
    <row r="32">
      <c r="A32" s="307" t="n"/>
      <c r="B32" s="308" t="n"/>
      <c r="C32" s="309" t="n"/>
      <c r="D32" s="273">
        <f>IF(OR(A32="",B32="",C32=""),"",ROUND(B32*C32,2))</f>
        <v/>
      </c>
      <c r="E32" s="308" t="n"/>
      <c r="F32" s="273">
        <f>IF(OR(A32="",E32="",C32="",NOT(ISNUMBER($U$2))),"",ROUND(E32*C32*$U$2,2))</f>
        <v/>
      </c>
      <c r="G32" s="308" t="n"/>
      <c r="H32" s="273">
        <f>IF(OR(A32="",G32="",C32="",NOT(ISNUMBER($U$3))),"",ROUND(G32*C32*$U$3,2))</f>
        <v/>
      </c>
      <c r="I32" s="308" t="n"/>
      <c r="J32" s="273">
        <f>IF(OR(A32="",I32="",C32="",NOT(ISNUMBER($U$4))),"",ROUND(I32*C32*$U$4,2))</f>
        <v/>
      </c>
      <c r="K32" s="308" t="n"/>
      <c r="L32" s="273">
        <f>IF(OR(A32="",K32="",C32="",NOT(ISNUMBER($U$5))),"",ROUND(K32*C32*$U$5,2))</f>
        <v/>
      </c>
      <c r="M32" s="308" t="n"/>
      <c r="N32" s="273">
        <f>IF(OR(A32="",M32="",C32="",NOT(ISNUMBER($U$6))),"",ROUND(M32*C32*$U$6,2))</f>
        <v/>
      </c>
      <c r="O32" s="282">
        <f>IF(A32="","",SUM(E32,G32,I32,K32,M32))</f>
        <v/>
      </c>
      <c r="P32" s="273">
        <f>IF(A32="","",SUM(F32,H32,J32,L32,N32))</f>
        <v/>
      </c>
      <c r="Q32" s="284">
        <f>IF(A32="","",IF(O32&gt;B32,"DIVERGENCIA: CONSUMO MAIOR QUE CONTRATADO","OK"))</f>
        <v/>
      </c>
      <c r="R32" s="34" t="n"/>
      <c r="S32" s="34" t="n"/>
      <c r="T32" s="34" t="n"/>
      <c r="U32" s="34" t="n"/>
      <c r="V32" s="34" t="n"/>
      <c r="W32" s="34" t="n"/>
    </row>
    <row r="33">
      <c r="A33" s="307" t="n"/>
      <c r="B33" s="308" t="n"/>
      <c r="C33" s="309" t="n"/>
      <c r="D33" s="273">
        <f>IF(OR(A33="",B33="",C33=""),"",ROUND(B33*C33,2))</f>
        <v/>
      </c>
      <c r="E33" s="308" t="n"/>
      <c r="F33" s="273">
        <f>IF(OR(A33="",E33="",C33="",NOT(ISNUMBER($U$2))),"",ROUND(E33*C33*$U$2,2))</f>
        <v/>
      </c>
      <c r="G33" s="308" t="n"/>
      <c r="H33" s="273">
        <f>IF(OR(A33="",G33="",C33="",NOT(ISNUMBER($U$3))),"",ROUND(G33*C33*$U$3,2))</f>
        <v/>
      </c>
      <c r="I33" s="308" t="n"/>
      <c r="J33" s="273">
        <f>IF(OR(A33="",I33="",C33="",NOT(ISNUMBER($U$4))),"",ROUND(I33*C33*$U$4,2))</f>
        <v/>
      </c>
      <c r="K33" s="308" t="n"/>
      <c r="L33" s="273">
        <f>IF(OR(A33="",K33="",C33="",NOT(ISNUMBER($U$5))),"",ROUND(K33*C33*$U$5,2))</f>
        <v/>
      </c>
      <c r="M33" s="308" t="n"/>
      <c r="N33" s="273">
        <f>IF(OR(A33="",M33="",C33="",NOT(ISNUMBER($U$6))),"",ROUND(M33*C33*$U$6,2))</f>
        <v/>
      </c>
      <c r="O33" s="282">
        <f>IF(A33="","",SUM(E33,G33,I33,K33,M33))</f>
        <v/>
      </c>
      <c r="P33" s="273">
        <f>IF(A33="","",SUM(F33,H33,J33,L33,N33))</f>
        <v/>
      </c>
      <c r="Q33" s="284">
        <f>IF(A33="","",IF(O33&gt;B33,"DIVERGENCIA: CONSUMO MAIOR QUE CONTRATADO","OK"))</f>
        <v/>
      </c>
      <c r="R33" s="34" t="n"/>
      <c r="S33" s="34" t="n"/>
      <c r="T33" s="34" t="n"/>
      <c r="U33" s="34" t="n"/>
      <c r="V33" s="34" t="n"/>
      <c r="W33" s="34" t="n"/>
    </row>
    <row r="34">
      <c r="A34" s="307" t="n"/>
      <c r="B34" s="308" t="n"/>
      <c r="C34" s="309" t="n"/>
      <c r="D34" s="273">
        <f>IF(OR(A34="",B34="",C34=""),"",ROUND(B34*C34,2))</f>
        <v/>
      </c>
      <c r="E34" s="308" t="n"/>
      <c r="F34" s="273">
        <f>IF(OR(A34="",E34="",C34="",NOT(ISNUMBER($U$2))),"",ROUND(E34*C34*$U$2,2))</f>
        <v/>
      </c>
      <c r="G34" s="308" t="n"/>
      <c r="H34" s="273">
        <f>IF(OR(A34="",G34="",C34="",NOT(ISNUMBER($U$3))),"",ROUND(G34*C34*$U$3,2))</f>
        <v/>
      </c>
      <c r="I34" s="308" t="n"/>
      <c r="J34" s="273">
        <f>IF(OR(A34="",I34="",C34="",NOT(ISNUMBER($U$4))),"",ROUND(I34*C34*$U$4,2))</f>
        <v/>
      </c>
      <c r="K34" s="308" t="n"/>
      <c r="L34" s="273">
        <f>IF(OR(A34="",K34="",C34="",NOT(ISNUMBER($U$5))),"",ROUND(K34*C34*$U$5,2))</f>
        <v/>
      </c>
      <c r="M34" s="308" t="n"/>
      <c r="N34" s="273">
        <f>IF(OR(A34="",M34="",C34="",NOT(ISNUMBER($U$6))),"",ROUND(M34*C34*$U$6,2))</f>
        <v/>
      </c>
      <c r="O34" s="282">
        <f>IF(A34="","",SUM(E34,G34,I34,K34,M34))</f>
        <v/>
      </c>
      <c r="P34" s="273">
        <f>IF(A34="","",SUM(F34,H34,J34,L34,N34))</f>
        <v/>
      </c>
      <c r="Q34" s="284">
        <f>IF(A34="","",IF(O34&gt;B34,"DIVERGENCIA: CONSUMO MAIOR QUE CONTRATADO","OK"))</f>
        <v/>
      </c>
      <c r="R34" s="34" t="n"/>
      <c r="S34" s="34" t="n"/>
      <c r="T34" s="34" t="n"/>
      <c r="U34" s="34" t="n"/>
      <c r="V34" s="34" t="n"/>
      <c r="W34" s="34" t="n"/>
    </row>
    <row r="35">
      <c r="A35" s="307" t="n"/>
      <c r="B35" s="308" t="n"/>
      <c r="C35" s="309" t="n"/>
      <c r="D35" s="273">
        <f>IF(OR(A35="",B35="",C35=""),"",ROUND(B35*C35,2))</f>
        <v/>
      </c>
      <c r="E35" s="308" t="n"/>
      <c r="F35" s="273">
        <f>IF(OR(A35="",E35="",C35="",NOT(ISNUMBER($U$2))),"",ROUND(E35*C35*$U$2,2))</f>
        <v/>
      </c>
      <c r="G35" s="308" t="n"/>
      <c r="H35" s="273">
        <f>IF(OR(A35="",G35="",C35="",NOT(ISNUMBER($U$3))),"",ROUND(G35*C35*$U$3,2))</f>
        <v/>
      </c>
      <c r="I35" s="308" t="n"/>
      <c r="J35" s="273">
        <f>IF(OR(A35="",I35="",C35="",NOT(ISNUMBER($U$4))),"",ROUND(I35*C35*$U$4,2))</f>
        <v/>
      </c>
      <c r="K35" s="308" t="n"/>
      <c r="L35" s="273">
        <f>IF(OR(A35="",K35="",C35="",NOT(ISNUMBER($U$5))),"",ROUND(K35*C35*$U$5,2))</f>
        <v/>
      </c>
      <c r="M35" s="308" t="n"/>
      <c r="N35" s="273">
        <f>IF(OR(A35="",M35="",C35="",NOT(ISNUMBER($U$6))),"",ROUND(M35*C35*$U$6,2))</f>
        <v/>
      </c>
      <c r="O35" s="282">
        <f>IF(A35="","",SUM(E35,G35,I35,K35,M35))</f>
        <v/>
      </c>
      <c r="P35" s="273">
        <f>IF(A35="","",SUM(F35,H35,J35,L35,N35))</f>
        <v/>
      </c>
      <c r="Q35" s="284">
        <f>IF(A35="","",IF(O35&gt;B35,"DIVERGENCIA: CONSUMO MAIOR QUE CONTRATADO","OK"))</f>
        <v/>
      </c>
      <c r="R35" s="34" t="n"/>
      <c r="S35" s="34" t="n"/>
      <c r="T35" s="34" t="n"/>
      <c r="U35" s="34" t="n"/>
      <c r="V35" s="34" t="n"/>
      <c r="W35" s="34" t="n"/>
    </row>
    <row r="36">
      <c r="A36" s="307" t="n"/>
      <c r="B36" s="308" t="n"/>
      <c r="C36" s="309" t="n"/>
      <c r="D36" s="273">
        <f>IF(OR(A36="",B36="",C36=""),"",ROUND(B36*C36,2))</f>
        <v/>
      </c>
      <c r="E36" s="308" t="n"/>
      <c r="F36" s="273">
        <f>IF(OR(A36="",E36="",C36="",NOT(ISNUMBER($U$2))),"",ROUND(E36*C36*$U$2,2))</f>
        <v/>
      </c>
      <c r="G36" s="308" t="n"/>
      <c r="H36" s="273">
        <f>IF(OR(A36="",G36="",C36="",NOT(ISNUMBER($U$3))),"",ROUND(G36*C36*$U$3,2))</f>
        <v/>
      </c>
      <c r="I36" s="308" t="n"/>
      <c r="J36" s="273">
        <f>IF(OR(A36="",I36="",C36="",NOT(ISNUMBER($U$4))),"",ROUND(I36*C36*$U$4,2))</f>
        <v/>
      </c>
      <c r="K36" s="308" t="n"/>
      <c r="L36" s="273">
        <f>IF(OR(A36="",K36="",C36="",NOT(ISNUMBER($U$5))),"",ROUND(K36*C36*$U$5,2))</f>
        <v/>
      </c>
      <c r="M36" s="308" t="n"/>
      <c r="N36" s="273">
        <f>IF(OR(A36="",M36="",C36="",NOT(ISNUMBER($U$6))),"",ROUND(M36*C36*$U$6,2))</f>
        <v/>
      </c>
      <c r="O36" s="282">
        <f>IF(A36="","",SUM(E36,G36,I36,K36,M36))</f>
        <v/>
      </c>
      <c r="P36" s="273">
        <f>IF(A36="","",SUM(F36,H36,J36,L36,N36))</f>
        <v/>
      </c>
      <c r="Q36" s="284">
        <f>IF(A36="","",IF(O36&gt;B36,"DIVERGENCIA: CONSUMO MAIOR QUE CONTRATADO","OK"))</f>
        <v/>
      </c>
      <c r="R36" s="34" t="n"/>
      <c r="S36" s="34" t="n"/>
      <c r="T36" s="34" t="n"/>
      <c r="U36" s="34" t="n"/>
      <c r="V36" s="34" t="n"/>
      <c r="W36" s="34" t="n"/>
    </row>
    <row r="37">
      <c r="A37" s="307" t="n"/>
      <c r="B37" s="308" t="n"/>
      <c r="C37" s="309" t="n"/>
      <c r="D37" s="273">
        <f>IF(OR(A37="",B37="",C37=""),"",ROUND(B37*C37,2))</f>
        <v/>
      </c>
      <c r="E37" s="308" t="n"/>
      <c r="F37" s="273">
        <f>IF(OR(A37="",E37="",C37="",NOT(ISNUMBER($U$2))),"",ROUND(E37*C37*$U$2,2))</f>
        <v/>
      </c>
      <c r="G37" s="308" t="n"/>
      <c r="H37" s="273">
        <f>IF(OR(A37="",G37="",C37="",NOT(ISNUMBER($U$3))),"",ROUND(G37*C37*$U$3,2))</f>
        <v/>
      </c>
      <c r="I37" s="308" t="n"/>
      <c r="J37" s="273">
        <f>IF(OR(A37="",I37="",C37="",NOT(ISNUMBER($U$4))),"",ROUND(I37*C37*$U$4,2))</f>
        <v/>
      </c>
      <c r="K37" s="308" t="n"/>
      <c r="L37" s="273">
        <f>IF(OR(A37="",K37="",C37="",NOT(ISNUMBER($U$5))),"",ROUND(K37*C37*$U$5,2))</f>
        <v/>
      </c>
      <c r="M37" s="308" t="n"/>
      <c r="N37" s="273">
        <f>IF(OR(A37="",M37="",C37="",NOT(ISNUMBER($U$6))),"",ROUND(M37*C37*$U$6,2))</f>
        <v/>
      </c>
      <c r="O37" s="282">
        <f>IF(A37="","",SUM(E37,G37,I37,K37,M37))</f>
        <v/>
      </c>
      <c r="P37" s="273">
        <f>IF(A37="","",SUM(F37,H37,J37,L37,N37))</f>
        <v/>
      </c>
      <c r="Q37" s="284">
        <f>IF(A37="","",IF(O37&gt;B37,"DIVERGENCIA: CONSUMO MAIOR QUE CONTRATADO","OK"))</f>
        <v/>
      </c>
      <c r="R37" s="34" t="n"/>
      <c r="S37" s="34" t="n"/>
      <c r="T37" s="34" t="n"/>
      <c r="U37" s="34" t="n"/>
      <c r="V37" s="34" t="n"/>
      <c r="W37" s="34" t="n"/>
    </row>
    <row r="38">
      <c r="A38" s="307" t="n"/>
      <c r="B38" s="308" t="n"/>
      <c r="C38" s="309" t="n"/>
      <c r="D38" s="273">
        <f>IF(OR(A38="",B38="",C38=""),"",ROUND(B38*C38,2))</f>
        <v/>
      </c>
      <c r="E38" s="308" t="n"/>
      <c r="F38" s="273">
        <f>IF(OR(A38="",E38="",C38="",NOT(ISNUMBER($U$2))),"",ROUND(E38*C38*$U$2,2))</f>
        <v/>
      </c>
      <c r="G38" s="308" t="n"/>
      <c r="H38" s="273">
        <f>IF(OR(A38="",G38="",C38="",NOT(ISNUMBER($U$3))),"",ROUND(G38*C38*$U$3,2))</f>
        <v/>
      </c>
      <c r="I38" s="308" t="n"/>
      <c r="J38" s="273">
        <f>IF(OR(A38="",I38="",C38="",NOT(ISNUMBER($U$4))),"",ROUND(I38*C38*$U$4,2))</f>
        <v/>
      </c>
      <c r="K38" s="308" t="n"/>
      <c r="L38" s="273">
        <f>IF(OR(A38="",K38="",C38="",NOT(ISNUMBER($U$5))),"",ROUND(K38*C38*$U$5,2))</f>
        <v/>
      </c>
      <c r="M38" s="308" t="n"/>
      <c r="N38" s="273">
        <f>IF(OR(A38="",M38="",C38="",NOT(ISNUMBER($U$6))),"",ROUND(M38*C38*$U$6,2))</f>
        <v/>
      </c>
      <c r="O38" s="282">
        <f>IF(A38="","",SUM(E38,G38,I38,K38,M38))</f>
        <v/>
      </c>
      <c r="P38" s="273">
        <f>IF(A38="","",SUM(F38,H38,J38,L38,N38))</f>
        <v/>
      </c>
      <c r="Q38" s="284">
        <f>IF(A38="","",IF(O38&gt;B38,"DIVERGENCIA: CONSUMO MAIOR QUE CONTRATADO","OK"))</f>
        <v/>
      </c>
      <c r="R38" s="34" t="n"/>
      <c r="S38" s="34" t="n"/>
      <c r="T38" s="34" t="n"/>
      <c r="U38" s="34" t="n"/>
      <c r="V38" s="34" t="n"/>
      <c r="W38" s="34" t="n"/>
    </row>
    <row r="39">
      <c r="A39" s="307" t="n"/>
      <c r="B39" s="308" t="n"/>
      <c r="C39" s="309" t="n"/>
      <c r="D39" s="273">
        <f>IF(OR(A39="",B39="",C39=""),"",ROUND(B39*C39,2))</f>
        <v/>
      </c>
      <c r="E39" s="308" t="n"/>
      <c r="F39" s="273">
        <f>IF(OR(A39="",E39="",C39="",NOT(ISNUMBER($U$2))),"",ROUND(E39*C39*$U$2,2))</f>
        <v/>
      </c>
      <c r="G39" s="308" t="n"/>
      <c r="H39" s="273">
        <f>IF(OR(A39="",G39="",C39="",NOT(ISNUMBER($U$3))),"",ROUND(G39*C39*$U$3,2))</f>
        <v/>
      </c>
      <c r="I39" s="308" t="n"/>
      <c r="J39" s="273">
        <f>IF(OR(A39="",I39="",C39="",NOT(ISNUMBER($U$4))),"",ROUND(I39*C39*$U$4,2))</f>
        <v/>
      </c>
      <c r="K39" s="308" t="n"/>
      <c r="L39" s="273">
        <f>IF(OR(A39="",K39="",C39="",NOT(ISNUMBER($U$5))),"",ROUND(K39*C39*$U$5,2))</f>
        <v/>
      </c>
      <c r="M39" s="308" t="n"/>
      <c r="N39" s="273">
        <f>IF(OR(A39="",M39="",C39="",NOT(ISNUMBER($U$6))),"",ROUND(M39*C39*$U$6,2))</f>
        <v/>
      </c>
      <c r="O39" s="282">
        <f>IF(A39="","",SUM(E39,G39,I39,K39,M39))</f>
        <v/>
      </c>
      <c r="P39" s="273">
        <f>IF(A39="","",SUM(F39,H39,J39,L39,N39))</f>
        <v/>
      </c>
      <c r="Q39" s="284">
        <f>IF(A39="","",IF(O39&gt;B39,"DIVERGENCIA: CONSUMO MAIOR QUE CONTRATADO","OK"))</f>
        <v/>
      </c>
      <c r="R39" s="34" t="n"/>
      <c r="S39" s="34" t="n"/>
      <c r="T39" s="34" t="n"/>
      <c r="U39" s="34" t="n"/>
      <c r="V39" s="34" t="n"/>
      <c r="W39" s="34" t="n"/>
    </row>
    <row r="40">
      <c r="A40" s="307" t="n"/>
      <c r="B40" s="308" t="n"/>
      <c r="C40" s="309" t="n"/>
      <c r="D40" s="273">
        <f>IF(OR(A40="",B40="",C40=""),"",ROUND(B40*C40,2))</f>
        <v/>
      </c>
      <c r="E40" s="308" t="n"/>
      <c r="F40" s="273">
        <f>IF(OR(A40="",E40="",C40="",NOT(ISNUMBER($U$2))),"",ROUND(E40*C40*$U$2,2))</f>
        <v/>
      </c>
      <c r="G40" s="308" t="n"/>
      <c r="H40" s="273">
        <f>IF(OR(A40="",G40="",C40="",NOT(ISNUMBER($U$3))),"",ROUND(G40*C40*$U$3,2))</f>
        <v/>
      </c>
      <c r="I40" s="308" t="n"/>
      <c r="J40" s="273">
        <f>IF(OR(A40="",I40="",C40="",NOT(ISNUMBER($U$4))),"",ROUND(I40*C40*$U$4,2))</f>
        <v/>
      </c>
      <c r="K40" s="308" t="n"/>
      <c r="L40" s="273">
        <f>IF(OR(A40="",K40="",C40="",NOT(ISNUMBER($U$5))),"",ROUND(K40*C40*$U$5,2))</f>
        <v/>
      </c>
      <c r="M40" s="308" t="n"/>
      <c r="N40" s="273">
        <f>IF(OR(A40="",M40="",C40="",NOT(ISNUMBER($U$6))),"",ROUND(M40*C40*$U$6,2))</f>
        <v/>
      </c>
      <c r="O40" s="282">
        <f>IF(A40="","",SUM(E40,G40,I40,K40,M40))</f>
        <v/>
      </c>
      <c r="P40" s="273">
        <f>IF(A40="","",SUM(F40,H40,J40,L40,N40))</f>
        <v/>
      </c>
      <c r="Q40" s="284">
        <f>IF(A40="","",IF(O40&gt;B40,"DIVERGENCIA: CONSUMO MAIOR QUE CONTRATADO","OK"))</f>
        <v/>
      </c>
      <c r="R40" s="34" t="n"/>
      <c r="S40" s="34" t="n"/>
      <c r="T40" s="34" t="n"/>
      <c r="U40" s="34" t="n"/>
      <c r="V40" s="34" t="n"/>
      <c r="W40" s="34" t="n"/>
    </row>
    <row r="41">
      <c r="A41" s="307" t="n"/>
      <c r="B41" s="308" t="n"/>
      <c r="C41" s="309" t="n"/>
      <c r="D41" s="273">
        <f>IF(OR(A41="",B41="",C41=""),"",ROUND(B41*C41,2))</f>
        <v/>
      </c>
      <c r="E41" s="308" t="n"/>
      <c r="F41" s="273">
        <f>IF(OR(A41="",E41="",C41="",NOT(ISNUMBER($U$2))),"",ROUND(E41*C41*$U$2,2))</f>
        <v/>
      </c>
      <c r="G41" s="308" t="n"/>
      <c r="H41" s="273">
        <f>IF(OR(A41="",G41="",C41="",NOT(ISNUMBER($U$3))),"",ROUND(G41*C41*$U$3,2))</f>
        <v/>
      </c>
      <c r="I41" s="308" t="n"/>
      <c r="J41" s="273">
        <f>IF(OR(A41="",I41="",C41="",NOT(ISNUMBER($U$4))),"",ROUND(I41*C41*$U$4,2))</f>
        <v/>
      </c>
      <c r="K41" s="308" t="n"/>
      <c r="L41" s="273">
        <f>IF(OR(A41="",K41="",C41="",NOT(ISNUMBER($U$5))),"",ROUND(K41*C41*$U$5,2))</f>
        <v/>
      </c>
      <c r="M41" s="308" t="n"/>
      <c r="N41" s="273">
        <f>IF(OR(A41="",M41="",C41="",NOT(ISNUMBER($U$6))),"",ROUND(M41*C41*$U$6,2))</f>
        <v/>
      </c>
      <c r="O41" s="282">
        <f>IF(A41="","",SUM(E41,G41,I41,K41,M41))</f>
        <v/>
      </c>
      <c r="P41" s="273">
        <f>IF(A41="","",SUM(F41,H41,J41,L41,N41))</f>
        <v/>
      </c>
      <c r="Q41" s="284">
        <f>IF(A41="","",IF(O41&gt;B41,"DIVERGENCIA: CONSUMO MAIOR QUE CONTRATADO","OK"))</f>
        <v/>
      </c>
      <c r="R41" s="34" t="n"/>
      <c r="S41" s="34" t="n"/>
      <c r="T41" s="34" t="n"/>
      <c r="U41" s="34" t="n"/>
      <c r="V41" s="34" t="n"/>
      <c r="W41" s="34" t="n"/>
    </row>
    <row r="42">
      <c r="A42" s="307" t="n"/>
      <c r="B42" s="308" t="n"/>
      <c r="C42" s="309" t="n"/>
      <c r="D42" s="273">
        <f>IF(OR(A42="",B42="",C42=""),"",ROUND(B42*C42,2))</f>
        <v/>
      </c>
      <c r="E42" s="308" t="n"/>
      <c r="F42" s="273">
        <f>IF(OR(A42="",E42="",C42="",NOT(ISNUMBER($U$2))),"",ROUND(E42*C42*$U$2,2))</f>
        <v/>
      </c>
      <c r="G42" s="308" t="n"/>
      <c r="H42" s="273">
        <f>IF(OR(A42="",G42="",C42="",NOT(ISNUMBER($U$3))),"",ROUND(G42*C42*$U$3,2))</f>
        <v/>
      </c>
      <c r="I42" s="308" t="n"/>
      <c r="J42" s="273">
        <f>IF(OR(A42="",I42="",C42="",NOT(ISNUMBER($U$4))),"",ROUND(I42*C42*$U$4,2))</f>
        <v/>
      </c>
      <c r="K42" s="308" t="n"/>
      <c r="L42" s="273">
        <f>IF(OR(A42="",K42="",C42="",NOT(ISNUMBER($U$5))),"",ROUND(K42*C42*$U$5,2))</f>
        <v/>
      </c>
      <c r="M42" s="308" t="n"/>
      <c r="N42" s="273">
        <f>IF(OR(A42="",M42="",C42="",NOT(ISNUMBER($U$6))),"",ROUND(M42*C42*$U$6,2))</f>
        <v/>
      </c>
      <c r="O42" s="282">
        <f>IF(A42="","",SUM(E42,G42,I42,K42,M42))</f>
        <v/>
      </c>
      <c r="P42" s="273">
        <f>IF(A42="","",SUM(F42,H42,J42,L42,N42))</f>
        <v/>
      </c>
      <c r="Q42" s="284">
        <f>IF(A42="","",IF(O42&gt;B42,"DIVERGENCIA: CONSUMO MAIOR QUE CONTRATADO","OK"))</f>
        <v/>
      </c>
      <c r="R42" s="34" t="n"/>
      <c r="S42" s="34" t="n"/>
      <c r="T42" s="34" t="n"/>
      <c r="U42" s="34" t="n"/>
      <c r="V42" s="34" t="n"/>
      <c r="W42" s="34" t="n"/>
    </row>
    <row r="43">
      <c r="A43" s="307" t="n"/>
      <c r="B43" s="308" t="n"/>
      <c r="C43" s="309" t="n"/>
      <c r="D43" s="273">
        <f>IF(OR(A43="",B43="",C43=""),"",ROUND(B43*C43,2))</f>
        <v/>
      </c>
      <c r="E43" s="308" t="n"/>
      <c r="F43" s="273">
        <f>IF(OR(A43="",E43="",C43="",NOT(ISNUMBER($U$2))),"",ROUND(E43*C43*$U$2,2))</f>
        <v/>
      </c>
      <c r="G43" s="308" t="n"/>
      <c r="H43" s="273">
        <f>IF(OR(A43="",G43="",C43="",NOT(ISNUMBER($U$3))),"",ROUND(G43*C43*$U$3,2))</f>
        <v/>
      </c>
      <c r="I43" s="308" t="n"/>
      <c r="J43" s="273">
        <f>IF(OR(A43="",I43="",C43="",NOT(ISNUMBER($U$4))),"",ROUND(I43*C43*$U$4,2))</f>
        <v/>
      </c>
      <c r="K43" s="308" t="n"/>
      <c r="L43" s="273">
        <f>IF(OR(A43="",K43="",C43="",NOT(ISNUMBER($U$5))),"",ROUND(K43*C43*$U$5,2))</f>
        <v/>
      </c>
      <c r="M43" s="308" t="n"/>
      <c r="N43" s="273">
        <f>IF(OR(A43="",M43="",C43="",NOT(ISNUMBER($U$6))),"",ROUND(M43*C43*$U$6,2))</f>
        <v/>
      </c>
      <c r="O43" s="282">
        <f>IF(A43="","",SUM(E43,G43,I43,K43,M43))</f>
        <v/>
      </c>
      <c r="P43" s="273">
        <f>IF(A43="","",SUM(F43,H43,J43,L43,N43))</f>
        <v/>
      </c>
      <c r="Q43" s="284">
        <f>IF(A43="","",IF(O43&gt;B43,"DIVERGENCIA: CONSUMO MAIOR QUE CONTRATADO","OK"))</f>
        <v/>
      </c>
      <c r="R43" s="34" t="n"/>
      <c r="S43" s="34" t="n"/>
      <c r="T43" s="34" t="n"/>
      <c r="U43" s="34" t="n"/>
      <c r="V43" s="34" t="n"/>
      <c r="W43" s="34" t="n"/>
    </row>
    <row r="44">
      <c r="A44" s="307" t="n"/>
      <c r="B44" s="308" t="n"/>
      <c r="C44" s="309" t="n"/>
      <c r="D44" s="273">
        <f>IF(OR(A44="",B44="",C44=""),"",ROUND(B44*C44,2))</f>
        <v/>
      </c>
      <c r="E44" s="308" t="n"/>
      <c r="F44" s="273">
        <f>IF(OR(A44="",E44="",C44="",NOT(ISNUMBER($U$2))),"",ROUND(E44*C44*$U$2,2))</f>
        <v/>
      </c>
      <c r="G44" s="308" t="n"/>
      <c r="H44" s="273">
        <f>IF(OR(A44="",G44="",C44="",NOT(ISNUMBER($U$3))),"",ROUND(G44*C44*$U$3,2))</f>
        <v/>
      </c>
      <c r="I44" s="308" t="n"/>
      <c r="J44" s="273">
        <f>IF(OR(A44="",I44="",C44="",NOT(ISNUMBER($U$4))),"",ROUND(I44*C44*$U$4,2))</f>
        <v/>
      </c>
      <c r="K44" s="308" t="n"/>
      <c r="L44" s="273">
        <f>IF(OR(A44="",K44="",C44="",NOT(ISNUMBER($U$5))),"",ROUND(K44*C44*$U$5,2))</f>
        <v/>
      </c>
      <c r="M44" s="308" t="n"/>
      <c r="N44" s="273">
        <f>IF(OR(A44="",M44="",C44="",NOT(ISNUMBER($U$6))),"",ROUND(M44*C44*$U$6,2))</f>
        <v/>
      </c>
      <c r="O44" s="282">
        <f>IF(A44="","",SUM(E44,G44,I44,K44,M44))</f>
        <v/>
      </c>
      <c r="P44" s="273">
        <f>IF(A44="","",SUM(F44,H44,J44,L44,N44))</f>
        <v/>
      </c>
      <c r="Q44" s="284">
        <f>IF(A44="","",IF(O44&gt;B44,"DIVERGENCIA: CONSUMO MAIOR QUE CONTRATADO","OK"))</f>
        <v/>
      </c>
      <c r="R44" s="34" t="n"/>
      <c r="S44" s="34" t="n"/>
      <c r="T44" s="34" t="n"/>
      <c r="U44" s="34" t="n"/>
      <c r="V44" s="34" t="n"/>
      <c r="W44" s="34" t="n"/>
    </row>
    <row r="45">
      <c r="A45" s="307" t="n"/>
      <c r="B45" s="308" t="n"/>
      <c r="C45" s="309" t="n"/>
      <c r="D45" s="273">
        <f>IF(OR(A45="",B45="",C45=""),"",ROUND(B45*C45,2))</f>
        <v/>
      </c>
      <c r="E45" s="308" t="n"/>
      <c r="F45" s="273">
        <f>IF(OR(A45="",E45="",C45="",NOT(ISNUMBER($U$2))),"",ROUND(E45*C45*$U$2,2))</f>
        <v/>
      </c>
      <c r="G45" s="308" t="n"/>
      <c r="H45" s="273">
        <f>IF(OR(A45="",G45="",C45="",NOT(ISNUMBER($U$3))),"",ROUND(G45*C45*$U$3,2))</f>
        <v/>
      </c>
      <c r="I45" s="308" t="n"/>
      <c r="J45" s="273">
        <f>IF(OR(A45="",I45="",C45="",NOT(ISNUMBER($U$4))),"",ROUND(I45*C45*$U$4,2))</f>
        <v/>
      </c>
      <c r="K45" s="308" t="n"/>
      <c r="L45" s="273">
        <f>IF(OR(A45="",K45="",C45="",NOT(ISNUMBER($U$5))),"",ROUND(K45*C45*$U$5,2))</f>
        <v/>
      </c>
      <c r="M45" s="308" t="n"/>
      <c r="N45" s="273">
        <f>IF(OR(A45="",M45="",C45="",NOT(ISNUMBER($U$6))),"",ROUND(M45*C45*$U$6,2))</f>
        <v/>
      </c>
      <c r="O45" s="282">
        <f>IF(A45="","",SUM(E45,G45,I45,K45,M45))</f>
        <v/>
      </c>
      <c r="P45" s="273">
        <f>IF(A45="","",SUM(F45,H45,J45,L45,N45))</f>
        <v/>
      </c>
      <c r="Q45" s="284">
        <f>IF(A45="","",IF(O45&gt;B45,"DIVERGENCIA: CONSUMO MAIOR QUE CONTRATADO","OK"))</f>
        <v/>
      </c>
      <c r="R45" s="34" t="n"/>
      <c r="S45" s="34" t="n"/>
      <c r="T45" s="34" t="n"/>
      <c r="U45" s="34" t="n"/>
      <c r="V45" s="34" t="n"/>
      <c r="W45" s="34" t="n"/>
    </row>
    <row r="46">
      <c r="A46" s="307" t="n"/>
      <c r="B46" s="308" t="n"/>
      <c r="C46" s="309" t="n"/>
      <c r="D46" s="273">
        <f>IF(OR(A46="",B46="",C46=""),"",ROUND(B46*C46,2))</f>
        <v/>
      </c>
      <c r="E46" s="308" t="n"/>
      <c r="F46" s="273">
        <f>IF(OR(A46="",E46="",C46="",NOT(ISNUMBER($U$2))),"",ROUND(E46*C46*$U$2,2))</f>
        <v/>
      </c>
      <c r="G46" s="308" t="n"/>
      <c r="H46" s="273">
        <f>IF(OR(A46="",G46="",C46="",NOT(ISNUMBER($U$3))),"",ROUND(G46*C46*$U$3,2))</f>
        <v/>
      </c>
      <c r="I46" s="308" t="n"/>
      <c r="J46" s="273">
        <f>IF(OR(A46="",I46="",C46="",NOT(ISNUMBER($U$4))),"",ROUND(I46*C46*$U$4,2))</f>
        <v/>
      </c>
      <c r="K46" s="308" t="n"/>
      <c r="L46" s="273">
        <f>IF(OR(A46="",K46="",C46="",NOT(ISNUMBER($U$5))),"",ROUND(K46*C46*$U$5,2))</f>
        <v/>
      </c>
      <c r="M46" s="308" t="n"/>
      <c r="N46" s="273">
        <f>IF(OR(A46="",M46="",C46="",NOT(ISNUMBER($U$6))),"",ROUND(M46*C46*$U$6,2))</f>
        <v/>
      </c>
      <c r="O46" s="282">
        <f>IF(A46="","",SUM(E46,G46,I46,K46,M46))</f>
        <v/>
      </c>
      <c r="P46" s="273">
        <f>IF(A46="","",SUM(F46,H46,J46,L46,N46))</f>
        <v/>
      </c>
      <c r="Q46" s="284">
        <f>IF(A46="","",IF(O46&gt;B46,"DIVERGENCIA: CONSUMO MAIOR QUE CONTRATADO","OK"))</f>
        <v/>
      </c>
      <c r="R46" s="34" t="n"/>
      <c r="S46" s="34" t="n"/>
      <c r="T46" s="34" t="n"/>
      <c r="U46" s="34" t="n"/>
      <c r="V46" s="34" t="n"/>
      <c r="W46" s="34" t="n"/>
    </row>
    <row r="47">
      <c r="A47" s="307" t="n"/>
      <c r="B47" s="308" t="n"/>
      <c r="C47" s="309" t="n"/>
      <c r="D47" s="273">
        <f>IF(OR(A47="",B47="",C47=""),"",ROUND(B47*C47,2))</f>
        <v/>
      </c>
      <c r="E47" s="308" t="n"/>
      <c r="F47" s="273">
        <f>IF(OR(A47="",E47="",C47="",NOT(ISNUMBER($U$2))),"",ROUND(E47*C47*$U$2,2))</f>
        <v/>
      </c>
      <c r="G47" s="308" t="n"/>
      <c r="H47" s="273">
        <f>IF(OR(A47="",G47="",C47="",NOT(ISNUMBER($U$3))),"",ROUND(G47*C47*$U$3,2))</f>
        <v/>
      </c>
      <c r="I47" s="308" t="n"/>
      <c r="J47" s="273">
        <f>IF(OR(A47="",I47="",C47="",NOT(ISNUMBER($U$4))),"",ROUND(I47*C47*$U$4,2))</f>
        <v/>
      </c>
      <c r="K47" s="308" t="n"/>
      <c r="L47" s="273">
        <f>IF(OR(A47="",K47="",C47="",NOT(ISNUMBER($U$5))),"",ROUND(K47*C47*$U$5,2))</f>
        <v/>
      </c>
      <c r="M47" s="308" t="n"/>
      <c r="N47" s="273">
        <f>IF(OR(A47="",M47="",C47="",NOT(ISNUMBER($U$6))),"",ROUND(M47*C47*$U$6,2))</f>
        <v/>
      </c>
      <c r="O47" s="282">
        <f>IF(A47="","",SUM(E47,G47,I47,K47,M47))</f>
        <v/>
      </c>
      <c r="P47" s="273">
        <f>IF(A47="","",SUM(F47,H47,J47,L47,N47))</f>
        <v/>
      </c>
      <c r="Q47" s="284">
        <f>IF(A47="","",IF(O47&gt;B47,"DIVERGENCIA: CONSUMO MAIOR QUE CONTRATADO","OK"))</f>
        <v/>
      </c>
      <c r="R47" s="34" t="n"/>
      <c r="S47" s="34" t="n"/>
      <c r="T47" s="34" t="n"/>
      <c r="U47" s="34" t="n"/>
      <c r="V47" s="34" t="n"/>
      <c r="W47" s="34" t="n"/>
    </row>
    <row r="48">
      <c r="A48" s="307" t="n"/>
      <c r="B48" s="308" t="n"/>
      <c r="C48" s="309" t="n"/>
      <c r="D48" s="273">
        <f>IF(OR(A48="",B48="",C48=""),"",ROUND(B48*C48,2))</f>
        <v/>
      </c>
      <c r="E48" s="308" t="n"/>
      <c r="F48" s="273">
        <f>IF(OR(A48="",E48="",C48="",NOT(ISNUMBER($U$2))),"",ROUND(E48*C48*$U$2,2))</f>
        <v/>
      </c>
      <c r="G48" s="308" t="n"/>
      <c r="H48" s="273">
        <f>IF(OR(A48="",G48="",C48="",NOT(ISNUMBER($U$3))),"",ROUND(G48*C48*$U$3,2))</f>
        <v/>
      </c>
      <c r="I48" s="308" t="n"/>
      <c r="J48" s="273">
        <f>IF(OR(A48="",I48="",C48="",NOT(ISNUMBER($U$4))),"",ROUND(I48*C48*$U$4,2))</f>
        <v/>
      </c>
      <c r="K48" s="308" t="n"/>
      <c r="L48" s="273">
        <f>IF(OR(A48="",K48="",C48="",NOT(ISNUMBER($U$5))),"",ROUND(K48*C48*$U$5,2))</f>
        <v/>
      </c>
      <c r="M48" s="308" t="n"/>
      <c r="N48" s="273">
        <f>IF(OR(A48="",M48="",C48="",NOT(ISNUMBER($U$6))),"",ROUND(M48*C48*$U$6,2))</f>
        <v/>
      </c>
      <c r="O48" s="282">
        <f>IF(A48="","",SUM(E48,G48,I48,K48,M48))</f>
        <v/>
      </c>
      <c r="P48" s="273">
        <f>IF(A48="","",SUM(F48,H48,J48,L48,N48))</f>
        <v/>
      </c>
      <c r="Q48" s="284">
        <f>IF(A48="","",IF(O48&gt;B48,"DIVERGENCIA: CONSUMO MAIOR QUE CONTRATADO","OK"))</f>
        <v/>
      </c>
      <c r="R48" s="34" t="n"/>
      <c r="S48" s="34" t="n"/>
      <c r="T48" s="34" t="n"/>
      <c r="U48" s="34" t="n"/>
      <c r="V48" s="34" t="n"/>
      <c r="W48" s="34" t="n"/>
    </row>
    <row r="49">
      <c r="A49" s="307" t="n"/>
      <c r="B49" s="308" t="n"/>
      <c r="C49" s="309" t="n"/>
      <c r="D49" s="273">
        <f>IF(OR(A49="",B49="",C49=""),"",ROUND(B49*C49,2))</f>
        <v/>
      </c>
      <c r="E49" s="308" t="n"/>
      <c r="F49" s="273">
        <f>IF(OR(A49="",E49="",C49="",NOT(ISNUMBER($U$2))),"",ROUND(E49*C49*$U$2,2))</f>
        <v/>
      </c>
      <c r="G49" s="308" t="n"/>
      <c r="H49" s="273">
        <f>IF(OR(A49="",G49="",C49="",NOT(ISNUMBER($U$3))),"",ROUND(G49*C49*$U$3,2))</f>
        <v/>
      </c>
      <c r="I49" s="308" t="n"/>
      <c r="J49" s="273">
        <f>IF(OR(A49="",I49="",C49="",NOT(ISNUMBER($U$4))),"",ROUND(I49*C49*$U$4,2))</f>
        <v/>
      </c>
      <c r="K49" s="308" t="n"/>
      <c r="L49" s="273">
        <f>IF(OR(A49="",K49="",C49="",NOT(ISNUMBER($U$5))),"",ROUND(K49*C49*$U$5,2))</f>
        <v/>
      </c>
      <c r="M49" s="308" t="n"/>
      <c r="N49" s="273">
        <f>IF(OR(A49="",M49="",C49="",NOT(ISNUMBER($U$6))),"",ROUND(M49*C49*$U$6,2))</f>
        <v/>
      </c>
      <c r="O49" s="282">
        <f>IF(A49="","",SUM(E49,G49,I49,K49,M49))</f>
        <v/>
      </c>
      <c r="P49" s="273">
        <f>IF(A49="","",SUM(F49,H49,J49,L49,N49))</f>
        <v/>
      </c>
      <c r="Q49" s="284">
        <f>IF(A49="","",IF(O49&gt;B49,"DIVERGENCIA: CONSUMO MAIOR QUE CONTRATADO","OK"))</f>
        <v/>
      </c>
      <c r="R49" s="34" t="n"/>
      <c r="S49" s="34" t="n"/>
      <c r="T49" s="34" t="n"/>
      <c r="U49" s="34" t="n"/>
      <c r="V49" s="34" t="n"/>
      <c r="W49" s="34" t="n"/>
    </row>
    <row r="50">
      <c r="A50" s="307" t="n"/>
      <c r="B50" s="308" t="n"/>
      <c r="C50" s="309" t="n"/>
      <c r="D50" s="273">
        <f>IF(OR(A50="",B50="",C50=""),"",ROUND(B50*C50,2))</f>
        <v/>
      </c>
      <c r="E50" s="308" t="n"/>
      <c r="F50" s="273">
        <f>IF(OR(A50="",E50="",C50="",NOT(ISNUMBER($U$2))),"",ROUND(E50*C50*$U$2,2))</f>
        <v/>
      </c>
      <c r="G50" s="308" t="n"/>
      <c r="H50" s="273">
        <f>IF(OR(A50="",G50="",C50="",NOT(ISNUMBER($U$3))),"",ROUND(G50*C50*$U$3,2))</f>
        <v/>
      </c>
      <c r="I50" s="308" t="n"/>
      <c r="J50" s="273">
        <f>IF(OR(A50="",I50="",C50="",NOT(ISNUMBER($U$4))),"",ROUND(I50*C50*$U$4,2))</f>
        <v/>
      </c>
      <c r="K50" s="308" t="n"/>
      <c r="L50" s="273">
        <f>IF(OR(A50="",K50="",C50="",NOT(ISNUMBER($U$5))),"",ROUND(K50*C50*$U$5,2))</f>
        <v/>
      </c>
      <c r="M50" s="308" t="n"/>
      <c r="N50" s="273">
        <f>IF(OR(A50="",M50="",C50="",NOT(ISNUMBER($U$6))),"",ROUND(M50*C50*$U$6,2))</f>
        <v/>
      </c>
      <c r="O50" s="282">
        <f>IF(A50="","",SUM(E50,G50,I50,K50,M50))</f>
        <v/>
      </c>
      <c r="P50" s="273">
        <f>IF(A50="","",SUM(F50,H50,J50,L50,N50))</f>
        <v/>
      </c>
      <c r="Q50" s="284">
        <f>IF(A50="","",IF(O50&gt;B50,"DIVERGENCIA: CONSUMO MAIOR QUE CONTRATADO","OK"))</f>
        <v/>
      </c>
      <c r="R50" s="34" t="n"/>
      <c r="S50" s="34" t="n"/>
      <c r="T50" s="34" t="n"/>
      <c r="U50" s="34" t="n"/>
      <c r="V50" s="34" t="n"/>
      <c r="W50" s="34" t="n"/>
    </row>
    <row r="51">
      <c r="A51" s="307" t="n"/>
      <c r="B51" s="308" t="n"/>
      <c r="C51" s="309" t="n"/>
      <c r="D51" s="273">
        <f>IF(OR(A51="",B51="",C51=""),"",ROUND(B51*C51,2))</f>
        <v/>
      </c>
      <c r="E51" s="308" t="n"/>
      <c r="F51" s="273">
        <f>IF(OR(A51="",E51="",C51="",NOT(ISNUMBER($U$2))),"",ROUND(E51*C51*$U$2,2))</f>
        <v/>
      </c>
      <c r="G51" s="308" t="n"/>
      <c r="H51" s="273">
        <f>IF(OR(A51="",G51="",C51="",NOT(ISNUMBER($U$3))),"",ROUND(G51*C51*$U$3,2))</f>
        <v/>
      </c>
      <c r="I51" s="308" t="n"/>
      <c r="J51" s="273">
        <f>IF(OR(A51="",I51="",C51="",NOT(ISNUMBER($U$4))),"",ROUND(I51*C51*$U$4,2))</f>
        <v/>
      </c>
      <c r="K51" s="308" t="n"/>
      <c r="L51" s="273">
        <f>IF(OR(A51="",K51="",C51="",NOT(ISNUMBER($U$5))),"",ROUND(K51*C51*$U$5,2))</f>
        <v/>
      </c>
      <c r="M51" s="308" t="n"/>
      <c r="N51" s="273">
        <f>IF(OR(A51="",M51="",C51="",NOT(ISNUMBER($U$6))),"",ROUND(M51*C51*$U$6,2))</f>
        <v/>
      </c>
      <c r="O51" s="282">
        <f>IF(A51="","",SUM(E51,G51,I51,K51,M51))</f>
        <v/>
      </c>
      <c r="P51" s="273">
        <f>IF(A51="","",SUM(F51,H51,J51,L51,N51))</f>
        <v/>
      </c>
      <c r="Q51" s="284">
        <f>IF(A51="","",IF(O51&gt;B51,"DIVERGENCIA: CONSUMO MAIOR QUE CONTRATADO","OK"))</f>
        <v/>
      </c>
      <c r="R51" s="34" t="n"/>
      <c r="S51" s="34" t="n"/>
      <c r="T51" s="34" t="n"/>
      <c r="U51" s="34" t="n"/>
      <c r="V51" s="34" t="n"/>
      <c r="W51" s="34" t="n"/>
    </row>
    <row r="52">
      <c r="A52" s="307" t="n"/>
      <c r="B52" s="308" t="n"/>
      <c r="C52" s="309" t="n"/>
      <c r="D52" s="273">
        <f>IF(OR(A52="",B52="",C52=""),"",ROUND(B52*C52,2))</f>
        <v/>
      </c>
      <c r="E52" s="308" t="n"/>
      <c r="F52" s="273">
        <f>IF(OR(A52="",E52="",C52="",NOT(ISNUMBER($U$2))),"",ROUND(E52*C52*$U$2,2))</f>
        <v/>
      </c>
      <c r="G52" s="308" t="n"/>
      <c r="H52" s="273">
        <f>IF(OR(A52="",G52="",C52="",NOT(ISNUMBER($U$3))),"",ROUND(G52*C52*$U$3,2))</f>
        <v/>
      </c>
      <c r="I52" s="308" t="n"/>
      <c r="J52" s="273">
        <f>IF(OR(A52="",I52="",C52="",NOT(ISNUMBER($U$4))),"",ROUND(I52*C52*$U$4,2))</f>
        <v/>
      </c>
      <c r="K52" s="308" t="n"/>
      <c r="L52" s="273">
        <f>IF(OR(A52="",K52="",C52="",NOT(ISNUMBER($U$5))),"",ROUND(K52*C52*$U$5,2))</f>
        <v/>
      </c>
      <c r="M52" s="308" t="n"/>
      <c r="N52" s="273">
        <f>IF(OR(A52="",M52="",C52="",NOT(ISNUMBER($U$6))),"",ROUND(M52*C52*$U$6,2))</f>
        <v/>
      </c>
      <c r="O52" s="282">
        <f>IF(A52="","",SUM(E52,G52,I52,K52,M52))</f>
        <v/>
      </c>
      <c r="P52" s="273">
        <f>IF(A52="","",SUM(F52,H52,J52,L52,N52))</f>
        <v/>
      </c>
      <c r="Q52" s="284">
        <f>IF(A52="","",IF(O52&gt;B52,"DIVERGENCIA: CONSUMO MAIOR QUE CONTRATADO","OK"))</f>
        <v/>
      </c>
      <c r="R52" s="34" t="n"/>
      <c r="S52" s="34" t="n"/>
      <c r="T52" s="34" t="n"/>
      <c r="U52" s="34" t="n"/>
      <c r="V52" s="34" t="n"/>
      <c r="W52" s="34" t="n"/>
    </row>
    <row r="53">
      <c r="A53" s="307" t="n"/>
      <c r="B53" s="308" t="n"/>
      <c r="C53" s="309" t="n"/>
      <c r="D53" s="273">
        <f>IF(OR(A53="",B53="",C53=""),"",ROUND(B53*C53,2))</f>
        <v/>
      </c>
      <c r="E53" s="308" t="n"/>
      <c r="F53" s="273">
        <f>IF(OR(A53="",E53="",C53="",NOT(ISNUMBER($U$2))),"",ROUND(E53*C53*$U$2,2))</f>
        <v/>
      </c>
      <c r="G53" s="308" t="n"/>
      <c r="H53" s="273">
        <f>IF(OR(A53="",G53="",C53="",NOT(ISNUMBER($U$3))),"",ROUND(G53*C53*$U$3,2))</f>
        <v/>
      </c>
      <c r="I53" s="308" t="n"/>
      <c r="J53" s="273">
        <f>IF(OR(A53="",I53="",C53="",NOT(ISNUMBER($U$4))),"",ROUND(I53*C53*$U$4,2))</f>
        <v/>
      </c>
      <c r="K53" s="308" t="n"/>
      <c r="L53" s="273">
        <f>IF(OR(A53="",K53="",C53="",NOT(ISNUMBER($U$5))),"",ROUND(K53*C53*$U$5,2))</f>
        <v/>
      </c>
      <c r="M53" s="308" t="n"/>
      <c r="N53" s="273">
        <f>IF(OR(A53="",M53="",C53="",NOT(ISNUMBER($U$6))),"",ROUND(M53*C53*$U$6,2))</f>
        <v/>
      </c>
      <c r="O53" s="282">
        <f>IF(A53="","",SUM(E53,G53,I53,K53,M53))</f>
        <v/>
      </c>
      <c r="P53" s="273">
        <f>IF(A53="","",SUM(F53,H53,J53,L53,N53))</f>
        <v/>
      </c>
      <c r="Q53" s="284">
        <f>IF(A53="","",IF(O53&gt;B53,"DIVERGENCIA: CONSUMO MAIOR QUE CONTRATADO","OK"))</f>
        <v/>
      </c>
      <c r="R53" s="34" t="n"/>
      <c r="S53" s="34" t="n"/>
      <c r="T53" s="34" t="n"/>
      <c r="U53" s="34" t="n"/>
      <c r="V53" s="34" t="n"/>
      <c r="W53" s="34" t="n"/>
    </row>
    <row r="54">
      <c r="A54" s="307" t="n"/>
      <c r="B54" s="308" t="n"/>
      <c r="C54" s="309" t="n"/>
      <c r="D54" s="273">
        <f>IF(OR(A54="",B54="",C54=""),"",ROUND(B54*C54,2))</f>
        <v/>
      </c>
      <c r="E54" s="308" t="n"/>
      <c r="F54" s="273">
        <f>IF(OR(A54="",E54="",C54="",NOT(ISNUMBER($U$2))),"",ROUND(E54*C54*$U$2,2))</f>
        <v/>
      </c>
      <c r="G54" s="308" t="n"/>
      <c r="H54" s="273">
        <f>IF(OR(A54="",G54="",C54="",NOT(ISNUMBER($U$3))),"",ROUND(G54*C54*$U$3,2))</f>
        <v/>
      </c>
      <c r="I54" s="308" t="n"/>
      <c r="J54" s="273">
        <f>IF(OR(A54="",I54="",C54="",NOT(ISNUMBER($U$4))),"",ROUND(I54*C54*$U$4,2))</f>
        <v/>
      </c>
      <c r="K54" s="308" t="n"/>
      <c r="L54" s="273">
        <f>IF(OR(A54="",K54="",C54="",NOT(ISNUMBER($U$5))),"",ROUND(K54*C54*$U$5,2))</f>
        <v/>
      </c>
      <c r="M54" s="308" t="n"/>
      <c r="N54" s="273">
        <f>IF(OR(A54="",M54="",C54="",NOT(ISNUMBER($U$6))),"",ROUND(M54*C54*$U$6,2))</f>
        <v/>
      </c>
      <c r="O54" s="282">
        <f>IF(A54="","",SUM(E54,G54,I54,K54,M54))</f>
        <v/>
      </c>
      <c r="P54" s="273">
        <f>IF(A54="","",SUM(F54,H54,J54,L54,N54))</f>
        <v/>
      </c>
      <c r="Q54" s="284">
        <f>IF(A54="","",IF(O54&gt;B54,"DIVERGENCIA: CONSUMO MAIOR QUE CONTRATADO","OK"))</f>
        <v/>
      </c>
      <c r="R54" s="34" t="n"/>
      <c r="S54" s="34" t="n"/>
      <c r="T54" s="34" t="n"/>
      <c r="U54" s="34" t="n"/>
      <c r="V54" s="34" t="n"/>
      <c r="W54" s="34" t="n"/>
    </row>
    <row r="55">
      <c r="A55" s="307" t="n"/>
      <c r="B55" s="308" t="n"/>
      <c r="C55" s="309" t="n"/>
      <c r="D55" s="273">
        <f>IF(OR(A55="",B55="",C55=""),"",ROUND(B55*C55,2))</f>
        <v/>
      </c>
      <c r="E55" s="308" t="n"/>
      <c r="F55" s="273">
        <f>IF(OR(A55="",E55="",C55="",NOT(ISNUMBER($U$2))),"",ROUND(E55*C55*$U$2,2))</f>
        <v/>
      </c>
      <c r="G55" s="308" t="n"/>
      <c r="H55" s="273">
        <f>IF(OR(A55="",G55="",C55="",NOT(ISNUMBER($U$3))),"",ROUND(G55*C55*$U$3,2))</f>
        <v/>
      </c>
      <c r="I55" s="308" t="n"/>
      <c r="J55" s="273">
        <f>IF(OR(A55="",I55="",C55="",NOT(ISNUMBER($U$4))),"",ROUND(I55*C55*$U$4,2))</f>
        <v/>
      </c>
      <c r="K55" s="308" t="n"/>
      <c r="L55" s="273">
        <f>IF(OR(A55="",K55="",C55="",NOT(ISNUMBER($U$5))),"",ROUND(K55*C55*$U$5,2))</f>
        <v/>
      </c>
      <c r="M55" s="308" t="n"/>
      <c r="N55" s="273">
        <f>IF(OR(A55="",M55="",C55="",NOT(ISNUMBER($U$6))),"",ROUND(M55*C55*$U$6,2))</f>
        <v/>
      </c>
      <c r="O55" s="282">
        <f>IF(A55="","",SUM(E55,G55,I55,K55,M55))</f>
        <v/>
      </c>
      <c r="P55" s="273">
        <f>IF(A55="","",SUM(F55,H55,J55,L55,N55))</f>
        <v/>
      </c>
      <c r="Q55" s="284">
        <f>IF(A55="","",IF(O55&gt;B55,"DIVERGENCIA: CONSUMO MAIOR QUE CONTRATADO","OK"))</f>
        <v/>
      </c>
      <c r="R55" s="34" t="n"/>
      <c r="S55" s="34" t="n"/>
      <c r="T55" s="34" t="n"/>
      <c r="U55" s="34" t="n"/>
      <c r="V55" s="34" t="n"/>
      <c r="W55" s="34" t="n"/>
    </row>
    <row r="56">
      <c r="A56" s="307" t="n"/>
      <c r="B56" s="308" t="n"/>
      <c r="C56" s="309" t="n"/>
      <c r="D56" s="273">
        <f>IF(OR(A56="",B56="",C56=""),"",ROUND(B56*C56,2))</f>
        <v/>
      </c>
      <c r="E56" s="308" t="n"/>
      <c r="F56" s="273">
        <f>IF(OR(A56="",E56="",C56="",NOT(ISNUMBER($U$2))),"",ROUND(E56*C56*$U$2,2))</f>
        <v/>
      </c>
      <c r="G56" s="308" t="n"/>
      <c r="H56" s="273">
        <f>IF(OR(A56="",G56="",C56="",NOT(ISNUMBER($U$3))),"",ROUND(G56*C56*$U$3,2))</f>
        <v/>
      </c>
      <c r="I56" s="308" t="n"/>
      <c r="J56" s="273">
        <f>IF(OR(A56="",I56="",C56="",NOT(ISNUMBER($U$4))),"",ROUND(I56*C56*$U$4,2))</f>
        <v/>
      </c>
      <c r="K56" s="308" t="n"/>
      <c r="L56" s="273">
        <f>IF(OR(A56="",K56="",C56="",NOT(ISNUMBER($U$5))),"",ROUND(K56*C56*$U$5,2))</f>
        <v/>
      </c>
      <c r="M56" s="308" t="n"/>
      <c r="N56" s="273">
        <f>IF(OR(A56="",M56="",C56="",NOT(ISNUMBER($U$6))),"",ROUND(M56*C56*$U$6,2))</f>
        <v/>
      </c>
      <c r="O56" s="282">
        <f>IF(A56="","",SUM(E56,G56,I56,K56,M56))</f>
        <v/>
      </c>
      <c r="P56" s="273">
        <f>IF(A56="","",SUM(F56,H56,J56,L56,N56))</f>
        <v/>
      </c>
      <c r="Q56" s="284">
        <f>IF(A56="","",IF(O56&gt;B56,"DIVERGENCIA: CONSUMO MAIOR QUE CONTRATADO","OK"))</f>
        <v/>
      </c>
      <c r="R56" s="34" t="n"/>
      <c r="S56" s="34" t="n"/>
      <c r="T56" s="34" t="n"/>
      <c r="U56" s="34" t="n"/>
      <c r="V56" s="34" t="n"/>
      <c r="W56" s="34" t="n"/>
    </row>
    <row r="57">
      <c r="A57" s="307" t="n"/>
      <c r="B57" s="308" t="n"/>
      <c r="C57" s="309" t="n"/>
      <c r="D57" s="273">
        <f>IF(OR(A57="",B57="",C57=""),"",ROUND(B57*C57,2))</f>
        <v/>
      </c>
      <c r="E57" s="308" t="n"/>
      <c r="F57" s="273">
        <f>IF(OR(A57="",E57="",C57="",NOT(ISNUMBER($U$2))),"",ROUND(E57*C57*$U$2,2))</f>
        <v/>
      </c>
      <c r="G57" s="308" t="n"/>
      <c r="H57" s="273">
        <f>IF(OR(A57="",G57="",C57="",NOT(ISNUMBER($U$3))),"",ROUND(G57*C57*$U$3,2))</f>
        <v/>
      </c>
      <c r="I57" s="308" t="n"/>
      <c r="J57" s="273">
        <f>IF(OR(A57="",I57="",C57="",NOT(ISNUMBER($U$4))),"",ROUND(I57*C57*$U$4,2))</f>
        <v/>
      </c>
      <c r="K57" s="308" t="n"/>
      <c r="L57" s="273">
        <f>IF(OR(A57="",K57="",C57="",NOT(ISNUMBER($U$5))),"",ROUND(K57*C57*$U$5,2))</f>
        <v/>
      </c>
      <c r="M57" s="308" t="n"/>
      <c r="N57" s="273">
        <f>IF(OR(A57="",M57="",C57="",NOT(ISNUMBER($U$6))),"",ROUND(M57*C57*$U$6,2))</f>
        <v/>
      </c>
      <c r="O57" s="282">
        <f>IF(A57="","",SUM(E57,G57,I57,K57,M57))</f>
        <v/>
      </c>
      <c r="P57" s="273">
        <f>IF(A57="","",SUM(F57,H57,J57,L57,N57))</f>
        <v/>
      </c>
      <c r="Q57" s="284">
        <f>IF(A57="","",IF(O57&gt;B57,"DIVERGENCIA: CONSUMO MAIOR QUE CONTRATADO","OK"))</f>
        <v/>
      </c>
      <c r="R57" s="34" t="n"/>
      <c r="S57" s="34" t="n"/>
      <c r="T57" s="34" t="n"/>
      <c r="U57" s="34" t="n"/>
      <c r="V57" s="34" t="n"/>
      <c r="W57" s="34" t="n"/>
    </row>
    <row r="58">
      <c r="A58" s="307" t="n"/>
      <c r="B58" s="308" t="n"/>
      <c r="C58" s="309" t="n"/>
      <c r="D58" s="273">
        <f>IF(OR(A58="",B58="",C58=""),"",ROUND(B58*C58,2))</f>
        <v/>
      </c>
      <c r="E58" s="308" t="n"/>
      <c r="F58" s="273">
        <f>IF(OR(A58="",E58="",C58="",NOT(ISNUMBER($U$2))),"",ROUND(E58*C58*$U$2,2))</f>
        <v/>
      </c>
      <c r="G58" s="308" t="n"/>
      <c r="H58" s="273">
        <f>IF(OR(A58="",G58="",C58="",NOT(ISNUMBER($U$3))),"",ROUND(G58*C58*$U$3,2))</f>
        <v/>
      </c>
      <c r="I58" s="308" t="n"/>
      <c r="J58" s="273">
        <f>IF(OR(A58="",I58="",C58="",NOT(ISNUMBER($U$4))),"",ROUND(I58*C58*$U$4,2))</f>
        <v/>
      </c>
      <c r="K58" s="308" t="n"/>
      <c r="L58" s="273">
        <f>IF(OR(A58="",K58="",C58="",NOT(ISNUMBER($U$5))),"",ROUND(K58*C58*$U$5,2))</f>
        <v/>
      </c>
      <c r="M58" s="308" t="n"/>
      <c r="N58" s="273">
        <f>IF(OR(A58="",M58="",C58="",NOT(ISNUMBER($U$6))),"",ROUND(M58*C58*$U$6,2))</f>
        <v/>
      </c>
      <c r="O58" s="282">
        <f>IF(A58="","",SUM(E58,G58,I58,K58,M58))</f>
        <v/>
      </c>
      <c r="P58" s="273">
        <f>IF(A58="","",SUM(F58,H58,J58,L58,N58))</f>
        <v/>
      </c>
      <c r="Q58" s="284">
        <f>IF(A58="","",IF(O58&gt;B58,"DIVERGENCIA: CONSUMO MAIOR QUE CONTRATADO","OK"))</f>
        <v/>
      </c>
      <c r="R58" s="34" t="n"/>
      <c r="S58" s="34" t="n"/>
      <c r="T58" s="34" t="n"/>
      <c r="U58" s="34" t="n"/>
      <c r="V58" s="34" t="n"/>
      <c r="W58" s="34" t="n"/>
    </row>
    <row r="59">
      <c r="A59" s="307" t="n"/>
      <c r="B59" s="308" t="n"/>
      <c r="C59" s="309" t="n"/>
      <c r="D59" s="273">
        <f>IF(OR(A59="",B59="",C59=""),"",ROUND(B59*C59,2))</f>
        <v/>
      </c>
      <c r="E59" s="308" t="n"/>
      <c r="F59" s="273">
        <f>IF(OR(A59="",E59="",C59="",NOT(ISNUMBER($U$2))),"",ROUND(E59*C59*$U$2,2))</f>
        <v/>
      </c>
      <c r="G59" s="308" t="n"/>
      <c r="H59" s="273">
        <f>IF(OR(A59="",G59="",C59="",NOT(ISNUMBER($U$3))),"",ROUND(G59*C59*$U$3,2))</f>
        <v/>
      </c>
      <c r="I59" s="308" t="n"/>
      <c r="J59" s="273">
        <f>IF(OR(A59="",I59="",C59="",NOT(ISNUMBER($U$4))),"",ROUND(I59*C59*$U$4,2))</f>
        <v/>
      </c>
      <c r="K59" s="308" t="n"/>
      <c r="L59" s="273">
        <f>IF(OR(A59="",K59="",C59="",NOT(ISNUMBER($U$5))),"",ROUND(K59*C59*$U$5,2))</f>
        <v/>
      </c>
      <c r="M59" s="308" t="n"/>
      <c r="N59" s="273">
        <f>IF(OR(A59="",M59="",C59="",NOT(ISNUMBER($U$6))),"",ROUND(M59*C59*$U$6,2))</f>
        <v/>
      </c>
      <c r="O59" s="282">
        <f>IF(A59="","",SUM(E59,G59,I59,K59,M59))</f>
        <v/>
      </c>
      <c r="P59" s="273">
        <f>IF(A59="","",SUM(F59,H59,J59,L59,N59))</f>
        <v/>
      </c>
      <c r="Q59" s="284">
        <f>IF(A59="","",IF(O59&gt;B59,"DIVERGENCIA: CONSUMO MAIOR QUE CONTRATADO","OK"))</f>
        <v/>
      </c>
      <c r="R59" s="34" t="n"/>
      <c r="S59" s="34" t="n"/>
      <c r="T59" s="34" t="n"/>
      <c r="U59" s="34" t="n"/>
      <c r="V59" s="34" t="n"/>
      <c r="W59" s="34" t="n"/>
    </row>
    <row r="60">
      <c r="A60" s="307" t="n"/>
      <c r="B60" s="308" t="n"/>
      <c r="C60" s="309" t="n"/>
      <c r="D60" s="273">
        <f>IF(OR(A60="",B60="",C60=""),"",ROUND(B60*C60,2))</f>
        <v/>
      </c>
      <c r="E60" s="308" t="n"/>
      <c r="F60" s="273">
        <f>IF(OR(A60="",E60="",C60="",NOT(ISNUMBER($U$2))),"",ROUND(E60*C60*$U$2,2))</f>
        <v/>
      </c>
      <c r="G60" s="308" t="n"/>
      <c r="H60" s="273">
        <f>IF(OR(A60="",G60="",C60="",NOT(ISNUMBER($U$3))),"",ROUND(G60*C60*$U$3,2))</f>
        <v/>
      </c>
      <c r="I60" s="308" t="n"/>
      <c r="J60" s="273">
        <f>IF(OR(A60="",I60="",C60="",NOT(ISNUMBER($U$4))),"",ROUND(I60*C60*$U$4,2))</f>
        <v/>
      </c>
      <c r="K60" s="308" t="n"/>
      <c r="L60" s="273">
        <f>IF(OR(A60="",K60="",C60="",NOT(ISNUMBER($U$5))),"",ROUND(K60*C60*$U$5,2))</f>
        <v/>
      </c>
      <c r="M60" s="308" t="n"/>
      <c r="N60" s="273">
        <f>IF(OR(A60="",M60="",C60="",NOT(ISNUMBER($U$6))),"",ROUND(M60*C60*$U$6,2))</f>
        <v/>
      </c>
      <c r="O60" s="282">
        <f>IF(A60="","",SUM(E60,G60,I60,K60,M60))</f>
        <v/>
      </c>
      <c r="P60" s="273">
        <f>IF(A60="","",SUM(F60,H60,J60,L60,N60))</f>
        <v/>
      </c>
      <c r="Q60" s="284">
        <f>IF(A60="","",IF(O60&gt;B60,"DIVERGENCIA: CONSUMO MAIOR QUE CONTRATADO","OK"))</f>
        <v/>
      </c>
      <c r="R60" s="34" t="n"/>
      <c r="S60" s="34" t="n"/>
      <c r="T60" s="34" t="n"/>
      <c r="U60" s="34" t="n"/>
      <c r="V60" s="34" t="n"/>
      <c r="W60" s="34" t="n"/>
    </row>
    <row r="61">
      <c r="A61" s="307" t="n"/>
      <c r="B61" s="308" t="n"/>
      <c r="C61" s="309" t="n"/>
      <c r="D61" s="273">
        <f>IF(OR(A61="",B61="",C61=""),"",ROUND(B61*C61,2))</f>
        <v/>
      </c>
      <c r="E61" s="308" t="n"/>
      <c r="F61" s="273">
        <f>IF(OR(A61="",E61="",C61="",NOT(ISNUMBER($U$2))),"",ROUND(E61*C61*$U$2,2))</f>
        <v/>
      </c>
      <c r="G61" s="308" t="n"/>
      <c r="H61" s="273">
        <f>IF(OR(A61="",G61="",C61="",NOT(ISNUMBER($U$3))),"",ROUND(G61*C61*$U$3,2))</f>
        <v/>
      </c>
      <c r="I61" s="308" t="n"/>
      <c r="J61" s="273">
        <f>IF(OR(A61="",I61="",C61="",NOT(ISNUMBER($U$4))),"",ROUND(I61*C61*$U$4,2))</f>
        <v/>
      </c>
      <c r="K61" s="308" t="n"/>
      <c r="L61" s="273">
        <f>IF(OR(A61="",K61="",C61="",NOT(ISNUMBER($U$5))),"",ROUND(K61*C61*$U$5,2))</f>
        <v/>
      </c>
      <c r="M61" s="308" t="n"/>
      <c r="N61" s="273">
        <f>IF(OR(A61="",M61="",C61="",NOT(ISNUMBER($U$6))),"",ROUND(M61*C61*$U$6,2))</f>
        <v/>
      </c>
      <c r="O61" s="282">
        <f>IF(A61="","",SUM(E61,G61,I61,K61,M61))</f>
        <v/>
      </c>
      <c r="P61" s="273">
        <f>IF(A61="","",SUM(F61,H61,J61,L61,N61))</f>
        <v/>
      </c>
      <c r="Q61" s="284">
        <f>IF(A61="","",IF(O61&gt;B61,"DIVERGENCIA: CONSUMO MAIOR QUE CONTRATADO","OK"))</f>
        <v/>
      </c>
      <c r="R61" s="34" t="n"/>
      <c r="S61" s="34" t="n"/>
      <c r="T61" s="34" t="n"/>
      <c r="U61" s="34" t="n"/>
      <c r="V61" s="34" t="n"/>
      <c r="W61" s="34" t="n"/>
    </row>
    <row r="62">
      <c r="A62" s="307" t="n"/>
      <c r="B62" s="308" t="n"/>
      <c r="C62" s="309" t="n"/>
      <c r="D62" s="273">
        <f>IF(OR(A62="",B62="",C62=""),"",ROUND(B62*C62,2))</f>
        <v/>
      </c>
      <c r="E62" s="308" t="n"/>
      <c r="F62" s="273">
        <f>IF(OR(A62="",E62="",C62="",NOT(ISNUMBER($U$2))),"",ROUND(E62*C62*$U$2,2))</f>
        <v/>
      </c>
      <c r="G62" s="308" t="n"/>
      <c r="H62" s="273">
        <f>IF(OR(A62="",G62="",C62="",NOT(ISNUMBER($U$3))),"",ROUND(G62*C62*$U$3,2))</f>
        <v/>
      </c>
      <c r="I62" s="308" t="n"/>
      <c r="J62" s="273">
        <f>IF(OR(A62="",I62="",C62="",NOT(ISNUMBER($U$4))),"",ROUND(I62*C62*$U$4,2))</f>
        <v/>
      </c>
      <c r="K62" s="308" t="n"/>
      <c r="L62" s="273">
        <f>IF(OR(A62="",K62="",C62="",NOT(ISNUMBER($U$5))),"",ROUND(K62*C62*$U$5,2))</f>
        <v/>
      </c>
      <c r="M62" s="308" t="n"/>
      <c r="N62" s="273">
        <f>IF(OR(A62="",M62="",C62="",NOT(ISNUMBER($U$6))),"",ROUND(M62*C62*$U$6,2))</f>
        <v/>
      </c>
      <c r="O62" s="282">
        <f>IF(A62="","",SUM(E62,G62,I62,K62,M62))</f>
        <v/>
      </c>
      <c r="P62" s="273">
        <f>IF(A62="","",SUM(F62,H62,J62,L62,N62))</f>
        <v/>
      </c>
      <c r="Q62" s="284">
        <f>IF(A62="","",IF(O62&gt;B62,"DIVERGENCIA: CONSUMO MAIOR QUE CONTRATADO","OK"))</f>
        <v/>
      </c>
      <c r="R62" s="34" t="n"/>
      <c r="S62" s="34" t="n"/>
      <c r="T62" s="34" t="n"/>
      <c r="U62" s="34" t="n"/>
      <c r="V62" s="34" t="n"/>
      <c r="W62" s="34" t="n"/>
    </row>
    <row r="63">
      <c r="A63" s="307" t="n"/>
      <c r="B63" s="308" t="n"/>
      <c r="C63" s="309" t="n"/>
      <c r="D63" s="273">
        <f>IF(OR(A63="",B63="",C63=""),"",ROUND(B63*C63,2))</f>
        <v/>
      </c>
      <c r="E63" s="308" t="n"/>
      <c r="F63" s="273">
        <f>IF(OR(A63="",E63="",C63="",NOT(ISNUMBER($U$2))),"",ROUND(E63*C63*$U$2,2))</f>
        <v/>
      </c>
      <c r="G63" s="308" t="n"/>
      <c r="H63" s="273">
        <f>IF(OR(A63="",G63="",C63="",NOT(ISNUMBER($U$3))),"",ROUND(G63*C63*$U$3,2))</f>
        <v/>
      </c>
      <c r="I63" s="308" t="n"/>
      <c r="J63" s="273">
        <f>IF(OR(A63="",I63="",C63="",NOT(ISNUMBER($U$4))),"",ROUND(I63*C63*$U$4,2))</f>
        <v/>
      </c>
      <c r="K63" s="308" t="n"/>
      <c r="L63" s="273">
        <f>IF(OR(A63="",K63="",C63="",NOT(ISNUMBER($U$5))),"",ROUND(K63*C63*$U$5,2))</f>
        <v/>
      </c>
      <c r="M63" s="308" t="n"/>
      <c r="N63" s="273">
        <f>IF(OR(A63="",M63="",C63="",NOT(ISNUMBER($U$6))),"",ROUND(M63*C63*$U$6,2))</f>
        <v/>
      </c>
      <c r="O63" s="282">
        <f>IF(A63="","",SUM(E63,G63,I63,K63,M63))</f>
        <v/>
      </c>
      <c r="P63" s="273">
        <f>IF(A63="","",SUM(F63,H63,J63,L63,N63))</f>
        <v/>
      </c>
      <c r="Q63" s="284">
        <f>IF(A63="","",IF(O63&gt;B63,"DIVERGENCIA: CONSUMO MAIOR QUE CONTRATADO","OK"))</f>
        <v/>
      </c>
      <c r="R63" s="34" t="n"/>
      <c r="S63" s="34" t="n"/>
      <c r="T63" s="34" t="n"/>
      <c r="U63" s="34" t="n"/>
      <c r="V63" s="34" t="n"/>
      <c r="W63" s="34" t="n"/>
    </row>
    <row r="64">
      <c r="A64" s="307" t="n"/>
      <c r="B64" s="308" t="n"/>
      <c r="C64" s="309" t="n"/>
      <c r="D64" s="273">
        <f>IF(OR(A64="",B64="",C64=""),"",ROUND(B64*C64,2))</f>
        <v/>
      </c>
      <c r="E64" s="308" t="n"/>
      <c r="F64" s="273">
        <f>IF(OR(A64="",E64="",C64="",NOT(ISNUMBER($U$2))),"",ROUND(E64*C64*$U$2,2))</f>
        <v/>
      </c>
      <c r="G64" s="308" t="n"/>
      <c r="H64" s="273">
        <f>IF(OR(A64="",G64="",C64="",NOT(ISNUMBER($U$3))),"",ROUND(G64*C64*$U$3,2))</f>
        <v/>
      </c>
      <c r="I64" s="308" t="n"/>
      <c r="J64" s="273">
        <f>IF(OR(A64="",I64="",C64="",NOT(ISNUMBER($U$4))),"",ROUND(I64*C64*$U$4,2))</f>
        <v/>
      </c>
      <c r="K64" s="308" t="n"/>
      <c r="L64" s="273">
        <f>IF(OR(A64="",K64="",C64="",NOT(ISNUMBER($U$5))),"",ROUND(K64*C64*$U$5,2))</f>
        <v/>
      </c>
      <c r="M64" s="308" t="n"/>
      <c r="N64" s="273">
        <f>IF(OR(A64="",M64="",C64="",NOT(ISNUMBER($U$6))),"",ROUND(M64*C64*$U$6,2))</f>
        <v/>
      </c>
      <c r="O64" s="282">
        <f>IF(A64="","",SUM(E64,G64,I64,K64,M64))</f>
        <v/>
      </c>
      <c r="P64" s="273">
        <f>IF(A64="","",SUM(F64,H64,J64,L64,N64))</f>
        <v/>
      </c>
      <c r="Q64" s="284">
        <f>IF(A64="","",IF(O64&gt;B64,"DIVERGENCIA: CONSUMO MAIOR QUE CONTRATADO","OK"))</f>
        <v/>
      </c>
      <c r="R64" s="34" t="n"/>
      <c r="S64" s="34" t="n"/>
      <c r="T64" s="34" t="n"/>
      <c r="U64" s="34" t="n"/>
      <c r="V64" s="34" t="n"/>
      <c r="W64" s="34" t="n"/>
    </row>
    <row r="65">
      <c r="A65" s="307" t="n"/>
      <c r="B65" s="308" t="n"/>
      <c r="C65" s="309" t="n"/>
      <c r="D65" s="273">
        <f>IF(OR(A65="",B65="",C65=""),"",ROUND(B65*C65,2))</f>
        <v/>
      </c>
      <c r="E65" s="308" t="n"/>
      <c r="F65" s="273">
        <f>IF(OR(A65="",E65="",C65="",NOT(ISNUMBER($U$2))),"",ROUND(E65*C65*$U$2,2))</f>
        <v/>
      </c>
      <c r="G65" s="308" t="n"/>
      <c r="H65" s="273">
        <f>IF(OR(A65="",G65="",C65="",NOT(ISNUMBER($U$3))),"",ROUND(G65*C65*$U$3,2))</f>
        <v/>
      </c>
      <c r="I65" s="308" t="n"/>
      <c r="J65" s="273">
        <f>IF(OR(A65="",I65="",C65="",NOT(ISNUMBER($U$4))),"",ROUND(I65*C65*$U$4,2))</f>
        <v/>
      </c>
      <c r="K65" s="308" t="n"/>
      <c r="L65" s="273">
        <f>IF(OR(A65="",K65="",C65="",NOT(ISNUMBER($U$5))),"",ROUND(K65*C65*$U$5,2))</f>
        <v/>
      </c>
      <c r="M65" s="308" t="n"/>
      <c r="N65" s="273">
        <f>IF(OR(A65="",M65="",C65="",NOT(ISNUMBER($U$6))),"",ROUND(M65*C65*$U$6,2))</f>
        <v/>
      </c>
      <c r="O65" s="282">
        <f>IF(A65="","",SUM(E65,G65,I65,K65,M65))</f>
        <v/>
      </c>
      <c r="P65" s="273">
        <f>IF(A65="","",SUM(F65,H65,J65,L65,N65))</f>
        <v/>
      </c>
      <c r="Q65" s="284">
        <f>IF(A65="","",IF(O65&gt;B65,"DIVERGENCIA: CONSUMO MAIOR QUE CONTRATADO","OK"))</f>
        <v/>
      </c>
      <c r="R65" s="34" t="n"/>
      <c r="S65" s="34" t="n"/>
      <c r="T65" s="34" t="n"/>
      <c r="U65" s="34" t="n"/>
      <c r="V65" s="34" t="n"/>
      <c r="W65" s="34" t="n"/>
    </row>
    <row r="66">
      <c r="A66" s="307" t="n"/>
      <c r="B66" s="308" t="n"/>
      <c r="C66" s="309" t="n"/>
      <c r="D66" s="273">
        <f>IF(OR(A66="",B66="",C66=""),"",ROUND(B66*C66,2))</f>
        <v/>
      </c>
      <c r="E66" s="308" t="n"/>
      <c r="F66" s="273">
        <f>IF(OR(A66="",E66="",C66="",NOT(ISNUMBER($U$2))),"",ROUND(E66*C66*$U$2,2))</f>
        <v/>
      </c>
      <c r="G66" s="308" t="n"/>
      <c r="H66" s="273">
        <f>IF(OR(A66="",G66="",C66="",NOT(ISNUMBER($U$3))),"",ROUND(G66*C66*$U$3,2))</f>
        <v/>
      </c>
      <c r="I66" s="308" t="n"/>
      <c r="J66" s="273">
        <f>IF(OR(A66="",I66="",C66="",NOT(ISNUMBER($U$4))),"",ROUND(I66*C66*$U$4,2))</f>
        <v/>
      </c>
      <c r="K66" s="308" t="n"/>
      <c r="L66" s="273">
        <f>IF(OR(A66="",K66="",C66="",NOT(ISNUMBER($U$5))),"",ROUND(K66*C66*$U$5,2))</f>
        <v/>
      </c>
      <c r="M66" s="308" t="n"/>
      <c r="N66" s="273">
        <f>IF(OR(A66="",M66="",C66="",NOT(ISNUMBER($U$6))),"",ROUND(M66*C66*$U$6,2))</f>
        <v/>
      </c>
      <c r="O66" s="282">
        <f>IF(A66="","",SUM(E66,G66,I66,K66,M66))</f>
        <v/>
      </c>
      <c r="P66" s="273">
        <f>IF(A66="","",SUM(F66,H66,J66,L66,N66))</f>
        <v/>
      </c>
      <c r="Q66" s="284">
        <f>IF(A66="","",IF(O66&gt;B66,"DIVERGENCIA: CONSUMO MAIOR QUE CONTRATADO","OK"))</f>
        <v/>
      </c>
      <c r="R66" s="34" t="n"/>
      <c r="S66" s="34" t="n"/>
      <c r="T66" s="34" t="n"/>
      <c r="U66" s="34" t="n"/>
      <c r="V66" s="34" t="n"/>
      <c r="W66" s="34" t="n"/>
    </row>
    <row r="67">
      <c r="A67" s="307" t="n"/>
      <c r="B67" s="308" t="n"/>
      <c r="C67" s="309" t="n"/>
      <c r="D67" s="273">
        <f>IF(OR(A67="",B67="",C67=""),"",ROUND(B67*C67,2))</f>
        <v/>
      </c>
      <c r="E67" s="308" t="n"/>
      <c r="F67" s="273">
        <f>IF(OR(A67="",E67="",C67="",NOT(ISNUMBER($U$2))),"",ROUND(E67*C67*$U$2,2))</f>
        <v/>
      </c>
      <c r="G67" s="308" t="n"/>
      <c r="H67" s="273">
        <f>IF(OR(A67="",G67="",C67="",NOT(ISNUMBER($U$3))),"",ROUND(G67*C67*$U$3,2))</f>
        <v/>
      </c>
      <c r="I67" s="308" t="n"/>
      <c r="J67" s="273">
        <f>IF(OR(A67="",I67="",C67="",NOT(ISNUMBER($U$4))),"",ROUND(I67*C67*$U$4,2))</f>
        <v/>
      </c>
      <c r="K67" s="308" t="n"/>
      <c r="L67" s="273">
        <f>IF(OR(A67="",K67="",C67="",NOT(ISNUMBER($U$5))),"",ROUND(K67*C67*$U$5,2))</f>
        <v/>
      </c>
      <c r="M67" s="308" t="n"/>
      <c r="N67" s="273">
        <f>IF(OR(A67="",M67="",C67="",NOT(ISNUMBER($U$6))),"",ROUND(M67*C67*$U$6,2))</f>
        <v/>
      </c>
      <c r="O67" s="282">
        <f>IF(A67="","",SUM(E67,G67,I67,K67,M67))</f>
        <v/>
      </c>
      <c r="P67" s="273">
        <f>IF(A67="","",SUM(F67,H67,J67,L67,N67))</f>
        <v/>
      </c>
      <c r="Q67" s="284">
        <f>IF(A67="","",IF(O67&gt;B67,"DIVERGENCIA: CONSUMO MAIOR QUE CONTRATADO","OK"))</f>
        <v/>
      </c>
      <c r="R67" s="34" t="n"/>
      <c r="S67" s="34" t="n"/>
      <c r="T67" s="34" t="n"/>
      <c r="U67" s="34" t="n"/>
      <c r="V67" s="34" t="n"/>
      <c r="W67" s="34" t="n"/>
    </row>
    <row r="68">
      <c r="A68" s="307" t="n"/>
      <c r="B68" s="308" t="n"/>
      <c r="C68" s="309" t="n"/>
      <c r="D68" s="273">
        <f>IF(OR(A68="",B68="",C68=""),"",ROUND(B68*C68,2))</f>
        <v/>
      </c>
      <c r="E68" s="308" t="n"/>
      <c r="F68" s="273">
        <f>IF(OR(A68="",E68="",C68="",NOT(ISNUMBER($U$2))),"",ROUND(E68*C68*$U$2,2))</f>
        <v/>
      </c>
      <c r="G68" s="308" t="n"/>
      <c r="H68" s="273">
        <f>IF(OR(A68="",G68="",C68="",NOT(ISNUMBER($U$3))),"",ROUND(G68*C68*$U$3,2))</f>
        <v/>
      </c>
      <c r="I68" s="308" t="n"/>
      <c r="J68" s="273">
        <f>IF(OR(A68="",I68="",C68="",NOT(ISNUMBER($U$4))),"",ROUND(I68*C68*$U$4,2))</f>
        <v/>
      </c>
      <c r="K68" s="308" t="n"/>
      <c r="L68" s="273">
        <f>IF(OR(A68="",K68="",C68="",NOT(ISNUMBER($U$5))),"",ROUND(K68*C68*$U$5,2))</f>
        <v/>
      </c>
      <c r="M68" s="308" t="n"/>
      <c r="N68" s="273">
        <f>IF(OR(A68="",M68="",C68="",NOT(ISNUMBER($U$6))),"",ROUND(M68*C68*$U$6,2))</f>
        <v/>
      </c>
      <c r="O68" s="282">
        <f>IF(A68="","",SUM(E68,G68,I68,K68,M68))</f>
        <v/>
      </c>
      <c r="P68" s="273">
        <f>IF(A68="","",SUM(F68,H68,J68,L68,N68))</f>
        <v/>
      </c>
      <c r="Q68" s="284">
        <f>IF(A68="","",IF(O68&gt;B68,"DIVERGENCIA: CONSUMO MAIOR QUE CONTRATADO","OK"))</f>
        <v/>
      </c>
      <c r="R68" s="34" t="n"/>
      <c r="S68" s="34" t="n"/>
      <c r="T68" s="34" t="n"/>
      <c r="U68" s="34" t="n"/>
      <c r="V68" s="34" t="n"/>
      <c r="W68" s="34" t="n"/>
    </row>
    <row r="69">
      <c r="A69" s="307" t="n"/>
      <c r="B69" s="308" t="n"/>
      <c r="C69" s="309" t="n"/>
      <c r="D69" s="273">
        <f>IF(OR(A69="",B69="",C69=""),"",ROUND(B69*C69,2))</f>
        <v/>
      </c>
      <c r="E69" s="308" t="n"/>
      <c r="F69" s="273">
        <f>IF(OR(A69="",E69="",C69="",NOT(ISNUMBER($U$2))),"",ROUND(E69*C69*$U$2,2))</f>
        <v/>
      </c>
      <c r="G69" s="308" t="n"/>
      <c r="H69" s="273">
        <f>IF(OR(A69="",G69="",C69="",NOT(ISNUMBER($U$3))),"",ROUND(G69*C69*$U$3,2))</f>
        <v/>
      </c>
      <c r="I69" s="308" t="n"/>
      <c r="J69" s="273">
        <f>IF(OR(A69="",I69="",C69="",NOT(ISNUMBER($U$4))),"",ROUND(I69*C69*$U$4,2))</f>
        <v/>
      </c>
      <c r="K69" s="308" t="n"/>
      <c r="L69" s="273">
        <f>IF(OR(A69="",K69="",C69="",NOT(ISNUMBER($U$5))),"",ROUND(K69*C69*$U$5,2))</f>
        <v/>
      </c>
      <c r="M69" s="308" t="n"/>
      <c r="N69" s="273">
        <f>IF(OR(A69="",M69="",C69="",NOT(ISNUMBER($U$6))),"",ROUND(M69*C69*$U$6,2))</f>
        <v/>
      </c>
      <c r="O69" s="282">
        <f>IF(A69="","",SUM(E69,G69,I69,K69,M69))</f>
        <v/>
      </c>
      <c r="P69" s="273">
        <f>IF(A69="","",SUM(F69,H69,J69,L69,N69))</f>
        <v/>
      </c>
      <c r="Q69" s="284">
        <f>IF(A69="","",IF(O69&gt;B69,"DIVERGENCIA: CONSUMO MAIOR QUE CONTRATADO","OK"))</f>
        <v/>
      </c>
      <c r="R69" s="34" t="n"/>
      <c r="S69" s="34" t="n"/>
      <c r="T69" s="34" t="n"/>
      <c r="U69" s="34" t="n"/>
      <c r="V69" s="34" t="n"/>
      <c r="W69" s="34" t="n"/>
    </row>
    <row r="70">
      <c r="A70" s="307" t="n"/>
      <c r="B70" s="308" t="n"/>
      <c r="C70" s="309" t="n"/>
      <c r="D70" s="273">
        <f>IF(OR(A70="",B70="",C70=""),"",ROUND(B70*C70,2))</f>
        <v/>
      </c>
      <c r="E70" s="308" t="n"/>
      <c r="F70" s="273">
        <f>IF(OR(A70="",E70="",C70="",NOT(ISNUMBER($U$2))),"",ROUND(E70*C70*$U$2,2))</f>
        <v/>
      </c>
      <c r="G70" s="308" t="n"/>
      <c r="H70" s="273">
        <f>IF(OR(A70="",G70="",C70="",NOT(ISNUMBER($U$3))),"",ROUND(G70*C70*$U$3,2))</f>
        <v/>
      </c>
      <c r="I70" s="308" t="n"/>
      <c r="J70" s="273">
        <f>IF(OR(A70="",I70="",C70="",NOT(ISNUMBER($U$4))),"",ROUND(I70*C70*$U$4,2))</f>
        <v/>
      </c>
      <c r="K70" s="308" t="n"/>
      <c r="L70" s="273">
        <f>IF(OR(A70="",K70="",C70="",NOT(ISNUMBER($U$5))),"",ROUND(K70*C70*$U$5,2))</f>
        <v/>
      </c>
      <c r="M70" s="308" t="n"/>
      <c r="N70" s="273">
        <f>IF(OR(A70="",M70="",C70="",NOT(ISNUMBER($U$6))),"",ROUND(M70*C70*$U$6,2))</f>
        <v/>
      </c>
      <c r="O70" s="282">
        <f>IF(A70="","",SUM(E70,G70,I70,K70,M70))</f>
        <v/>
      </c>
      <c r="P70" s="273">
        <f>IF(A70="","",SUM(F70,H70,J70,L70,N70))</f>
        <v/>
      </c>
      <c r="Q70" s="284">
        <f>IF(A70="","",IF(O70&gt;B70,"DIVERGENCIA: CONSUMO MAIOR QUE CONTRATADO","OK"))</f>
        <v/>
      </c>
      <c r="R70" s="34" t="n"/>
      <c r="S70" s="34" t="n"/>
      <c r="T70" s="34" t="n"/>
      <c r="U70" s="34" t="n"/>
      <c r="V70" s="34" t="n"/>
      <c r="W70" s="34" t="n"/>
    </row>
    <row r="71">
      <c r="A71" s="307" t="n"/>
      <c r="B71" s="308" t="n"/>
      <c r="C71" s="309" t="n"/>
      <c r="D71" s="273">
        <f>IF(OR(A71="",B71="",C71=""),"",ROUND(B71*C71,2))</f>
        <v/>
      </c>
      <c r="E71" s="308" t="n"/>
      <c r="F71" s="273">
        <f>IF(OR(A71="",E71="",C71="",NOT(ISNUMBER($U$2))),"",ROUND(E71*C71*$U$2,2))</f>
        <v/>
      </c>
      <c r="G71" s="308" t="n"/>
      <c r="H71" s="273">
        <f>IF(OR(A71="",G71="",C71="",NOT(ISNUMBER($U$3))),"",ROUND(G71*C71*$U$3,2))</f>
        <v/>
      </c>
      <c r="I71" s="308" t="n"/>
      <c r="J71" s="273">
        <f>IF(OR(A71="",I71="",C71="",NOT(ISNUMBER($U$4))),"",ROUND(I71*C71*$U$4,2))</f>
        <v/>
      </c>
      <c r="K71" s="308" t="n"/>
      <c r="L71" s="273">
        <f>IF(OR(A71="",K71="",C71="",NOT(ISNUMBER($U$5))),"",ROUND(K71*C71*$U$5,2))</f>
        <v/>
      </c>
      <c r="M71" s="308" t="n"/>
      <c r="N71" s="273">
        <f>IF(OR(A71="",M71="",C71="",NOT(ISNUMBER($U$6))),"",ROUND(M71*C71*$U$6,2))</f>
        <v/>
      </c>
      <c r="O71" s="282">
        <f>IF(A71="","",SUM(E71,G71,I71,K71,M71))</f>
        <v/>
      </c>
      <c r="P71" s="273">
        <f>IF(A71="","",SUM(F71,H71,J71,L71,N71))</f>
        <v/>
      </c>
      <c r="Q71" s="284">
        <f>IF(A71="","",IF(O71&gt;B71,"DIVERGENCIA: CONSUMO MAIOR QUE CONTRATADO","OK"))</f>
        <v/>
      </c>
      <c r="R71" s="34" t="n"/>
      <c r="S71" s="34" t="n"/>
      <c r="T71" s="34" t="n"/>
      <c r="U71" s="34" t="n"/>
      <c r="V71" s="34" t="n"/>
      <c r="W71" s="34" t="n"/>
    </row>
    <row r="72">
      <c r="A72" s="307" t="n"/>
      <c r="B72" s="308" t="n"/>
      <c r="C72" s="309" t="n"/>
      <c r="D72" s="273">
        <f>IF(OR(A72="",B72="",C72=""),"",ROUND(B72*C72,2))</f>
        <v/>
      </c>
      <c r="E72" s="308" t="n"/>
      <c r="F72" s="273">
        <f>IF(OR(A72="",E72="",C72="",NOT(ISNUMBER($U$2))),"",ROUND(E72*C72*$U$2,2))</f>
        <v/>
      </c>
      <c r="G72" s="308" t="n"/>
      <c r="H72" s="273">
        <f>IF(OR(A72="",G72="",C72="",NOT(ISNUMBER($U$3))),"",ROUND(G72*C72*$U$3,2))</f>
        <v/>
      </c>
      <c r="I72" s="308" t="n"/>
      <c r="J72" s="273">
        <f>IF(OR(A72="",I72="",C72="",NOT(ISNUMBER($U$4))),"",ROUND(I72*C72*$U$4,2))</f>
        <v/>
      </c>
      <c r="K72" s="308" t="n"/>
      <c r="L72" s="273">
        <f>IF(OR(A72="",K72="",C72="",NOT(ISNUMBER($U$5))),"",ROUND(K72*C72*$U$5,2))</f>
        <v/>
      </c>
      <c r="M72" s="308" t="n"/>
      <c r="N72" s="273">
        <f>IF(OR(A72="",M72="",C72="",NOT(ISNUMBER($U$6))),"",ROUND(M72*C72*$U$6,2))</f>
        <v/>
      </c>
      <c r="O72" s="282">
        <f>IF(A72="","",SUM(E72,G72,I72,K72,M72))</f>
        <v/>
      </c>
      <c r="P72" s="273">
        <f>IF(A72="","",SUM(F72,H72,J72,L72,N72))</f>
        <v/>
      </c>
      <c r="Q72" s="284">
        <f>IF(A72="","",IF(O72&gt;B72,"DIVERGENCIA: CONSUMO MAIOR QUE CONTRATADO","OK"))</f>
        <v/>
      </c>
      <c r="R72" s="34" t="n"/>
      <c r="S72" s="34" t="n"/>
      <c r="T72" s="34" t="n"/>
      <c r="U72" s="34" t="n"/>
      <c r="V72" s="34" t="n"/>
      <c r="W72" s="34" t="n"/>
    </row>
    <row r="73">
      <c r="A73" s="307" t="n"/>
      <c r="B73" s="308" t="n"/>
      <c r="C73" s="309" t="n"/>
      <c r="D73" s="273">
        <f>IF(OR(A73="",B73="",C73=""),"",ROUND(B73*C73,2))</f>
        <v/>
      </c>
      <c r="E73" s="308" t="n"/>
      <c r="F73" s="273">
        <f>IF(OR(A73="",E73="",C73="",NOT(ISNUMBER($U$2))),"",ROUND(E73*C73*$U$2,2))</f>
        <v/>
      </c>
      <c r="G73" s="308" t="n"/>
      <c r="H73" s="273">
        <f>IF(OR(A73="",G73="",C73="",NOT(ISNUMBER($U$3))),"",ROUND(G73*C73*$U$3,2))</f>
        <v/>
      </c>
      <c r="I73" s="308" t="n"/>
      <c r="J73" s="273">
        <f>IF(OR(A73="",I73="",C73="",NOT(ISNUMBER($U$4))),"",ROUND(I73*C73*$U$4,2))</f>
        <v/>
      </c>
      <c r="K73" s="308" t="n"/>
      <c r="L73" s="273">
        <f>IF(OR(A73="",K73="",C73="",NOT(ISNUMBER($U$5))),"",ROUND(K73*C73*$U$5,2))</f>
        <v/>
      </c>
      <c r="M73" s="308" t="n"/>
      <c r="N73" s="273">
        <f>IF(OR(A73="",M73="",C73="",NOT(ISNUMBER($U$6))),"",ROUND(M73*C73*$U$6,2))</f>
        <v/>
      </c>
      <c r="O73" s="282">
        <f>IF(A73="","",SUM(E73,G73,I73,K73,M73))</f>
        <v/>
      </c>
      <c r="P73" s="273">
        <f>IF(A73="","",SUM(F73,H73,J73,L73,N73))</f>
        <v/>
      </c>
      <c r="Q73" s="284">
        <f>IF(A73="","",IF(O73&gt;B73,"DIVERGENCIA: CONSUMO MAIOR QUE CONTRATADO","OK"))</f>
        <v/>
      </c>
      <c r="R73" s="34" t="n"/>
      <c r="S73" s="34" t="n"/>
      <c r="T73" s="34" t="n"/>
      <c r="U73" s="34" t="n"/>
      <c r="V73" s="34" t="n"/>
      <c r="W73" s="34" t="n"/>
    </row>
    <row r="74">
      <c r="A74" s="307" t="n"/>
      <c r="B74" s="308" t="n"/>
      <c r="C74" s="309" t="n"/>
      <c r="D74" s="273">
        <f>IF(OR(A74="",B74="",C74=""),"",ROUND(B74*C74,2))</f>
        <v/>
      </c>
      <c r="E74" s="308" t="n"/>
      <c r="F74" s="273">
        <f>IF(OR(A74="",E74="",C74="",NOT(ISNUMBER($U$2))),"",ROUND(E74*C74*$U$2,2))</f>
        <v/>
      </c>
      <c r="G74" s="308" t="n"/>
      <c r="H74" s="273">
        <f>IF(OR(A74="",G74="",C74="",NOT(ISNUMBER($U$3))),"",ROUND(G74*C74*$U$3,2))</f>
        <v/>
      </c>
      <c r="I74" s="308" t="n"/>
      <c r="J74" s="273">
        <f>IF(OR(A74="",I74="",C74="",NOT(ISNUMBER($U$4))),"",ROUND(I74*C74*$U$4,2))</f>
        <v/>
      </c>
      <c r="K74" s="308" t="n"/>
      <c r="L74" s="273">
        <f>IF(OR(A74="",K74="",C74="",NOT(ISNUMBER($U$5))),"",ROUND(K74*C74*$U$5,2))</f>
        <v/>
      </c>
      <c r="M74" s="308" t="n"/>
      <c r="N74" s="273">
        <f>IF(OR(A74="",M74="",C74="",NOT(ISNUMBER($U$6))),"",ROUND(M74*C74*$U$6,2))</f>
        <v/>
      </c>
      <c r="O74" s="282">
        <f>IF(A74="","",SUM(E74,G74,I74,K74,M74))</f>
        <v/>
      </c>
      <c r="P74" s="273">
        <f>IF(A74="","",SUM(F74,H74,J74,L74,N74))</f>
        <v/>
      </c>
      <c r="Q74" s="284">
        <f>IF(A74="","",IF(O74&gt;B74,"DIVERGENCIA: CONSUMO MAIOR QUE CONTRATADO","OK"))</f>
        <v/>
      </c>
      <c r="R74" s="34" t="n"/>
      <c r="S74" s="34" t="n"/>
      <c r="T74" s="34" t="n"/>
      <c r="U74" s="34" t="n"/>
      <c r="V74" s="34" t="n"/>
      <c r="W74" s="34" t="n"/>
    </row>
    <row r="75">
      <c r="A75" s="307" t="n"/>
      <c r="B75" s="308" t="n"/>
      <c r="C75" s="309" t="n"/>
      <c r="D75" s="273">
        <f>IF(OR(A75="",B75="",C75=""),"",ROUND(B75*C75,2))</f>
        <v/>
      </c>
      <c r="E75" s="308" t="n"/>
      <c r="F75" s="273">
        <f>IF(OR(A75="",E75="",C75="",NOT(ISNUMBER($U$2))),"",ROUND(E75*C75*$U$2,2))</f>
        <v/>
      </c>
      <c r="G75" s="308" t="n"/>
      <c r="H75" s="273">
        <f>IF(OR(A75="",G75="",C75="",NOT(ISNUMBER($U$3))),"",ROUND(G75*C75*$U$3,2))</f>
        <v/>
      </c>
      <c r="I75" s="308" t="n"/>
      <c r="J75" s="273">
        <f>IF(OR(A75="",I75="",C75="",NOT(ISNUMBER($U$4))),"",ROUND(I75*C75*$U$4,2))</f>
        <v/>
      </c>
      <c r="K75" s="308" t="n"/>
      <c r="L75" s="273">
        <f>IF(OR(A75="",K75="",C75="",NOT(ISNUMBER($U$5))),"",ROUND(K75*C75*$U$5,2))</f>
        <v/>
      </c>
      <c r="M75" s="308" t="n"/>
      <c r="N75" s="273">
        <f>IF(OR(A75="",M75="",C75="",NOT(ISNUMBER($U$6))),"",ROUND(M75*C75*$U$6,2))</f>
        <v/>
      </c>
      <c r="O75" s="282">
        <f>IF(A75="","",SUM(E75,G75,I75,K75,M75))</f>
        <v/>
      </c>
      <c r="P75" s="273">
        <f>IF(A75="","",SUM(F75,H75,J75,L75,N75))</f>
        <v/>
      </c>
      <c r="Q75" s="284">
        <f>IF(A75="","",IF(O75&gt;B75,"DIVERGENCIA: CONSUMO MAIOR QUE CONTRATADO","OK"))</f>
        <v/>
      </c>
      <c r="R75" s="34" t="n"/>
      <c r="S75" s="34" t="n"/>
      <c r="T75" s="34" t="n"/>
      <c r="U75" s="34" t="n"/>
      <c r="V75" s="34" t="n"/>
      <c r="W75" s="34" t="n"/>
    </row>
    <row r="76">
      <c r="A76" s="307" t="n"/>
      <c r="B76" s="308" t="n"/>
      <c r="C76" s="309" t="n"/>
      <c r="D76" s="273">
        <f>IF(OR(A76="",B76="",C76=""),"",ROUND(B76*C76,2))</f>
        <v/>
      </c>
      <c r="E76" s="308" t="n"/>
      <c r="F76" s="273">
        <f>IF(OR(A76="",E76="",C76="",NOT(ISNUMBER($U$2))),"",ROUND(E76*C76*$U$2,2))</f>
        <v/>
      </c>
      <c r="G76" s="308" t="n"/>
      <c r="H76" s="273">
        <f>IF(OR(A76="",G76="",C76="",NOT(ISNUMBER($U$3))),"",ROUND(G76*C76*$U$3,2))</f>
        <v/>
      </c>
      <c r="I76" s="308" t="n"/>
      <c r="J76" s="273">
        <f>IF(OR(A76="",I76="",C76="",NOT(ISNUMBER($U$4))),"",ROUND(I76*C76*$U$4,2))</f>
        <v/>
      </c>
      <c r="K76" s="308" t="n"/>
      <c r="L76" s="273">
        <f>IF(OR(A76="",K76="",C76="",NOT(ISNUMBER($U$5))),"",ROUND(K76*C76*$U$5,2))</f>
        <v/>
      </c>
      <c r="M76" s="308" t="n"/>
      <c r="N76" s="273">
        <f>IF(OR(A76="",M76="",C76="",NOT(ISNUMBER($U$6))),"",ROUND(M76*C76*$U$6,2))</f>
        <v/>
      </c>
      <c r="O76" s="282">
        <f>IF(A76="","",SUM(E76,G76,I76,K76,M76))</f>
        <v/>
      </c>
      <c r="P76" s="273">
        <f>IF(A76="","",SUM(F76,H76,J76,L76,N76))</f>
        <v/>
      </c>
      <c r="Q76" s="284">
        <f>IF(A76="","",IF(O76&gt;B76,"DIVERGENCIA: CONSUMO MAIOR QUE CONTRATADO","OK"))</f>
        <v/>
      </c>
      <c r="R76" s="34" t="n"/>
      <c r="S76" s="34" t="n"/>
      <c r="T76" s="34" t="n"/>
      <c r="U76" s="34" t="n"/>
      <c r="V76" s="34" t="n"/>
      <c r="W76" s="34" t="n"/>
    </row>
    <row r="77">
      <c r="A77" s="307" t="n"/>
      <c r="B77" s="308" t="n"/>
      <c r="C77" s="309" t="n"/>
      <c r="D77" s="273">
        <f>IF(OR(A77="",B77="",C77=""),"",ROUND(B77*C77,2))</f>
        <v/>
      </c>
      <c r="E77" s="308" t="n"/>
      <c r="F77" s="273">
        <f>IF(OR(A77="",E77="",C77="",NOT(ISNUMBER($U$2))),"",ROUND(E77*C77*$U$2,2))</f>
        <v/>
      </c>
      <c r="G77" s="308" t="n"/>
      <c r="H77" s="273">
        <f>IF(OR(A77="",G77="",C77="",NOT(ISNUMBER($U$3))),"",ROUND(G77*C77*$U$3,2))</f>
        <v/>
      </c>
      <c r="I77" s="308" t="n"/>
      <c r="J77" s="273">
        <f>IF(OR(A77="",I77="",C77="",NOT(ISNUMBER($U$4))),"",ROUND(I77*C77*$U$4,2))</f>
        <v/>
      </c>
      <c r="K77" s="308" t="n"/>
      <c r="L77" s="273">
        <f>IF(OR(A77="",K77="",C77="",NOT(ISNUMBER($U$5))),"",ROUND(K77*C77*$U$5,2))</f>
        <v/>
      </c>
      <c r="M77" s="308" t="n"/>
      <c r="N77" s="273">
        <f>IF(OR(A77="",M77="",C77="",NOT(ISNUMBER($U$6))),"",ROUND(M77*C77*$U$6,2))</f>
        <v/>
      </c>
      <c r="O77" s="282">
        <f>IF(A77="","",SUM(E77,G77,I77,K77,M77))</f>
        <v/>
      </c>
      <c r="P77" s="273">
        <f>IF(A77="","",SUM(F77,H77,J77,L77,N77))</f>
        <v/>
      </c>
      <c r="Q77" s="284">
        <f>IF(A77="","",IF(O77&gt;B77,"DIVERGENCIA: CONSUMO MAIOR QUE CONTRATADO","OK"))</f>
        <v/>
      </c>
      <c r="R77" s="34" t="n"/>
      <c r="S77" s="34" t="n"/>
      <c r="T77" s="34" t="n"/>
      <c r="U77" s="34" t="n"/>
      <c r="V77" s="34" t="n"/>
      <c r="W77" s="34" t="n"/>
    </row>
    <row r="78">
      <c r="A78" s="307" t="n"/>
      <c r="B78" s="308" t="n"/>
      <c r="C78" s="309" t="n"/>
      <c r="D78" s="273">
        <f>IF(OR(A78="",B78="",C78=""),"",ROUND(B78*C78,2))</f>
        <v/>
      </c>
      <c r="E78" s="308" t="n"/>
      <c r="F78" s="273">
        <f>IF(OR(A78="",E78="",C78="",NOT(ISNUMBER($U$2))),"",ROUND(E78*C78*$U$2,2))</f>
        <v/>
      </c>
      <c r="G78" s="308" t="n"/>
      <c r="H78" s="273">
        <f>IF(OR(A78="",G78="",C78="",NOT(ISNUMBER($U$3))),"",ROUND(G78*C78*$U$3,2))</f>
        <v/>
      </c>
      <c r="I78" s="308" t="n"/>
      <c r="J78" s="273">
        <f>IF(OR(A78="",I78="",C78="",NOT(ISNUMBER($U$4))),"",ROUND(I78*C78*$U$4,2))</f>
        <v/>
      </c>
      <c r="K78" s="308" t="n"/>
      <c r="L78" s="273">
        <f>IF(OR(A78="",K78="",C78="",NOT(ISNUMBER($U$5))),"",ROUND(K78*C78*$U$5,2))</f>
        <v/>
      </c>
      <c r="M78" s="308" t="n"/>
      <c r="N78" s="273">
        <f>IF(OR(A78="",M78="",C78="",NOT(ISNUMBER($U$6))),"",ROUND(M78*C78*$U$6,2))</f>
        <v/>
      </c>
      <c r="O78" s="282">
        <f>IF(A78="","",SUM(E78,G78,I78,K78,M78))</f>
        <v/>
      </c>
      <c r="P78" s="273">
        <f>IF(A78="","",SUM(F78,H78,J78,L78,N78))</f>
        <v/>
      </c>
      <c r="Q78" s="284">
        <f>IF(A78="","",IF(O78&gt;B78,"DIVERGENCIA: CONSUMO MAIOR QUE CONTRATADO","OK"))</f>
        <v/>
      </c>
      <c r="R78" s="34" t="n"/>
      <c r="S78" s="34" t="n"/>
      <c r="T78" s="34" t="n"/>
      <c r="U78" s="34" t="n"/>
      <c r="V78" s="34" t="n"/>
      <c r="W78" s="34" t="n"/>
    </row>
    <row r="79">
      <c r="A79" s="307" t="n"/>
      <c r="B79" s="308" t="n"/>
      <c r="C79" s="309" t="n"/>
      <c r="D79" s="273">
        <f>IF(OR(A79="",B79="",C79=""),"",ROUND(B79*C79,2))</f>
        <v/>
      </c>
      <c r="E79" s="308" t="n"/>
      <c r="F79" s="273">
        <f>IF(OR(A79="",E79="",C79="",NOT(ISNUMBER($U$2))),"",ROUND(E79*C79*$U$2,2))</f>
        <v/>
      </c>
      <c r="G79" s="308" t="n"/>
      <c r="H79" s="273">
        <f>IF(OR(A79="",G79="",C79="",NOT(ISNUMBER($U$3))),"",ROUND(G79*C79*$U$3,2))</f>
        <v/>
      </c>
      <c r="I79" s="308" t="n"/>
      <c r="J79" s="273">
        <f>IF(OR(A79="",I79="",C79="",NOT(ISNUMBER($U$4))),"",ROUND(I79*C79*$U$4,2))</f>
        <v/>
      </c>
      <c r="K79" s="308" t="n"/>
      <c r="L79" s="273">
        <f>IF(OR(A79="",K79="",C79="",NOT(ISNUMBER($U$5))),"",ROUND(K79*C79*$U$5,2))</f>
        <v/>
      </c>
      <c r="M79" s="308" t="n"/>
      <c r="N79" s="273">
        <f>IF(OR(A79="",M79="",C79="",NOT(ISNUMBER($U$6))),"",ROUND(M79*C79*$U$6,2))</f>
        <v/>
      </c>
      <c r="O79" s="282">
        <f>IF(A79="","",SUM(E79,G79,I79,K79,M79))</f>
        <v/>
      </c>
      <c r="P79" s="273">
        <f>IF(A79="","",SUM(F79,H79,J79,L79,N79))</f>
        <v/>
      </c>
      <c r="Q79" s="284">
        <f>IF(A79="","",IF(O79&gt;B79,"DIVERGENCIA: CONSUMO MAIOR QUE CONTRATADO","OK"))</f>
        <v/>
      </c>
      <c r="R79" s="34" t="n"/>
      <c r="S79" s="34" t="n"/>
      <c r="T79" s="34" t="n"/>
      <c r="U79" s="34" t="n"/>
      <c r="V79" s="34" t="n"/>
      <c r="W79" s="34" t="n"/>
    </row>
    <row r="80">
      <c r="A80" s="307" t="n"/>
      <c r="B80" s="308" t="n"/>
      <c r="C80" s="309" t="n"/>
      <c r="D80" s="273">
        <f>IF(OR(A80="",B80="",C80=""),"",ROUND(B80*C80,2))</f>
        <v/>
      </c>
      <c r="E80" s="308" t="n"/>
      <c r="F80" s="273">
        <f>IF(OR(A80="",E80="",C80="",NOT(ISNUMBER($U$2))),"",ROUND(E80*C80*$U$2,2))</f>
        <v/>
      </c>
      <c r="G80" s="308" t="n"/>
      <c r="H80" s="273">
        <f>IF(OR(A80="",G80="",C80="",NOT(ISNUMBER($U$3))),"",ROUND(G80*C80*$U$3,2))</f>
        <v/>
      </c>
      <c r="I80" s="308" t="n"/>
      <c r="J80" s="273">
        <f>IF(OR(A80="",I80="",C80="",NOT(ISNUMBER($U$4))),"",ROUND(I80*C80*$U$4,2))</f>
        <v/>
      </c>
      <c r="K80" s="308" t="n"/>
      <c r="L80" s="273">
        <f>IF(OR(A80="",K80="",C80="",NOT(ISNUMBER($U$5))),"",ROUND(K80*C80*$U$5,2))</f>
        <v/>
      </c>
      <c r="M80" s="308" t="n"/>
      <c r="N80" s="273">
        <f>IF(OR(A80="",M80="",C80="",NOT(ISNUMBER($U$6))),"",ROUND(M80*C80*$U$6,2))</f>
        <v/>
      </c>
      <c r="O80" s="282">
        <f>IF(A80="","",SUM(E80,G80,I80,K80,M80))</f>
        <v/>
      </c>
      <c r="P80" s="273">
        <f>IF(A80="","",SUM(F80,H80,J80,L80,N80))</f>
        <v/>
      </c>
      <c r="Q80" s="284">
        <f>IF(A80="","",IF(O80&gt;B80,"DIVERGENCIA: CONSUMO MAIOR QUE CONTRATADO","OK"))</f>
        <v/>
      </c>
      <c r="R80" s="34" t="n"/>
      <c r="S80" s="34" t="n"/>
      <c r="T80" s="34" t="n"/>
      <c r="U80" s="34" t="n"/>
      <c r="V80" s="34" t="n"/>
      <c r="W80" s="34" t="n"/>
    </row>
    <row r="81">
      <c r="A81" s="307" t="n"/>
      <c r="B81" s="308" t="n"/>
      <c r="C81" s="309" t="n"/>
      <c r="D81" s="273">
        <f>IF(OR(A81="",B81="",C81=""),"",ROUND(B81*C81,2))</f>
        <v/>
      </c>
      <c r="E81" s="308" t="n"/>
      <c r="F81" s="273">
        <f>IF(OR(A81="",E81="",C81="",NOT(ISNUMBER($U$2))),"",ROUND(E81*C81*$U$2,2))</f>
        <v/>
      </c>
      <c r="G81" s="308" t="n"/>
      <c r="H81" s="273">
        <f>IF(OR(A81="",G81="",C81="",NOT(ISNUMBER($U$3))),"",ROUND(G81*C81*$U$3,2))</f>
        <v/>
      </c>
      <c r="I81" s="308" t="n"/>
      <c r="J81" s="273">
        <f>IF(OR(A81="",I81="",C81="",NOT(ISNUMBER($U$4))),"",ROUND(I81*C81*$U$4,2))</f>
        <v/>
      </c>
      <c r="K81" s="308" t="n"/>
      <c r="L81" s="273">
        <f>IF(OR(A81="",K81="",C81="",NOT(ISNUMBER($U$5))),"",ROUND(K81*C81*$U$5,2))</f>
        <v/>
      </c>
      <c r="M81" s="308" t="n"/>
      <c r="N81" s="273">
        <f>IF(OR(A81="",M81="",C81="",NOT(ISNUMBER($U$6))),"",ROUND(M81*C81*$U$6,2))</f>
        <v/>
      </c>
      <c r="O81" s="282">
        <f>IF(A81="","",SUM(E81,G81,I81,K81,M81))</f>
        <v/>
      </c>
      <c r="P81" s="273">
        <f>IF(A81="","",SUM(F81,H81,J81,L81,N81))</f>
        <v/>
      </c>
      <c r="Q81" s="284">
        <f>IF(A81="","",IF(O81&gt;B81,"DIVERGENCIA: CONSUMO MAIOR QUE CONTRATADO","OK"))</f>
        <v/>
      </c>
      <c r="R81" s="34" t="n"/>
      <c r="S81" s="34" t="n"/>
      <c r="T81" s="34" t="n"/>
      <c r="U81" s="34" t="n"/>
      <c r="V81" s="34" t="n"/>
      <c r="W81" s="34" t="n"/>
    </row>
    <row r="82">
      <c r="A82" s="307" t="n"/>
      <c r="B82" s="308" t="n"/>
      <c r="C82" s="309" t="n"/>
      <c r="D82" s="273">
        <f>IF(OR(A82="",B82="",C82=""),"",ROUND(B82*C82,2))</f>
        <v/>
      </c>
      <c r="E82" s="308" t="n"/>
      <c r="F82" s="273">
        <f>IF(OR(A82="",E82="",C82="",NOT(ISNUMBER($U$2))),"",ROUND(E82*C82*$U$2,2))</f>
        <v/>
      </c>
      <c r="G82" s="308" t="n"/>
      <c r="H82" s="273">
        <f>IF(OR(A82="",G82="",C82="",NOT(ISNUMBER($U$3))),"",ROUND(G82*C82*$U$3,2))</f>
        <v/>
      </c>
      <c r="I82" s="308" t="n"/>
      <c r="J82" s="273">
        <f>IF(OR(A82="",I82="",C82="",NOT(ISNUMBER($U$4))),"",ROUND(I82*C82*$U$4,2))</f>
        <v/>
      </c>
      <c r="K82" s="308" t="n"/>
      <c r="L82" s="273">
        <f>IF(OR(A82="",K82="",C82="",NOT(ISNUMBER($U$5))),"",ROUND(K82*C82*$U$5,2))</f>
        <v/>
      </c>
      <c r="M82" s="308" t="n"/>
      <c r="N82" s="273">
        <f>IF(OR(A82="",M82="",C82="",NOT(ISNUMBER($U$6))),"",ROUND(M82*C82*$U$6,2))</f>
        <v/>
      </c>
      <c r="O82" s="282">
        <f>IF(A82="","",SUM(E82,G82,I82,K82,M82))</f>
        <v/>
      </c>
      <c r="P82" s="273">
        <f>IF(A82="","",SUM(F82,H82,J82,L82,N82))</f>
        <v/>
      </c>
      <c r="Q82" s="284">
        <f>IF(A82="","",IF(O82&gt;B82,"DIVERGENCIA: CONSUMO MAIOR QUE CONTRATADO","OK"))</f>
        <v/>
      </c>
      <c r="R82" s="34" t="n"/>
      <c r="S82" s="34" t="n"/>
      <c r="T82" s="34" t="n"/>
      <c r="U82" s="34" t="n"/>
      <c r="V82" s="34" t="n"/>
      <c r="W82" s="34" t="n"/>
    </row>
    <row r="83">
      <c r="A83" s="307" t="n"/>
      <c r="B83" s="308" t="n"/>
      <c r="C83" s="309" t="n"/>
      <c r="D83" s="273">
        <f>IF(OR(A83="",B83="",C83=""),"",ROUND(B83*C83,2))</f>
        <v/>
      </c>
      <c r="E83" s="308" t="n"/>
      <c r="F83" s="273">
        <f>IF(OR(A83="",E83="",C83="",NOT(ISNUMBER($U$2))),"",ROUND(E83*C83*$U$2,2))</f>
        <v/>
      </c>
      <c r="G83" s="308" t="n"/>
      <c r="H83" s="273">
        <f>IF(OR(A83="",G83="",C83="",NOT(ISNUMBER($U$3))),"",ROUND(G83*C83*$U$3,2))</f>
        <v/>
      </c>
      <c r="I83" s="308" t="n"/>
      <c r="J83" s="273">
        <f>IF(OR(A83="",I83="",C83="",NOT(ISNUMBER($U$4))),"",ROUND(I83*C83*$U$4,2))</f>
        <v/>
      </c>
      <c r="K83" s="308" t="n"/>
      <c r="L83" s="273">
        <f>IF(OR(A83="",K83="",C83="",NOT(ISNUMBER($U$5))),"",ROUND(K83*C83*$U$5,2))</f>
        <v/>
      </c>
      <c r="M83" s="308" t="n"/>
      <c r="N83" s="273">
        <f>IF(OR(A83="",M83="",C83="",NOT(ISNUMBER($U$6))),"",ROUND(M83*C83*$U$6,2))</f>
        <v/>
      </c>
      <c r="O83" s="282">
        <f>IF(A83="","",SUM(E83,G83,I83,K83,M83))</f>
        <v/>
      </c>
      <c r="P83" s="273">
        <f>IF(A83="","",SUM(F83,H83,J83,L83,N83))</f>
        <v/>
      </c>
      <c r="Q83" s="284">
        <f>IF(A83="","",IF(O83&gt;B83,"DIVERGENCIA: CONSUMO MAIOR QUE CONTRATADO","OK"))</f>
        <v/>
      </c>
      <c r="R83" s="34" t="n"/>
      <c r="S83" s="34" t="n"/>
      <c r="T83" s="34" t="n"/>
      <c r="U83" s="34" t="n"/>
      <c r="V83" s="34" t="n"/>
      <c r="W83" s="34" t="n"/>
    </row>
    <row r="84">
      <c r="A84" s="307" t="n"/>
      <c r="B84" s="308" t="n"/>
      <c r="C84" s="309" t="n"/>
      <c r="D84" s="273">
        <f>IF(OR(A84="",B84="",C84=""),"",ROUND(B84*C84,2))</f>
        <v/>
      </c>
      <c r="E84" s="308" t="n"/>
      <c r="F84" s="273">
        <f>IF(OR(A84="",E84="",C84="",NOT(ISNUMBER($U$2))),"",ROUND(E84*C84*$U$2,2))</f>
        <v/>
      </c>
      <c r="G84" s="308" t="n"/>
      <c r="H84" s="273">
        <f>IF(OR(A84="",G84="",C84="",NOT(ISNUMBER($U$3))),"",ROUND(G84*C84*$U$3,2))</f>
        <v/>
      </c>
      <c r="I84" s="308" t="n"/>
      <c r="J84" s="273">
        <f>IF(OR(A84="",I84="",C84="",NOT(ISNUMBER($U$4))),"",ROUND(I84*C84*$U$4,2))</f>
        <v/>
      </c>
      <c r="K84" s="308" t="n"/>
      <c r="L84" s="273">
        <f>IF(OR(A84="",K84="",C84="",NOT(ISNUMBER($U$5))),"",ROUND(K84*C84*$U$5,2))</f>
        <v/>
      </c>
      <c r="M84" s="308" t="n"/>
      <c r="N84" s="273">
        <f>IF(OR(A84="",M84="",C84="",NOT(ISNUMBER($U$6))),"",ROUND(M84*C84*$U$6,2))</f>
        <v/>
      </c>
      <c r="O84" s="282">
        <f>IF(A84="","",SUM(E84,G84,I84,K84,M84))</f>
        <v/>
      </c>
      <c r="P84" s="273">
        <f>IF(A84="","",SUM(F84,H84,J84,L84,N84))</f>
        <v/>
      </c>
      <c r="Q84" s="284">
        <f>IF(A84="","",IF(O84&gt;B84,"DIVERGENCIA: CONSUMO MAIOR QUE CONTRATADO","OK"))</f>
        <v/>
      </c>
      <c r="R84" s="34" t="n"/>
      <c r="S84" s="34" t="n"/>
      <c r="T84" s="34" t="n"/>
      <c r="U84" s="34" t="n"/>
      <c r="V84" s="34" t="n"/>
      <c r="W84" s="34" t="n"/>
    </row>
    <row r="85">
      <c r="A85" s="307" t="n"/>
      <c r="B85" s="308" t="n"/>
      <c r="C85" s="309" t="n"/>
      <c r="D85" s="273">
        <f>IF(OR(A85="",B85="",C85=""),"",ROUND(B85*C85,2))</f>
        <v/>
      </c>
      <c r="E85" s="308" t="n"/>
      <c r="F85" s="273">
        <f>IF(OR(A85="",E85="",C85="",NOT(ISNUMBER($U$2))),"",ROUND(E85*C85*$U$2,2))</f>
        <v/>
      </c>
      <c r="G85" s="308" t="n"/>
      <c r="H85" s="273">
        <f>IF(OR(A85="",G85="",C85="",NOT(ISNUMBER($U$3))),"",ROUND(G85*C85*$U$3,2))</f>
        <v/>
      </c>
      <c r="I85" s="308" t="n"/>
      <c r="J85" s="273">
        <f>IF(OR(A85="",I85="",C85="",NOT(ISNUMBER($U$4))),"",ROUND(I85*C85*$U$4,2))</f>
        <v/>
      </c>
      <c r="K85" s="308" t="n"/>
      <c r="L85" s="273">
        <f>IF(OR(A85="",K85="",C85="",NOT(ISNUMBER($U$5))),"",ROUND(K85*C85*$U$5,2))</f>
        <v/>
      </c>
      <c r="M85" s="308" t="n"/>
      <c r="N85" s="273">
        <f>IF(OR(A85="",M85="",C85="",NOT(ISNUMBER($U$6))),"",ROUND(M85*C85*$U$6,2))</f>
        <v/>
      </c>
      <c r="O85" s="282">
        <f>IF(A85="","",SUM(E85,G85,I85,K85,M85))</f>
        <v/>
      </c>
      <c r="P85" s="273">
        <f>IF(A85="","",SUM(F85,H85,J85,L85,N85))</f>
        <v/>
      </c>
      <c r="Q85" s="284">
        <f>IF(A85="","",IF(O85&gt;B85,"DIVERGENCIA: CONSUMO MAIOR QUE CONTRATADO","OK"))</f>
        <v/>
      </c>
      <c r="R85" s="34" t="n"/>
      <c r="S85" s="34" t="n"/>
      <c r="T85" s="34" t="n"/>
      <c r="U85" s="34" t="n"/>
      <c r="V85" s="34" t="n"/>
      <c r="W85" s="34" t="n"/>
    </row>
    <row r="86">
      <c r="A86" s="307" t="n"/>
      <c r="B86" s="308" t="n"/>
      <c r="C86" s="309" t="n"/>
      <c r="D86" s="273">
        <f>IF(OR(A86="",B86="",C86=""),"",ROUND(B86*C86,2))</f>
        <v/>
      </c>
      <c r="E86" s="308" t="n"/>
      <c r="F86" s="273">
        <f>IF(OR(A86="",E86="",C86="",NOT(ISNUMBER($U$2))),"",ROUND(E86*C86*$U$2,2))</f>
        <v/>
      </c>
      <c r="G86" s="308" t="n"/>
      <c r="H86" s="273">
        <f>IF(OR(A86="",G86="",C86="",NOT(ISNUMBER($U$3))),"",ROUND(G86*C86*$U$3,2))</f>
        <v/>
      </c>
      <c r="I86" s="308" t="n"/>
      <c r="J86" s="273">
        <f>IF(OR(A86="",I86="",C86="",NOT(ISNUMBER($U$4))),"",ROUND(I86*C86*$U$4,2))</f>
        <v/>
      </c>
      <c r="K86" s="308" t="n"/>
      <c r="L86" s="273">
        <f>IF(OR(A86="",K86="",C86="",NOT(ISNUMBER($U$5))),"",ROUND(K86*C86*$U$5,2))</f>
        <v/>
      </c>
      <c r="M86" s="308" t="n"/>
      <c r="N86" s="273">
        <f>IF(OR(A86="",M86="",C86="",NOT(ISNUMBER($U$6))),"",ROUND(M86*C86*$U$6,2))</f>
        <v/>
      </c>
      <c r="O86" s="282">
        <f>IF(A86="","",SUM(E86,G86,I86,K86,M86))</f>
        <v/>
      </c>
      <c r="P86" s="273">
        <f>IF(A86="","",SUM(F86,H86,J86,L86,N86))</f>
        <v/>
      </c>
      <c r="Q86" s="284">
        <f>IF(A86="","",IF(O86&gt;B86,"DIVERGENCIA: CONSUMO MAIOR QUE CONTRATADO","OK"))</f>
        <v/>
      </c>
      <c r="R86" s="34" t="n"/>
      <c r="S86" s="34" t="n"/>
      <c r="T86" s="34" t="n"/>
      <c r="U86" s="34" t="n"/>
      <c r="V86" s="34" t="n"/>
      <c r="W86" s="34" t="n"/>
    </row>
    <row r="87">
      <c r="A87" s="307" t="n"/>
      <c r="B87" s="308" t="n"/>
      <c r="C87" s="309" t="n"/>
      <c r="D87" s="273">
        <f>IF(OR(A87="",B87="",C87=""),"",ROUND(B87*C87,2))</f>
        <v/>
      </c>
      <c r="E87" s="308" t="n"/>
      <c r="F87" s="273">
        <f>IF(OR(A87="",E87="",C87="",NOT(ISNUMBER($U$2))),"",ROUND(E87*C87*$U$2,2))</f>
        <v/>
      </c>
      <c r="G87" s="308" t="n"/>
      <c r="H87" s="273">
        <f>IF(OR(A87="",G87="",C87="",NOT(ISNUMBER($U$3))),"",ROUND(G87*C87*$U$3,2))</f>
        <v/>
      </c>
      <c r="I87" s="308" t="n"/>
      <c r="J87" s="273">
        <f>IF(OR(A87="",I87="",C87="",NOT(ISNUMBER($U$4))),"",ROUND(I87*C87*$U$4,2))</f>
        <v/>
      </c>
      <c r="K87" s="308" t="n"/>
      <c r="L87" s="273">
        <f>IF(OR(A87="",K87="",C87="",NOT(ISNUMBER($U$5))),"",ROUND(K87*C87*$U$5,2))</f>
        <v/>
      </c>
      <c r="M87" s="308" t="n"/>
      <c r="N87" s="273">
        <f>IF(OR(A87="",M87="",C87="",NOT(ISNUMBER($U$6))),"",ROUND(M87*C87*$U$6,2))</f>
        <v/>
      </c>
      <c r="O87" s="282">
        <f>IF(A87="","",SUM(E87,G87,I87,K87,M87))</f>
        <v/>
      </c>
      <c r="P87" s="273">
        <f>IF(A87="","",SUM(F87,H87,J87,L87,N87))</f>
        <v/>
      </c>
      <c r="Q87" s="284">
        <f>IF(A87="","",IF(O87&gt;B87,"DIVERGENCIA: CONSUMO MAIOR QUE CONTRATADO","OK"))</f>
        <v/>
      </c>
      <c r="R87" s="34" t="n"/>
      <c r="S87" s="34" t="n"/>
      <c r="T87" s="34" t="n"/>
      <c r="U87" s="34" t="n"/>
      <c r="V87" s="34" t="n"/>
      <c r="W87" s="34" t="n"/>
    </row>
    <row r="88">
      <c r="A88" s="307" t="n"/>
      <c r="B88" s="308" t="n"/>
      <c r="C88" s="309" t="n"/>
      <c r="D88" s="273">
        <f>IF(OR(A88="",B88="",C88=""),"",ROUND(B88*C88,2))</f>
        <v/>
      </c>
      <c r="E88" s="308" t="n"/>
      <c r="F88" s="273">
        <f>IF(OR(A88="",E88="",C88="",NOT(ISNUMBER($U$2))),"",ROUND(E88*C88*$U$2,2))</f>
        <v/>
      </c>
      <c r="G88" s="308" t="n"/>
      <c r="H88" s="273">
        <f>IF(OR(A88="",G88="",C88="",NOT(ISNUMBER($U$3))),"",ROUND(G88*C88*$U$3,2))</f>
        <v/>
      </c>
      <c r="I88" s="308" t="n"/>
      <c r="J88" s="273">
        <f>IF(OR(A88="",I88="",C88="",NOT(ISNUMBER($U$4))),"",ROUND(I88*C88*$U$4,2))</f>
        <v/>
      </c>
      <c r="K88" s="308" t="n"/>
      <c r="L88" s="273">
        <f>IF(OR(A88="",K88="",C88="",NOT(ISNUMBER($U$5))),"",ROUND(K88*C88*$U$5,2))</f>
        <v/>
      </c>
      <c r="M88" s="308" t="n"/>
      <c r="N88" s="273">
        <f>IF(OR(A88="",M88="",C88="",NOT(ISNUMBER($U$6))),"",ROUND(M88*C88*$U$6,2))</f>
        <v/>
      </c>
      <c r="O88" s="282">
        <f>IF(A88="","",SUM(E88,G88,I88,K88,M88))</f>
        <v/>
      </c>
      <c r="P88" s="273">
        <f>IF(A88="","",SUM(F88,H88,J88,L88,N88))</f>
        <v/>
      </c>
      <c r="Q88" s="284">
        <f>IF(A88="","",IF(O88&gt;B88,"DIVERGENCIA: CONSUMO MAIOR QUE CONTRATADO","OK"))</f>
        <v/>
      </c>
      <c r="R88" s="34" t="n"/>
      <c r="S88" s="34" t="n"/>
      <c r="T88" s="34" t="n"/>
      <c r="U88" s="34" t="n"/>
      <c r="V88" s="34" t="n"/>
      <c r="W88" s="34" t="n"/>
    </row>
    <row r="89">
      <c r="A89" s="307" t="n"/>
      <c r="B89" s="308" t="n"/>
      <c r="C89" s="309" t="n"/>
      <c r="D89" s="273">
        <f>IF(OR(A89="",B89="",C89=""),"",ROUND(B89*C89,2))</f>
        <v/>
      </c>
      <c r="E89" s="308" t="n"/>
      <c r="F89" s="273">
        <f>IF(OR(A89="",E89="",C89="",NOT(ISNUMBER($U$2))),"",ROUND(E89*C89*$U$2,2))</f>
        <v/>
      </c>
      <c r="G89" s="308" t="n"/>
      <c r="H89" s="273">
        <f>IF(OR(A89="",G89="",C89="",NOT(ISNUMBER($U$3))),"",ROUND(G89*C89*$U$3,2))</f>
        <v/>
      </c>
      <c r="I89" s="308" t="n"/>
      <c r="J89" s="273">
        <f>IF(OR(A89="",I89="",C89="",NOT(ISNUMBER($U$4))),"",ROUND(I89*C89*$U$4,2))</f>
        <v/>
      </c>
      <c r="K89" s="308" t="n"/>
      <c r="L89" s="273">
        <f>IF(OR(A89="",K89="",C89="",NOT(ISNUMBER($U$5))),"",ROUND(K89*C89*$U$5,2))</f>
        <v/>
      </c>
      <c r="M89" s="308" t="n"/>
      <c r="N89" s="273">
        <f>IF(OR(A89="",M89="",C89="",NOT(ISNUMBER($U$6))),"",ROUND(M89*C89*$U$6,2))</f>
        <v/>
      </c>
      <c r="O89" s="282">
        <f>IF(A89="","",SUM(E89,G89,I89,K89,M89))</f>
        <v/>
      </c>
      <c r="P89" s="273">
        <f>IF(A89="","",SUM(F89,H89,J89,L89,N89))</f>
        <v/>
      </c>
      <c r="Q89" s="284">
        <f>IF(A89="","",IF(O89&gt;B89,"DIVERGENCIA: CONSUMO MAIOR QUE CONTRATADO","OK"))</f>
        <v/>
      </c>
      <c r="R89" s="34" t="n"/>
      <c r="S89" s="34" t="n"/>
      <c r="T89" s="34" t="n"/>
      <c r="U89" s="34" t="n"/>
      <c r="V89" s="34" t="n"/>
      <c r="W89" s="34" t="n"/>
    </row>
    <row r="90">
      <c r="A90" s="307" t="n"/>
      <c r="B90" s="308" t="n"/>
      <c r="C90" s="309" t="n"/>
      <c r="D90" s="273">
        <f>IF(OR(A90="",B90="",C90=""),"",ROUND(B90*C90,2))</f>
        <v/>
      </c>
      <c r="E90" s="308" t="n"/>
      <c r="F90" s="273">
        <f>IF(OR(A90="",E90="",C90="",NOT(ISNUMBER($U$2))),"",ROUND(E90*C90*$U$2,2))</f>
        <v/>
      </c>
      <c r="G90" s="308" t="n"/>
      <c r="H90" s="273">
        <f>IF(OR(A90="",G90="",C90="",NOT(ISNUMBER($U$3))),"",ROUND(G90*C90*$U$3,2))</f>
        <v/>
      </c>
      <c r="I90" s="308" t="n"/>
      <c r="J90" s="273">
        <f>IF(OR(A90="",I90="",C90="",NOT(ISNUMBER($U$4))),"",ROUND(I90*C90*$U$4,2))</f>
        <v/>
      </c>
      <c r="K90" s="308" t="n"/>
      <c r="L90" s="273">
        <f>IF(OR(A90="",K90="",C90="",NOT(ISNUMBER($U$5))),"",ROUND(K90*C90*$U$5,2))</f>
        <v/>
      </c>
      <c r="M90" s="308" t="n"/>
      <c r="N90" s="273">
        <f>IF(OR(A90="",M90="",C90="",NOT(ISNUMBER($U$6))),"",ROUND(M90*C90*$U$6,2))</f>
        <v/>
      </c>
      <c r="O90" s="282">
        <f>IF(A90="","",SUM(E90,G90,I90,K90,M90))</f>
        <v/>
      </c>
      <c r="P90" s="273">
        <f>IF(A90="","",SUM(F90,H90,J90,L90,N90))</f>
        <v/>
      </c>
      <c r="Q90" s="284">
        <f>IF(A90="","",IF(O90&gt;B90,"DIVERGENCIA: CONSUMO MAIOR QUE CONTRATADO","OK"))</f>
        <v/>
      </c>
      <c r="R90" s="34" t="n"/>
      <c r="S90" s="34" t="n"/>
      <c r="T90" s="34" t="n"/>
      <c r="U90" s="34" t="n"/>
      <c r="V90" s="34" t="n"/>
      <c r="W90" s="34" t="n"/>
    </row>
    <row r="91">
      <c r="A91" s="307" t="n"/>
      <c r="B91" s="308" t="n"/>
      <c r="C91" s="309" t="n"/>
      <c r="D91" s="273">
        <f>IF(OR(A91="",B91="",C91=""),"",ROUND(B91*C91,2))</f>
        <v/>
      </c>
      <c r="E91" s="308" t="n"/>
      <c r="F91" s="273">
        <f>IF(OR(A91="",E91="",C91="",NOT(ISNUMBER($U$2))),"",ROUND(E91*C91*$U$2,2))</f>
        <v/>
      </c>
      <c r="G91" s="308" t="n"/>
      <c r="H91" s="273">
        <f>IF(OR(A91="",G91="",C91="",NOT(ISNUMBER($U$3))),"",ROUND(G91*C91*$U$3,2))</f>
        <v/>
      </c>
      <c r="I91" s="308" t="n"/>
      <c r="J91" s="273">
        <f>IF(OR(A91="",I91="",C91="",NOT(ISNUMBER($U$4))),"",ROUND(I91*C91*$U$4,2))</f>
        <v/>
      </c>
      <c r="K91" s="308" t="n"/>
      <c r="L91" s="273">
        <f>IF(OR(A91="",K91="",C91="",NOT(ISNUMBER($U$5))),"",ROUND(K91*C91*$U$5,2))</f>
        <v/>
      </c>
      <c r="M91" s="308" t="n"/>
      <c r="N91" s="273">
        <f>IF(OR(A91="",M91="",C91="",NOT(ISNUMBER($U$6))),"",ROUND(M91*C91*$U$6,2))</f>
        <v/>
      </c>
      <c r="O91" s="282">
        <f>IF(A91="","",SUM(E91,G91,I91,K91,M91))</f>
        <v/>
      </c>
      <c r="P91" s="273">
        <f>IF(A91="","",SUM(F91,H91,J91,L91,N91))</f>
        <v/>
      </c>
      <c r="Q91" s="284">
        <f>IF(A91="","",IF(O91&gt;B91,"DIVERGENCIA: CONSUMO MAIOR QUE CONTRATADO","OK"))</f>
        <v/>
      </c>
      <c r="R91" s="34" t="n"/>
      <c r="S91" s="34" t="n"/>
      <c r="T91" s="34" t="n"/>
      <c r="U91" s="34" t="n"/>
      <c r="V91" s="34" t="n"/>
      <c r="W91" s="34" t="n"/>
    </row>
    <row r="92">
      <c r="A92" s="307" t="n"/>
      <c r="B92" s="308" t="n"/>
      <c r="C92" s="309" t="n"/>
      <c r="D92" s="273">
        <f>IF(OR(A92="",B92="",C92=""),"",ROUND(B92*C92,2))</f>
        <v/>
      </c>
      <c r="E92" s="308" t="n"/>
      <c r="F92" s="273">
        <f>IF(OR(A92="",E92="",C92="",NOT(ISNUMBER($U$2))),"",ROUND(E92*C92*$U$2,2))</f>
        <v/>
      </c>
      <c r="G92" s="308" t="n"/>
      <c r="H92" s="273">
        <f>IF(OR(A92="",G92="",C92="",NOT(ISNUMBER($U$3))),"",ROUND(G92*C92*$U$3,2))</f>
        <v/>
      </c>
      <c r="I92" s="308" t="n"/>
      <c r="J92" s="273">
        <f>IF(OR(A92="",I92="",C92="",NOT(ISNUMBER($U$4))),"",ROUND(I92*C92*$U$4,2))</f>
        <v/>
      </c>
      <c r="K92" s="308" t="n"/>
      <c r="L92" s="273">
        <f>IF(OR(A92="",K92="",C92="",NOT(ISNUMBER($U$5))),"",ROUND(K92*C92*$U$5,2))</f>
        <v/>
      </c>
      <c r="M92" s="308" t="n"/>
      <c r="N92" s="273">
        <f>IF(OR(A92="",M92="",C92="",NOT(ISNUMBER($U$6))),"",ROUND(M92*C92*$U$6,2))</f>
        <v/>
      </c>
      <c r="O92" s="282">
        <f>IF(A92="","",SUM(E92,G92,I92,K92,M92))</f>
        <v/>
      </c>
      <c r="P92" s="273">
        <f>IF(A92="","",SUM(F92,H92,J92,L92,N92))</f>
        <v/>
      </c>
      <c r="Q92" s="284">
        <f>IF(A92="","",IF(O92&gt;B92,"DIVERGENCIA: CONSUMO MAIOR QUE CONTRATADO","OK"))</f>
        <v/>
      </c>
      <c r="R92" s="34" t="n"/>
      <c r="S92" s="34" t="n"/>
      <c r="T92" s="34" t="n"/>
      <c r="U92" s="34" t="n"/>
      <c r="V92" s="34" t="n"/>
      <c r="W92" s="34" t="n"/>
    </row>
    <row r="93">
      <c r="A93" s="307" t="n"/>
      <c r="B93" s="308" t="n"/>
      <c r="C93" s="309" t="n"/>
      <c r="D93" s="273">
        <f>IF(OR(A93="",B93="",C93=""),"",ROUND(B93*C93,2))</f>
        <v/>
      </c>
      <c r="E93" s="308" t="n"/>
      <c r="F93" s="273">
        <f>IF(OR(A93="",E93="",C93="",NOT(ISNUMBER($U$2))),"",ROUND(E93*C93*$U$2,2))</f>
        <v/>
      </c>
      <c r="G93" s="308" t="n"/>
      <c r="H93" s="273">
        <f>IF(OR(A93="",G93="",C93="",NOT(ISNUMBER($U$3))),"",ROUND(G93*C93*$U$3,2))</f>
        <v/>
      </c>
      <c r="I93" s="308" t="n"/>
      <c r="J93" s="273">
        <f>IF(OR(A93="",I93="",C93="",NOT(ISNUMBER($U$4))),"",ROUND(I93*C93*$U$4,2))</f>
        <v/>
      </c>
      <c r="K93" s="308" t="n"/>
      <c r="L93" s="273">
        <f>IF(OR(A93="",K93="",C93="",NOT(ISNUMBER($U$5))),"",ROUND(K93*C93*$U$5,2))</f>
        <v/>
      </c>
      <c r="M93" s="308" t="n"/>
      <c r="N93" s="273">
        <f>IF(OR(A93="",M93="",C93="",NOT(ISNUMBER($U$6))),"",ROUND(M93*C93*$U$6,2))</f>
        <v/>
      </c>
      <c r="O93" s="282">
        <f>IF(A93="","",SUM(E93,G93,I93,K93,M93))</f>
        <v/>
      </c>
      <c r="P93" s="273">
        <f>IF(A93="","",SUM(F93,H93,J93,L93,N93))</f>
        <v/>
      </c>
      <c r="Q93" s="284">
        <f>IF(A93="","",IF(O93&gt;B93,"DIVERGENCIA: CONSUMO MAIOR QUE CONTRATADO","OK"))</f>
        <v/>
      </c>
      <c r="R93" s="34" t="n"/>
      <c r="S93" s="34" t="n"/>
      <c r="T93" s="34" t="n"/>
      <c r="U93" s="34" t="n"/>
      <c r="V93" s="34" t="n"/>
      <c r="W93" s="34" t="n"/>
    </row>
    <row r="94">
      <c r="A94" s="307" t="n"/>
      <c r="B94" s="308" t="n"/>
      <c r="C94" s="309" t="n"/>
      <c r="D94" s="273">
        <f>IF(OR(A94="",B94="",C94=""),"",ROUND(B94*C94,2))</f>
        <v/>
      </c>
      <c r="E94" s="308" t="n"/>
      <c r="F94" s="273">
        <f>IF(OR(A94="",E94="",C94="",NOT(ISNUMBER($U$2))),"",ROUND(E94*C94*$U$2,2))</f>
        <v/>
      </c>
      <c r="G94" s="308" t="n"/>
      <c r="H94" s="273">
        <f>IF(OR(A94="",G94="",C94="",NOT(ISNUMBER($U$3))),"",ROUND(G94*C94*$U$3,2))</f>
        <v/>
      </c>
      <c r="I94" s="308" t="n"/>
      <c r="J94" s="273">
        <f>IF(OR(A94="",I94="",C94="",NOT(ISNUMBER($U$4))),"",ROUND(I94*C94*$U$4,2))</f>
        <v/>
      </c>
      <c r="K94" s="308" t="n"/>
      <c r="L94" s="273">
        <f>IF(OR(A94="",K94="",C94="",NOT(ISNUMBER($U$5))),"",ROUND(K94*C94*$U$5,2))</f>
        <v/>
      </c>
      <c r="M94" s="308" t="n"/>
      <c r="N94" s="273">
        <f>IF(OR(A94="",M94="",C94="",NOT(ISNUMBER($U$6))),"",ROUND(M94*C94*$U$6,2))</f>
        <v/>
      </c>
      <c r="O94" s="282">
        <f>IF(A94="","",SUM(E94,G94,I94,K94,M94))</f>
        <v/>
      </c>
      <c r="P94" s="273">
        <f>IF(A94="","",SUM(F94,H94,J94,L94,N94))</f>
        <v/>
      </c>
      <c r="Q94" s="284">
        <f>IF(A94="","",IF(O94&gt;B94,"DIVERGENCIA: CONSUMO MAIOR QUE CONTRATADO","OK"))</f>
        <v/>
      </c>
      <c r="R94" s="34" t="n"/>
      <c r="S94" s="34" t="n"/>
      <c r="T94" s="34" t="n"/>
      <c r="U94" s="34" t="n"/>
      <c r="V94" s="34" t="n"/>
      <c r="W94" s="34" t="n"/>
    </row>
    <row r="95">
      <c r="A95" s="307" t="n"/>
      <c r="B95" s="308" t="n"/>
      <c r="C95" s="309" t="n"/>
      <c r="D95" s="273">
        <f>IF(OR(A95="",B95="",C95=""),"",ROUND(B95*C95,2))</f>
        <v/>
      </c>
      <c r="E95" s="308" t="n"/>
      <c r="F95" s="273">
        <f>IF(OR(A95="",E95="",C95="",NOT(ISNUMBER($U$2))),"",ROUND(E95*C95*$U$2,2))</f>
        <v/>
      </c>
      <c r="G95" s="308" t="n"/>
      <c r="H95" s="273">
        <f>IF(OR(A95="",G95="",C95="",NOT(ISNUMBER($U$3))),"",ROUND(G95*C95*$U$3,2))</f>
        <v/>
      </c>
      <c r="I95" s="308" t="n"/>
      <c r="J95" s="273">
        <f>IF(OR(A95="",I95="",C95="",NOT(ISNUMBER($U$4))),"",ROUND(I95*C95*$U$4,2))</f>
        <v/>
      </c>
      <c r="K95" s="308" t="n"/>
      <c r="L95" s="273">
        <f>IF(OR(A95="",K95="",C95="",NOT(ISNUMBER($U$5))),"",ROUND(K95*C95*$U$5,2))</f>
        <v/>
      </c>
      <c r="M95" s="308" t="n"/>
      <c r="N95" s="273">
        <f>IF(OR(A95="",M95="",C95="",NOT(ISNUMBER($U$6))),"",ROUND(M95*C95*$U$6,2))</f>
        <v/>
      </c>
      <c r="O95" s="282">
        <f>IF(A95="","",SUM(E95,G95,I95,K95,M95))</f>
        <v/>
      </c>
      <c r="P95" s="273">
        <f>IF(A95="","",SUM(F95,H95,J95,L95,N95))</f>
        <v/>
      </c>
      <c r="Q95" s="284">
        <f>IF(A95="","",IF(O95&gt;B95,"DIVERGENCIA: CONSUMO MAIOR QUE CONTRATADO","OK"))</f>
        <v/>
      </c>
      <c r="R95" s="34" t="n"/>
      <c r="S95" s="34" t="n"/>
      <c r="T95" s="34" t="n"/>
      <c r="U95" s="34" t="n"/>
      <c r="V95" s="34" t="n"/>
      <c r="W95" s="34" t="n"/>
    </row>
    <row r="96">
      <c r="A96" s="307" t="n"/>
      <c r="B96" s="308" t="n"/>
      <c r="C96" s="309" t="n"/>
      <c r="D96" s="273">
        <f>IF(OR(A96="",B96="",C96=""),"",ROUND(B96*C96,2))</f>
        <v/>
      </c>
      <c r="E96" s="308" t="n"/>
      <c r="F96" s="273">
        <f>IF(OR(A96="",E96="",C96="",NOT(ISNUMBER($U$2))),"",ROUND(E96*C96*$U$2,2))</f>
        <v/>
      </c>
      <c r="G96" s="308" t="n"/>
      <c r="H96" s="273">
        <f>IF(OR(A96="",G96="",C96="",NOT(ISNUMBER($U$3))),"",ROUND(G96*C96*$U$3,2))</f>
        <v/>
      </c>
      <c r="I96" s="308" t="n"/>
      <c r="J96" s="273">
        <f>IF(OR(A96="",I96="",C96="",NOT(ISNUMBER($U$4))),"",ROUND(I96*C96*$U$4,2))</f>
        <v/>
      </c>
      <c r="K96" s="308" t="n"/>
      <c r="L96" s="273">
        <f>IF(OR(A96="",K96="",C96="",NOT(ISNUMBER($U$5))),"",ROUND(K96*C96*$U$5,2))</f>
        <v/>
      </c>
      <c r="M96" s="308" t="n"/>
      <c r="N96" s="273">
        <f>IF(OR(A96="",M96="",C96="",NOT(ISNUMBER($U$6))),"",ROUND(M96*C96*$U$6,2))</f>
        <v/>
      </c>
      <c r="O96" s="282">
        <f>IF(A96="","",SUM(E96,G96,I96,K96,M96))</f>
        <v/>
      </c>
      <c r="P96" s="273">
        <f>IF(A96="","",SUM(F96,H96,J96,L96,N96))</f>
        <v/>
      </c>
      <c r="Q96" s="284">
        <f>IF(A96="","",IF(O96&gt;B96,"DIVERGENCIA: CONSUMO MAIOR QUE CONTRATADO","OK"))</f>
        <v/>
      </c>
      <c r="R96" s="34" t="n"/>
      <c r="S96" s="34" t="n"/>
      <c r="T96" s="34" t="n"/>
      <c r="U96" s="34" t="n"/>
      <c r="V96" s="34" t="n"/>
      <c r="W96" s="34" t="n"/>
    </row>
    <row r="97">
      <c r="A97" s="307" t="n"/>
      <c r="B97" s="308" t="n"/>
      <c r="C97" s="309" t="n"/>
      <c r="D97" s="273">
        <f>IF(OR(A97="",B97="",C97=""),"",ROUND(B97*C97,2))</f>
        <v/>
      </c>
      <c r="E97" s="308" t="n"/>
      <c r="F97" s="273">
        <f>IF(OR(A97="",E97="",C97="",NOT(ISNUMBER($U$2))),"",ROUND(E97*C97*$U$2,2))</f>
        <v/>
      </c>
      <c r="G97" s="308" t="n"/>
      <c r="H97" s="273">
        <f>IF(OR(A97="",G97="",C97="",NOT(ISNUMBER($U$3))),"",ROUND(G97*C97*$U$3,2))</f>
        <v/>
      </c>
      <c r="I97" s="308" t="n"/>
      <c r="J97" s="273">
        <f>IF(OR(A97="",I97="",C97="",NOT(ISNUMBER($U$4))),"",ROUND(I97*C97*$U$4,2))</f>
        <v/>
      </c>
      <c r="K97" s="308" t="n"/>
      <c r="L97" s="273">
        <f>IF(OR(A97="",K97="",C97="",NOT(ISNUMBER($U$5))),"",ROUND(K97*C97*$U$5,2))</f>
        <v/>
      </c>
      <c r="M97" s="308" t="n"/>
      <c r="N97" s="273">
        <f>IF(OR(A97="",M97="",C97="",NOT(ISNUMBER($U$6))),"",ROUND(M97*C97*$U$6,2))</f>
        <v/>
      </c>
      <c r="O97" s="282">
        <f>IF(A97="","",SUM(E97,G97,I97,K97,M97))</f>
        <v/>
      </c>
      <c r="P97" s="273">
        <f>IF(A97="","",SUM(F97,H97,J97,L97,N97))</f>
        <v/>
      </c>
      <c r="Q97" s="284">
        <f>IF(A97="","",IF(O97&gt;B97,"DIVERGENCIA: CONSUMO MAIOR QUE CONTRATADO","OK"))</f>
        <v/>
      </c>
      <c r="R97" s="34" t="n"/>
      <c r="S97" s="34" t="n"/>
      <c r="T97" s="34" t="n"/>
      <c r="U97" s="34" t="n"/>
      <c r="V97" s="34" t="n"/>
      <c r="W97" s="34" t="n"/>
    </row>
    <row r="98">
      <c r="A98" s="307" t="n"/>
      <c r="B98" s="308" t="n"/>
      <c r="C98" s="309" t="n"/>
      <c r="D98" s="273">
        <f>IF(OR(A98="",B98="",C98=""),"",ROUND(B98*C98,2))</f>
        <v/>
      </c>
      <c r="E98" s="308" t="n"/>
      <c r="F98" s="273">
        <f>IF(OR(A98="",E98="",C98="",NOT(ISNUMBER($U$2))),"",ROUND(E98*C98*$U$2,2))</f>
        <v/>
      </c>
      <c r="G98" s="308" t="n"/>
      <c r="H98" s="273">
        <f>IF(OR(A98="",G98="",C98="",NOT(ISNUMBER($U$3))),"",ROUND(G98*C98*$U$3,2))</f>
        <v/>
      </c>
      <c r="I98" s="308" t="n"/>
      <c r="J98" s="273">
        <f>IF(OR(A98="",I98="",C98="",NOT(ISNUMBER($U$4))),"",ROUND(I98*C98*$U$4,2))</f>
        <v/>
      </c>
      <c r="K98" s="308" t="n"/>
      <c r="L98" s="273">
        <f>IF(OR(A98="",K98="",C98="",NOT(ISNUMBER($U$5))),"",ROUND(K98*C98*$U$5,2))</f>
        <v/>
      </c>
      <c r="M98" s="308" t="n"/>
      <c r="N98" s="273">
        <f>IF(OR(A98="",M98="",C98="",NOT(ISNUMBER($U$6))),"",ROUND(M98*C98*$U$6,2))</f>
        <v/>
      </c>
      <c r="O98" s="282">
        <f>IF(A98="","",SUM(E98,G98,I98,K98,M98))</f>
        <v/>
      </c>
      <c r="P98" s="273">
        <f>IF(A98="","",SUM(F98,H98,J98,L98,N98))</f>
        <v/>
      </c>
      <c r="Q98" s="284">
        <f>IF(A98="","",IF(O98&gt;B98,"DIVERGENCIA: CONSUMO MAIOR QUE CONTRATADO","OK"))</f>
        <v/>
      </c>
      <c r="R98" s="34" t="n"/>
      <c r="S98" s="34" t="n"/>
      <c r="T98" s="34" t="n"/>
      <c r="U98" s="34" t="n"/>
      <c r="V98" s="34" t="n"/>
      <c r="W98" s="34" t="n"/>
    </row>
    <row r="99">
      <c r="A99" s="307" t="n"/>
      <c r="B99" s="308" t="n"/>
      <c r="C99" s="309" t="n"/>
      <c r="D99" s="273">
        <f>IF(OR(A99="",B99="",C99=""),"",ROUND(B99*C99,2))</f>
        <v/>
      </c>
      <c r="E99" s="308" t="n"/>
      <c r="F99" s="273">
        <f>IF(OR(A99="",E99="",C99="",NOT(ISNUMBER($U$2))),"",ROUND(E99*C99*$U$2,2))</f>
        <v/>
      </c>
      <c r="G99" s="308" t="n"/>
      <c r="H99" s="273">
        <f>IF(OR(A99="",G99="",C99="",NOT(ISNUMBER($U$3))),"",ROUND(G99*C99*$U$3,2))</f>
        <v/>
      </c>
      <c r="I99" s="308" t="n"/>
      <c r="J99" s="273">
        <f>IF(OR(A99="",I99="",C99="",NOT(ISNUMBER($U$4))),"",ROUND(I99*C99*$U$4,2))</f>
        <v/>
      </c>
      <c r="K99" s="308" t="n"/>
      <c r="L99" s="273">
        <f>IF(OR(A99="",K99="",C99="",NOT(ISNUMBER($U$5))),"",ROUND(K99*C99*$U$5,2))</f>
        <v/>
      </c>
      <c r="M99" s="308" t="n"/>
      <c r="N99" s="273">
        <f>IF(OR(A99="",M99="",C99="",NOT(ISNUMBER($U$6))),"",ROUND(M99*C99*$U$6,2))</f>
        <v/>
      </c>
      <c r="O99" s="282">
        <f>IF(A99="","",SUM(E99,G99,I99,K99,M99))</f>
        <v/>
      </c>
      <c r="P99" s="273">
        <f>IF(A99="","",SUM(F99,H99,J99,L99,N99))</f>
        <v/>
      </c>
      <c r="Q99" s="284">
        <f>IF(A99="","",IF(O99&gt;B99,"DIVERGENCIA: CONSUMO MAIOR QUE CONTRATADO","OK"))</f>
        <v/>
      </c>
      <c r="R99" s="34" t="n"/>
      <c r="S99" s="34" t="n"/>
      <c r="T99" s="34" t="n"/>
      <c r="U99" s="34" t="n"/>
      <c r="V99" s="34" t="n"/>
      <c r="W99" s="34" t="n"/>
    </row>
    <row r="100">
      <c r="A100" s="307" t="n"/>
      <c r="B100" s="308" t="n"/>
      <c r="C100" s="309" t="n"/>
      <c r="D100" s="273">
        <f>IF(OR(A100="",B100="",C100=""),"",ROUND(B100*C100,2))</f>
        <v/>
      </c>
      <c r="E100" s="308" t="n"/>
      <c r="F100" s="273">
        <f>IF(OR(A100="",E100="",C100="",NOT(ISNUMBER($U$2))),"",ROUND(E100*C100*$U$2,2))</f>
        <v/>
      </c>
      <c r="G100" s="308" t="n"/>
      <c r="H100" s="273">
        <f>IF(OR(A100="",G100="",C100="",NOT(ISNUMBER($U$3))),"",ROUND(G100*C100*$U$3,2))</f>
        <v/>
      </c>
      <c r="I100" s="308" t="n"/>
      <c r="J100" s="273">
        <f>IF(OR(A100="",I100="",C100="",NOT(ISNUMBER($U$4))),"",ROUND(I100*C100*$U$4,2))</f>
        <v/>
      </c>
      <c r="K100" s="308" t="n"/>
      <c r="L100" s="273">
        <f>IF(OR(A100="",K100="",C100="",NOT(ISNUMBER($U$5))),"",ROUND(K100*C100*$U$5,2))</f>
        <v/>
      </c>
      <c r="M100" s="308" t="n"/>
      <c r="N100" s="273">
        <f>IF(OR(A100="",M100="",C100="",NOT(ISNUMBER($U$6))),"",ROUND(M100*C100*$U$6,2))</f>
        <v/>
      </c>
      <c r="O100" s="282">
        <f>IF(A100="","",SUM(E100,G100,I100,K100,M100))</f>
        <v/>
      </c>
      <c r="P100" s="273">
        <f>IF(A100="","",SUM(F100,H100,J100,L100,N100))</f>
        <v/>
      </c>
      <c r="Q100" s="284">
        <f>IF(A100="","",IF(O100&gt;B100,"DIVERGENCIA: CONSUMO MAIOR QUE CONTRATADO","OK"))</f>
        <v/>
      </c>
      <c r="R100" s="34" t="n"/>
      <c r="S100" s="34" t="n"/>
      <c r="T100" s="34" t="n"/>
      <c r="U100" s="34" t="n"/>
      <c r="V100" s="34" t="n"/>
      <c r="W100" s="34" t="n"/>
    </row>
    <row r="101">
      <c r="A101" s="307" t="n"/>
      <c r="B101" s="308" t="n"/>
      <c r="C101" s="309" t="n"/>
      <c r="D101" s="273">
        <f>IF(OR(A101="",B101="",C101=""),"",ROUND(B101*C101,2))</f>
        <v/>
      </c>
      <c r="E101" s="308" t="n"/>
      <c r="F101" s="273">
        <f>IF(OR(A101="",E101="",C101="",NOT(ISNUMBER($U$2))),"",ROUND(E101*C101*$U$2,2))</f>
        <v/>
      </c>
      <c r="G101" s="308" t="n"/>
      <c r="H101" s="273">
        <f>IF(OR(A101="",G101="",C101="",NOT(ISNUMBER($U$3))),"",ROUND(G101*C101*$U$3,2))</f>
        <v/>
      </c>
      <c r="I101" s="308" t="n"/>
      <c r="J101" s="273">
        <f>IF(OR(A101="",I101="",C101="",NOT(ISNUMBER($U$4))),"",ROUND(I101*C101*$U$4,2))</f>
        <v/>
      </c>
      <c r="K101" s="308" t="n"/>
      <c r="L101" s="273">
        <f>IF(OR(A101="",K101="",C101="",NOT(ISNUMBER($U$5))),"",ROUND(K101*C101*$U$5,2))</f>
        <v/>
      </c>
      <c r="M101" s="308" t="n"/>
      <c r="N101" s="273">
        <f>IF(OR(A101="",M101="",C101="",NOT(ISNUMBER($U$6))),"",ROUND(M101*C101*$U$6,2))</f>
        <v/>
      </c>
      <c r="O101" s="282">
        <f>IF(A101="","",SUM(E101,G101,I101,K101,M101))</f>
        <v/>
      </c>
      <c r="P101" s="273">
        <f>IF(A101="","",SUM(F101,H101,J101,L101,N101))</f>
        <v/>
      </c>
      <c r="Q101" s="284">
        <f>IF(A101="","",IF(O101&gt;B101,"DIVERGENCIA: CONSUMO MAIOR QUE CONTRATADO","OK"))</f>
        <v/>
      </c>
      <c r="R101" s="91" t="n"/>
      <c r="S101" s="91" t="n"/>
      <c r="T101" s="91" t="n"/>
      <c r="U101" s="91" t="n"/>
      <c r="V101" s="91" t="n"/>
      <c r="W101" s="91" t="n"/>
    </row>
    <row r="102">
      <c r="A102" s="307" t="n"/>
      <c r="B102" s="308" t="n"/>
      <c r="C102" s="309" t="n"/>
      <c r="D102" s="273">
        <f>IF(OR(A102="",B102="",C102=""),"",ROUND(B102*C102,2))</f>
        <v/>
      </c>
      <c r="E102" s="308" t="n"/>
      <c r="F102" s="273">
        <f>IF(OR(A102="",E102="",C102="",NOT(ISNUMBER($U$2))),"",ROUND(E102*C102*$U$2,2))</f>
        <v/>
      </c>
      <c r="G102" s="308" t="n"/>
      <c r="H102" s="273">
        <f>IF(OR(A102="",G102="",C102="",NOT(ISNUMBER($U$3))),"",ROUND(G102*C102*$U$3,2))</f>
        <v/>
      </c>
      <c r="I102" s="308" t="n"/>
      <c r="J102" s="273">
        <f>IF(OR(A102="",I102="",C102="",NOT(ISNUMBER($U$4))),"",ROUND(I102*C102*$U$4,2))</f>
        <v/>
      </c>
      <c r="K102" s="308" t="n"/>
      <c r="L102" s="273">
        <f>IF(OR(A102="",K102="",C102="",NOT(ISNUMBER($U$5))),"",ROUND(K102*C102*$U$5,2))</f>
        <v/>
      </c>
      <c r="M102" s="308" t="n"/>
      <c r="N102" s="273">
        <f>IF(OR(A102="",M102="",C102="",NOT(ISNUMBER($U$6))),"",ROUND(M102*C102*$U$6,2))</f>
        <v/>
      </c>
      <c r="O102" s="282">
        <f>IF(A102="","",SUM(E102,G102,I102,K102,M102))</f>
        <v/>
      </c>
      <c r="P102" s="273">
        <f>IF(A102="","",SUM(F102,H102,J102,L102,N102))</f>
        <v/>
      </c>
      <c r="Q102" s="284">
        <f>IF(A102="","",IF(O102&gt;B102,"DIVERGENCIA: CONSUMO MAIOR QUE CONTRATADO","OK"))</f>
        <v/>
      </c>
      <c r="R102" s="91" t="n"/>
      <c r="S102" s="91" t="n"/>
      <c r="T102" s="91" t="n"/>
      <c r="U102" s="91" t="n"/>
      <c r="V102" s="91" t="n"/>
      <c r="W102" s="91" t="n"/>
    </row>
    <row r="103">
      <c r="A103" s="307" t="n"/>
      <c r="B103" s="308" t="n"/>
      <c r="C103" s="309" t="n"/>
      <c r="D103" s="273">
        <f>IF(OR(A103="",B103="",C103=""),"",ROUND(B103*C103,2))</f>
        <v/>
      </c>
      <c r="E103" s="308" t="n"/>
      <c r="F103" s="273">
        <f>IF(OR(A103="",E103="",C103="",NOT(ISNUMBER($U$2))),"",ROUND(E103*C103*$U$2,2))</f>
        <v/>
      </c>
      <c r="G103" s="308" t="n"/>
      <c r="H103" s="273">
        <f>IF(OR(A103="",G103="",C103="",NOT(ISNUMBER($U$3))),"",ROUND(G103*C103*$U$3,2))</f>
        <v/>
      </c>
      <c r="I103" s="308" t="n"/>
      <c r="J103" s="273">
        <f>IF(OR(A103="",I103="",C103="",NOT(ISNUMBER($U$4))),"",ROUND(I103*C103*$U$4,2))</f>
        <v/>
      </c>
      <c r="K103" s="308" t="n"/>
      <c r="L103" s="273">
        <f>IF(OR(A103="",K103="",C103="",NOT(ISNUMBER($U$5))),"",ROUND(K103*C103*$U$5,2))</f>
        <v/>
      </c>
      <c r="M103" s="308" t="n"/>
      <c r="N103" s="273">
        <f>IF(OR(A103="",M103="",C103="",NOT(ISNUMBER($U$6))),"",ROUND(M103*C103*$U$6,2))</f>
        <v/>
      </c>
      <c r="O103" s="282">
        <f>IF(A103="","",SUM(E103,G103,I103,K103,M103))</f>
        <v/>
      </c>
      <c r="P103" s="273">
        <f>IF(A103="","",SUM(F103,H103,J103,L103,N103))</f>
        <v/>
      </c>
      <c r="Q103" s="284">
        <f>IF(A103="","",IF(O103&gt;B103,"DIVERGENCIA: CONSUMO MAIOR QUE CONTRATADO","OK"))</f>
        <v/>
      </c>
      <c r="R103" s="91" t="n"/>
      <c r="S103" s="91" t="n"/>
      <c r="T103" s="91" t="n"/>
      <c r="U103" s="91" t="n"/>
      <c r="V103" s="91" t="n"/>
      <c r="W103" s="91" t="n"/>
    </row>
    <row r="104">
      <c r="A104" s="307" t="n"/>
      <c r="B104" s="308" t="n"/>
      <c r="C104" s="309" t="n"/>
      <c r="D104" s="273">
        <f>IF(OR(A104="",B104="",C104=""),"",ROUND(B104*C104,2))</f>
        <v/>
      </c>
      <c r="E104" s="308" t="n"/>
      <c r="F104" s="273">
        <f>IF(OR(A104="",E104="",C104="",NOT(ISNUMBER($U$2))),"",ROUND(E104*C104*$U$2,2))</f>
        <v/>
      </c>
      <c r="G104" s="308" t="n"/>
      <c r="H104" s="273">
        <f>IF(OR(A104="",G104="",C104="",NOT(ISNUMBER($U$3))),"",ROUND(G104*C104*$U$3,2))</f>
        <v/>
      </c>
      <c r="I104" s="308" t="n"/>
      <c r="J104" s="273">
        <f>IF(OR(A104="",I104="",C104="",NOT(ISNUMBER($U$4))),"",ROUND(I104*C104*$U$4,2))</f>
        <v/>
      </c>
      <c r="K104" s="308" t="n"/>
      <c r="L104" s="273">
        <f>IF(OR(A104="",K104="",C104="",NOT(ISNUMBER($U$5))),"",ROUND(K104*C104*$U$5,2))</f>
        <v/>
      </c>
      <c r="M104" s="308" t="n"/>
      <c r="N104" s="273">
        <f>IF(OR(A104="",M104="",C104="",NOT(ISNUMBER($U$6))),"",ROUND(M104*C104*$U$6,2))</f>
        <v/>
      </c>
      <c r="O104" s="282">
        <f>IF(A104="","",SUM(E104,G104,I104,K104,M104))</f>
        <v/>
      </c>
      <c r="P104" s="273">
        <f>IF(A104="","",SUM(F104,H104,J104,L104,N104))</f>
        <v/>
      </c>
      <c r="Q104" s="284">
        <f>IF(A104="","",IF(O104&gt;B104,"DIVERGENCIA: CONSUMO MAIOR QUE CONTRATADO","OK"))</f>
        <v/>
      </c>
      <c r="R104" s="91" t="n"/>
      <c r="S104" s="91" t="n"/>
      <c r="T104" s="91" t="n"/>
      <c r="U104" s="91" t="n"/>
      <c r="V104" s="91" t="n"/>
      <c r="W104" s="91" t="n"/>
    </row>
    <row r="105">
      <c r="A105" s="307" t="n"/>
      <c r="B105" s="308" t="n"/>
      <c r="C105" s="309" t="n"/>
      <c r="D105" s="273">
        <f>IF(OR(A105="",B105="",C105=""),"",ROUND(B105*C105,2))</f>
        <v/>
      </c>
      <c r="E105" s="308" t="n"/>
      <c r="F105" s="273">
        <f>IF(OR(A105="",E105="",C105="",NOT(ISNUMBER($U$2))),"",ROUND(E105*C105*$U$2,2))</f>
        <v/>
      </c>
      <c r="G105" s="308" t="n"/>
      <c r="H105" s="273">
        <f>IF(OR(A105="",G105="",C105="",NOT(ISNUMBER($U$3))),"",ROUND(G105*C105*$U$3,2))</f>
        <v/>
      </c>
      <c r="I105" s="308" t="n"/>
      <c r="J105" s="273">
        <f>IF(OR(A105="",I105="",C105="",NOT(ISNUMBER($U$4))),"",ROUND(I105*C105*$U$4,2))</f>
        <v/>
      </c>
      <c r="K105" s="308" t="n"/>
      <c r="L105" s="273">
        <f>IF(OR(A105="",K105="",C105="",NOT(ISNUMBER($U$5))),"",ROUND(K105*C105*$U$5,2))</f>
        <v/>
      </c>
      <c r="M105" s="308" t="n"/>
      <c r="N105" s="273">
        <f>IF(OR(A105="",M105="",C105="",NOT(ISNUMBER($U$6))),"",ROUND(M105*C105*$U$6,2))</f>
        <v/>
      </c>
      <c r="O105" s="282">
        <f>IF(A105="","",SUM(E105,G105,I105,K105,M105))</f>
        <v/>
      </c>
      <c r="P105" s="273">
        <f>IF(A105="","",SUM(F105,H105,J105,L105,N105))</f>
        <v/>
      </c>
      <c r="Q105" s="284">
        <f>IF(A105="","",IF(O105&gt;B105,"DIVERGENCIA: CONSUMO MAIOR QUE CONTRATADO","OK"))</f>
        <v/>
      </c>
      <c r="R105" s="91" t="n"/>
      <c r="S105" s="91" t="n"/>
      <c r="T105" s="91" t="n"/>
      <c r="U105" s="91" t="n"/>
      <c r="V105" s="91" t="n"/>
      <c r="W105" s="91" t="n"/>
    </row>
    <row r="106">
      <c r="A106" s="307" t="n"/>
      <c r="B106" s="308" t="n"/>
      <c r="C106" s="309" t="n"/>
      <c r="D106" s="273">
        <f>IF(OR(A106="",B106="",C106=""),"",ROUND(B106*C106,2))</f>
        <v/>
      </c>
      <c r="E106" s="308" t="n"/>
      <c r="F106" s="273">
        <f>IF(OR(A106="",E106="",C106="",NOT(ISNUMBER($U$2))),"",ROUND(E106*C106*$U$2,2))</f>
        <v/>
      </c>
      <c r="G106" s="308" t="n"/>
      <c r="H106" s="273">
        <f>IF(OR(A106="",G106="",C106="",NOT(ISNUMBER($U$3))),"",ROUND(G106*C106*$U$3,2))</f>
        <v/>
      </c>
      <c r="I106" s="308" t="n"/>
      <c r="J106" s="273">
        <f>IF(OR(A106="",I106="",C106="",NOT(ISNUMBER($U$4))),"",ROUND(I106*C106*$U$4,2))</f>
        <v/>
      </c>
      <c r="K106" s="308" t="n"/>
      <c r="L106" s="273">
        <f>IF(OR(A106="",K106="",C106="",NOT(ISNUMBER($U$5))),"",ROUND(K106*C106*$U$5,2))</f>
        <v/>
      </c>
      <c r="M106" s="308" t="n"/>
      <c r="N106" s="273">
        <f>IF(OR(A106="",M106="",C106="",NOT(ISNUMBER($U$6))),"",ROUND(M106*C106*$U$6,2))</f>
        <v/>
      </c>
      <c r="O106" s="282">
        <f>IF(A106="","",SUM(E106,G106,I106,K106,M106))</f>
        <v/>
      </c>
      <c r="P106" s="273">
        <f>IF(A106="","",SUM(F106,H106,J106,L106,N106))</f>
        <v/>
      </c>
      <c r="Q106" s="284">
        <f>IF(A106="","",IF(O106&gt;B106,"DIVERGENCIA: CONSUMO MAIOR QUE CONTRATADO","OK"))</f>
        <v/>
      </c>
      <c r="R106" s="91" t="n"/>
      <c r="S106" s="91" t="n"/>
      <c r="T106" s="91" t="n"/>
      <c r="U106" s="91" t="n"/>
      <c r="V106" s="91" t="n"/>
      <c r="W106" s="91" t="n"/>
    </row>
    <row r="107">
      <c r="A107" s="307" t="n"/>
      <c r="B107" s="308" t="n"/>
      <c r="C107" s="309" t="n"/>
      <c r="D107" s="273">
        <f>IF(OR(A107="",B107="",C107=""),"",ROUND(B107*C107,2))</f>
        <v/>
      </c>
      <c r="E107" s="308" t="n"/>
      <c r="F107" s="273">
        <f>IF(OR(A107="",E107="",C107="",NOT(ISNUMBER($U$2))),"",ROUND(E107*C107*$U$2,2))</f>
        <v/>
      </c>
      <c r="G107" s="308" t="n"/>
      <c r="H107" s="273">
        <f>IF(OR(A107="",G107="",C107="",NOT(ISNUMBER($U$3))),"",ROUND(G107*C107*$U$3,2))</f>
        <v/>
      </c>
      <c r="I107" s="308" t="n"/>
      <c r="J107" s="273">
        <f>IF(OR(A107="",I107="",C107="",NOT(ISNUMBER($U$4))),"",ROUND(I107*C107*$U$4,2))</f>
        <v/>
      </c>
      <c r="K107" s="308" t="n"/>
      <c r="L107" s="273">
        <f>IF(OR(A107="",K107="",C107="",NOT(ISNUMBER($U$5))),"",ROUND(K107*C107*$U$5,2))</f>
        <v/>
      </c>
      <c r="M107" s="308" t="n"/>
      <c r="N107" s="273">
        <f>IF(OR(A107="",M107="",C107="",NOT(ISNUMBER($U$6))),"",ROUND(M107*C107*$U$6,2))</f>
        <v/>
      </c>
      <c r="O107" s="282">
        <f>IF(A107="","",SUM(E107,G107,I107,K107,M107))</f>
        <v/>
      </c>
      <c r="P107" s="273">
        <f>IF(A107="","",SUM(F107,H107,J107,L107,N107))</f>
        <v/>
      </c>
      <c r="Q107" s="284">
        <f>IF(A107="","",IF(O107&gt;B107,"DIVERGENCIA: CONSUMO MAIOR QUE CONTRATADO","OK"))</f>
        <v/>
      </c>
      <c r="R107" s="91" t="n"/>
      <c r="S107" s="91" t="n"/>
      <c r="T107" s="91" t="n"/>
      <c r="U107" s="91" t="n"/>
      <c r="V107" s="91" t="n"/>
      <c r="W107" s="91" t="n"/>
    </row>
    <row r="108">
      <c r="A108" s="307" t="n"/>
      <c r="B108" s="308" t="n"/>
      <c r="C108" s="309" t="n"/>
      <c r="D108" s="273">
        <f>IF(OR(A108="",B108="",C108=""),"",ROUND(B108*C108,2))</f>
        <v/>
      </c>
      <c r="E108" s="308" t="n"/>
      <c r="F108" s="273">
        <f>IF(OR(A108="",E108="",C108="",NOT(ISNUMBER($U$2))),"",ROUND(E108*C108*$U$2,2))</f>
        <v/>
      </c>
      <c r="G108" s="308" t="n"/>
      <c r="H108" s="273">
        <f>IF(OR(A108="",G108="",C108="",NOT(ISNUMBER($U$3))),"",ROUND(G108*C108*$U$3,2))</f>
        <v/>
      </c>
      <c r="I108" s="308" t="n"/>
      <c r="J108" s="273">
        <f>IF(OR(A108="",I108="",C108="",NOT(ISNUMBER($U$4))),"",ROUND(I108*C108*$U$4,2))</f>
        <v/>
      </c>
      <c r="K108" s="308" t="n"/>
      <c r="L108" s="273">
        <f>IF(OR(A108="",K108="",C108="",NOT(ISNUMBER($U$5))),"",ROUND(K108*C108*$U$5,2))</f>
        <v/>
      </c>
      <c r="M108" s="308" t="n"/>
      <c r="N108" s="273">
        <f>IF(OR(A108="",M108="",C108="",NOT(ISNUMBER($U$6))),"",ROUND(M108*C108*$U$6,2))</f>
        <v/>
      </c>
      <c r="O108" s="282">
        <f>IF(A108="","",SUM(E108,G108,I108,K108,M108))</f>
        <v/>
      </c>
      <c r="P108" s="273">
        <f>IF(A108="","",SUM(F108,H108,J108,L108,N108))</f>
        <v/>
      </c>
      <c r="Q108" s="284">
        <f>IF(A108="","",IF(O108&gt;B108,"DIVERGENCIA: CONSUMO MAIOR QUE CONTRATADO","OK"))</f>
        <v/>
      </c>
      <c r="R108" s="91" t="n"/>
      <c r="S108" s="91" t="n"/>
      <c r="T108" s="91" t="n"/>
      <c r="U108" s="91" t="n"/>
      <c r="V108" s="91" t="n"/>
      <c r="W108" s="91" t="n"/>
    </row>
    <row r="109">
      <c r="A109" s="307" t="n"/>
      <c r="B109" s="308" t="n"/>
      <c r="C109" s="309" t="n"/>
      <c r="D109" s="273">
        <f>IF(OR(A109="",B109="",C109=""),"",ROUND(B109*C109,2))</f>
        <v/>
      </c>
      <c r="E109" s="308" t="n"/>
      <c r="F109" s="273">
        <f>IF(OR(A109="",E109="",C109="",NOT(ISNUMBER($U$2))),"",ROUND(E109*C109*$U$2,2))</f>
        <v/>
      </c>
      <c r="G109" s="308" t="n"/>
      <c r="H109" s="273">
        <f>IF(OR(A109="",G109="",C109="",NOT(ISNUMBER($U$3))),"",ROUND(G109*C109*$U$3,2))</f>
        <v/>
      </c>
      <c r="I109" s="308" t="n"/>
      <c r="J109" s="273">
        <f>IF(OR(A109="",I109="",C109="",NOT(ISNUMBER($U$4))),"",ROUND(I109*C109*$U$4,2))</f>
        <v/>
      </c>
      <c r="K109" s="308" t="n"/>
      <c r="L109" s="273">
        <f>IF(OR(A109="",K109="",C109="",NOT(ISNUMBER($U$5))),"",ROUND(K109*C109*$U$5,2))</f>
        <v/>
      </c>
      <c r="M109" s="308" t="n"/>
      <c r="N109" s="273">
        <f>IF(OR(A109="",M109="",C109="",NOT(ISNUMBER($U$6))),"",ROUND(M109*C109*$U$6,2))</f>
        <v/>
      </c>
      <c r="O109" s="282">
        <f>IF(A109="","",SUM(E109,G109,I109,K109,M109))</f>
        <v/>
      </c>
      <c r="P109" s="273">
        <f>IF(A109="","",SUM(F109,H109,J109,L109,N109))</f>
        <v/>
      </c>
      <c r="Q109" s="284">
        <f>IF(A109="","",IF(O109&gt;B109,"DIVERGENCIA: CONSUMO MAIOR QUE CONTRATADO","OK"))</f>
        <v/>
      </c>
      <c r="R109" s="91" t="n"/>
      <c r="S109" s="91" t="n"/>
      <c r="T109" s="91" t="n"/>
      <c r="U109" s="91" t="n"/>
      <c r="V109" s="91" t="n"/>
      <c r="W109" s="91" t="n"/>
    </row>
    <row r="110">
      <c r="A110" s="307" t="n"/>
      <c r="B110" s="308" t="n"/>
      <c r="C110" s="309" t="n"/>
      <c r="D110" s="273">
        <f>IF(OR(A110="",B110="",C110=""),"",ROUND(B110*C110,2))</f>
        <v/>
      </c>
      <c r="E110" s="308" t="n"/>
      <c r="F110" s="273">
        <f>IF(OR(A110="",E110="",C110="",NOT(ISNUMBER($U$2))),"",ROUND(E110*C110*$U$2,2))</f>
        <v/>
      </c>
      <c r="G110" s="308" t="n"/>
      <c r="H110" s="273">
        <f>IF(OR(A110="",G110="",C110="",NOT(ISNUMBER($U$3))),"",ROUND(G110*C110*$U$3,2))</f>
        <v/>
      </c>
      <c r="I110" s="308" t="n"/>
      <c r="J110" s="273">
        <f>IF(OR(A110="",I110="",C110="",NOT(ISNUMBER($U$4))),"",ROUND(I110*C110*$U$4,2))</f>
        <v/>
      </c>
      <c r="K110" s="308" t="n"/>
      <c r="L110" s="273">
        <f>IF(OR(A110="",K110="",C110="",NOT(ISNUMBER($U$5))),"",ROUND(K110*C110*$U$5,2))</f>
        <v/>
      </c>
      <c r="M110" s="308" t="n"/>
      <c r="N110" s="273">
        <f>IF(OR(A110="",M110="",C110="",NOT(ISNUMBER($U$6))),"",ROUND(M110*C110*$U$6,2))</f>
        <v/>
      </c>
      <c r="O110" s="282">
        <f>IF(A110="","",SUM(E110,G110,I110,K110,M110))</f>
        <v/>
      </c>
      <c r="P110" s="273">
        <f>IF(A110="","",SUM(F110,H110,J110,L110,N110))</f>
        <v/>
      </c>
      <c r="Q110" s="284">
        <f>IF(A110="","",IF(O110&gt;B110,"DIVERGENCIA: CONSUMO MAIOR QUE CONTRATADO","OK"))</f>
        <v/>
      </c>
      <c r="R110" s="91" t="n"/>
      <c r="S110" s="91" t="n"/>
      <c r="T110" s="91" t="n"/>
      <c r="U110" s="91" t="n"/>
      <c r="V110" s="91" t="n"/>
      <c r="W110" s="91" t="n"/>
    </row>
    <row r="111">
      <c r="A111" s="307" t="n"/>
      <c r="B111" s="308" t="n"/>
      <c r="C111" s="309" t="n"/>
      <c r="D111" s="273">
        <f>IF(OR(A111="",B111="",C111=""),"",ROUND(B111*C111,2))</f>
        <v/>
      </c>
      <c r="E111" s="308" t="n"/>
      <c r="F111" s="273">
        <f>IF(OR(A111="",E111="",C111="",NOT(ISNUMBER($U$2))),"",ROUND(E111*C111*$U$2,2))</f>
        <v/>
      </c>
      <c r="G111" s="308" t="n"/>
      <c r="H111" s="273">
        <f>IF(OR(A111="",G111="",C111="",NOT(ISNUMBER($U$3))),"",ROUND(G111*C111*$U$3,2))</f>
        <v/>
      </c>
      <c r="I111" s="308" t="n"/>
      <c r="J111" s="273">
        <f>IF(OR(A111="",I111="",C111="",NOT(ISNUMBER($U$4))),"",ROUND(I111*C111*$U$4,2))</f>
        <v/>
      </c>
      <c r="K111" s="308" t="n"/>
      <c r="L111" s="273">
        <f>IF(OR(A111="",K111="",C111="",NOT(ISNUMBER($U$5))),"",ROUND(K111*C111*$U$5,2))</f>
        <v/>
      </c>
      <c r="M111" s="308" t="n"/>
      <c r="N111" s="273">
        <f>IF(OR(A111="",M111="",C111="",NOT(ISNUMBER($U$6))),"",ROUND(M111*C111*$U$6,2))</f>
        <v/>
      </c>
      <c r="O111" s="282">
        <f>IF(A111="","",SUM(E111,G111,I111,K111,M111))</f>
        <v/>
      </c>
      <c r="P111" s="273">
        <f>IF(A111="","",SUM(F111,H111,J111,L111,N111))</f>
        <v/>
      </c>
      <c r="Q111" s="284">
        <f>IF(A111="","",IF(O111&gt;B111,"DIVERGENCIA: CONSUMO MAIOR QUE CONTRATADO","OK"))</f>
        <v/>
      </c>
      <c r="R111" s="91" t="n"/>
      <c r="S111" s="91" t="n"/>
      <c r="T111" s="91" t="n"/>
      <c r="U111" s="91" t="n"/>
      <c r="V111" s="91" t="n"/>
      <c r="W111" s="91" t="n"/>
    </row>
    <row r="112">
      <c r="A112" s="307" t="n"/>
      <c r="B112" s="308" t="n"/>
      <c r="C112" s="309" t="n"/>
      <c r="D112" s="273">
        <f>IF(OR(A112="",B112="",C112=""),"",ROUND(B112*C112,2))</f>
        <v/>
      </c>
      <c r="E112" s="308" t="n"/>
      <c r="F112" s="273">
        <f>IF(OR(A112="",E112="",C112="",NOT(ISNUMBER($U$2))),"",ROUND(E112*C112*$U$2,2))</f>
        <v/>
      </c>
      <c r="G112" s="308" t="n"/>
      <c r="H112" s="273">
        <f>IF(OR(A112="",G112="",C112="",NOT(ISNUMBER($U$3))),"",ROUND(G112*C112*$U$3,2))</f>
        <v/>
      </c>
      <c r="I112" s="308" t="n"/>
      <c r="J112" s="273">
        <f>IF(OR(A112="",I112="",C112="",NOT(ISNUMBER($U$4))),"",ROUND(I112*C112*$U$4,2))</f>
        <v/>
      </c>
      <c r="K112" s="308" t="n"/>
      <c r="L112" s="273">
        <f>IF(OR(A112="",K112="",C112="",NOT(ISNUMBER($U$5))),"",ROUND(K112*C112*$U$5,2))</f>
        <v/>
      </c>
      <c r="M112" s="308" t="n"/>
      <c r="N112" s="273">
        <f>IF(OR(A112="",M112="",C112="",NOT(ISNUMBER($U$6))),"",ROUND(M112*C112*$U$6,2))</f>
        <v/>
      </c>
      <c r="O112" s="282">
        <f>IF(A112="","",SUM(E112,G112,I112,K112,M112))</f>
        <v/>
      </c>
      <c r="P112" s="273">
        <f>IF(A112="","",SUM(F112,H112,J112,L112,N112))</f>
        <v/>
      </c>
      <c r="Q112" s="284">
        <f>IF(A112="","",IF(O112&gt;B112,"DIVERGENCIA: CONSUMO MAIOR QUE CONTRATADO","OK"))</f>
        <v/>
      </c>
      <c r="R112" s="91" t="n"/>
      <c r="S112" s="91" t="n"/>
      <c r="T112" s="91" t="n"/>
      <c r="U112" s="91" t="n"/>
      <c r="V112" s="91" t="n"/>
      <c r="W112" s="91" t="n"/>
    </row>
    <row r="113">
      <c r="A113" s="307" t="n"/>
      <c r="B113" s="308" t="n"/>
      <c r="C113" s="309" t="n"/>
      <c r="D113" s="273">
        <f>IF(OR(A113="",B113="",C113=""),"",ROUND(B113*C113,2))</f>
        <v/>
      </c>
      <c r="E113" s="308" t="n"/>
      <c r="F113" s="273">
        <f>IF(OR(A113="",E113="",C113="",NOT(ISNUMBER($U$2))),"",ROUND(E113*C113*$U$2,2))</f>
        <v/>
      </c>
      <c r="G113" s="308" t="n"/>
      <c r="H113" s="273">
        <f>IF(OR(A113="",G113="",C113="",NOT(ISNUMBER($U$3))),"",ROUND(G113*C113*$U$3,2))</f>
        <v/>
      </c>
      <c r="I113" s="308" t="n"/>
      <c r="J113" s="273">
        <f>IF(OR(A113="",I113="",C113="",NOT(ISNUMBER($U$4))),"",ROUND(I113*C113*$U$4,2))</f>
        <v/>
      </c>
      <c r="K113" s="308" t="n"/>
      <c r="L113" s="273">
        <f>IF(OR(A113="",K113="",C113="",NOT(ISNUMBER($U$5))),"",ROUND(K113*C113*$U$5,2))</f>
        <v/>
      </c>
      <c r="M113" s="308" t="n"/>
      <c r="N113" s="273">
        <f>IF(OR(A113="",M113="",C113="",NOT(ISNUMBER($U$6))),"",ROUND(M113*C113*$U$6,2))</f>
        <v/>
      </c>
      <c r="O113" s="282">
        <f>IF(A113="","",SUM(E113,G113,I113,K113,M113))</f>
        <v/>
      </c>
      <c r="P113" s="273">
        <f>IF(A113="","",SUM(F113,H113,J113,L113,N113))</f>
        <v/>
      </c>
      <c r="Q113" s="284">
        <f>IF(A113="","",IF(O113&gt;B113,"DIVERGENCIA: CONSUMO MAIOR QUE CONTRATADO","OK"))</f>
        <v/>
      </c>
      <c r="R113" s="91" t="n"/>
      <c r="S113" s="91" t="n"/>
      <c r="T113" s="91" t="n"/>
      <c r="U113" s="91" t="n"/>
      <c r="V113" s="91" t="n"/>
      <c r="W113" s="91" t="n"/>
    </row>
    <row r="114">
      <c r="A114" s="307" t="n"/>
      <c r="B114" s="308" t="n"/>
      <c r="C114" s="309" t="n"/>
      <c r="D114" s="273">
        <f>IF(OR(A114="",B114="",C114=""),"",ROUND(B114*C114,2))</f>
        <v/>
      </c>
      <c r="E114" s="308" t="n"/>
      <c r="F114" s="273">
        <f>IF(OR(A114="",E114="",C114="",NOT(ISNUMBER($U$2))),"",ROUND(E114*C114*$U$2,2))</f>
        <v/>
      </c>
      <c r="G114" s="308" t="n"/>
      <c r="H114" s="273">
        <f>IF(OR(A114="",G114="",C114="",NOT(ISNUMBER($U$3))),"",ROUND(G114*C114*$U$3,2))</f>
        <v/>
      </c>
      <c r="I114" s="308" t="n"/>
      <c r="J114" s="273">
        <f>IF(OR(A114="",I114="",C114="",NOT(ISNUMBER($U$4))),"",ROUND(I114*C114*$U$4,2))</f>
        <v/>
      </c>
      <c r="K114" s="308" t="n"/>
      <c r="L114" s="273">
        <f>IF(OR(A114="",K114="",C114="",NOT(ISNUMBER($U$5))),"",ROUND(K114*C114*$U$5,2))</f>
        <v/>
      </c>
      <c r="M114" s="308" t="n"/>
      <c r="N114" s="273">
        <f>IF(OR(A114="",M114="",C114="",NOT(ISNUMBER($U$6))),"",ROUND(M114*C114*$U$6,2))</f>
        <v/>
      </c>
      <c r="O114" s="282">
        <f>IF(A114="","",SUM(E114,G114,I114,K114,M114))</f>
        <v/>
      </c>
      <c r="P114" s="273">
        <f>IF(A114="","",SUM(F114,H114,J114,L114,N114))</f>
        <v/>
      </c>
      <c r="Q114" s="284">
        <f>IF(A114="","",IF(O114&gt;B114,"DIVERGENCIA: CONSUMO MAIOR QUE CONTRATADO","OK"))</f>
        <v/>
      </c>
      <c r="R114" s="91" t="n"/>
      <c r="S114" s="91" t="n"/>
      <c r="T114" s="91" t="n"/>
      <c r="U114" s="91" t="n"/>
      <c r="V114" s="91" t="n"/>
      <c r="W114" s="91" t="n"/>
    </row>
    <row r="115">
      <c r="A115" s="307" t="n"/>
      <c r="B115" s="308" t="n"/>
      <c r="C115" s="309" t="n"/>
      <c r="D115" s="273">
        <f>IF(OR(A115="",B115="",C115=""),"",ROUND(B115*C115,2))</f>
        <v/>
      </c>
      <c r="E115" s="308" t="n"/>
      <c r="F115" s="273">
        <f>IF(OR(A115="",E115="",C115="",NOT(ISNUMBER($U$2))),"",ROUND(E115*C115*$U$2,2))</f>
        <v/>
      </c>
      <c r="G115" s="308" t="n"/>
      <c r="H115" s="273">
        <f>IF(OR(A115="",G115="",C115="",NOT(ISNUMBER($U$3))),"",ROUND(G115*C115*$U$3,2))</f>
        <v/>
      </c>
      <c r="I115" s="308" t="n"/>
      <c r="J115" s="273">
        <f>IF(OR(A115="",I115="",C115="",NOT(ISNUMBER($U$4))),"",ROUND(I115*C115*$U$4,2))</f>
        <v/>
      </c>
      <c r="K115" s="308" t="n"/>
      <c r="L115" s="273">
        <f>IF(OR(A115="",K115="",C115="",NOT(ISNUMBER($U$5))),"",ROUND(K115*C115*$U$5,2))</f>
        <v/>
      </c>
      <c r="M115" s="308" t="n"/>
      <c r="N115" s="273">
        <f>IF(OR(A115="",M115="",C115="",NOT(ISNUMBER($U$6))),"",ROUND(M115*C115*$U$6,2))</f>
        <v/>
      </c>
      <c r="O115" s="282">
        <f>IF(A115="","",SUM(E115,G115,I115,K115,M115))</f>
        <v/>
      </c>
      <c r="P115" s="273">
        <f>IF(A115="","",SUM(F115,H115,J115,L115,N115))</f>
        <v/>
      </c>
      <c r="Q115" s="284">
        <f>IF(A115="","",IF(O115&gt;B115,"DIVERGENCIA: CONSUMO MAIOR QUE CONTRATADO","OK"))</f>
        <v/>
      </c>
      <c r="R115" s="91" t="n"/>
      <c r="S115" s="91" t="n"/>
      <c r="T115" s="91" t="n"/>
      <c r="U115" s="91" t="n"/>
      <c r="V115" s="91" t="n"/>
      <c r="W115" s="91" t="n"/>
    </row>
    <row r="116">
      <c r="A116" s="307" t="n"/>
      <c r="B116" s="308" t="n"/>
      <c r="C116" s="309" t="n"/>
      <c r="D116" s="273">
        <f>IF(OR(A116="",B116="",C116=""),"",ROUND(B116*C116,2))</f>
        <v/>
      </c>
      <c r="E116" s="308" t="n"/>
      <c r="F116" s="273">
        <f>IF(OR(A116="",E116="",C116="",NOT(ISNUMBER($U$2))),"",ROUND(E116*C116*$U$2,2))</f>
        <v/>
      </c>
      <c r="G116" s="308" t="n"/>
      <c r="H116" s="273">
        <f>IF(OR(A116="",G116="",C116="",NOT(ISNUMBER($U$3))),"",ROUND(G116*C116*$U$3,2))</f>
        <v/>
      </c>
      <c r="I116" s="308" t="n"/>
      <c r="J116" s="273">
        <f>IF(OR(A116="",I116="",C116="",NOT(ISNUMBER($U$4))),"",ROUND(I116*C116*$U$4,2))</f>
        <v/>
      </c>
      <c r="K116" s="308" t="n"/>
      <c r="L116" s="273">
        <f>IF(OR(A116="",K116="",C116="",NOT(ISNUMBER($U$5))),"",ROUND(K116*C116*$U$5,2))</f>
        <v/>
      </c>
      <c r="M116" s="308" t="n"/>
      <c r="N116" s="273">
        <f>IF(OR(A116="",M116="",C116="",NOT(ISNUMBER($U$6))),"",ROUND(M116*C116*$U$6,2))</f>
        <v/>
      </c>
      <c r="O116" s="282">
        <f>IF(A116="","",SUM(E116,G116,I116,K116,M116))</f>
        <v/>
      </c>
      <c r="P116" s="273">
        <f>IF(A116="","",SUM(F116,H116,J116,L116,N116))</f>
        <v/>
      </c>
      <c r="Q116" s="284">
        <f>IF(A116="","",IF(O116&gt;B116,"DIVERGENCIA: CONSUMO MAIOR QUE CONTRATADO","OK"))</f>
        <v/>
      </c>
      <c r="R116" s="91" t="n"/>
      <c r="S116" s="91" t="n"/>
      <c r="T116" s="91" t="n"/>
      <c r="U116" s="91" t="n"/>
      <c r="V116" s="91" t="n"/>
      <c r="W116" s="91" t="n"/>
    </row>
    <row r="117">
      <c r="A117" s="307" t="n"/>
      <c r="B117" s="308" t="n"/>
      <c r="C117" s="309" t="n"/>
      <c r="D117" s="273">
        <f>IF(OR(A117="",B117="",C117=""),"",ROUND(B117*C117,2))</f>
        <v/>
      </c>
      <c r="E117" s="308" t="n"/>
      <c r="F117" s="273">
        <f>IF(OR(A117="",E117="",C117="",NOT(ISNUMBER($U$2))),"",ROUND(E117*C117*$U$2,2))</f>
        <v/>
      </c>
      <c r="G117" s="308" t="n"/>
      <c r="H117" s="273">
        <f>IF(OR(A117="",G117="",C117="",NOT(ISNUMBER($U$3))),"",ROUND(G117*C117*$U$3,2))</f>
        <v/>
      </c>
      <c r="I117" s="308" t="n"/>
      <c r="J117" s="273">
        <f>IF(OR(A117="",I117="",C117="",NOT(ISNUMBER($U$4))),"",ROUND(I117*C117*$U$4,2))</f>
        <v/>
      </c>
      <c r="K117" s="308" t="n"/>
      <c r="L117" s="273">
        <f>IF(OR(A117="",K117="",C117="",NOT(ISNUMBER($U$5))),"",ROUND(K117*C117*$U$5,2))</f>
        <v/>
      </c>
      <c r="M117" s="308" t="n"/>
      <c r="N117" s="273">
        <f>IF(OR(A117="",M117="",C117="",NOT(ISNUMBER($U$6))),"",ROUND(M117*C117*$U$6,2))</f>
        <v/>
      </c>
      <c r="O117" s="282">
        <f>IF(A117="","",SUM(E117,G117,I117,K117,M117))</f>
        <v/>
      </c>
      <c r="P117" s="273">
        <f>IF(A117="","",SUM(F117,H117,J117,L117,N117))</f>
        <v/>
      </c>
      <c r="Q117" s="284">
        <f>IF(A117="","",IF(O117&gt;B117,"DIVERGENCIA: CONSUMO MAIOR QUE CONTRATADO","OK"))</f>
        <v/>
      </c>
      <c r="R117" s="91" t="n"/>
      <c r="S117" s="91" t="n"/>
      <c r="T117" s="91" t="n"/>
      <c r="U117" s="91" t="n"/>
      <c r="V117" s="91" t="n"/>
      <c r="W117" s="91" t="n"/>
    </row>
    <row r="118">
      <c r="A118" s="307" t="n"/>
      <c r="B118" s="308" t="n"/>
      <c r="C118" s="309" t="n"/>
      <c r="D118" s="273">
        <f>IF(OR(A118="",B118="",C118=""),"",ROUND(B118*C118,2))</f>
        <v/>
      </c>
      <c r="E118" s="308" t="n"/>
      <c r="F118" s="273">
        <f>IF(OR(A118="",E118="",C118="",NOT(ISNUMBER($U$2))),"",ROUND(E118*C118*$U$2,2))</f>
        <v/>
      </c>
      <c r="G118" s="308" t="n"/>
      <c r="H118" s="273">
        <f>IF(OR(A118="",G118="",C118="",NOT(ISNUMBER($U$3))),"",ROUND(G118*C118*$U$3,2))</f>
        <v/>
      </c>
      <c r="I118" s="308" t="n"/>
      <c r="J118" s="273">
        <f>IF(OR(A118="",I118="",C118="",NOT(ISNUMBER($U$4))),"",ROUND(I118*C118*$U$4,2))</f>
        <v/>
      </c>
      <c r="K118" s="308" t="n"/>
      <c r="L118" s="273">
        <f>IF(OR(A118="",K118="",C118="",NOT(ISNUMBER($U$5))),"",ROUND(K118*C118*$U$5,2))</f>
        <v/>
      </c>
      <c r="M118" s="308" t="n"/>
      <c r="N118" s="273">
        <f>IF(OR(A118="",M118="",C118="",NOT(ISNUMBER($U$6))),"",ROUND(M118*C118*$U$6,2))</f>
        <v/>
      </c>
      <c r="O118" s="282">
        <f>IF(A118="","",SUM(E118,G118,I118,K118,M118))</f>
        <v/>
      </c>
      <c r="P118" s="273">
        <f>IF(A118="","",SUM(F118,H118,J118,L118,N118))</f>
        <v/>
      </c>
      <c r="Q118" s="284">
        <f>IF(A118="","",IF(O118&gt;B118,"DIVERGENCIA: CONSUMO MAIOR QUE CONTRATADO","OK"))</f>
        <v/>
      </c>
      <c r="R118" s="91" t="n"/>
      <c r="S118" s="91" t="n"/>
      <c r="T118" s="91" t="n"/>
      <c r="U118" s="91" t="n"/>
      <c r="V118" s="91" t="n"/>
      <c r="W118" s="91" t="n"/>
    </row>
    <row r="119">
      <c r="A119" s="307" t="n"/>
      <c r="B119" s="308" t="n"/>
      <c r="C119" s="309" t="n"/>
      <c r="D119" s="273">
        <f>IF(OR(A119="",B119="",C119=""),"",ROUND(B119*C119,2))</f>
        <v/>
      </c>
      <c r="E119" s="308" t="n"/>
      <c r="F119" s="273">
        <f>IF(OR(A119="",E119="",C119="",NOT(ISNUMBER($U$2))),"",ROUND(E119*C119*$U$2,2))</f>
        <v/>
      </c>
      <c r="G119" s="308" t="n"/>
      <c r="H119" s="273">
        <f>IF(OR(A119="",G119="",C119="",NOT(ISNUMBER($U$3))),"",ROUND(G119*C119*$U$3,2))</f>
        <v/>
      </c>
      <c r="I119" s="308" t="n"/>
      <c r="J119" s="273">
        <f>IF(OR(A119="",I119="",C119="",NOT(ISNUMBER($U$4))),"",ROUND(I119*C119*$U$4,2))</f>
        <v/>
      </c>
      <c r="K119" s="308" t="n"/>
      <c r="L119" s="273">
        <f>IF(OR(A119="",K119="",C119="",NOT(ISNUMBER($U$5))),"",ROUND(K119*C119*$U$5,2))</f>
        <v/>
      </c>
      <c r="M119" s="308" t="n"/>
      <c r="N119" s="273">
        <f>IF(OR(A119="",M119="",C119="",NOT(ISNUMBER($U$6))),"",ROUND(M119*C119*$U$6,2))</f>
        <v/>
      </c>
      <c r="O119" s="282">
        <f>IF(A119="","",SUM(E119,G119,I119,K119,M119))</f>
        <v/>
      </c>
      <c r="P119" s="273">
        <f>IF(A119="","",SUM(F119,H119,J119,L119,N119))</f>
        <v/>
      </c>
      <c r="Q119" s="284">
        <f>IF(A119="","",IF(O119&gt;B119,"DIVERGENCIA: CONSUMO MAIOR QUE CONTRATADO","OK"))</f>
        <v/>
      </c>
      <c r="R119" s="91" t="n"/>
      <c r="S119" s="91" t="n"/>
      <c r="T119" s="91" t="n"/>
      <c r="U119" s="91" t="n"/>
      <c r="V119" s="91" t="n"/>
      <c r="W119" s="91" t="n"/>
    </row>
    <row r="120">
      <c r="A120" s="307" t="n"/>
      <c r="B120" s="308" t="n"/>
      <c r="C120" s="309" t="n"/>
      <c r="D120" s="273">
        <f>IF(OR(A120="",B120="",C120=""),"",ROUND(B120*C120,2))</f>
        <v/>
      </c>
      <c r="E120" s="308" t="n"/>
      <c r="F120" s="273">
        <f>IF(OR(A120="",E120="",C120="",NOT(ISNUMBER($U$2))),"",ROUND(E120*C120*$U$2,2))</f>
        <v/>
      </c>
      <c r="G120" s="308" t="n"/>
      <c r="H120" s="273">
        <f>IF(OR(A120="",G120="",C120="",NOT(ISNUMBER($U$3))),"",ROUND(G120*C120*$U$3,2))</f>
        <v/>
      </c>
      <c r="I120" s="308" t="n"/>
      <c r="J120" s="273">
        <f>IF(OR(A120="",I120="",C120="",NOT(ISNUMBER($U$4))),"",ROUND(I120*C120*$U$4,2))</f>
        <v/>
      </c>
      <c r="K120" s="308" t="n"/>
      <c r="L120" s="273">
        <f>IF(OR(A120="",K120="",C120="",NOT(ISNUMBER($U$5))),"",ROUND(K120*C120*$U$5,2))</f>
        <v/>
      </c>
      <c r="M120" s="308" t="n"/>
      <c r="N120" s="273">
        <f>IF(OR(A120="",M120="",C120="",NOT(ISNUMBER($U$6))),"",ROUND(M120*C120*$U$6,2))</f>
        <v/>
      </c>
      <c r="O120" s="282">
        <f>IF(A120="","",SUM(E120,G120,I120,K120,M120))</f>
        <v/>
      </c>
      <c r="P120" s="273">
        <f>IF(A120="","",SUM(F120,H120,J120,L120,N120))</f>
        <v/>
      </c>
      <c r="Q120" s="284">
        <f>IF(A120="","",IF(O120&gt;B120,"DIVERGENCIA: CONSUMO MAIOR QUE CONTRATADO","OK"))</f>
        <v/>
      </c>
      <c r="R120" s="91" t="n"/>
      <c r="S120" s="91" t="n"/>
      <c r="T120" s="91" t="n"/>
      <c r="U120" s="91" t="n"/>
      <c r="V120" s="91" t="n"/>
      <c r="W120" s="91" t="n"/>
    </row>
    <row r="121">
      <c r="A121" s="307" t="n"/>
      <c r="B121" s="308" t="n"/>
      <c r="C121" s="309" t="n"/>
      <c r="D121" s="273">
        <f>IF(OR(A121="",B121="",C121=""),"",ROUND(B121*C121,2))</f>
        <v/>
      </c>
      <c r="E121" s="308" t="n"/>
      <c r="F121" s="273">
        <f>IF(OR(A121="",E121="",C121="",NOT(ISNUMBER($U$2))),"",ROUND(E121*C121*$U$2,2))</f>
        <v/>
      </c>
      <c r="G121" s="308" t="n"/>
      <c r="H121" s="273">
        <f>IF(OR(A121="",G121="",C121="",NOT(ISNUMBER($U$3))),"",ROUND(G121*C121*$U$3,2))</f>
        <v/>
      </c>
      <c r="I121" s="308" t="n"/>
      <c r="J121" s="273">
        <f>IF(OR(A121="",I121="",C121="",NOT(ISNUMBER($U$4))),"",ROUND(I121*C121*$U$4,2))</f>
        <v/>
      </c>
      <c r="K121" s="308" t="n"/>
      <c r="L121" s="273">
        <f>IF(OR(A121="",K121="",C121="",NOT(ISNUMBER($U$5))),"",ROUND(K121*C121*$U$5,2))</f>
        <v/>
      </c>
      <c r="M121" s="308" t="n"/>
      <c r="N121" s="273">
        <f>IF(OR(A121="",M121="",C121="",NOT(ISNUMBER($U$6))),"",ROUND(M121*C121*$U$6,2))</f>
        <v/>
      </c>
      <c r="O121" s="282">
        <f>IF(A121="","",SUM(E121,G121,I121,K121,M121))</f>
        <v/>
      </c>
      <c r="P121" s="273">
        <f>IF(A121="","",SUM(F121,H121,J121,L121,N121))</f>
        <v/>
      </c>
      <c r="Q121" s="284">
        <f>IF(A121="","",IF(O121&gt;B121,"DIVERGENCIA: CONSUMO MAIOR QUE CONTRATADO","OK"))</f>
        <v/>
      </c>
      <c r="R121" s="91" t="n"/>
      <c r="S121" s="91" t="n"/>
      <c r="T121" s="91" t="n"/>
      <c r="U121" s="91" t="n"/>
      <c r="V121" s="91" t="n"/>
      <c r="W121" s="91" t="n"/>
    </row>
    <row r="122">
      <c r="A122" s="307" t="n"/>
      <c r="B122" s="308" t="n"/>
      <c r="C122" s="309" t="n"/>
      <c r="D122" s="273">
        <f>IF(OR(A122="",B122="",C122=""),"",ROUND(B122*C122,2))</f>
        <v/>
      </c>
      <c r="E122" s="308" t="n"/>
      <c r="F122" s="273">
        <f>IF(OR(A122="",E122="",C122="",NOT(ISNUMBER($U$2))),"",ROUND(E122*C122*$U$2,2))</f>
        <v/>
      </c>
      <c r="G122" s="308" t="n"/>
      <c r="H122" s="273">
        <f>IF(OR(A122="",G122="",C122="",NOT(ISNUMBER($U$3))),"",ROUND(G122*C122*$U$3,2))</f>
        <v/>
      </c>
      <c r="I122" s="308" t="n"/>
      <c r="J122" s="273">
        <f>IF(OR(A122="",I122="",C122="",NOT(ISNUMBER($U$4))),"",ROUND(I122*C122*$U$4,2))</f>
        <v/>
      </c>
      <c r="K122" s="308" t="n"/>
      <c r="L122" s="273">
        <f>IF(OR(A122="",K122="",C122="",NOT(ISNUMBER($U$5))),"",ROUND(K122*C122*$U$5,2))</f>
        <v/>
      </c>
      <c r="M122" s="308" t="n"/>
      <c r="N122" s="273">
        <f>IF(OR(A122="",M122="",C122="",NOT(ISNUMBER($U$6))),"",ROUND(M122*C122*$U$6,2))</f>
        <v/>
      </c>
      <c r="O122" s="282">
        <f>IF(A122="","",SUM(E122,G122,I122,K122,M122))</f>
        <v/>
      </c>
      <c r="P122" s="273">
        <f>IF(A122="","",SUM(F122,H122,J122,L122,N122))</f>
        <v/>
      </c>
      <c r="Q122" s="284">
        <f>IF(A122="","",IF(O122&gt;B122,"DIVERGENCIA: CONSUMO MAIOR QUE CONTRATADO","OK"))</f>
        <v/>
      </c>
      <c r="R122" s="91" t="n"/>
      <c r="S122" s="91" t="n"/>
      <c r="T122" s="91" t="n"/>
      <c r="U122" s="91" t="n"/>
      <c r="V122" s="91" t="n"/>
      <c r="W122" s="91" t="n"/>
    </row>
    <row r="123">
      <c r="A123" s="307" t="n"/>
      <c r="B123" s="308" t="n"/>
      <c r="C123" s="309" t="n"/>
      <c r="D123" s="273">
        <f>IF(OR(A123="",B123="",C123=""),"",ROUND(B123*C123,2))</f>
        <v/>
      </c>
      <c r="E123" s="308" t="n"/>
      <c r="F123" s="273">
        <f>IF(OR(A123="",E123="",C123="",NOT(ISNUMBER($U$2))),"",ROUND(E123*C123*$U$2,2))</f>
        <v/>
      </c>
      <c r="G123" s="308" t="n"/>
      <c r="H123" s="273">
        <f>IF(OR(A123="",G123="",C123="",NOT(ISNUMBER($U$3))),"",ROUND(G123*C123*$U$3,2))</f>
        <v/>
      </c>
      <c r="I123" s="308" t="n"/>
      <c r="J123" s="273">
        <f>IF(OR(A123="",I123="",C123="",NOT(ISNUMBER($U$4))),"",ROUND(I123*C123*$U$4,2))</f>
        <v/>
      </c>
      <c r="K123" s="308" t="n"/>
      <c r="L123" s="273">
        <f>IF(OR(A123="",K123="",C123="",NOT(ISNUMBER($U$5))),"",ROUND(K123*C123*$U$5,2))</f>
        <v/>
      </c>
      <c r="M123" s="308" t="n"/>
      <c r="N123" s="273">
        <f>IF(OR(A123="",M123="",C123="",NOT(ISNUMBER($U$6))),"",ROUND(M123*C123*$U$6,2))</f>
        <v/>
      </c>
      <c r="O123" s="282">
        <f>IF(A123="","",SUM(E123,G123,I123,K123,M123))</f>
        <v/>
      </c>
      <c r="P123" s="273">
        <f>IF(A123="","",SUM(F123,H123,J123,L123,N123))</f>
        <v/>
      </c>
      <c r="Q123" s="284">
        <f>IF(A123="","",IF(O123&gt;B123,"DIVERGENCIA: CONSUMO MAIOR QUE CONTRATADO","OK"))</f>
        <v/>
      </c>
      <c r="R123" s="91" t="n"/>
      <c r="S123" s="91" t="n"/>
      <c r="T123" s="91" t="n"/>
      <c r="U123" s="91" t="n"/>
      <c r="V123" s="91" t="n"/>
      <c r="W123" s="91" t="n"/>
    </row>
    <row r="124">
      <c r="A124" s="307" t="n"/>
      <c r="B124" s="308" t="n"/>
      <c r="C124" s="309" t="n"/>
      <c r="D124" s="273">
        <f>IF(OR(A124="",B124="",C124=""),"",ROUND(B124*C124,2))</f>
        <v/>
      </c>
      <c r="E124" s="308" t="n"/>
      <c r="F124" s="273">
        <f>IF(OR(A124="",E124="",C124="",NOT(ISNUMBER($U$2))),"",ROUND(E124*C124*$U$2,2))</f>
        <v/>
      </c>
      <c r="G124" s="308" t="n"/>
      <c r="H124" s="273">
        <f>IF(OR(A124="",G124="",C124="",NOT(ISNUMBER($U$3))),"",ROUND(G124*C124*$U$3,2))</f>
        <v/>
      </c>
      <c r="I124" s="308" t="n"/>
      <c r="J124" s="273">
        <f>IF(OR(A124="",I124="",C124="",NOT(ISNUMBER($U$4))),"",ROUND(I124*C124*$U$4,2))</f>
        <v/>
      </c>
      <c r="K124" s="308" t="n"/>
      <c r="L124" s="273">
        <f>IF(OR(A124="",K124="",C124="",NOT(ISNUMBER($U$5))),"",ROUND(K124*C124*$U$5,2))</f>
        <v/>
      </c>
      <c r="M124" s="308" t="n"/>
      <c r="N124" s="273">
        <f>IF(OR(A124="",M124="",C124="",NOT(ISNUMBER($U$6))),"",ROUND(M124*C124*$U$6,2))</f>
        <v/>
      </c>
      <c r="O124" s="282">
        <f>IF(A124="","",SUM(E124,G124,I124,K124,M124))</f>
        <v/>
      </c>
      <c r="P124" s="273">
        <f>IF(A124="","",SUM(F124,H124,J124,L124,N124))</f>
        <v/>
      </c>
      <c r="Q124" s="284">
        <f>IF(A124="","",IF(O124&gt;B124,"DIVERGENCIA: CONSUMO MAIOR QUE CONTRATADO","OK"))</f>
        <v/>
      </c>
      <c r="R124" s="91" t="n"/>
      <c r="S124" s="91" t="n"/>
      <c r="T124" s="91" t="n"/>
      <c r="U124" s="91" t="n"/>
      <c r="V124" s="91" t="n"/>
      <c r="W124" s="91" t="n"/>
    </row>
    <row r="125">
      <c r="A125" s="307" t="n"/>
      <c r="B125" s="308" t="n"/>
      <c r="C125" s="309" t="n"/>
      <c r="D125" s="273">
        <f>IF(OR(A125="",B125="",C125=""),"",ROUND(B125*C125,2))</f>
        <v/>
      </c>
      <c r="E125" s="308" t="n"/>
      <c r="F125" s="273">
        <f>IF(OR(A125="",E125="",C125="",NOT(ISNUMBER($U$2))),"",ROUND(E125*C125*$U$2,2))</f>
        <v/>
      </c>
      <c r="G125" s="308" t="n"/>
      <c r="H125" s="273">
        <f>IF(OR(A125="",G125="",C125="",NOT(ISNUMBER($U$3))),"",ROUND(G125*C125*$U$3,2))</f>
        <v/>
      </c>
      <c r="I125" s="308" t="n"/>
      <c r="J125" s="273">
        <f>IF(OR(A125="",I125="",C125="",NOT(ISNUMBER($U$4))),"",ROUND(I125*C125*$U$4,2))</f>
        <v/>
      </c>
      <c r="K125" s="308" t="n"/>
      <c r="L125" s="273">
        <f>IF(OR(A125="",K125="",C125="",NOT(ISNUMBER($U$5))),"",ROUND(K125*C125*$U$5,2))</f>
        <v/>
      </c>
      <c r="M125" s="308" t="n"/>
      <c r="N125" s="273">
        <f>IF(OR(A125="",M125="",C125="",NOT(ISNUMBER($U$6))),"",ROUND(M125*C125*$U$6,2))</f>
        <v/>
      </c>
      <c r="O125" s="282">
        <f>IF(A125="","",SUM(E125,G125,I125,K125,M125))</f>
        <v/>
      </c>
      <c r="P125" s="273">
        <f>IF(A125="","",SUM(F125,H125,J125,L125,N125))</f>
        <v/>
      </c>
      <c r="Q125" s="284">
        <f>IF(A125="","",IF(O125&gt;B125,"DIVERGENCIA: CONSUMO MAIOR QUE CONTRATADO","OK"))</f>
        <v/>
      </c>
      <c r="R125" s="91" t="n"/>
      <c r="S125" s="91" t="n"/>
      <c r="T125" s="91" t="n"/>
      <c r="U125" s="91" t="n"/>
      <c r="V125" s="91" t="n"/>
      <c r="W125" s="91" t="n"/>
    </row>
    <row r="126">
      <c r="A126" s="307" t="n"/>
      <c r="B126" s="308" t="n"/>
      <c r="C126" s="309" t="n"/>
      <c r="D126" s="273">
        <f>IF(OR(A126="",B126="",C126=""),"",ROUND(B126*C126,2))</f>
        <v/>
      </c>
      <c r="E126" s="308" t="n"/>
      <c r="F126" s="273">
        <f>IF(OR(A126="",E126="",C126="",NOT(ISNUMBER($U$2))),"",ROUND(E126*C126*$U$2,2))</f>
        <v/>
      </c>
      <c r="G126" s="308" t="n"/>
      <c r="H126" s="273">
        <f>IF(OR(A126="",G126="",C126="",NOT(ISNUMBER($U$3))),"",ROUND(G126*C126*$U$3,2))</f>
        <v/>
      </c>
      <c r="I126" s="308" t="n"/>
      <c r="J126" s="273">
        <f>IF(OR(A126="",I126="",C126="",NOT(ISNUMBER($U$4))),"",ROUND(I126*C126*$U$4,2))</f>
        <v/>
      </c>
      <c r="K126" s="308" t="n"/>
      <c r="L126" s="273">
        <f>IF(OR(A126="",K126="",C126="",NOT(ISNUMBER($U$5))),"",ROUND(K126*C126*$U$5,2))</f>
        <v/>
      </c>
      <c r="M126" s="308" t="n"/>
      <c r="N126" s="273">
        <f>IF(OR(A126="",M126="",C126="",NOT(ISNUMBER($U$6))),"",ROUND(M126*C126*$U$6,2))</f>
        <v/>
      </c>
      <c r="O126" s="282">
        <f>IF(A126="","",SUM(E126,G126,I126,K126,M126))</f>
        <v/>
      </c>
      <c r="P126" s="273">
        <f>IF(A126="","",SUM(F126,H126,J126,L126,N126))</f>
        <v/>
      </c>
      <c r="Q126" s="284">
        <f>IF(A126="","",IF(O126&gt;B126,"DIVERGENCIA: CONSUMO MAIOR QUE CONTRATADO","OK"))</f>
        <v/>
      </c>
      <c r="R126" s="91" t="n"/>
      <c r="S126" s="91" t="n"/>
      <c r="T126" s="91" t="n"/>
      <c r="U126" s="91" t="n"/>
      <c r="V126" s="91" t="n"/>
      <c r="W126" s="91" t="n"/>
    </row>
    <row r="127">
      <c r="A127" s="307" t="n"/>
      <c r="B127" s="308" t="n"/>
      <c r="C127" s="309" t="n"/>
      <c r="D127" s="273">
        <f>IF(OR(A127="",B127="",C127=""),"",ROUND(B127*C127,2))</f>
        <v/>
      </c>
      <c r="E127" s="308" t="n"/>
      <c r="F127" s="273">
        <f>IF(OR(A127="",E127="",C127="",NOT(ISNUMBER($U$2))),"",ROUND(E127*C127*$U$2,2))</f>
        <v/>
      </c>
      <c r="G127" s="308" t="n"/>
      <c r="H127" s="273">
        <f>IF(OR(A127="",G127="",C127="",NOT(ISNUMBER($U$3))),"",ROUND(G127*C127*$U$3,2))</f>
        <v/>
      </c>
      <c r="I127" s="308" t="n"/>
      <c r="J127" s="273">
        <f>IF(OR(A127="",I127="",C127="",NOT(ISNUMBER($U$4))),"",ROUND(I127*C127*$U$4,2))</f>
        <v/>
      </c>
      <c r="K127" s="308" t="n"/>
      <c r="L127" s="273">
        <f>IF(OR(A127="",K127="",C127="",NOT(ISNUMBER($U$5))),"",ROUND(K127*C127*$U$5,2))</f>
        <v/>
      </c>
      <c r="M127" s="308" t="n"/>
      <c r="N127" s="273">
        <f>IF(OR(A127="",M127="",C127="",NOT(ISNUMBER($U$6))),"",ROUND(M127*C127*$U$6,2))</f>
        <v/>
      </c>
      <c r="O127" s="282">
        <f>IF(A127="","",SUM(E127,G127,I127,K127,M127))</f>
        <v/>
      </c>
      <c r="P127" s="273">
        <f>IF(A127="","",SUM(F127,H127,J127,L127,N127))</f>
        <v/>
      </c>
      <c r="Q127" s="284">
        <f>IF(A127="","",IF(O127&gt;B127,"DIVERGENCIA: CONSUMO MAIOR QUE CONTRATADO","OK"))</f>
        <v/>
      </c>
      <c r="R127" s="91" t="n"/>
      <c r="S127" s="91" t="n"/>
      <c r="T127" s="91" t="n"/>
      <c r="U127" s="91" t="n"/>
      <c r="V127" s="91" t="n"/>
      <c r="W127" s="91" t="n"/>
    </row>
    <row r="128">
      <c r="A128" s="307" t="n"/>
      <c r="B128" s="308" t="n"/>
      <c r="C128" s="309" t="n"/>
      <c r="D128" s="273">
        <f>IF(OR(A128="",B128="",C128=""),"",ROUND(B128*C128,2))</f>
        <v/>
      </c>
      <c r="E128" s="308" t="n"/>
      <c r="F128" s="273">
        <f>IF(OR(A128="",E128="",C128="",NOT(ISNUMBER($U$2))),"",ROUND(E128*C128*$U$2,2))</f>
        <v/>
      </c>
      <c r="G128" s="308" t="n"/>
      <c r="H128" s="273">
        <f>IF(OR(A128="",G128="",C128="",NOT(ISNUMBER($U$3))),"",ROUND(G128*C128*$U$3,2))</f>
        <v/>
      </c>
      <c r="I128" s="308" t="n"/>
      <c r="J128" s="273">
        <f>IF(OR(A128="",I128="",C128="",NOT(ISNUMBER($U$4))),"",ROUND(I128*C128*$U$4,2))</f>
        <v/>
      </c>
      <c r="K128" s="308" t="n"/>
      <c r="L128" s="273">
        <f>IF(OR(A128="",K128="",C128="",NOT(ISNUMBER($U$5))),"",ROUND(K128*C128*$U$5,2))</f>
        <v/>
      </c>
      <c r="M128" s="308" t="n"/>
      <c r="N128" s="273">
        <f>IF(OR(A128="",M128="",C128="",NOT(ISNUMBER($U$6))),"",ROUND(M128*C128*$U$6,2))</f>
        <v/>
      </c>
      <c r="O128" s="282">
        <f>IF(A128="","",SUM(E128,G128,I128,K128,M128))</f>
        <v/>
      </c>
      <c r="P128" s="273">
        <f>IF(A128="","",SUM(F128,H128,J128,L128,N128))</f>
        <v/>
      </c>
      <c r="Q128" s="284">
        <f>IF(A128="","",IF(O128&gt;B128,"DIVERGENCIA: CONSUMO MAIOR QUE CONTRATADO","OK"))</f>
        <v/>
      </c>
      <c r="R128" s="91" t="n"/>
      <c r="S128" s="91" t="n"/>
      <c r="T128" s="91" t="n"/>
      <c r="U128" s="91" t="n"/>
      <c r="V128" s="91" t="n"/>
      <c r="W128" s="91" t="n"/>
    </row>
    <row r="129">
      <c r="A129" s="307" t="n"/>
      <c r="B129" s="308" t="n"/>
      <c r="C129" s="309" t="n"/>
      <c r="D129" s="273">
        <f>IF(OR(A129="",B129="",C129=""),"",ROUND(B129*C129,2))</f>
        <v/>
      </c>
      <c r="E129" s="308" t="n"/>
      <c r="F129" s="273">
        <f>IF(OR(A129="",E129="",C129="",NOT(ISNUMBER($U$2))),"",ROUND(E129*C129*$U$2,2))</f>
        <v/>
      </c>
      <c r="G129" s="308" t="n"/>
      <c r="H129" s="273">
        <f>IF(OR(A129="",G129="",C129="",NOT(ISNUMBER($U$3))),"",ROUND(G129*C129*$U$3,2))</f>
        <v/>
      </c>
      <c r="I129" s="308" t="n"/>
      <c r="J129" s="273">
        <f>IF(OR(A129="",I129="",C129="",NOT(ISNUMBER($U$4))),"",ROUND(I129*C129*$U$4,2))</f>
        <v/>
      </c>
      <c r="K129" s="308" t="n"/>
      <c r="L129" s="273">
        <f>IF(OR(A129="",K129="",C129="",NOT(ISNUMBER($U$5))),"",ROUND(K129*C129*$U$5,2))</f>
        <v/>
      </c>
      <c r="M129" s="308" t="n"/>
      <c r="N129" s="273">
        <f>IF(OR(A129="",M129="",C129="",NOT(ISNUMBER($U$6))),"",ROUND(M129*C129*$U$6,2))</f>
        <v/>
      </c>
      <c r="O129" s="282">
        <f>IF(A129="","",SUM(E129,G129,I129,K129,M129))</f>
        <v/>
      </c>
      <c r="P129" s="273">
        <f>IF(A129="","",SUM(F129,H129,J129,L129,N129))</f>
        <v/>
      </c>
      <c r="Q129" s="284">
        <f>IF(A129="","",IF(O129&gt;B129,"DIVERGENCIA: CONSUMO MAIOR QUE CONTRATADO","OK"))</f>
        <v/>
      </c>
      <c r="R129" s="91" t="n"/>
      <c r="S129" s="91" t="n"/>
      <c r="T129" s="91" t="n"/>
      <c r="U129" s="91" t="n"/>
      <c r="V129" s="91" t="n"/>
      <c r="W129" s="91" t="n"/>
    </row>
    <row r="130">
      <c r="A130" s="307" t="n"/>
      <c r="B130" s="308" t="n"/>
      <c r="C130" s="309" t="n"/>
      <c r="D130" s="273">
        <f>IF(OR(A130="",B130="",C130=""),"",ROUND(B130*C130,2))</f>
        <v/>
      </c>
      <c r="E130" s="308" t="n"/>
      <c r="F130" s="273">
        <f>IF(OR(A130="",E130="",C130="",NOT(ISNUMBER($U$2))),"",ROUND(E130*C130*$U$2,2))</f>
        <v/>
      </c>
      <c r="G130" s="308" t="n"/>
      <c r="H130" s="273">
        <f>IF(OR(A130="",G130="",C130="",NOT(ISNUMBER($U$3))),"",ROUND(G130*C130*$U$3,2))</f>
        <v/>
      </c>
      <c r="I130" s="308" t="n"/>
      <c r="J130" s="273">
        <f>IF(OR(A130="",I130="",C130="",NOT(ISNUMBER($U$4))),"",ROUND(I130*C130*$U$4,2))</f>
        <v/>
      </c>
      <c r="K130" s="308" t="n"/>
      <c r="L130" s="273">
        <f>IF(OR(A130="",K130="",C130="",NOT(ISNUMBER($U$5))),"",ROUND(K130*C130*$U$5,2))</f>
        <v/>
      </c>
      <c r="M130" s="308" t="n"/>
      <c r="N130" s="273">
        <f>IF(OR(A130="",M130="",C130="",NOT(ISNUMBER($U$6))),"",ROUND(M130*C130*$U$6,2))</f>
        <v/>
      </c>
      <c r="O130" s="282">
        <f>IF(A130="","",SUM(E130,G130,I130,K130,M130))</f>
        <v/>
      </c>
      <c r="P130" s="273">
        <f>IF(A130="","",SUM(F130,H130,J130,L130,N130))</f>
        <v/>
      </c>
      <c r="Q130" s="284">
        <f>IF(A130="","",IF(O130&gt;B130,"DIVERGENCIA: CONSUMO MAIOR QUE CONTRATADO","OK"))</f>
        <v/>
      </c>
      <c r="R130" s="91" t="n"/>
      <c r="S130" s="91" t="n"/>
      <c r="T130" s="91" t="n"/>
      <c r="U130" s="91" t="n"/>
      <c r="V130" s="91" t="n"/>
      <c r="W130" s="91" t="n"/>
    </row>
    <row r="131">
      <c r="A131" s="307" t="n"/>
      <c r="B131" s="308" t="n"/>
      <c r="C131" s="309" t="n"/>
      <c r="D131" s="273">
        <f>IF(OR(A131="",B131="",C131=""),"",ROUND(B131*C131,2))</f>
        <v/>
      </c>
      <c r="E131" s="308" t="n"/>
      <c r="F131" s="273">
        <f>IF(OR(A131="",E131="",C131="",NOT(ISNUMBER($U$2))),"",ROUND(E131*C131*$U$2,2))</f>
        <v/>
      </c>
      <c r="G131" s="308" t="n"/>
      <c r="H131" s="273">
        <f>IF(OR(A131="",G131="",C131="",NOT(ISNUMBER($U$3))),"",ROUND(G131*C131*$U$3,2))</f>
        <v/>
      </c>
      <c r="I131" s="308" t="n"/>
      <c r="J131" s="273">
        <f>IF(OR(A131="",I131="",C131="",NOT(ISNUMBER($U$4))),"",ROUND(I131*C131*$U$4,2))</f>
        <v/>
      </c>
      <c r="K131" s="308" t="n"/>
      <c r="L131" s="273">
        <f>IF(OR(A131="",K131="",C131="",NOT(ISNUMBER($U$5))),"",ROUND(K131*C131*$U$5,2))</f>
        <v/>
      </c>
      <c r="M131" s="308" t="n"/>
      <c r="N131" s="273">
        <f>IF(OR(A131="",M131="",C131="",NOT(ISNUMBER($U$6))),"",ROUND(M131*C131*$U$6,2))</f>
        <v/>
      </c>
      <c r="O131" s="282">
        <f>IF(A131="","",SUM(E131,G131,I131,K131,M131))</f>
        <v/>
      </c>
      <c r="P131" s="273">
        <f>IF(A131="","",SUM(F131,H131,J131,L131,N131))</f>
        <v/>
      </c>
      <c r="Q131" s="284">
        <f>IF(A131="","",IF(O131&gt;B131,"DIVERGENCIA: CONSUMO MAIOR QUE CONTRATADO","OK"))</f>
        <v/>
      </c>
      <c r="R131" s="91" t="n"/>
      <c r="S131" s="91" t="n"/>
      <c r="T131" s="91" t="n"/>
      <c r="U131" s="91" t="n"/>
      <c r="V131" s="91" t="n"/>
      <c r="W131" s="91" t="n"/>
    </row>
    <row r="132">
      <c r="A132" s="307" t="n"/>
      <c r="B132" s="308" t="n"/>
      <c r="C132" s="309" t="n"/>
      <c r="D132" s="273">
        <f>IF(OR(A132="",B132="",C132=""),"",ROUND(B132*C132,2))</f>
        <v/>
      </c>
      <c r="E132" s="308" t="n"/>
      <c r="F132" s="273">
        <f>IF(OR(A132="",E132="",C132="",NOT(ISNUMBER($U$2))),"",ROUND(E132*C132*$U$2,2))</f>
        <v/>
      </c>
      <c r="G132" s="308" t="n"/>
      <c r="H132" s="273">
        <f>IF(OR(A132="",G132="",C132="",NOT(ISNUMBER($U$3))),"",ROUND(G132*C132*$U$3,2))</f>
        <v/>
      </c>
      <c r="I132" s="308" t="n"/>
      <c r="J132" s="273">
        <f>IF(OR(A132="",I132="",C132="",NOT(ISNUMBER($U$4))),"",ROUND(I132*C132*$U$4,2))</f>
        <v/>
      </c>
      <c r="K132" s="308" t="n"/>
      <c r="L132" s="273">
        <f>IF(OR(A132="",K132="",C132="",NOT(ISNUMBER($U$5))),"",ROUND(K132*C132*$U$5,2))</f>
        <v/>
      </c>
      <c r="M132" s="308" t="n"/>
      <c r="N132" s="273">
        <f>IF(OR(A132="",M132="",C132="",NOT(ISNUMBER($U$6))),"",ROUND(M132*C132*$U$6,2))</f>
        <v/>
      </c>
      <c r="O132" s="282">
        <f>IF(A132="","",SUM(E132,G132,I132,K132,M132))</f>
        <v/>
      </c>
      <c r="P132" s="273">
        <f>IF(A132="","",SUM(F132,H132,J132,L132,N132))</f>
        <v/>
      </c>
      <c r="Q132" s="284">
        <f>IF(A132="","",IF(O132&gt;B132,"DIVERGENCIA: CONSUMO MAIOR QUE CONTRATADO","OK"))</f>
        <v/>
      </c>
      <c r="R132" s="91" t="n"/>
      <c r="S132" s="91" t="n"/>
      <c r="T132" s="91" t="n"/>
      <c r="U132" s="91" t="n"/>
      <c r="V132" s="91" t="n"/>
      <c r="W132" s="91" t="n"/>
    </row>
    <row r="133">
      <c r="A133" s="307" t="n"/>
      <c r="B133" s="308" t="n"/>
      <c r="C133" s="309" t="n"/>
      <c r="D133" s="273">
        <f>IF(OR(A133="",B133="",C133=""),"",ROUND(B133*C133,2))</f>
        <v/>
      </c>
      <c r="E133" s="308" t="n"/>
      <c r="F133" s="273">
        <f>IF(OR(A133="",E133="",C133="",NOT(ISNUMBER($U$2))),"",ROUND(E133*C133*$U$2,2))</f>
        <v/>
      </c>
      <c r="G133" s="308" t="n"/>
      <c r="H133" s="273">
        <f>IF(OR(A133="",G133="",C133="",NOT(ISNUMBER($U$3))),"",ROUND(G133*C133*$U$3,2))</f>
        <v/>
      </c>
      <c r="I133" s="308" t="n"/>
      <c r="J133" s="273">
        <f>IF(OR(A133="",I133="",C133="",NOT(ISNUMBER($U$4))),"",ROUND(I133*C133*$U$4,2))</f>
        <v/>
      </c>
      <c r="K133" s="308" t="n"/>
      <c r="L133" s="273">
        <f>IF(OR(A133="",K133="",C133="",NOT(ISNUMBER($U$5))),"",ROUND(K133*C133*$U$5,2))</f>
        <v/>
      </c>
      <c r="M133" s="308" t="n"/>
      <c r="N133" s="273">
        <f>IF(OR(A133="",M133="",C133="",NOT(ISNUMBER($U$6))),"",ROUND(M133*C133*$U$6,2))</f>
        <v/>
      </c>
      <c r="O133" s="282">
        <f>IF(A133="","",SUM(E133,G133,I133,K133,M133))</f>
        <v/>
      </c>
      <c r="P133" s="273">
        <f>IF(A133="","",SUM(F133,H133,J133,L133,N133))</f>
        <v/>
      </c>
      <c r="Q133" s="284">
        <f>IF(A133="","",IF(O133&gt;B133,"DIVERGENCIA: CONSUMO MAIOR QUE CONTRATADO","OK"))</f>
        <v/>
      </c>
      <c r="R133" s="91" t="n"/>
      <c r="S133" s="91" t="n"/>
      <c r="T133" s="91" t="n"/>
      <c r="U133" s="91" t="n"/>
      <c r="V133" s="91" t="n"/>
      <c r="W133" s="91" t="n"/>
    </row>
    <row r="134">
      <c r="A134" s="307" t="n"/>
      <c r="B134" s="308" t="n"/>
      <c r="C134" s="309" t="n"/>
      <c r="D134" s="273">
        <f>IF(OR(A134="",B134="",C134=""),"",ROUND(B134*C134,2))</f>
        <v/>
      </c>
      <c r="E134" s="308" t="n"/>
      <c r="F134" s="273">
        <f>IF(OR(A134="",E134="",C134="",NOT(ISNUMBER($U$2))),"",ROUND(E134*C134*$U$2,2))</f>
        <v/>
      </c>
      <c r="G134" s="308" t="n"/>
      <c r="H134" s="273">
        <f>IF(OR(A134="",G134="",C134="",NOT(ISNUMBER($U$3))),"",ROUND(G134*C134*$U$3,2))</f>
        <v/>
      </c>
      <c r="I134" s="308" t="n"/>
      <c r="J134" s="273">
        <f>IF(OR(A134="",I134="",C134="",NOT(ISNUMBER($U$4))),"",ROUND(I134*C134*$U$4,2))</f>
        <v/>
      </c>
      <c r="K134" s="308" t="n"/>
      <c r="L134" s="273">
        <f>IF(OR(A134="",K134="",C134="",NOT(ISNUMBER($U$5))),"",ROUND(K134*C134*$U$5,2))</f>
        <v/>
      </c>
      <c r="M134" s="308" t="n"/>
      <c r="N134" s="273">
        <f>IF(OR(A134="",M134="",C134="",NOT(ISNUMBER($U$6))),"",ROUND(M134*C134*$U$6,2))</f>
        <v/>
      </c>
      <c r="O134" s="282">
        <f>IF(A134="","",SUM(E134,G134,I134,K134,M134))</f>
        <v/>
      </c>
      <c r="P134" s="273">
        <f>IF(A134="","",SUM(F134,H134,J134,L134,N134))</f>
        <v/>
      </c>
      <c r="Q134" s="284">
        <f>IF(A134="","",IF(O134&gt;B134,"DIVERGENCIA: CONSUMO MAIOR QUE CONTRATADO","OK"))</f>
        <v/>
      </c>
      <c r="R134" s="91" t="n"/>
      <c r="S134" s="91" t="n"/>
      <c r="T134" s="91" t="n"/>
      <c r="U134" s="91" t="n"/>
      <c r="V134" s="91" t="n"/>
      <c r="W134" s="91" t="n"/>
    </row>
    <row r="135">
      <c r="A135" s="307" t="n"/>
      <c r="B135" s="308" t="n"/>
      <c r="C135" s="309" t="n"/>
      <c r="D135" s="273">
        <f>IF(OR(A135="",B135="",C135=""),"",ROUND(B135*C135,2))</f>
        <v/>
      </c>
      <c r="E135" s="308" t="n"/>
      <c r="F135" s="273">
        <f>IF(OR(A135="",E135="",C135="",NOT(ISNUMBER($U$2))),"",ROUND(E135*C135*$U$2,2))</f>
        <v/>
      </c>
      <c r="G135" s="308" t="n"/>
      <c r="H135" s="273">
        <f>IF(OR(A135="",G135="",C135="",NOT(ISNUMBER($U$3))),"",ROUND(G135*C135*$U$3,2))</f>
        <v/>
      </c>
      <c r="I135" s="308" t="n"/>
      <c r="J135" s="273">
        <f>IF(OR(A135="",I135="",C135="",NOT(ISNUMBER($U$4))),"",ROUND(I135*C135*$U$4,2))</f>
        <v/>
      </c>
      <c r="K135" s="308" t="n"/>
      <c r="L135" s="273">
        <f>IF(OR(A135="",K135="",C135="",NOT(ISNUMBER($U$5))),"",ROUND(K135*C135*$U$5,2))</f>
        <v/>
      </c>
      <c r="M135" s="308" t="n"/>
      <c r="N135" s="273">
        <f>IF(OR(A135="",M135="",C135="",NOT(ISNUMBER($U$6))),"",ROUND(M135*C135*$U$6,2))</f>
        <v/>
      </c>
      <c r="O135" s="282">
        <f>IF(A135="","",SUM(E135,G135,I135,K135,M135))</f>
        <v/>
      </c>
      <c r="P135" s="273">
        <f>IF(A135="","",SUM(F135,H135,J135,L135,N135))</f>
        <v/>
      </c>
      <c r="Q135" s="284">
        <f>IF(A135="","",IF(O135&gt;B135,"DIVERGENCIA: CONSUMO MAIOR QUE CONTRATADO","OK"))</f>
        <v/>
      </c>
      <c r="R135" s="91" t="n"/>
      <c r="S135" s="91" t="n"/>
      <c r="T135" s="91" t="n"/>
      <c r="U135" s="91" t="n"/>
      <c r="V135" s="91" t="n"/>
      <c r="W135" s="91" t="n"/>
    </row>
    <row r="136">
      <c r="A136" s="307" t="n"/>
      <c r="B136" s="308" t="n"/>
      <c r="C136" s="309" t="n"/>
      <c r="D136" s="273">
        <f>IF(OR(A136="",B136="",C136=""),"",ROUND(B136*C136,2))</f>
        <v/>
      </c>
      <c r="E136" s="308" t="n"/>
      <c r="F136" s="273">
        <f>IF(OR(A136="",E136="",C136="",NOT(ISNUMBER($U$2))),"",ROUND(E136*C136*$U$2,2))</f>
        <v/>
      </c>
      <c r="G136" s="308" t="n"/>
      <c r="H136" s="273">
        <f>IF(OR(A136="",G136="",C136="",NOT(ISNUMBER($U$3))),"",ROUND(G136*C136*$U$3,2))</f>
        <v/>
      </c>
      <c r="I136" s="308" t="n"/>
      <c r="J136" s="273">
        <f>IF(OR(A136="",I136="",C136="",NOT(ISNUMBER($U$4))),"",ROUND(I136*C136*$U$4,2))</f>
        <v/>
      </c>
      <c r="K136" s="308" t="n"/>
      <c r="L136" s="273">
        <f>IF(OR(A136="",K136="",C136="",NOT(ISNUMBER($U$5))),"",ROUND(K136*C136*$U$5,2))</f>
        <v/>
      </c>
      <c r="M136" s="308" t="n"/>
      <c r="N136" s="273">
        <f>IF(OR(A136="",M136="",C136="",NOT(ISNUMBER($U$6))),"",ROUND(M136*C136*$U$6,2))</f>
        <v/>
      </c>
      <c r="O136" s="282">
        <f>IF(A136="","",SUM(E136,G136,I136,K136,M136))</f>
        <v/>
      </c>
      <c r="P136" s="273">
        <f>IF(A136="","",SUM(F136,H136,J136,L136,N136))</f>
        <v/>
      </c>
      <c r="Q136" s="284">
        <f>IF(A136="","",IF(O136&gt;B136,"DIVERGENCIA: CONSUMO MAIOR QUE CONTRATADO","OK"))</f>
        <v/>
      </c>
      <c r="R136" s="91" t="n"/>
      <c r="S136" s="91" t="n"/>
      <c r="T136" s="91" t="n"/>
      <c r="U136" s="91" t="n"/>
      <c r="V136" s="91" t="n"/>
      <c r="W136" s="91" t="n"/>
    </row>
    <row r="137">
      <c r="A137" s="307" t="n"/>
      <c r="B137" s="308" t="n"/>
      <c r="C137" s="309" t="n"/>
      <c r="D137" s="273">
        <f>IF(OR(A137="",B137="",C137=""),"",ROUND(B137*C137,2))</f>
        <v/>
      </c>
      <c r="E137" s="308" t="n"/>
      <c r="F137" s="273">
        <f>IF(OR(A137="",E137="",C137="",NOT(ISNUMBER($U$2))),"",ROUND(E137*C137*$U$2,2))</f>
        <v/>
      </c>
      <c r="G137" s="308" t="n"/>
      <c r="H137" s="273">
        <f>IF(OR(A137="",G137="",C137="",NOT(ISNUMBER($U$3))),"",ROUND(G137*C137*$U$3,2))</f>
        <v/>
      </c>
      <c r="I137" s="308" t="n"/>
      <c r="J137" s="273">
        <f>IF(OR(A137="",I137="",C137="",NOT(ISNUMBER($U$4))),"",ROUND(I137*C137*$U$4,2))</f>
        <v/>
      </c>
      <c r="K137" s="308" t="n"/>
      <c r="L137" s="273">
        <f>IF(OR(A137="",K137="",C137="",NOT(ISNUMBER($U$5))),"",ROUND(K137*C137*$U$5,2))</f>
        <v/>
      </c>
      <c r="M137" s="308" t="n"/>
      <c r="N137" s="273">
        <f>IF(OR(A137="",M137="",C137="",NOT(ISNUMBER($U$6))),"",ROUND(M137*C137*$U$6,2))</f>
        <v/>
      </c>
      <c r="O137" s="282">
        <f>IF(A137="","",SUM(E137,G137,I137,K137,M137))</f>
        <v/>
      </c>
      <c r="P137" s="273">
        <f>IF(A137="","",SUM(F137,H137,J137,L137,N137))</f>
        <v/>
      </c>
      <c r="Q137" s="284">
        <f>IF(A137="","",IF(O137&gt;B137,"DIVERGENCIA: CONSUMO MAIOR QUE CONTRATADO","OK"))</f>
        <v/>
      </c>
      <c r="R137" s="91" t="n"/>
      <c r="S137" s="91" t="n"/>
      <c r="T137" s="91" t="n"/>
      <c r="U137" s="91" t="n"/>
      <c r="V137" s="91" t="n"/>
      <c r="W137" s="91" t="n"/>
    </row>
    <row r="138">
      <c r="A138" s="307" t="n"/>
      <c r="B138" s="308" t="n"/>
      <c r="C138" s="309" t="n"/>
      <c r="D138" s="273">
        <f>IF(OR(A138="",B138="",C138=""),"",ROUND(B138*C138,2))</f>
        <v/>
      </c>
      <c r="E138" s="308" t="n"/>
      <c r="F138" s="273">
        <f>IF(OR(A138="",E138="",C138="",NOT(ISNUMBER($U$2))),"",ROUND(E138*C138*$U$2,2))</f>
        <v/>
      </c>
      <c r="G138" s="308" t="n"/>
      <c r="H138" s="273">
        <f>IF(OR(A138="",G138="",C138="",NOT(ISNUMBER($U$3))),"",ROUND(G138*C138*$U$3,2))</f>
        <v/>
      </c>
      <c r="I138" s="308" t="n"/>
      <c r="J138" s="273">
        <f>IF(OR(A138="",I138="",C138="",NOT(ISNUMBER($U$4))),"",ROUND(I138*C138*$U$4,2))</f>
        <v/>
      </c>
      <c r="K138" s="308" t="n"/>
      <c r="L138" s="273">
        <f>IF(OR(A138="",K138="",C138="",NOT(ISNUMBER($U$5))),"",ROUND(K138*C138*$U$5,2))</f>
        <v/>
      </c>
      <c r="M138" s="308" t="n"/>
      <c r="N138" s="273">
        <f>IF(OR(A138="",M138="",C138="",NOT(ISNUMBER($U$6))),"",ROUND(M138*C138*$U$6,2))</f>
        <v/>
      </c>
      <c r="O138" s="282">
        <f>IF(A138="","",SUM(E138,G138,I138,K138,M138))</f>
        <v/>
      </c>
      <c r="P138" s="273">
        <f>IF(A138="","",SUM(F138,H138,J138,L138,N138))</f>
        <v/>
      </c>
      <c r="Q138" s="284">
        <f>IF(A138="","",IF(O138&gt;B138,"DIVERGENCIA: CONSUMO MAIOR QUE CONTRATADO","OK"))</f>
        <v/>
      </c>
      <c r="R138" s="91" t="n"/>
      <c r="S138" s="91" t="n"/>
      <c r="T138" s="91" t="n"/>
      <c r="U138" s="91" t="n"/>
      <c r="V138" s="91" t="n"/>
      <c r="W138" s="91" t="n"/>
    </row>
    <row r="139">
      <c r="A139" s="307" t="n"/>
      <c r="B139" s="308" t="n"/>
      <c r="C139" s="309" t="n"/>
      <c r="D139" s="273">
        <f>IF(OR(A139="",B139="",C139=""),"",ROUND(B139*C139,2))</f>
        <v/>
      </c>
      <c r="E139" s="308" t="n"/>
      <c r="F139" s="273">
        <f>IF(OR(A139="",E139="",C139="",NOT(ISNUMBER($U$2))),"",ROUND(E139*C139*$U$2,2))</f>
        <v/>
      </c>
      <c r="G139" s="308" t="n"/>
      <c r="H139" s="273">
        <f>IF(OR(A139="",G139="",C139="",NOT(ISNUMBER($U$3))),"",ROUND(G139*C139*$U$3,2))</f>
        <v/>
      </c>
      <c r="I139" s="308" t="n"/>
      <c r="J139" s="273">
        <f>IF(OR(A139="",I139="",C139="",NOT(ISNUMBER($U$4))),"",ROUND(I139*C139*$U$4,2))</f>
        <v/>
      </c>
      <c r="K139" s="308" t="n"/>
      <c r="L139" s="273">
        <f>IF(OR(A139="",K139="",C139="",NOT(ISNUMBER($U$5))),"",ROUND(K139*C139*$U$5,2))</f>
        <v/>
      </c>
      <c r="M139" s="308" t="n"/>
      <c r="N139" s="273">
        <f>IF(OR(A139="",M139="",C139="",NOT(ISNUMBER($U$6))),"",ROUND(M139*C139*$U$6,2))</f>
        <v/>
      </c>
      <c r="O139" s="282">
        <f>IF(A139="","",SUM(E139,G139,I139,K139,M139))</f>
        <v/>
      </c>
      <c r="P139" s="273">
        <f>IF(A139="","",SUM(F139,H139,J139,L139,N139))</f>
        <v/>
      </c>
      <c r="Q139" s="284">
        <f>IF(A139="","",IF(O139&gt;B139,"DIVERGENCIA: CONSUMO MAIOR QUE CONTRATADO","OK"))</f>
        <v/>
      </c>
      <c r="R139" s="91" t="n"/>
      <c r="S139" s="91" t="n"/>
      <c r="T139" s="91" t="n"/>
      <c r="U139" s="91" t="n"/>
      <c r="V139" s="91" t="n"/>
      <c r="W139" s="91" t="n"/>
    </row>
    <row r="140">
      <c r="A140" s="307" t="n"/>
      <c r="B140" s="308" t="n"/>
      <c r="C140" s="309" t="n"/>
      <c r="D140" s="273">
        <f>IF(OR(A140="",B140="",C140=""),"",ROUND(B140*C140,2))</f>
        <v/>
      </c>
      <c r="E140" s="308" t="n"/>
      <c r="F140" s="273">
        <f>IF(OR(A140="",E140="",C140="",NOT(ISNUMBER($U$2))),"",ROUND(E140*C140*$U$2,2))</f>
        <v/>
      </c>
      <c r="G140" s="308" t="n"/>
      <c r="H140" s="273">
        <f>IF(OR(A140="",G140="",C140="",NOT(ISNUMBER($U$3))),"",ROUND(G140*C140*$U$3,2))</f>
        <v/>
      </c>
      <c r="I140" s="308" t="n"/>
      <c r="J140" s="273">
        <f>IF(OR(A140="",I140="",C140="",NOT(ISNUMBER($U$4))),"",ROUND(I140*C140*$U$4,2))</f>
        <v/>
      </c>
      <c r="K140" s="308" t="n"/>
      <c r="L140" s="273">
        <f>IF(OR(A140="",K140="",C140="",NOT(ISNUMBER($U$5))),"",ROUND(K140*C140*$U$5,2))</f>
        <v/>
      </c>
      <c r="M140" s="308" t="n"/>
      <c r="N140" s="273">
        <f>IF(OR(A140="",M140="",C140="",NOT(ISNUMBER($U$6))),"",ROUND(M140*C140*$U$6,2))</f>
        <v/>
      </c>
      <c r="O140" s="282">
        <f>IF(A140="","",SUM(E140,G140,I140,K140,M140))</f>
        <v/>
      </c>
      <c r="P140" s="273">
        <f>IF(A140="","",SUM(F140,H140,J140,L140,N140))</f>
        <v/>
      </c>
      <c r="Q140" s="284">
        <f>IF(A140="","",IF(O140&gt;B140,"DIVERGENCIA: CONSUMO MAIOR QUE CONTRATADO","OK"))</f>
        <v/>
      </c>
      <c r="R140" s="91" t="n"/>
      <c r="S140" s="91" t="n"/>
      <c r="T140" s="91" t="n"/>
      <c r="U140" s="91" t="n"/>
      <c r="V140" s="91" t="n"/>
      <c r="W140" s="91" t="n"/>
    </row>
    <row r="141">
      <c r="A141" s="307" t="n"/>
      <c r="B141" s="308" t="n"/>
      <c r="C141" s="309" t="n"/>
      <c r="D141" s="273">
        <f>IF(OR(A141="",B141="",C141=""),"",ROUND(B141*C141,2))</f>
        <v/>
      </c>
      <c r="E141" s="308" t="n"/>
      <c r="F141" s="273">
        <f>IF(OR(A141="",E141="",C141="",NOT(ISNUMBER($U$2))),"",ROUND(E141*C141*$U$2,2))</f>
        <v/>
      </c>
      <c r="G141" s="308" t="n"/>
      <c r="H141" s="273">
        <f>IF(OR(A141="",G141="",C141="",NOT(ISNUMBER($U$3))),"",ROUND(G141*C141*$U$3,2))</f>
        <v/>
      </c>
      <c r="I141" s="308" t="n"/>
      <c r="J141" s="273">
        <f>IF(OR(A141="",I141="",C141="",NOT(ISNUMBER($U$4))),"",ROUND(I141*C141*$U$4,2))</f>
        <v/>
      </c>
      <c r="K141" s="308" t="n"/>
      <c r="L141" s="273">
        <f>IF(OR(A141="",K141="",C141="",NOT(ISNUMBER($U$5))),"",ROUND(K141*C141*$U$5,2))</f>
        <v/>
      </c>
      <c r="M141" s="308" t="n"/>
      <c r="N141" s="273">
        <f>IF(OR(A141="",M141="",C141="",NOT(ISNUMBER($U$6))),"",ROUND(M141*C141*$U$6,2))</f>
        <v/>
      </c>
      <c r="O141" s="282">
        <f>IF(A141="","",SUM(E141,G141,I141,K141,M141))</f>
        <v/>
      </c>
      <c r="P141" s="273">
        <f>IF(A141="","",SUM(F141,H141,J141,L141,N141))</f>
        <v/>
      </c>
      <c r="Q141" s="284">
        <f>IF(A141="","",IF(O141&gt;B141,"DIVERGENCIA: CONSUMO MAIOR QUE CONTRATADO","OK"))</f>
        <v/>
      </c>
      <c r="R141" s="91" t="n"/>
      <c r="S141" s="91" t="n"/>
      <c r="T141" s="91" t="n"/>
      <c r="U141" s="91" t="n"/>
      <c r="V141" s="91" t="n"/>
      <c r="W141" s="91" t="n"/>
    </row>
    <row r="142">
      <c r="A142" s="307" t="n"/>
      <c r="B142" s="308" t="n"/>
      <c r="C142" s="309" t="n"/>
      <c r="D142" s="273">
        <f>IF(OR(A142="",B142="",C142=""),"",ROUND(B142*C142,2))</f>
        <v/>
      </c>
      <c r="E142" s="308" t="n"/>
      <c r="F142" s="273">
        <f>IF(OR(A142="",E142="",C142="",NOT(ISNUMBER($U$2))),"",ROUND(E142*C142*$U$2,2))</f>
        <v/>
      </c>
      <c r="G142" s="308" t="n"/>
      <c r="H142" s="273">
        <f>IF(OR(A142="",G142="",C142="",NOT(ISNUMBER($U$3))),"",ROUND(G142*C142*$U$3,2))</f>
        <v/>
      </c>
      <c r="I142" s="308" t="n"/>
      <c r="J142" s="273">
        <f>IF(OR(A142="",I142="",C142="",NOT(ISNUMBER($U$4))),"",ROUND(I142*C142*$U$4,2))</f>
        <v/>
      </c>
      <c r="K142" s="308" t="n"/>
      <c r="L142" s="273">
        <f>IF(OR(A142="",K142="",C142="",NOT(ISNUMBER($U$5))),"",ROUND(K142*C142*$U$5,2))</f>
        <v/>
      </c>
      <c r="M142" s="308" t="n"/>
      <c r="N142" s="273">
        <f>IF(OR(A142="",M142="",C142="",NOT(ISNUMBER($U$6))),"",ROUND(M142*C142*$U$6,2))</f>
        <v/>
      </c>
      <c r="O142" s="282">
        <f>IF(A142="","",SUM(E142,G142,I142,K142,M142))</f>
        <v/>
      </c>
      <c r="P142" s="273">
        <f>IF(A142="","",SUM(F142,H142,J142,L142,N142))</f>
        <v/>
      </c>
      <c r="Q142" s="284">
        <f>IF(A142="","",IF(O142&gt;B142,"DIVERGENCIA: CONSUMO MAIOR QUE CONTRATADO","OK"))</f>
        <v/>
      </c>
      <c r="R142" s="91" t="n"/>
      <c r="S142" s="91" t="n"/>
      <c r="T142" s="91" t="n"/>
      <c r="U142" s="91" t="n"/>
      <c r="V142" s="91" t="n"/>
      <c r="W142" s="91" t="n"/>
    </row>
    <row r="143">
      <c r="A143" s="307" t="n"/>
      <c r="B143" s="308" t="n"/>
      <c r="C143" s="309" t="n"/>
      <c r="D143" s="273">
        <f>IF(OR(A143="",B143="",C143=""),"",ROUND(B143*C143,2))</f>
        <v/>
      </c>
      <c r="E143" s="308" t="n"/>
      <c r="F143" s="273">
        <f>IF(OR(A143="",E143="",C143="",NOT(ISNUMBER($U$2))),"",ROUND(E143*C143*$U$2,2))</f>
        <v/>
      </c>
      <c r="G143" s="308" t="n"/>
      <c r="H143" s="273">
        <f>IF(OR(A143="",G143="",C143="",NOT(ISNUMBER($U$3))),"",ROUND(G143*C143*$U$3,2))</f>
        <v/>
      </c>
      <c r="I143" s="308" t="n"/>
      <c r="J143" s="273">
        <f>IF(OR(A143="",I143="",C143="",NOT(ISNUMBER($U$4))),"",ROUND(I143*C143*$U$4,2))</f>
        <v/>
      </c>
      <c r="K143" s="308" t="n"/>
      <c r="L143" s="273">
        <f>IF(OR(A143="",K143="",C143="",NOT(ISNUMBER($U$5))),"",ROUND(K143*C143*$U$5,2))</f>
        <v/>
      </c>
      <c r="M143" s="308" t="n"/>
      <c r="N143" s="273">
        <f>IF(OR(A143="",M143="",C143="",NOT(ISNUMBER($U$6))),"",ROUND(M143*C143*$U$6,2))</f>
        <v/>
      </c>
      <c r="O143" s="282">
        <f>IF(A143="","",SUM(E143,G143,I143,K143,M143))</f>
        <v/>
      </c>
      <c r="P143" s="273">
        <f>IF(A143="","",SUM(F143,H143,J143,L143,N143))</f>
        <v/>
      </c>
      <c r="Q143" s="284">
        <f>IF(A143="","",IF(O143&gt;B143,"DIVERGENCIA: CONSUMO MAIOR QUE CONTRATADO","OK"))</f>
        <v/>
      </c>
      <c r="R143" s="91" t="n"/>
      <c r="S143" s="91" t="n"/>
      <c r="T143" s="91" t="n"/>
      <c r="U143" s="91" t="n"/>
      <c r="V143" s="91" t="n"/>
      <c r="W143" s="91" t="n"/>
    </row>
    <row r="144">
      <c r="A144" s="307" t="n"/>
      <c r="B144" s="308" t="n"/>
      <c r="C144" s="309" t="n"/>
      <c r="D144" s="273">
        <f>IF(OR(A144="",B144="",C144=""),"",ROUND(B144*C144,2))</f>
        <v/>
      </c>
      <c r="E144" s="308" t="n"/>
      <c r="F144" s="273">
        <f>IF(OR(A144="",E144="",C144="",NOT(ISNUMBER($U$2))),"",ROUND(E144*C144*$U$2,2))</f>
        <v/>
      </c>
      <c r="G144" s="308" t="n"/>
      <c r="H144" s="273">
        <f>IF(OR(A144="",G144="",C144="",NOT(ISNUMBER($U$3))),"",ROUND(G144*C144*$U$3,2))</f>
        <v/>
      </c>
      <c r="I144" s="308" t="n"/>
      <c r="J144" s="273">
        <f>IF(OR(A144="",I144="",C144="",NOT(ISNUMBER($U$4))),"",ROUND(I144*C144*$U$4,2))</f>
        <v/>
      </c>
      <c r="K144" s="308" t="n"/>
      <c r="L144" s="273">
        <f>IF(OR(A144="",K144="",C144="",NOT(ISNUMBER($U$5))),"",ROUND(K144*C144*$U$5,2))</f>
        <v/>
      </c>
      <c r="M144" s="308" t="n"/>
      <c r="N144" s="273">
        <f>IF(OR(A144="",M144="",C144="",NOT(ISNUMBER($U$6))),"",ROUND(M144*C144*$U$6,2))</f>
        <v/>
      </c>
      <c r="O144" s="282">
        <f>IF(A144="","",SUM(E144,G144,I144,K144,M144))</f>
        <v/>
      </c>
      <c r="P144" s="273">
        <f>IF(A144="","",SUM(F144,H144,J144,L144,N144))</f>
        <v/>
      </c>
      <c r="Q144" s="284">
        <f>IF(A144="","",IF(O144&gt;B144,"DIVERGENCIA: CONSUMO MAIOR QUE CONTRATADO","OK"))</f>
        <v/>
      </c>
      <c r="R144" s="91" t="n"/>
      <c r="S144" s="91" t="n"/>
      <c r="T144" s="91" t="n"/>
      <c r="U144" s="91" t="n"/>
      <c r="V144" s="91" t="n"/>
      <c r="W144" s="91" t="n"/>
    </row>
    <row r="145">
      <c r="A145" s="307" t="n"/>
      <c r="B145" s="308" t="n"/>
      <c r="C145" s="309" t="n"/>
      <c r="D145" s="273">
        <f>IF(OR(A145="",B145="",C145=""),"",ROUND(B145*C145,2))</f>
        <v/>
      </c>
      <c r="E145" s="308" t="n"/>
      <c r="F145" s="273">
        <f>IF(OR(A145="",E145="",C145="",NOT(ISNUMBER($U$2))),"",ROUND(E145*C145*$U$2,2))</f>
        <v/>
      </c>
      <c r="G145" s="308" t="n"/>
      <c r="H145" s="273">
        <f>IF(OR(A145="",G145="",C145="",NOT(ISNUMBER($U$3))),"",ROUND(G145*C145*$U$3,2))</f>
        <v/>
      </c>
      <c r="I145" s="308" t="n"/>
      <c r="J145" s="273">
        <f>IF(OR(A145="",I145="",C145="",NOT(ISNUMBER($U$4))),"",ROUND(I145*C145*$U$4,2))</f>
        <v/>
      </c>
      <c r="K145" s="308" t="n"/>
      <c r="L145" s="273">
        <f>IF(OR(A145="",K145="",C145="",NOT(ISNUMBER($U$5))),"",ROUND(K145*C145*$U$5,2))</f>
        <v/>
      </c>
      <c r="M145" s="308" t="n"/>
      <c r="N145" s="273">
        <f>IF(OR(A145="",M145="",C145="",NOT(ISNUMBER($U$6))),"",ROUND(M145*C145*$U$6,2))</f>
        <v/>
      </c>
      <c r="O145" s="282">
        <f>IF(A145="","",SUM(E145,G145,I145,K145,M145))</f>
        <v/>
      </c>
      <c r="P145" s="273">
        <f>IF(A145="","",SUM(F145,H145,J145,L145,N145))</f>
        <v/>
      </c>
      <c r="Q145" s="284">
        <f>IF(A145="","",IF(O145&gt;B145,"DIVERGENCIA: CONSUMO MAIOR QUE CONTRATADO","OK"))</f>
        <v/>
      </c>
      <c r="R145" s="91" t="n"/>
      <c r="S145" s="91" t="n"/>
      <c r="T145" s="91" t="n"/>
      <c r="U145" s="91" t="n"/>
      <c r="V145" s="91" t="n"/>
      <c r="W145" s="91" t="n"/>
    </row>
    <row r="146">
      <c r="A146" s="307" t="n"/>
      <c r="B146" s="308" t="n"/>
      <c r="C146" s="309" t="n"/>
      <c r="D146" s="273">
        <f>IF(OR(A146="",B146="",C146=""),"",ROUND(B146*C146,2))</f>
        <v/>
      </c>
      <c r="E146" s="308" t="n"/>
      <c r="F146" s="273">
        <f>IF(OR(A146="",E146="",C146="",NOT(ISNUMBER($U$2))),"",ROUND(E146*C146*$U$2,2))</f>
        <v/>
      </c>
      <c r="G146" s="308" t="n"/>
      <c r="H146" s="273">
        <f>IF(OR(A146="",G146="",C146="",NOT(ISNUMBER($U$3))),"",ROUND(G146*C146*$U$3,2))</f>
        <v/>
      </c>
      <c r="I146" s="308" t="n"/>
      <c r="J146" s="273">
        <f>IF(OR(A146="",I146="",C146="",NOT(ISNUMBER($U$4))),"",ROUND(I146*C146*$U$4,2))</f>
        <v/>
      </c>
      <c r="K146" s="308" t="n"/>
      <c r="L146" s="273">
        <f>IF(OR(A146="",K146="",C146="",NOT(ISNUMBER($U$5))),"",ROUND(K146*C146*$U$5,2))</f>
        <v/>
      </c>
      <c r="M146" s="308" t="n"/>
      <c r="N146" s="273">
        <f>IF(OR(A146="",M146="",C146="",NOT(ISNUMBER($U$6))),"",ROUND(M146*C146*$U$6,2))</f>
        <v/>
      </c>
      <c r="O146" s="282">
        <f>IF(A146="","",SUM(E146,G146,I146,K146,M146))</f>
        <v/>
      </c>
      <c r="P146" s="273">
        <f>IF(A146="","",SUM(F146,H146,J146,L146,N146))</f>
        <v/>
      </c>
      <c r="Q146" s="284">
        <f>IF(A146="","",IF(O146&gt;B146,"DIVERGENCIA: CONSUMO MAIOR QUE CONTRATADO","OK"))</f>
        <v/>
      </c>
      <c r="R146" s="91" t="n"/>
      <c r="S146" s="91" t="n"/>
      <c r="T146" s="91" t="n"/>
      <c r="U146" s="91" t="n"/>
      <c r="V146" s="91" t="n"/>
      <c r="W146" s="91" t="n"/>
    </row>
    <row r="147">
      <c r="A147" s="307" t="n"/>
      <c r="B147" s="308" t="n"/>
      <c r="C147" s="309" t="n"/>
      <c r="D147" s="273">
        <f>IF(OR(A147="",B147="",C147=""),"",ROUND(B147*C147,2))</f>
        <v/>
      </c>
      <c r="E147" s="308" t="n"/>
      <c r="F147" s="273">
        <f>IF(OR(A147="",E147="",C147="",NOT(ISNUMBER($U$2))),"",ROUND(E147*C147*$U$2,2))</f>
        <v/>
      </c>
      <c r="G147" s="308" t="n"/>
      <c r="H147" s="273">
        <f>IF(OR(A147="",G147="",C147="",NOT(ISNUMBER($U$3))),"",ROUND(G147*C147*$U$3,2))</f>
        <v/>
      </c>
      <c r="I147" s="308" t="n"/>
      <c r="J147" s="273">
        <f>IF(OR(A147="",I147="",C147="",NOT(ISNUMBER($U$4))),"",ROUND(I147*C147*$U$4,2))</f>
        <v/>
      </c>
      <c r="K147" s="308" t="n"/>
      <c r="L147" s="273">
        <f>IF(OR(A147="",K147="",C147="",NOT(ISNUMBER($U$5))),"",ROUND(K147*C147*$U$5,2))</f>
        <v/>
      </c>
      <c r="M147" s="308" t="n"/>
      <c r="N147" s="273">
        <f>IF(OR(A147="",M147="",C147="",NOT(ISNUMBER($U$6))),"",ROUND(M147*C147*$U$6,2))</f>
        <v/>
      </c>
      <c r="O147" s="282">
        <f>IF(A147="","",SUM(E147,G147,I147,K147,M147))</f>
        <v/>
      </c>
      <c r="P147" s="273">
        <f>IF(A147="","",SUM(F147,H147,J147,L147,N147))</f>
        <v/>
      </c>
      <c r="Q147" s="284">
        <f>IF(A147="","",IF(O147&gt;B147,"DIVERGENCIA: CONSUMO MAIOR QUE CONTRATADO","OK"))</f>
        <v/>
      </c>
      <c r="R147" s="91" t="n"/>
      <c r="S147" s="91" t="n"/>
      <c r="T147" s="91" t="n"/>
      <c r="U147" s="91" t="n"/>
      <c r="V147" s="91" t="n"/>
      <c r="W147" s="91" t="n"/>
    </row>
    <row r="148">
      <c r="A148" s="307" t="n"/>
      <c r="B148" s="308" t="n"/>
      <c r="C148" s="309" t="n"/>
      <c r="D148" s="273">
        <f>IF(OR(A148="",B148="",C148=""),"",ROUND(B148*C148,2))</f>
        <v/>
      </c>
      <c r="E148" s="308" t="n"/>
      <c r="F148" s="273">
        <f>IF(OR(A148="",E148="",C148="",NOT(ISNUMBER($U$2))),"",ROUND(E148*C148*$U$2,2))</f>
        <v/>
      </c>
      <c r="G148" s="308" t="n"/>
      <c r="H148" s="273">
        <f>IF(OR(A148="",G148="",C148="",NOT(ISNUMBER($U$3))),"",ROUND(G148*C148*$U$3,2))</f>
        <v/>
      </c>
      <c r="I148" s="308" t="n"/>
      <c r="J148" s="273">
        <f>IF(OR(A148="",I148="",C148="",NOT(ISNUMBER($U$4))),"",ROUND(I148*C148*$U$4,2))</f>
        <v/>
      </c>
      <c r="K148" s="308" t="n"/>
      <c r="L148" s="273">
        <f>IF(OR(A148="",K148="",C148="",NOT(ISNUMBER($U$5))),"",ROUND(K148*C148*$U$5,2))</f>
        <v/>
      </c>
      <c r="M148" s="308" t="n"/>
      <c r="N148" s="273">
        <f>IF(OR(A148="",M148="",C148="",NOT(ISNUMBER($U$6))),"",ROUND(M148*C148*$U$6,2))</f>
        <v/>
      </c>
      <c r="O148" s="282">
        <f>IF(A148="","",SUM(E148,G148,I148,K148,M148))</f>
        <v/>
      </c>
      <c r="P148" s="273">
        <f>IF(A148="","",SUM(F148,H148,J148,L148,N148))</f>
        <v/>
      </c>
      <c r="Q148" s="284">
        <f>IF(A148="","",IF(O148&gt;B148,"DIVERGENCIA: CONSUMO MAIOR QUE CONTRATADO","OK"))</f>
        <v/>
      </c>
      <c r="R148" s="91" t="n"/>
      <c r="S148" s="91" t="n"/>
      <c r="T148" s="91" t="n"/>
      <c r="U148" s="91" t="n"/>
      <c r="V148" s="91" t="n"/>
      <c r="W148" s="91" t="n"/>
    </row>
    <row r="149">
      <c r="A149" s="307" t="n"/>
      <c r="B149" s="308" t="n"/>
      <c r="C149" s="309" t="n"/>
      <c r="D149" s="273">
        <f>IF(OR(A149="",B149="",C149=""),"",ROUND(B149*C149,2))</f>
        <v/>
      </c>
      <c r="E149" s="308" t="n"/>
      <c r="F149" s="273">
        <f>IF(OR(A149="",E149="",C149="",NOT(ISNUMBER($U$2))),"",ROUND(E149*C149*$U$2,2))</f>
        <v/>
      </c>
      <c r="G149" s="308" t="n"/>
      <c r="H149" s="273">
        <f>IF(OR(A149="",G149="",C149="",NOT(ISNUMBER($U$3))),"",ROUND(G149*C149*$U$3,2))</f>
        <v/>
      </c>
      <c r="I149" s="308" t="n"/>
      <c r="J149" s="273">
        <f>IF(OR(A149="",I149="",C149="",NOT(ISNUMBER($U$4))),"",ROUND(I149*C149*$U$4,2))</f>
        <v/>
      </c>
      <c r="K149" s="308" t="n"/>
      <c r="L149" s="273">
        <f>IF(OR(A149="",K149="",C149="",NOT(ISNUMBER($U$5))),"",ROUND(K149*C149*$U$5,2))</f>
        <v/>
      </c>
      <c r="M149" s="308" t="n"/>
      <c r="N149" s="273">
        <f>IF(OR(A149="",M149="",C149="",NOT(ISNUMBER($U$6))),"",ROUND(M149*C149*$U$6,2))</f>
        <v/>
      </c>
      <c r="O149" s="282">
        <f>IF(A149="","",SUM(E149,G149,I149,K149,M149))</f>
        <v/>
      </c>
      <c r="P149" s="273">
        <f>IF(A149="","",SUM(F149,H149,J149,L149,N149))</f>
        <v/>
      </c>
      <c r="Q149" s="284">
        <f>IF(A149="","",IF(O149&gt;B149,"DIVERGENCIA: CONSUMO MAIOR QUE CONTRATADO","OK"))</f>
        <v/>
      </c>
      <c r="R149" s="91" t="n"/>
      <c r="S149" s="91" t="n"/>
      <c r="T149" s="91" t="n"/>
      <c r="U149" s="91" t="n"/>
      <c r="V149" s="91" t="n"/>
      <c r="W149" s="91" t="n"/>
    </row>
    <row r="150">
      <c r="A150" s="307" t="n"/>
      <c r="B150" s="308" t="n"/>
      <c r="C150" s="309" t="n"/>
      <c r="D150" s="273">
        <f>IF(OR(A150="",B150="",C150=""),"",ROUND(B150*C150,2))</f>
        <v/>
      </c>
      <c r="E150" s="308" t="n"/>
      <c r="F150" s="273">
        <f>IF(OR(A150="",E150="",C150="",NOT(ISNUMBER($U$2))),"",ROUND(E150*C150*$U$2,2))</f>
        <v/>
      </c>
      <c r="G150" s="308" t="n"/>
      <c r="H150" s="273">
        <f>IF(OR(A150="",G150="",C150="",NOT(ISNUMBER($U$3))),"",ROUND(G150*C150*$U$3,2))</f>
        <v/>
      </c>
      <c r="I150" s="308" t="n"/>
      <c r="J150" s="273">
        <f>IF(OR(A150="",I150="",C150="",NOT(ISNUMBER($U$4))),"",ROUND(I150*C150*$U$4,2))</f>
        <v/>
      </c>
      <c r="K150" s="308" t="n"/>
      <c r="L150" s="273">
        <f>IF(OR(A150="",K150="",C150="",NOT(ISNUMBER($U$5))),"",ROUND(K150*C150*$U$5,2))</f>
        <v/>
      </c>
      <c r="M150" s="308" t="n"/>
      <c r="N150" s="273">
        <f>IF(OR(A150="",M150="",C150="",NOT(ISNUMBER($U$6))),"",ROUND(M150*C150*$U$6,2))</f>
        <v/>
      </c>
      <c r="O150" s="282">
        <f>IF(A150="","",SUM(E150,G150,I150,K150,M150))</f>
        <v/>
      </c>
      <c r="P150" s="273">
        <f>IF(A150="","",SUM(F150,H150,J150,L150,N150))</f>
        <v/>
      </c>
      <c r="Q150" s="284">
        <f>IF(A150="","",IF(O150&gt;B150,"DIVERGENCIA: CONSUMO MAIOR QUE CONTRATADO","OK"))</f>
        <v/>
      </c>
      <c r="R150" s="91" t="n"/>
      <c r="S150" s="91" t="n"/>
      <c r="T150" s="91" t="n"/>
      <c r="U150" s="91" t="n"/>
      <c r="V150" s="91" t="n"/>
      <c r="W150" s="91" t="n"/>
    </row>
    <row r="151">
      <c r="A151" s="307" t="n"/>
      <c r="B151" s="308" t="n"/>
      <c r="C151" s="309" t="n"/>
      <c r="D151" s="273">
        <f>IF(OR(A151="",B151="",C151=""),"",ROUND(B151*C151,2))</f>
        <v/>
      </c>
      <c r="E151" s="308" t="n"/>
      <c r="F151" s="273">
        <f>IF(OR(A151="",E151="",C151="",NOT(ISNUMBER($U$2))),"",ROUND(E151*C151*$U$2,2))</f>
        <v/>
      </c>
      <c r="G151" s="308" t="n"/>
      <c r="H151" s="273">
        <f>IF(OR(A151="",G151="",C151="",NOT(ISNUMBER($U$3))),"",ROUND(G151*C151*$U$3,2))</f>
        <v/>
      </c>
      <c r="I151" s="308" t="n"/>
      <c r="J151" s="273">
        <f>IF(OR(A151="",I151="",C151="",NOT(ISNUMBER($U$4))),"",ROUND(I151*C151*$U$4,2))</f>
        <v/>
      </c>
      <c r="K151" s="308" t="n"/>
      <c r="L151" s="273">
        <f>IF(OR(A151="",K151="",C151="",NOT(ISNUMBER($U$5))),"",ROUND(K151*C151*$U$5,2))</f>
        <v/>
      </c>
      <c r="M151" s="308" t="n"/>
      <c r="N151" s="273">
        <f>IF(OR(A151="",M151="",C151="",NOT(ISNUMBER($U$6))),"",ROUND(M151*C151*$U$6,2))</f>
        <v/>
      </c>
      <c r="O151" s="282">
        <f>IF(A151="","",SUM(E151,G151,I151,K151,M151))</f>
        <v/>
      </c>
      <c r="P151" s="273">
        <f>IF(A151="","",SUM(F151,H151,J151,L151,N151))</f>
        <v/>
      </c>
      <c r="Q151" s="284">
        <f>IF(A151="","",IF(O151&gt;B151,"DIVERGENCIA: CONSUMO MAIOR QUE CONTRATADO","OK"))</f>
        <v/>
      </c>
      <c r="R151" s="91" t="n"/>
      <c r="S151" s="91" t="n"/>
      <c r="T151" s="91" t="n"/>
      <c r="U151" s="91" t="n"/>
      <c r="V151" s="91" t="n"/>
      <c r="W151" s="91" t="n"/>
    </row>
    <row r="152">
      <c r="A152" s="307" t="n"/>
      <c r="B152" s="308" t="n"/>
      <c r="C152" s="309" t="n"/>
      <c r="D152" s="273">
        <f>IF(OR(A152="",B152="",C152=""),"",ROUND(B152*C152,2))</f>
        <v/>
      </c>
      <c r="E152" s="308" t="n"/>
      <c r="F152" s="273">
        <f>IF(OR(A152="",E152="",C152="",NOT(ISNUMBER($U$2))),"",ROUND(E152*C152*$U$2,2))</f>
        <v/>
      </c>
      <c r="G152" s="308" t="n"/>
      <c r="H152" s="273">
        <f>IF(OR(A152="",G152="",C152="",NOT(ISNUMBER($U$3))),"",ROUND(G152*C152*$U$3,2))</f>
        <v/>
      </c>
      <c r="I152" s="308" t="n"/>
      <c r="J152" s="273">
        <f>IF(OR(A152="",I152="",C152="",NOT(ISNUMBER($U$4))),"",ROUND(I152*C152*$U$4,2))</f>
        <v/>
      </c>
      <c r="K152" s="308" t="n"/>
      <c r="L152" s="273">
        <f>IF(OR(A152="",K152="",C152="",NOT(ISNUMBER($U$5))),"",ROUND(K152*C152*$U$5,2))</f>
        <v/>
      </c>
      <c r="M152" s="308" t="n"/>
      <c r="N152" s="273">
        <f>IF(OR(A152="",M152="",C152="",NOT(ISNUMBER($U$6))),"",ROUND(M152*C152*$U$6,2))</f>
        <v/>
      </c>
      <c r="O152" s="282">
        <f>IF(A152="","",SUM(E152,G152,I152,K152,M152))</f>
        <v/>
      </c>
      <c r="P152" s="273">
        <f>IF(A152="","",SUM(F152,H152,J152,L152,N152))</f>
        <v/>
      </c>
      <c r="Q152" s="284">
        <f>IF(A152="","",IF(O152&gt;B152,"DIVERGENCIA: CONSUMO MAIOR QUE CONTRATADO","OK"))</f>
        <v/>
      </c>
      <c r="R152" s="91" t="n"/>
      <c r="S152" s="91" t="n"/>
      <c r="T152" s="91" t="n"/>
      <c r="U152" s="91" t="n"/>
      <c r="V152" s="91" t="n"/>
      <c r="W152" s="91" t="n"/>
    </row>
    <row r="153">
      <c r="A153" s="307" t="n"/>
      <c r="B153" s="308" t="n"/>
      <c r="C153" s="309" t="n"/>
      <c r="D153" s="273">
        <f>IF(OR(A153="",B153="",C153=""),"",ROUND(B153*C153,2))</f>
        <v/>
      </c>
      <c r="E153" s="308" t="n"/>
      <c r="F153" s="273">
        <f>IF(OR(A153="",E153="",C153="",NOT(ISNUMBER($U$2))),"",ROUND(E153*C153*$U$2,2))</f>
        <v/>
      </c>
      <c r="G153" s="308" t="n"/>
      <c r="H153" s="273">
        <f>IF(OR(A153="",G153="",C153="",NOT(ISNUMBER($U$3))),"",ROUND(G153*C153*$U$3,2))</f>
        <v/>
      </c>
      <c r="I153" s="308" t="n"/>
      <c r="J153" s="273">
        <f>IF(OR(A153="",I153="",C153="",NOT(ISNUMBER($U$4))),"",ROUND(I153*C153*$U$4,2))</f>
        <v/>
      </c>
      <c r="K153" s="308" t="n"/>
      <c r="L153" s="273">
        <f>IF(OR(A153="",K153="",C153="",NOT(ISNUMBER($U$5))),"",ROUND(K153*C153*$U$5,2))</f>
        <v/>
      </c>
      <c r="M153" s="308" t="n"/>
      <c r="N153" s="273">
        <f>IF(OR(A153="",M153="",C153="",NOT(ISNUMBER($U$6))),"",ROUND(M153*C153*$U$6,2))</f>
        <v/>
      </c>
      <c r="O153" s="282">
        <f>IF(A153="","",SUM(E153,G153,I153,K153,M153))</f>
        <v/>
      </c>
      <c r="P153" s="273">
        <f>IF(A153="","",SUM(F153,H153,J153,L153,N153))</f>
        <v/>
      </c>
      <c r="Q153" s="284">
        <f>IF(A153="","",IF(O153&gt;B153,"DIVERGENCIA: CONSUMO MAIOR QUE CONTRATADO","OK"))</f>
        <v/>
      </c>
      <c r="R153" s="91" t="n"/>
      <c r="S153" s="91" t="n"/>
      <c r="T153" s="91" t="n"/>
      <c r="U153" s="91" t="n"/>
      <c r="V153" s="91" t="n"/>
      <c r="W153" s="91" t="n"/>
    </row>
    <row r="154">
      <c r="A154" s="307" t="n"/>
      <c r="B154" s="308" t="n"/>
      <c r="C154" s="309" t="n"/>
      <c r="D154" s="273">
        <f>IF(OR(A154="",B154="",C154=""),"",ROUND(B154*C154,2))</f>
        <v/>
      </c>
      <c r="E154" s="308" t="n"/>
      <c r="F154" s="273">
        <f>IF(OR(A154="",E154="",C154="",NOT(ISNUMBER($U$2))),"",ROUND(E154*C154*$U$2,2))</f>
        <v/>
      </c>
      <c r="G154" s="308" t="n"/>
      <c r="H154" s="273">
        <f>IF(OR(A154="",G154="",C154="",NOT(ISNUMBER($U$3))),"",ROUND(G154*C154*$U$3,2))</f>
        <v/>
      </c>
      <c r="I154" s="308" t="n"/>
      <c r="J154" s="273">
        <f>IF(OR(A154="",I154="",C154="",NOT(ISNUMBER($U$4))),"",ROUND(I154*C154*$U$4,2))</f>
        <v/>
      </c>
      <c r="K154" s="308" t="n"/>
      <c r="L154" s="273">
        <f>IF(OR(A154="",K154="",C154="",NOT(ISNUMBER($U$5))),"",ROUND(K154*C154*$U$5,2))</f>
        <v/>
      </c>
      <c r="M154" s="308" t="n"/>
      <c r="N154" s="273">
        <f>IF(OR(A154="",M154="",C154="",NOT(ISNUMBER($U$6))),"",ROUND(M154*C154*$U$6,2))</f>
        <v/>
      </c>
      <c r="O154" s="282">
        <f>IF(A154="","",SUM(E154,G154,I154,K154,M154))</f>
        <v/>
      </c>
      <c r="P154" s="273">
        <f>IF(A154="","",SUM(F154,H154,J154,L154,N154))</f>
        <v/>
      </c>
      <c r="Q154" s="284">
        <f>IF(A154="","",IF(O154&gt;B154,"DIVERGENCIA: CONSUMO MAIOR QUE CONTRATADO","OK"))</f>
        <v/>
      </c>
      <c r="R154" s="91" t="n"/>
      <c r="S154" s="91" t="n"/>
      <c r="T154" s="91" t="n"/>
      <c r="U154" s="91" t="n"/>
      <c r="V154" s="91" t="n"/>
      <c r="W154" s="91" t="n"/>
    </row>
    <row r="155">
      <c r="A155" s="307" t="n"/>
      <c r="B155" s="308" t="n"/>
      <c r="C155" s="309" t="n"/>
      <c r="D155" s="273">
        <f>IF(OR(A155="",B155="",C155=""),"",ROUND(B155*C155,2))</f>
        <v/>
      </c>
      <c r="E155" s="308" t="n"/>
      <c r="F155" s="273">
        <f>IF(OR(A155="",E155="",C155="",NOT(ISNUMBER($U$2))),"",ROUND(E155*C155*$U$2,2))</f>
        <v/>
      </c>
      <c r="G155" s="308" t="n"/>
      <c r="H155" s="273">
        <f>IF(OR(A155="",G155="",C155="",NOT(ISNUMBER($U$3))),"",ROUND(G155*C155*$U$3,2))</f>
        <v/>
      </c>
      <c r="I155" s="308" t="n"/>
      <c r="J155" s="273">
        <f>IF(OR(A155="",I155="",C155="",NOT(ISNUMBER($U$4))),"",ROUND(I155*C155*$U$4,2))</f>
        <v/>
      </c>
      <c r="K155" s="308" t="n"/>
      <c r="L155" s="273">
        <f>IF(OR(A155="",K155="",C155="",NOT(ISNUMBER($U$5))),"",ROUND(K155*C155*$U$5,2))</f>
        <v/>
      </c>
      <c r="M155" s="308" t="n"/>
      <c r="N155" s="273">
        <f>IF(OR(A155="",M155="",C155="",NOT(ISNUMBER($U$6))),"",ROUND(M155*C155*$U$6,2))</f>
        <v/>
      </c>
      <c r="O155" s="282">
        <f>IF(A155="","",SUM(E155,G155,I155,K155,M155))</f>
        <v/>
      </c>
      <c r="P155" s="273">
        <f>IF(A155="","",SUM(F155,H155,J155,L155,N155))</f>
        <v/>
      </c>
      <c r="Q155" s="284">
        <f>IF(A155="","",IF(O155&gt;B155,"DIVERGENCIA: CONSUMO MAIOR QUE CONTRATADO","OK"))</f>
        <v/>
      </c>
      <c r="R155" s="91" t="n"/>
      <c r="S155" s="91" t="n"/>
      <c r="T155" s="91" t="n"/>
      <c r="U155" s="91" t="n"/>
      <c r="V155" s="91" t="n"/>
      <c r="W155" s="91" t="n"/>
    </row>
    <row r="156">
      <c r="A156" s="307" t="n"/>
      <c r="B156" s="308" t="n"/>
      <c r="C156" s="309" t="n"/>
      <c r="D156" s="273">
        <f>IF(OR(A156="",B156="",C156=""),"",ROUND(B156*C156,2))</f>
        <v/>
      </c>
      <c r="E156" s="308" t="n"/>
      <c r="F156" s="273">
        <f>IF(OR(A156="",E156="",C156="",NOT(ISNUMBER($U$2))),"",ROUND(E156*C156*$U$2,2))</f>
        <v/>
      </c>
      <c r="G156" s="308" t="n"/>
      <c r="H156" s="273">
        <f>IF(OR(A156="",G156="",C156="",NOT(ISNUMBER($U$3))),"",ROUND(G156*C156*$U$3,2))</f>
        <v/>
      </c>
      <c r="I156" s="308" t="n"/>
      <c r="J156" s="273">
        <f>IF(OR(A156="",I156="",C156="",NOT(ISNUMBER($U$4))),"",ROUND(I156*C156*$U$4,2))</f>
        <v/>
      </c>
      <c r="K156" s="308" t="n"/>
      <c r="L156" s="273">
        <f>IF(OR(A156="",K156="",C156="",NOT(ISNUMBER($U$5))),"",ROUND(K156*C156*$U$5,2))</f>
        <v/>
      </c>
      <c r="M156" s="308" t="n"/>
      <c r="N156" s="273">
        <f>IF(OR(A156="",M156="",C156="",NOT(ISNUMBER($U$6))),"",ROUND(M156*C156*$U$6,2))</f>
        <v/>
      </c>
      <c r="O156" s="282">
        <f>IF(A156="","",SUM(E156,G156,I156,K156,M156))</f>
        <v/>
      </c>
      <c r="P156" s="273">
        <f>IF(A156="","",SUM(F156,H156,J156,L156,N156))</f>
        <v/>
      </c>
      <c r="Q156" s="284">
        <f>IF(A156="","",IF(O156&gt;B156,"DIVERGENCIA: CONSUMO MAIOR QUE CONTRATADO","OK"))</f>
        <v/>
      </c>
      <c r="R156" s="91" t="n"/>
      <c r="S156" s="91" t="n"/>
      <c r="T156" s="91" t="n"/>
      <c r="U156" s="91" t="n"/>
      <c r="V156" s="91" t="n"/>
      <c r="W156" s="91" t="n"/>
    </row>
    <row r="157">
      <c r="A157" s="307" t="n"/>
      <c r="B157" s="308" t="n"/>
      <c r="C157" s="309" t="n"/>
      <c r="D157" s="273">
        <f>IF(OR(A157="",B157="",C157=""),"",ROUND(B157*C157,2))</f>
        <v/>
      </c>
      <c r="E157" s="308" t="n"/>
      <c r="F157" s="273">
        <f>IF(OR(A157="",E157="",C157="",NOT(ISNUMBER($U$2))),"",ROUND(E157*C157*$U$2,2))</f>
        <v/>
      </c>
      <c r="G157" s="308" t="n"/>
      <c r="H157" s="273">
        <f>IF(OR(A157="",G157="",C157="",NOT(ISNUMBER($U$3))),"",ROUND(G157*C157*$U$3,2))</f>
        <v/>
      </c>
      <c r="I157" s="308" t="n"/>
      <c r="J157" s="273">
        <f>IF(OR(A157="",I157="",C157="",NOT(ISNUMBER($U$4))),"",ROUND(I157*C157*$U$4,2))</f>
        <v/>
      </c>
      <c r="K157" s="308" t="n"/>
      <c r="L157" s="273">
        <f>IF(OR(A157="",K157="",C157="",NOT(ISNUMBER($U$5))),"",ROUND(K157*C157*$U$5,2))</f>
        <v/>
      </c>
      <c r="M157" s="308" t="n"/>
      <c r="N157" s="273">
        <f>IF(OR(A157="",M157="",C157="",NOT(ISNUMBER($U$6))),"",ROUND(M157*C157*$U$6,2))</f>
        <v/>
      </c>
      <c r="O157" s="282">
        <f>IF(A157="","",SUM(E157,G157,I157,K157,M157))</f>
        <v/>
      </c>
      <c r="P157" s="273">
        <f>IF(A157="","",SUM(F157,H157,J157,L157,N157))</f>
        <v/>
      </c>
      <c r="Q157" s="284">
        <f>IF(A157="","",IF(O157&gt;B157,"DIVERGENCIA: CONSUMO MAIOR QUE CONTRATADO","OK"))</f>
        <v/>
      </c>
      <c r="R157" s="91" t="n"/>
      <c r="S157" s="91" t="n"/>
      <c r="T157" s="91" t="n"/>
      <c r="U157" s="91" t="n"/>
      <c r="V157" s="91" t="n"/>
      <c r="W157" s="91" t="n"/>
    </row>
    <row r="158">
      <c r="A158" s="307" t="n"/>
      <c r="B158" s="308" t="n"/>
      <c r="C158" s="309" t="n"/>
      <c r="D158" s="273">
        <f>IF(OR(A158="",B158="",C158=""),"",ROUND(B158*C158,2))</f>
        <v/>
      </c>
      <c r="E158" s="308" t="n"/>
      <c r="F158" s="273">
        <f>IF(OR(A158="",E158="",C158="",NOT(ISNUMBER($U$2))),"",ROUND(E158*C158*$U$2,2))</f>
        <v/>
      </c>
      <c r="G158" s="308" t="n"/>
      <c r="H158" s="273">
        <f>IF(OR(A158="",G158="",C158="",NOT(ISNUMBER($U$3))),"",ROUND(G158*C158*$U$3,2))</f>
        <v/>
      </c>
      <c r="I158" s="308" t="n"/>
      <c r="J158" s="273">
        <f>IF(OR(A158="",I158="",C158="",NOT(ISNUMBER($U$4))),"",ROUND(I158*C158*$U$4,2))</f>
        <v/>
      </c>
      <c r="K158" s="308" t="n"/>
      <c r="L158" s="273">
        <f>IF(OR(A158="",K158="",C158="",NOT(ISNUMBER($U$5))),"",ROUND(K158*C158*$U$5,2))</f>
        <v/>
      </c>
      <c r="M158" s="308" t="n"/>
      <c r="N158" s="273">
        <f>IF(OR(A158="",M158="",C158="",NOT(ISNUMBER($U$6))),"",ROUND(M158*C158*$U$6,2))</f>
        <v/>
      </c>
      <c r="O158" s="282">
        <f>IF(A158="","",SUM(E158,G158,I158,K158,M158))</f>
        <v/>
      </c>
      <c r="P158" s="273">
        <f>IF(A158="","",SUM(F158,H158,J158,L158,N158))</f>
        <v/>
      </c>
      <c r="Q158" s="284">
        <f>IF(A158="","",IF(O158&gt;B158,"DIVERGENCIA: CONSUMO MAIOR QUE CONTRATADO","OK"))</f>
        <v/>
      </c>
      <c r="R158" s="91" t="n"/>
      <c r="S158" s="91" t="n"/>
      <c r="T158" s="91" t="n"/>
      <c r="U158" s="91" t="n"/>
      <c r="V158" s="91" t="n"/>
      <c r="W158" s="91" t="n"/>
    </row>
    <row r="159">
      <c r="A159" s="307" t="n"/>
      <c r="B159" s="308" t="n"/>
      <c r="C159" s="309" t="n"/>
      <c r="D159" s="273">
        <f>IF(OR(A159="",B159="",C159=""),"",ROUND(B159*C159,2))</f>
        <v/>
      </c>
      <c r="E159" s="308" t="n"/>
      <c r="F159" s="273">
        <f>IF(OR(A159="",E159="",C159="",NOT(ISNUMBER($U$2))),"",ROUND(E159*C159*$U$2,2))</f>
        <v/>
      </c>
      <c r="G159" s="308" t="n"/>
      <c r="H159" s="273">
        <f>IF(OR(A159="",G159="",C159="",NOT(ISNUMBER($U$3))),"",ROUND(G159*C159*$U$3,2))</f>
        <v/>
      </c>
      <c r="I159" s="308" t="n"/>
      <c r="J159" s="273">
        <f>IF(OR(A159="",I159="",C159="",NOT(ISNUMBER($U$4))),"",ROUND(I159*C159*$U$4,2))</f>
        <v/>
      </c>
      <c r="K159" s="308" t="n"/>
      <c r="L159" s="273">
        <f>IF(OR(A159="",K159="",C159="",NOT(ISNUMBER($U$5))),"",ROUND(K159*C159*$U$5,2))</f>
        <v/>
      </c>
      <c r="M159" s="308" t="n"/>
      <c r="N159" s="273">
        <f>IF(OR(A159="",M159="",C159="",NOT(ISNUMBER($U$6))),"",ROUND(M159*C159*$U$6,2))</f>
        <v/>
      </c>
      <c r="O159" s="282">
        <f>IF(A159="","",SUM(E159,G159,I159,K159,M159))</f>
        <v/>
      </c>
      <c r="P159" s="273">
        <f>IF(A159="","",SUM(F159,H159,J159,L159,N159))</f>
        <v/>
      </c>
      <c r="Q159" s="284">
        <f>IF(A159="","",IF(O159&gt;B159,"DIVERGENCIA: CONSUMO MAIOR QUE CONTRATADO","OK"))</f>
        <v/>
      </c>
      <c r="R159" s="91" t="n"/>
      <c r="S159" s="91" t="n"/>
      <c r="T159" s="91" t="n"/>
      <c r="U159" s="91" t="n"/>
      <c r="V159" s="91" t="n"/>
      <c r="W159" s="91" t="n"/>
    </row>
    <row r="160">
      <c r="A160" s="307" t="n"/>
      <c r="B160" s="308" t="n"/>
      <c r="C160" s="309" t="n"/>
      <c r="D160" s="273">
        <f>IF(OR(A160="",B160="",C160=""),"",ROUND(B160*C160,2))</f>
        <v/>
      </c>
      <c r="E160" s="308" t="n"/>
      <c r="F160" s="273">
        <f>IF(OR(A160="",E160="",C160="",NOT(ISNUMBER($U$2))),"",ROUND(E160*C160*$U$2,2))</f>
        <v/>
      </c>
      <c r="G160" s="308" t="n"/>
      <c r="H160" s="273">
        <f>IF(OR(A160="",G160="",C160="",NOT(ISNUMBER($U$3))),"",ROUND(G160*C160*$U$3,2))</f>
        <v/>
      </c>
      <c r="I160" s="308" t="n"/>
      <c r="J160" s="273">
        <f>IF(OR(A160="",I160="",C160="",NOT(ISNUMBER($U$4))),"",ROUND(I160*C160*$U$4,2))</f>
        <v/>
      </c>
      <c r="K160" s="308" t="n"/>
      <c r="L160" s="273">
        <f>IF(OR(A160="",K160="",C160="",NOT(ISNUMBER($U$5))),"",ROUND(K160*C160*$U$5,2))</f>
        <v/>
      </c>
      <c r="M160" s="308" t="n"/>
      <c r="N160" s="273">
        <f>IF(OR(A160="",M160="",C160="",NOT(ISNUMBER($U$6))),"",ROUND(M160*C160*$U$6,2))</f>
        <v/>
      </c>
      <c r="O160" s="282">
        <f>IF(A160="","",SUM(E160,G160,I160,K160,M160))</f>
        <v/>
      </c>
      <c r="P160" s="273">
        <f>IF(A160="","",SUM(F160,H160,J160,L160,N160))</f>
        <v/>
      </c>
      <c r="Q160" s="284">
        <f>IF(A160="","",IF(O160&gt;B160,"DIVERGENCIA: CONSUMO MAIOR QUE CONTRATADO","OK"))</f>
        <v/>
      </c>
      <c r="R160" s="91" t="n"/>
      <c r="S160" s="91" t="n"/>
      <c r="T160" s="91" t="n"/>
      <c r="U160" s="91" t="n"/>
      <c r="V160" s="91" t="n"/>
      <c r="W160" s="91" t="n"/>
    </row>
    <row r="161">
      <c r="A161" s="307" t="n"/>
      <c r="B161" s="308" t="n"/>
      <c r="C161" s="309" t="n"/>
      <c r="D161" s="273">
        <f>IF(OR(A161="",B161="",C161=""),"",ROUND(B161*C161,2))</f>
        <v/>
      </c>
      <c r="E161" s="308" t="n"/>
      <c r="F161" s="273">
        <f>IF(OR(A161="",E161="",C161="",NOT(ISNUMBER($U$2))),"",ROUND(E161*C161*$U$2,2))</f>
        <v/>
      </c>
      <c r="G161" s="308" t="n"/>
      <c r="H161" s="273">
        <f>IF(OR(A161="",G161="",C161="",NOT(ISNUMBER($U$3))),"",ROUND(G161*C161*$U$3,2))</f>
        <v/>
      </c>
      <c r="I161" s="308" t="n"/>
      <c r="J161" s="273">
        <f>IF(OR(A161="",I161="",C161="",NOT(ISNUMBER($U$4))),"",ROUND(I161*C161*$U$4,2))</f>
        <v/>
      </c>
      <c r="K161" s="308" t="n"/>
      <c r="L161" s="273">
        <f>IF(OR(A161="",K161="",C161="",NOT(ISNUMBER($U$5))),"",ROUND(K161*C161*$U$5,2))</f>
        <v/>
      </c>
      <c r="M161" s="308" t="n"/>
      <c r="N161" s="273">
        <f>IF(OR(A161="",M161="",C161="",NOT(ISNUMBER($U$6))),"",ROUND(M161*C161*$U$6,2))</f>
        <v/>
      </c>
      <c r="O161" s="282">
        <f>IF(A161="","",SUM(E161,G161,I161,K161,M161))</f>
        <v/>
      </c>
      <c r="P161" s="273">
        <f>IF(A161="","",SUM(F161,H161,J161,L161,N161))</f>
        <v/>
      </c>
      <c r="Q161" s="284">
        <f>IF(A161="","",IF(O161&gt;B161,"DIVERGENCIA: CONSUMO MAIOR QUE CONTRATADO","OK"))</f>
        <v/>
      </c>
      <c r="R161" s="91" t="n"/>
      <c r="S161" s="91" t="n"/>
      <c r="T161" s="91" t="n"/>
      <c r="U161" s="91" t="n"/>
      <c r="V161" s="91" t="n"/>
      <c r="W161" s="91" t="n"/>
    </row>
    <row r="162">
      <c r="A162" s="307" t="n"/>
      <c r="B162" s="308" t="n"/>
      <c r="C162" s="309" t="n"/>
      <c r="D162" s="273">
        <f>IF(OR(A162="",B162="",C162=""),"",ROUND(B162*C162,2))</f>
        <v/>
      </c>
      <c r="E162" s="308" t="n"/>
      <c r="F162" s="273">
        <f>IF(OR(A162="",E162="",C162="",NOT(ISNUMBER($U$2))),"",ROUND(E162*C162*$U$2,2))</f>
        <v/>
      </c>
      <c r="G162" s="308" t="n"/>
      <c r="H162" s="273">
        <f>IF(OR(A162="",G162="",C162="",NOT(ISNUMBER($U$3))),"",ROUND(G162*C162*$U$3,2))</f>
        <v/>
      </c>
      <c r="I162" s="308" t="n"/>
      <c r="J162" s="273">
        <f>IF(OR(A162="",I162="",C162="",NOT(ISNUMBER($U$4))),"",ROUND(I162*C162*$U$4,2))</f>
        <v/>
      </c>
      <c r="K162" s="308" t="n"/>
      <c r="L162" s="273">
        <f>IF(OR(A162="",K162="",C162="",NOT(ISNUMBER($U$5))),"",ROUND(K162*C162*$U$5,2))</f>
        <v/>
      </c>
      <c r="M162" s="308" t="n"/>
      <c r="N162" s="273">
        <f>IF(OR(A162="",M162="",C162="",NOT(ISNUMBER($U$6))),"",ROUND(M162*C162*$U$6,2))</f>
        <v/>
      </c>
      <c r="O162" s="282">
        <f>IF(A162="","",SUM(E162,G162,I162,K162,M162))</f>
        <v/>
      </c>
      <c r="P162" s="273">
        <f>IF(A162="","",SUM(F162,H162,J162,L162,N162))</f>
        <v/>
      </c>
      <c r="Q162" s="284">
        <f>IF(A162="","",IF(O162&gt;B162,"DIVERGENCIA: CONSUMO MAIOR QUE CONTRATADO","OK"))</f>
        <v/>
      </c>
      <c r="R162" s="91" t="n"/>
      <c r="S162" s="91" t="n"/>
      <c r="T162" s="91" t="n"/>
      <c r="U162" s="91" t="n"/>
      <c r="V162" s="91" t="n"/>
      <c r="W162" s="91" t="n"/>
    </row>
    <row r="163">
      <c r="A163" s="307" t="n"/>
      <c r="B163" s="308" t="n"/>
      <c r="C163" s="309" t="n"/>
      <c r="D163" s="273">
        <f>IF(OR(A163="",B163="",C163=""),"",ROUND(B163*C163,2))</f>
        <v/>
      </c>
      <c r="E163" s="308" t="n"/>
      <c r="F163" s="273">
        <f>IF(OR(A163="",E163="",C163="",NOT(ISNUMBER($U$2))),"",ROUND(E163*C163*$U$2,2))</f>
        <v/>
      </c>
      <c r="G163" s="308" t="n"/>
      <c r="H163" s="273">
        <f>IF(OR(A163="",G163="",C163="",NOT(ISNUMBER($U$3))),"",ROUND(G163*C163*$U$3,2))</f>
        <v/>
      </c>
      <c r="I163" s="308" t="n"/>
      <c r="J163" s="273">
        <f>IF(OR(A163="",I163="",C163="",NOT(ISNUMBER($U$4))),"",ROUND(I163*C163*$U$4,2))</f>
        <v/>
      </c>
      <c r="K163" s="308" t="n"/>
      <c r="L163" s="273">
        <f>IF(OR(A163="",K163="",C163="",NOT(ISNUMBER($U$5))),"",ROUND(K163*C163*$U$5,2))</f>
        <v/>
      </c>
      <c r="M163" s="308" t="n"/>
      <c r="N163" s="273">
        <f>IF(OR(A163="",M163="",C163="",NOT(ISNUMBER($U$6))),"",ROUND(M163*C163*$U$6,2))</f>
        <v/>
      </c>
      <c r="O163" s="282">
        <f>IF(A163="","",SUM(E163,G163,I163,K163,M163))</f>
        <v/>
      </c>
      <c r="P163" s="273">
        <f>IF(A163="","",SUM(F163,H163,J163,L163,N163))</f>
        <v/>
      </c>
      <c r="Q163" s="284">
        <f>IF(A163="","",IF(O163&gt;B163,"DIVERGENCIA: CONSUMO MAIOR QUE CONTRATADO","OK"))</f>
        <v/>
      </c>
      <c r="R163" s="91" t="n"/>
      <c r="S163" s="91" t="n"/>
      <c r="T163" s="91" t="n"/>
      <c r="U163" s="91" t="n"/>
      <c r="V163" s="91" t="n"/>
      <c r="W163" s="91" t="n"/>
    </row>
    <row r="164">
      <c r="A164" s="307" t="n"/>
      <c r="B164" s="308" t="n"/>
      <c r="C164" s="309" t="n"/>
      <c r="D164" s="273">
        <f>IF(OR(A164="",B164="",C164=""),"",ROUND(B164*C164,2))</f>
        <v/>
      </c>
      <c r="E164" s="308" t="n"/>
      <c r="F164" s="273">
        <f>IF(OR(A164="",E164="",C164="",NOT(ISNUMBER($U$2))),"",ROUND(E164*C164*$U$2,2))</f>
        <v/>
      </c>
      <c r="G164" s="308" t="n"/>
      <c r="H164" s="273">
        <f>IF(OR(A164="",G164="",C164="",NOT(ISNUMBER($U$3))),"",ROUND(G164*C164*$U$3,2))</f>
        <v/>
      </c>
      <c r="I164" s="308" t="n"/>
      <c r="J164" s="273">
        <f>IF(OR(A164="",I164="",C164="",NOT(ISNUMBER($U$4))),"",ROUND(I164*C164*$U$4,2))</f>
        <v/>
      </c>
      <c r="K164" s="308" t="n"/>
      <c r="L164" s="273">
        <f>IF(OR(A164="",K164="",C164="",NOT(ISNUMBER($U$5))),"",ROUND(K164*C164*$U$5,2))</f>
        <v/>
      </c>
      <c r="M164" s="308" t="n"/>
      <c r="N164" s="273">
        <f>IF(OR(A164="",M164="",C164="",NOT(ISNUMBER($U$6))),"",ROUND(M164*C164*$U$6,2))</f>
        <v/>
      </c>
      <c r="O164" s="282">
        <f>IF(A164="","",SUM(E164,G164,I164,K164,M164))</f>
        <v/>
      </c>
      <c r="P164" s="273">
        <f>IF(A164="","",SUM(F164,H164,J164,L164,N164))</f>
        <v/>
      </c>
      <c r="Q164" s="284">
        <f>IF(A164="","",IF(O164&gt;B164,"DIVERGENCIA: CONSUMO MAIOR QUE CONTRATADO","OK"))</f>
        <v/>
      </c>
      <c r="R164" s="91" t="n"/>
      <c r="S164" s="91" t="n"/>
      <c r="T164" s="91" t="n"/>
      <c r="U164" s="91" t="n"/>
      <c r="V164" s="91" t="n"/>
      <c r="W164" s="91" t="n"/>
    </row>
    <row r="165">
      <c r="A165" s="307" t="n"/>
      <c r="B165" s="308" t="n"/>
      <c r="C165" s="309" t="n"/>
      <c r="D165" s="273">
        <f>IF(OR(A165="",B165="",C165=""),"",ROUND(B165*C165,2))</f>
        <v/>
      </c>
      <c r="E165" s="308" t="n"/>
      <c r="F165" s="273">
        <f>IF(OR(A165="",E165="",C165="",NOT(ISNUMBER($U$2))),"",ROUND(E165*C165*$U$2,2))</f>
        <v/>
      </c>
      <c r="G165" s="308" t="n"/>
      <c r="H165" s="273">
        <f>IF(OR(A165="",G165="",C165="",NOT(ISNUMBER($U$3))),"",ROUND(G165*C165*$U$3,2))</f>
        <v/>
      </c>
      <c r="I165" s="308" t="n"/>
      <c r="J165" s="273">
        <f>IF(OR(A165="",I165="",C165="",NOT(ISNUMBER($U$4))),"",ROUND(I165*C165*$U$4,2))</f>
        <v/>
      </c>
      <c r="K165" s="308" t="n"/>
      <c r="L165" s="273">
        <f>IF(OR(A165="",K165="",C165="",NOT(ISNUMBER($U$5))),"",ROUND(K165*C165*$U$5,2))</f>
        <v/>
      </c>
      <c r="M165" s="308" t="n"/>
      <c r="N165" s="273">
        <f>IF(OR(A165="",M165="",C165="",NOT(ISNUMBER($U$6))),"",ROUND(M165*C165*$U$6,2))</f>
        <v/>
      </c>
      <c r="O165" s="282">
        <f>IF(A165="","",SUM(E165,G165,I165,K165,M165))</f>
        <v/>
      </c>
      <c r="P165" s="273">
        <f>IF(A165="","",SUM(F165,H165,J165,L165,N165))</f>
        <v/>
      </c>
      <c r="Q165" s="284">
        <f>IF(A165="","",IF(O165&gt;B165,"DIVERGENCIA: CONSUMO MAIOR QUE CONTRATADO","OK"))</f>
        <v/>
      </c>
      <c r="R165" s="91" t="n"/>
      <c r="S165" s="91" t="n"/>
      <c r="T165" s="91" t="n"/>
      <c r="U165" s="91" t="n"/>
      <c r="V165" s="91" t="n"/>
      <c r="W165" s="91" t="n"/>
    </row>
    <row r="166">
      <c r="A166" s="307" t="n"/>
      <c r="B166" s="308" t="n"/>
      <c r="C166" s="309" t="n"/>
      <c r="D166" s="273">
        <f>IF(OR(A166="",B166="",C166=""),"",ROUND(B166*C166,2))</f>
        <v/>
      </c>
      <c r="E166" s="308" t="n"/>
      <c r="F166" s="273">
        <f>IF(OR(A166="",E166="",C166="",NOT(ISNUMBER($U$2))),"",ROUND(E166*C166*$U$2,2))</f>
        <v/>
      </c>
      <c r="G166" s="308" t="n"/>
      <c r="H166" s="273">
        <f>IF(OR(A166="",G166="",C166="",NOT(ISNUMBER($U$3))),"",ROUND(G166*C166*$U$3,2))</f>
        <v/>
      </c>
      <c r="I166" s="308" t="n"/>
      <c r="J166" s="273">
        <f>IF(OR(A166="",I166="",C166="",NOT(ISNUMBER($U$4))),"",ROUND(I166*C166*$U$4,2))</f>
        <v/>
      </c>
      <c r="K166" s="308" t="n"/>
      <c r="L166" s="273">
        <f>IF(OR(A166="",K166="",C166="",NOT(ISNUMBER($U$5))),"",ROUND(K166*C166*$U$5,2))</f>
        <v/>
      </c>
      <c r="M166" s="308" t="n"/>
      <c r="N166" s="273">
        <f>IF(OR(A166="",M166="",C166="",NOT(ISNUMBER($U$6))),"",ROUND(M166*C166*$U$6,2))</f>
        <v/>
      </c>
      <c r="O166" s="282">
        <f>IF(A166="","",SUM(E166,G166,I166,K166,M166))</f>
        <v/>
      </c>
      <c r="P166" s="273">
        <f>IF(A166="","",SUM(F166,H166,J166,L166,N166))</f>
        <v/>
      </c>
      <c r="Q166" s="284">
        <f>IF(A166="","",IF(O166&gt;B166,"DIVERGENCIA: CONSUMO MAIOR QUE CONTRATADO","OK"))</f>
        <v/>
      </c>
      <c r="R166" s="91" t="n"/>
      <c r="S166" s="91" t="n"/>
      <c r="T166" s="91" t="n"/>
      <c r="U166" s="91" t="n"/>
      <c r="V166" s="91" t="n"/>
      <c r="W166" s="91" t="n"/>
    </row>
    <row r="167">
      <c r="A167" s="307" t="n"/>
      <c r="B167" s="308" t="n"/>
      <c r="C167" s="309" t="n"/>
      <c r="D167" s="273">
        <f>IF(OR(A167="",B167="",C167=""),"",ROUND(B167*C167,2))</f>
        <v/>
      </c>
      <c r="E167" s="308" t="n"/>
      <c r="F167" s="273">
        <f>IF(OR(A167="",E167="",C167="",NOT(ISNUMBER($U$2))),"",ROUND(E167*C167*$U$2,2))</f>
        <v/>
      </c>
      <c r="G167" s="308" t="n"/>
      <c r="H167" s="273">
        <f>IF(OR(A167="",G167="",C167="",NOT(ISNUMBER($U$3))),"",ROUND(G167*C167*$U$3,2))</f>
        <v/>
      </c>
      <c r="I167" s="308" t="n"/>
      <c r="J167" s="273">
        <f>IF(OR(A167="",I167="",C167="",NOT(ISNUMBER($U$4))),"",ROUND(I167*C167*$U$4,2))</f>
        <v/>
      </c>
      <c r="K167" s="308" t="n"/>
      <c r="L167" s="273">
        <f>IF(OR(A167="",K167="",C167="",NOT(ISNUMBER($U$5))),"",ROUND(K167*C167*$U$5,2))</f>
        <v/>
      </c>
      <c r="M167" s="308" t="n"/>
      <c r="N167" s="273">
        <f>IF(OR(A167="",M167="",C167="",NOT(ISNUMBER($U$6))),"",ROUND(M167*C167*$U$6,2))</f>
        <v/>
      </c>
      <c r="O167" s="282">
        <f>IF(A167="","",SUM(E167,G167,I167,K167,M167))</f>
        <v/>
      </c>
      <c r="P167" s="273">
        <f>IF(A167="","",SUM(F167,H167,J167,L167,N167))</f>
        <v/>
      </c>
      <c r="Q167" s="284">
        <f>IF(A167="","",IF(O167&gt;B167,"DIVERGENCIA: CONSUMO MAIOR QUE CONTRATADO","OK"))</f>
        <v/>
      </c>
      <c r="R167" s="91" t="n"/>
      <c r="S167" s="91" t="n"/>
      <c r="T167" s="91" t="n"/>
      <c r="U167" s="91" t="n"/>
      <c r="V167" s="91" t="n"/>
      <c r="W167" s="91" t="n"/>
    </row>
    <row r="168">
      <c r="A168" s="307" t="n"/>
      <c r="B168" s="308" t="n"/>
      <c r="C168" s="309" t="n"/>
      <c r="D168" s="273">
        <f>IF(OR(A168="",B168="",C168=""),"",ROUND(B168*C168,2))</f>
        <v/>
      </c>
      <c r="E168" s="308" t="n"/>
      <c r="F168" s="273">
        <f>IF(OR(A168="",E168="",C168="",NOT(ISNUMBER($U$2))),"",ROUND(E168*C168*$U$2,2))</f>
        <v/>
      </c>
      <c r="G168" s="308" t="n"/>
      <c r="H168" s="273">
        <f>IF(OR(A168="",G168="",C168="",NOT(ISNUMBER($U$3))),"",ROUND(G168*C168*$U$3,2))</f>
        <v/>
      </c>
      <c r="I168" s="308" t="n"/>
      <c r="J168" s="273">
        <f>IF(OR(A168="",I168="",C168="",NOT(ISNUMBER($U$4))),"",ROUND(I168*C168*$U$4,2))</f>
        <v/>
      </c>
      <c r="K168" s="308" t="n"/>
      <c r="L168" s="273">
        <f>IF(OR(A168="",K168="",C168="",NOT(ISNUMBER($U$5))),"",ROUND(K168*C168*$U$5,2))</f>
        <v/>
      </c>
      <c r="M168" s="308" t="n"/>
      <c r="N168" s="273">
        <f>IF(OR(A168="",M168="",C168="",NOT(ISNUMBER($U$6))),"",ROUND(M168*C168*$U$6,2))</f>
        <v/>
      </c>
      <c r="O168" s="282">
        <f>IF(A168="","",SUM(E168,G168,I168,K168,M168))</f>
        <v/>
      </c>
      <c r="P168" s="273">
        <f>IF(A168="","",SUM(F168,H168,J168,L168,N168))</f>
        <v/>
      </c>
      <c r="Q168" s="284">
        <f>IF(A168="","",IF(O168&gt;B168,"DIVERGENCIA: CONSUMO MAIOR QUE CONTRATADO","OK"))</f>
        <v/>
      </c>
      <c r="R168" s="91" t="n"/>
      <c r="S168" s="91" t="n"/>
      <c r="T168" s="91" t="n"/>
      <c r="U168" s="91" t="n"/>
      <c r="V168" s="91" t="n"/>
      <c r="W168" s="91" t="n"/>
    </row>
    <row r="169">
      <c r="A169" s="307" t="n"/>
      <c r="B169" s="308" t="n"/>
      <c r="C169" s="309" t="n"/>
      <c r="D169" s="273">
        <f>IF(OR(A169="",B169="",C169=""),"",ROUND(B169*C169,2))</f>
        <v/>
      </c>
      <c r="E169" s="308" t="n"/>
      <c r="F169" s="273">
        <f>IF(OR(A169="",E169="",C169="",NOT(ISNUMBER($U$2))),"",ROUND(E169*C169*$U$2,2))</f>
        <v/>
      </c>
      <c r="G169" s="308" t="n"/>
      <c r="H169" s="273">
        <f>IF(OR(A169="",G169="",C169="",NOT(ISNUMBER($U$3))),"",ROUND(G169*C169*$U$3,2))</f>
        <v/>
      </c>
      <c r="I169" s="308" t="n"/>
      <c r="J169" s="273">
        <f>IF(OR(A169="",I169="",C169="",NOT(ISNUMBER($U$4))),"",ROUND(I169*C169*$U$4,2))</f>
        <v/>
      </c>
      <c r="K169" s="308" t="n"/>
      <c r="L169" s="273">
        <f>IF(OR(A169="",K169="",C169="",NOT(ISNUMBER($U$5))),"",ROUND(K169*C169*$U$5,2))</f>
        <v/>
      </c>
      <c r="M169" s="308" t="n"/>
      <c r="N169" s="273">
        <f>IF(OR(A169="",M169="",C169="",NOT(ISNUMBER($U$6))),"",ROUND(M169*C169*$U$6,2))</f>
        <v/>
      </c>
      <c r="O169" s="282">
        <f>IF(A169="","",SUM(E169,G169,I169,K169,M169))</f>
        <v/>
      </c>
      <c r="P169" s="273">
        <f>IF(A169="","",SUM(F169,H169,J169,L169,N169))</f>
        <v/>
      </c>
      <c r="Q169" s="284">
        <f>IF(A169="","",IF(O169&gt;B169,"DIVERGENCIA: CONSUMO MAIOR QUE CONTRATADO","OK"))</f>
        <v/>
      </c>
      <c r="R169" s="91" t="n"/>
      <c r="S169" s="91" t="n"/>
      <c r="T169" s="91" t="n"/>
      <c r="U169" s="91" t="n"/>
      <c r="V169" s="91" t="n"/>
      <c r="W169" s="91" t="n"/>
    </row>
    <row r="170">
      <c r="A170" s="307" t="n"/>
      <c r="B170" s="308" t="n"/>
      <c r="C170" s="309" t="n"/>
      <c r="D170" s="273">
        <f>IF(OR(A170="",B170="",C170=""),"",ROUND(B170*C170,2))</f>
        <v/>
      </c>
      <c r="E170" s="308" t="n"/>
      <c r="F170" s="273">
        <f>IF(OR(A170="",E170="",C170="",NOT(ISNUMBER($U$2))),"",ROUND(E170*C170*$U$2,2))</f>
        <v/>
      </c>
      <c r="G170" s="308" t="n"/>
      <c r="H170" s="273">
        <f>IF(OR(A170="",G170="",C170="",NOT(ISNUMBER($U$3))),"",ROUND(G170*C170*$U$3,2))</f>
        <v/>
      </c>
      <c r="I170" s="308" t="n"/>
      <c r="J170" s="273">
        <f>IF(OR(A170="",I170="",C170="",NOT(ISNUMBER($U$4))),"",ROUND(I170*C170*$U$4,2))</f>
        <v/>
      </c>
      <c r="K170" s="308" t="n"/>
      <c r="L170" s="273">
        <f>IF(OR(A170="",K170="",C170="",NOT(ISNUMBER($U$5))),"",ROUND(K170*C170*$U$5,2))</f>
        <v/>
      </c>
      <c r="M170" s="308" t="n"/>
      <c r="N170" s="273">
        <f>IF(OR(A170="",M170="",C170="",NOT(ISNUMBER($U$6))),"",ROUND(M170*C170*$U$6,2))</f>
        <v/>
      </c>
      <c r="O170" s="282">
        <f>IF(A170="","",SUM(E170,G170,I170,K170,M170))</f>
        <v/>
      </c>
      <c r="P170" s="273">
        <f>IF(A170="","",SUM(F170,H170,J170,L170,N170))</f>
        <v/>
      </c>
      <c r="Q170" s="284">
        <f>IF(A170="","",IF(O170&gt;B170,"DIVERGENCIA: CONSUMO MAIOR QUE CONTRATADO","OK"))</f>
        <v/>
      </c>
      <c r="R170" s="91" t="n"/>
      <c r="S170" s="91" t="n"/>
      <c r="T170" s="91" t="n"/>
      <c r="U170" s="91" t="n"/>
      <c r="V170" s="91" t="n"/>
      <c r="W170" s="91" t="n"/>
    </row>
    <row r="171">
      <c r="A171" s="307" t="n"/>
      <c r="B171" s="308" t="n"/>
      <c r="C171" s="309" t="n"/>
      <c r="D171" s="273">
        <f>IF(OR(A171="",B171="",C171=""),"",ROUND(B171*C171,2))</f>
        <v/>
      </c>
      <c r="E171" s="308" t="n"/>
      <c r="F171" s="273">
        <f>IF(OR(A171="",E171="",C171="",NOT(ISNUMBER($U$2))),"",ROUND(E171*C171*$U$2,2))</f>
        <v/>
      </c>
      <c r="G171" s="308" t="n"/>
      <c r="H171" s="273">
        <f>IF(OR(A171="",G171="",C171="",NOT(ISNUMBER($U$3))),"",ROUND(G171*C171*$U$3,2))</f>
        <v/>
      </c>
      <c r="I171" s="308" t="n"/>
      <c r="J171" s="273">
        <f>IF(OR(A171="",I171="",C171="",NOT(ISNUMBER($U$4))),"",ROUND(I171*C171*$U$4,2))</f>
        <v/>
      </c>
      <c r="K171" s="308" t="n"/>
      <c r="L171" s="273">
        <f>IF(OR(A171="",K171="",C171="",NOT(ISNUMBER($U$5))),"",ROUND(K171*C171*$U$5,2))</f>
        <v/>
      </c>
      <c r="M171" s="308" t="n"/>
      <c r="N171" s="273">
        <f>IF(OR(A171="",M171="",C171="",NOT(ISNUMBER($U$6))),"",ROUND(M171*C171*$U$6,2))</f>
        <v/>
      </c>
      <c r="O171" s="282">
        <f>IF(A171="","",SUM(E171,G171,I171,K171,M171))</f>
        <v/>
      </c>
      <c r="P171" s="273">
        <f>IF(A171="","",SUM(F171,H171,J171,L171,N171))</f>
        <v/>
      </c>
      <c r="Q171" s="284">
        <f>IF(A171="","",IF(O171&gt;B171,"DIVERGENCIA: CONSUMO MAIOR QUE CONTRATADO","OK"))</f>
        <v/>
      </c>
      <c r="R171" s="91" t="n"/>
      <c r="S171" s="91" t="n"/>
      <c r="T171" s="91" t="n"/>
      <c r="U171" s="91" t="n"/>
      <c r="V171" s="91" t="n"/>
      <c r="W171" s="91" t="n"/>
    </row>
    <row r="172">
      <c r="A172" s="307" t="n"/>
      <c r="B172" s="308" t="n"/>
      <c r="C172" s="309" t="n"/>
      <c r="D172" s="273">
        <f>IF(OR(A172="",B172="",C172=""),"",ROUND(B172*C172,2))</f>
        <v/>
      </c>
      <c r="E172" s="308" t="n"/>
      <c r="F172" s="273">
        <f>IF(OR(A172="",E172="",C172="",NOT(ISNUMBER($U$2))),"",ROUND(E172*C172*$U$2,2))</f>
        <v/>
      </c>
      <c r="G172" s="308" t="n"/>
      <c r="H172" s="273">
        <f>IF(OR(A172="",G172="",C172="",NOT(ISNUMBER($U$3))),"",ROUND(G172*C172*$U$3,2))</f>
        <v/>
      </c>
      <c r="I172" s="308" t="n"/>
      <c r="J172" s="273">
        <f>IF(OR(A172="",I172="",C172="",NOT(ISNUMBER($U$4))),"",ROUND(I172*C172*$U$4,2))</f>
        <v/>
      </c>
      <c r="K172" s="308" t="n"/>
      <c r="L172" s="273">
        <f>IF(OR(A172="",K172="",C172="",NOT(ISNUMBER($U$5))),"",ROUND(K172*C172*$U$5,2))</f>
        <v/>
      </c>
      <c r="M172" s="308" t="n"/>
      <c r="N172" s="273">
        <f>IF(OR(A172="",M172="",C172="",NOT(ISNUMBER($U$6))),"",ROUND(M172*C172*$U$6,2))</f>
        <v/>
      </c>
      <c r="O172" s="282">
        <f>IF(A172="","",SUM(E172,G172,I172,K172,M172))</f>
        <v/>
      </c>
      <c r="P172" s="273">
        <f>IF(A172="","",SUM(F172,H172,J172,L172,N172))</f>
        <v/>
      </c>
      <c r="Q172" s="284">
        <f>IF(A172="","",IF(O172&gt;B172,"DIVERGENCIA: CONSUMO MAIOR QUE CONTRATADO","OK"))</f>
        <v/>
      </c>
      <c r="R172" s="91" t="n"/>
      <c r="S172" s="91" t="n"/>
      <c r="T172" s="91" t="n"/>
      <c r="U172" s="91" t="n"/>
      <c r="V172" s="91" t="n"/>
      <c r="W172" s="91" t="n"/>
    </row>
    <row r="173">
      <c r="A173" s="307" t="n"/>
      <c r="B173" s="308" t="n"/>
      <c r="C173" s="309" t="n"/>
      <c r="D173" s="273">
        <f>IF(OR(A173="",B173="",C173=""),"",ROUND(B173*C173,2))</f>
        <v/>
      </c>
      <c r="E173" s="308" t="n"/>
      <c r="F173" s="273">
        <f>IF(OR(A173="",E173="",C173="",NOT(ISNUMBER($U$2))),"",ROUND(E173*C173*$U$2,2))</f>
        <v/>
      </c>
      <c r="G173" s="308" t="n"/>
      <c r="H173" s="273">
        <f>IF(OR(A173="",G173="",C173="",NOT(ISNUMBER($U$3))),"",ROUND(G173*C173*$U$3,2))</f>
        <v/>
      </c>
      <c r="I173" s="308" t="n"/>
      <c r="J173" s="273">
        <f>IF(OR(A173="",I173="",C173="",NOT(ISNUMBER($U$4))),"",ROUND(I173*C173*$U$4,2))</f>
        <v/>
      </c>
      <c r="K173" s="308" t="n"/>
      <c r="L173" s="273">
        <f>IF(OR(A173="",K173="",C173="",NOT(ISNUMBER($U$5))),"",ROUND(K173*C173*$U$5,2))</f>
        <v/>
      </c>
      <c r="M173" s="308" t="n"/>
      <c r="N173" s="273">
        <f>IF(OR(A173="",M173="",C173="",NOT(ISNUMBER($U$6))),"",ROUND(M173*C173*$U$6,2))</f>
        <v/>
      </c>
      <c r="O173" s="282">
        <f>IF(A173="","",SUM(E173,G173,I173,K173,M173))</f>
        <v/>
      </c>
      <c r="P173" s="273">
        <f>IF(A173="","",SUM(F173,H173,J173,L173,N173))</f>
        <v/>
      </c>
      <c r="Q173" s="284">
        <f>IF(A173="","",IF(O173&gt;B173,"DIVERGENCIA: CONSUMO MAIOR QUE CONTRATADO","OK"))</f>
        <v/>
      </c>
      <c r="R173" s="91" t="n"/>
      <c r="S173" s="91" t="n"/>
      <c r="T173" s="91" t="n"/>
      <c r="U173" s="91" t="n"/>
      <c r="V173" s="91" t="n"/>
      <c r="W173" s="91" t="n"/>
    </row>
    <row r="174">
      <c r="A174" s="307" t="n"/>
      <c r="B174" s="308" t="n"/>
      <c r="C174" s="309" t="n"/>
      <c r="D174" s="273">
        <f>IF(OR(A174="",B174="",C174=""),"",ROUND(B174*C174,2))</f>
        <v/>
      </c>
      <c r="E174" s="308" t="n"/>
      <c r="F174" s="273">
        <f>IF(OR(A174="",E174="",C174="",NOT(ISNUMBER($U$2))),"",ROUND(E174*C174*$U$2,2))</f>
        <v/>
      </c>
      <c r="G174" s="308" t="n"/>
      <c r="H174" s="273">
        <f>IF(OR(A174="",G174="",C174="",NOT(ISNUMBER($U$3))),"",ROUND(G174*C174*$U$3,2))</f>
        <v/>
      </c>
      <c r="I174" s="308" t="n"/>
      <c r="J174" s="273">
        <f>IF(OR(A174="",I174="",C174="",NOT(ISNUMBER($U$4))),"",ROUND(I174*C174*$U$4,2))</f>
        <v/>
      </c>
      <c r="K174" s="308" t="n"/>
      <c r="L174" s="273">
        <f>IF(OR(A174="",K174="",C174="",NOT(ISNUMBER($U$5))),"",ROUND(K174*C174*$U$5,2))</f>
        <v/>
      </c>
      <c r="M174" s="308" t="n"/>
      <c r="N174" s="273">
        <f>IF(OR(A174="",M174="",C174="",NOT(ISNUMBER($U$6))),"",ROUND(M174*C174*$U$6,2))</f>
        <v/>
      </c>
      <c r="O174" s="282">
        <f>IF(A174="","",SUM(E174,G174,I174,K174,M174))</f>
        <v/>
      </c>
      <c r="P174" s="273">
        <f>IF(A174="","",SUM(F174,H174,J174,L174,N174))</f>
        <v/>
      </c>
      <c r="Q174" s="284">
        <f>IF(A174="","",IF(O174&gt;B174,"DIVERGENCIA: CONSUMO MAIOR QUE CONTRATADO","OK"))</f>
        <v/>
      </c>
      <c r="R174" s="91" t="n"/>
      <c r="S174" s="91" t="n"/>
      <c r="T174" s="91" t="n"/>
      <c r="U174" s="91" t="n"/>
      <c r="V174" s="91" t="n"/>
      <c r="W174" s="91" t="n"/>
    </row>
    <row r="175">
      <c r="A175" s="307" t="n"/>
      <c r="B175" s="308" t="n"/>
      <c r="C175" s="309" t="n"/>
      <c r="D175" s="273">
        <f>IF(OR(A175="",B175="",C175=""),"",ROUND(B175*C175,2))</f>
        <v/>
      </c>
      <c r="E175" s="308" t="n"/>
      <c r="F175" s="273">
        <f>IF(OR(A175="",E175="",C175="",NOT(ISNUMBER($U$2))),"",ROUND(E175*C175*$U$2,2))</f>
        <v/>
      </c>
      <c r="G175" s="308" t="n"/>
      <c r="H175" s="273">
        <f>IF(OR(A175="",G175="",C175="",NOT(ISNUMBER($U$3))),"",ROUND(G175*C175*$U$3,2))</f>
        <v/>
      </c>
      <c r="I175" s="308" t="n"/>
      <c r="J175" s="273">
        <f>IF(OR(A175="",I175="",C175="",NOT(ISNUMBER($U$4))),"",ROUND(I175*C175*$U$4,2))</f>
        <v/>
      </c>
      <c r="K175" s="308" t="n"/>
      <c r="L175" s="273">
        <f>IF(OR(A175="",K175="",C175="",NOT(ISNUMBER($U$5))),"",ROUND(K175*C175*$U$5,2))</f>
        <v/>
      </c>
      <c r="M175" s="308" t="n"/>
      <c r="N175" s="273">
        <f>IF(OR(A175="",M175="",C175="",NOT(ISNUMBER($U$6))),"",ROUND(M175*C175*$U$6,2))</f>
        <v/>
      </c>
      <c r="O175" s="282">
        <f>IF(A175="","",SUM(E175,G175,I175,K175,M175))</f>
        <v/>
      </c>
      <c r="P175" s="273">
        <f>IF(A175="","",SUM(F175,H175,J175,L175,N175))</f>
        <v/>
      </c>
      <c r="Q175" s="284">
        <f>IF(A175="","",IF(O175&gt;B175,"DIVERGENCIA: CONSUMO MAIOR QUE CONTRATADO","OK"))</f>
        <v/>
      </c>
      <c r="R175" s="91" t="n"/>
      <c r="S175" s="91" t="n"/>
      <c r="T175" s="91" t="n"/>
      <c r="U175" s="91" t="n"/>
      <c r="V175" s="91" t="n"/>
      <c r="W175" s="91" t="n"/>
    </row>
    <row r="176">
      <c r="A176" s="307" t="n"/>
      <c r="B176" s="308" t="n"/>
      <c r="C176" s="309" t="n"/>
      <c r="D176" s="273">
        <f>IF(OR(A176="",B176="",C176=""),"",ROUND(B176*C176,2))</f>
        <v/>
      </c>
      <c r="E176" s="308" t="n"/>
      <c r="F176" s="273">
        <f>IF(OR(A176="",E176="",C176="",NOT(ISNUMBER($U$2))),"",ROUND(E176*C176*$U$2,2))</f>
        <v/>
      </c>
      <c r="G176" s="308" t="n"/>
      <c r="H176" s="273">
        <f>IF(OR(A176="",G176="",C176="",NOT(ISNUMBER($U$3))),"",ROUND(G176*C176*$U$3,2))</f>
        <v/>
      </c>
      <c r="I176" s="308" t="n"/>
      <c r="J176" s="273">
        <f>IF(OR(A176="",I176="",C176="",NOT(ISNUMBER($U$4))),"",ROUND(I176*C176*$U$4,2))</f>
        <v/>
      </c>
      <c r="K176" s="308" t="n"/>
      <c r="L176" s="273">
        <f>IF(OR(A176="",K176="",C176="",NOT(ISNUMBER($U$5))),"",ROUND(K176*C176*$U$5,2))</f>
        <v/>
      </c>
      <c r="M176" s="308" t="n"/>
      <c r="N176" s="273">
        <f>IF(OR(A176="",M176="",C176="",NOT(ISNUMBER($U$6))),"",ROUND(M176*C176*$U$6,2))</f>
        <v/>
      </c>
      <c r="O176" s="282">
        <f>IF(A176="","",SUM(E176,G176,I176,K176,M176))</f>
        <v/>
      </c>
      <c r="P176" s="273">
        <f>IF(A176="","",SUM(F176,H176,J176,L176,N176))</f>
        <v/>
      </c>
      <c r="Q176" s="284">
        <f>IF(A176="","",IF(O176&gt;B176,"DIVERGENCIA: CONSUMO MAIOR QUE CONTRATADO","OK"))</f>
        <v/>
      </c>
      <c r="R176" s="91" t="n"/>
      <c r="S176" s="91" t="n"/>
      <c r="T176" s="91" t="n"/>
      <c r="U176" s="91" t="n"/>
      <c r="V176" s="91" t="n"/>
      <c r="W176" s="91" t="n"/>
    </row>
    <row r="177">
      <c r="A177" s="307" t="n"/>
      <c r="B177" s="308" t="n"/>
      <c r="C177" s="309" t="n"/>
      <c r="D177" s="273">
        <f>IF(OR(A177="",B177="",C177=""),"",ROUND(B177*C177,2))</f>
        <v/>
      </c>
      <c r="E177" s="308" t="n"/>
      <c r="F177" s="273">
        <f>IF(OR(A177="",E177="",C177="",NOT(ISNUMBER($U$2))),"",ROUND(E177*C177*$U$2,2))</f>
        <v/>
      </c>
      <c r="G177" s="308" t="n"/>
      <c r="H177" s="273">
        <f>IF(OR(A177="",G177="",C177="",NOT(ISNUMBER($U$3))),"",ROUND(G177*C177*$U$3,2))</f>
        <v/>
      </c>
      <c r="I177" s="308" t="n"/>
      <c r="J177" s="273">
        <f>IF(OR(A177="",I177="",C177="",NOT(ISNUMBER($U$4))),"",ROUND(I177*C177*$U$4,2))</f>
        <v/>
      </c>
      <c r="K177" s="308" t="n"/>
      <c r="L177" s="273">
        <f>IF(OR(A177="",K177="",C177="",NOT(ISNUMBER($U$5))),"",ROUND(K177*C177*$U$5,2))</f>
        <v/>
      </c>
      <c r="M177" s="308" t="n"/>
      <c r="N177" s="273">
        <f>IF(OR(A177="",M177="",C177="",NOT(ISNUMBER($U$6))),"",ROUND(M177*C177*$U$6,2))</f>
        <v/>
      </c>
      <c r="O177" s="282">
        <f>IF(A177="","",SUM(E177,G177,I177,K177,M177))</f>
        <v/>
      </c>
      <c r="P177" s="273">
        <f>IF(A177="","",SUM(F177,H177,J177,L177,N177))</f>
        <v/>
      </c>
      <c r="Q177" s="284">
        <f>IF(A177="","",IF(O177&gt;B177,"DIVERGENCIA: CONSUMO MAIOR QUE CONTRATADO","OK"))</f>
        <v/>
      </c>
      <c r="R177" s="91" t="n"/>
      <c r="S177" s="91" t="n"/>
      <c r="T177" s="91" t="n"/>
      <c r="U177" s="91" t="n"/>
      <c r="V177" s="91" t="n"/>
      <c r="W177" s="91" t="n"/>
    </row>
    <row r="178">
      <c r="A178" s="307" t="n"/>
      <c r="B178" s="308" t="n"/>
      <c r="C178" s="309" t="n"/>
      <c r="D178" s="273">
        <f>IF(OR(A178="",B178="",C178=""),"",ROUND(B178*C178,2))</f>
        <v/>
      </c>
      <c r="E178" s="308" t="n"/>
      <c r="F178" s="273">
        <f>IF(OR(A178="",E178="",C178="",NOT(ISNUMBER($U$2))),"",ROUND(E178*C178*$U$2,2))</f>
        <v/>
      </c>
      <c r="G178" s="308" t="n"/>
      <c r="H178" s="273">
        <f>IF(OR(A178="",G178="",C178="",NOT(ISNUMBER($U$3))),"",ROUND(G178*C178*$U$3,2))</f>
        <v/>
      </c>
      <c r="I178" s="308" t="n"/>
      <c r="J178" s="273">
        <f>IF(OR(A178="",I178="",C178="",NOT(ISNUMBER($U$4))),"",ROUND(I178*C178*$U$4,2))</f>
        <v/>
      </c>
      <c r="K178" s="308" t="n"/>
      <c r="L178" s="273">
        <f>IF(OR(A178="",K178="",C178="",NOT(ISNUMBER($U$5))),"",ROUND(K178*C178*$U$5,2))</f>
        <v/>
      </c>
      <c r="M178" s="308" t="n"/>
      <c r="N178" s="273">
        <f>IF(OR(A178="",M178="",C178="",NOT(ISNUMBER($U$6))),"",ROUND(M178*C178*$U$6,2))</f>
        <v/>
      </c>
      <c r="O178" s="282">
        <f>IF(A178="","",SUM(E178,G178,I178,K178,M178))</f>
        <v/>
      </c>
      <c r="P178" s="273">
        <f>IF(A178="","",SUM(F178,H178,J178,L178,N178))</f>
        <v/>
      </c>
      <c r="Q178" s="284">
        <f>IF(A178="","",IF(O178&gt;B178,"DIVERGENCIA: CONSUMO MAIOR QUE CONTRATADO","OK"))</f>
        <v/>
      </c>
      <c r="R178" s="91" t="n"/>
      <c r="S178" s="91" t="n"/>
      <c r="T178" s="91" t="n"/>
      <c r="U178" s="91" t="n"/>
      <c r="V178" s="91" t="n"/>
      <c r="W178" s="91" t="n"/>
    </row>
    <row r="179">
      <c r="A179" s="307" t="n"/>
      <c r="B179" s="308" t="n"/>
      <c r="C179" s="309" t="n"/>
      <c r="D179" s="273">
        <f>IF(OR(A179="",B179="",C179=""),"",ROUND(B179*C179,2))</f>
        <v/>
      </c>
      <c r="E179" s="308" t="n"/>
      <c r="F179" s="273">
        <f>IF(OR(A179="",E179="",C179="",NOT(ISNUMBER($U$2))),"",ROUND(E179*C179*$U$2,2))</f>
        <v/>
      </c>
      <c r="G179" s="308" t="n"/>
      <c r="H179" s="273">
        <f>IF(OR(A179="",G179="",C179="",NOT(ISNUMBER($U$3))),"",ROUND(G179*C179*$U$3,2))</f>
        <v/>
      </c>
      <c r="I179" s="308" t="n"/>
      <c r="J179" s="273">
        <f>IF(OR(A179="",I179="",C179="",NOT(ISNUMBER($U$4))),"",ROUND(I179*C179*$U$4,2))</f>
        <v/>
      </c>
      <c r="K179" s="308" t="n"/>
      <c r="L179" s="273">
        <f>IF(OR(A179="",K179="",C179="",NOT(ISNUMBER($U$5))),"",ROUND(K179*C179*$U$5,2))</f>
        <v/>
      </c>
      <c r="M179" s="308" t="n"/>
      <c r="N179" s="273">
        <f>IF(OR(A179="",M179="",C179="",NOT(ISNUMBER($U$6))),"",ROUND(M179*C179*$U$6,2))</f>
        <v/>
      </c>
      <c r="O179" s="282">
        <f>IF(A179="","",SUM(E179,G179,I179,K179,M179))</f>
        <v/>
      </c>
      <c r="P179" s="273">
        <f>IF(A179="","",SUM(F179,H179,J179,L179,N179))</f>
        <v/>
      </c>
      <c r="Q179" s="284">
        <f>IF(A179="","",IF(O179&gt;B179,"DIVERGENCIA: CONSUMO MAIOR QUE CONTRATADO","OK"))</f>
        <v/>
      </c>
      <c r="R179" s="91" t="n"/>
      <c r="S179" s="91" t="n"/>
      <c r="T179" s="91" t="n"/>
      <c r="U179" s="91" t="n"/>
      <c r="V179" s="91" t="n"/>
      <c r="W179" s="91" t="n"/>
    </row>
    <row r="180">
      <c r="A180" s="307" t="n"/>
      <c r="B180" s="308" t="n"/>
      <c r="C180" s="309" t="n"/>
      <c r="D180" s="273">
        <f>IF(OR(A180="",B180="",C180=""),"",ROUND(B180*C180,2))</f>
        <v/>
      </c>
      <c r="E180" s="308" t="n"/>
      <c r="F180" s="273">
        <f>IF(OR(A180="",E180="",C180="",NOT(ISNUMBER($U$2))),"",ROUND(E180*C180*$U$2,2))</f>
        <v/>
      </c>
      <c r="G180" s="308" t="n"/>
      <c r="H180" s="273">
        <f>IF(OR(A180="",G180="",C180="",NOT(ISNUMBER($U$3))),"",ROUND(G180*C180*$U$3,2))</f>
        <v/>
      </c>
      <c r="I180" s="308" t="n"/>
      <c r="J180" s="273">
        <f>IF(OR(A180="",I180="",C180="",NOT(ISNUMBER($U$4))),"",ROUND(I180*C180*$U$4,2))</f>
        <v/>
      </c>
      <c r="K180" s="308" t="n"/>
      <c r="L180" s="273">
        <f>IF(OR(A180="",K180="",C180="",NOT(ISNUMBER($U$5))),"",ROUND(K180*C180*$U$5,2))</f>
        <v/>
      </c>
      <c r="M180" s="308" t="n"/>
      <c r="N180" s="273">
        <f>IF(OR(A180="",M180="",C180="",NOT(ISNUMBER($U$6))),"",ROUND(M180*C180*$U$6,2))</f>
        <v/>
      </c>
      <c r="O180" s="282">
        <f>IF(A180="","",SUM(E180,G180,I180,K180,M180))</f>
        <v/>
      </c>
      <c r="P180" s="273">
        <f>IF(A180="","",SUM(F180,H180,J180,L180,N180))</f>
        <v/>
      </c>
      <c r="Q180" s="284">
        <f>IF(A180="","",IF(O180&gt;B180,"DIVERGENCIA: CONSUMO MAIOR QUE CONTRATADO","OK"))</f>
        <v/>
      </c>
      <c r="R180" s="91" t="n"/>
      <c r="S180" s="91" t="n"/>
      <c r="T180" s="91" t="n"/>
      <c r="U180" s="91" t="n"/>
      <c r="V180" s="91" t="n"/>
      <c r="W180" s="91" t="n"/>
    </row>
    <row r="181">
      <c r="A181" s="307" t="n"/>
      <c r="B181" s="308" t="n"/>
      <c r="C181" s="309" t="n"/>
      <c r="D181" s="273">
        <f>IF(OR(A181="",B181="",C181=""),"",ROUND(B181*C181,2))</f>
        <v/>
      </c>
      <c r="E181" s="308" t="n"/>
      <c r="F181" s="273">
        <f>IF(OR(A181="",E181="",C181="",NOT(ISNUMBER($U$2))),"",ROUND(E181*C181*$U$2,2))</f>
        <v/>
      </c>
      <c r="G181" s="308" t="n"/>
      <c r="H181" s="273">
        <f>IF(OR(A181="",G181="",C181="",NOT(ISNUMBER($U$3))),"",ROUND(G181*C181*$U$3,2))</f>
        <v/>
      </c>
      <c r="I181" s="308" t="n"/>
      <c r="J181" s="273">
        <f>IF(OR(A181="",I181="",C181="",NOT(ISNUMBER($U$4))),"",ROUND(I181*C181*$U$4,2))</f>
        <v/>
      </c>
      <c r="K181" s="308" t="n"/>
      <c r="L181" s="273">
        <f>IF(OR(A181="",K181="",C181="",NOT(ISNUMBER($U$5))),"",ROUND(K181*C181*$U$5,2))</f>
        <v/>
      </c>
      <c r="M181" s="308" t="n"/>
      <c r="N181" s="273">
        <f>IF(OR(A181="",M181="",C181="",NOT(ISNUMBER($U$6))),"",ROUND(M181*C181*$U$6,2))</f>
        <v/>
      </c>
      <c r="O181" s="282">
        <f>IF(A181="","",SUM(E181,G181,I181,K181,M181))</f>
        <v/>
      </c>
      <c r="P181" s="273">
        <f>IF(A181="","",SUM(F181,H181,J181,L181,N181))</f>
        <v/>
      </c>
      <c r="Q181" s="284">
        <f>IF(A181="","",IF(O181&gt;B181,"DIVERGENCIA: CONSUMO MAIOR QUE CONTRATADO","OK"))</f>
        <v/>
      </c>
      <c r="R181" s="91" t="n"/>
      <c r="S181" s="91" t="n"/>
      <c r="T181" s="91" t="n"/>
      <c r="U181" s="91" t="n"/>
      <c r="V181" s="91" t="n"/>
      <c r="W181" s="91" t="n"/>
    </row>
    <row r="182">
      <c r="A182" s="307" t="n"/>
      <c r="B182" s="308" t="n"/>
      <c r="C182" s="309" t="n"/>
      <c r="D182" s="273">
        <f>IF(OR(A182="",B182="",C182=""),"",ROUND(B182*C182,2))</f>
        <v/>
      </c>
      <c r="E182" s="308" t="n"/>
      <c r="F182" s="273">
        <f>IF(OR(A182="",E182="",C182="",NOT(ISNUMBER($U$2))),"",ROUND(E182*C182*$U$2,2))</f>
        <v/>
      </c>
      <c r="G182" s="308" t="n"/>
      <c r="H182" s="273">
        <f>IF(OR(A182="",G182="",C182="",NOT(ISNUMBER($U$3))),"",ROUND(G182*C182*$U$3,2))</f>
        <v/>
      </c>
      <c r="I182" s="308" t="n"/>
      <c r="J182" s="273">
        <f>IF(OR(A182="",I182="",C182="",NOT(ISNUMBER($U$4))),"",ROUND(I182*C182*$U$4,2))</f>
        <v/>
      </c>
      <c r="K182" s="308" t="n"/>
      <c r="L182" s="273">
        <f>IF(OR(A182="",K182="",C182="",NOT(ISNUMBER($U$5))),"",ROUND(K182*C182*$U$5,2))</f>
        <v/>
      </c>
      <c r="M182" s="308" t="n"/>
      <c r="N182" s="273">
        <f>IF(OR(A182="",M182="",C182="",NOT(ISNUMBER($U$6))),"",ROUND(M182*C182*$U$6,2))</f>
        <v/>
      </c>
      <c r="O182" s="282">
        <f>IF(A182="","",SUM(E182,G182,I182,K182,M182))</f>
        <v/>
      </c>
      <c r="P182" s="273">
        <f>IF(A182="","",SUM(F182,H182,J182,L182,N182))</f>
        <v/>
      </c>
      <c r="Q182" s="284">
        <f>IF(A182="","",IF(O182&gt;B182,"DIVERGENCIA: CONSUMO MAIOR QUE CONTRATADO","OK"))</f>
        <v/>
      </c>
      <c r="R182" s="91" t="n"/>
      <c r="S182" s="91" t="n"/>
      <c r="T182" s="91" t="n"/>
      <c r="U182" s="91" t="n"/>
      <c r="V182" s="91" t="n"/>
      <c r="W182" s="91" t="n"/>
    </row>
    <row r="183">
      <c r="A183" s="307" t="n"/>
      <c r="B183" s="308" t="n"/>
      <c r="C183" s="309" t="n"/>
      <c r="D183" s="273">
        <f>IF(OR(A183="",B183="",C183=""),"",ROUND(B183*C183,2))</f>
        <v/>
      </c>
      <c r="E183" s="308" t="n"/>
      <c r="F183" s="273">
        <f>IF(OR(A183="",E183="",C183="",NOT(ISNUMBER($U$2))),"",ROUND(E183*C183*$U$2,2))</f>
        <v/>
      </c>
      <c r="G183" s="308" t="n"/>
      <c r="H183" s="273">
        <f>IF(OR(A183="",G183="",C183="",NOT(ISNUMBER($U$3))),"",ROUND(G183*C183*$U$3,2))</f>
        <v/>
      </c>
      <c r="I183" s="308" t="n"/>
      <c r="J183" s="273">
        <f>IF(OR(A183="",I183="",C183="",NOT(ISNUMBER($U$4))),"",ROUND(I183*C183*$U$4,2))</f>
        <v/>
      </c>
      <c r="K183" s="308" t="n"/>
      <c r="L183" s="273">
        <f>IF(OR(A183="",K183="",C183="",NOT(ISNUMBER($U$5))),"",ROUND(K183*C183*$U$5,2))</f>
        <v/>
      </c>
      <c r="M183" s="308" t="n"/>
      <c r="N183" s="273">
        <f>IF(OR(A183="",M183="",C183="",NOT(ISNUMBER($U$6))),"",ROUND(M183*C183*$U$6,2))</f>
        <v/>
      </c>
      <c r="O183" s="282">
        <f>IF(A183="","",SUM(E183,G183,I183,K183,M183))</f>
        <v/>
      </c>
      <c r="P183" s="273">
        <f>IF(A183="","",SUM(F183,H183,J183,L183,N183))</f>
        <v/>
      </c>
      <c r="Q183" s="284">
        <f>IF(A183="","",IF(O183&gt;B183,"DIVERGENCIA: CONSUMO MAIOR QUE CONTRATADO","OK"))</f>
        <v/>
      </c>
      <c r="R183" s="91" t="n"/>
      <c r="S183" s="91" t="n"/>
      <c r="T183" s="91" t="n"/>
      <c r="U183" s="91" t="n"/>
      <c r="V183" s="91" t="n"/>
      <c r="W183" s="91" t="n"/>
    </row>
    <row r="184">
      <c r="A184" s="307" t="n"/>
      <c r="B184" s="308" t="n"/>
      <c r="C184" s="309" t="n"/>
      <c r="D184" s="273">
        <f>IF(OR(A184="",B184="",C184=""),"",ROUND(B184*C184,2))</f>
        <v/>
      </c>
      <c r="E184" s="308" t="n"/>
      <c r="F184" s="273">
        <f>IF(OR(A184="",E184="",C184="",NOT(ISNUMBER($U$2))),"",ROUND(E184*C184*$U$2,2))</f>
        <v/>
      </c>
      <c r="G184" s="308" t="n"/>
      <c r="H184" s="273">
        <f>IF(OR(A184="",G184="",C184="",NOT(ISNUMBER($U$3))),"",ROUND(G184*C184*$U$3,2))</f>
        <v/>
      </c>
      <c r="I184" s="308" t="n"/>
      <c r="J184" s="273">
        <f>IF(OR(A184="",I184="",C184="",NOT(ISNUMBER($U$4))),"",ROUND(I184*C184*$U$4,2))</f>
        <v/>
      </c>
      <c r="K184" s="308" t="n"/>
      <c r="L184" s="273">
        <f>IF(OR(A184="",K184="",C184="",NOT(ISNUMBER($U$5))),"",ROUND(K184*C184*$U$5,2))</f>
        <v/>
      </c>
      <c r="M184" s="308" t="n"/>
      <c r="N184" s="273">
        <f>IF(OR(A184="",M184="",C184="",NOT(ISNUMBER($U$6))),"",ROUND(M184*C184*$U$6,2))</f>
        <v/>
      </c>
      <c r="O184" s="282">
        <f>IF(A184="","",SUM(E184,G184,I184,K184,M184))</f>
        <v/>
      </c>
      <c r="P184" s="273">
        <f>IF(A184="","",SUM(F184,H184,J184,L184,N184))</f>
        <v/>
      </c>
      <c r="Q184" s="284">
        <f>IF(A184="","",IF(O184&gt;B184,"DIVERGENCIA: CONSUMO MAIOR QUE CONTRATADO","OK"))</f>
        <v/>
      </c>
      <c r="R184" s="91" t="n"/>
      <c r="S184" s="91" t="n"/>
      <c r="T184" s="91" t="n"/>
      <c r="U184" s="91" t="n"/>
      <c r="V184" s="91" t="n"/>
      <c r="W184" s="91" t="n"/>
    </row>
    <row r="185">
      <c r="A185" s="307" t="n"/>
      <c r="B185" s="308" t="n"/>
      <c r="C185" s="309" t="n"/>
      <c r="D185" s="273">
        <f>IF(OR(A185="",B185="",C185=""),"",ROUND(B185*C185,2))</f>
        <v/>
      </c>
      <c r="E185" s="308" t="n"/>
      <c r="F185" s="273">
        <f>IF(OR(A185="",E185="",C185="",NOT(ISNUMBER($U$2))),"",ROUND(E185*C185*$U$2,2))</f>
        <v/>
      </c>
      <c r="G185" s="308" t="n"/>
      <c r="H185" s="273">
        <f>IF(OR(A185="",G185="",C185="",NOT(ISNUMBER($U$3))),"",ROUND(G185*C185*$U$3,2))</f>
        <v/>
      </c>
      <c r="I185" s="308" t="n"/>
      <c r="J185" s="273">
        <f>IF(OR(A185="",I185="",C185="",NOT(ISNUMBER($U$4))),"",ROUND(I185*C185*$U$4,2))</f>
        <v/>
      </c>
      <c r="K185" s="308" t="n"/>
      <c r="L185" s="273">
        <f>IF(OR(A185="",K185="",C185="",NOT(ISNUMBER($U$5))),"",ROUND(K185*C185*$U$5,2))</f>
        <v/>
      </c>
      <c r="M185" s="308" t="n"/>
      <c r="N185" s="273">
        <f>IF(OR(A185="",M185="",C185="",NOT(ISNUMBER($U$6))),"",ROUND(M185*C185*$U$6,2))</f>
        <v/>
      </c>
      <c r="O185" s="282">
        <f>IF(A185="","",SUM(E185,G185,I185,K185,M185))</f>
        <v/>
      </c>
      <c r="P185" s="273">
        <f>IF(A185="","",SUM(F185,H185,J185,L185,N185))</f>
        <v/>
      </c>
      <c r="Q185" s="284">
        <f>IF(A185="","",IF(O185&gt;B185,"DIVERGENCIA: CONSUMO MAIOR QUE CONTRATADO","OK"))</f>
        <v/>
      </c>
      <c r="R185" s="91" t="n"/>
      <c r="S185" s="91" t="n"/>
      <c r="T185" s="91" t="n"/>
      <c r="U185" s="91" t="n"/>
      <c r="V185" s="91" t="n"/>
      <c r="W185" s="91" t="n"/>
    </row>
    <row r="186">
      <c r="A186" s="307" t="n"/>
      <c r="B186" s="308" t="n"/>
      <c r="C186" s="309" t="n"/>
      <c r="D186" s="273">
        <f>IF(OR(A186="",B186="",C186=""),"",ROUND(B186*C186,2))</f>
        <v/>
      </c>
      <c r="E186" s="308" t="n"/>
      <c r="F186" s="273">
        <f>IF(OR(A186="",E186="",C186="",NOT(ISNUMBER($U$2))),"",ROUND(E186*C186*$U$2,2))</f>
        <v/>
      </c>
      <c r="G186" s="308" t="n"/>
      <c r="H186" s="273">
        <f>IF(OR(A186="",G186="",C186="",NOT(ISNUMBER($U$3))),"",ROUND(G186*C186*$U$3,2))</f>
        <v/>
      </c>
      <c r="I186" s="308" t="n"/>
      <c r="J186" s="273">
        <f>IF(OR(A186="",I186="",C186="",NOT(ISNUMBER($U$4))),"",ROUND(I186*C186*$U$4,2))</f>
        <v/>
      </c>
      <c r="K186" s="308" t="n"/>
      <c r="L186" s="273">
        <f>IF(OR(A186="",K186="",C186="",NOT(ISNUMBER($U$5))),"",ROUND(K186*C186*$U$5,2))</f>
        <v/>
      </c>
      <c r="M186" s="308" t="n"/>
      <c r="N186" s="273">
        <f>IF(OR(A186="",M186="",C186="",NOT(ISNUMBER($U$6))),"",ROUND(M186*C186*$U$6,2))</f>
        <v/>
      </c>
      <c r="O186" s="282">
        <f>IF(A186="","",SUM(E186,G186,I186,K186,M186))</f>
        <v/>
      </c>
      <c r="P186" s="273">
        <f>IF(A186="","",SUM(F186,H186,J186,L186,N186))</f>
        <v/>
      </c>
      <c r="Q186" s="284">
        <f>IF(A186="","",IF(O186&gt;B186,"DIVERGENCIA: CONSUMO MAIOR QUE CONTRATADO","OK"))</f>
        <v/>
      </c>
      <c r="R186" s="91" t="n"/>
      <c r="S186" s="91" t="n"/>
      <c r="T186" s="91" t="n"/>
      <c r="U186" s="91" t="n"/>
      <c r="V186" s="91" t="n"/>
      <c r="W186" s="91" t="n"/>
    </row>
    <row r="187">
      <c r="A187" s="307" t="n"/>
      <c r="B187" s="308" t="n"/>
      <c r="C187" s="309" t="n"/>
      <c r="D187" s="273">
        <f>IF(OR(A187="",B187="",C187=""),"",ROUND(B187*C187,2))</f>
        <v/>
      </c>
      <c r="E187" s="308" t="n"/>
      <c r="F187" s="273">
        <f>IF(OR(A187="",E187="",C187="",NOT(ISNUMBER($U$2))),"",ROUND(E187*C187*$U$2,2))</f>
        <v/>
      </c>
      <c r="G187" s="308" t="n"/>
      <c r="H187" s="273">
        <f>IF(OR(A187="",G187="",C187="",NOT(ISNUMBER($U$3))),"",ROUND(G187*C187*$U$3,2))</f>
        <v/>
      </c>
      <c r="I187" s="308" t="n"/>
      <c r="J187" s="273">
        <f>IF(OR(A187="",I187="",C187="",NOT(ISNUMBER($U$4))),"",ROUND(I187*C187*$U$4,2))</f>
        <v/>
      </c>
      <c r="K187" s="308" t="n"/>
      <c r="L187" s="273">
        <f>IF(OR(A187="",K187="",C187="",NOT(ISNUMBER($U$5))),"",ROUND(K187*C187*$U$5,2))</f>
        <v/>
      </c>
      <c r="M187" s="308" t="n"/>
      <c r="N187" s="273">
        <f>IF(OR(A187="",M187="",C187="",NOT(ISNUMBER($U$6))),"",ROUND(M187*C187*$U$6,2))</f>
        <v/>
      </c>
      <c r="O187" s="282">
        <f>IF(A187="","",SUM(E187,G187,I187,K187,M187))</f>
        <v/>
      </c>
      <c r="P187" s="273">
        <f>IF(A187="","",SUM(F187,H187,J187,L187,N187))</f>
        <v/>
      </c>
      <c r="Q187" s="284">
        <f>IF(A187="","",IF(O187&gt;B187,"DIVERGENCIA: CONSUMO MAIOR QUE CONTRATADO","OK"))</f>
        <v/>
      </c>
      <c r="R187" s="91" t="n"/>
      <c r="S187" s="91" t="n"/>
      <c r="T187" s="91" t="n"/>
      <c r="U187" s="91" t="n"/>
      <c r="V187" s="91" t="n"/>
      <c r="W187" s="91" t="n"/>
    </row>
    <row r="188">
      <c r="A188" s="307" t="n"/>
      <c r="B188" s="308" t="n"/>
      <c r="C188" s="309" t="n"/>
      <c r="D188" s="273">
        <f>IF(OR(A188="",B188="",C188=""),"",ROUND(B188*C188,2))</f>
        <v/>
      </c>
      <c r="E188" s="308" t="n"/>
      <c r="F188" s="273">
        <f>IF(OR(A188="",E188="",C188="",NOT(ISNUMBER($U$2))),"",ROUND(E188*C188*$U$2,2))</f>
        <v/>
      </c>
      <c r="G188" s="308" t="n"/>
      <c r="H188" s="273">
        <f>IF(OR(A188="",G188="",C188="",NOT(ISNUMBER($U$3))),"",ROUND(G188*C188*$U$3,2))</f>
        <v/>
      </c>
      <c r="I188" s="308" t="n"/>
      <c r="J188" s="273">
        <f>IF(OR(A188="",I188="",C188="",NOT(ISNUMBER($U$4))),"",ROUND(I188*C188*$U$4,2))</f>
        <v/>
      </c>
      <c r="K188" s="308" t="n"/>
      <c r="L188" s="273">
        <f>IF(OR(A188="",K188="",C188="",NOT(ISNUMBER($U$5))),"",ROUND(K188*C188*$U$5,2))</f>
        <v/>
      </c>
      <c r="M188" s="308" t="n"/>
      <c r="N188" s="273">
        <f>IF(OR(A188="",M188="",C188="",NOT(ISNUMBER($U$6))),"",ROUND(M188*C188*$U$6,2))</f>
        <v/>
      </c>
      <c r="O188" s="282">
        <f>IF(A188="","",SUM(E188,G188,I188,K188,M188))</f>
        <v/>
      </c>
      <c r="P188" s="273">
        <f>IF(A188="","",SUM(F188,H188,J188,L188,N188))</f>
        <v/>
      </c>
      <c r="Q188" s="284">
        <f>IF(A188="","",IF(O188&gt;B188,"DIVERGENCIA: CONSUMO MAIOR QUE CONTRATADO","OK"))</f>
        <v/>
      </c>
      <c r="R188" s="91" t="n"/>
      <c r="S188" s="91" t="n"/>
      <c r="T188" s="91" t="n"/>
      <c r="U188" s="91" t="n"/>
      <c r="V188" s="91" t="n"/>
      <c r="W188" s="91" t="n"/>
    </row>
    <row r="189">
      <c r="A189" s="307" t="n"/>
      <c r="B189" s="308" t="n"/>
      <c r="C189" s="309" t="n"/>
      <c r="D189" s="273">
        <f>IF(OR(A189="",B189="",C189=""),"",ROUND(B189*C189,2))</f>
        <v/>
      </c>
      <c r="E189" s="308" t="n"/>
      <c r="F189" s="273">
        <f>IF(OR(A189="",E189="",C189="",NOT(ISNUMBER($U$2))),"",ROUND(E189*C189*$U$2,2))</f>
        <v/>
      </c>
      <c r="G189" s="308" t="n"/>
      <c r="H189" s="273">
        <f>IF(OR(A189="",G189="",C189="",NOT(ISNUMBER($U$3))),"",ROUND(G189*C189*$U$3,2))</f>
        <v/>
      </c>
      <c r="I189" s="308" t="n"/>
      <c r="J189" s="273">
        <f>IF(OR(A189="",I189="",C189="",NOT(ISNUMBER($U$4))),"",ROUND(I189*C189*$U$4,2))</f>
        <v/>
      </c>
      <c r="K189" s="308" t="n"/>
      <c r="L189" s="273">
        <f>IF(OR(A189="",K189="",C189="",NOT(ISNUMBER($U$5))),"",ROUND(K189*C189*$U$5,2))</f>
        <v/>
      </c>
      <c r="M189" s="308" t="n"/>
      <c r="N189" s="273">
        <f>IF(OR(A189="",M189="",C189="",NOT(ISNUMBER($U$6))),"",ROUND(M189*C189*$U$6,2))</f>
        <v/>
      </c>
      <c r="O189" s="282">
        <f>IF(A189="","",SUM(E189,G189,I189,K189,M189))</f>
        <v/>
      </c>
      <c r="P189" s="273">
        <f>IF(A189="","",SUM(F189,H189,J189,L189,N189))</f>
        <v/>
      </c>
      <c r="Q189" s="284">
        <f>IF(A189="","",IF(O189&gt;B189,"DIVERGENCIA: CONSUMO MAIOR QUE CONTRATADO","OK"))</f>
        <v/>
      </c>
      <c r="R189" s="91" t="n"/>
      <c r="S189" s="91" t="n"/>
      <c r="T189" s="91" t="n"/>
      <c r="U189" s="91" t="n"/>
      <c r="V189" s="91" t="n"/>
      <c r="W189" s="91" t="n"/>
    </row>
    <row r="190">
      <c r="A190" s="307" t="n"/>
      <c r="B190" s="308" t="n"/>
      <c r="C190" s="309" t="n"/>
      <c r="D190" s="273">
        <f>IF(OR(A190="",B190="",C190=""),"",ROUND(B190*C190,2))</f>
        <v/>
      </c>
      <c r="E190" s="308" t="n"/>
      <c r="F190" s="273">
        <f>IF(OR(A190="",E190="",C190="",NOT(ISNUMBER($U$2))),"",ROUND(E190*C190*$U$2,2))</f>
        <v/>
      </c>
      <c r="G190" s="308" t="n"/>
      <c r="H190" s="273">
        <f>IF(OR(A190="",G190="",C190="",NOT(ISNUMBER($U$3))),"",ROUND(G190*C190*$U$3,2))</f>
        <v/>
      </c>
      <c r="I190" s="308" t="n"/>
      <c r="J190" s="273">
        <f>IF(OR(A190="",I190="",C190="",NOT(ISNUMBER($U$4))),"",ROUND(I190*C190*$U$4,2))</f>
        <v/>
      </c>
      <c r="K190" s="308" t="n"/>
      <c r="L190" s="273">
        <f>IF(OR(A190="",K190="",C190="",NOT(ISNUMBER($U$5))),"",ROUND(K190*C190*$U$5,2))</f>
        <v/>
      </c>
      <c r="M190" s="308" t="n"/>
      <c r="N190" s="273">
        <f>IF(OR(A190="",M190="",C190="",NOT(ISNUMBER($U$6))),"",ROUND(M190*C190*$U$6,2))</f>
        <v/>
      </c>
      <c r="O190" s="282">
        <f>IF(A190="","",SUM(E190,G190,I190,K190,M190))</f>
        <v/>
      </c>
      <c r="P190" s="273">
        <f>IF(A190="","",SUM(F190,H190,J190,L190,N190))</f>
        <v/>
      </c>
      <c r="Q190" s="284">
        <f>IF(A190="","",IF(O190&gt;B190,"DIVERGENCIA: CONSUMO MAIOR QUE CONTRATADO","OK"))</f>
        <v/>
      </c>
      <c r="R190" s="91" t="n"/>
      <c r="S190" s="91" t="n"/>
      <c r="T190" s="91" t="n"/>
      <c r="U190" s="91" t="n"/>
      <c r="V190" s="91" t="n"/>
      <c r="W190" s="91" t="n"/>
    </row>
    <row r="191">
      <c r="A191" s="307" t="n"/>
      <c r="B191" s="308" t="n"/>
      <c r="C191" s="309" t="n"/>
      <c r="D191" s="273">
        <f>IF(OR(A191="",B191="",C191=""),"",ROUND(B191*C191,2))</f>
        <v/>
      </c>
      <c r="E191" s="308" t="n"/>
      <c r="F191" s="273">
        <f>IF(OR(A191="",E191="",C191="",NOT(ISNUMBER($U$2))),"",ROUND(E191*C191*$U$2,2))</f>
        <v/>
      </c>
      <c r="G191" s="308" t="n"/>
      <c r="H191" s="273">
        <f>IF(OR(A191="",G191="",C191="",NOT(ISNUMBER($U$3))),"",ROUND(G191*C191*$U$3,2))</f>
        <v/>
      </c>
      <c r="I191" s="308" t="n"/>
      <c r="J191" s="273">
        <f>IF(OR(A191="",I191="",C191="",NOT(ISNUMBER($U$4))),"",ROUND(I191*C191*$U$4,2))</f>
        <v/>
      </c>
      <c r="K191" s="308" t="n"/>
      <c r="L191" s="273">
        <f>IF(OR(A191="",K191="",C191="",NOT(ISNUMBER($U$5))),"",ROUND(K191*C191*$U$5,2))</f>
        <v/>
      </c>
      <c r="M191" s="308" t="n"/>
      <c r="N191" s="273">
        <f>IF(OR(A191="",M191="",C191="",NOT(ISNUMBER($U$6))),"",ROUND(M191*C191*$U$6,2))</f>
        <v/>
      </c>
      <c r="O191" s="282">
        <f>IF(A191="","",SUM(E191,G191,I191,K191,M191))</f>
        <v/>
      </c>
      <c r="P191" s="273">
        <f>IF(A191="","",SUM(F191,H191,J191,L191,N191))</f>
        <v/>
      </c>
      <c r="Q191" s="284">
        <f>IF(A191="","",IF(O191&gt;B191,"DIVERGENCIA: CONSUMO MAIOR QUE CONTRATADO","OK"))</f>
        <v/>
      </c>
      <c r="R191" s="91" t="n"/>
      <c r="S191" s="91" t="n"/>
      <c r="T191" s="91" t="n"/>
      <c r="U191" s="91" t="n"/>
      <c r="V191" s="91" t="n"/>
      <c r="W191" s="91" t="n"/>
    </row>
    <row r="192">
      <c r="A192" s="307" t="n"/>
      <c r="B192" s="308" t="n"/>
      <c r="C192" s="309" t="n"/>
      <c r="D192" s="273">
        <f>IF(OR(A192="",B192="",C192=""),"",ROUND(B192*C192,2))</f>
        <v/>
      </c>
      <c r="E192" s="308" t="n"/>
      <c r="F192" s="273">
        <f>IF(OR(A192="",E192="",C192="",NOT(ISNUMBER($U$2))),"",ROUND(E192*C192*$U$2,2))</f>
        <v/>
      </c>
      <c r="G192" s="308" t="n"/>
      <c r="H192" s="273">
        <f>IF(OR(A192="",G192="",C192="",NOT(ISNUMBER($U$3))),"",ROUND(G192*C192*$U$3,2))</f>
        <v/>
      </c>
      <c r="I192" s="308" t="n"/>
      <c r="J192" s="273">
        <f>IF(OR(A192="",I192="",C192="",NOT(ISNUMBER($U$4))),"",ROUND(I192*C192*$U$4,2))</f>
        <v/>
      </c>
      <c r="K192" s="308" t="n"/>
      <c r="L192" s="273">
        <f>IF(OR(A192="",K192="",C192="",NOT(ISNUMBER($U$5))),"",ROUND(K192*C192*$U$5,2))</f>
        <v/>
      </c>
      <c r="M192" s="308" t="n"/>
      <c r="N192" s="273">
        <f>IF(OR(A192="",M192="",C192="",NOT(ISNUMBER($U$6))),"",ROUND(M192*C192*$U$6,2))</f>
        <v/>
      </c>
      <c r="O192" s="282">
        <f>IF(A192="","",SUM(E192,G192,I192,K192,M192))</f>
        <v/>
      </c>
      <c r="P192" s="273">
        <f>IF(A192="","",SUM(F192,H192,J192,L192,N192))</f>
        <v/>
      </c>
      <c r="Q192" s="284">
        <f>IF(A192="","",IF(O192&gt;B192,"DIVERGENCIA: CONSUMO MAIOR QUE CONTRATADO","OK"))</f>
        <v/>
      </c>
      <c r="R192" s="91" t="n"/>
      <c r="S192" s="91" t="n"/>
      <c r="T192" s="91" t="n"/>
      <c r="U192" s="91" t="n"/>
      <c r="V192" s="91" t="n"/>
      <c r="W192" s="91" t="n"/>
    </row>
    <row r="193">
      <c r="A193" s="307" t="n"/>
      <c r="B193" s="308" t="n"/>
      <c r="C193" s="309" t="n"/>
      <c r="D193" s="273">
        <f>IF(OR(A193="",B193="",C193=""),"",ROUND(B193*C193,2))</f>
        <v/>
      </c>
      <c r="E193" s="308" t="n"/>
      <c r="F193" s="273">
        <f>IF(OR(A193="",E193="",C193="",NOT(ISNUMBER($U$2))),"",ROUND(E193*C193*$U$2,2))</f>
        <v/>
      </c>
      <c r="G193" s="308" t="n"/>
      <c r="H193" s="273">
        <f>IF(OR(A193="",G193="",C193="",NOT(ISNUMBER($U$3))),"",ROUND(G193*C193*$U$3,2))</f>
        <v/>
      </c>
      <c r="I193" s="308" t="n"/>
      <c r="J193" s="273">
        <f>IF(OR(A193="",I193="",C193="",NOT(ISNUMBER($U$4))),"",ROUND(I193*C193*$U$4,2))</f>
        <v/>
      </c>
      <c r="K193" s="308" t="n"/>
      <c r="L193" s="273">
        <f>IF(OR(A193="",K193="",C193="",NOT(ISNUMBER($U$5))),"",ROUND(K193*C193*$U$5,2))</f>
        <v/>
      </c>
      <c r="M193" s="308" t="n"/>
      <c r="N193" s="273">
        <f>IF(OR(A193="",M193="",C193="",NOT(ISNUMBER($U$6))),"",ROUND(M193*C193*$U$6,2))</f>
        <v/>
      </c>
      <c r="O193" s="282">
        <f>IF(A193="","",SUM(E193,G193,I193,K193,M193))</f>
        <v/>
      </c>
      <c r="P193" s="273">
        <f>IF(A193="","",SUM(F193,H193,J193,L193,N193))</f>
        <v/>
      </c>
      <c r="Q193" s="284">
        <f>IF(A193="","",IF(O193&gt;B193,"DIVERGENCIA: CONSUMO MAIOR QUE CONTRATADO","OK"))</f>
        <v/>
      </c>
      <c r="R193" s="91" t="n"/>
      <c r="S193" s="91" t="n"/>
      <c r="T193" s="91" t="n"/>
      <c r="U193" s="91" t="n"/>
      <c r="V193" s="91" t="n"/>
      <c r="W193" s="91" t="n"/>
    </row>
    <row r="194">
      <c r="A194" s="307" t="n"/>
      <c r="B194" s="308" t="n"/>
      <c r="C194" s="309" t="n"/>
      <c r="D194" s="273">
        <f>IF(OR(A194="",B194="",C194=""),"",ROUND(B194*C194,2))</f>
        <v/>
      </c>
      <c r="E194" s="308" t="n"/>
      <c r="F194" s="273">
        <f>IF(OR(A194="",E194="",C194="",NOT(ISNUMBER($U$2))),"",ROUND(E194*C194*$U$2,2))</f>
        <v/>
      </c>
      <c r="G194" s="308" t="n"/>
      <c r="H194" s="273">
        <f>IF(OR(A194="",G194="",C194="",NOT(ISNUMBER($U$3))),"",ROUND(G194*C194*$U$3,2))</f>
        <v/>
      </c>
      <c r="I194" s="308" t="n"/>
      <c r="J194" s="273">
        <f>IF(OR(A194="",I194="",C194="",NOT(ISNUMBER($U$4))),"",ROUND(I194*C194*$U$4,2))</f>
        <v/>
      </c>
      <c r="K194" s="308" t="n"/>
      <c r="L194" s="273">
        <f>IF(OR(A194="",K194="",C194="",NOT(ISNUMBER($U$5))),"",ROUND(K194*C194*$U$5,2))</f>
        <v/>
      </c>
      <c r="M194" s="308" t="n"/>
      <c r="N194" s="273">
        <f>IF(OR(A194="",M194="",C194="",NOT(ISNUMBER($U$6))),"",ROUND(M194*C194*$U$6,2))</f>
        <v/>
      </c>
      <c r="O194" s="282">
        <f>IF(A194="","",SUM(E194,G194,I194,K194,M194))</f>
        <v/>
      </c>
      <c r="P194" s="273">
        <f>IF(A194="","",SUM(F194,H194,J194,L194,N194))</f>
        <v/>
      </c>
      <c r="Q194" s="284">
        <f>IF(A194="","",IF(O194&gt;B194,"DIVERGENCIA: CONSUMO MAIOR QUE CONTRATADO","OK"))</f>
        <v/>
      </c>
      <c r="R194" s="91" t="n"/>
      <c r="S194" s="91" t="n"/>
      <c r="T194" s="91" t="n"/>
      <c r="U194" s="91" t="n"/>
      <c r="V194" s="91" t="n"/>
      <c r="W194" s="91" t="n"/>
    </row>
    <row r="195">
      <c r="A195" s="307" t="n"/>
      <c r="B195" s="308" t="n"/>
      <c r="C195" s="309" t="n"/>
      <c r="D195" s="273">
        <f>IF(OR(A195="",B195="",C195=""),"",ROUND(B195*C195,2))</f>
        <v/>
      </c>
      <c r="E195" s="308" t="n"/>
      <c r="F195" s="273">
        <f>IF(OR(A195="",E195="",C195="",NOT(ISNUMBER($U$2))),"",ROUND(E195*C195*$U$2,2))</f>
        <v/>
      </c>
      <c r="G195" s="308" t="n"/>
      <c r="H195" s="273">
        <f>IF(OR(A195="",G195="",C195="",NOT(ISNUMBER($U$3))),"",ROUND(G195*C195*$U$3,2))</f>
        <v/>
      </c>
      <c r="I195" s="308" t="n"/>
      <c r="J195" s="273">
        <f>IF(OR(A195="",I195="",C195="",NOT(ISNUMBER($U$4))),"",ROUND(I195*C195*$U$4,2))</f>
        <v/>
      </c>
      <c r="K195" s="308" t="n"/>
      <c r="L195" s="273">
        <f>IF(OR(A195="",K195="",C195="",NOT(ISNUMBER($U$5))),"",ROUND(K195*C195*$U$5,2))</f>
        <v/>
      </c>
      <c r="M195" s="308" t="n"/>
      <c r="N195" s="273">
        <f>IF(OR(A195="",M195="",C195="",NOT(ISNUMBER($U$6))),"",ROUND(M195*C195*$U$6,2))</f>
        <v/>
      </c>
      <c r="O195" s="282">
        <f>IF(A195="","",SUM(E195,G195,I195,K195,M195))</f>
        <v/>
      </c>
      <c r="P195" s="273">
        <f>IF(A195="","",SUM(F195,H195,J195,L195,N195))</f>
        <v/>
      </c>
      <c r="Q195" s="284">
        <f>IF(A195="","",IF(O195&gt;B195,"DIVERGENCIA: CONSUMO MAIOR QUE CONTRATADO","OK"))</f>
        <v/>
      </c>
      <c r="R195" s="91" t="n"/>
      <c r="S195" s="91" t="n"/>
      <c r="T195" s="91" t="n"/>
      <c r="U195" s="91" t="n"/>
      <c r="V195" s="91" t="n"/>
      <c r="W195" s="91" t="n"/>
    </row>
    <row r="196">
      <c r="A196" s="307" t="n"/>
      <c r="B196" s="308" t="n"/>
      <c r="C196" s="309" t="n"/>
      <c r="D196" s="273">
        <f>IF(OR(A196="",B196="",C196=""),"",ROUND(B196*C196,2))</f>
        <v/>
      </c>
      <c r="E196" s="308" t="n"/>
      <c r="F196" s="273">
        <f>IF(OR(A196="",E196="",C196="",NOT(ISNUMBER($U$2))),"",ROUND(E196*C196*$U$2,2))</f>
        <v/>
      </c>
      <c r="G196" s="308" t="n"/>
      <c r="H196" s="273">
        <f>IF(OR(A196="",G196="",C196="",NOT(ISNUMBER($U$3))),"",ROUND(G196*C196*$U$3,2))</f>
        <v/>
      </c>
      <c r="I196" s="308" t="n"/>
      <c r="J196" s="273">
        <f>IF(OR(A196="",I196="",C196="",NOT(ISNUMBER($U$4))),"",ROUND(I196*C196*$U$4,2))</f>
        <v/>
      </c>
      <c r="K196" s="308" t="n"/>
      <c r="L196" s="273">
        <f>IF(OR(A196="",K196="",C196="",NOT(ISNUMBER($U$5))),"",ROUND(K196*C196*$U$5,2))</f>
        <v/>
      </c>
      <c r="M196" s="308" t="n"/>
      <c r="N196" s="273">
        <f>IF(OR(A196="",M196="",C196="",NOT(ISNUMBER($U$6))),"",ROUND(M196*C196*$U$6,2))</f>
        <v/>
      </c>
      <c r="O196" s="282">
        <f>IF(A196="","",SUM(E196,G196,I196,K196,M196))</f>
        <v/>
      </c>
      <c r="P196" s="273">
        <f>IF(A196="","",SUM(F196,H196,J196,L196,N196))</f>
        <v/>
      </c>
      <c r="Q196" s="284">
        <f>IF(A196="","",IF(O196&gt;B196,"DIVERGENCIA: CONSUMO MAIOR QUE CONTRATADO","OK"))</f>
        <v/>
      </c>
      <c r="R196" s="91" t="n"/>
      <c r="S196" s="91" t="n"/>
      <c r="T196" s="91" t="n"/>
      <c r="U196" s="91" t="n"/>
      <c r="V196" s="91" t="n"/>
      <c r="W196" s="91" t="n"/>
    </row>
    <row r="197">
      <c r="A197" s="307" t="n"/>
      <c r="B197" s="308" t="n"/>
      <c r="C197" s="309" t="n"/>
      <c r="D197" s="273">
        <f>IF(OR(A197="",B197="",C197=""),"",ROUND(B197*C197,2))</f>
        <v/>
      </c>
      <c r="E197" s="308" t="n"/>
      <c r="F197" s="273">
        <f>IF(OR(A197="",E197="",C197="",NOT(ISNUMBER($U$2))),"",ROUND(E197*C197*$U$2,2))</f>
        <v/>
      </c>
      <c r="G197" s="308" t="n"/>
      <c r="H197" s="273">
        <f>IF(OR(A197="",G197="",C197="",NOT(ISNUMBER($U$3))),"",ROUND(G197*C197*$U$3,2))</f>
        <v/>
      </c>
      <c r="I197" s="308" t="n"/>
      <c r="J197" s="273">
        <f>IF(OR(A197="",I197="",C197="",NOT(ISNUMBER($U$4))),"",ROUND(I197*C197*$U$4,2))</f>
        <v/>
      </c>
      <c r="K197" s="308" t="n"/>
      <c r="L197" s="273">
        <f>IF(OR(A197="",K197="",C197="",NOT(ISNUMBER($U$5))),"",ROUND(K197*C197*$U$5,2))</f>
        <v/>
      </c>
      <c r="M197" s="308" t="n"/>
      <c r="N197" s="273">
        <f>IF(OR(A197="",M197="",C197="",NOT(ISNUMBER($U$6))),"",ROUND(M197*C197*$U$6,2))</f>
        <v/>
      </c>
      <c r="O197" s="282">
        <f>IF(A197="","",SUM(E197,G197,I197,K197,M197))</f>
        <v/>
      </c>
      <c r="P197" s="273">
        <f>IF(A197="","",SUM(F197,H197,J197,L197,N197))</f>
        <v/>
      </c>
      <c r="Q197" s="284">
        <f>IF(A197="","",IF(O197&gt;B197,"DIVERGENCIA: CONSUMO MAIOR QUE CONTRATADO","OK"))</f>
        <v/>
      </c>
      <c r="R197" s="91" t="n"/>
      <c r="S197" s="91" t="n"/>
      <c r="T197" s="91" t="n"/>
      <c r="U197" s="91" t="n"/>
      <c r="V197" s="91" t="n"/>
      <c r="W197" s="91" t="n"/>
    </row>
    <row r="198">
      <c r="A198" s="307" t="n"/>
      <c r="B198" s="308" t="n"/>
      <c r="C198" s="309" t="n"/>
      <c r="D198" s="273">
        <f>IF(OR(A198="",B198="",C198=""),"",ROUND(B198*C198,2))</f>
        <v/>
      </c>
      <c r="E198" s="308" t="n"/>
      <c r="F198" s="273">
        <f>IF(OR(A198="",E198="",C198="",NOT(ISNUMBER($U$2))),"",ROUND(E198*C198*$U$2,2))</f>
        <v/>
      </c>
      <c r="G198" s="308" t="n"/>
      <c r="H198" s="273">
        <f>IF(OR(A198="",G198="",C198="",NOT(ISNUMBER($U$3))),"",ROUND(G198*C198*$U$3,2))</f>
        <v/>
      </c>
      <c r="I198" s="308" t="n"/>
      <c r="J198" s="273">
        <f>IF(OR(A198="",I198="",C198="",NOT(ISNUMBER($U$4))),"",ROUND(I198*C198*$U$4,2))</f>
        <v/>
      </c>
      <c r="K198" s="308" t="n"/>
      <c r="L198" s="273">
        <f>IF(OR(A198="",K198="",C198="",NOT(ISNUMBER($U$5))),"",ROUND(K198*C198*$U$5,2))</f>
        <v/>
      </c>
      <c r="M198" s="308" t="n"/>
      <c r="N198" s="273">
        <f>IF(OR(A198="",M198="",C198="",NOT(ISNUMBER($U$6))),"",ROUND(M198*C198*$U$6,2))</f>
        <v/>
      </c>
      <c r="O198" s="282">
        <f>IF(A198="","",SUM(E198,G198,I198,K198,M198))</f>
        <v/>
      </c>
      <c r="P198" s="273">
        <f>IF(A198="","",SUM(F198,H198,J198,L198,N198))</f>
        <v/>
      </c>
      <c r="Q198" s="284">
        <f>IF(A198="","",IF(O198&gt;B198,"DIVERGENCIA: CONSUMO MAIOR QUE CONTRATADO","OK"))</f>
        <v/>
      </c>
      <c r="R198" s="91" t="n"/>
      <c r="S198" s="91" t="n"/>
      <c r="T198" s="91" t="n"/>
      <c r="U198" s="91" t="n"/>
      <c r="V198" s="91" t="n"/>
      <c r="W198" s="91" t="n"/>
    </row>
    <row r="199">
      <c r="A199" s="307" t="n"/>
      <c r="B199" s="308" t="n"/>
      <c r="C199" s="309" t="n"/>
      <c r="D199" s="273">
        <f>IF(OR(A199="",B199="",C199=""),"",ROUND(B199*C199,2))</f>
        <v/>
      </c>
      <c r="E199" s="308" t="n"/>
      <c r="F199" s="273">
        <f>IF(OR(A199="",E199="",C199="",NOT(ISNUMBER($U$2))),"",ROUND(E199*C199*$U$2,2))</f>
        <v/>
      </c>
      <c r="G199" s="308" t="n"/>
      <c r="H199" s="273">
        <f>IF(OR(A199="",G199="",C199="",NOT(ISNUMBER($U$3))),"",ROUND(G199*C199*$U$3,2))</f>
        <v/>
      </c>
      <c r="I199" s="308" t="n"/>
      <c r="J199" s="273">
        <f>IF(OR(A199="",I199="",C199="",NOT(ISNUMBER($U$4))),"",ROUND(I199*C199*$U$4,2))</f>
        <v/>
      </c>
      <c r="K199" s="308" t="n"/>
      <c r="L199" s="273">
        <f>IF(OR(A199="",K199="",C199="",NOT(ISNUMBER($U$5))),"",ROUND(K199*C199*$U$5,2))</f>
        <v/>
      </c>
      <c r="M199" s="308" t="n"/>
      <c r="N199" s="273">
        <f>IF(OR(A199="",M199="",C199="",NOT(ISNUMBER($U$6))),"",ROUND(M199*C199*$U$6,2))</f>
        <v/>
      </c>
      <c r="O199" s="282">
        <f>IF(A199="","",SUM(E199,G199,I199,K199,M199))</f>
        <v/>
      </c>
      <c r="P199" s="273">
        <f>IF(A199="","",SUM(F199,H199,J199,L199,N199))</f>
        <v/>
      </c>
      <c r="Q199" s="284">
        <f>IF(A199="","",IF(O199&gt;B199,"DIVERGENCIA: CONSUMO MAIOR QUE CONTRATADO","OK"))</f>
        <v/>
      </c>
      <c r="R199" s="91" t="n"/>
      <c r="S199" s="91" t="n"/>
      <c r="T199" s="91" t="n"/>
      <c r="U199" s="91" t="n"/>
      <c r="V199" s="91" t="n"/>
      <c r="W199" s="91" t="n"/>
    </row>
    <row r="200">
      <c r="A200" s="307" t="n"/>
      <c r="B200" s="308" t="n"/>
      <c r="C200" s="309" t="n"/>
      <c r="D200" s="273">
        <f>IF(OR(A200="",B200="",C200=""),"",ROUND(B200*C200,2))</f>
        <v/>
      </c>
      <c r="E200" s="308" t="n"/>
      <c r="F200" s="273">
        <f>IF(OR(A200="",E200="",C200="",NOT(ISNUMBER($U$2))),"",ROUND(E200*C200*$U$2,2))</f>
        <v/>
      </c>
      <c r="G200" s="308" t="n"/>
      <c r="H200" s="273">
        <f>IF(OR(A200="",G200="",C200="",NOT(ISNUMBER($U$3))),"",ROUND(G200*C200*$U$3,2))</f>
        <v/>
      </c>
      <c r="I200" s="308" t="n"/>
      <c r="J200" s="273">
        <f>IF(OR(A200="",I200="",C200="",NOT(ISNUMBER($U$4))),"",ROUND(I200*C200*$U$4,2))</f>
        <v/>
      </c>
      <c r="K200" s="308" t="n"/>
      <c r="L200" s="273">
        <f>IF(OR(A200="",K200="",C200="",NOT(ISNUMBER($U$5))),"",ROUND(K200*C200*$U$5,2))</f>
        <v/>
      </c>
      <c r="M200" s="308" t="n"/>
      <c r="N200" s="273">
        <f>IF(OR(A200="",M200="",C200="",NOT(ISNUMBER($U$6))),"",ROUND(M200*C200*$U$6,2))</f>
        <v/>
      </c>
      <c r="O200" s="282">
        <f>IF(A200="","",SUM(E200,G200,I200,K200,M200))</f>
        <v/>
      </c>
      <c r="P200" s="273">
        <f>IF(A200="","",SUM(F200,H200,J200,L200,N200))</f>
        <v/>
      </c>
      <c r="Q200" s="284">
        <f>IF(A200="","",IF(O200&gt;B200,"DIVERGENCIA: CONSUMO MAIOR QUE CONTRATADO","OK"))</f>
        <v/>
      </c>
      <c r="R200" s="91" t="n"/>
      <c r="S200" s="91" t="n"/>
      <c r="T200" s="91" t="n"/>
      <c r="U200" s="91" t="n"/>
      <c r="V200" s="91" t="n"/>
      <c r="W200" s="9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0"/>
  <sheetViews>
    <sheetView showGridLines="0" topLeftCell="M1" workbookViewId="0">
      <pane ySplit="1" topLeftCell="A2" activePane="bottomLeft" state="frozen"/>
      <selection pane="bottomLeft" activeCell="N1" sqref="N1:U1"/>
    </sheetView>
  </sheetViews>
  <sheetFormatPr baseColWidth="8" defaultColWidth="22.85546875" defaultRowHeight="15"/>
  <cols>
    <col width="13.140625" customWidth="1" min="2" max="2"/>
    <col width="10.42578125" customWidth="1" min="3" max="3"/>
    <col width="10.5703125" customWidth="1" min="4" max="4"/>
    <col width="11.42578125" customWidth="1" min="5" max="5"/>
    <col width="19.5703125" customWidth="1" min="6" max="6"/>
    <col width="19.42578125" customWidth="1" min="7" max="7"/>
    <col width="24.28515625" customWidth="1" min="8" max="8"/>
    <col width="33.42578125" customWidth="1" min="9" max="9"/>
    <col width="30.140625" customWidth="1" min="10" max="10"/>
    <col width="17.5703125" customWidth="1" min="11" max="11"/>
    <col width="21.42578125" customWidth="1" min="12" max="12"/>
  </cols>
  <sheetData>
    <row r="1" ht="25.5" customHeight="1">
      <c r="A1" s="311" t="inlineStr">
        <is>
          <t>ITEM</t>
        </is>
      </c>
      <c r="B1" s="311" t="inlineStr">
        <is>
          <t>NUMERO_PC</t>
        </is>
      </c>
      <c r="C1" s="311" t="inlineStr">
        <is>
          <t>DATA_PC</t>
        </is>
      </c>
      <c r="D1" s="311" t="inlineStr">
        <is>
          <t>CICLO_PC</t>
        </is>
      </c>
      <c r="E1" s="311" t="inlineStr">
        <is>
          <t>VALOR_PC</t>
        </is>
      </c>
      <c r="F1" s="311" t="inlineStr">
        <is>
          <t>FATOR_ACUMULADO</t>
        </is>
      </c>
      <c r="G1" s="311" t="inlineStr">
        <is>
          <t>VALOR_ATUALIZADO</t>
        </is>
      </c>
      <c r="H1" s="216" t="inlineStr">
        <is>
          <t>PC_PAGO_A_CONTRATADA</t>
        </is>
      </c>
      <c r="I1" s="216" t="inlineStr">
        <is>
          <t>RETROATIVO_RECONHECIDO_A_PAGAR</t>
        </is>
      </c>
      <c r="J1" s="216" t="inlineStr">
        <is>
          <t>VALOR_ATUALIZADO_EM_ANALISE</t>
        </is>
      </c>
      <c r="K1" s="216" t="inlineStr">
        <is>
          <t>DELTA_POTENCIAL</t>
        </is>
      </c>
      <c r="L1" s="216" t="inlineStr">
        <is>
          <t>CHECK_PC_FINANCEIRO</t>
        </is>
      </c>
      <c r="M1" s="27" t="n"/>
      <c r="N1" s="98" t="inlineStr">
        <is>
          <t>CICLO</t>
        </is>
      </c>
      <c r="O1" s="98" t="inlineStr">
        <is>
          <t>QTD_PC</t>
        </is>
      </c>
      <c r="P1" s="98" t="inlineStr">
        <is>
          <t>VALOR_PC_TOTAL</t>
        </is>
      </c>
      <c r="Q1" s="98" t="inlineStr">
        <is>
          <t>VALOR_ATUALIZADO_TOTAL</t>
        </is>
      </c>
      <c r="R1" s="98" t="inlineStr">
        <is>
          <t>RETROATIVO_RECONHECIDO_A_PAGAR</t>
        </is>
      </c>
      <c r="S1" s="98" t="inlineStr">
        <is>
          <t>VALOR_ATUALIZADO_EM_ANALISE</t>
        </is>
      </c>
      <c r="T1" s="98" t="inlineStr">
        <is>
          <t>DELTA_POTENCIAL</t>
        </is>
      </c>
      <c r="U1" s="98" t="inlineStr">
        <is>
          <t>QTD_COM_CHECK</t>
        </is>
      </c>
      <c r="V1" s="91" t="n"/>
      <c r="W1" s="99" t="inlineStr">
        <is>
          <t>COMPUTA_VTA</t>
        </is>
      </c>
      <c r="X1" s="99" t="inlineStr">
        <is>
          <t>TIPO_PARCELA</t>
        </is>
      </c>
      <c r="Y1" s="99" t="inlineStr">
        <is>
          <t>ORIGEM_DADO</t>
        </is>
      </c>
      <c r="Z1" s="99" t="inlineStr">
        <is>
          <t>TIPO_FINANCEIRO</t>
        </is>
      </c>
      <c r="AA1" s="99" t="inlineStr">
        <is>
          <t>FONTE_PARCELA</t>
        </is>
      </c>
      <c r="AB1" s="99" t="inlineStr">
        <is>
          <t>JA_REFLETIDO_EM</t>
        </is>
      </c>
      <c r="AC1" s="99" t="inlineStr">
        <is>
          <t>STATUS_CONSOLIDACAO</t>
        </is>
      </c>
      <c r="AD1" s="99" t="inlineStr">
        <is>
          <t>JUSTIFICATIVA_VTA</t>
        </is>
      </c>
    </row>
    <row r="2" ht="25.5" customHeight="1">
      <c r="A2" s="307" t="n"/>
      <c r="B2" s="307" t="n"/>
      <c r="C2" s="312" t="n"/>
      <c r="D2" s="313">
        <f>IF(C2="","",IF(OR(C2&lt;MIN(parametros!$D$2:$D$6),C2&gt;MAX(parametros!$E$2:$E$6)),"Fora dos ciclos",LOOKUP(C2,parametros!$D$2:$D$6,parametros!$B$2:$B$6)))</f>
        <v/>
      </c>
      <c r="E2" s="314" t="n"/>
      <c r="F2" s="272">
        <f>IF(D2="","",IFERROR(VLOOKUP(D2,parametros!$A$11:$E$15,5,0),""))</f>
        <v/>
      </c>
      <c r="G2" s="273">
        <f>IF(OR(E2="",F2=""),"",ROUND(E2*F2,2))</f>
        <v/>
      </c>
      <c r="H2" s="315" t="n"/>
      <c r="I2" s="292">
        <f>IF(H2="Sim",IF(OR(G2="",E2=""),"",ROUND(G2-E2,2)),0)</f>
        <v/>
      </c>
      <c r="J2" s="292">
        <f>IF(H2="Nao",IF(G2="","",G2),0)</f>
        <v/>
      </c>
      <c r="K2" s="292">
        <f>IF(H2="Nao",IF(OR(G2="",E2=""),"",ROUND(G2-E2,2)),0)</f>
        <v/>
      </c>
      <c r="L2" s="295">
        <f>IF(COUNTA(A2:H2)=0,"",IF(C2="","DATA_PC vazia",IF(OR(D2="",D2="Fora dos ciclos"),"CICLO_PC nao identificado",IF(OR(E2="",E2=0),"VALOR_PC vazio ou zero",IF(AND(H2&lt;&gt;"Sim",H2&lt;&gt;"Nao"),"PC_PAGO_A_CONTRATADA invalido","OK")))))</f>
        <v/>
      </c>
      <c r="M2" s="34" t="n"/>
      <c r="N2" s="104" t="inlineStr">
        <is>
          <t>C0</t>
        </is>
      </c>
      <c r="O2" s="105">
        <f>COUNTIF($D$2:$D$100,N2)</f>
        <v/>
      </c>
      <c r="P2" s="316">
        <f>SUMIF($D$2:$D$100,N2,$E$2:$E$100)</f>
        <v/>
      </c>
      <c r="Q2" s="316">
        <f>SUMIF($D$2:$D$100,N2,$G$2:$G$100)</f>
        <v/>
      </c>
      <c r="R2" s="316">
        <f>SUMIF($D$2:$D$100,N2,$I$2:$I$100)</f>
        <v/>
      </c>
      <c r="S2" s="316">
        <f>SUMIF($D$2:$D$100,N2,$J$2:$J$100)</f>
        <v/>
      </c>
      <c r="T2" s="316">
        <f>SUMIF($D$2:$D$100,N2,$K$2:$K$100)</f>
        <v/>
      </c>
      <c r="U2" s="105">
        <f>COUNTIFS($D$2:$D$100,N2,$L$2:$L$100,"&lt;&gt;OK",$L$2:$L$100,"&lt;&gt;")</f>
        <v/>
      </c>
      <c r="V2" s="34" t="n"/>
      <c r="W2" s="107" t="inlineStr">
        <is>
          <t>Nao</t>
        </is>
      </c>
      <c r="X2" s="107" t="inlineStr">
        <is>
          <t>PC em analise</t>
        </is>
      </c>
      <c r="Y2" s="107" t="inlineStr">
        <is>
          <t>Pedido de Compra</t>
        </is>
      </c>
      <c r="Z2" s="108" t="inlineStr">
        <is>
          <t>Impacto Potencial</t>
        </is>
      </c>
      <c r="AA2" s="108" t="inlineStr">
        <is>
          <t>PC</t>
        </is>
      </c>
      <c r="AB2" s="108" t="inlineStr">
        <is>
          <t>Nao</t>
        </is>
      </c>
      <c r="AC2" s="108" t="inlineStr">
        <is>
          <t>NAO_COMPUTADO</t>
        </is>
      </c>
      <c r="AD2" s="109" t="inlineStr">
        <is>
          <t>Estrutura Fase 1: sem impacto no VTA oficial</t>
        </is>
      </c>
    </row>
    <row r="3" ht="25.5" customHeight="1">
      <c r="A3" s="307" t="n"/>
      <c r="B3" s="307" t="n"/>
      <c r="C3" s="312" t="n"/>
      <c r="D3" s="313">
        <f>IF(C3="","",IF(OR(C3&lt;MIN(parametros!$D$2:$D$6),C3&gt;MAX(parametros!$E$2:$E$6)),"Fora dos ciclos",LOOKUP(C3,parametros!$D$2:$D$6,parametros!$B$2:$B$6)))</f>
        <v/>
      </c>
      <c r="E3" s="314" t="n"/>
      <c r="F3" s="272">
        <f>IF(D3="","",IFERROR(VLOOKUP(D3,parametros!$A$11:$E$15,5,0),""))</f>
        <v/>
      </c>
      <c r="G3" s="273">
        <f>IF(OR(E3="",F3=""),"",ROUND(E3*F3,2))</f>
        <v/>
      </c>
      <c r="H3" s="315" t="n"/>
      <c r="I3" s="292">
        <f>IF(H3="Sim",IF(OR(G3="",E3=""),"",ROUND(G3-E3,2)),0)</f>
        <v/>
      </c>
      <c r="J3" s="292">
        <f>IF(H3="Nao",IF(G3="","",G3),0)</f>
        <v/>
      </c>
      <c r="K3" s="292">
        <f>IF(H3="Nao",IF(OR(G3="",E3=""),"",ROUND(G3-E3,2)),0)</f>
        <v/>
      </c>
      <c r="L3" s="295">
        <f>IF(COUNTA(A3:H3)=0,"",IF(C3="","DATA_PC vazia",IF(OR(D3="",D3="Fora dos ciclos"),"CICLO_PC nao identificado",IF(OR(E3="",E3=0),"VALOR_PC vazio ou zero",IF(AND(H3&lt;&gt;"Sim",H3&lt;&gt;"Nao"),"PC_PAGO_A_CONTRATADA invalido","OK")))))</f>
        <v/>
      </c>
      <c r="M3" s="34" t="n"/>
      <c r="N3" s="104" t="inlineStr">
        <is>
          <t>C1</t>
        </is>
      </c>
      <c r="O3" s="105">
        <f>COUNTIF($D$2:$D$100,N3)</f>
        <v/>
      </c>
      <c r="P3" s="316">
        <f>SUMIF($D$2:$D$100,N3,$E$2:$E$100)</f>
        <v/>
      </c>
      <c r="Q3" s="316">
        <f>SUMIF($D$2:$D$100,N3,$G$2:$G$100)</f>
        <v/>
      </c>
      <c r="R3" s="316">
        <f>SUMIF($D$2:$D$100,N3,$I$2:$I$100)</f>
        <v/>
      </c>
      <c r="S3" s="316">
        <f>SUMIF($D$2:$D$100,N3,$J$2:$J$100)</f>
        <v/>
      </c>
      <c r="T3" s="316">
        <f>SUMIF($D$2:$D$100,N3,$K$2:$K$100)</f>
        <v/>
      </c>
      <c r="U3" s="105">
        <f>COUNTIFS($D$2:$D$100,N3,$L$2:$L$100,"&lt;&gt;OK",$L$2:$L$100,"&lt;&gt;")</f>
        <v/>
      </c>
      <c r="V3" s="34" t="n"/>
      <c r="W3" s="107" t="inlineStr">
        <is>
          <t>Nao</t>
        </is>
      </c>
      <c r="X3" s="107" t="inlineStr">
        <is>
          <t>PC em analise</t>
        </is>
      </c>
      <c r="Y3" s="107" t="inlineStr">
        <is>
          <t>Pedido de Compra</t>
        </is>
      </c>
      <c r="Z3" s="108" t="inlineStr">
        <is>
          <t>Impacto Potencial</t>
        </is>
      </c>
      <c r="AA3" s="108" t="inlineStr">
        <is>
          <t>PC</t>
        </is>
      </c>
      <c r="AB3" s="108" t="inlineStr">
        <is>
          <t>Nao</t>
        </is>
      </c>
      <c r="AC3" s="108" t="inlineStr">
        <is>
          <t>NAO_COMPUTADO</t>
        </is>
      </c>
      <c r="AD3" s="109" t="inlineStr">
        <is>
          <t>Estrutura Fase 1: sem impacto no VTA oficial</t>
        </is>
      </c>
    </row>
    <row r="4" ht="25.5" customHeight="1">
      <c r="A4" s="307" t="n"/>
      <c r="B4" s="307" t="n"/>
      <c r="C4" s="312" t="n"/>
      <c r="D4" s="313">
        <f>IF(C4="","",IF(OR(C4&lt;MIN(parametros!$D$2:$D$6),C4&gt;MAX(parametros!$E$2:$E$6)),"Fora dos ciclos",LOOKUP(C4,parametros!$D$2:$D$6,parametros!$B$2:$B$6)))</f>
        <v/>
      </c>
      <c r="E4" s="314" t="n"/>
      <c r="F4" s="272">
        <f>IF(D4="","",IFERROR(VLOOKUP(D4,parametros!$A$11:$E$15,5,0),""))</f>
        <v/>
      </c>
      <c r="G4" s="273">
        <f>IF(OR(E4="",F4=""),"",ROUND(E4*F4,2))</f>
        <v/>
      </c>
      <c r="H4" s="315" t="n"/>
      <c r="I4" s="292">
        <f>IF(H4="Sim",IF(OR(G4="",E4=""),"",ROUND(G4-E4,2)),0)</f>
        <v/>
      </c>
      <c r="J4" s="292">
        <f>IF(H4="Nao",IF(G4="","",G4),0)</f>
        <v/>
      </c>
      <c r="K4" s="292">
        <f>IF(H4="Nao",IF(OR(G4="",E4=""),"",ROUND(G4-E4,2)),0)</f>
        <v/>
      </c>
      <c r="L4" s="295">
        <f>IF(COUNTA(A4:H4)=0,"",IF(C4="","DATA_PC vazia",IF(OR(D4="",D4="Fora dos ciclos"),"CICLO_PC nao identificado",IF(OR(E4="",E4=0),"VALOR_PC vazio ou zero",IF(AND(H4&lt;&gt;"Sim",H4&lt;&gt;"Nao"),"PC_PAGO_A_CONTRATADA invalido","OK")))))</f>
        <v/>
      </c>
      <c r="M4" s="34" t="n"/>
      <c r="N4" s="104" t="inlineStr">
        <is>
          <t>C2</t>
        </is>
      </c>
      <c r="O4" s="105">
        <f>COUNTIF($D$2:$D$100,N4)</f>
        <v/>
      </c>
      <c r="P4" s="316">
        <f>SUMIF($D$2:$D$100,N4,$E$2:$E$100)</f>
        <v/>
      </c>
      <c r="Q4" s="316">
        <f>SUMIF($D$2:$D$100,N4,$G$2:$G$100)</f>
        <v/>
      </c>
      <c r="R4" s="316">
        <f>SUMIF($D$2:$D$100,N4,$I$2:$I$100)</f>
        <v/>
      </c>
      <c r="S4" s="316">
        <f>SUMIF($D$2:$D$100,N4,$J$2:$J$100)</f>
        <v/>
      </c>
      <c r="T4" s="316">
        <f>SUMIF($D$2:$D$100,N4,$K$2:$K$100)</f>
        <v/>
      </c>
      <c r="U4" s="105">
        <f>COUNTIFS($D$2:$D$100,N4,$L$2:$L$100,"&lt;&gt;OK",$L$2:$L$100,"&lt;&gt;")</f>
        <v/>
      </c>
      <c r="V4" s="34" t="n"/>
      <c r="W4" s="107" t="inlineStr">
        <is>
          <t>Nao</t>
        </is>
      </c>
      <c r="X4" s="107" t="inlineStr">
        <is>
          <t>PC em analise</t>
        </is>
      </c>
      <c r="Y4" s="107" t="inlineStr">
        <is>
          <t>Pedido de Compra</t>
        </is>
      </c>
      <c r="Z4" s="108" t="inlineStr">
        <is>
          <t>Impacto Potencial</t>
        </is>
      </c>
      <c r="AA4" s="108" t="inlineStr">
        <is>
          <t>PC</t>
        </is>
      </c>
      <c r="AB4" s="108" t="inlineStr">
        <is>
          <t>Nao</t>
        </is>
      </c>
      <c r="AC4" s="108" t="inlineStr">
        <is>
          <t>NAO_COMPUTADO</t>
        </is>
      </c>
      <c r="AD4" s="109" t="inlineStr">
        <is>
          <t>Estrutura Fase 1: sem impacto no VTA oficial</t>
        </is>
      </c>
    </row>
    <row r="5" ht="25.5" customHeight="1">
      <c r="A5" s="307" t="n"/>
      <c r="B5" s="307" t="n"/>
      <c r="C5" s="312" t="n"/>
      <c r="D5" s="313">
        <f>IF(C5="","",IF(OR(C5&lt;MIN(parametros!$D$2:$D$6),C5&gt;MAX(parametros!$E$2:$E$6)),"Fora dos ciclos",LOOKUP(C5,parametros!$D$2:$D$6,parametros!$B$2:$B$6)))</f>
        <v/>
      </c>
      <c r="E5" s="314" t="n"/>
      <c r="F5" s="272">
        <f>IF(D5="","",IFERROR(VLOOKUP(D5,parametros!$A$11:$E$15,5,0),""))</f>
        <v/>
      </c>
      <c r="G5" s="273">
        <f>IF(OR(E5="",F5=""),"",ROUND(E5*F5,2))</f>
        <v/>
      </c>
      <c r="H5" s="315" t="n"/>
      <c r="I5" s="292">
        <f>IF(H5="Sim",IF(OR(G5="",E5=""),"",ROUND(G5-E5,2)),0)</f>
        <v/>
      </c>
      <c r="J5" s="292">
        <f>IF(H5="Nao",IF(G5="","",G5),0)</f>
        <v/>
      </c>
      <c r="K5" s="292">
        <f>IF(H5="Nao",IF(OR(G5="",E5=""),"",ROUND(G5-E5,2)),0)</f>
        <v/>
      </c>
      <c r="L5" s="295">
        <f>IF(COUNTA(A5:H5)=0,"",IF(C5="","DATA_PC vazia",IF(OR(D5="",D5="Fora dos ciclos"),"CICLO_PC nao identificado",IF(OR(E5="",E5=0),"VALOR_PC vazio ou zero",IF(AND(H5&lt;&gt;"Sim",H5&lt;&gt;"Nao"),"PC_PAGO_A_CONTRATADA invalido","OK")))))</f>
        <v/>
      </c>
      <c r="M5" s="34" t="n"/>
      <c r="N5" s="104" t="inlineStr">
        <is>
          <t>C3</t>
        </is>
      </c>
      <c r="O5" s="105">
        <f>COUNTIF($D$2:$D$100,N5)</f>
        <v/>
      </c>
      <c r="P5" s="316">
        <f>SUMIF($D$2:$D$100,N5,$E$2:$E$100)</f>
        <v/>
      </c>
      <c r="Q5" s="316">
        <f>SUMIF($D$2:$D$100,N5,$G$2:$G$100)</f>
        <v/>
      </c>
      <c r="R5" s="316">
        <f>SUMIF($D$2:$D$100,N5,$I$2:$I$100)</f>
        <v/>
      </c>
      <c r="S5" s="316">
        <f>SUMIF($D$2:$D$100,N5,$J$2:$J$100)</f>
        <v/>
      </c>
      <c r="T5" s="316">
        <f>SUMIF($D$2:$D$100,N5,$K$2:$K$100)</f>
        <v/>
      </c>
      <c r="U5" s="105">
        <f>COUNTIFS($D$2:$D$100,N5,$L$2:$L$100,"&lt;&gt;OK",$L$2:$L$100,"&lt;&gt;")</f>
        <v/>
      </c>
      <c r="V5" s="34" t="n"/>
      <c r="W5" s="107" t="inlineStr">
        <is>
          <t>Nao</t>
        </is>
      </c>
      <c r="X5" s="107" t="inlineStr">
        <is>
          <t>PC em analise</t>
        </is>
      </c>
      <c r="Y5" s="107" t="inlineStr">
        <is>
          <t>Pedido de Compra</t>
        </is>
      </c>
      <c r="Z5" s="108" t="inlineStr">
        <is>
          <t>Impacto Potencial</t>
        </is>
      </c>
      <c r="AA5" s="108" t="inlineStr">
        <is>
          <t>PC</t>
        </is>
      </c>
      <c r="AB5" s="108" t="inlineStr">
        <is>
          <t>Nao</t>
        </is>
      </c>
      <c r="AC5" s="108" t="inlineStr">
        <is>
          <t>NAO_COMPUTADO</t>
        </is>
      </c>
      <c r="AD5" s="109" t="inlineStr">
        <is>
          <t>Estrutura Fase 1: sem impacto no VTA oficial</t>
        </is>
      </c>
    </row>
    <row r="6" ht="25.5" customHeight="1">
      <c r="A6" s="307" t="n"/>
      <c r="B6" s="307" t="n"/>
      <c r="C6" s="312" t="n"/>
      <c r="D6" s="313">
        <f>IF(C6="","",IF(OR(C6&lt;MIN(parametros!$D$2:$D$6),C6&gt;MAX(parametros!$E$2:$E$6)),"Fora dos ciclos",LOOKUP(C6,parametros!$D$2:$D$6,parametros!$B$2:$B$6)))</f>
        <v/>
      </c>
      <c r="E6" s="314" t="n"/>
      <c r="F6" s="272">
        <f>IF(D6="","",IFERROR(VLOOKUP(D6,parametros!$A$11:$E$15,5,0),""))</f>
        <v/>
      </c>
      <c r="G6" s="273">
        <f>IF(OR(E6="",F6=""),"",ROUND(E6*F6,2))</f>
        <v/>
      </c>
      <c r="H6" s="315" t="n"/>
      <c r="I6" s="292">
        <f>IF(H6="Sim",IF(OR(G6="",E6=""),"",ROUND(G6-E6,2)),0)</f>
        <v/>
      </c>
      <c r="J6" s="292">
        <f>IF(H6="Nao",IF(G6="","",G6),0)</f>
        <v/>
      </c>
      <c r="K6" s="292">
        <f>IF(H6="Nao",IF(OR(G6="",E6=""),"",ROUND(G6-E6,2)),0)</f>
        <v/>
      </c>
      <c r="L6" s="295">
        <f>IF(COUNTA(A6:H6)=0,"",IF(C6="","DATA_PC vazia",IF(OR(D6="",D6="Fora dos ciclos"),"CICLO_PC nao identificado",IF(OR(E6="",E6=0),"VALOR_PC vazio ou zero",IF(AND(H6&lt;&gt;"Sim",H6&lt;&gt;"Nao"),"PC_PAGO_A_CONTRATADA invalido","OK")))))</f>
        <v/>
      </c>
      <c r="M6" s="34" t="n"/>
      <c r="N6" s="104" t="inlineStr">
        <is>
          <t>C4</t>
        </is>
      </c>
      <c r="O6" s="105">
        <f>COUNTIF($D$2:$D$100,N6)</f>
        <v/>
      </c>
      <c r="P6" s="316">
        <f>SUMIF($D$2:$D$100,N6,$E$2:$E$100)</f>
        <v/>
      </c>
      <c r="Q6" s="316">
        <f>SUMIF($D$2:$D$100,N6,$G$2:$G$100)</f>
        <v/>
      </c>
      <c r="R6" s="316">
        <f>SUMIF($D$2:$D$100,N6,$I$2:$I$100)</f>
        <v/>
      </c>
      <c r="S6" s="316">
        <f>SUMIF($D$2:$D$100,N6,$J$2:$J$100)</f>
        <v/>
      </c>
      <c r="T6" s="316">
        <f>SUMIF($D$2:$D$100,N6,$K$2:$K$100)</f>
        <v/>
      </c>
      <c r="U6" s="105">
        <f>COUNTIFS($D$2:$D$100,N6,$L$2:$L$100,"&lt;&gt;OK",$L$2:$L$100,"&lt;&gt;")</f>
        <v/>
      </c>
      <c r="V6" s="34" t="n"/>
      <c r="W6" s="107" t="inlineStr">
        <is>
          <t>Nao</t>
        </is>
      </c>
      <c r="X6" s="107" t="inlineStr">
        <is>
          <t>PC em analise</t>
        </is>
      </c>
      <c r="Y6" s="107" t="inlineStr">
        <is>
          <t>Pedido de Compra</t>
        </is>
      </c>
      <c r="Z6" s="108" t="inlineStr">
        <is>
          <t>Impacto Potencial</t>
        </is>
      </c>
      <c r="AA6" s="108" t="inlineStr">
        <is>
          <t>PC</t>
        </is>
      </c>
      <c r="AB6" s="108" t="inlineStr">
        <is>
          <t>Nao</t>
        </is>
      </c>
      <c r="AC6" s="108" t="inlineStr">
        <is>
          <t>NAO_COMPUTADO</t>
        </is>
      </c>
      <c r="AD6" s="109" t="inlineStr">
        <is>
          <t>Estrutura Fase 1: sem impacto no VTA oficial</t>
        </is>
      </c>
    </row>
    <row r="7" ht="25.5" customHeight="1">
      <c r="A7" s="307" t="n"/>
      <c r="B7" s="307" t="n"/>
      <c r="C7" s="312" t="n"/>
      <c r="D7" s="313">
        <f>IF(C7="","",IF(OR(C7&lt;MIN(parametros!$D$2:$D$6),C7&gt;MAX(parametros!$E$2:$E$6)),"Fora dos ciclos",LOOKUP(C7,parametros!$D$2:$D$6,parametros!$B$2:$B$6)))</f>
        <v/>
      </c>
      <c r="E7" s="314" t="n"/>
      <c r="F7" s="272">
        <f>IF(D7="","",IFERROR(VLOOKUP(D7,parametros!$A$11:$E$15,5,0),""))</f>
        <v/>
      </c>
      <c r="G7" s="273">
        <f>IF(OR(E7="",F7=""),"",ROUND(E7*F7,2))</f>
        <v/>
      </c>
      <c r="H7" s="315" t="n"/>
      <c r="I7" s="292">
        <f>IF(H7="Sim",IF(OR(G7="",E7=""),"",ROUND(G7-E7,2)),0)</f>
        <v/>
      </c>
      <c r="J7" s="292">
        <f>IF(H7="Nao",IF(G7="","",G7),0)</f>
        <v/>
      </c>
      <c r="K7" s="292">
        <f>IF(H7="Nao",IF(OR(G7="",E7=""),"",ROUND(G7-E7,2)),0)</f>
        <v/>
      </c>
      <c r="L7" s="295">
        <f>IF(COUNTA(A7:H7)=0,"",IF(C7="","DATA_PC vazia",IF(OR(D7="",D7="Fora dos ciclos"),"CICLO_PC nao identificado",IF(OR(E7="",E7=0),"VALOR_PC vazio ou zero",IF(AND(H7&lt;&gt;"Sim",H7&lt;&gt;"Nao"),"PC_PAGO_A_CONTRATADA invalido","OK")))))</f>
        <v/>
      </c>
      <c r="M7" s="34" t="n"/>
      <c r="N7" s="110" t="inlineStr">
        <is>
          <t>TOTAL</t>
        </is>
      </c>
      <c r="O7" s="111">
        <f>SUM(O2:O6)</f>
        <v/>
      </c>
      <c r="P7" s="317">
        <f>SUM(P2:P6)</f>
        <v/>
      </c>
      <c r="Q7" s="317">
        <f>SUM(Q2:Q6)</f>
        <v/>
      </c>
      <c r="R7" s="317">
        <f>SUM(R2:R6)</f>
        <v/>
      </c>
      <c r="S7" s="317">
        <f>SUM(S2:S6)</f>
        <v/>
      </c>
      <c r="T7" s="317">
        <f>SUM(T2:T6)</f>
        <v/>
      </c>
      <c r="U7" s="111">
        <f>SUM(U2:U6)</f>
        <v/>
      </c>
      <c r="V7" s="34" t="n"/>
      <c r="W7" s="107" t="inlineStr">
        <is>
          <t>Nao</t>
        </is>
      </c>
      <c r="X7" s="107" t="inlineStr">
        <is>
          <t>PC em analise</t>
        </is>
      </c>
      <c r="Y7" s="107" t="inlineStr">
        <is>
          <t>Pedido de Compra</t>
        </is>
      </c>
      <c r="Z7" s="108" t="inlineStr">
        <is>
          <t>Impacto Potencial</t>
        </is>
      </c>
      <c r="AA7" s="108" t="inlineStr">
        <is>
          <t>PC</t>
        </is>
      </c>
      <c r="AB7" s="108" t="inlineStr">
        <is>
          <t>Nao</t>
        </is>
      </c>
      <c r="AC7" s="108" t="inlineStr">
        <is>
          <t>NAO_COMPUTADO</t>
        </is>
      </c>
      <c r="AD7" s="109" t="inlineStr">
        <is>
          <t>Estrutura Fase 1: sem impacto no VTA oficial</t>
        </is>
      </c>
    </row>
    <row r="8" ht="25.5" customHeight="1">
      <c r="A8" s="307" t="n"/>
      <c r="B8" s="307" t="n"/>
      <c r="C8" s="312" t="n"/>
      <c r="D8" s="313">
        <f>IF(C8="","",IF(OR(C8&lt;MIN(parametros!$D$2:$D$6),C8&gt;MAX(parametros!$E$2:$E$6)),"Fora dos ciclos",LOOKUP(C8,parametros!$D$2:$D$6,parametros!$B$2:$B$6)))</f>
        <v/>
      </c>
      <c r="E8" s="314" t="n"/>
      <c r="F8" s="272">
        <f>IF(D8="","",IFERROR(VLOOKUP(D8,parametros!$A$11:$E$15,5,0),""))</f>
        <v/>
      </c>
      <c r="G8" s="273">
        <f>IF(OR(E8="",F8=""),"",ROUND(E8*F8,2))</f>
        <v/>
      </c>
      <c r="H8" s="315" t="n"/>
      <c r="I8" s="292">
        <f>IF(H8="Sim",IF(OR(G8="",E8=""),"",ROUND(G8-E8,2)),0)</f>
        <v/>
      </c>
      <c r="J8" s="292">
        <f>IF(H8="Nao",IF(G8="","",G8),0)</f>
        <v/>
      </c>
      <c r="K8" s="292">
        <f>IF(H8="Nao",IF(OR(G8="",E8=""),"",ROUND(G8-E8,2)),0)</f>
        <v/>
      </c>
      <c r="L8" s="295">
        <f>IF(COUNTA(A8:H8)=0,"",IF(C8="","DATA_PC vazia",IF(OR(D8="",D8="Fora dos ciclos"),"CICLO_PC nao identificado",IF(OR(E8="",E8=0),"VALOR_PC vazio ou zero",IF(AND(H8&lt;&gt;"Sim",H8&lt;&gt;"Nao"),"PC_PAGO_A_CONTRATADA invalido","OK")))))</f>
        <v/>
      </c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107" t="inlineStr">
        <is>
          <t>Nao</t>
        </is>
      </c>
      <c r="X8" s="107" t="inlineStr">
        <is>
          <t>PC em analise</t>
        </is>
      </c>
      <c r="Y8" s="107" t="inlineStr">
        <is>
          <t>Pedido de Compra</t>
        </is>
      </c>
      <c r="Z8" s="108" t="inlineStr">
        <is>
          <t>Impacto Potencial</t>
        </is>
      </c>
      <c r="AA8" s="108" t="inlineStr">
        <is>
          <t>PC</t>
        </is>
      </c>
      <c r="AB8" s="108" t="inlineStr">
        <is>
          <t>Nao</t>
        </is>
      </c>
      <c r="AC8" s="108" t="inlineStr">
        <is>
          <t>NAO_COMPUTADO</t>
        </is>
      </c>
      <c r="AD8" s="109" t="inlineStr">
        <is>
          <t>Estrutura Fase 1: sem impacto no VTA oficial</t>
        </is>
      </c>
    </row>
    <row r="9" ht="25.5" customHeight="1">
      <c r="A9" s="307" t="n"/>
      <c r="B9" s="307" t="n"/>
      <c r="C9" s="312" t="n"/>
      <c r="D9" s="313">
        <f>IF(C9="","",IF(OR(C9&lt;MIN(parametros!$D$2:$D$6),C9&gt;MAX(parametros!$E$2:$E$6)),"Fora dos ciclos",LOOKUP(C9,parametros!$D$2:$D$6,parametros!$B$2:$B$6)))</f>
        <v/>
      </c>
      <c r="E9" s="314" t="n"/>
      <c r="F9" s="272">
        <f>IF(D9="","",IFERROR(VLOOKUP(D9,parametros!$A$11:$E$15,5,0),""))</f>
        <v/>
      </c>
      <c r="G9" s="273">
        <f>IF(OR(E9="",F9=""),"",ROUND(E9*F9,2))</f>
        <v/>
      </c>
      <c r="H9" s="315" t="n"/>
      <c r="I9" s="292">
        <f>IF(H9="Sim",IF(OR(G9="",E9=""),"",ROUND(G9-E9,2)),0)</f>
        <v/>
      </c>
      <c r="J9" s="292">
        <f>IF(H9="Nao",IF(G9="","",G9),0)</f>
        <v/>
      </c>
      <c r="K9" s="292">
        <f>IF(H9="Nao",IF(OR(G9="",E9=""),"",ROUND(G9-E9,2)),0)</f>
        <v/>
      </c>
      <c r="L9" s="295">
        <f>IF(COUNTA(A9:H9)=0,"",IF(C9="","DATA_PC vazia",IF(OR(D9="",D9="Fora dos ciclos"),"CICLO_PC nao identificado",IF(OR(E9="",E9=0),"VALOR_PC vazio ou zero",IF(AND(H9&lt;&gt;"Sim",H9&lt;&gt;"Nao"),"PC_PAGO_A_CONTRATADA invalido","OK")))))</f>
        <v/>
      </c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107" t="inlineStr">
        <is>
          <t>Nao</t>
        </is>
      </c>
      <c r="X9" s="107" t="inlineStr">
        <is>
          <t>PC em analise</t>
        </is>
      </c>
      <c r="Y9" s="107" t="inlineStr">
        <is>
          <t>Pedido de Compra</t>
        </is>
      </c>
      <c r="Z9" s="108" t="inlineStr">
        <is>
          <t>Impacto Potencial</t>
        </is>
      </c>
      <c r="AA9" s="108" t="inlineStr">
        <is>
          <t>PC</t>
        </is>
      </c>
      <c r="AB9" s="108" t="inlineStr">
        <is>
          <t>Nao</t>
        </is>
      </c>
      <c r="AC9" s="108" t="inlineStr">
        <is>
          <t>NAO_COMPUTADO</t>
        </is>
      </c>
      <c r="AD9" s="109" t="inlineStr">
        <is>
          <t>Estrutura Fase 1: sem impacto no VTA oficial</t>
        </is>
      </c>
    </row>
    <row r="10" ht="25.5" customHeight="1">
      <c r="A10" s="307" t="n"/>
      <c r="B10" s="307" t="n"/>
      <c r="C10" s="312" t="n"/>
      <c r="D10" s="313">
        <f>IF(C10="","",IF(OR(C10&lt;MIN(parametros!$D$2:$D$6),C10&gt;MAX(parametros!$E$2:$E$6)),"Fora dos ciclos",LOOKUP(C10,parametros!$D$2:$D$6,parametros!$B$2:$B$6)))</f>
        <v/>
      </c>
      <c r="E10" s="314" t="n"/>
      <c r="F10" s="272">
        <f>IF(D10="","",IFERROR(VLOOKUP(D10,parametros!$A$11:$E$15,5,0),""))</f>
        <v/>
      </c>
      <c r="G10" s="273">
        <f>IF(OR(E10="",F10=""),"",ROUND(E10*F10,2))</f>
        <v/>
      </c>
      <c r="H10" s="315" t="n"/>
      <c r="I10" s="292">
        <f>IF(H10="Sim",IF(OR(G10="",E10=""),"",ROUND(G10-E10,2)),0)</f>
        <v/>
      </c>
      <c r="J10" s="292">
        <f>IF(H10="Nao",IF(G10="","",G10),0)</f>
        <v/>
      </c>
      <c r="K10" s="292">
        <f>IF(H10="Nao",IF(OR(G10="",E10=""),"",ROUND(G10-E10,2)),0)</f>
        <v/>
      </c>
      <c r="L10" s="295">
        <f>IF(COUNTA(A10:H10)=0,"",IF(C10="","DATA_PC vazia",IF(OR(D10="",D10="Fora dos ciclos"),"CICLO_PC nao identificado",IF(OR(E10="",E10=0),"VALOR_PC vazio ou zero",IF(AND(H10&lt;&gt;"Sim",H10&lt;&gt;"Nao"),"PC_PAGO_A_CONTRATADA invalido","OK")))))</f>
        <v/>
      </c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107" t="inlineStr">
        <is>
          <t>Nao</t>
        </is>
      </c>
      <c r="X10" s="107" t="inlineStr">
        <is>
          <t>PC em analise</t>
        </is>
      </c>
      <c r="Y10" s="107" t="inlineStr">
        <is>
          <t>Pedido de Compra</t>
        </is>
      </c>
      <c r="Z10" s="108" t="inlineStr">
        <is>
          <t>Impacto Potencial</t>
        </is>
      </c>
      <c r="AA10" s="108" t="inlineStr">
        <is>
          <t>PC</t>
        </is>
      </c>
      <c r="AB10" s="108" t="inlineStr">
        <is>
          <t>Nao</t>
        </is>
      </c>
      <c r="AC10" s="108" t="inlineStr">
        <is>
          <t>NAO_COMPUTADO</t>
        </is>
      </c>
      <c r="AD10" s="109" t="inlineStr">
        <is>
          <t>Estrutura Fase 1: sem impacto no VTA oficial</t>
        </is>
      </c>
    </row>
    <row r="11" ht="25.5" customHeight="1">
      <c r="A11" s="307" t="n"/>
      <c r="B11" s="307" t="n"/>
      <c r="C11" s="312" t="n"/>
      <c r="D11" s="313">
        <f>IF(C11="","",IF(OR(C11&lt;MIN(parametros!$D$2:$D$6),C11&gt;MAX(parametros!$E$2:$E$6)),"Fora dos ciclos",LOOKUP(C11,parametros!$D$2:$D$6,parametros!$B$2:$B$6)))</f>
        <v/>
      </c>
      <c r="E11" s="314" t="n"/>
      <c r="F11" s="272">
        <f>IF(D11="","",IFERROR(VLOOKUP(D11,parametros!$A$11:$E$15,5,0),""))</f>
        <v/>
      </c>
      <c r="G11" s="273">
        <f>IF(OR(E11="",F11=""),"",ROUND(E11*F11,2))</f>
        <v/>
      </c>
      <c r="H11" s="315" t="n"/>
      <c r="I11" s="292">
        <f>IF(H11="Sim",IF(OR(G11="",E11=""),"",ROUND(G11-E11,2)),0)</f>
        <v/>
      </c>
      <c r="J11" s="292">
        <f>IF(H11="Nao",IF(G11="","",G11),0)</f>
        <v/>
      </c>
      <c r="K11" s="292">
        <f>IF(H11="Nao",IF(OR(G11="",E11=""),"",ROUND(G11-E11,2)),0)</f>
        <v/>
      </c>
      <c r="L11" s="295">
        <f>IF(COUNTA(A11:H11)=0,"",IF(C11="","DATA_PC vazia",IF(OR(D11="",D11="Fora dos ciclos"),"CICLO_PC nao identificado",IF(OR(E11="",E11=0),"VALOR_PC vazio ou zero",IF(AND(H11&lt;&gt;"Sim",H11&lt;&gt;"Nao"),"PC_PAGO_A_CONTRATADA invalido","OK")))))</f>
        <v/>
      </c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107" t="inlineStr">
        <is>
          <t>Nao</t>
        </is>
      </c>
      <c r="X11" s="107" t="inlineStr">
        <is>
          <t>PC em analise</t>
        </is>
      </c>
      <c r="Y11" s="107" t="inlineStr">
        <is>
          <t>Pedido de Compra</t>
        </is>
      </c>
      <c r="Z11" s="108" t="inlineStr">
        <is>
          <t>Impacto Potencial</t>
        </is>
      </c>
      <c r="AA11" s="108" t="inlineStr">
        <is>
          <t>PC</t>
        </is>
      </c>
      <c r="AB11" s="108" t="inlineStr">
        <is>
          <t>Nao</t>
        </is>
      </c>
      <c r="AC11" s="108" t="inlineStr">
        <is>
          <t>NAO_COMPUTADO</t>
        </is>
      </c>
      <c r="AD11" s="109" t="inlineStr">
        <is>
          <t>Estrutura Fase 1: sem impacto no VTA oficial</t>
        </is>
      </c>
    </row>
    <row r="12" ht="25.5" customHeight="1">
      <c r="A12" s="307" t="n"/>
      <c r="B12" s="307" t="n"/>
      <c r="C12" s="312" t="n"/>
      <c r="D12" s="313">
        <f>IF(C12="","",IF(OR(C12&lt;MIN(parametros!$D$2:$D$6),C12&gt;MAX(parametros!$E$2:$E$6)),"Fora dos ciclos",LOOKUP(C12,parametros!$D$2:$D$6,parametros!$B$2:$B$6)))</f>
        <v/>
      </c>
      <c r="E12" s="314" t="n"/>
      <c r="F12" s="272">
        <f>IF(D12="","",IFERROR(VLOOKUP(D12,parametros!$A$11:$E$15,5,0),""))</f>
        <v/>
      </c>
      <c r="G12" s="273">
        <f>IF(OR(E12="",F12=""),"",ROUND(E12*F12,2))</f>
        <v/>
      </c>
      <c r="H12" s="315" t="n"/>
      <c r="I12" s="292">
        <f>IF(H12="Sim",IF(OR(G12="",E12=""),"",ROUND(G12-E12,2)),0)</f>
        <v/>
      </c>
      <c r="J12" s="292">
        <f>IF(H12="Nao",IF(G12="","",G12),0)</f>
        <v/>
      </c>
      <c r="K12" s="292">
        <f>IF(H12="Nao",IF(OR(G12="",E12=""),"",ROUND(G12-E12,2)),0)</f>
        <v/>
      </c>
      <c r="L12" s="295">
        <f>IF(COUNTA(A12:H12)=0,"",IF(C12="","DATA_PC vazia",IF(OR(D12="",D12="Fora dos ciclos"),"CICLO_PC nao identificado",IF(OR(E12="",E12=0),"VALOR_PC vazio ou zero",IF(AND(H12&lt;&gt;"Sim",H12&lt;&gt;"Nao"),"PC_PAGO_A_CONTRATADA invalido","OK")))))</f>
        <v/>
      </c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107" t="inlineStr">
        <is>
          <t>Nao</t>
        </is>
      </c>
      <c r="X12" s="107" t="inlineStr">
        <is>
          <t>PC em analise</t>
        </is>
      </c>
      <c r="Y12" s="107" t="inlineStr">
        <is>
          <t>Pedido de Compra</t>
        </is>
      </c>
      <c r="Z12" s="108" t="inlineStr">
        <is>
          <t>Impacto Potencial</t>
        </is>
      </c>
      <c r="AA12" s="108" t="inlineStr">
        <is>
          <t>PC</t>
        </is>
      </c>
      <c r="AB12" s="108" t="inlineStr">
        <is>
          <t>Nao</t>
        </is>
      </c>
      <c r="AC12" s="108" t="inlineStr">
        <is>
          <t>NAO_COMPUTADO</t>
        </is>
      </c>
      <c r="AD12" s="109" t="inlineStr">
        <is>
          <t>Estrutura Fase 1: sem impacto no VTA oficial</t>
        </is>
      </c>
    </row>
    <row r="13" ht="25.5" customHeight="1">
      <c r="A13" s="307" t="n"/>
      <c r="B13" s="307" t="n"/>
      <c r="C13" s="312" t="n"/>
      <c r="D13" s="313">
        <f>IF(C13="","",IF(OR(C13&lt;MIN(parametros!$D$2:$D$6),C13&gt;MAX(parametros!$E$2:$E$6)),"Fora dos ciclos",LOOKUP(C13,parametros!$D$2:$D$6,parametros!$B$2:$B$6)))</f>
        <v/>
      </c>
      <c r="E13" s="314" t="n"/>
      <c r="F13" s="272">
        <f>IF(D13="","",IFERROR(VLOOKUP(D13,parametros!$A$11:$E$15,5,0),""))</f>
        <v/>
      </c>
      <c r="G13" s="273">
        <f>IF(OR(E13="",F13=""),"",ROUND(E13*F13,2))</f>
        <v/>
      </c>
      <c r="H13" s="315" t="n"/>
      <c r="I13" s="292">
        <f>IF(H13="Sim",IF(OR(G13="",E13=""),"",ROUND(G13-E13,2)),0)</f>
        <v/>
      </c>
      <c r="J13" s="292">
        <f>IF(H13="Nao",IF(G13="","",G13),0)</f>
        <v/>
      </c>
      <c r="K13" s="292">
        <f>IF(H13="Nao",IF(OR(G13="",E13=""),"",ROUND(G13-E13,2)),0)</f>
        <v/>
      </c>
      <c r="L13" s="295">
        <f>IF(COUNTA(A13:H13)=0,"",IF(C13="","DATA_PC vazia",IF(OR(D13="",D13="Fora dos ciclos"),"CICLO_PC nao identificado",IF(OR(E13="",E13=0),"VALOR_PC vazio ou zero",IF(AND(H13&lt;&gt;"Sim",H13&lt;&gt;"Nao"),"PC_PAGO_A_CONTRATADA invalido","OK")))))</f>
        <v/>
      </c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107" t="inlineStr">
        <is>
          <t>Nao</t>
        </is>
      </c>
      <c r="X13" s="107" t="inlineStr">
        <is>
          <t>PC em analise</t>
        </is>
      </c>
      <c r="Y13" s="107" t="inlineStr">
        <is>
          <t>Pedido de Compra</t>
        </is>
      </c>
      <c r="Z13" s="108" t="inlineStr">
        <is>
          <t>Impacto Potencial</t>
        </is>
      </c>
      <c r="AA13" s="108" t="inlineStr">
        <is>
          <t>PC</t>
        </is>
      </c>
      <c r="AB13" s="108" t="inlineStr">
        <is>
          <t>Nao</t>
        </is>
      </c>
      <c r="AC13" s="108" t="inlineStr">
        <is>
          <t>NAO_COMPUTADO</t>
        </is>
      </c>
      <c r="AD13" s="109" t="inlineStr">
        <is>
          <t>Estrutura Fase 1: sem impacto no VTA oficial</t>
        </is>
      </c>
    </row>
    <row r="14" ht="25.5" customHeight="1">
      <c r="A14" s="307" t="n"/>
      <c r="B14" s="307" t="n"/>
      <c r="C14" s="312" t="n"/>
      <c r="D14" s="313">
        <f>IF(C14="","",IF(OR(C14&lt;MIN(parametros!$D$2:$D$6),C14&gt;MAX(parametros!$E$2:$E$6)),"Fora dos ciclos",LOOKUP(C14,parametros!$D$2:$D$6,parametros!$B$2:$B$6)))</f>
        <v/>
      </c>
      <c r="E14" s="314" t="n"/>
      <c r="F14" s="272">
        <f>IF(D14="","",IFERROR(VLOOKUP(D14,parametros!$A$11:$E$15,5,0),""))</f>
        <v/>
      </c>
      <c r="G14" s="273">
        <f>IF(OR(E14="",F14=""),"",ROUND(E14*F14,2))</f>
        <v/>
      </c>
      <c r="H14" s="315" t="n"/>
      <c r="I14" s="292">
        <f>IF(H14="Sim",IF(OR(G14="",E14=""),"",ROUND(G14-E14,2)),0)</f>
        <v/>
      </c>
      <c r="J14" s="292">
        <f>IF(H14="Nao",IF(G14="","",G14),0)</f>
        <v/>
      </c>
      <c r="K14" s="292">
        <f>IF(H14="Nao",IF(OR(G14="",E14=""),"",ROUND(G14-E14,2)),0)</f>
        <v/>
      </c>
      <c r="L14" s="295">
        <f>IF(COUNTA(A14:H14)=0,"",IF(C14="","DATA_PC vazia",IF(OR(D14="",D14="Fora dos ciclos"),"CICLO_PC nao identificado",IF(OR(E14="",E14=0),"VALOR_PC vazio ou zero",IF(AND(H14&lt;&gt;"Sim",H14&lt;&gt;"Nao"),"PC_PAGO_A_CONTRATADA invalido","OK")))))</f>
        <v/>
      </c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107" t="inlineStr">
        <is>
          <t>Nao</t>
        </is>
      </c>
      <c r="X14" s="107" t="inlineStr">
        <is>
          <t>PC em analise</t>
        </is>
      </c>
      <c r="Y14" s="107" t="inlineStr">
        <is>
          <t>Pedido de Compra</t>
        </is>
      </c>
      <c r="Z14" s="108" t="inlineStr">
        <is>
          <t>Impacto Potencial</t>
        </is>
      </c>
      <c r="AA14" s="108" t="inlineStr">
        <is>
          <t>PC</t>
        </is>
      </c>
      <c r="AB14" s="108" t="inlineStr">
        <is>
          <t>Nao</t>
        </is>
      </c>
      <c r="AC14" s="108" t="inlineStr">
        <is>
          <t>NAO_COMPUTADO</t>
        </is>
      </c>
      <c r="AD14" s="109" t="inlineStr">
        <is>
          <t>Estrutura Fase 1: sem impacto no VTA oficial</t>
        </is>
      </c>
    </row>
    <row r="15" ht="25.5" customHeight="1">
      <c r="A15" s="307" t="n"/>
      <c r="B15" s="307" t="n"/>
      <c r="C15" s="312" t="n"/>
      <c r="D15" s="313">
        <f>IF(C15="","",IF(OR(C15&lt;MIN(parametros!$D$2:$D$6),C15&gt;MAX(parametros!$E$2:$E$6)),"Fora dos ciclos",LOOKUP(C15,parametros!$D$2:$D$6,parametros!$B$2:$B$6)))</f>
        <v/>
      </c>
      <c r="E15" s="314" t="n"/>
      <c r="F15" s="272">
        <f>IF(D15="","",IFERROR(VLOOKUP(D15,parametros!$A$11:$E$15,5,0),""))</f>
        <v/>
      </c>
      <c r="G15" s="273">
        <f>IF(OR(E15="",F15=""),"",ROUND(E15*F15,2))</f>
        <v/>
      </c>
      <c r="H15" s="315" t="n"/>
      <c r="I15" s="292">
        <f>IF(H15="Sim",IF(OR(G15="",E15=""),"",ROUND(G15-E15,2)),0)</f>
        <v/>
      </c>
      <c r="J15" s="292">
        <f>IF(H15="Nao",IF(G15="","",G15),0)</f>
        <v/>
      </c>
      <c r="K15" s="292">
        <f>IF(H15="Nao",IF(OR(G15="",E15=""),"",ROUND(G15-E15,2)),0)</f>
        <v/>
      </c>
      <c r="L15" s="295">
        <f>IF(COUNTA(A15:H15)=0,"",IF(C15="","DATA_PC vazia",IF(OR(D15="",D15="Fora dos ciclos"),"CICLO_PC nao identificado",IF(OR(E15="",E15=0),"VALOR_PC vazio ou zero",IF(AND(H15&lt;&gt;"Sim",H15&lt;&gt;"Nao"),"PC_PAGO_A_CONTRATADA invalido","OK")))))</f>
        <v/>
      </c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107" t="inlineStr">
        <is>
          <t>Nao</t>
        </is>
      </c>
      <c r="X15" s="107" t="inlineStr">
        <is>
          <t>PC em analise</t>
        </is>
      </c>
      <c r="Y15" s="107" t="inlineStr">
        <is>
          <t>Pedido de Compra</t>
        </is>
      </c>
      <c r="Z15" s="108" t="inlineStr">
        <is>
          <t>Impacto Potencial</t>
        </is>
      </c>
      <c r="AA15" s="108" t="inlineStr">
        <is>
          <t>PC</t>
        </is>
      </c>
      <c r="AB15" s="108" t="inlineStr">
        <is>
          <t>Nao</t>
        </is>
      </c>
      <c r="AC15" s="108" t="inlineStr">
        <is>
          <t>NAO_COMPUTADO</t>
        </is>
      </c>
      <c r="AD15" s="109" t="inlineStr">
        <is>
          <t>Estrutura Fase 1: sem impacto no VTA oficial</t>
        </is>
      </c>
    </row>
    <row r="16" ht="25.5" customHeight="1">
      <c r="A16" s="307" t="n"/>
      <c r="B16" s="307" t="n"/>
      <c r="C16" s="312" t="n"/>
      <c r="D16" s="313">
        <f>IF(C16="","",IF(OR(C16&lt;MIN(parametros!$D$2:$D$6),C16&gt;MAX(parametros!$E$2:$E$6)),"Fora dos ciclos",LOOKUP(C16,parametros!$D$2:$D$6,parametros!$B$2:$B$6)))</f>
        <v/>
      </c>
      <c r="E16" s="314" t="n"/>
      <c r="F16" s="272">
        <f>IF(D16="","",IFERROR(VLOOKUP(D16,parametros!$A$11:$E$15,5,0),""))</f>
        <v/>
      </c>
      <c r="G16" s="273">
        <f>IF(OR(E16="",F16=""),"",ROUND(E16*F16,2))</f>
        <v/>
      </c>
      <c r="H16" s="315" t="n"/>
      <c r="I16" s="292">
        <f>IF(H16="Sim",IF(OR(G16="",E16=""),"",ROUND(G16-E16,2)),0)</f>
        <v/>
      </c>
      <c r="J16" s="292">
        <f>IF(H16="Nao",IF(G16="","",G16),0)</f>
        <v/>
      </c>
      <c r="K16" s="292">
        <f>IF(H16="Nao",IF(OR(G16="",E16=""),"",ROUND(G16-E16,2)),0)</f>
        <v/>
      </c>
      <c r="L16" s="295">
        <f>IF(COUNTA(A16:H16)=0,"",IF(C16="","DATA_PC vazia",IF(OR(D16="",D16="Fora dos ciclos"),"CICLO_PC nao identificado",IF(OR(E16="",E16=0),"VALOR_PC vazio ou zero",IF(AND(H16&lt;&gt;"Sim",H16&lt;&gt;"Nao"),"PC_PAGO_A_CONTRATADA invalido","OK")))))</f>
        <v/>
      </c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107" t="inlineStr">
        <is>
          <t>Nao</t>
        </is>
      </c>
      <c r="X16" s="107" t="inlineStr">
        <is>
          <t>PC em analise</t>
        </is>
      </c>
      <c r="Y16" s="107" t="inlineStr">
        <is>
          <t>Pedido de Compra</t>
        </is>
      </c>
      <c r="Z16" s="108" t="inlineStr">
        <is>
          <t>Impacto Potencial</t>
        </is>
      </c>
      <c r="AA16" s="108" t="inlineStr">
        <is>
          <t>PC</t>
        </is>
      </c>
      <c r="AB16" s="108" t="inlineStr">
        <is>
          <t>Nao</t>
        </is>
      </c>
      <c r="AC16" s="108" t="inlineStr">
        <is>
          <t>NAO_COMPUTADO</t>
        </is>
      </c>
      <c r="AD16" s="109" t="inlineStr">
        <is>
          <t>Estrutura Fase 1: sem impacto no VTA oficial</t>
        </is>
      </c>
    </row>
    <row r="17" ht="25.5" customHeight="1">
      <c r="A17" s="307" t="n"/>
      <c r="B17" s="307" t="n"/>
      <c r="C17" s="312" t="n"/>
      <c r="D17" s="313">
        <f>IF(C17="","",IF(OR(C17&lt;MIN(parametros!$D$2:$D$6),C17&gt;MAX(parametros!$E$2:$E$6)),"Fora dos ciclos",LOOKUP(C17,parametros!$D$2:$D$6,parametros!$B$2:$B$6)))</f>
        <v/>
      </c>
      <c r="E17" s="314" t="n"/>
      <c r="F17" s="272">
        <f>IF(D17="","",IFERROR(VLOOKUP(D17,parametros!$A$11:$E$15,5,0),""))</f>
        <v/>
      </c>
      <c r="G17" s="273">
        <f>IF(OR(E17="",F17=""),"",ROUND(E17*F17,2))</f>
        <v/>
      </c>
      <c r="H17" s="315" t="n"/>
      <c r="I17" s="292">
        <f>IF(H17="Sim",IF(OR(G17="",E17=""),"",ROUND(G17-E17,2)),0)</f>
        <v/>
      </c>
      <c r="J17" s="292">
        <f>IF(H17="Nao",IF(G17="","",G17),0)</f>
        <v/>
      </c>
      <c r="K17" s="292">
        <f>IF(H17="Nao",IF(OR(G17="",E17=""),"",ROUND(G17-E17,2)),0)</f>
        <v/>
      </c>
      <c r="L17" s="295">
        <f>IF(COUNTA(A17:H17)=0,"",IF(C17="","DATA_PC vazia",IF(OR(D17="",D17="Fora dos ciclos"),"CICLO_PC nao identificado",IF(OR(E17="",E17=0),"VALOR_PC vazio ou zero",IF(AND(H17&lt;&gt;"Sim",H17&lt;&gt;"Nao"),"PC_PAGO_A_CONTRATADA invalido","OK")))))</f>
        <v/>
      </c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107" t="inlineStr">
        <is>
          <t>Nao</t>
        </is>
      </c>
      <c r="X17" s="107" t="inlineStr">
        <is>
          <t>PC em analise</t>
        </is>
      </c>
      <c r="Y17" s="107" t="inlineStr">
        <is>
          <t>Pedido de Compra</t>
        </is>
      </c>
      <c r="Z17" s="108" t="inlineStr">
        <is>
          <t>Impacto Potencial</t>
        </is>
      </c>
      <c r="AA17" s="108" t="inlineStr">
        <is>
          <t>PC</t>
        </is>
      </c>
      <c r="AB17" s="108" t="inlineStr">
        <is>
          <t>Nao</t>
        </is>
      </c>
      <c r="AC17" s="108" t="inlineStr">
        <is>
          <t>NAO_COMPUTADO</t>
        </is>
      </c>
      <c r="AD17" s="109" t="inlineStr">
        <is>
          <t>Estrutura Fase 1: sem impacto no VTA oficial</t>
        </is>
      </c>
    </row>
    <row r="18" ht="25.5" customHeight="1">
      <c r="A18" s="307" t="n"/>
      <c r="B18" s="307" t="n"/>
      <c r="C18" s="312" t="n"/>
      <c r="D18" s="313">
        <f>IF(C18="","",IF(OR(C18&lt;MIN(parametros!$D$2:$D$6),C18&gt;MAX(parametros!$E$2:$E$6)),"Fora dos ciclos",LOOKUP(C18,parametros!$D$2:$D$6,parametros!$B$2:$B$6)))</f>
        <v/>
      </c>
      <c r="E18" s="314" t="n"/>
      <c r="F18" s="272">
        <f>IF(D18="","",IFERROR(VLOOKUP(D18,parametros!$A$11:$E$15,5,0),""))</f>
        <v/>
      </c>
      <c r="G18" s="273">
        <f>IF(OR(E18="",F18=""),"",ROUND(E18*F18,2))</f>
        <v/>
      </c>
      <c r="H18" s="315" t="n"/>
      <c r="I18" s="292">
        <f>IF(H18="Sim",IF(OR(G18="",E18=""),"",ROUND(G18-E18,2)),0)</f>
        <v/>
      </c>
      <c r="J18" s="292">
        <f>IF(H18="Nao",IF(G18="","",G18),0)</f>
        <v/>
      </c>
      <c r="K18" s="292">
        <f>IF(H18="Nao",IF(OR(G18="",E18=""),"",ROUND(G18-E18,2)),0)</f>
        <v/>
      </c>
      <c r="L18" s="295">
        <f>IF(COUNTA(A18:H18)=0,"",IF(C18="","DATA_PC vazia",IF(OR(D18="",D18="Fora dos ciclos"),"CICLO_PC nao identificado",IF(OR(E18="",E18=0),"VALOR_PC vazio ou zero",IF(AND(H18&lt;&gt;"Sim",H18&lt;&gt;"Nao"),"PC_PAGO_A_CONTRATADA invalido","OK")))))</f>
        <v/>
      </c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107" t="inlineStr">
        <is>
          <t>Nao</t>
        </is>
      </c>
      <c r="X18" s="107" t="inlineStr">
        <is>
          <t>PC em analise</t>
        </is>
      </c>
      <c r="Y18" s="107" t="inlineStr">
        <is>
          <t>Pedido de Compra</t>
        </is>
      </c>
      <c r="Z18" s="108" t="inlineStr">
        <is>
          <t>Impacto Potencial</t>
        </is>
      </c>
      <c r="AA18" s="108" t="inlineStr">
        <is>
          <t>PC</t>
        </is>
      </c>
      <c r="AB18" s="108" t="inlineStr">
        <is>
          <t>Nao</t>
        </is>
      </c>
      <c r="AC18" s="108" t="inlineStr">
        <is>
          <t>NAO_COMPUTADO</t>
        </is>
      </c>
      <c r="AD18" s="109" t="inlineStr">
        <is>
          <t>Estrutura Fase 1: sem impacto no VTA oficial</t>
        </is>
      </c>
    </row>
    <row r="19" ht="25.5" customHeight="1">
      <c r="A19" s="307" t="n"/>
      <c r="B19" s="307" t="n"/>
      <c r="C19" s="312" t="n"/>
      <c r="D19" s="313">
        <f>IF(C19="","",IF(OR(C19&lt;MIN(parametros!$D$2:$D$6),C19&gt;MAX(parametros!$E$2:$E$6)),"Fora dos ciclos",LOOKUP(C19,parametros!$D$2:$D$6,parametros!$B$2:$B$6)))</f>
        <v/>
      </c>
      <c r="E19" s="314" t="n"/>
      <c r="F19" s="272">
        <f>IF(D19="","",IFERROR(VLOOKUP(D19,parametros!$A$11:$E$15,5,0),""))</f>
        <v/>
      </c>
      <c r="G19" s="273">
        <f>IF(OR(E19="",F19=""),"",ROUND(E19*F19,2))</f>
        <v/>
      </c>
      <c r="H19" s="315" t="n"/>
      <c r="I19" s="292">
        <f>IF(H19="Sim",IF(OR(G19="",E19=""),"",ROUND(G19-E19,2)),0)</f>
        <v/>
      </c>
      <c r="J19" s="292">
        <f>IF(H19="Nao",IF(G19="","",G19),0)</f>
        <v/>
      </c>
      <c r="K19" s="292">
        <f>IF(H19="Nao",IF(OR(G19="",E19=""),"",ROUND(G19-E19,2)),0)</f>
        <v/>
      </c>
      <c r="L19" s="295">
        <f>IF(COUNTA(A19:H19)=0,"",IF(C19="","DATA_PC vazia",IF(OR(D19="",D19="Fora dos ciclos"),"CICLO_PC nao identificado",IF(OR(E19="",E19=0),"VALOR_PC vazio ou zero",IF(AND(H19&lt;&gt;"Sim",H19&lt;&gt;"Nao"),"PC_PAGO_A_CONTRATADA invalido","OK")))))</f>
        <v/>
      </c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107" t="inlineStr">
        <is>
          <t>Nao</t>
        </is>
      </c>
      <c r="X19" s="107" t="inlineStr">
        <is>
          <t>PC em analise</t>
        </is>
      </c>
      <c r="Y19" s="107" t="inlineStr">
        <is>
          <t>Pedido de Compra</t>
        </is>
      </c>
      <c r="Z19" s="108" t="inlineStr">
        <is>
          <t>Impacto Potencial</t>
        </is>
      </c>
      <c r="AA19" s="108" t="inlineStr">
        <is>
          <t>PC</t>
        </is>
      </c>
      <c r="AB19" s="108" t="inlineStr">
        <is>
          <t>Nao</t>
        </is>
      </c>
      <c r="AC19" s="108" t="inlineStr">
        <is>
          <t>NAO_COMPUTADO</t>
        </is>
      </c>
      <c r="AD19" s="109" t="inlineStr">
        <is>
          <t>Estrutura Fase 1: sem impacto no VTA oficial</t>
        </is>
      </c>
    </row>
    <row r="20" ht="25.5" customHeight="1">
      <c r="A20" s="307" t="n"/>
      <c r="B20" s="307" t="n"/>
      <c r="C20" s="312" t="n"/>
      <c r="D20" s="313">
        <f>IF(C20="","",IF(OR(C20&lt;MIN(parametros!$D$2:$D$6),C20&gt;MAX(parametros!$E$2:$E$6)),"Fora dos ciclos",LOOKUP(C20,parametros!$D$2:$D$6,parametros!$B$2:$B$6)))</f>
        <v/>
      </c>
      <c r="E20" s="314" t="n"/>
      <c r="F20" s="272">
        <f>IF(D20="","",IFERROR(VLOOKUP(D20,parametros!$A$11:$E$15,5,0),""))</f>
        <v/>
      </c>
      <c r="G20" s="273">
        <f>IF(OR(E20="",F20=""),"",ROUND(E20*F20,2))</f>
        <v/>
      </c>
      <c r="H20" s="315" t="n"/>
      <c r="I20" s="292">
        <f>IF(H20="Sim",IF(OR(G20="",E20=""),"",ROUND(G20-E20,2)),0)</f>
        <v/>
      </c>
      <c r="J20" s="292">
        <f>IF(H20="Nao",IF(G20="","",G20),0)</f>
        <v/>
      </c>
      <c r="K20" s="292">
        <f>IF(H20="Nao",IF(OR(G20="",E20=""),"",ROUND(G20-E20,2)),0)</f>
        <v/>
      </c>
      <c r="L20" s="295">
        <f>IF(COUNTA(A20:H20)=0,"",IF(C20="","DATA_PC vazia",IF(OR(D20="",D20="Fora dos ciclos"),"CICLO_PC nao identificado",IF(OR(E20="",E20=0),"VALOR_PC vazio ou zero",IF(AND(H20&lt;&gt;"Sim",H20&lt;&gt;"Nao"),"PC_PAGO_A_CONTRATADA invalido","OK")))))</f>
        <v/>
      </c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107" t="inlineStr">
        <is>
          <t>Nao</t>
        </is>
      </c>
      <c r="X20" s="107" t="inlineStr">
        <is>
          <t>PC em analise</t>
        </is>
      </c>
      <c r="Y20" s="107" t="inlineStr">
        <is>
          <t>Pedido de Compra</t>
        </is>
      </c>
      <c r="Z20" s="108" t="inlineStr">
        <is>
          <t>Impacto Potencial</t>
        </is>
      </c>
      <c r="AA20" s="108" t="inlineStr">
        <is>
          <t>PC</t>
        </is>
      </c>
      <c r="AB20" s="108" t="inlineStr">
        <is>
          <t>Nao</t>
        </is>
      </c>
      <c r="AC20" s="108" t="inlineStr">
        <is>
          <t>NAO_COMPUTADO</t>
        </is>
      </c>
      <c r="AD20" s="109" t="inlineStr">
        <is>
          <t>Estrutura Fase 1: sem impacto no VTA oficial</t>
        </is>
      </c>
    </row>
    <row r="21" ht="25.5" customHeight="1">
      <c r="A21" s="307" t="n"/>
      <c r="B21" s="307" t="n"/>
      <c r="C21" s="312" t="n"/>
      <c r="D21" s="313">
        <f>IF(C21="","",IF(OR(C21&lt;MIN(parametros!$D$2:$D$6),C21&gt;MAX(parametros!$E$2:$E$6)),"Fora dos ciclos",LOOKUP(C21,parametros!$D$2:$D$6,parametros!$B$2:$B$6)))</f>
        <v/>
      </c>
      <c r="E21" s="314" t="n"/>
      <c r="F21" s="272">
        <f>IF(D21="","",IFERROR(VLOOKUP(D21,parametros!$A$11:$E$15,5,0),""))</f>
        <v/>
      </c>
      <c r="G21" s="273">
        <f>IF(OR(E21="",F21=""),"",ROUND(E21*F21,2))</f>
        <v/>
      </c>
      <c r="H21" s="315" t="n"/>
      <c r="I21" s="292">
        <f>IF(H21="Sim",IF(OR(G21="",E21=""),"",ROUND(G21-E21,2)),0)</f>
        <v/>
      </c>
      <c r="J21" s="292">
        <f>IF(H21="Nao",IF(G21="","",G21),0)</f>
        <v/>
      </c>
      <c r="K21" s="292">
        <f>IF(H21="Nao",IF(OR(G21="",E21=""),"",ROUND(G21-E21,2)),0)</f>
        <v/>
      </c>
      <c r="L21" s="295">
        <f>IF(COUNTA(A21:H21)=0,"",IF(C21="","DATA_PC vazia",IF(OR(D21="",D21="Fora dos ciclos"),"CICLO_PC nao identificado",IF(OR(E21="",E21=0),"VALOR_PC vazio ou zero",IF(AND(H21&lt;&gt;"Sim",H21&lt;&gt;"Nao"),"PC_PAGO_A_CONTRATADA invalido","OK")))))</f>
        <v/>
      </c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107" t="inlineStr">
        <is>
          <t>Nao</t>
        </is>
      </c>
      <c r="X21" s="107" t="inlineStr">
        <is>
          <t>PC em analise</t>
        </is>
      </c>
      <c r="Y21" s="107" t="inlineStr">
        <is>
          <t>Pedido de Compra</t>
        </is>
      </c>
      <c r="Z21" s="108" t="inlineStr">
        <is>
          <t>Impacto Potencial</t>
        </is>
      </c>
      <c r="AA21" s="108" t="inlineStr">
        <is>
          <t>PC</t>
        </is>
      </c>
      <c r="AB21" s="108" t="inlineStr">
        <is>
          <t>Nao</t>
        </is>
      </c>
      <c r="AC21" s="108" t="inlineStr">
        <is>
          <t>NAO_COMPUTADO</t>
        </is>
      </c>
      <c r="AD21" s="109" t="inlineStr">
        <is>
          <t>Estrutura Fase 1: sem impacto no VTA oficial</t>
        </is>
      </c>
    </row>
    <row r="22" ht="25.5" customHeight="1">
      <c r="A22" s="307" t="n"/>
      <c r="B22" s="307" t="n"/>
      <c r="C22" s="312" t="n"/>
      <c r="D22" s="313">
        <f>IF(C22="","",IF(OR(C22&lt;MIN(parametros!$D$2:$D$6),C22&gt;MAX(parametros!$E$2:$E$6)),"Fora dos ciclos",LOOKUP(C22,parametros!$D$2:$D$6,parametros!$B$2:$B$6)))</f>
        <v/>
      </c>
      <c r="E22" s="314" t="n"/>
      <c r="F22" s="272">
        <f>IF(D22="","",IFERROR(VLOOKUP(D22,parametros!$A$11:$E$15,5,0),""))</f>
        <v/>
      </c>
      <c r="G22" s="273">
        <f>IF(OR(E22="",F22=""),"",ROUND(E22*F22,2))</f>
        <v/>
      </c>
      <c r="H22" s="315" t="n"/>
      <c r="I22" s="292">
        <f>IF(H22="Sim",IF(OR(G22="",E22=""),"",ROUND(G22-E22,2)),0)</f>
        <v/>
      </c>
      <c r="J22" s="292">
        <f>IF(H22="Nao",IF(G22="","",G22),0)</f>
        <v/>
      </c>
      <c r="K22" s="292">
        <f>IF(H22="Nao",IF(OR(G22="",E22=""),"",ROUND(G22-E22,2)),0)</f>
        <v/>
      </c>
      <c r="L22" s="295">
        <f>IF(COUNTA(A22:H22)=0,"",IF(C22="","DATA_PC vazia",IF(OR(D22="",D22="Fora dos ciclos"),"CICLO_PC nao identificado",IF(OR(E22="",E22=0),"VALOR_PC vazio ou zero",IF(AND(H22&lt;&gt;"Sim",H22&lt;&gt;"Nao"),"PC_PAGO_A_CONTRATADA invalido","OK")))))</f>
        <v/>
      </c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107" t="inlineStr">
        <is>
          <t>Nao</t>
        </is>
      </c>
      <c r="X22" s="107" t="inlineStr">
        <is>
          <t>PC em analise</t>
        </is>
      </c>
      <c r="Y22" s="107" t="inlineStr">
        <is>
          <t>Pedido de Compra</t>
        </is>
      </c>
      <c r="Z22" s="108" t="inlineStr">
        <is>
          <t>Impacto Potencial</t>
        </is>
      </c>
      <c r="AA22" s="108" t="inlineStr">
        <is>
          <t>PC</t>
        </is>
      </c>
      <c r="AB22" s="108" t="inlineStr">
        <is>
          <t>Nao</t>
        </is>
      </c>
      <c r="AC22" s="108" t="inlineStr">
        <is>
          <t>NAO_COMPUTADO</t>
        </is>
      </c>
      <c r="AD22" s="109" t="inlineStr">
        <is>
          <t>Estrutura Fase 1: sem impacto no VTA oficial</t>
        </is>
      </c>
    </row>
    <row r="23" ht="25.5" customHeight="1">
      <c r="A23" s="307" t="n"/>
      <c r="B23" s="307" t="n"/>
      <c r="C23" s="312" t="n"/>
      <c r="D23" s="313">
        <f>IF(C23="","",IF(OR(C23&lt;MIN(parametros!$D$2:$D$6),C23&gt;MAX(parametros!$E$2:$E$6)),"Fora dos ciclos",LOOKUP(C23,parametros!$D$2:$D$6,parametros!$B$2:$B$6)))</f>
        <v/>
      </c>
      <c r="E23" s="314" t="n"/>
      <c r="F23" s="272">
        <f>IF(D23="","",IFERROR(VLOOKUP(D23,parametros!$A$11:$E$15,5,0),""))</f>
        <v/>
      </c>
      <c r="G23" s="273">
        <f>IF(OR(E23="",F23=""),"",ROUND(E23*F23,2))</f>
        <v/>
      </c>
      <c r="H23" s="315" t="n"/>
      <c r="I23" s="292">
        <f>IF(H23="Sim",IF(OR(G23="",E23=""),"",ROUND(G23-E23,2)),0)</f>
        <v/>
      </c>
      <c r="J23" s="292">
        <f>IF(H23="Nao",IF(G23="","",G23),0)</f>
        <v/>
      </c>
      <c r="K23" s="292">
        <f>IF(H23="Nao",IF(OR(G23="",E23=""),"",ROUND(G23-E23,2)),0)</f>
        <v/>
      </c>
      <c r="L23" s="295">
        <f>IF(COUNTA(A23:H23)=0,"",IF(C23="","DATA_PC vazia",IF(OR(D23="",D23="Fora dos ciclos"),"CICLO_PC nao identificado",IF(OR(E23="",E23=0),"VALOR_PC vazio ou zero",IF(AND(H23&lt;&gt;"Sim",H23&lt;&gt;"Nao"),"PC_PAGO_A_CONTRATADA invalido","OK")))))</f>
        <v/>
      </c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107" t="inlineStr">
        <is>
          <t>Nao</t>
        </is>
      </c>
      <c r="X23" s="107" t="inlineStr">
        <is>
          <t>PC em analise</t>
        </is>
      </c>
      <c r="Y23" s="107" t="inlineStr">
        <is>
          <t>Pedido de Compra</t>
        </is>
      </c>
      <c r="Z23" s="108" t="inlineStr">
        <is>
          <t>Impacto Potencial</t>
        </is>
      </c>
      <c r="AA23" s="108" t="inlineStr">
        <is>
          <t>PC</t>
        </is>
      </c>
      <c r="AB23" s="108" t="inlineStr">
        <is>
          <t>Nao</t>
        </is>
      </c>
      <c r="AC23" s="108" t="inlineStr">
        <is>
          <t>NAO_COMPUTADO</t>
        </is>
      </c>
      <c r="AD23" s="109" t="inlineStr">
        <is>
          <t>Estrutura Fase 1: sem impacto no VTA oficial</t>
        </is>
      </c>
    </row>
    <row r="24" ht="25.5" customHeight="1">
      <c r="A24" s="307" t="n"/>
      <c r="B24" s="307" t="n"/>
      <c r="C24" s="312" t="n"/>
      <c r="D24" s="313">
        <f>IF(C24="","",IF(OR(C24&lt;MIN(parametros!$D$2:$D$6),C24&gt;MAX(parametros!$E$2:$E$6)),"Fora dos ciclos",LOOKUP(C24,parametros!$D$2:$D$6,parametros!$B$2:$B$6)))</f>
        <v/>
      </c>
      <c r="E24" s="314" t="n"/>
      <c r="F24" s="272">
        <f>IF(D24="","",IFERROR(VLOOKUP(D24,parametros!$A$11:$E$15,5,0),""))</f>
        <v/>
      </c>
      <c r="G24" s="273">
        <f>IF(OR(E24="",F24=""),"",ROUND(E24*F24,2))</f>
        <v/>
      </c>
      <c r="H24" s="315" t="n"/>
      <c r="I24" s="292">
        <f>IF(H24="Sim",IF(OR(G24="",E24=""),"",ROUND(G24-E24,2)),0)</f>
        <v/>
      </c>
      <c r="J24" s="292">
        <f>IF(H24="Nao",IF(G24="","",G24),0)</f>
        <v/>
      </c>
      <c r="K24" s="292">
        <f>IF(H24="Nao",IF(OR(G24="",E24=""),"",ROUND(G24-E24,2)),0)</f>
        <v/>
      </c>
      <c r="L24" s="295">
        <f>IF(COUNTA(A24:H24)=0,"",IF(C24="","DATA_PC vazia",IF(OR(D24="",D24="Fora dos ciclos"),"CICLO_PC nao identificado",IF(OR(E24="",E24=0),"VALOR_PC vazio ou zero",IF(AND(H24&lt;&gt;"Sim",H24&lt;&gt;"Nao"),"PC_PAGO_A_CONTRATADA invalido","OK")))))</f>
        <v/>
      </c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107" t="inlineStr">
        <is>
          <t>Nao</t>
        </is>
      </c>
      <c r="X24" s="107" t="inlineStr">
        <is>
          <t>PC em analise</t>
        </is>
      </c>
      <c r="Y24" s="107" t="inlineStr">
        <is>
          <t>Pedido de Compra</t>
        </is>
      </c>
      <c r="Z24" s="108" t="inlineStr">
        <is>
          <t>Impacto Potencial</t>
        </is>
      </c>
      <c r="AA24" s="108" t="inlineStr">
        <is>
          <t>PC</t>
        </is>
      </c>
      <c r="AB24" s="108" t="inlineStr">
        <is>
          <t>Nao</t>
        </is>
      </c>
      <c r="AC24" s="108" t="inlineStr">
        <is>
          <t>NAO_COMPUTADO</t>
        </is>
      </c>
      <c r="AD24" s="109" t="inlineStr">
        <is>
          <t>Estrutura Fase 1: sem impacto no VTA oficial</t>
        </is>
      </c>
    </row>
    <row r="25" ht="25.5" customHeight="1">
      <c r="A25" s="307" t="n"/>
      <c r="B25" s="307" t="n"/>
      <c r="C25" s="312" t="n"/>
      <c r="D25" s="313">
        <f>IF(C25="","",IF(OR(C25&lt;MIN(parametros!$D$2:$D$6),C25&gt;MAX(parametros!$E$2:$E$6)),"Fora dos ciclos",LOOKUP(C25,parametros!$D$2:$D$6,parametros!$B$2:$B$6)))</f>
        <v/>
      </c>
      <c r="E25" s="314" t="n"/>
      <c r="F25" s="272">
        <f>IF(D25="","",IFERROR(VLOOKUP(D25,parametros!$A$11:$E$15,5,0),""))</f>
        <v/>
      </c>
      <c r="G25" s="273">
        <f>IF(OR(E25="",F25=""),"",ROUND(E25*F25,2))</f>
        <v/>
      </c>
      <c r="H25" s="315" t="n"/>
      <c r="I25" s="292">
        <f>IF(H25="Sim",IF(OR(G25="",E25=""),"",ROUND(G25-E25,2)),0)</f>
        <v/>
      </c>
      <c r="J25" s="292">
        <f>IF(H25="Nao",IF(G25="","",G25),0)</f>
        <v/>
      </c>
      <c r="K25" s="292">
        <f>IF(H25="Nao",IF(OR(G25="",E25=""),"",ROUND(G25-E25,2)),0)</f>
        <v/>
      </c>
      <c r="L25" s="295">
        <f>IF(COUNTA(A25:H25)=0,"",IF(C25="","DATA_PC vazia",IF(OR(D25="",D25="Fora dos ciclos"),"CICLO_PC nao identificado",IF(OR(E25="",E25=0),"VALOR_PC vazio ou zero",IF(AND(H25&lt;&gt;"Sim",H25&lt;&gt;"Nao"),"PC_PAGO_A_CONTRATADA invalido","OK")))))</f>
        <v/>
      </c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107" t="inlineStr">
        <is>
          <t>Nao</t>
        </is>
      </c>
      <c r="X25" s="107" t="inlineStr">
        <is>
          <t>PC em analise</t>
        </is>
      </c>
      <c r="Y25" s="107" t="inlineStr">
        <is>
          <t>Pedido de Compra</t>
        </is>
      </c>
      <c r="Z25" s="108" t="inlineStr">
        <is>
          <t>Impacto Potencial</t>
        </is>
      </c>
      <c r="AA25" s="108" t="inlineStr">
        <is>
          <t>PC</t>
        </is>
      </c>
      <c r="AB25" s="108" t="inlineStr">
        <is>
          <t>Nao</t>
        </is>
      </c>
      <c r="AC25" s="108" t="inlineStr">
        <is>
          <t>NAO_COMPUTADO</t>
        </is>
      </c>
      <c r="AD25" s="109" t="inlineStr">
        <is>
          <t>Estrutura Fase 1: sem impacto no VTA oficial</t>
        </is>
      </c>
    </row>
    <row r="26" ht="25.5" customHeight="1">
      <c r="A26" s="307" t="n"/>
      <c r="B26" s="307" t="n"/>
      <c r="C26" s="312" t="n"/>
      <c r="D26" s="313">
        <f>IF(C26="","",IF(OR(C26&lt;MIN(parametros!$D$2:$D$6),C26&gt;MAX(parametros!$E$2:$E$6)),"Fora dos ciclos",LOOKUP(C26,parametros!$D$2:$D$6,parametros!$B$2:$B$6)))</f>
        <v/>
      </c>
      <c r="E26" s="314" t="n"/>
      <c r="F26" s="272">
        <f>IF(D26="","",IFERROR(VLOOKUP(D26,parametros!$A$11:$E$15,5,0),""))</f>
        <v/>
      </c>
      <c r="G26" s="273">
        <f>IF(OR(E26="",F26=""),"",ROUND(E26*F26,2))</f>
        <v/>
      </c>
      <c r="H26" s="315" t="n"/>
      <c r="I26" s="292">
        <f>IF(H26="Sim",IF(OR(G26="",E26=""),"",ROUND(G26-E26,2)),0)</f>
        <v/>
      </c>
      <c r="J26" s="292">
        <f>IF(H26="Nao",IF(G26="","",G26),0)</f>
        <v/>
      </c>
      <c r="K26" s="292">
        <f>IF(H26="Nao",IF(OR(G26="",E26=""),"",ROUND(G26-E26,2)),0)</f>
        <v/>
      </c>
      <c r="L26" s="295">
        <f>IF(COUNTA(A26:H26)=0,"",IF(C26="","DATA_PC vazia",IF(OR(D26="",D26="Fora dos ciclos"),"CICLO_PC nao identificado",IF(OR(E26="",E26=0),"VALOR_PC vazio ou zero",IF(AND(H26&lt;&gt;"Sim",H26&lt;&gt;"Nao"),"PC_PAGO_A_CONTRATADA invalido","OK")))))</f>
        <v/>
      </c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107" t="inlineStr">
        <is>
          <t>Nao</t>
        </is>
      </c>
      <c r="X26" s="107" t="inlineStr">
        <is>
          <t>PC em analise</t>
        </is>
      </c>
      <c r="Y26" s="107" t="inlineStr">
        <is>
          <t>Pedido de Compra</t>
        </is>
      </c>
      <c r="Z26" s="108" t="inlineStr">
        <is>
          <t>Impacto Potencial</t>
        </is>
      </c>
      <c r="AA26" s="108" t="inlineStr">
        <is>
          <t>PC</t>
        </is>
      </c>
      <c r="AB26" s="108" t="inlineStr">
        <is>
          <t>Nao</t>
        </is>
      </c>
      <c r="AC26" s="108" t="inlineStr">
        <is>
          <t>NAO_COMPUTADO</t>
        </is>
      </c>
      <c r="AD26" s="109" t="inlineStr">
        <is>
          <t>Estrutura Fase 1: sem impacto no VTA oficial</t>
        </is>
      </c>
    </row>
    <row r="27" ht="25.5" customHeight="1">
      <c r="A27" s="307" t="n"/>
      <c r="B27" s="307" t="n"/>
      <c r="C27" s="312" t="n"/>
      <c r="D27" s="313">
        <f>IF(C27="","",IF(OR(C27&lt;MIN(parametros!$D$2:$D$6),C27&gt;MAX(parametros!$E$2:$E$6)),"Fora dos ciclos",LOOKUP(C27,parametros!$D$2:$D$6,parametros!$B$2:$B$6)))</f>
        <v/>
      </c>
      <c r="E27" s="314" t="n"/>
      <c r="F27" s="272">
        <f>IF(D27="","",IFERROR(VLOOKUP(D27,parametros!$A$11:$E$15,5,0),""))</f>
        <v/>
      </c>
      <c r="G27" s="273">
        <f>IF(OR(E27="",F27=""),"",ROUND(E27*F27,2))</f>
        <v/>
      </c>
      <c r="H27" s="315" t="n"/>
      <c r="I27" s="292">
        <f>IF(H27="Sim",IF(OR(G27="",E27=""),"",ROUND(G27-E27,2)),0)</f>
        <v/>
      </c>
      <c r="J27" s="292">
        <f>IF(H27="Nao",IF(G27="","",G27),0)</f>
        <v/>
      </c>
      <c r="K27" s="292">
        <f>IF(H27="Nao",IF(OR(G27="",E27=""),"",ROUND(G27-E27,2)),0)</f>
        <v/>
      </c>
      <c r="L27" s="295">
        <f>IF(COUNTA(A27:H27)=0,"",IF(C27="","DATA_PC vazia",IF(OR(D27="",D27="Fora dos ciclos"),"CICLO_PC nao identificado",IF(OR(E27="",E27=0),"VALOR_PC vazio ou zero",IF(AND(H27&lt;&gt;"Sim",H27&lt;&gt;"Nao"),"PC_PAGO_A_CONTRATADA invalido","OK")))))</f>
        <v/>
      </c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107" t="inlineStr">
        <is>
          <t>Nao</t>
        </is>
      </c>
      <c r="X27" s="107" t="inlineStr">
        <is>
          <t>PC em analise</t>
        </is>
      </c>
      <c r="Y27" s="107" t="inlineStr">
        <is>
          <t>Pedido de Compra</t>
        </is>
      </c>
      <c r="Z27" s="108" t="inlineStr">
        <is>
          <t>Impacto Potencial</t>
        </is>
      </c>
      <c r="AA27" s="108" t="inlineStr">
        <is>
          <t>PC</t>
        </is>
      </c>
      <c r="AB27" s="108" t="inlineStr">
        <is>
          <t>Nao</t>
        </is>
      </c>
      <c r="AC27" s="108" t="inlineStr">
        <is>
          <t>NAO_COMPUTADO</t>
        </is>
      </c>
      <c r="AD27" s="109" t="inlineStr">
        <is>
          <t>Estrutura Fase 1: sem impacto no VTA oficial</t>
        </is>
      </c>
    </row>
    <row r="28" ht="25.5" customHeight="1">
      <c r="A28" s="307" t="n"/>
      <c r="B28" s="307" t="n"/>
      <c r="C28" s="312" t="n"/>
      <c r="D28" s="313">
        <f>IF(C28="","",IF(OR(C28&lt;MIN(parametros!$D$2:$D$6),C28&gt;MAX(parametros!$E$2:$E$6)),"Fora dos ciclos",LOOKUP(C28,parametros!$D$2:$D$6,parametros!$B$2:$B$6)))</f>
        <v/>
      </c>
      <c r="E28" s="314" t="n"/>
      <c r="F28" s="272">
        <f>IF(D28="","",IFERROR(VLOOKUP(D28,parametros!$A$11:$E$15,5,0),""))</f>
        <v/>
      </c>
      <c r="G28" s="273">
        <f>IF(OR(E28="",F28=""),"",ROUND(E28*F28,2))</f>
        <v/>
      </c>
      <c r="H28" s="315" t="n"/>
      <c r="I28" s="292">
        <f>IF(H28="Sim",IF(OR(G28="",E28=""),"",ROUND(G28-E28,2)),0)</f>
        <v/>
      </c>
      <c r="J28" s="292">
        <f>IF(H28="Nao",IF(G28="","",G28),0)</f>
        <v/>
      </c>
      <c r="K28" s="292">
        <f>IF(H28="Nao",IF(OR(G28="",E28=""),"",ROUND(G28-E28,2)),0)</f>
        <v/>
      </c>
      <c r="L28" s="295">
        <f>IF(COUNTA(A28:H28)=0,"",IF(C28="","DATA_PC vazia",IF(OR(D28="",D28="Fora dos ciclos"),"CICLO_PC nao identificado",IF(OR(E28="",E28=0),"VALOR_PC vazio ou zero",IF(AND(H28&lt;&gt;"Sim",H28&lt;&gt;"Nao"),"PC_PAGO_A_CONTRATADA invalido","OK")))))</f>
        <v/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107" t="inlineStr">
        <is>
          <t>Nao</t>
        </is>
      </c>
      <c r="X28" s="107" t="inlineStr">
        <is>
          <t>PC em analise</t>
        </is>
      </c>
      <c r="Y28" s="107" t="inlineStr">
        <is>
          <t>Pedido de Compra</t>
        </is>
      </c>
      <c r="Z28" s="108" t="inlineStr">
        <is>
          <t>Impacto Potencial</t>
        </is>
      </c>
      <c r="AA28" s="108" t="inlineStr">
        <is>
          <t>PC</t>
        </is>
      </c>
      <c r="AB28" s="108" t="inlineStr">
        <is>
          <t>Nao</t>
        </is>
      </c>
      <c r="AC28" s="108" t="inlineStr">
        <is>
          <t>NAO_COMPUTADO</t>
        </is>
      </c>
      <c r="AD28" s="109" t="inlineStr">
        <is>
          <t>Estrutura Fase 1: sem impacto no VTA oficial</t>
        </is>
      </c>
    </row>
    <row r="29" ht="25.5" customHeight="1">
      <c r="A29" s="307" t="n"/>
      <c r="B29" s="307" t="n"/>
      <c r="C29" s="312" t="n"/>
      <c r="D29" s="313">
        <f>IF(C29="","",IF(OR(C29&lt;MIN(parametros!$D$2:$D$6),C29&gt;MAX(parametros!$E$2:$E$6)),"Fora dos ciclos",LOOKUP(C29,parametros!$D$2:$D$6,parametros!$B$2:$B$6)))</f>
        <v/>
      </c>
      <c r="E29" s="314" t="n"/>
      <c r="F29" s="272">
        <f>IF(D29="","",IFERROR(VLOOKUP(D29,parametros!$A$11:$E$15,5,0),""))</f>
        <v/>
      </c>
      <c r="G29" s="273">
        <f>IF(OR(E29="",F29=""),"",ROUND(E29*F29,2))</f>
        <v/>
      </c>
      <c r="H29" s="315" t="n"/>
      <c r="I29" s="292">
        <f>IF(H29="Sim",IF(OR(G29="",E29=""),"",ROUND(G29-E29,2)),0)</f>
        <v/>
      </c>
      <c r="J29" s="292">
        <f>IF(H29="Nao",IF(G29="","",G29),0)</f>
        <v/>
      </c>
      <c r="K29" s="292">
        <f>IF(H29="Nao",IF(OR(G29="",E29=""),"",ROUND(G29-E29,2)),0)</f>
        <v/>
      </c>
      <c r="L29" s="295">
        <f>IF(COUNTA(A29:H29)=0,"",IF(C29="","DATA_PC vazia",IF(OR(D29="",D29="Fora dos ciclos"),"CICLO_PC nao identificado",IF(OR(E29="",E29=0),"VALOR_PC vazio ou zero",IF(AND(H29&lt;&gt;"Sim",H29&lt;&gt;"Nao"),"PC_PAGO_A_CONTRATADA invalido","OK")))))</f>
        <v/>
      </c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107" t="inlineStr">
        <is>
          <t>Nao</t>
        </is>
      </c>
      <c r="X29" s="107" t="inlineStr">
        <is>
          <t>PC em analise</t>
        </is>
      </c>
      <c r="Y29" s="107" t="inlineStr">
        <is>
          <t>Pedido de Compra</t>
        </is>
      </c>
      <c r="Z29" s="108" t="inlineStr">
        <is>
          <t>Impacto Potencial</t>
        </is>
      </c>
      <c r="AA29" s="108" t="inlineStr">
        <is>
          <t>PC</t>
        </is>
      </c>
      <c r="AB29" s="108" t="inlineStr">
        <is>
          <t>Nao</t>
        </is>
      </c>
      <c r="AC29" s="108" t="inlineStr">
        <is>
          <t>NAO_COMPUTADO</t>
        </is>
      </c>
      <c r="AD29" s="109" t="inlineStr">
        <is>
          <t>Estrutura Fase 1: sem impacto no VTA oficial</t>
        </is>
      </c>
    </row>
    <row r="30" ht="25.5" customHeight="1">
      <c r="A30" s="307" t="n"/>
      <c r="B30" s="307" t="n"/>
      <c r="C30" s="312" t="n"/>
      <c r="D30" s="313">
        <f>IF(C30="","",IF(OR(C30&lt;MIN(parametros!$D$2:$D$6),C30&gt;MAX(parametros!$E$2:$E$6)),"Fora dos ciclos",LOOKUP(C30,parametros!$D$2:$D$6,parametros!$B$2:$B$6)))</f>
        <v/>
      </c>
      <c r="E30" s="314" t="n"/>
      <c r="F30" s="272">
        <f>IF(D30="","",IFERROR(VLOOKUP(D30,parametros!$A$11:$E$15,5,0),""))</f>
        <v/>
      </c>
      <c r="G30" s="273">
        <f>IF(OR(E30="",F30=""),"",ROUND(E30*F30,2))</f>
        <v/>
      </c>
      <c r="H30" s="315" t="n"/>
      <c r="I30" s="292">
        <f>IF(H30="Sim",IF(OR(G30="",E30=""),"",ROUND(G30-E30,2)),0)</f>
        <v/>
      </c>
      <c r="J30" s="292">
        <f>IF(H30="Nao",IF(G30="","",G30),0)</f>
        <v/>
      </c>
      <c r="K30" s="292">
        <f>IF(H30="Nao",IF(OR(G30="",E30=""),"",ROUND(G30-E30,2)),0)</f>
        <v/>
      </c>
      <c r="L30" s="295">
        <f>IF(COUNTA(A30:H30)=0,"",IF(C30="","DATA_PC vazia",IF(OR(D30="",D30="Fora dos ciclos"),"CICLO_PC nao identificado",IF(OR(E30="",E30=0),"VALOR_PC vazio ou zero",IF(AND(H30&lt;&gt;"Sim",H30&lt;&gt;"Nao"),"PC_PAGO_A_CONTRATADA invalido","OK")))))</f>
        <v/>
      </c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107" t="inlineStr">
        <is>
          <t>Nao</t>
        </is>
      </c>
      <c r="X30" s="107" t="inlineStr">
        <is>
          <t>PC em analise</t>
        </is>
      </c>
      <c r="Y30" s="107" t="inlineStr">
        <is>
          <t>Pedido de Compra</t>
        </is>
      </c>
      <c r="Z30" s="108" t="inlineStr">
        <is>
          <t>Impacto Potencial</t>
        </is>
      </c>
      <c r="AA30" s="108" t="inlineStr">
        <is>
          <t>PC</t>
        </is>
      </c>
      <c r="AB30" s="108" t="inlineStr">
        <is>
          <t>Nao</t>
        </is>
      </c>
      <c r="AC30" s="108" t="inlineStr">
        <is>
          <t>NAO_COMPUTADO</t>
        </is>
      </c>
      <c r="AD30" s="109" t="inlineStr">
        <is>
          <t>Estrutura Fase 1: sem impacto no VTA oficial</t>
        </is>
      </c>
    </row>
    <row r="31" ht="25.5" customHeight="1">
      <c r="A31" s="307" t="n"/>
      <c r="B31" s="307" t="n"/>
      <c r="C31" s="312" t="n"/>
      <c r="D31" s="313">
        <f>IF(C31="","",IF(OR(C31&lt;MIN(parametros!$D$2:$D$6),C31&gt;MAX(parametros!$E$2:$E$6)),"Fora dos ciclos",LOOKUP(C31,parametros!$D$2:$D$6,parametros!$B$2:$B$6)))</f>
        <v/>
      </c>
      <c r="E31" s="314" t="n"/>
      <c r="F31" s="272">
        <f>IF(D31="","",IFERROR(VLOOKUP(D31,parametros!$A$11:$E$15,5,0),""))</f>
        <v/>
      </c>
      <c r="G31" s="273">
        <f>IF(OR(E31="",F31=""),"",ROUND(E31*F31,2))</f>
        <v/>
      </c>
      <c r="H31" s="315" t="n"/>
      <c r="I31" s="292">
        <f>IF(H31="Sim",IF(OR(G31="",E31=""),"",ROUND(G31-E31,2)),0)</f>
        <v/>
      </c>
      <c r="J31" s="292">
        <f>IF(H31="Nao",IF(G31="","",G31),0)</f>
        <v/>
      </c>
      <c r="K31" s="292">
        <f>IF(H31="Nao",IF(OR(G31="",E31=""),"",ROUND(G31-E31,2)),0)</f>
        <v/>
      </c>
      <c r="L31" s="295">
        <f>IF(COUNTA(A31:H31)=0,"",IF(C31="","DATA_PC vazia",IF(OR(D31="",D31="Fora dos ciclos"),"CICLO_PC nao identificado",IF(OR(E31="",E31=0),"VALOR_PC vazio ou zero",IF(AND(H31&lt;&gt;"Sim",H31&lt;&gt;"Nao"),"PC_PAGO_A_CONTRATADA invalido","OK")))))</f>
        <v/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107" t="inlineStr">
        <is>
          <t>Nao</t>
        </is>
      </c>
      <c r="X31" s="107" t="inlineStr">
        <is>
          <t>PC em analise</t>
        </is>
      </c>
      <c r="Y31" s="107" t="inlineStr">
        <is>
          <t>Pedido de Compra</t>
        </is>
      </c>
      <c r="Z31" s="108" t="inlineStr">
        <is>
          <t>Impacto Potencial</t>
        </is>
      </c>
      <c r="AA31" s="108" t="inlineStr">
        <is>
          <t>PC</t>
        </is>
      </c>
      <c r="AB31" s="108" t="inlineStr">
        <is>
          <t>Nao</t>
        </is>
      </c>
      <c r="AC31" s="108" t="inlineStr">
        <is>
          <t>NAO_COMPUTADO</t>
        </is>
      </c>
      <c r="AD31" s="109" t="inlineStr">
        <is>
          <t>Estrutura Fase 1: sem impacto no VTA oficial</t>
        </is>
      </c>
    </row>
    <row r="32" ht="25.5" customHeight="1">
      <c r="A32" s="307" t="n"/>
      <c r="B32" s="307" t="n"/>
      <c r="C32" s="312" t="n"/>
      <c r="D32" s="313">
        <f>IF(C32="","",IF(OR(C32&lt;MIN(parametros!$D$2:$D$6),C32&gt;MAX(parametros!$E$2:$E$6)),"Fora dos ciclos",LOOKUP(C32,parametros!$D$2:$D$6,parametros!$B$2:$B$6)))</f>
        <v/>
      </c>
      <c r="E32" s="314" t="n"/>
      <c r="F32" s="272">
        <f>IF(D32="","",IFERROR(VLOOKUP(D32,parametros!$A$11:$E$15,5,0),""))</f>
        <v/>
      </c>
      <c r="G32" s="273">
        <f>IF(OR(E32="",F32=""),"",ROUND(E32*F32,2))</f>
        <v/>
      </c>
      <c r="H32" s="315" t="n"/>
      <c r="I32" s="292">
        <f>IF(H32="Sim",IF(OR(G32="",E32=""),"",ROUND(G32-E32,2)),0)</f>
        <v/>
      </c>
      <c r="J32" s="292">
        <f>IF(H32="Nao",IF(G32="","",G32),0)</f>
        <v/>
      </c>
      <c r="K32" s="292">
        <f>IF(H32="Nao",IF(OR(G32="",E32=""),"",ROUND(G32-E32,2)),0)</f>
        <v/>
      </c>
      <c r="L32" s="295">
        <f>IF(COUNTA(A32:H32)=0,"",IF(C32="","DATA_PC vazia",IF(OR(D32="",D32="Fora dos ciclos"),"CICLO_PC nao identificado",IF(OR(E32="",E32=0),"VALOR_PC vazio ou zero",IF(AND(H32&lt;&gt;"Sim",H32&lt;&gt;"Nao"),"PC_PAGO_A_CONTRATADA invalido","OK")))))</f>
        <v/>
      </c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107" t="inlineStr">
        <is>
          <t>Nao</t>
        </is>
      </c>
      <c r="X32" s="107" t="inlineStr">
        <is>
          <t>PC em analise</t>
        </is>
      </c>
      <c r="Y32" s="107" t="inlineStr">
        <is>
          <t>Pedido de Compra</t>
        </is>
      </c>
      <c r="Z32" s="108" t="inlineStr">
        <is>
          <t>Impacto Potencial</t>
        </is>
      </c>
      <c r="AA32" s="108" t="inlineStr">
        <is>
          <t>PC</t>
        </is>
      </c>
      <c r="AB32" s="108" t="inlineStr">
        <is>
          <t>Nao</t>
        </is>
      </c>
      <c r="AC32" s="108" t="inlineStr">
        <is>
          <t>NAO_COMPUTADO</t>
        </is>
      </c>
      <c r="AD32" s="109" t="inlineStr">
        <is>
          <t>Estrutura Fase 1: sem impacto no VTA oficial</t>
        </is>
      </c>
    </row>
    <row r="33" ht="25.5" customHeight="1">
      <c r="A33" s="307" t="n"/>
      <c r="B33" s="307" t="n"/>
      <c r="C33" s="312" t="n"/>
      <c r="D33" s="313">
        <f>IF(C33="","",IF(OR(C33&lt;MIN(parametros!$D$2:$D$6),C33&gt;MAX(parametros!$E$2:$E$6)),"Fora dos ciclos",LOOKUP(C33,parametros!$D$2:$D$6,parametros!$B$2:$B$6)))</f>
        <v/>
      </c>
      <c r="E33" s="314" t="n"/>
      <c r="F33" s="272">
        <f>IF(D33="","",IFERROR(VLOOKUP(D33,parametros!$A$11:$E$15,5,0),""))</f>
        <v/>
      </c>
      <c r="G33" s="273">
        <f>IF(OR(E33="",F33=""),"",ROUND(E33*F33,2))</f>
        <v/>
      </c>
      <c r="H33" s="315" t="n"/>
      <c r="I33" s="292">
        <f>IF(H33="Sim",IF(OR(G33="",E33=""),"",ROUND(G33-E33,2)),0)</f>
        <v/>
      </c>
      <c r="J33" s="292">
        <f>IF(H33="Nao",IF(G33="","",G33),0)</f>
        <v/>
      </c>
      <c r="K33" s="292">
        <f>IF(H33="Nao",IF(OR(G33="",E33=""),"",ROUND(G33-E33,2)),0)</f>
        <v/>
      </c>
      <c r="L33" s="295">
        <f>IF(COUNTA(A33:H33)=0,"",IF(C33="","DATA_PC vazia",IF(OR(D33="",D33="Fora dos ciclos"),"CICLO_PC nao identificado",IF(OR(E33="",E33=0),"VALOR_PC vazio ou zero",IF(AND(H33&lt;&gt;"Sim",H33&lt;&gt;"Nao"),"PC_PAGO_A_CONTRATADA invalido","OK")))))</f>
        <v/>
      </c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107" t="inlineStr">
        <is>
          <t>Nao</t>
        </is>
      </c>
      <c r="X33" s="107" t="inlineStr">
        <is>
          <t>PC em analise</t>
        </is>
      </c>
      <c r="Y33" s="107" t="inlineStr">
        <is>
          <t>Pedido de Compra</t>
        </is>
      </c>
      <c r="Z33" s="108" t="inlineStr">
        <is>
          <t>Impacto Potencial</t>
        </is>
      </c>
      <c r="AA33" s="108" t="inlineStr">
        <is>
          <t>PC</t>
        </is>
      </c>
      <c r="AB33" s="108" t="inlineStr">
        <is>
          <t>Nao</t>
        </is>
      </c>
      <c r="AC33" s="108" t="inlineStr">
        <is>
          <t>NAO_COMPUTADO</t>
        </is>
      </c>
      <c r="AD33" s="109" t="inlineStr">
        <is>
          <t>Estrutura Fase 1: sem impacto no VTA oficial</t>
        </is>
      </c>
    </row>
    <row r="34" ht="25.5" customHeight="1">
      <c r="A34" s="307" t="n"/>
      <c r="B34" s="307" t="n"/>
      <c r="C34" s="312" t="n"/>
      <c r="D34" s="313">
        <f>IF(C34="","",IF(OR(C34&lt;MIN(parametros!$D$2:$D$6),C34&gt;MAX(parametros!$E$2:$E$6)),"Fora dos ciclos",LOOKUP(C34,parametros!$D$2:$D$6,parametros!$B$2:$B$6)))</f>
        <v/>
      </c>
      <c r="E34" s="314" t="n"/>
      <c r="F34" s="272">
        <f>IF(D34="","",IFERROR(VLOOKUP(D34,parametros!$A$11:$E$15,5,0),""))</f>
        <v/>
      </c>
      <c r="G34" s="273">
        <f>IF(OR(E34="",F34=""),"",ROUND(E34*F34,2))</f>
        <v/>
      </c>
      <c r="H34" s="315" t="n"/>
      <c r="I34" s="292">
        <f>IF(H34="Sim",IF(OR(G34="",E34=""),"",ROUND(G34-E34,2)),0)</f>
        <v/>
      </c>
      <c r="J34" s="292">
        <f>IF(H34="Nao",IF(G34="","",G34),0)</f>
        <v/>
      </c>
      <c r="K34" s="292">
        <f>IF(H34="Nao",IF(OR(G34="",E34=""),"",ROUND(G34-E34,2)),0)</f>
        <v/>
      </c>
      <c r="L34" s="295">
        <f>IF(COUNTA(A34:H34)=0,"",IF(C34="","DATA_PC vazia",IF(OR(D34="",D34="Fora dos ciclos"),"CICLO_PC nao identificado",IF(OR(E34="",E34=0),"VALOR_PC vazio ou zero",IF(AND(H34&lt;&gt;"Sim",H34&lt;&gt;"Nao"),"PC_PAGO_A_CONTRATADA invalido","OK")))))</f>
        <v/>
      </c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107" t="inlineStr">
        <is>
          <t>Nao</t>
        </is>
      </c>
      <c r="X34" s="107" t="inlineStr">
        <is>
          <t>PC em analise</t>
        </is>
      </c>
      <c r="Y34" s="107" t="inlineStr">
        <is>
          <t>Pedido de Compra</t>
        </is>
      </c>
      <c r="Z34" s="108" t="inlineStr">
        <is>
          <t>Impacto Potencial</t>
        </is>
      </c>
      <c r="AA34" s="108" t="inlineStr">
        <is>
          <t>PC</t>
        </is>
      </c>
      <c r="AB34" s="108" t="inlineStr">
        <is>
          <t>Nao</t>
        </is>
      </c>
      <c r="AC34" s="108" t="inlineStr">
        <is>
          <t>NAO_COMPUTADO</t>
        </is>
      </c>
      <c r="AD34" s="109" t="inlineStr">
        <is>
          <t>Estrutura Fase 1: sem impacto no VTA oficial</t>
        </is>
      </c>
    </row>
    <row r="35" ht="25.5" customHeight="1">
      <c r="A35" s="307" t="n"/>
      <c r="B35" s="307" t="n"/>
      <c r="C35" s="312" t="n"/>
      <c r="D35" s="313">
        <f>IF(C35="","",IF(OR(C35&lt;MIN(parametros!$D$2:$D$6),C35&gt;MAX(parametros!$E$2:$E$6)),"Fora dos ciclos",LOOKUP(C35,parametros!$D$2:$D$6,parametros!$B$2:$B$6)))</f>
        <v/>
      </c>
      <c r="E35" s="314" t="n"/>
      <c r="F35" s="272">
        <f>IF(D35="","",IFERROR(VLOOKUP(D35,parametros!$A$11:$E$15,5,0),""))</f>
        <v/>
      </c>
      <c r="G35" s="273">
        <f>IF(OR(E35="",F35=""),"",ROUND(E35*F35,2))</f>
        <v/>
      </c>
      <c r="H35" s="315" t="n"/>
      <c r="I35" s="292">
        <f>IF(H35="Sim",IF(OR(G35="",E35=""),"",ROUND(G35-E35,2)),0)</f>
        <v/>
      </c>
      <c r="J35" s="292">
        <f>IF(H35="Nao",IF(G35="","",G35),0)</f>
        <v/>
      </c>
      <c r="K35" s="292">
        <f>IF(H35="Nao",IF(OR(G35="",E35=""),"",ROUND(G35-E35,2)),0)</f>
        <v/>
      </c>
      <c r="L35" s="295">
        <f>IF(COUNTA(A35:H35)=0,"",IF(C35="","DATA_PC vazia",IF(OR(D35="",D35="Fora dos ciclos"),"CICLO_PC nao identificado",IF(OR(E35="",E35=0),"VALOR_PC vazio ou zero",IF(AND(H35&lt;&gt;"Sim",H35&lt;&gt;"Nao"),"PC_PAGO_A_CONTRATADA invalido","OK")))))</f>
        <v/>
      </c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107" t="inlineStr">
        <is>
          <t>Nao</t>
        </is>
      </c>
      <c r="X35" s="107" t="inlineStr">
        <is>
          <t>PC em analise</t>
        </is>
      </c>
      <c r="Y35" s="107" t="inlineStr">
        <is>
          <t>Pedido de Compra</t>
        </is>
      </c>
      <c r="Z35" s="108" t="inlineStr">
        <is>
          <t>Impacto Potencial</t>
        </is>
      </c>
      <c r="AA35" s="108" t="inlineStr">
        <is>
          <t>PC</t>
        </is>
      </c>
      <c r="AB35" s="108" t="inlineStr">
        <is>
          <t>Nao</t>
        </is>
      </c>
      <c r="AC35" s="108" t="inlineStr">
        <is>
          <t>NAO_COMPUTADO</t>
        </is>
      </c>
      <c r="AD35" s="109" t="inlineStr">
        <is>
          <t>Estrutura Fase 1: sem impacto no VTA oficial</t>
        </is>
      </c>
    </row>
    <row r="36" ht="25.5" customHeight="1">
      <c r="A36" s="307" t="n"/>
      <c r="B36" s="307" t="n"/>
      <c r="C36" s="312" t="n"/>
      <c r="D36" s="313">
        <f>IF(C36="","",IF(OR(C36&lt;MIN(parametros!$D$2:$D$6),C36&gt;MAX(parametros!$E$2:$E$6)),"Fora dos ciclos",LOOKUP(C36,parametros!$D$2:$D$6,parametros!$B$2:$B$6)))</f>
        <v/>
      </c>
      <c r="E36" s="314" t="n"/>
      <c r="F36" s="272">
        <f>IF(D36="","",IFERROR(VLOOKUP(D36,parametros!$A$11:$E$15,5,0),""))</f>
        <v/>
      </c>
      <c r="G36" s="273">
        <f>IF(OR(E36="",F36=""),"",ROUND(E36*F36,2))</f>
        <v/>
      </c>
      <c r="H36" s="315" t="n"/>
      <c r="I36" s="292">
        <f>IF(H36="Sim",IF(OR(G36="",E36=""),"",ROUND(G36-E36,2)),0)</f>
        <v/>
      </c>
      <c r="J36" s="292">
        <f>IF(H36="Nao",IF(G36="","",G36),0)</f>
        <v/>
      </c>
      <c r="K36" s="292">
        <f>IF(H36="Nao",IF(OR(G36="",E36=""),"",ROUND(G36-E36,2)),0)</f>
        <v/>
      </c>
      <c r="L36" s="295">
        <f>IF(COUNTA(A36:H36)=0,"",IF(C36="","DATA_PC vazia",IF(OR(D36="",D36="Fora dos ciclos"),"CICLO_PC nao identificado",IF(OR(E36="",E36=0),"VALOR_PC vazio ou zero",IF(AND(H36&lt;&gt;"Sim",H36&lt;&gt;"Nao"),"PC_PAGO_A_CONTRATADA invalido","OK")))))</f>
        <v/>
      </c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107" t="inlineStr">
        <is>
          <t>Nao</t>
        </is>
      </c>
      <c r="X36" s="107" t="inlineStr">
        <is>
          <t>PC em analise</t>
        </is>
      </c>
      <c r="Y36" s="107" t="inlineStr">
        <is>
          <t>Pedido de Compra</t>
        </is>
      </c>
      <c r="Z36" s="108" t="inlineStr">
        <is>
          <t>Impacto Potencial</t>
        </is>
      </c>
      <c r="AA36" s="108" t="inlineStr">
        <is>
          <t>PC</t>
        </is>
      </c>
      <c r="AB36" s="108" t="inlineStr">
        <is>
          <t>Nao</t>
        </is>
      </c>
      <c r="AC36" s="108" t="inlineStr">
        <is>
          <t>NAO_COMPUTADO</t>
        </is>
      </c>
      <c r="AD36" s="109" t="inlineStr">
        <is>
          <t>Estrutura Fase 1: sem impacto no VTA oficial</t>
        </is>
      </c>
    </row>
    <row r="37" ht="25.5" customHeight="1">
      <c r="A37" s="307" t="n"/>
      <c r="B37" s="307" t="n"/>
      <c r="C37" s="312" t="n"/>
      <c r="D37" s="313">
        <f>IF(C37="","",IF(OR(C37&lt;MIN(parametros!$D$2:$D$6),C37&gt;MAX(parametros!$E$2:$E$6)),"Fora dos ciclos",LOOKUP(C37,parametros!$D$2:$D$6,parametros!$B$2:$B$6)))</f>
        <v/>
      </c>
      <c r="E37" s="314" t="n"/>
      <c r="F37" s="272">
        <f>IF(D37="","",IFERROR(VLOOKUP(D37,parametros!$A$11:$E$15,5,0),""))</f>
        <v/>
      </c>
      <c r="G37" s="273">
        <f>IF(OR(E37="",F37=""),"",ROUND(E37*F37,2))</f>
        <v/>
      </c>
      <c r="H37" s="315" t="n"/>
      <c r="I37" s="292">
        <f>IF(H37="Sim",IF(OR(G37="",E37=""),"",ROUND(G37-E37,2)),0)</f>
        <v/>
      </c>
      <c r="J37" s="292">
        <f>IF(H37="Nao",IF(G37="","",G37),0)</f>
        <v/>
      </c>
      <c r="K37" s="292">
        <f>IF(H37="Nao",IF(OR(G37="",E37=""),"",ROUND(G37-E37,2)),0)</f>
        <v/>
      </c>
      <c r="L37" s="295">
        <f>IF(COUNTA(A37:H37)=0,"",IF(C37="","DATA_PC vazia",IF(OR(D37="",D37="Fora dos ciclos"),"CICLO_PC nao identificado",IF(OR(E37="",E37=0),"VALOR_PC vazio ou zero",IF(AND(H37&lt;&gt;"Sim",H37&lt;&gt;"Nao"),"PC_PAGO_A_CONTRATADA invalido","OK")))))</f>
        <v/>
      </c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107" t="inlineStr">
        <is>
          <t>Nao</t>
        </is>
      </c>
      <c r="X37" s="107" t="inlineStr">
        <is>
          <t>PC em analise</t>
        </is>
      </c>
      <c r="Y37" s="107" t="inlineStr">
        <is>
          <t>Pedido de Compra</t>
        </is>
      </c>
      <c r="Z37" s="108" t="inlineStr">
        <is>
          <t>Impacto Potencial</t>
        </is>
      </c>
      <c r="AA37" s="108" t="inlineStr">
        <is>
          <t>PC</t>
        </is>
      </c>
      <c r="AB37" s="108" t="inlineStr">
        <is>
          <t>Nao</t>
        </is>
      </c>
      <c r="AC37" s="108" t="inlineStr">
        <is>
          <t>NAO_COMPUTADO</t>
        </is>
      </c>
      <c r="AD37" s="109" t="inlineStr">
        <is>
          <t>Estrutura Fase 1: sem impacto no VTA oficial</t>
        </is>
      </c>
    </row>
    <row r="38" ht="25.5" customHeight="1">
      <c r="A38" s="307" t="n"/>
      <c r="B38" s="307" t="n"/>
      <c r="C38" s="312" t="n"/>
      <c r="D38" s="313">
        <f>IF(C38="","",IF(OR(C38&lt;MIN(parametros!$D$2:$D$6),C38&gt;MAX(parametros!$E$2:$E$6)),"Fora dos ciclos",LOOKUP(C38,parametros!$D$2:$D$6,parametros!$B$2:$B$6)))</f>
        <v/>
      </c>
      <c r="E38" s="314" t="n"/>
      <c r="F38" s="272">
        <f>IF(D38="","",IFERROR(VLOOKUP(D38,parametros!$A$11:$E$15,5,0),""))</f>
        <v/>
      </c>
      <c r="G38" s="273">
        <f>IF(OR(E38="",F38=""),"",ROUND(E38*F38,2))</f>
        <v/>
      </c>
      <c r="H38" s="315" t="n"/>
      <c r="I38" s="292">
        <f>IF(H38="Sim",IF(OR(G38="",E38=""),"",ROUND(G38-E38,2)),0)</f>
        <v/>
      </c>
      <c r="J38" s="292">
        <f>IF(H38="Nao",IF(G38="","",G38),0)</f>
        <v/>
      </c>
      <c r="K38" s="292">
        <f>IF(H38="Nao",IF(OR(G38="",E38=""),"",ROUND(G38-E38,2)),0)</f>
        <v/>
      </c>
      <c r="L38" s="295">
        <f>IF(COUNTA(A38:H38)=0,"",IF(C38="","DATA_PC vazia",IF(OR(D38="",D38="Fora dos ciclos"),"CICLO_PC nao identificado",IF(OR(E38="",E38=0),"VALOR_PC vazio ou zero",IF(AND(H38&lt;&gt;"Sim",H38&lt;&gt;"Nao"),"PC_PAGO_A_CONTRATADA invalido","OK")))))</f>
        <v/>
      </c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107" t="inlineStr">
        <is>
          <t>Nao</t>
        </is>
      </c>
      <c r="X38" s="107" t="inlineStr">
        <is>
          <t>PC em analise</t>
        </is>
      </c>
      <c r="Y38" s="107" t="inlineStr">
        <is>
          <t>Pedido de Compra</t>
        </is>
      </c>
      <c r="Z38" s="108" t="inlineStr">
        <is>
          <t>Impacto Potencial</t>
        </is>
      </c>
      <c r="AA38" s="108" t="inlineStr">
        <is>
          <t>PC</t>
        </is>
      </c>
      <c r="AB38" s="108" t="inlineStr">
        <is>
          <t>Nao</t>
        </is>
      </c>
      <c r="AC38" s="108" t="inlineStr">
        <is>
          <t>NAO_COMPUTADO</t>
        </is>
      </c>
      <c r="AD38" s="109" t="inlineStr">
        <is>
          <t>Estrutura Fase 1: sem impacto no VTA oficial</t>
        </is>
      </c>
    </row>
    <row r="39" ht="25.5" customHeight="1">
      <c r="A39" s="307" t="n"/>
      <c r="B39" s="307" t="n"/>
      <c r="C39" s="312" t="n"/>
      <c r="D39" s="313">
        <f>IF(C39="","",IF(OR(C39&lt;MIN(parametros!$D$2:$D$6),C39&gt;MAX(parametros!$E$2:$E$6)),"Fora dos ciclos",LOOKUP(C39,parametros!$D$2:$D$6,parametros!$B$2:$B$6)))</f>
        <v/>
      </c>
      <c r="E39" s="314" t="n"/>
      <c r="F39" s="272">
        <f>IF(D39="","",IFERROR(VLOOKUP(D39,parametros!$A$11:$E$15,5,0),""))</f>
        <v/>
      </c>
      <c r="G39" s="273">
        <f>IF(OR(E39="",F39=""),"",ROUND(E39*F39,2))</f>
        <v/>
      </c>
      <c r="H39" s="315" t="n"/>
      <c r="I39" s="292">
        <f>IF(H39="Sim",IF(OR(G39="",E39=""),"",ROUND(G39-E39,2)),0)</f>
        <v/>
      </c>
      <c r="J39" s="292">
        <f>IF(H39="Nao",IF(G39="","",G39),0)</f>
        <v/>
      </c>
      <c r="K39" s="292">
        <f>IF(H39="Nao",IF(OR(G39="",E39=""),"",ROUND(G39-E39,2)),0)</f>
        <v/>
      </c>
      <c r="L39" s="295">
        <f>IF(COUNTA(A39:H39)=0,"",IF(C39="","DATA_PC vazia",IF(OR(D39="",D39="Fora dos ciclos"),"CICLO_PC nao identificado",IF(OR(E39="",E39=0),"VALOR_PC vazio ou zero",IF(AND(H39&lt;&gt;"Sim",H39&lt;&gt;"Nao"),"PC_PAGO_A_CONTRATADA invalido","OK")))))</f>
        <v/>
      </c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107" t="inlineStr">
        <is>
          <t>Nao</t>
        </is>
      </c>
      <c r="X39" s="107" t="inlineStr">
        <is>
          <t>PC em analise</t>
        </is>
      </c>
      <c r="Y39" s="107" t="inlineStr">
        <is>
          <t>Pedido de Compra</t>
        </is>
      </c>
      <c r="Z39" s="108" t="inlineStr">
        <is>
          <t>Impacto Potencial</t>
        </is>
      </c>
      <c r="AA39" s="108" t="inlineStr">
        <is>
          <t>PC</t>
        </is>
      </c>
      <c r="AB39" s="108" t="inlineStr">
        <is>
          <t>Nao</t>
        </is>
      </c>
      <c r="AC39" s="108" t="inlineStr">
        <is>
          <t>NAO_COMPUTADO</t>
        </is>
      </c>
      <c r="AD39" s="109" t="inlineStr">
        <is>
          <t>Estrutura Fase 1: sem impacto no VTA oficial</t>
        </is>
      </c>
    </row>
    <row r="40" ht="25.5" customHeight="1">
      <c r="A40" s="307" t="n"/>
      <c r="B40" s="307" t="n"/>
      <c r="C40" s="312" t="n"/>
      <c r="D40" s="313">
        <f>IF(C40="","",IF(OR(C40&lt;MIN(parametros!$D$2:$D$6),C40&gt;MAX(parametros!$E$2:$E$6)),"Fora dos ciclos",LOOKUP(C40,parametros!$D$2:$D$6,parametros!$B$2:$B$6)))</f>
        <v/>
      </c>
      <c r="E40" s="314" t="n"/>
      <c r="F40" s="272">
        <f>IF(D40="","",IFERROR(VLOOKUP(D40,parametros!$A$11:$E$15,5,0),""))</f>
        <v/>
      </c>
      <c r="G40" s="273">
        <f>IF(OR(E40="",F40=""),"",ROUND(E40*F40,2))</f>
        <v/>
      </c>
      <c r="H40" s="315" t="n"/>
      <c r="I40" s="292">
        <f>IF(H40="Sim",IF(OR(G40="",E40=""),"",ROUND(G40-E40,2)),0)</f>
        <v/>
      </c>
      <c r="J40" s="292">
        <f>IF(H40="Nao",IF(G40="","",G40),0)</f>
        <v/>
      </c>
      <c r="K40" s="292">
        <f>IF(H40="Nao",IF(OR(G40="",E40=""),"",ROUND(G40-E40,2)),0)</f>
        <v/>
      </c>
      <c r="L40" s="295">
        <f>IF(COUNTA(A40:H40)=0,"",IF(C40="","DATA_PC vazia",IF(OR(D40="",D40="Fora dos ciclos"),"CICLO_PC nao identificado",IF(OR(E40="",E40=0),"VALOR_PC vazio ou zero",IF(AND(H40&lt;&gt;"Sim",H40&lt;&gt;"Nao"),"PC_PAGO_A_CONTRATADA invalido","OK")))))</f>
        <v/>
      </c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107" t="inlineStr">
        <is>
          <t>Nao</t>
        </is>
      </c>
      <c r="X40" s="107" t="inlineStr">
        <is>
          <t>PC em analise</t>
        </is>
      </c>
      <c r="Y40" s="107" t="inlineStr">
        <is>
          <t>Pedido de Compra</t>
        </is>
      </c>
      <c r="Z40" s="108" t="inlineStr">
        <is>
          <t>Impacto Potencial</t>
        </is>
      </c>
      <c r="AA40" s="108" t="inlineStr">
        <is>
          <t>PC</t>
        </is>
      </c>
      <c r="AB40" s="108" t="inlineStr">
        <is>
          <t>Nao</t>
        </is>
      </c>
      <c r="AC40" s="108" t="inlineStr">
        <is>
          <t>NAO_COMPUTADO</t>
        </is>
      </c>
      <c r="AD40" s="109" t="inlineStr">
        <is>
          <t>Estrutura Fase 1: sem impacto no VTA oficial</t>
        </is>
      </c>
    </row>
    <row r="41" ht="25.5" customHeight="1">
      <c r="A41" s="307" t="n"/>
      <c r="B41" s="307" t="n"/>
      <c r="C41" s="312" t="n"/>
      <c r="D41" s="313">
        <f>IF(C41="","",IF(OR(C41&lt;MIN(parametros!$D$2:$D$6),C41&gt;MAX(parametros!$E$2:$E$6)),"Fora dos ciclos",LOOKUP(C41,parametros!$D$2:$D$6,parametros!$B$2:$B$6)))</f>
        <v/>
      </c>
      <c r="E41" s="314" t="n"/>
      <c r="F41" s="272">
        <f>IF(D41="","",IFERROR(VLOOKUP(D41,parametros!$A$11:$E$15,5,0),""))</f>
        <v/>
      </c>
      <c r="G41" s="273">
        <f>IF(OR(E41="",F41=""),"",ROUND(E41*F41,2))</f>
        <v/>
      </c>
      <c r="H41" s="315" t="n"/>
      <c r="I41" s="292">
        <f>IF(H41="Sim",IF(OR(G41="",E41=""),"",ROUND(G41-E41,2)),0)</f>
        <v/>
      </c>
      <c r="J41" s="292">
        <f>IF(H41="Nao",IF(G41="","",G41),0)</f>
        <v/>
      </c>
      <c r="K41" s="292">
        <f>IF(H41="Nao",IF(OR(G41="",E41=""),"",ROUND(G41-E41,2)),0)</f>
        <v/>
      </c>
      <c r="L41" s="295">
        <f>IF(COUNTA(A41:H41)=0,"",IF(C41="","DATA_PC vazia",IF(OR(D41="",D41="Fora dos ciclos"),"CICLO_PC nao identificado",IF(OR(E41="",E41=0),"VALOR_PC vazio ou zero",IF(AND(H41&lt;&gt;"Sim",H41&lt;&gt;"Nao"),"PC_PAGO_A_CONTRATADA invalido","OK")))))</f>
        <v/>
      </c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107" t="inlineStr">
        <is>
          <t>Nao</t>
        </is>
      </c>
      <c r="X41" s="107" t="inlineStr">
        <is>
          <t>PC em analise</t>
        </is>
      </c>
      <c r="Y41" s="107" t="inlineStr">
        <is>
          <t>Pedido de Compra</t>
        </is>
      </c>
      <c r="Z41" s="108" t="inlineStr">
        <is>
          <t>Impacto Potencial</t>
        </is>
      </c>
      <c r="AA41" s="108" t="inlineStr">
        <is>
          <t>PC</t>
        </is>
      </c>
      <c r="AB41" s="108" t="inlineStr">
        <is>
          <t>Nao</t>
        </is>
      </c>
      <c r="AC41" s="108" t="inlineStr">
        <is>
          <t>NAO_COMPUTADO</t>
        </is>
      </c>
      <c r="AD41" s="109" t="inlineStr">
        <is>
          <t>Estrutura Fase 1: sem impacto no VTA oficial</t>
        </is>
      </c>
    </row>
    <row r="42" ht="25.5" customHeight="1">
      <c r="A42" s="307" t="n"/>
      <c r="B42" s="307" t="n"/>
      <c r="C42" s="312" t="n"/>
      <c r="D42" s="313">
        <f>IF(C42="","",IF(OR(C42&lt;MIN(parametros!$D$2:$D$6),C42&gt;MAX(parametros!$E$2:$E$6)),"Fora dos ciclos",LOOKUP(C42,parametros!$D$2:$D$6,parametros!$B$2:$B$6)))</f>
        <v/>
      </c>
      <c r="E42" s="314" t="n"/>
      <c r="F42" s="272">
        <f>IF(D42="","",IFERROR(VLOOKUP(D42,parametros!$A$11:$E$15,5,0),""))</f>
        <v/>
      </c>
      <c r="G42" s="273">
        <f>IF(OR(E42="",F42=""),"",ROUND(E42*F42,2))</f>
        <v/>
      </c>
      <c r="H42" s="315" t="n"/>
      <c r="I42" s="292">
        <f>IF(H42="Sim",IF(OR(G42="",E42=""),"",ROUND(G42-E42,2)),0)</f>
        <v/>
      </c>
      <c r="J42" s="292">
        <f>IF(H42="Nao",IF(G42="","",G42),0)</f>
        <v/>
      </c>
      <c r="K42" s="292">
        <f>IF(H42="Nao",IF(OR(G42="",E42=""),"",ROUND(G42-E42,2)),0)</f>
        <v/>
      </c>
      <c r="L42" s="295">
        <f>IF(COUNTA(A42:H42)=0,"",IF(C42="","DATA_PC vazia",IF(OR(D42="",D42="Fora dos ciclos"),"CICLO_PC nao identificado",IF(OR(E42="",E42=0),"VALOR_PC vazio ou zero",IF(AND(H42&lt;&gt;"Sim",H42&lt;&gt;"Nao"),"PC_PAGO_A_CONTRATADA invalido","OK")))))</f>
        <v/>
      </c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107" t="inlineStr">
        <is>
          <t>Nao</t>
        </is>
      </c>
      <c r="X42" s="107" t="inlineStr">
        <is>
          <t>PC em analise</t>
        </is>
      </c>
      <c r="Y42" s="107" t="inlineStr">
        <is>
          <t>Pedido de Compra</t>
        </is>
      </c>
      <c r="Z42" s="108" t="inlineStr">
        <is>
          <t>Impacto Potencial</t>
        </is>
      </c>
      <c r="AA42" s="108" t="inlineStr">
        <is>
          <t>PC</t>
        </is>
      </c>
      <c r="AB42" s="108" t="inlineStr">
        <is>
          <t>Nao</t>
        </is>
      </c>
      <c r="AC42" s="108" t="inlineStr">
        <is>
          <t>NAO_COMPUTADO</t>
        </is>
      </c>
      <c r="AD42" s="109" t="inlineStr">
        <is>
          <t>Estrutura Fase 1: sem impacto no VTA oficial</t>
        </is>
      </c>
    </row>
    <row r="43" ht="25.5" customHeight="1">
      <c r="A43" s="307" t="n"/>
      <c r="B43" s="307" t="n"/>
      <c r="C43" s="312" t="n"/>
      <c r="D43" s="313">
        <f>IF(C43="","",IF(OR(C43&lt;MIN(parametros!$D$2:$D$6),C43&gt;MAX(parametros!$E$2:$E$6)),"Fora dos ciclos",LOOKUP(C43,parametros!$D$2:$D$6,parametros!$B$2:$B$6)))</f>
        <v/>
      </c>
      <c r="E43" s="314" t="n"/>
      <c r="F43" s="272">
        <f>IF(D43="","",IFERROR(VLOOKUP(D43,parametros!$A$11:$E$15,5,0),""))</f>
        <v/>
      </c>
      <c r="G43" s="273">
        <f>IF(OR(E43="",F43=""),"",ROUND(E43*F43,2))</f>
        <v/>
      </c>
      <c r="H43" s="315" t="n"/>
      <c r="I43" s="292">
        <f>IF(H43="Sim",IF(OR(G43="",E43=""),"",ROUND(G43-E43,2)),0)</f>
        <v/>
      </c>
      <c r="J43" s="292">
        <f>IF(H43="Nao",IF(G43="","",G43),0)</f>
        <v/>
      </c>
      <c r="K43" s="292">
        <f>IF(H43="Nao",IF(OR(G43="",E43=""),"",ROUND(G43-E43,2)),0)</f>
        <v/>
      </c>
      <c r="L43" s="295">
        <f>IF(COUNTA(A43:H43)=0,"",IF(C43="","DATA_PC vazia",IF(OR(D43="",D43="Fora dos ciclos"),"CICLO_PC nao identificado",IF(OR(E43="",E43=0),"VALOR_PC vazio ou zero",IF(AND(H43&lt;&gt;"Sim",H43&lt;&gt;"Nao"),"PC_PAGO_A_CONTRATADA invalido","OK")))))</f>
        <v/>
      </c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107" t="inlineStr">
        <is>
          <t>Nao</t>
        </is>
      </c>
      <c r="X43" s="107" t="inlineStr">
        <is>
          <t>PC em analise</t>
        </is>
      </c>
      <c r="Y43" s="107" t="inlineStr">
        <is>
          <t>Pedido de Compra</t>
        </is>
      </c>
      <c r="Z43" s="108" t="inlineStr">
        <is>
          <t>Impacto Potencial</t>
        </is>
      </c>
      <c r="AA43" s="108" t="inlineStr">
        <is>
          <t>PC</t>
        </is>
      </c>
      <c r="AB43" s="108" t="inlineStr">
        <is>
          <t>Nao</t>
        </is>
      </c>
      <c r="AC43" s="108" t="inlineStr">
        <is>
          <t>NAO_COMPUTADO</t>
        </is>
      </c>
      <c r="AD43" s="109" t="inlineStr">
        <is>
          <t>Estrutura Fase 1: sem impacto no VTA oficial</t>
        </is>
      </c>
    </row>
    <row r="44" ht="25.5" customHeight="1">
      <c r="A44" s="307" t="n"/>
      <c r="B44" s="307" t="n"/>
      <c r="C44" s="312" t="n"/>
      <c r="D44" s="313">
        <f>IF(C44="","",IF(OR(C44&lt;MIN(parametros!$D$2:$D$6),C44&gt;MAX(parametros!$E$2:$E$6)),"Fora dos ciclos",LOOKUP(C44,parametros!$D$2:$D$6,parametros!$B$2:$B$6)))</f>
        <v/>
      </c>
      <c r="E44" s="314" t="n"/>
      <c r="F44" s="272">
        <f>IF(D44="","",IFERROR(VLOOKUP(D44,parametros!$A$11:$E$15,5,0),""))</f>
        <v/>
      </c>
      <c r="G44" s="273">
        <f>IF(OR(E44="",F44=""),"",ROUND(E44*F44,2))</f>
        <v/>
      </c>
      <c r="H44" s="315" t="n"/>
      <c r="I44" s="292">
        <f>IF(H44="Sim",IF(OR(G44="",E44=""),"",ROUND(G44-E44,2)),0)</f>
        <v/>
      </c>
      <c r="J44" s="292">
        <f>IF(H44="Nao",IF(G44="","",G44),0)</f>
        <v/>
      </c>
      <c r="K44" s="292">
        <f>IF(H44="Nao",IF(OR(G44="",E44=""),"",ROUND(G44-E44,2)),0)</f>
        <v/>
      </c>
      <c r="L44" s="295">
        <f>IF(COUNTA(A44:H44)=0,"",IF(C44="","DATA_PC vazia",IF(OR(D44="",D44="Fora dos ciclos"),"CICLO_PC nao identificado",IF(OR(E44="",E44=0),"VALOR_PC vazio ou zero",IF(AND(H44&lt;&gt;"Sim",H44&lt;&gt;"Nao"),"PC_PAGO_A_CONTRATADA invalido","OK")))))</f>
        <v/>
      </c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107" t="inlineStr">
        <is>
          <t>Nao</t>
        </is>
      </c>
      <c r="X44" s="107" t="inlineStr">
        <is>
          <t>PC em analise</t>
        </is>
      </c>
      <c r="Y44" s="107" t="inlineStr">
        <is>
          <t>Pedido de Compra</t>
        </is>
      </c>
      <c r="Z44" s="108" t="inlineStr">
        <is>
          <t>Impacto Potencial</t>
        </is>
      </c>
      <c r="AA44" s="108" t="inlineStr">
        <is>
          <t>PC</t>
        </is>
      </c>
      <c r="AB44" s="108" t="inlineStr">
        <is>
          <t>Nao</t>
        </is>
      </c>
      <c r="AC44" s="108" t="inlineStr">
        <is>
          <t>NAO_COMPUTADO</t>
        </is>
      </c>
      <c r="AD44" s="109" t="inlineStr">
        <is>
          <t>Estrutura Fase 1: sem impacto no VTA oficial</t>
        </is>
      </c>
    </row>
    <row r="45" ht="25.5" customHeight="1">
      <c r="A45" s="307" t="n"/>
      <c r="B45" s="307" t="n"/>
      <c r="C45" s="312" t="n"/>
      <c r="D45" s="313">
        <f>IF(C45="","",IF(OR(C45&lt;MIN(parametros!$D$2:$D$6),C45&gt;MAX(parametros!$E$2:$E$6)),"Fora dos ciclos",LOOKUP(C45,parametros!$D$2:$D$6,parametros!$B$2:$B$6)))</f>
        <v/>
      </c>
      <c r="E45" s="314" t="n"/>
      <c r="F45" s="272">
        <f>IF(D45="","",IFERROR(VLOOKUP(D45,parametros!$A$11:$E$15,5,0),""))</f>
        <v/>
      </c>
      <c r="G45" s="273">
        <f>IF(OR(E45="",F45=""),"",ROUND(E45*F45,2))</f>
        <v/>
      </c>
      <c r="H45" s="315" t="n"/>
      <c r="I45" s="292">
        <f>IF(H45="Sim",IF(OR(G45="",E45=""),"",ROUND(G45-E45,2)),0)</f>
        <v/>
      </c>
      <c r="J45" s="292">
        <f>IF(H45="Nao",IF(G45="","",G45),0)</f>
        <v/>
      </c>
      <c r="K45" s="292">
        <f>IF(H45="Nao",IF(OR(G45="",E45=""),"",ROUND(G45-E45,2)),0)</f>
        <v/>
      </c>
      <c r="L45" s="295">
        <f>IF(COUNTA(A45:H45)=0,"",IF(C45="","DATA_PC vazia",IF(OR(D45="",D45="Fora dos ciclos"),"CICLO_PC nao identificado",IF(OR(E45="",E45=0),"VALOR_PC vazio ou zero",IF(AND(H45&lt;&gt;"Sim",H45&lt;&gt;"Nao"),"PC_PAGO_A_CONTRATADA invalido","OK")))))</f>
        <v/>
      </c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107" t="inlineStr">
        <is>
          <t>Nao</t>
        </is>
      </c>
      <c r="X45" s="107" t="inlineStr">
        <is>
          <t>PC em analise</t>
        </is>
      </c>
      <c r="Y45" s="107" t="inlineStr">
        <is>
          <t>Pedido de Compra</t>
        </is>
      </c>
      <c r="Z45" s="108" t="inlineStr">
        <is>
          <t>Impacto Potencial</t>
        </is>
      </c>
      <c r="AA45" s="108" t="inlineStr">
        <is>
          <t>PC</t>
        </is>
      </c>
      <c r="AB45" s="108" t="inlineStr">
        <is>
          <t>Nao</t>
        </is>
      </c>
      <c r="AC45" s="108" t="inlineStr">
        <is>
          <t>NAO_COMPUTADO</t>
        </is>
      </c>
      <c r="AD45" s="109" t="inlineStr">
        <is>
          <t>Estrutura Fase 1: sem impacto no VTA oficial</t>
        </is>
      </c>
    </row>
    <row r="46" ht="25.5" customHeight="1">
      <c r="A46" s="307" t="n"/>
      <c r="B46" s="307" t="n"/>
      <c r="C46" s="312" t="n"/>
      <c r="D46" s="313">
        <f>IF(C46="","",IF(OR(C46&lt;MIN(parametros!$D$2:$D$6),C46&gt;MAX(parametros!$E$2:$E$6)),"Fora dos ciclos",LOOKUP(C46,parametros!$D$2:$D$6,parametros!$B$2:$B$6)))</f>
        <v/>
      </c>
      <c r="E46" s="314" t="n"/>
      <c r="F46" s="272">
        <f>IF(D46="","",IFERROR(VLOOKUP(D46,parametros!$A$11:$E$15,5,0),""))</f>
        <v/>
      </c>
      <c r="G46" s="273">
        <f>IF(OR(E46="",F46=""),"",ROUND(E46*F46,2))</f>
        <v/>
      </c>
      <c r="H46" s="315" t="n"/>
      <c r="I46" s="292">
        <f>IF(H46="Sim",IF(OR(G46="",E46=""),"",ROUND(G46-E46,2)),0)</f>
        <v/>
      </c>
      <c r="J46" s="292">
        <f>IF(H46="Nao",IF(G46="","",G46),0)</f>
        <v/>
      </c>
      <c r="K46" s="292">
        <f>IF(H46="Nao",IF(OR(G46="",E46=""),"",ROUND(G46-E46,2)),0)</f>
        <v/>
      </c>
      <c r="L46" s="295">
        <f>IF(COUNTA(A46:H46)=0,"",IF(C46="","DATA_PC vazia",IF(OR(D46="",D46="Fora dos ciclos"),"CICLO_PC nao identificado",IF(OR(E46="",E46=0),"VALOR_PC vazio ou zero",IF(AND(H46&lt;&gt;"Sim",H46&lt;&gt;"Nao"),"PC_PAGO_A_CONTRATADA invalido","OK")))))</f>
        <v/>
      </c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107" t="inlineStr">
        <is>
          <t>Nao</t>
        </is>
      </c>
      <c r="X46" s="107" t="inlineStr">
        <is>
          <t>PC em analise</t>
        </is>
      </c>
      <c r="Y46" s="107" t="inlineStr">
        <is>
          <t>Pedido de Compra</t>
        </is>
      </c>
      <c r="Z46" s="108" t="inlineStr">
        <is>
          <t>Impacto Potencial</t>
        </is>
      </c>
      <c r="AA46" s="108" t="inlineStr">
        <is>
          <t>PC</t>
        </is>
      </c>
      <c r="AB46" s="108" t="inlineStr">
        <is>
          <t>Nao</t>
        </is>
      </c>
      <c r="AC46" s="108" t="inlineStr">
        <is>
          <t>NAO_COMPUTADO</t>
        </is>
      </c>
      <c r="AD46" s="109" t="inlineStr">
        <is>
          <t>Estrutura Fase 1: sem impacto no VTA oficial</t>
        </is>
      </c>
    </row>
    <row r="47" ht="25.5" customHeight="1">
      <c r="A47" s="307" t="n"/>
      <c r="B47" s="307" t="n"/>
      <c r="C47" s="312" t="n"/>
      <c r="D47" s="313">
        <f>IF(C47="","",IF(OR(C47&lt;MIN(parametros!$D$2:$D$6),C47&gt;MAX(parametros!$E$2:$E$6)),"Fora dos ciclos",LOOKUP(C47,parametros!$D$2:$D$6,parametros!$B$2:$B$6)))</f>
        <v/>
      </c>
      <c r="E47" s="314" t="n"/>
      <c r="F47" s="272">
        <f>IF(D47="","",IFERROR(VLOOKUP(D47,parametros!$A$11:$E$15,5,0),""))</f>
        <v/>
      </c>
      <c r="G47" s="273">
        <f>IF(OR(E47="",F47=""),"",ROUND(E47*F47,2))</f>
        <v/>
      </c>
      <c r="H47" s="315" t="n"/>
      <c r="I47" s="292">
        <f>IF(H47="Sim",IF(OR(G47="",E47=""),"",ROUND(G47-E47,2)),0)</f>
        <v/>
      </c>
      <c r="J47" s="292">
        <f>IF(H47="Nao",IF(G47="","",G47),0)</f>
        <v/>
      </c>
      <c r="K47" s="292">
        <f>IF(H47="Nao",IF(OR(G47="",E47=""),"",ROUND(G47-E47,2)),0)</f>
        <v/>
      </c>
      <c r="L47" s="295">
        <f>IF(COUNTA(A47:H47)=0,"",IF(C47="","DATA_PC vazia",IF(OR(D47="",D47="Fora dos ciclos"),"CICLO_PC nao identificado",IF(OR(E47="",E47=0),"VALOR_PC vazio ou zero",IF(AND(H47&lt;&gt;"Sim",H47&lt;&gt;"Nao"),"PC_PAGO_A_CONTRATADA invalido","OK")))))</f>
        <v/>
      </c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107" t="inlineStr">
        <is>
          <t>Nao</t>
        </is>
      </c>
      <c r="X47" s="107" t="inlineStr">
        <is>
          <t>PC em analise</t>
        </is>
      </c>
      <c r="Y47" s="107" t="inlineStr">
        <is>
          <t>Pedido de Compra</t>
        </is>
      </c>
      <c r="Z47" s="108" t="inlineStr">
        <is>
          <t>Impacto Potencial</t>
        </is>
      </c>
      <c r="AA47" s="108" t="inlineStr">
        <is>
          <t>PC</t>
        </is>
      </c>
      <c r="AB47" s="108" t="inlineStr">
        <is>
          <t>Nao</t>
        </is>
      </c>
      <c r="AC47" s="108" t="inlineStr">
        <is>
          <t>NAO_COMPUTADO</t>
        </is>
      </c>
      <c r="AD47" s="109" t="inlineStr">
        <is>
          <t>Estrutura Fase 1: sem impacto no VTA oficial</t>
        </is>
      </c>
    </row>
    <row r="48" ht="25.5" customHeight="1">
      <c r="A48" s="307" t="n"/>
      <c r="B48" s="307" t="n"/>
      <c r="C48" s="312" t="n"/>
      <c r="D48" s="313">
        <f>IF(C48="","",IF(OR(C48&lt;MIN(parametros!$D$2:$D$6),C48&gt;MAX(parametros!$E$2:$E$6)),"Fora dos ciclos",LOOKUP(C48,parametros!$D$2:$D$6,parametros!$B$2:$B$6)))</f>
        <v/>
      </c>
      <c r="E48" s="314" t="n"/>
      <c r="F48" s="272">
        <f>IF(D48="","",IFERROR(VLOOKUP(D48,parametros!$A$11:$E$15,5,0),""))</f>
        <v/>
      </c>
      <c r="G48" s="273">
        <f>IF(OR(E48="",F48=""),"",ROUND(E48*F48,2))</f>
        <v/>
      </c>
      <c r="H48" s="315" t="n"/>
      <c r="I48" s="292">
        <f>IF(H48="Sim",IF(OR(G48="",E48=""),"",ROUND(G48-E48,2)),0)</f>
        <v/>
      </c>
      <c r="J48" s="292">
        <f>IF(H48="Nao",IF(G48="","",G48),0)</f>
        <v/>
      </c>
      <c r="K48" s="292">
        <f>IF(H48="Nao",IF(OR(G48="",E48=""),"",ROUND(G48-E48,2)),0)</f>
        <v/>
      </c>
      <c r="L48" s="295">
        <f>IF(COUNTA(A48:H48)=0,"",IF(C48="","DATA_PC vazia",IF(OR(D48="",D48="Fora dos ciclos"),"CICLO_PC nao identificado",IF(OR(E48="",E48=0),"VALOR_PC vazio ou zero",IF(AND(H48&lt;&gt;"Sim",H48&lt;&gt;"Nao"),"PC_PAGO_A_CONTRATADA invalido","OK")))))</f>
        <v/>
      </c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107" t="inlineStr">
        <is>
          <t>Nao</t>
        </is>
      </c>
      <c r="X48" s="107" t="inlineStr">
        <is>
          <t>PC em analise</t>
        </is>
      </c>
      <c r="Y48" s="107" t="inlineStr">
        <is>
          <t>Pedido de Compra</t>
        </is>
      </c>
      <c r="Z48" s="108" t="inlineStr">
        <is>
          <t>Impacto Potencial</t>
        </is>
      </c>
      <c r="AA48" s="108" t="inlineStr">
        <is>
          <t>PC</t>
        </is>
      </c>
      <c r="AB48" s="108" t="inlineStr">
        <is>
          <t>Nao</t>
        </is>
      </c>
      <c r="AC48" s="108" t="inlineStr">
        <is>
          <t>NAO_COMPUTADO</t>
        </is>
      </c>
      <c r="AD48" s="109" t="inlineStr">
        <is>
          <t>Estrutura Fase 1: sem impacto no VTA oficial</t>
        </is>
      </c>
    </row>
    <row r="49" ht="25.5" customHeight="1">
      <c r="A49" s="307" t="n"/>
      <c r="B49" s="307" t="n"/>
      <c r="C49" s="312" t="n"/>
      <c r="D49" s="313">
        <f>IF(C49="","",IF(OR(C49&lt;MIN(parametros!$D$2:$D$6),C49&gt;MAX(parametros!$E$2:$E$6)),"Fora dos ciclos",LOOKUP(C49,parametros!$D$2:$D$6,parametros!$B$2:$B$6)))</f>
        <v/>
      </c>
      <c r="E49" s="314" t="n"/>
      <c r="F49" s="272">
        <f>IF(D49="","",IFERROR(VLOOKUP(D49,parametros!$A$11:$E$15,5,0),""))</f>
        <v/>
      </c>
      <c r="G49" s="273">
        <f>IF(OR(E49="",F49=""),"",ROUND(E49*F49,2))</f>
        <v/>
      </c>
      <c r="H49" s="315" t="n"/>
      <c r="I49" s="292">
        <f>IF(H49="Sim",IF(OR(G49="",E49=""),"",ROUND(G49-E49,2)),0)</f>
        <v/>
      </c>
      <c r="J49" s="292">
        <f>IF(H49="Nao",IF(G49="","",G49),0)</f>
        <v/>
      </c>
      <c r="K49" s="292">
        <f>IF(H49="Nao",IF(OR(G49="",E49=""),"",ROUND(G49-E49,2)),0)</f>
        <v/>
      </c>
      <c r="L49" s="295">
        <f>IF(COUNTA(A49:H49)=0,"",IF(C49="","DATA_PC vazia",IF(OR(D49="",D49="Fora dos ciclos"),"CICLO_PC nao identificado",IF(OR(E49="",E49=0),"VALOR_PC vazio ou zero",IF(AND(H49&lt;&gt;"Sim",H49&lt;&gt;"Nao"),"PC_PAGO_A_CONTRATADA invalido","OK")))))</f>
        <v/>
      </c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107" t="inlineStr">
        <is>
          <t>Nao</t>
        </is>
      </c>
      <c r="X49" s="107" t="inlineStr">
        <is>
          <t>PC em analise</t>
        </is>
      </c>
      <c r="Y49" s="107" t="inlineStr">
        <is>
          <t>Pedido de Compra</t>
        </is>
      </c>
      <c r="Z49" s="108" t="inlineStr">
        <is>
          <t>Impacto Potencial</t>
        </is>
      </c>
      <c r="AA49" s="108" t="inlineStr">
        <is>
          <t>PC</t>
        </is>
      </c>
      <c r="AB49" s="108" t="inlineStr">
        <is>
          <t>Nao</t>
        </is>
      </c>
      <c r="AC49" s="108" t="inlineStr">
        <is>
          <t>NAO_COMPUTADO</t>
        </is>
      </c>
      <c r="AD49" s="109" t="inlineStr">
        <is>
          <t>Estrutura Fase 1: sem impacto no VTA oficial</t>
        </is>
      </c>
    </row>
    <row r="50" ht="25.5" customHeight="1">
      <c r="A50" s="307" t="n"/>
      <c r="B50" s="307" t="n"/>
      <c r="C50" s="312" t="n"/>
      <c r="D50" s="313">
        <f>IF(C50="","",IF(OR(C50&lt;MIN(parametros!$D$2:$D$6),C50&gt;MAX(parametros!$E$2:$E$6)),"Fora dos ciclos",LOOKUP(C50,parametros!$D$2:$D$6,parametros!$B$2:$B$6)))</f>
        <v/>
      </c>
      <c r="E50" s="314" t="n"/>
      <c r="F50" s="272">
        <f>IF(D50="","",IFERROR(VLOOKUP(D50,parametros!$A$11:$E$15,5,0),""))</f>
        <v/>
      </c>
      <c r="G50" s="273">
        <f>IF(OR(E50="",F50=""),"",ROUND(E50*F50,2))</f>
        <v/>
      </c>
      <c r="H50" s="315" t="n"/>
      <c r="I50" s="292">
        <f>IF(H50="Sim",IF(OR(G50="",E50=""),"",ROUND(G50-E50,2)),0)</f>
        <v/>
      </c>
      <c r="J50" s="292">
        <f>IF(H50="Nao",IF(G50="","",G50),0)</f>
        <v/>
      </c>
      <c r="K50" s="292">
        <f>IF(H50="Nao",IF(OR(G50="",E50=""),"",ROUND(G50-E50,2)),0)</f>
        <v/>
      </c>
      <c r="L50" s="295">
        <f>IF(COUNTA(A50:H50)=0,"",IF(C50="","DATA_PC vazia",IF(OR(D50="",D50="Fora dos ciclos"),"CICLO_PC nao identificado",IF(OR(E50="",E50=0),"VALOR_PC vazio ou zero",IF(AND(H50&lt;&gt;"Sim",H50&lt;&gt;"Nao"),"PC_PAGO_A_CONTRATADA invalido","OK")))))</f>
        <v/>
      </c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107" t="inlineStr">
        <is>
          <t>Nao</t>
        </is>
      </c>
      <c r="X50" s="107" t="inlineStr">
        <is>
          <t>PC em analise</t>
        </is>
      </c>
      <c r="Y50" s="107" t="inlineStr">
        <is>
          <t>Pedido de Compra</t>
        </is>
      </c>
      <c r="Z50" s="108" t="inlineStr">
        <is>
          <t>Impacto Potencial</t>
        </is>
      </c>
      <c r="AA50" s="108" t="inlineStr">
        <is>
          <t>PC</t>
        </is>
      </c>
      <c r="AB50" s="108" t="inlineStr">
        <is>
          <t>Nao</t>
        </is>
      </c>
      <c r="AC50" s="108" t="inlineStr">
        <is>
          <t>NAO_COMPUTADO</t>
        </is>
      </c>
      <c r="AD50" s="109" t="inlineStr">
        <is>
          <t>Estrutura Fase 1: sem impacto no VTA oficial</t>
        </is>
      </c>
    </row>
    <row r="51" ht="25.5" customHeight="1">
      <c r="A51" s="307" t="n"/>
      <c r="B51" s="307" t="n"/>
      <c r="C51" s="312" t="n"/>
      <c r="D51" s="313">
        <f>IF(C51="","",IF(OR(C51&lt;MIN(parametros!$D$2:$D$6),C51&gt;MAX(parametros!$E$2:$E$6)),"Fora dos ciclos",LOOKUP(C51,parametros!$D$2:$D$6,parametros!$B$2:$B$6)))</f>
        <v/>
      </c>
      <c r="E51" s="314" t="n"/>
      <c r="F51" s="272">
        <f>IF(D51="","",IFERROR(VLOOKUP(D51,parametros!$A$11:$E$15,5,0),""))</f>
        <v/>
      </c>
      <c r="G51" s="273">
        <f>IF(OR(E51="",F51=""),"",ROUND(E51*F51,2))</f>
        <v/>
      </c>
      <c r="H51" s="315" t="n"/>
      <c r="I51" s="292">
        <f>IF(H51="Sim",IF(OR(G51="",E51=""),"",ROUND(G51-E51,2)),0)</f>
        <v/>
      </c>
      <c r="J51" s="292">
        <f>IF(H51="Nao",IF(G51="","",G51),0)</f>
        <v/>
      </c>
      <c r="K51" s="292">
        <f>IF(H51="Nao",IF(OR(G51="",E51=""),"",ROUND(G51-E51,2)),0)</f>
        <v/>
      </c>
      <c r="L51" s="295">
        <f>IF(COUNTA(A51:H51)=0,"",IF(C51="","DATA_PC vazia",IF(OR(D51="",D51="Fora dos ciclos"),"CICLO_PC nao identificado",IF(OR(E51="",E51=0),"VALOR_PC vazio ou zero",IF(AND(H51&lt;&gt;"Sim",H51&lt;&gt;"Nao"),"PC_PAGO_A_CONTRATADA invalido","OK")))))</f>
        <v/>
      </c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107" t="inlineStr">
        <is>
          <t>Nao</t>
        </is>
      </c>
      <c r="X51" s="107" t="inlineStr">
        <is>
          <t>PC em analise</t>
        </is>
      </c>
      <c r="Y51" s="107" t="inlineStr">
        <is>
          <t>Pedido de Compra</t>
        </is>
      </c>
      <c r="Z51" s="108" t="inlineStr">
        <is>
          <t>Impacto Potencial</t>
        </is>
      </c>
      <c r="AA51" s="108" t="inlineStr">
        <is>
          <t>PC</t>
        </is>
      </c>
      <c r="AB51" s="108" t="inlineStr">
        <is>
          <t>Nao</t>
        </is>
      </c>
      <c r="AC51" s="108" t="inlineStr">
        <is>
          <t>NAO_COMPUTADO</t>
        </is>
      </c>
      <c r="AD51" s="109" t="inlineStr">
        <is>
          <t>Estrutura Fase 1: sem impacto no VTA oficial</t>
        </is>
      </c>
    </row>
    <row r="52" ht="25.5" customHeight="1">
      <c r="A52" s="307" t="n"/>
      <c r="B52" s="307" t="n"/>
      <c r="C52" s="312" t="n"/>
      <c r="D52" s="313">
        <f>IF(C52="","",IF(OR(C52&lt;MIN(parametros!$D$2:$D$6),C52&gt;MAX(parametros!$E$2:$E$6)),"Fora dos ciclos",LOOKUP(C52,parametros!$D$2:$D$6,parametros!$B$2:$B$6)))</f>
        <v/>
      </c>
      <c r="E52" s="314" t="n"/>
      <c r="F52" s="272">
        <f>IF(D52="","",IFERROR(VLOOKUP(D52,parametros!$A$11:$E$15,5,0),""))</f>
        <v/>
      </c>
      <c r="G52" s="273">
        <f>IF(OR(E52="",F52=""),"",ROUND(E52*F52,2))</f>
        <v/>
      </c>
      <c r="H52" s="315" t="n"/>
      <c r="I52" s="292">
        <f>IF(H52="Sim",IF(OR(G52="",E52=""),"",ROUND(G52-E52,2)),0)</f>
        <v/>
      </c>
      <c r="J52" s="292">
        <f>IF(H52="Nao",IF(G52="","",G52),0)</f>
        <v/>
      </c>
      <c r="K52" s="292">
        <f>IF(H52="Nao",IF(OR(G52="",E52=""),"",ROUND(G52-E52,2)),0)</f>
        <v/>
      </c>
      <c r="L52" s="295">
        <f>IF(COUNTA(A52:H52)=0,"",IF(C52="","DATA_PC vazia",IF(OR(D52="",D52="Fora dos ciclos"),"CICLO_PC nao identificado",IF(OR(E52="",E52=0),"VALOR_PC vazio ou zero",IF(AND(H52&lt;&gt;"Sim",H52&lt;&gt;"Nao"),"PC_PAGO_A_CONTRATADA invalido","OK")))))</f>
        <v/>
      </c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107" t="inlineStr">
        <is>
          <t>Nao</t>
        </is>
      </c>
      <c r="X52" s="107" t="inlineStr">
        <is>
          <t>PC em analise</t>
        </is>
      </c>
      <c r="Y52" s="107" t="inlineStr">
        <is>
          <t>Pedido de Compra</t>
        </is>
      </c>
      <c r="Z52" s="108" t="inlineStr">
        <is>
          <t>Impacto Potencial</t>
        </is>
      </c>
      <c r="AA52" s="108" t="inlineStr">
        <is>
          <t>PC</t>
        </is>
      </c>
      <c r="AB52" s="108" t="inlineStr">
        <is>
          <t>Nao</t>
        </is>
      </c>
      <c r="AC52" s="108" t="inlineStr">
        <is>
          <t>NAO_COMPUTADO</t>
        </is>
      </c>
      <c r="AD52" s="109" t="inlineStr">
        <is>
          <t>Estrutura Fase 1: sem impacto no VTA oficial</t>
        </is>
      </c>
    </row>
    <row r="53" ht="25.5" customHeight="1">
      <c r="A53" s="307" t="n"/>
      <c r="B53" s="307" t="n"/>
      <c r="C53" s="312" t="n"/>
      <c r="D53" s="313">
        <f>IF(C53="","",IF(OR(C53&lt;MIN(parametros!$D$2:$D$6),C53&gt;MAX(parametros!$E$2:$E$6)),"Fora dos ciclos",LOOKUP(C53,parametros!$D$2:$D$6,parametros!$B$2:$B$6)))</f>
        <v/>
      </c>
      <c r="E53" s="314" t="n"/>
      <c r="F53" s="272">
        <f>IF(D53="","",IFERROR(VLOOKUP(D53,parametros!$A$11:$E$15,5,0),""))</f>
        <v/>
      </c>
      <c r="G53" s="273">
        <f>IF(OR(E53="",F53=""),"",ROUND(E53*F53,2))</f>
        <v/>
      </c>
      <c r="H53" s="315" t="n"/>
      <c r="I53" s="292">
        <f>IF(H53="Sim",IF(OR(G53="",E53=""),"",ROUND(G53-E53,2)),0)</f>
        <v/>
      </c>
      <c r="J53" s="292">
        <f>IF(H53="Nao",IF(G53="","",G53),0)</f>
        <v/>
      </c>
      <c r="K53" s="292">
        <f>IF(H53="Nao",IF(OR(G53="",E53=""),"",ROUND(G53-E53,2)),0)</f>
        <v/>
      </c>
      <c r="L53" s="295">
        <f>IF(COUNTA(A53:H53)=0,"",IF(C53="","DATA_PC vazia",IF(OR(D53="",D53="Fora dos ciclos"),"CICLO_PC nao identificado",IF(OR(E53="",E53=0),"VALOR_PC vazio ou zero",IF(AND(H53&lt;&gt;"Sim",H53&lt;&gt;"Nao"),"PC_PAGO_A_CONTRATADA invalido","OK")))))</f>
        <v/>
      </c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107" t="inlineStr">
        <is>
          <t>Nao</t>
        </is>
      </c>
      <c r="X53" s="107" t="inlineStr">
        <is>
          <t>PC em analise</t>
        </is>
      </c>
      <c r="Y53" s="107" t="inlineStr">
        <is>
          <t>Pedido de Compra</t>
        </is>
      </c>
      <c r="Z53" s="108" t="inlineStr">
        <is>
          <t>Impacto Potencial</t>
        </is>
      </c>
      <c r="AA53" s="108" t="inlineStr">
        <is>
          <t>PC</t>
        </is>
      </c>
      <c r="AB53" s="108" t="inlineStr">
        <is>
          <t>Nao</t>
        </is>
      </c>
      <c r="AC53" s="108" t="inlineStr">
        <is>
          <t>NAO_COMPUTADO</t>
        </is>
      </c>
      <c r="AD53" s="109" t="inlineStr">
        <is>
          <t>Estrutura Fase 1: sem impacto no VTA oficial</t>
        </is>
      </c>
    </row>
    <row r="54" ht="25.5" customHeight="1">
      <c r="A54" s="307" t="n"/>
      <c r="B54" s="307" t="n"/>
      <c r="C54" s="312" t="n"/>
      <c r="D54" s="313">
        <f>IF(C54="","",IF(OR(C54&lt;MIN(parametros!$D$2:$D$6),C54&gt;MAX(parametros!$E$2:$E$6)),"Fora dos ciclos",LOOKUP(C54,parametros!$D$2:$D$6,parametros!$B$2:$B$6)))</f>
        <v/>
      </c>
      <c r="E54" s="314" t="n"/>
      <c r="F54" s="272">
        <f>IF(D54="","",IFERROR(VLOOKUP(D54,parametros!$A$11:$E$15,5,0),""))</f>
        <v/>
      </c>
      <c r="G54" s="273">
        <f>IF(OR(E54="",F54=""),"",ROUND(E54*F54,2))</f>
        <v/>
      </c>
      <c r="H54" s="315" t="n"/>
      <c r="I54" s="292">
        <f>IF(H54="Sim",IF(OR(G54="",E54=""),"",ROUND(G54-E54,2)),0)</f>
        <v/>
      </c>
      <c r="J54" s="292">
        <f>IF(H54="Nao",IF(G54="","",G54),0)</f>
        <v/>
      </c>
      <c r="K54" s="292">
        <f>IF(H54="Nao",IF(OR(G54="",E54=""),"",ROUND(G54-E54,2)),0)</f>
        <v/>
      </c>
      <c r="L54" s="295">
        <f>IF(COUNTA(A54:H54)=0,"",IF(C54="","DATA_PC vazia",IF(OR(D54="",D54="Fora dos ciclos"),"CICLO_PC nao identificado",IF(OR(E54="",E54=0),"VALOR_PC vazio ou zero",IF(AND(H54&lt;&gt;"Sim",H54&lt;&gt;"Nao"),"PC_PAGO_A_CONTRATADA invalido","OK")))))</f>
        <v/>
      </c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107" t="inlineStr">
        <is>
          <t>Nao</t>
        </is>
      </c>
      <c r="X54" s="107" t="inlineStr">
        <is>
          <t>PC em analise</t>
        </is>
      </c>
      <c r="Y54" s="107" t="inlineStr">
        <is>
          <t>Pedido de Compra</t>
        </is>
      </c>
      <c r="Z54" s="108" t="inlineStr">
        <is>
          <t>Impacto Potencial</t>
        </is>
      </c>
      <c r="AA54" s="108" t="inlineStr">
        <is>
          <t>PC</t>
        </is>
      </c>
      <c r="AB54" s="108" t="inlineStr">
        <is>
          <t>Nao</t>
        </is>
      </c>
      <c r="AC54" s="108" t="inlineStr">
        <is>
          <t>NAO_COMPUTADO</t>
        </is>
      </c>
      <c r="AD54" s="109" t="inlineStr">
        <is>
          <t>Estrutura Fase 1: sem impacto no VTA oficial</t>
        </is>
      </c>
    </row>
    <row r="55" ht="25.5" customHeight="1">
      <c r="A55" s="307" t="n"/>
      <c r="B55" s="307" t="n"/>
      <c r="C55" s="312" t="n"/>
      <c r="D55" s="313">
        <f>IF(C55="","",IF(OR(C55&lt;MIN(parametros!$D$2:$D$6),C55&gt;MAX(parametros!$E$2:$E$6)),"Fora dos ciclos",LOOKUP(C55,parametros!$D$2:$D$6,parametros!$B$2:$B$6)))</f>
        <v/>
      </c>
      <c r="E55" s="314" t="n"/>
      <c r="F55" s="272">
        <f>IF(D55="","",IFERROR(VLOOKUP(D55,parametros!$A$11:$E$15,5,0),""))</f>
        <v/>
      </c>
      <c r="G55" s="273">
        <f>IF(OR(E55="",F55=""),"",ROUND(E55*F55,2))</f>
        <v/>
      </c>
      <c r="H55" s="315" t="n"/>
      <c r="I55" s="292">
        <f>IF(H55="Sim",IF(OR(G55="",E55=""),"",ROUND(G55-E55,2)),0)</f>
        <v/>
      </c>
      <c r="J55" s="292">
        <f>IF(H55="Nao",IF(G55="","",G55),0)</f>
        <v/>
      </c>
      <c r="K55" s="292">
        <f>IF(H55="Nao",IF(OR(G55="",E55=""),"",ROUND(G55-E55,2)),0)</f>
        <v/>
      </c>
      <c r="L55" s="295">
        <f>IF(COUNTA(A55:H55)=0,"",IF(C55="","DATA_PC vazia",IF(OR(D55="",D55="Fora dos ciclos"),"CICLO_PC nao identificado",IF(OR(E55="",E55=0),"VALOR_PC vazio ou zero",IF(AND(H55&lt;&gt;"Sim",H55&lt;&gt;"Nao"),"PC_PAGO_A_CONTRATADA invalido","OK")))))</f>
        <v/>
      </c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107" t="inlineStr">
        <is>
          <t>Nao</t>
        </is>
      </c>
      <c r="X55" s="107" t="inlineStr">
        <is>
          <t>PC em analise</t>
        </is>
      </c>
      <c r="Y55" s="107" t="inlineStr">
        <is>
          <t>Pedido de Compra</t>
        </is>
      </c>
      <c r="Z55" s="108" t="inlineStr">
        <is>
          <t>Impacto Potencial</t>
        </is>
      </c>
      <c r="AA55" s="108" t="inlineStr">
        <is>
          <t>PC</t>
        </is>
      </c>
      <c r="AB55" s="108" t="inlineStr">
        <is>
          <t>Nao</t>
        </is>
      </c>
      <c r="AC55" s="108" t="inlineStr">
        <is>
          <t>NAO_COMPUTADO</t>
        </is>
      </c>
      <c r="AD55" s="109" t="inlineStr">
        <is>
          <t>Estrutura Fase 1: sem impacto no VTA oficial</t>
        </is>
      </c>
    </row>
    <row r="56" ht="25.5" customHeight="1">
      <c r="A56" s="307" t="n"/>
      <c r="B56" s="307" t="n"/>
      <c r="C56" s="312" t="n"/>
      <c r="D56" s="313">
        <f>IF(C56="","",IF(OR(C56&lt;MIN(parametros!$D$2:$D$6),C56&gt;MAX(parametros!$E$2:$E$6)),"Fora dos ciclos",LOOKUP(C56,parametros!$D$2:$D$6,parametros!$B$2:$B$6)))</f>
        <v/>
      </c>
      <c r="E56" s="314" t="n"/>
      <c r="F56" s="272">
        <f>IF(D56="","",IFERROR(VLOOKUP(D56,parametros!$A$11:$E$15,5,0),""))</f>
        <v/>
      </c>
      <c r="G56" s="273">
        <f>IF(OR(E56="",F56=""),"",ROUND(E56*F56,2))</f>
        <v/>
      </c>
      <c r="H56" s="315" t="n"/>
      <c r="I56" s="292">
        <f>IF(H56="Sim",IF(OR(G56="",E56=""),"",ROUND(G56-E56,2)),0)</f>
        <v/>
      </c>
      <c r="J56" s="292">
        <f>IF(H56="Nao",IF(G56="","",G56),0)</f>
        <v/>
      </c>
      <c r="K56" s="292">
        <f>IF(H56="Nao",IF(OR(G56="",E56=""),"",ROUND(G56-E56,2)),0)</f>
        <v/>
      </c>
      <c r="L56" s="295">
        <f>IF(COUNTA(A56:H56)=0,"",IF(C56="","DATA_PC vazia",IF(OR(D56="",D56="Fora dos ciclos"),"CICLO_PC nao identificado",IF(OR(E56="",E56=0),"VALOR_PC vazio ou zero",IF(AND(H56&lt;&gt;"Sim",H56&lt;&gt;"Nao"),"PC_PAGO_A_CONTRATADA invalido","OK")))))</f>
        <v/>
      </c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107" t="inlineStr">
        <is>
          <t>Nao</t>
        </is>
      </c>
      <c r="X56" s="107" t="inlineStr">
        <is>
          <t>PC em analise</t>
        </is>
      </c>
      <c r="Y56" s="107" t="inlineStr">
        <is>
          <t>Pedido de Compra</t>
        </is>
      </c>
      <c r="Z56" s="108" t="inlineStr">
        <is>
          <t>Impacto Potencial</t>
        </is>
      </c>
      <c r="AA56" s="108" t="inlineStr">
        <is>
          <t>PC</t>
        </is>
      </c>
      <c r="AB56" s="108" t="inlineStr">
        <is>
          <t>Nao</t>
        </is>
      </c>
      <c r="AC56" s="108" t="inlineStr">
        <is>
          <t>NAO_COMPUTADO</t>
        </is>
      </c>
      <c r="AD56" s="109" t="inlineStr">
        <is>
          <t>Estrutura Fase 1: sem impacto no VTA oficial</t>
        </is>
      </c>
    </row>
    <row r="57" ht="25.5" customHeight="1">
      <c r="A57" s="307" t="n"/>
      <c r="B57" s="307" t="n"/>
      <c r="C57" s="312" t="n"/>
      <c r="D57" s="313">
        <f>IF(C57="","",IF(OR(C57&lt;MIN(parametros!$D$2:$D$6),C57&gt;MAX(parametros!$E$2:$E$6)),"Fora dos ciclos",LOOKUP(C57,parametros!$D$2:$D$6,parametros!$B$2:$B$6)))</f>
        <v/>
      </c>
      <c r="E57" s="314" t="n"/>
      <c r="F57" s="272">
        <f>IF(D57="","",IFERROR(VLOOKUP(D57,parametros!$A$11:$E$15,5,0),""))</f>
        <v/>
      </c>
      <c r="G57" s="273">
        <f>IF(OR(E57="",F57=""),"",ROUND(E57*F57,2))</f>
        <v/>
      </c>
      <c r="H57" s="315" t="n"/>
      <c r="I57" s="292">
        <f>IF(H57="Sim",IF(OR(G57="",E57=""),"",ROUND(G57-E57,2)),0)</f>
        <v/>
      </c>
      <c r="J57" s="292">
        <f>IF(H57="Nao",IF(G57="","",G57),0)</f>
        <v/>
      </c>
      <c r="K57" s="292">
        <f>IF(H57="Nao",IF(OR(G57="",E57=""),"",ROUND(G57-E57,2)),0)</f>
        <v/>
      </c>
      <c r="L57" s="295">
        <f>IF(COUNTA(A57:H57)=0,"",IF(C57="","DATA_PC vazia",IF(OR(D57="",D57="Fora dos ciclos"),"CICLO_PC nao identificado",IF(OR(E57="",E57=0),"VALOR_PC vazio ou zero",IF(AND(H57&lt;&gt;"Sim",H57&lt;&gt;"Nao"),"PC_PAGO_A_CONTRATADA invalido","OK")))))</f>
        <v/>
      </c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107" t="inlineStr">
        <is>
          <t>Nao</t>
        </is>
      </c>
      <c r="X57" s="107" t="inlineStr">
        <is>
          <t>PC em analise</t>
        </is>
      </c>
      <c r="Y57" s="107" t="inlineStr">
        <is>
          <t>Pedido de Compra</t>
        </is>
      </c>
      <c r="Z57" s="108" t="inlineStr">
        <is>
          <t>Impacto Potencial</t>
        </is>
      </c>
      <c r="AA57" s="108" t="inlineStr">
        <is>
          <t>PC</t>
        </is>
      </c>
      <c r="AB57" s="108" t="inlineStr">
        <is>
          <t>Nao</t>
        </is>
      </c>
      <c r="AC57" s="108" t="inlineStr">
        <is>
          <t>NAO_COMPUTADO</t>
        </is>
      </c>
      <c r="AD57" s="109" t="inlineStr">
        <is>
          <t>Estrutura Fase 1: sem impacto no VTA oficial</t>
        </is>
      </c>
    </row>
    <row r="58" ht="25.5" customHeight="1">
      <c r="A58" s="307" t="n"/>
      <c r="B58" s="307" t="n"/>
      <c r="C58" s="312" t="n"/>
      <c r="D58" s="313">
        <f>IF(C58="","",IF(OR(C58&lt;MIN(parametros!$D$2:$D$6),C58&gt;MAX(parametros!$E$2:$E$6)),"Fora dos ciclos",LOOKUP(C58,parametros!$D$2:$D$6,parametros!$B$2:$B$6)))</f>
        <v/>
      </c>
      <c r="E58" s="314" t="n"/>
      <c r="F58" s="272">
        <f>IF(D58="","",IFERROR(VLOOKUP(D58,parametros!$A$11:$E$15,5,0),""))</f>
        <v/>
      </c>
      <c r="G58" s="273">
        <f>IF(OR(E58="",F58=""),"",ROUND(E58*F58,2))</f>
        <v/>
      </c>
      <c r="H58" s="315" t="n"/>
      <c r="I58" s="292">
        <f>IF(H58="Sim",IF(OR(G58="",E58=""),"",ROUND(G58-E58,2)),0)</f>
        <v/>
      </c>
      <c r="J58" s="292">
        <f>IF(H58="Nao",IF(G58="","",G58),0)</f>
        <v/>
      </c>
      <c r="K58" s="292">
        <f>IF(H58="Nao",IF(OR(G58="",E58=""),"",ROUND(G58-E58,2)),0)</f>
        <v/>
      </c>
      <c r="L58" s="295">
        <f>IF(COUNTA(A58:H58)=0,"",IF(C58="","DATA_PC vazia",IF(OR(D58="",D58="Fora dos ciclos"),"CICLO_PC nao identificado",IF(OR(E58="",E58=0),"VALOR_PC vazio ou zero",IF(AND(H58&lt;&gt;"Sim",H58&lt;&gt;"Nao"),"PC_PAGO_A_CONTRATADA invalido","OK")))))</f>
        <v/>
      </c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107" t="inlineStr">
        <is>
          <t>Nao</t>
        </is>
      </c>
      <c r="X58" s="107" t="inlineStr">
        <is>
          <t>PC em analise</t>
        </is>
      </c>
      <c r="Y58" s="107" t="inlineStr">
        <is>
          <t>Pedido de Compra</t>
        </is>
      </c>
      <c r="Z58" s="108" t="inlineStr">
        <is>
          <t>Impacto Potencial</t>
        </is>
      </c>
      <c r="AA58" s="108" t="inlineStr">
        <is>
          <t>PC</t>
        </is>
      </c>
      <c r="AB58" s="108" t="inlineStr">
        <is>
          <t>Nao</t>
        </is>
      </c>
      <c r="AC58" s="108" t="inlineStr">
        <is>
          <t>NAO_COMPUTADO</t>
        </is>
      </c>
      <c r="AD58" s="109" t="inlineStr">
        <is>
          <t>Estrutura Fase 1: sem impacto no VTA oficial</t>
        </is>
      </c>
    </row>
    <row r="59" ht="25.5" customHeight="1">
      <c r="A59" s="307" t="n"/>
      <c r="B59" s="307" t="n"/>
      <c r="C59" s="312" t="n"/>
      <c r="D59" s="313">
        <f>IF(C59="","",IF(OR(C59&lt;MIN(parametros!$D$2:$D$6),C59&gt;MAX(parametros!$E$2:$E$6)),"Fora dos ciclos",LOOKUP(C59,parametros!$D$2:$D$6,parametros!$B$2:$B$6)))</f>
        <v/>
      </c>
      <c r="E59" s="314" t="n"/>
      <c r="F59" s="272">
        <f>IF(D59="","",IFERROR(VLOOKUP(D59,parametros!$A$11:$E$15,5,0),""))</f>
        <v/>
      </c>
      <c r="G59" s="273">
        <f>IF(OR(E59="",F59=""),"",ROUND(E59*F59,2))</f>
        <v/>
      </c>
      <c r="H59" s="315" t="n"/>
      <c r="I59" s="292">
        <f>IF(H59="Sim",IF(OR(G59="",E59=""),"",ROUND(G59-E59,2)),0)</f>
        <v/>
      </c>
      <c r="J59" s="292">
        <f>IF(H59="Nao",IF(G59="","",G59),0)</f>
        <v/>
      </c>
      <c r="K59" s="292">
        <f>IF(H59="Nao",IF(OR(G59="",E59=""),"",ROUND(G59-E59,2)),0)</f>
        <v/>
      </c>
      <c r="L59" s="295">
        <f>IF(COUNTA(A59:H59)=0,"",IF(C59="","DATA_PC vazia",IF(OR(D59="",D59="Fora dos ciclos"),"CICLO_PC nao identificado",IF(OR(E59="",E59=0),"VALOR_PC vazio ou zero",IF(AND(H59&lt;&gt;"Sim",H59&lt;&gt;"Nao"),"PC_PAGO_A_CONTRATADA invalido","OK")))))</f>
        <v/>
      </c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107" t="inlineStr">
        <is>
          <t>Nao</t>
        </is>
      </c>
      <c r="X59" s="107" t="inlineStr">
        <is>
          <t>PC em analise</t>
        </is>
      </c>
      <c r="Y59" s="107" t="inlineStr">
        <is>
          <t>Pedido de Compra</t>
        </is>
      </c>
      <c r="Z59" s="108" t="inlineStr">
        <is>
          <t>Impacto Potencial</t>
        </is>
      </c>
      <c r="AA59" s="108" t="inlineStr">
        <is>
          <t>PC</t>
        </is>
      </c>
      <c r="AB59" s="108" t="inlineStr">
        <is>
          <t>Nao</t>
        </is>
      </c>
      <c r="AC59" s="108" t="inlineStr">
        <is>
          <t>NAO_COMPUTADO</t>
        </is>
      </c>
      <c r="AD59" s="109" t="inlineStr">
        <is>
          <t>Estrutura Fase 1: sem impacto no VTA oficial</t>
        </is>
      </c>
    </row>
    <row r="60" ht="25.5" customHeight="1">
      <c r="A60" s="307" t="n"/>
      <c r="B60" s="307" t="n"/>
      <c r="C60" s="312" t="n"/>
      <c r="D60" s="313">
        <f>IF(C60="","",IF(OR(C60&lt;MIN(parametros!$D$2:$D$6),C60&gt;MAX(parametros!$E$2:$E$6)),"Fora dos ciclos",LOOKUP(C60,parametros!$D$2:$D$6,parametros!$B$2:$B$6)))</f>
        <v/>
      </c>
      <c r="E60" s="314" t="n"/>
      <c r="F60" s="272">
        <f>IF(D60="","",IFERROR(VLOOKUP(D60,parametros!$A$11:$E$15,5,0),""))</f>
        <v/>
      </c>
      <c r="G60" s="273">
        <f>IF(OR(E60="",F60=""),"",ROUND(E60*F60,2))</f>
        <v/>
      </c>
      <c r="H60" s="315" t="n"/>
      <c r="I60" s="292">
        <f>IF(H60="Sim",IF(OR(G60="",E60=""),"",ROUND(G60-E60,2)),0)</f>
        <v/>
      </c>
      <c r="J60" s="292">
        <f>IF(H60="Nao",IF(G60="","",G60),0)</f>
        <v/>
      </c>
      <c r="K60" s="292">
        <f>IF(H60="Nao",IF(OR(G60="",E60=""),"",ROUND(G60-E60,2)),0)</f>
        <v/>
      </c>
      <c r="L60" s="295">
        <f>IF(COUNTA(A60:H60)=0,"",IF(C60="","DATA_PC vazia",IF(OR(D60="",D60="Fora dos ciclos"),"CICLO_PC nao identificado",IF(OR(E60="",E60=0),"VALOR_PC vazio ou zero",IF(AND(H60&lt;&gt;"Sim",H60&lt;&gt;"Nao"),"PC_PAGO_A_CONTRATADA invalido","OK")))))</f>
        <v/>
      </c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107" t="inlineStr">
        <is>
          <t>Nao</t>
        </is>
      </c>
      <c r="X60" s="107" t="inlineStr">
        <is>
          <t>PC em analise</t>
        </is>
      </c>
      <c r="Y60" s="107" t="inlineStr">
        <is>
          <t>Pedido de Compra</t>
        </is>
      </c>
      <c r="Z60" s="108" t="inlineStr">
        <is>
          <t>Impacto Potencial</t>
        </is>
      </c>
      <c r="AA60" s="108" t="inlineStr">
        <is>
          <t>PC</t>
        </is>
      </c>
      <c r="AB60" s="108" t="inlineStr">
        <is>
          <t>Nao</t>
        </is>
      </c>
      <c r="AC60" s="108" t="inlineStr">
        <is>
          <t>NAO_COMPUTADO</t>
        </is>
      </c>
      <c r="AD60" s="109" t="inlineStr">
        <is>
          <t>Estrutura Fase 1: sem impacto no VTA oficial</t>
        </is>
      </c>
    </row>
    <row r="61" ht="25.5" customHeight="1">
      <c r="A61" s="307" t="n"/>
      <c r="B61" s="307" t="n"/>
      <c r="C61" s="312" t="n"/>
      <c r="D61" s="313">
        <f>IF(C61="","",IF(OR(C61&lt;MIN(parametros!$D$2:$D$6),C61&gt;MAX(parametros!$E$2:$E$6)),"Fora dos ciclos",LOOKUP(C61,parametros!$D$2:$D$6,parametros!$B$2:$B$6)))</f>
        <v/>
      </c>
      <c r="E61" s="314" t="n"/>
      <c r="F61" s="272">
        <f>IF(D61="","",IFERROR(VLOOKUP(D61,parametros!$A$11:$E$15,5,0),""))</f>
        <v/>
      </c>
      <c r="G61" s="273">
        <f>IF(OR(E61="",F61=""),"",ROUND(E61*F61,2))</f>
        <v/>
      </c>
      <c r="H61" s="315" t="n"/>
      <c r="I61" s="292">
        <f>IF(H61="Sim",IF(OR(G61="",E61=""),"",ROUND(G61-E61,2)),0)</f>
        <v/>
      </c>
      <c r="J61" s="292">
        <f>IF(H61="Nao",IF(G61="","",G61),0)</f>
        <v/>
      </c>
      <c r="K61" s="292">
        <f>IF(H61="Nao",IF(OR(G61="",E61=""),"",ROUND(G61-E61,2)),0)</f>
        <v/>
      </c>
      <c r="L61" s="295">
        <f>IF(COUNTA(A61:H61)=0,"",IF(C61="","DATA_PC vazia",IF(OR(D61="",D61="Fora dos ciclos"),"CICLO_PC nao identificado",IF(OR(E61="",E61=0),"VALOR_PC vazio ou zero",IF(AND(H61&lt;&gt;"Sim",H61&lt;&gt;"Nao"),"PC_PAGO_A_CONTRATADA invalido","OK")))))</f>
        <v/>
      </c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107" t="inlineStr">
        <is>
          <t>Nao</t>
        </is>
      </c>
      <c r="X61" s="107" t="inlineStr">
        <is>
          <t>PC em analise</t>
        </is>
      </c>
      <c r="Y61" s="107" t="inlineStr">
        <is>
          <t>Pedido de Compra</t>
        </is>
      </c>
      <c r="Z61" s="108" t="inlineStr">
        <is>
          <t>Impacto Potencial</t>
        </is>
      </c>
      <c r="AA61" s="108" t="inlineStr">
        <is>
          <t>PC</t>
        </is>
      </c>
      <c r="AB61" s="108" t="inlineStr">
        <is>
          <t>Nao</t>
        </is>
      </c>
      <c r="AC61" s="108" t="inlineStr">
        <is>
          <t>NAO_COMPUTADO</t>
        </is>
      </c>
      <c r="AD61" s="109" t="inlineStr">
        <is>
          <t>Estrutura Fase 1: sem impacto no VTA oficial</t>
        </is>
      </c>
    </row>
    <row r="62" ht="25.5" customHeight="1">
      <c r="A62" s="307" t="n"/>
      <c r="B62" s="307" t="n"/>
      <c r="C62" s="312" t="n"/>
      <c r="D62" s="313">
        <f>IF(C62="","",IF(OR(C62&lt;MIN(parametros!$D$2:$D$6),C62&gt;MAX(parametros!$E$2:$E$6)),"Fora dos ciclos",LOOKUP(C62,parametros!$D$2:$D$6,parametros!$B$2:$B$6)))</f>
        <v/>
      </c>
      <c r="E62" s="314" t="n"/>
      <c r="F62" s="272">
        <f>IF(D62="","",IFERROR(VLOOKUP(D62,parametros!$A$11:$E$15,5,0),""))</f>
        <v/>
      </c>
      <c r="G62" s="273">
        <f>IF(OR(E62="",F62=""),"",ROUND(E62*F62,2))</f>
        <v/>
      </c>
      <c r="H62" s="315" t="n"/>
      <c r="I62" s="292">
        <f>IF(H62="Sim",IF(OR(G62="",E62=""),"",ROUND(G62-E62,2)),0)</f>
        <v/>
      </c>
      <c r="J62" s="292">
        <f>IF(H62="Nao",IF(G62="","",G62),0)</f>
        <v/>
      </c>
      <c r="K62" s="292">
        <f>IF(H62="Nao",IF(OR(G62="",E62=""),"",ROUND(G62-E62,2)),0)</f>
        <v/>
      </c>
      <c r="L62" s="295">
        <f>IF(COUNTA(A62:H62)=0,"",IF(C62="","DATA_PC vazia",IF(OR(D62="",D62="Fora dos ciclos"),"CICLO_PC nao identificado",IF(OR(E62="",E62=0),"VALOR_PC vazio ou zero",IF(AND(H62&lt;&gt;"Sim",H62&lt;&gt;"Nao"),"PC_PAGO_A_CONTRATADA invalido","OK")))))</f>
        <v/>
      </c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107" t="inlineStr">
        <is>
          <t>Nao</t>
        </is>
      </c>
      <c r="X62" s="107" t="inlineStr">
        <is>
          <t>PC em analise</t>
        </is>
      </c>
      <c r="Y62" s="107" t="inlineStr">
        <is>
          <t>Pedido de Compra</t>
        </is>
      </c>
      <c r="Z62" s="108" t="inlineStr">
        <is>
          <t>Impacto Potencial</t>
        </is>
      </c>
      <c r="AA62" s="108" t="inlineStr">
        <is>
          <t>PC</t>
        </is>
      </c>
      <c r="AB62" s="108" t="inlineStr">
        <is>
          <t>Nao</t>
        </is>
      </c>
      <c r="AC62" s="108" t="inlineStr">
        <is>
          <t>NAO_COMPUTADO</t>
        </is>
      </c>
      <c r="AD62" s="109" t="inlineStr">
        <is>
          <t>Estrutura Fase 1: sem impacto no VTA oficial</t>
        </is>
      </c>
    </row>
    <row r="63" ht="25.5" customHeight="1">
      <c r="A63" s="307" t="n"/>
      <c r="B63" s="307" t="n"/>
      <c r="C63" s="312" t="n"/>
      <c r="D63" s="313">
        <f>IF(C63="","",IF(OR(C63&lt;MIN(parametros!$D$2:$D$6),C63&gt;MAX(parametros!$E$2:$E$6)),"Fora dos ciclos",LOOKUP(C63,parametros!$D$2:$D$6,parametros!$B$2:$B$6)))</f>
        <v/>
      </c>
      <c r="E63" s="314" t="n"/>
      <c r="F63" s="272">
        <f>IF(D63="","",IFERROR(VLOOKUP(D63,parametros!$A$11:$E$15,5,0),""))</f>
        <v/>
      </c>
      <c r="G63" s="273">
        <f>IF(OR(E63="",F63=""),"",ROUND(E63*F63,2))</f>
        <v/>
      </c>
      <c r="H63" s="315" t="n"/>
      <c r="I63" s="292">
        <f>IF(H63="Sim",IF(OR(G63="",E63=""),"",ROUND(G63-E63,2)),0)</f>
        <v/>
      </c>
      <c r="J63" s="292">
        <f>IF(H63="Nao",IF(G63="","",G63),0)</f>
        <v/>
      </c>
      <c r="K63" s="292">
        <f>IF(H63="Nao",IF(OR(G63="",E63=""),"",ROUND(G63-E63,2)),0)</f>
        <v/>
      </c>
      <c r="L63" s="295">
        <f>IF(COUNTA(A63:H63)=0,"",IF(C63="","DATA_PC vazia",IF(OR(D63="",D63="Fora dos ciclos"),"CICLO_PC nao identificado",IF(OR(E63="",E63=0),"VALOR_PC vazio ou zero",IF(AND(H63&lt;&gt;"Sim",H63&lt;&gt;"Nao"),"PC_PAGO_A_CONTRATADA invalido","OK")))))</f>
        <v/>
      </c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107" t="inlineStr">
        <is>
          <t>Nao</t>
        </is>
      </c>
      <c r="X63" s="107" t="inlineStr">
        <is>
          <t>PC em analise</t>
        </is>
      </c>
      <c r="Y63" s="107" t="inlineStr">
        <is>
          <t>Pedido de Compra</t>
        </is>
      </c>
      <c r="Z63" s="108" t="inlineStr">
        <is>
          <t>Impacto Potencial</t>
        </is>
      </c>
      <c r="AA63" s="108" t="inlineStr">
        <is>
          <t>PC</t>
        </is>
      </c>
      <c r="AB63" s="108" t="inlineStr">
        <is>
          <t>Nao</t>
        </is>
      </c>
      <c r="AC63" s="108" t="inlineStr">
        <is>
          <t>NAO_COMPUTADO</t>
        </is>
      </c>
      <c r="AD63" s="109" t="inlineStr">
        <is>
          <t>Estrutura Fase 1: sem impacto no VTA oficial</t>
        </is>
      </c>
    </row>
    <row r="64" ht="25.5" customHeight="1">
      <c r="A64" s="307" t="n"/>
      <c r="B64" s="307" t="n"/>
      <c r="C64" s="312" t="n"/>
      <c r="D64" s="313">
        <f>IF(C64="","",IF(OR(C64&lt;MIN(parametros!$D$2:$D$6),C64&gt;MAX(parametros!$E$2:$E$6)),"Fora dos ciclos",LOOKUP(C64,parametros!$D$2:$D$6,parametros!$B$2:$B$6)))</f>
        <v/>
      </c>
      <c r="E64" s="314" t="n"/>
      <c r="F64" s="272">
        <f>IF(D64="","",IFERROR(VLOOKUP(D64,parametros!$A$11:$E$15,5,0),""))</f>
        <v/>
      </c>
      <c r="G64" s="273">
        <f>IF(OR(E64="",F64=""),"",ROUND(E64*F64,2))</f>
        <v/>
      </c>
      <c r="H64" s="315" t="n"/>
      <c r="I64" s="292">
        <f>IF(H64="Sim",IF(OR(G64="",E64=""),"",ROUND(G64-E64,2)),0)</f>
        <v/>
      </c>
      <c r="J64" s="292">
        <f>IF(H64="Nao",IF(G64="","",G64),0)</f>
        <v/>
      </c>
      <c r="K64" s="292">
        <f>IF(H64="Nao",IF(OR(G64="",E64=""),"",ROUND(G64-E64,2)),0)</f>
        <v/>
      </c>
      <c r="L64" s="295">
        <f>IF(COUNTA(A64:H64)=0,"",IF(C64="","DATA_PC vazia",IF(OR(D64="",D64="Fora dos ciclos"),"CICLO_PC nao identificado",IF(OR(E64="",E64=0),"VALOR_PC vazio ou zero",IF(AND(H64&lt;&gt;"Sim",H64&lt;&gt;"Nao"),"PC_PAGO_A_CONTRATADA invalido","OK")))))</f>
        <v/>
      </c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107" t="inlineStr">
        <is>
          <t>Nao</t>
        </is>
      </c>
      <c r="X64" s="107" t="inlineStr">
        <is>
          <t>PC em analise</t>
        </is>
      </c>
      <c r="Y64" s="107" t="inlineStr">
        <is>
          <t>Pedido de Compra</t>
        </is>
      </c>
      <c r="Z64" s="108" t="inlineStr">
        <is>
          <t>Impacto Potencial</t>
        </is>
      </c>
      <c r="AA64" s="108" t="inlineStr">
        <is>
          <t>PC</t>
        </is>
      </c>
      <c r="AB64" s="108" t="inlineStr">
        <is>
          <t>Nao</t>
        </is>
      </c>
      <c r="AC64" s="108" t="inlineStr">
        <is>
          <t>NAO_COMPUTADO</t>
        </is>
      </c>
      <c r="AD64" s="109" t="inlineStr">
        <is>
          <t>Estrutura Fase 1: sem impacto no VTA oficial</t>
        </is>
      </c>
    </row>
    <row r="65" ht="25.5" customHeight="1">
      <c r="A65" s="307" t="n"/>
      <c r="B65" s="307" t="n"/>
      <c r="C65" s="312" t="n"/>
      <c r="D65" s="313">
        <f>IF(C65="","",IF(OR(C65&lt;MIN(parametros!$D$2:$D$6),C65&gt;MAX(parametros!$E$2:$E$6)),"Fora dos ciclos",LOOKUP(C65,parametros!$D$2:$D$6,parametros!$B$2:$B$6)))</f>
        <v/>
      </c>
      <c r="E65" s="314" t="n"/>
      <c r="F65" s="272">
        <f>IF(D65="","",IFERROR(VLOOKUP(D65,parametros!$A$11:$E$15,5,0),""))</f>
        <v/>
      </c>
      <c r="G65" s="273">
        <f>IF(OR(E65="",F65=""),"",ROUND(E65*F65,2))</f>
        <v/>
      </c>
      <c r="H65" s="315" t="n"/>
      <c r="I65" s="292">
        <f>IF(H65="Sim",IF(OR(G65="",E65=""),"",ROUND(G65-E65,2)),0)</f>
        <v/>
      </c>
      <c r="J65" s="292">
        <f>IF(H65="Nao",IF(G65="","",G65),0)</f>
        <v/>
      </c>
      <c r="K65" s="292">
        <f>IF(H65="Nao",IF(OR(G65="",E65=""),"",ROUND(G65-E65,2)),0)</f>
        <v/>
      </c>
      <c r="L65" s="295">
        <f>IF(COUNTA(A65:H65)=0,"",IF(C65="","DATA_PC vazia",IF(OR(D65="",D65="Fora dos ciclos"),"CICLO_PC nao identificado",IF(OR(E65="",E65=0),"VALOR_PC vazio ou zero",IF(AND(H65&lt;&gt;"Sim",H65&lt;&gt;"Nao"),"PC_PAGO_A_CONTRATADA invalido","OK")))))</f>
        <v/>
      </c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107" t="inlineStr">
        <is>
          <t>Nao</t>
        </is>
      </c>
      <c r="X65" s="107" t="inlineStr">
        <is>
          <t>PC em analise</t>
        </is>
      </c>
      <c r="Y65" s="107" t="inlineStr">
        <is>
          <t>Pedido de Compra</t>
        </is>
      </c>
      <c r="Z65" s="108" t="inlineStr">
        <is>
          <t>Impacto Potencial</t>
        </is>
      </c>
      <c r="AA65" s="108" t="inlineStr">
        <is>
          <t>PC</t>
        </is>
      </c>
      <c r="AB65" s="108" t="inlineStr">
        <is>
          <t>Nao</t>
        </is>
      </c>
      <c r="AC65" s="108" t="inlineStr">
        <is>
          <t>NAO_COMPUTADO</t>
        </is>
      </c>
      <c r="AD65" s="109" t="inlineStr">
        <is>
          <t>Estrutura Fase 1: sem impacto no VTA oficial</t>
        </is>
      </c>
    </row>
    <row r="66" ht="25.5" customHeight="1">
      <c r="A66" s="307" t="n"/>
      <c r="B66" s="307" t="n"/>
      <c r="C66" s="312" t="n"/>
      <c r="D66" s="313">
        <f>IF(C66="","",IF(OR(C66&lt;MIN(parametros!$D$2:$D$6),C66&gt;MAX(parametros!$E$2:$E$6)),"Fora dos ciclos",LOOKUP(C66,parametros!$D$2:$D$6,parametros!$B$2:$B$6)))</f>
        <v/>
      </c>
      <c r="E66" s="314" t="n"/>
      <c r="F66" s="272">
        <f>IF(D66="","",IFERROR(VLOOKUP(D66,parametros!$A$11:$E$15,5,0),""))</f>
        <v/>
      </c>
      <c r="G66" s="273">
        <f>IF(OR(E66="",F66=""),"",ROUND(E66*F66,2))</f>
        <v/>
      </c>
      <c r="H66" s="315" t="n"/>
      <c r="I66" s="292">
        <f>IF(H66="Sim",IF(OR(G66="",E66=""),"",ROUND(G66-E66,2)),0)</f>
        <v/>
      </c>
      <c r="J66" s="292">
        <f>IF(H66="Nao",IF(G66="","",G66),0)</f>
        <v/>
      </c>
      <c r="K66" s="292">
        <f>IF(H66="Nao",IF(OR(G66="",E66=""),"",ROUND(G66-E66,2)),0)</f>
        <v/>
      </c>
      <c r="L66" s="295">
        <f>IF(COUNTA(A66:H66)=0,"",IF(C66="","DATA_PC vazia",IF(OR(D66="",D66="Fora dos ciclos"),"CICLO_PC nao identificado",IF(OR(E66="",E66=0),"VALOR_PC vazio ou zero",IF(AND(H66&lt;&gt;"Sim",H66&lt;&gt;"Nao"),"PC_PAGO_A_CONTRATADA invalido","OK")))))</f>
        <v/>
      </c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107" t="inlineStr">
        <is>
          <t>Nao</t>
        </is>
      </c>
      <c r="X66" s="107" t="inlineStr">
        <is>
          <t>PC em analise</t>
        </is>
      </c>
      <c r="Y66" s="107" t="inlineStr">
        <is>
          <t>Pedido de Compra</t>
        </is>
      </c>
      <c r="Z66" s="108" t="inlineStr">
        <is>
          <t>Impacto Potencial</t>
        </is>
      </c>
      <c r="AA66" s="108" t="inlineStr">
        <is>
          <t>PC</t>
        </is>
      </c>
      <c r="AB66" s="108" t="inlineStr">
        <is>
          <t>Nao</t>
        </is>
      </c>
      <c r="AC66" s="108" t="inlineStr">
        <is>
          <t>NAO_COMPUTADO</t>
        </is>
      </c>
      <c r="AD66" s="109" t="inlineStr">
        <is>
          <t>Estrutura Fase 1: sem impacto no VTA oficial</t>
        </is>
      </c>
    </row>
    <row r="67" ht="25.5" customHeight="1">
      <c r="A67" s="307" t="n"/>
      <c r="B67" s="307" t="n"/>
      <c r="C67" s="312" t="n"/>
      <c r="D67" s="313">
        <f>IF(C67="","",IF(OR(C67&lt;MIN(parametros!$D$2:$D$6),C67&gt;MAX(parametros!$E$2:$E$6)),"Fora dos ciclos",LOOKUP(C67,parametros!$D$2:$D$6,parametros!$B$2:$B$6)))</f>
        <v/>
      </c>
      <c r="E67" s="314" t="n"/>
      <c r="F67" s="272">
        <f>IF(D67="","",IFERROR(VLOOKUP(D67,parametros!$A$11:$E$15,5,0),""))</f>
        <v/>
      </c>
      <c r="G67" s="273">
        <f>IF(OR(E67="",F67=""),"",ROUND(E67*F67,2))</f>
        <v/>
      </c>
      <c r="H67" s="315" t="n"/>
      <c r="I67" s="292">
        <f>IF(H67="Sim",IF(OR(G67="",E67=""),"",ROUND(G67-E67,2)),0)</f>
        <v/>
      </c>
      <c r="J67" s="292">
        <f>IF(H67="Nao",IF(G67="","",G67),0)</f>
        <v/>
      </c>
      <c r="K67" s="292">
        <f>IF(H67="Nao",IF(OR(G67="",E67=""),"",ROUND(G67-E67,2)),0)</f>
        <v/>
      </c>
      <c r="L67" s="295">
        <f>IF(COUNTA(A67:H67)=0,"",IF(C67="","DATA_PC vazia",IF(OR(D67="",D67="Fora dos ciclos"),"CICLO_PC nao identificado",IF(OR(E67="",E67=0),"VALOR_PC vazio ou zero",IF(AND(H67&lt;&gt;"Sim",H67&lt;&gt;"Nao"),"PC_PAGO_A_CONTRATADA invalido","OK")))))</f>
        <v/>
      </c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107" t="inlineStr">
        <is>
          <t>Nao</t>
        </is>
      </c>
      <c r="X67" s="107" t="inlineStr">
        <is>
          <t>PC em analise</t>
        </is>
      </c>
      <c r="Y67" s="107" t="inlineStr">
        <is>
          <t>Pedido de Compra</t>
        </is>
      </c>
      <c r="Z67" s="108" t="inlineStr">
        <is>
          <t>Impacto Potencial</t>
        </is>
      </c>
      <c r="AA67" s="108" t="inlineStr">
        <is>
          <t>PC</t>
        </is>
      </c>
      <c r="AB67" s="108" t="inlineStr">
        <is>
          <t>Nao</t>
        </is>
      </c>
      <c r="AC67" s="108" t="inlineStr">
        <is>
          <t>NAO_COMPUTADO</t>
        </is>
      </c>
      <c r="AD67" s="109" t="inlineStr">
        <is>
          <t>Estrutura Fase 1: sem impacto no VTA oficial</t>
        </is>
      </c>
    </row>
    <row r="68" ht="25.5" customHeight="1">
      <c r="A68" s="307" t="n"/>
      <c r="B68" s="307" t="n"/>
      <c r="C68" s="312" t="n"/>
      <c r="D68" s="313">
        <f>IF(C68="","",IF(OR(C68&lt;MIN(parametros!$D$2:$D$6),C68&gt;MAX(parametros!$E$2:$E$6)),"Fora dos ciclos",LOOKUP(C68,parametros!$D$2:$D$6,parametros!$B$2:$B$6)))</f>
        <v/>
      </c>
      <c r="E68" s="314" t="n"/>
      <c r="F68" s="272">
        <f>IF(D68="","",IFERROR(VLOOKUP(D68,parametros!$A$11:$E$15,5,0),""))</f>
        <v/>
      </c>
      <c r="G68" s="273">
        <f>IF(OR(E68="",F68=""),"",ROUND(E68*F68,2))</f>
        <v/>
      </c>
      <c r="H68" s="315" t="n"/>
      <c r="I68" s="292">
        <f>IF(H68="Sim",IF(OR(G68="",E68=""),"",ROUND(G68-E68,2)),0)</f>
        <v/>
      </c>
      <c r="J68" s="292">
        <f>IF(H68="Nao",IF(G68="","",G68),0)</f>
        <v/>
      </c>
      <c r="K68" s="292">
        <f>IF(H68="Nao",IF(OR(G68="",E68=""),"",ROUND(G68-E68,2)),0)</f>
        <v/>
      </c>
      <c r="L68" s="295">
        <f>IF(COUNTA(A68:H68)=0,"",IF(C68="","DATA_PC vazia",IF(OR(D68="",D68="Fora dos ciclos"),"CICLO_PC nao identificado",IF(OR(E68="",E68=0),"VALOR_PC vazio ou zero",IF(AND(H68&lt;&gt;"Sim",H68&lt;&gt;"Nao"),"PC_PAGO_A_CONTRATADA invalido","OK")))))</f>
        <v/>
      </c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107" t="inlineStr">
        <is>
          <t>Nao</t>
        </is>
      </c>
      <c r="X68" s="107" t="inlineStr">
        <is>
          <t>PC em analise</t>
        </is>
      </c>
      <c r="Y68" s="107" t="inlineStr">
        <is>
          <t>Pedido de Compra</t>
        </is>
      </c>
      <c r="Z68" s="108" t="inlineStr">
        <is>
          <t>Impacto Potencial</t>
        </is>
      </c>
      <c r="AA68" s="108" t="inlineStr">
        <is>
          <t>PC</t>
        </is>
      </c>
      <c r="AB68" s="108" t="inlineStr">
        <is>
          <t>Nao</t>
        </is>
      </c>
      <c r="AC68" s="108" t="inlineStr">
        <is>
          <t>NAO_COMPUTADO</t>
        </is>
      </c>
      <c r="AD68" s="109" t="inlineStr">
        <is>
          <t>Estrutura Fase 1: sem impacto no VTA oficial</t>
        </is>
      </c>
    </row>
    <row r="69" ht="25.5" customHeight="1">
      <c r="A69" s="307" t="n"/>
      <c r="B69" s="307" t="n"/>
      <c r="C69" s="312" t="n"/>
      <c r="D69" s="313">
        <f>IF(C69="","",IF(OR(C69&lt;MIN(parametros!$D$2:$D$6),C69&gt;MAX(parametros!$E$2:$E$6)),"Fora dos ciclos",LOOKUP(C69,parametros!$D$2:$D$6,parametros!$B$2:$B$6)))</f>
        <v/>
      </c>
      <c r="E69" s="314" t="n"/>
      <c r="F69" s="272">
        <f>IF(D69="","",IFERROR(VLOOKUP(D69,parametros!$A$11:$E$15,5,0),""))</f>
        <v/>
      </c>
      <c r="G69" s="273">
        <f>IF(OR(E69="",F69=""),"",ROUND(E69*F69,2))</f>
        <v/>
      </c>
      <c r="H69" s="315" t="n"/>
      <c r="I69" s="292">
        <f>IF(H69="Sim",IF(OR(G69="",E69=""),"",ROUND(G69-E69,2)),0)</f>
        <v/>
      </c>
      <c r="J69" s="292">
        <f>IF(H69="Nao",IF(G69="","",G69),0)</f>
        <v/>
      </c>
      <c r="K69" s="292">
        <f>IF(H69="Nao",IF(OR(G69="",E69=""),"",ROUND(G69-E69,2)),0)</f>
        <v/>
      </c>
      <c r="L69" s="295">
        <f>IF(COUNTA(A69:H69)=0,"",IF(C69="","DATA_PC vazia",IF(OR(D69="",D69="Fora dos ciclos"),"CICLO_PC nao identificado",IF(OR(E69="",E69=0),"VALOR_PC vazio ou zero",IF(AND(H69&lt;&gt;"Sim",H69&lt;&gt;"Nao"),"PC_PAGO_A_CONTRATADA invalido","OK")))))</f>
        <v/>
      </c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107" t="inlineStr">
        <is>
          <t>Nao</t>
        </is>
      </c>
      <c r="X69" s="107" t="inlineStr">
        <is>
          <t>PC em analise</t>
        </is>
      </c>
      <c r="Y69" s="107" t="inlineStr">
        <is>
          <t>Pedido de Compra</t>
        </is>
      </c>
      <c r="Z69" s="108" t="inlineStr">
        <is>
          <t>Impacto Potencial</t>
        </is>
      </c>
      <c r="AA69" s="108" t="inlineStr">
        <is>
          <t>PC</t>
        </is>
      </c>
      <c r="AB69" s="108" t="inlineStr">
        <is>
          <t>Nao</t>
        </is>
      </c>
      <c r="AC69" s="108" t="inlineStr">
        <is>
          <t>NAO_COMPUTADO</t>
        </is>
      </c>
      <c r="AD69" s="109" t="inlineStr">
        <is>
          <t>Estrutura Fase 1: sem impacto no VTA oficial</t>
        </is>
      </c>
    </row>
    <row r="70" ht="25.5" customHeight="1">
      <c r="A70" s="307" t="n"/>
      <c r="B70" s="307" t="n"/>
      <c r="C70" s="312" t="n"/>
      <c r="D70" s="313">
        <f>IF(C70="","",IF(OR(C70&lt;MIN(parametros!$D$2:$D$6),C70&gt;MAX(parametros!$E$2:$E$6)),"Fora dos ciclos",LOOKUP(C70,parametros!$D$2:$D$6,parametros!$B$2:$B$6)))</f>
        <v/>
      </c>
      <c r="E70" s="314" t="n"/>
      <c r="F70" s="272">
        <f>IF(D70="","",IFERROR(VLOOKUP(D70,parametros!$A$11:$E$15,5,0),""))</f>
        <v/>
      </c>
      <c r="G70" s="273">
        <f>IF(OR(E70="",F70=""),"",ROUND(E70*F70,2))</f>
        <v/>
      </c>
      <c r="H70" s="315" t="n"/>
      <c r="I70" s="292">
        <f>IF(H70="Sim",IF(OR(G70="",E70=""),"",ROUND(G70-E70,2)),0)</f>
        <v/>
      </c>
      <c r="J70" s="292">
        <f>IF(H70="Nao",IF(G70="","",G70),0)</f>
        <v/>
      </c>
      <c r="K70" s="292">
        <f>IF(H70="Nao",IF(OR(G70="",E70=""),"",ROUND(G70-E70,2)),0)</f>
        <v/>
      </c>
      <c r="L70" s="295">
        <f>IF(COUNTA(A70:H70)=0,"",IF(C70="","DATA_PC vazia",IF(OR(D70="",D70="Fora dos ciclos"),"CICLO_PC nao identificado",IF(OR(E70="",E70=0),"VALOR_PC vazio ou zero",IF(AND(H70&lt;&gt;"Sim",H70&lt;&gt;"Nao"),"PC_PAGO_A_CONTRATADA invalido","OK")))))</f>
        <v/>
      </c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107" t="inlineStr">
        <is>
          <t>Nao</t>
        </is>
      </c>
      <c r="X70" s="107" t="inlineStr">
        <is>
          <t>PC em analise</t>
        </is>
      </c>
      <c r="Y70" s="107" t="inlineStr">
        <is>
          <t>Pedido de Compra</t>
        </is>
      </c>
      <c r="Z70" s="108" t="inlineStr">
        <is>
          <t>Impacto Potencial</t>
        </is>
      </c>
      <c r="AA70" s="108" t="inlineStr">
        <is>
          <t>PC</t>
        </is>
      </c>
      <c r="AB70" s="108" t="inlineStr">
        <is>
          <t>Nao</t>
        </is>
      </c>
      <c r="AC70" s="108" t="inlineStr">
        <is>
          <t>NAO_COMPUTADO</t>
        </is>
      </c>
      <c r="AD70" s="109" t="inlineStr">
        <is>
          <t>Estrutura Fase 1: sem impacto no VTA oficial</t>
        </is>
      </c>
    </row>
    <row r="71" ht="25.5" customHeight="1">
      <c r="A71" s="307" t="n"/>
      <c r="B71" s="307" t="n"/>
      <c r="C71" s="312" t="n"/>
      <c r="D71" s="313">
        <f>IF(C71="","",IF(OR(C71&lt;MIN(parametros!$D$2:$D$6),C71&gt;MAX(parametros!$E$2:$E$6)),"Fora dos ciclos",LOOKUP(C71,parametros!$D$2:$D$6,parametros!$B$2:$B$6)))</f>
        <v/>
      </c>
      <c r="E71" s="314" t="n"/>
      <c r="F71" s="272">
        <f>IF(D71="","",IFERROR(VLOOKUP(D71,parametros!$A$11:$E$15,5,0),""))</f>
        <v/>
      </c>
      <c r="G71" s="273">
        <f>IF(OR(E71="",F71=""),"",ROUND(E71*F71,2))</f>
        <v/>
      </c>
      <c r="H71" s="315" t="n"/>
      <c r="I71" s="292">
        <f>IF(H71="Sim",IF(OR(G71="",E71=""),"",ROUND(G71-E71,2)),0)</f>
        <v/>
      </c>
      <c r="J71" s="292">
        <f>IF(H71="Nao",IF(G71="","",G71),0)</f>
        <v/>
      </c>
      <c r="K71" s="292">
        <f>IF(H71="Nao",IF(OR(G71="",E71=""),"",ROUND(G71-E71,2)),0)</f>
        <v/>
      </c>
      <c r="L71" s="295">
        <f>IF(COUNTA(A71:H71)=0,"",IF(C71="","DATA_PC vazia",IF(OR(D71="",D71="Fora dos ciclos"),"CICLO_PC nao identificado",IF(OR(E71="",E71=0),"VALOR_PC vazio ou zero",IF(AND(H71&lt;&gt;"Sim",H71&lt;&gt;"Nao"),"PC_PAGO_A_CONTRATADA invalido","OK")))))</f>
        <v/>
      </c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107" t="inlineStr">
        <is>
          <t>Nao</t>
        </is>
      </c>
      <c r="X71" s="107" t="inlineStr">
        <is>
          <t>PC em analise</t>
        </is>
      </c>
      <c r="Y71" s="107" t="inlineStr">
        <is>
          <t>Pedido de Compra</t>
        </is>
      </c>
      <c r="Z71" s="108" t="inlineStr">
        <is>
          <t>Impacto Potencial</t>
        </is>
      </c>
      <c r="AA71" s="108" t="inlineStr">
        <is>
          <t>PC</t>
        </is>
      </c>
      <c r="AB71" s="108" t="inlineStr">
        <is>
          <t>Nao</t>
        </is>
      </c>
      <c r="AC71" s="108" t="inlineStr">
        <is>
          <t>NAO_COMPUTADO</t>
        </is>
      </c>
      <c r="AD71" s="109" t="inlineStr">
        <is>
          <t>Estrutura Fase 1: sem impacto no VTA oficial</t>
        </is>
      </c>
    </row>
    <row r="72" ht="25.5" customHeight="1">
      <c r="A72" s="307" t="n"/>
      <c r="B72" s="307" t="n"/>
      <c r="C72" s="312" t="n"/>
      <c r="D72" s="313">
        <f>IF(C72="","",IF(OR(C72&lt;MIN(parametros!$D$2:$D$6),C72&gt;MAX(parametros!$E$2:$E$6)),"Fora dos ciclos",LOOKUP(C72,parametros!$D$2:$D$6,parametros!$B$2:$B$6)))</f>
        <v/>
      </c>
      <c r="E72" s="314" t="n"/>
      <c r="F72" s="272">
        <f>IF(D72="","",IFERROR(VLOOKUP(D72,parametros!$A$11:$E$15,5,0),""))</f>
        <v/>
      </c>
      <c r="G72" s="273">
        <f>IF(OR(E72="",F72=""),"",ROUND(E72*F72,2))</f>
        <v/>
      </c>
      <c r="H72" s="315" t="n"/>
      <c r="I72" s="292">
        <f>IF(H72="Sim",IF(OR(G72="",E72=""),"",ROUND(G72-E72,2)),0)</f>
        <v/>
      </c>
      <c r="J72" s="292">
        <f>IF(H72="Nao",IF(G72="","",G72),0)</f>
        <v/>
      </c>
      <c r="K72" s="292">
        <f>IF(H72="Nao",IF(OR(G72="",E72=""),"",ROUND(G72-E72,2)),0)</f>
        <v/>
      </c>
      <c r="L72" s="295">
        <f>IF(COUNTA(A72:H72)=0,"",IF(C72="","DATA_PC vazia",IF(OR(D72="",D72="Fora dos ciclos"),"CICLO_PC nao identificado",IF(OR(E72="",E72=0),"VALOR_PC vazio ou zero",IF(AND(H72&lt;&gt;"Sim",H72&lt;&gt;"Nao"),"PC_PAGO_A_CONTRATADA invalido","OK")))))</f>
        <v/>
      </c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107" t="inlineStr">
        <is>
          <t>Nao</t>
        </is>
      </c>
      <c r="X72" s="107" t="inlineStr">
        <is>
          <t>PC em analise</t>
        </is>
      </c>
      <c r="Y72" s="107" t="inlineStr">
        <is>
          <t>Pedido de Compra</t>
        </is>
      </c>
      <c r="Z72" s="108" t="inlineStr">
        <is>
          <t>Impacto Potencial</t>
        </is>
      </c>
      <c r="AA72" s="108" t="inlineStr">
        <is>
          <t>PC</t>
        </is>
      </c>
      <c r="AB72" s="108" t="inlineStr">
        <is>
          <t>Nao</t>
        </is>
      </c>
      <c r="AC72" s="108" t="inlineStr">
        <is>
          <t>NAO_COMPUTADO</t>
        </is>
      </c>
      <c r="AD72" s="109" t="inlineStr">
        <is>
          <t>Estrutura Fase 1: sem impacto no VTA oficial</t>
        </is>
      </c>
    </row>
    <row r="73" ht="25.5" customHeight="1">
      <c r="A73" s="307" t="n"/>
      <c r="B73" s="307" t="n"/>
      <c r="C73" s="312" t="n"/>
      <c r="D73" s="313">
        <f>IF(C73="","",IF(OR(C73&lt;MIN(parametros!$D$2:$D$6),C73&gt;MAX(parametros!$E$2:$E$6)),"Fora dos ciclos",LOOKUP(C73,parametros!$D$2:$D$6,parametros!$B$2:$B$6)))</f>
        <v/>
      </c>
      <c r="E73" s="314" t="n"/>
      <c r="F73" s="272">
        <f>IF(D73="","",IFERROR(VLOOKUP(D73,parametros!$A$11:$E$15,5,0),""))</f>
        <v/>
      </c>
      <c r="G73" s="273">
        <f>IF(OR(E73="",F73=""),"",ROUND(E73*F73,2))</f>
        <v/>
      </c>
      <c r="H73" s="315" t="n"/>
      <c r="I73" s="292">
        <f>IF(H73="Sim",IF(OR(G73="",E73=""),"",ROUND(G73-E73,2)),0)</f>
        <v/>
      </c>
      <c r="J73" s="292">
        <f>IF(H73="Nao",IF(G73="","",G73),0)</f>
        <v/>
      </c>
      <c r="K73" s="292">
        <f>IF(H73="Nao",IF(OR(G73="",E73=""),"",ROUND(G73-E73,2)),0)</f>
        <v/>
      </c>
      <c r="L73" s="295">
        <f>IF(COUNTA(A73:H73)=0,"",IF(C73="","DATA_PC vazia",IF(OR(D73="",D73="Fora dos ciclos"),"CICLO_PC nao identificado",IF(OR(E73="",E73=0),"VALOR_PC vazio ou zero",IF(AND(H73&lt;&gt;"Sim",H73&lt;&gt;"Nao"),"PC_PAGO_A_CONTRATADA invalido","OK")))))</f>
        <v/>
      </c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107" t="inlineStr">
        <is>
          <t>Nao</t>
        </is>
      </c>
      <c r="X73" s="107" t="inlineStr">
        <is>
          <t>PC em analise</t>
        </is>
      </c>
      <c r="Y73" s="107" t="inlineStr">
        <is>
          <t>Pedido de Compra</t>
        </is>
      </c>
      <c r="Z73" s="108" t="inlineStr">
        <is>
          <t>Impacto Potencial</t>
        </is>
      </c>
      <c r="AA73" s="108" t="inlineStr">
        <is>
          <t>PC</t>
        </is>
      </c>
      <c r="AB73" s="108" t="inlineStr">
        <is>
          <t>Nao</t>
        </is>
      </c>
      <c r="AC73" s="108" t="inlineStr">
        <is>
          <t>NAO_COMPUTADO</t>
        </is>
      </c>
      <c r="AD73" s="109" t="inlineStr">
        <is>
          <t>Estrutura Fase 1: sem impacto no VTA oficial</t>
        </is>
      </c>
    </row>
    <row r="74" ht="25.5" customHeight="1">
      <c r="A74" s="307" t="n"/>
      <c r="B74" s="307" t="n"/>
      <c r="C74" s="312" t="n"/>
      <c r="D74" s="313">
        <f>IF(C74="","",IF(OR(C74&lt;MIN(parametros!$D$2:$D$6),C74&gt;MAX(parametros!$E$2:$E$6)),"Fora dos ciclos",LOOKUP(C74,parametros!$D$2:$D$6,parametros!$B$2:$B$6)))</f>
        <v/>
      </c>
      <c r="E74" s="314" t="n"/>
      <c r="F74" s="272">
        <f>IF(D74="","",IFERROR(VLOOKUP(D74,parametros!$A$11:$E$15,5,0),""))</f>
        <v/>
      </c>
      <c r="G74" s="273">
        <f>IF(OR(E74="",F74=""),"",ROUND(E74*F74,2))</f>
        <v/>
      </c>
      <c r="H74" s="315" t="n"/>
      <c r="I74" s="292">
        <f>IF(H74="Sim",IF(OR(G74="",E74=""),"",ROUND(G74-E74,2)),0)</f>
        <v/>
      </c>
      <c r="J74" s="292">
        <f>IF(H74="Nao",IF(G74="","",G74),0)</f>
        <v/>
      </c>
      <c r="K74" s="292">
        <f>IF(H74="Nao",IF(OR(G74="",E74=""),"",ROUND(G74-E74,2)),0)</f>
        <v/>
      </c>
      <c r="L74" s="295">
        <f>IF(COUNTA(A74:H74)=0,"",IF(C74="","DATA_PC vazia",IF(OR(D74="",D74="Fora dos ciclos"),"CICLO_PC nao identificado",IF(OR(E74="",E74=0),"VALOR_PC vazio ou zero",IF(AND(H74&lt;&gt;"Sim",H74&lt;&gt;"Nao"),"PC_PAGO_A_CONTRATADA invalido","OK")))))</f>
        <v/>
      </c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107" t="inlineStr">
        <is>
          <t>Nao</t>
        </is>
      </c>
      <c r="X74" s="107" t="inlineStr">
        <is>
          <t>PC em analise</t>
        </is>
      </c>
      <c r="Y74" s="107" t="inlineStr">
        <is>
          <t>Pedido de Compra</t>
        </is>
      </c>
      <c r="Z74" s="108" t="inlineStr">
        <is>
          <t>Impacto Potencial</t>
        </is>
      </c>
      <c r="AA74" s="108" t="inlineStr">
        <is>
          <t>PC</t>
        </is>
      </c>
      <c r="AB74" s="108" t="inlineStr">
        <is>
          <t>Nao</t>
        </is>
      </c>
      <c r="AC74" s="108" t="inlineStr">
        <is>
          <t>NAO_COMPUTADO</t>
        </is>
      </c>
      <c r="AD74" s="109" t="inlineStr">
        <is>
          <t>Estrutura Fase 1: sem impacto no VTA oficial</t>
        </is>
      </c>
    </row>
    <row r="75" ht="25.5" customHeight="1">
      <c r="A75" s="307" t="n"/>
      <c r="B75" s="307" t="n"/>
      <c r="C75" s="312" t="n"/>
      <c r="D75" s="313">
        <f>IF(C75="","",IF(OR(C75&lt;MIN(parametros!$D$2:$D$6),C75&gt;MAX(parametros!$E$2:$E$6)),"Fora dos ciclos",LOOKUP(C75,parametros!$D$2:$D$6,parametros!$B$2:$B$6)))</f>
        <v/>
      </c>
      <c r="E75" s="314" t="n"/>
      <c r="F75" s="272">
        <f>IF(D75="","",IFERROR(VLOOKUP(D75,parametros!$A$11:$E$15,5,0),""))</f>
        <v/>
      </c>
      <c r="G75" s="273">
        <f>IF(OR(E75="",F75=""),"",ROUND(E75*F75,2))</f>
        <v/>
      </c>
      <c r="H75" s="315" t="n"/>
      <c r="I75" s="292">
        <f>IF(H75="Sim",IF(OR(G75="",E75=""),"",ROUND(G75-E75,2)),0)</f>
        <v/>
      </c>
      <c r="J75" s="292">
        <f>IF(H75="Nao",IF(G75="","",G75),0)</f>
        <v/>
      </c>
      <c r="K75" s="292">
        <f>IF(H75="Nao",IF(OR(G75="",E75=""),"",ROUND(G75-E75,2)),0)</f>
        <v/>
      </c>
      <c r="L75" s="295">
        <f>IF(COUNTA(A75:H75)=0,"",IF(C75="","DATA_PC vazia",IF(OR(D75="",D75="Fora dos ciclos"),"CICLO_PC nao identificado",IF(OR(E75="",E75=0),"VALOR_PC vazio ou zero",IF(AND(H75&lt;&gt;"Sim",H75&lt;&gt;"Nao"),"PC_PAGO_A_CONTRATADA invalido","OK")))))</f>
        <v/>
      </c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107" t="inlineStr">
        <is>
          <t>Nao</t>
        </is>
      </c>
      <c r="X75" s="107" t="inlineStr">
        <is>
          <t>PC em analise</t>
        </is>
      </c>
      <c r="Y75" s="107" t="inlineStr">
        <is>
          <t>Pedido de Compra</t>
        </is>
      </c>
      <c r="Z75" s="108" t="inlineStr">
        <is>
          <t>Impacto Potencial</t>
        </is>
      </c>
      <c r="AA75" s="108" t="inlineStr">
        <is>
          <t>PC</t>
        </is>
      </c>
      <c r="AB75" s="108" t="inlineStr">
        <is>
          <t>Nao</t>
        </is>
      </c>
      <c r="AC75" s="108" t="inlineStr">
        <is>
          <t>NAO_COMPUTADO</t>
        </is>
      </c>
      <c r="AD75" s="109" t="inlineStr">
        <is>
          <t>Estrutura Fase 1: sem impacto no VTA oficial</t>
        </is>
      </c>
    </row>
    <row r="76" ht="25.5" customHeight="1">
      <c r="A76" s="307" t="n"/>
      <c r="B76" s="307" t="n"/>
      <c r="C76" s="312" t="n"/>
      <c r="D76" s="313">
        <f>IF(C76="","",IF(OR(C76&lt;MIN(parametros!$D$2:$D$6),C76&gt;MAX(parametros!$E$2:$E$6)),"Fora dos ciclos",LOOKUP(C76,parametros!$D$2:$D$6,parametros!$B$2:$B$6)))</f>
        <v/>
      </c>
      <c r="E76" s="314" t="n"/>
      <c r="F76" s="272">
        <f>IF(D76="","",IFERROR(VLOOKUP(D76,parametros!$A$11:$E$15,5,0),""))</f>
        <v/>
      </c>
      <c r="G76" s="273">
        <f>IF(OR(E76="",F76=""),"",ROUND(E76*F76,2))</f>
        <v/>
      </c>
      <c r="H76" s="315" t="n"/>
      <c r="I76" s="292">
        <f>IF(H76="Sim",IF(OR(G76="",E76=""),"",ROUND(G76-E76,2)),0)</f>
        <v/>
      </c>
      <c r="J76" s="292">
        <f>IF(H76="Nao",IF(G76="","",G76),0)</f>
        <v/>
      </c>
      <c r="K76" s="292">
        <f>IF(H76="Nao",IF(OR(G76="",E76=""),"",ROUND(G76-E76,2)),0)</f>
        <v/>
      </c>
      <c r="L76" s="295">
        <f>IF(COUNTA(A76:H76)=0,"",IF(C76="","DATA_PC vazia",IF(OR(D76="",D76="Fora dos ciclos"),"CICLO_PC nao identificado",IF(OR(E76="",E76=0),"VALOR_PC vazio ou zero",IF(AND(H76&lt;&gt;"Sim",H76&lt;&gt;"Nao"),"PC_PAGO_A_CONTRATADA invalido","OK")))))</f>
        <v/>
      </c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107" t="inlineStr">
        <is>
          <t>Nao</t>
        </is>
      </c>
      <c r="X76" s="107" t="inlineStr">
        <is>
          <t>PC em analise</t>
        </is>
      </c>
      <c r="Y76" s="107" t="inlineStr">
        <is>
          <t>Pedido de Compra</t>
        </is>
      </c>
      <c r="Z76" s="108" t="inlineStr">
        <is>
          <t>Impacto Potencial</t>
        </is>
      </c>
      <c r="AA76" s="108" t="inlineStr">
        <is>
          <t>PC</t>
        </is>
      </c>
      <c r="AB76" s="108" t="inlineStr">
        <is>
          <t>Nao</t>
        </is>
      </c>
      <c r="AC76" s="108" t="inlineStr">
        <is>
          <t>NAO_COMPUTADO</t>
        </is>
      </c>
      <c r="AD76" s="109" t="inlineStr">
        <is>
          <t>Estrutura Fase 1: sem impacto no VTA oficial</t>
        </is>
      </c>
    </row>
    <row r="77" ht="25.5" customHeight="1">
      <c r="A77" s="307" t="n"/>
      <c r="B77" s="307" t="n"/>
      <c r="C77" s="312" t="n"/>
      <c r="D77" s="313">
        <f>IF(C77="","",IF(OR(C77&lt;MIN(parametros!$D$2:$D$6),C77&gt;MAX(parametros!$E$2:$E$6)),"Fora dos ciclos",LOOKUP(C77,parametros!$D$2:$D$6,parametros!$B$2:$B$6)))</f>
        <v/>
      </c>
      <c r="E77" s="314" t="n"/>
      <c r="F77" s="272">
        <f>IF(D77="","",IFERROR(VLOOKUP(D77,parametros!$A$11:$E$15,5,0),""))</f>
        <v/>
      </c>
      <c r="G77" s="273">
        <f>IF(OR(E77="",F77=""),"",ROUND(E77*F77,2))</f>
        <v/>
      </c>
      <c r="H77" s="315" t="n"/>
      <c r="I77" s="292">
        <f>IF(H77="Sim",IF(OR(G77="",E77=""),"",ROUND(G77-E77,2)),0)</f>
        <v/>
      </c>
      <c r="J77" s="292">
        <f>IF(H77="Nao",IF(G77="","",G77),0)</f>
        <v/>
      </c>
      <c r="K77" s="292">
        <f>IF(H77="Nao",IF(OR(G77="",E77=""),"",ROUND(G77-E77,2)),0)</f>
        <v/>
      </c>
      <c r="L77" s="295">
        <f>IF(COUNTA(A77:H77)=0,"",IF(C77="","DATA_PC vazia",IF(OR(D77="",D77="Fora dos ciclos"),"CICLO_PC nao identificado",IF(OR(E77="",E77=0),"VALOR_PC vazio ou zero",IF(AND(H77&lt;&gt;"Sim",H77&lt;&gt;"Nao"),"PC_PAGO_A_CONTRATADA invalido","OK")))))</f>
        <v/>
      </c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107" t="inlineStr">
        <is>
          <t>Nao</t>
        </is>
      </c>
      <c r="X77" s="107" t="inlineStr">
        <is>
          <t>PC em analise</t>
        </is>
      </c>
      <c r="Y77" s="107" t="inlineStr">
        <is>
          <t>Pedido de Compra</t>
        </is>
      </c>
      <c r="Z77" s="108" t="inlineStr">
        <is>
          <t>Impacto Potencial</t>
        </is>
      </c>
      <c r="AA77" s="108" t="inlineStr">
        <is>
          <t>PC</t>
        </is>
      </c>
      <c r="AB77" s="108" t="inlineStr">
        <is>
          <t>Nao</t>
        </is>
      </c>
      <c r="AC77" s="108" t="inlineStr">
        <is>
          <t>NAO_COMPUTADO</t>
        </is>
      </c>
      <c r="AD77" s="109" t="inlineStr">
        <is>
          <t>Estrutura Fase 1: sem impacto no VTA oficial</t>
        </is>
      </c>
    </row>
    <row r="78" ht="25.5" customHeight="1">
      <c r="A78" s="307" t="n"/>
      <c r="B78" s="307" t="n"/>
      <c r="C78" s="312" t="n"/>
      <c r="D78" s="313">
        <f>IF(C78="","",IF(OR(C78&lt;MIN(parametros!$D$2:$D$6),C78&gt;MAX(parametros!$E$2:$E$6)),"Fora dos ciclos",LOOKUP(C78,parametros!$D$2:$D$6,parametros!$B$2:$B$6)))</f>
        <v/>
      </c>
      <c r="E78" s="314" t="n"/>
      <c r="F78" s="272">
        <f>IF(D78="","",IFERROR(VLOOKUP(D78,parametros!$A$11:$E$15,5,0),""))</f>
        <v/>
      </c>
      <c r="G78" s="273">
        <f>IF(OR(E78="",F78=""),"",ROUND(E78*F78,2))</f>
        <v/>
      </c>
      <c r="H78" s="315" t="n"/>
      <c r="I78" s="292">
        <f>IF(H78="Sim",IF(OR(G78="",E78=""),"",ROUND(G78-E78,2)),0)</f>
        <v/>
      </c>
      <c r="J78" s="292">
        <f>IF(H78="Nao",IF(G78="","",G78),0)</f>
        <v/>
      </c>
      <c r="K78" s="292">
        <f>IF(H78="Nao",IF(OR(G78="",E78=""),"",ROUND(G78-E78,2)),0)</f>
        <v/>
      </c>
      <c r="L78" s="295">
        <f>IF(COUNTA(A78:H78)=0,"",IF(C78="","DATA_PC vazia",IF(OR(D78="",D78="Fora dos ciclos"),"CICLO_PC nao identificado",IF(OR(E78="",E78=0),"VALOR_PC vazio ou zero",IF(AND(H78&lt;&gt;"Sim",H78&lt;&gt;"Nao"),"PC_PAGO_A_CONTRATADA invalido","OK")))))</f>
        <v/>
      </c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107" t="inlineStr">
        <is>
          <t>Nao</t>
        </is>
      </c>
      <c r="X78" s="107" t="inlineStr">
        <is>
          <t>PC em analise</t>
        </is>
      </c>
      <c r="Y78" s="107" t="inlineStr">
        <is>
          <t>Pedido de Compra</t>
        </is>
      </c>
      <c r="Z78" s="108" t="inlineStr">
        <is>
          <t>Impacto Potencial</t>
        </is>
      </c>
      <c r="AA78" s="108" t="inlineStr">
        <is>
          <t>PC</t>
        </is>
      </c>
      <c r="AB78" s="108" t="inlineStr">
        <is>
          <t>Nao</t>
        </is>
      </c>
      <c r="AC78" s="108" t="inlineStr">
        <is>
          <t>NAO_COMPUTADO</t>
        </is>
      </c>
      <c r="AD78" s="109" t="inlineStr">
        <is>
          <t>Estrutura Fase 1: sem impacto no VTA oficial</t>
        </is>
      </c>
    </row>
    <row r="79" ht="25.5" customHeight="1">
      <c r="A79" s="307" t="n"/>
      <c r="B79" s="307" t="n"/>
      <c r="C79" s="312" t="n"/>
      <c r="D79" s="313">
        <f>IF(C79="","",IF(OR(C79&lt;MIN(parametros!$D$2:$D$6),C79&gt;MAX(parametros!$E$2:$E$6)),"Fora dos ciclos",LOOKUP(C79,parametros!$D$2:$D$6,parametros!$B$2:$B$6)))</f>
        <v/>
      </c>
      <c r="E79" s="314" t="n"/>
      <c r="F79" s="272">
        <f>IF(D79="","",IFERROR(VLOOKUP(D79,parametros!$A$11:$E$15,5,0),""))</f>
        <v/>
      </c>
      <c r="G79" s="273">
        <f>IF(OR(E79="",F79=""),"",ROUND(E79*F79,2))</f>
        <v/>
      </c>
      <c r="H79" s="315" t="n"/>
      <c r="I79" s="292">
        <f>IF(H79="Sim",IF(OR(G79="",E79=""),"",ROUND(G79-E79,2)),0)</f>
        <v/>
      </c>
      <c r="J79" s="292">
        <f>IF(H79="Nao",IF(G79="","",G79),0)</f>
        <v/>
      </c>
      <c r="K79" s="292">
        <f>IF(H79="Nao",IF(OR(G79="",E79=""),"",ROUND(G79-E79,2)),0)</f>
        <v/>
      </c>
      <c r="L79" s="295">
        <f>IF(COUNTA(A79:H79)=0,"",IF(C79="","DATA_PC vazia",IF(OR(D79="",D79="Fora dos ciclos"),"CICLO_PC nao identificado",IF(OR(E79="",E79=0),"VALOR_PC vazio ou zero",IF(AND(H79&lt;&gt;"Sim",H79&lt;&gt;"Nao"),"PC_PAGO_A_CONTRATADA invalido","OK")))))</f>
        <v/>
      </c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107" t="inlineStr">
        <is>
          <t>Nao</t>
        </is>
      </c>
      <c r="X79" s="107" t="inlineStr">
        <is>
          <t>PC em analise</t>
        </is>
      </c>
      <c r="Y79" s="107" t="inlineStr">
        <is>
          <t>Pedido de Compra</t>
        </is>
      </c>
      <c r="Z79" s="108" t="inlineStr">
        <is>
          <t>Impacto Potencial</t>
        </is>
      </c>
      <c r="AA79" s="108" t="inlineStr">
        <is>
          <t>PC</t>
        </is>
      </c>
      <c r="AB79" s="108" t="inlineStr">
        <is>
          <t>Nao</t>
        </is>
      </c>
      <c r="AC79" s="108" t="inlineStr">
        <is>
          <t>NAO_COMPUTADO</t>
        </is>
      </c>
      <c r="AD79" s="109" t="inlineStr">
        <is>
          <t>Estrutura Fase 1: sem impacto no VTA oficial</t>
        </is>
      </c>
    </row>
    <row r="80" ht="25.5" customHeight="1">
      <c r="A80" s="307" t="n"/>
      <c r="B80" s="307" t="n"/>
      <c r="C80" s="312" t="n"/>
      <c r="D80" s="313">
        <f>IF(C80="","",IF(OR(C80&lt;MIN(parametros!$D$2:$D$6),C80&gt;MAX(parametros!$E$2:$E$6)),"Fora dos ciclos",LOOKUP(C80,parametros!$D$2:$D$6,parametros!$B$2:$B$6)))</f>
        <v/>
      </c>
      <c r="E80" s="314" t="n"/>
      <c r="F80" s="272">
        <f>IF(D80="","",IFERROR(VLOOKUP(D80,parametros!$A$11:$E$15,5,0),""))</f>
        <v/>
      </c>
      <c r="G80" s="273">
        <f>IF(OR(E80="",F80=""),"",ROUND(E80*F80,2))</f>
        <v/>
      </c>
      <c r="H80" s="315" t="n"/>
      <c r="I80" s="292">
        <f>IF(H80="Sim",IF(OR(G80="",E80=""),"",ROUND(G80-E80,2)),0)</f>
        <v/>
      </c>
      <c r="J80" s="292">
        <f>IF(H80="Nao",IF(G80="","",G80),0)</f>
        <v/>
      </c>
      <c r="K80" s="292">
        <f>IF(H80="Nao",IF(OR(G80="",E80=""),"",ROUND(G80-E80,2)),0)</f>
        <v/>
      </c>
      <c r="L80" s="295">
        <f>IF(COUNTA(A80:H80)=0,"",IF(C80="","DATA_PC vazia",IF(OR(D80="",D80="Fora dos ciclos"),"CICLO_PC nao identificado",IF(OR(E80="",E80=0),"VALOR_PC vazio ou zero",IF(AND(H80&lt;&gt;"Sim",H80&lt;&gt;"Nao"),"PC_PAGO_A_CONTRATADA invalido","OK")))))</f>
        <v/>
      </c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107" t="inlineStr">
        <is>
          <t>Nao</t>
        </is>
      </c>
      <c r="X80" s="107" t="inlineStr">
        <is>
          <t>PC em analise</t>
        </is>
      </c>
      <c r="Y80" s="107" t="inlineStr">
        <is>
          <t>Pedido de Compra</t>
        </is>
      </c>
      <c r="Z80" s="108" t="inlineStr">
        <is>
          <t>Impacto Potencial</t>
        </is>
      </c>
      <c r="AA80" s="108" t="inlineStr">
        <is>
          <t>PC</t>
        </is>
      </c>
      <c r="AB80" s="108" t="inlineStr">
        <is>
          <t>Nao</t>
        </is>
      </c>
      <c r="AC80" s="108" t="inlineStr">
        <is>
          <t>NAO_COMPUTADO</t>
        </is>
      </c>
      <c r="AD80" s="109" t="inlineStr">
        <is>
          <t>Estrutura Fase 1: sem impacto no VTA oficial</t>
        </is>
      </c>
    </row>
    <row r="81" ht="25.5" customHeight="1">
      <c r="A81" s="307" t="n"/>
      <c r="B81" s="307" t="n"/>
      <c r="C81" s="312" t="n"/>
      <c r="D81" s="313">
        <f>IF(C81="","",IF(OR(C81&lt;MIN(parametros!$D$2:$D$6),C81&gt;MAX(parametros!$E$2:$E$6)),"Fora dos ciclos",LOOKUP(C81,parametros!$D$2:$D$6,parametros!$B$2:$B$6)))</f>
        <v/>
      </c>
      <c r="E81" s="314" t="n"/>
      <c r="F81" s="272">
        <f>IF(D81="","",IFERROR(VLOOKUP(D81,parametros!$A$11:$E$15,5,0),""))</f>
        <v/>
      </c>
      <c r="G81" s="273">
        <f>IF(OR(E81="",F81=""),"",ROUND(E81*F81,2))</f>
        <v/>
      </c>
      <c r="H81" s="315" t="n"/>
      <c r="I81" s="292">
        <f>IF(H81="Sim",IF(OR(G81="",E81=""),"",ROUND(G81-E81,2)),0)</f>
        <v/>
      </c>
      <c r="J81" s="292">
        <f>IF(H81="Nao",IF(G81="","",G81),0)</f>
        <v/>
      </c>
      <c r="K81" s="292">
        <f>IF(H81="Nao",IF(OR(G81="",E81=""),"",ROUND(G81-E81,2)),0)</f>
        <v/>
      </c>
      <c r="L81" s="295">
        <f>IF(COUNTA(A81:H81)=0,"",IF(C81="","DATA_PC vazia",IF(OR(D81="",D81="Fora dos ciclos"),"CICLO_PC nao identificado",IF(OR(E81="",E81=0),"VALOR_PC vazio ou zero",IF(AND(H81&lt;&gt;"Sim",H81&lt;&gt;"Nao"),"PC_PAGO_A_CONTRATADA invalido","OK")))))</f>
        <v/>
      </c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107" t="inlineStr">
        <is>
          <t>Nao</t>
        </is>
      </c>
      <c r="X81" s="107" t="inlineStr">
        <is>
          <t>PC em analise</t>
        </is>
      </c>
      <c r="Y81" s="107" t="inlineStr">
        <is>
          <t>Pedido de Compra</t>
        </is>
      </c>
      <c r="Z81" s="108" t="inlineStr">
        <is>
          <t>Impacto Potencial</t>
        </is>
      </c>
      <c r="AA81" s="108" t="inlineStr">
        <is>
          <t>PC</t>
        </is>
      </c>
      <c r="AB81" s="108" t="inlineStr">
        <is>
          <t>Nao</t>
        </is>
      </c>
      <c r="AC81" s="108" t="inlineStr">
        <is>
          <t>NAO_COMPUTADO</t>
        </is>
      </c>
      <c r="AD81" s="109" t="inlineStr">
        <is>
          <t>Estrutura Fase 1: sem impacto no VTA oficial</t>
        </is>
      </c>
    </row>
    <row r="82" ht="25.5" customHeight="1">
      <c r="A82" s="307" t="n"/>
      <c r="B82" s="307" t="n"/>
      <c r="C82" s="312" t="n"/>
      <c r="D82" s="313">
        <f>IF(C82="","",IF(OR(C82&lt;MIN(parametros!$D$2:$D$6),C82&gt;MAX(parametros!$E$2:$E$6)),"Fora dos ciclos",LOOKUP(C82,parametros!$D$2:$D$6,parametros!$B$2:$B$6)))</f>
        <v/>
      </c>
      <c r="E82" s="314" t="n"/>
      <c r="F82" s="272">
        <f>IF(D82="","",IFERROR(VLOOKUP(D82,parametros!$A$11:$E$15,5,0),""))</f>
        <v/>
      </c>
      <c r="G82" s="273">
        <f>IF(OR(E82="",F82=""),"",ROUND(E82*F82,2))</f>
        <v/>
      </c>
      <c r="H82" s="315" t="n"/>
      <c r="I82" s="292">
        <f>IF(H82="Sim",IF(OR(G82="",E82=""),"",ROUND(G82-E82,2)),0)</f>
        <v/>
      </c>
      <c r="J82" s="292">
        <f>IF(H82="Nao",IF(G82="","",G82),0)</f>
        <v/>
      </c>
      <c r="K82" s="292">
        <f>IF(H82="Nao",IF(OR(G82="",E82=""),"",ROUND(G82-E82,2)),0)</f>
        <v/>
      </c>
      <c r="L82" s="295">
        <f>IF(COUNTA(A82:H82)=0,"",IF(C82="","DATA_PC vazia",IF(OR(D82="",D82="Fora dos ciclos"),"CICLO_PC nao identificado",IF(OR(E82="",E82=0),"VALOR_PC vazio ou zero",IF(AND(H82&lt;&gt;"Sim",H82&lt;&gt;"Nao"),"PC_PAGO_A_CONTRATADA invalido","OK")))))</f>
        <v/>
      </c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107" t="inlineStr">
        <is>
          <t>Nao</t>
        </is>
      </c>
      <c r="X82" s="107" t="inlineStr">
        <is>
          <t>PC em analise</t>
        </is>
      </c>
      <c r="Y82" s="107" t="inlineStr">
        <is>
          <t>Pedido de Compra</t>
        </is>
      </c>
      <c r="Z82" s="108" t="inlineStr">
        <is>
          <t>Impacto Potencial</t>
        </is>
      </c>
      <c r="AA82" s="108" t="inlineStr">
        <is>
          <t>PC</t>
        </is>
      </c>
      <c r="AB82" s="108" t="inlineStr">
        <is>
          <t>Nao</t>
        </is>
      </c>
      <c r="AC82" s="108" t="inlineStr">
        <is>
          <t>NAO_COMPUTADO</t>
        </is>
      </c>
      <c r="AD82" s="109" t="inlineStr">
        <is>
          <t>Estrutura Fase 1: sem impacto no VTA oficial</t>
        </is>
      </c>
    </row>
    <row r="83" ht="25.5" customHeight="1">
      <c r="A83" s="307" t="n"/>
      <c r="B83" s="307" t="n"/>
      <c r="C83" s="312" t="n"/>
      <c r="D83" s="313">
        <f>IF(C83="","",IF(OR(C83&lt;MIN(parametros!$D$2:$D$6),C83&gt;MAX(parametros!$E$2:$E$6)),"Fora dos ciclos",LOOKUP(C83,parametros!$D$2:$D$6,parametros!$B$2:$B$6)))</f>
        <v/>
      </c>
      <c r="E83" s="314" t="n"/>
      <c r="F83" s="272">
        <f>IF(D83="","",IFERROR(VLOOKUP(D83,parametros!$A$11:$E$15,5,0),""))</f>
        <v/>
      </c>
      <c r="G83" s="273">
        <f>IF(OR(E83="",F83=""),"",ROUND(E83*F83,2))</f>
        <v/>
      </c>
      <c r="H83" s="315" t="n"/>
      <c r="I83" s="292">
        <f>IF(H83="Sim",IF(OR(G83="",E83=""),"",ROUND(G83-E83,2)),0)</f>
        <v/>
      </c>
      <c r="J83" s="292">
        <f>IF(H83="Nao",IF(G83="","",G83),0)</f>
        <v/>
      </c>
      <c r="K83" s="292">
        <f>IF(H83="Nao",IF(OR(G83="",E83=""),"",ROUND(G83-E83,2)),0)</f>
        <v/>
      </c>
      <c r="L83" s="295">
        <f>IF(COUNTA(A83:H83)=0,"",IF(C83="","DATA_PC vazia",IF(OR(D83="",D83="Fora dos ciclos"),"CICLO_PC nao identificado",IF(OR(E83="",E83=0),"VALOR_PC vazio ou zero",IF(AND(H83&lt;&gt;"Sim",H83&lt;&gt;"Nao"),"PC_PAGO_A_CONTRATADA invalido","OK")))))</f>
        <v/>
      </c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107" t="inlineStr">
        <is>
          <t>Nao</t>
        </is>
      </c>
      <c r="X83" s="107" t="inlineStr">
        <is>
          <t>PC em analise</t>
        </is>
      </c>
      <c r="Y83" s="107" t="inlineStr">
        <is>
          <t>Pedido de Compra</t>
        </is>
      </c>
      <c r="Z83" s="108" t="inlineStr">
        <is>
          <t>Impacto Potencial</t>
        </is>
      </c>
      <c r="AA83" s="108" t="inlineStr">
        <is>
          <t>PC</t>
        </is>
      </c>
      <c r="AB83" s="108" t="inlineStr">
        <is>
          <t>Nao</t>
        </is>
      </c>
      <c r="AC83" s="108" t="inlineStr">
        <is>
          <t>NAO_COMPUTADO</t>
        </is>
      </c>
      <c r="AD83" s="109" t="inlineStr">
        <is>
          <t>Estrutura Fase 1: sem impacto no VTA oficial</t>
        </is>
      </c>
    </row>
    <row r="84" ht="25.5" customHeight="1">
      <c r="A84" s="307" t="n"/>
      <c r="B84" s="307" t="n"/>
      <c r="C84" s="312" t="n"/>
      <c r="D84" s="313">
        <f>IF(C84="","",IF(OR(C84&lt;MIN(parametros!$D$2:$D$6),C84&gt;MAX(parametros!$E$2:$E$6)),"Fora dos ciclos",LOOKUP(C84,parametros!$D$2:$D$6,parametros!$B$2:$B$6)))</f>
        <v/>
      </c>
      <c r="E84" s="314" t="n"/>
      <c r="F84" s="272">
        <f>IF(D84="","",IFERROR(VLOOKUP(D84,parametros!$A$11:$E$15,5,0),""))</f>
        <v/>
      </c>
      <c r="G84" s="273">
        <f>IF(OR(E84="",F84=""),"",ROUND(E84*F84,2))</f>
        <v/>
      </c>
      <c r="H84" s="315" t="n"/>
      <c r="I84" s="292">
        <f>IF(H84="Sim",IF(OR(G84="",E84=""),"",ROUND(G84-E84,2)),0)</f>
        <v/>
      </c>
      <c r="J84" s="292">
        <f>IF(H84="Nao",IF(G84="","",G84),0)</f>
        <v/>
      </c>
      <c r="K84" s="292">
        <f>IF(H84="Nao",IF(OR(G84="",E84=""),"",ROUND(G84-E84,2)),0)</f>
        <v/>
      </c>
      <c r="L84" s="295">
        <f>IF(COUNTA(A84:H84)=0,"",IF(C84="","DATA_PC vazia",IF(OR(D84="",D84="Fora dos ciclos"),"CICLO_PC nao identificado",IF(OR(E84="",E84=0),"VALOR_PC vazio ou zero",IF(AND(H84&lt;&gt;"Sim",H84&lt;&gt;"Nao"),"PC_PAGO_A_CONTRATADA invalido","OK")))))</f>
        <v/>
      </c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107" t="inlineStr">
        <is>
          <t>Nao</t>
        </is>
      </c>
      <c r="X84" s="107" t="inlineStr">
        <is>
          <t>PC em analise</t>
        </is>
      </c>
      <c r="Y84" s="107" t="inlineStr">
        <is>
          <t>Pedido de Compra</t>
        </is>
      </c>
      <c r="Z84" s="108" t="inlineStr">
        <is>
          <t>Impacto Potencial</t>
        </is>
      </c>
      <c r="AA84" s="108" t="inlineStr">
        <is>
          <t>PC</t>
        </is>
      </c>
      <c r="AB84" s="108" t="inlineStr">
        <is>
          <t>Nao</t>
        </is>
      </c>
      <c r="AC84" s="108" t="inlineStr">
        <is>
          <t>NAO_COMPUTADO</t>
        </is>
      </c>
      <c r="AD84" s="109" t="inlineStr">
        <is>
          <t>Estrutura Fase 1: sem impacto no VTA oficial</t>
        </is>
      </c>
    </row>
    <row r="85" ht="25.5" customHeight="1">
      <c r="A85" s="307" t="n"/>
      <c r="B85" s="307" t="n"/>
      <c r="C85" s="312" t="n"/>
      <c r="D85" s="313">
        <f>IF(C85="","",IF(OR(C85&lt;MIN(parametros!$D$2:$D$6),C85&gt;MAX(parametros!$E$2:$E$6)),"Fora dos ciclos",LOOKUP(C85,parametros!$D$2:$D$6,parametros!$B$2:$B$6)))</f>
        <v/>
      </c>
      <c r="E85" s="314" t="n"/>
      <c r="F85" s="272">
        <f>IF(D85="","",IFERROR(VLOOKUP(D85,parametros!$A$11:$E$15,5,0),""))</f>
        <v/>
      </c>
      <c r="G85" s="273">
        <f>IF(OR(E85="",F85=""),"",ROUND(E85*F85,2))</f>
        <v/>
      </c>
      <c r="H85" s="315" t="n"/>
      <c r="I85" s="292">
        <f>IF(H85="Sim",IF(OR(G85="",E85=""),"",ROUND(G85-E85,2)),0)</f>
        <v/>
      </c>
      <c r="J85" s="292">
        <f>IF(H85="Nao",IF(G85="","",G85),0)</f>
        <v/>
      </c>
      <c r="K85" s="292">
        <f>IF(H85="Nao",IF(OR(G85="",E85=""),"",ROUND(G85-E85,2)),0)</f>
        <v/>
      </c>
      <c r="L85" s="295">
        <f>IF(COUNTA(A85:H85)=0,"",IF(C85="","DATA_PC vazia",IF(OR(D85="",D85="Fora dos ciclos"),"CICLO_PC nao identificado",IF(OR(E85="",E85=0),"VALOR_PC vazio ou zero",IF(AND(H85&lt;&gt;"Sim",H85&lt;&gt;"Nao"),"PC_PAGO_A_CONTRATADA invalido","OK")))))</f>
        <v/>
      </c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107" t="inlineStr">
        <is>
          <t>Nao</t>
        </is>
      </c>
      <c r="X85" s="107" t="inlineStr">
        <is>
          <t>PC em analise</t>
        </is>
      </c>
      <c r="Y85" s="107" t="inlineStr">
        <is>
          <t>Pedido de Compra</t>
        </is>
      </c>
      <c r="Z85" s="108" t="inlineStr">
        <is>
          <t>Impacto Potencial</t>
        </is>
      </c>
      <c r="AA85" s="108" t="inlineStr">
        <is>
          <t>PC</t>
        </is>
      </c>
      <c r="AB85" s="108" t="inlineStr">
        <is>
          <t>Nao</t>
        </is>
      </c>
      <c r="AC85" s="108" t="inlineStr">
        <is>
          <t>NAO_COMPUTADO</t>
        </is>
      </c>
      <c r="AD85" s="109" t="inlineStr">
        <is>
          <t>Estrutura Fase 1: sem impacto no VTA oficial</t>
        </is>
      </c>
    </row>
    <row r="86" ht="25.5" customHeight="1">
      <c r="A86" s="307" t="n"/>
      <c r="B86" s="307" t="n"/>
      <c r="C86" s="312" t="n"/>
      <c r="D86" s="313">
        <f>IF(C86="","",IF(OR(C86&lt;MIN(parametros!$D$2:$D$6),C86&gt;MAX(parametros!$E$2:$E$6)),"Fora dos ciclos",LOOKUP(C86,parametros!$D$2:$D$6,parametros!$B$2:$B$6)))</f>
        <v/>
      </c>
      <c r="E86" s="314" t="n"/>
      <c r="F86" s="272">
        <f>IF(D86="","",IFERROR(VLOOKUP(D86,parametros!$A$11:$E$15,5,0),""))</f>
        <v/>
      </c>
      <c r="G86" s="273">
        <f>IF(OR(E86="",F86=""),"",ROUND(E86*F86,2))</f>
        <v/>
      </c>
      <c r="H86" s="315" t="n"/>
      <c r="I86" s="292">
        <f>IF(H86="Sim",IF(OR(G86="",E86=""),"",ROUND(G86-E86,2)),0)</f>
        <v/>
      </c>
      <c r="J86" s="292">
        <f>IF(H86="Nao",IF(G86="","",G86),0)</f>
        <v/>
      </c>
      <c r="K86" s="292">
        <f>IF(H86="Nao",IF(OR(G86="",E86=""),"",ROUND(G86-E86,2)),0)</f>
        <v/>
      </c>
      <c r="L86" s="295">
        <f>IF(COUNTA(A86:H86)=0,"",IF(C86="","DATA_PC vazia",IF(OR(D86="",D86="Fora dos ciclos"),"CICLO_PC nao identificado",IF(OR(E86="",E86=0),"VALOR_PC vazio ou zero",IF(AND(H86&lt;&gt;"Sim",H86&lt;&gt;"Nao"),"PC_PAGO_A_CONTRATADA invalido","OK")))))</f>
        <v/>
      </c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107" t="inlineStr">
        <is>
          <t>Nao</t>
        </is>
      </c>
      <c r="X86" s="107" t="inlineStr">
        <is>
          <t>PC em analise</t>
        </is>
      </c>
      <c r="Y86" s="107" t="inlineStr">
        <is>
          <t>Pedido de Compra</t>
        </is>
      </c>
      <c r="Z86" s="108" t="inlineStr">
        <is>
          <t>Impacto Potencial</t>
        </is>
      </c>
      <c r="AA86" s="108" t="inlineStr">
        <is>
          <t>PC</t>
        </is>
      </c>
      <c r="AB86" s="108" t="inlineStr">
        <is>
          <t>Nao</t>
        </is>
      </c>
      <c r="AC86" s="108" t="inlineStr">
        <is>
          <t>NAO_COMPUTADO</t>
        </is>
      </c>
      <c r="AD86" s="109" t="inlineStr">
        <is>
          <t>Estrutura Fase 1: sem impacto no VTA oficial</t>
        </is>
      </c>
    </row>
    <row r="87" ht="25.5" customHeight="1">
      <c r="A87" s="307" t="n"/>
      <c r="B87" s="307" t="n"/>
      <c r="C87" s="312" t="n"/>
      <c r="D87" s="313">
        <f>IF(C87="","",IF(OR(C87&lt;MIN(parametros!$D$2:$D$6),C87&gt;MAX(parametros!$E$2:$E$6)),"Fora dos ciclos",LOOKUP(C87,parametros!$D$2:$D$6,parametros!$B$2:$B$6)))</f>
        <v/>
      </c>
      <c r="E87" s="314" t="n"/>
      <c r="F87" s="272">
        <f>IF(D87="","",IFERROR(VLOOKUP(D87,parametros!$A$11:$E$15,5,0),""))</f>
        <v/>
      </c>
      <c r="G87" s="273">
        <f>IF(OR(E87="",F87=""),"",ROUND(E87*F87,2))</f>
        <v/>
      </c>
      <c r="H87" s="315" t="n"/>
      <c r="I87" s="292">
        <f>IF(H87="Sim",IF(OR(G87="",E87=""),"",ROUND(G87-E87,2)),0)</f>
        <v/>
      </c>
      <c r="J87" s="292">
        <f>IF(H87="Nao",IF(G87="","",G87),0)</f>
        <v/>
      </c>
      <c r="K87" s="292">
        <f>IF(H87="Nao",IF(OR(G87="",E87=""),"",ROUND(G87-E87,2)),0)</f>
        <v/>
      </c>
      <c r="L87" s="295">
        <f>IF(COUNTA(A87:H87)=0,"",IF(C87="","DATA_PC vazia",IF(OR(D87="",D87="Fora dos ciclos"),"CICLO_PC nao identificado",IF(OR(E87="",E87=0),"VALOR_PC vazio ou zero",IF(AND(H87&lt;&gt;"Sim",H87&lt;&gt;"Nao"),"PC_PAGO_A_CONTRATADA invalido","OK")))))</f>
        <v/>
      </c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107" t="inlineStr">
        <is>
          <t>Nao</t>
        </is>
      </c>
      <c r="X87" s="107" t="inlineStr">
        <is>
          <t>PC em analise</t>
        </is>
      </c>
      <c r="Y87" s="107" t="inlineStr">
        <is>
          <t>Pedido de Compra</t>
        </is>
      </c>
      <c r="Z87" s="108" t="inlineStr">
        <is>
          <t>Impacto Potencial</t>
        </is>
      </c>
      <c r="AA87" s="108" t="inlineStr">
        <is>
          <t>PC</t>
        </is>
      </c>
      <c r="AB87" s="108" t="inlineStr">
        <is>
          <t>Nao</t>
        </is>
      </c>
      <c r="AC87" s="108" t="inlineStr">
        <is>
          <t>NAO_COMPUTADO</t>
        </is>
      </c>
      <c r="AD87" s="109" t="inlineStr">
        <is>
          <t>Estrutura Fase 1: sem impacto no VTA oficial</t>
        </is>
      </c>
    </row>
    <row r="88" ht="25.5" customHeight="1">
      <c r="A88" s="307" t="n"/>
      <c r="B88" s="307" t="n"/>
      <c r="C88" s="312" t="n"/>
      <c r="D88" s="313">
        <f>IF(C88="","",IF(OR(C88&lt;MIN(parametros!$D$2:$D$6),C88&gt;MAX(parametros!$E$2:$E$6)),"Fora dos ciclos",LOOKUP(C88,parametros!$D$2:$D$6,parametros!$B$2:$B$6)))</f>
        <v/>
      </c>
      <c r="E88" s="314" t="n"/>
      <c r="F88" s="272">
        <f>IF(D88="","",IFERROR(VLOOKUP(D88,parametros!$A$11:$E$15,5,0),""))</f>
        <v/>
      </c>
      <c r="G88" s="273">
        <f>IF(OR(E88="",F88=""),"",ROUND(E88*F88,2))</f>
        <v/>
      </c>
      <c r="H88" s="315" t="n"/>
      <c r="I88" s="292">
        <f>IF(H88="Sim",IF(OR(G88="",E88=""),"",ROUND(G88-E88,2)),0)</f>
        <v/>
      </c>
      <c r="J88" s="292">
        <f>IF(H88="Nao",IF(G88="","",G88),0)</f>
        <v/>
      </c>
      <c r="K88" s="292">
        <f>IF(H88="Nao",IF(OR(G88="",E88=""),"",ROUND(G88-E88,2)),0)</f>
        <v/>
      </c>
      <c r="L88" s="295">
        <f>IF(COUNTA(A88:H88)=0,"",IF(C88="","DATA_PC vazia",IF(OR(D88="",D88="Fora dos ciclos"),"CICLO_PC nao identificado",IF(OR(E88="",E88=0),"VALOR_PC vazio ou zero",IF(AND(H88&lt;&gt;"Sim",H88&lt;&gt;"Nao"),"PC_PAGO_A_CONTRATADA invalido","OK")))))</f>
        <v/>
      </c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107" t="inlineStr">
        <is>
          <t>Nao</t>
        </is>
      </c>
      <c r="X88" s="107" t="inlineStr">
        <is>
          <t>PC em analise</t>
        </is>
      </c>
      <c r="Y88" s="107" t="inlineStr">
        <is>
          <t>Pedido de Compra</t>
        </is>
      </c>
      <c r="Z88" s="108" t="inlineStr">
        <is>
          <t>Impacto Potencial</t>
        </is>
      </c>
      <c r="AA88" s="108" t="inlineStr">
        <is>
          <t>PC</t>
        </is>
      </c>
      <c r="AB88" s="108" t="inlineStr">
        <is>
          <t>Nao</t>
        </is>
      </c>
      <c r="AC88" s="108" t="inlineStr">
        <is>
          <t>NAO_COMPUTADO</t>
        </is>
      </c>
      <c r="AD88" s="109" t="inlineStr">
        <is>
          <t>Estrutura Fase 1: sem impacto no VTA oficial</t>
        </is>
      </c>
    </row>
    <row r="89" ht="25.5" customHeight="1">
      <c r="A89" s="307" t="n"/>
      <c r="B89" s="307" t="n"/>
      <c r="C89" s="312" t="n"/>
      <c r="D89" s="313">
        <f>IF(C89="","",IF(OR(C89&lt;MIN(parametros!$D$2:$D$6),C89&gt;MAX(parametros!$E$2:$E$6)),"Fora dos ciclos",LOOKUP(C89,parametros!$D$2:$D$6,parametros!$B$2:$B$6)))</f>
        <v/>
      </c>
      <c r="E89" s="314" t="n"/>
      <c r="F89" s="272">
        <f>IF(D89="","",IFERROR(VLOOKUP(D89,parametros!$A$11:$E$15,5,0),""))</f>
        <v/>
      </c>
      <c r="G89" s="273">
        <f>IF(OR(E89="",F89=""),"",ROUND(E89*F89,2))</f>
        <v/>
      </c>
      <c r="H89" s="315" t="n"/>
      <c r="I89" s="292">
        <f>IF(H89="Sim",IF(OR(G89="",E89=""),"",ROUND(G89-E89,2)),0)</f>
        <v/>
      </c>
      <c r="J89" s="292">
        <f>IF(H89="Nao",IF(G89="","",G89),0)</f>
        <v/>
      </c>
      <c r="K89" s="292">
        <f>IF(H89="Nao",IF(OR(G89="",E89=""),"",ROUND(G89-E89,2)),0)</f>
        <v/>
      </c>
      <c r="L89" s="295">
        <f>IF(COUNTA(A89:H89)=0,"",IF(C89="","DATA_PC vazia",IF(OR(D89="",D89="Fora dos ciclos"),"CICLO_PC nao identificado",IF(OR(E89="",E89=0),"VALOR_PC vazio ou zero",IF(AND(H89&lt;&gt;"Sim",H89&lt;&gt;"Nao"),"PC_PAGO_A_CONTRATADA invalido","OK")))))</f>
        <v/>
      </c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107" t="inlineStr">
        <is>
          <t>Nao</t>
        </is>
      </c>
      <c r="X89" s="107" t="inlineStr">
        <is>
          <t>PC em analise</t>
        </is>
      </c>
      <c r="Y89" s="107" t="inlineStr">
        <is>
          <t>Pedido de Compra</t>
        </is>
      </c>
      <c r="Z89" s="108" t="inlineStr">
        <is>
          <t>Impacto Potencial</t>
        </is>
      </c>
      <c r="AA89" s="108" t="inlineStr">
        <is>
          <t>PC</t>
        </is>
      </c>
      <c r="AB89" s="108" t="inlineStr">
        <is>
          <t>Nao</t>
        </is>
      </c>
      <c r="AC89" s="108" t="inlineStr">
        <is>
          <t>NAO_COMPUTADO</t>
        </is>
      </c>
      <c r="AD89" s="109" t="inlineStr">
        <is>
          <t>Estrutura Fase 1: sem impacto no VTA oficial</t>
        </is>
      </c>
    </row>
    <row r="90" ht="25.5" customHeight="1">
      <c r="A90" s="307" t="n"/>
      <c r="B90" s="307" t="n"/>
      <c r="C90" s="312" t="n"/>
      <c r="D90" s="313">
        <f>IF(C90="","",IF(OR(C90&lt;MIN(parametros!$D$2:$D$6),C90&gt;MAX(parametros!$E$2:$E$6)),"Fora dos ciclos",LOOKUP(C90,parametros!$D$2:$D$6,parametros!$B$2:$B$6)))</f>
        <v/>
      </c>
      <c r="E90" s="314" t="n"/>
      <c r="F90" s="272">
        <f>IF(D90="","",IFERROR(VLOOKUP(D90,parametros!$A$11:$E$15,5,0),""))</f>
        <v/>
      </c>
      <c r="G90" s="273">
        <f>IF(OR(E90="",F90=""),"",ROUND(E90*F90,2))</f>
        <v/>
      </c>
      <c r="H90" s="315" t="n"/>
      <c r="I90" s="292">
        <f>IF(H90="Sim",IF(OR(G90="",E90=""),"",ROUND(G90-E90,2)),0)</f>
        <v/>
      </c>
      <c r="J90" s="292">
        <f>IF(H90="Nao",IF(G90="","",G90),0)</f>
        <v/>
      </c>
      <c r="K90" s="292">
        <f>IF(H90="Nao",IF(OR(G90="",E90=""),"",ROUND(G90-E90,2)),0)</f>
        <v/>
      </c>
      <c r="L90" s="295">
        <f>IF(COUNTA(A90:H90)=0,"",IF(C90="","DATA_PC vazia",IF(OR(D90="",D90="Fora dos ciclos"),"CICLO_PC nao identificado",IF(OR(E90="",E90=0),"VALOR_PC vazio ou zero",IF(AND(H90&lt;&gt;"Sim",H90&lt;&gt;"Nao"),"PC_PAGO_A_CONTRATADA invalido","OK")))))</f>
        <v/>
      </c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107" t="inlineStr">
        <is>
          <t>Nao</t>
        </is>
      </c>
      <c r="X90" s="107" t="inlineStr">
        <is>
          <t>PC em analise</t>
        </is>
      </c>
      <c r="Y90" s="107" t="inlineStr">
        <is>
          <t>Pedido de Compra</t>
        </is>
      </c>
      <c r="Z90" s="108" t="inlineStr">
        <is>
          <t>Impacto Potencial</t>
        </is>
      </c>
      <c r="AA90" s="108" t="inlineStr">
        <is>
          <t>PC</t>
        </is>
      </c>
      <c r="AB90" s="108" t="inlineStr">
        <is>
          <t>Nao</t>
        </is>
      </c>
      <c r="AC90" s="108" t="inlineStr">
        <is>
          <t>NAO_COMPUTADO</t>
        </is>
      </c>
      <c r="AD90" s="109" t="inlineStr">
        <is>
          <t>Estrutura Fase 1: sem impacto no VTA oficial</t>
        </is>
      </c>
    </row>
    <row r="91" ht="25.5" customHeight="1">
      <c r="A91" s="307" t="n"/>
      <c r="B91" s="307" t="n"/>
      <c r="C91" s="312" t="n"/>
      <c r="D91" s="313">
        <f>IF(C91="","",IF(OR(C91&lt;MIN(parametros!$D$2:$D$6),C91&gt;MAX(parametros!$E$2:$E$6)),"Fora dos ciclos",LOOKUP(C91,parametros!$D$2:$D$6,parametros!$B$2:$B$6)))</f>
        <v/>
      </c>
      <c r="E91" s="314" t="n"/>
      <c r="F91" s="272">
        <f>IF(D91="","",IFERROR(VLOOKUP(D91,parametros!$A$11:$E$15,5,0),""))</f>
        <v/>
      </c>
      <c r="G91" s="273">
        <f>IF(OR(E91="",F91=""),"",ROUND(E91*F91,2))</f>
        <v/>
      </c>
      <c r="H91" s="315" t="n"/>
      <c r="I91" s="292">
        <f>IF(H91="Sim",IF(OR(G91="",E91=""),"",ROUND(G91-E91,2)),0)</f>
        <v/>
      </c>
      <c r="J91" s="292">
        <f>IF(H91="Nao",IF(G91="","",G91),0)</f>
        <v/>
      </c>
      <c r="K91" s="292">
        <f>IF(H91="Nao",IF(OR(G91="",E91=""),"",ROUND(G91-E91,2)),0)</f>
        <v/>
      </c>
      <c r="L91" s="295">
        <f>IF(COUNTA(A91:H91)=0,"",IF(C91="","DATA_PC vazia",IF(OR(D91="",D91="Fora dos ciclos"),"CICLO_PC nao identificado",IF(OR(E91="",E91=0),"VALOR_PC vazio ou zero",IF(AND(H91&lt;&gt;"Sim",H91&lt;&gt;"Nao"),"PC_PAGO_A_CONTRATADA invalido","OK")))))</f>
        <v/>
      </c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107" t="inlineStr">
        <is>
          <t>Nao</t>
        </is>
      </c>
      <c r="X91" s="107" t="inlineStr">
        <is>
          <t>PC em analise</t>
        </is>
      </c>
      <c r="Y91" s="107" t="inlineStr">
        <is>
          <t>Pedido de Compra</t>
        </is>
      </c>
      <c r="Z91" s="108" t="inlineStr">
        <is>
          <t>Impacto Potencial</t>
        </is>
      </c>
      <c r="AA91" s="108" t="inlineStr">
        <is>
          <t>PC</t>
        </is>
      </c>
      <c r="AB91" s="108" t="inlineStr">
        <is>
          <t>Nao</t>
        </is>
      </c>
      <c r="AC91" s="108" t="inlineStr">
        <is>
          <t>NAO_COMPUTADO</t>
        </is>
      </c>
      <c r="AD91" s="109" t="inlineStr">
        <is>
          <t>Estrutura Fase 1: sem impacto no VTA oficial</t>
        </is>
      </c>
    </row>
    <row r="92" ht="25.5" customHeight="1">
      <c r="A92" s="307" t="n"/>
      <c r="B92" s="307" t="n"/>
      <c r="C92" s="312" t="n"/>
      <c r="D92" s="313">
        <f>IF(C92="","",IF(OR(C92&lt;MIN(parametros!$D$2:$D$6),C92&gt;MAX(parametros!$E$2:$E$6)),"Fora dos ciclos",LOOKUP(C92,parametros!$D$2:$D$6,parametros!$B$2:$B$6)))</f>
        <v/>
      </c>
      <c r="E92" s="314" t="n"/>
      <c r="F92" s="272">
        <f>IF(D92="","",IFERROR(VLOOKUP(D92,parametros!$A$11:$E$15,5,0),""))</f>
        <v/>
      </c>
      <c r="G92" s="273">
        <f>IF(OR(E92="",F92=""),"",ROUND(E92*F92,2))</f>
        <v/>
      </c>
      <c r="H92" s="315" t="n"/>
      <c r="I92" s="292">
        <f>IF(H92="Sim",IF(OR(G92="",E92=""),"",ROUND(G92-E92,2)),0)</f>
        <v/>
      </c>
      <c r="J92" s="292">
        <f>IF(H92="Nao",IF(G92="","",G92),0)</f>
        <v/>
      </c>
      <c r="K92" s="292">
        <f>IF(H92="Nao",IF(OR(G92="",E92=""),"",ROUND(G92-E92,2)),0)</f>
        <v/>
      </c>
      <c r="L92" s="295">
        <f>IF(COUNTA(A92:H92)=0,"",IF(C92="","DATA_PC vazia",IF(OR(D92="",D92="Fora dos ciclos"),"CICLO_PC nao identificado",IF(OR(E92="",E92=0),"VALOR_PC vazio ou zero",IF(AND(H92&lt;&gt;"Sim",H92&lt;&gt;"Nao"),"PC_PAGO_A_CONTRATADA invalido","OK")))))</f>
        <v/>
      </c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107" t="inlineStr">
        <is>
          <t>Nao</t>
        </is>
      </c>
      <c r="X92" s="107" t="inlineStr">
        <is>
          <t>PC em analise</t>
        </is>
      </c>
      <c r="Y92" s="107" t="inlineStr">
        <is>
          <t>Pedido de Compra</t>
        </is>
      </c>
      <c r="Z92" s="108" t="inlineStr">
        <is>
          <t>Impacto Potencial</t>
        </is>
      </c>
      <c r="AA92" s="108" t="inlineStr">
        <is>
          <t>PC</t>
        </is>
      </c>
      <c r="AB92" s="108" t="inlineStr">
        <is>
          <t>Nao</t>
        </is>
      </c>
      <c r="AC92" s="108" t="inlineStr">
        <is>
          <t>NAO_COMPUTADO</t>
        </is>
      </c>
      <c r="AD92" s="109" t="inlineStr">
        <is>
          <t>Estrutura Fase 1: sem impacto no VTA oficial</t>
        </is>
      </c>
    </row>
    <row r="93" ht="25.5" customHeight="1">
      <c r="A93" s="307" t="n"/>
      <c r="B93" s="307" t="n"/>
      <c r="C93" s="312" t="n"/>
      <c r="D93" s="313">
        <f>IF(C93="","",IF(OR(C93&lt;MIN(parametros!$D$2:$D$6),C93&gt;MAX(parametros!$E$2:$E$6)),"Fora dos ciclos",LOOKUP(C93,parametros!$D$2:$D$6,parametros!$B$2:$B$6)))</f>
        <v/>
      </c>
      <c r="E93" s="314" t="n"/>
      <c r="F93" s="272">
        <f>IF(D93="","",IFERROR(VLOOKUP(D93,parametros!$A$11:$E$15,5,0),""))</f>
        <v/>
      </c>
      <c r="G93" s="273">
        <f>IF(OR(E93="",F93=""),"",ROUND(E93*F93,2))</f>
        <v/>
      </c>
      <c r="H93" s="315" t="n"/>
      <c r="I93" s="292">
        <f>IF(H93="Sim",IF(OR(G93="",E93=""),"",ROUND(G93-E93,2)),0)</f>
        <v/>
      </c>
      <c r="J93" s="292">
        <f>IF(H93="Nao",IF(G93="","",G93),0)</f>
        <v/>
      </c>
      <c r="K93" s="292">
        <f>IF(H93="Nao",IF(OR(G93="",E93=""),"",ROUND(G93-E93,2)),0)</f>
        <v/>
      </c>
      <c r="L93" s="295">
        <f>IF(COUNTA(A93:H93)=0,"",IF(C93="","DATA_PC vazia",IF(OR(D93="",D93="Fora dos ciclos"),"CICLO_PC nao identificado",IF(OR(E93="",E93=0),"VALOR_PC vazio ou zero",IF(AND(H93&lt;&gt;"Sim",H93&lt;&gt;"Nao"),"PC_PAGO_A_CONTRATADA invalido","OK")))))</f>
        <v/>
      </c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107" t="inlineStr">
        <is>
          <t>Nao</t>
        </is>
      </c>
      <c r="X93" s="107" t="inlineStr">
        <is>
          <t>PC em analise</t>
        </is>
      </c>
      <c r="Y93" s="107" t="inlineStr">
        <is>
          <t>Pedido de Compra</t>
        </is>
      </c>
      <c r="Z93" s="108" t="inlineStr">
        <is>
          <t>Impacto Potencial</t>
        </is>
      </c>
      <c r="AA93" s="108" t="inlineStr">
        <is>
          <t>PC</t>
        </is>
      </c>
      <c r="AB93" s="108" t="inlineStr">
        <is>
          <t>Nao</t>
        </is>
      </c>
      <c r="AC93" s="108" t="inlineStr">
        <is>
          <t>NAO_COMPUTADO</t>
        </is>
      </c>
      <c r="AD93" s="109" t="inlineStr">
        <is>
          <t>Estrutura Fase 1: sem impacto no VTA oficial</t>
        </is>
      </c>
    </row>
    <row r="94" ht="25.5" customHeight="1">
      <c r="A94" s="307" t="n"/>
      <c r="B94" s="307" t="n"/>
      <c r="C94" s="312" t="n"/>
      <c r="D94" s="313">
        <f>IF(C94="","",IF(OR(C94&lt;MIN(parametros!$D$2:$D$6),C94&gt;MAX(parametros!$E$2:$E$6)),"Fora dos ciclos",LOOKUP(C94,parametros!$D$2:$D$6,parametros!$B$2:$B$6)))</f>
        <v/>
      </c>
      <c r="E94" s="314" t="n"/>
      <c r="F94" s="272">
        <f>IF(D94="","",IFERROR(VLOOKUP(D94,parametros!$A$11:$E$15,5,0),""))</f>
        <v/>
      </c>
      <c r="G94" s="273">
        <f>IF(OR(E94="",F94=""),"",ROUND(E94*F94,2))</f>
        <v/>
      </c>
      <c r="H94" s="315" t="n"/>
      <c r="I94" s="292">
        <f>IF(H94="Sim",IF(OR(G94="",E94=""),"",ROUND(G94-E94,2)),0)</f>
        <v/>
      </c>
      <c r="J94" s="292">
        <f>IF(H94="Nao",IF(G94="","",G94),0)</f>
        <v/>
      </c>
      <c r="K94" s="292">
        <f>IF(H94="Nao",IF(OR(G94="",E94=""),"",ROUND(G94-E94,2)),0)</f>
        <v/>
      </c>
      <c r="L94" s="295">
        <f>IF(COUNTA(A94:H94)=0,"",IF(C94="","DATA_PC vazia",IF(OR(D94="",D94="Fora dos ciclos"),"CICLO_PC nao identificado",IF(OR(E94="",E94=0),"VALOR_PC vazio ou zero",IF(AND(H94&lt;&gt;"Sim",H94&lt;&gt;"Nao"),"PC_PAGO_A_CONTRATADA invalido","OK")))))</f>
        <v/>
      </c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107" t="inlineStr">
        <is>
          <t>Nao</t>
        </is>
      </c>
      <c r="X94" s="107" t="inlineStr">
        <is>
          <t>PC em analise</t>
        </is>
      </c>
      <c r="Y94" s="107" t="inlineStr">
        <is>
          <t>Pedido de Compra</t>
        </is>
      </c>
      <c r="Z94" s="108" t="inlineStr">
        <is>
          <t>Impacto Potencial</t>
        </is>
      </c>
      <c r="AA94" s="108" t="inlineStr">
        <is>
          <t>PC</t>
        </is>
      </c>
      <c r="AB94" s="108" t="inlineStr">
        <is>
          <t>Nao</t>
        </is>
      </c>
      <c r="AC94" s="108" t="inlineStr">
        <is>
          <t>NAO_COMPUTADO</t>
        </is>
      </c>
      <c r="AD94" s="109" t="inlineStr">
        <is>
          <t>Estrutura Fase 1: sem impacto no VTA oficial</t>
        </is>
      </c>
    </row>
    <row r="95" ht="25.5" customHeight="1">
      <c r="A95" s="307" t="n"/>
      <c r="B95" s="307" t="n"/>
      <c r="C95" s="312" t="n"/>
      <c r="D95" s="313">
        <f>IF(C95="","",IF(OR(C95&lt;MIN(parametros!$D$2:$D$6),C95&gt;MAX(parametros!$E$2:$E$6)),"Fora dos ciclos",LOOKUP(C95,parametros!$D$2:$D$6,parametros!$B$2:$B$6)))</f>
        <v/>
      </c>
      <c r="E95" s="314" t="n"/>
      <c r="F95" s="272">
        <f>IF(D95="","",IFERROR(VLOOKUP(D95,parametros!$A$11:$E$15,5,0),""))</f>
        <v/>
      </c>
      <c r="G95" s="273">
        <f>IF(OR(E95="",F95=""),"",ROUND(E95*F95,2))</f>
        <v/>
      </c>
      <c r="H95" s="315" t="n"/>
      <c r="I95" s="292">
        <f>IF(H95="Sim",IF(OR(G95="",E95=""),"",ROUND(G95-E95,2)),0)</f>
        <v/>
      </c>
      <c r="J95" s="292">
        <f>IF(H95="Nao",IF(G95="","",G95),0)</f>
        <v/>
      </c>
      <c r="K95" s="292">
        <f>IF(H95="Nao",IF(OR(G95="",E95=""),"",ROUND(G95-E95,2)),0)</f>
        <v/>
      </c>
      <c r="L95" s="295">
        <f>IF(COUNTA(A95:H95)=0,"",IF(C95="","DATA_PC vazia",IF(OR(D95="",D95="Fora dos ciclos"),"CICLO_PC nao identificado",IF(OR(E95="",E95=0),"VALOR_PC vazio ou zero",IF(AND(H95&lt;&gt;"Sim",H95&lt;&gt;"Nao"),"PC_PAGO_A_CONTRATADA invalido","OK")))))</f>
        <v/>
      </c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107" t="inlineStr">
        <is>
          <t>Nao</t>
        </is>
      </c>
      <c r="X95" s="107" t="inlineStr">
        <is>
          <t>PC em analise</t>
        </is>
      </c>
      <c r="Y95" s="107" t="inlineStr">
        <is>
          <t>Pedido de Compra</t>
        </is>
      </c>
      <c r="Z95" s="108" t="inlineStr">
        <is>
          <t>Impacto Potencial</t>
        </is>
      </c>
      <c r="AA95" s="108" t="inlineStr">
        <is>
          <t>PC</t>
        </is>
      </c>
      <c r="AB95" s="108" t="inlineStr">
        <is>
          <t>Nao</t>
        </is>
      </c>
      <c r="AC95" s="108" t="inlineStr">
        <is>
          <t>NAO_COMPUTADO</t>
        </is>
      </c>
      <c r="AD95" s="109" t="inlineStr">
        <is>
          <t>Estrutura Fase 1: sem impacto no VTA oficial</t>
        </is>
      </c>
    </row>
    <row r="96" ht="25.5" customHeight="1">
      <c r="A96" s="307" t="n"/>
      <c r="B96" s="307" t="n"/>
      <c r="C96" s="312" t="n"/>
      <c r="D96" s="313">
        <f>IF(C96="","",IF(OR(C96&lt;MIN(parametros!$D$2:$D$6),C96&gt;MAX(parametros!$E$2:$E$6)),"Fora dos ciclos",LOOKUP(C96,parametros!$D$2:$D$6,parametros!$B$2:$B$6)))</f>
        <v/>
      </c>
      <c r="E96" s="314" t="n"/>
      <c r="F96" s="272">
        <f>IF(D96="","",IFERROR(VLOOKUP(D96,parametros!$A$11:$E$15,5,0),""))</f>
        <v/>
      </c>
      <c r="G96" s="273">
        <f>IF(OR(E96="",F96=""),"",ROUND(E96*F96,2))</f>
        <v/>
      </c>
      <c r="H96" s="315" t="n"/>
      <c r="I96" s="292">
        <f>IF(H96="Sim",IF(OR(G96="",E96=""),"",ROUND(G96-E96,2)),0)</f>
        <v/>
      </c>
      <c r="J96" s="292">
        <f>IF(H96="Nao",IF(G96="","",G96),0)</f>
        <v/>
      </c>
      <c r="K96" s="292">
        <f>IF(H96="Nao",IF(OR(G96="",E96=""),"",ROUND(G96-E96,2)),0)</f>
        <v/>
      </c>
      <c r="L96" s="295">
        <f>IF(COUNTA(A96:H96)=0,"",IF(C96="","DATA_PC vazia",IF(OR(D96="",D96="Fora dos ciclos"),"CICLO_PC nao identificado",IF(OR(E96="",E96=0),"VALOR_PC vazio ou zero",IF(AND(H96&lt;&gt;"Sim",H96&lt;&gt;"Nao"),"PC_PAGO_A_CONTRATADA invalido","OK")))))</f>
        <v/>
      </c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107" t="inlineStr">
        <is>
          <t>Nao</t>
        </is>
      </c>
      <c r="X96" s="107" t="inlineStr">
        <is>
          <t>PC em analise</t>
        </is>
      </c>
      <c r="Y96" s="107" t="inlineStr">
        <is>
          <t>Pedido de Compra</t>
        </is>
      </c>
      <c r="Z96" s="108" t="inlineStr">
        <is>
          <t>Impacto Potencial</t>
        </is>
      </c>
      <c r="AA96" s="108" t="inlineStr">
        <is>
          <t>PC</t>
        </is>
      </c>
      <c r="AB96" s="108" t="inlineStr">
        <is>
          <t>Nao</t>
        </is>
      </c>
      <c r="AC96" s="108" t="inlineStr">
        <is>
          <t>NAO_COMPUTADO</t>
        </is>
      </c>
      <c r="AD96" s="109" t="inlineStr">
        <is>
          <t>Estrutura Fase 1: sem impacto no VTA oficial</t>
        </is>
      </c>
    </row>
    <row r="97" ht="25.5" customHeight="1">
      <c r="A97" s="307" t="n"/>
      <c r="B97" s="307" t="n"/>
      <c r="C97" s="312" t="n"/>
      <c r="D97" s="313">
        <f>IF(C97="","",IF(OR(C97&lt;MIN(parametros!$D$2:$D$6),C97&gt;MAX(parametros!$E$2:$E$6)),"Fora dos ciclos",LOOKUP(C97,parametros!$D$2:$D$6,parametros!$B$2:$B$6)))</f>
        <v/>
      </c>
      <c r="E97" s="314" t="n"/>
      <c r="F97" s="272">
        <f>IF(D97="","",IFERROR(VLOOKUP(D97,parametros!$A$11:$E$15,5,0),""))</f>
        <v/>
      </c>
      <c r="G97" s="273">
        <f>IF(OR(E97="",F97=""),"",ROUND(E97*F97,2))</f>
        <v/>
      </c>
      <c r="H97" s="315" t="n"/>
      <c r="I97" s="292">
        <f>IF(H97="Sim",IF(OR(G97="",E97=""),"",ROUND(G97-E97,2)),0)</f>
        <v/>
      </c>
      <c r="J97" s="292">
        <f>IF(H97="Nao",IF(G97="","",G97),0)</f>
        <v/>
      </c>
      <c r="K97" s="292">
        <f>IF(H97="Nao",IF(OR(G97="",E97=""),"",ROUND(G97-E97,2)),0)</f>
        <v/>
      </c>
      <c r="L97" s="295">
        <f>IF(COUNTA(A97:H97)=0,"",IF(C97="","DATA_PC vazia",IF(OR(D97="",D97="Fora dos ciclos"),"CICLO_PC nao identificado",IF(OR(E97="",E97=0),"VALOR_PC vazio ou zero",IF(AND(H97&lt;&gt;"Sim",H97&lt;&gt;"Nao"),"PC_PAGO_A_CONTRATADA invalido","OK")))))</f>
        <v/>
      </c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107" t="inlineStr">
        <is>
          <t>Nao</t>
        </is>
      </c>
      <c r="X97" s="107" t="inlineStr">
        <is>
          <t>PC em analise</t>
        </is>
      </c>
      <c r="Y97" s="107" t="inlineStr">
        <is>
          <t>Pedido de Compra</t>
        </is>
      </c>
      <c r="Z97" s="108" t="inlineStr">
        <is>
          <t>Impacto Potencial</t>
        </is>
      </c>
      <c r="AA97" s="108" t="inlineStr">
        <is>
          <t>PC</t>
        </is>
      </c>
      <c r="AB97" s="108" t="inlineStr">
        <is>
          <t>Nao</t>
        </is>
      </c>
      <c r="AC97" s="108" t="inlineStr">
        <is>
          <t>NAO_COMPUTADO</t>
        </is>
      </c>
      <c r="AD97" s="109" t="inlineStr">
        <is>
          <t>Estrutura Fase 1: sem impacto no VTA oficial</t>
        </is>
      </c>
    </row>
    <row r="98" ht="25.5" customHeight="1">
      <c r="A98" s="307" t="n"/>
      <c r="B98" s="307" t="n"/>
      <c r="C98" s="312" t="n"/>
      <c r="D98" s="313">
        <f>IF(C98="","",IF(OR(C98&lt;MIN(parametros!$D$2:$D$6),C98&gt;MAX(parametros!$E$2:$E$6)),"Fora dos ciclos",LOOKUP(C98,parametros!$D$2:$D$6,parametros!$B$2:$B$6)))</f>
        <v/>
      </c>
      <c r="E98" s="314" t="n"/>
      <c r="F98" s="272">
        <f>IF(D98="","",IFERROR(VLOOKUP(D98,parametros!$A$11:$E$15,5,0),""))</f>
        <v/>
      </c>
      <c r="G98" s="273">
        <f>IF(OR(E98="",F98=""),"",ROUND(E98*F98,2))</f>
        <v/>
      </c>
      <c r="H98" s="315" t="n"/>
      <c r="I98" s="292">
        <f>IF(H98="Sim",IF(OR(G98="",E98=""),"",ROUND(G98-E98,2)),0)</f>
        <v/>
      </c>
      <c r="J98" s="292">
        <f>IF(H98="Nao",IF(G98="","",G98),0)</f>
        <v/>
      </c>
      <c r="K98" s="292">
        <f>IF(H98="Nao",IF(OR(G98="",E98=""),"",ROUND(G98-E98,2)),0)</f>
        <v/>
      </c>
      <c r="L98" s="295">
        <f>IF(COUNTA(A98:H98)=0,"",IF(C98="","DATA_PC vazia",IF(OR(D98="",D98="Fora dos ciclos"),"CICLO_PC nao identificado",IF(OR(E98="",E98=0),"VALOR_PC vazio ou zero",IF(AND(H98&lt;&gt;"Sim",H98&lt;&gt;"Nao"),"PC_PAGO_A_CONTRATADA invalido","OK")))))</f>
        <v/>
      </c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107" t="inlineStr">
        <is>
          <t>Nao</t>
        </is>
      </c>
      <c r="X98" s="107" t="inlineStr">
        <is>
          <t>PC em analise</t>
        </is>
      </c>
      <c r="Y98" s="107" t="inlineStr">
        <is>
          <t>Pedido de Compra</t>
        </is>
      </c>
      <c r="Z98" s="108" t="inlineStr">
        <is>
          <t>Impacto Potencial</t>
        </is>
      </c>
      <c r="AA98" s="108" t="inlineStr">
        <is>
          <t>PC</t>
        </is>
      </c>
      <c r="AB98" s="108" t="inlineStr">
        <is>
          <t>Nao</t>
        </is>
      </c>
      <c r="AC98" s="108" t="inlineStr">
        <is>
          <t>NAO_COMPUTADO</t>
        </is>
      </c>
      <c r="AD98" s="109" t="inlineStr">
        <is>
          <t>Estrutura Fase 1: sem impacto no VTA oficial</t>
        </is>
      </c>
    </row>
    <row r="99" ht="25.5" customHeight="1">
      <c r="A99" s="307" t="n"/>
      <c r="B99" s="307" t="n"/>
      <c r="C99" s="312" t="n"/>
      <c r="D99" s="313">
        <f>IF(C99="","",IF(OR(C99&lt;MIN(parametros!$D$2:$D$6),C99&gt;MAX(parametros!$E$2:$E$6)),"Fora dos ciclos",LOOKUP(C99,parametros!$D$2:$D$6,parametros!$B$2:$B$6)))</f>
        <v/>
      </c>
      <c r="E99" s="314" t="n"/>
      <c r="F99" s="272">
        <f>IF(D99="","",IFERROR(VLOOKUP(D99,parametros!$A$11:$E$15,5,0),""))</f>
        <v/>
      </c>
      <c r="G99" s="273">
        <f>IF(OR(E99="",F99=""),"",ROUND(E99*F99,2))</f>
        <v/>
      </c>
      <c r="H99" s="315" t="n"/>
      <c r="I99" s="292">
        <f>IF(H99="Sim",IF(OR(G99="",E99=""),"",ROUND(G99-E99,2)),0)</f>
        <v/>
      </c>
      <c r="J99" s="292">
        <f>IF(H99="Nao",IF(G99="","",G99),0)</f>
        <v/>
      </c>
      <c r="K99" s="292">
        <f>IF(H99="Nao",IF(OR(G99="",E99=""),"",ROUND(G99-E99,2)),0)</f>
        <v/>
      </c>
      <c r="L99" s="295">
        <f>IF(COUNTA(A99:H99)=0,"",IF(C99="","DATA_PC vazia",IF(OR(D99="",D99="Fora dos ciclos"),"CICLO_PC nao identificado",IF(OR(E99="",E99=0),"VALOR_PC vazio ou zero",IF(AND(H99&lt;&gt;"Sim",H99&lt;&gt;"Nao"),"PC_PAGO_A_CONTRATADA invalido","OK")))))</f>
        <v/>
      </c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107" t="inlineStr">
        <is>
          <t>Nao</t>
        </is>
      </c>
      <c r="X99" s="107" t="inlineStr">
        <is>
          <t>PC em analise</t>
        </is>
      </c>
      <c r="Y99" s="107" t="inlineStr">
        <is>
          <t>Pedido de Compra</t>
        </is>
      </c>
      <c r="Z99" s="108" t="inlineStr">
        <is>
          <t>Impacto Potencial</t>
        </is>
      </c>
      <c r="AA99" s="108" t="inlineStr">
        <is>
          <t>PC</t>
        </is>
      </c>
      <c r="AB99" s="108" t="inlineStr">
        <is>
          <t>Nao</t>
        </is>
      </c>
      <c r="AC99" s="108" t="inlineStr">
        <is>
          <t>NAO_COMPUTADO</t>
        </is>
      </c>
      <c r="AD99" s="109" t="inlineStr">
        <is>
          <t>Estrutura Fase 1: sem impacto no VTA oficial</t>
        </is>
      </c>
    </row>
    <row r="100" ht="25.5" customHeight="1">
      <c r="A100" s="307" t="n"/>
      <c r="B100" s="307" t="n"/>
      <c r="C100" s="312" t="n"/>
      <c r="D100" s="313">
        <f>IF(C100="","",IF(OR(C100&lt;MIN(parametros!$D$2:$D$6),C100&gt;MAX(parametros!$E$2:$E$6)),"Fora dos ciclos",LOOKUP(C100,parametros!$D$2:$D$6,parametros!$B$2:$B$6)))</f>
        <v/>
      </c>
      <c r="E100" s="314" t="n"/>
      <c r="F100" s="272">
        <f>IF(D100="","",IFERROR(VLOOKUP(D100,parametros!$A$11:$E$15,5,0),""))</f>
        <v/>
      </c>
      <c r="G100" s="273">
        <f>IF(OR(E100="",F100=""),"",ROUND(E100*F100,2))</f>
        <v/>
      </c>
      <c r="H100" s="315" t="n"/>
      <c r="I100" s="292">
        <f>IF(H100="Sim",IF(OR(G100="",E100=""),"",ROUND(G100-E100,2)),0)</f>
        <v/>
      </c>
      <c r="J100" s="292">
        <f>IF(H100="Nao",IF(G100="","",G100),0)</f>
        <v/>
      </c>
      <c r="K100" s="292">
        <f>IF(H100="Nao",IF(OR(G100="",E100=""),"",ROUND(G100-E100,2)),0)</f>
        <v/>
      </c>
      <c r="L100" s="295">
        <f>IF(COUNTA(A100:H100)=0,"",IF(C100="","DATA_PC vazia",IF(OR(D100="",D100="Fora dos ciclos"),"CICLO_PC nao identificado",IF(OR(E100="",E100=0),"VALOR_PC vazio ou zero",IF(AND(H100&lt;&gt;"Sim",H100&lt;&gt;"Nao"),"PC_PAGO_A_CONTRATADA invalido","OK")))))</f>
        <v/>
      </c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107" t="inlineStr">
        <is>
          <t>Nao</t>
        </is>
      </c>
      <c r="X100" s="107" t="inlineStr">
        <is>
          <t>PC em analise</t>
        </is>
      </c>
      <c r="Y100" s="107" t="inlineStr">
        <is>
          <t>Pedido de Compra</t>
        </is>
      </c>
      <c r="Z100" s="108" t="inlineStr">
        <is>
          <t>Impacto Potencial</t>
        </is>
      </c>
      <c r="AA100" s="108" t="inlineStr">
        <is>
          <t>PC</t>
        </is>
      </c>
      <c r="AB100" s="108" t="inlineStr">
        <is>
          <t>Nao</t>
        </is>
      </c>
      <c r="AC100" s="108" t="inlineStr">
        <is>
          <t>NAO_COMPUTADO</t>
        </is>
      </c>
      <c r="AD100" s="109" t="inlineStr">
        <is>
          <t>Estrutura Fase 1: sem impacto no VTA oficial</t>
        </is>
      </c>
    </row>
    <row r="101">
      <c r="A101" s="226" t="n"/>
      <c r="B101" s="226" t="n"/>
      <c r="C101" s="227" t="n"/>
      <c r="D101" s="228" t="n"/>
      <c r="E101" s="318" t="n"/>
      <c r="F101" s="319" t="n"/>
      <c r="G101" s="320" t="n"/>
      <c r="H101" s="232" t="n"/>
      <c r="I101" s="321" t="n"/>
      <c r="J101" s="321" t="n"/>
      <c r="K101" s="321" t="n"/>
      <c r="L101" s="233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91" t="n"/>
      <c r="W101" s="91" t="n"/>
      <c r="X101" s="91" t="n"/>
      <c r="Y101" s="91" t="n"/>
      <c r="Z101" s="91" t="n"/>
      <c r="AA101" s="91" t="n"/>
      <c r="AB101" s="91" t="n"/>
      <c r="AC101" s="91" t="n"/>
      <c r="AD101" s="91" t="n"/>
    </row>
    <row r="102">
      <c r="A102" s="27" t="n"/>
      <c r="B102" s="27" t="n"/>
      <c r="C102" s="113" t="n"/>
      <c r="D102" s="114" t="n"/>
      <c r="E102" s="27" t="n"/>
      <c r="F102" s="114" t="n"/>
      <c r="G102" s="114" t="n"/>
      <c r="H102" s="27" t="n"/>
      <c r="I102" s="27" t="n"/>
      <c r="J102" s="114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91" t="n"/>
      <c r="W102" s="91" t="n"/>
      <c r="X102" s="91" t="n"/>
      <c r="Y102" s="91" t="n"/>
      <c r="Z102" s="91" t="n"/>
      <c r="AA102" s="91" t="n"/>
      <c r="AB102" s="91" t="n"/>
      <c r="AC102" s="91" t="n"/>
      <c r="AD102" s="91" t="n"/>
    </row>
    <row r="103">
      <c r="A103" s="27" t="n"/>
      <c r="B103" s="27" t="n"/>
      <c r="C103" s="113" t="n"/>
      <c r="D103" s="114" t="n"/>
      <c r="E103" s="27" t="n"/>
      <c r="F103" s="114" t="n"/>
      <c r="G103" s="114" t="n"/>
      <c r="H103" s="27" t="n"/>
      <c r="I103" s="27" t="n"/>
      <c r="J103" s="114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91" t="n"/>
      <c r="W103" s="91" t="n"/>
      <c r="X103" s="91" t="n"/>
      <c r="Y103" s="91" t="n"/>
      <c r="Z103" s="91" t="n"/>
      <c r="AA103" s="91" t="n"/>
      <c r="AB103" s="91" t="n"/>
      <c r="AC103" s="91" t="n"/>
      <c r="AD103" s="91" t="n"/>
    </row>
    <row r="104">
      <c r="A104" s="27" t="n"/>
      <c r="B104" s="27" t="n"/>
      <c r="C104" s="113" t="n"/>
      <c r="D104" s="114" t="n"/>
      <c r="E104" s="27" t="n"/>
      <c r="F104" s="114" t="n"/>
      <c r="G104" s="114" t="n"/>
      <c r="H104" s="27" t="n"/>
      <c r="I104" s="27" t="n"/>
      <c r="J104" s="114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91" t="n"/>
      <c r="W104" s="91" t="n"/>
      <c r="X104" s="91" t="n"/>
      <c r="Y104" s="91" t="n"/>
      <c r="Z104" s="91" t="n"/>
      <c r="AA104" s="91" t="n"/>
      <c r="AB104" s="91" t="n"/>
      <c r="AC104" s="91" t="n"/>
      <c r="AD104" s="91" t="n"/>
    </row>
    <row r="105">
      <c r="A105" s="27" t="n"/>
      <c r="B105" s="27" t="n"/>
      <c r="C105" s="113" t="n"/>
      <c r="D105" s="114" t="n"/>
      <c r="E105" s="27" t="n"/>
      <c r="F105" s="114" t="n"/>
      <c r="G105" s="114" t="n"/>
      <c r="H105" s="27" t="n"/>
      <c r="I105" s="27" t="n"/>
      <c r="J105" s="114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91" t="n"/>
      <c r="W105" s="91" t="n"/>
      <c r="X105" s="91" t="n"/>
      <c r="Y105" s="91" t="n"/>
      <c r="Z105" s="91" t="n"/>
      <c r="AA105" s="91" t="n"/>
      <c r="AB105" s="91" t="n"/>
      <c r="AC105" s="91" t="n"/>
      <c r="AD105" s="91" t="n"/>
    </row>
    <row r="106">
      <c r="A106" s="27" t="n"/>
      <c r="B106" s="27" t="n"/>
      <c r="C106" s="113" t="n"/>
      <c r="D106" s="114" t="n"/>
      <c r="E106" s="27" t="n"/>
      <c r="F106" s="114" t="n"/>
      <c r="G106" s="114" t="n"/>
      <c r="H106" s="27" t="n"/>
      <c r="I106" s="27" t="n"/>
      <c r="J106" s="114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91" t="n"/>
      <c r="W106" s="91" t="n"/>
      <c r="X106" s="91" t="n"/>
      <c r="Y106" s="91" t="n"/>
      <c r="Z106" s="91" t="n"/>
      <c r="AA106" s="91" t="n"/>
      <c r="AB106" s="91" t="n"/>
      <c r="AC106" s="91" t="n"/>
      <c r="AD106" s="91" t="n"/>
    </row>
    <row r="107">
      <c r="A107" s="27" t="n"/>
      <c r="B107" s="27" t="n"/>
      <c r="C107" s="113" t="n"/>
      <c r="D107" s="114" t="n"/>
      <c r="E107" s="27" t="n"/>
      <c r="F107" s="114" t="n"/>
      <c r="G107" s="114" t="n"/>
      <c r="H107" s="27" t="n"/>
      <c r="I107" s="27" t="n"/>
      <c r="J107" s="114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91" t="n"/>
      <c r="W107" s="91" t="n"/>
      <c r="X107" s="91" t="n"/>
      <c r="Y107" s="91" t="n"/>
      <c r="Z107" s="91" t="n"/>
      <c r="AA107" s="91" t="n"/>
      <c r="AB107" s="91" t="n"/>
      <c r="AC107" s="91" t="n"/>
      <c r="AD107" s="91" t="n"/>
    </row>
    <row r="108">
      <c r="A108" s="27" t="n"/>
      <c r="B108" s="27" t="n"/>
      <c r="C108" s="113" t="n"/>
      <c r="D108" s="114" t="n"/>
      <c r="E108" s="27" t="n"/>
      <c r="F108" s="114" t="n"/>
      <c r="G108" s="114" t="n"/>
      <c r="H108" s="27" t="n"/>
      <c r="I108" s="27" t="n"/>
      <c r="J108" s="114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91" t="n"/>
      <c r="W108" s="91" t="n"/>
      <c r="X108" s="91" t="n"/>
      <c r="Y108" s="91" t="n"/>
      <c r="Z108" s="91" t="n"/>
      <c r="AA108" s="91" t="n"/>
      <c r="AB108" s="91" t="n"/>
      <c r="AC108" s="91" t="n"/>
      <c r="AD108" s="91" t="n"/>
    </row>
    <row r="109">
      <c r="A109" s="27" t="n"/>
      <c r="B109" s="27" t="n"/>
      <c r="C109" s="113" t="n"/>
      <c r="D109" s="114" t="n"/>
      <c r="E109" s="27" t="n"/>
      <c r="F109" s="114" t="n"/>
      <c r="G109" s="114" t="n"/>
      <c r="H109" s="27" t="n"/>
      <c r="I109" s="27" t="n"/>
      <c r="J109" s="114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91" t="n"/>
      <c r="W109" s="91" t="n"/>
      <c r="X109" s="91" t="n"/>
      <c r="Y109" s="91" t="n"/>
      <c r="Z109" s="91" t="n"/>
      <c r="AA109" s="91" t="n"/>
      <c r="AB109" s="91" t="n"/>
      <c r="AC109" s="91" t="n"/>
      <c r="AD109" s="91" t="n"/>
    </row>
    <row r="110">
      <c r="A110" s="27" t="n"/>
      <c r="B110" s="27" t="n"/>
      <c r="C110" s="113" t="n"/>
      <c r="D110" s="114" t="n"/>
      <c r="E110" s="27" t="n"/>
      <c r="F110" s="114" t="n"/>
      <c r="G110" s="114" t="n"/>
      <c r="H110" s="27" t="n"/>
      <c r="I110" s="27" t="n"/>
      <c r="J110" s="114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91" t="n"/>
      <c r="W110" s="91" t="n"/>
      <c r="X110" s="91" t="n"/>
      <c r="Y110" s="91" t="n"/>
      <c r="Z110" s="91" t="n"/>
      <c r="AA110" s="91" t="n"/>
      <c r="AB110" s="91" t="n"/>
      <c r="AC110" s="91" t="n"/>
      <c r="AD110" s="91" t="n"/>
    </row>
    <row r="111">
      <c r="A111" s="27" t="n"/>
      <c r="B111" s="27" t="n"/>
      <c r="C111" s="113" t="n"/>
      <c r="D111" s="114" t="n"/>
      <c r="E111" s="27" t="n"/>
      <c r="F111" s="114" t="n"/>
      <c r="G111" s="114" t="n"/>
      <c r="H111" s="27" t="n"/>
      <c r="I111" s="27" t="n"/>
      <c r="J111" s="114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91" t="n"/>
      <c r="W111" s="91" t="n"/>
      <c r="X111" s="91" t="n"/>
      <c r="Y111" s="91" t="n"/>
      <c r="Z111" s="91" t="n"/>
      <c r="AA111" s="91" t="n"/>
      <c r="AB111" s="91" t="n"/>
      <c r="AC111" s="91" t="n"/>
      <c r="AD111" s="91" t="n"/>
    </row>
    <row r="112">
      <c r="A112" s="27" t="n"/>
      <c r="B112" s="27" t="n"/>
      <c r="C112" s="113" t="n"/>
      <c r="D112" s="114" t="n"/>
      <c r="E112" s="27" t="n"/>
      <c r="F112" s="114" t="n"/>
      <c r="G112" s="114" t="n"/>
      <c r="H112" s="27" t="n"/>
      <c r="I112" s="27" t="n"/>
      <c r="J112" s="114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91" t="n"/>
      <c r="W112" s="91" t="n"/>
      <c r="X112" s="91" t="n"/>
      <c r="Y112" s="91" t="n"/>
      <c r="Z112" s="91" t="n"/>
      <c r="AA112" s="91" t="n"/>
      <c r="AB112" s="91" t="n"/>
      <c r="AC112" s="91" t="n"/>
      <c r="AD112" s="91" t="n"/>
    </row>
    <row r="113">
      <c r="A113" s="27" t="n"/>
      <c r="B113" s="27" t="n"/>
      <c r="C113" s="113" t="n"/>
      <c r="D113" s="114" t="n"/>
      <c r="E113" s="27" t="n"/>
      <c r="F113" s="114" t="n"/>
      <c r="G113" s="114" t="n"/>
      <c r="H113" s="27" t="n"/>
      <c r="I113" s="27" t="n"/>
      <c r="J113" s="114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91" t="n"/>
      <c r="W113" s="91" t="n"/>
      <c r="X113" s="91" t="n"/>
      <c r="Y113" s="91" t="n"/>
      <c r="Z113" s="91" t="n"/>
      <c r="AA113" s="91" t="n"/>
      <c r="AB113" s="91" t="n"/>
      <c r="AC113" s="91" t="n"/>
      <c r="AD113" s="91" t="n"/>
    </row>
    <row r="114">
      <c r="A114" s="27" t="n"/>
      <c r="B114" s="27" t="n"/>
      <c r="C114" s="113" t="n"/>
      <c r="D114" s="114" t="n"/>
      <c r="E114" s="27" t="n"/>
      <c r="F114" s="114" t="n"/>
      <c r="G114" s="114" t="n"/>
      <c r="H114" s="27" t="n"/>
      <c r="I114" s="27" t="n"/>
      <c r="J114" s="114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91" t="n"/>
      <c r="W114" s="91" t="n"/>
      <c r="X114" s="91" t="n"/>
      <c r="Y114" s="91" t="n"/>
      <c r="Z114" s="91" t="n"/>
      <c r="AA114" s="91" t="n"/>
      <c r="AB114" s="91" t="n"/>
      <c r="AC114" s="91" t="n"/>
      <c r="AD114" s="91" t="n"/>
    </row>
    <row r="115">
      <c r="A115" s="27" t="n"/>
      <c r="B115" s="27" t="n"/>
      <c r="C115" s="113" t="n"/>
      <c r="D115" s="114" t="n"/>
      <c r="E115" s="27" t="n"/>
      <c r="F115" s="114" t="n"/>
      <c r="G115" s="114" t="n"/>
      <c r="H115" s="27" t="n"/>
      <c r="I115" s="27" t="n"/>
      <c r="J115" s="114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91" t="n"/>
      <c r="W115" s="91" t="n"/>
      <c r="X115" s="91" t="n"/>
      <c r="Y115" s="91" t="n"/>
      <c r="Z115" s="91" t="n"/>
      <c r="AA115" s="91" t="n"/>
      <c r="AB115" s="91" t="n"/>
      <c r="AC115" s="91" t="n"/>
      <c r="AD115" s="91" t="n"/>
    </row>
    <row r="116">
      <c r="A116" s="27" t="n"/>
      <c r="B116" s="27" t="n"/>
      <c r="C116" s="113" t="n"/>
      <c r="D116" s="114" t="n"/>
      <c r="E116" s="27" t="n"/>
      <c r="F116" s="114" t="n"/>
      <c r="G116" s="114" t="n"/>
      <c r="H116" s="27" t="n"/>
      <c r="I116" s="27" t="n"/>
      <c r="J116" s="114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91" t="n"/>
      <c r="W116" s="91" t="n"/>
      <c r="X116" s="91" t="n"/>
      <c r="Y116" s="91" t="n"/>
      <c r="Z116" s="91" t="n"/>
      <c r="AA116" s="91" t="n"/>
      <c r="AB116" s="91" t="n"/>
      <c r="AC116" s="91" t="n"/>
      <c r="AD116" s="91" t="n"/>
    </row>
    <row r="117">
      <c r="A117" s="27" t="n"/>
      <c r="B117" s="27" t="n"/>
      <c r="C117" s="113" t="n"/>
      <c r="D117" s="114" t="n"/>
      <c r="E117" s="27" t="n"/>
      <c r="F117" s="114" t="n"/>
      <c r="G117" s="114" t="n"/>
      <c r="H117" s="27" t="n"/>
      <c r="I117" s="27" t="n"/>
      <c r="J117" s="114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91" t="n"/>
      <c r="W117" s="91" t="n"/>
      <c r="X117" s="91" t="n"/>
      <c r="Y117" s="91" t="n"/>
      <c r="Z117" s="91" t="n"/>
      <c r="AA117" s="91" t="n"/>
      <c r="AB117" s="91" t="n"/>
      <c r="AC117" s="91" t="n"/>
      <c r="AD117" s="91" t="n"/>
    </row>
    <row r="118">
      <c r="A118" s="27" t="n"/>
      <c r="B118" s="27" t="n"/>
      <c r="C118" s="113" t="n"/>
      <c r="D118" s="114" t="n"/>
      <c r="E118" s="27" t="n"/>
      <c r="F118" s="114" t="n"/>
      <c r="G118" s="114" t="n"/>
      <c r="H118" s="27" t="n"/>
      <c r="I118" s="27" t="n"/>
      <c r="J118" s="114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91" t="n"/>
      <c r="W118" s="91" t="n"/>
      <c r="X118" s="91" t="n"/>
      <c r="Y118" s="91" t="n"/>
      <c r="Z118" s="91" t="n"/>
      <c r="AA118" s="91" t="n"/>
      <c r="AB118" s="91" t="n"/>
      <c r="AC118" s="91" t="n"/>
      <c r="AD118" s="91" t="n"/>
    </row>
    <row r="119">
      <c r="A119" s="27" t="n"/>
      <c r="B119" s="27" t="n"/>
      <c r="C119" s="113" t="n"/>
      <c r="D119" s="114" t="n"/>
      <c r="E119" s="27" t="n"/>
      <c r="F119" s="114" t="n"/>
      <c r="G119" s="114" t="n"/>
      <c r="H119" s="27" t="n"/>
      <c r="I119" s="27" t="n"/>
      <c r="J119" s="114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91" t="n"/>
      <c r="W119" s="91" t="n"/>
      <c r="X119" s="91" t="n"/>
      <c r="Y119" s="91" t="n"/>
      <c r="Z119" s="91" t="n"/>
      <c r="AA119" s="91" t="n"/>
      <c r="AB119" s="91" t="n"/>
      <c r="AC119" s="91" t="n"/>
      <c r="AD119" s="91" t="n"/>
    </row>
    <row r="120">
      <c r="A120" s="27" t="n"/>
      <c r="B120" s="27" t="n"/>
      <c r="C120" s="113" t="n"/>
      <c r="D120" s="114" t="n"/>
      <c r="E120" s="27" t="n"/>
      <c r="F120" s="114" t="n"/>
      <c r="G120" s="114" t="n"/>
      <c r="H120" s="27" t="n"/>
      <c r="I120" s="27" t="n"/>
      <c r="J120" s="114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91" t="n"/>
      <c r="W120" s="91" t="n"/>
      <c r="X120" s="91" t="n"/>
      <c r="Y120" s="91" t="n"/>
      <c r="Z120" s="91" t="n"/>
      <c r="AA120" s="91" t="n"/>
      <c r="AB120" s="91" t="n"/>
      <c r="AC120" s="91" t="n"/>
      <c r="AD120" s="91" t="n"/>
    </row>
    <row r="121">
      <c r="A121" s="27" t="n"/>
      <c r="B121" s="27" t="n"/>
      <c r="C121" s="113" t="n"/>
      <c r="D121" s="114" t="n"/>
      <c r="E121" s="27" t="n"/>
      <c r="F121" s="114" t="n"/>
      <c r="G121" s="114" t="n"/>
      <c r="H121" s="27" t="n"/>
      <c r="I121" s="27" t="n"/>
      <c r="J121" s="114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91" t="n"/>
      <c r="W121" s="91" t="n"/>
      <c r="X121" s="91" t="n"/>
      <c r="Y121" s="91" t="n"/>
      <c r="Z121" s="91" t="n"/>
      <c r="AA121" s="91" t="n"/>
      <c r="AB121" s="91" t="n"/>
      <c r="AC121" s="91" t="n"/>
      <c r="AD121" s="91" t="n"/>
    </row>
    <row r="122">
      <c r="A122" s="27" t="n"/>
      <c r="B122" s="27" t="n"/>
      <c r="C122" s="113" t="n"/>
      <c r="D122" s="114" t="n"/>
      <c r="E122" s="27" t="n"/>
      <c r="F122" s="114" t="n"/>
      <c r="G122" s="114" t="n"/>
      <c r="H122" s="27" t="n"/>
      <c r="I122" s="27" t="n"/>
      <c r="J122" s="114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91" t="n"/>
      <c r="W122" s="91" t="n"/>
      <c r="X122" s="91" t="n"/>
      <c r="Y122" s="91" t="n"/>
      <c r="Z122" s="91" t="n"/>
      <c r="AA122" s="91" t="n"/>
      <c r="AB122" s="91" t="n"/>
      <c r="AC122" s="91" t="n"/>
      <c r="AD122" s="91" t="n"/>
    </row>
    <row r="123">
      <c r="A123" s="27" t="n"/>
      <c r="B123" s="27" t="n"/>
      <c r="C123" s="113" t="n"/>
      <c r="D123" s="114" t="n"/>
      <c r="E123" s="27" t="n"/>
      <c r="F123" s="114" t="n"/>
      <c r="G123" s="114" t="n"/>
      <c r="H123" s="27" t="n"/>
      <c r="I123" s="27" t="n"/>
      <c r="J123" s="114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91" t="n"/>
      <c r="W123" s="91" t="n"/>
      <c r="X123" s="91" t="n"/>
      <c r="Y123" s="91" t="n"/>
      <c r="Z123" s="91" t="n"/>
      <c r="AA123" s="91" t="n"/>
      <c r="AB123" s="91" t="n"/>
      <c r="AC123" s="91" t="n"/>
      <c r="AD123" s="91" t="n"/>
    </row>
    <row r="124">
      <c r="A124" s="27" t="n"/>
      <c r="B124" s="27" t="n"/>
      <c r="C124" s="113" t="n"/>
      <c r="D124" s="114" t="n"/>
      <c r="E124" s="27" t="n"/>
      <c r="F124" s="114" t="n"/>
      <c r="G124" s="114" t="n"/>
      <c r="H124" s="27" t="n"/>
      <c r="I124" s="27" t="n"/>
      <c r="J124" s="114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91" t="n"/>
      <c r="W124" s="91" t="n"/>
      <c r="X124" s="91" t="n"/>
      <c r="Y124" s="91" t="n"/>
      <c r="Z124" s="91" t="n"/>
      <c r="AA124" s="91" t="n"/>
      <c r="AB124" s="91" t="n"/>
      <c r="AC124" s="91" t="n"/>
      <c r="AD124" s="91" t="n"/>
    </row>
    <row r="125">
      <c r="A125" s="27" t="n"/>
      <c r="B125" s="27" t="n"/>
      <c r="C125" s="113" t="n"/>
      <c r="D125" s="114" t="n"/>
      <c r="E125" s="27" t="n"/>
      <c r="F125" s="114" t="n"/>
      <c r="G125" s="114" t="n"/>
      <c r="H125" s="27" t="n"/>
      <c r="I125" s="27" t="n"/>
      <c r="J125" s="114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91" t="n"/>
      <c r="W125" s="91" t="n"/>
      <c r="X125" s="91" t="n"/>
      <c r="Y125" s="91" t="n"/>
      <c r="Z125" s="91" t="n"/>
      <c r="AA125" s="91" t="n"/>
      <c r="AB125" s="91" t="n"/>
      <c r="AC125" s="91" t="n"/>
      <c r="AD125" s="91" t="n"/>
    </row>
    <row r="126">
      <c r="A126" s="27" t="n"/>
      <c r="B126" s="27" t="n"/>
      <c r="C126" s="113" t="n"/>
      <c r="D126" s="114" t="n"/>
      <c r="E126" s="27" t="n"/>
      <c r="F126" s="114" t="n"/>
      <c r="G126" s="114" t="n"/>
      <c r="H126" s="27" t="n"/>
      <c r="I126" s="27" t="n"/>
      <c r="J126" s="114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91" t="n"/>
      <c r="W126" s="91" t="n"/>
      <c r="X126" s="91" t="n"/>
      <c r="Y126" s="91" t="n"/>
      <c r="Z126" s="91" t="n"/>
      <c r="AA126" s="91" t="n"/>
      <c r="AB126" s="91" t="n"/>
      <c r="AC126" s="91" t="n"/>
      <c r="AD126" s="91" t="n"/>
    </row>
    <row r="127">
      <c r="A127" s="27" t="n"/>
      <c r="B127" s="27" t="n"/>
      <c r="C127" s="113" t="n"/>
      <c r="D127" s="114" t="n"/>
      <c r="E127" s="27" t="n"/>
      <c r="F127" s="114" t="n"/>
      <c r="G127" s="114" t="n"/>
      <c r="H127" s="27" t="n"/>
      <c r="I127" s="27" t="n"/>
      <c r="J127" s="114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91" t="n"/>
      <c r="W127" s="91" t="n"/>
      <c r="X127" s="91" t="n"/>
      <c r="Y127" s="91" t="n"/>
      <c r="Z127" s="91" t="n"/>
      <c r="AA127" s="91" t="n"/>
      <c r="AB127" s="91" t="n"/>
      <c r="AC127" s="91" t="n"/>
      <c r="AD127" s="91" t="n"/>
    </row>
    <row r="128">
      <c r="A128" s="27" t="n"/>
      <c r="B128" s="27" t="n"/>
      <c r="C128" s="113" t="n"/>
      <c r="D128" s="114" t="n"/>
      <c r="E128" s="27" t="n"/>
      <c r="F128" s="114" t="n"/>
      <c r="G128" s="114" t="n"/>
      <c r="H128" s="27" t="n"/>
      <c r="I128" s="27" t="n"/>
      <c r="J128" s="114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91" t="n"/>
      <c r="W128" s="91" t="n"/>
      <c r="X128" s="91" t="n"/>
      <c r="Y128" s="91" t="n"/>
      <c r="Z128" s="91" t="n"/>
      <c r="AA128" s="91" t="n"/>
      <c r="AB128" s="91" t="n"/>
      <c r="AC128" s="91" t="n"/>
      <c r="AD128" s="91" t="n"/>
    </row>
    <row r="129">
      <c r="A129" s="27" t="n"/>
      <c r="B129" s="27" t="n"/>
      <c r="C129" s="113" t="n"/>
      <c r="D129" s="114" t="n"/>
      <c r="E129" s="27" t="n"/>
      <c r="F129" s="114" t="n"/>
      <c r="G129" s="114" t="n"/>
      <c r="H129" s="27" t="n"/>
      <c r="I129" s="27" t="n"/>
      <c r="J129" s="114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91" t="n"/>
      <c r="W129" s="91" t="n"/>
      <c r="X129" s="91" t="n"/>
      <c r="Y129" s="91" t="n"/>
      <c r="Z129" s="91" t="n"/>
      <c r="AA129" s="91" t="n"/>
      <c r="AB129" s="91" t="n"/>
      <c r="AC129" s="91" t="n"/>
      <c r="AD129" s="91" t="n"/>
    </row>
    <row r="130">
      <c r="A130" s="27" t="n"/>
      <c r="B130" s="27" t="n"/>
      <c r="C130" s="113" t="n"/>
      <c r="D130" s="114" t="n"/>
      <c r="E130" s="27" t="n"/>
      <c r="F130" s="114" t="n"/>
      <c r="G130" s="114" t="n"/>
      <c r="H130" s="27" t="n"/>
      <c r="I130" s="27" t="n"/>
      <c r="J130" s="114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91" t="n"/>
      <c r="W130" s="91" t="n"/>
      <c r="X130" s="91" t="n"/>
      <c r="Y130" s="91" t="n"/>
      <c r="Z130" s="91" t="n"/>
      <c r="AA130" s="91" t="n"/>
      <c r="AB130" s="91" t="n"/>
      <c r="AC130" s="91" t="n"/>
      <c r="AD130" s="91" t="n"/>
    </row>
    <row r="131">
      <c r="A131" s="27" t="n"/>
      <c r="B131" s="27" t="n"/>
      <c r="C131" s="113" t="n"/>
      <c r="D131" s="114" t="n"/>
      <c r="E131" s="27" t="n"/>
      <c r="F131" s="114" t="n"/>
      <c r="G131" s="114" t="n"/>
      <c r="H131" s="27" t="n"/>
      <c r="I131" s="27" t="n"/>
      <c r="J131" s="114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91" t="n"/>
      <c r="W131" s="91" t="n"/>
      <c r="X131" s="91" t="n"/>
      <c r="Y131" s="91" t="n"/>
      <c r="Z131" s="91" t="n"/>
      <c r="AA131" s="91" t="n"/>
      <c r="AB131" s="91" t="n"/>
      <c r="AC131" s="91" t="n"/>
      <c r="AD131" s="91" t="n"/>
    </row>
    <row r="132">
      <c r="A132" s="27" t="n"/>
      <c r="B132" s="27" t="n"/>
      <c r="C132" s="113" t="n"/>
      <c r="D132" s="114" t="n"/>
      <c r="E132" s="27" t="n"/>
      <c r="F132" s="114" t="n"/>
      <c r="G132" s="114" t="n"/>
      <c r="H132" s="27" t="n"/>
      <c r="I132" s="27" t="n"/>
      <c r="J132" s="114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91" t="n"/>
      <c r="W132" s="91" t="n"/>
      <c r="X132" s="91" t="n"/>
      <c r="Y132" s="91" t="n"/>
      <c r="Z132" s="91" t="n"/>
      <c r="AA132" s="91" t="n"/>
      <c r="AB132" s="91" t="n"/>
      <c r="AC132" s="91" t="n"/>
      <c r="AD132" s="91" t="n"/>
    </row>
    <row r="133">
      <c r="A133" s="27" t="n"/>
      <c r="B133" s="27" t="n"/>
      <c r="C133" s="113" t="n"/>
      <c r="D133" s="114" t="n"/>
      <c r="E133" s="27" t="n"/>
      <c r="F133" s="114" t="n"/>
      <c r="G133" s="114" t="n"/>
      <c r="H133" s="27" t="n"/>
      <c r="I133" s="27" t="n"/>
      <c r="J133" s="114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91" t="n"/>
      <c r="W133" s="91" t="n"/>
      <c r="X133" s="91" t="n"/>
      <c r="Y133" s="91" t="n"/>
      <c r="Z133" s="91" t="n"/>
      <c r="AA133" s="91" t="n"/>
      <c r="AB133" s="91" t="n"/>
      <c r="AC133" s="91" t="n"/>
      <c r="AD133" s="91" t="n"/>
    </row>
    <row r="134">
      <c r="A134" s="27" t="n"/>
      <c r="B134" s="27" t="n"/>
      <c r="C134" s="113" t="n"/>
      <c r="D134" s="114" t="n"/>
      <c r="E134" s="27" t="n"/>
      <c r="F134" s="114" t="n"/>
      <c r="G134" s="114" t="n"/>
      <c r="H134" s="27" t="n"/>
      <c r="I134" s="27" t="n"/>
      <c r="J134" s="114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91" t="n"/>
      <c r="W134" s="91" t="n"/>
      <c r="X134" s="91" t="n"/>
      <c r="Y134" s="91" t="n"/>
      <c r="Z134" s="91" t="n"/>
      <c r="AA134" s="91" t="n"/>
      <c r="AB134" s="91" t="n"/>
      <c r="AC134" s="91" t="n"/>
      <c r="AD134" s="91" t="n"/>
    </row>
    <row r="135">
      <c r="A135" s="27" t="n"/>
      <c r="B135" s="27" t="n"/>
      <c r="C135" s="113" t="n"/>
      <c r="D135" s="114" t="n"/>
      <c r="E135" s="27" t="n"/>
      <c r="F135" s="114" t="n"/>
      <c r="G135" s="114" t="n"/>
      <c r="H135" s="27" t="n"/>
      <c r="I135" s="27" t="n"/>
      <c r="J135" s="114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91" t="n"/>
      <c r="W135" s="91" t="n"/>
      <c r="X135" s="91" t="n"/>
      <c r="Y135" s="91" t="n"/>
      <c r="Z135" s="91" t="n"/>
      <c r="AA135" s="91" t="n"/>
      <c r="AB135" s="91" t="n"/>
      <c r="AC135" s="91" t="n"/>
      <c r="AD135" s="91" t="n"/>
    </row>
    <row r="136">
      <c r="A136" s="27" t="n"/>
      <c r="B136" s="27" t="n"/>
      <c r="C136" s="113" t="n"/>
      <c r="D136" s="114" t="n"/>
      <c r="E136" s="27" t="n"/>
      <c r="F136" s="114" t="n"/>
      <c r="G136" s="114" t="n"/>
      <c r="H136" s="27" t="n"/>
      <c r="I136" s="27" t="n"/>
      <c r="J136" s="114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91" t="n"/>
      <c r="W136" s="91" t="n"/>
      <c r="X136" s="91" t="n"/>
      <c r="Y136" s="91" t="n"/>
      <c r="Z136" s="91" t="n"/>
      <c r="AA136" s="91" t="n"/>
      <c r="AB136" s="91" t="n"/>
      <c r="AC136" s="91" t="n"/>
      <c r="AD136" s="91" t="n"/>
    </row>
    <row r="137">
      <c r="A137" s="27" t="n"/>
      <c r="B137" s="27" t="n"/>
      <c r="C137" s="113" t="n"/>
      <c r="D137" s="114" t="n"/>
      <c r="E137" s="27" t="n"/>
      <c r="F137" s="114" t="n"/>
      <c r="G137" s="114" t="n"/>
      <c r="H137" s="27" t="n"/>
      <c r="I137" s="27" t="n"/>
      <c r="J137" s="114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91" t="n"/>
      <c r="W137" s="91" t="n"/>
      <c r="X137" s="91" t="n"/>
      <c r="Y137" s="91" t="n"/>
      <c r="Z137" s="91" t="n"/>
      <c r="AA137" s="91" t="n"/>
      <c r="AB137" s="91" t="n"/>
      <c r="AC137" s="91" t="n"/>
      <c r="AD137" s="91" t="n"/>
    </row>
    <row r="138">
      <c r="A138" s="27" t="n"/>
      <c r="B138" s="27" t="n"/>
      <c r="C138" s="113" t="n"/>
      <c r="D138" s="114" t="n"/>
      <c r="E138" s="27" t="n"/>
      <c r="F138" s="114" t="n"/>
      <c r="G138" s="114" t="n"/>
      <c r="H138" s="27" t="n"/>
      <c r="I138" s="27" t="n"/>
      <c r="J138" s="114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91" t="n"/>
      <c r="W138" s="91" t="n"/>
      <c r="X138" s="91" t="n"/>
      <c r="Y138" s="91" t="n"/>
      <c r="Z138" s="91" t="n"/>
      <c r="AA138" s="91" t="n"/>
      <c r="AB138" s="91" t="n"/>
      <c r="AC138" s="91" t="n"/>
      <c r="AD138" s="91" t="n"/>
    </row>
    <row r="139">
      <c r="A139" s="27" t="n"/>
      <c r="B139" s="27" t="n"/>
      <c r="C139" s="113" t="n"/>
      <c r="D139" s="114" t="n"/>
      <c r="E139" s="27" t="n"/>
      <c r="F139" s="114" t="n"/>
      <c r="G139" s="114" t="n"/>
      <c r="H139" s="27" t="n"/>
      <c r="I139" s="27" t="n"/>
      <c r="J139" s="114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91" t="n"/>
      <c r="W139" s="91" t="n"/>
      <c r="X139" s="91" t="n"/>
      <c r="Y139" s="91" t="n"/>
      <c r="Z139" s="91" t="n"/>
      <c r="AA139" s="91" t="n"/>
      <c r="AB139" s="91" t="n"/>
      <c r="AC139" s="91" t="n"/>
      <c r="AD139" s="91" t="n"/>
    </row>
    <row r="140">
      <c r="A140" s="27" t="n"/>
      <c r="B140" s="27" t="n"/>
      <c r="C140" s="113" t="n"/>
      <c r="D140" s="114" t="n"/>
      <c r="E140" s="27" t="n"/>
      <c r="F140" s="114" t="n"/>
      <c r="G140" s="114" t="n"/>
      <c r="H140" s="27" t="n"/>
      <c r="I140" s="27" t="n"/>
      <c r="J140" s="114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91" t="n"/>
      <c r="W140" s="91" t="n"/>
      <c r="X140" s="91" t="n"/>
      <c r="Y140" s="91" t="n"/>
      <c r="Z140" s="91" t="n"/>
      <c r="AA140" s="91" t="n"/>
      <c r="AB140" s="91" t="n"/>
      <c r="AC140" s="91" t="n"/>
      <c r="AD140" s="91" t="n"/>
    </row>
    <row r="141">
      <c r="A141" s="27" t="n"/>
      <c r="B141" s="27" t="n"/>
      <c r="C141" s="113" t="n"/>
      <c r="D141" s="114" t="n"/>
      <c r="E141" s="27" t="n"/>
      <c r="F141" s="114" t="n"/>
      <c r="G141" s="114" t="n"/>
      <c r="H141" s="27" t="n"/>
      <c r="I141" s="27" t="n"/>
      <c r="J141" s="114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91" t="n"/>
      <c r="W141" s="91" t="n"/>
      <c r="X141" s="91" t="n"/>
      <c r="Y141" s="91" t="n"/>
      <c r="Z141" s="91" t="n"/>
      <c r="AA141" s="91" t="n"/>
      <c r="AB141" s="91" t="n"/>
      <c r="AC141" s="91" t="n"/>
      <c r="AD141" s="91" t="n"/>
    </row>
    <row r="142">
      <c r="A142" s="27" t="n"/>
      <c r="B142" s="27" t="n"/>
      <c r="C142" s="113" t="n"/>
      <c r="D142" s="114" t="n"/>
      <c r="E142" s="27" t="n"/>
      <c r="F142" s="114" t="n"/>
      <c r="G142" s="114" t="n"/>
      <c r="H142" s="27" t="n"/>
      <c r="I142" s="27" t="n"/>
      <c r="J142" s="114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91" t="n"/>
      <c r="W142" s="91" t="n"/>
      <c r="X142" s="91" t="n"/>
      <c r="Y142" s="91" t="n"/>
      <c r="Z142" s="91" t="n"/>
      <c r="AA142" s="91" t="n"/>
      <c r="AB142" s="91" t="n"/>
      <c r="AC142" s="91" t="n"/>
      <c r="AD142" s="91" t="n"/>
    </row>
    <row r="143">
      <c r="A143" s="27" t="n"/>
      <c r="B143" s="27" t="n"/>
      <c r="C143" s="113" t="n"/>
      <c r="D143" s="114" t="n"/>
      <c r="E143" s="27" t="n"/>
      <c r="F143" s="114" t="n"/>
      <c r="G143" s="114" t="n"/>
      <c r="H143" s="27" t="n"/>
      <c r="I143" s="27" t="n"/>
      <c r="J143" s="114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91" t="n"/>
      <c r="W143" s="91" t="n"/>
      <c r="X143" s="91" t="n"/>
      <c r="Y143" s="91" t="n"/>
      <c r="Z143" s="91" t="n"/>
      <c r="AA143" s="91" t="n"/>
      <c r="AB143" s="91" t="n"/>
      <c r="AC143" s="91" t="n"/>
      <c r="AD143" s="91" t="n"/>
    </row>
    <row r="144">
      <c r="A144" s="27" t="n"/>
      <c r="B144" s="27" t="n"/>
      <c r="C144" s="113" t="n"/>
      <c r="D144" s="114" t="n"/>
      <c r="E144" s="27" t="n"/>
      <c r="F144" s="114" t="n"/>
      <c r="G144" s="114" t="n"/>
      <c r="H144" s="27" t="n"/>
      <c r="I144" s="27" t="n"/>
      <c r="J144" s="114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91" t="n"/>
      <c r="W144" s="91" t="n"/>
      <c r="X144" s="91" t="n"/>
      <c r="Y144" s="91" t="n"/>
      <c r="Z144" s="91" t="n"/>
      <c r="AA144" s="91" t="n"/>
      <c r="AB144" s="91" t="n"/>
      <c r="AC144" s="91" t="n"/>
      <c r="AD144" s="91" t="n"/>
    </row>
    <row r="145">
      <c r="A145" s="27" t="n"/>
      <c r="B145" s="27" t="n"/>
      <c r="C145" s="113" t="n"/>
      <c r="D145" s="114" t="n"/>
      <c r="E145" s="27" t="n"/>
      <c r="F145" s="114" t="n"/>
      <c r="G145" s="114" t="n"/>
      <c r="H145" s="27" t="n"/>
      <c r="I145" s="27" t="n"/>
      <c r="J145" s="114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91" t="n"/>
      <c r="W145" s="91" t="n"/>
      <c r="X145" s="91" t="n"/>
      <c r="Y145" s="91" t="n"/>
      <c r="Z145" s="91" t="n"/>
      <c r="AA145" s="91" t="n"/>
      <c r="AB145" s="91" t="n"/>
      <c r="AC145" s="91" t="n"/>
      <c r="AD145" s="91" t="n"/>
    </row>
    <row r="146">
      <c r="A146" s="27" t="n"/>
      <c r="B146" s="27" t="n"/>
      <c r="C146" s="113" t="n"/>
      <c r="D146" s="114" t="n"/>
      <c r="E146" s="27" t="n"/>
      <c r="F146" s="114" t="n"/>
      <c r="G146" s="114" t="n"/>
      <c r="H146" s="27" t="n"/>
      <c r="I146" s="27" t="n"/>
      <c r="J146" s="114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91" t="n"/>
      <c r="W146" s="91" t="n"/>
      <c r="X146" s="91" t="n"/>
      <c r="Y146" s="91" t="n"/>
      <c r="Z146" s="91" t="n"/>
      <c r="AA146" s="91" t="n"/>
      <c r="AB146" s="91" t="n"/>
      <c r="AC146" s="91" t="n"/>
      <c r="AD146" s="91" t="n"/>
    </row>
    <row r="147">
      <c r="A147" s="27" t="n"/>
      <c r="B147" s="27" t="n"/>
      <c r="C147" s="113" t="n"/>
      <c r="D147" s="114" t="n"/>
      <c r="E147" s="27" t="n"/>
      <c r="F147" s="114" t="n"/>
      <c r="G147" s="114" t="n"/>
      <c r="H147" s="27" t="n"/>
      <c r="I147" s="27" t="n"/>
      <c r="J147" s="114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91" t="n"/>
      <c r="W147" s="91" t="n"/>
      <c r="X147" s="91" t="n"/>
      <c r="Y147" s="91" t="n"/>
      <c r="Z147" s="91" t="n"/>
      <c r="AA147" s="91" t="n"/>
      <c r="AB147" s="91" t="n"/>
      <c r="AC147" s="91" t="n"/>
      <c r="AD147" s="91" t="n"/>
    </row>
    <row r="148">
      <c r="A148" s="27" t="n"/>
      <c r="B148" s="27" t="n"/>
      <c r="C148" s="113" t="n"/>
      <c r="D148" s="114" t="n"/>
      <c r="E148" s="27" t="n"/>
      <c r="F148" s="114" t="n"/>
      <c r="G148" s="114" t="n"/>
      <c r="H148" s="27" t="n"/>
      <c r="I148" s="27" t="n"/>
      <c r="J148" s="114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91" t="n"/>
      <c r="W148" s="91" t="n"/>
      <c r="X148" s="91" t="n"/>
      <c r="Y148" s="91" t="n"/>
      <c r="Z148" s="91" t="n"/>
      <c r="AA148" s="91" t="n"/>
      <c r="AB148" s="91" t="n"/>
      <c r="AC148" s="91" t="n"/>
      <c r="AD148" s="91" t="n"/>
    </row>
    <row r="149">
      <c r="A149" s="27" t="n"/>
      <c r="B149" s="27" t="n"/>
      <c r="C149" s="113" t="n"/>
      <c r="D149" s="114" t="n"/>
      <c r="E149" s="27" t="n"/>
      <c r="F149" s="114" t="n"/>
      <c r="G149" s="114" t="n"/>
      <c r="H149" s="27" t="n"/>
      <c r="I149" s="27" t="n"/>
      <c r="J149" s="114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91" t="n"/>
      <c r="W149" s="91" t="n"/>
      <c r="X149" s="91" t="n"/>
      <c r="Y149" s="91" t="n"/>
      <c r="Z149" s="91" t="n"/>
      <c r="AA149" s="91" t="n"/>
      <c r="AB149" s="91" t="n"/>
      <c r="AC149" s="91" t="n"/>
      <c r="AD149" s="91" t="n"/>
    </row>
    <row r="150">
      <c r="A150" s="27" t="n"/>
      <c r="B150" s="27" t="n"/>
      <c r="C150" s="113" t="n"/>
      <c r="D150" s="114" t="n"/>
      <c r="E150" s="27" t="n"/>
      <c r="F150" s="114" t="n"/>
      <c r="G150" s="114" t="n"/>
      <c r="H150" s="27" t="n"/>
      <c r="I150" s="27" t="n"/>
      <c r="J150" s="114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91" t="n"/>
      <c r="W150" s="91" t="n"/>
      <c r="X150" s="91" t="n"/>
      <c r="Y150" s="91" t="n"/>
      <c r="Z150" s="91" t="n"/>
      <c r="AA150" s="91" t="n"/>
      <c r="AB150" s="91" t="n"/>
      <c r="AC150" s="91" t="n"/>
      <c r="AD150" s="91" t="n"/>
    </row>
    <row r="151">
      <c r="A151" s="27" t="n"/>
      <c r="B151" s="27" t="n"/>
      <c r="C151" s="113" t="n"/>
      <c r="D151" s="114" t="n"/>
      <c r="E151" s="27" t="n"/>
      <c r="F151" s="114" t="n"/>
      <c r="G151" s="114" t="n"/>
      <c r="H151" s="27" t="n"/>
      <c r="I151" s="27" t="n"/>
      <c r="J151" s="114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91" t="n"/>
      <c r="W151" s="91" t="n"/>
      <c r="X151" s="91" t="n"/>
      <c r="Y151" s="91" t="n"/>
      <c r="Z151" s="91" t="n"/>
      <c r="AA151" s="91" t="n"/>
      <c r="AB151" s="91" t="n"/>
      <c r="AC151" s="91" t="n"/>
      <c r="AD151" s="91" t="n"/>
    </row>
    <row r="152">
      <c r="A152" s="27" t="n"/>
      <c r="B152" s="27" t="n"/>
      <c r="C152" s="113" t="n"/>
      <c r="D152" s="114" t="n"/>
      <c r="E152" s="27" t="n"/>
      <c r="F152" s="114" t="n"/>
      <c r="G152" s="114" t="n"/>
      <c r="H152" s="27" t="n"/>
      <c r="I152" s="27" t="n"/>
      <c r="J152" s="114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91" t="n"/>
      <c r="W152" s="91" t="n"/>
      <c r="X152" s="91" t="n"/>
      <c r="Y152" s="91" t="n"/>
      <c r="Z152" s="91" t="n"/>
      <c r="AA152" s="91" t="n"/>
      <c r="AB152" s="91" t="n"/>
      <c r="AC152" s="91" t="n"/>
      <c r="AD152" s="91" t="n"/>
    </row>
    <row r="153">
      <c r="A153" s="27" t="n"/>
      <c r="B153" s="27" t="n"/>
      <c r="C153" s="113" t="n"/>
      <c r="D153" s="114" t="n"/>
      <c r="E153" s="27" t="n"/>
      <c r="F153" s="114" t="n"/>
      <c r="G153" s="114" t="n"/>
      <c r="H153" s="27" t="n"/>
      <c r="I153" s="27" t="n"/>
      <c r="J153" s="114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91" t="n"/>
      <c r="W153" s="91" t="n"/>
      <c r="X153" s="91" t="n"/>
      <c r="Y153" s="91" t="n"/>
      <c r="Z153" s="91" t="n"/>
      <c r="AA153" s="91" t="n"/>
      <c r="AB153" s="91" t="n"/>
      <c r="AC153" s="91" t="n"/>
      <c r="AD153" s="91" t="n"/>
    </row>
    <row r="154">
      <c r="A154" s="27" t="n"/>
      <c r="B154" s="27" t="n"/>
      <c r="C154" s="113" t="n"/>
      <c r="D154" s="114" t="n"/>
      <c r="E154" s="27" t="n"/>
      <c r="F154" s="114" t="n"/>
      <c r="G154" s="114" t="n"/>
      <c r="H154" s="27" t="n"/>
      <c r="I154" s="27" t="n"/>
      <c r="J154" s="114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91" t="n"/>
      <c r="W154" s="91" t="n"/>
      <c r="X154" s="91" t="n"/>
      <c r="Y154" s="91" t="n"/>
      <c r="Z154" s="91" t="n"/>
      <c r="AA154" s="91" t="n"/>
      <c r="AB154" s="91" t="n"/>
      <c r="AC154" s="91" t="n"/>
      <c r="AD154" s="91" t="n"/>
    </row>
    <row r="155">
      <c r="A155" s="27" t="n"/>
      <c r="B155" s="27" t="n"/>
      <c r="C155" s="113" t="n"/>
      <c r="D155" s="114" t="n"/>
      <c r="E155" s="27" t="n"/>
      <c r="F155" s="114" t="n"/>
      <c r="G155" s="114" t="n"/>
      <c r="H155" s="27" t="n"/>
      <c r="I155" s="27" t="n"/>
      <c r="J155" s="114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91" t="n"/>
      <c r="W155" s="91" t="n"/>
      <c r="X155" s="91" t="n"/>
      <c r="Y155" s="91" t="n"/>
      <c r="Z155" s="91" t="n"/>
      <c r="AA155" s="91" t="n"/>
      <c r="AB155" s="91" t="n"/>
      <c r="AC155" s="91" t="n"/>
      <c r="AD155" s="91" t="n"/>
    </row>
    <row r="156">
      <c r="A156" s="27" t="n"/>
      <c r="B156" s="27" t="n"/>
      <c r="C156" s="113" t="n"/>
      <c r="D156" s="114" t="n"/>
      <c r="E156" s="27" t="n"/>
      <c r="F156" s="114" t="n"/>
      <c r="G156" s="114" t="n"/>
      <c r="H156" s="27" t="n"/>
      <c r="I156" s="27" t="n"/>
      <c r="J156" s="114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91" t="n"/>
      <c r="W156" s="91" t="n"/>
      <c r="X156" s="91" t="n"/>
      <c r="Y156" s="91" t="n"/>
      <c r="Z156" s="91" t="n"/>
      <c r="AA156" s="91" t="n"/>
      <c r="AB156" s="91" t="n"/>
      <c r="AC156" s="91" t="n"/>
      <c r="AD156" s="91" t="n"/>
    </row>
    <row r="157">
      <c r="A157" s="27" t="n"/>
      <c r="B157" s="27" t="n"/>
      <c r="C157" s="113" t="n"/>
      <c r="D157" s="114" t="n"/>
      <c r="E157" s="27" t="n"/>
      <c r="F157" s="114" t="n"/>
      <c r="G157" s="114" t="n"/>
      <c r="H157" s="27" t="n"/>
      <c r="I157" s="27" t="n"/>
      <c r="J157" s="114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91" t="n"/>
      <c r="W157" s="91" t="n"/>
      <c r="X157" s="91" t="n"/>
      <c r="Y157" s="91" t="n"/>
      <c r="Z157" s="91" t="n"/>
      <c r="AA157" s="91" t="n"/>
      <c r="AB157" s="91" t="n"/>
      <c r="AC157" s="91" t="n"/>
      <c r="AD157" s="91" t="n"/>
    </row>
    <row r="158">
      <c r="A158" s="27" t="n"/>
      <c r="B158" s="27" t="n"/>
      <c r="C158" s="113" t="n"/>
      <c r="D158" s="114" t="n"/>
      <c r="E158" s="27" t="n"/>
      <c r="F158" s="114" t="n"/>
      <c r="G158" s="114" t="n"/>
      <c r="H158" s="27" t="n"/>
      <c r="I158" s="27" t="n"/>
      <c r="J158" s="114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91" t="n"/>
      <c r="W158" s="91" t="n"/>
      <c r="X158" s="91" t="n"/>
      <c r="Y158" s="91" t="n"/>
      <c r="Z158" s="91" t="n"/>
      <c r="AA158" s="91" t="n"/>
      <c r="AB158" s="91" t="n"/>
      <c r="AC158" s="91" t="n"/>
      <c r="AD158" s="91" t="n"/>
    </row>
    <row r="159">
      <c r="A159" s="27" t="n"/>
      <c r="B159" s="27" t="n"/>
      <c r="C159" s="113" t="n"/>
      <c r="D159" s="114" t="n"/>
      <c r="E159" s="27" t="n"/>
      <c r="F159" s="114" t="n"/>
      <c r="G159" s="114" t="n"/>
      <c r="H159" s="27" t="n"/>
      <c r="I159" s="27" t="n"/>
      <c r="J159" s="114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91" t="n"/>
      <c r="W159" s="91" t="n"/>
      <c r="X159" s="91" t="n"/>
      <c r="Y159" s="91" t="n"/>
      <c r="Z159" s="91" t="n"/>
      <c r="AA159" s="91" t="n"/>
      <c r="AB159" s="91" t="n"/>
      <c r="AC159" s="91" t="n"/>
      <c r="AD159" s="91" t="n"/>
    </row>
    <row r="160">
      <c r="A160" s="27" t="n"/>
      <c r="B160" s="27" t="n"/>
      <c r="C160" s="113" t="n"/>
      <c r="D160" s="114" t="n"/>
      <c r="E160" s="27" t="n"/>
      <c r="F160" s="114" t="n"/>
      <c r="G160" s="114" t="n"/>
      <c r="H160" s="27" t="n"/>
      <c r="I160" s="27" t="n"/>
      <c r="J160" s="114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91" t="n"/>
      <c r="W160" s="91" t="n"/>
      <c r="X160" s="91" t="n"/>
      <c r="Y160" s="91" t="n"/>
      <c r="Z160" s="91" t="n"/>
      <c r="AA160" s="91" t="n"/>
      <c r="AB160" s="91" t="n"/>
      <c r="AC160" s="91" t="n"/>
      <c r="AD160" s="91" t="n"/>
    </row>
    <row r="161">
      <c r="A161" s="27" t="n"/>
      <c r="B161" s="27" t="n"/>
      <c r="C161" s="113" t="n"/>
      <c r="D161" s="114" t="n"/>
      <c r="E161" s="27" t="n"/>
      <c r="F161" s="114" t="n"/>
      <c r="G161" s="114" t="n"/>
      <c r="H161" s="27" t="n"/>
      <c r="I161" s="27" t="n"/>
      <c r="J161" s="114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91" t="n"/>
      <c r="W161" s="91" t="n"/>
      <c r="X161" s="91" t="n"/>
      <c r="Y161" s="91" t="n"/>
      <c r="Z161" s="91" t="n"/>
      <c r="AA161" s="91" t="n"/>
      <c r="AB161" s="91" t="n"/>
      <c r="AC161" s="91" t="n"/>
      <c r="AD161" s="91" t="n"/>
    </row>
    <row r="162">
      <c r="A162" s="27" t="n"/>
      <c r="B162" s="27" t="n"/>
      <c r="C162" s="113" t="n"/>
      <c r="D162" s="114" t="n"/>
      <c r="E162" s="27" t="n"/>
      <c r="F162" s="114" t="n"/>
      <c r="G162" s="114" t="n"/>
      <c r="H162" s="27" t="n"/>
      <c r="I162" s="27" t="n"/>
      <c r="J162" s="114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91" t="n"/>
      <c r="W162" s="91" t="n"/>
      <c r="X162" s="91" t="n"/>
      <c r="Y162" s="91" t="n"/>
      <c r="Z162" s="91" t="n"/>
      <c r="AA162" s="91" t="n"/>
      <c r="AB162" s="91" t="n"/>
      <c r="AC162" s="91" t="n"/>
      <c r="AD162" s="91" t="n"/>
    </row>
    <row r="163">
      <c r="A163" s="27" t="n"/>
      <c r="B163" s="27" t="n"/>
      <c r="C163" s="113" t="n"/>
      <c r="D163" s="114" t="n"/>
      <c r="E163" s="27" t="n"/>
      <c r="F163" s="114" t="n"/>
      <c r="G163" s="114" t="n"/>
      <c r="H163" s="27" t="n"/>
      <c r="I163" s="27" t="n"/>
      <c r="J163" s="114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91" t="n"/>
      <c r="W163" s="91" t="n"/>
      <c r="X163" s="91" t="n"/>
      <c r="Y163" s="91" t="n"/>
      <c r="Z163" s="91" t="n"/>
      <c r="AA163" s="91" t="n"/>
      <c r="AB163" s="91" t="n"/>
      <c r="AC163" s="91" t="n"/>
      <c r="AD163" s="91" t="n"/>
    </row>
    <row r="164">
      <c r="A164" s="27" t="n"/>
      <c r="B164" s="27" t="n"/>
      <c r="C164" s="113" t="n"/>
      <c r="D164" s="114" t="n"/>
      <c r="E164" s="27" t="n"/>
      <c r="F164" s="114" t="n"/>
      <c r="G164" s="114" t="n"/>
      <c r="H164" s="27" t="n"/>
      <c r="I164" s="27" t="n"/>
      <c r="J164" s="114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91" t="n"/>
      <c r="W164" s="91" t="n"/>
      <c r="X164" s="91" t="n"/>
      <c r="Y164" s="91" t="n"/>
      <c r="Z164" s="91" t="n"/>
      <c r="AA164" s="91" t="n"/>
      <c r="AB164" s="91" t="n"/>
      <c r="AC164" s="91" t="n"/>
      <c r="AD164" s="91" t="n"/>
    </row>
    <row r="165">
      <c r="A165" s="27" t="n"/>
      <c r="B165" s="27" t="n"/>
      <c r="C165" s="113" t="n"/>
      <c r="D165" s="114" t="n"/>
      <c r="E165" s="27" t="n"/>
      <c r="F165" s="114" t="n"/>
      <c r="G165" s="114" t="n"/>
      <c r="H165" s="27" t="n"/>
      <c r="I165" s="27" t="n"/>
      <c r="J165" s="114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91" t="n"/>
      <c r="W165" s="91" t="n"/>
      <c r="X165" s="91" t="n"/>
      <c r="Y165" s="91" t="n"/>
      <c r="Z165" s="91" t="n"/>
      <c r="AA165" s="91" t="n"/>
      <c r="AB165" s="91" t="n"/>
      <c r="AC165" s="91" t="n"/>
      <c r="AD165" s="91" t="n"/>
    </row>
    <row r="166">
      <c r="A166" s="27" t="n"/>
      <c r="B166" s="27" t="n"/>
      <c r="C166" s="113" t="n"/>
      <c r="D166" s="114" t="n"/>
      <c r="E166" s="27" t="n"/>
      <c r="F166" s="114" t="n"/>
      <c r="G166" s="114" t="n"/>
      <c r="H166" s="27" t="n"/>
      <c r="I166" s="27" t="n"/>
      <c r="J166" s="114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91" t="n"/>
      <c r="W166" s="91" t="n"/>
      <c r="X166" s="91" t="n"/>
      <c r="Y166" s="91" t="n"/>
      <c r="Z166" s="91" t="n"/>
      <c r="AA166" s="91" t="n"/>
      <c r="AB166" s="91" t="n"/>
      <c r="AC166" s="91" t="n"/>
      <c r="AD166" s="91" t="n"/>
    </row>
    <row r="167">
      <c r="A167" s="27" t="n"/>
      <c r="B167" s="27" t="n"/>
      <c r="C167" s="113" t="n"/>
      <c r="D167" s="114" t="n"/>
      <c r="E167" s="27" t="n"/>
      <c r="F167" s="114" t="n"/>
      <c r="G167" s="114" t="n"/>
      <c r="H167" s="27" t="n"/>
      <c r="I167" s="27" t="n"/>
      <c r="J167" s="114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91" t="n"/>
      <c r="W167" s="91" t="n"/>
      <c r="X167" s="91" t="n"/>
      <c r="Y167" s="91" t="n"/>
      <c r="Z167" s="91" t="n"/>
      <c r="AA167" s="91" t="n"/>
      <c r="AB167" s="91" t="n"/>
      <c r="AC167" s="91" t="n"/>
      <c r="AD167" s="91" t="n"/>
    </row>
    <row r="168">
      <c r="A168" s="27" t="n"/>
      <c r="B168" s="27" t="n"/>
      <c r="C168" s="113" t="n"/>
      <c r="D168" s="114" t="n"/>
      <c r="E168" s="27" t="n"/>
      <c r="F168" s="114" t="n"/>
      <c r="G168" s="114" t="n"/>
      <c r="H168" s="27" t="n"/>
      <c r="I168" s="27" t="n"/>
      <c r="J168" s="114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91" t="n"/>
      <c r="W168" s="91" t="n"/>
      <c r="X168" s="91" t="n"/>
      <c r="Y168" s="91" t="n"/>
      <c r="Z168" s="91" t="n"/>
      <c r="AA168" s="91" t="n"/>
      <c r="AB168" s="91" t="n"/>
      <c r="AC168" s="91" t="n"/>
      <c r="AD168" s="91" t="n"/>
    </row>
    <row r="169">
      <c r="A169" s="27" t="n"/>
      <c r="B169" s="27" t="n"/>
      <c r="C169" s="113" t="n"/>
      <c r="D169" s="114" t="n"/>
      <c r="E169" s="27" t="n"/>
      <c r="F169" s="114" t="n"/>
      <c r="G169" s="114" t="n"/>
      <c r="H169" s="27" t="n"/>
      <c r="I169" s="27" t="n"/>
      <c r="J169" s="114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91" t="n"/>
      <c r="W169" s="91" t="n"/>
      <c r="X169" s="91" t="n"/>
      <c r="Y169" s="91" t="n"/>
      <c r="Z169" s="91" t="n"/>
      <c r="AA169" s="91" t="n"/>
      <c r="AB169" s="91" t="n"/>
      <c r="AC169" s="91" t="n"/>
      <c r="AD169" s="91" t="n"/>
    </row>
    <row r="170">
      <c r="A170" s="27" t="n"/>
      <c r="B170" s="27" t="n"/>
      <c r="C170" s="113" t="n"/>
      <c r="D170" s="114" t="n"/>
      <c r="E170" s="27" t="n"/>
      <c r="F170" s="114" t="n"/>
      <c r="G170" s="114" t="n"/>
      <c r="H170" s="27" t="n"/>
      <c r="I170" s="27" t="n"/>
      <c r="J170" s="114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91" t="n"/>
      <c r="W170" s="91" t="n"/>
      <c r="X170" s="91" t="n"/>
      <c r="Y170" s="91" t="n"/>
      <c r="Z170" s="91" t="n"/>
      <c r="AA170" s="91" t="n"/>
      <c r="AB170" s="91" t="n"/>
      <c r="AC170" s="91" t="n"/>
      <c r="AD170" s="91" t="n"/>
    </row>
    <row r="171">
      <c r="A171" s="27" t="n"/>
      <c r="B171" s="27" t="n"/>
      <c r="C171" s="113" t="n"/>
      <c r="D171" s="114" t="n"/>
      <c r="E171" s="27" t="n"/>
      <c r="F171" s="114" t="n"/>
      <c r="G171" s="114" t="n"/>
      <c r="H171" s="27" t="n"/>
      <c r="I171" s="27" t="n"/>
      <c r="J171" s="114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91" t="n"/>
      <c r="W171" s="91" t="n"/>
      <c r="X171" s="91" t="n"/>
      <c r="Y171" s="91" t="n"/>
      <c r="Z171" s="91" t="n"/>
      <c r="AA171" s="91" t="n"/>
      <c r="AB171" s="91" t="n"/>
      <c r="AC171" s="91" t="n"/>
      <c r="AD171" s="91" t="n"/>
    </row>
    <row r="172">
      <c r="A172" s="27" t="n"/>
      <c r="B172" s="27" t="n"/>
      <c r="C172" s="113" t="n"/>
      <c r="D172" s="114" t="n"/>
      <c r="E172" s="27" t="n"/>
      <c r="F172" s="114" t="n"/>
      <c r="G172" s="114" t="n"/>
      <c r="H172" s="27" t="n"/>
      <c r="I172" s="27" t="n"/>
      <c r="J172" s="114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91" t="n"/>
      <c r="W172" s="91" t="n"/>
      <c r="X172" s="91" t="n"/>
      <c r="Y172" s="91" t="n"/>
      <c r="Z172" s="91" t="n"/>
      <c r="AA172" s="91" t="n"/>
      <c r="AB172" s="91" t="n"/>
      <c r="AC172" s="91" t="n"/>
      <c r="AD172" s="91" t="n"/>
    </row>
    <row r="173">
      <c r="A173" s="27" t="n"/>
      <c r="B173" s="27" t="n"/>
      <c r="C173" s="113" t="n"/>
      <c r="D173" s="114" t="n"/>
      <c r="E173" s="27" t="n"/>
      <c r="F173" s="114" t="n"/>
      <c r="G173" s="114" t="n"/>
      <c r="H173" s="27" t="n"/>
      <c r="I173" s="27" t="n"/>
      <c r="J173" s="114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91" t="n"/>
      <c r="W173" s="91" t="n"/>
      <c r="X173" s="91" t="n"/>
      <c r="Y173" s="91" t="n"/>
      <c r="Z173" s="91" t="n"/>
      <c r="AA173" s="91" t="n"/>
      <c r="AB173" s="91" t="n"/>
      <c r="AC173" s="91" t="n"/>
      <c r="AD173" s="91" t="n"/>
    </row>
    <row r="174">
      <c r="A174" s="27" t="n"/>
      <c r="B174" s="27" t="n"/>
      <c r="C174" s="113" t="n"/>
      <c r="D174" s="114" t="n"/>
      <c r="E174" s="27" t="n"/>
      <c r="F174" s="114" t="n"/>
      <c r="G174" s="114" t="n"/>
      <c r="H174" s="27" t="n"/>
      <c r="I174" s="27" t="n"/>
      <c r="J174" s="114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91" t="n"/>
      <c r="W174" s="91" t="n"/>
      <c r="X174" s="91" t="n"/>
      <c r="Y174" s="91" t="n"/>
      <c r="Z174" s="91" t="n"/>
      <c r="AA174" s="91" t="n"/>
      <c r="AB174" s="91" t="n"/>
      <c r="AC174" s="91" t="n"/>
      <c r="AD174" s="91" t="n"/>
    </row>
    <row r="175">
      <c r="A175" s="27" t="n"/>
      <c r="B175" s="27" t="n"/>
      <c r="C175" s="113" t="n"/>
      <c r="D175" s="114" t="n"/>
      <c r="E175" s="27" t="n"/>
      <c r="F175" s="114" t="n"/>
      <c r="G175" s="114" t="n"/>
      <c r="H175" s="27" t="n"/>
      <c r="I175" s="27" t="n"/>
      <c r="J175" s="114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91" t="n"/>
      <c r="W175" s="91" t="n"/>
      <c r="X175" s="91" t="n"/>
      <c r="Y175" s="91" t="n"/>
      <c r="Z175" s="91" t="n"/>
      <c r="AA175" s="91" t="n"/>
      <c r="AB175" s="91" t="n"/>
      <c r="AC175" s="91" t="n"/>
      <c r="AD175" s="91" t="n"/>
    </row>
    <row r="176">
      <c r="A176" s="27" t="n"/>
      <c r="B176" s="27" t="n"/>
      <c r="C176" s="113" t="n"/>
      <c r="D176" s="114" t="n"/>
      <c r="E176" s="27" t="n"/>
      <c r="F176" s="114" t="n"/>
      <c r="G176" s="114" t="n"/>
      <c r="H176" s="27" t="n"/>
      <c r="I176" s="27" t="n"/>
      <c r="J176" s="114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91" t="n"/>
      <c r="W176" s="91" t="n"/>
      <c r="X176" s="91" t="n"/>
      <c r="Y176" s="91" t="n"/>
      <c r="Z176" s="91" t="n"/>
      <c r="AA176" s="91" t="n"/>
      <c r="AB176" s="91" t="n"/>
      <c r="AC176" s="91" t="n"/>
      <c r="AD176" s="91" t="n"/>
    </row>
    <row r="177">
      <c r="A177" s="27" t="n"/>
      <c r="B177" s="27" t="n"/>
      <c r="C177" s="113" t="n"/>
      <c r="D177" s="114" t="n"/>
      <c r="E177" s="27" t="n"/>
      <c r="F177" s="114" t="n"/>
      <c r="G177" s="114" t="n"/>
      <c r="H177" s="27" t="n"/>
      <c r="I177" s="27" t="n"/>
      <c r="J177" s="114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91" t="n"/>
      <c r="W177" s="91" t="n"/>
      <c r="X177" s="91" t="n"/>
      <c r="Y177" s="91" t="n"/>
      <c r="Z177" s="91" t="n"/>
      <c r="AA177" s="91" t="n"/>
      <c r="AB177" s="91" t="n"/>
      <c r="AC177" s="91" t="n"/>
      <c r="AD177" s="91" t="n"/>
    </row>
    <row r="178">
      <c r="A178" s="27" t="n"/>
      <c r="B178" s="27" t="n"/>
      <c r="C178" s="113" t="n"/>
      <c r="D178" s="114" t="n"/>
      <c r="E178" s="27" t="n"/>
      <c r="F178" s="114" t="n"/>
      <c r="G178" s="114" t="n"/>
      <c r="H178" s="27" t="n"/>
      <c r="I178" s="27" t="n"/>
      <c r="J178" s="114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91" t="n"/>
      <c r="W178" s="91" t="n"/>
      <c r="X178" s="91" t="n"/>
      <c r="Y178" s="91" t="n"/>
      <c r="Z178" s="91" t="n"/>
      <c r="AA178" s="91" t="n"/>
      <c r="AB178" s="91" t="n"/>
      <c r="AC178" s="91" t="n"/>
      <c r="AD178" s="91" t="n"/>
    </row>
    <row r="179">
      <c r="A179" s="27" t="n"/>
      <c r="B179" s="27" t="n"/>
      <c r="C179" s="113" t="n"/>
      <c r="D179" s="114" t="n"/>
      <c r="E179" s="27" t="n"/>
      <c r="F179" s="114" t="n"/>
      <c r="G179" s="114" t="n"/>
      <c r="H179" s="27" t="n"/>
      <c r="I179" s="27" t="n"/>
      <c r="J179" s="114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91" t="n"/>
      <c r="W179" s="91" t="n"/>
      <c r="X179" s="91" t="n"/>
      <c r="Y179" s="91" t="n"/>
      <c r="Z179" s="91" t="n"/>
      <c r="AA179" s="91" t="n"/>
      <c r="AB179" s="91" t="n"/>
      <c r="AC179" s="91" t="n"/>
      <c r="AD179" s="91" t="n"/>
    </row>
    <row r="180">
      <c r="A180" s="27" t="n"/>
      <c r="B180" s="27" t="n"/>
      <c r="C180" s="113" t="n"/>
      <c r="D180" s="114" t="n"/>
      <c r="E180" s="27" t="n"/>
      <c r="F180" s="114" t="n"/>
      <c r="G180" s="114" t="n"/>
      <c r="H180" s="27" t="n"/>
      <c r="I180" s="27" t="n"/>
      <c r="J180" s="114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91" t="n"/>
      <c r="W180" s="91" t="n"/>
      <c r="X180" s="91" t="n"/>
      <c r="Y180" s="91" t="n"/>
      <c r="Z180" s="91" t="n"/>
      <c r="AA180" s="91" t="n"/>
      <c r="AB180" s="91" t="n"/>
      <c r="AC180" s="91" t="n"/>
      <c r="AD180" s="91" t="n"/>
    </row>
    <row r="181">
      <c r="A181" s="27" t="n"/>
      <c r="B181" s="27" t="n"/>
      <c r="C181" s="113" t="n"/>
      <c r="D181" s="114" t="n"/>
      <c r="E181" s="27" t="n"/>
      <c r="F181" s="114" t="n"/>
      <c r="G181" s="114" t="n"/>
      <c r="H181" s="27" t="n"/>
      <c r="I181" s="27" t="n"/>
      <c r="J181" s="114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91" t="n"/>
      <c r="W181" s="91" t="n"/>
      <c r="X181" s="91" t="n"/>
      <c r="Y181" s="91" t="n"/>
      <c r="Z181" s="91" t="n"/>
      <c r="AA181" s="91" t="n"/>
      <c r="AB181" s="91" t="n"/>
      <c r="AC181" s="91" t="n"/>
      <c r="AD181" s="91" t="n"/>
    </row>
    <row r="182">
      <c r="A182" s="27" t="n"/>
      <c r="B182" s="27" t="n"/>
      <c r="C182" s="113" t="n"/>
      <c r="D182" s="114" t="n"/>
      <c r="E182" s="27" t="n"/>
      <c r="F182" s="114" t="n"/>
      <c r="G182" s="114" t="n"/>
      <c r="H182" s="27" t="n"/>
      <c r="I182" s="27" t="n"/>
      <c r="J182" s="114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91" t="n"/>
      <c r="W182" s="91" t="n"/>
      <c r="X182" s="91" t="n"/>
      <c r="Y182" s="91" t="n"/>
      <c r="Z182" s="91" t="n"/>
      <c r="AA182" s="91" t="n"/>
      <c r="AB182" s="91" t="n"/>
      <c r="AC182" s="91" t="n"/>
      <c r="AD182" s="91" t="n"/>
    </row>
    <row r="183">
      <c r="A183" s="27" t="n"/>
      <c r="B183" s="27" t="n"/>
      <c r="C183" s="113" t="n"/>
      <c r="D183" s="114" t="n"/>
      <c r="E183" s="27" t="n"/>
      <c r="F183" s="114" t="n"/>
      <c r="G183" s="114" t="n"/>
      <c r="H183" s="27" t="n"/>
      <c r="I183" s="27" t="n"/>
      <c r="J183" s="114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91" t="n"/>
      <c r="W183" s="91" t="n"/>
      <c r="X183" s="91" t="n"/>
      <c r="Y183" s="91" t="n"/>
      <c r="Z183" s="91" t="n"/>
      <c r="AA183" s="91" t="n"/>
      <c r="AB183" s="91" t="n"/>
      <c r="AC183" s="91" t="n"/>
      <c r="AD183" s="91" t="n"/>
    </row>
    <row r="184">
      <c r="A184" s="27" t="n"/>
      <c r="B184" s="27" t="n"/>
      <c r="C184" s="113" t="n"/>
      <c r="D184" s="114" t="n"/>
      <c r="E184" s="27" t="n"/>
      <c r="F184" s="114" t="n"/>
      <c r="G184" s="114" t="n"/>
      <c r="H184" s="27" t="n"/>
      <c r="I184" s="27" t="n"/>
      <c r="J184" s="114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91" t="n"/>
      <c r="W184" s="91" t="n"/>
      <c r="X184" s="91" t="n"/>
      <c r="Y184" s="91" t="n"/>
      <c r="Z184" s="91" t="n"/>
      <c r="AA184" s="91" t="n"/>
      <c r="AB184" s="91" t="n"/>
      <c r="AC184" s="91" t="n"/>
      <c r="AD184" s="91" t="n"/>
    </row>
    <row r="185">
      <c r="A185" s="27" t="n"/>
      <c r="B185" s="27" t="n"/>
      <c r="C185" s="113" t="n"/>
      <c r="D185" s="114" t="n"/>
      <c r="E185" s="27" t="n"/>
      <c r="F185" s="114" t="n"/>
      <c r="G185" s="114" t="n"/>
      <c r="H185" s="27" t="n"/>
      <c r="I185" s="27" t="n"/>
      <c r="J185" s="114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91" t="n"/>
      <c r="W185" s="91" t="n"/>
      <c r="X185" s="91" t="n"/>
      <c r="Y185" s="91" t="n"/>
      <c r="Z185" s="91" t="n"/>
      <c r="AA185" s="91" t="n"/>
      <c r="AB185" s="91" t="n"/>
      <c r="AC185" s="91" t="n"/>
      <c r="AD185" s="91" t="n"/>
    </row>
    <row r="186">
      <c r="A186" s="27" t="n"/>
      <c r="B186" s="27" t="n"/>
      <c r="C186" s="113" t="n"/>
      <c r="D186" s="114" t="n"/>
      <c r="E186" s="27" t="n"/>
      <c r="F186" s="114" t="n"/>
      <c r="G186" s="114" t="n"/>
      <c r="H186" s="27" t="n"/>
      <c r="I186" s="27" t="n"/>
      <c r="J186" s="114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91" t="n"/>
      <c r="W186" s="91" t="n"/>
      <c r="X186" s="91" t="n"/>
      <c r="Y186" s="91" t="n"/>
      <c r="Z186" s="91" t="n"/>
      <c r="AA186" s="91" t="n"/>
      <c r="AB186" s="91" t="n"/>
      <c r="AC186" s="91" t="n"/>
      <c r="AD186" s="91" t="n"/>
    </row>
    <row r="187">
      <c r="A187" s="27" t="n"/>
      <c r="B187" s="27" t="n"/>
      <c r="C187" s="113" t="n"/>
      <c r="D187" s="114" t="n"/>
      <c r="E187" s="27" t="n"/>
      <c r="F187" s="114" t="n"/>
      <c r="G187" s="114" t="n"/>
      <c r="H187" s="27" t="n"/>
      <c r="I187" s="27" t="n"/>
      <c r="J187" s="114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91" t="n"/>
      <c r="W187" s="91" t="n"/>
      <c r="X187" s="91" t="n"/>
      <c r="Y187" s="91" t="n"/>
      <c r="Z187" s="91" t="n"/>
      <c r="AA187" s="91" t="n"/>
      <c r="AB187" s="91" t="n"/>
      <c r="AC187" s="91" t="n"/>
      <c r="AD187" s="91" t="n"/>
    </row>
    <row r="188">
      <c r="A188" s="27" t="n"/>
      <c r="B188" s="27" t="n"/>
      <c r="C188" s="113" t="n"/>
      <c r="D188" s="114" t="n"/>
      <c r="E188" s="27" t="n"/>
      <c r="F188" s="114" t="n"/>
      <c r="G188" s="114" t="n"/>
      <c r="H188" s="27" t="n"/>
      <c r="I188" s="27" t="n"/>
      <c r="J188" s="114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91" t="n"/>
      <c r="W188" s="91" t="n"/>
      <c r="X188" s="91" t="n"/>
      <c r="Y188" s="91" t="n"/>
      <c r="Z188" s="91" t="n"/>
      <c r="AA188" s="91" t="n"/>
      <c r="AB188" s="91" t="n"/>
      <c r="AC188" s="91" t="n"/>
      <c r="AD188" s="91" t="n"/>
    </row>
    <row r="189">
      <c r="A189" s="27" t="n"/>
      <c r="B189" s="27" t="n"/>
      <c r="C189" s="113" t="n"/>
      <c r="D189" s="114" t="n"/>
      <c r="E189" s="27" t="n"/>
      <c r="F189" s="114" t="n"/>
      <c r="G189" s="114" t="n"/>
      <c r="H189" s="27" t="n"/>
      <c r="I189" s="27" t="n"/>
      <c r="J189" s="114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91" t="n"/>
      <c r="W189" s="91" t="n"/>
      <c r="X189" s="91" t="n"/>
      <c r="Y189" s="91" t="n"/>
      <c r="Z189" s="91" t="n"/>
      <c r="AA189" s="91" t="n"/>
      <c r="AB189" s="91" t="n"/>
      <c r="AC189" s="91" t="n"/>
      <c r="AD189" s="91" t="n"/>
    </row>
    <row r="190">
      <c r="A190" s="27" t="n"/>
      <c r="B190" s="27" t="n"/>
      <c r="C190" s="113" t="n"/>
      <c r="D190" s="114" t="n"/>
      <c r="E190" s="27" t="n"/>
      <c r="F190" s="114" t="n"/>
      <c r="G190" s="114" t="n"/>
      <c r="H190" s="27" t="n"/>
      <c r="I190" s="27" t="n"/>
      <c r="J190" s="114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91" t="n"/>
      <c r="W190" s="91" t="n"/>
      <c r="X190" s="91" t="n"/>
      <c r="Y190" s="91" t="n"/>
      <c r="Z190" s="91" t="n"/>
      <c r="AA190" s="91" t="n"/>
      <c r="AB190" s="91" t="n"/>
      <c r="AC190" s="91" t="n"/>
      <c r="AD190" s="91" t="n"/>
    </row>
    <row r="191">
      <c r="A191" s="27" t="n"/>
      <c r="B191" s="27" t="n"/>
      <c r="C191" s="113" t="n"/>
      <c r="D191" s="114" t="n"/>
      <c r="E191" s="27" t="n"/>
      <c r="F191" s="114" t="n"/>
      <c r="G191" s="114" t="n"/>
      <c r="H191" s="27" t="n"/>
      <c r="I191" s="27" t="n"/>
      <c r="J191" s="114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91" t="n"/>
      <c r="W191" s="91" t="n"/>
      <c r="X191" s="91" t="n"/>
      <c r="Y191" s="91" t="n"/>
      <c r="Z191" s="91" t="n"/>
      <c r="AA191" s="91" t="n"/>
      <c r="AB191" s="91" t="n"/>
      <c r="AC191" s="91" t="n"/>
      <c r="AD191" s="91" t="n"/>
    </row>
    <row r="192">
      <c r="A192" s="27" t="n"/>
      <c r="B192" s="27" t="n"/>
      <c r="C192" s="113" t="n"/>
      <c r="D192" s="114" t="n"/>
      <c r="E192" s="27" t="n"/>
      <c r="F192" s="114" t="n"/>
      <c r="G192" s="114" t="n"/>
      <c r="H192" s="27" t="n"/>
      <c r="I192" s="27" t="n"/>
      <c r="J192" s="114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91" t="n"/>
      <c r="W192" s="91" t="n"/>
      <c r="X192" s="91" t="n"/>
      <c r="Y192" s="91" t="n"/>
      <c r="Z192" s="91" t="n"/>
      <c r="AA192" s="91" t="n"/>
      <c r="AB192" s="91" t="n"/>
      <c r="AC192" s="91" t="n"/>
      <c r="AD192" s="91" t="n"/>
    </row>
    <row r="193">
      <c r="A193" s="27" t="n"/>
      <c r="B193" s="27" t="n"/>
      <c r="C193" s="113" t="n"/>
      <c r="D193" s="114" t="n"/>
      <c r="E193" s="27" t="n"/>
      <c r="F193" s="114" t="n"/>
      <c r="G193" s="114" t="n"/>
      <c r="H193" s="27" t="n"/>
      <c r="I193" s="27" t="n"/>
      <c r="J193" s="114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91" t="n"/>
      <c r="W193" s="91" t="n"/>
      <c r="X193" s="91" t="n"/>
      <c r="Y193" s="91" t="n"/>
      <c r="Z193" s="91" t="n"/>
      <c r="AA193" s="91" t="n"/>
      <c r="AB193" s="91" t="n"/>
      <c r="AC193" s="91" t="n"/>
      <c r="AD193" s="91" t="n"/>
    </row>
    <row r="194">
      <c r="A194" s="27" t="n"/>
      <c r="B194" s="27" t="n"/>
      <c r="C194" s="113" t="n"/>
      <c r="D194" s="114" t="n"/>
      <c r="E194" s="27" t="n"/>
      <c r="F194" s="114" t="n"/>
      <c r="G194" s="114" t="n"/>
      <c r="H194" s="27" t="n"/>
      <c r="I194" s="27" t="n"/>
      <c r="J194" s="114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91" t="n"/>
      <c r="W194" s="91" t="n"/>
      <c r="X194" s="91" t="n"/>
      <c r="Y194" s="91" t="n"/>
      <c r="Z194" s="91" t="n"/>
      <c r="AA194" s="91" t="n"/>
      <c r="AB194" s="91" t="n"/>
      <c r="AC194" s="91" t="n"/>
      <c r="AD194" s="91" t="n"/>
    </row>
    <row r="195">
      <c r="A195" s="27" t="n"/>
      <c r="B195" s="27" t="n"/>
      <c r="C195" s="113" t="n"/>
      <c r="D195" s="114" t="n"/>
      <c r="E195" s="27" t="n"/>
      <c r="F195" s="114" t="n"/>
      <c r="G195" s="114" t="n"/>
      <c r="H195" s="27" t="n"/>
      <c r="I195" s="27" t="n"/>
      <c r="J195" s="114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91" t="n"/>
      <c r="W195" s="91" t="n"/>
      <c r="X195" s="91" t="n"/>
      <c r="Y195" s="91" t="n"/>
      <c r="Z195" s="91" t="n"/>
      <c r="AA195" s="91" t="n"/>
      <c r="AB195" s="91" t="n"/>
      <c r="AC195" s="91" t="n"/>
      <c r="AD195" s="91" t="n"/>
    </row>
    <row r="196">
      <c r="A196" s="27" t="n"/>
      <c r="B196" s="27" t="n"/>
      <c r="C196" s="113" t="n"/>
      <c r="D196" s="114" t="n"/>
      <c r="E196" s="27" t="n"/>
      <c r="F196" s="114" t="n"/>
      <c r="G196" s="114" t="n"/>
      <c r="H196" s="27" t="n"/>
      <c r="I196" s="27" t="n"/>
      <c r="J196" s="114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91" t="n"/>
      <c r="W196" s="91" t="n"/>
      <c r="X196" s="91" t="n"/>
      <c r="Y196" s="91" t="n"/>
      <c r="Z196" s="91" t="n"/>
      <c r="AA196" s="91" t="n"/>
      <c r="AB196" s="91" t="n"/>
      <c r="AC196" s="91" t="n"/>
      <c r="AD196" s="91" t="n"/>
    </row>
    <row r="197">
      <c r="A197" s="27" t="n"/>
      <c r="B197" s="27" t="n"/>
      <c r="C197" s="113" t="n"/>
      <c r="D197" s="114" t="n"/>
      <c r="E197" s="27" t="n"/>
      <c r="F197" s="114" t="n"/>
      <c r="G197" s="114" t="n"/>
      <c r="H197" s="27" t="n"/>
      <c r="I197" s="27" t="n"/>
      <c r="J197" s="114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91" t="n"/>
      <c r="W197" s="91" t="n"/>
      <c r="X197" s="91" t="n"/>
      <c r="Y197" s="91" t="n"/>
      <c r="Z197" s="91" t="n"/>
      <c r="AA197" s="91" t="n"/>
      <c r="AB197" s="91" t="n"/>
      <c r="AC197" s="91" t="n"/>
      <c r="AD197" s="91" t="n"/>
    </row>
    <row r="198">
      <c r="A198" s="27" t="n"/>
      <c r="B198" s="27" t="n"/>
      <c r="C198" s="113" t="n"/>
      <c r="D198" s="114" t="n"/>
      <c r="E198" s="27" t="n"/>
      <c r="F198" s="114" t="n"/>
      <c r="G198" s="114" t="n"/>
      <c r="H198" s="27" t="n"/>
      <c r="I198" s="27" t="n"/>
      <c r="J198" s="114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91" t="n"/>
      <c r="W198" s="91" t="n"/>
      <c r="X198" s="91" t="n"/>
      <c r="Y198" s="91" t="n"/>
      <c r="Z198" s="91" t="n"/>
      <c r="AA198" s="91" t="n"/>
      <c r="AB198" s="91" t="n"/>
      <c r="AC198" s="91" t="n"/>
      <c r="AD198" s="91" t="n"/>
    </row>
    <row r="199">
      <c r="A199" s="27" t="n"/>
      <c r="B199" s="27" t="n"/>
      <c r="C199" s="113" t="n"/>
      <c r="D199" s="114" t="n"/>
      <c r="E199" s="27" t="n"/>
      <c r="F199" s="114" t="n"/>
      <c r="G199" s="114" t="n"/>
      <c r="H199" s="27" t="n"/>
      <c r="I199" s="27" t="n"/>
      <c r="J199" s="114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91" t="n"/>
      <c r="W199" s="91" t="n"/>
      <c r="X199" s="91" t="n"/>
      <c r="Y199" s="91" t="n"/>
      <c r="Z199" s="91" t="n"/>
      <c r="AA199" s="91" t="n"/>
      <c r="AB199" s="91" t="n"/>
      <c r="AC199" s="91" t="n"/>
      <c r="AD199" s="91" t="n"/>
    </row>
    <row r="200">
      <c r="A200" s="27" t="n"/>
      <c r="B200" s="27" t="n"/>
      <c r="C200" s="113" t="n"/>
      <c r="D200" s="114" t="n"/>
      <c r="E200" s="27" t="n"/>
      <c r="F200" s="114" t="n"/>
      <c r="G200" s="114" t="n"/>
      <c r="H200" s="27" t="n"/>
      <c r="I200" s="27" t="n"/>
      <c r="J200" s="114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91" t="n"/>
      <c r="W200" s="91" t="n"/>
      <c r="X200" s="91" t="n"/>
      <c r="Y200" s="91" t="n"/>
      <c r="Z200" s="91" t="n"/>
      <c r="AA200" s="91" t="n"/>
      <c r="AB200" s="91" t="n"/>
      <c r="AC200" s="91" t="n"/>
      <c r="AD200" s="91" t="n"/>
    </row>
    <row r="201">
      <c r="A201" s="27" t="n"/>
      <c r="B201" s="27" t="n"/>
      <c r="C201" s="113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91" t="n"/>
      <c r="W201" s="91" t="n"/>
      <c r="X201" s="91" t="n"/>
      <c r="Y201" s="91" t="n"/>
      <c r="Z201" s="91" t="n"/>
      <c r="AA201" s="91" t="n"/>
      <c r="AB201" s="91" t="n"/>
      <c r="AC201" s="91" t="n"/>
      <c r="AD201" s="91" t="n"/>
    </row>
    <row r="202">
      <c r="A202" s="27" t="n"/>
      <c r="B202" s="27" t="n"/>
      <c r="C202" s="113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91" t="n"/>
      <c r="W202" s="91" t="n"/>
      <c r="X202" s="91" t="n"/>
      <c r="Y202" s="91" t="n"/>
      <c r="Z202" s="91" t="n"/>
      <c r="AA202" s="91" t="n"/>
      <c r="AB202" s="91" t="n"/>
      <c r="AC202" s="91" t="n"/>
      <c r="AD202" s="91" t="n"/>
    </row>
    <row r="203">
      <c r="A203" s="27" t="n"/>
      <c r="B203" s="27" t="n"/>
      <c r="C203" s="113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91" t="n"/>
      <c r="W203" s="91" t="n"/>
      <c r="X203" s="91" t="n"/>
      <c r="Y203" s="91" t="n"/>
      <c r="Z203" s="91" t="n"/>
      <c r="AA203" s="91" t="n"/>
      <c r="AB203" s="91" t="n"/>
      <c r="AC203" s="91" t="n"/>
      <c r="AD203" s="91" t="n"/>
    </row>
    <row r="204">
      <c r="A204" s="27" t="n"/>
      <c r="B204" s="27" t="n"/>
      <c r="C204" s="113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91" t="n"/>
      <c r="W204" s="91" t="n"/>
      <c r="X204" s="91" t="n"/>
      <c r="Y204" s="91" t="n"/>
      <c r="Z204" s="91" t="n"/>
      <c r="AA204" s="91" t="n"/>
      <c r="AB204" s="91" t="n"/>
      <c r="AC204" s="91" t="n"/>
      <c r="AD204" s="91" t="n"/>
    </row>
    <row r="205">
      <c r="A205" s="27" t="n"/>
      <c r="B205" s="27" t="n"/>
      <c r="C205" s="113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91" t="n"/>
      <c r="W205" s="91" t="n"/>
      <c r="X205" s="91" t="n"/>
      <c r="Y205" s="91" t="n"/>
      <c r="Z205" s="91" t="n"/>
      <c r="AA205" s="91" t="n"/>
      <c r="AB205" s="91" t="n"/>
      <c r="AC205" s="91" t="n"/>
      <c r="AD205" s="91" t="n"/>
    </row>
    <row r="206">
      <c r="A206" s="27" t="n"/>
      <c r="B206" s="27" t="n"/>
      <c r="C206" s="113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91" t="n"/>
      <c r="W206" s="91" t="n"/>
      <c r="X206" s="91" t="n"/>
      <c r="Y206" s="91" t="n"/>
      <c r="Z206" s="91" t="n"/>
      <c r="AA206" s="91" t="n"/>
      <c r="AB206" s="91" t="n"/>
      <c r="AC206" s="91" t="n"/>
      <c r="AD206" s="91" t="n"/>
    </row>
    <row r="207">
      <c r="A207" s="27" t="n"/>
      <c r="B207" s="27" t="n"/>
      <c r="C207" s="113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91" t="n"/>
      <c r="W207" s="91" t="n"/>
      <c r="X207" s="91" t="n"/>
      <c r="Y207" s="91" t="n"/>
      <c r="Z207" s="91" t="n"/>
      <c r="AA207" s="91" t="n"/>
      <c r="AB207" s="91" t="n"/>
      <c r="AC207" s="91" t="n"/>
      <c r="AD207" s="91" t="n"/>
    </row>
    <row r="208">
      <c r="A208" s="27" t="n"/>
      <c r="B208" s="27" t="n"/>
      <c r="C208" s="113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91" t="n"/>
      <c r="W208" s="91" t="n"/>
      <c r="X208" s="91" t="n"/>
      <c r="Y208" s="91" t="n"/>
      <c r="Z208" s="91" t="n"/>
      <c r="AA208" s="91" t="n"/>
      <c r="AB208" s="91" t="n"/>
      <c r="AC208" s="91" t="n"/>
      <c r="AD208" s="91" t="n"/>
    </row>
    <row r="209">
      <c r="A209" s="27" t="n"/>
      <c r="B209" s="27" t="n"/>
      <c r="C209" s="113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91" t="n"/>
      <c r="W209" s="91" t="n"/>
      <c r="X209" s="91" t="n"/>
      <c r="Y209" s="91" t="n"/>
      <c r="Z209" s="91" t="n"/>
      <c r="AA209" s="91" t="n"/>
      <c r="AB209" s="91" t="n"/>
      <c r="AC209" s="91" t="n"/>
      <c r="AD209" s="91" t="n"/>
    </row>
    <row r="210">
      <c r="A210" s="27" t="n"/>
      <c r="B210" s="27" t="n"/>
      <c r="C210" s="113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91" t="n"/>
      <c r="W210" s="91" t="n"/>
      <c r="X210" s="91" t="n"/>
      <c r="Y210" s="91" t="n"/>
      <c r="Z210" s="91" t="n"/>
      <c r="AA210" s="91" t="n"/>
      <c r="AB210" s="91" t="n"/>
      <c r="AC210" s="91" t="n"/>
      <c r="AD210" s="91" t="n"/>
    </row>
  </sheetData>
  <dataValidations count="1">
    <dataValidation sqref="H2:H100" showDropDown="0" showInputMessage="0" showErrorMessage="0" allowBlank="1" type="list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30" customWidth="1" min="4" max="4"/>
    <col width="25" customWidth="1" min="5" max="5"/>
    <col width="22" customWidth="1" min="6" max="6"/>
    <col width="24" customWidth="1" min="7" max="7"/>
    <col width="24" customWidth="1" min="8" max="8"/>
    <col width="22" customWidth="1" min="9" max="9"/>
    <col width="25" customWidth="1" min="10" max="10"/>
    <col width="25" customWidth="1" min="11" max="11"/>
  </cols>
  <sheetData>
    <row r="1" ht="40" customHeight="1">
      <c r="A1" s="269" t="inlineStr">
        <is>
          <t>Item</t>
        </is>
      </c>
      <c r="B1" s="269" t="inlineStr">
        <is>
          <t>Data do aditivo</t>
        </is>
      </c>
      <c r="C1" s="269" t="inlineStr">
        <is>
          <t>Ciclo/Marco</t>
        </is>
      </c>
      <c r="D1" s="269" t="inlineStr">
        <is>
          <t>Tipo de alteracao (Acrescimo / Supressao)</t>
        </is>
      </c>
      <c r="E1" s="322" t="inlineStr">
        <is>
          <t>Quantidade acrescida/suprimida</t>
        </is>
      </c>
      <c r="F1" s="323" t="inlineStr">
        <is>
          <t>Valor unitario original</t>
        </is>
      </c>
      <c r="G1" s="323" t="inlineStr">
        <is>
          <t>Valor original da alteracao</t>
        </is>
      </c>
      <c r="H1" s="269" t="inlineStr">
        <is>
          <t>Aplicar reajuste? (Sim/Nao)</t>
        </is>
      </c>
      <c r="I1" s="269" t="inlineStr">
        <is>
          <t>Fator acumulado aplicavel</t>
        </is>
      </c>
      <c r="J1" s="323" t="inlineStr">
        <is>
          <t>Valor atualizado da alteracao</t>
        </is>
      </c>
      <c r="K1" s="269" t="inlineStr">
        <is>
          <t>Considerado no calculo (Sim/Nao)</t>
        </is>
      </c>
    </row>
    <row r="2" ht="15.95" customHeight="1">
      <c r="A2" s="324" t="n"/>
      <c r="B2" s="325" t="n"/>
      <c r="C2" s="313">
        <f>IF(B2="","",IFERROR(IF(AND(B2&gt;=parametros!$D$2,B2&lt;=parametros!$E$2),"C0",IF(AND(B2&gt;=parametros!$D$3,B2&lt;=parametros!$E$3),"C1",IF(AND(B2&gt;=parametros!$D$4,B2&lt;=parametros!$E$4),"C2",IF(AND(B2&gt;=parametros!$D$5,B2&lt;=parametros!$E$5),"C3",IF(AND(B2&gt;=parametros!$D$6,B2&lt;=parametros!$E$6),"C4","Fora dos ciclos"))))),"Fora dos ciclos"))</f>
        <v/>
      </c>
      <c r="D2" s="324" t="n"/>
      <c r="E2" s="326" t="n"/>
      <c r="F2" s="327">
        <f>IF(A2="","",IFERROR(VLOOKUP(A2,itens_Remanesc!$A:$C,3,0),""))</f>
        <v/>
      </c>
      <c r="G2" s="327">
        <f>IF(OR(E2="",F2=""),"",ROUND(E2*F2,2))</f>
        <v/>
      </c>
      <c r="H2" s="324" t="n"/>
      <c r="I2" s="253">
        <f>IFERROR(VLOOKUP(C2,parametros!$B:$G,6,0),"")</f>
        <v/>
      </c>
      <c r="J2" s="327">
        <f>IF(G2="","",ROUND(IF(OR(UPPER(D2)="SUPRESSAO",UPPER(D2)="DECRESCIMO"),-1,1)*G2*IF(AND(UPPER(H2)="SIM",ISNUMBER(I2)),I2,1),2))</f>
        <v/>
      </c>
      <c r="K2" s="324" t="n"/>
    </row>
    <row r="3" ht="15.95" customHeight="1">
      <c r="A3" s="324" t="n"/>
      <c r="B3" s="325" t="n"/>
      <c r="C3" s="313">
        <f>IF(B3="","",IFERROR(IF(AND(B3&gt;=parametros!$D$2,B3&lt;=parametros!$E$2),"C0",IF(AND(B3&gt;=parametros!$D$3,B3&lt;=parametros!$E$3),"C1",IF(AND(B3&gt;=parametros!$D$4,B3&lt;=parametros!$E$4),"C2",IF(AND(B3&gt;=parametros!$D$5,B3&lt;=parametros!$E$5),"C3",IF(AND(B3&gt;=parametros!$D$6,B3&lt;=parametros!$E$6),"C4","Fora dos ciclos"))))),"Fora dos ciclos"))</f>
        <v/>
      </c>
      <c r="D3" s="324" t="n"/>
      <c r="E3" s="326" t="n"/>
      <c r="F3" s="327">
        <f>IF(A3="","",IFERROR(VLOOKUP(A3,itens_Remanesc!$A:$C,3,0),""))</f>
        <v/>
      </c>
      <c r="G3" s="327">
        <f>IF(OR(E3="",F3=""),"",ROUND(E3*F3,2))</f>
        <v/>
      </c>
      <c r="H3" s="324" t="n"/>
      <c r="I3" s="253">
        <f>IFERROR(VLOOKUP(C3,parametros!$B:$G,6,0),"")</f>
        <v/>
      </c>
      <c r="J3" s="327">
        <f>IF(G3="","",ROUND(IF(OR(UPPER(D3)="SUPRESSAO",UPPER(D3)="DECRESCIMO"),-1,1)*G3*IF(AND(UPPER(H3)="SIM",ISNUMBER(I3)),I3,1),2))</f>
        <v/>
      </c>
      <c r="K3" s="324" t="n"/>
    </row>
    <row r="4" ht="15.95" customHeight="1">
      <c r="A4" s="324" t="n"/>
      <c r="B4" s="325" t="n"/>
      <c r="C4" s="313">
        <f>IF(B4="","",IFERROR(IF(AND(B4&gt;=parametros!$D$2,B4&lt;=parametros!$E$2),"C0",IF(AND(B4&gt;=parametros!$D$3,B4&lt;=parametros!$E$3),"C1",IF(AND(B4&gt;=parametros!$D$4,B4&lt;=parametros!$E$4),"C2",IF(AND(B4&gt;=parametros!$D$5,B4&lt;=parametros!$E$5),"C3",IF(AND(B4&gt;=parametros!$D$6,B4&lt;=parametros!$E$6),"C4","Fora dos ciclos"))))),"Fora dos ciclos"))</f>
        <v/>
      </c>
      <c r="D4" s="324" t="n"/>
      <c r="E4" s="326" t="n"/>
      <c r="F4" s="327">
        <f>IF(A4="","",IFERROR(VLOOKUP(A4,itens_Remanesc!$A:$C,3,0),""))</f>
        <v/>
      </c>
      <c r="G4" s="327">
        <f>IF(OR(E4="",F4=""),"",ROUND(E4*F4,2))</f>
        <v/>
      </c>
      <c r="H4" s="324" t="n"/>
      <c r="I4" s="253">
        <f>IFERROR(VLOOKUP(C4,parametros!$B:$G,6,0),"")</f>
        <v/>
      </c>
      <c r="J4" s="327">
        <f>IF(G4="","",ROUND(IF(OR(UPPER(D4)="SUPRESSAO",UPPER(D4)="DECRESCIMO"),-1,1)*G4*IF(AND(UPPER(H4)="SIM",ISNUMBER(I4)),I4,1),2))</f>
        <v/>
      </c>
      <c r="K4" s="324" t="n"/>
    </row>
    <row r="5" ht="15.95" customHeight="1">
      <c r="A5" s="324" t="n"/>
      <c r="B5" s="325" t="n"/>
      <c r="C5" s="313">
        <f>IF(B5="","",IFERROR(IF(AND(B5&gt;=parametros!$D$2,B5&lt;=parametros!$E$2),"C0",IF(AND(B5&gt;=parametros!$D$3,B5&lt;=parametros!$E$3),"C1",IF(AND(B5&gt;=parametros!$D$4,B5&lt;=parametros!$E$4),"C2",IF(AND(B5&gt;=parametros!$D$5,B5&lt;=parametros!$E$5),"C3",IF(AND(B5&gt;=parametros!$D$6,B5&lt;=parametros!$E$6),"C4","Fora dos ciclos"))))),"Fora dos ciclos"))</f>
        <v/>
      </c>
      <c r="D5" s="324" t="n"/>
      <c r="E5" s="326" t="n"/>
      <c r="F5" s="327">
        <f>IF(A5="","",IFERROR(VLOOKUP(A5,itens_Remanesc!$A:$C,3,0),""))</f>
        <v/>
      </c>
      <c r="G5" s="327">
        <f>IF(OR(E5="",F5=""),"",ROUND(E5*F5,2))</f>
        <v/>
      </c>
      <c r="H5" s="324" t="n"/>
      <c r="I5" s="253">
        <f>IFERROR(VLOOKUP(C5,parametros!$B:$G,6,0),"")</f>
        <v/>
      </c>
      <c r="J5" s="327">
        <f>IF(G5="","",ROUND(IF(OR(UPPER(D5)="SUPRESSAO",UPPER(D5)="DECRESCIMO"),-1,1)*G5*IF(AND(UPPER(H5)="SIM",ISNUMBER(I5)),I5,1),2))</f>
        <v/>
      </c>
      <c r="K5" s="324" t="n"/>
    </row>
    <row r="6" ht="15.95" customHeight="1">
      <c r="A6" s="324" t="n"/>
      <c r="B6" s="325" t="n"/>
      <c r="C6" s="313">
        <f>IF(B6="","",IFERROR(IF(AND(B6&gt;=parametros!$D$2,B6&lt;=parametros!$E$2),"C0",IF(AND(B6&gt;=parametros!$D$3,B6&lt;=parametros!$E$3),"C1",IF(AND(B6&gt;=parametros!$D$4,B6&lt;=parametros!$E$4),"C2",IF(AND(B6&gt;=parametros!$D$5,B6&lt;=parametros!$E$5),"C3",IF(AND(B6&gt;=parametros!$D$6,B6&lt;=parametros!$E$6),"C4","Fora dos ciclos"))))),"Fora dos ciclos"))</f>
        <v/>
      </c>
      <c r="D6" s="324" t="n"/>
      <c r="E6" s="326" t="n"/>
      <c r="F6" s="327">
        <f>IF(A6="","",IFERROR(VLOOKUP(A6,itens_Remanesc!$A:$C,3,0),""))</f>
        <v/>
      </c>
      <c r="G6" s="327">
        <f>IF(OR(E6="",F6=""),"",ROUND(E6*F6,2))</f>
        <v/>
      </c>
      <c r="H6" s="324" t="n"/>
      <c r="I6" s="253">
        <f>IFERROR(VLOOKUP(C6,parametros!$B:$G,6,0),"")</f>
        <v/>
      </c>
      <c r="J6" s="327">
        <f>IF(G6="","",ROUND(IF(OR(UPPER(D6)="SUPRESSAO",UPPER(D6)="DECRESCIMO"),-1,1)*G6*IF(AND(UPPER(H6)="SIM",ISNUMBER(I6)),I6,1),2))</f>
        <v/>
      </c>
      <c r="K6" s="324" t="n"/>
    </row>
    <row r="7" ht="15.95" customHeight="1">
      <c r="A7" s="324" t="n"/>
      <c r="B7" s="325" t="n"/>
      <c r="C7" s="313">
        <f>IF(B7="","",IFERROR(IF(AND(B7&gt;=parametros!$D$2,B7&lt;=parametros!$E$2),"C0",IF(AND(B7&gt;=parametros!$D$3,B7&lt;=parametros!$E$3),"C1",IF(AND(B7&gt;=parametros!$D$4,B7&lt;=parametros!$E$4),"C2",IF(AND(B7&gt;=parametros!$D$5,B7&lt;=parametros!$E$5),"C3",IF(AND(B7&gt;=parametros!$D$6,B7&lt;=parametros!$E$6),"C4","Fora dos ciclos"))))),"Fora dos ciclos"))</f>
        <v/>
      </c>
      <c r="D7" s="324" t="n"/>
      <c r="E7" s="326" t="n"/>
      <c r="F7" s="327">
        <f>IF(A7="","",IFERROR(VLOOKUP(A7,itens_Remanesc!$A:$C,3,0),""))</f>
        <v/>
      </c>
      <c r="G7" s="327">
        <f>IF(OR(E7="",F7=""),"",ROUND(E7*F7,2))</f>
        <v/>
      </c>
      <c r="H7" s="324" t="n"/>
      <c r="I7" s="253">
        <f>IFERROR(VLOOKUP(C7,parametros!$B:$G,6,0),"")</f>
        <v/>
      </c>
      <c r="J7" s="327">
        <f>IF(G7="","",ROUND(IF(OR(UPPER(D7)="SUPRESSAO",UPPER(D7)="DECRESCIMO"),-1,1)*G7*IF(AND(UPPER(H7)="SIM",ISNUMBER(I7)),I7,1),2))</f>
        <v/>
      </c>
      <c r="K7" s="324" t="n"/>
    </row>
    <row r="8" ht="15.95" customHeight="1">
      <c r="A8" s="324" t="n"/>
      <c r="B8" s="325" t="n"/>
      <c r="C8" s="313">
        <f>IF(B8="","",IFERROR(IF(AND(B8&gt;=parametros!$D$2,B8&lt;=parametros!$E$2),"C0",IF(AND(B8&gt;=parametros!$D$3,B8&lt;=parametros!$E$3),"C1",IF(AND(B8&gt;=parametros!$D$4,B8&lt;=parametros!$E$4),"C2",IF(AND(B8&gt;=parametros!$D$5,B8&lt;=parametros!$E$5),"C3",IF(AND(B8&gt;=parametros!$D$6,B8&lt;=parametros!$E$6),"C4","Fora dos ciclos"))))),"Fora dos ciclos"))</f>
        <v/>
      </c>
      <c r="D8" s="324" t="n"/>
      <c r="E8" s="326" t="n"/>
      <c r="F8" s="327">
        <f>IF(A8="","",IFERROR(VLOOKUP(A8,itens_Remanesc!$A:$C,3,0),""))</f>
        <v/>
      </c>
      <c r="G8" s="327">
        <f>IF(OR(E8="",F8=""),"",ROUND(E8*F8,2))</f>
        <v/>
      </c>
      <c r="H8" s="324" t="n"/>
      <c r="I8" s="253">
        <f>IFERROR(VLOOKUP(C8,parametros!$B:$G,6,0),"")</f>
        <v/>
      </c>
      <c r="J8" s="327">
        <f>IF(G8="","",ROUND(IF(OR(UPPER(D8)="SUPRESSAO",UPPER(D8)="DECRESCIMO"),-1,1)*G8*IF(AND(UPPER(H8)="SIM",ISNUMBER(I8)),I8,1),2))</f>
        <v/>
      </c>
      <c r="K8" s="324" t="n"/>
    </row>
    <row r="9" ht="15.95" customHeight="1">
      <c r="A9" s="324" t="n"/>
      <c r="B9" s="325" t="n"/>
      <c r="C9" s="313">
        <f>IF(B9="","",IFERROR(IF(AND(B9&gt;=parametros!$D$2,B9&lt;=parametros!$E$2),"C0",IF(AND(B9&gt;=parametros!$D$3,B9&lt;=parametros!$E$3),"C1",IF(AND(B9&gt;=parametros!$D$4,B9&lt;=parametros!$E$4),"C2",IF(AND(B9&gt;=parametros!$D$5,B9&lt;=parametros!$E$5),"C3",IF(AND(B9&gt;=parametros!$D$6,B9&lt;=parametros!$E$6),"C4","Fora dos ciclos"))))),"Fora dos ciclos"))</f>
        <v/>
      </c>
      <c r="D9" s="324" t="n"/>
      <c r="E9" s="326" t="n"/>
      <c r="F9" s="327">
        <f>IF(A9="","",IFERROR(VLOOKUP(A9,itens_Remanesc!$A:$C,3,0),""))</f>
        <v/>
      </c>
      <c r="G9" s="327">
        <f>IF(OR(E9="",F9=""),"",ROUND(E9*F9,2))</f>
        <v/>
      </c>
      <c r="H9" s="324" t="n"/>
      <c r="I9" s="253">
        <f>IFERROR(VLOOKUP(C9,parametros!$B:$G,6,0),"")</f>
        <v/>
      </c>
      <c r="J9" s="327">
        <f>IF(G9="","",ROUND(IF(OR(UPPER(D9)="SUPRESSAO",UPPER(D9)="DECRESCIMO"),-1,1)*G9*IF(AND(UPPER(H9)="SIM",ISNUMBER(I9)),I9,1),2))</f>
        <v/>
      </c>
      <c r="K9" s="324" t="n"/>
    </row>
    <row r="10" ht="15.95" customHeight="1">
      <c r="A10" s="324" t="n"/>
      <c r="B10" s="325" t="n"/>
      <c r="C10" s="313">
        <f>IF(B10="","",IFERROR(IF(AND(B10&gt;=parametros!$D$2,B10&lt;=parametros!$E$2),"C0",IF(AND(B10&gt;=parametros!$D$3,B10&lt;=parametros!$E$3),"C1",IF(AND(B10&gt;=parametros!$D$4,B10&lt;=parametros!$E$4),"C2",IF(AND(B10&gt;=parametros!$D$5,B10&lt;=parametros!$E$5),"C3",IF(AND(B10&gt;=parametros!$D$6,B10&lt;=parametros!$E$6),"C4","Fora dos ciclos"))))),"Fora dos ciclos"))</f>
        <v/>
      </c>
      <c r="D10" s="324" t="n"/>
      <c r="E10" s="326" t="n"/>
      <c r="F10" s="327">
        <f>IF(A10="","",IFERROR(VLOOKUP(A10,itens_Remanesc!$A:$C,3,0),""))</f>
        <v/>
      </c>
      <c r="G10" s="327">
        <f>IF(OR(E10="",F10=""),"",ROUND(E10*F10,2))</f>
        <v/>
      </c>
      <c r="H10" s="324" t="n"/>
      <c r="I10" s="253">
        <f>IFERROR(VLOOKUP(C10,parametros!$B:$G,6,0),"")</f>
        <v/>
      </c>
      <c r="J10" s="327">
        <f>IF(G10="","",ROUND(IF(OR(UPPER(D10)="SUPRESSAO",UPPER(D10)="DECRESCIMO"),-1,1)*G10*IF(AND(UPPER(H10)="SIM",ISNUMBER(I10)),I10,1),2))</f>
        <v/>
      </c>
      <c r="K10" s="324" t="n"/>
    </row>
    <row r="11" ht="15.95" customHeight="1">
      <c r="A11" s="324" t="n"/>
      <c r="B11" s="325" t="n"/>
      <c r="C11" s="313">
        <f>IF(B11="","",IFERROR(IF(AND(B11&gt;=parametros!$D$2,B11&lt;=parametros!$E$2),"C0",IF(AND(B11&gt;=parametros!$D$3,B11&lt;=parametros!$E$3),"C1",IF(AND(B11&gt;=parametros!$D$4,B11&lt;=parametros!$E$4),"C2",IF(AND(B11&gt;=parametros!$D$5,B11&lt;=parametros!$E$5),"C3",IF(AND(B11&gt;=parametros!$D$6,B11&lt;=parametros!$E$6),"C4","Fora dos ciclos"))))),"Fora dos ciclos"))</f>
        <v/>
      </c>
      <c r="D11" s="324" t="n"/>
      <c r="E11" s="326" t="n"/>
      <c r="F11" s="327">
        <f>IF(A11="","",IFERROR(VLOOKUP(A11,itens_Remanesc!$A:$C,3,0),""))</f>
        <v/>
      </c>
      <c r="G11" s="327">
        <f>IF(OR(E11="",F11=""),"",ROUND(E11*F11,2))</f>
        <v/>
      </c>
      <c r="H11" s="324" t="n"/>
      <c r="I11" s="253">
        <f>IFERROR(VLOOKUP(C11,parametros!$B:$G,6,0),"")</f>
        <v/>
      </c>
      <c r="J11" s="327">
        <f>IF(G11="","",ROUND(IF(OR(UPPER(D11)="SUPRESSAO",UPPER(D11)="DECRESCIMO"),-1,1)*G11*IF(AND(UPPER(H11)="SIM",ISNUMBER(I11)),I11,1),2))</f>
        <v/>
      </c>
      <c r="K11" s="324" t="n"/>
    </row>
    <row r="12" ht="15.95" customHeight="1">
      <c r="A12" s="324" t="n"/>
      <c r="B12" s="325" t="n"/>
      <c r="C12" s="313">
        <f>IF(B12="","",IFERROR(IF(AND(B12&gt;=parametros!$D$2,B12&lt;=parametros!$E$2),"C0",IF(AND(B12&gt;=parametros!$D$3,B12&lt;=parametros!$E$3),"C1",IF(AND(B12&gt;=parametros!$D$4,B12&lt;=parametros!$E$4),"C2",IF(AND(B12&gt;=parametros!$D$5,B12&lt;=parametros!$E$5),"C3",IF(AND(B12&gt;=parametros!$D$6,B12&lt;=parametros!$E$6),"C4","Fora dos ciclos"))))),"Fora dos ciclos"))</f>
        <v/>
      </c>
      <c r="D12" s="324" t="n"/>
      <c r="E12" s="326" t="n"/>
      <c r="F12" s="327">
        <f>IF(A12="","",IFERROR(VLOOKUP(A12,itens_Remanesc!$A:$C,3,0),""))</f>
        <v/>
      </c>
      <c r="G12" s="327">
        <f>IF(OR(E12="",F12=""),"",ROUND(E12*F12,2))</f>
        <v/>
      </c>
      <c r="H12" s="324" t="n"/>
      <c r="I12" s="253">
        <f>IFERROR(VLOOKUP(C12,parametros!$B:$G,6,0),"")</f>
        <v/>
      </c>
      <c r="J12" s="327">
        <f>IF(G12="","",ROUND(IF(OR(UPPER(D12)="SUPRESSAO",UPPER(D12)="DECRESCIMO"),-1,1)*G12*IF(AND(UPPER(H12)="SIM",ISNUMBER(I12)),I12,1),2))</f>
        <v/>
      </c>
      <c r="K12" s="324" t="n"/>
    </row>
    <row r="13" ht="15.95" customHeight="1">
      <c r="A13" s="324" t="n"/>
      <c r="B13" s="325" t="n"/>
      <c r="C13" s="313">
        <f>IF(B13="","",IFERROR(IF(AND(B13&gt;=parametros!$D$2,B13&lt;=parametros!$E$2),"C0",IF(AND(B13&gt;=parametros!$D$3,B13&lt;=parametros!$E$3),"C1",IF(AND(B13&gt;=parametros!$D$4,B13&lt;=parametros!$E$4),"C2",IF(AND(B13&gt;=parametros!$D$5,B13&lt;=parametros!$E$5),"C3",IF(AND(B13&gt;=parametros!$D$6,B13&lt;=parametros!$E$6),"C4","Fora dos ciclos"))))),"Fora dos ciclos"))</f>
        <v/>
      </c>
      <c r="D13" s="324" t="n"/>
      <c r="E13" s="326" t="n"/>
      <c r="F13" s="327">
        <f>IF(A13="","",IFERROR(VLOOKUP(A13,itens_Remanesc!$A:$C,3,0),""))</f>
        <v/>
      </c>
      <c r="G13" s="327">
        <f>IF(OR(E13="",F13=""),"",ROUND(E13*F13,2))</f>
        <v/>
      </c>
      <c r="H13" s="324" t="n"/>
      <c r="I13" s="253">
        <f>IFERROR(VLOOKUP(C13,parametros!$B:$G,6,0),"")</f>
        <v/>
      </c>
      <c r="J13" s="327">
        <f>IF(G13="","",ROUND(IF(OR(UPPER(D13)="SUPRESSAO",UPPER(D13)="DECRESCIMO"),-1,1)*G13*IF(AND(UPPER(H13)="SIM",ISNUMBER(I13)),I13,1),2))</f>
        <v/>
      </c>
      <c r="K13" s="324" t="n"/>
    </row>
    <row r="14" ht="15.95" customHeight="1">
      <c r="A14" s="324" t="n"/>
      <c r="B14" s="325" t="n"/>
      <c r="C14" s="313">
        <f>IF(B14="","",IFERROR(IF(AND(B14&gt;=parametros!$D$2,B14&lt;=parametros!$E$2),"C0",IF(AND(B14&gt;=parametros!$D$3,B14&lt;=parametros!$E$3),"C1",IF(AND(B14&gt;=parametros!$D$4,B14&lt;=parametros!$E$4),"C2",IF(AND(B14&gt;=parametros!$D$5,B14&lt;=parametros!$E$5),"C3",IF(AND(B14&gt;=parametros!$D$6,B14&lt;=parametros!$E$6),"C4","Fora dos ciclos"))))),"Fora dos ciclos"))</f>
        <v/>
      </c>
      <c r="D14" s="324" t="n"/>
      <c r="E14" s="326" t="n"/>
      <c r="F14" s="327">
        <f>IF(A14="","",IFERROR(VLOOKUP(A14,itens_Remanesc!$A:$C,3,0),""))</f>
        <v/>
      </c>
      <c r="G14" s="327">
        <f>IF(OR(E14="",F14=""),"",ROUND(E14*F14,2))</f>
        <v/>
      </c>
      <c r="H14" s="324" t="n"/>
      <c r="I14" s="253">
        <f>IFERROR(VLOOKUP(C14,parametros!$B:$G,6,0),"")</f>
        <v/>
      </c>
      <c r="J14" s="327">
        <f>IF(G14="","",ROUND(IF(OR(UPPER(D14)="SUPRESSAO",UPPER(D14)="DECRESCIMO"),-1,1)*G14*IF(AND(UPPER(H14)="SIM",ISNUMBER(I14)),I14,1),2))</f>
        <v/>
      </c>
      <c r="K14" s="324" t="n"/>
    </row>
    <row r="15" ht="15.95" customHeight="1">
      <c r="A15" s="324" t="n"/>
      <c r="B15" s="325" t="n"/>
      <c r="C15" s="313">
        <f>IF(B15="","",IFERROR(IF(AND(B15&gt;=parametros!$D$2,B15&lt;=parametros!$E$2),"C0",IF(AND(B15&gt;=parametros!$D$3,B15&lt;=parametros!$E$3),"C1",IF(AND(B15&gt;=parametros!$D$4,B15&lt;=parametros!$E$4),"C2",IF(AND(B15&gt;=parametros!$D$5,B15&lt;=parametros!$E$5),"C3",IF(AND(B15&gt;=parametros!$D$6,B15&lt;=parametros!$E$6),"C4","Fora dos ciclos"))))),"Fora dos ciclos"))</f>
        <v/>
      </c>
      <c r="D15" s="324" t="n"/>
      <c r="E15" s="326" t="n"/>
      <c r="F15" s="327">
        <f>IF(A15="","",IFERROR(VLOOKUP(A15,itens_Remanesc!$A:$C,3,0),""))</f>
        <v/>
      </c>
      <c r="G15" s="327">
        <f>IF(OR(E15="",F15=""),"",ROUND(E15*F15,2))</f>
        <v/>
      </c>
      <c r="H15" s="324" t="n"/>
      <c r="I15" s="253">
        <f>IFERROR(VLOOKUP(C15,parametros!$B:$G,6,0),"")</f>
        <v/>
      </c>
      <c r="J15" s="327">
        <f>IF(G15="","",ROUND(IF(OR(UPPER(D15)="SUPRESSAO",UPPER(D15)="DECRESCIMO"),-1,1)*G15*IF(AND(UPPER(H15)="SIM",ISNUMBER(I15)),I15,1),2))</f>
        <v/>
      </c>
      <c r="K15" s="324" t="n"/>
    </row>
    <row r="16" ht="15.95" customHeight="1">
      <c r="A16" s="324" t="n"/>
      <c r="B16" s="325" t="n"/>
      <c r="C16" s="313">
        <f>IF(B16="","",IFERROR(IF(AND(B16&gt;=parametros!$D$2,B16&lt;=parametros!$E$2),"C0",IF(AND(B16&gt;=parametros!$D$3,B16&lt;=parametros!$E$3),"C1",IF(AND(B16&gt;=parametros!$D$4,B16&lt;=parametros!$E$4),"C2",IF(AND(B16&gt;=parametros!$D$5,B16&lt;=parametros!$E$5),"C3",IF(AND(B16&gt;=parametros!$D$6,B16&lt;=parametros!$E$6),"C4","Fora dos ciclos"))))),"Fora dos ciclos"))</f>
        <v/>
      </c>
      <c r="D16" s="324" t="n"/>
      <c r="E16" s="326" t="n"/>
      <c r="F16" s="327">
        <f>IF(A16="","",IFERROR(VLOOKUP(A16,itens_Remanesc!$A:$C,3,0),""))</f>
        <v/>
      </c>
      <c r="G16" s="327">
        <f>IF(OR(E16="",F16=""),"",ROUND(E16*F16,2))</f>
        <v/>
      </c>
      <c r="H16" s="324" t="n"/>
      <c r="I16" s="253">
        <f>IFERROR(VLOOKUP(C16,parametros!$B:$G,6,0),"")</f>
        <v/>
      </c>
      <c r="J16" s="327">
        <f>IF(G16="","",ROUND(IF(OR(UPPER(D16)="SUPRESSAO",UPPER(D16)="DECRESCIMO"),-1,1)*G16*IF(AND(UPPER(H16)="SIM",ISNUMBER(I16)),I16,1),2))</f>
        <v/>
      </c>
      <c r="K16" s="324" t="n"/>
    </row>
    <row r="17" ht="15.95" customHeight="1">
      <c r="A17" s="324" t="n"/>
      <c r="B17" s="325" t="n"/>
      <c r="C17" s="313">
        <f>IF(B17="","",IFERROR(IF(AND(B17&gt;=parametros!$D$2,B17&lt;=parametros!$E$2),"C0",IF(AND(B17&gt;=parametros!$D$3,B17&lt;=parametros!$E$3),"C1",IF(AND(B17&gt;=parametros!$D$4,B17&lt;=parametros!$E$4),"C2",IF(AND(B17&gt;=parametros!$D$5,B17&lt;=parametros!$E$5),"C3",IF(AND(B17&gt;=parametros!$D$6,B17&lt;=parametros!$E$6),"C4","Fora dos ciclos"))))),"Fora dos ciclos"))</f>
        <v/>
      </c>
      <c r="D17" s="324" t="n"/>
      <c r="E17" s="326" t="n"/>
      <c r="F17" s="327">
        <f>IF(A17="","",IFERROR(VLOOKUP(A17,itens_Remanesc!$A:$C,3,0),""))</f>
        <v/>
      </c>
      <c r="G17" s="327">
        <f>IF(OR(E17="",F17=""),"",ROUND(E17*F17,2))</f>
        <v/>
      </c>
      <c r="H17" s="324" t="n"/>
      <c r="I17" s="253">
        <f>IFERROR(VLOOKUP(C17,parametros!$B:$G,6,0),"")</f>
        <v/>
      </c>
      <c r="J17" s="327">
        <f>IF(G17="","",ROUND(IF(OR(UPPER(D17)="SUPRESSAO",UPPER(D17)="DECRESCIMO"),-1,1)*G17*IF(AND(UPPER(H17)="SIM",ISNUMBER(I17)),I17,1),2))</f>
        <v/>
      </c>
      <c r="K17" s="324" t="n"/>
    </row>
    <row r="18" ht="15.95" customHeight="1">
      <c r="A18" s="324" t="n"/>
      <c r="B18" s="325" t="n"/>
      <c r="C18" s="313">
        <f>IF(B18="","",IFERROR(IF(AND(B18&gt;=parametros!$D$2,B18&lt;=parametros!$E$2),"C0",IF(AND(B18&gt;=parametros!$D$3,B18&lt;=parametros!$E$3),"C1",IF(AND(B18&gt;=parametros!$D$4,B18&lt;=parametros!$E$4),"C2",IF(AND(B18&gt;=parametros!$D$5,B18&lt;=parametros!$E$5),"C3",IF(AND(B18&gt;=parametros!$D$6,B18&lt;=parametros!$E$6),"C4","Fora dos ciclos"))))),"Fora dos ciclos"))</f>
        <v/>
      </c>
      <c r="D18" s="324" t="n"/>
      <c r="E18" s="326" t="n"/>
      <c r="F18" s="327">
        <f>IF(A18="","",IFERROR(VLOOKUP(A18,itens_Remanesc!$A:$C,3,0),""))</f>
        <v/>
      </c>
      <c r="G18" s="327">
        <f>IF(OR(E18="",F18=""),"",ROUND(E18*F18,2))</f>
        <v/>
      </c>
      <c r="H18" s="324" t="n"/>
      <c r="I18" s="253">
        <f>IFERROR(VLOOKUP(C18,parametros!$B:$G,6,0),"")</f>
        <v/>
      </c>
      <c r="J18" s="327">
        <f>IF(G18="","",ROUND(IF(OR(UPPER(D18)="SUPRESSAO",UPPER(D18)="DECRESCIMO"),-1,1)*G18*IF(AND(UPPER(H18)="SIM",ISNUMBER(I18)),I18,1),2))</f>
        <v/>
      </c>
      <c r="K18" s="324" t="n"/>
    </row>
    <row r="19" ht="15.95" customHeight="1">
      <c r="A19" s="324" t="n"/>
      <c r="B19" s="325" t="n"/>
      <c r="C19" s="313">
        <f>IF(B19="","",IFERROR(IF(AND(B19&gt;=parametros!$D$2,B19&lt;=parametros!$E$2),"C0",IF(AND(B19&gt;=parametros!$D$3,B19&lt;=parametros!$E$3),"C1",IF(AND(B19&gt;=parametros!$D$4,B19&lt;=parametros!$E$4),"C2",IF(AND(B19&gt;=parametros!$D$5,B19&lt;=parametros!$E$5),"C3",IF(AND(B19&gt;=parametros!$D$6,B19&lt;=parametros!$E$6),"C4","Fora dos ciclos"))))),"Fora dos ciclos"))</f>
        <v/>
      </c>
      <c r="D19" s="324" t="n"/>
      <c r="E19" s="326" t="n"/>
      <c r="F19" s="327">
        <f>IF(A19="","",IFERROR(VLOOKUP(A19,itens_Remanesc!$A:$C,3,0),""))</f>
        <v/>
      </c>
      <c r="G19" s="327">
        <f>IF(OR(E19="",F19=""),"",ROUND(E19*F19,2))</f>
        <v/>
      </c>
      <c r="H19" s="324" t="n"/>
      <c r="I19" s="253">
        <f>IFERROR(VLOOKUP(C19,parametros!$B:$G,6,0),"")</f>
        <v/>
      </c>
      <c r="J19" s="327">
        <f>IF(G19="","",ROUND(IF(OR(UPPER(D19)="SUPRESSAO",UPPER(D19)="DECRESCIMO"),-1,1)*G19*IF(AND(UPPER(H19)="SIM",ISNUMBER(I19)),I19,1),2))</f>
        <v/>
      </c>
      <c r="K19" s="324" t="n"/>
    </row>
    <row r="20" ht="15.95" customHeight="1">
      <c r="A20" s="324" t="n"/>
      <c r="B20" s="325" t="n"/>
      <c r="C20" s="313">
        <f>IF(B20="","",IFERROR(IF(AND(B20&gt;=parametros!$D$2,B20&lt;=parametros!$E$2),"C0",IF(AND(B20&gt;=parametros!$D$3,B20&lt;=parametros!$E$3),"C1",IF(AND(B20&gt;=parametros!$D$4,B20&lt;=parametros!$E$4),"C2",IF(AND(B20&gt;=parametros!$D$5,B20&lt;=parametros!$E$5),"C3",IF(AND(B20&gt;=parametros!$D$6,B20&lt;=parametros!$E$6),"C4","Fora dos ciclos"))))),"Fora dos ciclos"))</f>
        <v/>
      </c>
      <c r="D20" s="324" t="n"/>
      <c r="E20" s="326" t="n"/>
      <c r="F20" s="327">
        <f>IF(A20="","",IFERROR(VLOOKUP(A20,itens_Remanesc!$A:$C,3,0),""))</f>
        <v/>
      </c>
      <c r="G20" s="327">
        <f>IF(OR(E20="",F20=""),"",ROUND(E20*F20,2))</f>
        <v/>
      </c>
      <c r="H20" s="324" t="n"/>
      <c r="I20" s="253">
        <f>IFERROR(VLOOKUP(C20,parametros!$B:$G,6,0),"")</f>
        <v/>
      </c>
      <c r="J20" s="327">
        <f>IF(G20="","",ROUND(IF(OR(UPPER(D20)="SUPRESSAO",UPPER(D20)="DECRESCIMO"),-1,1)*G20*IF(AND(UPPER(H20)="SIM",ISNUMBER(I20)),I20,1),2))</f>
        <v/>
      </c>
      <c r="K20" s="324" t="n"/>
    </row>
    <row r="21" ht="15.95" customHeight="1">
      <c r="A21" s="324" t="n"/>
      <c r="B21" s="325" t="n"/>
      <c r="C21" s="313">
        <f>IF(B21="","",IFERROR(IF(AND(B21&gt;=parametros!$D$2,B21&lt;=parametros!$E$2),"C0",IF(AND(B21&gt;=parametros!$D$3,B21&lt;=parametros!$E$3),"C1",IF(AND(B21&gt;=parametros!$D$4,B21&lt;=parametros!$E$4),"C2",IF(AND(B21&gt;=parametros!$D$5,B21&lt;=parametros!$E$5),"C3",IF(AND(B21&gt;=parametros!$D$6,B21&lt;=parametros!$E$6),"C4","Fora dos ciclos"))))),"Fora dos ciclos"))</f>
        <v/>
      </c>
      <c r="D21" s="324" t="n"/>
      <c r="E21" s="326" t="n"/>
      <c r="F21" s="327">
        <f>IF(A21="","",IFERROR(VLOOKUP(A21,itens_Remanesc!$A:$C,3,0),""))</f>
        <v/>
      </c>
      <c r="G21" s="327">
        <f>IF(OR(E21="",F21=""),"",ROUND(E21*F21,2))</f>
        <v/>
      </c>
      <c r="H21" s="324" t="n"/>
      <c r="I21" s="253">
        <f>IFERROR(VLOOKUP(C21,parametros!$B:$G,6,0),"")</f>
        <v/>
      </c>
      <c r="J21" s="327">
        <f>IF(G21="","",ROUND(IF(OR(UPPER(D21)="SUPRESSAO",UPPER(D21)="DECRESCIMO"),-1,1)*G21*IF(AND(UPPER(H21)="SIM",ISNUMBER(I21)),I21,1),2))</f>
        <v/>
      </c>
      <c r="K21" s="324" t="n"/>
    </row>
    <row r="22" ht="15.95" customHeight="1">
      <c r="A22" s="324" t="n"/>
      <c r="B22" s="325" t="n"/>
      <c r="C22" s="313">
        <f>IF(B22="","",IFERROR(IF(AND(B22&gt;=parametros!$D$2,B22&lt;=parametros!$E$2),"C0",IF(AND(B22&gt;=parametros!$D$3,B22&lt;=parametros!$E$3),"C1",IF(AND(B22&gt;=parametros!$D$4,B22&lt;=parametros!$E$4),"C2",IF(AND(B22&gt;=parametros!$D$5,B22&lt;=parametros!$E$5),"C3",IF(AND(B22&gt;=parametros!$D$6,B22&lt;=parametros!$E$6),"C4","Fora dos ciclos"))))),"Fora dos ciclos"))</f>
        <v/>
      </c>
      <c r="D22" s="324" t="n"/>
      <c r="E22" s="326" t="n"/>
      <c r="F22" s="327">
        <f>IF(A22="","",IFERROR(VLOOKUP(A22,itens_Remanesc!$A:$C,3,0),""))</f>
        <v/>
      </c>
      <c r="G22" s="327">
        <f>IF(OR(E22="",F22=""),"",ROUND(E22*F22,2))</f>
        <v/>
      </c>
      <c r="H22" s="324" t="n"/>
      <c r="I22" s="253">
        <f>IFERROR(VLOOKUP(C22,parametros!$B:$G,6,0),"")</f>
        <v/>
      </c>
      <c r="J22" s="327">
        <f>IF(G22="","",ROUND(IF(OR(UPPER(D22)="SUPRESSAO",UPPER(D22)="DECRESCIMO"),-1,1)*G22*IF(AND(UPPER(H22)="SIM",ISNUMBER(I22)),I22,1),2))</f>
        <v/>
      </c>
      <c r="K22" s="324" t="n"/>
    </row>
    <row r="23" ht="15.95" customHeight="1">
      <c r="A23" s="324" t="n"/>
      <c r="B23" s="325" t="n"/>
      <c r="C23" s="313">
        <f>IF(B23="","",IFERROR(IF(AND(B23&gt;=parametros!$D$2,B23&lt;=parametros!$E$2),"C0",IF(AND(B23&gt;=parametros!$D$3,B23&lt;=parametros!$E$3),"C1",IF(AND(B23&gt;=parametros!$D$4,B23&lt;=parametros!$E$4),"C2",IF(AND(B23&gt;=parametros!$D$5,B23&lt;=parametros!$E$5),"C3",IF(AND(B23&gt;=parametros!$D$6,B23&lt;=parametros!$E$6),"C4","Fora dos ciclos"))))),"Fora dos ciclos"))</f>
        <v/>
      </c>
      <c r="D23" s="324" t="n"/>
      <c r="E23" s="326" t="n"/>
      <c r="F23" s="327">
        <f>IF(A23="","",IFERROR(VLOOKUP(A23,itens_Remanesc!$A:$C,3,0),""))</f>
        <v/>
      </c>
      <c r="G23" s="327">
        <f>IF(OR(E23="",F23=""),"",ROUND(E23*F23,2))</f>
        <v/>
      </c>
      <c r="H23" s="324" t="n"/>
      <c r="I23" s="253">
        <f>IFERROR(VLOOKUP(C23,parametros!$B:$G,6,0),"")</f>
        <v/>
      </c>
      <c r="J23" s="327">
        <f>IF(G23="","",ROUND(IF(OR(UPPER(D23)="SUPRESSAO",UPPER(D23)="DECRESCIMO"),-1,1)*G23*IF(AND(UPPER(H23)="SIM",ISNUMBER(I23)),I23,1),2))</f>
        <v/>
      </c>
      <c r="K23" s="324" t="n"/>
    </row>
    <row r="24" ht="15.95" customHeight="1">
      <c r="A24" s="324" t="n"/>
      <c r="B24" s="325" t="n"/>
      <c r="C24" s="313">
        <f>IF(B24="","",IFERROR(IF(AND(B24&gt;=parametros!$D$2,B24&lt;=parametros!$E$2),"C0",IF(AND(B24&gt;=parametros!$D$3,B24&lt;=parametros!$E$3),"C1",IF(AND(B24&gt;=parametros!$D$4,B24&lt;=parametros!$E$4),"C2",IF(AND(B24&gt;=parametros!$D$5,B24&lt;=parametros!$E$5),"C3",IF(AND(B24&gt;=parametros!$D$6,B24&lt;=parametros!$E$6),"C4","Fora dos ciclos"))))),"Fora dos ciclos"))</f>
        <v/>
      </c>
      <c r="D24" s="324" t="n"/>
      <c r="E24" s="326" t="n"/>
      <c r="F24" s="327">
        <f>IF(A24="","",IFERROR(VLOOKUP(A24,itens_Remanesc!$A:$C,3,0),""))</f>
        <v/>
      </c>
      <c r="G24" s="327">
        <f>IF(OR(E24="",F24=""),"",ROUND(E24*F24,2))</f>
        <v/>
      </c>
      <c r="H24" s="324" t="n"/>
      <c r="I24" s="253">
        <f>IFERROR(VLOOKUP(C24,parametros!$B:$G,6,0),"")</f>
        <v/>
      </c>
      <c r="J24" s="327">
        <f>IF(G24="","",ROUND(IF(OR(UPPER(D24)="SUPRESSAO",UPPER(D24)="DECRESCIMO"),-1,1)*G24*IF(AND(UPPER(H24)="SIM",ISNUMBER(I24)),I24,1),2))</f>
        <v/>
      </c>
      <c r="K24" s="324" t="n"/>
    </row>
    <row r="25" ht="15.95" customHeight="1">
      <c r="A25" s="324" t="n"/>
      <c r="B25" s="325" t="n"/>
      <c r="C25" s="313">
        <f>IF(B25="","",IFERROR(IF(AND(B25&gt;=parametros!$D$2,B25&lt;=parametros!$E$2),"C0",IF(AND(B25&gt;=parametros!$D$3,B25&lt;=parametros!$E$3),"C1",IF(AND(B25&gt;=parametros!$D$4,B25&lt;=parametros!$E$4),"C2",IF(AND(B25&gt;=parametros!$D$5,B25&lt;=parametros!$E$5),"C3",IF(AND(B25&gt;=parametros!$D$6,B25&lt;=parametros!$E$6),"C4","Fora dos ciclos"))))),"Fora dos ciclos"))</f>
        <v/>
      </c>
      <c r="D25" s="324" t="n"/>
      <c r="E25" s="326" t="n"/>
      <c r="F25" s="327">
        <f>IF(A25="","",IFERROR(VLOOKUP(A25,itens_Remanesc!$A:$C,3,0),""))</f>
        <v/>
      </c>
      <c r="G25" s="327">
        <f>IF(OR(E25="",F25=""),"",ROUND(E25*F25,2))</f>
        <v/>
      </c>
      <c r="H25" s="324" t="n"/>
      <c r="I25" s="253">
        <f>IFERROR(VLOOKUP(C25,parametros!$B:$G,6,0),"")</f>
        <v/>
      </c>
      <c r="J25" s="327">
        <f>IF(G25="","",ROUND(IF(OR(UPPER(D25)="SUPRESSAO",UPPER(D25)="DECRESCIMO"),-1,1)*G25*IF(AND(UPPER(H25)="SIM",ISNUMBER(I25)),I25,1),2))</f>
        <v/>
      </c>
      <c r="K25" s="324" t="n"/>
    </row>
    <row r="26" ht="15.95" customHeight="1">
      <c r="A26" s="324" t="n"/>
      <c r="B26" s="325" t="n"/>
      <c r="C26" s="313">
        <f>IF(B26="","",IFERROR(IF(AND(B26&gt;=parametros!$D$2,B26&lt;=parametros!$E$2),"C0",IF(AND(B26&gt;=parametros!$D$3,B26&lt;=parametros!$E$3),"C1",IF(AND(B26&gt;=parametros!$D$4,B26&lt;=parametros!$E$4),"C2",IF(AND(B26&gt;=parametros!$D$5,B26&lt;=parametros!$E$5),"C3",IF(AND(B26&gt;=parametros!$D$6,B26&lt;=parametros!$E$6),"C4","Fora dos ciclos"))))),"Fora dos ciclos"))</f>
        <v/>
      </c>
      <c r="D26" s="324" t="n"/>
      <c r="E26" s="326" t="n"/>
      <c r="F26" s="327">
        <f>IF(A26="","",IFERROR(VLOOKUP(A26,itens_Remanesc!$A:$C,3,0),""))</f>
        <v/>
      </c>
      <c r="G26" s="327">
        <f>IF(OR(E26="",F26=""),"",ROUND(E26*F26,2))</f>
        <v/>
      </c>
      <c r="H26" s="324" t="n"/>
      <c r="I26" s="253">
        <f>IFERROR(VLOOKUP(C26,parametros!$B:$G,6,0),"")</f>
        <v/>
      </c>
      <c r="J26" s="327">
        <f>IF(G26="","",ROUND(IF(OR(UPPER(D26)="SUPRESSAO",UPPER(D26)="DECRESCIMO"),-1,1)*G26*IF(AND(UPPER(H26)="SIM",ISNUMBER(I26)),I26,1),2))</f>
        <v/>
      </c>
      <c r="K26" s="324" t="n"/>
    </row>
    <row r="27" ht="15.95" customHeight="1">
      <c r="A27" s="324" t="n"/>
      <c r="B27" s="325" t="n"/>
      <c r="C27" s="313">
        <f>IF(B27="","",IFERROR(IF(AND(B27&gt;=parametros!$D$2,B27&lt;=parametros!$E$2),"C0",IF(AND(B27&gt;=parametros!$D$3,B27&lt;=parametros!$E$3),"C1",IF(AND(B27&gt;=parametros!$D$4,B27&lt;=parametros!$E$4),"C2",IF(AND(B27&gt;=parametros!$D$5,B27&lt;=parametros!$E$5),"C3",IF(AND(B27&gt;=parametros!$D$6,B27&lt;=parametros!$E$6),"C4","Fora dos ciclos"))))),"Fora dos ciclos"))</f>
        <v/>
      </c>
      <c r="D27" s="324" t="n"/>
      <c r="E27" s="326" t="n"/>
      <c r="F27" s="327">
        <f>IF(A27="","",IFERROR(VLOOKUP(A27,itens_Remanesc!$A:$C,3,0),""))</f>
        <v/>
      </c>
      <c r="G27" s="327">
        <f>IF(OR(E27="",F27=""),"",ROUND(E27*F27,2))</f>
        <v/>
      </c>
      <c r="H27" s="324" t="n"/>
      <c r="I27" s="253">
        <f>IFERROR(VLOOKUP(C27,parametros!$B:$G,6,0),"")</f>
        <v/>
      </c>
      <c r="J27" s="327">
        <f>IF(G27="","",ROUND(IF(OR(UPPER(D27)="SUPRESSAO",UPPER(D27)="DECRESCIMO"),-1,1)*G27*IF(AND(UPPER(H27)="SIM",ISNUMBER(I27)),I27,1),2))</f>
        <v/>
      </c>
      <c r="K27" s="324" t="n"/>
    </row>
    <row r="28" ht="15.95" customHeight="1">
      <c r="A28" s="324" t="n"/>
      <c r="B28" s="325" t="n"/>
      <c r="C28" s="313">
        <f>IF(B28="","",IFERROR(IF(AND(B28&gt;=parametros!$D$2,B28&lt;=parametros!$E$2),"C0",IF(AND(B28&gt;=parametros!$D$3,B28&lt;=parametros!$E$3),"C1",IF(AND(B28&gt;=parametros!$D$4,B28&lt;=parametros!$E$4),"C2",IF(AND(B28&gt;=parametros!$D$5,B28&lt;=parametros!$E$5),"C3",IF(AND(B28&gt;=parametros!$D$6,B28&lt;=parametros!$E$6),"C4","Fora dos ciclos"))))),"Fora dos ciclos"))</f>
        <v/>
      </c>
      <c r="D28" s="324" t="n"/>
      <c r="E28" s="326" t="n"/>
      <c r="F28" s="327">
        <f>IF(A28="","",IFERROR(VLOOKUP(A28,itens_Remanesc!$A:$C,3,0),""))</f>
        <v/>
      </c>
      <c r="G28" s="327">
        <f>IF(OR(E28="",F28=""),"",ROUND(E28*F28,2))</f>
        <v/>
      </c>
      <c r="H28" s="324" t="n"/>
      <c r="I28" s="253">
        <f>IFERROR(VLOOKUP(C28,parametros!$B:$G,6,0),"")</f>
        <v/>
      </c>
      <c r="J28" s="327">
        <f>IF(G28="","",ROUND(IF(OR(UPPER(D28)="SUPRESSAO",UPPER(D28)="DECRESCIMO"),-1,1)*G28*IF(AND(UPPER(H28)="SIM",ISNUMBER(I28)),I28,1),2))</f>
        <v/>
      </c>
      <c r="K28" s="324" t="n"/>
    </row>
    <row r="29" ht="15.95" customHeight="1">
      <c r="A29" s="324" t="n"/>
      <c r="B29" s="325" t="n"/>
      <c r="C29" s="313">
        <f>IF(B29="","",IFERROR(IF(AND(B29&gt;=parametros!$D$2,B29&lt;=parametros!$E$2),"C0",IF(AND(B29&gt;=parametros!$D$3,B29&lt;=parametros!$E$3),"C1",IF(AND(B29&gt;=parametros!$D$4,B29&lt;=parametros!$E$4),"C2",IF(AND(B29&gt;=parametros!$D$5,B29&lt;=parametros!$E$5),"C3",IF(AND(B29&gt;=parametros!$D$6,B29&lt;=parametros!$E$6),"C4","Fora dos ciclos"))))),"Fora dos ciclos"))</f>
        <v/>
      </c>
      <c r="D29" s="324" t="n"/>
      <c r="E29" s="326" t="n"/>
      <c r="F29" s="327">
        <f>IF(A29="","",IFERROR(VLOOKUP(A29,itens_Remanesc!$A:$C,3,0),""))</f>
        <v/>
      </c>
      <c r="G29" s="327">
        <f>IF(OR(E29="",F29=""),"",ROUND(E29*F29,2))</f>
        <v/>
      </c>
      <c r="H29" s="324" t="n"/>
      <c r="I29" s="253">
        <f>IFERROR(VLOOKUP(C29,parametros!$B:$G,6,0),"")</f>
        <v/>
      </c>
      <c r="J29" s="327">
        <f>IF(G29="","",ROUND(IF(OR(UPPER(D29)="SUPRESSAO",UPPER(D29)="DECRESCIMO"),-1,1)*G29*IF(AND(UPPER(H29)="SIM",ISNUMBER(I29)),I29,1),2))</f>
        <v/>
      </c>
      <c r="K29" s="324" t="n"/>
    </row>
    <row r="30" ht="15.95" customHeight="1">
      <c r="A30" s="324" t="n"/>
      <c r="B30" s="325" t="n"/>
      <c r="C30" s="313">
        <f>IF(B30="","",IFERROR(IF(AND(B30&gt;=parametros!$D$2,B30&lt;=parametros!$E$2),"C0",IF(AND(B30&gt;=parametros!$D$3,B30&lt;=parametros!$E$3),"C1",IF(AND(B30&gt;=parametros!$D$4,B30&lt;=parametros!$E$4),"C2",IF(AND(B30&gt;=parametros!$D$5,B30&lt;=parametros!$E$5),"C3",IF(AND(B30&gt;=parametros!$D$6,B30&lt;=parametros!$E$6),"C4","Fora dos ciclos"))))),"Fora dos ciclos"))</f>
        <v/>
      </c>
      <c r="D30" s="324" t="n"/>
      <c r="E30" s="326" t="n"/>
      <c r="F30" s="327">
        <f>IF(A30="","",IFERROR(VLOOKUP(A30,itens_Remanesc!$A:$C,3,0),""))</f>
        <v/>
      </c>
      <c r="G30" s="327">
        <f>IF(OR(E30="",F30=""),"",ROUND(E30*F30,2))</f>
        <v/>
      </c>
      <c r="H30" s="324" t="n"/>
      <c r="I30" s="253">
        <f>IFERROR(VLOOKUP(C30,parametros!$B:$G,6,0),"")</f>
        <v/>
      </c>
      <c r="J30" s="327">
        <f>IF(G30="","",ROUND(IF(OR(UPPER(D30)="SUPRESSAO",UPPER(D30)="DECRESCIMO"),-1,1)*G30*IF(AND(UPPER(H30)="SIM",ISNUMBER(I30)),I30,1),2))</f>
        <v/>
      </c>
      <c r="K30" s="324" t="n"/>
    </row>
    <row r="31" ht="15.95" customHeight="1">
      <c r="A31" s="324" t="n"/>
      <c r="B31" s="325" t="n"/>
      <c r="C31" s="313">
        <f>IF(B31="","",IFERROR(IF(AND(B31&gt;=parametros!$D$2,B31&lt;=parametros!$E$2),"C0",IF(AND(B31&gt;=parametros!$D$3,B31&lt;=parametros!$E$3),"C1",IF(AND(B31&gt;=parametros!$D$4,B31&lt;=parametros!$E$4),"C2",IF(AND(B31&gt;=parametros!$D$5,B31&lt;=parametros!$E$5),"C3",IF(AND(B31&gt;=parametros!$D$6,B31&lt;=parametros!$E$6),"C4","Fora dos ciclos"))))),"Fora dos ciclos"))</f>
        <v/>
      </c>
      <c r="D31" s="324" t="n"/>
      <c r="E31" s="326" t="n"/>
      <c r="F31" s="327">
        <f>IF(A31="","",IFERROR(VLOOKUP(A31,itens_Remanesc!$A:$C,3,0),""))</f>
        <v/>
      </c>
      <c r="G31" s="327">
        <f>IF(OR(E31="",F31=""),"",ROUND(E31*F31,2))</f>
        <v/>
      </c>
      <c r="H31" s="324" t="n"/>
      <c r="I31" s="253">
        <f>IFERROR(VLOOKUP(C31,parametros!$B:$G,6,0),"")</f>
        <v/>
      </c>
      <c r="J31" s="327">
        <f>IF(G31="","",ROUND(IF(OR(UPPER(D31)="SUPRESSAO",UPPER(D31)="DECRESCIMO"),-1,1)*G31*IF(AND(UPPER(H31)="SIM",ISNUMBER(I31)),I31,1),2))</f>
        <v/>
      </c>
      <c r="K31" s="324" t="n"/>
    </row>
    <row r="32" ht="15.95" customHeight="1">
      <c r="A32" s="324" t="n"/>
      <c r="B32" s="325" t="n"/>
      <c r="C32" s="313">
        <f>IF(B32="","",IFERROR(IF(AND(B32&gt;=parametros!$D$2,B32&lt;=parametros!$E$2),"C0",IF(AND(B32&gt;=parametros!$D$3,B32&lt;=parametros!$E$3),"C1",IF(AND(B32&gt;=parametros!$D$4,B32&lt;=parametros!$E$4),"C2",IF(AND(B32&gt;=parametros!$D$5,B32&lt;=parametros!$E$5),"C3",IF(AND(B32&gt;=parametros!$D$6,B32&lt;=parametros!$E$6),"C4","Fora dos ciclos"))))),"Fora dos ciclos"))</f>
        <v/>
      </c>
      <c r="D32" s="324" t="n"/>
      <c r="E32" s="326" t="n"/>
      <c r="F32" s="327">
        <f>IF(A32="","",IFERROR(VLOOKUP(A32,itens_Remanesc!$A:$C,3,0),""))</f>
        <v/>
      </c>
      <c r="G32" s="327">
        <f>IF(OR(E32="",F32=""),"",ROUND(E32*F32,2))</f>
        <v/>
      </c>
      <c r="H32" s="324" t="n"/>
      <c r="I32" s="253">
        <f>IFERROR(VLOOKUP(C32,parametros!$B:$G,6,0),"")</f>
        <v/>
      </c>
      <c r="J32" s="327">
        <f>IF(G32="","",ROUND(IF(OR(UPPER(D32)="SUPRESSAO",UPPER(D32)="DECRESCIMO"),-1,1)*G32*IF(AND(UPPER(H32)="SIM",ISNUMBER(I32)),I32,1),2))</f>
        <v/>
      </c>
      <c r="K32" s="324" t="n"/>
    </row>
    <row r="33" ht="15.95" customHeight="1">
      <c r="A33" s="324" t="n"/>
      <c r="B33" s="325" t="n"/>
      <c r="C33" s="313">
        <f>IF(B33="","",IFERROR(IF(AND(B33&gt;=parametros!$D$2,B33&lt;=parametros!$E$2),"C0",IF(AND(B33&gt;=parametros!$D$3,B33&lt;=parametros!$E$3),"C1",IF(AND(B33&gt;=parametros!$D$4,B33&lt;=parametros!$E$4),"C2",IF(AND(B33&gt;=parametros!$D$5,B33&lt;=parametros!$E$5),"C3",IF(AND(B33&gt;=parametros!$D$6,B33&lt;=parametros!$E$6),"C4","Fora dos ciclos"))))),"Fora dos ciclos"))</f>
        <v/>
      </c>
      <c r="D33" s="324" t="n"/>
      <c r="E33" s="326" t="n"/>
      <c r="F33" s="327">
        <f>IF(A33="","",IFERROR(VLOOKUP(A33,itens_Remanesc!$A:$C,3,0),""))</f>
        <v/>
      </c>
      <c r="G33" s="327">
        <f>IF(OR(E33="",F33=""),"",ROUND(E33*F33,2))</f>
        <v/>
      </c>
      <c r="H33" s="324" t="n"/>
      <c r="I33" s="253">
        <f>IFERROR(VLOOKUP(C33,parametros!$B:$G,6,0),"")</f>
        <v/>
      </c>
      <c r="J33" s="327">
        <f>IF(G33="","",ROUND(IF(OR(UPPER(D33)="SUPRESSAO",UPPER(D33)="DECRESCIMO"),-1,1)*G33*IF(AND(UPPER(H33)="SIM",ISNUMBER(I33)),I33,1),2))</f>
        <v/>
      </c>
      <c r="K33" s="324" t="n"/>
    </row>
    <row r="34" ht="15.95" customHeight="1">
      <c r="A34" s="324" t="n"/>
      <c r="B34" s="325" t="n"/>
      <c r="C34" s="313">
        <f>IF(B34="","",IFERROR(IF(AND(B34&gt;=parametros!$D$2,B34&lt;=parametros!$E$2),"C0",IF(AND(B34&gt;=parametros!$D$3,B34&lt;=parametros!$E$3),"C1",IF(AND(B34&gt;=parametros!$D$4,B34&lt;=parametros!$E$4),"C2",IF(AND(B34&gt;=parametros!$D$5,B34&lt;=parametros!$E$5),"C3",IF(AND(B34&gt;=parametros!$D$6,B34&lt;=parametros!$E$6),"C4","Fora dos ciclos"))))),"Fora dos ciclos"))</f>
        <v/>
      </c>
      <c r="D34" s="324" t="n"/>
      <c r="E34" s="326" t="n"/>
      <c r="F34" s="327">
        <f>IF(A34="","",IFERROR(VLOOKUP(A34,itens_Remanesc!$A:$C,3,0),""))</f>
        <v/>
      </c>
      <c r="G34" s="327">
        <f>IF(OR(E34="",F34=""),"",ROUND(E34*F34,2))</f>
        <v/>
      </c>
      <c r="H34" s="324" t="n"/>
      <c r="I34" s="253">
        <f>IFERROR(VLOOKUP(C34,parametros!$B:$G,6,0),"")</f>
        <v/>
      </c>
      <c r="J34" s="327">
        <f>IF(G34="","",ROUND(IF(OR(UPPER(D34)="SUPRESSAO",UPPER(D34)="DECRESCIMO"),-1,1)*G34*IF(AND(UPPER(H34)="SIM",ISNUMBER(I34)),I34,1),2))</f>
        <v/>
      </c>
      <c r="K34" s="324" t="n"/>
    </row>
    <row r="35" ht="15.95" customHeight="1">
      <c r="A35" s="324" t="n"/>
      <c r="B35" s="325" t="n"/>
      <c r="C35" s="313">
        <f>IF(B35="","",IFERROR(IF(AND(B35&gt;=parametros!$D$2,B35&lt;=parametros!$E$2),"C0",IF(AND(B35&gt;=parametros!$D$3,B35&lt;=parametros!$E$3),"C1",IF(AND(B35&gt;=parametros!$D$4,B35&lt;=parametros!$E$4),"C2",IF(AND(B35&gt;=parametros!$D$5,B35&lt;=parametros!$E$5),"C3",IF(AND(B35&gt;=parametros!$D$6,B35&lt;=parametros!$E$6),"C4","Fora dos ciclos"))))),"Fora dos ciclos"))</f>
        <v/>
      </c>
      <c r="D35" s="324" t="n"/>
      <c r="E35" s="326" t="n"/>
      <c r="F35" s="327">
        <f>IF(A35="","",IFERROR(VLOOKUP(A35,itens_Remanesc!$A:$C,3,0),""))</f>
        <v/>
      </c>
      <c r="G35" s="327">
        <f>IF(OR(E35="",F35=""),"",ROUND(E35*F35,2))</f>
        <v/>
      </c>
      <c r="H35" s="324" t="n"/>
      <c r="I35" s="253">
        <f>IFERROR(VLOOKUP(C35,parametros!$B:$G,6,0),"")</f>
        <v/>
      </c>
      <c r="J35" s="327">
        <f>IF(G35="","",ROUND(IF(OR(UPPER(D35)="SUPRESSAO",UPPER(D35)="DECRESCIMO"),-1,1)*G35*IF(AND(UPPER(H35)="SIM",ISNUMBER(I35)),I35,1),2))</f>
        <v/>
      </c>
      <c r="K35" s="324" t="n"/>
    </row>
    <row r="36" ht="15.95" customHeight="1">
      <c r="A36" s="324" t="n"/>
      <c r="B36" s="325" t="n"/>
      <c r="C36" s="313">
        <f>IF(B36="","",IFERROR(IF(AND(B36&gt;=parametros!$D$2,B36&lt;=parametros!$E$2),"C0",IF(AND(B36&gt;=parametros!$D$3,B36&lt;=parametros!$E$3),"C1",IF(AND(B36&gt;=parametros!$D$4,B36&lt;=parametros!$E$4),"C2",IF(AND(B36&gt;=parametros!$D$5,B36&lt;=parametros!$E$5),"C3",IF(AND(B36&gt;=parametros!$D$6,B36&lt;=parametros!$E$6),"C4","Fora dos ciclos"))))),"Fora dos ciclos"))</f>
        <v/>
      </c>
      <c r="D36" s="324" t="n"/>
      <c r="E36" s="326" t="n"/>
      <c r="F36" s="327">
        <f>IF(A36="","",IFERROR(VLOOKUP(A36,itens_Remanesc!$A:$C,3,0),""))</f>
        <v/>
      </c>
      <c r="G36" s="327">
        <f>IF(OR(E36="",F36=""),"",ROUND(E36*F36,2))</f>
        <v/>
      </c>
      <c r="H36" s="324" t="n"/>
      <c r="I36" s="253">
        <f>IFERROR(VLOOKUP(C36,parametros!$B:$G,6,0),"")</f>
        <v/>
      </c>
      <c r="J36" s="327">
        <f>IF(G36="","",ROUND(IF(OR(UPPER(D36)="SUPRESSAO",UPPER(D36)="DECRESCIMO"),-1,1)*G36*IF(AND(UPPER(H36)="SIM",ISNUMBER(I36)),I36,1),2))</f>
        <v/>
      </c>
      <c r="K36" s="324" t="n"/>
    </row>
    <row r="37" ht="15.95" customHeight="1">
      <c r="A37" s="324" t="n"/>
      <c r="B37" s="325" t="n"/>
      <c r="C37" s="313">
        <f>IF(B37="","",IFERROR(IF(AND(B37&gt;=parametros!$D$2,B37&lt;=parametros!$E$2),"C0",IF(AND(B37&gt;=parametros!$D$3,B37&lt;=parametros!$E$3),"C1",IF(AND(B37&gt;=parametros!$D$4,B37&lt;=parametros!$E$4),"C2",IF(AND(B37&gt;=parametros!$D$5,B37&lt;=parametros!$E$5),"C3",IF(AND(B37&gt;=parametros!$D$6,B37&lt;=parametros!$E$6),"C4","Fora dos ciclos"))))),"Fora dos ciclos"))</f>
        <v/>
      </c>
      <c r="D37" s="324" t="n"/>
      <c r="E37" s="326" t="n"/>
      <c r="F37" s="327">
        <f>IF(A37="","",IFERROR(VLOOKUP(A37,itens_Remanesc!$A:$C,3,0),""))</f>
        <v/>
      </c>
      <c r="G37" s="327">
        <f>IF(OR(E37="",F37=""),"",ROUND(E37*F37,2))</f>
        <v/>
      </c>
      <c r="H37" s="324" t="n"/>
      <c r="I37" s="253">
        <f>IFERROR(VLOOKUP(C37,parametros!$B:$G,6,0),"")</f>
        <v/>
      </c>
      <c r="J37" s="327">
        <f>IF(G37="","",ROUND(IF(OR(UPPER(D37)="SUPRESSAO",UPPER(D37)="DECRESCIMO"),-1,1)*G37*IF(AND(UPPER(H37)="SIM",ISNUMBER(I37)),I37,1),2))</f>
        <v/>
      </c>
      <c r="K37" s="324" t="n"/>
    </row>
    <row r="38" ht="15.95" customHeight="1">
      <c r="A38" s="324" t="n"/>
      <c r="B38" s="325" t="n"/>
      <c r="C38" s="313">
        <f>IF(B38="","",IFERROR(IF(AND(B38&gt;=parametros!$D$2,B38&lt;=parametros!$E$2),"C0",IF(AND(B38&gt;=parametros!$D$3,B38&lt;=parametros!$E$3),"C1",IF(AND(B38&gt;=parametros!$D$4,B38&lt;=parametros!$E$4),"C2",IF(AND(B38&gt;=parametros!$D$5,B38&lt;=parametros!$E$5),"C3",IF(AND(B38&gt;=parametros!$D$6,B38&lt;=parametros!$E$6),"C4","Fora dos ciclos"))))),"Fora dos ciclos"))</f>
        <v/>
      </c>
      <c r="D38" s="324" t="n"/>
      <c r="E38" s="326" t="n"/>
      <c r="F38" s="327">
        <f>IF(A38="","",IFERROR(VLOOKUP(A38,itens_Remanesc!$A:$C,3,0),""))</f>
        <v/>
      </c>
      <c r="G38" s="327">
        <f>IF(OR(E38="",F38=""),"",ROUND(E38*F38,2))</f>
        <v/>
      </c>
      <c r="H38" s="324" t="n"/>
      <c r="I38" s="253">
        <f>IFERROR(VLOOKUP(C38,parametros!$B:$G,6,0),"")</f>
        <v/>
      </c>
      <c r="J38" s="327">
        <f>IF(G38="","",ROUND(IF(OR(UPPER(D38)="SUPRESSAO",UPPER(D38)="DECRESCIMO"),-1,1)*G38*IF(AND(UPPER(H38)="SIM",ISNUMBER(I38)),I38,1),2))</f>
        <v/>
      </c>
      <c r="K38" s="324" t="n"/>
    </row>
    <row r="39" ht="15.95" customHeight="1">
      <c r="A39" s="324" t="n"/>
      <c r="B39" s="325" t="n"/>
      <c r="C39" s="313">
        <f>IF(B39="","",IFERROR(IF(AND(B39&gt;=parametros!$D$2,B39&lt;=parametros!$E$2),"C0",IF(AND(B39&gt;=parametros!$D$3,B39&lt;=parametros!$E$3),"C1",IF(AND(B39&gt;=parametros!$D$4,B39&lt;=parametros!$E$4),"C2",IF(AND(B39&gt;=parametros!$D$5,B39&lt;=parametros!$E$5),"C3",IF(AND(B39&gt;=parametros!$D$6,B39&lt;=parametros!$E$6),"C4","Fora dos ciclos"))))),"Fora dos ciclos"))</f>
        <v/>
      </c>
      <c r="D39" s="324" t="n"/>
      <c r="E39" s="326" t="n"/>
      <c r="F39" s="327">
        <f>IF(A39="","",IFERROR(VLOOKUP(A39,itens_Remanesc!$A:$C,3,0),""))</f>
        <v/>
      </c>
      <c r="G39" s="327">
        <f>IF(OR(E39="",F39=""),"",ROUND(E39*F39,2))</f>
        <v/>
      </c>
      <c r="H39" s="324" t="n"/>
      <c r="I39" s="253">
        <f>IFERROR(VLOOKUP(C39,parametros!$B:$G,6,0),"")</f>
        <v/>
      </c>
      <c r="J39" s="327">
        <f>IF(G39="","",ROUND(IF(OR(UPPER(D39)="SUPRESSAO",UPPER(D39)="DECRESCIMO"),-1,1)*G39*IF(AND(UPPER(H39)="SIM",ISNUMBER(I39)),I39,1),2))</f>
        <v/>
      </c>
      <c r="K39" s="324" t="n"/>
    </row>
    <row r="40" ht="15.95" customHeight="1">
      <c r="A40" s="324" t="n"/>
      <c r="B40" s="325" t="n"/>
      <c r="C40" s="313">
        <f>IF(B40="","",IFERROR(IF(AND(B40&gt;=parametros!$D$2,B40&lt;=parametros!$E$2),"C0",IF(AND(B40&gt;=parametros!$D$3,B40&lt;=parametros!$E$3),"C1",IF(AND(B40&gt;=parametros!$D$4,B40&lt;=parametros!$E$4),"C2",IF(AND(B40&gt;=parametros!$D$5,B40&lt;=parametros!$E$5),"C3",IF(AND(B40&gt;=parametros!$D$6,B40&lt;=parametros!$E$6),"C4","Fora dos ciclos"))))),"Fora dos ciclos"))</f>
        <v/>
      </c>
      <c r="D40" s="324" t="n"/>
      <c r="E40" s="326" t="n"/>
      <c r="F40" s="327">
        <f>IF(A40="","",IFERROR(VLOOKUP(A40,itens_Remanesc!$A:$C,3,0),""))</f>
        <v/>
      </c>
      <c r="G40" s="327">
        <f>IF(OR(E40="",F40=""),"",ROUND(E40*F40,2))</f>
        <v/>
      </c>
      <c r="H40" s="324" t="n"/>
      <c r="I40" s="253">
        <f>IFERROR(VLOOKUP(C40,parametros!$B:$G,6,0),"")</f>
        <v/>
      </c>
      <c r="J40" s="327">
        <f>IF(G40="","",ROUND(IF(OR(UPPER(D40)="SUPRESSAO",UPPER(D40)="DECRESCIMO"),-1,1)*G40*IF(AND(UPPER(H40)="SIM",ISNUMBER(I40)),I40,1),2))</f>
        <v/>
      </c>
      <c r="K40" s="324" t="n"/>
    </row>
    <row r="41" ht="15.95" customHeight="1">
      <c r="A41" s="324" t="n"/>
      <c r="B41" s="325" t="n"/>
      <c r="C41" s="313">
        <f>IF(B41="","",IFERROR(IF(AND(B41&gt;=parametros!$D$2,B41&lt;=parametros!$E$2),"C0",IF(AND(B41&gt;=parametros!$D$3,B41&lt;=parametros!$E$3),"C1",IF(AND(B41&gt;=parametros!$D$4,B41&lt;=parametros!$E$4),"C2",IF(AND(B41&gt;=parametros!$D$5,B41&lt;=parametros!$E$5),"C3",IF(AND(B41&gt;=parametros!$D$6,B41&lt;=parametros!$E$6),"C4","Fora dos ciclos"))))),"Fora dos ciclos"))</f>
        <v/>
      </c>
      <c r="D41" s="324" t="n"/>
      <c r="E41" s="326" t="n"/>
      <c r="F41" s="327">
        <f>IF(A41="","",IFERROR(VLOOKUP(A41,itens_Remanesc!$A:$C,3,0),""))</f>
        <v/>
      </c>
      <c r="G41" s="327">
        <f>IF(OR(E41="",F41=""),"",ROUND(E41*F41,2))</f>
        <v/>
      </c>
      <c r="H41" s="324" t="n"/>
      <c r="I41" s="253">
        <f>IFERROR(VLOOKUP(C41,parametros!$B:$G,6,0),"")</f>
        <v/>
      </c>
      <c r="J41" s="327">
        <f>IF(G41="","",ROUND(IF(OR(UPPER(D41)="SUPRESSAO",UPPER(D41)="DECRESCIMO"),-1,1)*G41*IF(AND(UPPER(H41)="SIM",ISNUMBER(I41)),I41,1),2))</f>
        <v/>
      </c>
      <c r="K41" s="324" t="n"/>
    </row>
    <row r="42" ht="15.95" customHeight="1">
      <c r="A42" s="324" t="n"/>
      <c r="B42" s="325" t="n"/>
      <c r="C42" s="313">
        <f>IF(B42="","",IFERROR(IF(AND(B42&gt;=parametros!$D$2,B42&lt;=parametros!$E$2),"C0",IF(AND(B42&gt;=parametros!$D$3,B42&lt;=parametros!$E$3),"C1",IF(AND(B42&gt;=parametros!$D$4,B42&lt;=parametros!$E$4),"C2",IF(AND(B42&gt;=parametros!$D$5,B42&lt;=parametros!$E$5),"C3",IF(AND(B42&gt;=parametros!$D$6,B42&lt;=parametros!$E$6),"C4","Fora dos ciclos"))))),"Fora dos ciclos"))</f>
        <v/>
      </c>
      <c r="D42" s="324" t="n"/>
      <c r="E42" s="326" t="n"/>
      <c r="F42" s="327">
        <f>IF(A42="","",IFERROR(VLOOKUP(A42,itens_Remanesc!$A:$C,3,0),""))</f>
        <v/>
      </c>
      <c r="G42" s="327">
        <f>IF(OR(E42="",F42=""),"",ROUND(E42*F42,2))</f>
        <v/>
      </c>
      <c r="H42" s="324" t="n"/>
      <c r="I42" s="253">
        <f>IFERROR(VLOOKUP(C42,parametros!$B:$G,6,0),"")</f>
        <v/>
      </c>
      <c r="J42" s="327">
        <f>IF(G42="","",ROUND(IF(OR(UPPER(D42)="SUPRESSAO",UPPER(D42)="DECRESCIMO"),-1,1)*G42*IF(AND(UPPER(H42)="SIM",ISNUMBER(I42)),I42,1),2))</f>
        <v/>
      </c>
      <c r="K42" s="324" t="n"/>
    </row>
    <row r="43" ht="15.95" customHeight="1">
      <c r="A43" s="324" t="n"/>
      <c r="B43" s="325" t="n"/>
      <c r="C43" s="313">
        <f>IF(B43="","",IFERROR(IF(AND(B43&gt;=parametros!$D$2,B43&lt;=parametros!$E$2),"C0",IF(AND(B43&gt;=parametros!$D$3,B43&lt;=parametros!$E$3),"C1",IF(AND(B43&gt;=parametros!$D$4,B43&lt;=parametros!$E$4),"C2",IF(AND(B43&gt;=parametros!$D$5,B43&lt;=parametros!$E$5),"C3",IF(AND(B43&gt;=parametros!$D$6,B43&lt;=parametros!$E$6),"C4","Fora dos ciclos"))))),"Fora dos ciclos"))</f>
        <v/>
      </c>
      <c r="D43" s="324" t="n"/>
      <c r="E43" s="326" t="n"/>
      <c r="F43" s="327">
        <f>IF(A43="","",IFERROR(VLOOKUP(A43,itens_Remanesc!$A:$C,3,0),""))</f>
        <v/>
      </c>
      <c r="G43" s="327">
        <f>IF(OR(E43="",F43=""),"",ROUND(E43*F43,2))</f>
        <v/>
      </c>
      <c r="H43" s="324" t="n"/>
      <c r="I43" s="253">
        <f>IFERROR(VLOOKUP(C43,parametros!$B:$G,6,0),"")</f>
        <v/>
      </c>
      <c r="J43" s="327">
        <f>IF(G43="","",ROUND(IF(OR(UPPER(D43)="SUPRESSAO",UPPER(D43)="DECRESCIMO"),-1,1)*G43*IF(AND(UPPER(H43)="SIM",ISNUMBER(I43)),I43,1),2))</f>
        <v/>
      </c>
      <c r="K43" s="324" t="n"/>
    </row>
    <row r="44" ht="15.95" customHeight="1">
      <c r="A44" s="324" t="n"/>
      <c r="B44" s="325" t="n"/>
      <c r="C44" s="313">
        <f>IF(B44="","",IFERROR(IF(AND(B44&gt;=parametros!$D$2,B44&lt;=parametros!$E$2),"C0",IF(AND(B44&gt;=parametros!$D$3,B44&lt;=parametros!$E$3),"C1",IF(AND(B44&gt;=parametros!$D$4,B44&lt;=parametros!$E$4),"C2",IF(AND(B44&gt;=parametros!$D$5,B44&lt;=parametros!$E$5),"C3",IF(AND(B44&gt;=parametros!$D$6,B44&lt;=parametros!$E$6),"C4","Fora dos ciclos"))))),"Fora dos ciclos"))</f>
        <v/>
      </c>
      <c r="D44" s="324" t="n"/>
      <c r="E44" s="326" t="n"/>
      <c r="F44" s="327">
        <f>IF(A44="","",IFERROR(VLOOKUP(A44,itens_Remanesc!$A:$C,3,0),""))</f>
        <v/>
      </c>
      <c r="G44" s="327">
        <f>IF(OR(E44="",F44=""),"",ROUND(E44*F44,2))</f>
        <v/>
      </c>
      <c r="H44" s="324" t="n"/>
      <c r="I44" s="253">
        <f>IFERROR(VLOOKUP(C44,parametros!$B:$G,6,0),"")</f>
        <v/>
      </c>
      <c r="J44" s="327">
        <f>IF(G44="","",ROUND(IF(OR(UPPER(D44)="SUPRESSAO",UPPER(D44)="DECRESCIMO"),-1,1)*G44*IF(AND(UPPER(H44)="SIM",ISNUMBER(I44)),I44,1),2))</f>
        <v/>
      </c>
      <c r="K44" s="324" t="n"/>
    </row>
    <row r="45" ht="15.95" customHeight="1">
      <c r="A45" s="324" t="n"/>
      <c r="B45" s="325" t="n"/>
      <c r="C45" s="313">
        <f>IF(B45="","",IFERROR(IF(AND(B45&gt;=parametros!$D$2,B45&lt;=parametros!$E$2),"C0",IF(AND(B45&gt;=parametros!$D$3,B45&lt;=parametros!$E$3),"C1",IF(AND(B45&gt;=parametros!$D$4,B45&lt;=parametros!$E$4),"C2",IF(AND(B45&gt;=parametros!$D$5,B45&lt;=parametros!$E$5),"C3",IF(AND(B45&gt;=parametros!$D$6,B45&lt;=parametros!$E$6),"C4","Fora dos ciclos"))))),"Fora dos ciclos"))</f>
        <v/>
      </c>
      <c r="D45" s="324" t="n"/>
      <c r="E45" s="326" t="n"/>
      <c r="F45" s="327">
        <f>IF(A45="","",IFERROR(VLOOKUP(A45,itens_Remanesc!$A:$C,3,0),""))</f>
        <v/>
      </c>
      <c r="G45" s="327">
        <f>IF(OR(E45="",F45=""),"",ROUND(E45*F45,2))</f>
        <v/>
      </c>
      <c r="H45" s="324" t="n"/>
      <c r="I45" s="253">
        <f>IFERROR(VLOOKUP(C45,parametros!$B:$G,6,0),"")</f>
        <v/>
      </c>
      <c r="J45" s="327">
        <f>IF(G45="","",ROUND(IF(OR(UPPER(D45)="SUPRESSAO",UPPER(D45)="DECRESCIMO"),-1,1)*G45*IF(AND(UPPER(H45)="SIM",ISNUMBER(I45)),I45,1),2))</f>
        <v/>
      </c>
      <c r="K45" s="324" t="n"/>
    </row>
    <row r="46" ht="15.95" customHeight="1">
      <c r="A46" s="324" t="n"/>
      <c r="B46" s="325" t="n"/>
      <c r="C46" s="313">
        <f>IF(B46="","",IFERROR(IF(AND(B46&gt;=parametros!$D$2,B46&lt;=parametros!$E$2),"C0",IF(AND(B46&gt;=parametros!$D$3,B46&lt;=parametros!$E$3),"C1",IF(AND(B46&gt;=parametros!$D$4,B46&lt;=parametros!$E$4),"C2",IF(AND(B46&gt;=parametros!$D$5,B46&lt;=parametros!$E$5),"C3",IF(AND(B46&gt;=parametros!$D$6,B46&lt;=parametros!$E$6),"C4","Fora dos ciclos"))))),"Fora dos ciclos"))</f>
        <v/>
      </c>
      <c r="D46" s="324" t="n"/>
      <c r="E46" s="326" t="n"/>
      <c r="F46" s="327">
        <f>IF(A46="","",IFERROR(VLOOKUP(A46,itens_Remanesc!$A:$C,3,0),""))</f>
        <v/>
      </c>
      <c r="G46" s="327">
        <f>IF(OR(E46="",F46=""),"",ROUND(E46*F46,2))</f>
        <v/>
      </c>
      <c r="H46" s="324" t="n"/>
      <c r="I46" s="253">
        <f>IFERROR(VLOOKUP(C46,parametros!$B:$G,6,0),"")</f>
        <v/>
      </c>
      <c r="J46" s="327">
        <f>IF(G46="","",ROUND(IF(OR(UPPER(D46)="SUPRESSAO",UPPER(D46)="DECRESCIMO"),-1,1)*G46*IF(AND(UPPER(H46)="SIM",ISNUMBER(I46)),I46,1),2))</f>
        <v/>
      </c>
      <c r="K46" s="324" t="n"/>
    </row>
    <row r="47" ht="15.95" customHeight="1">
      <c r="A47" s="324" t="n"/>
      <c r="B47" s="325" t="n"/>
      <c r="C47" s="313">
        <f>IF(B47="","",IFERROR(IF(AND(B47&gt;=parametros!$D$2,B47&lt;=parametros!$E$2),"C0",IF(AND(B47&gt;=parametros!$D$3,B47&lt;=parametros!$E$3),"C1",IF(AND(B47&gt;=parametros!$D$4,B47&lt;=parametros!$E$4),"C2",IF(AND(B47&gt;=parametros!$D$5,B47&lt;=parametros!$E$5),"C3",IF(AND(B47&gt;=parametros!$D$6,B47&lt;=parametros!$E$6),"C4","Fora dos ciclos"))))),"Fora dos ciclos"))</f>
        <v/>
      </c>
      <c r="D47" s="324" t="n"/>
      <c r="E47" s="326" t="n"/>
      <c r="F47" s="327">
        <f>IF(A47="","",IFERROR(VLOOKUP(A47,itens_Remanesc!$A:$C,3,0),""))</f>
        <v/>
      </c>
      <c r="G47" s="327">
        <f>IF(OR(E47="",F47=""),"",ROUND(E47*F47,2))</f>
        <v/>
      </c>
      <c r="H47" s="324" t="n"/>
      <c r="I47" s="253">
        <f>IFERROR(VLOOKUP(C47,parametros!$B:$G,6,0),"")</f>
        <v/>
      </c>
      <c r="J47" s="327">
        <f>IF(G47="","",ROUND(IF(OR(UPPER(D47)="SUPRESSAO",UPPER(D47)="DECRESCIMO"),-1,1)*G47*IF(AND(UPPER(H47)="SIM",ISNUMBER(I47)),I47,1),2))</f>
        <v/>
      </c>
      <c r="K47" s="324" t="n"/>
    </row>
    <row r="48" ht="15.95" customHeight="1">
      <c r="A48" s="324" t="n"/>
      <c r="B48" s="325" t="n"/>
      <c r="C48" s="313">
        <f>IF(B48="","",IFERROR(IF(AND(B48&gt;=parametros!$D$2,B48&lt;=parametros!$E$2),"C0",IF(AND(B48&gt;=parametros!$D$3,B48&lt;=parametros!$E$3),"C1",IF(AND(B48&gt;=parametros!$D$4,B48&lt;=parametros!$E$4),"C2",IF(AND(B48&gt;=parametros!$D$5,B48&lt;=parametros!$E$5),"C3",IF(AND(B48&gt;=parametros!$D$6,B48&lt;=parametros!$E$6),"C4","Fora dos ciclos"))))),"Fora dos ciclos"))</f>
        <v/>
      </c>
      <c r="D48" s="324" t="n"/>
      <c r="E48" s="326" t="n"/>
      <c r="F48" s="327">
        <f>IF(A48="","",IFERROR(VLOOKUP(A48,itens_Remanesc!$A:$C,3,0),""))</f>
        <v/>
      </c>
      <c r="G48" s="327">
        <f>IF(OR(E48="",F48=""),"",ROUND(E48*F48,2))</f>
        <v/>
      </c>
      <c r="H48" s="324" t="n"/>
      <c r="I48" s="253">
        <f>IFERROR(VLOOKUP(C48,parametros!$B:$G,6,0),"")</f>
        <v/>
      </c>
      <c r="J48" s="327">
        <f>IF(G48="","",ROUND(IF(OR(UPPER(D48)="SUPRESSAO",UPPER(D48)="DECRESCIMO"),-1,1)*G48*IF(AND(UPPER(H48)="SIM",ISNUMBER(I48)),I48,1),2))</f>
        <v/>
      </c>
      <c r="K48" s="324" t="n"/>
    </row>
    <row r="49" ht="15.95" customHeight="1">
      <c r="A49" s="324" t="n"/>
      <c r="B49" s="325" t="n"/>
      <c r="C49" s="313">
        <f>IF(B49="","",IFERROR(IF(AND(B49&gt;=parametros!$D$2,B49&lt;=parametros!$E$2),"C0",IF(AND(B49&gt;=parametros!$D$3,B49&lt;=parametros!$E$3),"C1",IF(AND(B49&gt;=parametros!$D$4,B49&lt;=parametros!$E$4),"C2",IF(AND(B49&gt;=parametros!$D$5,B49&lt;=parametros!$E$5),"C3",IF(AND(B49&gt;=parametros!$D$6,B49&lt;=parametros!$E$6),"C4","Fora dos ciclos"))))),"Fora dos ciclos"))</f>
        <v/>
      </c>
      <c r="D49" s="324" t="n"/>
      <c r="E49" s="326" t="n"/>
      <c r="F49" s="327">
        <f>IF(A49="","",IFERROR(VLOOKUP(A49,itens_Remanesc!$A:$C,3,0),""))</f>
        <v/>
      </c>
      <c r="G49" s="327">
        <f>IF(OR(E49="",F49=""),"",ROUND(E49*F49,2))</f>
        <v/>
      </c>
      <c r="H49" s="324" t="n"/>
      <c r="I49" s="253">
        <f>IFERROR(VLOOKUP(C49,parametros!$B:$G,6,0),"")</f>
        <v/>
      </c>
      <c r="J49" s="327">
        <f>IF(G49="","",ROUND(IF(OR(UPPER(D49)="SUPRESSAO",UPPER(D49)="DECRESCIMO"),-1,1)*G49*IF(AND(UPPER(H49)="SIM",ISNUMBER(I49)),I49,1),2))</f>
        <v/>
      </c>
      <c r="K49" s="324" t="n"/>
    </row>
    <row r="50" ht="15.95" customHeight="1">
      <c r="A50" s="324" t="n"/>
      <c r="B50" s="325" t="n"/>
      <c r="C50" s="313">
        <f>IF(B50="","",IFERROR(IF(AND(B50&gt;=parametros!$D$2,B50&lt;=parametros!$E$2),"C0",IF(AND(B50&gt;=parametros!$D$3,B50&lt;=parametros!$E$3),"C1",IF(AND(B50&gt;=parametros!$D$4,B50&lt;=parametros!$E$4),"C2",IF(AND(B50&gt;=parametros!$D$5,B50&lt;=parametros!$E$5),"C3",IF(AND(B50&gt;=parametros!$D$6,B50&lt;=parametros!$E$6),"C4","Fora dos ciclos"))))),"Fora dos ciclos"))</f>
        <v/>
      </c>
      <c r="D50" s="324" t="n"/>
      <c r="E50" s="326" t="n"/>
      <c r="F50" s="327">
        <f>IF(A50="","",IFERROR(VLOOKUP(A50,itens_Remanesc!$A:$C,3,0),""))</f>
        <v/>
      </c>
      <c r="G50" s="327">
        <f>IF(OR(E50="",F50=""),"",ROUND(E50*F50,2))</f>
        <v/>
      </c>
      <c r="H50" s="324" t="n"/>
      <c r="I50" s="253">
        <f>IFERROR(VLOOKUP(C50,parametros!$B:$G,6,0),"")</f>
        <v/>
      </c>
      <c r="J50" s="327">
        <f>IF(G50="","",ROUND(IF(OR(UPPER(D50)="SUPRESSAO",UPPER(D50)="DECRESCIMO"),-1,1)*G50*IF(AND(UPPER(H50)="SIM",ISNUMBER(I50)),I50,1),2))</f>
        <v/>
      </c>
      <c r="K50" s="324" t="n"/>
    </row>
    <row r="51" ht="15.95" customHeight="1">
      <c r="A51" s="324" t="n"/>
      <c r="B51" s="325" t="n"/>
      <c r="C51" s="313">
        <f>IF(B51="","",IFERROR(IF(AND(B51&gt;=parametros!$D$2,B51&lt;=parametros!$E$2),"C0",IF(AND(B51&gt;=parametros!$D$3,B51&lt;=parametros!$E$3),"C1",IF(AND(B51&gt;=parametros!$D$4,B51&lt;=parametros!$E$4),"C2",IF(AND(B51&gt;=parametros!$D$5,B51&lt;=parametros!$E$5),"C3",IF(AND(B51&gt;=parametros!$D$6,B51&lt;=parametros!$E$6),"C4","Fora dos ciclos"))))),"Fora dos ciclos"))</f>
        <v/>
      </c>
      <c r="D51" s="324" t="n"/>
      <c r="E51" s="326" t="n"/>
      <c r="F51" s="327">
        <f>IF(A51="","",IFERROR(VLOOKUP(A51,itens_Remanesc!$A:$C,3,0),""))</f>
        <v/>
      </c>
      <c r="G51" s="327">
        <f>IF(OR(E51="",F51=""),"",ROUND(E51*F51,2))</f>
        <v/>
      </c>
      <c r="H51" s="324" t="n"/>
      <c r="I51" s="253">
        <f>IFERROR(VLOOKUP(C51,parametros!$B:$G,6,0),"")</f>
        <v/>
      </c>
      <c r="J51" s="327">
        <f>IF(G51="","",ROUND(IF(OR(UPPER(D51)="SUPRESSAO",UPPER(D51)="DECRESCIMO"),-1,1)*G51*IF(AND(UPPER(H51)="SIM",ISNUMBER(I51)),I51,1),2))</f>
        <v/>
      </c>
      <c r="K51" s="324" t="n"/>
    </row>
    <row r="52" ht="15.95" customHeight="1">
      <c r="A52" s="324" t="n"/>
      <c r="B52" s="325" t="n"/>
      <c r="C52" s="313">
        <f>IF(B52="","",IFERROR(IF(AND(B52&gt;=parametros!$D$2,B52&lt;=parametros!$E$2),"C0",IF(AND(B52&gt;=parametros!$D$3,B52&lt;=parametros!$E$3),"C1",IF(AND(B52&gt;=parametros!$D$4,B52&lt;=parametros!$E$4),"C2",IF(AND(B52&gt;=parametros!$D$5,B52&lt;=parametros!$E$5),"C3",IF(AND(B52&gt;=parametros!$D$6,B52&lt;=parametros!$E$6),"C4","Fora dos ciclos"))))),"Fora dos ciclos"))</f>
        <v/>
      </c>
      <c r="D52" s="324" t="n"/>
      <c r="E52" s="326" t="n"/>
      <c r="F52" s="327">
        <f>IF(A52="","",IFERROR(VLOOKUP(A52,itens_Remanesc!$A:$C,3,0),""))</f>
        <v/>
      </c>
      <c r="G52" s="327">
        <f>IF(OR(E52="",F52=""),"",ROUND(E52*F52,2))</f>
        <v/>
      </c>
      <c r="H52" s="324" t="n"/>
      <c r="I52" s="253">
        <f>IFERROR(VLOOKUP(C52,parametros!$B:$G,6,0),"")</f>
        <v/>
      </c>
      <c r="J52" s="327">
        <f>IF(G52="","",ROUND(IF(OR(UPPER(D52)="SUPRESSAO",UPPER(D52)="DECRESCIMO"),-1,1)*G52*IF(AND(UPPER(H52)="SIM",ISNUMBER(I52)),I52,1),2))</f>
        <v/>
      </c>
      <c r="K52" s="324" t="n"/>
    </row>
    <row r="53" ht="15.95" customHeight="1">
      <c r="A53" s="324" t="n"/>
      <c r="B53" s="325" t="n"/>
      <c r="C53" s="313">
        <f>IF(B53="","",IFERROR(IF(AND(B53&gt;=parametros!$D$2,B53&lt;=parametros!$E$2),"C0",IF(AND(B53&gt;=parametros!$D$3,B53&lt;=parametros!$E$3),"C1",IF(AND(B53&gt;=parametros!$D$4,B53&lt;=parametros!$E$4),"C2",IF(AND(B53&gt;=parametros!$D$5,B53&lt;=parametros!$E$5),"C3",IF(AND(B53&gt;=parametros!$D$6,B53&lt;=parametros!$E$6),"C4","Fora dos ciclos"))))),"Fora dos ciclos"))</f>
        <v/>
      </c>
      <c r="D53" s="324" t="n"/>
      <c r="E53" s="326" t="n"/>
      <c r="F53" s="327">
        <f>IF(A53="","",IFERROR(VLOOKUP(A53,itens_Remanesc!$A:$C,3,0),""))</f>
        <v/>
      </c>
      <c r="G53" s="327">
        <f>IF(OR(E53="",F53=""),"",ROUND(E53*F53,2))</f>
        <v/>
      </c>
      <c r="H53" s="324" t="n"/>
      <c r="I53" s="253">
        <f>IFERROR(VLOOKUP(C53,parametros!$B:$G,6,0),"")</f>
        <v/>
      </c>
      <c r="J53" s="327">
        <f>IF(G53="","",ROUND(IF(OR(UPPER(D53)="SUPRESSAO",UPPER(D53)="DECRESCIMO"),-1,1)*G53*IF(AND(UPPER(H53)="SIM",ISNUMBER(I53)),I53,1),2))</f>
        <v/>
      </c>
      <c r="K53" s="324" t="n"/>
    </row>
    <row r="54" ht="15.95" customHeight="1">
      <c r="A54" s="324" t="n"/>
      <c r="B54" s="325" t="n"/>
      <c r="C54" s="313">
        <f>IF(B54="","",IFERROR(IF(AND(B54&gt;=parametros!$D$2,B54&lt;=parametros!$E$2),"C0",IF(AND(B54&gt;=parametros!$D$3,B54&lt;=parametros!$E$3),"C1",IF(AND(B54&gt;=parametros!$D$4,B54&lt;=parametros!$E$4),"C2",IF(AND(B54&gt;=parametros!$D$5,B54&lt;=parametros!$E$5),"C3",IF(AND(B54&gt;=parametros!$D$6,B54&lt;=parametros!$E$6),"C4","Fora dos ciclos"))))),"Fora dos ciclos"))</f>
        <v/>
      </c>
      <c r="D54" s="324" t="n"/>
      <c r="E54" s="326" t="n"/>
      <c r="F54" s="327">
        <f>IF(A54="","",IFERROR(VLOOKUP(A54,itens_Remanesc!$A:$C,3,0),""))</f>
        <v/>
      </c>
      <c r="G54" s="327">
        <f>IF(OR(E54="",F54=""),"",ROUND(E54*F54,2))</f>
        <v/>
      </c>
      <c r="H54" s="324" t="n"/>
      <c r="I54" s="253">
        <f>IFERROR(VLOOKUP(C54,parametros!$B:$G,6,0),"")</f>
        <v/>
      </c>
      <c r="J54" s="327">
        <f>IF(G54="","",ROUND(IF(OR(UPPER(D54)="SUPRESSAO",UPPER(D54)="DECRESCIMO"),-1,1)*G54*IF(AND(UPPER(H54)="SIM",ISNUMBER(I54)),I54,1),2))</f>
        <v/>
      </c>
      <c r="K54" s="324" t="n"/>
    </row>
    <row r="55" ht="15.95" customHeight="1">
      <c r="A55" s="324" t="n"/>
      <c r="B55" s="325" t="n"/>
      <c r="C55" s="313">
        <f>IF(B55="","",IFERROR(IF(AND(B55&gt;=parametros!$D$2,B55&lt;=parametros!$E$2),"C0",IF(AND(B55&gt;=parametros!$D$3,B55&lt;=parametros!$E$3),"C1",IF(AND(B55&gt;=parametros!$D$4,B55&lt;=parametros!$E$4),"C2",IF(AND(B55&gt;=parametros!$D$5,B55&lt;=parametros!$E$5),"C3",IF(AND(B55&gt;=parametros!$D$6,B55&lt;=parametros!$E$6),"C4","Fora dos ciclos"))))),"Fora dos ciclos"))</f>
        <v/>
      </c>
      <c r="D55" s="324" t="n"/>
      <c r="E55" s="326" t="n"/>
      <c r="F55" s="327">
        <f>IF(A55="","",IFERROR(VLOOKUP(A55,itens_Remanesc!$A:$C,3,0),""))</f>
        <v/>
      </c>
      <c r="G55" s="327">
        <f>IF(OR(E55="",F55=""),"",ROUND(E55*F55,2))</f>
        <v/>
      </c>
      <c r="H55" s="324" t="n"/>
      <c r="I55" s="253">
        <f>IFERROR(VLOOKUP(C55,parametros!$B:$G,6,0),"")</f>
        <v/>
      </c>
      <c r="J55" s="327">
        <f>IF(G55="","",ROUND(IF(OR(UPPER(D55)="SUPRESSAO",UPPER(D55)="DECRESCIMO"),-1,1)*G55*IF(AND(UPPER(H55)="SIM",ISNUMBER(I55)),I55,1),2))</f>
        <v/>
      </c>
      <c r="K55" s="324" t="n"/>
    </row>
    <row r="56" ht="15.95" customHeight="1">
      <c r="A56" s="324" t="n"/>
      <c r="B56" s="325" t="n"/>
      <c r="C56" s="313">
        <f>IF(B56="","",IFERROR(IF(AND(B56&gt;=parametros!$D$2,B56&lt;=parametros!$E$2),"C0",IF(AND(B56&gt;=parametros!$D$3,B56&lt;=parametros!$E$3),"C1",IF(AND(B56&gt;=parametros!$D$4,B56&lt;=parametros!$E$4),"C2",IF(AND(B56&gt;=parametros!$D$5,B56&lt;=parametros!$E$5),"C3",IF(AND(B56&gt;=parametros!$D$6,B56&lt;=parametros!$E$6),"C4","Fora dos ciclos"))))),"Fora dos ciclos"))</f>
        <v/>
      </c>
      <c r="D56" s="324" t="n"/>
      <c r="E56" s="326" t="n"/>
      <c r="F56" s="327">
        <f>IF(A56="","",IFERROR(VLOOKUP(A56,itens_Remanesc!$A:$C,3,0),""))</f>
        <v/>
      </c>
      <c r="G56" s="327">
        <f>IF(OR(E56="",F56=""),"",ROUND(E56*F56,2))</f>
        <v/>
      </c>
      <c r="H56" s="324" t="n"/>
      <c r="I56" s="253">
        <f>IFERROR(VLOOKUP(C56,parametros!$B:$G,6,0),"")</f>
        <v/>
      </c>
      <c r="J56" s="327">
        <f>IF(G56="","",ROUND(IF(OR(UPPER(D56)="SUPRESSAO",UPPER(D56)="DECRESCIMO"),-1,1)*G56*IF(AND(UPPER(H56)="SIM",ISNUMBER(I56)),I56,1),2))</f>
        <v/>
      </c>
      <c r="K56" s="324" t="n"/>
    </row>
    <row r="57" ht="15.95" customHeight="1">
      <c r="A57" s="324" t="n"/>
      <c r="B57" s="325" t="n"/>
      <c r="C57" s="313">
        <f>IF(B57="","",IFERROR(IF(AND(B57&gt;=parametros!$D$2,B57&lt;=parametros!$E$2),"C0",IF(AND(B57&gt;=parametros!$D$3,B57&lt;=parametros!$E$3),"C1",IF(AND(B57&gt;=parametros!$D$4,B57&lt;=parametros!$E$4),"C2",IF(AND(B57&gt;=parametros!$D$5,B57&lt;=parametros!$E$5),"C3",IF(AND(B57&gt;=parametros!$D$6,B57&lt;=parametros!$E$6),"C4","Fora dos ciclos"))))),"Fora dos ciclos"))</f>
        <v/>
      </c>
      <c r="D57" s="324" t="n"/>
      <c r="E57" s="326" t="n"/>
      <c r="F57" s="327">
        <f>IF(A57="","",IFERROR(VLOOKUP(A57,itens_Remanesc!$A:$C,3,0),""))</f>
        <v/>
      </c>
      <c r="G57" s="327">
        <f>IF(OR(E57="",F57=""),"",ROUND(E57*F57,2))</f>
        <v/>
      </c>
      <c r="H57" s="324" t="n"/>
      <c r="I57" s="253">
        <f>IFERROR(VLOOKUP(C57,parametros!$B:$G,6,0),"")</f>
        <v/>
      </c>
      <c r="J57" s="327">
        <f>IF(G57="","",ROUND(IF(OR(UPPER(D57)="SUPRESSAO",UPPER(D57)="DECRESCIMO"),-1,1)*G57*IF(AND(UPPER(H57)="SIM",ISNUMBER(I57)),I57,1),2))</f>
        <v/>
      </c>
      <c r="K57" s="324" t="n"/>
    </row>
    <row r="58" ht="15.95" customHeight="1">
      <c r="A58" s="324" t="n"/>
      <c r="B58" s="325" t="n"/>
      <c r="C58" s="313">
        <f>IF(B58="","",IFERROR(IF(AND(B58&gt;=parametros!$D$2,B58&lt;=parametros!$E$2),"C0",IF(AND(B58&gt;=parametros!$D$3,B58&lt;=parametros!$E$3),"C1",IF(AND(B58&gt;=parametros!$D$4,B58&lt;=parametros!$E$4),"C2",IF(AND(B58&gt;=parametros!$D$5,B58&lt;=parametros!$E$5),"C3",IF(AND(B58&gt;=parametros!$D$6,B58&lt;=parametros!$E$6),"C4","Fora dos ciclos"))))),"Fora dos ciclos"))</f>
        <v/>
      </c>
      <c r="D58" s="324" t="n"/>
      <c r="E58" s="326" t="n"/>
      <c r="F58" s="327">
        <f>IF(A58="","",IFERROR(VLOOKUP(A58,itens_Remanesc!$A:$C,3,0),""))</f>
        <v/>
      </c>
      <c r="G58" s="327">
        <f>IF(OR(E58="",F58=""),"",ROUND(E58*F58,2))</f>
        <v/>
      </c>
      <c r="H58" s="324" t="n"/>
      <c r="I58" s="253">
        <f>IFERROR(VLOOKUP(C58,parametros!$B:$G,6,0),"")</f>
        <v/>
      </c>
      <c r="J58" s="327">
        <f>IF(G58="","",ROUND(IF(OR(UPPER(D58)="SUPRESSAO",UPPER(D58)="DECRESCIMO"),-1,1)*G58*IF(AND(UPPER(H58)="SIM",ISNUMBER(I58)),I58,1),2))</f>
        <v/>
      </c>
      <c r="K58" s="324" t="n"/>
    </row>
    <row r="59" ht="15.95" customHeight="1">
      <c r="A59" s="324" t="n"/>
      <c r="B59" s="325" t="n"/>
      <c r="C59" s="313">
        <f>IF(B59="","",IFERROR(IF(AND(B59&gt;=parametros!$D$2,B59&lt;=parametros!$E$2),"C0",IF(AND(B59&gt;=parametros!$D$3,B59&lt;=parametros!$E$3),"C1",IF(AND(B59&gt;=parametros!$D$4,B59&lt;=parametros!$E$4),"C2",IF(AND(B59&gt;=parametros!$D$5,B59&lt;=parametros!$E$5),"C3",IF(AND(B59&gt;=parametros!$D$6,B59&lt;=parametros!$E$6),"C4","Fora dos ciclos"))))),"Fora dos ciclos"))</f>
        <v/>
      </c>
      <c r="D59" s="324" t="n"/>
      <c r="E59" s="326" t="n"/>
      <c r="F59" s="327">
        <f>IF(A59="","",IFERROR(VLOOKUP(A59,itens_Remanesc!$A:$C,3,0),""))</f>
        <v/>
      </c>
      <c r="G59" s="327">
        <f>IF(OR(E59="",F59=""),"",ROUND(E59*F59,2))</f>
        <v/>
      </c>
      <c r="H59" s="324" t="n"/>
      <c r="I59" s="253">
        <f>IFERROR(VLOOKUP(C59,parametros!$B:$G,6,0),"")</f>
        <v/>
      </c>
      <c r="J59" s="327">
        <f>IF(G59="","",ROUND(IF(OR(UPPER(D59)="SUPRESSAO",UPPER(D59)="DECRESCIMO"),-1,1)*G59*IF(AND(UPPER(H59)="SIM",ISNUMBER(I59)),I59,1),2))</f>
        <v/>
      </c>
      <c r="K59" s="324" t="n"/>
    </row>
    <row r="60" ht="15.95" customHeight="1">
      <c r="A60" s="324" t="n"/>
      <c r="B60" s="325" t="n"/>
      <c r="C60" s="313">
        <f>IF(B60="","",IFERROR(IF(AND(B60&gt;=parametros!$D$2,B60&lt;=parametros!$E$2),"C0",IF(AND(B60&gt;=parametros!$D$3,B60&lt;=parametros!$E$3),"C1",IF(AND(B60&gt;=parametros!$D$4,B60&lt;=parametros!$E$4),"C2",IF(AND(B60&gt;=parametros!$D$5,B60&lt;=parametros!$E$5),"C3",IF(AND(B60&gt;=parametros!$D$6,B60&lt;=parametros!$E$6),"C4","Fora dos ciclos"))))),"Fora dos ciclos"))</f>
        <v/>
      </c>
      <c r="D60" s="324" t="n"/>
      <c r="E60" s="326" t="n"/>
      <c r="F60" s="327">
        <f>IF(A60="","",IFERROR(VLOOKUP(A60,itens_Remanesc!$A:$C,3,0),""))</f>
        <v/>
      </c>
      <c r="G60" s="327">
        <f>IF(OR(E60="",F60=""),"",ROUND(E60*F60,2))</f>
        <v/>
      </c>
      <c r="H60" s="324" t="n"/>
      <c r="I60" s="253">
        <f>IFERROR(VLOOKUP(C60,parametros!$B:$G,6,0),"")</f>
        <v/>
      </c>
      <c r="J60" s="327">
        <f>IF(G60="","",ROUND(IF(OR(UPPER(D60)="SUPRESSAO",UPPER(D60)="DECRESCIMO"),-1,1)*G60*IF(AND(UPPER(H60)="SIM",ISNUMBER(I60)),I60,1),2))</f>
        <v/>
      </c>
      <c r="K60" s="324" t="n"/>
    </row>
    <row r="61" ht="15.95" customHeight="1">
      <c r="A61" s="324" t="n"/>
      <c r="B61" s="325" t="n"/>
      <c r="C61" s="313">
        <f>IF(B61="","",IFERROR(IF(AND(B61&gt;=parametros!$D$2,B61&lt;=parametros!$E$2),"C0",IF(AND(B61&gt;=parametros!$D$3,B61&lt;=parametros!$E$3),"C1",IF(AND(B61&gt;=parametros!$D$4,B61&lt;=parametros!$E$4),"C2",IF(AND(B61&gt;=parametros!$D$5,B61&lt;=parametros!$E$5),"C3",IF(AND(B61&gt;=parametros!$D$6,B61&lt;=parametros!$E$6),"C4","Fora dos ciclos"))))),"Fora dos ciclos"))</f>
        <v/>
      </c>
      <c r="D61" s="324" t="n"/>
      <c r="E61" s="326" t="n"/>
      <c r="F61" s="327">
        <f>IF(A61="","",IFERROR(VLOOKUP(A61,itens_Remanesc!$A:$C,3,0),""))</f>
        <v/>
      </c>
      <c r="G61" s="327">
        <f>IF(OR(E61="",F61=""),"",ROUND(E61*F61,2))</f>
        <v/>
      </c>
      <c r="H61" s="324" t="n"/>
      <c r="I61" s="253">
        <f>IFERROR(VLOOKUP(C61,parametros!$B:$G,6,0),"")</f>
        <v/>
      </c>
      <c r="J61" s="327">
        <f>IF(G61="","",ROUND(IF(OR(UPPER(D61)="SUPRESSAO",UPPER(D61)="DECRESCIMO"),-1,1)*G61*IF(AND(UPPER(H61)="SIM",ISNUMBER(I61)),I61,1),2))</f>
        <v/>
      </c>
      <c r="K61" s="324" t="n"/>
    </row>
    <row r="62" ht="15.95" customHeight="1">
      <c r="A62" s="324" t="n"/>
      <c r="B62" s="325" t="n"/>
      <c r="C62" s="313">
        <f>IF(B62="","",IFERROR(IF(AND(B62&gt;=parametros!$D$2,B62&lt;=parametros!$E$2),"C0",IF(AND(B62&gt;=parametros!$D$3,B62&lt;=parametros!$E$3),"C1",IF(AND(B62&gt;=parametros!$D$4,B62&lt;=parametros!$E$4),"C2",IF(AND(B62&gt;=parametros!$D$5,B62&lt;=parametros!$E$5),"C3",IF(AND(B62&gt;=parametros!$D$6,B62&lt;=parametros!$E$6),"C4","Fora dos ciclos"))))),"Fora dos ciclos"))</f>
        <v/>
      </c>
      <c r="D62" s="324" t="n"/>
      <c r="E62" s="326" t="n"/>
      <c r="F62" s="327">
        <f>IF(A62="","",IFERROR(VLOOKUP(A62,itens_Remanesc!$A:$C,3,0),""))</f>
        <v/>
      </c>
      <c r="G62" s="327">
        <f>IF(OR(E62="",F62=""),"",ROUND(E62*F62,2))</f>
        <v/>
      </c>
      <c r="H62" s="324" t="n"/>
      <c r="I62" s="253">
        <f>IFERROR(VLOOKUP(C62,parametros!$B:$G,6,0),"")</f>
        <v/>
      </c>
      <c r="J62" s="327">
        <f>IF(G62="","",ROUND(IF(OR(UPPER(D62)="SUPRESSAO",UPPER(D62)="DECRESCIMO"),-1,1)*G62*IF(AND(UPPER(H62)="SIM",ISNUMBER(I62)),I62,1),2))</f>
        <v/>
      </c>
      <c r="K62" s="324" t="n"/>
    </row>
    <row r="63" ht="15.95" customHeight="1">
      <c r="A63" s="324" t="n"/>
      <c r="B63" s="325" t="n"/>
      <c r="C63" s="313">
        <f>IF(B63="","",IFERROR(IF(AND(B63&gt;=parametros!$D$2,B63&lt;=parametros!$E$2),"C0",IF(AND(B63&gt;=parametros!$D$3,B63&lt;=parametros!$E$3),"C1",IF(AND(B63&gt;=parametros!$D$4,B63&lt;=parametros!$E$4),"C2",IF(AND(B63&gt;=parametros!$D$5,B63&lt;=parametros!$E$5),"C3",IF(AND(B63&gt;=parametros!$D$6,B63&lt;=parametros!$E$6),"C4","Fora dos ciclos"))))),"Fora dos ciclos"))</f>
        <v/>
      </c>
      <c r="D63" s="324" t="n"/>
      <c r="E63" s="326" t="n"/>
      <c r="F63" s="327">
        <f>IF(A63="","",IFERROR(VLOOKUP(A63,itens_Remanesc!$A:$C,3,0),""))</f>
        <v/>
      </c>
      <c r="G63" s="327">
        <f>IF(OR(E63="",F63=""),"",ROUND(E63*F63,2))</f>
        <v/>
      </c>
      <c r="H63" s="324" t="n"/>
      <c r="I63" s="253">
        <f>IFERROR(VLOOKUP(C63,parametros!$B:$G,6,0),"")</f>
        <v/>
      </c>
      <c r="J63" s="327">
        <f>IF(G63="","",ROUND(IF(OR(UPPER(D63)="SUPRESSAO",UPPER(D63)="DECRESCIMO"),-1,1)*G63*IF(AND(UPPER(H63)="SIM",ISNUMBER(I63)),I63,1),2))</f>
        <v/>
      </c>
      <c r="K63" s="324" t="n"/>
    </row>
    <row r="64" ht="15.95" customHeight="1">
      <c r="A64" s="324" t="n"/>
      <c r="B64" s="325" t="n"/>
      <c r="C64" s="313">
        <f>IF(B64="","",IFERROR(IF(AND(B64&gt;=parametros!$D$2,B64&lt;=parametros!$E$2),"C0",IF(AND(B64&gt;=parametros!$D$3,B64&lt;=parametros!$E$3),"C1",IF(AND(B64&gt;=parametros!$D$4,B64&lt;=parametros!$E$4),"C2",IF(AND(B64&gt;=parametros!$D$5,B64&lt;=parametros!$E$5),"C3",IF(AND(B64&gt;=parametros!$D$6,B64&lt;=parametros!$E$6),"C4","Fora dos ciclos"))))),"Fora dos ciclos"))</f>
        <v/>
      </c>
      <c r="D64" s="324" t="n"/>
      <c r="E64" s="326" t="n"/>
      <c r="F64" s="327">
        <f>IF(A64="","",IFERROR(VLOOKUP(A64,itens_Remanesc!$A:$C,3,0),""))</f>
        <v/>
      </c>
      <c r="G64" s="327">
        <f>IF(OR(E64="",F64=""),"",ROUND(E64*F64,2))</f>
        <v/>
      </c>
      <c r="H64" s="324" t="n"/>
      <c r="I64" s="253">
        <f>IFERROR(VLOOKUP(C64,parametros!$B:$G,6,0),"")</f>
        <v/>
      </c>
      <c r="J64" s="327">
        <f>IF(G64="","",ROUND(IF(OR(UPPER(D64)="SUPRESSAO",UPPER(D64)="DECRESCIMO"),-1,1)*G64*IF(AND(UPPER(H64)="SIM",ISNUMBER(I64)),I64,1),2))</f>
        <v/>
      </c>
      <c r="K64" s="324" t="n"/>
    </row>
    <row r="65" ht="15.95" customHeight="1">
      <c r="A65" s="324" t="n"/>
      <c r="B65" s="325" t="n"/>
      <c r="C65" s="313">
        <f>IF(B65="","",IFERROR(IF(AND(B65&gt;=parametros!$D$2,B65&lt;=parametros!$E$2),"C0",IF(AND(B65&gt;=parametros!$D$3,B65&lt;=parametros!$E$3),"C1",IF(AND(B65&gt;=parametros!$D$4,B65&lt;=parametros!$E$4),"C2",IF(AND(B65&gt;=parametros!$D$5,B65&lt;=parametros!$E$5),"C3",IF(AND(B65&gt;=parametros!$D$6,B65&lt;=parametros!$E$6),"C4","Fora dos ciclos"))))),"Fora dos ciclos"))</f>
        <v/>
      </c>
      <c r="D65" s="324" t="n"/>
      <c r="E65" s="326" t="n"/>
      <c r="F65" s="327">
        <f>IF(A65="","",IFERROR(VLOOKUP(A65,itens_Remanesc!$A:$C,3,0),""))</f>
        <v/>
      </c>
      <c r="G65" s="327">
        <f>IF(OR(E65="",F65=""),"",ROUND(E65*F65,2))</f>
        <v/>
      </c>
      <c r="H65" s="324" t="n"/>
      <c r="I65" s="253">
        <f>IFERROR(VLOOKUP(C65,parametros!$B:$G,6,0),"")</f>
        <v/>
      </c>
      <c r="J65" s="327">
        <f>IF(G65="","",ROUND(IF(OR(UPPER(D65)="SUPRESSAO",UPPER(D65)="DECRESCIMO"),-1,1)*G65*IF(AND(UPPER(H65)="SIM",ISNUMBER(I65)),I65,1),2))</f>
        <v/>
      </c>
      <c r="K65" s="324" t="n"/>
    </row>
    <row r="66" ht="15.95" customHeight="1">
      <c r="A66" s="324" t="n"/>
      <c r="B66" s="325" t="n"/>
      <c r="C66" s="313">
        <f>IF(B66="","",IFERROR(IF(AND(B66&gt;=parametros!$D$2,B66&lt;=parametros!$E$2),"C0",IF(AND(B66&gt;=parametros!$D$3,B66&lt;=parametros!$E$3),"C1",IF(AND(B66&gt;=parametros!$D$4,B66&lt;=parametros!$E$4),"C2",IF(AND(B66&gt;=parametros!$D$5,B66&lt;=parametros!$E$5),"C3",IF(AND(B66&gt;=parametros!$D$6,B66&lt;=parametros!$E$6),"C4","Fora dos ciclos"))))),"Fora dos ciclos"))</f>
        <v/>
      </c>
      <c r="D66" s="324" t="n"/>
      <c r="E66" s="326" t="n"/>
      <c r="F66" s="327">
        <f>IF(A66="","",IFERROR(VLOOKUP(A66,itens_Remanesc!$A:$C,3,0),""))</f>
        <v/>
      </c>
      <c r="G66" s="327">
        <f>IF(OR(E66="",F66=""),"",ROUND(E66*F66,2))</f>
        <v/>
      </c>
      <c r="H66" s="324" t="n"/>
      <c r="I66" s="253">
        <f>IFERROR(VLOOKUP(C66,parametros!$B:$G,6,0),"")</f>
        <v/>
      </c>
      <c r="J66" s="327">
        <f>IF(G66="","",ROUND(IF(OR(UPPER(D66)="SUPRESSAO",UPPER(D66)="DECRESCIMO"),-1,1)*G66*IF(AND(UPPER(H66)="SIM",ISNUMBER(I66)),I66,1),2))</f>
        <v/>
      </c>
      <c r="K66" s="324" t="n"/>
    </row>
    <row r="67" ht="15.95" customHeight="1">
      <c r="A67" s="324" t="n"/>
      <c r="B67" s="325" t="n"/>
      <c r="C67" s="313">
        <f>IF(B67="","",IFERROR(IF(AND(B67&gt;=parametros!$D$2,B67&lt;=parametros!$E$2),"C0",IF(AND(B67&gt;=parametros!$D$3,B67&lt;=parametros!$E$3),"C1",IF(AND(B67&gt;=parametros!$D$4,B67&lt;=parametros!$E$4),"C2",IF(AND(B67&gt;=parametros!$D$5,B67&lt;=parametros!$E$5),"C3",IF(AND(B67&gt;=parametros!$D$6,B67&lt;=parametros!$E$6),"C4","Fora dos ciclos"))))),"Fora dos ciclos"))</f>
        <v/>
      </c>
      <c r="D67" s="324" t="n"/>
      <c r="E67" s="326" t="n"/>
      <c r="F67" s="327">
        <f>IF(A67="","",IFERROR(VLOOKUP(A67,itens_Remanesc!$A:$C,3,0),""))</f>
        <v/>
      </c>
      <c r="G67" s="327">
        <f>IF(OR(E67="",F67=""),"",ROUND(E67*F67,2))</f>
        <v/>
      </c>
      <c r="H67" s="324" t="n"/>
      <c r="I67" s="253">
        <f>IFERROR(VLOOKUP(C67,parametros!$B:$G,6,0),"")</f>
        <v/>
      </c>
      <c r="J67" s="327">
        <f>IF(G67="","",ROUND(IF(OR(UPPER(D67)="SUPRESSAO",UPPER(D67)="DECRESCIMO"),-1,1)*G67*IF(AND(UPPER(H67)="SIM",ISNUMBER(I67)),I67,1),2))</f>
        <v/>
      </c>
      <c r="K67" s="324" t="n"/>
    </row>
    <row r="68" ht="15.95" customHeight="1">
      <c r="A68" s="324" t="n"/>
      <c r="B68" s="325" t="n"/>
      <c r="C68" s="313">
        <f>IF(B68="","",IFERROR(IF(AND(B68&gt;=parametros!$D$2,B68&lt;=parametros!$E$2),"C0",IF(AND(B68&gt;=parametros!$D$3,B68&lt;=parametros!$E$3),"C1",IF(AND(B68&gt;=parametros!$D$4,B68&lt;=parametros!$E$4),"C2",IF(AND(B68&gt;=parametros!$D$5,B68&lt;=parametros!$E$5),"C3",IF(AND(B68&gt;=parametros!$D$6,B68&lt;=parametros!$E$6),"C4","Fora dos ciclos"))))),"Fora dos ciclos"))</f>
        <v/>
      </c>
      <c r="D68" s="324" t="n"/>
      <c r="E68" s="326" t="n"/>
      <c r="F68" s="327">
        <f>IF(A68="","",IFERROR(VLOOKUP(A68,itens_Remanesc!$A:$C,3,0),""))</f>
        <v/>
      </c>
      <c r="G68" s="327">
        <f>IF(OR(E68="",F68=""),"",ROUND(E68*F68,2))</f>
        <v/>
      </c>
      <c r="H68" s="324" t="n"/>
      <c r="I68" s="253">
        <f>IFERROR(VLOOKUP(C68,parametros!$B:$G,6,0),"")</f>
        <v/>
      </c>
      <c r="J68" s="327">
        <f>IF(G68="","",ROUND(IF(OR(UPPER(D68)="SUPRESSAO",UPPER(D68)="DECRESCIMO"),-1,1)*G68*IF(AND(UPPER(H68)="SIM",ISNUMBER(I68)),I68,1),2))</f>
        <v/>
      </c>
      <c r="K68" s="324" t="n"/>
    </row>
    <row r="69" ht="15.95" customHeight="1">
      <c r="A69" s="324" t="n"/>
      <c r="B69" s="325" t="n"/>
      <c r="C69" s="313">
        <f>IF(B69="","",IFERROR(IF(AND(B69&gt;=parametros!$D$2,B69&lt;=parametros!$E$2),"C0",IF(AND(B69&gt;=parametros!$D$3,B69&lt;=parametros!$E$3),"C1",IF(AND(B69&gt;=parametros!$D$4,B69&lt;=parametros!$E$4),"C2",IF(AND(B69&gt;=parametros!$D$5,B69&lt;=parametros!$E$5),"C3",IF(AND(B69&gt;=parametros!$D$6,B69&lt;=parametros!$E$6),"C4","Fora dos ciclos"))))),"Fora dos ciclos"))</f>
        <v/>
      </c>
      <c r="D69" s="324" t="n"/>
      <c r="E69" s="326" t="n"/>
      <c r="F69" s="327">
        <f>IF(A69="","",IFERROR(VLOOKUP(A69,itens_Remanesc!$A:$C,3,0),""))</f>
        <v/>
      </c>
      <c r="G69" s="327">
        <f>IF(OR(E69="",F69=""),"",ROUND(E69*F69,2))</f>
        <v/>
      </c>
      <c r="H69" s="324" t="n"/>
      <c r="I69" s="253">
        <f>IFERROR(VLOOKUP(C69,parametros!$B:$G,6,0),"")</f>
        <v/>
      </c>
      <c r="J69" s="327">
        <f>IF(G69="","",ROUND(IF(OR(UPPER(D69)="SUPRESSAO",UPPER(D69)="DECRESCIMO"),-1,1)*G69*IF(AND(UPPER(H69)="SIM",ISNUMBER(I69)),I69,1),2))</f>
        <v/>
      </c>
      <c r="K69" s="324" t="n"/>
    </row>
    <row r="70" ht="15.95" customHeight="1">
      <c r="A70" s="324" t="n"/>
      <c r="B70" s="325" t="n"/>
      <c r="C70" s="313">
        <f>IF(B70="","",IFERROR(IF(AND(B70&gt;=parametros!$D$2,B70&lt;=parametros!$E$2),"C0",IF(AND(B70&gt;=parametros!$D$3,B70&lt;=parametros!$E$3),"C1",IF(AND(B70&gt;=parametros!$D$4,B70&lt;=parametros!$E$4),"C2",IF(AND(B70&gt;=parametros!$D$5,B70&lt;=parametros!$E$5),"C3",IF(AND(B70&gt;=parametros!$D$6,B70&lt;=parametros!$E$6),"C4","Fora dos ciclos"))))),"Fora dos ciclos"))</f>
        <v/>
      </c>
      <c r="D70" s="324" t="n"/>
      <c r="E70" s="326" t="n"/>
      <c r="F70" s="327">
        <f>IF(A70="","",IFERROR(VLOOKUP(A70,itens_Remanesc!$A:$C,3,0),""))</f>
        <v/>
      </c>
      <c r="G70" s="327">
        <f>IF(OR(E70="",F70=""),"",ROUND(E70*F70,2))</f>
        <v/>
      </c>
      <c r="H70" s="324" t="n"/>
      <c r="I70" s="253">
        <f>IFERROR(VLOOKUP(C70,parametros!$B:$G,6,0),"")</f>
        <v/>
      </c>
      <c r="J70" s="327">
        <f>IF(G70="","",ROUND(IF(OR(UPPER(D70)="SUPRESSAO",UPPER(D70)="DECRESCIMO"),-1,1)*G70*IF(AND(UPPER(H70)="SIM",ISNUMBER(I70)),I70,1),2))</f>
        <v/>
      </c>
      <c r="K70" s="324" t="n"/>
    </row>
    <row r="71" ht="15.95" customHeight="1">
      <c r="A71" s="324" t="n"/>
      <c r="B71" s="325" t="n"/>
      <c r="C71" s="313">
        <f>IF(B71="","",IFERROR(IF(AND(B71&gt;=parametros!$D$2,B71&lt;=parametros!$E$2),"C0",IF(AND(B71&gt;=parametros!$D$3,B71&lt;=parametros!$E$3),"C1",IF(AND(B71&gt;=parametros!$D$4,B71&lt;=parametros!$E$4),"C2",IF(AND(B71&gt;=parametros!$D$5,B71&lt;=parametros!$E$5),"C3",IF(AND(B71&gt;=parametros!$D$6,B71&lt;=parametros!$E$6),"C4","Fora dos ciclos"))))),"Fora dos ciclos"))</f>
        <v/>
      </c>
      <c r="D71" s="324" t="n"/>
      <c r="E71" s="326" t="n"/>
      <c r="F71" s="327">
        <f>IF(A71="","",IFERROR(VLOOKUP(A71,itens_Remanesc!$A:$C,3,0),""))</f>
        <v/>
      </c>
      <c r="G71" s="327">
        <f>IF(OR(E71="",F71=""),"",ROUND(E71*F71,2))</f>
        <v/>
      </c>
      <c r="H71" s="324" t="n"/>
      <c r="I71" s="253">
        <f>IFERROR(VLOOKUP(C71,parametros!$B:$G,6,0),"")</f>
        <v/>
      </c>
      <c r="J71" s="327">
        <f>IF(G71="","",ROUND(IF(OR(UPPER(D71)="SUPRESSAO",UPPER(D71)="DECRESCIMO"),-1,1)*G71*IF(AND(UPPER(H71)="SIM",ISNUMBER(I71)),I71,1),2))</f>
        <v/>
      </c>
      <c r="K71" s="324" t="n"/>
    </row>
    <row r="72" ht="15.95" customHeight="1">
      <c r="A72" s="324" t="n"/>
      <c r="B72" s="325" t="n"/>
      <c r="C72" s="313">
        <f>IF(B72="","",IFERROR(IF(AND(B72&gt;=parametros!$D$2,B72&lt;=parametros!$E$2),"C0",IF(AND(B72&gt;=parametros!$D$3,B72&lt;=parametros!$E$3),"C1",IF(AND(B72&gt;=parametros!$D$4,B72&lt;=parametros!$E$4),"C2",IF(AND(B72&gt;=parametros!$D$5,B72&lt;=parametros!$E$5),"C3",IF(AND(B72&gt;=parametros!$D$6,B72&lt;=parametros!$E$6),"C4","Fora dos ciclos"))))),"Fora dos ciclos"))</f>
        <v/>
      </c>
      <c r="D72" s="324" t="n"/>
      <c r="E72" s="326" t="n"/>
      <c r="F72" s="327">
        <f>IF(A72="","",IFERROR(VLOOKUP(A72,itens_Remanesc!$A:$C,3,0),""))</f>
        <v/>
      </c>
      <c r="G72" s="327">
        <f>IF(OR(E72="",F72=""),"",ROUND(E72*F72,2))</f>
        <v/>
      </c>
      <c r="H72" s="324" t="n"/>
      <c r="I72" s="253">
        <f>IFERROR(VLOOKUP(C72,parametros!$B:$G,6,0),"")</f>
        <v/>
      </c>
      <c r="J72" s="327">
        <f>IF(G72="","",ROUND(IF(OR(UPPER(D72)="SUPRESSAO",UPPER(D72)="DECRESCIMO"),-1,1)*G72*IF(AND(UPPER(H72)="SIM",ISNUMBER(I72)),I72,1),2))</f>
        <v/>
      </c>
      <c r="K72" s="324" t="n"/>
    </row>
    <row r="73" ht="15.95" customHeight="1">
      <c r="A73" s="324" t="n"/>
      <c r="B73" s="325" t="n"/>
      <c r="C73" s="313">
        <f>IF(B73="","",IFERROR(IF(AND(B73&gt;=parametros!$D$2,B73&lt;=parametros!$E$2),"C0",IF(AND(B73&gt;=parametros!$D$3,B73&lt;=parametros!$E$3),"C1",IF(AND(B73&gt;=parametros!$D$4,B73&lt;=parametros!$E$4),"C2",IF(AND(B73&gt;=parametros!$D$5,B73&lt;=parametros!$E$5),"C3",IF(AND(B73&gt;=parametros!$D$6,B73&lt;=parametros!$E$6),"C4","Fora dos ciclos"))))),"Fora dos ciclos"))</f>
        <v/>
      </c>
      <c r="D73" s="324" t="n"/>
      <c r="E73" s="326" t="n"/>
      <c r="F73" s="327">
        <f>IF(A73="","",IFERROR(VLOOKUP(A73,itens_Remanesc!$A:$C,3,0),""))</f>
        <v/>
      </c>
      <c r="G73" s="327">
        <f>IF(OR(E73="",F73=""),"",ROUND(E73*F73,2))</f>
        <v/>
      </c>
      <c r="H73" s="324" t="n"/>
      <c r="I73" s="253">
        <f>IFERROR(VLOOKUP(C73,parametros!$B:$G,6,0),"")</f>
        <v/>
      </c>
      <c r="J73" s="327">
        <f>IF(G73="","",ROUND(IF(OR(UPPER(D73)="SUPRESSAO",UPPER(D73)="DECRESCIMO"),-1,1)*G73*IF(AND(UPPER(H73)="SIM",ISNUMBER(I73)),I73,1),2))</f>
        <v/>
      </c>
      <c r="K73" s="324" t="n"/>
    </row>
    <row r="74" ht="15.95" customHeight="1">
      <c r="A74" s="324" t="n"/>
      <c r="B74" s="325" t="n"/>
      <c r="C74" s="313">
        <f>IF(B74="","",IFERROR(IF(AND(B74&gt;=parametros!$D$2,B74&lt;=parametros!$E$2),"C0",IF(AND(B74&gt;=parametros!$D$3,B74&lt;=parametros!$E$3),"C1",IF(AND(B74&gt;=parametros!$D$4,B74&lt;=parametros!$E$4),"C2",IF(AND(B74&gt;=parametros!$D$5,B74&lt;=parametros!$E$5),"C3",IF(AND(B74&gt;=parametros!$D$6,B74&lt;=parametros!$E$6),"C4","Fora dos ciclos"))))),"Fora dos ciclos"))</f>
        <v/>
      </c>
      <c r="D74" s="324" t="n"/>
      <c r="E74" s="326" t="n"/>
      <c r="F74" s="327">
        <f>IF(A74="","",IFERROR(VLOOKUP(A74,itens_Remanesc!$A:$C,3,0),""))</f>
        <v/>
      </c>
      <c r="G74" s="327">
        <f>IF(OR(E74="",F74=""),"",ROUND(E74*F74,2))</f>
        <v/>
      </c>
      <c r="H74" s="324" t="n"/>
      <c r="I74" s="253">
        <f>IFERROR(VLOOKUP(C74,parametros!$B:$G,6,0),"")</f>
        <v/>
      </c>
      <c r="J74" s="327">
        <f>IF(G74="","",ROUND(IF(OR(UPPER(D74)="SUPRESSAO",UPPER(D74)="DECRESCIMO"),-1,1)*G74*IF(AND(UPPER(H74)="SIM",ISNUMBER(I74)),I74,1),2))</f>
        <v/>
      </c>
      <c r="K74" s="324" t="n"/>
    </row>
    <row r="75" ht="15.95" customHeight="1">
      <c r="A75" s="324" t="n"/>
      <c r="B75" s="325" t="n"/>
      <c r="C75" s="313">
        <f>IF(B75="","",IFERROR(IF(AND(B75&gt;=parametros!$D$2,B75&lt;=parametros!$E$2),"C0",IF(AND(B75&gt;=parametros!$D$3,B75&lt;=parametros!$E$3),"C1",IF(AND(B75&gt;=parametros!$D$4,B75&lt;=parametros!$E$4),"C2",IF(AND(B75&gt;=parametros!$D$5,B75&lt;=parametros!$E$5),"C3",IF(AND(B75&gt;=parametros!$D$6,B75&lt;=parametros!$E$6),"C4","Fora dos ciclos"))))),"Fora dos ciclos"))</f>
        <v/>
      </c>
      <c r="D75" s="324" t="n"/>
      <c r="E75" s="326" t="n"/>
      <c r="F75" s="327">
        <f>IF(A75="","",IFERROR(VLOOKUP(A75,itens_Remanesc!$A:$C,3,0),""))</f>
        <v/>
      </c>
      <c r="G75" s="327">
        <f>IF(OR(E75="",F75=""),"",ROUND(E75*F75,2))</f>
        <v/>
      </c>
      <c r="H75" s="324" t="n"/>
      <c r="I75" s="253">
        <f>IFERROR(VLOOKUP(C75,parametros!$B:$G,6,0),"")</f>
        <v/>
      </c>
      <c r="J75" s="327">
        <f>IF(G75="","",ROUND(IF(OR(UPPER(D75)="SUPRESSAO",UPPER(D75)="DECRESCIMO"),-1,1)*G75*IF(AND(UPPER(H75)="SIM",ISNUMBER(I75)),I75,1),2))</f>
        <v/>
      </c>
      <c r="K75" s="324" t="n"/>
    </row>
    <row r="76" ht="15.95" customHeight="1">
      <c r="A76" s="324" t="n"/>
      <c r="B76" s="325" t="n"/>
      <c r="C76" s="313">
        <f>IF(B76="","",IFERROR(IF(AND(B76&gt;=parametros!$D$2,B76&lt;=parametros!$E$2),"C0",IF(AND(B76&gt;=parametros!$D$3,B76&lt;=parametros!$E$3),"C1",IF(AND(B76&gt;=parametros!$D$4,B76&lt;=parametros!$E$4),"C2",IF(AND(B76&gt;=parametros!$D$5,B76&lt;=parametros!$E$5),"C3",IF(AND(B76&gt;=parametros!$D$6,B76&lt;=parametros!$E$6),"C4","Fora dos ciclos"))))),"Fora dos ciclos"))</f>
        <v/>
      </c>
      <c r="D76" s="324" t="n"/>
      <c r="E76" s="326" t="n"/>
      <c r="F76" s="327">
        <f>IF(A76="","",IFERROR(VLOOKUP(A76,itens_Remanesc!$A:$C,3,0),""))</f>
        <v/>
      </c>
      <c r="G76" s="327">
        <f>IF(OR(E76="",F76=""),"",ROUND(E76*F76,2))</f>
        <v/>
      </c>
      <c r="H76" s="324" t="n"/>
      <c r="I76" s="253">
        <f>IFERROR(VLOOKUP(C76,parametros!$B:$G,6,0),"")</f>
        <v/>
      </c>
      <c r="J76" s="327">
        <f>IF(G76="","",ROUND(IF(OR(UPPER(D76)="SUPRESSAO",UPPER(D76)="DECRESCIMO"),-1,1)*G76*IF(AND(UPPER(H76)="SIM",ISNUMBER(I76)),I76,1),2))</f>
        <v/>
      </c>
      <c r="K76" s="324" t="n"/>
    </row>
    <row r="77" ht="15.95" customHeight="1">
      <c r="A77" s="324" t="n"/>
      <c r="B77" s="325" t="n"/>
      <c r="C77" s="313">
        <f>IF(B77="","",IFERROR(IF(AND(B77&gt;=parametros!$D$2,B77&lt;=parametros!$E$2),"C0",IF(AND(B77&gt;=parametros!$D$3,B77&lt;=parametros!$E$3),"C1",IF(AND(B77&gt;=parametros!$D$4,B77&lt;=parametros!$E$4),"C2",IF(AND(B77&gt;=parametros!$D$5,B77&lt;=parametros!$E$5),"C3",IF(AND(B77&gt;=parametros!$D$6,B77&lt;=parametros!$E$6),"C4","Fora dos ciclos"))))),"Fora dos ciclos"))</f>
        <v/>
      </c>
      <c r="D77" s="324" t="n"/>
      <c r="E77" s="326" t="n"/>
      <c r="F77" s="327">
        <f>IF(A77="","",IFERROR(VLOOKUP(A77,itens_Remanesc!$A:$C,3,0),""))</f>
        <v/>
      </c>
      <c r="G77" s="327">
        <f>IF(OR(E77="",F77=""),"",ROUND(E77*F77,2))</f>
        <v/>
      </c>
      <c r="H77" s="324" t="n"/>
      <c r="I77" s="253">
        <f>IFERROR(VLOOKUP(C77,parametros!$B:$G,6,0),"")</f>
        <v/>
      </c>
      <c r="J77" s="327">
        <f>IF(G77="","",ROUND(IF(OR(UPPER(D77)="SUPRESSAO",UPPER(D77)="DECRESCIMO"),-1,1)*G77*IF(AND(UPPER(H77)="SIM",ISNUMBER(I77)),I77,1),2))</f>
        <v/>
      </c>
      <c r="K77" s="324" t="n"/>
    </row>
    <row r="78" ht="15.95" customHeight="1">
      <c r="A78" s="324" t="n"/>
      <c r="B78" s="325" t="n"/>
      <c r="C78" s="313">
        <f>IF(B78="","",IFERROR(IF(AND(B78&gt;=parametros!$D$2,B78&lt;=parametros!$E$2),"C0",IF(AND(B78&gt;=parametros!$D$3,B78&lt;=parametros!$E$3),"C1",IF(AND(B78&gt;=parametros!$D$4,B78&lt;=parametros!$E$4),"C2",IF(AND(B78&gt;=parametros!$D$5,B78&lt;=parametros!$E$5),"C3",IF(AND(B78&gt;=parametros!$D$6,B78&lt;=parametros!$E$6),"C4","Fora dos ciclos"))))),"Fora dos ciclos"))</f>
        <v/>
      </c>
      <c r="D78" s="324" t="n"/>
      <c r="E78" s="326" t="n"/>
      <c r="F78" s="327">
        <f>IF(A78="","",IFERROR(VLOOKUP(A78,itens_Remanesc!$A:$C,3,0),""))</f>
        <v/>
      </c>
      <c r="G78" s="327">
        <f>IF(OR(E78="",F78=""),"",ROUND(E78*F78,2))</f>
        <v/>
      </c>
      <c r="H78" s="324" t="n"/>
      <c r="I78" s="253">
        <f>IFERROR(VLOOKUP(C78,parametros!$B:$G,6,0),"")</f>
        <v/>
      </c>
      <c r="J78" s="327">
        <f>IF(G78="","",ROUND(IF(OR(UPPER(D78)="SUPRESSAO",UPPER(D78)="DECRESCIMO"),-1,1)*G78*IF(AND(UPPER(H78)="SIM",ISNUMBER(I78)),I78,1),2))</f>
        <v/>
      </c>
      <c r="K78" s="324" t="n"/>
    </row>
    <row r="79" ht="15.95" customHeight="1">
      <c r="A79" s="324" t="n"/>
      <c r="B79" s="325" t="n"/>
      <c r="C79" s="313">
        <f>IF(B79="","",IFERROR(IF(AND(B79&gt;=parametros!$D$2,B79&lt;=parametros!$E$2),"C0",IF(AND(B79&gt;=parametros!$D$3,B79&lt;=parametros!$E$3),"C1",IF(AND(B79&gt;=parametros!$D$4,B79&lt;=parametros!$E$4),"C2",IF(AND(B79&gt;=parametros!$D$5,B79&lt;=parametros!$E$5),"C3",IF(AND(B79&gt;=parametros!$D$6,B79&lt;=parametros!$E$6),"C4","Fora dos ciclos"))))),"Fora dos ciclos"))</f>
        <v/>
      </c>
      <c r="D79" s="324" t="n"/>
      <c r="E79" s="326" t="n"/>
      <c r="F79" s="327">
        <f>IF(A79="","",IFERROR(VLOOKUP(A79,itens_Remanesc!$A:$C,3,0),""))</f>
        <v/>
      </c>
      <c r="G79" s="327">
        <f>IF(OR(E79="",F79=""),"",ROUND(E79*F79,2))</f>
        <v/>
      </c>
      <c r="H79" s="324" t="n"/>
      <c r="I79" s="253">
        <f>IFERROR(VLOOKUP(C79,parametros!$B:$G,6,0),"")</f>
        <v/>
      </c>
      <c r="J79" s="327">
        <f>IF(G79="","",ROUND(IF(OR(UPPER(D79)="SUPRESSAO",UPPER(D79)="DECRESCIMO"),-1,1)*G79*IF(AND(UPPER(H79)="SIM",ISNUMBER(I79)),I79,1),2))</f>
        <v/>
      </c>
      <c r="K79" s="324" t="n"/>
    </row>
    <row r="80" ht="15.95" customHeight="1">
      <c r="A80" s="324" t="n"/>
      <c r="B80" s="325" t="n"/>
      <c r="C80" s="313">
        <f>IF(B80="","",IFERROR(IF(AND(B80&gt;=parametros!$D$2,B80&lt;=parametros!$E$2),"C0",IF(AND(B80&gt;=parametros!$D$3,B80&lt;=parametros!$E$3),"C1",IF(AND(B80&gt;=parametros!$D$4,B80&lt;=parametros!$E$4),"C2",IF(AND(B80&gt;=parametros!$D$5,B80&lt;=parametros!$E$5),"C3",IF(AND(B80&gt;=parametros!$D$6,B80&lt;=parametros!$E$6),"C4","Fora dos ciclos"))))),"Fora dos ciclos"))</f>
        <v/>
      </c>
      <c r="D80" s="324" t="n"/>
      <c r="E80" s="326" t="n"/>
      <c r="F80" s="327">
        <f>IF(A80="","",IFERROR(VLOOKUP(A80,itens_Remanesc!$A:$C,3,0),""))</f>
        <v/>
      </c>
      <c r="G80" s="327">
        <f>IF(OR(E80="",F80=""),"",ROUND(E80*F80,2))</f>
        <v/>
      </c>
      <c r="H80" s="324" t="n"/>
      <c r="I80" s="253">
        <f>IFERROR(VLOOKUP(C80,parametros!$B:$G,6,0),"")</f>
        <v/>
      </c>
      <c r="J80" s="327">
        <f>IF(G80="","",ROUND(IF(OR(UPPER(D80)="SUPRESSAO",UPPER(D80)="DECRESCIMO"),-1,1)*G80*IF(AND(UPPER(H80)="SIM",ISNUMBER(I80)),I80,1),2))</f>
        <v/>
      </c>
      <c r="K80" s="324" t="n"/>
    </row>
    <row r="81" ht="15.95" customHeight="1">
      <c r="A81" s="324" t="n"/>
      <c r="B81" s="325" t="n"/>
      <c r="C81" s="313">
        <f>IF(B81="","",IFERROR(IF(AND(B81&gt;=parametros!$D$2,B81&lt;=parametros!$E$2),"C0",IF(AND(B81&gt;=parametros!$D$3,B81&lt;=parametros!$E$3),"C1",IF(AND(B81&gt;=parametros!$D$4,B81&lt;=parametros!$E$4),"C2",IF(AND(B81&gt;=parametros!$D$5,B81&lt;=parametros!$E$5),"C3",IF(AND(B81&gt;=parametros!$D$6,B81&lt;=parametros!$E$6),"C4","Fora dos ciclos"))))),"Fora dos ciclos"))</f>
        <v/>
      </c>
      <c r="D81" s="324" t="n"/>
      <c r="E81" s="326" t="n"/>
      <c r="F81" s="327">
        <f>IF(A81="","",IFERROR(VLOOKUP(A81,itens_Remanesc!$A:$C,3,0),""))</f>
        <v/>
      </c>
      <c r="G81" s="327">
        <f>IF(OR(E81="",F81=""),"",ROUND(E81*F81,2))</f>
        <v/>
      </c>
      <c r="H81" s="324" t="n"/>
      <c r="I81" s="253">
        <f>IFERROR(VLOOKUP(C81,parametros!$B:$G,6,0),"")</f>
        <v/>
      </c>
      <c r="J81" s="327">
        <f>IF(G81="","",ROUND(IF(OR(UPPER(D81)="SUPRESSAO",UPPER(D81)="DECRESCIMO"),-1,1)*G81*IF(AND(UPPER(H81)="SIM",ISNUMBER(I81)),I81,1),2))</f>
        <v/>
      </c>
      <c r="K81" s="324" t="n"/>
    </row>
    <row r="82" ht="15.95" customHeight="1">
      <c r="A82" s="324" t="n"/>
      <c r="B82" s="325" t="n"/>
      <c r="C82" s="313">
        <f>IF(B82="","",IFERROR(IF(AND(B82&gt;=parametros!$D$2,B82&lt;=parametros!$E$2),"C0",IF(AND(B82&gt;=parametros!$D$3,B82&lt;=parametros!$E$3),"C1",IF(AND(B82&gt;=parametros!$D$4,B82&lt;=parametros!$E$4),"C2",IF(AND(B82&gt;=parametros!$D$5,B82&lt;=parametros!$E$5),"C3",IF(AND(B82&gt;=parametros!$D$6,B82&lt;=parametros!$E$6),"C4","Fora dos ciclos"))))),"Fora dos ciclos"))</f>
        <v/>
      </c>
      <c r="D82" s="324" t="n"/>
      <c r="E82" s="326" t="n"/>
      <c r="F82" s="327">
        <f>IF(A82="","",IFERROR(VLOOKUP(A82,itens_Remanesc!$A:$C,3,0),""))</f>
        <v/>
      </c>
      <c r="G82" s="327">
        <f>IF(OR(E82="",F82=""),"",ROUND(E82*F82,2))</f>
        <v/>
      </c>
      <c r="H82" s="324" t="n"/>
      <c r="I82" s="253">
        <f>IFERROR(VLOOKUP(C82,parametros!$B:$G,6,0),"")</f>
        <v/>
      </c>
      <c r="J82" s="327">
        <f>IF(G82="","",ROUND(IF(OR(UPPER(D82)="SUPRESSAO",UPPER(D82)="DECRESCIMO"),-1,1)*G82*IF(AND(UPPER(H82)="SIM",ISNUMBER(I82)),I82,1),2))</f>
        <v/>
      </c>
      <c r="K82" s="324" t="n"/>
    </row>
    <row r="83" ht="15.95" customHeight="1">
      <c r="A83" s="324" t="n"/>
      <c r="B83" s="325" t="n"/>
      <c r="C83" s="313">
        <f>IF(B83="","",IFERROR(IF(AND(B83&gt;=parametros!$D$2,B83&lt;=parametros!$E$2),"C0",IF(AND(B83&gt;=parametros!$D$3,B83&lt;=parametros!$E$3),"C1",IF(AND(B83&gt;=parametros!$D$4,B83&lt;=parametros!$E$4),"C2",IF(AND(B83&gt;=parametros!$D$5,B83&lt;=parametros!$E$5),"C3",IF(AND(B83&gt;=parametros!$D$6,B83&lt;=parametros!$E$6),"C4","Fora dos ciclos"))))),"Fora dos ciclos"))</f>
        <v/>
      </c>
      <c r="D83" s="324" t="n"/>
      <c r="E83" s="326" t="n"/>
      <c r="F83" s="327">
        <f>IF(A83="","",IFERROR(VLOOKUP(A83,itens_Remanesc!$A:$C,3,0),""))</f>
        <v/>
      </c>
      <c r="G83" s="327">
        <f>IF(OR(E83="",F83=""),"",ROUND(E83*F83,2))</f>
        <v/>
      </c>
      <c r="H83" s="324" t="n"/>
      <c r="I83" s="253">
        <f>IFERROR(VLOOKUP(C83,parametros!$B:$G,6,0),"")</f>
        <v/>
      </c>
      <c r="J83" s="327">
        <f>IF(G83="","",ROUND(IF(OR(UPPER(D83)="SUPRESSAO",UPPER(D83)="DECRESCIMO"),-1,1)*G83*IF(AND(UPPER(H83)="SIM",ISNUMBER(I83)),I83,1),2))</f>
        <v/>
      </c>
      <c r="K83" s="324" t="n"/>
    </row>
    <row r="84" ht="15.95" customHeight="1">
      <c r="A84" s="324" t="n"/>
      <c r="B84" s="325" t="n"/>
      <c r="C84" s="313">
        <f>IF(B84="","",IFERROR(IF(AND(B84&gt;=parametros!$D$2,B84&lt;=parametros!$E$2),"C0",IF(AND(B84&gt;=parametros!$D$3,B84&lt;=parametros!$E$3),"C1",IF(AND(B84&gt;=parametros!$D$4,B84&lt;=parametros!$E$4),"C2",IF(AND(B84&gt;=parametros!$D$5,B84&lt;=parametros!$E$5),"C3",IF(AND(B84&gt;=parametros!$D$6,B84&lt;=parametros!$E$6),"C4","Fora dos ciclos"))))),"Fora dos ciclos"))</f>
        <v/>
      </c>
      <c r="D84" s="324" t="n"/>
      <c r="E84" s="326" t="n"/>
      <c r="F84" s="327">
        <f>IF(A84="","",IFERROR(VLOOKUP(A84,itens_Remanesc!$A:$C,3,0),""))</f>
        <v/>
      </c>
      <c r="G84" s="327">
        <f>IF(OR(E84="",F84=""),"",ROUND(E84*F84,2))</f>
        <v/>
      </c>
      <c r="H84" s="324" t="n"/>
      <c r="I84" s="253">
        <f>IFERROR(VLOOKUP(C84,parametros!$B:$G,6,0),"")</f>
        <v/>
      </c>
      <c r="J84" s="327">
        <f>IF(G84="","",ROUND(IF(OR(UPPER(D84)="SUPRESSAO",UPPER(D84)="DECRESCIMO"),-1,1)*G84*IF(AND(UPPER(H84)="SIM",ISNUMBER(I84)),I84,1),2))</f>
        <v/>
      </c>
      <c r="K84" s="324" t="n"/>
    </row>
    <row r="85" ht="15.95" customHeight="1">
      <c r="A85" s="324" t="n"/>
      <c r="B85" s="325" t="n"/>
      <c r="C85" s="313">
        <f>IF(B85="","",IFERROR(IF(AND(B85&gt;=parametros!$D$2,B85&lt;=parametros!$E$2),"C0",IF(AND(B85&gt;=parametros!$D$3,B85&lt;=parametros!$E$3),"C1",IF(AND(B85&gt;=parametros!$D$4,B85&lt;=parametros!$E$4),"C2",IF(AND(B85&gt;=parametros!$D$5,B85&lt;=parametros!$E$5),"C3",IF(AND(B85&gt;=parametros!$D$6,B85&lt;=parametros!$E$6),"C4","Fora dos ciclos"))))),"Fora dos ciclos"))</f>
        <v/>
      </c>
      <c r="D85" s="324" t="n"/>
      <c r="E85" s="326" t="n"/>
      <c r="F85" s="327">
        <f>IF(A85="","",IFERROR(VLOOKUP(A85,itens_Remanesc!$A:$C,3,0),""))</f>
        <v/>
      </c>
      <c r="G85" s="327">
        <f>IF(OR(E85="",F85=""),"",ROUND(E85*F85,2))</f>
        <v/>
      </c>
      <c r="H85" s="324" t="n"/>
      <c r="I85" s="253">
        <f>IFERROR(VLOOKUP(C85,parametros!$B:$G,6,0),"")</f>
        <v/>
      </c>
      <c r="J85" s="327">
        <f>IF(G85="","",ROUND(IF(OR(UPPER(D85)="SUPRESSAO",UPPER(D85)="DECRESCIMO"),-1,1)*G85*IF(AND(UPPER(H85)="SIM",ISNUMBER(I85)),I85,1),2))</f>
        <v/>
      </c>
      <c r="K85" s="324" t="n"/>
    </row>
    <row r="86" ht="15.95" customHeight="1">
      <c r="A86" s="324" t="n"/>
      <c r="B86" s="325" t="n"/>
      <c r="C86" s="313">
        <f>IF(B86="","",IFERROR(IF(AND(B86&gt;=parametros!$D$2,B86&lt;=parametros!$E$2),"C0",IF(AND(B86&gt;=parametros!$D$3,B86&lt;=parametros!$E$3),"C1",IF(AND(B86&gt;=parametros!$D$4,B86&lt;=parametros!$E$4),"C2",IF(AND(B86&gt;=parametros!$D$5,B86&lt;=parametros!$E$5),"C3",IF(AND(B86&gt;=parametros!$D$6,B86&lt;=parametros!$E$6),"C4","Fora dos ciclos"))))),"Fora dos ciclos"))</f>
        <v/>
      </c>
      <c r="D86" s="324" t="n"/>
      <c r="E86" s="326" t="n"/>
      <c r="F86" s="327">
        <f>IF(A86="","",IFERROR(VLOOKUP(A86,itens_Remanesc!$A:$C,3,0),""))</f>
        <v/>
      </c>
      <c r="G86" s="327">
        <f>IF(OR(E86="",F86=""),"",ROUND(E86*F86,2))</f>
        <v/>
      </c>
      <c r="H86" s="324" t="n"/>
      <c r="I86" s="253">
        <f>IFERROR(VLOOKUP(C86,parametros!$B:$G,6,0),"")</f>
        <v/>
      </c>
      <c r="J86" s="327">
        <f>IF(G86="","",ROUND(IF(OR(UPPER(D86)="SUPRESSAO",UPPER(D86)="DECRESCIMO"),-1,1)*G86*IF(AND(UPPER(H86)="SIM",ISNUMBER(I86)),I86,1),2))</f>
        <v/>
      </c>
      <c r="K86" s="324" t="n"/>
    </row>
    <row r="87" ht="15.95" customHeight="1">
      <c r="A87" s="324" t="n"/>
      <c r="B87" s="325" t="n"/>
      <c r="C87" s="313">
        <f>IF(B87="","",IFERROR(IF(AND(B87&gt;=parametros!$D$2,B87&lt;=parametros!$E$2),"C0",IF(AND(B87&gt;=parametros!$D$3,B87&lt;=parametros!$E$3),"C1",IF(AND(B87&gt;=parametros!$D$4,B87&lt;=parametros!$E$4),"C2",IF(AND(B87&gt;=parametros!$D$5,B87&lt;=parametros!$E$5),"C3",IF(AND(B87&gt;=parametros!$D$6,B87&lt;=parametros!$E$6),"C4","Fora dos ciclos"))))),"Fora dos ciclos"))</f>
        <v/>
      </c>
      <c r="D87" s="324" t="n"/>
      <c r="E87" s="326" t="n"/>
      <c r="F87" s="327">
        <f>IF(A87="","",IFERROR(VLOOKUP(A87,itens_Remanesc!$A:$C,3,0),""))</f>
        <v/>
      </c>
      <c r="G87" s="327">
        <f>IF(OR(E87="",F87=""),"",ROUND(E87*F87,2))</f>
        <v/>
      </c>
      <c r="H87" s="324" t="n"/>
      <c r="I87" s="253">
        <f>IFERROR(VLOOKUP(C87,parametros!$B:$G,6,0),"")</f>
        <v/>
      </c>
      <c r="J87" s="327">
        <f>IF(G87="","",ROUND(IF(OR(UPPER(D87)="SUPRESSAO",UPPER(D87)="DECRESCIMO"),-1,1)*G87*IF(AND(UPPER(H87)="SIM",ISNUMBER(I87)),I87,1),2))</f>
        <v/>
      </c>
      <c r="K87" s="324" t="n"/>
    </row>
    <row r="88" ht="15.95" customHeight="1">
      <c r="A88" s="324" t="n"/>
      <c r="B88" s="325" t="n"/>
      <c r="C88" s="313">
        <f>IF(B88="","",IFERROR(IF(AND(B88&gt;=parametros!$D$2,B88&lt;=parametros!$E$2),"C0",IF(AND(B88&gt;=parametros!$D$3,B88&lt;=parametros!$E$3),"C1",IF(AND(B88&gt;=parametros!$D$4,B88&lt;=parametros!$E$4),"C2",IF(AND(B88&gt;=parametros!$D$5,B88&lt;=parametros!$E$5),"C3",IF(AND(B88&gt;=parametros!$D$6,B88&lt;=parametros!$E$6),"C4","Fora dos ciclos"))))),"Fora dos ciclos"))</f>
        <v/>
      </c>
      <c r="D88" s="324" t="n"/>
      <c r="E88" s="326" t="n"/>
      <c r="F88" s="327">
        <f>IF(A88="","",IFERROR(VLOOKUP(A88,itens_Remanesc!$A:$C,3,0),""))</f>
        <v/>
      </c>
      <c r="G88" s="327">
        <f>IF(OR(E88="",F88=""),"",ROUND(E88*F88,2))</f>
        <v/>
      </c>
      <c r="H88" s="324" t="n"/>
      <c r="I88" s="253">
        <f>IFERROR(VLOOKUP(C88,parametros!$B:$G,6,0),"")</f>
        <v/>
      </c>
      <c r="J88" s="327">
        <f>IF(G88="","",ROUND(IF(OR(UPPER(D88)="SUPRESSAO",UPPER(D88)="DECRESCIMO"),-1,1)*G88*IF(AND(UPPER(H88)="SIM",ISNUMBER(I88)),I88,1),2))</f>
        <v/>
      </c>
      <c r="K88" s="324" t="n"/>
    </row>
    <row r="89" ht="15.95" customHeight="1">
      <c r="A89" s="324" t="n"/>
      <c r="B89" s="325" t="n"/>
      <c r="C89" s="313">
        <f>IF(B89="","",IFERROR(IF(AND(B89&gt;=parametros!$D$2,B89&lt;=parametros!$E$2),"C0",IF(AND(B89&gt;=parametros!$D$3,B89&lt;=parametros!$E$3),"C1",IF(AND(B89&gt;=parametros!$D$4,B89&lt;=parametros!$E$4),"C2",IF(AND(B89&gt;=parametros!$D$5,B89&lt;=parametros!$E$5),"C3",IF(AND(B89&gt;=parametros!$D$6,B89&lt;=parametros!$E$6),"C4","Fora dos ciclos"))))),"Fora dos ciclos"))</f>
        <v/>
      </c>
      <c r="D89" s="324" t="n"/>
      <c r="E89" s="326" t="n"/>
      <c r="F89" s="327">
        <f>IF(A89="","",IFERROR(VLOOKUP(A89,itens_Remanesc!$A:$C,3,0),""))</f>
        <v/>
      </c>
      <c r="G89" s="327">
        <f>IF(OR(E89="",F89=""),"",ROUND(E89*F89,2))</f>
        <v/>
      </c>
      <c r="H89" s="324" t="n"/>
      <c r="I89" s="253">
        <f>IFERROR(VLOOKUP(C89,parametros!$B:$G,6,0),"")</f>
        <v/>
      </c>
      <c r="J89" s="327">
        <f>IF(G89="","",ROUND(IF(OR(UPPER(D89)="SUPRESSAO",UPPER(D89)="DECRESCIMO"),-1,1)*G89*IF(AND(UPPER(H89)="SIM",ISNUMBER(I89)),I89,1),2))</f>
        <v/>
      </c>
      <c r="K89" s="324" t="n"/>
    </row>
    <row r="90" ht="15.95" customHeight="1">
      <c r="A90" s="324" t="n"/>
      <c r="B90" s="325" t="n"/>
      <c r="C90" s="313">
        <f>IF(B90="","",IFERROR(IF(AND(B90&gt;=parametros!$D$2,B90&lt;=parametros!$E$2),"C0",IF(AND(B90&gt;=parametros!$D$3,B90&lt;=parametros!$E$3),"C1",IF(AND(B90&gt;=parametros!$D$4,B90&lt;=parametros!$E$4),"C2",IF(AND(B90&gt;=parametros!$D$5,B90&lt;=parametros!$E$5),"C3",IF(AND(B90&gt;=parametros!$D$6,B90&lt;=parametros!$E$6),"C4","Fora dos ciclos"))))),"Fora dos ciclos"))</f>
        <v/>
      </c>
      <c r="D90" s="324" t="n"/>
      <c r="E90" s="326" t="n"/>
      <c r="F90" s="327">
        <f>IF(A90="","",IFERROR(VLOOKUP(A90,itens_Remanesc!$A:$C,3,0),""))</f>
        <v/>
      </c>
      <c r="G90" s="327">
        <f>IF(OR(E90="",F90=""),"",ROUND(E90*F90,2))</f>
        <v/>
      </c>
      <c r="H90" s="324" t="n"/>
      <c r="I90" s="253">
        <f>IFERROR(VLOOKUP(C90,parametros!$B:$G,6,0),"")</f>
        <v/>
      </c>
      <c r="J90" s="327">
        <f>IF(G90="","",ROUND(IF(OR(UPPER(D90)="SUPRESSAO",UPPER(D90)="DECRESCIMO"),-1,1)*G90*IF(AND(UPPER(H90)="SIM",ISNUMBER(I90)),I90,1),2))</f>
        <v/>
      </c>
      <c r="K90" s="324" t="n"/>
    </row>
    <row r="91" ht="15.95" customHeight="1">
      <c r="A91" s="324" t="n"/>
      <c r="B91" s="325" t="n"/>
      <c r="C91" s="313">
        <f>IF(B91="","",IFERROR(IF(AND(B91&gt;=parametros!$D$2,B91&lt;=parametros!$E$2),"C0",IF(AND(B91&gt;=parametros!$D$3,B91&lt;=parametros!$E$3),"C1",IF(AND(B91&gt;=parametros!$D$4,B91&lt;=parametros!$E$4),"C2",IF(AND(B91&gt;=parametros!$D$5,B91&lt;=parametros!$E$5),"C3",IF(AND(B91&gt;=parametros!$D$6,B91&lt;=parametros!$E$6),"C4","Fora dos ciclos"))))),"Fora dos ciclos"))</f>
        <v/>
      </c>
      <c r="D91" s="324" t="n"/>
      <c r="E91" s="326" t="n"/>
      <c r="F91" s="327">
        <f>IF(A91="","",IFERROR(VLOOKUP(A91,itens_Remanesc!$A:$C,3,0),""))</f>
        <v/>
      </c>
      <c r="G91" s="327">
        <f>IF(OR(E91="",F91=""),"",ROUND(E91*F91,2))</f>
        <v/>
      </c>
      <c r="H91" s="324" t="n"/>
      <c r="I91" s="253">
        <f>IFERROR(VLOOKUP(C91,parametros!$B:$G,6,0),"")</f>
        <v/>
      </c>
      <c r="J91" s="327">
        <f>IF(G91="","",ROUND(IF(OR(UPPER(D91)="SUPRESSAO",UPPER(D91)="DECRESCIMO"),-1,1)*G91*IF(AND(UPPER(H91)="SIM",ISNUMBER(I91)),I91,1),2))</f>
        <v/>
      </c>
      <c r="K91" s="324" t="n"/>
    </row>
    <row r="92" ht="15.95" customHeight="1">
      <c r="A92" s="324" t="n"/>
      <c r="B92" s="325" t="n"/>
      <c r="C92" s="313">
        <f>IF(B92="","",IFERROR(IF(AND(B92&gt;=parametros!$D$2,B92&lt;=parametros!$E$2),"C0",IF(AND(B92&gt;=parametros!$D$3,B92&lt;=parametros!$E$3),"C1",IF(AND(B92&gt;=parametros!$D$4,B92&lt;=parametros!$E$4),"C2",IF(AND(B92&gt;=parametros!$D$5,B92&lt;=parametros!$E$5),"C3",IF(AND(B92&gt;=parametros!$D$6,B92&lt;=parametros!$E$6),"C4","Fora dos ciclos"))))),"Fora dos ciclos"))</f>
        <v/>
      </c>
      <c r="D92" s="324" t="n"/>
      <c r="E92" s="326" t="n"/>
      <c r="F92" s="327">
        <f>IF(A92="","",IFERROR(VLOOKUP(A92,itens_Remanesc!$A:$C,3,0),""))</f>
        <v/>
      </c>
      <c r="G92" s="327">
        <f>IF(OR(E92="",F92=""),"",ROUND(E92*F92,2))</f>
        <v/>
      </c>
      <c r="H92" s="324" t="n"/>
      <c r="I92" s="253">
        <f>IFERROR(VLOOKUP(C92,parametros!$B:$G,6,0),"")</f>
        <v/>
      </c>
      <c r="J92" s="327">
        <f>IF(G92="","",ROUND(IF(OR(UPPER(D92)="SUPRESSAO",UPPER(D92)="DECRESCIMO"),-1,1)*G92*IF(AND(UPPER(H92)="SIM",ISNUMBER(I92)),I92,1),2))</f>
        <v/>
      </c>
      <c r="K92" s="324" t="n"/>
    </row>
    <row r="93" ht="15.95" customHeight="1">
      <c r="A93" s="324" t="n"/>
      <c r="B93" s="325" t="n"/>
      <c r="C93" s="313">
        <f>IF(B93="","",IFERROR(IF(AND(B93&gt;=parametros!$D$2,B93&lt;=parametros!$E$2),"C0",IF(AND(B93&gt;=parametros!$D$3,B93&lt;=parametros!$E$3),"C1",IF(AND(B93&gt;=parametros!$D$4,B93&lt;=parametros!$E$4),"C2",IF(AND(B93&gt;=parametros!$D$5,B93&lt;=parametros!$E$5),"C3",IF(AND(B93&gt;=parametros!$D$6,B93&lt;=parametros!$E$6),"C4","Fora dos ciclos"))))),"Fora dos ciclos"))</f>
        <v/>
      </c>
      <c r="D93" s="324" t="n"/>
      <c r="E93" s="326" t="n"/>
      <c r="F93" s="327">
        <f>IF(A93="","",IFERROR(VLOOKUP(A93,itens_Remanesc!$A:$C,3,0),""))</f>
        <v/>
      </c>
      <c r="G93" s="327">
        <f>IF(OR(E93="",F93=""),"",ROUND(E93*F93,2))</f>
        <v/>
      </c>
      <c r="H93" s="324" t="n"/>
      <c r="I93" s="253">
        <f>IFERROR(VLOOKUP(C93,parametros!$B:$G,6,0),"")</f>
        <v/>
      </c>
      <c r="J93" s="327">
        <f>IF(G93="","",ROUND(IF(OR(UPPER(D93)="SUPRESSAO",UPPER(D93)="DECRESCIMO"),-1,1)*G93*IF(AND(UPPER(H93)="SIM",ISNUMBER(I93)),I93,1),2))</f>
        <v/>
      </c>
      <c r="K93" s="324" t="n"/>
    </row>
    <row r="94" ht="15.95" customHeight="1">
      <c r="A94" s="324" t="n"/>
      <c r="B94" s="325" t="n"/>
      <c r="C94" s="313">
        <f>IF(B94="","",IFERROR(IF(AND(B94&gt;=parametros!$D$2,B94&lt;=parametros!$E$2),"C0",IF(AND(B94&gt;=parametros!$D$3,B94&lt;=parametros!$E$3),"C1",IF(AND(B94&gt;=parametros!$D$4,B94&lt;=parametros!$E$4),"C2",IF(AND(B94&gt;=parametros!$D$5,B94&lt;=parametros!$E$5),"C3",IF(AND(B94&gt;=parametros!$D$6,B94&lt;=parametros!$E$6),"C4","Fora dos ciclos"))))),"Fora dos ciclos"))</f>
        <v/>
      </c>
      <c r="D94" s="324" t="n"/>
      <c r="E94" s="326" t="n"/>
      <c r="F94" s="327">
        <f>IF(A94="","",IFERROR(VLOOKUP(A94,itens_Remanesc!$A:$C,3,0),""))</f>
        <v/>
      </c>
      <c r="G94" s="327">
        <f>IF(OR(E94="",F94=""),"",ROUND(E94*F94,2))</f>
        <v/>
      </c>
      <c r="H94" s="324" t="n"/>
      <c r="I94" s="253">
        <f>IFERROR(VLOOKUP(C94,parametros!$B:$G,6,0),"")</f>
        <v/>
      </c>
      <c r="J94" s="327">
        <f>IF(G94="","",ROUND(IF(OR(UPPER(D94)="SUPRESSAO",UPPER(D94)="DECRESCIMO"),-1,1)*G94*IF(AND(UPPER(H94)="SIM",ISNUMBER(I94)),I94,1),2))</f>
        <v/>
      </c>
      <c r="K94" s="324" t="n"/>
    </row>
    <row r="95" ht="15.95" customHeight="1">
      <c r="A95" s="324" t="n"/>
      <c r="B95" s="325" t="n"/>
      <c r="C95" s="313">
        <f>IF(B95="","",IFERROR(IF(AND(B95&gt;=parametros!$D$2,B95&lt;=parametros!$E$2),"C0",IF(AND(B95&gt;=parametros!$D$3,B95&lt;=parametros!$E$3),"C1",IF(AND(B95&gt;=parametros!$D$4,B95&lt;=parametros!$E$4),"C2",IF(AND(B95&gt;=parametros!$D$5,B95&lt;=parametros!$E$5),"C3",IF(AND(B95&gt;=parametros!$D$6,B95&lt;=parametros!$E$6),"C4","Fora dos ciclos"))))),"Fora dos ciclos"))</f>
        <v/>
      </c>
      <c r="D95" s="324" t="n"/>
      <c r="E95" s="326" t="n"/>
      <c r="F95" s="327">
        <f>IF(A95="","",IFERROR(VLOOKUP(A95,itens_Remanesc!$A:$C,3,0),""))</f>
        <v/>
      </c>
      <c r="G95" s="327">
        <f>IF(OR(E95="",F95=""),"",ROUND(E95*F95,2))</f>
        <v/>
      </c>
      <c r="H95" s="324" t="n"/>
      <c r="I95" s="253">
        <f>IFERROR(VLOOKUP(C95,parametros!$B:$G,6,0),"")</f>
        <v/>
      </c>
      <c r="J95" s="327">
        <f>IF(G95="","",ROUND(IF(OR(UPPER(D95)="SUPRESSAO",UPPER(D95)="DECRESCIMO"),-1,1)*G95*IF(AND(UPPER(H95)="SIM",ISNUMBER(I95)),I95,1),2))</f>
        <v/>
      </c>
      <c r="K95" s="324" t="n"/>
    </row>
    <row r="96" ht="15.95" customHeight="1">
      <c r="A96" s="324" t="n"/>
      <c r="B96" s="325" t="n"/>
      <c r="C96" s="313">
        <f>IF(B96="","",IFERROR(IF(AND(B96&gt;=parametros!$D$2,B96&lt;=parametros!$E$2),"C0",IF(AND(B96&gt;=parametros!$D$3,B96&lt;=parametros!$E$3),"C1",IF(AND(B96&gt;=parametros!$D$4,B96&lt;=parametros!$E$4),"C2",IF(AND(B96&gt;=parametros!$D$5,B96&lt;=parametros!$E$5),"C3",IF(AND(B96&gt;=parametros!$D$6,B96&lt;=parametros!$E$6),"C4","Fora dos ciclos"))))),"Fora dos ciclos"))</f>
        <v/>
      </c>
      <c r="D96" s="324" t="n"/>
      <c r="E96" s="326" t="n"/>
      <c r="F96" s="327">
        <f>IF(A96="","",IFERROR(VLOOKUP(A96,itens_Remanesc!$A:$C,3,0),""))</f>
        <v/>
      </c>
      <c r="G96" s="327">
        <f>IF(OR(E96="",F96=""),"",ROUND(E96*F96,2))</f>
        <v/>
      </c>
      <c r="H96" s="324" t="n"/>
      <c r="I96" s="253">
        <f>IFERROR(VLOOKUP(C96,parametros!$B:$G,6,0),"")</f>
        <v/>
      </c>
      <c r="J96" s="327">
        <f>IF(G96="","",ROUND(IF(OR(UPPER(D96)="SUPRESSAO",UPPER(D96)="DECRESCIMO"),-1,1)*G96*IF(AND(UPPER(H96)="SIM",ISNUMBER(I96)),I96,1),2))</f>
        <v/>
      </c>
      <c r="K96" s="324" t="n"/>
    </row>
    <row r="97" ht="15.95" customHeight="1">
      <c r="A97" s="324" t="n"/>
      <c r="B97" s="325" t="n"/>
      <c r="C97" s="313">
        <f>IF(B97="","",IFERROR(IF(AND(B97&gt;=parametros!$D$2,B97&lt;=parametros!$E$2),"C0",IF(AND(B97&gt;=parametros!$D$3,B97&lt;=parametros!$E$3),"C1",IF(AND(B97&gt;=parametros!$D$4,B97&lt;=parametros!$E$4),"C2",IF(AND(B97&gt;=parametros!$D$5,B97&lt;=parametros!$E$5),"C3",IF(AND(B97&gt;=parametros!$D$6,B97&lt;=parametros!$E$6),"C4","Fora dos ciclos"))))),"Fora dos ciclos"))</f>
        <v/>
      </c>
      <c r="D97" s="324" t="n"/>
      <c r="E97" s="326" t="n"/>
      <c r="F97" s="327">
        <f>IF(A97="","",IFERROR(VLOOKUP(A97,itens_Remanesc!$A:$C,3,0),""))</f>
        <v/>
      </c>
      <c r="G97" s="327">
        <f>IF(OR(E97="",F97=""),"",ROUND(E97*F97,2))</f>
        <v/>
      </c>
      <c r="H97" s="324" t="n"/>
      <c r="I97" s="253">
        <f>IFERROR(VLOOKUP(C97,parametros!$B:$G,6,0),"")</f>
        <v/>
      </c>
      <c r="J97" s="327">
        <f>IF(G97="","",ROUND(IF(OR(UPPER(D97)="SUPRESSAO",UPPER(D97)="DECRESCIMO"),-1,1)*G97*IF(AND(UPPER(H97)="SIM",ISNUMBER(I97)),I97,1),2))</f>
        <v/>
      </c>
      <c r="K97" s="324" t="n"/>
    </row>
    <row r="98" ht="15.95" customHeight="1">
      <c r="A98" s="324" t="n"/>
      <c r="B98" s="325" t="n"/>
      <c r="C98" s="313">
        <f>IF(B98="","",IFERROR(IF(AND(B98&gt;=parametros!$D$2,B98&lt;=parametros!$E$2),"C0",IF(AND(B98&gt;=parametros!$D$3,B98&lt;=parametros!$E$3),"C1",IF(AND(B98&gt;=parametros!$D$4,B98&lt;=parametros!$E$4),"C2",IF(AND(B98&gt;=parametros!$D$5,B98&lt;=parametros!$E$5),"C3",IF(AND(B98&gt;=parametros!$D$6,B98&lt;=parametros!$E$6),"C4","Fora dos ciclos"))))),"Fora dos ciclos"))</f>
        <v/>
      </c>
      <c r="D98" s="324" t="n"/>
      <c r="E98" s="326" t="n"/>
      <c r="F98" s="327">
        <f>IF(A98="","",IFERROR(VLOOKUP(A98,itens_Remanesc!$A:$C,3,0),""))</f>
        <v/>
      </c>
      <c r="G98" s="327">
        <f>IF(OR(E98="",F98=""),"",ROUND(E98*F98,2))</f>
        <v/>
      </c>
      <c r="H98" s="324" t="n"/>
      <c r="I98" s="253">
        <f>IFERROR(VLOOKUP(C98,parametros!$B:$G,6,0),"")</f>
        <v/>
      </c>
      <c r="J98" s="327">
        <f>IF(G98="","",ROUND(IF(OR(UPPER(D98)="SUPRESSAO",UPPER(D98)="DECRESCIMO"),-1,1)*G98*IF(AND(UPPER(H98)="SIM",ISNUMBER(I98)),I98,1),2))</f>
        <v/>
      </c>
      <c r="K98" s="324" t="n"/>
    </row>
    <row r="99" ht="15.95" customHeight="1">
      <c r="A99" s="324" t="n"/>
      <c r="B99" s="325" t="n"/>
      <c r="C99" s="313">
        <f>IF(B99="","",IFERROR(IF(AND(B99&gt;=parametros!$D$2,B99&lt;=parametros!$E$2),"C0",IF(AND(B99&gt;=parametros!$D$3,B99&lt;=parametros!$E$3),"C1",IF(AND(B99&gt;=parametros!$D$4,B99&lt;=parametros!$E$4),"C2",IF(AND(B99&gt;=parametros!$D$5,B99&lt;=parametros!$E$5),"C3",IF(AND(B99&gt;=parametros!$D$6,B99&lt;=parametros!$E$6),"C4","Fora dos ciclos"))))),"Fora dos ciclos"))</f>
        <v/>
      </c>
      <c r="D99" s="324" t="n"/>
      <c r="E99" s="326" t="n"/>
      <c r="F99" s="327">
        <f>IF(A99="","",IFERROR(VLOOKUP(A99,itens_Remanesc!$A:$C,3,0),""))</f>
        <v/>
      </c>
      <c r="G99" s="327">
        <f>IF(OR(E99="",F99=""),"",ROUND(E99*F99,2))</f>
        <v/>
      </c>
      <c r="H99" s="324" t="n"/>
      <c r="I99" s="253">
        <f>IFERROR(VLOOKUP(C99,parametros!$B:$G,6,0),"")</f>
        <v/>
      </c>
      <c r="J99" s="327">
        <f>IF(G99="","",ROUND(IF(OR(UPPER(D99)="SUPRESSAO",UPPER(D99)="DECRESCIMO"),-1,1)*G99*IF(AND(UPPER(H99)="SIM",ISNUMBER(I99)),I99,1),2))</f>
        <v/>
      </c>
      <c r="K99" s="324" t="n"/>
    </row>
    <row r="100" ht="15.95" customHeight="1">
      <c r="A100" s="324" t="n"/>
      <c r="B100" s="325" t="n"/>
      <c r="C100" s="313">
        <f>IF(B100="","",IFERROR(IF(AND(B100&gt;=parametros!$D$2,B100&lt;=parametros!$E$2),"C0",IF(AND(B100&gt;=parametros!$D$3,B100&lt;=parametros!$E$3),"C1",IF(AND(B100&gt;=parametros!$D$4,B100&lt;=parametros!$E$4),"C2",IF(AND(B100&gt;=parametros!$D$5,B100&lt;=parametros!$E$5),"C3",IF(AND(B100&gt;=parametros!$D$6,B100&lt;=parametros!$E$6),"C4","Fora dos ciclos"))))),"Fora dos ciclos"))</f>
        <v/>
      </c>
      <c r="D100" s="324" t="n"/>
      <c r="E100" s="326" t="n"/>
      <c r="F100" s="327">
        <f>IF(A100="","",IFERROR(VLOOKUP(A100,itens_Remanesc!$A:$C,3,0),""))</f>
        <v/>
      </c>
      <c r="G100" s="327">
        <f>IF(OR(E100="",F100=""),"",ROUND(E100*F100,2))</f>
        <v/>
      </c>
      <c r="H100" s="324" t="n"/>
      <c r="I100" s="253">
        <f>IFERROR(VLOOKUP(C100,parametros!$B:$G,6,0),"")</f>
        <v/>
      </c>
      <c r="J100" s="327">
        <f>IF(G100="","",ROUND(IF(OR(UPPER(D100)="SUPRESSAO",UPPER(D100)="DECRESCIMO"),-1,1)*G100*IF(AND(UPPER(H100)="SIM",ISNUMBER(I100)),I100,1),2))</f>
        <v/>
      </c>
      <c r="K100" s="324" t="n"/>
    </row>
    <row r="101" ht="15.95" customHeight="1">
      <c r="A101" s="324" t="n"/>
      <c r="B101" s="325" t="n"/>
      <c r="C101" s="313">
        <f>IF(B101="","",IFERROR(IF(AND(B101&gt;=parametros!$D$2,B101&lt;=parametros!$E$2),"C0",IF(AND(B101&gt;=parametros!$D$3,B101&lt;=parametros!$E$3),"C1",IF(AND(B101&gt;=parametros!$D$4,B101&lt;=parametros!$E$4),"C2",IF(AND(B101&gt;=parametros!$D$5,B101&lt;=parametros!$E$5),"C3",IF(AND(B101&gt;=parametros!$D$6,B101&lt;=parametros!$E$6),"C4","Fora dos ciclos"))))),"Fora dos ciclos"))</f>
        <v/>
      </c>
      <c r="D101" s="324" t="n"/>
      <c r="E101" s="326" t="n"/>
      <c r="F101" s="327">
        <f>IF(A101="","",IFERROR(VLOOKUP(A101,itens_Remanesc!$A:$C,3,0),""))</f>
        <v/>
      </c>
      <c r="G101" s="327">
        <f>IF(OR(E101="",F101=""),"",ROUND(E101*F101,2))</f>
        <v/>
      </c>
      <c r="H101" s="324" t="n"/>
      <c r="I101" s="253">
        <f>IFERROR(VLOOKUP(C101,parametros!$B:$G,6,0),"")</f>
        <v/>
      </c>
      <c r="J101" s="327">
        <f>IF(G101="","",ROUND(IF(OR(UPPER(D101)="SUPRESSAO",UPPER(D101)="DECRESCIMO"),-1,1)*G101*IF(AND(UPPER(H101)="SIM",ISNUMBER(I101)),I101,1),2))</f>
        <v/>
      </c>
      <c r="K101" s="324" t="n"/>
    </row>
    <row r="102" ht="15.95" customHeight="1">
      <c r="A102" s="324" t="n"/>
      <c r="B102" s="325" t="n"/>
      <c r="C102" s="313">
        <f>IF(B102="","",IFERROR(IF(AND(B102&gt;=parametros!$D$2,B102&lt;=parametros!$E$2),"C0",IF(AND(B102&gt;=parametros!$D$3,B102&lt;=parametros!$E$3),"C1",IF(AND(B102&gt;=parametros!$D$4,B102&lt;=parametros!$E$4),"C2",IF(AND(B102&gt;=parametros!$D$5,B102&lt;=parametros!$E$5),"C3",IF(AND(B102&gt;=parametros!$D$6,B102&lt;=parametros!$E$6),"C4","Fora dos ciclos"))))),"Fora dos ciclos"))</f>
        <v/>
      </c>
      <c r="D102" s="324" t="n"/>
      <c r="E102" s="326" t="n"/>
      <c r="F102" s="327">
        <f>IF(A102="","",IFERROR(VLOOKUP(A102,itens_Remanesc!$A:$C,3,0),""))</f>
        <v/>
      </c>
      <c r="G102" s="327">
        <f>IF(OR(E102="",F102=""),"",ROUND(E102*F102,2))</f>
        <v/>
      </c>
      <c r="H102" s="324" t="n"/>
      <c r="I102" s="253">
        <f>IFERROR(VLOOKUP(C102,parametros!$B:$G,6,0),"")</f>
        <v/>
      </c>
      <c r="J102" s="327">
        <f>IF(G102="","",ROUND(IF(OR(UPPER(D102)="SUPRESSAO",UPPER(D102)="DECRESCIMO"),-1,1)*G102*IF(AND(UPPER(H102)="SIM",ISNUMBER(I102)),I102,1),2))</f>
        <v/>
      </c>
      <c r="K102" s="324" t="n"/>
    </row>
    <row r="103" ht="15.95" customHeight="1">
      <c r="A103" s="324" t="n"/>
      <c r="B103" s="325" t="n"/>
      <c r="C103" s="313">
        <f>IF(B103="","",IFERROR(IF(AND(B103&gt;=parametros!$D$2,B103&lt;=parametros!$E$2),"C0",IF(AND(B103&gt;=parametros!$D$3,B103&lt;=parametros!$E$3),"C1",IF(AND(B103&gt;=parametros!$D$4,B103&lt;=parametros!$E$4),"C2",IF(AND(B103&gt;=parametros!$D$5,B103&lt;=parametros!$E$5),"C3",IF(AND(B103&gt;=parametros!$D$6,B103&lt;=parametros!$E$6),"C4","Fora dos ciclos"))))),"Fora dos ciclos"))</f>
        <v/>
      </c>
      <c r="D103" s="324" t="n"/>
      <c r="E103" s="326" t="n"/>
      <c r="F103" s="327">
        <f>IF(A103="","",IFERROR(VLOOKUP(A103,itens_Remanesc!$A:$C,3,0),""))</f>
        <v/>
      </c>
      <c r="G103" s="327">
        <f>IF(OR(E103="",F103=""),"",ROUND(E103*F103,2))</f>
        <v/>
      </c>
      <c r="H103" s="324" t="n"/>
      <c r="I103" s="253">
        <f>IFERROR(VLOOKUP(C103,parametros!$B:$G,6,0),"")</f>
        <v/>
      </c>
      <c r="J103" s="327">
        <f>IF(G103="","",ROUND(IF(OR(UPPER(D103)="SUPRESSAO",UPPER(D103)="DECRESCIMO"),-1,1)*G103*IF(AND(UPPER(H103)="SIM",ISNUMBER(I103)),I103,1),2))</f>
        <v/>
      </c>
      <c r="K103" s="324" t="n"/>
    </row>
    <row r="104" ht="15.95" customHeight="1">
      <c r="A104" s="324" t="n"/>
      <c r="B104" s="325" t="n"/>
      <c r="C104" s="313">
        <f>IF(B104="","",IFERROR(IF(AND(B104&gt;=parametros!$D$2,B104&lt;=parametros!$E$2),"C0",IF(AND(B104&gt;=parametros!$D$3,B104&lt;=parametros!$E$3),"C1",IF(AND(B104&gt;=parametros!$D$4,B104&lt;=parametros!$E$4),"C2",IF(AND(B104&gt;=parametros!$D$5,B104&lt;=parametros!$E$5),"C3",IF(AND(B104&gt;=parametros!$D$6,B104&lt;=parametros!$E$6),"C4","Fora dos ciclos"))))),"Fora dos ciclos"))</f>
        <v/>
      </c>
      <c r="D104" s="324" t="n"/>
      <c r="E104" s="326" t="n"/>
      <c r="F104" s="327">
        <f>IF(A104="","",IFERROR(VLOOKUP(A104,itens_Remanesc!$A:$C,3,0),""))</f>
        <v/>
      </c>
      <c r="G104" s="327">
        <f>IF(OR(E104="",F104=""),"",ROUND(E104*F104,2))</f>
        <v/>
      </c>
      <c r="H104" s="324" t="n"/>
      <c r="I104" s="253">
        <f>IFERROR(VLOOKUP(C104,parametros!$B:$G,6,0),"")</f>
        <v/>
      </c>
      <c r="J104" s="327">
        <f>IF(G104="","",ROUND(IF(OR(UPPER(D104)="SUPRESSAO",UPPER(D104)="DECRESCIMO"),-1,1)*G104*IF(AND(UPPER(H104)="SIM",ISNUMBER(I104)),I104,1),2))</f>
        <v/>
      </c>
      <c r="K104" s="324" t="n"/>
    </row>
    <row r="105" ht="15.95" customHeight="1">
      <c r="A105" s="324" t="n"/>
      <c r="B105" s="325" t="n"/>
      <c r="C105" s="313">
        <f>IF(B105="","",IFERROR(IF(AND(B105&gt;=parametros!$D$2,B105&lt;=parametros!$E$2),"C0",IF(AND(B105&gt;=parametros!$D$3,B105&lt;=parametros!$E$3),"C1",IF(AND(B105&gt;=parametros!$D$4,B105&lt;=parametros!$E$4),"C2",IF(AND(B105&gt;=parametros!$D$5,B105&lt;=parametros!$E$5),"C3",IF(AND(B105&gt;=parametros!$D$6,B105&lt;=parametros!$E$6),"C4","Fora dos ciclos"))))),"Fora dos ciclos"))</f>
        <v/>
      </c>
      <c r="D105" s="324" t="n"/>
      <c r="E105" s="326" t="n"/>
      <c r="F105" s="327">
        <f>IF(A105="","",IFERROR(VLOOKUP(A105,itens_Remanesc!$A:$C,3,0),""))</f>
        <v/>
      </c>
      <c r="G105" s="327">
        <f>IF(OR(E105="",F105=""),"",ROUND(E105*F105,2))</f>
        <v/>
      </c>
      <c r="H105" s="324" t="n"/>
      <c r="I105" s="253">
        <f>IFERROR(VLOOKUP(C105,parametros!$B:$G,6,0),"")</f>
        <v/>
      </c>
      <c r="J105" s="327">
        <f>IF(G105="","",ROUND(IF(OR(UPPER(D105)="SUPRESSAO",UPPER(D105)="DECRESCIMO"),-1,1)*G105*IF(AND(UPPER(H105)="SIM",ISNUMBER(I105)),I105,1),2))</f>
        <v/>
      </c>
      <c r="K105" s="324" t="n"/>
    </row>
    <row r="106" ht="15.95" customHeight="1">
      <c r="A106" s="324" t="n"/>
      <c r="B106" s="325" t="n"/>
      <c r="C106" s="313">
        <f>IF(B106="","",IFERROR(IF(AND(B106&gt;=parametros!$D$2,B106&lt;=parametros!$E$2),"C0",IF(AND(B106&gt;=parametros!$D$3,B106&lt;=parametros!$E$3),"C1",IF(AND(B106&gt;=parametros!$D$4,B106&lt;=parametros!$E$4),"C2",IF(AND(B106&gt;=parametros!$D$5,B106&lt;=parametros!$E$5),"C3",IF(AND(B106&gt;=parametros!$D$6,B106&lt;=parametros!$E$6),"C4","Fora dos ciclos"))))),"Fora dos ciclos"))</f>
        <v/>
      </c>
      <c r="D106" s="324" t="n"/>
      <c r="E106" s="326" t="n"/>
      <c r="F106" s="327">
        <f>IF(A106="","",IFERROR(VLOOKUP(A106,itens_Remanesc!$A:$C,3,0),""))</f>
        <v/>
      </c>
      <c r="G106" s="327">
        <f>IF(OR(E106="",F106=""),"",ROUND(E106*F106,2))</f>
        <v/>
      </c>
      <c r="H106" s="324" t="n"/>
      <c r="I106" s="253">
        <f>IFERROR(VLOOKUP(C106,parametros!$B:$G,6,0),"")</f>
        <v/>
      </c>
      <c r="J106" s="327">
        <f>IF(G106="","",ROUND(IF(OR(UPPER(D106)="SUPRESSAO",UPPER(D106)="DECRESCIMO"),-1,1)*G106*IF(AND(UPPER(H106)="SIM",ISNUMBER(I106)),I106,1),2))</f>
        <v/>
      </c>
      <c r="K106" s="324" t="n"/>
    </row>
    <row r="107" ht="15.95" customHeight="1">
      <c r="A107" s="324" t="n"/>
      <c r="B107" s="325" t="n"/>
      <c r="C107" s="313">
        <f>IF(B107="","",IFERROR(IF(AND(B107&gt;=parametros!$D$2,B107&lt;=parametros!$E$2),"C0",IF(AND(B107&gt;=parametros!$D$3,B107&lt;=parametros!$E$3),"C1",IF(AND(B107&gt;=parametros!$D$4,B107&lt;=parametros!$E$4),"C2",IF(AND(B107&gt;=parametros!$D$5,B107&lt;=parametros!$E$5),"C3",IF(AND(B107&gt;=parametros!$D$6,B107&lt;=parametros!$E$6),"C4","Fora dos ciclos"))))),"Fora dos ciclos"))</f>
        <v/>
      </c>
      <c r="D107" s="324" t="n"/>
      <c r="E107" s="326" t="n"/>
      <c r="F107" s="327">
        <f>IF(A107="","",IFERROR(VLOOKUP(A107,itens_Remanesc!$A:$C,3,0),""))</f>
        <v/>
      </c>
      <c r="G107" s="327">
        <f>IF(OR(E107="",F107=""),"",ROUND(E107*F107,2))</f>
        <v/>
      </c>
      <c r="H107" s="324" t="n"/>
      <c r="I107" s="253">
        <f>IFERROR(VLOOKUP(C107,parametros!$B:$G,6,0),"")</f>
        <v/>
      </c>
      <c r="J107" s="327">
        <f>IF(G107="","",ROUND(IF(OR(UPPER(D107)="SUPRESSAO",UPPER(D107)="DECRESCIMO"),-1,1)*G107*IF(AND(UPPER(H107)="SIM",ISNUMBER(I107)),I107,1),2))</f>
        <v/>
      </c>
      <c r="K107" s="324" t="n"/>
    </row>
    <row r="108" ht="15.95" customHeight="1">
      <c r="A108" s="324" t="n"/>
      <c r="B108" s="325" t="n"/>
      <c r="C108" s="313">
        <f>IF(B108="","",IFERROR(IF(AND(B108&gt;=parametros!$D$2,B108&lt;=parametros!$E$2),"C0",IF(AND(B108&gt;=parametros!$D$3,B108&lt;=parametros!$E$3),"C1",IF(AND(B108&gt;=parametros!$D$4,B108&lt;=parametros!$E$4),"C2",IF(AND(B108&gt;=parametros!$D$5,B108&lt;=parametros!$E$5),"C3",IF(AND(B108&gt;=parametros!$D$6,B108&lt;=parametros!$E$6),"C4","Fora dos ciclos"))))),"Fora dos ciclos"))</f>
        <v/>
      </c>
      <c r="D108" s="324" t="n"/>
      <c r="E108" s="326" t="n"/>
      <c r="F108" s="327">
        <f>IF(A108="","",IFERROR(VLOOKUP(A108,itens_Remanesc!$A:$C,3,0),""))</f>
        <v/>
      </c>
      <c r="G108" s="327">
        <f>IF(OR(E108="",F108=""),"",ROUND(E108*F108,2))</f>
        <v/>
      </c>
      <c r="H108" s="324" t="n"/>
      <c r="I108" s="253">
        <f>IFERROR(VLOOKUP(C108,parametros!$B:$G,6,0),"")</f>
        <v/>
      </c>
      <c r="J108" s="327">
        <f>IF(G108="","",ROUND(IF(OR(UPPER(D108)="SUPRESSAO",UPPER(D108)="DECRESCIMO"),-1,1)*G108*IF(AND(UPPER(H108)="SIM",ISNUMBER(I108)),I108,1),2))</f>
        <v/>
      </c>
      <c r="K108" s="324" t="n"/>
    </row>
    <row r="109" ht="15.95" customHeight="1">
      <c r="A109" s="324" t="n"/>
      <c r="B109" s="325" t="n"/>
      <c r="C109" s="313">
        <f>IF(B109="","",IFERROR(IF(AND(B109&gt;=parametros!$D$2,B109&lt;=parametros!$E$2),"C0",IF(AND(B109&gt;=parametros!$D$3,B109&lt;=parametros!$E$3),"C1",IF(AND(B109&gt;=parametros!$D$4,B109&lt;=parametros!$E$4),"C2",IF(AND(B109&gt;=parametros!$D$5,B109&lt;=parametros!$E$5),"C3",IF(AND(B109&gt;=parametros!$D$6,B109&lt;=parametros!$E$6),"C4","Fora dos ciclos"))))),"Fora dos ciclos"))</f>
        <v/>
      </c>
      <c r="D109" s="324" t="n"/>
      <c r="E109" s="326" t="n"/>
      <c r="F109" s="327">
        <f>IF(A109="","",IFERROR(VLOOKUP(A109,itens_Remanesc!$A:$C,3,0),""))</f>
        <v/>
      </c>
      <c r="G109" s="327">
        <f>IF(OR(E109="",F109=""),"",ROUND(E109*F109,2))</f>
        <v/>
      </c>
      <c r="H109" s="324" t="n"/>
      <c r="I109" s="253">
        <f>IFERROR(VLOOKUP(C109,parametros!$B:$G,6,0),"")</f>
        <v/>
      </c>
      <c r="J109" s="327">
        <f>IF(G109="","",ROUND(IF(OR(UPPER(D109)="SUPRESSAO",UPPER(D109)="DECRESCIMO"),-1,1)*G109*IF(AND(UPPER(H109)="SIM",ISNUMBER(I109)),I109,1),2))</f>
        <v/>
      </c>
      <c r="K109" s="324" t="n"/>
    </row>
    <row r="110" ht="15.95" customHeight="1">
      <c r="A110" s="324" t="n"/>
      <c r="B110" s="325" t="n"/>
      <c r="C110" s="313">
        <f>IF(B110="","",IFERROR(IF(AND(B110&gt;=parametros!$D$2,B110&lt;=parametros!$E$2),"C0",IF(AND(B110&gt;=parametros!$D$3,B110&lt;=parametros!$E$3),"C1",IF(AND(B110&gt;=parametros!$D$4,B110&lt;=parametros!$E$4),"C2",IF(AND(B110&gt;=parametros!$D$5,B110&lt;=parametros!$E$5),"C3",IF(AND(B110&gt;=parametros!$D$6,B110&lt;=parametros!$E$6),"C4","Fora dos ciclos"))))),"Fora dos ciclos"))</f>
        <v/>
      </c>
      <c r="D110" s="324" t="n"/>
      <c r="E110" s="326" t="n"/>
      <c r="F110" s="327">
        <f>IF(A110="","",IFERROR(VLOOKUP(A110,itens_Remanesc!$A:$C,3,0),""))</f>
        <v/>
      </c>
      <c r="G110" s="327">
        <f>IF(OR(E110="",F110=""),"",ROUND(E110*F110,2))</f>
        <v/>
      </c>
      <c r="H110" s="324" t="n"/>
      <c r="I110" s="253">
        <f>IFERROR(VLOOKUP(C110,parametros!$B:$G,6,0),"")</f>
        <v/>
      </c>
      <c r="J110" s="327">
        <f>IF(G110="","",ROUND(IF(OR(UPPER(D110)="SUPRESSAO",UPPER(D110)="DECRESCIMO"),-1,1)*G110*IF(AND(UPPER(H110)="SIM",ISNUMBER(I110)),I110,1),2))</f>
        <v/>
      </c>
      <c r="K110" s="324" t="n"/>
    </row>
    <row r="111" ht="15.95" customHeight="1">
      <c r="A111" s="324" t="n"/>
      <c r="B111" s="325" t="n"/>
      <c r="C111" s="313">
        <f>IF(B111="","",IFERROR(IF(AND(B111&gt;=parametros!$D$2,B111&lt;=parametros!$E$2),"C0",IF(AND(B111&gt;=parametros!$D$3,B111&lt;=parametros!$E$3),"C1",IF(AND(B111&gt;=parametros!$D$4,B111&lt;=parametros!$E$4),"C2",IF(AND(B111&gt;=parametros!$D$5,B111&lt;=parametros!$E$5),"C3",IF(AND(B111&gt;=parametros!$D$6,B111&lt;=parametros!$E$6),"C4","Fora dos ciclos"))))),"Fora dos ciclos"))</f>
        <v/>
      </c>
      <c r="D111" s="324" t="n"/>
      <c r="E111" s="326" t="n"/>
      <c r="F111" s="327">
        <f>IF(A111="","",IFERROR(VLOOKUP(A111,itens_Remanesc!$A:$C,3,0),""))</f>
        <v/>
      </c>
      <c r="G111" s="327">
        <f>IF(OR(E111="",F111=""),"",ROUND(E111*F111,2))</f>
        <v/>
      </c>
      <c r="H111" s="324" t="n"/>
      <c r="I111" s="253">
        <f>IFERROR(VLOOKUP(C111,parametros!$B:$G,6,0),"")</f>
        <v/>
      </c>
      <c r="J111" s="327">
        <f>IF(G111="","",ROUND(IF(OR(UPPER(D111)="SUPRESSAO",UPPER(D111)="DECRESCIMO"),-1,1)*G111*IF(AND(UPPER(H111)="SIM",ISNUMBER(I111)),I111,1),2))</f>
        <v/>
      </c>
      <c r="K111" s="324" t="n"/>
    </row>
    <row r="112" ht="15.95" customHeight="1">
      <c r="A112" s="324" t="n"/>
      <c r="B112" s="325" t="n"/>
      <c r="C112" s="313">
        <f>IF(B112="","",IFERROR(IF(AND(B112&gt;=parametros!$D$2,B112&lt;=parametros!$E$2),"C0",IF(AND(B112&gt;=parametros!$D$3,B112&lt;=parametros!$E$3),"C1",IF(AND(B112&gt;=parametros!$D$4,B112&lt;=parametros!$E$4),"C2",IF(AND(B112&gt;=parametros!$D$5,B112&lt;=parametros!$E$5),"C3",IF(AND(B112&gt;=parametros!$D$6,B112&lt;=parametros!$E$6),"C4","Fora dos ciclos"))))),"Fora dos ciclos"))</f>
        <v/>
      </c>
      <c r="D112" s="324" t="n"/>
      <c r="E112" s="326" t="n"/>
      <c r="F112" s="327">
        <f>IF(A112="","",IFERROR(VLOOKUP(A112,itens_Remanesc!$A:$C,3,0),""))</f>
        <v/>
      </c>
      <c r="G112" s="327">
        <f>IF(OR(E112="",F112=""),"",ROUND(E112*F112,2))</f>
        <v/>
      </c>
      <c r="H112" s="324" t="n"/>
      <c r="I112" s="253">
        <f>IFERROR(VLOOKUP(C112,parametros!$B:$G,6,0),"")</f>
        <v/>
      </c>
      <c r="J112" s="327">
        <f>IF(G112="","",ROUND(IF(OR(UPPER(D112)="SUPRESSAO",UPPER(D112)="DECRESCIMO"),-1,1)*G112*IF(AND(UPPER(H112)="SIM",ISNUMBER(I112)),I112,1),2))</f>
        <v/>
      </c>
      <c r="K112" s="324" t="n"/>
    </row>
    <row r="113" ht="15.95" customHeight="1">
      <c r="A113" s="324" t="n"/>
      <c r="B113" s="325" t="n"/>
      <c r="C113" s="313">
        <f>IF(B113="","",IFERROR(IF(AND(B113&gt;=parametros!$D$2,B113&lt;=parametros!$E$2),"C0",IF(AND(B113&gt;=parametros!$D$3,B113&lt;=parametros!$E$3),"C1",IF(AND(B113&gt;=parametros!$D$4,B113&lt;=parametros!$E$4),"C2",IF(AND(B113&gt;=parametros!$D$5,B113&lt;=parametros!$E$5),"C3",IF(AND(B113&gt;=parametros!$D$6,B113&lt;=parametros!$E$6),"C4","Fora dos ciclos"))))),"Fora dos ciclos"))</f>
        <v/>
      </c>
      <c r="D113" s="324" t="n"/>
      <c r="E113" s="326" t="n"/>
      <c r="F113" s="327">
        <f>IF(A113="","",IFERROR(VLOOKUP(A113,itens_Remanesc!$A:$C,3,0),""))</f>
        <v/>
      </c>
      <c r="G113" s="327">
        <f>IF(OR(E113="",F113=""),"",ROUND(E113*F113,2))</f>
        <v/>
      </c>
      <c r="H113" s="324" t="n"/>
      <c r="I113" s="253">
        <f>IFERROR(VLOOKUP(C113,parametros!$B:$G,6,0),"")</f>
        <v/>
      </c>
      <c r="J113" s="327">
        <f>IF(G113="","",ROUND(IF(OR(UPPER(D113)="SUPRESSAO",UPPER(D113)="DECRESCIMO"),-1,1)*G113*IF(AND(UPPER(H113)="SIM",ISNUMBER(I113)),I113,1),2))</f>
        <v/>
      </c>
      <c r="K113" s="324" t="n"/>
    </row>
    <row r="114" ht="15.95" customHeight="1">
      <c r="A114" s="324" t="n"/>
      <c r="B114" s="325" t="n"/>
      <c r="C114" s="313">
        <f>IF(B114="","",IFERROR(IF(AND(B114&gt;=parametros!$D$2,B114&lt;=parametros!$E$2),"C0",IF(AND(B114&gt;=parametros!$D$3,B114&lt;=parametros!$E$3),"C1",IF(AND(B114&gt;=parametros!$D$4,B114&lt;=parametros!$E$4),"C2",IF(AND(B114&gt;=parametros!$D$5,B114&lt;=parametros!$E$5),"C3",IF(AND(B114&gt;=parametros!$D$6,B114&lt;=parametros!$E$6),"C4","Fora dos ciclos"))))),"Fora dos ciclos"))</f>
        <v/>
      </c>
      <c r="D114" s="324" t="n"/>
      <c r="E114" s="326" t="n"/>
      <c r="F114" s="327">
        <f>IF(A114="","",IFERROR(VLOOKUP(A114,itens_Remanesc!$A:$C,3,0),""))</f>
        <v/>
      </c>
      <c r="G114" s="327">
        <f>IF(OR(E114="",F114=""),"",ROUND(E114*F114,2))</f>
        <v/>
      </c>
      <c r="H114" s="324" t="n"/>
      <c r="I114" s="253">
        <f>IFERROR(VLOOKUP(C114,parametros!$B:$G,6,0),"")</f>
        <v/>
      </c>
      <c r="J114" s="327">
        <f>IF(G114="","",ROUND(IF(OR(UPPER(D114)="SUPRESSAO",UPPER(D114)="DECRESCIMO"),-1,1)*G114*IF(AND(UPPER(H114)="SIM",ISNUMBER(I114)),I114,1),2))</f>
        <v/>
      </c>
      <c r="K114" s="324" t="n"/>
    </row>
    <row r="115" ht="15.95" customHeight="1">
      <c r="A115" s="324" t="n"/>
      <c r="B115" s="325" t="n"/>
      <c r="C115" s="313">
        <f>IF(B115="","",IFERROR(IF(AND(B115&gt;=parametros!$D$2,B115&lt;=parametros!$E$2),"C0",IF(AND(B115&gt;=parametros!$D$3,B115&lt;=parametros!$E$3),"C1",IF(AND(B115&gt;=parametros!$D$4,B115&lt;=parametros!$E$4),"C2",IF(AND(B115&gt;=parametros!$D$5,B115&lt;=parametros!$E$5),"C3",IF(AND(B115&gt;=parametros!$D$6,B115&lt;=parametros!$E$6),"C4","Fora dos ciclos"))))),"Fora dos ciclos"))</f>
        <v/>
      </c>
      <c r="D115" s="324" t="n"/>
      <c r="E115" s="326" t="n"/>
      <c r="F115" s="327">
        <f>IF(A115="","",IFERROR(VLOOKUP(A115,itens_Remanesc!$A:$C,3,0),""))</f>
        <v/>
      </c>
      <c r="G115" s="327">
        <f>IF(OR(E115="",F115=""),"",ROUND(E115*F115,2))</f>
        <v/>
      </c>
      <c r="H115" s="324" t="n"/>
      <c r="I115" s="253">
        <f>IFERROR(VLOOKUP(C115,parametros!$B:$G,6,0),"")</f>
        <v/>
      </c>
      <c r="J115" s="327">
        <f>IF(G115="","",ROUND(IF(OR(UPPER(D115)="SUPRESSAO",UPPER(D115)="DECRESCIMO"),-1,1)*G115*IF(AND(UPPER(H115)="SIM",ISNUMBER(I115)),I115,1),2))</f>
        <v/>
      </c>
      <c r="K115" s="324" t="n"/>
    </row>
    <row r="116" ht="15.95" customHeight="1">
      <c r="A116" s="324" t="n"/>
      <c r="B116" s="325" t="n"/>
      <c r="C116" s="313">
        <f>IF(B116="","",IFERROR(IF(AND(B116&gt;=parametros!$D$2,B116&lt;=parametros!$E$2),"C0",IF(AND(B116&gt;=parametros!$D$3,B116&lt;=parametros!$E$3),"C1",IF(AND(B116&gt;=parametros!$D$4,B116&lt;=parametros!$E$4),"C2",IF(AND(B116&gt;=parametros!$D$5,B116&lt;=parametros!$E$5),"C3",IF(AND(B116&gt;=parametros!$D$6,B116&lt;=parametros!$E$6),"C4","Fora dos ciclos"))))),"Fora dos ciclos"))</f>
        <v/>
      </c>
      <c r="D116" s="324" t="n"/>
      <c r="E116" s="326" t="n"/>
      <c r="F116" s="327">
        <f>IF(A116="","",IFERROR(VLOOKUP(A116,itens_Remanesc!$A:$C,3,0),""))</f>
        <v/>
      </c>
      <c r="G116" s="327">
        <f>IF(OR(E116="",F116=""),"",ROUND(E116*F116,2))</f>
        <v/>
      </c>
      <c r="H116" s="324" t="n"/>
      <c r="I116" s="253">
        <f>IFERROR(VLOOKUP(C116,parametros!$B:$G,6,0),"")</f>
        <v/>
      </c>
      <c r="J116" s="327">
        <f>IF(G116="","",ROUND(IF(OR(UPPER(D116)="SUPRESSAO",UPPER(D116)="DECRESCIMO"),-1,1)*G116*IF(AND(UPPER(H116)="SIM",ISNUMBER(I116)),I116,1),2))</f>
        <v/>
      </c>
      <c r="K116" s="324" t="n"/>
    </row>
    <row r="117" ht="15.95" customHeight="1">
      <c r="A117" s="324" t="n"/>
      <c r="B117" s="325" t="n"/>
      <c r="C117" s="313">
        <f>IF(B117="","",IFERROR(IF(AND(B117&gt;=parametros!$D$2,B117&lt;=parametros!$E$2),"C0",IF(AND(B117&gt;=parametros!$D$3,B117&lt;=parametros!$E$3),"C1",IF(AND(B117&gt;=parametros!$D$4,B117&lt;=parametros!$E$4),"C2",IF(AND(B117&gt;=parametros!$D$5,B117&lt;=parametros!$E$5),"C3",IF(AND(B117&gt;=parametros!$D$6,B117&lt;=parametros!$E$6),"C4","Fora dos ciclos"))))),"Fora dos ciclos"))</f>
        <v/>
      </c>
      <c r="D117" s="324" t="n"/>
      <c r="E117" s="326" t="n"/>
      <c r="F117" s="327">
        <f>IF(A117="","",IFERROR(VLOOKUP(A117,itens_Remanesc!$A:$C,3,0),""))</f>
        <v/>
      </c>
      <c r="G117" s="327">
        <f>IF(OR(E117="",F117=""),"",ROUND(E117*F117,2))</f>
        <v/>
      </c>
      <c r="H117" s="324" t="n"/>
      <c r="I117" s="253">
        <f>IFERROR(VLOOKUP(C117,parametros!$B:$G,6,0),"")</f>
        <v/>
      </c>
      <c r="J117" s="327">
        <f>IF(G117="","",ROUND(IF(OR(UPPER(D117)="SUPRESSAO",UPPER(D117)="DECRESCIMO"),-1,1)*G117*IF(AND(UPPER(H117)="SIM",ISNUMBER(I117)),I117,1),2))</f>
        <v/>
      </c>
      <c r="K117" s="324" t="n"/>
    </row>
    <row r="118" ht="15.95" customHeight="1">
      <c r="A118" s="324" t="n"/>
      <c r="B118" s="325" t="n"/>
      <c r="C118" s="313">
        <f>IF(B118="","",IFERROR(IF(AND(B118&gt;=parametros!$D$2,B118&lt;=parametros!$E$2),"C0",IF(AND(B118&gt;=parametros!$D$3,B118&lt;=parametros!$E$3),"C1",IF(AND(B118&gt;=parametros!$D$4,B118&lt;=parametros!$E$4),"C2",IF(AND(B118&gt;=parametros!$D$5,B118&lt;=parametros!$E$5),"C3",IF(AND(B118&gt;=parametros!$D$6,B118&lt;=parametros!$E$6),"C4","Fora dos ciclos"))))),"Fora dos ciclos"))</f>
        <v/>
      </c>
      <c r="D118" s="324" t="n"/>
      <c r="E118" s="326" t="n"/>
      <c r="F118" s="327">
        <f>IF(A118="","",IFERROR(VLOOKUP(A118,itens_Remanesc!$A:$C,3,0),""))</f>
        <v/>
      </c>
      <c r="G118" s="327">
        <f>IF(OR(E118="",F118=""),"",ROUND(E118*F118,2))</f>
        <v/>
      </c>
      <c r="H118" s="324" t="n"/>
      <c r="I118" s="253">
        <f>IFERROR(VLOOKUP(C118,parametros!$B:$G,6,0),"")</f>
        <v/>
      </c>
      <c r="J118" s="327">
        <f>IF(G118="","",ROUND(IF(OR(UPPER(D118)="SUPRESSAO",UPPER(D118)="DECRESCIMO"),-1,1)*G118*IF(AND(UPPER(H118)="SIM",ISNUMBER(I118)),I118,1),2))</f>
        <v/>
      </c>
      <c r="K118" s="324" t="n"/>
    </row>
    <row r="119" ht="15.95" customHeight="1">
      <c r="A119" s="324" t="n"/>
      <c r="B119" s="325" t="n"/>
      <c r="C119" s="313">
        <f>IF(B119="","",IFERROR(IF(AND(B119&gt;=parametros!$D$2,B119&lt;=parametros!$E$2),"C0",IF(AND(B119&gt;=parametros!$D$3,B119&lt;=parametros!$E$3),"C1",IF(AND(B119&gt;=parametros!$D$4,B119&lt;=parametros!$E$4),"C2",IF(AND(B119&gt;=parametros!$D$5,B119&lt;=parametros!$E$5),"C3",IF(AND(B119&gt;=parametros!$D$6,B119&lt;=parametros!$E$6),"C4","Fora dos ciclos"))))),"Fora dos ciclos"))</f>
        <v/>
      </c>
      <c r="D119" s="324" t="n"/>
      <c r="E119" s="326" t="n"/>
      <c r="F119" s="327">
        <f>IF(A119="","",IFERROR(VLOOKUP(A119,itens_Remanesc!$A:$C,3,0),""))</f>
        <v/>
      </c>
      <c r="G119" s="327">
        <f>IF(OR(E119="",F119=""),"",ROUND(E119*F119,2))</f>
        <v/>
      </c>
      <c r="H119" s="324" t="n"/>
      <c r="I119" s="253">
        <f>IFERROR(VLOOKUP(C119,parametros!$B:$G,6,0),"")</f>
        <v/>
      </c>
      <c r="J119" s="327">
        <f>IF(G119="","",ROUND(IF(OR(UPPER(D119)="SUPRESSAO",UPPER(D119)="DECRESCIMO"),-1,1)*G119*IF(AND(UPPER(H119)="SIM",ISNUMBER(I119)),I119,1),2))</f>
        <v/>
      </c>
      <c r="K119" s="324" t="n"/>
    </row>
    <row r="120" ht="15.95" customHeight="1">
      <c r="A120" s="324" t="n"/>
      <c r="B120" s="325" t="n"/>
      <c r="C120" s="313">
        <f>IF(B120="","",IFERROR(IF(AND(B120&gt;=parametros!$D$2,B120&lt;=parametros!$E$2),"C0",IF(AND(B120&gt;=parametros!$D$3,B120&lt;=parametros!$E$3),"C1",IF(AND(B120&gt;=parametros!$D$4,B120&lt;=parametros!$E$4),"C2",IF(AND(B120&gt;=parametros!$D$5,B120&lt;=parametros!$E$5),"C3",IF(AND(B120&gt;=parametros!$D$6,B120&lt;=parametros!$E$6),"C4","Fora dos ciclos"))))),"Fora dos ciclos"))</f>
        <v/>
      </c>
      <c r="D120" s="324" t="n"/>
      <c r="E120" s="326" t="n"/>
      <c r="F120" s="327">
        <f>IF(A120="","",IFERROR(VLOOKUP(A120,itens_Remanesc!$A:$C,3,0),""))</f>
        <v/>
      </c>
      <c r="G120" s="327">
        <f>IF(OR(E120="",F120=""),"",ROUND(E120*F120,2))</f>
        <v/>
      </c>
      <c r="H120" s="324" t="n"/>
      <c r="I120" s="253">
        <f>IFERROR(VLOOKUP(C120,parametros!$B:$G,6,0),"")</f>
        <v/>
      </c>
      <c r="J120" s="327">
        <f>IF(G120="","",ROUND(IF(OR(UPPER(D120)="SUPRESSAO",UPPER(D120)="DECRESCIMO"),-1,1)*G120*IF(AND(UPPER(H120)="SIM",ISNUMBER(I120)),I120,1),2))</f>
        <v/>
      </c>
      <c r="K120" s="324" t="n"/>
    </row>
    <row r="121" ht="15.95" customHeight="1">
      <c r="A121" s="324" t="n"/>
      <c r="B121" s="325" t="n"/>
      <c r="C121" s="313">
        <f>IF(B121="","",IFERROR(IF(AND(B121&gt;=parametros!$D$2,B121&lt;=parametros!$E$2),"C0",IF(AND(B121&gt;=parametros!$D$3,B121&lt;=parametros!$E$3),"C1",IF(AND(B121&gt;=parametros!$D$4,B121&lt;=parametros!$E$4),"C2",IF(AND(B121&gt;=parametros!$D$5,B121&lt;=parametros!$E$5),"C3",IF(AND(B121&gt;=parametros!$D$6,B121&lt;=parametros!$E$6),"C4","Fora dos ciclos"))))),"Fora dos ciclos"))</f>
        <v/>
      </c>
      <c r="D121" s="324" t="n"/>
      <c r="E121" s="326" t="n"/>
      <c r="F121" s="327">
        <f>IF(A121="","",IFERROR(VLOOKUP(A121,itens_Remanesc!$A:$C,3,0),""))</f>
        <v/>
      </c>
      <c r="G121" s="327">
        <f>IF(OR(E121="",F121=""),"",ROUND(E121*F121,2))</f>
        <v/>
      </c>
      <c r="H121" s="324" t="n"/>
      <c r="I121" s="253">
        <f>IFERROR(VLOOKUP(C121,parametros!$B:$G,6,0),"")</f>
        <v/>
      </c>
      <c r="J121" s="327">
        <f>IF(G121="","",ROUND(IF(OR(UPPER(D121)="SUPRESSAO",UPPER(D121)="DECRESCIMO"),-1,1)*G121*IF(AND(UPPER(H121)="SIM",ISNUMBER(I121)),I121,1),2))</f>
        <v/>
      </c>
      <c r="K121" s="324" t="n"/>
    </row>
    <row r="122" ht="15.95" customHeight="1">
      <c r="A122" s="324" t="n"/>
      <c r="B122" s="325" t="n"/>
      <c r="C122" s="313">
        <f>IF(B122="","",IFERROR(IF(AND(B122&gt;=parametros!$D$2,B122&lt;=parametros!$E$2),"C0",IF(AND(B122&gt;=parametros!$D$3,B122&lt;=parametros!$E$3),"C1",IF(AND(B122&gt;=parametros!$D$4,B122&lt;=parametros!$E$4),"C2",IF(AND(B122&gt;=parametros!$D$5,B122&lt;=parametros!$E$5),"C3",IF(AND(B122&gt;=parametros!$D$6,B122&lt;=parametros!$E$6),"C4","Fora dos ciclos"))))),"Fora dos ciclos"))</f>
        <v/>
      </c>
      <c r="D122" s="324" t="n"/>
      <c r="E122" s="326" t="n"/>
      <c r="F122" s="327">
        <f>IF(A122="","",IFERROR(VLOOKUP(A122,itens_Remanesc!$A:$C,3,0),""))</f>
        <v/>
      </c>
      <c r="G122" s="327">
        <f>IF(OR(E122="",F122=""),"",ROUND(E122*F122,2))</f>
        <v/>
      </c>
      <c r="H122" s="324" t="n"/>
      <c r="I122" s="253">
        <f>IFERROR(VLOOKUP(C122,parametros!$B:$G,6,0),"")</f>
        <v/>
      </c>
      <c r="J122" s="327">
        <f>IF(G122="","",ROUND(IF(OR(UPPER(D122)="SUPRESSAO",UPPER(D122)="DECRESCIMO"),-1,1)*G122*IF(AND(UPPER(H122)="SIM",ISNUMBER(I122)),I122,1),2))</f>
        <v/>
      </c>
      <c r="K122" s="324" t="n"/>
    </row>
    <row r="123" ht="15.95" customHeight="1">
      <c r="A123" s="324" t="n"/>
      <c r="B123" s="325" t="n"/>
      <c r="C123" s="313">
        <f>IF(B123="","",IFERROR(IF(AND(B123&gt;=parametros!$D$2,B123&lt;=parametros!$E$2),"C0",IF(AND(B123&gt;=parametros!$D$3,B123&lt;=parametros!$E$3),"C1",IF(AND(B123&gt;=parametros!$D$4,B123&lt;=parametros!$E$4),"C2",IF(AND(B123&gt;=parametros!$D$5,B123&lt;=parametros!$E$5),"C3",IF(AND(B123&gt;=parametros!$D$6,B123&lt;=parametros!$E$6),"C4","Fora dos ciclos"))))),"Fora dos ciclos"))</f>
        <v/>
      </c>
      <c r="D123" s="324" t="n"/>
      <c r="E123" s="326" t="n"/>
      <c r="F123" s="327">
        <f>IF(A123="","",IFERROR(VLOOKUP(A123,itens_Remanesc!$A:$C,3,0),""))</f>
        <v/>
      </c>
      <c r="G123" s="327">
        <f>IF(OR(E123="",F123=""),"",ROUND(E123*F123,2))</f>
        <v/>
      </c>
      <c r="H123" s="324" t="n"/>
      <c r="I123" s="253">
        <f>IFERROR(VLOOKUP(C123,parametros!$B:$G,6,0),"")</f>
        <v/>
      </c>
      <c r="J123" s="327">
        <f>IF(G123="","",ROUND(IF(OR(UPPER(D123)="SUPRESSAO",UPPER(D123)="DECRESCIMO"),-1,1)*G123*IF(AND(UPPER(H123)="SIM",ISNUMBER(I123)),I123,1),2))</f>
        <v/>
      </c>
      <c r="K123" s="324" t="n"/>
    </row>
    <row r="124" ht="15.95" customHeight="1">
      <c r="A124" s="324" t="n"/>
      <c r="B124" s="325" t="n"/>
      <c r="C124" s="313">
        <f>IF(B124="","",IFERROR(IF(AND(B124&gt;=parametros!$D$2,B124&lt;=parametros!$E$2),"C0",IF(AND(B124&gt;=parametros!$D$3,B124&lt;=parametros!$E$3),"C1",IF(AND(B124&gt;=parametros!$D$4,B124&lt;=parametros!$E$4),"C2",IF(AND(B124&gt;=parametros!$D$5,B124&lt;=parametros!$E$5),"C3",IF(AND(B124&gt;=parametros!$D$6,B124&lt;=parametros!$E$6),"C4","Fora dos ciclos"))))),"Fora dos ciclos"))</f>
        <v/>
      </c>
      <c r="D124" s="324" t="n"/>
      <c r="E124" s="326" t="n"/>
      <c r="F124" s="327">
        <f>IF(A124="","",IFERROR(VLOOKUP(A124,itens_Remanesc!$A:$C,3,0),""))</f>
        <v/>
      </c>
      <c r="G124" s="327">
        <f>IF(OR(E124="",F124=""),"",ROUND(E124*F124,2))</f>
        <v/>
      </c>
      <c r="H124" s="324" t="n"/>
      <c r="I124" s="253">
        <f>IFERROR(VLOOKUP(C124,parametros!$B:$G,6,0),"")</f>
        <v/>
      </c>
      <c r="J124" s="327">
        <f>IF(G124="","",ROUND(IF(OR(UPPER(D124)="SUPRESSAO",UPPER(D124)="DECRESCIMO"),-1,1)*G124*IF(AND(UPPER(H124)="SIM",ISNUMBER(I124)),I124,1),2))</f>
        <v/>
      </c>
      <c r="K124" s="324" t="n"/>
    </row>
    <row r="125" ht="15.95" customHeight="1">
      <c r="A125" s="324" t="n"/>
      <c r="B125" s="325" t="n"/>
      <c r="C125" s="313">
        <f>IF(B125="","",IFERROR(IF(AND(B125&gt;=parametros!$D$2,B125&lt;=parametros!$E$2),"C0",IF(AND(B125&gt;=parametros!$D$3,B125&lt;=parametros!$E$3),"C1",IF(AND(B125&gt;=parametros!$D$4,B125&lt;=parametros!$E$4),"C2",IF(AND(B125&gt;=parametros!$D$5,B125&lt;=parametros!$E$5),"C3",IF(AND(B125&gt;=parametros!$D$6,B125&lt;=parametros!$E$6),"C4","Fora dos ciclos"))))),"Fora dos ciclos"))</f>
        <v/>
      </c>
      <c r="D125" s="324" t="n"/>
      <c r="E125" s="326" t="n"/>
      <c r="F125" s="327">
        <f>IF(A125="","",IFERROR(VLOOKUP(A125,itens_Remanesc!$A:$C,3,0),""))</f>
        <v/>
      </c>
      <c r="G125" s="327">
        <f>IF(OR(E125="",F125=""),"",ROUND(E125*F125,2))</f>
        <v/>
      </c>
      <c r="H125" s="324" t="n"/>
      <c r="I125" s="253">
        <f>IFERROR(VLOOKUP(C125,parametros!$B:$G,6,0),"")</f>
        <v/>
      </c>
      <c r="J125" s="327">
        <f>IF(G125="","",ROUND(IF(OR(UPPER(D125)="SUPRESSAO",UPPER(D125)="DECRESCIMO"),-1,1)*G125*IF(AND(UPPER(H125)="SIM",ISNUMBER(I125)),I125,1),2))</f>
        <v/>
      </c>
      <c r="K125" s="324" t="n"/>
    </row>
    <row r="126" ht="15.95" customHeight="1">
      <c r="A126" s="324" t="n"/>
      <c r="B126" s="325" t="n"/>
      <c r="C126" s="313">
        <f>IF(B126="","",IFERROR(IF(AND(B126&gt;=parametros!$D$2,B126&lt;=parametros!$E$2),"C0",IF(AND(B126&gt;=parametros!$D$3,B126&lt;=parametros!$E$3),"C1",IF(AND(B126&gt;=parametros!$D$4,B126&lt;=parametros!$E$4),"C2",IF(AND(B126&gt;=parametros!$D$5,B126&lt;=parametros!$E$5),"C3",IF(AND(B126&gt;=parametros!$D$6,B126&lt;=parametros!$E$6),"C4","Fora dos ciclos"))))),"Fora dos ciclos"))</f>
        <v/>
      </c>
      <c r="D126" s="324" t="n"/>
      <c r="E126" s="326" t="n"/>
      <c r="F126" s="327">
        <f>IF(A126="","",IFERROR(VLOOKUP(A126,itens_Remanesc!$A:$C,3,0),""))</f>
        <v/>
      </c>
      <c r="G126" s="327">
        <f>IF(OR(E126="",F126=""),"",ROUND(E126*F126,2))</f>
        <v/>
      </c>
      <c r="H126" s="324" t="n"/>
      <c r="I126" s="253">
        <f>IFERROR(VLOOKUP(C126,parametros!$B:$G,6,0),"")</f>
        <v/>
      </c>
      <c r="J126" s="327">
        <f>IF(G126="","",ROUND(IF(OR(UPPER(D126)="SUPRESSAO",UPPER(D126)="DECRESCIMO"),-1,1)*G126*IF(AND(UPPER(H126)="SIM",ISNUMBER(I126)),I126,1),2))</f>
        <v/>
      </c>
      <c r="K126" s="324" t="n"/>
    </row>
    <row r="127" ht="15.95" customHeight="1">
      <c r="A127" s="324" t="n"/>
      <c r="B127" s="325" t="n"/>
      <c r="C127" s="313">
        <f>IF(B127="","",IFERROR(IF(AND(B127&gt;=parametros!$D$2,B127&lt;=parametros!$E$2),"C0",IF(AND(B127&gt;=parametros!$D$3,B127&lt;=parametros!$E$3),"C1",IF(AND(B127&gt;=parametros!$D$4,B127&lt;=parametros!$E$4),"C2",IF(AND(B127&gt;=parametros!$D$5,B127&lt;=parametros!$E$5),"C3",IF(AND(B127&gt;=parametros!$D$6,B127&lt;=parametros!$E$6),"C4","Fora dos ciclos"))))),"Fora dos ciclos"))</f>
        <v/>
      </c>
      <c r="D127" s="324" t="n"/>
      <c r="E127" s="326" t="n"/>
      <c r="F127" s="327">
        <f>IF(A127="","",IFERROR(VLOOKUP(A127,itens_Remanesc!$A:$C,3,0),""))</f>
        <v/>
      </c>
      <c r="G127" s="327">
        <f>IF(OR(E127="",F127=""),"",ROUND(E127*F127,2))</f>
        <v/>
      </c>
      <c r="H127" s="324" t="n"/>
      <c r="I127" s="253">
        <f>IFERROR(VLOOKUP(C127,parametros!$B:$G,6,0),"")</f>
        <v/>
      </c>
      <c r="J127" s="327">
        <f>IF(G127="","",ROUND(IF(OR(UPPER(D127)="SUPRESSAO",UPPER(D127)="DECRESCIMO"),-1,1)*G127*IF(AND(UPPER(H127)="SIM",ISNUMBER(I127)),I127,1),2))</f>
        <v/>
      </c>
      <c r="K127" s="324" t="n"/>
    </row>
    <row r="128" ht="15.95" customHeight="1">
      <c r="A128" s="324" t="n"/>
      <c r="B128" s="325" t="n"/>
      <c r="C128" s="313">
        <f>IF(B128="","",IFERROR(IF(AND(B128&gt;=parametros!$D$2,B128&lt;=parametros!$E$2),"C0",IF(AND(B128&gt;=parametros!$D$3,B128&lt;=parametros!$E$3),"C1",IF(AND(B128&gt;=parametros!$D$4,B128&lt;=parametros!$E$4),"C2",IF(AND(B128&gt;=parametros!$D$5,B128&lt;=parametros!$E$5),"C3",IF(AND(B128&gt;=parametros!$D$6,B128&lt;=parametros!$E$6),"C4","Fora dos ciclos"))))),"Fora dos ciclos"))</f>
        <v/>
      </c>
      <c r="D128" s="324" t="n"/>
      <c r="E128" s="326" t="n"/>
      <c r="F128" s="327">
        <f>IF(A128="","",IFERROR(VLOOKUP(A128,itens_Remanesc!$A:$C,3,0),""))</f>
        <v/>
      </c>
      <c r="G128" s="327">
        <f>IF(OR(E128="",F128=""),"",ROUND(E128*F128,2))</f>
        <v/>
      </c>
      <c r="H128" s="324" t="n"/>
      <c r="I128" s="253">
        <f>IFERROR(VLOOKUP(C128,parametros!$B:$G,6,0),"")</f>
        <v/>
      </c>
      <c r="J128" s="327">
        <f>IF(G128="","",ROUND(IF(OR(UPPER(D128)="SUPRESSAO",UPPER(D128)="DECRESCIMO"),-1,1)*G128*IF(AND(UPPER(H128)="SIM",ISNUMBER(I128)),I128,1),2))</f>
        <v/>
      </c>
      <c r="K128" s="324" t="n"/>
    </row>
    <row r="129" ht="15.95" customHeight="1">
      <c r="A129" s="324" t="n"/>
      <c r="B129" s="325" t="n"/>
      <c r="C129" s="313">
        <f>IF(B129="","",IFERROR(IF(AND(B129&gt;=parametros!$D$2,B129&lt;=parametros!$E$2),"C0",IF(AND(B129&gt;=parametros!$D$3,B129&lt;=parametros!$E$3),"C1",IF(AND(B129&gt;=parametros!$D$4,B129&lt;=parametros!$E$4),"C2",IF(AND(B129&gt;=parametros!$D$5,B129&lt;=parametros!$E$5),"C3",IF(AND(B129&gt;=parametros!$D$6,B129&lt;=parametros!$E$6),"C4","Fora dos ciclos"))))),"Fora dos ciclos"))</f>
        <v/>
      </c>
      <c r="D129" s="324" t="n"/>
      <c r="E129" s="326" t="n"/>
      <c r="F129" s="327">
        <f>IF(A129="","",IFERROR(VLOOKUP(A129,itens_Remanesc!$A:$C,3,0),""))</f>
        <v/>
      </c>
      <c r="G129" s="327">
        <f>IF(OR(E129="",F129=""),"",ROUND(E129*F129,2))</f>
        <v/>
      </c>
      <c r="H129" s="324" t="n"/>
      <c r="I129" s="253">
        <f>IFERROR(VLOOKUP(C129,parametros!$B:$G,6,0),"")</f>
        <v/>
      </c>
      <c r="J129" s="327">
        <f>IF(G129="","",ROUND(IF(OR(UPPER(D129)="SUPRESSAO",UPPER(D129)="DECRESCIMO"),-1,1)*G129*IF(AND(UPPER(H129)="SIM",ISNUMBER(I129)),I129,1),2))</f>
        <v/>
      </c>
      <c r="K129" s="324" t="n"/>
    </row>
    <row r="130" ht="15.95" customHeight="1">
      <c r="A130" s="324" t="n"/>
      <c r="B130" s="325" t="n"/>
      <c r="C130" s="313">
        <f>IF(B130="","",IFERROR(IF(AND(B130&gt;=parametros!$D$2,B130&lt;=parametros!$E$2),"C0",IF(AND(B130&gt;=parametros!$D$3,B130&lt;=parametros!$E$3),"C1",IF(AND(B130&gt;=parametros!$D$4,B130&lt;=parametros!$E$4),"C2",IF(AND(B130&gt;=parametros!$D$5,B130&lt;=parametros!$E$5),"C3",IF(AND(B130&gt;=parametros!$D$6,B130&lt;=parametros!$E$6),"C4","Fora dos ciclos"))))),"Fora dos ciclos"))</f>
        <v/>
      </c>
      <c r="D130" s="324" t="n"/>
      <c r="E130" s="326" t="n"/>
      <c r="F130" s="327">
        <f>IF(A130="","",IFERROR(VLOOKUP(A130,itens_Remanesc!$A:$C,3,0),""))</f>
        <v/>
      </c>
      <c r="G130" s="327">
        <f>IF(OR(E130="",F130=""),"",ROUND(E130*F130,2))</f>
        <v/>
      </c>
      <c r="H130" s="324" t="n"/>
      <c r="I130" s="253">
        <f>IFERROR(VLOOKUP(C130,parametros!$B:$G,6,0),"")</f>
        <v/>
      </c>
      <c r="J130" s="327">
        <f>IF(G130="","",ROUND(IF(OR(UPPER(D130)="SUPRESSAO",UPPER(D130)="DECRESCIMO"),-1,1)*G130*IF(AND(UPPER(H130)="SIM",ISNUMBER(I130)),I130,1),2))</f>
        <v/>
      </c>
      <c r="K130" s="324" t="n"/>
    </row>
    <row r="131" ht="15.95" customHeight="1">
      <c r="A131" s="324" t="n"/>
      <c r="B131" s="325" t="n"/>
      <c r="C131" s="313">
        <f>IF(B131="","",IFERROR(IF(AND(B131&gt;=parametros!$D$2,B131&lt;=parametros!$E$2),"C0",IF(AND(B131&gt;=parametros!$D$3,B131&lt;=parametros!$E$3),"C1",IF(AND(B131&gt;=parametros!$D$4,B131&lt;=parametros!$E$4),"C2",IF(AND(B131&gt;=parametros!$D$5,B131&lt;=parametros!$E$5),"C3",IF(AND(B131&gt;=parametros!$D$6,B131&lt;=parametros!$E$6),"C4","Fora dos ciclos"))))),"Fora dos ciclos"))</f>
        <v/>
      </c>
      <c r="D131" s="324" t="n"/>
      <c r="E131" s="326" t="n"/>
      <c r="F131" s="327">
        <f>IF(A131="","",IFERROR(VLOOKUP(A131,itens_Remanesc!$A:$C,3,0),""))</f>
        <v/>
      </c>
      <c r="G131" s="327">
        <f>IF(OR(E131="",F131=""),"",ROUND(E131*F131,2))</f>
        <v/>
      </c>
      <c r="H131" s="324" t="n"/>
      <c r="I131" s="253">
        <f>IFERROR(VLOOKUP(C131,parametros!$B:$G,6,0),"")</f>
        <v/>
      </c>
      <c r="J131" s="327">
        <f>IF(G131="","",ROUND(IF(OR(UPPER(D131)="SUPRESSAO",UPPER(D131)="DECRESCIMO"),-1,1)*G131*IF(AND(UPPER(H131)="SIM",ISNUMBER(I131)),I131,1),2))</f>
        <v/>
      </c>
      <c r="K131" s="324" t="n"/>
    </row>
    <row r="132" ht="15.95" customHeight="1">
      <c r="A132" s="324" t="n"/>
      <c r="B132" s="325" t="n"/>
      <c r="C132" s="313">
        <f>IF(B132="","",IFERROR(IF(AND(B132&gt;=parametros!$D$2,B132&lt;=parametros!$E$2),"C0",IF(AND(B132&gt;=parametros!$D$3,B132&lt;=parametros!$E$3),"C1",IF(AND(B132&gt;=parametros!$D$4,B132&lt;=parametros!$E$4),"C2",IF(AND(B132&gt;=parametros!$D$5,B132&lt;=parametros!$E$5),"C3",IF(AND(B132&gt;=parametros!$D$6,B132&lt;=parametros!$E$6),"C4","Fora dos ciclos"))))),"Fora dos ciclos"))</f>
        <v/>
      </c>
      <c r="D132" s="324" t="n"/>
      <c r="E132" s="326" t="n"/>
      <c r="F132" s="327">
        <f>IF(A132="","",IFERROR(VLOOKUP(A132,itens_Remanesc!$A:$C,3,0),""))</f>
        <v/>
      </c>
      <c r="G132" s="327">
        <f>IF(OR(E132="",F132=""),"",ROUND(E132*F132,2))</f>
        <v/>
      </c>
      <c r="H132" s="324" t="n"/>
      <c r="I132" s="253">
        <f>IFERROR(VLOOKUP(C132,parametros!$B:$G,6,0),"")</f>
        <v/>
      </c>
      <c r="J132" s="327">
        <f>IF(G132="","",ROUND(IF(OR(UPPER(D132)="SUPRESSAO",UPPER(D132)="DECRESCIMO"),-1,1)*G132*IF(AND(UPPER(H132)="SIM",ISNUMBER(I132)),I132,1),2))</f>
        <v/>
      </c>
      <c r="K132" s="324" t="n"/>
    </row>
    <row r="133" ht="15.95" customHeight="1">
      <c r="A133" s="324" t="n"/>
      <c r="B133" s="325" t="n"/>
      <c r="C133" s="313">
        <f>IF(B133="","",IFERROR(IF(AND(B133&gt;=parametros!$D$2,B133&lt;=parametros!$E$2),"C0",IF(AND(B133&gt;=parametros!$D$3,B133&lt;=parametros!$E$3),"C1",IF(AND(B133&gt;=parametros!$D$4,B133&lt;=parametros!$E$4),"C2",IF(AND(B133&gt;=parametros!$D$5,B133&lt;=parametros!$E$5),"C3",IF(AND(B133&gt;=parametros!$D$6,B133&lt;=parametros!$E$6),"C4","Fora dos ciclos"))))),"Fora dos ciclos"))</f>
        <v/>
      </c>
      <c r="D133" s="324" t="n"/>
      <c r="E133" s="326" t="n"/>
      <c r="F133" s="327">
        <f>IF(A133="","",IFERROR(VLOOKUP(A133,itens_Remanesc!$A:$C,3,0),""))</f>
        <v/>
      </c>
      <c r="G133" s="327">
        <f>IF(OR(E133="",F133=""),"",ROUND(E133*F133,2))</f>
        <v/>
      </c>
      <c r="H133" s="324" t="n"/>
      <c r="I133" s="253">
        <f>IFERROR(VLOOKUP(C133,parametros!$B:$G,6,0),"")</f>
        <v/>
      </c>
      <c r="J133" s="327">
        <f>IF(G133="","",ROUND(IF(OR(UPPER(D133)="SUPRESSAO",UPPER(D133)="DECRESCIMO"),-1,1)*G133*IF(AND(UPPER(H133)="SIM",ISNUMBER(I133)),I133,1),2))</f>
        <v/>
      </c>
      <c r="K133" s="324" t="n"/>
    </row>
    <row r="134" ht="15.95" customHeight="1">
      <c r="A134" s="324" t="n"/>
      <c r="B134" s="325" t="n"/>
      <c r="C134" s="313">
        <f>IF(B134="","",IFERROR(IF(AND(B134&gt;=parametros!$D$2,B134&lt;=parametros!$E$2),"C0",IF(AND(B134&gt;=parametros!$D$3,B134&lt;=parametros!$E$3),"C1",IF(AND(B134&gt;=parametros!$D$4,B134&lt;=parametros!$E$4),"C2",IF(AND(B134&gt;=parametros!$D$5,B134&lt;=parametros!$E$5),"C3",IF(AND(B134&gt;=parametros!$D$6,B134&lt;=parametros!$E$6),"C4","Fora dos ciclos"))))),"Fora dos ciclos"))</f>
        <v/>
      </c>
      <c r="D134" s="324" t="n"/>
      <c r="E134" s="326" t="n"/>
      <c r="F134" s="327">
        <f>IF(A134="","",IFERROR(VLOOKUP(A134,itens_Remanesc!$A:$C,3,0),""))</f>
        <v/>
      </c>
      <c r="G134" s="327">
        <f>IF(OR(E134="",F134=""),"",ROUND(E134*F134,2))</f>
        <v/>
      </c>
      <c r="H134" s="324" t="n"/>
      <c r="I134" s="253">
        <f>IFERROR(VLOOKUP(C134,parametros!$B:$G,6,0),"")</f>
        <v/>
      </c>
      <c r="J134" s="327">
        <f>IF(G134="","",ROUND(IF(OR(UPPER(D134)="SUPRESSAO",UPPER(D134)="DECRESCIMO"),-1,1)*G134*IF(AND(UPPER(H134)="SIM",ISNUMBER(I134)),I134,1),2))</f>
        <v/>
      </c>
      <c r="K134" s="324" t="n"/>
    </row>
    <row r="135" ht="15.95" customHeight="1">
      <c r="A135" s="324" t="n"/>
      <c r="B135" s="325" t="n"/>
      <c r="C135" s="313">
        <f>IF(B135="","",IFERROR(IF(AND(B135&gt;=parametros!$D$2,B135&lt;=parametros!$E$2),"C0",IF(AND(B135&gt;=parametros!$D$3,B135&lt;=parametros!$E$3),"C1",IF(AND(B135&gt;=parametros!$D$4,B135&lt;=parametros!$E$4),"C2",IF(AND(B135&gt;=parametros!$D$5,B135&lt;=parametros!$E$5),"C3",IF(AND(B135&gt;=parametros!$D$6,B135&lt;=parametros!$E$6),"C4","Fora dos ciclos"))))),"Fora dos ciclos"))</f>
        <v/>
      </c>
      <c r="D135" s="324" t="n"/>
      <c r="E135" s="326" t="n"/>
      <c r="F135" s="327">
        <f>IF(A135="","",IFERROR(VLOOKUP(A135,itens_Remanesc!$A:$C,3,0),""))</f>
        <v/>
      </c>
      <c r="G135" s="327">
        <f>IF(OR(E135="",F135=""),"",ROUND(E135*F135,2))</f>
        <v/>
      </c>
      <c r="H135" s="324" t="n"/>
      <c r="I135" s="253">
        <f>IFERROR(VLOOKUP(C135,parametros!$B:$G,6,0),"")</f>
        <v/>
      </c>
      <c r="J135" s="327">
        <f>IF(G135="","",ROUND(IF(OR(UPPER(D135)="SUPRESSAO",UPPER(D135)="DECRESCIMO"),-1,1)*G135*IF(AND(UPPER(H135)="SIM",ISNUMBER(I135)),I135,1),2))</f>
        <v/>
      </c>
      <c r="K135" s="324" t="n"/>
    </row>
    <row r="136" ht="15.95" customHeight="1">
      <c r="A136" s="324" t="n"/>
      <c r="B136" s="325" t="n"/>
      <c r="C136" s="313">
        <f>IF(B136="","",IFERROR(IF(AND(B136&gt;=parametros!$D$2,B136&lt;=parametros!$E$2),"C0",IF(AND(B136&gt;=parametros!$D$3,B136&lt;=parametros!$E$3),"C1",IF(AND(B136&gt;=parametros!$D$4,B136&lt;=parametros!$E$4),"C2",IF(AND(B136&gt;=parametros!$D$5,B136&lt;=parametros!$E$5),"C3",IF(AND(B136&gt;=parametros!$D$6,B136&lt;=parametros!$E$6),"C4","Fora dos ciclos"))))),"Fora dos ciclos"))</f>
        <v/>
      </c>
      <c r="D136" s="324" t="n"/>
      <c r="E136" s="326" t="n"/>
      <c r="F136" s="327">
        <f>IF(A136="","",IFERROR(VLOOKUP(A136,itens_Remanesc!$A:$C,3,0),""))</f>
        <v/>
      </c>
      <c r="G136" s="327">
        <f>IF(OR(E136="",F136=""),"",ROUND(E136*F136,2))</f>
        <v/>
      </c>
      <c r="H136" s="324" t="n"/>
      <c r="I136" s="253">
        <f>IFERROR(VLOOKUP(C136,parametros!$B:$G,6,0),"")</f>
        <v/>
      </c>
      <c r="J136" s="327">
        <f>IF(G136="","",ROUND(IF(OR(UPPER(D136)="SUPRESSAO",UPPER(D136)="DECRESCIMO"),-1,1)*G136*IF(AND(UPPER(H136)="SIM",ISNUMBER(I136)),I136,1),2))</f>
        <v/>
      </c>
      <c r="K136" s="324" t="n"/>
    </row>
    <row r="137" ht="15.95" customHeight="1">
      <c r="A137" s="324" t="n"/>
      <c r="B137" s="325" t="n"/>
      <c r="C137" s="313">
        <f>IF(B137="","",IFERROR(IF(AND(B137&gt;=parametros!$D$2,B137&lt;=parametros!$E$2),"C0",IF(AND(B137&gt;=parametros!$D$3,B137&lt;=parametros!$E$3),"C1",IF(AND(B137&gt;=parametros!$D$4,B137&lt;=parametros!$E$4),"C2",IF(AND(B137&gt;=parametros!$D$5,B137&lt;=parametros!$E$5),"C3",IF(AND(B137&gt;=parametros!$D$6,B137&lt;=parametros!$E$6),"C4","Fora dos ciclos"))))),"Fora dos ciclos"))</f>
        <v/>
      </c>
      <c r="D137" s="324" t="n"/>
      <c r="E137" s="326" t="n"/>
      <c r="F137" s="327">
        <f>IF(A137="","",IFERROR(VLOOKUP(A137,itens_Remanesc!$A:$C,3,0),""))</f>
        <v/>
      </c>
      <c r="G137" s="327">
        <f>IF(OR(E137="",F137=""),"",ROUND(E137*F137,2))</f>
        <v/>
      </c>
      <c r="H137" s="324" t="n"/>
      <c r="I137" s="253">
        <f>IFERROR(VLOOKUP(C137,parametros!$B:$G,6,0),"")</f>
        <v/>
      </c>
      <c r="J137" s="327">
        <f>IF(G137="","",ROUND(IF(OR(UPPER(D137)="SUPRESSAO",UPPER(D137)="DECRESCIMO"),-1,1)*G137*IF(AND(UPPER(H137)="SIM",ISNUMBER(I137)),I137,1),2))</f>
        <v/>
      </c>
      <c r="K137" s="324" t="n"/>
    </row>
    <row r="138" ht="15.95" customHeight="1">
      <c r="A138" s="324" t="n"/>
      <c r="B138" s="325" t="n"/>
      <c r="C138" s="313">
        <f>IF(B138="","",IFERROR(IF(AND(B138&gt;=parametros!$D$2,B138&lt;=parametros!$E$2),"C0",IF(AND(B138&gt;=parametros!$D$3,B138&lt;=parametros!$E$3),"C1",IF(AND(B138&gt;=parametros!$D$4,B138&lt;=parametros!$E$4),"C2",IF(AND(B138&gt;=parametros!$D$5,B138&lt;=parametros!$E$5),"C3",IF(AND(B138&gt;=parametros!$D$6,B138&lt;=parametros!$E$6),"C4","Fora dos ciclos"))))),"Fora dos ciclos"))</f>
        <v/>
      </c>
      <c r="D138" s="324" t="n"/>
      <c r="E138" s="326" t="n"/>
      <c r="F138" s="327">
        <f>IF(A138="","",IFERROR(VLOOKUP(A138,itens_Remanesc!$A:$C,3,0),""))</f>
        <v/>
      </c>
      <c r="G138" s="327">
        <f>IF(OR(E138="",F138=""),"",ROUND(E138*F138,2))</f>
        <v/>
      </c>
      <c r="H138" s="324" t="n"/>
      <c r="I138" s="253">
        <f>IFERROR(VLOOKUP(C138,parametros!$B:$G,6,0),"")</f>
        <v/>
      </c>
      <c r="J138" s="327">
        <f>IF(G138="","",ROUND(IF(OR(UPPER(D138)="SUPRESSAO",UPPER(D138)="DECRESCIMO"),-1,1)*G138*IF(AND(UPPER(H138)="SIM",ISNUMBER(I138)),I138,1),2))</f>
        <v/>
      </c>
      <c r="K138" s="324" t="n"/>
    </row>
    <row r="139" ht="15.95" customHeight="1">
      <c r="A139" s="324" t="n"/>
      <c r="B139" s="325" t="n"/>
      <c r="C139" s="313">
        <f>IF(B139="","",IFERROR(IF(AND(B139&gt;=parametros!$D$2,B139&lt;=parametros!$E$2),"C0",IF(AND(B139&gt;=parametros!$D$3,B139&lt;=parametros!$E$3),"C1",IF(AND(B139&gt;=parametros!$D$4,B139&lt;=parametros!$E$4),"C2",IF(AND(B139&gt;=parametros!$D$5,B139&lt;=parametros!$E$5),"C3",IF(AND(B139&gt;=parametros!$D$6,B139&lt;=parametros!$E$6),"C4","Fora dos ciclos"))))),"Fora dos ciclos"))</f>
        <v/>
      </c>
      <c r="D139" s="324" t="n"/>
      <c r="E139" s="326" t="n"/>
      <c r="F139" s="327">
        <f>IF(A139="","",IFERROR(VLOOKUP(A139,itens_Remanesc!$A:$C,3,0),""))</f>
        <v/>
      </c>
      <c r="G139" s="327">
        <f>IF(OR(E139="",F139=""),"",ROUND(E139*F139,2))</f>
        <v/>
      </c>
      <c r="H139" s="324" t="n"/>
      <c r="I139" s="253">
        <f>IFERROR(VLOOKUP(C139,parametros!$B:$G,6,0),"")</f>
        <v/>
      </c>
      <c r="J139" s="327">
        <f>IF(G139="","",ROUND(IF(OR(UPPER(D139)="SUPRESSAO",UPPER(D139)="DECRESCIMO"),-1,1)*G139*IF(AND(UPPER(H139)="SIM",ISNUMBER(I139)),I139,1),2))</f>
        <v/>
      </c>
      <c r="K139" s="324" t="n"/>
    </row>
    <row r="140" ht="15.95" customHeight="1">
      <c r="A140" s="324" t="n"/>
      <c r="B140" s="325" t="n"/>
      <c r="C140" s="313">
        <f>IF(B140="","",IFERROR(IF(AND(B140&gt;=parametros!$D$2,B140&lt;=parametros!$E$2),"C0",IF(AND(B140&gt;=parametros!$D$3,B140&lt;=parametros!$E$3),"C1",IF(AND(B140&gt;=parametros!$D$4,B140&lt;=parametros!$E$4),"C2",IF(AND(B140&gt;=parametros!$D$5,B140&lt;=parametros!$E$5),"C3",IF(AND(B140&gt;=parametros!$D$6,B140&lt;=parametros!$E$6),"C4","Fora dos ciclos"))))),"Fora dos ciclos"))</f>
        <v/>
      </c>
      <c r="D140" s="324" t="n"/>
      <c r="E140" s="326" t="n"/>
      <c r="F140" s="327">
        <f>IF(A140="","",IFERROR(VLOOKUP(A140,itens_Remanesc!$A:$C,3,0),""))</f>
        <v/>
      </c>
      <c r="G140" s="327">
        <f>IF(OR(E140="",F140=""),"",ROUND(E140*F140,2))</f>
        <v/>
      </c>
      <c r="H140" s="324" t="n"/>
      <c r="I140" s="253">
        <f>IFERROR(VLOOKUP(C140,parametros!$B:$G,6,0),"")</f>
        <v/>
      </c>
      <c r="J140" s="327">
        <f>IF(G140="","",ROUND(IF(OR(UPPER(D140)="SUPRESSAO",UPPER(D140)="DECRESCIMO"),-1,1)*G140*IF(AND(UPPER(H140)="SIM",ISNUMBER(I140)),I140,1),2))</f>
        <v/>
      </c>
      <c r="K140" s="324" t="n"/>
    </row>
    <row r="141" ht="15.95" customHeight="1">
      <c r="A141" s="324" t="n"/>
      <c r="B141" s="325" t="n"/>
      <c r="C141" s="313">
        <f>IF(B141="","",IFERROR(IF(AND(B141&gt;=parametros!$D$2,B141&lt;=parametros!$E$2),"C0",IF(AND(B141&gt;=parametros!$D$3,B141&lt;=parametros!$E$3),"C1",IF(AND(B141&gt;=parametros!$D$4,B141&lt;=parametros!$E$4),"C2",IF(AND(B141&gt;=parametros!$D$5,B141&lt;=parametros!$E$5),"C3",IF(AND(B141&gt;=parametros!$D$6,B141&lt;=parametros!$E$6),"C4","Fora dos ciclos"))))),"Fora dos ciclos"))</f>
        <v/>
      </c>
      <c r="D141" s="324" t="n"/>
      <c r="E141" s="326" t="n"/>
      <c r="F141" s="327">
        <f>IF(A141="","",IFERROR(VLOOKUP(A141,itens_Remanesc!$A:$C,3,0),""))</f>
        <v/>
      </c>
      <c r="G141" s="327">
        <f>IF(OR(E141="",F141=""),"",ROUND(E141*F141,2))</f>
        <v/>
      </c>
      <c r="H141" s="324" t="n"/>
      <c r="I141" s="253">
        <f>IFERROR(VLOOKUP(C141,parametros!$B:$G,6,0),"")</f>
        <v/>
      </c>
      <c r="J141" s="327">
        <f>IF(G141="","",ROUND(IF(OR(UPPER(D141)="SUPRESSAO",UPPER(D141)="DECRESCIMO"),-1,1)*G141*IF(AND(UPPER(H141)="SIM",ISNUMBER(I141)),I141,1),2))</f>
        <v/>
      </c>
      <c r="K141" s="324" t="n"/>
    </row>
    <row r="142" ht="15.95" customHeight="1">
      <c r="A142" s="324" t="n"/>
      <c r="B142" s="325" t="n"/>
      <c r="C142" s="313">
        <f>IF(B142="","",IFERROR(IF(AND(B142&gt;=parametros!$D$2,B142&lt;=parametros!$E$2),"C0",IF(AND(B142&gt;=parametros!$D$3,B142&lt;=parametros!$E$3),"C1",IF(AND(B142&gt;=parametros!$D$4,B142&lt;=parametros!$E$4),"C2",IF(AND(B142&gt;=parametros!$D$5,B142&lt;=parametros!$E$5),"C3",IF(AND(B142&gt;=parametros!$D$6,B142&lt;=parametros!$E$6),"C4","Fora dos ciclos"))))),"Fora dos ciclos"))</f>
        <v/>
      </c>
      <c r="D142" s="324" t="n"/>
      <c r="E142" s="326" t="n"/>
      <c r="F142" s="327">
        <f>IF(A142="","",IFERROR(VLOOKUP(A142,itens_Remanesc!$A:$C,3,0),""))</f>
        <v/>
      </c>
      <c r="G142" s="327">
        <f>IF(OR(E142="",F142=""),"",ROUND(E142*F142,2))</f>
        <v/>
      </c>
      <c r="H142" s="324" t="n"/>
      <c r="I142" s="253">
        <f>IFERROR(VLOOKUP(C142,parametros!$B:$G,6,0),"")</f>
        <v/>
      </c>
      <c r="J142" s="327">
        <f>IF(G142="","",ROUND(IF(OR(UPPER(D142)="SUPRESSAO",UPPER(D142)="DECRESCIMO"),-1,1)*G142*IF(AND(UPPER(H142)="SIM",ISNUMBER(I142)),I142,1),2))</f>
        <v/>
      </c>
      <c r="K142" s="324" t="n"/>
    </row>
    <row r="143" ht="15.95" customHeight="1">
      <c r="A143" s="324" t="n"/>
      <c r="B143" s="325" t="n"/>
      <c r="C143" s="313">
        <f>IF(B143="","",IFERROR(IF(AND(B143&gt;=parametros!$D$2,B143&lt;=parametros!$E$2),"C0",IF(AND(B143&gt;=parametros!$D$3,B143&lt;=parametros!$E$3),"C1",IF(AND(B143&gt;=parametros!$D$4,B143&lt;=parametros!$E$4),"C2",IF(AND(B143&gt;=parametros!$D$5,B143&lt;=parametros!$E$5),"C3",IF(AND(B143&gt;=parametros!$D$6,B143&lt;=parametros!$E$6),"C4","Fora dos ciclos"))))),"Fora dos ciclos"))</f>
        <v/>
      </c>
      <c r="D143" s="324" t="n"/>
      <c r="E143" s="326" t="n"/>
      <c r="F143" s="327">
        <f>IF(A143="","",IFERROR(VLOOKUP(A143,itens_Remanesc!$A:$C,3,0),""))</f>
        <v/>
      </c>
      <c r="G143" s="327">
        <f>IF(OR(E143="",F143=""),"",ROUND(E143*F143,2))</f>
        <v/>
      </c>
      <c r="H143" s="324" t="n"/>
      <c r="I143" s="253">
        <f>IFERROR(VLOOKUP(C143,parametros!$B:$G,6,0),"")</f>
        <v/>
      </c>
      <c r="J143" s="327">
        <f>IF(G143="","",ROUND(IF(OR(UPPER(D143)="SUPRESSAO",UPPER(D143)="DECRESCIMO"),-1,1)*G143*IF(AND(UPPER(H143)="SIM",ISNUMBER(I143)),I143,1),2))</f>
        <v/>
      </c>
      <c r="K143" s="324" t="n"/>
    </row>
    <row r="144" ht="15.95" customHeight="1">
      <c r="A144" s="324" t="n"/>
      <c r="B144" s="325" t="n"/>
      <c r="C144" s="313">
        <f>IF(B144="","",IFERROR(IF(AND(B144&gt;=parametros!$D$2,B144&lt;=parametros!$E$2),"C0",IF(AND(B144&gt;=parametros!$D$3,B144&lt;=parametros!$E$3),"C1",IF(AND(B144&gt;=parametros!$D$4,B144&lt;=parametros!$E$4),"C2",IF(AND(B144&gt;=parametros!$D$5,B144&lt;=parametros!$E$5),"C3",IF(AND(B144&gt;=parametros!$D$6,B144&lt;=parametros!$E$6),"C4","Fora dos ciclos"))))),"Fora dos ciclos"))</f>
        <v/>
      </c>
      <c r="D144" s="324" t="n"/>
      <c r="E144" s="326" t="n"/>
      <c r="F144" s="327">
        <f>IF(A144="","",IFERROR(VLOOKUP(A144,itens_Remanesc!$A:$C,3,0),""))</f>
        <v/>
      </c>
      <c r="G144" s="327">
        <f>IF(OR(E144="",F144=""),"",ROUND(E144*F144,2))</f>
        <v/>
      </c>
      <c r="H144" s="324" t="n"/>
      <c r="I144" s="253">
        <f>IFERROR(VLOOKUP(C144,parametros!$B:$G,6,0),"")</f>
        <v/>
      </c>
      <c r="J144" s="327">
        <f>IF(G144="","",ROUND(IF(OR(UPPER(D144)="SUPRESSAO",UPPER(D144)="DECRESCIMO"),-1,1)*G144*IF(AND(UPPER(H144)="SIM",ISNUMBER(I144)),I144,1),2))</f>
        <v/>
      </c>
      <c r="K144" s="324" t="n"/>
    </row>
    <row r="145" ht="15.95" customHeight="1">
      <c r="A145" s="324" t="n"/>
      <c r="B145" s="325" t="n"/>
      <c r="C145" s="313">
        <f>IF(B145="","",IFERROR(IF(AND(B145&gt;=parametros!$D$2,B145&lt;=parametros!$E$2),"C0",IF(AND(B145&gt;=parametros!$D$3,B145&lt;=parametros!$E$3),"C1",IF(AND(B145&gt;=parametros!$D$4,B145&lt;=parametros!$E$4),"C2",IF(AND(B145&gt;=parametros!$D$5,B145&lt;=parametros!$E$5),"C3",IF(AND(B145&gt;=parametros!$D$6,B145&lt;=parametros!$E$6),"C4","Fora dos ciclos"))))),"Fora dos ciclos"))</f>
        <v/>
      </c>
      <c r="D145" s="324" t="n"/>
      <c r="E145" s="326" t="n"/>
      <c r="F145" s="327">
        <f>IF(A145="","",IFERROR(VLOOKUP(A145,itens_Remanesc!$A:$C,3,0),""))</f>
        <v/>
      </c>
      <c r="G145" s="327">
        <f>IF(OR(E145="",F145=""),"",ROUND(E145*F145,2))</f>
        <v/>
      </c>
      <c r="H145" s="324" t="n"/>
      <c r="I145" s="253">
        <f>IFERROR(VLOOKUP(C145,parametros!$B:$G,6,0),"")</f>
        <v/>
      </c>
      <c r="J145" s="327">
        <f>IF(G145="","",ROUND(IF(OR(UPPER(D145)="SUPRESSAO",UPPER(D145)="DECRESCIMO"),-1,1)*G145*IF(AND(UPPER(H145)="SIM",ISNUMBER(I145)),I145,1),2))</f>
        <v/>
      </c>
      <c r="K145" s="324" t="n"/>
    </row>
    <row r="146" ht="15.95" customHeight="1">
      <c r="A146" s="324" t="n"/>
      <c r="B146" s="325" t="n"/>
      <c r="C146" s="313">
        <f>IF(B146="","",IFERROR(IF(AND(B146&gt;=parametros!$D$2,B146&lt;=parametros!$E$2),"C0",IF(AND(B146&gt;=parametros!$D$3,B146&lt;=parametros!$E$3),"C1",IF(AND(B146&gt;=parametros!$D$4,B146&lt;=parametros!$E$4),"C2",IF(AND(B146&gt;=parametros!$D$5,B146&lt;=parametros!$E$5),"C3",IF(AND(B146&gt;=parametros!$D$6,B146&lt;=parametros!$E$6),"C4","Fora dos ciclos"))))),"Fora dos ciclos"))</f>
        <v/>
      </c>
      <c r="D146" s="324" t="n"/>
      <c r="E146" s="326" t="n"/>
      <c r="F146" s="327">
        <f>IF(A146="","",IFERROR(VLOOKUP(A146,itens_Remanesc!$A:$C,3,0),""))</f>
        <v/>
      </c>
      <c r="G146" s="327">
        <f>IF(OR(E146="",F146=""),"",ROUND(E146*F146,2))</f>
        <v/>
      </c>
      <c r="H146" s="324" t="n"/>
      <c r="I146" s="253">
        <f>IFERROR(VLOOKUP(C146,parametros!$B:$G,6,0),"")</f>
        <v/>
      </c>
      <c r="J146" s="327">
        <f>IF(G146="","",ROUND(IF(OR(UPPER(D146)="SUPRESSAO",UPPER(D146)="DECRESCIMO"),-1,1)*G146*IF(AND(UPPER(H146)="SIM",ISNUMBER(I146)),I146,1),2))</f>
        <v/>
      </c>
      <c r="K146" s="324" t="n"/>
    </row>
    <row r="147" ht="15.95" customHeight="1">
      <c r="A147" s="324" t="n"/>
      <c r="B147" s="325" t="n"/>
      <c r="C147" s="313">
        <f>IF(B147="","",IFERROR(IF(AND(B147&gt;=parametros!$D$2,B147&lt;=parametros!$E$2),"C0",IF(AND(B147&gt;=parametros!$D$3,B147&lt;=parametros!$E$3),"C1",IF(AND(B147&gt;=parametros!$D$4,B147&lt;=parametros!$E$4),"C2",IF(AND(B147&gt;=parametros!$D$5,B147&lt;=parametros!$E$5),"C3",IF(AND(B147&gt;=parametros!$D$6,B147&lt;=parametros!$E$6),"C4","Fora dos ciclos"))))),"Fora dos ciclos"))</f>
        <v/>
      </c>
      <c r="D147" s="324" t="n"/>
      <c r="E147" s="326" t="n"/>
      <c r="F147" s="327">
        <f>IF(A147="","",IFERROR(VLOOKUP(A147,itens_Remanesc!$A:$C,3,0),""))</f>
        <v/>
      </c>
      <c r="G147" s="327">
        <f>IF(OR(E147="",F147=""),"",ROUND(E147*F147,2))</f>
        <v/>
      </c>
      <c r="H147" s="324" t="n"/>
      <c r="I147" s="253">
        <f>IFERROR(VLOOKUP(C147,parametros!$B:$G,6,0),"")</f>
        <v/>
      </c>
      <c r="J147" s="327">
        <f>IF(G147="","",ROUND(IF(OR(UPPER(D147)="SUPRESSAO",UPPER(D147)="DECRESCIMO"),-1,1)*G147*IF(AND(UPPER(H147)="SIM",ISNUMBER(I147)),I147,1),2))</f>
        <v/>
      </c>
      <c r="K147" s="324" t="n"/>
    </row>
    <row r="148" ht="15.95" customHeight="1">
      <c r="A148" s="324" t="n"/>
      <c r="B148" s="325" t="n"/>
      <c r="C148" s="313">
        <f>IF(B148="","",IFERROR(IF(AND(B148&gt;=parametros!$D$2,B148&lt;=parametros!$E$2),"C0",IF(AND(B148&gt;=parametros!$D$3,B148&lt;=parametros!$E$3),"C1",IF(AND(B148&gt;=parametros!$D$4,B148&lt;=parametros!$E$4),"C2",IF(AND(B148&gt;=parametros!$D$5,B148&lt;=parametros!$E$5),"C3",IF(AND(B148&gt;=parametros!$D$6,B148&lt;=parametros!$E$6),"C4","Fora dos ciclos"))))),"Fora dos ciclos"))</f>
        <v/>
      </c>
      <c r="D148" s="324" t="n"/>
      <c r="E148" s="326" t="n"/>
      <c r="F148" s="327">
        <f>IF(A148="","",IFERROR(VLOOKUP(A148,itens_Remanesc!$A:$C,3,0),""))</f>
        <v/>
      </c>
      <c r="G148" s="327">
        <f>IF(OR(E148="",F148=""),"",ROUND(E148*F148,2))</f>
        <v/>
      </c>
      <c r="H148" s="324" t="n"/>
      <c r="I148" s="253">
        <f>IFERROR(VLOOKUP(C148,parametros!$B:$G,6,0),"")</f>
        <v/>
      </c>
      <c r="J148" s="327">
        <f>IF(G148="","",ROUND(IF(OR(UPPER(D148)="SUPRESSAO",UPPER(D148)="DECRESCIMO"),-1,1)*G148*IF(AND(UPPER(H148)="SIM",ISNUMBER(I148)),I148,1),2))</f>
        <v/>
      </c>
      <c r="K148" s="324" t="n"/>
    </row>
    <row r="149" ht="15.95" customHeight="1">
      <c r="A149" s="324" t="n"/>
      <c r="B149" s="325" t="n"/>
      <c r="C149" s="313">
        <f>IF(B149="","",IFERROR(IF(AND(B149&gt;=parametros!$D$2,B149&lt;=parametros!$E$2),"C0",IF(AND(B149&gt;=parametros!$D$3,B149&lt;=parametros!$E$3),"C1",IF(AND(B149&gt;=parametros!$D$4,B149&lt;=parametros!$E$4),"C2",IF(AND(B149&gt;=parametros!$D$5,B149&lt;=parametros!$E$5),"C3",IF(AND(B149&gt;=parametros!$D$6,B149&lt;=parametros!$E$6),"C4","Fora dos ciclos"))))),"Fora dos ciclos"))</f>
        <v/>
      </c>
      <c r="D149" s="324" t="n"/>
      <c r="E149" s="326" t="n"/>
      <c r="F149" s="327">
        <f>IF(A149="","",IFERROR(VLOOKUP(A149,itens_Remanesc!$A:$C,3,0),""))</f>
        <v/>
      </c>
      <c r="G149" s="327">
        <f>IF(OR(E149="",F149=""),"",ROUND(E149*F149,2))</f>
        <v/>
      </c>
      <c r="H149" s="324" t="n"/>
      <c r="I149" s="253">
        <f>IFERROR(VLOOKUP(C149,parametros!$B:$G,6,0),"")</f>
        <v/>
      </c>
      <c r="J149" s="327">
        <f>IF(G149="","",ROUND(IF(OR(UPPER(D149)="SUPRESSAO",UPPER(D149)="DECRESCIMO"),-1,1)*G149*IF(AND(UPPER(H149)="SIM",ISNUMBER(I149)),I149,1),2))</f>
        <v/>
      </c>
      <c r="K149" s="324" t="n"/>
    </row>
    <row r="150" ht="15.95" customHeight="1">
      <c r="A150" s="324" t="n"/>
      <c r="B150" s="325" t="n"/>
      <c r="C150" s="313">
        <f>IF(B150="","",IFERROR(IF(AND(B150&gt;=parametros!$D$2,B150&lt;=parametros!$E$2),"C0",IF(AND(B150&gt;=parametros!$D$3,B150&lt;=parametros!$E$3),"C1",IF(AND(B150&gt;=parametros!$D$4,B150&lt;=parametros!$E$4),"C2",IF(AND(B150&gt;=parametros!$D$5,B150&lt;=parametros!$E$5),"C3",IF(AND(B150&gt;=parametros!$D$6,B150&lt;=parametros!$E$6),"C4","Fora dos ciclos"))))),"Fora dos ciclos"))</f>
        <v/>
      </c>
      <c r="D150" s="324" t="n"/>
      <c r="E150" s="326" t="n"/>
      <c r="F150" s="327">
        <f>IF(A150="","",IFERROR(VLOOKUP(A150,itens_Remanesc!$A:$C,3,0),""))</f>
        <v/>
      </c>
      <c r="G150" s="327">
        <f>IF(OR(E150="",F150=""),"",ROUND(E150*F150,2))</f>
        <v/>
      </c>
      <c r="H150" s="324" t="n"/>
      <c r="I150" s="253">
        <f>IFERROR(VLOOKUP(C150,parametros!$B:$G,6,0),"")</f>
        <v/>
      </c>
      <c r="J150" s="327">
        <f>IF(G150="","",ROUND(IF(OR(UPPER(D150)="SUPRESSAO",UPPER(D150)="DECRESCIMO"),-1,1)*G150*IF(AND(UPPER(H150)="SIM",ISNUMBER(I150)),I150,1),2))</f>
        <v/>
      </c>
      <c r="K150" s="324" t="n"/>
    </row>
    <row r="151" ht="15.95" customHeight="1">
      <c r="A151" s="324" t="n"/>
      <c r="B151" s="325" t="n"/>
      <c r="C151" s="313">
        <f>IF(B151="","",IFERROR(IF(AND(B151&gt;=parametros!$D$2,B151&lt;=parametros!$E$2),"C0",IF(AND(B151&gt;=parametros!$D$3,B151&lt;=parametros!$E$3),"C1",IF(AND(B151&gt;=parametros!$D$4,B151&lt;=parametros!$E$4),"C2",IF(AND(B151&gt;=parametros!$D$5,B151&lt;=parametros!$E$5),"C3",IF(AND(B151&gt;=parametros!$D$6,B151&lt;=parametros!$E$6),"C4","Fora dos ciclos"))))),"Fora dos ciclos"))</f>
        <v/>
      </c>
      <c r="D151" s="324" t="n"/>
      <c r="E151" s="326" t="n"/>
      <c r="F151" s="327">
        <f>IF(A151="","",IFERROR(VLOOKUP(A151,itens_Remanesc!$A:$C,3,0),""))</f>
        <v/>
      </c>
      <c r="G151" s="327">
        <f>IF(OR(E151="",F151=""),"",ROUND(E151*F151,2))</f>
        <v/>
      </c>
      <c r="H151" s="324" t="n"/>
      <c r="I151" s="253">
        <f>IFERROR(VLOOKUP(C151,parametros!$B:$G,6,0),"")</f>
        <v/>
      </c>
      <c r="J151" s="327">
        <f>IF(G151="","",ROUND(IF(OR(UPPER(D151)="SUPRESSAO",UPPER(D151)="DECRESCIMO"),-1,1)*G151*IF(AND(UPPER(H151)="SIM",ISNUMBER(I151)),I151,1),2))</f>
        <v/>
      </c>
      <c r="K151" s="324" t="n"/>
    </row>
    <row r="152" ht="15.95" customHeight="1">
      <c r="A152" s="324" t="n"/>
      <c r="B152" s="325" t="n"/>
      <c r="C152" s="313">
        <f>IF(B152="","",IFERROR(IF(AND(B152&gt;=parametros!$D$2,B152&lt;=parametros!$E$2),"C0",IF(AND(B152&gt;=parametros!$D$3,B152&lt;=parametros!$E$3),"C1",IF(AND(B152&gt;=parametros!$D$4,B152&lt;=parametros!$E$4),"C2",IF(AND(B152&gt;=parametros!$D$5,B152&lt;=parametros!$E$5),"C3",IF(AND(B152&gt;=parametros!$D$6,B152&lt;=parametros!$E$6),"C4","Fora dos ciclos"))))),"Fora dos ciclos"))</f>
        <v/>
      </c>
      <c r="D152" s="324" t="n"/>
      <c r="E152" s="326" t="n"/>
      <c r="F152" s="327">
        <f>IF(A152="","",IFERROR(VLOOKUP(A152,itens_Remanesc!$A:$C,3,0),""))</f>
        <v/>
      </c>
      <c r="G152" s="327">
        <f>IF(OR(E152="",F152=""),"",ROUND(E152*F152,2))</f>
        <v/>
      </c>
      <c r="H152" s="324" t="n"/>
      <c r="I152" s="253">
        <f>IFERROR(VLOOKUP(C152,parametros!$B:$G,6,0),"")</f>
        <v/>
      </c>
      <c r="J152" s="327">
        <f>IF(G152="","",ROUND(IF(OR(UPPER(D152)="SUPRESSAO",UPPER(D152)="DECRESCIMO"),-1,1)*G152*IF(AND(UPPER(H152)="SIM",ISNUMBER(I152)),I152,1),2))</f>
        <v/>
      </c>
      <c r="K152" s="324" t="n"/>
    </row>
    <row r="153" ht="15.95" customHeight="1">
      <c r="A153" s="324" t="n"/>
      <c r="B153" s="325" t="n"/>
      <c r="C153" s="313">
        <f>IF(B153="","",IFERROR(IF(AND(B153&gt;=parametros!$D$2,B153&lt;=parametros!$E$2),"C0",IF(AND(B153&gt;=parametros!$D$3,B153&lt;=parametros!$E$3),"C1",IF(AND(B153&gt;=parametros!$D$4,B153&lt;=parametros!$E$4),"C2",IF(AND(B153&gt;=parametros!$D$5,B153&lt;=parametros!$E$5),"C3",IF(AND(B153&gt;=parametros!$D$6,B153&lt;=parametros!$E$6),"C4","Fora dos ciclos"))))),"Fora dos ciclos"))</f>
        <v/>
      </c>
      <c r="D153" s="324" t="n"/>
      <c r="E153" s="326" t="n"/>
      <c r="F153" s="327">
        <f>IF(A153="","",IFERROR(VLOOKUP(A153,itens_Remanesc!$A:$C,3,0),""))</f>
        <v/>
      </c>
      <c r="G153" s="327">
        <f>IF(OR(E153="",F153=""),"",ROUND(E153*F153,2))</f>
        <v/>
      </c>
      <c r="H153" s="324" t="n"/>
      <c r="I153" s="253">
        <f>IFERROR(VLOOKUP(C153,parametros!$B:$G,6,0),"")</f>
        <v/>
      </c>
      <c r="J153" s="327">
        <f>IF(G153="","",ROUND(IF(OR(UPPER(D153)="SUPRESSAO",UPPER(D153)="DECRESCIMO"),-1,1)*G153*IF(AND(UPPER(H153)="SIM",ISNUMBER(I153)),I153,1),2))</f>
        <v/>
      </c>
      <c r="K153" s="324" t="n"/>
    </row>
    <row r="154" ht="15.95" customHeight="1">
      <c r="A154" s="324" t="n"/>
      <c r="B154" s="325" t="n"/>
      <c r="C154" s="313">
        <f>IF(B154="","",IFERROR(IF(AND(B154&gt;=parametros!$D$2,B154&lt;=parametros!$E$2),"C0",IF(AND(B154&gt;=parametros!$D$3,B154&lt;=parametros!$E$3),"C1",IF(AND(B154&gt;=parametros!$D$4,B154&lt;=parametros!$E$4),"C2",IF(AND(B154&gt;=parametros!$D$5,B154&lt;=parametros!$E$5),"C3",IF(AND(B154&gt;=parametros!$D$6,B154&lt;=parametros!$E$6),"C4","Fora dos ciclos"))))),"Fora dos ciclos"))</f>
        <v/>
      </c>
      <c r="D154" s="324" t="n"/>
      <c r="E154" s="326" t="n"/>
      <c r="F154" s="327">
        <f>IF(A154="","",IFERROR(VLOOKUP(A154,itens_Remanesc!$A:$C,3,0),""))</f>
        <v/>
      </c>
      <c r="G154" s="327">
        <f>IF(OR(E154="",F154=""),"",ROUND(E154*F154,2))</f>
        <v/>
      </c>
      <c r="H154" s="324" t="n"/>
      <c r="I154" s="253">
        <f>IFERROR(VLOOKUP(C154,parametros!$B:$G,6,0),"")</f>
        <v/>
      </c>
      <c r="J154" s="327">
        <f>IF(G154="","",ROUND(IF(OR(UPPER(D154)="SUPRESSAO",UPPER(D154)="DECRESCIMO"),-1,1)*G154*IF(AND(UPPER(H154)="SIM",ISNUMBER(I154)),I154,1),2))</f>
        <v/>
      </c>
      <c r="K154" s="324" t="n"/>
    </row>
    <row r="155" ht="15.95" customHeight="1">
      <c r="A155" s="324" t="n"/>
      <c r="B155" s="325" t="n"/>
      <c r="C155" s="313">
        <f>IF(B155="","",IFERROR(IF(AND(B155&gt;=parametros!$D$2,B155&lt;=parametros!$E$2),"C0",IF(AND(B155&gt;=parametros!$D$3,B155&lt;=parametros!$E$3),"C1",IF(AND(B155&gt;=parametros!$D$4,B155&lt;=parametros!$E$4),"C2",IF(AND(B155&gt;=parametros!$D$5,B155&lt;=parametros!$E$5),"C3",IF(AND(B155&gt;=parametros!$D$6,B155&lt;=parametros!$E$6),"C4","Fora dos ciclos"))))),"Fora dos ciclos"))</f>
        <v/>
      </c>
      <c r="D155" s="324" t="n"/>
      <c r="E155" s="326" t="n"/>
      <c r="F155" s="327">
        <f>IF(A155="","",IFERROR(VLOOKUP(A155,itens_Remanesc!$A:$C,3,0),""))</f>
        <v/>
      </c>
      <c r="G155" s="327">
        <f>IF(OR(E155="",F155=""),"",ROUND(E155*F155,2))</f>
        <v/>
      </c>
      <c r="H155" s="324" t="n"/>
      <c r="I155" s="253">
        <f>IFERROR(VLOOKUP(C155,parametros!$B:$G,6,0),"")</f>
        <v/>
      </c>
      <c r="J155" s="327">
        <f>IF(G155="","",ROUND(IF(OR(UPPER(D155)="SUPRESSAO",UPPER(D155)="DECRESCIMO"),-1,1)*G155*IF(AND(UPPER(H155)="SIM",ISNUMBER(I155)),I155,1),2))</f>
        <v/>
      </c>
      <c r="K155" s="324" t="n"/>
    </row>
    <row r="156" ht="15.95" customHeight="1">
      <c r="A156" s="324" t="n"/>
      <c r="B156" s="325" t="n"/>
      <c r="C156" s="313">
        <f>IF(B156="","",IFERROR(IF(AND(B156&gt;=parametros!$D$2,B156&lt;=parametros!$E$2),"C0",IF(AND(B156&gt;=parametros!$D$3,B156&lt;=parametros!$E$3),"C1",IF(AND(B156&gt;=parametros!$D$4,B156&lt;=parametros!$E$4),"C2",IF(AND(B156&gt;=parametros!$D$5,B156&lt;=parametros!$E$5),"C3",IF(AND(B156&gt;=parametros!$D$6,B156&lt;=parametros!$E$6),"C4","Fora dos ciclos"))))),"Fora dos ciclos"))</f>
        <v/>
      </c>
      <c r="D156" s="324" t="n"/>
      <c r="E156" s="326" t="n"/>
      <c r="F156" s="327">
        <f>IF(A156="","",IFERROR(VLOOKUP(A156,itens_Remanesc!$A:$C,3,0),""))</f>
        <v/>
      </c>
      <c r="G156" s="327">
        <f>IF(OR(E156="",F156=""),"",ROUND(E156*F156,2))</f>
        <v/>
      </c>
      <c r="H156" s="324" t="n"/>
      <c r="I156" s="253">
        <f>IFERROR(VLOOKUP(C156,parametros!$B:$G,6,0),"")</f>
        <v/>
      </c>
      <c r="J156" s="327">
        <f>IF(G156="","",ROUND(IF(OR(UPPER(D156)="SUPRESSAO",UPPER(D156)="DECRESCIMO"),-1,1)*G156*IF(AND(UPPER(H156)="SIM",ISNUMBER(I156)),I156,1),2))</f>
        <v/>
      </c>
      <c r="K156" s="324" t="n"/>
    </row>
    <row r="157" ht="15.95" customHeight="1">
      <c r="A157" s="324" t="n"/>
      <c r="B157" s="325" t="n"/>
      <c r="C157" s="313">
        <f>IF(B157="","",IFERROR(IF(AND(B157&gt;=parametros!$D$2,B157&lt;=parametros!$E$2),"C0",IF(AND(B157&gt;=parametros!$D$3,B157&lt;=parametros!$E$3),"C1",IF(AND(B157&gt;=parametros!$D$4,B157&lt;=parametros!$E$4),"C2",IF(AND(B157&gt;=parametros!$D$5,B157&lt;=parametros!$E$5),"C3",IF(AND(B157&gt;=parametros!$D$6,B157&lt;=parametros!$E$6),"C4","Fora dos ciclos"))))),"Fora dos ciclos"))</f>
        <v/>
      </c>
      <c r="D157" s="324" t="n"/>
      <c r="E157" s="326" t="n"/>
      <c r="F157" s="327">
        <f>IF(A157="","",IFERROR(VLOOKUP(A157,itens_Remanesc!$A:$C,3,0),""))</f>
        <v/>
      </c>
      <c r="G157" s="327">
        <f>IF(OR(E157="",F157=""),"",ROUND(E157*F157,2))</f>
        <v/>
      </c>
      <c r="H157" s="324" t="n"/>
      <c r="I157" s="253">
        <f>IFERROR(VLOOKUP(C157,parametros!$B:$G,6,0),"")</f>
        <v/>
      </c>
      <c r="J157" s="327">
        <f>IF(G157="","",ROUND(IF(OR(UPPER(D157)="SUPRESSAO",UPPER(D157)="DECRESCIMO"),-1,1)*G157*IF(AND(UPPER(H157)="SIM",ISNUMBER(I157)),I157,1),2))</f>
        <v/>
      </c>
      <c r="K157" s="324" t="n"/>
    </row>
    <row r="158" ht="15.95" customHeight="1">
      <c r="A158" s="324" t="n"/>
      <c r="B158" s="325" t="n"/>
      <c r="C158" s="313">
        <f>IF(B158="","",IFERROR(IF(AND(B158&gt;=parametros!$D$2,B158&lt;=parametros!$E$2),"C0",IF(AND(B158&gt;=parametros!$D$3,B158&lt;=parametros!$E$3),"C1",IF(AND(B158&gt;=parametros!$D$4,B158&lt;=parametros!$E$4),"C2",IF(AND(B158&gt;=parametros!$D$5,B158&lt;=parametros!$E$5),"C3",IF(AND(B158&gt;=parametros!$D$6,B158&lt;=parametros!$E$6),"C4","Fora dos ciclos"))))),"Fora dos ciclos"))</f>
        <v/>
      </c>
      <c r="D158" s="324" t="n"/>
      <c r="E158" s="326" t="n"/>
      <c r="F158" s="327">
        <f>IF(A158="","",IFERROR(VLOOKUP(A158,itens_Remanesc!$A:$C,3,0),""))</f>
        <v/>
      </c>
      <c r="G158" s="327">
        <f>IF(OR(E158="",F158=""),"",ROUND(E158*F158,2))</f>
        <v/>
      </c>
      <c r="H158" s="324" t="n"/>
      <c r="I158" s="253">
        <f>IFERROR(VLOOKUP(C158,parametros!$B:$G,6,0),"")</f>
        <v/>
      </c>
      <c r="J158" s="327">
        <f>IF(G158="","",ROUND(IF(OR(UPPER(D158)="SUPRESSAO",UPPER(D158)="DECRESCIMO"),-1,1)*G158*IF(AND(UPPER(H158)="SIM",ISNUMBER(I158)),I158,1),2))</f>
        <v/>
      </c>
      <c r="K158" s="324" t="n"/>
    </row>
    <row r="159" ht="15.95" customHeight="1">
      <c r="A159" s="324" t="n"/>
      <c r="B159" s="325" t="n"/>
      <c r="C159" s="313">
        <f>IF(B159="","",IFERROR(IF(AND(B159&gt;=parametros!$D$2,B159&lt;=parametros!$E$2),"C0",IF(AND(B159&gt;=parametros!$D$3,B159&lt;=parametros!$E$3),"C1",IF(AND(B159&gt;=parametros!$D$4,B159&lt;=parametros!$E$4),"C2",IF(AND(B159&gt;=parametros!$D$5,B159&lt;=parametros!$E$5),"C3",IF(AND(B159&gt;=parametros!$D$6,B159&lt;=parametros!$E$6),"C4","Fora dos ciclos"))))),"Fora dos ciclos"))</f>
        <v/>
      </c>
      <c r="D159" s="324" t="n"/>
      <c r="E159" s="326" t="n"/>
      <c r="F159" s="327">
        <f>IF(A159="","",IFERROR(VLOOKUP(A159,itens_Remanesc!$A:$C,3,0),""))</f>
        <v/>
      </c>
      <c r="G159" s="327">
        <f>IF(OR(E159="",F159=""),"",ROUND(E159*F159,2))</f>
        <v/>
      </c>
      <c r="H159" s="324" t="n"/>
      <c r="I159" s="253">
        <f>IFERROR(VLOOKUP(C159,parametros!$B:$G,6,0),"")</f>
        <v/>
      </c>
      <c r="J159" s="327">
        <f>IF(G159="","",ROUND(IF(OR(UPPER(D159)="SUPRESSAO",UPPER(D159)="DECRESCIMO"),-1,1)*G159*IF(AND(UPPER(H159)="SIM",ISNUMBER(I159)),I159,1),2))</f>
        <v/>
      </c>
      <c r="K159" s="324" t="n"/>
    </row>
    <row r="160" ht="15.95" customHeight="1">
      <c r="A160" s="324" t="n"/>
      <c r="B160" s="325" t="n"/>
      <c r="C160" s="313">
        <f>IF(B160="","",IFERROR(IF(AND(B160&gt;=parametros!$D$2,B160&lt;=parametros!$E$2),"C0",IF(AND(B160&gt;=parametros!$D$3,B160&lt;=parametros!$E$3),"C1",IF(AND(B160&gt;=parametros!$D$4,B160&lt;=parametros!$E$4),"C2",IF(AND(B160&gt;=parametros!$D$5,B160&lt;=parametros!$E$5),"C3",IF(AND(B160&gt;=parametros!$D$6,B160&lt;=parametros!$E$6),"C4","Fora dos ciclos"))))),"Fora dos ciclos"))</f>
        <v/>
      </c>
      <c r="D160" s="324" t="n"/>
      <c r="E160" s="326" t="n"/>
      <c r="F160" s="327">
        <f>IF(A160="","",IFERROR(VLOOKUP(A160,itens_Remanesc!$A:$C,3,0),""))</f>
        <v/>
      </c>
      <c r="G160" s="327">
        <f>IF(OR(E160="",F160=""),"",ROUND(E160*F160,2))</f>
        <v/>
      </c>
      <c r="H160" s="324" t="n"/>
      <c r="I160" s="253">
        <f>IFERROR(VLOOKUP(C160,parametros!$B:$G,6,0),"")</f>
        <v/>
      </c>
      <c r="J160" s="327">
        <f>IF(G160="","",ROUND(IF(OR(UPPER(D160)="SUPRESSAO",UPPER(D160)="DECRESCIMO"),-1,1)*G160*IF(AND(UPPER(H160)="SIM",ISNUMBER(I160)),I160,1),2))</f>
        <v/>
      </c>
      <c r="K160" s="324" t="n"/>
    </row>
    <row r="161" ht="15.95" customHeight="1">
      <c r="A161" s="324" t="n"/>
      <c r="B161" s="325" t="n"/>
      <c r="C161" s="313">
        <f>IF(B161="","",IFERROR(IF(AND(B161&gt;=parametros!$D$2,B161&lt;=parametros!$E$2),"C0",IF(AND(B161&gt;=parametros!$D$3,B161&lt;=parametros!$E$3),"C1",IF(AND(B161&gt;=parametros!$D$4,B161&lt;=parametros!$E$4),"C2",IF(AND(B161&gt;=parametros!$D$5,B161&lt;=parametros!$E$5),"C3",IF(AND(B161&gt;=parametros!$D$6,B161&lt;=parametros!$E$6),"C4","Fora dos ciclos"))))),"Fora dos ciclos"))</f>
        <v/>
      </c>
      <c r="D161" s="324" t="n"/>
      <c r="E161" s="326" t="n"/>
      <c r="F161" s="327">
        <f>IF(A161="","",IFERROR(VLOOKUP(A161,itens_Remanesc!$A:$C,3,0),""))</f>
        <v/>
      </c>
      <c r="G161" s="327">
        <f>IF(OR(E161="",F161=""),"",ROUND(E161*F161,2))</f>
        <v/>
      </c>
      <c r="H161" s="324" t="n"/>
      <c r="I161" s="253">
        <f>IFERROR(VLOOKUP(C161,parametros!$B:$G,6,0),"")</f>
        <v/>
      </c>
      <c r="J161" s="327">
        <f>IF(G161="","",ROUND(IF(OR(UPPER(D161)="SUPRESSAO",UPPER(D161)="DECRESCIMO"),-1,1)*G161*IF(AND(UPPER(H161)="SIM",ISNUMBER(I161)),I161,1),2))</f>
        <v/>
      </c>
      <c r="K161" s="324" t="n"/>
    </row>
    <row r="162" ht="15.95" customHeight="1">
      <c r="A162" s="324" t="n"/>
      <c r="B162" s="325" t="n"/>
      <c r="C162" s="313">
        <f>IF(B162="","",IFERROR(IF(AND(B162&gt;=parametros!$D$2,B162&lt;=parametros!$E$2),"C0",IF(AND(B162&gt;=parametros!$D$3,B162&lt;=parametros!$E$3),"C1",IF(AND(B162&gt;=parametros!$D$4,B162&lt;=parametros!$E$4),"C2",IF(AND(B162&gt;=parametros!$D$5,B162&lt;=parametros!$E$5),"C3",IF(AND(B162&gt;=parametros!$D$6,B162&lt;=parametros!$E$6),"C4","Fora dos ciclos"))))),"Fora dos ciclos"))</f>
        <v/>
      </c>
      <c r="D162" s="324" t="n"/>
      <c r="E162" s="326" t="n"/>
      <c r="F162" s="327">
        <f>IF(A162="","",IFERROR(VLOOKUP(A162,itens_Remanesc!$A:$C,3,0),""))</f>
        <v/>
      </c>
      <c r="G162" s="327">
        <f>IF(OR(E162="",F162=""),"",ROUND(E162*F162,2))</f>
        <v/>
      </c>
      <c r="H162" s="324" t="n"/>
      <c r="I162" s="253">
        <f>IFERROR(VLOOKUP(C162,parametros!$B:$G,6,0),"")</f>
        <v/>
      </c>
      <c r="J162" s="327">
        <f>IF(G162="","",ROUND(IF(OR(UPPER(D162)="SUPRESSAO",UPPER(D162)="DECRESCIMO"),-1,1)*G162*IF(AND(UPPER(H162)="SIM",ISNUMBER(I162)),I162,1),2))</f>
        <v/>
      </c>
      <c r="K162" s="324" t="n"/>
    </row>
    <row r="163" ht="15.95" customHeight="1">
      <c r="A163" s="324" t="n"/>
      <c r="B163" s="325" t="n"/>
      <c r="C163" s="313">
        <f>IF(B163="","",IFERROR(IF(AND(B163&gt;=parametros!$D$2,B163&lt;=parametros!$E$2),"C0",IF(AND(B163&gt;=parametros!$D$3,B163&lt;=parametros!$E$3),"C1",IF(AND(B163&gt;=parametros!$D$4,B163&lt;=parametros!$E$4),"C2",IF(AND(B163&gt;=parametros!$D$5,B163&lt;=parametros!$E$5),"C3",IF(AND(B163&gt;=parametros!$D$6,B163&lt;=parametros!$E$6),"C4","Fora dos ciclos"))))),"Fora dos ciclos"))</f>
        <v/>
      </c>
      <c r="D163" s="324" t="n"/>
      <c r="E163" s="326" t="n"/>
      <c r="F163" s="327">
        <f>IF(A163="","",IFERROR(VLOOKUP(A163,itens_Remanesc!$A:$C,3,0),""))</f>
        <v/>
      </c>
      <c r="G163" s="327">
        <f>IF(OR(E163="",F163=""),"",ROUND(E163*F163,2))</f>
        <v/>
      </c>
      <c r="H163" s="324" t="n"/>
      <c r="I163" s="253">
        <f>IFERROR(VLOOKUP(C163,parametros!$B:$G,6,0),"")</f>
        <v/>
      </c>
      <c r="J163" s="327">
        <f>IF(G163="","",ROUND(IF(OR(UPPER(D163)="SUPRESSAO",UPPER(D163)="DECRESCIMO"),-1,1)*G163*IF(AND(UPPER(H163)="SIM",ISNUMBER(I163)),I163,1),2))</f>
        <v/>
      </c>
      <c r="K163" s="324" t="n"/>
    </row>
    <row r="164" ht="15.95" customHeight="1">
      <c r="A164" s="324" t="n"/>
      <c r="B164" s="325" t="n"/>
      <c r="C164" s="313">
        <f>IF(B164="","",IFERROR(IF(AND(B164&gt;=parametros!$D$2,B164&lt;=parametros!$E$2),"C0",IF(AND(B164&gt;=parametros!$D$3,B164&lt;=parametros!$E$3),"C1",IF(AND(B164&gt;=parametros!$D$4,B164&lt;=parametros!$E$4),"C2",IF(AND(B164&gt;=parametros!$D$5,B164&lt;=parametros!$E$5),"C3",IF(AND(B164&gt;=parametros!$D$6,B164&lt;=parametros!$E$6),"C4","Fora dos ciclos"))))),"Fora dos ciclos"))</f>
        <v/>
      </c>
      <c r="D164" s="324" t="n"/>
      <c r="E164" s="326" t="n"/>
      <c r="F164" s="327">
        <f>IF(A164="","",IFERROR(VLOOKUP(A164,itens_Remanesc!$A:$C,3,0),""))</f>
        <v/>
      </c>
      <c r="G164" s="327">
        <f>IF(OR(E164="",F164=""),"",ROUND(E164*F164,2))</f>
        <v/>
      </c>
      <c r="H164" s="324" t="n"/>
      <c r="I164" s="253">
        <f>IFERROR(VLOOKUP(C164,parametros!$B:$G,6,0),"")</f>
        <v/>
      </c>
      <c r="J164" s="327">
        <f>IF(G164="","",ROUND(IF(OR(UPPER(D164)="SUPRESSAO",UPPER(D164)="DECRESCIMO"),-1,1)*G164*IF(AND(UPPER(H164)="SIM",ISNUMBER(I164)),I164,1),2))</f>
        <v/>
      </c>
      <c r="K164" s="324" t="n"/>
    </row>
    <row r="165" ht="15.95" customHeight="1">
      <c r="A165" s="324" t="n"/>
      <c r="B165" s="325" t="n"/>
      <c r="C165" s="313">
        <f>IF(B165="","",IFERROR(IF(AND(B165&gt;=parametros!$D$2,B165&lt;=parametros!$E$2),"C0",IF(AND(B165&gt;=parametros!$D$3,B165&lt;=parametros!$E$3),"C1",IF(AND(B165&gt;=parametros!$D$4,B165&lt;=parametros!$E$4),"C2",IF(AND(B165&gt;=parametros!$D$5,B165&lt;=parametros!$E$5),"C3",IF(AND(B165&gt;=parametros!$D$6,B165&lt;=parametros!$E$6),"C4","Fora dos ciclos"))))),"Fora dos ciclos"))</f>
        <v/>
      </c>
      <c r="D165" s="324" t="n"/>
      <c r="E165" s="326" t="n"/>
      <c r="F165" s="327">
        <f>IF(A165="","",IFERROR(VLOOKUP(A165,itens_Remanesc!$A:$C,3,0),""))</f>
        <v/>
      </c>
      <c r="G165" s="327">
        <f>IF(OR(E165="",F165=""),"",ROUND(E165*F165,2))</f>
        <v/>
      </c>
      <c r="H165" s="324" t="n"/>
      <c r="I165" s="253">
        <f>IFERROR(VLOOKUP(C165,parametros!$B:$G,6,0),"")</f>
        <v/>
      </c>
      <c r="J165" s="327">
        <f>IF(G165="","",ROUND(IF(OR(UPPER(D165)="SUPRESSAO",UPPER(D165)="DECRESCIMO"),-1,1)*G165*IF(AND(UPPER(H165)="SIM",ISNUMBER(I165)),I165,1),2))</f>
        <v/>
      </c>
      <c r="K165" s="324" t="n"/>
    </row>
    <row r="166" ht="15.95" customHeight="1">
      <c r="A166" s="324" t="n"/>
      <c r="B166" s="325" t="n"/>
      <c r="C166" s="313">
        <f>IF(B166="","",IFERROR(IF(AND(B166&gt;=parametros!$D$2,B166&lt;=parametros!$E$2),"C0",IF(AND(B166&gt;=parametros!$D$3,B166&lt;=parametros!$E$3),"C1",IF(AND(B166&gt;=parametros!$D$4,B166&lt;=parametros!$E$4),"C2",IF(AND(B166&gt;=parametros!$D$5,B166&lt;=parametros!$E$5),"C3",IF(AND(B166&gt;=parametros!$D$6,B166&lt;=parametros!$E$6),"C4","Fora dos ciclos"))))),"Fora dos ciclos"))</f>
        <v/>
      </c>
      <c r="D166" s="324" t="n"/>
      <c r="E166" s="326" t="n"/>
      <c r="F166" s="327">
        <f>IF(A166="","",IFERROR(VLOOKUP(A166,itens_Remanesc!$A:$C,3,0),""))</f>
        <v/>
      </c>
      <c r="G166" s="327">
        <f>IF(OR(E166="",F166=""),"",ROUND(E166*F166,2))</f>
        <v/>
      </c>
      <c r="H166" s="324" t="n"/>
      <c r="I166" s="253">
        <f>IFERROR(VLOOKUP(C166,parametros!$B:$G,6,0),"")</f>
        <v/>
      </c>
      <c r="J166" s="327">
        <f>IF(G166="","",ROUND(IF(OR(UPPER(D166)="SUPRESSAO",UPPER(D166)="DECRESCIMO"),-1,1)*G166*IF(AND(UPPER(H166)="SIM",ISNUMBER(I166)),I166,1),2))</f>
        <v/>
      </c>
      <c r="K166" s="324" t="n"/>
    </row>
    <row r="167" ht="15.95" customHeight="1">
      <c r="A167" s="324" t="n"/>
      <c r="B167" s="325" t="n"/>
      <c r="C167" s="313">
        <f>IF(B167="","",IFERROR(IF(AND(B167&gt;=parametros!$D$2,B167&lt;=parametros!$E$2),"C0",IF(AND(B167&gt;=parametros!$D$3,B167&lt;=parametros!$E$3),"C1",IF(AND(B167&gt;=parametros!$D$4,B167&lt;=parametros!$E$4),"C2",IF(AND(B167&gt;=parametros!$D$5,B167&lt;=parametros!$E$5),"C3",IF(AND(B167&gt;=parametros!$D$6,B167&lt;=parametros!$E$6),"C4","Fora dos ciclos"))))),"Fora dos ciclos"))</f>
        <v/>
      </c>
      <c r="D167" s="324" t="n"/>
      <c r="E167" s="326" t="n"/>
      <c r="F167" s="327">
        <f>IF(A167="","",IFERROR(VLOOKUP(A167,itens_Remanesc!$A:$C,3,0),""))</f>
        <v/>
      </c>
      <c r="G167" s="327">
        <f>IF(OR(E167="",F167=""),"",ROUND(E167*F167,2))</f>
        <v/>
      </c>
      <c r="H167" s="324" t="n"/>
      <c r="I167" s="253">
        <f>IFERROR(VLOOKUP(C167,parametros!$B:$G,6,0),"")</f>
        <v/>
      </c>
      <c r="J167" s="327">
        <f>IF(G167="","",ROUND(IF(OR(UPPER(D167)="SUPRESSAO",UPPER(D167)="DECRESCIMO"),-1,1)*G167*IF(AND(UPPER(H167)="SIM",ISNUMBER(I167)),I167,1),2))</f>
        <v/>
      </c>
      <c r="K167" s="324" t="n"/>
    </row>
    <row r="168" ht="15.95" customHeight="1">
      <c r="A168" s="324" t="n"/>
      <c r="B168" s="325" t="n"/>
      <c r="C168" s="313">
        <f>IF(B168="","",IFERROR(IF(AND(B168&gt;=parametros!$D$2,B168&lt;=parametros!$E$2),"C0",IF(AND(B168&gt;=parametros!$D$3,B168&lt;=parametros!$E$3),"C1",IF(AND(B168&gt;=parametros!$D$4,B168&lt;=parametros!$E$4),"C2",IF(AND(B168&gt;=parametros!$D$5,B168&lt;=parametros!$E$5),"C3",IF(AND(B168&gt;=parametros!$D$6,B168&lt;=parametros!$E$6),"C4","Fora dos ciclos"))))),"Fora dos ciclos"))</f>
        <v/>
      </c>
      <c r="D168" s="324" t="n"/>
      <c r="E168" s="326" t="n"/>
      <c r="F168" s="327">
        <f>IF(A168="","",IFERROR(VLOOKUP(A168,itens_Remanesc!$A:$C,3,0),""))</f>
        <v/>
      </c>
      <c r="G168" s="327">
        <f>IF(OR(E168="",F168=""),"",ROUND(E168*F168,2))</f>
        <v/>
      </c>
      <c r="H168" s="324" t="n"/>
      <c r="I168" s="253">
        <f>IFERROR(VLOOKUP(C168,parametros!$B:$G,6,0),"")</f>
        <v/>
      </c>
      <c r="J168" s="327">
        <f>IF(G168="","",ROUND(IF(OR(UPPER(D168)="SUPRESSAO",UPPER(D168)="DECRESCIMO"),-1,1)*G168*IF(AND(UPPER(H168)="SIM",ISNUMBER(I168)),I168,1),2))</f>
        <v/>
      </c>
      <c r="K168" s="324" t="n"/>
    </row>
    <row r="169" ht="15.95" customHeight="1">
      <c r="A169" s="324" t="n"/>
      <c r="B169" s="325" t="n"/>
      <c r="C169" s="313">
        <f>IF(B169="","",IFERROR(IF(AND(B169&gt;=parametros!$D$2,B169&lt;=parametros!$E$2),"C0",IF(AND(B169&gt;=parametros!$D$3,B169&lt;=parametros!$E$3),"C1",IF(AND(B169&gt;=parametros!$D$4,B169&lt;=parametros!$E$4),"C2",IF(AND(B169&gt;=parametros!$D$5,B169&lt;=parametros!$E$5),"C3",IF(AND(B169&gt;=parametros!$D$6,B169&lt;=parametros!$E$6),"C4","Fora dos ciclos"))))),"Fora dos ciclos"))</f>
        <v/>
      </c>
      <c r="D169" s="324" t="n"/>
      <c r="E169" s="326" t="n"/>
      <c r="F169" s="327">
        <f>IF(A169="","",IFERROR(VLOOKUP(A169,itens_Remanesc!$A:$C,3,0),""))</f>
        <v/>
      </c>
      <c r="G169" s="327">
        <f>IF(OR(E169="",F169=""),"",ROUND(E169*F169,2))</f>
        <v/>
      </c>
      <c r="H169" s="324" t="n"/>
      <c r="I169" s="253">
        <f>IFERROR(VLOOKUP(C169,parametros!$B:$G,6,0),"")</f>
        <v/>
      </c>
      <c r="J169" s="327">
        <f>IF(G169="","",ROUND(IF(OR(UPPER(D169)="SUPRESSAO",UPPER(D169)="DECRESCIMO"),-1,1)*G169*IF(AND(UPPER(H169)="SIM",ISNUMBER(I169)),I169,1),2))</f>
        <v/>
      </c>
      <c r="K169" s="324" t="n"/>
    </row>
    <row r="170" ht="15.95" customHeight="1">
      <c r="A170" s="324" t="n"/>
      <c r="B170" s="325" t="n"/>
      <c r="C170" s="313">
        <f>IF(B170="","",IFERROR(IF(AND(B170&gt;=parametros!$D$2,B170&lt;=parametros!$E$2),"C0",IF(AND(B170&gt;=parametros!$D$3,B170&lt;=parametros!$E$3),"C1",IF(AND(B170&gt;=parametros!$D$4,B170&lt;=parametros!$E$4),"C2",IF(AND(B170&gt;=parametros!$D$5,B170&lt;=parametros!$E$5),"C3",IF(AND(B170&gt;=parametros!$D$6,B170&lt;=parametros!$E$6),"C4","Fora dos ciclos"))))),"Fora dos ciclos"))</f>
        <v/>
      </c>
      <c r="D170" s="324" t="n"/>
      <c r="E170" s="326" t="n"/>
      <c r="F170" s="327">
        <f>IF(A170="","",IFERROR(VLOOKUP(A170,itens_Remanesc!$A:$C,3,0),""))</f>
        <v/>
      </c>
      <c r="G170" s="327">
        <f>IF(OR(E170="",F170=""),"",ROUND(E170*F170,2))</f>
        <v/>
      </c>
      <c r="H170" s="324" t="n"/>
      <c r="I170" s="253">
        <f>IFERROR(VLOOKUP(C170,parametros!$B:$G,6,0),"")</f>
        <v/>
      </c>
      <c r="J170" s="327">
        <f>IF(G170="","",ROUND(IF(OR(UPPER(D170)="SUPRESSAO",UPPER(D170)="DECRESCIMO"),-1,1)*G170*IF(AND(UPPER(H170)="SIM",ISNUMBER(I170)),I170,1),2))</f>
        <v/>
      </c>
      <c r="K170" s="324" t="n"/>
    </row>
    <row r="171" ht="15.95" customHeight="1">
      <c r="A171" s="324" t="n"/>
      <c r="B171" s="325" t="n"/>
      <c r="C171" s="313">
        <f>IF(B171="","",IFERROR(IF(AND(B171&gt;=parametros!$D$2,B171&lt;=parametros!$E$2),"C0",IF(AND(B171&gt;=parametros!$D$3,B171&lt;=parametros!$E$3),"C1",IF(AND(B171&gt;=parametros!$D$4,B171&lt;=parametros!$E$4),"C2",IF(AND(B171&gt;=parametros!$D$5,B171&lt;=parametros!$E$5),"C3",IF(AND(B171&gt;=parametros!$D$6,B171&lt;=parametros!$E$6),"C4","Fora dos ciclos"))))),"Fora dos ciclos"))</f>
        <v/>
      </c>
      <c r="D171" s="324" t="n"/>
      <c r="E171" s="326" t="n"/>
      <c r="F171" s="327">
        <f>IF(A171="","",IFERROR(VLOOKUP(A171,itens_Remanesc!$A:$C,3,0),""))</f>
        <v/>
      </c>
      <c r="G171" s="327">
        <f>IF(OR(E171="",F171=""),"",ROUND(E171*F171,2))</f>
        <v/>
      </c>
      <c r="H171" s="324" t="n"/>
      <c r="I171" s="253">
        <f>IFERROR(VLOOKUP(C171,parametros!$B:$G,6,0),"")</f>
        <v/>
      </c>
      <c r="J171" s="327">
        <f>IF(G171="","",ROUND(IF(OR(UPPER(D171)="SUPRESSAO",UPPER(D171)="DECRESCIMO"),-1,1)*G171*IF(AND(UPPER(H171)="SIM",ISNUMBER(I171)),I171,1),2))</f>
        <v/>
      </c>
      <c r="K171" s="324" t="n"/>
    </row>
    <row r="172" ht="15.95" customHeight="1">
      <c r="A172" s="324" t="n"/>
      <c r="B172" s="325" t="n"/>
      <c r="C172" s="313">
        <f>IF(B172="","",IFERROR(IF(AND(B172&gt;=parametros!$D$2,B172&lt;=parametros!$E$2),"C0",IF(AND(B172&gt;=parametros!$D$3,B172&lt;=parametros!$E$3),"C1",IF(AND(B172&gt;=parametros!$D$4,B172&lt;=parametros!$E$4),"C2",IF(AND(B172&gt;=parametros!$D$5,B172&lt;=parametros!$E$5),"C3",IF(AND(B172&gt;=parametros!$D$6,B172&lt;=parametros!$E$6),"C4","Fora dos ciclos"))))),"Fora dos ciclos"))</f>
        <v/>
      </c>
      <c r="D172" s="324" t="n"/>
      <c r="E172" s="326" t="n"/>
      <c r="F172" s="327">
        <f>IF(A172="","",IFERROR(VLOOKUP(A172,itens_Remanesc!$A:$C,3,0),""))</f>
        <v/>
      </c>
      <c r="G172" s="327">
        <f>IF(OR(E172="",F172=""),"",ROUND(E172*F172,2))</f>
        <v/>
      </c>
      <c r="H172" s="324" t="n"/>
      <c r="I172" s="253">
        <f>IFERROR(VLOOKUP(C172,parametros!$B:$G,6,0),"")</f>
        <v/>
      </c>
      <c r="J172" s="327">
        <f>IF(G172="","",ROUND(IF(OR(UPPER(D172)="SUPRESSAO",UPPER(D172)="DECRESCIMO"),-1,1)*G172*IF(AND(UPPER(H172)="SIM",ISNUMBER(I172)),I172,1),2))</f>
        <v/>
      </c>
      <c r="K172" s="324" t="n"/>
    </row>
    <row r="173" ht="15.95" customHeight="1">
      <c r="A173" s="324" t="n"/>
      <c r="B173" s="325" t="n"/>
      <c r="C173" s="313">
        <f>IF(B173="","",IFERROR(IF(AND(B173&gt;=parametros!$D$2,B173&lt;=parametros!$E$2),"C0",IF(AND(B173&gt;=parametros!$D$3,B173&lt;=parametros!$E$3),"C1",IF(AND(B173&gt;=parametros!$D$4,B173&lt;=parametros!$E$4),"C2",IF(AND(B173&gt;=parametros!$D$5,B173&lt;=parametros!$E$5),"C3",IF(AND(B173&gt;=parametros!$D$6,B173&lt;=parametros!$E$6),"C4","Fora dos ciclos"))))),"Fora dos ciclos"))</f>
        <v/>
      </c>
      <c r="D173" s="324" t="n"/>
      <c r="E173" s="326" t="n"/>
      <c r="F173" s="327">
        <f>IF(A173="","",IFERROR(VLOOKUP(A173,itens_Remanesc!$A:$C,3,0),""))</f>
        <v/>
      </c>
      <c r="G173" s="327">
        <f>IF(OR(E173="",F173=""),"",ROUND(E173*F173,2))</f>
        <v/>
      </c>
      <c r="H173" s="324" t="n"/>
      <c r="I173" s="253">
        <f>IFERROR(VLOOKUP(C173,parametros!$B:$G,6,0),"")</f>
        <v/>
      </c>
      <c r="J173" s="327">
        <f>IF(G173="","",ROUND(IF(OR(UPPER(D173)="SUPRESSAO",UPPER(D173)="DECRESCIMO"),-1,1)*G173*IF(AND(UPPER(H173)="SIM",ISNUMBER(I173)),I173,1),2))</f>
        <v/>
      </c>
      <c r="K173" s="324" t="n"/>
    </row>
    <row r="174" ht="15.95" customHeight="1">
      <c r="A174" s="324" t="n"/>
      <c r="B174" s="325" t="n"/>
      <c r="C174" s="313">
        <f>IF(B174="","",IFERROR(IF(AND(B174&gt;=parametros!$D$2,B174&lt;=parametros!$E$2),"C0",IF(AND(B174&gt;=parametros!$D$3,B174&lt;=parametros!$E$3),"C1",IF(AND(B174&gt;=parametros!$D$4,B174&lt;=parametros!$E$4),"C2",IF(AND(B174&gt;=parametros!$D$5,B174&lt;=parametros!$E$5),"C3",IF(AND(B174&gt;=parametros!$D$6,B174&lt;=parametros!$E$6),"C4","Fora dos ciclos"))))),"Fora dos ciclos"))</f>
        <v/>
      </c>
      <c r="D174" s="324" t="n"/>
      <c r="E174" s="326" t="n"/>
      <c r="F174" s="327">
        <f>IF(A174="","",IFERROR(VLOOKUP(A174,itens_Remanesc!$A:$C,3,0),""))</f>
        <v/>
      </c>
      <c r="G174" s="327">
        <f>IF(OR(E174="",F174=""),"",ROUND(E174*F174,2))</f>
        <v/>
      </c>
      <c r="H174" s="324" t="n"/>
      <c r="I174" s="253">
        <f>IFERROR(VLOOKUP(C174,parametros!$B:$G,6,0),"")</f>
        <v/>
      </c>
      <c r="J174" s="327">
        <f>IF(G174="","",ROUND(IF(OR(UPPER(D174)="SUPRESSAO",UPPER(D174)="DECRESCIMO"),-1,1)*G174*IF(AND(UPPER(H174)="SIM",ISNUMBER(I174)),I174,1),2))</f>
        <v/>
      </c>
      <c r="K174" s="324" t="n"/>
    </row>
    <row r="175" ht="15.95" customHeight="1">
      <c r="A175" s="324" t="n"/>
      <c r="B175" s="325" t="n"/>
      <c r="C175" s="313">
        <f>IF(B175="","",IFERROR(IF(AND(B175&gt;=parametros!$D$2,B175&lt;=parametros!$E$2),"C0",IF(AND(B175&gt;=parametros!$D$3,B175&lt;=parametros!$E$3),"C1",IF(AND(B175&gt;=parametros!$D$4,B175&lt;=parametros!$E$4),"C2",IF(AND(B175&gt;=parametros!$D$5,B175&lt;=parametros!$E$5),"C3",IF(AND(B175&gt;=parametros!$D$6,B175&lt;=parametros!$E$6),"C4","Fora dos ciclos"))))),"Fora dos ciclos"))</f>
        <v/>
      </c>
      <c r="D175" s="324" t="n"/>
      <c r="E175" s="326" t="n"/>
      <c r="F175" s="327">
        <f>IF(A175="","",IFERROR(VLOOKUP(A175,itens_Remanesc!$A:$C,3,0),""))</f>
        <v/>
      </c>
      <c r="G175" s="327">
        <f>IF(OR(E175="",F175=""),"",ROUND(E175*F175,2))</f>
        <v/>
      </c>
      <c r="H175" s="324" t="n"/>
      <c r="I175" s="253">
        <f>IFERROR(VLOOKUP(C175,parametros!$B:$G,6,0),"")</f>
        <v/>
      </c>
      <c r="J175" s="327">
        <f>IF(G175="","",ROUND(IF(OR(UPPER(D175)="SUPRESSAO",UPPER(D175)="DECRESCIMO"),-1,1)*G175*IF(AND(UPPER(H175)="SIM",ISNUMBER(I175)),I175,1),2))</f>
        <v/>
      </c>
      <c r="K175" s="324" t="n"/>
    </row>
    <row r="176" ht="15.95" customHeight="1">
      <c r="A176" s="324" t="n"/>
      <c r="B176" s="325" t="n"/>
      <c r="C176" s="313">
        <f>IF(B176="","",IFERROR(IF(AND(B176&gt;=parametros!$D$2,B176&lt;=parametros!$E$2),"C0",IF(AND(B176&gt;=parametros!$D$3,B176&lt;=parametros!$E$3),"C1",IF(AND(B176&gt;=parametros!$D$4,B176&lt;=parametros!$E$4),"C2",IF(AND(B176&gt;=parametros!$D$5,B176&lt;=parametros!$E$5),"C3",IF(AND(B176&gt;=parametros!$D$6,B176&lt;=parametros!$E$6),"C4","Fora dos ciclos"))))),"Fora dos ciclos"))</f>
        <v/>
      </c>
      <c r="D176" s="324" t="n"/>
      <c r="E176" s="326" t="n"/>
      <c r="F176" s="327">
        <f>IF(A176="","",IFERROR(VLOOKUP(A176,itens_Remanesc!$A:$C,3,0),""))</f>
        <v/>
      </c>
      <c r="G176" s="327">
        <f>IF(OR(E176="",F176=""),"",ROUND(E176*F176,2))</f>
        <v/>
      </c>
      <c r="H176" s="324" t="n"/>
      <c r="I176" s="253">
        <f>IFERROR(VLOOKUP(C176,parametros!$B:$G,6,0),"")</f>
        <v/>
      </c>
      <c r="J176" s="327">
        <f>IF(G176="","",ROUND(IF(OR(UPPER(D176)="SUPRESSAO",UPPER(D176)="DECRESCIMO"),-1,1)*G176*IF(AND(UPPER(H176)="SIM",ISNUMBER(I176)),I176,1),2))</f>
        <v/>
      </c>
      <c r="K176" s="324" t="n"/>
    </row>
    <row r="177" ht="15.95" customHeight="1">
      <c r="A177" s="324" t="n"/>
      <c r="B177" s="325" t="n"/>
      <c r="C177" s="313">
        <f>IF(B177="","",IFERROR(IF(AND(B177&gt;=parametros!$D$2,B177&lt;=parametros!$E$2),"C0",IF(AND(B177&gt;=parametros!$D$3,B177&lt;=parametros!$E$3),"C1",IF(AND(B177&gt;=parametros!$D$4,B177&lt;=parametros!$E$4),"C2",IF(AND(B177&gt;=parametros!$D$5,B177&lt;=parametros!$E$5),"C3",IF(AND(B177&gt;=parametros!$D$6,B177&lt;=parametros!$E$6),"C4","Fora dos ciclos"))))),"Fora dos ciclos"))</f>
        <v/>
      </c>
      <c r="D177" s="324" t="n"/>
      <c r="E177" s="326" t="n"/>
      <c r="F177" s="327">
        <f>IF(A177="","",IFERROR(VLOOKUP(A177,itens_Remanesc!$A:$C,3,0),""))</f>
        <v/>
      </c>
      <c r="G177" s="327">
        <f>IF(OR(E177="",F177=""),"",ROUND(E177*F177,2))</f>
        <v/>
      </c>
      <c r="H177" s="324" t="n"/>
      <c r="I177" s="253">
        <f>IFERROR(VLOOKUP(C177,parametros!$B:$G,6,0),"")</f>
        <v/>
      </c>
      <c r="J177" s="327">
        <f>IF(G177="","",ROUND(IF(OR(UPPER(D177)="SUPRESSAO",UPPER(D177)="DECRESCIMO"),-1,1)*G177*IF(AND(UPPER(H177)="SIM",ISNUMBER(I177)),I177,1),2))</f>
        <v/>
      </c>
      <c r="K177" s="324" t="n"/>
    </row>
    <row r="178" ht="15.95" customHeight="1">
      <c r="A178" s="324" t="n"/>
      <c r="B178" s="325" t="n"/>
      <c r="C178" s="313">
        <f>IF(B178="","",IFERROR(IF(AND(B178&gt;=parametros!$D$2,B178&lt;=parametros!$E$2),"C0",IF(AND(B178&gt;=parametros!$D$3,B178&lt;=parametros!$E$3),"C1",IF(AND(B178&gt;=parametros!$D$4,B178&lt;=parametros!$E$4),"C2",IF(AND(B178&gt;=parametros!$D$5,B178&lt;=parametros!$E$5),"C3",IF(AND(B178&gt;=parametros!$D$6,B178&lt;=parametros!$E$6),"C4","Fora dos ciclos"))))),"Fora dos ciclos"))</f>
        <v/>
      </c>
      <c r="D178" s="324" t="n"/>
      <c r="E178" s="326" t="n"/>
      <c r="F178" s="327">
        <f>IF(A178="","",IFERROR(VLOOKUP(A178,itens_Remanesc!$A:$C,3,0),""))</f>
        <v/>
      </c>
      <c r="G178" s="327">
        <f>IF(OR(E178="",F178=""),"",ROUND(E178*F178,2))</f>
        <v/>
      </c>
      <c r="H178" s="324" t="n"/>
      <c r="I178" s="253">
        <f>IFERROR(VLOOKUP(C178,parametros!$B:$G,6,0),"")</f>
        <v/>
      </c>
      <c r="J178" s="327">
        <f>IF(G178="","",ROUND(IF(OR(UPPER(D178)="SUPRESSAO",UPPER(D178)="DECRESCIMO"),-1,1)*G178*IF(AND(UPPER(H178)="SIM",ISNUMBER(I178)),I178,1),2))</f>
        <v/>
      </c>
      <c r="K178" s="324" t="n"/>
    </row>
    <row r="179" ht="15.95" customHeight="1">
      <c r="A179" s="324" t="n"/>
      <c r="B179" s="325" t="n"/>
      <c r="C179" s="313">
        <f>IF(B179="","",IFERROR(IF(AND(B179&gt;=parametros!$D$2,B179&lt;=parametros!$E$2),"C0",IF(AND(B179&gt;=parametros!$D$3,B179&lt;=parametros!$E$3),"C1",IF(AND(B179&gt;=parametros!$D$4,B179&lt;=parametros!$E$4),"C2",IF(AND(B179&gt;=parametros!$D$5,B179&lt;=parametros!$E$5),"C3",IF(AND(B179&gt;=parametros!$D$6,B179&lt;=parametros!$E$6),"C4","Fora dos ciclos"))))),"Fora dos ciclos"))</f>
        <v/>
      </c>
      <c r="D179" s="324" t="n"/>
      <c r="E179" s="326" t="n"/>
      <c r="F179" s="327">
        <f>IF(A179="","",IFERROR(VLOOKUP(A179,itens_Remanesc!$A:$C,3,0),""))</f>
        <v/>
      </c>
      <c r="G179" s="327">
        <f>IF(OR(E179="",F179=""),"",ROUND(E179*F179,2))</f>
        <v/>
      </c>
      <c r="H179" s="324" t="n"/>
      <c r="I179" s="253">
        <f>IFERROR(VLOOKUP(C179,parametros!$B:$G,6,0),"")</f>
        <v/>
      </c>
      <c r="J179" s="327">
        <f>IF(G179="","",ROUND(IF(OR(UPPER(D179)="SUPRESSAO",UPPER(D179)="DECRESCIMO"),-1,1)*G179*IF(AND(UPPER(H179)="SIM",ISNUMBER(I179)),I179,1),2))</f>
        <v/>
      </c>
      <c r="K179" s="324" t="n"/>
    </row>
    <row r="180" ht="15.95" customHeight="1">
      <c r="A180" s="324" t="n"/>
      <c r="B180" s="325" t="n"/>
      <c r="C180" s="313">
        <f>IF(B180="","",IFERROR(IF(AND(B180&gt;=parametros!$D$2,B180&lt;=parametros!$E$2),"C0",IF(AND(B180&gt;=parametros!$D$3,B180&lt;=parametros!$E$3),"C1",IF(AND(B180&gt;=parametros!$D$4,B180&lt;=parametros!$E$4),"C2",IF(AND(B180&gt;=parametros!$D$5,B180&lt;=parametros!$E$5),"C3",IF(AND(B180&gt;=parametros!$D$6,B180&lt;=parametros!$E$6),"C4","Fora dos ciclos"))))),"Fora dos ciclos"))</f>
        <v/>
      </c>
      <c r="D180" s="324" t="n"/>
      <c r="E180" s="326" t="n"/>
      <c r="F180" s="327">
        <f>IF(A180="","",IFERROR(VLOOKUP(A180,itens_Remanesc!$A:$C,3,0),""))</f>
        <v/>
      </c>
      <c r="G180" s="327">
        <f>IF(OR(E180="",F180=""),"",ROUND(E180*F180,2))</f>
        <v/>
      </c>
      <c r="H180" s="324" t="n"/>
      <c r="I180" s="253">
        <f>IFERROR(VLOOKUP(C180,parametros!$B:$G,6,0),"")</f>
        <v/>
      </c>
      <c r="J180" s="327">
        <f>IF(G180="","",ROUND(IF(OR(UPPER(D180)="SUPRESSAO",UPPER(D180)="DECRESCIMO"),-1,1)*G180*IF(AND(UPPER(H180)="SIM",ISNUMBER(I180)),I180,1),2))</f>
        <v/>
      </c>
      <c r="K180" s="324" t="n"/>
    </row>
    <row r="181" ht="15.95" customHeight="1">
      <c r="A181" s="324" t="n"/>
      <c r="B181" s="325" t="n"/>
      <c r="C181" s="313">
        <f>IF(B181="","",IFERROR(IF(AND(B181&gt;=parametros!$D$2,B181&lt;=parametros!$E$2),"C0",IF(AND(B181&gt;=parametros!$D$3,B181&lt;=parametros!$E$3),"C1",IF(AND(B181&gt;=parametros!$D$4,B181&lt;=parametros!$E$4),"C2",IF(AND(B181&gt;=parametros!$D$5,B181&lt;=parametros!$E$5),"C3",IF(AND(B181&gt;=parametros!$D$6,B181&lt;=parametros!$E$6),"C4","Fora dos ciclos"))))),"Fora dos ciclos"))</f>
        <v/>
      </c>
      <c r="D181" s="324" t="n"/>
      <c r="E181" s="326" t="n"/>
      <c r="F181" s="327">
        <f>IF(A181="","",IFERROR(VLOOKUP(A181,itens_Remanesc!$A:$C,3,0),""))</f>
        <v/>
      </c>
      <c r="G181" s="327">
        <f>IF(OR(E181="",F181=""),"",ROUND(E181*F181,2))</f>
        <v/>
      </c>
      <c r="H181" s="324" t="n"/>
      <c r="I181" s="253">
        <f>IFERROR(VLOOKUP(C181,parametros!$B:$G,6,0),"")</f>
        <v/>
      </c>
      <c r="J181" s="327">
        <f>IF(G181="","",ROUND(IF(OR(UPPER(D181)="SUPRESSAO",UPPER(D181)="DECRESCIMO"),-1,1)*G181*IF(AND(UPPER(H181)="SIM",ISNUMBER(I181)),I181,1),2))</f>
        <v/>
      </c>
      <c r="K181" s="324" t="n"/>
    </row>
    <row r="182" ht="15.95" customHeight="1">
      <c r="A182" s="324" t="n"/>
      <c r="B182" s="325" t="n"/>
      <c r="C182" s="313">
        <f>IF(B182="","",IFERROR(IF(AND(B182&gt;=parametros!$D$2,B182&lt;=parametros!$E$2),"C0",IF(AND(B182&gt;=parametros!$D$3,B182&lt;=parametros!$E$3),"C1",IF(AND(B182&gt;=parametros!$D$4,B182&lt;=parametros!$E$4),"C2",IF(AND(B182&gt;=parametros!$D$5,B182&lt;=parametros!$E$5),"C3",IF(AND(B182&gt;=parametros!$D$6,B182&lt;=parametros!$E$6),"C4","Fora dos ciclos"))))),"Fora dos ciclos"))</f>
        <v/>
      </c>
      <c r="D182" s="324" t="n"/>
      <c r="E182" s="326" t="n"/>
      <c r="F182" s="327">
        <f>IF(A182="","",IFERROR(VLOOKUP(A182,itens_Remanesc!$A:$C,3,0),""))</f>
        <v/>
      </c>
      <c r="G182" s="327">
        <f>IF(OR(E182="",F182=""),"",ROUND(E182*F182,2))</f>
        <v/>
      </c>
      <c r="H182" s="324" t="n"/>
      <c r="I182" s="253">
        <f>IFERROR(VLOOKUP(C182,parametros!$B:$G,6,0),"")</f>
        <v/>
      </c>
      <c r="J182" s="327">
        <f>IF(G182="","",ROUND(IF(OR(UPPER(D182)="SUPRESSAO",UPPER(D182)="DECRESCIMO"),-1,1)*G182*IF(AND(UPPER(H182)="SIM",ISNUMBER(I182)),I182,1),2))</f>
        <v/>
      </c>
      <c r="K182" s="324" t="n"/>
    </row>
    <row r="183" ht="15.95" customHeight="1">
      <c r="A183" s="324" t="n"/>
      <c r="B183" s="325" t="n"/>
      <c r="C183" s="313">
        <f>IF(B183="","",IFERROR(IF(AND(B183&gt;=parametros!$D$2,B183&lt;=parametros!$E$2),"C0",IF(AND(B183&gt;=parametros!$D$3,B183&lt;=parametros!$E$3),"C1",IF(AND(B183&gt;=parametros!$D$4,B183&lt;=parametros!$E$4),"C2",IF(AND(B183&gt;=parametros!$D$5,B183&lt;=parametros!$E$5),"C3",IF(AND(B183&gt;=parametros!$D$6,B183&lt;=parametros!$E$6),"C4","Fora dos ciclos"))))),"Fora dos ciclos"))</f>
        <v/>
      </c>
      <c r="D183" s="324" t="n"/>
      <c r="E183" s="326" t="n"/>
      <c r="F183" s="327">
        <f>IF(A183="","",IFERROR(VLOOKUP(A183,itens_Remanesc!$A:$C,3,0),""))</f>
        <v/>
      </c>
      <c r="G183" s="327">
        <f>IF(OR(E183="",F183=""),"",ROUND(E183*F183,2))</f>
        <v/>
      </c>
      <c r="H183" s="324" t="n"/>
      <c r="I183" s="253">
        <f>IFERROR(VLOOKUP(C183,parametros!$B:$G,6,0),"")</f>
        <v/>
      </c>
      <c r="J183" s="327">
        <f>IF(G183="","",ROUND(IF(OR(UPPER(D183)="SUPRESSAO",UPPER(D183)="DECRESCIMO"),-1,1)*G183*IF(AND(UPPER(H183)="SIM",ISNUMBER(I183)),I183,1),2))</f>
        <v/>
      </c>
      <c r="K183" s="324" t="n"/>
    </row>
    <row r="184" ht="15.95" customHeight="1">
      <c r="A184" s="324" t="n"/>
      <c r="B184" s="325" t="n"/>
      <c r="C184" s="313">
        <f>IF(B184="","",IFERROR(IF(AND(B184&gt;=parametros!$D$2,B184&lt;=parametros!$E$2),"C0",IF(AND(B184&gt;=parametros!$D$3,B184&lt;=parametros!$E$3),"C1",IF(AND(B184&gt;=parametros!$D$4,B184&lt;=parametros!$E$4),"C2",IF(AND(B184&gt;=parametros!$D$5,B184&lt;=parametros!$E$5),"C3",IF(AND(B184&gt;=parametros!$D$6,B184&lt;=parametros!$E$6),"C4","Fora dos ciclos"))))),"Fora dos ciclos"))</f>
        <v/>
      </c>
      <c r="D184" s="324" t="n"/>
      <c r="E184" s="326" t="n"/>
      <c r="F184" s="327">
        <f>IF(A184="","",IFERROR(VLOOKUP(A184,itens_Remanesc!$A:$C,3,0),""))</f>
        <v/>
      </c>
      <c r="G184" s="327">
        <f>IF(OR(E184="",F184=""),"",ROUND(E184*F184,2))</f>
        <v/>
      </c>
      <c r="H184" s="324" t="n"/>
      <c r="I184" s="253">
        <f>IFERROR(VLOOKUP(C184,parametros!$B:$G,6,0),"")</f>
        <v/>
      </c>
      <c r="J184" s="327">
        <f>IF(G184="","",ROUND(IF(OR(UPPER(D184)="SUPRESSAO",UPPER(D184)="DECRESCIMO"),-1,1)*G184*IF(AND(UPPER(H184)="SIM",ISNUMBER(I184)),I184,1),2))</f>
        <v/>
      </c>
      <c r="K184" s="324" t="n"/>
    </row>
    <row r="185" ht="15.95" customHeight="1">
      <c r="A185" s="324" t="n"/>
      <c r="B185" s="325" t="n"/>
      <c r="C185" s="313">
        <f>IF(B185="","",IFERROR(IF(AND(B185&gt;=parametros!$D$2,B185&lt;=parametros!$E$2),"C0",IF(AND(B185&gt;=parametros!$D$3,B185&lt;=parametros!$E$3),"C1",IF(AND(B185&gt;=parametros!$D$4,B185&lt;=parametros!$E$4),"C2",IF(AND(B185&gt;=parametros!$D$5,B185&lt;=parametros!$E$5),"C3",IF(AND(B185&gt;=parametros!$D$6,B185&lt;=parametros!$E$6),"C4","Fora dos ciclos"))))),"Fora dos ciclos"))</f>
        <v/>
      </c>
      <c r="D185" s="324" t="n"/>
      <c r="E185" s="326" t="n"/>
      <c r="F185" s="327">
        <f>IF(A185="","",IFERROR(VLOOKUP(A185,itens_Remanesc!$A:$C,3,0),""))</f>
        <v/>
      </c>
      <c r="G185" s="327">
        <f>IF(OR(E185="",F185=""),"",ROUND(E185*F185,2))</f>
        <v/>
      </c>
      <c r="H185" s="324" t="n"/>
      <c r="I185" s="253">
        <f>IFERROR(VLOOKUP(C185,parametros!$B:$G,6,0),"")</f>
        <v/>
      </c>
      <c r="J185" s="327">
        <f>IF(G185="","",ROUND(IF(OR(UPPER(D185)="SUPRESSAO",UPPER(D185)="DECRESCIMO"),-1,1)*G185*IF(AND(UPPER(H185)="SIM",ISNUMBER(I185)),I185,1),2))</f>
        <v/>
      </c>
      <c r="K185" s="324" t="n"/>
    </row>
    <row r="186" ht="15.95" customHeight="1">
      <c r="A186" s="324" t="n"/>
      <c r="B186" s="325" t="n"/>
      <c r="C186" s="313">
        <f>IF(B186="","",IFERROR(IF(AND(B186&gt;=parametros!$D$2,B186&lt;=parametros!$E$2),"C0",IF(AND(B186&gt;=parametros!$D$3,B186&lt;=parametros!$E$3),"C1",IF(AND(B186&gt;=parametros!$D$4,B186&lt;=parametros!$E$4),"C2",IF(AND(B186&gt;=parametros!$D$5,B186&lt;=parametros!$E$5),"C3",IF(AND(B186&gt;=parametros!$D$6,B186&lt;=parametros!$E$6),"C4","Fora dos ciclos"))))),"Fora dos ciclos"))</f>
        <v/>
      </c>
      <c r="D186" s="324" t="n"/>
      <c r="E186" s="326" t="n"/>
      <c r="F186" s="327">
        <f>IF(A186="","",IFERROR(VLOOKUP(A186,itens_Remanesc!$A:$C,3,0),""))</f>
        <v/>
      </c>
      <c r="G186" s="327">
        <f>IF(OR(E186="",F186=""),"",ROUND(E186*F186,2))</f>
        <v/>
      </c>
      <c r="H186" s="324" t="n"/>
      <c r="I186" s="253">
        <f>IFERROR(VLOOKUP(C186,parametros!$B:$G,6,0),"")</f>
        <v/>
      </c>
      <c r="J186" s="327">
        <f>IF(G186="","",ROUND(IF(OR(UPPER(D186)="SUPRESSAO",UPPER(D186)="DECRESCIMO"),-1,1)*G186*IF(AND(UPPER(H186)="SIM",ISNUMBER(I186)),I186,1),2))</f>
        <v/>
      </c>
      <c r="K186" s="324" t="n"/>
    </row>
    <row r="187" ht="15.95" customHeight="1">
      <c r="A187" s="324" t="n"/>
      <c r="B187" s="325" t="n"/>
      <c r="C187" s="313">
        <f>IF(B187="","",IFERROR(IF(AND(B187&gt;=parametros!$D$2,B187&lt;=parametros!$E$2),"C0",IF(AND(B187&gt;=parametros!$D$3,B187&lt;=parametros!$E$3),"C1",IF(AND(B187&gt;=parametros!$D$4,B187&lt;=parametros!$E$4),"C2",IF(AND(B187&gt;=parametros!$D$5,B187&lt;=parametros!$E$5),"C3",IF(AND(B187&gt;=parametros!$D$6,B187&lt;=parametros!$E$6),"C4","Fora dos ciclos"))))),"Fora dos ciclos"))</f>
        <v/>
      </c>
      <c r="D187" s="324" t="n"/>
      <c r="E187" s="326" t="n"/>
      <c r="F187" s="327">
        <f>IF(A187="","",IFERROR(VLOOKUP(A187,itens_Remanesc!$A:$C,3,0),""))</f>
        <v/>
      </c>
      <c r="G187" s="327">
        <f>IF(OR(E187="",F187=""),"",ROUND(E187*F187,2))</f>
        <v/>
      </c>
      <c r="H187" s="324" t="n"/>
      <c r="I187" s="253">
        <f>IFERROR(VLOOKUP(C187,parametros!$B:$G,6,0),"")</f>
        <v/>
      </c>
      <c r="J187" s="327">
        <f>IF(G187="","",ROUND(IF(OR(UPPER(D187)="SUPRESSAO",UPPER(D187)="DECRESCIMO"),-1,1)*G187*IF(AND(UPPER(H187)="SIM",ISNUMBER(I187)),I187,1),2))</f>
        <v/>
      </c>
      <c r="K187" s="324" t="n"/>
    </row>
    <row r="188" ht="15.95" customHeight="1">
      <c r="A188" s="324" t="n"/>
      <c r="B188" s="325" t="n"/>
      <c r="C188" s="313">
        <f>IF(B188="","",IFERROR(IF(AND(B188&gt;=parametros!$D$2,B188&lt;=parametros!$E$2),"C0",IF(AND(B188&gt;=parametros!$D$3,B188&lt;=parametros!$E$3),"C1",IF(AND(B188&gt;=parametros!$D$4,B188&lt;=parametros!$E$4),"C2",IF(AND(B188&gt;=parametros!$D$5,B188&lt;=parametros!$E$5),"C3",IF(AND(B188&gt;=parametros!$D$6,B188&lt;=parametros!$E$6),"C4","Fora dos ciclos"))))),"Fora dos ciclos"))</f>
        <v/>
      </c>
      <c r="D188" s="324" t="n"/>
      <c r="E188" s="326" t="n"/>
      <c r="F188" s="327">
        <f>IF(A188="","",IFERROR(VLOOKUP(A188,itens_Remanesc!$A:$C,3,0),""))</f>
        <v/>
      </c>
      <c r="G188" s="327">
        <f>IF(OR(E188="",F188=""),"",ROUND(E188*F188,2))</f>
        <v/>
      </c>
      <c r="H188" s="324" t="n"/>
      <c r="I188" s="253">
        <f>IFERROR(VLOOKUP(C188,parametros!$B:$G,6,0),"")</f>
        <v/>
      </c>
      <c r="J188" s="327">
        <f>IF(G188="","",ROUND(IF(OR(UPPER(D188)="SUPRESSAO",UPPER(D188)="DECRESCIMO"),-1,1)*G188*IF(AND(UPPER(H188)="SIM",ISNUMBER(I188)),I188,1),2))</f>
        <v/>
      </c>
      <c r="K188" s="324" t="n"/>
    </row>
    <row r="189" ht="15.95" customHeight="1">
      <c r="A189" s="324" t="n"/>
      <c r="B189" s="325" t="n"/>
      <c r="C189" s="313">
        <f>IF(B189="","",IFERROR(IF(AND(B189&gt;=parametros!$D$2,B189&lt;=parametros!$E$2),"C0",IF(AND(B189&gt;=parametros!$D$3,B189&lt;=parametros!$E$3),"C1",IF(AND(B189&gt;=parametros!$D$4,B189&lt;=parametros!$E$4),"C2",IF(AND(B189&gt;=parametros!$D$5,B189&lt;=parametros!$E$5),"C3",IF(AND(B189&gt;=parametros!$D$6,B189&lt;=parametros!$E$6),"C4","Fora dos ciclos"))))),"Fora dos ciclos"))</f>
        <v/>
      </c>
      <c r="D189" s="324" t="n"/>
      <c r="E189" s="326" t="n"/>
      <c r="F189" s="327">
        <f>IF(A189="","",IFERROR(VLOOKUP(A189,itens_Remanesc!$A:$C,3,0),""))</f>
        <v/>
      </c>
      <c r="G189" s="327">
        <f>IF(OR(E189="",F189=""),"",ROUND(E189*F189,2))</f>
        <v/>
      </c>
      <c r="H189" s="324" t="n"/>
      <c r="I189" s="253">
        <f>IFERROR(VLOOKUP(C189,parametros!$B:$G,6,0),"")</f>
        <v/>
      </c>
      <c r="J189" s="327">
        <f>IF(G189="","",ROUND(IF(OR(UPPER(D189)="SUPRESSAO",UPPER(D189)="DECRESCIMO"),-1,1)*G189*IF(AND(UPPER(H189)="SIM",ISNUMBER(I189)),I189,1),2))</f>
        <v/>
      </c>
      <c r="K189" s="324" t="n"/>
    </row>
    <row r="190" ht="15.95" customHeight="1">
      <c r="A190" s="324" t="n"/>
      <c r="B190" s="325" t="n"/>
      <c r="C190" s="313">
        <f>IF(B190="","",IFERROR(IF(AND(B190&gt;=parametros!$D$2,B190&lt;=parametros!$E$2),"C0",IF(AND(B190&gt;=parametros!$D$3,B190&lt;=parametros!$E$3),"C1",IF(AND(B190&gt;=parametros!$D$4,B190&lt;=parametros!$E$4),"C2",IF(AND(B190&gt;=parametros!$D$5,B190&lt;=parametros!$E$5),"C3",IF(AND(B190&gt;=parametros!$D$6,B190&lt;=parametros!$E$6),"C4","Fora dos ciclos"))))),"Fora dos ciclos"))</f>
        <v/>
      </c>
      <c r="D190" s="324" t="n"/>
      <c r="E190" s="326" t="n"/>
      <c r="F190" s="327">
        <f>IF(A190="","",IFERROR(VLOOKUP(A190,itens_Remanesc!$A:$C,3,0),""))</f>
        <v/>
      </c>
      <c r="G190" s="327">
        <f>IF(OR(E190="",F190=""),"",ROUND(E190*F190,2))</f>
        <v/>
      </c>
      <c r="H190" s="324" t="n"/>
      <c r="I190" s="253">
        <f>IFERROR(VLOOKUP(C190,parametros!$B:$G,6,0),"")</f>
        <v/>
      </c>
      <c r="J190" s="327">
        <f>IF(G190="","",ROUND(IF(OR(UPPER(D190)="SUPRESSAO",UPPER(D190)="DECRESCIMO"),-1,1)*G190*IF(AND(UPPER(H190)="SIM",ISNUMBER(I190)),I190,1),2))</f>
        <v/>
      </c>
      <c r="K190" s="324" t="n"/>
    </row>
    <row r="191" ht="15.95" customHeight="1">
      <c r="A191" s="324" t="n"/>
      <c r="B191" s="325" t="n"/>
      <c r="C191" s="313">
        <f>IF(B191="","",IFERROR(IF(AND(B191&gt;=parametros!$D$2,B191&lt;=parametros!$E$2),"C0",IF(AND(B191&gt;=parametros!$D$3,B191&lt;=parametros!$E$3),"C1",IF(AND(B191&gt;=parametros!$D$4,B191&lt;=parametros!$E$4),"C2",IF(AND(B191&gt;=parametros!$D$5,B191&lt;=parametros!$E$5),"C3",IF(AND(B191&gt;=parametros!$D$6,B191&lt;=parametros!$E$6),"C4","Fora dos ciclos"))))),"Fora dos ciclos"))</f>
        <v/>
      </c>
      <c r="D191" s="324" t="n"/>
      <c r="E191" s="326" t="n"/>
      <c r="F191" s="327">
        <f>IF(A191="","",IFERROR(VLOOKUP(A191,itens_Remanesc!$A:$C,3,0),""))</f>
        <v/>
      </c>
      <c r="G191" s="327">
        <f>IF(OR(E191="",F191=""),"",ROUND(E191*F191,2))</f>
        <v/>
      </c>
      <c r="H191" s="324" t="n"/>
      <c r="I191" s="253">
        <f>IFERROR(VLOOKUP(C191,parametros!$B:$G,6,0),"")</f>
        <v/>
      </c>
      <c r="J191" s="327">
        <f>IF(G191="","",ROUND(IF(OR(UPPER(D191)="SUPRESSAO",UPPER(D191)="DECRESCIMO"),-1,1)*G191*IF(AND(UPPER(H191)="SIM",ISNUMBER(I191)),I191,1),2))</f>
        <v/>
      </c>
      <c r="K191" s="324" t="n"/>
    </row>
    <row r="192" ht="15.95" customHeight="1">
      <c r="A192" s="324" t="n"/>
      <c r="B192" s="325" t="n"/>
      <c r="C192" s="313">
        <f>IF(B192="","",IFERROR(IF(AND(B192&gt;=parametros!$D$2,B192&lt;=parametros!$E$2),"C0",IF(AND(B192&gt;=parametros!$D$3,B192&lt;=parametros!$E$3),"C1",IF(AND(B192&gt;=parametros!$D$4,B192&lt;=parametros!$E$4),"C2",IF(AND(B192&gt;=parametros!$D$5,B192&lt;=parametros!$E$5),"C3",IF(AND(B192&gt;=parametros!$D$6,B192&lt;=parametros!$E$6),"C4","Fora dos ciclos"))))),"Fora dos ciclos"))</f>
        <v/>
      </c>
      <c r="D192" s="324" t="n"/>
      <c r="E192" s="326" t="n"/>
      <c r="F192" s="327">
        <f>IF(A192="","",IFERROR(VLOOKUP(A192,itens_Remanesc!$A:$C,3,0),""))</f>
        <v/>
      </c>
      <c r="G192" s="327">
        <f>IF(OR(E192="",F192=""),"",ROUND(E192*F192,2))</f>
        <v/>
      </c>
      <c r="H192" s="324" t="n"/>
      <c r="I192" s="253">
        <f>IFERROR(VLOOKUP(C192,parametros!$B:$G,6,0),"")</f>
        <v/>
      </c>
      <c r="J192" s="327">
        <f>IF(G192="","",ROUND(IF(OR(UPPER(D192)="SUPRESSAO",UPPER(D192)="DECRESCIMO"),-1,1)*G192*IF(AND(UPPER(H192)="SIM",ISNUMBER(I192)),I192,1),2))</f>
        <v/>
      </c>
      <c r="K192" s="324" t="n"/>
    </row>
    <row r="193" ht="15.95" customHeight="1">
      <c r="A193" s="324" t="n"/>
      <c r="B193" s="325" t="n"/>
      <c r="C193" s="313">
        <f>IF(B193="","",IFERROR(IF(AND(B193&gt;=parametros!$D$2,B193&lt;=parametros!$E$2),"C0",IF(AND(B193&gt;=parametros!$D$3,B193&lt;=parametros!$E$3),"C1",IF(AND(B193&gt;=parametros!$D$4,B193&lt;=parametros!$E$4),"C2",IF(AND(B193&gt;=parametros!$D$5,B193&lt;=parametros!$E$5),"C3",IF(AND(B193&gt;=parametros!$D$6,B193&lt;=parametros!$E$6),"C4","Fora dos ciclos"))))),"Fora dos ciclos"))</f>
        <v/>
      </c>
      <c r="D193" s="324" t="n"/>
      <c r="E193" s="326" t="n"/>
      <c r="F193" s="327">
        <f>IF(A193="","",IFERROR(VLOOKUP(A193,itens_Remanesc!$A:$C,3,0),""))</f>
        <v/>
      </c>
      <c r="G193" s="327">
        <f>IF(OR(E193="",F193=""),"",ROUND(E193*F193,2))</f>
        <v/>
      </c>
      <c r="H193" s="324" t="n"/>
      <c r="I193" s="253">
        <f>IFERROR(VLOOKUP(C193,parametros!$B:$G,6,0),"")</f>
        <v/>
      </c>
      <c r="J193" s="327">
        <f>IF(G193="","",ROUND(IF(OR(UPPER(D193)="SUPRESSAO",UPPER(D193)="DECRESCIMO"),-1,1)*G193*IF(AND(UPPER(H193)="SIM",ISNUMBER(I193)),I193,1),2))</f>
        <v/>
      </c>
      <c r="K193" s="324" t="n"/>
    </row>
    <row r="194" ht="15.95" customHeight="1">
      <c r="A194" s="324" t="n"/>
      <c r="B194" s="325" t="n"/>
      <c r="C194" s="313">
        <f>IF(B194="","",IFERROR(IF(AND(B194&gt;=parametros!$D$2,B194&lt;=parametros!$E$2),"C0",IF(AND(B194&gt;=parametros!$D$3,B194&lt;=parametros!$E$3),"C1",IF(AND(B194&gt;=parametros!$D$4,B194&lt;=parametros!$E$4),"C2",IF(AND(B194&gt;=parametros!$D$5,B194&lt;=parametros!$E$5),"C3",IF(AND(B194&gt;=parametros!$D$6,B194&lt;=parametros!$E$6),"C4","Fora dos ciclos"))))),"Fora dos ciclos"))</f>
        <v/>
      </c>
      <c r="D194" s="324" t="n"/>
      <c r="E194" s="326" t="n"/>
      <c r="F194" s="327">
        <f>IF(A194="","",IFERROR(VLOOKUP(A194,itens_Remanesc!$A:$C,3,0),""))</f>
        <v/>
      </c>
      <c r="G194" s="327">
        <f>IF(OR(E194="",F194=""),"",ROUND(E194*F194,2))</f>
        <v/>
      </c>
      <c r="H194" s="324" t="n"/>
      <c r="I194" s="253">
        <f>IFERROR(VLOOKUP(C194,parametros!$B:$G,6,0),"")</f>
        <v/>
      </c>
      <c r="J194" s="327">
        <f>IF(G194="","",ROUND(IF(OR(UPPER(D194)="SUPRESSAO",UPPER(D194)="DECRESCIMO"),-1,1)*G194*IF(AND(UPPER(H194)="SIM",ISNUMBER(I194)),I194,1),2))</f>
        <v/>
      </c>
      <c r="K194" s="324" t="n"/>
    </row>
    <row r="195" ht="15.95" customHeight="1">
      <c r="A195" s="324" t="n"/>
      <c r="B195" s="325" t="n"/>
      <c r="C195" s="313">
        <f>IF(B195="","",IFERROR(IF(AND(B195&gt;=parametros!$D$2,B195&lt;=parametros!$E$2),"C0",IF(AND(B195&gt;=parametros!$D$3,B195&lt;=parametros!$E$3),"C1",IF(AND(B195&gt;=parametros!$D$4,B195&lt;=parametros!$E$4),"C2",IF(AND(B195&gt;=parametros!$D$5,B195&lt;=parametros!$E$5),"C3",IF(AND(B195&gt;=parametros!$D$6,B195&lt;=parametros!$E$6),"C4","Fora dos ciclos"))))),"Fora dos ciclos"))</f>
        <v/>
      </c>
      <c r="D195" s="324" t="n"/>
      <c r="E195" s="326" t="n"/>
      <c r="F195" s="327">
        <f>IF(A195="","",IFERROR(VLOOKUP(A195,itens_Remanesc!$A:$C,3,0),""))</f>
        <v/>
      </c>
      <c r="G195" s="327">
        <f>IF(OR(E195="",F195=""),"",ROUND(E195*F195,2))</f>
        <v/>
      </c>
      <c r="H195" s="324" t="n"/>
      <c r="I195" s="253">
        <f>IFERROR(VLOOKUP(C195,parametros!$B:$G,6,0),"")</f>
        <v/>
      </c>
      <c r="J195" s="327">
        <f>IF(G195="","",ROUND(IF(OR(UPPER(D195)="SUPRESSAO",UPPER(D195)="DECRESCIMO"),-1,1)*G195*IF(AND(UPPER(H195)="SIM",ISNUMBER(I195)),I195,1),2))</f>
        <v/>
      </c>
      <c r="K195" s="324" t="n"/>
    </row>
    <row r="196" ht="15.95" customHeight="1">
      <c r="A196" s="324" t="n"/>
      <c r="B196" s="325" t="n"/>
      <c r="C196" s="313">
        <f>IF(B196="","",IFERROR(IF(AND(B196&gt;=parametros!$D$2,B196&lt;=parametros!$E$2),"C0",IF(AND(B196&gt;=parametros!$D$3,B196&lt;=parametros!$E$3),"C1",IF(AND(B196&gt;=parametros!$D$4,B196&lt;=parametros!$E$4),"C2",IF(AND(B196&gt;=parametros!$D$5,B196&lt;=parametros!$E$5),"C3",IF(AND(B196&gt;=parametros!$D$6,B196&lt;=parametros!$E$6),"C4","Fora dos ciclos"))))),"Fora dos ciclos"))</f>
        <v/>
      </c>
      <c r="D196" s="324" t="n"/>
      <c r="E196" s="326" t="n"/>
      <c r="F196" s="327">
        <f>IF(A196="","",IFERROR(VLOOKUP(A196,itens_Remanesc!$A:$C,3,0),""))</f>
        <v/>
      </c>
      <c r="G196" s="327">
        <f>IF(OR(E196="",F196=""),"",ROUND(E196*F196,2))</f>
        <v/>
      </c>
      <c r="H196" s="324" t="n"/>
      <c r="I196" s="253">
        <f>IFERROR(VLOOKUP(C196,parametros!$B:$G,6,0),"")</f>
        <v/>
      </c>
      <c r="J196" s="327">
        <f>IF(G196="","",ROUND(IF(OR(UPPER(D196)="SUPRESSAO",UPPER(D196)="DECRESCIMO"),-1,1)*G196*IF(AND(UPPER(H196)="SIM",ISNUMBER(I196)),I196,1),2))</f>
        <v/>
      </c>
      <c r="K196" s="324" t="n"/>
    </row>
    <row r="197" ht="15.95" customHeight="1">
      <c r="A197" s="324" t="n"/>
      <c r="B197" s="325" t="n"/>
      <c r="C197" s="313">
        <f>IF(B197="","",IFERROR(IF(AND(B197&gt;=parametros!$D$2,B197&lt;=parametros!$E$2),"C0",IF(AND(B197&gt;=parametros!$D$3,B197&lt;=parametros!$E$3),"C1",IF(AND(B197&gt;=parametros!$D$4,B197&lt;=parametros!$E$4),"C2",IF(AND(B197&gt;=parametros!$D$5,B197&lt;=parametros!$E$5),"C3",IF(AND(B197&gt;=parametros!$D$6,B197&lt;=parametros!$E$6),"C4","Fora dos ciclos"))))),"Fora dos ciclos"))</f>
        <v/>
      </c>
      <c r="D197" s="324" t="n"/>
      <c r="E197" s="326" t="n"/>
      <c r="F197" s="327">
        <f>IF(A197="","",IFERROR(VLOOKUP(A197,itens_Remanesc!$A:$C,3,0),""))</f>
        <v/>
      </c>
      <c r="G197" s="327">
        <f>IF(OR(E197="",F197=""),"",ROUND(E197*F197,2))</f>
        <v/>
      </c>
      <c r="H197" s="324" t="n"/>
      <c r="I197" s="253">
        <f>IFERROR(VLOOKUP(C197,parametros!$B:$G,6,0),"")</f>
        <v/>
      </c>
      <c r="J197" s="327">
        <f>IF(G197="","",ROUND(IF(OR(UPPER(D197)="SUPRESSAO",UPPER(D197)="DECRESCIMO"),-1,1)*G197*IF(AND(UPPER(H197)="SIM",ISNUMBER(I197)),I197,1),2))</f>
        <v/>
      </c>
      <c r="K197" s="324" t="n"/>
    </row>
    <row r="198" ht="15.95" customHeight="1">
      <c r="A198" s="324" t="n"/>
      <c r="B198" s="325" t="n"/>
      <c r="C198" s="313">
        <f>IF(B198="","",IFERROR(IF(AND(B198&gt;=parametros!$D$2,B198&lt;=parametros!$E$2),"C0",IF(AND(B198&gt;=parametros!$D$3,B198&lt;=parametros!$E$3),"C1",IF(AND(B198&gt;=parametros!$D$4,B198&lt;=parametros!$E$4),"C2",IF(AND(B198&gt;=parametros!$D$5,B198&lt;=parametros!$E$5),"C3",IF(AND(B198&gt;=parametros!$D$6,B198&lt;=parametros!$E$6),"C4","Fora dos ciclos"))))),"Fora dos ciclos"))</f>
        <v/>
      </c>
      <c r="D198" s="324" t="n"/>
      <c r="E198" s="326" t="n"/>
      <c r="F198" s="327">
        <f>IF(A198="","",IFERROR(VLOOKUP(A198,itens_Remanesc!$A:$C,3,0),""))</f>
        <v/>
      </c>
      <c r="G198" s="327">
        <f>IF(OR(E198="",F198=""),"",ROUND(E198*F198,2))</f>
        <v/>
      </c>
      <c r="H198" s="324" t="n"/>
      <c r="I198" s="253">
        <f>IFERROR(VLOOKUP(C198,parametros!$B:$G,6,0),"")</f>
        <v/>
      </c>
      <c r="J198" s="327">
        <f>IF(G198="","",ROUND(IF(OR(UPPER(D198)="SUPRESSAO",UPPER(D198)="DECRESCIMO"),-1,1)*G198*IF(AND(UPPER(H198)="SIM",ISNUMBER(I198)),I198,1),2))</f>
        <v/>
      </c>
      <c r="K198" s="324" t="n"/>
    </row>
    <row r="199" ht="15.95" customHeight="1">
      <c r="A199" s="324" t="n"/>
      <c r="B199" s="325" t="n"/>
      <c r="C199" s="313">
        <f>IF(B199="","",IFERROR(IF(AND(B199&gt;=parametros!$D$2,B199&lt;=parametros!$E$2),"C0",IF(AND(B199&gt;=parametros!$D$3,B199&lt;=parametros!$E$3),"C1",IF(AND(B199&gt;=parametros!$D$4,B199&lt;=parametros!$E$4),"C2",IF(AND(B199&gt;=parametros!$D$5,B199&lt;=parametros!$E$5),"C3",IF(AND(B199&gt;=parametros!$D$6,B199&lt;=parametros!$E$6),"C4","Fora dos ciclos"))))),"Fora dos ciclos"))</f>
        <v/>
      </c>
      <c r="D199" s="324" t="n"/>
      <c r="E199" s="326" t="n"/>
      <c r="F199" s="327">
        <f>IF(A199="","",IFERROR(VLOOKUP(A199,itens_Remanesc!$A:$C,3,0),""))</f>
        <v/>
      </c>
      <c r="G199" s="327">
        <f>IF(OR(E199="",F199=""),"",ROUND(E199*F199,2))</f>
        <v/>
      </c>
      <c r="H199" s="324" t="n"/>
      <c r="I199" s="253">
        <f>IFERROR(VLOOKUP(C199,parametros!$B:$G,6,0),"")</f>
        <v/>
      </c>
      <c r="J199" s="327">
        <f>IF(G199="","",ROUND(IF(OR(UPPER(D199)="SUPRESSAO",UPPER(D199)="DECRESCIMO"),-1,1)*G199*IF(AND(UPPER(H199)="SIM",ISNUMBER(I199)),I199,1),2))</f>
        <v/>
      </c>
      <c r="K199" s="324" t="n"/>
    </row>
    <row r="200" ht="15.95" customHeight="1">
      <c r="A200" s="324" t="n"/>
      <c r="B200" s="325" t="n"/>
      <c r="C200" s="313">
        <f>IF(B200="","",IFERROR(IF(AND(B200&gt;=parametros!$D$2,B200&lt;=parametros!$E$2),"C0",IF(AND(B200&gt;=parametros!$D$3,B200&lt;=parametros!$E$3),"C1",IF(AND(B200&gt;=parametros!$D$4,B200&lt;=parametros!$E$4),"C2",IF(AND(B200&gt;=parametros!$D$5,B200&lt;=parametros!$E$5),"C3",IF(AND(B200&gt;=parametros!$D$6,B200&lt;=parametros!$E$6),"C4","Fora dos ciclos"))))),"Fora dos ciclos"))</f>
        <v/>
      </c>
      <c r="D200" s="324" t="n"/>
      <c r="E200" s="326" t="n"/>
      <c r="F200" s="327">
        <f>IF(A200="","",IFERROR(VLOOKUP(A200,itens_Remanesc!$A:$C,3,0),""))</f>
        <v/>
      </c>
      <c r="G200" s="327">
        <f>IF(OR(E200="",F200=""),"",ROUND(E200*F200,2))</f>
        <v/>
      </c>
      <c r="H200" s="324" t="n"/>
      <c r="I200" s="253">
        <f>IFERROR(VLOOKUP(C200,parametros!$B:$G,6,0),"")</f>
        <v/>
      </c>
      <c r="J200" s="327">
        <f>IF(G200="","",ROUND(IF(OR(UPPER(D200)="SUPRESSAO",UPPER(D200)="DECRESCIMO"),-1,1)*G200*IF(AND(UPPER(H200)="SIM",ISNUMBER(I200)),I200,1),2))</f>
        <v/>
      </c>
      <c r="K200" s="324" t="n"/>
    </row>
  </sheetData>
  <conditionalFormatting sqref="A2:K200">
    <cfRule type="expression" priority="7" dxfId="5">
      <formula>OR(LEFT(UPPER($D2),6)="SUPRES",LEFT(UPPER($D2),4)="DECR")</formula>
    </cfRule>
    <cfRule type="expression" priority="7" dxfId="42">
      <formula>OR(LEFT(UPPER($D2),6)="SUPRES",LEFT(UPPER($D2),4)="DECR")</formula>
    </cfRule>
  </conditionalFormatting>
  <conditionalFormatting sqref="C2:C200">
    <cfRule type="expression" priority="8" dxfId="4">
      <formula>UPPER($C2)="C0"</formula>
    </cfRule>
    <cfRule type="expression" priority="9" dxfId="3">
      <formula>UPPER($C2)="C1"</formula>
    </cfRule>
    <cfRule type="expression" priority="10" dxfId="2">
      <formula>UPPER($C2)="C2"</formula>
    </cfRule>
    <cfRule type="expression" priority="11" dxfId="1">
      <formula>UPPER($C2)="C3"</formula>
    </cfRule>
    <cfRule type="expression" priority="12" dxfId="0">
      <formula>UPPER($C2)="C4"</formula>
    </cfRule>
  </conditionalFormatting>
  <dataValidations count="3">
    <dataValidation sqref="D2:D200" showDropDown="0" showInputMessage="0" showErrorMessage="0" allowBlank="1" type="list">
      <formula1>"Acrescimo,Supressao"</formula1>
    </dataValidation>
    <dataValidation sqref="H2:H200" showDropDown="0" showInputMessage="0" showErrorMessage="0" allowBlank="1" type="list">
      <formula1>"Sim,Nao"</formula1>
    </dataValidation>
    <dataValidation sqref="K2:K200" showDropDown="0" showInputMessage="0" showErrorMessage="0" allowBlank="1" type="list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3"/>
  <sheetViews>
    <sheetView showGridLines="0" workbookViewId="0">
      <pane ySplit="2" topLeftCell="A3" activePane="bottomLeft" state="frozen"/>
      <selection pane="bottomLeft" activeCell="I14" sqref="I14"/>
    </sheetView>
  </sheetViews>
  <sheetFormatPr baseColWidth="8" defaultColWidth="8.5703125" defaultRowHeight="15"/>
  <cols>
    <col width="8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5" customWidth="1" min="7" max="7"/>
    <col width="14" customWidth="1" min="8" max="8"/>
    <col width="12" customWidth="1" min="9" max="9"/>
    <col width="18.140625" customWidth="1" min="10" max="10"/>
    <col width="14" customWidth="1" min="11" max="11"/>
    <col width="12" customWidth="1" min="12" max="12"/>
    <col width="15" customWidth="1" min="13" max="13"/>
    <col width="14" customWidth="1" min="14" max="14"/>
    <col width="12" customWidth="1" min="15" max="15"/>
    <col width="15" customWidth="1" min="16" max="16"/>
  </cols>
  <sheetData>
    <row r="1" ht="30" customHeight="1">
      <c r="A1" s="269" t="inlineStr">
        <is>
          <t>Item</t>
        </is>
      </c>
      <c r="B1" s="269" t="inlineStr">
        <is>
          <t>C0</t>
        </is>
      </c>
      <c r="C1" s="238" t="n"/>
      <c r="D1" s="239" t="n"/>
      <c r="E1" s="269" t="inlineStr">
        <is>
          <t>C1</t>
        </is>
      </c>
      <c r="F1" s="238" t="n"/>
      <c r="G1" s="239" t="n"/>
      <c r="H1" s="269" t="inlineStr">
        <is>
          <t>C2</t>
        </is>
      </c>
      <c r="I1" s="238" t="n"/>
      <c r="J1" s="239" t="n"/>
      <c r="K1" s="269" t="inlineStr">
        <is>
          <t>C3</t>
        </is>
      </c>
      <c r="L1" s="238" t="n"/>
      <c r="M1" s="239" t="n"/>
      <c r="N1" s="269" t="inlineStr">
        <is>
          <t>C4</t>
        </is>
      </c>
      <c r="O1" s="238" t="n"/>
      <c r="P1" s="239" t="n"/>
    </row>
    <row r="2">
      <c r="A2" s="240" t="n"/>
      <c r="B2" s="328" t="inlineStr">
        <is>
          <t>VU atualizado</t>
        </is>
      </c>
      <c r="C2" s="328" t="inlineStr">
        <is>
          <t>Qtd restante</t>
        </is>
      </c>
      <c r="D2" s="328" t="inlineStr">
        <is>
          <t>Total R$</t>
        </is>
      </c>
      <c r="E2" s="329" t="inlineStr">
        <is>
          <t>VU atualizado</t>
        </is>
      </c>
      <c r="F2" s="329" t="inlineStr">
        <is>
          <t>Qtd restante</t>
        </is>
      </c>
      <c r="G2" s="329" t="inlineStr">
        <is>
          <t>Total R$</t>
        </is>
      </c>
      <c r="H2" s="328" t="inlineStr">
        <is>
          <t>VU atualizado</t>
        </is>
      </c>
      <c r="I2" s="328" t="inlineStr">
        <is>
          <t>Qtd restante</t>
        </is>
      </c>
      <c r="J2" s="328" t="inlineStr">
        <is>
          <t>Total R$</t>
        </is>
      </c>
      <c r="K2" s="329" t="inlineStr">
        <is>
          <t>VU atualizado</t>
        </is>
      </c>
      <c r="L2" s="329" t="inlineStr">
        <is>
          <t>Qtd restante</t>
        </is>
      </c>
      <c r="M2" s="329" t="inlineStr">
        <is>
          <t>Total R$</t>
        </is>
      </c>
      <c r="N2" s="328" t="inlineStr">
        <is>
          <t>VU atualizado</t>
        </is>
      </c>
      <c r="O2" s="328" t="inlineStr">
        <is>
          <t>Qtd restante</t>
        </is>
      </c>
      <c r="P2" s="328" t="inlineStr">
        <is>
          <t>Total R$</t>
        </is>
      </c>
    </row>
    <row r="3">
      <c r="A3" s="330">
        <f>IF(itens_Remanesc!A2="","",itens_Remanesc!A2)</f>
        <v/>
      </c>
      <c r="B3" s="331">
        <f>IF(OR(itens_Remanesc!A2="",NOT(ISNUMBER(parametros!$G$2))),"",ROUND(itens_Remanesc!C2*parametros!$G$2,2))</f>
        <v/>
      </c>
      <c r="C3" s="332">
        <f>IF(itens_Remanesc!A2="","",itens_Remanesc!B2)</f>
        <v/>
      </c>
      <c r="D3" s="331">
        <f>IF(A3="","",ROUND(B3*C3,2))</f>
        <v/>
      </c>
      <c r="E3" s="333">
        <f>IF(OR(itens_Remanesc!A2="",NOT(ISNUMBER(parametros!$G$3))),"",ROUND(itens_Remanesc!C2*parametros!$G$3,2))</f>
        <v/>
      </c>
      <c r="F3" s="334">
        <f>IF(itens_Remanesc!A2="","",itens_Remanesc!E2)</f>
        <v/>
      </c>
      <c r="G3" s="333">
        <f>IF(OR(A3="",E3="",F3=""),"",ROUND(E3*F3,2))</f>
        <v/>
      </c>
      <c r="H3" s="331">
        <f>IF(OR(itens_Remanesc!A2="",NOT(ISNUMBER(parametros!$G$4))),"",ROUND(itens_Remanesc!C2*parametros!$G$4,2))</f>
        <v/>
      </c>
      <c r="I3" s="332">
        <f>IF(itens_Remanesc!A2="","",itens_Remanesc!G2)</f>
        <v/>
      </c>
      <c r="J3" s="335">
        <f>IF(OR(A3="",H3="",I3=""),"",ROUND(H3*I3,2))</f>
        <v/>
      </c>
      <c r="K3" s="333">
        <f>IF(OR(itens_Remanesc!A2="",NOT(ISNUMBER(parametros!$G$5))),"",ROUND(itens_Remanesc!C2*parametros!$G$5,2))</f>
        <v/>
      </c>
      <c r="L3" s="334">
        <f>IF(itens_Remanesc!A2="","",itens_Remanesc!I2)</f>
        <v/>
      </c>
      <c r="M3" s="336">
        <f>IF(OR(A3="",K3="",L3=""),"",ROUND(K3*L3,2))</f>
        <v/>
      </c>
      <c r="N3" s="331">
        <f>IF(OR(itens_Remanesc!A2="",NOT(ISNUMBER(parametros!$G$6))),"",ROUND(itens_Remanesc!C2*parametros!$G$6,2))</f>
        <v/>
      </c>
      <c r="O3" s="332">
        <f>IF(itens_Remanesc!A2="","",itens_Remanesc!K2)</f>
        <v/>
      </c>
      <c r="P3" s="335">
        <f>IF(OR(A3="",N3="",O3=""),"",ROUND(N3*O3,2))</f>
        <v/>
      </c>
    </row>
    <row r="4">
      <c r="A4" s="330">
        <f>IF(itens_Remanesc!A3="","",itens_Remanesc!A3)</f>
        <v/>
      </c>
      <c r="B4" s="331">
        <f>IF(OR(itens_Remanesc!A3="",NOT(ISNUMBER(parametros!$G$2))),"",ROUND(itens_Remanesc!C3*parametros!$G$2,2))</f>
        <v/>
      </c>
      <c r="C4" s="332">
        <f>IF(itens_Remanesc!A3="","",itens_Remanesc!B3)</f>
        <v/>
      </c>
      <c r="D4" s="331">
        <f>IF(A4="","",ROUND(B4*C4,2))</f>
        <v/>
      </c>
      <c r="E4" s="333">
        <f>IF(OR(itens_Remanesc!A3="",NOT(ISNUMBER(parametros!$G$3))),"",ROUND(itens_Remanesc!C3*parametros!$G$3,2))</f>
        <v/>
      </c>
      <c r="F4" s="334">
        <f>IF(itens_Remanesc!A3="","",itens_Remanesc!E3)</f>
        <v/>
      </c>
      <c r="G4" s="333">
        <f>IF(OR(A4="",E4="",F4=""),"",ROUND(E4*F4,2))</f>
        <v/>
      </c>
      <c r="H4" s="331">
        <f>IF(OR(itens_Remanesc!A3="",NOT(ISNUMBER(parametros!$G$4))),"",ROUND(itens_Remanesc!C3*parametros!$G$4,2))</f>
        <v/>
      </c>
      <c r="I4" s="332">
        <f>IF(itens_Remanesc!A3="","",itens_Remanesc!G3)</f>
        <v/>
      </c>
      <c r="J4" s="335">
        <f>IF(OR(A4="",H4="",I4=""),"",ROUND(H4*I4,2))</f>
        <v/>
      </c>
      <c r="K4" s="333">
        <f>IF(OR(itens_Remanesc!A3="",NOT(ISNUMBER(parametros!$G$5))),"",ROUND(itens_Remanesc!C3*parametros!$G$5,2))</f>
        <v/>
      </c>
      <c r="L4" s="334">
        <f>IF(itens_Remanesc!A3="","",itens_Remanesc!I3)</f>
        <v/>
      </c>
      <c r="M4" s="336">
        <f>IF(OR(A4="",K4="",L4=""),"",ROUND(K4*L4,2))</f>
        <v/>
      </c>
      <c r="N4" s="331">
        <f>IF(OR(itens_Remanesc!A3="",NOT(ISNUMBER(parametros!$G$6))),"",ROUND(itens_Remanesc!C3*parametros!$G$6,2))</f>
        <v/>
      </c>
      <c r="O4" s="332">
        <f>IF(itens_Remanesc!A3="","",itens_Remanesc!K3)</f>
        <v/>
      </c>
      <c r="P4" s="335">
        <f>IF(OR(A4="",N4="",O4=""),"",ROUND(N4*O4,2))</f>
        <v/>
      </c>
    </row>
    <row r="5">
      <c r="A5" s="330">
        <f>IF(itens_Remanesc!A4="","",itens_Remanesc!A4)</f>
        <v/>
      </c>
      <c r="B5" s="331">
        <f>IF(OR(itens_Remanesc!A4="",NOT(ISNUMBER(parametros!$G$2))),"",ROUND(itens_Remanesc!C4*parametros!$G$2,2))</f>
        <v/>
      </c>
      <c r="C5" s="332">
        <f>IF(itens_Remanesc!A4="","",itens_Remanesc!B4)</f>
        <v/>
      </c>
      <c r="D5" s="331">
        <f>IF(A5="","",ROUND(B5*C5,2))</f>
        <v/>
      </c>
      <c r="E5" s="333">
        <f>IF(OR(itens_Remanesc!A4="",NOT(ISNUMBER(parametros!$G$3))),"",ROUND(itens_Remanesc!C4*parametros!$G$3,2))</f>
        <v/>
      </c>
      <c r="F5" s="334">
        <f>IF(itens_Remanesc!A4="","",itens_Remanesc!E4)</f>
        <v/>
      </c>
      <c r="G5" s="333">
        <f>IF(OR(A5="",E5="",F5=""),"",ROUND(E5*F5,2))</f>
        <v/>
      </c>
      <c r="H5" s="331">
        <f>IF(OR(itens_Remanesc!A4="",NOT(ISNUMBER(parametros!$G$4))),"",ROUND(itens_Remanesc!C4*parametros!$G$4,2))</f>
        <v/>
      </c>
      <c r="I5" s="332">
        <f>IF(itens_Remanesc!A4="","",itens_Remanesc!G4)</f>
        <v/>
      </c>
      <c r="J5" s="335">
        <f>IF(OR(A5="",H5="",I5=""),"",ROUND(H5*I5,2))</f>
        <v/>
      </c>
      <c r="K5" s="333">
        <f>IF(OR(itens_Remanesc!A4="",NOT(ISNUMBER(parametros!$G$5))),"",ROUND(itens_Remanesc!C4*parametros!$G$5,2))</f>
        <v/>
      </c>
      <c r="L5" s="334">
        <f>IF(itens_Remanesc!A4="","",itens_Remanesc!I4)</f>
        <v/>
      </c>
      <c r="M5" s="336">
        <f>IF(OR(A5="",K5="",L5=""),"",ROUND(K5*L5,2))</f>
        <v/>
      </c>
      <c r="N5" s="331">
        <f>IF(OR(itens_Remanesc!A4="",NOT(ISNUMBER(parametros!$G$6))),"",ROUND(itens_Remanesc!C4*parametros!$G$6,2))</f>
        <v/>
      </c>
      <c r="O5" s="332">
        <f>IF(itens_Remanesc!A4="","",itens_Remanesc!K4)</f>
        <v/>
      </c>
      <c r="P5" s="335">
        <f>IF(OR(A5="",N5="",O5=""),"",ROUND(N5*O5,2))</f>
        <v/>
      </c>
    </row>
    <row r="6">
      <c r="A6" s="330">
        <f>IF(itens_Remanesc!A5="","",itens_Remanesc!A5)</f>
        <v/>
      </c>
      <c r="B6" s="331">
        <f>IF(OR(itens_Remanesc!A5="",NOT(ISNUMBER(parametros!$G$2))),"",ROUND(itens_Remanesc!C5*parametros!$G$2,2))</f>
        <v/>
      </c>
      <c r="C6" s="332">
        <f>IF(itens_Remanesc!A5="","",itens_Remanesc!B5)</f>
        <v/>
      </c>
      <c r="D6" s="331">
        <f>IF(A6="","",ROUND(B6*C6,2))</f>
        <v/>
      </c>
      <c r="E6" s="333">
        <f>IF(OR(itens_Remanesc!A5="",NOT(ISNUMBER(parametros!$G$3))),"",ROUND(itens_Remanesc!C5*parametros!$G$3,2))</f>
        <v/>
      </c>
      <c r="F6" s="334">
        <f>IF(itens_Remanesc!A5="","",itens_Remanesc!E5)</f>
        <v/>
      </c>
      <c r="G6" s="333">
        <f>IF(OR(A6="",E6="",F6=""),"",ROUND(E6*F6,2))</f>
        <v/>
      </c>
      <c r="H6" s="331">
        <f>IF(OR(itens_Remanesc!A5="",NOT(ISNUMBER(parametros!$G$4))),"",ROUND(itens_Remanesc!C5*parametros!$G$4,2))</f>
        <v/>
      </c>
      <c r="I6" s="332">
        <f>IF(itens_Remanesc!A5="","",itens_Remanesc!G5)</f>
        <v/>
      </c>
      <c r="J6" s="335">
        <f>IF(OR(A6="",H6="",I6=""),"",ROUND(H6*I6,2))</f>
        <v/>
      </c>
      <c r="K6" s="333">
        <f>IF(OR(itens_Remanesc!A5="",NOT(ISNUMBER(parametros!$G$5))),"",ROUND(itens_Remanesc!C5*parametros!$G$5,2))</f>
        <v/>
      </c>
      <c r="L6" s="334">
        <f>IF(itens_Remanesc!A5="","",itens_Remanesc!I5)</f>
        <v/>
      </c>
      <c r="M6" s="336">
        <f>IF(OR(A6="",K6="",L6=""),"",ROUND(K6*L6,2))</f>
        <v/>
      </c>
      <c r="N6" s="331">
        <f>IF(OR(itens_Remanesc!A5="",NOT(ISNUMBER(parametros!$G$6))),"",ROUND(itens_Remanesc!C5*parametros!$G$6,2))</f>
        <v/>
      </c>
      <c r="O6" s="332">
        <f>IF(itens_Remanesc!A5="","",itens_Remanesc!K5)</f>
        <v/>
      </c>
      <c r="P6" s="335">
        <f>IF(OR(A6="",N6="",O6=""),"",ROUND(N6*O6,2))</f>
        <v/>
      </c>
    </row>
    <row r="7">
      <c r="A7" s="330">
        <f>IF(itens_Remanesc!A6="","",itens_Remanesc!A6)</f>
        <v/>
      </c>
      <c r="B7" s="331">
        <f>IF(OR(itens_Remanesc!A6="",NOT(ISNUMBER(parametros!$G$2))),"",ROUND(itens_Remanesc!C6*parametros!$G$2,2))</f>
        <v/>
      </c>
      <c r="C7" s="332">
        <f>IF(itens_Remanesc!A6="","",itens_Remanesc!B6)</f>
        <v/>
      </c>
      <c r="D7" s="331">
        <f>IF(A7="","",ROUND(B7*C7,2))</f>
        <v/>
      </c>
      <c r="E7" s="333">
        <f>IF(OR(itens_Remanesc!A6="",NOT(ISNUMBER(parametros!$G$3))),"",ROUND(itens_Remanesc!C6*parametros!$G$3,2))</f>
        <v/>
      </c>
      <c r="F7" s="334">
        <f>IF(itens_Remanesc!A6="","",itens_Remanesc!E6)</f>
        <v/>
      </c>
      <c r="G7" s="333">
        <f>IF(OR(A7="",E7="",F7=""),"",ROUND(E7*F7,2))</f>
        <v/>
      </c>
      <c r="H7" s="331">
        <f>IF(OR(itens_Remanesc!A6="",NOT(ISNUMBER(parametros!$G$4))),"",ROUND(itens_Remanesc!C6*parametros!$G$4,2))</f>
        <v/>
      </c>
      <c r="I7" s="332">
        <f>IF(itens_Remanesc!A6="","",itens_Remanesc!G6)</f>
        <v/>
      </c>
      <c r="J7" s="335">
        <f>IF(OR(A7="",H7="",I7=""),"",ROUND(H7*I7,2))</f>
        <v/>
      </c>
      <c r="K7" s="333">
        <f>IF(OR(itens_Remanesc!A6="",NOT(ISNUMBER(parametros!$G$5))),"",ROUND(itens_Remanesc!C6*parametros!$G$5,2))</f>
        <v/>
      </c>
      <c r="L7" s="334">
        <f>IF(itens_Remanesc!A6="","",itens_Remanesc!I6)</f>
        <v/>
      </c>
      <c r="M7" s="336">
        <f>IF(OR(A7="",K7="",L7=""),"",ROUND(K7*L7,2))</f>
        <v/>
      </c>
      <c r="N7" s="331">
        <f>IF(OR(itens_Remanesc!A6="",NOT(ISNUMBER(parametros!$G$6))),"",ROUND(itens_Remanesc!C6*parametros!$G$6,2))</f>
        <v/>
      </c>
      <c r="O7" s="332">
        <f>IF(itens_Remanesc!A6="","",itens_Remanesc!K6)</f>
        <v/>
      </c>
      <c r="P7" s="335">
        <f>IF(OR(A7="",N7="",O7=""),"",ROUND(N7*O7,2))</f>
        <v/>
      </c>
    </row>
    <row r="8">
      <c r="A8" s="330">
        <f>IF(itens_Remanesc!A7="","",itens_Remanesc!A7)</f>
        <v/>
      </c>
      <c r="B8" s="331">
        <f>IF(OR(itens_Remanesc!A7="",NOT(ISNUMBER(parametros!$G$2))),"",ROUND(itens_Remanesc!C7*parametros!$G$2,2))</f>
        <v/>
      </c>
      <c r="C8" s="332">
        <f>IF(itens_Remanesc!A7="","",itens_Remanesc!B7)</f>
        <v/>
      </c>
      <c r="D8" s="331">
        <f>IF(A8="","",ROUND(B8*C8,2))</f>
        <v/>
      </c>
      <c r="E8" s="333">
        <f>IF(OR(itens_Remanesc!A7="",NOT(ISNUMBER(parametros!$G$3))),"",ROUND(itens_Remanesc!C7*parametros!$G$3,2))</f>
        <v/>
      </c>
      <c r="F8" s="334">
        <f>IF(itens_Remanesc!A7="","",itens_Remanesc!E7)</f>
        <v/>
      </c>
      <c r="G8" s="333">
        <f>IF(OR(A8="",E8="",F8=""),"",ROUND(E8*F8,2))</f>
        <v/>
      </c>
      <c r="H8" s="331">
        <f>IF(OR(itens_Remanesc!A7="",NOT(ISNUMBER(parametros!$G$4))),"",ROUND(itens_Remanesc!C7*parametros!$G$4,2))</f>
        <v/>
      </c>
      <c r="I8" s="332">
        <f>IF(itens_Remanesc!A7="","",itens_Remanesc!G7)</f>
        <v/>
      </c>
      <c r="J8" s="335">
        <f>IF(OR(A8="",H8="",I8=""),"",ROUND(H8*I8,2))</f>
        <v/>
      </c>
      <c r="K8" s="333">
        <f>IF(OR(itens_Remanesc!A7="",NOT(ISNUMBER(parametros!$G$5))),"",ROUND(itens_Remanesc!C7*parametros!$G$5,2))</f>
        <v/>
      </c>
      <c r="L8" s="334">
        <f>IF(itens_Remanesc!A7="","",itens_Remanesc!I7)</f>
        <v/>
      </c>
      <c r="M8" s="336">
        <f>IF(OR(A8="",K8="",L8=""),"",ROUND(K8*L8,2))</f>
        <v/>
      </c>
      <c r="N8" s="331">
        <f>IF(OR(itens_Remanesc!A7="",NOT(ISNUMBER(parametros!$G$6))),"",ROUND(itens_Remanesc!C7*parametros!$G$6,2))</f>
        <v/>
      </c>
      <c r="O8" s="332">
        <f>IF(itens_Remanesc!A7="","",itens_Remanesc!K7)</f>
        <v/>
      </c>
      <c r="P8" s="335">
        <f>IF(OR(A8="",N8="",O8=""),"",ROUND(N8*O8,2))</f>
        <v/>
      </c>
    </row>
    <row r="9">
      <c r="A9" s="330">
        <f>IF(itens_Remanesc!A8="","",itens_Remanesc!A8)</f>
        <v/>
      </c>
      <c r="B9" s="331">
        <f>IF(OR(itens_Remanesc!A8="",NOT(ISNUMBER(parametros!$G$2))),"",ROUND(itens_Remanesc!C8*parametros!$G$2,2))</f>
        <v/>
      </c>
      <c r="C9" s="332">
        <f>IF(itens_Remanesc!A8="","",itens_Remanesc!B8)</f>
        <v/>
      </c>
      <c r="D9" s="331">
        <f>IF(A9="","",ROUND(B9*C9,2))</f>
        <v/>
      </c>
      <c r="E9" s="333">
        <f>IF(OR(itens_Remanesc!A8="",NOT(ISNUMBER(parametros!$G$3))),"",ROUND(itens_Remanesc!C8*parametros!$G$3,2))</f>
        <v/>
      </c>
      <c r="F9" s="334">
        <f>IF(itens_Remanesc!A8="","",itens_Remanesc!E8)</f>
        <v/>
      </c>
      <c r="G9" s="333">
        <f>IF(OR(A9="",E9="",F9=""),"",ROUND(E9*F9,2))</f>
        <v/>
      </c>
      <c r="H9" s="331">
        <f>IF(OR(itens_Remanesc!A8="",NOT(ISNUMBER(parametros!$G$4))),"",ROUND(itens_Remanesc!C8*parametros!$G$4,2))</f>
        <v/>
      </c>
      <c r="I9" s="332">
        <f>IF(itens_Remanesc!A8="","",itens_Remanesc!G8)</f>
        <v/>
      </c>
      <c r="J9" s="335">
        <f>IF(OR(A9="",H9="",I9=""),"",ROUND(H9*I9,2))</f>
        <v/>
      </c>
      <c r="K9" s="333">
        <f>IF(OR(itens_Remanesc!A8="",NOT(ISNUMBER(parametros!$G$5))),"",ROUND(itens_Remanesc!C8*parametros!$G$5,2))</f>
        <v/>
      </c>
      <c r="L9" s="334">
        <f>IF(itens_Remanesc!A8="","",itens_Remanesc!I8)</f>
        <v/>
      </c>
      <c r="M9" s="336">
        <f>IF(OR(A9="",K9="",L9=""),"",ROUND(K9*L9,2))</f>
        <v/>
      </c>
      <c r="N9" s="331">
        <f>IF(OR(itens_Remanesc!A8="",NOT(ISNUMBER(parametros!$G$6))),"",ROUND(itens_Remanesc!C8*parametros!$G$6,2))</f>
        <v/>
      </c>
      <c r="O9" s="332">
        <f>IF(itens_Remanesc!A8="","",itens_Remanesc!K8)</f>
        <v/>
      </c>
      <c r="P9" s="335">
        <f>IF(OR(A9="",N9="",O9=""),"",ROUND(N9*O9,2))</f>
        <v/>
      </c>
    </row>
    <row r="10">
      <c r="A10" s="330">
        <f>IF(itens_Remanesc!A9="","",itens_Remanesc!A9)</f>
        <v/>
      </c>
      <c r="B10" s="331">
        <f>IF(OR(itens_Remanesc!A9="",NOT(ISNUMBER(parametros!$G$2))),"",ROUND(itens_Remanesc!C9*parametros!$G$2,2))</f>
        <v/>
      </c>
      <c r="C10" s="332">
        <f>IF(itens_Remanesc!A9="","",itens_Remanesc!B9)</f>
        <v/>
      </c>
      <c r="D10" s="331">
        <f>IF(A10="","",ROUND(B10*C10,2))</f>
        <v/>
      </c>
      <c r="E10" s="333">
        <f>IF(OR(itens_Remanesc!A9="",NOT(ISNUMBER(parametros!$G$3))),"",ROUND(itens_Remanesc!C9*parametros!$G$3,2))</f>
        <v/>
      </c>
      <c r="F10" s="334">
        <f>IF(itens_Remanesc!A9="","",itens_Remanesc!E9)</f>
        <v/>
      </c>
      <c r="G10" s="333">
        <f>IF(OR(A10="",E10="",F10=""),"",ROUND(E10*F10,2))</f>
        <v/>
      </c>
      <c r="H10" s="331">
        <f>IF(OR(itens_Remanesc!A9="",NOT(ISNUMBER(parametros!$G$4))),"",ROUND(itens_Remanesc!C9*parametros!$G$4,2))</f>
        <v/>
      </c>
      <c r="I10" s="332">
        <f>IF(itens_Remanesc!A9="","",itens_Remanesc!G9)</f>
        <v/>
      </c>
      <c r="J10" s="335">
        <f>IF(OR(A10="",H10="",I10=""),"",ROUND(H10*I10,2))</f>
        <v/>
      </c>
      <c r="K10" s="333">
        <f>IF(OR(itens_Remanesc!A9="",NOT(ISNUMBER(parametros!$G$5))),"",ROUND(itens_Remanesc!C9*parametros!$G$5,2))</f>
        <v/>
      </c>
      <c r="L10" s="334">
        <f>IF(itens_Remanesc!A9="","",itens_Remanesc!I9)</f>
        <v/>
      </c>
      <c r="M10" s="336">
        <f>IF(OR(A10="",K10="",L10=""),"",ROUND(K10*L10,2))</f>
        <v/>
      </c>
      <c r="N10" s="331">
        <f>IF(OR(itens_Remanesc!A9="",NOT(ISNUMBER(parametros!$G$6))),"",ROUND(itens_Remanesc!C9*parametros!$G$6,2))</f>
        <v/>
      </c>
      <c r="O10" s="332">
        <f>IF(itens_Remanesc!A9="","",itens_Remanesc!K9)</f>
        <v/>
      </c>
      <c r="P10" s="335">
        <f>IF(OR(A10="",N10="",O10=""),"",ROUND(N10*O10,2))</f>
        <v/>
      </c>
    </row>
    <row r="11">
      <c r="A11" s="330">
        <f>IF(itens_Remanesc!A10="","",itens_Remanesc!A10)</f>
        <v/>
      </c>
      <c r="B11" s="331">
        <f>IF(OR(itens_Remanesc!A10="",NOT(ISNUMBER(parametros!$G$2))),"",ROUND(itens_Remanesc!C10*parametros!$G$2,2))</f>
        <v/>
      </c>
      <c r="C11" s="332">
        <f>IF(itens_Remanesc!A10="","",itens_Remanesc!B10)</f>
        <v/>
      </c>
      <c r="D11" s="331">
        <f>IF(A11="","",ROUND(B11*C11,2))</f>
        <v/>
      </c>
      <c r="E11" s="333">
        <f>IF(OR(itens_Remanesc!A10="",NOT(ISNUMBER(parametros!$G$3))),"",ROUND(itens_Remanesc!C10*parametros!$G$3,2))</f>
        <v/>
      </c>
      <c r="F11" s="334">
        <f>IF(itens_Remanesc!A10="","",itens_Remanesc!E10)</f>
        <v/>
      </c>
      <c r="G11" s="333">
        <f>IF(OR(A11="",E11="",F11=""),"",ROUND(E11*F11,2))</f>
        <v/>
      </c>
      <c r="H11" s="331">
        <f>IF(OR(itens_Remanesc!A10="",NOT(ISNUMBER(parametros!$G$4))),"",ROUND(itens_Remanesc!C10*parametros!$G$4,2))</f>
        <v/>
      </c>
      <c r="I11" s="332">
        <f>IF(itens_Remanesc!A10="","",itens_Remanesc!G10)</f>
        <v/>
      </c>
      <c r="J11" s="335">
        <f>IF(OR(A11="",H11="",I11=""),"",ROUND(H11*I11,2))</f>
        <v/>
      </c>
      <c r="K11" s="333">
        <f>IF(OR(itens_Remanesc!A10="",NOT(ISNUMBER(parametros!$G$5))),"",ROUND(itens_Remanesc!C10*parametros!$G$5,2))</f>
        <v/>
      </c>
      <c r="L11" s="334">
        <f>IF(itens_Remanesc!A10="","",itens_Remanesc!I10)</f>
        <v/>
      </c>
      <c r="M11" s="336">
        <f>IF(OR(A11="",K11="",L11=""),"",ROUND(K11*L11,2))</f>
        <v/>
      </c>
      <c r="N11" s="331">
        <f>IF(OR(itens_Remanesc!A10="",NOT(ISNUMBER(parametros!$G$6))),"",ROUND(itens_Remanesc!C10*parametros!$G$6,2))</f>
        <v/>
      </c>
      <c r="O11" s="332">
        <f>IF(itens_Remanesc!A10="","",itens_Remanesc!K10)</f>
        <v/>
      </c>
      <c r="P11" s="335">
        <f>IF(OR(A11="",N11="",O11=""),"",ROUND(N11*O11,2))</f>
        <v/>
      </c>
    </row>
    <row r="12">
      <c r="A12" s="330">
        <f>IF(itens_Remanesc!A11="","",itens_Remanesc!A11)</f>
        <v/>
      </c>
      <c r="B12" s="331">
        <f>IF(OR(itens_Remanesc!A11="",NOT(ISNUMBER(parametros!$G$2))),"",ROUND(itens_Remanesc!C11*parametros!$G$2,2))</f>
        <v/>
      </c>
      <c r="C12" s="332">
        <f>IF(itens_Remanesc!A11="","",itens_Remanesc!B11)</f>
        <v/>
      </c>
      <c r="D12" s="331">
        <f>IF(A12="","",ROUND(B12*C12,2))</f>
        <v/>
      </c>
      <c r="E12" s="333">
        <f>IF(OR(itens_Remanesc!A11="",NOT(ISNUMBER(parametros!$G$3))),"",ROUND(itens_Remanesc!C11*parametros!$G$3,2))</f>
        <v/>
      </c>
      <c r="F12" s="334">
        <f>IF(itens_Remanesc!A11="","",itens_Remanesc!E11)</f>
        <v/>
      </c>
      <c r="G12" s="333">
        <f>IF(OR(A12="",E12="",F12=""),"",ROUND(E12*F12,2))</f>
        <v/>
      </c>
      <c r="H12" s="331">
        <f>IF(OR(itens_Remanesc!A11="",NOT(ISNUMBER(parametros!$G$4))),"",ROUND(itens_Remanesc!C11*parametros!$G$4,2))</f>
        <v/>
      </c>
      <c r="I12" s="332">
        <f>IF(itens_Remanesc!A11="","",itens_Remanesc!G11)</f>
        <v/>
      </c>
      <c r="J12" s="335">
        <f>IF(OR(A12="",H12="",I12=""),"",ROUND(H12*I12,2))</f>
        <v/>
      </c>
      <c r="K12" s="333">
        <f>IF(OR(itens_Remanesc!A11="",NOT(ISNUMBER(parametros!$G$5))),"",ROUND(itens_Remanesc!C11*parametros!$G$5,2))</f>
        <v/>
      </c>
      <c r="L12" s="334">
        <f>IF(itens_Remanesc!A11="","",itens_Remanesc!I11)</f>
        <v/>
      </c>
      <c r="M12" s="333">
        <f>IF(OR(A12="",K12="",L12=""),"",ROUND(K12*L12,2))</f>
        <v/>
      </c>
      <c r="N12" s="331">
        <f>IF(OR(itens_Remanesc!A11="",NOT(ISNUMBER(parametros!$G$6))),"",ROUND(itens_Remanesc!C11*parametros!$G$6,2))</f>
        <v/>
      </c>
      <c r="O12" s="332">
        <f>IF(itens_Remanesc!A11="","",itens_Remanesc!K11)</f>
        <v/>
      </c>
      <c r="P12" s="335">
        <f>IF(OR(A12="",N12="",O12=""),"",ROUND(N12*O12,2))</f>
        <v/>
      </c>
    </row>
    <row r="13">
      <c r="A13" s="330">
        <f>IF(itens_Remanesc!A12="","",itens_Remanesc!A12)</f>
        <v/>
      </c>
      <c r="B13" s="331">
        <f>IF(OR(itens_Remanesc!A12="",NOT(ISNUMBER(parametros!$G$2))),"",ROUND(itens_Remanesc!C12*parametros!$G$2,2))</f>
        <v/>
      </c>
      <c r="C13" s="332">
        <f>IF(itens_Remanesc!A12="","",itens_Remanesc!B12)</f>
        <v/>
      </c>
      <c r="D13" s="331">
        <f>IF(A13="","",ROUND(B13*C13,2))</f>
        <v/>
      </c>
      <c r="E13" s="333">
        <f>IF(OR(itens_Remanesc!A12="",NOT(ISNUMBER(parametros!$G$3))),"",ROUND(itens_Remanesc!C12*parametros!$G$3,2))</f>
        <v/>
      </c>
      <c r="F13" s="334">
        <f>IF(itens_Remanesc!A12="","",itens_Remanesc!E12)</f>
        <v/>
      </c>
      <c r="G13" s="333">
        <f>IF(OR(A13="",E13="",F13=""),"",ROUND(E13*F13,2))</f>
        <v/>
      </c>
      <c r="H13" s="331">
        <f>IF(OR(itens_Remanesc!A12="",NOT(ISNUMBER(parametros!$G$4))),"",ROUND(itens_Remanesc!C12*parametros!$G$4,2))</f>
        <v/>
      </c>
      <c r="I13" s="332">
        <f>IF(itens_Remanesc!A12="","",itens_Remanesc!G12)</f>
        <v/>
      </c>
      <c r="J13" s="331">
        <f>IF(OR(A13="",H13="",I13=""),"",ROUND(H13*I13,2))</f>
        <v/>
      </c>
      <c r="K13" s="333">
        <f>IF(OR(itens_Remanesc!A12="",NOT(ISNUMBER(parametros!$G$5))),"",ROUND(itens_Remanesc!C12*parametros!$G$5,2))</f>
        <v/>
      </c>
      <c r="L13" s="334">
        <f>IF(itens_Remanesc!A12="","",itens_Remanesc!I12)</f>
        <v/>
      </c>
      <c r="M13" s="333">
        <f>IF(OR(A13="",K13="",L13=""),"",ROUND(K13*L13,2))</f>
        <v/>
      </c>
      <c r="N13" s="331">
        <f>IF(OR(itens_Remanesc!A12="",NOT(ISNUMBER(parametros!$G$6))),"",ROUND(itens_Remanesc!C12*parametros!$G$6,2))</f>
        <v/>
      </c>
      <c r="O13" s="332">
        <f>IF(itens_Remanesc!A12="","",itens_Remanesc!K12)</f>
        <v/>
      </c>
      <c r="P13" s="331">
        <f>IF(OR(A13="",N13="",O13=""),"",ROUND(N13*O13,2))</f>
        <v/>
      </c>
    </row>
    <row r="14">
      <c r="A14" s="330">
        <f>IF(itens_Remanesc!A13="","",itens_Remanesc!A13)</f>
        <v/>
      </c>
      <c r="B14" s="331">
        <f>IF(OR(itens_Remanesc!A13="",NOT(ISNUMBER(parametros!$G$2))),"",ROUND(itens_Remanesc!C13*parametros!$G$2,2))</f>
        <v/>
      </c>
      <c r="C14" s="332">
        <f>IF(itens_Remanesc!A13="","",itens_Remanesc!B13)</f>
        <v/>
      </c>
      <c r="D14" s="331">
        <f>IF(A14="","",ROUND(B14*C14,2))</f>
        <v/>
      </c>
      <c r="E14" s="333">
        <f>IF(OR(itens_Remanesc!A13="",NOT(ISNUMBER(parametros!$G$3))),"",ROUND(itens_Remanesc!C13*parametros!$G$3,2))</f>
        <v/>
      </c>
      <c r="F14" s="334">
        <f>IF(itens_Remanesc!A13="","",itens_Remanesc!E13)</f>
        <v/>
      </c>
      <c r="G14" s="333">
        <f>IF(OR(A14="",E14="",F14=""),"",ROUND(E14*F14,2))</f>
        <v/>
      </c>
      <c r="H14" s="331">
        <f>IF(OR(itens_Remanesc!A13="",NOT(ISNUMBER(parametros!$G$4))),"",ROUND(itens_Remanesc!C13*parametros!$G$4,2))</f>
        <v/>
      </c>
      <c r="I14" s="332">
        <f>IF(itens_Remanesc!A13="","",itens_Remanesc!G13)</f>
        <v/>
      </c>
      <c r="J14" s="331">
        <f>IF(OR(A14="",H14="",I14=""),"",ROUND(H14*I14,2))</f>
        <v/>
      </c>
      <c r="K14" s="333">
        <f>IF(OR(itens_Remanesc!A13="",NOT(ISNUMBER(parametros!$G$5))),"",ROUND(itens_Remanesc!C13*parametros!$G$5,2))</f>
        <v/>
      </c>
      <c r="L14" s="334">
        <f>IF(itens_Remanesc!A13="","",itens_Remanesc!I13)</f>
        <v/>
      </c>
      <c r="M14" s="333">
        <f>IF(OR(A14="",K14="",L14=""),"",ROUND(K14*L14,2))</f>
        <v/>
      </c>
      <c r="N14" s="331">
        <f>IF(OR(itens_Remanesc!A13="",NOT(ISNUMBER(parametros!$G$6))),"",ROUND(itens_Remanesc!C13*parametros!$G$6,2))</f>
        <v/>
      </c>
      <c r="O14" s="332">
        <f>IF(itens_Remanesc!A13="","",itens_Remanesc!K13)</f>
        <v/>
      </c>
      <c r="P14" s="331">
        <f>IF(OR(A14="",N14="",O14=""),"",ROUND(N14*O14,2))</f>
        <v/>
      </c>
    </row>
    <row r="15">
      <c r="A15" s="330">
        <f>IF(itens_Remanesc!A14="","",itens_Remanesc!A14)</f>
        <v/>
      </c>
      <c r="B15" s="331">
        <f>IF(OR(itens_Remanesc!A14="",NOT(ISNUMBER(parametros!$G$2))),"",ROUND(itens_Remanesc!C14*parametros!$G$2,2))</f>
        <v/>
      </c>
      <c r="C15" s="332">
        <f>IF(itens_Remanesc!A14="","",itens_Remanesc!B14)</f>
        <v/>
      </c>
      <c r="D15" s="331">
        <f>IF(A15="","",ROUND(B15*C15,2))</f>
        <v/>
      </c>
      <c r="E15" s="333">
        <f>IF(OR(itens_Remanesc!A14="",NOT(ISNUMBER(parametros!$G$3))),"",ROUND(itens_Remanesc!C14*parametros!$G$3,2))</f>
        <v/>
      </c>
      <c r="F15" s="334">
        <f>IF(itens_Remanesc!A14="","",itens_Remanesc!E14)</f>
        <v/>
      </c>
      <c r="G15" s="333">
        <f>IF(OR(A15="",E15="",F15=""),"",ROUND(E15*F15,2))</f>
        <v/>
      </c>
      <c r="H15" s="331">
        <f>IF(OR(itens_Remanesc!A14="",NOT(ISNUMBER(parametros!$G$4))),"",ROUND(itens_Remanesc!C14*parametros!$G$4,2))</f>
        <v/>
      </c>
      <c r="I15" s="332">
        <f>IF(itens_Remanesc!A14="","",itens_Remanesc!G14)</f>
        <v/>
      </c>
      <c r="J15" s="331">
        <f>IF(OR(A15="",H15="",I15=""),"",ROUND(H15*I15,2))</f>
        <v/>
      </c>
      <c r="K15" s="333">
        <f>IF(OR(itens_Remanesc!A14="",NOT(ISNUMBER(parametros!$G$5))),"",ROUND(itens_Remanesc!C14*parametros!$G$5,2))</f>
        <v/>
      </c>
      <c r="L15" s="334">
        <f>IF(itens_Remanesc!A14="","",itens_Remanesc!I14)</f>
        <v/>
      </c>
      <c r="M15" s="333">
        <f>IF(OR(A15="",K15="",L15=""),"",ROUND(K15*L15,2))</f>
        <v/>
      </c>
      <c r="N15" s="331">
        <f>IF(OR(itens_Remanesc!A14="",NOT(ISNUMBER(parametros!$G$6))),"",ROUND(itens_Remanesc!C14*parametros!$G$6,2))</f>
        <v/>
      </c>
      <c r="O15" s="332">
        <f>IF(itens_Remanesc!A14="","",itens_Remanesc!K14)</f>
        <v/>
      </c>
      <c r="P15" s="331">
        <f>IF(OR(A15="",N15="",O15=""),"",ROUND(N15*O15,2))</f>
        <v/>
      </c>
    </row>
    <row r="16">
      <c r="A16" s="330">
        <f>IF(itens_Remanesc!A15="","",itens_Remanesc!A15)</f>
        <v/>
      </c>
      <c r="B16" s="331">
        <f>IF(OR(itens_Remanesc!A15="",NOT(ISNUMBER(parametros!$G$2))),"",ROUND(itens_Remanesc!C15*parametros!$G$2,2))</f>
        <v/>
      </c>
      <c r="C16" s="332">
        <f>IF(itens_Remanesc!A15="","",itens_Remanesc!B15)</f>
        <v/>
      </c>
      <c r="D16" s="331">
        <f>IF(A16="","",ROUND(B16*C16,2))</f>
        <v/>
      </c>
      <c r="E16" s="333">
        <f>IF(OR(itens_Remanesc!A15="",NOT(ISNUMBER(parametros!$G$3))),"",ROUND(itens_Remanesc!C15*parametros!$G$3,2))</f>
        <v/>
      </c>
      <c r="F16" s="334">
        <f>IF(itens_Remanesc!A15="","",itens_Remanesc!E15)</f>
        <v/>
      </c>
      <c r="G16" s="333">
        <f>IF(OR(A16="",E16="",F16=""),"",ROUND(E16*F16,2))</f>
        <v/>
      </c>
      <c r="H16" s="331">
        <f>IF(OR(itens_Remanesc!A15="",NOT(ISNUMBER(parametros!$G$4))),"",ROUND(itens_Remanesc!C15*parametros!$G$4,2))</f>
        <v/>
      </c>
      <c r="I16" s="332">
        <f>IF(itens_Remanesc!A15="","",itens_Remanesc!G15)</f>
        <v/>
      </c>
      <c r="J16" s="331">
        <f>IF(OR(A16="",H16="",I16=""),"",ROUND(H16*I16,2))</f>
        <v/>
      </c>
      <c r="K16" s="333">
        <f>IF(OR(itens_Remanesc!A15="",NOT(ISNUMBER(parametros!$G$5))),"",ROUND(itens_Remanesc!C15*parametros!$G$5,2))</f>
        <v/>
      </c>
      <c r="L16" s="334">
        <f>IF(itens_Remanesc!A15="","",itens_Remanesc!I15)</f>
        <v/>
      </c>
      <c r="M16" s="333">
        <f>IF(OR(A16="",K16="",L16=""),"",ROUND(K16*L16,2))</f>
        <v/>
      </c>
      <c r="N16" s="331">
        <f>IF(OR(itens_Remanesc!A15="",NOT(ISNUMBER(parametros!$G$6))),"",ROUND(itens_Remanesc!C15*parametros!$G$6,2))</f>
        <v/>
      </c>
      <c r="O16" s="332">
        <f>IF(itens_Remanesc!A15="","",itens_Remanesc!K15)</f>
        <v/>
      </c>
      <c r="P16" s="331">
        <f>IF(OR(A16="",N16="",O16=""),"",ROUND(N16*O16,2))</f>
        <v/>
      </c>
    </row>
    <row r="17">
      <c r="A17" s="330">
        <f>IF(itens_Remanesc!A16="","",itens_Remanesc!A16)</f>
        <v/>
      </c>
      <c r="B17" s="331">
        <f>IF(OR(itens_Remanesc!A16="",NOT(ISNUMBER(parametros!$G$2))),"",ROUND(itens_Remanesc!C16*parametros!$G$2,2))</f>
        <v/>
      </c>
      <c r="C17" s="332">
        <f>IF(itens_Remanesc!A16="","",itens_Remanesc!B16)</f>
        <v/>
      </c>
      <c r="D17" s="331">
        <f>IF(A17="","",ROUND(B17*C17,2))</f>
        <v/>
      </c>
      <c r="E17" s="333">
        <f>IF(OR(itens_Remanesc!A16="",NOT(ISNUMBER(parametros!$G$3))),"",ROUND(itens_Remanesc!C16*parametros!$G$3,2))</f>
        <v/>
      </c>
      <c r="F17" s="334">
        <f>IF(itens_Remanesc!A16="","",itens_Remanesc!E16)</f>
        <v/>
      </c>
      <c r="G17" s="333">
        <f>IF(OR(A17="",E17="",F17=""),"",ROUND(E17*F17,2))</f>
        <v/>
      </c>
      <c r="H17" s="331">
        <f>IF(OR(itens_Remanesc!A16="",NOT(ISNUMBER(parametros!$G$4))),"",ROUND(itens_Remanesc!C16*parametros!$G$4,2))</f>
        <v/>
      </c>
      <c r="I17" s="332">
        <f>IF(itens_Remanesc!A16="","",itens_Remanesc!G16)</f>
        <v/>
      </c>
      <c r="J17" s="331">
        <f>IF(OR(A17="",H17="",I17=""),"",ROUND(H17*I17,2))</f>
        <v/>
      </c>
      <c r="K17" s="333">
        <f>IF(OR(itens_Remanesc!A16="",NOT(ISNUMBER(parametros!$G$5))),"",ROUND(itens_Remanesc!C16*parametros!$G$5,2))</f>
        <v/>
      </c>
      <c r="L17" s="334">
        <f>IF(itens_Remanesc!A16="","",itens_Remanesc!I16)</f>
        <v/>
      </c>
      <c r="M17" s="333">
        <f>IF(OR(A17="",K17="",L17=""),"",ROUND(K17*L17,2))</f>
        <v/>
      </c>
      <c r="N17" s="331">
        <f>IF(OR(itens_Remanesc!A16="",NOT(ISNUMBER(parametros!$G$6))),"",ROUND(itens_Remanesc!C16*parametros!$G$6,2))</f>
        <v/>
      </c>
      <c r="O17" s="332">
        <f>IF(itens_Remanesc!A16="","",itens_Remanesc!K16)</f>
        <v/>
      </c>
      <c r="P17" s="331">
        <f>IF(OR(A17="",N17="",O17=""),"",ROUND(N17*O17,2))</f>
        <v/>
      </c>
    </row>
    <row r="18">
      <c r="A18" s="330">
        <f>IF(itens_Remanesc!A17="","",itens_Remanesc!A17)</f>
        <v/>
      </c>
      <c r="B18" s="331">
        <f>IF(OR(itens_Remanesc!A17="",NOT(ISNUMBER(parametros!$G$2))),"",ROUND(itens_Remanesc!C17*parametros!$G$2,2))</f>
        <v/>
      </c>
      <c r="C18" s="332">
        <f>IF(itens_Remanesc!A17="","",itens_Remanesc!B17)</f>
        <v/>
      </c>
      <c r="D18" s="331">
        <f>IF(A18="","",ROUND(B18*C18,2))</f>
        <v/>
      </c>
      <c r="E18" s="333">
        <f>IF(OR(itens_Remanesc!A17="",NOT(ISNUMBER(parametros!$G$3))),"",ROUND(itens_Remanesc!C17*parametros!$G$3,2))</f>
        <v/>
      </c>
      <c r="F18" s="334">
        <f>IF(itens_Remanesc!A17="","",itens_Remanesc!E17)</f>
        <v/>
      </c>
      <c r="G18" s="333">
        <f>IF(OR(A18="",E18="",F18=""),"",ROUND(E18*F18,2))</f>
        <v/>
      </c>
      <c r="H18" s="331">
        <f>IF(OR(itens_Remanesc!A17="",NOT(ISNUMBER(parametros!$G$4))),"",ROUND(itens_Remanesc!C17*parametros!$G$4,2))</f>
        <v/>
      </c>
      <c r="I18" s="332">
        <f>IF(itens_Remanesc!A17="","",itens_Remanesc!G17)</f>
        <v/>
      </c>
      <c r="J18" s="331">
        <f>IF(OR(A18="",H18="",I18=""),"",ROUND(H18*I18,2))</f>
        <v/>
      </c>
      <c r="K18" s="333">
        <f>IF(OR(itens_Remanesc!A17="",NOT(ISNUMBER(parametros!$G$5))),"",ROUND(itens_Remanesc!C17*parametros!$G$5,2))</f>
        <v/>
      </c>
      <c r="L18" s="334">
        <f>IF(itens_Remanesc!A17="","",itens_Remanesc!I17)</f>
        <v/>
      </c>
      <c r="M18" s="333">
        <f>IF(OR(A18="",K18="",L18=""),"",ROUND(K18*L18,2))</f>
        <v/>
      </c>
      <c r="N18" s="331">
        <f>IF(OR(itens_Remanesc!A17="",NOT(ISNUMBER(parametros!$G$6))),"",ROUND(itens_Remanesc!C17*parametros!$G$6,2))</f>
        <v/>
      </c>
      <c r="O18" s="332">
        <f>IF(itens_Remanesc!A17="","",itens_Remanesc!K17)</f>
        <v/>
      </c>
      <c r="P18" s="331">
        <f>IF(OR(A18="",N18="",O18=""),"",ROUND(N18*O18,2))</f>
        <v/>
      </c>
    </row>
    <row r="19">
      <c r="A19" s="330">
        <f>IF(itens_Remanesc!A18="","",itens_Remanesc!A18)</f>
        <v/>
      </c>
      <c r="B19" s="331">
        <f>IF(OR(itens_Remanesc!A18="",NOT(ISNUMBER(parametros!$G$2))),"",ROUND(itens_Remanesc!C18*parametros!$G$2,2))</f>
        <v/>
      </c>
      <c r="C19" s="332">
        <f>IF(itens_Remanesc!A18="","",itens_Remanesc!B18)</f>
        <v/>
      </c>
      <c r="D19" s="331">
        <f>IF(A19="","",ROUND(B19*C19,2))</f>
        <v/>
      </c>
      <c r="E19" s="333">
        <f>IF(OR(itens_Remanesc!A18="",NOT(ISNUMBER(parametros!$G$3))),"",ROUND(itens_Remanesc!C18*parametros!$G$3,2))</f>
        <v/>
      </c>
      <c r="F19" s="334">
        <f>IF(itens_Remanesc!A18="","",itens_Remanesc!E18)</f>
        <v/>
      </c>
      <c r="G19" s="333">
        <f>IF(OR(A19="",E19="",F19=""),"",ROUND(E19*F19,2))</f>
        <v/>
      </c>
      <c r="H19" s="331">
        <f>IF(OR(itens_Remanesc!A18="",NOT(ISNUMBER(parametros!$G$4))),"",ROUND(itens_Remanesc!C18*parametros!$G$4,2))</f>
        <v/>
      </c>
      <c r="I19" s="332">
        <f>IF(itens_Remanesc!A18="","",itens_Remanesc!G18)</f>
        <v/>
      </c>
      <c r="J19" s="331">
        <f>IF(OR(A19="",H19="",I19=""),"",ROUND(H19*I19,2))</f>
        <v/>
      </c>
      <c r="K19" s="333">
        <f>IF(OR(itens_Remanesc!A18="",NOT(ISNUMBER(parametros!$G$5))),"",ROUND(itens_Remanesc!C18*parametros!$G$5,2))</f>
        <v/>
      </c>
      <c r="L19" s="334">
        <f>IF(itens_Remanesc!A18="","",itens_Remanesc!I18)</f>
        <v/>
      </c>
      <c r="M19" s="333">
        <f>IF(OR(A19="",K19="",L19=""),"",ROUND(K19*L19,2))</f>
        <v/>
      </c>
      <c r="N19" s="331">
        <f>IF(OR(itens_Remanesc!A18="",NOT(ISNUMBER(parametros!$G$6))),"",ROUND(itens_Remanesc!C18*parametros!$G$6,2))</f>
        <v/>
      </c>
      <c r="O19" s="332">
        <f>IF(itens_Remanesc!A18="","",itens_Remanesc!K18)</f>
        <v/>
      </c>
      <c r="P19" s="331">
        <f>IF(OR(A19="",N19="",O19=""),"",ROUND(N19*O19,2))</f>
        <v/>
      </c>
    </row>
    <row r="20">
      <c r="A20" s="330">
        <f>IF(itens_Remanesc!A19="","",itens_Remanesc!A19)</f>
        <v/>
      </c>
      <c r="B20" s="331">
        <f>IF(OR(itens_Remanesc!A19="",NOT(ISNUMBER(parametros!$G$2))),"",ROUND(itens_Remanesc!C19*parametros!$G$2,2))</f>
        <v/>
      </c>
      <c r="C20" s="332">
        <f>IF(itens_Remanesc!A19="","",itens_Remanesc!B19)</f>
        <v/>
      </c>
      <c r="D20" s="331">
        <f>IF(A20="","",ROUND(B20*C20,2))</f>
        <v/>
      </c>
      <c r="E20" s="333">
        <f>IF(OR(itens_Remanesc!A19="",NOT(ISNUMBER(parametros!$G$3))),"",ROUND(itens_Remanesc!C19*parametros!$G$3,2))</f>
        <v/>
      </c>
      <c r="F20" s="334">
        <f>IF(itens_Remanesc!A19="","",itens_Remanesc!E19)</f>
        <v/>
      </c>
      <c r="G20" s="333">
        <f>IF(OR(A20="",E20="",F20=""),"",ROUND(E20*F20,2))</f>
        <v/>
      </c>
      <c r="H20" s="331">
        <f>IF(OR(itens_Remanesc!A19="",NOT(ISNUMBER(parametros!$G$4))),"",ROUND(itens_Remanesc!C19*parametros!$G$4,2))</f>
        <v/>
      </c>
      <c r="I20" s="332">
        <f>IF(itens_Remanesc!A19="","",itens_Remanesc!G19)</f>
        <v/>
      </c>
      <c r="J20" s="331">
        <f>IF(OR(A20="",H20="",I20=""),"",ROUND(H20*I20,2))</f>
        <v/>
      </c>
      <c r="K20" s="333">
        <f>IF(OR(itens_Remanesc!A19="",NOT(ISNUMBER(parametros!$G$5))),"",ROUND(itens_Remanesc!C19*parametros!$G$5,2))</f>
        <v/>
      </c>
      <c r="L20" s="334">
        <f>IF(itens_Remanesc!A19="","",itens_Remanesc!I19)</f>
        <v/>
      </c>
      <c r="M20" s="333">
        <f>IF(OR(A20="",K20="",L20=""),"",ROUND(K20*L20,2))</f>
        <v/>
      </c>
      <c r="N20" s="331">
        <f>IF(OR(itens_Remanesc!A19="",NOT(ISNUMBER(parametros!$G$6))),"",ROUND(itens_Remanesc!C19*parametros!$G$6,2))</f>
        <v/>
      </c>
      <c r="O20" s="332">
        <f>IF(itens_Remanesc!A19="","",itens_Remanesc!K19)</f>
        <v/>
      </c>
      <c r="P20" s="331">
        <f>IF(OR(A20="",N20="",O20=""),"",ROUND(N20*O20,2))</f>
        <v/>
      </c>
    </row>
    <row r="21">
      <c r="A21" s="330">
        <f>IF(itens_Remanesc!A20="","",itens_Remanesc!A20)</f>
        <v/>
      </c>
      <c r="B21" s="331">
        <f>IF(OR(itens_Remanesc!A20="",NOT(ISNUMBER(parametros!$G$2))),"",ROUND(itens_Remanesc!C20*parametros!$G$2,2))</f>
        <v/>
      </c>
      <c r="C21" s="332">
        <f>IF(itens_Remanesc!A20="","",itens_Remanesc!B20)</f>
        <v/>
      </c>
      <c r="D21" s="331">
        <f>IF(A21="","",ROUND(B21*C21,2))</f>
        <v/>
      </c>
      <c r="E21" s="333">
        <f>IF(OR(itens_Remanesc!A20="",NOT(ISNUMBER(parametros!$G$3))),"",ROUND(itens_Remanesc!C20*parametros!$G$3,2))</f>
        <v/>
      </c>
      <c r="F21" s="334">
        <f>IF(itens_Remanesc!A20="","",itens_Remanesc!E20)</f>
        <v/>
      </c>
      <c r="G21" s="333">
        <f>IF(OR(A21="",E21="",F21=""),"",ROUND(E21*F21,2))</f>
        <v/>
      </c>
      <c r="H21" s="331">
        <f>IF(OR(itens_Remanesc!A20="",NOT(ISNUMBER(parametros!$G$4))),"",ROUND(itens_Remanesc!C20*parametros!$G$4,2))</f>
        <v/>
      </c>
      <c r="I21" s="332">
        <f>IF(itens_Remanesc!A20="","",itens_Remanesc!G20)</f>
        <v/>
      </c>
      <c r="J21" s="331">
        <f>IF(OR(A21="",H21="",I21=""),"",ROUND(H21*I21,2))</f>
        <v/>
      </c>
      <c r="K21" s="333">
        <f>IF(OR(itens_Remanesc!A20="",NOT(ISNUMBER(parametros!$G$5))),"",ROUND(itens_Remanesc!C20*parametros!$G$5,2))</f>
        <v/>
      </c>
      <c r="L21" s="334">
        <f>IF(itens_Remanesc!A20="","",itens_Remanesc!I20)</f>
        <v/>
      </c>
      <c r="M21" s="333">
        <f>IF(OR(A21="",K21="",L21=""),"",ROUND(K21*L21,2))</f>
        <v/>
      </c>
      <c r="N21" s="331">
        <f>IF(OR(itens_Remanesc!A20="",NOT(ISNUMBER(parametros!$G$6))),"",ROUND(itens_Remanesc!C20*parametros!$G$6,2))</f>
        <v/>
      </c>
      <c r="O21" s="332">
        <f>IF(itens_Remanesc!A20="","",itens_Remanesc!K20)</f>
        <v/>
      </c>
      <c r="P21" s="331">
        <f>IF(OR(A21="",N21="",O21=""),"",ROUND(N21*O21,2))</f>
        <v/>
      </c>
    </row>
    <row r="22">
      <c r="A22" s="330">
        <f>IF(itens_Remanesc!A21="","",itens_Remanesc!A21)</f>
        <v/>
      </c>
      <c r="B22" s="331">
        <f>IF(OR(itens_Remanesc!A21="",NOT(ISNUMBER(parametros!$G$2))),"",ROUND(itens_Remanesc!C21*parametros!$G$2,2))</f>
        <v/>
      </c>
      <c r="C22" s="332">
        <f>IF(itens_Remanesc!A21="","",itens_Remanesc!B21)</f>
        <v/>
      </c>
      <c r="D22" s="331">
        <f>IF(A22="","",ROUND(B22*C22,2))</f>
        <v/>
      </c>
      <c r="E22" s="333">
        <f>IF(OR(itens_Remanesc!A21="",NOT(ISNUMBER(parametros!$G$3))),"",ROUND(itens_Remanesc!C21*parametros!$G$3,2))</f>
        <v/>
      </c>
      <c r="F22" s="334">
        <f>IF(itens_Remanesc!A21="","",itens_Remanesc!E21)</f>
        <v/>
      </c>
      <c r="G22" s="333">
        <f>IF(OR(A22="",E22="",F22=""),"",ROUND(E22*F22,2))</f>
        <v/>
      </c>
      <c r="H22" s="331">
        <f>IF(OR(itens_Remanesc!A21="",NOT(ISNUMBER(parametros!$G$4))),"",ROUND(itens_Remanesc!C21*parametros!$G$4,2))</f>
        <v/>
      </c>
      <c r="I22" s="332">
        <f>IF(itens_Remanesc!A21="","",itens_Remanesc!G21)</f>
        <v/>
      </c>
      <c r="J22" s="331">
        <f>IF(OR(A22="",H22="",I22=""),"",ROUND(H22*I22,2))</f>
        <v/>
      </c>
      <c r="K22" s="333">
        <f>IF(OR(itens_Remanesc!A21="",NOT(ISNUMBER(parametros!$G$5))),"",ROUND(itens_Remanesc!C21*parametros!$G$5,2))</f>
        <v/>
      </c>
      <c r="L22" s="334">
        <f>IF(itens_Remanesc!A21="","",itens_Remanesc!I21)</f>
        <v/>
      </c>
      <c r="M22" s="333">
        <f>IF(OR(A22="",K22="",L22=""),"",ROUND(K22*L22,2))</f>
        <v/>
      </c>
      <c r="N22" s="331">
        <f>IF(OR(itens_Remanesc!A21="",NOT(ISNUMBER(parametros!$G$6))),"",ROUND(itens_Remanesc!C21*parametros!$G$6,2))</f>
        <v/>
      </c>
      <c r="O22" s="332">
        <f>IF(itens_Remanesc!A21="","",itens_Remanesc!K21)</f>
        <v/>
      </c>
      <c r="P22" s="331">
        <f>IF(OR(A22="",N22="",O22=""),"",ROUND(N22*O22,2))</f>
        <v/>
      </c>
    </row>
    <row r="23">
      <c r="A23" s="330">
        <f>IF(itens_Remanesc!A22="","",itens_Remanesc!A22)</f>
        <v/>
      </c>
      <c r="B23" s="331">
        <f>IF(OR(itens_Remanesc!A22="",NOT(ISNUMBER(parametros!$G$2))),"",ROUND(itens_Remanesc!C22*parametros!$G$2,2))</f>
        <v/>
      </c>
      <c r="C23" s="332">
        <f>IF(itens_Remanesc!A22="","",itens_Remanesc!B22)</f>
        <v/>
      </c>
      <c r="D23" s="331">
        <f>IF(A23="","",ROUND(B23*C23,2))</f>
        <v/>
      </c>
      <c r="E23" s="333">
        <f>IF(OR(itens_Remanesc!A22="",NOT(ISNUMBER(parametros!$G$3))),"",ROUND(itens_Remanesc!C22*parametros!$G$3,2))</f>
        <v/>
      </c>
      <c r="F23" s="334">
        <f>IF(itens_Remanesc!A22="","",itens_Remanesc!E22)</f>
        <v/>
      </c>
      <c r="G23" s="333">
        <f>IF(OR(A23="",E23="",F23=""),"",ROUND(E23*F23,2))</f>
        <v/>
      </c>
      <c r="H23" s="331">
        <f>IF(OR(itens_Remanesc!A22="",NOT(ISNUMBER(parametros!$G$4))),"",ROUND(itens_Remanesc!C22*parametros!$G$4,2))</f>
        <v/>
      </c>
      <c r="I23" s="332">
        <f>IF(itens_Remanesc!A22="","",itens_Remanesc!G22)</f>
        <v/>
      </c>
      <c r="J23" s="331">
        <f>IF(OR(A23="",H23="",I23=""),"",ROUND(H23*I23,2))</f>
        <v/>
      </c>
      <c r="K23" s="333">
        <f>IF(OR(itens_Remanesc!A22="",NOT(ISNUMBER(parametros!$G$5))),"",ROUND(itens_Remanesc!C22*parametros!$G$5,2))</f>
        <v/>
      </c>
      <c r="L23" s="334">
        <f>IF(itens_Remanesc!A22="","",itens_Remanesc!I22)</f>
        <v/>
      </c>
      <c r="M23" s="333">
        <f>IF(OR(A23="",K23="",L23=""),"",ROUND(K23*L23,2))</f>
        <v/>
      </c>
      <c r="N23" s="331">
        <f>IF(OR(itens_Remanesc!A22="",NOT(ISNUMBER(parametros!$G$6))),"",ROUND(itens_Remanesc!C22*parametros!$G$6,2))</f>
        <v/>
      </c>
      <c r="O23" s="332">
        <f>IF(itens_Remanesc!A22="","",itens_Remanesc!K22)</f>
        <v/>
      </c>
      <c r="P23" s="331">
        <f>IF(OR(A23="",N23="",O23=""),"",ROUND(N23*O23,2))</f>
        <v/>
      </c>
    </row>
    <row r="24">
      <c r="A24" s="330">
        <f>IF(itens_Remanesc!A23="","",itens_Remanesc!A23)</f>
        <v/>
      </c>
      <c r="B24" s="331">
        <f>IF(OR(itens_Remanesc!A23="",NOT(ISNUMBER(parametros!$G$2))),"",ROUND(itens_Remanesc!C23*parametros!$G$2,2))</f>
        <v/>
      </c>
      <c r="C24" s="332">
        <f>IF(itens_Remanesc!A23="","",itens_Remanesc!B23)</f>
        <v/>
      </c>
      <c r="D24" s="331">
        <f>IF(A24="","",ROUND(B24*C24,2))</f>
        <v/>
      </c>
      <c r="E24" s="333">
        <f>IF(OR(itens_Remanesc!A23="",NOT(ISNUMBER(parametros!$G$3))),"",ROUND(itens_Remanesc!C23*parametros!$G$3,2))</f>
        <v/>
      </c>
      <c r="F24" s="334">
        <f>IF(itens_Remanesc!A23="","",itens_Remanesc!E23)</f>
        <v/>
      </c>
      <c r="G24" s="333">
        <f>IF(OR(A24="",E24="",F24=""),"",ROUND(E24*F24,2))</f>
        <v/>
      </c>
      <c r="H24" s="331">
        <f>IF(OR(itens_Remanesc!A23="",NOT(ISNUMBER(parametros!$G$4))),"",ROUND(itens_Remanesc!C23*parametros!$G$4,2))</f>
        <v/>
      </c>
      <c r="I24" s="332">
        <f>IF(itens_Remanesc!A23="","",itens_Remanesc!G23)</f>
        <v/>
      </c>
      <c r="J24" s="331">
        <f>IF(OR(A24="",H24="",I24=""),"",ROUND(H24*I24,2))</f>
        <v/>
      </c>
      <c r="K24" s="333">
        <f>IF(OR(itens_Remanesc!A23="",NOT(ISNUMBER(parametros!$G$5))),"",ROUND(itens_Remanesc!C23*parametros!$G$5,2))</f>
        <v/>
      </c>
      <c r="L24" s="334">
        <f>IF(itens_Remanesc!A23="","",itens_Remanesc!I23)</f>
        <v/>
      </c>
      <c r="M24" s="333">
        <f>IF(OR(A24="",K24="",L24=""),"",ROUND(K24*L24,2))</f>
        <v/>
      </c>
      <c r="N24" s="331">
        <f>IF(OR(itens_Remanesc!A23="",NOT(ISNUMBER(parametros!$G$6))),"",ROUND(itens_Remanesc!C23*parametros!$G$6,2))</f>
        <v/>
      </c>
      <c r="O24" s="332">
        <f>IF(itens_Remanesc!A23="","",itens_Remanesc!K23)</f>
        <v/>
      </c>
      <c r="P24" s="331">
        <f>IF(OR(A24="",N24="",O24=""),"",ROUND(N24*O24,2))</f>
        <v/>
      </c>
    </row>
    <row r="25">
      <c r="A25" s="330">
        <f>IF(itens_Remanesc!A24="","",itens_Remanesc!A24)</f>
        <v/>
      </c>
      <c r="B25" s="331">
        <f>IF(OR(itens_Remanesc!A24="",NOT(ISNUMBER(parametros!$G$2))),"",ROUND(itens_Remanesc!C24*parametros!$G$2,2))</f>
        <v/>
      </c>
      <c r="C25" s="332">
        <f>IF(itens_Remanesc!A24="","",itens_Remanesc!B24)</f>
        <v/>
      </c>
      <c r="D25" s="331">
        <f>IF(A25="","",ROUND(B25*C25,2))</f>
        <v/>
      </c>
      <c r="E25" s="333">
        <f>IF(OR(itens_Remanesc!A24="",NOT(ISNUMBER(parametros!$G$3))),"",ROUND(itens_Remanesc!C24*parametros!$G$3,2))</f>
        <v/>
      </c>
      <c r="F25" s="334">
        <f>IF(itens_Remanesc!A24="","",itens_Remanesc!E24)</f>
        <v/>
      </c>
      <c r="G25" s="333">
        <f>IF(OR(A25="",E25="",F25=""),"",ROUND(E25*F25,2))</f>
        <v/>
      </c>
      <c r="H25" s="331">
        <f>IF(OR(itens_Remanesc!A24="",NOT(ISNUMBER(parametros!$G$4))),"",ROUND(itens_Remanesc!C24*parametros!$G$4,2))</f>
        <v/>
      </c>
      <c r="I25" s="332">
        <f>IF(itens_Remanesc!A24="","",itens_Remanesc!G24)</f>
        <v/>
      </c>
      <c r="J25" s="331">
        <f>IF(OR(A25="",H25="",I25=""),"",ROUND(H25*I25,2))</f>
        <v/>
      </c>
      <c r="K25" s="333">
        <f>IF(OR(itens_Remanesc!A24="",NOT(ISNUMBER(parametros!$G$5))),"",ROUND(itens_Remanesc!C24*parametros!$G$5,2))</f>
        <v/>
      </c>
      <c r="L25" s="334">
        <f>IF(itens_Remanesc!A24="","",itens_Remanesc!I24)</f>
        <v/>
      </c>
      <c r="M25" s="333">
        <f>IF(OR(A25="",K25="",L25=""),"",ROUND(K25*L25,2))</f>
        <v/>
      </c>
      <c r="N25" s="331">
        <f>IF(OR(itens_Remanesc!A24="",NOT(ISNUMBER(parametros!$G$6))),"",ROUND(itens_Remanesc!C24*parametros!$G$6,2))</f>
        <v/>
      </c>
      <c r="O25" s="332">
        <f>IF(itens_Remanesc!A24="","",itens_Remanesc!K24)</f>
        <v/>
      </c>
      <c r="P25" s="331">
        <f>IF(OR(A25="",N25="",O25=""),"",ROUND(N25*O25,2))</f>
        <v/>
      </c>
    </row>
    <row r="26">
      <c r="A26" s="330">
        <f>IF(itens_Remanesc!A25="","",itens_Remanesc!A25)</f>
        <v/>
      </c>
      <c r="B26" s="331">
        <f>IF(OR(itens_Remanesc!A25="",NOT(ISNUMBER(parametros!$G$2))),"",ROUND(itens_Remanesc!C25*parametros!$G$2,2))</f>
        <v/>
      </c>
      <c r="C26" s="332">
        <f>IF(itens_Remanesc!A25="","",itens_Remanesc!B25)</f>
        <v/>
      </c>
      <c r="D26" s="331">
        <f>IF(A26="","",ROUND(B26*C26,2))</f>
        <v/>
      </c>
      <c r="E26" s="333">
        <f>IF(OR(itens_Remanesc!A25="",NOT(ISNUMBER(parametros!$G$3))),"",ROUND(itens_Remanesc!C25*parametros!$G$3,2))</f>
        <v/>
      </c>
      <c r="F26" s="334">
        <f>IF(itens_Remanesc!A25="","",itens_Remanesc!E25)</f>
        <v/>
      </c>
      <c r="G26" s="333">
        <f>IF(OR(A26="",E26="",F26=""),"",ROUND(E26*F26,2))</f>
        <v/>
      </c>
      <c r="H26" s="331">
        <f>IF(OR(itens_Remanesc!A25="",NOT(ISNUMBER(parametros!$G$4))),"",ROUND(itens_Remanesc!C25*parametros!$G$4,2))</f>
        <v/>
      </c>
      <c r="I26" s="332">
        <f>IF(itens_Remanesc!A25="","",itens_Remanesc!G25)</f>
        <v/>
      </c>
      <c r="J26" s="331">
        <f>IF(OR(A26="",H26="",I26=""),"",ROUND(H26*I26,2))</f>
        <v/>
      </c>
      <c r="K26" s="333">
        <f>IF(OR(itens_Remanesc!A25="",NOT(ISNUMBER(parametros!$G$5))),"",ROUND(itens_Remanesc!C25*parametros!$G$5,2))</f>
        <v/>
      </c>
      <c r="L26" s="334">
        <f>IF(itens_Remanesc!A25="","",itens_Remanesc!I25)</f>
        <v/>
      </c>
      <c r="M26" s="333">
        <f>IF(OR(A26="",K26="",L26=""),"",ROUND(K26*L26,2))</f>
        <v/>
      </c>
      <c r="N26" s="331">
        <f>IF(OR(itens_Remanesc!A25="",NOT(ISNUMBER(parametros!$G$6))),"",ROUND(itens_Remanesc!C25*parametros!$G$6,2))</f>
        <v/>
      </c>
      <c r="O26" s="332">
        <f>IF(itens_Remanesc!A25="","",itens_Remanesc!K25)</f>
        <v/>
      </c>
      <c r="P26" s="331">
        <f>IF(OR(A26="",N26="",O26=""),"",ROUND(N26*O26,2))</f>
        <v/>
      </c>
    </row>
    <row r="27">
      <c r="A27" s="330">
        <f>IF(itens_Remanesc!A26="","",itens_Remanesc!A26)</f>
        <v/>
      </c>
      <c r="B27" s="331">
        <f>IF(OR(itens_Remanesc!A26="",NOT(ISNUMBER(parametros!$G$2))),"",ROUND(itens_Remanesc!C26*parametros!$G$2,2))</f>
        <v/>
      </c>
      <c r="C27" s="332">
        <f>IF(itens_Remanesc!A26="","",itens_Remanesc!B26)</f>
        <v/>
      </c>
      <c r="D27" s="331">
        <f>IF(A27="","",ROUND(B27*C27,2))</f>
        <v/>
      </c>
      <c r="E27" s="333">
        <f>IF(OR(itens_Remanesc!A26="",NOT(ISNUMBER(parametros!$G$3))),"",ROUND(itens_Remanesc!C26*parametros!$G$3,2))</f>
        <v/>
      </c>
      <c r="F27" s="334">
        <f>IF(itens_Remanesc!A26="","",itens_Remanesc!E26)</f>
        <v/>
      </c>
      <c r="G27" s="333">
        <f>IF(OR(A27="",E27="",F27=""),"",ROUND(E27*F27,2))</f>
        <v/>
      </c>
      <c r="H27" s="331">
        <f>IF(OR(itens_Remanesc!A26="",NOT(ISNUMBER(parametros!$G$4))),"",ROUND(itens_Remanesc!C26*parametros!$G$4,2))</f>
        <v/>
      </c>
      <c r="I27" s="332">
        <f>IF(itens_Remanesc!A26="","",itens_Remanesc!G26)</f>
        <v/>
      </c>
      <c r="J27" s="331">
        <f>IF(OR(A27="",H27="",I27=""),"",ROUND(H27*I27,2))</f>
        <v/>
      </c>
      <c r="K27" s="333">
        <f>IF(OR(itens_Remanesc!A26="",NOT(ISNUMBER(parametros!$G$5))),"",ROUND(itens_Remanesc!C26*parametros!$G$5,2))</f>
        <v/>
      </c>
      <c r="L27" s="334">
        <f>IF(itens_Remanesc!A26="","",itens_Remanesc!I26)</f>
        <v/>
      </c>
      <c r="M27" s="333">
        <f>IF(OR(A27="",K27="",L27=""),"",ROUND(K27*L27,2))</f>
        <v/>
      </c>
      <c r="N27" s="331">
        <f>IF(OR(itens_Remanesc!A26="",NOT(ISNUMBER(parametros!$G$6))),"",ROUND(itens_Remanesc!C26*parametros!$G$6,2))</f>
        <v/>
      </c>
      <c r="O27" s="332">
        <f>IF(itens_Remanesc!A26="","",itens_Remanesc!K26)</f>
        <v/>
      </c>
      <c r="P27" s="331">
        <f>IF(OR(A27="",N27="",O27=""),"",ROUND(N27*O27,2))</f>
        <v/>
      </c>
    </row>
    <row r="28">
      <c r="A28" s="330">
        <f>IF(itens_Remanesc!A27="","",itens_Remanesc!A27)</f>
        <v/>
      </c>
      <c r="B28" s="331">
        <f>IF(OR(itens_Remanesc!A27="",NOT(ISNUMBER(parametros!$G$2))),"",ROUND(itens_Remanesc!C27*parametros!$G$2,2))</f>
        <v/>
      </c>
      <c r="C28" s="332">
        <f>IF(itens_Remanesc!A27="","",itens_Remanesc!B27)</f>
        <v/>
      </c>
      <c r="D28" s="331">
        <f>IF(A28="","",ROUND(B28*C28,2))</f>
        <v/>
      </c>
      <c r="E28" s="333">
        <f>IF(OR(itens_Remanesc!A27="",NOT(ISNUMBER(parametros!$G$3))),"",ROUND(itens_Remanesc!C27*parametros!$G$3,2))</f>
        <v/>
      </c>
      <c r="F28" s="334">
        <f>IF(itens_Remanesc!A27="","",itens_Remanesc!E27)</f>
        <v/>
      </c>
      <c r="G28" s="333">
        <f>IF(OR(A28="",E28="",F28=""),"",ROUND(E28*F28,2))</f>
        <v/>
      </c>
      <c r="H28" s="331">
        <f>IF(OR(itens_Remanesc!A27="",NOT(ISNUMBER(parametros!$G$4))),"",ROUND(itens_Remanesc!C27*parametros!$G$4,2))</f>
        <v/>
      </c>
      <c r="I28" s="332">
        <f>IF(itens_Remanesc!A27="","",itens_Remanesc!G27)</f>
        <v/>
      </c>
      <c r="J28" s="331">
        <f>IF(OR(A28="",H28="",I28=""),"",ROUND(H28*I28,2))</f>
        <v/>
      </c>
      <c r="K28" s="333">
        <f>IF(OR(itens_Remanesc!A27="",NOT(ISNUMBER(parametros!$G$5))),"",ROUND(itens_Remanesc!C27*parametros!$G$5,2))</f>
        <v/>
      </c>
      <c r="L28" s="334">
        <f>IF(itens_Remanesc!A27="","",itens_Remanesc!I27)</f>
        <v/>
      </c>
      <c r="M28" s="333">
        <f>IF(OR(A28="",K28="",L28=""),"",ROUND(K28*L28,2))</f>
        <v/>
      </c>
      <c r="N28" s="331">
        <f>IF(OR(itens_Remanesc!A27="",NOT(ISNUMBER(parametros!$G$6))),"",ROUND(itens_Remanesc!C27*parametros!$G$6,2))</f>
        <v/>
      </c>
      <c r="O28" s="332">
        <f>IF(itens_Remanesc!A27="","",itens_Remanesc!K27)</f>
        <v/>
      </c>
      <c r="P28" s="331">
        <f>IF(OR(A28="",N28="",O28=""),"",ROUND(N28*O28,2))</f>
        <v/>
      </c>
    </row>
    <row r="29">
      <c r="A29" s="330">
        <f>IF(itens_Remanesc!A28="","",itens_Remanesc!A28)</f>
        <v/>
      </c>
      <c r="B29" s="331">
        <f>IF(OR(itens_Remanesc!A28="",NOT(ISNUMBER(parametros!$G$2))),"",ROUND(itens_Remanesc!C28*parametros!$G$2,2))</f>
        <v/>
      </c>
      <c r="C29" s="332">
        <f>IF(itens_Remanesc!A28="","",itens_Remanesc!B28)</f>
        <v/>
      </c>
      <c r="D29" s="331">
        <f>IF(A29="","",ROUND(B29*C29,2))</f>
        <v/>
      </c>
      <c r="E29" s="333">
        <f>IF(OR(itens_Remanesc!A28="",NOT(ISNUMBER(parametros!$G$3))),"",ROUND(itens_Remanesc!C28*parametros!$G$3,2))</f>
        <v/>
      </c>
      <c r="F29" s="334">
        <f>IF(itens_Remanesc!A28="","",itens_Remanesc!E28)</f>
        <v/>
      </c>
      <c r="G29" s="333">
        <f>IF(OR(A29="",E29="",F29=""),"",ROUND(E29*F29,2))</f>
        <v/>
      </c>
      <c r="H29" s="331">
        <f>IF(OR(itens_Remanesc!A28="",NOT(ISNUMBER(parametros!$G$4))),"",ROUND(itens_Remanesc!C28*parametros!$G$4,2))</f>
        <v/>
      </c>
      <c r="I29" s="332">
        <f>IF(itens_Remanesc!A28="","",itens_Remanesc!G28)</f>
        <v/>
      </c>
      <c r="J29" s="331">
        <f>IF(OR(A29="",H29="",I29=""),"",ROUND(H29*I29,2))</f>
        <v/>
      </c>
      <c r="K29" s="333">
        <f>IF(OR(itens_Remanesc!A28="",NOT(ISNUMBER(parametros!$G$5))),"",ROUND(itens_Remanesc!C28*parametros!$G$5,2))</f>
        <v/>
      </c>
      <c r="L29" s="334">
        <f>IF(itens_Remanesc!A28="","",itens_Remanesc!I28)</f>
        <v/>
      </c>
      <c r="M29" s="333">
        <f>IF(OR(A29="",K29="",L29=""),"",ROUND(K29*L29,2))</f>
        <v/>
      </c>
      <c r="N29" s="331">
        <f>IF(OR(itens_Remanesc!A28="",NOT(ISNUMBER(parametros!$G$6))),"",ROUND(itens_Remanesc!C28*parametros!$G$6,2))</f>
        <v/>
      </c>
      <c r="O29" s="332">
        <f>IF(itens_Remanesc!A28="","",itens_Remanesc!K28)</f>
        <v/>
      </c>
      <c r="P29" s="331">
        <f>IF(OR(A29="",N29="",O29=""),"",ROUND(N29*O29,2))</f>
        <v/>
      </c>
    </row>
    <row r="30">
      <c r="A30" s="330">
        <f>IF(itens_Remanesc!A29="","",itens_Remanesc!A29)</f>
        <v/>
      </c>
      <c r="B30" s="331">
        <f>IF(OR(itens_Remanesc!A29="",NOT(ISNUMBER(parametros!$G$2))),"",ROUND(itens_Remanesc!C29*parametros!$G$2,2))</f>
        <v/>
      </c>
      <c r="C30" s="332">
        <f>IF(itens_Remanesc!A29="","",itens_Remanesc!B29)</f>
        <v/>
      </c>
      <c r="D30" s="331">
        <f>IF(A30="","",ROUND(B30*C30,2))</f>
        <v/>
      </c>
      <c r="E30" s="333">
        <f>IF(OR(itens_Remanesc!A29="",NOT(ISNUMBER(parametros!$G$3))),"",ROUND(itens_Remanesc!C29*parametros!$G$3,2))</f>
        <v/>
      </c>
      <c r="F30" s="334">
        <f>IF(itens_Remanesc!A29="","",itens_Remanesc!E29)</f>
        <v/>
      </c>
      <c r="G30" s="333">
        <f>IF(OR(A30="",E30="",F30=""),"",ROUND(E30*F30,2))</f>
        <v/>
      </c>
      <c r="H30" s="331">
        <f>IF(OR(itens_Remanesc!A29="",NOT(ISNUMBER(parametros!$G$4))),"",ROUND(itens_Remanesc!C29*parametros!$G$4,2))</f>
        <v/>
      </c>
      <c r="I30" s="332">
        <f>IF(itens_Remanesc!A29="","",itens_Remanesc!G29)</f>
        <v/>
      </c>
      <c r="J30" s="331">
        <f>IF(OR(A30="",H30="",I30=""),"",ROUND(H30*I30,2))</f>
        <v/>
      </c>
      <c r="K30" s="333">
        <f>IF(OR(itens_Remanesc!A29="",NOT(ISNUMBER(parametros!$G$5))),"",ROUND(itens_Remanesc!C29*parametros!$G$5,2))</f>
        <v/>
      </c>
      <c r="L30" s="334">
        <f>IF(itens_Remanesc!A29="","",itens_Remanesc!I29)</f>
        <v/>
      </c>
      <c r="M30" s="333">
        <f>IF(OR(A30="",K30="",L30=""),"",ROUND(K30*L30,2))</f>
        <v/>
      </c>
      <c r="N30" s="331">
        <f>IF(OR(itens_Remanesc!A29="",NOT(ISNUMBER(parametros!$G$6))),"",ROUND(itens_Remanesc!C29*parametros!$G$6,2))</f>
        <v/>
      </c>
      <c r="O30" s="332">
        <f>IF(itens_Remanesc!A29="","",itens_Remanesc!K29)</f>
        <v/>
      </c>
      <c r="P30" s="331">
        <f>IF(OR(A30="",N30="",O30=""),"",ROUND(N30*O30,2))</f>
        <v/>
      </c>
    </row>
    <row r="31">
      <c r="A31" s="330">
        <f>IF(itens_Remanesc!A30="","",itens_Remanesc!A30)</f>
        <v/>
      </c>
      <c r="B31" s="331">
        <f>IF(OR(itens_Remanesc!A30="",NOT(ISNUMBER(parametros!$G$2))),"",ROUND(itens_Remanesc!C30*parametros!$G$2,2))</f>
        <v/>
      </c>
      <c r="C31" s="332">
        <f>IF(itens_Remanesc!A30="","",itens_Remanesc!B30)</f>
        <v/>
      </c>
      <c r="D31" s="331">
        <f>IF(A31="","",ROUND(B31*C31,2))</f>
        <v/>
      </c>
      <c r="E31" s="333">
        <f>IF(OR(itens_Remanesc!A30="",NOT(ISNUMBER(parametros!$G$3))),"",ROUND(itens_Remanesc!C30*parametros!$G$3,2))</f>
        <v/>
      </c>
      <c r="F31" s="334">
        <f>IF(itens_Remanesc!A30="","",itens_Remanesc!E30)</f>
        <v/>
      </c>
      <c r="G31" s="333">
        <f>IF(OR(A31="",E31="",F31=""),"",ROUND(E31*F31,2))</f>
        <v/>
      </c>
      <c r="H31" s="331">
        <f>IF(OR(itens_Remanesc!A30="",NOT(ISNUMBER(parametros!$G$4))),"",ROUND(itens_Remanesc!C30*parametros!$G$4,2))</f>
        <v/>
      </c>
      <c r="I31" s="332">
        <f>IF(itens_Remanesc!A30="","",itens_Remanesc!G30)</f>
        <v/>
      </c>
      <c r="J31" s="331">
        <f>IF(OR(A31="",H31="",I31=""),"",ROUND(H31*I31,2))</f>
        <v/>
      </c>
      <c r="K31" s="333">
        <f>IF(OR(itens_Remanesc!A30="",NOT(ISNUMBER(parametros!$G$5))),"",ROUND(itens_Remanesc!C30*parametros!$G$5,2))</f>
        <v/>
      </c>
      <c r="L31" s="334">
        <f>IF(itens_Remanesc!A30="","",itens_Remanesc!I30)</f>
        <v/>
      </c>
      <c r="M31" s="333">
        <f>IF(OR(A31="",K31="",L31=""),"",ROUND(K31*L31,2))</f>
        <v/>
      </c>
      <c r="N31" s="331">
        <f>IF(OR(itens_Remanesc!A30="",NOT(ISNUMBER(parametros!$G$6))),"",ROUND(itens_Remanesc!C30*parametros!$G$6,2))</f>
        <v/>
      </c>
      <c r="O31" s="332">
        <f>IF(itens_Remanesc!A30="","",itens_Remanesc!K30)</f>
        <v/>
      </c>
      <c r="P31" s="331">
        <f>IF(OR(A31="",N31="",O31=""),"",ROUND(N31*O31,2))</f>
        <v/>
      </c>
    </row>
    <row r="32">
      <c r="A32" s="330">
        <f>IF(itens_Remanesc!A31="","",itens_Remanesc!A31)</f>
        <v/>
      </c>
      <c r="B32" s="331">
        <f>IF(OR(itens_Remanesc!A31="",NOT(ISNUMBER(parametros!$G$2))),"",ROUND(itens_Remanesc!C31*parametros!$G$2,2))</f>
        <v/>
      </c>
      <c r="C32" s="332">
        <f>IF(itens_Remanesc!A31="","",itens_Remanesc!B31)</f>
        <v/>
      </c>
      <c r="D32" s="331">
        <f>IF(A32="","",ROUND(B32*C32,2))</f>
        <v/>
      </c>
      <c r="E32" s="333">
        <f>IF(OR(itens_Remanesc!A31="",NOT(ISNUMBER(parametros!$G$3))),"",ROUND(itens_Remanesc!C31*parametros!$G$3,2))</f>
        <v/>
      </c>
      <c r="F32" s="334">
        <f>IF(itens_Remanesc!A31="","",itens_Remanesc!E31)</f>
        <v/>
      </c>
      <c r="G32" s="333">
        <f>IF(OR(A32="",E32="",F32=""),"",ROUND(E32*F32,2))</f>
        <v/>
      </c>
      <c r="H32" s="331">
        <f>IF(OR(itens_Remanesc!A31="",NOT(ISNUMBER(parametros!$G$4))),"",ROUND(itens_Remanesc!C31*parametros!$G$4,2))</f>
        <v/>
      </c>
      <c r="I32" s="332">
        <f>IF(itens_Remanesc!A31="","",itens_Remanesc!G31)</f>
        <v/>
      </c>
      <c r="J32" s="331">
        <f>IF(OR(A32="",H32="",I32=""),"",ROUND(H32*I32,2))</f>
        <v/>
      </c>
      <c r="K32" s="333">
        <f>IF(OR(itens_Remanesc!A31="",NOT(ISNUMBER(parametros!$G$5))),"",ROUND(itens_Remanesc!C31*parametros!$G$5,2))</f>
        <v/>
      </c>
      <c r="L32" s="334">
        <f>IF(itens_Remanesc!A31="","",itens_Remanesc!I31)</f>
        <v/>
      </c>
      <c r="M32" s="333">
        <f>IF(OR(A32="",K32="",L32=""),"",ROUND(K32*L32,2))</f>
        <v/>
      </c>
      <c r="N32" s="331">
        <f>IF(OR(itens_Remanesc!A31="",NOT(ISNUMBER(parametros!$G$6))),"",ROUND(itens_Remanesc!C31*parametros!$G$6,2))</f>
        <v/>
      </c>
      <c r="O32" s="332">
        <f>IF(itens_Remanesc!A31="","",itens_Remanesc!K31)</f>
        <v/>
      </c>
      <c r="P32" s="331">
        <f>IF(OR(A32="",N32="",O32=""),"",ROUND(N32*O32,2))</f>
        <v/>
      </c>
    </row>
    <row r="33">
      <c r="A33" s="337">
        <f>IF(itens_Remanesc!A32="","",itens_Remanesc!A32)</f>
        <v/>
      </c>
      <c r="B33" s="331">
        <f>IF(OR(itens_Remanesc!A32="",NOT(ISNUMBER(parametros!$G$2))),"",ROUND(itens_Remanesc!C32*parametros!$G$2,2))</f>
        <v/>
      </c>
      <c r="C33" s="332">
        <f>IF(itens_Remanesc!A32="","",itens_Remanesc!B32)</f>
        <v/>
      </c>
      <c r="D33" s="331">
        <f>IF(A33="","",ROUND(B33*C33,2))</f>
        <v/>
      </c>
      <c r="E33" s="333">
        <f>IF(OR(itens_Remanesc!A32="",NOT(ISNUMBER(parametros!$G$3))),"",ROUND(itens_Remanesc!C32*parametros!$G$3,2))</f>
        <v/>
      </c>
      <c r="F33" s="334">
        <f>IF(itens_Remanesc!A32="","",itens_Remanesc!E32)</f>
        <v/>
      </c>
      <c r="G33" s="333">
        <f>IF(OR(A33="",E33="",F33=""),"",ROUND(E33*F33,2))</f>
        <v/>
      </c>
      <c r="H33" s="331">
        <f>IF(OR(itens_Remanesc!A32="",NOT(ISNUMBER(parametros!$G$4))),"",ROUND(itens_Remanesc!C32*parametros!$G$4,2))</f>
        <v/>
      </c>
      <c r="I33" s="332">
        <f>IF(itens_Remanesc!A32="","",itens_Remanesc!G32)</f>
        <v/>
      </c>
      <c r="J33" s="331">
        <f>IF(OR(A33="",H33="",I33=""),"",ROUND(H33*I33,2))</f>
        <v/>
      </c>
      <c r="K33" s="333">
        <f>IF(OR(itens_Remanesc!A32="",NOT(ISNUMBER(parametros!$G$5))),"",ROUND(itens_Remanesc!C32*parametros!$G$5,2))</f>
        <v/>
      </c>
      <c r="L33" s="334">
        <f>IF(itens_Remanesc!A32="","",itens_Remanesc!I32)</f>
        <v/>
      </c>
      <c r="M33" s="333">
        <f>IF(OR(A33="",K33="",L33=""),"",ROUND(K33*L33,2))</f>
        <v/>
      </c>
      <c r="N33" s="331">
        <f>IF(OR(itens_Remanesc!A32="",NOT(ISNUMBER(parametros!$G$6))),"",ROUND(itens_Remanesc!C32*parametros!$G$6,2))</f>
        <v/>
      </c>
      <c r="O33" s="332">
        <f>IF(itens_Remanesc!A32="","",itens_Remanesc!K32)</f>
        <v/>
      </c>
      <c r="P33" s="331">
        <f>IF(OR(A33="",N33="",O33=""),"",ROUND(N33*O33,2))</f>
        <v/>
      </c>
    </row>
    <row r="34">
      <c r="A34" s="330">
        <f>IF(itens_Remanesc!A33="","",itens_Remanesc!A33)</f>
        <v/>
      </c>
      <c r="B34" s="331">
        <f>IF(OR(itens_Remanesc!A33="",NOT(ISNUMBER(parametros!$G$2))),"",ROUND(itens_Remanesc!C33*parametros!$G$2,2))</f>
        <v/>
      </c>
      <c r="C34" s="332">
        <f>IF(itens_Remanesc!A33="","",itens_Remanesc!B33)</f>
        <v/>
      </c>
      <c r="D34" s="331">
        <f>IF(A34="","",ROUND(B34*C34,2))</f>
        <v/>
      </c>
      <c r="E34" s="333">
        <f>IF(OR(itens_Remanesc!A33="",NOT(ISNUMBER(parametros!$G$3))),"",ROUND(itens_Remanesc!C33*parametros!$G$3,2))</f>
        <v/>
      </c>
      <c r="F34" s="334">
        <f>IF(itens_Remanesc!A33="","",itens_Remanesc!E33)</f>
        <v/>
      </c>
      <c r="G34" s="333">
        <f>IF(OR(A34="",E34="",F34=""),"",ROUND(E34*F34,2))</f>
        <v/>
      </c>
      <c r="H34" s="331">
        <f>IF(OR(itens_Remanesc!A33="",NOT(ISNUMBER(parametros!$G$4))),"",ROUND(itens_Remanesc!C33*parametros!$G$4,2))</f>
        <v/>
      </c>
      <c r="I34" s="332">
        <f>IF(itens_Remanesc!A33="","",itens_Remanesc!G33)</f>
        <v/>
      </c>
      <c r="J34" s="331">
        <f>IF(OR(A34="",H34="",I34=""),"",ROUND(H34*I34,2))</f>
        <v/>
      </c>
      <c r="K34" s="333">
        <f>IF(OR(itens_Remanesc!A33="",NOT(ISNUMBER(parametros!$G$5))),"",ROUND(itens_Remanesc!C33*parametros!$G$5,2))</f>
        <v/>
      </c>
      <c r="L34" s="334">
        <f>IF(itens_Remanesc!A33="","",itens_Remanesc!I33)</f>
        <v/>
      </c>
      <c r="M34" s="333">
        <f>IF(OR(A34="",K34="",L34=""),"",ROUND(K34*L34,2))</f>
        <v/>
      </c>
      <c r="N34" s="331">
        <f>IF(OR(itens_Remanesc!A33="",NOT(ISNUMBER(parametros!$G$6))),"",ROUND(itens_Remanesc!C33*parametros!$G$6,2))</f>
        <v/>
      </c>
      <c r="O34" s="332">
        <f>IF(itens_Remanesc!A33="","",itens_Remanesc!K33)</f>
        <v/>
      </c>
      <c r="P34" s="331">
        <f>IF(OR(A34="",N34="",O34=""),"",ROUND(N34*O34,2))</f>
        <v/>
      </c>
    </row>
    <row r="35">
      <c r="A35" s="330">
        <f>IF(itens_Remanesc!A34="","",itens_Remanesc!A34)</f>
        <v/>
      </c>
      <c r="B35" s="331">
        <f>IF(OR(itens_Remanesc!A34="",NOT(ISNUMBER(parametros!$G$2))),"",ROUND(itens_Remanesc!C34*parametros!$G$2,2))</f>
        <v/>
      </c>
      <c r="C35" s="332">
        <f>IF(itens_Remanesc!A34="","",itens_Remanesc!B34)</f>
        <v/>
      </c>
      <c r="D35" s="331">
        <f>IF(A35="","",ROUND(B35*C35,2))</f>
        <v/>
      </c>
      <c r="E35" s="333">
        <f>IF(OR(itens_Remanesc!A34="",NOT(ISNUMBER(parametros!$G$3))),"",ROUND(itens_Remanesc!C34*parametros!$G$3,2))</f>
        <v/>
      </c>
      <c r="F35" s="334">
        <f>IF(itens_Remanesc!A34="","",itens_Remanesc!E34)</f>
        <v/>
      </c>
      <c r="G35" s="333">
        <f>IF(OR(A35="",E35="",F35=""),"",ROUND(E35*F35,2))</f>
        <v/>
      </c>
      <c r="H35" s="331">
        <f>IF(OR(itens_Remanesc!A34="",NOT(ISNUMBER(parametros!$G$4))),"",ROUND(itens_Remanesc!C34*parametros!$G$4,2))</f>
        <v/>
      </c>
      <c r="I35" s="332">
        <f>IF(itens_Remanesc!A34="","",itens_Remanesc!G34)</f>
        <v/>
      </c>
      <c r="J35" s="331">
        <f>IF(OR(A35="",H35="",I35=""),"",ROUND(H35*I35,2))</f>
        <v/>
      </c>
      <c r="K35" s="333">
        <f>IF(OR(itens_Remanesc!A34="",NOT(ISNUMBER(parametros!$G$5))),"",ROUND(itens_Remanesc!C34*parametros!$G$5,2))</f>
        <v/>
      </c>
      <c r="L35" s="334">
        <f>IF(itens_Remanesc!A34="","",itens_Remanesc!I34)</f>
        <v/>
      </c>
      <c r="M35" s="333">
        <f>IF(OR(A35="",K35="",L35=""),"",ROUND(K35*L35,2))</f>
        <v/>
      </c>
      <c r="N35" s="331">
        <f>IF(OR(itens_Remanesc!A34="",NOT(ISNUMBER(parametros!$G$6))),"",ROUND(itens_Remanesc!C34*parametros!$G$6,2))</f>
        <v/>
      </c>
      <c r="O35" s="332">
        <f>IF(itens_Remanesc!A34="","",itens_Remanesc!K34)</f>
        <v/>
      </c>
      <c r="P35" s="331">
        <f>IF(OR(A35="",N35="",O35=""),"",ROUND(N35*O35,2))</f>
        <v/>
      </c>
    </row>
    <row r="36">
      <c r="A36" s="330">
        <f>IF(itens_Remanesc!A35="","",itens_Remanesc!A35)</f>
        <v/>
      </c>
      <c r="B36" s="331">
        <f>IF(OR(itens_Remanesc!A35="",NOT(ISNUMBER(parametros!$G$2))),"",ROUND(itens_Remanesc!C35*parametros!$G$2,2))</f>
        <v/>
      </c>
      <c r="C36" s="332">
        <f>IF(itens_Remanesc!A35="","",itens_Remanesc!B35)</f>
        <v/>
      </c>
      <c r="D36" s="331">
        <f>IF(A36="","",ROUND(B36*C36,2))</f>
        <v/>
      </c>
      <c r="E36" s="333">
        <f>IF(OR(itens_Remanesc!A35="",NOT(ISNUMBER(parametros!$G$3))),"",ROUND(itens_Remanesc!C35*parametros!$G$3,2))</f>
        <v/>
      </c>
      <c r="F36" s="334">
        <f>IF(itens_Remanesc!A35="","",itens_Remanesc!E35)</f>
        <v/>
      </c>
      <c r="G36" s="333">
        <f>IF(OR(A36="",E36="",F36=""),"",ROUND(E36*F36,2))</f>
        <v/>
      </c>
      <c r="H36" s="331">
        <f>IF(OR(itens_Remanesc!A35="",NOT(ISNUMBER(parametros!$G$4))),"",ROUND(itens_Remanesc!C35*parametros!$G$4,2))</f>
        <v/>
      </c>
      <c r="I36" s="332">
        <f>IF(itens_Remanesc!A35="","",itens_Remanesc!G35)</f>
        <v/>
      </c>
      <c r="J36" s="331">
        <f>IF(OR(A36="",H36="",I36=""),"",ROUND(H36*I36,2))</f>
        <v/>
      </c>
      <c r="K36" s="333">
        <f>IF(OR(itens_Remanesc!A35="",NOT(ISNUMBER(parametros!$G$5))),"",ROUND(itens_Remanesc!C35*parametros!$G$5,2))</f>
        <v/>
      </c>
      <c r="L36" s="334">
        <f>IF(itens_Remanesc!A35="","",itens_Remanesc!I35)</f>
        <v/>
      </c>
      <c r="M36" s="333">
        <f>IF(OR(A36="",K36="",L36=""),"",ROUND(K36*L36,2))</f>
        <v/>
      </c>
      <c r="N36" s="331">
        <f>IF(OR(itens_Remanesc!A35="",NOT(ISNUMBER(parametros!$G$6))),"",ROUND(itens_Remanesc!C35*parametros!$G$6,2))</f>
        <v/>
      </c>
      <c r="O36" s="332">
        <f>IF(itens_Remanesc!A35="","",itens_Remanesc!K35)</f>
        <v/>
      </c>
      <c r="P36" s="331">
        <f>IF(OR(A36="",N36="",O36=""),"",ROUND(N36*O36,2))</f>
        <v/>
      </c>
    </row>
    <row r="37">
      <c r="A37" s="330">
        <f>IF(itens_Remanesc!A36="","",itens_Remanesc!A36)</f>
        <v/>
      </c>
      <c r="B37" s="331">
        <f>IF(OR(itens_Remanesc!A36="",NOT(ISNUMBER(parametros!$G$2))),"",ROUND(itens_Remanesc!C36*parametros!$G$2,2))</f>
        <v/>
      </c>
      <c r="C37" s="332">
        <f>IF(itens_Remanesc!A36="","",itens_Remanesc!B36)</f>
        <v/>
      </c>
      <c r="D37" s="331">
        <f>IF(A37="","",ROUND(B37*C37,2))</f>
        <v/>
      </c>
      <c r="E37" s="333">
        <f>IF(OR(itens_Remanesc!A36="",NOT(ISNUMBER(parametros!$G$3))),"",ROUND(itens_Remanesc!C36*parametros!$G$3,2))</f>
        <v/>
      </c>
      <c r="F37" s="334">
        <f>IF(itens_Remanesc!A36="","",itens_Remanesc!E36)</f>
        <v/>
      </c>
      <c r="G37" s="333">
        <f>IF(OR(A37="",E37="",F37=""),"",ROUND(E37*F37,2))</f>
        <v/>
      </c>
      <c r="H37" s="331">
        <f>IF(OR(itens_Remanesc!A36="",NOT(ISNUMBER(parametros!$G$4))),"",ROUND(itens_Remanesc!C36*parametros!$G$4,2))</f>
        <v/>
      </c>
      <c r="I37" s="332">
        <f>IF(itens_Remanesc!A36="","",itens_Remanesc!G36)</f>
        <v/>
      </c>
      <c r="J37" s="331">
        <f>IF(OR(A37="",H37="",I37=""),"",ROUND(H37*I37,2))</f>
        <v/>
      </c>
      <c r="K37" s="333">
        <f>IF(OR(itens_Remanesc!A36="",NOT(ISNUMBER(parametros!$G$5))),"",ROUND(itens_Remanesc!C36*parametros!$G$5,2))</f>
        <v/>
      </c>
      <c r="L37" s="334">
        <f>IF(itens_Remanesc!A36="","",itens_Remanesc!I36)</f>
        <v/>
      </c>
      <c r="M37" s="333">
        <f>IF(OR(A37="",K37="",L37=""),"",ROUND(K37*L37,2))</f>
        <v/>
      </c>
      <c r="N37" s="331">
        <f>IF(OR(itens_Remanesc!A36="",NOT(ISNUMBER(parametros!$G$6))),"",ROUND(itens_Remanesc!C36*parametros!$G$6,2))</f>
        <v/>
      </c>
      <c r="O37" s="332">
        <f>IF(itens_Remanesc!A36="","",itens_Remanesc!K36)</f>
        <v/>
      </c>
      <c r="P37" s="331">
        <f>IF(OR(A37="",N37="",O37=""),"",ROUND(N37*O37,2))</f>
        <v/>
      </c>
    </row>
    <row r="38">
      <c r="A38" s="330">
        <f>IF(itens_Remanesc!A37="","",itens_Remanesc!A37)</f>
        <v/>
      </c>
      <c r="B38" s="331">
        <f>IF(OR(itens_Remanesc!A37="",NOT(ISNUMBER(parametros!$G$2))),"",ROUND(itens_Remanesc!C37*parametros!$G$2,2))</f>
        <v/>
      </c>
      <c r="C38" s="332">
        <f>IF(itens_Remanesc!A37="","",itens_Remanesc!B37)</f>
        <v/>
      </c>
      <c r="D38" s="331">
        <f>IF(A38="","",ROUND(B38*C38,2))</f>
        <v/>
      </c>
      <c r="E38" s="333">
        <f>IF(OR(itens_Remanesc!A37="",NOT(ISNUMBER(parametros!$G$3))),"",ROUND(itens_Remanesc!C37*parametros!$G$3,2))</f>
        <v/>
      </c>
      <c r="F38" s="334">
        <f>IF(itens_Remanesc!A37="","",itens_Remanesc!E37)</f>
        <v/>
      </c>
      <c r="G38" s="333">
        <f>IF(OR(A38="",E38="",F38=""),"",ROUND(E38*F38,2))</f>
        <v/>
      </c>
      <c r="H38" s="331">
        <f>IF(OR(itens_Remanesc!A37="",NOT(ISNUMBER(parametros!$G$4))),"",ROUND(itens_Remanesc!C37*parametros!$G$4,2))</f>
        <v/>
      </c>
      <c r="I38" s="332">
        <f>IF(itens_Remanesc!A37="","",itens_Remanesc!G37)</f>
        <v/>
      </c>
      <c r="J38" s="331">
        <f>IF(OR(A38="",H38="",I38=""),"",ROUND(H38*I38,2))</f>
        <v/>
      </c>
      <c r="K38" s="333">
        <f>IF(OR(itens_Remanesc!A37="",NOT(ISNUMBER(parametros!$G$5))),"",ROUND(itens_Remanesc!C37*parametros!$G$5,2))</f>
        <v/>
      </c>
      <c r="L38" s="334">
        <f>IF(itens_Remanesc!A37="","",itens_Remanesc!I37)</f>
        <v/>
      </c>
      <c r="M38" s="333">
        <f>IF(OR(A38="",K38="",L38=""),"",ROUND(K38*L38,2))</f>
        <v/>
      </c>
      <c r="N38" s="331">
        <f>IF(OR(itens_Remanesc!A37="",NOT(ISNUMBER(parametros!$G$6))),"",ROUND(itens_Remanesc!C37*parametros!$G$6,2))</f>
        <v/>
      </c>
      <c r="O38" s="332">
        <f>IF(itens_Remanesc!A37="","",itens_Remanesc!K37)</f>
        <v/>
      </c>
      <c r="P38" s="331">
        <f>IF(OR(A38="",N38="",O38=""),"",ROUND(N38*O38,2))</f>
        <v/>
      </c>
    </row>
    <row r="39">
      <c r="A39" s="330">
        <f>IF(itens_Remanesc!A38="","",itens_Remanesc!A38)</f>
        <v/>
      </c>
      <c r="B39" s="331">
        <f>IF(OR(itens_Remanesc!A38="",NOT(ISNUMBER(parametros!$G$2))),"",ROUND(itens_Remanesc!C38*parametros!$G$2,2))</f>
        <v/>
      </c>
      <c r="C39" s="332">
        <f>IF(itens_Remanesc!A38="","",itens_Remanesc!B38)</f>
        <v/>
      </c>
      <c r="D39" s="331">
        <f>IF(A39="","",ROUND(B39*C39,2))</f>
        <v/>
      </c>
      <c r="E39" s="333">
        <f>IF(OR(itens_Remanesc!A38="",NOT(ISNUMBER(parametros!$G$3))),"",ROUND(itens_Remanesc!C38*parametros!$G$3,2))</f>
        <v/>
      </c>
      <c r="F39" s="334">
        <f>IF(itens_Remanesc!A38="","",itens_Remanesc!E38)</f>
        <v/>
      </c>
      <c r="G39" s="333">
        <f>IF(OR(A39="",E39="",F39=""),"",ROUND(E39*F39,2))</f>
        <v/>
      </c>
      <c r="H39" s="331">
        <f>IF(OR(itens_Remanesc!A38="",NOT(ISNUMBER(parametros!$G$4))),"",ROUND(itens_Remanesc!C38*parametros!$G$4,2))</f>
        <v/>
      </c>
      <c r="I39" s="332">
        <f>IF(itens_Remanesc!A38="","",itens_Remanesc!G38)</f>
        <v/>
      </c>
      <c r="J39" s="331">
        <f>IF(OR(A39="",H39="",I39=""),"",ROUND(H39*I39,2))</f>
        <v/>
      </c>
      <c r="K39" s="333">
        <f>IF(OR(itens_Remanesc!A38="",NOT(ISNUMBER(parametros!$G$5))),"",ROUND(itens_Remanesc!C38*parametros!$G$5,2))</f>
        <v/>
      </c>
      <c r="L39" s="334">
        <f>IF(itens_Remanesc!A38="","",itens_Remanesc!I38)</f>
        <v/>
      </c>
      <c r="M39" s="333">
        <f>IF(OR(A39="",K39="",L39=""),"",ROUND(K39*L39,2))</f>
        <v/>
      </c>
      <c r="N39" s="331">
        <f>IF(OR(itens_Remanesc!A38="",NOT(ISNUMBER(parametros!$G$6))),"",ROUND(itens_Remanesc!C38*parametros!$G$6,2))</f>
        <v/>
      </c>
      <c r="O39" s="332">
        <f>IF(itens_Remanesc!A38="","",itens_Remanesc!K38)</f>
        <v/>
      </c>
      <c r="P39" s="331">
        <f>IF(OR(A39="",N39="",O39=""),"",ROUND(N39*O39,2))</f>
        <v/>
      </c>
    </row>
    <row r="40">
      <c r="A40" s="330">
        <f>IF(itens_Remanesc!A39="","",itens_Remanesc!A39)</f>
        <v/>
      </c>
      <c r="B40" s="331">
        <f>IF(OR(itens_Remanesc!A39="",NOT(ISNUMBER(parametros!$G$2))),"",ROUND(itens_Remanesc!C39*parametros!$G$2,2))</f>
        <v/>
      </c>
      <c r="C40" s="332">
        <f>IF(itens_Remanesc!A39="","",itens_Remanesc!B39)</f>
        <v/>
      </c>
      <c r="D40" s="331">
        <f>IF(A40="","",ROUND(B40*C40,2))</f>
        <v/>
      </c>
      <c r="E40" s="333">
        <f>IF(OR(itens_Remanesc!A39="",NOT(ISNUMBER(parametros!$G$3))),"",ROUND(itens_Remanesc!C39*parametros!$G$3,2))</f>
        <v/>
      </c>
      <c r="F40" s="334">
        <f>IF(itens_Remanesc!A39="","",itens_Remanesc!E39)</f>
        <v/>
      </c>
      <c r="G40" s="333">
        <f>IF(OR(A40="",E40="",F40=""),"",ROUND(E40*F40,2))</f>
        <v/>
      </c>
      <c r="H40" s="331">
        <f>IF(OR(itens_Remanesc!A39="",NOT(ISNUMBER(parametros!$G$4))),"",ROUND(itens_Remanesc!C39*parametros!$G$4,2))</f>
        <v/>
      </c>
      <c r="I40" s="332">
        <f>IF(itens_Remanesc!A39="","",itens_Remanesc!G39)</f>
        <v/>
      </c>
      <c r="J40" s="331">
        <f>IF(OR(A40="",H40="",I40=""),"",ROUND(H40*I40,2))</f>
        <v/>
      </c>
      <c r="K40" s="333">
        <f>IF(OR(itens_Remanesc!A39="",NOT(ISNUMBER(parametros!$G$5))),"",ROUND(itens_Remanesc!C39*parametros!$G$5,2))</f>
        <v/>
      </c>
      <c r="L40" s="334">
        <f>IF(itens_Remanesc!A39="","",itens_Remanesc!I39)</f>
        <v/>
      </c>
      <c r="M40" s="333">
        <f>IF(OR(A40="",K40="",L40=""),"",ROUND(K40*L40,2))</f>
        <v/>
      </c>
      <c r="N40" s="331">
        <f>IF(OR(itens_Remanesc!A39="",NOT(ISNUMBER(parametros!$G$6))),"",ROUND(itens_Remanesc!C39*parametros!$G$6,2))</f>
        <v/>
      </c>
      <c r="O40" s="332">
        <f>IF(itens_Remanesc!A39="","",itens_Remanesc!K39)</f>
        <v/>
      </c>
      <c r="P40" s="331">
        <f>IF(OR(A40="",N40="",O40=""),"",ROUND(N40*O40,2))</f>
        <v/>
      </c>
    </row>
    <row r="41">
      <c r="A41" s="330">
        <f>IF(itens_Remanesc!A40="","",itens_Remanesc!A40)</f>
        <v/>
      </c>
      <c r="B41" s="331">
        <f>IF(OR(itens_Remanesc!A40="",NOT(ISNUMBER(parametros!$G$2))),"",ROUND(itens_Remanesc!C40*parametros!$G$2,2))</f>
        <v/>
      </c>
      <c r="C41" s="332">
        <f>IF(itens_Remanesc!A40="","",itens_Remanesc!B40)</f>
        <v/>
      </c>
      <c r="D41" s="331">
        <f>IF(A41="","",ROUND(B41*C41,2))</f>
        <v/>
      </c>
      <c r="E41" s="333">
        <f>IF(OR(itens_Remanesc!A40="",NOT(ISNUMBER(parametros!$G$3))),"",ROUND(itens_Remanesc!C40*parametros!$G$3,2))</f>
        <v/>
      </c>
      <c r="F41" s="334">
        <f>IF(itens_Remanesc!A40="","",itens_Remanesc!E40)</f>
        <v/>
      </c>
      <c r="G41" s="333">
        <f>IF(OR(A41="",E41="",F41=""),"",ROUND(E41*F41,2))</f>
        <v/>
      </c>
      <c r="H41" s="331">
        <f>IF(OR(itens_Remanesc!A40="",NOT(ISNUMBER(parametros!$G$4))),"",ROUND(itens_Remanesc!C40*parametros!$G$4,2))</f>
        <v/>
      </c>
      <c r="I41" s="332">
        <f>IF(itens_Remanesc!A40="","",itens_Remanesc!G40)</f>
        <v/>
      </c>
      <c r="J41" s="331">
        <f>IF(OR(A41="",H41="",I41=""),"",ROUND(H41*I41,2))</f>
        <v/>
      </c>
      <c r="K41" s="333">
        <f>IF(OR(itens_Remanesc!A40="",NOT(ISNUMBER(parametros!$G$5))),"",ROUND(itens_Remanesc!C40*parametros!$G$5,2))</f>
        <v/>
      </c>
      <c r="L41" s="334">
        <f>IF(itens_Remanesc!A40="","",itens_Remanesc!I40)</f>
        <v/>
      </c>
      <c r="M41" s="333">
        <f>IF(OR(A41="",K41="",L41=""),"",ROUND(K41*L41,2))</f>
        <v/>
      </c>
      <c r="N41" s="331">
        <f>IF(OR(itens_Remanesc!A40="",NOT(ISNUMBER(parametros!$G$6))),"",ROUND(itens_Remanesc!C40*parametros!$G$6,2))</f>
        <v/>
      </c>
      <c r="O41" s="332">
        <f>IF(itens_Remanesc!A40="","",itens_Remanesc!K40)</f>
        <v/>
      </c>
      <c r="P41" s="331">
        <f>IF(OR(A41="",N41="",O41=""),"",ROUND(N41*O41,2))</f>
        <v/>
      </c>
    </row>
    <row r="42">
      <c r="A42" s="330">
        <f>IF(itens_Remanesc!A41="","",itens_Remanesc!A41)</f>
        <v/>
      </c>
      <c r="B42" s="331">
        <f>IF(OR(itens_Remanesc!A41="",NOT(ISNUMBER(parametros!$G$2))),"",ROUND(itens_Remanesc!C41*parametros!$G$2,2))</f>
        <v/>
      </c>
      <c r="C42" s="332">
        <f>IF(itens_Remanesc!A41="","",itens_Remanesc!B41)</f>
        <v/>
      </c>
      <c r="D42" s="331">
        <f>IF(A42="","",ROUND(B42*C42,2))</f>
        <v/>
      </c>
      <c r="E42" s="333">
        <f>IF(OR(itens_Remanesc!A41="",NOT(ISNUMBER(parametros!$G$3))),"",ROUND(itens_Remanesc!C41*parametros!$G$3,2))</f>
        <v/>
      </c>
      <c r="F42" s="334">
        <f>IF(itens_Remanesc!A41="","",itens_Remanesc!E41)</f>
        <v/>
      </c>
      <c r="G42" s="333">
        <f>IF(OR(A42="",E42="",F42=""),"",ROUND(E42*F42,2))</f>
        <v/>
      </c>
      <c r="H42" s="331">
        <f>IF(OR(itens_Remanesc!A41="",NOT(ISNUMBER(parametros!$G$4))),"",ROUND(itens_Remanesc!C41*parametros!$G$4,2))</f>
        <v/>
      </c>
      <c r="I42" s="332">
        <f>IF(itens_Remanesc!A41="","",itens_Remanesc!G41)</f>
        <v/>
      </c>
      <c r="J42" s="331">
        <f>IF(OR(A42="",H42="",I42=""),"",ROUND(H42*I42,2))</f>
        <v/>
      </c>
      <c r="K42" s="333">
        <f>IF(OR(itens_Remanesc!A41="",NOT(ISNUMBER(parametros!$G$5))),"",ROUND(itens_Remanesc!C41*parametros!$G$5,2))</f>
        <v/>
      </c>
      <c r="L42" s="334">
        <f>IF(itens_Remanesc!A41="","",itens_Remanesc!I41)</f>
        <v/>
      </c>
      <c r="M42" s="333">
        <f>IF(OR(A42="",K42="",L42=""),"",ROUND(K42*L42,2))</f>
        <v/>
      </c>
      <c r="N42" s="331">
        <f>IF(OR(itens_Remanesc!A41="",NOT(ISNUMBER(parametros!$G$6))),"",ROUND(itens_Remanesc!C41*parametros!$G$6,2))</f>
        <v/>
      </c>
      <c r="O42" s="332">
        <f>IF(itens_Remanesc!A41="","",itens_Remanesc!K41)</f>
        <v/>
      </c>
      <c r="P42" s="331">
        <f>IF(OR(A42="",N42="",O42=""),"",ROUND(N42*O42,2))</f>
        <v/>
      </c>
    </row>
    <row r="43">
      <c r="A43" s="330">
        <f>IF(itens_Remanesc!A42="","",itens_Remanesc!A42)</f>
        <v/>
      </c>
      <c r="B43" s="331">
        <f>IF(OR(itens_Remanesc!A42="",NOT(ISNUMBER(parametros!$G$2))),"",ROUND(itens_Remanesc!C42*parametros!$G$2,2))</f>
        <v/>
      </c>
      <c r="C43" s="332">
        <f>IF(itens_Remanesc!A42="","",itens_Remanesc!B42)</f>
        <v/>
      </c>
      <c r="D43" s="331">
        <f>IF(A43="","",ROUND(B43*C43,2))</f>
        <v/>
      </c>
      <c r="E43" s="333">
        <f>IF(OR(itens_Remanesc!A42="",NOT(ISNUMBER(parametros!$G$3))),"",ROUND(itens_Remanesc!C42*parametros!$G$3,2))</f>
        <v/>
      </c>
      <c r="F43" s="334">
        <f>IF(itens_Remanesc!A42="","",itens_Remanesc!E42)</f>
        <v/>
      </c>
      <c r="G43" s="333">
        <f>IF(OR(A43="",E43="",F43=""),"",ROUND(E43*F43,2))</f>
        <v/>
      </c>
      <c r="H43" s="331">
        <f>IF(OR(itens_Remanesc!A42="",NOT(ISNUMBER(parametros!$G$4))),"",ROUND(itens_Remanesc!C42*parametros!$G$4,2))</f>
        <v/>
      </c>
      <c r="I43" s="332">
        <f>IF(itens_Remanesc!A42="","",itens_Remanesc!G42)</f>
        <v/>
      </c>
      <c r="J43" s="331">
        <f>IF(OR(A43="",H43="",I43=""),"",ROUND(H43*I43,2))</f>
        <v/>
      </c>
      <c r="K43" s="333">
        <f>IF(OR(itens_Remanesc!A42="",NOT(ISNUMBER(parametros!$G$5))),"",ROUND(itens_Remanesc!C42*parametros!$G$5,2))</f>
        <v/>
      </c>
      <c r="L43" s="334">
        <f>IF(itens_Remanesc!A42="","",itens_Remanesc!I42)</f>
        <v/>
      </c>
      <c r="M43" s="333">
        <f>IF(OR(A43="",K43="",L43=""),"",ROUND(K43*L43,2))</f>
        <v/>
      </c>
      <c r="N43" s="331">
        <f>IF(OR(itens_Remanesc!A42="",NOT(ISNUMBER(parametros!$G$6))),"",ROUND(itens_Remanesc!C42*parametros!$G$6,2))</f>
        <v/>
      </c>
      <c r="O43" s="332">
        <f>IF(itens_Remanesc!A42="","",itens_Remanesc!K42)</f>
        <v/>
      </c>
      <c r="P43" s="331">
        <f>IF(OR(A43="",N43="",O43=""),"",ROUND(N43*O43,2))</f>
        <v/>
      </c>
    </row>
    <row r="44">
      <c r="A44" s="330">
        <f>IF(itens_Remanesc!A43="","",itens_Remanesc!A43)</f>
        <v/>
      </c>
      <c r="B44" s="331">
        <f>IF(OR(itens_Remanesc!A43="",NOT(ISNUMBER(parametros!$G$2))),"",ROUND(itens_Remanesc!C43*parametros!$G$2,2))</f>
        <v/>
      </c>
      <c r="C44" s="332">
        <f>IF(itens_Remanesc!A43="","",itens_Remanesc!B43)</f>
        <v/>
      </c>
      <c r="D44" s="331">
        <f>IF(A44="","",ROUND(B44*C44,2))</f>
        <v/>
      </c>
      <c r="E44" s="333">
        <f>IF(OR(itens_Remanesc!A43="",NOT(ISNUMBER(parametros!$G$3))),"",ROUND(itens_Remanesc!C43*parametros!$G$3,2))</f>
        <v/>
      </c>
      <c r="F44" s="334">
        <f>IF(itens_Remanesc!A43="","",itens_Remanesc!E43)</f>
        <v/>
      </c>
      <c r="G44" s="333">
        <f>IF(OR(A44="",E44="",F44=""),"",ROUND(E44*F44,2))</f>
        <v/>
      </c>
      <c r="H44" s="331">
        <f>IF(OR(itens_Remanesc!A43="",NOT(ISNUMBER(parametros!$G$4))),"",ROUND(itens_Remanesc!C43*parametros!$G$4,2))</f>
        <v/>
      </c>
      <c r="I44" s="332">
        <f>IF(itens_Remanesc!A43="","",itens_Remanesc!G43)</f>
        <v/>
      </c>
      <c r="J44" s="331">
        <f>IF(OR(A44="",H44="",I44=""),"",ROUND(H44*I44,2))</f>
        <v/>
      </c>
      <c r="K44" s="333">
        <f>IF(OR(itens_Remanesc!A43="",NOT(ISNUMBER(parametros!$G$5))),"",ROUND(itens_Remanesc!C43*parametros!$G$5,2))</f>
        <v/>
      </c>
      <c r="L44" s="334">
        <f>IF(itens_Remanesc!A43="","",itens_Remanesc!I43)</f>
        <v/>
      </c>
      <c r="M44" s="333">
        <f>IF(OR(A44="",K44="",L44=""),"",ROUND(K44*L44,2))</f>
        <v/>
      </c>
      <c r="N44" s="331">
        <f>IF(OR(itens_Remanesc!A43="",NOT(ISNUMBER(parametros!$G$6))),"",ROUND(itens_Remanesc!C43*parametros!$G$6,2))</f>
        <v/>
      </c>
      <c r="O44" s="332">
        <f>IF(itens_Remanesc!A43="","",itens_Remanesc!K43)</f>
        <v/>
      </c>
      <c r="P44" s="331">
        <f>IF(OR(A44="",N44="",O44=""),"",ROUND(N44*O44,2))</f>
        <v/>
      </c>
    </row>
    <row r="45">
      <c r="A45" s="330">
        <f>IF(itens_Remanesc!A44="","",itens_Remanesc!A44)</f>
        <v/>
      </c>
      <c r="B45" s="331">
        <f>IF(OR(itens_Remanesc!A44="",NOT(ISNUMBER(parametros!$G$2))),"",ROUND(itens_Remanesc!C44*parametros!$G$2,2))</f>
        <v/>
      </c>
      <c r="C45" s="332">
        <f>IF(itens_Remanesc!A44="","",itens_Remanesc!B44)</f>
        <v/>
      </c>
      <c r="D45" s="331">
        <f>IF(A45="","",ROUND(B45*C45,2))</f>
        <v/>
      </c>
      <c r="E45" s="333">
        <f>IF(OR(itens_Remanesc!A44="",NOT(ISNUMBER(parametros!$G$3))),"",ROUND(itens_Remanesc!C44*parametros!$G$3,2))</f>
        <v/>
      </c>
      <c r="F45" s="334">
        <f>IF(itens_Remanesc!A44="","",itens_Remanesc!E44)</f>
        <v/>
      </c>
      <c r="G45" s="333">
        <f>IF(OR(A45="",E45="",F45=""),"",ROUND(E45*F45,2))</f>
        <v/>
      </c>
      <c r="H45" s="331">
        <f>IF(OR(itens_Remanesc!A44="",NOT(ISNUMBER(parametros!$G$4))),"",ROUND(itens_Remanesc!C44*parametros!$G$4,2))</f>
        <v/>
      </c>
      <c r="I45" s="332">
        <f>IF(itens_Remanesc!A44="","",itens_Remanesc!G44)</f>
        <v/>
      </c>
      <c r="J45" s="331">
        <f>IF(OR(A45="",H45="",I45=""),"",ROUND(H45*I45,2))</f>
        <v/>
      </c>
      <c r="K45" s="333">
        <f>IF(OR(itens_Remanesc!A44="",NOT(ISNUMBER(parametros!$G$5))),"",ROUND(itens_Remanesc!C44*parametros!$G$5,2))</f>
        <v/>
      </c>
      <c r="L45" s="334">
        <f>IF(itens_Remanesc!A44="","",itens_Remanesc!I44)</f>
        <v/>
      </c>
      <c r="M45" s="333">
        <f>IF(OR(A45="",K45="",L45=""),"",ROUND(K45*L45,2))</f>
        <v/>
      </c>
      <c r="N45" s="331">
        <f>IF(OR(itens_Remanesc!A44="",NOT(ISNUMBER(parametros!$G$6))),"",ROUND(itens_Remanesc!C44*parametros!$G$6,2))</f>
        <v/>
      </c>
      <c r="O45" s="332">
        <f>IF(itens_Remanesc!A44="","",itens_Remanesc!K44)</f>
        <v/>
      </c>
      <c r="P45" s="331">
        <f>IF(OR(A45="",N45="",O45=""),"",ROUND(N45*O45,2))</f>
        <v/>
      </c>
    </row>
    <row r="46">
      <c r="A46" s="330">
        <f>IF(itens_Remanesc!A45="","",itens_Remanesc!A45)</f>
        <v/>
      </c>
      <c r="B46" s="331">
        <f>IF(OR(itens_Remanesc!A45="",NOT(ISNUMBER(parametros!$G$2))),"",ROUND(itens_Remanesc!C45*parametros!$G$2,2))</f>
        <v/>
      </c>
      <c r="C46" s="332">
        <f>IF(itens_Remanesc!A45="","",itens_Remanesc!B45)</f>
        <v/>
      </c>
      <c r="D46" s="331">
        <f>IF(A46="","",ROUND(B46*C46,2))</f>
        <v/>
      </c>
      <c r="E46" s="333">
        <f>IF(OR(itens_Remanesc!A45="",NOT(ISNUMBER(parametros!$G$3))),"",ROUND(itens_Remanesc!C45*parametros!$G$3,2))</f>
        <v/>
      </c>
      <c r="F46" s="334">
        <f>IF(itens_Remanesc!A45="","",itens_Remanesc!E45)</f>
        <v/>
      </c>
      <c r="G46" s="333">
        <f>IF(OR(A46="",E46="",F46=""),"",ROUND(E46*F46,2))</f>
        <v/>
      </c>
      <c r="H46" s="331">
        <f>IF(OR(itens_Remanesc!A45="",NOT(ISNUMBER(parametros!$G$4))),"",ROUND(itens_Remanesc!C45*parametros!$G$4,2))</f>
        <v/>
      </c>
      <c r="I46" s="332">
        <f>IF(itens_Remanesc!A45="","",itens_Remanesc!G45)</f>
        <v/>
      </c>
      <c r="J46" s="331">
        <f>IF(OR(A46="",H46="",I46=""),"",ROUND(H46*I46,2))</f>
        <v/>
      </c>
      <c r="K46" s="333">
        <f>IF(OR(itens_Remanesc!A45="",NOT(ISNUMBER(parametros!$G$5))),"",ROUND(itens_Remanesc!C45*parametros!$G$5,2))</f>
        <v/>
      </c>
      <c r="L46" s="334">
        <f>IF(itens_Remanesc!A45="","",itens_Remanesc!I45)</f>
        <v/>
      </c>
      <c r="M46" s="333">
        <f>IF(OR(A46="",K46="",L46=""),"",ROUND(K46*L46,2))</f>
        <v/>
      </c>
      <c r="N46" s="331">
        <f>IF(OR(itens_Remanesc!A45="",NOT(ISNUMBER(parametros!$G$6))),"",ROUND(itens_Remanesc!C45*parametros!$G$6,2))</f>
        <v/>
      </c>
      <c r="O46" s="332">
        <f>IF(itens_Remanesc!A45="","",itens_Remanesc!K45)</f>
        <v/>
      </c>
      <c r="P46" s="331">
        <f>IF(OR(A46="",N46="",O46=""),"",ROUND(N46*O46,2))</f>
        <v/>
      </c>
    </row>
    <row r="47">
      <c r="A47" s="330">
        <f>IF(itens_Remanesc!A46="","",itens_Remanesc!A46)</f>
        <v/>
      </c>
      <c r="B47" s="331">
        <f>IF(OR(itens_Remanesc!A46="",NOT(ISNUMBER(parametros!$G$2))),"",ROUND(itens_Remanesc!C46*parametros!$G$2,2))</f>
        <v/>
      </c>
      <c r="C47" s="332">
        <f>IF(itens_Remanesc!A46="","",itens_Remanesc!B46)</f>
        <v/>
      </c>
      <c r="D47" s="331">
        <f>IF(A47="","",ROUND(B47*C47,2))</f>
        <v/>
      </c>
      <c r="E47" s="333">
        <f>IF(OR(itens_Remanesc!A46="",NOT(ISNUMBER(parametros!$G$3))),"",ROUND(itens_Remanesc!C46*parametros!$G$3,2))</f>
        <v/>
      </c>
      <c r="F47" s="334">
        <f>IF(itens_Remanesc!A46="","",itens_Remanesc!E46)</f>
        <v/>
      </c>
      <c r="G47" s="333">
        <f>IF(OR(A47="",E47="",F47=""),"",ROUND(E47*F47,2))</f>
        <v/>
      </c>
      <c r="H47" s="331">
        <f>IF(OR(itens_Remanesc!A46="",NOT(ISNUMBER(parametros!$G$4))),"",ROUND(itens_Remanesc!C46*parametros!$G$4,2))</f>
        <v/>
      </c>
      <c r="I47" s="332">
        <f>IF(itens_Remanesc!A46="","",itens_Remanesc!G46)</f>
        <v/>
      </c>
      <c r="J47" s="331">
        <f>IF(OR(A47="",H47="",I47=""),"",ROUND(H47*I47,2))</f>
        <v/>
      </c>
      <c r="K47" s="333">
        <f>IF(OR(itens_Remanesc!A46="",NOT(ISNUMBER(parametros!$G$5))),"",ROUND(itens_Remanesc!C46*parametros!$G$5,2))</f>
        <v/>
      </c>
      <c r="L47" s="334">
        <f>IF(itens_Remanesc!A46="","",itens_Remanesc!I46)</f>
        <v/>
      </c>
      <c r="M47" s="333">
        <f>IF(OR(A47="",K47="",L47=""),"",ROUND(K47*L47,2))</f>
        <v/>
      </c>
      <c r="N47" s="331">
        <f>IF(OR(itens_Remanesc!A46="",NOT(ISNUMBER(parametros!$G$6))),"",ROUND(itens_Remanesc!C46*parametros!$G$6,2))</f>
        <v/>
      </c>
      <c r="O47" s="332">
        <f>IF(itens_Remanesc!A46="","",itens_Remanesc!K46)</f>
        <v/>
      </c>
      <c r="P47" s="331">
        <f>IF(OR(A47="",N47="",O47=""),"",ROUND(N47*O47,2))</f>
        <v/>
      </c>
    </row>
    <row r="48">
      <c r="A48" s="330">
        <f>IF(itens_Remanesc!A47="","",itens_Remanesc!A47)</f>
        <v/>
      </c>
      <c r="B48" s="331">
        <f>IF(OR(itens_Remanesc!A47="",NOT(ISNUMBER(parametros!$G$2))),"",ROUND(itens_Remanesc!C47*parametros!$G$2,2))</f>
        <v/>
      </c>
      <c r="C48" s="332">
        <f>IF(itens_Remanesc!A47="","",itens_Remanesc!B47)</f>
        <v/>
      </c>
      <c r="D48" s="331">
        <f>IF(A48="","",ROUND(B48*C48,2))</f>
        <v/>
      </c>
      <c r="E48" s="333">
        <f>IF(OR(itens_Remanesc!A47="",NOT(ISNUMBER(parametros!$G$3))),"",ROUND(itens_Remanesc!C47*parametros!$G$3,2))</f>
        <v/>
      </c>
      <c r="F48" s="334">
        <f>IF(itens_Remanesc!A47="","",itens_Remanesc!E47)</f>
        <v/>
      </c>
      <c r="G48" s="333">
        <f>IF(OR(A48="",E48="",F48=""),"",ROUND(E48*F48,2))</f>
        <v/>
      </c>
      <c r="H48" s="331">
        <f>IF(OR(itens_Remanesc!A47="",NOT(ISNUMBER(parametros!$G$4))),"",ROUND(itens_Remanesc!C47*parametros!$G$4,2))</f>
        <v/>
      </c>
      <c r="I48" s="332">
        <f>IF(itens_Remanesc!A47="","",itens_Remanesc!G47)</f>
        <v/>
      </c>
      <c r="J48" s="331">
        <f>IF(OR(A48="",H48="",I48=""),"",ROUND(H48*I48,2))</f>
        <v/>
      </c>
      <c r="K48" s="333">
        <f>IF(OR(itens_Remanesc!A47="",NOT(ISNUMBER(parametros!$G$5))),"",ROUND(itens_Remanesc!C47*parametros!$G$5,2))</f>
        <v/>
      </c>
      <c r="L48" s="334">
        <f>IF(itens_Remanesc!A47="","",itens_Remanesc!I47)</f>
        <v/>
      </c>
      <c r="M48" s="333">
        <f>IF(OR(A48="",K48="",L48=""),"",ROUND(K48*L48,2))</f>
        <v/>
      </c>
      <c r="N48" s="331">
        <f>IF(OR(itens_Remanesc!A47="",NOT(ISNUMBER(parametros!$G$6))),"",ROUND(itens_Remanesc!C47*parametros!$G$6,2))</f>
        <v/>
      </c>
      <c r="O48" s="332">
        <f>IF(itens_Remanesc!A47="","",itens_Remanesc!K47)</f>
        <v/>
      </c>
      <c r="P48" s="331">
        <f>IF(OR(A48="",N48="",O48=""),"",ROUND(N48*O48,2))</f>
        <v/>
      </c>
    </row>
    <row r="49">
      <c r="A49" s="330">
        <f>IF(itens_Remanesc!A48="","",itens_Remanesc!A48)</f>
        <v/>
      </c>
      <c r="B49" s="331">
        <f>IF(OR(itens_Remanesc!A48="",NOT(ISNUMBER(parametros!$G$2))),"",ROUND(itens_Remanesc!C48*parametros!$G$2,2))</f>
        <v/>
      </c>
      <c r="C49" s="332">
        <f>IF(itens_Remanesc!A48="","",itens_Remanesc!B48)</f>
        <v/>
      </c>
      <c r="D49" s="331">
        <f>IF(A49="","",ROUND(B49*C49,2))</f>
        <v/>
      </c>
      <c r="E49" s="333">
        <f>IF(OR(itens_Remanesc!A48="",NOT(ISNUMBER(parametros!$G$3))),"",ROUND(itens_Remanesc!C48*parametros!$G$3,2))</f>
        <v/>
      </c>
      <c r="F49" s="334">
        <f>IF(itens_Remanesc!A48="","",itens_Remanesc!E48)</f>
        <v/>
      </c>
      <c r="G49" s="333">
        <f>IF(OR(A49="",E49="",F49=""),"",ROUND(E49*F49,2))</f>
        <v/>
      </c>
      <c r="H49" s="331">
        <f>IF(OR(itens_Remanesc!A48="",NOT(ISNUMBER(parametros!$G$4))),"",ROUND(itens_Remanesc!C48*parametros!$G$4,2))</f>
        <v/>
      </c>
      <c r="I49" s="332">
        <f>IF(itens_Remanesc!A48="","",itens_Remanesc!G48)</f>
        <v/>
      </c>
      <c r="J49" s="331">
        <f>IF(OR(A49="",H49="",I49=""),"",ROUND(H49*I49,2))</f>
        <v/>
      </c>
      <c r="K49" s="333">
        <f>IF(OR(itens_Remanesc!A48="",NOT(ISNUMBER(parametros!$G$5))),"",ROUND(itens_Remanesc!C48*parametros!$G$5,2))</f>
        <v/>
      </c>
      <c r="L49" s="334">
        <f>IF(itens_Remanesc!A48="","",itens_Remanesc!I48)</f>
        <v/>
      </c>
      <c r="M49" s="333">
        <f>IF(OR(A49="",K49="",L49=""),"",ROUND(K49*L49,2))</f>
        <v/>
      </c>
      <c r="N49" s="331">
        <f>IF(OR(itens_Remanesc!A48="",NOT(ISNUMBER(parametros!$G$6))),"",ROUND(itens_Remanesc!C48*parametros!$G$6,2))</f>
        <v/>
      </c>
      <c r="O49" s="332">
        <f>IF(itens_Remanesc!A48="","",itens_Remanesc!K48)</f>
        <v/>
      </c>
      <c r="P49" s="331">
        <f>IF(OR(A49="",N49="",O49=""),"",ROUND(N49*O49,2))</f>
        <v/>
      </c>
    </row>
    <row r="50">
      <c r="A50" s="330">
        <f>IF(itens_Remanesc!A49="","",itens_Remanesc!A49)</f>
        <v/>
      </c>
      <c r="B50" s="331">
        <f>IF(OR(itens_Remanesc!A49="",NOT(ISNUMBER(parametros!$G$2))),"",ROUND(itens_Remanesc!C49*parametros!$G$2,2))</f>
        <v/>
      </c>
      <c r="C50" s="332">
        <f>IF(itens_Remanesc!A49="","",itens_Remanesc!B49)</f>
        <v/>
      </c>
      <c r="D50" s="331">
        <f>IF(A50="","",ROUND(B50*C50,2))</f>
        <v/>
      </c>
      <c r="E50" s="333">
        <f>IF(OR(itens_Remanesc!A49="",NOT(ISNUMBER(parametros!$G$3))),"",ROUND(itens_Remanesc!C49*parametros!$G$3,2))</f>
        <v/>
      </c>
      <c r="F50" s="334">
        <f>IF(itens_Remanesc!A49="","",itens_Remanesc!E49)</f>
        <v/>
      </c>
      <c r="G50" s="333">
        <f>IF(OR(A50="",E50="",F50=""),"",ROUND(E50*F50,2))</f>
        <v/>
      </c>
      <c r="H50" s="331">
        <f>IF(OR(itens_Remanesc!A49="",NOT(ISNUMBER(parametros!$G$4))),"",ROUND(itens_Remanesc!C49*parametros!$G$4,2))</f>
        <v/>
      </c>
      <c r="I50" s="332">
        <f>IF(itens_Remanesc!A49="","",itens_Remanesc!G49)</f>
        <v/>
      </c>
      <c r="J50" s="331">
        <f>IF(OR(A50="",H50="",I50=""),"",ROUND(H50*I50,2))</f>
        <v/>
      </c>
      <c r="K50" s="333">
        <f>IF(OR(itens_Remanesc!A49="",NOT(ISNUMBER(parametros!$G$5))),"",ROUND(itens_Remanesc!C49*parametros!$G$5,2))</f>
        <v/>
      </c>
      <c r="L50" s="334">
        <f>IF(itens_Remanesc!A49="","",itens_Remanesc!I49)</f>
        <v/>
      </c>
      <c r="M50" s="333">
        <f>IF(OR(A50="",K50="",L50=""),"",ROUND(K50*L50,2))</f>
        <v/>
      </c>
      <c r="N50" s="331">
        <f>IF(OR(itens_Remanesc!A49="",NOT(ISNUMBER(parametros!$G$6))),"",ROUND(itens_Remanesc!C49*parametros!$G$6,2))</f>
        <v/>
      </c>
      <c r="O50" s="332">
        <f>IF(itens_Remanesc!A49="","",itens_Remanesc!K49)</f>
        <v/>
      </c>
      <c r="P50" s="331">
        <f>IF(OR(A50="",N50="",O50=""),"",ROUND(N50*O50,2))</f>
        <v/>
      </c>
    </row>
    <row r="51">
      <c r="A51" s="330">
        <f>IF(itens_Remanesc!A50="","",itens_Remanesc!A50)</f>
        <v/>
      </c>
      <c r="B51" s="331">
        <f>IF(OR(itens_Remanesc!A50="",NOT(ISNUMBER(parametros!$G$2))),"",ROUND(itens_Remanesc!C50*parametros!$G$2,2))</f>
        <v/>
      </c>
      <c r="C51" s="332">
        <f>IF(itens_Remanesc!A50="","",itens_Remanesc!B50)</f>
        <v/>
      </c>
      <c r="D51" s="331">
        <f>IF(A51="","",ROUND(B51*C51,2))</f>
        <v/>
      </c>
      <c r="E51" s="333">
        <f>IF(OR(itens_Remanesc!A50="",NOT(ISNUMBER(parametros!$G$3))),"",ROUND(itens_Remanesc!C50*parametros!$G$3,2))</f>
        <v/>
      </c>
      <c r="F51" s="334">
        <f>IF(itens_Remanesc!A50="","",itens_Remanesc!E50)</f>
        <v/>
      </c>
      <c r="G51" s="333">
        <f>IF(OR(A51="",E51="",F51=""),"",ROUND(E51*F51,2))</f>
        <v/>
      </c>
      <c r="H51" s="331">
        <f>IF(OR(itens_Remanesc!A50="",NOT(ISNUMBER(parametros!$G$4))),"",ROUND(itens_Remanesc!C50*parametros!$G$4,2))</f>
        <v/>
      </c>
      <c r="I51" s="332">
        <f>IF(itens_Remanesc!A50="","",itens_Remanesc!G50)</f>
        <v/>
      </c>
      <c r="J51" s="331">
        <f>IF(OR(A51="",H51="",I51=""),"",ROUND(H51*I51,2))</f>
        <v/>
      </c>
      <c r="K51" s="333">
        <f>IF(OR(itens_Remanesc!A50="",NOT(ISNUMBER(parametros!$G$5))),"",ROUND(itens_Remanesc!C50*parametros!$G$5,2))</f>
        <v/>
      </c>
      <c r="L51" s="334">
        <f>IF(itens_Remanesc!A50="","",itens_Remanesc!I50)</f>
        <v/>
      </c>
      <c r="M51" s="333">
        <f>IF(OR(A51="",K51="",L51=""),"",ROUND(K51*L51,2))</f>
        <v/>
      </c>
      <c r="N51" s="331">
        <f>IF(OR(itens_Remanesc!A50="",NOT(ISNUMBER(parametros!$G$6))),"",ROUND(itens_Remanesc!C50*parametros!$G$6,2))</f>
        <v/>
      </c>
      <c r="O51" s="332">
        <f>IF(itens_Remanesc!A50="","",itens_Remanesc!K50)</f>
        <v/>
      </c>
      <c r="P51" s="331">
        <f>IF(OR(A51="",N51="",O51=""),"",ROUND(N51*O51,2))</f>
        <v/>
      </c>
    </row>
    <row r="52">
      <c r="A52" s="330">
        <f>IF(itens_Remanesc!A51="","",itens_Remanesc!A51)</f>
        <v/>
      </c>
      <c r="B52" s="331">
        <f>IF(OR(itens_Remanesc!A51="",NOT(ISNUMBER(parametros!$G$2))),"",ROUND(itens_Remanesc!C51*parametros!$G$2,2))</f>
        <v/>
      </c>
      <c r="C52" s="332">
        <f>IF(itens_Remanesc!A51="","",itens_Remanesc!B51)</f>
        <v/>
      </c>
      <c r="D52" s="331">
        <f>IF(A52="","",ROUND(B52*C52,2))</f>
        <v/>
      </c>
      <c r="E52" s="333">
        <f>IF(OR(itens_Remanesc!A51="",NOT(ISNUMBER(parametros!$G$3))),"",ROUND(itens_Remanesc!C51*parametros!$G$3,2))</f>
        <v/>
      </c>
      <c r="F52" s="334">
        <f>IF(itens_Remanesc!A51="","",itens_Remanesc!E51)</f>
        <v/>
      </c>
      <c r="G52" s="333">
        <f>IF(OR(A52="",E52="",F52=""),"",ROUND(E52*F52,2))</f>
        <v/>
      </c>
      <c r="H52" s="331">
        <f>IF(OR(itens_Remanesc!A51="",NOT(ISNUMBER(parametros!$G$4))),"",ROUND(itens_Remanesc!C51*parametros!$G$4,2))</f>
        <v/>
      </c>
      <c r="I52" s="332">
        <f>IF(itens_Remanesc!A51="","",itens_Remanesc!G51)</f>
        <v/>
      </c>
      <c r="J52" s="331">
        <f>IF(OR(A52="",H52="",I52=""),"",ROUND(H52*I52,2))</f>
        <v/>
      </c>
      <c r="K52" s="333">
        <f>IF(OR(itens_Remanesc!A51="",NOT(ISNUMBER(parametros!$G$5))),"",ROUND(itens_Remanesc!C51*parametros!$G$5,2))</f>
        <v/>
      </c>
      <c r="L52" s="334">
        <f>IF(itens_Remanesc!A51="","",itens_Remanesc!I51)</f>
        <v/>
      </c>
      <c r="M52" s="333">
        <f>IF(OR(A52="",K52="",L52=""),"",ROUND(K52*L52,2))</f>
        <v/>
      </c>
      <c r="N52" s="331">
        <f>IF(OR(itens_Remanesc!A51="",NOT(ISNUMBER(parametros!$G$6))),"",ROUND(itens_Remanesc!C51*parametros!$G$6,2))</f>
        <v/>
      </c>
      <c r="O52" s="332">
        <f>IF(itens_Remanesc!A51="","",itens_Remanesc!K51)</f>
        <v/>
      </c>
      <c r="P52" s="331">
        <f>IF(OR(A52="",N52="",O52=""),"",ROUND(N52*O52,2))</f>
        <v/>
      </c>
    </row>
    <row r="53">
      <c r="A53" s="330">
        <f>IF(itens_Remanesc!A52="","",itens_Remanesc!A52)</f>
        <v/>
      </c>
      <c r="B53" s="331">
        <f>IF(OR(itens_Remanesc!A52="",NOT(ISNUMBER(parametros!$G$2))),"",ROUND(itens_Remanesc!C52*parametros!$G$2,2))</f>
        <v/>
      </c>
      <c r="C53" s="332">
        <f>IF(itens_Remanesc!A52="","",itens_Remanesc!B52)</f>
        <v/>
      </c>
      <c r="D53" s="331">
        <f>IF(A53="","",ROUND(B53*C53,2))</f>
        <v/>
      </c>
      <c r="E53" s="333">
        <f>IF(OR(itens_Remanesc!A52="",NOT(ISNUMBER(parametros!$G$3))),"",ROUND(itens_Remanesc!C52*parametros!$G$3,2))</f>
        <v/>
      </c>
      <c r="F53" s="334">
        <f>IF(itens_Remanesc!A52="","",itens_Remanesc!E52)</f>
        <v/>
      </c>
      <c r="G53" s="333">
        <f>IF(OR(A53="",E53="",F53=""),"",ROUND(E53*F53,2))</f>
        <v/>
      </c>
      <c r="H53" s="331">
        <f>IF(OR(itens_Remanesc!A52="",NOT(ISNUMBER(parametros!$G$4))),"",ROUND(itens_Remanesc!C52*parametros!$G$4,2))</f>
        <v/>
      </c>
      <c r="I53" s="332">
        <f>IF(itens_Remanesc!A52="","",itens_Remanesc!G52)</f>
        <v/>
      </c>
      <c r="J53" s="331">
        <f>IF(OR(A53="",H53="",I53=""),"",ROUND(H53*I53,2))</f>
        <v/>
      </c>
      <c r="K53" s="333">
        <f>IF(OR(itens_Remanesc!A52="",NOT(ISNUMBER(parametros!$G$5))),"",ROUND(itens_Remanesc!C52*parametros!$G$5,2))</f>
        <v/>
      </c>
      <c r="L53" s="334">
        <f>IF(itens_Remanesc!A52="","",itens_Remanesc!I52)</f>
        <v/>
      </c>
      <c r="M53" s="333">
        <f>IF(OR(A53="",K53="",L53=""),"",ROUND(K53*L53,2))</f>
        <v/>
      </c>
      <c r="N53" s="331">
        <f>IF(OR(itens_Remanesc!A52="",NOT(ISNUMBER(parametros!$G$6))),"",ROUND(itens_Remanesc!C52*parametros!$G$6,2))</f>
        <v/>
      </c>
      <c r="O53" s="332">
        <f>IF(itens_Remanesc!A52="","",itens_Remanesc!K52)</f>
        <v/>
      </c>
      <c r="P53" s="331">
        <f>IF(OR(A53="",N53="",O53=""),"",ROUND(N53*O53,2))</f>
        <v/>
      </c>
    </row>
    <row r="54">
      <c r="A54" s="330">
        <f>IF(itens_Remanesc!A53="","",itens_Remanesc!A53)</f>
        <v/>
      </c>
      <c r="B54" s="331">
        <f>IF(OR(itens_Remanesc!A53="",NOT(ISNUMBER(parametros!$G$2))),"",ROUND(itens_Remanesc!C53*parametros!$G$2,2))</f>
        <v/>
      </c>
      <c r="C54" s="332">
        <f>IF(itens_Remanesc!A53="","",itens_Remanesc!B53)</f>
        <v/>
      </c>
      <c r="D54" s="331">
        <f>IF(A54="","",ROUND(B54*C54,2))</f>
        <v/>
      </c>
      <c r="E54" s="333">
        <f>IF(OR(itens_Remanesc!A53="",NOT(ISNUMBER(parametros!$G$3))),"",ROUND(itens_Remanesc!C53*parametros!$G$3,2))</f>
        <v/>
      </c>
      <c r="F54" s="334">
        <f>IF(itens_Remanesc!A53="","",itens_Remanesc!E53)</f>
        <v/>
      </c>
      <c r="G54" s="333">
        <f>IF(OR(A54="",E54="",F54=""),"",ROUND(E54*F54,2))</f>
        <v/>
      </c>
      <c r="H54" s="331">
        <f>IF(OR(itens_Remanesc!A53="",NOT(ISNUMBER(parametros!$G$4))),"",ROUND(itens_Remanesc!C53*parametros!$G$4,2))</f>
        <v/>
      </c>
      <c r="I54" s="332">
        <f>IF(itens_Remanesc!A53="","",itens_Remanesc!G53)</f>
        <v/>
      </c>
      <c r="J54" s="331">
        <f>IF(OR(A54="",H54="",I54=""),"",ROUND(H54*I54,2))</f>
        <v/>
      </c>
      <c r="K54" s="333">
        <f>IF(OR(itens_Remanesc!A53="",NOT(ISNUMBER(parametros!$G$5))),"",ROUND(itens_Remanesc!C53*parametros!$G$5,2))</f>
        <v/>
      </c>
      <c r="L54" s="334">
        <f>IF(itens_Remanesc!A53="","",itens_Remanesc!I53)</f>
        <v/>
      </c>
      <c r="M54" s="333">
        <f>IF(OR(A54="",K54="",L54=""),"",ROUND(K54*L54,2))</f>
        <v/>
      </c>
      <c r="N54" s="331">
        <f>IF(OR(itens_Remanesc!A53="",NOT(ISNUMBER(parametros!$G$6))),"",ROUND(itens_Remanesc!C53*parametros!$G$6,2))</f>
        <v/>
      </c>
      <c r="O54" s="332">
        <f>IF(itens_Remanesc!A53="","",itens_Remanesc!K53)</f>
        <v/>
      </c>
      <c r="P54" s="331">
        <f>IF(OR(A54="",N54="",O54=""),"",ROUND(N54*O54,2))</f>
        <v/>
      </c>
    </row>
    <row r="55">
      <c r="A55" s="330">
        <f>IF(itens_Remanesc!A54="","",itens_Remanesc!A54)</f>
        <v/>
      </c>
      <c r="B55" s="331">
        <f>IF(OR(itens_Remanesc!A54="",NOT(ISNUMBER(parametros!$G$2))),"",ROUND(itens_Remanesc!C54*parametros!$G$2,2))</f>
        <v/>
      </c>
      <c r="C55" s="332">
        <f>IF(itens_Remanesc!A54="","",itens_Remanesc!B54)</f>
        <v/>
      </c>
      <c r="D55" s="331">
        <f>IF(A55="","",ROUND(B55*C55,2))</f>
        <v/>
      </c>
      <c r="E55" s="333">
        <f>IF(OR(itens_Remanesc!A54="",NOT(ISNUMBER(parametros!$G$3))),"",ROUND(itens_Remanesc!C54*parametros!$G$3,2))</f>
        <v/>
      </c>
      <c r="F55" s="334">
        <f>IF(itens_Remanesc!A54="","",itens_Remanesc!E54)</f>
        <v/>
      </c>
      <c r="G55" s="333">
        <f>IF(OR(A55="",E55="",F55=""),"",ROUND(E55*F55,2))</f>
        <v/>
      </c>
      <c r="H55" s="331">
        <f>IF(OR(itens_Remanesc!A54="",NOT(ISNUMBER(parametros!$G$4))),"",ROUND(itens_Remanesc!C54*parametros!$G$4,2))</f>
        <v/>
      </c>
      <c r="I55" s="332">
        <f>IF(itens_Remanesc!A54="","",itens_Remanesc!G54)</f>
        <v/>
      </c>
      <c r="J55" s="331">
        <f>IF(OR(A55="",H55="",I55=""),"",ROUND(H55*I55,2))</f>
        <v/>
      </c>
      <c r="K55" s="333">
        <f>IF(OR(itens_Remanesc!A54="",NOT(ISNUMBER(parametros!$G$5))),"",ROUND(itens_Remanesc!C54*parametros!$G$5,2))</f>
        <v/>
      </c>
      <c r="L55" s="334">
        <f>IF(itens_Remanesc!A54="","",itens_Remanesc!I54)</f>
        <v/>
      </c>
      <c r="M55" s="333">
        <f>IF(OR(A55="",K55="",L55=""),"",ROUND(K55*L55,2))</f>
        <v/>
      </c>
      <c r="N55" s="331">
        <f>IF(OR(itens_Remanesc!A54="",NOT(ISNUMBER(parametros!$G$6))),"",ROUND(itens_Remanesc!C54*parametros!$G$6,2))</f>
        <v/>
      </c>
      <c r="O55" s="332">
        <f>IF(itens_Remanesc!A54="","",itens_Remanesc!K54)</f>
        <v/>
      </c>
      <c r="P55" s="331">
        <f>IF(OR(A55="",N55="",O55=""),"",ROUND(N55*O55,2))</f>
        <v/>
      </c>
    </row>
    <row r="56">
      <c r="A56" s="330">
        <f>IF(itens_Remanesc!A55="","",itens_Remanesc!A55)</f>
        <v/>
      </c>
      <c r="B56" s="331">
        <f>IF(OR(itens_Remanesc!A55="",NOT(ISNUMBER(parametros!$G$2))),"",ROUND(itens_Remanesc!C55*parametros!$G$2,2))</f>
        <v/>
      </c>
      <c r="C56" s="332">
        <f>IF(itens_Remanesc!A55="","",itens_Remanesc!B55)</f>
        <v/>
      </c>
      <c r="D56" s="331">
        <f>IF(A56="","",ROUND(B56*C56,2))</f>
        <v/>
      </c>
      <c r="E56" s="333">
        <f>IF(OR(itens_Remanesc!A55="",NOT(ISNUMBER(parametros!$G$3))),"",ROUND(itens_Remanesc!C55*parametros!$G$3,2))</f>
        <v/>
      </c>
      <c r="F56" s="334">
        <f>IF(itens_Remanesc!A55="","",itens_Remanesc!E55)</f>
        <v/>
      </c>
      <c r="G56" s="333">
        <f>IF(OR(A56="",E56="",F56=""),"",ROUND(E56*F56,2))</f>
        <v/>
      </c>
      <c r="H56" s="331">
        <f>IF(OR(itens_Remanesc!A55="",NOT(ISNUMBER(parametros!$G$4))),"",ROUND(itens_Remanesc!C55*parametros!$G$4,2))</f>
        <v/>
      </c>
      <c r="I56" s="332">
        <f>IF(itens_Remanesc!A55="","",itens_Remanesc!G55)</f>
        <v/>
      </c>
      <c r="J56" s="331">
        <f>IF(OR(A56="",H56="",I56=""),"",ROUND(H56*I56,2))</f>
        <v/>
      </c>
      <c r="K56" s="333">
        <f>IF(OR(itens_Remanesc!A55="",NOT(ISNUMBER(parametros!$G$5))),"",ROUND(itens_Remanesc!C55*parametros!$G$5,2))</f>
        <v/>
      </c>
      <c r="L56" s="334">
        <f>IF(itens_Remanesc!A55="","",itens_Remanesc!I55)</f>
        <v/>
      </c>
      <c r="M56" s="333">
        <f>IF(OR(A56="",K56="",L56=""),"",ROUND(K56*L56,2))</f>
        <v/>
      </c>
      <c r="N56" s="331">
        <f>IF(OR(itens_Remanesc!A55="",NOT(ISNUMBER(parametros!$G$6))),"",ROUND(itens_Remanesc!C55*parametros!$G$6,2))</f>
        <v/>
      </c>
      <c r="O56" s="332">
        <f>IF(itens_Remanesc!A55="","",itens_Remanesc!K55)</f>
        <v/>
      </c>
      <c r="P56" s="331">
        <f>IF(OR(A56="",N56="",O56=""),"",ROUND(N56*O56,2))</f>
        <v/>
      </c>
    </row>
    <row r="57">
      <c r="A57" s="330">
        <f>IF(itens_Remanesc!A56="","",itens_Remanesc!A56)</f>
        <v/>
      </c>
      <c r="B57" s="331">
        <f>IF(OR(itens_Remanesc!A56="",NOT(ISNUMBER(parametros!$G$2))),"",ROUND(itens_Remanesc!C56*parametros!$G$2,2))</f>
        <v/>
      </c>
      <c r="C57" s="332">
        <f>IF(itens_Remanesc!A56="","",itens_Remanesc!B56)</f>
        <v/>
      </c>
      <c r="D57" s="331">
        <f>IF(A57="","",ROUND(B57*C57,2))</f>
        <v/>
      </c>
      <c r="E57" s="333">
        <f>IF(OR(itens_Remanesc!A56="",NOT(ISNUMBER(parametros!$G$3))),"",ROUND(itens_Remanesc!C56*parametros!$G$3,2))</f>
        <v/>
      </c>
      <c r="F57" s="334">
        <f>IF(itens_Remanesc!A56="","",itens_Remanesc!E56)</f>
        <v/>
      </c>
      <c r="G57" s="333">
        <f>IF(OR(A57="",E57="",F57=""),"",ROUND(E57*F57,2))</f>
        <v/>
      </c>
      <c r="H57" s="331">
        <f>IF(OR(itens_Remanesc!A56="",NOT(ISNUMBER(parametros!$G$4))),"",ROUND(itens_Remanesc!C56*parametros!$G$4,2))</f>
        <v/>
      </c>
      <c r="I57" s="332">
        <f>IF(itens_Remanesc!A56="","",itens_Remanesc!G56)</f>
        <v/>
      </c>
      <c r="J57" s="331">
        <f>IF(OR(A57="",H57="",I57=""),"",ROUND(H57*I57,2))</f>
        <v/>
      </c>
      <c r="K57" s="333">
        <f>IF(OR(itens_Remanesc!A56="",NOT(ISNUMBER(parametros!$G$5))),"",ROUND(itens_Remanesc!C56*parametros!$G$5,2))</f>
        <v/>
      </c>
      <c r="L57" s="334">
        <f>IF(itens_Remanesc!A56="","",itens_Remanesc!I56)</f>
        <v/>
      </c>
      <c r="M57" s="333">
        <f>IF(OR(A57="",K57="",L57=""),"",ROUND(K57*L57,2))</f>
        <v/>
      </c>
      <c r="N57" s="331">
        <f>IF(OR(itens_Remanesc!A56="",NOT(ISNUMBER(parametros!$G$6))),"",ROUND(itens_Remanesc!C56*parametros!$G$6,2))</f>
        <v/>
      </c>
      <c r="O57" s="332">
        <f>IF(itens_Remanesc!A56="","",itens_Remanesc!K56)</f>
        <v/>
      </c>
      <c r="P57" s="331">
        <f>IF(OR(A57="",N57="",O57=""),"",ROUND(N57*O57,2))</f>
        <v/>
      </c>
    </row>
    <row r="58">
      <c r="A58" s="330">
        <f>IF(itens_Remanesc!A57="","",itens_Remanesc!A57)</f>
        <v/>
      </c>
      <c r="B58" s="331">
        <f>IF(OR(itens_Remanesc!A57="",NOT(ISNUMBER(parametros!$G$2))),"",ROUND(itens_Remanesc!C57*parametros!$G$2,2))</f>
        <v/>
      </c>
      <c r="C58" s="332">
        <f>IF(itens_Remanesc!A57="","",itens_Remanesc!B57)</f>
        <v/>
      </c>
      <c r="D58" s="331">
        <f>IF(A58="","",ROUND(B58*C58,2))</f>
        <v/>
      </c>
      <c r="E58" s="333">
        <f>IF(OR(itens_Remanesc!A57="",NOT(ISNUMBER(parametros!$G$3))),"",ROUND(itens_Remanesc!C57*parametros!$G$3,2))</f>
        <v/>
      </c>
      <c r="F58" s="334">
        <f>IF(itens_Remanesc!A57="","",itens_Remanesc!E57)</f>
        <v/>
      </c>
      <c r="G58" s="333">
        <f>IF(OR(A58="",E58="",F58=""),"",ROUND(E58*F58,2))</f>
        <v/>
      </c>
      <c r="H58" s="331">
        <f>IF(OR(itens_Remanesc!A57="",NOT(ISNUMBER(parametros!$G$4))),"",ROUND(itens_Remanesc!C57*parametros!$G$4,2))</f>
        <v/>
      </c>
      <c r="I58" s="332">
        <f>IF(itens_Remanesc!A57="","",itens_Remanesc!G57)</f>
        <v/>
      </c>
      <c r="J58" s="331">
        <f>IF(OR(A58="",H58="",I58=""),"",ROUND(H58*I58,2))</f>
        <v/>
      </c>
      <c r="K58" s="333">
        <f>IF(OR(itens_Remanesc!A57="",NOT(ISNUMBER(parametros!$G$5))),"",ROUND(itens_Remanesc!C57*parametros!$G$5,2))</f>
        <v/>
      </c>
      <c r="L58" s="334">
        <f>IF(itens_Remanesc!A57="","",itens_Remanesc!I57)</f>
        <v/>
      </c>
      <c r="M58" s="333">
        <f>IF(OR(A58="",K58="",L58=""),"",ROUND(K58*L58,2))</f>
        <v/>
      </c>
      <c r="N58" s="331">
        <f>IF(OR(itens_Remanesc!A57="",NOT(ISNUMBER(parametros!$G$6))),"",ROUND(itens_Remanesc!C57*parametros!$G$6,2))</f>
        <v/>
      </c>
      <c r="O58" s="332">
        <f>IF(itens_Remanesc!A57="","",itens_Remanesc!K57)</f>
        <v/>
      </c>
      <c r="P58" s="331">
        <f>IF(OR(A58="",N58="",O58=""),"",ROUND(N58*O58,2))</f>
        <v/>
      </c>
    </row>
    <row r="59">
      <c r="A59" s="330">
        <f>IF(itens_Remanesc!A58="","",itens_Remanesc!A58)</f>
        <v/>
      </c>
      <c r="B59" s="331">
        <f>IF(OR(itens_Remanesc!A58="",NOT(ISNUMBER(parametros!$G$2))),"",ROUND(itens_Remanesc!C58*parametros!$G$2,2))</f>
        <v/>
      </c>
      <c r="C59" s="332">
        <f>IF(itens_Remanesc!A58="","",itens_Remanesc!B58)</f>
        <v/>
      </c>
      <c r="D59" s="331">
        <f>IF(A59="","",ROUND(B59*C59,2))</f>
        <v/>
      </c>
      <c r="E59" s="333">
        <f>IF(OR(itens_Remanesc!A58="",NOT(ISNUMBER(parametros!$G$3))),"",ROUND(itens_Remanesc!C58*parametros!$G$3,2))</f>
        <v/>
      </c>
      <c r="F59" s="334">
        <f>IF(itens_Remanesc!A58="","",itens_Remanesc!E58)</f>
        <v/>
      </c>
      <c r="G59" s="333">
        <f>IF(OR(A59="",E59="",F59=""),"",ROUND(E59*F59,2))</f>
        <v/>
      </c>
      <c r="H59" s="331">
        <f>IF(OR(itens_Remanesc!A58="",NOT(ISNUMBER(parametros!$G$4))),"",ROUND(itens_Remanesc!C58*parametros!$G$4,2))</f>
        <v/>
      </c>
      <c r="I59" s="332">
        <f>IF(itens_Remanesc!A58="","",itens_Remanesc!G58)</f>
        <v/>
      </c>
      <c r="J59" s="331">
        <f>IF(OR(A59="",H59="",I59=""),"",ROUND(H59*I59,2))</f>
        <v/>
      </c>
      <c r="K59" s="333">
        <f>IF(OR(itens_Remanesc!A58="",NOT(ISNUMBER(parametros!$G$5))),"",ROUND(itens_Remanesc!C58*parametros!$G$5,2))</f>
        <v/>
      </c>
      <c r="L59" s="334">
        <f>IF(itens_Remanesc!A58="","",itens_Remanesc!I58)</f>
        <v/>
      </c>
      <c r="M59" s="333">
        <f>IF(OR(A59="",K59="",L59=""),"",ROUND(K59*L59,2))</f>
        <v/>
      </c>
      <c r="N59" s="331">
        <f>IF(OR(itens_Remanesc!A58="",NOT(ISNUMBER(parametros!$G$6))),"",ROUND(itens_Remanesc!C58*parametros!$G$6,2))</f>
        <v/>
      </c>
      <c r="O59" s="332">
        <f>IF(itens_Remanesc!A58="","",itens_Remanesc!K58)</f>
        <v/>
      </c>
      <c r="P59" s="331">
        <f>IF(OR(A59="",N59="",O59=""),"",ROUND(N59*O59,2))</f>
        <v/>
      </c>
    </row>
    <row r="60">
      <c r="A60" s="330">
        <f>IF(itens_Remanesc!A59="","",itens_Remanesc!A59)</f>
        <v/>
      </c>
      <c r="B60" s="331">
        <f>IF(OR(itens_Remanesc!A59="",NOT(ISNUMBER(parametros!$G$2))),"",ROUND(itens_Remanesc!C59*parametros!$G$2,2))</f>
        <v/>
      </c>
      <c r="C60" s="332">
        <f>IF(itens_Remanesc!A59="","",itens_Remanesc!B59)</f>
        <v/>
      </c>
      <c r="D60" s="331">
        <f>IF(A60="","",ROUND(B60*C60,2))</f>
        <v/>
      </c>
      <c r="E60" s="333">
        <f>IF(OR(itens_Remanesc!A59="",NOT(ISNUMBER(parametros!$G$3))),"",ROUND(itens_Remanesc!C59*parametros!$G$3,2))</f>
        <v/>
      </c>
      <c r="F60" s="334">
        <f>IF(itens_Remanesc!A59="","",itens_Remanesc!E59)</f>
        <v/>
      </c>
      <c r="G60" s="333">
        <f>IF(OR(A60="",E60="",F60=""),"",ROUND(E60*F60,2))</f>
        <v/>
      </c>
      <c r="H60" s="331">
        <f>IF(OR(itens_Remanesc!A59="",NOT(ISNUMBER(parametros!$G$4))),"",ROUND(itens_Remanesc!C59*parametros!$G$4,2))</f>
        <v/>
      </c>
      <c r="I60" s="332">
        <f>IF(itens_Remanesc!A59="","",itens_Remanesc!G59)</f>
        <v/>
      </c>
      <c r="J60" s="331">
        <f>IF(OR(A60="",H60="",I60=""),"",ROUND(H60*I60,2))</f>
        <v/>
      </c>
      <c r="K60" s="333">
        <f>IF(OR(itens_Remanesc!A59="",NOT(ISNUMBER(parametros!$G$5))),"",ROUND(itens_Remanesc!C59*parametros!$G$5,2))</f>
        <v/>
      </c>
      <c r="L60" s="334">
        <f>IF(itens_Remanesc!A59="","",itens_Remanesc!I59)</f>
        <v/>
      </c>
      <c r="M60" s="333">
        <f>IF(OR(A60="",K60="",L60=""),"",ROUND(K60*L60,2))</f>
        <v/>
      </c>
      <c r="N60" s="331">
        <f>IF(OR(itens_Remanesc!A59="",NOT(ISNUMBER(parametros!$G$6))),"",ROUND(itens_Remanesc!C59*parametros!$G$6,2))</f>
        <v/>
      </c>
      <c r="O60" s="332">
        <f>IF(itens_Remanesc!A59="","",itens_Remanesc!K59)</f>
        <v/>
      </c>
      <c r="P60" s="331">
        <f>IF(OR(A60="",N60="",O60=""),"",ROUND(N60*O60,2))</f>
        <v/>
      </c>
    </row>
    <row r="61">
      <c r="A61" s="330">
        <f>IF(itens_Remanesc!A60="","",itens_Remanesc!A60)</f>
        <v/>
      </c>
      <c r="B61" s="331">
        <f>IF(OR(itens_Remanesc!A60="",NOT(ISNUMBER(parametros!$G$2))),"",ROUND(itens_Remanesc!C60*parametros!$G$2,2))</f>
        <v/>
      </c>
      <c r="C61" s="332">
        <f>IF(itens_Remanesc!A60="","",itens_Remanesc!B60)</f>
        <v/>
      </c>
      <c r="D61" s="331">
        <f>IF(A61="","",ROUND(B61*C61,2))</f>
        <v/>
      </c>
      <c r="E61" s="333">
        <f>IF(OR(itens_Remanesc!A60="",NOT(ISNUMBER(parametros!$G$3))),"",ROUND(itens_Remanesc!C60*parametros!$G$3,2))</f>
        <v/>
      </c>
      <c r="F61" s="334">
        <f>IF(itens_Remanesc!A60="","",itens_Remanesc!E60)</f>
        <v/>
      </c>
      <c r="G61" s="333">
        <f>IF(OR(A61="",E61="",F61=""),"",ROUND(E61*F61,2))</f>
        <v/>
      </c>
      <c r="H61" s="331">
        <f>IF(OR(itens_Remanesc!A60="",NOT(ISNUMBER(parametros!$G$4))),"",ROUND(itens_Remanesc!C60*parametros!$G$4,2))</f>
        <v/>
      </c>
      <c r="I61" s="332">
        <f>IF(itens_Remanesc!A60="","",itens_Remanesc!G60)</f>
        <v/>
      </c>
      <c r="J61" s="331">
        <f>IF(OR(A61="",H61="",I61=""),"",ROUND(H61*I61,2))</f>
        <v/>
      </c>
      <c r="K61" s="333">
        <f>IF(OR(itens_Remanesc!A60="",NOT(ISNUMBER(parametros!$G$5))),"",ROUND(itens_Remanesc!C60*parametros!$G$5,2))</f>
        <v/>
      </c>
      <c r="L61" s="334">
        <f>IF(itens_Remanesc!A60="","",itens_Remanesc!I60)</f>
        <v/>
      </c>
      <c r="M61" s="333">
        <f>IF(OR(A61="",K61="",L61=""),"",ROUND(K61*L61,2))</f>
        <v/>
      </c>
      <c r="N61" s="331">
        <f>IF(OR(itens_Remanesc!A60="",NOT(ISNUMBER(parametros!$G$6))),"",ROUND(itens_Remanesc!C60*parametros!$G$6,2))</f>
        <v/>
      </c>
      <c r="O61" s="332">
        <f>IF(itens_Remanesc!A60="","",itens_Remanesc!K60)</f>
        <v/>
      </c>
      <c r="P61" s="331">
        <f>IF(OR(A61="",N61="",O61=""),"",ROUND(N61*O61,2))</f>
        <v/>
      </c>
    </row>
    <row r="62">
      <c r="A62" s="330">
        <f>IF(itens_Remanesc!A61="","",itens_Remanesc!A61)</f>
        <v/>
      </c>
      <c r="B62" s="331">
        <f>IF(OR(itens_Remanesc!A61="",NOT(ISNUMBER(parametros!$G$2))),"",ROUND(itens_Remanesc!C61*parametros!$G$2,2))</f>
        <v/>
      </c>
      <c r="C62" s="332">
        <f>IF(itens_Remanesc!A61="","",itens_Remanesc!B61)</f>
        <v/>
      </c>
      <c r="D62" s="331">
        <f>IF(A62="","",ROUND(B62*C62,2))</f>
        <v/>
      </c>
      <c r="E62" s="333">
        <f>IF(OR(itens_Remanesc!A61="",NOT(ISNUMBER(parametros!$G$3))),"",ROUND(itens_Remanesc!C61*parametros!$G$3,2))</f>
        <v/>
      </c>
      <c r="F62" s="334">
        <f>IF(itens_Remanesc!A61="","",itens_Remanesc!E61)</f>
        <v/>
      </c>
      <c r="G62" s="333">
        <f>IF(OR(A62="",E62="",F62=""),"",ROUND(E62*F62,2))</f>
        <v/>
      </c>
      <c r="H62" s="331">
        <f>IF(OR(itens_Remanesc!A61="",NOT(ISNUMBER(parametros!$G$4))),"",ROUND(itens_Remanesc!C61*parametros!$G$4,2))</f>
        <v/>
      </c>
      <c r="I62" s="332">
        <f>IF(itens_Remanesc!A61="","",itens_Remanesc!G61)</f>
        <v/>
      </c>
      <c r="J62" s="331">
        <f>IF(OR(A62="",H62="",I62=""),"",ROUND(H62*I62,2))</f>
        <v/>
      </c>
      <c r="K62" s="333">
        <f>IF(OR(itens_Remanesc!A61="",NOT(ISNUMBER(parametros!$G$5))),"",ROUND(itens_Remanesc!C61*parametros!$G$5,2))</f>
        <v/>
      </c>
      <c r="L62" s="334">
        <f>IF(itens_Remanesc!A61="","",itens_Remanesc!I61)</f>
        <v/>
      </c>
      <c r="M62" s="333">
        <f>IF(OR(A62="",K62="",L62=""),"",ROUND(K62*L62,2))</f>
        <v/>
      </c>
      <c r="N62" s="331">
        <f>IF(OR(itens_Remanesc!A61="",NOT(ISNUMBER(parametros!$G$6))),"",ROUND(itens_Remanesc!C61*parametros!$G$6,2))</f>
        <v/>
      </c>
      <c r="O62" s="332">
        <f>IF(itens_Remanesc!A61="","",itens_Remanesc!K61)</f>
        <v/>
      </c>
      <c r="P62" s="331">
        <f>IF(OR(A62="",N62="",O62=""),"",ROUND(N62*O62,2))</f>
        <v/>
      </c>
    </row>
    <row r="63">
      <c r="A63" s="330">
        <f>IF(itens_Remanesc!A62="","",itens_Remanesc!A62)</f>
        <v/>
      </c>
      <c r="B63" s="331">
        <f>IF(OR(itens_Remanesc!A62="",NOT(ISNUMBER(parametros!$G$2))),"",ROUND(itens_Remanesc!C62*parametros!$G$2,2))</f>
        <v/>
      </c>
      <c r="C63" s="332">
        <f>IF(itens_Remanesc!A62="","",itens_Remanesc!B62)</f>
        <v/>
      </c>
      <c r="D63" s="331">
        <f>IF(A63="","",ROUND(B63*C63,2))</f>
        <v/>
      </c>
      <c r="E63" s="333">
        <f>IF(OR(itens_Remanesc!A62="",NOT(ISNUMBER(parametros!$G$3))),"",ROUND(itens_Remanesc!C62*parametros!$G$3,2))</f>
        <v/>
      </c>
      <c r="F63" s="334">
        <f>IF(itens_Remanesc!A62="","",itens_Remanesc!E62)</f>
        <v/>
      </c>
      <c r="G63" s="333">
        <f>IF(OR(A63="",E63="",F63=""),"",ROUND(E63*F63,2))</f>
        <v/>
      </c>
      <c r="H63" s="331">
        <f>IF(OR(itens_Remanesc!A62="",NOT(ISNUMBER(parametros!$G$4))),"",ROUND(itens_Remanesc!C62*parametros!$G$4,2))</f>
        <v/>
      </c>
      <c r="I63" s="332">
        <f>IF(itens_Remanesc!A62="","",itens_Remanesc!G62)</f>
        <v/>
      </c>
      <c r="J63" s="331">
        <f>IF(OR(A63="",H63="",I63=""),"",ROUND(H63*I63,2))</f>
        <v/>
      </c>
      <c r="K63" s="333">
        <f>IF(OR(itens_Remanesc!A62="",NOT(ISNUMBER(parametros!$G$5))),"",ROUND(itens_Remanesc!C62*parametros!$G$5,2))</f>
        <v/>
      </c>
      <c r="L63" s="334">
        <f>IF(itens_Remanesc!A62="","",itens_Remanesc!I62)</f>
        <v/>
      </c>
      <c r="M63" s="333">
        <f>IF(OR(A63="",K63="",L63=""),"",ROUND(K63*L63,2))</f>
        <v/>
      </c>
      <c r="N63" s="331">
        <f>IF(OR(itens_Remanesc!A62="",NOT(ISNUMBER(parametros!$G$6))),"",ROUND(itens_Remanesc!C62*parametros!$G$6,2))</f>
        <v/>
      </c>
      <c r="O63" s="332">
        <f>IF(itens_Remanesc!A62="","",itens_Remanesc!K62)</f>
        <v/>
      </c>
      <c r="P63" s="331">
        <f>IF(OR(A63="",N63="",O63=""),"",ROUND(N63*O63,2))</f>
        <v/>
      </c>
    </row>
    <row r="64">
      <c r="A64" s="330">
        <f>IF(itens_Remanesc!A63="","",itens_Remanesc!A63)</f>
        <v/>
      </c>
      <c r="B64" s="331">
        <f>IF(OR(itens_Remanesc!A63="",NOT(ISNUMBER(parametros!$G$2))),"",ROUND(itens_Remanesc!C63*parametros!$G$2,2))</f>
        <v/>
      </c>
      <c r="C64" s="332">
        <f>IF(itens_Remanesc!A63="","",itens_Remanesc!B63)</f>
        <v/>
      </c>
      <c r="D64" s="331">
        <f>IF(A64="","",ROUND(B64*C64,2))</f>
        <v/>
      </c>
      <c r="E64" s="333">
        <f>IF(OR(itens_Remanesc!A63="",NOT(ISNUMBER(parametros!$G$3))),"",ROUND(itens_Remanesc!C63*parametros!$G$3,2))</f>
        <v/>
      </c>
      <c r="F64" s="334">
        <f>IF(itens_Remanesc!A63="","",itens_Remanesc!E63)</f>
        <v/>
      </c>
      <c r="G64" s="333">
        <f>IF(OR(A64="",E64="",F64=""),"",ROUND(E64*F64,2))</f>
        <v/>
      </c>
      <c r="H64" s="331">
        <f>IF(OR(itens_Remanesc!A63="",NOT(ISNUMBER(parametros!$G$4))),"",ROUND(itens_Remanesc!C63*parametros!$G$4,2))</f>
        <v/>
      </c>
      <c r="I64" s="332">
        <f>IF(itens_Remanesc!A63="","",itens_Remanesc!G63)</f>
        <v/>
      </c>
      <c r="J64" s="331">
        <f>IF(OR(A64="",H64="",I64=""),"",ROUND(H64*I64,2))</f>
        <v/>
      </c>
      <c r="K64" s="333">
        <f>IF(OR(itens_Remanesc!A63="",NOT(ISNUMBER(parametros!$G$5))),"",ROUND(itens_Remanesc!C63*parametros!$G$5,2))</f>
        <v/>
      </c>
      <c r="L64" s="334">
        <f>IF(itens_Remanesc!A63="","",itens_Remanesc!I63)</f>
        <v/>
      </c>
      <c r="M64" s="333">
        <f>IF(OR(A64="",K64="",L64=""),"",ROUND(K64*L64,2))</f>
        <v/>
      </c>
      <c r="N64" s="331">
        <f>IF(OR(itens_Remanesc!A63="",NOT(ISNUMBER(parametros!$G$6))),"",ROUND(itens_Remanesc!C63*parametros!$G$6,2))</f>
        <v/>
      </c>
      <c r="O64" s="332">
        <f>IF(itens_Remanesc!A63="","",itens_Remanesc!K63)</f>
        <v/>
      </c>
      <c r="P64" s="331">
        <f>IF(OR(A64="",N64="",O64=""),"",ROUND(N64*O64,2))</f>
        <v/>
      </c>
    </row>
    <row r="65">
      <c r="A65" s="330">
        <f>IF(itens_Remanesc!A64="","",itens_Remanesc!A64)</f>
        <v/>
      </c>
      <c r="B65" s="331">
        <f>IF(OR(itens_Remanesc!A64="",NOT(ISNUMBER(parametros!$G$2))),"",ROUND(itens_Remanesc!C64*parametros!$G$2,2))</f>
        <v/>
      </c>
      <c r="C65" s="332">
        <f>IF(itens_Remanesc!A64="","",itens_Remanesc!B64)</f>
        <v/>
      </c>
      <c r="D65" s="331">
        <f>IF(A65="","",ROUND(B65*C65,2))</f>
        <v/>
      </c>
      <c r="E65" s="333">
        <f>IF(OR(itens_Remanesc!A64="",NOT(ISNUMBER(parametros!$G$3))),"",ROUND(itens_Remanesc!C64*parametros!$G$3,2))</f>
        <v/>
      </c>
      <c r="F65" s="334">
        <f>IF(itens_Remanesc!A64="","",itens_Remanesc!E64)</f>
        <v/>
      </c>
      <c r="G65" s="333">
        <f>IF(OR(A65="",E65="",F65=""),"",ROUND(E65*F65,2))</f>
        <v/>
      </c>
      <c r="H65" s="331">
        <f>IF(OR(itens_Remanesc!A64="",NOT(ISNUMBER(parametros!$G$4))),"",ROUND(itens_Remanesc!C64*parametros!$G$4,2))</f>
        <v/>
      </c>
      <c r="I65" s="332">
        <f>IF(itens_Remanesc!A64="","",itens_Remanesc!G64)</f>
        <v/>
      </c>
      <c r="J65" s="331">
        <f>IF(OR(A65="",H65="",I65=""),"",ROUND(H65*I65,2))</f>
        <v/>
      </c>
      <c r="K65" s="333">
        <f>IF(OR(itens_Remanesc!A64="",NOT(ISNUMBER(parametros!$G$5))),"",ROUND(itens_Remanesc!C64*parametros!$G$5,2))</f>
        <v/>
      </c>
      <c r="L65" s="334">
        <f>IF(itens_Remanesc!A64="","",itens_Remanesc!I64)</f>
        <v/>
      </c>
      <c r="M65" s="333">
        <f>IF(OR(A65="",K65="",L65=""),"",ROUND(K65*L65,2))</f>
        <v/>
      </c>
      <c r="N65" s="331">
        <f>IF(OR(itens_Remanesc!A64="",NOT(ISNUMBER(parametros!$G$6))),"",ROUND(itens_Remanesc!C64*parametros!$G$6,2))</f>
        <v/>
      </c>
      <c r="O65" s="332">
        <f>IF(itens_Remanesc!A64="","",itens_Remanesc!K64)</f>
        <v/>
      </c>
      <c r="P65" s="331">
        <f>IF(OR(A65="",N65="",O65=""),"",ROUND(N65*O65,2))</f>
        <v/>
      </c>
    </row>
    <row r="66">
      <c r="A66" s="330">
        <f>IF(itens_Remanesc!A65="","",itens_Remanesc!A65)</f>
        <v/>
      </c>
      <c r="B66" s="331">
        <f>IF(OR(itens_Remanesc!A65="",NOT(ISNUMBER(parametros!$G$2))),"",ROUND(itens_Remanesc!C65*parametros!$G$2,2))</f>
        <v/>
      </c>
      <c r="C66" s="332">
        <f>IF(itens_Remanesc!A65="","",itens_Remanesc!B65)</f>
        <v/>
      </c>
      <c r="D66" s="331">
        <f>IF(A66="","",ROUND(B66*C66,2))</f>
        <v/>
      </c>
      <c r="E66" s="333">
        <f>IF(OR(itens_Remanesc!A65="",NOT(ISNUMBER(parametros!$G$3))),"",ROUND(itens_Remanesc!C65*parametros!$G$3,2))</f>
        <v/>
      </c>
      <c r="F66" s="334">
        <f>IF(itens_Remanesc!A65="","",itens_Remanesc!E65)</f>
        <v/>
      </c>
      <c r="G66" s="333">
        <f>IF(OR(A66="",E66="",F66=""),"",ROUND(E66*F66,2))</f>
        <v/>
      </c>
      <c r="H66" s="331">
        <f>IF(OR(itens_Remanesc!A65="",NOT(ISNUMBER(parametros!$G$4))),"",ROUND(itens_Remanesc!C65*parametros!$G$4,2))</f>
        <v/>
      </c>
      <c r="I66" s="332">
        <f>IF(itens_Remanesc!A65="","",itens_Remanesc!G65)</f>
        <v/>
      </c>
      <c r="J66" s="331">
        <f>IF(OR(A66="",H66="",I66=""),"",ROUND(H66*I66,2))</f>
        <v/>
      </c>
      <c r="K66" s="333">
        <f>IF(OR(itens_Remanesc!A65="",NOT(ISNUMBER(parametros!$G$5))),"",ROUND(itens_Remanesc!C65*parametros!$G$5,2))</f>
        <v/>
      </c>
      <c r="L66" s="334">
        <f>IF(itens_Remanesc!A65="","",itens_Remanesc!I65)</f>
        <v/>
      </c>
      <c r="M66" s="333">
        <f>IF(OR(A66="",K66="",L66=""),"",ROUND(K66*L66,2))</f>
        <v/>
      </c>
      <c r="N66" s="331">
        <f>IF(OR(itens_Remanesc!A65="",NOT(ISNUMBER(parametros!$G$6))),"",ROUND(itens_Remanesc!C65*parametros!$G$6,2))</f>
        <v/>
      </c>
      <c r="O66" s="332">
        <f>IF(itens_Remanesc!A65="","",itens_Remanesc!K65)</f>
        <v/>
      </c>
      <c r="P66" s="331">
        <f>IF(OR(A66="",N66="",O66=""),"",ROUND(N66*O66,2))</f>
        <v/>
      </c>
    </row>
    <row r="67">
      <c r="A67" s="330">
        <f>IF(itens_Remanesc!A66="","",itens_Remanesc!A66)</f>
        <v/>
      </c>
      <c r="B67" s="331">
        <f>IF(OR(itens_Remanesc!A66="",NOT(ISNUMBER(parametros!$G$2))),"",ROUND(itens_Remanesc!C66*parametros!$G$2,2))</f>
        <v/>
      </c>
      <c r="C67" s="332">
        <f>IF(itens_Remanesc!A66="","",itens_Remanesc!B66)</f>
        <v/>
      </c>
      <c r="D67" s="331">
        <f>IF(A67="","",ROUND(B67*C67,2))</f>
        <v/>
      </c>
      <c r="E67" s="333">
        <f>IF(OR(itens_Remanesc!A66="",NOT(ISNUMBER(parametros!$G$3))),"",ROUND(itens_Remanesc!C66*parametros!$G$3,2))</f>
        <v/>
      </c>
      <c r="F67" s="334">
        <f>IF(itens_Remanesc!A66="","",itens_Remanesc!E66)</f>
        <v/>
      </c>
      <c r="G67" s="333">
        <f>IF(OR(A67="",E67="",F67=""),"",ROUND(E67*F67,2))</f>
        <v/>
      </c>
      <c r="H67" s="331">
        <f>IF(OR(itens_Remanesc!A66="",NOT(ISNUMBER(parametros!$G$4))),"",ROUND(itens_Remanesc!C66*parametros!$G$4,2))</f>
        <v/>
      </c>
      <c r="I67" s="332">
        <f>IF(itens_Remanesc!A66="","",itens_Remanesc!G66)</f>
        <v/>
      </c>
      <c r="J67" s="331">
        <f>IF(OR(A67="",H67="",I67=""),"",ROUND(H67*I67,2))</f>
        <v/>
      </c>
      <c r="K67" s="333">
        <f>IF(OR(itens_Remanesc!A66="",NOT(ISNUMBER(parametros!$G$5))),"",ROUND(itens_Remanesc!C66*parametros!$G$5,2))</f>
        <v/>
      </c>
      <c r="L67" s="334">
        <f>IF(itens_Remanesc!A66="","",itens_Remanesc!I66)</f>
        <v/>
      </c>
      <c r="M67" s="333">
        <f>IF(OR(A67="",K67="",L67=""),"",ROUND(K67*L67,2))</f>
        <v/>
      </c>
      <c r="N67" s="331">
        <f>IF(OR(itens_Remanesc!A66="",NOT(ISNUMBER(parametros!$G$6))),"",ROUND(itens_Remanesc!C66*parametros!$G$6,2))</f>
        <v/>
      </c>
      <c r="O67" s="332">
        <f>IF(itens_Remanesc!A66="","",itens_Remanesc!K66)</f>
        <v/>
      </c>
      <c r="P67" s="331">
        <f>IF(OR(A67="",N67="",O67=""),"",ROUND(N67*O67,2))</f>
        <v/>
      </c>
    </row>
    <row r="68">
      <c r="A68" s="330">
        <f>IF(itens_Remanesc!A67="","",itens_Remanesc!A67)</f>
        <v/>
      </c>
      <c r="B68" s="331">
        <f>IF(OR(itens_Remanesc!A67="",NOT(ISNUMBER(parametros!$G$2))),"",ROUND(itens_Remanesc!C67*parametros!$G$2,2))</f>
        <v/>
      </c>
      <c r="C68" s="332">
        <f>IF(itens_Remanesc!A67="","",itens_Remanesc!B67)</f>
        <v/>
      </c>
      <c r="D68" s="331">
        <f>IF(A68="","",ROUND(B68*C68,2))</f>
        <v/>
      </c>
      <c r="E68" s="333">
        <f>IF(OR(itens_Remanesc!A67="",NOT(ISNUMBER(parametros!$G$3))),"",ROUND(itens_Remanesc!C67*parametros!$G$3,2))</f>
        <v/>
      </c>
      <c r="F68" s="334">
        <f>IF(itens_Remanesc!A67="","",itens_Remanesc!E67)</f>
        <v/>
      </c>
      <c r="G68" s="333">
        <f>IF(OR(A68="",E68="",F68=""),"",ROUND(E68*F68,2))</f>
        <v/>
      </c>
      <c r="H68" s="331">
        <f>IF(OR(itens_Remanesc!A67="",NOT(ISNUMBER(parametros!$G$4))),"",ROUND(itens_Remanesc!C67*parametros!$G$4,2))</f>
        <v/>
      </c>
      <c r="I68" s="332">
        <f>IF(itens_Remanesc!A67="","",itens_Remanesc!G67)</f>
        <v/>
      </c>
      <c r="J68" s="331">
        <f>IF(OR(A68="",H68="",I68=""),"",ROUND(H68*I68,2))</f>
        <v/>
      </c>
      <c r="K68" s="333">
        <f>IF(OR(itens_Remanesc!A67="",NOT(ISNUMBER(parametros!$G$5))),"",ROUND(itens_Remanesc!C67*parametros!$G$5,2))</f>
        <v/>
      </c>
      <c r="L68" s="334">
        <f>IF(itens_Remanesc!A67="","",itens_Remanesc!I67)</f>
        <v/>
      </c>
      <c r="M68" s="333">
        <f>IF(OR(A68="",K68="",L68=""),"",ROUND(K68*L68,2))</f>
        <v/>
      </c>
      <c r="N68" s="331">
        <f>IF(OR(itens_Remanesc!A67="",NOT(ISNUMBER(parametros!$G$6))),"",ROUND(itens_Remanesc!C67*parametros!$G$6,2))</f>
        <v/>
      </c>
      <c r="O68" s="332">
        <f>IF(itens_Remanesc!A67="","",itens_Remanesc!K67)</f>
        <v/>
      </c>
      <c r="P68" s="331">
        <f>IF(OR(A68="",N68="",O68=""),"",ROUND(N68*O68,2))</f>
        <v/>
      </c>
    </row>
    <row r="69">
      <c r="A69" s="330">
        <f>IF(itens_Remanesc!A68="","",itens_Remanesc!A68)</f>
        <v/>
      </c>
      <c r="B69" s="331">
        <f>IF(OR(itens_Remanesc!A68="",NOT(ISNUMBER(parametros!$G$2))),"",ROUND(itens_Remanesc!C68*parametros!$G$2,2))</f>
        <v/>
      </c>
      <c r="C69" s="332">
        <f>IF(itens_Remanesc!A68="","",itens_Remanesc!B68)</f>
        <v/>
      </c>
      <c r="D69" s="331">
        <f>IF(A69="","",ROUND(B69*C69,2))</f>
        <v/>
      </c>
      <c r="E69" s="333">
        <f>IF(OR(itens_Remanesc!A68="",NOT(ISNUMBER(parametros!$G$3))),"",ROUND(itens_Remanesc!C68*parametros!$G$3,2))</f>
        <v/>
      </c>
      <c r="F69" s="334">
        <f>IF(itens_Remanesc!A68="","",itens_Remanesc!E68)</f>
        <v/>
      </c>
      <c r="G69" s="333">
        <f>IF(OR(A69="",E69="",F69=""),"",ROUND(E69*F69,2))</f>
        <v/>
      </c>
      <c r="H69" s="331">
        <f>IF(OR(itens_Remanesc!A68="",NOT(ISNUMBER(parametros!$G$4))),"",ROUND(itens_Remanesc!C68*parametros!$G$4,2))</f>
        <v/>
      </c>
      <c r="I69" s="332">
        <f>IF(itens_Remanesc!A68="","",itens_Remanesc!G68)</f>
        <v/>
      </c>
      <c r="J69" s="331">
        <f>IF(OR(A69="",H69="",I69=""),"",ROUND(H69*I69,2))</f>
        <v/>
      </c>
      <c r="K69" s="333">
        <f>IF(OR(itens_Remanesc!A68="",NOT(ISNUMBER(parametros!$G$5))),"",ROUND(itens_Remanesc!C68*parametros!$G$5,2))</f>
        <v/>
      </c>
      <c r="L69" s="334">
        <f>IF(itens_Remanesc!A68="","",itens_Remanesc!I68)</f>
        <v/>
      </c>
      <c r="M69" s="333">
        <f>IF(OR(A69="",K69="",L69=""),"",ROUND(K69*L69,2))</f>
        <v/>
      </c>
      <c r="N69" s="331">
        <f>IF(OR(itens_Remanesc!A68="",NOT(ISNUMBER(parametros!$G$6))),"",ROUND(itens_Remanesc!C68*parametros!$G$6,2))</f>
        <v/>
      </c>
      <c r="O69" s="332">
        <f>IF(itens_Remanesc!A68="","",itens_Remanesc!K68)</f>
        <v/>
      </c>
      <c r="P69" s="331">
        <f>IF(OR(A69="",N69="",O69=""),"",ROUND(N69*O69,2))</f>
        <v/>
      </c>
    </row>
    <row r="70">
      <c r="A70" s="330">
        <f>IF(itens_Remanesc!A69="","",itens_Remanesc!A69)</f>
        <v/>
      </c>
      <c r="B70" s="331">
        <f>IF(OR(itens_Remanesc!A69="",NOT(ISNUMBER(parametros!$G$2))),"",ROUND(itens_Remanesc!C69*parametros!$G$2,2))</f>
        <v/>
      </c>
      <c r="C70" s="332">
        <f>IF(itens_Remanesc!A69="","",itens_Remanesc!B69)</f>
        <v/>
      </c>
      <c r="D70" s="331">
        <f>IF(A70="","",ROUND(B70*C70,2))</f>
        <v/>
      </c>
      <c r="E70" s="333">
        <f>IF(OR(itens_Remanesc!A69="",NOT(ISNUMBER(parametros!$G$3))),"",ROUND(itens_Remanesc!C69*parametros!$G$3,2))</f>
        <v/>
      </c>
      <c r="F70" s="334">
        <f>IF(itens_Remanesc!A69="","",itens_Remanesc!E69)</f>
        <v/>
      </c>
      <c r="G70" s="333">
        <f>IF(OR(A70="",E70="",F70=""),"",ROUND(E70*F70,2))</f>
        <v/>
      </c>
      <c r="H70" s="331">
        <f>IF(OR(itens_Remanesc!A69="",NOT(ISNUMBER(parametros!$G$4))),"",ROUND(itens_Remanesc!C69*parametros!$G$4,2))</f>
        <v/>
      </c>
      <c r="I70" s="332">
        <f>IF(itens_Remanesc!A69="","",itens_Remanesc!G69)</f>
        <v/>
      </c>
      <c r="J70" s="331">
        <f>IF(OR(A70="",H70="",I70=""),"",ROUND(H70*I70,2))</f>
        <v/>
      </c>
      <c r="K70" s="333">
        <f>IF(OR(itens_Remanesc!A69="",NOT(ISNUMBER(parametros!$G$5))),"",ROUND(itens_Remanesc!C69*parametros!$G$5,2))</f>
        <v/>
      </c>
      <c r="L70" s="334">
        <f>IF(itens_Remanesc!A69="","",itens_Remanesc!I69)</f>
        <v/>
      </c>
      <c r="M70" s="333">
        <f>IF(OR(A70="",K70="",L70=""),"",ROUND(K70*L70,2))</f>
        <v/>
      </c>
      <c r="N70" s="331">
        <f>IF(OR(itens_Remanesc!A69="",NOT(ISNUMBER(parametros!$G$6))),"",ROUND(itens_Remanesc!C69*parametros!$G$6,2))</f>
        <v/>
      </c>
      <c r="O70" s="332">
        <f>IF(itens_Remanesc!A69="","",itens_Remanesc!K69)</f>
        <v/>
      </c>
      <c r="P70" s="331">
        <f>IF(OR(A70="",N70="",O70=""),"",ROUND(N70*O70,2))</f>
        <v/>
      </c>
    </row>
    <row r="71">
      <c r="A71" s="330">
        <f>IF(itens_Remanesc!A70="","",itens_Remanesc!A70)</f>
        <v/>
      </c>
      <c r="B71" s="331">
        <f>IF(OR(itens_Remanesc!A70="",NOT(ISNUMBER(parametros!$G$2))),"",ROUND(itens_Remanesc!C70*parametros!$G$2,2))</f>
        <v/>
      </c>
      <c r="C71" s="332">
        <f>IF(itens_Remanesc!A70="","",itens_Remanesc!B70)</f>
        <v/>
      </c>
      <c r="D71" s="331">
        <f>IF(A71="","",ROUND(B71*C71,2))</f>
        <v/>
      </c>
      <c r="E71" s="333">
        <f>IF(OR(itens_Remanesc!A70="",NOT(ISNUMBER(parametros!$G$3))),"",ROUND(itens_Remanesc!C70*parametros!$G$3,2))</f>
        <v/>
      </c>
      <c r="F71" s="334">
        <f>IF(itens_Remanesc!A70="","",itens_Remanesc!E70)</f>
        <v/>
      </c>
      <c r="G71" s="333">
        <f>IF(OR(A71="",E71="",F71=""),"",ROUND(E71*F71,2))</f>
        <v/>
      </c>
      <c r="H71" s="331">
        <f>IF(OR(itens_Remanesc!A70="",NOT(ISNUMBER(parametros!$G$4))),"",ROUND(itens_Remanesc!C70*parametros!$G$4,2))</f>
        <v/>
      </c>
      <c r="I71" s="332">
        <f>IF(itens_Remanesc!A70="","",itens_Remanesc!G70)</f>
        <v/>
      </c>
      <c r="J71" s="331">
        <f>IF(OR(A71="",H71="",I71=""),"",ROUND(H71*I71,2))</f>
        <v/>
      </c>
      <c r="K71" s="333">
        <f>IF(OR(itens_Remanesc!A70="",NOT(ISNUMBER(parametros!$G$5))),"",ROUND(itens_Remanesc!C70*parametros!$G$5,2))</f>
        <v/>
      </c>
      <c r="L71" s="334">
        <f>IF(itens_Remanesc!A70="","",itens_Remanesc!I70)</f>
        <v/>
      </c>
      <c r="M71" s="333">
        <f>IF(OR(A71="",K71="",L71=""),"",ROUND(K71*L71,2))</f>
        <v/>
      </c>
      <c r="N71" s="331">
        <f>IF(OR(itens_Remanesc!A70="",NOT(ISNUMBER(parametros!$G$6))),"",ROUND(itens_Remanesc!C70*parametros!$G$6,2))</f>
        <v/>
      </c>
      <c r="O71" s="332">
        <f>IF(itens_Remanesc!A70="","",itens_Remanesc!K70)</f>
        <v/>
      </c>
      <c r="P71" s="331">
        <f>IF(OR(A71="",N71="",O71=""),"",ROUND(N71*O71,2))</f>
        <v/>
      </c>
    </row>
    <row r="72">
      <c r="A72" s="330">
        <f>IF(itens_Remanesc!A71="","",itens_Remanesc!A71)</f>
        <v/>
      </c>
      <c r="B72" s="331">
        <f>IF(OR(itens_Remanesc!A71="",NOT(ISNUMBER(parametros!$G$2))),"",ROUND(itens_Remanesc!C71*parametros!$G$2,2))</f>
        <v/>
      </c>
      <c r="C72" s="332">
        <f>IF(itens_Remanesc!A71="","",itens_Remanesc!B71)</f>
        <v/>
      </c>
      <c r="D72" s="331">
        <f>IF(A72="","",ROUND(B72*C72,2))</f>
        <v/>
      </c>
      <c r="E72" s="333">
        <f>IF(OR(itens_Remanesc!A71="",NOT(ISNUMBER(parametros!$G$3))),"",ROUND(itens_Remanesc!C71*parametros!$G$3,2))</f>
        <v/>
      </c>
      <c r="F72" s="334">
        <f>IF(itens_Remanesc!A71="","",itens_Remanesc!E71)</f>
        <v/>
      </c>
      <c r="G72" s="333">
        <f>IF(OR(A72="",E72="",F72=""),"",ROUND(E72*F72,2))</f>
        <v/>
      </c>
      <c r="H72" s="331">
        <f>IF(OR(itens_Remanesc!A71="",NOT(ISNUMBER(parametros!$G$4))),"",ROUND(itens_Remanesc!C71*parametros!$G$4,2))</f>
        <v/>
      </c>
      <c r="I72" s="332">
        <f>IF(itens_Remanesc!A71="","",itens_Remanesc!G71)</f>
        <v/>
      </c>
      <c r="J72" s="331">
        <f>IF(OR(A72="",H72="",I72=""),"",ROUND(H72*I72,2))</f>
        <v/>
      </c>
      <c r="K72" s="333">
        <f>IF(OR(itens_Remanesc!A71="",NOT(ISNUMBER(parametros!$G$5))),"",ROUND(itens_Remanesc!C71*parametros!$G$5,2))</f>
        <v/>
      </c>
      <c r="L72" s="334">
        <f>IF(itens_Remanesc!A71="","",itens_Remanesc!I71)</f>
        <v/>
      </c>
      <c r="M72" s="333">
        <f>IF(OR(A72="",K72="",L72=""),"",ROUND(K72*L72,2))</f>
        <v/>
      </c>
      <c r="N72" s="331">
        <f>IF(OR(itens_Remanesc!A71="",NOT(ISNUMBER(parametros!$G$6))),"",ROUND(itens_Remanesc!C71*parametros!$G$6,2))</f>
        <v/>
      </c>
      <c r="O72" s="332">
        <f>IF(itens_Remanesc!A71="","",itens_Remanesc!K71)</f>
        <v/>
      </c>
      <c r="P72" s="331">
        <f>IF(OR(A72="",N72="",O72=""),"",ROUND(N72*O72,2))</f>
        <v/>
      </c>
    </row>
    <row r="73">
      <c r="A73" s="330">
        <f>IF(itens_Remanesc!A72="","",itens_Remanesc!A72)</f>
        <v/>
      </c>
      <c r="B73" s="331">
        <f>IF(OR(itens_Remanesc!A72="",NOT(ISNUMBER(parametros!$G$2))),"",ROUND(itens_Remanesc!C72*parametros!$G$2,2))</f>
        <v/>
      </c>
      <c r="C73" s="332">
        <f>IF(itens_Remanesc!A72="","",itens_Remanesc!B72)</f>
        <v/>
      </c>
      <c r="D73" s="331">
        <f>IF(A73="","",ROUND(B73*C73,2))</f>
        <v/>
      </c>
      <c r="E73" s="333">
        <f>IF(OR(itens_Remanesc!A72="",NOT(ISNUMBER(parametros!$G$3))),"",ROUND(itens_Remanesc!C72*parametros!$G$3,2))</f>
        <v/>
      </c>
      <c r="F73" s="334">
        <f>IF(itens_Remanesc!A72="","",itens_Remanesc!E72)</f>
        <v/>
      </c>
      <c r="G73" s="333">
        <f>IF(OR(A73="",E73="",F73=""),"",ROUND(E73*F73,2))</f>
        <v/>
      </c>
      <c r="H73" s="331">
        <f>IF(OR(itens_Remanesc!A72="",NOT(ISNUMBER(parametros!$G$4))),"",ROUND(itens_Remanesc!C72*parametros!$G$4,2))</f>
        <v/>
      </c>
      <c r="I73" s="332">
        <f>IF(itens_Remanesc!A72="","",itens_Remanesc!G72)</f>
        <v/>
      </c>
      <c r="J73" s="331">
        <f>IF(OR(A73="",H73="",I73=""),"",ROUND(H73*I73,2))</f>
        <v/>
      </c>
      <c r="K73" s="333">
        <f>IF(OR(itens_Remanesc!A72="",NOT(ISNUMBER(parametros!$G$5))),"",ROUND(itens_Remanesc!C72*parametros!$G$5,2))</f>
        <v/>
      </c>
      <c r="L73" s="334">
        <f>IF(itens_Remanesc!A72="","",itens_Remanesc!I72)</f>
        <v/>
      </c>
      <c r="M73" s="333">
        <f>IF(OR(A73="",K73="",L73=""),"",ROUND(K73*L73,2))</f>
        <v/>
      </c>
      <c r="N73" s="331">
        <f>IF(OR(itens_Remanesc!A72="",NOT(ISNUMBER(parametros!$G$6))),"",ROUND(itens_Remanesc!C72*parametros!$G$6,2))</f>
        <v/>
      </c>
      <c r="O73" s="332">
        <f>IF(itens_Remanesc!A72="","",itens_Remanesc!K72)</f>
        <v/>
      </c>
      <c r="P73" s="331">
        <f>IF(OR(A73="",N73="",O73=""),"",ROUND(N73*O73,2))</f>
        <v/>
      </c>
    </row>
    <row r="74">
      <c r="A74" s="330">
        <f>IF(itens_Remanesc!A73="","",itens_Remanesc!A73)</f>
        <v/>
      </c>
      <c r="B74" s="331">
        <f>IF(OR(itens_Remanesc!A73="",NOT(ISNUMBER(parametros!$G$2))),"",ROUND(itens_Remanesc!C73*parametros!$G$2,2))</f>
        <v/>
      </c>
      <c r="C74" s="332">
        <f>IF(itens_Remanesc!A73="","",itens_Remanesc!B73)</f>
        <v/>
      </c>
      <c r="D74" s="331">
        <f>IF(A74="","",ROUND(B74*C74,2))</f>
        <v/>
      </c>
      <c r="E74" s="333">
        <f>IF(OR(itens_Remanesc!A73="",NOT(ISNUMBER(parametros!$G$3))),"",ROUND(itens_Remanesc!C73*parametros!$G$3,2))</f>
        <v/>
      </c>
      <c r="F74" s="334">
        <f>IF(itens_Remanesc!A73="","",itens_Remanesc!E73)</f>
        <v/>
      </c>
      <c r="G74" s="333">
        <f>IF(OR(A74="",E74="",F74=""),"",ROUND(E74*F74,2))</f>
        <v/>
      </c>
      <c r="H74" s="331">
        <f>IF(OR(itens_Remanesc!A73="",NOT(ISNUMBER(parametros!$G$4))),"",ROUND(itens_Remanesc!C73*parametros!$G$4,2))</f>
        <v/>
      </c>
      <c r="I74" s="332">
        <f>IF(itens_Remanesc!A73="","",itens_Remanesc!G73)</f>
        <v/>
      </c>
      <c r="J74" s="331">
        <f>IF(OR(A74="",H74="",I74=""),"",ROUND(H74*I74,2))</f>
        <v/>
      </c>
      <c r="K74" s="333">
        <f>IF(OR(itens_Remanesc!A73="",NOT(ISNUMBER(parametros!$G$5))),"",ROUND(itens_Remanesc!C73*parametros!$G$5,2))</f>
        <v/>
      </c>
      <c r="L74" s="334">
        <f>IF(itens_Remanesc!A73="","",itens_Remanesc!I73)</f>
        <v/>
      </c>
      <c r="M74" s="333">
        <f>IF(OR(A74="",K74="",L74=""),"",ROUND(K74*L74,2))</f>
        <v/>
      </c>
      <c r="N74" s="331">
        <f>IF(OR(itens_Remanesc!A73="",NOT(ISNUMBER(parametros!$G$6))),"",ROUND(itens_Remanesc!C73*parametros!$G$6,2))</f>
        <v/>
      </c>
      <c r="O74" s="332">
        <f>IF(itens_Remanesc!A73="","",itens_Remanesc!K73)</f>
        <v/>
      </c>
      <c r="P74" s="331">
        <f>IF(OR(A74="",N74="",O74=""),"",ROUND(N74*O74,2))</f>
        <v/>
      </c>
    </row>
    <row r="75">
      <c r="A75" s="330">
        <f>IF(itens_Remanesc!A74="","",itens_Remanesc!A74)</f>
        <v/>
      </c>
      <c r="B75" s="331">
        <f>IF(OR(itens_Remanesc!A74="",NOT(ISNUMBER(parametros!$G$2))),"",ROUND(itens_Remanesc!C74*parametros!$G$2,2))</f>
        <v/>
      </c>
      <c r="C75" s="332">
        <f>IF(itens_Remanesc!A74="","",itens_Remanesc!B74)</f>
        <v/>
      </c>
      <c r="D75" s="331">
        <f>IF(A75="","",ROUND(B75*C75,2))</f>
        <v/>
      </c>
      <c r="E75" s="333">
        <f>IF(OR(itens_Remanesc!A74="",NOT(ISNUMBER(parametros!$G$3))),"",ROUND(itens_Remanesc!C74*parametros!$G$3,2))</f>
        <v/>
      </c>
      <c r="F75" s="334">
        <f>IF(itens_Remanesc!A74="","",itens_Remanesc!E74)</f>
        <v/>
      </c>
      <c r="G75" s="333">
        <f>IF(OR(A75="",E75="",F75=""),"",ROUND(E75*F75,2))</f>
        <v/>
      </c>
      <c r="H75" s="331">
        <f>IF(OR(itens_Remanesc!A74="",NOT(ISNUMBER(parametros!$G$4))),"",ROUND(itens_Remanesc!C74*parametros!$G$4,2))</f>
        <v/>
      </c>
      <c r="I75" s="332">
        <f>IF(itens_Remanesc!A74="","",itens_Remanesc!G74)</f>
        <v/>
      </c>
      <c r="J75" s="331">
        <f>IF(OR(A75="",H75="",I75=""),"",ROUND(H75*I75,2))</f>
        <v/>
      </c>
      <c r="K75" s="333">
        <f>IF(OR(itens_Remanesc!A74="",NOT(ISNUMBER(parametros!$G$5))),"",ROUND(itens_Remanesc!C74*parametros!$G$5,2))</f>
        <v/>
      </c>
      <c r="L75" s="334">
        <f>IF(itens_Remanesc!A74="","",itens_Remanesc!I74)</f>
        <v/>
      </c>
      <c r="M75" s="333">
        <f>IF(OR(A75="",K75="",L75=""),"",ROUND(K75*L75,2))</f>
        <v/>
      </c>
      <c r="N75" s="331">
        <f>IF(OR(itens_Remanesc!A74="",NOT(ISNUMBER(parametros!$G$6))),"",ROUND(itens_Remanesc!C74*parametros!$G$6,2))</f>
        <v/>
      </c>
      <c r="O75" s="332">
        <f>IF(itens_Remanesc!A74="","",itens_Remanesc!K74)</f>
        <v/>
      </c>
      <c r="P75" s="331">
        <f>IF(OR(A75="",N75="",O75=""),"",ROUND(N75*O75,2))</f>
        <v/>
      </c>
    </row>
    <row r="76">
      <c r="A76" s="330">
        <f>IF(itens_Remanesc!A75="","",itens_Remanesc!A75)</f>
        <v/>
      </c>
      <c r="B76" s="331">
        <f>IF(OR(itens_Remanesc!A75="",NOT(ISNUMBER(parametros!$G$2))),"",ROUND(itens_Remanesc!C75*parametros!$G$2,2))</f>
        <v/>
      </c>
      <c r="C76" s="332">
        <f>IF(itens_Remanesc!A75="","",itens_Remanesc!B75)</f>
        <v/>
      </c>
      <c r="D76" s="331">
        <f>IF(A76="","",ROUND(B76*C76,2))</f>
        <v/>
      </c>
      <c r="E76" s="333">
        <f>IF(OR(itens_Remanesc!A75="",NOT(ISNUMBER(parametros!$G$3))),"",ROUND(itens_Remanesc!C75*parametros!$G$3,2))</f>
        <v/>
      </c>
      <c r="F76" s="334">
        <f>IF(itens_Remanesc!A75="","",itens_Remanesc!E75)</f>
        <v/>
      </c>
      <c r="G76" s="333">
        <f>IF(OR(A76="",E76="",F76=""),"",ROUND(E76*F76,2))</f>
        <v/>
      </c>
      <c r="H76" s="331">
        <f>IF(OR(itens_Remanesc!A75="",NOT(ISNUMBER(parametros!$G$4))),"",ROUND(itens_Remanesc!C75*parametros!$G$4,2))</f>
        <v/>
      </c>
      <c r="I76" s="332">
        <f>IF(itens_Remanesc!A75="","",itens_Remanesc!G75)</f>
        <v/>
      </c>
      <c r="J76" s="331">
        <f>IF(OR(A76="",H76="",I76=""),"",ROUND(H76*I76,2))</f>
        <v/>
      </c>
      <c r="K76" s="333">
        <f>IF(OR(itens_Remanesc!A75="",NOT(ISNUMBER(parametros!$G$5))),"",ROUND(itens_Remanesc!C75*parametros!$G$5,2))</f>
        <v/>
      </c>
      <c r="L76" s="334">
        <f>IF(itens_Remanesc!A75="","",itens_Remanesc!I75)</f>
        <v/>
      </c>
      <c r="M76" s="333">
        <f>IF(OR(A76="",K76="",L76=""),"",ROUND(K76*L76,2))</f>
        <v/>
      </c>
      <c r="N76" s="331">
        <f>IF(OR(itens_Remanesc!A75="",NOT(ISNUMBER(parametros!$G$6))),"",ROUND(itens_Remanesc!C75*parametros!$G$6,2))</f>
        <v/>
      </c>
      <c r="O76" s="332">
        <f>IF(itens_Remanesc!A75="","",itens_Remanesc!K75)</f>
        <v/>
      </c>
      <c r="P76" s="331">
        <f>IF(OR(A76="",N76="",O76=""),"",ROUND(N76*O76,2))</f>
        <v/>
      </c>
    </row>
    <row r="77">
      <c r="A77" s="330">
        <f>IF(itens_Remanesc!A76="","",itens_Remanesc!A76)</f>
        <v/>
      </c>
      <c r="B77" s="331">
        <f>IF(OR(itens_Remanesc!A76="",NOT(ISNUMBER(parametros!$G$2))),"",ROUND(itens_Remanesc!C76*parametros!$G$2,2))</f>
        <v/>
      </c>
      <c r="C77" s="332">
        <f>IF(itens_Remanesc!A76="","",itens_Remanesc!B76)</f>
        <v/>
      </c>
      <c r="D77" s="331">
        <f>IF(A77="","",ROUND(B77*C77,2))</f>
        <v/>
      </c>
      <c r="E77" s="333">
        <f>IF(OR(itens_Remanesc!A76="",NOT(ISNUMBER(parametros!$G$3))),"",ROUND(itens_Remanesc!C76*parametros!$G$3,2))</f>
        <v/>
      </c>
      <c r="F77" s="334">
        <f>IF(itens_Remanesc!A76="","",itens_Remanesc!E76)</f>
        <v/>
      </c>
      <c r="G77" s="333">
        <f>IF(OR(A77="",E77="",F77=""),"",ROUND(E77*F77,2))</f>
        <v/>
      </c>
      <c r="H77" s="331">
        <f>IF(OR(itens_Remanesc!A76="",NOT(ISNUMBER(parametros!$G$4))),"",ROUND(itens_Remanesc!C76*parametros!$G$4,2))</f>
        <v/>
      </c>
      <c r="I77" s="332">
        <f>IF(itens_Remanesc!A76="","",itens_Remanesc!G76)</f>
        <v/>
      </c>
      <c r="J77" s="331">
        <f>IF(OR(A77="",H77="",I77=""),"",ROUND(H77*I77,2))</f>
        <v/>
      </c>
      <c r="K77" s="333">
        <f>IF(OR(itens_Remanesc!A76="",NOT(ISNUMBER(parametros!$G$5))),"",ROUND(itens_Remanesc!C76*parametros!$G$5,2))</f>
        <v/>
      </c>
      <c r="L77" s="334">
        <f>IF(itens_Remanesc!A76="","",itens_Remanesc!I76)</f>
        <v/>
      </c>
      <c r="M77" s="333">
        <f>IF(OR(A77="",K77="",L77=""),"",ROUND(K77*L77,2))</f>
        <v/>
      </c>
      <c r="N77" s="331">
        <f>IF(OR(itens_Remanesc!A76="",NOT(ISNUMBER(parametros!$G$6))),"",ROUND(itens_Remanesc!C76*parametros!$G$6,2))</f>
        <v/>
      </c>
      <c r="O77" s="332">
        <f>IF(itens_Remanesc!A76="","",itens_Remanesc!K76)</f>
        <v/>
      </c>
      <c r="P77" s="331">
        <f>IF(OR(A77="",N77="",O77=""),"",ROUND(N77*O77,2))</f>
        <v/>
      </c>
    </row>
    <row r="78">
      <c r="A78" s="330">
        <f>IF(itens_Remanesc!A77="","",itens_Remanesc!A77)</f>
        <v/>
      </c>
      <c r="B78" s="331">
        <f>IF(OR(itens_Remanesc!A77="",NOT(ISNUMBER(parametros!$G$2))),"",ROUND(itens_Remanesc!C77*parametros!$G$2,2))</f>
        <v/>
      </c>
      <c r="C78" s="332">
        <f>IF(itens_Remanesc!A77="","",itens_Remanesc!B77)</f>
        <v/>
      </c>
      <c r="D78" s="331">
        <f>IF(A78="","",ROUND(B78*C78,2))</f>
        <v/>
      </c>
      <c r="E78" s="333">
        <f>IF(OR(itens_Remanesc!A77="",NOT(ISNUMBER(parametros!$G$3))),"",ROUND(itens_Remanesc!C77*parametros!$G$3,2))</f>
        <v/>
      </c>
      <c r="F78" s="334">
        <f>IF(itens_Remanesc!A77="","",itens_Remanesc!E77)</f>
        <v/>
      </c>
      <c r="G78" s="333">
        <f>IF(OR(A78="",E78="",F78=""),"",ROUND(E78*F78,2))</f>
        <v/>
      </c>
      <c r="H78" s="331">
        <f>IF(OR(itens_Remanesc!A77="",NOT(ISNUMBER(parametros!$G$4))),"",ROUND(itens_Remanesc!C77*parametros!$G$4,2))</f>
        <v/>
      </c>
      <c r="I78" s="332">
        <f>IF(itens_Remanesc!A77="","",itens_Remanesc!G77)</f>
        <v/>
      </c>
      <c r="J78" s="331">
        <f>IF(OR(A78="",H78="",I78=""),"",ROUND(H78*I78,2))</f>
        <v/>
      </c>
      <c r="K78" s="333">
        <f>IF(OR(itens_Remanesc!A77="",NOT(ISNUMBER(parametros!$G$5))),"",ROUND(itens_Remanesc!C77*parametros!$G$5,2))</f>
        <v/>
      </c>
      <c r="L78" s="334">
        <f>IF(itens_Remanesc!A77="","",itens_Remanesc!I77)</f>
        <v/>
      </c>
      <c r="M78" s="333">
        <f>IF(OR(A78="",K78="",L78=""),"",ROUND(K78*L78,2))</f>
        <v/>
      </c>
      <c r="N78" s="331">
        <f>IF(OR(itens_Remanesc!A77="",NOT(ISNUMBER(parametros!$G$6))),"",ROUND(itens_Remanesc!C77*parametros!$G$6,2))</f>
        <v/>
      </c>
      <c r="O78" s="332">
        <f>IF(itens_Remanesc!A77="","",itens_Remanesc!K77)</f>
        <v/>
      </c>
      <c r="P78" s="331">
        <f>IF(OR(A78="",N78="",O78=""),"",ROUND(N78*O78,2))</f>
        <v/>
      </c>
    </row>
    <row r="79">
      <c r="A79" s="330">
        <f>IF(itens_Remanesc!A78="","",itens_Remanesc!A78)</f>
        <v/>
      </c>
      <c r="B79" s="331">
        <f>IF(OR(itens_Remanesc!A78="",NOT(ISNUMBER(parametros!$G$2))),"",ROUND(itens_Remanesc!C78*parametros!$G$2,2))</f>
        <v/>
      </c>
      <c r="C79" s="332">
        <f>IF(itens_Remanesc!A78="","",itens_Remanesc!B78)</f>
        <v/>
      </c>
      <c r="D79" s="331">
        <f>IF(A79="","",ROUND(B79*C79,2))</f>
        <v/>
      </c>
      <c r="E79" s="333">
        <f>IF(OR(itens_Remanesc!A78="",NOT(ISNUMBER(parametros!$G$3))),"",ROUND(itens_Remanesc!C78*parametros!$G$3,2))</f>
        <v/>
      </c>
      <c r="F79" s="334">
        <f>IF(itens_Remanesc!A78="","",itens_Remanesc!E78)</f>
        <v/>
      </c>
      <c r="G79" s="333">
        <f>IF(OR(A79="",E79="",F79=""),"",ROUND(E79*F79,2))</f>
        <v/>
      </c>
      <c r="H79" s="331">
        <f>IF(OR(itens_Remanesc!A78="",NOT(ISNUMBER(parametros!$G$4))),"",ROUND(itens_Remanesc!C78*parametros!$G$4,2))</f>
        <v/>
      </c>
      <c r="I79" s="332">
        <f>IF(itens_Remanesc!A78="","",itens_Remanesc!G78)</f>
        <v/>
      </c>
      <c r="J79" s="331">
        <f>IF(OR(A79="",H79="",I79=""),"",ROUND(H79*I79,2))</f>
        <v/>
      </c>
      <c r="K79" s="333">
        <f>IF(OR(itens_Remanesc!A78="",NOT(ISNUMBER(parametros!$G$5))),"",ROUND(itens_Remanesc!C78*parametros!$G$5,2))</f>
        <v/>
      </c>
      <c r="L79" s="334">
        <f>IF(itens_Remanesc!A78="","",itens_Remanesc!I78)</f>
        <v/>
      </c>
      <c r="M79" s="333">
        <f>IF(OR(A79="",K79="",L79=""),"",ROUND(K79*L79,2))</f>
        <v/>
      </c>
      <c r="N79" s="331">
        <f>IF(OR(itens_Remanesc!A78="",NOT(ISNUMBER(parametros!$G$6))),"",ROUND(itens_Remanesc!C78*parametros!$G$6,2))</f>
        <v/>
      </c>
      <c r="O79" s="332">
        <f>IF(itens_Remanesc!A78="","",itens_Remanesc!K78)</f>
        <v/>
      </c>
      <c r="P79" s="331">
        <f>IF(OR(A79="",N79="",O79=""),"",ROUND(N79*O79,2))</f>
        <v/>
      </c>
    </row>
    <row r="80">
      <c r="A80" s="330">
        <f>IF(itens_Remanesc!A79="","",itens_Remanesc!A79)</f>
        <v/>
      </c>
      <c r="B80" s="331">
        <f>IF(OR(itens_Remanesc!A79="",NOT(ISNUMBER(parametros!$G$2))),"",ROUND(itens_Remanesc!C79*parametros!$G$2,2))</f>
        <v/>
      </c>
      <c r="C80" s="332">
        <f>IF(itens_Remanesc!A79="","",itens_Remanesc!B79)</f>
        <v/>
      </c>
      <c r="D80" s="331">
        <f>IF(A80="","",ROUND(B80*C80,2))</f>
        <v/>
      </c>
      <c r="E80" s="333">
        <f>IF(OR(itens_Remanesc!A79="",NOT(ISNUMBER(parametros!$G$3))),"",ROUND(itens_Remanesc!C79*parametros!$G$3,2))</f>
        <v/>
      </c>
      <c r="F80" s="334">
        <f>IF(itens_Remanesc!A79="","",itens_Remanesc!E79)</f>
        <v/>
      </c>
      <c r="G80" s="333">
        <f>IF(OR(A80="",E80="",F80=""),"",ROUND(E80*F80,2))</f>
        <v/>
      </c>
      <c r="H80" s="331">
        <f>IF(OR(itens_Remanesc!A79="",NOT(ISNUMBER(parametros!$G$4))),"",ROUND(itens_Remanesc!C79*parametros!$G$4,2))</f>
        <v/>
      </c>
      <c r="I80" s="332">
        <f>IF(itens_Remanesc!A79="","",itens_Remanesc!G79)</f>
        <v/>
      </c>
      <c r="J80" s="331">
        <f>IF(OR(A80="",H80="",I80=""),"",ROUND(H80*I80,2))</f>
        <v/>
      </c>
      <c r="K80" s="333">
        <f>IF(OR(itens_Remanesc!A79="",NOT(ISNUMBER(parametros!$G$5))),"",ROUND(itens_Remanesc!C79*parametros!$G$5,2))</f>
        <v/>
      </c>
      <c r="L80" s="334">
        <f>IF(itens_Remanesc!A79="","",itens_Remanesc!I79)</f>
        <v/>
      </c>
      <c r="M80" s="333">
        <f>IF(OR(A80="",K80="",L80=""),"",ROUND(K80*L80,2))</f>
        <v/>
      </c>
      <c r="N80" s="331">
        <f>IF(OR(itens_Remanesc!A79="",NOT(ISNUMBER(parametros!$G$6))),"",ROUND(itens_Remanesc!C79*parametros!$G$6,2))</f>
        <v/>
      </c>
      <c r="O80" s="332">
        <f>IF(itens_Remanesc!A79="","",itens_Remanesc!K79)</f>
        <v/>
      </c>
      <c r="P80" s="331">
        <f>IF(OR(A80="",N80="",O80=""),"",ROUND(N80*O80,2))</f>
        <v/>
      </c>
    </row>
    <row r="81">
      <c r="A81" s="330">
        <f>IF(itens_Remanesc!A80="","",itens_Remanesc!A80)</f>
        <v/>
      </c>
      <c r="B81" s="331">
        <f>IF(OR(itens_Remanesc!A80="",NOT(ISNUMBER(parametros!$G$2))),"",ROUND(itens_Remanesc!C80*parametros!$G$2,2))</f>
        <v/>
      </c>
      <c r="C81" s="332">
        <f>IF(itens_Remanesc!A80="","",itens_Remanesc!B80)</f>
        <v/>
      </c>
      <c r="D81" s="331">
        <f>IF(A81="","",ROUND(B81*C81,2))</f>
        <v/>
      </c>
      <c r="E81" s="333">
        <f>IF(OR(itens_Remanesc!A80="",NOT(ISNUMBER(parametros!$G$3))),"",ROUND(itens_Remanesc!C80*parametros!$G$3,2))</f>
        <v/>
      </c>
      <c r="F81" s="334">
        <f>IF(itens_Remanesc!A80="","",itens_Remanesc!E80)</f>
        <v/>
      </c>
      <c r="G81" s="333">
        <f>IF(OR(A81="",E81="",F81=""),"",ROUND(E81*F81,2))</f>
        <v/>
      </c>
      <c r="H81" s="331">
        <f>IF(OR(itens_Remanesc!A80="",NOT(ISNUMBER(parametros!$G$4))),"",ROUND(itens_Remanesc!C80*parametros!$G$4,2))</f>
        <v/>
      </c>
      <c r="I81" s="332">
        <f>IF(itens_Remanesc!A80="","",itens_Remanesc!G80)</f>
        <v/>
      </c>
      <c r="J81" s="331">
        <f>IF(OR(A81="",H81="",I81=""),"",ROUND(H81*I81,2))</f>
        <v/>
      </c>
      <c r="K81" s="333">
        <f>IF(OR(itens_Remanesc!A80="",NOT(ISNUMBER(parametros!$G$5))),"",ROUND(itens_Remanesc!C80*parametros!$G$5,2))</f>
        <v/>
      </c>
      <c r="L81" s="334">
        <f>IF(itens_Remanesc!A80="","",itens_Remanesc!I80)</f>
        <v/>
      </c>
      <c r="M81" s="333">
        <f>IF(OR(A81="",K81="",L81=""),"",ROUND(K81*L81,2))</f>
        <v/>
      </c>
      <c r="N81" s="331">
        <f>IF(OR(itens_Remanesc!A80="",NOT(ISNUMBER(parametros!$G$6))),"",ROUND(itens_Remanesc!C80*parametros!$G$6,2))</f>
        <v/>
      </c>
      <c r="O81" s="332">
        <f>IF(itens_Remanesc!A80="","",itens_Remanesc!K80)</f>
        <v/>
      </c>
      <c r="P81" s="331">
        <f>IF(OR(A81="",N81="",O81=""),"",ROUND(N81*O81,2))</f>
        <v/>
      </c>
    </row>
    <row r="82">
      <c r="A82" s="330">
        <f>IF(itens_Remanesc!A81="","",itens_Remanesc!A81)</f>
        <v/>
      </c>
      <c r="B82" s="331">
        <f>IF(OR(itens_Remanesc!A81="",NOT(ISNUMBER(parametros!$G$2))),"",ROUND(itens_Remanesc!C81*parametros!$G$2,2))</f>
        <v/>
      </c>
      <c r="C82" s="332">
        <f>IF(itens_Remanesc!A81="","",itens_Remanesc!B81)</f>
        <v/>
      </c>
      <c r="D82" s="331">
        <f>IF(A82="","",ROUND(B82*C82,2))</f>
        <v/>
      </c>
      <c r="E82" s="333">
        <f>IF(OR(itens_Remanesc!A81="",NOT(ISNUMBER(parametros!$G$3))),"",ROUND(itens_Remanesc!C81*parametros!$G$3,2))</f>
        <v/>
      </c>
      <c r="F82" s="334">
        <f>IF(itens_Remanesc!A81="","",itens_Remanesc!E81)</f>
        <v/>
      </c>
      <c r="G82" s="333">
        <f>IF(OR(A82="",E82="",F82=""),"",ROUND(E82*F82,2))</f>
        <v/>
      </c>
      <c r="H82" s="331">
        <f>IF(OR(itens_Remanesc!A81="",NOT(ISNUMBER(parametros!$G$4))),"",ROUND(itens_Remanesc!C81*parametros!$G$4,2))</f>
        <v/>
      </c>
      <c r="I82" s="332">
        <f>IF(itens_Remanesc!A81="","",itens_Remanesc!G81)</f>
        <v/>
      </c>
      <c r="J82" s="331">
        <f>IF(OR(A82="",H82="",I82=""),"",ROUND(H82*I82,2))</f>
        <v/>
      </c>
      <c r="K82" s="333">
        <f>IF(OR(itens_Remanesc!A81="",NOT(ISNUMBER(parametros!$G$5))),"",ROUND(itens_Remanesc!C81*parametros!$G$5,2))</f>
        <v/>
      </c>
      <c r="L82" s="334">
        <f>IF(itens_Remanesc!A81="","",itens_Remanesc!I81)</f>
        <v/>
      </c>
      <c r="M82" s="333">
        <f>IF(OR(A82="",K82="",L82=""),"",ROUND(K82*L82,2))</f>
        <v/>
      </c>
      <c r="N82" s="331">
        <f>IF(OR(itens_Remanesc!A81="",NOT(ISNUMBER(parametros!$G$6))),"",ROUND(itens_Remanesc!C81*parametros!$G$6,2))</f>
        <v/>
      </c>
      <c r="O82" s="332">
        <f>IF(itens_Remanesc!A81="","",itens_Remanesc!K81)</f>
        <v/>
      </c>
      <c r="P82" s="331">
        <f>IF(OR(A82="",N82="",O82=""),"",ROUND(N82*O82,2))</f>
        <v/>
      </c>
    </row>
    <row r="83">
      <c r="A83" s="330">
        <f>IF(itens_Remanesc!A82="","",itens_Remanesc!A82)</f>
        <v/>
      </c>
      <c r="B83" s="331">
        <f>IF(OR(itens_Remanesc!A82="",NOT(ISNUMBER(parametros!$G$2))),"",ROUND(itens_Remanesc!C82*parametros!$G$2,2))</f>
        <v/>
      </c>
      <c r="C83" s="332">
        <f>IF(itens_Remanesc!A82="","",itens_Remanesc!B82)</f>
        <v/>
      </c>
      <c r="D83" s="331">
        <f>IF(A83="","",ROUND(B83*C83,2))</f>
        <v/>
      </c>
      <c r="E83" s="333">
        <f>IF(OR(itens_Remanesc!A82="",NOT(ISNUMBER(parametros!$G$3))),"",ROUND(itens_Remanesc!C82*parametros!$G$3,2))</f>
        <v/>
      </c>
      <c r="F83" s="334">
        <f>IF(itens_Remanesc!A82="","",itens_Remanesc!E82)</f>
        <v/>
      </c>
      <c r="G83" s="333">
        <f>IF(OR(A83="",E83="",F83=""),"",ROUND(E83*F83,2))</f>
        <v/>
      </c>
      <c r="H83" s="331">
        <f>IF(OR(itens_Remanesc!A82="",NOT(ISNUMBER(parametros!$G$4))),"",ROUND(itens_Remanesc!C82*parametros!$G$4,2))</f>
        <v/>
      </c>
      <c r="I83" s="332">
        <f>IF(itens_Remanesc!A82="","",itens_Remanesc!G82)</f>
        <v/>
      </c>
      <c r="J83" s="331">
        <f>IF(OR(A83="",H83="",I83=""),"",ROUND(H83*I83,2))</f>
        <v/>
      </c>
      <c r="K83" s="333">
        <f>IF(OR(itens_Remanesc!A82="",NOT(ISNUMBER(parametros!$G$5))),"",ROUND(itens_Remanesc!C82*parametros!$G$5,2))</f>
        <v/>
      </c>
      <c r="L83" s="334">
        <f>IF(itens_Remanesc!A82="","",itens_Remanesc!I82)</f>
        <v/>
      </c>
      <c r="M83" s="333">
        <f>IF(OR(A83="",K83="",L83=""),"",ROUND(K83*L83,2))</f>
        <v/>
      </c>
      <c r="N83" s="331">
        <f>IF(OR(itens_Remanesc!A82="",NOT(ISNUMBER(parametros!$G$6))),"",ROUND(itens_Remanesc!C82*parametros!$G$6,2))</f>
        <v/>
      </c>
      <c r="O83" s="332">
        <f>IF(itens_Remanesc!A82="","",itens_Remanesc!K82)</f>
        <v/>
      </c>
      <c r="P83" s="331">
        <f>IF(OR(A83="",N83="",O83=""),"",ROUND(N83*O83,2))</f>
        <v/>
      </c>
    </row>
    <row r="84">
      <c r="A84" s="330">
        <f>IF(itens_Remanesc!A83="","",itens_Remanesc!A83)</f>
        <v/>
      </c>
      <c r="B84" s="331">
        <f>IF(OR(itens_Remanesc!A83="",NOT(ISNUMBER(parametros!$G$2))),"",ROUND(itens_Remanesc!C83*parametros!$G$2,2))</f>
        <v/>
      </c>
      <c r="C84" s="332">
        <f>IF(itens_Remanesc!A83="","",itens_Remanesc!B83)</f>
        <v/>
      </c>
      <c r="D84" s="331">
        <f>IF(A84="","",ROUND(B84*C84,2))</f>
        <v/>
      </c>
      <c r="E84" s="333">
        <f>IF(OR(itens_Remanesc!A83="",NOT(ISNUMBER(parametros!$G$3))),"",ROUND(itens_Remanesc!C83*parametros!$G$3,2))</f>
        <v/>
      </c>
      <c r="F84" s="334">
        <f>IF(itens_Remanesc!A83="","",itens_Remanesc!E83)</f>
        <v/>
      </c>
      <c r="G84" s="333">
        <f>IF(OR(A84="",E84="",F84=""),"",ROUND(E84*F84,2))</f>
        <v/>
      </c>
      <c r="H84" s="331">
        <f>IF(OR(itens_Remanesc!A83="",NOT(ISNUMBER(parametros!$G$4))),"",ROUND(itens_Remanesc!C83*parametros!$G$4,2))</f>
        <v/>
      </c>
      <c r="I84" s="332">
        <f>IF(itens_Remanesc!A83="","",itens_Remanesc!G83)</f>
        <v/>
      </c>
      <c r="J84" s="331">
        <f>IF(OR(A84="",H84="",I84=""),"",ROUND(H84*I84,2))</f>
        <v/>
      </c>
      <c r="K84" s="333">
        <f>IF(OR(itens_Remanesc!A83="",NOT(ISNUMBER(parametros!$G$5))),"",ROUND(itens_Remanesc!C83*parametros!$G$5,2))</f>
        <v/>
      </c>
      <c r="L84" s="334">
        <f>IF(itens_Remanesc!A83="","",itens_Remanesc!I83)</f>
        <v/>
      </c>
      <c r="M84" s="333">
        <f>IF(OR(A84="",K84="",L84=""),"",ROUND(K84*L84,2))</f>
        <v/>
      </c>
      <c r="N84" s="331">
        <f>IF(OR(itens_Remanesc!A83="",NOT(ISNUMBER(parametros!$G$6))),"",ROUND(itens_Remanesc!C83*parametros!$G$6,2))</f>
        <v/>
      </c>
      <c r="O84" s="332">
        <f>IF(itens_Remanesc!A83="","",itens_Remanesc!K83)</f>
        <v/>
      </c>
      <c r="P84" s="331">
        <f>IF(OR(A84="",N84="",O84=""),"",ROUND(N84*O84,2))</f>
        <v/>
      </c>
    </row>
    <row r="85">
      <c r="A85" s="330">
        <f>IF(itens_Remanesc!A84="","",itens_Remanesc!A84)</f>
        <v/>
      </c>
      <c r="B85" s="331">
        <f>IF(OR(itens_Remanesc!A84="",NOT(ISNUMBER(parametros!$G$2))),"",ROUND(itens_Remanesc!C84*parametros!$G$2,2))</f>
        <v/>
      </c>
      <c r="C85" s="332">
        <f>IF(itens_Remanesc!A84="","",itens_Remanesc!B84)</f>
        <v/>
      </c>
      <c r="D85" s="331">
        <f>IF(A85="","",ROUND(B85*C85,2))</f>
        <v/>
      </c>
      <c r="E85" s="333">
        <f>IF(OR(itens_Remanesc!A84="",NOT(ISNUMBER(parametros!$G$3))),"",ROUND(itens_Remanesc!C84*parametros!$G$3,2))</f>
        <v/>
      </c>
      <c r="F85" s="334">
        <f>IF(itens_Remanesc!A84="","",itens_Remanesc!E84)</f>
        <v/>
      </c>
      <c r="G85" s="333">
        <f>IF(OR(A85="",E85="",F85=""),"",ROUND(E85*F85,2))</f>
        <v/>
      </c>
      <c r="H85" s="331">
        <f>IF(OR(itens_Remanesc!A84="",NOT(ISNUMBER(parametros!$G$4))),"",ROUND(itens_Remanesc!C84*parametros!$G$4,2))</f>
        <v/>
      </c>
      <c r="I85" s="332">
        <f>IF(itens_Remanesc!A84="","",itens_Remanesc!G84)</f>
        <v/>
      </c>
      <c r="J85" s="331">
        <f>IF(OR(A85="",H85="",I85=""),"",ROUND(H85*I85,2))</f>
        <v/>
      </c>
      <c r="K85" s="333">
        <f>IF(OR(itens_Remanesc!A84="",NOT(ISNUMBER(parametros!$G$5))),"",ROUND(itens_Remanesc!C84*parametros!$G$5,2))</f>
        <v/>
      </c>
      <c r="L85" s="334">
        <f>IF(itens_Remanesc!A84="","",itens_Remanesc!I84)</f>
        <v/>
      </c>
      <c r="M85" s="333">
        <f>IF(OR(A85="",K85="",L85=""),"",ROUND(K85*L85,2))</f>
        <v/>
      </c>
      <c r="N85" s="331">
        <f>IF(OR(itens_Remanesc!A84="",NOT(ISNUMBER(parametros!$G$6))),"",ROUND(itens_Remanesc!C84*parametros!$G$6,2))</f>
        <v/>
      </c>
      <c r="O85" s="332">
        <f>IF(itens_Remanesc!A84="","",itens_Remanesc!K84)</f>
        <v/>
      </c>
      <c r="P85" s="331">
        <f>IF(OR(A85="",N85="",O85=""),"",ROUND(N85*O85,2))</f>
        <v/>
      </c>
    </row>
    <row r="86">
      <c r="A86" s="330">
        <f>IF(itens_Remanesc!A85="","",itens_Remanesc!A85)</f>
        <v/>
      </c>
      <c r="B86" s="331">
        <f>IF(OR(itens_Remanesc!A85="",NOT(ISNUMBER(parametros!$G$2))),"",ROUND(itens_Remanesc!C85*parametros!$G$2,2))</f>
        <v/>
      </c>
      <c r="C86" s="332">
        <f>IF(itens_Remanesc!A85="","",itens_Remanesc!B85)</f>
        <v/>
      </c>
      <c r="D86" s="331">
        <f>IF(A86="","",ROUND(B86*C86,2))</f>
        <v/>
      </c>
      <c r="E86" s="333">
        <f>IF(OR(itens_Remanesc!A85="",NOT(ISNUMBER(parametros!$G$3))),"",ROUND(itens_Remanesc!C85*parametros!$G$3,2))</f>
        <v/>
      </c>
      <c r="F86" s="334">
        <f>IF(itens_Remanesc!A85="","",itens_Remanesc!E85)</f>
        <v/>
      </c>
      <c r="G86" s="333">
        <f>IF(OR(A86="",E86="",F86=""),"",ROUND(E86*F86,2))</f>
        <v/>
      </c>
      <c r="H86" s="331">
        <f>IF(OR(itens_Remanesc!A85="",NOT(ISNUMBER(parametros!$G$4))),"",ROUND(itens_Remanesc!C85*parametros!$G$4,2))</f>
        <v/>
      </c>
      <c r="I86" s="332">
        <f>IF(itens_Remanesc!A85="","",itens_Remanesc!G85)</f>
        <v/>
      </c>
      <c r="J86" s="331">
        <f>IF(OR(A86="",H86="",I86=""),"",ROUND(H86*I86,2))</f>
        <v/>
      </c>
      <c r="K86" s="333">
        <f>IF(OR(itens_Remanesc!A85="",NOT(ISNUMBER(parametros!$G$5))),"",ROUND(itens_Remanesc!C85*parametros!$G$5,2))</f>
        <v/>
      </c>
      <c r="L86" s="334">
        <f>IF(itens_Remanesc!A85="","",itens_Remanesc!I85)</f>
        <v/>
      </c>
      <c r="M86" s="333">
        <f>IF(OR(A86="",K86="",L86=""),"",ROUND(K86*L86,2))</f>
        <v/>
      </c>
      <c r="N86" s="331">
        <f>IF(OR(itens_Remanesc!A85="",NOT(ISNUMBER(parametros!$G$6))),"",ROUND(itens_Remanesc!C85*parametros!$G$6,2))</f>
        <v/>
      </c>
      <c r="O86" s="332">
        <f>IF(itens_Remanesc!A85="","",itens_Remanesc!K85)</f>
        <v/>
      </c>
      <c r="P86" s="331">
        <f>IF(OR(A86="",N86="",O86=""),"",ROUND(N86*O86,2))</f>
        <v/>
      </c>
    </row>
    <row r="87">
      <c r="A87" s="330">
        <f>IF(itens_Remanesc!A86="","",itens_Remanesc!A86)</f>
        <v/>
      </c>
      <c r="B87" s="331">
        <f>IF(OR(itens_Remanesc!A86="",NOT(ISNUMBER(parametros!$G$2))),"",ROUND(itens_Remanesc!C86*parametros!$G$2,2))</f>
        <v/>
      </c>
      <c r="C87" s="332">
        <f>IF(itens_Remanesc!A86="","",itens_Remanesc!B86)</f>
        <v/>
      </c>
      <c r="D87" s="331">
        <f>IF(A87="","",ROUND(B87*C87,2))</f>
        <v/>
      </c>
      <c r="E87" s="333">
        <f>IF(OR(itens_Remanesc!A86="",NOT(ISNUMBER(parametros!$G$3))),"",ROUND(itens_Remanesc!C86*parametros!$G$3,2))</f>
        <v/>
      </c>
      <c r="F87" s="334">
        <f>IF(itens_Remanesc!A86="","",itens_Remanesc!E86)</f>
        <v/>
      </c>
      <c r="G87" s="333">
        <f>IF(OR(A87="",E87="",F87=""),"",ROUND(E87*F87,2))</f>
        <v/>
      </c>
      <c r="H87" s="331">
        <f>IF(OR(itens_Remanesc!A86="",NOT(ISNUMBER(parametros!$G$4))),"",ROUND(itens_Remanesc!C86*parametros!$G$4,2))</f>
        <v/>
      </c>
      <c r="I87" s="332">
        <f>IF(itens_Remanesc!A86="","",itens_Remanesc!G86)</f>
        <v/>
      </c>
      <c r="J87" s="331">
        <f>IF(OR(A87="",H87="",I87=""),"",ROUND(H87*I87,2))</f>
        <v/>
      </c>
      <c r="K87" s="333">
        <f>IF(OR(itens_Remanesc!A86="",NOT(ISNUMBER(parametros!$G$5))),"",ROUND(itens_Remanesc!C86*parametros!$G$5,2))</f>
        <v/>
      </c>
      <c r="L87" s="334">
        <f>IF(itens_Remanesc!A86="","",itens_Remanesc!I86)</f>
        <v/>
      </c>
      <c r="M87" s="333">
        <f>IF(OR(A87="",K87="",L87=""),"",ROUND(K87*L87,2))</f>
        <v/>
      </c>
      <c r="N87" s="331">
        <f>IF(OR(itens_Remanesc!A86="",NOT(ISNUMBER(parametros!$G$6))),"",ROUND(itens_Remanesc!C86*parametros!$G$6,2))</f>
        <v/>
      </c>
      <c r="O87" s="332">
        <f>IF(itens_Remanesc!A86="","",itens_Remanesc!K86)</f>
        <v/>
      </c>
      <c r="P87" s="331">
        <f>IF(OR(A87="",N87="",O87=""),"",ROUND(N87*O87,2))</f>
        <v/>
      </c>
    </row>
    <row r="88">
      <c r="A88" s="330">
        <f>IF(itens_Remanesc!A87="","",itens_Remanesc!A87)</f>
        <v/>
      </c>
      <c r="B88" s="331">
        <f>IF(OR(itens_Remanesc!A87="",NOT(ISNUMBER(parametros!$G$2))),"",ROUND(itens_Remanesc!C87*parametros!$G$2,2))</f>
        <v/>
      </c>
      <c r="C88" s="332">
        <f>IF(itens_Remanesc!A87="","",itens_Remanesc!B87)</f>
        <v/>
      </c>
      <c r="D88" s="331">
        <f>IF(A88="","",ROUND(B88*C88,2))</f>
        <v/>
      </c>
      <c r="E88" s="333">
        <f>IF(OR(itens_Remanesc!A87="",NOT(ISNUMBER(parametros!$G$3))),"",ROUND(itens_Remanesc!C87*parametros!$G$3,2))</f>
        <v/>
      </c>
      <c r="F88" s="334">
        <f>IF(itens_Remanesc!A87="","",itens_Remanesc!E87)</f>
        <v/>
      </c>
      <c r="G88" s="333">
        <f>IF(OR(A88="",E88="",F88=""),"",ROUND(E88*F88,2))</f>
        <v/>
      </c>
      <c r="H88" s="331">
        <f>IF(OR(itens_Remanesc!A87="",NOT(ISNUMBER(parametros!$G$4))),"",ROUND(itens_Remanesc!C87*parametros!$G$4,2))</f>
        <v/>
      </c>
      <c r="I88" s="332">
        <f>IF(itens_Remanesc!A87="","",itens_Remanesc!G87)</f>
        <v/>
      </c>
      <c r="J88" s="331">
        <f>IF(OR(A88="",H88="",I88=""),"",ROUND(H88*I88,2))</f>
        <v/>
      </c>
      <c r="K88" s="333">
        <f>IF(OR(itens_Remanesc!A87="",NOT(ISNUMBER(parametros!$G$5))),"",ROUND(itens_Remanesc!C87*parametros!$G$5,2))</f>
        <v/>
      </c>
      <c r="L88" s="334">
        <f>IF(itens_Remanesc!A87="","",itens_Remanesc!I87)</f>
        <v/>
      </c>
      <c r="M88" s="333">
        <f>IF(OR(A88="",K88="",L88=""),"",ROUND(K88*L88,2))</f>
        <v/>
      </c>
      <c r="N88" s="331">
        <f>IF(OR(itens_Remanesc!A87="",NOT(ISNUMBER(parametros!$G$6))),"",ROUND(itens_Remanesc!C87*parametros!$G$6,2))</f>
        <v/>
      </c>
      <c r="O88" s="332">
        <f>IF(itens_Remanesc!A87="","",itens_Remanesc!K87)</f>
        <v/>
      </c>
      <c r="P88" s="331">
        <f>IF(OR(A88="",N88="",O88=""),"",ROUND(N88*O88,2))</f>
        <v/>
      </c>
    </row>
    <row r="89">
      <c r="A89" s="330">
        <f>IF(itens_Remanesc!A88="","",itens_Remanesc!A88)</f>
        <v/>
      </c>
      <c r="B89" s="331">
        <f>IF(OR(itens_Remanesc!A88="",NOT(ISNUMBER(parametros!$G$2))),"",ROUND(itens_Remanesc!C88*parametros!$G$2,2))</f>
        <v/>
      </c>
      <c r="C89" s="332">
        <f>IF(itens_Remanesc!A88="","",itens_Remanesc!B88)</f>
        <v/>
      </c>
      <c r="D89" s="331">
        <f>IF(A89="","",ROUND(B89*C89,2))</f>
        <v/>
      </c>
      <c r="E89" s="333">
        <f>IF(OR(itens_Remanesc!A88="",NOT(ISNUMBER(parametros!$G$3))),"",ROUND(itens_Remanesc!C88*parametros!$G$3,2))</f>
        <v/>
      </c>
      <c r="F89" s="334">
        <f>IF(itens_Remanesc!A88="","",itens_Remanesc!E88)</f>
        <v/>
      </c>
      <c r="G89" s="333">
        <f>IF(OR(A89="",E89="",F89=""),"",ROUND(E89*F89,2))</f>
        <v/>
      </c>
      <c r="H89" s="331">
        <f>IF(OR(itens_Remanesc!A88="",NOT(ISNUMBER(parametros!$G$4))),"",ROUND(itens_Remanesc!C88*parametros!$G$4,2))</f>
        <v/>
      </c>
      <c r="I89" s="332">
        <f>IF(itens_Remanesc!A88="","",itens_Remanesc!G88)</f>
        <v/>
      </c>
      <c r="J89" s="331">
        <f>IF(OR(A89="",H89="",I89=""),"",ROUND(H89*I89,2))</f>
        <v/>
      </c>
      <c r="K89" s="333">
        <f>IF(OR(itens_Remanesc!A88="",NOT(ISNUMBER(parametros!$G$5))),"",ROUND(itens_Remanesc!C88*parametros!$G$5,2))</f>
        <v/>
      </c>
      <c r="L89" s="334">
        <f>IF(itens_Remanesc!A88="","",itens_Remanesc!I88)</f>
        <v/>
      </c>
      <c r="M89" s="333">
        <f>IF(OR(A89="",K89="",L89=""),"",ROUND(K89*L89,2))</f>
        <v/>
      </c>
      <c r="N89" s="331">
        <f>IF(OR(itens_Remanesc!A88="",NOT(ISNUMBER(parametros!$G$6))),"",ROUND(itens_Remanesc!C88*parametros!$G$6,2))</f>
        <v/>
      </c>
      <c r="O89" s="332">
        <f>IF(itens_Remanesc!A88="","",itens_Remanesc!K88)</f>
        <v/>
      </c>
      <c r="P89" s="331">
        <f>IF(OR(A89="",N89="",O89=""),"",ROUND(N89*O89,2))</f>
        <v/>
      </c>
    </row>
    <row r="90">
      <c r="A90" s="330">
        <f>IF(itens_Remanesc!A89="","",itens_Remanesc!A89)</f>
        <v/>
      </c>
      <c r="B90" s="331">
        <f>IF(OR(itens_Remanesc!A89="",NOT(ISNUMBER(parametros!$G$2))),"",ROUND(itens_Remanesc!C89*parametros!$G$2,2))</f>
        <v/>
      </c>
      <c r="C90" s="332">
        <f>IF(itens_Remanesc!A89="","",itens_Remanesc!B89)</f>
        <v/>
      </c>
      <c r="D90" s="331">
        <f>IF(A90="","",ROUND(B90*C90,2))</f>
        <v/>
      </c>
      <c r="E90" s="333">
        <f>IF(OR(itens_Remanesc!A89="",NOT(ISNUMBER(parametros!$G$3))),"",ROUND(itens_Remanesc!C89*parametros!$G$3,2))</f>
        <v/>
      </c>
      <c r="F90" s="334">
        <f>IF(itens_Remanesc!A89="","",itens_Remanesc!E89)</f>
        <v/>
      </c>
      <c r="G90" s="333">
        <f>IF(OR(A90="",E90="",F90=""),"",ROUND(E90*F90,2))</f>
        <v/>
      </c>
      <c r="H90" s="331">
        <f>IF(OR(itens_Remanesc!A89="",NOT(ISNUMBER(parametros!$G$4))),"",ROUND(itens_Remanesc!C89*parametros!$G$4,2))</f>
        <v/>
      </c>
      <c r="I90" s="332">
        <f>IF(itens_Remanesc!A89="","",itens_Remanesc!G89)</f>
        <v/>
      </c>
      <c r="J90" s="331">
        <f>IF(OR(A90="",H90="",I90=""),"",ROUND(H90*I90,2))</f>
        <v/>
      </c>
      <c r="K90" s="333">
        <f>IF(OR(itens_Remanesc!A89="",NOT(ISNUMBER(parametros!$G$5))),"",ROUND(itens_Remanesc!C89*parametros!$G$5,2))</f>
        <v/>
      </c>
      <c r="L90" s="334">
        <f>IF(itens_Remanesc!A89="","",itens_Remanesc!I89)</f>
        <v/>
      </c>
      <c r="M90" s="333">
        <f>IF(OR(A90="",K90="",L90=""),"",ROUND(K90*L90,2))</f>
        <v/>
      </c>
      <c r="N90" s="331">
        <f>IF(OR(itens_Remanesc!A89="",NOT(ISNUMBER(parametros!$G$6))),"",ROUND(itens_Remanesc!C89*parametros!$G$6,2))</f>
        <v/>
      </c>
      <c r="O90" s="332">
        <f>IF(itens_Remanesc!A89="","",itens_Remanesc!K89)</f>
        <v/>
      </c>
      <c r="P90" s="331">
        <f>IF(OR(A90="",N90="",O90=""),"",ROUND(N90*O90,2))</f>
        <v/>
      </c>
    </row>
    <row r="91">
      <c r="A91" s="330">
        <f>IF(itens_Remanesc!A90="","",itens_Remanesc!A90)</f>
        <v/>
      </c>
      <c r="B91" s="331">
        <f>IF(OR(itens_Remanesc!A90="",NOT(ISNUMBER(parametros!$G$2))),"",ROUND(itens_Remanesc!C90*parametros!$G$2,2))</f>
        <v/>
      </c>
      <c r="C91" s="332">
        <f>IF(itens_Remanesc!A90="","",itens_Remanesc!B90)</f>
        <v/>
      </c>
      <c r="D91" s="331">
        <f>IF(A91="","",ROUND(B91*C91,2))</f>
        <v/>
      </c>
      <c r="E91" s="333">
        <f>IF(OR(itens_Remanesc!A90="",NOT(ISNUMBER(parametros!$G$3))),"",ROUND(itens_Remanesc!C90*parametros!$G$3,2))</f>
        <v/>
      </c>
      <c r="F91" s="334">
        <f>IF(itens_Remanesc!A90="","",itens_Remanesc!E90)</f>
        <v/>
      </c>
      <c r="G91" s="333">
        <f>IF(OR(A91="",E91="",F91=""),"",ROUND(E91*F91,2))</f>
        <v/>
      </c>
      <c r="H91" s="331">
        <f>IF(OR(itens_Remanesc!A90="",NOT(ISNUMBER(parametros!$G$4))),"",ROUND(itens_Remanesc!C90*parametros!$G$4,2))</f>
        <v/>
      </c>
      <c r="I91" s="332">
        <f>IF(itens_Remanesc!A90="","",itens_Remanesc!G90)</f>
        <v/>
      </c>
      <c r="J91" s="331">
        <f>IF(OR(A91="",H91="",I91=""),"",ROUND(H91*I91,2))</f>
        <v/>
      </c>
      <c r="K91" s="333">
        <f>IF(OR(itens_Remanesc!A90="",NOT(ISNUMBER(parametros!$G$5))),"",ROUND(itens_Remanesc!C90*parametros!$G$5,2))</f>
        <v/>
      </c>
      <c r="L91" s="334">
        <f>IF(itens_Remanesc!A90="","",itens_Remanesc!I90)</f>
        <v/>
      </c>
      <c r="M91" s="333">
        <f>IF(OR(A91="",K91="",L91=""),"",ROUND(K91*L91,2))</f>
        <v/>
      </c>
      <c r="N91" s="331">
        <f>IF(OR(itens_Remanesc!A90="",NOT(ISNUMBER(parametros!$G$6))),"",ROUND(itens_Remanesc!C90*parametros!$G$6,2))</f>
        <v/>
      </c>
      <c r="O91" s="332">
        <f>IF(itens_Remanesc!A90="","",itens_Remanesc!K90)</f>
        <v/>
      </c>
      <c r="P91" s="331">
        <f>IF(OR(A91="",N91="",O91=""),"",ROUND(N91*O91,2))</f>
        <v/>
      </c>
    </row>
    <row r="92">
      <c r="A92" s="330">
        <f>IF(itens_Remanesc!A91="","",itens_Remanesc!A91)</f>
        <v/>
      </c>
      <c r="B92" s="331">
        <f>IF(OR(itens_Remanesc!A91="",NOT(ISNUMBER(parametros!$G$2))),"",ROUND(itens_Remanesc!C91*parametros!$G$2,2))</f>
        <v/>
      </c>
      <c r="C92" s="332">
        <f>IF(itens_Remanesc!A91="","",itens_Remanesc!B91)</f>
        <v/>
      </c>
      <c r="D92" s="331">
        <f>IF(A92="","",ROUND(B92*C92,2))</f>
        <v/>
      </c>
      <c r="E92" s="333">
        <f>IF(OR(itens_Remanesc!A91="",NOT(ISNUMBER(parametros!$G$3))),"",ROUND(itens_Remanesc!C91*parametros!$G$3,2))</f>
        <v/>
      </c>
      <c r="F92" s="334">
        <f>IF(itens_Remanesc!A91="","",itens_Remanesc!E91)</f>
        <v/>
      </c>
      <c r="G92" s="333">
        <f>IF(OR(A92="",E92="",F92=""),"",ROUND(E92*F92,2))</f>
        <v/>
      </c>
      <c r="H92" s="331">
        <f>IF(OR(itens_Remanesc!A91="",NOT(ISNUMBER(parametros!$G$4))),"",ROUND(itens_Remanesc!C91*parametros!$G$4,2))</f>
        <v/>
      </c>
      <c r="I92" s="332">
        <f>IF(itens_Remanesc!A91="","",itens_Remanesc!G91)</f>
        <v/>
      </c>
      <c r="J92" s="331">
        <f>IF(OR(A92="",H92="",I92=""),"",ROUND(H92*I92,2))</f>
        <v/>
      </c>
      <c r="K92" s="333">
        <f>IF(OR(itens_Remanesc!A91="",NOT(ISNUMBER(parametros!$G$5))),"",ROUND(itens_Remanesc!C91*parametros!$G$5,2))</f>
        <v/>
      </c>
      <c r="L92" s="334">
        <f>IF(itens_Remanesc!A91="","",itens_Remanesc!I91)</f>
        <v/>
      </c>
      <c r="M92" s="333">
        <f>IF(OR(A92="",K92="",L92=""),"",ROUND(K92*L92,2))</f>
        <v/>
      </c>
      <c r="N92" s="331">
        <f>IF(OR(itens_Remanesc!A91="",NOT(ISNUMBER(parametros!$G$6))),"",ROUND(itens_Remanesc!C91*parametros!$G$6,2))</f>
        <v/>
      </c>
      <c r="O92" s="332">
        <f>IF(itens_Remanesc!A91="","",itens_Remanesc!K91)</f>
        <v/>
      </c>
      <c r="P92" s="331">
        <f>IF(OR(A92="",N92="",O92=""),"",ROUND(N92*O92,2))</f>
        <v/>
      </c>
    </row>
    <row r="93">
      <c r="A93" s="330">
        <f>IF(itens_Remanesc!A92="","",itens_Remanesc!A92)</f>
        <v/>
      </c>
      <c r="B93" s="331">
        <f>IF(OR(itens_Remanesc!A92="",NOT(ISNUMBER(parametros!$G$2))),"",ROUND(itens_Remanesc!C92*parametros!$G$2,2))</f>
        <v/>
      </c>
      <c r="C93" s="332">
        <f>IF(itens_Remanesc!A92="","",itens_Remanesc!B92)</f>
        <v/>
      </c>
      <c r="D93" s="331">
        <f>IF(A93="","",ROUND(B93*C93,2))</f>
        <v/>
      </c>
      <c r="E93" s="333">
        <f>IF(OR(itens_Remanesc!A92="",NOT(ISNUMBER(parametros!$G$3))),"",ROUND(itens_Remanesc!C92*parametros!$G$3,2))</f>
        <v/>
      </c>
      <c r="F93" s="334">
        <f>IF(itens_Remanesc!A92="","",itens_Remanesc!E92)</f>
        <v/>
      </c>
      <c r="G93" s="333">
        <f>IF(OR(A93="",E93="",F93=""),"",ROUND(E93*F93,2))</f>
        <v/>
      </c>
      <c r="H93" s="331">
        <f>IF(OR(itens_Remanesc!A92="",NOT(ISNUMBER(parametros!$G$4))),"",ROUND(itens_Remanesc!C92*parametros!$G$4,2))</f>
        <v/>
      </c>
      <c r="I93" s="332">
        <f>IF(itens_Remanesc!A92="","",itens_Remanesc!G92)</f>
        <v/>
      </c>
      <c r="J93" s="331">
        <f>IF(OR(A93="",H93="",I93=""),"",ROUND(H93*I93,2))</f>
        <v/>
      </c>
      <c r="K93" s="333">
        <f>IF(OR(itens_Remanesc!A92="",NOT(ISNUMBER(parametros!$G$5))),"",ROUND(itens_Remanesc!C92*parametros!$G$5,2))</f>
        <v/>
      </c>
      <c r="L93" s="334">
        <f>IF(itens_Remanesc!A92="","",itens_Remanesc!I92)</f>
        <v/>
      </c>
      <c r="M93" s="333">
        <f>IF(OR(A93="",K93="",L93=""),"",ROUND(K93*L93,2))</f>
        <v/>
      </c>
      <c r="N93" s="331">
        <f>IF(OR(itens_Remanesc!A92="",NOT(ISNUMBER(parametros!$G$6))),"",ROUND(itens_Remanesc!C92*parametros!$G$6,2))</f>
        <v/>
      </c>
      <c r="O93" s="332">
        <f>IF(itens_Remanesc!A92="","",itens_Remanesc!K92)</f>
        <v/>
      </c>
      <c r="P93" s="331">
        <f>IF(OR(A93="",N93="",O93=""),"",ROUND(N93*O93,2))</f>
        <v/>
      </c>
    </row>
    <row r="94">
      <c r="A94" s="330">
        <f>IF(itens_Remanesc!A93="","",itens_Remanesc!A93)</f>
        <v/>
      </c>
      <c r="B94" s="331">
        <f>IF(OR(itens_Remanesc!A93="",NOT(ISNUMBER(parametros!$G$2))),"",ROUND(itens_Remanesc!C93*parametros!$G$2,2))</f>
        <v/>
      </c>
      <c r="C94" s="332">
        <f>IF(itens_Remanesc!A93="","",itens_Remanesc!B93)</f>
        <v/>
      </c>
      <c r="D94" s="331">
        <f>IF(A94="","",ROUND(B94*C94,2))</f>
        <v/>
      </c>
      <c r="E94" s="333">
        <f>IF(OR(itens_Remanesc!A93="",NOT(ISNUMBER(parametros!$G$3))),"",ROUND(itens_Remanesc!C93*parametros!$G$3,2))</f>
        <v/>
      </c>
      <c r="F94" s="334">
        <f>IF(itens_Remanesc!A93="","",itens_Remanesc!E93)</f>
        <v/>
      </c>
      <c r="G94" s="333">
        <f>IF(OR(A94="",E94="",F94=""),"",ROUND(E94*F94,2))</f>
        <v/>
      </c>
      <c r="H94" s="331">
        <f>IF(OR(itens_Remanesc!A93="",NOT(ISNUMBER(parametros!$G$4))),"",ROUND(itens_Remanesc!C93*parametros!$G$4,2))</f>
        <v/>
      </c>
      <c r="I94" s="332">
        <f>IF(itens_Remanesc!A93="","",itens_Remanesc!G93)</f>
        <v/>
      </c>
      <c r="J94" s="331">
        <f>IF(OR(A94="",H94="",I94=""),"",ROUND(H94*I94,2))</f>
        <v/>
      </c>
      <c r="K94" s="333">
        <f>IF(OR(itens_Remanesc!A93="",NOT(ISNUMBER(parametros!$G$5))),"",ROUND(itens_Remanesc!C93*parametros!$G$5,2))</f>
        <v/>
      </c>
      <c r="L94" s="334">
        <f>IF(itens_Remanesc!A93="","",itens_Remanesc!I93)</f>
        <v/>
      </c>
      <c r="M94" s="333">
        <f>IF(OR(A94="",K94="",L94=""),"",ROUND(K94*L94,2))</f>
        <v/>
      </c>
      <c r="N94" s="331">
        <f>IF(OR(itens_Remanesc!A93="",NOT(ISNUMBER(parametros!$G$6))),"",ROUND(itens_Remanesc!C93*parametros!$G$6,2))</f>
        <v/>
      </c>
      <c r="O94" s="332">
        <f>IF(itens_Remanesc!A93="","",itens_Remanesc!K93)</f>
        <v/>
      </c>
      <c r="P94" s="331">
        <f>IF(OR(A94="",N94="",O94=""),"",ROUND(N94*O94,2))</f>
        <v/>
      </c>
    </row>
    <row r="95">
      <c r="A95" s="330">
        <f>IF(itens_Remanesc!A94="","",itens_Remanesc!A94)</f>
        <v/>
      </c>
      <c r="B95" s="331">
        <f>IF(OR(itens_Remanesc!A94="",NOT(ISNUMBER(parametros!$G$2))),"",ROUND(itens_Remanesc!C94*parametros!$G$2,2))</f>
        <v/>
      </c>
      <c r="C95" s="332">
        <f>IF(itens_Remanesc!A94="","",itens_Remanesc!B94)</f>
        <v/>
      </c>
      <c r="D95" s="331">
        <f>IF(A95="","",ROUND(B95*C95,2))</f>
        <v/>
      </c>
      <c r="E95" s="333">
        <f>IF(OR(itens_Remanesc!A94="",NOT(ISNUMBER(parametros!$G$3))),"",ROUND(itens_Remanesc!C94*parametros!$G$3,2))</f>
        <v/>
      </c>
      <c r="F95" s="334">
        <f>IF(itens_Remanesc!A94="","",itens_Remanesc!E94)</f>
        <v/>
      </c>
      <c r="G95" s="333">
        <f>IF(OR(A95="",E95="",F95=""),"",ROUND(E95*F95,2))</f>
        <v/>
      </c>
      <c r="H95" s="331">
        <f>IF(OR(itens_Remanesc!A94="",NOT(ISNUMBER(parametros!$G$4))),"",ROUND(itens_Remanesc!C94*parametros!$G$4,2))</f>
        <v/>
      </c>
      <c r="I95" s="332">
        <f>IF(itens_Remanesc!A94="","",itens_Remanesc!G94)</f>
        <v/>
      </c>
      <c r="J95" s="331">
        <f>IF(OR(A95="",H95="",I95=""),"",ROUND(H95*I95,2))</f>
        <v/>
      </c>
      <c r="K95" s="333">
        <f>IF(OR(itens_Remanesc!A94="",NOT(ISNUMBER(parametros!$G$5))),"",ROUND(itens_Remanesc!C94*parametros!$G$5,2))</f>
        <v/>
      </c>
      <c r="L95" s="334">
        <f>IF(itens_Remanesc!A94="","",itens_Remanesc!I94)</f>
        <v/>
      </c>
      <c r="M95" s="333">
        <f>IF(OR(A95="",K95="",L95=""),"",ROUND(K95*L95,2))</f>
        <v/>
      </c>
      <c r="N95" s="331">
        <f>IF(OR(itens_Remanesc!A94="",NOT(ISNUMBER(parametros!$G$6))),"",ROUND(itens_Remanesc!C94*parametros!$G$6,2))</f>
        <v/>
      </c>
      <c r="O95" s="332">
        <f>IF(itens_Remanesc!A94="","",itens_Remanesc!K94)</f>
        <v/>
      </c>
      <c r="P95" s="331">
        <f>IF(OR(A95="",N95="",O95=""),"",ROUND(N95*O95,2))</f>
        <v/>
      </c>
    </row>
    <row r="96">
      <c r="A96" s="330">
        <f>IF(itens_Remanesc!A95="","",itens_Remanesc!A95)</f>
        <v/>
      </c>
      <c r="B96" s="331">
        <f>IF(OR(itens_Remanesc!A95="",NOT(ISNUMBER(parametros!$G$2))),"",ROUND(itens_Remanesc!C95*parametros!$G$2,2))</f>
        <v/>
      </c>
      <c r="C96" s="332">
        <f>IF(itens_Remanesc!A95="","",itens_Remanesc!B95)</f>
        <v/>
      </c>
      <c r="D96" s="331">
        <f>IF(A96="","",ROUND(B96*C96,2))</f>
        <v/>
      </c>
      <c r="E96" s="333">
        <f>IF(OR(itens_Remanesc!A95="",NOT(ISNUMBER(parametros!$G$3))),"",ROUND(itens_Remanesc!C95*parametros!$G$3,2))</f>
        <v/>
      </c>
      <c r="F96" s="334">
        <f>IF(itens_Remanesc!A95="","",itens_Remanesc!E95)</f>
        <v/>
      </c>
      <c r="G96" s="333">
        <f>IF(OR(A96="",E96="",F96=""),"",ROUND(E96*F96,2))</f>
        <v/>
      </c>
      <c r="H96" s="331">
        <f>IF(OR(itens_Remanesc!A95="",NOT(ISNUMBER(parametros!$G$4))),"",ROUND(itens_Remanesc!C95*parametros!$G$4,2))</f>
        <v/>
      </c>
      <c r="I96" s="332">
        <f>IF(itens_Remanesc!A95="","",itens_Remanesc!G95)</f>
        <v/>
      </c>
      <c r="J96" s="331">
        <f>IF(OR(A96="",H96="",I96=""),"",ROUND(H96*I96,2))</f>
        <v/>
      </c>
      <c r="K96" s="333">
        <f>IF(OR(itens_Remanesc!A95="",NOT(ISNUMBER(parametros!$G$5))),"",ROUND(itens_Remanesc!C95*parametros!$G$5,2))</f>
        <v/>
      </c>
      <c r="L96" s="334">
        <f>IF(itens_Remanesc!A95="","",itens_Remanesc!I95)</f>
        <v/>
      </c>
      <c r="M96" s="333">
        <f>IF(OR(A96="",K96="",L96=""),"",ROUND(K96*L96,2))</f>
        <v/>
      </c>
      <c r="N96" s="331">
        <f>IF(OR(itens_Remanesc!A95="",NOT(ISNUMBER(parametros!$G$6))),"",ROUND(itens_Remanesc!C95*parametros!$G$6,2))</f>
        <v/>
      </c>
      <c r="O96" s="332">
        <f>IF(itens_Remanesc!A95="","",itens_Remanesc!K95)</f>
        <v/>
      </c>
      <c r="P96" s="331">
        <f>IF(OR(A96="",N96="",O96=""),"",ROUND(N96*O96,2))</f>
        <v/>
      </c>
    </row>
    <row r="97">
      <c r="A97" s="330">
        <f>IF(itens_Remanesc!A96="","",itens_Remanesc!A96)</f>
        <v/>
      </c>
      <c r="B97" s="331">
        <f>IF(OR(itens_Remanesc!A96="",NOT(ISNUMBER(parametros!$G$2))),"",ROUND(itens_Remanesc!C96*parametros!$G$2,2))</f>
        <v/>
      </c>
      <c r="C97" s="332">
        <f>IF(itens_Remanesc!A96="","",itens_Remanesc!B96)</f>
        <v/>
      </c>
      <c r="D97" s="331">
        <f>IF(A97="","",ROUND(B97*C97,2))</f>
        <v/>
      </c>
      <c r="E97" s="333">
        <f>IF(OR(itens_Remanesc!A96="",NOT(ISNUMBER(parametros!$G$3))),"",ROUND(itens_Remanesc!C96*parametros!$G$3,2))</f>
        <v/>
      </c>
      <c r="F97" s="334">
        <f>IF(itens_Remanesc!A96="","",itens_Remanesc!E96)</f>
        <v/>
      </c>
      <c r="G97" s="333">
        <f>IF(OR(A97="",E97="",F97=""),"",ROUND(E97*F97,2))</f>
        <v/>
      </c>
      <c r="H97" s="331">
        <f>IF(OR(itens_Remanesc!A96="",NOT(ISNUMBER(parametros!$G$4))),"",ROUND(itens_Remanesc!C96*parametros!$G$4,2))</f>
        <v/>
      </c>
      <c r="I97" s="332">
        <f>IF(itens_Remanesc!A96="","",itens_Remanesc!G96)</f>
        <v/>
      </c>
      <c r="J97" s="331">
        <f>IF(OR(A97="",H97="",I97=""),"",ROUND(H97*I97,2))</f>
        <v/>
      </c>
      <c r="K97" s="333">
        <f>IF(OR(itens_Remanesc!A96="",NOT(ISNUMBER(parametros!$G$5))),"",ROUND(itens_Remanesc!C96*parametros!$G$5,2))</f>
        <v/>
      </c>
      <c r="L97" s="334">
        <f>IF(itens_Remanesc!A96="","",itens_Remanesc!I96)</f>
        <v/>
      </c>
      <c r="M97" s="333">
        <f>IF(OR(A97="",K97="",L97=""),"",ROUND(K97*L97,2))</f>
        <v/>
      </c>
      <c r="N97" s="331">
        <f>IF(OR(itens_Remanesc!A96="",NOT(ISNUMBER(parametros!$G$6))),"",ROUND(itens_Remanesc!C96*parametros!$G$6,2))</f>
        <v/>
      </c>
      <c r="O97" s="332">
        <f>IF(itens_Remanesc!A96="","",itens_Remanesc!K96)</f>
        <v/>
      </c>
      <c r="P97" s="331">
        <f>IF(OR(A97="",N97="",O97=""),"",ROUND(N97*O97,2))</f>
        <v/>
      </c>
    </row>
    <row r="98">
      <c r="A98" s="330">
        <f>IF(itens_Remanesc!A97="","",itens_Remanesc!A97)</f>
        <v/>
      </c>
      <c r="B98" s="331">
        <f>IF(OR(itens_Remanesc!A97="",NOT(ISNUMBER(parametros!$G$2))),"",ROUND(itens_Remanesc!C97*parametros!$G$2,2))</f>
        <v/>
      </c>
      <c r="C98" s="332">
        <f>IF(itens_Remanesc!A97="","",itens_Remanesc!B97)</f>
        <v/>
      </c>
      <c r="D98" s="331">
        <f>IF(A98="","",ROUND(B98*C98,2))</f>
        <v/>
      </c>
      <c r="E98" s="333">
        <f>IF(OR(itens_Remanesc!A97="",NOT(ISNUMBER(parametros!$G$3))),"",ROUND(itens_Remanesc!C97*parametros!$G$3,2))</f>
        <v/>
      </c>
      <c r="F98" s="334">
        <f>IF(itens_Remanesc!A97="","",itens_Remanesc!E97)</f>
        <v/>
      </c>
      <c r="G98" s="333">
        <f>IF(OR(A98="",E98="",F98=""),"",ROUND(E98*F98,2))</f>
        <v/>
      </c>
      <c r="H98" s="331">
        <f>IF(OR(itens_Remanesc!A97="",NOT(ISNUMBER(parametros!$G$4))),"",ROUND(itens_Remanesc!C97*parametros!$G$4,2))</f>
        <v/>
      </c>
      <c r="I98" s="332">
        <f>IF(itens_Remanesc!A97="","",itens_Remanesc!G97)</f>
        <v/>
      </c>
      <c r="J98" s="331">
        <f>IF(OR(A98="",H98="",I98=""),"",ROUND(H98*I98,2))</f>
        <v/>
      </c>
      <c r="K98" s="333">
        <f>IF(OR(itens_Remanesc!A97="",NOT(ISNUMBER(parametros!$G$5))),"",ROUND(itens_Remanesc!C97*parametros!$G$5,2))</f>
        <v/>
      </c>
      <c r="L98" s="334">
        <f>IF(itens_Remanesc!A97="","",itens_Remanesc!I97)</f>
        <v/>
      </c>
      <c r="M98" s="333">
        <f>IF(OR(A98="",K98="",L98=""),"",ROUND(K98*L98,2))</f>
        <v/>
      </c>
      <c r="N98" s="331">
        <f>IF(OR(itens_Remanesc!A97="",NOT(ISNUMBER(parametros!$G$6))),"",ROUND(itens_Remanesc!C97*parametros!$G$6,2))</f>
        <v/>
      </c>
      <c r="O98" s="332">
        <f>IF(itens_Remanesc!A97="","",itens_Remanesc!K97)</f>
        <v/>
      </c>
      <c r="P98" s="331">
        <f>IF(OR(A98="",N98="",O98=""),"",ROUND(N98*O98,2))</f>
        <v/>
      </c>
    </row>
    <row r="99">
      <c r="A99" s="330">
        <f>IF(itens_Remanesc!A98="","",itens_Remanesc!A98)</f>
        <v/>
      </c>
      <c r="B99" s="331">
        <f>IF(OR(itens_Remanesc!A98="",NOT(ISNUMBER(parametros!$G$2))),"",ROUND(itens_Remanesc!C98*parametros!$G$2,2))</f>
        <v/>
      </c>
      <c r="C99" s="332">
        <f>IF(itens_Remanesc!A98="","",itens_Remanesc!B98)</f>
        <v/>
      </c>
      <c r="D99" s="331">
        <f>IF(A99="","",ROUND(B99*C99,2))</f>
        <v/>
      </c>
      <c r="E99" s="333">
        <f>IF(OR(itens_Remanesc!A98="",NOT(ISNUMBER(parametros!$G$3))),"",ROUND(itens_Remanesc!C98*parametros!$G$3,2))</f>
        <v/>
      </c>
      <c r="F99" s="334">
        <f>IF(itens_Remanesc!A98="","",itens_Remanesc!E98)</f>
        <v/>
      </c>
      <c r="G99" s="333">
        <f>IF(OR(A99="",E99="",F99=""),"",ROUND(E99*F99,2))</f>
        <v/>
      </c>
      <c r="H99" s="331">
        <f>IF(OR(itens_Remanesc!A98="",NOT(ISNUMBER(parametros!$G$4))),"",ROUND(itens_Remanesc!C98*parametros!$G$4,2))</f>
        <v/>
      </c>
      <c r="I99" s="332">
        <f>IF(itens_Remanesc!A98="","",itens_Remanesc!G98)</f>
        <v/>
      </c>
      <c r="J99" s="331">
        <f>IF(OR(A99="",H99="",I99=""),"",ROUND(H99*I99,2))</f>
        <v/>
      </c>
      <c r="K99" s="333">
        <f>IF(OR(itens_Remanesc!A98="",NOT(ISNUMBER(parametros!$G$5))),"",ROUND(itens_Remanesc!C98*parametros!$G$5,2))</f>
        <v/>
      </c>
      <c r="L99" s="334">
        <f>IF(itens_Remanesc!A98="","",itens_Remanesc!I98)</f>
        <v/>
      </c>
      <c r="M99" s="333">
        <f>IF(OR(A99="",K99="",L99=""),"",ROUND(K99*L99,2))</f>
        <v/>
      </c>
      <c r="N99" s="331">
        <f>IF(OR(itens_Remanesc!A98="",NOT(ISNUMBER(parametros!$G$6))),"",ROUND(itens_Remanesc!C98*parametros!$G$6,2))</f>
        <v/>
      </c>
      <c r="O99" s="332">
        <f>IF(itens_Remanesc!A98="","",itens_Remanesc!K98)</f>
        <v/>
      </c>
      <c r="P99" s="331">
        <f>IF(OR(A99="",N99="",O99=""),"",ROUND(N99*O99,2))</f>
        <v/>
      </c>
    </row>
    <row r="100">
      <c r="A100" s="330">
        <f>IF(itens_Remanesc!A99="","",itens_Remanesc!A99)</f>
        <v/>
      </c>
      <c r="B100" s="331">
        <f>IF(OR(itens_Remanesc!A99="",NOT(ISNUMBER(parametros!$G$2))),"",ROUND(itens_Remanesc!C99*parametros!$G$2,2))</f>
        <v/>
      </c>
      <c r="C100" s="332">
        <f>IF(itens_Remanesc!A99="","",itens_Remanesc!B99)</f>
        <v/>
      </c>
      <c r="D100" s="331">
        <f>IF(A100="","",ROUND(B100*C100,2))</f>
        <v/>
      </c>
      <c r="E100" s="333">
        <f>IF(OR(itens_Remanesc!A99="",NOT(ISNUMBER(parametros!$G$3))),"",ROUND(itens_Remanesc!C99*parametros!$G$3,2))</f>
        <v/>
      </c>
      <c r="F100" s="334">
        <f>IF(itens_Remanesc!A99="","",itens_Remanesc!E99)</f>
        <v/>
      </c>
      <c r="G100" s="333">
        <f>IF(OR(A100="",E100="",F100=""),"",ROUND(E100*F100,2))</f>
        <v/>
      </c>
      <c r="H100" s="331">
        <f>IF(OR(itens_Remanesc!A99="",NOT(ISNUMBER(parametros!$G$4))),"",ROUND(itens_Remanesc!C99*parametros!$G$4,2))</f>
        <v/>
      </c>
      <c r="I100" s="332">
        <f>IF(itens_Remanesc!A99="","",itens_Remanesc!G99)</f>
        <v/>
      </c>
      <c r="J100" s="331">
        <f>IF(OR(A100="",H100="",I100=""),"",ROUND(H100*I100,2))</f>
        <v/>
      </c>
      <c r="K100" s="333">
        <f>IF(OR(itens_Remanesc!A99="",NOT(ISNUMBER(parametros!$G$5))),"",ROUND(itens_Remanesc!C99*parametros!$G$5,2))</f>
        <v/>
      </c>
      <c r="L100" s="334">
        <f>IF(itens_Remanesc!A99="","",itens_Remanesc!I99)</f>
        <v/>
      </c>
      <c r="M100" s="333">
        <f>IF(OR(A100="",K100="",L100=""),"",ROUND(K100*L100,2))</f>
        <v/>
      </c>
      <c r="N100" s="331">
        <f>IF(OR(itens_Remanesc!A99="",NOT(ISNUMBER(parametros!$G$6))),"",ROUND(itens_Remanesc!C99*parametros!$G$6,2))</f>
        <v/>
      </c>
      <c r="O100" s="332">
        <f>IF(itens_Remanesc!A99="","",itens_Remanesc!K99)</f>
        <v/>
      </c>
      <c r="P100" s="331">
        <f>IF(OR(A100="",N100="",O100=""),"",ROUND(N100*O100,2))</f>
        <v/>
      </c>
    </row>
    <row r="101">
      <c r="A101" s="330">
        <f>IF(itens_Remanesc!A100="","",itens_Remanesc!A100)</f>
        <v/>
      </c>
      <c r="B101" s="331">
        <f>IF(OR(itens_Remanesc!A100="",NOT(ISNUMBER(parametros!$G$2))),"",ROUND(itens_Remanesc!C100*parametros!$G$2,2))</f>
        <v/>
      </c>
      <c r="C101" s="332">
        <f>IF(itens_Remanesc!A100="","",itens_Remanesc!B100)</f>
        <v/>
      </c>
      <c r="D101" s="331">
        <f>IF(A101="","",ROUND(B101*C101,2))</f>
        <v/>
      </c>
      <c r="E101" s="333">
        <f>IF(OR(itens_Remanesc!A100="",NOT(ISNUMBER(parametros!$G$3))),"",ROUND(itens_Remanesc!C100*parametros!$G$3,2))</f>
        <v/>
      </c>
      <c r="F101" s="334">
        <f>IF(itens_Remanesc!A100="","",itens_Remanesc!E100)</f>
        <v/>
      </c>
      <c r="G101" s="333">
        <f>IF(OR(A101="",E101="",F101=""),"",ROUND(E101*F101,2))</f>
        <v/>
      </c>
      <c r="H101" s="331">
        <f>IF(OR(itens_Remanesc!A100="",NOT(ISNUMBER(parametros!$G$4))),"",ROUND(itens_Remanesc!C100*parametros!$G$4,2))</f>
        <v/>
      </c>
      <c r="I101" s="332">
        <f>IF(itens_Remanesc!A100="","",itens_Remanesc!G100)</f>
        <v/>
      </c>
      <c r="J101" s="331">
        <f>IF(OR(A101="",H101="",I101=""),"",ROUND(H101*I101,2))</f>
        <v/>
      </c>
      <c r="K101" s="333">
        <f>IF(OR(itens_Remanesc!A100="",NOT(ISNUMBER(parametros!$G$5))),"",ROUND(itens_Remanesc!C100*parametros!$G$5,2))</f>
        <v/>
      </c>
      <c r="L101" s="334">
        <f>IF(itens_Remanesc!A100="","",itens_Remanesc!I100)</f>
        <v/>
      </c>
      <c r="M101" s="333">
        <f>IF(OR(A101="",K101="",L101=""),"",ROUND(K101*L101,2))</f>
        <v/>
      </c>
      <c r="N101" s="331">
        <f>IF(OR(itens_Remanesc!A100="",NOT(ISNUMBER(parametros!$G$6))),"",ROUND(itens_Remanesc!C100*parametros!$G$6,2))</f>
        <v/>
      </c>
      <c r="O101" s="332">
        <f>IF(itens_Remanesc!A100="","",itens_Remanesc!K100)</f>
        <v/>
      </c>
      <c r="P101" s="331">
        <f>IF(OR(A101="",N101="",O101=""),"",ROUND(N101*O101,2))</f>
        <v/>
      </c>
    </row>
    <row r="102">
      <c r="A102" s="330">
        <f>IF(itens_Remanesc!A101="","",itens_Remanesc!A101)</f>
        <v/>
      </c>
      <c r="B102" s="331">
        <f>IF(OR(itens_Remanesc!A101="",NOT(ISNUMBER(parametros!$G$2))),"",ROUND(itens_Remanesc!C101*parametros!$G$2,2))</f>
        <v/>
      </c>
      <c r="C102" s="332">
        <f>IF(itens_Remanesc!A101="","",itens_Remanesc!B101)</f>
        <v/>
      </c>
      <c r="D102" s="331">
        <f>IF(A102="","",ROUND(B102*C102,2))</f>
        <v/>
      </c>
      <c r="E102" s="333">
        <f>IF(OR(itens_Remanesc!A101="",NOT(ISNUMBER(parametros!$G$3))),"",ROUND(itens_Remanesc!C101*parametros!$G$3,2))</f>
        <v/>
      </c>
      <c r="F102" s="334">
        <f>IF(itens_Remanesc!A101="","",itens_Remanesc!E101)</f>
        <v/>
      </c>
      <c r="G102" s="333">
        <f>IF(OR(A102="",E102="",F102=""),"",ROUND(E102*F102,2))</f>
        <v/>
      </c>
      <c r="H102" s="331">
        <f>IF(OR(itens_Remanesc!A101="",NOT(ISNUMBER(parametros!$G$4))),"",ROUND(itens_Remanesc!C101*parametros!$G$4,2))</f>
        <v/>
      </c>
      <c r="I102" s="332">
        <f>IF(itens_Remanesc!A101="","",itens_Remanesc!G101)</f>
        <v/>
      </c>
      <c r="J102" s="331">
        <f>IF(OR(A102="",H102="",I102=""),"",ROUND(H102*I102,2))</f>
        <v/>
      </c>
      <c r="K102" s="333">
        <f>IF(OR(itens_Remanesc!A101="",NOT(ISNUMBER(parametros!$G$5))),"",ROUND(itens_Remanesc!C101*parametros!$G$5,2))</f>
        <v/>
      </c>
      <c r="L102" s="334">
        <f>IF(itens_Remanesc!A101="","",itens_Remanesc!I101)</f>
        <v/>
      </c>
      <c r="M102" s="333">
        <f>IF(OR(A102="",K102="",L102=""),"",ROUND(K102*L102,2))</f>
        <v/>
      </c>
      <c r="N102" s="331">
        <f>IF(OR(itens_Remanesc!A101="",NOT(ISNUMBER(parametros!$G$6))),"",ROUND(itens_Remanesc!C101*parametros!$G$6,2))</f>
        <v/>
      </c>
      <c r="O102" s="332">
        <f>IF(itens_Remanesc!A101="","",itens_Remanesc!K101)</f>
        <v/>
      </c>
      <c r="P102" s="331">
        <f>IF(OR(A102="",N102="",O102=""),"",ROUND(N102*O102,2))</f>
        <v/>
      </c>
    </row>
    <row r="103">
      <c r="A103" s="330">
        <f>IF(itens_Remanesc!A102="","",itens_Remanesc!A102)</f>
        <v/>
      </c>
      <c r="B103" s="331">
        <f>IF(OR(itens_Remanesc!A102="",NOT(ISNUMBER(parametros!$G$2))),"",ROUND(itens_Remanesc!C102*parametros!$G$2,2))</f>
        <v/>
      </c>
      <c r="C103" s="332">
        <f>IF(itens_Remanesc!A102="","",itens_Remanesc!B102)</f>
        <v/>
      </c>
      <c r="D103" s="331">
        <f>IF(A103="","",ROUND(B103*C103,2))</f>
        <v/>
      </c>
      <c r="E103" s="333">
        <f>IF(OR(itens_Remanesc!A102="",NOT(ISNUMBER(parametros!$G$3))),"",ROUND(itens_Remanesc!C102*parametros!$G$3,2))</f>
        <v/>
      </c>
      <c r="F103" s="334">
        <f>IF(itens_Remanesc!A102="","",itens_Remanesc!E102)</f>
        <v/>
      </c>
      <c r="G103" s="333">
        <f>IF(OR(A103="",E103="",F103=""),"",ROUND(E103*F103,2))</f>
        <v/>
      </c>
      <c r="H103" s="331">
        <f>IF(OR(itens_Remanesc!A102="",NOT(ISNUMBER(parametros!$G$4))),"",ROUND(itens_Remanesc!C102*parametros!$G$4,2))</f>
        <v/>
      </c>
      <c r="I103" s="332">
        <f>IF(itens_Remanesc!A102="","",itens_Remanesc!G102)</f>
        <v/>
      </c>
      <c r="J103" s="331">
        <f>IF(OR(A103="",H103="",I103=""),"",ROUND(H103*I103,2))</f>
        <v/>
      </c>
      <c r="K103" s="333">
        <f>IF(OR(itens_Remanesc!A102="",NOT(ISNUMBER(parametros!$G$5))),"",ROUND(itens_Remanesc!C102*parametros!$G$5,2))</f>
        <v/>
      </c>
      <c r="L103" s="334">
        <f>IF(itens_Remanesc!A102="","",itens_Remanesc!I102)</f>
        <v/>
      </c>
      <c r="M103" s="333">
        <f>IF(OR(A103="",K103="",L103=""),"",ROUND(K103*L103,2))</f>
        <v/>
      </c>
      <c r="N103" s="331">
        <f>IF(OR(itens_Remanesc!A102="",NOT(ISNUMBER(parametros!$G$6))),"",ROUND(itens_Remanesc!C102*parametros!$G$6,2))</f>
        <v/>
      </c>
      <c r="O103" s="332">
        <f>IF(itens_Remanesc!A102="","",itens_Remanesc!K102)</f>
        <v/>
      </c>
      <c r="P103" s="331">
        <f>IF(OR(A103="",N103="",O103=""),"",ROUND(N103*O103,2))</f>
        <v/>
      </c>
    </row>
    <row r="104">
      <c r="A104" s="330">
        <f>IF(itens_Remanesc!A103="","",itens_Remanesc!A103)</f>
        <v/>
      </c>
      <c r="B104" s="331">
        <f>IF(OR(itens_Remanesc!A103="",NOT(ISNUMBER(parametros!$G$2))),"",ROUND(itens_Remanesc!C103*parametros!$G$2,2))</f>
        <v/>
      </c>
      <c r="C104" s="332">
        <f>IF(itens_Remanesc!A103="","",itens_Remanesc!B103)</f>
        <v/>
      </c>
      <c r="D104" s="331">
        <f>IF(A104="","",ROUND(B104*C104,2))</f>
        <v/>
      </c>
      <c r="E104" s="333">
        <f>IF(OR(itens_Remanesc!A103="",NOT(ISNUMBER(parametros!$G$3))),"",ROUND(itens_Remanesc!C103*parametros!$G$3,2))</f>
        <v/>
      </c>
      <c r="F104" s="334">
        <f>IF(itens_Remanesc!A103="","",itens_Remanesc!E103)</f>
        <v/>
      </c>
      <c r="G104" s="333">
        <f>IF(OR(A104="",E104="",F104=""),"",ROUND(E104*F104,2))</f>
        <v/>
      </c>
      <c r="H104" s="331">
        <f>IF(OR(itens_Remanesc!A103="",NOT(ISNUMBER(parametros!$G$4))),"",ROUND(itens_Remanesc!C103*parametros!$G$4,2))</f>
        <v/>
      </c>
      <c r="I104" s="332">
        <f>IF(itens_Remanesc!A103="","",itens_Remanesc!G103)</f>
        <v/>
      </c>
      <c r="J104" s="331">
        <f>IF(OR(A104="",H104="",I104=""),"",ROUND(H104*I104,2))</f>
        <v/>
      </c>
      <c r="K104" s="333">
        <f>IF(OR(itens_Remanesc!A103="",NOT(ISNUMBER(parametros!$G$5))),"",ROUND(itens_Remanesc!C103*parametros!$G$5,2))</f>
        <v/>
      </c>
      <c r="L104" s="334">
        <f>IF(itens_Remanesc!A103="","",itens_Remanesc!I103)</f>
        <v/>
      </c>
      <c r="M104" s="333">
        <f>IF(OR(A104="",K104="",L104=""),"",ROUND(K104*L104,2))</f>
        <v/>
      </c>
      <c r="N104" s="331">
        <f>IF(OR(itens_Remanesc!A103="",NOT(ISNUMBER(parametros!$G$6))),"",ROUND(itens_Remanesc!C103*parametros!$G$6,2))</f>
        <v/>
      </c>
      <c r="O104" s="332">
        <f>IF(itens_Remanesc!A103="","",itens_Remanesc!K103)</f>
        <v/>
      </c>
      <c r="P104" s="331">
        <f>IF(OR(A104="",N104="",O104=""),"",ROUND(N104*O104,2))</f>
        <v/>
      </c>
    </row>
    <row r="105">
      <c r="A105" s="330">
        <f>IF(itens_Remanesc!A104="","",itens_Remanesc!A104)</f>
        <v/>
      </c>
      <c r="B105" s="331">
        <f>IF(OR(itens_Remanesc!A104="",NOT(ISNUMBER(parametros!$G$2))),"",ROUND(itens_Remanesc!C104*parametros!$G$2,2))</f>
        <v/>
      </c>
      <c r="C105" s="332">
        <f>IF(itens_Remanesc!A104="","",itens_Remanesc!B104)</f>
        <v/>
      </c>
      <c r="D105" s="331">
        <f>IF(A105="","",ROUND(B105*C105,2))</f>
        <v/>
      </c>
      <c r="E105" s="333">
        <f>IF(OR(itens_Remanesc!A104="",NOT(ISNUMBER(parametros!$G$3))),"",ROUND(itens_Remanesc!C104*parametros!$G$3,2))</f>
        <v/>
      </c>
      <c r="F105" s="334">
        <f>IF(itens_Remanesc!A104="","",itens_Remanesc!E104)</f>
        <v/>
      </c>
      <c r="G105" s="333">
        <f>IF(OR(A105="",E105="",F105=""),"",ROUND(E105*F105,2))</f>
        <v/>
      </c>
      <c r="H105" s="331">
        <f>IF(OR(itens_Remanesc!A104="",NOT(ISNUMBER(parametros!$G$4))),"",ROUND(itens_Remanesc!C104*parametros!$G$4,2))</f>
        <v/>
      </c>
      <c r="I105" s="332">
        <f>IF(itens_Remanesc!A104="","",itens_Remanesc!G104)</f>
        <v/>
      </c>
      <c r="J105" s="331">
        <f>IF(OR(A105="",H105="",I105=""),"",ROUND(H105*I105,2))</f>
        <v/>
      </c>
      <c r="K105" s="333">
        <f>IF(OR(itens_Remanesc!A104="",NOT(ISNUMBER(parametros!$G$5))),"",ROUND(itens_Remanesc!C104*parametros!$G$5,2))</f>
        <v/>
      </c>
      <c r="L105" s="334">
        <f>IF(itens_Remanesc!A104="","",itens_Remanesc!I104)</f>
        <v/>
      </c>
      <c r="M105" s="333">
        <f>IF(OR(A105="",K105="",L105=""),"",ROUND(K105*L105,2))</f>
        <v/>
      </c>
      <c r="N105" s="331">
        <f>IF(OR(itens_Remanesc!A104="",NOT(ISNUMBER(parametros!$G$6))),"",ROUND(itens_Remanesc!C104*parametros!$G$6,2))</f>
        <v/>
      </c>
      <c r="O105" s="332">
        <f>IF(itens_Remanesc!A104="","",itens_Remanesc!K104)</f>
        <v/>
      </c>
      <c r="P105" s="331">
        <f>IF(OR(A105="",N105="",O105=""),"",ROUND(N105*O105,2))</f>
        <v/>
      </c>
    </row>
    <row r="106">
      <c r="A106" s="330">
        <f>IF(itens_Remanesc!A105="","",itens_Remanesc!A105)</f>
        <v/>
      </c>
      <c r="B106" s="331">
        <f>IF(OR(itens_Remanesc!A105="",NOT(ISNUMBER(parametros!$G$2))),"",ROUND(itens_Remanesc!C105*parametros!$G$2,2))</f>
        <v/>
      </c>
      <c r="C106" s="332">
        <f>IF(itens_Remanesc!A105="","",itens_Remanesc!B105)</f>
        <v/>
      </c>
      <c r="D106" s="331">
        <f>IF(A106="","",ROUND(B106*C106,2))</f>
        <v/>
      </c>
      <c r="E106" s="333">
        <f>IF(OR(itens_Remanesc!A105="",NOT(ISNUMBER(parametros!$G$3))),"",ROUND(itens_Remanesc!C105*parametros!$G$3,2))</f>
        <v/>
      </c>
      <c r="F106" s="334">
        <f>IF(itens_Remanesc!A105="","",itens_Remanesc!E105)</f>
        <v/>
      </c>
      <c r="G106" s="333">
        <f>IF(OR(A106="",E106="",F106=""),"",ROUND(E106*F106,2))</f>
        <v/>
      </c>
      <c r="H106" s="331">
        <f>IF(OR(itens_Remanesc!A105="",NOT(ISNUMBER(parametros!$G$4))),"",ROUND(itens_Remanesc!C105*parametros!$G$4,2))</f>
        <v/>
      </c>
      <c r="I106" s="332">
        <f>IF(itens_Remanesc!A105="","",itens_Remanesc!G105)</f>
        <v/>
      </c>
      <c r="J106" s="331">
        <f>IF(OR(A106="",H106="",I106=""),"",ROUND(H106*I106,2))</f>
        <v/>
      </c>
      <c r="K106" s="333">
        <f>IF(OR(itens_Remanesc!A105="",NOT(ISNUMBER(parametros!$G$5))),"",ROUND(itens_Remanesc!C105*parametros!$G$5,2))</f>
        <v/>
      </c>
      <c r="L106" s="334">
        <f>IF(itens_Remanesc!A105="","",itens_Remanesc!I105)</f>
        <v/>
      </c>
      <c r="M106" s="333">
        <f>IF(OR(A106="",K106="",L106=""),"",ROUND(K106*L106,2))</f>
        <v/>
      </c>
      <c r="N106" s="331">
        <f>IF(OR(itens_Remanesc!A105="",NOT(ISNUMBER(parametros!$G$6))),"",ROUND(itens_Remanesc!C105*parametros!$G$6,2))</f>
        <v/>
      </c>
      <c r="O106" s="332">
        <f>IF(itens_Remanesc!A105="","",itens_Remanesc!K105)</f>
        <v/>
      </c>
      <c r="P106" s="331">
        <f>IF(OR(A106="",N106="",O106=""),"",ROUND(N106*O106,2))</f>
        <v/>
      </c>
    </row>
    <row r="107">
      <c r="A107" s="330">
        <f>IF(itens_Remanesc!A106="","",itens_Remanesc!A106)</f>
        <v/>
      </c>
      <c r="B107" s="331">
        <f>IF(OR(itens_Remanesc!A106="",NOT(ISNUMBER(parametros!$G$2))),"",ROUND(itens_Remanesc!C106*parametros!$G$2,2))</f>
        <v/>
      </c>
      <c r="C107" s="332">
        <f>IF(itens_Remanesc!A106="","",itens_Remanesc!B106)</f>
        <v/>
      </c>
      <c r="D107" s="331">
        <f>IF(A107="","",ROUND(B107*C107,2))</f>
        <v/>
      </c>
      <c r="E107" s="333">
        <f>IF(OR(itens_Remanesc!A106="",NOT(ISNUMBER(parametros!$G$3))),"",ROUND(itens_Remanesc!C106*parametros!$G$3,2))</f>
        <v/>
      </c>
      <c r="F107" s="334">
        <f>IF(itens_Remanesc!A106="","",itens_Remanesc!E106)</f>
        <v/>
      </c>
      <c r="G107" s="333">
        <f>IF(OR(A107="",E107="",F107=""),"",ROUND(E107*F107,2))</f>
        <v/>
      </c>
      <c r="H107" s="331">
        <f>IF(OR(itens_Remanesc!A106="",NOT(ISNUMBER(parametros!$G$4))),"",ROUND(itens_Remanesc!C106*parametros!$G$4,2))</f>
        <v/>
      </c>
      <c r="I107" s="332">
        <f>IF(itens_Remanesc!A106="","",itens_Remanesc!G106)</f>
        <v/>
      </c>
      <c r="J107" s="331">
        <f>IF(OR(A107="",H107="",I107=""),"",ROUND(H107*I107,2))</f>
        <v/>
      </c>
      <c r="K107" s="333">
        <f>IF(OR(itens_Remanesc!A106="",NOT(ISNUMBER(parametros!$G$5))),"",ROUND(itens_Remanesc!C106*parametros!$G$5,2))</f>
        <v/>
      </c>
      <c r="L107" s="334">
        <f>IF(itens_Remanesc!A106="","",itens_Remanesc!I106)</f>
        <v/>
      </c>
      <c r="M107" s="333">
        <f>IF(OR(A107="",K107="",L107=""),"",ROUND(K107*L107,2))</f>
        <v/>
      </c>
      <c r="N107" s="331">
        <f>IF(OR(itens_Remanesc!A106="",NOT(ISNUMBER(parametros!$G$6))),"",ROUND(itens_Remanesc!C106*parametros!$G$6,2))</f>
        <v/>
      </c>
      <c r="O107" s="332">
        <f>IF(itens_Remanesc!A106="","",itens_Remanesc!K106)</f>
        <v/>
      </c>
      <c r="P107" s="331">
        <f>IF(OR(A107="",N107="",O107=""),"",ROUND(N107*O107,2))</f>
        <v/>
      </c>
    </row>
    <row r="108">
      <c r="A108" s="330">
        <f>IF(itens_Remanesc!A107="","",itens_Remanesc!A107)</f>
        <v/>
      </c>
      <c r="B108" s="331">
        <f>IF(OR(itens_Remanesc!A107="",NOT(ISNUMBER(parametros!$G$2))),"",ROUND(itens_Remanesc!C107*parametros!$G$2,2))</f>
        <v/>
      </c>
      <c r="C108" s="332">
        <f>IF(itens_Remanesc!A107="","",itens_Remanesc!B107)</f>
        <v/>
      </c>
      <c r="D108" s="331">
        <f>IF(A108="","",ROUND(B108*C108,2))</f>
        <v/>
      </c>
      <c r="E108" s="333">
        <f>IF(OR(itens_Remanesc!A107="",NOT(ISNUMBER(parametros!$G$3))),"",ROUND(itens_Remanesc!C107*parametros!$G$3,2))</f>
        <v/>
      </c>
      <c r="F108" s="334">
        <f>IF(itens_Remanesc!A107="","",itens_Remanesc!E107)</f>
        <v/>
      </c>
      <c r="G108" s="333">
        <f>IF(OR(A108="",E108="",F108=""),"",ROUND(E108*F108,2))</f>
        <v/>
      </c>
      <c r="H108" s="331">
        <f>IF(OR(itens_Remanesc!A107="",NOT(ISNUMBER(parametros!$G$4))),"",ROUND(itens_Remanesc!C107*parametros!$G$4,2))</f>
        <v/>
      </c>
      <c r="I108" s="332">
        <f>IF(itens_Remanesc!A107="","",itens_Remanesc!G107)</f>
        <v/>
      </c>
      <c r="J108" s="331">
        <f>IF(OR(A108="",H108="",I108=""),"",ROUND(H108*I108,2))</f>
        <v/>
      </c>
      <c r="K108" s="333">
        <f>IF(OR(itens_Remanesc!A107="",NOT(ISNUMBER(parametros!$G$5))),"",ROUND(itens_Remanesc!C107*parametros!$G$5,2))</f>
        <v/>
      </c>
      <c r="L108" s="334">
        <f>IF(itens_Remanesc!A107="","",itens_Remanesc!I107)</f>
        <v/>
      </c>
      <c r="M108" s="333">
        <f>IF(OR(A108="",K108="",L108=""),"",ROUND(K108*L108,2))</f>
        <v/>
      </c>
      <c r="N108" s="331">
        <f>IF(OR(itens_Remanesc!A107="",NOT(ISNUMBER(parametros!$G$6))),"",ROUND(itens_Remanesc!C107*parametros!$G$6,2))</f>
        <v/>
      </c>
      <c r="O108" s="332">
        <f>IF(itens_Remanesc!A107="","",itens_Remanesc!K107)</f>
        <v/>
      </c>
      <c r="P108" s="331">
        <f>IF(OR(A108="",N108="",O108=""),"",ROUND(N108*O108,2))</f>
        <v/>
      </c>
    </row>
    <row r="109">
      <c r="A109" s="330">
        <f>IF(itens_Remanesc!A108="","",itens_Remanesc!A108)</f>
        <v/>
      </c>
      <c r="B109" s="331">
        <f>IF(OR(itens_Remanesc!A108="",NOT(ISNUMBER(parametros!$G$2))),"",ROUND(itens_Remanesc!C108*parametros!$G$2,2))</f>
        <v/>
      </c>
      <c r="C109" s="332">
        <f>IF(itens_Remanesc!A108="","",itens_Remanesc!B108)</f>
        <v/>
      </c>
      <c r="D109" s="331">
        <f>IF(A109="","",ROUND(B109*C109,2))</f>
        <v/>
      </c>
      <c r="E109" s="333">
        <f>IF(OR(itens_Remanesc!A108="",NOT(ISNUMBER(parametros!$G$3))),"",ROUND(itens_Remanesc!C108*parametros!$G$3,2))</f>
        <v/>
      </c>
      <c r="F109" s="334">
        <f>IF(itens_Remanesc!A108="","",itens_Remanesc!E108)</f>
        <v/>
      </c>
      <c r="G109" s="333">
        <f>IF(OR(A109="",E109="",F109=""),"",ROUND(E109*F109,2))</f>
        <v/>
      </c>
      <c r="H109" s="331">
        <f>IF(OR(itens_Remanesc!A108="",NOT(ISNUMBER(parametros!$G$4))),"",ROUND(itens_Remanesc!C108*parametros!$G$4,2))</f>
        <v/>
      </c>
      <c r="I109" s="332">
        <f>IF(itens_Remanesc!A108="","",itens_Remanesc!G108)</f>
        <v/>
      </c>
      <c r="J109" s="331">
        <f>IF(OR(A109="",H109="",I109=""),"",ROUND(H109*I109,2))</f>
        <v/>
      </c>
      <c r="K109" s="333">
        <f>IF(OR(itens_Remanesc!A108="",NOT(ISNUMBER(parametros!$G$5))),"",ROUND(itens_Remanesc!C108*parametros!$G$5,2))</f>
        <v/>
      </c>
      <c r="L109" s="334">
        <f>IF(itens_Remanesc!A108="","",itens_Remanesc!I108)</f>
        <v/>
      </c>
      <c r="M109" s="333">
        <f>IF(OR(A109="",K109="",L109=""),"",ROUND(K109*L109,2))</f>
        <v/>
      </c>
      <c r="N109" s="331">
        <f>IF(OR(itens_Remanesc!A108="",NOT(ISNUMBER(parametros!$G$6))),"",ROUND(itens_Remanesc!C108*parametros!$G$6,2))</f>
        <v/>
      </c>
      <c r="O109" s="332">
        <f>IF(itens_Remanesc!A108="","",itens_Remanesc!K108)</f>
        <v/>
      </c>
      <c r="P109" s="331">
        <f>IF(OR(A109="",N109="",O109=""),"",ROUND(N109*O109,2))</f>
        <v/>
      </c>
    </row>
    <row r="110">
      <c r="A110" s="330">
        <f>IF(itens_Remanesc!A109="","",itens_Remanesc!A109)</f>
        <v/>
      </c>
      <c r="B110" s="331">
        <f>IF(OR(itens_Remanesc!A109="",NOT(ISNUMBER(parametros!$G$2))),"",ROUND(itens_Remanesc!C109*parametros!$G$2,2))</f>
        <v/>
      </c>
      <c r="C110" s="332">
        <f>IF(itens_Remanesc!A109="","",itens_Remanesc!B109)</f>
        <v/>
      </c>
      <c r="D110" s="331">
        <f>IF(A110="","",ROUND(B110*C110,2))</f>
        <v/>
      </c>
      <c r="E110" s="333">
        <f>IF(OR(itens_Remanesc!A109="",NOT(ISNUMBER(parametros!$G$3))),"",ROUND(itens_Remanesc!C109*parametros!$G$3,2))</f>
        <v/>
      </c>
      <c r="F110" s="334">
        <f>IF(itens_Remanesc!A109="","",itens_Remanesc!E109)</f>
        <v/>
      </c>
      <c r="G110" s="333">
        <f>IF(OR(A110="",E110="",F110=""),"",ROUND(E110*F110,2))</f>
        <v/>
      </c>
      <c r="H110" s="331">
        <f>IF(OR(itens_Remanesc!A109="",NOT(ISNUMBER(parametros!$G$4))),"",ROUND(itens_Remanesc!C109*parametros!$G$4,2))</f>
        <v/>
      </c>
      <c r="I110" s="332">
        <f>IF(itens_Remanesc!A109="","",itens_Remanesc!G109)</f>
        <v/>
      </c>
      <c r="J110" s="331">
        <f>IF(OR(A110="",H110="",I110=""),"",ROUND(H110*I110,2))</f>
        <v/>
      </c>
      <c r="K110" s="333">
        <f>IF(OR(itens_Remanesc!A109="",NOT(ISNUMBER(parametros!$G$5))),"",ROUND(itens_Remanesc!C109*parametros!$G$5,2))</f>
        <v/>
      </c>
      <c r="L110" s="334">
        <f>IF(itens_Remanesc!A109="","",itens_Remanesc!I109)</f>
        <v/>
      </c>
      <c r="M110" s="333">
        <f>IF(OR(A110="",K110="",L110=""),"",ROUND(K110*L110,2))</f>
        <v/>
      </c>
      <c r="N110" s="331">
        <f>IF(OR(itens_Remanesc!A109="",NOT(ISNUMBER(parametros!$G$6))),"",ROUND(itens_Remanesc!C109*parametros!$G$6,2))</f>
        <v/>
      </c>
      <c r="O110" s="332">
        <f>IF(itens_Remanesc!A109="","",itens_Remanesc!K109)</f>
        <v/>
      </c>
      <c r="P110" s="331">
        <f>IF(OR(A110="",N110="",O110=""),"",ROUND(N110*O110,2))</f>
        <v/>
      </c>
    </row>
    <row r="111">
      <c r="A111" s="330">
        <f>IF(itens_Remanesc!A110="","",itens_Remanesc!A110)</f>
        <v/>
      </c>
      <c r="B111" s="331">
        <f>IF(OR(itens_Remanesc!A110="",NOT(ISNUMBER(parametros!$G$2))),"",ROUND(itens_Remanesc!C110*parametros!$G$2,2))</f>
        <v/>
      </c>
      <c r="C111" s="332">
        <f>IF(itens_Remanesc!A110="","",itens_Remanesc!B110)</f>
        <v/>
      </c>
      <c r="D111" s="331">
        <f>IF(A111="","",ROUND(B111*C111,2))</f>
        <v/>
      </c>
      <c r="E111" s="333">
        <f>IF(OR(itens_Remanesc!A110="",NOT(ISNUMBER(parametros!$G$3))),"",ROUND(itens_Remanesc!C110*parametros!$G$3,2))</f>
        <v/>
      </c>
      <c r="F111" s="334">
        <f>IF(itens_Remanesc!A110="","",itens_Remanesc!E110)</f>
        <v/>
      </c>
      <c r="G111" s="333">
        <f>IF(OR(A111="",E111="",F111=""),"",ROUND(E111*F111,2))</f>
        <v/>
      </c>
      <c r="H111" s="331">
        <f>IF(OR(itens_Remanesc!A110="",NOT(ISNUMBER(parametros!$G$4))),"",ROUND(itens_Remanesc!C110*parametros!$G$4,2))</f>
        <v/>
      </c>
      <c r="I111" s="332">
        <f>IF(itens_Remanesc!A110="","",itens_Remanesc!G110)</f>
        <v/>
      </c>
      <c r="J111" s="331">
        <f>IF(OR(A111="",H111="",I111=""),"",ROUND(H111*I111,2))</f>
        <v/>
      </c>
      <c r="K111" s="333">
        <f>IF(OR(itens_Remanesc!A110="",NOT(ISNUMBER(parametros!$G$5))),"",ROUND(itens_Remanesc!C110*parametros!$G$5,2))</f>
        <v/>
      </c>
      <c r="L111" s="334">
        <f>IF(itens_Remanesc!A110="","",itens_Remanesc!I110)</f>
        <v/>
      </c>
      <c r="M111" s="333">
        <f>IF(OR(A111="",K111="",L111=""),"",ROUND(K111*L111,2))</f>
        <v/>
      </c>
      <c r="N111" s="331">
        <f>IF(OR(itens_Remanesc!A110="",NOT(ISNUMBER(parametros!$G$6))),"",ROUND(itens_Remanesc!C110*parametros!$G$6,2))</f>
        <v/>
      </c>
      <c r="O111" s="332">
        <f>IF(itens_Remanesc!A110="","",itens_Remanesc!K110)</f>
        <v/>
      </c>
      <c r="P111" s="331">
        <f>IF(OR(A111="",N111="",O111=""),"",ROUND(N111*O111,2))</f>
        <v/>
      </c>
    </row>
    <row r="112">
      <c r="A112" s="330">
        <f>IF(itens_Remanesc!A111="","",itens_Remanesc!A111)</f>
        <v/>
      </c>
      <c r="B112" s="331">
        <f>IF(OR(itens_Remanesc!A111="",NOT(ISNUMBER(parametros!$G$2))),"",ROUND(itens_Remanesc!C111*parametros!$G$2,2))</f>
        <v/>
      </c>
      <c r="C112" s="332">
        <f>IF(itens_Remanesc!A111="","",itens_Remanesc!B111)</f>
        <v/>
      </c>
      <c r="D112" s="331">
        <f>IF(A112="","",ROUND(B112*C112,2))</f>
        <v/>
      </c>
      <c r="E112" s="333">
        <f>IF(OR(itens_Remanesc!A111="",NOT(ISNUMBER(parametros!$G$3))),"",ROUND(itens_Remanesc!C111*parametros!$G$3,2))</f>
        <v/>
      </c>
      <c r="F112" s="334">
        <f>IF(itens_Remanesc!A111="","",itens_Remanesc!E111)</f>
        <v/>
      </c>
      <c r="G112" s="333">
        <f>IF(OR(A112="",E112="",F112=""),"",ROUND(E112*F112,2))</f>
        <v/>
      </c>
      <c r="H112" s="331">
        <f>IF(OR(itens_Remanesc!A111="",NOT(ISNUMBER(parametros!$G$4))),"",ROUND(itens_Remanesc!C111*parametros!$G$4,2))</f>
        <v/>
      </c>
      <c r="I112" s="332">
        <f>IF(itens_Remanesc!A111="","",itens_Remanesc!G111)</f>
        <v/>
      </c>
      <c r="J112" s="331">
        <f>IF(OR(A112="",H112="",I112=""),"",ROUND(H112*I112,2))</f>
        <v/>
      </c>
      <c r="K112" s="333">
        <f>IF(OR(itens_Remanesc!A111="",NOT(ISNUMBER(parametros!$G$5))),"",ROUND(itens_Remanesc!C111*parametros!$G$5,2))</f>
        <v/>
      </c>
      <c r="L112" s="334">
        <f>IF(itens_Remanesc!A111="","",itens_Remanesc!I111)</f>
        <v/>
      </c>
      <c r="M112" s="333">
        <f>IF(OR(A112="",K112="",L112=""),"",ROUND(K112*L112,2))</f>
        <v/>
      </c>
      <c r="N112" s="331">
        <f>IF(OR(itens_Remanesc!A111="",NOT(ISNUMBER(parametros!$G$6))),"",ROUND(itens_Remanesc!C111*parametros!$G$6,2))</f>
        <v/>
      </c>
      <c r="O112" s="332">
        <f>IF(itens_Remanesc!A111="","",itens_Remanesc!K111)</f>
        <v/>
      </c>
      <c r="P112" s="331">
        <f>IF(OR(A112="",N112="",O112=""),"",ROUND(N112*O112,2))</f>
        <v/>
      </c>
    </row>
    <row r="113">
      <c r="A113" s="330">
        <f>IF(itens_Remanesc!A112="","",itens_Remanesc!A112)</f>
        <v/>
      </c>
      <c r="B113" s="331">
        <f>IF(OR(itens_Remanesc!A112="",NOT(ISNUMBER(parametros!$G$2))),"",ROUND(itens_Remanesc!C112*parametros!$G$2,2))</f>
        <v/>
      </c>
      <c r="C113" s="332">
        <f>IF(itens_Remanesc!A112="","",itens_Remanesc!B112)</f>
        <v/>
      </c>
      <c r="D113" s="331">
        <f>IF(A113="","",ROUND(B113*C113,2))</f>
        <v/>
      </c>
      <c r="E113" s="333">
        <f>IF(OR(itens_Remanesc!A112="",NOT(ISNUMBER(parametros!$G$3))),"",ROUND(itens_Remanesc!C112*parametros!$G$3,2))</f>
        <v/>
      </c>
      <c r="F113" s="334">
        <f>IF(itens_Remanesc!A112="","",itens_Remanesc!E112)</f>
        <v/>
      </c>
      <c r="G113" s="333">
        <f>IF(OR(A113="",E113="",F113=""),"",ROUND(E113*F113,2))</f>
        <v/>
      </c>
      <c r="H113" s="331">
        <f>IF(OR(itens_Remanesc!A112="",NOT(ISNUMBER(parametros!$G$4))),"",ROUND(itens_Remanesc!C112*parametros!$G$4,2))</f>
        <v/>
      </c>
      <c r="I113" s="332">
        <f>IF(itens_Remanesc!A112="","",itens_Remanesc!G112)</f>
        <v/>
      </c>
      <c r="J113" s="331">
        <f>IF(OR(A113="",H113="",I113=""),"",ROUND(H113*I113,2))</f>
        <v/>
      </c>
      <c r="K113" s="333">
        <f>IF(OR(itens_Remanesc!A112="",NOT(ISNUMBER(parametros!$G$5))),"",ROUND(itens_Remanesc!C112*parametros!$G$5,2))</f>
        <v/>
      </c>
      <c r="L113" s="334">
        <f>IF(itens_Remanesc!A112="","",itens_Remanesc!I112)</f>
        <v/>
      </c>
      <c r="M113" s="333">
        <f>IF(OR(A113="",K113="",L113=""),"",ROUND(K113*L113,2))</f>
        <v/>
      </c>
      <c r="N113" s="331">
        <f>IF(OR(itens_Remanesc!A112="",NOT(ISNUMBER(parametros!$G$6))),"",ROUND(itens_Remanesc!C112*parametros!$G$6,2))</f>
        <v/>
      </c>
      <c r="O113" s="332">
        <f>IF(itens_Remanesc!A112="","",itens_Remanesc!K112)</f>
        <v/>
      </c>
      <c r="P113" s="331">
        <f>IF(OR(A113="",N113="",O113=""),"",ROUND(N113*O113,2))</f>
        <v/>
      </c>
    </row>
    <row r="114">
      <c r="A114" s="330">
        <f>IF(itens_Remanesc!A113="","",itens_Remanesc!A113)</f>
        <v/>
      </c>
      <c r="B114" s="331">
        <f>IF(OR(itens_Remanesc!A113="",NOT(ISNUMBER(parametros!$G$2))),"",ROUND(itens_Remanesc!C113*parametros!$G$2,2))</f>
        <v/>
      </c>
      <c r="C114" s="332">
        <f>IF(itens_Remanesc!A113="","",itens_Remanesc!B113)</f>
        <v/>
      </c>
      <c r="D114" s="331">
        <f>IF(A114="","",ROUND(B114*C114,2))</f>
        <v/>
      </c>
      <c r="E114" s="333">
        <f>IF(OR(itens_Remanesc!A113="",NOT(ISNUMBER(parametros!$G$3))),"",ROUND(itens_Remanesc!C113*parametros!$G$3,2))</f>
        <v/>
      </c>
      <c r="F114" s="334">
        <f>IF(itens_Remanesc!A113="","",itens_Remanesc!E113)</f>
        <v/>
      </c>
      <c r="G114" s="333">
        <f>IF(OR(A114="",E114="",F114=""),"",ROUND(E114*F114,2))</f>
        <v/>
      </c>
      <c r="H114" s="331">
        <f>IF(OR(itens_Remanesc!A113="",NOT(ISNUMBER(parametros!$G$4))),"",ROUND(itens_Remanesc!C113*parametros!$G$4,2))</f>
        <v/>
      </c>
      <c r="I114" s="332">
        <f>IF(itens_Remanesc!A113="","",itens_Remanesc!G113)</f>
        <v/>
      </c>
      <c r="J114" s="331">
        <f>IF(OR(A114="",H114="",I114=""),"",ROUND(H114*I114,2))</f>
        <v/>
      </c>
      <c r="K114" s="333">
        <f>IF(OR(itens_Remanesc!A113="",NOT(ISNUMBER(parametros!$G$5))),"",ROUND(itens_Remanesc!C113*parametros!$G$5,2))</f>
        <v/>
      </c>
      <c r="L114" s="334">
        <f>IF(itens_Remanesc!A113="","",itens_Remanesc!I113)</f>
        <v/>
      </c>
      <c r="M114" s="333">
        <f>IF(OR(A114="",K114="",L114=""),"",ROUND(K114*L114,2))</f>
        <v/>
      </c>
      <c r="N114" s="331">
        <f>IF(OR(itens_Remanesc!A113="",NOT(ISNUMBER(parametros!$G$6))),"",ROUND(itens_Remanesc!C113*parametros!$G$6,2))</f>
        <v/>
      </c>
      <c r="O114" s="332">
        <f>IF(itens_Remanesc!A113="","",itens_Remanesc!K113)</f>
        <v/>
      </c>
      <c r="P114" s="331">
        <f>IF(OR(A114="",N114="",O114=""),"",ROUND(N114*O114,2))</f>
        <v/>
      </c>
    </row>
    <row r="115">
      <c r="A115" s="330">
        <f>IF(itens_Remanesc!A114="","",itens_Remanesc!A114)</f>
        <v/>
      </c>
      <c r="B115" s="331">
        <f>IF(OR(itens_Remanesc!A114="",NOT(ISNUMBER(parametros!$G$2))),"",ROUND(itens_Remanesc!C114*parametros!$G$2,2))</f>
        <v/>
      </c>
      <c r="C115" s="332">
        <f>IF(itens_Remanesc!A114="","",itens_Remanesc!B114)</f>
        <v/>
      </c>
      <c r="D115" s="331">
        <f>IF(A115="","",ROUND(B115*C115,2))</f>
        <v/>
      </c>
      <c r="E115" s="333">
        <f>IF(OR(itens_Remanesc!A114="",NOT(ISNUMBER(parametros!$G$3))),"",ROUND(itens_Remanesc!C114*parametros!$G$3,2))</f>
        <v/>
      </c>
      <c r="F115" s="334">
        <f>IF(itens_Remanesc!A114="","",itens_Remanesc!E114)</f>
        <v/>
      </c>
      <c r="G115" s="333">
        <f>IF(OR(A115="",E115="",F115=""),"",ROUND(E115*F115,2))</f>
        <v/>
      </c>
      <c r="H115" s="331">
        <f>IF(OR(itens_Remanesc!A114="",NOT(ISNUMBER(parametros!$G$4))),"",ROUND(itens_Remanesc!C114*parametros!$G$4,2))</f>
        <v/>
      </c>
      <c r="I115" s="332">
        <f>IF(itens_Remanesc!A114="","",itens_Remanesc!G114)</f>
        <v/>
      </c>
      <c r="J115" s="331">
        <f>IF(OR(A115="",H115="",I115=""),"",ROUND(H115*I115,2))</f>
        <v/>
      </c>
      <c r="K115" s="333">
        <f>IF(OR(itens_Remanesc!A114="",NOT(ISNUMBER(parametros!$G$5))),"",ROUND(itens_Remanesc!C114*parametros!$G$5,2))</f>
        <v/>
      </c>
      <c r="L115" s="334">
        <f>IF(itens_Remanesc!A114="","",itens_Remanesc!I114)</f>
        <v/>
      </c>
      <c r="M115" s="333">
        <f>IF(OR(A115="",K115="",L115=""),"",ROUND(K115*L115,2))</f>
        <v/>
      </c>
      <c r="N115" s="331">
        <f>IF(OR(itens_Remanesc!A114="",NOT(ISNUMBER(parametros!$G$6))),"",ROUND(itens_Remanesc!C114*parametros!$G$6,2))</f>
        <v/>
      </c>
      <c r="O115" s="332">
        <f>IF(itens_Remanesc!A114="","",itens_Remanesc!K114)</f>
        <v/>
      </c>
      <c r="P115" s="331">
        <f>IF(OR(A115="",N115="",O115=""),"",ROUND(N115*O115,2))</f>
        <v/>
      </c>
    </row>
    <row r="116">
      <c r="A116" s="330">
        <f>IF(itens_Remanesc!A115="","",itens_Remanesc!A115)</f>
        <v/>
      </c>
      <c r="B116" s="331">
        <f>IF(OR(itens_Remanesc!A115="",NOT(ISNUMBER(parametros!$G$2))),"",ROUND(itens_Remanesc!C115*parametros!$G$2,2))</f>
        <v/>
      </c>
      <c r="C116" s="332">
        <f>IF(itens_Remanesc!A115="","",itens_Remanesc!B115)</f>
        <v/>
      </c>
      <c r="D116" s="331">
        <f>IF(A116="","",ROUND(B116*C116,2))</f>
        <v/>
      </c>
      <c r="E116" s="333">
        <f>IF(OR(itens_Remanesc!A115="",NOT(ISNUMBER(parametros!$G$3))),"",ROUND(itens_Remanesc!C115*parametros!$G$3,2))</f>
        <v/>
      </c>
      <c r="F116" s="334">
        <f>IF(itens_Remanesc!A115="","",itens_Remanesc!E115)</f>
        <v/>
      </c>
      <c r="G116" s="333">
        <f>IF(OR(A116="",E116="",F116=""),"",ROUND(E116*F116,2))</f>
        <v/>
      </c>
      <c r="H116" s="331">
        <f>IF(OR(itens_Remanesc!A115="",NOT(ISNUMBER(parametros!$G$4))),"",ROUND(itens_Remanesc!C115*parametros!$G$4,2))</f>
        <v/>
      </c>
      <c r="I116" s="332">
        <f>IF(itens_Remanesc!A115="","",itens_Remanesc!G115)</f>
        <v/>
      </c>
      <c r="J116" s="331">
        <f>IF(OR(A116="",H116="",I116=""),"",ROUND(H116*I116,2))</f>
        <v/>
      </c>
      <c r="K116" s="333">
        <f>IF(OR(itens_Remanesc!A115="",NOT(ISNUMBER(parametros!$G$5))),"",ROUND(itens_Remanesc!C115*parametros!$G$5,2))</f>
        <v/>
      </c>
      <c r="L116" s="334">
        <f>IF(itens_Remanesc!A115="","",itens_Remanesc!I115)</f>
        <v/>
      </c>
      <c r="M116" s="333">
        <f>IF(OR(A116="",K116="",L116=""),"",ROUND(K116*L116,2))</f>
        <v/>
      </c>
      <c r="N116" s="331">
        <f>IF(OR(itens_Remanesc!A115="",NOT(ISNUMBER(parametros!$G$6))),"",ROUND(itens_Remanesc!C115*parametros!$G$6,2))</f>
        <v/>
      </c>
      <c r="O116" s="332">
        <f>IF(itens_Remanesc!A115="","",itens_Remanesc!K115)</f>
        <v/>
      </c>
      <c r="P116" s="331">
        <f>IF(OR(A116="",N116="",O116=""),"",ROUND(N116*O116,2))</f>
        <v/>
      </c>
    </row>
    <row r="117">
      <c r="A117" s="330">
        <f>IF(itens_Remanesc!A116="","",itens_Remanesc!A116)</f>
        <v/>
      </c>
      <c r="B117" s="331">
        <f>IF(OR(itens_Remanesc!A116="",NOT(ISNUMBER(parametros!$G$2))),"",ROUND(itens_Remanesc!C116*parametros!$G$2,2))</f>
        <v/>
      </c>
      <c r="C117" s="332">
        <f>IF(itens_Remanesc!A116="","",itens_Remanesc!B116)</f>
        <v/>
      </c>
      <c r="D117" s="331">
        <f>IF(A117="","",ROUND(B117*C117,2))</f>
        <v/>
      </c>
      <c r="E117" s="333">
        <f>IF(OR(itens_Remanesc!A116="",NOT(ISNUMBER(parametros!$G$3))),"",ROUND(itens_Remanesc!C116*parametros!$G$3,2))</f>
        <v/>
      </c>
      <c r="F117" s="334">
        <f>IF(itens_Remanesc!A116="","",itens_Remanesc!E116)</f>
        <v/>
      </c>
      <c r="G117" s="333">
        <f>IF(OR(A117="",E117="",F117=""),"",ROUND(E117*F117,2))</f>
        <v/>
      </c>
      <c r="H117" s="331">
        <f>IF(OR(itens_Remanesc!A116="",NOT(ISNUMBER(parametros!$G$4))),"",ROUND(itens_Remanesc!C116*parametros!$G$4,2))</f>
        <v/>
      </c>
      <c r="I117" s="332">
        <f>IF(itens_Remanesc!A116="","",itens_Remanesc!G116)</f>
        <v/>
      </c>
      <c r="J117" s="331">
        <f>IF(OR(A117="",H117="",I117=""),"",ROUND(H117*I117,2))</f>
        <v/>
      </c>
      <c r="K117" s="333">
        <f>IF(OR(itens_Remanesc!A116="",NOT(ISNUMBER(parametros!$G$5))),"",ROUND(itens_Remanesc!C116*parametros!$G$5,2))</f>
        <v/>
      </c>
      <c r="L117" s="334">
        <f>IF(itens_Remanesc!A116="","",itens_Remanesc!I116)</f>
        <v/>
      </c>
      <c r="M117" s="333">
        <f>IF(OR(A117="",K117="",L117=""),"",ROUND(K117*L117,2))</f>
        <v/>
      </c>
      <c r="N117" s="331">
        <f>IF(OR(itens_Remanesc!A116="",NOT(ISNUMBER(parametros!$G$6))),"",ROUND(itens_Remanesc!C116*parametros!$G$6,2))</f>
        <v/>
      </c>
      <c r="O117" s="332">
        <f>IF(itens_Remanesc!A116="","",itens_Remanesc!K116)</f>
        <v/>
      </c>
      <c r="P117" s="331">
        <f>IF(OR(A117="",N117="",O117=""),"",ROUND(N117*O117,2))</f>
        <v/>
      </c>
    </row>
    <row r="118">
      <c r="A118" s="330">
        <f>IF(itens_Remanesc!A117="","",itens_Remanesc!A117)</f>
        <v/>
      </c>
      <c r="B118" s="331">
        <f>IF(OR(itens_Remanesc!A117="",NOT(ISNUMBER(parametros!$G$2))),"",ROUND(itens_Remanesc!C117*parametros!$G$2,2))</f>
        <v/>
      </c>
      <c r="C118" s="332">
        <f>IF(itens_Remanesc!A117="","",itens_Remanesc!B117)</f>
        <v/>
      </c>
      <c r="D118" s="331">
        <f>IF(A118="","",ROUND(B118*C118,2))</f>
        <v/>
      </c>
      <c r="E118" s="333">
        <f>IF(OR(itens_Remanesc!A117="",NOT(ISNUMBER(parametros!$G$3))),"",ROUND(itens_Remanesc!C117*parametros!$G$3,2))</f>
        <v/>
      </c>
      <c r="F118" s="334">
        <f>IF(itens_Remanesc!A117="","",itens_Remanesc!E117)</f>
        <v/>
      </c>
      <c r="G118" s="333">
        <f>IF(OR(A118="",E118="",F118=""),"",ROUND(E118*F118,2))</f>
        <v/>
      </c>
      <c r="H118" s="331">
        <f>IF(OR(itens_Remanesc!A117="",NOT(ISNUMBER(parametros!$G$4))),"",ROUND(itens_Remanesc!C117*parametros!$G$4,2))</f>
        <v/>
      </c>
      <c r="I118" s="332">
        <f>IF(itens_Remanesc!A117="","",itens_Remanesc!G117)</f>
        <v/>
      </c>
      <c r="J118" s="331">
        <f>IF(OR(A118="",H118="",I118=""),"",ROUND(H118*I118,2))</f>
        <v/>
      </c>
      <c r="K118" s="333">
        <f>IF(OR(itens_Remanesc!A117="",NOT(ISNUMBER(parametros!$G$5))),"",ROUND(itens_Remanesc!C117*parametros!$G$5,2))</f>
        <v/>
      </c>
      <c r="L118" s="334">
        <f>IF(itens_Remanesc!A117="","",itens_Remanesc!I117)</f>
        <v/>
      </c>
      <c r="M118" s="333">
        <f>IF(OR(A118="",K118="",L118=""),"",ROUND(K118*L118,2))</f>
        <v/>
      </c>
      <c r="N118" s="331">
        <f>IF(OR(itens_Remanesc!A117="",NOT(ISNUMBER(parametros!$G$6))),"",ROUND(itens_Remanesc!C117*parametros!$G$6,2))</f>
        <v/>
      </c>
      <c r="O118" s="332">
        <f>IF(itens_Remanesc!A117="","",itens_Remanesc!K117)</f>
        <v/>
      </c>
      <c r="P118" s="331">
        <f>IF(OR(A118="",N118="",O118=""),"",ROUND(N118*O118,2))</f>
        <v/>
      </c>
    </row>
    <row r="119">
      <c r="A119" s="330">
        <f>IF(itens_Remanesc!A118="","",itens_Remanesc!A118)</f>
        <v/>
      </c>
      <c r="B119" s="331">
        <f>IF(OR(itens_Remanesc!A118="",NOT(ISNUMBER(parametros!$G$2))),"",ROUND(itens_Remanesc!C118*parametros!$G$2,2))</f>
        <v/>
      </c>
      <c r="C119" s="332">
        <f>IF(itens_Remanesc!A118="","",itens_Remanesc!B118)</f>
        <v/>
      </c>
      <c r="D119" s="331">
        <f>IF(A119="","",ROUND(B119*C119,2))</f>
        <v/>
      </c>
      <c r="E119" s="333">
        <f>IF(OR(itens_Remanesc!A118="",NOT(ISNUMBER(parametros!$G$3))),"",ROUND(itens_Remanesc!C118*parametros!$G$3,2))</f>
        <v/>
      </c>
      <c r="F119" s="334">
        <f>IF(itens_Remanesc!A118="","",itens_Remanesc!E118)</f>
        <v/>
      </c>
      <c r="G119" s="333">
        <f>IF(OR(A119="",E119="",F119=""),"",ROUND(E119*F119,2))</f>
        <v/>
      </c>
      <c r="H119" s="331">
        <f>IF(OR(itens_Remanesc!A118="",NOT(ISNUMBER(parametros!$G$4))),"",ROUND(itens_Remanesc!C118*parametros!$G$4,2))</f>
        <v/>
      </c>
      <c r="I119" s="332">
        <f>IF(itens_Remanesc!A118="","",itens_Remanesc!G118)</f>
        <v/>
      </c>
      <c r="J119" s="331">
        <f>IF(OR(A119="",H119="",I119=""),"",ROUND(H119*I119,2))</f>
        <v/>
      </c>
      <c r="K119" s="333">
        <f>IF(OR(itens_Remanesc!A118="",NOT(ISNUMBER(parametros!$G$5))),"",ROUND(itens_Remanesc!C118*parametros!$G$5,2))</f>
        <v/>
      </c>
      <c r="L119" s="334">
        <f>IF(itens_Remanesc!A118="","",itens_Remanesc!I118)</f>
        <v/>
      </c>
      <c r="M119" s="333">
        <f>IF(OR(A119="",K119="",L119=""),"",ROUND(K119*L119,2))</f>
        <v/>
      </c>
      <c r="N119" s="331">
        <f>IF(OR(itens_Remanesc!A118="",NOT(ISNUMBER(parametros!$G$6))),"",ROUND(itens_Remanesc!C118*parametros!$G$6,2))</f>
        <v/>
      </c>
      <c r="O119" s="332">
        <f>IF(itens_Remanesc!A118="","",itens_Remanesc!K118)</f>
        <v/>
      </c>
      <c r="P119" s="331">
        <f>IF(OR(A119="",N119="",O119=""),"",ROUND(N119*O119,2))</f>
        <v/>
      </c>
    </row>
    <row r="120">
      <c r="A120" s="330">
        <f>IF(itens_Remanesc!A119="","",itens_Remanesc!A119)</f>
        <v/>
      </c>
      <c r="B120" s="331">
        <f>IF(OR(itens_Remanesc!A119="",NOT(ISNUMBER(parametros!$G$2))),"",ROUND(itens_Remanesc!C119*parametros!$G$2,2))</f>
        <v/>
      </c>
      <c r="C120" s="332">
        <f>IF(itens_Remanesc!A119="","",itens_Remanesc!B119)</f>
        <v/>
      </c>
      <c r="D120" s="331">
        <f>IF(A120="","",ROUND(B120*C120,2))</f>
        <v/>
      </c>
      <c r="E120" s="333">
        <f>IF(OR(itens_Remanesc!A119="",NOT(ISNUMBER(parametros!$G$3))),"",ROUND(itens_Remanesc!C119*parametros!$G$3,2))</f>
        <v/>
      </c>
      <c r="F120" s="334">
        <f>IF(itens_Remanesc!A119="","",itens_Remanesc!E119)</f>
        <v/>
      </c>
      <c r="G120" s="333">
        <f>IF(OR(A120="",E120="",F120=""),"",ROUND(E120*F120,2))</f>
        <v/>
      </c>
      <c r="H120" s="331">
        <f>IF(OR(itens_Remanesc!A119="",NOT(ISNUMBER(parametros!$G$4))),"",ROUND(itens_Remanesc!C119*parametros!$G$4,2))</f>
        <v/>
      </c>
      <c r="I120" s="332">
        <f>IF(itens_Remanesc!A119="","",itens_Remanesc!G119)</f>
        <v/>
      </c>
      <c r="J120" s="331">
        <f>IF(OR(A120="",H120="",I120=""),"",ROUND(H120*I120,2))</f>
        <v/>
      </c>
      <c r="K120" s="333">
        <f>IF(OR(itens_Remanesc!A119="",NOT(ISNUMBER(parametros!$G$5))),"",ROUND(itens_Remanesc!C119*parametros!$G$5,2))</f>
        <v/>
      </c>
      <c r="L120" s="334">
        <f>IF(itens_Remanesc!A119="","",itens_Remanesc!I119)</f>
        <v/>
      </c>
      <c r="M120" s="333">
        <f>IF(OR(A120="",K120="",L120=""),"",ROUND(K120*L120,2))</f>
        <v/>
      </c>
      <c r="N120" s="331">
        <f>IF(OR(itens_Remanesc!A119="",NOT(ISNUMBER(parametros!$G$6))),"",ROUND(itens_Remanesc!C119*parametros!$G$6,2))</f>
        <v/>
      </c>
      <c r="O120" s="332">
        <f>IF(itens_Remanesc!A119="","",itens_Remanesc!K119)</f>
        <v/>
      </c>
      <c r="P120" s="331">
        <f>IF(OR(A120="",N120="",O120=""),"",ROUND(N120*O120,2))</f>
        <v/>
      </c>
    </row>
    <row r="121">
      <c r="A121" s="330">
        <f>IF(itens_Remanesc!A120="","",itens_Remanesc!A120)</f>
        <v/>
      </c>
      <c r="B121" s="331">
        <f>IF(OR(itens_Remanesc!A120="",NOT(ISNUMBER(parametros!$G$2))),"",ROUND(itens_Remanesc!C120*parametros!$G$2,2))</f>
        <v/>
      </c>
      <c r="C121" s="332">
        <f>IF(itens_Remanesc!A120="","",itens_Remanesc!B120)</f>
        <v/>
      </c>
      <c r="D121" s="331">
        <f>IF(A121="","",ROUND(B121*C121,2))</f>
        <v/>
      </c>
      <c r="E121" s="333">
        <f>IF(OR(itens_Remanesc!A120="",NOT(ISNUMBER(parametros!$G$3))),"",ROUND(itens_Remanesc!C120*parametros!$G$3,2))</f>
        <v/>
      </c>
      <c r="F121" s="334">
        <f>IF(itens_Remanesc!A120="","",itens_Remanesc!E120)</f>
        <v/>
      </c>
      <c r="G121" s="333">
        <f>IF(OR(A121="",E121="",F121=""),"",ROUND(E121*F121,2))</f>
        <v/>
      </c>
      <c r="H121" s="331">
        <f>IF(OR(itens_Remanesc!A120="",NOT(ISNUMBER(parametros!$G$4))),"",ROUND(itens_Remanesc!C120*parametros!$G$4,2))</f>
        <v/>
      </c>
      <c r="I121" s="332">
        <f>IF(itens_Remanesc!A120="","",itens_Remanesc!G120)</f>
        <v/>
      </c>
      <c r="J121" s="331">
        <f>IF(OR(A121="",H121="",I121=""),"",ROUND(H121*I121,2))</f>
        <v/>
      </c>
      <c r="K121" s="333">
        <f>IF(OR(itens_Remanesc!A120="",NOT(ISNUMBER(parametros!$G$5))),"",ROUND(itens_Remanesc!C120*parametros!$G$5,2))</f>
        <v/>
      </c>
      <c r="L121" s="334">
        <f>IF(itens_Remanesc!A120="","",itens_Remanesc!I120)</f>
        <v/>
      </c>
      <c r="M121" s="333">
        <f>IF(OR(A121="",K121="",L121=""),"",ROUND(K121*L121,2))</f>
        <v/>
      </c>
      <c r="N121" s="331">
        <f>IF(OR(itens_Remanesc!A120="",NOT(ISNUMBER(parametros!$G$6))),"",ROUND(itens_Remanesc!C120*parametros!$G$6,2))</f>
        <v/>
      </c>
      <c r="O121" s="332">
        <f>IF(itens_Remanesc!A120="","",itens_Remanesc!K120)</f>
        <v/>
      </c>
      <c r="P121" s="331">
        <f>IF(OR(A121="",N121="",O121=""),"",ROUND(N121*O121,2))</f>
        <v/>
      </c>
    </row>
    <row r="122">
      <c r="A122" s="330">
        <f>IF(itens_Remanesc!A121="","",itens_Remanesc!A121)</f>
        <v/>
      </c>
      <c r="B122" s="331">
        <f>IF(OR(itens_Remanesc!A121="",NOT(ISNUMBER(parametros!$G$2))),"",ROUND(itens_Remanesc!C121*parametros!$G$2,2))</f>
        <v/>
      </c>
      <c r="C122" s="332">
        <f>IF(itens_Remanesc!A121="","",itens_Remanesc!B121)</f>
        <v/>
      </c>
      <c r="D122" s="331">
        <f>IF(A122="","",ROUND(B122*C122,2))</f>
        <v/>
      </c>
      <c r="E122" s="333">
        <f>IF(OR(itens_Remanesc!A121="",NOT(ISNUMBER(parametros!$G$3))),"",ROUND(itens_Remanesc!C121*parametros!$G$3,2))</f>
        <v/>
      </c>
      <c r="F122" s="334">
        <f>IF(itens_Remanesc!A121="","",itens_Remanesc!E121)</f>
        <v/>
      </c>
      <c r="G122" s="333">
        <f>IF(OR(A122="",E122="",F122=""),"",ROUND(E122*F122,2))</f>
        <v/>
      </c>
      <c r="H122" s="331">
        <f>IF(OR(itens_Remanesc!A121="",NOT(ISNUMBER(parametros!$G$4))),"",ROUND(itens_Remanesc!C121*parametros!$G$4,2))</f>
        <v/>
      </c>
      <c r="I122" s="332">
        <f>IF(itens_Remanesc!A121="","",itens_Remanesc!G121)</f>
        <v/>
      </c>
      <c r="J122" s="331">
        <f>IF(OR(A122="",H122="",I122=""),"",ROUND(H122*I122,2))</f>
        <v/>
      </c>
      <c r="K122" s="333">
        <f>IF(OR(itens_Remanesc!A121="",NOT(ISNUMBER(parametros!$G$5))),"",ROUND(itens_Remanesc!C121*parametros!$G$5,2))</f>
        <v/>
      </c>
      <c r="L122" s="334">
        <f>IF(itens_Remanesc!A121="","",itens_Remanesc!I121)</f>
        <v/>
      </c>
      <c r="M122" s="333">
        <f>IF(OR(A122="",K122="",L122=""),"",ROUND(K122*L122,2))</f>
        <v/>
      </c>
      <c r="N122" s="331">
        <f>IF(OR(itens_Remanesc!A121="",NOT(ISNUMBER(parametros!$G$6))),"",ROUND(itens_Remanesc!C121*parametros!$G$6,2))</f>
        <v/>
      </c>
      <c r="O122" s="332">
        <f>IF(itens_Remanesc!A121="","",itens_Remanesc!K121)</f>
        <v/>
      </c>
      <c r="P122" s="331">
        <f>IF(OR(A122="",N122="",O122=""),"",ROUND(N122*O122,2))</f>
        <v/>
      </c>
    </row>
    <row r="123">
      <c r="A123" s="330">
        <f>IF(itens_Remanesc!A122="","",itens_Remanesc!A122)</f>
        <v/>
      </c>
      <c r="B123" s="331">
        <f>IF(OR(itens_Remanesc!A122="",NOT(ISNUMBER(parametros!$G$2))),"",ROUND(itens_Remanesc!C122*parametros!$G$2,2))</f>
        <v/>
      </c>
      <c r="C123" s="332">
        <f>IF(itens_Remanesc!A122="","",itens_Remanesc!B122)</f>
        <v/>
      </c>
      <c r="D123" s="331">
        <f>IF(A123="","",ROUND(B123*C123,2))</f>
        <v/>
      </c>
      <c r="E123" s="333">
        <f>IF(OR(itens_Remanesc!A122="",NOT(ISNUMBER(parametros!$G$3))),"",ROUND(itens_Remanesc!C122*parametros!$G$3,2))</f>
        <v/>
      </c>
      <c r="F123" s="334">
        <f>IF(itens_Remanesc!A122="","",itens_Remanesc!E122)</f>
        <v/>
      </c>
      <c r="G123" s="333">
        <f>IF(OR(A123="",E123="",F123=""),"",ROUND(E123*F123,2))</f>
        <v/>
      </c>
      <c r="H123" s="331">
        <f>IF(OR(itens_Remanesc!A122="",NOT(ISNUMBER(parametros!$G$4))),"",ROUND(itens_Remanesc!C122*parametros!$G$4,2))</f>
        <v/>
      </c>
      <c r="I123" s="332">
        <f>IF(itens_Remanesc!A122="","",itens_Remanesc!G122)</f>
        <v/>
      </c>
      <c r="J123" s="331">
        <f>IF(OR(A123="",H123="",I123=""),"",ROUND(H123*I123,2))</f>
        <v/>
      </c>
      <c r="K123" s="333">
        <f>IF(OR(itens_Remanesc!A122="",NOT(ISNUMBER(parametros!$G$5))),"",ROUND(itens_Remanesc!C122*parametros!$G$5,2))</f>
        <v/>
      </c>
      <c r="L123" s="334">
        <f>IF(itens_Remanesc!A122="","",itens_Remanesc!I122)</f>
        <v/>
      </c>
      <c r="M123" s="333">
        <f>IF(OR(A123="",K123="",L123=""),"",ROUND(K123*L123,2))</f>
        <v/>
      </c>
      <c r="N123" s="331">
        <f>IF(OR(itens_Remanesc!A122="",NOT(ISNUMBER(parametros!$G$6))),"",ROUND(itens_Remanesc!C122*parametros!$G$6,2))</f>
        <v/>
      </c>
      <c r="O123" s="332">
        <f>IF(itens_Remanesc!A122="","",itens_Remanesc!K122)</f>
        <v/>
      </c>
      <c r="P123" s="331">
        <f>IF(OR(A123="",N123="",O123=""),"",ROUND(N123*O123,2))</f>
        <v/>
      </c>
    </row>
    <row r="124">
      <c r="A124" s="330">
        <f>IF(itens_Remanesc!A123="","",itens_Remanesc!A123)</f>
        <v/>
      </c>
      <c r="B124" s="331">
        <f>IF(OR(itens_Remanesc!A123="",NOT(ISNUMBER(parametros!$G$2))),"",ROUND(itens_Remanesc!C123*parametros!$G$2,2))</f>
        <v/>
      </c>
      <c r="C124" s="332">
        <f>IF(itens_Remanesc!A123="","",itens_Remanesc!B123)</f>
        <v/>
      </c>
      <c r="D124" s="331">
        <f>IF(A124="","",ROUND(B124*C124,2))</f>
        <v/>
      </c>
      <c r="E124" s="333">
        <f>IF(OR(itens_Remanesc!A123="",NOT(ISNUMBER(parametros!$G$3))),"",ROUND(itens_Remanesc!C123*parametros!$G$3,2))</f>
        <v/>
      </c>
      <c r="F124" s="334">
        <f>IF(itens_Remanesc!A123="","",itens_Remanesc!E123)</f>
        <v/>
      </c>
      <c r="G124" s="333">
        <f>IF(OR(A124="",E124="",F124=""),"",ROUND(E124*F124,2))</f>
        <v/>
      </c>
      <c r="H124" s="331">
        <f>IF(OR(itens_Remanesc!A123="",NOT(ISNUMBER(parametros!$G$4))),"",ROUND(itens_Remanesc!C123*parametros!$G$4,2))</f>
        <v/>
      </c>
      <c r="I124" s="332">
        <f>IF(itens_Remanesc!A123="","",itens_Remanesc!G123)</f>
        <v/>
      </c>
      <c r="J124" s="331">
        <f>IF(OR(A124="",H124="",I124=""),"",ROUND(H124*I124,2))</f>
        <v/>
      </c>
      <c r="K124" s="333">
        <f>IF(OR(itens_Remanesc!A123="",NOT(ISNUMBER(parametros!$G$5))),"",ROUND(itens_Remanesc!C123*parametros!$G$5,2))</f>
        <v/>
      </c>
      <c r="L124" s="334">
        <f>IF(itens_Remanesc!A123="","",itens_Remanesc!I123)</f>
        <v/>
      </c>
      <c r="M124" s="333">
        <f>IF(OR(A124="",K124="",L124=""),"",ROUND(K124*L124,2))</f>
        <v/>
      </c>
      <c r="N124" s="331">
        <f>IF(OR(itens_Remanesc!A123="",NOT(ISNUMBER(parametros!$G$6))),"",ROUND(itens_Remanesc!C123*parametros!$G$6,2))</f>
        <v/>
      </c>
      <c r="O124" s="332">
        <f>IF(itens_Remanesc!A123="","",itens_Remanesc!K123)</f>
        <v/>
      </c>
      <c r="P124" s="331">
        <f>IF(OR(A124="",N124="",O124=""),"",ROUND(N124*O124,2))</f>
        <v/>
      </c>
    </row>
    <row r="125">
      <c r="A125" s="330">
        <f>IF(itens_Remanesc!A124="","",itens_Remanesc!A124)</f>
        <v/>
      </c>
      <c r="B125" s="331">
        <f>IF(OR(itens_Remanesc!A124="",NOT(ISNUMBER(parametros!$G$2))),"",ROUND(itens_Remanesc!C124*parametros!$G$2,2))</f>
        <v/>
      </c>
      <c r="C125" s="332">
        <f>IF(itens_Remanesc!A124="","",itens_Remanesc!B124)</f>
        <v/>
      </c>
      <c r="D125" s="331">
        <f>IF(A125="","",ROUND(B125*C125,2))</f>
        <v/>
      </c>
      <c r="E125" s="333">
        <f>IF(OR(itens_Remanesc!A124="",NOT(ISNUMBER(parametros!$G$3))),"",ROUND(itens_Remanesc!C124*parametros!$G$3,2))</f>
        <v/>
      </c>
      <c r="F125" s="334">
        <f>IF(itens_Remanesc!A124="","",itens_Remanesc!E124)</f>
        <v/>
      </c>
      <c r="G125" s="333">
        <f>IF(OR(A125="",E125="",F125=""),"",ROUND(E125*F125,2))</f>
        <v/>
      </c>
      <c r="H125" s="331">
        <f>IF(OR(itens_Remanesc!A124="",NOT(ISNUMBER(parametros!$G$4))),"",ROUND(itens_Remanesc!C124*parametros!$G$4,2))</f>
        <v/>
      </c>
      <c r="I125" s="332">
        <f>IF(itens_Remanesc!A124="","",itens_Remanesc!G124)</f>
        <v/>
      </c>
      <c r="J125" s="331">
        <f>IF(OR(A125="",H125="",I125=""),"",ROUND(H125*I125,2))</f>
        <v/>
      </c>
      <c r="K125" s="333">
        <f>IF(OR(itens_Remanesc!A124="",NOT(ISNUMBER(parametros!$G$5))),"",ROUND(itens_Remanesc!C124*parametros!$G$5,2))</f>
        <v/>
      </c>
      <c r="L125" s="334">
        <f>IF(itens_Remanesc!A124="","",itens_Remanesc!I124)</f>
        <v/>
      </c>
      <c r="M125" s="333">
        <f>IF(OR(A125="",K125="",L125=""),"",ROUND(K125*L125,2))</f>
        <v/>
      </c>
      <c r="N125" s="331">
        <f>IF(OR(itens_Remanesc!A124="",NOT(ISNUMBER(parametros!$G$6))),"",ROUND(itens_Remanesc!C124*parametros!$G$6,2))</f>
        <v/>
      </c>
      <c r="O125" s="332">
        <f>IF(itens_Remanesc!A124="","",itens_Remanesc!K124)</f>
        <v/>
      </c>
      <c r="P125" s="331">
        <f>IF(OR(A125="",N125="",O125=""),"",ROUND(N125*O125,2))</f>
        <v/>
      </c>
    </row>
    <row r="126">
      <c r="A126" s="330">
        <f>IF(itens_Remanesc!A125="","",itens_Remanesc!A125)</f>
        <v/>
      </c>
      <c r="B126" s="331">
        <f>IF(OR(itens_Remanesc!A125="",NOT(ISNUMBER(parametros!$G$2))),"",ROUND(itens_Remanesc!C125*parametros!$G$2,2))</f>
        <v/>
      </c>
      <c r="C126" s="332">
        <f>IF(itens_Remanesc!A125="","",itens_Remanesc!B125)</f>
        <v/>
      </c>
      <c r="D126" s="331">
        <f>IF(A126="","",ROUND(B126*C126,2))</f>
        <v/>
      </c>
      <c r="E126" s="333">
        <f>IF(OR(itens_Remanesc!A125="",NOT(ISNUMBER(parametros!$G$3))),"",ROUND(itens_Remanesc!C125*parametros!$G$3,2))</f>
        <v/>
      </c>
      <c r="F126" s="334">
        <f>IF(itens_Remanesc!A125="","",itens_Remanesc!E125)</f>
        <v/>
      </c>
      <c r="G126" s="333">
        <f>IF(OR(A126="",E126="",F126=""),"",ROUND(E126*F126,2))</f>
        <v/>
      </c>
      <c r="H126" s="331">
        <f>IF(OR(itens_Remanesc!A125="",NOT(ISNUMBER(parametros!$G$4))),"",ROUND(itens_Remanesc!C125*parametros!$G$4,2))</f>
        <v/>
      </c>
      <c r="I126" s="332">
        <f>IF(itens_Remanesc!A125="","",itens_Remanesc!G125)</f>
        <v/>
      </c>
      <c r="J126" s="331">
        <f>IF(OR(A126="",H126="",I126=""),"",ROUND(H126*I126,2))</f>
        <v/>
      </c>
      <c r="K126" s="333">
        <f>IF(OR(itens_Remanesc!A125="",NOT(ISNUMBER(parametros!$G$5))),"",ROUND(itens_Remanesc!C125*parametros!$G$5,2))</f>
        <v/>
      </c>
      <c r="L126" s="334">
        <f>IF(itens_Remanesc!A125="","",itens_Remanesc!I125)</f>
        <v/>
      </c>
      <c r="M126" s="333">
        <f>IF(OR(A126="",K126="",L126=""),"",ROUND(K126*L126,2))</f>
        <v/>
      </c>
      <c r="N126" s="331">
        <f>IF(OR(itens_Remanesc!A125="",NOT(ISNUMBER(parametros!$G$6))),"",ROUND(itens_Remanesc!C125*parametros!$G$6,2))</f>
        <v/>
      </c>
      <c r="O126" s="332">
        <f>IF(itens_Remanesc!A125="","",itens_Remanesc!K125)</f>
        <v/>
      </c>
      <c r="P126" s="331">
        <f>IF(OR(A126="",N126="",O126=""),"",ROUND(N126*O126,2))</f>
        <v/>
      </c>
    </row>
    <row r="127">
      <c r="A127" s="330">
        <f>IF(itens_Remanesc!A126="","",itens_Remanesc!A126)</f>
        <v/>
      </c>
      <c r="B127" s="331">
        <f>IF(OR(itens_Remanesc!A126="",NOT(ISNUMBER(parametros!$G$2))),"",ROUND(itens_Remanesc!C126*parametros!$G$2,2))</f>
        <v/>
      </c>
      <c r="C127" s="332">
        <f>IF(itens_Remanesc!A126="","",itens_Remanesc!B126)</f>
        <v/>
      </c>
      <c r="D127" s="331">
        <f>IF(A127="","",ROUND(B127*C127,2))</f>
        <v/>
      </c>
      <c r="E127" s="333">
        <f>IF(OR(itens_Remanesc!A126="",NOT(ISNUMBER(parametros!$G$3))),"",ROUND(itens_Remanesc!C126*parametros!$G$3,2))</f>
        <v/>
      </c>
      <c r="F127" s="334">
        <f>IF(itens_Remanesc!A126="","",itens_Remanesc!E126)</f>
        <v/>
      </c>
      <c r="G127" s="333">
        <f>IF(OR(A127="",E127="",F127=""),"",ROUND(E127*F127,2))</f>
        <v/>
      </c>
      <c r="H127" s="331">
        <f>IF(OR(itens_Remanesc!A126="",NOT(ISNUMBER(parametros!$G$4))),"",ROUND(itens_Remanesc!C126*parametros!$G$4,2))</f>
        <v/>
      </c>
      <c r="I127" s="332">
        <f>IF(itens_Remanesc!A126="","",itens_Remanesc!G126)</f>
        <v/>
      </c>
      <c r="J127" s="331">
        <f>IF(OR(A127="",H127="",I127=""),"",ROUND(H127*I127,2))</f>
        <v/>
      </c>
      <c r="K127" s="333">
        <f>IF(OR(itens_Remanesc!A126="",NOT(ISNUMBER(parametros!$G$5))),"",ROUND(itens_Remanesc!C126*parametros!$G$5,2))</f>
        <v/>
      </c>
      <c r="L127" s="334">
        <f>IF(itens_Remanesc!A126="","",itens_Remanesc!I126)</f>
        <v/>
      </c>
      <c r="M127" s="333">
        <f>IF(OR(A127="",K127="",L127=""),"",ROUND(K127*L127,2))</f>
        <v/>
      </c>
      <c r="N127" s="331">
        <f>IF(OR(itens_Remanesc!A126="",NOT(ISNUMBER(parametros!$G$6))),"",ROUND(itens_Remanesc!C126*parametros!$G$6,2))</f>
        <v/>
      </c>
      <c r="O127" s="332">
        <f>IF(itens_Remanesc!A126="","",itens_Remanesc!K126)</f>
        <v/>
      </c>
      <c r="P127" s="331">
        <f>IF(OR(A127="",N127="",O127=""),"",ROUND(N127*O127,2))</f>
        <v/>
      </c>
    </row>
    <row r="128">
      <c r="A128" s="330">
        <f>IF(itens_Remanesc!A127="","",itens_Remanesc!A127)</f>
        <v/>
      </c>
      <c r="B128" s="331">
        <f>IF(OR(itens_Remanesc!A127="",NOT(ISNUMBER(parametros!$G$2))),"",ROUND(itens_Remanesc!C127*parametros!$G$2,2))</f>
        <v/>
      </c>
      <c r="C128" s="332">
        <f>IF(itens_Remanesc!A127="","",itens_Remanesc!B127)</f>
        <v/>
      </c>
      <c r="D128" s="331">
        <f>IF(A128="","",ROUND(B128*C128,2))</f>
        <v/>
      </c>
      <c r="E128" s="333">
        <f>IF(OR(itens_Remanesc!A127="",NOT(ISNUMBER(parametros!$G$3))),"",ROUND(itens_Remanesc!C127*parametros!$G$3,2))</f>
        <v/>
      </c>
      <c r="F128" s="334">
        <f>IF(itens_Remanesc!A127="","",itens_Remanesc!E127)</f>
        <v/>
      </c>
      <c r="G128" s="333">
        <f>IF(OR(A128="",E128="",F128=""),"",ROUND(E128*F128,2))</f>
        <v/>
      </c>
      <c r="H128" s="331">
        <f>IF(OR(itens_Remanesc!A127="",NOT(ISNUMBER(parametros!$G$4))),"",ROUND(itens_Remanesc!C127*parametros!$G$4,2))</f>
        <v/>
      </c>
      <c r="I128" s="332">
        <f>IF(itens_Remanesc!A127="","",itens_Remanesc!G127)</f>
        <v/>
      </c>
      <c r="J128" s="331">
        <f>IF(OR(A128="",H128="",I128=""),"",ROUND(H128*I128,2))</f>
        <v/>
      </c>
      <c r="K128" s="333">
        <f>IF(OR(itens_Remanesc!A127="",NOT(ISNUMBER(parametros!$G$5))),"",ROUND(itens_Remanesc!C127*parametros!$G$5,2))</f>
        <v/>
      </c>
      <c r="L128" s="334">
        <f>IF(itens_Remanesc!A127="","",itens_Remanesc!I127)</f>
        <v/>
      </c>
      <c r="M128" s="333">
        <f>IF(OR(A128="",K128="",L128=""),"",ROUND(K128*L128,2))</f>
        <v/>
      </c>
      <c r="N128" s="331">
        <f>IF(OR(itens_Remanesc!A127="",NOT(ISNUMBER(parametros!$G$6))),"",ROUND(itens_Remanesc!C127*parametros!$G$6,2))</f>
        <v/>
      </c>
      <c r="O128" s="332">
        <f>IF(itens_Remanesc!A127="","",itens_Remanesc!K127)</f>
        <v/>
      </c>
      <c r="P128" s="331">
        <f>IF(OR(A128="",N128="",O128=""),"",ROUND(N128*O128,2))</f>
        <v/>
      </c>
    </row>
    <row r="129">
      <c r="A129" s="330">
        <f>IF(itens_Remanesc!A128="","",itens_Remanesc!A128)</f>
        <v/>
      </c>
      <c r="B129" s="331">
        <f>IF(OR(itens_Remanesc!A128="",NOT(ISNUMBER(parametros!$G$2))),"",ROUND(itens_Remanesc!C128*parametros!$G$2,2))</f>
        <v/>
      </c>
      <c r="C129" s="332">
        <f>IF(itens_Remanesc!A128="","",itens_Remanesc!B128)</f>
        <v/>
      </c>
      <c r="D129" s="331">
        <f>IF(A129="","",ROUND(B129*C129,2))</f>
        <v/>
      </c>
      <c r="E129" s="333">
        <f>IF(OR(itens_Remanesc!A128="",NOT(ISNUMBER(parametros!$G$3))),"",ROUND(itens_Remanesc!C128*parametros!$G$3,2))</f>
        <v/>
      </c>
      <c r="F129" s="334">
        <f>IF(itens_Remanesc!A128="","",itens_Remanesc!E128)</f>
        <v/>
      </c>
      <c r="G129" s="333">
        <f>IF(OR(A129="",E129="",F129=""),"",ROUND(E129*F129,2))</f>
        <v/>
      </c>
      <c r="H129" s="331">
        <f>IF(OR(itens_Remanesc!A128="",NOT(ISNUMBER(parametros!$G$4))),"",ROUND(itens_Remanesc!C128*parametros!$G$4,2))</f>
        <v/>
      </c>
      <c r="I129" s="332">
        <f>IF(itens_Remanesc!A128="","",itens_Remanesc!G128)</f>
        <v/>
      </c>
      <c r="J129" s="331">
        <f>IF(OR(A129="",H129="",I129=""),"",ROUND(H129*I129,2))</f>
        <v/>
      </c>
      <c r="K129" s="333">
        <f>IF(OR(itens_Remanesc!A128="",NOT(ISNUMBER(parametros!$G$5))),"",ROUND(itens_Remanesc!C128*parametros!$G$5,2))</f>
        <v/>
      </c>
      <c r="L129" s="334">
        <f>IF(itens_Remanesc!A128="","",itens_Remanesc!I128)</f>
        <v/>
      </c>
      <c r="M129" s="333">
        <f>IF(OR(A129="",K129="",L129=""),"",ROUND(K129*L129,2))</f>
        <v/>
      </c>
      <c r="N129" s="331">
        <f>IF(OR(itens_Remanesc!A128="",NOT(ISNUMBER(parametros!$G$6))),"",ROUND(itens_Remanesc!C128*parametros!$G$6,2))</f>
        <v/>
      </c>
      <c r="O129" s="332">
        <f>IF(itens_Remanesc!A128="","",itens_Remanesc!K128)</f>
        <v/>
      </c>
      <c r="P129" s="331">
        <f>IF(OR(A129="",N129="",O129=""),"",ROUND(N129*O129,2))</f>
        <v/>
      </c>
    </row>
    <row r="130">
      <c r="A130" s="330">
        <f>IF(itens_Remanesc!A129="","",itens_Remanesc!A129)</f>
        <v/>
      </c>
      <c r="B130" s="331">
        <f>IF(OR(itens_Remanesc!A129="",NOT(ISNUMBER(parametros!$G$2))),"",ROUND(itens_Remanesc!C129*parametros!$G$2,2))</f>
        <v/>
      </c>
      <c r="C130" s="332">
        <f>IF(itens_Remanesc!A129="","",itens_Remanesc!B129)</f>
        <v/>
      </c>
      <c r="D130" s="331">
        <f>IF(A130="","",ROUND(B130*C130,2))</f>
        <v/>
      </c>
      <c r="E130" s="333">
        <f>IF(OR(itens_Remanesc!A129="",NOT(ISNUMBER(parametros!$G$3))),"",ROUND(itens_Remanesc!C129*parametros!$G$3,2))</f>
        <v/>
      </c>
      <c r="F130" s="334">
        <f>IF(itens_Remanesc!A129="","",itens_Remanesc!E129)</f>
        <v/>
      </c>
      <c r="G130" s="333">
        <f>IF(OR(A130="",E130="",F130=""),"",ROUND(E130*F130,2))</f>
        <v/>
      </c>
      <c r="H130" s="331">
        <f>IF(OR(itens_Remanesc!A129="",NOT(ISNUMBER(parametros!$G$4))),"",ROUND(itens_Remanesc!C129*parametros!$G$4,2))</f>
        <v/>
      </c>
      <c r="I130" s="332">
        <f>IF(itens_Remanesc!A129="","",itens_Remanesc!G129)</f>
        <v/>
      </c>
      <c r="J130" s="331">
        <f>IF(OR(A130="",H130="",I130=""),"",ROUND(H130*I130,2))</f>
        <v/>
      </c>
      <c r="K130" s="333">
        <f>IF(OR(itens_Remanesc!A129="",NOT(ISNUMBER(parametros!$G$5))),"",ROUND(itens_Remanesc!C129*parametros!$G$5,2))</f>
        <v/>
      </c>
      <c r="L130" s="334">
        <f>IF(itens_Remanesc!A129="","",itens_Remanesc!I129)</f>
        <v/>
      </c>
      <c r="M130" s="333">
        <f>IF(OR(A130="",K130="",L130=""),"",ROUND(K130*L130,2))</f>
        <v/>
      </c>
      <c r="N130" s="331">
        <f>IF(OR(itens_Remanesc!A129="",NOT(ISNUMBER(parametros!$G$6))),"",ROUND(itens_Remanesc!C129*parametros!$G$6,2))</f>
        <v/>
      </c>
      <c r="O130" s="332">
        <f>IF(itens_Remanesc!A129="","",itens_Remanesc!K129)</f>
        <v/>
      </c>
      <c r="P130" s="331">
        <f>IF(OR(A130="",N130="",O130=""),"",ROUND(N130*O130,2))</f>
        <v/>
      </c>
    </row>
    <row r="131">
      <c r="A131" s="330">
        <f>IF(itens_Remanesc!A130="","",itens_Remanesc!A130)</f>
        <v/>
      </c>
      <c r="B131" s="331">
        <f>IF(OR(itens_Remanesc!A130="",NOT(ISNUMBER(parametros!$G$2))),"",ROUND(itens_Remanesc!C130*parametros!$G$2,2))</f>
        <v/>
      </c>
      <c r="C131" s="332">
        <f>IF(itens_Remanesc!A130="","",itens_Remanesc!B130)</f>
        <v/>
      </c>
      <c r="D131" s="331">
        <f>IF(A131="","",ROUND(B131*C131,2))</f>
        <v/>
      </c>
      <c r="E131" s="333">
        <f>IF(OR(itens_Remanesc!A130="",NOT(ISNUMBER(parametros!$G$3))),"",ROUND(itens_Remanesc!C130*parametros!$G$3,2))</f>
        <v/>
      </c>
      <c r="F131" s="334">
        <f>IF(itens_Remanesc!A130="","",itens_Remanesc!E130)</f>
        <v/>
      </c>
      <c r="G131" s="333">
        <f>IF(OR(A131="",E131="",F131=""),"",ROUND(E131*F131,2))</f>
        <v/>
      </c>
      <c r="H131" s="331">
        <f>IF(OR(itens_Remanesc!A130="",NOT(ISNUMBER(parametros!$G$4))),"",ROUND(itens_Remanesc!C130*parametros!$G$4,2))</f>
        <v/>
      </c>
      <c r="I131" s="332">
        <f>IF(itens_Remanesc!A130="","",itens_Remanesc!G130)</f>
        <v/>
      </c>
      <c r="J131" s="331">
        <f>IF(OR(A131="",H131="",I131=""),"",ROUND(H131*I131,2))</f>
        <v/>
      </c>
      <c r="K131" s="333">
        <f>IF(OR(itens_Remanesc!A130="",NOT(ISNUMBER(parametros!$G$5))),"",ROUND(itens_Remanesc!C130*parametros!$G$5,2))</f>
        <v/>
      </c>
      <c r="L131" s="334">
        <f>IF(itens_Remanesc!A130="","",itens_Remanesc!I130)</f>
        <v/>
      </c>
      <c r="M131" s="333">
        <f>IF(OR(A131="",K131="",L131=""),"",ROUND(K131*L131,2))</f>
        <v/>
      </c>
      <c r="N131" s="331">
        <f>IF(OR(itens_Remanesc!A130="",NOT(ISNUMBER(parametros!$G$6))),"",ROUND(itens_Remanesc!C130*parametros!$G$6,2))</f>
        <v/>
      </c>
      <c r="O131" s="332">
        <f>IF(itens_Remanesc!A130="","",itens_Remanesc!K130)</f>
        <v/>
      </c>
      <c r="P131" s="331">
        <f>IF(OR(A131="",N131="",O131=""),"",ROUND(N131*O131,2))</f>
        <v/>
      </c>
    </row>
    <row r="132">
      <c r="A132" s="330">
        <f>IF(itens_Remanesc!A131="","",itens_Remanesc!A131)</f>
        <v/>
      </c>
      <c r="B132" s="331">
        <f>IF(OR(itens_Remanesc!A131="",NOT(ISNUMBER(parametros!$G$2))),"",ROUND(itens_Remanesc!C131*parametros!$G$2,2))</f>
        <v/>
      </c>
      <c r="C132" s="332">
        <f>IF(itens_Remanesc!A131="","",itens_Remanesc!B131)</f>
        <v/>
      </c>
      <c r="D132" s="331">
        <f>IF(A132="","",ROUND(B132*C132,2))</f>
        <v/>
      </c>
      <c r="E132" s="333">
        <f>IF(OR(itens_Remanesc!A131="",NOT(ISNUMBER(parametros!$G$3))),"",ROUND(itens_Remanesc!C131*parametros!$G$3,2))</f>
        <v/>
      </c>
      <c r="F132" s="334">
        <f>IF(itens_Remanesc!A131="","",itens_Remanesc!E131)</f>
        <v/>
      </c>
      <c r="G132" s="333">
        <f>IF(OR(A132="",E132="",F132=""),"",ROUND(E132*F132,2))</f>
        <v/>
      </c>
      <c r="H132" s="331">
        <f>IF(OR(itens_Remanesc!A131="",NOT(ISNUMBER(parametros!$G$4))),"",ROUND(itens_Remanesc!C131*parametros!$G$4,2))</f>
        <v/>
      </c>
      <c r="I132" s="332">
        <f>IF(itens_Remanesc!A131="","",itens_Remanesc!G131)</f>
        <v/>
      </c>
      <c r="J132" s="331">
        <f>IF(OR(A132="",H132="",I132=""),"",ROUND(H132*I132,2))</f>
        <v/>
      </c>
      <c r="K132" s="333">
        <f>IF(OR(itens_Remanesc!A131="",NOT(ISNUMBER(parametros!$G$5))),"",ROUND(itens_Remanesc!C131*parametros!$G$5,2))</f>
        <v/>
      </c>
      <c r="L132" s="334">
        <f>IF(itens_Remanesc!A131="","",itens_Remanesc!I131)</f>
        <v/>
      </c>
      <c r="M132" s="333">
        <f>IF(OR(A132="",K132="",L132=""),"",ROUND(K132*L132,2))</f>
        <v/>
      </c>
      <c r="N132" s="331">
        <f>IF(OR(itens_Remanesc!A131="",NOT(ISNUMBER(parametros!$G$6))),"",ROUND(itens_Remanesc!C131*parametros!$G$6,2))</f>
        <v/>
      </c>
      <c r="O132" s="332">
        <f>IF(itens_Remanesc!A131="","",itens_Remanesc!K131)</f>
        <v/>
      </c>
      <c r="P132" s="331">
        <f>IF(OR(A132="",N132="",O132=""),"",ROUND(N132*O132,2))</f>
        <v/>
      </c>
    </row>
    <row r="133">
      <c r="A133" s="330">
        <f>IF(itens_Remanesc!A132="","",itens_Remanesc!A132)</f>
        <v/>
      </c>
      <c r="B133" s="331">
        <f>IF(OR(itens_Remanesc!A132="",NOT(ISNUMBER(parametros!$G$2))),"",ROUND(itens_Remanesc!C132*parametros!$G$2,2))</f>
        <v/>
      </c>
      <c r="C133" s="332">
        <f>IF(itens_Remanesc!A132="","",itens_Remanesc!B132)</f>
        <v/>
      </c>
      <c r="D133" s="331">
        <f>IF(A133="","",ROUND(B133*C133,2))</f>
        <v/>
      </c>
      <c r="E133" s="333">
        <f>IF(OR(itens_Remanesc!A132="",NOT(ISNUMBER(parametros!$G$3))),"",ROUND(itens_Remanesc!C132*parametros!$G$3,2))</f>
        <v/>
      </c>
      <c r="F133" s="334">
        <f>IF(itens_Remanesc!A132="","",itens_Remanesc!E132)</f>
        <v/>
      </c>
      <c r="G133" s="333">
        <f>IF(OR(A133="",E133="",F133=""),"",ROUND(E133*F133,2))</f>
        <v/>
      </c>
      <c r="H133" s="331">
        <f>IF(OR(itens_Remanesc!A132="",NOT(ISNUMBER(parametros!$G$4))),"",ROUND(itens_Remanesc!C132*parametros!$G$4,2))</f>
        <v/>
      </c>
      <c r="I133" s="332">
        <f>IF(itens_Remanesc!A132="","",itens_Remanesc!G132)</f>
        <v/>
      </c>
      <c r="J133" s="331">
        <f>IF(OR(A133="",H133="",I133=""),"",ROUND(H133*I133,2))</f>
        <v/>
      </c>
      <c r="K133" s="333">
        <f>IF(OR(itens_Remanesc!A132="",NOT(ISNUMBER(parametros!$G$5))),"",ROUND(itens_Remanesc!C132*parametros!$G$5,2))</f>
        <v/>
      </c>
      <c r="L133" s="334">
        <f>IF(itens_Remanesc!A132="","",itens_Remanesc!I132)</f>
        <v/>
      </c>
      <c r="M133" s="333">
        <f>IF(OR(A133="",K133="",L133=""),"",ROUND(K133*L133,2))</f>
        <v/>
      </c>
      <c r="N133" s="331">
        <f>IF(OR(itens_Remanesc!A132="",NOT(ISNUMBER(parametros!$G$6))),"",ROUND(itens_Remanesc!C132*parametros!$G$6,2))</f>
        <v/>
      </c>
      <c r="O133" s="332">
        <f>IF(itens_Remanesc!A132="","",itens_Remanesc!K132)</f>
        <v/>
      </c>
      <c r="P133" s="331">
        <f>IF(OR(A133="",N133="",O133=""),"",ROUND(N133*O133,2))</f>
        <v/>
      </c>
    </row>
    <row r="134">
      <c r="A134" s="330">
        <f>IF(itens_Remanesc!A133="","",itens_Remanesc!A133)</f>
        <v/>
      </c>
      <c r="B134" s="331">
        <f>IF(OR(itens_Remanesc!A133="",NOT(ISNUMBER(parametros!$G$2))),"",ROUND(itens_Remanesc!C133*parametros!$G$2,2))</f>
        <v/>
      </c>
      <c r="C134" s="332">
        <f>IF(itens_Remanesc!A133="","",itens_Remanesc!B133)</f>
        <v/>
      </c>
      <c r="D134" s="331">
        <f>IF(A134="","",ROUND(B134*C134,2))</f>
        <v/>
      </c>
      <c r="E134" s="333">
        <f>IF(OR(itens_Remanesc!A133="",NOT(ISNUMBER(parametros!$G$3))),"",ROUND(itens_Remanesc!C133*parametros!$G$3,2))</f>
        <v/>
      </c>
      <c r="F134" s="334">
        <f>IF(itens_Remanesc!A133="","",itens_Remanesc!E133)</f>
        <v/>
      </c>
      <c r="G134" s="333">
        <f>IF(OR(A134="",E134="",F134=""),"",ROUND(E134*F134,2))</f>
        <v/>
      </c>
      <c r="H134" s="331">
        <f>IF(OR(itens_Remanesc!A133="",NOT(ISNUMBER(parametros!$G$4))),"",ROUND(itens_Remanesc!C133*parametros!$G$4,2))</f>
        <v/>
      </c>
      <c r="I134" s="332">
        <f>IF(itens_Remanesc!A133="","",itens_Remanesc!G133)</f>
        <v/>
      </c>
      <c r="J134" s="331">
        <f>IF(OR(A134="",H134="",I134=""),"",ROUND(H134*I134,2))</f>
        <v/>
      </c>
      <c r="K134" s="333">
        <f>IF(OR(itens_Remanesc!A133="",NOT(ISNUMBER(parametros!$G$5))),"",ROUND(itens_Remanesc!C133*parametros!$G$5,2))</f>
        <v/>
      </c>
      <c r="L134" s="334">
        <f>IF(itens_Remanesc!A133="","",itens_Remanesc!I133)</f>
        <v/>
      </c>
      <c r="M134" s="333">
        <f>IF(OR(A134="",K134="",L134=""),"",ROUND(K134*L134,2))</f>
        <v/>
      </c>
      <c r="N134" s="331">
        <f>IF(OR(itens_Remanesc!A133="",NOT(ISNUMBER(parametros!$G$6))),"",ROUND(itens_Remanesc!C133*parametros!$G$6,2))</f>
        <v/>
      </c>
      <c r="O134" s="332">
        <f>IF(itens_Remanesc!A133="","",itens_Remanesc!K133)</f>
        <v/>
      </c>
      <c r="P134" s="331">
        <f>IF(OR(A134="",N134="",O134=""),"",ROUND(N134*O134,2))</f>
        <v/>
      </c>
    </row>
    <row r="135">
      <c r="A135" s="330">
        <f>IF(itens_Remanesc!A134="","",itens_Remanesc!A134)</f>
        <v/>
      </c>
      <c r="B135" s="331">
        <f>IF(OR(itens_Remanesc!A134="",NOT(ISNUMBER(parametros!$G$2))),"",ROUND(itens_Remanesc!C134*parametros!$G$2,2))</f>
        <v/>
      </c>
      <c r="C135" s="332">
        <f>IF(itens_Remanesc!A134="","",itens_Remanesc!B134)</f>
        <v/>
      </c>
      <c r="D135" s="331">
        <f>IF(A135="","",ROUND(B135*C135,2))</f>
        <v/>
      </c>
      <c r="E135" s="333">
        <f>IF(OR(itens_Remanesc!A134="",NOT(ISNUMBER(parametros!$G$3))),"",ROUND(itens_Remanesc!C134*parametros!$G$3,2))</f>
        <v/>
      </c>
      <c r="F135" s="334">
        <f>IF(itens_Remanesc!A134="","",itens_Remanesc!E134)</f>
        <v/>
      </c>
      <c r="G135" s="333">
        <f>IF(OR(A135="",E135="",F135=""),"",ROUND(E135*F135,2))</f>
        <v/>
      </c>
      <c r="H135" s="331">
        <f>IF(OR(itens_Remanesc!A134="",NOT(ISNUMBER(parametros!$G$4))),"",ROUND(itens_Remanesc!C134*parametros!$G$4,2))</f>
        <v/>
      </c>
      <c r="I135" s="332">
        <f>IF(itens_Remanesc!A134="","",itens_Remanesc!G134)</f>
        <v/>
      </c>
      <c r="J135" s="331">
        <f>IF(OR(A135="",H135="",I135=""),"",ROUND(H135*I135,2))</f>
        <v/>
      </c>
      <c r="K135" s="333">
        <f>IF(OR(itens_Remanesc!A134="",NOT(ISNUMBER(parametros!$G$5))),"",ROUND(itens_Remanesc!C134*parametros!$G$5,2))</f>
        <v/>
      </c>
      <c r="L135" s="334">
        <f>IF(itens_Remanesc!A134="","",itens_Remanesc!I134)</f>
        <v/>
      </c>
      <c r="M135" s="333">
        <f>IF(OR(A135="",K135="",L135=""),"",ROUND(K135*L135,2))</f>
        <v/>
      </c>
      <c r="N135" s="331">
        <f>IF(OR(itens_Remanesc!A134="",NOT(ISNUMBER(parametros!$G$6))),"",ROUND(itens_Remanesc!C134*parametros!$G$6,2))</f>
        <v/>
      </c>
      <c r="O135" s="332">
        <f>IF(itens_Remanesc!A134="","",itens_Remanesc!K134)</f>
        <v/>
      </c>
      <c r="P135" s="331">
        <f>IF(OR(A135="",N135="",O135=""),"",ROUND(N135*O135,2))</f>
        <v/>
      </c>
    </row>
    <row r="136">
      <c r="A136" s="330">
        <f>IF(itens_Remanesc!A135="","",itens_Remanesc!A135)</f>
        <v/>
      </c>
      <c r="B136" s="331">
        <f>IF(OR(itens_Remanesc!A135="",NOT(ISNUMBER(parametros!$G$2))),"",ROUND(itens_Remanesc!C135*parametros!$G$2,2))</f>
        <v/>
      </c>
      <c r="C136" s="332">
        <f>IF(itens_Remanesc!A135="","",itens_Remanesc!B135)</f>
        <v/>
      </c>
      <c r="D136" s="331">
        <f>IF(A136="","",ROUND(B136*C136,2))</f>
        <v/>
      </c>
      <c r="E136" s="333">
        <f>IF(OR(itens_Remanesc!A135="",NOT(ISNUMBER(parametros!$G$3))),"",ROUND(itens_Remanesc!C135*parametros!$G$3,2))</f>
        <v/>
      </c>
      <c r="F136" s="334">
        <f>IF(itens_Remanesc!A135="","",itens_Remanesc!E135)</f>
        <v/>
      </c>
      <c r="G136" s="333">
        <f>IF(OR(A136="",E136="",F136=""),"",ROUND(E136*F136,2))</f>
        <v/>
      </c>
      <c r="H136" s="331">
        <f>IF(OR(itens_Remanesc!A135="",NOT(ISNUMBER(parametros!$G$4))),"",ROUND(itens_Remanesc!C135*parametros!$G$4,2))</f>
        <v/>
      </c>
      <c r="I136" s="332">
        <f>IF(itens_Remanesc!A135="","",itens_Remanesc!G135)</f>
        <v/>
      </c>
      <c r="J136" s="331">
        <f>IF(OR(A136="",H136="",I136=""),"",ROUND(H136*I136,2))</f>
        <v/>
      </c>
      <c r="K136" s="333">
        <f>IF(OR(itens_Remanesc!A135="",NOT(ISNUMBER(parametros!$G$5))),"",ROUND(itens_Remanesc!C135*parametros!$G$5,2))</f>
        <v/>
      </c>
      <c r="L136" s="334">
        <f>IF(itens_Remanesc!A135="","",itens_Remanesc!I135)</f>
        <v/>
      </c>
      <c r="M136" s="333">
        <f>IF(OR(A136="",K136="",L136=""),"",ROUND(K136*L136,2))</f>
        <v/>
      </c>
      <c r="N136" s="331">
        <f>IF(OR(itens_Remanesc!A135="",NOT(ISNUMBER(parametros!$G$6))),"",ROUND(itens_Remanesc!C135*parametros!$G$6,2))</f>
        <v/>
      </c>
      <c r="O136" s="332">
        <f>IF(itens_Remanesc!A135="","",itens_Remanesc!K135)</f>
        <v/>
      </c>
      <c r="P136" s="331">
        <f>IF(OR(A136="",N136="",O136=""),"",ROUND(N136*O136,2))</f>
        <v/>
      </c>
    </row>
    <row r="137">
      <c r="A137" s="330">
        <f>IF(itens_Remanesc!A136="","",itens_Remanesc!A136)</f>
        <v/>
      </c>
      <c r="B137" s="331">
        <f>IF(OR(itens_Remanesc!A136="",NOT(ISNUMBER(parametros!$G$2))),"",ROUND(itens_Remanesc!C136*parametros!$G$2,2))</f>
        <v/>
      </c>
      <c r="C137" s="332">
        <f>IF(itens_Remanesc!A136="","",itens_Remanesc!B136)</f>
        <v/>
      </c>
      <c r="D137" s="331">
        <f>IF(A137="","",ROUND(B137*C137,2))</f>
        <v/>
      </c>
      <c r="E137" s="333">
        <f>IF(OR(itens_Remanesc!A136="",NOT(ISNUMBER(parametros!$G$3))),"",ROUND(itens_Remanesc!C136*parametros!$G$3,2))</f>
        <v/>
      </c>
      <c r="F137" s="334">
        <f>IF(itens_Remanesc!A136="","",itens_Remanesc!E136)</f>
        <v/>
      </c>
      <c r="G137" s="333">
        <f>IF(OR(A137="",E137="",F137=""),"",ROUND(E137*F137,2))</f>
        <v/>
      </c>
      <c r="H137" s="331">
        <f>IF(OR(itens_Remanesc!A136="",NOT(ISNUMBER(parametros!$G$4))),"",ROUND(itens_Remanesc!C136*parametros!$G$4,2))</f>
        <v/>
      </c>
      <c r="I137" s="332">
        <f>IF(itens_Remanesc!A136="","",itens_Remanesc!G136)</f>
        <v/>
      </c>
      <c r="J137" s="331">
        <f>IF(OR(A137="",H137="",I137=""),"",ROUND(H137*I137,2))</f>
        <v/>
      </c>
      <c r="K137" s="333">
        <f>IF(OR(itens_Remanesc!A136="",NOT(ISNUMBER(parametros!$G$5))),"",ROUND(itens_Remanesc!C136*parametros!$G$5,2))</f>
        <v/>
      </c>
      <c r="L137" s="334">
        <f>IF(itens_Remanesc!A136="","",itens_Remanesc!I136)</f>
        <v/>
      </c>
      <c r="M137" s="333">
        <f>IF(OR(A137="",K137="",L137=""),"",ROUND(K137*L137,2))</f>
        <v/>
      </c>
      <c r="N137" s="331">
        <f>IF(OR(itens_Remanesc!A136="",NOT(ISNUMBER(parametros!$G$6))),"",ROUND(itens_Remanesc!C136*parametros!$G$6,2))</f>
        <v/>
      </c>
      <c r="O137" s="332">
        <f>IF(itens_Remanesc!A136="","",itens_Remanesc!K136)</f>
        <v/>
      </c>
      <c r="P137" s="331">
        <f>IF(OR(A137="",N137="",O137=""),"",ROUND(N137*O137,2))</f>
        <v/>
      </c>
    </row>
    <row r="138">
      <c r="A138" s="330">
        <f>IF(itens_Remanesc!A137="","",itens_Remanesc!A137)</f>
        <v/>
      </c>
      <c r="B138" s="331">
        <f>IF(OR(itens_Remanesc!A137="",NOT(ISNUMBER(parametros!$G$2))),"",ROUND(itens_Remanesc!C137*parametros!$G$2,2))</f>
        <v/>
      </c>
      <c r="C138" s="332">
        <f>IF(itens_Remanesc!A137="","",itens_Remanesc!B137)</f>
        <v/>
      </c>
      <c r="D138" s="331">
        <f>IF(A138="","",ROUND(B138*C138,2))</f>
        <v/>
      </c>
      <c r="E138" s="333">
        <f>IF(OR(itens_Remanesc!A137="",NOT(ISNUMBER(parametros!$G$3))),"",ROUND(itens_Remanesc!C137*parametros!$G$3,2))</f>
        <v/>
      </c>
      <c r="F138" s="334">
        <f>IF(itens_Remanesc!A137="","",itens_Remanesc!E137)</f>
        <v/>
      </c>
      <c r="G138" s="333">
        <f>IF(OR(A138="",E138="",F138=""),"",ROUND(E138*F138,2))</f>
        <v/>
      </c>
      <c r="H138" s="331">
        <f>IF(OR(itens_Remanesc!A137="",NOT(ISNUMBER(parametros!$G$4))),"",ROUND(itens_Remanesc!C137*parametros!$G$4,2))</f>
        <v/>
      </c>
      <c r="I138" s="332">
        <f>IF(itens_Remanesc!A137="","",itens_Remanesc!G137)</f>
        <v/>
      </c>
      <c r="J138" s="331">
        <f>IF(OR(A138="",H138="",I138=""),"",ROUND(H138*I138,2))</f>
        <v/>
      </c>
      <c r="K138" s="333">
        <f>IF(OR(itens_Remanesc!A137="",NOT(ISNUMBER(parametros!$G$5))),"",ROUND(itens_Remanesc!C137*parametros!$G$5,2))</f>
        <v/>
      </c>
      <c r="L138" s="334">
        <f>IF(itens_Remanesc!A137="","",itens_Remanesc!I137)</f>
        <v/>
      </c>
      <c r="M138" s="333">
        <f>IF(OR(A138="",K138="",L138=""),"",ROUND(K138*L138,2))</f>
        <v/>
      </c>
      <c r="N138" s="331">
        <f>IF(OR(itens_Remanesc!A137="",NOT(ISNUMBER(parametros!$G$6))),"",ROUND(itens_Remanesc!C137*parametros!$G$6,2))</f>
        <v/>
      </c>
      <c r="O138" s="332">
        <f>IF(itens_Remanesc!A137="","",itens_Remanesc!K137)</f>
        <v/>
      </c>
      <c r="P138" s="331">
        <f>IF(OR(A138="",N138="",O138=""),"",ROUND(N138*O138,2))</f>
        <v/>
      </c>
    </row>
    <row r="139">
      <c r="A139" s="330">
        <f>IF(itens_Remanesc!A138="","",itens_Remanesc!A138)</f>
        <v/>
      </c>
      <c r="B139" s="331">
        <f>IF(OR(itens_Remanesc!A138="",NOT(ISNUMBER(parametros!$G$2))),"",ROUND(itens_Remanesc!C138*parametros!$G$2,2))</f>
        <v/>
      </c>
      <c r="C139" s="332">
        <f>IF(itens_Remanesc!A138="","",itens_Remanesc!B138)</f>
        <v/>
      </c>
      <c r="D139" s="331">
        <f>IF(A139="","",ROUND(B139*C139,2))</f>
        <v/>
      </c>
      <c r="E139" s="333">
        <f>IF(OR(itens_Remanesc!A138="",NOT(ISNUMBER(parametros!$G$3))),"",ROUND(itens_Remanesc!C138*parametros!$G$3,2))</f>
        <v/>
      </c>
      <c r="F139" s="334">
        <f>IF(itens_Remanesc!A138="","",itens_Remanesc!E138)</f>
        <v/>
      </c>
      <c r="G139" s="333">
        <f>IF(OR(A139="",E139="",F139=""),"",ROUND(E139*F139,2))</f>
        <v/>
      </c>
      <c r="H139" s="331">
        <f>IF(OR(itens_Remanesc!A138="",NOT(ISNUMBER(parametros!$G$4))),"",ROUND(itens_Remanesc!C138*parametros!$G$4,2))</f>
        <v/>
      </c>
      <c r="I139" s="332">
        <f>IF(itens_Remanesc!A138="","",itens_Remanesc!G138)</f>
        <v/>
      </c>
      <c r="J139" s="331">
        <f>IF(OR(A139="",H139="",I139=""),"",ROUND(H139*I139,2))</f>
        <v/>
      </c>
      <c r="K139" s="333">
        <f>IF(OR(itens_Remanesc!A138="",NOT(ISNUMBER(parametros!$G$5))),"",ROUND(itens_Remanesc!C138*parametros!$G$5,2))</f>
        <v/>
      </c>
      <c r="L139" s="334">
        <f>IF(itens_Remanesc!A138="","",itens_Remanesc!I138)</f>
        <v/>
      </c>
      <c r="M139" s="333">
        <f>IF(OR(A139="",K139="",L139=""),"",ROUND(K139*L139,2))</f>
        <v/>
      </c>
      <c r="N139" s="331">
        <f>IF(OR(itens_Remanesc!A138="",NOT(ISNUMBER(parametros!$G$6))),"",ROUND(itens_Remanesc!C138*parametros!$G$6,2))</f>
        <v/>
      </c>
      <c r="O139" s="332">
        <f>IF(itens_Remanesc!A138="","",itens_Remanesc!K138)</f>
        <v/>
      </c>
      <c r="P139" s="331">
        <f>IF(OR(A139="",N139="",O139=""),"",ROUND(N139*O139,2))</f>
        <v/>
      </c>
    </row>
    <row r="140">
      <c r="A140" s="330">
        <f>IF(itens_Remanesc!A139="","",itens_Remanesc!A139)</f>
        <v/>
      </c>
      <c r="B140" s="331">
        <f>IF(OR(itens_Remanesc!A139="",NOT(ISNUMBER(parametros!$G$2))),"",ROUND(itens_Remanesc!C139*parametros!$G$2,2))</f>
        <v/>
      </c>
      <c r="C140" s="332">
        <f>IF(itens_Remanesc!A139="","",itens_Remanesc!B139)</f>
        <v/>
      </c>
      <c r="D140" s="331">
        <f>IF(A140="","",ROUND(B140*C140,2))</f>
        <v/>
      </c>
      <c r="E140" s="333">
        <f>IF(OR(itens_Remanesc!A139="",NOT(ISNUMBER(parametros!$G$3))),"",ROUND(itens_Remanesc!C139*parametros!$G$3,2))</f>
        <v/>
      </c>
      <c r="F140" s="334">
        <f>IF(itens_Remanesc!A139="","",itens_Remanesc!E139)</f>
        <v/>
      </c>
      <c r="G140" s="333">
        <f>IF(OR(A140="",E140="",F140=""),"",ROUND(E140*F140,2))</f>
        <v/>
      </c>
      <c r="H140" s="331">
        <f>IF(OR(itens_Remanesc!A139="",NOT(ISNUMBER(parametros!$G$4))),"",ROUND(itens_Remanesc!C139*parametros!$G$4,2))</f>
        <v/>
      </c>
      <c r="I140" s="332">
        <f>IF(itens_Remanesc!A139="","",itens_Remanesc!G139)</f>
        <v/>
      </c>
      <c r="J140" s="331">
        <f>IF(OR(A140="",H140="",I140=""),"",ROUND(H140*I140,2))</f>
        <v/>
      </c>
      <c r="K140" s="333">
        <f>IF(OR(itens_Remanesc!A139="",NOT(ISNUMBER(parametros!$G$5))),"",ROUND(itens_Remanesc!C139*parametros!$G$5,2))</f>
        <v/>
      </c>
      <c r="L140" s="334">
        <f>IF(itens_Remanesc!A139="","",itens_Remanesc!I139)</f>
        <v/>
      </c>
      <c r="M140" s="333">
        <f>IF(OR(A140="",K140="",L140=""),"",ROUND(K140*L140,2))</f>
        <v/>
      </c>
      <c r="N140" s="331">
        <f>IF(OR(itens_Remanesc!A139="",NOT(ISNUMBER(parametros!$G$6))),"",ROUND(itens_Remanesc!C139*parametros!$G$6,2))</f>
        <v/>
      </c>
      <c r="O140" s="332">
        <f>IF(itens_Remanesc!A139="","",itens_Remanesc!K139)</f>
        <v/>
      </c>
      <c r="P140" s="331">
        <f>IF(OR(A140="",N140="",O140=""),"",ROUND(N140*O140,2))</f>
        <v/>
      </c>
    </row>
    <row r="141">
      <c r="A141" s="330">
        <f>IF(itens_Remanesc!A140="","",itens_Remanesc!A140)</f>
        <v/>
      </c>
      <c r="B141" s="331">
        <f>IF(OR(itens_Remanesc!A140="",NOT(ISNUMBER(parametros!$G$2))),"",ROUND(itens_Remanesc!C140*parametros!$G$2,2))</f>
        <v/>
      </c>
      <c r="C141" s="332">
        <f>IF(itens_Remanesc!A140="","",itens_Remanesc!B140)</f>
        <v/>
      </c>
      <c r="D141" s="331">
        <f>IF(A141="","",ROUND(B141*C141,2))</f>
        <v/>
      </c>
      <c r="E141" s="333">
        <f>IF(OR(itens_Remanesc!A140="",NOT(ISNUMBER(parametros!$G$3))),"",ROUND(itens_Remanesc!C140*parametros!$G$3,2))</f>
        <v/>
      </c>
      <c r="F141" s="334">
        <f>IF(itens_Remanesc!A140="","",itens_Remanesc!E140)</f>
        <v/>
      </c>
      <c r="G141" s="333">
        <f>IF(OR(A141="",E141="",F141=""),"",ROUND(E141*F141,2))</f>
        <v/>
      </c>
      <c r="H141" s="331">
        <f>IF(OR(itens_Remanesc!A140="",NOT(ISNUMBER(parametros!$G$4))),"",ROUND(itens_Remanesc!C140*parametros!$G$4,2))</f>
        <v/>
      </c>
      <c r="I141" s="332">
        <f>IF(itens_Remanesc!A140="","",itens_Remanesc!G140)</f>
        <v/>
      </c>
      <c r="J141" s="331">
        <f>IF(OR(A141="",H141="",I141=""),"",ROUND(H141*I141,2))</f>
        <v/>
      </c>
      <c r="K141" s="333">
        <f>IF(OR(itens_Remanesc!A140="",NOT(ISNUMBER(parametros!$G$5))),"",ROUND(itens_Remanesc!C140*parametros!$G$5,2))</f>
        <v/>
      </c>
      <c r="L141" s="334">
        <f>IF(itens_Remanesc!A140="","",itens_Remanesc!I140)</f>
        <v/>
      </c>
      <c r="M141" s="333">
        <f>IF(OR(A141="",K141="",L141=""),"",ROUND(K141*L141,2))</f>
        <v/>
      </c>
      <c r="N141" s="331">
        <f>IF(OR(itens_Remanesc!A140="",NOT(ISNUMBER(parametros!$G$6))),"",ROUND(itens_Remanesc!C140*parametros!$G$6,2))</f>
        <v/>
      </c>
      <c r="O141" s="332">
        <f>IF(itens_Remanesc!A140="","",itens_Remanesc!K140)</f>
        <v/>
      </c>
      <c r="P141" s="331">
        <f>IF(OR(A141="",N141="",O141=""),"",ROUND(N141*O141,2))</f>
        <v/>
      </c>
    </row>
    <row r="142">
      <c r="A142" s="330">
        <f>IF(itens_Remanesc!A141="","",itens_Remanesc!A141)</f>
        <v/>
      </c>
      <c r="B142" s="331">
        <f>IF(OR(itens_Remanesc!A141="",NOT(ISNUMBER(parametros!$G$2))),"",ROUND(itens_Remanesc!C141*parametros!$G$2,2))</f>
        <v/>
      </c>
      <c r="C142" s="332">
        <f>IF(itens_Remanesc!A141="","",itens_Remanesc!B141)</f>
        <v/>
      </c>
      <c r="D142" s="331">
        <f>IF(A142="","",ROUND(B142*C142,2))</f>
        <v/>
      </c>
      <c r="E142" s="333">
        <f>IF(OR(itens_Remanesc!A141="",NOT(ISNUMBER(parametros!$G$3))),"",ROUND(itens_Remanesc!C141*parametros!$G$3,2))</f>
        <v/>
      </c>
      <c r="F142" s="334">
        <f>IF(itens_Remanesc!A141="","",itens_Remanesc!E141)</f>
        <v/>
      </c>
      <c r="G142" s="333">
        <f>IF(OR(A142="",E142="",F142=""),"",ROUND(E142*F142,2))</f>
        <v/>
      </c>
      <c r="H142" s="331">
        <f>IF(OR(itens_Remanesc!A141="",NOT(ISNUMBER(parametros!$G$4))),"",ROUND(itens_Remanesc!C141*parametros!$G$4,2))</f>
        <v/>
      </c>
      <c r="I142" s="332">
        <f>IF(itens_Remanesc!A141="","",itens_Remanesc!G141)</f>
        <v/>
      </c>
      <c r="J142" s="331">
        <f>IF(OR(A142="",H142="",I142=""),"",ROUND(H142*I142,2))</f>
        <v/>
      </c>
      <c r="K142" s="333">
        <f>IF(OR(itens_Remanesc!A141="",NOT(ISNUMBER(parametros!$G$5))),"",ROUND(itens_Remanesc!C141*parametros!$G$5,2))</f>
        <v/>
      </c>
      <c r="L142" s="334">
        <f>IF(itens_Remanesc!A141="","",itens_Remanesc!I141)</f>
        <v/>
      </c>
      <c r="M142" s="333">
        <f>IF(OR(A142="",K142="",L142=""),"",ROUND(K142*L142,2))</f>
        <v/>
      </c>
      <c r="N142" s="331">
        <f>IF(OR(itens_Remanesc!A141="",NOT(ISNUMBER(parametros!$G$6))),"",ROUND(itens_Remanesc!C141*parametros!$G$6,2))</f>
        <v/>
      </c>
      <c r="O142" s="332">
        <f>IF(itens_Remanesc!A141="","",itens_Remanesc!K141)</f>
        <v/>
      </c>
      <c r="P142" s="331">
        <f>IF(OR(A142="",N142="",O142=""),"",ROUND(N142*O142,2))</f>
        <v/>
      </c>
    </row>
    <row r="143">
      <c r="A143" s="330">
        <f>IF(itens_Remanesc!A142="","",itens_Remanesc!A142)</f>
        <v/>
      </c>
      <c r="B143" s="331">
        <f>IF(OR(itens_Remanesc!A142="",NOT(ISNUMBER(parametros!$G$2))),"",ROUND(itens_Remanesc!C142*parametros!$G$2,2))</f>
        <v/>
      </c>
      <c r="C143" s="332">
        <f>IF(itens_Remanesc!A142="","",itens_Remanesc!B142)</f>
        <v/>
      </c>
      <c r="D143" s="331">
        <f>IF(A143="","",ROUND(B143*C143,2))</f>
        <v/>
      </c>
      <c r="E143" s="333">
        <f>IF(OR(itens_Remanesc!A142="",NOT(ISNUMBER(parametros!$G$3))),"",ROUND(itens_Remanesc!C142*parametros!$G$3,2))</f>
        <v/>
      </c>
      <c r="F143" s="334">
        <f>IF(itens_Remanesc!A142="","",itens_Remanesc!E142)</f>
        <v/>
      </c>
      <c r="G143" s="333">
        <f>IF(OR(A143="",E143="",F143=""),"",ROUND(E143*F143,2))</f>
        <v/>
      </c>
      <c r="H143" s="331">
        <f>IF(OR(itens_Remanesc!A142="",NOT(ISNUMBER(parametros!$G$4))),"",ROUND(itens_Remanesc!C142*parametros!$G$4,2))</f>
        <v/>
      </c>
      <c r="I143" s="332">
        <f>IF(itens_Remanesc!A142="","",itens_Remanesc!G142)</f>
        <v/>
      </c>
      <c r="J143" s="331">
        <f>IF(OR(A143="",H143="",I143=""),"",ROUND(H143*I143,2))</f>
        <v/>
      </c>
      <c r="K143" s="333">
        <f>IF(OR(itens_Remanesc!A142="",NOT(ISNUMBER(parametros!$G$5))),"",ROUND(itens_Remanesc!C142*parametros!$G$5,2))</f>
        <v/>
      </c>
      <c r="L143" s="334">
        <f>IF(itens_Remanesc!A142="","",itens_Remanesc!I142)</f>
        <v/>
      </c>
      <c r="M143" s="333">
        <f>IF(OR(A143="",K143="",L143=""),"",ROUND(K143*L143,2))</f>
        <v/>
      </c>
      <c r="N143" s="331">
        <f>IF(OR(itens_Remanesc!A142="",NOT(ISNUMBER(parametros!$G$6))),"",ROUND(itens_Remanesc!C142*parametros!$G$6,2))</f>
        <v/>
      </c>
      <c r="O143" s="332">
        <f>IF(itens_Remanesc!A142="","",itens_Remanesc!K142)</f>
        <v/>
      </c>
      <c r="P143" s="331">
        <f>IF(OR(A143="",N143="",O143=""),"",ROUND(N143*O143,2))</f>
        <v/>
      </c>
    </row>
    <row r="144">
      <c r="A144" s="330">
        <f>IF(itens_Remanesc!A143="","",itens_Remanesc!A143)</f>
        <v/>
      </c>
      <c r="B144" s="331">
        <f>IF(OR(itens_Remanesc!A143="",NOT(ISNUMBER(parametros!$G$2))),"",ROUND(itens_Remanesc!C143*parametros!$G$2,2))</f>
        <v/>
      </c>
      <c r="C144" s="332">
        <f>IF(itens_Remanesc!A143="","",itens_Remanesc!B143)</f>
        <v/>
      </c>
      <c r="D144" s="331">
        <f>IF(A144="","",ROUND(B144*C144,2))</f>
        <v/>
      </c>
      <c r="E144" s="333">
        <f>IF(OR(itens_Remanesc!A143="",NOT(ISNUMBER(parametros!$G$3))),"",ROUND(itens_Remanesc!C143*parametros!$G$3,2))</f>
        <v/>
      </c>
      <c r="F144" s="334">
        <f>IF(itens_Remanesc!A143="","",itens_Remanesc!E143)</f>
        <v/>
      </c>
      <c r="G144" s="333">
        <f>IF(OR(A144="",E144="",F144=""),"",ROUND(E144*F144,2))</f>
        <v/>
      </c>
      <c r="H144" s="331">
        <f>IF(OR(itens_Remanesc!A143="",NOT(ISNUMBER(parametros!$G$4))),"",ROUND(itens_Remanesc!C143*parametros!$G$4,2))</f>
        <v/>
      </c>
      <c r="I144" s="332">
        <f>IF(itens_Remanesc!A143="","",itens_Remanesc!G143)</f>
        <v/>
      </c>
      <c r="J144" s="331">
        <f>IF(OR(A144="",H144="",I144=""),"",ROUND(H144*I144,2))</f>
        <v/>
      </c>
      <c r="K144" s="333">
        <f>IF(OR(itens_Remanesc!A143="",NOT(ISNUMBER(parametros!$G$5))),"",ROUND(itens_Remanesc!C143*parametros!$G$5,2))</f>
        <v/>
      </c>
      <c r="L144" s="334">
        <f>IF(itens_Remanesc!A143="","",itens_Remanesc!I143)</f>
        <v/>
      </c>
      <c r="M144" s="333">
        <f>IF(OR(A144="",K144="",L144=""),"",ROUND(K144*L144,2))</f>
        <v/>
      </c>
      <c r="N144" s="331">
        <f>IF(OR(itens_Remanesc!A143="",NOT(ISNUMBER(parametros!$G$6))),"",ROUND(itens_Remanesc!C143*parametros!$G$6,2))</f>
        <v/>
      </c>
      <c r="O144" s="332">
        <f>IF(itens_Remanesc!A143="","",itens_Remanesc!K143)</f>
        <v/>
      </c>
      <c r="P144" s="331">
        <f>IF(OR(A144="",N144="",O144=""),"",ROUND(N144*O144,2))</f>
        <v/>
      </c>
    </row>
    <row r="145">
      <c r="A145" s="330">
        <f>IF(itens_Remanesc!A144="","",itens_Remanesc!A144)</f>
        <v/>
      </c>
      <c r="B145" s="331">
        <f>IF(OR(itens_Remanesc!A144="",NOT(ISNUMBER(parametros!$G$2))),"",ROUND(itens_Remanesc!C144*parametros!$G$2,2))</f>
        <v/>
      </c>
      <c r="C145" s="332">
        <f>IF(itens_Remanesc!A144="","",itens_Remanesc!B144)</f>
        <v/>
      </c>
      <c r="D145" s="331">
        <f>IF(A145="","",ROUND(B145*C145,2))</f>
        <v/>
      </c>
      <c r="E145" s="333">
        <f>IF(OR(itens_Remanesc!A144="",NOT(ISNUMBER(parametros!$G$3))),"",ROUND(itens_Remanesc!C144*parametros!$G$3,2))</f>
        <v/>
      </c>
      <c r="F145" s="334">
        <f>IF(itens_Remanesc!A144="","",itens_Remanesc!E144)</f>
        <v/>
      </c>
      <c r="G145" s="333">
        <f>IF(OR(A145="",E145="",F145=""),"",ROUND(E145*F145,2))</f>
        <v/>
      </c>
      <c r="H145" s="331">
        <f>IF(OR(itens_Remanesc!A144="",NOT(ISNUMBER(parametros!$G$4))),"",ROUND(itens_Remanesc!C144*parametros!$G$4,2))</f>
        <v/>
      </c>
      <c r="I145" s="332">
        <f>IF(itens_Remanesc!A144="","",itens_Remanesc!G144)</f>
        <v/>
      </c>
      <c r="J145" s="331">
        <f>IF(OR(A145="",H145="",I145=""),"",ROUND(H145*I145,2))</f>
        <v/>
      </c>
      <c r="K145" s="333">
        <f>IF(OR(itens_Remanesc!A144="",NOT(ISNUMBER(parametros!$G$5))),"",ROUND(itens_Remanesc!C144*parametros!$G$5,2))</f>
        <v/>
      </c>
      <c r="L145" s="334">
        <f>IF(itens_Remanesc!A144="","",itens_Remanesc!I144)</f>
        <v/>
      </c>
      <c r="M145" s="333">
        <f>IF(OR(A145="",K145="",L145=""),"",ROUND(K145*L145,2))</f>
        <v/>
      </c>
      <c r="N145" s="331">
        <f>IF(OR(itens_Remanesc!A144="",NOT(ISNUMBER(parametros!$G$6))),"",ROUND(itens_Remanesc!C144*parametros!$G$6,2))</f>
        <v/>
      </c>
      <c r="O145" s="332">
        <f>IF(itens_Remanesc!A144="","",itens_Remanesc!K144)</f>
        <v/>
      </c>
      <c r="P145" s="331">
        <f>IF(OR(A145="",N145="",O145=""),"",ROUND(N145*O145,2))</f>
        <v/>
      </c>
    </row>
    <row r="146">
      <c r="A146" s="330">
        <f>IF(itens_Remanesc!A145="","",itens_Remanesc!A145)</f>
        <v/>
      </c>
      <c r="B146" s="331">
        <f>IF(OR(itens_Remanesc!A145="",NOT(ISNUMBER(parametros!$G$2))),"",ROUND(itens_Remanesc!C145*parametros!$G$2,2))</f>
        <v/>
      </c>
      <c r="C146" s="332">
        <f>IF(itens_Remanesc!A145="","",itens_Remanesc!B145)</f>
        <v/>
      </c>
      <c r="D146" s="331">
        <f>IF(A146="","",ROUND(B146*C146,2))</f>
        <v/>
      </c>
      <c r="E146" s="333">
        <f>IF(OR(itens_Remanesc!A145="",NOT(ISNUMBER(parametros!$G$3))),"",ROUND(itens_Remanesc!C145*parametros!$G$3,2))</f>
        <v/>
      </c>
      <c r="F146" s="334">
        <f>IF(itens_Remanesc!A145="","",itens_Remanesc!E145)</f>
        <v/>
      </c>
      <c r="G146" s="333">
        <f>IF(OR(A146="",E146="",F146=""),"",ROUND(E146*F146,2))</f>
        <v/>
      </c>
      <c r="H146" s="331">
        <f>IF(OR(itens_Remanesc!A145="",NOT(ISNUMBER(parametros!$G$4))),"",ROUND(itens_Remanesc!C145*parametros!$G$4,2))</f>
        <v/>
      </c>
      <c r="I146" s="332">
        <f>IF(itens_Remanesc!A145="","",itens_Remanesc!G145)</f>
        <v/>
      </c>
      <c r="J146" s="331">
        <f>IF(OR(A146="",H146="",I146=""),"",ROUND(H146*I146,2))</f>
        <v/>
      </c>
      <c r="K146" s="333">
        <f>IF(OR(itens_Remanesc!A145="",NOT(ISNUMBER(parametros!$G$5))),"",ROUND(itens_Remanesc!C145*parametros!$G$5,2))</f>
        <v/>
      </c>
      <c r="L146" s="334">
        <f>IF(itens_Remanesc!A145="","",itens_Remanesc!I145)</f>
        <v/>
      </c>
      <c r="M146" s="333">
        <f>IF(OR(A146="",K146="",L146=""),"",ROUND(K146*L146,2))</f>
        <v/>
      </c>
      <c r="N146" s="331">
        <f>IF(OR(itens_Remanesc!A145="",NOT(ISNUMBER(parametros!$G$6))),"",ROUND(itens_Remanesc!C145*parametros!$G$6,2))</f>
        <v/>
      </c>
      <c r="O146" s="332">
        <f>IF(itens_Remanesc!A145="","",itens_Remanesc!K145)</f>
        <v/>
      </c>
      <c r="P146" s="331">
        <f>IF(OR(A146="",N146="",O146=""),"",ROUND(N146*O146,2))</f>
        <v/>
      </c>
    </row>
    <row r="147">
      <c r="A147" s="330">
        <f>IF(itens_Remanesc!A146="","",itens_Remanesc!A146)</f>
        <v/>
      </c>
      <c r="B147" s="331">
        <f>IF(OR(itens_Remanesc!A146="",NOT(ISNUMBER(parametros!$G$2))),"",ROUND(itens_Remanesc!C146*parametros!$G$2,2))</f>
        <v/>
      </c>
      <c r="C147" s="332">
        <f>IF(itens_Remanesc!A146="","",itens_Remanesc!B146)</f>
        <v/>
      </c>
      <c r="D147" s="331">
        <f>IF(A147="","",ROUND(B147*C147,2))</f>
        <v/>
      </c>
      <c r="E147" s="333">
        <f>IF(OR(itens_Remanesc!A146="",NOT(ISNUMBER(parametros!$G$3))),"",ROUND(itens_Remanesc!C146*parametros!$G$3,2))</f>
        <v/>
      </c>
      <c r="F147" s="334">
        <f>IF(itens_Remanesc!A146="","",itens_Remanesc!E146)</f>
        <v/>
      </c>
      <c r="G147" s="333">
        <f>IF(OR(A147="",E147="",F147=""),"",ROUND(E147*F147,2))</f>
        <v/>
      </c>
      <c r="H147" s="331">
        <f>IF(OR(itens_Remanesc!A146="",NOT(ISNUMBER(parametros!$G$4))),"",ROUND(itens_Remanesc!C146*parametros!$G$4,2))</f>
        <v/>
      </c>
      <c r="I147" s="332">
        <f>IF(itens_Remanesc!A146="","",itens_Remanesc!G146)</f>
        <v/>
      </c>
      <c r="J147" s="331">
        <f>IF(OR(A147="",H147="",I147=""),"",ROUND(H147*I147,2))</f>
        <v/>
      </c>
      <c r="K147" s="333">
        <f>IF(OR(itens_Remanesc!A146="",NOT(ISNUMBER(parametros!$G$5))),"",ROUND(itens_Remanesc!C146*parametros!$G$5,2))</f>
        <v/>
      </c>
      <c r="L147" s="334">
        <f>IF(itens_Remanesc!A146="","",itens_Remanesc!I146)</f>
        <v/>
      </c>
      <c r="M147" s="333">
        <f>IF(OR(A147="",K147="",L147=""),"",ROUND(K147*L147,2))</f>
        <v/>
      </c>
      <c r="N147" s="331">
        <f>IF(OR(itens_Remanesc!A146="",NOT(ISNUMBER(parametros!$G$6))),"",ROUND(itens_Remanesc!C146*parametros!$G$6,2))</f>
        <v/>
      </c>
      <c r="O147" s="332">
        <f>IF(itens_Remanesc!A146="","",itens_Remanesc!K146)</f>
        <v/>
      </c>
      <c r="P147" s="331">
        <f>IF(OR(A147="",N147="",O147=""),"",ROUND(N147*O147,2))</f>
        <v/>
      </c>
    </row>
    <row r="148">
      <c r="A148" s="330">
        <f>IF(itens_Remanesc!A147="","",itens_Remanesc!A147)</f>
        <v/>
      </c>
      <c r="B148" s="331">
        <f>IF(OR(itens_Remanesc!A147="",NOT(ISNUMBER(parametros!$G$2))),"",ROUND(itens_Remanesc!C147*parametros!$G$2,2))</f>
        <v/>
      </c>
      <c r="C148" s="332">
        <f>IF(itens_Remanesc!A147="","",itens_Remanesc!B147)</f>
        <v/>
      </c>
      <c r="D148" s="331">
        <f>IF(A148="","",ROUND(B148*C148,2))</f>
        <v/>
      </c>
      <c r="E148" s="333">
        <f>IF(OR(itens_Remanesc!A147="",NOT(ISNUMBER(parametros!$G$3))),"",ROUND(itens_Remanesc!C147*parametros!$G$3,2))</f>
        <v/>
      </c>
      <c r="F148" s="334">
        <f>IF(itens_Remanesc!A147="","",itens_Remanesc!E147)</f>
        <v/>
      </c>
      <c r="G148" s="333">
        <f>IF(OR(A148="",E148="",F148=""),"",ROUND(E148*F148,2))</f>
        <v/>
      </c>
      <c r="H148" s="331">
        <f>IF(OR(itens_Remanesc!A147="",NOT(ISNUMBER(parametros!$G$4))),"",ROUND(itens_Remanesc!C147*parametros!$G$4,2))</f>
        <v/>
      </c>
      <c r="I148" s="332">
        <f>IF(itens_Remanesc!A147="","",itens_Remanesc!G147)</f>
        <v/>
      </c>
      <c r="J148" s="331">
        <f>IF(OR(A148="",H148="",I148=""),"",ROUND(H148*I148,2))</f>
        <v/>
      </c>
      <c r="K148" s="333">
        <f>IF(OR(itens_Remanesc!A147="",NOT(ISNUMBER(parametros!$G$5))),"",ROUND(itens_Remanesc!C147*parametros!$G$5,2))</f>
        <v/>
      </c>
      <c r="L148" s="334">
        <f>IF(itens_Remanesc!A147="","",itens_Remanesc!I147)</f>
        <v/>
      </c>
      <c r="M148" s="333">
        <f>IF(OR(A148="",K148="",L148=""),"",ROUND(K148*L148,2))</f>
        <v/>
      </c>
      <c r="N148" s="331">
        <f>IF(OR(itens_Remanesc!A147="",NOT(ISNUMBER(parametros!$G$6))),"",ROUND(itens_Remanesc!C147*parametros!$G$6,2))</f>
        <v/>
      </c>
      <c r="O148" s="332">
        <f>IF(itens_Remanesc!A147="","",itens_Remanesc!K147)</f>
        <v/>
      </c>
      <c r="P148" s="331">
        <f>IF(OR(A148="",N148="",O148=""),"",ROUND(N148*O148,2))</f>
        <v/>
      </c>
    </row>
    <row r="149">
      <c r="A149" s="330">
        <f>IF(itens_Remanesc!A148="","",itens_Remanesc!A148)</f>
        <v/>
      </c>
      <c r="B149" s="331">
        <f>IF(OR(itens_Remanesc!A148="",NOT(ISNUMBER(parametros!$G$2))),"",ROUND(itens_Remanesc!C148*parametros!$G$2,2))</f>
        <v/>
      </c>
      <c r="C149" s="332">
        <f>IF(itens_Remanesc!A148="","",itens_Remanesc!B148)</f>
        <v/>
      </c>
      <c r="D149" s="331">
        <f>IF(A149="","",ROUND(B149*C149,2))</f>
        <v/>
      </c>
      <c r="E149" s="333">
        <f>IF(OR(itens_Remanesc!A148="",NOT(ISNUMBER(parametros!$G$3))),"",ROUND(itens_Remanesc!C148*parametros!$G$3,2))</f>
        <v/>
      </c>
      <c r="F149" s="334">
        <f>IF(itens_Remanesc!A148="","",itens_Remanesc!E148)</f>
        <v/>
      </c>
      <c r="G149" s="333">
        <f>IF(OR(A149="",E149="",F149=""),"",ROUND(E149*F149,2))</f>
        <v/>
      </c>
      <c r="H149" s="331">
        <f>IF(OR(itens_Remanesc!A148="",NOT(ISNUMBER(parametros!$G$4))),"",ROUND(itens_Remanesc!C148*parametros!$G$4,2))</f>
        <v/>
      </c>
      <c r="I149" s="332">
        <f>IF(itens_Remanesc!A148="","",itens_Remanesc!G148)</f>
        <v/>
      </c>
      <c r="J149" s="331">
        <f>IF(OR(A149="",H149="",I149=""),"",ROUND(H149*I149,2))</f>
        <v/>
      </c>
      <c r="K149" s="333">
        <f>IF(OR(itens_Remanesc!A148="",NOT(ISNUMBER(parametros!$G$5))),"",ROUND(itens_Remanesc!C148*parametros!$G$5,2))</f>
        <v/>
      </c>
      <c r="L149" s="334">
        <f>IF(itens_Remanesc!A148="","",itens_Remanesc!I148)</f>
        <v/>
      </c>
      <c r="M149" s="333">
        <f>IF(OR(A149="",K149="",L149=""),"",ROUND(K149*L149,2))</f>
        <v/>
      </c>
      <c r="N149" s="331">
        <f>IF(OR(itens_Remanesc!A148="",NOT(ISNUMBER(parametros!$G$6))),"",ROUND(itens_Remanesc!C148*parametros!$G$6,2))</f>
        <v/>
      </c>
      <c r="O149" s="332">
        <f>IF(itens_Remanesc!A148="","",itens_Remanesc!K148)</f>
        <v/>
      </c>
      <c r="P149" s="331">
        <f>IF(OR(A149="",N149="",O149=""),"",ROUND(N149*O149,2))</f>
        <v/>
      </c>
    </row>
    <row r="150">
      <c r="A150" s="330">
        <f>IF(itens_Remanesc!A149="","",itens_Remanesc!A149)</f>
        <v/>
      </c>
      <c r="B150" s="331">
        <f>IF(OR(itens_Remanesc!A149="",NOT(ISNUMBER(parametros!$G$2))),"",ROUND(itens_Remanesc!C149*parametros!$G$2,2))</f>
        <v/>
      </c>
      <c r="C150" s="332">
        <f>IF(itens_Remanesc!A149="","",itens_Remanesc!B149)</f>
        <v/>
      </c>
      <c r="D150" s="331">
        <f>IF(A150="","",ROUND(B150*C150,2))</f>
        <v/>
      </c>
      <c r="E150" s="333">
        <f>IF(OR(itens_Remanesc!A149="",NOT(ISNUMBER(parametros!$G$3))),"",ROUND(itens_Remanesc!C149*parametros!$G$3,2))</f>
        <v/>
      </c>
      <c r="F150" s="334">
        <f>IF(itens_Remanesc!A149="","",itens_Remanesc!E149)</f>
        <v/>
      </c>
      <c r="G150" s="333">
        <f>IF(OR(A150="",E150="",F150=""),"",ROUND(E150*F150,2))</f>
        <v/>
      </c>
      <c r="H150" s="331">
        <f>IF(OR(itens_Remanesc!A149="",NOT(ISNUMBER(parametros!$G$4))),"",ROUND(itens_Remanesc!C149*parametros!$G$4,2))</f>
        <v/>
      </c>
      <c r="I150" s="332">
        <f>IF(itens_Remanesc!A149="","",itens_Remanesc!G149)</f>
        <v/>
      </c>
      <c r="J150" s="331">
        <f>IF(OR(A150="",H150="",I150=""),"",ROUND(H150*I150,2))</f>
        <v/>
      </c>
      <c r="K150" s="333">
        <f>IF(OR(itens_Remanesc!A149="",NOT(ISNUMBER(parametros!$G$5))),"",ROUND(itens_Remanesc!C149*parametros!$G$5,2))</f>
        <v/>
      </c>
      <c r="L150" s="334">
        <f>IF(itens_Remanesc!A149="","",itens_Remanesc!I149)</f>
        <v/>
      </c>
      <c r="M150" s="333">
        <f>IF(OR(A150="",K150="",L150=""),"",ROUND(K150*L150,2))</f>
        <v/>
      </c>
      <c r="N150" s="331">
        <f>IF(OR(itens_Remanesc!A149="",NOT(ISNUMBER(parametros!$G$6))),"",ROUND(itens_Remanesc!C149*parametros!$G$6,2))</f>
        <v/>
      </c>
      <c r="O150" s="332">
        <f>IF(itens_Remanesc!A149="","",itens_Remanesc!K149)</f>
        <v/>
      </c>
      <c r="P150" s="331">
        <f>IF(OR(A150="",N150="",O150=""),"",ROUND(N150*O150,2))</f>
        <v/>
      </c>
    </row>
    <row r="151">
      <c r="A151" s="330">
        <f>IF(itens_Remanesc!A150="","",itens_Remanesc!A150)</f>
        <v/>
      </c>
      <c r="B151" s="331">
        <f>IF(OR(itens_Remanesc!A150="",NOT(ISNUMBER(parametros!$G$2))),"",ROUND(itens_Remanesc!C150*parametros!$G$2,2))</f>
        <v/>
      </c>
      <c r="C151" s="332">
        <f>IF(itens_Remanesc!A150="","",itens_Remanesc!B150)</f>
        <v/>
      </c>
      <c r="D151" s="331">
        <f>IF(A151="","",ROUND(B151*C151,2))</f>
        <v/>
      </c>
      <c r="E151" s="333">
        <f>IF(OR(itens_Remanesc!A150="",NOT(ISNUMBER(parametros!$G$3))),"",ROUND(itens_Remanesc!C150*parametros!$G$3,2))</f>
        <v/>
      </c>
      <c r="F151" s="334">
        <f>IF(itens_Remanesc!A150="","",itens_Remanesc!E150)</f>
        <v/>
      </c>
      <c r="G151" s="333">
        <f>IF(OR(A151="",E151="",F151=""),"",ROUND(E151*F151,2))</f>
        <v/>
      </c>
      <c r="H151" s="331">
        <f>IF(OR(itens_Remanesc!A150="",NOT(ISNUMBER(parametros!$G$4))),"",ROUND(itens_Remanesc!C150*parametros!$G$4,2))</f>
        <v/>
      </c>
      <c r="I151" s="332">
        <f>IF(itens_Remanesc!A150="","",itens_Remanesc!G150)</f>
        <v/>
      </c>
      <c r="J151" s="331">
        <f>IF(OR(A151="",H151="",I151=""),"",ROUND(H151*I151,2))</f>
        <v/>
      </c>
      <c r="K151" s="333">
        <f>IF(OR(itens_Remanesc!A150="",NOT(ISNUMBER(parametros!$G$5))),"",ROUND(itens_Remanesc!C150*parametros!$G$5,2))</f>
        <v/>
      </c>
      <c r="L151" s="334">
        <f>IF(itens_Remanesc!A150="","",itens_Remanesc!I150)</f>
        <v/>
      </c>
      <c r="M151" s="333">
        <f>IF(OR(A151="",K151="",L151=""),"",ROUND(K151*L151,2))</f>
        <v/>
      </c>
      <c r="N151" s="331">
        <f>IF(OR(itens_Remanesc!A150="",NOT(ISNUMBER(parametros!$G$6))),"",ROUND(itens_Remanesc!C150*parametros!$G$6,2))</f>
        <v/>
      </c>
      <c r="O151" s="332">
        <f>IF(itens_Remanesc!A150="","",itens_Remanesc!K150)</f>
        <v/>
      </c>
      <c r="P151" s="331">
        <f>IF(OR(A151="",N151="",O151=""),"",ROUND(N151*O151,2))</f>
        <v/>
      </c>
    </row>
    <row r="152">
      <c r="A152" s="330">
        <f>IF(itens_Remanesc!A151="","",itens_Remanesc!A151)</f>
        <v/>
      </c>
      <c r="B152" s="331">
        <f>IF(OR(itens_Remanesc!A151="",NOT(ISNUMBER(parametros!$G$2))),"",ROUND(itens_Remanesc!C151*parametros!$G$2,2))</f>
        <v/>
      </c>
      <c r="C152" s="332">
        <f>IF(itens_Remanesc!A151="","",itens_Remanesc!B151)</f>
        <v/>
      </c>
      <c r="D152" s="331">
        <f>IF(A152="","",ROUND(B152*C152,2))</f>
        <v/>
      </c>
      <c r="E152" s="333">
        <f>IF(OR(itens_Remanesc!A151="",NOT(ISNUMBER(parametros!$G$3))),"",ROUND(itens_Remanesc!C151*parametros!$G$3,2))</f>
        <v/>
      </c>
      <c r="F152" s="334">
        <f>IF(itens_Remanesc!A151="","",itens_Remanesc!E151)</f>
        <v/>
      </c>
      <c r="G152" s="333">
        <f>IF(OR(A152="",E152="",F152=""),"",ROUND(E152*F152,2))</f>
        <v/>
      </c>
      <c r="H152" s="331">
        <f>IF(OR(itens_Remanesc!A151="",NOT(ISNUMBER(parametros!$G$4))),"",ROUND(itens_Remanesc!C151*parametros!$G$4,2))</f>
        <v/>
      </c>
      <c r="I152" s="332">
        <f>IF(itens_Remanesc!A151="","",itens_Remanesc!G151)</f>
        <v/>
      </c>
      <c r="J152" s="331">
        <f>IF(OR(A152="",H152="",I152=""),"",ROUND(H152*I152,2))</f>
        <v/>
      </c>
      <c r="K152" s="333">
        <f>IF(OR(itens_Remanesc!A151="",NOT(ISNUMBER(parametros!$G$5))),"",ROUND(itens_Remanesc!C151*parametros!$G$5,2))</f>
        <v/>
      </c>
      <c r="L152" s="334">
        <f>IF(itens_Remanesc!A151="","",itens_Remanesc!I151)</f>
        <v/>
      </c>
      <c r="M152" s="333">
        <f>IF(OR(A152="",K152="",L152=""),"",ROUND(K152*L152,2))</f>
        <v/>
      </c>
      <c r="N152" s="331">
        <f>IF(OR(itens_Remanesc!A151="",NOT(ISNUMBER(parametros!$G$6))),"",ROUND(itens_Remanesc!C151*parametros!$G$6,2))</f>
        <v/>
      </c>
      <c r="O152" s="332">
        <f>IF(itens_Remanesc!A151="","",itens_Remanesc!K151)</f>
        <v/>
      </c>
      <c r="P152" s="331">
        <f>IF(OR(A152="",N152="",O152=""),"",ROUND(N152*O152,2))</f>
        <v/>
      </c>
    </row>
    <row r="153">
      <c r="A153" s="330">
        <f>IF(itens_Remanesc!A152="","",itens_Remanesc!A152)</f>
        <v/>
      </c>
      <c r="B153" s="331">
        <f>IF(OR(itens_Remanesc!A152="",NOT(ISNUMBER(parametros!$G$2))),"",ROUND(itens_Remanesc!C152*parametros!$G$2,2))</f>
        <v/>
      </c>
      <c r="C153" s="332">
        <f>IF(itens_Remanesc!A152="","",itens_Remanesc!B152)</f>
        <v/>
      </c>
      <c r="D153" s="331">
        <f>IF(A153="","",ROUND(B153*C153,2))</f>
        <v/>
      </c>
      <c r="E153" s="333">
        <f>IF(OR(itens_Remanesc!A152="",NOT(ISNUMBER(parametros!$G$3))),"",ROUND(itens_Remanesc!C152*parametros!$G$3,2))</f>
        <v/>
      </c>
      <c r="F153" s="334">
        <f>IF(itens_Remanesc!A152="","",itens_Remanesc!E152)</f>
        <v/>
      </c>
      <c r="G153" s="333">
        <f>IF(OR(A153="",E153="",F153=""),"",ROUND(E153*F153,2))</f>
        <v/>
      </c>
      <c r="H153" s="331">
        <f>IF(OR(itens_Remanesc!A152="",NOT(ISNUMBER(parametros!$G$4))),"",ROUND(itens_Remanesc!C152*parametros!$G$4,2))</f>
        <v/>
      </c>
      <c r="I153" s="332">
        <f>IF(itens_Remanesc!A152="","",itens_Remanesc!G152)</f>
        <v/>
      </c>
      <c r="J153" s="331">
        <f>IF(OR(A153="",H153="",I153=""),"",ROUND(H153*I153,2))</f>
        <v/>
      </c>
      <c r="K153" s="333">
        <f>IF(OR(itens_Remanesc!A152="",NOT(ISNUMBER(parametros!$G$5))),"",ROUND(itens_Remanesc!C152*parametros!$G$5,2))</f>
        <v/>
      </c>
      <c r="L153" s="334">
        <f>IF(itens_Remanesc!A152="","",itens_Remanesc!I152)</f>
        <v/>
      </c>
      <c r="M153" s="333">
        <f>IF(OR(A153="",K153="",L153=""),"",ROUND(K153*L153,2))</f>
        <v/>
      </c>
      <c r="N153" s="331">
        <f>IF(OR(itens_Remanesc!A152="",NOT(ISNUMBER(parametros!$G$6))),"",ROUND(itens_Remanesc!C152*parametros!$G$6,2))</f>
        <v/>
      </c>
      <c r="O153" s="332">
        <f>IF(itens_Remanesc!A152="","",itens_Remanesc!K152)</f>
        <v/>
      </c>
      <c r="P153" s="331">
        <f>IF(OR(A153="",N153="",O153=""),"",ROUND(N153*O153,2))</f>
        <v/>
      </c>
    </row>
    <row r="154">
      <c r="A154" s="330">
        <f>IF(itens_Remanesc!A153="","",itens_Remanesc!A153)</f>
        <v/>
      </c>
      <c r="B154" s="331">
        <f>IF(OR(itens_Remanesc!A153="",NOT(ISNUMBER(parametros!$G$2))),"",ROUND(itens_Remanesc!C153*parametros!$G$2,2))</f>
        <v/>
      </c>
      <c r="C154" s="332">
        <f>IF(itens_Remanesc!A153="","",itens_Remanesc!B153)</f>
        <v/>
      </c>
      <c r="D154" s="331">
        <f>IF(A154="","",ROUND(B154*C154,2))</f>
        <v/>
      </c>
      <c r="E154" s="333">
        <f>IF(OR(itens_Remanesc!A153="",NOT(ISNUMBER(parametros!$G$3))),"",ROUND(itens_Remanesc!C153*parametros!$G$3,2))</f>
        <v/>
      </c>
      <c r="F154" s="334">
        <f>IF(itens_Remanesc!A153="","",itens_Remanesc!E153)</f>
        <v/>
      </c>
      <c r="G154" s="333">
        <f>IF(OR(A154="",E154="",F154=""),"",ROUND(E154*F154,2))</f>
        <v/>
      </c>
      <c r="H154" s="331">
        <f>IF(OR(itens_Remanesc!A153="",NOT(ISNUMBER(parametros!$G$4))),"",ROUND(itens_Remanesc!C153*parametros!$G$4,2))</f>
        <v/>
      </c>
      <c r="I154" s="332">
        <f>IF(itens_Remanesc!A153="","",itens_Remanesc!G153)</f>
        <v/>
      </c>
      <c r="J154" s="331">
        <f>IF(OR(A154="",H154="",I154=""),"",ROUND(H154*I154,2))</f>
        <v/>
      </c>
      <c r="K154" s="333">
        <f>IF(OR(itens_Remanesc!A153="",NOT(ISNUMBER(parametros!$G$5))),"",ROUND(itens_Remanesc!C153*parametros!$G$5,2))</f>
        <v/>
      </c>
      <c r="L154" s="334">
        <f>IF(itens_Remanesc!A153="","",itens_Remanesc!I153)</f>
        <v/>
      </c>
      <c r="M154" s="333">
        <f>IF(OR(A154="",K154="",L154=""),"",ROUND(K154*L154,2))</f>
        <v/>
      </c>
      <c r="N154" s="331">
        <f>IF(OR(itens_Remanesc!A153="",NOT(ISNUMBER(parametros!$G$6))),"",ROUND(itens_Remanesc!C153*parametros!$G$6,2))</f>
        <v/>
      </c>
      <c r="O154" s="332">
        <f>IF(itens_Remanesc!A153="","",itens_Remanesc!K153)</f>
        <v/>
      </c>
      <c r="P154" s="331">
        <f>IF(OR(A154="",N154="",O154=""),"",ROUND(N154*O154,2))</f>
        <v/>
      </c>
    </row>
    <row r="155">
      <c r="A155" s="330">
        <f>IF(itens_Remanesc!A154="","",itens_Remanesc!A154)</f>
        <v/>
      </c>
      <c r="B155" s="331">
        <f>IF(OR(itens_Remanesc!A154="",NOT(ISNUMBER(parametros!$G$2))),"",ROUND(itens_Remanesc!C154*parametros!$G$2,2))</f>
        <v/>
      </c>
      <c r="C155" s="332">
        <f>IF(itens_Remanesc!A154="","",itens_Remanesc!B154)</f>
        <v/>
      </c>
      <c r="D155" s="331">
        <f>IF(A155="","",ROUND(B155*C155,2))</f>
        <v/>
      </c>
      <c r="E155" s="333">
        <f>IF(OR(itens_Remanesc!A154="",NOT(ISNUMBER(parametros!$G$3))),"",ROUND(itens_Remanesc!C154*parametros!$G$3,2))</f>
        <v/>
      </c>
      <c r="F155" s="334">
        <f>IF(itens_Remanesc!A154="","",itens_Remanesc!E154)</f>
        <v/>
      </c>
      <c r="G155" s="333">
        <f>IF(OR(A155="",E155="",F155=""),"",ROUND(E155*F155,2))</f>
        <v/>
      </c>
      <c r="H155" s="331">
        <f>IF(OR(itens_Remanesc!A154="",NOT(ISNUMBER(parametros!$G$4))),"",ROUND(itens_Remanesc!C154*parametros!$G$4,2))</f>
        <v/>
      </c>
      <c r="I155" s="332">
        <f>IF(itens_Remanesc!A154="","",itens_Remanesc!G154)</f>
        <v/>
      </c>
      <c r="J155" s="331">
        <f>IF(OR(A155="",H155="",I155=""),"",ROUND(H155*I155,2))</f>
        <v/>
      </c>
      <c r="K155" s="333">
        <f>IF(OR(itens_Remanesc!A154="",NOT(ISNUMBER(parametros!$G$5))),"",ROUND(itens_Remanesc!C154*parametros!$G$5,2))</f>
        <v/>
      </c>
      <c r="L155" s="334">
        <f>IF(itens_Remanesc!A154="","",itens_Remanesc!I154)</f>
        <v/>
      </c>
      <c r="M155" s="333">
        <f>IF(OR(A155="",K155="",L155=""),"",ROUND(K155*L155,2))</f>
        <v/>
      </c>
      <c r="N155" s="331">
        <f>IF(OR(itens_Remanesc!A154="",NOT(ISNUMBER(parametros!$G$6))),"",ROUND(itens_Remanesc!C154*parametros!$G$6,2))</f>
        <v/>
      </c>
      <c r="O155" s="332">
        <f>IF(itens_Remanesc!A154="","",itens_Remanesc!K154)</f>
        <v/>
      </c>
      <c r="P155" s="331">
        <f>IF(OR(A155="",N155="",O155=""),"",ROUND(N155*O155,2))</f>
        <v/>
      </c>
    </row>
    <row r="156">
      <c r="A156" s="330">
        <f>IF(itens_Remanesc!A155="","",itens_Remanesc!A155)</f>
        <v/>
      </c>
      <c r="B156" s="331">
        <f>IF(OR(itens_Remanesc!A155="",NOT(ISNUMBER(parametros!$G$2))),"",ROUND(itens_Remanesc!C155*parametros!$G$2,2))</f>
        <v/>
      </c>
      <c r="C156" s="332">
        <f>IF(itens_Remanesc!A155="","",itens_Remanesc!B155)</f>
        <v/>
      </c>
      <c r="D156" s="331">
        <f>IF(A156="","",ROUND(B156*C156,2))</f>
        <v/>
      </c>
      <c r="E156" s="333">
        <f>IF(OR(itens_Remanesc!A155="",NOT(ISNUMBER(parametros!$G$3))),"",ROUND(itens_Remanesc!C155*parametros!$G$3,2))</f>
        <v/>
      </c>
      <c r="F156" s="334">
        <f>IF(itens_Remanesc!A155="","",itens_Remanesc!E155)</f>
        <v/>
      </c>
      <c r="G156" s="333">
        <f>IF(OR(A156="",E156="",F156=""),"",ROUND(E156*F156,2))</f>
        <v/>
      </c>
      <c r="H156" s="331">
        <f>IF(OR(itens_Remanesc!A155="",NOT(ISNUMBER(parametros!$G$4))),"",ROUND(itens_Remanesc!C155*parametros!$G$4,2))</f>
        <v/>
      </c>
      <c r="I156" s="332">
        <f>IF(itens_Remanesc!A155="","",itens_Remanesc!G155)</f>
        <v/>
      </c>
      <c r="J156" s="331">
        <f>IF(OR(A156="",H156="",I156=""),"",ROUND(H156*I156,2))</f>
        <v/>
      </c>
      <c r="K156" s="333">
        <f>IF(OR(itens_Remanesc!A155="",NOT(ISNUMBER(parametros!$G$5))),"",ROUND(itens_Remanesc!C155*parametros!$G$5,2))</f>
        <v/>
      </c>
      <c r="L156" s="334">
        <f>IF(itens_Remanesc!A155="","",itens_Remanesc!I155)</f>
        <v/>
      </c>
      <c r="M156" s="333">
        <f>IF(OR(A156="",K156="",L156=""),"",ROUND(K156*L156,2))</f>
        <v/>
      </c>
      <c r="N156" s="331">
        <f>IF(OR(itens_Remanesc!A155="",NOT(ISNUMBER(parametros!$G$6))),"",ROUND(itens_Remanesc!C155*parametros!$G$6,2))</f>
        <v/>
      </c>
      <c r="O156" s="332">
        <f>IF(itens_Remanesc!A155="","",itens_Remanesc!K155)</f>
        <v/>
      </c>
      <c r="P156" s="331">
        <f>IF(OR(A156="",N156="",O156=""),"",ROUND(N156*O156,2))</f>
        <v/>
      </c>
    </row>
    <row r="157">
      <c r="A157" s="330">
        <f>IF(itens_Remanesc!A156="","",itens_Remanesc!A156)</f>
        <v/>
      </c>
      <c r="B157" s="331">
        <f>IF(OR(itens_Remanesc!A156="",NOT(ISNUMBER(parametros!$G$2))),"",ROUND(itens_Remanesc!C156*parametros!$G$2,2))</f>
        <v/>
      </c>
      <c r="C157" s="332">
        <f>IF(itens_Remanesc!A156="","",itens_Remanesc!B156)</f>
        <v/>
      </c>
      <c r="D157" s="331">
        <f>IF(A157="","",ROUND(B157*C157,2))</f>
        <v/>
      </c>
      <c r="E157" s="333">
        <f>IF(OR(itens_Remanesc!A156="",NOT(ISNUMBER(parametros!$G$3))),"",ROUND(itens_Remanesc!C156*parametros!$G$3,2))</f>
        <v/>
      </c>
      <c r="F157" s="334">
        <f>IF(itens_Remanesc!A156="","",itens_Remanesc!E156)</f>
        <v/>
      </c>
      <c r="G157" s="333">
        <f>IF(OR(A157="",E157="",F157=""),"",ROUND(E157*F157,2))</f>
        <v/>
      </c>
      <c r="H157" s="331">
        <f>IF(OR(itens_Remanesc!A156="",NOT(ISNUMBER(parametros!$G$4))),"",ROUND(itens_Remanesc!C156*parametros!$G$4,2))</f>
        <v/>
      </c>
      <c r="I157" s="332">
        <f>IF(itens_Remanesc!A156="","",itens_Remanesc!G156)</f>
        <v/>
      </c>
      <c r="J157" s="331">
        <f>IF(OR(A157="",H157="",I157=""),"",ROUND(H157*I157,2))</f>
        <v/>
      </c>
      <c r="K157" s="333">
        <f>IF(OR(itens_Remanesc!A156="",NOT(ISNUMBER(parametros!$G$5))),"",ROUND(itens_Remanesc!C156*parametros!$G$5,2))</f>
        <v/>
      </c>
      <c r="L157" s="334">
        <f>IF(itens_Remanesc!A156="","",itens_Remanesc!I156)</f>
        <v/>
      </c>
      <c r="M157" s="333">
        <f>IF(OR(A157="",K157="",L157=""),"",ROUND(K157*L157,2))</f>
        <v/>
      </c>
      <c r="N157" s="331">
        <f>IF(OR(itens_Remanesc!A156="",NOT(ISNUMBER(parametros!$G$6))),"",ROUND(itens_Remanesc!C156*parametros!$G$6,2))</f>
        <v/>
      </c>
      <c r="O157" s="332">
        <f>IF(itens_Remanesc!A156="","",itens_Remanesc!K156)</f>
        <v/>
      </c>
      <c r="P157" s="331">
        <f>IF(OR(A157="",N157="",O157=""),"",ROUND(N157*O157,2))</f>
        <v/>
      </c>
    </row>
    <row r="158">
      <c r="A158" s="330">
        <f>IF(itens_Remanesc!A157="","",itens_Remanesc!A157)</f>
        <v/>
      </c>
      <c r="B158" s="331">
        <f>IF(OR(itens_Remanesc!A157="",NOT(ISNUMBER(parametros!$G$2))),"",ROUND(itens_Remanesc!C157*parametros!$G$2,2))</f>
        <v/>
      </c>
      <c r="C158" s="332">
        <f>IF(itens_Remanesc!A157="","",itens_Remanesc!B157)</f>
        <v/>
      </c>
      <c r="D158" s="331">
        <f>IF(A158="","",ROUND(B158*C158,2))</f>
        <v/>
      </c>
      <c r="E158" s="333">
        <f>IF(OR(itens_Remanesc!A157="",NOT(ISNUMBER(parametros!$G$3))),"",ROUND(itens_Remanesc!C157*parametros!$G$3,2))</f>
        <v/>
      </c>
      <c r="F158" s="334">
        <f>IF(itens_Remanesc!A157="","",itens_Remanesc!E157)</f>
        <v/>
      </c>
      <c r="G158" s="333">
        <f>IF(OR(A158="",E158="",F158=""),"",ROUND(E158*F158,2))</f>
        <v/>
      </c>
      <c r="H158" s="331">
        <f>IF(OR(itens_Remanesc!A157="",NOT(ISNUMBER(parametros!$G$4))),"",ROUND(itens_Remanesc!C157*parametros!$G$4,2))</f>
        <v/>
      </c>
      <c r="I158" s="332">
        <f>IF(itens_Remanesc!A157="","",itens_Remanesc!G157)</f>
        <v/>
      </c>
      <c r="J158" s="331">
        <f>IF(OR(A158="",H158="",I158=""),"",ROUND(H158*I158,2))</f>
        <v/>
      </c>
      <c r="K158" s="333">
        <f>IF(OR(itens_Remanesc!A157="",NOT(ISNUMBER(parametros!$G$5))),"",ROUND(itens_Remanesc!C157*parametros!$G$5,2))</f>
        <v/>
      </c>
      <c r="L158" s="334">
        <f>IF(itens_Remanesc!A157="","",itens_Remanesc!I157)</f>
        <v/>
      </c>
      <c r="M158" s="333">
        <f>IF(OR(A158="",K158="",L158=""),"",ROUND(K158*L158,2))</f>
        <v/>
      </c>
      <c r="N158" s="331">
        <f>IF(OR(itens_Remanesc!A157="",NOT(ISNUMBER(parametros!$G$6))),"",ROUND(itens_Remanesc!C157*parametros!$G$6,2))</f>
        <v/>
      </c>
      <c r="O158" s="332">
        <f>IF(itens_Remanesc!A157="","",itens_Remanesc!K157)</f>
        <v/>
      </c>
      <c r="P158" s="331">
        <f>IF(OR(A158="",N158="",O158=""),"",ROUND(N158*O158,2))</f>
        <v/>
      </c>
    </row>
    <row r="159">
      <c r="A159" s="330">
        <f>IF(itens_Remanesc!A158="","",itens_Remanesc!A158)</f>
        <v/>
      </c>
      <c r="B159" s="331">
        <f>IF(OR(itens_Remanesc!A158="",NOT(ISNUMBER(parametros!$G$2))),"",ROUND(itens_Remanesc!C158*parametros!$G$2,2))</f>
        <v/>
      </c>
      <c r="C159" s="332">
        <f>IF(itens_Remanesc!A158="","",itens_Remanesc!B158)</f>
        <v/>
      </c>
      <c r="D159" s="331">
        <f>IF(A159="","",ROUND(B159*C159,2))</f>
        <v/>
      </c>
      <c r="E159" s="333">
        <f>IF(OR(itens_Remanesc!A158="",NOT(ISNUMBER(parametros!$G$3))),"",ROUND(itens_Remanesc!C158*parametros!$G$3,2))</f>
        <v/>
      </c>
      <c r="F159" s="334">
        <f>IF(itens_Remanesc!A158="","",itens_Remanesc!E158)</f>
        <v/>
      </c>
      <c r="G159" s="333">
        <f>IF(OR(A159="",E159="",F159=""),"",ROUND(E159*F159,2))</f>
        <v/>
      </c>
      <c r="H159" s="331">
        <f>IF(OR(itens_Remanesc!A158="",NOT(ISNUMBER(parametros!$G$4))),"",ROUND(itens_Remanesc!C158*parametros!$G$4,2))</f>
        <v/>
      </c>
      <c r="I159" s="332">
        <f>IF(itens_Remanesc!A158="","",itens_Remanesc!G158)</f>
        <v/>
      </c>
      <c r="J159" s="331">
        <f>IF(OR(A159="",H159="",I159=""),"",ROUND(H159*I159,2))</f>
        <v/>
      </c>
      <c r="K159" s="333">
        <f>IF(OR(itens_Remanesc!A158="",NOT(ISNUMBER(parametros!$G$5))),"",ROUND(itens_Remanesc!C158*parametros!$G$5,2))</f>
        <v/>
      </c>
      <c r="L159" s="334">
        <f>IF(itens_Remanesc!A158="","",itens_Remanesc!I158)</f>
        <v/>
      </c>
      <c r="M159" s="333">
        <f>IF(OR(A159="",K159="",L159=""),"",ROUND(K159*L159,2))</f>
        <v/>
      </c>
      <c r="N159" s="331">
        <f>IF(OR(itens_Remanesc!A158="",NOT(ISNUMBER(parametros!$G$6))),"",ROUND(itens_Remanesc!C158*parametros!$G$6,2))</f>
        <v/>
      </c>
      <c r="O159" s="332">
        <f>IF(itens_Remanesc!A158="","",itens_Remanesc!K158)</f>
        <v/>
      </c>
      <c r="P159" s="331">
        <f>IF(OR(A159="",N159="",O159=""),"",ROUND(N159*O159,2))</f>
        <v/>
      </c>
    </row>
    <row r="160">
      <c r="A160" s="330">
        <f>IF(itens_Remanesc!A159="","",itens_Remanesc!A159)</f>
        <v/>
      </c>
      <c r="B160" s="331">
        <f>IF(OR(itens_Remanesc!A159="",NOT(ISNUMBER(parametros!$G$2))),"",ROUND(itens_Remanesc!C159*parametros!$G$2,2))</f>
        <v/>
      </c>
      <c r="C160" s="332">
        <f>IF(itens_Remanesc!A159="","",itens_Remanesc!B159)</f>
        <v/>
      </c>
      <c r="D160" s="331">
        <f>IF(A160="","",ROUND(B160*C160,2))</f>
        <v/>
      </c>
      <c r="E160" s="333">
        <f>IF(OR(itens_Remanesc!A159="",NOT(ISNUMBER(parametros!$G$3))),"",ROUND(itens_Remanesc!C159*parametros!$G$3,2))</f>
        <v/>
      </c>
      <c r="F160" s="334">
        <f>IF(itens_Remanesc!A159="","",itens_Remanesc!E159)</f>
        <v/>
      </c>
      <c r="G160" s="333">
        <f>IF(OR(A160="",E160="",F160=""),"",ROUND(E160*F160,2))</f>
        <v/>
      </c>
      <c r="H160" s="331">
        <f>IF(OR(itens_Remanesc!A159="",NOT(ISNUMBER(parametros!$G$4))),"",ROUND(itens_Remanesc!C159*parametros!$G$4,2))</f>
        <v/>
      </c>
      <c r="I160" s="332">
        <f>IF(itens_Remanesc!A159="","",itens_Remanesc!G159)</f>
        <v/>
      </c>
      <c r="J160" s="331">
        <f>IF(OR(A160="",H160="",I160=""),"",ROUND(H160*I160,2))</f>
        <v/>
      </c>
      <c r="K160" s="333">
        <f>IF(OR(itens_Remanesc!A159="",NOT(ISNUMBER(parametros!$G$5))),"",ROUND(itens_Remanesc!C159*parametros!$G$5,2))</f>
        <v/>
      </c>
      <c r="L160" s="334">
        <f>IF(itens_Remanesc!A159="","",itens_Remanesc!I159)</f>
        <v/>
      </c>
      <c r="M160" s="333">
        <f>IF(OR(A160="",K160="",L160=""),"",ROUND(K160*L160,2))</f>
        <v/>
      </c>
      <c r="N160" s="331">
        <f>IF(OR(itens_Remanesc!A159="",NOT(ISNUMBER(parametros!$G$6))),"",ROUND(itens_Remanesc!C159*parametros!$G$6,2))</f>
        <v/>
      </c>
      <c r="O160" s="332">
        <f>IF(itens_Remanesc!A159="","",itens_Remanesc!K159)</f>
        <v/>
      </c>
      <c r="P160" s="331">
        <f>IF(OR(A160="",N160="",O160=""),"",ROUND(N160*O160,2))</f>
        <v/>
      </c>
    </row>
    <row r="161">
      <c r="A161" s="330">
        <f>IF(itens_Remanesc!A160="","",itens_Remanesc!A160)</f>
        <v/>
      </c>
      <c r="B161" s="331">
        <f>IF(OR(itens_Remanesc!A160="",NOT(ISNUMBER(parametros!$G$2))),"",ROUND(itens_Remanesc!C160*parametros!$G$2,2))</f>
        <v/>
      </c>
      <c r="C161" s="332">
        <f>IF(itens_Remanesc!A160="","",itens_Remanesc!B160)</f>
        <v/>
      </c>
      <c r="D161" s="331">
        <f>IF(A161="","",ROUND(B161*C161,2))</f>
        <v/>
      </c>
      <c r="E161" s="333">
        <f>IF(OR(itens_Remanesc!A160="",NOT(ISNUMBER(parametros!$G$3))),"",ROUND(itens_Remanesc!C160*parametros!$G$3,2))</f>
        <v/>
      </c>
      <c r="F161" s="334">
        <f>IF(itens_Remanesc!A160="","",itens_Remanesc!E160)</f>
        <v/>
      </c>
      <c r="G161" s="333">
        <f>IF(OR(A161="",E161="",F161=""),"",ROUND(E161*F161,2))</f>
        <v/>
      </c>
      <c r="H161" s="331">
        <f>IF(OR(itens_Remanesc!A160="",NOT(ISNUMBER(parametros!$G$4))),"",ROUND(itens_Remanesc!C160*parametros!$G$4,2))</f>
        <v/>
      </c>
      <c r="I161" s="332">
        <f>IF(itens_Remanesc!A160="","",itens_Remanesc!G160)</f>
        <v/>
      </c>
      <c r="J161" s="331">
        <f>IF(OR(A161="",H161="",I161=""),"",ROUND(H161*I161,2))</f>
        <v/>
      </c>
      <c r="K161" s="333">
        <f>IF(OR(itens_Remanesc!A160="",NOT(ISNUMBER(parametros!$G$5))),"",ROUND(itens_Remanesc!C160*parametros!$G$5,2))</f>
        <v/>
      </c>
      <c r="L161" s="334">
        <f>IF(itens_Remanesc!A160="","",itens_Remanesc!I160)</f>
        <v/>
      </c>
      <c r="M161" s="333">
        <f>IF(OR(A161="",K161="",L161=""),"",ROUND(K161*L161,2))</f>
        <v/>
      </c>
      <c r="N161" s="331">
        <f>IF(OR(itens_Remanesc!A160="",NOT(ISNUMBER(parametros!$G$6))),"",ROUND(itens_Remanesc!C160*parametros!$G$6,2))</f>
        <v/>
      </c>
      <c r="O161" s="332">
        <f>IF(itens_Remanesc!A160="","",itens_Remanesc!K160)</f>
        <v/>
      </c>
      <c r="P161" s="331">
        <f>IF(OR(A161="",N161="",O161=""),"",ROUND(N161*O161,2))</f>
        <v/>
      </c>
    </row>
    <row r="162">
      <c r="A162" s="330">
        <f>IF(itens_Remanesc!A161="","",itens_Remanesc!A161)</f>
        <v/>
      </c>
      <c r="B162" s="331">
        <f>IF(OR(itens_Remanesc!A161="",NOT(ISNUMBER(parametros!$G$2))),"",ROUND(itens_Remanesc!C161*parametros!$G$2,2))</f>
        <v/>
      </c>
      <c r="C162" s="332">
        <f>IF(itens_Remanesc!A161="","",itens_Remanesc!B161)</f>
        <v/>
      </c>
      <c r="D162" s="331">
        <f>IF(A162="","",ROUND(B162*C162,2))</f>
        <v/>
      </c>
      <c r="E162" s="333">
        <f>IF(OR(itens_Remanesc!A161="",NOT(ISNUMBER(parametros!$G$3))),"",ROUND(itens_Remanesc!C161*parametros!$G$3,2))</f>
        <v/>
      </c>
      <c r="F162" s="334">
        <f>IF(itens_Remanesc!A161="","",itens_Remanesc!E161)</f>
        <v/>
      </c>
      <c r="G162" s="333">
        <f>IF(OR(A162="",E162="",F162=""),"",ROUND(E162*F162,2))</f>
        <v/>
      </c>
      <c r="H162" s="331">
        <f>IF(OR(itens_Remanesc!A161="",NOT(ISNUMBER(parametros!$G$4))),"",ROUND(itens_Remanesc!C161*parametros!$G$4,2))</f>
        <v/>
      </c>
      <c r="I162" s="332">
        <f>IF(itens_Remanesc!A161="","",itens_Remanesc!G161)</f>
        <v/>
      </c>
      <c r="J162" s="331">
        <f>IF(OR(A162="",H162="",I162=""),"",ROUND(H162*I162,2))</f>
        <v/>
      </c>
      <c r="K162" s="333">
        <f>IF(OR(itens_Remanesc!A161="",NOT(ISNUMBER(parametros!$G$5))),"",ROUND(itens_Remanesc!C161*parametros!$G$5,2))</f>
        <v/>
      </c>
      <c r="L162" s="334">
        <f>IF(itens_Remanesc!A161="","",itens_Remanesc!I161)</f>
        <v/>
      </c>
      <c r="M162" s="333">
        <f>IF(OR(A162="",K162="",L162=""),"",ROUND(K162*L162,2))</f>
        <v/>
      </c>
      <c r="N162" s="331">
        <f>IF(OR(itens_Remanesc!A161="",NOT(ISNUMBER(parametros!$G$6))),"",ROUND(itens_Remanesc!C161*parametros!$G$6,2))</f>
        <v/>
      </c>
      <c r="O162" s="332">
        <f>IF(itens_Remanesc!A161="","",itens_Remanesc!K161)</f>
        <v/>
      </c>
      <c r="P162" s="331">
        <f>IF(OR(A162="",N162="",O162=""),"",ROUND(N162*O162,2))</f>
        <v/>
      </c>
    </row>
    <row r="163">
      <c r="A163" s="330">
        <f>IF(itens_Remanesc!A162="","",itens_Remanesc!A162)</f>
        <v/>
      </c>
      <c r="B163" s="331">
        <f>IF(OR(itens_Remanesc!A162="",NOT(ISNUMBER(parametros!$G$2))),"",ROUND(itens_Remanesc!C162*parametros!$G$2,2))</f>
        <v/>
      </c>
      <c r="C163" s="332">
        <f>IF(itens_Remanesc!A162="","",itens_Remanesc!B162)</f>
        <v/>
      </c>
      <c r="D163" s="331">
        <f>IF(A163="","",ROUND(B163*C163,2))</f>
        <v/>
      </c>
      <c r="E163" s="333">
        <f>IF(OR(itens_Remanesc!A162="",NOT(ISNUMBER(parametros!$G$3))),"",ROUND(itens_Remanesc!C162*parametros!$G$3,2))</f>
        <v/>
      </c>
      <c r="F163" s="334">
        <f>IF(itens_Remanesc!A162="","",itens_Remanesc!E162)</f>
        <v/>
      </c>
      <c r="G163" s="333">
        <f>IF(OR(A163="",E163="",F163=""),"",ROUND(E163*F163,2))</f>
        <v/>
      </c>
      <c r="H163" s="331">
        <f>IF(OR(itens_Remanesc!A162="",NOT(ISNUMBER(parametros!$G$4))),"",ROUND(itens_Remanesc!C162*parametros!$G$4,2))</f>
        <v/>
      </c>
      <c r="I163" s="332">
        <f>IF(itens_Remanesc!A162="","",itens_Remanesc!G162)</f>
        <v/>
      </c>
      <c r="J163" s="331">
        <f>IF(OR(A163="",H163="",I163=""),"",ROUND(H163*I163,2))</f>
        <v/>
      </c>
      <c r="K163" s="333">
        <f>IF(OR(itens_Remanesc!A162="",NOT(ISNUMBER(parametros!$G$5))),"",ROUND(itens_Remanesc!C162*parametros!$G$5,2))</f>
        <v/>
      </c>
      <c r="L163" s="334">
        <f>IF(itens_Remanesc!A162="","",itens_Remanesc!I162)</f>
        <v/>
      </c>
      <c r="M163" s="333">
        <f>IF(OR(A163="",K163="",L163=""),"",ROUND(K163*L163,2))</f>
        <v/>
      </c>
      <c r="N163" s="331">
        <f>IF(OR(itens_Remanesc!A162="",NOT(ISNUMBER(parametros!$G$6))),"",ROUND(itens_Remanesc!C162*parametros!$G$6,2))</f>
        <v/>
      </c>
      <c r="O163" s="332">
        <f>IF(itens_Remanesc!A162="","",itens_Remanesc!K162)</f>
        <v/>
      </c>
      <c r="P163" s="331">
        <f>IF(OR(A163="",N163="",O163=""),"",ROUND(N163*O163,2))</f>
        <v/>
      </c>
    </row>
    <row r="164">
      <c r="A164" s="330">
        <f>IF(itens_Remanesc!A163="","",itens_Remanesc!A163)</f>
        <v/>
      </c>
      <c r="B164" s="331">
        <f>IF(OR(itens_Remanesc!A163="",NOT(ISNUMBER(parametros!$G$2))),"",ROUND(itens_Remanesc!C163*parametros!$G$2,2))</f>
        <v/>
      </c>
      <c r="C164" s="332">
        <f>IF(itens_Remanesc!A163="","",itens_Remanesc!B163)</f>
        <v/>
      </c>
      <c r="D164" s="331">
        <f>IF(A164="","",ROUND(B164*C164,2))</f>
        <v/>
      </c>
      <c r="E164" s="333">
        <f>IF(OR(itens_Remanesc!A163="",NOT(ISNUMBER(parametros!$G$3))),"",ROUND(itens_Remanesc!C163*parametros!$G$3,2))</f>
        <v/>
      </c>
      <c r="F164" s="334">
        <f>IF(itens_Remanesc!A163="","",itens_Remanesc!E163)</f>
        <v/>
      </c>
      <c r="G164" s="333">
        <f>IF(OR(A164="",E164="",F164=""),"",ROUND(E164*F164,2))</f>
        <v/>
      </c>
      <c r="H164" s="331">
        <f>IF(OR(itens_Remanesc!A163="",NOT(ISNUMBER(parametros!$G$4))),"",ROUND(itens_Remanesc!C163*parametros!$G$4,2))</f>
        <v/>
      </c>
      <c r="I164" s="332">
        <f>IF(itens_Remanesc!A163="","",itens_Remanesc!G163)</f>
        <v/>
      </c>
      <c r="J164" s="331">
        <f>IF(OR(A164="",H164="",I164=""),"",ROUND(H164*I164,2))</f>
        <v/>
      </c>
      <c r="K164" s="333">
        <f>IF(OR(itens_Remanesc!A163="",NOT(ISNUMBER(parametros!$G$5))),"",ROUND(itens_Remanesc!C163*parametros!$G$5,2))</f>
        <v/>
      </c>
      <c r="L164" s="334">
        <f>IF(itens_Remanesc!A163="","",itens_Remanesc!I163)</f>
        <v/>
      </c>
      <c r="M164" s="333">
        <f>IF(OR(A164="",K164="",L164=""),"",ROUND(K164*L164,2))</f>
        <v/>
      </c>
      <c r="N164" s="331">
        <f>IF(OR(itens_Remanesc!A163="",NOT(ISNUMBER(parametros!$G$6))),"",ROUND(itens_Remanesc!C163*parametros!$G$6,2))</f>
        <v/>
      </c>
      <c r="O164" s="332">
        <f>IF(itens_Remanesc!A163="","",itens_Remanesc!K163)</f>
        <v/>
      </c>
      <c r="P164" s="331">
        <f>IF(OR(A164="",N164="",O164=""),"",ROUND(N164*O164,2))</f>
        <v/>
      </c>
    </row>
    <row r="165">
      <c r="A165" s="330">
        <f>IF(itens_Remanesc!A164="","",itens_Remanesc!A164)</f>
        <v/>
      </c>
      <c r="B165" s="331">
        <f>IF(OR(itens_Remanesc!A164="",NOT(ISNUMBER(parametros!$G$2))),"",ROUND(itens_Remanesc!C164*parametros!$G$2,2))</f>
        <v/>
      </c>
      <c r="C165" s="332">
        <f>IF(itens_Remanesc!A164="","",itens_Remanesc!B164)</f>
        <v/>
      </c>
      <c r="D165" s="331">
        <f>IF(A165="","",ROUND(B165*C165,2))</f>
        <v/>
      </c>
      <c r="E165" s="333">
        <f>IF(OR(itens_Remanesc!A164="",NOT(ISNUMBER(parametros!$G$3))),"",ROUND(itens_Remanesc!C164*parametros!$G$3,2))</f>
        <v/>
      </c>
      <c r="F165" s="334">
        <f>IF(itens_Remanesc!A164="","",itens_Remanesc!E164)</f>
        <v/>
      </c>
      <c r="G165" s="333">
        <f>IF(OR(A165="",E165="",F165=""),"",ROUND(E165*F165,2))</f>
        <v/>
      </c>
      <c r="H165" s="331">
        <f>IF(OR(itens_Remanesc!A164="",NOT(ISNUMBER(parametros!$G$4))),"",ROUND(itens_Remanesc!C164*parametros!$G$4,2))</f>
        <v/>
      </c>
      <c r="I165" s="332">
        <f>IF(itens_Remanesc!A164="","",itens_Remanesc!G164)</f>
        <v/>
      </c>
      <c r="J165" s="331">
        <f>IF(OR(A165="",H165="",I165=""),"",ROUND(H165*I165,2))</f>
        <v/>
      </c>
      <c r="K165" s="333">
        <f>IF(OR(itens_Remanesc!A164="",NOT(ISNUMBER(parametros!$G$5))),"",ROUND(itens_Remanesc!C164*parametros!$G$5,2))</f>
        <v/>
      </c>
      <c r="L165" s="334">
        <f>IF(itens_Remanesc!A164="","",itens_Remanesc!I164)</f>
        <v/>
      </c>
      <c r="M165" s="333">
        <f>IF(OR(A165="",K165="",L165=""),"",ROUND(K165*L165,2))</f>
        <v/>
      </c>
      <c r="N165" s="331">
        <f>IF(OR(itens_Remanesc!A164="",NOT(ISNUMBER(parametros!$G$6))),"",ROUND(itens_Remanesc!C164*parametros!$G$6,2))</f>
        <v/>
      </c>
      <c r="O165" s="332">
        <f>IF(itens_Remanesc!A164="","",itens_Remanesc!K164)</f>
        <v/>
      </c>
      <c r="P165" s="331">
        <f>IF(OR(A165="",N165="",O165=""),"",ROUND(N165*O165,2))</f>
        <v/>
      </c>
    </row>
    <row r="166">
      <c r="A166" s="330">
        <f>IF(itens_Remanesc!A165="","",itens_Remanesc!A165)</f>
        <v/>
      </c>
      <c r="B166" s="331">
        <f>IF(OR(itens_Remanesc!A165="",NOT(ISNUMBER(parametros!$G$2))),"",ROUND(itens_Remanesc!C165*parametros!$G$2,2))</f>
        <v/>
      </c>
      <c r="C166" s="332">
        <f>IF(itens_Remanesc!A165="","",itens_Remanesc!B165)</f>
        <v/>
      </c>
      <c r="D166" s="331">
        <f>IF(A166="","",ROUND(B166*C166,2))</f>
        <v/>
      </c>
      <c r="E166" s="333">
        <f>IF(OR(itens_Remanesc!A165="",NOT(ISNUMBER(parametros!$G$3))),"",ROUND(itens_Remanesc!C165*parametros!$G$3,2))</f>
        <v/>
      </c>
      <c r="F166" s="334">
        <f>IF(itens_Remanesc!A165="","",itens_Remanesc!E165)</f>
        <v/>
      </c>
      <c r="G166" s="333">
        <f>IF(OR(A166="",E166="",F166=""),"",ROUND(E166*F166,2))</f>
        <v/>
      </c>
      <c r="H166" s="331">
        <f>IF(OR(itens_Remanesc!A165="",NOT(ISNUMBER(parametros!$G$4))),"",ROUND(itens_Remanesc!C165*parametros!$G$4,2))</f>
        <v/>
      </c>
      <c r="I166" s="332">
        <f>IF(itens_Remanesc!A165="","",itens_Remanesc!G165)</f>
        <v/>
      </c>
      <c r="J166" s="331">
        <f>IF(OR(A166="",H166="",I166=""),"",ROUND(H166*I166,2))</f>
        <v/>
      </c>
      <c r="K166" s="333">
        <f>IF(OR(itens_Remanesc!A165="",NOT(ISNUMBER(parametros!$G$5))),"",ROUND(itens_Remanesc!C165*parametros!$G$5,2))</f>
        <v/>
      </c>
      <c r="L166" s="334">
        <f>IF(itens_Remanesc!A165="","",itens_Remanesc!I165)</f>
        <v/>
      </c>
      <c r="M166" s="333">
        <f>IF(OR(A166="",K166="",L166=""),"",ROUND(K166*L166,2))</f>
        <v/>
      </c>
      <c r="N166" s="331">
        <f>IF(OR(itens_Remanesc!A165="",NOT(ISNUMBER(parametros!$G$6))),"",ROUND(itens_Remanesc!C165*parametros!$G$6,2))</f>
        <v/>
      </c>
      <c r="O166" s="332">
        <f>IF(itens_Remanesc!A165="","",itens_Remanesc!K165)</f>
        <v/>
      </c>
      <c r="P166" s="331">
        <f>IF(OR(A166="",N166="",O166=""),"",ROUND(N166*O166,2))</f>
        <v/>
      </c>
    </row>
    <row r="167">
      <c r="A167" s="330">
        <f>IF(itens_Remanesc!A166="","",itens_Remanesc!A166)</f>
        <v/>
      </c>
      <c r="B167" s="331">
        <f>IF(OR(itens_Remanesc!A166="",NOT(ISNUMBER(parametros!$G$2))),"",ROUND(itens_Remanesc!C166*parametros!$G$2,2))</f>
        <v/>
      </c>
      <c r="C167" s="332">
        <f>IF(itens_Remanesc!A166="","",itens_Remanesc!B166)</f>
        <v/>
      </c>
      <c r="D167" s="331">
        <f>IF(A167="","",ROUND(B167*C167,2))</f>
        <v/>
      </c>
      <c r="E167" s="333">
        <f>IF(OR(itens_Remanesc!A166="",NOT(ISNUMBER(parametros!$G$3))),"",ROUND(itens_Remanesc!C166*parametros!$G$3,2))</f>
        <v/>
      </c>
      <c r="F167" s="334">
        <f>IF(itens_Remanesc!A166="","",itens_Remanesc!E166)</f>
        <v/>
      </c>
      <c r="G167" s="333">
        <f>IF(OR(A167="",E167="",F167=""),"",ROUND(E167*F167,2))</f>
        <v/>
      </c>
      <c r="H167" s="331">
        <f>IF(OR(itens_Remanesc!A166="",NOT(ISNUMBER(parametros!$G$4))),"",ROUND(itens_Remanesc!C166*parametros!$G$4,2))</f>
        <v/>
      </c>
      <c r="I167" s="332">
        <f>IF(itens_Remanesc!A166="","",itens_Remanesc!G166)</f>
        <v/>
      </c>
      <c r="J167" s="331">
        <f>IF(OR(A167="",H167="",I167=""),"",ROUND(H167*I167,2))</f>
        <v/>
      </c>
      <c r="K167" s="333">
        <f>IF(OR(itens_Remanesc!A166="",NOT(ISNUMBER(parametros!$G$5))),"",ROUND(itens_Remanesc!C166*parametros!$G$5,2))</f>
        <v/>
      </c>
      <c r="L167" s="334">
        <f>IF(itens_Remanesc!A166="","",itens_Remanesc!I166)</f>
        <v/>
      </c>
      <c r="M167" s="333">
        <f>IF(OR(A167="",K167="",L167=""),"",ROUND(K167*L167,2))</f>
        <v/>
      </c>
      <c r="N167" s="331">
        <f>IF(OR(itens_Remanesc!A166="",NOT(ISNUMBER(parametros!$G$6))),"",ROUND(itens_Remanesc!C166*parametros!$G$6,2))</f>
        <v/>
      </c>
      <c r="O167" s="332">
        <f>IF(itens_Remanesc!A166="","",itens_Remanesc!K166)</f>
        <v/>
      </c>
      <c r="P167" s="331">
        <f>IF(OR(A167="",N167="",O167=""),"",ROUND(N167*O167,2))</f>
        <v/>
      </c>
    </row>
    <row r="168">
      <c r="A168" s="330">
        <f>IF(itens_Remanesc!A167="","",itens_Remanesc!A167)</f>
        <v/>
      </c>
      <c r="B168" s="331">
        <f>IF(OR(itens_Remanesc!A167="",NOT(ISNUMBER(parametros!$G$2))),"",ROUND(itens_Remanesc!C167*parametros!$G$2,2))</f>
        <v/>
      </c>
      <c r="C168" s="332">
        <f>IF(itens_Remanesc!A167="","",itens_Remanesc!B167)</f>
        <v/>
      </c>
      <c r="D168" s="331">
        <f>IF(A168="","",ROUND(B168*C168,2))</f>
        <v/>
      </c>
      <c r="E168" s="333">
        <f>IF(OR(itens_Remanesc!A167="",NOT(ISNUMBER(parametros!$G$3))),"",ROUND(itens_Remanesc!C167*parametros!$G$3,2))</f>
        <v/>
      </c>
      <c r="F168" s="334">
        <f>IF(itens_Remanesc!A167="","",itens_Remanesc!E167)</f>
        <v/>
      </c>
      <c r="G168" s="333">
        <f>IF(OR(A168="",E168="",F168=""),"",ROUND(E168*F168,2))</f>
        <v/>
      </c>
      <c r="H168" s="331">
        <f>IF(OR(itens_Remanesc!A167="",NOT(ISNUMBER(parametros!$G$4))),"",ROUND(itens_Remanesc!C167*parametros!$G$4,2))</f>
        <v/>
      </c>
      <c r="I168" s="332">
        <f>IF(itens_Remanesc!A167="","",itens_Remanesc!G167)</f>
        <v/>
      </c>
      <c r="J168" s="331">
        <f>IF(OR(A168="",H168="",I168=""),"",ROUND(H168*I168,2))</f>
        <v/>
      </c>
      <c r="K168" s="333">
        <f>IF(OR(itens_Remanesc!A167="",NOT(ISNUMBER(parametros!$G$5))),"",ROUND(itens_Remanesc!C167*parametros!$G$5,2))</f>
        <v/>
      </c>
      <c r="L168" s="334">
        <f>IF(itens_Remanesc!A167="","",itens_Remanesc!I167)</f>
        <v/>
      </c>
      <c r="M168" s="333">
        <f>IF(OR(A168="",K168="",L168=""),"",ROUND(K168*L168,2))</f>
        <v/>
      </c>
      <c r="N168" s="331">
        <f>IF(OR(itens_Remanesc!A167="",NOT(ISNUMBER(parametros!$G$6))),"",ROUND(itens_Remanesc!C167*parametros!$G$6,2))</f>
        <v/>
      </c>
      <c r="O168" s="332">
        <f>IF(itens_Remanesc!A167="","",itens_Remanesc!K167)</f>
        <v/>
      </c>
      <c r="P168" s="331">
        <f>IF(OR(A168="",N168="",O168=""),"",ROUND(N168*O168,2))</f>
        <v/>
      </c>
    </row>
    <row r="169">
      <c r="A169" s="330">
        <f>IF(itens_Remanesc!A168="","",itens_Remanesc!A168)</f>
        <v/>
      </c>
      <c r="B169" s="331">
        <f>IF(OR(itens_Remanesc!A168="",NOT(ISNUMBER(parametros!$G$2))),"",ROUND(itens_Remanesc!C168*parametros!$G$2,2))</f>
        <v/>
      </c>
      <c r="C169" s="332">
        <f>IF(itens_Remanesc!A168="","",itens_Remanesc!B168)</f>
        <v/>
      </c>
      <c r="D169" s="331">
        <f>IF(A169="","",ROUND(B169*C169,2))</f>
        <v/>
      </c>
      <c r="E169" s="333">
        <f>IF(OR(itens_Remanesc!A168="",NOT(ISNUMBER(parametros!$G$3))),"",ROUND(itens_Remanesc!C168*parametros!$G$3,2))</f>
        <v/>
      </c>
      <c r="F169" s="334">
        <f>IF(itens_Remanesc!A168="","",itens_Remanesc!E168)</f>
        <v/>
      </c>
      <c r="G169" s="333">
        <f>IF(OR(A169="",E169="",F169=""),"",ROUND(E169*F169,2))</f>
        <v/>
      </c>
      <c r="H169" s="331">
        <f>IF(OR(itens_Remanesc!A168="",NOT(ISNUMBER(parametros!$G$4))),"",ROUND(itens_Remanesc!C168*parametros!$G$4,2))</f>
        <v/>
      </c>
      <c r="I169" s="332">
        <f>IF(itens_Remanesc!A168="","",itens_Remanesc!G168)</f>
        <v/>
      </c>
      <c r="J169" s="331">
        <f>IF(OR(A169="",H169="",I169=""),"",ROUND(H169*I169,2))</f>
        <v/>
      </c>
      <c r="K169" s="333">
        <f>IF(OR(itens_Remanesc!A168="",NOT(ISNUMBER(parametros!$G$5))),"",ROUND(itens_Remanesc!C168*parametros!$G$5,2))</f>
        <v/>
      </c>
      <c r="L169" s="334">
        <f>IF(itens_Remanesc!A168="","",itens_Remanesc!I168)</f>
        <v/>
      </c>
      <c r="M169" s="333">
        <f>IF(OR(A169="",K169="",L169=""),"",ROUND(K169*L169,2))</f>
        <v/>
      </c>
      <c r="N169" s="331">
        <f>IF(OR(itens_Remanesc!A168="",NOT(ISNUMBER(parametros!$G$6))),"",ROUND(itens_Remanesc!C168*parametros!$G$6,2))</f>
        <v/>
      </c>
      <c r="O169" s="332">
        <f>IF(itens_Remanesc!A168="","",itens_Remanesc!K168)</f>
        <v/>
      </c>
      <c r="P169" s="331">
        <f>IF(OR(A169="",N169="",O169=""),"",ROUND(N169*O169,2))</f>
        <v/>
      </c>
    </row>
    <row r="170">
      <c r="A170" s="330">
        <f>IF(itens_Remanesc!A169="","",itens_Remanesc!A169)</f>
        <v/>
      </c>
      <c r="B170" s="331">
        <f>IF(OR(itens_Remanesc!A169="",NOT(ISNUMBER(parametros!$G$2))),"",ROUND(itens_Remanesc!C169*parametros!$G$2,2))</f>
        <v/>
      </c>
      <c r="C170" s="332">
        <f>IF(itens_Remanesc!A169="","",itens_Remanesc!B169)</f>
        <v/>
      </c>
      <c r="D170" s="331">
        <f>IF(A170="","",ROUND(B170*C170,2))</f>
        <v/>
      </c>
      <c r="E170" s="333">
        <f>IF(OR(itens_Remanesc!A169="",NOT(ISNUMBER(parametros!$G$3))),"",ROUND(itens_Remanesc!C169*parametros!$G$3,2))</f>
        <v/>
      </c>
      <c r="F170" s="334">
        <f>IF(itens_Remanesc!A169="","",itens_Remanesc!E169)</f>
        <v/>
      </c>
      <c r="G170" s="333">
        <f>IF(OR(A170="",E170="",F170=""),"",ROUND(E170*F170,2))</f>
        <v/>
      </c>
      <c r="H170" s="331">
        <f>IF(OR(itens_Remanesc!A169="",NOT(ISNUMBER(parametros!$G$4))),"",ROUND(itens_Remanesc!C169*parametros!$G$4,2))</f>
        <v/>
      </c>
      <c r="I170" s="332">
        <f>IF(itens_Remanesc!A169="","",itens_Remanesc!G169)</f>
        <v/>
      </c>
      <c r="J170" s="331">
        <f>IF(OR(A170="",H170="",I170=""),"",ROUND(H170*I170,2))</f>
        <v/>
      </c>
      <c r="K170" s="333">
        <f>IF(OR(itens_Remanesc!A169="",NOT(ISNUMBER(parametros!$G$5))),"",ROUND(itens_Remanesc!C169*parametros!$G$5,2))</f>
        <v/>
      </c>
      <c r="L170" s="334">
        <f>IF(itens_Remanesc!A169="","",itens_Remanesc!I169)</f>
        <v/>
      </c>
      <c r="M170" s="333">
        <f>IF(OR(A170="",K170="",L170=""),"",ROUND(K170*L170,2))</f>
        <v/>
      </c>
      <c r="N170" s="331">
        <f>IF(OR(itens_Remanesc!A169="",NOT(ISNUMBER(parametros!$G$6))),"",ROUND(itens_Remanesc!C169*parametros!$G$6,2))</f>
        <v/>
      </c>
      <c r="O170" s="332">
        <f>IF(itens_Remanesc!A169="","",itens_Remanesc!K169)</f>
        <v/>
      </c>
      <c r="P170" s="331">
        <f>IF(OR(A170="",N170="",O170=""),"",ROUND(N170*O170,2))</f>
        <v/>
      </c>
    </row>
    <row r="171">
      <c r="A171" s="330">
        <f>IF(itens_Remanesc!A170="","",itens_Remanesc!A170)</f>
        <v/>
      </c>
      <c r="B171" s="331">
        <f>IF(OR(itens_Remanesc!A170="",NOT(ISNUMBER(parametros!$G$2))),"",ROUND(itens_Remanesc!C170*parametros!$G$2,2))</f>
        <v/>
      </c>
      <c r="C171" s="332">
        <f>IF(itens_Remanesc!A170="","",itens_Remanesc!B170)</f>
        <v/>
      </c>
      <c r="D171" s="331">
        <f>IF(A171="","",ROUND(B171*C171,2))</f>
        <v/>
      </c>
      <c r="E171" s="333">
        <f>IF(OR(itens_Remanesc!A170="",NOT(ISNUMBER(parametros!$G$3))),"",ROUND(itens_Remanesc!C170*parametros!$G$3,2))</f>
        <v/>
      </c>
      <c r="F171" s="334">
        <f>IF(itens_Remanesc!A170="","",itens_Remanesc!E170)</f>
        <v/>
      </c>
      <c r="G171" s="333">
        <f>IF(OR(A171="",E171="",F171=""),"",ROUND(E171*F171,2))</f>
        <v/>
      </c>
      <c r="H171" s="331">
        <f>IF(OR(itens_Remanesc!A170="",NOT(ISNUMBER(parametros!$G$4))),"",ROUND(itens_Remanesc!C170*parametros!$G$4,2))</f>
        <v/>
      </c>
      <c r="I171" s="332">
        <f>IF(itens_Remanesc!A170="","",itens_Remanesc!G170)</f>
        <v/>
      </c>
      <c r="J171" s="331">
        <f>IF(OR(A171="",H171="",I171=""),"",ROUND(H171*I171,2))</f>
        <v/>
      </c>
      <c r="K171" s="333">
        <f>IF(OR(itens_Remanesc!A170="",NOT(ISNUMBER(parametros!$G$5))),"",ROUND(itens_Remanesc!C170*parametros!$G$5,2))</f>
        <v/>
      </c>
      <c r="L171" s="334">
        <f>IF(itens_Remanesc!A170="","",itens_Remanesc!I170)</f>
        <v/>
      </c>
      <c r="M171" s="333">
        <f>IF(OR(A171="",K171="",L171=""),"",ROUND(K171*L171,2))</f>
        <v/>
      </c>
      <c r="N171" s="331">
        <f>IF(OR(itens_Remanesc!A170="",NOT(ISNUMBER(parametros!$G$6))),"",ROUND(itens_Remanesc!C170*parametros!$G$6,2))</f>
        <v/>
      </c>
      <c r="O171" s="332">
        <f>IF(itens_Remanesc!A170="","",itens_Remanesc!K170)</f>
        <v/>
      </c>
      <c r="P171" s="331">
        <f>IF(OR(A171="",N171="",O171=""),"",ROUND(N171*O171,2))</f>
        <v/>
      </c>
    </row>
    <row r="172">
      <c r="A172" s="330">
        <f>IF(itens_Remanesc!A171="","",itens_Remanesc!A171)</f>
        <v/>
      </c>
      <c r="B172" s="331">
        <f>IF(OR(itens_Remanesc!A171="",NOT(ISNUMBER(parametros!$G$2))),"",ROUND(itens_Remanesc!C171*parametros!$G$2,2))</f>
        <v/>
      </c>
      <c r="C172" s="332">
        <f>IF(itens_Remanesc!A171="","",itens_Remanesc!B171)</f>
        <v/>
      </c>
      <c r="D172" s="331">
        <f>IF(A172="","",ROUND(B172*C172,2))</f>
        <v/>
      </c>
      <c r="E172" s="333">
        <f>IF(OR(itens_Remanesc!A171="",NOT(ISNUMBER(parametros!$G$3))),"",ROUND(itens_Remanesc!C171*parametros!$G$3,2))</f>
        <v/>
      </c>
      <c r="F172" s="334">
        <f>IF(itens_Remanesc!A171="","",itens_Remanesc!E171)</f>
        <v/>
      </c>
      <c r="G172" s="333">
        <f>IF(OR(A172="",E172="",F172=""),"",ROUND(E172*F172,2))</f>
        <v/>
      </c>
      <c r="H172" s="331">
        <f>IF(OR(itens_Remanesc!A171="",NOT(ISNUMBER(parametros!$G$4))),"",ROUND(itens_Remanesc!C171*parametros!$G$4,2))</f>
        <v/>
      </c>
      <c r="I172" s="332">
        <f>IF(itens_Remanesc!A171="","",itens_Remanesc!G171)</f>
        <v/>
      </c>
      <c r="J172" s="331">
        <f>IF(OR(A172="",H172="",I172=""),"",ROUND(H172*I172,2))</f>
        <v/>
      </c>
      <c r="K172" s="333">
        <f>IF(OR(itens_Remanesc!A171="",NOT(ISNUMBER(parametros!$G$5))),"",ROUND(itens_Remanesc!C171*parametros!$G$5,2))</f>
        <v/>
      </c>
      <c r="L172" s="334">
        <f>IF(itens_Remanesc!A171="","",itens_Remanesc!I171)</f>
        <v/>
      </c>
      <c r="M172" s="333">
        <f>IF(OR(A172="",K172="",L172=""),"",ROUND(K172*L172,2))</f>
        <v/>
      </c>
      <c r="N172" s="331">
        <f>IF(OR(itens_Remanesc!A171="",NOT(ISNUMBER(parametros!$G$6))),"",ROUND(itens_Remanesc!C171*parametros!$G$6,2))</f>
        <v/>
      </c>
      <c r="O172" s="332">
        <f>IF(itens_Remanesc!A171="","",itens_Remanesc!K171)</f>
        <v/>
      </c>
      <c r="P172" s="331">
        <f>IF(OR(A172="",N172="",O172=""),"",ROUND(N172*O172,2))</f>
        <v/>
      </c>
    </row>
    <row r="173">
      <c r="A173" s="330">
        <f>IF(itens_Remanesc!A172="","",itens_Remanesc!A172)</f>
        <v/>
      </c>
      <c r="B173" s="331">
        <f>IF(OR(itens_Remanesc!A172="",NOT(ISNUMBER(parametros!$G$2))),"",ROUND(itens_Remanesc!C172*parametros!$G$2,2))</f>
        <v/>
      </c>
      <c r="C173" s="332">
        <f>IF(itens_Remanesc!A172="","",itens_Remanesc!B172)</f>
        <v/>
      </c>
      <c r="D173" s="331">
        <f>IF(A173="","",ROUND(B173*C173,2))</f>
        <v/>
      </c>
      <c r="E173" s="333">
        <f>IF(OR(itens_Remanesc!A172="",NOT(ISNUMBER(parametros!$G$3))),"",ROUND(itens_Remanesc!C172*parametros!$G$3,2))</f>
        <v/>
      </c>
      <c r="F173" s="334">
        <f>IF(itens_Remanesc!A172="","",itens_Remanesc!E172)</f>
        <v/>
      </c>
      <c r="G173" s="333">
        <f>IF(OR(A173="",E173="",F173=""),"",ROUND(E173*F173,2))</f>
        <v/>
      </c>
      <c r="H173" s="331">
        <f>IF(OR(itens_Remanesc!A172="",NOT(ISNUMBER(parametros!$G$4))),"",ROUND(itens_Remanesc!C172*parametros!$G$4,2))</f>
        <v/>
      </c>
      <c r="I173" s="332">
        <f>IF(itens_Remanesc!A172="","",itens_Remanesc!G172)</f>
        <v/>
      </c>
      <c r="J173" s="331">
        <f>IF(OR(A173="",H173="",I173=""),"",ROUND(H173*I173,2))</f>
        <v/>
      </c>
      <c r="K173" s="333">
        <f>IF(OR(itens_Remanesc!A172="",NOT(ISNUMBER(parametros!$G$5))),"",ROUND(itens_Remanesc!C172*parametros!$G$5,2))</f>
        <v/>
      </c>
      <c r="L173" s="334">
        <f>IF(itens_Remanesc!A172="","",itens_Remanesc!I172)</f>
        <v/>
      </c>
      <c r="M173" s="333">
        <f>IF(OR(A173="",K173="",L173=""),"",ROUND(K173*L173,2))</f>
        <v/>
      </c>
      <c r="N173" s="331">
        <f>IF(OR(itens_Remanesc!A172="",NOT(ISNUMBER(parametros!$G$6))),"",ROUND(itens_Remanesc!C172*parametros!$G$6,2))</f>
        <v/>
      </c>
      <c r="O173" s="332">
        <f>IF(itens_Remanesc!A172="","",itens_Remanesc!K172)</f>
        <v/>
      </c>
      <c r="P173" s="331">
        <f>IF(OR(A173="",N173="",O173=""),"",ROUND(N173*O173,2))</f>
        <v/>
      </c>
    </row>
    <row r="174">
      <c r="A174" s="330">
        <f>IF(itens_Remanesc!A173="","",itens_Remanesc!A173)</f>
        <v/>
      </c>
      <c r="B174" s="331">
        <f>IF(OR(itens_Remanesc!A173="",NOT(ISNUMBER(parametros!$G$2))),"",ROUND(itens_Remanesc!C173*parametros!$G$2,2))</f>
        <v/>
      </c>
      <c r="C174" s="332">
        <f>IF(itens_Remanesc!A173="","",itens_Remanesc!B173)</f>
        <v/>
      </c>
      <c r="D174" s="331">
        <f>IF(A174="","",ROUND(B174*C174,2))</f>
        <v/>
      </c>
      <c r="E174" s="333">
        <f>IF(OR(itens_Remanesc!A173="",NOT(ISNUMBER(parametros!$G$3))),"",ROUND(itens_Remanesc!C173*parametros!$G$3,2))</f>
        <v/>
      </c>
      <c r="F174" s="334">
        <f>IF(itens_Remanesc!A173="","",itens_Remanesc!E173)</f>
        <v/>
      </c>
      <c r="G174" s="333">
        <f>IF(OR(A174="",E174="",F174=""),"",ROUND(E174*F174,2))</f>
        <v/>
      </c>
      <c r="H174" s="331">
        <f>IF(OR(itens_Remanesc!A173="",NOT(ISNUMBER(parametros!$G$4))),"",ROUND(itens_Remanesc!C173*parametros!$G$4,2))</f>
        <v/>
      </c>
      <c r="I174" s="332">
        <f>IF(itens_Remanesc!A173="","",itens_Remanesc!G173)</f>
        <v/>
      </c>
      <c r="J174" s="331">
        <f>IF(OR(A174="",H174="",I174=""),"",ROUND(H174*I174,2))</f>
        <v/>
      </c>
      <c r="K174" s="333">
        <f>IF(OR(itens_Remanesc!A173="",NOT(ISNUMBER(parametros!$G$5))),"",ROUND(itens_Remanesc!C173*parametros!$G$5,2))</f>
        <v/>
      </c>
      <c r="L174" s="334">
        <f>IF(itens_Remanesc!A173="","",itens_Remanesc!I173)</f>
        <v/>
      </c>
      <c r="M174" s="333">
        <f>IF(OR(A174="",K174="",L174=""),"",ROUND(K174*L174,2))</f>
        <v/>
      </c>
      <c r="N174" s="331">
        <f>IF(OR(itens_Remanesc!A173="",NOT(ISNUMBER(parametros!$G$6))),"",ROUND(itens_Remanesc!C173*parametros!$G$6,2))</f>
        <v/>
      </c>
      <c r="O174" s="332">
        <f>IF(itens_Remanesc!A173="","",itens_Remanesc!K173)</f>
        <v/>
      </c>
      <c r="P174" s="331">
        <f>IF(OR(A174="",N174="",O174=""),"",ROUND(N174*O174,2))</f>
        <v/>
      </c>
    </row>
    <row r="175">
      <c r="A175" s="330">
        <f>IF(itens_Remanesc!A174="","",itens_Remanesc!A174)</f>
        <v/>
      </c>
      <c r="B175" s="331">
        <f>IF(OR(itens_Remanesc!A174="",NOT(ISNUMBER(parametros!$G$2))),"",ROUND(itens_Remanesc!C174*parametros!$G$2,2))</f>
        <v/>
      </c>
      <c r="C175" s="332">
        <f>IF(itens_Remanesc!A174="","",itens_Remanesc!B174)</f>
        <v/>
      </c>
      <c r="D175" s="331">
        <f>IF(A175="","",ROUND(B175*C175,2))</f>
        <v/>
      </c>
      <c r="E175" s="333">
        <f>IF(OR(itens_Remanesc!A174="",NOT(ISNUMBER(parametros!$G$3))),"",ROUND(itens_Remanesc!C174*parametros!$G$3,2))</f>
        <v/>
      </c>
      <c r="F175" s="334">
        <f>IF(itens_Remanesc!A174="","",itens_Remanesc!E174)</f>
        <v/>
      </c>
      <c r="G175" s="333">
        <f>IF(OR(A175="",E175="",F175=""),"",ROUND(E175*F175,2))</f>
        <v/>
      </c>
      <c r="H175" s="331">
        <f>IF(OR(itens_Remanesc!A174="",NOT(ISNUMBER(parametros!$G$4))),"",ROUND(itens_Remanesc!C174*parametros!$G$4,2))</f>
        <v/>
      </c>
      <c r="I175" s="332">
        <f>IF(itens_Remanesc!A174="","",itens_Remanesc!G174)</f>
        <v/>
      </c>
      <c r="J175" s="331">
        <f>IF(OR(A175="",H175="",I175=""),"",ROUND(H175*I175,2))</f>
        <v/>
      </c>
      <c r="K175" s="333">
        <f>IF(OR(itens_Remanesc!A174="",NOT(ISNUMBER(parametros!$G$5))),"",ROUND(itens_Remanesc!C174*parametros!$G$5,2))</f>
        <v/>
      </c>
      <c r="L175" s="334">
        <f>IF(itens_Remanesc!A174="","",itens_Remanesc!I174)</f>
        <v/>
      </c>
      <c r="M175" s="333">
        <f>IF(OR(A175="",K175="",L175=""),"",ROUND(K175*L175,2))</f>
        <v/>
      </c>
      <c r="N175" s="331">
        <f>IF(OR(itens_Remanesc!A174="",NOT(ISNUMBER(parametros!$G$6))),"",ROUND(itens_Remanesc!C174*parametros!$G$6,2))</f>
        <v/>
      </c>
      <c r="O175" s="332">
        <f>IF(itens_Remanesc!A174="","",itens_Remanesc!K174)</f>
        <v/>
      </c>
      <c r="P175" s="331">
        <f>IF(OR(A175="",N175="",O175=""),"",ROUND(N175*O175,2))</f>
        <v/>
      </c>
    </row>
    <row r="176">
      <c r="A176" s="330">
        <f>IF(itens_Remanesc!A175="","",itens_Remanesc!A175)</f>
        <v/>
      </c>
      <c r="B176" s="331">
        <f>IF(OR(itens_Remanesc!A175="",NOT(ISNUMBER(parametros!$G$2))),"",ROUND(itens_Remanesc!C175*parametros!$G$2,2))</f>
        <v/>
      </c>
      <c r="C176" s="332">
        <f>IF(itens_Remanesc!A175="","",itens_Remanesc!B175)</f>
        <v/>
      </c>
      <c r="D176" s="331">
        <f>IF(A176="","",ROUND(B176*C176,2))</f>
        <v/>
      </c>
      <c r="E176" s="333">
        <f>IF(OR(itens_Remanesc!A175="",NOT(ISNUMBER(parametros!$G$3))),"",ROUND(itens_Remanesc!C175*parametros!$G$3,2))</f>
        <v/>
      </c>
      <c r="F176" s="334">
        <f>IF(itens_Remanesc!A175="","",itens_Remanesc!E175)</f>
        <v/>
      </c>
      <c r="G176" s="333">
        <f>IF(OR(A176="",E176="",F176=""),"",ROUND(E176*F176,2))</f>
        <v/>
      </c>
      <c r="H176" s="331">
        <f>IF(OR(itens_Remanesc!A175="",NOT(ISNUMBER(parametros!$G$4))),"",ROUND(itens_Remanesc!C175*parametros!$G$4,2))</f>
        <v/>
      </c>
      <c r="I176" s="332">
        <f>IF(itens_Remanesc!A175="","",itens_Remanesc!G175)</f>
        <v/>
      </c>
      <c r="J176" s="331">
        <f>IF(OR(A176="",H176="",I176=""),"",ROUND(H176*I176,2))</f>
        <v/>
      </c>
      <c r="K176" s="333">
        <f>IF(OR(itens_Remanesc!A175="",NOT(ISNUMBER(parametros!$G$5))),"",ROUND(itens_Remanesc!C175*parametros!$G$5,2))</f>
        <v/>
      </c>
      <c r="L176" s="334">
        <f>IF(itens_Remanesc!A175="","",itens_Remanesc!I175)</f>
        <v/>
      </c>
      <c r="M176" s="333">
        <f>IF(OR(A176="",K176="",L176=""),"",ROUND(K176*L176,2))</f>
        <v/>
      </c>
      <c r="N176" s="331">
        <f>IF(OR(itens_Remanesc!A175="",NOT(ISNUMBER(parametros!$G$6))),"",ROUND(itens_Remanesc!C175*parametros!$G$6,2))</f>
        <v/>
      </c>
      <c r="O176" s="332">
        <f>IF(itens_Remanesc!A175="","",itens_Remanesc!K175)</f>
        <v/>
      </c>
      <c r="P176" s="331">
        <f>IF(OR(A176="",N176="",O176=""),"",ROUND(N176*O176,2))</f>
        <v/>
      </c>
    </row>
    <row r="177">
      <c r="A177" s="330">
        <f>IF(itens_Remanesc!A176="","",itens_Remanesc!A176)</f>
        <v/>
      </c>
      <c r="B177" s="331">
        <f>IF(OR(itens_Remanesc!A176="",NOT(ISNUMBER(parametros!$G$2))),"",ROUND(itens_Remanesc!C176*parametros!$G$2,2))</f>
        <v/>
      </c>
      <c r="C177" s="332">
        <f>IF(itens_Remanesc!A176="","",itens_Remanesc!B176)</f>
        <v/>
      </c>
      <c r="D177" s="331">
        <f>IF(A177="","",ROUND(B177*C177,2))</f>
        <v/>
      </c>
      <c r="E177" s="333">
        <f>IF(OR(itens_Remanesc!A176="",NOT(ISNUMBER(parametros!$G$3))),"",ROUND(itens_Remanesc!C176*parametros!$G$3,2))</f>
        <v/>
      </c>
      <c r="F177" s="334">
        <f>IF(itens_Remanesc!A176="","",itens_Remanesc!E176)</f>
        <v/>
      </c>
      <c r="G177" s="333">
        <f>IF(OR(A177="",E177="",F177=""),"",ROUND(E177*F177,2))</f>
        <v/>
      </c>
      <c r="H177" s="331">
        <f>IF(OR(itens_Remanesc!A176="",NOT(ISNUMBER(parametros!$G$4))),"",ROUND(itens_Remanesc!C176*parametros!$G$4,2))</f>
        <v/>
      </c>
      <c r="I177" s="332">
        <f>IF(itens_Remanesc!A176="","",itens_Remanesc!G176)</f>
        <v/>
      </c>
      <c r="J177" s="331">
        <f>IF(OR(A177="",H177="",I177=""),"",ROUND(H177*I177,2))</f>
        <v/>
      </c>
      <c r="K177" s="333">
        <f>IF(OR(itens_Remanesc!A176="",NOT(ISNUMBER(parametros!$G$5))),"",ROUND(itens_Remanesc!C176*parametros!$G$5,2))</f>
        <v/>
      </c>
      <c r="L177" s="334">
        <f>IF(itens_Remanesc!A176="","",itens_Remanesc!I176)</f>
        <v/>
      </c>
      <c r="M177" s="333">
        <f>IF(OR(A177="",K177="",L177=""),"",ROUND(K177*L177,2))</f>
        <v/>
      </c>
      <c r="N177" s="331">
        <f>IF(OR(itens_Remanesc!A176="",NOT(ISNUMBER(parametros!$G$6))),"",ROUND(itens_Remanesc!C176*parametros!$G$6,2))</f>
        <v/>
      </c>
      <c r="O177" s="332">
        <f>IF(itens_Remanesc!A176="","",itens_Remanesc!K176)</f>
        <v/>
      </c>
      <c r="P177" s="331">
        <f>IF(OR(A177="",N177="",O177=""),"",ROUND(N177*O177,2))</f>
        <v/>
      </c>
    </row>
    <row r="178">
      <c r="A178" s="330">
        <f>IF(itens_Remanesc!A177="","",itens_Remanesc!A177)</f>
        <v/>
      </c>
      <c r="B178" s="331">
        <f>IF(OR(itens_Remanesc!A177="",NOT(ISNUMBER(parametros!$G$2))),"",ROUND(itens_Remanesc!C177*parametros!$G$2,2))</f>
        <v/>
      </c>
      <c r="C178" s="332">
        <f>IF(itens_Remanesc!A177="","",itens_Remanesc!B177)</f>
        <v/>
      </c>
      <c r="D178" s="331">
        <f>IF(A178="","",ROUND(B178*C178,2))</f>
        <v/>
      </c>
      <c r="E178" s="333">
        <f>IF(OR(itens_Remanesc!A177="",NOT(ISNUMBER(parametros!$G$3))),"",ROUND(itens_Remanesc!C177*parametros!$G$3,2))</f>
        <v/>
      </c>
      <c r="F178" s="334">
        <f>IF(itens_Remanesc!A177="","",itens_Remanesc!E177)</f>
        <v/>
      </c>
      <c r="G178" s="333">
        <f>IF(OR(A178="",E178="",F178=""),"",ROUND(E178*F178,2))</f>
        <v/>
      </c>
      <c r="H178" s="331">
        <f>IF(OR(itens_Remanesc!A177="",NOT(ISNUMBER(parametros!$G$4))),"",ROUND(itens_Remanesc!C177*parametros!$G$4,2))</f>
        <v/>
      </c>
      <c r="I178" s="332">
        <f>IF(itens_Remanesc!A177="","",itens_Remanesc!G177)</f>
        <v/>
      </c>
      <c r="J178" s="331">
        <f>IF(OR(A178="",H178="",I178=""),"",ROUND(H178*I178,2))</f>
        <v/>
      </c>
      <c r="K178" s="333">
        <f>IF(OR(itens_Remanesc!A177="",NOT(ISNUMBER(parametros!$G$5))),"",ROUND(itens_Remanesc!C177*parametros!$G$5,2))</f>
        <v/>
      </c>
      <c r="L178" s="334">
        <f>IF(itens_Remanesc!A177="","",itens_Remanesc!I177)</f>
        <v/>
      </c>
      <c r="M178" s="333">
        <f>IF(OR(A178="",K178="",L178=""),"",ROUND(K178*L178,2))</f>
        <v/>
      </c>
      <c r="N178" s="331">
        <f>IF(OR(itens_Remanesc!A177="",NOT(ISNUMBER(parametros!$G$6))),"",ROUND(itens_Remanesc!C177*parametros!$G$6,2))</f>
        <v/>
      </c>
      <c r="O178" s="332">
        <f>IF(itens_Remanesc!A177="","",itens_Remanesc!K177)</f>
        <v/>
      </c>
      <c r="P178" s="331">
        <f>IF(OR(A178="",N178="",O178=""),"",ROUND(N178*O178,2))</f>
        <v/>
      </c>
    </row>
    <row r="179">
      <c r="A179" s="330">
        <f>IF(itens_Remanesc!A178="","",itens_Remanesc!A178)</f>
        <v/>
      </c>
      <c r="B179" s="331">
        <f>IF(OR(itens_Remanesc!A178="",NOT(ISNUMBER(parametros!$G$2))),"",ROUND(itens_Remanesc!C178*parametros!$G$2,2))</f>
        <v/>
      </c>
      <c r="C179" s="332">
        <f>IF(itens_Remanesc!A178="","",itens_Remanesc!B178)</f>
        <v/>
      </c>
      <c r="D179" s="331">
        <f>IF(A179="","",ROUND(B179*C179,2))</f>
        <v/>
      </c>
      <c r="E179" s="333">
        <f>IF(OR(itens_Remanesc!A178="",NOT(ISNUMBER(parametros!$G$3))),"",ROUND(itens_Remanesc!C178*parametros!$G$3,2))</f>
        <v/>
      </c>
      <c r="F179" s="334">
        <f>IF(itens_Remanesc!A178="","",itens_Remanesc!E178)</f>
        <v/>
      </c>
      <c r="G179" s="333">
        <f>IF(OR(A179="",E179="",F179=""),"",ROUND(E179*F179,2))</f>
        <v/>
      </c>
      <c r="H179" s="331">
        <f>IF(OR(itens_Remanesc!A178="",NOT(ISNUMBER(parametros!$G$4))),"",ROUND(itens_Remanesc!C178*parametros!$G$4,2))</f>
        <v/>
      </c>
      <c r="I179" s="332">
        <f>IF(itens_Remanesc!A178="","",itens_Remanesc!G178)</f>
        <v/>
      </c>
      <c r="J179" s="331">
        <f>IF(OR(A179="",H179="",I179=""),"",ROUND(H179*I179,2))</f>
        <v/>
      </c>
      <c r="K179" s="333">
        <f>IF(OR(itens_Remanesc!A178="",NOT(ISNUMBER(parametros!$G$5))),"",ROUND(itens_Remanesc!C178*parametros!$G$5,2))</f>
        <v/>
      </c>
      <c r="L179" s="334">
        <f>IF(itens_Remanesc!A178="","",itens_Remanesc!I178)</f>
        <v/>
      </c>
      <c r="M179" s="333">
        <f>IF(OR(A179="",K179="",L179=""),"",ROUND(K179*L179,2))</f>
        <v/>
      </c>
      <c r="N179" s="331">
        <f>IF(OR(itens_Remanesc!A178="",NOT(ISNUMBER(parametros!$G$6))),"",ROUND(itens_Remanesc!C178*parametros!$G$6,2))</f>
        <v/>
      </c>
      <c r="O179" s="332">
        <f>IF(itens_Remanesc!A178="","",itens_Remanesc!K178)</f>
        <v/>
      </c>
      <c r="P179" s="331">
        <f>IF(OR(A179="",N179="",O179=""),"",ROUND(N179*O179,2))</f>
        <v/>
      </c>
    </row>
    <row r="180">
      <c r="A180" s="330">
        <f>IF(itens_Remanesc!A179="","",itens_Remanesc!A179)</f>
        <v/>
      </c>
      <c r="B180" s="331">
        <f>IF(OR(itens_Remanesc!A179="",NOT(ISNUMBER(parametros!$G$2))),"",ROUND(itens_Remanesc!C179*parametros!$G$2,2))</f>
        <v/>
      </c>
      <c r="C180" s="332">
        <f>IF(itens_Remanesc!A179="","",itens_Remanesc!B179)</f>
        <v/>
      </c>
      <c r="D180" s="331">
        <f>IF(A180="","",ROUND(B180*C180,2))</f>
        <v/>
      </c>
      <c r="E180" s="333">
        <f>IF(OR(itens_Remanesc!A179="",NOT(ISNUMBER(parametros!$G$3))),"",ROUND(itens_Remanesc!C179*parametros!$G$3,2))</f>
        <v/>
      </c>
      <c r="F180" s="334">
        <f>IF(itens_Remanesc!A179="","",itens_Remanesc!E179)</f>
        <v/>
      </c>
      <c r="G180" s="333">
        <f>IF(OR(A180="",E180="",F180=""),"",ROUND(E180*F180,2))</f>
        <v/>
      </c>
      <c r="H180" s="331">
        <f>IF(OR(itens_Remanesc!A179="",NOT(ISNUMBER(parametros!$G$4))),"",ROUND(itens_Remanesc!C179*parametros!$G$4,2))</f>
        <v/>
      </c>
      <c r="I180" s="332">
        <f>IF(itens_Remanesc!A179="","",itens_Remanesc!G179)</f>
        <v/>
      </c>
      <c r="J180" s="331">
        <f>IF(OR(A180="",H180="",I180=""),"",ROUND(H180*I180,2))</f>
        <v/>
      </c>
      <c r="K180" s="333">
        <f>IF(OR(itens_Remanesc!A179="",NOT(ISNUMBER(parametros!$G$5))),"",ROUND(itens_Remanesc!C179*parametros!$G$5,2))</f>
        <v/>
      </c>
      <c r="L180" s="334">
        <f>IF(itens_Remanesc!A179="","",itens_Remanesc!I179)</f>
        <v/>
      </c>
      <c r="M180" s="333">
        <f>IF(OR(A180="",K180="",L180=""),"",ROUND(K180*L180,2))</f>
        <v/>
      </c>
      <c r="N180" s="331">
        <f>IF(OR(itens_Remanesc!A179="",NOT(ISNUMBER(parametros!$G$6))),"",ROUND(itens_Remanesc!C179*parametros!$G$6,2))</f>
        <v/>
      </c>
      <c r="O180" s="332">
        <f>IF(itens_Remanesc!A179="","",itens_Remanesc!K179)</f>
        <v/>
      </c>
      <c r="P180" s="331">
        <f>IF(OR(A180="",N180="",O180=""),"",ROUND(N180*O180,2))</f>
        <v/>
      </c>
    </row>
    <row r="181">
      <c r="A181" s="330">
        <f>IF(itens_Remanesc!A180="","",itens_Remanesc!A180)</f>
        <v/>
      </c>
      <c r="B181" s="331">
        <f>IF(OR(itens_Remanesc!A180="",NOT(ISNUMBER(parametros!$G$2))),"",ROUND(itens_Remanesc!C180*parametros!$G$2,2))</f>
        <v/>
      </c>
      <c r="C181" s="332">
        <f>IF(itens_Remanesc!A180="","",itens_Remanesc!B180)</f>
        <v/>
      </c>
      <c r="D181" s="331">
        <f>IF(A181="","",ROUND(B181*C181,2))</f>
        <v/>
      </c>
      <c r="E181" s="333">
        <f>IF(OR(itens_Remanesc!A180="",NOT(ISNUMBER(parametros!$G$3))),"",ROUND(itens_Remanesc!C180*parametros!$G$3,2))</f>
        <v/>
      </c>
      <c r="F181" s="334">
        <f>IF(itens_Remanesc!A180="","",itens_Remanesc!E180)</f>
        <v/>
      </c>
      <c r="G181" s="333">
        <f>IF(OR(A181="",E181="",F181=""),"",ROUND(E181*F181,2))</f>
        <v/>
      </c>
      <c r="H181" s="331">
        <f>IF(OR(itens_Remanesc!A180="",NOT(ISNUMBER(parametros!$G$4))),"",ROUND(itens_Remanesc!C180*parametros!$G$4,2))</f>
        <v/>
      </c>
      <c r="I181" s="332">
        <f>IF(itens_Remanesc!A180="","",itens_Remanesc!G180)</f>
        <v/>
      </c>
      <c r="J181" s="331">
        <f>IF(OR(A181="",H181="",I181=""),"",ROUND(H181*I181,2))</f>
        <v/>
      </c>
      <c r="K181" s="333">
        <f>IF(OR(itens_Remanesc!A180="",NOT(ISNUMBER(parametros!$G$5))),"",ROUND(itens_Remanesc!C180*parametros!$G$5,2))</f>
        <v/>
      </c>
      <c r="L181" s="334">
        <f>IF(itens_Remanesc!A180="","",itens_Remanesc!I180)</f>
        <v/>
      </c>
      <c r="M181" s="333">
        <f>IF(OR(A181="",K181="",L181=""),"",ROUND(K181*L181,2))</f>
        <v/>
      </c>
      <c r="N181" s="331">
        <f>IF(OR(itens_Remanesc!A180="",NOT(ISNUMBER(parametros!$G$6))),"",ROUND(itens_Remanesc!C180*parametros!$G$6,2))</f>
        <v/>
      </c>
      <c r="O181" s="332">
        <f>IF(itens_Remanesc!A180="","",itens_Remanesc!K180)</f>
        <v/>
      </c>
      <c r="P181" s="331">
        <f>IF(OR(A181="",N181="",O181=""),"",ROUND(N181*O181,2))</f>
        <v/>
      </c>
    </row>
    <row r="182">
      <c r="A182" s="330">
        <f>IF(itens_Remanesc!A181="","",itens_Remanesc!A181)</f>
        <v/>
      </c>
      <c r="B182" s="331">
        <f>IF(OR(itens_Remanesc!A181="",NOT(ISNUMBER(parametros!$G$2))),"",ROUND(itens_Remanesc!C181*parametros!$G$2,2))</f>
        <v/>
      </c>
      <c r="C182" s="332">
        <f>IF(itens_Remanesc!A181="","",itens_Remanesc!B181)</f>
        <v/>
      </c>
      <c r="D182" s="331">
        <f>IF(A182="","",ROUND(B182*C182,2))</f>
        <v/>
      </c>
      <c r="E182" s="333">
        <f>IF(OR(itens_Remanesc!A181="",NOT(ISNUMBER(parametros!$G$3))),"",ROUND(itens_Remanesc!C181*parametros!$G$3,2))</f>
        <v/>
      </c>
      <c r="F182" s="334">
        <f>IF(itens_Remanesc!A181="","",itens_Remanesc!E181)</f>
        <v/>
      </c>
      <c r="G182" s="333">
        <f>IF(OR(A182="",E182="",F182=""),"",ROUND(E182*F182,2))</f>
        <v/>
      </c>
      <c r="H182" s="331">
        <f>IF(OR(itens_Remanesc!A181="",NOT(ISNUMBER(parametros!$G$4))),"",ROUND(itens_Remanesc!C181*parametros!$G$4,2))</f>
        <v/>
      </c>
      <c r="I182" s="332">
        <f>IF(itens_Remanesc!A181="","",itens_Remanesc!G181)</f>
        <v/>
      </c>
      <c r="J182" s="331">
        <f>IF(OR(A182="",H182="",I182=""),"",ROUND(H182*I182,2))</f>
        <v/>
      </c>
      <c r="K182" s="333">
        <f>IF(OR(itens_Remanesc!A181="",NOT(ISNUMBER(parametros!$G$5))),"",ROUND(itens_Remanesc!C181*parametros!$G$5,2))</f>
        <v/>
      </c>
      <c r="L182" s="334">
        <f>IF(itens_Remanesc!A181="","",itens_Remanesc!I181)</f>
        <v/>
      </c>
      <c r="M182" s="333">
        <f>IF(OR(A182="",K182="",L182=""),"",ROUND(K182*L182,2))</f>
        <v/>
      </c>
      <c r="N182" s="331">
        <f>IF(OR(itens_Remanesc!A181="",NOT(ISNUMBER(parametros!$G$6))),"",ROUND(itens_Remanesc!C181*parametros!$G$6,2))</f>
        <v/>
      </c>
      <c r="O182" s="332">
        <f>IF(itens_Remanesc!A181="","",itens_Remanesc!K181)</f>
        <v/>
      </c>
      <c r="P182" s="331">
        <f>IF(OR(A182="",N182="",O182=""),"",ROUND(N182*O182,2))</f>
        <v/>
      </c>
    </row>
    <row r="183">
      <c r="A183" s="330">
        <f>IF(itens_Remanesc!A182="","",itens_Remanesc!A182)</f>
        <v/>
      </c>
      <c r="B183" s="331">
        <f>IF(OR(itens_Remanesc!A182="",NOT(ISNUMBER(parametros!$G$2))),"",ROUND(itens_Remanesc!C182*parametros!$G$2,2))</f>
        <v/>
      </c>
      <c r="C183" s="332">
        <f>IF(itens_Remanesc!A182="","",itens_Remanesc!B182)</f>
        <v/>
      </c>
      <c r="D183" s="331">
        <f>IF(A183="","",ROUND(B183*C183,2))</f>
        <v/>
      </c>
      <c r="E183" s="333">
        <f>IF(OR(itens_Remanesc!A182="",NOT(ISNUMBER(parametros!$G$3))),"",ROUND(itens_Remanesc!C182*parametros!$G$3,2))</f>
        <v/>
      </c>
      <c r="F183" s="334">
        <f>IF(itens_Remanesc!A182="","",itens_Remanesc!E182)</f>
        <v/>
      </c>
      <c r="G183" s="333">
        <f>IF(OR(A183="",E183="",F183=""),"",ROUND(E183*F183,2))</f>
        <v/>
      </c>
      <c r="H183" s="331">
        <f>IF(OR(itens_Remanesc!A182="",NOT(ISNUMBER(parametros!$G$4))),"",ROUND(itens_Remanesc!C182*parametros!$G$4,2))</f>
        <v/>
      </c>
      <c r="I183" s="332">
        <f>IF(itens_Remanesc!A182="","",itens_Remanesc!G182)</f>
        <v/>
      </c>
      <c r="J183" s="331">
        <f>IF(OR(A183="",H183="",I183=""),"",ROUND(H183*I183,2))</f>
        <v/>
      </c>
      <c r="K183" s="333">
        <f>IF(OR(itens_Remanesc!A182="",NOT(ISNUMBER(parametros!$G$5))),"",ROUND(itens_Remanesc!C182*parametros!$G$5,2))</f>
        <v/>
      </c>
      <c r="L183" s="334">
        <f>IF(itens_Remanesc!A182="","",itens_Remanesc!I182)</f>
        <v/>
      </c>
      <c r="M183" s="333">
        <f>IF(OR(A183="",K183="",L183=""),"",ROUND(K183*L183,2))</f>
        <v/>
      </c>
      <c r="N183" s="331">
        <f>IF(OR(itens_Remanesc!A182="",NOT(ISNUMBER(parametros!$G$6))),"",ROUND(itens_Remanesc!C182*parametros!$G$6,2))</f>
        <v/>
      </c>
      <c r="O183" s="332">
        <f>IF(itens_Remanesc!A182="","",itens_Remanesc!K182)</f>
        <v/>
      </c>
      <c r="P183" s="331">
        <f>IF(OR(A183="",N183="",O183=""),"",ROUND(N183*O183,2))</f>
        <v/>
      </c>
    </row>
    <row r="184">
      <c r="A184" s="330">
        <f>IF(itens_Remanesc!A183="","",itens_Remanesc!A183)</f>
        <v/>
      </c>
      <c r="B184" s="331">
        <f>IF(OR(itens_Remanesc!A183="",NOT(ISNUMBER(parametros!$G$2))),"",ROUND(itens_Remanesc!C183*parametros!$G$2,2))</f>
        <v/>
      </c>
      <c r="C184" s="332">
        <f>IF(itens_Remanesc!A183="","",itens_Remanesc!B183)</f>
        <v/>
      </c>
      <c r="D184" s="331">
        <f>IF(A184="","",ROUND(B184*C184,2))</f>
        <v/>
      </c>
      <c r="E184" s="333">
        <f>IF(OR(itens_Remanesc!A183="",NOT(ISNUMBER(parametros!$G$3))),"",ROUND(itens_Remanesc!C183*parametros!$G$3,2))</f>
        <v/>
      </c>
      <c r="F184" s="334">
        <f>IF(itens_Remanesc!A183="","",itens_Remanesc!E183)</f>
        <v/>
      </c>
      <c r="G184" s="333">
        <f>IF(OR(A184="",E184="",F184=""),"",ROUND(E184*F184,2))</f>
        <v/>
      </c>
      <c r="H184" s="331">
        <f>IF(OR(itens_Remanesc!A183="",NOT(ISNUMBER(parametros!$G$4))),"",ROUND(itens_Remanesc!C183*parametros!$G$4,2))</f>
        <v/>
      </c>
      <c r="I184" s="332">
        <f>IF(itens_Remanesc!A183="","",itens_Remanesc!G183)</f>
        <v/>
      </c>
      <c r="J184" s="331">
        <f>IF(OR(A184="",H184="",I184=""),"",ROUND(H184*I184,2))</f>
        <v/>
      </c>
      <c r="K184" s="333">
        <f>IF(OR(itens_Remanesc!A183="",NOT(ISNUMBER(parametros!$G$5))),"",ROUND(itens_Remanesc!C183*parametros!$G$5,2))</f>
        <v/>
      </c>
      <c r="L184" s="334">
        <f>IF(itens_Remanesc!A183="","",itens_Remanesc!I183)</f>
        <v/>
      </c>
      <c r="M184" s="333">
        <f>IF(OR(A184="",K184="",L184=""),"",ROUND(K184*L184,2))</f>
        <v/>
      </c>
      <c r="N184" s="331">
        <f>IF(OR(itens_Remanesc!A183="",NOT(ISNUMBER(parametros!$G$6))),"",ROUND(itens_Remanesc!C183*parametros!$G$6,2))</f>
        <v/>
      </c>
      <c r="O184" s="332">
        <f>IF(itens_Remanesc!A183="","",itens_Remanesc!K183)</f>
        <v/>
      </c>
      <c r="P184" s="331">
        <f>IF(OR(A184="",N184="",O184=""),"",ROUND(N184*O184,2))</f>
        <v/>
      </c>
    </row>
    <row r="185">
      <c r="A185" s="330">
        <f>IF(itens_Remanesc!A184="","",itens_Remanesc!A184)</f>
        <v/>
      </c>
      <c r="B185" s="331">
        <f>IF(OR(itens_Remanesc!A184="",NOT(ISNUMBER(parametros!$G$2))),"",ROUND(itens_Remanesc!C184*parametros!$G$2,2))</f>
        <v/>
      </c>
      <c r="C185" s="332">
        <f>IF(itens_Remanesc!A184="","",itens_Remanesc!B184)</f>
        <v/>
      </c>
      <c r="D185" s="331">
        <f>IF(A185="","",ROUND(B185*C185,2))</f>
        <v/>
      </c>
      <c r="E185" s="333">
        <f>IF(OR(itens_Remanesc!A184="",NOT(ISNUMBER(parametros!$G$3))),"",ROUND(itens_Remanesc!C184*parametros!$G$3,2))</f>
        <v/>
      </c>
      <c r="F185" s="334">
        <f>IF(itens_Remanesc!A184="","",itens_Remanesc!E184)</f>
        <v/>
      </c>
      <c r="G185" s="333">
        <f>IF(OR(A185="",E185="",F185=""),"",ROUND(E185*F185,2))</f>
        <v/>
      </c>
      <c r="H185" s="331">
        <f>IF(OR(itens_Remanesc!A184="",NOT(ISNUMBER(parametros!$G$4))),"",ROUND(itens_Remanesc!C184*parametros!$G$4,2))</f>
        <v/>
      </c>
      <c r="I185" s="332">
        <f>IF(itens_Remanesc!A184="","",itens_Remanesc!G184)</f>
        <v/>
      </c>
      <c r="J185" s="331">
        <f>IF(OR(A185="",H185="",I185=""),"",ROUND(H185*I185,2))</f>
        <v/>
      </c>
      <c r="K185" s="333">
        <f>IF(OR(itens_Remanesc!A184="",NOT(ISNUMBER(parametros!$G$5))),"",ROUND(itens_Remanesc!C184*parametros!$G$5,2))</f>
        <v/>
      </c>
      <c r="L185" s="334">
        <f>IF(itens_Remanesc!A184="","",itens_Remanesc!I184)</f>
        <v/>
      </c>
      <c r="M185" s="333">
        <f>IF(OR(A185="",K185="",L185=""),"",ROUND(K185*L185,2))</f>
        <v/>
      </c>
      <c r="N185" s="331">
        <f>IF(OR(itens_Remanesc!A184="",NOT(ISNUMBER(parametros!$G$6))),"",ROUND(itens_Remanesc!C184*parametros!$G$6,2))</f>
        <v/>
      </c>
      <c r="O185" s="332">
        <f>IF(itens_Remanesc!A184="","",itens_Remanesc!K184)</f>
        <v/>
      </c>
      <c r="P185" s="331">
        <f>IF(OR(A185="",N185="",O185=""),"",ROUND(N185*O185,2))</f>
        <v/>
      </c>
    </row>
    <row r="186">
      <c r="A186" s="330">
        <f>IF(itens_Remanesc!A185="","",itens_Remanesc!A185)</f>
        <v/>
      </c>
      <c r="B186" s="331">
        <f>IF(OR(itens_Remanesc!A185="",NOT(ISNUMBER(parametros!$G$2))),"",ROUND(itens_Remanesc!C185*parametros!$G$2,2))</f>
        <v/>
      </c>
      <c r="C186" s="332">
        <f>IF(itens_Remanesc!A185="","",itens_Remanesc!B185)</f>
        <v/>
      </c>
      <c r="D186" s="331">
        <f>IF(A186="","",ROUND(B186*C186,2))</f>
        <v/>
      </c>
      <c r="E186" s="333">
        <f>IF(OR(itens_Remanesc!A185="",NOT(ISNUMBER(parametros!$G$3))),"",ROUND(itens_Remanesc!C185*parametros!$G$3,2))</f>
        <v/>
      </c>
      <c r="F186" s="334">
        <f>IF(itens_Remanesc!A185="","",itens_Remanesc!E185)</f>
        <v/>
      </c>
      <c r="G186" s="333">
        <f>IF(OR(A186="",E186="",F186=""),"",ROUND(E186*F186,2))</f>
        <v/>
      </c>
      <c r="H186" s="331">
        <f>IF(OR(itens_Remanesc!A185="",NOT(ISNUMBER(parametros!$G$4))),"",ROUND(itens_Remanesc!C185*parametros!$G$4,2))</f>
        <v/>
      </c>
      <c r="I186" s="332">
        <f>IF(itens_Remanesc!A185="","",itens_Remanesc!G185)</f>
        <v/>
      </c>
      <c r="J186" s="331">
        <f>IF(OR(A186="",H186="",I186=""),"",ROUND(H186*I186,2))</f>
        <v/>
      </c>
      <c r="K186" s="333">
        <f>IF(OR(itens_Remanesc!A185="",NOT(ISNUMBER(parametros!$G$5))),"",ROUND(itens_Remanesc!C185*parametros!$G$5,2))</f>
        <v/>
      </c>
      <c r="L186" s="334">
        <f>IF(itens_Remanesc!A185="","",itens_Remanesc!I185)</f>
        <v/>
      </c>
      <c r="M186" s="333">
        <f>IF(OR(A186="",K186="",L186=""),"",ROUND(K186*L186,2))</f>
        <v/>
      </c>
      <c r="N186" s="331">
        <f>IF(OR(itens_Remanesc!A185="",NOT(ISNUMBER(parametros!$G$6))),"",ROUND(itens_Remanesc!C185*parametros!$G$6,2))</f>
        <v/>
      </c>
      <c r="O186" s="332">
        <f>IF(itens_Remanesc!A185="","",itens_Remanesc!K185)</f>
        <v/>
      </c>
      <c r="P186" s="331">
        <f>IF(OR(A186="",N186="",O186=""),"",ROUND(N186*O186,2))</f>
        <v/>
      </c>
    </row>
    <row r="187">
      <c r="A187" s="330">
        <f>IF(itens_Remanesc!A186="","",itens_Remanesc!A186)</f>
        <v/>
      </c>
      <c r="B187" s="331">
        <f>IF(OR(itens_Remanesc!A186="",NOT(ISNUMBER(parametros!$G$2))),"",ROUND(itens_Remanesc!C186*parametros!$G$2,2))</f>
        <v/>
      </c>
      <c r="C187" s="332">
        <f>IF(itens_Remanesc!A186="","",itens_Remanesc!B186)</f>
        <v/>
      </c>
      <c r="D187" s="331">
        <f>IF(A187="","",ROUND(B187*C187,2))</f>
        <v/>
      </c>
      <c r="E187" s="333">
        <f>IF(OR(itens_Remanesc!A186="",NOT(ISNUMBER(parametros!$G$3))),"",ROUND(itens_Remanesc!C186*parametros!$G$3,2))</f>
        <v/>
      </c>
      <c r="F187" s="334">
        <f>IF(itens_Remanesc!A186="","",itens_Remanesc!E186)</f>
        <v/>
      </c>
      <c r="G187" s="333">
        <f>IF(OR(A187="",E187="",F187=""),"",ROUND(E187*F187,2))</f>
        <v/>
      </c>
      <c r="H187" s="331">
        <f>IF(OR(itens_Remanesc!A186="",NOT(ISNUMBER(parametros!$G$4))),"",ROUND(itens_Remanesc!C186*parametros!$G$4,2))</f>
        <v/>
      </c>
      <c r="I187" s="332">
        <f>IF(itens_Remanesc!A186="","",itens_Remanesc!G186)</f>
        <v/>
      </c>
      <c r="J187" s="331">
        <f>IF(OR(A187="",H187="",I187=""),"",ROUND(H187*I187,2))</f>
        <v/>
      </c>
      <c r="K187" s="333">
        <f>IF(OR(itens_Remanesc!A186="",NOT(ISNUMBER(parametros!$G$5))),"",ROUND(itens_Remanesc!C186*parametros!$G$5,2))</f>
        <v/>
      </c>
      <c r="L187" s="334">
        <f>IF(itens_Remanesc!A186="","",itens_Remanesc!I186)</f>
        <v/>
      </c>
      <c r="M187" s="333">
        <f>IF(OR(A187="",K187="",L187=""),"",ROUND(K187*L187,2))</f>
        <v/>
      </c>
      <c r="N187" s="331">
        <f>IF(OR(itens_Remanesc!A186="",NOT(ISNUMBER(parametros!$G$6))),"",ROUND(itens_Remanesc!C186*parametros!$G$6,2))</f>
        <v/>
      </c>
      <c r="O187" s="332">
        <f>IF(itens_Remanesc!A186="","",itens_Remanesc!K186)</f>
        <v/>
      </c>
      <c r="P187" s="331">
        <f>IF(OR(A187="",N187="",O187=""),"",ROUND(N187*O187,2))</f>
        <v/>
      </c>
    </row>
    <row r="188">
      <c r="A188" s="330">
        <f>IF(itens_Remanesc!A187="","",itens_Remanesc!A187)</f>
        <v/>
      </c>
      <c r="B188" s="331">
        <f>IF(OR(itens_Remanesc!A187="",NOT(ISNUMBER(parametros!$G$2))),"",ROUND(itens_Remanesc!C187*parametros!$G$2,2))</f>
        <v/>
      </c>
      <c r="C188" s="332">
        <f>IF(itens_Remanesc!A187="","",itens_Remanesc!B187)</f>
        <v/>
      </c>
      <c r="D188" s="331">
        <f>IF(A188="","",ROUND(B188*C188,2))</f>
        <v/>
      </c>
      <c r="E188" s="333">
        <f>IF(OR(itens_Remanesc!A187="",NOT(ISNUMBER(parametros!$G$3))),"",ROUND(itens_Remanesc!C187*parametros!$G$3,2))</f>
        <v/>
      </c>
      <c r="F188" s="334">
        <f>IF(itens_Remanesc!A187="","",itens_Remanesc!E187)</f>
        <v/>
      </c>
      <c r="G188" s="333">
        <f>IF(OR(A188="",E188="",F188=""),"",ROUND(E188*F188,2))</f>
        <v/>
      </c>
      <c r="H188" s="331">
        <f>IF(OR(itens_Remanesc!A187="",NOT(ISNUMBER(parametros!$G$4))),"",ROUND(itens_Remanesc!C187*parametros!$G$4,2))</f>
        <v/>
      </c>
      <c r="I188" s="332">
        <f>IF(itens_Remanesc!A187="","",itens_Remanesc!G187)</f>
        <v/>
      </c>
      <c r="J188" s="331">
        <f>IF(OR(A188="",H188="",I188=""),"",ROUND(H188*I188,2))</f>
        <v/>
      </c>
      <c r="K188" s="333">
        <f>IF(OR(itens_Remanesc!A187="",NOT(ISNUMBER(parametros!$G$5))),"",ROUND(itens_Remanesc!C187*parametros!$G$5,2))</f>
        <v/>
      </c>
      <c r="L188" s="334">
        <f>IF(itens_Remanesc!A187="","",itens_Remanesc!I187)</f>
        <v/>
      </c>
      <c r="M188" s="333">
        <f>IF(OR(A188="",K188="",L188=""),"",ROUND(K188*L188,2))</f>
        <v/>
      </c>
      <c r="N188" s="331">
        <f>IF(OR(itens_Remanesc!A187="",NOT(ISNUMBER(parametros!$G$6))),"",ROUND(itens_Remanesc!C187*parametros!$G$6,2))</f>
        <v/>
      </c>
      <c r="O188" s="332">
        <f>IF(itens_Remanesc!A187="","",itens_Remanesc!K187)</f>
        <v/>
      </c>
      <c r="P188" s="331">
        <f>IF(OR(A188="",N188="",O188=""),"",ROUND(N188*O188,2))</f>
        <v/>
      </c>
    </row>
    <row r="189">
      <c r="A189" s="330">
        <f>IF(itens_Remanesc!A188="","",itens_Remanesc!A188)</f>
        <v/>
      </c>
      <c r="B189" s="331">
        <f>IF(OR(itens_Remanesc!A188="",NOT(ISNUMBER(parametros!$G$2))),"",ROUND(itens_Remanesc!C188*parametros!$G$2,2))</f>
        <v/>
      </c>
      <c r="C189" s="332">
        <f>IF(itens_Remanesc!A188="","",itens_Remanesc!B188)</f>
        <v/>
      </c>
      <c r="D189" s="331">
        <f>IF(A189="","",ROUND(B189*C189,2))</f>
        <v/>
      </c>
      <c r="E189" s="333">
        <f>IF(OR(itens_Remanesc!A188="",NOT(ISNUMBER(parametros!$G$3))),"",ROUND(itens_Remanesc!C188*parametros!$G$3,2))</f>
        <v/>
      </c>
      <c r="F189" s="334">
        <f>IF(itens_Remanesc!A188="","",itens_Remanesc!E188)</f>
        <v/>
      </c>
      <c r="G189" s="333">
        <f>IF(OR(A189="",E189="",F189=""),"",ROUND(E189*F189,2))</f>
        <v/>
      </c>
      <c r="H189" s="331">
        <f>IF(OR(itens_Remanesc!A188="",NOT(ISNUMBER(parametros!$G$4))),"",ROUND(itens_Remanesc!C188*parametros!$G$4,2))</f>
        <v/>
      </c>
      <c r="I189" s="332">
        <f>IF(itens_Remanesc!A188="","",itens_Remanesc!G188)</f>
        <v/>
      </c>
      <c r="J189" s="331">
        <f>IF(OR(A189="",H189="",I189=""),"",ROUND(H189*I189,2))</f>
        <v/>
      </c>
      <c r="K189" s="333">
        <f>IF(OR(itens_Remanesc!A188="",NOT(ISNUMBER(parametros!$G$5))),"",ROUND(itens_Remanesc!C188*parametros!$G$5,2))</f>
        <v/>
      </c>
      <c r="L189" s="334">
        <f>IF(itens_Remanesc!A188="","",itens_Remanesc!I188)</f>
        <v/>
      </c>
      <c r="M189" s="333">
        <f>IF(OR(A189="",K189="",L189=""),"",ROUND(K189*L189,2))</f>
        <v/>
      </c>
      <c r="N189" s="331">
        <f>IF(OR(itens_Remanesc!A188="",NOT(ISNUMBER(parametros!$G$6))),"",ROUND(itens_Remanesc!C188*parametros!$G$6,2))</f>
        <v/>
      </c>
      <c r="O189" s="332">
        <f>IF(itens_Remanesc!A188="","",itens_Remanesc!K188)</f>
        <v/>
      </c>
      <c r="P189" s="331">
        <f>IF(OR(A189="",N189="",O189=""),"",ROUND(N189*O189,2))</f>
        <v/>
      </c>
    </row>
    <row r="190">
      <c r="A190" s="330">
        <f>IF(itens_Remanesc!A189="","",itens_Remanesc!A189)</f>
        <v/>
      </c>
      <c r="B190" s="331">
        <f>IF(OR(itens_Remanesc!A189="",NOT(ISNUMBER(parametros!$G$2))),"",ROUND(itens_Remanesc!C189*parametros!$G$2,2))</f>
        <v/>
      </c>
      <c r="C190" s="332">
        <f>IF(itens_Remanesc!A189="","",itens_Remanesc!B189)</f>
        <v/>
      </c>
      <c r="D190" s="331">
        <f>IF(A190="","",ROUND(B190*C190,2))</f>
        <v/>
      </c>
      <c r="E190" s="333">
        <f>IF(OR(itens_Remanesc!A189="",NOT(ISNUMBER(parametros!$G$3))),"",ROUND(itens_Remanesc!C189*parametros!$G$3,2))</f>
        <v/>
      </c>
      <c r="F190" s="334">
        <f>IF(itens_Remanesc!A189="","",itens_Remanesc!E189)</f>
        <v/>
      </c>
      <c r="G190" s="333">
        <f>IF(OR(A190="",E190="",F190=""),"",ROUND(E190*F190,2))</f>
        <v/>
      </c>
      <c r="H190" s="331">
        <f>IF(OR(itens_Remanesc!A189="",NOT(ISNUMBER(parametros!$G$4))),"",ROUND(itens_Remanesc!C189*parametros!$G$4,2))</f>
        <v/>
      </c>
      <c r="I190" s="332">
        <f>IF(itens_Remanesc!A189="","",itens_Remanesc!G189)</f>
        <v/>
      </c>
      <c r="J190" s="331">
        <f>IF(OR(A190="",H190="",I190=""),"",ROUND(H190*I190,2))</f>
        <v/>
      </c>
      <c r="K190" s="333">
        <f>IF(OR(itens_Remanesc!A189="",NOT(ISNUMBER(parametros!$G$5))),"",ROUND(itens_Remanesc!C189*parametros!$G$5,2))</f>
        <v/>
      </c>
      <c r="L190" s="334">
        <f>IF(itens_Remanesc!A189="","",itens_Remanesc!I189)</f>
        <v/>
      </c>
      <c r="M190" s="333">
        <f>IF(OR(A190="",K190="",L190=""),"",ROUND(K190*L190,2))</f>
        <v/>
      </c>
      <c r="N190" s="331">
        <f>IF(OR(itens_Remanesc!A189="",NOT(ISNUMBER(parametros!$G$6))),"",ROUND(itens_Remanesc!C189*parametros!$G$6,2))</f>
        <v/>
      </c>
      <c r="O190" s="332">
        <f>IF(itens_Remanesc!A189="","",itens_Remanesc!K189)</f>
        <v/>
      </c>
      <c r="P190" s="331">
        <f>IF(OR(A190="",N190="",O190=""),"",ROUND(N190*O190,2))</f>
        <v/>
      </c>
    </row>
    <row r="191">
      <c r="A191" s="330">
        <f>IF(itens_Remanesc!A190="","",itens_Remanesc!A190)</f>
        <v/>
      </c>
      <c r="B191" s="331">
        <f>IF(OR(itens_Remanesc!A190="",NOT(ISNUMBER(parametros!$G$2))),"",ROUND(itens_Remanesc!C190*parametros!$G$2,2))</f>
        <v/>
      </c>
      <c r="C191" s="332">
        <f>IF(itens_Remanesc!A190="","",itens_Remanesc!B190)</f>
        <v/>
      </c>
      <c r="D191" s="331">
        <f>IF(A191="","",ROUND(B191*C191,2))</f>
        <v/>
      </c>
      <c r="E191" s="333">
        <f>IF(OR(itens_Remanesc!A190="",NOT(ISNUMBER(parametros!$G$3))),"",ROUND(itens_Remanesc!C190*parametros!$G$3,2))</f>
        <v/>
      </c>
      <c r="F191" s="334">
        <f>IF(itens_Remanesc!A190="","",itens_Remanesc!E190)</f>
        <v/>
      </c>
      <c r="G191" s="333">
        <f>IF(OR(A191="",E191="",F191=""),"",ROUND(E191*F191,2))</f>
        <v/>
      </c>
      <c r="H191" s="331">
        <f>IF(OR(itens_Remanesc!A190="",NOT(ISNUMBER(parametros!$G$4))),"",ROUND(itens_Remanesc!C190*parametros!$G$4,2))</f>
        <v/>
      </c>
      <c r="I191" s="332">
        <f>IF(itens_Remanesc!A190="","",itens_Remanesc!G190)</f>
        <v/>
      </c>
      <c r="J191" s="331">
        <f>IF(OR(A191="",H191="",I191=""),"",ROUND(H191*I191,2))</f>
        <v/>
      </c>
      <c r="K191" s="333">
        <f>IF(OR(itens_Remanesc!A190="",NOT(ISNUMBER(parametros!$G$5))),"",ROUND(itens_Remanesc!C190*parametros!$G$5,2))</f>
        <v/>
      </c>
      <c r="L191" s="334">
        <f>IF(itens_Remanesc!A190="","",itens_Remanesc!I190)</f>
        <v/>
      </c>
      <c r="M191" s="333">
        <f>IF(OR(A191="",K191="",L191=""),"",ROUND(K191*L191,2))</f>
        <v/>
      </c>
      <c r="N191" s="331">
        <f>IF(OR(itens_Remanesc!A190="",NOT(ISNUMBER(parametros!$G$6))),"",ROUND(itens_Remanesc!C190*parametros!$G$6,2))</f>
        <v/>
      </c>
      <c r="O191" s="332">
        <f>IF(itens_Remanesc!A190="","",itens_Remanesc!K190)</f>
        <v/>
      </c>
      <c r="P191" s="331">
        <f>IF(OR(A191="",N191="",O191=""),"",ROUND(N191*O191,2))</f>
        <v/>
      </c>
    </row>
    <row r="192">
      <c r="A192" s="330">
        <f>IF(itens_Remanesc!A191="","",itens_Remanesc!A191)</f>
        <v/>
      </c>
      <c r="B192" s="331">
        <f>IF(OR(itens_Remanesc!A191="",NOT(ISNUMBER(parametros!$G$2))),"",ROUND(itens_Remanesc!C191*parametros!$G$2,2))</f>
        <v/>
      </c>
      <c r="C192" s="332">
        <f>IF(itens_Remanesc!A191="","",itens_Remanesc!B191)</f>
        <v/>
      </c>
      <c r="D192" s="331">
        <f>IF(A192="","",ROUND(B192*C192,2))</f>
        <v/>
      </c>
      <c r="E192" s="333">
        <f>IF(OR(itens_Remanesc!A191="",NOT(ISNUMBER(parametros!$G$3))),"",ROUND(itens_Remanesc!C191*parametros!$G$3,2))</f>
        <v/>
      </c>
      <c r="F192" s="334">
        <f>IF(itens_Remanesc!A191="","",itens_Remanesc!E191)</f>
        <v/>
      </c>
      <c r="G192" s="333">
        <f>IF(OR(A192="",E192="",F192=""),"",ROUND(E192*F192,2))</f>
        <v/>
      </c>
      <c r="H192" s="331">
        <f>IF(OR(itens_Remanesc!A191="",NOT(ISNUMBER(parametros!$G$4))),"",ROUND(itens_Remanesc!C191*parametros!$G$4,2))</f>
        <v/>
      </c>
      <c r="I192" s="332">
        <f>IF(itens_Remanesc!A191="","",itens_Remanesc!G191)</f>
        <v/>
      </c>
      <c r="J192" s="331">
        <f>IF(OR(A192="",H192="",I192=""),"",ROUND(H192*I192,2))</f>
        <v/>
      </c>
      <c r="K192" s="333">
        <f>IF(OR(itens_Remanesc!A191="",NOT(ISNUMBER(parametros!$G$5))),"",ROUND(itens_Remanesc!C191*parametros!$G$5,2))</f>
        <v/>
      </c>
      <c r="L192" s="334">
        <f>IF(itens_Remanesc!A191="","",itens_Remanesc!I191)</f>
        <v/>
      </c>
      <c r="M192" s="333">
        <f>IF(OR(A192="",K192="",L192=""),"",ROUND(K192*L192,2))</f>
        <v/>
      </c>
      <c r="N192" s="331">
        <f>IF(OR(itens_Remanesc!A191="",NOT(ISNUMBER(parametros!$G$6))),"",ROUND(itens_Remanesc!C191*parametros!$G$6,2))</f>
        <v/>
      </c>
      <c r="O192" s="332">
        <f>IF(itens_Remanesc!A191="","",itens_Remanesc!K191)</f>
        <v/>
      </c>
      <c r="P192" s="331">
        <f>IF(OR(A192="",N192="",O192=""),"",ROUND(N192*O192,2))</f>
        <v/>
      </c>
    </row>
    <row r="193">
      <c r="A193" s="330">
        <f>IF(itens_Remanesc!A192="","",itens_Remanesc!A192)</f>
        <v/>
      </c>
      <c r="B193" s="331">
        <f>IF(OR(itens_Remanesc!A192="",NOT(ISNUMBER(parametros!$G$2))),"",ROUND(itens_Remanesc!C192*parametros!$G$2,2))</f>
        <v/>
      </c>
      <c r="C193" s="332">
        <f>IF(itens_Remanesc!A192="","",itens_Remanesc!B192)</f>
        <v/>
      </c>
      <c r="D193" s="331">
        <f>IF(A193="","",ROUND(B193*C193,2))</f>
        <v/>
      </c>
      <c r="E193" s="333">
        <f>IF(OR(itens_Remanesc!A192="",NOT(ISNUMBER(parametros!$G$3))),"",ROUND(itens_Remanesc!C192*parametros!$G$3,2))</f>
        <v/>
      </c>
      <c r="F193" s="334">
        <f>IF(itens_Remanesc!A192="","",itens_Remanesc!E192)</f>
        <v/>
      </c>
      <c r="G193" s="333">
        <f>IF(OR(A193="",E193="",F193=""),"",ROUND(E193*F193,2))</f>
        <v/>
      </c>
      <c r="H193" s="331">
        <f>IF(OR(itens_Remanesc!A192="",NOT(ISNUMBER(parametros!$G$4))),"",ROUND(itens_Remanesc!C192*parametros!$G$4,2))</f>
        <v/>
      </c>
      <c r="I193" s="332">
        <f>IF(itens_Remanesc!A192="","",itens_Remanesc!G192)</f>
        <v/>
      </c>
      <c r="J193" s="331">
        <f>IF(OR(A193="",H193="",I193=""),"",ROUND(H193*I193,2))</f>
        <v/>
      </c>
      <c r="K193" s="333">
        <f>IF(OR(itens_Remanesc!A192="",NOT(ISNUMBER(parametros!$G$5))),"",ROUND(itens_Remanesc!C192*parametros!$G$5,2))</f>
        <v/>
      </c>
      <c r="L193" s="334">
        <f>IF(itens_Remanesc!A192="","",itens_Remanesc!I192)</f>
        <v/>
      </c>
      <c r="M193" s="333">
        <f>IF(OR(A193="",K193="",L193=""),"",ROUND(K193*L193,2))</f>
        <v/>
      </c>
      <c r="N193" s="331">
        <f>IF(OR(itens_Remanesc!A192="",NOT(ISNUMBER(parametros!$G$6))),"",ROUND(itens_Remanesc!C192*parametros!$G$6,2))</f>
        <v/>
      </c>
      <c r="O193" s="332">
        <f>IF(itens_Remanesc!A192="","",itens_Remanesc!K192)</f>
        <v/>
      </c>
      <c r="P193" s="331">
        <f>IF(OR(A193="",N193="",O193=""),"",ROUND(N193*O193,2))</f>
        <v/>
      </c>
    </row>
    <row r="194">
      <c r="A194" s="330">
        <f>IF(itens_Remanesc!A193="","",itens_Remanesc!A193)</f>
        <v/>
      </c>
      <c r="B194" s="331">
        <f>IF(OR(itens_Remanesc!A193="",NOT(ISNUMBER(parametros!$G$2))),"",ROUND(itens_Remanesc!C193*parametros!$G$2,2))</f>
        <v/>
      </c>
      <c r="C194" s="332">
        <f>IF(itens_Remanesc!A193="","",itens_Remanesc!B193)</f>
        <v/>
      </c>
      <c r="D194" s="331">
        <f>IF(A194="","",ROUND(B194*C194,2))</f>
        <v/>
      </c>
      <c r="E194" s="333">
        <f>IF(OR(itens_Remanesc!A193="",NOT(ISNUMBER(parametros!$G$3))),"",ROUND(itens_Remanesc!C193*parametros!$G$3,2))</f>
        <v/>
      </c>
      <c r="F194" s="334">
        <f>IF(itens_Remanesc!A193="","",itens_Remanesc!E193)</f>
        <v/>
      </c>
      <c r="G194" s="333">
        <f>IF(OR(A194="",E194="",F194=""),"",ROUND(E194*F194,2))</f>
        <v/>
      </c>
      <c r="H194" s="331">
        <f>IF(OR(itens_Remanesc!A193="",NOT(ISNUMBER(parametros!$G$4))),"",ROUND(itens_Remanesc!C193*parametros!$G$4,2))</f>
        <v/>
      </c>
      <c r="I194" s="332">
        <f>IF(itens_Remanesc!A193="","",itens_Remanesc!G193)</f>
        <v/>
      </c>
      <c r="J194" s="331">
        <f>IF(OR(A194="",H194="",I194=""),"",ROUND(H194*I194,2))</f>
        <v/>
      </c>
      <c r="K194" s="333">
        <f>IF(OR(itens_Remanesc!A193="",NOT(ISNUMBER(parametros!$G$5))),"",ROUND(itens_Remanesc!C193*parametros!$G$5,2))</f>
        <v/>
      </c>
      <c r="L194" s="334">
        <f>IF(itens_Remanesc!A193="","",itens_Remanesc!I193)</f>
        <v/>
      </c>
      <c r="M194" s="333">
        <f>IF(OR(A194="",K194="",L194=""),"",ROUND(K194*L194,2))</f>
        <v/>
      </c>
      <c r="N194" s="331">
        <f>IF(OR(itens_Remanesc!A193="",NOT(ISNUMBER(parametros!$G$6))),"",ROUND(itens_Remanesc!C193*parametros!$G$6,2))</f>
        <v/>
      </c>
      <c r="O194" s="332">
        <f>IF(itens_Remanesc!A193="","",itens_Remanesc!K193)</f>
        <v/>
      </c>
      <c r="P194" s="331">
        <f>IF(OR(A194="",N194="",O194=""),"",ROUND(N194*O194,2))</f>
        <v/>
      </c>
    </row>
    <row r="195">
      <c r="A195" s="330">
        <f>IF(itens_Remanesc!A194="","",itens_Remanesc!A194)</f>
        <v/>
      </c>
      <c r="B195" s="331">
        <f>IF(OR(itens_Remanesc!A194="",NOT(ISNUMBER(parametros!$G$2))),"",ROUND(itens_Remanesc!C194*parametros!$G$2,2))</f>
        <v/>
      </c>
      <c r="C195" s="332">
        <f>IF(itens_Remanesc!A194="","",itens_Remanesc!B194)</f>
        <v/>
      </c>
      <c r="D195" s="331">
        <f>IF(A195="","",ROUND(B195*C195,2))</f>
        <v/>
      </c>
      <c r="E195" s="333">
        <f>IF(OR(itens_Remanesc!A194="",NOT(ISNUMBER(parametros!$G$3))),"",ROUND(itens_Remanesc!C194*parametros!$G$3,2))</f>
        <v/>
      </c>
      <c r="F195" s="334">
        <f>IF(itens_Remanesc!A194="","",itens_Remanesc!E194)</f>
        <v/>
      </c>
      <c r="G195" s="333">
        <f>IF(OR(A195="",E195="",F195=""),"",ROUND(E195*F195,2))</f>
        <v/>
      </c>
      <c r="H195" s="331">
        <f>IF(OR(itens_Remanesc!A194="",NOT(ISNUMBER(parametros!$G$4))),"",ROUND(itens_Remanesc!C194*parametros!$G$4,2))</f>
        <v/>
      </c>
      <c r="I195" s="332">
        <f>IF(itens_Remanesc!A194="","",itens_Remanesc!G194)</f>
        <v/>
      </c>
      <c r="J195" s="331">
        <f>IF(OR(A195="",H195="",I195=""),"",ROUND(H195*I195,2))</f>
        <v/>
      </c>
      <c r="K195" s="333">
        <f>IF(OR(itens_Remanesc!A194="",NOT(ISNUMBER(parametros!$G$5))),"",ROUND(itens_Remanesc!C194*parametros!$G$5,2))</f>
        <v/>
      </c>
      <c r="L195" s="334">
        <f>IF(itens_Remanesc!A194="","",itens_Remanesc!I194)</f>
        <v/>
      </c>
      <c r="M195" s="333">
        <f>IF(OR(A195="",K195="",L195=""),"",ROUND(K195*L195,2))</f>
        <v/>
      </c>
      <c r="N195" s="331">
        <f>IF(OR(itens_Remanesc!A194="",NOT(ISNUMBER(parametros!$G$6))),"",ROUND(itens_Remanesc!C194*parametros!$G$6,2))</f>
        <v/>
      </c>
      <c r="O195" s="332">
        <f>IF(itens_Remanesc!A194="","",itens_Remanesc!K194)</f>
        <v/>
      </c>
      <c r="P195" s="331">
        <f>IF(OR(A195="",N195="",O195=""),"",ROUND(N195*O195,2))</f>
        <v/>
      </c>
    </row>
    <row r="196">
      <c r="A196" s="330">
        <f>IF(itens_Remanesc!A195="","",itens_Remanesc!A195)</f>
        <v/>
      </c>
      <c r="B196" s="331">
        <f>IF(OR(itens_Remanesc!A195="",NOT(ISNUMBER(parametros!$G$2))),"",ROUND(itens_Remanesc!C195*parametros!$G$2,2))</f>
        <v/>
      </c>
      <c r="C196" s="332">
        <f>IF(itens_Remanesc!A195="","",itens_Remanesc!B195)</f>
        <v/>
      </c>
      <c r="D196" s="331">
        <f>IF(A196="","",ROUND(B196*C196,2))</f>
        <v/>
      </c>
      <c r="E196" s="333">
        <f>IF(OR(itens_Remanesc!A195="",NOT(ISNUMBER(parametros!$G$3))),"",ROUND(itens_Remanesc!C195*parametros!$G$3,2))</f>
        <v/>
      </c>
      <c r="F196" s="334">
        <f>IF(itens_Remanesc!A195="","",itens_Remanesc!E195)</f>
        <v/>
      </c>
      <c r="G196" s="333">
        <f>IF(OR(A196="",E196="",F196=""),"",ROUND(E196*F196,2))</f>
        <v/>
      </c>
      <c r="H196" s="331">
        <f>IF(OR(itens_Remanesc!A195="",NOT(ISNUMBER(parametros!$G$4))),"",ROUND(itens_Remanesc!C195*parametros!$G$4,2))</f>
        <v/>
      </c>
      <c r="I196" s="332">
        <f>IF(itens_Remanesc!A195="","",itens_Remanesc!G195)</f>
        <v/>
      </c>
      <c r="J196" s="331">
        <f>IF(OR(A196="",H196="",I196=""),"",ROUND(H196*I196,2))</f>
        <v/>
      </c>
      <c r="K196" s="333">
        <f>IF(OR(itens_Remanesc!A195="",NOT(ISNUMBER(parametros!$G$5))),"",ROUND(itens_Remanesc!C195*parametros!$G$5,2))</f>
        <v/>
      </c>
      <c r="L196" s="334">
        <f>IF(itens_Remanesc!A195="","",itens_Remanesc!I195)</f>
        <v/>
      </c>
      <c r="M196" s="333">
        <f>IF(OR(A196="",K196="",L196=""),"",ROUND(K196*L196,2))</f>
        <v/>
      </c>
      <c r="N196" s="331">
        <f>IF(OR(itens_Remanesc!A195="",NOT(ISNUMBER(parametros!$G$6))),"",ROUND(itens_Remanesc!C195*parametros!$G$6,2))</f>
        <v/>
      </c>
      <c r="O196" s="332">
        <f>IF(itens_Remanesc!A195="","",itens_Remanesc!K195)</f>
        <v/>
      </c>
      <c r="P196" s="331">
        <f>IF(OR(A196="",N196="",O196=""),"",ROUND(N196*O196,2))</f>
        <v/>
      </c>
    </row>
    <row r="197">
      <c r="A197" s="330">
        <f>IF(itens_Remanesc!A196="","",itens_Remanesc!A196)</f>
        <v/>
      </c>
      <c r="B197" s="331">
        <f>IF(OR(itens_Remanesc!A196="",NOT(ISNUMBER(parametros!$G$2))),"",ROUND(itens_Remanesc!C196*parametros!$G$2,2))</f>
        <v/>
      </c>
      <c r="C197" s="332">
        <f>IF(itens_Remanesc!A196="","",itens_Remanesc!B196)</f>
        <v/>
      </c>
      <c r="D197" s="331">
        <f>IF(A197="","",ROUND(B197*C197,2))</f>
        <v/>
      </c>
      <c r="E197" s="333">
        <f>IF(OR(itens_Remanesc!A196="",NOT(ISNUMBER(parametros!$G$3))),"",ROUND(itens_Remanesc!C196*parametros!$G$3,2))</f>
        <v/>
      </c>
      <c r="F197" s="334">
        <f>IF(itens_Remanesc!A196="","",itens_Remanesc!E196)</f>
        <v/>
      </c>
      <c r="G197" s="333">
        <f>IF(OR(A197="",E197="",F197=""),"",ROUND(E197*F197,2))</f>
        <v/>
      </c>
      <c r="H197" s="331">
        <f>IF(OR(itens_Remanesc!A196="",NOT(ISNUMBER(parametros!$G$4))),"",ROUND(itens_Remanesc!C196*parametros!$G$4,2))</f>
        <v/>
      </c>
      <c r="I197" s="332">
        <f>IF(itens_Remanesc!A196="","",itens_Remanesc!G196)</f>
        <v/>
      </c>
      <c r="J197" s="331">
        <f>IF(OR(A197="",H197="",I197=""),"",ROUND(H197*I197,2))</f>
        <v/>
      </c>
      <c r="K197" s="333">
        <f>IF(OR(itens_Remanesc!A196="",NOT(ISNUMBER(parametros!$G$5))),"",ROUND(itens_Remanesc!C196*parametros!$G$5,2))</f>
        <v/>
      </c>
      <c r="L197" s="334">
        <f>IF(itens_Remanesc!A196="","",itens_Remanesc!I196)</f>
        <v/>
      </c>
      <c r="M197" s="333">
        <f>IF(OR(A197="",K197="",L197=""),"",ROUND(K197*L197,2))</f>
        <v/>
      </c>
      <c r="N197" s="331">
        <f>IF(OR(itens_Remanesc!A196="",NOT(ISNUMBER(parametros!$G$6))),"",ROUND(itens_Remanesc!C196*parametros!$G$6,2))</f>
        <v/>
      </c>
      <c r="O197" s="332">
        <f>IF(itens_Remanesc!A196="","",itens_Remanesc!K196)</f>
        <v/>
      </c>
      <c r="P197" s="331">
        <f>IF(OR(A197="",N197="",O197=""),"",ROUND(N197*O197,2))</f>
        <v/>
      </c>
    </row>
    <row r="198">
      <c r="A198" s="330">
        <f>IF(itens_Remanesc!A197="","",itens_Remanesc!A197)</f>
        <v/>
      </c>
      <c r="B198" s="331">
        <f>IF(OR(itens_Remanesc!A197="",NOT(ISNUMBER(parametros!$G$2))),"",ROUND(itens_Remanesc!C197*parametros!$G$2,2))</f>
        <v/>
      </c>
      <c r="C198" s="332">
        <f>IF(itens_Remanesc!A197="","",itens_Remanesc!B197)</f>
        <v/>
      </c>
      <c r="D198" s="331">
        <f>IF(A198="","",ROUND(B198*C198,2))</f>
        <v/>
      </c>
      <c r="E198" s="333">
        <f>IF(OR(itens_Remanesc!A197="",NOT(ISNUMBER(parametros!$G$3))),"",ROUND(itens_Remanesc!C197*parametros!$G$3,2))</f>
        <v/>
      </c>
      <c r="F198" s="334">
        <f>IF(itens_Remanesc!A197="","",itens_Remanesc!E197)</f>
        <v/>
      </c>
      <c r="G198" s="333">
        <f>IF(OR(A198="",E198="",F198=""),"",ROUND(E198*F198,2))</f>
        <v/>
      </c>
      <c r="H198" s="331">
        <f>IF(OR(itens_Remanesc!A197="",NOT(ISNUMBER(parametros!$G$4))),"",ROUND(itens_Remanesc!C197*parametros!$G$4,2))</f>
        <v/>
      </c>
      <c r="I198" s="332">
        <f>IF(itens_Remanesc!A197="","",itens_Remanesc!G197)</f>
        <v/>
      </c>
      <c r="J198" s="331">
        <f>IF(OR(A198="",H198="",I198=""),"",ROUND(H198*I198,2))</f>
        <v/>
      </c>
      <c r="K198" s="333">
        <f>IF(OR(itens_Remanesc!A197="",NOT(ISNUMBER(parametros!$G$5))),"",ROUND(itens_Remanesc!C197*parametros!$G$5,2))</f>
        <v/>
      </c>
      <c r="L198" s="334">
        <f>IF(itens_Remanesc!A197="","",itens_Remanesc!I197)</f>
        <v/>
      </c>
      <c r="M198" s="333">
        <f>IF(OR(A198="",K198="",L198=""),"",ROUND(K198*L198,2))</f>
        <v/>
      </c>
      <c r="N198" s="331">
        <f>IF(OR(itens_Remanesc!A197="",NOT(ISNUMBER(parametros!$G$6))),"",ROUND(itens_Remanesc!C197*parametros!$G$6,2))</f>
        <v/>
      </c>
      <c r="O198" s="332">
        <f>IF(itens_Remanesc!A197="","",itens_Remanesc!K197)</f>
        <v/>
      </c>
      <c r="P198" s="331">
        <f>IF(OR(A198="",N198="",O198=""),"",ROUND(N198*O198,2))</f>
        <v/>
      </c>
    </row>
    <row r="199">
      <c r="A199" s="330">
        <f>IF(itens_Remanesc!A198="","",itens_Remanesc!A198)</f>
        <v/>
      </c>
      <c r="B199" s="331">
        <f>IF(OR(itens_Remanesc!A198="",NOT(ISNUMBER(parametros!$G$2))),"",ROUND(itens_Remanesc!C198*parametros!$G$2,2))</f>
        <v/>
      </c>
      <c r="C199" s="332">
        <f>IF(itens_Remanesc!A198="","",itens_Remanesc!B198)</f>
        <v/>
      </c>
      <c r="D199" s="331">
        <f>IF(A199="","",ROUND(B199*C199,2))</f>
        <v/>
      </c>
      <c r="E199" s="333">
        <f>IF(OR(itens_Remanesc!A198="",NOT(ISNUMBER(parametros!$G$3))),"",ROUND(itens_Remanesc!C198*parametros!$G$3,2))</f>
        <v/>
      </c>
      <c r="F199" s="334">
        <f>IF(itens_Remanesc!A198="","",itens_Remanesc!E198)</f>
        <v/>
      </c>
      <c r="G199" s="333">
        <f>IF(OR(A199="",E199="",F199=""),"",ROUND(E199*F199,2))</f>
        <v/>
      </c>
      <c r="H199" s="331">
        <f>IF(OR(itens_Remanesc!A198="",NOT(ISNUMBER(parametros!$G$4))),"",ROUND(itens_Remanesc!C198*parametros!$G$4,2))</f>
        <v/>
      </c>
      <c r="I199" s="332">
        <f>IF(itens_Remanesc!A198="","",itens_Remanesc!G198)</f>
        <v/>
      </c>
      <c r="J199" s="331">
        <f>IF(OR(A199="",H199="",I199=""),"",ROUND(H199*I199,2))</f>
        <v/>
      </c>
      <c r="K199" s="333">
        <f>IF(OR(itens_Remanesc!A198="",NOT(ISNUMBER(parametros!$G$5))),"",ROUND(itens_Remanesc!C198*parametros!$G$5,2))</f>
        <v/>
      </c>
      <c r="L199" s="334">
        <f>IF(itens_Remanesc!A198="","",itens_Remanesc!I198)</f>
        <v/>
      </c>
      <c r="M199" s="333">
        <f>IF(OR(A199="",K199="",L199=""),"",ROUND(K199*L199,2))</f>
        <v/>
      </c>
      <c r="N199" s="331">
        <f>IF(OR(itens_Remanesc!A198="",NOT(ISNUMBER(parametros!$G$6))),"",ROUND(itens_Remanesc!C198*parametros!$G$6,2))</f>
        <v/>
      </c>
      <c r="O199" s="332">
        <f>IF(itens_Remanesc!A198="","",itens_Remanesc!K198)</f>
        <v/>
      </c>
      <c r="P199" s="331">
        <f>IF(OR(A199="",N199="",O199=""),"",ROUND(N199*O199,2))</f>
        <v/>
      </c>
    </row>
    <row r="200">
      <c r="A200" s="330">
        <f>IF(itens_Remanesc!A199="","",itens_Remanesc!A199)</f>
        <v/>
      </c>
      <c r="B200" s="331">
        <f>IF(OR(itens_Remanesc!A199="",NOT(ISNUMBER(parametros!$G$2))),"",ROUND(itens_Remanesc!C199*parametros!$G$2,2))</f>
        <v/>
      </c>
      <c r="C200" s="332">
        <f>IF(itens_Remanesc!A199="","",itens_Remanesc!B199)</f>
        <v/>
      </c>
      <c r="D200" s="331">
        <f>IF(A200="","",ROUND(B200*C200,2))</f>
        <v/>
      </c>
      <c r="E200" s="333">
        <f>IF(OR(itens_Remanesc!A199="",NOT(ISNUMBER(parametros!$G$3))),"",ROUND(itens_Remanesc!C199*parametros!$G$3,2))</f>
        <v/>
      </c>
      <c r="F200" s="334">
        <f>IF(itens_Remanesc!A199="","",itens_Remanesc!E199)</f>
        <v/>
      </c>
      <c r="G200" s="333">
        <f>IF(OR(A200="",E200="",F200=""),"",ROUND(E200*F200,2))</f>
        <v/>
      </c>
      <c r="H200" s="331">
        <f>IF(OR(itens_Remanesc!A199="",NOT(ISNUMBER(parametros!$G$4))),"",ROUND(itens_Remanesc!C199*parametros!$G$4,2))</f>
        <v/>
      </c>
      <c r="I200" s="332">
        <f>IF(itens_Remanesc!A199="","",itens_Remanesc!G199)</f>
        <v/>
      </c>
      <c r="J200" s="331">
        <f>IF(OR(A200="",H200="",I200=""),"",ROUND(H200*I200,2))</f>
        <v/>
      </c>
      <c r="K200" s="333">
        <f>IF(OR(itens_Remanesc!A199="",NOT(ISNUMBER(parametros!$G$5))),"",ROUND(itens_Remanesc!C199*parametros!$G$5,2))</f>
        <v/>
      </c>
      <c r="L200" s="334">
        <f>IF(itens_Remanesc!A199="","",itens_Remanesc!I199)</f>
        <v/>
      </c>
      <c r="M200" s="333">
        <f>IF(OR(A200="",K200="",L200=""),"",ROUND(K200*L200,2))</f>
        <v/>
      </c>
      <c r="N200" s="331">
        <f>IF(OR(itens_Remanesc!A199="",NOT(ISNUMBER(parametros!$G$6))),"",ROUND(itens_Remanesc!C199*parametros!$G$6,2))</f>
        <v/>
      </c>
      <c r="O200" s="332">
        <f>IF(itens_Remanesc!A199="","",itens_Remanesc!K199)</f>
        <v/>
      </c>
      <c r="P200" s="331">
        <f>IF(OR(A200="",N200="",O200=""),"",ROUND(N200*O200,2))</f>
        <v/>
      </c>
    </row>
    <row r="201">
      <c r="A201" s="330">
        <f>IF(itens_Remanesc!A200="","",itens_Remanesc!A200)</f>
        <v/>
      </c>
      <c r="B201" s="331">
        <f>IF(OR(itens_Remanesc!A200="",NOT(ISNUMBER(parametros!$G$2))),"",ROUND(itens_Remanesc!C200*parametros!$G$2,2))</f>
        <v/>
      </c>
      <c r="C201" s="332">
        <f>IF(itens_Remanesc!A200="","",itens_Remanesc!B200)</f>
        <v/>
      </c>
      <c r="D201" s="331">
        <f>IF(A201="","",ROUND(B201*C201,2))</f>
        <v/>
      </c>
      <c r="E201" s="333">
        <f>IF(OR(itens_Remanesc!A200="",NOT(ISNUMBER(parametros!$G$3))),"",ROUND(itens_Remanesc!C200*parametros!$G$3,2))</f>
        <v/>
      </c>
      <c r="F201" s="334">
        <f>IF(itens_Remanesc!A200="","",itens_Remanesc!E200)</f>
        <v/>
      </c>
      <c r="G201" s="333">
        <f>IF(OR(A201="",E201="",F201=""),"",ROUND(E201*F201,2))</f>
        <v/>
      </c>
      <c r="H201" s="331">
        <f>IF(OR(itens_Remanesc!A200="",NOT(ISNUMBER(parametros!$G$4))),"",ROUND(itens_Remanesc!C200*parametros!$G$4,2))</f>
        <v/>
      </c>
      <c r="I201" s="332">
        <f>IF(itens_Remanesc!A200="","",itens_Remanesc!G200)</f>
        <v/>
      </c>
      <c r="J201" s="331">
        <f>IF(OR(A201="",H201="",I201=""),"",ROUND(H201*I201,2))</f>
        <v/>
      </c>
      <c r="K201" s="333">
        <f>IF(OR(itens_Remanesc!A200="",NOT(ISNUMBER(parametros!$G$5))),"",ROUND(itens_Remanesc!C200*parametros!$G$5,2))</f>
        <v/>
      </c>
      <c r="L201" s="334">
        <f>IF(itens_Remanesc!A200="","",itens_Remanesc!I200)</f>
        <v/>
      </c>
      <c r="M201" s="333">
        <f>IF(OR(A201="",K201="",L201=""),"",ROUND(K201*L201,2))</f>
        <v/>
      </c>
      <c r="N201" s="331">
        <f>IF(OR(itens_Remanesc!A200="",NOT(ISNUMBER(parametros!$G$6))),"",ROUND(itens_Remanesc!C200*parametros!$G$6,2))</f>
        <v/>
      </c>
      <c r="O201" s="332">
        <f>IF(itens_Remanesc!A200="","",itens_Remanesc!K200)</f>
        <v/>
      </c>
      <c r="P201" s="331">
        <f>IF(OR(A201="",N201="",O201=""),"",ROUND(N201*O201,2))</f>
        <v/>
      </c>
    </row>
    <row r="202">
      <c r="A202" s="330">
        <f>IF(itens_Remanesc!A201="","",itens_Remanesc!A201)</f>
        <v/>
      </c>
      <c r="B202" s="331">
        <f>IF(OR(itens_Remanesc!A201="",NOT(ISNUMBER(parametros!$G$2))),"",ROUND(itens_Remanesc!C201*parametros!$G$2,2))</f>
        <v/>
      </c>
      <c r="C202" s="332">
        <f>IF(itens_Remanesc!A201="","",itens_Remanesc!B201)</f>
        <v/>
      </c>
      <c r="D202" s="331">
        <f>IF(A202="","",ROUND(B202*C202,2))</f>
        <v/>
      </c>
      <c r="E202" s="333">
        <f>IF(OR(itens_Remanesc!A201="",NOT(ISNUMBER(parametros!$G$3))),"",ROUND(itens_Remanesc!C201*parametros!$G$3,2))</f>
        <v/>
      </c>
      <c r="F202" s="334">
        <f>IF(itens_Remanesc!A201="","",itens_Remanesc!E201)</f>
        <v/>
      </c>
      <c r="G202" s="333">
        <f>IF(OR(A202="",E202="",F202=""),"",ROUND(E202*F202,2))</f>
        <v/>
      </c>
      <c r="H202" s="331">
        <f>IF(OR(itens_Remanesc!A201="",NOT(ISNUMBER(parametros!$G$4))),"",ROUND(itens_Remanesc!C201*parametros!$G$4,2))</f>
        <v/>
      </c>
      <c r="I202" s="332">
        <f>IF(itens_Remanesc!A201="","",itens_Remanesc!G201)</f>
        <v/>
      </c>
      <c r="J202" s="331">
        <f>IF(OR(A202="",H202="",I202=""),"",ROUND(H202*I202,2))</f>
        <v/>
      </c>
      <c r="K202" s="333">
        <f>IF(OR(itens_Remanesc!A201="",NOT(ISNUMBER(parametros!$G$5))),"",ROUND(itens_Remanesc!C201*parametros!$G$5,2))</f>
        <v/>
      </c>
      <c r="L202" s="334">
        <f>IF(itens_Remanesc!A201="","",itens_Remanesc!I201)</f>
        <v/>
      </c>
      <c r="M202" s="333">
        <f>IF(OR(A202="",K202="",L202=""),"",ROUND(K202*L202,2))</f>
        <v/>
      </c>
      <c r="N202" s="331">
        <f>IF(OR(itens_Remanesc!A201="",NOT(ISNUMBER(parametros!$G$6))),"",ROUND(itens_Remanesc!C201*parametros!$G$6,2))</f>
        <v/>
      </c>
      <c r="O202" s="332">
        <f>IF(itens_Remanesc!A201="","",itens_Remanesc!K201)</f>
        <v/>
      </c>
      <c r="P202" s="331">
        <f>IF(OR(A202="",N202="",O202=""),"",ROUND(N202*O202,2))</f>
        <v/>
      </c>
    </row>
    <row r="203">
      <c r="A203" s="338" t="inlineStr">
        <is>
          <t>TOTAL</t>
        </is>
      </c>
      <c r="B203" s="338" t="n"/>
      <c r="C203" s="338" t="n"/>
      <c r="D203" s="339">
        <f>SUM(D3:D202)</f>
        <v/>
      </c>
      <c r="E203" s="338" t="n"/>
      <c r="F203" s="338" t="n"/>
      <c r="G203" s="339">
        <f>SUM(G3:G202)</f>
        <v/>
      </c>
      <c r="H203" s="338" t="n"/>
      <c r="I203" s="338" t="n"/>
      <c r="J203" s="339">
        <f>SUM(J3:J202)</f>
        <v/>
      </c>
      <c r="K203" s="338" t="n"/>
      <c r="L203" s="338" t="n"/>
      <c r="M203" s="339">
        <f>SUM(M3:M202)</f>
        <v/>
      </c>
      <c r="N203" s="338" t="n"/>
      <c r="O203" s="338" t="n"/>
      <c r="P203" s="339">
        <f>SUM(P3:P202)</f>
        <v/>
      </c>
    </row>
  </sheetData>
  <mergeCells count="6">
    <mergeCell ref="H1:J1"/>
    <mergeCell ref="B1:D1"/>
    <mergeCell ref="N1:P1"/>
    <mergeCell ref="A1:A2"/>
    <mergeCell ref="E1:G1"/>
    <mergeCell ref="K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L12" sqref="L12"/>
    </sheetView>
  </sheetViews>
  <sheetFormatPr baseColWidth="8" defaultRowHeight="15"/>
  <cols>
    <col width="11.5703125" customWidth="1" min="1" max="1"/>
    <col width="12" customWidth="1" min="2" max="7"/>
    <col width="16" customWidth="1" min="8" max="8"/>
    <col width="3" customWidth="1" min="9" max="9"/>
    <col width="8" customWidth="1" min="10" max="10"/>
    <col width="14" customWidth="1" min="11" max="11"/>
    <col width="16" customWidth="1" min="12" max="12"/>
    <col width="18" customWidth="1" min="13" max="13"/>
    <col width="30" customWidth="1" min="14" max="14"/>
  </cols>
  <sheetData>
    <row r="1" ht="32.1" customHeight="1">
      <c r="A1" s="269" t="inlineStr">
        <is>
          <t>ITEM</t>
        </is>
      </c>
      <c r="B1" s="322" t="inlineStr">
        <is>
          <t>QTD</t>
        </is>
      </c>
      <c r="C1" s="323" t="inlineStr">
        <is>
          <t>VU_C0</t>
        </is>
      </c>
      <c r="D1" s="340" t="inlineStr">
        <is>
          <t>VU_C1</t>
        </is>
      </c>
      <c r="E1" s="341" t="inlineStr">
        <is>
          <t>VU_C2</t>
        </is>
      </c>
      <c r="F1" s="340" t="inlineStr">
        <is>
          <t>VU_C3</t>
        </is>
      </c>
      <c r="G1" s="341" t="inlineStr">
        <is>
          <t>VU_C4</t>
        </is>
      </c>
      <c r="H1" s="269" t="inlineStr">
        <is>
          <t>VARIACAO_ACUMULADA</t>
        </is>
      </c>
      <c r="I1" s="26" t="n"/>
      <c r="J1" s="277" t="inlineStr">
        <is>
          <t>CICLO</t>
        </is>
      </c>
      <c r="K1" s="277" t="inlineStr">
        <is>
          <t>FATOR_PROPRIO</t>
        </is>
      </c>
      <c r="L1" s="277" t="inlineStr">
        <is>
          <t>FATOR_ACUMULADO</t>
        </is>
      </c>
      <c r="M1" s="26" t="n"/>
      <c r="N1" s="26" t="n"/>
      <c r="O1" s="27" t="n"/>
    </row>
    <row r="2">
      <c r="A2" s="284">
        <f>IF(itens_Remanesc!A2="","",itens_Remanesc!A2)</f>
        <v/>
      </c>
      <c r="B2" s="282">
        <f>IF(itens_Remanesc!A2="","",itens_Remanesc!B2)</f>
        <v/>
      </c>
      <c r="C2" s="273">
        <f>IF(itens_Remanesc!A2="","",itens_Remanesc!C2)</f>
        <v/>
      </c>
      <c r="D2" s="273">
        <f>IF(OR(A2="",C2="",NOT(ISNUMBER($L$3))),"",ROUND(C2*$L$3,2))</f>
        <v/>
      </c>
      <c r="E2" s="273">
        <f>IF(OR(A2="",C2="",NOT(ISNUMBER($L$4))),"",ROUND(C2*$L$4,2))</f>
        <v/>
      </c>
      <c r="F2" s="273">
        <f>IF(OR(A2="",C2="",NOT(ISNUMBER($L$5))),"",ROUND(C2*$L$5,2))</f>
        <v/>
      </c>
      <c r="G2" s="273">
        <f>IF(OR(A2="",C2="",NOT(ISNUMBER($L$6))),"",ROUND(C2*$L$6,2))</f>
        <v/>
      </c>
      <c r="H2" s="342">
        <f>IF(OR(A2="",C2="",C2=0,NOT(ISNUMBER($L$6))),"",ROUND($L$6-1,4))</f>
        <v/>
      </c>
      <c r="I2" s="181" t="n"/>
      <c r="J2" s="285" t="inlineStr">
        <is>
          <t>C0</t>
        </is>
      </c>
      <c r="K2" s="287">
        <f>IF(ISNUMBER(parametros!$F$2),parametros!$F$2,"")</f>
        <v/>
      </c>
      <c r="L2" s="288">
        <f>IF(ISNUMBER(parametros!$G$2),parametros!$G$2,"")</f>
        <v/>
      </c>
      <c r="M2" s="181" t="n"/>
      <c r="N2" s="181" t="n"/>
      <c r="O2" s="34" t="n"/>
    </row>
    <row r="3">
      <c r="A3" s="284">
        <f>IF(itens_Remanesc!A3="","",itens_Remanesc!A3)</f>
        <v/>
      </c>
      <c r="B3" s="282">
        <f>IF(itens_Remanesc!A3="","",itens_Remanesc!B3)</f>
        <v/>
      </c>
      <c r="C3" s="273">
        <f>IF(itens_Remanesc!A3="","",itens_Remanesc!C3)</f>
        <v/>
      </c>
      <c r="D3" s="273">
        <f>IF(OR(A3="",C3="",NOT(ISNUMBER($L$3))),"",ROUND(C3*$L$3,2))</f>
        <v/>
      </c>
      <c r="E3" s="273">
        <f>IF(OR(A3="",C3="",NOT(ISNUMBER($L$4))),"",ROUND(C3*$L$4,2))</f>
        <v/>
      </c>
      <c r="F3" s="273">
        <f>IF(OR(A3="",C3="",NOT(ISNUMBER($L$5))),"",ROUND(C3*$L$5,2))</f>
        <v/>
      </c>
      <c r="G3" s="273">
        <f>IF(OR(A3="",C3="",NOT(ISNUMBER($L$6))),"",ROUND(C3*$L$6,2))</f>
        <v/>
      </c>
      <c r="H3" s="342">
        <f>IF(OR(A3="",C3="",C3=0,NOT(ISNUMBER($L$6))),"",ROUND($L$6-1,4))</f>
        <v/>
      </c>
      <c r="I3" s="34" t="n"/>
      <c r="J3" s="285" t="inlineStr">
        <is>
          <t>C1</t>
        </is>
      </c>
      <c r="K3" s="287">
        <f>IF(ISNUMBER(parametros!$F$3),parametros!$F$3,"")</f>
        <v/>
      </c>
      <c r="L3" s="288">
        <f>IF(ISNUMBER(parametros!$G$3),parametros!$G$3,"")</f>
        <v/>
      </c>
      <c r="M3" s="34" t="n"/>
      <c r="N3" s="34" t="n"/>
      <c r="O3" s="34" t="n"/>
    </row>
    <row r="4">
      <c r="A4" s="284">
        <f>IF(itens_Remanesc!A4="","",itens_Remanesc!A4)</f>
        <v/>
      </c>
      <c r="B4" s="282">
        <f>IF(itens_Remanesc!A4="","",itens_Remanesc!B4)</f>
        <v/>
      </c>
      <c r="C4" s="273">
        <f>IF(itens_Remanesc!A4="","",itens_Remanesc!C4)</f>
        <v/>
      </c>
      <c r="D4" s="273">
        <f>IF(OR(A4="",C4="",NOT(ISNUMBER($L$3))),"",ROUND(C4*$L$3,2))</f>
        <v/>
      </c>
      <c r="E4" s="273">
        <f>IF(OR(A4="",C4="",NOT(ISNUMBER($L$4))),"",ROUND(C4*$L$4,2))</f>
        <v/>
      </c>
      <c r="F4" s="273">
        <f>IF(OR(A4="",C4="",NOT(ISNUMBER($L$5))),"",ROUND(C4*$L$5,2))</f>
        <v/>
      </c>
      <c r="G4" s="273">
        <f>IF(OR(A4="",C4="",NOT(ISNUMBER($L$6))),"",ROUND(C4*$L$6,2))</f>
        <v/>
      </c>
      <c r="H4" s="342">
        <f>IF(OR(A4="",C4="",C4=0,NOT(ISNUMBER($L$6))),"",ROUND($L$6-1,4))</f>
        <v/>
      </c>
      <c r="I4" s="34" t="n"/>
      <c r="J4" s="285" t="inlineStr">
        <is>
          <t>C2</t>
        </is>
      </c>
      <c r="K4" s="287">
        <f>IF(ISNUMBER(parametros!$F$4),parametros!$F$4,"")</f>
        <v/>
      </c>
      <c r="L4" s="288">
        <f>IF(ISNUMBER(parametros!$G$4),parametros!$G$4,"")</f>
        <v/>
      </c>
      <c r="M4" s="34" t="n"/>
      <c r="N4" s="34" t="n"/>
      <c r="O4" s="34" t="n"/>
    </row>
    <row r="5">
      <c r="A5" s="284">
        <f>IF(itens_Remanesc!A5="","",itens_Remanesc!A5)</f>
        <v/>
      </c>
      <c r="B5" s="282">
        <f>IF(itens_Remanesc!A5="","",itens_Remanesc!B5)</f>
        <v/>
      </c>
      <c r="C5" s="273">
        <f>IF(itens_Remanesc!A5="","",itens_Remanesc!C5)</f>
        <v/>
      </c>
      <c r="D5" s="273">
        <f>IF(OR(A5="",C5="",NOT(ISNUMBER($L$3))),"",ROUND(C5*$L$3,2))</f>
        <v/>
      </c>
      <c r="E5" s="273">
        <f>IF(OR(A5="",C5="",NOT(ISNUMBER($L$4))),"",ROUND(C5*$L$4,2))</f>
        <v/>
      </c>
      <c r="F5" s="273">
        <f>IF(OR(A5="",C5="",NOT(ISNUMBER($L$5))),"",ROUND(C5*$L$5,2))</f>
        <v/>
      </c>
      <c r="G5" s="273">
        <f>IF(OR(A5="",C5="",NOT(ISNUMBER($L$6))),"",ROUND(C5*$L$6,2))</f>
        <v/>
      </c>
      <c r="H5" s="342">
        <f>IF(OR(A5="",C5="",C5=0,NOT(ISNUMBER($L$6))),"",ROUND($L$6-1,4))</f>
        <v/>
      </c>
      <c r="I5" s="34" t="n"/>
      <c r="J5" s="285" t="inlineStr">
        <is>
          <t>C3</t>
        </is>
      </c>
      <c r="K5" s="287">
        <f>IF(ISNUMBER(parametros!$F$5),parametros!$F$5,"")</f>
        <v/>
      </c>
      <c r="L5" s="288">
        <f>IF(ISNUMBER(parametros!$G$5),parametros!$G$5,"")</f>
        <v/>
      </c>
      <c r="M5" s="34" t="n"/>
      <c r="N5" s="34" t="n"/>
      <c r="O5" s="34" t="n"/>
    </row>
    <row r="6">
      <c r="A6" s="284">
        <f>IF(itens_Remanesc!A6="","",itens_Remanesc!A6)</f>
        <v/>
      </c>
      <c r="B6" s="282">
        <f>IF(itens_Remanesc!A6="","",itens_Remanesc!B6)</f>
        <v/>
      </c>
      <c r="C6" s="273">
        <f>IF(itens_Remanesc!A6="","",itens_Remanesc!C6)</f>
        <v/>
      </c>
      <c r="D6" s="273">
        <f>IF(OR(A6="",C6="",NOT(ISNUMBER($L$3))),"",ROUND(C6*$L$3,2))</f>
        <v/>
      </c>
      <c r="E6" s="273">
        <f>IF(OR(A6="",C6="",NOT(ISNUMBER($L$4))),"",ROUND(C6*$L$4,2))</f>
        <v/>
      </c>
      <c r="F6" s="273">
        <f>IF(OR(A6="",C6="",NOT(ISNUMBER($L$5))),"",ROUND(C6*$L$5,2))</f>
        <v/>
      </c>
      <c r="G6" s="273">
        <f>IF(OR(A6="",C6="",NOT(ISNUMBER($L$6))),"",ROUND(C6*$L$6,2))</f>
        <v/>
      </c>
      <c r="H6" s="342">
        <f>IF(OR(A6="",C6="",C6=0,NOT(ISNUMBER($L$6))),"",ROUND($L$6-1,4))</f>
        <v/>
      </c>
      <c r="I6" s="34" t="n"/>
      <c r="J6" s="285" t="inlineStr">
        <is>
          <t>C4</t>
        </is>
      </c>
      <c r="K6" s="287">
        <f>IF(ISNUMBER(parametros!$F$6),parametros!$F$6,"")</f>
        <v/>
      </c>
      <c r="L6" s="288">
        <f>IF(ISNUMBER(parametros!$G$6),parametros!$G$6,"")</f>
        <v/>
      </c>
      <c r="M6" s="34" t="n"/>
      <c r="N6" s="34" t="n"/>
      <c r="O6" s="34" t="n"/>
    </row>
    <row r="7">
      <c r="A7" s="284">
        <f>IF(itens_Remanesc!A7="","",itens_Remanesc!A7)</f>
        <v/>
      </c>
      <c r="B7" s="282">
        <f>IF(itens_Remanesc!A7="","",itens_Remanesc!B7)</f>
        <v/>
      </c>
      <c r="C7" s="273">
        <f>IF(itens_Remanesc!A7="","",itens_Remanesc!C7)</f>
        <v/>
      </c>
      <c r="D7" s="273">
        <f>IF(OR(A7="",C7="",NOT(ISNUMBER($L$3))),"",ROUND(C7*$L$3,2))</f>
        <v/>
      </c>
      <c r="E7" s="273">
        <f>IF(OR(A7="",C7="",NOT(ISNUMBER($L$4))),"",ROUND(C7*$L$4,2))</f>
        <v/>
      </c>
      <c r="F7" s="273">
        <f>IF(OR(A7="",C7="",NOT(ISNUMBER($L$5))),"",ROUND(C7*$L$5,2))</f>
        <v/>
      </c>
      <c r="G7" s="273">
        <f>IF(OR(A7="",C7="",NOT(ISNUMBER($L$6))),"",ROUND(C7*$L$6,2))</f>
        <v/>
      </c>
      <c r="H7" s="342">
        <f>IF(OR(A7="",C7="",C7=0,NOT(ISNUMBER($L$6))),"",ROUND($L$6-1,4))</f>
        <v/>
      </c>
      <c r="I7" s="34" t="n"/>
      <c r="J7" s="34" t="n"/>
      <c r="K7" s="34" t="n"/>
      <c r="L7" s="34" t="n"/>
      <c r="M7" s="34" t="n"/>
      <c r="N7" s="34" t="n"/>
      <c r="O7" s="34" t="n"/>
    </row>
    <row r="8">
      <c r="A8" s="284">
        <f>IF(itens_Remanesc!A8="","",itens_Remanesc!A8)</f>
        <v/>
      </c>
      <c r="B8" s="282">
        <f>IF(itens_Remanesc!A8="","",itens_Remanesc!B8)</f>
        <v/>
      </c>
      <c r="C8" s="273">
        <f>IF(itens_Remanesc!A8="","",itens_Remanesc!C8)</f>
        <v/>
      </c>
      <c r="D8" s="273">
        <f>IF(OR(A8="",C8="",NOT(ISNUMBER($L$3))),"",ROUND(C8*$L$3,2))</f>
        <v/>
      </c>
      <c r="E8" s="273">
        <f>IF(OR(A8="",C8="",NOT(ISNUMBER($L$4))),"",ROUND(C8*$L$4,2))</f>
        <v/>
      </c>
      <c r="F8" s="273">
        <f>IF(OR(A8="",C8="",NOT(ISNUMBER($L$5))),"",ROUND(C8*$L$5,2))</f>
        <v/>
      </c>
      <c r="G8" s="273">
        <f>IF(OR(A8="",C8="",NOT(ISNUMBER($L$6))),"",ROUND(C8*$L$6,2))</f>
        <v/>
      </c>
      <c r="H8" s="342">
        <f>IF(OR(A8="",C8="",C8=0,NOT(ISNUMBER($L$6))),"",ROUND($L$6-1,4))</f>
        <v/>
      </c>
      <c r="I8" s="34" t="n"/>
      <c r="J8" s="34" t="n"/>
      <c r="K8" s="34" t="n"/>
      <c r="L8" s="34" t="n"/>
      <c r="M8" s="34" t="n"/>
      <c r="N8" s="34" t="n"/>
      <c r="O8" s="34" t="n"/>
    </row>
    <row r="9">
      <c r="A9" s="284">
        <f>IF(itens_Remanesc!A9="","",itens_Remanesc!A9)</f>
        <v/>
      </c>
      <c r="B9" s="282">
        <f>IF(itens_Remanesc!A9="","",itens_Remanesc!B9)</f>
        <v/>
      </c>
      <c r="C9" s="273">
        <f>IF(itens_Remanesc!A9="","",itens_Remanesc!C9)</f>
        <v/>
      </c>
      <c r="D9" s="273">
        <f>IF(OR(A9="",C9="",NOT(ISNUMBER($L$3))),"",ROUND(C9*$L$3,2))</f>
        <v/>
      </c>
      <c r="E9" s="273">
        <f>IF(OR(A9="",C9="",NOT(ISNUMBER($L$4))),"",ROUND(C9*$L$4,2))</f>
        <v/>
      </c>
      <c r="F9" s="273">
        <f>IF(OR(A9="",C9="",NOT(ISNUMBER($L$5))),"",ROUND(C9*$L$5,2))</f>
        <v/>
      </c>
      <c r="G9" s="273">
        <f>IF(OR(A9="",C9="",NOT(ISNUMBER($L$6))),"",ROUND(C9*$L$6,2))</f>
        <v/>
      </c>
      <c r="H9" s="342">
        <f>IF(OR(A9="",C9="",C9=0,NOT(ISNUMBER($L$6))),"",ROUND($L$6-1,4))</f>
        <v/>
      </c>
      <c r="I9" s="34" t="n"/>
      <c r="J9" s="34" t="n"/>
      <c r="K9" s="34" t="n"/>
      <c r="L9" s="34" t="n"/>
      <c r="M9" s="34" t="n"/>
      <c r="N9" s="34" t="n"/>
      <c r="O9" s="34" t="n"/>
    </row>
    <row r="10">
      <c r="A10" s="284">
        <f>IF(itens_Remanesc!A10="","",itens_Remanesc!A10)</f>
        <v/>
      </c>
      <c r="B10" s="282">
        <f>IF(itens_Remanesc!A10="","",itens_Remanesc!B10)</f>
        <v/>
      </c>
      <c r="C10" s="273">
        <f>IF(itens_Remanesc!A10="","",itens_Remanesc!C10)</f>
        <v/>
      </c>
      <c r="D10" s="273">
        <f>IF(OR(A10="",C10="",NOT(ISNUMBER($L$3))),"",ROUND(C10*$L$3,2))</f>
        <v/>
      </c>
      <c r="E10" s="273">
        <f>IF(OR(A10="",C10="",NOT(ISNUMBER($L$4))),"",ROUND(C10*$L$4,2))</f>
        <v/>
      </c>
      <c r="F10" s="273">
        <f>IF(OR(A10="",C10="",NOT(ISNUMBER($L$5))),"",ROUND(C10*$L$5,2))</f>
        <v/>
      </c>
      <c r="G10" s="273">
        <f>IF(OR(A10="",C10="",NOT(ISNUMBER($L$6))),"",ROUND(C10*$L$6,2))</f>
        <v/>
      </c>
      <c r="H10" s="342">
        <f>IF(OR(A10="",C10="",C10=0,NOT(ISNUMBER($L$6))),"",ROUND($L$6-1,4))</f>
        <v/>
      </c>
      <c r="I10" s="34" t="n"/>
      <c r="J10" s="34" t="n"/>
      <c r="K10" s="34" t="n"/>
      <c r="L10" s="34" t="n"/>
      <c r="M10" s="34" t="n"/>
      <c r="N10" s="34" t="n"/>
      <c r="O10" s="34" t="n"/>
    </row>
    <row r="11">
      <c r="A11" s="284">
        <f>IF(itens_Remanesc!A11="","",itens_Remanesc!A11)</f>
        <v/>
      </c>
      <c r="B11" s="282">
        <f>IF(itens_Remanesc!A11="","",itens_Remanesc!B11)</f>
        <v/>
      </c>
      <c r="C11" s="273">
        <f>IF(itens_Remanesc!A11="","",itens_Remanesc!C11)</f>
        <v/>
      </c>
      <c r="D11" s="273">
        <f>IF(OR(A11="",C11="",NOT(ISNUMBER($L$3))),"",ROUND(C11*$L$3,2))</f>
        <v/>
      </c>
      <c r="E11" s="273">
        <f>IF(OR(A11="",C11="",NOT(ISNUMBER($L$4))),"",ROUND(C11*$L$4,2))</f>
        <v/>
      </c>
      <c r="F11" s="273">
        <f>IF(OR(A11="",C11="",NOT(ISNUMBER($L$5))),"",ROUND(C11*$L$5,2))</f>
        <v/>
      </c>
      <c r="G11" s="273">
        <f>IF(OR(A11="",C11="",NOT(ISNUMBER($L$6))),"",ROUND(C11*$L$6,2))</f>
        <v/>
      </c>
      <c r="H11" s="342">
        <f>IF(OR(A11="",C11="",C11=0,NOT(ISNUMBER($L$6))),"",ROUND($L$6-1,4))</f>
        <v/>
      </c>
      <c r="I11" s="34" t="n"/>
      <c r="J11" s="34" t="n"/>
      <c r="K11" s="34" t="n"/>
      <c r="L11" s="34" t="n"/>
      <c r="M11" s="34" t="n"/>
      <c r="N11" s="34" t="n"/>
      <c r="O11" s="34" t="n"/>
    </row>
    <row r="12">
      <c r="A12" s="284">
        <f>IF(itens_Remanesc!A12="","",itens_Remanesc!A12)</f>
        <v/>
      </c>
      <c r="B12" s="282">
        <f>IF(itens_Remanesc!A12="","",itens_Remanesc!B12)</f>
        <v/>
      </c>
      <c r="C12" s="273">
        <f>IF(itens_Remanesc!A12="","",itens_Remanesc!C12)</f>
        <v/>
      </c>
      <c r="D12" s="273">
        <f>IF(OR(A12="",C12="",NOT(ISNUMBER($L$3))),"",ROUND(C12*$L$3,2))</f>
        <v/>
      </c>
      <c r="E12" s="273">
        <f>IF(OR(A12="",C12="",NOT(ISNUMBER($L$4))),"",ROUND(C12*$L$4,2))</f>
        <v/>
      </c>
      <c r="F12" s="273">
        <f>IF(OR(A12="",C12="",NOT(ISNUMBER($L$5))),"",ROUND(C12*$L$5,2))</f>
        <v/>
      </c>
      <c r="G12" s="273">
        <f>IF(OR(A12="",C12="",NOT(ISNUMBER($L$6))),"",ROUND(C12*$L$6,2))</f>
        <v/>
      </c>
      <c r="H12" s="342">
        <f>IF(OR(A12="",C12="",C12=0,NOT(ISNUMBER($L$6))),"",ROUND($L$6-1,4))</f>
        <v/>
      </c>
      <c r="I12" s="34" t="n"/>
      <c r="J12" s="34" t="n"/>
      <c r="K12" s="34" t="n"/>
      <c r="L12" s="34" t="n"/>
      <c r="M12" s="34" t="n"/>
      <c r="N12" s="34" t="n"/>
      <c r="O12" s="34" t="n"/>
    </row>
    <row r="13">
      <c r="A13" s="284">
        <f>IF(itens_Remanesc!A13="","",itens_Remanesc!A13)</f>
        <v/>
      </c>
      <c r="B13" s="282">
        <f>IF(itens_Remanesc!A13="","",itens_Remanesc!B13)</f>
        <v/>
      </c>
      <c r="C13" s="273">
        <f>IF(itens_Remanesc!A13="","",itens_Remanesc!C13)</f>
        <v/>
      </c>
      <c r="D13" s="273">
        <f>IF(OR(A13="",C13="",NOT(ISNUMBER($L$3))),"",ROUND(C13*$L$3,2))</f>
        <v/>
      </c>
      <c r="E13" s="273">
        <f>IF(OR(A13="",C13="",NOT(ISNUMBER($L$4))),"",ROUND(C13*$L$4,2))</f>
        <v/>
      </c>
      <c r="F13" s="273">
        <f>IF(OR(A13="",C13="",NOT(ISNUMBER($L$5))),"",ROUND(C13*$L$5,2))</f>
        <v/>
      </c>
      <c r="G13" s="273">
        <f>IF(OR(A13="",C13="",NOT(ISNUMBER($L$6))),"",ROUND(C13*$L$6,2))</f>
        <v/>
      </c>
      <c r="H13" s="342">
        <f>IF(OR(A13="",C13="",C13=0,NOT(ISNUMBER($L$6))),"",ROUND($L$6-1,4))</f>
        <v/>
      </c>
      <c r="I13" s="34" t="n"/>
      <c r="J13" s="34" t="n"/>
      <c r="K13" s="34" t="n"/>
      <c r="L13" s="34" t="n"/>
      <c r="M13" s="34" t="n"/>
      <c r="N13" s="34" t="n"/>
      <c r="O13" s="34" t="n"/>
    </row>
    <row r="14">
      <c r="A14" s="284">
        <f>IF(itens_Remanesc!A14="","",itens_Remanesc!A14)</f>
        <v/>
      </c>
      <c r="B14" s="282">
        <f>IF(itens_Remanesc!A14="","",itens_Remanesc!B14)</f>
        <v/>
      </c>
      <c r="C14" s="273">
        <f>IF(itens_Remanesc!A14="","",itens_Remanesc!C14)</f>
        <v/>
      </c>
      <c r="D14" s="273">
        <f>IF(OR(A14="",C14="",NOT(ISNUMBER($L$3))),"",ROUND(C14*$L$3,2))</f>
        <v/>
      </c>
      <c r="E14" s="273">
        <f>IF(OR(A14="",C14="",NOT(ISNUMBER($L$4))),"",ROUND(C14*$L$4,2))</f>
        <v/>
      </c>
      <c r="F14" s="273">
        <f>IF(OR(A14="",C14="",NOT(ISNUMBER($L$5))),"",ROUND(C14*$L$5,2))</f>
        <v/>
      </c>
      <c r="G14" s="273">
        <f>IF(OR(A14="",C14="",NOT(ISNUMBER($L$6))),"",ROUND(C14*$L$6,2))</f>
        <v/>
      </c>
      <c r="H14" s="342">
        <f>IF(OR(A14="",C14="",C14=0,NOT(ISNUMBER($L$6))),"",ROUND($L$6-1,4))</f>
        <v/>
      </c>
      <c r="I14" s="34" t="n"/>
      <c r="J14" s="34" t="n"/>
      <c r="K14" s="34" t="n"/>
      <c r="L14" s="34" t="n"/>
      <c r="M14" s="34" t="n"/>
      <c r="N14" s="34" t="n"/>
      <c r="O14" s="34" t="n"/>
    </row>
    <row r="15">
      <c r="A15" s="284">
        <f>IF(itens_Remanesc!A15="","",itens_Remanesc!A15)</f>
        <v/>
      </c>
      <c r="B15" s="282">
        <f>IF(itens_Remanesc!A15="","",itens_Remanesc!B15)</f>
        <v/>
      </c>
      <c r="C15" s="273">
        <f>IF(itens_Remanesc!A15="","",itens_Remanesc!C15)</f>
        <v/>
      </c>
      <c r="D15" s="273">
        <f>IF(OR(A15="",C15="",NOT(ISNUMBER($L$3))),"",ROUND(C15*$L$3,2))</f>
        <v/>
      </c>
      <c r="E15" s="273">
        <f>IF(OR(A15="",C15="",NOT(ISNUMBER($L$4))),"",ROUND(C15*$L$4,2))</f>
        <v/>
      </c>
      <c r="F15" s="273">
        <f>IF(OR(A15="",C15="",NOT(ISNUMBER($L$5))),"",ROUND(C15*$L$5,2))</f>
        <v/>
      </c>
      <c r="G15" s="273">
        <f>IF(OR(A15="",C15="",NOT(ISNUMBER($L$6))),"",ROUND(C15*$L$6,2))</f>
        <v/>
      </c>
      <c r="H15" s="342">
        <f>IF(OR(A15="",C15="",C15=0,NOT(ISNUMBER($L$6))),"",ROUND($L$6-1,4))</f>
        <v/>
      </c>
      <c r="I15" s="34" t="n"/>
      <c r="J15" s="34" t="n"/>
      <c r="K15" s="34" t="n"/>
      <c r="L15" s="34" t="n"/>
      <c r="M15" s="34" t="n"/>
      <c r="N15" s="34" t="n"/>
      <c r="O15" s="34" t="n"/>
    </row>
    <row r="16">
      <c r="A16" s="284">
        <f>IF(itens_Remanesc!A16="","",itens_Remanesc!A16)</f>
        <v/>
      </c>
      <c r="B16" s="282">
        <f>IF(itens_Remanesc!A16="","",itens_Remanesc!B16)</f>
        <v/>
      </c>
      <c r="C16" s="273">
        <f>IF(itens_Remanesc!A16="","",itens_Remanesc!C16)</f>
        <v/>
      </c>
      <c r="D16" s="273">
        <f>IF(OR(A16="",C16="",NOT(ISNUMBER($L$3))),"",ROUND(C16*$L$3,2))</f>
        <v/>
      </c>
      <c r="E16" s="273">
        <f>IF(OR(A16="",C16="",NOT(ISNUMBER($L$4))),"",ROUND(C16*$L$4,2))</f>
        <v/>
      </c>
      <c r="F16" s="273">
        <f>IF(OR(A16="",C16="",NOT(ISNUMBER($L$5))),"",ROUND(C16*$L$5,2))</f>
        <v/>
      </c>
      <c r="G16" s="273">
        <f>IF(OR(A16="",C16="",NOT(ISNUMBER($L$6))),"",ROUND(C16*$L$6,2))</f>
        <v/>
      </c>
      <c r="H16" s="342">
        <f>IF(OR(A16="",C16="",C16=0,NOT(ISNUMBER($L$6))),"",ROUND($L$6-1,4))</f>
        <v/>
      </c>
      <c r="I16" s="34" t="n"/>
      <c r="J16" s="34" t="n"/>
      <c r="K16" s="34" t="n"/>
      <c r="L16" s="34" t="n"/>
      <c r="M16" s="34" t="n"/>
      <c r="N16" s="34" t="n"/>
      <c r="O16" s="34" t="n"/>
    </row>
    <row r="17">
      <c r="A17" s="284">
        <f>IF(itens_Remanesc!A17="","",itens_Remanesc!A17)</f>
        <v/>
      </c>
      <c r="B17" s="282">
        <f>IF(itens_Remanesc!A17="","",itens_Remanesc!B17)</f>
        <v/>
      </c>
      <c r="C17" s="273">
        <f>IF(itens_Remanesc!A17="","",itens_Remanesc!C17)</f>
        <v/>
      </c>
      <c r="D17" s="273">
        <f>IF(OR(A17="",C17="",NOT(ISNUMBER($L$3))),"",ROUND(C17*$L$3,2))</f>
        <v/>
      </c>
      <c r="E17" s="273">
        <f>IF(OR(A17="",C17="",NOT(ISNUMBER($L$4))),"",ROUND(C17*$L$4,2))</f>
        <v/>
      </c>
      <c r="F17" s="273">
        <f>IF(OR(A17="",C17="",NOT(ISNUMBER($L$5))),"",ROUND(C17*$L$5,2))</f>
        <v/>
      </c>
      <c r="G17" s="273">
        <f>IF(OR(A17="",C17="",NOT(ISNUMBER($L$6))),"",ROUND(C17*$L$6,2))</f>
        <v/>
      </c>
      <c r="H17" s="342">
        <f>IF(OR(A17="",C17="",C17=0,NOT(ISNUMBER($L$6))),"",ROUND($L$6-1,4))</f>
        <v/>
      </c>
      <c r="I17" s="34" t="n"/>
      <c r="J17" s="34" t="n"/>
      <c r="K17" s="34" t="n"/>
      <c r="L17" s="34" t="n"/>
      <c r="M17" s="34" t="n"/>
      <c r="N17" s="34" t="n"/>
      <c r="O17" s="34" t="n"/>
    </row>
    <row r="18">
      <c r="A18" s="284">
        <f>IF(itens_Remanesc!A18="","",itens_Remanesc!A18)</f>
        <v/>
      </c>
      <c r="B18" s="282">
        <f>IF(itens_Remanesc!A18="","",itens_Remanesc!B18)</f>
        <v/>
      </c>
      <c r="C18" s="273">
        <f>IF(itens_Remanesc!A18="","",itens_Remanesc!C18)</f>
        <v/>
      </c>
      <c r="D18" s="273">
        <f>IF(OR(A18="",C18="",NOT(ISNUMBER($L$3))),"",ROUND(C18*$L$3,2))</f>
        <v/>
      </c>
      <c r="E18" s="273">
        <f>IF(OR(A18="",C18="",NOT(ISNUMBER($L$4))),"",ROUND(C18*$L$4,2))</f>
        <v/>
      </c>
      <c r="F18" s="273">
        <f>IF(OR(A18="",C18="",NOT(ISNUMBER($L$5))),"",ROUND(C18*$L$5,2))</f>
        <v/>
      </c>
      <c r="G18" s="273">
        <f>IF(OR(A18="",C18="",NOT(ISNUMBER($L$6))),"",ROUND(C18*$L$6,2))</f>
        <v/>
      </c>
      <c r="H18" s="342">
        <f>IF(OR(A18="",C18="",C18=0,NOT(ISNUMBER($L$6))),"",ROUND($L$6-1,4))</f>
        <v/>
      </c>
      <c r="I18" s="34" t="n"/>
      <c r="J18" s="34" t="n"/>
      <c r="K18" s="34" t="n"/>
      <c r="L18" s="34" t="n"/>
      <c r="M18" s="34" t="n"/>
      <c r="N18" s="34" t="n"/>
      <c r="O18" s="34" t="n"/>
    </row>
    <row r="19">
      <c r="A19" s="284">
        <f>IF(itens_Remanesc!A19="","",itens_Remanesc!A19)</f>
        <v/>
      </c>
      <c r="B19" s="282">
        <f>IF(itens_Remanesc!A19="","",itens_Remanesc!B19)</f>
        <v/>
      </c>
      <c r="C19" s="273">
        <f>IF(itens_Remanesc!A19="","",itens_Remanesc!C19)</f>
        <v/>
      </c>
      <c r="D19" s="273">
        <f>IF(OR(A19="",C19="",NOT(ISNUMBER($L$3))),"",ROUND(C19*$L$3,2))</f>
        <v/>
      </c>
      <c r="E19" s="273">
        <f>IF(OR(A19="",C19="",NOT(ISNUMBER($L$4))),"",ROUND(C19*$L$4,2))</f>
        <v/>
      </c>
      <c r="F19" s="273">
        <f>IF(OR(A19="",C19="",NOT(ISNUMBER($L$5))),"",ROUND(C19*$L$5,2))</f>
        <v/>
      </c>
      <c r="G19" s="273">
        <f>IF(OR(A19="",C19="",NOT(ISNUMBER($L$6))),"",ROUND(C19*$L$6,2))</f>
        <v/>
      </c>
      <c r="H19" s="342">
        <f>IF(OR(A19="",C19="",C19=0,NOT(ISNUMBER($L$6))),"",ROUND($L$6-1,4))</f>
        <v/>
      </c>
      <c r="I19" s="34" t="n"/>
      <c r="J19" s="34" t="n"/>
      <c r="K19" s="34" t="n"/>
      <c r="L19" s="34" t="n"/>
      <c r="M19" s="34" t="n"/>
      <c r="N19" s="34" t="n"/>
      <c r="O19" s="34" t="n"/>
    </row>
    <row r="20">
      <c r="A20" s="284">
        <f>IF(itens_Remanesc!A20="","",itens_Remanesc!A20)</f>
        <v/>
      </c>
      <c r="B20" s="282">
        <f>IF(itens_Remanesc!A20="","",itens_Remanesc!B20)</f>
        <v/>
      </c>
      <c r="C20" s="273">
        <f>IF(itens_Remanesc!A20="","",itens_Remanesc!C20)</f>
        <v/>
      </c>
      <c r="D20" s="273">
        <f>IF(OR(A20="",C20="",NOT(ISNUMBER($L$3))),"",ROUND(C20*$L$3,2))</f>
        <v/>
      </c>
      <c r="E20" s="273">
        <f>IF(OR(A20="",C20="",NOT(ISNUMBER($L$4))),"",ROUND(C20*$L$4,2))</f>
        <v/>
      </c>
      <c r="F20" s="273">
        <f>IF(OR(A20="",C20="",NOT(ISNUMBER($L$5))),"",ROUND(C20*$L$5,2))</f>
        <v/>
      </c>
      <c r="G20" s="273">
        <f>IF(OR(A20="",C20="",NOT(ISNUMBER($L$6))),"",ROUND(C20*$L$6,2))</f>
        <v/>
      </c>
      <c r="H20" s="342">
        <f>IF(OR(A20="",C20="",C20=0,NOT(ISNUMBER($L$6))),"",ROUND($L$6-1,4))</f>
        <v/>
      </c>
      <c r="I20" s="34" t="n"/>
      <c r="J20" s="34" t="n"/>
      <c r="K20" s="34" t="n"/>
      <c r="L20" s="34" t="n"/>
      <c r="M20" s="34" t="n"/>
      <c r="N20" s="34" t="n"/>
      <c r="O20" s="34" t="n"/>
    </row>
    <row r="21">
      <c r="A21" s="284">
        <f>IF(itens_Remanesc!A21="","",itens_Remanesc!A21)</f>
        <v/>
      </c>
      <c r="B21" s="282">
        <f>IF(itens_Remanesc!A21="","",itens_Remanesc!B21)</f>
        <v/>
      </c>
      <c r="C21" s="273">
        <f>IF(itens_Remanesc!A21="","",itens_Remanesc!C21)</f>
        <v/>
      </c>
      <c r="D21" s="273">
        <f>IF(OR(A21="",C21="",NOT(ISNUMBER($L$3))),"",ROUND(C21*$L$3,2))</f>
        <v/>
      </c>
      <c r="E21" s="273">
        <f>IF(OR(A21="",C21="",NOT(ISNUMBER($L$4))),"",ROUND(C21*$L$4,2))</f>
        <v/>
      </c>
      <c r="F21" s="273">
        <f>IF(OR(A21="",C21="",NOT(ISNUMBER($L$5))),"",ROUND(C21*$L$5,2))</f>
        <v/>
      </c>
      <c r="G21" s="273">
        <f>IF(OR(A21="",C21="",NOT(ISNUMBER($L$6))),"",ROUND(C21*$L$6,2))</f>
        <v/>
      </c>
      <c r="H21" s="342">
        <f>IF(OR(A21="",C21="",C21=0,NOT(ISNUMBER($L$6))),"",ROUND($L$6-1,4))</f>
        <v/>
      </c>
      <c r="I21" s="34" t="n"/>
      <c r="J21" s="34" t="n"/>
      <c r="K21" s="34" t="n"/>
      <c r="L21" s="34" t="n"/>
      <c r="M21" s="34" t="n"/>
      <c r="N21" s="34" t="n"/>
      <c r="O21" s="34" t="n"/>
    </row>
    <row r="22">
      <c r="A22" s="284">
        <f>IF(itens_Remanesc!A22="","",itens_Remanesc!A22)</f>
        <v/>
      </c>
      <c r="B22" s="282">
        <f>IF(itens_Remanesc!A22="","",itens_Remanesc!B22)</f>
        <v/>
      </c>
      <c r="C22" s="273">
        <f>IF(itens_Remanesc!A22="","",itens_Remanesc!C22)</f>
        <v/>
      </c>
      <c r="D22" s="273">
        <f>IF(OR(A22="",C22="",NOT(ISNUMBER($L$3))),"",ROUND(C22*$L$3,2))</f>
        <v/>
      </c>
      <c r="E22" s="273">
        <f>IF(OR(A22="",C22="",NOT(ISNUMBER($L$4))),"",ROUND(C22*$L$4,2))</f>
        <v/>
      </c>
      <c r="F22" s="273">
        <f>IF(OR(A22="",C22="",NOT(ISNUMBER($L$5))),"",ROUND(C22*$L$5,2))</f>
        <v/>
      </c>
      <c r="G22" s="273">
        <f>IF(OR(A22="",C22="",NOT(ISNUMBER($L$6))),"",ROUND(C22*$L$6,2))</f>
        <v/>
      </c>
      <c r="H22" s="342">
        <f>IF(OR(A22="",C22="",C22=0,NOT(ISNUMBER($L$6))),"",ROUND($L$6-1,4))</f>
        <v/>
      </c>
      <c r="I22" s="34" t="n"/>
      <c r="J22" s="34" t="n"/>
      <c r="K22" s="34" t="n"/>
      <c r="L22" s="34" t="n"/>
      <c r="M22" s="34" t="n"/>
      <c r="N22" s="34" t="n"/>
      <c r="O22" s="34" t="n"/>
    </row>
    <row r="23">
      <c r="A23" s="284">
        <f>IF(itens_Remanesc!A23="","",itens_Remanesc!A23)</f>
        <v/>
      </c>
      <c r="B23" s="282">
        <f>IF(itens_Remanesc!A23="","",itens_Remanesc!B23)</f>
        <v/>
      </c>
      <c r="C23" s="273">
        <f>IF(itens_Remanesc!A23="","",itens_Remanesc!C23)</f>
        <v/>
      </c>
      <c r="D23" s="273">
        <f>IF(OR(A23="",C23="",NOT(ISNUMBER($L$3))),"",ROUND(C23*$L$3,2))</f>
        <v/>
      </c>
      <c r="E23" s="273">
        <f>IF(OR(A23="",C23="",NOT(ISNUMBER($L$4))),"",ROUND(C23*$L$4,2))</f>
        <v/>
      </c>
      <c r="F23" s="273">
        <f>IF(OR(A23="",C23="",NOT(ISNUMBER($L$5))),"",ROUND(C23*$L$5,2))</f>
        <v/>
      </c>
      <c r="G23" s="273">
        <f>IF(OR(A23="",C23="",NOT(ISNUMBER($L$6))),"",ROUND(C23*$L$6,2))</f>
        <v/>
      </c>
      <c r="H23" s="342">
        <f>IF(OR(A23="",C23="",C23=0,NOT(ISNUMBER($L$6))),"",ROUND($L$6-1,4))</f>
        <v/>
      </c>
      <c r="I23" s="34" t="n"/>
      <c r="J23" s="34" t="n"/>
      <c r="K23" s="34" t="n"/>
      <c r="L23" s="34" t="n"/>
      <c r="M23" s="34" t="n"/>
      <c r="N23" s="34" t="n"/>
      <c r="O23" s="34" t="n"/>
    </row>
    <row r="24">
      <c r="A24" s="284">
        <f>IF(itens_Remanesc!A24="","",itens_Remanesc!A24)</f>
        <v/>
      </c>
      <c r="B24" s="282">
        <f>IF(itens_Remanesc!A24="","",itens_Remanesc!B24)</f>
        <v/>
      </c>
      <c r="C24" s="273">
        <f>IF(itens_Remanesc!A24="","",itens_Remanesc!C24)</f>
        <v/>
      </c>
      <c r="D24" s="273">
        <f>IF(OR(A24="",C24="",NOT(ISNUMBER($L$3))),"",ROUND(C24*$L$3,2))</f>
        <v/>
      </c>
      <c r="E24" s="273">
        <f>IF(OR(A24="",C24="",NOT(ISNUMBER($L$4))),"",ROUND(C24*$L$4,2))</f>
        <v/>
      </c>
      <c r="F24" s="273">
        <f>IF(OR(A24="",C24="",NOT(ISNUMBER($L$5))),"",ROUND(C24*$L$5,2))</f>
        <v/>
      </c>
      <c r="G24" s="273">
        <f>IF(OR(A24="",C24="",NOT(ISNUMBER($L$6))),"",ROUND(C24*$L$6,2))</f>
        <v/>
      </c>
      <c r="H24" s="342">
        <f>IF(OR(A24="",C24="",C24=0,NOT(ISNUMBER($L$6))),"",ROUND($L$6-1,4))</f>
        <v/>
      </c>
      <c r="I24" s="34" t="n"/>
      <c r="J24" s="34" t="n"/>
      <c r="K24" s="34" t="n"/>
      <c r="L24" s="34" t="n"/>
      <c r="M24" s="34" t="n"/>
      <c r="N24" s="34" t="n"/>
      <c r="O24" s="34" t="n"/>
    </row>
    <row r="25">
      <c r="A25" s="284">
        <f>IF(itens_Remanesc!A25="","",itens_Remanesc!A25)</f>
        <v/>
      </c>
      <c r="B25" s="282">
        <f>IF(itens_Remanesc!A25="","",itens_Remanesc!B25)</f>
        <v/>
      </c>
      <c r="C25" s="273">
        <f>IF(itens_Remanesc!A25="","",itens_Remanesc!C25)</f>
        <v/>
      </c>
      <c r="D25" s="273">
        <f>IF(OR(A25="",C25="",NOT(ISNUMBER($L$3))),"",ROUND(C25*$L$3,2))</f>
        <v/>
      </c>
      <c r="E25" s="273">
        <f>IF(OR(A25="",C25="",NOT(ISNUMBER($L$4))),"",ROUND(C25*$L$4,2))</f>
        <v/>
      </c>
      <c r="F25" s="273">
        <f>IF(OR(A25="",C25="",NOT(ISNUMBER($L$5))),"",ROUND(C25*$L$5,2))</f>
        <v/>
      </c>
      <c r="G25" s="273">
        <f>IF(OR(A25="",C25="",NOT(ISNUMBER($L$6))),"",ROUND(C25*$L$6,2))</f>
        <v/>
      </c>
      <c r="H25" s="342">
        <f>IF(OR(A25="",C25="",C25=0,NOT(ISNUMBER($L$6))),"",ROUND($L$6-1,4))</f>
        <v/>
      </c>
      <c r="I25" s="34" t="n"/>
      <c r="J25" s="34" t="n"/>
      <c r="K25" s="34" t="n"/>
      <c r="L25" s="34" t="n"/>
      <c r="M25" s="34" t="n"/>
      <c r="N25" s="34" t="n"/>
      <c r="O25" s="34" t="n"/>
    </row>
    <row r="26">
      <c r="A26" s="284">
        <f>IF(itens_Remanesc!A26="","",itens_Remanesc!A26)</f>
        <v/>
      </c>
      <c r="B26" s="282">
        <f>IF(itens_Remanesc!A26="","",itens_Remanesc!B26)</f>
        <v/>
      </c>
      <c r="C26" s="273">
        <f>IF(itens_Remanesc!A26="","",itens_Remanesc!C26)</f>
        <v/>
      </c>
      <c r="D26" s="273">
        <f>IF(OR(A26="",C26="",NOT(ISNUMBER($L$3))),"",ROUND(C26*$L$3,2))</f>
        <v/>
      </c>
      <c r="E26" s="273">
        <f>IF(OR(A26="",C26="",NOT(ISNUMBER($L$4))),"",ROUND(C26*$L$4,2))</f>
        <v/>
      </c>
      <c r="F26" s="273">
        <f>IF(OR(A26="",C26="",NOT(ISNUMBER($L$5))),"",ROUND(C26*$L$5,2))</f>
        <v/>
      </c>
      <c r="G26" s="273">
        <f>IF(OR(A26="",C26="",NOT(ISNUMBER($L$6))),"",ROUND(C26*$L$6,2))</f>
        <v/>
      </c>
      <c r="H26" s="342">
        <f>IF(OR(A26="",C26="",C26=0,NOT(ISNUMBER($L$6))),"",ROUND($L$6-1,4))</f>
        <v/>
      </c>
      <c r="I26" s="34" t="n"/>
      <c r="J26" s="34" t="n"/>
      <c r="K26" s="34" t="n"/>
      <c r="L26" s="34" t="n"/>
      <c r="M26" s="34" t="n"/>
      <c r="N26" s="34" t="n"/>
      <c r="O26" s="34" t="n"/>
    </row>
    <row r="27">
      <c r="A27" s="284">
        <f>IF(itens_Remanesc!A27="","",itens_Remanesc!A27)</f>
        <v/>
      </c>
      <c r="B27" s="282">
        <f>IF(itens_Remanesc!A27="","",itens_Remanesc!B27)</f>
        <v/>
      </c>
      <c r="C27" s="273">
        <f>IF(itens_Remanesc!A27="","",itens_Remanesc!C27)</f>
        <v/>
      </c>
      <c r="D27" s="273">
        <f>IF(OR(A27="",C27="",NOT(ISNUMBER($L$3))),"",ROUND(C27*$L$3,2))</f>
        <v/>
      </c>
      <c r="E27" s="273">
        <f>IF(OR(A27="",C27="",NOT(ISNUMBER($L$4))),"",ROUND(C27*$L$4,2))</f>
        <v/>
      </c>
      <c r="F27" s="273">
        <f>IF(OR(A27="",C27="",NOT(ISNUMBER($L$5))),"",ROUND(C27*$L$5,2))</f>
        <v/>
      </c>
      <c r="G27" s="273">
        <f>IF(OR(A27="",C27="",NOT(ISNUMBER($L$6))),"",ROUND(C27*$L$6,2))</f>
        <v/>
      </c>
      <c r="H27" s="342">
        <f>IF(OR(A27="",C27="",C27=0,NOT(ISNUMBER($L$6))),"",ROUND($L$6-1,4))</f>
        <v/>
      </c>
      <c r="I27" s="34" t="n"/>
      <c r="J27" s="34" t="n"/>
      <c r="K27" s="34" t="n"/>
      <c r="L27" s="34" t="n"/>
      <c r="M27" s="34" t="n"/>
      <c r="N27" s="34" t="n"/>
      <c r="O27" s="34" t="n"/>
    </row>
    <row r="28">
      <c r="A28" s="284">
        <f>IF(itens_Remanesc!A28="","",itens_Remanesc!A28)</f>
        <v/>
      </c>
      <c r="B28" s="282">
        <f>IF(itens_Remanesc!A28="","",itens_Remanesc!B28)</f>
        <v/>
      </c>
      <c r="C28" s="273">
        <f>IF(itens_Remanesc!A28="","",itens_Remanesc!C28)</f>
        <v/>
      </c>
      <c r="D28" s="273">
        <f>IF(OR(A28="",C28="",NOT(ISNUMBER($L$3))),"",ROUND(C28*$L$3,2))</f>
        <v/>
      </c>
      <c r="E28" s="273">
        <f>IF(OR(A28="",C28="",NOT(ISNUMBER($L$4))),"",ROUND(C28*$L$4,2))</f>
        <v/>
      </c>
      <c r="F28" s="273">
        <f>IF(OR(A28="",C28="",NOT(ISNUMBER($L$5))),"",ROUND(C28*$L$5,2))</f>
        <v/>
      </c>
      <c r="G28" s="273">
        <f>IF(OR(A28="",C28="",NOT(ISNUMBER($L$6))),"",ROUND(C28*$L$6,2))</f>
        <v/>
      </c>
      <c r="H28" s="342">
        <f>IF(OR(A28="",C28="",C28=0,NOT(ISNUMBER($L$6))),"",ROUND($L$6-1,4))</f>
        <v/>
      </c>
      <c r="I28" s="34" t="n"/>
      <c r="J28" s="34" t="n"/>
      <c r="K28" s="34" t="n"/>
      <c r="L28" s="34" t="n"/>
      <c r="M28" s="34" t="n"/>
      <c r="N28" s="34" t="n"/>
      <c r="O28" s="34" t="n"/>
    </row>
    <row r="29">
      <c r="A29" s="284">
        <f>IF(itens_Remanesc!A29="","",itens_Remanesc!A29)</f>
        <v/>
      </c>
      <c r="B29" s="282">
        <f>IF(itens_Remanesc!A29="","",itens_Remanesc!B29)</f>
        <v/>
      </c>
      <c r="C29" s="273">
        <f>IF(itens_Remanesc!A29="","",itens_Remanesc!C29)</f>
        <v/>
      </c>
      <c r="D29" s="273">
        <f>IF(OR(A29="",C29="",NOT(ISNUMBER($L$3))),"",ROUND(C29*$L$3,2))</f>
        <v/>
      </c>
      <c r="E29" s="273">
        <f>IF(OR(A29="",C29="",NOT(ISNUMBER($L$4))),"",ROUND(C29*$L$4,2))</f>
        <v/>
      </c>
      <c r="F29" s="273">
        <f>IF(OR(A29="",C29="",NOT(ISNUMBER($L$5))),"",ROUND(C29*$L$5,2))</f>
        <v/>
      </c>
      <c r="G29" s="273">
        <f>IF(OR(A29="",C29="",NOT(ISNUMBER($L$6))),"",ROUND(C29*$L$6,2))</f>
        <v/>
      </c>
      <c r="H29" s="342">
        <f>IF(OR(A29="",C29="",C29=0,NOT(ISNUMBER($L$6))),"",ROUND($L$6-1,4))</f>
        <v/>
      </c>
      <c r="I29" s="34" t="n"/>
      <c r="J29" s="34" t="n"/>
      <c r="K29" s="34" t="n"/>
      <c r="L29" s="34" t="n"/>
      <c r="M29" s="34" t="n"/>
      <c r="N29" s="34" t="n"/>
      <c r="O29" s="34" t="n"/>
    </row>
    <row r="30">
      <c r="A30" s="284">
        <f>IF(itens_Remanesc!A30="","",itens_Remanesc!A30)</f>
        <v/>
      </c>
      <c r="B30" s="282">
        <f>IF(itens_Remanesc!A30="","",itens_Remanesc!B30)</f>
        <v/>
      </c>
      <c r="C30" s="273">
        <f>IF(itens_Remanesc!A30="","",itens_Remanesc!C30)</f>
        <v/>
      </c>
      <c r="D30" s="273">
        <f>IF(OR(A30="",C30="",NOT(ISNUMBER($L$3))),"",ROUND(C30*$L$3,2))</f>
        <v/>
      </c>
      <c r="E30" s="273">
        <f>IF(OR(A30="",C30="",NOT(ISNUMBER($L$4))),"",ROUND(C30*$L$4,2))</f>
        <v/>
      </c>
      <c r="F30" s="273">
        <f>IF(OR(A30="",C30="",NOT(ISNUMBER($L$5))),"",ROUND(C30*$L$5,2))</f>
        <v/>
      </c>
      <c r="G30" s="273">
        <f>IF(OR(A30="",C30="",NOT(ISNUMBER($L$6))),"",ROUND(C30*$L$6,2))</f>
        <v/>
      </c>
      <c r="H30" s="342">
        <f>IF(OR(A30="",C30="",C30=0,NOT(ISNUMBER($L$6))),"",ROUND($L$6-1,4))</f>
        <v/>
      </c>
      <c r="I30" s="34" t="n"/>
      <c r="J30" s="34" t="n"/>
      <c r="K30" s="34" t="n"/>
      <c r="L30" s="34" t="n"/>
      <c r="M30" s="34" t="n"/>
      <c r="N30" s="34" t="n"/>
      <c r="O30" s="34" t="n"/>
    </row>
    <row r="31">
      <c r="A31" s="284">
        <f>IF(itens_Remanesc!A31="","",itens_Remanesc!A31)</f>
        <v/>
      </c>
      <c r="B31" s="282">
        <f>IF(itens_Remanesc!A31="","",itens_Remanesc!B31)</f>
        <v/>
      </c>
      <c r="C31" s="273">
        <f>IF(itens_Remanesc!A31="","",itens_Remanesc!C31)</f>
        <v/>
      </c>
      <c r="D31" s="273">
        <f>IF(OR(A31="",C31="",NOT(ISNUMBER($L$3))),"",ROUND(C31*$L$3,2))</f>
        <v/>
      </c>
      <c r="E31" s="273">
        <f>IF(OR(A31="",C31="",NOT(ISNUMBER($L$4))),"",ROUND(C31*$L$4,2))</f>
        <v/>
      </c>
      <c r="F31" s="273">
        <f>IF(OR(A31="",C31="",NOT(ISNUMBER($L$5))),"",ROUND(C31*$L$5,2))</f>
        <v/>
      </c>
      <c r="G31" s="273">
        <f>IF(OR(A31="",C31="",NOT(ISNUMBER($L$6))),"",ROUND(C31*$L$6,2))</f>
        <v/>
      </c>
      <c r="H31" s="342">
        <f>IF(OR(A31="",C31="",C31=0,NOT(ISNUMBER($L$6))),"",ROUND($L$6-1,4))</f>
        <v/>
      </c>
      <c r="I31" s="34" t="n"/>
      <c r="J31" s="34" t="n"/>
      <c r="K31" s="34" t="n"/>
      <c r="L31" s="34" t="n"/>
      <c r="M31" s="34" t="n"/>
      <c r="N31" s="34" t="n"/>
      <c r="O31" s="34" t="n"/>
    </row>
    <row r="32">
      <c r="A32" s="284">
        <f>IF(itens_Remanesc!A32="","",itens_Remanesc!A32)</f>
        <v/>
      </c>
      <c r="B32" s="282">
        <f>IF(itens_Remanesc!A32="","",itens_Remanesc!B32)</f>
        <v/>
      </c>
      <c r="C32" s="273">
        <f>IF(itens_Remanesc!A32="","",itens_Remanesc!C32)</f>
        <v/>
      </c>
      <c r="D32" s="273">
        <f>IF(OR(A32="",C32="",NOT(ISNUMBER($L$3))),"",ROUND(C32*$L$3,2))</f>
        <v/>
      </c>
      <c r="E32" s="273">
        <f>IF(OR(A32="",C32="",NOT(ISNUMBER($L$4))),"",ROUND(C32*$L$4,2))</f>
        <v/>
      </c>
      <c r="F32" s="273">
        <f>IF(OR(A32="",C32="",NOT(ISNUMBER($L$5))),"",ROUND(C32*$L$5,2))</f>
        <v/>
      </c>
      <c r="G32" s="273">
        <f>IF(OR(A32="",C32="",NOT(ISNUMBER($L$6))),"",ROUND(C32*$L$6,2))</f>
        <v/>
      </c>
      <c r="H32" s="342">
        <f>IF(OR(A32="",C32="",C32=0,NOT(ISNUMBER($L$6))),"",ROUND($L$6-1,4))</f>
        <v/>
      </c>
      <c r="I32" s="34" t="n"/>
      <c r="J32" s="34" t="n"/>
      <c r="K32" s="34" t="n"/>
      <c r="L32" s="34" t="n"/>
      <c r="M32" s="34" t="n"/>
      <c r="N32" s="34" t="n"/>
      <c r="O32" s="34" t="n"/>
    </row>
    <row r="33">
      <c r="A33" s="284">
        <f>IF(itens_Remanesc!A33="","",itens_Remanesc!A33)</f>
        <v/>
      </c>
      <c r="B33" s="282">
        <f>IF(itens_Remanesc!A33="","",itens_Remanesc!B33)</f>
        <v/>
      </c>
      <c r="C33" s="273">
        <f>IF(itens_Remanesc!A33="","",itens_Remanesc!C33)</f>
        <v/>
      </c>
      <c r="D33" s="273">
        <f>IF(OR(A33="",C33="",NOT(ISNUMBER($L$3))),"",ROUND(C33*$L$3,2))</f>
        <v/>
      </c>
      <c r="E33" s="273">
        <f>IF(OR(A33="",C33="",NOT(ISNUMBER($L$4))),"",ROUND(C33*$L$4,2))</f>
        <v/>
      </c>
      <c r="F33" s="273">
        <f>IF(OR(A33="",C33="",NOT(ISNUMBER($L$5))),"",ROUND(C33*$L$5,2))</f>
        <v/>
      </c>
      <c r="G33" s="273">
        <f>IF(OR(A33="",C33="",NOT(ISNUMBER($L$6))),"",ROUND(C33*$L$6,2))</f>
        <v/>
      </c>
      <c r="H33" s="342">
        <f>IF(OR(A33="",C33="",C33=0,NOT(ISNUMBER($L$6))),"",ROUND($L$6-1,4))</f>
        <v/>
      </c>
      <c r="I33" s="34" t="n"/>
      <c r="J33" s="34" t="n"/>
      <c r="K33" s="34" t="n"/>
      <c r="L33" s="34" t="n"/>
      <c r="M33" s="34" t="n"/>
      <c r="N33" s="34" t="n"/>
      <c r="O33" s="34" t="n"/>
    </row>
    <row r="34">
      <c r="A34" s="284">
        <f>IF(itens_Remanesc!A34="","",itens_Remanesc!A34)</f>
        <v/>
      </c>
      <c r="B34" s="282">
        <f>IF(itens_Remanesc!A34="","",itens_Remanesc!B34)</f>
        <v/>
      </c>
      <c r="C34" s="273">
        <f>IF(itens_Remanesc!A34="","",itens_Remanesc!C34)</f>
        <v/>
      </c>
      <c r="D34" s="273">
        <f>IF(OR(A34="",C34="",NOT(ISNUMBER($L$3))),"",ROUND(C34*$L$3,2))</f>
        <v/>
      </c>
      <c r="E34" s="273">
        <f>IF(OR(A34="",C34="",NOT(ISNUMBER($L$4))),"",ROUND(C34*$L$4,2))</f>
        <v/>
      </c>
      <c r="F34" s="273">
        <f>IF(OR(A34="",C34="",NOT(ISNUMBER($L$5))),"",ROUND(C34*$L$5,2))</f>
        <v/>
      </c>
      <c r="G34" s="273">
        <f>IF(OR(A34="",C34="",NOT(ISNUMBER($L$6))),"",ROUND(C34*$L$6,2))</f>
        <v/>
      </c>
      <c r="H34" s="342">
        <f>IF(OR(A34="",C34="",C34=0,NOT(ISNUMBER($L$6))),"",ROUND($L$6-1,4))</f>
        <v/>
      </c>
      <c r="I34" s="34" t="n"/>
      <c r="J34" s="34" t="n"/>
      <c r="K34" s="34" t="n"/>
      <c r="L34" s="34" t="n"/>
      <c r="M34" s="34" t="n"/>
      <c r="N34" s="34" t="n"/>
      <c r="O34" s="34" t="n"/>
    </row>
    <row r="35">
      <c r="A35" s="284">
        <f>IF(itens_Remanesc!A35="","",itens_Remanesc!A35)</f>
        <v/>
      </c>
      <c r="B35" s="282">
        <f>IF(itens_Remanesc!A35="","",itens_Remanesc!B35)</f>
        <v/>
      </c>
      <c r="C35" s="273">
        <f>IF(itens_Remanesc!A35="","",itens_Remanesc!C35)</f>
        <v/>
      </c>
      <c r="D35" s="273">
        <f>IF(OR(A35="",C35="",NOT(ISNUMBER($L$3))),"",ROUND(C35*$L$3,2))</f>
        <v/>
      </c>
      <c r="E35" s="273">
        <f>IF(OR(A35="",C35="",NOT(ISNUMBER($L$4))),"",ROUND(C35*$L$4,2))</f>
        <v/>
      </c>
      <c r="F35" s="273">
        <f>IF(OR(A35="",C35="",NOT(ISNUMBER($L$5))),"",ROUND(C35*$L$5,2))</f>
        <v/>
      </c>
      <c r="G35" s="273">
        <f>IF(OR(A35="",C35="",NOT(ISNUMBER($L$6))),"",ROUND(C35*$L$6,2))</f>
        <v/>
      </c>
      <c r="H35" s="342">
        <f>IF(OR(A35="",C35="",C35=0,NOT(ISNUMBER($L$6))),"",ROUND($L$6-1,4))</f>
        <v/>
      </c>
      <c r="I35" s="34" t="n"/>
      <c r="J35" s="34" t="n"/>
      <c r="K35" s="34" t="n"/>
      <c r="L35" s="34" t="n"/>
      <c r="M35" s="34" t="n"/>
      <c r="N35" s="34" t="n"/>
      <c r="O35" s="34" t="n"/>
    </row>
    <row r="36">
      <c r="A36" s="284">
        <f>IF(itens_Remanesc!A36="","",itens_Remanesc!A36)</f>
        <v/>
      </c>
      <c r="B36" s="282">
        <f>IF(itens_Remanesc!A36="","",itens_Remanesc!B36)</f>
        <v/>
      </c>
      <c r="C36" s="273">
        <f>IF(itens_Remanesc!A36="","",itens_Remanesc!C36)</f>
        <v/>
      </c>
      <c r="D36" s="273">
        <f>IF(OR(A36="",C36="",NOT(ISNUMBER($L$3))),"",ROUND(C36*$L$3,2))</f>
        <v/>
      </c>
      <c r="E36" s="273">
        <f>IF(OR(A36="",C36="",NOT(ISNUMBER($L$4))),"",ROUND(C36*$L$4,2))</f>
        <v/>
      </c>
      <c r="F36" s="273">
        <f>IF(OR(A36="",C36="",NOT(ISNUMBER($L$5))),"",ROUND(C36*$L$5,2))</f>
        <v/>
      </c>
      <c r="G36" s="273">
        <f>IF(OR(A36="",C36="",NOT(ISNUMBER($L$6))),"",ROUND(C36*$L$6,2))</f>
        <v/>
      </c>
      <c r="H36" s="342">
        <f>IF(OR(A36="",C36="",C36=0,NOT(ISNUMBER($L$6))),"",ROUND($L$6-1,4))</f>
        <v/>
      </c>
      <c r="I36" s="34" t="n"/>
      <c r="J36" s="34" t="n"/>
      <c r="K36" s="34" t="n"/>
      <c r="L36" s="34" t="n"/>
      <c r="M36" s="34" t="n"/>
      <c r="N36" s="34" t="n"/>
      <c r="O36" s="34" t="n"/>
    </row>
    <row r="37">
      <c r="A37" s="284">
        <f>IF(itens_Remanesc!A37="","",itens_Remanesc!A37)</f>
        <v/>
      </c>
      <c r="B37" s="282">
        <f>IF(itens_Remanesc!A37="","",itens_Remanesc!B37)</f>
        <v/>
      </c>
      <c r="C37" s="273">
        <f>IF(itens_Remanesc!A37="","",itens_Remanesc!C37)</f>
        <v/>
      </c>
      <c r="D37" s="273">
        <f>IF(OR(A37="",C37="",NOT(ISNUMBER($L$3))),"",ROUND(C37*$L$3,2))</f>
        <v/>
      </c>
      <c r="E37" s="273">
        <f>IF(OR(A37="",C37="",NOT(ISNUMBER($L$4))),"",ROUND(C37*$L$4,2))</f>
        <v/>
      </c>
      <c r="F37" s="273">
        <f>IF(OR(A37="",C37="",NOT(ISNUMBER($L$5))),"",ROUND(C37*$L$5,2))</f>
        <v/>
      </c>
      <c r="G37" s="273">
        <f>IF(OR(A37="",C37="",NOT(ISNUMBER($L$6))),"",ROUND(C37*$L$6,2))</f>
        <v/>
      </c>
      <c r="H37" s="342">
        <f>IF(OR(A37="",C37="",C37=0,NOT(ISNUMBER($L$6))),"",ROUND($L$6-1,4))</f>
        <v/>
      </c>
      <c r="I37" s="34" t="n"/>
      <c r="J37" s="34" t="n"/>
      <c r="K37" s="34" t="n"/>
      <c r="L37" s="34" t="n"/>
      <c r="M37" s="34" t="n"/>
      <c r="N37" s="34" t="n"/>
      <c r="O37" s="34" t="n"/>
    </row>
    <row r="38">
      <c r="A38" s="284">
        <f>IF(itens_Remanesc!A38="","",itens_Remanesc!A38)</f>
        <v/>
      </c>
      <c r="B38" s="282">
        <f>IF(itens_Remanesc!A38="","",itens_Remanesc!B38)</f>
        <v/>
      </c>
      <c r="C38" s="273">
        <f>IF(itens_Remanesc!A38="","",itens_Remanesc!C38)</f>
        <v/>
      </c>
      <c r="D38" s="273">
        <f>IF(OR(A38="",C38="",NOT(ISNUMBER($L$3))),"",ROUND(C38*$L$3,2))</f>
        <v/>
      </c>
      <c r="E38" s="273">
        <f>IF(OR(A38="",C38="",NOT(ISNUMBER($L$4))),"",ROUND(C38*$L$4,2))</f>
        <v/>
      </c>
      <c r="F38" s="273">
        <f>IF(OR(A38="",C38="",NOT(ISNUMBER($L$5))),"",ROUND(C38*$L$5,2))</f>
        <v/>
      </c>
      <c r="G38" s="273">
        <f>IF(OR(A38="",C38="",NOT(ISNUMBER($L$6))),"",ROUND(C38*$L$6,2))</f>
        <v/>
      </c>
      <c r="H38" s="342">
        <f>IF(OR(A38="",C38="",C38=0,NOT(ISNUMBER($L$6))),"",ROUND($L$6-1,4))</f>
        <v/>
      </c>
      <c r="I38" s="34" t="n"/>
      <c r="J38" s="34" t="n"/>
      <c r="K38" s="34" t="n"/>
      <c r="L38" s="34" t="n"/>
      <c r="M38" s="34" t="n"/>
      <c r="N38" s="34" t="n"/>
      <c r="O38" s="34" t="n"/>
    </row>
    <row r="39">
      <c r="A39" s="284">
        <f>IF(itens_Remanesc!A39="","",itens_Remanesc!A39)</f>
        <v/>
      </c>
      <c r="B39" s="282">
        <f>IF(itens_Remanesc!A39="","",itens_Remanesc!B39)</f>
        <v/>
      </c>
      <c r="C39" s="273">
        <f>IF(itens_Remanesc!A39="","",itens_Remanesc!C39)</f>
        <v/>
      </c>
      <c r="D39" s="273">
        <f>IF(OR(A39="",C39="",NOT(ISNUMBER($L$3))),"",ROUND(C39*$L$3,2))</f>
        <v/>
      </c>
      <c r="E39" s="273">
        <f>IF(OR(A39="",C39="",NOT(ISNUMBER($L$4))),"",ROUND(C39*$L$4,2))</f>
        <v/>
      </c>
      <c r="F39" s="273">
        <f>IF(OR(A39="",C39="",NOT(ISNUMBER($L$5))),"",ROUND(C39*$L$5,2))</f>
        <v/>
      </c>
      <c r="G39" s="273">
        <f>IF(OR(A39="",C39="",NOT(ISNUMBER($L$6))),"",ROUND(C39*$L$6,2))</f>
        <v/>
      </c>
      <c r="H39" s="342">
        <f>IF(OR(A39="",C39="",C39=0,NOT(ISNUMBER($L$6))),"",ROUND($L$6-1,4))</f>
        <v/>
      </c>
      <c r="I39" s="34" t="n"/>
      <c r="J39" s="34" t="n"/>
      <c r="K39" s="34" t="n"/>
      <c r="L39" s="34" t="n"/>
      <c r="M39" s="34" t="n"/>
      <c r="N39" s="34" t="n"/>
      <c r="O39" s="34" t="n"/>
    </row>
    <row r="40">
      <c r="A40" s="284">
        <f>IF(itens_Remanesc!A40="","",itens_Remanesc!A40)</f>
        <v/>
      </c>
      <c r="B40" s="282">
        <f>IF(itens_Remanesc!A40="","",itens_Remanesc!B40)</f>
        <v/>
      </c>
      <c r="C40" s="273">
        <f>IF(itens_Remanesc!A40="","",itens_Remanesc!C40)</f>
        <v/>
      </c>
      <c r="D40" s="273">
        <f>IF(OR(A40="",C40="",NOT(ISNUMBER($L$3))),"",ROUND(C40*$L$3,2))</f>
        <v/>
      </c>
      <c r="E40" s="273">
        <f>IF(OR(A40="",C40="",NOT(ISNUMBER($L$4))),"",ROUND(C40*$L$4,2))</f>
        <v/>
      </c>
      <c r="F40" s="273">
        <f>IF(OR(A40="",C40="",NOT(ISNUMBER($L$5))),"",ROUND(C40*$L$5,2))</f>
        <v/>
      </c>
      <c r="G40" s="273">
        <f>IF(OR(A40="",C40="",NOT(ISNUMBER($L$6))),"",ROUND(C40*$L$6,2))</f>
        <v/>
      </c>
      <c r="H40" s="342">
        <f>IF(OR(A40="",C40="",C40=0,NOT(ISNUMBER($L$6))),"",ROUND($L$6-1,4))</f>
        <v/>
      </c>
      <c r="I40" s="34" t="n"/>
      <c r="J40" s="34" t="n"/>
      <c r="K40" s="34" t="n"/>
      <c r="L40" s="34" t="n"/>
      <c r="M40" s="34" t="n"/>
      <c r="N40" s="34" t="n"/>
      <c r="O40" s="34" t="n"/>
    </row>
    <row r="41">
      <c r="A41" s="284">
        <f>IF(itens_Remanesc!A41="","",itens_Remanesc!A41)</f>
        <v/>
      </c>
      <c r="B41" s="282">
        <f>IF(itens_Remanesc!A41="","",itens_Remanesc!B41)</f>
        <v/>
      </c>
      <c r="C41" s="273">
        <f>IF(itens_Remanesc!A41="","",itens_Remanesc!C41)</f>
        <v/>
      </c>
      <c r="D41" s="273">
        <f>IF(OR(A41="",C41="",NOT(ISNUMBER($L$3))),"",ROUND(C41*$L$3,2))</f>
        <v/>
      </c>
      <c r="E41" s="273">
        <f>IF(OR(A41="",C41="",NOT(ISNUMBER($L$4))),"",ROUND(C41*$L$4,2))</f>
        <v/>
      </c>
      <c r="F41" s="273">
        <f>IF(OR(A41="",C41="",NOT(ISNUMBER($L$5))),"",ROUND(C41*$L$5,2))</f>
        <v/>
      </c>
      <c r="G41" s="273">
        <f>IF(OR(A41="",C41="",NOT(ISNUMBER($L$6))),"",ROUND(C41*$L$6,2))</f>
        <v/>
      </c>
      <c r="H41" s="342">
        <f>IF(OR(A41="",C41="",C41=0,NOT(ISNUMBER($L$6))),"",ROUND($L$6-1,4))</f>
        <v/>
      </c>
      <c r="I41" s="34" t="n"/>
      <c r="J41" s="34" t="n"/>
      <c r="K41" s="34" t="n"/>
      <c r="L41" s="34" t="n"/>
      <c r="M41" s="34" t="n"/>
      <c r="N41" s="34" t="n"/>
      <c r="O41" s="34" t="n"/>
    </row>
    <row r="42">
      <c r="A42" s="284">
        <f>IF(itens_Remanesc!A42="","",itens_Remanesc!A42)</f>
        <v/>
      </c>
      <c r="B42" s="282">
        <f>IF(itens_Remanesc!A42="","",itens_Remanesc!B42)</f>
        <v/>
      </c>
      <c r="C42" s="273">
        <f>IF(itens_Remanesc!A42="","",itens_Remanesc!C42)</f>
        <v/>
      </c>
      <c r="D42" s="273">
        <f>IF(OR(A42="",C42="",NOT(ISNUMBER($L$3))),"",ROUND(C42*$L$3,2))</f>
        <v/>
      </c>
      <c r="E42" s="273">
        <f>IF(OR(A42="",C42="",NOT(ISNUMBER($L$4))),"",ROUND(C42*$L$4,2))</f>
        <v/>
      </c>
      <c r="F42" s="273">
        <f>IF(OR(A42="",C42="",NOT(ISNUMBER($L$5))),"",ROUND(C42*$L$5,2))</f>
        <v/>
      </c>
      <c r="G42" s="273">
        <f>IF(OR(A42="",C42="",NOT(ISNUMBER($L$6))),"",ROUND(C42*$L$6,2))</f>
        <v/>
      </c>
      <c r="H42" s="342">
        <f>IF(OR(A42="",C42="",C42=0,NOT(ISNUMBER($L$6))),"",ROUND($L$6-1,4))</f>
        <v/>
      </c>
      <c r="I42" s="34" t="n"/>
      <c r="J42" s="34" t="n"/>
      <c r="K42" s="34" t="n"/>
      <c r="L42" s="34" t="n"/>
      <c r="M42" s="34" t="n"/>
      <c r="N42" s="34" t="n"/>
      <c r="O42" s="34" t="n"/>
    </row>
    <row r="43">
      <c r="A43" s="284">
        <f>IF(itens_Remanesc!A43="","",itens_Remanesc!A43)</f>
        <v/>
      </c>
      <c r="B43" s="282">
        <f>IF(itens_Remanesc!A43="","",itens_Remanesc!B43)</f>
        <v/>
      </c>
      <c r="C43" s="273">
        <f>IF(itens_Remanesc!A43="","",itens_Remanesc!C43)</f>
        <v/>
      </c>
      <c r="D43" s="273">
        <f>IF(OR(A43="",C43="",NOT(ISNUMBER($L$3))),"",ROUND(C43*$L$3,2))</f>
        <v/>
      </c>
      <c r="E43" s="273">
        <f>IF(OR(A43="",C43="",NOT(ISNUMBER($L$4))),"",ROUND(C43*$L$4,2))</f>
        <v/>
      </c>
      <c r="F43" s="273">
        <f>IF(OR(A43="",C43="",NOT(ISNUMBER($L$5))),"",ROUND(C43*$L$5,2))</f>
        <v/>
      </c>
      <c r="G43" s="273">
        <f>IF(OR(A43="",C43="",NOT(ISNUMBER($L$6))),"",ROUND(C43*$L$6,2))</f>
        <v/>
      </c>
      <c r="H43" s="342">
        <f>IF(OR(A43="",C43="",C43=0,NOT(ISNUMBER($L$6))),"",ROUND($L$6-1,4))</f>
        <v/>
      </c>
      <c r="I43" s="34" t="n"/>
      <c r="J43" s="34" t="n"/>
      <c r="K43" s="34" t="n"/>
      <c r="L43" s="34" t="n"/>
      <c r="M43" s="34" t="n"/>
      <c r="N43" s="34" t="n"/>
      <c r="O43" s="34" t="n"/>
    </row>
    <row r="44">
      <c r="A44" s="284">
        <f>IF(itens_Remanesc!A44="","",itens_Remanesc!A44)</f>
        <v/>
      </c>
      <c r="B44" s="282">
        <f>IF(itens_Remanesc!A44="","",itens_Remanesc!B44)</f>
        <v/>
      </c>
      <c r="C44" s="273">
        <f>IF(itens_Remanesc!A44="","",itens_Remanesc!C44)</f>
        <v/>
      </c>
      <c r="D44" s="273">
        <f>IF(OR(A44="",C44="",NOT(ISNUMBER($L$3))),"",ROUND(C44*$L$3,2))</f>
        <v/>
      </c>
      <c r="E44" s="273">
        <f>IF(OR(A44="",C44="",NOT(ISNUMBER($L$4))),"",ROUND(C44*$L$4,2))</f>
        <v/>
      </c>
      <c r="F44" s="273">
        <f>IF(OR(A44="",C44="",NOT(ISNUMBER($L$5))),"",ROUND(C44*$L$5,2))</f>
        <v/>
      </c>
      <c r="G44" s="273">
        <f>IF(OR(A44="",C44="",NOT(ISNUMBER($L$6))),"",ROUND(C44*$L$6,2))</f>
        <v/>
      </c>
      <c r="H44" s="342">
        <f>IF(OR(A44="",C44="",C44=0,NOT(ISNUMBER($L$6))),"",ROUND($L$6-1,4))</f>
        <v/>
      </c>
      <c r="I44" s="34" t="n"/>
      <c r="J44" s="34" t="n"/>
      <c r="K44" s="34" t="n"/>
      <c r="L44" s="34" t="n"/>
      <c r="M44" s="34" t="n"/>
      <c r="N44" s="34" t="n"/>
      <c r="O44" s="34" t="n"/>
    </row>
    <row r="45">
      <c r="A45" s="284">
        <f>IF(itens_Remanesc!A45="","",itens_Remanesc!A45)</f>
        <v/>
      </c>
      <c r="B45" s="282">
        <f>IF(itens_Remanesc!A45="","",itens_Remanesc!B45)</f>
        <v/>
      </c>
      <c r="C45" s="273">
        <f>IF(itens_Remanesc!A45="","",itens_Remanesc!C45)</f>
        <v/>
      </c>
      <c r="D45" s="273">
        <f>IF(OR(A45="",C45="",NOT(ISNUMBER($L$3))),"",ROUND(C45*$L$3,2))</f>
        <v/>
      </c>
      <c r="E45" s="273">
        <f>IF(OR(A45="",C45="",NOT(ISNUMBER($L$4))),"",ROUND(C45*$L$4,2))</f>
        <v/>
      </c>
      <c r="F45" s="273">
        <f>IF(OR(A45="",C45="",NOT(ISNUMBER($L$5))),"",ROUND(C45*$L$5,2))</f>
        <v/>
      </c>
      <c r="G45" s="273">
        <f>IF(OR(A45="",C45="",NOT(ISNUMBER($L$6))),"",ROUND(C45*$L$6,2))</f>
        <v/>
      </c>
      <c r="H45" s="342">
        <f>IF(OR(A45="",C45="",C45=0,NOT(ISNUMBER($L$6))),"",ROUND($L$6-1,4))</f>
        <v/>
      </c>
      <c r="I45" s="34" t="n"/>
      <c r="J45" s="34" t="n"/>
      <c r="K45" s="34" t="n"/>
      <c r="L45" s="34" t="n"/>
      <c r="M45" s="34" t="n"/>
      <c r="N45" s="34" t="n"/>
      <c r="O45" s="34" t="n"/>
    </row>
    <row r="46">
      <c r="A46" s="284">
        <f>IF(itens_Remanesc!A46="","",itens_Remanesc!A46)</f>
        <v/>
      </c>
      <c r="B46" s="282">
        <f>IF(itens_Remanesc!A46="","",itens_Remanesc!B46)</f>
        <v/>
      </c>
      <c r="C46" s="273">
        <f>IF(itens_Remanesc!A46="","",itens_Remanesc!C46)</f>
        <v/>
      </c>
      <c r="D46" s="273">
        <f>IF(OR(A46="",C46="",NOT(ISNUMBER($L$3))),"",ROUND(C46*$L$3,2))</f>
        <v/>
      </c>
      <c r="E46" s="273">
        <f>IF(OR(A46="",C46="",NOT(ISNUMBER($L$4))),"",ROUND(C46*$L$4,2))</f>
        <v/>
      </c>
      <c r="F46" s="273">
        <f>IF(OR(A46="",C46="",NOT(ISNUMBER($L$5))),"",ROUND(C46*$L$5,2))</f>
        <v/>
      </c>
      <c r="G46" s="273">
        <f>IF(OR(A46="",C46="",NOT(ISNUMBER($L$6))),"",ROUND(C46*$L$6,2))</f>
        <v/>
      </c>
      <c r="H46" s="342">
        <f>IF(OR(A46="",C46="",C46=0,NOT(ISNUMBER($L$6))),"",ROUND($L$6-1,4))</f>
        <v/>
      </c>
      <c r="I46" s="34" t="n"/>
      <c r="J46" s="34" t="n"/>
      <c r="K46" s="34" t="n"/>
      <c r="L46" s="34" t="n"/>
      <c r="M46" s="34" t="n"/>
      <c r="N46" s="34" t="n"/>
      <c r="O46" s="34" t="n"/>
    </row>
    <row r="47">
      <c r="A47" s="284">
        <f>IF(itens_Remanesc!A47="","",itens_Remanesc!A47)</f>
        <v/>
      </c>
      <c r="B47" s="282">
        <f>IF(itens_Remanesc!A47="","",itens_Remanesc!B47)</f>
        <v/>
      </c>
      <c r="C47" s="273">
        <f>IF(itens_Remanesc!A47="","",itens_Remanesc!C47)</f>
        <v/>
      </c>
      <c r="D47" s="273">
        <f>IF(OR(A47="",C47="",NOT(ISNUMBER($L$3))),"",ROUND(C47*$L$3,2))</f>
        <v/>
      </c>
      <c r="E47" s="273">
        <f>IF(OR(A47="",C47="",NOT(ISNUMBER($L$4))),"",ROUND(C47*$L$4,2))</f>
        <v/>
      </c>
      <c r="F47" s="273">
        <f>IF(OR(A47="",C47="",NOT(ISNUMBER($L$5))),"",ROUND(C47*$L$5,2))</f>
        <v/>
      </c>
      <c r="G47" s="273">
        <f>IF(OR(A47="",C47="",NOT(ISNUMBER($L$6))),"",ROUND(C47*$L$6,2))</f>
        <v/>
      </c>
      <c r="H47" s="342">
        <f>IF(OR(A47="",C47="",C47=0,NOT(ISNUMBER($L$6))),"",ROUND($L$6-1,4))</f>
        <v/>
      </c>
      <c r="I47" s="34" t="n"/>
      <c r="J47" s="34" t="n"/>
      <c r="K47" s="34" t="n"/>
      <c r="L47" s="34" t="n"/>
      <c r="M47" s="34" t="n"/>
      <c r="N47" s="34" t="n"/>
      <c r="O47" s="34" t="n"/>
    </row>
    <row r="48">
      <c r="A48" s="284">
        <f>IF(itens_Remanesc!A48="","",itens_Remanesc!A48)</f>
        <v/>
      </c>
      <c r="B48" s="282">
        <f>IF(itens_Remanesc!A48="","",itens_Remanesc!B48)</f>
        <v/>
      </c>
      <c r="C48" s="273">
        <f>IF(itens_Remanesc!A48="","",itens_Remanesc!C48)</f>
        <v/>
      </c>
      <c r="D48" s="273">
        <f>IF(OR(A48="",C48="",NOT(ISNUMBER($L$3))),"",ROUND(C48*$L$3,2))</f>
        <v/>
      </c>
      <c r="E48" s="273">
        <f>IF(OR(A48="",C48="",NOT(ISNUMBER($L$4))),"",ROUND(C48*$L$4,2))</f>
        <v/>
      </c>
      <c r="F48" s="273">
        <f>IF(OR(A48="",C48="",NOT(ISNUMBER($L$5))),"",ROUND(C48*$L$5,2))</f>
        <v/>
      </c>
      <c r="G48" s="273">
        <f>IF(OR(A48="",C48="",NOT(ISNUMBER($L$6))),"",ROUND(C48*$L$6,2))</f>
        <v/>
      </c>
      <c r="H48" s="342">
        <f>IF(OR(A48="",C48="",C48=0,NOT(ISNUMBER($L$6))),"",ROUND($L$6-1,4))</f>
        <v/>
      </c>
      <c r="I48" s="34" t="n"/>
      <c r="J48" s="34" t="n"/>
      <c r="K48" s="34" t="n"/>
      <c r="L48" s="34" t="n"/>
      <c r="M48" s="34" t="n"/>
      <c r="N48" s="34" t="n"/>
      <c r="O48" s="34" t="n"/>
    </row>
    <row r="49">
      <c r="A49" s="284">
        <f>IF(itens_Remanesc!A49="","",itens_Remanesc!A49)</f>
        <v/>
      </c>
      <c r="B49" s="282">
        <f>IF(itens_Remanesc!A49="","",itens_Remanesc!B49)</f>
        <v/>
      </c>
      <c r="C49" s="273">
        <f>IF(itens_Remanesc!A49="","",itens_Remanesc!C49)</f>
        <v/>
      </c>
      <c r="D49" s="273">
        <f>IF(OR(A49="",C49="",NOT(ISNUMBER($L$3))),"",ROUND(C49*$L$3,2))</f>
        <v/>
      </c>
      <c r="E49" s="273">
        <f>IF(OR(A49="",C49="",NOT(ISNUMBER($L$4))),"",ROUND(C49*$L$4,2))</f>
        <v/>
      </c>
      <c r="F49" s="273">
        <f>IF(OR(A49="",C49="",NOT(ISNUMBER($L$5))),"",ROUND(C49*$L$5,2))</f>
        <v/>
      </c>
      <c r="G49" s="273">
        <f>IF(OR(A49="",C49="",NOT(ISNUMBER($L$6))),"",ROUND(C49*$L$6,2))</f>
        <v/>
      </c>
      <c r="H49" s="342">
        <f>IF(OR(A49="",C49="",C49=0,NOT(ISNUMBER($L$6))),"",ROUND($L$6-1,4))</f>
        <v/>
      </c>
      <c r="I49" s="34" t="n"/>
      <c r="J49" s="34" t="n"/>
      <c r="K49" s="34" t="n"/>
      <c r="L49" s="34" t="n"/>
      <c r="M49" s="34" t="n"/>
      <c r="N49" s="34" t="n"/>
      <c r="O49" s="34" t="n"/>
    </row>
    <row r="50">
      <c r="A50" s="284">
        <f>IF(itens_Remanesc!A50="","",itens_Remanesc!A50)</f>
        <v/>
      </c>
      <c r="B50" s="282">
        <f>IF(itens_Remanesc!A50="","",itens_Remanesc!B50)</f>
        <v/>
      </c>
      <c r="C50" s="273">
        <f>IF(itens_Remanesc!A50="","",itens_Remanesc!C50)</f>
        <v/>
      </c>
      <c r="D50" s="273">
        <f>IF(OR(A50="",C50="",NOT(ISNUMBER($L$3))),"",ROUND(C50*$L$3,2))</f>
        <v/>
      </c>
      <c r="E50" s="273">
        <f>IF(OR(A50="",C50="",NOT(ISNUMBER($L$4))),"",ROUND(C50*$L$4,2))</f>
        <v/>
      </c>
      <c r="F50" s="273">
        <f>IF(OR(A50="",C50="",NOT(ISNUMBER($L$5))),"",ROUND(C50*$L$5,2))</f>
        <v/>
      </c>
      <c r="G50" s="273">
        <f>IF(OR(A50="",C50="",NOT(ISNUMBER($L$6))),"",ROUND(C50*$L$6,2))</f>
        <v/>
      </c>
      <c r="H50" s="342">
        <f>IF(OR(A50="",C50="",C50=0,NOT(ISNUMBER($L$6))),"",ROUND($L$6-1,4))</f>
        <v/>
      </c>
      <c r="I50" s="34" t="n"/>
      <c r="J50" s="34" t="n"/>
      <c r="K50" s="34" t="n"/>
      <c r="L50" s="34" t="n"/>
      <c r="M50" s="34" t="n"/>
      <c r="N50" s="34" t="n"/>
      <c r="O50" s="34" t="n"/>
    </row>
    <row r="51">
      <c r="A51" s="284">
        <f>IF(itens_Remanesc!A51="","",itens_Remanesc!A51)</f>
        <v/>
      </c>
      <c r="B51" s="282">
        <f>IF(itens_Remanesc!A51="","",itens_Remanesc!B51)</f>
        <v/>
      </c>
      <c r="C51" s="273">
        <f>IF(itens_Remanesc!A51="","",itens_Remanesc!C51)</f>
        <v/>
      </c>
      <c r="D51" s="273">
        <f>IF(OR(A51="",C51="",NOT(ISNUMBER($L$3))),"",ROUND(C51*$L$3,2))</f>
        <v/>
      </c>
      <c r="E51" s="273">
        <f>IF(OR(A51="",C51="",NOT(ISNUMBER($L$4))),"",ROUND(C51*$L$4,2))</f>
        <v/>
      </c>
      <c r="F51" s="273">
        <f>IF(OR(A51="",C51="",NOT(ISNUMBER($L$5))),"",ROUND(C51*$L$5,2))</f>
        <v/>
      </c>
      <c r="G51" s="273">
        <f>IF(OR(A51="",C51="",NOT(ISNUMBER($L$6))),"",ROUND(C51*$L$6,2))</f>
        <v/>
      </c>
      <c r="H51" s="342">
        <f>IF(OR(A51="",C51="",C51=0,NOT(ISNUMBER($L$6))),"",ROUND($L$6-1,4))</f>
        <v/>
      </c>
      <c r="I51" s="34" t="n"/>
      <c r="J51" s="34" t="n"/>
      <c r="K51" s="34" t="n"/>
      <c r="L51" s="34" t="n"/>
      <c r="M51" s="34" t="n"/>
      <c r="N51" s="34" t="n"/>
      <c r="O51" s="34" t="n"/>
    </row>
    <row r="52">
      <c r="A52" s="284">
        <f>IF(itens_Remanesc!A52="","",itens_Remanesc!A52)</f>
        <v/>
      </c>
      <c r="B52" s="282">
        <f>IF(itens_Remanesc!A52="","",itens_Remanesc!B52)</f>
        <v/>
      </c>
      <c r="C52" s="273">
        <f>IF(itens_Remanesc!A52="","",itens_Remanesc!C52)</f>
        <v/>
      </c>
      <c r="D52" s="273">
        <f>IF(OR(A52="",C52="",NOT(ISNUMBER($L$3))),"",ROUND(C52*$L$3,2))</f>
        <v/>
      </c>
      <c r="E52" s="273">
        <f>IF(OR(A52="",C52="",NOT(ISNUMBER($L$4))),"",ROUND(C52*$L$4,2))</f>
        <v/>
      </c>
      <c r="F52" s="273">
        <f>IF(OR(A52="",C52="",NOT(ISNUMBER($L$5))),"",ROUND(C52*$L$5,2))</f>
        <v/>
      </c>
      <c r="G52" s="273">
        <f>IF(OR(A52="",C52="",NOT(ISNUMBER($L$6))),"",ROUND(C52*$L$6,2))</f>
        <v/>
      </c>
      <c r="H52" s="342">
        <f>IF(OR(A52="",C52="",C52=0,NOT(ISNUMBER($L$6))),"",ROUND($L$6-1,4))</f>
        <v/>
      </c>
      <c r="I52" s="34" t="n"/>
      <c r="J52" s="34" t="n"/>
      <c r="K52" s="34" t="n"/>
      <c r="L52" s="34" t="n"/>
      <c r="M52" s="34" t="n"/>
      <c r="N52" s="34" t="n"/>
      <c r="O52" s="34" t="n"/>
    </row>
    <row r="53">
      <c r="A53" s="284">
        <f>IF(itens_Remanesc!A53="","",itens_Remanesc!A53)</f>
        <v/>
      </c>
      <c r="B53" s="282">
        <f>IF(itens_Remanesc!A53="","",itens_Remanesc!B53)</f>
        <v/>
      </c>
      <c r="C53" s="273">
        <f>IF(itens_Remanesc!A53="","",itens_Remanesc!C53)</f>
        <v/>
      </c>
      <c r="D53" s="273">
        <f>IF(OR(A53="",C53="",NOT(ISNUMBER($L$3))),"",ROUND(C53*$L$3,2))</f>
        <v/>
      </c>
      <c r="E53" s="273">
        <f>IF(OR(A53="",C53="",NOT(ISNUMBER($L$4))),"",ROUND(C53*$L$4,2))</f>
        <v/>
      </c>
      <c r="F53" s="273">
        <f>IF(OR(A53="",C53="",NOT(ISNUMBER($L$5))),"",ROUND(C53*$L$5,2))</f>
        <v/>
      </c>
      <c r="G53" s="273">
        <f>IF(OR(A53="",C53="",NOT(ISNUMBER($L$6))),"",ROUND(C53*$L$6,2))</f>
        <v/>
      </c>
      <c r="H53" s="342">
        <f>IF(OR(A53="",C53="",C53=0,NOT(ISNUMBER($L$6))),"",ROUND($L$6-1,4))</f>
        <v/>
      </c>
      <c r="I53" s="34" t="n"/>
      <c r="J53" s="34" t="n"/>
      <c r="K53" s="34" t="n"/>
      <c r="L53" s="34" t="n"/>
      <c r="M53" s="34" t="n"/>
      <c r="N53" s="34" t="n"/>
      <c r="O53" s="34" t="n"/>
    </row>
    <row r="54">
      <c r="A54" s="284">
        <f>IF(itens_Remanesc!A54="","",itens_Remanesc!A54)</f>
        <v/>
      </c>
      <c r="B54" s="282">
        <f>IF(itens_Remanesc!A54="","",itens_Remanesc!B54)</f>
        <v/>
      </c>
      <c r="C54" s="273">
        <f>IF(itens_Remanesc!A54="","",itens_Remanesc!C54)</f>
        <v/>
      </c>
      <c r="D54" s="273">
        <f>IF(OR(A54="",C54="",NOT(ISNUMBER($L$3))),"",ROUND(C54*$L$3,2))</f>
        <v/>
      </c>
      <c r="E54" s="273">
        <f>IF(OR(A54="",C54="",NOT(ISNUMBER($L$4))),"",ROUND(C54*$L$4,2))</f>
        <v/>
      </c>
      <c r="F54" s="273">
        <f>IF(OR(A54="",C54="",NOT(ISNUMBER($L$5))),"",ROUND(C54*$L$5,2))</f>
        <v/>
      </c>
      <c r="G54" s="273">
        <f>IF(OR(A54="",C54="",NOT(ISNUMBER($L$6))),"",ROUND(C54*$L$6,2))</f>
        <v/>
      </c>
      <c r="H54" s="342">
        <f>IF(OR(A54="",C54="",C54=0,NOT(ISNUMBER($L$6))),"",ROUND($L$6-1,4))</f>
        <v/>
      </c>
      <c r="I54" s="34" t="n"/>
      <c r="J54" s="34" t="n"/>
      <c r="K54" s="34" t="n"/>
      <c r="L54" s="34" t="n"/>
      <c r="M54" s="34" t="n"/>
      <c r="N54" s="34" t="n"/>
      <c r="O54" s="34" t="n"/>
    </row>
    <row r="55">
      <c r="A55" s="284">
        <f>IF(itens_Remanesc!A55="","",itens_Remanesc!A55)</f>
        <v/>
      </c>
      <c r="B55" s="282">
        <f>IF(itens_Remanesc!A55="","",itens_Remanesc!B55)</f>
        <v/>
      </c>
      <c r="C55" s="273">
        <f>IF(itens_Remanesc!A55="","",itens_Remanesc!C55)</f>
        <v/>
      </c>
      <c r="D55" s="273">
        <f>IF(OR(A55="",C55="",NOT(ISNUMBER($L$3))),"",ROUND(C55*$L$3,2))</f>
        <v/>
      </c>
      <c r="E55" s="273">
        <f>IF(OR(A55="",C55="",NOT(ISNUMBER($L$4))),"",ROUND(C55*$L$4,2))</f>
        <v/>
      </c>
      <c r="F55" s="273">
        <f>IF(OR(A55="",C55="",NOT(ISNUMBER($L$5))),"",ROUND(C55*$L$5,2))</f>
        <v/>
      </c>
      <c r="G55" s="273">
        <f>IF(OR(A55="",C55="",NOT(ISNUMBER($L$6))),"",ROUND(C55*$L$6,2))</f>
        <v/>
      </c>
      <c r="H55" s="342">
        <f>IF(OR(A55="",C55="",C55=0,NOT(ISNUMBER($L$6))),"",ROUND($L$6-1,4))</f>
        <v/>
      </c>
      <c r="I55" s="34" t="n"/>
      <c r="J55" s="34" t="n"/>
      <c r="K55" s="34" t="n"/>
      <c r="L55" s="34" t="n"/>
      <c r="M55" s="34" t="n"/>
      <c r="N55" s="34" t="n"/>
      <c r="O55" s="34" t="n"/>
    </row>
    <row r="56">
      <c r="A56" s="284">
        <f>IF(itens_Remanesc!A56="","",itens_Remanesc!A56)</f>
        <v/>
      </c>
      <c r="B56" s="282">
        <f>IF(itens_Remanesc!A56="","",itens_Remanesc!B56)</f>
        <v/>
      </c>
      <c r="C56" s="273">
        <f>IF(itens_Remanesc!A56="","",itens_Remanesc!C56)</f>
        <v/>
      </c>
      <c r="D56" s="273">
        <f>IF(OR(A56="",C56="",NOT(ISNUMBER($L$3))),"",ROUND(C56*$L$3,2))</f>
        <v/>
      </c>
      <c r="E56" s="273">
        <f>IF(OR(A56="",C56="",NOT(ISNUMBER($L$4))),"",ROUND(C56*$L$4,2))</f>
        <v/>
      </c>
      <c r="F56" s="273">
        <f>IF(OR(A56="",C56="",NOT(ISNUMBER($L$5))),"",ROUND(C56*$L$5,2))</f>
        <v/>
      </c>
      <c r="G56" s="273">
        <f>IF(OR(A56="",C56="",NOT(ISNUMBER($L$6))),"",ROUND(C56*$L$6,2))</f>
        <v/>
      </c>
      <c r="H56" s="342">
        <f>IF(OR(A56="",C56="",C56=0,NOT(ISNUMBER($L$6))),"",ROUND($L$6-1,4))</f>
        <v/>
      </c>
      <c r="I56" s="34" t="n"/>
      <c r="J56" s="34" t="n"/>
      <c r="K56" s="34" t="n"/>
      <c r="L56" s="34" t="n"/>
      <c r="M56" s="34" t="n"/>
      <c r="N56" s="34" t="n"/>
      <c r="O56" s="34" t="n"/>
    </row>
    <row r="57">
      <c r="A57" s="284">
        <f>IF(itens_Remanesc!A57="","",itens_Remanesc!A57)</f>
        <v/>
      </c>
      <c r="B57" s="282">
        <f>IF(itens_Remanesc!A57="","",itens_Remanesc!B57)</f>
        <v/>
      </c>
      <c r="C57" s="273">
        <f>IF(itens_Remanesc!A57="","",itens_Remanesc!C57)</f>
        <v/>
      </c>
      <c r="D57" s="273">
        <f>IF(OR(A57="",C57="",NOT(ISNUMBER($L$3))),"",ROUND(C57*$L$3,2))</f>
        <v/>
      </c>
      <c r="E57" s="273">
        <f>IF(OR(A57="",C57="",NOT(ISNUMBER($L$4))),"",ROUND(C57*$L$4,2))</f>
        <v/>
      </c>
      <c r="F57" s="273">
        <f>IF(OR(A57="",C57="",NOT(ISNUMBER($L$5))),"",ROUND(C57*$L$5,2))</f>
        <v/>
      </c>
      <c r="G57" s="273">
        <f>IF(OR(A57="",C57="",NOT(ISNUMBER($L$6))),"",ROUND(C57*$L$6,2))</f>
        <v/>
      </c>
      <c r="H57" s="342">
        <f>IF(OR(A57="",C57="",C57=0,NOT(ISNUMBER($L$6))),"",ROUND($L$6-1,4))</f>
        <v/>
      </c>
      <c r="I57" s="34" t="n"/>
      <c r="J57" s="34" t="n"/>
      <c r="K57" s="34" t="n"/>
      <c r="L57" s="34" t="n"/>
      <c r="M57" s="34" t="n"/>
      <c r="N57" s="34" t="n"/>
      <c r="O57" s="34" t="n"/>
    </row>
    <row r="58">
      <c r="A58" s="284">
        <f>IF(itens_Remanesc!A58="","",itens_Remanesc!A58)</f>
        <v/>
      </c>
      <c r="B58" s="282">
        <f>IF(itens_Remanesc!A58="","",itens_Remanesc!B58)</f>
        <v/>
      </c>
      <c r="C58" s="273">
        <f>IF(itens_Remanesc!A58="","",itens_Remanesc!C58)</f>
        <v/>
      </c>
      <c r="D58" s="273">
        <f>IF(OR(A58="",C58="",NOT(ISNUMBER($L$3))),"",ROUND(C58*$L$3,2))</f>
        <v/>
      </c>
      <c r="E58" s="273">
        <f>IF(OR(A58="",C58="",NOT(ISNUMBER($L$4))),"",ROUND(C58*$L$4,2))</f>
        <v/>
      </c>
      <c r="F58" s="273">
        <f>IF(OR(A58="",C58="",NOT(ISNUMBER($L$5))),"",ROUND(C58*$L$5,2))</f>
        <v/>
      </c>
      <c r="G58" s="273">
        <f>IF(OR(A58="",C58="",NOT(ISNUMBER($L$6))),"",ROUND(C58*$L$6,2))</f>
        <v/>
      </c>
      <c r="H58" s="342">
        <f>IF(OR(A58="",C58="",C58=0,NOT(ISNUMBER($L$6))),"",ROUND($L$6-1,4))</f>
        <v/>
      </c>
      <c r="I58" s="34" t="n"/>
      <c r="J58" s="34" t="n"/>
      <c r="K58" s="34" t="n"/>
      <c r="L58" s="34" t="n"/>
      <c r="M58" s="34" t="n"/>
      <c r="N58" s="34" t="n"/>
      <c r="O58" s="34" t="n"/>
    </row>
    <row r="59">
      <c r="A59" s="284">
        <f>IF(itens_Remanesc!A59="","",itens_Remanesc!A59)</f>
        <v/>
      </c>
      <c r="B59" s="282">
        <f>IF(itens_Remanesc!A59="","",itens_Remanesc!B59)</f>
        <v/>
      </c>
      <c r="C59" s="273">
        <f>IF(itens_Remanesc!A59="","",itens_Remanesc!C59)</f>
        <v/>
      </c>
      <c r="D59" s="273">
        <f>IF(OR(A59="",C59="",NOT(ISNUMBER($L$3))),"",ROUND(C59*$L$3,2))</f>
        <v/>
      </c>
      <c r="E59" s="273">
        <f>IF(OR(A59="",C59="",NOT(ISNUMBER($L$4))),"",ROUND(C59*$L$4,2))</f>
        <v/>
      </c>
      <c r="F59" s="273">
        <f>IF(OR(A59="",C59="",NOT(ISNUMBER($L$5))),"",ROUND(C59*$L$5,2))</f>
        <v/>
      </c>
      <c r="G59" s="273">
        <f>IF(OR(A59="",C59="",NOT(ISNUMBER($L$6))),"",ROUND(C59*$L$6,2))</f>
        <v/>
      </c>
      <c r="H59" s="342">
        <f>IF(OR(A59="",C59="",C59=0,NOT(ISNUMBER($L$6))),"",ROUND($L$6-1,4))</f>
        <v/>
      </c>
      <c r="I59" s="34" t="n"/>
      <c r="J59" s="34" t="n"/>
      <c r="K59" s="34" t="n"/>
      <c r="L59" s="34" t="n"/>
      <c r="M59" s="34" t="n"/>
      <c r="N59" s="34" t="n"/>
      <c r="O59" s="34" t="n"/>
    </row>
    <row r="60">
      <c r="A60" s="284">
        <f>IF(itens_Remanesc!A60="","",itens_Remanesc!A60)</f>
        <v/>
      </c>
      <c r="B60" s="282">
        <f>IF(itens_Remanesc!A60="","",itens_Remanesc!B60)</f>
        <v/>
      </c>
      <c r="C60" s="273">
        <f>IF(itens_Remanesc!A60="","",itens_Remanesc!C60)</f>
        <v/>
      </c>
      <c r="D60" s="273">
        <f>IF(OR(A60="",C60="",NOT(ISNUMBER($L$3))),"",ROUND(C60*$L$3,2))</f>
        <v/>
      </c>
      <c r="E60" s="273">
        <f>IF(OR(A60="",C60="",NOT(ISNUMBER($L$4))),"",ROUND(C60*$L$4,2))</f>
        <v/>
      </c>
      <c r="F60" s="273">
        <f>IF(OR(A60="",C60="",NOT(ISNUMBER($L$5))),"",ROUND(C60*$L$5,2))</f>
        <v/>
      </c>
      <c r="G60" s="273">
        <f>IF(OR(A60="",C60="",NOT(ISNUMBER($L$6))),"",ROUND(C60*$L$6,2))</f>
        <v/>
      </c>
      <c r="H60" s="342">
        <f>IF(OR(A60="",C60="",C60=0,NOT(ISNUMBER($L$6))),"",ROUND($L$6-1,4))</f>
        <v/>
      </c>
      <c r="I60" s="34" t="n"/>
      <c r="J60" s="34" t="n"/>
      <c r="K60" s="34" t="n"/>
      <c r="L60" s="34" t="n"/>
      <c r="M60" s="34" t="n"/>
      <c r="N60" s="34" t="n"/>
      <c r="O60" s="34" t="n"/>
    </row>
    <row r="61">
      <c r="A61" s="284">
        <f>IF(itens_Remanesc!A61="","",itens_Remanesc!A61)</f>
        <v/>
      </c>
      <c r="B61" s="282">
        <f>IF(itens_Remanesc!A61="","",itens_Remanesc!B61)</f>
        <v/>
      </c>
      <c r="C61" s="273">
        <f>IF(itens_Remanesc!A61="","",itens_Remanesc!C61)</f>
        <v/>
      </c>
      <c r="D61" s="273">
        <f>IF(OR(A61="",C61="",NOT(ISNUMBER($L$3))),"",ROUND(C61*$L$3,2))</f>
        <v/>
      </c>
      <c r="E61" s="273">
        <f>IF(OR(A61="",C61="",NOT(ISNUMBER($L$4))),"",ROUND(C61*$L$4,2))</f>
        <v/>
      </c>
      <c r="F61" s="273">
        <f>IF(OR(A61="",C61="",NOT(ISNUMBER($L$5))),"",ROUND(C61*$L$5,2))</f>
        <v/>
      </c>
      <c r="G61" s="273">
        <f>IF(OR(A61="",C61="",NOT(ISNUMBER($L$6))),"",ROUND(C61*$L$6,2))</f>
        <v/>
      </c>
      <c r="H61" s="342">
        <f>IF(OR(A61="",C61="",C61=0,NOT(ISNUMBER($L$6))),"",ROUND($L$6-1,4))</f>
        <v/>
      </c>
      <c r="I61" s="34" t="n"/>
      <c r="J61" s="34" t="n"/>
      <c r="K61" s="34" t="n"/>
      <c r="L61" s="34" t="n"/>
      <c r="M61" s="34" t="n"/>
      <c r="N61" s="34" t="n"/>
      <c r="O61" s="34" t="n"/>
    </row>
    <row r="62">
      <c r="A62" s="284">
        <f>IF(itens_Remanesc!A62="","",itens_Remanesc!A62)</f>
        <v/>
      </c>
      <c r="B62" s="282">
        <f>IF(itens_Remanesc!A62="","",itens_Remanesc!B62)</f>
        <v/>
      </c>
      <c r="C62" s="273">
        <f>IF(itens_Remanesc!A62="","",itens_Remanesc!C62)</f>
        <v/>
      </c>
      <c r="D62" s="273">
        <f>IF(OR(A62="",C62="",NOT(ISNUMBER($L$3))),"",ROUND(C62*$L$3,2))</f>
        <v/>
      </c>
      <c r="E62" s="273">
        <f>IF(OR(A62="",C62="",NOT(ISNUMBER($L$4))),"",ROUND(C62*$L$4,2))</f>
        <v/>
      </c>
      <c r="F62" s="273">
        <f>IF(OR(A62="",C62="",NOT(ISNUMBER($L$5))),"",ROUND(C62*$L$5,2))</f>
        <v/>
      </c>
      <c r="G62" s="273">
        <f>IF(OR(A62="",C62="",NOT(ISNUMBER($L$6))),"",ROUND(C62*$L$6,2))</f>
        <v/>
      </c>
      <c r="H62" s="342">
        <f>IF(OR(A62="",C62="",C62=0,NOT(ISNUMBER($L$6))),"",ROUND($L$6-1,4))</f>
        <v/>
      </c>
      <c r="I62" s="34" t="n"/>
      <c r="J62" s="34" t="n"/>
      <c r="K62" s="34" t="n"/>
      <c r="L62" s="34" t="n"/>
      <c r="M62" s="34" t="n"/>
      <c r="N62" s="34" t="n"/>
      <c r="O62" s="34" t="n"/>
    </row>
    <row r="63">
      <c r="A63" s="284">
        <f>IF(itens_Remanesc!A63="","",itens_Remanesc!A63)</f>
        <v/>
      </c>
      <c r="B63" s="282">
        <f>IF(itens_Remanesc!A63="","",itens_Remanesc!B63)</f>
        <v/>
      </c>
      <c r="C63" s="273">
        <f>IF(itens_Remanesc!A63="","",itens_Remanesc!C63)</f>
        <v/>
      </c>
      <c r="D63" s="273">
        <f>IF(OR(A63="",C63="",NOT(ISNUMBER($L$3))),"",ROUND(C63*$L$3,2))</f>
        <v/>
      </c>
      <c r="E63" s="273">
        <f>IF(OR(A63="",C63="",NOT(ISNUMBER($L$4))),"",ROUND(C63*$L$4,2))</f>
        <v/>
      </c>
      <c r="F63" s="273">
        <f>IF(OR(A63="",C63="",NOT(ISNUMBER($L$5))),"",ROUND(C63*$L$5,2))</f>
        <v/>
      </c>
      <c r="G63" s="273">
        <f>IF(OR(A63="",C63="",NOT(ISNUMBER($L$6))),"",ROUND(C63*$L$6,2))</f>
        <v/>
      </c>
      <c r="H63" s="342">
        <f>IF(OR(A63="",C63="",C63=0,NOT(ISNUMBER($L$6))),"",ROUND($L$6-1,4))</f>
        <v/>
      </c>
      <c r="I63" s="34" t="n"/>
      <c r="J63" s="34" t="n"/>
      <c r="K63" s="34" t="n"/>
      <c r="L63" s="34" t="n"/>
      <c r="M63" s="34" t="n"/>
      <c r="N63" s="34" t="n"/>
      <c r="O63" s="34" t="n"/>
    </row>
    <row r="64">
      <c r="A64" s="284">
        <f>IF(itens_Remanesc!A64="","",itens_Remanesc!A64)</f>
        <v/>
      </c>
      <c r="B64" s="282">
        <f>IF(itens_Remanesc!A64="","",itens_Remanesc!B64)</f>
        <v/>
      </c>
      <c r="C64" s="273">
        <f>IF(itens_Remanesc!A64="","",itens_Remanesc!C64)</f>
        <v/>
      </c>
      <c r="D64" s="273">
        <f>IF(OR(A64="",C64="",NOT(ISNUMBER($L$3))),"",ROUND(C64*$L$3,2))</f>
        <v/>
      </c>
      <c r="E64" s="273">
        <f>IF(OR(A64="",C64="",NOT(ISNUMBER($L$4))),"",ROUND(C64*$L$4,2))</f>
        <v/>
      </c>
      <c r="F64" s="273">
        <f>IF(OR(A64="",C64="",NOT(ISNUMBER($L$5))),"",ROUND(C64*$L$5,2))</f>
        <v/>
      </c>
      <c r="G64" s="273">
        <f>IF(OR(A64="",C64="",NOT(ISNUMBER($L$6))),"",ROUND(C64*$L$6,2))</f>
        <v/>
      </c>
      <c r="H64" s="342">
        <f>IF(OR(A64="",C64="",C64=0,NOT(ISNUMBER($L$6))),"",ROUND($L$6-1,4))</f>
        <v/>
      </c>
      <c r="I64" s="34" t="n"/>
      <c r="J64" s="34" t="n"/>
      <c r="K64" s="34" t="n"/>
      <c r="L64" s="34" t="n"/>
      <c r="M64" s="34" t="n"/>
      <c r="N64" s="34" t="n"/>
      <c r="O64" s="34" t="n"/>
    </row>
    <row r="65">
      <c r="A65" s="284">
        <f>IF(itens_Remanesc!A65="","",itens_Remanesc!A65)</f>
        <v/>
      </c>
      <c r="B65" s="282">
        <f>IF(itens_Remanesc!A65="","",itens_Remanesc!B65)</f>
        <v/>
      </c>
      <c r="C65" s="273">
        <f>IF(itens_Remanesc!A65="","",itens_Remanesc!C65)</f>
        <v/>
      </c>
      <c r="D65" s="273">
        <f>IF(OR(A65="",C65="",NOT(ISNUMBER($L$3))),"",ROUND(C65*$L$3,2))</f>
        <v/>
      </c>
      <c r="E65" s="273">
        <f>IF(OR(A65="",C65="",NOT(ISNUMBER($L$4))),"",ROUND(C65*$L$4,2))</f>
        <v/>
      </c>
      <c r="F65" s="273">
        <f>IF(OR(A65="",C65="",NOT(ISNUMBER($L$5))),"",ROUND(C65*$L$5,2))</f>
        <v/>
      </c>
      <c r="G65" s="273">
        <f>IF(OR(A65="",C65="",NOT(ISNUMBER($L$6))),"",ROUND(C65*$L$6,2))</f>
        <v/>
      </c>
      <c r="H65" s="342">
        <f>IF(OR(A65="",C65="",C65=0,NOT(ISNUMBER($L$6))),"",ROUND($L$6-1,4))</f>
        <v/>
      </c>
      <c r="I65" s="34" t="n"/>
      <c r="J65" s="34" t="n"/>
      <c r="K65" s="34" t="n"/>
      <c r="L65" s="34" t="n"/>
      <c r="M65" s="34" t="n"/>
      <c r="N65" s="34" t="n"/>
      <c r="O65" s="34" t="n"/>
    </row>
    <row r="66">
      <c r="A66" s="284">
        <f>IF(itens_Remanesc!A66="","",itens_Remanesc!A66)</f>
        <v/>
      </c>
      <c r="B66" s="282">
        <f>IF(itens_Remanesc!A66="","",itens_Remanesc!B66)</f>
        <v/>
      </c>
      <c r="C66" s="273">
        <f>IF(itens_Remanesc!A66="","",itens_Remanesc!C66)</f>
        <v/>
      </c>
      <c r="D66" s="273">
        <f>IF(OR(A66="",C66="",NOT(ISNUMBER($L$3))),"",ROUND(C66*$L$3,2))</f>
        <v/>
      </c>
      <c r="E66" s="273">
        <f>IF(OR(A66="",C66="",NOT(ISNUMBER($L$4))),"",ROUND(C66*$L$4,2))</f>
        <v/>
      </c>
      <c r="F66" s="273">
        <f>IF(OR(A66="",C66="",NOT(ISNUMBER($L$5))),"",ROUND(C66*$L$5,2))</f>
        <v/>
      </c>
      <c r="G66" s="273">
        <f>IF(OR(A66="",C66="",NOT(ISNUMBER($L$6))),"",ROUND(C66*$L$6,2))</f>
        <v/>
      </c>
      <c r="H66" s="342">
        <f>IF(OR(A66="",C66="",C66=0,NOT(ISNUMBER($L$6))),"",ROUND($L$6-1,4))</f>
        <v/>
      </c>
      <c r="I66" s="34" t="n"/>
      <c r="J66" s="34" t="n"/>
      <c r="K66" s="34" t="n"/>
      <c r="L66" s="34" t="n"/>
      <c r="M66" s="34" t="n"/>
      <c r="N66" s="34" t="n"/>
      <c r="O66" s="34" t="n"/>
    </row>
    <row r="67">
      <c r="A67" s="284">
        <f>IF(itens_Remanesc!A67="","",itens_Remanesc!A67)</f>
        <v/>
      </c>
      <c r="B67" s="282">
        <f>IF(itens_Remanesc!A67="","",itens_Remanesc!B67)</f>
        <v/>
      </c>
      <c r="C67" s="273">
        <f>IF(itens_Remanesc!A67="","",itens_Remanesc!C67)</f>
        <v/>
      </c>
      <c r="D67" s="273">
        <f>IF(OR(A67="",C67="",NOT(ISNUMBER($L$3))),"",ROUND(C67*$L$3,2))</f>
        <v/>
      </c>
      <c r="E67" s="273">
        <f>IF(OR(A67="",C67="",NOT(ISNUMBER($L$4))),"",ROUND(C67*$L$4,2))</f>
        <v/>
      </c>
      <c r="F67" s="273">
        <f>IF(OR(A67="",C67="",NOT(ISNUMBER($L$5))),"",ROUND(C67*$L$5,2))</f>
        <v/>
      </c>
      <c r="G67" s="273">
        <f>IF(OR(A67="",C67="",NOT(ISNUMBER($L$6))),"",ROUND(C67*$L$6,2))</f>
        <v/>
      </c>
      <c r="H67" s="342">
        <f>IF(OR(A67="",C67="",C67=0,NOT(ISNUMBER($L$6))),"",ROUND($L$6-1,4))</f>
        <v/>
      </c>
      <c r="I67" s="34" t="n"/>
      <c r="J67" s="34" t="n"/>
      <c r="K67" s="34" t="n"/>
      <c r="L67" s="34" t="n"/>
      <c r="M67" s="34" t="n"/>
      <c r="N67" s="34" t="n"/>
      <c r="O67" s="34" t="n"/>
    </row>
    <row r="68">
      <c r="A68" s="284">
        <f>IF(itens_Remanesc!A68="","",itens_Remanesc!A68)</f>
        <v/>
      </c>
      <c r="B68" s="282">
        <f>IF(itens_Remanesc!A68="","",itens_Remanesc!B68)</f>
        <v/>
      </c>
      <c r="C68" s="273">
        <f>IF(itens_Remanesc!A68="","",itens_Remanesc!C68)</f>
        <v/>
      </c>
      <c r="D68" s="273">
        <f>IF(OR(A68="",C68="",NOT(ISNUMBER($L$3))),"",ROUND(C68*$L$3,2))</f>
        <v/>
      </c>
      <c r="E68" s="273">
        <f>IF(OR(A68="",C68="",NOT(ISNUMBER($L$4))),"",ROUND(C68*$L$4,2))</f>
        <v/>
      </c>
      <c r="F68" s="273">
        <f>IF(OR(A68="",C68="",NOT(ISNUMBER($L$5))),"",ROUND(C68*$L$5,2))</f>
        <v/>
      </c>
      <c r="G68" s="273">
        <f>IF(OR(A68="",C68="",NOT(ISNUMBER($L$6))),"",ROUND(C68*$L$6,2))</f>
        <v/>
      </c>
      <c r="H68" s="342">
        <f>IF(OR(A68="",C68="",C68=0,NOT(ISNUMBER($L$6))),"",ROUND($L$6-1,4))</f>
        <v/>
      </c>
      <c r="I68" s="34" t="n"/>
      <c r="J68" s="34" t="n"/>
      <c r="K68" s="34" t="n"/>
      <c r="L68" s="34" t="n"/>
      <c r="M68" s="34" t="n"/>
      <c r="N68" s="34" t="n"/>
      <c r="O68" s="34" t="n"/>
    </row>
    <row r="69">
      <c r="A69" s="284">
        <f>IF(itens_Remanesc!A69="","",itens_Remanesc!A69)</f>
        <v/>
      </c>
      <c r="B69" s="282">
        <f>IF(itens_Remanesc!A69="","",itens_Remanesc!B69)</f>
        <v/>
      </c>
      <c r="C69" s="273">
        <f>IF(itens_Remanesc!A69="","",itens_Remanesc!C69)</f>
        <v/>
      </c>
      <c r="D69" s="273">
        <f>IF(OR(A69="",C69="",NOT(ISNUMBER($L$3))),"",ROUND(C69*$L$3,2))</f>
        <v/>
      </c>
      <c r="E69" s="273">
        <f>IF(OR(A69="",C69="",NOT(ISNUMBER($L$4))),"",ROUND(C69*$L$4,2))</f>
        <v/>
      </c>
      <c r="F69" s="273">
        <f>IF(OR(A69="",C69="",NOT(ISNUMBER($L$5))),"",ROUND(C69*$L$5,2))</f>
        <v/>
      </c>
      <c r="G69" s="273">
        <f>IF(OR(A69="",C69="",NOT(ISNUMBER($L$6))),"",ROUND(C69*$L$6,2))</f>
        <v/>
      </c>
      <c r="H69" s="342">
        <f>IF(OR(A69="",C69="",C69=0,NOT(ISNUMBER($L$6))),"",ROUND($L$6-1,4))</f>
        <v/>
      </c>
      <c r="I69" s="34" t="n"/>
      <c r="J69" s="34" t="n"/>
      <c r="K69" s="34" t="n"/>
      <c r="L69" s="34" t="n"/>
      <c r="M69" s="34" t="n"/>
      <c r="N69" s="34" t="n"/>
      <c r="O69" s="34" t="n"/>
    </row>
    <row r="70">
      <c r="A70" s="284">
        <f>IF(itens_Remanesc!A70="","",itens_Remanesc!A70)</f>
        <v/>
      </c>
      <c r="B70" s="282">
        <f>IF(itens_Remanesc!A70="","",itens_Remanesc!B70)</f>
        <v/>
      </c>
      <c r="C70" s="273">
        <f>IF(itens_Remanesc!A70="","",itens_Remanesc!C70)</f>
        <v/>
      </c>
      <c r="D70" s="273">
        <f>IF(OR(A70="",C70="",NOT(ISNUMBER($L$3))),"",ROUND(C70*$L$3,2))</f>
        <v/>
      </c>
      <c r="E70" s="273">
        <f>IF(OR(A70="",C70="",NOT(ISNUMBER($L$4))),"",ROUND(C70*$L$4,2))</f>
        <v/>
      </c>
      <c r="F70" s="273">
        <f>IF(OR(A70="",C70="",NOT(ISNUMBER($L$5))),"",ROUND(C70*$L$5,2))</f>
        <v/>
      </c>
      <c r="G70" s="273">
        <f>IF(OR(A70="",C70="",NOT(ISNUMBER($L$6))),"",ROUND(C70*$L$6,2))</f>
        <v/>
      </c>
      <c r="H70" s="342">
        <f>IF(OR(A70="",C70="",C70=0,NOT(ISNUMBER($L$6))),"",ROUND($L$6-1,4))</f>
        <v/>
      </c>
      <c r="I70" s="34" t="n"/>
      <c r="J70" s="34" t="n"/>
      <c r="K70" s="34" t="n"/>
      <c r="L70" s="34" t="n"/>
      <c r="M70" s="34" t="n"/>
      <c r="N70" s="34" t="n"/>
      <c r="O70" s="34" t="n"/>
    </row>
    <row r="71">
      <c r="A71" s="284">
        <f>IF(itens_Remanesc!A71="","",itens_Remanesc!A71)</f>
        <v/>
      </c>
      <c r="B71" s="282">
        <f>IF(itens_Remanesc!A71="","",itens_Remanesc!B71)</f>
        <v/>
      </c>
      <c r="C71" s="273">
        <f>IF(itens_Remanesc!A71="","",itens_Remanesc!C71)</f>
        <v/>
      </c>
      <c r="D71" s="273">
        <f>IF(OR(A71="",C71="",NOT(ISNUMBER($L$3))),"",ROUND(C71*$L$3,2))</f>
        <v/>
      </c>
      <c r="E71" s="273">
        <f>IF(OR(A71="",C71="",NOT(ISNUMBER($L$4))),"",ROUND(C71*$L$4,2))</f>
        <v/>
      </c>
      <c r="F71" s="273">
        <f>IF(OR(A71="",C71="",NOT(ISNUMBER($L$5))),"",ROUND(C71*$L$5,2))</f>
        <v/>
      </c>
      <c r="G71" s="273">
        <f>IF(OR(A71="",C71="",NOT(ISNUMBER($L$6))),"",ROUND(C71*$L$6,2))</f>
        <v/>
      </c>
      <c r="H71" s="342">
        <f>IF(OR(A71="",C71="",C71=0,NOT(ISNUMBER($L$6))),"",ROUND($L$6-1,4))</f>
        <v/>
      </c>
      <c r="I71" s="34" t="n"/>
      <c r="J71" s="34" t="n"/>
      <c r="K71" s="34" t="n"/>
      <c r="L71" s="34" t="n"/>
      <c r="M71" s="34" t="n"/>
      <c r="N71" s="34" t="n"/>
      <c r="O71" s="34" t="n"/>
    </row>
    <row r="72">
      <c r="A72" s="284">
        <f>IF(itens_Remanesc!A72="","",itens_Remanesc!A72)</f>
        <v/>
      </c>
      <c r="B72" s="282">
        <f>IF(itens_Remanesc!A72="","",itens_Remanesc!B72)</f>
        <v/>
      </c>
      <c r="C72" s="273">
        <f>IF(itens_Remanesc!A72="","",itens_Remanesc!C72)</f>
        <v/>
      </c>
      <c r="D72" s="273">
        <f>IF(OR(A72="",C72="",NOT(ISNUMBER($L$3))),"",ROUND(C72*$L$3,2))</f>
        <v/>
      </c>
      <c r="E72" s="273">
        <f>IF(OR(A72="",C72="",NOT(ISNUMBER($L$4))),"",ROUND(C72*$L$4,2))</f>
        <v/>
      </c>
      <c r="F72" s="273">
        <f>IF(OR(A72="",C72="",NOT(ISNUMBER($L$5))),"",ROUND(C72*$L$5,2))</f>
        <v/>
      </c>
      <c r="G72" s="273">
        <f>IF(OR(A72="",C72="",NOT(ISNUMBER($L$6))),"",ROUND(C72*$L$6,2))</f>
        <v/>
      </c>
      <c r="H72" s="342">
        <f>IF(OR(A72="",C72="",C72=0,NOT(ISNUMBER($L$6))),"",ROUND($L$6-1,4))</f>
        <v/>
      </c>
      <c r="I72" s="34" t="n"/>
      <c r="J72" s="34" t="n"/>
      <c r="K72" s="34" t="n"/>
      <c r="L72" s="34" t="n"/>
      <c r="M72" s="34" t="n"/>
      <c r="N72" s="34" t="n"/>
      <c r="O72" s="34" t="n"/>
    </row>
    <row r="73">
      <c r="A73" s="284">
        <f>IF(itens_Remanesc!A73="","",itens_Remanesc!A73)</f>
        <v/>
      </c>
      <c r="B73" s="282">
        <f>IF(itens_Remanesc!A73="","",itens_Remanesc!B73)</f>
        <v/>
      </c>
      <c r="C73" s="273">
        <f>IF(itens_Remanesc!A73="","",itens_Remanesc!C73)</f>
        <v/>
      </c>
      <c r="D73" s="273">
        <f>IF(OR(A73="",C73="",NOT(ISNUMBER($L$3))),"",ROUND(C73*$L$3,2))</f>
        <v/>
      </c>
      <c r="E73" s="273">
        <f>IF(OR(A73="",C73="",NOT(ISNUMBER($L$4))),"",ROUND(C73*$L$4,2))</f>
        <v/>
      </c>
      <c r="F73" s="273">
        <f>IF(OR(A73="",C73="",NOT(ISNUMBER($L$5))),"",ROUND(C73*$L$5,2))</f>
        <v/>
      </c>
      <c r="G73" s="273">
        <f>IF(OR(A73="",C73="",NOT(ISNUMBER($L$6))),"",ROUND(C73*$L$6,2))</f>
        <v/>
      </c>
      <c r="H73" s="342">
        <f>IF(OR(A73="",C73="",C73=0,NOT(ISNUMBER($L$6))),"",ROUND($L$6-1,4))</f>
        <v/>
      </c>
      <c r="I73" s="34" t="n"/>
      <c r="J73" s="34" t="n"/>
      <c r="K73" s="34" t="n"/>
      <c r="L73" s="34" t="n"/>
      <c r="M73" s="34" t="n"/>
      <c r="N73" s="34" t="n"/>
      <c r="O73" s="34" t="n"/>
    </row>
    <row r="74">
      <c r="A74" s="284">
        <f>IF(itens_Remanesc!A74="","",itens_Remanesc!A74)</f>
        <v/>
      </c>
      <c r="B74" s="282">
        <f>IF(itens_Remanesc!A74="","",itens_Remanesc!B74)</f>
        <v/>
      </c>
      <c r="C74" s="273">
        <f>IF(itens_Remanesc!A74="","",itens_Remanesc!C74)</f>
        <v/>
      </c>
      <c r="D74" s="273">
        <f>IF(OR(A74="",C74="",NOT(ISNUMBER($L$3))),"",ROUND(C74*$L$3,2))</f>
        <v/>
      </c>
      <c r="E74" s="273">
        <f>IF(OR(A74="",C74="",NOT(ISNUMBER($L$4))),"",ROUND(C74*$L$4,2))</f>
        <v/>
      </c>
      <c r="F74" s="273">
        <f>IF(OR(A74="",C74="",NOT(ISNUMBER($L$5))),"",ROUND(C74*$L$5,2))</f>
        <v/>
      </c>
      <c r="G74" s="273">
        <f>IF(OR(A74="",C74="",NOT(ISNUMBER($L$6))),"",ROUND(C74*$L$6,2))</f>
        <v/>
      </c>
      <c r="H74" s="342">
        <f>IF(OR(A74="",C74="",C74=0,NOT(ISNUMBER($L$6))),"",ROUND($L$6-1,4))</f>
        <v/>
      </c>
      <c r="I74" s="34" t="n"/>
      <c r="J74" s="34" t="n"/>
      <c r="K74" s="34" t="n"/>
      <c r="L74" s="34" t="n"/>
      <c r="M74" s="34" t="n"/>
      <c r="N74" s="34" t="n"/>
      <c r="O74" s="34" t="n"/>
    </row>
    <row r="75">
      <c r="A75" s="284">
        <f>IF(itens_Remanesc!A75="","",itens_Remanesc!A75)</f>
        <v/>
      </c>
      <c r="B75" s="282">
        <f>IF(itens_Remanesc!A75="","",itens_Remanesc!B75)</f>
        <v/>
      </c>
      <c r="C75" s="273">
        <f>IF(itens_Remanesc!A75="","",itens_Remanesc!C75)</f>
        <v/>
      </c>
      <c r="D75" s="273">
        <f>IF(OR(A75="",C75="",NOT(ISNUMBER($L$3))),"",ROUND(C75*$L$3,2))</f>
        <v/>
      </c>
      <c r="E75" s="273">
        <f>IF(OR(A75="",C75="",NOT(ISNUMBER($L$4))),"",ROUND(C75*$L$4,2))</f>
        <v/>
      </c>
      <c r="F75" s="273">
        <f>IF(OR(A75="",C75="",NOT(ISNUMBER($L$5))),"",ROUND(C75*$L$5,2))</f>
        <v/>
      </c>
      <c r="G75" s="273">
        <f>IF(OR(A75="",C75="",NOT(ISNUMBER($L$6))),"",ROUND(C75*$L$6,2))</f>
        <v/>
      </c>
      <c r="H75" s="342">
        <f>IF(OR(A75="",C75="",C75=0,NOT(ISNUMBER($L$6))),"",ROUND($L$6-1,4))</f>
        <v/>
      </c>
      <c r="I75" s="34" t="n"/>
      <c r="J75" s="34" t="n"/>
      <c r="K75" s="34" t="n"/>
      <c r="L75" s="34" t="n"/>
      <c r="M75" s="34" t="n"/>
      <c r="N75" s="34" t="n"/>
      <c r="O75" s="34" t="n"/>
    </row>
    <row r="76">
      <c r="A76" s="284">
        <f>IF(itens_Remanesc!A76="","",itens_Remanesc!A76)</f>
        <v/>
      </c>
      <c r="B76" s="282">
        <f>IF(itens_Remanesc!A76="","",itens_Remanesc!B76)</f>
        <v/>
      </c>
      <c r="C76" s="273">
        <f>IF(itens_Remanesc!A76="","",itens_Remanesc!C76)</f>
        <v/>
      </c>
      <c r="D76" s="273">
        <f>IF(OR(A76="",C76="",NOT(ISNUMBER($L$3))),"",ROUND(C76*$L$3,2))</f>
        <v/>
      </c>
      <c r="E76" s="273">
        <f>IF(OR(A76="",C76="",NOT(ISNUMBER($L$4))),"",ROUND(C76*$L$4,2))</f>
        <v/>
      </c>
      <c r="F76" s="273">
        <f>IF(OR(A76="",C76="",NOT(ISNUMBER($L$5))),"",ROUND(C76*$L$5,2))</f>
        <v/>
      </c>
      <c r="G76" s="273">
        <f>IF(OR(A76="",C76="",NOT(ISNUMBER($L$6))),"",ROUND(C76*$L$6,2))</f>
        <v/>
      </c>
      <c r="H76" s="342">
        <f>IF(OR(A76="",C76="",C76=0,NOT(ISNUMBER($L$6))),"",ROUND($L$6-1,4))</f>
        <v/>
      </c>
      <c r="I76" s="34" t="n"/>
      <c r="J76" s="34" t="n"/>
      <c r="K76" s="34" t="n"/>
      <c r="L76" s="34" t="n"/>
      <c r="M76" s="34" t="n"/>
      <c r="N76" s="34" t="n"/>
      <c r="O76" s="34" t="n"/>
    </row>
    <row r="77">
      <c r="A77" s="284">
        <f>IF(itens_Remanesc!A77="","",itens_Remanesc!A77)</f>
        <v/>
      </c>
      <c r="B77" s="282">
        <f>IF(itens_Remanesc!A77="","",itens_Remanesc!B77)</f>
        <v/>
      </c>
      <c r="C77" s="273">
        <f>IF(itens_Remanesc!A77="","",itens_Remanesc!C77)</f>
        <v/>
      </c>
      <c r="D77" s="273">
        <f>IF(OR(A77="",C77="",NOT(ISNUMBER($L$3))),"",ROUND(C77*$L$3,2))</f>
        <v/>
      </c>
      <c r="E77" s="273">
        <f>IF(OR(A77="",C77="",NOT(ISNUMBER($L$4))),"",ROUND(C77*$L$4,2))</f>
        <v/>
      </c>
      <c r="F77" s="273">
        <f>IF(OR(A77="",C77="",NOT(ISNUMBER($L$5))),"",ROUND(C77*$L$5,2))</f>
        <v/>
      </c>
      <c r="G77" s="273">
        <f>IF(OR(A77="",C77="",NOT(ISNUMBER($L$6))),"",ROUND(C77*$L$6,2))</f>
        <v/>
      </c>
      <c r="H77" s="342">
        <f>IF(OR(A77="",C77="",C77=0,NOT(ISNUMBER($L$6))),"",ROUND($L$6-1,4))</f>
        <v/>
      </c>
      <c r="I77" s="34" t="n"/>
      <c r="J77" s="34" t="n"/>
      <c r="K77" s="34" t="n"/>
      <c r="L77" s="34" t="n"/>
      <c r="M77" s="34" t="n"/>
      <c r="N77" s="34" t="n"/>
      <c r="O77" s="34" t="n"/>
    </row>
    <row r="78">
      <c r="A78" s="284">
        <f>IF(itens_Remanesc!A78="","",itens_Remanesc!A78)</f>
        <v/>
      </c>
      <c r="B78" s="282">
        <f>IF(itens_Remanesc!A78="","",itens_Remanesc!B78)</f>
        <v/>
      </c>
      <c r="C78" s="273">
        <f>IF(itens_Remanesc!A78="","",itens_Remanesc!C78)</f>
        <v/>
      </c>
      <c r="D78" s="273">
        <f>IF(OR(A78="",C78="",NOT(ISNUMBER($L$3))),"",ROUND(C78*$L$3,2))</f>
        <v/>
      </c>
      <c r="E78" s="273">
        <f>IF(OR(A78="",C78="",NOT(ISNUMBER($L$4))),"",ROUND(C78*$L$4,2))</f>
        <v/>
      </c>
      <c r="F78" s="273">
        <f>IF(OR(A78="",C78="",NOT(ISNUMBER($L$5))),"",ROUND(C78*$L$5,2))</f>
        <v/>
      </c>
      <c r="G78" s="273">
        <f>IF(OR(A78="",C78="",NOT(ISNUMBER($L$6))),"",ROUND(C78*$L$6,2))</f>
        <v/>
      </c>
      <c r="H78" s="342">
        <f>IF(OR(A78="",C78="",C78=0,NOT(ISNUMBER($L$6))),"",ROUND($L$6-1,4))</f>
        <v/>
      </c>
      <c r="I78" s="34" t="n"/>
      <c r="J78" s="34" t="n"/>
      <c r="K78" s="34" t="n"/>
      <c r="L78" s="34" t="n"/>
      <c r="M78" s="34" t="n"/>
      <c r="N78" s="34" t="n"/>
      <c r="O78" s="34" t="n"/>
    </row>
    <row r="79">
      <c r="A79" s="284">
        <f>IF(itens_Remanesc!A79="","",itens_Remanesc!A79)</f>
        <v/>
      </c>
      <c r="B79" s="282">
        <f>IF(itens_Remanesc!A79="","",itens_Remanesc!B79)</f>
        <v/>
      </c>
      <c r="C79" s="273">
        <f>IF(itens_Remanesc!A79="","",itens_Remanesc!C79)</f>
        <v/>
      </c>
      <c r="D79" s="273">
        <f>IF(OR(A79="",C79="",NOT(ISNUMBER($L$3))),"",ROUND(C79*$L$3,2))</f>
        <v/>
      </c>
      <c r="E79" s="273">
        <f>IF(OR(A79="",C79="",NOT(ISNUMBER($L$4))),"",ROUND(C79*$L$4,2))</f>
        <v/>
      </c>
      <c r="F79" s="273">
        <f>IF(OR(A79="",C79="",NOT(ISNUMBER($L$5))),"",ROUND(C79*$L$5,2))</f>
        <v/>
      </c>
      <c r="G79" s="273">
        <f>IF(OR(A79="",C79="",NOT(ISNUMBER($L$6))),"",ROUND(C79*$L$6,2))</f>
        <v/>
      </c>
      <c r="H79" s="342">
        <f>IF(OR(A79="",C79="",C79=0,NOT(ISNUMBER($L$6))),"",ROUND($L$6-1,4))</f>
        <v/>
      </c>
      <c r="I79" s="34" t="n"/>
      <c r="J79" s="34" t="n"/>
      <c r="K79" s="34" t="n"/>
      <c r="L79" s="34" t="n"/>
      <c r="M79" s="34" t="n"/>
      <c r="N79" s="34" t="n"/>
      <c r="O79" s="34" t="n"/>
    </row>
    <row r="80">
      <c r="A80" s="284">
        <f>IF(itens_Remanesc!A80="","",itens_Remanesc!A80)</f>
        <v/>
      </c>
      <c r="B80" s="282">
        <f>IF(itens_Remanesc!A80="","",itens_Remanesc!B80)</f>
        <v/>
      </c>
      <c r="C80" s="273">
        <f>IF(itens_Remanesc!A80="","",itens_Remanesc!C80)</f>
        <v/>
      </c>
      <c r="D80" s="273">
        <f>IF(OR(A80="",C80="",NOT(ISNUMBER($L$3))),"",ROUND(C80*$L$3,2))</f>
        <v/>
      </c>
      <c r="E80" s="273">
        <f>IF(OR(A80="",C80="",NOT(ISNUMBER($L$4))),"",ROUND(C80*$L$4,2))</f>
        <v/>
      </c>
      <c r="F80" s="273">
        <f>IF(OR(A80="",C80="",NOT(ISNUMBER($L$5))),"",ROUND(C80*$L$5,2))</f>
        <v/>
      </c>
      <c r="G80" s="273">
        <f>IF(OR(A80="",C80="",NOT(ISNUMBER($L$6))),"",ROUND(C80*$L$6,2))</f>
        <v/>
      </c>
      <c r="H80" s="342">
        <f>IF(OR(A80="",C80="",C80=0,NOT(ISNUMBER($L$6))),"",ROUND($L$6-1,4))</f>
        <v/>
      </c>
      <c r="I80" s="34" t="n"/>
      <c r="J80" s="34" t="n"/>
      <c r="K80" s="34" t="n"/>
      <c r="L80" s="34" t="n"/>
      <c r="M80" s="34" t="n"/>
      <c r="N80" s="34" t="n"/>
      <c r="O80" s="34" t="n"/>
    </row>
    <row r="81">
      <c r="A81" s="284">
        <f>IF(itens_Remanesc!A81="","",itens_Remanesc!A81)</f>
        <v/>
      </c>
      <c r="B81" s="282">
        <f>IF(itens_Remanesc!A81="","",itens_Remanesc!B81)</f>
        <v/>
      </c>
      <c r="C81" s="273">
        <f>IF(itens_Remanesc!A81="","",itens_Remanesc!C81)</f>
        <v/>
      </c>
      <c r="D81" s="273">
        <f>IF(OR(A81="",C81="",NOT(ISNUMBER($L$3))),"",ROUND(C81*$L$3,2))</f>
        <v/>
      </c>
      <c r="E81" s="273">
        <f>IF(OR(A81="",C81="",NOT(ISNUMBER($L$4))),"",ROUND(C81*$L$4,2))</f>
        <v/>
      </c>
      <c r="F81" s="273">
        <f>IF(OR(A81="",C81="",NOT(ISNUMBER($L$5))),"",ROUND(C81*$L$5,2))</f>
        <v/>
      </c>
      <c r="G81" s="273">
        <f>IF(OR(A81="",C81="",NOT(ISNUMBER($L$6))),"",ROUND(C81*$L$6,2))</f>
        <v/>
      </c>
      <c r="H81" s="342">
        <f>IF(OR(A81="",C81="",C81=0,NOT(ISNUMBER($L$6))),"",ROUND($L$6-1,4))</f>
        <v/>
      </c>
      <c r="I81" s="34" t="n"/>
      <c r="J81" s="34" t="n"/>
      <c r="K81" s="34" t="n"/>
      <c r="L81" s="34" t="n"/>
      <c r="M81" s="34" t="n"/>
      <c r="N81" s="34" t="n"/>
      <c r="O81" s="34" t="n"/>
    </row>
    <row r="82">
      <c r="A82" s="284">
        <f>IF(itens_Remanesc!A82="","",itens_Remanesc!A82)</f>
        <v/>
      </c>
      <c r="B82" s="282">
        <f>IF(itens_Remanesc!A82="","",itens_Remanesc!B82)</f>
        <v/>
      </c>
      <c r="C82" s="273">
        <f>IF(itens_Remanesc!A82="","",itens_Remanesc!C82)</f>
        <v/>
      </c>
      <c r="D82" s="273">
        <f>IF(OR(A82="",C82="",NOT(ISNUMBER($L$3))),"",ROUND(C82*$L$3,2))</f>
        <v/>
      </c>
      <c r="E82" s="273">
        <f>IF(OR(A82="",C82="",NOT(ISNUMBER($L$4))),"",ROUND(C82*$L$4,2))</f>
        <v/>
      </c>
      <c r="F82" s="273">
        <f>IF(OR(A82="",C82="",NOT(ISNUMBER($L$5))),"",ROUND(C82*$L$5,2))</f>
        <v/>
      </c>
      <c r="G82" s="273">
        <f>IF(OR(A82="",C82="",NOT(ISNUMBER($L$6))),"",ROUND(C82*$L$6,2))</f>
        <v/>
      </c>
      <c r="H82" s="342">
        <f>IF(OR(A82="",C82="",C82=0,NOT(ISNUMBER($L$6))),"",ROUND($L$6-1,4))</f>
        <v/>
      </c>
      <c r="I82" s="34" t="n"/>
      <c r="J82" s="34" t="n"/>
      <c r="K82" s="34" t="n"/>
      <c r="L82" s="34" t="n"/>
      <c r="M82" s="34" t="n"/>
      <c r="N82" s="34" t="n"/>
      <c r="O82" s="34" t="n"/>
    </row>
    <row r="83">
      <c r="A83" s="284">
        <f>IF(itens_Remanesc!A83="","",itens_Remanesc!A83)</f>
        <v/>
      </c>
      <c r="B83" s="282">
        <f>IF(itens_Remanesc!A83="","",itens_Remanesc!B83)</f>
        <v/>
      </c>
      <c r="C83" s="273">
        <f>IF(itens_Remanesc!A83="","",itens_Remanesc!C83)</f>
        <v/>
      </c>
      <c r="D83" s="273">
        <f>IF(OR(A83="",C83="",NOT(ISNUMBER($L$3))),"",ROUND(C83*$L$3,2))</f>
        <v/>
      </c>
      <c r="E83" s="273">
        <f>IF(OR(A83="",C83="",NOT(ISNUMBER($L$4))),"",ROUND(C83*$L$4,2))</f>
        <v/>
      </c>
      <c r="F83" s="273">
        <f>IF(OR(A83="",C83="",NOT(ISNUMBER($L$5))),"",ROUND(C83*$L$5,2))</f>
        <v/>
      </c>
      <c r="G83" s="273">
        <f>IF(OR(A83="",C83="",NOT(ISNUMBER($L$6))),"",ROUND(C83*$L$6,2))</f>
        <v/>
      </c>
      <c r="H83" s="342">
        <f>IF(OR(A83="",C83="",C83=0,NOT(ISNUMBER($L$6))),"",ROUND($L$6-1,4))</f>
        <v/>
      </c>
      <c r="I83" s="34" t="n"/>
      <c r="J83" s="34" t="n"/>
      <c r="K83" s="34" t="n"/>
      <c r="L83" s="34" t="n"/>
      <c r="M83" s="34" t="n"/>
      <c r="N83" s="34" t="n"/>
      <c r="O83" s="34" t="n"/>
    </row>
    <row r="84">
      <c r="A84" s="284">
        <f>IF(itens_Remanesc!A84="","",itens_Remanesc!A84)</f>
        <v/>
      </c>
      <c r="B84" s="282">
        <f>IF(itens_Remanesc!A84="","",itens_Remanesc!B84)</f>
        <v/>
      </c>
      <c r="C84" s="273">
        <f>IF(itens_Remanesc!A84="","",itens_Remanesc!C84)</f>
        <v/>
      </c>
      <c r="D84" s="273">
        <f>IF(OR(A84="",C84="",NOT(ISNUMBER($L$3))),"",ROUND(C84*$L$3,2))</f>
        <v/>
      </c>
      <c r="E84" s="273">
        <f>IF(OR(A84="",C84="",NOT(ISNUMBER($L$4))),"",ROUND(C84*$L$4,2))</f>
        <v/>
      </c>
      <c r="F84" s="273">
        <f>IF(OR(A84="",C84="",NOT(ISNUMBER($L$5))),"",ROUND(C84*$L$5,2))</f>
        <v/>
      </c>
      <c r="G84" s="273">
        <f>IF(OR(A84="",C84="",NOT(ISNUMBER($L$6))),"",ROUND(C84*$L$6,2))</f>
        <v/>
      </c>
      <c r="H84" s="342">
        <f>IF(OR(A84="",C84="",C84=0,NOT(ISNUMBER($L$6))),"",ROUND($L$6-1,4))</f>
        <v/>
      </c>
      <c r="I84" s="34" t="n"/>
      <c r="J84" s="34" t="n"/>
      <c r="K84" s="34" t="n"/>
      <c r="L84" s="34" t="n"/>
      <c r="M84" s="34" t="n"/>
      <c r="N84" s="34" t="n"/>
      <c r="O84" s="34" t="n"/>
    </row>
    <row r="85">
      <c r="A85" s="284">
        <f>IF(itens_Remanesc!A85="","",itens_Remanesc!A85)</f>
        <v/>
      </c>
      <c r="B85" s="282">
        <f>IF(itens_Remanesc!A85="","",itens_Remanesc!B85)</f>
        <v/>
      </c>
      <c r="C85" s="273">
        <f>IF(itens_Remanesc!A85="","",itens_Remanesc!C85)</f>
        <v/>
      </c>
      <c r="D85" s="273">
        <f>IF(OR(A85="",C85="",NOT(ISNUMBER($L$3))),"",ROUND(C85*$L$3,2))</f>
        <v/>
      </c>
      <c r="E85" s="273">
        <f>IF(OR(A85="",C85="",NOT(ISNUMBER($L$4))),"",ROUND(C85*$L$4,2))</f>
        <v/>
      </c>
      <c r="F85" s="273">
        <f>IF(OR(A85="",C85="",NOT(ISNUMBER($L$5))),"",ROUND(C85*$L$5,2))</f>
        <v/>
      </c>
      <c r="G85" s="273">
        <f>IF(OR(A85="",C85="",NOT(ISNUMBER($L$6))),"",ROUND(C85*$L$6,2))</f>
        <v/>
      </c>
      <c r="H85" s="342">
        <f>IF(OR(A85="",C85="",C85=0,NOT(ISNUMBER($L$6))),"",ROUND($L$6-1,4))</f>
        <v/>
      </c>
      <c r="I85" s="34" t="n"/>
      <c r="J85" s="34" t="n"/>
      <c r="K85" s="34" t="n"/>
      <c r="L85" s="34" t="n"/>
      <c r="M85" s="34" t="n"/>
      <c r="N85" s="34" t="n"/>
      <c r="O85" s="34" t="n"/>
    </row>
    <row r="86">
      <c r="A86" s="284">
        <f>IF(itens_Remanesc!A86="","",itens_Remanesc!A86)</f>
        <v/>
      </c>
      <c r="B86" s="282">
        <f>IF(itens_Remanesc!A86="","",itens_Remanesc!B86)</f>
        <v/>
      </c>
      <c r="C86" s="273">
        <f>IF(itens_Remanesc!A86="","",itens_Remanesc!C86)</f>
        <v/>
      </c>
      <c r="D86" s="273">
        <f>IF(OR(A86="",C86="",NOT(ISNUMBER($L$3))),"",ROUND(C86*$L$3,2))</f>
        <v/>
      </c>
      <c r="E86" s="273">
        <f>IF(OR(A86="",C86="",NOT(ISNUMBER($L$4))),"",ROUND(C86*$L$4,2))</f>
        <v/>
      </c>
      <c r="F86" s="273">
        <f>IF(OR(A86="",C86="",NOT(ISNUMBER($L$5))),"",ROUND(C86*$L$5,2))</f>
        <v/>
      </c>
      <c r="G86" s="273">
        <f>IF(OR(A86="",C86="",NOT(ISNUMBER($L$6))),"",ROUND(C86*$L$6,2))</f>
        <v/>
      </c>
      <c r="H86" s="342">
        <f>IF(OR(A86="",C86="",C86=0,NOT(ISNUMBER($L$6))),"",ROUND($L$6-1,4))</f>
        <v/>
      </c>
      <c r="I86" s="34" t="n"/>
      <c r="J86" s="34" t="n"/>
      <c r="K86" s="34" t="n"/>
      <c r="L86" s="34" t="n"/>
      <c r="M86" s="34" t="n"/>
      <c r="N86" s="34" t="n"/>
      <c r="O86" s="34" t="n"/>
    </row>
    <row r="87">
      <c r="A87" s="284">
        <f>IF(itens_Remanesc!A87="","",itens_Remanesc!A87)</f>
        <v/>
      </c>
      <c r="B87" s="282">
        <f>IF(itens_Remanesc!A87="","",itens_Remanesc!B87)</f>
        <v/>
      </c>
      <c r="C87" s="273">
        <f>IF(itens_Remanesc!A87="","",itens_Remanesc!C87)</f>
        <v/>
      </c>
      <c r="D87" s="273">
        <f>IF(OR(A87="",C87="",NOT(ISNUMBER($L$3))),"",ROUND(C87*$L$3,2))</f>
        <v/>
      </c>
      <c r="E87" s="273">
        <f>IF(OR(A87="",C87="",NOT(ISNUMBER($L$4))),"",ROUND(C87*$L$4,2))</f>
        <v/>
      </c>
      <c r="F87" s="273">
        <f>IF(OR(A87="",C87="",NOT(ISNUMBER($L$5))),"",ROUND(C87*$L$5,2))</f>
        <v/>
      </c>
      <c r="G87" s="273">
        <f>IF(OR(A87="",C87="",NOT(ISNUMBER($L$6))),"",ROUND(C87*$L$6,2))</f>
        <v/>
      </c>
      <c r="H87" s="342">
        <f>IF(OR(A87="",C87="",C87=0,NOT(ISNUMBER($L$6))),"",ROUND($L$6-1,4))</f>
        <v/>
      </c>
      <c r="I87" s="34" t="n"/>
      <c r="J87" s="34" t="n"/>
      <c r="K87" s="34" t="n"/>
      <c r="L87" s="34" t="n"/>
      <c r="M87" s="34" t="n"/>
      <c r="N87" s="34" t="n"/>
      <c r="O87" s="34" t="n"/>
    </row>
    <row r="88">
      <c r="A88" s="284">
        <f>IF(itens_Remanesc!A88="","",itens_Remanesc!A88)</f>
        <v/>
      </c>
      <c r="B88" s="282">
        <f>IF(itens_Remanesc!A88="","",itens_Remanesc!B88)</f>
        <v/>
      </c>
      <c r="C88" s="273">
        <f>IF(itens_Remanesc!A88="","",itens_Remanesc!C88)</f>
        <v/>
      </c>
      <c r="D88" s="273">
        <f>IF(OR(A88="",C88="",NOT(ISNUMBER($L$3))),"",ROUND(C88*$L$3,2))</f>
        <v/>
      </c>
      <c r="E88" s="273">
        <f>IF(OR(A88="",C88="",NOT(ISNUMBER($L$4))),"",ROUND(C88*$L$4,2))</f>
        <v/>
      </c>
      <c r="F88" s="273">
        <f>IF(OR(A88="",C88="",NOT(ISNUMBER($L$5))),"",ROUND(C88*$L$5,2))</f>
        <v/>
      </c>
      <c r="G88" s="273">
        <f>IF(OR(A88="",C88="",NOT(ISNUMBER($L$6))),"",ROUND(C88*$L$6,2))</f>
        <v/>
      </c>
      <c r="H88" s="342">
        <f>IF(OR(A88="",C88="",C88=0,NOT(ISNUMBER($L$6))),"",ROUND($L$6-1,4))</f>
        <v/>
      </c>
      <c r="I88" s="34" t="n"/>
      <c r="J88" s="34" t="n"/>
      <c r="K88" s="34" t="n"/>
      <c r="L88" s="34" t="n"/>
      <c r="M88" s="34" t="n"/>
      <c r="N88" s="34" t="n"/>
      <c r="O88" s="34" t="n"/>
    </row>
    <row r="89">
      <c r="A89" s="284">
        <f>IF(itens_Remanesc!A89="","",itens_Remanesc!A89)</f>
        <v/>
      </c>
      <c r="B89" s="282">
        <f>IF(itens_Remanesc!A89="","",itens_Remanesc!B89)</f>
        <v/>
      </c>
      <c r="C89" s="273">
        <f>IF(itens_Remanesc!A89="","",itens_Remanesc!C89)</f>
        <v/>
      </c>
      <c r="D89" s="273">
        <f>IF(OR(A89="",C89="",NOT(ISNUMBER($L$3))),"",ROUND(C89*$L$3,2))</f>
        <v/>
      </c>
      <c r="E89" s="273">
        <f>IF(OR(A89="",C89="",NOT(ISNUMBER($L$4))),"",ROUND(C89*$L$4,2))</f>
        <v/>
      </c>
      <c r="F89" s="273">
        <f>IF(OR(A89="",C89="",NOT(ISNUMBER($L$5))),"",ROUND(C89*$L$5,2))</f>
        <v/>
      </c>
      <c r="G89" s="273">
        <f>IF(OR(A89="",C89="",NOT(ISNUMBER($L$6))),"",ROUND(C89*$L$6,2))</f>
        <v/>
      </c>
      <c r="H89" s="342">
        <f>IF(OR(A89="",C89="",C89=0,NOT(ISNUMBER($L$6))),"",ROUND($L$6-1,4))</f>
        <v/>
      </c>
      <c r="I89" s="34" t="n"/>
      <c r="J89" s="34" t="n"/>
      <c r="K89" s="34" t="n"/>
      <c r="L89" s="34" t="n"/>
      <c r="M89" s="34" t="n"/>
      <c r="N89" s="34" t="n"/>
      <c r="O89" s="34" t="n"/>
    </row>
    <row r="90">
      <c r="A90" s="284">
        <f>IF(itens_Remanesc!A90="","",itens_Remanesc!A90)</f>
        <v/>
      </c>
      <c r="B90" s="282">
        <f>IF(itens_Remanesc!A90="","",itens_Remanesc!B90)</f>
        <v/>
      </c>
      <c r="C90" s="273">
        <f>IF(itens_Remanesc!A90="","",itens_Remanesc!C90)</f>
        <v/>
      </c>
      <c r="D90" s="273">
        <f>IF(OR(A90="",C90="",NOT(ISNUMBER($L$3))),"",ROUND(C90*$L$3,2))</f>
        <v/>
      </c>
      <c r="E90" s="273">
        <f>IF(OR(A90="",C90="",NOT(ISNUMBER($L$4))),"",ROUND(C90*$L$4,2))</f>
        <v/>
      </c>
      <c r="F90" s="273">
        <f>IF(OR(A90="",C90="",NOT(ISNUMBER($L$5))),"",ROUND(C90*$L$5,2))</f>
        <v/>
      </c>
      <c r="G90" s="273">
        <f>IF(OR(A90="",C90="",NOT(ISNUMBER($L$6))),"",ROUND(C90*$L$6,2))</f>
        <v/>
      </c>
      <c r="H90" s="342">
        <f>IF(OR(A90="",C90="",C90=0,NOT(ISNUMBER($L$6))),"",ROUND($L$6-1,4))</f>
        <v/>
      </c>
      <c r="I90" s="34" t="n"/>
      <c r="J90" s="34" t="n"/>
      <c r="K90" s="34" t="n"/>
      <c r="L90" s="34" t="n"/>
      <c r="M90" s="34" t="n"/>
      <c r="N90" s="34" t="n"/>
      <c r="O90" s="34" t="n"/>
    </row>
    <row r="91">
      <c r="A91" s="284">
        <f>IF(itens_Remanesc!A91="","",itens_Remanesc!A91)</f>
        <v/>
      </c>
      <c r="B91" s="282">
        <f>IF(itens_Remanesc!A91="","",itens_Remanesc!B91)</f>
        <v/>
      </c>
      <c r="C91" s="273">
        <f>IF(itens_Remanesc!A91="","",itens_Remanesc!C91)</f>
        <v/>
      </c>
      <c r="D91" s="273">
        <f>IF(OR(A91="",C91="",NOT(ISNUMBER($L$3))),"",ROUND(C91*$L$3,2))</f>
        <v/>
      </c>
      <c r="E91" s="273">
        <f>IF(OR(A91="",C91="",NOT(ISNUMBER($L$4))),"",ROUND(C91*$L$4,2))</f>
        <v/>
      </c>
      <c r="F91" s="273">
        <f>IF(OR(A91="",C91="",NOT(ISNUMBER($L$5))),"",ROUND(C91*$L$5,2))</f>
        <v/>
      </c>
      <c r="G91" s="273">
        <f>IF(OR(A91="",C91="",NOT(ISNUMBER($L$6))),"",ROUND(C91*$L$6,2))</f>
        <v/>
      </c>
      <c r="H91" s="342">
        <f>IF(OR(A91="",C91="",C91=0,NOT(ISNUMBER($L$6))),"",ROUND($L$6-1,4))</f>
        <v/>
      </c>
      <c r="I91" s="34" t="n"/>
      <c r="J91" s="34" t="n"/>
      <c r="K91" s="34" t="n"/>
      <c r="L91" s="34" t="n"/>
      <c r="M91" s="34" t="n"/>
      <c r="N91" s="34" t="n"/>
      <c r="O91" s="34" t="n"/>
    </row>
    <row r="92">
      <c r="A92" s="284">
        <f>IF(itens_Remanesc!A92="","",itens_Remanesc!A92)</f>
        <v/>
      </c>
      <c r="B92" s="282">
        <f>IF(itens_Remanesc!A92="","",itens_Remanesc!B92)</f>
        <v/>
      </c>
      <c r="C92" s="273">
        <f>IF(itens_Remanesc!A92="","",itens_Remanesc!C92)</f>
        <v/>
      </c>
      <c r="D92" s="273">
        <f>IF(OR(A92="",C92="",NOT(ISNUMBER($L$3))),"",ROUND(C92*$L$3,2))</f>
        <v/>
      </c>
      <c r="E92" s="273">
        <f>IF(OR(A92="",C92="",NOT(ISNUMBER($L$4))),"",ROUND(C92*$L$4,2))</f>
        <v/>
      </c>
      <c r="F92" s="273">
        <f>IF(OR(A92="",C92="",NOT(ISNUMBER($L$5))),"",ROUND(C92*$L$5,2))</f>
        <v/>
      </c>
      <c r="G92" s="273">
        <f>IF(OR(A92="",C92="",NOT(ISNUMBER($L$6))),"",ROUND(C92*$L$6,2))</f>
        <v/>
      </c>
      <c r="H92" s="342">
        <f>IF(OR(A92="",C92="",C92=0,NOT(ISNUMBER($L$6))),"",ROUND($L$6-1,4))</f>
        <v/>
      </c>
      <c r="I92" s="34" t="n"/>
      <c r="J92" s="34" t="n"/>
      <c r="K92" s="34" t="n"/>
      <c r="L92" s="34" t="n"/>
      <c r="M92" s="34" t="n"/>
      <c r="N92" s="34" t="n"/>
      <c r="O92" s="34" t="n"/>
    </row>
    <row r="93">
      <c r="A93" s="284">
        <f>IF(itens_Remanesc!A93="","",itens_Remanesc!A93)</f>
        <v/>
      </c>
      <c r="B93" s="282">
        <f>IF(itens_Remanesc!A93="","",itens_Remanesc!B93)</f>
        <v/>
      </c>
      <c r="C93" s="273">
        <f>IF(itens_Remanesc!A93="","",itens_Remanesc!C93)</f>
        <v/>
      </c>
      <c r="D93" s="273">
        <f>IF(OR(A93="",C93="",NOT(ISNUMBER($L$3))),"",ROUND(C93*$L$3,2))</f>
        <v/>
      </c>
      <c r="E93" s="273">
        <f>IF(OR(A93="",C93="",NOT(ISNUMBER($L$4))),"",ROUND(C93*$L$4,2))</f>
        <v/>
      </c>
      <c r="F93" s="273">
        <f>IF(OR(A93="",C93="",NOT(ISNUMBER($L$5))),"",ROUND(C93*$L$5,2))</f>
        <v/>
      </c>
      <c r="G93" s="273">
        <f>IF(OR(A93="",C93="",NOT(ISNUMBER($L$6))),"",ROUND(C93*$L$6,2))</f>
        <v/>
      </c>
      <c r="H93" s="342">
        <f>IF(OR(A93="",C93="",C93=0,NOT(ISNUMBER($L$6))),"",ROUND($L$6-1,4))</f>
        <v/>
      </c>
      <c r="I93" s="34" t="n"/>
      <c r="J93" s="34" t="n"/>
      <c r="K93" s="34" t="n"/>
      <c r="L93" s="34" t="n"/>
      <c r="M93" s="34" t="n"/>
      <c r="N93" s="34" t="n"/>
      <c r="O93" s="34" t="n"/>
    </row>
    <row r="94">
      <c r="A94" s="284">
        <f>IF(itens_Remanesc!A94="","",itens_Remanesc!A94)</f>
        <v/>
      </c>
      <c r="B94" s="282">
        <f>IF(itens_Remanesc!A94="","",itens_Remanesc!B94)</f>
        <v/>
      </c>
      <c r="C94" s="273">
        <f>IF(itens_Remanesc!A94="","",itens_Remanesc!C94)</f>
        <v/>
      </c>
      <c r="D94" s="273">
        <f>IF(OR(A94="",C94="",NOT(ISNUMBER($L$3))),"",ROUND(C94*$L$3,2))</f>
        <v/>
      </c>
      <c r="E94" s="273">
        <f>IF(OR(A94="",C94="",NOT(ISNUMBER($L$4))),"",ROUND(C94*$L$4,2))</f>
        <v/>
      </c>
      <c r="F94" s="273">
        <f>IF(OR(A94="",C94="",NOT(ISNUMBER($L$5))),"",ROUND(C94*$L$5,2))</f>
        <v/>
      </c>
      <c r="G94" s="273">
        <f>IF(OR(A94="",C94="",NOT(ISNUMBER($L$6))),"",ROUND(C94*$L$6,2))</f>
        <v/>
      </c>
      <c r="H94" s="342">
        <f>IF(OR(A94="",C94="",C94=0,NOT(ISNUMBER($L$6))),"",ROUND($L$6-1,4))</f>
        <v/>
      </c>
      <c r="I94" s="34" t="n"/>
      <c r="J94" s="34" t="n"/>
      <c r="K94" s="34" t="n"/>
      <c r="L94" s="34" t="n"/>
      <c r="M94" s="34" t="n"/>
      <c r="N94" s="34" t="n"/>
      <c r="O94" s="34" t="n"/>
    </row>
    <row r="95">
      <c r="A95" s="284">
        <f>IF(itens_Remanesc!A95="","",itens_Remanesc!A95)</f>
        <v/>
      </c>
      <c r="B95" s="282">
        <f>IF(itens_Remanesc!A95="","",itens_Remanesc!B95)</f>
        <v/>
      </c>
      <c r="C95" s="273">
        <f>IF(itens_Remanesc!A95="","",itens_Remanesc!C95)</f>
        <v/>
      </c>
      <c r="D95" s="273">
        <f>IF(OR(A95="",C95="",NOT(ISNUMBER($L$3))),"",ROUND(C95*$L$3,2))</f>
        <v/>
      </c>
      <c r="E95" s="273">
        <f>IF(OR(A95="",C95="",NOT(ISNUMBER($L$4))),"",ROUND(C95*$L$4,2))</f>
        <v/>
      </c>
      <c r="F95" s="273">
        <f>IF(OR(A95="",C95="",NOT(ISNUMBER($L$5))),"",ROUND(C95*$L$5,2))</f>
        <v/>
      </c>
      <c r="G95" s="273">
        <f>IF(OR(A95="",C95="",NOT(ISNUMBER($L$6))),"",ROUND(C95*$L$6,2))</f>
        <v/>
      </c>
      <c r="H95" s="342">
        <f>IF(OR(A95="",C95="",C95=0,NOT(ISNUMBER($L$6))),"",ROUND($L$6-1,4))</f>
        <v/>
      </c>
      <c r="I95" s="34" t="n"/>
      <c r="J95" s="34" t="n"/>
      <c r="K95" s="34" t="n"/>
      <c r="L95" s="34" t="n"/>
      <c r="M95" s="34" t="n"/>
      <c r="N95" s="34" t="n"/>
      <c r="O95" s="34" t="n"/>
    </row>
    <row r="96">
      <c r="A96" s="284">
        <f>IF(itens_Remanesc!A96="","",itens_Remanesc!A96)</f>
        <v/>
      </c>
      <c r="B96" s="282">
        <f>IF(itens_Remanesc!A96="","",itens_Remanesc!B96)</f>
        <v/>
      </c>
      <c r="C96" s="273">
        <f>IF(itens_Remanesc!A96="","",itens_Remanesc!C96)</f>
        <v/>
      </c>
      <c r="D96" s="273">
        <f>IF(OR(A96="",C96="",NOT(ISNUMBER($L$3))),"",ROUND(C96*$L$3,2))</f>
        <v/>
      </c>
      <c r="E96" s="273">
        <f>IF(OR(A96="",C96="",NOT(ISNUMBER($L$4))),"",ROUND(C96*$L$4,2))</f>
        <v/>
      </c>
      <c r="F96" s="273">
        <f>IF(OR(A96="",C96="",NOT(ISNUMBER($L$5))),"",ROUND(C96*$L$5,2))</f>
        <v/>
      </c>
      <c r="G96" s="273">
        <f>IF(OR(A96="",C96="",NOT(ISNUMBER($L$6))),"",ROUND(C96*$L$6,2))</f>
        <v/>
      </c>
      <c r="H96" s="342">
        <f>IF(OR(A96="",C96="",C96=0,NOT(ISNUMBER($L$6))),"",ROUND($L$6-1,4))</f>
        <v/>
      </c>
      <c r="I96" s="34" t="n"/>
      <c r="J96" s="34" t="n"/>
      <c r="K96" s="34" t="n"/>
      <c r="L96" s="34" t="n"/>
      <c r="M96" s="34" t="n"/>
      <c r="N96" s="34" t="n"/>
      <c r="O96" s="34" t="n"/>
    </row>
    <row r="97">
      <c r="A97" s="284">
        <f>IF(itens_Remanesc!A97="","",itens_Remanesc!A97)</f>
        <v/>
      </c>
      <c r="B97" s="282">
        <f>IF(itens_Remanesc!A97="","",itens_Remanesc!B97)</f>
        <v/>
      </c>
      <c r="C97" s="273">
        <f>IF(itens_Remanesc!A97="","",itens_Remanesc!C97)</f>
        <v/>
      </c>
      <c r="D97" s="273">
        <f>IF(OR(A97="",C97="",NOT(ISNUMBER($L$3))),"",ROUND(C97*$L$3,2))</f>
        <v/>
      </c>
      <c r="E97" s="273">
        <f>IF(OR(A97="",C97="",NOT(ISNUMBER($L$4))),"",ROUND(C97*$L$4,2))</f>
        <v/>
      </c>
      <c r="F97" s="273">
        <f>IF(OR(A97="",C97="",NOT(ISNUMBER($L$5))),"",ROUND(C97*$L$5,2))</f>
        <v/>
      </c>
      <c r="G97" s="273">
        <f>IF(OR(A97="",C97="",NOT(ISNUMBER($L$6))),"",ROUND(C97*$L$6,2))</f>
        <v/>
      </c>
      <c r="H97" s="342">
        <f>IF(OR(A97="",C97="",C97=0,NOT(ISNUMBER($L$6))),"",ROUND($L$6-1,4))</f>
        <v/>
      </c>
      <c r="I97" s="34" t="n"/>
      <c r="J97" s="34" t="n"/>
      <c r="K97" s="34" t="n"/>
      <c r="L97" s="34" t="n"/>
      <c r="M97" s="34" t="n"/>
      <c r="N97" s="34" t="n"/>
      <c r="O97" s="34" t="n"/>
    </row>
    <row r="98">
      <c r="A98" s="284">
        <f>IF(itens_Remanesc!A98="","",itens_Remanesc!A98)</f>
        <v/>
      </c>
      <c r="B98" s="282">
        <f>IF(itens_Remanesc!A98="","",itens_Remanesc!B98)</f>
        <v/>
      </c>
      <c r="C98" s="273">
        <f>IF(itens_Remanesc!A98="","",itens_Remanesc!C98)</f>
        <v/>
      </c>
      <c r="D98" s="273">
        <f>IF(OR(A98="",C98="",NOT(ISNUMBER($L$3))),"",ROUND(C98*$L$3,2))</f>
        <v/>
      </c>
      <c r="E98" s="273">
        <f>IF(OR(A98="",C98="",NOT(ISNUMBER($L$4))),"",ROUND(C98*$L$4,2))</f>
        <v/>
      </c>
      <c r="F98" s="273">
        <f>IF(OR(A98="",C98="",NOT(ISNUMBER($L$5))),"",ROUND(C98*$L$5,2))</f>
        <v/>
      </c>
      <c r="G98" s="273">
        <f>IF(OR(A98="",C98="",NOT(ISNUMBER($L$6))),"",ROUND(C98*$L$6,2))</f>
        <v/>
      </c>
      <c r="H98" s="342">
        <f>IF(OR(A98="",C98="",C98=0,NOT(ISNUMBER($L$6))),"",ROUND($L$6-1,4))</f>
        <v/>
      </c>
      <c r="I98" s="34" t="n"/>
      <c r="J98" s="34" t="n"/>
      <c r="K98" s="34" t="n"/>
      <c r="L98" s="34" t="n"/>
      <c r="M98" s="34" t="n"/>
      <c r="N98" s="34" t="n"/>
      <c r="O98" s="34" t="n"/>
    </row>
    <row r="99">
      <c r="A99" s="284">
        <f>IF(itens_Remanesc!A99="","",itens_Remanesc!A99)</f>
        <v/>
      </c>
      <c r="B99" s="282">
        <f>IF(itens_Remanesc!A99="","",itens_Remanesc!B99)</f>
        <v/>
      </c>
      <c r="C99" s="273">
        <f>IF(itens_Remanesc!A99="","",itens_Remanesc!C99)</f>
        <v/>
      </c>
      <c r="D99" s="273">
        <f>IF(OR(A99="",C99="",NOT(ISNUMBER($L$3))),"",ROUND(C99*$L$3,2))</f>
        <v/>
      </c>
      <c r="E99" s="273">
        <f>IF(OR(A99="",C99="",NOT(ISNUMBER($L$4))),"",ROUND(C99*$L$4,2))</f>
        <v/>
      </c>
      <c r="F99" s="273">
        <f>IF(OR(A99="",C99="",NOT(ISNUMBER($L$5))),"",ROUND(C99*$L$5,2))</f>
        <v/>
      </c>
      <c r="G99" s="273">
        <f>IF(OR(A99="",C99="",NOT(ISNUMBER($L$6))),"",ROUND(C99*$L$6,2))</f>
        <v/>
      </c>
      <c r="H99" s="342">
        <f>IF(OR(A99="",C99="",C99=0,NOT(ISNUMBER($L$6))),"",ROUND($L$6-1,4))</f>
        <v/>
      </c>
      <c r="I99" s="34" t="n"/>
      <c r="J99" s="34" t="n"/>
      <c r="K99" s="34" t="n"/>
      <c r="L99" s="34" t="n"/>
      <c r="M99" s="34" t="n"/>
      <c r="N99" s="34" t="n"/>
      <c r="O99" s="34" t="n"/>
    </row>
    <row r="100">
      <c r="A100" s="284">
        <f>IF(itens_Remanesc!A100="","",itens_Remanesc!A100)</f>
        <v/>
      </c>
      <c r="B100" s="282">
        <f>IF(itens_Remanesc!A100="","",itens_Remanesc!B100)</f>
        <v/>
      </c>
      <c r="C100" s="273">
        <f>IF(itens_Remanesc!A100="","",itens_Remanesc!C100)</f>
        <v/>
      </c>
      <c r="D100" s="273">
        <f>IF(OR(A100="",C100="",NOT(ISNUMBER($L$3))),"",ROUND(C100*$L$3,2))</f>
        <v/>
      </c>
      <c r="E100" s="273">
        <f>IF(OR(A100="",C100="",NOT(ISNUMBER($L$4))),"",ROUND(C100*$L$4,2))</f>
        <v/>
      </c>
      <c r="F100" s="273">
        <f>IF(OR(A100="",C100="",NOT(ISNUMBER($L$5))),"",ROUND(C100*$L$5,2))</f>
        <v/>
      </c>
      <c r="G100" s="273">
        <f>IF(OR(A100="",C100="",NOT(ISNUMBER($L$6))),"",ROUND(C100*$L$6,2))</f>
        <v/>
      </c>
      <c r="H100" s="342">
        <f>IF(OR(A100="",C100="",C100=0,NOT(ISNUMBER($L$6))),"",ROUND($L$6-1,4))</f>
        <v/>
      </c>
      <c r="I100" s="34" t="n"/>
      <c r="J100" s="34" t="n"/>
      <c r="K100" s="34" t="n"/>
      <c r="L100" s="34" t="n"/>
      <c r="M100" s="34" t="n"/>
      <c r="N100" s="34" t="n"/>
      <c r="O100" s="34" t="n"/>
    </row>
    <row r="101">
      <c r="A101" s="284">
        <f>IF(itens_Remanesc!A101="","",itens_Remanesc!A101)</f>
        <v/>
      </c>
      <c r="B101" s="282">
        <f>IF(itens_Remanesc!A101="","",itens_Remanesc!B101)</f>
        <v/>
      </c>
      <c r="C101" s="273">
        <f>IF(itens_Remanesc!A101="","",itens_Remanesc!C101)</f>
        <v/>
      </c>
      <c r="D101" s="273">
        <f>IF(OR(A101="",C101="",NOT(ISNUMBER($L$3))),"",ROUND(C101*$L$3,2))</f>
        <v/>
      </c>
      <c r="E101" s="273">
        <f>IF(OR(A101="",C101="",NOT(ISNUMBER($L$4))),"",ROUND(C101*$L$4,2))</f>
        <v/>
      </c>
      <c r="F101" s="273">
        <f>IF(OR(A101="",C101="",NOT(ISNUMBER($L$5))),"",ROUND(C101*$L$5,2))</f>
        <v/>
      </c>
      <c r="G101" s="273">
        <f>IF(OR(A101="",C101="",NOT(ISNUMBER($L$6))),"",ROUND(C101*$L$6,2))</f>
        <v/>
      </c>
      <c r="H101" s="342">
        <f>IF(OR(A101="",C101="",C101=0,NOT(ISNUMBER($L$6))),"",ROUND($L$6-1,4))</f>
        <v/>
      </c>
      <c r="I101" s="27" t="n"/>
      <c r="J101" s="27" t="n"/>
      <c r="K101" s="27" t="n"/>
      <c r="L101" s="27" t="n"/>
      <c r="M101" s="27" t="n"/>
      <c r="N101" s="27" t="n"/>
      <c r="O101" s="27" t="n"/>
    </row>
    <row r="102">
      <c r="A102" s="284">
        <f>IF(itens_Remanesc!A102="","",itens_Remanesc!A102)</f>
        <v/>
      </c>
      <c r="B102" s="282">
        <f>IF(itens_Remanesc!A102="","",itens_Remanesc!B102)</f>
        <v/>
      </c>
      <c r="C102" s="273">
        <f>IF(itens_Remanesc!A102="","",itens_Remanesc!C102)</f>
        <v/>
      </c>
      <c r="D102" s="273">
        <f>IF(OR(A102="",C102="",NOT(ISNUMBER($L$3))),"",ROUND(C102*$L$3,2))</f>
        <v/>
      </c>
      <c r="E102" s="273">
        <f>IF(OR(A102="",C102="",NOT(ISNUMBER($L$4))),"",ROUND(C102*$L$4,2))</f>
        <v/>
      </c>
      <c r="F102" s="273">
        <f>IF(OR(A102="",C102="",NOT(ISNUMBER($L$5))),"",ROUND(C102*$L$5,2))</f>
        <v/>
      </c>
      <c r="G102" s="273">
        <f>IF(OR(A102="",C102="",NOT(ISNUMBER($L$6))),"",ROUND(C102*$L$6,2))</f>
        <v/>
      </c>
      <c r="H102" s="342">
        <f>IF(OR(A102="",C102="",C102=0,NOT(ISNUMBER($L$6))),"",ROUND($L$6-1,4))</f>
        <v/>
      </c>
      <c r="I102" s="27" t="n"/>
      <c r="J102" s="27" t="n"/>
      <c r="K102" s="27" t="n"/>
      <c r="L102" s="27" t="n"/>
      <c r="M102" s="27" t="n"/>
      <c r="N102" s="27" t="n"/>
      <c r="O102" s="27" t="n"/>
    </row>
    <row r="103">
      <c r="A103" s="284">
        <f>IF(itens_Remanesc!A103="","",itens_Remanesc!A103)</f>
        <v/>
      </c>
      <c r="B103" s="282">
        <f>IF(itens_Remanesc!A103="","",itens_Remanesc!B103)</f>
        <v/>
      </c>
      <c r="C103" s="273">
        <f>IF(itens_Remanesc!A103="","",itens_Remanesc!C103)</f>
        <v/>
      </c>
      <c r="D103" s="273">
        <f>IF(OR(A103="",C103="",NOT(ISNUMBER($L$3))),"",ROUND(C103*$L$3,2))</f>
        <v/>
      </c>
      <c r="E103" s="273">
        <f>IF(OR(A103="",C103="",NOT(ISNUMBER($L$4))),"",ROUND(C103*$L$4,2))</f>
        <v/>
      </c>
      <c r="F103" s="273">
        <f>IF(OR(A103="",C103="",NOT(ISNUMBER($L$5))),"",ROUND(C103*$L$5,2))</f>
        <v/>
      </c>
      <c r="G103" s="273">
        <f>IF(OR(A103="",C103="",NOT(ISNUMBER($L$6))),"",ROUND(C103*$L$6,2))</f>
        <v/>
      </c>
      <c r="H103" s="342">
        <f>IF(OR(A103="",C103="",C103=0,NOT(ISNUMBER($L$6))),"",ROUND($L$6-1,4))</f>
        <v/>
      </c>
      <c r="I103" s="27" t="n"/>
      <c r="J103" s="27" t="n"/>
      <c r="K103" s="27" t="n"/>
      <c r="L103" s="27" t="n"/>
      <c r="M103" s="27" t="n"/>
      <c r="N103" s="27" t="n"/>
      <c r="O103" s="27" t="n"/>
    </row>
    <row r="104">
      <c r="A104" s="284">
        <f>IF(itens_Remanesc!A104="","",itens_Remanesc!A104)</f>
        <v/>
      </c>
      <c r="B104" s="282">
        <f>IF(itens_Remanesc!A104="","",itens_Remanesc!B104)</f>
        <v/>
      </c>
      <c r="C104" s="273">
        <f>IF(itens_Remanesc!A104="","",itens_Remanesc!C104)</f>
        <v/>
      </c>
      <c r="D104" s="273">
        <f>IF(OR(A104="",C104="",NOT(ISNUMBER($L$3))),"",ROUND(C104*$L$3,2))</f>
        <v/>
      </c>
      <c r="E104" s="273">
        <f>IF(OR(A104="",C104="",NOT(ISNUMBER($L$4))),"",ROUND(C104*$L$4,2))</f>
        <v/>
      </c>
      <c r="F104" s="273">
        <f>IF(OR(A104="",C104="",NOT(ISNUMBER($L$5))),"",ROUND(C104*$L$5,2))</f>
        <v/>
      </c>
      <c r="G104" s="273">
        <f>IF(OR(A104="",C104="",NOT(ISNUMBER($L$6))),"",ROUND(C104*$L$6,2))</f>
        <v/>
      </c>
      <c r="H104" s="342">
        <f>IF(OR(A104="",C104="",C104=0,NOT(ISNUMBER($L$6))),"",ROUND($L$6-1,4))</f>
        <v/>
      </c>
      <c r="I104" s="27" t="n"/>
      <c r="J104" s="27" t="n"/>
      <c r="K104" s="27" t="n"/>
      <c r="L104" s="27" t="n"/>
      <c r="M104" s="27" t="n"/>
      <c r="N104" s="27" t="n"/>
      <c r="O104" s="27" t="n"/>
    </row>
    <row r="105">
      <c r="A105" s="284">
        <f>IF(itens_Remanesc!A105="","",itens_Remanesc!A105)</f>
        <v/>
      </c>
      <c r="B105" s="282">
        <f>IF(itens_Remanesc!A105="","",itens_Remanesc!B105)</f>
        <v/>
      </c>
      <c r="C105" s="273">
        <f>IF(itens_Remanesc!A105="","",itens_Remanesc!C105)</f>
        <v/>
      </c>
      <c r="D105" s="273">
        <f>IF(OR(A105="",C105="",NOT(ISNUMBER($L$3))),"",ROUND(C105*$L$3,2))</f>
        <v/>
      </c>
      <c r="E105" s="273">
        <f>IF(OR(A105="",C105="",NOT(ISNUMBER($L$4))),"",ROUND(C105*$L$4,2))</f>
        <v/>
      </c>
      <c r="F105" s="273">
        <f>IF(OR(A105="",C105="",NOT(ISNUMBER($L$5))),"",ROUND(C105*$L$5,2))</f>
        <v/>
      </c>
      <c r="G105" s="273">
        <f>IF(OR(A105="",C105="",NOT(ISNUMBER($L$6))),"",ROUND(C105*$L$6,2))</f>
        <v/>
      </c>
      <c r="H105" s="342">
        <f>IF(OR(A105="",C105="",C105=0,NOT(ISNUMBER($L$6))),"",ROUND($L$6-1,4))</f>
        <v/>
      </c>
      <c r="I105" s="27" t="n"/>
      <c r="J105" s="27" t="n"/>
      <c r="K105" s="27" t="n"/>
      <c r="L105" s="27" t="n"/>
      <c r="M105" s="27" t="n"/>
      <c r="N105" s="27" t="n"/>
      <c r="O105" s="27" t="n"/>
    </row>
    <row r="106">
      <c r="A106" s="284">
        <f>IF(itens_Remanesc!A106="","",itens_Remanesc!A106)</f>
        <v/>
      </c>
      <c r="B106" s="282">
        <f>IF(itens_Remanesc!A106="","",itens_Remanesc!B106)</f>
        <v/>
      </c>
      <c r="C106" s="273">
        <f>IF(itens_Remanesc!A106="","",itens_Remanesc!C106)</f>
        <v/>
      </c>
      <c r="D106" s="273">
        <f>IF(OR(A106="",C106="",NOT(ISNUMBER($L$3))),"",ROUND(C106*$L$3,2))</f>
        <v/>
      </c>
      <c r="E106" s="273">
        <f>IF(OR(A106="",C106="",NOT(ISNUMBER($L$4))),"",ROUND(C106*$L$4,2))</f>
        <v/>
      </c>
      <c r="F106" s="273">
        <f>IF(OR(A106="",C106="",NOT(ISNUMBER($L$5))),"",ROUND(C106*$L$5,2))</f>
        <v/>
      </c>
      <c r="G106" s="273">
        <f>IF(OR(A106="",C106="",NOT(ISNUMBER($L$6))),"",ROUND(C106*$L$6,2))</f>
        <v/>
      </c>
      <c r="H106" s="342">
        <f>IF(OR(A106="",C106="",C106=0,NOT(ISNUMBER($L$6))),"",ROUND($L$6-1,4))</f>
        <v/>
      </c>
      <c r="I106" s="27" t="n"/>
      <c r="J106" s="27" t="n"/>
      <c r="K106" s="27" t="n"/>
      <c r="L106" s="27" t="n"/>
      <c r="M106" s="27" t="n"/>
      <c r="N106" s="27" t="n"/>
      <c r="O106" s="27" t="n"/>
    </row>
    <row r="107">
      <c r="A107" s="284">
        <f>IF(itens_Remanesc!A107="","",itens_Remanesc!A107)</f>
        <v/>
      </c>
      <c r="B107" s="282">
        <f>IF(itens_Remanesc!A107="","",itens_Remanesc!B107)</f>
        <v/>
      </c>
      <c r="C107" s="273">
        <f>IF(itens_Remanesc!A107="","",itens_Remanesc!C107)</f>
        <v/>
      </c>
      <c r="D107" s="273">
        <f>IF(OR(A107="",C107="",NOT(ISNUMBER($L$3))),"",ROUND(C107*$L$3,2))</f>
        <v/>
      </c>
      <c r="E107" s="273">
        <f>IF(OR(A107="",C107="",NOT(ISNUMBER($L$4))),"",ROUND(C107*$L$4,2))</f>
        <v/>
      </c>
      <c r="F107" s="273">
        <f>IF(OR(A107="",C107="",NOT(ISNUMBER($L$5))),"",ROUND(C107*$L$5,2))</f>
        <v/>
      </c>
      <c r="G107" s="273">
        <f>IF(OR(A107="",C107="",NOT(ISNUMBER($L$6))),"",ROUND(C107*$L$6,2))</f>
        <v/>
      </c>
      <c r="H107" s="342">
        <f>IF(OR(A107="",C107="",C107=0,NOT(ISNUMBER($L$6))),"",ROUND($L$6-1,4))</f>
        <v/>
      </c>
      <c r="I107" s="27" t="n"/>
      <c r="J107" s="27" t="n"/>
      <c r="K107" s="27" t="n"/>
      <c r="L107" s="27" t="n"/>
      <c r="M107" s="27" t="n"/>
      <c r="N107" s="27" t="n"/>
      <c r="O107" s="27" t="n"/>
    </row>
    <row r="108">
      <c r="A108" s="284">
        <f>IF(itens_Remanesc!A108="","",itens_Remanesc!A108)</f>
        <v/>
      </c>
      <c r="B108" s="282">
        <f>IF(itens_Remanesc!A108="","",itens_Remanesc!B108)</f>
        <v/>
      </c>
      <c r="C108" s="273">
        <f>IF(itens_Remanesc!A108="","",itens_Remanesc!C108)</f>
        <v/>
      </c>
      <c r="D108" s="273">
        <f>IF(OR(A108="",C108="",NOT(ISNUMBER($L$3))),"",ROUND(C108*$L$3,2))</f>
        <v/>
      </c>
      <c r="E108" s="273">
        <f>IF(OR(A108="",C108="",NOT(ISNUMBER($L$4))),"",ROUND(C108*$L$4,2))</f>
        <v/>
      </c>
      <c r="F108" s="273">
        <f>IF(OR(A108="",C108="",NOT(ISNUMBER($L$5))),"",ROUND(C108*$L$5,2))</f>
        <v/>
      </c>
      <c r="G108" s="273">
        <f>IF(OR(A108="",C108="",NOT(ISNUMBER($L$6))),"",ROUND(C108*$L$6,2))</f>
        <v/>
      </c>
      <c r="H108" s="342">
        <f>IF(OR(A108="",C108="",C108=0,NOT(ISNUMBER($L$6))),"",ROUND($L$6-1,4))</f>
        <v/>
      </c>
      <c r="I108" s="27" t="n"/>
      <c r="J108" s="27" t="n"/>
      <c r="K108" s="27" t="n"/>
      <c r="L108" s="27" t="n"/>
      <c r="M108" s="27" t="n"/>
      <c r="N108" s="27" t="n"/>
      <c r="O108" s="27" t="n"/>
    </row>
    <row r="109">
      <c r="A109" s="284">
        <f>IF(itens_Remanesc!A109="","",itens_Remanesc!A109)</f>
        <v/>
      </c>
      <c r="B109" s="282">
        <f>IF(itens_Remanesc!A109="","",itens_Remanesc!B109)</f>
        <v/>
      </c>
      <c r="C109" s="273">
        <f>IF(itens_Remanesc!A109="","",itens_Remanesc!C109)</f>
        <v/>
      </c>
      <c r="D109" s="273">
        <f>IF(OR(A109="",C109="",NOT(ISNUMBER($L$3))),"",ROUND(C109*$L$3,2))</f>
        <v/>
      </c>
      <c r="E109" s="273">
        <f>IF(OR(A109="",C109="",NOT(ISNUMBER($L$4))),"",ROUND(C109*$L$4,2))</f>
        <v/>
      </c>
      <c r="F109" s="273">
        <f>IF(OR(A109="",C109="",NOT(ISNUMBER($L$5))),"",ROUND(C109*$L$5,2))</f>
        <v/>
      </c>
      <c r="G109" s="273">
        <f>IF(OR(A109="",C109="",NOT(ISNUMBER($L$6))),"",ROUND(C109*$L$6,2))</f>
        <v/>
      </c>
      <c r="H109" s="342">
        <f>IF(OR(A109="",C109="",C109=0,NOT(ISNUMBER($L$6))),"",ROUND($L$6-1,4))</f>
        <v/>
      </c>
      <c r="I109" s="27" t="n"/>
      <c r="J109" s="27" t="n"/>
      <c r="K109" s="27" t="n"/>
      <c r="L109" s="27" t="n"/>
      <c r="M109" s="27" t="n"/>
      <c r="N109" s="27" t="n"/>
      <c r="O109" s="27" t="n"/>
    </row>
    <row r="110">
      <c r="A110" s="284">
        <f>IF(itens_Remanesc!A110="","",itens_Remanesc!A110)</f>
        <v/>
      </c>
      <c r="B110" s="282">
        <f>IF(itens_Remanesc!A110="","",itens_Remanesc!B110)</f>
        <v/>
      </c>
      <c r="C110" s="273">
        <f>IF(itens_Remanesc!A110="","",itens_Remanesc!C110)</f>
        <v/>
      </c>
      <c r="D110" s="273">
        <f>IF(OR(A110="",C110="",NOT(ISNUMBER($L$3))),"",ROUND(C110*$L$3,2))</f>
        <v/>
      </c>
      <c r="E110" s="273">
        <f>IF(OR(A110="",C110="",NOT(ISNUMBER($L$4))),"",ROUND(C110*$L$4,2))</f>
        <v/>
      </c>
      <c r="F110" s="273">
        <f>IF(OR(A110="",C110="",NOT(ISNUMBER($L$5))),"",ROUND(C110*$L$5,2))</f>
        <v/>
      </c>
      <c r="G110" s="273">
        <f>IF(OR(A110="",C110="",NOT(ISNUMBER($L$6))),"",ROUND(C110*$L$6,2))</f>
        <v/>
      </c>
      <c r="H110" s="342">
        <f>IF(OR(A110="",C110="",C110=0,NOT(ISNUMBER($L$6))),"",ROUND($L$6-1,4))</f>
        <v/>
      </c>
      <c r="I110" s="27" t="n"/>
      <c r="J110" s="27" t="n"/>
      <c r="K110" s="27" t="n"/>
      <c r="L110" s="27" t="n"/>
      <c r="M110" s="27" t="n"/>
      <c r="N110" s="27" t="n"/>
      <c r="O110" s="27" t="n"/>
    </row>
    <row r="111">
      <c r="A111" s="284">
        <f>IF(itens_Remanesc!A111="","",itens_Remanesc!A111)</f>
        <v/>
      </c>
      <c r="B111" s="282">
        <f>IF(itens_Remanesc!A111="","",itens_Remanesc!B111)</f>
        <v/>
      </c>
      <c r="C111" s="273">
        <f>IF(itens_Remanesc!A111="","",itens_Remanesc!C111)</f>
        <v/>
      </c>
      <c r="D111" s="273">
        <f>IF(OR(A111="",C111="",NOT(ISNUMBER($L$3))),"",ROUND(C111*$L$3,2))</f>
        <v/>
      </c>
      <c r="E111" s="273">
        <f>IF(OR(A111="",C111="",NOT(ISNUMBER($L$4))),"",ROUND(C111*$L$4,2))</f>
        <v/>
      </c>
      <c r="F111" s="273">
        <f>IF(OR(A111="",C111="",NOT(ISNUMBER($L$5))),"",ROUND(C111*$L$5,2))</f>
        <v/>
      </c>
      <c r="G111" s="273">
        <f>IF(OR(A111="",C111="",NOT(ISNUMBER($L$6))),"",ROUND(C111*$L$6,2))</f>
        <v/>
      </c>
      <c r="H111" s="342">
        <f>IF(OR(A111="",C111="",C111=0,NOT(ISNUMBER($L$6))),"",ROUND($L$6-1,4))</f>
        <v/>
      </c>
      <c r="I111" s="27" t="n"/>
      <c r="J111" s="27" t="n"/>
      <c r="K111" s="27" t="n"/>
      <c r="L111" s="27" t="n"/>
      <c r="M111" s="27" t="n"/>
      <c r="N111" s="27" t="n"/>
      <c r="O111" s="27" t="n"/>
    </row>
    <row r="112">
      <c r="A112" s="284">
        <f>IF(itens_Remanesc!A112="","",itens_Remanesc!A112)</f>
        <v/>
      </c>
      <c r="B112" s="282">
        <f>IF(itens_Remanesc!A112="","",itens_Remanesc!B112)</f>
        <v/>
      </c>
      <c r="C112" s="273">
        <f>IF(itens_Remanesc!A112="","",itens_Remanesc!C112)</f>
        <v/>
      </c>
      <c r="D112" s="273">
        <f>IF(OR(A112="",C112="",NOT(ISNUMBER($L$3))),"",ROUND(C112*$L$3,2))</f>
        <v/>
      </c>
      <c r="E112" s="273">
        <f>IF(OR(A112="",C112="",NOT(ISNUMBER($L$4))),"",ROUND(C112*$L$4,2))</f>
        <v/>
      </c>
      <c r="F112" s="273">
        <f>IF(OR(A112="",C112="",NOT(ISNUMBER($L$5))),"",ROUND(C112*$L$5,2))</f>
        <v/>
      </c>
      <c r="G112" s="273">
        <f>IF(OR(A112="",C112="",NOT(ISNUMBER($L$6))),"",ROUND(C112*$L$6,2))</f>
        <v/>
      </c>
      <c r="H112" s="342">
        <f>IF(OR(A112="",C112="",C112=0,NOT(ISNUMBER($L$6))),"",ROUND($L$6-1,4))</f>
        <v/>
      </c>
      <c r="I112" s="27" t="n"/>
      <c r="J112" s="27" t="n"/>
      <c r="K112" s="27" t="n"/>
      <c r="L112" s="27" t="n"/>
      <c r="M112" s="27" t="n"/>
      <c r="N112" s="27" t="n"/>
      <c r="O112" s="27" t="n"/>
    </row>
    <row r="113">
      <c r="A113" s="284">
        <f>IF(itens_Remanesc!A113="","",itens_Remanesc!A113)</f>
        <v/>
      </c>
      <c r="B113" s="282">
        <f>IF(itens_Remanesc!A113="","",itens_Remanesc!B113)</f>
        <v/>
      </c>
      <c r="C113" s="273">
        <f>IF(itens_Remanesc!A113="","",itens_Remanesc!C113)</f>
        <v/>
      </c>
      <c r="D113" s="273">
        <f>IF(OR(A113="",C113="",NOT(ISNUMBER($L$3))),"",ROUND(C113*$L$3,2))</f>
        <v/>
      </c>
      <c r="E113" s="273">
        <f>IF(OR(A113="",C113="",NOT(ISNUMBER($L$4))),"",ROUND(C113*$L$4,2))</f>
        <v/>
      </c>
      <c r="F113" s="273">
        <f>IF(OR(A113="",C113="",NOT(ISNUMBER($L$5))),"",ROUND(C113*$L$5,2))</f>
        <v/>
      </c>
      <c r="G113" s="273">
        <f>IF(OR(A113="",C113="",NOT(ISNUMBER($L$6))),"",ROUND(C113*$L$6,2))</f>
        <v/>
      </c>
      <c r="H113" s="342">
        <f>IF(OR(A113="",C113="",C113=0,NOT(ISNUMBER($L$6))),"",ROUND($L$6-1,4))</f>
        <v/>
      </c>
      <c r="I113" s="27" t="n"/>
      <c r="J113" s="27" t="n"/>
      <c r="K113" s="27" t="n"/>
      <c r="L113" s="27" t="n"/>
      <c r="M113" s="27" t="n"/>
      <c r="N113" s="27" t="n"/>
      <c r="O113" s="27" t="n"/>
    </row>
    <row r="114">
      <c r="A114" s="284">
        <f>IF(itens_Remanesc!A114="","",itens_Remanesc!A114)</f>
        <v/>
      </c>
      <c r="B114" s="282">
        <f>IF(itens_Remanesc!A114="","",itens_Remanesc!B114)</f>
        <v/>
      </c>
      <c r="C114" s="273">
        <f>IF(itens_Remanesc!A114="","",itens_Remanesc!C114)</f>
        <v/>
      </c>
      <c r="D114" s="273">
        <f>IF(OR(A114="",C114="",NOT(ISNUMBER($L$3))),"",ROUND(C114*$L$3,2))</f>
        <v/>
      </c>
      <c r="E114" s="273">
        <f>IF(OR(A114="",C114="",NOT(ISNUMBER($L$4))),"",ROUND(C114*$L$4,2))</f>
        <v/>
      </c>
      <c r="F114" s="273">
        <f>IF(OR(A114="",C114="",NOT(ISNUMBER($L$5))),"",ROUND(C114*$L$5,2))</f>
        <v/>
      </c>
      <c r="G114" s="273">
        <f>IF(OR(A114="",C114="",NOT(ISNUMBER($L$6))),"",ROUND(C114*$L$6,2))</f>
        <v/>
      </c>
      <c r="H114" s="342">
        <f>IF(OR(A114="",C114="",C114=0,NOT(ISNUMBER($L$6))),"",ROUND($L$6-1,4))</f>
        <v/>
      </c>
      <c r="I114" s="27" t="n"/>
      <c r="J114" s="27" t="n"/>
      <c r="K114" s="27" t="n"/>
      <c r="L114" s="27" t="n"/>
      <c r="M114" s="27" t="n"/>
      <c r="N114" s="27" t="n"/>
      <c r="O114" s="27" t="n"/>
    </row>
    <row r="115">
      <c r="A115" s="284">
        <f>IF(itens_Remanesc!A115="","",itens_Remanesc!A115)</f>
        <v/>
      </c>
      <c r="B115" s="282">
        <f>IF(itens_Remanesc!A115="","",itens_Remanesc!B115)</f>
        <v/>
      </c>
      <c r="C115" s="273">
        <f>IF(itens_Remanesc!A115="","",itens_Remanesc!C115)</f>
        <v/>
      </c>
      <c r="D115" s="273">
        <f>IF(OR(A115="",C115="",NOT(ISNUMBER($L$3))),"",ROUND(C115*$L$3,2))</f>
        <v/>
      </c>
      <c r="E115" s="273">
        <f>IF(OR(A115="",C115="",NOT(ISNUMBER($L$4))),"",ROUND(C115*$L$4,2))</f>
        <v/>
      </c>
      <c r="F115" s="273">
        <f>IF(OR(A115="",C115="",NOT(ISNUMBER($L$5))),"",ROUND(C115*$L$5,2))</f>
        <v/>
      </c>
      <c r="G115" s="273">
        <f>IF(OR(A115="",C115="",NOT(ISNUMBER($L$6))),"",ROUND(C115*$L$6,2))</f>
        <v/>
      </c>
      <c r="H115" s="342">
        <f>IF(OR(A115="",C115="",C115=0,NOT(ISNUMBER($L$6))),"",ROUND($L$6-1,4))</f>
        <v/>
      </c>
      <c r="I115" s="27" t="n"/>
      <c r="J115" s="27" t="n"/>
      <c r="K115" s="27" t="n"/>
      <c r="L115" s="27" t="n"/>
      <c r="M115" s="27" t="n"/>
      <c r="N115" s="27" t="n"/>
      <c r="O115" s="27" t="n"/>
    </row>
    <row r="116">
      <c r="A116" s="284">
        <f>IF(itens_Remanesc!A116="","",itens_Remanesc!A116)</f>
        <v/>
      </c>
      <c r="B116" s="282">
        <f>IF(itens_Remanesc!A116="","",itens_Remanesc!B116)</f>
        <v/>
      </c>
      <c r="C116" s="273">
        <f>IF(itens_Remanesc!A116="","",itens_Remanesc!C116)</f>
        <v/>
      </c>
      <c r="D116" s="273">
        <f>IF(OR(A116="",C116="",NOT(ISNUMBER($L$3))),"",ROUND(C116*$L$3,2))</f>
        <v/>
      </c>
      <c r="E116" s="273">
        <f>IF(OR(A116="",C116="",NOT(ISNUMBER($L$4))),"",ROUND(C116*$L$4,2))</f>
        <v/>
      </c>
      <c r="F116" s="273">
        <f>IF(OR(A116="",C116="",NOT(ISNUMBER($L$5))),"",ROUND(C116*$L$5,2))</f>
        <v/>
      </c>
      <c r="G116" s="273">
        <f>IF(OR(A116="",C116="",NOT(ISNUMBER($L$6))),"",ROUND(C116*$L$6,2))</f>
        <v/>
      </c>
      <c r="H116" s="342">
        <f>IF(OR(A116="",C116="",C116=0,NOT(ISNUMBER($L$6))),"",ROUND($L$6-1,4))</f>
        <v/>
      </c>
      <c r="I116" s="27" t="n"/>
      <c r="J116" s="27" t="n"/>
      <c r="K116" s="27" t="n"/>
      <c r="L116" s="27" t="n"/>
      <c r="M116" s="27" t="n"/>
      <c r="N116" s="27" t="n"/>
      <c r="O116" s="27" t="n"/>
    </row>
    <row r="117">
      <c r="A117" s="284">
        <f>IF(itens_Remanesc!A117="","",itens_Remanesc!A117)</f>
        <v/>
      </c>
      <c r="B117" s="282">
        <f>IF(itens_Remanesc!A117="","",itens_Remanesc!B117)</f>
        <v/>
      </c>
      <c r="C117" s="273">
        <f>IF(itens_Remanesc!A117="","",itens_Remanesc!C117)</f>
        <v/>
      </c>
      <c r="D117" s="273">
        <f>IF(OR(A117="",C117="",NOT(ISNUMBER($L$3))),"",ROUND(C117*$L$3,2))</f>
        <v/>
      </c>
      <c r="E117" s="273">
        <f>IF(OR(A117="",C117="",NOT(ISNUMBER($L$4))),"",ROUND(C117*$L$4,2))</f>
        <v/>
      </c>
      <c r="F117" s="273">
        <f>IF(OR(A117="",C117="",NOT(ISNUMBER($L$5))),"",ROUND(C117*$L$5,2))</f>
        <v/>
      </c>
      <c r="G117" s="273">
        <f>IF(OR(A117="",C117="",NOT(ISNUMBER($L$6))),"",ROUND(C117*$L$6,2))</f>
        <v/>
      </c>
      <c r="H117" s="342">
        <f>IF(OR(A117="",C117="",C117=0,NOT(ISNUMBER($L$6))),"",ROUND($L$6-1,4))</f>
        <v/>
      </c>
      <c r="I117" s="27" t="n"/>
      <c r="J117" s="27" t="n"/>
      <c r="K117" s="27" t="n"/>
      <c r="L117" s="27" t="n"/>
      <c r="M117" s="27" t="n"/>
      <c r="N117" s="27" t="n"/>
      <c r="O117" s="27" t="n"/>
    </row>
    <row r="118">
      <c r="A118" s="284">
        <f>IF(itens_Remanesc!A118="","",itens_Remanesc!A118)</f>
        <v/>
      </c>
      <c r="B118" s="282">
        <f>IF(itens_Remanesc!A118="","",itens_Remanesc!B118)</f>
        <v/>
      </c>
      <c r="C118" s="273">
        <f>IF(itens_Remanesc!A118="","",itens_Remanesc!C118)</f>
        <v/>
      </c>
      <c r="D118" s="273">
        <f>IF(OR(A118="",C118="",NOT(ISNUMBER($L$3))),"",ROUND(C118*$L$3,2))</f>
        <v/>
      </c>
      <c r="E118" s="273">
        <f>IF(OR(A118="",C118="",NOT(ISNUMBER($L$4))),"",ROUND(C118*$L$4,2))</f>
        <v/>
      </c>
      <c r="F118" s="273">
        <f>IF(OR(A118="",C118="",NOT(ISNUMBER($L$5))),"",ROUND(C118*$L$5,2))</f>
        <v/>
      </c>
      <c r="G118" s="273">
        <f>IF(OR(A118="",C118="",NOT(ISNUMBER($L$6))),"",ROUND(C118*$L$6,2))</f>
        <v/>
      </c>
      <c r="H118" s="342">
        <f>IF(OR(A118="",C118="",C118=0,NOT(ISNUMBER($L$6))),"",ROUND($L$6-1,4))</f>
        <v/>
      </c>
      <c r="I118" s="27" t="n"/>
      <c r="J118" s="27" t="n"/>
      <c r="K118" s="27" t="n"/>
      <c r="L118" s="27" t="n"/>
      <c r="M118" s="27" t="n"/>
      <c r="N118" s="27" t="n"/>
      <c r="O118" s="27" t="n"/>
    </row>
    <row r="119">
      <c r="A119" s="284">
        <f>IF(itens_Remanesc!A119="","",itens_Remanesc!A119)</f>
        <v/>
      </c>
      <c r="B119" s="282">
        <f>IF(itens_Remanesc!A119="","",itens_Remanesc!B119)</f>
        <v/>
      </c>
      <c r="C119" s="273">
        <f>IF(itens_Remanesc!A119="","",itens_Remanesc!C119)</f>
        <v/>
      </c>
      <c r="D119" s="273">
        <f>IF(OR(A119="",C119="",NOT(ISNUMBER($L$3))),"",ROUND(C119*$L$3,2))</f>
        <v/>
      </c>
      <c r="E119" s="273">
        <f>IF(OR(A119="",C119="",NOT(ISNUMBER($L$4))),"",ROUND(C119*$L$4,2))</f>
        <v/>
      </c>
      <c r="F119" s="273">
        <f>IF(OR(A119="",C119="",NOT(ISNUMBER($L$5))),"",ROUND(C119*$L$5,2))</f>
        <v/>
      </c>
      <c r="G119" s="273">
        <f>IF(OR(A119="",C119="",NOT(ISNUMBER($L$6))),"",ROUND(C119*$L$6,2))</f>
        <v/>
      </c>
      <c r="H119" s="342">
        <f>IF(OR(A119="",C119="",C119=0,NOT(ISNUMBER($L$6))),"",ROUND($L$6-1,4))</f>
        <v/>
      </c>
      <c r="I119" s="27" t="n"/>
      <c r="J119" s="27" t="n"/>
      <c r="K119" s="27" t="n"/>
      <c r="L119" s="27" t="n"/>
      <c r="M119" s="27" t="n"/>
      <c r="N119" s="27" t="n"/>
      <c r="O119" s="27" t="n"/>
    </row>
    <row r="120">
      <c r="A120" s="284">
        <f>IF(itens_Remanesc!A120="","",itens_Remanesc!A120)</f>
        <v/>
      </c>
      <c r="B120" s="282">
        <f>IF(itens_Remanesc!A120="","",itens_Remanesc!B120)</f>
        <v/>
      </c>
      <c r="C120" s="273">
        <f>IF(itens_Remanesc!A120="","",itens_Remanesc!C120)</f>
        <v/>
      </c>
      <c r="D120" s="273">
        <f>IF(OR(A120="",C120="",NOT(ISNUMBER($L$3))),"",ROUND(C120*$L$3,2))</f>
        <v/>
      </c>
      <c r="E120" s="273">
        <f>IF(OR(A120="",C120="",NOT(ISNUMBER($L$4))),"",ROUND(C120*$L$4,2))</f>
        <v/>
      </c>
      <c r="F120" s="273">
        <f>IF(OR(A120="",C120="",NOT(ISNUMBER($L$5))),"",ROUND(C120*$L$5,2))</f>
        <v/>
      </c>
      <c r="G120" s="273">
        <f>IF(OR(A120="",C120="",NOT(ISNUMBER($L$6))),"",ROUND(C120*$L$6,2))</f>
        <v/>
      </c>
      <c r="H120" s="342">
        <f>IF(OR(A120="",C120="",C120=0,NOT(ISNUMBER($L$6))),"",ROUND($L$6-1,4))</f>
        <v/>
      </c>
      <c r="I120" s="27" t="n"/>
      <c r="J120" s="27" t="n"/>
      <c r="K120" s="27" t="n"/>
      <c r="L120" s="27" t="n"/>
      <c r="M120" s="27" t="n"/>
      <c r="N120" s="27" t="n"/>
      <c r="O120" s="27" t="n"/>
    </row>
    <row r="121">
      <c r="A121" s="284">
        <f>IF(itens_Remanesc!A121="","",itens_Remanesc!A121)</f>
        <v/>
      </c>
      <c r="B121" s="282">
        <f>IF(itens_Remanesc!A121="","",itens_Remanesc!B121)</f>
        <v/>
      </c>
      <c r="C121" s="273">
        <f>IF(itens_Remanesc!A121="","",itens_Remanesc!C121)</f>
        <v/>
      </c>
      <c r="D121" s="273">
        <f>IF(OR(A121="",C121="",NOT(ISNUMBER($L$3))),"",ROUND(C121*$L$3,2))</f>
        <v/>
      </c>
      <c r="E121" s="273">
        <f>IF(OR(A121="",C121="",NOT(ISNUMBER($L$4))),"",ROUND(C121*$L$4,2))</f>
        <v/>
      </c>
      <c r="F121" s="273">
        <f>IF(OR(A121="",C121="",NOT(ISNUMBER($L$5))),"",ROUND(C121*$L$5,2))</f>
        <v/>
      </c>
      <c r="G121" s="273">
        <f>IF(OR(A121="",C121="",NOT(ISNUMBER($L$6))),"",ROUND(C121*$L$6,2))</f>
        <v/>
      </c>
      <c r="H121" s="342">
        <f>IF(OR(A121="",C121="",C121=0,NOT(ISNUMBER($L$6))),"",ROUND($L$6-1,4))</f>
        <v/>
      </c>
      <c r="I121" s="27" t="n"/>
      <c r="J121" s="27" t="n"/>
      <c r="K121" s="27" t="n"/>
      <c r="L121" s="27" t="n"/>
      <c r="M121" s="27" t="n"/>
      <c r="N121" s="27" t="n"/>
      <c r="O121" s="27" t="n"/>
    </row>
    <row r="122">
      <c r="A122" s="284">
        <f>IF(itens_Remanesc!A122="","",itens_Remanesc!A122)</f>
        <v/>
      </c>
      <c r="B122" s="282">
        <f>IF(itens_Remanesc!A122="","",itens_Remanesc!B122)</f>
        <v/>
      </c>
      <c r="C122" s="273">
        <f>IF(itens_Remanesc!A122="","",itens_Remanesc!C122)</f>
        <v/>
      </c>
      <c r="D122" s="273">
        <f>IF(OR(A122="",C122="",NOT(ISNUMBER($L$3))),"",ROUND(C122*$L$3,2))</f>
        <v/>
      </c>
      <c r="E122" s="273">
        <f>IF(OR(A122="",C122="",NOT(ISNUMBER($L$4))),"",ROUND(C122*$L$4,2))</f>
        <v/>
      </c>
      <c r="F122" s="273">
        <f>IF(OR(A122="",C122="",NOT(ISNUMBER($L$5))),"",ROUND(C122*$L$5,2))</f>
        <v/>
      </c>
      <c r="G122" s="273">
        <f>IF(OR(A122="",C122="",NOT(ISNUMBER($L$6))),"",ROUND(C122*$L$6,2))</f>
        <v/>
      </c>
      <c r="H122" s="342">
        <f>IF(OR(A122="",C122="",C122=0,NOT(ISNUMBER($L$6))),"",ROUND($L$6-1,4))</f>
        <v/>
      </c>
      <c r="I122" s="27" t="n"/>
      <c r="J122" s="27" t="n"/>
      <c r="K122" s="27" t="n"/>
      <c r="L122" s="27" t="n"/>
      <c r="M122" s="27" t="n"/>
      <c r="N122" s="27" t="n"/>
      <c r="O122" s="27" t="n"/>
    </row>
    <row r="123">
      <c r="A123" s="284">
        <f>IF(itens_Remanesc!A123="","",itens_Remanesc!A123)</f>
        <v/>
      </c>
      <c r="B123" s="282">
        <f>IF(itens_Remanesc!A123="","",itens_Remanesc!B123)</f>
        <v/>
      </c>
      <c r="C123" s="273">
        <f>IF(itens_Remanesc!A123="","",itens_Remanesc!C123)</f>
        <v/>
      </c>
      <c r="D123" s="273">
        <f>IF(OR(A123="",C123="",NOT(ISNUMBER($L$3))),"",ROUND(C123*$L$3,2))</f>
        <v/>
      </c>
      <c r="E123" s="273">
        <f>IF(OR(A123="",C123="",NOT(ISNUMBER($L$4))),"",ROUND(C123*$L$4,2))</f>
        <v/>
      </c>
      <c r="F123" s="273">
        <f>IF(OR(A123="",C123="",NOT(ISNUMBER($L$5))),"",ROUND(C123*$L$5,2))</f>
        <v/>
      </c>
      <c r="G123" s="273">
        <f>IF(OR(A123="",C123="",NOT(ISNUMBER($L$6))),"",ROUND(C123*$L$6,2))</f>
        <v/>
      </c>
      <c r="H123" s="342">
        <f>IF(OR(A123="",C123="",C123=0,NOT(ISNUMBER($L$6))),"",ROUND($L$6-1,4))</f>
        <v/>
      </c>
      <c r="I123" s="27" t="n"/>
      <c r="J123" s="27" t="n"/>
      <c r="K123" s="27" t="n"/>
      <c r="L123" s="27" t="n"/>
      <c r="M123" s="27" t="n"/>
      <c r="N123" s="27" t="n"/>
      <c r="O123" s="27" t="n"/>
    </row>
    <row r="124">
      <c r="A124" s="284">
        <f>IF(itens_Remanesc!A124="","",itens_Remanesc!A124)</f>
        <v/>
      </c>
      <c r="B124" s="282">
        <f>IF(itens_Remanesc!A124="","",itens_Remanesc!B124)</f>
        <v/>
      </c>
      <c r="C124" s="273">
        <f>IF(itens_Remanesc!A124="","",itens_Remanesc!C124)</f>
        <v/>
      </c>
      <c r="D124" s="273">
        <f>IF(OR(A124="",C124="",NOT(ISNUMBER($L$3))),"",ROUND(C124*$L$3,2))</f>
        <v/>
      </c>
      <c r="E124" s="273">
        <f>IF(OR(A124="",C124="",NOT(ISNUMBER($L$4))),"",ROUND(C124*$L$4,2))</f>
        <v/>
      </c>
      <c r="F124" s="273">
        <f>IF(OR(A124="",C124="",NOT(ISNUMBER($L$5))),"",ROUND(C124*$L$5,2))</f>
        <v/>
      </c>
      <c r="G124" s="273">
        <f>IF(OR(A124="",C124="",NOT(ISNUMBER($L$6))),"",ROUND(C124*$L$6,2))</f>
        <v/>
      </c>
      <c r="H124" s="342">
        <f>IF(OR(A124="",C124="",C124=0,NOT(ISNUMBER($L$6))),"",ROUND($L$6-1,4))</f>
        <v/>
      </c>
      <c r="I124" s="27" t="n"/>
      <c r="J124" s="27" t="n"/>
      <c r="K124" s="27" t="n"/>
      <c r="L124" s="27" t="n"/>
      <c r="M124" s="27" t="n"/>
      <c r="N124" s="27" t="n"/>
      <c r="O124" s="27" t="n"/>
    </row>
    <row r="125">
      <c r="A125" s="284">
        <f>IF(itens_Remanesc!A125="","",itens_Remanesc!A125)</f>
        <v/>
      </c>
      <c r="B125" s="282">
        <f>IF(itens_Remanesc!A125="","",itens_Remanesc!B125)</f>
        <v/>
      </c>
      <c r="C125" s="273">
        <f>IF(itens_Remanesc!A125="","",itens_Remanesc!C125)</f>
        <v/>
      </c>
      <c r="D125" s="273">
        <f>IF(OR(A125="",C125="",NOT(ISNUMBER($L$3))),"",ROUND(C125*$L$3,2))</f>
        <v/>
      </c>
      <c r="E125" s="273">
        <f>IF(OR(A125="",C125="",NOT(ISNUMBER($L$4))),"",ROUND(C125*$L$4,2))</f>
        <v/>
      </c>
      <c r="F125" s="273">
        <f>IF(OR(A125="",C125="",NOT(ISNUMBER($L$5))),"",ROUND(C125*$L$5,2))</f>
        <v/>
      </c>
      <c r="G125" s="273">
        <f>IF(OR(A125="",C125="",NOT(ISNUMBER($L$6))),"",ROUND(C125*$L$6,2))</f>
        <v/>
      </c>
      <c r="H125" s="342">
        <f>IF(OR(A125="",C125="",C125=0,NOT(ISNUMBER($L$6))),"",ROUND($L$6-1,4))</f>
        <v/>
      </c>
      <c r="I125" s="27" t="n"/>
      <c r="J125" s="27" t="n"/>
      <c r="K125" s="27" t="n"/>
      <c r="L125" s="27" t="n"/>
      <c r="M125" s="27" t="n"/>
      <c r="N125" s="27" t="n"/>
      <c r="O125" s="27" t="n"/>
    </row>
    <row r="126">
      <c r="A126" s="284">
        <f>IF(itens_Remanesc!A126="","",itens_Remanesc!A126)</f>
        <v/>
      </c>
      <c r="B126" s="282">
        <f>IF(itens_Remanesc!A126="","",itens_Remanesc!B126)</f>
        <v/>
      </c>
      <c r="C126" s="273">
        <f>IF(itens_Remanesc!A126="","",itens_Remanesc!C126)</f>
        <v/>
      </c>
      <c r="D126" s="273">
        <f>IF(OR(A126="",C126="",NOT(ISNUMBER($L$3))),"",ROUND(C126*$L$3,2))</f>
        <v/>
      </c>
      <c r="E126" s="273">
        <f>IF(OR(A126="",C126="",NOT(ISNUMBER($L$4))),"",ROUND(C126*$L$4,2))</f>
        <v/>
      </c>
      <c r="F126" s="273">
        <f>IF(OR(A126="",C126="",NOT(ISNUMBER($L$5))),"",ROUND(C126*$L$5,2))</f>
        <v/>
      </c>
      <c r="G126" s="273">
        <f>IF(OR(A126="",C126="",NOT(ISNUMBER($L$6))),"",ROUND(C126*$L$6,2))</f>
        <v/>
      </c>
      <c r="H126" s="342">
        <f>IF(OR(A126="",C126="",C126=0,NOT(ISNUMBER($L$6))),"",ROUND($L$6-1,4))</f>
        <v/>
      </c>
      <c r="I126" s="27" t="n"/>
      <c r="J126" s="27" t="n"/>
      <c r="K126" s="27" t="n"/>
      <c r="L126" s="27" t="n"/>
      <c r="M126" s="27" t="n"/>
      <c r="N126" s="27" t="n"/>
      <c r="O126" s="27" t="n"/>
    </row>
    <row r="127">
      <c r="A127" s="284">
        <f>IF(itens_Remanesc!A127="","",itens_Remanesc!A127)</f>
        <v/>
      </c>
      <c r="B127" s="282">
        <f>IF(itens_Remanesc!A127="","",itens_Remanesc!B127)</f>
        <v/>
      </c>
      <c r="C127" s="273">
        <f>IF(itens_Remanesc!A127="","",itens_Remanesc!C127)</f>
        <v/>
      </c>
      <c r="D127" s="273">
        <f>IF(OR(A127="",C127="",NOT(ISNUMBER($L$3))),"",ROUND(C127*$L$3,2))</f>
        <v/>
      </c>
      <c r="E127" s="273">
        <f>IF(OR(A127="",C127="",NOT(ISNUMBER($L$4))),"",ROUND(C127*$L$4,2))</f>
        <v/>
      </c>
      <c r="F127" s="273">
        <f>IF(OR(A127="",C127="",NOT(ISNUMBER($L$5))),"",ROUND(C127*$L$5,2))</f>
        <v/>
      </c>
      <c r="G127" s="273">
        <f>IF(OR(A127="",C127="",NOT(ISNUMBER($L$6))),"",ROUND(C127*$L$6,2))</f>
        <v/>
      </c>
      <c r="H127" s="342">
        <f>IF(OR(A127="",C127="",C127=0,NOT(ISNUMBER($L$6))),"",ROUND($L$6-1,4))</f>
        <v/>
      </c>
      <c r="I127" s="27" t="n"/>
      <c r="J127" s="27" t="n"/>
      <c r="K127" s="27" t="n"/>
      <c r="L127" s="27" t="n"/>
      <c r="M127" s="27" t="n"/>
      <c r="N127" s="27" t="n"/>
      <c r="O127" s="27" t="n"/>
    </row>
    <row r="128">
      <c r="A128" s="284">
        <f>IF(itens_Remanesc!A128="","",itens_Remanesc!A128)</f>
        <v/>
      </c>
      <c r="B128" s="282">
        <f>IF(itens_Remanesc!A128="","",itens_Remanesc!B128)</f>
        <v/>
      </c>
      <c r="C128" s="273">
        <f>IF(itens_Remanesc!A128="","",itens_Remanesc!C128)</f>
        <v/>
      </c>
      <c r="D128" s="273">
        <f>IF(OR(A128="",C128="",NOT(ISNUMBER($L$3))),"",ROUND(C128*$L$3,2))</f>
        <v/>
      </c>
      <c r="E128" s="273">
        <f>IF(OR(A128="",C128="",NOT(ISNUMBER($L$4))),"",ROUND(C128*$L$4,2))</f>
        <v/>
      </c>
      <c r="F128" s="273">
        <f>IF(OR(A128="",C128="",NOT(ISNUMBER($L$5))),"",ROUND(C128*$L$5,2))</f>
        <v/>
      </c>
      <c r="G128" s="273">
        <f>IF(OR(A128="",C128="",NOT(ISNUMBER($L$6))),"",ROUND(C128*$L$6,2))</f>
        <v/>
      </c>
      <c r="H128" s="342">
        <f>IF(OR(A128="",C128="",C128=0,NOT(ISNUMBER($L$6))),"",ROUND($L$6-1,4))</f>
        <v/>
      </c>
      <c r="I128" s="27" t="n"/>
      <c r="J128" s="27" t="n"/>
      <c r="K128" s="27" t="n"/>
      <c r="L128" s="27" t="n"/>
      <c r="M128" s="27" t="n"/>
      <c r="N128" s="27" t="n"/>
      <c r="O128" s="27" t="n"/>
    </row>
    <row r="129">
      <c r="A129" s="284">
        <f>IF(itens_Remanesc!A129="","",itens_Remanesc!A129)</f>
        <v/>
      </c>
      <c r="B129" s="282">
        <f>IF(itens_Remanesc!A129="","",itens_Remanesc!B129)</f>
        <v/>
      </c>
      <c r="C129" s="273">
        <f>IF(itens_Remanesc!A129="","",itens_Remanesc!C129)</f>
        <v/>
      </c>
      <c r="D129" s="273">
        <f>IF(OR(A129="",C129="",NOT(ISNUMBER($L$3))),"",ROUND(C129*$L$3,2))</f>
        <v/>
      </c>
      <c r="E129" s="273">
        <f>IF(OR(A129="",C129="",NOT(ISNUMBER($L$4))),"",ROUND(C129*$L$4,2))</f>
        <v/>
      </c>
      <c r="F129" s="273">
        <f>IF(OR(A129="",C129="",NOT(ISNUMBER($L$5))),"",ROUND(C129*$L$5,2))</f>
        <v/>
      </c>
      <c r="G129" s="273">
        <f>IF(OR(A129="",C129="",NOT(ISNUMBER($L$6))),"",ROUND(C129*$L$6,2))</f>
        <v/>
      </c>
      <c r="H129" s="342">
        <f>IF(OR(A129="",C129="",C129=0,NOT(ISNUMBER($L$6))),"",ROUND($L$6-1,4))</f>
        <v/>
      </c>
      <c r="I129" s="27" t="n"/>
      <c r="J129" s="27" t="n"/>
      <c r="K129" s="27" t="n"/>
      <c r="L129" s="27" t="n"/>
      <c r="M129" s="27" t="n"/>
      <c r="N129" s="27" t="n"/>
      <c r="O129" s="27" t="n"/>
    </row>
    <row r="130">
      <c r="A130" s="284">
        <f>IF(itens_Remanesc!A130="","",itens_Remanesc!A130)</f>
        <v/>
      </c>
      <c r="B130" s="282">
        <f>IF(itens_Remanesc!A130="","",itens_Remanesc!B130)</f>
        <v/>
      </c>
      <c r="C130" s="273">
        <f>IF(itens_Remanesc!A130="","",itens_Remanesc!C130)</f>
        <v/>
      </c>
      <c r="D130" s="273">
        <f>IF(OR(A130="",C130="",NOT(ISNUMBER($L$3))),"",ROUND(C130*$L$3,2))</f>
        <v/>
      </c>
      <c r="E130" s="273">
        <f>IF(OR(A130="",C130="",NOT(ISNUMBER($L$4))),"",ROUND(C130*$L$4,2))</f>
        <v/>
      </c>
      <c r="F130" s="273">
        <f>IF(OR(A130="",C130="",NOT(ISNUMBER($L$5))),"",ROUND(C130*$L$5,2))</f>
        <v/>
      </c>
      <c r="G130" s="273">
        <f>IF(OR(A130="",C130="",NOT(ISNUMBER($L$6))),"",ROUND(C130*$L$6,2))</f>
        <v/>
      </c>
      <c r="H130" s="342">
        <f>IF(OR(A130="",C130="",C130=0,NOT(ISNUMBER($L$6))),"",ROUND($L$6-1,4))</f>
        <v/>
      </c>
      <c r="I130" s="27" t="n"/>
      <c r="J130" s="27" t="n"/>
      <c r="K130" s="27" t="n"/>
      <c r="L130" s="27" t="n"/>
      <c r="M130" s="27" t="n"/>
      <c r="N130" s="27" t="n"/>
      <c r="O130" s="27" t="n"/>
    </row>
    <row r="131">
      <c r="A131" s="284">
        <f>IF(itens_Remanesc!A131="","",itens_Remanesc!A131)</f>
        <v/>
      </c>
      <c r="B131" s="282">
        <f>IF(itens_Remanesc!A131="","",itens_Remanesc!B131)</f>
        <v/>
      </c>
      <c r="C131" s="273">
        <f>IF(itens_Remanesc!A131="","",itens_Remanesc!C131)</f>
        <v/>
      </c>
      <c r="D131" s="273">
        <f>IF(OR(A131="",C131="",NOT(ISNUMBER($L$3))),"",ROUND(C131*$L$3,2))</f>
        <v/>
      </c>
      <c r="E131" s="273">
        <f>IF(OR(A131="",C131="",NOT(ISNUMBER($L$4))),"",ROUND(C131*$L$4,2))</f>
        <v/>
      </c>
      <c r="F131" s="273">
        <f>IF(OR(A131="",C131="",NOT(ISNUMBER($L$5))),"",ROUND(C131*$L$5,2))</f>
        <v/>
      </c>
      <c r="G131" s="273">
        <f>IF(OR(A131="",C131="",NOT(ISNUMBER($L$6))),"",ROUND(C131*$L$6,2))</f>
        <v/>
      </c>
      <c r="H131" s="342">
        <f>IF(OR(A131="",C131="",C131=0,NOT(ISNUMBER($L$6))),"",ROUND($L$6-1,4))</f>
        <v/>
      </c>
      <c r="I131" s="27" t="n"/>
      <c r="J131" s="27" t="n"/>
      <c r="K131" s="27" t="n"/>
      <c r="L131" s="27" t="n"/>
      <c r="M131" s="27" t="n"/>
      <c r="N131" s="27" t="n"/>
      <c r="O131" s="27" t="n"/>
    </row>
    <row r="132">
      <c r="A132" s="284">
        <f>IF(itens_Remanesc!A132="","",itens_Remanesc!A132)</f>
        <v/>
      </c>
      <c r="B132" s="282">
        <f>IF(itens_Remanesc!A132="","",itens_Remanesc!B132)</f>
        <v/>
      </c>
      <c r="C132" s="273">
        <f>IF(itens_Remanesc!A132="","",itens_Remanesc!C132)</f>
        <v/>
      </c>
      <c r="D132" s="273">
        <f>IF(OR(A132="",C132="",NOT(ISNUMBER($L$3))),"",ROUND(C132*$L$3,2))</f>
        <v/>
      </c>
      <c r="E132" s="273">
        <f>IF(OR(A132="",C132="",NOT(ISNUMBER($L$4))),"",ROUND(C132*$L$4,2))</f>
        <v/>
      </c>
      <c r="F132" s="273">
        <f>IF(OR(A132="",C132="",NOT(ISNUMBER($L$5))),"",ROUND(C132*$L$5,2))</f>
        <v/>
      </c>
      <c r="G132" s="273">
        <f>IF(OR(A132="",C132="",NOT(ISNUMBER($L$6))),"",ROUND(C132*$L$6,2))</f>
        <v/>
      </c>
      <c r="H132" s="342">
        <f>IF(OR(A132="",C132="",C132=0,NOT(ISNUMBER($L$6))),"",ROUND($L$6-1,4))</f>
        <v/>
      </c>
      <c r="I132" s="27" t="n"/>
      <c r="J132" s="27" t="n"/>
      <c r="K132" s="27" t="n"/>
      <c r="L132" s="27" t="n"/>
      <c r="M132" s="27" t="n"/>
      <c r="N132" s="27" t="n"/>
      <c r="O132" s="27" t="n"/>
    </row>
    <row r="133">
      <c r="A133" s="284">
        <f>IF(itens_Remanesc!A133="","",itens_Remanesc!A133)</f>
        <v/>
      </c>
      <c r="B133" s="282">
        <f>IF(itens_Remanesc!A133="","",itens_Remanesc!B133)</f>
        <v/>
      </c>
      <c r="C133" s="273">
        <f>IF(itens_Remanesc!A133="","",itens_Remanesc!C133)</f>
        <v/>
      </c>
      <c r="D133" s="273">
        <f>IF(OR(A133="",C133="",NOT(ISNUMBER($L$3))),"",ROUND(C133*$L$3,2))</f>
        <v/>
      </c>
      <c r="E133" s="273">
        <f>IF(OR(A133="",C133="",NOT(ISNUMBER($L$4))),"",ROUND(C133*$L$4,2))</f>
        <v/>
      </c>
      <c r="F133" s="273">
        <f>IF(OR(A133="",C133="",NOT(ISNUMBER($L$5))),"",ROUND(C133*$L$5,2))</f>
        <v/>
      </c>
      <c r="G133" s="273">
        <f>IF(OR(A133="",C133="",NOT(ISNUMBER($L$6))),"",ROUND(C133*$L$6,2))</f>
        <v/>
      </c>
      <c r="H133" s="342">
        <f>IF(OR(A133="",C133="",C133=0,NOT(ISNUMBER($L$6))),"",ROUND($L$6-1,4))</f>
        <v/>
      </c>
      <c r="I133" s="27" t="n"/>
      <c r="J133" s="27" t="n"/>
      <c r="K133" s="27" t="n"/>
      <c r="L133" s="27" t="n"/>
      <c r="M133" s="27" t="n"/>
      <c r="N133" s="27" t="n"/>
      <c r="O133" s="27" t="n"/>
    </row>
    <row r="134">
      <c r="A134" s="284">
        <f>IF(itens_Remanesc!A134="","",itens_Remanesc!A134)</f>
        <v/>
      </c>
      <c r="B134" s="282">
        <f>IF(itens_Remanesc!A134="","",itens_Remanesc!B134)</f>
        <v/>
      </c>
      <c r="C134" s="273">
        <f>IF(itens_Remanesc!A134="","",itens_Remanesc!C134)</f>
        <v/>
      </c>
      <c r="D134" s="273">
        <f>IF(OR(A134="",C134="",NOT(ISNUMBER($L$3))),"",ROUND(C134*$L$3,2))</f>
        <v/>
      </c>
      <c r="E134" s="273">
        <f>IF(OR(A134="",C134="",NOT(ISNUMBER($L$4))),"",ROUND(C134*$L$4,2))</f>
        <v/>
      </c>
      <c r="F134" s="273">
        <f>IF(OR(A134="",C134="",NOT(ISNUMBER($L$5))),"",ROUND(C134*$L$5,2))</f>
        <v/>
      </c>
      <c r="G134" s="273">
        <f>IF(OR(A134="",C134="",NOT(ISNUMBER($L$6))),"",ROUND(C134*$L$6,2))</f>
        <v/>
      </c>
      <c r="H134" s="342">
        <f>IF(OR(A134="",C134="",C134=0,NOT(ISNUMBER($L$6))),"",ROUND($L$6-1,4))</f>
        <v/>
      </c>
      <c r="I134" s="27" t="n"/>
      <c r="J134" s="27" t="n"/>
      <c r="K134" s="27" t="n"/>
      <c r="L134" s="27" t="n"/>
      <c r="M134" s="27" t="n"/>
      <c r="N134" s="27" t="n"/>
      <c r="O134" s="27" t="n"/>
    </row>
    <row r="135">
      <c r="A135" s="284">
        <f>IF(itens_Remanesc!A135="","",itens_Remanesc!A135)</f>
        <v/>
      </c>
      <c r="B135" s="282">
        <f>IF(itens_Remanesc!A135="","",itens_Remanesc!B135)</f>
        <v/>
      </c>
      <c r="C135" s="273">
        <f>IF(itens_Remanesc!A135="","",itens_Remanesc!C135)</f>
        <v/>
      </c>
      <c r="D135" s="273">
        <f>IF(OR(A135="",C135="",NOT(ISNUMBER($L$3))),"",ROUND(C135*$L$3,2))</f>
        <v/>
      </c>
      <c r="E135" s="273">
        <f>IF(OR(A135="",C135="",NOT(ISNUMBER($L$4))),"",ROUND(C135*$L$4,2))</f>
        <v/>
      </c>
      <c r="F135" s="273">
        <f>IF(OR(A135="",C135="",NOT(ISNUMBER($L$5))),"",ROUND(C135*$L$5,2))</f>
        <v/>
      </c>
      <c r="G135" s="273">
        <f>IF(OR(A135="",C135="",NOT(ISNUMBER($L$6))),"",ROUND(C135*$L$6,2))</f>
        <v/>
      </c>
      <c r="H135" s="342">
        <f>IF(OR(A135="",C135="",C135=0,NOT(ISNUMBER($L$6))),"",ROUND($L$6-1,4))</f>
        <v/>
      </c>
      <c r="I135" s="27" t="n"/>
      <c r="J135" s="27" t="n"/>
      <c r="K135" s="27" t="n"/>
      <c r="L135" s="27" t="n"/>
      <c r="M135" s="27" t="n"/>
      <c r="N135" s="27" t="n"/>
      <c r="O135" s="27" t="n"/>
    </row>
    <row r="136">
      <c r="A136" s="284">
        <f>IF(itens_Remanesc!A136="","",itens_Remanesc!A136)</f>
        <v/>
      </c>
      <c r="B136" s="282">
        <f>IF(itens_Remanesc!A136="","",itens_Remanesc!B136)</f>
        <v/>
      </c>
      <c r="C136" s="273">
        <f>IF(itens_Remanesc!A136="","",itens_Remanesc!C136)</f>
        <v/>
      </c>
      <c r="D136" s="273">
        <f>IF(OR(A136="",C136="",NOT(ISNUMBER($L$3))),"",ROUND(C136*$L$3,2))</f>
        <v/>
      </c>
      <c r="E136" s="273">
        <f>IF(OR(A136="",C136="",NOT(ISNUMBER($L$4))),"",ROUND(C136*$L$4,2))</f>
        <v/>
      </c>
      <c r="F136" s="273">
        <f>IF(OR(A136="",C136="",NOT(ISNUMBER($L$5))),"",ROUND(C136*$L$5,2))</f>
        <v/>
      </c>
      <c r="G136" s="273">
        <f>IF(OR(A136="",C136="",NOT(ISNUMBER($L$6))),"",ROUND(C136*$L$6,2))</f>
        <v/>
      </c>
      <c r="H136" s="342">
        <f>IF(OR(A136="",C136="",C136=0,NOT(ISNUMBER($L$6))),"",ROUND($L$6-1,4))</f>
        <v/>
      </c>
      <c r="I136" s="27" t="n"/>
      <c r="J136" s="27" t="n"/>
      <c r="K136" s="27" t="n"/>
      <c r="L136" s="27" t="n"/>
      <c r="M136" s="27" t="n"/>
      <c r="N136" s="27" t="n"/>
      <c r="O136" s="27" t="n"/>
    </row>
    <row r="137">
      <c r="A137" s="284">
        <f>IF(itens_Remanesc!A137="","",itens_Remanesc!A137)</f>
        <v/>
      </c>
      <c r="B137" s="282">
        <f>IF(itens_Remanesc!A137="","",itens_Remanesc!B137)</f>
        <v/>
      </c>
      <c r="C137" s="273">
        <f>IF(itens_Remanesc!A137="","",itens_Remanesc!C137)</f>
        <v/>
      </c>
      <c r="D137" s="273">
        <f>IF(OR(A137="",C137="",NOT(ISNUMBER($L$3))),"",ROUND(C137*$L$3,2))</f>
        <v/>
      </c>
      <c r="E137" s="273">
        <f>IF(OR(A137="",C137="",NOT(ISNUMBER($L$4))),"",ROUND(C137*$L$4,2))</f>
        <v/>
      </c>
      <c r="F137" s="273">
        <f>IF(OR(A137="",C137="",NOT(ISNUMBER($L$5))),"",ROUND(C137*$L$5,2))</f>
        <v/>
      </c>
      <c r="G137" s="273">
        <f>IF(OR(A137="",C137="",NOT(ISNUMBER($L$6))),"",ROUND(C137*$L$6,2))</f>
        <v/>
      </c>
      <c r="H137" s="342">
        <f>IF(OR(A137="",C137="",C137=0,NOT(ISNUMBER($L$6))),"",ROUND($L$6-1,4))</f>
        <v/>
      </c>
      <c r="I137" s="27" t="n"/>
      <c r="J137" s="27" t="n"/>
      <c r="K137" s="27" t="n"/>
      <c r="L137" s="27" t="n"/>
      <c r="M137" s="27" t="n"/>
      <c r="N137" s="27" t="n"/>
      <c r="O137" s="27" t="n"/>
    </row>
    <row r="138">
      <c r="A138" s="284">
        <f>IF(itens_Remanesc!A138="","",itens_Remanesc!A138)</f>
        <v/>
      </c>
      <c r="B138" s="282">
        <f>IF(itens_Remanesc!A138="","",itens_Remanesc!B138)</f>
        <v/>
      </c>
      <c r="C138" s="273">
        <f>IF(itens_Remanesc!A138="","",itens_Remanesc!C138)</f>
        <v/>
      </c>
      <c r="D138" s="273">
        <f>IF(OR(A138="",C138="",NOT(ISNUMBER($L$3))),"",ROUND(C138*$L$3,2))</f>
        <v/>
      </c>
      <c r="E138" s="273">
        <f>IF(OR(A138="",C138="",NOT(ISNUMBER($L$4))),"",ROUND(C138*$L$4,2))</f>
        <v/>
      </c>
      <c r="F138" s="273">
        <f>IF(OR(A138="",C138="",NOT(ISNUMBER($L$5))),"",ROUND(C138*$L$5,2))</f>
        <v/>
      </c>
      <c r="G138" s="273">
        <f>IF(OR(A138="",C138="",NOT(ISNUMBER($L$6))),"",ROUND(C138*$L$6,2))</f>
        <v/>
      </c>
      <c r="H138" s="342">
        <f>IF(OR(A138="",C138="",C138=0,NOT(ISNUMBER($L$6))),"",ROUND($L$6-1,4))</f>
        <v/>
      </c>
      <c r="I138" s="27" t="n"/>
      <c r="J138" s="27" t="n"/>
      <c r="K138" s="27" t="n"/>
      <c r="L138" s="27" t="n"/>
      <c r="M138" s="27" t="n"/>
      <c r="N138" s="27" t="n"/>
      <c r="O138" s="27" t="n"/>
    </row>
    <row r="139">
      <c r="A139" s="284">
        <f>IF(itens_Remanesc!A139="","",itens_Remanesc!A139)</f>
        <v/>
      </c>
      <c r="B139" s="282">
        <f>IF(itens_Remanesc!A139="","",itens_Remanesc!B139)</f>
        <v/>
      </c>
      <c r="C139" s="273">
        <f>IF(itens_Remanesc!A139="","",itens_Remanesc!C139)</f>
        <v/>
      </c>
      <c r="D139" s="273">
        <f>IF(OR(A139="",C139="",NOT(ISNUMBER($L$3))),"",ROUND(C139*$L$3,2))</f>
        <v/>
      </c>
      <c r="E139" s="273">
        <f>IF(OR(A139="",C139="",NOT(ISNUMBER($L$4))),"",ROUND(C139*$L$4,2))</f>
        <v/>
      </c>
      <c r="F139" s="273">
        <f>IF(OR(A139="",C139="",NOT(ISNUMBER($L$5))),"",ROUND(C139*$L$5,2))</f>
        <v/>
      </c>
      <c r="G139" s="273">
        <f>IF(OR(A139="",C139="",NOT(ISNUMBER($L$6))),"",ROUND(C139*$L$6,2))</f>
        <v/>
      </c>
      <c r="H139" s="342">
        <f>IF(OR(A139="",C139="",C139=0,NOT(ISNUMBER($L$6))),"",ROUND($L$6-1,4))</f>
        <v/>
      </c>
      <c r="I139" s="27" t="n"/>
      <c r="J139" s="27" t="n"/>
      <c r="K139" s="27" t="n"/>
      <c r="L139" s="27" t="n"/>
      <c r="M139" s="27" t="n"/>
      <c r="N139" s="27" t="n"/>
      <c r="O139" s="27" t="n"/>
    </row>
    <row r="140">
      <c r="A140" s="284">
        <f>IF(itens_Remanesc!A140="","",itens_Remanesc!A140)</f>
        <v/>
      </c>
      <c r="B140" s="282">
        <f>IF(itens_Remanesc!A140="","",itens_Remanesc!B140)</f>
        <v/>
      </c>
      <c r="C140" s="273">
        <f>IF(itens_Remanesc!A140="","",itens_Remanesc!C140)</f>
        <v/>
      </c>
      <c r="D140" s="273">
        <f>IF(OR(A140="",C140="",NOT(ISNUMBER($L$3))),"",ROUND(C140*$L$3,2))</f>
        <v/>
      </c>
      <c r="E140" s="273">
        <f>IF(OR(A140="",C140="",NOT(ISNUMBER($L$4))),"",ROUND(C140*$L$4,2))</f>
        <v/>
      </c>
      <c r="F140" s="273">
        <f>IF(OR(A140="",C140="",NOT(ISNUMBER($L$5))),"",ROUND(C140*$L$5,2))</f>
        <v/>
      </c>
      <c r="G140" s="273">
        <f>IF(OR(A140="",C140="",NOT(ISNUMBER($L$6))),"",ROUND(C140*$L$6,2))</f>
        <v/>
      </c>
      <c r="H140" s="342">
        <f>IF(OR(A140="",C140="",C140=0,NOT(ISNUMBER($L$6))),"",ROUND($L$6-1,4))</f>
        <v/>
      </c>
      <c r="I140" s="27" t="n"/>
      <c r="J140" s="27" t="n"/>
      <c r="K140" s="27" t="n"/>
      <c r="L140" s="27" t="n"/>
      <c r="M140" s="27" t="n"/>
      <c r="N140" s="27" t="n"/>
      <c r="O140" s="27" t="n"/>
    </row>
    <row r="141">
      <c r="A141" s="284">
        <f>IF(itens_Remanesc!A141="","",itens_Remanesc!A141)</f>
        <v/>
      </c>
      <c r="B141" s="282">
        <f>IF(itens_Remanesc!A141="","",itens_Remanesc!B141)</f>
        <v/>
      </c>
      <c r="C141" s="273">
        <f>IF(itens_Remanesc!A141="","",itens_Remanesc!C141)</f>
        <v/>
      </c>
      <c r="D141" s="273">
        <f>IF(OR(A141="",C141="",NOT(ISNUMBER($L$3))),"",ROUND(C141*$L$3,2))</f>
        <v/>
      </c>
      <c r="E141" s="273">
        <f>IF(OR(A141="",C141="",NOT(ISNUMBER($L$4))),"",ROUND(C141*$L$4,2))</f>
        <v/>
      </c>
      <c r="F141" s="273">
        <f>IF(OR(A141="",C141="",NOT(ISNUMBER($L$5))),"",ROUND(C141*$L$5,2))</f>
        <v/>
      </c>
      <c r="G141" s="273">
        <f>IF(OR(A141="",C141="",NOT(ISNUMBER($L$6))),"",ROUND(C141*$L$6,2))</f>
        <v/>
      </c>
      <c r="H141" s="342">
        <f>IF(OR(A141="",C141="",C141=0,NOT(ISNUMBER($L$6))),"",ROUND($L$6-1,4))</f>
        <v/>
      </c>
      <c r="I141" s="27" t="n"/>
      <c r="J141" s="27" t="n"/>
      <c r="K141" s="27" t="n"/>
      <c r="L141" s="27" t="n"/>
      <c r="M141" s="27" t="n"/>
      <c r="N141" s="27" t="n"/>
      <c r="O141" s="27" t="n"/>
    </row>
    <row r="142">
      <c r="A142" s="284">
        <f>IF(itens_Remanesc!A142="","",itens_Remanesc!A142)</f>
        <v/>
      </c>
      <c r="B142" s="282">
        <f>IF(itens_Remanesc!A142="","",itens_Remanesc!B142)</f>
        <v/>
      </c>
      <c r="C142" s="273">
        <f>IF(itens_Remanesc!A142="","",itens_Remanesc!C142)</f>
        <v/>
      </c>
      <c r="D142" s="273">
        <f>IF(OR(A142="",C142="",NOT(ISNUMBER($L$3))),"",ROUND(C142*$L$3,2))</f>
        <v/>
      </c>
      <c r="E142" s="273">
        <f>IF(OR(A142="",C142="",NOT(ISNUMBER($L$4))),"",ROUND(C142*$L$4,2))</f>
        <v/>
      </c>
      <c r="F142" s="273">
        <f>IF(OR(A142="",C142="",NOT(ISNUMBER($L$5))),"",ROUND(C142*$L$5,2))</f>
        <v/>
      </c>
      <c r="G142" s="273">
        <f>IF(OR(A142="",C142="",NOT(ISNUMBER($L$6))),"",ROUND(C142*$L$6,2))</f>
        <v/>
      </c>
      <c r="H142" s="342">
        <f>IF(OR(A142="",C142="",C142=0,NOT(ISNUMBER($L$6))),"",ROUND($L$6-1,4))</f>
        <v/>
      </c>
      <c r="I142" s="27" t="n"/>
      <c r="J142" s="27" t="n"/>
      <c r="K142" s="27" t="n"/>
      <c r="L142" s="27" t="n"/>
      <c r="M142" s="27" t="n"/>
      <c r="N142" s="27" t="n"/>
      <c r="O142" s="27" t="n"/>
    </row>
    <row r="143">
      <c r="A143" s="284">
        <f>IF(itens_Remanesc!A143="","",itens_Remanesc!A143)</f>
        <v/>
      </c>
      <c r="B143" s="282">
        <f>IF(itens_Remanesc!A143="","",itens_Remanesc!B143)</f>
        <v/>
      </c>
      <c r="C143" s="273">
        <f>IF(itens_Remanesc!A143="","",itens_Remanesc!C143)</f>
        <v/>
      </c>
      <c r="D143" s="273">
        <f>IF(OR(A143="",C143="",NOT(ISNUMBER($L$3))),"",ROUND(C143*$L$3,2))</f>
        <v/>
      </c>
      <c r="E143" s="273">
        <f>IF(OR(A143="",C143="",NOT(ISNUMBER($L$4))),"",ROUND(C143*$L$4,2))</f>
        <v/>
      </c>
      <c r="F143" s="273">
        <f>IF(OR(A143="",C143="",NOT(ISNUMBER($L$5))),"",ROUND(C143*$L$5,2))</f>
        <v/>
      </c>
      <c r="G143" s="273">
        <f>IF(OR(A143="",C143="",NOT(ISNUMBER($L$6))),"",ROUND(C143*$L$6,2))</f>
        <v/>
      </c>
      <c r="H143" s="342">
        <f>IF(OR(A143="",C143="",C143=0,NOT(ISNUMBER($L$6))),"",ROUND($L$6-1,4))</f>
        <v/>
      </c>
      <c r="I143" s="27" t="n"/>
      <c r="J143" s="27" t="n"/>
      <c r="K143" s="27" t="n"/>
      <c r="L143" s="27" t="n"/>
      <c r="M143" s="27" t="n"/>
      <c r="N143" s="27" t="n"/>
      <c r="O143" s="27" t="n"/>
    </row>
    <row r="144">
      <c r="A144" s="284">
        <f>IF(itens_Remanesc!A144="","",itens_Remanesc!A144)</f>
        <v/>
      </c>
      <c r="B144" s="282">
        <f>IF(itens_Remanesc!A144="","",itens_Remanesc!B144)</f>
        <v/>
      </c>
      <c r="C144" s="273">
        <f>IF(itens_Remanesc!A144="","",itens_Remanesc!C144)</f>
        <v/>
      </c>
      <c r="D144" s="273">
        <f>IF(OR(A144="",C144="",NOT(ISNUMBER($L$3))),"",ROUND(C144*$L$3,2))</f>
        <v/>
      </c>
      <c r="E144" s="273">
        <f>IF(OR(A144="",C144="",NOT(ISNUMBER($L$4))),"",ROUND(C144*$L$4,2))</f>
        <v/>
      </c>
      <c r="F144" s="273">
        <f>IF(OR(A144="",C144="",NOT(ISNUMBER($L$5))),"",ROUND(C144*$L$5,2))</f>
        <v/>
      </c>
      <c r="G144" s="273">
        <f>IF(OR(A144="",C144="",NOT(ISNUMBER($L$6))),"",ROUND(C144*$L$6,2))</f>
        <v/>
      </c>
      <c r="H144" s="342">
        <f>IF(OR(A144="",C144="",C144=0,NOT(ISNUMBER($L$6))),"",ROUND($L$6-1,4))</f>
        <v/>
      </c>
      <c r="I144" s="27" t="n"/>
      <c r="J144" s="27" t="n"/>
      <c r="K144" s="27" t="n"/>
      <c r="L144" s="27" t="n"/>
      <c r="M144" s="27" t="n"/>
      <c r="N144" s="27" t="n"/>
      <c r="O144" s="27" t="n"/>
    </row>
    <row r="145">
      <c r="A145" s="284">
        <f>IF(itens_Remanesc!A145="","",itens_Remanesc!A145)</f>
        <v/>
      </c>
      <c r="B145" s="282">
        <f>IF(itens_Remanesc!A145="","",itens_Remanesc!B145)</f>
        <v/>
      </c>
      <c r="C145" s="273">
        <f>IF(itens_Remanesc!A145="","",itens_Remanesc!C145)</f>
        <v/>
      </c>
      <c r="D145" s="273">
        <f>IF(OR(A145="",C145="",NOT(ISNUMBER($L$3))),"",ROUND(C145*$L$3,2))</f>
        <v/>
      </c>
      <c r="E145" s="273">
        <f>IF(OR(A145="",C145="",NOT(ISNUMBER($L$4))),"",ROUND(C145*$L$4,2))</f>
        <v/>
      </c>
      <c r="F145" s="273">
        <f>IF(OR(A145="",C145="",NOT(ISNUMBER($L$5))),"",ROUND(C145*$L$5,2))</f>
        <v/>
      </c>
      <c r="G145" s="273">
        <f>IF(OR(A145="",C145="",NOT(ISNUMBER($L$6))),"",ROUND(C145*$L$6,2))</f>
        <v/>
      </c>
      <c r="H145" s="342">
        <f>IF(OR(A145="",C145="",C145=0,NOT(ISNUMBER($L$6))),"",ROUND($L$6-1,4))</f>
        <v/>
      </c>
      <c r="I145" s="27" t="n"/>
      <c r="J145" s="27" t="n"/>
      <c r="K145" s="27" t="n"/>
      <c r="L145" s="27" t="n"/>
      <c r="M145" s="27" t="n"/>
      <c r="N145" s="27" t="n"/>
      <c r="O145" s="27" t="n"/>
    </row>
    <row r="146">
      <c r="A146" s="284">
        <f>IF(itens_Remanesc!A146="","",itens_Remanesc!A146)</f>
        <v/>
      </c>
      <c r="B146" s="282">
        <f>IF(itens_Remanesc!A146="","",itens_Remanesc!B146)</f>
        <v/>
      </c>
      <c r="C146" s="273">
        <f>IF(itens_Remanesc!A146="","",itens_Remanesc!C146)</f>
        <v/>
      </c>
      <c r="D146" s="273">
        <f>IF(OR(A146="",C146="",NOT(ISNUMBER($L$3))),"",ROUND(C146*$L$3,2))</f>
        <v/>
      </c>
      <c r="E146" s="273">
        <f>IF(OR(A146="",C146="",NOT(ISNUMBER($L$4))),"",ROUND(C146*$L$4,2))</f>
        <v/>
      </c>
      <c r="F146" s="273">
        <f>IF(OR(A146="",C146="",NOT(ISNUMBER($L$5))),"",ROUND(C146*$L$5,2))</f>
        <v/>
      </c>
      <c r="G146" s="273">
        <f>IF(OR(A146="",C146="",NOT(ISNUMBER($L$6))),"",ROUND(C146*$L$6,2))</f>
        <v/>
      </c>
      <c r="H146" s="342">
        <f>IF(OR(A146="",C146="",C146=0,NOT(ISNUMBER($L$6))),"",ROUND($L$6-1,4))</f>
        <v/>
      </c>
      <c r="I146" s="27" t="n"/>
      <c r="J146" s="27" t="n"/>
      <c r="K146" s="27" t="n"/>
      <c r="L146" s="27" t="n"/>
      <c r="M146" s="27" t="n"/>
      <c r="N146" s="27" t="n"/>
      <c r="O146" s="27" t="n"/>
    </row>
    <row r="147">
      <c r="A147" s="284">
        <f>IF(itens_Remanesc!A147="","",itens_Remanesc!A147)</f>
        <v/>
      </c>
      <c r="B147" s="282">
        <f>IF(itens_Remanesc!A147="","",itens_Remanesc!B147)</f>
        <v/>
      </c>
      <c r="C147" s="273">
        <f>IF(itens_Remanesc!A147="","",itens_Remanesc!C147)</f>
        <v/>
      </c>
      <c r="D147" s="273">
        <f>IF(OR(A147="",C147="",NOT(ISNUMBER($L$3))),"",ROUND(C147*$L$3,2))</f>
        <v/>
      </c>
      <c r="E147" s="273">
        <f>IF(OR(A147="",C147="",NOT(ISNUMBER($L$4))),"",ROUND(C147*$L$4,2))</f>
        <v/>
      </c>
      <c r="F147" s="273">
        <f>IF(OR(A147="",C147="",NOT(ISNUMBER($L$5))),"",ROUND(C147*$L$5,2))</f>
        <v/>
      </c>
      <c r="G147" s="273">
        <f>IF(OR(A147="",C147="",NOT(ISNUMBER($L$6))),"",ROUND(C147*$L$6,2))</f>
        <v/>
      </c>
      <c r="H147" s="342">
        <f>IF(OR(A147="",C147="",C147=0,NOT(ISNUMBER($L$6))),"",ROUND($L$6-1,4))</f>
        <v/>
      </c>
      <c r="I147" s="27" t="n"/>
      <c r="J147" s="27" t="n"/>
      <c r="K147" s="27" t="n"/>
      <c r="L147" s="27" t="n"/>
      <c r="M147" s="27" t="n"/>
      <c r="N147" s="27" t="n"/>
      <c r="O147" s="27" t="n"/>
    </row>
    <row r="148">
      <c r="A148" s="284">
        <f>IF(itens_Remanesc!A148="","",itens_Remanesc!A148)</f>
        <v/>
      </c>
      <c r="B148" s="282">
        <f>IF(itens_Remanesc!A148="","",itens_Remanesc!B148)</f>
        <v/>
      </c>
      <c r="C148" s="273">
        <f>IF(itens_Remanesc!A148="","",itens_Remanesc!C148)</f>
        <v/>
      </c>
      <c r="D148" s="273">
        <f>IF(OR(A148="",C148="",NOT(ISNUMBER($L$3))),"",ROUND(C148*$L$3,2))</f>
        <v/>
      </c>
      <c r="E148" s="273">
        <f>IF(OR(A148="",C148="",NOT(ISNUMBER($L$4))),"",ROUND(C148*$L$4,2))</f>
        <v/>
      </c>
      <c r="F148" s="273">
        <f>IF(OR(A148="",C148="",NOT(ISNUMBER($L$5))),"",ROUND(C148*$L$5,2))</f>
        <v/>
      </c>
      <c r="G148" s="273">
        <f>IF(OR(A148="",C148="",NOT(ISNUMBER($L$6))),"",ROUND(C148*$L$6,2))</f>
        <v/>
      </c>
      <c r="H148" s="342">
        <f>IF(OR(A148="",C148="",C148=0,NOT(ISNUMBER($L$6))),"",ROUND($L$6-1,4))</f>
        <v/>
      </c>
      <c r="I148" s="27" t="n"/>
      <c r="J148" s="27" t="n"/>
      <c r="K148" s="27" t="n"/>
      <c r="L148" s="27" t="n"/>
      <c r="M148" s="27" t="n"/>
      <c r="N148" s="27" t="n"/>
      <c r="O148" s="27" t="n"/>
    </row>
    <row r="149">
      <c r="A149" s="284">
        <f>IF(itens_Remanesc!A149="","",itens_Remanesc!A149)</f>
        <v/>
      </c>
      <c r="B149" s="282">
        <f>IF(itens_Remanesc!A149="","",itens_Remanesc!B149)</f>
        <v/>
      </c>
      <c r="C149" s="273">
        <f>IF(itens_Remanesc!A149="","",itens_Remanesc!C149)</f>
        <v/>
      </c>
      <c r="D149" s="273">
        <f>IF(OR(A149="",C149="",NOT(ISNUMBER($L$3))),"",ROUND(C149*$L$3,2))</f>
        <v/>
      </c>
      <c r="E149" s="273">
        <f>IF(OR(A149="",C149="",NOT(ISNUMBER($L$4))),"",ROUND(C149*$L$4,2))</f>
        <v/>
      </c>
      <c r="F149" s="273">
        <f>IF(OR(A149="",C149="",NOT(ISNUMBER($L$5))),"",ROUND(C149*$L$5,2))</f>
        <v/>
      </c>
      <c r="G149" s="273">
        <f>IF(OR(A149="",C149="",NOT(ISNUMBER($L$6))),"",ROUND(C149*$L$6,2))</f>
        <v/>
      </c>
      <c r="H149" s="342">
        <f>IF(OR(A149="",C149="",C149=0,NOT(ISNUMBER($L$6))),"",ROUND($L$6-1,4))</f>
        <v/>
      </c>
      <c r="I149" s="27" t="n"/>
      <c r="J149" s="27" t="n"/>
      <c r="K149" s="27" t="n"/>
      <c r="L149" s="27" t="n"/>
      <c r="M149" s="27" t="n"/>
      <c r="N149" s="27" t="n"/>
      <c r="O149" s="27" t="n"/>
    </row>
    <row r="150">
      <c r="A150" s="284">
        <f>IF(itens_Remanesc!A150="","",itens_Remanesc!A150)</f>
        <v/>
      </c>
      <c r="B150" s="282">
        <f>IF(itens_Remanesc!A150="","",itens_Remanesc!B150)</f>
        <v/>
      </c>
      <c r="C150" s="273">
        <f>IF(itens_Remanesc!A150="","",itens_Remanesc!C150)</f>
        <v/>
      </c>
      <c r="D150" s="273">
        <f>IF(OR(A150="",C150="",NOT(ISNUMBER($L$3))),"",ROUND(C150*$L$3,2))</f>
        <v/>
      </c>
      <c r="E150" s="273">
        <f>IF(OR(A150="",C150="",NOT(ISNUMBER($L$4))),"",ROUND(C150*$L$4,2))</f>
        <v/>
      </c>
      <c r="F150" s="273">
        <f>IF(OR(A150="",C150="",NOT(ISNUMBER($L$5))),"",ROUND(C150*$L$5,2))</f>
        <v/>
      </c>
      <c r="G150" s="273">
        <f>IF(OR(A150="",C150="",NOT(ISNUMBER($L$6))),"",ROUND(C150*$L$6,2))</f>
        <v/>
      </c>
      <c r="H150" s="342">
        <f>IF(OR(A150="",C150="",C150=0,NOT(ISNUMBER($L$6))),"",ROUND($L$6-1,4))</f>
        <v/>
      </c>
      <c r="I150" s="27" t="n"/>
      <c r="J150" s="27" t="n"/>
      <c r="K150" s="27" t="n"/>
      <c r="L150" s="27" t="n"/>
      <c r="M150" s="27" t="n"/>
      <c r="N150" s="27" t="n"/>
      <c r="O150" s="27" t="n"/>
    </row>
    <row r="151">
      <c r="A151" s="284">
        <f>IF(itens_Remanesc!A151="","",itens_Remanesc!A151)</f>
        <v/>
      </c>
      <c r="B151" s="282">
        <f>IF(itens_Remanesc!A151="","",itens_Remanesc!B151)</f>
        <v/>
      </c>
      <c r="C151" s="273">
        <f>IF(itens_Remanesc!A151="","",itens_Remanesc!C151)</f>
        <v/>
      </c>
      <c r="D151" s="273">
        <f>IF(OR(A151="",C151="",NOT(ISNUMBER($L$3))),"",ROUND(C151*$L$3,2))</f>
        <v/>
      </c>
      <c r="E151" s="273">
        <f>IF(OR(A151="",C151="",NOT(ISNUMBER($L$4))),"",ROUND(C151*$L$4,2))</f>
        <v/>
      </c>
      <c r="F151" s="273">
        <f>IF(OR(A151="",C151="",NOT(ISNUMBER($L$5))),"",ROUND(C151*$L$5,2))</f>
        <v/>
      </c>
      <c r="G151" s="273">
        <f>IF(OR(A151="",C151="",NOT(ISNUMBER($L$6))),"",ROUND(C151*$L$6,2))</f>
        <v/>
      </c>
      <c r="H151" s="342">
        <f>IF(OR(A151="",C151="",C151=0,NOT(ISNUMBER($L$6))),"",ROUND($L$6-1,4))</f>
        <v/>
      </c>
      <c r="I151" s="27" t="n"/>
      <c r="J151" s="27" t="n"/>
      <c r="K151" s="27" t="n"/>
      <c r="L151" s="27" t="n"/>
      <c r="M151" s="27" t="n"/>
      <c r="N151" s="27" t="n"/>
      <c r="O151" s="27" t="n"/>
    </row>
    <row r="152">
      <c r="A152" s="284">
        <f>IF(itens_Remanesc!A152="","",itens_Remanesc!A152)</f>
        <v/>
      </c>
      <c r="B152" s="282">
        <f>IF(itens_Remanesc!A152="","",itens_Remanesc!B152)</f>
        <v/>
      </c>
      <c r="C152" s="273">
        <f>IF(itens_Remanesc!A152="","",itens_Remanesc!C152)</f>
        <v/>
      </c>
      <c r="D152" s="273">
        <f>IF(OR(A152="",C152="",NOT(ISNUMBER($L$3))),"",ROUND(C152*$L$3,2))</f>
        <v/>
      </c>
      <c r="E152" s="273">
        <f>IF(OR(A152="",C152="",NOT(ISNUMBER($L$4))),"",ROUND(C152*$L$4,2))</f>
        <v/>
      </c>
      <c r="F152" s="273">
        <f>IF(OR(A152="",C152="",NOT(ISNUMBER($L$5))),"",ROUND(C152*$L$5,2))</f>
        <v/>
      </c>
      <c r="G152" s="273">
        <f>IF(OR(A152="",C152="",NOT(ISNUMBER($L$6))),"",ROUND(C152*$L$6,2))</f>
        <v/>
      </c>
      <c r="H152" s="342">
        <f>IF(OR(A152="",C152="",C152=0,NOT(ISNUMBER($L$6))),"",ROUND($L$6-1,4))</f>
        <v/>
      </c>
      <c r="I152" s="27" t="n"/>
      <c r="J152" s="27" t="n"/>
      <c r="K152" s="27" t="n"/>
      <c r="L152" s="27" t="n"/>
      <c r="M152" s="27" t="n"/>
      <c r="N152" s="27" t="n"/>
      <c r="O152" s="27" t="n"/>
    </row>
    <row r="153">
      <c r="A153" s="284">
        <f>IF(itens_Remanesc!A153="","",itens_Remanesc!A153)</f>
        <v/>
      </c>
      <c r="B153" s="282">
        <f>IF(itens_Remanesc!A153="","",itens_Remanesc!B153)</f>
        <v/>
      </c>
      <c r="C153" s="273">
        <f>IF(itens_Remanesc!A153="","",itens_Remanesc!C153)</f>
        <v/>
      </c>
      <c r="D153" s="273">
        <f>IF(OR(A153="",C153="",NOT(ISNUMBER($L$3))),"",ROUND(C153*$L$3,2))</f>
        <v/>
      </c>
      <c r="E153" s="273">
        <f>IF(OR(A153="",C153="",NOT(ISNUMBER($L$4))),"",ROUND(C153*$L$4,2))</f>
        <v/>
      </c>
      <c r="F153" s="273">
        <f>IF(OR(A153="",C153="",NOT(ISNUMBER($L$5))),"",ROUND(C153*$L$5,2))</f>
        <v/>
      </c>
      <c r="G153" s="273">
        <f>IF(OR(A153="",C153="",NOT(ISNUMBER($L$6))),"",ROUND(C153*$L$6,2))</f>
        <v/>
      </c>
      <c r="H153" s="342">
        <f>IF(OR(A153="",C153="",C153=0,NOT(ISNUMBER($L$6))),"",ROUND($L$6-1,4))</f>
        <v/>
      </c>
      <c r="I153" s="27" t="n"/>
      <c r="J153" s="27" t="n"/>
      <c r="K153" s="27" t="n"/>
      <c r="L153" s="27" t="n"/>
      <c r="M153" s="27" t="n"/>
      <c r="N153" s="27" t="n"/>
      <c r="O153" s="27" t="n"/>
    </row>
    <row r="154">
      <c r="A154" s="284">
        <f>IF(itens_Remanesc!A154="","",itens_Remanesc!A154)</f>
        <v/>
      </c>
      <c r="B154" s="282">
        <f>IF(itens_Remanesc!A154="","",itens_Remanesc!B154)</f>
        <v/>
      </c>
      <c r="C154" s="273">
        <f>IF(itens_Remanesc!A154="","",itens_Remanesc!C154)</f>
        <v/>
      </c>
      <c r="D154" s="273">
        <f>IF(OR(A154="",C154="",NOT(ISNUMBER($L$3))),"",ROUND(C154*$L$3,2))</f>
        <v/>
      </c>
      <c r="E154" s="273">
        <f>IF(OR(A154="",C154="",NOT(ISNUMBER($L$4))),"",ROUND(C154*$L$4,2))</f>
        <v/>
      </c>
      <c r="F154" s="273">
        <f>IF(OR(A154="",C154="",NOT(ISNUMBER($L$5))),"",ROUND(C154*$L$5,2))</f>
        <v/>
      </c>
      <c r="G154" s="273">
        <f>IF(OR(A154="",C154="",NOT(ISNUMBER($L$6))),"",ROUND(C154*$L$6,2))</f>
        <v/>
      </c>
      <c r="H154" s="342">
        <f>IF(OR(A154="",C154="",C154=0,NOT(ISNUMBER($L$6))),"",ROUND($L$6-1,4))</f>
        <v/>
      </c>
      <c r="I154" s="27" t="n"/>
      <c r="J154" s="27" t="n"/>
      <c r="K154" s="27" t="n"/>
      <c r="L154" s="27" t="n"/>
      <c r="M154" s="27" t="n"/>
      <c r="N154" s="27" t="n"/>
      <c r="O154" s="27" t="n"/>
    </row>
    <row r="155">
      <c r="A155" s="284">
        <f>IF(itens_Remanesc!A155="","",itens_Remanesc!A155)</f>
        <v/>
      </c>
      <c r="B155" s="282">
        <f>IF(itens_Remanesc!A155="","",itens_Remanesc!B155)</f>
        <v/>
      </c>
      <c r="C155" s="273">
        <f>IF(itens_Remanesc!A155="","",itens_Remanesc!C155)</f>
        <v/>
      </c>
      <c r="D155" s="273">
        <f>IF(OR(A155="",C155="",NOT(ISNUMBER($L$3))),"",ROUND(C155*$L$3,2))</f>
        <v/>
      </c>
      <c r="E155" s="273">
        <f>IF(OR(A155="",C155="",NOT(ISNUMBER($L$4))),"",ROUND(C155*$L$4,2))</f>
        <v/>
      </c>
      <c r="F155" s="273">
        <f>IF(OR(A155="",C155="",NOT(ISNUMBER($L$5))),"",ROUND(C155*$L$5,2))</f>
        <v/>
      </c>
      <c r="G155" s="273">
        <f>IF(OR(A155="",C155="",NOT(ISNUMBER($L$6))),"",ROUND(C155*$L$6,2))</f>
        <v/>
      </c>
      <c r="H155" s="342">
        <f>IF(OR(A155="",C155="",C155=0,NOT(ISNUMBER($L$6))),"",ROUND($L$6-1,4))</f>
        <v/>
      </c>
      <c r="I155" s="27" t="n"/>
      <c r="J155" s="27" t="n"/>
      <c r="K155" s="27" t="n"/>
      <c r="L155" s="27" t="n"/>
      <c r="M155" s="27" t="n"/>
      <c r="N155" s="27" t="n"/>
      <c r="O155" s="27" t="n"/>
    </row>
    <row r="156">
      <c r="A156" s="284">
        <f>IF(itens_Remanesc!A156="","",itens_Remanesc!A156)</f>
        <v/>
      </c>
      <c r="B156" s="282">
        <f>IF(itens_Remanesc!A156="","",itens_Remanesc!B156)</f>
        <v/>
      </c>
      <c r="C156" s="273">
        <f>IF(itens_Remanesc!A156="","",itens_Remanesc!C156)</f>
        <v/>
      </c>
      <c r="D156" s="273">
        <f>IF(OR(A156="",C156="",NOT(ISNUMBER($L$3))),"",ROUND(C156*$L$3,2))</f>
        <v/>
      </c>
      <c r="E156" s="273">
        <f>IF(OR(A156="",C156="",NOT(ISNUMBER($L$4))),"",ROUND(C156*$L$4,2))</f>
        <v/>
      </c>
      <c r="F156" s="273">
        <f>IF(OR(A156="",C156="",NOT(ISNUMBER($L$5))),"",ROUND(C156*$L$5,2))</f>
        <v/>
      </c>
      <c r="G156" s="273">
        <f>IF(OR(A156="",C156="",NOT(ISNUMBER($L$6))),"",ROUND(C156*$L$6,2))</f>
        <v/>
      </c>
      <c r="H156" s="342">
        <f>IF(OR(A156="",C156="",C156=0,NOT(ISNUMBER($L$6))),"",ROUND($L$6-1,4))</f>
        <v/>
      </c>
      <c r="I156" s="27" t="n"/>
      <c r="J156" s="27" t="n"/>
      <c r="K156" s="27" t="n"/>
      <c r="L156" s="27" t="n"/>
      <c r="M156" s="27" t="n"/>
      <c r="N156" s="27" t="n"/>
      <c r="O156" s="27" t="n"/>
    </row>
    <row r="157">
      <c r="A157" s="284">
        <f>IF(itens_Remanesc!A157="","",itens_Remanesc!A157)</f>
        <v/>
      </c>
      <c r="B157" s="282">
        <f>IF(itens_Remanesc!A157="","",itens_Remanesc!B157)</f>
        <v/>
      </c>
      <c r="C157" s="273">
        <f>IF(itens_Remanesc!A157="","",itens_Remanesc!C157)</f>
        <v/>
      </c>
      <c r="D157" s="273">
        <f>IF(OR(A157="",C157="",NOT(ISNUMBER($L$3))),"",ROUND(C157*$L$3,2))</f>
        <v/>
      </c>
      <c r="E157" s="273">
        <f>IF(OR(A157="",C157="",NOT(ISNUMBER($L$4))),"",ROUND(C157*$L$4,2))</f>
        <v/>
      </c>
      <c r="F157" s="273">
        <f>IF(OR(A157="",C157="",NOT(ISNUMBER($L$5))),"",ROUND(C157*$L$5,2))</f>
        <v/>
      </c>
      <c r="G157" s="273">
        <f>IF(OR(A157="",C157="",NOT(ISNUMBER($L$6))),"",ROUND(C157*$L$6,2))</f>
        <v/>
      </c>
      <c r="H157" s="342">
        <f>IF(OR(A157="",C157="",C157=0,NOT(ISNUMBER($L$6))),"",ROUND($L$6-1,4))</f>
        <v/>
      </c>
      <c r="I157" s="27" t="n"/>
      <c r="J157" s="27" t="n"/>
      <c r="K157" s="27" t="n"/>
      <c r="L157" s="27" t="n"/>
      <c r="M157" s="27" t="n"/>
      <c r="N157" s="27" t="n"/>
      <c r="O157" s="27" t="n"/>
    </row>
    <row r="158">
      <c r="A158" s="284">
        <f>IF(itens_Remanesc!A158="","",itens_Remanesc!A158)</f>
        <v/>
      </c>
      <c r="B158" s="282">
        <f>IF(itens_Remanesc!A158="","",itens_Remanesc!B158)</f>
        <v/>
      </c>
      <c r="C158" s="273">
        <f>IF(itens_Remanesc!A158="","",itens_Remanesc!C158)</f>
        <v/>
      </c>
      <c r="D158" s="273">
        <f>IF(OR(A158="",C158="",NOT(ISNUMBER($L$3))),"",ROUND(C158*$L$3,2))</f>
        <v/>
      </c>
      <c r="E158" s="273">
        <f>IF(OR(A158="",C158="",NOT(ISNUMBER($L$4))),"",ROUND(C158*$L$4,2))</f>
        <v/>
      </c>
      <c r="F158" s="273">
        <f>IF(OR(A158="",C158="",NOT(ISNUMBER($L$5))),"",ROUND(C158*$L$5,2))</f>
        <v/>
      </c>
      <c r="G158" s="273">
        <f>IF(OR(A158="",C158="",NOT(ISNUMBER($L$6))),"",ROUND(C158*$L$6,2))</f>
        <v/>
      </c>
      <c r="H158" s="342">
        <f>IF(OR(A158="",C158="",C158=0,NOT(ISNUMBER($L$6))),"",ROUND($L$6-1,4))</f>
        <v/>
      </c>
      <c r="I158" s="27" t="n"/>
      <c r="J158" s="27" t="n"/>
      <c r="K158" s="27" t="n"/>
      <c r="L158" s="27" t="n"/>
      <c r="M158" s="27" t="n"/>
      <c r="N158" s="27" t="n"/>
      <c r="O158" s="27" t="n"/>
    </row>
    <row r="159">
      <c r="A159" s="284">
        <f>IF(itens_Remanesc!A159="","",itens_Remanesc!A159)</f>
        <v/>
      </c>
      <c r="B159" s="282">
        <f>IF(itens_Remanesc!A159="","",itens_Remanesc!B159)</f>
        <v/>
      </c>
      <c r="C159" s="273">
        <f>IF(itens_Remanesc!A159="","",itens_Remanesc!C159)</f>
        <v/>
      </c>
      <c r="D159" s="273">
        <f>IF(OR(A159="",C159="",NOT(ISNUMBER($L$3))),"",ROUND(C159*$L$3,2))</f>
        <v/>
      </c>
      <c r="E159" s="273">
        <f>IF(OR(A159="",C159="",NOT(ISNUMBER($L$4))),"",ROUND(C159*$L$4,2))</f>
        <v/>
      </c>
      <c r="F159" s="273">
        <f>IF(OR(A159="",C159="",NOT(ISNUMBER($L$5))),"",ROUND(C159*$L$5,2))</f>
        <v/>
      </c>
      <c r="G159" s="273">
        <f>IF(OR(A159="",C159="",NOT(ISNUMBER($L$6))),"",ROUND(C159*$L$6,2))</f>
        <v/>
      </c>
      <c r="H159" s="342">
        <f>IF(OR(A159="",C159="",C159=0,NOT(ISNUMBER($L$6))),"",ROUND($L$6-1,4))</f>
        <v/>
      </c>
      <c r="I159" s="27" t="n"/>
      <c r="J159" s="27" t="n"/>
      <c r="K159" s="27" t="n"/>
      <c r="L159" s="27" t="n"/>
      <c r="M159" s="27" t="n"/>
      <c r="N159" s="27" t="n"/>
      <c r="O159" s="27" t="n"/>
    </row>
    <row r="160">
      <c r="A160" s="284">
        <f>IF(itens_Remanesc!A160="","",itens_Remanesc!A160)</f>
        <v/>
      </c>
      <c r="B160" s="282">
        <f>IF(itens_Remanesc!A160="","",itens_Remanesc!B160)</f>
        <v/>
      </c>
      <c r="C160" s="273">
        <f>IF(itens_Remanesc!A160="","",itens_Remanesc!C160)</f>
        <v/>
      </c>
      <c r="D160" s="273">
        <f>IF(OR(A160="",C160="",NOT(ISNUMBER($L$3))),"",ROUND(C160*$L$3,2))</f>
        <v/>
      </c>
      <c r="E160" s="273">
        <f>IF(OR(A160="",C160="",NOT(ISNUMBER($L$4))),"",ROUND(C160*$L$4,2))</f>
        <v/>
      </c>
      <c r="F160" s="273">
        <f>IF(OR(A160="",C160="",NOT(ISNUMBER($L$5))),"",ROUND(C160*$L$5,2))</f>
        <v/>
      </c>
      <c r="G160" s="273">
        <f>IF(OR(A160="",C160="",NOT(ISNUMBER($L$6))),"",ROUND(C160*$L$6,2))</f>
        <v/>
      </c>
      <c r="H160" s="342">
        <f>IF(OR(A160="",C160="",C160=0,NOT(ISNUMBER($L$6))),"",ROUND($L$6-1,4))</f>
        <v/>
      </c>
      <c r="I160" s="27" t="n"/>
      <c r="J160" s="27" t="n"/>
      <c r="K160" s="27" t="n"/>
      <c r="L160" s="27" t="n"/>
      <c r="M160" s="27" t="n"/>
      <c r="N160" s="27" t="n"/>
      <c r="O160" s="27" t="n"/>
    </row>
    <row r="161">
      <c r="A161" s="284">
        <f>IF(itens_Remanesc!A161="","",itens_Remanesc!A161)</f>
        <v/>
      </c>
      <c r="B161" s="282">
        <f>IF(itens_Remanesc!A161="","",itens_Remanesc!B161)</f>
        <v/>
      </c>
      <c r="C161" s="273">
        <f>IF(itens_Remanesc!A161="","",itens_Remanesc!C161)</f>
        <v/>
      </c>
      <c r="D161" s="273">
        <f>IF(OR(A161="",C161="",NOT(ISNUMBER($L$3))),"",ROUND(C161*$L$3,2))</f>
        <v/>
      </c>
      <c r="E161" s="273">
        <f>IF(OR(A161="",C161="",NOT(ISNUMBER($L$4))),"",ROUND(C161*$L$4,2))</f>
        <v/>
      </c>
      <c r="F161" s="273">
        <f>IF(OR(A161="",C161="",NOT(ISNUMBER($L$5))),"",ROUND(C161*$L$5,2))</f>
        <v/>
      </c>
      <c r="G161" s="273">
        <f>IF(OR(A161="",C161="",NOT(ISNUMBER($L$6))),"",ROUND(C161*$L$6,2))</f>
        <v/>
      </c>
      <c r="H161" s="342">
        <f>IF(OR(A161="",C161="",C161=0,NOT(ISNUMBER($L$6))),"",ROUND($L$6-1,4))</f>
        <v/>
      </c>
      <c r="I161" s="27" t="n"/>
      <c r="J161" s="27" t="n"/>
      <c r="K161" s="27" t="n"/>
      <c r="L161" s="27" t="n"/>
      <c r="M161" s="27" t="n"/>
      <c r="N161" s="27" t="n"/>
      <c r="O161" s="27" t="n"/>
    </row>
    <row r="162">
      <c r="A162" s="284">
        <f>IF(itens_Remanesc!A162="","",itens_Remanesc!A162)</f>
        <v/>
      </c>
      <c r="B162" s="282">
        <f>IF(itens_Remanesc!A162="","",itens_Remanesc!B162)</f>
        <v/>
      </c>
      <c r="C162" s="273">
        <f>IF(itens_Remanesc!A162="","",itens_Remanesc!C162)</f>
        <v/>
      </c>
      <c r="D162" s="273">
        <f>IF(OR(A162="",C162="",NOT(ISNUMBER($L$3))),"",ROUND(C162*$L$3,2))</f>
        <v/>
      </c>
      <c r="E162" s="273">
        <f>IF(OR(A162="",C162="",NOT(ISNUMBER($L$4))),"",ROUND(C162*$L$4,2))</f>
        <v/>
      </c>
      <c r="F162" s="273">
        <f>IF(OR(A162="",C162="",NOT(ISNUMBER($L$5))),"",ROUND(C162*$L$5,2))</f>
        <v/>
      </c>
      <c r="G162" s="273">
        <f>IF(OR(A162="",C162="",NOT(ISNUMBER($L$6))),"",ROUND(C162*$L$6,2))</f>
        <v/>
      </c>
      <c r="H162" s="342">
        <f>IF(OR(A162="",C162="",C162=0,NOT(ISNUMBER($L$6))),"",ROUND($L$6-1,4))</f>
        <v/>
      </c>
      <c r="I162" s="27" t="n"/>
      <c r="J162" s="27" t="n"/>
      <c r="K162" s="27" t="n"/>
      <c r="L162" s="27" t="n"/>
      <c r="M162" s="27" t="n"/>
      <c r="N162" s="27" t="n"/>
      <c r="O162" s="27" t="n"/>
    </row>
    <row r="163">
      <c r="A163" s="284">
        <f>IF(itens_Remanesc!A163="","",itens_Remanesc!A163)</f>
        <v/>
      </c>
      <c r="B163" s="282">
        <f>IF(itens_Remanesc!A163="","",itens_Remanesc!B163)</f>
        <v/>
      </c>
      <c r="C163" s="273">
        <f>IF(itens_Remanesc!A163="","",itens_Remanesc!C163)</f>
        <v/>
      </c>
      <c r="D163" s="273">
        <f>IF(OR(A163="",C163="",NOT(ISNUMBER($L$3))),"",ROUND(C163*$L$3,2))</f>
        <v/>
      </c>
      <c r="E163" s="273">
        <f>IF(OR(A163="",C163="",NOT(ISNUMBER($L$4))),"",ROUND(C163*$L$4,2))</f>
        <v/>
      </c>
      <c r="F163" s="273">
        <f>IF(OR(A163="",C163="",NOT(ISNUMBER($L$5))),"",ROUND(C163*$L$5,2))</f>
        <v/>
      </c>
      <c r="G163" s="273">
        <f>IF(OR(A163="",C163="",NOT(ISNUMBER($L$6))),"",ROUND(C163*$L$6,2))</f>
        <v/>
      </c>
      <c r="H163" s="342">
        <f>IF(OR(A163="",C163="",C163=0,NOT(ISNUMBER($L$6))),"",ROUND($L$6-1,4))</f>
        <v/>
      </c>
      <c r="I163" s="27" t="n"/>
      <c r="J163" s="27" t="n"/>
      <c r="K163" s="27" t="n"/>
      <c r="L163" s="27" t="n"/>
      <c r="M163" s="27" t="n"/>
      <c r="N163" s="27" t="n"/>
      <c r="O163" s="27" t="n"/>
    </row>
    <row r="164">
      <c r="A164" s="284">
        <f>IF(itens_Remanesc!A164="","",itens_Remanesc!A164)</f>
        <v/>
      </c>
      <c r="B164" s="282">
        <f>IF(itens_Remanesc!A164="","",itens_Remanesc!B164)</f>
        <v/>
      </c>
      <c r="C164" s="273">
        <f>IF(itens_Remanesc!A164="","",itens_Remanesc!C164)</f>
        <v/>
      </c>
      <c r="D164" s="273">
        <f>IF(OR(A164="",C164="",NOT(ISNUMBER($L$3))),"",ROUND(C164*$L$3,2))</f>
        <v/>
      </c>
      <c r="E164" s="273">
        <f>IF(OR(A164="",C164="",NOT(ISNUMBER($L$4))),"",ROUND(C164*$L$4,2))</f>
        <v/>
      </c>
      <c r="F164" s="273">
        <f>IF(OR(A164="",C164="",NOT(ISNUMBER($L$5))),"",ROUND(C164*$L$5,2))</f>
        <v/>
      </c>
      <c r="G164" s="273">
        <f>IF(OR(A164="",C164="",NOT(ISNUMBER($L$6))),"",ROUND(C164*$L$6,2))</f>
        <v/>
      </c>
      <c r="H164" s="342">
        <f>IF(OR(A164="",C164="",C164=0,NOT(ISNUMBER($L$6))),"",ROUND($L$6-1,4))</f>
        <v/>
      </c>
      <c r="I164" s="27" t="n"/>
      <c r="J164" s="27" t="n"/>
      <c r="K164" s="27" t="n"/>
      <c r="L164" s="27" t="n"/>
      <c r="M164" s="27" t="n"/>
      <c r="N164" s="27" t="n"/>
      <c r="O164" s="27" t="n"/>
    </row>
    <row r="165">
      <c r="A165" s="284">
        <f>IF(itens_Remanesc!A165="","",itens_Remanesc!A165)</f>
        <v/>
      </c>
      <c r="B165" s="282">
        <f>IF(itens_Remanesc!A165="","",itens_Remanesc!B165)</f>
        <v/>
      </c>
      <c r="C165" s="273">
        <f>IF(itens_Remanesc!A165="","",itens_Remanesc!C165)</f>
        <v/>
      </c>
      <c r="D165" s="273">
        <f>IF(OR(A165="",C165="",NOT(ISNUMBER($L$3))),"",ROUND(C165*$L$3,2))</f>
        <v/>
      </c>
      <c r="E165" s="273">
        <f>IF(OR(A165="",C165="",NOT(ISNUMBER($L$4))),"",ROUND(C165*$L$4,2))</f>
        <v/>
      </c>
      <c r="F165" s="273">
        <f>IF(OR(A165="",C165="",NOT(ISNUMBER($L$5))),"",ROUND(C165*$L$5,2))</f>
        <v/>
      </c>
      <c r="G165" s="273">
        <f>IF(OR(A165="",C165="",NOT(ISNUMBER($L$6))),"",ROUND(C165*$L$6,2))</f>
        <v/>
      </c>
      <c r="H165" s="342">
        <f>IF(OR(A165="",C165="",C165=0,NOT(ISNUMBER($L$6))),"",ROUND($L$6-1,4))</f>
        <v/>
      </c>
      <c r="I165" s="27" t="n"/>
      <c r="J165" s="27" t="n"/>
      <c r="K165" s="27" t="n"/>
      <c r="L165" s="27" t="n"/>
      <c r="M165" s="27" t="n"/>
      <c r="N165" s="27" t="n"/>
      <c r="O165" s="27" t="n"/>
    </row>
    <row r="166">
      <c r="A166" s="284">
        <f>IF(itens_Remanesc!A166="","",itens_Remanesc!A166)</f>
        <v/>
      </c>
      <c r="B166" s="282">
        <f>IF(itens_Remanesc!A166="","",itens_Remanesc!B166)</f>
        <v/>
      </c>
      <c r="C166" s="273">
        <f>IF(itens_Remanesc!A166="","",itens_Remanesc!C166)</f>
        <v/>
      </c>
      <c r="D166" s="273">
        <f>IF(OR(A166="",C166="",NOT(ISNUMBER($L$3))),"",ROUND(C166*$L$3,2))</f>
        <v/>
      </c>
      <c r="E166" s="273">
        <f>IF(OR(A166="",C166="",NOT(ISNUMBER($L$4))),"",ROUND(C166*$L$4,2))</f>
        <v/>
      </c>
      <c r="F166" s="273">
        <f>IF(OR(A166="",C166="",NOT(ISNUMBER($L$5))),"",ROUND(C166*$L$5,2))</f>
        <v/>
      </c>
      <c r="G166" s="273">
        <f>IF(OR(A166="",C166="",NOT(ISNUMBER($L$6))),"",ROUND(C166*$L$6,2))</f>
        <v/>
      </c>
      <c r="H166" s="342">
        <f>IF(OR(A166="",C166="",C166=0,NOT(ISNUMBER($L$6))),"",ROUND($L$6-1,4))</f>
        <v/>
      </c>
      <c r="I166" s="27" t="n"/>
      <c r="J166" s="27" t="n"/>
      <c r="K166" s="27" t="n"/>
      <c r="L166" s="27" t="n"/>
      <c r="M166" s="27" t="n"/>
      <c r="N166" s="27" t="n"/>
      <c r="O166" s="27" t="n"/>
    </row>
    <row r="167">
      <c r="A167" s="284">
        <f>IF(itens_Remanesc!A167="","",itens_Remanesc!A167)</f>
        <v/>
      </c>
      <c r="B167" s="282">
        <f>IF(itens_Remanesc!A167="","",itens_Remanesc!B167)</f>
        <v/>
      </c>
      <c r="C167" s="273">
        <f>IF(itens_Remanesc!A167="","",itens_Remanesc!C167)</f>
        <v/>
      </c>
      <c r="D167" s="273">
        <f>IF(OR(A167="",C167="",NOT(ISNUMBER($L$3))),"",ROUND(C167*$L$3,2))</f>
        <v/>
      </c>
      <c r="E167" s="273">
        <f>IF(OR(A167="",C167="",NOT(ISNUMBER($L$4))),"",ROUND(C167*$L$4,2))</f>
        <v/>
      </c>
      <c r="F167" s="273">
        <f>IF(OR(A167="",C167="",NOT(ISNUMBER($L$5))),"",ROUND(C167*$L$5,2))</f>
        <v/>
      </c>
      <c r="G167" s="273">
        <f>IF(OR(A167="",C167="",NOT(ISNUMBER($L$6))),"",ROUND(C167*$L$6,2))</f>
        <v/>
      </c>
      <c r="H167" s="342">
        <f>IF(OR(A167="",C167="",C167=0,NOT(ISNUMBER($L$6))),"",ROUND($L$6-1,4))</f>
        <v/>
      </c>
      <c r="I167" s="27" t="n"/>
      <c r="J167" s="27" t="n"/>
      <c r="K167" s="27" t="n"/>
      <c r="L167" s="27" t="n"/>
      <c r="M167" s="27" t="n"/>
      <c r="N167" s="27" t="n"/>
      <c r="O167" s="27" t="n"/>
    </row>
    <row r="168">
      <c r="A168" s="284">
        <f>IF(itens_Remanesc!A168="","",itens_Remanesc!A168)</f>
        <v/>
      </c>
      <c r="B168" s="282">
        <f>IF(itens_Remanesc!A168="","",itens_Remanesc!B168)</f>
        <v/>
      </c>
      <c r="C168" s="273">
        <f>IF(itens_Remanesc!A168="","",itens_Remanesc!C168)</f>
        <v/>
      </c>
      <c r="D168" s="273">
        <f>IF(OR(A168="",C168="",NOT(ISNUMBER($L$3))),"",ROUND(C168*$L$3,2))</f>
        <v/>
      </c>
      <c r="E168" s="273">
        <f>IF(OR(A168="",C168="",NOT(ISNUMBER($L$4))),"",ROUND(C168*$L$4,2))</f>
        <v/>
      </c>
      <c r="F168" s="273">
        <f>IF(OR(A168="",C168="",NOT(ISNUMBER($L$5))),"",ROUND(C168*$L$5,2))</f>
        <v/>
      </c>
      <c r="G168" s="273">
        <f>IF(OR(A168="",C168="",NOT(ISNUMBER($L$6))),"",ROUND(C168*$L$6,2))</f>
        <v/>
      </c>
      <c r="H168" s="342">
        <f>IF(OR(A168="",C168="",C168=0,NOT(ISNUMBER($L$6))),"",ROUND($L$6-1,4))</f>
        <v/>
      </c>
      <c r="I168" s="27" t="n"/>
      <c r="J168" s="27" t="n"/>
      <c r="K168" s="27" t="n"/>
      <c r="L168" s="27" t="n"/>
      <c r="M168" s="27" t="n"/>
      <c r="N168" s="27" t="n"/>
      <c r="O168" s="27" t="n"/>
    </row>
    <row r="169">
      <c r="A169" s="284">
        <f>IF(itens_Remanesc!A169="","",itens_Remanesc!A169)</f>
        <v/>
      </c>
      <c r="B169" s="282">
        <f>IF(itens_Remanesc!A169="","",itens_Remanesc!B169)</f>
        <v/>
      </c>
      <c r="C169" s="273">
        <f>IF(itens_Remanesc!A169="","",itens_Remanesc!C169)</f>
        <v/>
      </c>
      <c r="D169" s="273">
        <f>IF(OR(A169="",C169="",NOT(ISNUMBER($L$3))),"",ROUND(C169*$L$3,2))</f>
        <v/>
      </c>
      <c r="E169" s="273">
        <f>IF(OR(A169="",C169="",NOT(ISNUMBER($L$4))),"",ROUND(C169*$L$4,2))</f>
        <v/>
      </c>
      <c r="F169" s="273">
        <f>IF(OR(A169="",C169="",NOT(ISNUMBER($L$5))),"",ROUND(C169*$L$5,2))</f>
        <v/>
      </c>
      <c r="G169" s="273">
        <f>IF(OR(A169="",C169="",NOT(ISNUMBER($L$6))),"",ROUND(C169*$L$6,2))</f>
        <v/>
      </c>
      <c r="H169" s="342">
        <f>IF(OR(A169="",C169="",C169=0,NOT(ISNUMBER($L$6))),"",ROUND($L$6-1,4))</f>
        <v/>
      </c>
      <c r="I169" s="27" t="n"/>
      <c r="J169" s="27" t="n"/>
      <c r="K169" s="27" t="n"/>
      <c r="L169" s="27" t="n"/>
      <c r="M169" s="27" t="n"/>
      <c r="N169" s="27" t="n"/>
      <c r="O169" s="27" t="n"/>
    </row>
    <row r="170">
      <c r="A170" s="284">
        <f>IF(itens_Remanesc!A170="","",itens_Remanesc!A170)</f>
        <v/>
      </c>
      <c r="B170" s="282">
        <f>IF(itens_Remanesc!A170="","",itens_Remanesc!B170)</f>
        <v/>
      </c>
      <c r="C170" s="273">
        <f>IF(itens_Remanesc!A170="","",itens_Remanesc!C170)</f>
        <v/>
      </c>
      <c r="D170" s="273">
        <f>IF(OR(A170="",C170="",NOT(ISNUMBER($L$3))),"",ROUND(C170*$L$3,2))</f>
        <v/>
      </c>
      <c r="E170" s="273">
        <f>IF(OR(A170="",C170="",NOT(ISNUMBER($L$4))),"",ROUND(C170*$L$4,2))</f>
        <v/>
      </c>
      <c r="F170" s="273">
        <f>IF(OR(A170="",C170="",NOT(ISNUMBER($L$5))),"",ROUND(C170*$L$5,2))</f>
        <v/>
      </c>
      <c r="G170" s="273">
        <f>IF(OR(A170="",C170="",NOT(ISNUMBER($L$6))),"",ROUND(C170*$L$6,2))</f>
        <v/>
      </c>
      <c r="H170" s="342">
        <f>IF(OR(A170="",C170="",C170=0,NOT(ISNUMBER($L$6))),"",ROUND($L$6-1,4))</f>
        <v/>
      </c>
      <c r="I170" s="27" t="n"/>
      <c r="J170" s="27" t="n"/>
      <c r="K170" s="27" t="n"/>
      <c r="L170" s="27" t="n"/>
      <c r="M170" s="27" t="n"/>
      <c r="N170" s="27" t="n"/>
      <c r="O170" s="27" t="n"/>
    </row>
    <row r="171">
      <c r="A171" s="284">
        <f>IF(itens_Remanesc!A171="","",itens_Remanesc!A171)</f>
        <v/>
      </c>
      <c r="B171" s="282">
        <f>IF(itens_Remanesc!A171="","",itens_Remanesc!B171)</f>
        <v/>
      </c>
      <c r="C171" s="273">
        <f>IF(itens_Remanesc!A171="","",itens_Remanesc!C171)</f>
        <v/>
      </c>
      <c r="D171" s="273">
        <f>IF(OR(A171="",C171="",NOT(ISNUMBER($L$3))),"",ROUND(C171*$L$3,2))</f>
        <v/>
      </c>
      <c r="E171" s="273">
        <f>IF(OR(A171="",C171="",NOT(ISNUMBER($L$4))),"",ROUND(C171*$L$4,2))</f>
        <v/>
      </c>
      <c r="F171" s="273">
        <f>IF(OR(A171="",C171="",NOT(ISNUMBER($L$5))),"",ROUND(C171*$L$5,2))</f>
        <v/>
      </c>
      <c r="G171" s="273">
        <f>IF(OR(A171="",C171="",NOT(ISNUMBER($L$6))),"",ROUND(C171*$L$6,2))</f>
        <v/>
      </c>
      <c r="H171" s="342">
        <f>IF(OR(A171="",C171="",C171=0,NOT(ISNUMBER($L$6))),"",ROUND($L$6-1,4))</f>
        <v/>
      </c>
      <c r="I171" s="27" t="n"/>
      <c r="J171" s="27" t="n"/>
      <c r="K171" s="27" t="n"/>
      <c r="L171" s="27" t="n"/>
      <c r="M171" s="27" t="n"/>
      <c r="N171" s="27" t="n"/>
      <c r="O171" s="27" t="n"/>
    </row>
    <row r="172">
      <c r="A172" s="284">
        <f>IF(itens_Remanesc!A172="","",itens_Remanesc!A172)</f>
        <v/>
      </c>
      <c r="B172" s="282">
        <f>IF(itens_Remanesc!A172="","",itens_Remanesc!B172)</f>
        <v/>
      </c>
      <c r="C172" s="273">
        <f>IF(itens_Remanesc!A172="","",itens_Remanesc!C172)</f>
        <v/>
      </c>
      <c r="D172" s="273">
        <f>IF(OR(A172="",C172="",NOT(ISNUMBER($L$3))),"",ROUND(C172*$L$3,2))</f>
        <v/>
      </c>
      <c r="E172" s="273">
        <f>IF(OR(A172="",C172="",NOT(ISNUMBER($L$4))),"",ROUND(C172*$L$4,2))</f>
        <v/>
      </c>
      <c r="F172" s="273">
        <f>IF(OR(A172="",C172="",NOT(ISNUMBER($L$5))),"",ROUND(C172*$L$5,2))</f>
        <v/>
      </c>
      <c r="G172" s="273">
        <f>IF(OR(A172="",C172="",NOT(ISNUMBER($L$6))),"",ROUND(C172*$L$6,2))</f>
        <v/>
      </c>
      <c r="H172" s="342">
        <f>IF(OR(A172="",C172="",C172=0,NOT(ISNUMBER($L$6))),"",ROUND($L$6-1,4))</f>
        <v/>
      </c>
      <c r="I172" s="27" t="n"/>
      <c r="J172" s="27" t="n"/>
      <c r="K172" s="27" t="n"/>
      <c r="L172" s="27" t="n"/>
      <c r="M172" s="27" t="n"/>
      <c r="N172" s="27" t="n"/>
      <c r="O172" s="27" t="n"/>
    </row>
    <row r="173">
      <c r="A173" s="284">
        <f>IF(itens_Remanesc!A173="","",itens_Remanesc!A173)</f>
        <v/>
      </c>
      <c r="B173" s="282">
        <f>IF(itens_Remanesc!A173="","",itens_Remanesc!B173)</f>
        <v/>
      </c>
      <c r="C173" s="273">
        <f>IF(itens_Remanesc!A173="","",itens_Remanesc!C173)</f>
        <v/>
      </c>
      <c r="D173" s="273">
        <f>IF(OR(A173="",C173="",NOT(ISNUMBER($L$3))),"",ROUND(C173*$L$3,2))</f>
        <v/>
      </c>
      <c r="E173" s="273">
        <f>IF(OR(A173="",C173="",NOT(ISNUMBER($L$4))),"",ROUND(C173*$L$4,2))</f>
        <v/>
      </c>
      <c r="F173" s="273">
        <f>IF(OR(A173="",C173="",NOT(ISNUMBER($L$5))),"",ROUND(C173*$L$5,2))</f>
        <v/>
      </c>
      <c r="G173" s="273">
        <f>IF(OR(A173="",C173="",NOT(ISNUMBER($L$6))),"",ROUND(C173*$L$6,2))</f>
        <v/>
      </c>
      <c r="H173" s="342">
        <f>IF(OR(A173="",C173="",C173=0,NOT(ISNUMBER($L$6))),"",ROUND($L$6-1,4))</f>
        <v/>
      </c>
      <c r="I173" s="27" t="n"/>
      <c r="J173" s="27" t="n"/>
      <c r="K173" s="27" t="n"/>
      <c r="L173" s="27" t="n"/>
      <c r="M173" s="27" t="n"/>
      <c r="N173" s="27" t="n"/>
      <c r="O173" s="27" t="n"/>
    </row>
    <row r="174">
      <c r="A174" s="284">
        <f>IF(itens_Remanesc!A174="","",itens_Remanesc!A174)</f>
        <v/>
      </c>
      <c r="B174" s="282">
        <f>IF(itens_Remanesc!A174="","",itens_Remanesc!B174)</f>
        <v/>
      </c>
      <c r="C174" s="273">
        <f>IF(itens_Remanesc!A174="","",itens_Remanesc!C174)</f>
        <v/>
      </c>
      <c r="D174" s="273">
        <f>IF(OR(A174="",C174="",NOT(ISNUMBER($L$3))),"",ROUND(C174*$L$3,2))</f>
        <v/>
      </c>
      <c r="E174" s="273">
        <f>IF(OR(A174="",C174="",NOT(ISNUMBER($L$4))),"",ROUND(C174*$L$4,2))</f>
        <v/>
      </c>
      <c r="F174" s="273">
        <f>IF(OR(A174="",C174="",NOT(ISNUMBER($L$5))),"",ROUND(C174*$L$5,2))</f>
        <v/>
      </c>
      <c r="G174" s="273">
        <f>IF(OR(A174="",C174="",NOT(ISNUMBER($L$6))),"",ROUND(C174*$L$6,2))</f>
        <v/>
      </c>
      <c r="H174" s="342">
        <f>IF(OR(A174="",C174="",C174=0,NOT(ISNUMBER($L$6))),"",ROUND($L$6-1,4))</f>
        <v/>
      </c>
      <c r="I174" s="27" t="n"/>
      <c r="J174" s="27" t="n"/>
      <c r="K174" s="27" t="n"/>
      <c r="L174" s="27" t="n"/>
      <c r="M174" s="27" t="n"/>
      <c r="N174" s="27" t="n"/>
      <c r="O174" s="27" t="n"/>
    </row>
    <row r="175">
      <c r="A175" s="284">
        <f>IF(itens_Remanesc!A175="","",itens_Remanesc!A175)</f>
        <v/>
      </c>
      <c r="B175" s="282">
        <f>IF(itens_Remanesc!A175="","",itens_Remanesc!B175)</f>
        <v/>
      </c>
      <c r="C175" s="273">
        <f>IF(itens_Remanesc!A175="","",itens_Remanesc!C175)</f>
        <v/>
      </c>
      <c r="D175" s="273">
        <f>IF(OR(A175="",C175="",NOT(ISNUMBER($L$3))),"",ROUND(C175*$L$3,2))</f>
        <v/>
      </c>
      <c r="E175" s="273">
        <f>IF(OR(A175="",C175="",NOT(ISNUMBER($L$4))),"",ROUND(C175*$L$4,2))</f>
        <v/>
      </c>
      <c r="F175" s="273">
        <f>IF(OR(A175="",C175="",NOT(ISNUMBER($L$5))),"",ROUND(C175*$L$5,2))</f>
        <v/>
      </c>
      <c r="G175" s="273">
        <f>IF(OR(A175="",C175="",NOT(ISNUMBER($L$6))),"",ROUND(C175*$L$6,2))</f>
        <v/>
      </c>
      <c r="H175" s="342">
        <f>IF(OR(A175="",C175="",C175=0,NOT(ISNUMBER($L$6))),"",ROUND($L$6-1,4))</f>
        <v/>
      </c>
      <c r="I175" s="27" t="n"/>
      <c r="J175" s="27" t="n"/>
      <c r="K175" s="27" t="n"/>
      <c r="L175" s="27" t="n"/>
      <c r="M175" s="27" t="n"/>
      <c r="N175" s="27" t="n"/>
      <c r="O175" s="27" t="n"/>
    </row>
    <row r="176">
      <c r="A176" s="284">
        <f>IF(itens_Remanesc!A176="","",itens_Remanesc!A176)</f>
        <v/>
      </c>
      <c r="B176" s="282">
        <f>IF(itens_Remanesc!A176="","",itens_Remanesc!B176)</f>
        <v/>
      </c>
      <c r="C176" s="273">
        <f>IF(itens_Remanesc!A176="","",itens_Remanesc!C176)</f>
        <v/>
      </c>
      <c r="D176" s="273">
        <f>IF(OR(A176="",C176="",NOT(ISNUMBER($L$3))),"",ROUND(C176*$L$3,2))</f>
        <v/>
      </c>
      <c r="E176" s="273">
        <f>IF(OR(A176="",C176="",NOT(ISNUMBER($L$4))),"",ROUND(C176*$L$4,2))</f>
        <v/>
      </c>
      <c r="F176" s="273">
        <f>IF(OR(A176="",C176="",NOT(ISNUMBER($L$5))),"",ROUND(C176*$L$5,2))</f>
        <v/>
      </c>
      <c r="G176" s="273">
        <f>IF(OR(A176="",C176="",NOT(ISNUMBER($L$6))),"",ROUND(C176*$L$6,2))</f>
        <v/>
      </c>
      <c r="H176" s="342">
        <f>IF(OR(A176="",C176="",C176=0,NOT(ISNUMBER($L$6))),"",ROUND($L$6-1,4))</f>
        <v/>
      </c>
      <c r="I176" s="27" t="n"/>
      <c r="J176" s="27" t="n"/>
      <c r="K176" s="27" t="n"/>
      <c r="L176" s="27" t="n"/>
      <c r="M176" s="27" t="n"/>
      <c r="N176" s="27" t="n"/>
      <c r="O176" s="27" t="n"/>
    </row>
    <row r="177">
      <c r="A177" s="284">
        <f>IF(itens_Remanesc!A177="","",itens_Remanesc!A177)</f>
        <v/>
      </c>
      <c r="B177" s="282">
        <f>IF(itens_Remanesc!A177="","",itens_Remanesc!B177)</f>
        <v/>
      </c>
      <c r="C177" s="273">
        <f>IF(itens_Remanesc!A177="","",itens_Remanesc!C177)</f>
        <v/>
      </c>
      <c r="D177" s="273">
        <f>IF(OR(A177="",C177="",NOT(ISNUMBER($L$3))),"",ROUND(C177*$L$3,2))</f>
        <v/>
      </c>
      <c r="E177" s="273">
        <f>IF(OR(A177="",C177="",NOT(ISNUMBER($L$4))),"",ROUND(C177*$L$4,2))</f>
        <v/>
      </c>
      <c r="F177" s="273">
        <f>IF(OR(A177="",C177="",NOT(ISNUMBER($L$5))),"",ROUND(C177*$L$5,2))</f>
        <v/>
      </c>
      <c r="G177" s="273">
        <f>IF(OR(A177="",C177="",NOT(ISNUMBER($L$6))),"",ROUND(C177*$L$6,2))</f>
        <v/>
      </c>
      <c r="H177" s="342">
        <f>IF(OR(A177="",C177="",C177=0,NOT(ISNUMBER($L$6))),"",ROUND($L$6-1,4))</f>
        <v/>
      </c>
      <c r="I177" s="27" t="n"/>
      <c r="J177" s="27" t="n"/>
      <c r="K177" s="27" t="n"/>
      <c r="L177" s="27" t="n"/>
      <c r="M177" s="27" t="n"/>
      <c r="N177" s="27" t="n"/>
      <c r="O177" s="27" t="n"/>
    </row>
    <row r="178">
      <c r="A178" s="284">
        <f>IF(itens_Remanesc!A178="","",itens_Remanesc!A178)</f>
        <v/>
      </c>
      <c r="B178" s="282">
        <f>IF(itens_Remanesc!A178="","",itens_Remanesc!B178)</f>
        <v/>
      </c>
      <c r="C178" s="273">
        <f>IF(itens_Remanesc!A178="","",itens_Remanesc!C178)</f>
        <v/>
      </c>
      <c r="D178" s="273">
        <f>IF(OR(A178="",C178="",NOT(ISNUMBER($L$3))),"",ROUND(C178*$L$3,2))</f>
        <v/>
      </c>
      <c r="E178" s="273">
        <f>IF(OR(A178="",C178="",NOT(ISNUMBER($L$4))),"",ROUND(C178*$L$4,2))</f>
        <v/>
      </c>
      <c r="F178" s="273">
        <f>IF(OR(A178="",C178="",NOT(ISNUMBER($L$5))),"",ROUND(C178*$L$5,2))</f>
        <v/>
      </c>
      <c r="G178" s="273">
        <f>IF(OR(A178="",C178="",NOT(ISNUMBER($L$6))),"",ROUND(C178*$L$6,2))</f>
        <v/>
      </c>
      <c r="H178" s="342">
        <f>IF(OR(A178="",C178="",C178=0,NOT(ISNUMBER($L$6))),"",ROUND($L$6-1,4))</f>
        <v/>
      </c>
      <c r="I178" s="27" t="n"/>
      <c r="J178" s="27" t="n"/>
      <c r="K178" s="27" t="n"/>
      <c r="L178" s="27" t="n"/>
      <c r="M178" s="27" t="n"/>
      <c r="N178" s="27" t="n"/>
      <c r="O178" s="27" t="n"/>
    </row>
    <row r="179">
      <c r="A179" s="284">
        <f>IF(itens_Remanesc!A179="","",itens_Remanesc!A179)</f>
        <v/>
      </c>
      <c r="B179" s="282">
        <f>IF(itens_Remanesc!A179="","",itens_Remanesc!B179)</f>
        <v/>
      </c>
      <c r="C179" s="273">
        <f>IF(itens_Remanesc!A179="","",itens_Remanesc!C179)</f>
        <v/>
      </c>
      <c r="D179" s="273">
        <f>IF(OR(A179="",C179="",NOT(ISNUMBER($L$3))),"",ROUND(C179*$L$3,2))</f>
        <v/>
      </c>
      <c r="E179" s="273">
        <f>IF(OR(A179="",C179="",NOT(ISNUMBER($L$4))),"",ROUND(C179*$L$4,2))</f>
        <v/>
      </c>
      <c r="F179" s="273">
        <f>IF(OR(A179="",C179="",NOT(ISNUMBER($L$5))),"",ROUND(C179*$L$5,2))</f>
        <v/>
      </c>
      <c r="G179" s="273">
        <f>IF(OR(A179="",C179="",NOT(ISNUMBER($L$6))),"",ROUND(C179*$L$6,2))</f>
        <v/>
      </c>
      <c r="H179" s="342">
        <f>IF(OR(A179="",C179="",C179=0,NOT(ISNUMBER($L$6))),"",ROUND($L$6-1,4))</f>
        <v/>
      </c>
      <c r="I179" s="27" t="n"/>
      <c r="J179" s="27" t="n"/>
      <c r="K179" s="27" t="n"/>
      <c r="L179" s="27" t="n"/>
      <c r="M179" s="27" t="n"/>
      <c r="N179" s="27" t="n"/>
      <c r="O179" s="27" t="n"/>
    </row>
    <row r="180">
      <c r="A180" s="284">
        <f>IF(itens_Remanesc!A180="","",itens_Remanesc!A180)</f>
        <v/>
      </c>
      <c r="B180" s="282">
        <f>IF(itens_Remanesc!A180="","",itens_Remanesc!B180)</f>
        <v/>
      </c>
      <c r="C180" s="273">
        <f>IF(itens_Remanesc!A180="","",itens_Remanesc!C180)</f>
        <v/>
      </c>
      <c r="D180" s="273">
        <f>IF(OR(A180="",C180="",NOT(ISNUMBER($L$3))),"",ROUND(C180*$L$3,2))</f>
        <v/>
      </c>
      <c r="E180" s="273">
        <f>IF(OR(A180="",C180="",NOT(ISNUMBER($L$4))),"",ROUND(C180*$L$4,2))</f>
        <v/>
      </c>
      <c r="F180" s="273">
        <f>IF(OR(A180="",C180="",NOT(ISNUMBER($L$5))),"",ROUND(C180*$L$5,2))</f>
        <v/>
      </c>
      <c r="G180" s="273">
        <f>IF(OR(A180="",C180="",NOT(ISNUMBER($L$6))),"",ROUND(C180*$L$6,2))</f>
        <v/>
      </c>
      <c r="H180" s="342">
        <f>IF(OR(A180="",C180="",C180=0,NOT(ISNUMBER($L$6))),"",ROUND($L$6-1,4))</f>
        <v/>
      </c>
      <c r="I180" s="27" t="n"/>
      <c r="J180" s="27" t="n"/>
      <c r="K180" s="27" t="n"/>
      <c r="L180" s="27" t="n"/>
      <c r="M180" s="27" t="n"/>
      <c r="N180" s="27" t="n"/>
      <c r="O180" s="27" t="n"/>
    </row>
    <row r="181">
      <c r="A181" s="284">
        <f>IF(itens_Remanesc!A181="","",itens_Remanesc!A181)</f>
        <v/>
      </c>
      <c r="B181" s="282">
        <f>IF(itens_Remanesc!A181="","",itens_Remanesc!B181)</f>
        <v/>
      </c>
      <c r="C181" s="273">
        <f>IF(itens_Remanesc!A181="","",itens_Remanesc!C181)</f>
        <v/>
      </c>
      <c r="D181" s="273">
        <f>IF(OR(A181="",C181="",NOT(ISNUMBER($L$3))),"",ROUND(C181*$L$3,2))</f>
        <v/>
      </c>
      <c r="E181" s="273">
        <f>IF(OR(A181="",C181="",NOT(ISNUMBER($L$4))),"",ROUND(C181*$L$4,2))</f>
        <v/>
      </c>
      <c r="F181" s="273">
        <f>IF(OR(A181="",C181="",NOT(ISNUMBER($L$5))),"",ROUND(C181*$L$5,2))</f>
        <v/>
      </c>
      <c r="G181" s="273">
        <f>IF(OR(A181="",C181="",NOT(ISNUMBER($L$6))),"",ROUND(C181*$L$6,2))</f>
        <v/>
      </c>
      <c r="H181" s="342">
        <f>IF(OR(A181="",C181="",C181=0,NOT(ISNUMBER($L$6))),"",ROUND($L$6-1,4))</f>
        <v/>
      </c>
      <c r="I181" s="27" t="n"/>
      <c r="J181" s="27" t="n"/>
      <c r="K181" s="27" t="n"/>
      <c r="L181" s="27" t="n"/>
      <c r="M181" s="27" t="n"/>
      <c r="N181" s="27" t="n"/>
      <c r="O181" s="27" t="n"/>
    </row>
    <row r="182">
      <c r="A182" s="284">
        <f>IF(itens_Remanesc!A182="","",itens_Remanesc!A182)</f>
        <v/>
      </c>
      <c r="B182" s="282">
        <f>IF(itens_Remanesc!A182="","",itens_Remanesc!B182)</f>
        <v/>
      </c>
      <c r="C182" s="273">
        <f>IF(itens_Remanesc!A182="","",itens_Remanesc!C182)</f>
        <v/>
      </c>
      <c r="D182" s="273">
        <f>IF(OR(A182="",C182="",NOT(ISNUMBER($L$3))),"",ROUND(C182*$L$3,2))</f>
        <v/>
      </c>
      <c r="E182" s="273">
        <f>IF(OR(A182="",C182="",NOT(ISNUMBER($L$4))),"",ROUND(C182*$L$4,2))</f>
        <v/>
      </c>
      <c r="F182" s="273">
        <f>IF(OR(A182="",C182="",NOT(ISNUMBER($L$5))),"",ROUND(C182*$L$5,2))</f>
        <v/>
      </c>
      <c r="G182" s="273">
        <f>IF(OR(A182="",C182="",NOT(ISNUMBER($L$6))),"",ROUND(C182*$L$6,2))</f>
        <v/>
      </c>
      <c r="H182" s="342">
        <f>IF(OR(A182="",C182="",C182=0,NOT(ISNUMBER($L$6))),"",ROUND($L$6-1,4))</f>
        <v/>
      </c>
      <c r="I182" s="27" t="n"/>
      <c r="J182" s="27" t="n"/>
      <c r="K182" s="27" t="n"/>
      <c r="L182" s="27" t="n"/>
      <c r="M182" s="27" t="n"/>
      <c r="N182" s="27" t="n"/>
      <c r="O182" s="27" t="n"/>
    </row>
    <row r="183">
      <c r="A183" s="284">
        <f>IF(itens_Remanesc!A183="","",itens_Remanesc!A183)</f>
        <v/>
      </c>
      <c r="B183" s="282">
        <f>IF(itens_Remanesc!A183="","",itens_Remanesc!B183)</f>
        <v/>
      </c>
      <c r="C183" s="273">
        <f>IF(itens_Remanesc!A183="","",itens_Remanesc!C183)</f>
        <v/>
      </c>
      <c r="D183" s="273">
        <f>IF(OR(A183="",C183="",NOT(ISNUMBER($L$3))),"",ROUND(C183*$L$3,2))</f>
        <v/>
      </c>
      <c r="E183" s="273">
        <f>IF(OR(A183="",C183="",NOT(ISNUMBER($L$4))),"",ROUND(C183*$L$4,2))</f>
        <v/>
      </c>
      <c r="F183" s="273">
        <f>IF(OR(A183="",C183="",NOT(ISNUMBER($L$5))),"",ROUND(C183*$L$5,2))</f>
        <v/>
      </c>
      <c r="G183" s="273">
        <f>IF(OR(A183="",C183="",NOT(ISNUMBER($L$6))),"",ROUND(C183*$L$6,2))</f>
        <v/>
      </c>
      <c r="H183" s="342">
        <f>IF(OR(A183="",C183="",C183=0,NOT(ISNUMBER($L$6))),"",ROUND($L$6-1,4))</f>
        <v/>
      </c>
      <c r="I183" s="27" t="n"/>
      <c r="J183" s="27" t="n"/>
      <c r="K183" s="27" t="n"/>
      <c r="L183" s="27" t="n"/>
      <c r="M183" s="27" t="n"/>
      <c r="N183" s="27" t="n"/>
      <c r="O183" s="27" t="n"/>
    </row>
    <row r="184">
      <c r="A184" s="284">
        <f>IF(itens_Remanesc!A184="","",itens_Remanesc!A184)</f>
        <v/>
      </c>
      <c r="B184" s="282">
        <f>IF(itens_Remanesc!A184="","",itens_Remanesc!B184)</f>
        <v/>
      </c>
      <c r="C184" s="273">
        <f>IF(itens_Remanesc!A184="","",itens_Remanesc!C184)</f>
        <v/>
      </c>
      <c r="D184" s="273">
        <f>IF(OR(A184="",C184="",NOT(ISNUMBER($L$3))),"",ROUND(C184*$L$3,2))</f>
        <v/>
      </c>
      <c r="E184" s="273">
        <f>IF(OR(A184="",C184="",NOT(ISNUMBER($L$4))),"",ROUND(C184*$L$4,2))</f>
        <v/>
      </c>
      <c r="F184" s="273">
        <f>IF(OR(A184="",C184="",NOT(ISNUMBER($L$5))),"",ROUND(C184*$L$5,2))</f>
        <v/>
      </c>
      <c r="G184" s="273">
        <f>IF(OR(A184="",C184="",NOT(ISNUMBER($L$6))),"",ROUND(C184*$L$6,2))</f>
        <v/>
      </c>
      <c r="H184" s="342">
        <f>IF(OR(A184="",C184="",C184=0,NOT(ISNUMBER($L$6))),"",ROUND($L$6-1,4))</f>
        <v/>
      </c>
      <c r="I184" s="27" t="n"/>
      <c r="J184" s="27" t="n"/>
      <c r="K184" s="27" t="n"/>
      <c r="L184" s="27" t="n"/>
      <c r="M184" s="27" t="n"/>
      <c r="N184" s="27" t="n"/>
      <c r="O184" s="27" t="n"/>
    </row>
    <row r="185">
      <c r="A185" s="284">
        <f>IF(itens_Remanesc!A185="","",itens_Remanesc!A185)</f>
        <v/>
      </c>
      <c r="B185" s="282">
        <f>IF(itens_Remanesc!A185="","",itens_Remanesc!B185)</f>
        <v/>
      </c>
      <c r="C185" s="273">
        <f>IF(itens_Remanesc!A185="","",itens_Remanesc!C185)</f>
        <v/>
      </c>
      <c r="D185" s="273">
        <f>IF(OR(A185="",C185="",NOT(ISNUMBER($L$3))),"",ROUND(C185*$L$3,2))</f>
        <v/>
      </c>
      <c r="E185" s="273">
        <f>IF(OR(A185="",C185="",NOT(ISNUMBER($L$4))),"",ROUND(C185*$L$4,2))</f>
        <v/>
      </c>
      <c r="F185" s="273">
        <f>IF(OR(A185="",C185="",NOT(ISNUMBER($L$5))),"",ROUND(C185*$L$5,2))</f>
        <v/>
      </c>
      <c r="G185" s="273">
        <f>IF(OR(A185="",C185="",NOT(ISNUMBER($L$6))),"",ROUND(C185*$L$6,2))</f>
        <v/>
      </c>
      <c r="H185" s="342">
        <f>IF(OR(A185="",C185="",C185=0,NOT(ISNUMBER($L$6))),"",ROUND($L$6-1,4))</f>
        <v/>
      </c>
      <c r="I185" s="27" t="n"/>
      <c r="J185" s="27" t="n"/>
      <c r="K185" s="27" t="n"/>
      <c r="L185" s="27" t="n"/>
      <c r="M185" s="27" t="n"/>
      <c r="N185" s="27" t="n"/>
      <c r="O185" s="27" t="n"/>
    </row>
    <row r="186">
      <c r="A186" s="284">
        <f>IF(itens_Remanesc!A186="","",itens_Remanesc!A186)</f>
        <v/>
      </c>
      <c r="B186" s="282">
        <f>IF(itens_Remanesc!A186="","",itens_Remanesc!B186)</f>
        <v/>
      </c>
      <c r="C186" s="273">
        <f>IF(itens_Remanesc!A186="","",itens_Remanesc!C186)</f>
        <v/>
      </c>
      <c r="D186" s="273">
        <f>IF(OR(A186="",C186="",NOT(ISNUMBER($L$3))),"",ROUND(C186*$L$3,2))</f>
        <v/>
      </c>
      <c r="E186" s="273">
        <f>IF(OR(A186="",C186="",NOT(ISNUMBER($L$4))),"",ROUND(C186*$L$4,2))</f>
        <v/>
      </c>
      <c r="F186" s="273">
        <f>IF(OR(A186="",C186="",NOT(ISNUMBER($L$5))),"",ROUND(C186*$L$5,2))</f>
        <v/>
      </c>
      <c r="G186" s="273">
        <f>IF(OR(A186="",C186="",NOT(ISNUMBER($L$6))),"",ROUND(C186*$L$6,2))</f>
        <v/>
      </c>
      <c r="H186" s="342">
        <f>IF(OR(A186="",C186="",C186=0,NOT(ISNUMBER($L$6))),"",ROUND($L$6-1,4))</f>
        <v/>
      </c>
      <c r="I186" s="27" t="n"/>
      <c r="J186" s="27" t="n"/>
      <c r="K186" s="27" t="n"/>
      <c r="L186" s="27" t="n"/>
      <c r="M186" s="27" t="n"/>
      <c r="N186" s="27" t="n"/>
      <c r="O186" s="27" t="n"/>
    </row>
    <row r="187">
      <c r="A187" s="284">
        <f>IF(itens_Remanesc!A187="","",itens_Remanesc!A187)</f>
        <v/>
      </c>
      <c r="B187" s="282">
        <f>IF(itens_Remanesc!A187="","",itens_Remanesc!B187)</f>
        <v/>
      </c>
      <c r="C187" s="273">
        <f>IF(itens_Remanesc!A187="","",itens_Remanesc!C187)</f>
        <v/>
      </c>
      <c r="D187" s="273">
        <f>IF(OR(A187="",C187="",NOT(ISNUMBER($L$3))),"",ROUND(C187*$L$3,2))</f>
        <v/>
      </c>
      <c r="E187" s="273">
        <f>IF(OR(A187="",C187="",NOT(ISNUMBER($L$4))),"",ROUND(C187*$L$4,2))</f>
        <v/>
      </c>
      <c r="F187" s="273">
        <f>IF(OR(A187="",C187="",NOT(ISNUMBER($L$5))),"",ROUND(C187*$L$5,2))</f>
        <v/>
      </c>
      <c r="G187" s="273">
        <f>IF(OR(A187="",C187="",NOT(ISNUMBER($L$6))),"",ROUND(C187*$L$6,2))</f>
        <v/>
      </c>
      <c r="H187" s="342">
        <f>IF(OR(A187="",C187="",C187=0,NOT(ISNUMBER($L$6))),"",ROUND($L$6-1,4))</f>
        <v/>
      </c>
      <c r="I187" s="27" t="n"/>
      <c r="J187" s="27" t="n"/>
      <c r="K187" s="27" t="n"/>
      <c r="L187" s="27" t="n"/>
      <c r="M187" s="27" t="n"/>
      <c r="N187" s="27" t="n"/>
      <c r="O187" s="27" t="n"/>
    </row>
    <row r="188">
      <c r="A188" s="284">
        <f>IF(itens_Remanesc!A188="","",itens_Remanesc!A188)</f>
        <v/>
      </c>
      <c r="B188" s="282">
        <f>IF(itens_Remanesc!A188="","",itens_Remanesc!B188)</f>
        <v/>
      </c>
      <c r="C188" s="273">
        <f>IF(itens_Remanesc!A188="","",itens_Remanesc!C188)</f>
        <v/>
      </c>
      <c r="D188" s="273">
        <f>IF(OR(A188="",C188="",NOT(ISNUMBER($L$3))),"",ROUND(C188*$L$3,2))</f>
        <v/>
      </c>
      <c r="E188" s="273">
        <f>IF(OR(A188="",C188="",NOT(ISNUMBER($L$4))),"",ROUND(C188*$L$4,2))</f>
        <v/>
      </c>
      <c r="F188" s="273">
        <f>IF(OR(A188="",C188="",NOT(ISNUMBER($L$5))),"",ROUND(C188*$L$5,2))</f>
        <v/>
      </c>
      <c r="G188" s="273">
        <f>IF(OR(A188="",C188="",NOT(ISNUMBER($L$6))),"",ROUND(C188*$L$6,2))</f>
        <v/>
      </c>
      <c r="H188" s="342">
        <f>IF(OR(A188="",C188="",C188=0,NOT(ISNUMBER($L$6))),"",ROUND($L$6-1,4))</f>
        <v/>
      </c>
      <c r="I188" s="27" t="n"/>
      <c r="J188" s="27" t="n"/>
      <c r="K188" s="27" t="n"/>
      <c r="L188" s="27" t="n"/>
      <c r="M188" s="27" t="n"/>
      <c r="N188" s="27" t="n"/>
      <c r="O188" s="27" t="n"/>
    </row>
    <row r="189">
      <c r="A189" s="284">
        <f>IF(itens_Remanesc!A189="","",itens_Remanesc!A189)</f>
        <v/>
      </c>
      <c r="B189" s="282">
        <f>IF(itens_Remanesc!A189="","",itens_Remanesc!B189)</f>
        <v/>
      </c>
      <c r="C189" s="273">
        <f>IF(itens_Remanesc!A189="","",itens_Remanesc!C189)</f>
        <v/>
      </c>
      <c r="D189" s="273">
        <f>IF(OR(A189="",C189="",NOT(ISNUMBER($L$3))),"",ROUND(C189*$L$3,2))</f>
        <v/>
      </c>
      <c r="E189" s="273">
        <f>IF(OR(A189="",C189="",NOT(ISNUMBER($L$4))),"",ROUND(C189*$L$4,2))</f>
        <v/>
      </c>
      <c r="F189" s="273">
        <f>IF(OR(A189="",C189="",NOT(ISNUMBER($L$5))),"",ROUND(C189*$L$5,2))</f>
        <v/>
      </c>
      <c r="G189" s="273">
        <f>IF(OR(A189="",C189="",NOT(ISNUMBER($L$6))),"",ROUND(C189*$L$6,2))</f>
        <v/>
      </c>
      <c r="H189" s="342">
        <f>IF(OR(A189="",C189="",C189=0,NOT(ISNUMBER($L$6))),"",ROUND($L$6-1,4))</f>
        <v/>
      </c>
      <c r="I189" s="27" t="n"/>
      <c r="J189" s="27" t="n"/>
      <c r="K189" s="27" t="n"/>
      <c r="L189" s="27" t="n"/>
      <c r="M189" s="27" t="n"/>
      <c r="N189" s="27" t="n"/>
      <c r="O189" s="27" t="n"/>
    </row>
    <row r="190">
      <c r="A190" s="284">
        <f>IF(itens_Remanesc!A190="","",itens_Remanesc!A190)</f>
        <v/>
      </c>
      <c r="B190" s="282">
        <f>IF(itens_Remanesc!A190="","",itens_Remanesc!B190)</f>
        <v/>
      </c>
      <c r="C190" s="273">
        <f>IF(itens_Remanesc!A190="","",itens_Remanesc!C190)</f>
        <v/>
      </c>
      <c r="D190" s="273">
        <f>IF(OR(A190="",C190="",NOT(ISNUMBER($L$3))),"",ROUND(C190*$L$3,2))</f>
        <v/>
      </c>
      <c r="E190" s="273">
        <f>IF(OR(A190="",C190="",NOT(ISNUMBER($L$4))),"",ROUND(C190*$L$4,2))</f>
        <v/>
      </c>
      <c r="F190" s="273">
        <f>IF(OR(A190="",C190="",NOT(ISNUMBER($L$5))),"",ROUND(C190*$L$5,2))</f>
        <v/>
      </c>
      <c r="G190" s="273">
        <f>IF(OR(A190="",C190="",NOT(ISNUMBER($L$6))),"",ROUND(C190*$L$6,2))</f>
        <v/>
      </c>
      <c r="H190" s="342">
        <f>IF(OR(A190="",C190="",C190=0,NOT(ISNUMBER($L$6))),"",ROUND($L$6-1,4))</f>
        <v/>
      </c>
      <c r="I190" s="27" t="n"/>
      <c r="J190" s="27" t="n"/>
      <c r="K190" s="27" t="n"/>
      <c r="L190" s="27" t="n"/>
      <c r="M190" s="27" t="n"/>
      <c r="N190" s="27" t="n"/>
      <c r="O190" s="27" t="n"/>
    </row>
    <row r="191">
      <c r="A191" s="284">
        <f>IF(itens_Remanesc!A191="","",itens_Remanesc!A191)</f>
        <v/>
      </c>
      <c r="B191" s="282">
        <f>IF(itens_Remanesc!A191="","",itens_Remanesc!B191)</f>
        <v/>
      </c>
      <c r="C191" s="273">
        <f>IF(itens_Remanesc!A191="","",itens_Remanesc!C191)</f>
        <v/>
      </c>
      <c r="D191" s="273">
        <f>IF(OR(A191="",C191="",NOT(ISNUMBER($L$3))),"",ROUND(C191*$L$3,2))</f>
        <v/>
      </c>
      <c r="E191" s="273">
        <f>IF(OR(A191="",C191="",NOT(ISNUMBER($L$4))),"",ROUND(C191*$L$4,2))</f>
        <v/>
      </c>
      <c r="F191" s="273">
        <f>IF(OR(A191="",C191="",NOT(ISNUMBER($L$5))),"",ROUND(C191*$L$5,2))</f>
        <v/>
      </c>
      <c r="G191" s="273">
        <f>IF(OR(A191="",C191="",NOT(ISNUMBER($L$6))),"",ROUND(C191*$L$6,2))</f>
        <v/>
      </c>
      <c r="H191" s="342">
        <f>IF(OR(A191="",C191="",C191=0,NOT(ISNUMBER($L$6))),"",ROUND($L$6-1,4))</f>
        <v/>
      </c>
      <c r="I191" s="27" t="n"/>
      <c r="J191" s="27" t="n"/>
      <c r="K191" s="27" t="n"/>
      <c r="L191" s="27" t="n"/>
      <c r="M191" s="27" t="n"/>
      <c r="N191" s="27" t="n"/>
      <c r="O191" s="27" t="n"/>
    </row>
    <row r="192">
      <c r="A192" s="284">
        <f>IF(itens_Remanesc!A192="","",itens_Remanesc!A192)</f>
        <v/>
      </c>
      <c r="B192" s="282">
        <f>IF(itens_Remanesc!A192="","",itens_Remanesc!B192)</f>
        <v/>
      </c>
      <c r="C192" s="273">
        <f>IF(itens_Remanesc!A192="","",itens_Remanesc!C192)</f>
        <v/>
      </c>
      <c r="D192" s="273">
        <f>IF(OR(A192="",C192="",NOT(ISNUMBER($L$3))),"",ROUND(C192*$L$3,2))</f>
        <v/>
      </c>
      <c r="E192" s="273">
        <f>IF(OR(A192="",C192="",NOT(ISNUMBER($L$4))),"",ROUND(C192*$L$4,2))</f>
        <v/>
      </c>
      <c r="F192" s="273">
        <f>IF(OR(A192="",C192="",NOT(ISNUMBER($L$5))),"",ROUND(C192*$L$5,2))</f>
        <v/>
      </c>
      <c r="G192" s="273">
        <f>IF(OR(A192="",C192="",NOT(ISNUMBER($L$6))),"",ROUND(C192*$L$6,2))</f>
        <v/>
      </c>
      <c r="H192" s="342">
        <f>IF(OR(A192="",C192="",C192=0,NOT(ISNUMBER($L$6))),"",ROUND($L$6-1,4))</f>
        <v/>
      </c>
      <c r="I192" s="27" t="n"/>
      <c r="J192" s="27" t="n"/>
      <c r="K192" s="27" t="n"/>
      <c r="L192" s="27" t="n"/>
      <c r="M192" s="27" t="n"/>
      <c r="N192" s="27" t="n"/>
      <c r="O192" s="27" t="n"/>
    </row>
    <row r="193">
      <c r="A193" s="284">
        <f>IF(itens_Remanesc!A193="","",itens_Remanesc!A193)</f>
        <v/>
      </c>
      <c r="B193" s="282">
        <f>IF(itens_Remanesc!A193="","",itens_Remanesc!B193)</f>
        <v/>
      </c>
      <c r="C193" s="273">
        <f>IF(itens_Remanesc!A193="","",itens_Remanesc!C193)</f>
        <v/>
      </c>
      <c r="D193" s="273">
        <f>IF(OR(A193="",C193="",NOT(ISNUMBER($L$3))),"",ROUND(C193*$L$3,2))</f>
        <v/>
      </c>
      <c r="E193" s="273">
        <f>IF(OR(A193="",C193="",NOT(ISNUMBER($L$4))),"",ROUND(C193*$L$4,2))</f>
        <v/>
      </c>
      <c r="F193" s="273">
        <f>IF(OR(A193="",C193="",NOT(ISNUMBER($L$5))),"",ROUND(C193*$L$5,2))</f>
        <v/>
      </c>
      <c r="G193" s="273">
        <f>IF(OR(A193="",C193="",NOT(ISNUMBER($L$6))),"",ROUND(C193*$L$6,2))</f>
        <v/>
      </c>
      <c r="H193" s="342">
        <f>IF(OR(A193="",C193="",C193=0,NOT(ISNUMBER($L$6))),"",ROUND($L$6-1,4))</f>
        <v/>
      </c>
      <c r="I193" s="27" t="n"/>
      <c r="J193" s="27" t="n"/>
      <c r="K193" s="27" t="n"/>
      <c r="L193" s="27" t="n"/>
      <c r="M193" s="27" t="n"/>
      <c r="N193" s="27" t="n"/>
      <c r="O193" s="27" t="n"/>
    </row>
    <row r="194">
      <c r="A194" s="284">
        <f>IF(itens_Remanesc!A194="","",itens_Remanesc!A194)</f>
        <v/>
      </c>
      <c r="B194" s="282">
        <f>IF(itens_Remanesc!A194="","",itens_Remanesc!B194)</f>
        <v/>
      </c>
      <c r="C194" s="273">
        <f>IF(itens_Remanesc!A194="","",itens_Remanesc!C194)</f>
        <v/>
      </c>
      <c r="D194" s="273">
        <f>IF(OR(A194="",C194="",NOT(ISNUMBER($L$3))),"",ROUND(C194*$L$3,2))</f>
        <v/>
      </c>
      <c r="E194" s="273">
        <f>IF(OR(A194="",C194="",NOT(ISNUMBER($L$4))),"",ROUND(C194*$L$4,2))</f>
        <v/>
      </c>
      <c r="F194" s="273">
        <f>IF(OR(A194="",C194="",NOT(ISNUMBER($L$5))),"",ROUND(C194*$L$5,2))</f>
        <v/>
      </c>
      <c r="G194" s="273">
        <f>IF(OR(A194="",C194="",NOT(ISNUMBER($L$6))),"",ROUND(C194*$L$6,2))</f>
        <v/>
      </c>
      <c r="H194" s="342">
        <f>IF(OR(A194="",C194="",C194=0,NOT(ISNUMBER($L$6))),"",ROUND($L$6-1,4))</f>
        <v/>
      </c>
      <c r="I194" s="27" t="n"/>
      <c r="J194" s="27" t="n"/>
      <c r="K194" s="27" t="n"/>
      <c r="L194" s="27" t="n"/>
      <c r="M194" s="27" t="n"/>
      <c r="N194" s="27" t="n"/>
      <c r="O194" s="27" t="n"/>
    </row>
    <row r="195">
      <c r="A195" s="284">
        <f>IF(itens_Remanesc!A195="","",itens_Remanesc!A195)</f>
        <v/>
      </c>
      <c r="B195" s="282">
        <f>IF(itens_Remanesc!A195="","",itens_Remanesc!B195)</f>
        <v/>
      </c>
      <c r="C195" s="273">
        <f>IF(itens_Remanesc!A195="","",itens_Remanesc!C195)</f>
        <v/>
      </c>
      <c r="D195" s="273">
        <f>IF(OR(A195="",C195="",NOT(ISNUMBER($L$3))),"",ROUND(C195*$L$3,2))</f>
        <v/>
      </c>
      <c r="E195" s="273">
        <f>IF(OR(A195="",C195="",NOT(ISNUMBER($L$4))),"",ROUND(C195*$L$4,2))</f>
        <v/>
      </c>
      <c r="F195" s="273">
        <f>IF(OR(A195="",C195="",NOT(ISNUMBER($L$5))),"",ROUND(C195*$L$5,2))</f>
        <v/>
      </c>
      <c r="G195" s="273">
        <f>IF(OR(A195="",C195="",NOT(ISNUMBER($L$6))),"",ROUND(C195*$L$6,2))</f>
        <v/>
      </c>
      <c r="H195" s="342">
        <f>IF(OR(A195="",C195="",C195=0,NOT(ISNUMBER($L$6))),"",ROUND($L$6-1,4))</f>
        <v/>
      </c>
      <c r="I195" s="27" t="n"/>
      <c r="J195" s="27" t="n"/>
      <c r="K195" s="27" t="n"/>
      <c r="L195" s="27" t="n"/>
      <c r="M195" s="27" t="n"/>
      <c r="N195" s="27" t="n"/>
      <c r="O195" s="27" t="n"/>
    </row>
    <row r="196">
      <c r="A196" s="284">
        <f>IF(itens_Remanesc!A196="","",itens_Remanesc!A196)</f>
        <v/>
      </c>
      <c r="B196" s="282">
        <f>IF(itens_Remanesc!A196="","",itens_Remanesc!B196)</f>
        <v/>
      </c>
      <c r="C196" s="273">
        <f>IF(itens_Remanesc!A196="","",itens_Remanesc!C196)</f>
        <v/>
      </c>
      <c r="D196" s="273">
        <f>IF(OR(A196="",C196="",NOT(ISNUMBER($L$3))),"",ROUND(C196*$L$3,2))</f>
        <v/>
      </c>
      <c r="E196" s="273">
        <f>IF(OR(A196="",C196="",NOT(ISNUMBER($L$4))),"",ROUND(C196*$L$4,2))</f>
        <v/>
      </c>
      <c r="F196" s="273">
        <f>IF(OR(A196="",C196="",NOT(ISNUMBER($L$5))),"",ROUND(C196*$L$5,2))</f>
        <v/>
      </c>
      <c r="G196" s="273">
        <f>IF(OR(A196="",C196="",NOT(ISNUMBER($L$6))),"",ROUND(C196*$L$6,2))</f>
        <v/>
      </c>
      <c r="H196" s="342">
        <f>IF(OR(A196="",C196="",C196=0,NOT(ISNUMBER($L$6))),"",ROUND($L$6-1,4))</f>
        <v/>
      </c>
      <c r="I196" s="27" t="n"/>
      <c r="J196" s="27" t="n"/>
      <c r="K196" s="27" t="n"/>
      <c r="L196" s="27" t="n"/>
      <c r="M196" s="27" t="n"/>
      <c r="N196" s="27" t="n"/>
      <c r="O196" s="27" t="n"/>
    </row>
    <row r="197">
      <c r="A197" s="284">
        <f>IF(itens_Remanesc!A197="","",itens_Remanesc!A197)</f>
        <v/>
      </c>
      <c r="B197" s="282">
        <f>IF(itens_Remanesc!A197="","",itens_Remanesc!B197)</f>
        <v/>
      </c>
      <c r="C197" s="273">
        <f>IF(itens_Remanesc!A197="","",itens_Remanesc!C197)</f>
        <v/>
      </c>
      <c r="D197" s="273">
        <f>IF(OR(A197="",C197="",NOT(ISNUMBER($L$3))),"",ROUND(C197*$L$3,2))</f>
        <v/>
      </c>
      <c r="E197" s="273">
        <f>IF(OR(A197="",C197="",NOT(ISNUMBER($L$4))),"",ROUND(C197*$L$4,2))</f>
        <v/>
      </c>
      <c r="F197" s="273">
        <f>IF(OR(A197="",C197="",NOT(ISNUMBER($L$5))),"",ROUND(C197*$L$5,2))</f>
        <v/>
      </c>
      <c r="G197" s="273">
        <f>IF(OR(A197="",C197="",NOT(ISNUMBER($L$6))),"",ROUND(C197*$L$6,2))</f>
        <v/>
      </c>
      <c r="H197" s="342">
        <f>IF(OR(A197="",C197="",C197=0,NOT(ISNUMBER($L$6))),"",ROUND($L$6-1,4))</f>
        <v/>
      </c>
      <c r="I197" s="27" t="n"/>
      <c r="J197" s="27" t="n"/>
      <c r="K197" s="27" t="n"/>
      <c r="L197" s="27" t="n"/>
      <c r="M197" s="27" t="n"/>
      <c r="N197" s="27" t="n"/>
      <c r="O197" s="27" t="n"/>
    </row>
    <row r="198">
      <c r="A198" s="284">
        <f>IF(itens_Remanesc!A198="","",itens_Remanesc!A198)</f>
        <v/>
      </c>
      <c r="B198" s="282">
        <f>IF(itens_Remanesc!A198="","",itens_Remanesc!B198)</f>
        <v/>
      </c>
      <c r="C198" s="273">
        <f>IF(itens_Remanesc!A198="","",itens_Remanesc!C198)</f>
        <v/>
      </c>
      <c r="D198" s="273">
        <f>IF(OR(A198="",C198="",NOT(ISNUMBER($L$3))),"",ROUND(C198*$L$3,2))</f>
        <v/>
      </c>
      <c r="E198" s="273">
        <f>IF(OR(A198="",C198="",NOT(ISNUMBER($L$4))),"",ROUND(C198*$L$4,2))</f>
        <v/>
      </c>
      <c r="F198" s="273">
        <f>IF(OR(A198="",C198="",NOT(ISNUMBER($L$5))),"",ROUND(C198*$L$5,2))</f>
        <v/>
      </c>
      <c r="G198" s="273">
        <f>IF(OR(A198="",C198="",NOT(ISNUMBER($L$6))),"",ROUND(C198*$L$6,2))</f>
        <v/>
      </c>
      <c r="H198" s="342">
        <f>IF(OR(A198="",C198="",C198=0,NOT(ISNUMBER($L$6))),"",ROUND($L$6-1,4))</f>
        <v/>
      </c>
      <c r="I198" s="27" t="n"/>
      <c r="J198" s="27" t="n"/>
      <c r="K198" s="27" t="n"/>
      <c r="L198" s="27" t="n"/>
      <c r="M198" s="27" t="n"/>
      <c r="N198" s="27" t="n"/>
      <c r="O198" s="27" t="n"/>
    </row>
    <row r="199">
      <c r="A199" s="284">
        <f>IF(itens_Remanesc!A199="","",itens_Remanesc!A199)</f>
        <v/>
      </c>
      <c r="B199" s="282">
        <f>IF(itens_Remanesc!A199="","",itens_Remanesc!B199)</f>
        <v/>
      </c>
      <c r="C199" s="273">
        <f>IF(itens_Remanesc!A199="","",itens_Remanesc!C199)</f>
        <v/>
      </c>
      <c r="D199" s="273">
        <f>IF(OR(A199="",C199="",NOT(ISNUMBER($L$3))),"",ROUND(C199*$L$3,2))</f>
        <v/>
      </c>
      <c r="E199" s="273">
        <f>IF(OR(A199="",C199="",NOT(ISNUMBER($L$4))),"",ROUND(C199*$L$4,2))</f>
        <v/>
      </c>
      <c r="F199" s="273">
        <f>IF(OR(A199="",C199="",NOT(ISNUMBER($L$5))),"",ROUND(C199*$L$5,2))</f>
        <v/>
      </c>
      <c r="G199" s="273">
        <f>IF(OR(A199="",C199="",NOT(ISNUMBER($L$6))),"",ROUND(C199*$L$6,2))</f>
        <v/>
      </c>
      <c r="H199" s="342">
        <f>IF(OR(A199="",C199="",C199=0,NOT(ISNUMBER($L$6))),"",ROUND($L$6-1,4))</f>
        <v/>
      </c>
      <c r="I199" s="27" t="n"/>
      <c r="J199" s="27" t="n"/>
      <c r="K199" s="27" t="n"/>
      <c r="L199" s="27" t="n"/>
      <c r="M199" s="27" t="n"/>
      <c r="N199" s="27" t="n"/>
      <c r="O199" s="27" t="n"/>
    </row>
    <row r="200">
      <c r="A200" s="284">
        <f>IF(itens_Remanesc!A200="","",itens_Remanesc!A200)</f>
        <v/>
      </c>
      <c r="B200" s="282">
        <f>IF(itens_Remanesc!A200="","",itens_Remanesc!B200)</f>
        <v/>
      </c>
      <c r="C200" s="273">
        <f>IF(itens_Remanesc!A200="","",itens_Remanesc!C200)</f>
        <v/>
      </c>
      <c r="D200" s="273">
        <f>IF(OR(A200="",C200="",NOT(ISNUMBER($L$3))),"",ROUND(C200*$L$3,2))</f>
        <v/>
      </c>
      <c r="E200" s="273">
        <f>IF(OR(A200="",C200="",NOT(ISNUMBER($L$4))),"",ROUND(C200*$L$4,2))</f>
        <v/>
      </c>
      <c r="F200" s="273">
        <f>IF(OR(A200="",C200="",NOT(ISNUMBER($L$5))),"",ROUND(C200*$L$5,2))</f>
        <v/>
      </c>
      <c r="G200" s="273">
        <f>IF(OR(A200="",C200="",NOT(ISNUMBER($L$6))),"",ROUND(C200*$L$6,2))</f>
        <v/>
      </c>
      <c r="H200" s="342">
        <f>IF(OR(A200="",C200="",C200=0,NOT(ISNUMBER($L$6))),"",ROUND($L$6-1,4))</f>
        <v/>
      </c>
      <c r="I200" s="27" t="n"/>
      <c r="J200" s="27" t="n"/>
      <c r="K200" s="27" t="n"/>
      <c r="L200" s="27" t="n"/>
      <c r="M200" s="27" t="n"/>
      <c r="N200" s="27" t="n"/>
      <c r="O200" s="27" t="n"/>
    </row>
    <row r="201">
      <c r="A201" s="27" t="n"/>
      <c r="B201" s="184" t="n"/>
      <c r="C201" s="343" t="n"/>
      <c r="D201" s="343" t="n"/>
      <c r="E201" s="343" t="n"/>
      <c r="F201" s="343" t="n"/>
      <c r="G201" s="343" t="n"/>
      <c r="H201" s="27" t="n"/>
      <c r="I201" s="27" t="n"/>
      <c r="J201" s="27" t="n"/>
      <c r="K201" s="27" t="n"/>
      <c r="L201" s="27" t="n"/>
      <c r="M201" s="27" t="n"/>
      <c r="N201" s="27" t="n"/>
      <c r="O201" s="27" t="n"/>
    </row>
    <row r="202">
      <c r="A202" s="27" t="n"/>
      <c r="B202" s="184" t="n"/>
      <c r="C202" s="343" t="n"/>
      <c r="D202" s="343" t="n"/>
      <c r="E202" s="343" t="n"/>
      <c r="F202" s="343" t="n"/>
      <c r="G202" s="343" t="n"/>
      <c r="H202" s="27" t="n"/>
      <c r="I202" s="27" t="n"/>
      <c r="J202" s="27" t="n"/>
      <c r="K202" s="27" t="n"/>
      <c r="L202" s="27" t="n"/>
      <c r="M202" s="27" t="n"/>
      <c r="N202" s="27" t="n"/>
      <c r="O202" s="27" t="n"/>
    </row>
    <row r="203">
      <c r="A203" s="27" t="n"/>
      <c r="B203" s="184" t="n"/>
      <c r="C203" s="343" t="n"/>
      <c r="D203" s="343" t="n"/>
      <c r="E203" s="343" t="n"/>
      <c r="F203" s="343" t="n"/>
      <c r="G203" s="343" t="n"/>
      <c r="H203" s="27" t="n"/>
      <c r="I203" s="27" t="n"/>
      <c r="J203" s="27" t="n"/>
      <c r="K203" s="27" t="n"/>
      <c r="L203" s="27" t="n"/>
      <c r="M203" s="27" t="n"/>
      <c r="N203" s="27" t="n"/>
      <c r="O203" s="27" t="n"/>
    </row>
    <row r="204">
      <c r="A204" s="27" t="n"/>
      <c r="B204" s="184" t="n"/>
      <c r="C204" s="343" t="n"/>
      <c r="D204" s="343" t="n"/>
      <c r="E204" s="343" t="n"/>
      <c r="F204" s="343" t="n"/>
      <c r="G204" s="343" t="n"/>
      <c r="H204" s="27" t="n"/>
      <c r="I204" s="27" t="n"/>
      <c r="J204" s="27" t="n"/>
      <c r="K204" s="27" t="n"/>
      <c r="L204" s="27" t="n"/>
      <c r="M204" s="27" t="n"/>
      <c r="N204" s="27" t="n"/>
      <c r="O204" s="27" t="n"/>
    </row>
    <row r="205">
      <c r="A205" s="27" t="n"/>
      <c r="B205" s="184" t="n"/>
      <c r="C205" s="343" t="n"/>
      <c r="D205" s="343" t="n"/>
      <c r="E205" s="343" t="n"/>
      <c r="F205" s="343" t="n"/>
      <c r="G205" s="343" t="n"/>
      <c r="H205" s="27" t="n"/>
      <c r="I205" s="27" t="n"/>
      <c r="J205" s="27" t="n"/>
      <c r="K205" s="27" t="n"/>
      <c r="L205" s="27" t="n"/>
      <c r="M205" s="27" t="n"/>
      <c r="N205" s="27" t="n"/>
      <c r="O205" s="27" t="n"/>
    </row>
    <row r="206">
      <c r="A206" s="27" t="n"/>
      <c r="B206" s="184" t="n"/>
      <c r="C206" s="343" t="n"/>
      <c r="D206" s="343" t="n"/>
      <c r="E206" s="343" t="n"/>
      <c r="F206" s="343" t="n"/>
      <c r="G206" s="343" t="n"/>
      <c r="H206" s="27" t="n"/>
      <c r="I206" s="27" t="n"/>
      <c r="J206" s="27" t="n"/>
      <c r="K206" s="27" t="n"/>
      <c r="L206" s="27" t="n"/>
      <c r="M206" s="27" t="n"/>
      <c r="N206" s="27" t="n"/>
      <c r="O206" s="27" t="n"/>
    </row>
    <row r="207">
      <c r="A207" s="27" t="n"/>
      <c r="B207" s="184" t="n"/>
      <c r="C207" s="343" t="n"/>
      <c r="D207" s="343" t="n"/>
      <c r="E207" s="343" t="n"/>
      <c r="F207" s="343" t="n"/>
      <c r="G207" s="343" t="n"/>
      <c r="H207" s="27" t="n"/>
      <c r="I207" s="27" t="n"/>
      <c r="J207" s="27" t="n"/>
      <c r="K207" s="27" t="n"/>
      <c r="L207" s="27" t="n"/>
      <c r="M207" s="27" t="n"/>
      <c r="N207" s="27" t="n"/>
      <c r="O207" s="27" t="n"/>
    </row>
    <row r="208">
      <c r="A208" s="27" t="n"/>
      <c r="B208" s="184" t="n"/>
      <c r="C208" s="343" t="n"/>
      <c r="D208" s="343" t="n"/>
      <c r="E208" s="343" t="n"/>
      <c r="F208" s="343" t="n"/>
      <c r="G208" s="343" t="n"/>
      <c r="H208" s="27" t="n"/>
      <c r="I208" s="27" t="n"/>
      <c r="J208" s="27" t="n"/>
      <c r="K208" s="27" t="n"/>
      <c r="L208" s="27" t="n"/>
      <c r="M208" s="27" t="n"/>
      <c r="N208" s="27" t="n"/>
      <c r="O208" s="27" t="n"/>
    </row>
    <row r="209">
      <c r="A209" s="27" t="n"/>
      <c r="B209" s="184" t="n"/>
      <c r="C209" s="343" t="n"/>
      <c r="D209" s="343" t="n"/>
      <c r="E209" s="343" t="n"/>
      <c r="F209" s="343" t="n"/>
      <c r="G209" s="343" t="n"/>
      <c r="H209" s="27" t="n"/>
      <c r="I209" s="27" t="n"/>
      <c r="J209" s="27" t="n"/>
      <c r="K209" s="27" t="n"/>
      <c r="L209" s="27" t="n"/>
      <c r="M209" s="27" t="n"/>
      <c r="N209" s="27" t="n"/>
      <c r="O209" s="27" t="n"/>
    </row>
    <row r="210">
      <c r="A210" s="27" t="n"/>
      <c r="B210" s="184" t="n"/>
      <c r="C210" s="343" t="n"/>
      <c r="D210" s="343" t="n"/>
      <c r="E210" s="343" t="n"/>
      <c r="F210" s="343" t="n"/>
      <c r="G210" s="343" t="n"/>
      <c r="H210" s="27" t="n"/>
      <c r="I210" s="27" t="n"/>
      <c r="J210" s="27" t="n"/>
      <c r="K210" s="27" t="n"/>
      <c r="L210" s="27" t="n"/>
      <c r="M210" s="27" t="n"/>
      <c r="N210" s="27" t="n"/>
      <c r="O210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Lima Penalva da Silva</dc:creator>
  <dcterms:created xmlns:dcterms="http://purl.org/dc/terms/" xmlns:xsi="http://www.w3.org/2001/XMLSchema-instance" xsi:type="dcterms:W3CDTF">2026-07-13T17:49:40Z</dcterms:created>
  <dcterms:modified xmlns:dcterms="http://purl.org/dc/terms/" xmlns:xsi="http://www.w3.org/2001/XMLSchema-instance" xsi:type="dcterms:W3CDTF">2026-07-13T18:41:50Z</dcterms:modified>
  <cp:lastModifiedBy>Daniel Lima Penalva da Silva</cp:lastModifiedBy>
</cp:coreProperties>
</file>