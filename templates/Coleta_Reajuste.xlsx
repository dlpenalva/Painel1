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000" windowHeight="12000" tabRatio="600" firstSheet="0" activeTab="0" autoFilterDateGrouping="1"/>
  </bookViews>
  <sheets>
    <sheet xmlns:r="http://schemas.openxmlformats.org/officeDocument/2006/relationships" name="CONTROL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financeiro" sheetId="3" state="visible" r:id="rId3"/>
    <sheet xmlns:r="http://schemas.openxmlformats.org/officeDocument/2006/relationships" name="itens_Remanesc" sheetId="4" state="visible" r:id="rId4"/>
    <sheet xmlns:r="http://schemas.openxmlformats.org/officeDocument/2006/relationships" name="itens_Consumidos" sheetId="5" state="visible" r:id="rId5"/>
    <sheet xmlns:r="http://schemas.openxmlformats.org/officeDocument/2006/relationships" name="itens_PC" sheetId="6" state="visible" r:id="rId6"/>
    <sheet xmlns:r="http://schemas.openxmlformats.org/officeDocument/2006/relationships" name="aditivos" sheetId="7" state="visible" r:id="rId7"/>
    <sheet xmlns:r="http://schemas.openxmlformats.org/officeDocument/2006/relationships" name="itens_RC" sheetId="8" state="visible" r:id="rId8"/>
    <sheet xmlns:r="http://schemas.openxmlformats.org/officeDocument/2006/relationships" name="historico_VU" sheetId="9" state="visible" r:id="rId9"/>
    <sheet xmlns:r="http://schemas.openxmlformats.org/officeDocument/2006/relationships" name="RESULTADOS" sheetId="10" state="visible" r:id="rId10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R$ #,##0.00"/>
    <numFmt numFmtId="173" formatCode="dd/mm/yyyy"/>
  </numFmts>
  <fonts count="40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Arial"/>
      <b val="1"/>
      <color rgb="FF000000"/>
      <sz val="12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b val="1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 Display"/>
      <b val="1"/>
      <color rgb="FFFFFFFF"/>
      <sz val="17"/>
    </font>
    <font>
      <name val="Aptos"/>
      <i val="1"/>
      <color rgb="FF7A4E00"/>
      <sz val="10"/>
    </font>
    <font>
      <name val="Aptos"/>
      <b val="1"/>
      <color rgb="FF0B2D5C"/>
      <sz val="10"/>
    </font>
    <font>
      <name val="Aptos"/>
      <i val="1"/>
      <color rgb="FF5B6573"/>
      <sz val="10"/>
    </font>
    <font>
      <name val="Aptos Display"/>
      <b val="1"/>
      <color rgb="FFFFFFFF"/>
      <sz val="12"/>
    </font>
    <font>
      <name val="Aptos"/>
      <b val="1"/>
      <color rgb="FFFFFFFF"/>
      <sz val="10"/>
    </font>
    <font>
      <name val="Calibri"/>
      <b val="1"/>
      <color rgb="FFFFFFFF"/>
      <sz val="9"/>
    </font>
    <font>
      <name val="Calibri"/>
      <color rgb="FF595959"/>
      <sz val="9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</fonts>
  <fills count="44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</fills>
  <borders count="3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3" fillId="0" borderId="2"/>
  </cellStyleXfs>
  <cellXfs count="372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0" fillId="13" borderId="0" pivotButton="0" quotePrefix="0" xfId="0"/>
    <xf numFmtId="0" fontId="5" fillId="14" borderId="3" applyAlignment="1" pivotButton="0" quotePrefix="0" xfId="0">
      <alignment horizontal="center" vertical="center"/>
    </xf>
    <xf numFmtId="0" fontId="4" fillId="0" borderId="2" pivotButton="0" quotePrefix="0" xfId="0"/>
    <xf numFmtId="0" fontId="10" fillId="5" borderId="4" applyAlignment="1" pivotButton="0" quotePrefix="0" xfId="0">
      <alignment horizontal="center" vertical="center"/>
    </xf>
    <xf numFmtId="0" fontId="11" fillId="30" borderId="4" applyAlignment="1" pivotButton="0" quotePrefix="0" xfId="0">
      <alignment vertical="center"/>
    </xf>
    <xf numFmtId="49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7" fillId="18" borderId="4" applyAlignment="1" pivotButton="0" quotePrefix="0" xfId="0">
      <alignment horizontal="center" vertical="center"/>
    </xf>
    <xf numFmtId="10" fontId="7" fillId="18" borderId="4" applyAlignment="1" pivotButton="0" quotePrefix="0" xfId="0">
      <alignment horizontal="center" vertical="center"/>
    </xf>
    <xf numFmtId="164" fontId="7" fillId="18" borderId="4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0" fontId="15" fillId="0" borderId="2" pivotButton="0" quotePrefix="0" xfId="0"/>
    <xf numFmtId="164" fontId="6" fillId="10" borderId="8" pivotButton="0" quotePrefix="0" xfId="0"/>
    <xf numFmtId="0" fontId="15" fillId="0" borderId="8" pivotButton="0" quotePrefix="0" xfId="0"/>
    <xf numFmtId="14" fontId="15" fillId="0" borderId="8" pivotButton="0" quotePrefix="0" xfId="0"/>
    <xf numFmtId="165" fontId="15" fillId="0" borderId="8" pivotButton="0" quotePrefix="0" xfId="0"/>
    <xf numFmtId="0" fontId="17" fillId="0" borderId="2" pivotButton="0" quotePrefix="0" xfId="0"/>
    <xf numFmtId="0" fontId="12" fillId="22" borderId="4" applyAlignment="1" pivotButton="0" quotePrefix="0" xfId="0">
      <alignment horizontal="center" vertical="center" wrapText="1"/>
    </xf>
    <xf numFmtId="0" fontId="12" fillId="24" borderId="4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26" borderId="4" applyAlignment="1" pivotButton="0" quotePrefix="0" xfId="0">
      <alignment horizontal="center" vertical="center" wrapText="1"/>
    </xf>
    <xf numFmtId="4" fontId="16" fillId="0" borderId="8" pivotButton="0" quotePrefix="0" xfId="0"/>
    <xf numFmtId="166" fontId="16" fillId="0" borderId="8" pivotButton="0" quotePrefix="0" xfId="0"/>
    <xf numFmtId="0" fontId="11" fillId="10" borderId="8" applyAlignment="1" pivotButton="0" quotePrefix="0" xfId="0">
      <alignment horizontal="center"/>
    </xf>
    <xf numFmtId="0" fontId="6" fillId="10" borderId="8" applyAlignment="1" pivotButton="0" quotePrefix="0" xfId="0">
      <alignment horizontal="center"/>
    </xf>
    <xf numFmtId="10" fontId="6" fillId="10" borderId="8" pivotButton="0" quotePrefix="0" xfId="0"/>
    <xf numFmtId="4" fontId="11" fillId="25" borderId="4" applyAlignment="1" pivotButton="0" quotePrefix="0" xfId="0">
      <alignment horizontal="center" vertical="center" wrapText="1"/>
    </xf>
    <xf numFmtId="166" fontId="11" fillId="25" borderId="4" applyAlignment="1" pivotButton="0" quotePrefix="0" xfId="0">
      <alignment horizontal="center" vertical="center" wrapText="1"/>
    </xf>
    <xf numFmtId="0" fontId="18" fillId="0" borderId="2" pivotButton="0" quotePrefix="0" xfId="0"/>
    <xf numFmtId="0" fontId="19" fillId="0" borderId="2" pivotButton="0" quotePrefix="0" xfId="0"/>
    <xf numFmtId="0" fontId="15" fillId="0" borderId="0" pivotButton="0" quotePrefix="0" xfId="0"/>
    <xf numFmtId="0" fontId="14" fillId="27" borderId="4" applyAlignment="1" pivotButton="0" quotePrefix="0" xfId="0">
      <alignment horizontal="center" vertical="center" wrapText="1"/>
    </xf>
    <xf numFmtId="0" fontId="14" fillId="28" borderId="4" applyAlignment="1" pivotButton="0" quotePrefix="0" xfId="0">
      <alignment horizontal="center" vertical="center" wrapText="1"/>
    </xf>
    <xf numFmtId="0" fontId="7" fillId="9" borderId="8" applyAlignment="1" pivotButton="0" quotePrefix="0" xfId="0">
      <alignment horizontal="center" vertical="center" wrapText="1"/>
    </xf>
    <xf numFmtId="3" fontId="7" fillId="9" borderId="8" applyAlignment="1" pivotButton="0" quotePrefix="0" xfId="0">
      <alignment horizontal="center" vertical="center" wrapText="1"/>
    </xf>
    <xf numFmtId="166" fontId="7" fillId="9" borderId="8" applyAlignment="1" pivotButton="0" quotePrefix="0" xfId="0">
      <alignment horizontal="center" vertical="center" wrapText="1"/>
    </xf>
    <xf numFmtId="0" fontId="7" fillId="29" borderId="8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center" vertical="center" wrapText="1"/>
    </xf>
    <xf numFmtId="0" fontId="7" fillId="29" borderId="4" applyAlignment="1" pivotButton="0" quotePrefix="0" xfId="0">
      <alignment horizontal="left" vertical="center" wrapText="1"/>
    </xf>
    <xf numFmtId="0" fontId="11" fillId="25" borderId="8" applyAlignment="1" pivotButton="0" quotePrefix="0" xfId="0">
      <alignment horizontal="center" vertical="center" wrapText="1"/>
    </xf>
    <xf numFmtId="3" fontId="11" fillId="25" borderId="8" applyAlignment="1" pivotButton="0" quotePrefix="0" xfId="0">
      <alignment horizontal="center" vertical="center" wrapText="1"/>
    </xf>
    <xf numFmtId="166" fontId="11" fillId="25" borderId="8" applyAlignment="1" pivotButton="0" quotePrefix="0" xfId="0">
      <alignment horizontal="center" vertical="center" wrapText="1"/>
    </xf>
    <xf numFmtId="14" fontId="15" fillId="0" borderId="2" pivotButton="0" quotePrefix="0" xfId="0"/>
    <xf numFmtId="0" fontId="7" fillId="0" borderId="2" pivotButton="0" quotePrefix="0" xfId="0"/>
    <xf numFmtId="166" fontId="12" fillId="22" borderId="4" applyAlignment="1" pivotButton="0" quotePrefix="0" xfId="0">
      <alignment horizontal="center" vertical="center" wrapText="1"/>
    </xf>
    <xf numFmtId="0" fontId="6" fillId="0" borderId="8" pivotButton="0" quotePrefix="0" xfId="0"/>
    <xf numFmtId="4" fontId="15" fillId="0" borderId="2" pivotButton="0" quotePrefix="0" xfId="0"/>
    <xf numFmtId="166" fontId="15" fillId="0" borderId="2" pivotButton="0" quotePrefix="0" xfId="0"/>
    <xf numFmtId="0" fontId="14" fillId="23" borderId="7" applyAlignment="1" pivotButton="0" quotePrefix="0" xfId="0">
      <alignment horizontal="center" vertical="center" wrapText="1"/>
    </xf>
    <xf numFmtId="0" fontId="20" fillId="0" borderId="11" pivotButton="0" quotePrefix="0" xfId="0"/>
    <xf numFmtId="14" fontId="21" fillId="0" borderId="11" pivotButton="0" quotePrefix="0" xfId="0"/>
    <xf numFmtId="0" fontId="22" fillId="33" borderId="11" applyAlignment="1" pivotButton="0" quotePrefix="0" xfId="0">
      <alignment horizontal="center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0" fontId="21" fillId="34" borderId="11" applyAlignment="1" pivotButton="0" quotePrefix="0" xfId="0">
      <alignment horizontal="center" vertical="center" wrapText="1"/>
    </xf>
    <xf numFmtId="0" fontId="22" fillId="33" borderId="11" applyAlignment="1" pivotButton="0" quotePrefix="0" xfId="0">
      <alignment horizontal="center" vertical="center" wrapText="1"/>
    </xf>
    <xf numFmtId="166" fontId="23" fillId="33" borderId="11" applyAlignment="1" pivotButton="0" quotePrefix="0" xfId="0">
      <alignment horizontal="center" vertical="center" wrapText="1"/>
    </xf>
    <xf numFmtId="167" fontId="3" fillId="2" borderId="1" pivotButton="0" quotePrefix="0" xfId="0"/>
    <xf numFmtId="167" fontId="7" fillId="18" borderId="4" applyAlignment="1" pivotButton="0" quotePrefix="0" xfId="0">
      <alignment horizontal="center" vertical="center"/>
    </xf>
    <xf numFmtId="0" fontId="14" fillId="8" borderId="12" applyAlignment="1" pivotButton="0" quotePrefix="0" xfId="0">
      <alignment horizontal="center" vertical="center" wrapText="1"/>
    </xf>
    <xf numFmtId="0" fontId="24" fillId="9" borderId="12" applyAlignment="1" pivotButton="0" quotePrefix="0" xfId="0">
      <alignment vertical="center"/>
    </xf>
    <xf numFmtId="0" fontId="24" fillId="0" borderId="12" applyAlignment="1" pivotButton="0" quotePrefix="0" xfId="0">
      <alignment vertical="center"/>
    </xf>
    <xf numFmtId="49" fontId="24" fillId="0" borderId="12" applyAlignment="1" pivotButton="0" quotePrefix="0" xfId="0">
      <alignment vertical="center"/>
    </xf>
    <xf numFmtId="167" fontId="24" fillId="0" borderId="12" applyAlignment="1" pivotButton="0" quotePrefix="0" xfId="0">
      <alignment vertical="center"/>
    </xf>
    <xf numFmtId="10" fontId="24" fillId="9" borderId="12" applyAlignment="1" pivotButton="0" quotePrefix="0" xfId="0">
      <alignment vertical="center"/>
    </xf>
    <xf numFmtId="164" fontId="24" fillId="10" borderId="12" applyAlignment="1" pivotButton="0" quotePrefix="0" xfId="0">
      <alignment vertical="center"/>
    </xf>
    <xf numFmtId="0" fontId="24" fillId="19" borderId="12" applyAlignment="1" pivotButton="0" quotePrefix="0" xfId="0">
      <alignment vertical="center"/>
    </xf>
    <xf numFmtId="0" fontId="24" fillId="20" borderId="12" applyAlignment="1" pivotButton="0" quotePrefix="0" xfId="0">
      <alignment vertical="center"/>
    </xf>
    <xf numFmtId="14" fontId="14" fillId="8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/>
    </xf>
    <xf numFmtId="10" fontId="24" fillId="10" borderId="12" applyAlignment="1" pivotButton="0" quotePrefix="0" xfId="0">
      <alignment horizontal="center" vertical="center"/>
    </xf>
    <xf numFmtId="164" fontId="24" fillId="10" borderId="12" applyAlignment="1" pivotButton="0" quotePrefix="0" xfId="0">
      <alignment horizontal="center" vertical="center"/>
    </xf>
    <xf numFmtId="0" fontId="24" fillId="16" borderId="12" applyAlignment="1" pivotButton="0" quotePrefix="0" xfId="0">
      <alignment horizontal="center" vertical="center"/>
    </xf>
    <xf numFmtId="10" fontId="24" fillId="16" borderId="12" applyAlignment="1" pivotButton="0" quotePrefix="0" xfId="0">
      <alignment horizontal="center" vertical="center"/>
    </xf>
    <xf numFmtId="164" fontId="24" fillId="16" borderId="12" applyAlignment="1" pivotButton="0" quotePrefix="0" xfId="0">
      <alignment horizontal="center" vertical="center"/>
    </xf>
    <xf numFmtId="0" fontId="26" fillId="31" borderId="12" applyAlignment="1" pivotButton="0" quotePrefix="0" xfId="0">
      <alignment horizontal="center" vertical="center"/>
    </xf>
    <xf numFmtId="0" fontId="25" fillId="31" borderId="12" applyAlignment="1" pivotButton="0" quotePrefix="0" xfId="0">
      <alignment horizontal="center" vertical="center"/>
    </xf>
    <xf numFmtId="14" fontId="25" fillId="31" borderId="12" applyAlignment="1" pivotButton="0" quotePrefix="0" xfId="0">
      <alignment horizontal="center" vertical="center"/>
    </xf>
    <xf numFmtId="164" fontId="26" fillId="31" borderId="12" applyAlignment="1" pivotButton="0" quotePrefix="0" xfId="0">
      <alignment horizontal="center" vertical="center"/>
    </xf>
    <xf numFmtId="10" fontId="26" fillId="31" borderId="12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 wrapText="1"/>
    </xf>
    <xf numFmtId="167" fontId="24" fillId="0" borderId="12" pivotButton="0" quotePrefix="0" xfId="0"/>
    <xf numFmtId="166" fontId="24" fillId="9" borderId="12" pivotButton="0" quotePrefix="0" xfId="0"/>
    <xf numFmtId="164" fontId="24" fillId="10" borderId="12" pivotButton="0" quotePrefix="0" xfId="0"/>
    <xf numFmtId="166" fontId="24" fillId="10" borderId="12" pivotButton="0" quotePrefix="0" xfId="0"/>
    <xf numFmtId="0" fontId="24" fillId="0" borderId="12" applyAlignment="1" pivotButton="0" quotePrefix="0" xfId="0">
      <alignment horizontal="center"/>
    </xf>
    <xf numFmtId="0" fontId="14" fillId="21" borderId="4" applyAlignment="1" pivotButton="0" quotePrefix="0" xfId="0">
      <alignment horizontal="center" vertical="center" wrapText="1"/>
    </xf>
    <xf numFmtId="0" fontId="14" fillId="23" borderId="4" applyAlignment="1" pivotButton="0" quotePrefix="0" xfId="0">
      <alignment horizontal="center" vertical="center" wrapText="1"/>
    </xf>
    <xf numFmtId="0" fontId="14" fillId="17" borderId="4" applyAlignment="1" pivotButton="0" quotePrefix="0" xfId="0">
      <alignment horizontal="center" vertical="center" wrapText="1"/>
    </xf>
    <xf numFmtId="0" fontId="16" fillId="9" borderId="12" pivotButton="0" quotePrefix="0" xfId="0"/>
    <xf numFmtId="4" fontId="16" fillId="9" borderId="12" pivotButton="0" quotePrefix="0" xfId="0"/>
    <xf numFmtId="166" fontId="16" fillId="9" borderId="12" pivotButton="0" quotePrefix="0" xfId="0"/>
    <xf numFmtId="4" fontId="9" fillId="9" borderId="12" pivotButton="0" quotePrefix="0" xfId="0"/>
    <xf numFmtId="4" fontId="24" fillId="10" borderId="12" pivotButton="0" quotePrefix="0" xfId="0"/>
    <xf numFmtId="0" fontId="24" fillId="10" borderId="12" pivotButton="0" quotePrefix="0" xfId="0"/>
    <xf numFmtId="0" fontId="11" fillId="10" borderId="12" applyAlignment="1" pivotButton="0" quotePrefix="0" xfId="0">
      <alignment horizontal="center"/>
    </xf>
    <xf numFmtId="0" fontId="6" fillId="10" borderId="12" applyAlignment="1" pivotButton="0" quotePrefix="0" xfId="0">
      <alignment horizontal="center"/>
    </xf>
    <xf numFmtId="10" fontId="6" fillId="10" borderId="12" pivotButton="0" quotePrefix="0" xfId="0"/>
    <xf numFmtId="164" fontId="6" fillId="10" borderId="12" pivotButton="0" quotePrefix="0" xfId="0"/>
    <xf numFmtId="0" fontId="11" fillId="9" borderId="12" applyAlignment="1" pivotButton="0" quotePrefix="0" xfId="0">
      <alignment horizontal="center" vertical="center" wrapText="1"/>
    </xf>
    <xf numFmtId="4" fontId="11" fillId="9" borderId="12" applyAlignment="1" pivotButton="0" quotePrefix="0" xfId="0">
      <alignment horizontal="center" vertical="center" wrapText="1"/>
    </xf>
    <xf numFmtId="166" fontId="11" fillId="9" borderId="12" applyAlignment="1" pivotButton="0" quotePrefix="0" xfId="0">
      <alignment horizontal="center" vertical="center" wrapText="1"/>
    </xf>
    <xf numFmtId="166" fontId="24" fillId="10" borderId="12" applyAlignment="1" pivotButton="0" quotePrefix="0" xfId="0">
      <alignment horizontal="center" vertical="center" wrapText="1"/>
    </xf>
    <xf numFmtId="4" fontId="24" fillId="10" borderId="12" applyAlignment="1" pivotButton="0" quotePrefix="0" xfId="0">
      <alignment horizontal="center" vertical="center" wrapText="1"/>
    </xf>
    <xf numFmtId="0" fontId="24" fillId="10" borderId="12" applyAlignment="1" pivotButton="0" quotePrefix="0" xfId="0">
      <alignment horizontal="center" vertical="center" wrapText="1"/>
    </xf>
    <xf numFmtId="4" fontId="16" fillId="0" borderId="2" pivotButton="0" quotePrefix="0" xfId="0"/>
    <xf numFmtId="166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12" pivotButton="0" quotePrefix="0" xfId="0"/>
    <xf numFmtId="4" fontId="15" fillId="9" borderId="12" pivotButton="0" quotePrefix="0" xfId="0"/>
    <xf numFmtId="166" fontId="15" fillId="9" borderId="12" pivotButton="0" quotePrefix="0" xfId="0"/>
    <xf numFmtId="0" fontId="14" fillId="5" borderId="7" applyAlignment="1" pivotButton="0" quotePrefix="0" xfId="0">
      <alignment horizontal="center" vertical="center" wrapText="1"/>
    </xf>
    <xf numFmtId="14" fontId="7" fillId="9" borderId="12" pivotButton="0" quotePrefix="0" xfId="0"/>
    <xf numFmtId="0" fontId="24" fillId="10" borderId="12" applyAlignment="1" pivotButton="0" quotePrefix="0" xfId="0">
      <alignment horizontal="center"/>
    </xf>
    <xf numFmtId="166" fontId="7" fillId="9" borderId="12" pivotButton="0" quotePrefix="0" xfId="0"/>
    <xf numFmtId="0" fontId="7" fillId="9" borderId="12" applyAlignment="1" pivotButton="0" quotePrefix="0" xfId="0">
      <alignment horizontal="center" vertical="center" wrapText="1"/>
    </xf>
    <xf numFmtId="4" fontId="14" fillId="5" borderId="4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12" applyAlignment="1" pivotButton="0" quotePrefix="0" xfId="0">
      <alignment vertical="center"/>
    </xf>
    <xf numFmtId="167" fontId="7" fillId="9" borderId="12" applyAlignment="1" pivotButton="0" quotePrefix="0" xfId="0">
      <alignment vertical="center"/>
    </xf>
    <xf numFmtId="4" fontId="7" fillId="9" borderId="12" applyAlignment="1" pivotButton="0" quotePrefix="0" xfId="0">
      <alignment vertical="center"/>
    </xf>
    <xf numFmtId="166" fontId="24" fillId="10" borderId="12" applyAlignment="1" pivotButton="0" quotePrefix="0" xfId="0">
      <alignment vertical="center"/>
    </xf>
    <xf numFmtId="0" fontId="14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5" fillId="3" borderId="12" pivotButton="0" quotePrefix="0" xfId="0"/>
    <xf numFmtId="166" fontId="15" fillId="4" borderId="12" pivotButton="0" quotePrefix="0" xfId="0"/>
    <xf numFmtId="4" fontId="15" fillId="4" borderId="12" pivotButton="0" quotePrefix="0" xfId="0"/>
    <xf numFmtId="166" fontId="15" fillId="6" borderId="12" pivotButton="0" quotePrefix="0" xfId="0"/>
    <xf numFmtId="4" fontId="15" fillId="6" borderId="12" pivotButton="0" quotePrefix="0" xfId="0"/>
    <xf numFmtId="166" fontId="15" fillId="35" borderId="12" pivotButton="0" quotePrefix="0" xfId="0"/>
    <xf numFmtId="166" fontId="15" fillId="32" borderId="12" pivotButton="0" quotePrefix="0" xfId="0"/>
    <xf numFmtId="0" fontId="15" fillId="0" borderId="12" pivotButton="0" quotePrefix="0" xfId="0"/>
    <xf numFmtId="0" fontId="11" fillId="7" borderId="12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0" fontId="24" fillId="10" borderId="12" pivotButton="0" quotePrefix="0" xfId="0"/>
    <xf numFmtId="0" fontId="27" fillId="0" borderId="0" applyAlignment="1" pivotButton="0" quotePrefix="0" xfId="0">
      <alignment vertical="center"/>
    </xf>
    <xf numFmtId="0" fontId="27" fillId="0" borderId="13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168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 wrapText="1"/>
    </xf>
    <xf numFmtId="0" fontId="30" fillId="38" borderId="13" applyAlignment="1" pivotButton="0" quotePrefix="0" xfId="0">
      <alignment vertical="center" wrapText="1"/>
    </xf>
    <xf numFmtId="0" fontId="30" fillId="39" borderId="13" applyAlignment="1" pivotButton="0" quotePrefix="0" xfId="0">
      <alignment vertical="center"/>
    </xf>
    <xf numFmtId="0" fontId="30" fillId="40" borderId="13" applyAlignment="1" pivotButton="0" quotePrefix="0" xfId="0">
      <alignment vertical="center" wrapText="1"/>
    </xf>
    <xf numFmtId="169" fontId="30" fillId="39" borderId="13" applyAlignment="1" pivotButton="0" quotePrefix="0" xfId="0">
      <alignment vertical="center"/>
    </xf>
    <xf numFmtId="168" fontId="27" fillId="39" borderId="13" applyAlignment="1" pivotButton="0" quotePrefix="0" xfId="0">
      <alignment vertical="center"/>
    </xf>
    <xf numFmtId="0" fontId="33" fillId="36" borderId="14" applyAlignment="1" pivotButton="0" quotePrefix="0" xfId="0">
      <alignment horizontal="center" vertical="center" wrapText="1"/>
    </xf>
    <xf numFmtId="0" fontId="30" fillId="38" borderId="14" applyAlignment="1" pivotButton="0" quotePrefix="0" xfId="0">
      <alignment vertical="center"/>
    </xf>
    <xf numFmtId="168" fontId="30" fillId="38" borderId="14" applyAlignment="1" pivotButton="0" quotePrefix="0" xfId="0">
      <alignment vertical="center"/>
    </xf>
    <xf numFmtId="0" fontId="30" fillId="38" borderId="14" applyAlignment="1" pivotButton="0" quotePrefix="0" xfId="0">
      <alignment vertical="center" wrapText="1"/>
    </xf>
    <xf numFmtId="168" fontId="30" fillId="40" borderId="13" applyAlignment="1" pivotButton="0" quotePrefix="0" xfId="0">
      <alignment vertical="center" wrapText="1"/>
    </xf>
    <xf numFmtId="168" fontId="27" fillId="40" borderId="13" applyAlignment="1" pivotButton="0" quotePrefix="0" xfId="0">
      <alignment vertical="center"/>
    </xf>
    <xf numFmtId="168" fontId="30" fillId="40" borderId="13" applyAlignment="1" pivotButton="0" quotePrefix="0" xfId="0">
      <alignment vertical="center"/>
    </xf>
    <xf numFmtId="0" fontId="27" fillId="40" borderId="14" applyAlignment="1" pivotButton="0" quotePrefix="0" xfId="0">
      <alignment vertical="center"/>
    </xf>
    <xf numFmtId="0" fontId="30" fillId="40" borderId="14" applyAlignment="1" pivotButton="0" quotePrefix="0" xfId="0">
      <alignment vertical="center" wrapText="1"/>
    </xf>
    <xf numFmtId="2" fontId="27" fillId="40" borderId="14" applyAlignment="1" pivotButton="0" quotePrefix="0" xfId="0">
      <alignment vertical="center"/>
    </xf>
    <xf numFmtId="168" fontId="27" fillId="40" borderId="14" applyAlignment="1" pivotButton="0" quotePrefix="0" xfId="0">
      <alignment vertical="center"/>
    </xf>
    <xf numFmtId="0" fontId="27" fillId="40" borderId="14" applyAlignment="1" pivotButton="0" quotePrefix="0" xfId="0">
      <alignment vertical="center" wrapText="1"/>
    </xf>
    <xf numFmtId="168" fontId="30" fillId="38" borderId="14" applyAlignment="1" pivotButton="0" quotePrefix="0" xfId="0">
      <alignment vertical="center" wrapText="1"/>
    </xf>
    <xf numFmtId="170" fontId="27" fillId="40" borderId="14" applyAlignment="1" pivotButton="0" quotePrefix="0" xfId="0">
      <alignment vertical="center"/>
    </xf>
    <xf numFmtId="170" fontId="30" fillId="38" borderId="14" applyAlignment="1" pivotButton="0" quotePrefix="0" xfId="0">
      <alignment vertical="center" wrapText="1"/>
    </xf>
    <xf numFmtId="0" fontId="33" fillId="36" borderId="15" applyAlignment="1" pivotButton="0" quotePrefix="0" xfId="0">
      <alignment horizontal="center" vertical="center" wrapText="1"/>
    </xf>
    <xf numFmtId="0" fontId="27" fillId="43" borderId="15" applyAlignment="1" pivotButton="0" quotePrefix="0" xfId="0">
      <alignment vertical="center"/>
    </xf>
    <xf numFmtId="2" fontId="27" fillId="43" borderId="15" applyAlignment="1" pivotButton="0" quotePrefix="0" xfId="0">
      <alignment vertical="center"/>
    </xf>
    <xf numFmtId="171" fontId="27" fillId="43" borderId="15" applyAlignment="1" pivotButton="0" quotePrefix="0" xfId="0">
      <alignment vertical="center"/>
    </xf>
    <xf numFmtId="10" fontId="27" fillId="43" borderId="15" applyAlignment="1" pivotButton="0" quotePrefix="0" xfId="0">
      <alignment vertical="center"/>
    </xf>
    <xf numFmtId="168" fontId="27" fillId="43" borderId="15" applyAlignment="1" pivotButton="0" quotePrefix="0" xfId="0">
      <alignment vertical="center"/>
    </xf>
    <xf numFmtId="0" fontId="27" fillId="43" borderId="15" applyAlignment="1" pivotButton="0" quotePrefix="0" xfId="0">
      <alignment vertical="center" wrapText="1"/>
    </xf>
    <xf numFmtId="0" fontId="8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6" borderId="0" applyAlignment="1" pivotButton="0" quotePrefix="0" xfId="0">
      <alignment horizontal="left" vertical="center"/>
    </xf>
    <xf numFmtId="0" fontId="29" fillId="37" borderId="0" applyAlignment="1" pivotButton="0" quotePrefix="0" xfId="0">
      <alignment vertical="center" wrapText="1"/>
    </xf>
    <xf numFmtId="0" fontId="27" fillId="39" borderId="13" applyAlignment="1" pivotButton="0" quotePrefix="0" xfId="0">
      <alignment vertical="center" wrapText="1"/>
    </xf>
    <xf numFmtId="0" fontId="31" fillId="41" borderId="0" applyAlignment="1" pivotButton="0" quotePrefix="0" xfId="0">
      <alignment vertical="center" wrapText="1"/>
    </xf>
    <xf numFmtId="0" fontId="32" fillId="42" borderId="0" applyAlignment="1" pivotButton="0" quotePrefix="0" xfId="0">
      <alignment horizontal="left" vertical="center"/>
    </xf>
    <xf numFmtId="0" fontId="30" fillId="38" borderId="0" applyAlignment="1" pivotButton="0" quotePrefix="0" xfId="0">
      <alignment vertical="center" wrapText="1"/>
    </xf>
    <xf numFmtId="0" fontId="30" fillId="40" borderId="13" applyAlignment="1" pivotButton="0" quotePrefix="0" xfId="0">
      <alignment vertical="center" wrapText="1"/>
    </xf>
    <xf numFmtId="0" fontId="30" fillId="40" borderId="14" applyAlignment="1" pivotButton="0" quotePrefix="0" xfId="0">
      <alignment vertical="center" wrapText="1"/>
    </xf>
    <xf numFmtId="164" fontId="7" fillId="18" borderId="4" applyAlignment="1" pivotButton="0" quotePrefix="0" xfId="0">
      <alignment horizontal="center" vertical="center"/>
    </xf>
    <xf numFmtId="0" fontId="14" fillId="8" borderId="30" applyAlignment="1" pivotButton="0" quotePrefix="0" xfId="0">
      <alignment horizontal="center" vertical="center" wrapText="1"/>
    </xf>
    <xf numFmtId="0" fontId="24" fillId="9" borderId="30" applyAlignment="1" pivotButton="0" quotePrefix="0" xfId="0">
      <alignment vertical="center"/>
    </xf>
    <xf numFmtId="0" fontId="24" fillId="0" borderId="30" applyAlignment="1" pivotButton="0" quotePrefix="0" xfId="0">
      <alignment vertical="center"/>
    </xf>
    <xf numFmtId="49" fontId="24" fillId="0" borderId="30" applyAlignment="1" pivotButton="0" quotePrefix="0" xfId="0">
      <alignment vertical="center"/>
    </xf>
    <xf numFmtId="167" fontId="24" fillId="0" borderId="30" applyAlignment="1" pivotButton="0" quotePrefix="0" xfId="0">
      <alignment vertical="center"/>
    </xf>
    <xf numFmtId="10" fontId="24" fillId="9" borderId="30" applyAlignment="1" pivotButton="0" quotePrefix="0" xfId="0">
      <alignment vertical="center"/>
    </xf>
    <xf numFmtId="164" fontId="24" fillId="33" borderId="30" applyAlignment="1" pivotButton="0" quotePrefix="0" xfId="0">
      <alignment vertical="center"/>
    </xf>
    <xf numFmtId="0" fontId="24" fillId="19" borderId="30" applyAlignment="1" pivotButton="0" quotePrefix="0" xfId="0">
      <alignment vertical="center"/>
    </xf>
    <xf numFmtId="0" fontId="24" fillId="20" borderId="30" applyAlignment="1" pivotButton="0" quotePrefix="0" xfId="0">
      <alignment vertical="center"/>
    </xf>
    <xf numFmtId="0" fontId="8" fillId="0" borderId="12" pivotButton="0" quotePrefix="0" xfId="0"/>
    <xf numFmtId="14" fontId="14" fillId="8" borderId="30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/>
    </xf>
    <xf numFmtId="10" fontId="24" fillId="33" borderId="30" applyAlignment="1" pivotButton="0" quotePrefix="0" xfId="0">
      <alignment horizontal="center" vertical="center"/>
    </xf>
    <xf numFmtId="164" fontId="24" fillId="33" borderId="30" applyAlignment="1" pivotButton="0" quotePrefix="0" xfId="0">
      <alignment horizontal="center" vertical="center"/>
    </xf>
    <xf numFmtId="0" fontId="24" fillId="16" borderId="30" applyAlignment="1" pivotButton="0" quotePrefix="0" xfId="0">
      <alignment horizontal="center" vertical="center"/>
    </xf>
    <xf numFmtId="10" fontId="24" fillId="16" borderId="30" applyAlignment="1" pivotButton="0" quotePrefix="0" xfId="0">
      <alignment horizontal="center" vertical="center"/>
    </xf>
    <xf numFmtId="164" fontId="24" fillId="16" borderId="30" applyAlignment="1" pivotButton="0" quotePrefix="0" xfId="0">
      <alignment horizontal="center" vertical="center"/>
    </xf>
    <xf numFmtId="0" fontId="26" fillId="31" borderId="30" applyAlignment="1" pivotButton="0" quotePrefix="0" xfId="0">
      <alignment horizontal="center" vertical="center"/>
    </xf>
    <xf numFmtId="0" fontId="25" fillId="31" borderId="30" applyAlignment="1" pivotButton="0" quotePrefix="0" xfId="0">
      <alignment horizontal="center" vertical="center"/>
    </xf>
    <xf numFmtId="14" fontId="25" fillId="31" borderId="30" applyAlignment="1" pivotButton="0" quotePrefix="0" xfId="0">
      <alignment horizontal="center" vertical="center"/>
    </xf>
    <xf numFmtId="164" fontId="26" fillId="31" borderId="30" applyAlignment="1" pivotButton="0" quotePrefix="0" xfId="0">
      <alignment horizontal="center" vertical="center"/>
    </xf>
    <xf numFmtId="10" fontId="26" fillId="31" borderId="30" applyAlignment="1" pivotButton="0" quotePrefix="0" xfId="0">
      <alignment horizontal="center" vertical="center"/>
    </xf>
    <xf numFmtId="165" fontId="15" fillId="0" borderId="8" pivotButton="0" quotePrefix="0" xfId="0"/>
    <xf numFmtId="167" fontId="24" fillId="0" borderId="30" pivotButton="0" quotePrefix="0" xfId="0"/>
    <xf numFmtId="172" fontId="24" fillId="9" borderId="30" pivotButton="0" quotePrefix="0" xfId="0"/>
    <xf numFmtId="164" fontId="24" fillId="33" borderId="30" pivotButton="0" quotePrefix="0" xfId="0"/>
    <xf numFmtId="172" fontId="24" fillId="33" borderId="30" pivotButton="0" quotePrefix="0" xfId="0"/>
    <xf numFmtId="0" fontId="24" fillId="0" borderId="30" applyAlignment="1" pivotButton="0" quotePrefix="0" xfId="0">
      <alignment horizontal="center"/>
    </xf>
    <xf numFmtId="0" fontId="16" fillId="9" borderId="30" pivotButton="0" quotePrefix="0" xfId="0"/>
    <xf numFmtId="4" fontId="16" fillId="9" borderId="30" pivotButton="0" quotePrefix="0" xfId="0"/>
    <xf numFmtId="172" fontId="16" fillId="9" borderId="30" pivotButton="0" quotePrefix="0" xfId="0"/>
    <xf numFmtId="4" fontId="9" fillId="9" borderId="30" pivotButton="0" quotePrefix="0" xfId="0"/>
    <xf numFmtId="4" fontId="24" fillId="33" borderId="30" pivotButton="0" quotePrefix="0" xfId="0"/>
    <xf numFmtId="172" fontId="16" fillId="0" borderId="8" pivotButton="0" quotePrefix="0" xfId="0"/>
    <xf numFmtId="0" fontId="24" fillId="33" borderId="30" pivotButton="0" quotePrefix="0" xfId="0"/>
    <xf numFmtId="0" fontId="11" fillId="33" borderId="30" applyAlignment="1" pivotButton="0" quotePrefix="0" xfId="0">
      <alignment horizontal="center"/>
    </xf>
    <xf numFmtId="0" fontId="22" fillId="33" borderId="30" applyAlignment="1" pivotButton="0" quotePrefix="0" xfId="0">
      <alignment horizontal="center"/>
    </xf>
    <xf numFmtId="10" fontId="22" fillId="33" borderId="30" pivotButton="0" quotePrefix="0" xfId="0"/>
    <xf numFmtId="164" fontId="22" fillId="33" borderId="30" pivotButton="0" quotePrefix="0" xfId="0"/>
    <xf numFmtId="0" fontId="11" fillId="9" borderId="30" applyAlignment="1" pivotButton="0" quotePrefix="0" xfId="0">
      <alignment horizontal="center" vertical="center" wrapText="1"/>
    </xf>
    <xf numFmtId="4" fontId="11" fillId="9" borderId="30" applyAlignment="1" pivotButton="0" quotePrefix="0" xfId="0">
      <alignment horizontal="center" vertical="center" wrapText="1"/>
    </xf>
    <xf numFmtId="172" fontId="11" fillId="9" borderId="30" applyAlignment="1" pivotButton="0" quotePrefix="0" xfId="0">
      <alignment horizontal="center" vertical="center" wrapText="1"/>
    </xf>
    <xf numFmtId="172" fontId="24" fillId="33" borderId="30" applyAlignment="1" pivotButton="0" quotePrefix="0" xfId="0">
      <alignment horizontal="center" vertical="center" wrapText="1"/>
    </xf>
    <xf numFmtId="4" fontId="24" fillId="33" borderId="30" applyAlignment="1" pivotButton="0" quotePrefix="0" xfId="0">
      <alignment horizontal="center" vertical="center" wrapText="1"/>
    </xf>
    <xf numFmtId="172" fontId="11" fillId="25" borderId="4" applyAlignment="1" pivotButton="0" quotePrefix="0" xfId="0">
      <alignment horizontal="center" vertical="center" wrapText="1"/>
    </xf>
    <xf numFmtId="0" fontId="24" fillId="33" borderId="30" applyAlignment="1" pivotButton="0" quotePrefix="0" xfId="0">
      <alignment horizontal="center" vertical="center" wrapText="1"/>
    </xf>
    <xf numFmtId="172" fontId="16" fillId="0" borderId="2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5" fillId="9" borderId="30" pivotButton="0" quotePrefix="0" xfId="0"/>
    <xf numFmtId="4" fontId="15" fillId="9" borderId="30" pivotButton="0" quotePrefix="0" xfId="0"/>
    <xf numFmtId="172" fontId="15" fillId="9" borderId="30" pivotButton="0" quotePrefix="0" xfId="0"/>
    <xf numFmtId="0" fontId="22" fillId="10" borderId="8" applyAlignment="1" pivotButton="0" quotePrefix="0" xfId="0">
      <alignment horizontal="center"/>
    </xf>
    <xf numFmtId="10" fontId="22" fillId="10" borderId="8" pivotButton="0" quotePrefix="0" xfId="0"/>
    <xf numFmtId="164" fontId="22" fillId="10" borderId="8" pivotButton="0" quotePrefix="0" xfId="0"/>
    <xf numFmtId="173" fontId="7" fillId="9" borderId="30" pivotButton="0" quotePrefix="0" xfId="0"/>
    <xf numFmtId="0" fontId="24" fillId="33" borderId="30" applyAlignment="1" pivotButton="0" quotePrefix="0" xfId="0">
      <alignment horizontal="center"/>
    </xf>
    <xf numFmtId="172" fontId="7" fillId="9" borderId="30" pivotButton="0" quotePrefix="0" xfId="0"/>
    <xf numFmtId="0" fontId="7" fillId="9" borderId="30" applyAlignment="1" pivotButton="0" quotePrefix="0" xfId="0">
      <alignment horizontal="center" vertical="center" wrapText="1"/>
    </xf>
    <xf numFmtId="0" fontId="21" fillId="9" borderId="8" applyAlignment="1" pivotButton="0" quotePrefix="0" xfId="0">
      <alignment horizontal="center" vertical="center" wrapText="1"/>
    </xf>
    <xf numFmtId="3" fontId="21" fillId="9" borderId="8" applyAlignment="1" pivotButton="0" quotePrefix="0" xfId="0">
      <alignment horizontal="center" vertical="center" wrapText="1"/>
    </xf>
    <xf numFmtId="166" fontId="21" fillId="9" borderId="8" applyAlignment="1" pivotButton="0" quotePrefix="0" xfId="0">
      <alignment horizontal="center" vertical="center" wrapText="1"/>
    </xf>
    <xf numFmtId="0" fontId="21" fillId="29" borderId="8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center" vertical="center" wrapText="1"/>
    </xf>
    <xf numFmtId="0" fontId="21" fillId="29" borderId="4" applyAlignment="1" pivotButton="0" quotePrefix="0" xfId="0">
      <alignment horizontal="left" vertical="center" wrapText="1"/>
    </xf>
    <xf numFmtId="166" fontId="11" fillId="25" borderId="8" applyAlignment="1" pivotButton="0" quotePrefix="0" xfId="0">
      <alignment horizontal="center" vertical="center" wrapText="1"/>
    </xf>
    <xf numFmtId="166" fontId="21" fillId="0" borderId="11" pivotButton="0" quotePrefix="0" xfId="0"/>
    <xf numFmtId="164" fontId="22" fillId="33" borderId="11" pivotButton="0" quotePrefix="0" xfId="0"/>
    <xf numFmtId="166" fontId="22" fillId="33" borderId="11" pivotButton="0" quotePrefix="0" xfId="0"/>
    <xf numFmtId="166" fontId="23" fillId="33" borderId="11" applyAlignment="1" pivotButton="0" quotePrefix="0" xfId="0">
      <alignment horizontal="center" vertical="center" wrapText="1"/>
    </xf>
    <xf numFmtId="166" fontId="14" fillId="5" borderId="4" applyAlignment="1" pivotButton="0" quotePrefix="0" xfId="0">
      <alignment horizontal="center" vertical="center" wrapText="1"/>
    </xf>
    <xf numFmtId="0" fontId="7" fillId="9" borderId="30" applyAlignment="1" pivotButton="0" quotePrefix="0" xfId="0">
      <alignment vertical="center"/>
    </xf>
    <xf numFmtId="167" fontId="7" fillId="9" borderId="30" applyAlignment="1" pivotButton="0" quotePrefix="0" xfId="0">
      <alignment vertical="center"/>
    </xf>
    <xf numFmtId="4" fontId="7" fillId="9" borderId="30" applyAlignment="1" pivotButton="0" quotePrefix="0" xfId="0">
      <alignment vertical="center"/>
    </xf>
    <xf numFmtId="172" fontId="24" fillId="33" borderId="30" applyAlignment="1" pivotButton="0" quotePrefix="0" xfId="0">
      <alignment vertical="center"/>
    </xf>
    <xf numFmtId="0" fontId="20" fillId="3" borderId="30" pivotButton="0" quotePrefix="0" xfId="0"/>
    <xf numFmtId="172" fontId="20" fillId="4" borderId="30" pivotButton="0" quotePrefix="0" xfId="0"/>
    <xf numFmtId="4" fontId="20" fillId="4" borderId="30" pivotButton="0" quotePrefix="0" xfId="0"/>
    <xf numFmtId="172" fontId="20" fillId="6" borderId="30" pivotButton="0" quotePrefix="0" xfId="0"/>
    <xf numFmtId="4" fontId="20" fillId="6" borderId="30" pivotButton="0" quotePrefix="0" xfId="0"/>
    <xf numFmtId="172" fontId="20" fillId="35" borderId="30" pivotButton="0" quotePrefix="0" xfId="0"/>
    <xf numFmtId="172" fontId="20" fillId="32" borderId="30" pivotButton="0" quotePrefix="0" xfId="0"/>
    <xf numFmtId="0" fontId="20" fillId="0" borderId="30" pivotButton="0" quotePrefix="0" xfId="0"/>
    <xf numFmtId="166" fontId="11" fillId="7" borderId="12" pivotButton="0" quotePrefix="0" xfId="0"/>
    <xf numFmtId="166" fontId="14" fillId="21" borderId="4" applyAlignment="1" pivotButton="0" quotePrefix="0" xfId="0">
      <alignment horizontal="center" vertical="center" wrapText="1"/>
    </xf>
    <xf numFmtId="166" fontId="12" fillId="22" borderId="4" applyAlignment="1" pivotButton="0" quotePrefix="0" xfId="0">
      <alignment horizontal="center" vertical="center" wrapText="1"/>
    </xf>
    <xf numFmtId="10" fontId="24" fillId="33" borderId="30" pivotButton="0" quotePrefix="0" xfId="0"/>
    <xf numFmtId="166" fontId="15" fillId="0" borderId="2" pivotButton="0" quotePrefix="0" xfId="0"/>
    <xf numFmtId="0" fontId="14" fillId="36" borderId="2" applyAlignment="1" pivotButton="0" quotePrefix="0" xfId="0">
      <alignment horizontal="left" vertical="center"/>
    </xf>
    <xf numFmtId="0" fontId="36" fillId="37" borderId="2" applyAlignment="1" pivotButton="0" quotePrefix="0" xfId="0">
      <alignment vertical="center" wrapText="1"/>
    </xf>
    <xf numFmtId="0" fontId="37" fillId="38" borderId="13" applyAlignment="1" pivotButton="0" quotePrefix="0" xfId="0">
      <alignment vertical="center" wrapText="1"/>
    </xf>
    <xf numFmtId="0" fontId="37" fillId="39" borderId="13" applyAlignment="1" pivotButton="0" quotePrefix="0" xfId="0">
      <alignment vertical="center"/>
    </xf>
    <xf numFmtId="169" fontId="37" fillId="39" borderId="13" applyAlignment="1" pivotButton="0" quotePrefix="0" xfId="0">
      <alignment vertical="center"/>
    </xf>
    <xf numFmtId="0" fontId="37" fillId="40" borderId="13" applyAlignment="1" pivotButton="0" quotePrefix="0" xfId="0">
      <alignment vertical="center" wrapText="1"/>
    </xf>
    <xf numFmtId="168" fontId="27" fillId="39" borderId="13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38" fillId="41" borderId="2" applyAlignment="1" pivotButton="0" quotePrefix="0" xfId="0">
      <alignment vertical="center" wrapText="1"/>
    </xf>
    <xf numFmtId="0" fontId="14" fillId="42" borderId="2" applyAlignment="1" pivotButton="0" quotePrefix="0" xfId="0">
      <alignment horizontal="left" vertical="center"/>
    </xf>
    <xf numFmtId="0" fontId="14" fillId="36" borderId="14" applyAlignment="1" pivotButton="0" quotePrefix="0" xfId="0">
      <alignment horizontal="center" vertical="center" wrapText="1"/>
    </xf>
    <xf numFmtId="0" fontId="39" fillId="0" borderId="14" applyAlignment="1" pivotButton="0" quotePrefix="0" xfId="0">
      <alignment vertical="center"/>
    </xf>
    <xf numFmtId="168" fontId="39" fillId="0" borderId="14" applyAlignment="1" pivotButton="0" quotePrefix="0" xfId="0">
      <alignment vertical="center"/>
    </xf>
    <xf numFmtId="0" fontId="39" fillId="0" borderId="14" applyAlignment="1" pivotButton="0" quotePrefix="0" xfId="0">
      <alignment vertical="center" wrapText="1"/>
    </xf>
    <xf numFmtId="0" fontId="37" fillId="38" borderId="14" applyAlignment="1" pivotButton="0" quotePrefix="0" xfId="0">
      <alignment vertical="center"/>
    </xf>
    <xf numFmtId="168" fontId="37" fillId="38" borderId="14" applyAlignment="1" pivotButton="0" quotePrefix="0" xfId="0">
      <alignment vertical="center"/>
    </xf>
    <xf numFmtId="0" fontId="37" fillId="38" borderId="14" applyAlignment="1" pivotButton="0" quotePrefix="0" xfId="0">
      <alignment vertical="center" wrapText="1"/>
    </xf>
    <xf numFmtId="168" fontId="37" fillId="40" borderId="13" applyAlignment="1" pivotButton="0" quotePrefix="0" xfId="0">
      <alignment vertical="center" wrapText="1"/>
    </xf>
    <xf numFmtId="0" fontId="37" fillId="38" borderId="2" applyAlignment="1" pivotButton="0" quotePrefix="0" xfId="0">
      <alignment vertical="center" wrapText="1"/>
    </xf>
    <xf numFmtId="168" fontId="39" fillId="40" borderId="13" applyAlignment="1" pivotButton="0" quotePrefix="0" xfId="0">
      <alignment vertical="center"/>
    </xf>
    <xf numFmtId="168" fontId="37" fillId="40" borderId="13" applyAlignment="1" pivotButton="0" quotePrefix="0" xfId="0">
      <alignment vertical="center"/>
    </xf>
    <xf numFmtId="2" fontId="39" fillId="40" borderId="14" applyAlignment="1" pivotButton="0" quotePrefix="0" xfId="0">
      <alignment vertical="center"/>
    </xf>
    <xf numFmtId="168" fontId="39" fillId="40" borderId="14" applyAlignment="1" pivotButton="0" quotePrefix="0" xfId="0">
      <alignment vertical="center"/>
    </xf>
    <xf numFmtId="0" fontId="39" fillId="40" borderId="14" applyAlignment="1" pivotButton="0" quotePrefix="0" xfId="0">
      <alignment vertical="center" wrapText="1"/>
    </xf>
    <xf numFmtId="168" fontId="27" fillId="40" borderId="14" applyAlignment="1" pivotButton="0" quotePrefix="0" xfId="0">
      <alignment vertical="center"/>
    </xf>
    <xf numFmtId="0" fontId="0" fillId="0" borderId="24" pivotButton="0" quotePrefix="0" xfId="0"/>
    <xf numFmtId="0" fontId="0" fillId="0" borderId="25" pivotButton="0" quotePrefix="0" xfId="0"/>
    <xf numFmtId="0" fontId="37" fillId="40" borderId="14" applyAlignment="1" pivotButton="0" quotePrefix="0" xfId="0">
      <alignment vertical="center" wrapText="1"/>
    </xf>
    <xf numFmtId="168" fontId="37" fillId="38" borderId="14" applyAlignment="1" pivotButton="0" quotePrefix="0" xfId="0">
      <alignment vertical="center" wrapText="1"/>
    </xf>
    <xf numFmtId="0" fontId="39" fillId="40" borderId="14" applyAlignment="1" pivotButton="0" quotePrefix="0" xfId="0">
      <alignment vertical="center"/>
    </xf>
    <xf numFmtId="170" fontId="39" fillId="40" borderId="14" applyAlignment="1" pivotButton="0" quotePrefix="0" xfId="0">
      <alignment vertical="center"/>
    </xf>
    <xf numFmtId="170" fontId="37" fillId="38" borderId="14" applyAlignment="1" pivotButton="0" quotePrefix="0" xfId="0">
      <alignment vertical="center" wrapText="1"/>
    </xf>
    <xf numFmtId="0" fontId="14" fillId="36" borderId="15" applyAlignment="1" pivotButton="0" quotePrefix="0" xfId="0">
      <alignment horizontal="center" vertical="center" wrapText="1"/>
    </xf>
    <xf numFmtId="0" fontId="39" fillId="43" borderId="15" applyAlignment="1" pivotButton="0" quotePrefix="0" xfId="0">
      <alignment vertical="center"/>
    </xf>
    <xf numFmtId="2" fontId="39" fillId="43" borderId="15" applyAlignment="1" pivotButton="0" quotePrefix="0" xfId="0">
      <alignment vertical="center"/>
    </xf>
    <xf numFmtId="171" fontId="39" fillId="43" borderId="15" applyAlignment="1" pivotButton="0" quotePrefix="0" xfId="0">
      <alignment vertical="center"/>
    </xf>
    <xf numFmtId="10" fontId="39" fillId="43" borderId="15" applyAlignment="1" pivotButton="0" quotePrefix="0" xfId="0">
      <alignment vertical="center"/>
    </xf>
    <xf numFmtId="168" fontId="39" fillId="43" borderId="15" applyAlignment="1" pivotButton="0" quotePrefix="0" xfId="0">
      <alignment vertical="center"/>
    </xf>
    <xf numFmtId="0" fontId="39" fillId="43" borderId="15" applyAlignment="1" pivotButton="0" quotePrefix="0" xfId="0">
      <alignment vertical="center" wrapText="1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67" fontId="24" fillId="33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  <xf numFmtId="10" fontId="26" fillId="31" borderId="30" pivotButton="0" quotePrefix="0" xfId="0"/>
    <xf numFmtId="0" fontId="14" fillId="5" borderId="4" applyAlignment="1" pivotButton="0" quotePrefix="0" xfId="0">
      <alignment horizontal="center" vertical="center"/>
    </xf>
    <xf numFmtId="4" fontId="14" fillId="5" borderId="4" applyAlignment="1" pivotButton="0" quotePrefix="0" xfId="0">
      <alignment horizontal="center" vertical="center"/>
    </xf>
    <xf numFmtId="166" fontId="14" fillId="5" borderId="4" applyAlignment="1" pivotButton="0" quotePrefix="0" xfId="0">
      <alignment horizontal="center" vertical="center"/>
    </xf>
    <xf numFmtId="4" fontId="8" fillId="9" borderId="4" applyAlignment="1" pivotButton="0" quotePrefix="0" xfId="0">
      <alignment horizontal="center" vertical="center"/>
    </xf>
    <xf numFmtId="166" fontId="8" fillId="9" borderId="4" applyAlignment="1" pivotButton="0" quotePrefix="0" xfId="0">
      <alignment horizontal="center" vertical="center"/>
    </xf>
    <xf numFmtId="4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17" borderId="4" applyAlignment="1" pivotButton="0" quotePrefix="0" xfId="0">
      <alignment horizontal="center" vertical="center"/>
    </xf>
  </cellXfs>
  <cellStyles count="1">
    <cellStyle name="Normal" xfId="0" builtinId="0"/>
  </cellStyles>
  <dxfs count="21"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indexed="9"/>
      </font>
      <fill>
        <patternFill>
          <bgColor indexed="1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1"/>
        <color rgb="FF9C5700"/>
      </font>
      <fill>
        <patternFill patternType="solid">
          <fgColor rgb="FFFCE4D6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tabSelected="1" workbookViewId="0">
      <selection activeCell="A1" sqref="A1"/>
    </sheetView>
  </sheetViews>
  <sheetFormatPr baseColWidth="8" defaultColWidth="30" defaultRowHeight="14.5"/>
  <cols>
    <col width="36" customWidth="1" style="3" min="1" max="1"/>
    <col width="22" customWidth="1" style="3" min="2" max="2"/>
    <col width="48" customWidth="1" style="3" min="3" max="3"/>
    <col width="30" customWidth="1" style="3" min="4" max="4"/>
    <col width="28" customWidth="1" min="5" max="5"/>
    <col width="30" customWidth="1" style="3" min="6" max="6"/>
    <col width="30" customWidth="1" style="3" min="7" max="16384"/>
  </cols>
  <sheetData>
    <row r="1" ht="15.75" customHeight="1">
      <c r="A1" s="1" t="inlineStr">
        <is>
          <t>MODO DE LEITURA</t>
        </is>
      </c>
      <c r="B1" s="5" t="inlineStr">
        <is>
          <t>Principal</t>
        </is>
      </c>
      <c r="C1" s="3" t="inlineStr">
        <is>
          <t>Principal = pago + remanescente | D = consumo por ciclo</t>
        </is>
      </c>
    </row>
    <row r="2">
      <c r="A2" s="1" t="inlineStr">
        <is>
          <t>Ciclo vigente (em execução)</t>
        </is>
      </c>
      <c r="B2" s="2" t="inlineStr">
        <is>
          <t>C0</t>
        </is>
      </c>
    </row>
    <row r="3">
      <c r="A3" s="1" t="inlineStr">
        <is>
          <t>Data de corte (única p/ contrato)</t>
        </is>
      </c>
      <c r="B3" s="64" t="n"/>
    </row>
    <row r="4" hidden="1">
      <c r="A4" s="3" t="inlineStr">
        <is>
          <t>C0 e ciclos fora da analise</t>
        </is>
      </c>
      <c r="B4" s="3" t="inlineStr">
        <is>
          <t>Preencher FINANCEIRO: coluna B com o nome do ciclo (ex: c0, c1), coluna C com o valor efetivamente pago. Se vazio, o sistema usa calculo por itens/estoque.</t>
        </is>
      </c>
    </row>
    <row r="5" ht="5" customHeight="1">
      <c r="A5" s="4" t="n"/>
    </row>
    <row r="6" ht="22" customHeight="1">
      <c r="A6" s="7" t="inlineStr">
        <is>
          <t>RESUMO DO REAJUSTE</t>
        </is>
      </c>
      <c r="B6" s="7" t="inlineStr">
        <is>
          <t>VALOR</t>
        </is>
      </c>
      <c r="C6" s="6" t="n"/>
      <c r="D6" s="6" t="n"/>
      <c r="E6" s="6" t="n"/>
      <c r="F6" s="6" t="n"/>
      <c r="G6" s="6" t="n"/>
    </row>
    <row r="7" ht="18" customHeight="1">
      <c r="A7" s="8" t="inlineStr">
        <is>
          <t>Índice utilizado</t>
        </is>
      </c>
      <c r="B7" s="9" t="n"/>
      <c r="C7" s="10" t="n"/>
      <c r="D7" s="10" t="n"/>
      <c r="E7" s="10" t="n"/>
      <c r="F7" s="6" t="n"/>
      <c r="G7" s="6" t="n"/>
    </row>
    <row r="8" ht="28" customHeight="1">
      <c r="A8" s="8" t="inlineStr">
        <is>
          <t>Data-base original</t>
        </is>
      </c>
      <c r="B8" s="65" t="n"/>
      <c r="C8" s="11" t="n"/>
      <c r="D8" s="11" t="n"/>
      <c r="E8" s="11" t="n"/>
      <c r="F8" s="6" t="n"/>
      <c r="G8" s="6" t="n"/>
    </row>
    <row r="9" ht="28" customHeight="1">
      <c r="A9" s="8" t="inlineStr">
        <is>
          <t>Quantidade de ciclos desta análise</t>
        </is>
      </c>
      <c r="B9" s="12">
        <f>COUNTIF(parametros!A2:A6,"Sim")</f>
        <v/>
      </c>
      <c r="C9" s="11" t="n"/>
      <c r="D9" s="11" t="n"/>
      <c r="E9" s="11" t="n"/>
      <c r="F9" s="6" t="n"/>
      <c r="G9" s="6" t="n"/>
    </row>
    <row r="10" ht="28" customHeight="1">
      <c r="A10" s="8" t="inlineStr">
        <is>
          <t>Variação acumulada final</t>
        </is>
      </c>
      <c r="B10" s="13">
        <f>IFERROR(IF(ISNUMBER(parametros!F6),parametros!F6-1,IF(ISNUMBER(parametros!F5),parametros!F5-1,IF(ISNUMBER(parametros!F4),parametros!F4-1,IF(ISNUMBER(parametros!F3),parametros!F3-1,IF(ISNUMBER(parametros!F2),parametros!F2-1,""))))),"")</f>
        <v/>
      </c>
      <c r="C10" s="11" t="n"/>
      <c r="D10" s="11" t="n"/>
      <c r="E10" s="11" t="n"/>
      <c r="F10" s="6" t="n"/>
      <c r="G10" s="6" t="n"/>
    </row>
    <row r="11" ht="28" customHeight="1">
      <c r="A11" s="8" t="inlineStr">
        <is>
          <t>Fator acumulado total</t>
        </is>
      </c>
      <c r="B11" s="198">
        <f>IFERROR(IF(ISNUMBER(parametros!F6),parametros!F6,IF(ISNUMBER(parametros!F5),parametros!F5,IF(ISNUMBER(parametros!F4),parametros!F4,IF(ISNUMBER(parametros!F3),parametros!F3,IF(ISNUMBER(parametros!F2),parametros!F2,""))))),"")</f>
        <v/>
      </c>
      <c r="C11" s="11" t="n"/>
      <c r="D11" s="11" t="n"/>
      <c r="E11" s="11" t="n"/>
      <c r="F11" s="6" t="n"/>
      <c r="G11" s="6" t="n"/>
    </row>
    <row r="12" ht="28" customHeight="1">
      <c r="A12" s="8" t="inlineStr">
        <is>
          <t>Último ciclo considerado nesta apuração</t>
        </is>
      </c>
      <c r="B12" s="9">
        <f>IFERROR(IF(parametros!A6="Sim",parametros!B6,IF(parametros!A5="Sim",parametros!B5,IF(parametros!A4="Sim",parametros!B4,IF(parametros!A3="Sim",parametros!B3,IF(parametros!A2="Sim",parametros!B2,"Nenhum"))))),"Nenhum")</f>
        <v/>
      </c>
      <c r="C12" s="11" t="n"/>
      <c r="D12" s="11" t="n"/>
      <c r="E12" s="11" t="n"/>
      <c r="F12" s="6" t="n"/>
      <c r="G12" s="6" t="n"/>
    </row>
    <row r="13" ht="20.15" customHeight="1">
      <c r="A13" s="8" t="inlineStr">
        <is>
          <t>Início do último ciclo considerado</t>
        </is>
      </c>
      <c r="B13" s="65">
        <f>IFERROR(IF(parametros!A6="Sim",parametros!C6,IF(parametros!A5="Sim",parametros!C5,IF(parametros!A4="Sim",parametros!C4,IF(parametros!A3="Sim",parametros!C3,IF(parametros!A2="Sim",parametros!C2,""))))),"")</f>
        <v/>
      </c>
      <c r="C13" s="6" t="n"/>
      <c r="D13" s="6" t="n"/>
      <c r="E13" s="6" t="n"/>
      <c r="F13" s="6" t="n"/>
      <c r="G13" s="6" t="n"/>
    </row>
    <row r="14" hidden="1" ht="5" customHeight="1">
      <c r="A14" s="8" t="inlineStr">
        <is>
          <t>Data de geracao do arquivo</t>
        </is>
      </c>
      <c r="B14" s="65">
        <f>NOW()</f>
        <v/>
      </c>
      <c r="C14" s="6" t="n"/>
      <c r="D14" s="6" t="n"/>
      <c r="E14" s="6" t="n"/>
      <c r="F14" s="6" t="n"/>
      <c r="G14" s="6" t="n"/>
    </row>
    <row r="15" hidden="1" ht="22" customHeight="1">
      <c r="A15" s="10" t="n"/>
      <c r="B15" s="6" t="n"/>
      <c r="C15" s="6" t="n"/>
      <c r="D15" s="6" t="n"/>
      <c r="E15" s="6" t="n"/>
      <c r="F15" s="6" t="n"/>
      <c r="G15" s="6" t="n"/>
    </row>
    <row r="16" hidden="1" ht="40" customHeight="1">
      <c r="A16" s="11" t="n"/>
      <c r="B16" s="6" t="n"/>
      <c r="C16" s="6" t="n"/>
      <c r="D16" s="6" t="n"/>
      <c r="E16" s="6" t="n"/>
      <c r="F16" s="6" t="n"/>
      <c r="G16" s="6" t="n"/>
    </row>
    <row r="17" hidden="1">
      <c r="A17" s="6" t="n"/>
      <c r="B17" s="6" t="n"/>
      <c r="C17" s="6" t="n"/>
      <c r="D17" s="6" t="n"/>
      <c r="E17" s="6" t="n"/>
      <c r="F17" s="6" t="n"/>
      <c r="G17" s="6" t="n"/>
    </row>
    <row r="18" hidden="1" ht="40" customHeight="1">
      <c r="A18" s="15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</sheetData>
  <dataValidations count="2">
    <dataValidation sqref="B2" showDropDown="0" showInputMessage="0" showErrorMessage="0" allowBlank="0" type="list">
      <formula1>"C0,C1,C2,C3,C4"</formula1>
      <formula2>0</formula2>
    </dataValidation>
    <dataValidation sqref="B1" showDropDown="0" showInputMessage="1" showErrorMessage="1" allowBlank="0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type="list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54296875" defaultRowHeight="14.5"/>
  <cols>
    <col width="30" customWidth="1" style="3" min="1" max="1"/>
    <col width="10" customWidth="1" style="3" min="2" max="2"/>
    <col width="16" customWidth="1" style="3" min="3" max="3"/>
    <col width="16" customWidth="1" min="4" max="4"/>
    <col width="23" customWidth="1" style="3" min="5" max="5"/>
    <col width="20" customWidth="1" min="6" max="6"/>
    <col width="28" customWidth="1" style="3" min="7" max="7"/>
    <col width="28" customWidth="1" min="8" max="8"/>
    <col width="14" customWidth="1" style="3" min="9" max="9"/>
    <col width="8.54296875" customWidth="1" style="3" min="10" max="11"/>
    <col width="8.54296875" customWidth="1" style="3" min="12" max="16384"/>
  </cols>
  <sheetData>
    <row r="1" ht="32" customHeight="1">
      <c r="A1" s="199" t="inlineStr">
        <is>
          <t>COMPUTAR_NESTA_APURACAO</t>
        </is>
      </c>
      <c r="B1" s="199" t="inlineStr">
        <is>
          <t>CICLO</t>
        </is>
      </c>
      <c r="C1" s="199" t="inlineStr">
        <is>
          <t>DATA_INICIO</t>
        </is>
      </c>
      <c r="D1" s="199" t="inlineStr">
        <is>
          <t>DATA_FIM</t>
        </is>
      </c>
      <c r="E1" s="199" t="inlineStr">
        <is>
          <t>PERCENTUAL_DO_CICLO</t>
        </is>
      </c>
      <c r="F1" s="199" t="inlineStr">
        <is>
          <t>FATOR_ACUMULADO</t>
        </is>
      </c>
      <c r="G1" s="199" t="inlineStr">
        <is>
          <t>SITUACAO</t>
        </is>
      </c>
    </row>
    <row r="2">
      <c r="A2" s="200" t="inlineStr">
        <is>
          <t>Nao</t>
        </is>
      </c>
      <c r="B2" s="201" t="inlineStr">
        <is>
          <t>C0</t>
        </is>
      </c>
      <c r="C2" s="203" t="n"/>
      <c r="D2" s="203" t="n"/>
      <c r="E2" s="204" t="n">
        <v>0</v>
      </c>
      <c r="F2" s="205">
        <f>1</f>
        <v/>
      </c>
      <c r="G2" s="206" t="inlineStr">
        <is>
          <t>Base</t>
        </is>
      </c>
    </row>
    <row r="3">
      <c r="A3" s="200" t="inlineStr">
        <is>
          <t>Nao</t>
        </is>
      </c>
      <c r="B3" s="201" t="inlineStr">
        <is>
          <t>C1</t>
        </is>
      </c>
      <c r="C3" s="203" t="n"/>
      <c r="D3" s="203" t="n"/>
      <c r="E3" s="204" t="n"/>
      <c r="F3" s="205">
        <f>IF(E3="","",IF(NOT(ISNUMBER(E3)),"",IF(NOT(ISNUMBER(F2)),"",F2*(1+E3))))</f>
        <v/>
      </c>
      <c r="G3" s="207" t="inlineStr">
        <is>
          <t>Fora desta apuracao</t>
        </is>
      </c>
    </row>
    <row r="4">
      <c r="A4" s="200" t="inlineStr">
        <is>
          <t>Nao</t>
        </is>
      </c>
      <c r="B4" s="201" t="inlineStr">
        <is>
          <t>C2</t>
        </is>
      </c>
      <c r="C4" s="203" t="n"/>
      <c r="D4" s="203" t="n"/>
      <c r="E4" s="204" t="n"/>
      <c r="F4" s="205">
        <f>IF(E4="","",IF(NOT(ISNUMBER(E4)),"",IF(NOT(ISNUMBER(F3)),"",F3*(1+E4))))</f>
        <v/>
      </c>
      <c r="G4" s="207" t="inlineStr">
        <is>
          <t>Fora desta apuracao</t>
        </is>
      </c>
    </row>
    <row r="5">
      <c r="A5" s="200" t="inlineStr">
        <is>
          <t>Nao</t>
        </is>
      </c>
      <c r="B5" s="201" t="inlineStr">
        <is>
          <t>C3</t>
        </is>
      </c>
      <c r="C5" s="203" t="n"/>
      <c r="D5" s="203" t="n"/>
      <c r="E5" s="204" t="n"/>
      <c r="F5" s="205">
        <f>IF(E5="","",IF(NOT(ISNUMBER(E5)),"",IF(NOT(ISNUMBER(F4)),"",F4*(1+E5))))</f>
        <v/>
      </c>
      <c r="G5" s="207" t="inlineStr">
        <is>
          <t>Fora desta apuracao</t>
        </is>
      </c>
    </row>
    <row r="6">
      <c r="A6" s="200" t="inlineStr">
        <is>
          <t>Nao</t>
        </is>
      </c>
      <c r="B6" s="201" t="inlineStr">
        <is>
          <t>C4</t>
        </is>
      </c>
      <c r="C6" s="203" t="n"/>
      <c r="D6" s="203" t="n"/>
      <c r="E6" s="204" t="n"/>
      <c r="F6" s="205">
        <f>IF(E6="","",IF(NOT(ISNUMBER(E6)),"",IF(NOT(ISNUMBER(F5)),"",F5*(1+E6))))</f>
        <v/>
      </c>
      <c r="G6" s="207" t="inlineStr">
        <is>
          <t>Fora desta apuracao</t>
        </is>
      </c>
    </row>
    <row r="7">
      <c r="A7" s="19" t="n"/>
      <c r="B7" s="19" t="n"/>
      <c r="C7" s="20" t="n"/>
      <c r="D7" s="20" t="n"/>
      <c r="E7" s="19" t="n"/>
      <c r="F7" s="19" t="n"/>
      <c r="G7" s="19" t="n"/>
    </row>
    <row r="8">
      <c r="A8" s="19" t="n"/>
      <c r="B8" s="19" t="n"/>
      <c r="C8" s="20" t="n"/>
      <c r="D8" s="20" t="n"/>
      <c r="E8" s="19" t="n"/>
      <c r="F8" s="19" t="n"/>
      <c r="G8" s="19" t="n"/>
    </row>
    <row r="9">
      <c r="A9" s="208" t="inlineStr">
        <is>
          <t>MEMORIA DO FATOR APLICAVEL A APURACAO</t>
        </is>
      </c>
      <c r="B9" s="184" t="n"/>
      <c r="C9" s="184" t="n"/>
      <c r="D9" s="184" t="n"/>
      <c r="E9" s="184" t="n"/>
      <c r="F9" s="185" t="n"/>
      <c r="G9" s="19" t="n"/>
    </row>
    <row r="10" ht="26" customHeight="1">
      <c r="A10" s="199" t="inlineStr">
        <is>
          <t>CICLO</t>
        </is>
      </c>
      <c r="B10" s="199" t="inlineStr">
        <is>
          <t>COMPUTA?</t>
        </is>
      </c>
      <c r="C10" s="209" t="inlineStr">
        <is>
          <t>PERCENTUAL</t>
        </is>
      </c>
      <c r="D10" s="209" t="inlineStr">
        <is>
          <t>FATOR</t>
        </is>
      </c>
      <c r="E10" s="199" t="inlineStr">
        <is>
          <t>FATOR_ACUMULADO_APURACAO</t>
        </is>
      </c>
      <c r="F10" s="199" t="inlineStr">
        <is>
          <t>STATUS</t>
        </is>
      </c>
      <c r="G10" s="19" t="n"/>
    </row>
    <row r="11">
      <c r="A11" s="210" t="inlineStr">
        <is>
          <t>C0</t>
        </is>
      </c>
      <c r="B11" s="210">
        <f>A2</f>
        <v/>
      </c>
      <c r="C11" s="211">
        <f>IF(B11="Sim",E2,"")</f>
        <v/>
      </c>
      <c r="D11" s="212">
        <f>1</f>
        <v/>
      </c>
      <c r="E11" s="212">
        <f>1</f>
        <v/>
      </c>
      <c r="F11" s="210" t="inlineStr">
        <is>
          <t>Base</t>
        </is>
      </c>
      <c r="G11" s="19" t="n"/>
    </row>
    <row r="12">
      <c r="A12" s="213" t="inlineStr">
        <is>
          <t>C1</t>
        </is>
      </c>
      <c r="B12" s="213">
        <f>A3</f>
        <v/>
      </c>
      <c r="C12" s="214">
        <f>IF(B12="Sim",E3,"")</f>
        <v/>
      </c>
      <c r="D12" s="215">
        <f>IF(C12="","",1+C12)</f>
        <v/>
      </c>
      <c r="E12" s="215">
        <f>IF(B12="Sim",E11*D12,E11)</f>
        <v/>
      </c>
      <c r="F12" s="213">
        <f>IF(B12="Sim","Aplicado","Fora da apuracao")</f>
        <v/>
      </c>
      <c r="G12" s="19" t="n"/>
    </row>
    <row r="13">
      <c r="A13" s="213" t="inlineStr">
        <is>
          <t>C2</t>
        </is>
      </c>
      <c r="B13" s="213">
        <f>A4</f>
        <v/>
      </c>
      <c r="C13" s="214">
        <f>IF(B13="Sim",E4,"")</f>
        <v/>
      </c>
      <c r="D13" s="215">
        <f>IF(C13="","",1+C13)</f>
        <v/>
      </c>
      <c r="E13" s="215">
        <f>IF(B13="Sim",E12*D13,E12)</f>
        <v/>
      </c>
      <c r="F13" s="213">
        <f>IF(B13="Sim","Aplicado","Fora da apuracao")</f>
        <v/>
      </c>
      <c r="G13" s="19" t="n"/>
    </row>
    <row r="14">
      <c r="A14" s="213" t="inlineStr">
        <is>
          <t>C3</t>
        </is>
      </c>
      <c r="B14" s="213">
        <f>A5</f>
        <v/>
      </c>
      <c r="C14" s="214">
        <f>IF(B14="Sim",E5,"")</f>
        <v/>
      </c>
      <c r="D14" s="215">
        <f>IF(C14="","",1+C14)</f>
        <v/>
      </c>
      <c r="E14" s="215">
        <f>IF(B14="Sim",E13*D14,E13)</f>
        <v/>
      </c>
      <c r="F14" s="213">
        <f>IF(B14="Sim","Aplicado","Fora da apuracao")</f>
        <v/>
      </c>
      <c r="G14" s="19" t="n"/>
    </row>
    <row r="15">
      <c r="A15" s="213" t="inlineStr">
        <is>
          <t>C4</t>
        </is>
      </c>
      <c r="B15" s="213">
        <f>A6</f>
        <v/>
      </c>
      <c r="C15" s="214">
        <f>IF(B15="Sim",E6,"")</f>
        <v/>
      </c>
      <c r="D15" s="215">
        <f>IF(C15="","",1+C15)</f>
        <v/>
      </c>
      <c r="E15" s="215">
        <f>IF(B15="Sim",E14*D15,E14)</f>
        <v/>
      </c>
      <c r="F15" s="213">
        <f>IF(B15="Sim","Aplicado","Fora da apuracao")</f>
        <v/>
      </c>
      <c r="G15" s="19" t="n"/>
    </row>
    <row r="16">
      <c r="A16" s="216" t="inlineStr">
        <is>
          <t>TOTAL APURACAO</t>
        </is>
      </c>
      <c r="B16" s="217" t="n"/>
      <c r="C16" s="218" t="n"/>
      <c r="D16" s="219">
        <f>E15</f>
        <v/>
      </c>
      <c r="E16" s="219">
        <f>E15</f>
        <v/>
      </c>
      <c r="F16" s="362">
        <f>E16-1</f>
        <v/>
      </c>
      <c r="G16" s="19" t="n"/>
    </row>
    <row r="17">
      <c r="A17" s="19" t="n"/>
      <c r="B17" s="19" t="n"/>
      <c r="C17" s="20" t="n"/>
      <c r="D17" s="20" t="n"/>
      <c r="E17" s="221" t="n"/>
      <c r="F17" s="221" t="n"/>
      <c r="G17" s="19" t="n"/>
    </row>
    <row r="18">
      <c r="A18" s="19" t="n"/>
      <c r="B18" s="19" t="n"/>
      <c r="C18" s="20" t="n"/>
      <c r="D18" s="20" t="n"/>
      <c r="E18" s="221" t="n"/>
      <c r="F18" s="221" t="n"/>
      <c r="G18" s="19" t="n"/>
    </row>
    <row r="19">
      <c r="A19" s="19" t="n"/>
      <c r="B19" s="19" t="n"/>
      <c r="C19" s="20" t="n"/>
      <c r="D19" s="20" t="n"/>
      <c r="E19" s="221" t="n"/>
      <c r="F19" s="221" t="n"/>
      <c r="G19" s="19" t="n"/>
    </row>
    <row r="20">
      <c r="A20" s="19" t="n"/>
      <c r="B20" s="19" t="n"/>
      <c r="C20" s="20" t="n"/>
      <c r="D20" s="20" t="n"/>
      <c r="E20" s="221" t="n"/>
      <c r="F20" s="221" t="n"/>
      <c r="G20" s="19" t="n"/>
    </row>
  </sheetData>
  <mergeCells count="1">
    <mergeCell ref="A9:F9"/>
  </mergeCells>
  <conditionalFormatting sqref="E3:F6">
    <cfRule type="expression" priority="2" dxfId="18">
      <formula>AND($A3="Nao",$C3&lt;&gt;"",$E3="")</formula>
    </cfRule>
  </conditionalFormatting>
  <dataValidations count="1">
    <dataValidation sqref="A2:A6" showDropDown="0" showInputMessage="0" showErrorMessage="0" allowBlank="0" type="list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ColWidth="8.54296875" defaultRowHeight="14.5"/>
  <cols>
    <col width="16" customWidth="1" min="1" max="1"/>
    <col width="14" customWidth="1" min="2" max="2"/>
    <col width="18" customWidth="1" min="3" max="3"/>
    <col width="17" customWidth="1" min="4" max="4"/>
    <col width="19" customWidth="1" min="5" max="5"/>
    <col width="18" customWidth="1" min="6" max="6"/>
    <col width="19" customWidth="1" min="7" max="7"/>
    <col width="12.7265625" customWidth="1" min="13" max="13"/>
  </cols>
  <sheetData>
    <row r="1" ht="32" customHeight="1">
      <c r="A1" s="186" t="inlineStr">
        <is>
          <t>COMPETENCIA</t>
        </is>
      </c>
      <c r="B1" s="186" t="inlineStr">
        <is>
          <t>CICLO</t>
        </is>
      </c>
      <c r="C1" s="186" t="inlineStr">
        <is>
          <t>VALOR_PAGO</t>
        </is>
      </c>
      <c r="D1" s="186" t="inlineStr">
        <is>
          <t>FATOR_APLICAVEL</t>
        </is>
      </c>
      <c r="E1" s="186" t="inlineStr">
        <is>
          <t>VALOR_ATUALIZADO</t>
        </is>
      </c>
      <c r="F1" s="186" t="inlineStr">
        <is>
          <t>DELTA</t>
        </is>
      </c>
      <c r="G1" s="186" t="inlineStr">
        <is>
          <t>EFEITO_FINANCEIRO</t>
        </is>
      </c>
    </row>
    <row r="2">
      <c r="A2" s="222" t="n"/>
      <c r="B2" s="343">
        <f>IF(A2="","",IF(OR(A2&lt;MIN(parametros!$C$2:$C$6),A2&gt;MAX(parametros!$D$2:$D$6)),"Fora dos ciclos",LOWER(LOOKUP(A2,parametros!$C$2:$C$6,parametros!$B$2:$B$6))))</f>
        <v/>
      </c>
      <c r="C2" s="223" t="n"/>
      <c r="D2" s="224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225">
        <f>IF(OR(C2="",NOT(ISNUMBER(D2))),"",ROUND(C2*D2,2))</f>
        <v/>
      </c>
      <c r="F2" s="225">
        <f>IF(OR(C2="",E2=""),"",IF(G2&lt;&gt;"Sim",0,ROUND(E2-C2,2)))</f>
        <v/>
      </c>
      <c r="G2" s="226" t="n"/>
    </row>
    <row r="3">
      <c r="A3" s="222" t="n"/>
      <c r="B3" s="343">
        <f>IF(A3="","",IF(OR(A3&lt;MIN(parametros!$C$2:$C$6),A3&gt;MAX(parametros!$D$2:$D$6)),"Fora dos ciclos",LOWER(LOOKUP(A3,parametros!$C$2:$C$6,parametros!$B$2:$B$6))))</f>
        <v/>
      </c>
      <c r="C3" s="223" t="n"/>
      <c r="D3" s="224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225">
        <f>IF(OR(C3="",NOT(ISNUMBER(D3))),"",ROUND(C3*D3,2))</f>
        <v/>
      </c>
      <c r="F3" s="225">
        <f>IF(OR(C3="",E3=""),"",IF(G3&lt;&gt;"Sim",0,ROUND(E3-C3,2)))</f>
        <v/>
      </c>
      <c r="G3" s="226" t="n"/>
    </row>
    <row r="4">
      <c r="A4" s="222" t="n"/>
      <c r="B4" s="343">
        <f>IF(A4="","",IF(OR(A4&lt;MIN(parametros!$C$2:$C$6),A4&gt;MAX(parametros!$D$2:$D$6)),"Fora dos ciclos",LOWER(LOOKUP(A4,parametros!$C$2:$C$6,parametros!$B$2:$B$6))))</f>
        <v/>
      </c>
      <c r="C4" s="223" t="n"/>
      <c r="D4" s="224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225">
        <f>IF(OR(C4="",NOT(ISNUMBER(D4))),"",ROUND(C4*D4,2))</f>
        <v/>
      </c>
      <c r="F4" s="225">
        <f>IF(OR(C4="",E4=""),"",IF(G4&lt;&gt;"Sim",0,ROUND(E4-C4,2)))</f>
        <v/>
      </c>
      <c r="G4" s="226" t="n"/>
    </row>
    <row r="5">
      <c r="A5" s="222" t="n"/>
      <c r="B5" s="343">
        <f>IF(A5="","",IF(OR(A5&lt;MIN(parametros!$C$2:$C$6),A5&gt;MAX(parametros!$D$2:$D$6)),"Fora dos ciclos",LOWER(LOOKUP(A5,parametros!$C$2:$C$6,parametros!$B$2:$B$6))))</f>
        <v/>
      </c>
      <c r="C5" s="223" t="n"/>
      <c r="D5" s="224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225">
        <f>IF(OR(C5="",NOT(ISNUMBER(D5))),"",ROUND(C5*D5,2))</f>
        <v/>
      </c>
      <c r="F5" s="225">
        <f>IF(OR(C5="",E5=""),"",IF(G5&lt;&gt;"Sim",0,ROUND(E5-C5,2)))</f>
        <v/>
      </c>
      <c r="G5" s="226" t="n"/>
    </row>
    <row r="6">
      <c r="A6" s="222" t="n"/>
      <c r="B6" s="343">
        <f>IF(A6="","",IF(OR(A6&lt;MIN(parametros!$C$2:$C$6),A6&gt;MAX(parametros!$D$2:$D$6)),"Fora dos ciclos",LOWER(LOOKUP(A6,parametros!$C$2:$C$6,parametros!$B$2:$B$6))))</f>
        <v/>
      </c>
      <c r="C6" s="223" t="n"/>
      <c r="D6" s="224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225">
        <f>IF(OR(C6="",NOT(ISNUMBER(D6))),"",ROUND(C6*D6,2))</f>
        <v/>
      </c>
      <c r="F6" s="225">
        <f>IF(OR(C6="",E6=""),"",IF(G6&lt;&gt;"Sim",0,ROUND(E6-C6,2)))</f>
        <v/>
      </c>
      <c r="G6" s="226" t="n"/>
    </row>
    <row r="7">
      <c r="A7" s="222" t="n"/>
      <c r="B7" s="343">
        <f>IF(A7="","",IF(OR(A7&lt;MIN(parametros!$C$2:$C$6),A7&gt;MAX(parametros!$D$2:$D$6)),"Fora dos ciclos",LOWER(LOOKUP(A7,parametros!$C$2:$C$6,parametros!$B$2:$B$6))))</f>
        <v/>
      </c>
      <c r="C7" s="223" t="n"/>
      <c r="D7" s="224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225">
        <f>IF(OR(C7="",NOT(ISNUMBER(D7))),"",ROUND(C7*D7,2))</f>
        <v/>
      </c>
      <c r="F7" s="225">
        <f>IF(OR(C7="",E7=""),"",IF(G7&lt;&gt;"Sim",0,ROUND(E7-C7,2)))</f>
        <v/>
      </c>
      <c r="G7" s="226" t="n"/>
    </row>
    <row r="8">
      <c r="A8" s="222" t="n"/>
      <c r="B8" s="343">
        <f>IF(A8="","",IF(OR(A8&lt;MIN(parametros!$C$2:$C$6),A8&gt;MAX(parametros!$D$2:$D$6)),"Fora dos ciclos",LOWER(LOOKUP(A8,parametros!$C$2:$C$6,parametros!$B$2:$B$6))))</f>
        <v/>
      </c>
      <c r="C8" s="223" t="n"/>
      <c r="D8" s="224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225">
        <f>IF(OR(C8="",NOT(ISNUMBER(D8))),"",ROUND(C8*D8,2))</f>
        <v/>
      </c>
      <c r="F8" s="225">
        <f>IF(OR(C8="",E8=""),"",IF(G8&lt;&gt;"Sim",0,ROUND(E8-C8,2)))</f>
        <v/>
      </c>
      <c r="G8" s="226" t="n"/>
    </row>
    <row r="9">
      <c r="A9" s="222" t="n"/>
      <c r="B9" s="343">
        <f>IF(A9="","",IF(OR(A9&lt;MIN(parametros!$C$2:$C$6),A9&gt;MAX(parametros!$D$2:$D$6)),"Fora dos ciclos",LOWER(LOOKUP(A9,parametros!$C$2:$C$6,parametros!$B$2:$B$6))))</f>
        <v/>
      </c>
      <c r="C9" s="223" t="n"/>
      <c r="D9" s="224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225">
        <f>IF(OR(C9="",NOT(ISNUMBER(D9))),"",ROUND(C9*D9,2))</f>
        <v/>
      </c>
      <c r="F9" s="225">
        <f>IF(OR(C9="",E9=""),"",IF(G9&lt;&gt;"Sim",0,ROUND(E9-C9,2)))</f>
        <v/>
      </c>
      <c r="G9" s="226" t="n"/>
    </row>
    <row r="10">
      <c r="A10" s="222" t="n"/>
      <c r="B10" s="343">
        <f>IF(A10="","",IF(OR(A10&lt;MIN(parametros!$C$2:$C$6),A10&gt;MAX(parametros!$D$2:$D$6)),"Fora dos ciclos",LOWER(LOOKUP(A10,parametros!$C$2:$C$6,parametros!$B$2:$B$6))))</f>
        <v/>
      </c>
      <c r="C10" s="223" t="n"/>
      <c r="D10" s="224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225">
        <f>IF(OR(C10="",NOT(ISNUMBER(D10))),"",ROUND(C10*D10,2))</f>
        <v/>
      </c>
      <c r="F10" s="225">
        <f>IF(OR(C10="",E10=""),"",IF(G10&lt;&gt;"Sim",0,ROUND(E10-C10,2)))</f>
        <v/>
      </c>
      <c r="G10" s="226" t="n"/>
    </row>
    <row r="11">
      <c r="A11" s="222" t="n"/>
      <c r="B11" s="343">
        <f>IF(A11="","",IF(OR(A11&lt;MIN(parametros!$C$2:$C$6),A11&gt;MAX(parametros!$D$2:$D$6)),"Fora dos ciclos",LOWER(LOOKUP(A11,parametros!$C$2:$C$6,parametros!$B$2:$B$6))))</f>
        <v/>
      </c>
      <c r="C11" s="223" t="n"/>
      <c r="D11" s="224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225">
        <f>IF(OR(C11="",NOT(ISNUMBER(D11))),"",ROUND(C11*D11,2))</f>
        <v/>
      </c>
      <c r="F11" s="225">
        <f>IF(OR(C11="",E11=""),"",IF(G11&lt;&gt;"Sim",0,ROUND(E11-C11,2)))</f>
        <v/>
      </c>
      <c r="G11" s="226" t="n"/>
    </row>
    <row r="12">
      <c r="A12" s="222" t="n"/>
      <c r="B12" s="343">
        <f>IF(A12="","",IF(OR(A12&lt;MIN(parametros!$C$2:$C$6),A12&gt;MAX(parametros!$D$2:$D$6)),"Fora dos ciclos",LOWER(LOOKUP(A12,parametros!$C$2:$C$6,parametros!$B$2:$B$6))))</f>
        <v/>
      </c>
      <c r="C12" s="223" t="n"/>
      <c r="D12" s="224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225">
        <f>IF(OR(C12="",NOT(ISNUMBER(D12))),"",ROUND(C12*D12,2))</f>
        <v/>
      </c>
      <c r="F12" s="225">
        <f>IF(OR(C12="",E12=""),"",IF(G12&lt;&gt;"Sim",0,ROUND(E12-C12,2)))</f>
        <v/>
      </c>
      <c r="G12" s="226" t="n"/>
    </row>
    <row r="13">
      <c r="A13" s="222" t="n"/>
      <c r="B13" s="343">
        <f>IF(A13="","",IF(OR(A13&lt;MIN(parametros!$C$2:$C$6),A13&gt;MAX(parametros!$D$2:$D$6)),"Fora dos ciclos",LOWER(LOOKUP(A13,parametros!$C$2:$C$6,parametros!$B$2:$B$6))))</f>
        <v/>
      </c>
      <c r="C13" s="223" t="n"/>
      <c r="D13" s="224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225">
        <f>IF(OR(C13="",NOT(ISNUMBER(D13))),"",ROUND(C13*D13,2))</f>
        <v/>
      </c>
      <c r="F13" s="225">
        <f>IF(OR(C13="",E13=""),"",IF(G13&lt;&gt;"Sim",0,ROUND(E13-C13,2)))</f>
        <v/>
      </c>
      <c r="G13" s="226" t="n"/>
    </row>
    <row r="14">
      <c r="A14" s="222" t="n"/>
      <c r="B14" s="343">
        <f>IF(A14="","",IF(OR(A14&lt;MIN(parametros!$C$2:$C$6),A14&gt;MAX(parametros!$D$2:$D$6)),"Fora dos ciclos",LOWER(LOOKUP(A14,parametros!$C$2:$C$6,parametros!$B$2:$B$6))))</f>
        <v/>
      </c>
      <c r="C14" s="223" t="n"/>
      <c r="D14" s="224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225">
        <f>IF(OR(C14="",NOT(ISNUMBER(D14))),"",ROUND(C14*D14,2))</f>
        <v/>
      </c>
      <c r="F14" s="225">
        <f>IF(OR(C14="",E14=""),"",IF(G14&lt;&gt;"Sim",0,ROUND(E14-C14,2)))</f>
        <v/>
      </c>
      <c r="G14" s="226" t="n"/>
    </row>
    <row r="15">
      <c r="A15" s="222" t="n"/>
      <c r="B15" s="343">
        <f>IF(A15="","",IF(OR(A15&lt;MIN(parametros!$C$2:$C$6),A15&gt;MAX(parametros!$D$2:$D$6)),"Fora dos ciclos",LOWER(LOOKUP(A15,parametros!$C$2:$C$6,parametros!$B$2:$B$6))))</f>
        <v/>
      </c>
      <c r="C15" s="223" t="n"/>
      <c r="D15" s="224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225">
        <f>IF(OR(C15="",NOT(ISNUMBER(D15))),"",ROUND(C15*D15,2))</f>
        <v/>
      </c>
      <c r="F15" s="225">
        <f>IF(OR(C15="",E15=""),"",IF(G15&lt;&gt;"Sim",0,ROUND(E15-C15,2)))</f>
        <v/>
      </c>
      <c r="G15" s="226" t="n"/>
    </row>
    <row r="16">
      <c r="A16" s="222" t="n"/>
      <c r="B16" s="343">
        <f>IF(A16="","",IF(OR(A16&lt;MIN(parametros!$C$2:$C$6),A16&gt;MAX(parametros!$D$2:$D$6)),"Fora dos ciclos",LOWER(LOOKUP(A16,parametros!$C$2:$C$6,parametros!$B$2:$B$6))))</f>
        <v/>
      </c>
      <c r="C16" s="223" t="n"/>
      <c r="D16" s="224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225">
        <f>IF(OR(C16="",NOT(ISNUMBER(D16))),"",ROUND(C16*D16,2))</f>
        <v/>
      </c>
      <c r="F16" s="225">
        <f>IF(OR(C16="",E16=""),"",IF(G16&lt;&gt;"Sim",0,ROUND(E16-C16,2)))</f>
        <v/>
      </c>
      <c r="G16" s="226" t="n"/>
    </row>
    <row r="17">
      <c r="A17" s="222" t="n"/>
      <c r="B17" s="343">
        <f>IF(A17="","",IF(OR(A17&lt;MIN(parametros!$C$2:$C$6),A17&gt;MAX(parametros!$D$2:$D$6)),"Fora dos ciclos",LOWER(LOOKUP(A17,parametros!$C$2:$C$6,parametros!$B$2:$B$6))))</f>
        <v/>
      </c>
      <c r="C17" s="223" t="n"/>
      <c r="D17" s="224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225">
        <f>IF(OR(C17="",NOT(ISNUMBER(D17))),"",ROUND(C17*D17,2))</f>
        <v/>
      </c>
      <c r="F17" s="225">
        <f>IF(OR(C17="",E17=""),"",IF(G17&lt;&gt;"Sim",0,ROUND(E17-C17,2)))</f>
        <v/>
      </c>
      <c r="G17" s="226" t="n"/>
    </row>
    <row r="18">
      <c r="A18" s="222" t="n"/>
      <c r="B18" s="343">
        <f>IF(A18="","",IF(OR(A18&lt;MIN(parametros!$C$2:$C$6),A18&gt;MAX(parametros!$D$2:$D$6)),"Fora dos ciclos",LOWER(LOOKUP(A18,parametros!$C$2:$C$6,parametros!$B$2:$B$6))))</f>
        <v/>
      </c>
      <c r="C18" s="223" t="n"/>
      <c r="D18" s="224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225">
        <f>IF(OR(C18="",NOT(ISNUMBER(D18))),"",ROUND(C18*D18,2))</f>
        <v/>
      </c>
      <c r="F18" s="225">
        <f>IF(OR(C18="",E18=""),"",IF(G18&lt;&gt;"Sim",0,ROUND(E18-C18,2)))</f>
        <v/>
      </c>
      <c r="G18" s="226" t="n"/>
    </row>
    <row r="19">
      <c r="A19" s="222" t="n"/>
      <c r="B19" s="343">
        <f>IF(A19="","",IF(OR(A19&lt;MIN(parametros!$C$2:$C$6),A19&gt;MAX(parametros!$D$2:$D$6)),"Fora dos ciclos",LOWER(LOOKUP(A19,parametros!$C$2:$C$6,parametros!$B$2:$B$6))))</f>
        <v/>
      </c>
      <c r="C19" s="223" t="n"/>
      <c r="D19" s="224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225">
        <f>IF(OR(C19="",NOT(ISNUMBER(D19))),"",ROUND(C19*D19,2))</f>
        <v/>
      </c>
      <c r="F19" s="225">
        <f>IF(OR(C19="",E19=""),"",IF(G19&lt;&gt;"Sim",0,ROUND(E19-C19,2)))</f>
        <v/>
      </c>
      <c r="G19" s="226" t="n"/>
    </row>
    <row r="20">
      <c r="A20" s="222" t="n"/>
      <c r="B20" s="343">
        <f>IF(A20="","",IF(OR(A20&lt;MIN(parametros!$C$2:$C$6),A20&gt;MAX(parametros!$D$2:$D$6)),"Fora dos ciclos",LOWER(LOOKUP(A20,parametros!$C$2:$C$6,parametros!$B$2:$B$6))))</f>
        <v/>
      </c>
      <c r="C20" s="223" t="n"/>
      <c r="D20" s="224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225">
        <f>IF(OR(C20="",NOT(ISNUMBER(D20))),"",ROUND(C20*D20,2))</f>
        <v/>
      </c>
      <c r="F20" s="225">
        <f>IF(OR(C20="",E20=""),"",IF(G20&lt;&gt;"Sim",0,ROUND(E20-C20,2)))</f>
        <v/>
      </c>
      <c r="G20" s="226" t="n"/>
    </row>
    <row r="21">
      <c r="A21" s="222" t="n"/>
      <c r="B21" s="343">
        <f>IF(A21="","",IF(OR(A21&lt;MIN(parametros!$C$2:$C$6),A21&gt;MAX(parametros!$D$2:$D$6)),"Fora dos ciclos",LOWER(LOOKUP(A21,parametros!$C$2:$C$6,parametros!$B$2:$B$6))))</f>
        <v/>
      </c>
      <c r="C21" s="223" t="n"/>
      <c r="D21" s="224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225">
        <f>IF(OR(C21="",NOT(ISNUMBER(D21))),"",ROUND(C21*D21,2))</f>
        <v/>
      </c>
      <c r="F21" s="225">
        <f>IF(OR(C21="",E21=""),"",IF(G21&lt;&gt;"Sim",0,ROUND(E21-C21,2)))</f>
        <v/>
      </c>
      <c r="G21" s="226" t="n"/>
    </row>
    <row r="22">
      <c r="A22" s="222" t="n"/>
      <c r="B22" s="343">
        <f>IF(A22="","",IF(OR(A22&lt;MIN(parametros!$C$2:$C$6),A22&gt;MAX(parametros!$D$2:$D$6)),"Fora dos ciclos",LOWER(LOOKUP(A22,parametros!$C$2:$C$6,parametros!$B$2:$B$6))))</f>
        <v/>
      </c>
      <c r="C22" s="223" t="n"/>
      <c r="D22" s="224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225">
        <f>IF(OR(C22="",NOT(ISNUMBER(D22))),"",ROUND(C22*D22,2))</f>
        <v/>
      </c>
      <c r="F22" s="225">
        <f>IF(OR(C22="",E22=""),"",IF(G22&lt;&gt;"Sim",0,ROUND(E22-C22,2)))</f>
        <v/>
      </c>
      <c r="G22" s="226" t="n"/>
    </row>
    <row r="23">
      <c r="A23" s="222" t="n"/>
      <c r="B23" s="343">
        <f>IF(A23="","",IF(OR(A23&lt;MIN(parametros!$C$2:$C$6),A23&gt;MAX(parametros!$D$2:$D$6)),"Fora dos ciclos",LOWER(LOOKUP(A23,parametros!$C$2:$C$6,parametros!$B$2:$B$6))))</f>
        <v/>
      </c>
      <c r="C23" s="223" t="n"/>
      <c r="D23" s="224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225">
        <f>IF(OR(C23="",NOT(ISNUMBER(D23))),"",ROUND(C23*D23,2))</f>
        <v/>
      </c>
      <c r="F23" s="225">
        <f>IF(OR(C23="",E23=""),"",IF(G23&lt;&gt;"Sim",0,ROUND(E23-C23,2)))</f>
        <v/>
      </c>
      <c r="G23" s="226" t="n"/>
    </row>
    <row r="24">
      <c r="A24" s="222" t="n"/>
      <c r="B24" s="343">
        <f>IF(A24="","",IF(OR(A24&lt;MIN(parametros!$C$2:$C$6),A24&gt;MAX(parametros!$D$2:$D$6)),"Fora dos ciclos",LOWER(LOOKUP(A24,parametros!$C$2:$C$6,parametros!$B$2:$B$6))))</f>
        <v/>
      </c>
      <c r="C24" s="223" t="n"/>
      <c r="D24" s="224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225">
        <f>IF(OR(C24="",NOT(ISNUMBER(D24))),"",ROUND(C24*D24,2))</f>
        <v/>
      </c>
      <c r="F24" s="225">
        <f>IF(OR(C24="",E24=""),"",IF(G24&lt;&gt;"Sim",0,ROUND(E24-C24,2)))</f>
        <v/>
      </c>
      <c r="G24" s="226" t="n"/>
    </row>
    <row r="25">
      <c r="A25" s="222" t="n"/>
      <c r="B25" s="343">
        <f>IF(A25="","",IF(OR(A25&lt;MIN(parametros!$C$2:$C$6),A25&gt;MAX(parametros!$D$2:$D$6)),"Fora dos ciclos",LOWER(LOOKUP(A25,parametros!$C$2:$C$6,parametros!$B$2:$B$6))))</f>
        <v/>
      </c>
      <c r="C25" s="223" t="n"/>
      <c r="D25" s="224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225">
        <f>IF(OR(C25="",NOT(ISNUMBER(D25))),"",ROUND(C25*D25,2))</f>
        <v/>
      </c>
      <c r="F25" s="225">
        <f>IF(OR(C25="",E25=""),"",IF(G25&lt;&gt;"Sim",0,ROUND(E25-C25,2)))</f>
        <v/>
      </c>
      <c r="G25" s="226" t="n"/>
    </row>
    <row r="26">
      <c r="A26" s="222" t="n"/>
      <c r="B26" s="343">
        <f>IF(A26="","",IF(OR(A26&lt;MIN(parametros!$C$2:$C$6),A26&gt;MAX(parametros!$D$2:$D$6)),"Fora dos ciclos",LOWER(LOOKUP(A26,parametros!$C$2:$C$6,parametros!$B$2:$B$6))))</f>
        <v/>
      </c>
      <c r="C26" s="223" t="n"/>
      <c r="D26" s="224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225">
        <f>IF(OR(C26="",NOT(ISNUMBER(D26))),"",ROUND(C26*D26,2))</f>
        <v/>
      </c>
      <c r="F26" s="225">
        <f>IF(OR(C26="",E26=""),"",IF(G26&lt;&gt;"Sim",0,ROUND(E26-C26,2)))</f>
        <v/>
      </c>
      <c r="G26" s="226" t="n"/>
    </row>
    <row r="27">
      <c r="A27" s="222" t="n"/>
      <c r="B27" s="343">
        <f>IF(A27="","",IF(OR(A27&lt;MIN(parametros!$C$2:$C$6),A27&gt;MAX(parametros!$D$2:$D$6)),"Fora dos ciclos",LOWER(LOOKUP(A27,parametros!$C$2:$C$6,parametros!$B$2:$B$6))))</f>
        <v/>
      </c>
      <c r="C27" s="223" t="n"/>
      <c r="D27" s="224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225">
        <f>IF(OR(C27="",NOT(ISNUMBER(D27))),"",ROUND(C27*D27,2))</f>
        <v/>
      </c>
      <c r="F27" s="225">
        <f>IF(OR(C27="",E27=""),"",IF(G27&lt;&gt;"Sim",0,ROUND(E27-C27,2)))</f>
        <v/>
      </c>
      <c r="G27" s="226" t="n"/>
    </row>
    <row r="28">
      <c r="A28" s="222" t="n"/>
      <c r="B28" s="343">
        <f>IF(A28="","",IF(OR(A28&lt;MIN(parametros!$C$2:$C$6),A28&gt;MAX(parametros!$D$2:$D$6)),"Fora dos ciclos",LOWER(LOOKUP(A28,parametros!$C$2:$C$6,parametros!$B$2:$B$6))))</f>
        <v/>
      </c>
      <c r="C28" s="223" t="n"/>
      <c r="D28" s="224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225">
        <f>IF(OR(C28="",NOT(ISNUMBER(D28))),"",ROUND(C28*D28,2))</f>
        <v/>
      </c>
      <c r="F28" s="225">
        <f>IF(OR(C28="",E28=""),"",IF(G28&lt;&gt;"Sim",0,ROUND(E28-C28,2)))</f>
        <v/>
      </c>
      <c r="G28" s="226" t="n"/>
    </row>
    <row r="29">
      <c r="A29" s="222" t="n"/>
      <c r="B29" s="343">
        <f>IF(A29="","",IF(OR(A29&lt;MIN(parametros!$C$2:$C$6),A29&gt;MAX(parametros!$D$2:$D$6)),"Fora dos ciclos",LOWER(LOOKUP(A29,parametros!$C$2:$C$6,parametros!$B$2:$B$6))))</f>
        <v/>
      </c>
      <c r="C29" s="223" t="n"/>
      <c r="D29" s="224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225">
        <f>IF(OR(C29="",NOT(ISNUMBER(D29))),"",ROUND(C29*D29,2))</f>
        <v/>
      </c>
      <c r="F29" s="225">
        <f>IF(OR(C29="",E29=""),"",IF(G29&lt;&gt;"Sim",0,ROUND(E29-C29,2)))</f>
        <v/>
      </c>
      <c r="G29" s="226" t="n"/>
    </row>
    <row r="30">
      <c r="A30" s="222" t="n"/>
      <c r="B30" s="343">
        <f>IF(A30="","",IF(OR(A30&lt;MIN(parametros!$C$2:$C$6),A30&gt;MAX(parametros!$D$2:$D$6)),"Fora dos ciclos",LOWER(LOOKUP(A30,parametros!$C$2:$C$6,parametros!$B$2:$B$6))))</f>
        <v/>
      </c>
      <c r="C30" s="223" t="n"/>
      <c r="D30" s="224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225">
        <f>IF(OR(C30="",NOT(ISNUMBER(D30))),"",ROUND(C30*D30,2))</f>
        <v/>
      </c>
      <c r="F30" s="225">
        <f>IF(OR(C30="",E30=""),"",IF(G30&lt;&gt;"Sim",0,ROUND(E30-C30,2)))</f>
        <v/>
      </c>
      <c r="G30" s="226" t="n"/>
    </row>
    <row r="31">
      <c r="A31" s="222" t="n"/>
      <c r="B31" s="343">
        <f>IF(A31="","",IF(OR(A31&lt;MIN(parametros!$C$2:$C$6),A31&gt;MAX(parametros!$D$2:$D$6)),"Fora dos ciclos",LOWER(LOOKUP(A31,parametros!$C$2:$C$6,parametros!$B$2:$B$6))))</f>
        <v/>
      </c>
      <c r="C31" s="223" t="n"/>
      <c r="D31" s="224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225">
        <f>IF(OR(C31="",NOT(ISNUMBER(D31))),"",ROUND(C31*D31,2))</f>
        <v/>
      </c>
      <c r="F31" s="225">
        <f>IF(OR(C31="",E31=""),"",IF(G31&lt;&gt;"Sim",0,ROUND(E31-C31,2)))</f>
        <v/>
      </c>
      <c r="G31" s="226" t="n"/>
    </row>
    <row r="32">
      <c r="A32" s="222" t="n"/>
      <c r="B32" s="343">
        <f>IF(A32="","",IF(OR(A32&lt;MIN(parametros!$C$2:$C$6),A32&gt;MAX(parametros!$D$2:$D$6)),"Fora dos ciclos",LOWER(LOOKUP(A32,parametros!$C$2:$C$6,parametros!$B$2:$B$6))))</f>
        <v/>
      </c>
      <c r="C32" s="223" t="n"/>
      <c r="D32" s="224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225">
        <f>IF(OR(C32="",NOT(ISNUMBER(D32))),"",ROUND(C32*D32,2))</f>
        <v/>
      </c>
      <c r="F32" s="225">
        <f>IF(OR(C32="",E32=""),"",IF(G32&lt;&gt;"Sim",0,ROUND(E32-C32,2)))</f>
        <v/>
      </c>
      <c r="G32" s="226" t="n"/>
    </row>
    <row r="33">
      <c r="A33" s="222" t="n"/>
      <c r="B33" s="343">
        <f>IF(A33="","",IF(OR(A33&lt;MIN(parametros!$C$2:$C$6),A33&gt;MAX(parametros!$D$2:$D$6)),"Fora dos ciclos",LOWER(LOOKUP(A33,parametros!$C$2:$C$6,parametros!$B$2:$B$6))))</f>
        <v/>
      </c>
      <c r="C33" s="223" t="n"/>
      <c r="D33" s="224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225">
        <f>IF(OR(C33="",NOT(ISNUMBER(D33))),"",ROUND(C33*D33,2))</f>
        <v/>
      </c>
      <c r="F33" s="225">
        <f>IF(OR(C33="",E33=""),"",IF(G33&lt;&gt;"Sim",0,ROUND(E33-C33,2)))</f>
        <v/>
      </c>
      <c r="G33" s="226" t="n"/>
    </row>
    <row r="34">
      <c r="A34" s="222" t="n"/>
      <c r="B34" s="343">
        <f>IF(A34="","",IF(OR(A34&lt;MIN(parametros!$C$2:$C$6),A34&gt;MAX(parametros!$D$2:$D$6)),"Fora dos ciclos",LOWER(LOOKUP(A34,parametros!$C$2:$C$6,parametros!$B$2:$B$6))))</f>
        <v/>
      </c>
      <c r="C34" s="223" t="n"/>
      <c r="D34" s="224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225">
        <f>IF(OR(C34="",NOT(ISNUMBER(D34))),"",ROUND(C34*D34,2))</f>
        <v/>
      </c>
      <c r="F34" s="225">
        <f>IF(OR(C34="",E34=""),"",IF(G34&lt;&gt;"Sim",0,ROUND(E34-C34,2)))</f>
        <v/>
      </c>
      <c r="G34" s="226" t="n"/>
    </row>
    <row r="35">
      <c r="A35" s="222" t="n"/>
      <c r="B35" s="343">
        <f>IF(A35="","",IF(OR(A35&lt;MIN(parametros!$C$2:$C$6),A35&gt;MAX(parametros!$D$2:$D$6)),"Fora dos ciclos",LOWER(LOOKUP(A35,parametros!$C$2:$C$6,parametros!$B$2:$B$6))))</f>
        <v/>
      </c>
      <c r="C35" s="223" t="n"/>
      <c r="D35" s="224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225">
        <f>IF(OR(C35="",NOT(ISNUMBER(D35))),"",ROUND(C35*D35,2))</f>
        <v/>
      </c>
      <c r="F35" s="225">
        <f>IF(OR(C35="",E35=""),"",IF(G35&lt;&gt;"Sim",0,ROUND(E35-C35,2)))</f>
        <v/>
      </c>
      <c r="G35" s="226" t="n"/>
    </row>
    <row r="36">
      <c r="A36" s="222" t="n"/>
      <c r="B36" s="343">
        <f>IF(A36="","",IF(OR(A36&lt;MIN(parametros!$C$2:$C$6),A36&gt;MAX(parametros!$D$2:$D$6)),"Fora dos ciclos",LOWER(LOOKUP(A36,parametros!$C$2:$C$6,parametros!$B$2:$B$6))))</f>
        <v/>
      </c>
      <c r="C36" s="223" t="n"/>
      <c r="D36" s="224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225">
        <f>IF(OR(C36="",NOT(ISNUMBER(D36))),"",ROUND(C36*D36,2))</f>
        <v/>
      </c>
      <c r="F36" s="225">
        <f>IF(OR(C36="",E36=""),"",IF(G36&lt;&gt;"Sim",0,ROUND(E36-C36,2)))</f>
        <v/>
      </c>
      <c r="G36" s="226" t="n"/>
    </row>
    <row r="37">
      <c r="A37" s="222" t="n"/>
      <c r="B37" s="343">
        <f>IF(A37="","",IF(OR(A37&lt;MIN(parametros!$C$2:$C$6),A37&gt;MAX(parametros!$D$2:$D$6)),"Fora dos ciclos",LOWER(LOOKUP(A37,parametros!$C$2:$C$6,parametros!$B$2:$B$6))))</f>
        <v/>
      </c>
      <c r="C37" s="223" t="n"/>
      <c r="D37" s="224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225">
        <f>IF(OR(C37="",NOT(ISNUMBER(D37))),"",ROUND(C37*D37,2))</f>
        <v/>
      </c>
      <c r="F37" s="225">
        <f>IF(OR(C37="",E37=""),"",IF(G37&lt;&gt;"Sim",0,ROUND(E37-C37,2)))</f>
        <v/>
      </c>
      <c r="G37" s="226" t="n"/>
    </row>
    <row r="38">
      <c r="A38" s="222" t="n"/>
      <c r="B38" s="343">
        <f>IF(A38="","",IF(OR(A38&lt;MIN(parametros!$C$2:$C$6),A38&gt;MAX(parametros!$D$2:$D$6)),"Fora dos ciclos",LOWER(LOOKUP(A38,parametros!$C$2:$C$6,parametros!$B$2:$B$6))))</f>
        <v/>
      </c>
      <c r="C38" s="223" t="n"/>
      <c r="D38" s="224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225">
        <f>IF(OR(C38="",NOT(ISNUMBER(D38))),"",ROUND(C38*D38,2))</f>
        <v/>
      </c>
      <c r="F38" s="225">
        <f>IF(OR(C38="",E38=""),"",IF(G38&lt;&gt;"Sim",0,ROUND(E38-C38,2)))</f>
        <v/>
      </c>
      <c r="G38" s="226" t="n"/>
    </row>
    <row r="39">
      <c r="A39" s="222" t="n"/>
      <c r="B39" s="343">
        <f>IF(A39="","",IF(OR(A39&lt;MIN(parametros!$C$2:$C$6),A39&gt;MAX(parametros!$D$2:$D$6)),"Fora dos ciclos",LOWER(LOOKUP(A39,parametros!$C$2:$C$6,parametros!$B$2:$B$6))))</f>
        <v/>
      </c>
      <c r="C39" s="223" t="n"/>
      <c r="D39" s="224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225">
        <f>IF(OR(C39="",NOT(ISNUMBER(D39))),"",ROUND(C39*D39,2))</f>
        <v/>
      </c>
      <c r="F39" s="225">
        <f>IF(OR(C39="",E39=""),"",IF(G39&lt;&gt;"Sim",0,ROUND(E39-C39,2)))</f>
        <v/>
      </c>
      <c r="G39" s="226" t="n"/>
    </row>
    <row r="40">
      <c r="A40" s="222" t="n"/>
      <c r="B40" s="343">
        <f>IF(A40="","",IF(OR(A40&lt;MIN(parametros!$C$2:$C$6),A40&gt;MAX(parametros!$D$2:$D$6)),"Fora dos ciclos",LOWER(LOOKUP(A40,parametros!$C$2:$C$6,parametros!$B$2:$B$6))))</f>
        <v/>
      </c>
      <c r="C40" s="223" t="n"/>
      <c r="D40" s="224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225">
        <f>IF(OR(C40="",NOT(ISNUMBER(D40))),"",ROUND(C40*D40,2))</f>
        <v/>
      </c>
      <c r="F40" s="225">
        <f>IF(OR(C40="",E40=""),"",IF(G40&lt;&gt;"Sim",0,ROUND(E40-C40,2)))</f>
        <v/>
      </c>
      <c r="G40" s="226" t="n"/>
    </row>
    <row r="41">
      <c r="A41" s="222" t="n"/>
      <c r="B41" s="343">
        <f>IF(A41="","",IF(OR(A41&lt;MIN(parametros!$C$2:$C$6),A41&gt;MAX(parametros!$D$2:$D$6)),"Fora dos ciclos",LOWER(LOOKUP(A41,parametros!$C$2:$C$6,parametros!$B$2:$B$6))))</f>
        <v/>
      </c>
      <c r="C41" s="223" t="n"/>
      <c r="D41" s="224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225">
        <f>IF(OR(C41="",NOT(ISNUMBER(D41))),"",ROUND(C41*D41,2))</f>
        <v/>
      </c>
      <c r="F41" s="225">
        <f>IF(OR(C41="",E41=""),"",IF(G41&lt;&gt;"Sim",0,ROUND(E41-C41,2)))</f>
        <v/>
      </c>
      <c r="G41" s="226" t="n"/>
    </row>
    <row r="42">
      <c r="A42" s="222" t="n"/>
      <c r="B42" s="343">
        <f>IF(A42="","",IF(OR(A42&lt;MIN(parametros!$C$2:$C$6),A42&gt;MAX(parametros!$D$2:$D$6)),"Fora dos ciclos",LOWER(LOOKUP(A42,parametros!$C$2:$C$6,parametros!$B$2:$B$6))))</f>
        <v/>
      </c>
      <c r="C42" s="223" t="n"/>
      <c r="D42" s="224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225">
        <f>IF(OR(C42="",NOT(ISNUMBER(D42))),"",ROUND(C42*D42,2))</f>
        <v/>
      </c>
      <c r="F42" s="225">
        <f>IF(OR(C42="",E42=""),"",IF(G42&lt;&gt;"Sim",0,ROUND(E42-C42,2)))</f>
        <v/>
      </c>
      <c r="G42" s="226" t="n"/>
    </row>
    <row r="43">
      <c r="A43" s="222" t="n"/>
      <c r="B43" s="343">
        <f>IF(A43="","",IF(OR(A43&lt;MIN(parametros!$C$2:$C$6),A43&gt;MAX(parametros!$D$2:$D$6)),"Fora dos ciclos",LOWER(LOOKUP(A43,parametros!$C$2:$C$6,parametros!$B$2:$B$6))))</f>
        <v/>
      </c>
      <c r="C43" s="223" t="n"/>
      <c r="D43" s="224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225">
        <f>IF(OR(C43="",NOT(ISNUMBER(D43))),"",ROUND(C43*D43,2))</f>
        <v/>
      </c>
      <c r="F43" s="225">
        <f>IF(OR(C43="",E43=""),"",IF(G43&lt;&gt;"Sim",0,ROUND(E43-C43,2)))</f>
        <v/>
      </c>
      <c r="G43" s="226" t="n"/>
    </row>
    <row r="44">
      <c r="A44" s="222" t="n"/>
      <c r="B44" s="343">
        <f>IF(A44="","",IF(OR(A44&lt;MIN(parametros!$C$2:$C$6),A44&gt;MAX(parametros!$D$2:$D$6)),"Fora dos ciclos",LOWER(LOOKUP(A44,parametros!$C$2:$C$6,parametros!$B$2:$B$6))))</f>
        <v/>
      </c>
      <c r="C44" s="223" t="n"/>
      <c r="D44" s="224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225">
        <f>IF(OR(C44="",NOT(ISNUMBER(D44))),"",ROUND(C44*D44,2))</f>
        <v/>
      </c>
      <c r="F44" s="225">
        <f>IF(OR(C44="",E44=""),"",IF(G44&lt;&gt;"Sim",0,ROUND(E44-C44,2)))</f>
        <v/>
      </c>
      <c r="G44" s="226" t="n"/>
    </row>
    <row r="45">
      <c r="A45" s="222" t="n"/>
      <c r="B45" s="343">
        <f>IF(A45="","",IF(OR(A45&lt;MIN(parametros!$C$2:$C$6),A45&gt;MAX(parametros!$D$2:$D$6)),"Fora dos ciclos",LOWER(LOOKUP(A45,parametros!$C$2:$C$6,parametros!$B$2:$B$6))))</f>
        <v/>
      </c>
      <c r="C45" s="223" t="n"/>
      <c r="D45" s="224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225">
        <f>IF(OR(C45="",NOT(ISNUMBER(D45))),"",ROUND(C45*D45,2))</f>
        <v/>
      </c>
      <c r="F45" s="225">
        <f>IF(OR(C45="",E45=""),"",IF(G45&lt;&gt;"Sim",0,ROUND(E45-C45,2)))</f>
        <v/>
      </c>
      <c r="G45" s="226" t="n"/>
    </row>
    <row r="46">
      <c r="A46" s="222" t="n"/>
      <c r="B46" s="343">
        <f>IF(A46="","",IF(OR(A46&lt;MIN(parametros!$C$2:$C$6),A46&gt;MAX(parametros!$D$2:$D$6)),"Fora dos ciclos",LOWER(LOOKUP(A46,parametros!$C$2:$C$6,parametros!$B$2:$B$6))))</f>
        <v/>
      </c>
      <c r="C46" s="223" t="n"/>
      <c r="D46" s="224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225">
        <f>IF(OR(C46="",NOT(ISNUMBER(D46))),"",ROUND(C46*D46,2))</f>
        <v/>
      </c>
      <c r="F46" s="225">
        <f>IF(OR(C46="",E46=""),"",IF(G46&lt;&gt;"Sim",0,ROUND(E46-C46,2)))</f>
        <v/>
      </c>
      <c r="G46" s="226" t="n"/>
    </row>
    <row r="47">
      <c r="A47" s="222" t="n"/>
      <c r="B47" s="343">
        <f>IF(A47="","",IF(OR(A47&lt;MIN(parametros!$C$2:$C$6),A47&gt;MAX(parametros!$D$2:$D$6)),"Fora dos ciclos",LOWER(LOOKUP(A47,parametros!$C$2:$C$6,parametros!$B$2:$B$6))))</f>
        <v/>
      </c>
      <c r="C47" s="223" t="n"/>
      <c r="D47" s="224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225">
        <f>IF(OR(C47="",NOT(ISNUMBER(D47))),"",ROUND(C47*D47,2))</f>
        <v/>
      </c>
      <c r="F47" s="225">
        <f>IF(OR(C47="",E47=""),"",IF(G47&lt;&gt;"Sim",0,ROUND(E47-C47,2)))</f>
        <v/>
      </c>
      <c r="G47" s="226" t="n"/>
    </row>
    <row r="48">
      <c r="A48" s="222" t="n"/>
      <c r="B48" s="343">
        <f>IF(A48="","",IF(OR(A48&lt;MIN(parametros!$C$2:$C$6),A48&gt;MAX(parametros!$D$2:$D$6)),"Fora dos ciclos",LOWER(LOOKUP(A48,parametros!$C$2:$C$6,parametros!$B$2:$B$6))))</f>
        <v/>
      </c>
      <c r="C48" s="223" t="n"/>
      <c r="D48" s="224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225">
        <f>IF(OR(C48="",NOT(ISNUMBER(D48))),"",ROUND(C48*D48,2))</f>
        <v/>
      </c>
      <c r="F48" s="225">
        <f>IF(OR(C48="",E48=""),"",IF(G48&lt;&gt;"Sim",0,ROUND(E48-C48,2)))</f>
        <v/>
      </c>
      <c r="G48" s="226" t="n"/>
    </row>
    <row r="49">
      <c r="A49" s="222" t="n"/>
      <c r="B49" s="343">
        <f>IF(A49="","",IF(OR(A49&lt;MIN(parametros!$C$2:$C$6),A49&gt;MAX(parametros!$D$2:$D$6)),"Fora dos ciclos",LOWER(LOOKUP(A49,parametros!$C$2:$C$6,parametros!$B$2:$B$6))))</f>
        <v/>
      </c>
      <c r="C49" s="223" t="n"/>
      <c r="D49" s="224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225">
        <f>IF(OR(C49="",NOT(ISNUMBER(D49))),"",ROUND(C49*D49,2))</f>
        <v/>
      </c>
      <c r="F49" s="225">
        <f>IF(OR(C49="",E49=""),"",IF(G49&lt;&gt;"Sim",0,ROUND(E49-C49,2)))</f>
        <v/>
      </c>
      <c r="G49" s="226" t="n"/>
    </row>
    <row r="50">
      <c r="A50" s="222" t="n"/>
      <c r="B50" s="343">
        <f>IF(A50="","",IF(OR(A50&lt;MIN(parametros!$C$2:$C$6),A50&gt;MAX(parametros!$D$2:$D$6)),"Fora dos ciclos",LOWER(LOOKUP(A50,parametros!$C$2:$C$6,parametros!$B$2:$B$6))))</f>
        <v/>
      </c>
      <c r="C50" s="223" t="n"/>
      <c r="D50" s="224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225">
        <f>IF(OR(C50="",NOT(ISNUMBER(D50))),"",ROUND(C50*D50,2))</f>
        <v/>
      </c>
      <c r="F50" s="225">
        <f>IF(OR(C50="",E50=""),"",IF(G50&lt;&gt;"Sim",0,ROUND(E50-C50,2)))</f>
        <v/>
      </c>
      <c r="G50" s="226" t="n"/>
    </row>
    <row r="51">
      <c r="A51" s="222" t="n"/>
      <c r="B51" s="343">
        <f>IF(A51="","",IF(OR(A51&lt;MIN(parametros!$C$2:$C$6),A51&gt;MAX(parametros!$D$2:$D$6)),"Fora dos ciclos",LOWER(LOOKUP(A51,parametros!$C$2:$C$6,parametros!$B$2:$B$6))))</f>
        <v/>
      </c>
      <c r="C51" s="223" t="n"/>
      <c r="D51" s="224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225">
        <f>IF(OR(C51="",NOT(ISNUMBER(D51))),"",ROUND(C51*D51,2))</f>
        <v/>
      </c>
      <c r="F51" s="225">
        <f>IF(OR(C51="",E51=""),"",IF(G51&lt;&gt;"Sim",0,ROUND(E51-C51,2)))</f>
        <v/>
      </c>
      <c r="G51" s="226" t="n"/>
    </row>
    <row r="52">
      <c r="A52" s="222" t="n"/>
      <c r="B52" s="343">
        <f>IF(A52="","",IF(OR(A52&lt;MIN(parametros!$C$2:$C$6),A52&gt;MAX(parametros!$D$2:$D$6)),"Fora dos ciclos",LOWER(LOOKUP(A52,parametros!$C$2:$C$6,parametros!$B$2:$B$6))))</f>
        <v/>
      </c>
      <c r="C52" s="223" t="n"/>
      <c r="D52" s="224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225">
        <f>IF(OR(C52="",NOT(ISNUMBER(D52))),"",ROUND(C52*D52,2))</f>
        <v/>
      </c>
      <c r="F52" s="225">
        <f>IF(OR(C52="",E52=""),"",IF(G52&lt;&gt;"Sim",0,ROUND(E52-C52,2)))</f>
        <v/>
      </c>
      <c r="G52" s="226" t="n"/>
    </row>
    <row r="53">
      <c r="A53" s="222" t="n"/>
      <c r="B53" s="343">
        <f>IF(A53="","",IF(OR(A53&lt;MIN(parametros!$C$2:$C$6),A53&gt;MAX(parametros!$D$2:$D$6)),"Fora dos ciclos",LOWER(LOOKUP(A53,parametros!$C$2:$C$6,parametros!$B$2:$B$6))))</f>
        <v/>
      </c>
      <c r="C53" s="223" t="n"/>
      <c r="D53" s="224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225">
        <f>IF(OR(C53="",NOT(ISNUMBER(D53))),"",ROUND(C53*D53,2))</f>
        <v/>
      </c>
      <c r="F53" s="225">
        <f>IF(OR(C53="",E53=""),"",IF(G53&lt;&gt;"Sim",0,ROUND(E53-C53,2)))</f>
        <v/>
      </c>
      <c r="G53" s="226" t="n"/>
    </row>
    <row r="54">
      <c r="A54" s="222" t="n"/>
      <c r="B54" s="343">
        <f>IF(A54="","",IF(OR(A54&lt;MIN(parametros!$C$2:$C$6),A54&gt;MAX(parametros!$D$2:$D$6)),"Fora dos ciclos",LOWER(LOOKUP(A54,parametros!$C$2:$C$6,parametros!$B$2:$B$6))))</f>
        <v/>
      </c>
      <c r="C54" s="223" t="n"/>
      <c r="D54" s="224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225">
        <f>IF(OR(C54="",NOT(ISNUMBER(D54))),"",ROUND(C54*D54,2))</f>
        <v/>
      </c>
      <c r="F54" s="225">
        <f>IF(OR(C54="",E54=""),"",IF(G54&lt;&gt;"Sim",0,ROUND(E54-C54,2)))</f>
        <v/>
      </c>
      <c r="G54" s="226" t="n"/>
    </row>
    <row r="55">
      <c r="A55" s="222" t="n"/>
      <c r="B55" s="343">
        <f>IF(A55="","",IF(OR(A55&lt;MIN(parametros!$C$2:$C$6),A55&gt;MAX(parametros!$D$2:$D$6)),"Fora dos ciclos",LOWER(LOOKUP(A55,parametros!$C$2:$C$6,parametros!$B$2:$B$6))))</f>
        <v/>
      </c>
      <c r="C55" s="223" t="n"/>
      <c r="D55" s="224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225">
        <f>IF(OR(C55="",NOT(ISNUMBER(D55))),"",ROUND(C55*D55,2))</f>
        <v/>
      </c>
      <c r="F55" s="225">
        <f>IF(OR(C55="",E55=""),"",IF(G55&lt;&gt;"Sim",0,ROUND(E55-C55,2)))</f>
        <v/>
      </c>
      <c r="G55" s="226" t="n"/>
    </row>
    <row r="56">
      <c r="A56" s="222" t="n"/>
      <c r="B56" s="343">
        <f>IF(A56="","",IF(OR(A56&lt;MIN(parametros!$C$2:$C$6),A56&gt;MAX(parametros!$D$2:$D$6)),"Fora dos ciclos",LOWER(LOOKUP(A56,parametros!$C$2:$C$6,parametros!$B$2:$B$6))))</f>
        <v/>
      </c>
      <c r="C56" s="223" t="n"/>
      <c r="D56" s="224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225">
        <f>IF(OR(C56="",NOT(ISNUMBER(D56))),"",ROUND(C56*D56,2))</f>
        <v/>
      </c>
      <c r="F56" s="225">
        <f>IF(OR(C56="",E56=""),"",IF(G56&lt;&gt;"Sim",0,ROUND(E56-C56,2)))</f>
        <v/>
      </c>
      <c r="G56" s="226" t="n"/>
    </row>
    <row r="57">
      <c r="A57" s="222" t="n"/>
      <c r="B57" s="343">
        <f>IF(A57="","",IF(OR(A57&lt;MIN(parametros!$C$2:$C$6),A57&gt;MAX(parametros!$D$2:$D$6)),"Fora dos ciclos",LOWER(LOOKUP(A57,parametros!$C$2:$C$6,parametros!$B$2:$B$6))))</f>
        <v/>
      </c>
      <c r="C57" s="223" t="n"/>
      <c r="D57" s="224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225">
        <f>IF(OR(C57="",NOT(ISNUMBER(D57))),"",ROUND(C57*D57,2))</f>
        <v/>
      </c>
      <c r="F57" s="225">
        <f>IF(OR(C57="",E57=""),"",IF(G57&lt;&gt;"Sim",0,ROUND(E57-C57,2)))</f>
        <v/>
      </c>
      <c r="G57" s="226" t="n"/>
    </row>
    <row r="58">
      <c r="A58" s="222" t="n"/>
      <c r="B58" s="343">
        <f>IF(A58="","",IF(OR(A58&lt;MIN(parametros!$C$2:$C$6),A58&gt;MAX(parametros!$D$2:$D$6)),"Fora dos ciclos",LOWER(LOOKUP(A58,parametros!$C$2:$C$6,parametros!$B$2:$B$6))))</f>
        <v/>
      </c>
      <c r="C58" s="223" t="n"/>
      <c r="D58" s="224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225">
        <f>IF(OR(C58="",NOT(ISNUMBER(D58))),"",ROUND(C58*D58,2))</f>
        <v/>
      </c>
      <c r="F58" s="225">
        <f>IF(OR(C58="",E58=""),"",IF(G58&lt;&gt;"Sim",0,ROUND(E58-C58,2)))</f>
        <v/>
      </c>
      <c r="G58" s="226" t="n"/>
    </row>
    <row r="59">
      <c r="A59" s="222" t="n"/>
      <c r="B59" s="343">
        <f>IF(A59="","",IF(OR(A59&lt;MIN(parametros!$C$2:$C$6),A59&gt;MAX(parametros!$D$2:$D$6)),"Fora dos ciclos",LOWER(LOOKUP(A59,parametros!$C$2:$C$6,parametros!$B$2:$B$6))))</f>
        <v/>
      </c>
      <c r="C59" s="223" t="n"/>
      <c r="D59" s="224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225">
        <f>IF(OR(C59="",NOT(ISNUMBER(D59))),"",ROUND(C59*D59,2))</f>
        <v/>
      </c>
      <c r="F59" s="225">
        <f>IF(OR(C59="",E59=""),"",IF(G59&lt;&gt;"Sim",0,ROUND(E59-C59,2)))</f>
        <v/>
      </c>
      <c r="G59" s="226" t="n"/>
    </row>
    <row r="60">
      <c r="A60" s="222" t="n"/>
      <c r="B60" s="343">
        <f>IF(A60="","",IF(OR(A60&lt;MIN(parametros!$C$2:$C$6),A60&gt;MAX(parametros!$D$2:$D$6)),"Fora dos ciclos",LOWER(LOOKUP(A60,parametros!$C$2:$C$6,parametros!$B$2:$B$6))))</f>
        <v/>
      </c>
      <c r="C60" s="223" t="n"/>
      <c r="D60" s="224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225">
        <f>IF(OR(C60="",NOT(ISNUMBER(D60))),"",ROUND(C60*D60,2))</f>
        <v/>
      </c>
      <c r="F60" s="225">
        <f>IF(OR(C60="",E60=""),"",IF(G60&lt;&gt;"Sim",0,ROUND(E60-C60,2)))</f>
        <v/>
      </c>
      <c r="G60" s="226" t="n"/>
    </row>
    <row r="61">
      <c r="A61" s="222" t="n"/>
      <c r="B61" s="343">
        <f>IF(A61="","",IF(OR(A61&lt;MIN(parametros!$C$2:$C$6),A61&gt;MAX(parametros!$D$2:$D$6)),"Fora dos ciclos",LOWER(LOOKUP(A61,parametros!$C$2:$C$6,parametros!$B$2:$B$6))))</f>
        <v/>
      </c>
      <c r="C61" s="223" t="n"/>
      <c r="D61" s="224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225">
        <f>IF(OR(C61="",NOT(ISNUMBER(D61))),"",ROUND(C61*D61,2))</f>
        <v/>
      </c>
      <c r="F61" s="225">
        <f>IF(OR(C61="",E61=""),"",IF(G61&lt;&gt;"Sim",0,ROUND(E61-C61,2)))</f>
        <v/>
      </c>
      <c r="G61" s="226" t="n"/>
    </row>
  </sheetData>
  <dataValidations count="1">
    <dataValidation sqref="G2:G195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9" defaultRowHeight="14.5"/>
  <cols>
    <col width="6" customWidth="1" min="1" max="1"/>
    <col width="16.1796875" customWidth="1" min="2" max="2"/>
    <col width="11.7265625" customWidth="1" min="3" max="3"/>
    <col width="14.453125" customWidth="1" min="4" max="4"/>
    <col width="24.26953125" customWidth="1" min="21" max="21"/>
  </cols>
  <sheetData>
    <row r="1" ht="42" customHeight="1">
      <c r="A1" s="186" t="inlineStr">
        <is>
          <t>ITEM</t>
        </is>
      </c>
      <c r="B1" s="186" t="inlineStr">
        <is>
          <t>QTD_CONTRATADA</t>
        </is>
      </c>
      <c r="C1" s="186" t="inlineStr">
        <is>
          <t>VU_ORIGINAL</t>
        </is>
      </c>
      <c r="D1" s="186" t="inlineStr">
        <is>
          <t>VALOR_TOTAL</t>
        </is>
      </c>
      <c r="E1" s="93">
        <f>IF(parametros!$C$3="","QTD_REM_INICIO_C1","QTD_REM_INICIO_C1"&amp;CHAR(10)&amp;"Inicio: "&amp;RIGHT("0"&amp;DAY(parametros!$C$3),2)&amp;"/"&amp;RIGHT("0"&amp;MONTH(parametros!$C$3),2)&amp;"/"&amp;YEAR(parametros!$C$3))</f>
        <v/>
      </c>
      <c r="F1" s="93">
        <f>IF(parametros!$C$3="","VALOR_REM_INICIO_C1","VALOR_REM_INICIO_C1"&amp;CHAR(10)&amp;"Inicio: "&amp;RIGHT("0"&amp;DAY(parametros!$C$3),2)&amp;"/"&amp;RIGHT("0"&amp;MONTH(parametros!$C$3),2)&amp;"/"&amp;YEAR(parametros!$C$3))</f>
        <v/>
      </c>
      <c r="G1" s="23">
        <f>IF(parametros!$C$4="","QTD_REM_INICIO_C2","QTD_REM_INICIO_C2"&amp;CHAR(10)&amp;"Inicio: "&amp;RIGHT("0"&amp;DAY(parametros!$C$4),2)&amp;"/"&amp;RIGHT("0"&amp;MONTH(parametros!$C$4),2)&amp;"/"&amp;YEAR(parametros!$C$4))</f>
        <v/>
      </c>
      <c r="H1" s="23">
        <f>IF(parametros!$C$4="","VALOR_REM_INICIO_C2","VALOR_REM_INICIO_C2"&amp;CHAR(10)&amp;"Inicio: "&amp;RIGHT("0"&amp;DAY(parametros!$C$4),2)&amp;"/"&amp;RIGHT("0"&amp;MONTH(parametros!$C$4),2)&amp;"/"&amp;YEAR(parametros!$C$4))</f>
        <v/>
      </c>
      <c r="I1" s="93">
        <f>IF(parametros!$C$5="","QTD_REM_INICIO_C3","QTD_REM_INICIO_C3"&amp;CHAR(10)&amp;"Inicio: "&amp;RIGHT("0"&amp;DAY(parametros!$C$5),2)&amp;"/"&amp;RIGHT("0"&amp;MONTH(parametros!$C$5),2)&amp;"/"&amp;YEAR(parametros!$C$5))</f>
        <v/>
      </c>
      <c r="J1" s="93">
        <f>IF(parametros!$C$5="","VALOR_REM_INICIO_C3","VALOR_REM_INICIO_C3"&amp;CHAR(10)&amp;"Inicio: "&amp;RIGHT("0"&amp;DAY(parametros!$C$5),2)&amp;"/"&amp;RIGHT("0"&amp;MONTH(parametros!$C$5),2)&amp;"/"&amp;YEAR(parametros!$C$5))</f>
        <v/>
      </c>
      <c r="K1" s="23">
        <f>IF(parametros!$C$6="","QTD_REM_INICIO_C4","QTD_REM_INICIO_C4"&amp;CHAR(10)&amp;"Inicio: "&amp;RIGHT("0"&amp;DAY(parametros!$C$6),2)&amp;"/"&amp;RIGHT("0"&amp;MONTH(parametros!$C$6),2)&amp;"/"&amp;YEAR(parametros!$C$6))</f>
        <v/>
      </c>
      <c r="L1" s="23">
        <f>IF(parametros!$C$6="","VALOR_REM_INICIO_C4","VALOR_REM_INICIO_C4"&amp;CHAR(10)&amp;"Inicio: "&amp;RIGHT("0"&amp;DAY(parametros!$C$6),2)&amp;"/"&amp;RIGHT("0"&amp;MONTH(parametros!$C$6),2)&amp;"/"&amp;YEAR(parametros!$C$6))</f>
        <v/>
      </c>
      <c r="M1" s="94">
        <f>IF(parametros!$C$3="","QTD_EXECUTADA_C1","QTD_EXECUTADA_C1"&amp;CHAR(10)&amp;"Inicio: "&amp;RIGHT("0"&amp;DAY(parametros!$C$3),2)&amp;"/"&amp;RIGHT("0"&amp;MONTH(parametros!$C$3),2)&amp;"/"&amp;YEAR(parametros!$C$3))</f>
        <v/>
      </c>
      <c r="N1" s="94">
        <f>IF(parametros!$C$3="","VALOR_EXECUTADO_C1","VALOR_EXECUTADO_C1"&amp;CHAR(10)&amp;"Inicio: "&amp;RIGHT("0"&amp;DAY(parametros!$C$3),2)&amp;"/"&amp;RIGHT("0"&amp;MONTH(parametros!$C$3),2)&amp;"/"&amp;YEAR(parametros!$C$3))</f>
        <v/>
      </c>
      <c r="O1" s="24">
        <f>IF(parametros!$C$4="","QTD_EXECUTADA_C2","QTD_EXECUTADA_C2"&amp;CHAR(10)&amp;"Inicio: "&amp;RIGHT("0"&amp;DAY(parametros!$C$4),2)&amp;"/"&amp;RIGHT("0"&amp;MONTH(parametros!$C$4),2)&amp;"/"&amp;YEAR(parametros!$C$4))</f>
        <v/>
      </c>
      <c r="P1" s="24">
        <f>IF(parametros!$C$4="","VALOR_EXECUTADO_C2","VALOR_EXECUTADO_C2"&amp;CHAR(10)&amp;"Inicio: "&amp;RIGHT("0"&amp;DAY(parametros!$C$4),2)&amp;"/"&amp;RIGHT("0"&amp;MONTH(parametros!$C$4),2)&amp;"/"&amp;YEAR(parametros!$C$4))</f>
        <v/>
      </c>
      <c r="Q1" s="94">
        <f>IF(parametros!$C$5="","QTD_EXECUTADA_C3","QTD_EXECUTADA_C3"&amp;CHAR(10)&amp;"Inicio: "&amp;RIGHT("0"&amp;DAY(parametros!$C$5),2)&amp;"/"&amp;RIGHT("0"&amp;MONTH(parametros!$C$5),2)&amp;"/"&amp;YEAR(parametros!$C$5))</f>
        <v/>
      </c>
      <c r="R1" s="94">
        <f>IF(parametros!$C$5="","VALOR_EXECUTADO_C3","VALOR_EXECUTADO_C3"&amp;CHAR(10)&amp;"Inicio: "&amp;RIGHT("0"&amp;DAY(parametros!$C$5),2)&amp;"/"&amp;RIGHT("0"&amp;MONTH(parametros!$C$5),2)&amp;"/"&amp;YEAR(parametros!$C$5))</f>
        <v/>
      </c>
      <c r="S1" s="24">
        <f>IF(parametros!$C$6="","QTD_EXECUTADA_C4","QTD_EXECUTADA_C4"&amp;CHAR(10)&amp;"Inicio: "&amp;RIGHT("0"&amp;DAY(parametros!$C$6),2)&amp;"/"&amp;RIGHT("0"&amp;MONTH(parametros!$C$6),2)&amp;"/"&amp;YEAR(parametros!$C$6))</f>
        <v/>
      </c>
      <c r="T1" s="24">
        <f>IF(parametros!$C$6="","VALOR_EXECUTADO_C4","VALOR_EXECUTADO_C4"&amp;CHAR(10)&amp;"Inicio: "&amp;RIGHT("0"&amp;DAY(parametros!$C$6),2)&amp;"/"&amp;RIGHT("0"&amp;MONTH(parametros!$C$6),2)&amp;"/"&amp;YEAR(parametros!$C$6))</f>
        <v/>
      </c>
      <c r="U1" s="186" t="inlineStr">
        <is>
          <t>CHECK</t>
        </is>
      </c>
      <c r="V1" s="186" t="inlineStr">
        <is>
          <t>CHECK_QTD</t>
        </is>
      </c>
      <c r="W1" s="95" t="inlineStr">
        <is>
          <t>CICLO</t>
        </is>
      </c>
      <c r="X1" s="95" t="inlineStr">
        <is>
          <t>COMPUTAR_NESTA_APURACAO</t>
        </is>
      </c>
      <c r="Y1" s="95" t="inlineStr">
        <is>
          <t>FATOR_PROPRIO</t>
        </is>
      </c>
      <c r="Z1" s="95" t="inlineStr">
        <is>
          <t>FATOR_ACUMULADO</t>
        </is>
      </c>
      <c r="AA1" s="25" t="inlineStr">
        <is>
          <t>EXECUÇÃO IMPLÍCITA C0 — INFORMATIVO</t>
        </is>
      </c>
      <c r="AB1" s="26" t="inlineStr">
        <is>
          <t>QTD_EXECUTADA_C0</t>
        </is>
      </c>
      <c r="AC1" s="26" t="inlineStr">
        <is>
          <t>VALOR_EXECUTADO_C0</t>
        </is>
      </c>
      <c r="AD1" s="17" t="n"/>
    </row>
    <row r="2">
      <c r="A2" s="227" t="n"/>
      <c r="B2" s="228" t="n"/>
      <c r="C2" s="229" t="n"/>
      <c r="D2" s="225">
        <f>IF(FALSE,ROUND(SUMIF($A$2:A1,"&lt;&gt;",$D$2:D1),2),IF(OR(A2="",B2="",C2=""),"",ROUND(B2*C2,2)))</f>
        <v/>
      </c>
      <c r="E2" s="230" t="n"/>
      <c r="F2" s="225">
        <f>IF(FALSE,ROUND(SUMIF($A$2:A1,"&lt;&gt;",$F$2:F1),2),IF(OR(A2="",E2="",C2="",NOT(ISNUMBER($Z$3))),"",ROUND(E2*C2*$Z$3,2)))</f>
        <v/>
      </c>
      <c r="G2" s="230" t="n"/>
      <c r="H2" s="225">
        <f>IF(FALSE,ROUND(SUMIF($A$2:A1,"&lt;&gt;",$H$2:H1),2),IF(OR(A2="",G2="",C2="",NOT(ISNUMBER($Z$4))),"",ROUND(G2*C2*$Z$4,2)))</f>
        <v/>
      </c>
      <c r="I2" s="230" t="n"/>
      <c r="J2" s="225">
        <f>IF(FALSE,ROUND(SUMIF($A$2:A1,"&lt;&gt;",$J$2:J1),2),IF(OR(A2="",I2="",C2="",NOT(ISNUMBER($Z$5))),"",ROUND(I2*C2*$Z$5,2)))</f>
        <v/>
      </c>
      <c r="K2" s="230" t="n"/>
      <c r="L2" s="225">
        <f>IF(FALSE,ROUND(SUMIF($A$2:A1,"&lt;&gt;",$L$2:L1),2),IF(OR(A2="",K2="",C2="",NOT(ISNUMBER($Z$6))),"",ROUND(K2*C2*$Z$6,2)))</f>
        <v/>
      </c>
      <c r="M2" s="231">
        <f>IF(OR(E2="",G2=""),"",ROUND(MAX(E2-G2,0),2))</f>
        <v/>
      </c>
      <c r="N2" s="225">
        <f>IF(FALSE,ROUND(SUMIF($A$2:A1,"&lt;&gt;",$N$2:N1),2),IF(OR(M2="",C2="",NOT(ISNUMBER($Z$3))),"",ROUND(M2*C2*$Z$3,2)))</f>
        <v/>
      </c>
      <c r="O2" s="231">
        <f>IF(OR(G2="",I2=""),"",ROUND(MAX(G2-I2,0),2))</f>
        <v/>
      </c>
      <c r="P2" s="225">
        <f>IF(FALSE,ROUND(SUMIF($A$2:A1,"&lt;&gt;",$P$2:P1),2),IF(OR(O2="",C2="",NOT(ISNUMBER($Z$4))),"",ROUND(O2*C2*$Z$4,2)))</f>
        <v/>
      </c>
      <c r="Q2" s="231">
        <f>IF(OR(I2="",K2=""),"",ROUND(MAX(I2-K2,0),2))</f>
        <v/>
      </c>
      <c r="R2" s="225">
        <f>IF(FALSE,ROUND(SUMIF($A$2:A1,"&lt;&gt;",$R$2:R1),2),IF(OR(Q2="",C2="",NOT(ISNUMBER($Z$5))),"",ROUND(Q2*C2*$Z$5,2)))</f>
        <v/>
      </c>
      <c r="S2" s="27" t="n"/>
      <c r="T2" s="232" t="n"/>
      <c r="U2" s="233">
        <f>IF(A2="","",IF(AND(G2&lt;&gt;"",E2&lt;&gt;"",G2&gt;E2),"ALERTA: REM_C2&gt;REM_C1",IF(AND(I2&lt;&gt;"",G2&lt;&gt;"",I2&gt;G2),"ALERTA: REM_C3&gt;REM_C2",IF(AND(K2&lt;&gt;"",I2&lt;&gt;"",K2&gt;I2),"ALERTA: REM_C4&gt;REM_C3","OK"))))</f>
        <v/>
      </c>
      <c r="V2" s="233">
        <f>IF(A2="","",IF(B2="","",IF(OR(B2&lt;0,E2&gt;B2,G2&gt;B2,I2&gt;B2,K2&gt;B2),"ALERTA: QTD_INVALIDA","OK")))</f>
        <v/>
      </c>
      <c r="W2" s="234" t="inlineStr">
        <is>
          <t>C0</t>
        </is>
      </c>
      <c r="X2" s="235">
        <f>parametros!$A$2</f>
        <v/>
      </c>
      <c r="Y2" s="236">
        <f>IF(ISNUMBER(parametros!$E$2),parametros!$E$2,"")</f>
        <v/>
      </c>
      <c r="Z2" s="237">
        <f>IF(ISNUMBER(parametros!$F$2),parametros!$F$2,"")</f>
        <v/>
      </c>
      <c r="AA2" s="17" t="n"/>
      <c r="AB2" s="231">
        <f>IF(OR(A2="",E2=""),"",ROUND(B2-E2,2))</f>
        <v/>
      </c>
      <c r="AC2" s="225">
        <f>IF(FALSE,ROUND(SUMIF($A$2:A1,"&lt;&gt;",$AC$2:AC1),2),IF(OR(A2="",E2=""),"",ROUND(D2-E2*C2,2)))</f>
        <v/>
      </c>
      <c r="AD2" s="17" t="n"/>
    </row>
    <row r="3">
      <c r="A3" s="227" t="n"/>
      <c r="B3" s="228" t="n"/>
      <c r="C3" s="229" t="n"/>
      <c r="D3" s="225">
        <f>IF(AND(A3="",A2&lt;&gt;"",COUNTIF(A4:$A$200,"&lt;&gt;")=0),ROUND(SUMIF($A$2:A2,"&lt;&gt;",$D$2:D2),2),IF(OR(A3="",B3="",C3=""),"",ROUND(B3*C3,2)))</f>
        <v/>
      </c>
      <c r="E3" s="230" t="n"/>
      <c r="F3" s="225">
        <f>IF(AND(A3="",A2&lt;&gt;"",COUNTIF(A4:$A$200,"&lt;&gt;")=0),ROUND(SUMIF($A$2:A2,"&lt;&gt;",$F$2:F2),2),IF(OR(A3="",E3="",C3="",NOT(ISNUMBER($Z$3))),"",ROUND(E3*C3*$Z$3,2)))</f>
        <v/>
      </c>
      <c r="G3" s="230" t="n"/>
      <c r="H3" s="225">
        <f>IF(AND(A3="",A2&lt;&gt;"",COUNTIF(A4:$A$200,"&lt;&gt;")=0),ROUND(SUMIF($A$2:A2,"&lt;&gt;",$H$2:H2),2),IF(OR(A3="",G3="",C3="",NOT(ISNUMBER($Z$4))),"",ROUND(G3*C3*$Z$4,2)))</f>
        <v/>
      </c>
      <c r="I3" s="230" t="n"/>
      <c r="J3" s="225">
        <f>IF(AND(A3="",A2&lt;&gt;"",COUNTIF(A4:$A$200,"&lt;&gt;")=0),ROUND(SUMIF($A$2:A2,"&lt;&gt;",$J$2:J2),2),IF(OR(A3="",I3="",C3="",NOT(ISNUMBER($Z$5))),"",ROUND(I3*C3*$Z$5,2)))</f>
        <v/>
      </c>
      <c r="K3" s="230" t="n"/>
      <c r="L3" s="225">
        <f>IF(AND(A3="",A2&lt;&gt;"",COUNTIF(A4:$A$200,"&lt;&gt;")=0),ROUND(SUMIF($A$2:A2,"&lt;&gt;",$L$2:L2),2),IF(OR(A3="",K3="",C3="",NOT(ISNUMBER($Z$6))),"",ROUND(K3*C3*$Z$6,2)))</f>
        <v/>
      </c>
      <c r="M3" s="231">
        <f>IF(OR(E3="",G3=""),"",ROUND(MAX(E3-G3,0),2))</f>
        <v/>
      </c>
      <c r="N3" s="225">
        <f>IF(AND(A3="",A2&lt;&gt;"",COUNTIF(A4:$A$200,"&lt;&gt;")=0),ROUND(SUMIF($A$2:A2,"&lt;&gt;",$N$2:N2),2),IF(OR(M3="",C3="",NOT(ISNUMBER($Z$3))),"",ROUND(M3*C3*$Z$3,2)))</f>
        <v/>
      </c>
      <c r="O3" s="231">
        <f>IF(OR(G3="",I3=""),"",ROUND(MAX(G3-I3,0),2))</f>
        <v/>
      </c>
      <c r="P3" s="225">
        <f>IF(AND(A3="",A2&lt;&gt;"",COUNTIF(A4:$A$200,"&lt;&gt;")=0),ROUND(SUMIF($A$2:A2,"&lt;&gt;",$P$2:P2),2),IF(OR(O3="",C3="",NOT(ISNUMBER($Z$4))),"",ROUND(O3*C3*$Z$4,2)))</f>
        <v/>
      </c>
      <c r="Q3" s="231">
        <f>IF(OR(I3="",K3=""),"",ROUND(MAX(I3-K3,0),2))</f>
        <v/>
      </c>
      <c r="R3" s="225">
        <f>IF(AND(A3="",A2&lt;&gt;"",COUNTIF(A4:$A$200,"&lt;&gt;")=0),ROUND(SUMIF($A$2:A2,"&lt;&gt;",$R$2:R2),2),IF(OR(Q3="",C3="",NOT(ISNUMBER($Z$5))),"",ROUND(Q3*C3*$Z$5,2)))</f>
        <v/>
      </c>
      <c r="S3" s="27" t="n"/>
      <c r="T3" s="232" t="n"/>
      <c r="U3" s="233">
        <f>IF(AND(A3="",A2&lt;&gt;"",COUNTIF(A4:$A$200,"&lt;&gt;")=0),"TOTAL",IF(A3="","",IF(AND(G3&lt;&gt;"",E3&lt;&gt;"",G3&gt;E3),"ALERTA: REM_C2&gt;REM_C1",IF(AND(I3&lt;&gt;"",G3&lt;&gt;"",I3&gt;G3),"ALERTA: REM_C3&gt;REM_C2",IF(AND(K3&lt;&gt;"",I3&lt;&gt;"",K3&gt;I3),"ALERTA: REM_C4&gt;REM_C3","OK")))))</f>
        <v/>
      </c>
      <c r="V3" s="233">
        <f>IF(A3="","",IF(B3="","",IF(OR(B3&lt;0,E3&gt;B3,G3&gt;B3,I3&gt;B3,K3&gt;B3),"ALERTA: QTD_INVALIDA","OK")))</f>
        <v/>
      </c>
      <c r="W3" s="234" t="inlineStr">
        <is>
          <t>C1</t>
        </is>
      </c>
      <c r="X3" s="235">
        <f>parametros!$A$3</f>
        <v/>
      </c>
      <c r="Y3" s="236">
        <f>IF(ISNUMBER(parametros!$E$3),parametros!$E$3,"")</f>
        <v/>
      </c>
      <c r="Z3" s="237">
        <f>IF(ISNUMBER(parametros!$F$3),parametros!$F$3,"")</f>
        <v/>
      </c>
      <c r="AA3" s="17" t="n"/>
      <c r="AB3" s="231">
        <f>IF(OR(A3="",E3=""),"",ROUND(B3-E3,2))</f>
        <v/>
      </c>
      <c r="AC3" s="225">
        <f>IF(AND(A3="",A2&lt;&gt;"",COUNTIF(A4:$A$200,"&lt;&gt;")=0),ROUND(SUMIF($A$2:A2,"&lt;&gt;",$AC$2:AC2),2),IF(OR(A3="",E3=""),"",ROUND(D3-E3*C3,2)))</f>
        <v/>
      </c>
      <c r="AD3" s="17" t="n"/>
    </row>
    <row r="4">
      <c r="A4" s="227" t="n"/>
      <c r="B4" s="228" t="n"/>
      <c r="C4" s="229" t="n"/>
      <c r="D4" s="225">
        <f>IF(AND(A4="",A3&lt;&gt;"",COUNTIF(A5:$A$200,"&lt;&gt;")=0),ROUND(SUMIF($A$2:A3,"&lt;&gt;",$D$2:D3),2),IF(OR(A4="",B4="",C4=""),"",ROUND(B4*C4,2)))</f>
        <v/>
      </c>
      <c r="E4" s="230" t="n"/>
      <c r="F4" s="225">
        <f>IF(AND(A4="",A3&lt;&gt;"",COUNTIF(A5:$A$200,"&lt;&gt;")=0),ROUND(SUMIF($A$2:A3,"&lt;&gt;",$F$2:F3),2),IF(OR(A4="",E4="",C4="",NOT(ISNUMBER($Z$3))),"",ROUND(E4*C4*$Z$3,2)))</f>
        <v/>
      </c>
      <c r="G4" s="230" t="n"/>
      <c r="H4" s="225">
        <f>IF(AND(A4="",A3&lt;&gt;"",COUNTIF(A5:$A$200,"&lt;&gt;")=0),ROUND(SUMIF($A$2:A3,"&lt;&gt;",$H$2:H3),2),IF(OR(A4="",G4="",C4="",NOT(ISNUMBER($Z$4))),"",ROUND(G4*C4*$Z$4,2)))</f>
        <v/>
      </c>
      <c r="I4" s="230" t="n"/>
      <c r="J4" s="225">
        <f>IF(AND(A4="",A3&lt;&gt;"",COUNTIF(A5:$A$200,"&lt;&gt;")=0),ROUND(SUMIF($A$2:A3,"&lt;&gt;",$J$2:J3),2),IF(OR(A4="",I4="",C4="",NOT(ISNUMBER($Z$5))),"",ROUND(I4*C4*$Z$5,2)))</f>
        <v/>
      </c>
      <c r="K4" s="230" t="n"/>
      <c r="L4" s="225">
        <f>IF(AND(A4="",A3&lt;&gt;"",COUNTIF(A5:$A$200,"&lt;&gt;")=0),ROUND(SUMIF($A$2:A3,"&lt;&gt;",$L$2:L3),2),IF(OR(A4="",K4="",C4="",NOT(ISNUMBER($Z$6))),"",ROUND(K4*C4*$Z$6,2)))</f>
        <v/>
      </c>
      <c r="M4" s="231">
        <f>IF(OR(E4="",G4=""),"",ROUND(MAX(E4-G4,0),2))</f>
        <v/>
      </c>
      <c r="N4" s="225">
        <f>IF(AND(A4="",A3&lt;&gt;"",COUNTIF(A5:$A$200,"&lt;&gt;")=0),ROUND(SUMIF($A$2:A3,"&lt;&gt;",$N$2:N3),2),IF(OR(M4="",C4="",NOT(ISNUMBER($Z$3))),"",ROUND(M4*C4*$Z$3,2)))</f>
        <v/>
      </c>
      <c r="O4" s="231">
        <f>IF(OR(G4="",I4=""),"",ROUND(MAX(G4-I4,0),2))</f>
        <v/>
      </c>
      <c r="P4" s="225">
        <f>IF(AND(A4="",A3&lt;&gt;"",COUNTIF(A5:$A$200,"&lt;&gt;")=0),ROUND(SUMIF($A$2:A3,"&lt;&gt;",$P$2:P3),2),IF(OR(O4="",C4="",NOT(ISNUMBER($Z$4))),"",ROUND(O4*C4*$Z$4,2)))</f>
        <v/>
      </c>
      <c r="Q4" s="231">
        <f>IF(OR(I4="",K4=""),"",ROUND(MAX(I4-K4,0),2))</f>
        <v/>
      </c>
      <c r="R4" s="225">
        <f>IF(AND(A4="",A3&lt;&gt;"",COUNTIF(A5:$A$200,"&lt;&gt;")=0),ROUND(SUMIF($A$2:A3,"&lt;&gt;",$R$2:R3),2),IF(OR(Q4="",C4="",NOT(ISNUMBER($Z$5))),"",ROUND(Q4*C4*$Z$5,2)))</f>
        <v/>
      </c>
      <c r="S4" s="27" t="n"/>
      <c r="T4" s="232" t="n"/>
      <c r="U4" s="233">
        <f>IF(AND(A4="",A3&lt;&gt;"",COUNTIF(A5:$A$200,"&lt;&gt;")=0),"TOTAL",IF(A4="","",IF(AND(G4&lt;&gt;"",E4&lt;&gt;"",G4&gt;E4),"ALERTA: REM_C2&gt;REM_C1",IF(AND(I4&lt;&gt;"",G4&lt;&gt;"",I4&gt;G4),"ALERTA: REM_C3&gt;REM_C2",IF(AND(K4&lt;&gt;"",I4&lt;&gt;"",K4&gt;I4),"ALERTA: REM_C4&gt;REM_C3","OK")))))</f>
        <v/>
      </c>
      <c r="V4" s="233">
        <f>IF(A4="","",IF(B4="","",IF(OR(B4&lt;0,E4&gt;B4,G4&gt;B4,I4&gt;B4,K4&gt;B4),"ALERTA: QTD_INVALIDA","OK")))</f>
        <v/>
      </c>
      <c r="W4" s="234" t="inlineStr">
        <is>
          <t>C2</t>
        </is>
      </c>
      <c r="X4" s="235">
        <f>parametros!$A$4</f>
        <v/>
      </c>
      <c r="Y4" s="236">
        <f>IF(ISNUMBER(parametros!$E$4),parametros!$E$4,"")</f>
        <v/>
      </c>
      <c r="Z4" s="237">
        <f>IF(ISNUMBER(parametros!$F$4),parametros!$F$4,"")</f>
        <v/>
      </c>
      <c r="AA4" s="17" t="n"/>
      <c r="AB4" s="231">
        <f>IF(OR(A4="",E4=""),"",ROUND(B4-E4,2))</f>
        <v/>
      </c>
      <c r="AC4" s="225">
        <f>IF(AND(A4="",A3&lt;&gt;"",COUNTIF(A5:$A$200,"&lt;&gt;")=0),ROUND(SUMIF($A$2:A3,"&lt;&gt;",$AC$2:AC3),2),IF(OR(A4="",E4=""),"",ROUND(D4-E4*C4,2)))</f>
        <v/>
      </c>
      <c r="AD4" s="17" t="n"/>
    </row>
    <row r="5">
      <c r="A5" s="227" t="n"/>
      <c r="B5" s="228" t="n"/>
      <c r="C5" s="229" t="n"/>
      <c r="D5" s="225">
        <f>IF(AND(A5="",A4&lt;&gt;"",COUNTIF(A6:$A$200,"&lt;&gt;")=0),ROUND(SUMIF($A$2:A4,"&lt;&gt;",$D$2:D4),2),IF(OR(A5="",B5="",C5=""),"",ROUND(B5*C5,2)))</f>
        <v/>
      </c>
      <c r="E5" s="230" t="n"/>
      <c r="F5" s="225">
        <f>IF(AND(A5="",A4&lt;&gt;"",COUNTIF(A6:$A$200,"&lt;&gt;")=0),ROUND(SUMIF($A$2:A4,"&lt;&gt;",$F$2:F4),2),IF(OR(A5="",E5="",C5="",NOT(ISNUMBER($Z$3))),"",ROUND(E5*C5*$Z$3,2)))</f>
        <v/>
      </c>
      <c r="G5" s="230" t="n"/>
      <c r="H5" s="225">
        <f>IF(AND(A5="",A4&lt;&gt;"",COUNTIF(A6:$A$200,"&lt;&gt;")=0),ROUND(SUMIF($A$2:A4,"&lt;&gt;",$H$2:H4),2),IF(OR(A5="",G5="",C5="",NOT(ISNUMBER($Z$4))),"",ROUND(G5*C5*$Z$4,2)))</f>
        <v/>
      </c>
      <c r="I5" s="230" t="n"/>
      <c r="J5" s="225">
        <f>IF(AND(A5="",A4&lt;&gt;"",COUNTIF(A6:$A$200,"&lt;&gt;")=0),ROUND(SUMIF($A$2:A4,"&lt;&gt;",$J$2:J4),2),IF(OR(A5="",I5="",C5="",NOT(ISNUMBER($Z$5))),"",ROUND(I5*C5*$Z$5,2)))</f>
        <v/>
      </c>
      <c r="K5" s="230" t="n"/>
      <c r="L5" s="225">
        <f>IF(AND(A5="",A4&lt;&gt;"",COUNTIF(A6:$A$200,"&lt;&gt;")=0),ROUND(SUMIF($A$2:A4,"&lt;&gt;",$L$2:L4),2),IF(OR(A5="",K5="",C5="",NOT(ISNUMBER($Z$6))),"",ROUND(K5*C5*$Z$6,2)))</f>
        <v/>
      </c>
      <c r="M5" s="231">
        <f>IF(OR(E5="",G5=""),"",ROUND(MAX(E5-G5,0),2))</f>
        <v/>
      </c>
      <c r="N5" s="225">
        <f>IF(AND(A5="",A4&lt;&gt;"",COUNTIF(A6:$A$200,"&lt;&gt;")=0),ROUND(SUMIF($A$2:A4,"&lt;&gt;",$N$2:N4),2),IF(OR(M5="",C5="",NOT(ISNUMBER($Z$3))),"",ROUND(M5*C5*$Z$3,2)))</f>
        <v/>
      </c>
      <c r="O5" s="231">
        <f>IF(OR(G5="",I5=""),"",ROUND(MAX(G5-I5,0),2))</f>
        <v/>
      </c>
      <c r="P5" s="225">
        <f>IF(AND(A5="",A4&lt;&gt;"",COUNTIF(A6:$A$200,"&lt;&gt;")=0),ROUND(SUMIF($A$2:A4,"&lt;&gt;",$P$2:P4),2),IF(OR(O5="",C5="",NOT(ISNUMBER($Z$4))),"",ROUND(O5*C5*$Z$4,2)))</f>
        <v/>
      </c>
      <c r="Q5" s="231">
        <f>IF(OR(I5="",K5=""),"",ROUND(MAX(I5-K5,0),2))</f>
        <v/>
      </c>
      <c r="R5" s="225">
        <f>IF(AND(A5="",A4&lt;&gt;"",COUNTIF(A6:$A$200,"&lt;&gt;")=0),ROUND(SUMIF($A$2:A4,"&lt;&gt;",$R$2:R4),2),IF(OR(Q5="",C5="",NOT(ISNUMBER($Z$5))),"",ROUND(Q5*C5*$Z$5,2)))</f>
        <v/>
      </c>
      <c r="S5" s="27" t="n"/>
      <c r="T5" s="232" t="n"/>
      <c r="U5" s="233">
        <f>IF(AND(A5="",A4&lt;&gt;"",COUNTIF(A6:$A$200,"&lt;&gt;")=0),"TOTAL",IF(A5="","",IF(AND(G5&lt;&gt;"",E5&lt;&gt;"",G5&gt;E5),"ALERTA: REM_C2&gt;REM_C1",IF(AND(I5&lt;&gt;"",G5&lt;&gt;"",I5&gt;G5),"ALERTA: REM_C3&gt;REM_C2",IF(AND(K5&lt;&gt;"",I5&lt;&gt;"",K5&gt;I5),"ALERTA: REM_C4&gt;REM_C3","OK")))))</f>
        <v/>
      </c>
      <c r="V5" s="233">
        <f>IF(A5="","",IF(B5="","",IF(OR(B5&lt;0,E5&gt;B5,G5&gt;B5,I5&gt;B5,K5&gt;B5),"ALERTA: QTD_INVALIDA","OK")))</f>
        <v/>
      </c>
      <c r="W5" s="234" t="inlineStr">
        <is>
          <t>C3</t>
        </is>
      </c>
      <c r="X5" s="235">
        <f>parametros!$A$5</f>
        <v/>
      </c>
      <c r="Y5" s="236">
        <f>IF(ISNUMBER(parametros!$E$5),parametros!$E$5,"")</f>
        <v/>
      </c>
      <c r="Z5" s="237">
        <f>IF(ISNUMBER(parametros!$F$5),parametros!$F$5,"")</f>
        <v/>
      </c>
      <c r="AA5" s="17" t="n"/>
      <c r="AB5" s="231">
        <f>IF(OR(A5="",E5=""),"",ROUND(B5-E5,2))</f>
        <v/>
      </c>
      <c r="AC5" s="225">
        <f>IF(AND(A5="",A4&lt;&gt;"",COUNTIF(A6:$A$200,"&lt;&gt;")=0),ROUND(SUMIF($A$2:A4,"&lt;&gt;",$AC$2:AC4),2),IF(OR(A5="",E5=""),"",ROUND(D5-E5*C5,2)))</f>
        <v/>
      </c>
      <c r="AD5" s="17" t="n"/>
    </row>
    <row r="6">
      <c r="A6" s="227" t="n"/>
      <c r="B6" s="228" t="n"/>
      <c r="C6" s="229" t="n"/>
      <c r="D6" s="225">
        <f>IF(AND(A6="",A5&lt;&gt;"",COUNTIF(A7:$A$200,"&lt;&gt;")=0),ROUND(SUMIF($A$2:A5,"&lt;&gt;",$D$2:D5),2),IF(OR(A6="",B6="",C6=""),"",ROUND(B6*C6,2)))</f>
        <v/>
      </c>
      <c r="E6" s="230" t="n"/>
      <c r="F6" s="225">
        <f>IF(AND(A6="",A5&lt;&gt;"",COUNTIF(A7:$A$200,"&lt;&gt;")=0),ROUND(SUMIF($A$2:A5,"&lt;&gt;",$F$2:F5),2),IF(OR(A6="",E6="",C6="",NOT(ISNUMBER($Z$3))),"",ROUND(E6*C6*$Z$3,2)))</f>
        <v/>
      </c>
      <c r="G6" s="230" t="n"/>
      <c r="H6" s="225">
        <f>IF(AND(A6="",A5&lt;&gt;"",COUNTIF(A7:$A$200,"&lt;&gt;")=0),ROUND(SUMIF($A$2:A5,"&lt;&gt;",$H$2:H5),2),IF(OR(A6="",G6="",C6="",NOT(ISNUMBER($Z$4))),"",ROUND(G6*C6*$Z$4,2)))</f>
        <v/>
      </c>
      <c r="I6" s="230" t="n"/>
      <c r="J6" s="225">
        <f>IF(AND(A6="",A5&lt;&gt;"",COUNTIF(A7:$A$200,"&lt;&gt;")=0),ROUND(SUMIF($A$2:A5,"&lt;&gt;",$J$2:J5),2),IF(OR(A6="",I6="",C6="",NOT(ISNUMBER($Z$5))),"",ROUND(I6*C6*$Z$5,2)))</f>
        <v/>
      </c>
      <c r="K6" s="230" t="n"/>
      <c r="L6" s="225">
        <f>IF(AND(A6="",A5&lt;&gt;"",COUNTIF(A7:$A$200,"&lt;&gt;")=0),ROUND(SUMIF($A$2:A5,"&lt;&gt;",$L$2:L5),2),IF(OR(A6="",K6="",C6="",NOT(ISNUMBER($Z$6))),"",ROUND(K6*C6*$Z$6,2)))</f>
        <v/>
      </c>
      <c r="M6" s="231">
        <f>IF(OR(E6="",G6=""),"",ROUND(MAX(E6-G6,0),2))</f>
        <v/>
      </c>
      <c r="N6" s="225">
        <f>IF(AND(A6="",A5&lt;&gt;"",COUNTIF(A7:$A$200,"&lt;&gt;")=0),ROUND(SUMIF($A$2:A5,"&lt;&gt;",$N$2:N5),2),IF(OR(M6="",C6="",NOT(ISNUMBER($Z$3))),"",ROUND(M6*C6*$Z$3,2)))</f>
        <v/>
      </c>
      <c r="O6" s="231">
        <f>IF(OR(G6="",I6=""),"",ROUND(MAX(G6-I6,0),2))</f>
        <v/>
      </c>
      <c r="P6" s="225">
        <f>IF(AND(A6="",A5&lt;&gt;"",COUNTIF(A7:$A$200,"&lt;&gt;")=0),ROUND(SUMIF($A$2:A5,"&lt;&gt;",$P$2:P5),2),IF(OR(O6="",C6="",NOT(ISNUMBER($Z$4))),"",ROUND(O6*C6*$Z$4,2)))</f>
        <v/>
      </c>
      <c r="Q6" s="231">
        <f>IF(OR(I6="",K6=""),"",ROUND(MAX(I6-K6,0),2))</f>
        <v/>
      </c>
      <c r="R6" s="225">
        <f>IF(AND(A6="",A5&lt;&gt;"",COUNTIF(A7:$A$200,"&lt;&gt;")=0),ROUND(SUMIF($A$2:A5,"&lt;&gt;",$R$2:R5),2),IF(OR(Q6="",C6="",NOT(ISNUMBER($Z$5))),"",ROUND(Q6*C6*$Z$5,2)))</f>
        <v/>
      </c>
      <c r="S6" s="27" t="n"/>
      <c r="T6" s="232" t="n"/>
      <c r="U6" s="233">
        <f>IF(AND(A6="",A5&lt;&gt;"",COUNTIF(A7:$A$200,"&lt;&gt;")=0),"TOTAL",IF(A6="","",IF(AND(G6&lt;&gt;"",E6&lt;&gt;"",G6&gt;E6),"ALERTA: REM_C2&gt;REM_C1",IF(AND(I6&lt;&gt;"",G6&lt;&gt;"",I6&gt;G6),"ALERTA: REM_C3&gt;REM_C2",IF(AND(K6&lt;&gt;"",I6&lt;&gt;"",K6&gt;I6),"ALERTA: REM_C4&gt;REM_C3","OK")))))</f>
        <v/>
      </c>
      <c r="V6" s="233">
        <f>IF(A6="","",IF(B6="","",IF(OR(B6&lt;0,E6&gt;B6,G6&gt;B6,I6&gt;B6,K6&gt;B6),"ALERTA: QTD_INVALIDA","OK")))</f>
        <v/>
      </c>
      <c r="W6" s="234" t="inlineStr">
        <is>
          <t>C4</t>
        </is>
      </c>
      <c r="X6" s="235">
        <f>parametros!$A$6</f>
        <v/>
      </c>
      <c r="Y6" s="236">
        <f>IF(ISNUMBER(parametros!$E$6),parametros!$E$6,"")</f>
        <v/>
      </c>
      <c r="Z6" s="237">
        <f>IF(ISNUMBER(parametros!$F$6),parametros!$F$6,"")</f>
        <v/>
      </c>
      <c r="AA6" s="17" t="n"/>
      <c r="AB6" s="231">
        <f>IF(OR(A6="",E6=""),"",ROUND(B6-E6,2))</f>
        <v/>
      </c>
      <c r="AC6" s="225">
        <f>IF(AND(A6="",A5&lt;&gt;"",COUNTIF(A7:$A$200,"&lt;&gt;")=0),ROUND(SUMIF($A$2:A5,"&lt;&gt;",$AC$2:AC5),2),IF(OR(A6="",E6=""),"",ROUND(D6-E6*C6,2)))</f>
        <v/>
      </c>
      <c r="AD6" s="17" t="n"/>
    </row>
    <row r="7">
      <c r="A7" s="227" t="n"/>
      <c r="B7" s="228" t="n"/>
      <c r="C7" s="229" t="n"/>
      <c r="D7" s="225">
        <f>IF(AND(A7="",A6&lt;&gt;"",COUNTIF(A8:$A$200,"&lt;&gt;")=0),ROUND(SUMIF($A$2:A6,"&lt;&gt;",$D$2:D6),2),IF(OR(A7="",B7="",C7=""),"",ROUND(B7*C7,2)))</f>
        <v/>
      </c>
      <c r="E7" s="230" t="n"/>
      <c r="F7" s="225">
        <f>IF(AND(A7="",A6&lt;&gt;"",COUNTIF(A8:$A$200,"&lt;&gt;")=0),ROUND(SUMIF($A$2:A6,"&lt;&gt;",$F$2:F6),2),IF(OR(A7="",E7="",C7="",NOT(ISNUMBER($Z$3))),"",ROUND(E7*C7*$Z$3,2)))</f>
        <v/>
      </c>
      <c r="G7" s="230" t="n"/>
      <c r="H7" s="225">
        <f>IF(AND(A7="",A6&lt;&gt;"",COUNTIF(A8:$A$200,"&lt;&gt;")=0),ROUND(SUMIF($A$2:A6,"&lt;&gt;",$H$2:H6),2),IF(OR(A7="",G7="",C7="",NOT(ISNUMBER($Z$4))),"",ROUND(G7*C7*$Z$4,2)))</f>
        <v/>
      </c>
      <c r="I7" s="230" t="n"/>
      <c r="J7" s="225">
        <f>IF(AND(A7="",A6&lt;&gt;"",COUNTIF(A8:$A$200,"&lt;&gt;")=0),ROUND(SUMIF($A$2:A6,"&lt;&gt;",$J$2:J6),2),IF(OR(A7="",I7="",C7="",NOT(ISNUMBER($Z$5))),"",ROUND(I7*C7*$Z$5,2)))</f>
        <v/>
      </c>
      <c r="K7" s="230" t="n"/>
      <c r="L7" s="225">
        <f>IF(AND(A7="",A6&lt;&gt;"",COUNTIF(A8:$A$200,"&lt;&gt;")=0),ROUND(SUMIF($A$2:A6,"&lt;&gt;",$L$2:L6),2),IF(OR(A7="",K7="",C7="",NOT(ISNUMBER($Z$6))),"",ROUND(K7*C7*$Z$6,2)))</f>
        <v/>
      </c>
      <c r="M7" s="231">
        <f>IF(OR(E7="",G7=""),"",ROUND(MAX(E7-G7,0),2))</f>
        <v/>
      </c>
      <c r="N7" s="225">
        <f>IF(AND(A7="",A6&lt;&gt;"",COUNTIF(A8:$A$200,"&lt;&gt;")=0),ROUND(SUMIF($A$2:A6,"&lt;&gt;",$N$2:N6),2),IF(OR(M7="",C7="",NOT(ISNUMBER($Z$3))),"",ROUND(M7*C7*$Z$3,2)))</f>
        <v/>
      </c>
      <c r="O7" s="231">
        <f>IF(OR(G7="",I7=""),"",ROUND(MAX(G7-I7,0),2))</f>
        <v/>
      </c>
      <c r="P7" s="225">
        <f>IF(AND(A7="",A6&lt;&gt;"",COUNTIF(A8:$A$200,"&lt;&gt;")=0),ROUND(SUMIF($A$2:A6,"&lt;&gt;",$P$2:P6),2),IF(OR(O7="",C7="",NOT(ISNUMBER($Z$4))),"",ROUND(O7*C7*$Z$4,2)))</f>
        <v/>
      </c>
      <c r="Q7" s="231">
        <f>IF(OR(I7="",K7=""),"",ROUND(MAX(I7-K7,0),2))</f>
        <v/>
      </c>
      <c r="R7" s="225">
        <f>IF(AND(A7="",A6&lt;&gt;"",COUNTIF(A8:$A$200,"&lt;&gt;")=0),ROUND(SUMIF($A$2:A6,"&lt;&gt;",$R$2:R6),2),IF(OR(Q7="",C7="",NOT(ISNUMBER($Z$5))),"",ROUND(Q7*C7*$Z$5,2)))</f>
        <v/>
      </c>
      <c r="S7" s="27" t="n"/>
      <c r="T7" s="232" t="n"/>
      <c r="U7" s="233">
        <f>IF(AND(A7="",A6&lt;&gt;"",COUNTIF(A8:$A$200,"&lt;&gt;")=0),"TOTAL",IF(A7="","",IF(AND(G7&lt;&gt;"",E7&lt;&gt;"",G7&gt;E7),"ALERTA: REM_C2&gt;REM_C1",IF(AND(I7&lt;&gt;"",G7&lt;&gt;"",I7&gt;G7),"ALERTA: REM_C3&gt;REM_C2",IF(AND(K7&lt;&gt;"",I7&lt;&gt;"",K7&gt;I7),"ALERTA: REM_C4&gt;REM_C3","OK")))))</f>
        <v/>
      </c>
      <c r="V7" s="233">
        <f>IF(A7="","",IF(B7="","",IF(OR(B7&lt;0,E7&gt;B7,G7&gt;B7,I7&gt;B7,K7&gt;B7),"ALERTA: QTD_INVALIDA","OK")))</f>
        <v/>
      </c>
      <c r="W7" s="19" t="n"/>
      <c r="X7" s="19" t="n"/>
      <c r="Y7" s="19" t="n"/>
      <c r="Z7" s="17" t="n"/>
      <c r="AA7" s="17" t="n"/>
      <c r="AB7" s="231">
        <f>IF(OR(A7="",E7=""),"",ROUND(B7-E7,2))</f>
        <v/>
      </c>
      <c r="AC7" s="225">
        <f>IF(AND(A7="",A6&lt;&gt;"",COUNTIF(A8:$A$200,"&lt;&gt;")=0),ROUND(SUMIF($A$2:A6,"&lt;&gt;",$AC$2:AC6),2),IF(OR(A7="",E7=""),"",ROUND(D7-E7*C7,2)))</f>
        <v/>
      </c>
      <c r="AD7" s="17" t="n"/>
    </row>
    <row r="8">
      <c r="A8" s="227" t="n"/>
      <c r="B8" s="228" t="n"/>
      <c r="C8" s="229" t="n"/>
      <c r="D8" s="225">
        <f>IF(AND(A8="",A7&lt;&gt;"",COUNTIF(A9:$A$200,"&lt;&gt;")=0),ROUND(SUMIF($A$2:A7,"&lt;&gt;",$D$2:D7),2),IF(OR(A8="",B8="",C8=""),"",ROUND(B8*C8,2)))</f>
        <v/>
      </c>
      <c r="E8" s="230" t="n"/>
      <c r="F8" s="225">
        <f>IF(AND(A8="",A7&lt;&gt;"",COUNTIF(A9:$A$200,"&lt;&gt;")=0),ROUND(SUMIF($A$2:A7,"&lt;&gt;",$F$2:F7),2),IF(OR(A8="",E8="",C8="",NOT(ISNUMBER($Z$3))),"",ROUND(E8*C8*$Z$3,2)))</f>
        <v/>
      </c>
      <c r="G8" s="230" t="n"/>
      <c r="H8" s="225">
        <f>IF(AND(A8="",A7&lt;&gt;"",COUNTIF(A9:$A$200,"&lt;&gt;")=0),ROUND(SUMIF($A$2:A7,"&lt;&gt;",$H$2:H7),2),IF(OR(A8="",G8="",C8="",NOT(ISNUMBER($Z$4))),"",ROUND(G8*C8*$Z$4,2)))</f>
        <v/>
      </c>
      <c r="I8" s="230" t="n"/>
      <c r="J8" s="225">
        <f>IF(AND(A8="",A7&lt;&gt;"",COUNTIF(A9:$A$200,"&lt;&gt;")=0),ROUND(SUMIF($A$2:A7,"&lt;&gt;",$J$2:J7),2),IF(OR(A8="",I8="",C8="",NOT(ISNUMBER($Z$5))),"",ROUND(I8*C8*$Z$5,2)))</f>
        <v/>
      </c>
      <c r="K8" s="230" t="n"/>
      <c r="L8" s="225">
        <f>IF(AND(A8="",A7&lt;&gt;"",COUNTIF(A9:$A$200,"&lt;&gt;")=0),ROUND(SUMIF($A$2:A7,"&lt;&gt;",$L$2:L7),2),IF(OR(A8="",K8="",C8="",NOT(ISNUMBER($Z$6))),"",ROUND(K8*C8*$Z$6,2)))</f>
        <v/>
      </c>
      <c r="M8" s="231">
        <f>IF(OR(E8="",G8=""),"",ROUND(MAX(E8-G8,0),2))</f>
        <v/>
      </c>
      <c r="N8" s="225">
        <f>IF(AND(A8="",A7&lt;&gt;"",COUNTIF(A9:$A$200,"&lt;&gt;")=0),ROUND(SUMIF($A$2:A7,"&lt;&gt;",$N$2:N7),2),IF(OR(M8="",C8="",NOT(ISNUMBER($Z$3))),"",ROUND(M8*C8*$Z$3,2)))</f>
        <v/>
      </c>
      <c r="O8" s="231">
        <f>IF(OR(G8="",I8=""),"",ROUND(MAX(G8-I8,0),2))</f>
        <v/>
      </c>
      <c r="P8" s="225">
        <f>IF(AND(A8="",A7&lt;&gt;"",COUNTIF(A9:$A$200,"&lt;&gt;")=0),ROUND(SUMIF($A$2:A7,"&lt;&gt;",$P$2:P7),2),IF(OR(O8="",C8="",NOT(ISNUMBER($Z$4))),"",ROUND(O8*C8*$Z$4,2)))</f>
        <v/>
      </c>
      <c r="Q8" s="231">
        <f>IF(OR(I8="",K8=""),"",ROUND(MAX(I8-K8,0),2))</f>
        <v/>
      </c>
      <c r="R8" s="225">
        <f>IF(AND(A8="",A7&lt;&gt;"",COUNTIF(A9:$A$200,"&lt;&gt;")=0),ROUND(SUMIF($A$2:A7,"&lt;&gt;",$R$2:R7),2),IF(OR(Q8="",C8="",NOT(ISNUMBER($Z$5))),"",ROUND(Q8*C8*$Z$5,2)))</f>
        <v/>
      </c>
      <c r="S8" s="27" t="n"/>
      <c r="T8" s="232" t="n"/>
      <c r="U8" s="233">
        <f>IF(AND(A8="",A7&lt;&gt;"",COUNTIF(A9:$A$200,"&lt;&gt;")=0),"TOTAL",IF(A8="","",IF(AND(G8&lt;&gt;"",E8&lt;&gt;"",G8&gt;E8),"ALERTA: REM_C2&gt;REM_C1",IF(AND(I8&lt;&gt;"",G8&lt;&gt;"",I8&gt;G8),"ALERTA: REM_C3&gt;REM_C2",IF(AND(K8&lt;&gt;"",I8&lt;&gt;"",K8&gt;I8),"ALERTA: REM_C4&gt;REM_C3","OK")))))</f>
        <v/>
      </c>
      <c r="V8" s="233">
        <f>IF(A8="","",IF(B8="","",IF(OR(B8&lt;0,E8&gt;B8,G8&gt;B8,I8&gt;B8,K8&gt;B8),"ALERTA: QTD_INVALIDA","OK")))</f>
        <v/>
      </c>
      <c r="W8" s="19" t="n"/>
      <c r="X8" s="19" t="n"/>
      <c r="Y8" s="19" t="n"/>
      <c r="Z8" s="17" t="n"/>
      <c r="AA8" s="17" t="n"/>
      <c r="AB8" s="231">
        <f>IF(OR(A8="",E8=""),"",ROUND(B8-E8,2))</f>
        <v/>
      </c>
      <c r="AC8" s="225">
        <f>IF(AND(A8="",A7&lt;&gt;"",COUNTIF(A9:$A$200,"&lt;&gt;")=0),ROUND(SUMIF($A$2:A7,"&lt;&gt;",$AC$2:AC7),2),IF(OR(A8="",E8=""),"",ROUND(D8-E8*C8,2)))</f>
        <v/>
      </c>
      <c r="AD8" s="17" t="n"/>
    </row>
    <row r="9">
      <c r="A9" s="227" t="n"/>
      <c r="B9" s="228" t="n"/>
      <c r="C9" s="229" t="n"/>
      <c r="D9" s="225">
        <f>IF(AND(A9="",A8&lt;&gt;"",COUNTIF(A10:$A$200,"&lt;&gt;")=0),ROUND(SUMIF($A$2:A8,"&lt;&gt;",$D$2:D8),2),IF(OR(A9="",B9="",C9=""),"",ROUND(B9*C9,2)))</f>
        <v/>
      </c>
      <c r="E9" s="230" t="n"/>
      <c r="F9" s="225">
        <f>IF(AND(A9="",A8&lt;&gt;"",COUNTIF(A10:$A$200,"&lt;&gt;")=0),ROUND(SUMIF($A$2:A8,"&lt;&gt;",$F$2:F8),2),IF(OR(A9="",E9="",C9="",NOT(ISNUMBER($Z$3))),"",ROUND(E9*C9*$Z$3,2)))</f>
        <v/>
      </c>
      <c r="G9" s="230" t="n"/>
      <c r="H9" s="225">
        <f>IF(AND(A9="",A8&lt;&gt;"",COUNTIF(A10:$A$200,"&lt;&gt;")=0),ROUND(SUMIF($A$2:A8,"&lt;&gt;",$H$2:H8),2),IF(OR(A9="",G9="",C9="",NOT(ISNUMBER($Z$4))),"",ROUND(G9*C9*$Z$4,2)))</f>
        <v/>
      </c>
      <c r="I9" s="230" t="n"/>
      <c r="J9" s="225">
        <f>IF(AND(A9="",A8&lt;&gt;"",COUNTIF(A10:$A$200,"&lt;&gt;")=0),ROUND(SUMIF($A$2:A8,"&lt;&gt;",$J$2:J8),2),IF(OR(A9="",I9="",C9="",NOT(ISNUMBER($Z$5))),"",ROUND(I9*C9*$Z$5,2)))</f>
        <v/>
      </c>
      <c r="K9" s="230" t="n"/>
      <c r="L9" s="225">
        <f>IF(AND(A9="",A8&lt;&gt;"",COUNTIF(A10:$A$200,"&lt;&gt;")=0),ROUND(SUMIF($A$2:A8,"&lt;&gt;",$L$2:L8),2),IF(OR(A9="",K9="",C9="",NOT(ISNUMBER($Z$6))),"",ROUND(K9*C9*$Z$6,2)))</f>
        <v/>
      </c>
      <c r="M9" s="231">
        <f>IF(OR(E9="",G9=""),"",ROUND(MAX(E9-G9,0),2))</f>
        <v/>
      </c>
      <c r="N9" s="225">
        <f>IF(AND(A9="",A8&lt;&gt;"",COUNTIF(A10:$A$200,"&lt;&gt;")=0),ROUND(SUMIF($A$2:A8,"&lt;&gt;",$N$2:N8),2),IF(OR(M9="",C9="",NOT(ISNUMBER($Z$3))),"",ROUND(M9*C9*$Z$3,2)))</f>
        <v/>
      </c>
      <c r="O9" s="231">
        <f>IF(OR(G9="",I9=""),"",ROUND(MAX(G9-I9,0),2))</f>
        <v/>
      </c>
      <c r="P9" s="225">
        <f>IF(AND(A9="",A8&lt;&gt;"",COUNTIF(A10:$A$200,"&lt;&gt;")=0),ROUND(SUMIF($A$2:A8,"&lt;&gt;",$P$2:P8),2),IF(OR(O9="",C9="",NOT(ISNUMBER($Z$4))),"",ROUND(O9*C9*$Z$4,2)))</f>
        <v/>
      </c>
      <c r="Q9" s="231">
        <f>IF(OR(I9="",K9=""),"",ROUND(MAX(I9-K9,0),2))</f>
        <v/>
      </c>
      <c r="R9" s="225">
        <f>IF(AND(A9="",A8&lt;&gt;"",COUNTIF(A10:$A$200,"&lt;&gt;")=0),ROUND(SUMIF($A$2:A8,"&lt;&gt;",$R$2:R8),2),IF(OR(Q9="",C9="",NOT(ISNUMBER($Z$5))),"",ROUND(Q9*C9*$Z$5,2)))</f>
        <v/>
      </c>
      <c r="S9" s="27" t="n"/>
      <c r="T9" s="232" t="n"/>
      <c r="U9" s="233">
        <f>IF(AND(A9="",A8&lt;&gt;"",COUNTIF(A10:$A$200,"&lt;&gt;")=0),"TOTAL",IF(A9="","",IF(AND(G9&lt;&gt;"",E9&lt;&gt;"",G9&gt;E9),"ALERTA: REM_C2&gt;REM_C1",IF(AND(I9&lt;&gt;"",G9&lt;&gt;"",I9&gt;G9),"ALERTA: REM_C3&gt;REM_C2",IF(AND(K9&lt;&gt;"",I9&lt;&gt;"",K9&gt;I9),"ALERTA: REM_C4&gt;REM_C3","OK")))))</f>
        <v/>
      </c>
      <c r="V9" s="233">
        <f>IF(A9="","",IF(B9="","",IF(OR(B9&lt;0,E9&gt;B9,G9&gt;B9,I9&gt;B9,K9&gt;B9),"ALERTA: QTD_INVALIDA","OK")))</f>
        <v/>
      </c>
      <c r="W9" s="19" t="n"/>
      <c r="X9" s="19" t="n"/>
      <c r="Y9" s="19" t="n"/>
      <c r="Z9" s="17" t="n"/>
      <c r="AA9" s="17" t="n"/>
      <c r="AB9" s="231">
        <f>IF(OR(A9="",E9=""),"",ROUND(B9-E9,2))</f>
        <v/>
      </c>
      <c r="AC9" s="225">
        <f>IF(AND(A9="",A8&lt;&gt;"",COUNTIF(A10:$A$200,"&lt;&gt;")=0),ROUND(SUMIF($A$2:A8,"&lt;&gt;",$AC$2:AC8),2),IF(OR(A9="",E9=""),"",ROUND(D9-E9*C9,2)))</f>
        <v/>
      </c>
      <c r="AD9" s="17" t="n"/>
    </row>
    <row r="10">
      <c r="A10" s="227" t="n"/>
      <c r="B10" s="228" t="n"/>
      <c r="C10" s="229" t="n"/>
      <c r="D10" s="225">
        <f>IF(AND(A10="",A9&lt;&gt;"",COUNTIF(A11:$A$200,"&lt;&gt;")=0),ROUND(SUMIF($A$2:A9,"&lt;&gt;",$D$2:D9),2),IF(OR(A10="",B10="",C10=""),"",ROUND(B10*C10,2)))</f>
        <v/>
      </c>
      <c r="E10" s="230" t="n"/>
      <c r="F10" s="225">
        <f>IF(AND(A10="",A9&lt;&gt;"",COUNTIF(A11:$A$200,"&lt;&gt;")=0),ROUND(SUMIF($A$2:A9,"&lt;&gt;",$F$2:F9),2),IF(OR(A10="",E10="",C10="",NOT(ISNUMBER($Z$3))),"",ROUND(E10*C10*$Z$3,2)))</f>
        <v/>
      </c>
      <c r="G10" s="230" t="n"/>
      <c r="H10" s="225">
        <f>IF(AND(A10="",A9&lt;&gt;"",COUNTIF(A11:$A$200,"&lt;&gt;")=0),ROUND(SUMIF($A$2:A9,"&lt;&gt;",$H$2:H9),2),IF(OR(A10="",G10="",C10="",NOT(ISNUMBER($Z$4))),"",ROUND(G10*C10*$Z$4,2)))</f>
        <v/>
      </c>
      <c r="I10" s="230" t="n"/>
      <c r="J10" s="225">
        <f>IF(AND(A10="",A9&lt;&gt;"",COUNTIF(A11:$A$200,"&lt;&gt;")=0),ROUND(SUMIF($A$2:A9,"&lt;&gt;",$J$2:J9),2),IF(OR(A10="",I10="",C10="",NOT(ISNUMBER($Z$5))),"",ROUND(I10*C10*$Z$5,2)))</f>
        <v/>
      </c>
      <c r="K10" s="230" t="n"/>
      <c r="L10" s="225">
        <f>IF(AND(A10="",A9&lt;&gt;"",COUNTIF(A11:$A$200,"&lt;&gt;")=0),ROUND(SUMIF($A$2:A9,"&lt;&gt;",$L$2:L9),2),IF(OR(A10="",K10="",C10="",NOT(ISNUMBER($Z$6))),"",ROUND(K10*C10*$Z$6,2)))</f>
        <v/>
      </c>
      <c r="M10" s="231">
        <f>IF(OR(E10="",G10=""),"",ROUND(MAX(E10-G10,0),2))</f>
        <v/>
      </c>
      <c r="N10" s="225">
        <f>IF(AND(A10="",A9&lt;&gt;"",COUNTIF(A11:$A$200,"&lt;&gt;")=0),ROUND(SUMIF($A$2:A9,"&lt;&gt;",$N$2:N9),2),IF(OR(M10="",C10="",NOT(ISNUMBER($Z$3))),"",ROUND(M10*C10*$Z$3,2)))</f>
        <v/>
      </c>
      <c r="O10" s="231">
        <f>IF(OR(G10="",I10=""),"",ROUND(MAX(G10-I10,0),2))</f>
        <v/>
      </c>
      <c r="P10" s="225">
        <f>IF(AND(A10="",A9&lt;&gt;"",COUNTIF(A11:$A$200,"&lt;&gt;")=0),ROUND(SUMIF($A$2:A9,"&lt;&gt;",$P$2:P9),2),IF(OR(O10="",C10="",NOT(ISNUMBER($Z$4))),"",ROUND(O10*C10*$Z$4,2)))</f>
        <v/>
      </c>
      <c r="Q10" s="231">
        <f>IF(OR(I10="",K10=""),"",ROUND(MAX(I10-K10,0),2))</f>
        <v/>
      </c>
      <c r="R10" s="225">
        <f>IF(AND(A10="",A9&lt;&gt;"",COUNTIF(A11:$A$200,"&lt;&gt;")=0),ROUND(SUMIF($A$2:A9,"&lt;&gt;",$R$2:R9),2),IF(OR(Q10="",C10="",NOT(ISNUMBER($Z$5))),"",ROUND(Q10*C10*$Z$5,2)))</f>
        <v/>
      </c>
      <c r="S10" s="27" t="n"/>
      <c r="T10" s="232" t="n"/>
      <c r="U10" s="233">
        <f>IF(AND(A10="",A9&lt;&gt;"",COUNTIF(A11:$A$200,"&lt;&gt;")=0),"TOTAL",IF(A10="","",IF(AND(G10&lt;&gt;"",E10&lt;&gt;"",G10&gt;E10),"ALERTA: REM_C2&gt;REM_C1",IF(AND(I10&lt;&gt;"",G10&lt;&gt;"",I10&gt;G10),"ALERTA: REM_C3&gt;REM_C2",IF(AND(K10&lt;&gt;"",I10&lt;&gt;"",K10&gt;I10),"ALERTA: REM_C4&gt;REM_C3","OK")))))</f>
        <v/>
      </c>
      <c r="V10" s="233">
        <f>IF(A10="","",IF(B10="","",IF(OR(B10&lt;0,E10&gt;B10,G10&gt;B10,I10&gt;B10,K10&gt;B10),"ALERTA: QTD_INVALIDA","OK")))</f>
        <v/>
      </c>
      <c r="W10" s="19" t="n"/>
      <c r="X10" s="19" t="n"/>
      <c r="Y10" s="19" t="n"/>
      <c r="Z10" s="17" t="n"/>
      <c r="AA10" s="17" t="n"/>
      <c r="AB10" s="231">
        <f>IF(OR(A10="",E10=""),"",ROUND(B10-E10,2))</f>
        <v/>
      </c>
      <c r="AC10" s="225">
        <f>IF(AND(A10="",A9&lt;&gt;"",COUNTIF(A11:$A$200,"&lt;&gt;")=0),ROUND(SUMIF($A$2:A9,"&lt;&gt;",$AC$2:AC9),2),IF(OR(A10="",E10=""),"",ROUND(D10-E10*C10,2)))</f>
        <v/>
      </c>
      <c r="AD10" s="17" t="n"/>
    </row>
    <row r="11">
      <c r="A11" s="227" t="n"/>
      <c r="B11" s="228" t="n"/>
      <c r="C11" s="229" t="n"/>
      <c r="D11" s="225">
        <f>IF(AND(A11="",A10&lt;&gt;"",COUNTIF(A12:$A$200,"&lt;&gt;")=0),ROUND(SUMIF($A$2:A10,"&lt;&gt;",$D$2:D10),2),IF(OR(A11="",B11="",C11=""),"",ROUND(B11*C11,2)))</f>
        <v/>
      </c>
      <c r="E11" s="230" t="n"/>
      <c r="F11" s="225">
        <f>IF(AND(A11="",A10&lt;&gt;"",COUNTIF(A12:$A$200,"&lt;&gt;")=0),ROUND(SUMIF($A$2:A10,"&lt;&gt;",$F$2:F10),2),IF(OR(A11="",E11="",C11="",NOT(ISNUMBER($Z$3))),"",ROUND(E11*C11*$Z$3,2)))</f>
        <v/>
      </c>
      <c r="G11" s="230" t="n"/>
      <c r="H11" s="225">
        <f>IF(AND(A11="",A10&lt;&gt;"",COUNTIF(A12:$A$200,"&lt;&gt;")=0),ROUND(SUMIF($A$2:A10,"&lt;&gt;",$H$2:H10),2),IF(OR(A11="",G11="",C11="",NOT(ISNUMBER($Z$4))),"",ROUND(G11*C11*$Z$4,2)))</f>
        <v/>
      </c>
      <c r="I11" s="230" t="n"/>
      <c r="J11" s="225">
        <f>IF(AND(A11="",A10&lt;&gt;"",COUNTIF(A12:$A$200,"&lt;&gt;")=0),ROUND(SUMIF($A$2:A10,"&lt;&gt;",$J$2:J10),2),IF(OR(A11="",I11="",C11="",NOT(ISNUMBER($Z$5))),"",ROUND(I11*C11*$Z$5,2)))</f>
        <v/>
      </c>
      <c r="K11" s="230" t="n"/>
      <c r="L11" s="225">
        <f>IF(AND(A11="",A10&lt;&gt;"",COUNTIF(A12:$A$200,"&lt;&gt;")=0),ROUND(SUMIF($A$2:A10,"&lt;&gt;",$L$2:L10),2),IF(OR(A11="",K11="",C11="",NOT(ISNUMBER($Z$6))),"",ROUND(K11*C11*$Z$6,2)))</f>
        <v/>
      </c>
      <c r="M11" s="231">
        <f>IF(OR(E11="",G11=""),"",ROUND(MAX(E11-G11,0),2))</f>
        <v/>
      </c>
      <c r="N11" s="225">
        <f>IF(AND(A11="",A10&lt;&gt;"",COUNTIF(A12:$A$200,"&lt;&gt;")=0),ROUND(SUMIF($A$2:A10,"&lt;&gt;",$N$2:N10),2),IF(OR(M11="",C11="",NOT(ISNUMBER($Z$3))),"",ROUND(M11*C11*$Z$3,2)))</f>
        <v/>
      </c>
      <c r="O11" s="231">
        <f>IF(OR(G11="",I11=""),"",ROUND(MAX(G11-I11,0),2))</f>
        <v/>
      </c>
      <c r="P11" s="225">
        <f>IF(AND(A11="",A10&lt;&gt;"",COUNTIF(A12:$A$200,"&lt;&gt;")=0),ROUND(SUMIF($A$2:A10,"&lt;&gt;",$P$2:P10),2),IF(OR(O11="",C11="",NOT(ISNUMBER($Z$4))),"",ROUND(O11*C11*$Z$4,2)))</f>
        <v/>
      </c>
      <c r="Q11" s="231">
        <f>IF(OR(I11="",K11=""),"",ROUND(MAX(I11-K11,0),2))</f>
        <v/>
      </c>
      <c r="R11" s="225">
        <f>IF(AND(A11="",A10&lt;&gt;"",COUNTIF(A12:$A$200,"&lt;&gt;")=0),ROUND(SUMIF($A$2:A10,"&lt;&gt;",$R$2:R10),2),IF(OR(Q11="",C11="",NOT(ISNUMBER($Z$5))),"",ROUND(Q11*C11*$Z$5,2)))</f>
        <v/>
      </c>
      <c r="S11" s="27" t="n"/>
      <c r="T11" s="232" t="n"/>
      <c r="U11" s="233">
        <f>IF(AND(A11="",A10&lt;&gt;"",COUNTIF(A12:$A$200,"&lt;&gt;")=0),"TOTAL",IF(A11="","",IF(AND(G11&lt;&gt;"",E11&lt;&gt;"",G11&gt;E11),"ALERTA: REM_C2&gt;REM_C1",IF(AND(I11&lt;&gt;"",G11&lt;&gt;"",I11&gt;G11),"ALERTA: REM_C3&gt;REM_C2",IF(AND(K11&lt;&gt;"",I11&lt;&gt;"",K11&gt;I11),"ALERTA: REM_C4&gt;REM_C3","OK")))))</f>
        <v/>
      </c>
      <c r="V11" s="233">
        <f>IF(A11="","",IF(B11="","",IF(OR(B11&lt;0,E11&gt;B11,G11&gt;B11,I11&gt;B11,K11&gt;B11),"ALERTA: QTD_INVALIDA","OK")))</f>
        <v/>
      </c>
      <c r="W11" s="19" t="n"/>
      <c r="X11" s="19" t="n"/>
      <c r="Y11" s="19" t="n"/>
      <c r="Z11" s="17" t="n"/>
      <c r="AA11" s="17" t="n"/>
      <c r="AB11" s="231">
        <f>IF(OR(A11="",E11=""),"",ROUND(B11-E11,2))</f>
        <v/>
      </c>
      <c r="AC11" s="225">
        <f>IF(AND(A11="",A10&lt;&gt;"",COUNTIF(A12:$A$200,"&lt;&gt;")=0),ROUND(SUMIF($A$2:A10,"&lt;&gt;",$AC$2:AC10),2),IF(OR(A11="",E11=""),"",ROUND(D11-E11*C11,2)))</f>
        <v/>
      </c>
      <c r="AD11" s="17" t="n"/>
    </row>
    <row r="12">
      <c r="A12" s="227" t="n"/>
      <c r="B12" s="228" t="n"/>
      <c r="C12" s="229" t="n"/>
      <c r="D12" s="225">
        <f>IF(AND(A12="",A11&lt;&gt;"",COUNTIF(A13:$A$200,"&lt;&gt;")=0),ROUND(SUMIF($A$2:A11,"&lt;&gt;",$D$2:D11),2),IF(OR(A12="",B12="",C12=""),"",ROUND(B12*C12,2)))</f>
        <v/>
      </c>
      <c r="E12" s="230" t="n"/>
      <c r="F12" s="225">
        <f>IF(AND(A12="",A11&lt;&gt;"",COUNTIF(A13:$A$200,"&lt;&gt;")=0),ROUND(SUMIF($A$2:A11,"&lt;&gt;",$F$2:F11),2),IF(OR(A12="",E12="",C12="",NOT(ISNUMBER($Z$3))),"",ROUND(E12*C12*$Z$3,2)))</f>
        <v/>
      </c>
      <c r="G12" s="230" t="n"/>
      <c r="H12" s="225">
        <f>IF(AND(A12="",A11&lt;&gt;"",COUNTIF(A13:$A$200,"&lt;&gt;")=0),ROUND(SUMIF($A$2:A11,"&lt;&gt;",$H$2:H11),2),IF(OR(A12="",G12="",C12="",NOT(ISNUMBER($Z$4))),"",ROUND(G12*C12*$Z$4,2)))</f>
        <v/>
      </c>
      <c r="I12" s="230" t="n"/>
      <c r="J12" s="225">
        <f>IF(AND(A12="",A11&lt;&gt;"",COUNTIF(A13:$A$200,"&lt;&gt;")=0),ROUND(SUMIF($A$2:A11,"&lt;&gt;",$J$2:J11),2),IF(OR(A12="",I12="",C12="",NOT(ISNUMBER($Z$5))),"",ROUND(I12*C12*$Z$5,2)))</f>
        <v/>
      </c>
      <c r="K12" s="230" t="n"/>
      <c r="L12" s="225">
        <f>IF(AND(A12="",A11&lt;&gt;"",COUNTIF(A13:$A$200,"&lt;&gt;")=0),ROUND(SUMIF($A$2:A11,"&lt;&gt;",$L$2:L11),2),IF(OR(A12="",K12="",C12="",NOT(ISNUMBER($Z$6))),"",ROUND(K12*C12*$Z$6,2)))</f>
        <v/>
      </c>
      <c r="M12" s="231">
        <f>IF(OR(E12="",G12=""),"",ROUND(MAX(E12-G12,0),2))</f>
        <v/>
      </c>
      <c r="N12" s="225">
        <f>IF(AND(A12="",A11&lt;&gt;"",COUNTIF(A13:$A$200,"&lt;&gt;")=0),ROUND(SUMIF($A$2:A11,"&lt;&gt;",$N$2:N11),2),IF(OR(M12="",C12="",NOT(ISNUMBER($Z$3))),"",ROUND(M12*C12*$Z$3,2)))</f>
        <v/>
      </c>
      <c r="O12" s="231">
        <f>IF(OR(G12="",I12=""),"",ROUND(MAX(G12-I12,0),2))</f>
        <v/>
      </c>
      <c r="P12" s="225">
        <f>IF(AND(A12="",A11&lt;&gt;"",COUNTIF(A13:$A$200,"&lt;&gt;")=0),ROUND(SUMIF($A$2:A11,"&lt;&gt;",$P$2:P11),2),IF(OR(O12="",C12="",NOT(ISNUMBER($Z$4))),"",ROUND(O12*C12*$Z$4,2)))</f>
        <v/>
      </c>
      <c r="Q12" s="231">
        <f>IF(OR(I12="",K12=""),"",ROUND(MAX(I12-K12,0),2))</f>
        <v/>
      </c>
      <c r="R12" s="225">
        <f>IF(AND(A12="",A11&lt;&gt;"",COUNTIF(A13:$A$200,"&lt;&gt;")=0),ROUND(SUMIF($A$2:A11,"&lt;&gt;",$R$2:R11),2),IF(OR(Q12="",C12="",NOT(ISNUMBER($Z$5))),"",ROUND(Q12*C12*$Z$5,2)))</f>
        <v/>
      </c>
      <c r="S12" s="27" t="n"/>
      <c r="T12" s="232" t="n"/>
      <c r="U12" s="233">
        <f>IF(AND(A12="",A11&lt;&gt;"",COUNTIF(A13:$A$200,"&lt;&gt;")=0),"TOTAL",IF(A12="","",IF(AND(G12&lt;&gt;"",E12&lt;&gt;"",G12&gt;E12),"ALERTA: REM_C2&gt;REM_C1",IF(AND(I12&lt;&gt;"",G12&lt;&gt;"",I12&gt;G12),"ALERTA: REM_C3&gt;REM_C2",IF(AND(K12&lt;&gt;"",I12&lt;&gt;"",K12&gt;I12),"ALERTA: REM_C4&gt;REM_C3","OK")))))</f>
        <v/>
      </c>
      <c r="V12" s="233">
        <f>IF(A12="","",IF(B12="","",IF(OR(B12&lt;0,E12&gt;B12,G12&gt;B12,I12&gt;B12,K12&gt;B12),"ALERTA: QTD_INVALIDA","OK")))</f>
        <v/>
      </c>
      <c r="W12" s="19" t="n"/>
      <c r="X12" s="19" t="n"/>
      <c r="Y12" s="19" t="n"/>
      <c r="Z12" s="17" t="n"/>
      <c r="AA12" s="17" t="n"/>
      <c r="AB12" s="231">
        <f>IF(OR(A12="",E12=""),"",ROUND(B12-E12,2))</f>
        <v/>
      </c>
      <c r="AC12" s="225">
        <f>IF(AND(A12="",A11&lt;&gt;"",COUNTIF(A13:$A$200,"&lt;&gt;")=0),ROUND(SUMIF($A$2:A11,"&lt;&gt;",$AC$2:AC11),2),IF(OR(A12="",E12=""),"",ROUND(D12-E12*C12,2)))</f>
        <v/>
      </c>
      <c r="AD12" s="17" t="n"/>
    </row>
    <row r="13">
      <c r="A13" s="227" t="n"/>
      <c r="B13" s="228" t="n"/>
      <c r="C13" s="229" t="n"/>
      <c r="D13" s="225">
        <f>IF(AND(A13="",A12&lt;&gt;"",COUNTIF(A14:$A$200,"&lt;&gt;")=0),ROUND(SUMIF($A$2:A12,"&lt;&gt;",$D$2:D12),2),IF(OR(A13="",B13="",C13=""),"",ROUND(B13*C13,2)))</f>
        <v/>
      </c>
      <c r="E13" s="230" t="n"/>
      <c r="F13" s="225">
        <f>IF(AND(A13="",A12&lt;&gt;"",COUNTIF(A14:$A$200,"&lt;&gt;")=0),ROUND(SUMIF($A$2:A12,"&lt;&gt;",$F$2:F12),2),IF(OR(A13="",E13="",C13="",NOT(ISNUMBER($Z$3))),"",ROUND(E13*C13*$Z$3,2)))</f>
        <v/>
      </c>
      <c r="G13" s="230" t="n"/>
      <c r="H13" s="225">
        <f>IF(AND(A13="",A12&lt;&gt;"",COUNTIF(A14:$A$200,"&lt;&gt;")=0),ROUND(SUMIF($A$2:A12,"&lt;&gt;",$H$2:H12),2),IF(OR(A13="",G13="",C13="",NOT(ISNUMBER($Z$4))),"",ROUND(G13*C13*$Z$4,2)))</f>
        <v/>
      </c>
      <c r="I13" s="230" t="n"/>
      <c r="J13" s="225">
        <f>IF(AND(A13="",A12&lt;&gt;"",COUNTIF(A14:$A$200,"&lt;&gt;")=0),ROUND(SUMIF($A$2:A12,"&lt;&gt;",$J$2:J12),2),IF(OR(A13="",I13="",C13="",NOT(ISNUMBER($Z$5))),"",ROUND(I13*C13*$Z$5,2)))</f>
        <v/>
      </c>
      <c r="K13" s="230" t="n"/>
      <c r="L13" s="225">
        <f>IF(AND(A13="",A12&lt;&gt;"",COUNTIF(A14:$A$200,"&lt;&gt;")=0),ROUND(SUMIF($A$2:A12,"&lt;&gt;",$L$2:L12),2),IF(OR(A13="",K13="",C13="",NOT(ISNUMBER($Z$6))),"",ROUND(K13*C13*$Z$6,2)))</f>
        <v/>
      </c>
      <c r="M13" s="231">
        <f>IF(OR(E13="",G13=""),"",ROUND(MAX(E13-G13,0),2))</f>
        <v/>
      </c>
      <c r="N13" s="225">
        <f>IF(AND(A13="",A12&lt;&gt;"",COUNTIF(A14:$A$200,"&lt;&gt;")=0),ROUND(SUMIF($A$2:A12,"&lt;&gt;",$N$2:N12),2),IF(OR(M13="",C13="",NOT(ISNUMBER($Z$3))),"",ROUND(M13*C13*$Z$3,2)))</f>
        <v/>
      </c>
      <c r="O13" s="231">
        <f>IF(OR(G13="",I13=""),"",ROUND(MAX(G13-I13,0),2))</f>
        <v/>
      </c>
      <c r="P13" s="225">
        <f>IF(AND(A13="",A12&lt;&gt;"",COUNTIF(A14:$A$200,"&lt;&gt;")=0),ROUND(SUMIF($A$2:A12,"&lt;&gt;",$P$2:P12),2),IF(OR(O13="",C13="",NOT(ISNUMBER($Z$4))),"",ROUND(O13*C13*$Z$4,2)))</f>
        <v/>
      </c>
      <c r="Q13" s="231">
        <f>IF(OR(I13="",K13=""),"",ROUND(MAX(I13-K13,0),2))</f>
        <v/>
      </c>
      <c r="R13" s="225">
        <f>IF(AND(A13="",A12&lt;&gt;"",COUNTIF(A14:$A$200,"&lt;&gt;")=0),ROUND(SUMIF($A$2:A12,"&lt;&gt;",$R$2:R12),2),IF(OR(Q13="",C13="",NOT(ISNUMBER($Z$5))),"",ROUND(Q13*C13*$Z$5,2)))</f>
        <v/>
      </c>
      <c r="S13" s="27" t="n"/>
      <c r="T13" s="232" t="n"/>
      <c r="U13" s="233">
        <f>IF(AND(A13="",A12&lt;&gt;"",COUNTIF(A14:$A$200,"&lt;&gt;")=0),"TOTAL",IF(A13="","",IF(AND(G13&lt;&gt;"",E13&lt;&gt;"",G13&gt;E13),"ALERTA: REM_C2&gt;REM_C1",IF(AND(I13&lt;&gt;"",G13&lt;&gt;"",I13&gt;G13),"ALERTA: REM_C3&gt;REM_C2",IF(AND(K13&lt;&gt;"",I13&lt;&gt;"",K13&gt;I13),"ALERTA: REM_C4&gt;REM_C3","OK")))))</f>
        <v/>
      </c>
      <c r="V13" s="233">
        <f>IF(A13="","",IF(B13="","",IF(OR(B13&lt;0,E13&gt;B13,G13&gt;B13,I13&gt;B13,K13&gt;B13),"ALERTA: QTD_INVALIDA","OK")))</f>
        <v/>
      </c>
      <c r="W13" s="19" t="n"/>
      <c r="X13" s="19" t="n"/>
      <c r="Y13" s="19" t="n"/>
      <c r="Z13" s="17" t="n"/>
      <c r="AA13" s="17" t="n"/>
      <c r="AB13" s="231">
        <f>IF(OR(A13="",E13=""),"",ROUND(B13-E13,2))</f>
        <v/>
      </c>
      <c r="AC13" s="225">
        <f>IF(AND(A13="",A12&lt;&gt;"",COUNTIF(A14:$A$200,"&lt;&gt;")=0),ROUND(SUMIF($A$2:A12,"&lt;&gt;",$AC$2:AC12),2),IF(OR(A13="",E13=""),"",ROUND(D13-E13*C13,2)))</f>
        <v/>
      </c>
      <c r="AD13" s="17" t="n"/>
    </row>
    <row r="14">
      <c r="A14" s="227" t="n"/>
      <c r="B14" s="228" t="n"/>
      <c r="C14" s="229" t="n"/>
      <c r="D14" s="225">
        <f>IF(AND(A14="",A13&lt;&gt;"",COUNTIF(A15:$A$200,"&lt;&gt;")=0),ROUND(SUMIF($A$2:A13,"&lt;&gt;",$D$2:D13),2),IF(OR(A14="",B14="",C14=""),"",ROUND(B14*C14,2)))</f>
        <v/>
      </c>
      <c r="E14" s="230" t="n"/>
      <c r="F14" s="225">
        <f>IF(AND(A14="",A13&lt;&gt;"",COUNTIF(A15:$A$200,"&lt;&gt;")=0),ROUND(SUMIF($A$2:A13,"&lt;&gt;",$F$2:F13),2),IF(OR(A14="",E14="",C14="",NOT(ISNUMBER($Z$3))),"",ROUND(E14*C14*$Z$3,2)))</f>
        <v/>
      </c>
      <c r="G14" s="230" t="n"/>
      <c r="H14" s="225">
        <f>IF(AND(A14="",A13&lt;&gt;"",COUNTIF(A15:$A$200,"&lt;&gt;")=0),ROUND(SUMIF($A$2:A13,"&lt;&gt;",$H$2:H13),2),IF(OR(A14="",G14="",C14="",NOT(ISNUMBER($Z$4))),"",ROUND(G14*C14*$Z$4,2)))</f>
        <v/>
      </c>
      <c r="I14" s="230" t="n"/>
      <c r="J14" s="225">
        <f>IF(AND(A14="",A13&lt;&gt;"",COUNTIF(A15:$A$200,"&lt;&gt;")=0),ROUND(SUMIF($A$2:A13,"&lt;&gt;",$J$2:J13),2),IF(OR(A14="",I14="",C14="",NOT(ISNUMBER($Z$5))),"",ROUND(I14*C14*$Z$5,2)))</f>
        <v/>
      </c>
      <c r="K14" s="230" t="n"/>
      <c r="L14" s="225">
        <f>IF(AND(A14="",A13&lt;&gt;"",COUNTIF(A15:$A$200,"&lt;&gt;")=0),ROUND(SUMIF($A$2:A13,"&lt;&gt;",$L$2:L13),2),IF(OR(A14="",K14="",C14="",NOT(ISNUMBER($Z$6))),"",ROUND(K14*C14*$Z$6,2)))</f>
        <v/>
      </c>
      <c r="M14" s="231">
        <f>IF(OR(E14="",G14=""),"",ROUND(MAX(E14-G14,0),2))</f>
        <v/>
      </c>
      <c r="N14" s="225">
        <f>IF(AND(A14="",A13&lt;&gt;"",COUNTIF(A15:$A$200,"&lt;&gt;")=0),ROUND(SUMIF($A$2:A13,"&lt;&gt;",$N$2:N13),2),IF(OR(M14="",C14="",NOT(ISNUMBER($Z$3))),"",ROUND(M14*C14*$Z$3,2)))</f>
        <v/>
      </c>
      <c r="O14" s="231">
        <f>IF(OR(G14="",I14=""),"",ROUND(MAX(G14-I14,0),2))</f>
        <v/>
      </c>
      <c r="P14" s="225">
        <f>IF(AND(A14="",A13&lt;&gt;"",COUNTIF(A15:$A$200,"&lt;&gt;")=0),ROUND(SUMIF($A$2:A13,"&lt;&gt;",$P$2:P13),2),IF(OR(O14="",C14="",NOT(ISNUMBER($Z$4))),"",ROUND(O14*C14*$Z$4,2)))</f>
        <v/>
      </c>
      <c r="Q14" s="231">
        <f>IF(OR(I14="",K14=""),"",ROUND(MAX(I14-K14,0),2))</f>
        <v/>
      </c>
      <c r="R14" s="225">
        <f>IF(AND(A14="",A13&lt;&gt;"",COUNTIF(A15:$A$200,"&lt;&gt;")=0),ROUND(SUMIF($A$2:A13,"&lt;&gt;",$R$2:R13),2),IF(OR(Q14="",C14="",NOT(ISNUMBER($Z$5))),"",ROUND(Q14*C14*$Z$5,2)))</f>
        <v/>
      </c>
      <c r="S14" s="27" t="n"/>
      <c r="T14" s="232" t="n"/>
      <c r="U14" s="233">
        <f>IF(AND(A14="",A13&lt;&gt;"",COUNTIF(A15:$A$200,"&lt;&gt;")=0),"TOTAL",IF(A14="","",IF(AND(G14&lt;&gt;"",E14&lt;&gt;"",G14&gt;E14),"ALERTA: REM_C2&gt;REM_C1",IF(AND(I14&lt;&gt;"",G14&lt;&gt;"",I14&gt;G14),"ALERTA: REM_C3&gt;REM_C2",IF(AND(K14&lt;&gt;"",I14&lt;&gt;"",K14&gt;I14),"ALERTA: REM_C4&gt;REM_C3","OK")))))</f>
        <v/>
      </c>
      <c r="V14" s="233">
        <f>IF(A14="","",IF(B14="","",IF(OR(B14&lt;0,E14&gt;B14,G14&gt;B14,I14&gt;B14,K14&gt;B14),"ALERTA: QTD_INVALIDA","OK")))</f>
        <v/>
      </c>
      <c r="W14" s="19" t="n"/>
      <c r="X14" s="19" t="n"/>
      <c r="Y14" s="19" t="n"/>
      <c r="Z14" s="17" t="n"/>
      <c r="AA14" s="17" t="n"/>
      <c r="AB14" s="231">
        <f>IF(OR(A14="",E14=""),"",ROUND(B14-E14,2))</f>
        <v/>
      </c>
      <c r="AC14" s="225">
        <f>IF(AND(A14="",A13&lt;&gt;"",COUNTIF(A15:$A$200,"&lt;&gt;")=0),ROUND(SUMIF($A$2:A13,"&lt;&gt;",$AC$2:AC13),2),IF(OR(A14="",E14=""),"",ROUND(D14-E14*C14,2)))</f>
        <v/>
      </c>
      <c r="AD14" s="17" t="n"/>
    </row>
    <row r="15">
      <c r="A15" s="227" t="n"/>
      <c r="B15" s="228" t="n"/>
      <c r="C15" s="229" t="n"/>
      <c r="D15" s="225">
        <f>IF(AND(A15="",A14&lt;&gt;"",COUNTIF(A16:$A$200,"&lt;&gt;")=0),ROUND(SUMIF($A$2:A14,"&lt;&gt;",$D$2:D14),2),IF(OR(A15="",B15="",C15=""),"",ROUND(B15*C15,2)))</f>
        <v/>
      </c>
      <c r="E15" s="230" t="n"/>
      <c r="F15" s="225">
        <f>IF(AND(A15="",A14&lt;&gt;"",COUNTIF(A16:$A$200,"&lt;&gt;")=0),ROUND(SUMIF($A$2:A14,"&lt;&gt;",$F$2:F14),2),IF(OR(A15="",E15="",C15="",NOT(ISNUMBER($Z$3))),"",ROUND(E15*C15*$Z$3,2)))</f>
        <v/>
      </c>
      <c r="G15" s="230" t="n"/>
      <c r="H15" s="225">
        <f>IF(AND(A15="",A14&lt;&gt;"",COUNTIF(A16:$A$200,"&lt;&gt;")=0),ROUND(SUMIF($A$2:A14,"&lt;&gt;",$H$2:H14),2),IF(OR(A15="",G15="",C15="",NOT(ISNUMBER($Z$4))),"",ROUND(G15*C15*$Z$4,2)))</f>
        <v/>
      </c>
      <c r="I15" s="230" t="n"/>
      <c r="J15" s="225">
        <f>IF(AND(A15="",A14&lt;&gt;"",COUNTIF(A16:$A$200,"&lt;&gt;")=0),ROUND(SUMIF($A$2:A14,"&lt;&gt;",$J$2:J14),2),IF(OR(A15="",I15="",C15="",NOT(ISNUMBER($Z$5))),"",ROUND(I15*C15*$Z$5,2)))</f>
        <v/>
      </c>
      <c r="K15" s="230" t="n"/>
      <c r="L15" s="225">
        <f>IF(AND(A15="",A14&lt;&gt;"",COUNTIF(A16:$A$200,"&lt;&gt;")=0),ROUND(SUMIF($A$2:A14,"&lt;&gt;",$L$2:L14),2),IF(OR(A15="",K15="",C15="",NOT(ISNUMBER($Z$6))),"",ROUND(K15*C15*$Z$6,2)))</f>
        <v/>
      </c>
      <c r="M15" s="231">
        <f>IF(OR(E15="",G15=""),"",ROUND(MAX(E15-G15,0),2))</f>
        <v/>
      </c>
      <c r="N15" s="225">
        <f>IF(AND(A15="",A14&lt;&gt;"",COUNTIF(A16:$A$200,"&lt;&gt;")=0),ROUND(SUMIF($A$2:A14,"&lt;&gt;",$N$2:N14),2),IF(OR(M15="",C15="",NOT(ISNUMBER($Z$3))),"",ROUND(M15*C15*$Z$3,2)))</f>
        <v/>
      </c>
      <c r="O15" s="231">
        <f>IF(OR(G15="",I15=""),"",ROUND(MAX(G15-I15,0),2))</f>
        <v/>
      </c>
      <c r="P15" s="225">
        <f>IF(AND(A15="",A14&lt;&gt;"",COUNTIF(A16:$A$200,"&lt;&gt;")=0),ROUND(SUMIF($A$2:A14,"&lt;&gt;",$P$2:P14),2),IF(OR(O15="",C15="",NOT(ISNUMBER($Z$4))),"",ROUND(O15*C15*$Z$4,2)))</f>
        <v/>
      </c>
      <c r="Q15" s="231">
        <f>IF(OR(I15="",K15=""),"",ROUND(MAX(I15-K15,0),2))</f>
        <v/>
      </c>
      <c r="R15" s="225">
        <f>IF(AND(A15="",A14&lt;&gt;"",COUNTIF(A16:$A$200,"&lt;&gt;")=0),ROUND(SUMIF($A$2:A14,"&lt;&gt;",$R$2:R14),2),IF(OR(Q15="",C15="",NOT(ISNUMBER($Z$5))),"",ROUND(Q15*C15*$Z$5,2)))</f>
        <v/>
      </c>
      <c r="S15" s="27" t="n"/>
      <c r="T15" s="232" t="n"/>
      <c r="U15" s="233">
        <f>IF(AND(A15="",A14&lt;&gt;"",COUNTIF(A16:$A$200,"&lt;&gt;")=0),"TOTAL",IF(A15="","",IF(AND(G15&lt;&gt;"",E15&lt;&gt;"",G15&gt;E15),"ALERTA: REM_C2&gt;REM_C1",IF(AND(I15&lt;&gt;"",G15&lt;&gt;"",I15&gt;G15),"ALERTA: REM_C3&gt;REM_C2",IF(AND(K15&lt;&gt;"",I15&lt;&gt;"",K15&gt;I15),"ALERTA: REM_C4&gt;REM_C3","OK")))))</f>
        <v/>
      </c>
      <c r="V15" s="233">
        <f>IF(A15="","",IF(B15="","",IF(OR(B15&lt;0,E15&gt;B15,G15&gt;B15,I15&gt;B15,K15&gt;B15),"ALERTA: QTD_INVALIDA","OK")))</f>
        <v/>
      </c>
      <c r="W15" s="19" t="n"/>
      <c r="X15" s="19" t="n"/>
      <c r="Y15" s="19" t="n"/>
      <c r="Z15" s="17" t="n"/>
      <c r="AA15" s="17" t="n"/>
      <c r="AB15" s="231">
        <f>IF(OR(A15="",E15=""),"",ROUND(B15-E15,2))</f>
        <v/>
      </c>
      <c r="AC15" s="225">
        <f>IF(AND(A15="",A14&lt;&gt;"",COUNTIF(A16:$A$200,"&lt;&gt;")=0),ROUND(SUMIF($A$2:A14,"&lt;&gt;",$AC$2:AC14),2),IF(OR(A15="",E15=""),"",ROUND(D15-E15*C15,2)))</f>
        <v/>
      </c>
      <c r="AD15" s="17" t="n"/>
    </row>
    <row r="16">
      <c r="A16" s="227" t="n"/>
      <c r="B16" s="228" t="n"/>
      <c r="C16" s="229" t="n"/>
      <c r="D16" s="225">
        <f>IF(AND(A16="",A15&lt;&gt;"",COUNTIF(A17:$A$200,"&lt;&gt;")=0),ROUND(SUMIF($A$2:A15,"&lt;&gt;",$D$2:D15),2),IF(OR(A16="",B16="",C16=""),"",ROUND(B16*C16,2)))</f>
        <v/>
      </c>
      <c r="E16" s="230" t="n"/>
      <c r="F16" s="225">
        <f>IF(AND(A16="",A15&lt;&gt;"",COUNTIF(A17:$A$200,"&lt;&gt;")=0),ROUND(SUMIF($A$2:A15,"&lt;&gt;",$F$2:F15),2),IF(OR(A16="",E16="",C16="",NOT(ISNUMBER($Z$3))),"",ROUND(E16*C16*$Z$3,2)))</f>
        <v/>
      </c>
      <c r="G16" s="230" t="n"/>
      <c r="H16" s="225">
        <f>IF(AND(A16="",A15&lt;&gt;"",COUNTIF(A17:$A$200,"&lt;&gt;")=0),ROUND(SUMIF($A$2:A15,"&lt;&gt;",$H$2:H15),2),IF(OR(A16="",G16="",C16="",NOT(ISNUMBER($Z$4))),"",ROUND(G16*C16*$Z$4,2)))</f>
        <v/>
      </c>
      <c r="I16" s="230" t="n"/>
      <c r="J16" s="225">
        <f>IF(AND(A16="",A15&lt;&gt;"",COUNTIF(A17:$A$200,"&lt;&gt;")=0),ROUND(SUMIF($A$2:A15,"&lt;&gt;",$J$2:J15),2),IF(OR(A16="",I16="",C16="",NOT(ISNUMBER($Z$5))),"",ROUND(I16*C16*$Z$5,2)))</f>
        <v/>
      </c>
      <c r="K16" s="230" t="n"/>
      <c r="L16" s="225">
        <f>IF(AND(A16="",A15&lt;&gt;"",COUNTIF(A17:$A$200,"&lt;&gt;")=0),ROUND(SUMIF($A$2:A15,"&lt;&gt;",$L$2:L15),2),IF(OR(A16="",K16="",C16="",NOT(ISNUMBER($Z$6))),"",ROUND(K16*C16*$Z$6,2)))</f>
        <v/>
      </c>
      <c r="M16" s="231">
        <f>IF(OR(E16="",G16=""),"",ROUND(MAX(E16-G16,0),2))</f>
        <v/>
      </c>
      <c r="N16" s="225">
        <f>IF(AND(A16="",A15&lt;&gt;"",COUNTIF(A17:$A$200,"&lt;&gt;")=0),ROUND(SUMIF($A$2:A15,"&lt;&gt;",$N$2:N15),2),IF(OR(M16="",C16="",NOT(ISNUMBER($Z$3))),"",ROUND(M16*C16*$Z$3,2)))</f>
        <v/>
      </c>
      <c r="O16" s="231">
        <f>IF(OR(G16="",I16=""),"",ROUND(MAX(G16-I16,0),2))</f>
        <v/>
      </c>
      <c r="P16" s="225">
        <f>IF(AND(A16="",A15&lt;&gt;"",COUNTIF(A17:$A$200,"&lt;&gt;")=0),ROUND(SUMIF($A$2:A15,"&lt;&gt;",$P$2:P15),2),IF(OR(O16="",C16="",NOT(ISNUMBER($Z$4))),"",ROUND(O16*C16*$Z$4,2)))</f>
        <v/>
      </c>
      <c r="Q16" s="231">
        <f>IF(OR(I16="",K16=""),"",ROUND(MAX(I16-K16,0),2))</f>
        <v/>
      </c>
      <c r="R16" s="225">
        <f>IF(AND(A16="",A15&lt;&gt;"",COUNTIF(A17:$A$200,"&lt;&gt;")=0),ROUND(SUMIF($A$2:A15,"&lt;&gt;",$R$2:R15),2),IF(OR(Q16="",C16="",NOT(ISNUMBER($Z$5))),"",ROUND(Q16*C16*$Z$5,2)))</f>
        <v/>
      </c>
      <c r="S16" s="27" t="n"/>
      <c r="T16" s="232" t="n"/>
      <c r="U16" s="233">
        <f>IF(AND(A16="",A15&lt;&gt;"",COUNTIF(A17:$A$200,"&lt;&gt;")=0),"TOTAL",IF(A16="","",IF(AND(G16&lt;&gt;"",E16&lt;&gt;"",G16&gt;E16),"ALERTA: REM_C2&gt;REM_C1",IF(AND(I16&lt;&gt;"",G16&lt;&gt;"",I16&gt;G16),"ALERTA: REM_C3&gt;REM_C2",IF(AND(K16&lt;&gt;"",I16&lt;&gt;"",K16&gt;I16),"ALERTA: REM_C4&gt;REM_C3","OK")))))</f>
        <v/>
      </c>
      <c r="V16" s="233">
        <f>IF(A16="","",IF(B16="","",IF(OR(B16&lt;0,E16&gt;B16,G16&gt;B16,I16&gt;B16,K16&gt;B16),"ALERTA: QTD_INVALIDA","OK")))</f>
        <v/>
      </c>
      <c r="W16" s="19" t="n"/>
      <c r="X16" s="19" t="n"/>
      <c r="Y16" s="19" t="n"/>
      <c r="Z16" s="17" t="n"/>
      <c r="AA16" s="17" t="n"/>
      <c r="AB16" s="231">
        <f>IF(OR(A16="",E16=""),"",ROUND(B16-E16,2))</f>
        <v/>
      </c>
      <c r="AC16" s="225">
        <f>IF(AND(A16="",A15&lt;&gt;"",COUNTIF(A17:$A$200,"&lt;&gt;")=0),ROUND(SUMIF($A$2:A15,"&lt;&gt;",$AC$2:AC15),2),IF(OR(A16="",E16=""),"",ROUND(D16-E16*C16,2)))</f>
        <v/>
      </c>
      <c r="AD16" s="17" t="n"/>
    </row>
    <row r="17">
      <c r="A17" s="227" t="n"/>
      <c r="B17" s="228" t="n"/>
      <c r="C17" s="229" t="n"/>
      <c r="D17" s="225">
        <f>IF(AND(A17="",A16&lt;&gt;"",COUNTIF(A18:$A$200,"&lt;&gt;")=0),ROUND(SUMIF($A$2:A16,"&lt;&gt;",$D$2:D16),2),IF(OR(A17="",B17="",C17=""),"",ROUND(B17*C17,2)))</f>
        <v/>
      </c>
      <c r="E17" s="230" t="n"/>
      <c r="F17" s="225">
        <f>IF(AND(A17="",A16&lt;&gt;"",COUNTIF(A18:$A$200,"&lt;&gt;")=0),ROUND(SUMIF($A$2:A16,"&lt;&gt;",$F$2:F16),2),IF(OR(A17="",E17="",C17="",NOT(ISNUMBER($Z$3))),"",ROUND(E17*C17*$Z$3,2)))</f>
        <v/>
      </c>
      <c r="G17" s="230" t="n"/>
      <c r="H17" s="225">
        <f>IF(AND(A17="",A16&lt;&gt;"",COUNTIF(A18:$A$200,"&lt;&gt;")=0),ROUND(SUMIF($A$2:A16,"&lt;&gt;",$H$2:H16),2),IF(OR(A17="",G17="",C17="",NOT(ISNUMBER($Z$4))),"",ROUND(G17*C17*$Z$4,2)))</f>
        <v/>
      </c>
      <c r="I17" s="230" t="n"/>
      <c r="J17" s="225">
        <f>IF(AND(A17="",A16&lt;&gt;"",COUNTIF(A18:$A$200,"&lt;&gt;")=0),ROUND(SUMIF($A$2:A16,"&lt;&gt;",$J$2:J16),2),IF(OR(A17="",I17="",C17="",NOT(ISNUMBER($Z$5))),"",ROUND(I17*C17*$Z$5,2)))</f>
        <v/>
      </c>
      <c r="K17" s="230" t="n"/>
      <c r="L17" s="225">
        <f>IF(AND(A17="",A16&lt;&gt;"",COUNTIF(A18:$A$200,"&lt;&gt;")=0),ROUND(SUMIF($A$2:A16,"&lt;&gt;",$L$2:L16),2),IF(OR(A17="",K17="",C17="",NOT(ISNUMBER($Z$6))),"",ROUND(K17*C17*$Z$6,2)))</f>
        <v/>
      </c>
      <c r="M17" s="231">
        <f>IF(OR(E17="",G17=""),"",ROUND(MAX(E17-G17,0),2))</f>
        <v/>
      </c>
      <c r="N17" s="225">
        <f>IF(AND(A17="",A16&lt;&gt;"",COUNTIF(A18:$A$200,"&lt;&gt;")=0),ROUND(SUMIF($A$2:A16,"&lt;&gt;",$N$2:N16),2),IF(OR(M17="",C17="",NOT(ISNUMBER($Z$3))),"",ROUND(M17*C17*$Z$3,2)))</f>
        <v/>
      </c>
      <c r="O17" s="231">
        <f>IF(OR(G17="",I17=""),"",ROUND(MAX(G17-I17,0),2))</f>
        <v/>
      </c>
      <c r="P17" s="225">
        <f>IF(AND(A17="",A16&lt;&gt;"",COUNTIF(A18:$A$200,"&lt;&gt;")=0),ROUND(SUMIF($A$2:A16,"&lt;&gt;",$P$2:P16),2),IF(OR(O17="",C17="",NOT(ISNUMBER($Z$4))),"",ROUND(O17*C17*$Z$4,2)))</f>
        <v/>
      </c>
      <c r="Q17" s="231">
        <f>IF(OR(I17="",K17=""),"",ROUND(MAX(I17-K17,0),2))</f>
        <v/>
      </c>
      <c r="R17" s="225">
        <f>IF(AND(A17="",A16&lt;&gt;"",COUNTIF(A18:$A$200,"&lt;&gt;")=0),ROUND(SUMIF($A$2:A16,"&lt;&gt;",$R$2:R16),2),IF(OR(Q17="",C17="",NOT(ISNUMBER($Z$5))),"",ROUND(Q17*C17*$Z$5,2)))</f>
        <v/>
      </c>
      <c r="S17" s="27" t="n"/>
      <c r="T17" s="232" t="n"/>
      <c r="U17" s="233">
        <f>IF(AND(A17="",A16&lt;&gt;"",COUNTIF(A18:$A$200,"&lt;&gt;")=0),"TOTAL",IF(A17="","",IF(AND(G17&lt;&gt;"",E17&lt;&gt;"",G17&gt;E17),"ALERTA: REM_C2&gt;REM_C1",IF(AND(I17&lt;&gt;"",G17&lt;&gt;"",I17&gt;G17),"ALERTA: REM_C3&gt;REM_C2",IF(AND(K17&lt;&gt;"",I17&lt;&gt;"",K17&gt;I17),"ALERTA: REM_C4&gt;REM_C3","OK")))))</f>
        <v/>
      </c>
      <c r="V17" s="233">
        <f>IF(A17="","",IF(B17="","",IF(OR(B17&lt;0,E17&gt;B17,G17&gt;B17,I17&gt;B17,K17&gt;B17),"ALERTA: QTD_INVALIDA","OK")))</f>
        <v/>
      </c>
      <c r="W17" s="19" t="n"/>
      <c r="X17" s="19" t="n"/>
      <c r="Y17" s="19" t="n"/>
      <c r="Z17" s="17" t="n"/>
      <c r="AA17" s="17" t="n"/>
      <c r="AB17" s="231">
        <f>IF(OR(A17="",E17=""),"",ROUND(B17-E17,2))</f>
        <v/>
      </c>
      <c r="AC17" s="225">
        <f>IF(AND(A17="",A16&lt;&gt;"",COUNTIF(A18:$A$200,"&lt;&gt;")=0),ROUND(SUMIF($A$2:A16,"&lt;&gt;",$AC$2:AC16),2),IF(OR(A17="",E17=""),"",ROUND(D17-E17*C17,2)))</f>
        <v/>
      </c>
      <c r="AD17" s="17" t="n"/>
    </row>
    <row r="18">
      <c r="A18" s="227" t="n"/>
      <c r="B18" s="228" t="n"/>
      <c r="C18" s="229" t="n"/>
      <c r="D18" s="225">
        <f>IF(AND(A18="",A17&lt;&gt;"",COUNTIF(A19:$A$200,"&lt;&gt;")=0),ROUND(SUMIF($A$2:A17,"&lt;&gt;",$D$2:D17),2),IF(OR(A18="",B18="",C18=""),"",ROUND(B18*C18,2)))</f>
        <v/>
      </c>
      <c r="E18" s="230" t="n"/>
      <c r="F18" s="225">
        <f>IF(AND(A18="",A17&lt;&gt;"",COUNTIF(A19:$A$200,"&lt;&gt;")=0),ROUND(SUMIF($A$2:A17,"&lt;&gt;",$F$2:F17),2),IF(OR(A18="",E18="",C18="",NOT(ISNUMBER($Z$3))),"",ROUND(E18*C18*$Z$3,2)))</f>
        <v/>
      </c>
      <c r="G18" s="230" t="n"/>
      <c r="H18" s="225">
        <f>IF(AND(A18="",A17&lt;&gt;"",COUNTIF(A19:$A$200,"&lt;&gt;")=0),ROUND(SUMIF($A$2:A17,"&lt;&gt;",$H$2:H17),2),IF(OR(A18="",G18="",C18="",NOT(ISNUMBER($Z$4))),"",ROUND(G18*C18*$Z$4,2)))</f>
        <v/>
      </c>
      <c r="I18" s="230" t="n"/>
      <c r="J18" s="225">
        <f>IF(AND(A18="",A17&lt;&gt;"",COUNTIF(A19:$A$200,"&lt;&gt;")=0),ROUND(SUMIF($A$2:A17,"&lt;&gt;",$J$2:J17),2),IF(OR(A18="",I18="",C18="",NOT(ISNUMBER($Z$5))),"",ROUND(I18*C18*$Z$5,2)))</f>
        <v/>
      </c>
      <c r="K18" s="230" t="n"/>
      <c r="L18" s="225">
        <f>IF(AND(A18="",A17&lt;&gt;"",COUNTIF(A19:$A$200,"&lt;&gt;")=0),ROUND(SUMIF($A$2:A17,"&lt;&gt;",$L$2:L17),2),IF(OR(A18="",K18="",C18="",NOT(ISNUMBER($Z$6))),"",ROUND(K18*C18*$Z$6,2)))</f>
        <v/>
      </c>
      <c r="M18" s="231">
        <f>IF(OR(E18="",G18=""),"",ROUND(MAX(E18-G18,0),2))</f>
        <v/>
      </c>
      <c r="N18" s="225">
        <f>IF(AND(A18="",A17&lt;&gt;"",COUNTIF(A19:$A$200,"&lt;&gt;")=0),ROUND(SUMIF($A$2:A17,"&lt;&gt;",$N$2:N17),2),IF(OR(M18="",C18="",NOT(ISNUMBER($Z$3))),"",ROUND(M18*C18*$Z$3,2)))</f>
        <v/>
      </c>
      <c r="O18" s="231">
        <f>IF(OR(G18="",I18=""),"",ROUND(MAX(G18-I18,0),2))</f>
        <v/>
      </c>
      <c r="P18" s="225">
        <f>IF(AND(A18="",A17&lt;&gt;"",COUNTIF(A19:$A$200,"&lt;&gt;")=0),ROUND(SUMIF($A$2:A17,"&lt;&gt;",$P$2:P17),2),IF(OR(O18="",C18="",NOT(ISNUMBER($Z$4))),"",ROUND(O18*C18*$Z$4,2)))</f>
        <v/>
      </c>
      <c r="Q18" s="231">
        <f>IF(OR(I18="",K18=""),"",ROUND(MAX(I18-K18,0),2))</f>
        <v/>
      </c>
      <c r="R18" s="225">
        <f>IF(AND(A18="",A17&lt;&gt;"",COUNTIF(A19:$A$200,"&lt;&gt;")=0),ROUND(SUMIF($A$2:A17,"&lt;&gt;",$R$2:R17),2),IF(OR(Q18="",C18="",NOT(ISNUMBER($Z$5))),"",ROUND(Q18*C18*$Z$5,2)))</f>
        <v/>
      </c>
      <c r="S18" s="27" t="n"/>
      <c r="T18" s="232" t="n"/>
      <c r="U18" s="233">
        <f>IF(AND(A18="",A17&lt;&gt;"",COUNTIF(A19:$A$200,"&lt;&gt;")=0),"TOTAL",IF(A18="","",IF(AND(G18&lt;&gt;"",E18&lt;&gt;"",G18&gt;E18),"ALERTA: REM_C2&gt;REM_C1",IF(AND(I18&lt;&gt;"",G18&lt;&gt;"",I18&gt;G18),"ALERTA: REM_C3&gt;REM_C2",IF(AND(K18&lt;&gt;"",I18&lt;&gt;"",K18&gt;I18),"ALERTA: REM_C4&gt;REM_C3","OK")))))</f>
        <v/>
      </c>
      <c r="V18" s="233">
        <f>IF(A18="","",IF(B18="","",IF(OR(B18&lt;0,E18&gt;B18,G18&gt;B18,I18&gt;B18,K18&gt;B18),"ALERTA: QTD_INVALIDA","OK")))</f>
        <v/>
      </c>
      <c r="W18" s="19" t="n"/>
      <c r="X18" s="19" t="n"/>
      <c r="Y18" s="19" t="n"/>
      <c r="Z18" s="17" t="n"/>
      <c r="AA18" s="17" t="n"/>
      <c r="AB18" s="231">
        <f>IF(OR(A18="",E18=""),"",ROUND(B18-E18,2))</f>
        <v/>
      </c>
      <c r="AC18" s="225">
        <f>IF(AND(A18="",A17&lt;&gt;"",COUNTIF(A19:$A$200,"&lt;&gt;")=0),ROUND(SUMIF($A$2:A17,"&lt;&gt;",$AC$2:AC17),2),IF(OR(A18="",E18=""),"",ROUND(D18-E18*C18,2)))</f>
        <v/>
      </c>
      <c r="AD18" s="17" t="n"/>
    </row>
    <row r="19">
      <c r="A19" s="227" t="n"/>
      <c r="B19" s="228" t="n"/>
      <c r="C19" s="229" t="n"/>
      <c r="D19" s="225">
        <f>IF(AND(A19="",A18&lt;&gt;"",COUNTIF(A20:$A$200,"&lt;&gt;")=0),ROUND(SUMIF($A$2:A18,"&lt;&gt;",$D$2:D18),2),IF(OR(A19="",B19="",C19=""),"",ROUND(B19*C19,2)))</f>
        <v/>
      </c>
      <c r="E19" s="230" t="n"/>
      <c r="F19" s="225">
        <f>IF(AND(A19="",A18&lt;&gt;"",COUNTIF(A20:$A$200,"&lt;&gt;")=0),ROUND(SUMIF($A$2:A18,"&lt;&gt;",$F$2:F18),2),IF(OR(A19="",E19="",C19="",NOT(ISNUMBER($Z$3))),"",ROUND(E19*C19*$Z$3,2)))</f>
        <v/>
      </c>
      <c r="G19" s="230" t="n"/>
      <c r="H19" s="225">
        <f>IF(AND(A19="",A18&lt;&gt;"",COUNTIF(A20:$A$200,"&lt;&gt;")=0),ROUND(SUMIF($A$2:A18,"&lt;&gt;",$H$2:H18),2),IF(OR(A19="",G19="",C19="",NOT(ISNUMBER($Z$4))),"",ROUND(G19*C19*$Z$4,2)))</f>
        <v/>
      </c>
      <c r="I19" s="230" t="n"/>
      <c r="J19" s="225">
        <f>IF(AND(A19="",A18&lt;&gt;"",COUNTIF(A20:$A$200,"&lt;&gt;")=0),ROUND(SUMIF($A$2:A18,"&lt;&gt;",$J$2:J18),2),IF(OR(A19="",I19="",C19="",NOT(ISNUMBER($Z$5))),"",ROUND(I19*C19*$Z$5,2)))</f>
        <v/>
      </c>
      <c r="K19" s="230" t="n"/>
      <c r="L19" s="225">
        <f>IF(AND(A19="",A18&lt;&gt;"",COUNTIF(A20:$A$200,"&lt;&gt;")=0),ROUND(SUMIF($A$2:A18,"&lt;&gt;",$L$2:L18),2),IF(OR(A19="",K19="",C19="",NOT(ISNUMBER($Z$6))),"",ROUND(K19*C19*$Z$6,2)))</f>
        <v/>
      </c>
      <c r="M19" s="231">
        <f>IF(OR(E19="",G19=""),"",ROUND(MAX(E19-G19,0),2))</f>
        <v/>
      </c>
      <c r="N19" s="225">
        <f>IF(AND(A19="",A18&lt;&gt;"",COUNTIF(A20:$A$200,"&lt;&gt;")=0),ROUND(SUMIF($A$2:A18,"&lt;&gt;",$N$2:N18),2),IF(OR(M19="",C19="",NOT(ISNUMBER($Z$3))),"",ROUND(M19*C19*$Z$3,2)))</f>
        <v/>
      </c>
      <c r="O19" s="231">
        <f>IF(OR(G19="",I19=""),"",ROUND(MAX(G19-I19,0),2))</f>
        <v/>
      </c>
      <c r="P19" s="225">
        <f>IF(AND(A19="",A18&lt;&gt;"",COUNTIF(A20:$A$200,"&lt;&gt;")=0),ROUND(SUMIF($A$2:A18,"&lt;&gt;",$P$2:P18),2),IF(OR(O19="",C19="",NOT(ISNUMBER($Z$4))),"",ROUND(O19*C19*$Z$4,2)))</f>
        <v/>
      </c>
      <c r="Q19" s="231">
        <f>IF(OR(I19="",K19=""),"",ROUND(MAX(I19-K19,0),2))</f>
        <v/>
      </c>
      <c r="R19" s="225">
        <f>IF(AND(A19="",A18&lt;&gt;"",COUNTIF(A20:$A$200,"&lt;&gt;")=0),ROUND(SUMIF($A$2:A18,"&lt;&gt;",$R$2:R18),2),IF(OR(Q19="",C19="",NOT(ISNUMBER($Z$5))),"",ROUND(Q19*C19*$Z$5,2)))</f>
        <v/>
      </c>
      <c r="S19" s="27" t="n"/>
      <c r="T19" s="232" t="n"/>
      <c r="U19" s="233">
        <f>IF(AND(A19="",A18&lt;&gt;"",COUNTIF(A20:$A$200,"&lt;&gt;")=0),"TOTAL",IF(A19="","",IF(AND(G19&lt;&gt;"",E19&lt;&gt;"",G19&gt;E19),"ALERTA: REM_C2&gt;REM_C1",IF(AND(I19&lt;&gt;"",G19&lt;&gt;"",I19&gt;G19),"ALERTA: REM_C3&gt;REM_C2",IF(AND(K19&lt;&gt;"",I19&lt;&gt;"",K19&gt;I19),"ALERTA: REM_C4&gt;REM_C3","OK")))))</f>
        <v/>
      </c>
      <c r="V19" s="233">
        <f>IF(A19="","",IF(B19="","",IF(OR(B19&lt;0,E19&gt;B19,G19&gt;B19,I19&gt;B19,K19&gt;B19),"ALERTA: QTD_INVALIDA","OK")))</f>
        <v/>
      </c>
      <c r="W19" s="19" t="n"/>
      <c r="X19" s="19" t="n"/>
      <c r="Y19" s="19" t="n"/>
      <c r="Z19" s="17" t="n"/>
      <c r="AA19" s="17" t="n"/>
      <c r="AB19" s="231">
        <f>IF(OR(A19="",E19=""),"",ROUND(B19-E19,2))</f>
        <v/>
      </c>
      <c r="AC19" s="225">
        <f>IF(AND(A19="",A18&lt;&gt;"",COUNTIF(A20:$A$200,"&lt;&gt;")=0),ROUND(SUMIF($A$2:A18,"&lt;&gt;",$AC$2:AC18),2),IF(OR(A19="",E19=""),"",ROUND(D19-E19*C19,2)))</f>
        <v/>
      </c>
      <c r="AD19" s="17" t="n"/>
    </row>
    <row r="20">
      <c r="A20" s="227" t="n"/>
      <c r="B20" s="228" t="n"/>
      <c r="C20" s="229" t="n"/>
      <c r="D20" s="225">
        <f>IF(AND(A20="",A19&lt;&gt;"",COUNTIF(A21:$A$200,"&lt;&gt;")=0),ROUND(SUMIF($A$2:A19,"&lt;&gt;",$D$2:D19),2),IF(OR(A20="",B20="",C20=""),"",ROUND(B20*C20,2)))</f>
        <v/>
      </c>
      <c r="E20" s="230" t="n"/>
      <c r="F20" s="225">
        <f>IF(AND(A20="",A19&lt;&gt;"",COUNTIF(A21:$A$200,"&lt;&gt;")=0),ROUND(SUMIF($A$2:A19,"&lt;&gt;",$F$2:F19),2),IF(OR(A20="",E20="",C20="",NOT(ISNUMBER($Z$3))),"",ROUND(E20*C20*$Z$3,2)))</f>
        <v/>
      </c>
      <c r="G20" s="230" t="n"/>
      <c r="H20" s="225">
        <f>IF(AND(A20="",A19&lt;&gt;"",COUNTIF(A21:$A$200,"&lt;&gt;")=0),ROUND(SUMIF($A$2:A19,"&lt;&gt;",$H$2:H19),2),IF(OR(A20="",G20="",C20="",NOT(ISNUMBER($Z$4))),"",ROUND(G20*C20*$Z$4,2)))</f>
        <v/>
      </c>
      <c r="I20" s="230" t="n"/>
      <c r="J20" s="225">
        <f>IF(AND(A20="",A19&lt;&gt;"",COUNTIF(A21:$A$200,"&lt;&gt;")=0),ROUND(SUMIF($A$2:A19,"&lt;&gt;",$J$2:J19),2),IF(OR(A20="",I20="",C20="",NOT(ISNUMBER($Z$5))),"",ROUND(I20*C20*$Z$5,2)))</f>
        <v/>
      </c>
      <c r="K20" s="230" t="n"/>
      <c r="L20" s="225">
        <f>IF(AND(A20="",A19&lt;&gt;"",COUNTIF(A21:$A$200,"&lt;&gt;")=0),ROUND(SUMIF($A$2:A19,"&lt;&gt;",$L$2:L19),2),IF(OR(A20="",K20="",C20="",NOT(ISNUMBER($Z$6))),"",ROUND(K20*C20*$Z$6,2)))</f>
        <v/>
      </c>
      <c r="M20" s="231">
        <f>IF(OR(E20="",G20=""),"",ROUND(MAX(E20-G20,0),2))</f>
        <v/>
      </c>
      <c r="N20" s="225">
        <f>IF(AND(A20="",A19&lt;&gt;"",COUNTIF(A21:$A$200,"&lt;&gt;")=0),ROUND(SUMIF($A$2:A19,"&lt;&gt;",$N$2:N19),2),IF(OR(M20="",C20="",NOT(ISNUMBER($Z$3))),"",ROUND(M20*C20*$Z$3,2)))</f>
        <v/>
      </c>
      <c r="O20" s="231">
        <f>IF(OR(G20="",I20=""),"",ROUND(MAX(G20-I20,0),2))</f>
        <v/>
      </c>
      <c r="P20" s="225">
        <f>IF(AND(A20="",A19&lt;&gt;"",COUNTIF(A21:$A$200,"&lt;&gt;")=0),ROUND(SUMIF($A$2:A19,"&lt;&gt;",$P$2:P19),2),IF(OR(O20="",C20="",NOT(ISNUMBER($Z$4))),"",ROUND(O20*C20*$Z$4,2)))</f>
        <v/>
      </c>
      <c r="Q20" s="231">
        <f>IF(OR(I20="",K20=""),"",ROUND(MAX(I20-K20,0),2))</f>
        <v/>
      </c>
      <c r="R20" s="225">
        <f>IF(AND(A20="",A19&lt;&gt;"",COUNTIF(A21:$A$200,"&lt;&gt;")=0),ROUND(SUMIF($A$2:A19,"&lt;&gt;",$R$2:R19),2),IF(OR(Q20="",C20="",NOT(ISNUMBER($Z$5))),"",ROUND(Q20*C20*$Z$5,2)))</f>
        <v/>
      </c>
      <c r="S20" s="27" t="n"/>
      <c r="T20" s="232" t="n"/>
      <c r="U20" s="233">
        <f>IF(AND(A20="",A19&lt;&gt;"",COUNTIF(A21:$A$200,"&lt;&gt;")=0),"TOTAL",IF(A20="","",IF(AND(G20&lt;&gt;"",E20&lt;&gt;"",G20&gt;E20),"ALERTA: REM_C2&gt;REM_C1",IF(AND(I20&lt;&gt;"",G20&lt;&gt;"",I20&gt;G20),"ALERTA: REM_C3&gt;REM_C2",IF(AND(K20&lt;&gt;"",I20&lt;&gt;"",K20&gt;I20),"ALERTA: REM_C4&gt;REM_C3","OK")))))</f>
        <v/>
      </c>
      <c r="V20" s="233">
        <f>IF(A20="","",IF(B20="","",IF(OR(B20&lt;0,E20&gt;B20,G20&gt;B20,I20&gt;B20,K20&gt;B20),"ALERTA: QTD_INVALIDA","OK")))</f>
        <v/>
      </c>
      <c r="W20" s="19" t="n"/>
      <c r="X20" s="19" t="n"/>
      <c r="Y20" s="19" t="n"/>
      <c r="Z20" s="17" t="n"/>
      <c r="AA20" s="17" t="n"/>
      <c r="AB20" s="231">
        <f>IF(OR(A20="",E20=""),"",ROUND(B20-E20,2))</f>
        <v/>
      </c>
      <c r="AC20" s="225">
        <f>IF(AND(A20="",A19&lt;&gt;"",COUNTIF(A21:$A$200,"&lt;&gt;")=0),ROUND(SUMIF($A$2:A19,"&lt;&gt;",$AC$2:AC19),2),IF(OR(A20="",E20=""),"",ROUND(D20-E20*C20,2)))</f>
        <v/>
      </c>
      <c r="AD20" s="17" t="n"/>
    </row>
    <row r="21">
      <c r="A21" s="227" t="n"/>
      <c r="B21" s="228" t="n"/>
      <c r="C21" s="229" t="n"/>
      <c r="D21" s="225">
        <f>IF(AND(A21="",A20&lt;&gt;"",COUNTIF(A22:$A$200,"&lt;&gt;")=0),ROUND(SUMIF($A$2:A20,"&lt;&gt;",$D$2:D20),2),IF(OR(A21="",B21="",C21=""),"",ROUND(B21*C21,2)))</f>
        <v/>
      </c>
      <c r="E21" s="230" t="n"/>
      <c r="F21" s="225">
        <f>IF(AND(A21="",A20&lt;&gt;"",COUNTIF(A22:$A$200,"&lt;&gt;")=0),ROUND(SUMIF($A$2:A20,"&lt;&gt;",$F$2:F20),2),IF(OR(A21="",E21="",C21="",NOT(ISNUMBER($Z$3))),"",ROUND(E21*C21*$Z$3,2)))</f>
        <v/>
      </c>
      <c r="G21" s="230" t="n"/>
      <c r="H21" s="225">
        <f>IF(AND(A21="",A20&lt;&gt;"",COUNTIF(A22:$A$200,"&lt;&gt;")=0),ROUND(SUMIF($A$2:A20,"&lt;&gt;",$H$2:H20),2),IF(OR(A21="",G21="",C21="",NOT(ISNUMBER($Z$4))),"",ROUND(G21*C21*$Z$4,2)))</f>
        <v/>
      </c>
      <c r="I21" s="230" t="n"/>
      <c r="J21" s="225">
        <f>IF(AND(A21="",A20&lt;&gt;"",COUNTIF(A22:$A$200,"&lt;&gt;")=0),ROUND(SUMIF($A$2:A20,"&lt;&gt;",$J$2:J20),2),IF(OR(A21="",I21="",C21="",NOT(ISNUMBER($Z$5))),"",ROUND(I21*C21*$Z$5,2)))</f>
        <v/>
      </c>
      <c r="K21" s="230" t="n"/>
      <c r="L21" s="225">
        <f>IF(AND(A21="",A20&lt;&gt;"",COUNTIF(A22:$A$200,"&lt;&gt;")=0),ROUND(SUMIF($A$2:A20,"&lt;&gt;",$L$2:L20),2),IF(OR(A21="",K21="",C21="",NOT(ISNUMBER($Z$6))),"",ROUND(K21*C21*$Z$6,2)))</f>
        <v/>
      </c>
      <c r="M21" s="231">
        <f>IF(OR(E21="",G21=""),"",ROUND(MAX(E21-G21,0),2))</f>
        <v/>
      </c>
      <c r="N21" s="225">
        <f>IF(AND(A21="",A20&lt;&gt;"",COUNTIF(A22:$A$200,"&lt;&gt;")=0),ROUND(SUMIF($A$2:A20,"&lt;&gt;",$N$2:N20),2),IF(OR(M21="",C21="",NOT(ISNUMBER($Z$3))),"",ROUND(M21*C21*$Z$3,2)))</f>
        <v/>
      </c>
      <c r="O21" s="231">
        <f>IF(OR(G21="",I21=""),"",ROUND(MAX(G21-I21,0),2))</f>
        <v/>
      </c>
      <c r="P21" s="225">
        <f>IF(AND(A21="",A20&lt;&gt;"",COUNTIF(A22:$A$200,"&lt;&gt;")=0),ROUND(SUMIF($A$2:A20,"&lt;&gt;",$P$2:P20),2),IF(OR(O21="",C21="",NOT(ISNUMBER($Z$4))),"",ROUND(O21*C21*$Z$4,2)))</f>
        <v/>
      </c>
      <c r="Q21" s="231">
        <f>IF(OR(I21="",K21=""),"",ROUND(MAX(I21-K21,0),2))</f>
        <v/>
      </c>
      <c r="R21" s="225">
        <f>IF(AND(A21="",A20&lt;&gt;"",COUNTIF(A22:$A$200,"&lt;&gt;")=0),ROUND(SUMIF($A$2:A20,"&lt;&gt;",$R$2:R20),2),IF(OR(Q21="",C21="",NOT(ISNUMBER($Z$5))),"",ROUND(Q21*C21*$Z$5,2)))</f>
        <v/>
      </c>
      <c r="S21" s="27" t="n"/>
      <c r="T21" s="232" t="n"/>
      <c r="U21" s="233">
        <f>IF(AND(A21="",A20&lt;&gt;"",COUNTIF(A22:$A$200,"&lt;&gt;")=0),"TOTAL",IF(A21="","",IF(AND(G21&lt;&gt;"",E21&lt;&gt;"",G21&gt;E21),"ALERTA: REM_C2&gt;REM_C1",IF(AND(I21&lt;&gt;"",G21&lt;&gt;"",I21&gt;G21),"ALERTA: REM_C3&gt;REM_C2",IF(AND(K21&lt;&gt;"",I21&lt;&gt;"",K21&gt;I21),"ALERTA: REM_C4&gt;REM_C3","OK")))))</f>
        <v/>
      </c>
      <c r="V21" s="233">
        <f>IF(A21="","",IF(B21="","",IF(OR(B21&lt;0,E21&gt;B21,G21&gt;B21,I21&gt;B21,K21&gt;B21),"ALERTA: QTD_INVALIDA","OK")))</f>
        <v/>
      </c>
      <c r="W21" s="19" t="n"/>
      <c r="X21" s="19" t="n"/>
      <c r="Y21" s="19" t="n"/>
      <c r="Z21" s="17" t="n"/>
      <c r="AA21" s="17" t="n"/>
      <c r="AB21" s="231">
        <f>IF(OR(A21="",E21=""),"",ROUND(B21-E21,2))</f>
        <v/>
      </c>
      <c r="AC21" s="225">
        <f>IF(AND(A21="",A20&lt;&gt;"",COUNTIF(A22:$A$200,"&lt;&gt;")=0),ROUND(SUMIF($A$2:A20,"&lt;&gt;",$AC$2:AC20),2),IF(OR(A21="",E21=""),"",ROUND(D21-E21*C21,2)))</f>
        <v/>
      </c>
      <c r="AD21" s="17" t="n"/>
    </row>
    <row r="22">
      <c r="A22" s="227" t="n"/>
      <c r="B22" s="228" t="n"/>
      <c r="C22" s="229" t="n"/>
      <c r="D22" s="225">
        <f>IF(AND(A22="",A21&lt;&gt;"",COUNTIF(A23:$A$200,"&lt;&gt;")=0),ROUND(SUMIF($A$2:A21,"&lt;&gt;",$D$2:D21),2),IF(OR(A22="",B22="",C22=""),"",ROUND(B22*C22,2)))</f>
        <v/>
      </c>
      <c r="E22" s="230" t="n"/>
      <c r="F22" s="225">
        <f>IF(AND(A22="",A21&lt;&gt;"",COUNTIF(A23:$A$200,"&lt;&gt;")=0),ROUND(SUMIF($A$2:A21,"&lt;&gt;",$F$2:F21),2),IF(OR(A22="",E22="",C22="",NOT(ISNUMBER($Z$3))),"",ROUND(E22*C22*$Z$3,2)))</f>
        <v/>
      </c>
      <c r="G22" s="230" t="n"/>
      <c r="H22" s="225">
        <f>IF(AND(A22="",A21&lt;&gt;"",COUNTIF(A23:$A$200,"&lt;&gt;")=0),ROUND(SUMIF($A$2:A21,"&lt;&gt;",$H$2:H21),2),IF(OR(A22="",G22="",C22="",NOT(ISNUMBER($Z$4))),"",ROUND(G22*C22*$Z$4,2)))</f>
        <v/>
      </c>
      <c r="I22" s="230" t="n"/>
      <c r="J22" s="225">
        <f>IF(AND(A22="",A21&lt;&gt;"",COUNTIF(A23:$A$200,"&lt;&gt;")=0),ROUND(SUMIF($A$2:A21,"&lt;&gt;",$J$2:J21),2),IF(OR(A22="",I22="",C22="",NOT(ISNUMBER($Z$5))),"",ROUND(I22*C22*$Z$5,2)))</f>
        <v/>
      </c>
      <c r="K22" s="230" t="n"/>
      <c r="L22" s="225">
        <f>IF(AND(A22="",A21&lt;&gt;"",COUNTIF(A23:$A$200,"&lt;&gt;")=0),ROUND(SUMIF($A$2:A21,"&lt;&gt;",$L$2:L21),2),IF(OR(A22="",K22="",C22="",NOT(ISNUMBER($Z$6))),"",ROUND(K22*C22*$Z$6,2)))</f>
        <v/>
      </c>
      <c r="M22" s="231">
        <f>IF(OR(E22="",G22=""),"",ROUND(MAX(E22-G22,0),2))</f>
        <v/>
      </c>
      <c r="N22" s="225">
        <f>IF(AND(A22="",A21&lt;&gt;"",COUNTIF(A23:$A$200,"&lt;&gt;")=0),ROUND(SUMIF($A$2:A21,"&lt;&gt;",$N$2:N21),2),IF(OR(M22="",C22="",NOT(ISNUMBER($Z$3))),"",ROUND(M22*C22*$Z$3,2)))</f>
        <v/>
      </c>
      <c r="O22" s="231">
        <f>IF(OR(G22="",I22=""),"",ROUND(MAX(G22-I22,0),2))</f>
        <v/>
      </c>
      <c r="P22" s="225">
        <f>IF(AND(A22="",A21&lt;&gt;"",COUNTIF(A23:$A$200,"&lt;&gt;")=0),ROUND(SUMIF($A$2:A21,"&lt;&gt;",$P$2:P21),2),IF(OR(O22="",C22="",NOT(ISNUMBER($Z$4))),"",ROUND(O22*C22*$Z$4,2)))</f>
        <v/>
      </c>
      <c r="Q22" s="231">
        <f>IF(OR(I22="",K22=""),"",ROUND(MAX(I22-K22,0),2))</f>
        <v/>
      </c>
      <c r="R22" s="225">
        <f>IF(AND(A22="",A21&lt;&gt;"",COUNTIF(A23:$A$200,"&lt;&gt;")=0),ROUND(SUMIF($A$2:A21,"&lt;&gt;",$R$2:R21),2),IF(OR(Q22="",C22="",NOT(ISNUMBER($Z$5))),"",ROUND(Q22*C22*$Z$5,2)))</f>
        <v/>
      </c>
      <c r="S22" s="27" t="n"/>
      <c r="T22" s="232" t="n"/>
      <c r="U22" s="233">
        <f>IF(AND(A22="",A21&lt;&gt;"",COUNTIF(A23:$A$200,"&lt;&gt;")=0),"TOTAL",IF(A22="","",IF(AND(G22&lt;&gt;"",E22&lt;&gt;"",G22&gt;E22),"ALERTA: REM_C2&gt;REM_C1",IF(AND(I22&lt;&gt;"",G22&lt;&gt;"",I22&gt;G22),"ALERTA: REM_C3&gt;REM_C2",IF(AND(K22&lt;&gt;"",I22&lt;&gt;"",K22&gt;I22),"ALERTA: REM_C4&gt;REM_C3","OK")))))</f>
        <v/>
      </c>
      <c r="V22" s="233">
        <f>IF(A22="","",IF(B22="","",IF(OR(B22&lt;0,E22&gt;B22,G22&gt;B22,I22&gt;B22,K22&gt;B22),"ALERTA: QTD_INVALIDA","OK")))</f>
        <v/>
      </c>
      <c r="W22" s="19" t="n"/>
      <c r="X22" s="19" t="n"/>
      <c r="Y22" s="19" t="n"/>
      <c r="Z22" s="17" t="n"/>
      <c r="AA22" s="17" t="n"/>
      <c r="AB22" s="231">
        <f>IF(OR(A22="",E22=""),"",ROUND(B22-E22,2))</f>
        <v/>
      </c>
      <c r="AC22" s="225">
        <f>IF(AND(A22="",A21&lt;&gt;"",COUNTIF(A23:$A$200,"&lt;&gt;")=0),ROUND(SUMIF($A$2:A21,"&lt;&gt;",$AC$2:AC21),2),IF(OR(A22="",E22=""),"",ROUND(D22-E22*C22,2)))</f>
        <v/>
      </c>
      <c r="AD22" s="17" t="n"/>
    </row>
    <row r="23">
      <c r="A23" s="227" t="n"/>
      <c r="B23" s="228" t="n"/>
      <c r="C23" s="229" t="n"/>
      <c r="D23" s="225">
        <f>IF(AND(A23="",A22&lt;&gt;"",COUNTIF(A24:$A$200,"&lt;&gt;")=0),ROUND(SUMIF($A$2:A22,"&lt;&gt;",$D$2:D22),2),IF(OR(A23="",B23="",C23=""),"",ROUND(B23*C23,2)))</f>
        <v/>
      </c>
      <c r="E23" s="230" t="n"/>
      <c r="F23" s="225">
        <f>IF(AND(A23="",A22&lt;&gt;"",COUNTIF(A24:$A$200,"&lt;&gt;")=0),ROUND(SUMIF($A$2:A22,"&lt;&gt;",$F$2:F22),2),IF(OR(A23="",E23="",C23="",NOT(ISNUMBER($Z$3))),"",ROUND(E23*C23*$Z$3,2)))</f>
        <v/>
      </c>
      <c r="G23" s="230" t="n"/>
      <c r="H23" s="225">
        <f>IF(AND(A23="",A22&lt;&gt;"",COUNTIF(A24:$A$200,"&lt;&gt;")=0),ROUND(SUMIF($A$2:A22,"&lt;&gt;",$H$2:H22),2),IF(OR(A23="",G23="",C23="",NOT(ISNUMBER($Z$4))),"",ROUND(G23*C23*$Z$4,2)))</f>
        <v/>
      </c>
      <c r="I23" s="230" t="n"/>
      <c r="J23" s="225">
        <f>IF(AND(A23="",A22&lt;&gt;"",COUNTIF(A24:$A$200,"&lt;&gt;")=0),ROUND(SUMIF($A$2:A22,"&lt;&gt;",$J$2:J22),2),IF(OR(A23="",I23="",C23="",NOT(ISNUMBER($Z$5))),"",ROUND(I23*C23*$Z$5,2)))</f>
        <v/>
      </c>
      <c r="K23" s="230" t="n"/>
      <c r="L23" s="225">
        <f>IF(AND(A23="",A22&lt;&gt;"",COUNTIF(A24:$A$200,"&lt;&gt;")=0),ROUND(SUMIF($A$2:A22,"&lt;&gt;",$L$2:L22),2),IF(OR(A23="",K23="",C23="",NOT(ISNUMBER($Z$6))),"",ROUND(K23*C23*$Z$6,2)))</f>
        <v/>
      </c>
      <c r="M23" s="231">
        <f>IF(OR(E23="",G23=""),"",ROUND(MAX(E23-G23,0),2))</f>
        <v/>
      </c>
      <c r="N23" s="225">
        <f>IF(AND(A23="",A22&lt;&gt;"",COUNTIF(A24:$A$200,"&lt;&gt;")=0),ROUND(SUMIF($A$2:A22,"&lt;&gt;",$N$2:N22),2),IF(OR(M23="",C23="",NOT(ISNUMBER($Z$3))),"",ROUND(M23*C23*$Z$3,2)))</f>
        <v/>
      </c>
      <c r="O23" s="231">
        <f>IF(OR(G23="",I23=""),"",ROUND(MAX(G23-I23,0),2))</f>
        <v/>
      </c>
      <c r="P23" s="225">
        <f>IF(AND(A23="",A22&lt;&gt;"",COUNTIF(A24:$A$200,"&lt;&gt;")=0),ROUND(SUMIF($A$2:A22,"&lt;&gt;",$P$2:P22),2),IF(OR(O23="",C23="",NOT(ISNUMBER($Z$4))),"",ROUND(O23*C23*$Z$4,2)))</f>
        <v/>
      </c>
      <c r="Q23" s="231">
        <f>IF(OR(I23="",K23=""),"",ROUND(MAX(I23-K23,0),2))</f>
        <v/>
      </c>
      <c r="R23" s="225">
        <f>IF(AND(A23="",A22&lt;&gt;"",COUNTIF(A24:$A$200,"&lt;&gt;")=0),ROUND(SUMIF($A$2:A22,"&lt;&gt;",$R$2:R22),2),IF(OR(Q23="",C23="",NOT(ISNUMBER($Z$5))),"",ROUND(Q23*C23*$Z$5,2)))</f>
        <v/>
      </c>
      <c r="S23" s="27" t="n"/>
      <c r="T23" s="232" t="n"/>
      <c r="U23" s="233">
        <f>IF(AND(A23="",A22&lt;&gt;"",COUNTIF(A24:$A$200,"&lt;&gt;")=0),"TOTAL",IF(A23="","",IF(AND(G23&lt;&gt;"",E23&lt;&gt;"",G23&gt;E23),"ALERTA: REM_C2&gt;REM_C1",IF(AND(I23&lt;&gt;"",G23&lt;&gt;"",I23&gt;G23),"ALERTA: REM_C3&gt;REM_C2",IF(AND(K23&lt;&gt;"",I23&lt;&gt;"",K23&gt;I23),"ALERTA: REM_C4&gt;REM_C3","OK")))))</f>
        <v/>
      </c>
      <c r="V23" s="233">
        <f>IF(A23="","",IF(B23="","",IF(OR(B23&lt;0,E23&gt;B23,G23&gt;B23,I23&gt;B23,K23&gt;B23),"ALERTA: QTD_INVALIDA","OK")))</f>
        <v/>
      </c>
      <c r="W23" s="19" t="n"/>
      <c r="X23" s="19" t="n"/>
      <c r="Y23" s="19" t="n"/>
      <c r="Z23" s="17" t="n"/>
      <c r="AA23" s="17" t="n"/>
      <c r="AB23" s="231">
        <f>IF(OR(A23="",E23=""),"",ROUND(B23-E23,2))</f>
        <v/>
      </c>
      <c r="AC23" s="225">
        <f>IF(AND(A23="",A22&lt;&gt;"",COUNTIF(A24:$A$200,"&lt;&gt;")=0),ROUND(SUMIF($A$2:A22,"&lt;&gt;",$AC$2:AC22),2),IF(OR(A23="",E23=""),"",ROUND(D23-E23*C23,2)))</f>
        <v/>
      </c>
      <c r="AD23" s="17" t="n"/>
    </row>
    <row r="24">
      <c r="A24" s="227" t="n"/>
      <c r="B24" s="228" t="n"/>
      <c r="C24" s="229" t="n"/>
      <c r="D24" s="225">
        <f>IF(AND(A24="",A23&lt;&gt;"",COUNTIF(A25:$A$200,"&lt;&gt;")=0),ROUND(SUMIF($A$2:A23,"&lt;&gt;",$D$2:D23),2),IF(OR(A24="",B24="",C24=""),"",ROUND(B24*C24,2)))</f>
        <v/>
      </c>
      <c r="E24" s="230" t="n"/>
      <c r="F24" s="225">
        <f>IF(AND(A24="",A23&lt;&gt;"",COUNTIF(A25:$A$200,"&lt;&gt;")=0),ROUND(SUMIF($A$2:A23,"&lt;&gt;",$F$2:F23),2),IF(OR(A24="",E24="",C24="",NOT(ISNUMBER($Z$3))),"",ROUND(E24*C24*$Z$3,2)))</f>
        <v/>
      </c>
      <c r="G24" s="230" t="n"/>
      <c r="H24" s="225">
        <f>IF(AND(A24="",A23&lt;&gt;"",COUNTIF(A25:$A$200,"&lt;&gt;")=0),ROUND(SUMIF($A$2:A23,"&lt;&gt;",$H$2:H23),2),IF(OR(A24="",G24="",C24="",NOT(ISNUMBER($Z$4))),"",ROUND(G24*C24*$Z$4,2)))</f>
        <v/>
      </c>
      <c r="I24" s="230" t="n"/>
      <c r="J24" s="225">
        <f>IF(AND(A24="",A23&lt;&gt;"",COUNTIF(A25:$A$200,"&lt;&gt;")=0),ROUND(SUMIF($A$2:A23,"&lt;&gt;",$J$2:J23),2),IF(OR(A24="",I24="",C24="",NOT(ISNUMBER($Z$5))),"",ROUND(I24*C24*$Z$5,2)))</f>
        <v/>
      </c>
      <c r="K24" s="230" t="n"/>
      <c r="L24" s="225">
        <f>IF(AND(A24="",A23&lt;&gt;"",COUNTIF(A25:$A$200,"&lt;&gt;")=0),ROUND(SUMIF($A$2:A23,"&lt;&gt;",$L$2:L23),2),IF(OR(A24="",K24="",C24="",NOT(ISNUMBER($Z$6))),"",ROUND(K24*C24*$Z$6,2)))</f>
        <v/>
      </c>
      <c r="M24" s="231">
        <f>IF(OR(E24="",G24=""),"",ROUND(MAX(E24-G24,0),2))</f>
        <v/>
      </c>
      <c r="N24" s="225">
        <f>IF(AND(A24="",A23&lt;&gt;"",COUNTIF(A25:$A$200,"&lt;&gt;")=0),ROUND(SUMIF($A$2:A23,"&lt;&gt;",$N$2:N23),2),IF(OR(M24="",C24="",NOT(ISNUMBER($Z$3))),"",ROUND(M24*C24*$Z$3,2)))</f>
        <v/>
      </c>
      <c r="O24" s="231">
        <f>IF(OR(G24="",I24=""),"",ROUND(MAX(G24-I24,0),2))</f>
        <v/>
      </c>
      <c r="P24" s="225">
        <f>IF(AND(A24="",A23&lt;&gt;"",COUNTIF(A25:$A$200,"&lt;&gt;")=0),ROUND(SUMIF($A$2:A23,"&lt;&gt;",$P$2:P23),2),IF(OR(O24="",C24="",NOT(ISNUMBER($Z$4))),"",ROUND(O24*C24*$Z$4,2)))</f>
        <v/>
      </c>
      <c r="Q24" s="231">
        <f>IF(OR(I24="",K24=""),"",ROUND(MAX(I24-K24,0),2))</f>
        <v/>
      </c>
      <c r="R24" s="225">
        <f>IF(AND(A24="",A23&lt;&gt;"",COUNTIF(A25:$A$200,"&lt;&gt;")=0),ROUND(SUMIF($A$2:A23,"&lt;&gt;",$R$2:R23),2),IF(OR(Q24="",C24="",NOT(ISNUMBER($Z$5))),"",ROUND(Q24*C24*$Z$5,2)))</f>
        <v/>
      </c>
      <c r="S24" s="27" t="n"/>
      <c r="T24" s="232" t="n"/>
      <c r="U24" s="233">
        <f>IF(AND(A24="",A23&lt;&gt;"",COUNTIF(A25:$A$200,"&lt;&gt;")=0),"TOTAL",IF(A24="","",IF(AND(G24&lt;&gt;"",E24&lt;&gt;"",G24&gt;E24),"ALERTA: REM_C2&gt;REM_C1",IF(AND(I24&lt;&gt;"",G24&lt;&gt;"",I24&gt;G24),"ALERTA: REM_C3&gt;REM_C2",IF(AND(K24&lt;&gt;"",I24&lt;&gt;"",K24&gt;I24),"ALERTA: REM_C4&gt;REM_C3","OK")))))</f>
        <v/>
      </c>
      <c r="V24" s="233">
        <f>IF(A24="","",IF(B24="","",IF(OR(B24&lt;0,E24&gt;B24,G24&gt;B24,I24&gt;B24,K24&gt;B24),"ALERTA: QTD_INVALIDA","OK")))</f>
        <v/>
      </c>
      <c r="W24" s="19" t="n"/>
      <c r="X24" s="19" t="n"/>
      <c r="Y24" s="19" t="n"/>
      <c r="Z24" s="17" t="n"/>
      <c r="AA24" s="17" t="n"/>
      <c r="AB24" s="231">
        <f>IF(OR(A24="",E24=""),"",ROUND(B24-E24,2))</f>
        <v/>
      </c>
      <c r="AC24" s="225">
        <f>IF(AND(A24="",A23&lt;&gt;"",COUNTIF(A25:$A$200,"&lt;&gt;")=0),ROUND(SUMIF($A$2:A23,"&lt;&gt;",$AC$2:AC23),2),IF(OR(A24="",E24=""),"",ROUND(D24-E24*C24,2)))</f>
        <v/>
      </c>
      <c r="AD24" s="17" t="n"/>
    </row>
    <row r="25">
      <c r="A25" s="227" t="n"/>
      <c r="B25" s="228" t="n"/>
      <c r="C25" s="229" t="n"/>
      <c r="D25" s="225">
        <f>IF(AND(A25="",A24&lt;&gt;"",COUNTIF(A26:$A$200,"&lt;&gt;")=0),ROUND(SUMIF($A$2:A24,"&lt;&gt;",$D$2:D24),2),IF(OR(A25="",B25="",C25=""),"",ROUND(B25*C25,2)))</f>
        <v/>
      </c>
      <c r="E25" s="230" t="n"/>
      <c r="F25" s="225">
        <f>IF(AND(A25="",A24&lt;&gt;"",COUNTIF(A26:$A$200,"&lt;&gt;")=0),ROUND(SUMIF($A$2:A24,"&lt;&gt;",$F$2:F24),2),IF(OR(A25="",E25="",C25="",NOT(ISNUMBER($Z$3))),"",ROUND(E25*C25*$Z$3,2)))</f>
        <v/>
      </c>
      <c r="G25" s="230" t="n"/>
      <c r="H25" s="225">
        <f>IF(AND(A25="",A24&lt;&gt;"",COUNTIF(A26:$A$200,"&lt;&gt;")=0),ROUND(SUMIF($A$2:A24,"&lt;&gt;",$H$2:H24),2),IF(OR(A25="",G25="",C25="",NOT(ISNUMBER($Z$4))),"",ROUND(G25*C25*$Z$4,2)))</f>
        <v/>
      </c>
      <c r="I25" s="230" t="n"/>
      <c r="J25" s="225">
        <f>IF(AND(A25="",A24&lt;&gt;"",COUNTIF(A26:$A$200,"&lt;&gt;")=0),ROUND(SUMIF($A$2:A24,"&lt;&gt;",$J$2:J24),2),IF(OR(A25="",I25="",C25="",NOT(ISNUMBER($Z$5))),"",ROUND(I25*C25*$Z$5,2)))</f>
        <v/>
      </c>
      <c r="K25" s="230" t="n"/>
      <c r="L25" s="225">
        <f>IF(AND(A25="",A24&lt;&gt;"",COUNTIF(A26:$A$200,"&lt;&gt;")=0),ROUND(SUMIF($A$2:A24,"&lt;&gt;",$L$2:L24),2),IF(OR(A25="",K25="",C25="",NOT(ISNUMBER($Z$6))),"",ROUND(K25*C25*$Z$6,2)))</f>
        <v/>
      </c>
      <c r="M25" s="231">
        <f>IF(OR(E25="",G25=""),"",ROUND(MAX(E25-G25,0),2))</f>
        <v/>
      </c>
      <c r="N25" s="225">
        <f>IF(AND(A25="",A24&lt;&gt;"",COUNTIF(A26:$A$200,"&lt;&gt;")=0),ROUND(SUMIF($A$2:A24,"&lt;&gt;",$N$2:N24),2),IF(OR(M25="",C25="",NOT(ISNUMBER($Z$3))),"",ROUND(M25*C25*$Z$3,2)))</f>
        <v/>
      </c>
      <c r="O25" s="231">
        <f>IF(OR(G25="",I25=""),"",ROUND(MAX(G25-I25,0),2))</f>
        <v/>
      </c>
      <c r="P25" s="225">
        <f>IF(AND(A25="",A24&lt;&gt;"",COUNTIF(A26:$A$200,"&lt;&gt;")=0),ROUND(SUMIF($A$2:A24,"&lt;&gt;",$P$2:P24),2),IF(OR(O25="",C25="",NOT(ISNUMBER($Z$4))),"",ROUND(O25*C25*$Z$4,2)))</f>
        <v/>
      </c>
      <c r="Q25" s="231">
        <f>IF(OR(I25="",K25=""),"",ROUND(MAX(I25-K25,0),2))</f>
        <v/>
      </c>
      <c r="R25" s="225">
        <f>IF(AND(A25="",A24&lt;&gt;"",COUNTIF(A26:$A$200,"&lt;&gt;")=0),ROUND(SUMIF($A$2:A24,"&lt;&gt;",$R$2:R24),2),IF(OR(Q25="",C25="",NOT(ISNUMBER($Z$5))),"",ROUND(Q25*C25*$Z$5,2)))</f>
        <v/>
      </c>
      <c r="S25" s="27" t="n"/>
      <c r="T25" s="232" t="n"/>
      <c r="U25" s="233">
        <f>IF(AND(A25="",A24&lt;&gt;"",COUNTIF(A26:$A$200,"&lt;&gt;")=0),"TOTAL",IF(A25="","",IF(AND(G25&lt;&gt;"",E25&lt;&gt;"",G25&gt;E25),"ALERTA: REM_C2&gt;REM_C1",IF(AND(I25&lt;&gt;"",G25&lt;&gt;"",I25&gt;G25),"ALERTA: REM_C3&gt;REM_C2",IF(AND(K25&lt;&gt;"",I25&lt;&gt;"",K25&gt;I25),"ALERTA: REM_C4&gt;REM_C3","OK")))))</f>
        <v/>
      </c>
      <c r="V25" s="233">
        <f>IF(A25="","",IF(B25="","",IF(OR(B25&lt;0,E25&gt;B25,G25&gt;B25,I25&gt;B25,K25&gt;B25),"ALERTA: QTD_INVALIDA","OK")))</f>
        <v/>
      </c>
      <c r="W25" s="19" t="n"/>
      <c r="X25" s="19" t="n"/>
      <c r="Y25" s="19" t="n"/>
      <c r="Z25" s="17" t="n"/>
      <c r="AA25" s="17" t="n"/>
      <c r="AB25" s="231">
        <f>IF(OR(A25="",E25=""),"",ROUND(B25-E25,2))</f>
        <v/>
      </c>
      <c r="AC25" s="225">
        <f>IF(AND(A25="",A24&lt;&gt;"",COUNTIF(A26:$A$200,"&lt;&gt;")=0),ROUND(SUMIF($A$2:A24,"&lt;&gt;",$AC$2:AC24),2),IF(OR(A25="",E25=""),"",ROUND(D25-E25*C25,2)))</f>
        <v/>
      </c>
      <c r="AD25" s="17" t="n"/>
    </row>
    <row r="26">
      <c r="A26" s="227" t="n"/>
      <c r="B26" s="228" t="n"/>
      <c r="C26" s="229" t="n"/>
      <c r="D26" s="225">
        <f>IF(AND(A26="",A25&lt;&gt;"",COUNTIF(A27:$A$200,"&lt;&gt;")=0),ROUND(SUMIF($A$2:A25,"&lt;&gt;",$D$2:D25),2),IF(OR(A26="",B26="",C26=""),"",ROUND(B26*C26,2)))</f>
        <v/>
      </c>
      <c r="E26" s="230" t="n"/>
      <c r="F26" s="225">
        <f>IF(AND(A26="",A25&lt;&gt;"",COUNTIF(A27:$A$200,"&lt;&gt;")=0),ROUND(SUMIF($A$2:A25,"&lt;&gt;",$F$2:F25),2),IF(OR(A26="",E26="",C26="",NOT(ISNUMBER($Z$3))),"",ROUND(E26*C26*$Z$3,2)))</f>
        <v/>
      </c>
      <c r="G26" s="230" t="n"/>
      <c r="H26" s="225">
        <f>IF(AND(A26="",A25&lt;&gt;"",COUNTIF(A27:$A$200,"&lt;&gt;")=0),ROUND(SUMIF($A$2:A25,"&lt;&gt;",$H$2:H25),2),IF(OR(A26="",G26="",C26="",NOT(ISNUMBER($Z$4))),"",ROUND(G26*C26*$Z$4,2)))</f>
        <v/>
      </c>
      <c r="I26" s="230" t="n"/>
      <c r="J26" s="225">
        <f>IF(AND(A26="",A25&lt;&gt;"",COUNTIF(A27:$A$200,"&lt;&gt;")=0),ROUND(SUMIF($A$2:A25,"&lt;&gt;",$J$2:J25),2),IF(OR(A26="",I26="",C26="",NOT(ISNUMBER($Z$5))),"",ROUND(I26*C26*$Z$5,2)))</f>
        <v/>
      </c>
      <c r="K26" s="230" t="n"/>
      <c r="L26" s="225">
        <f>IF(AND(A26="",A25&lt;&gt;"",COUNTIF(A27:$A$200,"&lt;&gt;")=0),ROUND(SUMIF($A$2:A25,"&lt;&gt;",$L$2:L25),2),IF(OR(A26="",K26="",C26="",NOT(ISNUMBER($Z$6))),"",ROUND(K26*C26*$Z$6,2)))</f>
        <v/>
      </c>
      <c r="M26" s="231">
        <f>IF(OR(E26="",G26=""),"",ROUND(MAX(E26-G26,0),2))</f>
        <v/>
      </c>
      <c r="N26" s="225">
        <f>IF(AND(A26="",A25&lt;&gt;"",COUNTIF(A27:$A$200,"&lt;&gt;")=0),ROUND(SUMIF($A$2:A25,"&lt;&gt;",$N$2:N25),2),IF(OR(M26="",C26="",NOT(ISNUMBER($Z$3))),"",ROUND(M26*C26*$Z$3,2)))</f>
        <v/>
      </c>
      <c r="O26" s="231">
        <f>IF(OR(G26="",I26=""),"",ROUND(MAX(G26-I26,0),2))</f>
        <v/>
      </c>
      <c r="P26" s="225">
        <f>IF(AND(A26="",A25&lt;&gt;"",COUNTIF(A27:$A$200,"&lt;&gt;")=0),ROUND(SUMIF($A$2:A25,"&lt;&gt;",$P$2:P25),2),IF(OR(O26="",C26="",NOT(ISNUMBER($Z$4))),"",ROUND(O26*C26*$Z$4,2)))</f>
        <v/>
      </c>
      <c r="Q26" s="231">
        <f>IF(OR(I26="",K26=""),"",ROUND(MAX(I26-K26,0),2))</f>
        <v/>
      </c>
      <c r="R26" s="225">
        <f>IF(AND(A26="",A25&lt;&gt;"",COUNTIF(A27:$A$200,"&lt;&gt;")=0),ROUND(SUMIF($A$2:A25,"&lt;&gt;",$R$2:R25),2),IF(OR(Q26="",C26="",NOT(ISNUMBER($Z$5))),"",ROUND(Q26*C26*$Z$5,2)))</f>
        <v/>
      </c>
      <c r="S26" s="27" t="n"/>
      <c r="T26" s="232" t="n"/>
      <c r="U26" s="233">
        <f>IF(AND(A26="",A25&lt;&gt;"",COUNTIF(A27:$A$200,"&lt;&gt;")=0),"TOTAL",IF(A26="","",IF(AND(G26&lt;&gt;"",E26&lt;&gt;"",G26&gt;E26),"ALERTA: REM_C2&gt;REM_C1",IF(AND(I26&lt;&gt;"",G26&lt;&gt;"",I26&gt;G26),"ALERTA: REM_C3&gt;REM_C2",IF(AND(K26&lt;&gt;"",I26&lt;&gt;"",K26&gt;I26),"ALERTA: REM_C4&gt;REM_C3","OK")))))</f>
        <v/>
      </c>
      <c r="V26" s="233">
        <f>IF(A26="","",IF(B26="","",IF(OR(B26&lt;0,E26&gt;B26,G26&gt;B26,I26&gt;B26,K26&gt;B26),"ALERTA: QTD_INVALIDA","OK")))</f>
        <v/>
      </c>
      <c r="W26" s="19" t="n"/>
      <c r="X26" s="19" t="n"/>
      <c r="Y26" s="19" t="n"/>
      <c r="Z26" s="17" t="n"/>
      <c r="AA26" s="17" t="n"/>
      <c r="AB26" s="231">
        <f>IF(OR(A26="",E26=""),"",ROUND(B26-E26,2))</f>
        <v/>
      </c>
      <c r="AC26" s="225">
        <f>IF(AND(A26="",A25&lt;&gt;"",COUNTIF(A27:$A$200,"&lt;&gt;")=0),ROUND(SUMIF($A$2:A25,"&lt;&gt;",$AC$2:AC25),2),IF(OR(A26="",E26=""),"",ROUND(D26-E26*C26,2)))</f>
        <v/>
      </c>
      <c r="AD26" s="17" t="n"/>
    </row>
    <row r="27">
      <c r="A27" s="227" t="n"/>
      <c r="B27" s="228" t="n"/>
      <c r="C27" s="229" t="n"/>
      <c r="D27" s="225">
        <f>IF(AND(A27="",A26&lt;&gt;"",COUNTIF(A28:$A$200,"&lt;&gt;")=0),ROUND(SUMIF($A$2:A26,"&lt;&gt;",$D$2:D26),2),IF(OR(A27="",B27="",C27=""),"",ROUND(B27*C27,2)))</f>
        <v/>
      </c>
      <c r="E27" s="230" t="n"/>
      <c r="F27" s="225">
        <f>IF(AND(A27="",A26&lt;&gt;"",COUNTIF(A28:$A$200,"&lt;&gt;")=0),ROUND(SUMIF($A$2:A26,"&lt;&gt;",$F$2:F26),2),IF(OR(A27="",E27="",C27="",NOT(ISNUMBER($Z$3))),"",ROUND(E27*C27*$Z$3,2)))</f>
        <v/>
      </c>
      <c r="G27" s="230" t="n"/>
      <c r="H27" s="225">
        <f>IF(AND(A27="",A26&lt;&gt;"",COUNTIF(A28:$A$200,"&lt;&gt;")=0),ROUND(SUMIF($A$2:A26,"&lt;&gt;",$H$2:H26),2),IF(OR(A27="",G27="",C27="",NOT(ISNUMBER($Z$4))),"",ROUND(G27*C27*$Z$4,2)))</f>
        <v/>
      </c>
      <c r="I27" s="230" t="n"/>
      <c r="J27" s="225">
        <f>IF(AND(A27="",A26&lt;&gt;"",COUNTIF(A28:$A$200,"&lt;&gt;")=0),ROUND(SUMIF($A$2:A26,"&lt;&gt;",$J$2:J26),2),IF(OR(A27="",I27="",C27="",NOT(ISNUMBER($Z$5))),"",ROUND(I27*C27*$Z$5,2)))</f>
        <v/>
      </c>
      <c r="K27" s="230" t="n"/>
      <c r="L27" s="225">
        <f>IF(AND(A27="",A26&lt;&gt;"",COUNTIF(A28:$A$200,"&lt;&gt;")=0),ROUND(SUMIF($A$2:A26,"&lt;&gt;",$L$2:L26),2),IF(OR(A27="",K27="",C27="",NOT(ISNUMBER($Z$6))),"",ROUND(K27*C27*$Z$6,2)))</f>
        <v/>
      </c>
      <c r="M27" s="231">
        <f>IF(OR(E27="",G27=""),"",ROUND(MAX(E27-G27,0),2))</f>
        <v/>
      </c>
      <c r="N27" s="225">
        <f>IF(AND(A27="",A26&lt;&gt;"",COUNTIF(A28:$A$200,"&lt;&gt;")=0),ROUND(SUMIF($A$2:A26,"&lt;&gt;",$N$2:N26),2),IF(OR(M27="",C27="",NOT(ISNUMBER($Z$3))),"",ROUND(M27*C27*$Z$3,2)))</f>
        <v/>
      </c>
      <c r="O27" s="231">
        <f>IF(OR(G27="",I27=""),"",ROUND(MAX(G27-I27,0),2))</f>
        <v/>
      </c>
      <c r="P27" s="225">
        <f>IF(AND(A27="",A26&lt;&gt;"",COUNTIF(A28:$A$200,"&lt;&gt;")=0),ROUND(SUMIF($A$2:A26,"&lt;&gt;",$P$2:P26),2),IF(OR(O27="",C27="",NOT(ISNUMBER($Z$4))),"",ROUND(O27*C27*$Z$4,2)))</f>
        <v/>
      </c>
      <c r="Q27" s="231">
        <f>IF(OR(I27="",K27=""),"",ROUND(MAX(I27-K27,0),2))</f>
        <v/>
      </c>
      <c r="R27" s="225">
        <f>IF(AND(A27="",A26&lt;&gt;"",COUNTIF(A28:$A$200,"&lt;&gt;")=0),ROUND(SUMIF($A$2:A26,"&lt;&gt;",$R$2:R26),2),IF(OR(Q27="",C27="",NOT(ISNUMBER($Z$5))),"",ROUND(Q27*C27*$Z$5,2)))</f>
        <v/>
      </c>
      <c r="S27" s="27" t="n"/>
      <c r="T27" s="232" t="n"/>
      <c r="U27" s="233">
        <f>IF(AND(A27="",A26&lt;&gt;"",COUNTIF(A28:$A$200,"&lt;&gt;")=0),"TOTAL",IF(A27="","",IF(AND(G27&lt;&gt;"",E27&lt;&gt;"",G27&gt;E27),"ALERTA: REM_C2&gt;REM_C1",IF(AND(I27&lt;&gt;"",G27&lt;&gt;"",I27&gt;G27),"ALERTA: REM_C3&gt;REM_C2",IF(AND(K27&lt;&gt;"",I27&lt;&gt;"",K27&gt;I27),"ALERTA: REM_C4&gt;REM_C3","OK")))))</f>
        <v/>
      </c>
      <c r="V27" s="233">
        <f>IF(A27="","",IF(B27="","",IF(OR(B27&lt;0,E27&gt;B27,G27&gt;B27,I27&gt;B27,K27&gt;B27),"ALERTA: QTD_INVALIDA","OK")))</f>
        <v/>
      </c>
      <c r="W27" s="19" t="n"/>
      <c r="X27" s="19" t="n"/>
      <c r="Y27" s="19" t="n"/>
      <c r="Z27" s="17" t="n"/>
      <c r="AA27" s="17" t="n"/>
      <c r="AB27" s="231">
        <f>IF(OR(A27="",E27=""),"",ROUND(B27-E27,2))</f>
        <v/>
      </c>
      <c r="AC27" s="225">
        <f>IF(AND(A27="",A26&lt;&gt;"",COUNTIF(A28:$A$200,"&lt;&gt;")=0),ROUND(SUMIF($A$2:A26,"&lt;&gt;",$AC$2:AC26),2),IF(OR(A27="",E27=""),"",ROUND(D27-E27*C27,2)))</f>
        <v/>
      </c>
      <c r="AD27" s="17" t="n"/>
    </row>
    <row r="28">
      <c r="A28" s="227" t="n"/>
      <c r="B28" s="228" t="n"/>
      <c r="C28" s="229" t="n"/>
      <c r="D28" s="225">
        <f>IF(AND(A28="",A27&lt;&gt;"",COUNTIF(A29:$A$200,"&lt;&gt;")=0),ROUND(SUMIF($A$2:A27,"&lt;&gt;",$D$2:D27),2),IF(OR(A28="",B28="",C28=""),"",ROUND(B28*C28,2)))</f>
        <v/>
      </c>
      <c r="E28" s="230" t="n"/>
      <c r="F28" s="225">
        <f>IF(AND(A28="",A27&lt;&gt;"",COUNTIF(A29:$A$200,"&lt;&gt;")=0),ROUND(SUMIF($A$2:A27,"&lt;&gt;",$F$2:F27),2),IF(OR(A28="",E28="",C28="",NOT(ISNUMBER($Z$3))),"",ROUND(E28*C28*$Z$3,2)))</f>
        <v/>
      </c>
      <c r="G28" s="230" t="n"/>
      <c r="H28" s="225">
        <f>IF(AND(A28="",A27&lt;&gt;"",COUNTIF(A29:$A$200,"&lt;&gt;")=0),ROUND(SUMIF($A$2:A27,"&lt;&gt;",$H$2:H27),2),IF(OR(A28="",G28="",C28="",NOT(ISNUMBER($Z$4))),"",ROUND(G28*C28*$Z$4,2)))</f>
        <v/>
      </c>
      <c r="I28" s="230" t="n"/>
      <c r="J28" s="225">
        <f>IF(AND(A28="",A27&lt;&gt;"",COUNTIF(A29:$A$200,"&lt;&gt;")=0),ROUND(SUMIF($A$2:A27,"&lt;&gt;",$J$2:J27),2),IF(OR(A28="",I28="",C28="",NOT(ISNUMBER($Z$5))),"",ROUND(I28*C28*$Z$5,2)))</f>
        <v/>
      </c>
      <c r="K28" s="230" t="n"/>
      <c r="L28" s="225">
        <f>IF(AND(A28="",A27&lt;&gt;"",COUNTIF(A29:$A$200,"&lt;&gt;")=0),ROUND(SUMIF($A$2:A27,"&lt;&gt;",$L$2:L27),2),IF(OR(A28="",K28="",C28="",NOT(ISNUMBER($Z$6))),"",ROUND(K28*C28*$Z$6,2)))</f>
        <v/>
      </c>
      <c r="M28" s="231">
        <f>IF(OR(E28="",G28=""),"",ROUND(MAX(E28-G28,0),2))</f>
        <v/>
      </c>
      <c r="N28" s="225">
        <f>IF(AND(A28="",A27&lt;&gt;"",COUNTIF(A29:$A$200,"&lt;&gt;")=0),ROUND(SUMIF($A$2:A27,"&lt;&gt;",$N$2:N27),2),IF(OR(M28="",C28="",NOT(ISNUMBER($Z$3))),"",ROUND(M28*C28*$Z$3,2)))</f>
        <v/>
      </c>
      <c r="O28" s="231">
        <f>IF(OR(G28="",I28=""),"",ROUND(MAX(G28-I28,0),2))</f>
        <v/>
      </c>
      <c r="P28" s="225">
        <f>IF(AND(A28="",A27&lt;&gt;"",COUNTIF(A29:$A$200,"&lt;&gt;")=0),ROUND(SUMIF($A$2:A27,"&lt;&gt;",$P$2:P27),2),IF(OR(O28="",C28="",NOT(ISNUMBER($Z$4))),"",ROUND(O28*C28*$Z$4,2)))</f>
        <v/>
      </c>
      <c r="Q28" s="231">
        <f>IF(OR(I28="",K28=""),"",ROUND(MAX(I28-K28,0),2))</f>
        <v/>
      </c>
      <c r="R28" s="225">
        <f>IF(AND(A28="",A27&lt;&gt;"",COUNTIF(A29:$A$200,"&lt;&gt;")=0),ROUND(SUMIF($A$2:A27,"&lt;&gt;",$R$2:R27),2),IF(OR(Q28="",C28="",NOT(ISNUMBER($Z$5))),"",ROUND(Q28*C28*$Z$5,2)))</f>
        <v/>
      </c>
      <c r="S28" s="27" t="n"/>
      <c r="T28" s="232" t="n"/>
      <c r="U28" s="233">
        <f>IF(AND(A28="",A27&lt;&gt;"",COUNTIF(A29:$A$200,"&lt;&gt;")=0),"TOTAL",IF(A28="","",IF(AND(G28&lt;&gt;"",E28&lt;&gt;"",G28&gt;E28),"ALERTA: REM_C2&gt;REM_C1",IF(AND(I28&lt;&gt;"",G28&lt;&gt;"",I28&gt;G28),"ALERTA: REM_C3&gt;REM_C2",IF(AND(K28&lt;&gt;"",I28&lt;&gt;"",K28&gt;I28),"ALERTA: REM_C4&gt;REM_C3","OK")))))</f>
        <v/>
      </c>
      <c r="V28" s="233">
        <f>IF(A28="","",IF(B28="","",IF(OR(B28&lt;0,E28&gt;B28,G28&gt;B28,I28&gt;B28,K28&gt;B28),"ALERTA: QTD_INVALIDA","OK")))</f>
        <v/>
      </c>
      <c r="W28" s="19" t="n"/>
      <c r="X28" s="19" t="n"/>
      <c r="Y28" s="19" t="n"/>
      <c r="Z28" s="17" t="n"/>
      <c r="AA28" s="17" t="n"/>
      <c r="AB28" s="231">
        <f>IF(OR(A28="",E28=""),"",ROUND(B28-E28,2))</f>
        <v/>
      </c>
      <c r="AC28" s="225">
        <f>IF(AND(A28="",A27&lt;&gt;"",COUNTIF(A29:$A$200,"&lt;&gt;")=0),ROUND(SUMIF($A$2:A27,"&lt;&gt;",$AC$2:AC27),2),IF(OR(A28="",E28=""),"",ROUND(D28-E28*C28,2)))</f>
        <v/>
      </c>
      <c r="AD28" s="17" t="n"/>
    </row>
    <row r="29">
      <c r="A29" s="227" t="n"/>
      <c r="B29" s="228" t="n"/>
      <c r="C29" s="229" t="n"/>
      <c r="D29" s="225">
        <f>IF(AND(A29="",A28&lt;&gt;"",COUNTIF(A30:$A$200,"&lt;&gt;")=0),ROUND(SUMIF($A$2:A28,"&lt;&gt;",$D$2:D28),2),IF(OR(A29="",B29="",C29=""),"",ROUND(B29*C29,2)))</f>
        <v/>
      </c>
      <c r="E29" s="230" t="n"/>
      <c r="F29" s="225">
        <f>IF(AND(A29="",A28&lt;&gt;"",COUNTIF(A30:$A$200,"&lt;&gt;")=0),ROUND(SUMIF($A$2:A28,"&lt;&gt;",$F$2:F28),2),IF(OR(A29="",E29="",C29="",NOT(ISNUMBER($Z$3))),"",ROUND(E29*C29*$Z$3,2)))</f>
        <v/>
      </c>
      <c r="G29" s="230" t="n"/>
      <c r="H29" s="225">
        <f>IF(AND(A29="",A28&lt;&gt;"",COUNTIF(A30:$A$200,"&lt;&gt;")=0),ROUND(SUMIF($A$2:A28,"&lt;&gt;",$H$2:H28),2),IF(OR(A29="",G29="",C29="",NOT(ISNUMBER($Z$4))),"",ROUND(G29*C29*$Z$4,2)))</f>
        <v/>
      </c>
      <c r="I29" s="230" t="n"/>
      <c r="J29" s="225">
        <f>IF(AND(A29="",A28&lt;&gt;"",COUNTIF(A30:$A$200,"&lt;&gt;")=0),ROUND(SUMIF($A$2:A28,"&lt;&gt;",$J$2:J28),2),IF(OR(A29="",I29="",C29="",NOT(ISNUMBER($Z$5))),"",ROUND(I29*C29*$Z$5,2)))</f>
        <v/>
      </c>
      <c r="K29" s="230" t="n"/>
      <c r="L29" s="225">
        <f>IF(AND(A29="",A28&lt;&gt;"",COUNTIF(A30:$A$200,"&lt;&gt;")=0),ROUND(SUMIF($A$2:A28,"&lt;&gt;",$L$2:L28),2),IF(OR(A29="",K29="",C29="",NOT(ISNUMBER($Z$6))),"",ROUND(K29*C29*$Z$6,2)))</f>
        <v/>
      </c>
      <c r="M29" s="231">
        <f>IF(OR(E29="",G29=""),"",ROUND(MAX(E29-G29,0),2))</f>
        <v/>
      </c>
      <c r="N29" s="225">
        <f>IF(AND(A29="",A28&lt;&gt;"",COUNTIF(A30:$A$200,"&lt;&gt;")=0),ROUND(SUMIF($A$2:A28,"&lt;&gt;",$N$2:N28),2),IF(OR(M29="",C29="",NOT(ISNUMBER($Z$3))),"",ROUND(M29*C29*$Z$3,2)))</f>
        <v/>
      </c>
      <c r="O29" s="231">
        <f>IF(OR(G29="",I29=""),"",ROUND(MAX(G29-I29,0),2))</f>
        <v/>
      </c>
      <c r="P29" s="225">
        <f>IF(AND(A29="",A28&lt;&gt;"",COUNTIF(A30:$A$200,"&lt;&gt;")=0),ROUND(SUMIF($A$2:A28,"&lt;&gt;",$P$2:P28),2),IF(OR(O29="",C29="",NOT(ISNUMBER($Z$4))),"",ROUND(O29*C29*$Z$4,2)))</f>
        <v/>
      </c>
      <c r="Q29" s="231">
        <f>IF(OR(I29="",K29=""),"",ROUND(MAX(I29-K29,0),2))</f>
        <v/>
      </c>
      <c r="R29" s="225">
        <f>IF(AND(A29="",A28&lt;&gt;"",COUNTIF(A30:$A$200,"&lt;&gt;")=0),ROUND(SUMIF($A$2:A28,"&lt;&gt;",$R$2:R28),2),IF(OR(Q29="",C29="",NOT(ISNUMBER($Z$5))),"",ROUND(Q29*C29*$Z$5,2)))</f>
        <v/>
      </c>
      <c r="S29" s="27" t="n"/>
      <c r="T29" s="232" t="n"/>
      <c r="U29" s="233">
        <f>IF(AND(A29="",A28&lt;&gt;"",COUNTIF(A30:$A$200,"&lt;&gt;")=0),"TOTAL",IF(A29="","",IF(AND(G29&lt;&gt;"",E29&lt;&gt;"",G29&gt;E29),"ALERTA: REM_C2&gt;REM_C1",IF(AND(I29&lt;&gt;"",G29&lt;&gt;"",I29&gt;G29),"ALERTA: REM_C3&gt;REM_C2",IF(AND(K29&lt;&gt;"",I29&lt;&gt;"",K29&gt;I29),"ALERTA: REM_C4&gt;REM_C3","OK")))))</f>
        <v/>
      </c>
      <c r="V29" s="233">
        <f>IF(A29="","",IF(B29="","",IF(OR(B29&lt;0,E29&gt;B29,G29&gt;B29,I29&gt;B29,K29&gt;B29),"ALERTA: QTD_INVALIDA","OK")))</f>
        <v/>
      </c>
      <c r="W29" s="19" t="n"/>
      <c r="X29" s="19" t="n"/>
      <c r="Y29" s="19" t="n"/>
      <c r="Z29" s="17" t="n"/>
      <c r="AA29" s="17" t="n"/>
      <c r="AB29" s="231">
        <f>IF(OR(A29="",E29=""),"",ROUND(B29-E29,2))</f>
        <v/>
      </c>
      <c r="AC29" s="225">
        <f>IF(AND(A29="",A28&lt;&gt;"",COUNTIF(A30:$A$200,"&lt;&gt;")=0),ROUND(SUMIF($A$2:A28,"&lt;&gt;",$AC$2:AC28),2),IF(OR(A29="",E29=""),"",ROUND(D29-E29*C29,2)))</f>
        <v/>
      </c>
      <c r="AD29" s="17" t="n"/>
    </row>
    <row r="30">
      <c r="A30" s="227" t="n"/>
      <c r="B30" s="228" t="n"/>
      <c r="C30" s="229" t="n"/>
      <c r="D30" s="225">
        <f>IF(AND(A30="",A29&lt;&gt;"",COUNTIF(A31:$A$200,"&lt;&gt;")=0),ROUND(SUMIF($A$2:A29,"&lt;&gt;",$D$2:D29),2),IF(OR(A30="",B30="",C30=""),"",ROUND(B30*C30,2)))</f>
        <v/>
      </c>
      <c r="E30" s="230" t="n"/>
      <c r="F30" s="225">
        <f>IF(AND(A30="",A29&lt;&gt;"",COUNTIF(A31:$A$200,"&lt;&gt;")=0),ROUND(SUMIF($A$2:A29,"&lt;&gt;",$F$2:F29),2),IF(OR(A30="",E30="",C30="",NOT(ISNUMBER($Z$3))),"",ROUND(E30*C30*$Z$3,2)))</f>
        <v/>
      </c>
      <c r="G30" s="230" t="n"/>
      <c r="H30" s="225">
        <f>IF(AND(A30="",A29&lt;&gt;"",COUNTIF(A31:$A$200,"&lt;&gt;")=0),ROUND(SUMIF($A$2:A29,"&lt;&gt;",$H$2:H29),2),IF(OR(A30="",G30="",C30="",NOT(ISNUMBER($Z$4))),"",ROUND(G30*C30*$Z$4,2)))</f>
        <v/>
      </c>
      <c r="I30" s="230" t="n"/>
      <c r="J30" s="225">
        <f>IF(AND(A30="",A29&lt;&gt;"",COUNTIF(A31:$A$200,"&lt;&gt;")=0),ROUND(SUMIF($A$2:A29,"&lt;&gt;",$J$2:J29),2),IF(OR(A30="",I30="",C30="",NOT(ISNUMBER($Z$5))),"",ROUND(I30*C30*$Z$5,2)))</f>
        <v/>
      </c>
      <c r="K30" s="230" t="n"/>
      <c r="L30" s="225">
        <f>IF(AND(A30="",A29&lt;&gt;"",COUNTIF(A31:$A$200,"&lt;&gt;")=0),ROUND(SUMIF($A$2:A29,"&lt;&gt;",$L$2:L29),2),IF(OR(A30="",K30="",C30="",NOT(ISNUMBER($Z$6))),"",ROUND(K30*C30*$Z$6,2)))</f>
        <v/>
      </c>
      <c r="M30" s="231">
        <f>IF(OR(E30="",G30=""),"",ROUND(MAX(E30-G30,0),2))</f>
        <v/>
      </c>
      <c r="N30" s="225">
        <f>IF(AND(A30="",A29&lt;&gt;"",COUNTIF(A31:$A$200,"&lt;&gt;")=0),ROUND(SUMIF($A$2:A29,"&lt;&gt;",$N$2:N29),2),IF(OR(M30="",C30="",NOT(ISNUMBER($Z$3))),"",ROUND(M30*C30*$Z$3,2)))</f>
        <v/>
      </c>
      <c r="O30" s="231">
        <f>IF(OR(G30="",I30=""),"",ROUND(MAX(G30-I30,0),2))</f>
        <v/>
      </c>
      <c r="P30" s="225">
        <f>IF(AND(A30="",A29&lt;&gt;"",COUNTIF(A31:$A$200,"&lt;&gt;")=0),ROUND(SUMIF($A$2:A29,"&lt;&gt;",$P$2:P29),2),IF(OR(O30="",C30="",NOT(ISNUMBER($Z$4))),"",ROUND(O30*C30*$Z$4,2)))</f>
        <v/>
      </c>
      <c r="Q30" s="231">
        <f>IF(OR(I30="",K30=""),"",ROUND(MAX(I30-K30,0),2))</f>
        <v/>
      </c>
      <c r="R30" s="225">
        <f>IF(AND(A30="",A29&lt;&gt;"",COUNTIF(A31:$A$200,"&lt;&gt;")=0),ROUND(SUMIF($A$2:A29,"&lt;&gt;",$R$2:R29),2),IF(OR(Q30="",C30="",NOT(ISNUMBER($Z$5))),"",ROUND(Q30*C30*$Z$5,2)))</f>
        <v/>
      </c>
      <c r="S30" s="27" t="n"/>
      <c r="T30" s="232" t="n"/>
      <c r="U30" s="233">
        <f>IF(AND(A30="",A29&lt;&gt;"",COUNTIF(A31:$A$200,"&lt;&gt;")=0),"TOTAL",IF(A30="","",IF(AND(G30&lt;&gt;"",E30&lt;&gt;"",G30&gt;E30),"ALERTA: REM_C2&gt;REM_C1",IF(AND(I30&lt;&gt;"",G30&lt;&gt;"",I30&gt;G30),"ALERTA: REM_C3&gt;REM_C2",IF(AND(K30&lt;&gt;"",I30&lt;&gt;"",K30&gt;I30),"ALERTA: REM_C4&gt;REM_C3","OK")))))</f>
        <v/>
      </c>
      <c r="V30" s="233">
        <f>IF(A30="","",IF(B30="","",IF(OR(B30&lt;0,E30&gt;B30,G30&gt;B30,I30&gt;B30,K30&gt;B30),"ALERTA: QTD_INVALIDA","OK")))</f>
        <v/>
      </c>
      <c r="W30" s="19" t="n"/>
      <c r="X30" s="19" t="n"/>
      <c r="Y30" s="19" t="n"/>
      <c r="Z30" s="17" t="n"/>
      <c r="AA30" s="17" t="n"/>
      <c r="AB30" s="231">
        <f>IF(OR(A30="",E30=""),"",ROUND(B30-E30,2))</f>
        <v/>
      </c>
      <c r="AC30" s="225">
        <f>IF(AND(A30="",A29&lt;&gt;"",COUNTIF(A31:$A$200,"&lt;&gt;")=0),ROUND(SUMIF($A$2:A29,"&lt;&gt;",$AC$2:AC29),2),IF(OR(A30="",E30=""),"",ROUND(D30-E30*C30,2)))</f>
        <v/>
      </c>
      <c r="AD30" s="17" t="n"/>
    </row>
    <row r="31">
      <c r="A31" s="227" t="n"/>
      <c r="B31" s="228" t="n"/>
      <c r="C31" s="229" t="n"/>
      <c r="D31" s="225">
        <f>IF(AND(A31="",A30&lt;&gt;"",COUNTIF(A32:$A$200,"&lt;&gt;")=0),ROUND(SUMIF($A$2:A30,"&lt;&gt;",$D$2:D30),2),IF(OR(A31="",B31="",C31=""),"",ROUND(B31*C31,2)))</f>
        <v/>
      </c>
      <c r="E31" s="230" t="n"/>
      <c r="F31" s="225">
        <f>IF(AND(A31="",A30&lt;&gt;"",COUNTIF(A32:$A$200,"&lt;&gt;")=0),ROUND(SUMIF($A$2:A30,"&lt;&gt;",$F$2:F30),2),IF(OR(A31="",E31="",C31="",NOT(ISNUMBER($Z$3))),"",ROUND(E31*C31*$Z$3,2)))</f>
        <v/>
      </c>
      <c r="G31" s="230" t="n"/>
      <c r="H31" s="225">
        <f>IF(AND(A31="",A30&lt;&gt;"",COUNTIF(A32:$A$200,"&lt;&gt;")=0),ROUND(SUMIF($A$2:A30,"&lt;&gt;",$H$2:H30),2),IF(OR(A31="",G31="",C31="",NOT(ISNUMBER($Z$4))),"",ROUND(G31*C31*$Z$4,2)))</f>
        <v/>
      </c>
      <c r="I31" s="230" t="n"/>
      <c r="J31" s="225">
        <f>IF(AND(A31="",A30&lt;&gt;"",COUNTIF(A32:$A$200,"&lt;&gt;")=0),ROUND(SUMIF($A$2:A30,"&lt;&gt;",$J$2:J30),2),IF(OR(A31="",I31="",C31="",NOT(ISNUMBER($Z$5))),"",ROUND(I31*C31*$Z$5,2)))</f>
        <v/>
      </c>
      <c r="K31" s="230" t="n"/>
      <c r="L31" s="225">
        <f>IF(AND(A31="",A30&lt;&gt;"",COUNTIF(A32:$A$200,"&lt;&gt;")=0),ROUND(SUMIF($A$2:A30,"&lt;&gt;",$L$2:L30),2),IF(OR(A31="",K31="",C31="",NOT(ISNUMBER($Z$6))),"",ROUND(K31*C31*$Z$6,2)))</f>
        <v/>
      </c>
      <c r="M31" s="231">
        <f>IF(OR(E31="",G31=""),"",ROUND(MAX(E31-G31,0),2))</f>
        <v/>
      </c>
      <c r="N31" s="225">
        <f>IF(AND(A31="",A30&lt;&gt;"",COUNTIF(A32:$A$200,"&lt;&gt;")=0),ROUND(SUMIF($A$2:A30,"&lt;&gt;",$N$2:N30),2),IF(OR(M31="",C31="",NOT(ISNUMBER($Z$3))),"",ROUND(M31*C31*$Z$3,2)))</f>
        <v/>
      </c>
      <c r="O31" s="231">
        <f>IF(OR(G31="",I31=""),"",ROUND(MAX(G31-I31,0),2))</f>
        <v/>
      </c>
      <c r="P31" s="225">
        <f>IF(AND(A31="",A30&lt;&gt;"",COUNTIF(A32:$A$200,"&lt;&gt;")=0),ROUND(SUMIF($A$2:A30,"&lt;&gt;",$P$2:P30),2),IF(OR(O31="",C31="",NOT(ISNUMBER($Z$4))),"",ROUND(O31*C31*$Z$4,2)))</f>
        <v/>
      </c>
      <c r="Q31" s="231">
        <f>IF(OR(I31="",K31=""),"",ROUND(MAX(I31-K31,0),2))</f>
        <v/>
      </c>
      <c r="R31" s="225">
        <f>IF(AND(A31="",A30&lt;&gt;"",COUNTIF(A32:$A$200,"&lt;&gt;")=0),ROUND(SUMIF($A$2:A30,"&lt;&gt;",$R$2:R30),2),IF(OR(Q31="",C31="",NOT(ISNUMBER($Z$5))),"",ROUND(Q31*C31*$Z$5,2)))</f>
        <v/>
      </c>
      <c r="S31" s="27" t="n"/>
      <c r="T31" s="232" t="n"/>
      <c r="U31" s="233">
        <f>IF(AND(A31="",A30&lt;&gt;"",COUNTIF(A32:$A$200,"&lt;&gt;")=0),"TOTAL",IF(A31="","",IF(AND(G31&lt;&gt;"",E31&lt;&gt;"",G31&gt;E31),"ALERTA: REM_C2&gt;REM_C1",IF(AND(I31&lt;&gt;"",G31&lt;&gt;"",I31&gt;G31),"ALERTA: REM_C3&gt;REM_C2",IF(AND(K31&lt;&gt;"",I31&lt;&gt;"",K31&gt;I31),"ALERTA: REM_C4&gt;REM_C3","OK")))))</f>
        <v/>
      </c>
      <c r="V31" s="233">
        <f>IF(A31="","",IF(B31="","",IF(OR(B31&lt;0,E31&gt;B31,G31&gt;B31,I31&gt;B31,K31&gt;B31),"ALERTA: QTD_INVALIDA","OK")))</f>
        <v/>
      </c>
      <c r="W31" s="19" t="n"/>
      <c r="X31" s="19" t="n"/>
      <c r="Y31" s="19" t="n"/>
      <c r="Z31" s="17" t="n"/>
      <c r="AA31" s="17" t="n"/>
      <c r="AB31" s="231">
        <f>IF(OR(A31="",E31=""),"",ROUND(B31-E31,2))</f>
        <v/>
      </c>
      <c r="AC31" s="225">
        <f>IF(AND(A31="",A30&lt;&gt;"",COUNTIF(A32:$A$200,"&lt;&gt;")=0),ROUND(SUMIF($A$2:A30,"&lt;&gt;",$AC$2:AC30),2),IF(OR(A31="",E31=""),"",ROUND(D31-E31*C31,2)))</f>
        <v/>
      </c>
      <c r="AD31" s="17" t="n"/>
    </row>
    <row r="32">
      <c r="A32" s="227" t="n"/>
      <c r="B32" s="228" t="n"/>
      <c r="C32" s="229" t="n"/>
      <c r="D32" s="225">
        <f>IF(AND(A32="",A31&lt;&gt;"",COUNTIF(A33:$A$200,"&lt;&gt;")=0),ROUND(SUMIF($A$2:A31,"&lt;&gt;",$D$2:D31),2),IF(OR(A32="",B32="",C32=""),"",ROUND(B32*C32,2)))</f>
        <v/>
      </c>
      <c r="E32" s="230" t="n"/>
      <c r="F32" s="225">
        <f>IF(AND(A32="",A31&lt;&gt;"",COUNTIF(A33:$A$200,"&lt;&gt;")=0),ROUND(SUMIF($A$2:A31,"&lt;&gt;",$F$2:F31),2),IF(OR(A32="",E32="",C32="",NOT(ISNUMBER($Z$3))),"",ROUND(E32*C32*$Z$3,2)))</f>
        <v/>
      </c>
      <c r="G32" s="230" t="n"/>
      <c r="H32" s="225">
        <f>IF(AND(A32="",A31&lt;&gt;"",COUNTIF(A33:$A$200,"&lt;&gt;")=0),ROUND(SUMIF($A$2:A31,"&lt;&gt;",$H$2:H31),2),IF(OR(A32="",G32="",C32="",NOT(ISNUMBER($Z$4))),"",ROUND(G32*C32*$Z$4,2)))</f>
        <v/>
      </c>
      <c r="I32" s="230" t="n"/>
      <c r="J32" s="225">
        <f>IF(AND(A32="",A31&lt;&gt;"",COUNTIF(A33:$A$200,"&lt;&gt;")=0),ROUND(SUMIF($A$2:A31,"&lt;&gt;",$J$2:J31),2),IF(OR(A32="",I32="",C32="",NOT(ISNUMBER($Z$5))),"",ROUND(I32*C32*$Z$5,2)))</f>
        <v/>
      </c>
      <c r="K32" s="230" t="n"/>
      <c r="L32" s="225">
        <f>IF(AND(A32="",A31&lt;&gt;"",COUNTIF(A33:$A$200,"&lt;&gt;")=0),ROUND(SUMIF($A$2:A31,"&lt;&gt;",$L$2:L31),2),IF(OR(A32="",K32="",C32="",NOT(ISNUMBER($Z$6))),"",ROUND(K32*C32*$Z$6,2)))</f>
        <v/>
      </c>
      <c r="M32" s="231">
        <f>IF(OR(E32="",G32=""),"",ROUND(MAX(E32-G32,0),2))</f>
        <v/>
      </c>
      <c r="N32" s="225">
        <f>IF(AND(A32="",A31&lt;&gt;"",COUNTIF(A33:$A$200,"&lt;&gt;")=0),ROUND(SUMIF($A$2:A31,"&lt;&gt;",$N$2:N31),2),IF(OR(M32="",C32="",NOT(ISNUMBER($Z$3))),"",ROUND(M32*C32*$Z$3,2)))</f>
        <v/>
      </c>
      <c r="O32" s="231">
        <f>IF(OR(G32="",I32=""),"",ROUND(MAX(G32-I32,0),2))</f>
        <v/>
      </c>
      <c r="P32" s="225">
        <f>IF(AND(A32="",A31&lt;&gt;"",COUNTIF(A33:$A$200,"&lt;&gt;")=0),ROUND(SUMIF($A$2:A31,"&lt;&gt;",$P$2:P31),2),IF(OR(O32="",C32="",NOT(ISNUMBER($Z$4))),"",ROUND(O32*C32*$Z$4,2)))</f>
        <v/>
      </c>
      <c r="Q32" s="231">
        <f>IF(OR(I32="",K32=""),"",ROUND(MAX(I32-K32,0),2))</f>
        <v/>
      </c>
      <c r="R32" s="225">
        <f>IF(AND(A32="",A31&lt;&gt;"",COUNTIF(A33:$A$200,"&lt;&gt;")=0),ROUND(SUMIF($A$2:A31,"&lt;&gt;",$R$2:R31),2),IF(OR(Q32="",C32="",NOT(ISNUMBER($Z$5))),"",ROUND(Q32*C32*$Z$5,2)))</f>
        <v/>
      </c>
      <c r="S32" s="27" t="n"/>
      <c r="T32" s="232" t="n"/>
      <c r="U32" s="233">
        <f>IF(AND(A32="",A31&lt;&gt;"",COUNTIF(A33:$A$200,"&lt;&gt;")=0),"TOTAL",IF(A32="","",IF(AND(G32&lt;&gt;"",E32&lt;&gt;"",G32&gt;E32),"ALERTA: REM_C2&gt;REM_C1",IF(AND(I32&lt;&gt;"",G32&lt;&gt;"",I32&gt;G32),"ALERTA: REM_C3&gt;REM_C2",IF(AND(K32&lt;&gt;"",I32&lt;&gt;"",K32&gt;I32),"ALERTA: REM_C4&gt;REM_C3","OK")))))</f>
        <v/>
      </c>
      <c r="V32" s="233">
        <f>IF(A32="","",IF(B32="","",IF(OR(B32&lt;0,E32&gt;B32,G32&gt;B32,I32&gt;B32,K32&gt;B32),"ALERTA: QTD_INVALIDA","OK")))</f>
        <v/>
      </c>
      <c r="W32" s="19" t="n"/>
      <c r="X32" s="19" t="n"/>
      <c r="Y32" s="19" t="n"/>
      <c r="Z32" s="17" t="n"/>
      <c r="AA32" s="17" t="n"/>
      <c r="AB32" s="231">
        <f>IF(OR(A32="",E32=""),"",ROUND(B32-E32,2))</f>
        <v/>
      </c>
      <c r="AC32" s="225">
        <f>IF(AND(A32="",A31&lt;&gt;"",COUNTIF(A33:$A$200,"&lt;&gt;")=0),ROUND(SUMIF($A$2:A31,"&lt;&gt;",$AC$2:AC31),2),IF(OR(A32="",E32=""),"",ROUND(D32-E32*C32,2)))</f>
        <v/>
      </c>
      <c r="AD32" s="17" t="n"/>
    </row>
    <row r="33">
      <c r="A33" s="227" t="n"/>
      <c r="B33" s="228" t="n"/>
      <c r="C33" s="229" t="n"/>
      <c r="D33" s="225">
        <f>IF(AND(A33="",A32&lt;&gt;"",COUNTIF(A34:$A$200,"&lt;&gt;")=0),ROUND(SUMIF($A$2:A32,"&lt;&gt;",$D$2:D32),2),IF(OR(A33="",B33="",C33=""),"",ROUND(B33*C33,2)))</f>
        <v/>
      </c>
      <c r="E33" s="230" t="n"/>
      <c r="F33" s="225">
        <f>IF(AND(A33="",A32&lt;&gt;"",COUNTIF(A34:$A$200,"&lt;&gt;")=0),ROUND(SUMIF($A$2:A32,"&lt;&gt;",$F$2:F32),2),IF(OR(A33="",E33="",C33="",NOT(ISNUMBER($Z$3))),"",ROUND(E33*C33*$Z$3,2)))</f>
        <v/>
      </c>
      <c r="G33" s="230" t="n"/>
      <c r="H33" s="225">
        <f>IF(AND(A33="",A32&lt;&gt;"",COUNTIF(A34:$A$200,"&lt;&gt;")=0),ROUND(SUMIF($A$2:A32,"&lt;&gt;",$H$2:H32),2),IF(OR(A33="",G33="",C33="",NOT(ISNUMBER($Z$4))),"",ROUND(G33*C33*$Z$4,2)))</f>
        <v/>
      </c>
      <c r="I33" s="230" t="n"/>
      <c r="J33" s="225">
        <f>IF(AND(A33="",A32&lt;&gt;"",COUNTIF(A34:$A$200,"&lt;&gt;")=0),ROUND(SUMIF($A$2:A32,"&lt;&gt;",$J$2:J32),2),IF(OR(A33="",I33="",C33="",NOT(ISNUMBER($Z$5))),"",ROUND(I33*C33*$Z$5,2)))</f>
        <v/>
      </c>
      <c r="K33" s="230" t="n"/>
      <c r="L33" s="225">
        <f>IF(AND(A33="",A32&lt;&gt;"",COUNTIF(A34:$A$200,"&lt;&gt;")=0),ROUND(SUMIF($A$2:A32,"&lt;&gt;",$L$2:L32),2),IF(OR(A33="",K33="",C33="",NOT(ISNUMBER($Z$6))),"",ROUND(K33*C33*$Z$6,2)))</f>
        <v/>
      </c>
      <c r="M33" s="231">
        <f>IF(OR(E33="",G33=""),"",ROUND(MAX(E33-G33,0),2))</f>
        <v/>
      </c>
      <c r="N33" s="225">
        <f>IF(AND(A33="",A32&lt;&gt;"",COUNTIF(A34:$A$200,"&lt;&gt;")=0),ROUND(SUMIF($A$2:A32,"&lt;&gt;",$N$2:N32),2),IF(OR(M33="",C33="",NOT(ISNUMBER($Z$3))),"",ROUND(M33*C33*$Z$3,2)))</f>
        <v/>
      </c>
      <c r="O33" s="231">
        <f>IF(OR(G33="",I33=""),"",ROUND(MAX(G33-I33,0),2))</f>
        <v/>
      </c>
      <c r="P33" s="225">
        <f>IF(AND(A33="",A32&lt;&gt;"",COUNTIF(A34:$A$200,"&lt;&gt;")=0),ROUND(SUMIF($A$2:A32,"&lt;&gt;",$P$2:P32),2),IF(OR(O33="",C33="",NOT(ISNUMBER($Z$4))),"",ROUND(O33*C33*$Z$4,2)))</f>
        <v/>
      </c>
      <c r="Q33" s="231">
        <f>IF(OR(I33="",K33=""),"",ROUND(MAX(I33-K33,0),2))</f>
        <v/>
      </c>
      <c r="R33" s="225">
        <f>IF(AND(A33="",A32&lt;&gt;"",COUNTIF(A34:$A$200,"&lt;&gt;")=0),ROUND(SUMIF($A$2:A32,"&lt;&gt;",$R$2:R32),2),IF(OR(Q33="",C33="",NOT(ISNUMBER($Z$5))),"",ROUND(Q33*C33*$Z$5,2)))</f>
        <v/>
      </c>
      <c r="S33" s="27" t="n"/>
      <c r="T33" s="232" t="n"/>
      <c r="U33" s="233">
        <f>IF(AND(A33="",A32&lt;&gt;"",COUNTIF(A34:$A$200,"&lt;&gt;")=0),"TOTAL",IF(A33="","",IF(AND(G33&lt;&gt;"",E33&lt;&gt;"",G33&gt;E33),"ALERTA: REM_C2&gt;REM_C1",IF(AND(I33&lt;&gt;"",G33&lt;&gt;"",I33&gt;G33),"ALERTA: REM_C3&gt;REM_C2",IF(AND(K33&lt;&gt;"",I33&lt;&gt;"",K33&gt;I33),"ALERTA: REM_C4&gt;REM_C3","OK")))))</f>
        <v/>
      </c>
      <c r="V33" s="233">
        <f>IF(A33="","",IF(B33="","",IF(OR(B33&lt;0,E33&gt;B33,G33&gt;B33,I33&gt;B33,K33&gt;B33),"ALERTA: QTD_INVALIDA","OK")))</f>
        <v/>
      </c>
      <c r="W33" s="19" t="n"/>
      <c r="X33" s="19" t="n"/>
      <c r="Y33" s="19" t="n"/>
      <c r="Z33" s="17" t="n"/>
      <c r="AA33" s="17" t="n"/>
      <c r="AB33" s="231">
        <f>IF(OR(A33="",E33=""),"",ROUND(B33-E33,2))</f>
        <v/>
      </c>
      <c r="AC33" s="225">
        <f>IF(AND(A33="",A32&lt;&gt;"",COUNTIF(A34:$A$200,"&lt;&gt;")=0),ROUND(SUMIF($A$2:A32,"&lt;&gt;",$AC$2:AC32),2),IF(OR(A33="",E33=""),"",ROUND(D33-E33*C33,2)))</f>
        <v/>
      </c>
      <c r="AD33" s="17" t="n"/>
    </row>
    <row r="34">
      <c r="A34" s="227" t="n"/>
      <c r="B34" s="228" t="n"/>
      <c r="C34" s="229" t="n"/>
      <c r="D34" s="225">
        <f>IF(AND(A34="",A33&lt;&gt;"",COUNTIF(A35:$A$200,"&lt;&gt;")=0),ROUND(SUMIF($A$2:A33,"&lt;&gt;",$D$2:D33),2),IF(OR(A34="",B34="",C34=""),"",ROUND(B34*C34,2)))</f>
        <v/>
      </c>
      <c r="E34" s="230" t="n"/>
      <c r="F34" s="225">
        <f>IF(AND(A34="",A33&lt;&gt;"",COUNTIF(A35:$A$200,"&lt;&gt;")=0),ROUND(SUMIF($A$2:A33,"&lt;&gt;",$F$2:F33),2),IF(OR(A34="",E34="",C34="",NOT(ISNUMBER($Z$3))),"",ROUND(E34*C34*$Z$3,2)))</f>
        <v/>
      </c>
      <c r="G34" s="230" t="n"/>
      <c r="H34" s="225">
        <f>IF(AND(A34="",A33&lt;&gt;"",COUNTIF(A35:$A$200,"&lt;&gt;")=0),ROUND(SUMIF($A$2:A33,"&lt;&gt;",$H$2:H33),2),IF(OR(A34="",G34="",C34="",NOT(ISNUMBER($Z$4))),"",ROUND(G34*C34*$Z$4,2)))</f>
        <v/>
      </c>
      <c r="I34" s="230" t="n"/>
      <c r="J34" s="225">
        <f>IF(AND(A34="",A33&lt;&gt;"",COUNTIF(A35:$A$200,"&lt;&gt;")=0),ROUND(SUMIF($A$2:A33,"&lt;&gt;",$J$2:J33),2),IF(OR(A34="",I34="",C34="",NOT(ISNUMBER($Z$5))),"",ROUND(I34*C34*$Z$5,2)))</f>
        <v/>
      </c>
      <c r="K34" s="230" t="n"/>
      <c r="L34" s="225">
        <f>IF(AND(A34="",A33&lt;&gt;"",COUNTIF(A35:$A$200,"&lt;&gt;")=0),ROUND(SUMIF($A$2:A33,"&lt;&gt;",$L$2:L33),2),IF(OR(A34="",K34="",C34="",NOT(ISNUMBER($Z$6))),"",ROUND(K34*C34*$Z$6,2)))</f>
        <v/>
      </c>
      <c r="M34" s="231">
        <f>IF(OR(E34="",G34=""),"",ROUND(MAX(E34-G34,0),2))</f>
        <v/>
      </c>
      <c r="N34" s="225">
        <f>IF(AND(A34="",A33&lt;&gt;"",COUNTIF(A35:$A$200,"&lt;&gt;")=0),ROUND(SUMIF($A$2:A33,"&lt;&gt;",$N$2:N33),2),IF(OR(M34="",C34="",NOT(ISNUMBER($Z$3))),"",ROUND(M34*C34*$Z$3,2)))</f>
        <v/>
      </c>
      <c r="O34" s="231">
        <f>IF(OR(G34="",I34=""),"",ROUND(MAX(G34-I34,0),2))</f>
        <v/>
      </c>
      <c r="P34" s="225">
        <f>IF(AND(A34="",A33&lt;&gt;"",COUNTIF(A35:$A$200,"&lt;&gt;")=0),ROUND(SUMIF($A$2:A33,"&lt;&gt;",$P$2:P33),2),IF(OR(O34="",C34="",NOT(ISNUMBER($Z$4))),"",ROUND(O34*C34*$Z$4,2)))</f>
        <v/>
      </c>
      <c r="Q34" s="231">
        <f>IF(OR(I34="",K34=""),"",ROUND(MAX(I34-K34,0),2))</f>
        <v/>
      </c>
      <c r="R34" s="225">
        <f>IF(AND(A34="",A33&lt;&gt;"",COUNTIF(A35:$A$200,"&lt;&gt;")=0),ROUND(SUMIF($A$2:A33,"&lt;&gt;",$R$2:R33),2),IF(OR(Q34="",C34="",NOT(ISNUMBER($Z$5))),"",ROUND(Q34*C34*$Z$5,2)))</f>
        <v/>
      </c>
      <c r="S34" s="27" t="n"/>
      <c r="T34" s="232" t="n"/>
      <c r="U34" s="233">
        <f>IF(AND(A34="",A33&lt;&gt;"",COUNTIF(A35:$A$200,"&lt;&gt;")=0),"TOTAL",IF(A34="","",IF(AND(G34&lt;&gt;"",E34&lt;&gt;"",G34&gt;E34),"ALERTA: REM_C2&gt;REM_C1",IF(AND(I34&lt;&gt;"",G34&lt;&gt;"",I34&gt;G34),"ALERTA: REM_C3&gt;REM_C2",IF(AND(K34&lt;&gt;"",I34&lt;&gt;"",K34&gt;I34),"ALERTA: REM_C4&gt;REM_C3","OK")))))</f>
        <v/>
      </c>
      <c r="V34" s="233">
        <f>IF(A34="","",IF(B34="","",IF(OR(B34&lt;0,E34&gt;B34,G34&gt;B34,I34&gt;B34,K34&gt;B34),"ALERTA: QTD_INVALIDA","OK")))</f>
        <v/>
      </c>
      <c r="W34" s="19" t="n"/>
      <c r="X34" s="19" t="n"/>
      <c r="Y34" s="19" t="n"/>
      <c r="Z34" s="17" t="n"/>
      <c r="AA34" s="17" t="n"/>
      <c r="AB34" s="231">
        <f>IF(OR(A34="",E34=""),"",ROUND(B34-E34,2))</f>
        <v/>
      </c>
      <c r="AC34" s="225">
        <f>IF(AND(A34="",A33&lt;&gt;"",COUNTIF(A35:$A$200,"&lt;&gt;")=0),ROUND(SUMIF($A$2:A33,"&lt;&gt;",$AC$2:AC33),2),IF(OR(A34="",E34=""),"",ROUND(D34-E34*C34,2)))</f>
        <v/>
      </c>
      <c r="AD34" s="17" t="n"/>
    </row>
    <row r="35">
      <c r="A35" s="227" t="n"/>
      <c r="B35" s="228" t="n"/>
      <c r="C35" s="229" t="n"/>
      <c r="D35" s="225">
        <f>IF(AND(A35="",A34&lt;&gt;"",COUNTIF(A36:$A$200,"&lt;&gt;")=0),ROUND(SUMIF($A$2:A34,"&lt;&gt;",$D$2:D34),2),IF(OR(A35="",B35="",C35=""),"",ROUND(B35*C35,2)))</f>
        <v/>
      </c>
      <c r="E35" s="230" t="n"/>
      <c r="F35" s="225">
        <f>IF(AND(A35="",A34&lt;&gt;"",COUNTIF(A36:$A$200,"&lt;&gt;")=0),ROUND(SUMIF($A$2:A34,"&lt;&gt;",$F$2:F34),2),IF(OR(A35="",E35="",C35="",NOT(ISNUMBER($Z$3))),"",ROUND(E35*C35*$Z$3,2)))</f>
        <v/>
      </c>
      <c r="G35" s="230" t="n"/>
      <c r="H35" s="225">
        <f>IF(AND(A35="",A34&lt;&gt;"",COUNTIF(A36:$A$200,"&lt;&gt;")=0),ROUND(SUMIF($A$2:A34,"&lt;&gt;",$H$2:H34),2),IF(OR(A35="",G35="",C35="",NOT(ISNUMBER($Z$4))),"",ROUND(G35*C35*$Z$4,2)))</f>
        <v/>
      </c>
      <c r="I35" s="230" t="n"/>
      <c r="J35" s="225">
        <f>IF(AND(A35="",A34&lt;&gt;"",COUNTIF(A36:$A$200,"&lt;&gt;")=0),ROUND(SUMIF($A$2:A34,"&lt;&gt;",$J$2:J34),2),IF(OR(A35="",I35="",C35="",NOT(ISNUMBER($Z$5))),"",ROUND(I35*C35*$Z$5,2)))</f>
        <v/>
      </c>
      <c r="K35" s="230" t="n"/>
      <c r="L35" s="225">
        <f>IF(AND(A35="",A34&lt;&gt;"",COUNTIF(A36:$A$200,"&lt;&gt;")=0),ROUND(SUMIF($A$2:A34,"&lt;&gt;",$L$2:L34),2),IF(OR(A35="",K35="",C35="",NOT(ISNUMBER($Z$6))),"",ROUND(K35*C35*$Z$6,2)))</f>
        <v/>
      </c>
      <c r="M35" s="231">
        <f>IF(OR(E35="",G35=""),"",ROUND(MAX(E35-G35,0),2))</f>
        <v/>
      </c>
      <c r="N35" s="225">
        <f>IF(AND(A35="",A34&lt;&gt;"",COUNTIF(A36:$A$200,"&lt;&gt;")=0),ROUND(SUMIF($A$2:A34,"&lt;&gt;",$N$2:N34),2),IF(OR(M35="",C35="",NOT(ISNUMBER($Z$3))),"",ROUND(M35*C35*$Z$3,2)))</f>
        <v/>
      </c>
      <c r="O35" s="231">
        <f>IF(OR(G35="",I35=""),"",ROUND(MAX(G35-I35,0),2))</f>
        <v/>
      </c>
      <c r="P35" s="225">
        <f>IF(AND(A35="",A34&lt;&gt;"",COUNTIF(A36:$A$200,"&lt;&gt;")=0),ROUND(SUMIF($A$2:A34,"&lt;&gt;",$P$2:P34),2),IF(OR(O35="",C35="",NOT(ISNUMBER($Z$4))),"",ROUND(O35*C35*$Z$4,2)))</f>
        <v/>
      </c>
      <c r="Q35" s="231">
        <f>IF(OR(I35="",K35=""),"",ROUND(MAX(I35-K35,0),2))</f>
        <v/>
      </c>
      <c r="R35" s="225">
        <f>IF(AND(A35="",A34&lt;&gt;"",COUNTIF(A36:$A$200,"&lt;&gt;")=0),ROUND(SUMIF($A$2:A34,"&lt;&gt;",$R$2:R34),2),IF(OR(Q35="",C35="",NOT(ISNUMBER($Z$5))),"",ROUND(Q35*C35*$Z$5,2)))</f>
        <v/>
      </c>
      <c r="S35" s="27" t="n"/>
      <c r="T35" s="232" t="n"/>
      <c r="U35" s="233">
        <f>IF(AND(A35="",A34&lt;&gt;"",COUNTIF(A36:$A$200,"&lt;&gt;")=0),"TOTAL",IF(A35="","",IF(AND(G35&lt;&gt;"",E35&lt;&gt;"",G35&gt;E35),"ALERTA: REM_C2&gt;REM_C1",IF(AND(I35&lt;&gt;"",G35&lt;&gt;"",I35&gt;G35),"ALERTA: REM_C3&gt;REM_C2",IF(AND(K35&lt;&gt;"",I35&lt;&gt;"",K35&gt;I35),"ALERTA: REM_C4&gt;REM_C3","OK")))))</f>
        <v/>
      </c>
      <c r="V35" s="233">
        <f>IF(A35="","",IF(B35="","",IF(OR(B35&lt;0,E35&gt;B35,G35&gt;B35,I35&gt;B35,K35&gt;B35),"ALERTA: QTD_INVALIDA","OK")))</f>
        <v/>
      </c>
      <c r="W35" s="19" t="n"/>
      <c r="X35" s="19" t="n"/>
      <c r="Y35" s="19" t="n"/>
      <c r="Z35" s="17" t="n"/>
      <c r="AA35" s="17" t="n"/>
      <c r="AB35" s="231">
        <f>IF(OR(A35="",E35=""),"",ROUND(B35-E35,2))</f>
        <v/>
      </c>
      <c r="AC35" s="225">
        <f>IF(AND(A35="",A34&lt;&gt;"",COUNTIF(A36:$A$200,"&lt;&gt;")=0),ROUND(SUMIF($A$2:A34,"&lt;&gt;",$AC$2:AC34),2),IF(OR(A35="",E35=""),"",ROUND(D35-E35*C35,2)))</f>
        <v/>
      </c>
      <c r="AD35" s="17" t="n"/>
    </row>
    <row r="36">
      <c r="A36" s="227" t="n"/>
      <c r="B36" s="228" t="n"/>
      <c r="C36" s="229" t="n"/>
      <c r="D36" s="225">
        <f>IF(AND(A36="",A35&lt;&gt;"",COUNTIF(A37:$A$200,"&lt;&gt;")=0),ROUND(SUMIF($A$2:A35,"&lt;&gt;",$D$2:D35),2),IF(OR(A36="",B36="",C36=""),"",ROUND(B36*C36,2)))</f>
        <v/>
      </c>
      <c r="E36" s="230" t="n"/>
      <c r="F36" s="225">
        <f>IF(AND(A36="",A35&lt;&gt;"",COUNTIF(A37:$A$200,"&lt;&gt;")=0),ROUND(SUMIF($A$2:A35,"&lt;&gt;",$F$2:F35),2),IF(OR(A36="",E36="",C36="",NOT(ISNUMBER($Z$3))),"",ROUND(E36*C36*$Z$3,2)))</f>
        <v/>
      </c>
      <c r="G36" s="230" t="n"/>
      <c r="H36" s="225">
        <f>IF(AND(A36="",A35&lt;&gt;"",COUNTIF(A37:$A$200,"&lt;&gt;")=0),ROUND(SUMIF($A$2:A35,"&lt;&gt;",$H$2:H35),2),IF(OR(A36="",G36="",C36="",NOT(ISNUMBER($Z$4))),"",ROUND(G36*C36*$Z$4,2)))</f>
        <v/>
      </c>
      <c r="I36" s="230" t="n"/>
      <c r="J36" s="225">
        <f>IF(AND(A36="",A35&lt;&gt;"",COUNTIF(A37:$A$200,"&lt;&gt;")=0),ROUND(SUMIF($A$2:A35,"&lt;&gt;",$J$2:J35),2),IF(OR(A36="",I36="",C36="",NOT(ISNUMBER($Z$5))),"",ROUND(I36*C36*$Z$5,2)))</f>
        <v/>
      </c>
      <c r="K36" s="230" t="n"/>
      <c r="L36" s="225">
        <f>IF(AND(A36="",A35&lt;&gt;"",COUNTIF(A37:$A$200,"&lt;&gt;")=0),ROUND(SUMIF($A$2:A35,"&lt;&gt;",$L$2:L35),2),IF(OR(A36="",K36="",C36="",NOT(ISNUMBER($Z$6))),"",ROUND(K36*C36*$Z$6,2)))</f>
        <v/>
      </c>
      <c r="M36" s="231">
        <f>IF(OR(E36="",G36=""),"",ROUND(MAX(E36-G36,0),2))</f>
        <v/>
      </c>
      <c r="N36" s="225">
        <f>IF(AND(A36="",A35&lt;&gt;"",COUNTIF(A37:$A$200,"&lt;&gt;")=0),ROUND(SUMIF($A$2:A35,"&lt;&gt;",$N$2:N35),2),IF(OR(M36="",C36="",NOT(ISNUMBER($Z$3))),"",ROUND(M36*C36*$Z$3,2)))</f>
        <v/>
      </c>
      <c r="O36" s="231">
        <f>IF(OR(G36="",I36=""),"",ROUND(MAX(G36-I36,0),2))</f>
        <v/>
      </c>
      <c r="P36" s="225">
        <f>IF(AND(A36="",A35&lt;&gt;"",COUNTIF(A37:$A$200,"&lt;&gt;")=0),ROUND(SUMIF($A$2:A35,"&lt;&gt;",$P$2:P35),2),IF(OR(O36="",C36="",NOT(ISNUMBER($Z$4))),"",ROUND(O36*C36*$Z$4,2)))</f>
        <v/>
      </c>
      <c r="Q36" s="231">
        <f>IF(OR(I36="",K36=""),"",ROUND(MAX(I36-K36,0),2))</f>
        <v/>
      </c>
      <c r="R36" s="225">
        <f>IF(AND(A36="",A35&lt;&gt;"",COUNTIF(A37:$A$200,"&lt;&gt;")=0),ROUND(SUMIF($A$2:A35,"&lt;&gt;",$R$2:R35),2),IF(OR(Q36="",C36="",NOT(ISNUMBER($Z$5))),"",ROUND(Q36*C36*$Z$5,2)))</f>
        <v/>
      </c>
      <c r="S36" s="27" t="n"/>
      <c r="T36" s="232" t="n"/>
      <c r="U36" s="233">
        <f>IF(AND(A36="",A35&lt;&gt;"",COUNTIF(A37:$A$200,"&lt;&gt;")=0),"TOTAL",IF(A36="","",IF(AND(G36&lt;&gt;"",E36&lt;&gt;"",G36&gt;E36),"ALERTA: REM_C2&gt;REM_C1",IF(AND(I36&lt;&gt;"",G36&lt;&gt;"",I36&gt;G36),"ALERTA: REM_C3&gt;REM_C2",IF(AND(K36&lt;&gt;"",I36&lt;&gt;"",K36&gt;I36),"ALERTA: REM_C4&gt;REM_C3","OK")))))</f>
        <v/>
      </c>
      <c r="V36" s="233">
        <f>IF(A36="","",IF(B36="","",IF(OR(B36&lt;0,E36&gt;B36,G36&gt;B36,I36&gt;B36,K36&gt;B36),"ALERTA: QTD_INVALIDA","OK")))</f>
        <v/>
      </c>
      <c r="W36" s="19" t="n"/>
      <c r="X36" s="19" t="n"/>
      <c r="Y36" s="19" t="n"/>
      <c r="Z36" s="17" t="n"/>
      <c r="AA36" s="17" t="n"/>
      <c r="AB36" s="231">
        <f>IF(OR(A36="",E36=""),"",ROUND(B36-E36,2))</f>
        <v/>
      </c>
      <c r="AC36" s="225">
        <f>IF(AND(A36="",A35&lt;&gt;"",COUNTIF(A37:$A$200,"&lt;&gt;")=0),ROUND(SUMIF($A$2:A35,"&lt;&gt;",$AC$2:AC35),2),IF(OR(A36="",E36=""),"",ROUND(D36-E36*C36,2)))</f>
        <v/>
      </c>
      <c r="AD36" s="17" t="n"/>
    </row>
    <row r="37">
      <c r="A37" s="227" t="n"/>
      <c r="B37" s="228" t="n"/>
      <c r="C37" s="229" t="n"/>
      <c r="D37" s="225">
        <f>IF(AND(A37="",A36&lt;&gt;"",COUNTIF(A38:$A$200,"&lt;&gt;")=0),ROUND(SUMIF($A$2:A36,"&lt;&gt;",$D$2:D36),2),IF(OR(A37="",B37="",C37=""),"",ROUND(B37*C37,2)))</f>
        <v/>
      </c>
      <c r="E37" s="230" t="n"/>
      <c r="F37" s="225">
        <f>IF(AND(A37="",A36&lt;&gt;"",COUNTIF(A38:$A$200,"&lt;&gt;")=0),ROUND(SUMIF($A$2:A36,"&lt;&gt;",$F$2:F36),2),IF(OR(A37="",E37="",C37="",NOT(ISNUMBER($Z$3))),"",ROUND(E37*C37*$Z$3,2)))</f>
        <v/>
      </c>
      <c r="G37" s="230" t="n"/>
      <c r="H37" s="225">
        <f>IF(AND(A37="",A36&lt;&gt;"",COUNTIF(A38:$A$200,"&lt;&gt;")=0),ROUND(SUMIF($A$2:A36,"&lt;&gt;",$H$2:H36),2),IF(OR(A37="",G37="",C37="",NOT(ISNUMBER($Z$4))),"",ROUND(G37*C37*$Z$4,2)))</f>
        <v/>
      </c>
      <c r="I37" s="230" t="n"/>
      <c r="J37" s="225">
        <f>IF(AND(A37="",A36&lt;&gt;"",COUNTIF(A38:$A$200,"&lt;&gt;")=0),ROUND(SUMIF($A$2:A36,"&lt;&gt;",$J$2:J36),2),IF(OR(A37="",I37="",C37="",NOT(ISNUMBER($Z$5))),"",ROUND(I37*C37*$Z$5,2)))</f>
        <v/>
      </c>
      <c r="K37" s="230" t="n"/>
      <c r="L37" s="225">
        <f>IF(AND(A37="",A36&lt;&gt;"",COUNTIF(A38:$A$200,"&lt;&gt;")=0),ROUND(SUMIF($A$2:A36,"&lt;&gt;",$L$2:L36),2),IF(OR(A37="",K37="",C37="",NOT(ISNUMBER($Z$6))),"",ROUND(K37*C37*$Z$6,2)))</f>
        <v/>
      </c>
      <c r="M37" s="231">
        <f>IF(OR(E37="",G37=""),"",ROUND(MAX(E37-G37,0),2))</f>
        <v/>
      </c>
      <c r="N37" s="225">
        <f>IF(AND(A37="",A36&lt;&gt;"",COUNTIF(A38:$A$200,"&lt;&gt;")=0),ROUND(SUMIF($A$2:A36,"&lt;&gt;",$N$2:N36),2),IF(OR(M37="",C37="",NOT(ISNUMBER($Z$3))),"",ROUND(M37*C37*$Z$3,2)))</f>
        <v/>
      </c>
      <c r="O37" s="231">
        <f>IF(OR(G37="",I37=""),"",ROUND(MAX(G37-I37,0),2))</f>
        <v/>
      </c>
      <c r="P37" s="225">
        <f>IF(AND(A37="",A36&lt;&gt;"",COUNTIF(A38:$A$200,"&lt;&gt;")=0),ROUND(SUMIF($A$2:A36,"&lt;&gt;",$P$2:P36),2),IF(OR(O37="",C37="",NOT(ISNUMBER($Z$4))),"",ROUND(O37*C37*$Z$4,2)))</f>
        <v/>
      </c>
      <c r="Q37" s="231">
        <f>IF(OR(I37="",K37=""),"",ROUND(MAX(I37-K37,0),2))</f>
        <v/>
      </c>
      <c r="R37" s="225">
        <f>IF(AND(A37="",A36&lt;&gt;"",COUNTIF(A38:$A$200,"&lt;&gt;")=0),ROUND(SUMIF($A$2:A36,"&lt;&gt;",$R$2:R36),2),IF(OR(Q37="",C37="",NOT(ISNUMBER($Z$5))),"",ROUND(Q37*C37*$Z$5,2)))</f>
        <v/>
      </c>
      <c r="S37" s="27" t="n"/>
      <c r="T37" s="232" t="n"/>
      <c r="U37" s="233">
        <f>IF(AND(A37="",A36&lt;&gt;"",COUNTIF(A38:$A$200,"&lt;&gt;")=0),"TOTAL",IF(A37="","",IF(AND(G37&lt;&gt;"",E37&lt;&gt;"",G37&gt;E37),"ALERTA: REM_C2&gt;REM_C1",IF(AND(I37&lt;&gt;"",G37&lt;&gt;"",I37&gt;G37),"ALERTA: REM_C3&gt;REM_C2",IF(AND(K37&lt;&gt;"",I37&lt;&gt;"",K37&gt;I37),"ALERTA: REM_C4&gt;REM_C3","OK")))))</f>
        <v/>
      </c>
      <c r="V37" s="233">
        <f>IF(A37="","",IF(B37="","",IF(OR(B37&lt;0,E37&gt;B37,G37&gt;B37,I37&gt;B37,K37&gt;B37),"ALERTA: QTD_INVALIDA","OK")))</f>
        <v/>
      </c>
      <c r="W37" s="19" t="n"/>
      <c r="X37" s="19" t="n"/>
      <c r="Y37" s="19" t="n"/>
      <c r="Z37" s="17" t="n"/>
      <c r="AA37" s="17" t="n"/>
      <c r="AB37" s="231">
        <f>IF(OR(A37="",E37=""),"",ROUND(B37-E37,2))</f>
        <v/>
      </c>
      <c r="AC37" s="225">
        <f>IF(AND(A37="",A36&lt;&gt;"",COUNTIF(A38:$A$200,"&lt;&gt;")=0),ROUND(SUMIF($A$2:A36,"&lt;&gt;",$AC$2:AC36),2),IF(OR(A37="",E37=""),"",ROUND(D37-E37*C37,2)))</f>
        <v/>
      </c>
      <c r="AD37" s="17" t="n"/>
    </row>
    <row r="38">
      <c r="A38" s="227" t="n"/>
      <c r="B38" s="228" t="n"/>
      <c r="C38" s="229" t="n"/>
      <c r="D38" s="225">
        <f>IF(AND(A38="",A37&lt;&gt;"",COUNTIF(A39:$A$200,"&lt;&gt;")=0),ROUND(SUMIF($A$2:A37,"&lt;&gt;",$D$2:D37),2),IF(OR(A38="",B38="",C38=""),"",ROUND(B38*C38,2)))</f>
        <v/>
      </c>
      <c r="E38" s="230" t="n"/>
      <c r="F38" s="225">
        <f>IF(AND(A38="",A37&lt;&gt;"",COUNTIF(A39:$A$200,"&lt;&gt;")=0),ROUND(SUMIF($A$2:A37,"&lt;&gt;",$F$2:F37),2),IF(OR(A38="",E38="",C38="",NOT(ISNUMBER($Z$3))),"",ROUND(E38*C38*$Z$3,2)))</f>
        <v/>
      </c>
      <c r="G38" s="230" t="n"/>
      <c r="H38" s="225">
        <f>IF(AND(A38="",A37&lt;&gt;"",COUNTIF(A39:$A$200,"&lt;&gt;")=0),ROUND(SUMIF($A$2:A37,"&lt;&gt;",$H$2:H37),2),IF(OR(A38="",G38="",C38="",NOT(ISNUMBER($Z$4))),"",ROUND(G38*C38*$Z$4,2)))</f>
        <v/>
      </c>
      <c r="I38" s="230" t="n"/>
      <c r="J38" s="225">
        <f>IF(AND(A38="",A37&lt;&gt;"",COUNTIF(A39:$A$200,"&lt;&gt;")=0),ROUND(SUMIF($A$2:A37,"&lt;&gt;",$J$2:J37),2),IF(OR(A38="",I38="",C38="",NOT(ISNUMBER($Z$5))),"",ROUND(I38*C38*$Z$5,2)))</f>
        <v/>
      </c>
      <c r="K38" s="230" t="n"/>
      <c r="L38" s="225">
        <f>IF(AND(A38="",A37&lt;&gt;"",COUNTIF(A39:$A$200,"&lt;&gt;")=0),ROUND(SUMIF($A$2:A37,"&lt;&gt;",$L$2:L37),2),IF(OR(A38="",K38="",C38="",NOT(ISNUMBER($Z$6))),"",ROUND(K38*C38*$Z$6,2)))</f>
        <v/>
      </c>
      <c r="M38" s="231">
        <f>IF(OR(E38="",G38=""),"",ROUND(MAX(E38-G38,0),2))</f>
        <v/>
      </c>
      <c r="N38" s="225">
        <f>IF(AND(A38="",A37&lt;&gt;"",COUNTIF(A39:$A$200,"&lt;&gt;")=0),ROUND(SUMIF($A$2:A37,"&lt;&gt;",$N$2:N37),2),IF(OR(M38="",C38="",NOT(ISNUMBER($Z$3))),"",ROUND(M38*C38*$Z$3,2)))</f>
        <v/>
      </c>
      <c r="O38" s="231">
        <f>IF(OR(G38="",I38=""),"",ROUND(MAX(G38-I38,0),2))</f>
        <v/>
      </c>
      <c r="P38" s="225">
        <f>IF(AND(A38="",A37&lt;&gt;"",COUNTIF(A39:$A$200,"&lt;&gt;")=0),ROUND(SUMIF($A$2:A37,"&lt;&gt;",$P$2:P37),2),IF(OR(O38="",C38="",NOT(ISNUMBER($Z$4))),"",ROUND(O38*C38*$Z$4,2)))</f>
        <v/>
      </c>
      <c r="Q38" s="231">
        <f>IF(OR(I38="",K38=""),"",ROUND(MAX(I38-K38,0),2))</f>
        <v/>
      </c>
      <c r="R38" s="225">
        <f>IF(AND(A38="",A37&lt;&gt;"",COUNTIF(A39:$A$200,"&lt;&gt;")=0),ROUND(SUMIF($A$2:A37,"&lt;&gt;",$R$2:R37),2),IF(OR(Q38="",C38="",NOT(ISNUMBER($Z$5))),"",ROUND(Q38*C38*$Z$5,2)))</f>
        <v/>
      </c>
      <c r="S38" s="27" t="n"/>
      <c r="T38" s="232" t="n"/>
      <c r="U38" s="233">
        <f>IF(AND(A38="",A37&lt;&gt;"",COUNTIF(A39:$A$200,"&lt;&gt;")=0),"TOTAL",IF(A38="","",IF(AND(G38&lt;&gt;"",E38&lt;&gt;"",G38&gt;E38),"ALERTA: REM_C2&gt;REM_C1",IF(AND(I38&lt;&gt;"",G38&lt;&gt;"",I38&gt;G38),"ALERTA: REM_C3&gt;REM_C2",IF(AND(K38&lt;&gt;"",I38&lt;&gt;"",K38&gt;I38),"ALERTA: REM_C4&gt;REM_C3","OK")))))</f>
        <v/>
      </c>
      <c r="V38" s="233">
        <f>IF(A38="","",IF(B38="","",IF(OR(B38&lt;0,E38&gt;B38,G38&gt;B38,I38&gt;B38,K38&gt;B38),"ALERTA: QTD_INVALIDA","OK")))</f>
        <v/>
      </c>
      <c r="W38" s="19" t="n"/>
      <c r="X38" s="19" t="n"/>
      <c r="Y38" s="19" t="n"/>
      <c r="Z38" s="17" t="n"/>
      <c r="AA38" s="17" t="n"/>
      <c r="AB38" s="231">
        <f>IF(OR(A38="",E38=""),"",ROUND(B38-E38,2))</f>
        <v/>
      </c>
      <c r="AC38" s="225">
        <f>IF(AND(A38="",A37&lt;&gt;"",COUNTIF(A39:$A$200,"&lt;&gt;")=0),ROUND(SUMIF($A$2:A37,"&lt;&gt;",$AC$2:AC37),2),IF(OR(A38="",E38=""),"",ROUND(D38-E38*C38,2)))</f>
        <v/>
      </c>
      <c r="AD38" s="17" t="n"/>
    </row>
    <row r="39">
      <c r="A39" s="227" t="n"/>
      <c r="B39" s="228" t="n"/>
      <c r="C39" s="229" t="n"/>
      <c r="D39" s="225">
        <f>IF(AND(A39="",A38&lt;&gt;"",COUNTIF(A40:$A$200,"&lt;&gt;")=0),ROUND(SUMIF($A$2:A38,"&lt;&gt;",$D$2:D38),2),IF(OR(A39="",B39="",C39=""),"",ROUND(B39*C39,2)))</f>
        <v/>
      </c>
      <c r="E39" s="230" t="n"/>
      <c r="F39" s="225">
        <f>IF(AND(A39="",A38&lt;&gt;"",COUNTIF(A40:$A$200,"&lt;&gt;")=0),ROUND(SUMIF($A$2:A38,"&lt;&gt;",$F$2:F38),2),IF(OR(A39="",E39="",C39="",NOT(ISNUMBER($Z$3))),"",ROUND(E39*C39*$Z$3,2)))</f>
        <v/>
      </c>
      <c r="G39" s="230" t="n"/>
      <c r="H39" s="225">
        <f>IF(AND(A39="",A38&lt;&gt;"",COUNTIF(A40:$A$200,"&lt;&gt;")=0),ROUND(SUMIF($A$2:A38,"&lt;&gt;",$H$2:H38),2),IF(OR(A39="",G39="",C39="",NOT(ISNUMBER($Z$4))),"",ROUND(G39*C39*$Z$4,2)))</f>
        <v/>
      </c>
      <c r="I39" s="230" t="n"/>
      <c r="J39" s="225">
        <f>IF(AND(A39="",A38&lt;&gt;"",COUNTIF(A40:$A$200,"&lt;&gt;")=0),ROUND(SUMIF($A$2:A38,"&lt;&gt;",$J$2:J38),2),IF(OR(A39="",I39="",C39="",NOT(ISNUMBER($Z$5))),"",ROUND(I39*C39*$Z$5,2)))</f>
        <v/>
      </c>
      <c r="K39" s="230" t="n"/>
      <c r="L39" s="225">
        <f>IF(AND(A39="",A38&lt;&gt;"",COUNTIF(A40:$A$200,"&lt;&gt;")=0),ROUND(SUMIF($A$2:A38,"&lt;&gt;",$L$2:L38),2),IF(OR(A39="",K39="",C39="",NOT(ISNUMBER($Z$6))),"",ROUND(K39*C39*$Z$6,2)))</f>
        <v/>
      </c>
      <c r="M39" s="231">
        <f>IF(OR(E39="",G39=""),"",ROUND(MAX(E39-G39,0),2))</f>
        <v/>
      </c>
      <c r="N39" s="225">
        <f>IF(AND(A39="",A38&lt;&gt;"",COUNTIF(A40:$A$200,"&lt;&gt;")=0),ROUND(SUMIF($A$2:A38,"&lt;&gt;",$N$2:N38),2),IF(OR(M39="",C39="",NOT(ISNUMBER($Z$3))),"",ROUND(M39*C39*$Z$3,2)))</f>
        <v/>
      </c>
      <c r="O39" s="231">
        <f>IF(OR(G39="",I39=""),"",ROUND(MAX(G39-I39,0),2))</f>
        <v/>
      </c>
      <c r="P39" s="225">
        <f>IF(AND(A39="",A38&lt;&gt;"",COUNTIF(A40:$A$200,"&lt;&gt;")=0),ROUND(SUMIF($A$2:A38,"&lt;&gt;",$P$2:P38),2),IF(OR(O39="",C39="",NOT(ISNUMBER($Z$4))),"",ROUND(O39*C39*$Z$4,2)))</f>
        <v/>
      </c>
      <c r="Q39" s="231">
        <f>IF(OR(I39="",K39=""),"",ROUND(MAX(I39-K39,0),2))</f>
        <v/>
      </c>
      <c r="R39" s="225">
        <f>IF(AND(A39="",A38&lt;&gt;"",COUNTIF(A40:$A$200,"&lt;&gt;")=0),ROUND(SUMIF($A$2:A38,"&lt;&gt;",$R$2:R38),2),IF(OR(Q39="",C39="",NOT(ISNUMBER($Z$5))),"",ROUND(Q39*C39*$Z$5,2)))</f>
        <v/>
      </c>
      <c r="S39" s="27" t="n"/>
      <c r="T39" s="232" t="n"/>
      <c r="U39" s="233">
        <f>IF(AND(A39="",A38&lt;&gt;"",COUNTIF(A40:$A$200,"&lt;&gt;")=0),"TOTAL",IF(A39="","",IF(AND(G39&lt;&gt;"",E39&lt;&gt;"",G39&gt;E39),"ALERTA: REM_C2&gt;REM_C1",IF(AND(I39&lt;&gt;"",G39&lt;&gt;"",I39&gt;G39),"ALERTA: REM_C3&gt;REM_C2",IF(AND(K39&lt;&gt;"",I39&lt;&gt;"",K39&gt;I39),"ALERTA: REM_C4&gt;REM_C3","OK")))))</f>
        <v/>
      </c>
      <c r="V39" s="233">
        <f>IF(A39="","",IF(B39="","",IF(OR(B39&lt;0,E39&gt;B39,G39&gt;B39,I39&gt;B39,K39&gt;B39),"ALERTA: QTD_INVALIDA","OK")))</f>
        <v/>
      </c>
      <c r="W39" s="19" t="n"/>
      <c r="X39" s="19" t="n"/>
      <c r="Y39" s="19" t="n"/>
      <c r="Z39" s="17" t="n"/>
      <c r="AA39" s="17" t="n"/>
      <c r="AB39" s="231">
        <f>IF(OR(A39="",E39=""),"",ROUND(B39-E39,2))</f>
        <v/>
      </c>
      <c r="AC39" s="225">
        <f>IF(AND(A39="",A38&lt;&gt;"",COUNTIF(A40:$A$200,"&lt;&gt;")=0),ROUND(SUMIF($A$2:A38,"&lt;&gt;",$AC$2:AC38),2),IF(OR(A39="",E39=""),"",ROUND(D39-E39*C39,2)))</f>
        <v/>
      </c>
      <c r="AD39" s="17" t="n"/>
    </row>
    <row r="40">
      <c r="A40" s="227" t="n"/>
      <c r="B40" s="228" t="n"/>
      <c r="C40" s="229" t="n"/>
      <c r="D40" s="225">
        <f>IF(AND(A40="",A39&lt;&gt;"",COUNTIF(A41:$A$200,"&lt;&gt;")=0),ROUND(SUMIF($A$2:A39,"&lt;&gt;",$D$2:D39),2),IF(OR(A40="",B40="",C40=""),"",ROUND(B40*C40,2)))</f>
        <v/>
      </c>
      <c r="E40" s="230" t="n"/>
      <c r="F40" s="225">
        <f>IF(AND(A40="",A39&lt;&gt;"",COUNTIF(A41:$A$200,"&lt;&gt;")=0),ROUND(SUMIF($A$2:A39,"&lt;&gt;",$F$2:F39),2),IF(OR(A40="",E40="",C40="",NOT(ISNUMBER($Z$3))),"",ROUND(E40*C40*$Z$3,2)))</f>
        <v/>
      </c>
      <c r="G40" s="230" t="n"/>
      <c r="H40" s="225">
        <f>IF(AND(A40="",A39&lt;&gt;"",COUNTIF(A41:$A$200,"&lt;&gt;")=0),ROUND(SUMIF($A$2:A39,"&lt;&gt;",$H$2:H39),2),IF(OR(A40="",G40="",C40="",NOT(ISNUMBER($Z$4))),"",ROUND(G40*C40*$Z$4,2)))</f>
        <v/>
      </c>
      <c r="I40" s="230" t="n"/>
      <c r="J40" s="225">
        <f>IF(AND(A40="",A39&lt;&gt;"",COUNTIF(A41:$A$200,"&lt;&gt;")=0),ROUND(SUMIF($A$2:A39,"&lt;&gt;",$J$2:J39),2),IF(OR(A40="",I40="",C40="",NOT(ISNUMBER($Z$5))),"",ROUND(I40*C40*$Z$5,2)))</f>
        <v/>
      </c>
      <c r="K40" s="230" t="n"/>
      <c r="L40" s="225">
        <f>IF(AND(A40="",A39&lt;&gt;"",COUNTIF(A41:$A$200,"&lt;&gt;")=0),ROUND(SUMIF($A$2:A39,"&lt;&gt;",$L$2:L39),2),IF(OR(A40="",K40="",C40="",NOT(ISNUMBER($Z$6))),"",ROUND(K40*C40*$Z$6,2)))</f>
        <v/>
      </c>
      <c r="M40" s="231">
        <f>IF(OR(E40="",G40=""),"",ROUND(MAX(E40-G40,0),2))</f>
        <v/>
      </c>
      <c r="N40" s="225">
        <f>IF(AND(A40="",A39&lt;&gt;"",COUNTIF(A41:$A$200,"&lt;&gt;")=0),ROUND(SUMIF($A$2:A39,"&lt;&gt;",$N$2:N39),2),IF(OR(M40="",C40="",NOT(ISNUMBER($Z$3))),"",ROUND(M40*C40*$Z$3,2)))</f>
        <v/>
      </c>
      <c r="O40" s="231">
        <f>IF(OR(G40="",I40=""),"",ROUND(MAX(G40-I40,0),2))</f>
        <v/>
      </c>
      <c r="P40" s="225">
        <f>IF(AND(A40="",A39&lt;&gt;"",COUNTIF(A41:$A$200,"&lt;&gt;")=0),ROUND(SUMIF($A$2:A39,"&lt;&gt;",$P$2:P39),2),IF(OR(O40="",C40="",NOT(ISNUMBER($Z$4))),"",ROUND(O40*C40*$Z$4,2)))</f>
        <v/>
      </c>
      <c r="Q40" s="231">
        <f>IF(OR(I40="",K40=""),"",ROUND(MAX(I40-K40,0),2))</f>
        <v/>
      </c>
      <c r="R40" s="225">
        <f>IF(AND(A40="",A39&lt;&gt;"",COUNTIF(A41:$A$200,"&lt;&gt;")=0),ROUND(SUMIF($A$2:A39,"&lt;&gt;",$R$2:R39),2),IF(OR(Q40="",C40="",NOT(ISNUMBER($Z$5))),"",ROUND(Q40*C40*$Z$5,2)))</f>
        <v/>
      </c>
      <c r="S40" s="27" t="n"/>
      <c r="T40" s="232" t="n"/>
      <c r="U40" s="233">
        <f>IF(AND(A40="",A39&lt;&gt;"",COUNTIF(A41:$A$200,"&lt;&gt;")=0),"TOTAL",IF(A40="","",IF(AND(G40&lt;&gt;"",E40&lt;&gt;"",G40&gt;E40),"ALERTA: REM_C2&gt;REM_C1",IF(AND(I40&lt;&gt;"",G40&lt;&gt;"",I40&gt;G40),"ALERTA: REM_C3&gt;REM_C2",IF(AND(K40&lt;&gt;"",I40&lt;&gt;"",K40&gt;I40),"ALERTA: REM_C4&gt;REM_C3","OK")))))</f>
        <v/>
      </c>
      <c r="V40" s="233">
        <f>IF(A40="","",IF(B40="","",IF(OR(B40&lt;0,E40&gt;B40,G40&gt;B40,I40&gt;B40,K40&gt;B40),"ALERTA: QTD_INVALIDA","OK")))</f>
        <v/>
      </c>
      <c r="W40" s="19" t="n"/>
      <c r="X40" s="19" t="n"/>
      <c r="Y40" s="19" t="n"/>
      <c r="Z40" s="17" t="n"/>
      <c r="AA40" s="17" t="n"/>
      <c r="AB40" s="231">
        <f>IF(OR(A40="",E40=""),"",ROUND(B40-E40,2))</f>
        <v/>
      </c>
      <c r="AC40" s="225">
        <f>IF(AND(A40="",A39&lt;&gt;"",COUNTIF(A41:$A$200,"&lt;&gt;")=0),ROUND(SUMIF($A$2:A39,"&lt;&gt;",$AC$2:AC39),2),IF(OR(A40="",E40=""),"",ROUND(D40-E40*C40,2)))</f>
        <v/>
      </c>
      <c r="AD40" s="17" t="n"/>
    </row>
    <row r="41">
      <c r="A41" s="227" t="n"/>
      <c r="B41" s="228" t="n"/>
      <c r="C41" s="229" t="n"/>
      <c r="D41" s="225">
        <f>IF(AND(A41="",A40&lt;&gt;"",COUNTIF(A42:$A$200,"&lt;&gt;")=0),ROUND(SUMIF($A$2:A40,"&lt;&gt;",$D$2:D40),2),IF(OR(A41="",B41="",C41=""),"",ROUND(B41*C41,2)))</f>
        <v/>
      </c>
      <c r="E41" s="230" t="n"/>
      <c r="F41" s="225">
        <f>IF(AND(A41="",A40&lt;&gt;"",COUNTIF(A42:$A$200,"&lt;&gt;")=0),ROUND(SUMIF($A$2:A40,"&lt;&gt;",$F$2:F40),2),IF(OR(A41="",E41="",C41="",NOT(ISNUMBER($Z$3))),"",ROUND(E41*C41*$Z$3,2)))</f>
        <v/>
      </c>
      <c r="G41" s="230" t="n"/>
      <c r="H41" s="225">
        <f>IF(AND(A41="",A40&lt;&gt;"",COUNTIF(A42:$A$200,"&lt;&gt;")=0),ROUND(SUMIF($A$2:A40,"&lt;&gt;",$H$2:H40),2),IF(OR(A41="",G41="",C41="",NOT(ISNUMBER($Z$4))),"",ROUND(G41*C41*$Z$4,2)))</f>
        <v/>
      </c>
      <c r="I41" s="230" t="n"/>
      <c r="J41" s="225">
        <f>IF(AND(A41="",A40&lt;&gt;"",COUNTIF(A42:$A$200,"&lt;&gt;")=0),ROUND(SUMIF($A$2:A40,"&lt;&gt;",$J$2:J40),2),IF(OR(A41="",I41="",C41="",NOT(ISNUMBER($Z$5))),"",ROUND(I41*C41*$Z$5,2)))</f>
        <v/>
      </c>
      <c r="K41" s="230" t="n"/>
      <c r="L41" s="225">
        <f>IF(AND(A41="",A40&lt;&gt;"",COUNTIF(A42:$A$200,"&lt;&gt;")=0),ROUND(SUMIF($A$2:A40,"&lt;&gt;",$L$2:L40),2),IF(OR(A41="",K41="",C41="",NOT(ISNUMBER($Z$6))),"",ROUND(K41*C41*$Z$6,2)))</f>
        <v/>
      </c>
      <c r="M41" s="231">
        <f>IF(OR(E41="",G41=""),"",ROUND(MAX(E41-G41,0),2))</f>
        <v/>
      </c>
      <c r="N41" s="225">
        <f>IF(AND(A41="",A40&lt;&gt;"",COUNTIF(A42:$A$200,"&lt;&gt;")=0),ROUND(SUMIF($A$2:A40,"&lt;&gt;",$N$2:N40),2),IF(OR(M41="",C41="",NOT(ISNUMBER($Z$3))),"",ROUND(M41*C41*$Z$3,2)))</f>
        <v/>
      </c>
      <c r="O41" s="231">
        <f>IF(OR(G41="",I41=""),"",ROUND(MAX(G41-I41,0),2))</f>
        <v/>
      </c>
      <c r="P41" s="225">
        <f>IF(AND(A41="",A40&lt;&gt;"",COUNTIF(A42:$A$200,"&lt;&gt;")=0),ROUND(SUMIF($A$2:A40,"&lt;&gt;",$P$2:P40),2),IF(OR(O41="",C41="",NOT(ISNUMBER($Z$4))),"",ROUND(O41*C41*$Z$4,2)))</f>
        <v/>
      </c>
      <c r="Q41" s="231">
        <f>IF(OR(I41="",K41=""),"",ROUND(MAX(I41-K41,0),2))</f>
        <v/>
      </c>
      <c r="R41" s="225">
        <f>IF(AND(A41="",A40&lt;&gt;"",COUNTIF(A42:$A$200,"&lt;&gt;")=0),ROUND(SUMIF($A$2:A40,"&lt;&gt;",$R$2:R40),2),IF(OR(Q41="",C41="",NOT(ISNUMBER($Z$5))),"",ROUND(Q41*C41*$Z$5,2)))</f>
        <v/>
      </c>
      <c r="S41" s="27" t="n"/>
      <c r="T41" s="232" t="n"/>
      <c r="U41" s="233">
        <f>IF(AND(A41="",A40&lt;&gt;"",COUNTIF(A42:$A$200,"&lt;&gt;")=0),"TOTAL",IF(A41="","",IF(AND(G41&lt;&gt;"",E41&lt;&gt;"",G41&gt;E41),"ALERTA: REM_C2&gt;REM_C1",IF(AND(I41&lt;&gt;"",G41&lt;&gt;"",I41&gt;G41),"ALERTA: REM_C3&gt;REM_C2",IF(AND(K41&lt;&gt;"",I41&lt;&gt;"",K41&gt;I41),"ALERTA: REM_C4&gt;REM_C3","OK")))))</f>
        <v/>
      </c>
      <c r="V41" s="233">
        <f>IF(A41="","",IF(B41="","",IF(OR(B41&lt;0,E41&gt;B41,G41&gt;B41,I41&gt;B41,K41&gt;B41),"ALERTA: QTD_INVALIDA","OK")))</f>
        <v/>
      </c>
      <c r="W41" s="19" t="n"/>
      <c r="X41" s="19" t="n"/>
      <c r="Y41" s="19" t="n"/>
      <c r="Z41" s="17" t="n"/>
      <c r="AA41" s="17" t="n"/>
      <c r="AB41" s="231">
        <f>IF(OR(A41="",E41=""),"",ROUND(B41-E41,2))</f>
        <v/>
      </c>
      <c r="AC41" s="225">
        <f>IF(AND(A41="",A40&lt;&gt;"",COUNTIF(A42:$A$200,"&lt;&gt;")=0),ROUND(SUMIF($A$2:A40,"&lt;&gt;",$AC$2:AC40),2),IF(OR(A41="",E41=""),"",ROUND(D41-E41*C41,2)))</f>
        <v/>
      </c>
      <c r="AD41" s="17" t="n"/>
    </row>
    <row r="42">
      <c r="A42" s="227" t="n"/>
      <c r="B42" s="228" t="n"/>
      <c r="C42" s="229" t="n"/>
      <c r="D42" s="225">
        <f>IF(AND(A42="",A41&lt;&gt;"",COUNTIF(A43:$A$200,"&lt;&gt;")=0),ROUND(SUMIF($A$2:A41,"&lt;&gt;",$D$2:D41),2),IF(OR(A42="",B42="",C42=""),"",ROUND(B42*C42,2)))</f>
        <v/>
      </c>
      <c r="E42" s="230" t="n"/>
      <c r="F42" s="225">
        <f>IF(AND(A42="",A41&lt;&gt;"",COUNTIF(A43:$A$200,"&lt;&gt;")=0),ROUND(SUMIF($A$2:A41,"&lt;&gt;",$F$2:F41),2),IF(OR(A42="",E42="",C42="",NOT(ISNUMBER($Z$3))),"",ROUND(E42*C42*$Z$3,2)))</f>
        <v/>
      </c>
      <c r="G42" s="230" t="n"/>
      <c r="H42" s="225">
        <f>IF(AND(A42="",A41&lt;&gt;"",COUNTIF(A43:$A$200,"&lt;&gt;")=0),ROUND(SUMIF($A$2:A41,"&lt;&gt;",$H$2:H41),2),IF(OR(A42="",G42="",C42="",NOT(ISNUMBER($Z$4))),"",ROUND(G42*C42*$Z$4,2)))</f>
        <v/>
      </c>
      <c r="I42" s="230" t="n"/>
      <c r="J42" s="225">
        <f>IF(AND(A42="",A41&lt;&gt;"",COUNTIF(A43:$A$200,"&lt;&gt;")=0),ROUND(SUMIF($A$2:A41,"&lt;&gt;",$J$2:J41),2),IF(OR(A42="",I42="",C42="",NOT(ISNUMBER($Z$5))),"",ROUND(I42*C42*$Z$5,2)))</f>
        <v/>
      </c>
      <c r="K42" s="230" t="n"/>
      <c r="L42" s="225">
        <f>IF(AND(A42="",A41&lt;&gt;"",COUNTIF(A43:$A$200,"&lt;&gt;")=0),ROUND(SUMIF($A$2:A41,"&lt;&gt;",$L$2:L41),2),IF(OR(A42="",K42="",C42="",NOT(ISNUMBER($Z$6))),"",ROUND(K42*C42*$Z$6,2)))</f>
        <v/>
      </c>
      <c r="M42" s="231">
        <f>IF(OR(E42="",G42=""),"",ROUND(MAX(E42-G42,0),2))</f>
        <v/>
      </c>
      <c r="N42" s="225">
        <f>IF(AND(A42="",A41&lt;&gt;"",COUNTIF(A43:$A$200,"&lt;&gt;")=0),ROUND(SUMIF($A$2:A41,"&lt;&gt;",$N$2:N41),2),IF(OR(M42="",C42="",NOT(ISNUMBER($Z$3))),"",ROUND(M42*C42*$Z$3,2)))</f>
        <v/>
      </c>
      <c r="O42" s="231">
        <f>IF(OR(G42="",I42=""),"",ROUND(MAX(G42-I42,0),2))</f>
        <v/>
      </c>
      <c r="P42" s="225">
        <f>IF(AND(A42="",A41&lt;&gt;"",COUNTIF(A43:$A$200,"&lt;&gt;")=0),ROUND(SUMIF($A$2:A41,"&lt;&gt;",$P$2:P41),2),IF(OR(O42="",C42="",NOT(ISNUMBER($Z$4))),"",ROUND(O42*C42*$Z$4,2)))</f>
        <v/>
      </c>
      <c r="Q42" s="231">
        <f>IF(OR(I42="",K42=""),"",ROUND(MAX(I42-K42,0),2))</f>
        <v/>
      </c>
      <c r="R42" s="225">
        <f>IF(AND(A42="",A41&lt;&gt;"",COUNTIF(A43:$A$200,"&lt;&gt;")=0),ROUND(SUMIF($A$2:A41,"&lt;&gt;",$R$2:R41),2),IF(OR(Q42="",C42="",NOT(ISNUMBER($Z$5))),"",ROUND(Q42*C42*$Z$5,2)))</f>
        <v/>
      </c>
      <c r="S42" s="27" t="n"/>
      <c r="T42" s="232" t="n"/>
      <c r="U42" s="233">
        <f>IF(AND(A42="",A41&lt;&gt;"",COUNTIF(A43:$A$200,"&lt;&gt;")=0),"TOTAL",IF(A42="","",IF(AND(G42&lt;&gt;"",E42&lt;&gt;"",G42&gt;E42),"ALERTA: REM_C2&gt;REM_C1",IF(AND(I42&lt;&gt;"",G42&lt;&gt;"",I42&gt;G42),"ALERTA: REM_C3&gt;REM_C2",IF(AND(K42&lt;&gt;"",I42&lt;&gt;"",K42&gt;I42),"ALERTA: REM_C4&gt;REM_C3","OK")))))</f>
        <v/>
      </c>
      <c r="V42" s="233">
        <f>IF(A42="","",IF(B42="","",IF(OR(B42&lt;0,E42&gt;B42,G42&gt;B42,I42&gt;B42,K42&gt;B42),"ALERTA: QTD_INVALIDA","OK")))</f>
        <v/>
      </c>
      <c r="W42" s="19" t="n"/>
      <c r="X42" s="19" t="n"/>
      <c r="Y42" s="19" t="n"/>
      <c r="Z42" s="17" t="n"/>
      <c r="AA42" s="17" t="n"/>
      <c r="AB42" s="231">
        <f>IF(OR(A42="",E42=""),"",ROUND(B42-E42,2))</f>
        <v/>
      </c>
      <c r="AC42" s="225">
        <f>IF(AND(A42="",A41&lt;&gt;"",COUNTIF(A43:$A$200,"&lt;&gt;")=0),ROUND(SUMIF($A$2:A41,"&lt;&gt;",$AC$2:AC41),2),IF(OR(A42="",E42=""),"",ROUND(D42-E42*C42,2)))</f>
        <v/>
      </c>
      <c r="AD42" s="17" t="n"/>
    </row>
    <row r="43">
      <c r="A43" s="227" t="n"/>
      <c r="B43" s="228" t="n"/>
      <c r="C43" s="229" t="n"/>
      <c r="D43" s="225">
        <f>IF(AND(A43="",A42&lt;&gt;"",COUNTIF(A44:$A$200,"&lt;&gt;")=0),ROUND(SUMIF($A$2:A42,"&lt;&gt;",$D$2:D42),2),IF(OR(A43="",B43="",C43=""),"",ROUND(B43*C43,2)))</f>
        <v/>
      </c>
      <c r="E43" s="230" t="n"/>
      <c r="F43" s="225">
        <f>IF(AND(A43="",A42&lt;&gt;"",COUNTIF(A44:$A$200,"&lt;&gt;")=0),ROUND(SUMIF($A$2:A42,"&lt;&gt;",$F$2:F42),2),IF(OR(A43="",E43="",C43="",NOT(ISNUMBER($Z$3))),"",ROUND(E43*C43*$Z$3,2)))</f>
        <v/>
      </c>
      <c r="G43" s="230" t="n"/>
      <c r="H43" s="225">
        <f>IF(AND(A43="",A42&lt;&gt;"",COUNTIF(A44:$A$200,"&lt;&gt;")=0),ROUND(SUMIF($A$2:A42,"&lt;&gt;",$H$2:H42),2),IF(OR(A43="",G43="",C43="",NOT(ISNUMBER($Z$4))),"",ROUND(G43*C43*$Z$4,2)))</f>
        <v/>
      </c>
      <c r="I43" s="230" t="n"/>
      <c r="J43" s="225">
        <f>IF(AND(A43="",A42&lt;&gt;"",COUNTIF(A44:$A$200,"&lt;&gt;")=0),ROUND(SUMIF($A$2:A42,"&lt;&gt;",$J$2:J42),2),IF(OR(A43="",I43="",C43="",NOT(ISNUMBER($Z$5))),"",ROUND(I43*C43*$Z$5,2)))</f>
        <v/>
      </c>
      <c r="K43" s="230" t="n"/>
      <c r="L43" s="225">
        <f>IF(AND(A43="",A42&lt;&gt;"",COUNTIF(A44:$A$200,"&lt;&gt;")=0),ROUND(SUMIF($A$2:A42,"&lt;&gt;",$L$2:L42),2),IF(OR(A43="",K43="",C43="",NOT(ISNUMBER($Z$6))),"",ROUND(K43*C43*$Z$6,2)))</f>
        <v/>
      </c>
      <c r="M43" s="231">
        <f>IF(OR(E43="",G43=""),"",ROUND(MAX(E43-G43,0),2))</f>
        <v/>
      </c>
      <c r="N43" s="225">
        <f>IF(AND(A43="",A42&lt;&gt;"",COUNTIF(A44:$A$200,"&lt;&gt;")=0),ROUND(SUMIF($A$2:A42,"&lt;&gt;",$N$2:N42),2),IF(OR(M43="",C43="",NOT(ISNUMBER($Z$3))),"",ROUND(M43*C43*$Z$3,2)))</f>
        <v/>
      </c>
      <c r="O43" s="231">
        <f>IF(OR(G43="",I43=""),"",ROUND(MAX(G43-I43,0),2))</f>
        <v/>
      </c>
      <c r="P43" s="225">
        <f>IF(AND(A43="",A42&lt;&gt;"",COUNTIF(A44:$A$200,"&lt;&gt;")=0),ROUND(SUMIF($A$2:A42,"&lt;&gt;",$P$2:P42),2),IF(OR(O43="",C43="",NOT(ISNUMBER($Z$4))),"",ROUND(O43*C43*$Z$4,2)))</f>
        <v/>
      </c>
      <c r="Q43" s="231">
        <f>IF(OR(I43="",K43=""),"",ROUND(MAX(I43-K43,0),2))</f>
        <v/>
      </c>
      <c r="R43" s="225">
        <f>IF(AND(A43="",A42&lt;&gt;"",COUNTIF(A44:$A$200,"&lt;&gt;")=0),ROUND(SUMIF($A$2:A42,"&lt;&gt;",$R$2:R42),2),IF(OR(Q43="",C43="",NOT(ISNUMBER($Z$5))),"",ROUND(Q43*C43*$Z$5,2)))</f>
        <v/>
      </c>
      <c r="S43" s="27" t="n"/>
      <c r="T43" s="232" t="n"/>
      <c r="U43" s="233">
        <f>IF(AND(A43="",A42&lt;&gt;"",COUNTIF(A44:$A$200,"&lt;&gt;")=0),"TOTAL",IF(A43="","",IF(AND(G43&lt;&gt;"",E43&lt;&gt;"",G43&gt;E43),"ALERTA: REM_C2&gt;REM_C1",IF(AND(I43&lt;&gt;"",G43&lt;&gt;"",I43&gt;G43),"ALERTA: REM_C3&gt;REM_C2",IF(AND(K43&lt;&gt;"",I43&lt;&gt;"",K43&gt;I43),"ALERTA: REM_C4&gt;REM_C3","OK")))))</f>
        <v/>
      </c>
      <c r="V43" s="233">
        <f>IF(A43="","",IF(B43="","",IF(OR(B43&lt;0,E43&gt;B43,G43&gt;B43,I43&gt;B43,K43&gt;B43),"ALERTA: QTD_INVALIDA","OK")))</f>
        <v/>
      </c>
      <c r="W43" s="19" t="n"/>
      <c r="X43" s="19" t="n"/>
      <c r="Y43" s="19" t="n"/>
      <c r="Z43" s="17" t="n"/>
      <c r="AA43" s="17" t="n"/>
      <c r="AB43" s="231">
        <f>IF(OR(A43="",E43=""),"",ROUND(B43-E43,2))</f>
        <v/>
      </c>
      <c r="AC43" s="225">
        <f>IF(AND(A43="",A42&lt;&gt;"",COUNTIF(A44:$A$200,"&lt;&gt;")=0),ROUND(SUMIF($A$2:A42,"&lt;&gt;",$AC$2:AC42),2),IF(OR(A43="",E43=""),"",ROUND(D43-E43*C43,2)))</f>
        <v/>
      </c>
      <c r="AD43" s="17" t="n"/>
    </row>
    <row r="44">
      <c r="A44" s="227" t="n"/>
      <c r="B44" s="228" t="n"/>
      <c r="C44" s="229" t="n"/>
      <c r="D44" s="225">
        <f>IF(AND(A44="",A43&lt;&gt;"",COUNTIF(A45:$A$200,"&lt;&gt;")=0),ROUND(SUMIF($A$2:A43,"&lt;&gt;",$D$2:D43),2),IF(OR(A44="",B44="",C44=""),"",ROUND(B44*C44,2)))</f>
        <v/>
      </c>
      <c r="E44" s="230" t="n"/>
      <c r="F44" s="225">
        <f>IF(AND(A44="",A43&lt;&gt;"",COUNTIF(A45:$A$200,"&lt;&gt;")=0),ROUND(SUMIF($A$2:A43,"&lt;&gt;",$F$2:F43),2),IF(OR(A44="",E44="",C44="",NOT(ISNUMBER($Z$3))),"",ROUND(E44*C44*$Z$3,2)))</f>
        <v/>
      </c>
      <c r="G44" s="230" t="n"/>
      <c r="H44" s="225">
        <f>IF(AND(A44="",A43&lt;&gt;"",COUNTIF(A45:$A$200,"&lt;&gt;")=0),ROUND(SUMIF($A$2:A43,"&lt;&gt;",$H$2:H43),2),IF(OR(A44="",G44="",C44="",NOT(ISNUMBER($Z$4))),"",ROUND(G44*C44*$Z$4,2)))</f>
        <v/>
      </c>
      <c r="I44" s="230" t="n"/>
      <c r="J44" s="225">
        <f>IF(AND(A44="",A43&lt;&gt;"",COUNTIF(A45:$A$200,"&lt;&gt;")=0),ROUND(SUMIF($A$2:A43,"&lt;&gt;",$J$2:J43),2),IF(OR(A44="",I44="",C44="",NOT(ISNUMBER($Z$5))),"",ROUND(I44*C44*$Z$5,2)))</f>
        <v/>
      </c>
      <c r="K44" s="230" t="n"/>
      <c r="L44" s="225">
        <f>IF(AND(A44="",A43&lt;&gt;"",COUNTIF(A45:$A$200,"&lt;&gt;")=0),ROUND(SUMIF($A$2:A43,"&lt;&gt;",$L$2:L43),2),IF(OR(A44="",K44="",C44="",NOT(ISNUMBER($Z$6))),"",ROUND(K44*C44*$Z$6,2)))</f>
        <v/>
      </c>
      <c r="M44" s="231">
        <f>IF(OR(E44="",G44=""),"",ROUND(MAX(E44-G44,0),2))</f>
        <v/>
      </c>
      <c r="N44" s="225">
        <f>IF(AND(A44="",A43&lt;&gt;"",COUNTIF(A45:$A$200,"&lt;&gt;")=0),ROUND(SUMIF($A$2:A43,"&lt;&gt;",$N$2:N43),2),IF(OR(M44="",C44="",NOT(ISNUMBER($Z$3))),"",ROUND(M44*C44*$Z$3,2)))</f>
        <v/>
      </c>
      <c r="O44" s="231">
        <f>IF(OR(G44="",I44=""),"",ROUND(MAX(G44-I44,0),2))</f>
        <v/>
      </c>
      <c r="P44" s="225">
        <f>IF(AND(A44="",A43&lt;&gt;"",COUNTIF(A45:$A$200,"&lt;&gt;")=0),ROUND(SUMIF($A$2:A43,"&lt;&gt;",$P$2:P43),2),IF(OR(O44="",C44="",NOT(ISNUMBER($Z$4))),"",ROUND(O44*C44*$Z$4,2)))</f>
        <v/>
      </c>
      <c r="Q44" s="231">
        <f>IF(OR(I44="",K44=""),"",ROUND(MAX(I44-K44,0),2))</f>
        <v/>
      </c>
      <c r="R44" s="225">
        <f>IF(AND(A44="",A43&lt;&gt;"",COUNTIF(A45:$A$200,"&lt;&gt;")=0),ROUND(SUMIF($A$2:A43,"&lt;&gt;",$R$2:R43),2),IF(OR(Q44="",C44="",NOT(ISNUMBER($Z$5))),"",ROUND(Q44*C44*$Z$5,2)))</f>
        <v/>
      </c>
      <c r="S44" s="27" t="n"/>
      <c r="T44" s="232" t="n"/>
      <c r="U44" s="233">
        <f>IF(AND(A44="",A43&lt;&gt;"",COUNTIF(A45:$A$200,"&lt;&gt;")=0),"TOTAL",IF(A44="","",IF(AND(G44&lt;&gt;"",E44&lt;&gt;"",G44&gt;E44),"ALERTA: REM_C2&gt;REM_C1",IF(AND(I44&lt;&gt;"",G44&lt;&gt;"",I44&gt;G44),"ALERTA: REM_C3&gt;REM_C2",IF(AND(K44&lt;&gt;"",I44&lt;&gt;"",K44&gt;I44),"ALERTA: REM_C4&gt;REM_C3","OK")))))</f>
        <v/>
      </c>
      <c r="V44" s="233">
        <f>IF(A44="","",IF(B44="","",IF(OR(B44&lt;0,E44&gt;B44,G44&gt;B44,I44&gt;B44,K44&gt;B44),"ALERTA: QTD_INVALIDA","OK")))</f>
        <v/>
      </c>
      <c r="W44" s="19" t="n"/>
      <c r="X44" s="19" t="n"/>
      <c r="Y44" s="19" t="n"/>
      <c r="Z44" s="17" t="n"/>
      <c r="AA44" s="17" t="n"/>
      <c r="AB44" s="231">
        <f>IF(OR(A44="",E44=""),"",ROUND(B44-E44,2))</f>
        <v/>
      </c>
      <c r="AC44" s="225">
        <f>IF(AND(A44="",A43&lt;&gt;"",COUNTIF(A45:$A$200,"&lt;&gt;")=0),ROUND(SUMIF($A$2:A43,"&lt;&gt;",$AC$2:AC43),2),IF(OR(A44="",E44=""),"",ROUND(D44-E44*C44,2)))</f>
        <v/>
      </c>
      <c r="AD44" s="17" t="n"/>
    </row>
    <row r="45">
      <c r="A45" s="227" t="n"/>
      <c r="B45" s="228" t="n"/>
      <c r="C45" s="229" t="n"/>
      <c r="D45" s="225">
        <f>IF(AND(A45="",A44&lt;&gt;"",COUNTIF(A46:$A$200,"&lt;&gt;")=0),ROUND(SUMIF($A$2:A44,"&lt;&gt;",$D$2:D44),2),IF(OR(A45="",B45="",C45=""),"",ROUND(B45*C45,2)))</f>
        <v/>
      </c>
      <c r="E45" s="230" t="n"/>
      <c r="F45" s="225">
        <f>IF(AND(A45="",A44&lt;&gt;"",COUNTIF(A46:$A$200,"&lt;&gt;")=0),ROUND(SUMIF($A$2:A44,"&lt;&gt;",$F$2:F44),2),IF(OR(A45="",E45="",C45="",NOT(ISNUMBER($Z$3))),"",ROUND(E45*C45*$Z$3,2)))</f>
        <v/>
      </c>
      <c r="G45" s="230" t="n"/>
      <c r="H45" s="225">
        <f>IF(AND(A45="",A44&lt;&gt;"",COUNTIF(A46:$A$200,"&lt;&gt;")=0),ROUND(SUMIF($A$2:A44,"&lt;&gt;",$H$2:H44),2),IF(OR(A45="",G45="",C45="",NOT(ISNUMBER($Z$4))),"",ROUND(G45*C45*$Z$4,2)))</f>
        <v/>
      </c>
      <c r="I45" s="230" t="n"/>
      <c r="J45" s="225">
        <f>IF(AND(A45="",A44&lt;&gt;"",COUNTIF(A46:$A$200,"&lt;&gt;")=0),ROUND(SUMIF($A$2:A44,"&lt;&gt;",$J$2:J44),2),IF(OR(A45="",I45="",C45="",NOT(ISNUMBER($Z$5))),"",ROUND(I45*C45*$Z$5,2)))</f>
        <v/>
      </c>
      <c r="K45" s="230" t="n"/>
      <c r="L45" s="225">
        <f>IF(AND(A45="",A44&lt;&gt;"",COUNTIF(A46:$A$200,"&lt;&gt;")=0),ROUND(SUMIF($A$2:A44,"&lt;&gt;",$L$2:L44),2),IF(OR(A45="",K45="",C45="",NOT(ISNUMBER($Z$6))),"",ROUND(K45*C45*$Z$6,2)))</f>
        <v/>
      </c>
      <c r="M45" s="231">
        <f>IF(OR(E45="",G45=""),"",ROUND(MAX(E45-G45,0),2))</f>
        <v/>
      </c>
      <c r="N45" s="225">
        <f>IF(AND(A45="",A44&lt;&gt;"",COUNTIF(A46:$A$200,"&lt;&gt;")=0),ROUND(SUMIF($A$2:A44,"&lt;&gt;",$N$2:N44),2),IF(OR(M45="",C45="",NOT(ISNUMBER($Z$3))),"",ROUND(M45*C45*$Z$3,2)))</f>
        <v/>
      </c>
      <c r="O45" s="231">
        <f>IF(OR(G45="",I45=""),"",ROUND(MAX(G45-I45,0),2))</f>
        <v/>
      </c>
      <c r="P45" s="225">
        <f>IF(AND(A45="",A44&lt;&gt;"",COUNTIF(A46:$A$200,"&lt;&gt;")=0),ROUND(SUMIF($A$2:A44,"&lt;&gt;",$P$2:P44),2),IF(OR(O45="",C45="",NOT(ISNUMBER($Z$4))),"",ROUND(O45*C45*$Z$4,2)))</f>
        <v/>
      </c>
      <c r="Q45" s="231">
        <f>IF(OR(I45="",K45=""),"",ROUND(MAX(I45-K45,0),2))</f>
        <v/>
      </c>
      <c r="R45" s="225">
        <f>IF(AND(A45="",A44&lt;&gt;"",COUNTIF(A46:$A$200,"&lt;&gt;")=0),ROUND(SUMIF($A$2:A44,"&lt;&gt;",$R$2:R44),2),IF(OR(Q45="",C45="",NOT(ISNUMBER($Z$5))),"",ROUND(Q45*C45*$Z$5,2)))</f>
        <v/>
      </c>
      <c r="S45" s="27" t="n"/>
      <c r="T45" s="232" t="n"/>
      <c r="U45" s="233">
        <f>IF(AND(A45="",A44&lt;&gt;"",COUNTIF(A46:$A$200,"&lt;&gt;")=0),"TOTAL",IF(A45="","",IF(AND(G45&lt;&gt;"",E45&lt;&gt;"",G45&gt;E45),"ALERTA: REM_C2&gt;REM_C1",IF(AND(I45&lt;&gt;"",G45&lt;&gt;"",I45&gt;G45),"ALERTA: REM_C3&gt;REM_C2",IF(AND(K45&lt;&gt;"",I45&lt;&gt;"",K45&gt;I45),"ALERTA: REM_C4&gt;REM_C3","OK")))))</f>
        <v/>
      </c>
      <c r="V45" s="233">
        <f>IF(A45="","",IF(B45="","",IF(OR(B45&lt;0,E45&gt;B45,G45&gt;B45,I45&gt;B45,K45&gt;B45),"ALERTA: QTD_INVALIDA","OK")))</f>
        <v/>
      </c>
      <c r="W45" s="19" t="n"/>
      <c r="X45" s="19" t="n"/>
      <c r="Y45" s="19" t="n"/>
      <c r="Z45" s="17" t="n"/>
      <c r="AA45" s="17" t="n"/>
      <c r="AB45" s="231">
        <f>IF(OR(A45="",E45=""),"",ROUND(B45-E45,2))</f>
        <v/>
      </c>
      <c r="AC45" s="225">
        <f>IF(AND(A45="",A44&lt;&gt;"",COUNTIF(A46:$A$200,"&lt;&gt;")=0),ROUND(SUMIF($A$2:A44,"&lt;&gt;",$AC$2:AC44),2),IF(OR(A45="",E45=""),"",ROUND(D45-E45*C45,2)))</f>
        <v/>
      </c>
      <c r="AD45" s="17" t="n"/>
    </row>
    <row r="46">
      <c r="A46" s="227" t="n"/>
      <c r="B46" s="228" t="n"/>
      <c r="C46" s="229" t="n"/>
      <c r="D46" s="225">
        <f>IF(AND(A46="",A45&lt;&gt;"",COUNTIF(A47:$A$200,"&lt;&gt;")=0),ROUND(SUMIF($A$2:A45,"&lt;&gt;",$D$2:D45),2),IF(OR(A46="",B46="",C46=""),"",ROUND(B46*C46,2)))</f>
        <v/>
      </c>
      <c r="E46" s="230" t="n"/>
      <c r="F46" s="225">
        <f>IF(AND(A46="",A45&lt;&gt;"",COUNTIF(A47:$A$200,"&lt;&gt;")=0),ROUND(SUMIF($A$2:A45,"&lt;&gt;",$F$2:F45),2),IF(OR(A46="",E46="",C46="",NOT(ISNUMBER($Z$3))),"",ROUND(E46*C46*$Z$3,2)))</f>
        <v/>
      </c>
      <c r="G46" s="230" t="n"/>
      <c r="H46" s="225">
        <f>IF(AND(A46="",A45&lt;&gt;"",COUNTIF(A47:$A$200,"&lt;&gt;")=0),ROUND(SUMIF($A$2:A45,"&lt;&gt;",$H$2:H45),2),IF(OR(A46="",G46="",C46="",NOT(ISNUMBER($Z$4))),"",ROUND(G46*C46*$Z$4,2)))</f>
        <v/>
      </c>
      <c r="I46" s="230" t="n"/>
      <c r="J46" s="225">
        <f>IF(AND(A46="",A45&lt;&gt;"",COUNTIF(A47:$A$200,"&lt;&gt;")=0),ROUND(SUMIF($A$2:A45,"&lt;&gt;",$J$2:J45),2),IF(OR(A46="",I46="",C46="",NOT(ISNUMBER($Z$5))),"",ROUND(I46*C46*$Z$5,2)))</f>
        <v/>
      </c>
      <c r="K46" s="230" t="n"/>
      <c r="L46" s="225">
        <f>IF(AND(A46="",A45&lt;&gt;"",COUNTIF(A47:$A$200,"&lt;&gt;")=0),ROUND(SUMIF($A$2:A45,"&lt;&gt;",$L$2:L45),2),IF(OR(A46="",K46="",C46="",NOT(ISNUMBER($Z$6))),"",ROUND(K46*C46*$Z$6,2)))</f>
        <v/>
      </c>
      <c r="M46" s="231">
        <f>IF(OR(E46="",G46=""),"",ROUND(MAX(E46-G46,0),2))</f>
        <v/>
      </c>
      <c r="N46" s="225">
        <f>IF(AND(A46="",A45&lt;&gt;"",COUNTIF(A47:$A$200,"&lt;&gt;")=0),ROUND(SUMIF($A$2:A45,"&lt;&gt;",$N$2:N45),2),IF(OR(M46="",C46="",NOT(ISNUMBER($Z$3))),"",ROUND(M46*C46*$Z$3,2)))</f>
        <v/>
      </c>
      <c r="O46" s="231">
        <f>IF(OR(G46="",I46=""),"",ROUND(MAX(G46-I46,0),2))</f>
        <v/>
      </c>
      <c r="P46" s="225">
        <f>IF(AND(A46="",A45&lt;&gt;"",COUNTIF(A47:$A$200,"&lt;&gt;")=0),ROUND(SUMIF($A$2:A45,"&lt;&gt;",$P$2:P45),2),IF(OR(O46="",C46="",NOT(ISNUMBER($Z$4))),"",ROUND(O46*C46*$Z$4,2)))</f>
        <v/>
      </c>
      <c r="Q46" s="231">
        <f>IF(OR(I46="",K46=""),"",ROUND(MAX(I46-K46,0),2))</f>
        <v/>
      </c>
      <c r="R46" s="225">
        <f>IF(AND(A46="",A45&lt;&gt;"",COUNTIF(A47:$A$200,"&lt;&gt;")=0),ROUND(SUMIF($A$2:A45,"&lt;&gt;",$R$2:R45),2),IF(OR(Q46="",C46="",NOT(ISNUMBER($Z$5))),"",ROUND(Q46*C46*$Z$5,2)))</f>
        <v/>
      </c>
      <c r="S46" s="27" t="n"/>
      <c r="T46" s="232" t="n"/>
      <c r="U46" s="233">
        <f>IF(AND(A46="",A45&lt;&gt;"",COUNTIF(A47:$A$200,"&lt;&gt;")=0),"TOTAL",IF(A46="","",IF(AND(G46&lt;&gt;"",E46&lt;&gt;"",G46&gt;E46),"ALERTA: REM_C2&gt;REM_C1",IF(AND(I46&lt;&gt;"",G46&lt;&gt;"",I46&gt;G46),"ALERTA: REM_C3&gt;REM_C2",IF(AND(K46&lt;&gt;"",I46&lt;&gt;"",K46&gt;I46),"ALERTA: REM_C4&gt;REM_C3","OK")))))</f>
        <v/>
      </c>
      <c r="V46" s="233">
        <f>IF(A46="","",IF(B46="","",IF(OR(B46&lt;0,E46&gt;B46,G46&gt;B46,I46&gt;B46,K46&gt;B46),"ALERTA: QTD_INVALIDA","OK")))</f>
        <v/>
      </c>
      <c r="W46" s="19" t="n"/>
      <c r="X46" s="19" t="n"/>
      <c r="Y46" s="19" t="n"/>
      <c r="Z46" s="17" t="n"/>
      <c r="AA46" s="17" t="n"/>
      <c r="AB46" s="231">
        <f>IF(OR(A46="",E46=""),"",ROUND(B46-E46,2))</f>
        <v/>
      </c>
      <c r="AC46" s="225">
        <f>IF(AND(A46="",A45&lt;&gt;"",COUNTIF(A47:$A$200,"&lt;&gt;")=0),ROUND(SUMIF($A$2:A45,"&lt;&gt;",$AC$2:AC45),2),IF(OR(A46="",E46=""),"",ROUND(D46-E46*C46,2)))</f>
        <v/>
      </c>
      <c r="AD46" s="17" t="n"/>
    </row>
    <row r="47">
      <c r="A47" s="227" t="n"/>
      <c r="B47" s="228" t="n"/>
      <c r="C47" s="229" t="n"/>
      <c r="D47" s="225">
        <f>IF(AND(A47="",A46&lt;&gt;"",COUNTIF(A48:$A$200,"&lt;&gt;")=0),ROUND(SUMIF($A$2:A46,"&lt;&gt;",$D$2:D46),2),IF(OR(A47="",B47="",C47=""),"",ROUND(B47*C47,2)))</f>
        <v/>
      </c>
      <c r="E47" s="230" t="n"/>
      <c r="F47" s="225">
        <f>IF(AND(A47="",A46&lt;&gt;"",COUNTIF(A48:$A$200,"&lt;&gt;")=0),ROUND(SUMIF($A$2:A46,"&lt;&gt;",$F$2:F46),2),IF(OR(A47="",E47="",C47="",NOT(ISNUMBER($Z$3))),"",ROUND(E47*C47*$Z$3,2)))</f>
        <v/>
      </c>
      <c r="G47" s="230" t="n"/>
      <c r="H47" s="225">
        <f>IF(AND(A47="",A46&lt;&gt;"",COUNTIF(A48:$A$200,"&lt;&gt;")=0),ROUND(SUMIF($A$2:A46,"&lt;&gt;",$H$2:H46),2),IF(OR(A47="",G47="",C47="",NOT(ISNUMBER($Z$4))),"",ROUND(G47*C47*$Z$4,2)))</f>
        <v/>
      </c>
      <c r="I47" s="230" t="n"/>
      <c r="J47" s="225">
        <f>IF(AND(A47="",A46&lt;&gt;"",COUNTIF(A48:$A$200,"&lt;&gt;")=0),ROUND(SUMIF($A$2:A46,"&lt;&gt;",$J$2:J46),2),IF(OR(A47="",I47="",C47="",NOT(ISNUMBER($Z$5))),"",ROUND(I47*C47*$Z$5,2)))</f>
        <v/>
      </c>
      <c r="K47" s="230" t="n"/>
      <c r="L47" s="225">
        <f>IF(AND(A47="",A46&lt;&gt;"",COUNTIF(A48:$A$200,"&lt;&gt;")=0),ROUND(SUMIF($A$2:A46,"&lt;&gt;",$L$2:L46),2),IF(OR(A47="",K47="",C47="",NOT(ISNUMBER($Z$6))),"",ROUND(K47*C47*$Z$6,2)))</f>
        <v/>
      </c>
      <c r="M47" s="231">
        <f>IF(OR(E47="",G47=""),"",ROUND(MAX(E47-G47,0),2))</f>
        <v/>
      </c>
      <c r="N47" s="225">
        <f>IF(AND(A47="",A46&lt;&gt;"",COUNTIF(A48:$A$200,"&lt;&gt;")=0),ROUND(SUMIF($A$2:A46,"&lt;&gt;",$N$2:N46),2),IF(OR(M47="",C47="",NOT(ISNUMBER($Z$3))),"",ROUND(M47*C47*$Z$3,2)))</f>
        <v/>
      </c>
      <c r="O47" s="231">
        <f>IF(OR(G47="",I47=""),"",ROUND(MAX(G47-I47,0),2))</f>
        <v/>
      </c>
      <c r="P47" s="225">
        <f>IF(AND(A47="",A46&lt;&gt;"",COUNTIF(A48:$A$200,"&lt;&gt;")=0),ROUND(SUMIF($A$2:A46,"&lt;&gt;",$P$2:P46),2),IF(OR(O47="",C47="",NOT(ISNUMBER($Z$4))),"",ROUND(O47*C47*$Z$4,2)))</f>
        <v/>
      </c>
      <c r="Q47" s="231">
        <f>IF(OR(I47="",K47=""),"",ROUND(MAX(I47-K47,0),2))</f>
        <v/>
      </c>
      <c r="R47" s="225">
        <f>IF(AND(A47="",A46&lt;&gt;"",COUNTIF(A48:$A$200,"&lt;&gt;")=0),ROUND(SUMIF($A$2:A46,"&lt;&gt;",$R$2:R46),2),IF(OR(Q47="",C47="",NOT(ISNUMBER($Z$5))),"",ROUND(Q47*C47*$Z$5,2)))</f>
        <v/>
      </c>
      <c r="S47" s="27" t="n"/>
      <c r="T47" s="232" t="n"/>
      <c r="U47" s="233">
        <f>IF(AND(A47="",A46&lt;&gt;"",COUNTIF(A48:$A$200,"&lt;&gt;")=0),"TOTAL",IF(A47="","",IF(AND(G47&lt;&gt;"",E47&lt;&gt;"",G47&gt;E47),"ALERTA: REM_C2&gt;REM_C1",IF(AND(I47&lt;&gt;"",G47&lt;&gt;"",I47&gt;G47),"ALERTA: REM_C3&gt;REM_C2",IF(AND(K47&lt;&gt;"",I47&lt;&gt;"",K47&gt;I47),"ALERTA: REM_C4&gt;REM_C3","OK")))))</f>
        <v/>
      </c>
      <c r="V47" s="233">
        <f>IF(A47="","",IF(B47="","",IF(OR(B47&lt;0,E47&gt;B47,G47&gt;B47,I47&gt;B47,K47&gt;B47),"ALERTA: QTD_INVALIDA","OK")))</f>
        <v/>
      </c>
      <c r="W47" s="19" t="n"/>
      <c r="X47" s="19" t="n"/>
      <c r="Y47" s="19" t="n"/>
      <c r="Z47" s="17" t="n"/>
      <c r="AA47" s="17" t="n"/>
      <c r="AB47" s="231">
        <f>IF(OR(A47="",E47=""),"",ROUND(B47-E47,2))</f>
        <v/>
      </c>
      <c r="AC47" s="225">
        <f>IF(AND(A47="",A46&lt;&gt;"",COUNTIF(A48:$A$200,"&lt;&gt;")=0),ROUND(SUMIF($A$2:A46,"&lt;&gt;",$AC$2:AC46),2),IF(OR(A47="",E47=""),"",ROUND(D47-E47*C47,2)))</f>
        <v/>
      </c>
      <c r="AD47" s="17" t="n"/>
    </row>
    <row r="48">
      <c r="A48" s="227" t="n"/>
      <c r="B48" s="228" t="n"/>
      <c r="C48" s="229" t="n"/>
      <c r="D48" s="225">
        <f>IF(AND(A48="",A47&lt;&gt;"",COUNTIF(A49:$A$200,"&lt;&gt;")=0),ROUND(SUMIF($A$2:A47,"&lt;&gt;",$D$2:D47),2),IF(OR(A48="",B48="",C48=""),"",ROUND(B48*C48,2)))</f>
        <v/>
      </c>
      <c r="E48" s="230" t="n"/>
      <c r="F48" s="225">
        <f>IF(AND(A48="",A47&lt;&gt;"",COUNTIF(A49:$A$200,"&lt;&gt;")=0),ROUND(SUMIF($A$2:A47,"&lt;&gt;",$F$2:F47),2),IF(OR(A48="",E48="",C48="",NOT(ISNUMBER($Z$3))),"",ROUND(E48*C48*$Z$3,2)))</f>
        <v/>
      </c>
      <c r="G48" s="230" t="n"/>
      <c r="H48" s="225">
        <f>IF(AND(A48="",A47&lt;&gt;"",COUNTIF(A49:$A$200,"&lt;&gt;")=0),ROUND(SUMIF($A$2:A47,"&lt;&gt;",$H$2:H47),2),IF(OR(A48="",G48="",C48="",NOT(ISNUMBER($Z$4))),"",ROUND(G48*C48*$Z$4,2)))</f>
        <v/>
      </c>
      <c r="I48" s="230" t="n"/>
      <c r="J48" s="225">
        <f>IF(AND(A48="",A47&lt;&gt;"",COUNTIF(A49:$A$200,"&lt;&gt;")=0),ROUND(SUMIF($A$2:A47,"&lt;&gt;",$J$2:J47),2),IF(OR(A48="",I48="",C48="",NOT(ISNUMBER($Z$5))),"",ROUND(I48*C48*$Z$5,2)))</f>
        <v/>
      </c>
      <c r="K48" s="230" t="n"/>
      <c r="L48" s="225">
        <f>IF(AND(A48="",A47&lt;&gt;"",COUNTIF(A49:$A$200,"&lt;&gt;")=0),ROUND(SUMIF($A$2:A47,"&lt;&gt;",$L$2:L47),2),IF(OR(A48="",K48="",C48="",NOT(ISNUMBER($Z$6))),"",ROUND(K48*C48*$Z$6,2)))</f>
        <v/>
      </c>
      <c r="M48" s="231">
        <f>IF(OR(E48="",G48=""),"",ROUND(MAX(E48-G48,0),2))</f>
        <v/>
      </c>
      <c r="N48" s="225">
        <f>IF(AND(A48="",A47&lt;&gt;"",COUNTIF(A49:$A$200,"&lt;&gt;")=0),ROUND(SUMIF($A$2:A47,"&lt;&gt;",$N$2:N47),2),IF(OR(M48="",C48="",NOT(ISNUMBER($Z$3))),"",ROUND(M48*C48*$Z$3,2)))</f>
        <v/>
      </c>
      <c r="O48" s="231">
        <f>IF(OR(G48="",I48=""),"",ROUND(MAX(G48-I48,0),2))</f>
        <v/>
      </c>
      <c r="P48" s="225">
        <f>IF(AND(A48="",A47&lt;&gt;"",COUNTIF(A49:$A$200,"&lt;&gt;")=0),ROUND(SUMIF($A$2:A47,"&lt;&gt;",$P$2:P47),2),IF(OR(O48="",C48="",NOT(ISNUMBER($Z$4))),"",ROUND(O48*C48*$Z$4,2)))</f>
        <v/>
      </c>
      <c r="Q48" s="231">
        <f>IF(OR(I48="",K48=""),"",ROUND(MAX(I48-K48,0),2))</f>
        <v/>
      </c>
      <c r="R48" s="225">
        <f>IF(AND(A48="",A47&lt;&gt;"",COUNTIF(A49:$A$200,"&lt;&gt;")=0),ROUND(SUMIF($A$2:A47,"&lt;&gt;",$R$2:R47),2),IF(OR(Q48="",C48="",NOT(ISNUMBER($Z$5))),"",ROUND(Q48*C48*$Z$5,2)))</f>
        <v/>
      </c>
      <c r="S48" s="27" t="n"/>
      <c r="T48" s="232" t="n"/>
      <c r="U48" s="233">
        <f>IF(AND(A48="",A47&lt;&gt;"",COUNTIF(A49:$A$200,"&lt;&gt;")=0),"TOTAL",IF(A48="","",IF(AND(G48&lt;&gt;"",E48&lt;&gt;"",G48&gt;E48),"ALERTA: REM_C2&gt;REM_C1",IF(AND(I48&lt;&gt;"",G48&lt;&gt;"",I48&gt;G48),"ALERTA: REM_C3&gt;REM_C2",IF(AND(K48&lt;&gt;"",I48&lt;&gt;"",K48&gt;I48),"ALERTA: REM_C4&gt;REM_C3","OK")))))</f>
        <v/>
      </c>
      <c r="V48" s="233">
        <f>IF(A48="","",IF(B48="","",IF(OR(B48&lt;0,E48&gt;B48,G48&gt;B48,I48&gt;B48,K48&gt;B48),"ALERTA: QTD_INVALIDA","OK")))</f>
        <v/>
      </c>
      <c r="W48" s="19" t="n"/>
      <c r="X48" s="19" t="n"/>
      <c r="Y48" s="19" t="n"/>
      <c r="Z48" s="17" t="n"/>
      <c r="AA48" s="17" t="n"/>
      <c r="AB48" s="231">
        <f>IF(OR(A48="",E48=""),"",ROUND(B48-E48,2))</f>
        <v/>
      </c>
      <c r="AC48" s="225">
        <f>IF(AND(A48="",A47&lt;&gt;"",COUNTIF(A49:$A$200,"&lt;&gt;")=0),ROUND(SUMIF($A$2:A47,"&lt;&gt;",$AC$2:AC47),2),IF(OR(A48="",E48=""),"",ROUND(D48-E48*C48,2)))</f>
        <v/>
      </c>
      <c r="AD48" s="17" t="n"/>
    </row>
    <row r="49">
      <c r="A49" s="227" t="n"/>
      <c r="B49" s="228" t="n"/>
      <c r="C49" s="229" t="n"/>
      <c r="D49" s="225">
        <f>IF(AND(A49="",A48&lt;&gt;"",COUNTIF(A50:$A$200,"&lt;&gt;")=0),ROUND(SUMIF($A$2:A48,"&lt;&gt;",$D$2:D48),2),IF(OR(A49="",B49="",C49=""),"",ROUND(B49*C49,2)))</f>
        <v/>
      </c>
      <c r="E49" s="230" t="n"/>
      <c r="F49" s="225">
        <f>IF(AND(A49="",A48&lt;&gt;"",COUNTIF(A50:$A$200,"&lt;&gt;")=0),ROUND(SUMIF($A$2:A48,"&lt;&gt;",$F$2:F48),2),IF(OR(A49="",E49="",C49="",NOT(ISNUMBER($Z$3))),"",ROUND(E49*C49*$Z$3,2)))</f>
        <v/>
      </c>
      <c r="G49" s="230" t="n"/>
      <c r="H49" s="225">
        <f>IF(AND(A49="",A48&lt;&gt;"",COUNTIF(A50:$A$200,"&lt;&gt;")=0),ROUND(SUMIF($A$2:A48,"&lt;&gt;",$H$2:H48),2),IF(OR(A49="",G49="",C49="",NOT(ISNUMBER($Z$4))),"",ROUND(G49*C49*$Z$4,2)))</f>
        <v/>
      </c>
      <c r="I49" s="230" t="n"/>
      <c r="J49" s="225">
        <f>IF(AND(A49="",A48&lt;&gt;"",COUNTIF(A50:$A$200,"&lt;&gt;")=0),ROUND(SUMIF($A$2:A48,"&lt;&gt;",$J$2:J48),2),IF(OR(A49="",I49="",C49="",NOT(ISNUMBER($Z$5))),"",ROUND(I49*C49*$Z$5,2)))</f>
        <v/>
      </c>
      <c r="K49" s="230" t="n"/>
      <c r="L49" s="225">
        <f>IF(AND(A49="",A48&lt;&gt;"",COUNTIF(A50:$A$200,"&lt;&gt;")=0),ROUND(SUMIF($A$2:A48,"&lt;&gt;",$L$2:L48),2),IF(OR(A49="",K49="",C49="",NOT(ISNUMBER($Z$6))),"",ROUND(K49*C49*$Z$6,2)))</f>
        <v/>
      </c>
      <c r="M49" s="231">
        <f>IF(OR(E49="",G49=""),"",ROUND(MAX(E49-G49,0),2))</f>
        <v/>
      </c>
      <c r="N49" s="225">
        <f>IF(AND(A49="",A48&lt;&gt;"",COUNTIF(A50:$A$200,"&lt;&gt;")=0),ROUND(SUMIF($A$2:A48,"&lt;&gt;",$N$2:N48),2),IF(OR(M49="",C49="",NOT(ISNUMBER($Z$3))),"",ROUND(M49*C49*$Z$3,2)))</f>
        <v/>
      </c>
      <c r="O49" s="231">
        <f>IF(OR(G49="",I49=""),"",ROUND(MAX(G49-I49,0),2))</f>
        <v/>
      </c>
      <c r="P49" s="225">
        <f>IF(AND(A49="",A48&lt;&gt;"",COUNTIF(A50:$A$200,"&lt;&gt;")=0),ROUND(SUMIF($A$2:A48,"&lt;&gt;",$P$2:P48),2),IF(OR(O49="",C49="",NOT(ISNUMBER($Z$4))),"",ROUND(O49*C49*$Z$4,2)))</f>
        <v/>
      </c>
      <c r="Q49" s="231">
        <f>IF(OR(I49="",K49=""),"",ROUND(MAX(I49-K49,0),2))</f>
        <v/>
      </c>
      <c r="R49" s="225">
        <f>IF(AND(A49="",A48&lt;&gt;"",COUNTIF(A50:$A$200,"&lt;&gt;")=0),ROUND(SUMIF($A$2:A48,"&lt;&gt;",$R$2:R48),2),IF(OR(Q49="",C49="",NOT(ISNUMBER($Z$5))),"",ROUND(Q49*C49*$Z$5,2)))</f>
        <v/>
      </c>
      <c r="S49" s="27" t="n"/>
      <c r="T49" s="232" t="n"/>
      <c r="U49" s="233">
        <f>IF(AND(A49="",A48&lt;&gt;"",COUNTIF(A50:$A$200,"&lt;&gt;")=0),"TOTAL",IF(A49="","",IF(AND(G49&lt;&gt;"",E49&lt;&gt;"",G49&gt;E49),"ALERTA: REM_C2&gt;REM_C1",IF(AND(I49&lt;&gt;"",G49&lt;&gt;"",I49&gt;G49),"ALERTA: REM_C3&gt;REM_C2",IF(AND(K49&lt;&gt;"",I49&lt;&gt;"",K49&gt;I49),"ALERTA: REM_C4&gt;REM_C3","OK")))))</f>
        <v/>
      </c>
      <c r="V49" s="233">
        <f>IF(A49="","",IF(B49="","",IF(OR(B49&lt;0,E49&gt;B49,G49&gt;B49,I49&gt;B49,K49&gt;B49),"ALERTA: QTD_INVALIDA","OK")))</f>
        <v/>
      </c>
      <c r="W49" s="19" t="n"/>
      <c r="X49" s="19" t="n"/>
      <c r="Y49" s="19" t="n"/>
      <c r="Z49" s="17" t="n"/>
      <c r="AA49" s="17" t="n"/>
      <c r="AB49" s="231">
        <f>IF(OR(A49="",E49=""),"",ROUND(B49-E49,2))</f>
        <v/>
      </c>
      <c r="AC49" s="225">
        <f>IF(AND(A49="",A48&lt;&gt;"",COUNTIF(A50:$A$200,"&lt;&gt;")=0),ROUND(SUMIF($A$2:A48,"&lt;&gt;",$AC$2:AC48),2),IF(OR(A49="",E49=""),"",ROUND(D49-E49*C49,2)))</f>
        <v/>
      </c>
      <c r="AD49" s="17" t="n"/>
    </row>
    <row r="50">
      <c r="A50" s="227" t="n"/>
      <c r="B50" s="228" t="n"/>
      <c r="C50" s="229" t="n"/>
      <c r="D50" s="225">
        <f>IF(AND(A50="",A49&lt;&gt;"",COUNTIF(A51:$A$200,"&lt;&gt;")=0),ROUND(SUMIF($A$2:A49,"&lt;&gt;",$D$2:D49),2),IF(OR(A50="",B50="",C50=""),"",ROUND(B50*C50,2)))</f>
        <v/>
      </c>
      <c r="E50" s="230" t="n"/>
      <c r="F50" s="225">
        <f>IF(AND(A50="",A49&lt;&gt;"",COUNTIF(A51:$A$200,"&lt;&gt;")=0),ROUND(SUMIF($A$2:A49,"&lt;&gt;",$F$2:F49),2),IF(OR(A50="",E50="",C50="",NOT(ISNUMBER($Z$3))),"",ROUND(E50*C50*$Z$3,2)))</f>
        <v/>
      </c>
      <c r="G50" s="230" t="n"/>
      <c r="H50" s="225">
        <f>IF(AND(A50="",A49&lt;&gt;"",COUNTIF(A51:$A$200,"&lt;&gt;")=0),ROUND(SUMIF($A$2:A49,"&lt;&gt;",$H$2:H49),2),IF(OR(A50="",G50="",C50="",NOT(ISNUMBER($Z$4))),"",ROUND(G50*C50*$Z$4,2)))</f>
        <v/>
      </c>
      <c r="I50" s="230" t="n"/>
      <c r="J50" s="225">
        <f>IF(AND(A50="",A49&lt;&gt;"",COUNTIF(A51:$A$200,"&lt;&gt;")=0),ROUND(SUMIF($A$2:A49,"&lt;&gt;",$J$2:J49),2),IF(OR(A50="",I50="",C50="",NOT(ISNUMBER($Z$5))),"",ROUND(I50*C50*$Z$5,2)))</f>
        <v/>
      </c>
      <c r="K50" s="230" t="n"/>
      <c r="L50" s="225">
        <f>IF(AND(A50="",A49&lt;&gt;"",COUNTIF(A51:$A$200,"&lt;&gt;")=0),ROUND(SUMIF($A$2:A49,"&lt;&gt;",$L$2:L49),2),IF(OR(A50="",K50="",C50="",NOT(ISNUMBER($Z$6))),"",ROUND(K50*C50*$Z$6,2)))</f>
        <v/>
      </c>
      <c r="M50" s="231">
        <f>IF(OR(E50="",G50=""),"",ROUND(MAX(E50-G50,0),2))</f>
        <v/>
      </c>
      <c r="N50" s="225">
        <f>IF(AND(A50="",A49&lt;&gt;"",COUNTIF(A51:$A$200,"&lt;&gt;")=0),ROUND(SUMIF($A$2:A49,"&lt;&gt;",$N$2:N49),2),IF(OR(M50="",C50="",NOT(ISNUMBER($Z$3))),"",ROUND(M50*C50*$Z$3,2)))</f>
        <v/>
      </c>
      <c r="O50" s="231">
        <f>IF(OR(G50="",I50=""),"",ROUND(MAX(G50-I50,0),2))</f>
        <v/>
      </c>
      <c r="P50" s="225">
        <f>IF(AND(A50="",A49&lt;&gt;"",COUNTIF(A51:$A$200,"&lt;&gt;")=0),ROUND(SUMIF($A$2:A49,"&lt;&gt;",$P$2:P49),2),IF(OR(O50="",C50="",NOT(ISNUMBER($Z$4))),"",ROUND(O50*C50*$Z$4,2)))</f>
        <v/>
      </c>
      <c r="Q50" s="231">
        <f>IF(OR(I50="",K50=""),"",ROUND(MAX(I50-K50,0),2))</f>
        <v/>
      </c>
      <c r="R50" s="225">
        <f>IF(AND(A50="",A49&lt;&gt;"",COUNTIF(A51:$A$200,"&lt;&gt;")=0),ROUND(SUMIF($A$2:A49,"&lt;&gt;",$R$2:R49),2),IF(OR(Q50="",C50="",NOT(ISNUMBER($Z$5))),"",ROUND(Q50*C50*$Z$5,2)))</f>
        <v/>
      </c>
      <c r="S50" s="27" t="n"/>
      <c r="T50" s="232" t="n"/>
      <c r="U50" s="233">
        <f>IF(AND(A50="",A49&lt;&gt;"",COUNTIF(A51:$A$200,"&lt;&gt;")=0),"TOTAL",IF(A50="","",IF(AND(G50&lt;&gt;"",E50&lt;&gt;"",G50&gt;E50),"ALERTA: REM_C2&gt;REM_C1",IF(AND(I50&lt;&gt;"",G50&lt;&gt;"",I50&gt;G50),"ALERTA: REM_C3&gt;REM_C2",IF(AND(K50&lt;&gt;"",I50&lt;&gt;"",K50&gt;I50),"ALERTA: REM_C4&gt;REM_C3","OK")))))</f>
        <v/>
      </c>
      <c r="V50" s="233">
        <f>IF(A50="","",IF(B50="","",IF(OR(B50&lt;0,E50&gt;B50,G50&gt;B50,I50&gt;B50,K50&gt;B50),"ALERTA: QTD_INVALIDA","OK")))</f>
        <v/>
      </c>
      <c r="W50" s="19" t="n"/>
      <c r="X50" s="19" t="n"/>
      <c r="Y50" s="19" t="n"/>
      <c r="Z50" s="17" t="n"/>
      <c r="AA50" s="17" t="n"/>
      <c r="AB50" s="231">
        <f>IF(OR(A50="",E50=""),"",ROUND(B50-E50,2))</f>
        <v/>
      </c>
      <c r="AC50" s="225">
        <f>IF(AND(A50="",A49&lt;&gt;"",COUNTIF(A51:$A$200,"&lt;&gt;")=0),ROUND(SUMIF($A$2:A49,"&lt;&gt;",$AC$2:AC49),2),IF(OR(A50="",E50=""),"",ROUND(D50-E50*C50,2)))</f>
        <v/>
      </c>
      <c r="AD50" s="17" t="n"/>
    </row>
    <row r="51">
      <c r="A51" s="227" t="n"/>
      <c r="B51" s="228" t="n"/>
      <c r="C51" s="229" t="n"/>
      <c r="D51" s="225">
        <f>IF(AND(A51="",A50&lt;&gt;"",COUNTIF(A52:$A$200,"&lt;&gt;")=0),ROUND(SUMIF($A$2:A50,"&lt;&gt;",$D$2:D50),2),IF(OR(A51="",B51="",C51=""),"",ROUND(B51*C51,2)))</f>
        <v/>
      </c>
      <c r="E51" s="230" t="n"/>
      <c r="F51" s="225">
        <f>IF(AND(A51="",A50&lt;&gt;"",COUNTIF(A52:$A$200,"&lt;&gt;")=0),ROUND(SUMIF($A$2:A50,"&lt;&gt;",$F$2:F50),2),IF(OR(A51="",E51="",C51="",NOT(ISNUMBER($Z$3))),"",ROUND(E51*C51*$Z$3,2)))</f>
        <v/>
      </c>
      <c r="G51" s="230" t="n"/>
      <c r="H51" s="225">
        <f>IF(AND(A51="",A50&lt;&gt;"",COUNTIF(A52:$A$200,"&lt;&gt;")=0),ROUND(SUMIF($A$2:A50,"&lt;&gt;",$H$2:H50),2),IF(OR(A51="",G51="",C51="",NOT(ISNUMBER($Z$4))),"",ROUND(G51*C51*$Z$4,2)))</f>
        <v/>
      </c>
      <c r="I51" s="230" t="n"/>
      <c r="J51" s="225">
        <f>IF(AND(A51="",A50&lt;&gt;"",COUNTIF(A52:$A$200,"&lt;&gt;")=0),ROUND(SUMIF($A$2:A50,"&lt;&gt;",$J$2:J50),2),IF(OR(A51="",I51="",C51="",NOT(ISNUMBER($Z$5))),"",ROUND(I51*C51*$Z$5,2)))</f>
        <v/>
      </c>
      <c r="K51" s="230" t="n"/>
      <c r="L51" s="225">
        <f>IF(AND(A51="",A50&lt;&gt;"",COUNTIF(A52:$A$200,"&lt;&gt;")=0),ROUND(SUMIF($A$2:A50,"&lt;&gt;",$L$2:L50),2),IF(OR(A51="",K51="",C51="",NOT(ISNUMBER($Z$6))),"",ROUND(K51*C51*$Z$6,2)))</f>
        <v/>
      </c>
      <c r="M51" s="231">
        <f>IF(OR(E51="",G51=""),"",ROUND(MAX(E51-G51,0),2))</f>
        <v/>
      </c>
      <c r="N51" s="225">
        <f>IF(AND(A51="",A50&lt;&gt;"",COUNTIF(A52:$A$200,"&lt;&gt;")=0),ROUND(SUMIF($A$2:A50,"&lt;&gt;",$N$2:N50),2),IF(OR(M51="",C51="",NOT(ISNUMBER($Z$3))),"",ROUND(M51*C51*$Z$3,2)))</f>
        <v/>
      </c>
      <c r="O51" s="231">
        <f>IF(OR(G51="",I51=""),"",ROUND(MAX(G51-I51,0),2))</f>
        <v/>
      </c>
      <c r="P51" s="225">
        <f>IF(AND(A51="",A50&lt;&gt;"",COUNTIF(A52:$A$200,"&lt;&gt;")=0),ROUND(SUMIF($A$2:A50,"&lt;&gt;",$P$2:P50),2),IF(OR(O51="",C51="",NOT(ISNUMBER($Z$4))),"",ROUND(O51*C51*$Z$4,2)))</f>
        <v/>
      </c>
      <c r="Q51" s="231">
        <f>IF(OR(I51="",K51=""),"",ROUND(MAX(I51-K51,0),2))</f>
        <v/>
      </c>
      <c r="R51" s="225">
        <f>IF(AND(A51="",A50&lt;&gt;"",COUNTIF(A52:$A$200,"&lt;&gt;")=0),ROUND(SUMIF($A$2:A50,"&lt;&gt;",$R$2:R50),2),IF(OR(Q51="",C51="",NOT(ISNUMBER($Z$5))),"",ROUND(Q51*C51*$Z$5,2)))</f>
        <v/>
      </c>
      <c r="S51" s="27" t="n"/>
      <c r="T51" s="232" t="n"/>
      <c r="U51" s="233">
        <f>IF(AND(A51="",A50&lt;&gt;"",COUNTIF(A52:$A$200,"&lt;&gt;")=0),"TOTAL",IF(A51="","",IF(AND(G51&lt;&gt;"",E51&lt;&gt;"",G51&gt;E51),"ALERTA: REM_C2&gt;REM_C1",IF(AND(I51&lt;&gt;"",G51&lt;&gt;"",I51&gt;G51),"ALERTA: REM_C3&gt;REM_C2",IF(AND(K51&lt;&gt;"",I51&lt;&gt;"",K51&gt;I51),"ALERTA: REM_C4&gt;REM_C3","OK")))))</f>
        <v/>
      </c>
      <c r="V51" s="233">
        <f>IF(A51="","",IF(B51="","",IF(OR(B51&lt;0,E51&gt;B51,G51&gt;B51,I51&gt;B51,K51&gt;B51),"ALERTA: QTD_INVALIDA","OK")))</f>
        <v/>
      </c>
      <c r="W51" s="19" t="n"/>
      <c r="X51" s="19" t="n"/>
      <c r="Y51" s="19" t="n"/>
      <c r="Z51" s="17" t="n"/>
      <c r="AA51" s="17" t="n"/>
      <c r="AB51" s="231">
        <f>IF(OR(A51="",E51=""),"",ROUND(B51-E51,2))</f>
        <v/>
      </c>
      <c r="AC51" s="225">
        <f>IF(AND(A51="",A50&lt;&gt;"",COUNTIF(A52:$A$200,"&lt;&gt;")=0),ROUND(SUMIF($A$2:A50,"&lt;&gt;",$AC$2:AC50),2),IF(OR(A51="",E51=""),"",ROUND(D51-E51*C51,2)))</f>
        <v/>
      </c>
      <c r="AD51" s="17" t="n"/>
    </row>
    <row r="52">
      <c r="A52" s="227" t="n"/>
      <c r="B52" s="228" t="n"/>
      <c r="C52" s="229" t="n"/>
      <c r="D52" s="225">
        <f>IF(AND(A52="",A51&lt;&gt;"",COUNTIF(A53:$A$200,"&lt;&gt;")=0),ROUND(SUMIF($A$2:A51,"&lt;&gt;",$D$2:D51),2),IF(OR(A52="",B52="",C52=""),"",ROUND(B52*C52,2)))</f>
        <v/>
      </c>
      <c r="E52" s="230" t="n"/>
      <c r="F52" s="225">
        <f>IF(AND(A52="",A51&lt;&gt;"",COUNTIF(A53:$A$200,"&lt;&gt;")=0),ROUND(SUMIF($A$2:A51,"&lt;&gt;",$F$2:F51),2),IF(OR(A52="",E52="",C52="",NOT(ISNUMBER($Z$3))),"",ROUND(E52*C52*$Z$3,2)))</f>
        <v/>
      </c>
      <c r="G52" s="230" t="n"/>
      <c r="H52" s="225">
        <f>IF(AND(A52="",A51&lt;&gt;"",COUNTIF(A53:$A$200,"&lt;&gt;")=0),ROUND(SUMIF($A$2:A51,"&lt;&gt;",$H$2:H51),2),IF(OR(A52="",G52="",C52="",NOT(ISNUMBER($Z$4))),"",ROUND(G52*C52*$Z$4,2)))</f>
        <v/>
      </c>
      <c r="I52" s="230" t="n"/>
      <c r="J52" s="225">
        <f>IF(AND(A52="",A51&lt;&gt;"",COUNTIF(A53:$A$200,"&lt;&gt;")=0),ROUND(SUMIF($A$2:A51,"&lt;&gt;",$J$2:J51),2),IF(OR(A52="",I52="",C52="",NOT(ISNUMBER($Z$5))),"",ROUND(I52*C52*$Z$5,2)))</f>
        <v/>
      </c>
      <c r="K52" s="230" t="n"/>
      <c r="L52" s="225">
        <f>IF(AND(A52="",A51&lt;&gt;"",COUNTIF(A53:$A$200,"&lt;&gt;")=0),ROUND(SUMIF($A$2:A51,"&lt;&gt;",$L$2:L51),2),IF(OR(A52="",K52="",C52="",NOT(ISNUMBER($Z$6))),"",ROUND(K52*C52*$Z$6,2)))</f>
        <v/>
      </c>
      <c r="M52" s="231">
        <f>IF(OR(E52="",G52=""),"",ROUND(MAX(E52-G52,0),2))</f>
        <v/>
      </c>
      <c r="N52" s="225">
        <f>IF(AND(A52="",A51&lt;&gt;"",COUNTIF(A53:$A$200,"&lt;&gt;")=0),ROUND(SUMIF($A$2:A51,"&lt;&gt;",$N$2:N51),2),IF(OR(M52="",C52="",NOT(ISNUMBER($Z$3))),"",ROUND(M52*C52*$Z$3,2)))</f>
        <v/>
      </c>
      <c r="O52" s="231">
        <f>IF(OR(G52="",I52=""),"",ROUND(MAX(G52-I52,0),2))</f>
        <v/>
      </c>
      <c r="P52" s="225">
        <f>IF(AND(A52="",A51&lt;&gt;"",COUNTIF(A53:$A$200,"&lt;&gt;")=0),ROUND(SUMIF($A$2:A51,"&lt;&gt;",$P$2:P51),2),IF(OR(O52="",C52="",NOT(ISNUMBER($Z$4))),"",ROUND(O52*C52*$Z$4,2)))</f>
        <v/>
      </c>
      <c r="Q52" s="231">
        <f>IF(OR(I52="",K52=""),"",ROUND(MAX(I52-K52,0),2))</f>
        <v/>
      </c>
      <c r="R52" s="225">
        <f>IF(AND(A52="",A51&lt;&gt;"",COUNTIF(A53:$A$200,"&lt;&gt;")=0),ROUND(SUMIF($A$2:A51,"&lt;&gt;",$R$2:R51),2),IF(OR(Q52="",C52="",NOT(ISNUMBER($Z$5))),"",ROUND(Q52*C52*$Z$5,2)))</f>
        <v/>
      </c>
      <c r="S52" s="27" t="n"/>
      <c r="T52" s="232" t="n"/>
      <c r="U52" s="233">
        <f>IF(AND(A52="",A51&lt;&gt;"",COUNTIF(A53:$A$200,"&lt;&gt;")=0),"TOTAL",IF(A52="","",IF(AND(G52&lt;&gt;"",E52&lt;&gt;"",G52&gt;E52),"ALERTA: REM_C2&gt;REM_C1",IF(AND(I52&lt;&gt;"",G52&lt;&gt;"",I52&gt;G52),"ALERTA: REM_C3&gt;REM_C2",IF(AND(K52&lt;&gt;"",I52&lt;&gt;"",K52&gt;I52),"ALERTA: REM_C4&gt;REM_C3","OK")))))</f>
        <v/>
      </c>
      <c r="V52" s="233">
        <f>IF(A52="","",IF(B52="","",IF(OR(B52&lt;0,E52&gt;B52,G52&gt;B52,I52&gt;B52,K52&gt;B52),"ALERTA: QTD_INVALIDA","OK")))</f>
        <v/>
      </c>
      <c r="W52" s="19" t="n"/>
      <c r="X52" s="19" t="n"/>
      <c r="Y52" s="19" t="n"/>
      <c r="Z52" s="17" t="n"/>
      <c r="AA52" s="17" t="n"/>
      <c r="AB52" s="231">
        <f>IF(OR(A52="",E52=""),"",ROUND(B52-E52,2))</f>
        <v/>
      </c>
      <c r="AC52" s="225">
        <f>IF(AND(A52="",A51&lt;&gt;"",COUNTIF(A53:$A$200,"&lt;&gt;")=0),ROUND(SUMIF($A$2:A51,"&lt;&gt;",$AC$2:AC51),2),IF(OR(A52="",E52=""),"",ROUND(D52-E52*C52,2)))</f>
        <v/>
      </c>
      <c r="AD52" s="17" t="n"/>
    </row>
    <row r="53">
      <c r="A53" s="227" t="n"/>
      <c r="B53" s="228" t="n"/>
      <c r="C53" s="229" t="n"/>
      <c r="D53" s="225">
        <f>IF(AND(A53="",A52&lt;&gt;"",COUNTIF(A54:$A$200,"&lt;&gt;")=0),ROUND(SUMIF($A$2:A52,"&lt;&gt;",$D$2:D52),2),IF(OR(A53="",B53="",C53=""),"",ROUND(B53*C53,2)))</f>
        <v/>
      </c>
      <c r="E53" s="230" t="n"/>
      <c r="F53" s="225">
        <f>IF(AND(A53="",A52&lt;&gt;"",COUNTIF(A54:$A$200,"&lt;&gt;")=0),ROUND(SUMIF($A$2:A52,"&lt;&gt;",$F$2:F52),2),IF(OR(A53="",E53="",C53="",NOT(ISNUMBER($Z$3))),"",ROUND(E53*C53*$Z$3,2)))</f>
        <v/>
      </c>
      <c r="G53" s="230" t="n"/>
      <c r="H53" s="225">
        <f>IF(AND(A53="",A52&lt;&gt;"",COUNTIF(A54:$A$200,"&lt;&gt;")=0),ROUND(SUMIF($A$2:A52,"&lt;&gt;",$H$2:H52),2),IF(OR(A53="",G53="",C53="",NOT(ISNUMBER($Z$4))),"",ROUND(G53*C53*$Z$4,2)))</f>
        <v/>
      </c>
      <c r="I53" s="230" t="n"/>
      <c r="J53" s="225">
        <f>IF(AND(A53="",A52&lt;&gt;"",COUNTIF(A54:$A$200,"&lt;&gt;")=0),ROUND(SUMIF($A$2:A52,"&lt;&gt;",$J$2:J52),2),IF(OR(A53="",I53="",C53="",NOT(ISNUMBER($Z$5))),"",ROUND(I53*C53*$Z$5,2)))</f>
        <v/>
      </c>
      <c r="K53" s="230" t="n"/>
      <c r="L53" s="225">
        <f>IF(AND(A53="",A52&lt;&gt;"",COUNTIF(A54:$A$200,"&lt;&gt;")=0),ROUND(SUMIF($A$2:A52,"&lt;&gt;",$L$2:L52),2),IF(OR(A53="",K53="",C53="",NOT(ISNUMBER($Z$6))),"",ROUND(K53*C53*$Z$6,2)))</f>
        <v/>
      </c>
      <c r="M53" s="231">
        <f>IF(OR(E53="",G53=""),"",ROUND(MAX(E53-G53,0),2))</f>
        <v/>
      </c>
      <c r="N53" s="225">
        <f>IF(AND(A53="",A52&lt;&gt;"",COUNTIF(A54:$A$200,"&lt;&gt;")=0),ROUND(SUMIF($A$2:A52,"&lt;&gt;",$N$2:N52),2),IF(OR(M53="",C53="",NOT(ISNUMBER($Z$3))),"",ROUND(M53*C53*$Z$3,2)))</f>
        <v/>
      </c>
      <c r="O53" s="231">
        <f>IF(OR(G53="",I53=""),"",ROUND(MAX(G53-I53,0),2))</f>
        <v/>
      </c>
      <c r="P53" s="225">
        <f>IF(AND(A53="",A52&lt;&gt;"",COUNTIF(A54:$A$200,"&lt;&gt;")=0),ROUND(SUMIF($A$2:A52,"&lt;&gt;",$P$2:P52),2),IF(OR(O53="",C53="",NOT(ISNUMBER($Z$4))),"",ROUND(O53*C53*$Z$4,2)))</f>
        <v/>
      </c>
      <c r="Q53" s="231">
        <f>IF(OR(I53="",K53=""),"",ROUND(MAX(I53-K53,0),2))</f>
        <v/>
      </c>
      <c r="R53" s="225">
        <f>IF(AND(A53="",A52&lt;&gt;"",COUNTIF(A54:$A$200,"&lt;&gt;")=0),ROUND(SUMIF($A$2:A52,"&lt;&gt;",$R$2:R52),2),IF(OR(Q53="",C53="",NOT(ISNUMBER($Z$5))),"",ROUND(Q53*C53*$Z$5,2)))</f>
        <v/>
      </c>
      <c r="S53" s="27" t="n"/>
      <c r="T53" s="232" t="n"/>
      <c r="U53" s="233">
        <f>IF(AND(A53="",A52&lt;&gt;"",COUNTIF(A54:$A$200,"&lt;&gt;")=0),"TOTAL",IF(A53="","",IF(AND(G53&lt;&gt;"",E53&lt;&gt;"",G53&gt;E53),"ALERTA: REM_C2&gt;REM_C1",IF(AND(I53&lt;&gt;"",G53&lt;&gt;"",I53&gt;G53),"ALERTA: REM_C3&gt;REM_C2",IF(AND(K53&lt;&gt;"",I53&lt;&gt;"",K53&gt;I53),"ALERTA: REM_C4&gt;REM_C3","OK")))))</f>
        <v/>
      </c>
      <c r="V53" s="233">
        <f>IF(A53="","",IF(B53="","",IF(OR(B53&lt;0,E53&gt;B53,G53&gt;B53,I53&gt;B53,K53&gt;B53),"ALERTA: QTD_INVALIDA","OK")))</f>
        <v/>
      </c>
      <c r="W53" s="19" t="n"/>
      <c r="X53" s="19" t="n"/>
      <c r="Y53" s="19" t="n"/>
      <c r="Z53" s="17" t="n"/>
      <c r="AA53" s="17" t="n"/>
      <c r="AB53" s="231">
        <f>IF(OR(A53="",E53=""),"",ROUND(B53-E53,2))</f>
        <v/>
      </c>
      <c r="AC53" s="225">
        <f>IF(AND(A53="",A52&lt;&gt;"",COUNTIF(A54:$A$200,"&lt;&gt;")=0),ROUND(SUMIF($A$2:A52,"&lt;&gt;",$AC$2:AC52),2),IF(OR(A53="",E53=""),"",ROUND(D53-E53*C53,2)))</f>
        <v/>
      </c>
      <c r="AD53" s="17" t="n"/>
    </row>
    <row r="54">
      <c r="A54" s="227" t="n"/>
      <c r="B54" s="228" t="n"/>
      <c r="C54" s="229" t="n"/>
      <c r="D54" s="225">
        <f>IF(AND(A54="",A53&lt;&gt;"",COUNTIF(A55:$A$200,"&lt;&gt;")=0),ROUND(SUMIF($A$2:A53,"&lt;&gt;",$D$2:D53),2),IF(OR(A54="",B54="",C54=""),"",ROUND(B54*C54,2)))</f>
        <v/>
      </c>
      <c r="E54" s="230" t="n"/>
      <c r="F54" s="225">
        <f>IF(AND(A54="",A53&lt;&gt;"",COUNTIF(A55:$A$200,"&lt;&gt;")=0),ROUND(SUMIF($A$2:A53,"&lt;&gt;",$F$2:F53),2),IF(OR(A54="",E54="",C54="",NOT(ISNUMBER($Z$3))),"",ROUND(E54*C54*$Z$3,2)))</f>
        <v/>
      </c>
      <c r="G54" s="230" t="n"/>
      <c r="H54" s="225">
        <f>IF(AND(A54="",A53&lt;&gt;"",COUNTIF(A55:$A$200,"&lt;&gt;")=0),ROUND(SUMIF($A$2:A53,"&lt;&gt;",$H$2:H53),2),IF(OR(A54="",G54="",C54="",NOT(ISNUMBER($Z$4))),"",ROUND(G54*C54*$Z$4,2)))</f>
        <v/>
      </c>
      <c r="I54" s="230" t="n"/>
      <c r="J54" s="225">
        <f>IF(AND(A54="",A53&lt;&gt;"",COUNTIF(A55:$A$200,"&lt;&gt;")=0),ROUND(SUMIF($A$2:A53,"&lt;&gt;",$J$2:J53),2),IF(OR(A54="",I54="",C54="",NOT(ISNUMBER($Z$5))),"",ROUND(I54*C54*$Z$5,2)))</f>
        <v/>
      </c>
      <c r="K54" s="230" t="n"/>
      <c r="L54" s="225">
        <f>IF(AND(A54="",A53&lt;&gt;"",COUNTIF(A55:$A$200,"&lt;&gt;")=0),ROUND(SUMIF($A$2:A53,"&lt;&gt;",$L$2:L53),2),IF(OR(A54="",K54="",C54="",NOT(ISNUMBER($Z$6))),"",ROUND(K54*C54*$Z$6,2)))</f>
        <v/>
      </c>
      <c r="M54" s="231">
        <f>IF(OR(E54="",G54=""),"",ROUND(MAX(E54-G54,0),2))</f>
        <v/>
      </c>
      <c r="N54" s="225">
        <f>IF(AND(A54="",A53&lt;&gt;"",COUNTIF(A55:$A$200,"&lt;&gt;")=0),ROUND(SUMIF($A$2:A53,"&lt;&gt;",$N$2:N53),2),IF(OR(M54="",C54="",NOT(ISNUMBER($Z$3))),"",ROUND(M54*C54*$Z$3,2)))</f>
        <v/>
      </c>
      <c r="O54" s="231">
        <f>IF(OR(G54="",I54=""),"",ROUND(MAX(G54-I54,0),2))</f>
        <v/>
      </c>
      <c r="P54" s="225">
        <f>IF(AND(A54="",A53&lt;&gt;"",COUNTIF(A55:$A$200,"&lt;&gt;")=0),ROUND(SUMIF($A$2:A53,"&lt;&gt;",$P$2:P53),2),IF(OR(O54="",C54="",NOT(ISNUMBER($Z$4))),"",ROUND(O54*C54*$Z$4,2)))</f>
        <v/>
      </c>
      <c r="Q54" s="231">
        <f>IF(OR(I54="",K54=""),"",ROUND(MAX(I54-K54,0),2))</f>
        <v/>
      </c>
      <c r="R54" s="225">
        <f>IF(AND(A54="",A53&lt;&gt;"",COUNTIF(A55:$A$200,"&lt;&gt;")=0),ROUND(SUMIF($A$2:A53,"&lt;&gt;",$R$2:R53),2),IF(OR(Q54="",C54="",NOT(ISNUMBER($Z$5))),"",ROUND(Q54*C54*$Z$5,2)))</f>
        <v/>
      </c>
      <c r="S54" s="27" t="n"/>
      <c r="T54" s="232" t="n"/>
      <c r="U54" s="233">
        <f>IF(AND(A54="",A53&lt;&gt;"",COUNTIF(A55:$A$200,"&lt;&gt;")=0),"TOTAL",IF(A54="","",IF(AND(G54&lt;&gt;"",E54&lt;&gt;"",G54&gt;E54),"ALERTA: REM_C2&gt;REM_C1",IF(AND(I54&lt;&gt;"",G54&lt;&gt;"",I54&gt;G54),"ALERTA: REM_C3&gt;REM_C2",IF(AND(K54&lt;&gt;"",I54&lt;&gt;"",K54&gt;I54),"ALERTA: REM_C4&gt;REM_C3","OK")))))</f>
        <v/>
      </c>
      <c r="V54" s="233">
        <f>IF(A54="","",IF(B54="","",IF(OR(B54&lt;0,E54&gt;B54,G54&gt;B54,I54&gt;B54,K54&gt;B54),"ALERTA: QTD_INVALIDA","OK")))</f>
        <v/>
      </c>
      <c r="W54" s="19" t="n"/>
      <c r="X54" s="19" t="n"/>
      <c r="Y54" s="19" t="n"/>
      <c r="Z54" s="17" t="n"/>
      <c r="AA54" s="17" t="n"/>
      <c r="AB54" s="231">
        <f>IF(OR(A54="",E54=""),"",ROUND(B54-E54,2))</f>
        <v/>
      </c>
      <c r="AC54" s="225">
        <f>IF(AND(A54="",A53&lt;&gt;"",COUNTIF(A55:$A$200,"&lt;&gt;")=0),ROUND(SUMIF($A$2:A53,"&lt;&gt;",$AC$2:AC53),2),IF(OR(A54="",E54=""),"",ROUND(D54-E54*C54,2)))</f>
        <v/>
      </c>
      <c r="AD54" s="17" t="n"/>
    </row>
    <row r="55">
      <c r="A55" s="227" t="n"/>
      <c r="B55" s="228" t="n"/>
      <c r="C55" s="229" t="n"/>
      <c r="D55" s="225">
        <f>IF(AND(A55="",A54&lt;&gt;"",COUNTIF(A56:$A$200,"&lt;&gt;")=0),ROUND(SUMIF($A$2:A54,"&lt;&gt;",$D$2:D54),2),IF(OR(A55="",B55="",C55=""),"",ROUND(B55*C55,2)))</f>
        <v/>
      </c>
      <c r="E55" s="230" t="n"/>
      <c r="F55" s="225">
        <f>IF(AND(A55="",A54&lt;&gt;"",COUNTIF(A56:$A$200,"&lt;&gt;")=0),ROUND(SUMIF($A$2:A54,"&lt;&gt;",$F$2:F54),2),IF(OR(A55="",E55="",C55="",NOT(ISNUMBER($Z$3))),"",ROUND(E55*C55*$Z$3,2)))</f>
        <v/>
      </c>
      <c r="G55" s="230" t="n"/>
      <c r="H55" s="225">
        <f>IF(AND(A55="",A54&lt;&gt;"",COUNTIF(A56:$A$200,"&lt;&gt;")=0),ROUND(SUMIF($A$2:A54,"&lt;&gt;",$H$2:H54),2),IF(OR(A55="",G55="",C55="",NOT(ISNUMBER($Z$4))),"",ROUND(G55*C55*$Z$4,2)))</f>
        <v/>
      </c>
      <c r="I55" s="230" t="n"/>
      <c r="J55" s="225">
        <f>IF(AND(A55="",A54&lt;&gt;"",COUNTIF(A56:$A$200,"&lt;&gt;")=0),ROUND(SUMIF($A$2:A54,"&lt;&gt;",$J$2:J54),2),IF(OR(A55="",I55="",C55="",NOT(ISNUMBER($Z$5))),"",ROUND(I55*C55*$Z$5,2)))</f>
        <v/>
      </c>
      <c r="K55" s="230" t="n"/>
      <c r="L55" s="225">
        <f>IF(AND(A55="",A54&lt;&gt;"",COUNTIF(A56:$A$200,"&lt;&gt;")=0),ROUND(SUMIF($A$2:A54,"&lt;&gt;",$L$2:L54),2),IF(OR(A55="",K55="",C55="",NOT(ISNUMBER($Z$6))),"",ROUND(K55*C55*$Z$6,2)))</f>
        <v/>
      </c>
      <c r="M55" s="231">
        <f>IF(OR(E55="",G55=""),"",ROUND(MAX(E55-G55,0),2))</f>
        <v/>
      </c>
      <c r="N55" s="225">
        <f>IF(AND(A55="",A54&lt;&gt;"",COUNTIF(A56:$A$200,"&lt;&gt;")=0),ROUND(SUMIF($A$2:A54,"&lt;&gt;",$N$2:N54),2),IF(OR(M55="",C55="",NOT(ISNUMBER($Z$3))),"",ROUND(M55*C55*$Z$3,2)))</f>
        <v/>
      </c>
      <c r="O55" s="231">
        <f>IF(OR(G55="",I55=""),"",ROUND(MAX(G55-I55,0),2))</f>
        <v/>
      </c>
      <c r="P55" s="225">
        <f>IF(AND(A55="",A54&lt;&gt;"",COUNTIF(A56:$A$200,"&lt;&gt;")=0),ROUND(SUMIF($A$2:A54,"&lt;&gt;",$P$2:P54),2),IF(OR(O55="",C55="",NOT(ISNUMBER($Z$4))),"",ROUND(O55*C55*$Z$4,2)))</f>
        <v/>
      </c>
      <c r="Q55" s="231">
        <f>IF(OR(I55="",K55=""),"",ROUND(MAX(I55-K55,0),2))</f>
        <v/>
      </c>
      <c r="R55" s="225">
        <f>IF(AND(A55="",A54&lt;&gt;"",COUNTIF(A56:$A$200,"&lt;&gt;")=0),ROUND(SUMIF($A$2:A54,"&lt;&gt;",$R$2:R54),2),IF(OR(Q55="",C55="",NOT(ISNUMBER($Z$5))),"",ROUND(Q55*C55*$Z$5,2)))</f>
        <v/>
      </c>
      <c r="S55" s="27" t="n"/>
      <c r="T55" s="232" t="n"/>
      <c r="U55" s="233">
        <f>IF(AND(A55="",A54&lt;&gt;"",COUNTIF(A56:$A$200,"&lt;&gt;")=0),"TOTAL",IF(A55="","",IF(AND(G55&lt;&gt;"",E55&lt;&gt;"",G55&gt;E55),"ALERTA: REM_C2&gt;REM_C1",IF(AND(I55&lt;&gt;"",G55&lt;&gt;"",I55&gt;G55),"ALERTA: REM_C3&gt;REM_C2",IF(AND(K55&lt;&gt;"",I55&lt;&gt;"",K55&gt;I55),"ALERTA: REM_C4&gt;REM_C3","OK")))))</f>
        <v/>
      </c>
      <c r="V55" s="233">
        <f>IF(A55="","",IF(B55="","",IF(OR(B55&lt;0,E55&gt;B55,G55&gt;B55,I55&gt;B55,K55&gt;B55),"ALERTA: QTD_INVALIDA","OK")))</f>
        <v/>
      </c>
      <c r="W55" s="19" t="n"/>
      <c r="X55" s="19" t="n"/>
      <c r="Y55" s="19" t="n"/>
      <c r="Z55" s="17" t="n"/>
      <c r="AA55" s="17" t="n"/>
      <c r="AB55" s="231">
        <f>IF(OR(A55="",E55=""),"",ROUND(B55-E55,2))</f>
        <v/>
      </c>
      <c r="AC55" s="225">
        <f>IF(AND(A55="",A54&lt;&gt;"",COUNTIF(A56:$A$200,"&lt;&gt;")=0),ROUND(SUMIF($A$2:A54,"&lt;&gt;",$AC$2:AC54),2),IF(OR(A55="",E55=""),"",ROUND(D55-E55*C55,2)))</f>
        <v/>
      </c>
      <c r="AD55" s="17" t="n"/>
    </row>
    <row r="56">
      <c r="A56" s="227" t="n"/>
      <c r="B56" s="228" t="n"/>
      <c r="C56" s="229" t="n"/>
      <c r="D56" s="225">
        <f>IF(AND(A56="",A55&lt;&gt;"",COUNTIF(A57:$A$200,"&lt;&gt;")=0),ROUND(SUMIF($A$2:A55,"&lt;&gt;",$D$2:D55),2),IF(OR(A56="",B56="",C56=""),"",ROUND(B56*C56,2)))</f>
        <v/>
      </c>
      <c r="E56" s="230" t="n"/>
      <c r="F56" s="225">
        <f>IF(AND(A56="",A55&lt;&gt;"",COUNTIF(A57:$A$200,"&lt;&gt;")=0),ROUND(SUMIF($A$2:A55,"&lt;&gt;",$F$2:F55),2),IF(OR(A56="",E56="",C56="",NOT(ISNUMBER($Z$3))),"",ROUND(E56*C56*$Z$3,2)))</f>
        <v/>
      </c>
      <c r="G56" s="230" t="n"/>
      <c r="H56" s="225">
        <f>IF(AND(A56="",A55&lt;&gt;"",COUNTIF(A57:$A$200,"&lt;&gt;")=0),ROUND(SUMIF($A$2:A55,"&lt;&gt;",$H$2:H55),2),IF(OR(A56="",G56="",C56="",NOT(ISNUMBER($Z$4))),"",ROUND(G56*C56*$Z$4,2)))</f>
        <v/>
      </c>
      <c r="I56" s="230" t="n"/>
      <c r="J56" s="225">
        <f>IF(AND(A56="",A55&lt;&gt;"",COUNTIF(A57:$A$200,"&lt;&gt;")=0),ROUND(SUMIF($A$2:A55,"&lt;&gt;",$J$2:J55),2),IF(OR(A56="",I56="",C56="",NOT(ISNUMBER($Z$5))),"",ROUND(I56*C56*$Z$5,2)))</f>
        <v/>
      </c>
      <c r="K56" s="230" t="n"/>
      <c r="L56" s="225">
        <f>IF(AND(A56="",A55&lt;&gt;"",COUNTIF(A57:$A$200,"&lt;&gt;")=0),ROUND(SUMIF($A$2:A55,"&lt;&gt;",$L$2:L55),2),IF(OR(A56="",K56="",C56="",NOT(ISNUMBER($Z$6))),"",ROUND(K56*C56*$Z$6,2)))</f>
        <v/>
      </c>
      <c r="M56" s="231">
        <f>IF(OR(E56="",G56=""),"",ROUND(MAX(E56-G56,0),2))</f>
        <v/>
      </c>
      <c r="N56" s="225">
        <f>IF(AND(A56="",A55&lt;&gt;"",COUNTIF(A57:$A$200,"&lt;&gt;")=0),ROUND(SUMIF($A$2:A55,"&lt;&gt;",$N$2:N55),2),IF(OR(M56="",C56="",NOT(ISNUMBER($Z$3))),"",ROUND(M56*C56*$Z$3,2)))</f>
        <v/>
      </c>
      <c r="O56" s="231">
        <f>IF(OR(G56="",I56=""),"",ROUND(MAX(G56-I56,0),2))</f>
        <v/>
      </c>
      <c r="P56" s="225">
        <f>IF(AND(A56="",A55&lt;&gt;"",COUNTIF(A57:$A$200,"&lt;&gt;")=0),ROUND(SUMIF($A$2:A55,"&lt;&gt;",$P$2:P55),2),IF(OR(O56="",C56="",NOT(ISNUMBER($Z$4))),"",ROUND(O56*C56*$Z$4,2)))</f>
        <v/>
      </c>
      <c r="Q56" s="231">
        <f>IF(OR(I56="",K56=""),"",ROUND(MAX(I56-K56,0),2))</f>
        <v/>
      </c>
      <c r="R56" s="225">
        <f>IF(AND(A56="",A55&lt;&gt;"",COUNTIF(A57:$A$200,"&lt;&gt;")=0),ROUND(SUMIF($A$2:A55,"&lt;&gt;",$R$2:R55),2),IF(OR(Q56="",C56="",NOT(ISNUMBER($Z$5))),"",ROUND(Q56*C56*$Z$5,2)))</f>
        <v/>
      </c>
      <c r="S56" s="27" t="n"/>
      <c r="T56" s="232" t="n"/>
      <c r="U56" s="233">
        <f>IF(AND(A56="",A55&lt;&gt;"",COUNTIF(A57:$A$200,"&lt;&gt;")=0),"TOTAL",IF(A56="","",IF(AND(G56&lt;&gt;"",E56&lt;&gt;"",G56&gt;E56),"ALERTA: REM_C2&gt;REM_C1",IF(AND(I56&lt;&gt;"",G56&lt;&gt;"",I56&gt;G56),"ALERTA: REM_C3&gt;REM_C2",IF(AND(K56&lt;&gt;"",I56&lt;&gt;"",K56&gt;I56),"ALERTA: REM_C4&gt;REM_C3","OK")))))</f>
        <v/>
      </c>
      <c r="V56" s="233">
        <f>IF(A56="","",IF(B56="","",IF(OR(B56&lt;0,E56&gt;B56,G56&gt;B56,I56&gt;B56,K56&gt;B56),"ALERTA: QTD_INVALIDA","OK")))</f>
        <v/>
      </c>
      <c r="W56" s="19" t="n"/>
      <c r="X56" s="19" t="n"/>
      <c r="Y56" s="19" t="n"/>
      <c r="Z56" s="17" t="n"/>
      <c r="AA56" s="17" t="n"/>
      <c r="AB56" s="231">
        <f>IF(OR(A56="",E56=""),"",ROUND(B56-E56,2))</f>
        <v/>
      </c>
      <c r="AC56" s="225">
        <f>IF(AND(A56="",A55&lt;&gt;"",COUNTIF(A57:$A$200,"&lt;&gt;")=0),ROUND(SUMIF($A$2:A55,"&lt;&gt;",$AC$2:AC55),2),IF(OR(A56="",E56=""),"",ROUND(D56-E56*C56,2)))</f>
        <v/>
      </c>
      <c r="AD56" s="17" t="n"/>
    </row>
    <row r="57">
      <c r="A57" s="227" t="n"/>
      <c r="B57" s="228" t="n"/>
      <c r="C57" s="229" t="n"/>
      <c r="D57" s="225">
        <f>IF(AND(A57="",A56&lt;&gt;"",COUNTIF(A58:$A$200,"&lt;&gt;")=0),ROUND(SUMIF($A$2:A56,"&lt;&gt;",$D$2:D56),2),IF(OR(A57="",B57="",C57=""),"",ROUND(B57*C57,2)))</f>
        <v/>
      </c>
      <c r="E57" s="230" t="n"/>
      <c r="F57" s="225">
        <f>IF(AND(A57="",A56&lt;&gt;"",COUNTIF(A58:$A$200,"&lt;&gt;")=0),ROUND(SUMIF($A$2:A56,"&lt;&gt;",$F$2:F56),2),IF(OR(A57="",E57="",C57="",NOT(ISNUMBER($Z$3))),"",ROUND(E57*C57*$Z$3,2)))</f>
        <v/>
      </c>
      <c r="G57" s="230" t="n"/>
      <c r="H57" s="225">
        <f>IF(AND(A57="",A56&lt;&gt;"",COUNTIF(A58:$A$200,"&lt;&gt;")=0),ROUND(SUMIF($A$2:A56,"&lt;&gt;",$H$2:H56),2),IF(OR(A57="",G57="",C57="",NOT(ISNUMBER($Z$4))),"",ROUND(G57*C57*$Z$4,2)))</f>
        <v/>
      </c>
      <c r="I57" s="230" t="n"/>
      <c r="J57" s="225">
        <f>IF(AND(A57="",A56&lt;&gt;"",COUNTIF(A58:$A$200,"&lt;&gt;")=0),ROUND(SUMIF($A$2:A56,"&lt;&gt;",$J$2:J56),2),IF(OR(A57="",I57="",C57="",NOT(ISNUMBER($Z$5))),"",ROUND(I57*C57*$Z$5,2)))</f>
        <v/>
      </c>
      <c r="K57" s="230" t="n"/>
      <c r="L57" s="225">
        <f>IF(AND(A57="",A56&lt;&gt;"",COUNTIF(A58:$A$200,"&lt;&gt;")=0),ROUND(SUMIF($A$2:A56,"&lt;&gt;",$L$2:L56),2),IF(OR(A57="",K57="",C57="",NOT(ISNUMBER($Z$6))),"",ROUND(K57*C57*$Z$6,2)))</f>
        <v/>
      </c>
      <c r="M57" s="231">
        <f>IF(OR(E57="",G57=""),"",ROUND(MAX(E57-G57,0),2))</f>
        <v/>
      </c>
      <c r="N57" s="225">
        <f>IF(AND(A57="",A56&lt;&gt;"",COUNTIF(A58:$A$200,"&lt;&gt;")=0),ROUND(SUMIF($A$2:A56,"&lt;&gt;",$N$2:N56),2),IF(OR(M57="",C57="",NOT(ISNUMBER($Z$3))),"",ROUND(M57*C57*$Z$3,2)))</f>
        <v/>
      </c>
      <c r="O57" s="231">
        <f>IF(OR(G57="",I57=""),"",ROUND(MAX(G57-I57,0),2))</f>
        <v/>
      </c>
      <c r="P57" s="225">
        <f>IF(AND(A57="",A56&lt;&gt;"",COUNTIF(A58:$A$200,"&lt;&gt;")=0),ROUND(SUMIF($A$2:A56,"&lt;&gt;",$P$2:P56),2),IF(OR(O57="",C57="",NOT(ISNUMBER($Z$4))),"",ROUND(O57*C57*$Z$4,2)))</f>
        <v/>
      </c>
      <c r="Q57" s="231">
        <f>IF(OR(I57="",K57=""),"",ROUND(MAX(I57-K57,0),2))</f>
        <v/>
      </c>
      <c r="R57" s="225">
        <f>IF(AND(A57="",A56&lt;&gt;"",COUNTIF(A58:$A$200,"&lt;&gt;")=0),ROUND(SUMIF($A$2:A56,"&lt;&gt;",$R$2:R56),2),IF(OR(Q57="",C57="",NOT(ISNUMBER($Z$5))),"",ROUND(Q57*C57*$Z$5,2)))</f>
        <v/>
      </c>
      <c r="S57" s="27" t="n"/>
      <c r="T57" s="232" t="n"/>
      <c r="U57" s="233">
        <f>IF(AND(A57="",A56&lt;&gt;"",COUNTIF(A58:$A$200,"&lt;&gt;")=0),"TOTAL",IF(A57="","",IF(AND(G57&lt;&gt;"",E57&lt;&gt;"",G57&gt;E57),"ALERTA: REM_C2&gt;REM_C1",IF(AND(I57&lt;&gt;"",G57&lt;&gt;"",I57&gt;G57),"ALERTA: REM_C3&gt;REM_C2",IF(AND(K57&lt;&gt;"",I57&lt;&gt;"",K57&gt;I57),"ALERTA: REM_C4&gt;REM_C3","OK")))))</f>
        <v/>
      </c>
      <c r="V57" s="233">
        <f>IF(A57="","",IF(B57="","",IF(OR(B57&lt;0,E57&gt;B57,G57&gt;B57,I57&gt;B57,K57&gt;B57),"ALERTA: QTD_INVALIDA","OK")))</f>
        <v/>
      </c>
      <c r="W57" s="19" t="n"/>
      <c r="X57" s="19" t="n"/>
      <c r="Y57" s="19" t="n"/>
      <c r="Z57" s="17" t="n"/>
      <c r="AA57" s="17" t="n"/>
      <c r="AB57" s="231">
        <f>IF(OR(A57="",E57=""),"",ROUND(B57-E57,2))</f>
        <v/>
      </c>
      <c r="AC57" s="225">
        <f>IF(AND(A57="",A56&lt;&gt;"",COUNTIF(A58:$A$200,"&lt;&gt;")=0),ROUND(SUMIF($A$2:A56,"&lt;&gt;",$AC$2:AC56),2),IF(OR(A57="",E57=""),"",ROUND(D57-E57*C57,2)))</f>
        <v/>
      </c>
      <c r="AD57" s="17" t="n"/>
    </row>
    <row r="58">
      <c r="A58" s="227" t="n"/>
      <c r="B58" s="228" t="n"/>
      <c r="C58" s="229" t="n"/>
      <c r="D58" s="225">
        <f>IF(AND(A58="",A57&lt;&gt;"",COUNTIF(A59:$A$200,"&lt;&gt;")=0),ROUND(SUMIF($A$2:A57,"&lt;&gt;",$D$2:D57),2),IF(OR(A58="",B58="",C58=""),"",ROUND(B58*C58,2)))</f>
        <v/>
      </c>
      <c r="E58" s="230" t="n"/>
      <c r="F58" s="225">
        <f>IF(AND(A58="",A57&lt;&gt;"",COUNTIF(A59:$A$200,"&lt;&gt;")=0),ROUND(SUMIF($A$2:A57,"&lt;&gt;",$F$2:F57),2),IF(OR(A58="",E58="",C58="",NOT(ISNUMBER($Z$3))),"",ROUND(E58*C58*$Z$3,2)))</f>
        <v/>
      </c>
      <c r="G58" s="230" t="n"/>
      <c r="H58" s="225">
        <f>IF(AND(A58="",A57&lt;&gt;"",COUNTIF(A59:$A$200,"&lt;&gt;")=0),ROUND(SUMIF($A$2:A57,"&lt;&gt;",$H$2:H57),2),IF(OR(A58="",G58="",C58="",NOT(ISNUMBER($Z$4))),"",ROUND(G58*C58*$Z$4,2)))</f>
        <v/>
      </c>
      <c r="I58" s="230" t="n"/>
      <c r="J58" s="225">
        <f>IF(AND(A58="",A57&lt;&gt;"",COUNTIF(A59:$A$200,"&lt;&gt;")=0),ROUND(SUMIF($A$2:A57,"&lt;&gt;",$J$2:J57),2),IF(OR(A58="",I58="",C58="",NOT(ISNUMBER($Z$5))),"",ROUND(I58*C58*$Z$5,2)))</f>
        <v/>
      </c>
      <c r="K58" s="230" t="n"/>
      <c r="L58" s="225">
        <f>IF(AND(A58="",A57&lt;&gt;"",COUNTIF(A59:$A$200,"&lt;&gt;")=0),ROUND(SUMIF($A$2:A57,"&lt;&gt;",$L$2:L57),2),IF(OR(A58="",K58="",C58="",NOT(ISNUMBER($Z$6))),"",ROUND(K58*C58*$Z$6,2)))</f>
        <v/>
      </c>
      <c r="M58" s="231">
        <f>IF(OR(E58="",G58=""),"",ROUND(MAX(E58-G58,0),2))</f>
        <v/>
      </c>
      <c r="N58" s="225">
        <f>IF(AND(A58="",A57&lt;&gt;"",COUNTIF(A59:$A$200,"&lt;&gt;")=0),ROUND(SUMIF($A$2:A57,"&lt;&gt;",$N$2:N57),2),IF(OR(M58="",C58="",NOT(ISNUMBER($Z$3))),"",ROUND(M58*C58*$Z$3,2)))</f>
        <v/>
      </c>
      <c r="O58" s="231">
        <f>IF(OR(G58="",I58=""),"",ROUND(MAX(G58-I58,0),2))</f>
        <v/>
      </c>
      <c r="P58" s="225">
        <f>IF(AND(A58="",A57&lt;&gt;"",COUNTIF(A59:$A$200,"&lt;&gt;")=0),ROUND(SUMIF($A$2:A57,"&lt;&gt;",$P$2:P57),2),IF(OR(O58="",C58="",NOT(ISNUMBER($Z$4))),"",ROUND(O58*C58*$Z$4,2)))</f>
        <v/>
      </c>
      <c r="Q58" s="231">
        <f>IF(OR(I58="",K58=""),"",ROUND(MAX(I58-K58,0),2))</f>
        <v/>
      </c>
      <c r="R58" s="225">
        <f>IF(AND(A58="",A57&lt;&gt;"",COUNTIF(A59:$A$200,"&lt;&gt;")=0),ROUND(SUMIF($A$2:A57,"&lt;&gt;",$R$2:R57),2),IF(OR(Q58="",C58="",NOT(ISNUMBER($Z$5))),"",ROUND(Q58*C58*$Z$5,2)))</f>
        <v/>
      </c>
      <c r="S58" s="27" t="n"/>
      <c r="T58" s="232" t="n"/>
      <c r="U58" s="233">
        <f>IF(AND(A58="",A57&lt;&gt;"",COUNTIF(A59:$A$200,"&lt;&gt;")=0),"TOTAL",IF(A58="","",IF(AND(G58&lt;&gt;"",E58&lt;&gt;"",G58&gt;E58),"ALERTA: REM_C2&gt;REM_C1",IF(AND(I58&lt;&gt;"",G58&lt;&gt;"",I58&gt;G58),"ALERTA: REM_C3&gt;REM_C2",IF(AND(K58&lt;&gt;"",I58&lt;&gt;"",K58&gt;I58),"ALERTA: REM_C4&gt;REM_C3","OK")))))</f>
        <v/>
      </c>
      <c r="V58" s="233">
        <f>IF(A58="","",IF(B58="","",IF(OR(B58&lt;0,E58&gt;B58,G58&gt;B58,I58&gt;B58,K58&gt;B58),"ALERTA: QTD_INVALIDA","OK")))</f>
        <v/>
      </c>
      <c r="W58" s="19" t="n"/>
      <c r="X58" s="19" t="n"/>
      <c r="Y58" s="19" t="n"/>
      <c r="Z58" s="17" t="n"/>
      <c r="AA58" s="17" t="n"/>
      <c r="AB58" s="231">
        <f>IF(OR(A58="",E58=""),"",ROUND(B58-E58,2))</f>
        <v/>
      </c>
      <c r="AC58" s="225">
        <f>IF(AND(A58="",A57&lt;&gt;"",COUNTIF(A59:$A$200,"&lt;&gt;")=0),ROUND(SUMIF($A$2:A57,"&lt;&gt;",$AC$2:AC57),2),IF(OR(A58="",E58=""),"",ROUND(D58-E58*C58,2)))</f>
        <v/>
      </c>
      <c r="AD58" s="17" t="n"/>
    </row>
    <row r="59">
      <c r="A59" s="227" t="n"/>
      <c r="B59" s="228" t="n"/>
      <c r="C59" s="229" t="n"/>
      <c r="D59" s="225">
        <f>IF(AND(A59="",A58&lt;&gt;"",COUNTIF(A60:$A$200,"&lt;&gt;")=0),ROUND(SUMIF($A$2:A58,"&lt;&gt;",$D$2:D58),2),IF(OR(A59="",B59="",C59=""),"",ROUND(B59*C59,2)))</f>
        <v/>
      </c>
      <c r="E59" s="230" t="n"/>
      <c r="F59" s="225">
        <f>IF(AND(A59="",A58&lt;&gt;"",COUNTIF(A60:$A$200,"&lt;&gt;")=0),ROUND(SUMIF($A$2:A58,"&lt;&gt;",$F$2:F58),2),IF(OR(A59="",E59="",C59="",NOT(ISNUMBER($Z$3))),"",ROUND(E59*C59*$Z$3,2)))</f>
        <v/>
      </c>
      <c r="G59" s="230" t="n"/>
      <c r="H59" s="225">
        <f>IF(AND(A59="",A58&lt;&gt;"",COUNTIF(A60:$A$200,"&lt;&gt;")=0),ROUND(SUMIF($A$2:A58,"&lt;&gt;",$H$2:H58),2),IF(OR(A59="",G59="",C59="",NOT(ISNUMBER($Z$4))),"",ROUND(G59*C59*$Z$4,2)))</f>
        <v/>
      </c>
      <c r="I59" s="230" t="n"/>
      <c r="J59" s="225">
        <f>IF(AND(A59="",A58&lt;&gt;"",COUNTIF(A60:$A$200,"&lt;&gt;")=0),ROUND(SUMIF($A$2:A58,"&lt;&gt;",$J$2:J58),2),IF(OR(A59="",I59="",C59="",NOT(ISNUMBER($Z$5))),"",ROUND(I59*C59*$Z$5,2)))</f>
        <v/>
      </c>
      <c r="K59" s="230" t="n"/>
      <c r="L59" s="225">
        <f>IF(AND(A59="",A58&lt;&gt;"",COUNTIF(A60:$A$200,"&lt;&gt;")=0),ROUND(SUMIF($A$2:A58,"&lt;&gt;",$L$2:L58),2),IF(OR(A59="",K59="",C59="",NOT(ISNUMBER($Z$6))),"",ROUND(K59*C59*$Z$6,2)))</f>
        <v/>
      </c>
      <c r="M59" s="231">
        <f>IF(OR(E59="",G59=""),"",ROUND(MAX(E59-G59,0),2))</f>
        <v/>
      </c>
      <c r="N59" s="225">
        <f>IF(AND(A59="",A58&lt;&gt;"",COUNTIF(A60:$A$200,"&lt;&gt;")=0),ROUND(SUMIF($A$2:A58,"&lt;&gt;",$N$2:N58),2),IF(OR(M59="",C59="",NOT(ISNUMBER($Z$3))),"",ROUND(M59*C59*$Z$3,2)))</f>
        <v/>
      </c>
      <c r="O59" s="231">
        <f>IF(OR(G59="",I59=""),"",ROUND(MAX(G59-I59,0),2))</f>
        <v/>
      </c>
      <c r="P59" s="225">
        <f>IF(AND(A59="",A58&lt;&gt;"",COUNTIF(A60:$A$200,"&lt;&gt;")=0),ROUND(SUMIF($A$2:A58,"&lt;&gt;",$P$2:P58),2),IF(OR(O59="",C59="",NOT(ISNUMBER($Z$4))),"",ROUND(O59*C59*$Z$4,2)))</f>
        <v/>
      </c>
      <c r="Q59" s="231">
        <f>IF(OR(I59="",K59=""),"",ROUND(MAX(I59-K59,0),2))</f>
        <v/>
      </c>
      <c r="R59" s="225">
        <f>IF(AND(A59="",A58&lt;&gt;"",COUNTIF(A60:$A$200,"&lt;&gt;")=0),ROUND(SUMIF($A$2:A58,"&lt;&gt;",$R$2:R58),2),IF(OR(Q59="",C59="",NOT(ISNUMBER($Z$5))),"",ROUND(Q59*C59*$Z$5,2)))</f>
        <v/>
      </c>
      <c r="S59" s="27" t="n"/>
      <c r="T59" s="232" t="n"/>
      <c r="U59" s="233">
        <f>IF(AND(A59="",A58&lt;&gt;"",COUNTIF(A60:$A$200,"&lt;&gt;")=0),"TOTAL",IF(A59="","",IF(AND(G59&lt;&gt;"",E59&lt;&gt;"",G59&gt;E59),"ALERTA: REM_C2&gt;REM_C1",IF(AND(I59&lt;&gt;"",G59&lt;&gt;"",I59&gt;G59),"ALERTA: REM_C3&gt;REM_C2",IF(AND(K59&lt;&gt;"",I59&lt;&gt;"",K59&gt;I59),"ALERTA: REM_C4&gt;REM_C3","OK")))))</f>
        <v/>
      </c>
      <c r="V59" s="233">
        <f>IF(A59="","",IF(B59="","",IF(OR(B59&lt;0,E59&gt;B59,G59&gt;B59,I59&gt;B59,K59&gt;B59),"ALERTA: QTD_INVALIDA","OK")))</f>
        <v/>
      </c>
      <c r="W59" s="19" t="n"/>
      <c r="X59" s="19" t="n"/>
      <c r="Y59" s="19" t="n"/>
      <c r="Z59" s="17" t="n"/>
      <c r="AA59" s="17" t="n"/>
      <c r="AB59" s="231">
        <f>IF(OR(A59="",E59=""),"",ROUND(B59-E59,2))</f>
        <v/>
      </c>
      <c r="AC59" s="225">
        <f>IF(AND(A59="",A58&lt;&gt;"",COUNTIF(A60:$A$200,"&lt;&gt;")=0),ROUND(SUMIF($A$2:A58,"&lt;&gt;",$AC$2:AC58),2),IF(OR(A59="",E59=""),"",ROUND(D59-E59*C59,2)))</f>
        <v/>
      </c>
      <c r="AD59" s="17" t="n"/>
    </row>
    <row r="60">
      <c r="A60" s="227" t="n"/>
      <c r="B60" s="228" t="n"/>
      <c r="C60" s="229" t="n"/>
      <c r="D60" s="225">
        <f>IF(AND(A60="",A59&lt;&gt;"",COUNTIF(A61:$A$200,"&lt;&gt;")=0),ROUND(SUMIF($A$2:A59,"&lt;&gt;",$D$2:D59),2),IF(OR(A60="",B60="",C60=""),"",ROUND(B60*C60,2)))</f>
        <v/>
      </c>
      <c r="E60" s="230" t="n"/>
      <c r="F60" s="225">
        <f>IF(AND(A60="",A59&lt;&gt;"",COUNTIF(A61:$A$200,"&lt;&gt;")=0),ROUND(SUMIF($A$2:A59,"&lt;&gt;",$F$2:F59),2),IF(OR(A60="",E60="",C60="",NOT(ISNUMBER($Z$3))),"",ROUND(E60*C60*$Z$3,2)))</f>
        <v/>
      </c>
      <c r="G60" s="230" t="n"/>
      <c r="H60" s="225">
        <f>IF(AND(A60="",A59&lt;&gt;"",COUNTIF(A61:$A$200,"&lt;&gt;")=0),ROUND(SUMIF($A$2:A59,"&lt;&gt;",$H$2:H59),2),IF(OR(A60="",G60="",C60="",NOT(ISNUMBER($Z$4))),"",ROUND(G60*C60*$Z$4,2)))</f>
        <v/>
      </c>
      <c r="I60" s="230" t="n"/>
      <c r="J60" s="225">
        <f>IF(AND(A60="",A59&lt;&gt;"",COUNTIF(A61:$A$200,"&lt;&gt;")=0),ROUND(SUMIF($A$2:A59,"&lt;&gt;",$J$2:J59),2),IF(OR(A60="",I60="",C60="",NOT(ISNUMBER($Z$5))),"",ROUND(I60*C60*$Z$5,2)))</f>
        <v/>
      </c>
      <c r="K60" s="230" t="n"/>
      <c r="L60" s="225">
        <f>IF(AND(A60="",A59&lt;&gt;"",COUNTIF(A61:$A$200,"&lt;&gt;")=0),ROUND(SUMIF($A$2:A59,"&lt;&gt;",$L$2:L59),2),IF(OR(A60="",K60="",C60="",NOT(ISNUMBER($Z$6))),"",ROUND(K60*C60*$Z$6,2)))</f>
        <v/>
      </c>
      <c r="M60" s="231">
        <f>IF(OR(E60="",G60=""),"",ROUND(MAX(E60-G60,0),2))</f>
        <v/>
      </c>
      <c r="N60" s="225">
        <f>IF(AND(A60="",A59&lt;&gt;"",COUNTIF(A61:$A$200,"&lt;&gt;")=0),ROUND(SUMIF($A$2:A59,"&lt;&gt;",$N$2:N59),2),IF(OR(M60="",C60="",NOT(ISNUMBER($Z$3))),"",ROUND(M60*C60*$Z$3,2)))</f>
        <v/>
      </c>
      <c r="O60" s="231">
        <f>IF(OR(G60="",I60=""),"",ROUND(MAX(G60-I60,0),2))</f>
        <v/>
      </c>
      <c r="P60" s="225">
        <f>IF(AND(A60="",A59&lt;&gt;"",COUNTIF(A61:$A$200,"&lt;&gt;")=0),ROUND(SUMIF($A$2:A59,"&lt;&gt;",$P$2:P59),2),IF(OR(O60="",C60="",NOT(ISNUMBER($Z$4))),"",ROUND(O60*C60*$Z$4,2)))</f>
        <v/>
      </c>
      <c r="Q60" s="231">
        <f>IF(OR(I60="",K60=""),"",ROUND(MAX(I60-K60,0),2))</f>
        <v/>
      </c>
      <c r="R60" s="225">
        <f>IF(AND(A60="",A59&lt;&gt;"",COUNTIF(A61:$A$200,"&lt;&gt;")=0),ROUND(SUMIF($A$2:A59,"&lt;&gt;",$R$2:R59),2),IF(OR(Q60="",C60="",NOT(ISNUMBER($Z$5))),"",ROUND(Q60*C60*$Z$5,2)))</f>
        <v/>
      </c>
      <c r="S60" s="27" t="n"/>
      <c r="T60" s="232" t="n"/>
      <c r="U60" s="233">
        <f>IF(AND(A60="",A59&lt;&gt;"",COUNTIF(A61:$A$200,"&lt;&gt;")=0),"TOTAL",IF(A60="","",IF(AND(G60&lt;&gt;"",E60&lt;&gt;"",G60&gt;E60),"ALERTA: REM_C2&gt;REM_C1",IF(AND(I60&lt;&gt;"",G60&lt;&gt;"",I60&gt;G60),"ALERTA: REM_C3&gt;REM_C2",IF(AND(K60&lt;&gt;"",I60&lt;&gt;"",K60&gt;I60),"ALERTA: REM_C4&gt;REM_C3","OK")))))</f>
        <v/>
      </c>
      <c r="V60" s="233">
        <f>IF(A60="","",IF(B60="","",IF(OR(B60&lt;0,E60&gt;B60,G60&gt;B60,I60&gt;B60,K60&gt;B60),"ALERTA: QTD_INVALIDA","OK")))</f>
        <v/>
      </c>
      <c r="W60" s="19" t="n"/>
      <c r="X60" s="19" t="n"/>
      <c r="Y60" s="19" t="n"/>
      <c r="Z60" s="17" t="n"/>
      <c r="AA60" s="17" t="n"/>
      <c r="AB60" s="231">
        <f>IF(OR(A60="",E60=""),"",ROUND(B60-E60,2))</f>
        <v/>
      </c>
      <c r="AC60" s="225">
        <f>IF(AND(A60="",A59&lt;&gt;"",COUNTIF(A61:$A$200,"&lt;&gt;")=0),ROUND(SUMIF($A$2:A59,"&lt;&gt;",$AC$2:AC59),2),IF(OR(A60="",E60=""),"",ROUND(D60-E60*C60,2)))</f>
        <v/>
      </c>
      <c r="AD60" s="17" t="n"/>
    </row>
    <row r="61">
      <c r="A61" s="227" t="n"/>
      <c r="B61" s="228" t="n"/>
      <c r="C61" s="229" t="n"/>
      <c r="D61" s="225">
        <f>IF(AND(A61="",A60&lt;&gt;"",COUNTIF(A62:$A$200,"&lt;&gt;")=0),ROUND(SUMIF($A$2:A60,"&lt;&gt;",$D$2:D60),2),IF(OR(A61="",B61="",C61=""),"",ROUND(B61*C61,2)))</f>
        <v/>
      </c>
      <c r="E61" s="230" t="n"/>
      <c r="F61" s="225">
        <f>IF(AND(A61="",A60&lt;&gt;"",COUNTIF(A62:$A$200,"&lt;&gt;")=0),ROUND(SUMIF($A$2:A60,"&lt;&gt;",$F$2:F60),2),IF(OR(A61="",E61="",C61="",NOT(ISNUMBER($Z$3))),"",ROUND(E61*C61*$Z$3,2)))</f>
        <v/>
      </c>
      <c r="G61" s="230" t="n"/>
      <c r="H61" s="225">
        <f>IF(AND(A61="",A60&lt;&gt;"",COUNTIF(A62:$A$200,"&lt;&gt;")=0),ROUND(SUMIF($A$2:A60,"&lt;&gt;",$H$2:H60),2),IF(OR(A61="",G61="",C61="",NOT(ISNUMBER($Z$4))),"",ROUND(G61*C61*$Z$4,2)))</f>
        <v/>
      </c>
      <c r="I61" s="230" t="n"/>
      <c r="J61" s="225">
        <f>IF(AND(A61="",A60&lt;&gt;"",COUNTIF(A62:$A$200,"&lt;&gt;")=0),ROUND(SUMIF($A$2:A60,"&lt;&gt;",$J$2:J60),2),IF(OR(A61="",I61="",C61="",NOT(ISNUMBER($Z$5))),"",ROUND(I61*C61*$Z$5,2)))</f>
        <v/>
      </c>
      <c r="K61" s="230" t="n"/>
      <c r="L61" s="225">
        <f>IF(AND(A61="",A60&lt;&gt;"",COUNTIF(A62:$A$200,"&lt;&gt;")=0),ROUND(SUMIF($A$2:A60,"&lt;&gt;",$L$2:L60),2),IF(OR(A61="",K61="",C61="",NOT(ISNUMBER($Z$6))),"",ROUND(K61*C61*$Z$6,2)))</f>
        <v/>
      </c>
      <c r="M61" s="231">
        <f>IF(OR(E61="",G61=""),"",ROUND(MAX(E61-G61,0),2))</f>
        <v/>
      </c>
      <c r="N61" s="225">
        <f>IF(AND(A61="",A60&lt;&gt;"",COUNTIF(A62:$A$200,"&lt;&gt;")=0),ROUND(SUMIF($A$2:A60,"&lt;&gt;",$N$2:N60),2),IF(OR(M61="",C61="",NOT(ISNUMBER($Z$3))),"",ROUND(M61*C61*$Z$3,2)))</f>
        <v/>
      </c>
      <c r="O61" s="231">
        <f>IF(OR(G61="",I61=""),"",ROUND(MAX(G61-I61,0),2))</f>
        <v/>
      </c>
      <c r="P61" s="225">
        <f>IF(AND(A61="",A60&lt;&gt;"",COUNTIF(A62:$A$200,"&lt;&gt;")=0),ROUND(SUMIF($A$2:A60,"&lt;&gt;",$P$2:P60),2),IF(OR(O61="",C61="",NOT(ISNUMBER($Z$4))),"",ROUND(O61*C61*$Z$4,2)))</f>
        <v/>
      </c>
      <c r="Q61" s="231">
        <f>IF(OR(I61="",K61=""),"",ROUND(MAX(I61-K61,0),2))</f>
        <v/>
      </c>
      <c r="R61" s="225">
        <f>IF(AND(A61="",A60&lt;&gt;"",COUNTIF(A62:$A$200,"&lt;&gt;")=0),ROUND(SUMIF($A$2:A60,"&lt;&gt;",$R$2:R60),2),IF(OR(Q61="",C61="",NOT(ISNUMBER($Z$5))),"",ROUND(Q61*C61*$Z$5,2)))</f>
        <v/>
      </c>
      <c r="S61" s="27" t="n"/>
      <c r="T61" s="232" t="n"/>
      <c r="U61" s="233">
        <f>IF(AND(A61="",A60&lt;&gt;"",COUNTIF(A62:$A$200,"&lt;&gt;")=0),"TOTAL",IF(A61="","",IF(AND(G61&lt;&gt;"",E61&lt;&gt;"",G61&gt;E61),"ALERTA: REM_C2&gt;REM_C1",IF(AND(I61&lt;&gt;"",G61&lt;&gt;"",I61&gt;G61),"ALERTA: REM_C3&gt;REM_C2",IF(AND(K61&lt;&gt;"",I61&lt;&gt;"",K61&gt;I61),"ALERTA: REM_C4&gt;REM_C3","OK")))))</f>
        <v/>
      </c>
      <c r="V61" s="233">
        <f>IF(A61="","",IF(B61="","",IF(OR(B61&lt;0,E61&gt;B61,G61&gt;B61,I61&gt;B61,K61&gt;B61),"ALERTA: QTD_INVALIDA","OK")))</f>
        <v/>
      </c>
      <c r="W61" s="19" t="n"/>
      <c r="X61" s="19" t="n"/>
      <c r="Y61" s="19" t="n"/>
      <c r="Z61" s="17" t="n"/>
      <c r="AA61" s="17" t="n"/>
      <c r="AB61" s="231">
        <f>IF(OR(A61="",E61=""),"",ROUND(B61-E61,2))</f>
        <v/>
      </c>
      <c r="AC61" s="225">
        <f>IF(AND(A61="",A60&lt;&gt;"",COUNTIF(A62:$A$200,"&lt;&gt;")=0),ROUND(SUMIF($A$2:A60,"&lt;&gt;",$AC$2:AC60),2),IF(OR(A61="",E61=""),"",ROUND(D61-E61*C61,2)))</f>
        <v/>
      </c>
      <c r="AD61" s="17" t="n"/>
    </row>
    <row r="62">
      <c r="A62" s="227" t="n"/>
      <c r="B62" s="228" t="n"/>
      <c r="C62" s="229" t="n"/>
      <c r="D62" s="225">
        <f>IF(AND(A62="",A61&lt;&gt;"",COUNTIF(A63:$A$200,"&lt;&gt;")=0),ROUND(SUMIF($A$2:A61,"&lt;&gt;",$D$2:D61),2),IF(OR(A62="",B62="",C62=""),"",ROUND(B62*C62,2)))</f>
        <v/>
      </c>
      <c r="E62" s="230" t="n"/>
      <c r="F62" s="225">
        <f>IF(AND(A62="",A61&lt;&gt;"",COUNTIF(A63:$A$200,"&lt;&gt;")=0),ROUND(SUMIF($A$2:A61,"&lt;&gt;",$F$2:F61),2),IF(OR(A62="",E62="",C62="",NOT(ISNUMBER($Z$3))),"",ROUND(E62*C62*$Z$3,2)))</f>
        <v/>
      </c>
      <c r="G62" s="230" t="n"/>
      <c r="H62" s="225">
        <f>IF(AND(A62="",A61&lt;&gt;"",COUNTIF(A63:$A$200,"&lt;&gt;")=0),ROUND(SUMIF($A$2:A61,"&lt;&gt;",$H$2:H61),2),IF(OR(A62="",G62="",C62="",NOT(ISNUMBER($Z$4))),"",ROUND(G62*C62*$Z$4,2)))</f>
        <v/>
      </c>
      <c r="I62" s="230" t="n"/>
      <c r="J62" s="225">
        <f>IF(AND(A62="",A61&lt;&gt;"",COUNTIF(A63:$A$200,"&lt;&gt;")=0),ROUND(SUMIF($A$2:A61,"&lt;&gt;",$J$2:J61),2),IF(OR(A62="",I62="",C62="",NOT(ISNUMBER($Z$5))),"",ROUND(I62*C62*$Z$5,2)))</f>
        <v/>
      </c>
      <c r="K62" s="230" t="n"/>
      <c r="L62" s="225">
        <f>IF(AND(A62="",A61&lt;&gt;"",COUNTIF(A63:$A$200,"&lt;&gt;")=0),ROUND(SUMIF($A$2:A61,"&lt;&gt;",$L$2:L61),2),IF(OR(A62="",K62="",C62="",NOT(ISNUMBER($Z$6))),"",ROUND(K62*C62*$Z$6,2)))</f>
        <v/>
      </c>
      <c r="M62" s="231">
        <f>IF(OR(E62="",G62=""),"",ROUND(MAX(E62-G62,0),2))</f>
        <v/>
      </c>
      <c r="N62" s="225">
        <f>IF(AND(A62="",A61&lt;&gt;"",COUNTIF(A63:$A$200,"&lt;&gt;")=0),ROUND(SUMIF($A$2:A61,"&lt;&gt;",$N$2:N61),2),IF(OR(M62="",C62="",NOT(ISNUMBER($Z$3))),"",ROUND(M62*C62*$Z$3,2)))</f>
        <v/>
      </c>
      <c r="O62" s="231">
        <f>IF(OR(G62="",I62=""),"",ROUND(MAX(G62-I62,0),2))</f>
        <v/>
      </c>
      <c r="P62" s="225">
        <f>IF(AND(A62="",A61&lt;&gt;"",COUNTIF(A63:$A$200,"&lt;&gt;")=0),ROUND(SUMIF($A$2:A61,"&lt;&gt;",$P$2:P61),2),IF(OR(O62="",C62="",NOT(ISNUMBER($Z$4))),"",ROUND(O62*C62*$Z$4,2)))</f>
        <v/>
      </c>
      <c r="Q62" s="231">
        <f>IF(OR(I62="",K62=""),"",ROUND(MAX(I62-K62,0),2))</f>
        <v/>
      </c>
      <c r="R62" s="225">
        <f>IF(AND(A62="",A61&lt;&gt;"",COUNTIF(A63:$A$200,"&lt;&gt;")=0),ROUND(SUMIF($A$2:A61,"&lt;&gt;",$R$2:R61),2),IF(OR(Q62="",C62="",NOT(ISNUMBER($Z$5))),"",ROUND(Q62*C62*$Z$5,2)))</f>
        <v/>
      </c>
      <c r="S62" s="27" t="n"/>
      <c r="T62" s="232" t="n"/>
      <c r="U62" s="233">
        <f>IF(AND(A62="",A61&lt;&gt;"",COUNTIF(A63:$A$200,"&lt;&gt;")=0),"TOTAL",IF(A62="","",IF(AND(G62&lt;&gt;"",E62&lt;&gt;"",G62&gt;E62),"ALERTA: REM_C2&gt;REM_C1",IF(AND(I62&lt;&gt;"",G62&lt;&gt;"",I62&gt;G62),"ALERTA: REM_C3&gt;REM_C2",IF(AND(K62&lt;&gt;"",I62&lt;&gt;"",K62&gt;I62),"ALERTA: REM_C4&gt;REM_C3","OK")))))</f>
        <v/>
      </c>
      <c r="V62" s="233">
        <f>IF(A62="","",IF(B62="","",IF(OR(B62&lt;0,E62&gt;B62,G62&gt;B62,I62&gt;B62,K62&gt;B62),"ALERTA: QTD_INVALIDA","OK")))</f>
        <v/>
      </c>
      <c r="W62" s="19" t="n"/>
      <c r="X62" s="19" t="n"/>
      <c r="Y62" s="19" t="n"/>
      <c r="Z62" s="17" t="n"/>
      <c r="AA62" s="17" t="n"/>
      <c r="AB62" s="231">
        <f>IF(OR(A62="",E62=""),"",ROUND(B62-E62,2))</f>
        <v/>
      </c>
      <c r="AC62" s="225">
        <f>IF(AND(A62="",A61&lt;&gt;"",COUNTIF(A63:$A$200,"&lt;&gt;")=0),ROUND(SUMIF($A$2:A61,"&lt;&gt;",$AC$2:AC61),2),IF(OR(A62="",E62=""),"",ROUND(D62-E62*C62,2)))</f>
        <v/>
      </c>
      <c r="AD62" s="17" t="n"/>
    </row>
    <row r="63">
      <c r="A63" s="227" t="n"/>
      <c r="B63" s="228" t="n"/>
      <c r="C63" s="229" t="n"/>
      <c r="D63" s="225">
        <f>IF(AND(A63="",A62&lt;&gt;"",COUNTIF(A64:$A$200,"&lt;&gt;")=0),ROUND(SUMIF($A$2:A62,"&lt;&gt;",$D$2:D62),2),IF(OR(A63="",B63="",C63=""),"",ROUND(B63*C63,2)))</f>
        <v/>
      </c>
      <c r="E63" s="230" t="n"/>
      <c r="F63" s="225">
        <f>IF(AND(A63="",A62&lt;&gt;"",COUNTIF(A64:$A$200,"&lt;&gt;")=0),ROUND(SUMIF($A$2:A62,"&lt;&gt;",$F$2:F62),2),IF(OR(A63="",E63="",C63="",NOT(ISNUMBER($Z$3))),"",ROUND(E63*C63*$Z$3,2)))</f>
        <v/>
      </c>
      <c r="G63" s="230" t="n"/>
      <c r="H63" s="225">
        <f>IF(AND(A63="",A62&lt;&gt;"",COUNTIF(A64:$A$200,"&lt;&gt;")=0),ROUND(SUMIF($A$2:A62,"&lt;&gt;",$H$2:H62),2),IF(OR(A63="",G63="",C63="",NOT(ISNUMBER($Z$4))),"",ROUND(G63*C63*$Z$4,2)))</f>
        <v/>
      </c>
      <c r="I63" s="230" t="n"/>
      <c r="J63" s="225">
        <f>IF(AND(A63="",A62&lt;&gt;"",COUNTIF(A64:$A$200,"&lt;&gt;")=0),ROUND(SUMIF($A$2:A62,"&lt;&gt;",$J$2:J62),2),IF(OR(A63="",I63="",C63="",NOT(ISNUMBER($Z$5))),"",ROUND(I63*C63*$Z$5,2)))</f>
        <v/>
      </c>
      <c r="K63" s="230" t="n"/>
      <c r="L63" s="225">
        <f>IF(AND(A63="",A62&lt;&gt;"",COUNTIF(A64:$A$200,"&lt;&gt;")=0),ROUND(SUMIF($A$2:A62,"&lt;&gt;",$L$2:L62),2),IF(OR(A63="",K63="",C63="",NOT(ISNUMBER($Z$6))),"",ROUND(K63*C63*$Z$6,2)))</f>
        <v/>
      </c>
      <c r="M63" s="231">
        <f>IF(OR(E63="",G63=""),"",ROUND(MAX(E63-G63,0),2))</f>
        <v/>
      </c>
      <c r="N63" s="225">
        <f>IF(AND(A63="",A62&lt;&gt;"",COUNTIF(A64:$A$200,"&lt;&gt;")=0),ROUND(SUMIF($A$2:A62,"&lt;&gt;",$N$2:N62),2),IF(OR(M63="",C63="",NOT(ISNUMBER($Z$3))),"",ROUND(M63*C63*$Z$3,2)))</f>
        <v/>
      </c>
      <c r="O63" s="231">
        <f>IF(OR(G63="",I63=""),"",ROUND(MAX(G63-I63,0),2))</f>
        <v/>
      </c>
      <c r="P63" s="225">
        <f>IF(AND(A63="",A62&lt;&gt;"",COUNTIF(A64:$A$200,"&lt;&gt;")=0),ROUND(SUMIF($A$2:A62,"&lt;&gt;",$P$2:P62),2),IF(OR(O63="",C63="",NOT(ISNUMBER($Z$4))),"",ROUND(O63*C63*$Z$4,2)))</f>
        <v/>
      </c>
      <c r="Q63" s="231">
        <f>IF(OR(I63="",K63=""),"",ROUND(MAX(I63-K63,0),2))</f>
        <v/>
      </c>
      <c r="R63" s="225">
        <f>IF(AND(A63="",A62&lt;&gt;"",COUNTIF(A64:$A$200,"&lt;&gt;")=0),ROUND(SUMIF($A$2:A62,"&lt;&gt;",$R$2:R62),2),IF(OR(Q63="",C63="",NOT(ISNUMBER($Z$5))),"",ROUND(Q63*C63*$Z$5,2)))</f>
        <v/>
      </c>
      <c r="S63" s="27" t="n"/>
      <c r="T63" s="232" t="n"/>
      <c r="U63" s="233">
        <f>IF(AND(A63="",A62&lt;&gt;"",COUNTIF(A64:$A$200,"&lt;&gt;")=0),"TOTAL",IF(A63="","",IF(AND(G63&lt;&gt;"",E63&lt;&gt;"",G63&gt;E63),"ALERTA: REM_C2&gt;REM_C1",IF(AND(I63&lt;&gt;"",G63&lt;&gt;"",I63&gt;G63),"ALERTA: REM_C3&gt;REM_C2",IF(AND(K63&lt;&gt;"",I63&lt;&gt;"",K63&gt;I63),"ALERTA: REM_C4&gt;REM_C3","OK")))))</f>
        <v/>
      </c>
      <c r="V63" s="233">
        <f>IF(A63="","",IF(B63="","",IF(OR(B63&lt;0,E63&gt;B63,G63&gt;B63,I63&gt;B63,K63&gt;B63),"ALERTA: QTD_INVALIDA","OK")))</f>
        <v/>
      </c>
      <c r="W63" s="19" t="n"/>
      <c r="X63" s="19" t="n"/>
      <c r="Y63" s="19" t="n"/>
      <c r="Z63" s="17" t="n"/>
      <c r="AA63" s="17" t="n"/>
      <c r="AB63" s="231">
        <f>IF(OR(A63="",E63=""),"",ROUND(B63-E63,2))</f>
        <v/>
      </c>
      <c r="AC63" s="225">
        <f>IF(AND(A63="",A62&lt;&gt;"",COUNTIF(A64:$A$200,"&lt;&gt;")=0),ROUND(SUMIF($A$2:A62,"&lt;&gt;",$AC$2:AC62),2),IF(OR(A63="",E63=""),"",ROUND(D63-E63*C63,2)))</f>
        <v/>
      </c>
      <c r="AD63" s="17" t="n"/>
    </row>
    <row r="64">
      <c r="A64" s="227" t="n"/>
      <c r="B64" s="228" t="n"/>
      <c r="C64" s="229" t="n"/>
      <c r="D64" s="225">
        <f>IF(AND(A64="",A63&lt;&gt;"",COUNTIF(A65:$A$200,"&lt;&gt;")=0),ROUND(SUMIF($A$2:A63,"&lt;&gt;",$D$2:D63),2),IF(OR(A64="",B64="",C64=""),"",ROUND(B64*C64,2)))</f>
        <v/>
      </c>
      <c r="E64" s="230" t="n"/>
      <c r="F64" s="225">
        <f>IF(AND(A64="",A63&lt;&gt;"",COUNTIF(A65:$A$200,"&lt;&gt;")=0),ROUND(SUMIF($A$2:A63,"&lt;&gt;",$F$2:F63),2),IF(OR(A64="",E64="",C64="",NOT(ISNUMBER($Z$3))),"",ROUND(E64*C64*$Z$3,2)))</f>
        <v/>
      </c>
      <c r="G64" s="230" t="n"/>
      <c r="H64" s="225">
        <f>IF(AND(A64="",A63&lt;&gt;"",COUNTIF(A65:$A$200,"&lt;&gt;")=0),ROUND(SUMIF($A$2:A63,"&lt;&gt;",$H$2:H63),2),IF(OR(A64="",G64="",C64="",NOT(ISNUMBER($Z$4))),"",ROUND(G64*C64*$Z$4,2)))</f>
        <v/>
      </c>
      <c r="I64" s="230" t="n"/>
      <c r="J64" s="225">
        <f>IF(AND(A64="",A63&lt;&gt;"",COUNTIF(A65:$A$200,"&lt;&gt;")=0),ROUND(SUMIF($A$2:A63,"&lt;&gt;",$J$2:J63),2),IF(OR(A64="",I64="",C64="",NOT(ISNUMBER($Z$5))),"",ROUND(I64*C64*$Z$5,2)))</f>
        <v/>
      </c>
      <c r="K64" s="230" t="n"/>
      <c r="L64" s="225">
        <f>IF(AND(A64="",A63&lt;&gt;"",COUNTIF(A65:$A$200,"&lt;&gt;")=0),ROUND(SUMIF($A$2:A63,"&lt;&gt;",$L$2:L63),2),IF(OR(A64="",K64="",C64="",NOT(ISNUMBER($Z$6))),"",ROUND(K64*C64*$Z$6,2)))</f>
        <v/>
      </c>
      <c r="M64" s="231">
        <f>IF(OR(E64="",G64=""),"",ROUND(MAX(E64-G64,0),2))</f>
        <v/>
      </c>
      <c r="N64" s="225">
        <f>IF(AND(A64="",A63&lt;&gt;"",COUNTIF(A65:$A$200,"&lt;&gt;")=0),ROUND(SUMIF($A$2:A63,"&lt;&gt;",$N$2:N63),2),IF(OR(M64="",C64="",NOT(ISNUMBER($Z$3))),"",ROUND(M64*C64*$Z$3,2)))</f>
        <v/>
      </c>
      <c r="O64" s="231">
        <f>IF(OR(G64="",I64=""),"",ROUND(MAX(G64-I64,0),2))</f>
        <v/>
      </c>
      <c r="P64" s="225">
        <f>IF(AND(A64="",A63&lt;&gt;"",COUNTIF(A65:$A$200,"&lt;&gt;")=0),ROUND(SUMIF($A$2:A63,"&lt;&gt;",$P$2:P63),2),IF(OR(O64="",C64="",NOT(ISNUMBER($Z$4))),"",ROUND(O64*C64*$Z$4,2)))</f>
        <v/>
      </c>
      <c r="Q64" s="231">
        <f>IF(OR(I64="",K64=""),"",ROUND(MAX(I64-K64,0),2))</f>
        <v/>
      </c>
      <c r="R64" s="225">
        <f>IF(AND(A64="",A63&lt;&gt;"",COUNTIF(A65:$A$200,"&lt;&gt;")=0),ROUND(SUMIF($A$2:A63,"&lt;&gt;",$R$2:R63),2),IF(OR(Q64="",C64="",NOT(ISNUMBER($Z$5))),"",ROUND(Q64*C64*$Z$5,2)))</f>
        <v/>
      </c>
      <c r="S64" s="27" t="n"/>
      <c r="T64" s="232" t="n"/>
      <c r="U64" s="233">
        <f>IF(AND(A64="",A63&lt;&gt;"",COUNTIF(A65:$A$200,"&lt;&gt;")=0),"TOTAL",IF(A64="","",IF(AND(G64&lt;&gt;"",E64&lt;&gt;"",G64&gt;E64),"ALERTA: REM_C2&gt;REM_C1",IF(AND(I64&lt;&gt;"",G64&lt;&gt;"",I64&gt;G64),"ALERTA: REM_C3&gt;REM_C2",IF(AND(K64&lt;&gt;"",I64&lt;&gt;"",K64&gt;I64),"ALERTA: REM_C4&gt;REM_C3","OK")))))</f>
        <v/>
      </c>
      <c r="V64" s="233">
        <f>IF(A64="","",IF(B64="","",IF(OR(B64&lt;0,E64&gt;B64,G64&gt;B64,I64&gt;B64,K64&gt;B64),"ALERTA: QTD_INVALIDA","OK")))</f>
        <v/>
      </c>
      <c r="W64" s="19" t="n"/>
      <c r="X64" s="19" t="n"/>
      <c r="Y64" s="19" t="n"/>
      <c r="Z64" s="17" t="n"/>
      <c r="AA64" s="17" t="n"/>
      <c r="AB64" s="231">
        <f>IF(OR(A64="",E64=""),"",ROUND(B64-E64,2))</f>
        <v/>
      </c>
      <c r="AC64" s="225">
        <f>IF(AND(A64="",A63&lt;&gt;"",COUNTIF(A65:$A$200,"&lt;&gt;")=0),ROUND(SUMIF($A$2:A63,"&lt;&gt;",$AC$2:AC63),2),IF(OR(A64="",E64=""),"",ROUND(D64-E64*C64,2)))</f>
        <v/>
      </c>
      <c r="AD64" s="17" t="n"/>
    </row>
    <row r="65">
      <c r="A65" s="227" t="n"/>
      <c r="B65" s="228" t="n"/>
      <c r="C65" s="229" t="n"/>
      <c r="D65" s="225">
        <f>IF(AND(A65="",A64&lt;&gt;"",COUNTIF(A66:$A$200,"&lt;&gt;")=0),ROUND(SUMIF($A$2:A64,"&lt;&gt;",$D$2:D64),2),IF(OR(A65="",B65="",C65=""),"",ROUND(B65*C65,2)))</f>
        <v/>
      </c>
      <c r="E65" s="230" t="n"/>
      <c r="F65" s="225">
        <f>IF(AND(A65="",A64&lt;&gt;"",COUNTIF(A66:$A$200,"&lt;&gt;")=0),ROUND(SUMIF($A$2:A64,"&lt;&gt;",$F$2:F64),2),IF(OR(A65="",E65="",C65="",NOT(ISNUMBER($Z$3))),"",ROUND(E65*C65*$Z$3,2)))</f>
        <v/>
      </c>
      <c r="G65" s="230" t="n"/>
      <c r="H65" s="225">
        <f>IF(AND(A65="",A64&lt;&gt;"",COUNTIF(A66:$A$200,"&lt;&gt;")=0),ROUND(SUMIF($A$2:A64,"&lt;&gt;",$H$2:H64),2),IF(OR(A65="",G65="",C65="",NOT(ISNUMBER($Z$4))),"",ROUND(G65*C65*$Z$4,2)))</f>
        <v/>
      </c>
      <c r="I65" s="230" t="n"/>
      <c r="J65" s="225">
        <f>IF(AND(A65="",A64&lt;&gt;"",COUNTIF(A66:$A$200,"&lt;&gt;")=0),ROUND(SUMIF($A$2:A64,"&lt;&gt;",$J$2:J64),2),IF(OR(A65="",I65="",C65="",NOT(ISNUMBER($Z$5))),"",ROUND(I65*C65*$Z$5,2)))</f>
        <v/>
      </c>
      <c r="K65" s="230" t="n"/>
      <c r="L65" s="225">
        <f>IF(AND(A65="",A64&lt;&gt;"",COUNTIF(A66:$A$200,"&lt;&gt;")=0),ROUND(SUMIF($A$2:A64,"&lt;&gt;",$L$2:L64),2),IF(OR(A65="",K65="",C65="",NOT(ISNUMBER($Z$6))),"",ROUND(K65*C65*$Z$6,2)))</f>
        <v/>
      </c>
      <c r="M65" s="231">
        <f>IF(OR(E65="",G65=""),"",ROUND(MAX(E65-G65,0),2))</f>
        <v/>
      </c>
      <c r="N65" s="225">
        <f>IF(AND(A65="",A64&lt;&gt;"",COUNTIF(A66:$A$200,"&lt;&gt;")=0),ROUND(SUMIF($A$2:A64,"&lt;&gt;",$N$2:N64),2),IF(OR(M65="",C65="",NOT(ISNUMBER($Z$3))),"",ROUND(M65*C65*$Z$3,2)))</f>
        <v/>
      </c>
      <c r="O65" s="231">
        <f>IF(OR(G65="",I65=""),"",ROUND(MAX(G65-I65,0),2))</f>
        <v/>
      </c>
      <c r="P65" s="225">
        <f>IF(AND(A65="",A64&lt;&gt;"",COUNTIF(A66:$A$200,"&lt;&gt;")=0),ROUND(SUMIF($A$2:A64,"&lt;&gt;",$P$2:P64),2),IF(OR(O65="",C65="",NOT(ISNUMBER($Z$4))),"",ROUND(O65*C65*$Z$4,2)))</f>
        <v/>
      </c>
      <c r="Q65" s="231">
        <f>IF(OR(I65="",K65=""),"",ROUND(MAX(I65-K65,0),2))</f>
        <v/>
      </c>
      <c r="R65" s="225">
        <f>IF(AND(A65="",A64&lt;&gt;"",COUNTIF(A66:$A$200,"&lt;&gt;")=0),ROUND(SUMIF($A$2:A64,"&lt;&gt;",$R$2:R64),2),IF(OR(Q65="",C65="",NOT(ISNUMBER($Z$5))),"",ROUND(Q65*C65*$Z$5,2)))</f>
        <v/>
      </c>
      <c r="S65" s="27" t="n"/>
      <c r="T65" s="232" t="n"/>
      <c r="U65" s="233">
        <f>IF(AND(A65="",A64&lt;&gt;"",COUNTIF(A66:$A$200,"&lt;&gt;")=0),"TOTAL",IF(A65="","",IF(AND(G65&lt;&gt;"",E65&lt;&gt;"",G65&gt;E65),"ALERTA: REM_C2&gt;REM_C1",IF(AND(I65&lt;&gt;"",G65&lt;&gt;"",I65&gt;G65),"ALERTA: REM_C3&gt;REM_C2",IF(AND(K65&lt;&gt;"",I65&lt;&gt;"",K65&gt;I65),"ALERTA: REM_C4&gt;REM_C3","OK")))))</f>
        <v/>
      </c>
      <c r="V65" s="233">
        <f>IF(A65="","",IF(B65="","",IF(OR(B65&lt;0,E65&gt;B65,G65&gt;B65,I65&gt;B65,K65&gt;B65),"ALERTA: QTD_INVALIDA","OK")))</f>
        <v/>
      </c>
      <c r="W65" s="19" t="n"/>
      <c r="X65" s="19" t="n"/>
      <c r="Y65" s="19" t="n"/>
      <c r="Z65" s="17" t="n"/>
      <c r="AA65" s="17" t="n"/>
      <c r="AB65" s="231">
        <f>IF(OR(A65="",E65=""),"",ROUND(B65-E65,2))</f>
        <v/>
      </c>
      <c r="AC65" s="225">
        <f>IF(AND(A65="",A64&lt;&gt;"",COUNTIF(A66:$A$200,"&lt;&gt;")=0),ROUND(SUMIF($A$2:A64,"&lt;&gt;",$AC$2:AC64),2),IF(OR(A65="",E65=""),"",ROUND(D65-E65*C65,2)))</f>
        <v/>
      </c>
      <c r="AD65" s="17" t="n"/>
    </row>
    <row r="66">
      <c r="A66" s="227" t="n"/>
      <c r="B66" s="228" t="n"/>
      <c r="C66" s="229" t="n"/>
      <c r="D66" s="225">
        <f>IF(AND(A66="",A65&lt;&gt;"",COUNTIF(A67:$A$200,"&lt;&gt;")=0),ROUND(SUMIF($A$2:A65,"&lt;&gt;",$D$2:D65),2),IF(OR(A66="",B66="",C66=""),"",ROUND(B66*C66,2)))</f>
        <v/>
      </c>
      <c r="E66" s="230" t="n"/>
      <c r="F66" s="225">
        <f>IF(AND(A66="",A65&lt;&gt;"",COUNTIF(A67:$A$200,"&lt;&gt;")=0),ROUND(SUMIF($A$2:A65,"&lt;&gt;",$F$2:F65),2),IF(OR(A66="",E66="",C66="",NOT(ISNUMBER($Z$3))),"",ROUND(E66*C66*$Z$3,2)))</f>
        <v/>
      </c>
      <c r="G66" s="230" t="n"/>
      <c r="H66" s="225">
        <f>IF(AND(A66="",A65&lt;&gt;"",COUNTIF(A67:$A$200,"&lt;&gt;")=0),ROUND(SUMIF($A$2:A65,"&lt;&gt;",$H$2:H65),2),IF(OR(A66="",G66="",C66="",NOT(ISNUMBER($Z$4))),"",ROUND(G66*C66*$Z$4,2)))</f>
        <v/>
      </c>
      <c r="I66" s="230" t="n"/>
      <c r="J66" s="225">
        <f>IF(AND(A66="",A65&lt;&gt;"",COUNTIF(A67:$A$200,"&lt;&gt;")=0),ROUND(SUMIF($A$2:A65,"&lt;&gt;",$J$2:J65),2),IF(OR(A66="",I66="",C66="",NOT(ISNUMBER($Z$5))),"",ROUND(I66*C66*$Z$5,2)))</f>
        <v/>
      </c>
      <c r="K66" s="230" t="n"/>
      <c r="L66" s="225">
        <f>IF(AND(A66="",A65&lt;&gt;"",COUNTIF(A67:$A$200,"&lt;&gt;")=0),ROUND(SUMIF($A$2:A65,"&lt;&gt;",$L$2:L65),2),IF(OR(A66="",K66="",C66="",NOT(ISNUMBER($Z$6))),"",ROUND(K66*C66*$Z$6,2)))</f>
        <v/>
      </c>
      <c r="M66" s="231">
        <f>IF(OR(E66="",G66=""),"",ROUND(MAX(E66-G66,0),2))</f>
        <v/>
      </c>
      <c r="N66" s="225">
        <f>IF(AND(A66="",A65&lt;&gt;"",COUNTIF(A67:$A$200,"&lt;&gt;")=0),ROUND(SUMIF($A$2:A65,"&lt;&gt;",$N$2:N65),2),IF(OR(M66="",C66="",NOT(ISNUMBER($Z$3))),"",ROUND(M66*C66*$Z$3,2)))</f>
        <v/>
      </c>
      <c r="O66" s="231">
        <f>IF(OR(G66="",I66=""),"",ROUND(MAX(G66-I66,0),2))</f>
        <v/>
      </c>
      <c r="P66" s="225">
        <f>IF(AND(A66="",A65&lt;&gt;"",COUNTIF(A67:$A$200,"&lt;&gt;")=0),ROUND(SUMIF($A$2:A65,"&lt;&gt;",$P$2:P65),2),IF(OR(O66="",C66="",NOT(ISNUMBER($Z$4))),"",ROUND(O66*C66*$Z$4,2)))</f>
        <v/>
      </c>
      <c r="Q66" s="231">
        <f>IF(OR(I66="",K66=""),"",ROUND(MAX(I66-K66,0),2))</f>
        <v/>
      </c>
      <c r="R66" s="225">
        <f>IF(AND(A66="",A65&lt;&gt;"",COUNTIF(A67:$A$200,"&lt;&gt;")=0),ROUND(SUMIF($A$2:A65,"&lt;&gt;",$R$2:R65),2),IF(OR(Q66="",C66="",NOT(ISNUMBER($Z$5))),"",ROUND(Q66*C66*$Z$5,2)))</f>
        <v/>
      </c>
      <c r="S66" s="27" t="n"/>
      <c r="T66" s="232" t="n"/>
      <c r="U66" s="233">
        <f>IF(AND(A66="",A65&lt;&gt;"",COUNTIF(A67:$A$200,"&lt;&gt;")=0),"TOTAL",IF(A66="","",IF(AND(G66&lt;&gt;"",E66&lt;&gt;"",G66&gt;E66),"ALERTA: REM_C2&gt;REM_C1",IF(AND(I66&lt;&gt;"",G66&lt;&gt;"",I66&gt;G66),"ALERTA: REM_C3&gt;REM_C2",IF(AND(K66&lt;&gt;"",I66&lt;&gt;"",K66&gt;I66),"ALERTA: REM_C4&gt;REM_C3","OK")))))</f>
        <v/>
      </c>
      <c r="V66" s="233">
        <f>IF(A66="","",IF(B66="","",IF(OR(B66&lt;0,E66&gt;B66,G66&gt;B66,I66&gt;B66,K66&gt;B66),"ALERTA: QTD_INVALIDA","OK")))</f>
        <v/>
      </c>
      <c r="W66" s="19" t="n"/>
      <c r="X66" s="19" t="n"/>
      <c r="Y66" s="19" t="n"/>
      <c r="Z66" s="17" t="n"/>
      <c r="AA66" s="17" t="n"/>
      <c r="AB66" s="231">
        <f>IF(OR(A66="",E66=""),"",ROUND(B66-E66,2))</f>
        <v/>
      </c>
      <c r="AC66" s="225">
        <f>IF(AND(A66="",A65&lt;&gt;"",COUNTIF(A67:$A$200,"&lt;&gt;")=0),ROUND(SUMIF($A$2:A65,"&lt;&gt;",$AC$2:AC65),2),IF(OR(A66="",E66=""),"",ROUND(D66-E66*C66,2)))</f>
        <v/>
      </c>
      <c r="AD66" s="17" t="n"/>
    </row>
    <row r="67">
      <c r="A67" s="227" t="n"/>
      <c r="B67" s="228" t="n"/>
      <c r="C67" s="229" t="n"/>
      <c r="D67" s="225">
        <f>IF(AND(A67="",A66&lt;&gt;"",COUNTIF(A68:$A$200,"&lt;&gt;")=0),ROUND(SUMIF($A$2:A66,"&lt;&gt;",$D$2:D66),2),IF(OR(A67="",B67="",C67=""),"",ROUND(B67*C67,2)))</f>
        <v/>
      </c>
      <c r="E67" s="230" t="n"/>
      <c r="F67" s="225">
        <f>IF(AND(A67="",A66&lt;&gt;"",COUNTIF(A68:$A$200,"&lt;&gt;")=0),ROUND(SUMIF($A$2:A66,"&lt;&gt;",$F$2:F66),2),IF(OR(A67="",E67="",C67="",NOT(ISNUMBER($Z$3))),"",ROUND(E67*C67*$Z$3,2)))</f>
        <v/>
      </c>
      <c r="G67" s="230" t="n"/>
      <c r="H67" s="225">
        <f>IF(AND(A67="",A66&lt;&gt;"",COUNTIF(A68:$A$200,"&lt;&gt;")=0),ROUND(SUMIF($A$2:A66,"&lt;&gt;",$H$2:H66),2),IF(OR(A67="",G67="",C67="",NOT(ISNUMBER($Z$4))),"",ROUND(G67*C67*$Z$4,2)))</f>
        <v/>
      </c>
      <c r="I67" s="230" t="n"/>
      <c r="J67" s="225">
        <f>IF(AND(A67="",A66&lt;&gt;"",COUNTIF(A68:$A$200,"&lt;&gt;")=0),ROUND(SUMIF($A$2:A66,"&lt;&gt;",$J$2:J66),2),IF(OR(A67="",I67="",C67="",NOT(ISNUMBER($Z$5))),"",ROUND(I67*C67*$Z$5,2)))</f>
        <v/>
      </c>
      <c r="K67" s="230" t="n"/>
      <c r="L67" s="225">
        <f>IF(AND(A67="",A66&lt;&gt;"",COUNTIF(A68:$A$200,"&lt;&gt;")=0),ROUND(SUMIF($A$2:A66,"&lt;&gt;",$L$2:L66),2),IF(OR(A67="",K67="",C67="",NOT(ISNUMBER($Z$6))),"",ROUND(K67*C67*$Z$6,2)))</f>
        <v/>
      </c>
      <c r="M67" s="231">
        <f>IF(OR(E67="",G67=""),"",ROUND(MAX(E67-G67,0),2))</f>
        <v/>
      </c>
      <c r="N67" s="225">
        <f>IF(AND(A67="",A66&lt;&gt;"",COUNTIF(A68:$A$200,"&lt;&gt;")=0),ROUND(SUMIF($A$2:A66,"&lt;&gt;",$N$2:N66),2),IF(OR(M67="",C67="",NOT(ISNUMBER($Z$3))),"",ROUND(M67*C67*$Z$3,2)))</f>
        <v/>
      </c>
      <c r="O67" s="231">
        <f>IF(OR(G67="",I67=""),"",ROUND(MAX(G67-I67,0),2))</f>
        <v/>
      </c>
      <c r="P67" s="225">
        <f>IF(AND(A67="",A66&lt;&gt;"",COUNTIF(A68:$A$200,"&lt;&gt;")=0),ROUND(SUMIF($A$2:A66,"&lt;&gt;",$P$2:P66),2),IF(OR(O67="",C67="",NOT(ISNUMBER($Z$4))),"",ROUND(O67*C67*$Z$4,2)))</f>
        <v/>
      </c>
      <c r="Q67" s="231">
        <f>IF(OR(I67="",K67=""),"",ROUND(MAX(I67-K67,0),2))</f>
        <v/>
      </c>
      <c r="R67" s="225">
        <f>IF(AND(A67="",A66&lt;&gt;"",COUNTIF(A68:$A$200,"&lt;&gt;")=0),ROUND(SUMIF($A$2:A66,"&lt;&gt;",$R$2:R66),2),IF(OR(Q67="",C67="",NOT(ISNUMBER($Z$5))),"",ROUND(Q67*C67*$Z$5,2)))</f>
        <v/>
      </c>
      <c r="S67" s="27" t="n"/>
      <c r="T67" s="232" t="n"/>
      <c r="U67" s="233">
        <f>IF(AND(A67="",A66&lt;&gt;"",COUNTIF(A68:$A$200,"&lt;&gt;")=0),"TOTAL",IF(A67="","",IF(AND(G67&lt;&gt;"",E67&lt;&gt;"",G67&gt;E67),"ALERTA: REM_C2&gt;REM_C1",IF(AND(I67&lt;&gt;"",G67&lt;&gt;"",I67&gt;G67),"ALERTA: REM_C3&gt;REM_C2",IF(AND(K67&lt;&gt;"",I67&lt;&gt;"",K67&gt;I67),"ALERTA: REM_C4&gt;REM_C3","OK")))))</f>
        <v/>
      </c>
      <c r="V67" s="233">
        <f>IF(A67="","",IF(B67="","",IF(OR(B67&lt;0,E67&gt;B67,G67&gt;B67,I67&gt;B67,K67&gt;B67),"ALERTA: QTD_INVALIDA","OK")))</f>
        <v/>
      </c>
      <c r="W67" s="19" t="n"/>
      <c r="X67" s="19" t="n"/>
      <c r="Y67" s="19" t="n"/>
      <c r="Z67" s="17" t="n"/>
      <c r="AA67" s="17" t="n"/>
      <c r="AB67" s="231">
        <f>IF(OR(A67="",E67=""),"",ROUND(B67-E67,2))</f>
        <v/>
      </c>
      <c r="AC67" s="225">
        <f>IF(AND(A67="",A66&lt;&gt;"",COUNTIF(A68:$A$200,"&lt;&gt;")=0),ROUND(SUMIF($A$2:A66,"&lt;&gt;",$AC$2:AC66),2),IF(OR(A67="",E67=""),"",ROUND(D67-E67*C67,2)))</f>
        <v/>
      </c>
      <c r="AD67" s="17" t="n"/>
    </row>
    <row r="68">
      <c r="A68" s="227" t="n"/>
      <c r="B68" s="228" t="n"/>
      <c r="C68" s="229" t="n"/>
      <c r="D68" s="225">
        <f>IF(AND(A68="",A67&lt;&gt;"",COUNTIF(A69:$A$200,"&lt;&gt;")=0),ROUND(SUMIF($A$2:A67,"&lt;&gt;",$D$2:D67),2),IF(OR(A68="",B68="",C68=""),"",ROUND(B68*C68,2)))</f>
        <v/>
      </c>
      <c r="E68" s="230" t="n"/>
      <c r="F68" s="225">
        <f>IF(AND(A68="",A67&lt;&gt;"",COUNTIF(A69:$A$200,"&lt;&gt;")=0),ROUND(SUMIF($A$2:A67,"&lt;&gt;",$F$2:F67),2),IF(OR(A68="",E68="",C68="",NOT(ISNUMBER($Z$3))),"",ROUND(E68*C68*$Z$3,2)))</f>
        <v/>
      </c>
      <c r="G68" s="230" t="n"/>
      <c r="H68" s="225">
        <f>IF(AND(A68="",A67&lt;&gt;"",COUNTIF(A69:$A$200,"&lt;&gt;")=0),ROUND(SUMIF($A$2:A67,"&lt;&gt;",$H$2:H67),2),IF(OR(A68="",G68="",C68="",NOT(ISNUMBER($Z$4))),"",ROUND(G68*C68*$Z$4,2)))</f>
        <v/>
      </c>
      <c r="I68" s="230" t="n"/>
      <c r="J68" s="225">
        <f>IF(AND(A68="",A67&lt;&gt;"",COUNTIF(A69:$A$200,"&lt;&gt;")=0),ROUND(SUMIF($A$2:A67,"&lt;&gt;",$J$2:J67),2),IF(OR(A68="",I68="",C68="",NOT(ISNUMBER($Z$5))),"",ROUND(I68*C68*$Z$5,2)))</f>
        <v/>
      </c>
      <c r="K68" s="230" t="n"/>
      <c r="L68" s="225">
        <f>IF(AND(A68="",A67&lt;&gt;"",COUNTIF(A69:$A$200,"&lt;&gt;")=0),ROUND(SUMIF($A$2:A67,"&lt;&gt;",$L$2:L67),2),IF(OR(A68="",K68="",C68="",NOT(ISNUMBER($Z$6))),"",ROUND(K68*C68*$Z$6,2)))</f>
        <v/>
      </c>
      <c r="M68" s="231">
        <f>IF(OR(E68="",G68=""),"",ROUND(MAX(E68-G68,0),2))</f>
        <v/>
      </c>
      <c r="N68" s="225">
        <f>IF(AND(A68="",A67&lt;&gt;"",COUNTIF(A69:$A$200,"&lt;&gt;")=0),ROUND(SUMIF($A$2:A67,"&lt;&gt;",$N$2:N67),2),IF(OR(M68="",C68="",NOT(ISNUMBER($Z$3))),"",ROUND(M68*C68*$Z$3,2)))</f>
        <v/>
      </c>
      <c r="O68" s="231">
        <f>IF(OR(G68="",I68=""),"",ROUND(MAX(G68-I68,0),2))</f>
        <v/>
      </c>
      <c r="P68" s="225">
        <f>IF(AND(A68="",A67&lt;&gt;"",COUNTIF(A69:$A$200,"&lt;&gt;")=0),ROUND(SUMIF($A$2:A67,"&lt;&gt;",$P$2:P67),2),IF(OR(O68="",C68="",NOT(ISNUMBER($Z$4))),"",ROUND(O68*C68*$Z$4,2)))</f>
        <v/>
      </c>
      <c r="Q68" s="231">
        <f>IF(OR(I68="",K68=""),"",ROUND(MAX(I68-K68,0),2))</f>
        <v/>
      </c>
      <c r="R68" s="225">
        <f>IF(AND(A68="",A67&lt;&gt;"",COUNTIF(A69:$A$200,"&lt;&gt;")=0),ROUND(SUMIF($A$2:A67,"&lt;&gt;",$R$2:R67),2),IF(OR(Q68="",C68="",NOT(ISNUMBER($Z$5))),"",ROUND(Q68*C68*$Z$5,2)))</f>
        <v/>
      </c>
      <c r="S68" s="27" t="n"/>
      <c r="T68" s="232" t="n"/>
      <c r="U68" s="233">
        <f>IF(AND(A68="",A67&lt;&gt;"",COUNTIF(A69:$A$200,"&lt;&gt;")=0),"TOTAL",IF(A68="","",IF(AND(G68&lt;&gt;"",E68&lt;&gt;"",G68&gt;E68),"ALERTA: REM_C2&gt;REM_C1",IF(AND(I68&lt;&gt;"",G68&lt;&gt;"",I68&gt;G68),"ALERTA: REM_C3&gt;REM_C2",IF(AND(K68&lt;&gt;"",I68&lt;&gt;"",K68&gt;I68),"ALERTA: REM_C4&gt;REM_C3","OK")))))</f>
        <v/>
      </c>
      <c r="V68" s="233">
        <f>IF(A68="","",IF(B68="","",IF(OR(B68&lt;0,E68&gt;B68,G68&gt;B68,I68&gt;B68,K68&gt;B68),"ALERTA: QTD_INVALIDA","OK")))</f>
        <v/>
      </c>
      <c r="W68" s="19" t="n"/>
      <c r="X68" s="19" t="n"/>
      <c r="Y68" s="19" t="n"/>
      <c r="Z68" s="17" t="n"/>
      <c r="AA68" s="17" t="n"/>
      <c r="AB68" s="231">
        <f>IF(OR(A68="",E68=""),"",ROUND(B68-E68,2))</f>
        <v/>
      </c>
      <c r="AC68" s="225">
        <f>IF(AND(A68="",A67&lt;&gt;"",COUNTIF(A69:$A$200,"&lt;&gt;")=0),ROUND(SUMIF($A$2:A67,"&lt;&gt;",$AC$2:AC67),2),IF(OR(A68="",E68=""),"",ROUND(D68-E68*C68,2)))</f>
        <v/>
      </c>
      <c r="AD68" s="17" t="n"/>
    </row>
    <row r="69">
      <c r="A69" s="227" t="n"/>
      <c r="B69" s="228" t="n"/>
      <c r="C69" s="229" t="n"/>
      <c r="D69" s="225">
        <f>IF(AND(A69="",A68&lt;&gt;"",COUNTIF(A70:$A$200,"&lt;&gt;")=0),ROUND(SUMIF($A$2:A68,"&lt;&gt;",$D$2:D68),2),IF(OR(A69="",B69="",C69=""),"",ROUND(B69*C69,2)))</f>
        <v/>
      </c>
      <c r="E69" s="230" t="n"/>
      <c r="F69" s="225">
        <f>IF(AND(A69="",A68&lt;&gt;"",COUNTIF(A70:$A$200,"&lt;&gt;")=0),ROUND(SUMIF($A$2:A68,"&lt;&gt;",$F$2:F68),2),IF(OR(A69="",E69="",C69="",NOT(ISNUMBER($Z$3))),"",ROUND(E69*C69*$Z$3,2)))</f>
        <v/>
      </c>
      <c r="G69" s="230" t="n"/>
      <c r="H69" s="225">
        <f>IF(AND(A69="",A68&lt;&gt;"",COUNTIF(A70:$A$200,"&lt;&gt;")=0),ROUND(SUMIF($A$2:A68,"&lt;&gt;",$H$2:H68),2),IF(OR(A69="",G69="",C69="",NOT(ISNUMBER($Z$4))),"",ROUND(G69*C69*$Z$4,2)))</f>
        <v/>
      </c>
      <c r="I69" s="230" t="n"/>
      <c r="J69" s="225">
        <f>IF(AND(A69="",A68&lt;&gt;"",COUNTIF(A70:$A$200,"&lt;&gt;")=0),ROUND(SUMIF($A$2:A68,"&lt;&gt;",$J$2:J68),2),IF(OR(A69="",I69="",C69="",NOT(ISNUMBER($Z$5))),"",ROUND(I69*C69*$Z$5,2)))</f>
        <v/>
      </c>
      <c r="K69" s="230" t="n"/>
      <c r="L69" s="225">
        <f>IF(AND(A69="",A68&lt;&gt;"",COUNTIF(A70:$A$200,"&lt;&gt;")=0),ROUND(SUMIF($A$2:A68,"&lt;&gt;",$L$2:L68),2),IF(OR(A69="",K69="",C69="",NOT(ISNUMBER($Z$6))),"",ROUND(K69*C69*$Z$6,2)))</f>
        <v/>
      </c>
      <c r="M69" s="231">
        <f>IF(OR(E69="",G69=""),"",ROUND(MAX(E69-G69,0),2))</f>
        <v/>
      </c>
      <c r="N69" s="225">
        <f>IF(AND(A69="",A68&lt;&gt;"",COUNTIF(A70:$A$200,"&lt;&gt;")=0),ROUND(SUMIF($A$2:A68,"&lt;&gt;",$N$2:N68),2),IF(OR(M69="",C69="",NOT(ISNUMBER($Z$3))),"",ROUND(M69*C69*$Z$3,2)))</f>
        <v/>
      </c>
      <c r="O69" s="231">
        <f>IF(OR(G69="",I69=""),"",ROUND(MAX(G69-I69,0),2))</f>
        <v/>
      </c>
      <c r="P69" s="225">
        <f>IF(AND(A69="",A68&lt;&gt;"",COUNTIF(A70:$A$200,"&lt;&gt;")=0),ROUND(SUMIF($A$2:A68,"&lt;&gt;",$P$2:P68),2),IF(OR(O69="",C69="",NOT(ISNUMBER($Z$4))),"",ROUND(O69*C69*$Z$4,2)))</f>
        <v/>
      </c>
      <c r="Q69" s="231">
        <f>IF(OR(I69="",K69=""),"",ROUND(MAX(I69-K69,0),2))</f>
        <v/>
      </c>
      <c r="R69" s="225">
        <f>IF(AND(A69="",A68&lt;&gt;"",COUNTIF(A70:$A$200,"&lt;&gt;")=0),ROUND(SUMIF($A$2:A68,"&lt;&gt;",$R$2:R68),2),IF(OR(Q69="",C69="",NOT(ISNUMBER($Z$5))),"",ROUND(Q69*C69*$Z$5,2)))</f>
        <v/>
      </c>
      <c r="S69" s="27" t="n"/>
      <c r="T69" s="232" t="n"/>
      <c r="U69" s="233">
        <f>IF(AND(A69="",A68&lt;&gt;"",COUNTIF(A70:$A$200,"&lt;&gt;")=0),"TOTAL",IF(A69="","",IF(AND(G69&lt;&gt;"",E69&lt;&gt;"",G69&gt;E69),"ALERTA: REM_C2&gt;REM_C1",IF(AND(I69&lt;&gt;"",G69&lt;&gt;"",I69&gt;G69),"ALERTA: REM_C3&gt;REM_C2",IF(AND(K69&lt;&gt;"",I69&lt;&gt;"",K69&gt;I69),"ALERTA: REM_C4&gt;REM_C3","OK")))))</f>
        <v/>
      </c>
      <c r="V69" s="233">
        <f>IF(A69="","",IF(B69="","",IF(OR(B69&lt;0,E69&gt;B69,G69&gt;B69,I69&gt;B69,K69&gt;B69),"ALERTA: QTD_INVALIDA","OK")))</f>
        <v/>
      </c>
      <c r="W69" s="19" t="n"/>
      <c r="X69" s="19" t="n"/>
      <c r="Y69" s="19" t="n"/>
      <c r="Z69" s="17" t="n"/>
      <c r="AA69" s="17" t="n"/>
      <c r="AB69" s="231">
        <f>IF(OR(A69="",E69=""),"",ROUND(B69-E69,2))</f>
        <v/>
      </c>
      <c r="AC69" s="225">
        <f>IF(AND(A69="",A68&lt;&gt;"",COUNTIF(A70:$A$200,"&lt;&gt;")=0),ROUND(SUMIF($A$2:A68,"&lt;&gt;",$AC$2:AC68),2),IF(OR(A69="",E69=""),"",ROUND(D69-E69*C69,2)))</f>
        <v/>
      </c>
      <c r="AD69" s="17" t="n"/>
    </row>
    <row r="70">
      <c r="A70" s="227" t="n"/>
      <c r="B70" s="228" t="n"/>
      <c r="C70" s="229" t="n"/>
      <c r="D70" s="225">
        <f>IF(AND(A70="",A69&lt;&gt;"",COUNTIF(A71:$A$200,"&lt;&gt;")=0),ROUND(SUMIF($A$2:A69,"&lt;&gt;",$D$2:D69),2),IF(OR(A70="",B70="",C70=""),"",ROUND(B70*C70,2)))</f>
        <v/>
      </c>
      <c r="E70" s="230" t="n"/>
      <c r="F70" s="225">
        <f>IF(AND(A70="",A69&lt;&gt;"",COUNTIF(A71:$A$200,"&lt;&gt;")=0),ROUND(SUMIF($A$2:A69,"&lt;&gt;",$F$2:F69),2),IF(OR(A70="",E70="",C70="",NOT(ISNUMBER($Z$3))),"",ROUND(E70*C70*$Z$3,2)))</f>
        <v/>
      </c>
      <c r="G70" s="230" t="n"/>
      <c r="H70" s="225">
        <f>IF(AND(A70="",A69&lt;&gt;"",COUNTIF(A71:$A$200,"&lt;&gt;")=0),ROUND(SUMIF($A$2:A69,"&lt;&gt;",$H$2:H69),2),IF(OR(A70="",G70="",C70="",NOT(ISNUMBER($Z$4))),"",ROUND(G70*C70*$Z$4,2)))</f>
        <v/>
      </c>
      <c r="I70" s="230" t="n"/>
      <c r="J70" s="225">
        <f>IF(AND(A70="",A69&lt;&gt;"",COUNTIF(A71:$A$200,"&lt;&gt;")=0),ROUND(SUMIF($A$2:A69,"&lt;&gt;",$J$2:J69),2),IF(OR(A70="",I70="",C70="",NOT(ISNUMBER($Z$5))),"",ROUND(I70*C70*$Z$5,2)))</f>
        <v/>
      </c>
      <c r="K70" s="230" t="n"/>
      <c r="L70" s="225">
        <f>IF(AND(A70="",A69&lt;&gt;"",COUNTIF(A71:$A$200,"&lt;&gt;")=0),ROUND(SUMIF($A$2:A69,"&lt;&gt;",$L$2:L69),2),IF(OR(A70="",K70="",C70="",NOT(ISNUMBER($Z$6))),"",ROUND(K70*C70*$Z$6,2)))</f>
        <v/>
      </c>
      <c r="M70" s="231">
        <f>IF(OR(E70="",G70=""),"",ROUND(MAX(E70-G70,0),2))</f>
        <v/>
      </c>
      <c r="N70" s="225">
        <f>IF(AND(A70="",A69&lt;&gt;"",COUNTIF(A71:$A$200,"&lt;&gt;")=0),ROUND(SUMIF($A$2:A69,"&lt;&gt;",$N$2:N69),2),IF(OR(M70="",C70="",NOT(ISNUMBER($Z$3))),"",ROUND(M70*C70*$Z$3,2)))</f>
        <v/>
      </c>
      <c r="O70" s="231">
        <f>IF(OR(G70="",I70=""),"",ROUND(MAX(G70-I70,0),2))</f>
        <v/>
      </c>
      <c r="P70" s="225">
        <f>IF(AND(A70="",A69&lt;&gt;"",COUNTIF(A71:$A$200,"&lt;&gt;")=0),ROUND(SUMIF($A$2:A69,"&lt;&gt;",$P$2:P69),2),IF(OR(O70="",C70="",NOT(ISNUMBER($Z$4))),"",ROUND(O70*C70*$Z$4,2)))</f>
        <v/>
      </c>
      <c r="Q70" s="231">
        <f>IF(OR(I70="",K70=""),"",ROUND(MAX(I70-K70,0),2))</f>
        <v/>
      </c>
      <c r="R70" s="225">
        <f>IF(AND(A70="",A69&lt;&gt;"",COUNTIF(A71:$A$200,"&lt;&gt;")=0),ROUND(SUMIF($A$2:A69,"&lt;&gt;",$R$2:R69),2),IF(OR(Q70="",C70="",NOT(ISNUMBER($Z$5))),"",ROUND(Q70*C70*$Z$5,2)))</f>
        <v/>
      </c>
      <c r="S70" s="27" t="n"/>
      <c r="T70" s="232" t="n"/>
      <c r="U70" s="233">
        <f>IF(AND(A70="",A69&lt;&gt;"",COUNTIF(A71:$A$200,"&lt;&gt;")=0),"TOTAL",IF(A70="","",IF(AND(G70&lt;&gt;"",E70&lt;&gt;"",G70&gt;E70),"ALERTA: REM_C2&gt;REM_C1",IF(AND(I70&lt;&gt;"",G70&lt;&gt;"",I70&gt;G70),"ALERTA: REM_C3&gt;REM_C2",IF(AND(K70&lt;&gt;"",I70&lt;&gt;"",K70&gt;I70),"ALERTA: REM_C4&gt;REM_C3","OK")))))</f>
        <v/>
      </c>
      <c r="V70" s="233">
        <f>IF(A70="","",IF(B70="","",IF(OR(B70&lt;0,E70&gt;B70,G70&gt;B70,I70&gt;B70,K70&gt;B70),"ALERTA: QTD_INVALIDA","OK")))</f>
        <v/>
      </c>
      <c r="W70" s="19" t="n"/>
      <c r="X70" s="19" t="n"/>
      <c r="Y70" s="19" t="n"/>
      <c r="Z70" s="17" t="n"/>
      <c r="AA70" s="17" t="n"/>
      <c r="AB70" s="231">
        <f>IF(OR(A70="",E70=""),"",ROUND(B70-E70,2))</f>
        <v/>
      </c>
      <c r="AC70" s="225">
        <f>IF(AND(A70="",A69&lt;&gt;"",COUNTIF(A71:$A$200,"&lt;&gt;")=0),ROUND(SUMIF($A$2:A69,"&lt;&gt;",$AC$2:AC69),2),IF(OR(A70="",E70=""),"",ROUND(D70-E70*C70,2)))</f>
        <v/>
      </c>
      <c r="AD70" s="17" t="n"/>
    </row>
    <row r="71">
      <c r="A71" s="227" t="n"/>
      <c r="B71" s="228" t="n"/>
      <c r="C71" s="229" t="n"/>
      <c r="D71" s="225">
        <f>IF(AND(A71="",A70&lt;&gt;"",COUNTIF(A72:$A$200,"&lt;&gt;")=0),ROUND(SUMIF($A$2:A70,"&lt;&gt;",$D$2:D70),2),IF(OR(A71="",B71="",C71=""),"",ROUND(B71*C71,2)))</f>
        <v/>
      </c>
      <c r="E71" s="230" t="n"/>
      <c r="F71" s="225">
        <f>IF(AND(A71="",A70&lt;&gt;"",COUNTIF(A72:$A$200,"&lt;&gt;")=0),ROUND(SUMIF($A$2:A70,"&lt;&gt;",$F$2:F70),2),IF(OR(A71="",E71="",C71="",NOT(ISNUMBER($Z$3))),"",ROUND(E71*C71*$Z$3,2)))</f>
        <v/>
      </c>
      <c r="G71" s="230" t="n"/>
      <c r="H71" s="225">
        <f>IF(AND(A71="",A70&lt;&gt;"",COUNTIF(A72:$A$200,"&lt;&gt;")=0),ROUND(SUMIF($A$2:A70,"&lt;&gt;",$H$2:H70),2),IF(OR(A71="",G71="",C71="",NOT(ISNUMBER($Z$4))),"",ROUND(G71*C71*$Z$4,2)))</f>
        <v/>
      </c>
      <c r="I71" s="230" t="n"/>
      <c r="J71" s="225">
        <f>IF(AND(A71="",A70&lt;&gt;"",COUNTIF(A72:$A$200,"&lt;&gt;")=0),ROUND(SUMIF($A$2:A70,"&lt;&gt;",$J$2:J70),2),IF(OR(A71="",I71="",C71="",NOT(ISNUMBER($Z$5))),"",ROUND(I71*C71*$Z$5,2)))</f>
        <v/>
      </c>
      <c r="K71" s="230" t="n"/>
      <c r="L71" s="225">
        <f>IF(AND(A71="",A70&lt;&gt;"",COUNTIF(A72:$A$200,"&lt;&gt;")=0),ROUND(SUMIF($A$2:A70,"&lt;&gt;",$L$2:L70),2),IF(OR(A71="",K71="",C71="",NOT(ISNUMBER($Z$6))),"",ROUND(K71*C71*$Z$6,2)))</f>
        <v/>
      </c>
      <c r="M71" s="231">
        <f>IF(OR(E71="",G71=""),"",ROUND(MAX(E71-G71,0),2))</f>
        <v/>
      </c>
      <c r="N71" s="225">
        <f>IF(AND(A71="",A70&lt;&gt;"",COUNTIF(A72:$A$200,"&lt;&gt;")=0),ROUND(SUMIF($A$2:A70,"&lt;&gt;",$N$2:N70),2),IF(OR(M71="",C71="",NOT(ISNUMBER($Z$3))),"",ROUND(M71*C71*$Z$3,2)))</f>
        <v/>
      </c>
      <c r="O71" s="231">
        <f>IF(OR(G71="",I71=""),"",ROUND(MAX(G71-I71,0),2))</f>
        <v/>
      </c>
      <c r="P71" s="225">
        <f>IF(AND(A71="",A70&lt;&gt;"",COUNTIF(A72:$A$200,"&lt;&gt;")=0),ROUND(SUMIF($A$2:A70,"&lt;&gt;",$P$2:P70),2),IF(OR(O71="",C71="",NOT(ISNUMBER($Z$4))),"",ROUND(O71*C71*$Z$4,2)))</f>
        <v/>
      </c>
      <c r="Q71" s="231">
        <f>IF(OR(I71="",K71=""),"",ROUND(MAX(I71-K71,0),2))</f>
        <v/>
      </c>
      <c r="R71" s="225">
        <f>IF(AND(A71="",A70&lt;&gt;"",COUNTIF(A72:$A$200,"&lt;&gt;")=0),ROUND(SUMIF($A$2:A70,"&lt;&gt;",$R$2:R70),2),IF(OR(Q71="",C71="",NOT(ISNUMBER($Z$5))),"",ROUND(Q71*C71*$Z$5,2)))</f>
        <v/>
      </c>
      <c r="S71" s="27" t="n"/>
      <c r="T71" s="232" t="n"/>
      <c r="U71" s="233">
        <f>IF(AND(A71="",A70&lt;&gt;"",COUNTIF(A72:$A$200,"&lt;&gt;")=0),"TOTAL",IF(A71="","",IF(AND(G71&lt;&gt;"",E71&lt;&gt;"",G71&gt;E71),"ALERTA: REM_C2&gt;REM_C1",IF(AND(I71&lt;&gt;"",G71&lt;&gt;"",I71&gt;G71),"ALERTA: REM_C3&gt;REM_C2",IF(AND(K71&lt;&gt;"",I71&lt;&gt;"",K71&gt;I71),"ALERTA: REM_C4&gt;REM_C3","OK")))))</f>
        <v/>
      </c>
      <c r="V71" s="233">
        <f>IF(A71="","",IF(B71="","",IF(OR(B71&lt;0,E71&gt;B71,G71&gt;B71,I71&gt;B71,K71&gt;B71),"ALERTA: QTD_INVALIDA","OK")))</f>
        <v/>
      </c>
      <c r="W71" s="19" t="n"/>
      <c r="X71" s="19" t="n"/>
      <c r="Y71" s="19" t="n"/>
      <c r="Z71" s="17" t="n"/>
      <c r="AA71" s="17" t="n"/>
      <c r="AB71" s="231">
        <f>IF(OR(A71="",E71=""),"",ROUND(B71-E71,2))</f>
        <v/>
      </c>
      <c r="AC71" s="225">
        <f>IF(AND(A71="",A70&lt;&gt;"",COUNTIF(A72:$A$200,"&lt;&gt;")=0),ROUND(SUMIF($A$2:A70,"&lt;&gt;",$AC$2:AC70),2),IF(OR(A71="",E71=""),"",ROUND(D71-E71*C71,2)))</f>
        <v/>
      </c>
      <c r="AD71" s="17" t="n"/>
    </row>
    <row r="72">
      <c r="A72" s="227" t="n"/>
      <c r="B72" s="228" t="n"/>
      <c r="C72" s="229" t="n"/>
      <c r="D72" s="225">
        <f>IF(AND(A72="",A71&lt;&gt;"",COUNTIF(A73:$A$200,"&lt;&gt;")=0),ROUND(SUMIF($A$2:A71,"&lt;&gt;",$D$2:D71),2),IF(OR(A72="",B72="",C72=""),"",ROUND(B72*C72,2)))</f>
        <v/>
      </c>
      <c r="E72" s="230" t="n"/>
      <c r="F72" s="225">
        <f>IF(AND(A72="",A71&lt;&gt;"",COUNTIF(A73:$A$200,"&lt;&gt;")=0),ROUND(SUMIF($A$2:A71,"&lt;&gt;",$F$2:F71),2),IF(OR(A72="",E72="",C72="",NOT(ISNUMBER($Z$3))),"",ROUND(E72*C72*$Z$3,2)))</f>
        <v/>
      </c>
      <c r="G72" s="230" t="n"/>
      <c r="H72" s="225">
        <f>IF(AND(A72="",A71&lt;&gt;"",COUNTIF(A73:$A$200,"&lt;&gt;")=0),ROUND(SUMIF($A$2:A71,"&lt;&gt;",$H$2:H71),2),IF(OR(A72="",G72="",C72="",NOT(ISNUMBER($Z$4))),"",ROUND(G72*C72*$Z$4,2)))</f>
        <v/>
      </c>
      <c r="I72" s="230" t="n"/>
      <c r="J72" s="225">
        <f>IF(AND(A72="",A71&lt;&gt;"",COUNTIF(A73:$A$200,"&lt;&gt;")=0),ROUND(SUMIF($A$2:A71,"&lt;&gt;",$J$2:J71),2),IF(OR(A72="",I72="",C72="",NOT(ISNUMBER($Z$5))),"",ROUND(I72*C72*$Z$5,2)))</f>
        <v/>
      </c>
      <c r="K72" s="230" t="n"/>
      <c r="L72" s="225">
        <f>IF(AND(A72="",A71&lt;&gt;"",COUNTIF(A73:$A$200,"&lt;&gt;")=0),ROUND(SUMIF($A$2:A71,"&lt;&gt;",$L$2:L71),2),IF(OR(A72="",K72="",C72="",NOT(ISNUMBER($Z$6))),"",ROUND(K72*C72*$Z$6,2)))</f>
        <v/>
      </c>
      <c r="M72" s="231">
        <f>IF(OR(E72="",G72=""),"",ROUND(MAX(E72-G72,0),2))</f>
        <v/>
      </c>
      <c r="N72" s="225">
        <f>IF(AND(A72="",A71&lt;&gt;"",COUNTIF(A73:$A$200,"&lt;&gt;")=0),ROUND(SUMIF($A$2:A71,"&lt;&gt;",$N$2:N71),2),IF(OR(M72="",C72="",NOT(ISNUMBER($Z$3))),"",ROUND(M72*C72*$Z$3,2)))</f>
        <v/>
      </c>
      <c r="O72" s="231">
        <f>IF(OR(G72="",I72=""),"",ROUND(MAX(G72-I72,0),2))</f>
        <v/>
      </c>
      <c r="P72" s="225">
        <f>IF(AND(A72="",A71&lt;&gt;"",COUNTIF(A73:$A$200,"&lt;&gt;")=0),ROUND(SUMIF($A$2:A71,"&lt;&gt;",$P$2:P71),2),IF(OR(O72="",C72="",NOT(ISNUMBER($Z$4))),"",ROUND(O72*C72*$Z$4,2)))</f>
        <v/>
      </c>
      <c r="Q72" s="231">
        <f>IF(OR(I72="",K72=""),"",ROUND(MAX(I72-K72,0),2))</f>
        <v/>
      </c>
      <c r="R72" s="225">
        <f>IF(AND(A72="",A71&lt;&gt;"",COUNTIF(A73:$A$200,"&lt;&gt;")=0),ROUND(SUMIF($A$2:A71,"&lt;&gt;",$R$2:R71),2),IF(OR(Q72="",C72="",NOT(ISNUMBER($Z$5))),"",ROUND(Q72*C72*$Z$5,2)))</f>
        <v/>
      </c>
      <c r="S72" s="27" t="n"/>
      <c r="T72" s="232" t="n"/>
      <c r="U72" s="233">
        <f>IF(AND(A72="",A71&lt;&gt;"",COUNTIF(A73:$A$200,"&lt;&gt;")=0),"TOTAL",IF(A72="","",IF(AND(G72&lt;&gt;"",E72&lt;&gt;"",G72&gt;E72),"ALERTA: REM_C2&gt;REM_C1",IF(AND(I72&lt;&gt;"",G72&lt;&gt;"",I72&gt;G72),"ALERTA: REM_C3&gt;REM_C2",IF(AND(K72&lt;&gt;"",I72&lt;&gt;"",K72&gt;I72),"ALERTA: REM_C4&gt;REM_C3","OK")))))</f>
        <v/>
      </c>
      <c r="V72" s="233">
        <f>IF(A72="","",IF(B72="","",IF(OR(B72&lt;0,E72&gt;B72,G72&gt;B72,I72&gt;B72,K72&gt;B72),"ALERTA: QTD_INVALIDA","OK")))</f>
        <v/>
      </c>
      <c r="W72" s="19" t="n"/>
      <c r="X72" s="19" t="n"/>
      <c r="Y72" s="19" t="n"/>
      <c r="Z72" s="17" t="n"/>
      <c r="AA72" s="17" t="n"/>
      <c r="AB72" s="231">
        <f>IF(OR(A72="",E72=""),"",ROUND(B72-E72,2))</f>
        <v/>
      </c>
      <c r="AC72" s="225">
        <f>IF(AND(A72="",A71&lt;&gt;"",COUNTIF(A73:$A$200,"&lt;&gt;")=0),ROUND(SUMIF($A$2:A71,"&lt;&gt;",$AC$2:AC71),2),IF(OR(A72="",E72=""),"",ROUND(D72-E72*C72,2)))</f>
        <v/>
      </c>
      <c r="AD72" s="17" t="n"/>
    </row>
    <row r="73">
      <c r="A73" s="227" t="n"/>
      <c r="B73" s="228" t="n"/>
      <c r="C73" s="229" t="n"/>
      <c r="D73" s="225">
        <f>IF(AND(A73="",A72&lt;&gt;"",COUNTIF(A74:$A$200,"&lt;&gt;")=0),ROUND(SUMIF($A$2:A72,"&lt;&gt;",$D$2:D72),2),IF(OR(A73="",B73="",C73=""),"",ROUND(B73*C73,2)))</f>
        <v/>
      </c>
      <c r="E73" s="230" t="n"/>
      <c r="F73" s="225">
        <f>IF(AND(A73="",A72&lt;&gt;"",COUNTIF(A74:$A$200,"&lt;&gt;")=0),ROUND(SUMIF($A$2:A72,"&lt;&gt;",$F$2:F72),2),IF(OR(A73="",E73="",C73="",NOT(ISNUMBER($Z$3))),"",ROUND(E73*C73*$Z$3,2)))</f>
        <v/>
      </c>
      <c r="G73" s="230" t="n"/>
      <c r="H73" s="225">
        <f>IF(AND(A73="",A72&lt;&gt;"",COUNTIF(A74:$A$200,"&lt;&gt;")=0),ROUND(SUMIF($A$2:A72,"&lt;&gt;",$H$2:H72),2),IF(OR(A73="",G73="",C73="",NOT(ISNUMBER($Z$4))),"",ROUND(G73*C73*$Z$4,2)))</f>
        <v/>
      </c>
      <c r="I73" s="230" t="n"/>
      <c r="J73" s="225">
        <f>IF(AND(A73="",A72&lt;&gt;"",COUNTIF(A74:$A$200,"&lt;&gt;")=0),ROUND(SUMIF($A$2:A72,"&lt;&gt;",$J$2:J72),2),IF(OR(A73="",I73="",C73="",NOT(ISNUMBER($Z$5))),"",ROUND(I73*C73*$Z$5,2)))</f>
        <v/>
      </c>
      <c r="K73" s="230" t="n"/>
      <c r="L73" s="225">
        <f>IF(AND(A73="",A72&lt;&gt;"",COUNTIF(A74:$A$200,"&lt;&gt;")=0),ROUND(SUMIF($A$2:A72,"&lt;&gt;",$L$2:L72),2),IF(OR(A73="",K73="",C73="",NOT(ISNUMBER($Z$6))),"",ROUND(K73*C73*$Z$6,2)))</f>
        <v/>
      </c>
      <c r="M73" s="231">
        <f>IF(OR(E73="",G73=""),"",ROUND(MAX(E73-G73,0),2))</f>
        <v/>
      </c>
      <c r="N73" s="225">
        <f>IF(AND(A73="",A72&lt;&gt;"",COUNTIF(A74:$A$200,"&lt;&gt;")=0),ROUND(SUMIF($A$2:A72,"&lt;&gt;",$N$2:N72),2),IF(OR(M73="",C73="",NOT(ISNUMBER($Z$3))),"",ROUND(M73*C73*$Z$3,2)))</f>
        <v/>
      </c>
      <c r="O73" s="231">
        <f>IF(OR(G73="",I73=""),"",ROUND(MAX(G73-I73,0),2))</f>
        <v/>
      </c>
      <c r="P73" s="225">
        <f>IF(AND(A73="",A72&lt;&gt;"",COUNTIF(A74:$A$200,"&lt;&gt;")=0),ROUND(SUMIF($A$2:A72,"&lt;&gt;",$P$2:P72),2),IF(OR(O73="",C73="",NOT(ISNUMBER($Z$4))),"",ROUND(O73*C73*$Z$4,2)))</f>
        <v/>
      </c>
      <c r="Q73" s="231">
        <f>IF(OR(I73="",K73=""),"",ROUND(MAX(I73-K73,0),2))</f>
        <v/>
      </c>
      <c r="R73" s="225">
        <f>IF(AND(A73="",A72&lt;&gt;"",COUNTIF(A74:$A$200,"&lt;&gt;")=0),ROUND(SUMIF($A$2:A72,"&lt;&gt;",$R$2:R72),2),IF(OR(Q73="",C73="",NOT(ISNUMBER($Z$5))),"",ROUND(Q73*C73*$Z$5,2)))</f>
        <v/>
      </c>
      <c r="S73" s="27" t="n"/>
      <c r="T73" s="232" t="n"/>
      <c r="U73" s="233">
        <f>IF(AND(A73="",A72&lt;&gt;"",COUNTIF(A74:$A$200,"&lt;&gt;")=0),"TOTAL",IF(A73="","",IF(AND(G73&lt;&gt;"",E73&lt;&gt;"",G73&gt;E73),"ALERTA: REM_C2&gt;REM_C1",IF(AND(I73&lt;&gt;"",G73&lt;&gt;"",I73&gt;G73),"ALERTA: REM_C3&gt;REM_C2",IF(AND(K73&lt;&gt;"",I73&lt;&gt;"",K73&gt;I73),"ALERTA: REM_C4&gt;REM_C3","OK")))))</f>
        <v/>
      </c>
      <c r="V73" s="233">
        <f>IF(A73="","",IF(B73="","",IF(OR(B73&lt;0,E73&gt;B73,G73&gt;B73,I73&gt;B73,K73&gt;B73),"ALERTA: QTD_INVALIDA","OK")))</f>
        <v/>
      </c>
      <c r="W73" s="19" t="n"/>
      <c r="X73" s="19" t="n"/>
      <c r="Y73" s="19" t="n"/>
      <c r="Z73" s="17" t="n"/>
      <c r="AA73" s="17" t="n"/>
      <c r="AB73" s="231">
        <f>IF(OR(A73="",E73=""),"",ROUND(B73-E73,2))</f>
        <v/>
      </c>
      <c r="AC73" s="225">
        <f>IF(AND(A73="",A72&lt;&gt;"",COUNTIF(A74:$A$200,"&lt;&gt;")=0),ROUND(SUMIF($A$2:A72,"&lt;&gt;",$AC$2:AC72),2),IF(OR(A73="",E73=""),"",ROUND(D73-E73*C73,2)))</f>
        <v/>
      </c>
      <c r="AD73" s="17" t="n"/>
    </row>
    <row r="74">
      <c r="A74" s="227" t="n"/>
      <c r="B74" s="228" t="n"/>
      <c r="C74" s="229" t="n"/>
      <c r="D74" s="225">
        <f>IF(AND(A74="",A73&lt;&gt;"",COUNTIF(A75:$A$200,"&lt;&gt;")=0),ROUND(SUMIF($A$2:A73,"&lt;&gt;",$D$2:D73),2),IF(OR(A74="",B74="",C74=""),"",ROUND(B74*C74,2)))</f>
        <v/>
      </c>
      <c r="E74" s="230" t="n"/>
      <c r="F74" s="225">
        <f>IF(AND(A74="",A73&lt;&gt;"",COUNTIF(A75:$A$200,"&lt;&gt;")=0),ROUND(SUMIF($A$2:A73,"&lt;&gt;",$F$2:F73),2),IF(OR(A74="",E74="",C74="",NOT(ISNUMBER($Z$3))),"",ROUND(E74*C74*$Z$3,2)))</f>
        <v/>
      </c>
      <c r="G74" s="230" t="n"/>
      <c r="H74" s="225">
        <f>IF(AND(A74="",A73&lt;&gt;"",COUNTIF(A75:$A$200,"&lt;&gt;")=0),ROUND(SUMIF($A$2:A73,"&lt;&gt;",$H$2:H73),2),IF(OR(A74="",G74="",C74="",NOT(ISNUMBER($Z$4))),"",ROUND(G74*C74*$Z$4,2)))</f>
        <v/>
      </c>
      <c r="I74" s="230" t="n"/>
      <c r="J74" s="225">
        <f>IF(AND(A74="",A73&lt;&gt;"",COUNTIF(A75:$A$200,"&lt;&gt;")=0),ROUND(SUMIF($A$2:A73,"&lt;&gt;",$J$2:J73),2),IF(OR(A74="",I74="",C74="",NOT(ISNUMBER($Z$5))),"",ROUND(I74*C74*$Z$5,2)))</f>
        <v/>
      </c>
      <c r="K74" s="230" t="n"/>
      <c r="L74" s="225">
        <f>IF(AND(A74="",A73&lt;&gt;"",COUNTIF(A75:$A$200,"&lt;&gt;")=0),ROUND(SUMIF($A$2:A73,"&lt;&gt;",$L$2:L73),2),IF(OR(A74="",K74="",C74="",NOT(ISNUMBER($Z$6))),"",ROUND(K74*C74*$Z$6,2)))</f>
        <v/>
      </c>
      <c r="M74" s="231">
        <f>IF(OR(E74="",G74=""),"",ROUND(MAX(E74-G74,0),2))</f>
        <v/>
      </c>
      <c r="N74" s="225">
        <f>IF(AND(A74="",A73&lt;&gt;"",COUNTIF(A75:$A$200,"&lt;&gt;")=0),ROUND(SUMIF($A$2:A73,"&lt;&gt;",$N$2:N73),2),IF(OR(M74="",C74="",NOT(ISNUMBER($Z$3))),"",ROUND(M74*C74*$Z$3,2)))</f>
        <v/>
      </c>
      <c r="O74" s="231">
        <f>IF(OR(G74="",I74=""),"",ROUND(MAX(G74-I74,0),2))</f>
        <v/>
      </c>
      <c r="P74" s="225">
        <f>IF(AND(A74="",A73&lt;&gt;"",COUNTIF(A75:$A$200,"&lt;&gt;")=0),ROUND(SUMIF($A$2:A73,"&lt;&gt;",$P$2:P73),2),IF(OR(O74="",C74="",NOT(ISNUMBER($Z$4))),"",ROUND(O74*C74*$Z$4,2)))</f>
        <v/>
      </c>
      <c r="Q74" s="231">
        <f>IF(OR(I74="",K74=""),"",ROUND(MAX(I74-K74,0),2))</f>
        <v/>
      </c>
      <c r="R74" s="225">
        <f>IF(AND(A74="",A73&lt;&gt;"",COUNTIF(A75:$A$200,"&lt;&gt;")=0),ROUND(SUMIF($A$2:A73,"&lt;&gt;",$R$2:R73),2),IF(OR(Q74="",C74="",NOT(ISNUMBER($Z$5))),"",ROUND(Q74*C74*$Z$5,2)))</f>
        <v/>
      </c>
      <c r="S74" s="27" t="n"/>
      <c r="T74" s="232" t="n"/>
      <c r="U74" s="233">
        <f>IF(AND(A74="",A73&lt;&gt;"",COUNTIF(A75:$A$200,"&lt;&gt;")=0),"TOTAL",IF(A74="","",IF(AND(G74&lt;&gt;"",E74&lt;&gt;"",G74&gt;E74),"ALERTA: REM_C2&gt;REM_C1",IF(AND(I74&lt;&gt;"",G74&lt;&gt;"",I74&gt;G74),"ALERTA: REM_C3&gt;REM_C2",IF(AND(K74&lt;&gt;"",I74&lt;&gt;"",K74&gt;I74),"ALERTA: REM_C4&gt;REM_C3","OK")))))</f>
        <v/>
      </c>
      <c r="V74" s="233">
        <f>IF(A74="","",IF(B74="","",IF(OR(B74&lt;0,E74&gt;B74,G74&gt;B74,I74&gt;B74,K74&gt;B74),"ALERTA: QTD_INVALIDA","OK")))</f>
        <v/>
      </c>
      <c r="W74" s="19" t="n"/>
      <c r="X74" s="19" t="n"/>
      <c r="Y74" s="19" t="n"/>
      <c r="Z74" s="17" t="n"/>
      <c r="AA74" s="17" t="n"/>
      <c r="AB74" s="231">
        <f>IF(OR(A74="",E74=""),"",ROUND(B74-E74,2))</f>
        <v/>
      </c>
      <c r="AC74" s="225">
        <f>IF(AND(A74="",A73&lt;&gt;"",COUNTIF(A75:$A$200,"&lt;&gt;")=0),ROUND(SUMIF($A$2:A73,"&lt;&gt;",$AC$2:AC73),2),IF(OR(A74="",E74=""),"",ROUND(D74-E74*C74,2)))</f>
        <v/>
      </c>
      <c r="AD74" s="17" t="n"/>
    </row>
    <row r="75">
      <c r="A75" s="227" t="n"/>
      <c r="B75" s="228" t="n"/>
      <c r="C75" s="229" t="n"/>
      <c r="D75" s="225">
        <f>IF(AND(A75="",A74&lt;&gt;"",COUNTIF(A76:$A$200,"&lt;&gt;")=0),ROUND(SUMIF($A$2:A74,"&lt;&gt;",$D$2:D74),2),IF(OR(A75="",B75="",C75=""),"",ROUND(B75*C75,2)))</f>
        <v/>
      </c>
      <c r="E75" s="230" t="n"/>
      <c r="F75" s="225">
        <f>IF(AND(A75="",A74&lt;&gt;"",COUNTIF(A76:$A$200,"&lt;&gt;")=0),ROUND(SUMIF($A$2:A74,"&lt;&gt;",$F$2:F74),2),IF(OR(A75="",E75="",C75="",NOT(ISNUMBER($Z$3))),"",ROUND(E75*C75*$Z$3,2)))</f>
        <v/>
      </c>
      <c r="G75" s="230" t="n"/>
      <c r="H75" s="225">
        <f>IF(AND(A75="",A74&lt;&gt;"",COUNTIF(A76:$A$200,"&lt;&gt;")=0),ROUND(SUMIF($A$2:A74,"&lt;&gt;",$H$2:H74),2),IF(OR(A75="",G75="",C75="",NOT(ISNUMBER($Z$4))),"",ROUND(G75*C75*$Z$4,2)))</f>
        <v/>
      </c>
      <c r="I75" s="230" t="n"/>
      <c r="J75" s="225">
        <f>IF(AND(A75="",A74&lt;&gt;"",COUNTIF(A76:$A$200,"&lt;&gt;")=0),ROUND(SUMIF($A$2:A74,"&lt;&gt;",$J$2:J74),2),IF(OR(A75="",I75="",C75="",NOT(ISNUMBER($Z$5))),"",ROUND(I75*C75*$Z$5,2)))</f>
        <v/>
      </c>
      <c r="K75" s="230" t="n"/>
      <c r="L75" s="225">
        <f>IF(AND(A75="",A74&lt;&gt;"",COUNTIF(A76:$A$200,"&lt;&gt;")=0),ROUND(SUMIF($A$2:A74,"&lt;&gt;",$L$2:L74),2),IF(OR(A75="",K75="",C75="",NOT(ISNUMBER($Z$6))),"",ROUND(K75*C75*$Z$6,2)))</f>
        <v/>
      </c>
      <c r="M75" s="231">
        <f>IF(OR(E75="",G75=""),"",ROUND(MAX(E75-G75,0),2))</f>
        <v/>
      </c>
      <c r="N75" s="225">
        <f>IF(AND(A75="",A74&lt;&gt;"",COUNTIF(A76:$A$200,"&lt;&gt;")=0),ROUND(SUMIF($A$2:A74,"&lt;&gt;",$N$2:N74),2),IF(OR(M75="",C75="",NOT(ISNUMBER($Z$3))),"",ROUND(M75*C75*$Z$3,2)))</f>
        <v/>
      </c>
      <c r="O75" s="231">
        <f>IF(OR(G75="",I75=""),"",ROUND(MAX(G75-I75,0),2))</f>
        <v/>
      </c>
      <c r="P75" s="225">
        <f>IF(AND(A75="",A74&lt;&gt;"",COUNTIF(A76:$A$200,"&lt;&gt;")=0),ROUND(SUMIF($A$2:A74,"&lt;&gt;",$P$2:P74),2),IF(OR(O75="",C75="",NOT(ISNUMBER($Z$4))),"",ROUND(O75*C75*$Z$4,2)))</f>
        <v/>
      </c>
      <c r="Q75" s="231">
        <f>IF(OR(I75="",K75=""),"",ROUND(MAX(I75-K75,0),2))</f>
        <v/>
      </c>
      <c r="R75" s="225">
        <f>IF(AND(A75="",A74&lt;&gt;"",COUNTIF(A76:$A$200,"&lt;&gt;")=0),ROUND(SUMIF($A$2:A74,"&lt;&gt;",$R$2:R74),2),IF(OR(Q75="",C75="",NOT(ISNUMBER($Z$5))),"",ROUND(Q75*C75*$Z$5,2)))</f>
        <v/>
      </c>
      <c r="S75" s="27" t="n"/>
      <c r="T75" s="232" t="n"/>
      <c r="U75" s="233">
        <f>IF(AND(A75="",A74&lt;&gt;"",COUNTIF(A76:$A$200,"&lt;&gt;")=0),"TOTAL",IF(A75="","",IF(AND(G75&lt;&gt;"",E75&lt;&gt;"",G75&gt;E75),"ALERTA: REM_C2&gt;REM_C1",IF(AND(I75&lt;&gt;"",G75&lt;&gt;"",I75&gt;G75),"ALERTA: REM_C3&gt;REM_C2",IF(AND(K75&lt;&gt;"",I75&lt;&gt;"",K75&gt;I75),"ALERTA: REM_C4&gt;REM_C3","OK")))))</f>
        <v/>
      </c>
      <c r="V75" s="233">
        <f>IF(A75="","",IF(B75="","",IF(OR(B75&lt;0,E75&gt;B75,G75&gt;B75,I75&gt;B75,K75&gt;B75),"ALERTA: QTD_INVALIDA","OK")))</f>
        <v/>
      </c>
      <c r="W75" s="19" t="n"/>
      <c r="X75" s="19" t="n"/>
      <c r="Y75" s="19" t="n"/>
      <c r="Z75" s="17" t="n"/>
      <c r="AA75" s="17" t="n"/>
      <c r="AB75" s="231">
        <f>IF(OR(A75="",E75=""),"",ROUND(B75-E75,2))</f>
        <v/>
      </c>
      <c r="AC75" s="225">
        <f>IF(AND(A75="",A74&lt;&gt;"",COUNTIF(A76:$A$200,"&lt;&gt;")=0),ROUND(SUMIF($A$2:A74,"&lt;&gt;",$AC$2:AC74),2),IF(OR(A75="",E75=""),"",ROUND(D75-E75*C75,2)))</f>
        <v/>
      </c>
      <c r="AD75" s="17" t="n"/>
    </row>
    <row r="76">
      <c r="A76" s="227" t="n"/>
      <c r="B76" s="228" t="n"/>
      <c r="C76" s="229" t="n"/>
      <c r="D76" s="225">
        <f>IF(AND(A76="",A75&lt;&gt;"",COUNTIF(A77:$A$200,"&lt;&gt;")=0),ROUND(SUMIF($A$2:A75,"&lt;&gt;",$D$2:D75),2),IF(OR(A76="",B76="",C76=""),"",ROUND(B76*C76,2)))</f>
        <v/>
      </c>
      <c r="E76" s="230" t="n"/>
      <c r="F76" s="225">
        <f>IF(AND(A76="",A75&lt;&gt;"",COUNTIF(A77:$A$200,"&lt;&gt;")=0),ROUND(SUMIF($A$2:A75,"&lt;&gt;",$F$2:F75),2),IF(OR(A76="",E76="",C76="",NOT(ISNUMBER($Z$3))),"",ROUND(E76*C76*$Z$3,2)))</f>
        <v/>
      </c>
      <c r="G76" s="230" t="n"/>
      <c r="H76" s="225">
        <f>IF(AND(A76="",A75&lt;&gt;"",COUNTIF(A77:$A$200,"&lt;&gt;")=0),ROUND(SUMIF($A$2:A75,"&lt;&gt;",$H$2:H75),2),IF(OR(A76="",G76="",C76="",NOT(ISNUMBER($Z$4))),"",ROUND(G76*C76*$Z$4,2)))</f>
        <v/>
      </c>
      <c r="I76" s="230" t="n"/>
      <c r="J76" s="225">
        <f>IF(AND(A76="",A75&lt;&gt;"",COUNTIF(A77:$A$200,"&lt;&gt;")=0),ROUND(SUMIF($A$2:A75,"&lt;&gt;",$J$2:J75),2),IF(OR(A76="",I76="",C76="",NOT(ISNUMBER($Z$5))),"",ROUND(I76*C76*$Z$5,2)))</f>
        <v/>
      </c>
      <c r="K76" s="230" t="n"/>
      <c r="L76" s="225">
        <f>IF(AND(A76="",A75&lt;&gt;"",COUNTIF(A77:$A$200,"&lt;&gt;")=0),ROUND(SUMIF($A$2:A75,"&lt;&gt;",$L$2:L75),2),IF(OR(A76="",K76="",C76="",NOT(ISNUMBER($Z$6))),"",ROUND(K76*C76*$Z$6,2)))</f>
        <v/>
      </c>
      <c r="M76" s="231">
        <f>IF(OR(E76="",G76=""),"",ROUND(MAX(E76-G76,0),2))</f>
        <v/>
      </c>
      <c r="N76" s="225">
        <f>IF(AND(A76="",A75&lt;&gt;"",COUNTIF(A77:$A$200,"&lt;&gt;")=0),ROUND(SUMIF($A$2:A75,"&lt;&gt;",$N$2:N75),2),IF(OR(M76="",C76="",NOT(ISNUMBER($Z$3))),"",ROUND(M76*C76*$Z$3,2)))</f>
        <v/>
      </c>
      <c r="O76" s="231">
        <f>IF(OR(G76="",I76=""),"",ROUND(MAX(G76-I76,0),2))</f>
        <v/>
      </c>
      <c r="P76" s="225">
        <f>IF(AND(A76="",A75&lt;&gt;"",COUNTIF(A77:$A$200,"&lt;&gt;")=0),ROUND(SUMIF($A$2:A75,"&lt;&gt;",$P$2:P75),2),IF(OR(O76="",C76="",NOT(ISNUMBER($Z$4))),"",ROUND(O76*C76*$Z$4,2)))</f>
        <v/>
      </c>
      <c r="Q76" s="231">
        <f>IF(OR(I76="",K76=""),"",ROUND(MAX(I76-K76,0),2))</f>
        <v/>
      </c>
      <c r="R76" s="225">
        <f>IF(AND(A76="",A75&lt;&gt;"",COUNTIF(A77:$A$200,"&lt;&gt;")=0),ROUND(SUMIF($A$2:A75,"&lt;&gt;",$R$2:R75),2),IF(OR(Q76="",C76="",NOT(ISNUMBER($Z$5))),"",ROUND(Q76*C76*$Z$5,2)))</f>
        <v/>
      </c>
      <c r="S76" s="27" t="n"/>
      <c r="T76" s="232" t="n"/>
      <c r="U76" s="233">
        <f>IF(AND(A76="",A75&lt;&gt;"",COUNTIF(A77:$A$200,"&lt;&gt;")=0),"TOTAL",IF(A76="","",IF(AND(G76&lt;&gt;"",E76&lt;&gt;"",G76&gt;E76),"ALERTA: REM_C2&gt;REM_C1",IF(AND(I76&lt;&gt;"",G76&lt;&gt;"",I76&gt;G76),"ALERTA: REM_C3&gt;REM_C2",IF(AND(K76&lt;&gt;"",I76&lt;&gt;"",K76&gt;I76),"ALERTA: REM_C4&gt;REM_C3","OK")))))</f>
        <v/>
      </c>
      <c r="V76" s="233">
        <f>IF(A76="","",IF(B76="","",IF(OR(B76&lt;0,E76&gt;B76,G76&gt;B76,I76&gt;B76,K76&gt;B76),"ALERTA: QTD_INVALIDA","OK")))</f>
        <v/>
      </c>
      <c r="W76" s="19" t="n"/>
      <c r="X76" s="19" t="n"/>
      <c r="Y76" s="19" t="n"/>
      <c r="Z76" s="17" t="n"/>
      <c r="AA76" s="17" t="n"/>
      <c r="AB76" s="231">
        <f>IF(OR(A76="",E76=""),"",ROUND(B76-E76,2))</f>
        <v/>
      </c>
      <c r="AC76" s="225">
        <f>IF(AND(A76="",A75&lt;&gt;"",COUNTIF(A77:$A$200,"&lt;&gt;")=0),ROUND(SUMIF($A$2:A75,"&lt;&gt;",$AC$2:AC75),2),IF(OR(A76="",E76=""),"",ROUND(D76-E76*C76,2)))</f>
        <v/>
      </c>
      <c r="AD76" s="17" t="n"/>
    </row>
    <row r="77">
      <c r="A77" s="227" t="n"/>
      <c r="B77" s="228" t="n"/>
      <c r="C77" s="229" t="n"/>
      <c r="D77" s="225">
        <f>IF(AND(A77="",A76&lt;&gt;"",COUNTIF(A78:$A$200,"&lt;&gt;")=0),ROUND(SUMIF($A$2:A76,"&lt;&gt;",$D$2:D76),2),IF(OR(A77="",B77="",C77=""),"",ROUND(B77*C77,2)))</f>
        <v/>
      </c>
      <c r="E77" s="230" t="n"/>
      <c r="F77" s="225">
        <f>IF(AND(A77="",A76&lt;&gt;"",COUNTIF(A78:$A$200,"&lt;&gt;")=0),ROUND(SUMIF($A$2:A76,"&lt;&gt;",$F$2:F76),2),IF(OR(A77="",E77="",C77="",NOT(ISNUMBER($Z$3))),"",ROUND(E77*C77*$Z$3,2)))</f>
        <v/>
      </c>
      <c r="G77" s="230" t="n"/>
      <c r="H77" s="225">
        <f>IF(AND(A77="",A76&lt;&gt;"",COUNTIF(A78:$A$200,"&lt;&gt;")=0),ROUND(SUMIF($A$2:A76,"&lt;&gt;",$H$2:H76),2),IF(OR(A77="",G77="",C77="",NOT(ISNUMBER($Z$4))),"",ROUND(G77*C77*$Z$4,2)))</f>
        <v/>
      </c>
      <c r="I77" s="230" t="n"/>
      <c r="J77" s="225">
        <f>IF(AND(A77="",A76&lt;&gt;"",COUNTIF(A78:$A$200,"&lt;&gt;")=0),ROUND(SUMIF($A$2:A76,"&lt;&gt;",$J$2:J76),2),IF(OR(A77="",I77="",C77="",NOT(ISNUMBER($Z$5))),"",ROUND(I77*C77*$Z$5,2)))</f>
        <v/>
      </c>
      <c r="K77" s="230" t="n"/>
      <c r="L77" s="225">
        <f>IF(AND(A77="",A76&lt;&gt;"",COUNTIF(A78:$A$200,"&lt;&gt;")=0),ROUND(SUMIF($A$2:A76,"&lt;&gt;",$L$2:L76),2),IF(OR(A77="",K77="",C77="",NOT(ISNUMBER($Z$6))),"",ROUND(K77*C77*$Z$6,2)))</f>
        <v/>
      </c>
      <c r="M77" s="231">
        <f>IF(OR(E77="",G77=""),"",ROUND(MAX(E77-G77,0),2))</f>
        <v/>
      </c>
      <c r="N77" s="225">
        <f>IF(AND(A77="",A76&lt;&gt;"",COUNTIF(A78:$A$200,"&lt;&gt;")=0),ROUND(SUMIF($A$2:A76,"&lt;&gt;",$N$2:N76),2),IF(OR(M77="",C77="",NOT(ISNUMBER($Z$3))),"",ROUND(M77*C77*$Z$3,2)))</f>
        <v/>
      </c>
      <c r="O77" s="231">
        <f>IF(OR(G77="",I77=""),"",ROUND(MAX(G77-I77,0),2))</f>
        <v/>
      </c>
      <c r="P77" s="225">
        <f>IF(AND(A77="",A76&lt;&gt;"",COUNTIF(A78:$A$200,"&lt;&gt;")=0),ROUND(SUMIF($A$2:A76,"&lt;&gt;",$P$2:P76),2),IF(OR(O77="",C77="",NOT(ISNUMBER($Z$4))),"",ROUND(O77*C77*$Z$4,2)))</f>
        <v/>
      </c>
      <c r="Q77" s="231">
        <f>IF(OR(I77="",K77=""),"",ROUND(MAX(I77-K77,0),2))</f>
        <v/>
      </c>
      <c r="R77" s="225">
        <f>IF(AND(A77="",A76&lt;&gt;"",COUNTIF(A78:$A$200,"&lt;&gt;")=0),ROUND(SUMIF($A$2:A76,"&lt;&gt;",$R$2:R76),2),IF(OR(Q77="",C77="",NOT(ISNUMBER($Z$5))),"",ROUND(Q77*C77*$Z$5,2)))</f>
        <v/>
      </c>
      <c r="S77" s="27" t="n"/>
      <c r="T77" s="232" t="n"/>
      <c r="U77" s="233">
        <f>IF(AND(A77="",A76&lt;&gt;"",COUNTIF(A78:$A$200,"&lt;&gt;")=0),"TOTAL",IF(A77="","",IF(AND(G77&lt;&gt;"",E77&lt;&gt;"",G77&gt;E77),"ALERTA: REM_C2&gt;REM_C1",IF(AND(I77&lt;&gt;"",G77&lt;&gt;"",I77&gt;G77),"ALERTA: REM_C3&gt;REM_C2",IF(AND(K77&lt;&gt;"",I77&lt;&gt;"",K77&gt;I77),"ALERTA: REM_C4&gt;REM_C3","OK")))))</f>
        <v/>
      </c>
      <c r="V77" s="233">
        <f>IF(A77="","",IF(B77="","",IF(OR(B77&lt;0,E77&gt;B77,G77&gt;B77,I77&gt;B77,K77&gt;B77),"ALERTA: QTD_INVALIDA","OK")))</f>
        <v/>
      </c>
      <c r="W77" s="19" t="n"/>
      <c r="X77" s="19" t="n"/>
      <c r="Y77" s="19" t="n"/>
      <c r="Z77" s="17" t="n"/>
      <c r="AA77" s="17" t="n"/>
      <c r="AB77" s="231">
        <f>IF(OR(A77="",E77=""),"",ROUND(B77-E77,2))</f>
        <v/>
      </c>
      <c r="AC77" s="225">
        <f>IF(AND(A77="",A76&lt;&gt;"",COUNTIF(A78:$A$200,"&lt;&gt;")=0),ROUND(SUMIF($A$2:A76,"&lt;&gt;",$AC$2:AC76),2),IF(OR(A77="",E77=""),"",ROUND(D77-E77*C77,2)))</f>
        <v/>
      </c>
      <c r="AD77" s="17" t="n"/>
    </row>
    <row r="78">
      <c r="A78" s="227" t="n"/>
      <c r="B78" s="228" t="n"/>
      <c r="C78" s="229" t="n"/>
      <c r="D78" s="225">
        <f>IF(AND(A78="",A77&lt;&gt;"",COUNTIF(A79:$A$200,"&lt;&gt;")=0),ROUND(SUMIF($A$2:A77,"&lt;&gt;",$D$2:D77),2),IF(OR(A78="",B78="",C78=""),"",ROUND(B78*C78,2)))</f>
        <v/>
      </c>
      <c r="E78" s="230" t="n"/>
      <c r="F78" s="225">
        <f>IF(AND(A78="",A77&lt;&gt;"",COUNTIF(A79:$A$200,"&lt;&gt;")=0),ROUND(SUMIF($A$2:A77,"&lt;&gt;",$F$2:F77),2),IF(OR(A78="",E78="",C78="",NOT(ISNUMBER($Z$3))),"",ROUND(E78*C78*$Z$3,2)))</f>
        <v/>
      </c>
      <c r="G78" s="230" t="n"/>
      <c r="H78" s="225">
        <f>IF(AND(A78="",A77&lt;&gt;"",COUNTIF(A79:$A$200,"&lt;&gt;")=0),ROUND(SUMIF($A$2:A77,"&lt;&gt;",$H$2:H77),2),IF(OR(A78="",G78="",C78="",NOT(ISNUMBER($Z$4))),"",ROUND(G78*C78*$Z$4,2)))</f>
        <v/>
      </c>
      <c r="I78" s="230" t="n"/>
      <c r="J78" s="225">
        <f>IF(AND(A78="",A77&lt;&gt;"",COUNTIF(A79:$A$200,"&lt;&gt;")=0),ROUND(SUMIF($A$2:A77,"&lt;&gt;",$J$2:J77),2),IF(OR(A78="",I78="",C78="",NOT(ISNUMBER($Z$5))),"",ROUND(I78*C78*$Z$5,2)))</f>
        <v/>
      </c>
      <c r="K78" s="230" t="n"/>
      <c r="L78" s="225">
        <f>IF(AND(A78="",A77&lt;&gt;"",COUNTIF(A79:$A$200,"&lt;&gt;")=0),ROUND(SUMIF($A$2:A77,"&lt;&gt;",$L$2:L77),2),IF(OR(A78="",K78="",C78="",NOT(ISNUMBER($Z$6))),"",ROUND(K78*C78*$Z$6,2)))</f>
        <v/>
      </c>
      <c r="M78" s="231">
        <f>IF(OR(E78="",G78=""),"",ROUND(MAX(E78-G78,0),2))</f>
        <v/>
      </c>
      <c r="N78" s="225">
        <f>IF(AND(A78="",A77&lt;&gt;"",COUNTIF(A79:$A$200,"&lt;&gt;")=0),ROUND(SUMIF($A$2:A77,"&lt;&gt;",$N$2:N77),2),IF(OR(M78="",C78="",NOT(ISNUMBER($Z$3))),"",ROUND(M78*C78*$Z$3,2)))</f>
        <v/>
      </c>
      <c r="O78" s="231">
        <f>IF(OR(G78="",I78=""),"",ROUND(MAX(G78-I78,0),2))</f>
        <v/>
      </c>
      <c r="P78" s="225">
        <f>IF(AND(A78="",A77&lt;&gt;"",COUNTIF(A79:$A$200,"&lt;&gt;")=0),ROUND(SUMIF($A$2:A77,"&lt;&gt;",$P$2:P77),2),IF(OR(O78="",C78="",NOT(ISNUMBER($Z$4))),"",ROUND(O78*C78*$Z$4,2)))</f>
        <v/>
      </c>
      <c r="Q78" s="231">
        <f>IF(OR(I78="",K78=""),"",ROUND(MAX(I78-K78,0),2))</f>
        <v/>
      </c>
      <c r="R78" s="225">
        <f>IF(AND(A78="",A77&lt;&gt;"",COUNTIF(A79:$A$200,"&lt;&gt;")=0),ROUND(SUMIF($A$2:A77,"&lt;&gt;",$R$2:R77),2),IF(OR(Q78="",C78="",NOT(ISNUMBER($Z$5))),"",ROUND(Q78*C78*$Z$5,2)))</f>
        <v/>
      </c>
      <c r="S78" s="27" t="n"/>
      <c r="T78" s="232" t="n"/>
      <c r="U78" s="233">
        <f>IF(AND(A78="",A77&lt;&gt;"",COUNTIF(A79:$A$200,"&lt;&gt;")=0),"TOTAL",IF(A78="","",IF(AND(G78&lt;&gt;"",E78&lt;&gt;"",G78&gt;E78),"ALERTA: REM_C2&gt;REM_C1",IF(AND(I78&lt;&gt;"",G78&lt;&gt;"",I78&gt;G78),"ALERTA: REM_C3&gt;REM_C2",IF(AND(K78&lt;&gt;"",I78&lt;&gt;"",K78&gt;I78),"ALERTA: REM_C4&gt;REM_C3","OK")))))</f>
        <v/>
      </c>
      <c r="V78" s="233">
        <f>IF(A78="","",IF(B78="","",IF(OR(B78&lt;0,E78&gt;B78,G78&gt;B78,I78&gt;B78,K78&gt;B78),"ALERTA: QTD_INVALIDA","OK")))</f>
        <v/>
      </c>
      <c r="W78" s="19" t="n"/>
      <c r="X78" s="19" t="n"/>
      <c r="Y78" s="19" t="n"/>
      <c r="Z78" s="17" t="n"/>
      <c r="AA78" s="17" t="n"/>
      <c r="AB78" s="231">
        <f>IF(OR(A78="",E78=""),"",ROUND(B78-E78,2))</f>
        <v/>
      </c>
      <c r="AC78" s="225">
        <f>IF(AND(A78="",A77&lt;&gt;"",COUNTIF(A79:$A$200,"&lt;&gt;")=0),ROUND(SUMIF($A$2:A77,"&lt;&gt;",$AC$2:AC77),2),IF(OR(A78="",E78=""),"",ROUND(D78-E78*C78,2)))</f>
        <v/>
      </c>
      <c r="AD78" s="17" t="n"/>
    </row>
    <row r="79">
      <c r="A79" s="227" t="n"/>
      <c r="B79" s="228" t="n"/>
      <c r="C79" s="229" t="n"/>
      <c r="D79" s="225">
        <f>IF(AND(A79="",A78&lt;&gt;"",COUNTIF(A80:$A$200,"&lt;&gt;")=0),ROUND(SUMIF($A$2:A78,"&lt;&gt;",$D$2:D78),2),IF(OR(A79="",B79="",C79=""),"",ROUND(B79*C79,2)))</f>
        <v/>
      </c>
      <c r="E79" s="230" t="n"/>
      <c r="F79" s="225">
        <f>IF(AND(A79="",A78&lt;&gt;"",COUNTIF(A80:$A$200,"&lt;&gt;")=0),ROUND(SUMIF($A$2:A78,"&lt;&gt;",$F$2:F78),2),IF(OR(A79="",E79="",C79="",NOT(ISNUMBER($Z$3))),"",ROUND(E79*C79*$Z$3,2)))</f>
        <v/>
      </c>
      <c r="G79" s="230" t="n"/>
      <c r="H79" s="225">
        <f>IF(AND(A79="",A78&lt;&gt;"",COUNTIF(A80:$A$200,"&lt;&gt;")=0),ROUND(SUMIF($A$2:A78,"&lt;&gt;",$H$2:H78),2),IF(OR(A79="",G79="",C79="",NOT(ISNUMBER($Z$4))),"",ROUND(G79*C79*$Z$4,2)))</f>
        <v/>
      </c>
      <c r="I79" s="230" t="n"/>
      <c r="J79" s="225">
        <f>IF(AND(A79="",A78&lt;&gt;"",COUNTIF(A80:$A$200,"&lt;&gt;")=0),ROUND(SUMIF($A$2:A78,"&lt;&gt;",$J$2:J78),2),IF(OR(A79="",I79="",C79="",NOT(ISNUMBER($Z$5))),"",ROUND(I79*C79*$Z$5,2)))</f>
        <v/>
      </c>
      <c r="K79" s="230" t="n"/>
      <c r="L79" s="225">
        <f>IF(AND(A79="",A78&lt;&gt;"",COUNTIF(A80:$A$200,"&lt;&gt;")=0),ROUND(SUMIF($A$2:A78,"&lt;&gt;",$L$2:L78),2),IF(OR(A79="",K79="",C79="",NOT(ISNUMBER($Z$6))),"",ROUND(K79*C79*$Z$6,2)))</f>
        <v/>
      </c>
      <c r="M79" s="231">
        <f>IF(OR(E79="",G79=""),"",ROUND(MAX(E79-G79,0),2))</f>
        <v/>
      </c>
      <c r="N79" s="225">
        <f>IF(AND(A79="",A78&lt;&gt;"",COUNTIF(A80:$A$200,"&lt;&gt;")=0),ROUND(SUMIF($A$2:A78,"&lt;&gt;",$N$2:N78),2),IF(OR(M79="",C79="",NOT(ISNUMBER($Z$3))),"",ROUND(M79*C79*$Z$3,2)))</f>
        <v/>
      </c>
      <c r="O79" s="231">
        <f>IF(OR(G79="",I79=""),"",ROUND(MAX(G79-I79,0),2))</f>
        <v/>
      </c>
      <c r="P79" s="225">
        <f>IF(AND(A79="",A78&lt;&gt;"",COUNTIF(A80:$A$200,"&lt;&gt;")=0),ROUND(SUMIF($A$2:A78,"&lt;&gt;",$P$2:P78),2),IF(OR(O79="",C79="",NOT(ISNUMBER($Z$4))),"",ROUND(O79*C79*$Z$4,2)))</f>
        <v/>
      </c>
      <c r="Q79" s="231">
        <f>IF(OR(I79="",K79=""),"",ROUND(MAX(I79-K79,0),2))</f>
        <v/>
      </c>
      <c r="R79" s="225">
        <f>IF(AND(A79="",A78&lt;&gt;"",COUNTIF(A80:$A$200,"&lt;&gt;")=0),ROUND(SUMIF($A$2:A78,"&lt;&gt;",$R$2:R78),2),IF(OR(Q79="",C79="",NOT(ISNUMBER($Z$5))),"",ROUND(Q79*C79*$Z$5,2)))</f>
        <v/>
      </c>
      <c r="S79" s="27" t="n"/>
      <c r="T79" s="232" t="n"/>
      <c r="U79" s="233">
        <f>IF(AND(A79="",A78&lt;&gt;"",COUNTIF(A80:$A$200,"&lt;&gt;")=0),"TOTAL",IF(A79="","",IF(AND(G79&lt;&gt;"",E79&lt;&gt;"",G79&gt;E79),"ALERTA: REM_C2&gt;REM_C1",IF(AND(I79&lt;&gt;"",G79&lt;&gt;"",I79&gt;G79),"ALERTA: REM_C3&gt;REM_C2",IF(AND(K79&lt;&gt;"",I79&lt;&gt;"",K79&gt;I79),"ALERTA: REM_C4&gt;REM_C3","OK")))))</f>
        <v/>
      </c>
      <c r="V79" s="233">
        <f>IF(A79="","",IF(B79="","",IF(OR(B79&lt;0,E79&gt;B79,G79&gt;B79,I79&gt;B79,K79&gt;B79),"ALERTA: QTD_INVALIDA","OK")))</f>
        <v/>
      </c>
      <c r="W79" s="19" t="n"/>
      <c r="X79" s="19" t="n"/>
      <c r="Y79" s="19" t="n"/>
      <c r="Z79" s="17" t="n"/>
      <c r="AA79" s="17" t="n"/>
      <c r="AB79" s="231">
        <f>IF(OR(A79="",E79=""),"",ROUND(B79-E79,2))</f>
        <v/>
      </c>
      <c r="AC79" s="225">
        <f>IF(AND(A79="",A78&lt;&gt;"",COUNTIF(A80:$A$200,"&lt;&gt;")=0),ROUND(SUMIF($A$2:A78,"&lt;&gt;",$AC$2:AC78),2),IF(OR(A79="",E79=""),"",ROUND(D79-E79*C79,2)))</f>
        <v/>
      </c>
      <c r="AD79" s="17" t="n"/>
    </row>
    <row r="80">
      <c r="A80" s="227" t="n"/>
      <c r="B80" s="228" t="n"/>
      <c r="C80" s="229" t="n"/>
      <c r="D80" s="225">
        <f>IF(AND(A80="",A79&lt;&gt;"",COUNTIF(A81:$A$200,"&lt;&gt;")=0),ROUND(SUMIF($A$2:A79,"&lt;&gt;",$D$2:D79),2),IF(OR(A80="",B80="",C80=""),"",ROUND(B80*C80,2)))</f>
        <v/>
      </c>
      <c r="E80" s="230" t="n"/>
      <c r="F80" s="225">
        <f>IF(AND(A80="",A79&lt;&gt;"",COUNTIF(A81:$A$200,"&lt;&gt;")=0),ROUND(SUMIF($A$2:A79,"&lt;&gt;",$F$2:F79),2),IF(OR(A80="",E80="",C80="",NOT(ISNUMBER($Z$3))),"",ROUND(E80*C80*$Z$3,2)))</f>
        <v/>
      </c>
      <c r="G80" s="230" t="n"/>
      <c r="H80" s="225">
        <f>IF(AND(A80="",A79&lt;&gt;"",COUNTIF(A81:$A$200,"&lt;&gt;")=0),ROUND(SUMIF($A$2:A79,"&lt;&gt;",$H$2:H79),2),IF(OR(A80="",G80="",C80="",NOT(ISNUMBER($Z$4))),"",ROUND(G80*C80*$Z$4,2)))</f>
        <v/>
      </c>
      <c r="I80" s="230" t="n"/>
      <c r="J80" s="225">
        <f>IF(AND(A80="",A79&lt;&gt;"",COUNTIF(A81:$A$200,"&lt;&gt;")=0),ROUND(SUMIF($A$2:A79,"&lt;&gt;",$J$2:J79),2),IF(OR(A80="",I80="",C80="",NOT(ISNUMBER($Z$5))),"",ROUND(I80*C80*$Z$5,2)))</f>
        <v/>
      </c>
      <c r="K80" s="230" t="n"/>
      <c r="L80" s="225">
        <f>IF(AND(A80="",A79&lt;&gt;"",COUNTIF(A81:$A$200,"&lt;&gt;")=0),ROUND(SUMIF($A$2:A79,"&lt;&gt;",$L$2:L79),2),IF(OR(A80="",K80="",C80="",NOT(ISNUMBER($Z$6))),"",ROUND(K80*C80*$Z$6,2)))</f>
        <v/>
      </c>
      <c r="M80" s="231">
        <f>IF(OR(E80="",G80=""),"",ROUND(MAX(E80-G80,0),2))</f>
        <v/>
      </c>
      <c r="N80" s="225">
        <f>IF(AND(A80="",A79&lt;&gt;"",COUNTIF(A81:$A$200,"&lt;&gt;")=0),ROUND(SUMIF($A$2:A79,"&lt;&gt;",$N$2:N79),2),IF(OR(M80="",C80="",NOT(ISNUMBER($Z$3))),"",ROUND(M80*C80*$Z$3,2)))</f>
        <v/>
      </c>
      <c r="O80" s="231">
        <f>IF(OR(G80="",I80=""),"",ROUND(MAX(G80-I80,0),2))</f>
        <v/>
      </c>
      <c r="P80" s="225">
        <f>IF(AND(A80="",A79&lt;&gt;"",COUNTIF(A81:$A$200,"&lt;&gt;")=0),ROUND(SUMIF($A$2:A79,"&lt;&gt;",$P$2:P79),2),IF(OR(O80="",C80="",NOT(ISNUMBER($Z$4))),"",ROUND(O80*C80*$Z$4,2)))</f>
        <v/>
      </c>
      <c r="Q80" s="231">
        <f>IF(OR(I80="",K80=""),"",ROUND(MAX(I80-K80,0),2))</f>
        <v/>
      </c>
      <c r="R80" s="225">
        <f>IF(AND(A80="",A79&lt;&gt;"",COUNTIF(A81:$A$200,"&lt;&gt;")=0),ROUND(SUMIF($A$2:A79,"&lt;&gt;",$R$2:R79),2),IF(OR(Q80="",C80="",NOT(ISNUMBER($Z$5))),"",ROUND(Q80*C80*$Z$5,2)))</f>
        <v/>
      </c>
      <c r="S80" s="27" t="n"/>
      <c r="T80" s="232" t="n"/>
      <c r="U80" s="233">
        <f>IF(AND(A80="",A79&lt;&gt;"",COUNTIF(A81:$A$200,"&lt;&gt;")=0),"TOTAL",IF(A80="","",IF(AND(G80&lt;&gt;"",E80&lt;&gt;"",G80&gt;E80),"ALERTA: REM_C2&gt;REM_C1",IF(AND(I80&lt;&gt;"",G80&lt;&gt;"",I80&gt;G80),"ALERTA: REM_C3&gt;REM_C2",IF(AND(K80&lt;&gt;"",I80&lt;&gt;"",K80&gt;I80),"ALERTA: REM_C4&gt;REM_C3","OK")))))</f>
        <v/>
      </c>
      <c r="V80" s="233">
        <f>IF(A80="","",IF(B80="","",IF(OR(B80&lt;0,E80&gt;B80,G80&gt;B80,I80&gt;B80,K80&gt;B80),"ALERTA: QTD_INVALIDA","OK")))</f>
        <v/>
      </c>
      <c r="W80" s="19" t="n"/>
      <c r="X80" s="19" t="n"/>
      <c r="Y80" s="19" t="n"/>
      <c r="Z80" s="17" t="n"/>
      <c r="AA80" s="17" t="n"/>
      <c r="AB80" s="231">
        <f>IF(OR(A80="",E80=""),"",ROUND(B80-E80,2))</f>
        <v/>
      </c>
      <c r="AC80" s="225">
        <f>IF(AND(A80="",A79&lt;&gt;"",COUNTIF(A81:$A$200,"&lt;&gt;")=0),ROUND(SUMIF($A$2:A79,"&lt;&gt;",$AC$2:AC79),2),IF(OR(A80="",E80=""),"",ROUND(D80-E80*C80,2)))</f>
        <v/>
      </c>
      <c r="AD80" s="17" t="n"/>
    </row>
    <row r="81">
      <c r="A81" s="227" t="n"/>
      <c r="B81" s="228" t="n"/>
      <c r="C81" s="229" t="n"/>
      <c r="D81" s="225">
        <f>IF(AND(A81="",A80&lt;&gt;"",COUNTIF(A82:$A$200,"&lt;&gt;")=0),ROUND(SUMIF($A$2:A80,"&lt;&gt;",$D$2:D80),2),IF(OR(A81="",B81="",C81=""),"",ROUND(B81*C81,2)))</f>
        <v/>
      </c>
      <c r="E81" s="230" t="n"/>
      <c r="F81" s="225">
        <f>IF(AND(A81="",A80&lt;&gt;"",COUNTIF(A82:$A$200,"&lt;&gt;")=0),ROUND(SUMIF($A$2:A80,"&lt;&gt;",$F$2:F80),2),IF(OR(A81="",E81="",C81="",NOT(ISNUMBER($Z$3))),"",ROUND(E81*C81*$Z$3,2)))</f>
        <v/>
      </c>
      <c r="G81" s="230" t="n"/>
      <c r="H81" s="225">
        <f>IF(AND(A81="",A80&lt;&gt;"",COUNTIF(A82:$A$200,"&lt;&gt;")=0),ROUND(SUMIF($A$2:A80,"&lt;&gt;",$H$2:H80),2),IF(OR(A81="",G81="",C81="",NOT(ISNUMBER($Z$4))),"",ROUND(G81*C81*$Z$4,2)))</f>
        <v/>
      </c>
      <c r="I81" s="230" t="n"/>
      <c r="J81" s="225">
        <f>IF(AND(A81="",A80&lt;&gt;"",COUNTIF(A82:$A$200,"&lt;&gt;")=0),ROUND(SUMIF($A$2:A80,"&lt;&gt;",$J$2:J80),2),IF(OR(A81="",I81="",C81="",NOT(ISNUMBER($Z$5))),"",ROUND(I81*C81*$Z$5,2)))</f>
        <v/>
      </c>
      <c r="K81" s="230" t="n"/>
      <c r="L81" s="225">
        <f>IF(AND(A81="",A80&lt;&gt;"",COUNTIF(A82:$A$200,"&lt;&gt;")=0),ROUND(SUMIF($A$2:A80,"&lt;&gt;",$L$2:L80),2),IF(OR(A81="",K81="",C81="",NOT(ISNUMBER($Z$6))),"",ROUND(K81*C81*$Z$6,2)))</f>
        <v/>
      </c>
      <c r="M81" s="231">
        <f>IF(OR(E81="",G81=""),"",ROUND(MAX(E81-G81,0),2))</f>
        <v/>
      </c>
      <c r="N81" s="225">
        <f>IF(AND(A81="",A80&lt;&gt;"",COUNTIF(A82:$A$200,"&lt;&gt;")=0),ROUND(SUMIF($A$2:A80,"&lt;&gt;",$N$2:N80),2),IF(OR(M81="",C81="",NOT(ISNUMBER($Z$3))),"",ROUND(M81*C81*$Z$3,2)))</f>
        <v/>
      </c>
      <c r="O81" s="231">
        <f>IF(OR(G81="",I81=""),"",ROUND(MAX(G81-I81,0),2))</f>
        <v/>
      </c>
      <c r="P81" s="225">
        <f>IF(AND(A81="",A80&lt;&gt;"",COUNTIF(A82:$A$200,"&lt;&gt;")=0),ROUND(SUMIF($A$2:A80,"&lt;&gt;",$P$2:P80),2),IF(OR(O81="",C81="",NOT(ISNUMBER($Z$4))),"",ROUND(O81*C81*$Z$4,2)))</f>
        <v/>
      </c>
      <c r="Q81" s="231">
        <f>IF(OR(I81="",K81=""),"",ROUND(MAX(I81-K81,0),2))</f>
        <v/>
      </c>
      <c r="R81" s="225">
        <f>IF(AND(A81="",A80&lt;&gt;"",COUNTIF(A82:$A$200,"&lt;&gt;")=0),ROUND(SUMIF($A$2:A80,"&lt;&gt;",$R$2:R80),2),IF(OR(Q81="",C81="",NOT(ISNUMBER($Z$5))),"",ROUND(Q81*C81*$Z$5,2)))</f>
        <v/>
      </c>
      <c r="S81" s="27" t="n"/>
      <c r="T81" s="232" t="n"/>
      <c r="U81" s="233">
        <f>IF(AND(A81="",A80&lt;&gt;"",COUNTIF(A82:$A$200,"&lt;&gt;")=0),"TOTAL",IF(A81="","",IF(AND(G81&lt;&gt;"",E81&lt;&gt;"",G81&gt;E81),"ALERTA: REM_C2&gt;REM_C1",IF(AND(I81&lt;&gt;"",G81&lt;&gt;"",I81&gt;G81),"ALERTA: REM_C3&gt;REM_C2",IF(AND(K81&lt;&gt;"",I81&lt;&gt;"",K81&gt;I81),"ALERTA: REM_C4&gt;REM_C3","OK")))))</f>
        <v/>
      </c>
      <c r="V81" s="233">
        <f>IF(A81="","",IF(B81="","",IF(OR(B81&lt;0,E81&gt;B81,G81&gt;B81,I81&gt;B81,K81&gt;B81),"ALERTA: QTD_INVALIDA","OK")))</f>
        <v/>
      </c>
      <c r="W81" s="19" t="n"/>
      <c r="X81" s="19" t="n"/>
      <c r="Y81" s="19" t="n"/>
      <c r="Z81" s="17" t="n"/>
      <c r="AA81" s="17" t="n"/>
      <c r="AB81" s="231">
        <f>IF(OR(A81="",E81=""),"",ROUND(B81-E81,2))</f>
        <v/>
      </c>
      <c r="AC81" s="225">
        <f>IF(AND(A81="",A80&lt;&gt;"",COUNTIF(A82:$A$200,"&lt;&gt;")=0),ROUND(SUMIF($A$2:A80,"&lt;&gt;",$AC$2:AC80),2),IF(OR(A81="",E81=""),"",ROUND(D81-E81*C81,2)))</f>
        <v/>
      </c>
      <c r="AD81" s="17" t="n"/>
    </row>
    <row r="82">
      <c r="A82" s="227" t="n"/>
      <c r="B82" s="228" t="n"/>
      <c r="C82" s="229" t="n"/>
      <c r="D82" s="225">
        <f>IF(AND(A82="",A81&lt;&gt;"",COUNTIF(A83:$A$200,"&lt;&gt;")=0),ROUND(SUMIF($A$2:A81,"&lt;&gt;",$D$2:D81),2),IF(OR(A82="",B82="",C82=""),"",ROUND(B82*C82,2)))</f>
        <v/>
      </c>
      <c r="E82" s="230" t="n"/>
      <c r="F82" s="225">
        <f>IF(AND(A82="",A81&lt;&gt;"",COUNTIF(A83:$A$200,"&lt;&gt;")=0),ROUND(SUMIF($A$2:A81,"&lt;&gt;",$F$2:F81),2),IF(OR(A82="",E82="",C82="",NOT(ISNUMBER($Z$3))),"",ROUND(E82*C82*$Z$3,2)))</f>
        <v/>
      </c>
      <c r="G82" s="230" t="n"/>
      <c r="H82" s="225">
        <f>IF(AND(A82="",A81&lt;&gt;"",COUNTIF(A83:$A$200,"&lt;&gt;")=0),ROUND(SUMIF($A$2:A81,"&lt;&gt;",$H$2:H81),2),IF(OR(A82="",G82="",C82="",NOT(ISNUMBER($Z$4))),"",ROUND(G82*C82*$Z$4,2)))</f>
        <v/>
      </c>
      <c r="I82" s="230" t="n"/>
      <c r="J82" s="225">
        <f>IF(AND(A82="",A81&lt;&gt;"",COUNTIF(A83:$A$200,"&lt;&gt;")=0),ROUND(SUMIF($A$2:A81,"&lt;&gt;",$J$2:J81),2),IF(OR(A82="",I82="",C82="",NOT(ISNUMBER($Z$5))),"",ROUND(I82*C82*$Z$5,2)))</f>
        <v/>
      </c>
      <c r="K82" s="230" t="n"/>
      <c r="L82" s="225">
        <f>IF(AND(A82="",A81&lt;&gt;"",COUNTIF(A83:$A$200,"&lt;&gt;")=0),ROUND(SUMIF($A$2:A81,"&lt;&gt;",$L$2:L81),2),IF(OR(A82="",K82="",C82="",NOT(ISNUMBER($Z$6))),"",ROUND(K82*C82*$Z$6,2)))</f>
        <v/>
      </c>
      <c r="M82" s="231">
        <f>IF(OR(E82="",G82=""),"",ROUND(MAX(E82-G82,0),2))</f>
        <v/>
      </c>
      <c r="N82" s="225">
        <f>IF(AND(A82="",A81&lt;&gt;"",COUNTIF(A83:$A$200,"&lt;&gt;")=0),ROUND(SUMIF($A$2:A81,"&lt;&gt;",$N$2:N81),2),IF(OR(M82="",C82="",NOT(ISNUMBER($Z$3))),"",ROUND(M82*C82*$Z$3,2)))</f>
        <v/>
      </c>
      <c r="O82" s="231">
        <f>IF(OR(G82="",I82=""),"",ROUND(MAX(G82-I82,0),2))</f>
        <v/>
      </c>
      <c r="P82" s="225">
        <f>IF(AND(A82="",A81&lt;&gt;"",COUNTIF(A83:$A$200,"&lt;&gt;")=0),ROUND(SUMIF($A$2:A81,"&lt;&gt;",$P$2:P81),2),IF(OR(O82="",C82="",NOT(ISNUMBER($Z$4))),"",ROUND(O82*C82*$Z$4,2)))</f>
        <v/>
      </c>
      <c r="Q82" s="231">
        <f>IF(OR(I82="",K82=""),"",ROUND(MAX(I82-K82,0),2))</f>
        <v/>
      </c>
      <c r="R82" s="225">
        <f>IF(AND(A82="",A81&lt;&gt;"",COUNTIF(A83:$A$200,"&lt;&gt;")=0),ROUND(SUMIF($A$2:A81,"&lt;&gt;",$R$2:R81),2),IF(OR(Q82="",C82="",NOT(ISNUMBER($Z$5))),"",ROUND(Q82*C82*$Z$5,2)))</f>
        <v/>
      </c>
      <c r="S82" s="27" t="n"/>
      <c r="T82" s="232" t="n"/>
      <c r="U82" s="233">
        <f>IF(AND(A82="",A81&lt;&gt;"",COUNTIF(A83:$A$200,"&lt;&gt;")=0),"TOTAL",IF(A82="","",IF(AND(G82&lt;&gt;"",E82&lt;&gt;"",G82&gt;E82),"ALERTA: REM_C2&gt;REM_C1",IF(AND(I82&lt;&gt;"",G82&lt;&gt;"",I82&gt;G82),"ALERTA: REM_C3&gt;REM_C2",IF(AND(K82&lt;&gt;"",I82&lt;&gt;"",K82&gt;I82),"ALERTA: REM_C4&gt;REM_C3","OK")))))</f>
        <v/>
      </c>
      <c r="V82" s="233">
        <f>IF(A82="","",IF(B82="","",IF(OR(B82&lt;0,E82&gt;B82,G82&gt;B82,I82&gt;B82,K82&gt;B82),"ALERTA: QTD_INVALIDA","OK")))</f>
        <v/>
      </c>
      <c r="W82" s="19" t="n"/>
      <c r="X82" s="19" t="n"/>
      <c r="Y82" s="19" t="n"/>
      <c r="Z82" s="17" t="n"/>
      <c r="AA82" s="17" t="n"/>
      <c r="AB82" s="231">
        <f>IF(OR(A82="",E82=""),"",ROUND(B82-E82,2))</f>
        <v/>
      </c>
      <c r="AC82" s="225">
        <f>IF(AND(A82="",A81&lt;&gt;"",COUNTIF(A83:$A$200,"&lt;&gt;")=0),ROUND(SUMIF($A$2:A81,"&lt;&gt;",$AC$2:AC81),2),IF(OR(A82="",E82=""),"",ROUND(D82-E82*C82,2)))</f>
        <v/>
      </c>
      <c r="AD82" s="17" t="n"/>
    </row>
    <row r="83">
      <c r="A83" s="227" t="n"/>
      <c r="B83" s="228" t="n"/>
      <c r="C83" s="229" t="n"/>
      <c r="D83" s="225">
        <f>IF(AND(A83="",A82&lt;&gt;"",COUNTIF(A84:$A$200,"&lt;&gt;")=0),ROUND(SUMIF($A$2:A82,"&lt;&gt;",$D$2:D82),2),IF(OR(A83="",B83="",C83=""),"",ROUND(B83*C83,2)))</f>
        <v/>
      </c>
      <c r="E83" s="230" t="n"/>
      <c r="F83" s="225">
        <f>IF(AND(A83="",A82&lt;&gt;"",COUNTIF(A84:$A$200,"&lt;&gt;")=0),ROUND(SUMIF($A$2:A82,"&lt;&gt;",$F$2:F82),2),IF(OR(A83="",E83="",C83="",NOT(ISNUMBER($Z$3))),"",ROUND(E83*C83*$Z$3,2)))</f>
        <v/>
      </c>
      <c r="G83" s="230" t="n"/>
      <c r="H83" s="225">
        <f>IF(AND(A83="",A82&lt;&gt;"",COUNTIF(A84:$A$200,"&lt;&gt;")=0),ROUND(SUMIF($A$2:A82,"&lt;&gt;",$H$2:H82),2),IF(OR(A83="",G83="",C83="",NOT(ISNUMBER($Z$4))),"",ROUND(G83*C83*$Z$4,2)))</f>
        <v/>
      </c>
      <c r="I83" s="230" t="n"/>
      <c r="J83" s="225">
        <f>IF(AND(A83="",A82&lt;&gt;"",COUNTIF(A84:$A$200,"&lt;&gt;")=0),ROUND(SUMIF($A$2:A82,"&lt;&gt;",$J$2:J82),2),IF(OR(A83="",I83="",C83="",NOT(ISNUMBER($Z$5))),"",ROUND(I83*C83*$Z$5,2)))</f>
        <v/>
      </c>
      <c r="K83" s="230" t="n"/>
      <c r="L83" s="225">
        <f>IF(AND(A83="",A82&lt;&gt;"",COUNTIF(A84:$A$200,"&lt;&gt;")=0),ROUND(SUMIF($A$2:A82,"&lt;&gt;",$L$2:L82),2),IF(OR(A83="",K83="",C83="",NOT(ISNUMBER($Z$6))),"",ROUND(K83*C83*$Z$6,2)))</f>
        <v/>
      </c>
      <c r="M83" s="231">
        <f>IF(OR(E83="",G83=""),"",ROUND(MAX(E83-G83,0),2))</f>
        <v/>
      </c>
      <c r="N83" s="225">
        <f>IF(AND(A83="",A82&lt;&gt;"",COUNTIF(A84:$A$200,"&lt;&gt;")=0),ROUND(SUMIF($A$2:A82,"&lt;&gt;",$N$2:N82),2),IF(OR(M83="",C83="",NOT(ISNUMBER($Z$3))),"",ROUND(M83*C83*$Z$3,2)))</f>
        <v/>
      </c>
      <c r="O83" s="231">
        <f>IF(OR(G83="",I83=""),"",ROUND(MAX(G83-I83,0),2))</f>
        <v/>
      </c>
      <c r="P83" s="225">
        <f>IF(AND(A83="",A82&lt;&gt;"",COUNTIF(A84:$A$200,"&lt;&gt;")=0),ROUND(SUMIF($A$2:A82,"&lt;&gt;",$P$2:P82),2),IF(OR(O83="",C83="",NOT(ISNUMBER($Z$4))),"",ROUND(O83*C83*$Z$4,2)))</f>
        <v/>
      </c>
      <c r="Q83" s="231">
        <f>IF(OR(I83="",K83=""),"",ROUND(MAX(I83-K83,0),2))</f>
        <v/>
      </c>
      <c r="R83" s="225">
        <f>IF(AND(A83="",A82&lt;&gt;"",COUNTIF(A84:$A$200,"&lt;&gt;")=0),ROUND(SUMIF($A$2:A82,"&lt;&gt;",$R$2:R82),2),IF(OR(Q83="",C83="",NOT(ISNUMBER($Z$5))),"",ROUND(Q83*C83*$Z$5,2)))</f>
        <v/>
      </c>
      <c r="S83" s="27" t="n"/>
      <c r="T83" s="232" t="n"/>
      <c r="U83" s="233">
        <f>IF(AND(A83="",A82&lt;&gt;"",COUNTIF(A84:$A$200,"&lt;&gt;")=0),"TOTAL",IF(A83="","",IF(AND(G83&lt;&gt;"",E83&lt;&gt;"",G83&gt;E83),"ALERTA: REM_C2&gt;REM_C1",IF(AND(I83&lt;&gt;"",G83&lt;&gt;"",I83&gt;G83),"ALERTA: REM_C3&gt;REM_C2",IF(AND(K83&lt;&gt;"",I83&lt;&gt;"",K83&gt;I83),"ALERTA: REM_C4&gt;REM_C3","OK")))))</f>
        <v/>
      </c>
      <c r="V83" s="233">
        <f>IF(A83="","",IF(B83="","",IF(OR(B83&lt;0,E83&gt;B83,G83&gt;B83,I83&gt;B83,K83&gt;B83),"ALERTA: QTD_INVALIDA","OK")))</f>
        <v/>
      </c>
      <c r="W83" s="19" t="n"/>
      <c r="X83" s="19" t="n"/>
      <c r="Y83" s="19" t="n"/>
      <c r="Z83" s="17" t="n"/>
      <c r="AA83" s="17" t="n"/>
      <c r="AB83" s="231">
        <f>IF(OR(A83="",E83=""),"",ROUND(B83-E83,2))</f>
        <v/>
      </c>
      <c r="AC83" s="225">
        <f>IF(AND(A83="",A82&lt;&gt;"",COUNTIF(A84:$A$200,"&lt;&gt;")=0),ROUND(SUMIF($A$2:A82,"&lt;&gt;",$AC$2:AC82),2),IF(OR(A83="",E83=""),"",ROUND(D83-E83*C83,2)))</f>
        <v/>
      </c>
      <c r="AD83" s="17" t="n"/>
    </row>
    <row r="84">
      <c r="A84" s="227" t="n"/>
      <c r="B84" s="228" t="n"/>
      <c r="C84" s="229" t="n"/>
      <c r="D84" s="225">
        <f>IF(AND(A84="",A83&lt;&gt;"",COUNTIF(A85:$A$200,"&lt;&gt;")=0),ROUND(SUMIF($A$2:A83,"&lt;&gt;",$D$2:D83),2),IF(OR(A84="",B84="",C84=""),"",ROUND(B84*C84,2)))</f>
        <v/>
      </c>
      <c r="E84" s="230" t="n"/>
      <c r="F84" s="225">
        <f>IF(AND(A84="",A83&lt;&gt;"",COUNTIF(A85:$A$200,"&lt;&gt;")=0),ROUND(SUMIF($A$2:A83,"&lt;&gt;",$F$2:F83),2),IF(OR(A84="",E84="",C84="",NOT(ISNUMBER($Z$3))),"",ROUND(E84*C84*$Z$3,2)))</f>
        <v/>
      </c>
      <c r="G84" s="230" t="n"/>
      <c r="H84" s="225">
        <f>IF(AND(A84="",A83&lt;&gt;"",COUNTIF(A85:$A$200,"&lt;&gt;")=0),ROUND(SUMIF($A$2:A83,"&lt;&gt;",$H$2:H83),2),IF(OR(A84="",G84="",C84="",NOT(ISNUMBER($Z$4))),"",ROUND(G84*C84*$Z$4,2)))</f>
        <v/>
      </c>
      <c r="I84" s="230" t="n"/>
      <c r="J84" s="225">
        <f>IF(AND(A84="",A83&lt;&gt;"",COUNTIF(A85:$A$200,"&lt;&gt;")=0),ROUND(SUMIF($A$2:A83,"&lt;&gt;",$J$2:J83),2),IF(OR(A84="",I84="",C84="",NOT(ISNUMBER($Z$5))),"",ROUND(I84*C84*$Z$5,2)))</f>
        <v/>
      </c>
      <c r="K84" s="230" t="n"/>
      <c r="L84" s="225">
        <f>IF(AND(A84="",A83&lt;&gt;"",COUNTIF(A85:$A$200,"&lt;&gt;")=0),ROUND(SUMIF($A$2:A83,"&lt;&gt;",$L$2:L83),2),IF(OR(A84="",K84="",C84="",NOT(ISNUMBER($Z$6))),"",ROUND(K84*C84*$Z$6,2)))</f>
        <v/>
      </c>
      <c r="M84" s="231">
        <f>IF(OR(E84="",G84=""),"",ROUND(MAX(E84-G84,0),2))</f>
        <v/>
      </c>
      <c r="N84" s="225">
        <f>IF(AND(A84="",A83&lt;&gt;"",COUNTIF(A85:$A$200,"&lt;&gt;")=0),ROUND(SUMIF($A$2:A83,"&lt;&gt;",$N$2:N83),2),IF(OR(M84="",C84="",NOT(ISNUMBER($Z$3))),"",ROUND(M84*C84*$Z$3,2)))</f>
        <v/>
      </c>
      <c r="O84" s="231">
        <f>IF(OR(G84="",I84=""),"",ROUND(MAX(G84-I84,0),2))</f>
        <v/>
      </c>
      <c r="P84" s="225">
        <f>IF(AND(A84="",A83&lt;&gt;"",COUNTIF(A85:$A$200,"&lt;&gt;")=0),ROUND(SUMIF($A$2:A83,"&lt;&gt;",$P$2:P83),2),IF(OR(O84="",C84="",NOT(ISNUMBER($Z$4))),"",ROUND(O84*C84*$Z$4,2)))</f>
        <v/>
      </c>
      <c r="Q84" s="231">
        <f>IF(OR(I84="",K84=""),"",ROUND(MAX(I84-K84,0),2))</f>
        <v/>
      </c>
      <c r="R84" s="225">
        <f>IF(AND(A84="",A83&lt;&gt;"",COUNTIF(A85:$A$200,"&lt;&gt;")=0),ROUND(SUMIF($A$2:A83,"&lt;&gt;",$R$2:R83),2),IF(OR(Q84="",C84="",NOT(ISNUMBER($Z$5))),"",ROUND(Q84*C84*$Z$5,2)))</f>
        <v/>
      </c>
      <c r="S84" s="27" t="n"/>
      <c r="T84" s="232" t="n"/>
      <c r="U84" s="233">
        <f>IF(AND(A84="",A83&lt;&gt;"",COUNTIF(A85:$A$200,"&lt;&gt;")=0),"TOTAL",IF(A84="","",IF(AND(G84&lt;&gt;"",E84&lt;&gt;"",G84&gt;E84),"ALERTA: REM_C2&gt;REM_C1",IF(AND(I84&lt;&gt;"",G84&lt;&gt;"",I84&gt;G84),"ALERTA: REM_C3&gt;REM_C2",IF(AND(K84&lt;&gt;"",I84&lt;&gt;"",K84&gt;I84),"ALERTA: REM_C4&gt;REM_C3","OK")))))</f>
        <v/>
      </c>
      <c r="V84" s="233">
        <f>IF(A84="","",IF(B84="","",IF(OR(B84&lt;0,E84&gt;B84,G84&gt;B84,I84&gt;B84,K84&gt;B84),"ALERTA: QTD_INVALIDA","OK")))</f>
        <v/>
      </c>
      <c r="W84" s="19" t="n"/>
      <c r="X84" s="19" t="n"/>
      <c r="Y84" s="19" t="n"/>
      <c r="Z84" s="17" t="n"/>
      <c r="AA84" s="17" t="n"/>
      <c r="AB84" s="231">
        <f>IF(OR(A84="",E84=""),"",ROUND(B84-E84,2))</f>
        <v/>
      </c>
      <c r="AC84" s="225">
        <f>IF(AND(A84="",A83&lt;&gt;"",COUNTIF(A85:$A$200,"&lt;&gt;")=0),ROUND(SUMIF($A$2:A83,"&lt;&gt;",$AC$2:AC83),2),IF(OR(A84="",E84=""),"",ROUND(D84-E84*C84,2)))</f>
        <v/>
      </c>
      <c r="AD84" s="17" t="n"/>
    </row>
    <row r="85">
      <c r="A85" s="227" t="n"/>
      <c r="B85" s="228" t="n"/>
      <c r="C85" s="229" t="n"/>
      <c r="D85" s="225">
        <f>IF(AND(A85="",A84&lt;&gt;"",COUNTIF(A86:$A$200,"&lt;&gt;")=0),ROUND(SUMIF($A$2:A84,"&lt;&gt;",$D$2:D84),2),IF(OR(A85="",B85="",C85=""),"",ROUND(B85*C85,2)))</f>
        <v/>
      </c>
      <c r="E85" s="230" t="n"/>
      <c r="F85" s="225">
        <f>IF(AND(A85="",A84&lt;&gt;"",COUNTIF(A86:$A$200,"&lt;&gt;")=0),ROUND(SUMIF($A$2:A84,"&lt;&gt;",$F$2:F84),2),IF(OR(A85="",E85="",C85="",NOT(ISNUMBER($Z$3))),"",ROUND(E85*C85*$Z$3,2)))</f>
        <v/>
      </c>
      <c r="G85" s="230" t="n"/>
      <c r="H85" s="225">
        <f>IF(AND(A85="",A84&lt;&gt;"",COUNTIF(A86:$A$200,"&lt;&gt;")=0),ROUND(SUMIF($A$2:A84,"&lt;&gt;",$H$2:H84),2),IF(OR(A85="",G85="",C85="",NOT(ISNUMBER($Z$4))),"",ROUND(G85*C85*$Z$4,2)))</f>
        <v/>
      </c>
      <c r="I85" s="230" t="n"/>
      <c r="J85" s="225">
        <f>IF(AND(A85="",A84&lt;&gt;"",COUNTIF(A86:$A$200,"&lt;&gt;")=0),ROUND(SUMIF($A$2:A84,"&lt;&gt;",$J$2:J84),2),IF(OR(A85="",I85="",C85="",NOT(ISNUMBER($Z$5))),"",ROUND(I85*C85*$Z$5,2)))</f>
        <v/>
      </c>
      <c r="K85" s="230" t="n"/>
      <c r="L85" s="225">
        <f>IF(AND(A85="",A84&lt;&gt;"",COUNTIF(A86:$A$200,"&lt;&gt;")=0),ROUND(SUMIF($A$2:A84,"&lt;&gt;",$L$2:L84),2),IF(OR(A85="",K85="",C85="",NOT(ISNUMBER($Z$6))),"",ROUND(K85*C85*$Z$6,2)))</f>
        <v/>
      </c>
      <c r="M85" s="231">
        <f>IF(OR(E85="",G85=""),"",ROUND(MAX(E85-G85,0),2))</f>
        <v/>
      </c>
      <c r="N85" s="225">
        <f>IF(AND(A85="",A84&lt;&gt;"",COUNTIF(A86:$A$200,"&lt;&gt;")=0),ROUND(SUMIF($A$2:A84,"&lt;&gt;",$N$2:N84),2),IF(OR(M85="",C85="",NOT(ISNUMBER($Z$3))),"",ROUND(M85*C85*$Z$3,2)))</f>
        <v/>
      </c>
      <c r="O85" s="231">
        <f>IF(OR(G85="",I85=""),"",ROUND(MAX(G85-I85,0),2))</f>
        <v/>
      </c>
      <c r="P85" s="225">
        <f>IF(AND(A85="",A84&lt;&gt;"",COUNTIF(A86:$A$200,"&lt;&gt;")=0),ROUND(SUMIF($A$2:A84,"&lt;&gt;",$P$2:P84),2),IF(OR(O85="",C85="",NOT(ISNUMBER($Z$4))),"",ROUND(O85*C85*$Z$4,2)))</f>
        <v/>
      </c>
      <c r="Q85" s="231">
        <f>IF(OR(I85="",K85=""),"",ROUND(MAX(I85-K85,0),2))</f>
        <v/>
      </c>
      <c r="R85" s="225">
        <f>IF(AND(A85="",A84&lt;&gt;"",COUNTIF(A86:$A$200,"&lt;&gt;")=0),ROUND(SUMIF($A$2:A84,"&lt;&gt;",$R$2:R84),2),IF(OR(Q85="",C85="",NOT(ISNUMBER($Z$5))),"",ROUND(Q85*C85*$Z$5,2)))</f>
        <v/>
      </c>
      <c r="S85" s="27" t="n"/>
      <c r="T85" s="232" t="n"/>
      <c r="U85" s="233">
        <f>IF(AND(A85="",A84&lt;&gt;"",COUNTIF(A86:$A$200,"&lt;&gt;")=0),"TOTAL",IF(A85="","",IF(AND(G85&lt;&gt;"",E85&lt;&gt;"",G85&gt;E85),"ALERTA: REM_C2&gt;REM_C1",IF(AND(I85&lt;&gt;"",G85&lt;&gt;"",I85&gt;G85),"ALERTA: REM_C3&gt;REM_C2",IF(AND(K85&lt;&gt;"",I85&lt;&gt;"",K85&gt;I85),"ALERTA: REM_C4&gt;REM_C3","OK")))))</f>
        <v/>
      </c>
      <c r="V85" s="233">
        <f>IF(A85="","",IF(B85="","",IF(OR(B85&lt;0,E85&gt;B85,G85&gt;B85,I85&gt;B85,K85&gt;B85),"ALERTA: QTD_INVALIDA","OK")))</f>
        <v/>
      </c>
      <c r="W85" s="19" t="n"/>
      <c r="X85" s="19" t="n"/>
      <c r="Y85" s="19" t="n"/>
      <c r="Z85" s="17" t="n"/>
      <c r="AA85" s="17" t="n"/>
      <c r="AB85" s="231">
        <f>IF(OR(A85="",E85=""),"",ROUND(B85-E85,2))</f>
        <v/>
      </c>
      <c r="AC85" s="225">
        <f>IF(AND(A85="",A84&lt;&gt;"",COUNTIF(A86:$A$200,"&lt;&gt;")=0),ROUND(SUMIF($A$2:A84,"&lt;&gt;",$AC$2:AC84),2),IF(OR(A85="",E85=""),"",ROUND(D85-E85*C85,2)))</f>
        <v/>
      </c>
      <c r="AD85" s="17" t="n"/>
    </row>
    <row r="86">
      <c r="A86" s="227" t="n"/>
      <c r="B86" s="228" t="n"/>
      <c r="C86" s="229" t="n"/>
      <c r="D86" s="225">
        <f>IF(AND(A86="",A85&lt;&gt;"",COUNTIF(A87:$A$200,"&lt;&gt;")=0),ROUND(SUMIF($A$2:A85,"&lt;&gt;",$D$2:D85),2),IF(OR(A86="",B86="",C86=""),"",ROUND(B86*C86,2)))</f>
        <v/>
      </c>
      <c r="E86" s="230" t="n"/>
      <c r="F86" s="225">
        <f>IF(AND(A86="",A85&lt;&gt;"",COUNTIF(A87:$A$200,"&lt;&gt;")=0),ROUND(SUMIF($A$2:A85,"&lt;&gt;",$F$2:F85),2),IF(OR(A86="",E86="",C86="",NOT(ISNUMBER($Z$3))),"",ROUND(E86*C86*$Z$3,2)))</f>
        <v/>
      </c>
      <c r="G86" s="230" t="n"/>
      <c r="H86" s="225">
        <f>IF(AND(A86="",A85&lt;&gt;"",COUNTIF(A87:$A$200,"&lt;&gt;")=0),ROUND(SUMIF($A$2:A85,"&lt;&gt;",$H$2:H85),2),IF(OR(A86="",G86="",C86="",NOT(ISNUMBER($Z$4))),"",ROUND(G86*C86*$Z$4,2)))</f>
        <v/>
      </c>
      <c r="I86" s="230" t="n"/>
      <c r="J86" s="225">
        <f>IF(AND(A86="",A85&lt;&gt;"",COUNTIF(A87:$A$200,"&lt;&gt;")=0),ROUND(SUMIF($A$2:A85,"&lt;&gt;",$J$2:J85),2),IF(OR(A86="",I86="",C86="",NOT(ISNUMBER($Z$5))),"",ROUND(I86*C86*$Z$5,2)))</f>
        <v/>
      </c>
      <c r="K86" s="230" t="n"/>
      <c r="L86" s="225">
        <f>IF(AND(A86="",A85&lt;&gt;"",COUNTIF(A87:$A$200,"&lt;&gt;")=0),ROUND(SUMIF($A$2:A85,"&lt;&gt;",$L$2:L85),2),IF(OR(A86="",K86="",C86="",NOT(ISNUMBER($Z$6))),"",ROUND(K86*C86*$Z$6,2)))</f>
        <v/>
      </c>
      <c r="M86" s="231">
        <f>IF(OR(E86="",G86=""),"",ROUND(MAX(E86-G86,0),2))</f>
        <v/>
      </c>
      <c r="N86" s="225">
        <f>IF(AND(A86="",A85&lt;&gt;"",COUNTIF(A87:$A$200,"&lt;&gt;")=0),ROUND(SUMIF($A$2:A85,"&lt;&gt;",$N$2:N85),2),IF(OR(M86="",C86="",NOT(ISNUMBER($Z$3))),"",ROUND(M86*C86*$Z$3,2)))</f>
        <v/>
      </c>
      <c r="O86" s="231">
        <f>IF(OR(G86="",I86=""),"",ROUND(MAX(G86-I86,0),2))</f>
        <v/>
      </c>
      <c r="P86" s="225">
        <f>IF(AND(A86="",A85&lt;&gt;"",COUNTIF(A87:$A$200,"&lt;&gt;")=0),ROUND(SUMIF($A$2:A85,"&lt;&gt;",$P$2:P85),2),IF(OR(O86="",C86="",NOT(ISNUMBER($Z$4))),"",ROUND(O86*C86*$Z$4,2)))</f>
        <v/>
      </c>
      <c r="Q86" s="231">
        <f>IF(OR(I86="",K86=""),"",ROUND(MAX(I86-K86,0),2))</f>
        <v/>
      </c>
      <c r="R86" s="225">
        <f>IF(AND(A86="",A85&lt;&gt;"",COUNTIF(A87:$A$200,"&lt;&gt;")=0),ROUND(SUMIF($A$2:A85,"&lt;&gt;",$R$2:R85),2),IF(OR(Q86="",C86="",NOT(ISNUMBER($Z$5))),"",ROUND(Q86*C86*$Z$5,2)))</f>
        <v/>
      </c>
      <c r="S86" s="27" t="n"/>
      <c r="T86" s="232" t="n"/>
      <c r="U86" s="233">
        <f>IF(AND(A86="",A85&lt;&gt;"",COUNTIF(A87:$A$200,"&lt;&gt;")=0),"TOTAL",IF(A86="","",IF(AND(G86&lt;&gt;"",E86&lt;&gt;"",G86&gt;E86),"ALERTA: REM_C2&gt;REM_C1",IF(AND(I86&lt;&gt;"",G86&lt;&gt;"",I86&gt;G86),"ALERTA: REM_C3&gt;REM_C2",IF(AND(K86&lt;&gt;"",I86&lt;&gt;"",K86&gt;I86),"ALERTA: REM_C4&gt;REM_C3","OK")))))</f>
        <v/>
      </c>
      <c r="V86" s="233">
        <f>IF(A86="","",IF(B86="","",IF(OR(B86&lt;0,E86&gt;B86,G86&gt;B86,I86&gt;B86,K86&gt;B86),"ALERTA: QTD_INVALIDA","OK")))</f>
        <v/>
      </c>
      <c r="W86" s="19" t="n"/>
      <c r="X86" s="19" t="n"/>
      <c r="Y86" s="19" t="n"/>
      <c r="Z86" s="17" t="n"/>
      <c r="AA86" s="17" t="n"/>
      <c r="AB86" s="231">
        <f>IF(OR(A86="",E86=""),"",ROUND(B86-E86,2))</f>
        <v/>
      </c>
      <c r="AC86" s="225">
        <f>IF(AND(A86="",A85&lt;&gt;"",COUNTIF(A87:$A$200,"&lt;&gt;")=0),ROUND(SUMIF($A$2:A85,"&lt;&gt;",$AC$2:AC85),2),IF(OR(A86="",E86=""),"",ROUND(D86-E86*C86,2)))</f>
        <v/>
      </c>
      <c r="AD86" s="17" t="n"/>
    </row>
    <row r="87">
      <c r="A87" s="227" t="n"/>
      <c r="B87" s="228" t="n"/>
      <c r="C87" s="229" t="n"/>
      <c r="D87" s="225">
        <f>IF(AND(A87="",A86&lt;&gt;"",COUNTIF(A88:$A$200,"&lt;&gt;")=0),ROUND(SUMIF($A$2:A86,"&lt;&gt;",$D$2:D86),2),IF(OR(A87="",B87="",C87=""),"",ROUND(B87*C87,2)))</f>
        <v/>
      </c>
      <c r="E87" s="230" t="n"/>
      <c r="F87" s="225">
        <f>IF(AND(A87="",A86&lt;&gt;"",COUNTIF(A88:$A$200,"&lt;&gt;")=0),ROUND(SUMIF($A$2:A86,"&lt;&gt;",$F$2:F86),2),IF(OR(A87="",E87="",C87="",NOT(ISNUMBER($Z$3))),"",ROUND(E87*C87*$Z$3,2)))</f>
        <v/>
      </c>
      <c r="G87" s="230" t="n"/>
      <c r="H87" s="225">
        <f>IF(AND(A87="",A86&lt;&gt;"",COUNTIF(A88:$A$200,"&lt;&gt;")=0),ROUND(SUMIF($A$2:A86,"&lt;&gt;",$H$2:H86),2),IF(OR(A87="",G87="",C87="",NOT(ISNUMBER($Z$4))),"",ROUND(G87*C87*$Z$4,2)))</f>
        <v/>
      </c>
      <c r="I87" s="230" t="n"/>
      <c r="J87" s="225">
        <f>IF(AND(A87="",A86&lt;&gt;"",COUNTIF(A88:$A$200,"&lt;&gt;")=0),ROUND(SUMIF($A$2:A86,"&lt;&gt;",$J$2:J86),2),IF(OR(A87="",I87="",C87="",NOT(ISNUMBER($Z$5))),"",ROUND(I87*C87*$Z$5,2)))</f>
        <v/>
      </c>
      <c r="K87" s="230" t="n"/>
      <c r="L87" s="225">
        <f>IF(AND(A87="",A86&lt;&gt;"",COUNTIF(A88:$A$200,"&lt;&gt;")=0),ROUND(SUMIF($A$2:A86,"&lt;&gt;",$L$2:L86),2),IF(OR(A87="",K87="",C87="",NOT(ISNUMBER($Z$6))),"",ROUND(K87*C87*$Z$6,2)))</f>
        <v/>
      </c>
      <c r="M87" s="231">
        <f>IF(OR(E87="",G87=""),"",ROUND(MAX(E87-G87,0),2))</f>
        <v/>
      </c>
      <c r="N87" s="225">
        <f>IF(AND(A87="",A86&lt;&gt;"",COUNTIF(A88:$A$200,"&lt;&gt;")=0),ROUND(SUMIF($A$2:A86,"&lt;&gt;",$N$2:N86),2),IF(OR(M87="",C87="",NOT(ISNUMBER($Z$3))),"",ROUND(M87*C87*$Z$3,2)))</f>
        <v/>
      </c>
      <c r="O87" s="231">
        <f>IF(OR(G87="",I87=""),"",ROUND(MAX(G87-I87,0),2))</f>
        <v/>
      </c>
      <c r="P87" s="225">
        <f>IF(AND(A87="",A86&lt;&gt;"",COUNTIF(A88:$A$200,"&lt;&gt;")=0),ROUND(SUMIF($A$2:A86,"&lt;&gt;",$P$2:P86),2),IF(OR(O87="",C87="",NOT(ISNUMBER($Z$4))),"",ROUND(O87*C87*$Z$4,2)))</f>
        <v/>
      </c>
      <c r="Q87" s="231">
        <f>IF(OR(I87="",K87=""),"",ROUND(MAX(I87-K87,0),2))</f>
        <v/>
      </c>
      <c r="R87" s="225">
        <f>IF(AND(A87="",A86&lt;&gt;"",COUNTIF(A88:$A$200,"&lt;&gt;")=0),ROUND(SUMIF($A$2:A86,"&lt;&gt;",$R$2:R86),2),IF(OR(Q87="",C87="",NOT(ISNUMBER($Z$5))),"",ROUND(Q87*C87*$Z$5,2)))</f>
        <v/>
      </c>
      <c r="S87" s="27" t="n"/>
      <c r="T87" s="232" t="n"/>
      <c r="U87" s="233">
        <f>IF(AND(A87="",A86&lt;&gt;"",COUNTIF(A88:$A$200,"&lt;&gt;")=0),"TOTAL",IF(A87="","",IF(AND(G87&lt;&gt;"",E87&lt;&gt;"",G87&gt;E87),"ALERTA: REM_C2&gt;REM_C1",IF(AND(I87&lt;&gt;"",G87&lt;&gt;"",I87&gt;G87),"ALERTA: REM_C3&gt;REM_C2",IF(AND(K87&lt;&gt;"",I87&lt;&gt;"",K87&gt;I87),"ALERTA: REM_C4&gt;REM_C3","OK")))))</f>
        <v/>
      </c>
      <c r="V87" s="233">
        <f>IF(A87="","",IF(B87="","",IF(OR(B87&lt;0,E87&gt;B87,G87&gt;B87,I87&gt;B87,K87&gt;B87),"ALERTA: QTD_INVALIDA","OK")))</f>
        <v/>
      </c>
      <c r="W87" s="19" t="n"/>
      <c r="X87" s="19" t="n"/>
      <c r="Y87" s="19" t="n"/>
      <c r="Z87" s="17" t="n"/>
      <c r="AA87" s="17" t="n"/>
      <c r="AB87" s="231">
        <f>IF(OR(A87="",E87=""),"",ROUND(B87-E87,2))</f>
        <v/>
      </c>
      <c r="AC87" s="225">
        <f>IF(AND(A87="",A86&lt;&gt;"",COUNTIF(A88:$A$200,"&lt;&gt;")=0),ROUND(SUMIF($A$2:A86,"&lt;&gt;",$AC$2:AC86),2),IF(OR(A87="",E87=""),"",ROUND(D87-E87*C87,2)))</f>
        <v/>
      </c>
      <c r="AD87" s="17" t="n"/>
    </row>
    <row r="88">
      <c r="A88" s="227" t="n"/>
      <c r="B88" s="228" t="n"/>
      <c r="C88" s="229" t="n"/>
      <c r="D88" s="225">
        <f>IF(AND(A88="",A87&lt;&gt;"",COUNTIF(A89:$A$200,"&lt;&gt;")=0),ROUND(SUMIF($A$2:A87,"&lt;&gt;",$D$2:D87),2),IF(OR(A88="",B88="",C88=""),"",ROUND(B88*C88,2)))</f>
        <v/>
      </c>
      <c r="E88" s="230" t="n"/>
      <c r="F88" s="225">
        <f>IF(AND(A88="",A87&lt;&gt;"",COUNTIF(A89:$A$200,"&lt;&gt;")=0),ROUND(SUMIF($A$2:A87,"&lt;&gt;",$F$2:F87),2),IF(OR(A88="",E88="",C88="",NOT(ISNUMBER($Z$3))),"",ROUND(E88*C88*$Z$3,2)))</f>
        <v/>
      </c>
      <c r="G88" s="230" t="n"/>
      <c r="H88" s="225">
        <f>IF(AND(A88="",A87&lt;&gt;"",COUNTIF(A89:$A$200,"&lt;&gt;")=0),ROUND(SUMIF($A$2:A87,"&lt;&gt;",$H$2:H87),2),IF(OR(A88="",G88="",C88="",NOT(ISNUMBER($Z$4))),"",ROUND(G88*C88*$Z$4,2)))</f>
        <v/>
      </c>
      <c r="I88" s="230" t="n"/>
      <c r="J88" s="225">
        <f>IF(AND(A88="",A87&lt;&gt;"",COUNTIF(A89:$A$200,"&lt;&gt;")=0),ROUND(SUMIF($A$2:A87,"&lt;&gt;",$J$2:J87),2),IF(OR(A88="",I88="",C88="",NOT(ISNUMBER($Z$5))),"",ROUND(I88*C88*$Z$5,2)))</f>
        <v/>
      </c>
      <c r="K88" s="230" t="n"/>
      <c r="L88" s="225">
        <f>IF(AND(A88="",A87&lt;&gt;"",COUNTIF(A89:$A$200,"&lt;&gt;")=0),ROUND(SUMIF($A$2:A87,"&lt;&gt;",$L$2:L87),2),IF(OR(A88="",K88="",C88="",NOT(ISNUMBER($Z$6))),"",ROUND(K88*C88*$Z$6,2)))</f>
        <v/>
      </c>
      <c r="M88" s="231">
        <f>IF(OR(E88="",G88=""),"",ROUND(MAX(E88-G88,0),2))</f>
        <v/>
      </c>
      <c r="N88" s="225">
        <f>IF(AND(A88="",A87&lt;&gt;"",COUNTIF(A89:$A$200,"&lt;&gt;")=0),ROUND(SUMIF($A$2:A87,"&lt;&gt;",$N$2:N87),2),IF(OR(M88="",C88="",NOT(ISNUMBER($Z$3))),"",ROUND(M88*C88*$Z$3,2)))</f>
        <v/>
      </c>
      <c r="O88" s="231">
        <f>IF(OR(G88="",I88=""),"",ROUND(MAX(G88-I88,0),2))</f>
        <v/>
      </c>
      <c r="P88" s="225">
        <f>IF(AND(A88="",A87&lt;&gt;"",COUNTIF(A89:$A$200,"&lt;&gt;")=0),ROUND(SUMIF($A$2:A87,"&lt;&gt;",$P$2:P87),2),IF(OR(O88="",C88="",NOT(ISNUMBER($Z$4))),"",ROUND(O88*C88*$Z$4,2)))</f>
        <v/>
      </c>
      <c r="Q88" s="231">
        <f>IF(OR(I88="",K88=""),"",ROUND(MAX(I88-K88,0),2))</f>
        <v/>
      </c>
      <c r="R88" s="225">
        <f>IF(AND(A88="",A87&lt;&gt;"",COUNTIF(A89:$A$200,"&lt;&gt;")=0),ROUND(SUMIF($A$2:A87,"&lt;&gt;",$R$2:R87),2),IF(OR(Q88="",C88="",NOT(ISNUMBER($Z$5))),"",ROUND(Q88*C88*$Z$5,2)))</f>
        <v/>
      </c>
      <c r="S88" s="27" t="n"/>
      <c r="T88" s="232" t="n"/>
      <c r="U88" s="233">
        <f>IF(AND(A88="",A87&lt;&gt;"",COUNTIF(A89:$A$200,"&lt;&gt;")=0),"TOTAL",IF(A88="","",IF(AND(G88&lt;&gt;"",E88&lt;&gt;"",G88&gt;E88),"ALERTA: REM_C2&gt;REM_C1",IF(AND(I88&lt;&gt;"",G88&lt;&gt;"",I88&gt;G88),"ALERTA: REM_C3&gt;REM_C2",IF(AND(K88&lt;&gt;"",I88&lt;&gt;"",K88&gt;I88),"ALERTA: REM_C4&gt;REM_C3","OK")))))</f>
        <v/>
      </c>
      <c r="V88" s="233">
        <f>IF(A88="","",IF(B88="","",IF(OR(B88&lt;0,E88&gt;B88,G88&gt;B88,I88&gt;B88,K88&gt;B88),"ALERTA: QTD_INVALIDA","OK")))</f>
        <v/>
      </c>
      <c r="W88" s="19" t="n"/>
      <c r="X88" s="19" t="n"/>
      <c r="Y88" s="19" t="n"/>
      <c r="Z88" s="17" t="n"/>
      <c r="AA88" s="17" t="n"/>
      <c r="AB88" s="231">
        <f>IF(OR(A88="",E88=""),"",ROUND(B88-E88,2))</f>
        <v/>
      </c>
      <c r="AC88" s="225">
        <f>IF(AND(A88="",A87&lt;&gt;"",COUNTIF(A89:$A$200,"&lt;&gt;")=0),ROUND(SUMIF($A$2:A87,"&lt;&gt;",$AC$2:AC87),2),IF(OR(A88="",E88=""),"",ROUND(D88-E88*C88,2)))</f>
        <v/>
      </c>
      <c r="AD88" s="17" t="n"/>
    </row>
    <row r="89">
      <c r="A89" s="227" t="n"/>
      <c r="B89" s="228" t="n"/>
      <c r="C89" s="229" t="n"/>
      <c r="D89" s="225">
        <f>IF(AND(A89="",A88&lt;&gt;"",COUNTIF(A90:$A$200,"&lt;&gt;")=0),ROUND(SUMIF($A$2:A88,"&lt;&gt;",$D$2:D88),2),IF(OR(A89="",B89="",C89=""),"",ROUND(B89*C89,2)))</f>
        <v/>
      </c>
      <c r="E89" s="230" t="n"/>
      <c r="F89" s="225">
        <f>IF(AND(A89="",A88&lt;&gt;"",COUNTIF(A90:$A$200,"&lt;&gt;")=0),ROUND(SUMIF($A$2:A88,"&lt;&gt;",$F$2:F88),2),IF(OR(A89="",E89="",C89="",NOT(ISNUMBER($Z$3))),"",ROUND(E89*C89*$Z$3,2)))</f>
        <v/>
      </c>
      <c r="G89" s="230" t="n"/>
      <c r="H89" s="225">
        <f>IF(AND(A89="",A88&lt;&gt;"",COUNTIF(A90:$A$200,"&lt;&gt;")=0),ROUND(SUMIF($A$2:A88,"&lt;&gt;",$H$2:H88),2),IF(OR(A89="",G89="",C89="",NOT(ISNUMBER($Z$4))),"",ROUND(G89*C89*$Z$4,2)))</f>
        <v/>
      </c>
      <c r="I89" s="230" t="n"/>
      <c r="J89" s="225">
        <f>IF(AND(A89="",A88&lt;&gt;"",COUNTIF(A90:$A$200,"&lt;&gt;")=0),ROUND(SUMIF($A$2:A88,"&lt;&gt;",$J$2:J88),2),IF(OR(A89="",I89="",C89="",NOT(ISNUMBER($Z$5))),"",ROUND(I89*C89*$Z$5,2)))</f>
        <v/>
      </c>
      <c r="K89" s="230" t="n"/>
      <c r="L89" s="225">
        <f>IF(AND(A89="",A88&lt;&gt;"",COUNTIF(A90:$A$200,"&lt;&gt;")=0),ROUND(SUMIF($A$2:A88,"&lt;&gt;",$L$2:L88),2),IF(OR(A89="",K89="",C89="",NOT(ISNUMBER($Z$6))),"",ROUND(K89*C89*$Z$6,2)))</f>
        <v/>
      </c>
      <c r="M89" s="231">
        <f>IF(OR(E89="",G89=""),"",ROUND(MAX(E89-G89,0),2))</f>
        <v/>
      </c>
      <c r="N89" s="225">
        <f>IF(AND(A89="",A88&lt;&gt;"",COUNTIF(A90:$A$200,"&lt;&gt;")=0),ROUND(SUMIF($A$2:A88,"&lt;&gt;",$N$2:N88),2),IF(OR(M89="",C89="",NOT(ISNUMBER($Z$3))),"",ROUND(M89*C89*$Z$3,2)))</f>
        <v/>
      </c>
      <c r="O89" s="231">
        <f>IF(OR(G89="",I89=""),"",ROUND(MAX(G89-I89,0),2))</f>
        <v/>
      </c>
      <c r="P89" s="225">
        <f>IF(AND(A89="",A88&lt;&gt;"",COUNTIF(A90:$A$200,"&lt;&gt;")=0),ROUND(SUMIF($A$2:A88,"&lt;&gt;",$P$2:P88),2),IF(OR(O89="",C89="",NOT(ISNUMBER($Z$4))),"",ROUND(O89*C89*$Z$4,2)))</f>
        <v/>
      </c>
      <c r="Q89" s="231">
        <f>IF(OR(I89="",K89=""),"",ROUND(MAX(I89-K89,0),2))</f>
        <v/>
      </c>
      <c r="R89" s="225">
        <f>IF(AND(A89="",A88&lt;&gt;"",COUNTIF(A90:$A$200,"&lt;&gt;")=0),ROUND(SUMIF($A$2:A88,"&lt;&gt;",$R$2:R88),2),IF(OR(Q89="",C89="",NOT(ISNUMBER($Z$5))),"",ROUND(Q89*C89*$Z$5,2)))</f>
        <v/>
      </c>
      <c r="S89" s="27" t="n"/>
      <c r="T89" s="232" t="n"/>
      <c r="U89" s="233">
        <f>IF(AND(A89="",A88&lt;&gt;"",COUNTIF(A90:$A$200,"&lt;&gt;")=0),"TOTAL",IF(A89="","",IF(AND(G89&lt;&gt;"",E89&lt;&gt;"",G89&gt;E89),"ALERTA: REM_C2&gt;REM_C1",IF(AND(I89&lt;&gt;"",G89&lt;&gt;"",I89&gt;G89),"ALERTA: REM_C3&gt;REM_C2",IF(AND(K89&lt;&gt;"",I89&lt;&gt;"",K89&gt;I89),"ALERTA: REM_C4&gt;REM_C3","OK")))))</f>
        <v/>
      </c>
      <c r="V89" s="233">
        <f>IF(A89="","",IF(B89="","",IF(OR(B89&lt;0,E89&gt;B89,G89&gt;B89,I89&gt;B89,K89&gt;B89),"ALERTA: QTD_INVALIDA","OK")))</f>
        <v/>
      </c>
      <c r="W89" s="19" t="n"/>
      <c r="X89" s="19" t="n"/>
      <c r="Y89" s="19" t="n"/>
      <c r="Z89" s="17" t="n"/>
      <c r="AA89" s="17" t="n"/>
      <c r="AB89" s="231">
        <f>IF(OR(A89="",E89=""),"",ROUND(B89-E89,2))</f>
        <v/>
      </c>
      <c r="AC89" s="225">
        <f>IF(AND(A89="",A88&lt;&gt;"",COUNTIF(A90:$A$200,"&lt;&gt;")=0),ROUND(SUMIF($A$2:A88,"&lt;&gt;",$AC$2:AC88),2),IF(OR(A89="",E89=""),"",ROUND(D89-E89*C89,2)))</f>
        <v/>
      </c>
      <c r="AD89" s="17" t="n"/>
    </row>
    <row r="90">
      <c r="A90" s="227" t="n"/>
      <c r="B90" s="228" t="n"/>
      <c r="C90" s="229" t="n"/>
      <c r="D90" s="225">
        <f>IF(AND(A90="",A89&lt;&gt;"",COUNTIF(A91:$A$200,"&lt;&gt;")=0),ROUND(SUMIF($A$2:A89,"&lt;&gt;",$D$2:D89),2),IF(OR(A90="",B90="",C90=""),"",ROUND(B90*C90,2)))</f>
        <v/>
      </c>
      <c r="E90" s="230" t="n"/>
      <c r="F90" s="225">
        <f>IF(AND(A90="",A89&lt;&gt;"",COUNTIF(A91:$A$200,"&lt;&gt;")=0),ROUND(SUMIF($A$2:A89,"&lt;&gt;",$F$2:F89),2),IF(OR(A90="",E90="",C90="",NOT(ISNUMBER($Z$3))),"",ROUND(E90*C90*$Z$3,2)))</f>
        <v/>
      </c>
      <c r="G90" s="230" t="n"/>
      <c r="H90" s="225">
        <f>IF(AND(A90="",A89&lt;&gt;"",COUNTIF(A91:$A$200,"&lt;&gt;")=0),ROUND(SUMIF($A$2:A89,"&lt;&gt;",$H$2:H89),2),IF(OR(A90="",G90="",C90="",NOT(ISNUMBER($Z$4))),"",ROUND(G90*C90*$Z$4,2)))</f>
        <v/>
      </c>
      <c r="I90" s="230" t="n"/>
      <c r="J90" s="225">
        <f>IF(AND(A90="",A89&lt;&gt;"",COUNTIF(A91:$A$200,"&lt;&gt;")=0),ROUND(SUMIF($A$2:A89,"&lt;&gt;",$J$2:J89),2),IF(OR(A90="",I90="",C90="",NOT(ISNUMBER($Z$5))),"",ROUND(I90*C90*$Z$5,2)))</f>
        <v/>
      </c>
      <c r="K90" s="230" t="n"/>
      <c r="L90" s="225">
        <f>IF(AND(A90="",A89&lt;&gt;"",COUNTIF(A91:$A$200,"&lt;&gt;")=0),ROUND(SUMIF($A$2:A89,"&lt;&gt;",$L$2:L89),2),IF(OR(A90="",K90="",C90="",NOT(ISNUMBER($Z$6))),"",ROUND(K90*C90*$Z$6,2)))</f>
        <v/>
      </c>
      <c r="M90" s="231">
        <f>IF(OR(E90="",G90=""),"",ROUND(MAX(E90-G90,0),2))</f>
        <v/>
      </c>
      <c r="N90" s="225">
        <f>IF(AND(A90="",A89&lt;&gt;"",COUNTIF(A91:$A$200,"&lt;&gt;")=0),ROUND(SUMIF($A$2:A89,"&lt;&gt;",$N$2:N89),2),IF(OR(M90="",C90="",NOT(ISNUMBER($Z$3))),"",ROUND(M90*C90*$Z$3,2)))</f>
        <v/>
      </c>
      <c r="O90" s="231">
        <f>IF(OR(G90="",I90=""),"",ROUND(MAX(G90-I90,0),2))</f>
        <v/>
      </c>
      <c r="P90" s="225">
        <f>IF(AND(A90="",A89&lt;&gt;"",COUNTIF(A91:$A$200,"&lt;&gt;")=0),ROUND(SUMIF($A$2:A89,"&lt;&gt;",$P$2:P89),2),IF(OR(O90="",C90="",NOT(ISNUMBER($Z$4))),"",ROUND(O90*C90*$Z$4,2)))</f>
        <v/>
      </c>
      <c r="Q90" s="231">
        <f>IF(OR(I90="",K90=""),"",ROUND(MAX(I90-K90,0),2))</f>
        <v/>
      </c>
      <c r="R90" s="225">
        <f>IF(AND(A90="",A89&lt;&gt;"",COUNTIF(A91:$A$200,"&lt;&gt;")=0),ROUND(SUMIF($A$2:A89,"&lt;&gt;",$R$2:R89),2),IF(OR(Q90="",C90="",NOT(ISNUMBER($Z$5))),"",ROUND(Q90*C90*$Z$5,2)))</f>
        <v/>
      </c>
      <c r="S90" s="27" t="n"/>
      <c r="T90" s="232" t="n"/>
      <c r="U90" s="233">
        <f>IF(AND(A90="",A89&lt;&gt;"",COUNTIF(A91:$A$200,"&lt;&gt;")=0),"TOTAL",IF(A90="","",IF(AND(G90&lt;&gt;"",E90&lt;&gt;"",G90&gt;E90),"ALERTA: REM_C2&gt;REM_C1",IF(AND(I90&lt;&gt;"",G90&lt;&gt;"",I90&gt;G90),"ALERTA: REM_C3&gt;REM_C2",IF(AND(K90&lt;&gt;"",I90&lt;&gt;"",K90&gt;I90),"ALERTA: REM_C4&gt;REM_C3","OK")))))</f>
        <v/>
      </c>
      <c r="V90" s="233">
        <f>IF(A90="","",IF(B90="","",IF(OR(B90&lt;0,E90&gt;B90,G90&gt;B90,I90&gt;B90,K90&gt;B90),"ALERTA: QTD_INVALIDA","OK")))</f>
        <v/>
      </c>
      <c r="W90" s="19" t="n"/>
      <c r="X90" s="19" t="n"/>
      <c r="Y90" s="19" t="n"/>
      <c r="Z90" s="17" t="n"/>
      <c r="AA90" s="17" t="n"/>
      <c r="AB90" s="231">
        <f>IF(OR(A90="",E90=""),"",ROUND(B90-E90,2))</f>
        <v/>
      </c>
      <c r="AC90" s="225">
        <f>IF(AND(A90="",A89&lt;&gt;"",COUNTIF(A91:$A$200,"&lt;&gt;")=0),ROUND(SUMIF($A$2:A89,"&lt;&gt;",$AC$2:AC89),2),IF(OR(A90="",E90=""),"",ROUND(D90-E90*C90,2)))</f>
        <v/>
      </c>
      <c r="AD90" s="17" t="n"/>
    </row>
    <row r="91">
      <c r="A91" s="227" t="n"/>
      <c r="B91" s="228" t="n"/>
      <c r="C91" s="229" t="n"/>
      <c r="D91" s="225">
        <f>IF(AND(A91="",A90&lt;&gt;"",COUNTIF(A92:$A$200,"&lt;&gt;")=0),ROUND(SUMIF($A$2:A90,"&lt;&gt;",$D$2:D90),2),IF(OR(A91="",B91="",C91=""),"",ROUND(B91*C91,2)))</f>
        <v/>
      </c>
      <c r="E91" s="230" t="n"/>
      <c r="F91" s="225">
        <f>IF(AND(A91="",A90&lt;&gt;"",COUNTIF(A92:$A$200,"&lt;&gt;")=0),ROUND(SUMIF($A$2:A90,"&lt;&gt;",$F$2:F90),2),IF(OR(A91="",E91="",C91="",NOT(ISNUMBER($Z$3))),"",ROUND(E91*C91*$Z$3,2)))</f>
        <v/>
      </c>
      <c r="G91" s="230" t="n"/>
      <c r="H91" s="225">
        <f>IF(AND(A91="",A90&lt;&gt;"",COUNTIF(A92:$A$200,"&lt;&gt;")=0),ROUND(SUMIF($A$2:A90,"&lt;&gt;",$H$2:H90),2),IF(OR(A91="",G91="",C91="",NOT(ISNUMBER($Z$4))),"",ROUND(G91*C91*$Z$4,2)))</f>
        <v/>
      </c>
      <c r="I91" s="230" t="n"/>
      <c r="J91" s="225">
        <f>IF(AND(A91="",A90&lt;&gt;"",COUNTIF(A92:$A$200,"&lt;&gt;")=0),ROUND(SUMIF($A$2:A90,"&lt;&gt;",$J$2:J90),2),IF(OR(A91="",I91="",C91="",NOT(ISNUMBER($Z$5))),"",ROUND(I91*C91*$Z$5,2)))</f>
        <v/>
      </c>
      <c r="K91" s="230" t="n"/>
      <c r="L91" s="225">
        <f>IF(AND(A91="",A90&lt;&gt;"",COUNTIF(A92:$A$200,"&lt;&gt;")=0),ROUND(SUMIF($A$2:A90,"&lt;&gt;",$L$2:L90),2),IF(OR(A91="",K91="",C91="",NOT(ISNUMBER($Z$6))),"",ROUND(K91*C91*$Z$6,2)))</f>
        <v/>
      </c>
      <c r="M91" s="231">
        <f>IF(OR(E91="",G91=""),"",ROUND(MAX(E91-G91,0),2))</f>
        <v/>
      </c>
      <c r="N91" s="225">
        <f>IF(AND(A91="",A90&lt;&gt;"",COUNTIF(A92:$A$200,"&lt;&gt;")=0),ROUND(SUMIF($A$2:A90,"&lt;&gt;",$N$2:N90),2),IF(OR(M91="",C91="",NOT(ISNUMBER($Z$3))),"",ROUND(M91*C91*$Z$3,2)))</f>
        <v/>
      </c>
      <c r="O91" s="231">
        <f>IF(OR(G91="",I91=""),"",ROUND(MAX(G91-I91,0),2))</f>
        <v/>
      </c>
      <c r="P91" s="225">
        <f>IF(AND(A91="",A90&lt;&gt;"",COUNTIF(A92:$A$200,"&lt;&gt;")=0),ROUND(SUMIF($A$2:A90,"&lt;&gt;",$P$2:P90),2),IF(OR(O91="",C91="",NOT(ISNUMBER($Z$4))),"",ROUND(O91*C91*$Z$4,2)))</f>
        <v/>
      </c>
      <c r="Q91" s="231">
        <f>IF(OR(I91="",K91=""),"",ROUND(MAX(I91-K91,0),2))</f>
        <v/>
      </c>
      <c r="R91" s="225">
        <f>IF(AND(A91="",A90&lt;&gt;"",COUNTIF(A92:$A$200,"&lt;&gt;")=0),ROUND(SUMIF($A$2:A90,"&lt;&gt;",$R$2:R90),2),IF(OR(Q91="",C91="",NOT(ISNUMBER($Z$5))),"",ROUND(Q91*C91*$Z$5,2)))</f>
        <v/>
      </c>
      <c r="S91" s="27" t="n"/>
      <c r="T91" s="232" t="n"/>
      <c r="U91" s="233">
        <f>IF(AND(A91="",A90&lt;&gt;"",COUNTIF(A92:$A$200,"&lt;&gt;")=0),"TOTAL",IF(A91="","",IF(AND(G91&lt;&gt;"",E91&lt;&gt;"",G91&gt;E91),"ALERTA: REM_C2&gt;REM_C1",IF(AND(I91&lt;&gt;"",G91&lt;&gt;"",I91&gt;G91),"ALERTA: REM_C3&gt;REM_C2",IF(AND(K91&lt;&gt;"",I91&lt;&gt;"",K91&gt;I91),"ALERTA: REM_C4&gt;REM_C3","OK")))))</f>
        <v/>
      </c>
      <c r="V91" s="233">
        <f>IF(A91="","",IF(B91="","",IF(OR(B91&lt;0,E91&gt;B91,G91&gt;B91,I91&gt;B91,K91&gt;B91),"ALERTA: QTD_INVALIDA","OK")))</f>
        <v/>
      </c>
      <c r="W91" s="19" t="n"/>
      <c r="X91" s="19" t="n"/>
      <c r="Y91" s="19" t="n"/>
      <c r="Z91" s="17" t="n"/>
      <c r="AA91" s="17" t="n"/>
      <c r="AB91" s="231">
        <f>IF(OR(A91="",E91=""),"",ROUND(B91-E91,2))</f>
        <v/>
      </c>
      <c r="AC91" s="225">
        <f>IF(AND(A91="",A90&lt;&gt;"",COUNTIF(A92:$A$200,"&lt;&gt;")=0),ROUND(SUMIF($A$2:A90,"&lt;&gt;",$AC$2:AC90),2),IF(OR(A91="",E91=""),"",ROUND(D91-E91*C91,2)))</f>
        <v/>
      </c>
      <c r="AD91" s="17" t="n"/>
    </row>
    <row r="92">
      <c r="A92" s="227" t="n"/>
      <c r="B92" s="228" t="n"/>
      <c r="C92" s="229" t="n"/>
      <c r="D92" s="225">
        <f>IF(AND(A92="",A91&lt;&gt;"",COUNTIF(A93:$A$200,"&lt;&gt;")=0),ROUND(SUMIF($A$2:A91,"&lt;&gt;",$D$2:D91),2),IF(OR(A92="",B92="",C92=""),"",ROUND(B92*C92,2)))</f>
        <v/>
      </c>
      <c r="E92" s="230" t="n"/>
      <c r="F92" s="225">
        <f>IF(AND(A92="",A91&lt;&gt;"",COUNTIF(A93:$A$200,"&lt;&gt;")=0),ROUND(SUMIF($A$2:A91,"&lt;&gt;",$F$2:F91),2),IF(OR(A92="",E92="",C92="",NOT(ISNUMBER($Z$3))),"",ROUND(E92*C92*$Z$3,2)))</f>
        <v/>
      </c>
      <c r="G92" s="230" t="n"/>
      <c r="H92" s="225">
        <f>IF(AND(A92="",A91&lt;&gt;"",COUNTIF(A93:$A$200,"&lt;&gt;")=0),ROUND(SUMIF($A$2:A91,"&lt;&gt;",$H$2:H91),2),IF(OR(A92="",G92="",C92="",NOT(ISNUMBER($Z$4))),"",ROUND(G92*C92*$Z$4,2)))</f>
        <v/>
      </c>
      <c r="I92" s="230" t="n"/>
      <c r="J92" s="225">
        <f>IF(AND(A92="",A91&lt;&gt;"",COUNTIF(A93:$A$200,"&lt;&gt;")=0),ROUND(SUMIF($A$2:A91,"&lt;&gt;",$J$2:J91),2),IF(OR(A92="",I92="",C92="",NOT(ISNUMBER($Z$5))),"",ROUND(I92*C92*$Z$5,2)))</f>
        <v/>
      </c>
      <c r="K92" s="230" t="n"/>
      <c r="L92" s="225">
        <f>IF(AND(A92="",A91&lt;&gt;"",COUNTIF(A93:$A$200,"&lt;&gt;")=0),ROUND(SUMIF($A$2:A91,"&lt;&gt;",$L$2:L91),2),IF(OR(A92="",K92="",C92="",NOT(ISNUMBER($Z$6))),"",ROUND(K92*C92*$Z$6,2)))</f>
        <v/>
      </c>
      <c r="M92" s="231">
        <f>IF(OR(E92="",G92=""),"",ROUND(MAX(E92-G92,0),2))</f>
        <v/>
      </c>
      <c r="N92" s="225">
        <f>IF(AND(A92="",A91&lt;&gt;"",COUNTIF(A93:$A$200,"&lt;&gt;")=0),ROUND(SUMIF($A$2:A91,"&lt;&gt;",$N$2:N91),2),IF(OR(M92="",C92="",NOT(ISNUMBER($Z$3))),"",ROUND(M92*C92*$Z$3,2)))</f>
        <v/>
      </c>
      <c r="O92" s="231">
        <f>IF(OR(G92="",I92=""),"",ROUND(MAX(G92-I92,0),2))</f>
        <v/>
      </c>
      <c r="P92" s="225">
        <f>IF(AND(A92="",A91&lt;&gt;"",COUNTIF(A93:$A$200,"&lt;&gt;")=0),ROUND(SUMIF($A$2:A91,"&lt;&gt;",$P$2:P91),2),IF(OR(O92="",C92="",NOT(ISNUMBER($Z$4))),"",ROUND(O92*C92*$Z$4,2)))</f>
        <v/>
      </c>
      <c r="Q92" s="231">
        <f>IF(OR(I92="",K92=""),"",ROUND(MAX(I92-K92,0),2))</f>
        <v/>
      </c>
      <c r="R92" s="225">
        <f>IF(AND(A92="",A91&lt;&gt;"",COUNTIF(A93:$A$200,"&lt;&gt;")=0),ROUND(SUMIF($A$2:A91,"&lt;&gt;",$R$2:R91),2),IF(OR(Q92="",C92="",NOT(ISNUMBER($Z$5))),"",ROUND(Q92*C92*$Z$5,2)))</f>
        <v/>
      </c>
      <c r="S92" s="27" t="n"/>
      <c r="T92" s="232" t="n"/>
      <c r="U92" s="233">
        <f>IF(AND(A92="",A91&lt;&gt;"",COUNTIF(A93:$A$200,"&lt;&gt;")=0),"TOTAL",IF(A92="","",IF(AND(G92&lt;&gt;"",E92&lt;&gt;"",G92&gt;E92),"ALERTA: REM_C2&gt;REM_C1",IF(AND(I92&lt;&gt;"",G92&lt;&gt;"",I92&gt;G92),"ALERTA: REM_C3&gt;REM_C2",IF(AND(K92&lt;&gt;"",I92&lt;&gt;"",K92&gt;I92),"ALERTA: REM_C4&gt;REM_C3","OK")))))</f>
        <v/>
      </c>
      <c r="V92" s="233">
        <f>IF(A92="","",IF(B92="","",IF(OR(B92&lt;0,E92&gt;B92,G92&gt;B92,I92&gt;B92,K92&gt;B92),"ALERTA: QTD_INVALIDA","OK")))</f>
        <v/>
      </c>
      <c r="W92" s="19" t="n"/>
      <c r="X92" s="19" t="n"/>
      <c r="Y92" s="19" t="n"/>
      <c r="Z92" s="17" t="n"/>
      <c r="AA92" s="17" t="n"/>
      <c r="AB92" s="231">
        <f>IF(OR(A92="",E92=""),"",ROUND(B92-E92,2))</f>
        <v/>
      </c>
      <c r="AC92" s="225">
        <f>IF(AND(A92="",A91&lt;&gt;"",COUNTIF(A93:$A$200,"&lt;&gt;")=0),ROUND(SUMIF($A$2:A91,"&lt;&gt;",$AC$2:AC91),2),IF(OR(A92="",E92=""),"",ROUND(D92-E92*C92,2)))</f>
        <v/>
      </c>
      <c r="AD92" s="17" t="n"/>
    </row>
    <row r="93">
      <c r="A93" s="227" t="n"/>
      <c r="B93" s="228" t="n"/>
      <c r="C93" s="229" t="n"/>
      <c r="D93" s="225">
        <f>IF(AND(A93="",A92&lt;&gt;"",COUNTIF(A94:$A$200,"&lt;&gt;")=0),ROUND(SUMIF($A$2:A92,"&lt;&gt;",$D$2:D92),2),IF(OR(A93="",B93="",C93=""),"",ROUND(B93*C93,2)))</f>
        <v/>
      </c>
      <c r="E93" s="230" t="n"/>
      <c r="F93" s="225">
        <f>IF(AND(A93="",A92&lt;&gt;"",COUNTIF(A94:$A$200,"&lt;&gt;")=0),ROUND(SUMIF($A$2:A92,"&lt;&gt;",$F$2:F92),2),IF(OR(A93="",E93="",C93="",NOT(ISNUMBER($Z$3))),"",ROUND(E93*C93*$Z$3,2)))</f>
        <v/>
      </c>
      <c r="G93" s="230" t="n"/>
      <c r="H93" s="225">
        <f>IF(AND(A93="",A92&lt;&gt;"",COUNTIF(A94:$A$200,"&lt;&gt;")=0),ROUND(SUMIF($A$2:A92,"&lt;&gt;",$H$2:H92),2),IF(OR(A93="",G93="",C93="",NOT(ISNUMBER($Z$4))),"",ROUND(G93*C93*$Z$4,2)))</f>
        <v/>
      </c>
      <c r="I93" s="230" t="n"/>
      <c r="J93" s="225">
        <f>IF(AND(A93="",A92&lt;&gt;"",COUNTIF(A94:$A$200,"&lt;&gt;")=0),ROUND(SUMIF($A$2:A92,"&lt;&gt;",$J$2:J92),2),IF(OR(A93="",I93="",C93="",NOT(ISNUMBER($Z$5))),"",ROUND(I93*C93*$Z$5,2)))</f>
        <v/>
      </c>
      <c r="K93" s="230" t="n"/>
      <c r="L93" s="225">
        <f>IF(AND(A93="",A92&lt;&gt;"",COUNTIF(A94:$A$200,"&lt;&gt;")=0),ROUND(SUMIF($A$2:A92,"&lt;&gt;",$L$2:L92),2),IF(OR(A93="",K93="",C93="",NOT(ISNUMBER($Z$6))),"",ROUND(K93*C93*$Z$6,2)))</f>
        <v/>
      </c>
      <c r="M93" s="231">
        <f>IF(OR(E93="",G93=""),"",ROUND(MAX(E93-G93,0),2))</f>
        <v/>
      </c>
      <c r="N93" s="225">
        <f>IF(AND(A93="",A92&lt;&gt;"",COUNTIF(A94:$A$200,"&lt;&gt;")=0),ROUND(SUMIF($A$2:A92,"&lt;&gt;",$N$2:N92),2),IF(OR(M93="",C93="",NOT(ISNUMBER($Z$3))),"",ROUND(M93*C93*$Z$3,2)))</f>
        <v/>
      </c>
      <c r="O93" s="231">
        <f>IF(OR(G93="",I93=""),"",ROUND(MAX(G93-I93,0),2))</f>
        <v/>
      </c>
      <c r="P93" s="225">
        <f>IF(AND(A93="",A92&lt;&gt;"",COUNTIF(A94:$A$200,"&lt;&gt;")=0),ROUND(SUMIF($A$2:A92,"&lt;&gt;",$P$2:P92),2),IF(OR(O93="",C93="",NOT(ISNUMBER($Z$4))),"",ROUND(O93*C93*$Z$4,2)))</f>
        <v/>
      </c>
      <c r="Q93" s="231">
        <f>IF(OR(I93="",K93=""),"",ROUND(MAX(I93-K93,0),2))</f>
        <v/>
      </c>
      <c r="R93" s="225">
        <f>IF(AND(A93="",A92&lt;&gt;"",COUNTIF(A94:$A$200,"&lt;&gt;")=0),ROUND(SUMIF($A$2:A92,"&lt;&gt;",$R$2:R92),2),IF(OR(Q93="",C93="",NOT(ISNUMBER($Z$5))),"",ROUND(Q93*C93*$Z$5,2)))</f>
        <v/>
      </c>
      <c r="S93" s="27" t="n"/>
      <c r="T93" s="232" t="n"/>
      <c r="U93" s="233">
        <f>IF(AND(A93="",A92&lt;&gt;"",COUNTIF(A94:$A$200,"&lt;&gt;")=0),"TOTAL",IF(A93="","",IF(AND(G93&lt;&gt;"",E93&lt;&gt;"",G93&gt;E93),"ALERTA: REM_C2&gt;REM_C1",IF(AND(I93&lt;&gt;"",G93&lt;&gt;"",I93&gt;G93),"ALERTA: REM_C3&gt;REM_C2",IF(AND(K93&lt;&gt;"",I93&lt;&gt;"",K93&gt;I93),"ALERTA: REM_C4&gt;REM_C3","OK")))))</f>
        <v/>
      </c>
      <c r="V93" s="233">
        <f>IF(A93="","",IF(B93="","",IF(OR(B93&lt;0,E93&gt;B93,G93&gt;B93,I93&gt;B93,K93&gt;B93),"ALERTA: QTD_INVALIDA","OK")))</f>
        <v/>
      </c>
      <c r="W93" s="19" t="n"/>
      <c r="X93" s="19" t="n"/>
      <c r="Y93" s="19" t="n"/>
      <c r="Z93" s="17" t="n"/>
      <c r="AA93" s="17" t="n"/>
      <c r="AB93" s="231">
        <f>IF(OR(A93="",E93=""),"",ROUND(B93-E93,2))</f>
        <v/>
      </c>
      <c r="AC93" s="225">
        <f>IF(AND(A93="",A92&lt;&gt;"",COUNTIF(A94:$A$200,"&lt;&gt;")=0),ROUND(SUMIF($A$2:A92,"&lt;&gt;",$AC$2:AC92),2),IF(OR(A93="",E93=""),"",ROUND(D93-E93*C93,2)))</f>
        <v/>
      </c>
      <c r="AD93" s="17" t="n"/>
    </row>
    <row r="94">
      <c r="A94" s="227" t="n"/>
      <c r="B94" s="228" t="n"/>
      <c r="C94" s="229" t="n"/>
      <c r="D94" s="225">
        <f>IF(AND(A94="",A93&lt;&gt;"",COUNTIF(A95:$A$200,"&lt;&gt;")=0),ROUND(SUMIF($A$2:A93,"&lt;&gt;",$D$2:D93),2),IF(OR(A94="",B94="",C94=""),"",ROUND(B94*C94,2)))</f>
        <v/>
      </c>
      <c r="E94" s="230" t="n"/>
      <c r="F94" s="225">
        <f>IF(AND(A94="",A93&lt;&gt;"",COUNTIF(A95:$A$200,"&lt;&gt;")=0),ROUND(SUMIF($A$2:A93,"&lt;&gt;",$F$2:F93),2),IF(OR(A94="",E94="",C94="",NOT(ISNUMBER($Z$3))),"",ROUND(E94*C94*$Z$3,2)))</f>
        <v/>
      </c>
      <c r="G94" s="230" t="n"/>
      <c r="H94" s="225">
        <f>IF(AND(A94="",A93&lt;&gt;"",COUNTIF(A95:$A$200,"&lt;&gt;")=0),ROUND(SUMIF($A$2:A93,"&lt;&gt;",$H$2:H93),2),IF(OR(A94="",G94="",C94="",NOT(ISNUMBER($Z$4))),"",ROUND(G94*C94*$Z$4,2)))</f>
        <v/>
      </c>
      <c r="I94" s="230" t="n"/>
      <c r="J94" s="225">
        <f>IF(AND(A94="",A93&lt;&gt;"",COUNTIF(A95:$A$200,"&lt;&gt;")=0),ROUND(SUMIF($A$2:A93,"&lt;&gt;",$J$2:J93),2),IF(OR(A94="",I94="",C94="",NOT(ISNUMBER($Z$5))),"",ROUND(I94*C94*$Z$5,2)))</f>
        <v/>
      </c>
      <c r="K94" s="230" t="n"/>
      <c r="L94" s="225">
        <f>IF(AND(A94="",A93&lt;&gt;"",COUNTIF(A95:$A$200,"&lt;&gt;")=0),ROUND(SUMIF($A$2:A93,"&lt;&gt;",$L$2:L93),2),IF(OR(A94="",K94="",C94="",NOT(ISNUMBER($Z$6))),"",ROUND(K94*C94*$Z$6,2)))</f>
        <v/>
      </c>
      <c r="M94" s="231">
        <f>IF(OR(E94="",G94=""),"",ROUND(MAX(E94-G94,0),2))</f>
        <v/>
      </c>
      <c r="N94" s="225">
        <f>IF(AND(A94="",A93&lt;&gt;"",COUNTIF(A95:$A$200,"&lt;&gt;")=0),ROUND(SUMIF($A$2:A93,"&lt;&gt;",$N$2:N93),2),IF(OR(M94="",C94="",NOT(ISNUMBER($Z$3))),"",ROUND(M94*C94*$Z$3,2)))</f>
        <v/>
      </c>
      <c r="O94" s="231">
        <f>IF(OR(G94="",I94=""),"",ROUND(MAX(G94-I94,0),2))</f>
        <v/>
      </c>
      <c r="P94" s="225">
        <f>IF(AND(A94="",A93&lt;&gt;"",COUNTIF(A95:$A$200,"&lt;&gt;")=0),ROUND(SUMIF($A$2:A93,"&lt;&gt;",$P$2:P93),2),IF(OR(O94="",C94="",NOT(ISNUMBER($Z$4))),"",ROUND(O94*C94*$Z$4,2)))</f>
        <v/>
      </c>
      <c r="Q94" s="231">
        <f>IF(OR(I94="",K94=""),"",ROUND(MAX(I94-K94,0),2))</f>
        <v/>
      </c>
      <c r="R94" s="225">
        <f>IF(AND(A94="",A93&lt;&gt;"",COUNTIF(A95:$A$200,"&lt;&gt;")=0),ROUND(SUMIF($A$2:A93,"&lt;&gt;",$R$2:R93),2),IF(OR(Q94="",C94="",NOT(ISNUMBER($Z$5))),"",ROUND(Q94*C94*$Z$5,2)))</f>
        <v/>
      </c>
      <c r="S94" s="27" t="n"/>
      <c r="T94" s="232" t="n"/>
      <c r="U94" s="233">
        <f>IF(AND(A94="",A93&lt;&gt;"",COUNTIF(A95:$A$200,"&lt;&gt;")=0),"TOTAL",IF(A94="","",IF(AND(G94&lt;&gt;"",E94&lt;&gt;"",G94&gt;E94),"ALERTA: REM_C2&gt;REM_C1",IF(AND(I94&lt;&gt;"",G94&lt;&gt;"",I94&gt;G94),"ALERTA: REM_C3&gt;REM_C2",IF(AND(K94&lt;&gt;"",I94&lt;&gt;"",K94&gt;I94),"ALERTA: REM_C4&gt;REM_C3","OK")))))</f>
        <v/>
      </c>
      <c r="V94" s="233">
        <f>IF(A94="","",IF(B94="","",IF(OR(B94&lt;0,E94&gt;B94,G94&gt;B94,I94&gt;B94,K94&gt;B94),"ALERTA: QTD_INVALIDA","OK")))</f>
        <v/>
      </c>
      <c r="W94" s="19" t="n"/>
      <c r="X94" s="19" t="n"/>
      <c r="Y94" s="19" t="n"/>
      <c r="Z94" s="17" t="n"/>
      <c r="AA94" s="17" t="n"/>
      <c r="AB94" s="231">
        <f>IF(OR(A94="",E94=""),"",ROUND(B94-E94,2))</f>
        <v/>
      </c>
      <c r="AC94" s="225">
        <f>IF(AND(A94="",A93&lt;&gt;"",COUNTIF(A95:$A$200,"&lt;&gt;")=0),ROUND(SUMIF($A$2:A93,"&lt;&gt;",$AC$2:AC93),2),IF(OR(A94="",E94=""),"",ROUND(D94-E94*C94,2)))</f>
        <v/>
      </c>
      <c r="AD94" s="17" t="n"/>
    </row>
    <row r="95">
      <c r="A95" s="227" t="n"/>
      <c r="B95" s="228" t="n"/>
      <c r="C95" s="229" t="n"/>
      <c r="D95" s="225">
        <f>IF(AND(A95="",A94&lt;&gt;"",COUNTIF(A96:$A$200,"&lt;&gt;")=0),ROUND(SUMIF($A$2:A94,"&lt;&gt;",$D$2:D94),2),IF(OR(A95="",B95="",C95=""),"",ROUND(B95*C95,2)))</f>
        <v/>
      </c>
      <c r="E95" s="230" t="n"/>
      <c r="F95" s="225">
        <f>IF(AND(A95="",A94&lt;&gt;"",COUNTIF(A96:$A$200,"&lt;&gt;")=0),ROUND(SUMIF($A$2:A94,"&lt;&gt;",$F$2:F94),2),IF(OR(A95="",E95="",C95="",NOT(ISNUMBER($Z$3))),"",ROUND(E95*C95*$Z$3,2)))</f>
        <v/>
      </c>
      <c r="G95" s="230" t="n"/>
      <c r="H95" s="225">
        <f>IF(AND(A95="",A94&lt;&gt;"",COUNTIF(A96:$A$200,"&lt;&gt;")=0),ROUND(SUMIF($A$2:A94,"&lt;&gt;",$H$2:H94),2),IF(OR(A95="",G95="",C95="",NOT(ISNUMBER($Z$4))),"",ROUND(G95*C95*$Z$4,2)))</f>
        <v/>
      </c>
      <c r="I95" s="230" t="n"/>
      <c r="J95" s="225">
        <f>IF(AND(A95="",A94&lt;&gt;"",COUNTIF(A96:$A$200,"&lt;&gt;")=0),ROUND(SUMIF($A$2:A94,"&lt;&gt;",$J$2:J94),2),IF(OR(A95="",I95="",C95="",NOT(ISNUMBER($Z$5))),"",ROUND(I95*C95*$Z$5,2)))</f>
        <v/>
      </c>
      <c r="K95" s="230" t="n"/>
      <c r="L95" s="225">
        <f>IF(AND(A95="",A94&lt;&gt;"",COUNTIF(A96:$A$200,"&lt;&gt;")=0),ROUND(SUMIF($A$2:A94,"&lt;&gt;",$L$2:L94),2),IF(OR(A95="",K95="",C95="",NOT(ISNUMBER($Z$6))),"",ROUND(K95*C95*$Z$6,2)))</f>
        <v/>
      </c>
      <c r="M95" s="231">
        <f>IF(OR(E95="",G95=""),"",ROUND(MAX(E95-G95,0),2))</f>
        <v/>
      </c>
      <c r="N95" s="225">
        <f>IF(AND(A95="",A94&lt;&gt;"",COUNTIF(A96:$A$200,"&lt;&gt;")=0),ROUND(SUMIF($A$2:A94,"&lt;&gt;",$N$2:N94),2),IF(OR(M95="",C95="",NOT(ISNUMBER($Z$3))),"",ROUND(M95*C95*$Z$3,2)))</f>
        <v/>
      </c>
      <c r="O95" s="231">
        <f>IF(OR(G95="",I95=""),"",ROUND(MAX(G95-I95,0),2))</f>
        <v/>
      </c>
      <c r="P95" s="225">
        <f>IF(AND(A95="",A94&lt;&gt;"",COUNTIF(A96:$A$200,"&lt;&gt;")=0),ROUND(SUMIF($A$2:A94,"&lt;&gt;",$P$2:P94),2),IF(OR(O95="",C95="",NOT(ISNUMBER($Z$4))),"",ROUND(O95*C95*$Z$4,2)))</f>
        <v/>
      </c>
      <c r="Q95" s="231">
        <f>IF(OR(I95="",K95=""),"",ROUND(MAX(I95-K95,0),2))</f>
        <v/>
      </c>
      <c r="R95" s="225">
        <f>IF(AND(A95="",A94&lt;&gt;"",COUNTIF(A96:$A$200,"&lt;&gt;")=0),ROUND(SUMIF($A$2:A94,"&lt;&gt;",$R$2:R94),2),IF(OR(Q95="",C95="",NOT(ISNUMBER($Z$5))),"",ROUND(Q95*C95*$Z$5,2)))</f>
        <v/>
      </c>
      <c r="S95" s="27" t="n"/>
      <c r="T95" s="232" t="n"/>
      <c r="U95" s="233">
        <f>IF(AND(A95="",A94&lt;&gt;"",COUNTIF(A96:$A$200,"&lt;&gt;")=0),"TOTAL",IF(A95="","",IF(AND(G95&lt;&gt;"",E95&lt;&gt;"",G95&gt;E95),"ALERTA: REM_C2&gt;REM_C1",IF(AND(I95&lt;&gt;"",G95&lt;&gt;"",I95&gt;G95),"ALERTA: REM_C3&gt;REM_C2",IF(AND(K95&lt;&gt;"",I95&lt;&gt;"",K95&gt;I95),"ALERTA: REM_C4&gt;REM_C3","OK")))))</f>
        <v/>
      </c>
      <c r="V95" s="233">
        <f>IF(A95="","",IF(B95="","",IF(OR(B95&lt;0,E95&gt;B95,G95&gt;B95,I95&gt;B95,K95&gt;B95),"ALERTA: QTD_INVALIDA","OK")))</f>
        <v/>
      </c>
      <c r="W95" s="19" t="n"/>
      <c r="X95" s="19" t="n"/>
      <c r="Y95" s="19" t="n"/>
      <c r="Z95" s="17" t="n"/>
      <c r="AA95" s="17" t="n"/>
      <c r="AB95" s="231">
        <f>IF(OR(A95="",E95=""),"",ROUND(B95-E95,2))</f>
        <v/>
      </c>
      <c r="AC95" s="225">
        <f>IF(AND(A95="",A94&lt;&gt;"",COUNTIF(A96:$A$200,"&lt;&gt;")=0),ROUND(SUMIF($A$2:A94,"&lt;&gt;",$AC$2:AC94),2),IF(OR(A95="",E95=""),"",ROUND(D95-E95*C95,2)))</f>
        <v/>
      </c>
      <c r="AD95" s="17" t="n"/>
    </row>
    <row r="96">
      <c r="A96" s="227" t="n"/>
      <c r="B96" s="228" t="n"/>
      <c r="C96" s="229" t="n"/>
      <c r="D96" s="225">
        <f>IF(AND(A96="",A95&lt;&gt;"",COUNTIF(A97:$A$200,"&lt;&gt;")=0),ROUND(SUMIF($A$2:A95,"&lt;&gt;",$D$2:D95),2),IF(OR(A96="",B96="",C96=""),"",ROUND(B96*C96,2)))</f>
        <v/>
      </c>
      <c r="E96" s="230" t="n"/>
      <c r="F96" s="225">
        <f>IF(AND(A96="",A95&lt;&gt;"",COUNTIF(A97:$A$200,"&lt;&gt;")=0),ROUND(SUMIF($A$2:A95,"&lt;&gt;",$F$2:F95),2),IF(OR(A96="",E96="",C96="",NOT(ISNUMBER($Z$3))),"",ROUND(E96*C96*$Z$3,2)))</f>
        <v/>
      </c>
      <c r="G96" s="230" t="n"/>
      <c r="H96" s="225">
        <f>IF(AND(A96="",A95&lt;&gt;"",COUNTIF(A97:$A$200,"&lt;&gt;")=0),ROUND(SUMIF($A$2:A95,"&lt;&gt;",$H$2:H95),2),IF(OR(A96="",G96="",C96="",NOT(ISNUMBER($Z$4))),"",ROUND(G96*C96*$Z$4,2)))</f>
        <v/>
      </c>
      <c r="I96" s="230" t="n"/>
      <c r="J96" s="225">
        <f>IF(AND(A96="",A95&lt;&gt;"",COUNTIF(A97:$A$200,"&lt;&gt;")=0),ROUND(SUMIF($A$2:A95,"&lt;&gt;",$J$2:J95),2),IF(OR(A96="",I96="",C96="",NOT(ISNUMBER($Z$5))),"",ROUND(I96*C96*$Z$5,2)))</f>
        <v/>
      </c>
      <c r="K96" s="230" t="n"/>
      <c r="L96" s="225">
        <f>IF(AND(A96="",A95&lt;&gt;"",COUNTIF(A97:$A$200,"&lt;&gt;")=0),ROUND(SUMIF($A$2:A95,"&lt;&gt;",$L$2:L95),2),IF(OR(A96="",K96="",C96="",NOT(ISNUMBER($Z$6))),"",ROUND(K96*C96*$Z$6,2)))</f>
        <v/>
      </c>
      <c r="M96" s="231">
        <f>IF(OR(E96="",G96=""),"",ROUND(MAX(E96-G96,0),2))</f>
        <v/>
      </c>
      <c r="N96" s="225">
        <f>IF(AND(A96="",A95&lt;&gt;"",COUNTIF(A97:$A$200,"&lt;&gt;")=0),ROUND(SUMIF($A$2:A95,"&lt;&gt;",$N$2:N95),2),IF(OR(M96="",C96="",NOT(ISNUMBER($Z$3))),"",ROUND(M96*C96*$Z$3,2)))</f>
        <v/>
      </c>
      <c r="O96" s="231">
        <f>IF(OR(G96="",I96=""),"",ROUND(MAX(G96-I96,0),2))</f>
        <v/>
      </c>
      <c r="P96" s="225">
        <f>IF(AND(A96="",A95&lt;&gt;"",COUNTIF(A97:$A$200,"&lt;&gt;")=0),ROUND(SUMIF($A$2:A95,"&lt;&gt;",$P$2:P95),2),IF(OR(O96="",C96="",NOT(ISNUMBER($Z$4))),"",ROUND(O96*C96*$Z$4,2)))</f>
        <v/>
      </c>
      <c r="Q96" s="231">
        <f>IF(OR(I96="",K96=""),"",ROUND(MAX(I96-K96,0),2))</f>
        <v/>
      </c>
      <c r="R96" s="225">
        <f>IF(AND(A96="",A95&lt;&gt;"",COUNTIF(A97:$A$200,"&lt;&gt;")=0),ROUND(SUMIF($A$2:A95,"&lt;&gt;",$R$2:R95),2),IF(OR(Q96="",C96="",NOT(ISNUMBER($Z$5))),"",ROUND(Q96*C96*$Z$5,2)))</f>
        <v/>
      </c>
      <c r="S96" s="27" t="n"/>
      <c r="T96" s="232" t="n"/>
      <c r="U96" s="233">
        <f>IF(AND(A96="",A95&lt;&gt;"",COUNTIF(A97:$A$200,"&lt;&gt;")=0),"TOTAL",IF(A96="","",IF(AND(G96&lt;&gt;"",E96&lt;&gt;"",G96&gt;E96),"ALERTA: REM_C2&gt;REM_C1",IF(AND(I96&lt;&gt;"",G96&lt;&gt;"",I96&gt;G96),"ALERTA: REM_C3&gt;REM_C2",IF(AND(K96&lt;&gt;"",I96&lt;&gt;"",K96&gt;I96),"ALERTA: REM_C4&gt;REM_C3","OK")))))</f>
        <v/>
      </c>
      <c r="V96" s="233">
        <f>IF(A96="","",IF(B96="","",IF(OR(B96&lt;0,E96&gt;B96,G96&gt;B96,I96&gt;B96,K96&gt;B96),"ALERTA: QTD_INVALIDA","OK")))</f>
        <v/>
      </c>
      <c r="W96" s="19" t="n"/>
      <c r="X96" s="19" t="n"/>
      <c r="Y96" s="19" t="n"/>
      <c r="Z96" s="17" t="n"/>
      <c r="AA96" s="17" t="n"/>
      <c r="AB96" s="231">
        <f>IF(OR(A96="",E96=""),"",ROUND(B96-E96,2))</f>
        <v/>
      </c>
      <c r="AC96" s="225">
        <f>IF(AND(A96="",A95&lt;&gt;"",COUNTIF(A97:$A$200,"&lt;&gt;")=0),ROUND(SUMIF($A$2:A95,"&lt;&gt;",$AC$2:AC95),2),IF(OR(A96="",E96=""),"",ROUND(D96-E96*C96,2)))</f>
        <v/>
      </c>
      <c r="AD96" s="17" t="n"/>
    </row>
    <row r="97">
      <c r="A97" s="227" t="n"/>
      <c r="B97" s="228" t="n"/>
      <c r="C97" s="229" t="n"/>
      <c r="D97" s="225">
        <f>IF(AND(A97="",A96&lt;&gt;"",COUNTIF(A98:$A$200,"&lt;&gt;")=0),ROUND(SUMIF($A$2:A96,"&lt;&gt;",$D$2:D96),2),IF(OR(A97="",B97="",C97=""),"",ROUND(B97*C97,2)))</f>
        <v/>
      </c>
      <c r="E97" s="230" t="n"/>
      <c r="F97" s="225">
        <f>IF(AND(A97="",A96&lt;&gt;"",COUNTIF(A98:$A$200,"&lt;&gt;")=0),ROUND(SUMIF($A$2:A96,"&lt;&gt;",$F$2:F96),2),IF(OR(A97="",E97="",C97="",NOT(ISNUMBER($Z$3))),"",ROUND(E97*C97*$Z$3,2)))</f>
        <v/>
      </c>
      <c r="G97" s="230" t="n"/>
      <c r="H97" s="225">
        <f>IF(AND(A97="",A96&lt;&gt;"",COUNTIF(A98:$A$200,"&lt;&gt;")=0),ROUND(SUMIF($A$2:A96,"&lt;&gt;",$H$2:H96),2),IF(OR(A97="",G97="",C97="",NOT(ISNUMBER($Z$4))),"",ROUND(G97*C97*$Z$4,2)))</f>
        <v/>
      </c>
      <c r="I97" s="230" t="n"/>
      <c r="J97" s="225">
        <f>IF(AND(A97="",A96&lt;&gt;"",COUNTIF(A98:$A$200,"&lt;&gt;")=0),ROUND(SUMIF($A$2:A96,"&lt;&gt;",$J$2:J96),2),IF(OR(A97="",I97="",C97="",NOT(ISNUMBER($Z$5))),"",ROUND(I97*C97*$Z$5,2)))</f>
        <v/>
      </c>
      <c r="K97" s="230" t="n"/>
      <c r="L97" s="225">
        <f>IF(AND(A97="",A96&lt;&gt;"",COUNTIF(A98:$A$200,"&lt;&gt;")=0),ROUND(SUMIF($A$2:A96,"&lt;&gt;",$L$2:L96),2),IF(OR(A97="",K97="",C97="",NOT(ISNUMBER($Z$6))),"",ROUND(K97*C97*$Z$6,2)))</f>
        <v/>
      </c>
      <c r="M97" s="231">
        <f>IF(OR(E97="",G97=""),"",ROUND(MAX(E97-G97,0),2))</f>
        <v/>
      </c>
      <c r="N97" s="225">
        <f>IF(AND(A97="",A96&lt;&gt;"",COUNTIF(A98:$A$200,"&lt;&gt;")=0),ROUND(SUMIF($A$2:A96,"&lt;&gt;",$N$2:N96),2),IF(OR(M97="",C97="",NOT(ISNUMBER($Z$3))),"",ROUND(M97*C97*$Z$3,2)))</f>
        <v/>
      </c>
      <c r="O97" s="231">
        <f>IF(OR(G97="",I97=""),"",ROUND(MAX(G97-I97,0),2))</f>
        <v/>
      </c>
      <c r="P97" s="225">
        <f>IF(AND(A97="",A96&lt;&gt;"",COUNTIF(A98:$A$200,"&lt;&gt;")=0),ROUND(SUMIF($A$2:A96,"&lt;&gt;",$P$2:P96),2),IF(OR(O97="",C97="",NOT(ISNUMBER($Z$4))),"",ROUND(O97*C97*$Z$4,2)))</f>
        <v/>
      </c>
      <c r="Q97" s="231">
        <f>IF(OR(I97="",K97=""),"",ROUND(MAX(I97-K97,0),2))</f>
        <v/>
      </c>
      <c r="R97" s="225">
        <f>IF(AND(A97="",A96&lt;&gt;"",COUNTIF(A98:$A$200,"&lt;&gt;")=0),ROUND(SUMIF($A$2:A96,"&lt;&gt;",$R$2:R96),2),IF(OR(Q97="",C97="",NOT(ISNUMBER($Z$5))),"",ROUND(Q97*C97*$Z$5,2)))</f>
        <v/>
      </c>
      <c r="S97" s="27" t="n"/>
      <c r="T97" s="232" t="n"/>
      <c r="U97" s="233">
        <f>IF(AND(A97="",A96&lt;&gt;"",COUNTIF(A98:$A$200,"&lt;&gt;")=0),"TOTAL",IF(A97="","",IF(AND(G97&lt;&gt;"",E97&lt;&gt;"",G97&gt;E97),"ALERTA: REM_C2&gt;REM_C1",IF(AND(I97&lt;&gt;"",G97&lt;&gt;"",I97&gt;G97),"ALERTA: REM_C3&gt;REM_C2",IF(AND(K97&lt;&gt;"",I97&lt;&gt;"",K97&gt;I97),"ALERTA: REM_C4&gt;REM_C3","OK")))))</f>
        <v/>
      </c>
      <c r="V97" s="233">
        <f>IF(A97="","",IF(B97="","",IF(OR(B97&lt;0,E97&gt;B97,G97&gt;B97,I97&gt;B97,K97&gt;B97),"ALERTA: QTD_INVALIDA","OK")))</f>
        <v/>
      </c>
      <c r="W97" s="19" t="n"/>
      <c r="X97" s="19" t="n"/>
      <c r="Y97" s="19" t="n"/>
      <c r="Z97" s="17" t="n"/>
      <c r="AA97" s="17" t="n"/>
      <c r="AB97" s="231">
        <f>IF(OR(A97="",E97=""),"",ROUND(B97-E97,2))</f>
        <v/>
      </c>
      <c r="AC97" s="225">
        <f>IF(AND(A97="",A96&lt;&gt;"",COUNTIF(A98:$A$200,"&lt;&gt;")=0),ROUND(SUMIF($A$2:A96,"&lt;&gt;",$AC$2:AC96),2),IF(OR(A97="",E97=""),"",ROUND(D97-E97*C97,2)))</f>
        <v/>
      </c>
      <c r="AD97" s="17" t="n"/>
    </row>
    <row r="98">
      <c r="A98" s="227" t="n"/>
      <c r="B98" s="228" t="n"/>
      <c r="C98" s="229" t="n"/>
      <c r="D98" s="225">
        <f>IF(AND(A98="",A97&lt;&gt;"",COUNTIF(A99:$A$200,"&lt;&gt;")=0),ROUND(SUMIF($A$2:A97,"&lt;&gt;",$D$2:D97),2),IF(OR(A98="",B98="",C98=""),"",ROUND(B98*C98,2)))</f>
        <v/>
      </c>
      <c r="E98" s="230" t="n"/>
      <c r="F98" s="225">
        <f>IF(AND(A98="",A97&lt;&gt;"",COUNTIF(A99:$A$200,"&lt;&gt;")=0),ROUND(SUMIF($A$2:A97,"&lt;&gt;",$F$2:F97),2),IF(OR(A98="",E98="",C98="",NOT(ISNUMBER($Z$3))),"",ROUND(E98*C98*$Z$3,2)))</f>
        <v/>
      </c>
      <c r="G98" s="230" t="n"/>
      <c r="H98" s="225">
        <f>IF(AND(A98="",A97&lt;&gt;"",COUNTIF(A99:$A$200,"&lt;&gt;")=0),ROUND(SUMIF($A$2:A97,"&lt;&gt;",$H$2:H97),2),IF(OR(A98="",G98="",C98="",NOT(ISNUMBER($Z$4))),"",ROUND(G98*C98*$Z$4,2)))</f>
        <v/>
      </c>
      <c r="I98" s="230" t="n"/>
      <c r="J98" s="225">
        <f>IF(AND(A98="",A97&lt;&gt;"",COUNTIF(A99:$A$200,"&lt;&gt;")=0),ROUND(SUMIF($A$2:A97,"&lt;&gt;",$J$2:J97),2),IF(OR(A98="",I98="",C98="",NOT(ISNUMBER($Z$5))),"",ROUND(I98*C98*$Z$5,2)))</f>
        <v/>
      </c>
      <c r="K98" s="230" t="n"/>
      <c r="L98" s="225">
        <f>IF(AND(A98="",A97&lt;&gt;"",COUNTIF(A99:$A$200,"&lt;&gt;")=0),ROUND(SUMIF($A$2:A97,"&lt;&gt;",$L$2:L97),2),IF(OR(A98="",K98="",C98="",NOT(ISNUMBER($Z$6))),"",ROUND(K98*C98*$Z$6,2)))</f>
        <v/>
      </c>
      <c r="M98" s="231">
        <f>IF(OR(E98="",G98=""),"",ROUND(MAX(E98-G98,0),2))</f>
        <v/>
      </c>
      <c r="N98" s="225">
        <f>IF(AND(A98="",A97&lt;&gt;"",COUNTIF(A99:$A$200,"&lt;&gt;")=0),ROUND(SUMIF($A$2:A97,"&lt;&gt;",$N$2:N97),2),IF(OR(M98="",C98="",NOT(ISNUMBER($Z$3))),"",ROUND(M98*C98*$Z$3,2)))</f>
        <v/>
      </c>
      <c r="O98" s="231">
        <f>IF(OR(G98="",I98=""),"",ROUND(MAX(G98-I98,0),2))</f>
        <v/>
      </c>
      <c r="P98" s="225">
        <f>IF(AND(A98="",A97&lt;&gt;"",COUNTIF(A99:$A$200,"&lt;&gt;")=0),ROUND(SUMIF($A$2:A97,"&lt;&gt;",$P$2:P97),2),IF(OR(O98="",C98="",NOT(ISNUMBER($Z$4))),"",ROUND(O98*C98*$Z$4,2)))</f>
        <v/>
      </c>
      <c r="Q98" s="231">
        <f>IF(OR(I98="",K98=""),"",ROUND(MAX(I98-K98,0),2))</f>
        <v/>
      </c>
      <c r="R98" s="225">
        <f>IF(AND(A98="",A97&lt;&gt;"",COUNTIF(A99:$A$200,"&lt;&gt;")=0),ROUND(SUMIF($A$2:A97,"&lt;&gt;",$R$2:R97),2),IF(OR(Q98="",C98="",NOT(ISNUMBER($Z$5))),"",ROUND(Q98*C98*$Z$5,2)))</f>
        <v/>
      </c>
      <c r="S98" s="27" t="n"/>
      <c r="T98" s="232" t="n"/>
      <c r="U98" s="233">
        <f>IF(AND(A98="",A97&lt;&gt;"",COUNTIF(A99:$A$200,"&lt;&gt;")=0),"TOTAL",IF(A98="","",IF(AND(G98&lt;&gt;"",E98&lt;&gt;"",G98&gt;E98),"ALERTA: REM_C2&gt;REM_C1",IF(AND(I98&lt;&gt;"",G98&lt;&gt;"",I98&gt;G98),"ALERTA: REM_C3&gt;REM_C2",IF(AND(K98&lt;&gt;"",I98&lt;&gt;"",K98&gt;I98),"ALERTA: REM_C4&gt;REM_C3","OK")))))</f>
        <v/>
      </c>
      <c r="V98" s="233">
        <f>IF(A98="","",IF(B98="","",IF(OR(B98&lt;0,E98&gt;B98,G98&gt;B98,I98&gt;B98,K98&gt;B98),"ALERTA: QTD_INVALIDA","OK")))</f>
        <v/>
      </c>
      <c r="W98" s="19" t="n"/>
      <c r="X98" s="19" t="n"/>
      <c r="Y98" s="19" t="n"/>
      <c r="Z98" s="17" t="n"/>
      <c r="AA98" s="17" t="n"/>
      <c r="AB98" s="231">
        <f>IF(OR(A98="",E98=""),"",ROUND(B98-E98,2))</f>
        <v/>
      </c>
      <c r="AC98" s="225">
        <f>IF(AND(A98="",A97&lt;&gt;"",COUNTIF(A99:$A$200,"&lt;&gt;")=0),ROUND(SUMIF($A$2:A97,"&lt;&gt;",$AC$2:AC97),2),IF(OR(A98="",E98=""),"",ROUND(D98-E98*C98,2)))</f>
        <v/>
      </c>
      <c r="AD98" s="17" t="n"/>
    </row>
    <row r="99">
      <c r="A99" s="227" t="n"/>
      <c r="B99" s="228" t="n"/>
      <c r="C99" s="229" t="n"/>
      <c r="D99" s="225">
        <f>IF(AND(A99="",A98&lt;&gt;"",COUNTIF(A100:$A$200,"&lt;&gt;")=0),ROUND(SUMIF($A$2:A98,"&lt;&gt;",$D$2:D98),2),IF(OR(A99="",B99="",C99=""),"",ROUND(B99*C99,2)))</f>
        <v/>
      </c>
      <c r="E99" s="230" t="n"/>
      <c r="F99" s="225">
        <f>IF(AND(A99="",A98&lt;&gt;"",COUNTIF(A100:$A$200,"&lt;&gt;")=0),ROUND(SUMIF($A$2:A98,"&lt;&gt;",$F$2:F98),2),IF(OR(A99="",E99="",C99="",NOT(ISNUMBER($Z$3))),"",ROUND(E99*C99*$Z$3,2)))</f>
        <v/>
      </c>
      <c r="G99" s="230" t="n"/>
      <c r="H99" s="225">
        <f>IF(AND(A99="",A98&lt;&gt;"",COUNTIF(A100:$A$200,"&lt;&gt;")=0),ROUND(SUMIF($A$2:A98,"&lt;&gt;",$H$2:H98),2),IF(OR(A99="",G99="",C99="",NOT(ISNUMBER($Z$4))),"",ROUND(G99*C99*$Z$4,2)))</f>
        <v/>
      </c>
      <c r="I99" s="230" t="n"/>
      <c r="J99" s="225">
        <f>IF(AND(A99="",A98&lt;&gt;"",COUNTIF(A100:$A$200,"&lt;&gt;")=0),ROUND(SUMIF($A$2:A98,"&lt;&gt;",$J$2:J98),2),IF(OR(A99="",I99="",C99="",NOT(ISNUMBER($Z$5))),"",ROUND(I99*C99*$Z$5,2)))</f>
        <v/>
      </c>
      <c r="K99" s="230" t="n"/>
      <c r="L99" s="225">
        <f>IF(AND(A99="",A98&lt;&gt;"",COUNTIF(A100:$A$200,"&lt;&gt;")=0),ROUND(SUMIF($A$2:A98,"&lt;&gt;",$L$2:L98),2),IF(OR(A99="",K99="",C99="",NOT(ISNUMBER($Z$6))),"",ROUND(K99*C99*$Z$6,2)))</f>
        <v/>
      </c>
      <c r="M99" s="231">
        <f>IF(OR(E99="",G99=""),"",ROUND(MAX(E99-G99,0),2))</f>
        <v/>
      </c>
      <c r="N99" s="225">
        <f>IF(AND(A99="",A98&lt;&gt;"",COUNTIF(A100:$A$200,"&lt;&gt;")=0),ROUND(SUMIF($A$2:A98,"&lt;&gt;",$N$2:N98),2),IF(OR(M99="",C99="",NOT(ISNUMBER($Z$3))),"",ROUND(M99*C99*$Z$3,2)))</f>
        <v/>
      </c>
      <c r="O99" s="231">
        <f>IF(OR(G99="",I99=""),"",ROUND(MAX(G99-I99,0),2))</f>
        <v/>
      </c>
      <c r="P99" s="225">
        <f>IF(AND(A99="",A98&lt;&gt;"",COUNTIF(A100:$A$200,"&lt;&gt;")=0),ROUND(SUMIF($A$2:A98,"&lt;&gt;",$P$2:P98),2),IF(OR(O99="",C99="",NOT(ISNUMBER($Z$4))),"",ROUND(O99*C99*$Z$4,2)))</f>
        <v/>
      </c>
      <c r="Q99" s="231">
        <f>IF(OR(I99="",K99=""),"",ROUND(MAX(I99-K99,0),2))</f>
        <v/>
      </c>
      <c r="R99" s="225">
        <f>IF(AND(A99="",A98&lt;&gt;"",COUNTIF(A100:$A$200,"&lt;&gt;")=0),ROUND(SUMIF($A$2:A98,"&lt;&gt;",$R$2:R98),2),IF(OR(Q99="",C99="",NOT(ISNUMBER($Z$5))),"",ROUND(Q99*C99*$Z$5,2)))</f>
        <v/>
      </c>
      <c r="S99" s="27" t="n"/>
      <c r="T99" s="232" t="n"/>
      <c r="U99" s="233">
        <f>IF(AND(A99="",A98&lt;&gt;"",COUNTIF(A100:$A$200,"&lt;&gt;")=0),"TOTAL",IF(A99="","",IF(AND(G99&lt;&gt;"",E99&lt;&gt;"",G99&gt;E99),"ALERTA: REM_C2&gt;REM_C1",IF(AND(I99&lt;&gt;"",G99&lt;&gt;"",I99&gt;G99),"ALERTA: REM_C3&gt;REM_C2",IF(AND(K99&lt;&gt;"",I99&lt;&gt;"",K99&gt;I99),"ALERTA: REM_C4&gt;REM_C3","OK")))))</f>
        <v/>
      </c>
      <c r="V99" s="233">
        <f>IF(A99="","",IF(B99="","",IF(OR(B99&lt;0,E99&gt;B99,G99&gt;B99,I99&gt;B99,K99&gt;B99),"ALERTA: QTD_INVALIDA","OK")))</f>
        <v/>
      </c>
      <c r="W99" s="19" t="n"/>
      <c r="X99" s="19" t="n"/>
      <c r="Y99" s="19" t="n"/>
      <c r="Z99" s="17" t="n"/>
      <c r="AA99" s="17" t="n"/>
      <c r="AB99" s="231">
        <f>IF(OR(A99="",E99=""),"",ROUND(B99-E99,2))</f>
        <v/>
      </c>
      <c r="AC99" s="225">
        <f>IF(AND(A99="",A98&lt;&gt;"",COUNTIF(A100:$A$200,"&lt;&gt;")=0),ROUND(SUMIF($A$2:A98,"&lt;&gt;",$AC$2:AC98),2),IF(OR(A99="",E99=""),"",ROUND(D99-E99*C99,2)))</f>
        <v/>
      </c>
      <c r="AD99" s="17" t="n"/>
    </row>
    <row r="100">
      <c r="A100" s="227" t="n"/>
      <c r="B100" s="228" t="n"/>
      <c r="C100" s="229" t="n"/>
      <c r="D100" s="225">
        <f>IF(AND(A100="",A99&lt;&gt;"",COUNTIF(A101:$A$200,"&lt;&gt;")=0),ROUND(SUMIF($A$2:A99,"&lt;&gt;",$D$2:D99),2),IF(OR(A100="",B100="",C100=""),"",ROUND(B100*C100,2)))</f>
        <v/>
      </c>
      <c r="E100" s="230" t="n"/>
      <c r="F100" s="225">
        <f>IF(AND(A100="",A99&lt;&gt;"",COUNTIF(A101:$A$200,"&lt;&gt;")=0),ROUND(SUMIF($A$2:A99,"&lt;&gt;",$F$2:F99),2),IF(OR(A100="",E100="",C100="",NOT(ISNUMBER($Z$3))),"",ROUND(E100*C100*$Z$3,2)))</f>
        <v/>
      </c>
      <c r="G100" s="230" t="n"/>
      <c r="H100" s="225">
        <f>IF(AND(A100="",A99&lt;&gt;"",COUNTIF(A101:$A$200,"&lt;&gt;")=0),ROUND(SUMIF($A$2:A99,"&lt;&gt;",$H$2:H99),2),IF(OR(A100="",G100="",C100="",NOT(ISNUMBER($Z$4))),"",ROUND(G100*C100*$Z$4,2)))</f>
        <v/>
      </c>
      <c r="I100" s="230" t="n"/>
      <c r="J100" s="225">
        <f>IF(AND(A100="",A99&lt;&gt;"",COUNTIF(A101:$A$200,"&lt;&gt;")=0),ROUND(SUMIF($A$2:A99,"&lt;&gt;",$J$2:J99),2),IF(OR(A100="",I100="",C100="",NOT(ISNUMBER($Z$5))),"",ROUND(I100*C100*$Z$5,2)))</f>
        <v/>
      </c>
      <c r="K100" s="230" t="n"/>
      <c r="L100" s="225">
        <f>IF(AND(A100="",A99&lt;&gt;"",COUNTIF(A101:$A$200,"&lt;&gt;")=0),ROUND(SUMIF($A$2:A99,"&lt;&gt;",$L$2:L99),2),IF(OR(A100="",K100="",C100="",NOT(ISNUMBER($Z$6))),"",ROUND(K100*C100*$Z$6,2)))</f>
        <v/>
      </c>
      <c r="M100" s="231">
        <f>IF(OR(E100="",G100=""),"",ROUND(MAX(E100-G100,0),2))</f>
        <v/>
      </c>
      <c r="N100" s="225">
        <f>IF(AND(A100="",A99&lt;&gt;"",COUNTIF(A101:$A$200,"&lt;&gt;")=0),ROUND(SUMIF($A$2:A99,"&lt;&gt;",$N$2:N99),2),IF(OR(M100="",C100="",NOT(ISNUMBER($Z$3))),"",ROUND(M100*C100*$Z$3,2)))</f>
        <v/>
      </c>
      <c r="O100" s="231">
        <f>IF(OR(G100="",I100=""),"",ROUND(MAX(G100-I100,0),2))</f>
        <v/>
      </c>
      <c r="P100" s="225">
        <f>IF(AND(A100="",A99&lt;&gt;"",COUNTIF(A101:$A$200,"&lt;&gt;")=0),ROUND(SUMIF($A$2:A99,"&lt;&gt;",$P$2:P99),2),IF(OR(O100="",C100="",NOT(ISNUMBER($Z$4))),"",ROUND(O100*C100*$Z$4,2)))</f>
        <v/>
      </c>
      <c r="Q100" s="231">
        <f>IF(OR(I100="",K100=""),"",ROUND(MAX(I100-K100,0),2))</f>
        <v/>
      </c>
      <c r="R100" s="225">
        <f>IF(AND(A100="",A99&lt;&gt;"",COUNTIF(A101:$A$200,"&lt;&gt;")=0),ROUND(SUMIF($A$2:A99,"&lt;&gt;",$R$2:R99),2),IF(OR(Q100="",C100="",NOT(ISNUMBER($Z$5))),"",ROUND(Q100*C100*$Z$5,2)))</f>
        <v/>
      </c>
      <c r="S100" s="27" t="n"/>
      <c r="T100" s="232" t="n"/>
      <c r="U100" s="233">
        <f>IF(AND(A100="",A99&lt;&gt;"",COUNTIF(A101:$A$200,"&lt;&gt;")=0),"TOTAL",IF(A100="","",IF(AND(G100&lt;&gt;"",E100&lt;&gt;"",G100&gt;E100),"ALERTA: REM_C2&gt;REM_C1",IF(AND(I100&lt;&gt;"",G100&lt;&gt;"",I100&gt;G100),"ALERTA: REM_C3&gt;REM_C2",IF(AND(K100&lt;&gt;"",I100&lt;&gt;"",K100&gt;I100),"ALERTA: REM_C4&gt;REM_C3","OK")))))</f>
        <v/>
      </c>
      <c r="V100" s="233">
        <f>IF(A100="","",IF(B100="","",IF(OR(B100&lt;0,E100&gt;B100,G100&gt;B100,I100&gt;B100,K100&gt;B100),"ALERTA: QTD_INVALIDA","OK")))</f>
        <v/>
      </c>
      <c r="W100" s="19" t="n"/>
      <c r="X100" s="19" t="n"/>
      <c r="Y100" s="19" t="n"/>
      <c r="Z100" s="17" t="n"/>
      <c r="AA100" s="17" t="n"/>
      <c r="AB100" s="231">
        <f>IF(OR(A100="",E100=""),"",ROUND(B100-E100,2))</f>
        <v/>
      </c>
      <c r="AC100" s="225">
        <f>IF(AND(A100="",A99&lt;&gt;"",COUNTIF(A101:$A$200,"&lt;&gt;")=0),ROUND(SUMIF($A$2:A99,"&lt;&gt;",$AC$2:AC99),2),IF(OR(A100="",E100=""),"",ROUND(D100-E100*C100,2)))</f>
        <v/>
      </c>
      <c r="AD100" s="17" t="n"/>
    </row>
    <row r="101" ht="24" customHeight="1">
      <c r="A101" s="238" t="n"/>
      <c r="B101" s="239" t="n"/>
      <c r="C101" s="240" t="n"/>
      <c r="D101" s="241">
        <f>IF(AND(A101="",A100&lt;&gt;"",COUNTIF(A102:$A$200,"&lt;&gt;")=0),ROUND(SUMIF($A$2:A100,"&lt;&gt;",$D$2:D100),2),IF(OR(A101="",B101="",C101=""),"",ROUND(B101*C101,2)))</f>
        <v/>
      </c>
      <c r="E101" s="239" t="n"/>
      <c r="F101" s="241">
        <f>IF(AND(A101="",A100&lt;&gt;"",COUNTIF(A102:$A$200,"&lt;&gt;")=0),ROUND(SUMIF($A$2:A100,"&lt;&gt;",$F$2:F100),2),IF(OR(A101="",E101="",C101="",NOT(ISNUMBER($Z$3))),"",ROUND(E101*C101*$Z$3,2)))</f>
        <v/>
      </c>
      <c r="G101" s="239" t="n"/>
      <c r="H101" s="241">
        <f>IF(AND(A101="",A100&lt;&gt;"",COUNTIF(A102:$A$200,"&lt;&gt;")=0),ROUND(SUMIF($A$2:A100,"&lt;&gt;",$H$2:H100),2),IF(OR(A101="",G101="",C101="",NOT(ISNUMBER($Z$4))),"",ROUND(G101*C101*$Z$4,2)))</f>
        <v/>
      </c>
      <c r="I101" s="239" t="n"/>
      <c r="J101" s="241">
        <f>IF(AND(A101="",A100&lt;&gt;"",COUNTIF(A102:$A$200,"&lt;&gt;")=0),ROUND(SUMIF($A$2:A100,"&lt;&gt;",$J$2:J100),2),IF(OR(A101="",I101="",C101="",NOT(ISNUMBER($Z$5))),"",ROUND(I101*C101*$Z$5,2)))</f>
        <v/>
      </c>
      <c r="K101" s="239" t="n"/>
      <c r="L101" s="241">
        <f>IF(AND(A101="",A100&lt;&gt;"",COUNTIF(A102:$A$200,"&lt;&gt;")=0),ROUND(SUMIF($A$2:A100,"&lt;&gt;",$L$2:L100),2),IF(OR(A101="",K101="",C101="",NOT(ISNUMBER($Z$6))),"",ROUND(K101*C101*$Z$6,2)))</f>
        <v/>
      </c>
      <c r="M101" s="242">
        <f>IF(OR(E101="",G101=""),"",ROUND(MAX(E101-G101,0),2))</f>
        <v/>
      </c>
      <c r="N101" s="241">
        <f>IF(AND(A101="",A100&lt;&gt;"",COUNTIF(A102:$A$200,"&lt;&gt;")=0),ROUND(SUMIF($A$2:A100,"&lt;&gt;",$N$2:N100),2),IF(OR(M101="",C101="",NOT(ISNUMBER($Z$3))),"",ROUND(M101*C101*$Z$3,2)))</f>
        <v/>
      </c>
      <c r="O101" s="242">
        <f>IF(OR(G101="",I101=""),"",ROUND(MAX(G101-I101,0),2))</f>
        <v/>
      </c>
      <c r="P101" s="241">
        <f>IF(AND(A101="",A100&lt;&gt;"",COUNTIF(A102:$A$200,"&lt;&gt;")=0),ROUND(SUMIF($A$2:A100,"&lt;&gt;",$P$2:P100),2),IF(OR(O101="",C101="",NOT(ISNUMBER($Z$4))),"",ROUND(O101*C101*$Z$4,2)))</f>
        <v/>
      </c>
      <c r="Q101" s="242">
        <f>IF(OR(I101="",K101=""),"",ROUND(MAX(I101-K101,0),2))</f>
        <v/>
      </c>
      <c r="R101" s="241">
        <f>IF(AND(A101="",A100&lt;&gt;"",COUNTIF(A102:$A$200,"&lt;&gt;")=0),ROUND(SUMIF($A$2:A100,"&lt;&gt;",$R$2:R100),2),IF(OR(Q101="",C101="",NOT(ISNUMBER($Z$5))),"",ROUND(Q101*C101*$Z$5,2)))</f>
        <v/>
      </c>
      <c r="S101" s="32" t="n"/>
      <c r="T101" s="243" t="n"/>
      <c r="U101" s="244">
        <f>IF(AND(A101="",A100&lt;&gt;"",COUNTIF(A102:$A$200,"&lt;&gt;")=0),"TOTAL",IF(A101="","",IF(AND(G101&lt;&gt;"",E101&lt;&gt;"",G101&gt;E101),"ALERTA: REM_C2&gt;REM_C1",IF(AND(I101&lt;&gt;"",G101&lt;&gt;"",I101&gt;G101),"ALERTA: REM_C3&gt;REM_C2",IF(AND(K101&lt;&gt;"",I101&lt;&gt;"",K101&gt;I101),"ALERTA: REM_C4&gt;REM_C3","OK")))))</f>
        <v/>
      </c>
      <c r="V101" s="244">
        <f>IF(A101="","",IF(B101="","",IF(OR(B101&lt;0,E101&gt;B101,G101&gt;B101,I101&gt;B101,K101&gt;B101),"ALERTA: QTD_INVALIDA","OK")))</f>
        <v/>
      </c>
      <c r="W101" s="17" t="n"/>
      <c r="X101" s="17" t="n"/>
      <c r="Y101" s="17" t="n"/>
      <c r="Z101" s="17" t="n"/>
      <c r="AA101" s="17" t="n"/>
      <c r="AB101" s="231">
        <f>IF(OR(A101="",E101=""),"",ROUND(B101-E101,2))</f>
        <v/>
      </c>
      <c r="AC101" s="225">
        <f>IF(AND(A101="",A100&lt;&gt;"",COUNTIF(A102:$A$200,"&lt;&gt;")=0),ROUND(SUMIF($A$2:A100,"&lt;&gt;",$AC$2:AC100),2),IF(OR(A101="",E101=""),"",ROUND(D101-E101*C101,2)))</f>
        <v/>
      </c>
      <c r="AD101" s="17" t="n"/>
    </row>
    <row r="102">
      <c r="A102" s="227" t="n"/>
      <c r="B102" s="228" t="n"/>
      <c r="C102" s="229" t="n"/>
      <c r="D102" s="225">
        <f>IF(AND(A102="",A101&lt;&gt;"",COUNTIF(A103:$A$200,"&lt;&gt;")=0),ROUND(SUMIF($A$2:A101,"&lt;&gt;",$D$2:D101),2),IF(OR(A102="",B102="",C102=""),"",ROUND(B102*C102,2)))</f>
        <v/>
      </c>
      <c r="E102" s="230" t="n"/>
      <c r="F102" s="225">
        <f>IF(AND(A102="",A101&lt;&gt;"",COUNTIF(A103:$A$200,"&lt;&gt;")=0),ROUND(SUMIF($A$2:A101,"&lt;&gt;",$F$2:F101),2),IF(OR(A102="",E102="",C102="",NOT(ISNUMBER($Z$3))),"",ROUND(E102*C102*$Z$3,2)))</f>
        <v/>
      </c>
      <c r="G102" s="230" t="n"/>
      <c r="H102" s="225">
        <f>IF(AND(A102="",A101&lt;&gt;"",COUNTIF(A103:$A$200,"&lt;&gt;")=0),ROUND(SUMIF($A$2:A101,"&lt;&gt;",$H$2:H101),2),IF(OR(A102="",G102="",C102="",NOT(ISNUMBER($Z$4))),"",ROUND(G102*C102*$Z$4,2)))</f>
        <v/>
      </c>
      <c r="I102" s="230" t="n"/>
      <c r="J102" s="225">
        <f>IF(AND(A102="",A101&lt;&gt;"",COUNTIF(A103:$A$200,"&lt;&gt;")=0),ROUND(SUMIF($A$2:A101,"&lt;&gt;",$J$2:J101),2),IF(OR(A102="",I102="",C102="",NOT(ISNUMBER($Z$5))),"",ROUND(I102*C102*$Z$5,2)))</f>
        <v/>
      </c>
      <c r="K102" s="230" t="n"/>
      <c r="L102" s="225">
        <f>IF(AND(A102="",A101&lt;&gt;"",COUNTIF(A103:$A$200,"&lt;&gt;")=0),ROUND(SUMIF($A$2:A101,"&lt;&gt;",$L$2:L101),2),IF(OR(A102="",K102="",C102="",NOT(ISNUMBER($Z$6))),"",ROUND(K102*C102*$Z$6,2)))</f>
        <v/>
      </c>
      <c r="M102" s="231">
        <f>IF(OR(E102="",G102=""),"",ROUND(MAX(E102-G102,0),2))</f>
        <v/>
      </c>
      <c r="N102" s="225">
        <f>IF(AND(A102="",A101&lt;&gt;"",COUNTIF(A103:$A$200,"&lt;&gt;")=0),ROUND(SUMIF($A$2:A101,"&lt;&gt;",$N$2:N101),2),IF(OR(M102="",C102="",NOT(ISNUMBER($Z$3))),"",ROUND(M102*C102*$Z$3,2)))</f>
        <v/>
      </c>
      <c r="O102" s="231">
        <f>IF(OR(G102="",I102=""),"",ROUND(MAX(G102-I102,0),2))</f>
        <v/>
      </c>
      <c r="P102" s="225">
        <f>IF(AND(A102="",A101&lt;&gt;"",COUNTIF(A103:$A$200,"&lt;&gt;")=0),ROUND(SUMIF($A$2:A101,"&lt;&gt;",$P$2:P101),2),IF(OR(O102="",C102="",NOT(ISNUMBER($Z$4))),"",ROUND(O102*C102*$Z$4,2)))</f>
        <v/>
      </c>
      <c r="Q102" s="231">
        <f>IF(OR(I102="",K102=""),"",ROUND(MAX(I102-K102,0),2))</f>
        <v/>
      </c>
      <c r="R102" s="225">
        <f>IF(AND(A102="",A101&lt;&gt;"",COUNTIF(A103:$A$200,"&lt;&gt;")=0),ROUND(SUMIF($A$2:A101,"&lt;&gt;",$R$2:R101),2),IF(OR(Q102="",C102="",NOT(ISNUMBER($Z$5))),"",ROUND(Q102*C102*$Z$5,2)))</f>
        <v/>
      </c>
      <c r="S102" s="112" t="n"/>
      <c r="T102" s="245" t="n"/>
      <c r="U102" s="233">
        <f>IF(AND(A102="",A101&lt;&gt;"",COUNTIF(A103:$A$200,"&lt;&gt;")=0),"TOTAL",IF(A102="","",IF(AND(G102&lt;&gt;"",E102&lt;&gt;"",G102&gt;E102),"ALERTA: REM_C2&gt;REM_C1",IF(AND(I102&lt;&gt;"",G102&lt;&gt;"",I102&gt;G102),"ALERTA: REM_C3&gt;REM_C2",IF(AND(K102&lt;&gt;"",I102&lt;&gt;"",K102&gt;I102),"ALERTA: REM_C4&gt;REM_C3","OK")))))</f>
        <v/>
      </c>
      <c r="V102" s="233">
        <f>IF(A102="","",IF(B102="","",IF(OR(B102&lt;0,E102&gt;B102,G102&gt;B102,I102&gt;B102,K102&gt;B102),"ALERTA: QTD_INVALIDA","OK")))</f>
        <v/>
      </c>
      <c r="W102" s="17" t="n"/>
      <c r="X102" s="17" t="n"/>
      <c r="Y102" s="17" t="n"/>
      <c r="Z102" s="17" t="n"/>
      <c r="AA102" s="17" t="n"/>
      <c r="AB102" s="231">
        <f>IF(OR(A102="",E102=""),"",ROUND(B102-E102,2))</f>
        <v/>
      </c>
      <c r="AC102" s="225">
        <f>IF(AND(A102="",A101&lt;&gt;"",COUNTIF(A103:$A$200,"&lt;&gt;")=0),ROUND(SUMIF($A$2:A101,"&lt;&gt;",$AC$2:AC101),2),IF(OR(A102="",E102=""),"",ROUND(D102-E102*C102,2)))</f>
        <v/>
      </c>
      <c r="AD102" s="17" t="n"/>
    </row>
    <row r="103">
      <c r="A103" s="227" t="n"/>
      <c r="B103" s="228" t="n"/>
      <c r="C103" s="229" t="n"/>
      <c r="D103" s="225">
        <f>IF(AND(A103="",A102&lt;&gt;"",COUNTIF(A104:$A$200,"&lt;&gt;")=0),ROUND(SUMIF($A$2:A102,"&lt;&gt;",$D$2:D102),2),IF(OR(A103="",B103="",C103=""),"",ROUND(B103*C103,2)))</f>
        <v/>
      </c>
      <c r="E103" s="230" t="n"/>
      <c r="F103" s="225">
        <f>IF(AND(A103="",A102&lt;&gt;"",COUNTIF(A104:$A$200,"&lt;&gt;")=0),ROUND(SUMIF($A$2:A102,"&lt;&gt;",$F$2:F102),2),IF(OR(A103="",E103="",C103="",NOT(ISNUMBER($Z$3))),"",ROUND(E103*C103*$Z$3,2)))</f>
        <v/>
      </c>
      <c r="G103" s="230" t="n"/>
      <c r="H103" s="225">
        <f>IF(AND(A103="",A102&lt;&gt;"",COUNTIF(A104:$A$200,"&lt;&gt;")=0),ROUND(SUMIF($A$2:A102,"&lt;&gt;",$H$2:H102),2),IF(OR(A103="",G103="",C103="",NOT(ISNUMBER($Z$4))),"",ROUND(G103*C103*$Z$4,2)))</f>
        <v/>
      </c>
      <c r="I103" s="230" t="n"/>
      <c r="J103" s="225">
        <f>IF(AND(A103="",A102&lt;&gt;"",COUNTIF(A104:$A$200,"&lt;&gt;")=0),ROUND(SUMIF($A$2:A102,"&lt;&gt;",$J$2:J102),2),IF(OR(A103="",I103="",C103="",NOT(ISNUMBER($Z$5))),"",ROUND(I103*C103*$Z$5,2)))</f>
        <v/>
      </c>
      <c r="K103" s="230" t="n"/>
      <c r="L103" s="225">
        <f>IF(AND(A103="",A102&lt;&gt;"",COUNTIF(A104:$A$200,"&lt;&gt;")=0),ROUND(SUMIF($A$2:A102,"&lt;&gt;",$L$2:L102),2),IF(OR(A103="",K103="",C103="",NOT(ISNUMBER($Z$6))),"",ROUND(K103*C103*$Z$6,2)))</f>
        <v/>
      </c>
      <c r="M103" s="231">
        <f>IF(OR(E103="",G103=""),"",ROUND(MAX(E103-G103,0),2))</f>
        <v/>
      </c>
      <c r="N103" s="225">
        <f>IF(AND(A103="",A102&lt;&gt;"",COUNTIF(A104:$A$200,"&lt;&gt;")=0),ROUND(SUMIF($A$2:A102,"&lt;&gt;",$N$2:N102),2),IF(OR(M103="",C103="",NOT(ISNUMBER($Z$3))),"",ROUND(M103*C103*$Z$3,2)))</f>
        <v/>
      </c>
      <c r="O103" s="231">
        <f>IF(OR(G103="",I103=""),"",ROUND(MAX(G103-I103,0),2))</f>
        <v/>
      </c>
      <c r="P103" s="225">
        <f>IF(AND(A103="",A102&lt;&gt;"",COUNTIF(A104:$A$200,"&lt;&gt;")=0),ROUND(SUMIF($A$2:A102,"&lt;&gt;",$P$2:P102),2),IF(OR(O103="",C103="",NOT(ISNUMBER($Z$4))),"",ROUND(O103*C103*$Z$4,2)))</f>
        <v/>
      </c>
      <c r="Q103" s="231">
        <f>IF(OR(I103="",K103=""),"",ROUND(MAX(I103-K103,0),2))</f>
        <v/>
      </c>
      <c r="R103" s="225">
        <f>IF(AND(A103="",A102&lt;&gt;"",COUNTIF(A104:$A$200,"&lt;&gt;")=0),ROUND(SUMIF($A$2:A102,"&lt;&gt;",$R$2:R102),2),IF(OR(Q103="",C103="",NOT(ISNUMBER($Z$5))),"",ROUND(Q103*C103*$Z$5,2)))</f>
        <v/>
      </c>
      <c r="S103" s="112" t="n"/>
      <c r="T103" s="245" t="n"/>
      <c r="U103" s="233">
        <f>IF(AND(A103="",A102&lt;&gt;"",COUNTIF(A104:$A$200,"&lt;&gt;")=0),"TOTAL",IF(A103="","",IF(AND(G103&lt;&gt;"",E103&lt;&gt;"",G103&gt;E103),"ALERTA: REM_C2&gt;REM_C1",IF(AND(I103&lt;&gt;"",G103&lt;&gt;"",I103&gt;G103),"ALERTA: REM_C3&gt;REM_C2",IF(AND(K103&lt;&gt;"",I103&lt;&gt;"",K103&gt;I103),"ALERTA: REM_C4&gt;REM_C3","OK")))))</f>
        <v/>
      </c>
      <c r="V103" s="233">
        <f>IF(A103="","",IF(B103="","",IF(OR(B103&lt;0,E103&gt;B103,G103&gt;B103,I103&gt;B103,K103&gt;B103),"ALERTA: QTD_INVALIDA","OK")))</f>
        <v/>
      </c>
      <c r="W103" s="17" t="n"/>
      <c r="X103" s="17" t="n"/>
      <c r="Y103" s="17" t="n"/>
      <c r="Z103" s="17" t="n"/>
      <c r="AA103" s="17" t="n"/>
      <c r="AB103" s="231">
        <f>IF(OR(A103="",E103=""),"",ROUND(B103-E103,2))</f>
        <v/>
      </c>
      <c r="AC103" s="225">
        <f>IF(AND(A103="",A102&lt;&gt;"",COUNTIF(A104:$A$200,"&lt;&gt;")=0),ROUND(SUMIF($A$2:A102,"&lt;&gt;",$AC$2:AC102),2),IF(OR(A103="",E103=""),"",ROUND(D103-E103*C103,2)))</f>
        <v/>
      </c>
      <c r="AD103" s="17" t="n"/>
    </row>
    <row r="104">
      <c r="A104" s="227" t="n"/>
      <c r="B104" s="228" t="n"/>
      <c r="C104" s="229" t="n"/>
      <c r="D104" s="225">
        <f>IF(AND(A104="",A103&lt;&gt;"",COUNTIF(A105:$A$200,"&lt;&gt;")=0),ROUND(SUMIF($A$2:A103,"&lt;&gt;",$D$2:D103),2),IF(OR(A104="",B104="",C104=""),"",ROUND(B104*C104,2)))</f>
        <v/>
      </c>
      <c r="E104" s="230" t="n"/>
      <c r="F104" s="225">
        <f>IF(AND(A104="",A103&lt;&gt;"",COUNTIF(A105:$A$200,"&lt;&gt;")=0),ROUND(SUMIF($A$2:A103,"&lt;&gt;",$F$2:F103),2),IF(OR(A104="",E104="",C104="",NOT(ISNUMBER($Z$3))),"",ROUND(E104*C104*$Z$3,2)))</f>
        <v/>
      </c>
      <c r="G104" s="230" t="n"/>
      <c r="H104" s="225">
        <f>IF(AND(A104="",A103&lt;&gt;"",COUNTIF(A105:$A$200,"&lt;&gt;")=0),ROUND(SUMIF($A$2:A103,"&lt;&gt;",$H$2:H103),2),IF(OR(A104="",G104="",C104="",NOT(ISNUMBER($Z$4))),"",ROUND(G104*C104*$Z$4,2)))</f>
        <v/>
      </c>
      <c r="I104" s="230" t="n"/>
      <c r="J104" s="225">
        <f>IF(AND(A104="",A103&lt;&gt;"",COUNTIF(A105:$A$200,"&lt;&gt;")=0),ROUND(SUMIF($A$2:A103,"&lt;&gt;",$J$2:J103),2),IF(OR(A104="",I104="",C104="",NOT(ISNUMBER($Z$5))),"",ROUND(I104*C104*$Z$5,2)))</f>
        <v/>
      </c>
      <c r="K104" s="230" t="n"/>
      <c r="L104" s="225">
        <f>IF(AND(A104="",A103&lt;&gt;"",COUNTIF(A105:$A$200,"&lt;&gt;")=0),ROUND(SUMIF($A$2:A103,"&lt;&gt;",$L$2:L103),2),IF(OR(A104="",K104="",C104="",NOT(ISNUMBER($Z$6))),"",ROUND(K104*C104*$Z$6,2)))</f>
        <v/>
      </c>
      <c r="M104" s="231">
        <f>IF(OR(E104="",G104=""),"",ROUND(MAX(E104-G104,0),2))</f>
        <v/>
      </c>
      <c r="N104" s="225">
        <f>IF(AND(A104="",A103&lt;&gt;"",COUNTIF(A105:$A$200,"&lt;&gt;")=0),ROUND(SUMIF($A$2:A103,"&lt;&gt;",$N$2:N103),2),IF(OR(M104="",C104="",NOT(ISNUMBER($Z$3))),"",ROUND(M104*C104*$Z$3,2)))</f>
        <v/>
      </c>
      <c r="O104" s="231">
        <f>IF(OR(G104="",I104=""),"",ROUND(MAX(G104-I104,0),2))</f>
        <v/>
      </c>
      <c r="P104" s="225">
        <f>IF(AND(A104="",A103&lt;&gt;"",COUNTIF(A105:$A$200,"&lt;&gt;")=0),ROUND(SUMIF($A$2:A103,"&lt;&gt;",$P$2:P103),2),IF(OR(O104="",C104="",NOT(ISNUMBER($Z$4))),"",ROUND(O104*C104*$Z$4,2)))</f>
        <v/>
      </c>
      <c r="Q104" s="231">
        <f>IF(OR(I104="",K104=""),"",ROUND(MAX(I104-K104,0),2))</f>
        <v/>
      </c>
      <c r="R104" s="225">
        <f>IF(AND(A104="",A103&lt;&gt;"",COUNTIF(A105:$A$200,"&lt;&gt;")=0),ROUND(SUMIF($A$2:A103,"&lt;&gt;",$R$2:R103),2),IF(OR(Q104="",C104="",NOT(ISNUMBER($Z$5))),"",ROUND(Q104*C104*$Z$5,2)))</f>
        <v/>
      </c>
      <c r="S104" s="112" t="n"/>
      <c r="T104" s="245" t="n"/>
      <c r="U104" s="233">
        <f>IF(AND(A104="",A103&lt;&gt;"",COUNTIF(A105:$A$200,"&lt;&gt;")=0),"TOTAL",IF(A104="","",IF(AND(G104&lt;&gt;"",E104&lt;&gt;"",G104&gt;E104),"ALERTA: REM_C2&gt;REM_C1",IF(AND(I104&lt;&gt;"",G104&lt;&gt;"",I104&gt;G104),"ALERTA: REM_C3&gt;REM_C2",IF(AND(K104&lt;&gt;"",I104&lt;&gt;"",K104&gt;I104),"ALERTA: REM_C4&gt;REM_C3","OK")))))</f>
        <v/>
      </c>
      <c r="V104" s="233">
        <f>IF(A104="","",IF(B104="","",IF(OR(B104&lt;0,E104&gt;B104,G104&gt;B104,I104&gt;B104,K104&gt;B104),"ALERTA: QTD_INVALIDA","OK")))</f>
        <v/>
      </c>
      <c r="W104" s="17" t="n"/>
      <c r="X104" s="17" t="n"/>
      <c r="Y104" s="17" t="n"/>
      <c r="Z104" s="17" t="n"/>
      <c r="AA104" s="17" t="n"/>
      <c r="AB104" s="231">
        <f>IF(OR(A104="",E104=""),"",ROUND(B104-E104,2))</f>
        <v/>
      </c>
      <c r="AC104" s="225">
        <f>IF(AND(A104="",A103&lt;&gt;"",COUNTIF(A105:$A$200,"&lt;&gt;")=0),ROUND(SUMIF($A$2:A103,"&lt;&gt;",$AC$2:AC103),2),IF(OR(A104="",E104=""),"",ROUND(D104-E104*C104,2)))</f>
        <v/>
      </c>
      <c r="AD104" s="17" t="n"/>
    </row>
    <row r="105">
      <c r="A105" s="227" t="n"/>
      <c r="B105" s="228" t="n"/>
      <c r="C105" s="229" t="n"/>
      <c r="D105" s="225">
        <f>IF(AND(A105="",A104&lt;&gt;"",COUNTIF(A106:$A$200,"&lt;&gt;")=0),ROUND(SUMIF($A$2:A104,"&lt;&gt;",$D$2:D104),2),IF(OR(A105="",B105="",C105=""),"",ROUND(B105*C105,2)))</f>
        <v/>
      </c>
      <c r="E105" s="230" t="n"/>
      <c r="F105" s="225">
        <f>IF(AND(A105="",A104&lt;&gt;"",COUNTIF(A106:$A$200,"&lt;&gt;")=0),ROUND(SUMIF($A$2:A104,"&lt;&gt;",$F$2:F104),2),IF(OR(A105="",E105="",C105="",NOT(ISNUMBER($Z$3))),"",ROUND(E105*C105*$Z$3,2)))</f>
        <v/>
      </c>
      <c r="G105" s="230" t="n"/>
      <c r="H105" s="225">
        <f>IF(AND(A105="",A104&lt;&gt;"",COUNTIF(A106:$A$200,"&lt;&gt;")=0),ROUND(SUMIF($A$2:A104,"&lt;&gt;",$H$2:H104),2),IF(OR(A105="",G105="",C105="",NOT(ISNUMBER($Z$4))),"",ROUND(G105*C105*$Z$4,2)))</f>
        <v/>
      </c>
      <c r="I105" s="230" t="n"/>
      <c r="J105" s="225">
        <f>IF(AND(A105="",A104&lt;&gt;"",COUNTIF(A106:$A$200,"&lt;&gt;")=0),ROUND(SUMIF($A$2:A104,"&lt;&gt;",$J$2:J104),2),IF(OR(A105="",I105="",C105="",NOT(ISNUMBER($Z$5))),"",ROUND(I105*C105*$Z$5,2)))</f>
        <v/>
      </c>
      <c r="K105" s="230" t="n"/>
      <c r="L105" s="225">
        <f>IF(AND(A105="",A104&lt;&gt;"",COUNTIF(A106:$A$200,"&lt;&gt;")=0),ROUND(SUMIF($A$2:A104,"&lt;&gt;",$L$2:L104),2),IF(OR(A105="",K105="",C105="",NOT(ISNUMBER($Z$6))),"",ROUND(K105*C105*$Z$6,2)))</f>
        <v/>
      </c>
      <c r="M105" s="231">
        <f>IF(OR(E105="",G105=""),"",ROUND(MAX(E105-G105,0),2))</f>
        <v/>
      </c>
      <c r="N105" s="225">
        <f>IF(AND(A105="",A104&lt;&gt;"",COUNTIF(A106:$A$200,"&lt;&gt;")=0),ROUND(SUMIF($A$2:A104,"&lt;&gt;",$N$2:N104),2),IF(OR(M105="",C105="",NOT(ISNUMBER($Z$3))),"",ROUND(M105*C105*$Z$3,2)))</f>
        <v/>
      </c>
      <c r="O105" s="231">
        <f>IF(OR(G105="",I105=""),"",ROUND(MAX(G105-I105,0),2))</f>
        <v/>
      </c>
      <c r="P105" s="225">
        <f>IF(AND(A105="",A104&lt;&gt;"",COUNTIF(A106:$A$200,"&lt;&gt;")=0),ROUND(SUMIF($A$2:A104,"&lt;&gt;",$P$2:P104),2),IF(OR(O105="",C105="",NOT(ISNUMBER($Z$4))),"",ROUND(O105*C105*$Z$4,2)))</f>
        <v/>
      </c>
      <c r="Q105" s="231">
        <f>IF(OR(I105="",K105=""),"",ROUND(MAX(I105-K105,0),2))</f>
        <v/>
      </c>
      <c r="R105" s="225">
        <f>IF(AND(A105="",A104&lt;&gt;"",COUNTIF(A106:$A$200,"&lt;&gt;")=0),ROUND(SUMIF($A$2:A104,"&lt;&gt;",$R$2:R104),2),IF(OR(Q105="",C105="",NOT(ISNUMBER($Z$5))),"",ROUND(Q105*C105*$Z$5,2)))</f>
        <v/>
      </c>
      <c r="S105" s="112" t="n"/>
      <c r="T105" s="245" t="n"/>
      <c r="U105" s="233">
        <f>IF(AND(A105="",A104&lt;&gt;"",COUNTIF(A106:$A$200,"&lt;&gt;")=0),"TOTAL",IF(A105="","",IF(AND(G105&lt;&gt;"",E105&lt;&gt;"",G105&gt;E105),"ALERTA: REM_C2&gt;REM_C1",IF(AND(I105&lt;&gt;"",G105&lt;&gt;"",I105&gt;G105),"ALERTA: REM_C3&gt;REM_C2",IF(AND(K105&lt;&gt;"",I105&lt;&gt;"",K105&gt;I105),"ALERTA: REM_C4&gt;REM_C3","OK")))))</f>
        <v/>
      </c>
      <c r="V105" s="233">
        <f>IF(A105="","",IF(B105="","",IF(OR(B105&lt;0,E105&gt;B105,G105&gt;B105,I105&gt;B105,K105&gt;B105),"ALERTA: QTD_INVALIDA","OK")))</f>
        <v/>
      </c>
      <c r="W105" s="17" t="n"/>
      <c r="X105" s="17" t="n"/>
      <c r="Y105" s="17" t="n"/>
      <c r="Z105" s="17" t="n"/>
      <c r="AA105" s="17" t="n"/>
      <c r="AB105" s="231">
        <f>IF(OR(A105="",E105=""),"",ROUND(B105-E105,2))</f>
        <v/>
      </c>
      <c r="AC105" s="225">
        <f>IF(AND(A105="",A104&lt;&gt;"",COUNTIF(A106:$A$200,"&lt;&gt;")=0),ROUND(SUMIF($A$2:A104,"&lt;&gt;",$AC$2:AC104),2),IF(OR(A105="",E105=""),"",ROUND(D105-E105*C105,2)))</f>
        <v/>
      </c>
      <c r="AD105" s="17" t="n"/>
    </row>
    <row r="106">
      <c r="A106" s="227" t="n"/>
      <c r="B106" s="228" t="n"/>
      <c r="C106" s="229" t="n"/>
      <c r="D106" s="225">
        <f>IF(AND(A106="",A105&lt;&gt;"",COUNTIF(A107:$A$200,"&lt;&gt;")=0),ROUND(SUMIF($A$2:A105,"&lt;&gt;",$D$2:D105),2),IF(OR(A106="",B106="",C106=""),"",ROUND(B106*C106,2)))</f>
        <v/>
      </c>
      <c r="E106" s="230" t="n"/>
      <c r="F106" s="225">
        <f>IF(AND(A106="",A105&lt;&gt;"",COUNTIF(A107:$A$200,"&lt;&gt;")=0),ROUND(SUMIF($A$2:A105,"&lt;&gt;",$F$2:F105),2),IF(OR(A106="",E106="",C106="",NOT(ISNUMBER($Z$3))),"",ROUND(E106*C106*$Z$3,2)))</f>
        <v/>
      </c>
      <c r="G106" s="230" t="n"/>
      <c r="H106" s="225">
        <f>IF(AND(A106="",A105&lt;&gt;"",COUNTIF(A107:$A$200,"&lt;&gt;")=0),ROUND(SUMIF($A$2:A105,"&lt;&gt;",$H$2:H105),2),IF(OR(A106="",G106="",C106="",NOT(ISNUMBER($Z$4))),"",ROUND(G106*C106*$Z$4,2)))</f>
        <v/>
      </c>
      <c r="I106" s="230" t="n"/>
      <c r="J106" s="225">
        <f>IF(AND(A106="",A105&lt;&gt;"",COUNTIF(A107:$A$200,"&lt;&gt;")=0),ROUND(SUMIF($A$2:A105,"&lt;&gt;",$J$2:J105),2),IF(OR(A106="",I106="",C106="",NOT(ISNUMBER($Z$5))),"",ROUND(I106*C106*$Z$5,2)))</f>
        <v/>
      </c>
      <c r="K106" s="230" t="n"/>
      <c r="L106" s="225">
        <f>IF(AND(A106="",A105&lt;&gt;"",COUNTIF(A107:$A$200,"&lt;&gt;")=0),ROUND(SUMIF($A$2:A105,"&lt;&gt;",$L$2:L105),2),IF(OR(A106="",K106="",C106="",NOT(ISNUMBER($Z$6))),"",ROUND(K106*C106*$Z$6,2)))</f>
        <v/>
      </c>
      <c r="M106" s="231">
        <f>IF(OR(E106="",G106=""),"",ROUND(MAX(E106-G106,0),2))</f>
        <v/>
      </c>
      <c r="N106" s="225">
        <f>IF(AND(A106="",A105&lt;&gt;"",COUNTIF(A107:$A$200,"&lt;&gt;")=0),ROUND(SUMIF($A$2:A105,"&lt;&gt;",$N$2:N105),2),IF(OR(M106="",C106="",NOT(ISNUMBER($Z$3))),"",ROUND(M106*C106*$Z$3,2)))</f>
        <v/>
      </c>
      <c r="O106" s="231">
        <f>IF(OR(G106="",I106=""),"",ROUND(MAX(G106-I106,0),2))</f>
        <v/>
      </c>
      <c r="P106" s="225">
        <f>IF(AND(A106="",A105&lt;&gt;"",COUNTIF(A107:$A$200,"&lt;&gt;")=0),ROUND(SUMIF($A$2:A105,"&lt;&gt;",$P$2:P105),2),IF(OR(O106="",C106="",NOT(ISNUMBER($Z$4))),"",ROUND(O106*C106*$Z$4,2)))</f>
        <v/>
      </c>
      <c r="Q106" s="231">
        <f>IF(OR(I106="",K106=""),"",ROUND(MAX(I106-K106,0),2))</f>
        <v/>
      </c>
      <c r="R106" s="225">
        <f>IF(AND(A106="",A105&lt;&gt;"",COUNTIF(A107:$A$200,"&lt;&gt;")=0),ROUND(SUMIF($A$2:A105,"&lt;&gt;",$R$2:R105),2),IF(OR(Q106="",C106="",NOT(ISNUMBER($Z$5))),"",ROUND(Q106*C106*$Z$5,2)))</f>
        <v/>
      </c>
      <c r="S106" s="112" t="n"/>
      <c r="T106" s="245" t="n"/>
      <c r="U106" s="233">
        <f>IF(AND(A106="",A105&lt;&gt;"",COUNTIF(A107:$A$200,"&lt;&gt;")=0),"TOTAL",IF(A106="","",IF(AND(G106&lt;&gt;"",E106&lt;&gt;"",G106&gt;E106),"ALERTA: REM_C2&gt;REM_C1",IF(AND(I106&lt;&gt;"",G106&lt;&gt;"",I106&gt;G106),"ALERTA: REM_C3&gt;REM_C2",IF(AND(K106&lt;&gt;"",I106&lt;&gt;"",K106&gt;I106),"ALERTA: REM_C4&gt;REM_C3","OK")))))</f>
        <v/>
      </c>
      <c r="V106" s="233">
        <f>IF(A106="","",IF(B106="","",IF(OR(B106&lt;0,E106&gt;B106,G106&gt;B106,I106&gt;B106,K106&gt;B106),"ALERTA: QTD_INVALIDA","OK")))</f>
        <v/>
      </c>
      <c r="W106" s="17" t="n"/>
      <c r="X106" s="17" t="n"/>
      <c r="Y106" s="17" t="n"/>
      <c r="Z106" s="17" t="n"/>
      <c r="AA106" s="17" t="n"/>
      <c r="AB106" s="231">
        <f>IF(OR(A106="",E106=""),"",ROUND(B106-E106,2))</f>
        <v/>
      </c>
      <c r="AC106" s="225">
        <f>IF(AND(A106="",A105&lt;&gt;"",COUNTIF(A107:$A$200,"&lt;&gt;")=0),ROUND(SUMIF($A$2:A105,"&lt;&gt;",$AC$2:AC105),2),IF(OR(A106="",E106=""),"",ROUND(D106-E106*C106,2)))</f>
        <v/>
      </c>
      <c r="AD106" s="17" t="n"/>
    </row>
    <row r="107">
      <c r="A107" s="227" t="n"/>
      <c r="B107" s="228" t="n"/>
      <c r="C107" s="229" t="n"/>
      <c r="D107" s="225">
        <f>IF(AND(A107="",A106&lt;&gt;"",COUNTIF(A108:$A$200,"&lt;&gt;")=0),ROUND(SUMIF($A$2:A106,"&lt;&gt;",$D$2:D106),2),IF(OR(A107="",B107="",C107=""),"",ROUND(B107*C107,2)))</f>
        <v/>
      </c>
      <c r="E107" s="230" t="n"/>
      <c r="F107" s="225">
        <f>IF(AND(A107="",A106&lt;&gt;"",COUNTIF(A108:$A$200,"&lt;&gt;")=0),ROUND(SUMIF($A$2:A106,"&lt;&gt;",$F$2:F106),2),IF(OR(A107="",E107="",C107="",NOT(ISNUMBER($Z$3))),"",ROUND(E107*C107*$Z$3,2)))</f>
        <v/>
      </c>
      <c r="G107" s="230" t="n"/>
      <c r="H107" s="225">
        <f>IF(AND(A107="",A106&lt;&gt;"",COUNTIF(A108:$A$200,"&lt;&gt;")=0),ROUND(SUMIF($A$2:A106,"&lt;&gt;",$H$2:H106),2),IF(OR(A107="",G107="",C107="",NOT(ISNUMBER($Z$4))),"",ROUND(G107*C107*$Z$4,2)))</f>
        <v/>
      </c>
      <c r="I107" s="230" t="n"/>
      <c r="J107" s="225">
        <f>IF(AND(A107="",A106&lt;&gt;"",COUNTIF(A108:$A$200,"&lt;&gt;")=0),ROUND(SUMIF($A$2:A106,"&lt;&gt;",$J$2:J106),2),IF(OR(A107="",I107="",C107="",NOT(ISNUMBER($Z$5))),"",ROUND(I107*C107*$Z$5,2)))</f>
        <v/>
      </c>
      <c r="K107" s="230" t="n"/>
      <c r="L107" s="225">
        <f>IF(AND(A107="",A106&lt;&gt;"",COUNTIF(A108:$A$200,"&lt;&gt;")=0),ROUND(SUMIF($A$2:A106,"&lt;&gt;",$L$2:L106),2),IF(OR(A107="",K107="",C107="",NOT(ISNUMBER($Z$6))),"",ROUND(K107*C107*$Z$6,2)))</f>
        <v/>
      </c>
      <c r="M107" s="231">
        <f>IF(OR(E107="",G107=""),"",ROUND(MAX(E107-G107,0),2))</f>
        <v/>
      </c>
      <c r="N107" s="225">
        <f>IF(AND(A107="",A106&lt;&gt;"",COUNTIF(A108:$A$200,"&lt;&gt;")=0),ROUND(SUMIF($A$2:A106,"&lt;&gt;",$N$2:N106),2),IF(OR(M107="",C107="",NOT(ISNUMBER($Z$3))),"",ROUND(M107*C107*$Z$3,2)))</f>
        <v/>
      </c>
      <c r="O107" s="231">
        <f>IF(OR(G107="",I107=""),"",ROUND(MAX(G107-I107,0),2))</f>
        <v/>
      </c>
      <c r="P107" s="225">
        <f>IF(AND(A107="",A106&lt;&gt;"",COUNTIF(A108:$A$200,"&lt;&gt;")=0),ROUND(SUMIF($A$2:A106,"&lt;&gt;",$P$2:P106),2),IF(OR(O107="",C107="",NOT(ISNUMBER($Z$4))),"",ROUND(O107*C107*$Z$4,2)))</f>
        <v/>
      </c>
      <c r="Q107" s="231">
        <f>IF(OR(I107="",K107=""),"",ROUND(MAX(I107-K107,0),2))</f>
        <v/>
      </c>
      <c r="R107" s="225">
        <f>IF(AND(A107="",A106&lt;&gt;"",COUNTIF(A108:$A$200,"&lt;&gt;")=0),ROUND(SUMIF($A$2:A106,"&lt;&gt;",$R$2:R106),2),IF(OR(Q107="",C107="",NOT(ISNUMBER($Z$5))),"",ROUND(Q107*C107*$Z$5,2)))</f>
        <v/>
      </c>
      <c r="S107" s="112" t="n"/>
      <c r="T107" s="245" t="n"/>
      <c r="U107" s="233">
        <f>IF(AND(A107="",A106&lt;&gt;"",COUNTIF(A108:$A$200,"&lt;&gt;")=0),"TOTAL",IF(A107="","",IF(AND(G107&lt;&gt;"",E107&lt;&gt;"",G107&gt;E107),"ALERTA: REM_C2&gt;REM_C1",IF(AND(I107&lt;&gt;"",G107&lt;&gt;"",I107&gt;G107),"ALERTA: REM_C3&gt;REM_C2",IF(AND(K107&lt;&gt;"",I107&lt;&gt;"",K107&gt;I107),"ALERTA: REM_C4&gt;REM_C3","OK")))))</f>
        <v/>
      </c>
      <c r="V107" s="233">
        <f>IF(A107="","",IF(B107="","",IF(OR(B107&lt;0,E107&gt;B107,G107&gt;B107,I107&gt;B107,K107&gt;B107),"ALERTA: QTD_INVALIDA","OK")))</f>
        <v/>
      </c>
      <c r="W107" s="17" t="n"/>
      <c r="X107" s="17" t="n"/>
      <c r="Y107" s="17" t="n"/>
      <c r="Z107" s="17" t="n"/>
      <c r="AA107" s="17" t="n"/>
      <c r="AB107" s="231">
        <f>IF(OR(A107="",E107=""),"",ROUND(B107-E107,2))</f>
        <v/>
      </c>
      <c r="AC107" s="225">
        <f>IF(AND(A107="",A106&lt;&gt;"",COUNTIF(A108:$A$200,"&lt;&gt;")=0),ROUND(SUMIF($A$2:A106,"&lt;&gt;",$AC$2:AC106),2),IF(OR(A107="",E107=""),"",ROUND(D107-E107*C107,2)))</f>
        <v/>
      </c>
      <c r="AD107" s="17" t="n"/>
    </row>
    <row r="108">
      <c r="A108" s="227" t="n"/>
      <c r="B108" s="228" t="n"/>
      <c r="C108" s="229" t="n"/>
      <c r="D108" s="225">
        <f>IF(AND(A108="",A107&lt;&gt;"",COUNTIF(A109:$A$200,"&lt;&gt;")=0),ROUND(SUMIF($A$2:A107,"&lt;&gt;",$D$2:D107),2),IF(OR(A108="",B108="",C108=""),"",ROUND(B108*C108,2)))</f>
        <v/>
      </c>
      <c r="E108" s="230" t="n"/>
      <c r="F108" s="225">
        <f>IF(AND(A108="",A107&lt;&gt;"",COUNTIF(A109:$A$200,"&lt;&gt;")=0),ROUND(SUMIF($A$2:A107,"&lt;&gt;",$F$2:F107),2),IF(OR(A108="",E108="",C108="",NOT(ISNUMBER($Z$3))),"",ROUND(E108*C108*$Z$3,2)))</f>
        <v/>
      </c>
      <c r="G108" s="230" t="n"/>
      <c r="H108" s="225">
        <f>IF(AND(A108="",A107&lt;&gt;"",COUNTIF(A109:$A$200,"&lt;&gt;")=0),ROUND(SUMIF($A$2:A107,"&lt;&gt;",$H$2:H107),2),IF(OR(A108="",G108="",C108="",NOT(ISNUMBER($Z$4))),"",ROUND(G108*C108*$Z$4,2)))</f>
        <v/>
      </c>
      <c r="I108" s="230" t="n"/>
      <c r="J108" s="225">
        <f>IF(AND(A108="",A107&lt;&gt;"",COUNTIF(A109:$A$200,"&lt;&gt;")=0),ROUND(SUMIF($A$2:A107,"&lt;&gt;",$J$2:J107),2),IF(OR(A108="",I108="",C108="",NOT(ISNUMBER($Z$5))),"",ROUND(I108*C108*$Z$5,2)))</f>
        <v/>
      </c>
      <c r="K108" s="230" t="n"/>
      <c r="L108" s="225">
        <f>IF(AND(A108="",A107&lt;&gt;"",COUNTIF(A109:$A$200,"&lt;&gt;")=0),ROUND(SUMIF($A$2:A107,"&lt;&gt;",$L$2:L107),2),IF(OR(A108="",K108="",C108="",NOT(ISNUMBER($Z$6))),"",ROUND(K108*C108*$Z$6,2)))</f>
        <v/>
      </c>
      <c r="M108" s="231">
        <f>IF(OR(E108="",G108=""),"",ROUND(MAX(E108-G108,0),2))</f>
        <v/>
      </c>
      <c r="N108" s="225">
        <f>IF(AND(A108="",A107&lt;&gt;"",COUNTIF(A109:$A$200,"&lt;&gt;")=0),ROUND(SUMIF($A$2:A107,"&lt;&gt;",$N$2:N107),2),IF(OR(M108="",C108="",NOT(ISNUMBER($Z$3))),"",ROUND(M108*C108*$Z$3,2)))</f>
        <v/>
      </c>
      <c r="O108" s="231">
        <f>IF(OR(G108="",I108=""),"",ROUND(MAX(G108-I108,0),2))</f>
        <v/>
      </c>
      <c r="P108" s="225">
        <f>IF(AND(A108="",A107&lt;&gt;"",COUNTIF(A109:$A$200,"&lt;&gt;")=0),ROUND(SUMIF($A$2:A107,"&lt;&gt;",$P$2:P107),2),IF(OR(O108="",C108="",NOT(ISNUMBER($Z$4))),"",ROUND(O108*C108*$Z$4,2)))</f>
        <v/>
      </c>
      <c r="Q108" s="231">
        <f>IF(OR(I108="",K108=""),"",ROUND(MAX(I108-K108,0),2))</f>
        <v/>
      </c>
      <c r="R108" s="225">
        <f>IF(AND(A108="",A107&lt;&gt;"",COUNTIF(A109:$A$200,"&lt;&gt;")=0),ROUND(SUMIF($A$2:A107,"&lt;&gt;",$R$2:R107),2),IF(OR(Q108="",C108="",NOT(ISNUMBER($Z$5))),"",ROUND(Q108*C108*$Z$5,2)))</f>
        <v/>
      </c>
      <c r="S108" s="112" t="n"/>
      <c r="T108" s="245" t="n"/>
      <c r="U108" s="233">
        <f>IF(AND(A108="",A107&lt;&gt;"",COUNTIF(A109:$A$200,"&lt;&gt;")=0),"TOTAL",IF(A108="","",IF(AND(G108&lt;&gt;"",E108&lt;&gt;"",G108&gt;E108),"ALERTA: REM_C2&gt;REM_C1",IF(AND(I108&lt;&gt;"",G108&lt;&gt;"",I108&gt;G108),"ALERTA: REM_C3&gt;REM_C2",IF(AND(K108&lt;&gt;"",I108&lt;&gt;"",K108&gt;I108),"ALERTA: REM_C4&gt;REM_C3","OK")))))</f>
        <v/>
      </c>
      <c r="V108" s="233">
        <f>IF(A108="","",IF(B108="","",IF(OR(B108&lt;0,E108&gt;B108,G108&gt;B108,I108&gt;B108,K108&gt;B108),"ALERTA: QTD_INVALIDA","OK")))</f>
        <v/>
      </c>
      <c r="W108" s="17" t="n"/>
      <c r="X108" s="17" t="n"/>
      <c r="Y108" s="17" t="n"/>
      <c r="Z108" s="17" t="n"/>
      <c r="AA108" s="17" t="n"/>
      <c r="AB108" s="231">
        <f>IF(OR(A108="",E108=""),"",ROUND(B108-E108,2))</f>
        <v/>
      </c>
      <c r="AC108" s="225">
        <f>IF(AND(A108="",A107&lt;&gt;"",COUNTIF(A109:$A$200,"&lt;&gt;")=0),ROUND(SUMIF($A$2:A107,"&lt;&gt;",$AC$2:AC107),2),IF(OR(A108="",E108=""),"",ROUND(D108-E108*C108,2)))</f>
        <v/>
      </c>
      <c r="AD108" s="17" t="n"/>
    </row>
    <row r="109">
      <c r="A109" s="227" t="n"/>
      <c r="B109" s="228" t="n"/>
      <c r="C109" s="229" t="n"/>
      <c r="D109" s="225">
        <f>IF(AND(A109="",A108&lt;&gt;"",COUNTIF(A110:$A$200,"&lt;&gt;")=0),ROUND(SUMIF($A$2:A108,"&lt;&gt;",$D$2:D108),2),IF(OR(A109="",B109="",C109=""),"",ROUND(B109*C109,2)))</f>
        <v/>
      </c>
      <c r="E109" s="230" t="n"/>
      <c r="F109" s="225">
        <f>IF(AND(A109="",A108&lt;&gt;"",COUNTIF(A110:$A$200,"&lt;&gt;")=0),ROUND(SUMIF($A$2:A108,"&lt;&gt;",$F$2:F108),2),IF(OR(A109="",E109="",C109="",NOT(ISNUMBER($Z$3))),"",ROUND(E109*C109*$Z$3,2)))</f>
        <v/>
      </c>
      <c r="G109" s="230" t="n"/>
      <c r="H109" s="225">
        <f>IF(AND(A109="",A108&lt;&gt;"",COUNTIF(A110:$A$200,"&lt;&gt;")=0),ROUND(SUMIF($A$2:A108,"&lt;&gt;",$H$2:H108),2),IF(OR(A109="",G109="",C109="",NOT(ISNUMBER($Z$4))),"",ROUND(G109*C109*$Z$4,2)))</f>
        <v/>
      </c>
      <c r="I109" s="230" t="n"/>
      <c r="J109" s="225">
        <f>IF(AND(A109="",A108&lt;&gt;"",COUNTIF(A110:$A$200,"&lt;&gt;")=0),ROUND(SUMIF($A$2:A108,"&lt;&gt;",$J$2:J108),2),IF(OR(A109="",I109="",C109="",NOT(ISNUMBER($Z$5))),"",ROUND(I109*C109*$Z$5,2)))</f>
        <v/>
      </c>
      <c r="K109" s="230" t="n"/>
      <c r="L109" s="225">
        <f>IF(AND(A109="",A108&lt;&gt;"",COUNTIF(A110:$A$200,"&lt;&gt;")=0),ROUND(SUMIF($A$2:A108,"&lt;&gt;",$L$2:L108),2),IF(OR(A109="",K109="",C109="",NOT(ISNUMBER($Z$6))),"",ROUND(K109*C109*$Z$6,2)))</f>
        <v/>
      </c>
      <c r="M109" s="231">
        <f>IF(OR(E109="",G109=""),"",ROUND(MAX(E109-G109,0),2))</f>
        <v/>
      </c>
      <c r="N109" s="225">
        <f>IF(AND(A109="",A108&lt;&gt;"",COUNTIF(A110:$A$200,"&lt;&gt;")=0),ROUND(SUMIF($A$2:A108,"&lt;&gt;",$N$2:N108),2),IF(OR(M109="",C109="",NOT(ISNUMBER($Z$3))),"",ROUND(M109*C109*$Z$3,2)))</f>
        <v/>
      </c>
      <c r="O109" s="231">
        <f>IF(OR(G109="",I109=""),"",ROUND(MAX(G109-I109,0),2))</f>
        <v/>
      </c>
      <c r="P109" s="225">
        <f>IF(AND(A109="",A108&lt;&gt;"",COUNTIF(A110:$A$200,"&lt;&gt;")=0),ROUND(SUMIF($A$2:A108,"&lt;&gt;",$P$2:P108),2),IF(OR(O109="",C109="",NOT(ISNUMBER($Z$4))),"",ROUND(O109*C109*$Z$4,2)))</f>
        <v/>
      </c>
      <c r="Q109" s="231">
        <f>IF(OR(I109="",K109=""),"",ROUND(MAX(I109-K109,0),2))</f>
        <v/>
      </c>
      <c r="R109" s="225">
        <f>IF(AND(A109="",A108&lt;&gt;"",COUNTIF(A110:$A$200,"&lt;&gt;")=0),ROUND(SUMIF($A$2:A108,"&lt;&gt;",$R$2:R108),2),IF(OR(Q109="",C109="",NOT(ISNUMBER($Z$5))),"",ROUND(Q109*C109*$Z$5,2)))</f>
        <v/>
      </c>
      <c r="S109" s="112" t="n"/>
      <c r="T109" s="245" t="n"/>
      <c r="U109" s="233">
        <f>IF(AND(A109="",A108&lt;&gt;"",COUNTIF(A110:$A$200,"&lt;&gt;")=0),"TOTAL",IF(A109="","",IF(AND(G109&lt;&gt;"",E109&lt;&gt;"",G109&gt;E109),"ALERTA: REM_C2&gt;REM_C1",IF(AND(I109&lt;&gt;"",G109&lt;&gt;"",I109&gt;G109),"ALERTA: REM_C3&gt;REM_C2",IF(AND(K109&lt;&gt;"",I109&lt;&gt;"",K109&gt;I109),"ALERTA: REM_C4&gt;REM_C3","OK")))))</f>
        <v/>
      </c>
      <c r="V109" s="233">
        <f>IF(A109="","",IF(B109="","",IF(OR(B109&lt;0,E109&gt;B109,G109&gt;B109,I109&gt;B109,K109&gt;B109),"ALERTA: QTD_INVALIDA","OK")))</f>
        <v/>
      </c>
      <c r="W109" s="17" t="n"/>
      <c r="X109" s="17" t="n"/>
      <c r="Y109" s="17" t="n"/>
      <c r="Z109" s="17" t="n"/>
      <c r="AA109" s="17" t="n"/>
      <c r="AB109" s="231">
        <f>IF(OR(A109="",E109=""),"",ROUND(B109-E109,2))</f>
        <v/>
      </c>
      <c r="AC109" s="225">
        <f>IF(AND(A109="",A108&lt;&gt;"",COUNTIF(A110:$A$200,"&lt;&gt;")=0),ROUND(SUMIF($A$2:A108,"&lt;&gt;",$AC$2:AC108),2),IF(OR(A109="",E109=""),"",ROUND(D109-E109*C109,2)))</f>
        <v/>
      </c>
      <c r="AD109" s="17" t="n"/>
    </row>
    <row r="110">
      <c r="A110" s="227" t="n"/>
      <c r="B110" s="228" t="n"/>
      <c r="C110" s="229" t="n"/>
      <c r="D110" s="225">
        <f>IF(AND(A110="",A109&lt;&gt;"",COUNTIF(A111:$A$200,"&lt;&gt;")=0),ROUND(SUMIF($A$2:A109,"&lt;&gt;",$D$2:D109),2),IF(OR(A110="",B110="",C110=""),"",ROUND(B110*C110,2)))</f>
        <v/>
      </c>
      <c r="E110" s="230" t="n"/>
      <c r="F110" s="225">
        <f>IF(AND(A110="",A109&lt;&gt;"",COUNTIF(A111:$A$200,"&lt;&gt;")=0),ROUND(SUMIF($A$2:A109,"&lt;&gt;",$F$2:F109),2),IF(OR(A110="",E110="",C110="",NOT(ISNUMBER($Z$3))),"",ROUND(E110*C110*$Z$3,2)))</f>
        <v/>
      </c>
      <c r="G110" s="230" t="n"/>
      <c r="H110" s="225">
        <f>IF(AND(A110="",A109&lt;&gt;"",COUNTIF(A111:$A$200,"&lt;&gt;")=0),ROUND(SUMIF($A$2:A109,"&lt;&gt;",$H$2:H109),2),IF(OR(A110="",G110="",C110="",NOT(ISNUMBER($Z$4))),"",ROUND(G110*C110*$Z$4,2)))</f>
        <v/>
      </c>
      <c r="I110" s="230" t="n"/>
      <c r="J110" s="225">
        <f>IF(AND(A110="",A109&lt;&gt;"",COUNTIF(A111:$A$200,"&lt;&gt;")=0),ROUND(SUMIF($A$2:A109,"&lt;&gt;",$J$2:J109),2),IF(OR(A110="",I110="",C110="",NOT(ISNUMBER($Z$5))),"",ROUND(I110*C110*$Z$5,2)))</f>
        <v/>
      </c>
      <c r="K110" s="230" t="n"/>
      <c r="L110" s="225">
        <f>IF(AND(A110="",A109&lt;&gt;"",COUNTIF(A111:$A$200,"&lt;&gt;")=0),ROUND(SUMIF($A$2:A109,"&lt;&gt;",$L$2:L109),2),IF(OR(A110="",K110="",C110="",NOT(ISNUMBER($Z$6))),"",ROUND(K110*C110*$Z$6,2)))</f>
        <v/>
      </c>
      <c r="M110" s="231">
        <f>IF(OR(E110="",G110=""),"",ROUND(MAX(E110-G110,0),2))</f>
        <v/>
      </c>
      <c r="N110" s="225">
        <f>IF(AND(A110="",A109&lt;&gt;"",COUNTIF(A111:$A$200,"&lt;&gt;")=0),ROUND(SUMIF($A$2:A109,"&lt;&gt;",$N$2:N109),2),IF(OR(M110="",C110="",NOT(ISNUMBER($Z$3))),"",ROUND(M110*C110*$Z$3,2)))</f>
        <v/>
      </c>
      <c r="O110" s="231">
        <f>IF(OR(G110="",I110=""),"",ROUND(MAX(G110-I110,0),2))</f>
        <v/>
      </c>
      <c r="P110" s="225">
        <f>IF(AND(A110="",A109&lt;&gt;"",COUNTIF(A111:$A$200,"&lt;&gt;")=0),ROUND(SUMIF($A$2:A109,"&lt;&gt;",$P$2:P109),2),IF(OR(O110="",C110="",NOT(ISNUMBER($Z$4))),"",ROUND(O110*C110*$Z$4,2)))</f>
        <v/>
      </c>
      <c r="Q110" s="231">
        <f>IF(OR(I110="",K110=""),"",ROUND(MAX(I110-K110,0),2))</f>
        <v/>
      </c>
      <c r="R110" s="225">
        <f>IF(AND(A110="",A109&lt;&gt;"",COUNTIF(A111:$A$200,"&lt;&gt;")=0),ROUND(SUMIF($A$2:A109,"&lt;&gt;",$R$2:R109),2),IF(OR(Q110="",C110="",NOT(ISNUMBER($Z$5))),"",ROUND(Q110*C110*$Z$5,2)))</f>
        <v/>
      </c>
      <c r="S110" s="112" t="n"/>
      <c r="T110" s="245" t="n"/>
      <c r="U110" s="233">
        <f>IF(AND(A110="",A109&lt;&gt;"",COUNTIF(A111:$A$200,"&lt;&gt;")=0),"TOTAL",IF(A110="","",IF(AND(G110&lt;&gt;"",E110&lt;&gt;"",G110&gt;E110),"ALERTA: REM_C2&gt;REM_C1",IF(AND(I110&lt;&gt;"",G110&lt;&gt;"",I110&gt;G110),"ALERTA: REM_C3&gt;REM_C2",IF(AND(K110&lt;&gt;"",I110&lt;&gt;"",K110&gt;I110),"ALERTA: REM_C4&gt;REM_C3","OK")))))</f>
        <v/>
      </c>
      <c r="V110" s="233">
        <f>IF(A110="","",IF(B110="","",IF(OR(B110&lt;0,E110&gt;B110,G110&gt;B110,I110&gt;B110,K110&gt;B110),"ALERTA: QTD_INVALIDA","OK")))</f>
        <v/>
      </c>
      <c r="W110" s="17" t="n"/>
      <c r="X110" s="17" t="n"/>
      <c r="Y110" s="17" t="n"/>
      <c r="Z110" s="17" t="n"/>
      <c r="AA110" s="17" t="n"/>
      <c r="AB110" s="231">
        <f>IF(OR(A110="",E110=""),"",ROUND(B110-E110,2))</f>
        <v/>
      </c>
      <c r="AC110" s="225">
        <f>IF(AND(A110="",A109&lt;&gt;"",COUNTIF(A111:$A$200,"&lt;&gt;")=0),ROUND(SUMIF($A$2:A109,"&lt;&gt;",$AC$2:AC109),2),IF(OR(A110="",E110=""),"",ROUND(D110-E110*C110,2)))</f>
        <v/>
      </c>
      <c r="AD110" s="17" t="n"/>
    </row>
    <row r="111">
      <c r="A111" s="227" t="n"/>
      <c r="B111" s="228" t="n"/>
      <c r="C111" s="229" t="n"/>
      <c r="D111" s="225">
        <f>IF(AND(A111="",A110&lt;&gt;"",COUNTIF(A112:$A$200,"&lt;&gt;")=0),ROUND(SUMIF($A$2:A110,"&lt;&gt;",$D$2:D110),2),IF(OR(A111="",B111="",C111=""),"",ROUND(B111*C111,2)))</f>
        <v/>
      </c>
      <c r="E111" s="230" t="n"/>
      <c r="F111" s="225">
        <f>IF(AND(A111="",A110&lt;&gt;"",COUNTIF(A112:$A$200,"&lt;&gt;")=0),ROUND(SUMIF($A$2:A110,"&lt;&gt;",$F$2:F110),2),IF(OR(A111="",E111="",C111="",NOT(ISNUMBER($Z$3))),"",ROUND(E111*C111*$Z$3,2)))</f>
        <v/>
      </c>
      <c r="G111" s="230" t="n"/>
      <c r="H111" s="225">
        <f>IF(AND(A111="",A110&lt;&gt;"",COUNTIF(A112:$A$200,"&lt;&gt;")=0),ROUND(SUMIF($A$2:A110,"&lt;&gt;",$H$2:H110),2),IF(OR(A111="",G111="",C111="",NOT(ISNUMBER($Z$4))),"",ROUND(G111*C111*$Z$4,2)))</f>
        <v/>
      </c>
      <c r="I111" s="230" t="n"/>
      <c r="J111" s="225">
        <f>IF(AND(A111="",A110&lt;&gt;"",COUNTIF(A112:$A$200,"&lt;&gt;")=0),ROUND(SUMIF($A$2:A110,"&lt;&gt;",$J$2:J110),2),IF(OR(A111="",I111="",C111="",NOT(ISNUMBER($Z$5))),"",ROUND(I111*C111*$Z$5,2)))</f>
        <v/>
      </c>
      <c r="K111" s="230" t="n"/>
      <c r="L111" s="225">
        <f>IF(AND(A111="",A110&lt;&gt;"",COUNTIF(A112:$A$200,"&lt;&gt;")=0),ROUND(SUMIF($A$2:A110,"&lt;&gt;",$L$2:L110),2),IF(OR(A111="",K111="",C111="",NOT(ISNUMBER($Z$6))),"",ROUND(K111*C111*$Z$6,2)))</f>
        <v/>
      </c>
      <c r="M111" s="231">
        <f>IF(OR(E111="",G111=""),"",ROUND(MAX(E111-G111,0),2))</f>
        <v/>
      </c>
      <c r="N111" s="225">
        <f>IF(AND(A111="",A110&lt;&gt;"",COUNTIF(A112:$A$200,"&lt;&gt;")=0),ROUND(SUMIF($A$2:A110,"&lt;&gt;",$N$2:N110),2),IF(OR(M111="",C111="",NOT(ISNUMBER($Z$3))),"",ROUND(M111*C111*$Z$3,2)))</f>
        <v/>
      </c>
      <c r="O111" s="231">
        <f>IF(OR(G111="",I111=""),"",ROUND(MAX(G111-I111,0),2))</f>
        <v/>
      </c>
      <c r="P111" s="225">
        <f>IF(AND(A111="",A110&lt;&gt;"",COUNTIF(A112:$A$200,"&lt;&gt;")=0),ROUND(SUMIF($A$2:A110,"&lt;&gt;",$P$2:P110),2),IF(OR(O111="",C111="",NOT(ISNUMBER($Z$4))),"",ROUND(O111*C111*$Z$4,2)))</f>
        <v/>
      </c>
      <c r="Q111" s="231">
        <f>IF(OR(I111="",K111=""),"",ROUND(MAX(I111-K111,0),2))</f>
        <v/>
      </c>
      <c r="R111" s="225">
        <f>IF(AND(A111="",A110&lt;&gt;"",COUNTIF(A112:$A$200,"&lt;&gt;")=0),ROUND(SUMIF($A$2:A110,"&lt;&gt;",$R$2:R110),2),IF(OR(Q111="",C111="",NOT(ISNUMBER($Z$5))),"",ROUND(Q111*C111*$Z$5,2)))</f>
        <v/>
      </c>
      <c r="S111" s="112" t="n"/>
      <c r="T111" s="245" t="n"/>
      <c r="U111" s="233">
        <f>IF(AND(A111="",A110&lt;&gt;"",COUNTIF(A112:$A$200,"&lt;&gt;")=0),"TOTAL",IF(A111="","",IF(AND(G111&lt;&gt;"",E111&lt;&gt;"",G111&gt;E111),"ALERTA: REM_C2&gt;REM_C1",IF(AND(I111&lt;&gt;"",G111&lt;&gt;"",I111&gt;G111),"ALERTA: REM_C3&gt;REM_C2",IF(AND(K111&lt;&gt;"",I111&lt;&gt;"",K111&gt;I111),"ALERTA: REM_C4&gt;REM_C3","OK")))))</f>
        <v/>
      </c>
      <c r="V111" s="233">
        <f>IF(A111="","",IF(B111="","",IF(OR(B111&lt;0,E111&gt;B111,G111&gt;B111,I111&gt;B111,K111&gt;B111),"ALERTA: QTD_INVALIDA","OK")))</f>
        <v/>
      </c>
      <c r="W111" s="17" t="n"/>
      <c r="X111" s="17" t="n"/>
      <c r="Y111" s="17" t="n"/>
      <c r="Z111" s="17" t="n"/>
      <c r="AA111" s="17" t="n"/>
      <c r="AB111" s="231">
        <f>IF(OR(A111="",E111=""),"",ROUND(B111-E111,2))</f>
        <v/>
      </c>
      <c r="AC111" s="225">
        <f>IF(AND(A111="",A110&lt;&gt;"",COUNTIF(A112:$A$200,"&lt;&gt;")=0),ROUND(SUMIF($A$2:A110,"&lt;&gt;",$AC$2:AC110),2),IF(OR(A111="",E111=""),"",ROUND(D111-E111*C111,2)))</f>
        <v/>
      </c>
      <c r="AD111" s="17" t="n"/>
    </row>
    <row r="112">
      <c r="A112" s="227" t="n"/>
      <c r="B112" s="228" t="n"/>
      <c r="C112" s="229" t="n"/>
      <c r="D112" s="225">
        <f>IF(AND(A112="",A111&lt;&gt;"",COUNTIF(A113:$A$200,"&lt;&gt;")=0),ROUND(SUMIF($A$2:A111,"&lt;&gt;",$D$2:D111),2),IF(OR(A112="",B112="",C112=""),"",ROUND(B112*C112,2)))</f>
        <v/>
      </c>
      <c r="E112" s="230" t="n"/>
      <c r="F112" s="225">
        <f>IF(AND(A112="",A111&lt;&gt;"",COUNTIF(A113:$A$200,"&lt;&gt;")=0),ROUND(SUMIF($A$2:A111,"&lt;&gt;",$F$2:F111),2),IF(OR(A112="",E112="",C112="",NOT(ISNUMBER($Z$3))),"",ROUND(E112*C112*$Z$3,2)))</f>
        <v/>
      </c>
      <c r="G112" s="230" t="n"/>
      <c r="H112" s="225">
        <f>IF(AND(A112="",A111&lt;&gt;"",COUNTIF(A113:$A$200,"&lt;&gt;")=0),ROUND(SUMIF($A$2:A111,"&lt;&gt;",$H$2:H111),2),IF(OR(A112="",G112="",C112="",NOT(ISNUMBER($Z$4))),"",ROUND(G112*C112*$Z$4,2)))</f>
        <v/>
      </c>
      <c r="I112" s="230" t="n"/>
      <c r="J112" s="225">
        <f>IF(AND(A112="",A111&lt;&gt;"",COUNTIF(A113:$A$200,"&lt;&gt;")=0),ROUND(SUMIF($A$2:A111,"&lt;&gt;",$J$2:J111),2),IF(OR(A112="",I112="",C112="",NOT(ISNUMBER($Z$5))),"",ROUND(I112*C112*$Z$5,2)))</f>
        <v/>
      </c>
      <c r="K112" s="230" t="n"/>
      <c r="L112" s="225">
        <f>IF(AND(A112="",A111&lt;&gt;"",COUNTIF(A113:$A$200,"&lt;&gt;")=0),ROUND(SUMIF($A$2:A111,"&lt;&gt;",$L$2:L111),2),IF(OR(A112="",K112="",C112="",NOT(ISNUMBER($Z$6))),"",ROUND(K112*C112*$Z$6,2)))</f>
        <v/>
      </c>
      <c r="M112" s="231">
        <f>IF(OR(E112="",G112=""),"",ROUND(MAX(E112-G112,0),2))</f>
        <v/>
      </c>
      <c r="N112" s="225">
        <f>IF(AND(A112="",A111&lt;&gt;"",COUNTIF(A113:$A$200,"&lt;&gt;")=0),ROUND(SUMIF($A$2:A111,"&lt;&gt;",$N$2:N111),2),IF(OR(M112="",C112="",NOT(ISNUMBER($Z$3))),"",ROUND(M112*C112*$Z$3,2)))</f>
        <v/>
      </c>
      <c r="O112" s="231">
        <f>IF(OR(G112="",I112=""),"",ROUND(MAX(G112-I112,0),2))</f>
        <v/>
      </c>
      <c r="P112" s="225">
        <f>IF(AND(A112="",A111&lt;&gt;"",COUNTIF(A113:$A$200,"&lt;&gt;")=0),ROUND(SUMIF($A$2:A111,"&lt;&gt;",$P$2:P111),2),IF(OR(O112="",C112="",NOT(ISNUMBER($Z$4))),"",ROUND(O112*C112*$Z$4,2)))</f>
        <v/>
      </c>
      <c r="Q112" s="231">
        <f>IF(OR(I112="",K112=""),"",ROUND(MAX(I112-K112,0),2))</f>
        <v/>
      </c>
      <c r="R112" s="225">
        <f>IF(AND(A112="",A111&lt;&gt;"",COUNTIF(A113:$A$200,"&lt;&gt;")=0),ROUND(SUMIF($A$2:A111,"&lt;&gt;",$R$2:R111),2),IF(OR(Q112="",C112="",NOT(ISNUMBER($Z$5))),"",ROUND(Q112*C112*$Z$5,2)))</f>
        <v/>
      </c>
      <c r="S112" s="112" t="n"/>
      <c r="T112" s="245" t="n"/>
      <c r="U112" s="233">
        <f>IF(AND(A112="",A111&lt;&gt;"",COUNTIF(A113:$A$200,"&lt;&gt;")=0),"TOTAL",IF(A112="","",IF(AND(G112&lt;&gt;"",E112&lt;&gt;"",G112&gt;E112),"ALERTA: REM_C2&gt;REM_C1",IF(AND(I112&lt;&gt;"",G112&lt;&gt;"",I112&gt;G112),"ALERTA: REM_C3&gt;REM_C2",IF(AND(K112&lt;&gt;"",I112&lt;&gt;"",K112&gt;I112),"ALERTA: REM_C4&gt;REM_C3","OK")))))</f>
        <v/>
      </c>
      <c r="V112" s="233">
        <f>IF(A112="","",IF(B112="","",IF(OR(B112&lt;0,E112&gt;B112,G112&gt;B112,I112&gt;B112,K112&gt;B112),"ALERTA: QTD_INVALIDA","OK")))</f>
        <v/>
      </c>
      <c r="W112" s="17" t="n"/>
      <c r="X112" s="17" t="n"/>
      <c r="Y112" s="17" t="n"/>
      <c r="Z112" s="17" t="n"/>
      <c r="AA112" s="17" t="n"/>
      <c r="AB112" s="231">
        <f>IF(OR(A112="",E112=""),"",ROUND(B112-E112,2))</f>
        <v/>
      </c>
      <c r="AC112" s="225">
        <f>IF(AND(A112="",A111&lt;&gt;"",COUNTIF(A113:$A$200,"&lt;&gt;")=0),ROUND(SUMIF($A$2:A111,"&lt;&gt;",$AC$2:AC111),2),IF(OR(A112="",E112=""),"",ROUND(D112-E112*C112,2)))</f>
        <v/>
      </c>
      <c r="AD112" s="17" t="n"/>
    </row>
    <row r="113">
      <c r="A113" s="227" t="n"/>
      <c r="B113" s="228" t="n"/>
      <c r="C113" s="229" t="n"/>
      <c r="D113" s="225">
        <f>IF(AND(A113="",A112&lt;&gt;"",COUNTIF(A114:$A$200,"&lt;&gt;")=0),ROUND(SUMIF($A$2:A112,"&lt;&gt;",$D$2:D112),2),IF(OR(A113="",B113="",C113=""),"",ROUND(B113*C113,2)))</f>
        <v/>
      </c>
      <c r="E113" s="230" t="n"/>
      <c r="F113" s="225">
        <f>IF(AND(A113="",A112&lt;&gt;"",COUNTIF(A114:$A$200,"&lt;&gt;")=0),ROUND(SUMIF($A$2:A112,"&lt;&gt;",$F$2:F112),2),IF(OR(A113="",E113="",C113="",NOT(ISNUMBER($Z$3))),"",ROUND(E113*C113*$Z$3,2)))</f>
        <v/>
      </c>
      <c r="G113" s="230" t="n"/>
      <c r="H113" s="225">
        <f>IF(AND(A113="",A112&lt;&gt;"",COUNTIF(A114:$A$200,"&lt;&gt;")=0),ROUND(SUMIF($A$2:A112,"&lt;&gt;",$H$2:H112),2),IF(OR(A113="",G113="",C113="",NOT(ISNUMBER($Z$4))),"",ROUND(G113*C113*$Z$4,2)))</f>
        <v/>
      </c>
      <c r="I113" s="230" t="n"/>
      <c r="J113" s="225">
        <f>IF(AND(A113="",A112&lt;&gt;"",COUNTIF(A114:$A$200,"&lt;&gt;")=0),ROUND(SUMIF($A$2:A112,"&lt;&gt;",$J$2:J112),2),IF(OR(A113="",I113="",C113="",NOT(ISNUMBER($Z$5))),"",ROUND(I113*C113*$Z$5,2)))</f>
        <v/>
      </c>
      <c r="K113" s="230" t="n"/>
      <c r="L113" s="225">
        <f>IF(AND(A113="",A112&lt;&gt;"",COUNTIF(A114:$A$200,"&lt;&gt;")=0),ROUND(SUMIF($A$2:A112,"&lt;&gt;",$L$2:L112),2),IF(OR(A113="",K113="",C113="",NOT(ISNUMBER($Z$6))),"",ROUND(K113*C113*$Z$6,2)))</f>
        <v/>
      </c>
      <c r="M113" s="231">
        <f>IF(OR(E113="",G113=""),"",ROUND(MAX(E113-G113,0),2))</f>
        <v/>
      </c>
      <c r="N113" s="225">
        <f>IF(AND(A113="",A112&lt;&gt;"",COUNTIF(A114:$A$200,"&lt;&gt;")=0),ROUND(SUMIF($A$2:A112,"&lt;&gt;",$N$2:N112),2),IF(OR(M113="",C113="",NOT(ISNUMBER($Z$3))),"",ROUND(M113*C113*$Z$3,2)))</f>
        <v/>
      </c>
      <c r="O113" s="231">
        <f>IF(OR(G113="",I113=""),"",ROUND(MAX(G113-I113,0),2))</f>
        <v/>
      </c>
      <c r="P113" s="225">
        <f>IF(AND(A113="",A112&lt;&gt;"",COUNTIF(A114:$A$200,"&lt;&gt;")=0),ROUND(SUMIF($A$2:A112,"&lt;&gt;",$P$2:P112),2),IF(OR(O113="",C113="",NOT(ISNUMBER($Z$4))),"",ROUND(O113*C113*$Z$4,2)))</f>
        <v/>
      </c>
      <c r="Q113" s="231">
        <f>IF(OR(I113="",K113=""),"",ROUND(MAX(I113-K113,0),2))</f>
        <v/>
      </c>
      <c r="R113" s="225">
        <f>IF(AND(A113="",A112&lt;&gt;"",COUNTIF(A114:$A$200,"&lt;&gt;")=0),ROUND(SUMIF($A$2:A112,"&lt;&gt;",$R$2:R112),2),IF(OR(Q113="",C113="",NOT(ISNUMBER($Z$5))),"",ROUND(Q113*C113*$Z$5,2)))</f>
        <v/>
      </c>
      <c r="S113" s="112" t="n"/>
      <c r="T113" s="245" t="n"/>
      <c r="U113" s="233">
        <f>IF(AND(A113="",A112&lt;&gt;"",COUNTIF(A114:$A$200,"&lt;&gt;")=0),"TOTAL",IF(A113="","",IF(AND(G113&lt;&gt;"",E113&lt;&gt;"",G113&gt;E113),"ALERTA: REM_C2&gt;REM_C1",IF(AND(I113&lt;&gt;"",G113&lt;&gt;"",I113&gt;G113),"ALERTA: REM_C3&gt;REM_C2",IF(AND(K113&lt;&gt;"",I113&lt;&gt;"",K113&gt;I113),"ALERTA: REM_C4&gt;REM_C3","OK")))))</f>
        <v/>
      </c>
      <c r="V113" s="233">
        <f>IF(A113="","",IF(B113="","",IF(OR(B113&lt;0,E113&gt;B113,G113&gt;B113,I113&gt;B113,K113&gt;B113),"ALERTA: QTD_INVALIDA","OK")))</f>
        <v/>
      </c>
      <c r="W113" s="17" t="n"/>
      <c r="X113" s="17" t="n"/>
      <c r="Y113" s="17" t="n"/>
      <c r="Z113" s="17" t="n"/>
      <c r="AA113" s="17" t="n"/>
      <c r="AB113" s="231">
        <f>IF(OR(A113="",E113=""),"",ROUND(B113-E113,2))</f>
        <v/>
      </c>
      <c r="AC113" s="225">
        <f>IF(AND(A113="",A112&lt;&gt;"",COUNTIF(A114:$A$200,"&lt;&gt;")=0),ROUND(SUMIF($A$2:A112,"&lt;&gt;",$AC$2:AC112),2),IF(OR(A113="",E113=""),"",ROUND(D113-E113*C113,2)))</f>
        <v/>
      </c>
      <c r="AD113" s="17" t="n"/>
    </row>
    <row r="114">
      <c r="A114" s="227" t="n"/>
      <c r="B114" s="228" t="n"/>
      <c r="C114" s="229" t="n"/>
      <c r="D114" s="225">
        <f>IF(AND(A114="",A113&lt;&gt;"",COUNTIF(A115:$A$200,"&lt;&gt;")=0),ROUND(SUMIF($A$2:A113,"&lt;&gt;",$D$2:D113),2),IF(OR(A114="",B114="",C114=""),"",ROUND(B114*C114,2)))</f>
        <v/>
      </c>
      <c r="E114" s="230" t="n"/>
      <c r="F114" s="225">
        <f>IF(AND(A114="",A113&lt;&gt;"",COUNTIF(A115:$A$200,"&lt;&gt;")=0),ROUND(SUMIF($A$2:A113,"&lt;&gt;",$F$2:F113),2),IF(OR(A114="",E114="",C114="",NOT(ISNUMBER($Z$3))),"",ROUND(E114*C114*$Z$3,2)))</f>
        <v/>
      </c>
      <c r="G114" s="230" t="n"/>
      <c r="H114" s="225">
        <f>IF(AND(A114="",A113&lt;&gt;"",COUNTIF(A115:$A$200,"&lt;&gt;")=0),ROUND(SUMIF($A$2:A113,"&lt;&gt;",$H$2:H113),2),IF(OR(A114="",G114="",C114="",NOT(ISNUMBER($Z$4))),"",ROUND(G114*C114*$Z$4,2)))</f>
        <v/>
      </c>
      <c r="I114" s="230" t="n"/>
      <c r="J114" s="225">
        <f>IF(AND(A114="",A113&lt;&gt;"",COUNTIF(A115:$A$200,"&lt;&gt;")=0),ROUND(SUMIF($A$2:A113,"&lt;&gt;",$J$2:J113),2),IF(OR(A114="",I114="",C114="",NOT(ISNUMBER($Z$5))),"",ROUND(I114*C114*$Z$5,2)))</f>
        <v/>
      </c>
      <c r="K114" s="230" t="n"/>
      <c r="L114" s="225">
        <f>IF(AND(A114="",A113&lt;&gt;"",COUNTIF(A115:$A$200,"&lt;&gt;")=0),ROUND(SUMIF($A$2:A113,"&lt;&gt;",$L$2:L113),2),IF(OR(A114="",K114="",C114="",NOT(ISNUMBER($Z$6))),"",ROUND(K114*C114*$Z$6,2)))</f>
        <v/>
      </c>
      <c r="M114" s="231">
        <f>IF(OR(E114="",G114=""),"",ROUND(MAX(E114-G114,0),2))</f>
        <v/>
      </c>
      <c r="N114" s="225">
        <f>IF(AND(A114="",A113&lt;&gt;"",COUNTIF(A115:$A$200,"&lt;&gt;")=0),ROUND(SUMIF($A$2:A113,"&lt;&gt;",$N$2:N113),2),IF(OR(M114="",C114="",NOT(ISNUMBER($Z$3))),"",ROUND(M114*C114*$Z$3,2)))</f>
        <v/>
      </c>
      <c r="O114" s="231">
        <f>IF(OR(G114="",I114=""),"",ROUND(MAX(G114-I114,0),2))</f>
        <v/>
      </c>
      <c r="P114" s="225">
        <f>IF(AND(A114="",A113&lt;&gt;"",COUNTIF(A115:$A$200,"&lt;&gt;")=0),ROUND(SUMIF($A$2:A113,"&lt;&gt;",$P$2:P113),2),IF(OR(O114="",C114="",NOT(ISNUMBER($Z$4))),"",ROUND(O114*C114*$Z$4,2)))</f>
        <v/>
      </c>
      <c r="Q114" s="231">
        <f>IF(OR(I114="",K114=""),"",ROUND(MAX(I114-K114,0),2))</f>
        <v/>
      </c>
      <c r="R114" s="225">
        <f>IF(AND(A114="",A113&lt;&gt;"",COUNTIF(A115:$A$200,"&lt;&gt;")=0),ROUND(SUMIF($A$2:A113,"&lt;&gt;",$R$2:R113),2),IF(OR(Q114="",C114="",NOT(ISNUMBER($Z$5))),"",ROUND(Q114*C114*$Z$5,2)))</f>
        <v/>
      </c>
      <c r="S114" s="112" t="n"/>
      <c r="T114" s="245" t="n"/>
      <c r="U114" s="233">
        <f>IF(AND(A114="",A113&lt;&gt;"",COUNTIF(A115:$A$200,"&lt;&gt;")=0),"TOTAL",IF(A114="","",IF(AND(G114&lt;&gt;"",E114&lt;&gt;"",G114&gt;E114),"ALERTA: REM_C2&gt;REM_C1",IF(AND(I114&lt;&gt;"",G114&lt;&gt;"",I114&gt;G114),"ALERTA: REM_C3&gt;REM_C2",IF(AND(K114&lt;&gt;"",I114&lt;&gt;"",K114&gt;I114),"ALERTA: REM_C4&gt;REM_C3","OK")))))</f>
        <v/>
      </c>
      <c r="V114" s="233">
        <f>IF(A114="","",IF(B114="","",IF(OR(B114&lt;0,E114&gt;B114,G114&gt;B114,I114&gt;B114,K114&gt;B114),"ALERTA: QTD_INVALIDA","OK")))</f>
        <v/>
      </c>
      <c r="W114" s="17" t="n"/>
      <c r="X114" s="17" t="n"/>
      <c r="Y114" s="17" t="n"/>
      <c r="Z114" s="17" t="n"/>
      <c r="AA114" s="17" t="n"/>
      <c r="AB114" s="231">
        <f>IF(OR(A114="",E114=""),"",ROUND(B114-E114,2))</f>
        <v/>
      </c>
      <c r="AC114" s="225">
        <f>IF(AND(A114="",A113&lt;&gt;"",COUNTIF(A115:$A$200,"&lt;&gt;")=0),ROUND(SUMIF($A$2:A113,"&lt;&gt;",$AC$2:AC113),2),IF(OR(A114="",E114=""),"",ROUND(D114-E114*C114,2)))</f>
        <v/>
      </c>
      <c r="AD114" s="17" t="n"/>
    </row>
    <row r="115">
      <c r="A115" s="227" t="n"/>
      <c r="B115" s="228" t="n"/>
      <c r="C115" s="229" t="n"/>
      <c r="D115" s="225">
        <f>IF(AND(A115="",A114&lt;&gt;"",COUNTIF(A116:$A$200,"&lt;&gt;")=0),ROUND(SUMIF($A$2:A114,"&lt;&gt;",$D$2:D114),2),IF(OR(A115="",B115="",C115=""),"",ROUND(B115*C115,2)))</f>
        <v/>
      </c>
      <c r="E115" s="230" t="n"/>
      <c r="F115" s="225">
        <f>IF(AND(A115="",A114&lt;&gt;"",COUNTIF(A116:$A$200,"&lt;&gt;")=0),ROUND(SUMIF($A$2:A114,"&lt;&gt;",$F$2:F114),2),IF(OR(A115="",E115="",C115="",NOT(ISNUMBER($Z$3))),"",ROUND(E115*C115*$Z$3,2)))</f>
        <v/>
      </c>
      <c r="G115" s="230" t="n"/>
      <c r="H115" s="225">
        <f>IF(AND(A115="",A114&lt;&gt;"",COUNTIF(A116:$A$200,"&lt;&gt;")=0),ROUND(SUMIF($A$2:A114,"&lt;&gt;",$H$2:H114),2),IF(OR(A115="",G115="",C115="",NOT(ISNUMBER($Z$4))),"",ROUND(G115*C115*$Z$4,2)))</f>
        <v/>
      </c>
      <c r="I115" s="230" t="n"/>
      <c r="J115" s="225">
        <f>IF(AND(A115="",A114&lt;&gt;"",COUNTIF(A116:$A$200,"&lt;&gt;")=0),ROUND(SUMIF($A$2:A114,"&lt;&gt;",$J$2:J114),2),IF(OR(A115="",I115="",C115="",NOT(ISNUMBER($Z$5))),"",ROUND(I115*C115*$Z$5,2)))</f>
        <v/>
      </c>
      <c r="K115" s="230" t="n"/>
      <c r="L115" s="225">
        <f>IF(AND(A115="",A114&lt;&gt;"",COUNTIF(A116:$A$200,"&lt;&gt;")=0),ROUND(SUMIF($A$2:A114,"&lt;&gt;",$L$2:L114),2),IF(OR(A115="",K115="",C115="",NOT(ISNUMBER($Z$6))),"",ROUND(K115*C115*$Z$6,2)))</f>
        <v/>
      </c>
      <c r="M115" s="231">
        <f>IF(OR(E115="",G115=""),"",ROUND(MAX(E115-G115,0),2))</f>
        <v/>
      </c>
      <c r="N115" s="225">
        <f>IF(AND(A115="",A114&lt;&gt;"",COUNTIF(A116:$A$200,"&lt;&gt;")=0),ROUND(SUMIF($A$2:A114,"&lt;&gt;",$N$2:N114),2),IF(OR(M115="",C115="",NOT(ISNUMBER($Z$3))),"",ROUND(M115*C115*$Z$3,2)))</f>
        <v/>
      </c>
      <c r="O115" s="231">
        <f>IF(OR(G115="",I115=""),"",ROUND(MAX(G115-I115,0),2))</f>
        <v/>
      </c>
      <c r="P115" s="225">
        <f>IF(AND(A115="",A114&lt;&gt;"",COUNTIF(A116:$A$200,"&lt;&gt;")=0),ROUND(SUMIF($A$2:A114,"&lt;&gt;",$P$2:P114),2),IF(OR(O115="",C115="",NOT(ISNUMBER($Z$4))),"",ROUND(O115*C115*$Z$4,2)))</f>
        <v/>
      </c>
      <c r="Q115" s="231">
        <f>IF(OR(I115="",K115=""),"",ROUND(MAX(I115-K115,0),2))</f>
        <v/>
      </c>
      <c r="R115" s="225">
        <f>IF(AND(A115="",A114&lt;&gt;"",COUNTIF(A116:$A$200,"&lt;&gt;")=0),ROUND(SUMIF($A$2:A114,"&lt;&gt;",$R$2:R114),2),IF(OR(Q115="",C115="",NOT(ISNUMBER($Z$5))),"",ROUND(Q115*C115*$Z$5,2)))</f>
        <v/>
      </c>
      <c r="S115" s="112" t="n"/>
      <c r="T115" s="245" t="n"/>
      <c r="U115" s="233">
        <f>IF(AND(A115="",A114&lt;&gt;"",COUNTIF(A116:$A$200,"&lt;&gt;")=0),"TOTAL",IF(A115="","",IF(AND(G115&lt;&gt;"",E115&lt;&gt;"",G115&gt;E115),"ALERTA: REM_C2&gt;REM_C1",IF(AND(I115&lt;&gt;"",G115&lt;&gt;"",I115&gt;G115),"ALERTA: REM_C3&gt;REM_C2",IF(AND(K115&lt;&gt;"",I115&lt;&gt;"",K115&gt;I115),"ALERTA: REM_C4&gt;REM_C3","OK")))))</f>
        <v/>
      </c>
      <c r="V115" s="233">
        <f>IF(A115="","",IF(B115="","",IF(OR(B115&lt;0,E115&gt;B115,G115&gt;B115,I115&gt;B115,K115&gt;B115),"ALERTA: QTD_INVALIDA","OK")))</f>
        <v/>
      </c>
      <c r="W115" s="17" t="n"/>
      <c r="X115" s="17" t="n"/>
      <c r="Y115" s="17" t="n"/>
      <c r="Z115" s="17" t="n"/>
      <c r="AA115" s="17" t="n"/>
      <c r="AB115" s="231">
        <f>IF(OR(A115="",E115=""),"",ROUND(B115-E115,2))</f>
        <v/>
      </c>
      <c r="AC115" s="225">
        <f>IF(AND(A115="",A114&lt;&gt;"",COUNTIF(A116:$A$200,"&lt;&gt;")=0),ROUND(SUMIF($A$2:A114,"&lt;&gt;",$AC$2:AC114),2),IF(OR(A115="",E115=""),"",ROUND(D115-E115*C115,2)))</f>
        <v/>
      </c>
      <c r="AD115" s="17" t="n"/>
    </row>
    <row r="116">
      <c r="A116" s="227" t="n"/>
      <c r="B116" s="228" t="n"/>
      <c r="C116" s="229" t="n"/>
      <c r="D116" s="225">
        <f>IF(AND(A116="",A115&lt;&gt;"",COUNTIF(A117:$A$200,"&lt;&gt;")=0),ROUND(SUMIF($A$2:A115,"&lt;&gt;",$D$2:D115),2),IF(OR(A116="",B116="",C116=""),"",ROUND(B116*C116,2)))</f>
        <v/>
      </c>
      <c r="E116" s="230" t="n"/>
      <c r="F116" s="225">
        <f>IF(AND(A116="",A115&lt;&gt;"",COUNTIF(A117:$A$200,"&lt;&gt;")=0),ROUND(SUMIF($A$2:A115,"&lt;&gt;",$F$2:F115),2),IF(OR(A116="",E116="",C116="",NOT(ISNUMBER($Z$3))),"",ROUND(E116*C116*$Z$3,2)))</f>
        <v/>
      </c>
      <c r="G116" s="230" t="n"/>
      <c r="H116" s="225">
        <f>IF(AND(A116="",A115&lt;&gt;"",COUNTIF(A117:$A$200,"&lt;&gt;")=0),ROUND(SUMIF($A$2:A115,"&lt;&gt;",$H$2:H115),2),IF(OR(A116="",G116="",C116="",NOT(ISNUMBER($Z$4))),"",ROUND(G116*C116*$Z$4,2)))</f>
        <v/>
      </c>
      <c r="I116" s="230" t="n"/>
      <c r="J116" s="225">
        <f>IF(AND(A116="",A115&lt;&gt;"",COUNTIF(A117:$A$200,"&lt;&gt;")=0),ROUND(SUMIF($A$2:A115,"&lt;&gt;",$J$2:J115),2),IF(OR(A116="",I116="",C116="",NOT(ISNUMBER($Z$5))),"",ROUND(I116*C116*$Z$5,2)))</f>
        <v/>
      </c>
      <c r="K116" s="230" t="n"/>
      <c r="L116" s="225">
        <f>IF(AND(A116="",A115&lt;&gt;"",COUNTIF(A117:$A$200,"&lt;&gt;")=0),ROUND(SUMIF($A$2:A115,"&lt;&gt;",$L$2:L115),2),IF(OR(A116="",K116="",C116="",NOT(ISNUMBER($Z$6))),"",ROUND(K116*C116*$Z$6,2)))</f>
        <v/>
      </c>
      <c r="M116" s="231">
        <f>IF(OR(E116="",G116=""),"",ROUND(MAX(E116-G116,0),2))</f>
        <v/>
      </c>
      <c r="N116" s="225">
        <f>IF(AND(A116="",A115&lt;&gt;"",COUNTIF(A117:$A$200,"&lt;&gt;")=0),ROUND(SUMIF($A$2:A115,"&lt;&gt;",$N$2:N115),2),IF(OR(M116="",C116="",NOT(ISNUMBER($Z$3))),"",ROUND(M116*C116*$Z$3,2)))</f>
        <v/>
      </c>
      <c r="O116" s="231">
        <f>IF(OR(G116="",I116=""),"",ROUND(MAX(G116-I116,0),2))</f>
        <v/>
      </c>
      <c r="P116" s="225">
        <f>IF(AND(A116="",A115&lt;&gt;"",COUNTIF(A117:$A$200,"&lt;&gt;")=0),ROUND(SUMIF($A$2:A115,"&lt;&gt;",$P$2:P115),2),IF(OR(O116="",C116="",NOT(ISNUMBER($Z$4))),"",ROUND(O116*C116*$Z$4,2)))</f>
        <v/>
      </c>
      <c r="Q116" s="231">
        <f>IF(OR(I116="",K116=""),"",ROUND(MAX(I116-K116,0),2))</f>
        <v/>
      </c>
      <c r="R116" s="225">
        <f>IF(AND(A116="",A115&lt;&gt;"",COUNTIF(A117:$A$200,"&lt;&gt;")=0),ROUND(SUMIF($A$2:A115,"&lt;&gt;",$R$2:R115),2),IF(OR(Q116="",C116="",NOT(ISNUMBER($Z$5))),"",ROUND(Q116*C116*$Z$5,2)))</f>
        <v/>
      </c>
      <c r="S116" s="112" t="n"/>
      <c r="T116" s="245" t="n"/>
      <c r="U116" s="233">
        <f>IF(AND(A116="",A115&lt;&gt;"",COUNTIF(A117:$A$200,"&lt;&gt;")=0),"TOTAL",IF(A116="","",IF(AND(G116&lt;&gt;"",E116&lt;&gt;"",G116&gt;E116),"ALERTA: REM_C2&gt;REM_C1",IF(AND(I116&lt;&gt;"",G116&lt;&gt;"",I116&gt;G116),"ALERTA: REM_C3&gt;REM_C2",IF(AND(K116&lt;&gt;"",I116&lt;&gt;"",K116&gt;I116),"ALERTA: REM_C4&gt;REM_C3","OK")))))</f>
        <v/>
      </c>
      <c r="V116" s="233">
        <f>IF(A116="","",IF(B116="","",IF(OR(B116&lt;0,E116&gt;B116,G116&gt;B116,I116&gt;B116,K116&gt;B116),"ALERTA: QTD_INVALIDA","OK")))</f>
        <v/>
      </c>
      <c r="W116" s="17" t="n"/>
      <c r="X116" s="17" t="n"/>
      <c r="Y116" s="17" t="n"/>
      <c r="Z116" s="17" t="n"/>
      <c r="AA116" s="17" t="n"/>
      <c r="AB116" s="231">
        <f>IF(OR(A116="",E116=""),"",ROUND(B116-E116,2))</f>
        <v/>
      </c>
      <c r="AC116" s="225">
        <f>IF(AND(A116="",A115&lt;&gt;"",COUNTIF(A117:$A$200,"&lt;&gt;")=0),ROUND(SUMIF($A$2:A115,"&lt;&gt;",$AC$2:AC115),2),IF(OR(A116="",E116=""),"",ROUND(D116-E116*C116,2)))</f>
        <v/>
      </c>
      <c r="AD116" s="17" t="n"/>
    </row>
    <row r="117">
      <c r="A117" s="227" t="n"/>
      <c r="B117" s="228" t="n"/>
      <c r="C117" s="229" t="n"/>
      <c r="D117" s="225">
        <f>IF(AND(A117="",A116&lt;&gt;"",COUNTIF(A118:$A$200,"&lt;&gt;")=0),ROUND(SUMIF($A$2:A116,"&lt;&gt;",$D$2:D116),2),IF(OR(A117="",B117="",C117=""),"",ROUND(B117*C117,2)))</f>
        <v/>
      </c>
      <c r="E117" s="230" t="n"/>
      <c r="F117" s="225">
        <f>IF(AND(A117="",A116&lt;&gt;"",COUNTIF(A118:$A$200,"&lt;&gt;")=0),ROUND(SUMIF($A$2:A116,"&lt;&gt;",$F$2:F116),2),IF(OR(A117="",E117="",C117="",NOT(ISNUMBER($Z$3))),"",ROUND(E117*C117*$Z$3,2)))</f>
        <v/>
      </c>
      <c r="G117" s="230" t="n"/>
      <c r="H117" s="225">
        <f>IF(AND(A117="",A116&lt;&gt;"",COUNTIF(A118:$A$200,"&lt;&gt;")=0),ROUND(SUMIF($A$2:A116,"&lt;&gt;",$H$2:H116),2),IF(OR(A117="",G117="",C117="",NOT(ISNUMBER($Z$4))),"",ROUND(G117*C117*$Z$4,2)))</f>
        <v/>
      </c>
      <c r="I117" s="230" t="n"/>
      <c r="J117" s="225">
        <f>IF(AND(A117="",A116&lt;&gt;"",COUNTIF(A118:$A$200,"&lt;&gt;")=0),ROUND(SUMIF($A$2:A116,"&lt;&gt;",$J$2:J116),2),IF(OR(A117="",I117="",C117="",NOT(ISNUMBER($Z$5))),"",ROUND(I117*C117*$Z$5,2)))</f>
        <v/>
      </c>
      <c r="K117" s="230" t="n"/>
      <c r="L117" s="225">
        <f>IF(AND(A117="",A116&lt;&gt;"",COUNTIF(A118:$A$200,"&lt;&gt;")=0),ROUND(SUMIF($A$2:A116,"&lt;&gt;",$L$2:L116),2),IF(OR(A117="",K117="",C117="",NOT(ISNUMBER($Z$6))),"",ROUND(K117*C117*$Z$6,2)))</f>
        <v/>
      </c>
      <c r="M117" s="231">
        <f>IF(OR(E117="",G117=""),"",ROUND(MAX(E117-G117,0),2))</f>
        <v/>
      </c>
      <c r="N117" s="225">
        <f>IF(AND(A117="",A116&lt;&gt;"",COUNTIF(A118:$A$200,"&lt;&gt;")=0),ROUND(SUMIF($A$2:A116,"&lt;&gt;",$N$2:N116),2),IF(OR(M117="",C117="",NOT(ISNUMBER($Z$3))),"",ROUND(M117*C117*$Z$3,2)))</f>
        <v/>
      </c>
      <c r="O117" s="231">
        <f>IF(OR(G117="",I117=""),"",ROUND(MAX(G117-I117,0),2))</f>
        <v/>
      </c>
      <c r="P117" s="225">
        <f>IF(AND(A117="",A116&lt;&gt;"",COUNTIF(A118:$A$200,"&lt;&gt;")=0),ROUND(SUMIF($A$2:A116,"&lt;&gt;",$P$2:P116),2),IF(OR(O117="",C117="",NOT(ISNUMBER($Z$4))),"",ROUND(O117*C117*$Z$4,2)))</f>
        <v/>
      </c>
      <c r="Q117" s="231">
        <f>IF(OR(I117="",K117=""),"",ROUND(MAX(I117-K117,0),2))</f>
        <v/>
      </c>
      <c r="R117" s="225">
        <f>IF(AND(A117="",A116&lt;&gt;"",COUNTIF(A118:$A$200,"&lt;&gt;")=0),ROUND(SUMIF($A$2:A116,"&lt;&gt;",$R$2:R116),2),IF(OR(Q117="",C117="",NOT(ISNUMBER($Z$5))),"",ROUND(Q117*C117*$Z$5,2)))</f>
        <v/>
      </c>
      <c r="S117" s="112" t="n"/>
      <c r="T117" s="245" t="n"/>
      <c r="U117" s="233">
        <f>IF(AND(A117="",A116&lt;&gt;"",COUNTIF(A118:$A$200,"&lt;&gt;")=0),"TOTAL",IF(A117="","",IF(AND(G117&lt;&gt;"",E117&lt;&gt;"",G117&gt;E117),"ALERTA: REM_C2&gt;REM_C1",IF(AND(I117&lt;&gt;"",G117&lt;&gt;"",I117&gt;G117),"ALERTA: REM_C3&gt;REM_C2",IF(AND(K117&lt;&gt;"",I117&lt;&gt;"",K117&gt;I117),"ALERTA: REM_C4&gt;REM_C3","OK")))))</f>
        <v/>
      </c>
      <c r="V117" s="233">
        <f>IF(A117="","",IF(B117="","",IF(OR(B117&lt;0,E117&gt;B117,G117&gt;B117,I117&gt;B117,K117&gt;B117),"ALERTA: QTD_INVALIDA","OK")))</f>
        <v/>
      </c>
      <c r="W117" s="17" t="n"/>
      <c r="X117" s="17" t="n"/>
      <c r="Y117" s="17" t="n"/>
      <c r="Z117" s="17" t="n"/>
      <c r="AA117" s="17" t="n"/>
      <c r="AB117" s="231">
        <f>IF(OR(A117="",E117=""),"",ROUND(B117-E117,2))</f>
        <v/>
      </c>
      <c r="AC117" s="225">
        <f>IF(AND(A117="",A116&lt;&gt;"",COUNTIF(A118:$A$200,"&lt;&gt;")=0),ROUND(SUMIF($A$2:A116,"&lt;&gt;",$AC$2:AC116),2),IF(OR(A117="",E117=""),"",ROUND(D117-E117*C117,2)))</f>
        <v/>
      </c>
      <c r="AD117" s="17" t="n"/>
    </row>
    <row r="118">
      <c r="A118" s="227" t="n"/>
      <c r="B118" s="228" t="n"/>
      <c r="C118" s="229" t="n"/>
      <c r="D118" s="225">
        <f>IF(AND(A118="",A117&lt;&gt;"",COUNTIF(A119:$A$200,"&lt;&gt;")=0),ROUND(SUMIF($A$2:A117,"&lt;&gt;",$D$2:D117),2),IF(OR(A118="",B118="",C118=""),"",ROUND(B118*C118,2)))</f>
        <v/>
      </c>
      <c r="E118" s="230" t="n"/>
      <c r="F118" s="225">
        <f>IF(AND(A118="",A117&lt;&gt;"",COUNTIF(A119:$A$200,"&lt;&gt;")=0),ROUND(SUMIF($A$2:A117,"&lt;&gt;",$F$2:F117),2),IF(OR(A118="",E118="",C118="",NOT(ISNUMBER($Z$3))),"",ROUND(E118*C118*$Z$3,2)))</f>
        <v/>
      </c>
      <c r="G118" s="230" t="n"/>
      <c r="H118" s="225">
        <f>IF(AND(A118="",A117&lt;&gt;"",COUNTIF(A119:$A$200,"&lt;&gt;")=0),ROUND(SUMIF($A$2:A117,"&lt;&gt;",$H$2:H117),2),IF(OR(A118="",G118="",C118="",NOT(ISNUMBER($Z$4))),"",ROUND(G118*C118*$Z$4,2)))</f>
        <v/>
      </c>
      <c r="I118" s="230" t="n"/>
      <c r="J118" s="225">
        <f>IF(AND(A118="",A117&lt;&gt;"",COUNTIF(A119:$A$200,"&lt;&gt;")=0),ROUND(SUMIF($A$2:A117,"&lt;&gt;",$J$2:J117),2),IF(OR(A118="",I118="",C118="",NOT(ISNUMBER($Z$5))),"",ROUND(I118*C118*$Z$5,2)))</f>
        <v/>
      </c>
      <c r="K118" s="230" t="n"/>
      <c r="L118" s="225">
        <f>IF(AND(A118="",A117&lt;&gt;"",COUNTIF(A119:$A$200,"&lt;&gt;")=0),ROUND(SUMIF($A$2:A117,"&lt;&gt;",$L$2:L117),2),IF(OR(A118="",K118="",C118="",NOT(ISNUMBER($Z$6))),"",ROUND(K118*C118*$Z$6,2)))</f>
        <v/>
      </c>
      <c r="M118" s="231">
        <f>IF(OR(E118="",G118=""),"",ROUND(MAX(E118-G118,0),2))</f>
        <v/>
      </c>
      <c r="N118" s="225">
        <f>IF(AND(A118="",A117&lt;&gt;"",COUNTIF(A119:$A$200,"&lt;&gt;")=0),ROUND(SUMIF($A$2:A117,"&lt;&gt;",$N$2:N117),2),IF(OR(M118="",C118="",NOT(ISNUMBER($Z$3))),"",ROUND(M118*C118*$Z$3,2)))</f>
        <v/>
      </c>
      <c r="O118" s="231">
        <f>IF(OR(G118="",I118=""),"",ROUND(MAX(G118-I118,0),2))</f>
        <v/>
      </c>
      <c r="P118" s="225">
        <f>IF(AND(A118="",A117&lt;&gt;"",COUNTIF(A119:$A$200,"&lt;&gt;")=0),ROUND(SUMIF($A$2:A117,"&lt;&gt;",$P$2:P117),2),IF(OR(O118="",C118="",NOT(ISNUMBER($Z$4))),"",ROUND(O118*C118*$Z$4,2)))</f>
        <v/>
      </c>
      <c r="Q118" s="231">
        <f>IF(OR(I118="",K118=""),"",ROUND(MAX(I118-K118,0),2))</f>
        <v/>
      </c>
      <c r="R118" s="225">
        <f>IF(AND(A118="",A117&lt;&gt;"",COUNTIF(A119:$A$200,"&lt;&gt;")=0),ROUND(SUMIF($A$2:A117,"&lt;&gt;",$R$2:R117),2),IF(OR(Q118="",C118="",NOT(ISNUMBER($Z$5))),"",ROUND(Q118*C118*$Z$5,2)))</f>
        <v/>
      </c>
      <c r="S118" s="112" t="n"/>
      <c r="T118" s="245" t="n"/>
      <c r="U118" s="233">
        <f>IF(AND(A118="",A117&lt;&gt;"",COUNTIF(A119:$A$200,"&lt;&gt;")=0),"TOTAL",IF(A118="","",IF(AND(G118&lt;&gt;"",E118&lt;&gt;"",G118&gt;E118),"ALERTA: REM_C2&gt;REM_C1",IF(AND(I118&lt;&gt;"",G118&lt;&gt;"",I118&gt;G118),"ALERTA: REM_C3&gt;REM_C2",IF(AND(K118&lt;&gt;"",I118&lt;&gt;"",K118&gt;I118),"ALERTA: REM_C4&gt;REM_C3","OK")))))</f>
        <v/>
      </c>
      <c r="V118" s="233">
        <f>IF(A118="","",IF(B118="","",IF(OR(B118&lt;0,E118&gt;B118,G118&gt;B118,I118&gt;B118,K118&gt;B118),"ALERTA: QTD_INVALIDA","OK")))</f>
        <v/>
      </c>
      <c r="W118" s="17" t="n"/>
      <c r="X118" s="17" t="n"/>
      <c r="Y118" s="17" t="n"/>
      <c r="Z118" s="17" t="n"/>
      <c r="AA118" s="17" t="n"/>
      <c r="AB118" s="231">
        <f>IF(OR(A118="",E118=""),"",ROUND(B118-E118,2))</f>
        <v/>
      </c>
      <c r="AC118" s="225">
        <f>IF(AND(A118="",A117&lt;&gt;"",COUNTIF(A119:$A$200,"&lt;&gt;")=0),ROUND(SUMIF($A$2:A117,"&lt;&gt;",$AC$2:AC117),2),IF(OR(A118="",E118=""),"",ROUND(D118-E118*C118,2)))</f>
        <v/>
      </c>
      <c r="AD118" s="17" t="n"/>
    </row>
    <row r="119">
      <c r="A119" s="227" t="n"/>
      <c r="B119" s="228" t="n"/>
      <c r="C119" s="229" t="n"/>
      <c r="D119" s="225">
        <f>IF(AND(A119="",A118&lt;&gt;"",COUNTIF(A120:$A$200,"&lt;&gt;")=0),ROUND(SUMIF($A$2:A118,"&lt;&gt;",$D$2:D118),2),IF(OR(A119="",B119="",C119=""),"",ROUND(B119*C119,2)))</f>
        <v/>
      </c>
      <c r="E119" s="230" t="n"/>
      <c r="F119" s="225">
        <f>IF(AND(A119="",A118&lt;&gt;"",COUNTIF(A120:$A$200,"&lt;&gt;")=0),ROUND(SUMIF($A$2:A118,"&lt;&gt;",$F$2:F118),2),IF(OR(A119="",E119="",C119="",NOT(ISNUMBER($Z$3))),"",ROUND(E119*C119*$Z$3,2)))</f>
        <v/>
      </c>
      <c r="G119" s="230" t="n"/>
      <c r="H119" s="225">
        <f>IF(AND(A119="",A118&lt;&gt;"",COUNTIF(A120:$A$200,"&lt;&gt;")=0),ROUND(SUMIF($A$2:A118,"&lt;&gt;",$H$2:H118),2),IF(OR(A119="",G119="",C119="",NOT(ISNUMBER($Z$4))),"",ROUND(G119*C119*$Z$4,2)))</f>
        <v/>
      </c>
      <c r="I119" s="230" t="n"/>
      <c r="J119" s="225">
        <f>IF(AND(A119="",A118&lt;&gt;"",COUNTIF(A120:$A$200,"&lt;&gt;")=0),ROUND(SUMIF($A$2:A118,"&lt;&gt;",$J$2:J118),2),IF(OR(A119="",I119="",C119="",NOT(ISNUMBER($Z$5))),"",ROUND(I119*C119*$Z$5,2)))</f>
        <v/>
      </c>
      <c r="K119" s="230" t="n"/>
      <c r="L119" s="225">
        <f>IF(AND(A119="",A118&lt;&gt;"",COUNTIF(A120:$A$200,"&lt;&gt;")=0),ROUND(SUMIF($A$2:A118,"&lt;&gt;",$L$2:L118),2),IF(OR(A119="",K119="",C119="",NOT(ISNUMBER($Z$6))),"",ROUND(K119*C119*$Z$6,2)))</f>
        <v/>
      </c>
      <c r="M119" s="231">
        <f>IF(OR(E119="",G119=""),"",ROUND(MAX(E119-G119,0),2))</f>
        <v/>
      </c>
      <c r="N119" s="225">
        <f>IF(AND(A119="",A118&lt;&gt;"",COUNTIF(A120:$A$200,"&lt;&gt;")=0),ROUND(SUMIF($A$2:A118,"&lt;&gt;",$N$2:N118),2),IF(OR(M119="",C119="",NOT(ISNUMBER($Z$3))),"",ROUND(M119*C119*$Z$3,2)))</f>
        <v/>
      </c>
      <c r="O119" s="231">
        <f>IF(OR(G119="",I119=""),"",ROUND(MAX(G119-I119,0),2))</f>
        <v/>
      </c>
      <c r="P119" s="225">
        <f>IF(AND(A119="",A118&lt;&gt;"",COUNTIF(A120:$A$200,"&lt;&gt;")=0),ROUND(SUMIF($A$2:A118,"&lt;&gt;",$P$2:P118),2),IF(OR(O119="",C119="",NOT(ISNUMBER($Z$4))),"",ROUND(O119*C119*$Z$4,2)))</f>
        <v/>
      </c>
      <c r="Q119" s="231">
        <f>IF(OR(I119="",K119=""),"",ROUND(MAX(I119-K119,0),2))</f>
        <v/>
      </c>
      <c r="R119" s="225">
        <f>IF(AND(A119="",A118&lt;&gt;"",COUNTIF(A120:$A$200,"&lt;&gt;")=0),ROUND(SUMIF($A$2:A118,"&lt;&gt;",$R$2:R118),2),IF(OR(Q119="",C119="",NOT(ISNUMBER($Z$5))),"",ROUND(Q119*C119*$Z$5,2)))</f>
        <v/>
      </c>
      <c r="S119" s="112" t="n"/>
      <c r="T119" s="245" t="n"/>
      <c r="U119" s="233">
        <f>IF(AND(A119="",A118&lt;&gt;"",COUNTIF(A120:$A$200,"&lt;&gt;")=0),"TOTAL",IF(A119="","",IF(AND(G119&lt;&gt;"",E119&lt;&gt;"",G119&gt;E119),"ALERTA: REM_C2&gt;REM_C1",IF(AND(I119&lt;&gt;"",G119&lt;&gt;"",I119&gt;G119),"ALERTA: REM_C3&gt;REM_C2",IF(AND(K119&lt;&gt;"",I119&lt;&gt;"",K119&gt;I119),"ALERTA: REM_C4&gt;REM_C3","OK")))))</f>
        <v/>
      </c>
      <c r="V119" s="233">
        <f>IF(A119="","",IF(B119="","",IF(OR(B119&lt;0,E119&gt;B119,G119&gt;B119,I119&gt;B119,K119&gt;B119),"ALERTA: QTD_INVALIDA","OK")))</f>
        <v/>
      </c>
      <c r="W119" s="17" t="n"/>
      <c r="X119" s="17" t="n"/>
      <c r="Y119" s="17" t="n"/>
      <c r="Z119" s="17" t="n"/>
      <c r="AA119" s="17" t="n"/>
      <c r="AB119" s="231">
        <f>IF(OR(A119="",E119=""),"",ROUND(B119-E119,2))</f>
        <v/>
      </c>
      <c r="AC119" s="225">
        <f>IF(AND(A119="",A118&lt;&gt;"",COUNTIF(A120:$A$200,"&lt;&gt;")=0),ROUND(SUMIF($A$2:A118,"&lt;&gt;",$AC$2:AC118),2),IF(OR(A119="",E119=""),"",ROUND(D119-E119*C119,2)))</f>
        <v/>
      </c>
      <c r="AD119" s="17" t="n"/>
    </row>
    <row r="120">
      <c r="A120" s="227" t="n"/>
      <c r="B120" s="228" t="n"/>
      <c r="C120" s="229" t="n"/>
      <c r="D120" s="225">
        <f>IF(AND(A120="",A119&lt;&gt;"",COUNTIF(A121:$A$200,"&lt;&gt;")=0),ROUND(SUMIF($A$2:A119,"&lt;&gt;",$D$2:D119),2),IF(OR(A120="",B120="",C120=""),"",ROUND(B120*C120,2)))</f>
        <v/>
      </c>
      <c r="E120" s="230" t="n"/>
      <c r="F120" s="225">
        <f>IF(AND(A120="",A119&lt;&gt;"",COUNTIF(A121:$A$200,"&lt;&gt;")=0),ROUND(SUMIF($A$2:A119,"&lt;&gt;",$F$2:F119),2),IF(OR(A120="",E120="",C120="",NOT(ISNUMBER($Z$3))),"",ROUND(E120*C120*$Z$3,2)))</f>
        <v/>
      </c>
      <c r="G120" s="230" t="n"/>
      <c r="H120" s="225">
        <f>IF(AND(A120="",A119&lt;&gt;"",COUNTIF(A121:$A$200,"&lt;&gt;")=0),ROUND(SUMIF($A$2:A119,"&lt;&gt;",$H$2:H119),2),IF(OR(A120="",G120="",C120="",NOT(ISNUMBER($Z$4))),"",ROUND(G120*C120*$Z$4,2)))</f>
        <v/>
      </c>
      <c r="I120" s="230" t="n"/>
      <c r="J120" s="225">
        <f>IF(AND(A120="",A119&lt;&gt;"",COUNTIF(A121:$A$200,"&lt;&gt;")=0),ROUND(SUMIF($A$2:A119,"&lt;&gt;",$J$2:J119),2),IF(OR(A120="",I120="",C120="",NOT(ISNUMBER($Z$5))),"",ROUND(I120*C120*$Z$5,2)))</f>
        <v/>
      </c>
      <c r="K120" s="230" t="n"/>
      <c r="L120" s="225">
        <f>IF(AND(A120="",A119&lt;&gt;"",COUNTIF(A121:$A$200,"&lt;&gt;")=0),ROUND(SUMIF($A$2:A119,"&lt;&gt;",$L$2:L119),2),IF(OR(A120="",K120="",C120="",NOT(ISNUMBER($Z$6))),"",ROUND(K120*C120*$Z$6,2)))</f>
        <v/>
      </c>
      <c r="M120" s="231">
        <f>IF(OR(E120="",G120=""),"",ROUND(MAX(E120-G120,0),2))</f>
        <v/>
      </c>
      <c r="N120" s="225">
        <f>IF(AND(A120="",A119&lt;&gt;"",COUNTIF(A121:$A$200,"&lt;&gt;")=0),ROUND(SUMIF($A$2:A119,"&lt;&gt;",$N$2:N119),2),IF(OR(M120="",C120="",NOT(ISNUMBER($Z$3))),"",ROUND(M120*C120*$Z$3,2)))</f>
        <v/>
      </c>
      <c r="O120" s="231">
        <f>IF(OR(G120="",I120=""),"",ROUND(MAX(G120-I120,0),2))</f>
        <v/>
      </c>
      <c r="P120" s="225">
        <f>IF(AND(A120="",A119&lt;&gt;"",COUNTIF(A121:$A$200,"&lt;&gt;")=0),ROUND(SUMIF($A$2:A119,"&lt;&gt;",$P$2:P119),2),IF(OR(O120="",C120="",NOT(ISNUMBER($Z$4))),"",ROUND(O120*C120*$Z$4,2)))</f>
        <v/>
      </c>
      <c r="Q120" s="231">
        <f>IF(OR(I120="",K120=""),"",ROUND(MAX(I120-K120,0),2))</f>
        <v/>
      </c>
      <c r="R120" s="225">
        <f>IF(AND(A120="",A119&lt;&gt;"",COUNTIF(A121:$A$200,"&lt;&gt;")=0),ROUND(SUMIF($A$2:A119,"&lt;&gt;",$R$2:R119),2),IF(OR(Q120="",C120="",NOT(ISNUMBER($Z$5))),"",ROUND(Q120*C120*$Z$5,2)))</f>
        <v/>
      </c>
      <c r="S120" s="112" t="n"/>
      <c r="T120" s="245" t="n"/>
      <c r="U120" s="233">
        <f>IF(AND(A120="",A119&lt;&gt;"",COUNTIF(A121:$A$200,"&lt;&gt;")=0),"TOTAL",IF(A120="","",IF(AND(G120&lt;&gt;"",E120&lt;&gt;"",G120&gt;E120),"ALERTA: REM_C2&gt;REM_C1",IF(AND(I120&lt;&gt;"",G120&lt;&gt;"",I120&gt;G120),"ALERTA: REM_C3&gt;REM_C2",IF(AND(K120&lt;&gt;"",I120&lt;&gt;"",K120&gt;I120),"ALERTA: REM_C4&gt;REM_C3","OK")))))</f>
        <v/>
      </c>
      <c r="V120" s="233">
        <f>IF(A120="","",IF(B120="","",IF(OR(B120&lt;0,E120&gt;B120,G120&gt;B120,I120&gt;B120,K120&gt;B120),"ALERTA: QTD_INVALIDA","OK")))</f>
        <v/>
      </c>
      <c r="W120" s="17" t="n"/>
      <c r="X120" s="17" t="n"/>
      <c r="Y120" s="17" t="n"/>
      <c r="Z120" s="17" t="n"/>
      <c r="AA120" s="17" t="n"/>
      <c r="AB120" s="231">
        <f>IF(OR(A120="",E120=""),"",ROUND(B120-E120,2))</f>
        <v/>
      </c>
      <c r="AC120" s="225">
        <f>IF(AND(A120="",A119&lt;&gt;"",COUNTIF(A121:$A$200,"&lt;&gt;")=0),ROUND(SUMIF($A$2:A119,"&lt;&gt;",$AC$2:AC119),2),IF(OR(A120="",E120=""),"",ROUND(D120-E120*C120,2)))</f>
        <v/>
      </c>
      <c r="AD120" s="17" t="n"/>
    </row>
    <row r="121">
      <c r="A121" s="227" t="n"/>
      <c r="B121" s="228" t="n"/>
      <c r="C121" s="229" t="n"/>
      <c r="D121" s="225">
        <f>IF(AND(A121="",A120&lt;&gt;"",COUNTIF(A122:$A$200,"&lt;&gt;")=0),ROUND(SUMIF($A$2:A120,"&lt;&gt;",$D$2:D120),2),IF(OR(A121="",B121="",C121=""),"",ROUND(B121*C121,2)))</f>
        <v/>
      </c>
      <c r="E121" s="230" t="n"/>
      <c r="F121" s="225">
        <f>IF(AND(A121="",A120&lt;&gt;"",COUNTIF(A122:$A$200,"&lt;&gt;")=0),ROUND(SUMIF($A$2:A120,"&lt;&gt;",$F$2:F120),2),IF(OR(A121="",E121="",C121="",NOT(ISNUMBER($Z$3))),"",ROUND(E121*C121*$Z$3,2)))</f>
        <v/>
      </c>
      <c r="G121" s="230" t="n"/>
      <c r="H121" s="225">
        <f>IF(AND(A121="",A120&lt;&gt;"",COUNTIF(A122:$A$200,"&lt;&gt;")=0),ROUND(SUMIF($A$2:A120,"&lt;&gt;",$H$2:H120),2),IF(OR(A121="",G121="",C121="",NOT(ISNUMBER($Z$4))),"",ROUND(G121*C121*$Z$4,2)))</f>
        <v/>
      </c>
      <c r="I121" s="230" t="n"/>
      <c r="J121" s="225">
        <f>IF(AND(A121="",A120&lt;&gt;"",COUNTIF(A122:$A$200,"&lt;&gt;")=0),ROUND(SUMIF($A$2:A120,"&lt;&gt;",$J$2:J120),2),IF(OR(A121="",I121="",C121="",NOT(ISNUMBER($Z$5))),"",ROUND(I121*C121*$Z$5,2)))</f>
        <v/>
      </c>
      <c r="K121" s="230" t="n"/>
      <c r="L121" s="225">
        <f>IF(AND(A121="",A120&lt;&gt;"",COUNTIF(A122:$A$200,"&lt;&gt;")=0),ROUND(SUMIF($A$2:A120,"&lt;&gt;",$L$2:L120),2),IF(OR(A121="",K121="",C121="",NOT(ISNUMBER($Z$6))),"",ROUND(K121*C121*$Z$6,2)))</f>
        <v/>
      </c>
      <c r="M121" s="231">
        <f>IF(OR(E121="",G121=""),"",ROUND(MAX(E121-G121,0),2))</f>
        <v/>
      </c>
      <c r="N121" s="225">
        <f>IF(AND(A121="",A120&lt;&gt;"",COUNTIF(A122:$A$200,"&lt;&gt;")=0),ROUND(SUMIF($A$2:A120,"&lt;&gt;",$N$2:N120),2),IF(OR(M121="",C121="",NOT(ISNUMBER($Z$3))),"",ROUND(M121*C121*$Z$3,2)))</f>
        <v/>
      </c>
      <c r="O121" s="231">
        <f>IF(OR(G121="",I121=""),"",ROUND(MAX(G121-I121,0),2))</f>
        <v/>
      </c>
      <c r="P121" s="225">
        <f>IF(AND(A121="",A120&lt;&gt;"",COUNTIF(A122:$A$200,"&lt;&gt;")=0),ROUND(SUMIF($A$2:A120,"&lt;&gt;",$P$2:P120),2),IF(OR(O121="",C121="",NOT(ISNUMBER($Z$4))),"",ROUND(O121*C121*$Z$4,2)))</f>
        <v/>
      </c>
      <c r="Q121" s="231">
        <f>IF(OR(I121="",K121=""),"",ROUND(MAX(I121-K121,0),2))</f>
        <v/>
      </c>
      <c r="R121" s="225">
        <f>IF(AND(A121="",A120&lt;&gt;"",COUNTIF(A122:$A$200,"&lt;&gt;")=0),ROUND(SUMIF($A$2:A120,"&lt;&gt;",$R$2:R120),2),IF(OR(Q121="",C121="",NOT(ISNUMBER($Z$5))),"",ROUND(Q121*C121*$Z$5,2)))</f>
        <v/>
      </c>
      <c r="S121" s="112" t="n"/>
      <c r="T121" s="245" t="n"/>
      <c r="U121" s="233">
        <f>IF(AND(A121="",A120&lt;&gt;"",COUNTIF(A122:$A$200,"&lt;&gt;")=0),"TOTAL",IF(A121="","",IF(AND(G121&lt;&gt;"",E121&lt;&gt;"",G121&gt;E121),"ALERTA: REM_C2&gt;REM_C1",IF(AND(I121&lt;&gt;"",G121&lt;&gt;"",I121&gt;G121),"ALERTA: REM_C3&gt;REM_C2",IF(AND(K121&lt;&gt;"",I121&lt;&gt;"",K121&gt;I121),"ALERTA: REM_C4&gt;REM_C3","OK")))))</f>
        <v/>
      </c>
      <c r="V121" s="233">
        <f>IF(A121="","",IF(B121="","",IF(OR(B121&lt;0,E121&gt;B121,G121&gt;B121,I121&gt;B121,K121&gt;B121),"ALERTA: QTD_INVALIDA","OK")))</f>
        <v/>
      </c>
      <c r="W121" s="17" t="n"/>
      <c r="X121" s="17" t="n"/>
      <c r="Y121" s="17" t="n"/>
      <c r="Z121" s="17" t="n"/>
      <c r="AA121" s="17" t="n"/>
      <c r="AB121" s="231">
        <f>IF(OR(A121="",E121=""),"",ROUND(B121-E121,2))</f>
        <v/>
      </c>
      <c r="AC121" s="225">
        <f>IF(AND(A121="",A120&lt;&gt;"",COUNTIF(A122:$A$200,"&lt;&gt;")=0),ROUND(SUMIF($A$2:A120,"&lt;&gt;",$AC$2:AC120),2),IF(OR(A121="",E121=""),"",ROUND(D121-E121*C121,2)))</f>
        <v/>
      </c>
      <c r="AD121" s="17" t="n"/>
    </row>
    <row r="122">
      <c r="A122" s="227" t="n"/>
      <c r="B122" s="228" t="n"/>
      <c r="C122" s="229" t="n"/>
      <c r="D122" s="225">
        <f>IF(AND(A122="",A121&lt;&gt;"",COUNTIF(A123:$A$200,"&lt;&gt;")=0),ROUND(SUMIF($A$2:A121,"&lt;&gt;",$D$2:D121),2),IF(OR(A122="",B122="",C122=""),"",ROUND(B122*C122,2)))</f>
        <v/>
      </c>
      <c r="E122" s="230" t="n"/>
      <c r="F122" s="225">
        <f>IF(AND(A122="",A121&lt;&gt;"",COUNTIF(A123:$A$200,"&lt;&gt;")=0),ROUND(SUMIF($A$2:A121,"&lt;&gt;",$F$2:F121),2),IF(OR(A122="",E122="",C122="",NOT(ISNUMBER($Z$3))),"",ROUND(E122*C122*$Z$3,2)))</f>
        <v/>
      </c>
      <c r="G122" s="230" t="n"/>
      <c r="H122" s="225">
        <f>IF(AND(A122="",A121&lt;&gt;"",COUNTIF(A123:$A$200,"&lt;&gt;")=0),ROUND(SUMIF($A$2:A121,"&lt;&gt;",$H$2:H121),2),IF(OR(A122="",G122="",C122="",NOT(ISNUMBER($Z$4))),"",ROUND(G122*C122*$Z$4,2)))</f>
        <v/>
      </c>
      <c r="I122" s="230" t="n"/>
      <c r="J122" s="225">
        <f>IF(AND(A122="",A121&lt;&gt;"",COUNTIF(A123:$A$200,"&lt;&gt;")=0),ROUND(SUMIF($A$2:A121,"&lt;&gt;",$J$2:J121),2),IF(OR(A122="",I122="",C122="",NOT(ISNUMBER($Z$5))),"",ROUND(I122*C122*$Z$5,2)))</f>
        <v/>
      </c>
      <c r="K122" s="230" t="n"/>
      <c r="L122" s="225">
        <f>IF(AND(A122="",A121&lt;&gt;"",COUNTIF(A123:$A$200,"&lt;&gt;")=0),ROUND(SUMIF($A$2:A121,"&lt;&gt;",$L$2:L121),2),IF(OR(A122="",K122="",C122="",NOT(ISNUMBER($Z$6))),"",ROUND(K122*C122*$Z$6,2)))</f>
        <v/>
      </c>
      <c r="M122" s="231">
        <f>IF(OR(E122="",G122=""),"",ROUND(MAX(E122-G122,0),2))</f>
        <v/>
      </c>
      <c r="N122" s="225">
        <f>IF(AND(A122="",A121&lt;&gt;"",COUNTIF(A123:$A$200,"&lt;&gt;")=0),ROUND(SUMIF($A$2:A121,"&lt;&gt;",$N$2:N121),2),IF(OR(M122="",C122="",NOT(ISNUMBER($Z$3))),"",ROUND(M122*C122*$Z$3,2)))</f>
        <v/>
      </c>
      <c r="O122" s="231">
        <f>IF(OR(G122="",I122=""),"",ROUND(MAX(G122-I122,0),2))</f>
        <v/>
      </c>
      <c r="P122" s="225">
        <f>IF(AND(A122="",A121&lt;&gt;"",COUNTIF(A123:$A$200,"&lt;&gt;")=0),ROUND(SUMIF($A$2:A121,"&lt;&gt;",$P$2:P121),2),IF(OR(O122="",C122="",NOT(ISNUMBER($Z$4))),"",ROUND(O122*C122*$Z$4,2)))</f>
        <v/>
      </c>
      <c r="Q122" s="231">
        <f>IF(OR(I122="",K122=""),"",ROUND(MAX(I122-K122,0),2))</f>
        <v/>
      </c>
      <c r="R122" s="225">
        <f>IF(AND(A122="",A121&lt;&gt;"",COUNTIF(A123:$A$200,"&lt;&gt;")=0),ROUND(SUMIF($A$2:A121,"&lt;&gt;",$R$2:R121),2),IF(OR(Q122="",C122="",NOT(ISNUMBER($Z$5))),"",ROUND(Q122*C122*$Z$5,2)))</f>
        <v/>
      </c>
      <c r="S122" s="112" t="n"/>
      <c r="T122" s="245" t="n"/>
      <c r="U122" s="233">
        <f>IF(AND(A122="",A121&lt;&gt;"",COUNTIF(A123:$A$200,"&lt;&gt;")=0),"TOTAL",IF(A122="","",IF(AND(G122&lt;&gt;"",E122&lt;&gt;"",G122&gt;E122),"ALERTA: REM_C2&gt;REM_C1",IF(AND(I122&lt;&gt;"",G122&lt;&gt;"",I122&gt;G122),"ALERTA: REM_C3&gt;REM_C2",IF(AND(K122&lt;&gt;"",I122&lt;&gt;"",K122&gt;I122),"ALERTA: REM_C4&gt;REM_C3","OK")))))</f>
        <v/>
      </c>
      <c r="V122" s="233">
        <f>IF(A122="","",IF(B122="","",IF(OR(B122&lt;0,E122&gt;B122,G122&gt;B122,I122&gt;B122,K122&gt;B122),"ALERTA: QTD_INVALIDA","OK")))</f>
        <v/>
      </c>
      <c r="W122" s="17" t="n"/>
      <c r="X122" s="17" t="n"/>
      <c r="Y122" s="17" t="n"/>
      <c r="Z122" s="17" t="n"/>
      <c r="AA122" s="17" t="n"/>
      <c r="AB122" s="231">
        <f>IF(OR(A122="",E122=""),"",ROUND(B122-E122,2))</f>
        <v/>
      </c>
      <c r="AC122" s="225">
        <f>IF(AND(A122="",A121&lt;&gt;"",COUNTIF(A123:$A$200,"&lt;&gt;")=0),ROUND(SUMIF($A$2:A121,"&lt;&gt;",$AC$2:AC121),2),IF(OR(A122="",E122=""),"",ROUND(D122-E122*C122,2)))</f>
        <v/>
      </c>
      <c r="AD122" s="17" t="n"/>
    </row>
    <row r="123">
      <c r="A123" s="227" t="n"/>
      <c r="B123" s="228" t="n"/>
      <c r="C123" s="229" t="n"/>
      <c r="D123" s="225">
        <f>IF(AND(A123="",A122&lt;&gt;"",COUNTIF(A124:$A$200,"&lt;&gt;")=0),ROUND(SUMIF($A$2:A122,"&lt;&gt;",$D$2:D122),2),IF(OR(A123="",B123="",C123=""),"",ROUND(B123*C123,2)))</f>
        <v/>
      </c>
      <c r="E123" s="230" t="n"/>
      <c r="F123" s="225">
        <f>IF(AND(A123="",A122&lt;&gt;"",COUNTIF(A124:$A$200,"&lt;&gt;")=0),ROUND(SUMIF($A$2:A122,"&lt;&gt;",$F$2:F122),2),IF(OR(A123="",E123="",C123="",NOT(ISNUMBER($Z$3))),"",ROUND(E123*C123*$Z$3,2)))</f>
        <v/>
      </c>
      <c r="G123" s="230" t="n"/>
      <c r="H123" s="225">
        <f>IF(AND(A123="",A122&lt;&gt;"",COUNTIF(A124:$A$200,"&lt;&gt;")=0),ROUND(SUMIF($A$2:A122,"&lt;&gt;",$H$2:H122),2),IF(OR(A123="",G123="",C123="",NOT(ISNUMBER($Z$4))),"",ROUND(G123*C123*$Z$4,2)))</f>
        <v/>
      </c>
      <c r="I123" s="230" t="n"/>
      <c r="J123" s="225">
        <f>IF(AND(A123="",A122&lt;&gt;"",COUNTIF(A124:$A$200,"&lt;&gt;")=0),ROUND(SUMIF($A$2:A122,"&lt;&gt;",$J$2:J122),2),IF(OR(A123="",I123="",C123="",NOT(ISNUMBER($Z$5))),"",ROUND(I123*C123*$Z$5,2)))</f>
        <v/>
      </c>
      <c r="K123" s="230" t="n"/>
      <c r="L123" s="225">
        <f>IF(AND(A123="",A122&lt;&gt;"",COUNTIF(A124:$A$200,"&lt;&gt;")=0),ROUND(SUMIF($A$2:A122,"&lt;&gt;",$L$2:L122),2),IF(OR(A123="",K123="",C123="",NOT(ISNUMBER($Z$6))),"",ROUND(K123*C123*$Z$6,2)))</f>
        <v/>
      </c>
      <c r="M123" s="231">
        <f>IF(OR(E123="",G123=""),"",ROUND(MAX(E123-G123,0),2))</f>
        <v/>
      </c>
      <c r="N123" s="225">
        <f>IF(AND(A123="",A122&lt;&gt;"",COUNTIF(A124:$A$200,"&lt;&gt;")=0),ROUND(SUMIF($A$2:A122,"&lt;&gt;",$N$2:N122),2),IF(OR(M123="",C123="",NOT(ISNUMBER($Z$3))),"",ROUND(M123*C123*$Z$3,2)))</f>
        <v/>
      </c>
      <c r="O123" s="231">
        <f>IF(OR(G123="",I123=""),"",ROUND(MAX(G123-I123,0),2))</f>
        <v/>
      </c>
      <c r="P123" s="225">
        <f>IF(AND(A123="",A122&lt;&gt;"",COUNTIF(A124:$A$200,"&lt;&gt;")=0),ROUND(SUMIF($A$2:A122,"&lt;&gt;",$P$2:P122),2),IF(OR(O123="",C123="",NOT(ISNUMBER($Z$4))),"",ROUND(O123*C123*$Z$4,2)))</f>
        <v/>
      </c>
      <c r="Q123" s="231">
        <f>IF(OR(I123="",K123=""),"",ROUND(MAX(I123-K123,0),2))</f>
        <v/>
      </c>
      <c r="R123" s="225">
        <f>IF(AND(A123="",A122&lt;&gt;"",COUNTIF(A124:$A$200,"&lt;&gt;")=0),ROUND(SUMIF($A$2:A122,"&lt;&gt;",$R$2:R122),2),IF(OR(Q123="",C123="",NOT(ISNUMBER($Z$5))),"",ROUND(Q123*C123*$Z$5,2)))</f>
        <v/>
      </c>
      <c r="S123" s="112" t="n"/>
      <c r="T123" s="245" t="n"/>
      <c r="U123" s="233">
        <f>IF(AND(A123="",A122&lt;&gt;"",COUNTIF(A124:$A$200,"&lt;&gt;")=0),"TOTAL",IF(A123="","",IF(AND(G123&lt;&gt;"",E123&lt;&gt;"",G123&gt;E123),"ALERTA: REM_C2&gt;REM_C1",IF(AND(I123&lt;&gt;"",G123&lt;&gt;"",I123&gt;G123),"ALERTA: REM_C3&gt;REM_C2",IF(AND(K123&lt;&gt;"",I123&lt;&gt;"",K123&gt;I123),"ALERTA: REM_C4&gt;REM_C3","OK")))))</f>
        <v/>
      </c>
      <c r="V123" s="233">
        <f>IF(A123="","",IF(B123="","",IF(OR(B123&lt;0,E123&gt;B123,G123&gt;B123,I123&gt;B123,K123&gt;B123),"ALERTA: QTD_INVALIDA","OK")))</f>
        <v/>
      </c>
      <c r="W123" s="17" t="n"/>
      <c r="X123" s="17" t="n"/>
      <c r="Y123" s="17" t="n"/>
      <c r="Z123" s="17" t="n"/>
      <c r="AA123" s="17" t="n"/>
      <c r="AB123" s="231">
        <f>IF(OR(A123="",E123=""),"",ROUND(B123-E123,2))</f>
        <v/>
      </c>
      <c r="AC123" s="225">
        <f>IF(AND(A123="",A122&lt;&gt;"",COUNTIF(A124:$A$200,"&lt;&gt;")=0),ROUND(SUMIF($A$2:A122,"&lt;&gt;",$AC$2:AC122),2),IF(OR(A123="",E123=""),"",ROUND(D123-E123*C123,2)))</f>
        <v/>
      </c>
      <c r="AD123" s="17" t="n"/>
    </row>
    <row r="124">
      <c r="A124" s="227" t="n"/>
      <c r="B124" s="228" t="n"/>
      <c r="C124" s="229" t="n"/>
      <c r="D124" s="225">
        <f>IF(AND(A124="",A123&lt;&gt;"",COUNTIF(A125:$A$200,"&lt;&gt;")=0),ROUND(SUMIF($A$2:A123,"&lt;&gt;",$D$2:D123),2),IF(OR(A124="",B124="",C124=""),"",ROUND(B124*C124,2)))</f>
        <v/>
      </c>
      <c r="E124" s="230" t="n"/>
      <c r="F124" s="225">
        <f>IF(AND(A124="",A123&lt;&gt;"",COUNTIF(A125:$A$200,"&lt;&gt;")=0),ROUND(SUMIF($A$2:A123,"&lt;&gt;",$F$2:F123),2),IF(OR(A124="",E124="",C124="",NOT(ISNUMBER($Z$3))),"",ROUND(E124*C124*$Z$3,2)))</f>
        <v/>
      </c>
      <c r="G124" s="230" t="n"/>
      <c r="H124" s="225">
        <f>IF(AND(A124="",A123&lt;&gt;"",COUNTIF(A125:$A$200,"&lt;&gt;")=0),ROUND(SUMIF($A$2:A123,"&lt;&gt;",$H$2:H123),2),IF(OR(A124="",G124="",C124="",NOT(ISNUMBER($Z$4))),"",ROUND(G124*C124*$Z$4,2)))</f>
        <v/>
      </c>
      <c r="I124" s="230" t="n"/>
      <c r="J124" s="225">
        <f>IF(AND(A124="",A123&lt;&gt;"",COUNTIF(A125:$A$200,"&lt;&gt;")=0),ROUND(SUMIF($A$2:A123,"&lt;&gt;",$J$2:J123),2),IF(OR(A124="",I124="",C124="",NOT(ISNUMBER($Z$5))),"",ROUND(I124*C124*$Z$5,2)))</f>
        <v/>
      </c>
      <c r="K124" s="230" t="n"/>
      <c r="L124" s="225">
        <f>IF(AND(A124="",A123&lt;&gt;"",COUNTIF(A125:$A$200,"&lt;&gt;")=0),ROUND(SUMIF($A$2:A123,"&lt;&gt;",$L$2:L123),2),IF(OR(A124="",K124="",C124="",NOT(ISNUMBER($Z$6))),"",ROUND(K124*C124*$Z$6,2)))</f>
        <v/>
      </c>
      <c r="M124" s="231">
        <f>IF(OR(E124="",G124=""),"",ROUND(MAX(E124-G124,0),2))</f>
        <v/>
      </c>
      <c r="N124" s="225">
        <f>IF(AND(A124="",A123&lt;&gt;"",COUNTIF(A125:$A$200,"&lt;&gt;")=0),ROUND(SUMIF($A$2:A123,"&lt;&gt;",$N$2:N123),2),IF(OR(M124="",C124="",NOT(ISNUMBER($Z$3))),"",ROUND(M124*C124*$Z$3,2)))</f>
        <v/>
      </c>
      <c r="O124" s="231">
        <f>IF(OR(G124="",I124=""),"",ROUND(MAX(G124-I124,0),2))</f>
        <v/>
      </c>
      <c r="P124" s="225">
        <f>IF(AND(A124="",A123&lt;&gt;"",COUNTIF(A125:$A$200,"&lt;&gt;")=0),ROUND(SUMIF($A$2:A123,"&lt;&gt;",$P$2:P123),2),IF(OR(O124="",C124="",NOT(ISNUMBER($Z$4))),"",ROUND(O124*C124*$Z$4,2)))</f>
        <v/>
      </c>
      <c r="Q124" s="231">
        <f>IF(OR(I124="",K124=""),"",ROUND(MAX(I124-K124,0),2))</f>
        <v/>
      </c>
      <c r="R124" s="225">
        <f>IF(AND(A124="",A123&lt;&gt;"",COUNTIF(A125:$A$200,"&lt;&gt;")=0),ROUND(SUMIF($A$2:A123,"&lt;&gt;",$R$2:R123),2),IF(OR(Q124="",C124="",NOT(ISNUMBER($Z$5))),"",ROUND(Q124*C124*$Z$5,2)))</f>
        <v/>
      </c>
      <c r="S124" s="112" t="n"/>
      <c r="T124" s="245" t="n"/>
      <c r="U124" s="233">
        <f>IF(AND(A124="",A123&lt;&gt;"",COUNTIF(A125:$A$200,"&lt;&gt;")=0),"TOTAL",IF(A124="","",IF(AND(G124&lt;&gt;"",E124&lt;&gt;"",G124&gt;E124),"ALERTA: REM_C2&gt;REM_C1",IF(AND(I124&lt;&gt;"",G124&lt;&gt;"",I124&gt;G124),"ALERTA: REM_C3&gt;REM_C2",IF(AND(K124&lt;&gt;"",I124&lt;&gt;"",K124&gt;I124),"ALERTA: REM_C4&gt;REM_C3","OK")))))</f>
        <v/>
      </c>
      <c r="V124" s="233">
        <f>IF(A124="","",IF(B124="","",IF(OR(B124&lt;0,E124&gt;B124,G124&gt;B124,I124&gt;B124,K124&gt;B124),"ALERTA: QTD_INVALIDA","OK")))</f>
        <v/>
      </c>
      <c r="W124" s="17" t="n"/>
      <c r="X124" s="17" t="n"/>
      <c r="Y124" s="17" t="n"/>
      <c r="Z124" s="17" t="n"/>
      <c r="AA124" s="17" t="n"/>
      <c r="AB124" s="231">
        <f>IF(OR(A124="",E124=""),"",ROUND(B124-E124,2))</f>
        <v/>
      </c>
      <c r="AC124" s="225">
        <f>IF(AND(A124="",A123&lt;&gt;"",COUNTIF(A125:$A$200,"&lt;&gt;")=0),ROUND(SUMIF($A$2:A123,"&lt;&gt;",$AC$2:AC123),2),IF(OR(A124="",E124=""),"",ROUND(D124-E124*C124,2)))</f>
        <v/>
      </c>
      <c r="AD124" s="17" t="n"/>
    </row>
    <row r="125">
      <c r="A125" s="227" t="n"/>
      <c r="B125" s="228" t="n"/>
      <c r="C125" s="229" t="n"/>
      <c r="D125" s="225">
        <f>IF(AND(A125="",A124&lt;&gt;"",COUNTIF(A126:$A$200,"&lt;&gt;")=0),ROUND(SUMIF($A$2:A124,"&lt;&gt;",$D$2:D124),2),IF(OR(A125="",B125="",C125=""),"",ROUND(B125*C125,2)))</f>
        <v/>
      </c>
      <c r="E125" s="230" t="n"/>
      <c r="F125" s="225">
        <f>IF(AND(A125="",A124&lt;&gt;"",COUNTIF(A126:$A$200,"&lt;&gt;")=0),ROUND(SUMIF($A$2:A124,"&lt;&gt;",$F$2:F124),2),IF(OR(A125="",E125="",C125="",NOT(ISNUMBER($Z$3))),"",ROUND(E125*C125*$Z$3,2)))</f>
        <v/>
      </c>
      <c r="G125" s="230" t="n"/>
      <c r="H125" s="225">
        <f>IF(AND(A125="",A124&lt;&gt;"",COUNTIF(A126:$A$200,"&lt;&gt;")=0),ROUND(SUMIF($A$2:A124,"&lt;&gt;",$H$2:H124),2),IF(OR(A125="",G125="",C125="",NOT(ISNUMBER($Z$4))),"",ROUND(G125*C125*$Z$4,2)))</f>
        <v/>
      </c>
      <c r="I125" s="230" t="n"/>
      <c r="J125" s="225">
        <f>IF(AND(A125="",A124&lt;&gt;"",COUNTIF(A126:$A$200,"&lt;&gt;")=0),ROUND(SUMIF($A$2:A124,"&lt;&gt;",$J$2:J124),2),IF(OR(A125="",I125="",C125="",NOT(ISNUMBER($Z$5))),"",ROUND(I125*C125*$Z$5,2)))</f>
        <v/>
      </c>
      <c r="K125" s="230" t="n"/>
      <c r="L125" s="225">
        <f>IF(AND(A125="",A124&lt;&gt;"",COUNTIF(A126:$A$200,"&lt;&gt;")=0),ROUND(SUMIF($A$2:A124,"&lt;&gt;",$L$2:L124),2),IF(OR(A125="",K125="",C125="",NOT(ISNUMBER($Z$6))),"",ROUND(K125*C125*$Z$6,2)))</f>
        <v/>
      </c>
      <c r="M125" s="231">
        <f>IF(OR(E125="",G125=""),"",ROUND(MAX(E125-G125,0),2))</f>
        <v/>
      </c>
      <c r="N125" s="225">
        <f>IF(AND(A125="",A124&lt;&gt;"",COUNTIF(A126:$A$200,"&lt;&gt;")=0),ROUND(SUMIF($A$2:A124,"&lt;&gt;",$N$2:N124),2),IF(OR(M125="",C125="",NOT(ISNUMBER($Z$3))),"",ROUND(M125*C125*$Z$3,2)))</f>
        <v/>
      </c>
      <c r="O125" s="231">
        <f>IF(OR(G125="",I125=""),"",ROUND(MAX(G125-I125,0),2))</f>
        <v/>
      </c>
      <c r="P125" s="225">
        <f>IF(AND(A125="",A124&lt;&gt;"",COUNTIF(A126:$A$200,"&lt;&gt;")=0),ROUND(SUMIF($A$2:A124,"&lt;&gt;",$P$2:P124),2),IF(OR(O125="",C125="",NOT(ISNUMBER($Z$4))),"",ROUND(O125*C125*$Z$4,2)))</f>
        <v/>
      </c>
      <c r="Q125" s="231">
        <f>IF(OR(I125="",K125=""),"",ROUND(MAX(I125-K125,0),2))</f>
        <v/>
      </c>
      <c r="R125" s="225">
        <f>IF(AND(A125="",A124&lt;&gt;"",COUNTIF(A126:$A$200,"&lt;&gt;")=0),ROUND(SUMIF($A$2:A124,"&lt;&gt;",$R$2:R124),2),IF(OR(Q125="",C125="",NOT(ISNUMBER($Z$5))),"",ROUND(Q125*C125*$Z$5,2)))</f>
        <v/>
      </c>
      <c r="S125" s="112" t="n"/>
      <c r="T125" s="245" t="n"/>
      <c r="U125" s="233">
        <f>IF(AND(A125="",A124&lt;&gt;"",COUNTIF(A126:$A$200,"&lt;&gt;")=0),"TOTAL",IF(A125="","",IF(AND(G125&lt;&gt;"",E125&lt;&gt;"",G125&gt;E125),"ALERTA: REM_C2&gt;REM_C1",IF(AND(I125&lt;&gt;"",G125&lt;&gt;"",I125&gt;G125),"ALERTA: REM_C3&gt;REM_C2",IF(AND(K125&lt;&gt;"",I125&lt;&gt;"",K125&gt;I125),"ALERTA: REM_C4&gt;REM_C3","OK")))))</f>
        <v/>
      </c>
      <c r="V125" s="233">
        <f>IF(A125="","",IF(B125="","",IF(OR(B125&lt;0,E125&gt;B125,G125&gt;B125,I125&gt;B125,K125&gt;B125),"ALERTA: QTD_INVALIDA","OK")))</f>
        <v/>
      </c>
      <c r="W125" s="17" t="n"/>
      <c r="X125" s="17" t="n"/>
      <c r="Y125" s="17" t="n"/>
      <c r="Z125" s="17" t="n"/>
      <c r="AA125" s="17" t="n"/>
      <c r="AB125" s="231">
        <f>IF(OR(A125="",E125=""),"",ROUND(B125-E125,2))</f>
        <v/>
      </c>
      <c r="AC125" s="225">
        <f>IF(AND(A125="",A124&lt;&gt;"",COUNTIF(A126:$A$200,"&lt;&gt;")=0),ROUND(SUMIF($A$2:A124,"&lt;&gt;",$AC$2:AC124),2),IF(OR(A125="",E125=""),"",ROUND(D125-E125*C125,2)))</f>
        <v/>
      </c>
      <c r="AD125" s="17" t="n"/>
    </row>
    <row r="126">
      <c r="A126" s="227" t="n"/>
      <c r="B126" s="228" t="n"/>
      <c r="C126" s="229" t="n"/>
      <c r="D126" s="225">
        <f>IF(AND(A126="",A125&lt;&gt;"",COUNTIF(A127:$A$200,"&lt;&gt;")=0),ROUND(SUMIF($A$2:A125,"&lt;&gt;",$D$2:D125),2),IF(OR(A126="",B126="",C126=""),"",ROUND(B126*C126,2)))</f>
        <v/>
      </c>
      <c r="E126" s="230" t="n"/>
      <c r="F126" s="225">
        <f>IF(AND(A126="",A125&lt;&gt;"",COUNTIF(A127:$A$200,"&lt;&gt;")=0),ROUND(SUMIF($A$2:A125,"&lt;&gt;",$F$2:F125),2),IF(OR(A126="",E126="",C126="",NOT(ISNUMBER($Z$3))),"",ROUND(E126*C126*$Z$3,2)))</f>
        <v/>
      </c>
      <c r="G126" s="230" t="n"/>
      <c r="H126" s="225">
        <f>IF(AND(A126="",A125&lt;&gt;"",COUNTIF(A127:$A$200,"&lt;&gt;")=0),ROUND(SUMIF($A$2:A125,"&lt;&gt;",$H$2:H125),2),IF(OR(A126="",G126="",C126="",NOT(ISNUMBER($Z$4))),"",ROUND(G126*C126*$Z$4,2)))</f>
        <v/>
      </c>
      <c r="I126" s="230" t="n"/>
      <c r="J126" s="225">
        <f>IF(AND(A126="",A125&lt;&gt;"",COUNTIF(A127:$A$200,"&lt;&gt;")=0),ROUND(SUMIF($A$2:A125,"&lt;&gt;",$J$2:J125),2),IF(OR(A126="",I126="",C126="",NOT(ISNUMBER($Z$5))),"",ROUND(I126*C126*$Z$5,2)))</f>
        <v/>
      </c>
      <c r="K126" s="230" t="n"/>
      <c r="L126" s="225">
        <f>IF(AND(A126="",A125&lt;&gt;"",COUNTIF(A127:$A$200,"&lt;&gt;")=0),ROUND(SUMIF($A$2:A125,"&lt;&gt;",$L$2:L125),2),IF(OR(A126="",K126="",C126="",NOT(ISNUMBER($Z$6))),"",ROUND(K126*C126*$Z$6,2)))</f>
        <v/>
      </c>
      <c r="M126" s="231">
        <f>IF(OR(E126="",G126=""),"",ROUND(MAX(E126-G126,0),2))</f>
        <v/>
      </c>
      <c r="N126" s="225">
        <f>IF(AND(A126="",A125&lt;&gt;"",COUNTIF(A127:$A$200,"&lt;&gt;")=0),ROUND(SUMIF($A$2:A125,"&lt;&gt;",$N$2:N125),2),IF(OR(M126="",C126="",NOT(ISNUMBER($Z$3))),"",ROUND(M126*C126*$Z$3,2)))</f>
        <v/>
      </c>
      <c r="O126" s="231">
        <f>IF(OR(G126="",I126=""),"",ROUND(MAX(G126-I126,0),2))</f>
        <v/>
      </c>
      <c r="P126" s="225">
        <f>IF(AND(A126="",A125&lt;&gt;"",COUNTIF(A127:$A$200,"&lt;&gt;")=0),ROUND(SUMIF($A$2:A125,"&lt;&gt;",$P$2:P125),2),IF(OR(O126="",C126="",NOT(ISNUMBER($Z$4))),"",ROUND(O126*C126*$Z$4,2)))</f>
        <v/>
      </c>
      <c r="Q126" s="231">
        <f>IF(OR(I126="",K126=""),"",ROUND(MAX(I126-K126,0),2))</f>
        <v/>
      </c>
      <c r="R126" s="225">
        <f>IF(AND(A126="",A125&lt;&gt;"",COUNTIF(A127:$A$200,"&lt;&gt;")=0),ROUND(SUMIF($A$2:A125,"&lt;&gt;",$R$2:R125),2),IF(OR(Q126="",C126="",NOT(ISNUMBER($Z$5))),"",ROUND(Q126*C126*$Z$5,2)))</f>
        <v/>
      </c>
      <c r="S126" s="112" t="n"/>
      <c r="T126" s="245" t="n"/>
      <c r="U126" s="233">
        <f>IF(AND(A126="",A125&lt;&gt;"",COUNTIF(A127:$A$200,"&lt;&gt;")=0),"TOTAL",IF(A126="","",IF(AND(G126&lt;&gt;"",E126&lt;&gt;"",G126&gt;E126),"ALERTA: REM_C2&gt;REM_C1",IF(AND(I126&lt;&gt;"",G126&lt;&gt;"",I126&gt;G126),"ALERTA: REM_C3&gt;REM_C2",IF(AND(K126&lt;&gt;"",I126&lt;&gt;"",K126&gt;I126),"ALERTA: REM_C4&gt;REM_C3","OK")))))</f>
        <v/>
      </c>
      <c r="V126" s="233">
        <f>IF(A126="","",IF(B126="","",IF(OR(B126&lt;0,E126&gt;B126,G126&gt;B126,I126&gt;B126,K126&gt;B126),"ALERTA: QTD_INVALIDA","OK")))</f>
        <v/>
      </c>
      <c r="W126" s="17" t="n"/>
      <c r="X126" s="17" t="n"/>
      <c r="Y126" s="17" t="n"/>
      <c r="Z126" s="17" t="n"/>
      <c r="AA126" s="17" t="n"/>
      <c r="AB126" s="231">
        <f>IF(OR(A126="",E126=""),"",ROUND(B126-E126,2))</f>
        <v/>
      </c>
      <c r="AC126" s="225">
        <f>IF(AND(A126="",A125&lt;&gt;"",COUNTIF(A127:$A$200,"&lt;&gt;")=0),ROUND(SUMIF($A$2:A125,"&lt;&gt;",$AC$2:AC125),2),IF(OR(A126="",E126=""),"",ROUND(D126-E126*C126,2)))</f>
        <v/>
      </c>
      <c r="AD126" s="17" t="n"/>
    </row>
    <row r="127">
      <c r="A127" s="227" t="n"/>
      <c r="B127" s="228" t="n"/>
      <c r="C127" s="229" t="n"/>
      <c r="D127" s="225">
        <f>IF(AND(A127="",A126&lt;&gt;"",COUNTIF(A128:$A$200,"&lt;&gt;")=0),ROUND(SUMIF($A$2:A126,"&lt;&gt;",$D$2:D126),2),IF(OR(A127="",B127="",C127=""),"",ROUND(B127*C127,2)))</f>
        <v/>
      </c>
      <c r="E127" s="230" t="n"/>
      <c r="F127" s="225">
        <f>IF(AND(A127="",A126&lt;&gt;"",COUNTIF(A128:$A$200,"&lt;&gt;")=0),ROUND(SUMIF($A$2:A126,"&lt;&gt;",$F$2:F126),2),IF(OR(A127="",E127="",C127="",NOT(ISNUMBER($Z$3))),"",ROUND(E127*C127*$Z$3,2)))</f>
        <v/>
      </c>
      <c r="G127" s="230" t="n"/>
      <c r="H127" s="225">
        <f>IF(AND(A127="",A126&lt;&gt;"",COUNTIF(A128:$A$200,"&lt;&gt;")=0),ROUND(SUMIF($A$2:A126,"&lt;&gt;",$H$2:H126),2),IF(OR(A127="",G127="",C127="",NOT(ISNUMBER($Z$4))),"",ROUND(G127*C127*$Z$4,2)))</f>
        <v/>
      </c>
      <c r="I127" s="230" t="n"/>
      <c r="J127" s="225">
        <f>IF(AND(A127="",A126&lt;&gt;"",COUNTIF(A128:$A$200,"&lt;&gt;")=0),ROUND(SUMIF($A$2:A126,"&lt;&gt;",$J$2:J126),2),IF(OR(A127="",I127="",C127="",NOT(ISNUMBER($Z$5))),"",ROUND(I127*C127*$Z$5,2)))</f>
        <v/>
      </c>
      <c r="K127" s="230" t="n"/>
      <c r="L127" s="225">
        <f>IF(AND(A127="",A126&lt;&gt;"",COUNTIF(A128:$A$200,"&lt;&gt;")=0),ROUND(SUMIF($A$2:A126,"&lt;&gt;",$L$2:L126),2),IF(OR(A127="",K127="",C127="",NOT(ISNUMBER($Z$6))),"",ROUND(K127*C127*$Z$6,2)))</f>
        <v/>
      </c>
      <c r="M127" s="231">
        <f>IF(OR(E127="",G127=""),"",ROUND(MAX(E127-G127,0),2))</f>
        <v/>
      </c>
      <c r="N127" s="225">
        <f>IF(AND(A127="",A126&lt;&gt;"",COUNTIF(A128:$A$200,"&lt;&gt;")=0),ROUND(SUMIF($A$2:A126,"&lt;&gt;",$N$2:N126),2),IF(OR(M127="",C127="",NOT(ISNUMBER($Z$3))),"",ROUND(M127*C127*$Z$3,2)))</f>
        <v/>
      </c>
      <c r="O127" s="231">
        <f>IF(OR(G127="",I127=""),"",ROUND(MAX(G127-I127,0),2))</f>
        <v/>
      </c>
      <c r="P127" s="225">
        <f>IF(AND(A127="",A126&lt;&gt;"",COUNTIF(A128:$A$200,"&lt;&gt;")=0),ROUND(SUMIF($A$2:A126,"&lt;&gt;",$P$2:P126),2),IF(OR(O127="",C127="",NOT(ISNUMBER($Z$4))),"",ROUND(O127*C127*$Z$4,2)))</f>
        <v/>
      </c>
      <c r="Q127" s="231">
        <f>IF(OR(I127="",K127=""),"",ROUND(MAX(I127-K127,0),2))</f>
        <v/>
      </c>
      <c r="R127" s="225">
        <f>IF(AND(A127="",A126&lt;&gt;"",COUNTIF(A128:$A$200,"&lt;&gt;")=0),ROUND(SUMIF($A$2:A126,"&lt;&gt;",$R$2:R126),2),IF(OR(Q127="",C127="",NOT(ISNUMBER($Z$5))),"",ROUND(Q127*C127*$Z$5,2)))</f>
        <v/>
      </c>
      <c r="S127" s="112" t="n"/>
      <c r="T127" s="245" t="n"/>
      <c r="U127" s="233">
        <f>IF(AND(A127="",A126&lt;&gt;"",COUNTIF(A128:$A$200,"&lt;&gt;")=0),"TOTAL",IF(A127="","",IF(AND(G127&lt;&gt;"",E127&lt;&gt;"",G127&gt;E127),"ALERTA: REM_C2&gt;REM_C1",IF(AND(I127&lt;&gt;"",G127&lt;&gt;"",I127&gt;G127),"ALERTA: REM_C3&gt;REM_C2",IF(AND(K127&lt;&gt;"",I127&lt;&gt;"",K127&gt;I127),"ALERTA: REM_C4&gt;REM_C3","OK")))))</f>
        <v/>
      </c>
      <c r="V127" s="233">
        <f>IF(A127="","",IF(B127="","",IF(OR(B127&lt;0,E127&gt;B127,G127&gt;B127,I127&gt;B127,K127&gt;B127),"ALERTA: QTD_INVALIDA","OK")))</f>
        <v/>
      </c>
      <c r="W127" s="17" t="n"/>
      <c r="X127" s="17" t="n"/>
      <c r="Y127" s="17" t="n"/>
      <c r="Z127" s="17" t="n"/>
      <c r="AA127" s="17" t="n"/>
      <c r="AB127" s="231">
        <f>IF(OR(A127="",E127=""),"",ROUND(B127-E127,2))</f>
        <v/>
      </c>
      <c r="AC127" s="225">
        <f>IF(AND(A127="",A126&lt;&gt;"",COUNTIF(A128:$A$200,"&lt;&gt;")=0),ROUND(SUMIF($A$2:A126,"&lt;&gt;",$AC$2:AC126),2),IF(OR(A127="",E127=""),"",ROUND(D127-E127*C127,2)))</f>
        <v/>
      </c>
      <c r="AD127" s="17" t="n"/>
    </row>
    <row r="128">
      <c r="A128" s="227" t="n"/>
      <c r="B128" s="228" t="n"/>
      <c r="C128" s="229" t="n"/>
      <c r="D128" s="225">
        <f>IF(AND(A128="",A127&lt;&gt;"",COUNTIF(A129:$A$200,"&lt;&gt;")=0),ROUND(SUMIF($A$2:A127,"&lt;&gt;",$D$2:D127),2),IF(OR(A128="",B128="",C128=""),"",ROUND(B128*C128,2)))</f>
        <v/>
      </c>
      <c r="E128" s="230" t="n"/>
      <c r="F128" s="225">
        <f>IF(AND(A128="",A127&lt;&gt;"",COUNTIF(A129:$A$200,"&lt;&gt;")=0),ROUND(SUMIF($A$2:A127,"&lt;&gt;",$F$2:F127),2),IF(OR(A128="",E128="",C128="",NOT(ISNUMBER($Z$3))),"",ROUND(E128*C128*$Z$3,2)))</f>
        <v/>
      </c>
      <c r="G128" s="230" t="n"/>
      <c r="H128" s="225">
        <f>IF(AND(A128="",A127&lt;&gt;"",COUNTIF(A129:$A$200,"&lt;&gt;")=0),ROUND(SUMIF($A$2:A127,"&lt;&gt;",$H$2:H127),2),IF(OR(A128="",G128="",C128="",NOT(ISNUMBER($Z$4))),"",ROUND(G128*C128*$Z$4,2)))</f>
        <v/>
      </c>
      <c r="I128" s="230" t="n"/>
      <c r="J128" s="225">
        <f>IF(AND(A128="",A127&lt;&gt;"",COUNTIF(A129:$A$200,"&lt;&gt;")=0),ROUND(SUMIF($A$2:A127,"&lt;&gt;",$J$2:J127),2),IF(OR(A128="",I128="",C128="",NOT(ISNUMBER($Z$5))),"",ROUND(I128*C128*$Z$5,2)))</f>
        <v/>
      </c>
      <c r="K128" s="230" t="n"/>
      <c r="L128" s="225">
        <f>IF(AND(A128="",A127&lt;&gt;"",COUNTIF(A129:$A$200,"&lt;&gt;")=0),ROUND(SUMIF($A$2:A127,"&lt;&gt;",$L$2:L127),2),IF(OR(A128="",K128="",C128="",NOT(ISNUMBER($Z$6))),"",ROUND(K128*C128*$Z$6,2)))</f>
        <v/>
      </c>
      <c r="M128" s="231">
        <f>IF(OR(E128="",G128=""),"",ROUND(MAX(E128-G128,0),2))</f>
        <v/>
      </c>
      <c r="N128" s="225">
        <f>IF(AND(A128="",A127&lt;&gt;"",COUNTIF(A129:$A$200,"&lt;&gt;")=0),ROUND(SUMIF($A$2:A127,"&lt;&gt;",$N$2:N127),2),IF(OR(M128="",C128="",NOT(ISNUMBER($Z$3))),"",ROUND(M128*C128*$Z$3,2)))</f>
        <v/>
      </c>
      <c r="O128" s="231">
        <f>IF(OR(G128="",I128=""),"",ROUND(MAX(G128-I128,0),2))</f>
        <v/>
      </c>
      <c r="P128" s="225">
        <f>IF(AND(A128="",A127&lt;&gt;"",COUNTIF(A129:$A$200,"&lt;&gt;")=0),ROUND(SUMIF($A$2:A127,"&lt;&gt;",$P$2:P127),2),IF(OR(O128="",C128="",NOT(ISNUMBER($Z$4))),"",ROUND(O128*C128*$Z$4,2)))</f>
        <v/>
      </c>
      <c r="Q128" s="231">
        <f>IF(OR(I128="",K128=""),"",ROUND(MAX(I128-K128,0),2))</f>
        <v/>
      </c>
      <c r="R128" s="225">
        <f>IF(AND(A128="",A127&lt;&gt;"",COUNTIF(A129:$A$200,"&lt;&gt;")=0),ROUND(SUMIF($A$2:A127,"&lt;&gt;",$R$2:R127),2),IF(OR(Q128="",C128="",NOT(ISNUMBER($Z$5))),"",ROUND(Q128*C128*$Z$5,2)))</f>
        <v/>
      </c>
      <c r="S128" s="112" t="n"/>
      <c r="T128" s="245" t="n"/>
      <c r="U128" s="233">
        <f>IF(AND(A128="",A127&lt;&gt;"",COUNTIF(A129:$A$200,"&lt;&gt;")=0),"TOTAL",IF(A128="","",IF(AND(G128&lt;&gt;"",E128&lt;&gt;"",G128&gt;E128),"ALERTA: REM_C2&gt;REM_C1",IF(AND(I128&lt;&gt;"",G128&lt;&gt;"",I128&gt;G128),"ALERTA: REM_C3&gt;REM_C2",IF(AND(K128&lt;&gt;"",I128&lt;&gt;"",K128&gt;I128),"ALERTA: REM_C4&gt;REM_C3","OK")))))</f>
        <v/>
      </c>
      <c r="V128" s="233">
        <f>IF(A128="","",IF(B128="","",IF(OR(B128&lt;0,E128&gt;B128,G128&gt;B128,I128&gt;B128,K128&gt;B128),"ALERTA: QTD_INVALIDA","OK")))</f>
        <v/>
      </c>
      <c r="W128" s="17" t="n"/>
      <c r="X128" s="17" t="n"/>
      <c r="Y128" s="17" t="n"/>
      <c r="Z128" s="17" t="n"/>
      <c r="AA128" s="17" t="n"/>
      <c r="AB128" s="231">
        <f>IF(OR(A128="",E128=""),"",ROUND(B128-E128,2))</f>
        <v/>
      </c>
      <c r="AC128" s="225">
        <f>IF(AND(A128="",A127&lt;&gt;"",COUNTIF(A129:$A$200,"&lt;&gt;")=0),ROUND(SUMIF($A$2:A127,"&lt;&gt;",$AC$2:AC127),2),IF(OR(A128="",E128=""),"",ROUND(D128-E128*C128,2)))</f>
        <v/>
      </c>
      <c r="AD128" s="17" t="n"/>
    </row>
    <row r="129">
      <c r="A129" s="227" t="n"/>
      <c r="B129" s="228" t="n"/>
      <c r="C129" s="229" t="n"/>
      <c r="D129" s="225">
        <f>IF(AND(A129="",A128&lt;&gt;"",COUNTIF(A130:$A$200,"&lt;&gt;")=0),ROUND(SUMIF($A$2:A128,"&lt;&gt;",$D$2:D128),2),IF(OR(A129="",B129="",C129=""),"",ROUND(B129*C129,2)))</f>
        <v/>
      </c>
      <c r="E129" s="230" t="n"/>
      <c r="F129" s="225">
        <f>IF(AND(A129="",A128&lt;&gt;"",COUNTIF(A130:$A$200,"&lt;&gt;")=0),ROUND(SUMIF($A$2:A128,"&lt;&gt;",$F$2:F128),2),IF(OR(A129="",E129="",C129="",NOT(ISNUMBER($Z$3))),"",ROUND(E129*C129*$Z$3,2)))</f>
        <v/>
      </c>
      <c r="G129" s="230" t="n"/>
      <c r="H129" s="225">
        <f>IF(AND(A129="",A128&lt;&gt;"",COUNTIF(A130:$A$200,"&lt;&gt;")=0),ROUND(SUMIF($A$2:A128,"&lt;&gt;",$H$2:H128),2),IF(OR(A129="",G129="",C129="",NOT(ISNUMBER($Z$4))),"",ROUND(G129*C129*$Z$4,2)))</f>
        <v/>
      </c>
      <c r="I129" s="230" t="n"/>
      <c r="J129" s="225">
        <f>IF(AND(A129="",A128&lt;&gt;"",COUNTIF(A130:$A$200,"&lt;&gt;")=0),ROUND(SUMIF($A$2:A128,"&lt;&gt;",$J$2:J128),2),IF(OR(A129="",I129="",C129="",NOT(ISNUMBER($Z$5))),"",ROUND(I129*C129*$Z$5,2)))</f>
        <v/>
      </c>
      <c r="K129" s="230" t="n"/>
      <c r="L129" s="225">
        <f>IF(AND(A129="",A128&lt;&gt;"",COUNTIF(A130:$A$200,"&lt;&gt;")=0),ROUND(SUMIF($A$2:A128,"&lt;&gt;",$L$2:L128),2),IF(OR(A129="",K129="",C129="",NOT(ISNUMBER($Z$6))),"",ROUND(K129*C129*$Z$6,2)))</f>
        <v/>
      </c>
      <c r="M129" s="231">
        <f>IF(OR(E129="",G129=""),"",ROUND(MAX(E129-G129,0),2))</f>
        <v/>
      </c>
      <c r="N129" s="225">
        <f>IF(AND(A129="",A128&lt;&gt;"",COUNTIF(A130:$A$200,"&lt;&gt;")=0),ROUND(SUMIF($A$2:A128,"&lt;&gt;",$N$2:N128),2),IF(OR(M129="",C129="",NOT(ISNUMBER($Z$3))),"",ROUND(M129*C129*$Z$3,2)))</f>
        <v/>
      </c>
      <c r="O129" s="231">
        <f>IF(OR(G129="",I129=""),"",ROUND(MAX(G129-I129,0),2))</f>
        <v/>
      </c>
      <c r="P129" s="225">
        <f>IF(AND(A129="",A128&lt;&gt;"",COUNTIF(A130:$A$200,"&lt;&gt;")=0),ROUND(SUMIF($A$2:A128,"&lt;&gt;",$P$2:P128),2),IF(OR(O129="",C129="",NOT(ISNUMBER($Z$4))),"",ROUND(O129*C129*$Z$4,2)))</f>
        <v/>
      </c>
      <c r="Q129" s="231">
        <f>IF(OR(I129="",K129=""),"",ROUND(MAX(I129-K129,0),2))</f>
        <v/>
      </c>
      <c r="R129" s="225">
        <f>IF(AND(A129="",A128&lt;&gt;"",COUNTIF(A130:$A$200,"&lt;&gt;")=0),ROUND(SUMIF($A$2:A128,"&lt;&gt;",$R$2:R128),2),IF(OR(Q129="",C129="",NOT(ISNUMBER($Z$5))),"",ROUND(Q129*C129*$Z$5,2)))</f>
        <v/>
      </c>
      <c r="S129" s="112" t="n"/>
      <c r="T129" s="245" t="n"/>
      <c r="U129" s="233">
        <f>IF(AND(A129="",A128&lt;&gt;"",COUNTIF(A130:$A$200,"&lt;&gt;")=0),"TOTAL",IF(A129="","",IF(AND(G129&lt;&gt;"",E129&lt;&gt;"",G129&gt;E129),"ALERTA: REM_C2&gt;REM_C1",IF(AND(I129&lt;&gt;"",G129&lt;&gt;"",I129&gt;G129),"ALERTA: REM_C3&gt;REM_C2",IF(AND(K129&lt;&gt;"",I129&lt;&gt;"",K129&gt;I129),"ALERTA: REM_C4&gt;REM_C3","OK")))))</f>
        <v/>
      </c>
      <c r="V129" s="233">
        <f>IF(A129="","",IF(B129="","",IF(OR(B129&lt;0,E129&gt;B129,G129&gt;B129,I129&gt;B129,K129&gt;B129),"ALERTA: QTD_INVALIDA","OK")))</f>
        <v/>
      </c>
      <c r="W129" s="17" t="n"/>
      <c r="X129" s="17" t="n"/>
      <c r="Y129" s="17" t="n"/>
      <c r="Z129" s="17" t="n"/>
      <c r="AA129" s="17" t="n"/>
      <c r="AB129" s="231">
        <f>IF(OR(A129="",E129=""),"",ROUND(B129-E129,2))</f>
        <v/>
      </c>
      <c r="AC129" s="225">
        <f>IF(AND(A129="",A128&lt;&gt;"",COUNTIF(A130:$A$200,"&lt;&gt;")=0),ROUND(SUMIF($A$2:A128,"&lt;&gt;",$AC$2:AC128),2),IF(OR(A129="",E129=""),"",ROUND(D129-E129*C129,2)))</f>
        <v/>
      </c>
      <c r="AD129" s="17" t="n"/>
    </row>
    <row r="130">
      <c r="A130" s="227" t="n"/>
      <c r="B130" s="228" t="n"/>
      <c r="C130" s="229" t="n"/>
      <c r="D130" s="225">
        <f>IF(AND(A130="",A129&lt;&gt;"",COUNTIF(A131:$A$200,"&lt;&gt;")=0),ROUND(SUMIF($A$2:A129,"&lt;&gt;",$D$2:D129),2),IF(OR(A130="",B130="",C130=""),"",ROUND(B130*C130,2)))</f>
        <v/>
      </c>
      <c r="E130" s="230" t="n"/>
      <c r="F130" s="225">
        <f>IF(AND(A130="",A129&lt;&gt;"",COUNTIF(A131:$A$200,"&lt;&gt;")=0),ROUND(SUMIF($A$2:A129,"&lt;&gt;",$F$2:F129),2),IF(OR(A130="",E130="",C130="",NOT(ISNUMBER($Z$3))),"",ROUND(E130*C130*$Z$3,2)))</f>
        <v/>
      </c>
      <c r="G130" s="230" t="n"/>
      <c r="H130" s="225">
        <f>IF(AND(A130="",A129&lt;&gt;"",COUNTIF(A131:$A$200,"&lt;&gt;")=0),ROUND(SUMIF($A$2:A129,"&lt;&gt;",$H$2:H129),2),IF(OR(A130="",G130="",C130="",NOT(ISNUMBER($Z$4))),"",ROUND(G130*C130*$Z$4,2)))</f>
        <v/>
      </c>
      <c r="I130" s="230" t="n"/>
      <c r="J130" s="225">
        <f>IF(AND(A130="",A129&lt;&gt;"",COUNTIF(A131:$A$200,"&lt;&gt;")=0),ROUND(SUMIF($A$2:A129,"&lt;&gt;",$J$2:J129),2),IF(OR(A130="",I130="",C130="",NOT(ISNUMBER($Z$5))),"",ROUND(I130*C130*$Z$5,2)))</f>
        <v/>
      </c>
      <c r="K130" s="230" t="n"/>
      <c r="L130" s="225">
        <f>IF(AND(A130="",A129&lt;&gt;"",COUNTIF(A131:$A$200,"&lt;&gt;")=0),ROUND(SUMIF($A$2:A129,"&lt;&gt;",$L$2:L129),2),IF(OR(A130="",K130="",C130="",NOT(ISNUMBER($Z$6))),"",ROUND(K130*C130*$Z$6,2)))</f>
        <v/>
      </c>
      <c r="M130" s="231">
        <f>IF(OR(E130="",G130=""),"",ROUND(MAX(E130-G130,0),2))</f>
        <v/>
      </c>
      <c r="N130" s="225">
        <f>IF(AND(A130="",A129&lt;&gt;"",COUNTIF(A131:$A$200,"&lt;&gt;")=0),ROUND(SUMIF($A$2:A129,"&lt;&gt;",$N$2:N129),2),IF(OR(M130="",C130="",NOT(ISNUMBER($Z$3))),"",ROUND(M130*C130*$Z$3,2)))</f>
        <v/>
      </c>
      <c r="O130" s="231">
        <f>IF(OR(G130="",I130=""),"",ROUND(MAX(G130-I130,0),2))</f>
        <v/>
      </c>
      <c r="P130" s="225">
        <f>IF(AND(A130="",A129&lt;&gt;"",COUNTIF(A131:$A$200,"&lt;&gt;")=0),ROUND(SUMIF($A$2:A129,"&lt;&gt;",$P$2:P129),2),IF(OR(O130="",C130="",NOT(ISNUMBER($Z$4))),"",ROUND(O130*C130*$Z$4,2)))</f>
        <v/>
      </c>
      <c r="Q130" s="231">
        <f>IF(OR(I130="",K130=""),"",ROUND(MAX(I130-K130,0),2))</f>
        <v/>
      </c>
      <c r="R130" s="225">
        <f>IF(AND(A130="",A129&lt;&gt;"",COUNTIF(A131:$A$200,"&lt;&gt;")=0),ROUND(SUMIF($A$2:A129,"&lt;&gt;",$R$2:R129),2),IF(OR(Q130="",C130="",NOT(ISNUMBER($Z$5))),"",ROUND(Q130*C130*$Z$5,2)))</f>
        <v/>
      </c>
      <c r="S130" s="112" t="n"/>
      <c r="T130" s="245" t="n"/>
      <c r="U130" s="233">
        <f>IF(AND(A130="",A129&lt;&gt;"",COUNTIF(A131:$A$200,"&lt;&gt;")=0),"TOTAL",IF(A130="","",IF(AND(G130&lt;&gt;"",E130&lt;&gt;"",G130&gt;E130),"ALERTA: REM_C2&gt;REM_C1",IF(AND(I130&lt;&gt;"",G130&lt;&gt;"",I130&gt;G130),"ALERTA: REM_C3&gt;REM_C2",IF(AND(K130&lt;&gt;"",I130&lt;&gt;"",K130&gt;I130),"ALERTA: REM_C4&gt;REM_C3","OK")))))</f>
        <v/>
      </c>
      <c r="V130" s="233">
        <f>IF(A130="","",IF(B130="","",IF(OR(B130&lt;0,E130&gt;B130,G130&gt;B130,I130&gt;B130,K130&gt;B130),"ALERTA: QTD_INVALIDA","OK")))</f>
        <v/>
      </c>
      <c r="W130" s="17" t="n"/>
      <c r="X130" s="17" t="n"/>
      <c r="Y130" s="17" t="n"/>
      <c r="Z130" s="17" t="n"/>
      <c r="AA130" s="17" t="n"/>
      <c r="AB130" s="231">
        <f>IF(OR(A130="",E130=""),"",ROUND(B130-E130,2))</f>
        <v/>
      </c>
      <c r="AC130" s="225">
        <f>IF(AND(A130="",A129&lt;&gt;"",COUNTIF(A131:$A$200,"&lt;&gt;")=0),ROUND(SUMIF($A$2:A129,"&lt;&gt;",$AC$2:AC129),2),IF(OR(A130="",E130=""),"",ROUND(D130-E130*C130,2)))</f>
        <v/>
      </c>
      <c r="AD130" s="17" t="n"/>
    </row>
    <row r="131">
      <c r="A131" s="227" t="n"/>
      <c r="B131" s="228" t="n"/>
      <c r="C131" s="229" t="n"/>
      <c r="D131" s="225">
        <f>IF(AND(A131="",A130&lt;&gt;"",COUNTIF(A132:$A$200,"&lt;&gt;")=0),ROUND(SUMIF($A$2:A130,"&lt;&gt;",$D$2:D130),2),IF(OR(A131="",B131="",C131=""),"",ROUND(B131*C131,2)))</f>
        <v/>
      </c>
      <c r="E131" s="230" t="n"/>
      <c r="F131" s="225">
        <f>IF(AND(A131="",A130&lt;&gt;"",COUNTIF(A132:$A$200,"&lt;&gt;")=0),ROUND(SUMIF($A$2:A130,"&lt;&gt;",$F$2:F130),2),IF(OR(A131="",E131="",C131="",NOT(ISNUMBER($Z$3))),"",ROUND(E131*C131*$Z$3,2)))</f>
        <v/>
      </c>
      <c r="G131" s="230" t="n"/>
      <c r="H131" s="225">
        <f>IF(AND(A131="",A130&lt;&gt;"",COUNTIF(A132:$A$200,"&lt;&gt;")=0),ROUND(SUMIF($A$2:A130,"&lt;&gt;",$H$2:H130),2),IF(OR(A131="",G131="",C131="",NOT(ISNUMBER($Z$4))),"",ROUND(G131*C131*$Z$4,2)))</f>
        <v/>
      </c>
      <c r="I131" s="230" t="n"/>
      <c r="J131" s="225">
        <f>IF(AND(A131="",A130&lt;&gt;"",COUNTIF(A132:$A$200,"&lt;&gt;")=0),ROUND(SUMIF($A$2:A130,"&lt;&gt;",$J$2:J130),2),IF(OR(A131="",I131="",C131="",NOT(ISNUMBER($Z$5))),"",ROUND(I131*C131*$Z$5,2)))</f>
        <v/>
      </c>
      <c r="K131" s="230" t="n"/>
      <c r="L131" s="225">
        <f>IF(AND(A131="",A130&lt;&gt;"",COUNTIF(A132:$A$200,"&lt;&gt;")=0),ROUND(SUMIF($A$2:A130,"&lt;&gt;",$L$2:L130),2),IF(OR(A131="",K131="",C131="",NOT(ISNUMBER($Z$6))),"",ROUND(K131*C131*$Z$6,2)))</f>
        <v/>
      </c>
      <c r="M131" s="231">
        <f>IF(OR(E131="",G131=""),"",ROUND(MAX(E131-G131,0),2))</f>
        <v/>
      </c>
      <c r="N131" s="225">
        <f>IF(AND(A131="",A130&lt;&gt;"",COUNTIF(A132:$A$200,"&lt;&gt;")=0),ROUND(SUMIF($A$2:A130,"&lt;&gt;",$N$2:N130),2),IF(OR(M131="",C131="",NOT(ISNUMBER($Z$3))),"",ROUND(M131*C131*$Z$3,2)))</f>
        <v/>
      </c>
      <c r="O131" s="231">
        <f>IF(OR(G131="",I131=""),"",ROUND(MAX(G131-I131,0),2))</f>
        <v/>
      </c>
      <c r="P131" s="225">
        <f>IF(AND(A131="",A130&lt;&gt;"",COUNTIF(A132:$A$200,"&lt;&gt;")=0),ROUND(SUMIF($A$2:A130,"&lt;&gt;",$P$2:P130),2),IF(OR(O131="",C131="",NOT(ISNUMBER($Z$4))),"",ROUND(O131*C131*$Z$4,2)))</f>
        <v/>
      </c>
      <c r="Q131" s="231">
        <f>IF(OR(I131="",K131=""),"",ROUND(MAX(I131-K131,0),2))</f>
        <v/>
      </c>
      <c r="R131" s="225">
        <f>IF(AND(A131="",A130&lt;&gt;"",COUNTIF(A132:$A$200,"&lt;&gt;")=0),ROUND(SUMIF($A$2:A130,"&lt;&gt;",$R$2:R130),2),IF(OR(Q131="",C131="",NOT(ISNUMBER($Z$5))),"",ROUND(Q131*C131*$Z$5,2)))</f>
        <v/>
      </c>
      <c r="S131" s="112" t="n"/>
      <c r="T131" s="245" t="n"/>
      <c r="U131" s="233">
        <f>IF(AND(A131="",A130&lt;&gt;"",COUNTIF(A132:$A$200,"&lt;&gt;")=0),"TOTAL",IF(A131="","",IF(AND(G131&lt;&gt;"",E131&lt;&gt;"",G131&gt;E131),"ALERTA: REM_C2&gt;REM_C1",IF(AND(I131&lt;&gt;"",G131&lt;&gt;"",I131&gt;G131),"ALERTA: REM_C3&gt;REM_C2",IF(AND(K131&lt;&gt;"",I131&lt;&gt;"",K131&gt;I131),"ALERTA: REM_C4&gt;REM_C3","OK")))))</f>
        <v/>
      </c>
      <c r="V131" s="233">
        <f>IF(A131="","",IF(B131="","",IF(OR(B131&lt;0,E131&gt;B131,G131&gt;B131,I131&gt;B131,K131&gt;B131),"ALERTA: QTD_INVALIDA","OK")))</f>
        <v/>
      </c>
      <c r="W131" s="17" t="n"/>
      <c r="X131" s="17" t="n"/>
      <c r="Y131" s="17" t="n"/>
      <c r="Z131" s="17" t="n"/>
      <c r="AA131" s="17" t="n"/>
      <c r="AB131" s="231">
        <f>IF(OR(A131="",E131=""),"",ROUND(B131-E131,2))</f>
        <v/>
      </c>
      <c r="AC131" s="225">
        <f>IF(AND(A131="",A130&lt;&gt;"",COUNTIF(A132:$A$200,"&lt;&gt;")=0),ROUND(SUMIF($A$2:A130,"&lt;&gt;",$AC$2:AC130),2),IF(OR(A131="",E131=""),"",ROUND(D131-E131*C131,2)))</f>
        <v/>
      </c>
      <c r="AD131" s="17" t="n"/>
    </row>
    <row r="132">
      <c r="A132" s="227" t="n"/>
      <c r="B132" s="228" t="n"/>
      <c r="C132" s="229" t="n"/>
      <c r="D132" s="225">
        <f>IF(AND(A132="",A131&lt;&gt;"",COUNTIF(A133:$A$200,"&lt;&gt;")=0),ROUND(SUMIF($A$2:A131,"&lt;&gt;",$D$2:D131),2),IF(OR(A132="",B132="",C132=""),"",ROUND(B132*C132,2)))</f>
        <v/>
      </c>
      <c r="E132" s="230" t="n"/>
      <c r="F132" s="225">
        <f>IF(AND(A132="",A131&lt;&gt;"",COUNTIF(A133:$A$200,"&lt;&gt;")=0),ROUND(SUMIF($A$2:A131,"&lt;&gt;",$F$2:F131),2),IF(OR(A132="",E132="",C132="",NOT(ISNUMBER($Z$3))),"",ROUND(E132*C132*$Z$3,2)))</f>
        <v/>
      </c>
      <c r="G132" s="230" t="n"/>
      <c r="H132" s="225">
        <f>IF(AND(A132="",A131&lt;&gt;"",COUNTIF(A133:$A$200,"&lt;&gt;")=0),ROUND(SUMIF($A$2:A131,"&lt;&gt;",$H$2:H131),2),IF(OR(A132="",G132="",C132="",NOT(ISNUMBER($Z$4))),"",ROUND(G132*C132*$Z$4,2)))</f>
        <v/>
      </c>
      <c r="I132" s="230" t="n"/>
      <c r="J132" s="225">
        <f>IF(AND(A132="",A131&lt;&gt;"",COUNTIF(A133:$A$200,"&lt;&gt;")=0),ROUND(SUMIF($A$2:A131,"&lt;&gt;",$J$2:J131),2),IF(OR(A132="",I132="",C132="",NOT(ISNUMBER($Z$5))),"",ROUND(I132*C132*$Z$5,2)))</f>
        <v/>
      </c>
      <c r="K132" s="230" t="n"/>
      <c r="L132" s="225">
        <f>IF(AND(A132="",A131&lt;&gt;"",COUNTIF(A133:$A$200,"&lt;&gt;")=0),ROUND(SUMIF($A$2:A131,"&lt;&gt;",$L$2:L131),2),IF(OR(A132="",K132="",C132="",NOT(ISNUMBER($Z$6))),"",ROUND(K132*C132*$Z$6,2)))</f>
        <v/>
      </c>
      <c r="M132" s="231">
        <f>IF(OR(E132="",G132=""),"",ROUND(MAX(E132-G132,0),2))</f>
        <v/>
      </c>
      <c r="N132" s="225">
        <f>IF(AND(A132="",A131&lt;&gt;"",COUNTIF(A133:$A$200,"&lt;&gt;")=0),ROUND(SUMIF($A$2:A131,"&lt;&gt;",$N$2:N131),2),IF(OR(M132="",C132="",NOT(ISNUMBER($Z$3))),"",ROUND(M132*C132*$Z$3,2)))</f>
        <v/>
      </c>
      <c r="O132" s="231">
        <f>IF(OR(G132="",I132=""),"",ROUND(MAX(G132-I132,0),2))</f>
        <v/>
      </c>
      <c r="P132" s="225">
        <f>IF(AND(A132="",A131&lt;&gt;"",COUNTIF(A133:$A$200,"&lt;&gt;")=0),ROUND(SUMIF($A$2:A131,"&lt;&gt;",$P$2:P131),2),IF(OR(O132="",C132="",NOT(ISNUMBER($Z$4))),"",ROUND(O132*C132*$Z$4,2)))</f>
        <v/>
      </c>
      <c r="Q132" s="231">
        <f>IF(OR(I132="",K132=""),"",ROUND(MAX(I132-K132,0),2))</f>
        <v/>
      </c>
      <c r="R132" s="225">
        <f>IF(AND(A132="",A131&lt;&gt;"",COUNTIF(A133:$A$200,"&lt;&gt;")=0),ROUND(SUMIF($A$2:A131,"&lt;&gt;",$R$2:R131),2),IF(OR(Q132="",C132="",NOT(ISNUMBER($Z$5))),"",ROUND(Q132*C132*$Z$5,2)))</f>
        <v/>
      </c>
      <c r="S132" s="112" t="n"/>
      <c r="T132" s="245" t="n"/>
      <c r="U132" s="233">
        <f>IF(AND(A132="",A131&lt;&gt;"",COUNTIF(A133:$A$200,"&lt;&gt;")=0),"TOTAL",IF(A132="","",IF(AND(G132&lt;&gt;"",E132&lt;&gt;"",G132&gt;E132),"ALERTA: REM_C2&gt;REM_C1",IF(AND(I132&lt;&gt;"",G132&lt;&gt;"",I132&gt;G132),"ALERTA: REM_C3&gt;REM_C2",IF(AND(K132&lt;&gt;"",I132&lt;&gt;"",K132&gt;I132),"ALERTA: REM_C4&gt;REM_C3","OK")))))</f>
        <v/>
      </c>
      <c r="V132" s="233">
        <f>IF(A132="","",IF(B132="","",IF(OR(B132&lt;0,E132&gt;B132,G132&gt;B132,I132&gt;B132,K132&gt;B132),"ALERTA: QTD_INVALIDA","OK")))</f>
        <v/>
      </c>
      <c r="W132" s="17" t="n"/>
      <c r="X132" s="17" t="n"/>
      <c r="Y132" s="17" t="n"/>
      <c r="Z132" s="17" t="n"/>
      <c r="AA132" s="17" t="n"/>
      <c r="AB132" s="231">
        <f>IF(OR(A132="",E132=""),"",ROUND(B132-E132,2))</f>
        <v/>
      </c>
      <c r="AC132" s="225">
        <f>IF(AND(A132="",A131&lt;&gt;"",COUNTIF(A133:$A$200,"&lt;&gt;")=0),ROUND(SUMIF($A$2:A131,"&lt;&gt;",$AC$2:AC131),2),IF(OR(A132="",E132=""),"",ROUND(D132-E132*C132,2)))</f>
        <v/>
      </c>
      <c r="AD132" s="17" t="n"/>
    </row>
    <row r="133">
      <c r="A133" s="227" t="n"/>
      <c r="B133" s="228" t="n"/>
      <c r="C133" s="229" t="n"/>
      <c r="D133" s="225">
        <f>IF(AND(A133="",A132&lt;&gt;"",COUNTIF(A134:$A$200,"&lt;&gt;")=0),ROUND(SUMIF($A$2:A132,"&lt;&gt;",$D$2:D132),2),IF(OR(A133="",B133="",C133=""),"",ROUND(B133*C133,2)))</f>
        <v/>
      </c>
      <c r="E133" s="230" t="n"/>
      <c r="F133" s="225">
        <f>IF(AND(A133="",A132&lt;&gt;"",COUNTIF(A134:$A$200,"&lt;&gt;")=0),ROUND(SUMIF($A$2:A132,"&lt;&gt;",$F$2:F132),2),IF(OR(A133="",E133="",C133="",NOT(ISNUMBER($Z$3))),"",ROUND(E133*C133*$Z$3,2)))</f>
        <v/>
      </c>
      <c r="G133" s="230" t="n"/>
      <c r="H133" s="225">
        <f>IF(AND(A133="",A132&lt;&gt;"",COUNTIF(A134:$A$200,"&lt;&gt;")=0),ROUND(SUMIF($A$2:A132,"&lt;&gt;",$H$2:H132),2),IF(OR(A133="",G133="",C133="",NOT(ISNUMBER($Z$4))),"",ROUND(G133*C133*$Z$4,2)))</f>
        <v/>
      </c>
      <c r="I133" s="230" t="n"/>
      <c r="J133" s="225">
        <f>IF(AND(A133="",A132&lt;&gt;"",COUNTIF(A134:$A$200,"&lt;&gt;")=0),ROUND(SUMIF($A$2:A132,"&lt;&gt;",$J$2:J132),2),IF(OR(A133="",I133="",C133="",NOT(ISNUMBER($Z$5))),"",ROUND(I133*C133*$Z$5,2)))</f>
        <v/>
      </c>
      <c r="K133" s="230" t="n"/>
      <c r="L133" s="225">
        <f>IF(AND(A133="",A132&lt;&gt;"",COUNTIF(A134:$A$200,"&lt;&gt;")=0),ROUND(SUMIF($A$2:A132,"&lt;&gt;",$L$2:L132),2),IF(OR(A133="",K133="",C133="",NOT(ISNUMBER($Z$6))),"",ROUND(K133*C133*$Z$6,2)))</f>
        <v/>
      </c>
      <c r="M133" s="231">
        <f>IF(OR(E133="",G133=""),"",ROUND(MAX(E133-G133,0),2))</f>
        <v/>
      </c>
      <c r="N133" s="225">
        <f>IF(AND(A133="",A132&lt;&gt;"",COUNTIF(A134:$A$200,"&lt;&gt;")=0),ROUND(SUMIF($A$2:A132,"&lt;&gt;",$N$2:N132),2),IF(OR(M133="",C133="",NOT(ISNUMBER($Z$3))),"",ROUND(M133*C133*$Z$3,2)))</f>
        <v/>
      </c>
      <c r="O133" s="231">
        <f>IF(OR(G133="",I133=""),"",ROUND(MAX(G133-I133,0),2))</f>
        <v/>
      </c>
      <c r="P133" s="225">
        <f>IF(AND(A133="",A132&lt;&gt;"",COUNTIF(A134:$A$200,"&lt;&gt;")=0),ROUND(SUMIF($A$2:A132,"&lt;&gt;",$P$2:P132),2),IF(OR(O133="",C133="",NOT(ISNUMBER($Z$4))),"",ROUND(O133*C133*$Z$4,2)))</f>
        <v/>
      </c>
      <c r="Q133" s="231">
        <f>IF(OR(I133="",K133=""),"",ROUND(MAX(I133-K133,0),2))</f>
        <v/>
      </c>
      <c r="R133" s="225">
        <f>IF(AND(A133="",A132&lt;&gt;"",COUNTIF(A134:$A$200,"&lt;&gt;")=0),ROUND(SUMIF($A$2:A132,"&lt;&gt;",$R$2:R132),2),IF(OR(Q133="",C133="",NOT(ISNUMBER($Z$5))),"",ROUND(Q133*C133*$Z$5,2)))</f>
        <v/>
      </c>
      <c r="S133" s="112" t="n"/>
      <c r="T133" s="245" t="n"/>
      <c r="U133" s="233">
        <f>IF(AND(A133="",A132&lt;&gt;"",COUNTIF(A134:$A$200,"&lt;&gt;")=0),"TOTAL",IF(A133="","",IF(AND(G133&lt;&gt;"",E133&lt;&gt;"",G133&gt;E133),"ALERTA: REM_C2&gt;REM_C1",IF(AND(I133&lt;&gt;"",G133&lt;&gt;"",I133&gt;G133),"ALERTA: REM_C3&gt;REM_C2",IF(AND(K133&lt;&gt;"",I133&lt;&gt;"",K133&gt;I133),"ALERTA: REM_C4&gt;REM_C3","OK")))))</f>
        <v/>
      </c>
      <c r="V133" s="233">
        <f>IF(A133="","",IF(B133="","",IF(OR(B133&lt;0,E133&gt;B133,G133&gt;B133,I133&gt;B133,K133&gt;B133),"ALERTA: QTD_INVALIDA","OK")))</f>
        <v/>
      </c>
      <c r="W133" s="17" t="n"/>
      <c r="X133" s="17" t="n"/>
      <c r="Y133" s="17" t="n"/>
      <c r="Z133" s="17" t="n"/>
      <c r="AA133" s="17" t="n"/>
      <c r="AB133" s="231">
        <f>IF(OR(A133="",E133=""),"",ROUND(B133-E133,2))</f>
        <v/>
      </c>
      <c r="AC133" s="225">
        <f>IF(AND(A133="",A132&lt;&gt;"",COUNTIF(A134:$A$200,"&lt;&gt;")=0),ROUND(SUMIF($A$2:A132,"&lt;&gt;",$AC$2:AC132),2),IF(OR(A133="",E133=""),"",ROUND(D133-E133*C133,2)))</f>
        <v/>
      </c>
      <c r="AD133" s="17" t="n"/>
    </row>
    <row r="134">
      <c r="A134" s="227" t="n"/>
      <c r="B134" s="228" t="n"/>
      <c r="C134" s="229" t="n"/>
      <c r="D134" s="225">
        <f>IF(AND(A134="",A133&lt;&gt;"",COUNTIF(A135:$A$200,"&lt;&gt;")=0),ROUND(SUMIF($A$2:A133,"&lt;&gt;",$D$2:D133),2),IF(OR(A134="",B134="",C134=""),"",ROUND(B134*C134,2)))</f>
        <v/>
      </c>
      <c r="E134" s="230" t="n"/>
      <c r="F134" s="225">
        <f>IF(AND(A134="",A133&lt;&gt;"",COUNTIF(A135:$A$200,"&lt;&gt;")=0),ROUND(SUMIF($A$2:A133,"&lt;&gt;",$F$2:F133),2),IF(OR(A134="",E134="",C134="",NOT(ISNUMBER($Z$3))),"",ROUND(E134*C134*$Z$3,2)))</f>
        <v/>
      </c>
      <c r="G134" s="230" t="n"/>
      <c r="H134" s="225">
        <f>IF(AND(A134="",A133&lt;&gt;"",COUNTIF(A135:$A$200,"&lt;&gt;")=0),ROUND(SUMIF($A$2:A133,"&lt;&gt;",$H$2:H133),2),IF(OR(A134="",G134="",C134="",NOT(ISNUMBER($Z$4))),"",ROUND(G134*C134*$Z$4,2)))</f>
        <v/>
      </c>
      <c r="I134" s="230" t="n"/>
      <c r="J134" s="225">
        <f>IF(AND(A134="",A133&lt;&gt;"",COUNTIF(A135:$A$200,"&lt;&gt;")=0),ROUND(SUMIF($A$2:A133,"&lt;&gt;",$J$2:J133),2),IF(OR(A134="",I134="",C134="",NOT(ISNUMBER($Z$5))),"",ROUND(I134*C134*$Z$5,2)))</f>
        <v/>
      </c>
      <c r="K134" s="230" t="n"/>
      <c r="L134" s="225">
        <f>IF(AND(A134="",A133&lt;&gt;"",COUNTIF(A135:$A$200,"&lt;&gt;")=0),ROUND(SUMIF($A$2:A133,"&lt;&gt;",$L$2:L133),2),IF(OR(A134="",K134="",C134="",NOT(ISNUMBER($Z$6))),"",ROUND(K134*C134*$Z$6,2)))</f>
        <v/>
      </c>
      <c r="M134" s="231">
        <f>IF(OR(E134="",G134=""),"",ROUND(MAX(E134-G134,0),2))</f>
        <v/>
      </c>
      <c r="N134" s="225">
        <f>IF(AND(A134="",A133&lt;&gt;"",COUNTIF(A135:$A$200,"&lt;&gt;")=0),ROUND(SUMIF($A$2:A133,"&lt;&gt;",$N$2:N133),2),IF(OR(M134="",C134="",NOT(ISNUMBER($Z$3))),"",ROUND(M134*C134*$Z$3,2)))</f>
        <v/>
      </c>
      <c r="O134" s="231">
        <f>IF(OR(G134="",I134=""),"",ROUND(MAX(G134-I134,0),2))</f>
        <v/>
      </c>
      <c r="P134" s="225">
        <f>IF(AND(A134="",A133&lt;&gt;"",COUNTIF(A135:$A$200,"&lt;&gt;")=0),ROUND(SUMIF($A$2:A133,"&lt;&gt;",$P$2:P133),2),IF(OR(O134="",C134="",NOT(ISNUMBER($Z$4))),"",ROUND(O134*C134*$Z$4,2)))</f>
        <v/>
      </c>
      <c r="Q134" s="231">
        <f>IF(OR(I134="",K134=""),"",ROUND(MAX(I134-K134,0),2))</f>
        <v/>
      </c>
      <c r="R134" s="225">
        <f>IF(AND(A134="",A133&lt;&gt;"",COUNTIF(A135:$A$200,"&lt;&gt;")=0),ROUND(SUMIF($A$2:A133,"&lt;&gt;",$R$2:R133),2),IF(OR(Q134="",C134="",NOT(ISNUMBER($Z$5))),"",ROUND(Q134*C134*$Z$5,2)))</f>
        <v/>
      </c>
      <c r="S134" s="112" t="n"/>
      <c r="T134" s="245" t="n"/>
      <c r="U134" s="233">
        <f>IF(AND(A134="",A133&lt;&gt;"",COUNTIF(A135:$A$200,"&lt;&gt;")=0),"TOTAL",IF(A134="","",IF(AND(G134&lt;&gt;"",E134&lt;&gt;"",G134&gt;E134),"ALERTA: REM_C2&gt;REM_C1",IF(AND(I134&lt;&gt;"",G134&lt;&gt;"",I134&gt;G134),"ALERTA: REM_C3&gt;REM_C2",IF(AND(K134&lt;&gt;"",I134&lt;&gt;"",K134&gt;I134),"ALERTA: REM_C4&gt;REM_C3","OK")))))</f>
        <v/>
      </c>
      <c r="V134" s="233">
        <f>IF(A134="","",IF(B134="","",IF(OR(B134&lt;0,E134&gt;B134,G134&gt;B134,I134&gt;B134,K134&gt;B134),"ALERTA: QTD_INVALIDA","OK")))</f>
        <v/>
      </c>
      <c r="W134" s="17" t="n"/>
      <c r="X134" s="17" t="n"/>
      <c r="Y134" s="17" t="n"/>
      <c r="Z134" s="17" t="n"/>
      <c r="AA134" s="17" t="n"/>
      <c r="AB134" s="231">
        <f>IF(OR(A134="",E134=""),"",ROUND(B134-E134,2))</f>
        <v/>
      </c>
      <c r="AC134" s="225">
        <f>IF(AND(A134="",A133&lt;&gt;"",COUNTIF(A135:$A$200,"&lt;&gt;")=0),ROUND(SUMIF($A$2:A133,"&lt;&gt;",$AC$2:AC133),2),IF(OR(A134="",E134=""),"",ROUND(D134-E134*C134,2)))</f>
        <v/>
      </c>
      <c r="AD134" s="17" t="n"/>
    </row>
    <row r="135">
      <c r="A135" s="227" t="n"/>
      <c r="B135" s="228" t="n"/>
      <c r="C135" s="229" t="n"/>
      <c r="D135" s="225">
        <f>IF(AND(A135="",A134&lt;&gt;"",COUNTIF(A136:$A$200,"&lt;&gt;")=0),ROUND(SUMIF($A$2:A134,"&lt;&gt;",$D$2:D134),2),IF(OR(A135="",B135="",C135=""),"",ROUND(B135*C135,2)))</f>
        <v/>
      </c>
      <c r="E135" s="230" t="n"/>
      <c r="F135" s="225">
        <f>IF(AND(A135="",A134&lt;&gt;"",COUNTIF(A136:$A$200,"&lt;&gt;")=0),ROUND(SUMIF($A$2:A134,"&lt;&gt;",$F$2:F134),2),IF(OR(A135="",E135="",C135="",NOT(ISNUMBER($Z$3))),"",ROUND(E135*C135*$Z$3,2)))</f>
        <v/>
      </c>
      <c r="G135" s="230" t="n"/>
      <c r="H135" s="225">
        <f>IF(AND(A135="",A134&lt;&gt;"",COUNTIF(A136:$A$200,"&lt;&gt;")=0),ROUND(SUMIF($A$2:A134,"&lt;&gt;",$H$2:H134),2),IF(OR(A135="",G135="",C135="",NOT(ISNUMBER($Z$4))),"",ROUND(G135*C135*$Z$4,2)))</f>
        <v/>
      </c>
      <c r="I135" s="230" t="n"/>
      <c r="J135" s="225">
        <f>IF(AND(A135="",A134&lt;&gt;"",COUNTIF(A136:$A$200,"&lt;&gt;")=0),ROUND(SUMIF($A$2:A134,"&lt;&gt;",$J$2:J134),2),IF(OR(A135="",I135="",C135="",NOT(ISNUMBER($Z$5))),"",ROUND(I135*C135*$Z$5,2)))</f>
        <v/>
      </c>
      <c r="K135" s="230" t="n"/>
      <c r="L135" s="225">
        <f>IF(AND(A135="",A134&lt;&gt;"",COUNTIF(A136:$A$200,"&lt;&gt;")=0),ROUND(SUMIF($A$2:A134,"&lt;&gt;",$L$2:L134),2),IF(OR(A135="",K135="",C135="",NOT(ISNUMBER($Z$6))),"",ROUND(K135*C135*$Z$6,2)))</f>
        <v/>
      </c>
      <c r="M135" s="231">
        <f>IF(OR(E135="",G135=""),"",ROUND(MAX(E135-G135,0),2))</f>
        <v/>
      </c>
      <c r="N135" s="225">
        <f>IF(AND(A135="",A134&lt;&gt;"",COUNTIF(A136:$A$200,"&lt;&gt;")=0),ROUND(SUMIF($A$2:A134,"&lt;&gt;",$N$2:N134),2),IF(OR(M135="",C135="",NOT(ISNUMBER($Z$3))),"",ROUND(M135*C135*$Z$3,2)))</f>
        <v/>
      </c>
      <c r="O135" s="231">
        <f>IF(OR(G135="",I135=""),"",ROUND(MAX(G135-I135,0),2))</f>
        <v/>
      </c>
      <c r="P135" s="225">
        <f>IF(AND(A135="",A134&lt;&gt;"",COUNTIF(A136:$A$200,"&lt;&gt;")=0),ROUND(SUMIF($A$2:A134,"&lt;&gt;",$P$2:P134),2),IF(OR(O135="",C135="",NOT(ISNUMBER($Z$4))),"",ROUND(O135*C135*$Z$4,2)))</f>
        <v/>
      </c>
      <c r="Q135" s="231">
        <f>IF(OR(I135="",K135=""),"",ROUND(MAX(I135-K135,0),2))</f>
        <v/>
      </c>
      <c r="R135" s="225">
        <f>IF(AND(A135="",A134&lt;&gt;"",COUNTIF(A136:$A$200,"&lt;&gt;")=0),ROUND(SUMIF($A$2:A134,"&lt;&gt;",$R$2:R134),2),IF(OR(Q135="",C135="",NOT(ISNUMBER($Z$5))),"",ROUND(Q135*C135*$Z$5,2)))</f>
        <v/>
      </c>
      <c r="S135" s="112" t="n"/>
      <c r="T135" s="245" t="n"/>
      <c r="U135" s="233">
        <f>IF(AND(A135="",A134&lt;&gt;"",COUNTIF(A136:$A$200,"&lt;&gt;")=0),"TOTAL",IF(A135="","",IF(AND(G135&lt;&gt;"",E135&lt;&gt;"",G135&gt;E135),"ALERTA: REM_C2&gt;REM_C1",IF(AND(I135&lt;&gt;"",G135&lt;&gt;"",I135&gt;G135),"ALERTA: REM_C3&gt;REM_C2",IF(AND(K135&lt;&gt;"",I135&lt;&gt;"",K135&gt;I135),"ALERTA: REM_C4&gt;REM_C3","OK")))))</f>
        <v/>
      </c>
      <c r="V135" s="233">
        <f>IF(A135="","",IF(B135="","",IF(OR(B135&lt;0,E135&gt;B135,G135&gt;B135,I135&gt;B135,K135&gt;B135),"ALERTA: QTD_INVALIDA","OK")))</f>
        <v/>
      </c>
      <c r="W135" s="17" t="n"/>
      <c r="X135" s="17" t="n"/>
      <c r="Y135" s="17" t="n"/>
      <c r="Z135" s="17" t="n"/>
      <c r="AA135" s="17" t="n"/>
      <c r="AB135" s="231">
        <f>IF(OR(A135="",E135=""),"",ROUND(B135-E135,2))</f>
        <v/>
      </c>
      <c r="AC135" s="225">
        <f>IF(AND(A135="",A134&lt;&gt;"",COUNTIF(A136:$A$200,"&lt;&gt;")=0),ROUND(SUMIF($A$2:A134,"&lt;&gt;",$AC$2:AC134),2),IF(OR(A135="",E135=""),"",ROUND(D135-E135*C135,2)))</f>
        <v/>
      </c>
      <c r="AD135" s="17" t="n"/>
    </row>
    <row r="136">
      <c r="A136" s="227" t="n"/>
      <c r="B136" s="228" t="n"/>
      <c r="C136" s="229" t="n"/>
      <c r="D136" s="225">
        <f>IF(AND(A136="",A135&lt;&gt;"",COUNTIF(A137:$A$200,"&lt;&gt;")=0),ROUND(SUMIF($A$2:A135,"&lt;&gt;",$D$2:D135),2),IF(OR(A136="",B136="",C136=""),"",ROUND(B136*C136,2)))</f>
        <v/>
      </c>
      <c r="E136" s="230" t="n"/>
      <c r="F136" s="225">
        <f>IF(AND(A136="",A135&lt;&gt;"",COUNTIF(A137:$A$200,"&lt;&gt;")=0),ROUND(SUMIF($A$2:A135,"&lt;&gt;",$F$2:F135),2),IF(OR(A136="",E136="",C136="",NOT(ISNUMBER($Z$3))),"",ROUND(E136*C136*$Z$3,2)))</f>
        <v/>
      </c>
      <c r="G136" s="230" t="n"/>
      <c r="H136" s="225">
        <f>IF(AND(A136="",A135&lt;&gt;"",COUNTIF(A137:$A$200,"&lt;&gt;")=0),ROUND(SUMIF($A$2:A135,"&lt;&gt;",$H$2:H135),2),IF(OR(A136="",G136="",C136="",NOT(ISNUMBER($Z$4))),"",ROUND(G136*C136*$Z$4,2)))</f>
        <v/>
      </c>
      <c r="I136" s="230" t="n"/>
      <c r="J136" s="225">
        <f>IF(AND(A136="",A135&lt;&gt;"",COUNTIF(A137:$A$200,"&lt;&gt;")=0),ROUND(SUMIF($A$2:A135,"&lt;&gt;",$J$2:J135),2),IF(OR(A136="",I136="",C136="",NOT(ISNUMBER($Z$5))),"",ROUND(I136*C136*$Z$5,2)))</f>
        <v/>
      </c>
      <c r="K136" s="230" t="n"/>
      <c r="L136" s="225">
        <f>IF(AND(A136="",A135&lt;&gt;"",COUNTIF(A137:$A$200,"&lt;&gt;")=0),ROUND(SUMIF($A$2:A135,"&lt;&gt;",$L$2:L135),2),IF(OR(A136="",K136="",C136="",NOT(ISNUMBER($Z$6))),"",ROUND(K136*C136*$Z$6,2)))</f>
        <v/>
      </c>
      <c r="M136" s="231">
        <f>IF(OR(E136="",G136=""),"",ROUND(MAX(E136-G136,0),2))</f>
        <v/>
      </c>
      <c r="N136" s="225">
        <f>IF(AND(A136="",A135&lt;&gt;"",COUNTIF(A137:$A$200,"&lt;&gt;")=0),ROUND(SUMIF($A$2:A135,"&lt;&gt;",$N$2:N135),2),IF(OR(M136="",C136="",NOT(ISNUMBER($Z$3))),"",ROUND(M136*C136*$Z$3,2)))</f>
        <v/>
      </c>
      <c r="O136" s="231">
        <f>IF(OR(G136="",I136=""),"",ROUND(MAX(G136-I136,0),2))</f>
        <v/>
      </c>
      <c r="P136" s="225">
        <f>IF(AND(A136="",A135&lt;&gt;"",COUNTIF(A137:$A$200,"&lt;&gt;")=0),ROUND(SUMIF($A$2:A135,"&lt;&gt;",$P$2:P135),2),IF(OR(O136="",C136="",NOT(ISNUMBER($Z$4))),"",ROUND(O136*C136*$Z$4,2)))</f>
        <v/>
      </c>
      <c r="Q136" s="231">
        <f>IF(OR(I136="",K136=""),"",ROUND(MAX(I136-K136,0),2))</f>
        <v/>
      </c>
      <c r="R136" s="225">
        <f>IF(AND(A136="",A135&lt;&gt;"",COUNTIF(A137:$A$200,"&lt;&gt;")=0),ROUND(SUMIF($A$2:A135,"&lt;&gt;",$R$2:R135),2),IF(OR(Q136="",C136="",NOT(ISNUMBER($Z$5))),"",ROUND(Q136*C136*$Z$5,2)))</f>
        <v/>
      </c>
      <c r="S136" s="112" t="n"/>
      <c r="T136" s="245" t="n"/>
      <c r="U136" s="233">
        <f>IF(AND(A136="",A135&lt;&gt;"",COUNTIF(A137:$A$200,"&lt;&gt;")=0),"TOTAL",IF(A136="","",IF(AND(G136&lt;&gt;"",E136&lt;&gt;"",G136&gt;E136),"ALERTA: REM_C2&gt;REM_C1",IF(AND(I136&lt;&gt;"",G136&lt;&gt;"",I136&gt;G136),"ALERTA: REM_C3&gt;REM_C2",IF(AND(K136&lt;&gt;"",I136&lt;&gt;"",K136&gt;I136),"ALERTA: REM_C4&gt;REM_C3","OK")))))</f>
        <v/>
      </c>
      <c r="V136" s="233">
        <f>IF(A136="","",IF(B136="","",IF(OR(B136&lt;0,E136&gt;B136,G136&gt;B136,I136&gt;B136,K136&gt;B136),"ALERTA: QTD_INVALIDA","OK")))</f>
        <v/>
      </c>
      <c r="W136" s="17" t="n"/>
      <c r="X136" s="17" t="n"/>
      <c r="Y136" s="17" t="n"/>
      <c r="Z136" s="17" t="n"/>
      <c r="AA136" s="17" t="n"/>
      <c r="AB136" s="231">
        <f>IF(OR(A136="",E136=""),"",ROUND(B136-E136,2))</f>
        <v/>
      </c>
      <c r="AC136" s="225">
        <f>IF(AND(A136="",A135&lt;&gt;"",COUNTIF(A137:$A$200,"&lt;&gt;")=0),ROUND(SUMIF($A$2:A135,"&lt;&gt;",$AC$2:AC135),2),IF(OR(A136="",E136=""),"",ROUND(D136-E136*C136,2)))</f>
        <v/>
      </c>
      <c r="AD136" s="17" t="n"/>
    </row>
    <row r="137">
      <c r="A137" s="227" t="n"/>
      <c r="B137" s="228" t="n"/>
      <c r="C137" s="229" t="n"/>
      <c r="D137" s="225">
        <f>IF(AND(A137="",A136&lt;&gt;"",COUNTIF(A138:$A$200,"&lt;&gt;")=0),ROUND(SUMIF($A$2:A136,"&lt;&gt;",$D$2:D136),2),IF(OR(A137="",B137="",C137=""),"",ROUND(B137*C137,2)))</f>
        <v/>
      </c>
      <c r="E137" s="230" t="n"/>
      <c r="F137" s="225">
        <f>IF(AND(A137="",A136&lt;&gt;"",COUNTIF(A138:$A$200,"&lt;&gt;")=0),ROUND(SUMIF($A$2:A136,"&lt;&gt;",$F$2:F136),2),IF(OR(A137="",E137="",C137="",NOT(ISNUMBER($Z$3))),"",ROUND(E137*C137*$Z$3,2)))</f>
        <v/>
      </c>
      <c r="G137" s="230" t="n"/>
      <c r="H137" s="225">
        <f>IF(AND(A137="",A136&lt;&gt;"",COUNTIF(A138:$A$200,"&lt;&gt;")=0),ROUND(SUMIF($A$2:A136,"&lt;&gt;",$H$2:H136),2),IF(OR(A137="",G137="",C137="",NOT(ISNUMBER($Z$4))),"",ROUND(G137*C137*$Z$4,2)))</f>
        <v/>
      </c>
      <c r="I137" s="230" t="n"/>
      <c r="J137" s="225">
        <f>IF(AND(A137="",A136&lt;&gt;"",COUNTIF(A138:$A$200,"&lt;&gt;")=0),ROUND(SUMIF($A$2:A136,"&lt;&gt;",$J$2:J136),2),IF(OR(A137="",I137="",C137="",NOT(ISNUMBER($Z$5))),"",ROUND(I137*C137*$Z$5,2)))</f>
        <v/>
      </c>
      <c r="K137" s="230" t="n"/>
      <c r="L137" s="225">
        <f>IF(AND(A137="",A136&lt;&gt;"",COUNTIF(A138:$A$200,"&lt;&gt;")=0),ROUND(SUMIF($A$2:A136,"&lt;&gt;",$L$2:L136),2),IF(OR(A137="",K137="",C137="",NOT(ISNUMBER($Z$6))),"",ROUND(K137*C137*$Z$6,2)))</f>
        <v/>
      </c>
      <c r="M137" s="231">
        <f>IF(OR(E137="",G137=""),"",ROUND(MAX(E137-G137,0),2))</f>
        <v/>
      </c>
      <c r="N137" s="225">
        <f>IF(AND(A137="",A136&lt;&gt;"",COUNTIF(A138:$A$200,"&lt;&gt;")=0),ROUND(SUMIF($A$2:A136,"&lt;&gt;",$N$2:N136),2),IF(OR(M137="",C137="",NOT(ISNUMBER($Z$3))),"",ROUND(M137*C137*$Z$3,2)))</f>
        <v/>
      </c>
      <c r="O137" s="231">
        <f>IF(OR(G137="",I137=""),"",ROUND(MAX(G137-I137,0),2))</f>
        <v/>
      </c>
      <c r="P137" s="225">
        <f>IF(AND(A137="",A136&lt;&gt;"",COUNTIF(A138:$A$200,"&lt;&gt;")=0),ROUND(SUMIF($A$2:A136,"&lt;&gt;",$P$2:P136),2),IF(OR(O137="",C137="",NOT(ISNUMBER($Z$4))),"",ROUND(O137*C137*$Z$4,2)))</f>
        <v/>
      </c>
      <c r="Q137" s="231">
        <f>IF(OR(I137="",K137=""),"",ROUND(MAX(I137-K137,0),2))</f>
        <v/>
      </c>
      <c r="R137" s="225">
        <f>IF(AND(A137="",A136&lt;&gt;"",COUNTIF(A138:$A$200,"&lt;&gt;")=0),ROUND(SUMIF($A$2:A136,"&lt;&gt;",$R$2:R136),2),IF(OR(Q137="",C137="",NOT(ISNUMBER($Z$5))),"",ROUND(Q137*C137*$Z$5,2)))</f>
        <v/>
      </c>
      <c r="S137" s="112" t="n"/>
      <c r="T137" s="245" t="n"/>
      <c r="U137" s="233">
        <f>IF(AND(A137="",A136&lt;&gt;"",COUNTIF(A138:$A$200,"&lt;&gt;")=0),"TOTAL",IF(A137="","",IF(AND(G137&lt;&gt;"",E137&lt;&gt;"",G137&gt;E137),"ALERTA: REM_C2&gt;REM_C1",IF(AND(I137&lt;&gt;"",G137&lt;&gt;"",I137&gt;G137),"ALERTA: REM_C3&gt;REM_C2",IF(AND(K137&lt;&gt;"",I137&lt;&gt;"",K137&gt;I137),"ALERTA: REM_C4&gt;REM_C3","OK")))))</f>
        <v/>
      </c>
      <c r="V137" s="233">
        <f>IF(A137="","",IF(B137="","",IF(OR(B137&lt;0,E137&gt;B137,G137&gt;B137,I137&gt;B137,K137&gt;B137),"ALERTA: QTD_INVALIDA","OK")))</f>
        <v/>
      </c>
      <c r="W137" s="17" t="n"/>
      <c r="X137" s="17" t="n"/>
      <c r="Y137" s="17" t="n"/>
      <c r="Z137" s="17" t="n"/>
      <c r="AA137" s="17" t="n"/>
      <c r="AB137" s="231">
        <f>IF(OR(A137="",E137=""),"",ROUND(B137-E137,2))</f>
        <v/>
      </c>
      <c r="AC137" s="225">
        <f>IF(AND(A137="",A136&lt;&gt;"",COUNTIF(A138:$A$200,"&lt;&gt;")=0),ROUND(SUMIF($A$2:A136,"&lt;&gt;",$AC$2:AC136),2),IF(OR(A137="",E137=""),"",ROUND(D137-E137*C137,2)))</f>
        <v/>
      </c>
      <c r="AD137" s="17" t="n"/>
    </row>
    <row r="138">
      <c r="A138" s="227" t="n"/>
      <c r="B138" s="228" t="n"/>
      <c r="C138" s="229" t="n"/>
      <c r="D138" s="225">
        <f>IF(AND(A138="",A137&lt;&gt;"",COUNTIF(A139:$A$200,"&lt;&gt;")=0),ROUND(SUMIF($A$2:A137,"&lt;&gt;",$D$2:D137),2),IF(OR(A138="",B138="",C138=""),"",ROUND(B138*C138,2)))</f>
        <v/>
      </c>
      <c r="E138" s="230" t="n"/>
      <c r="F138" s="225">
        <f>IF(AND(A138="",A137&lt;&gt;"",COUNTIF(A139:$A$200,"&lt;&gt;")=0),ROUND(SUMIF($A$2:A137,"&lt;&gt;",$F$2:F137),2),IF(OR(A138="",E138="",C138="",NOT(ISNUMBER($Z$3))),"",ROUND(E138*C138*$Z$3,2)))</f>
        <v/>
      </c>
      <c r="G138" s="230" t="n"/>
      <c r="H138" s="225">
        <f>IF(AND(A138="",A137&lt;&gt;"",COUNTIF(A139:$A$200,"&lt;&gt;")=0),ROUND(SUMIF($A$2:A137,"&lt;&gt;",$H$2:H137),2),IF(OR(A138="",G138="",C138="",NOT(ISNUMBER($Z$4))),"",ROUND(G138*C138*$Z$4,2)))</f>
        <v/>
      </c>
      <c r="I138" s="230" t="n"/>
      <c r="J138" s="225">
        <f>IF(AND(A138="",A137&lt;&gt;"",COUNTIF(A139:$A$200,"&lt;&gt;")=0),ROUND(SUMIF($A$2:A137,"&lt;&gt;",$J$2:J137),2),IF(OR(A138="",I138="",C138="",NOT(ISNUMBER($Z$5))),"",ROUND(I138*C138*$Z$5,2)))</f>
        <v/>
      </c>
      <c r="K138" s="230" t="n"/>
      <c r="L138" s="225">
        <f>IF(AND(A138="",A137&lt;&gt;"",COUNTIF(A139:$A$200,"&lt;&gt;")=0),ROUND(SUMIF($A$2:A137,"&lt;&gt;",$L$2:L137),2),IF(OR(A138="",K138="",C138="",NOT(ISNUMBER($Z$6))),"",ROUND(K138*C138*$Z$6,2)))</f>
        <v/>
      </c>
      <c r="M138" s="231">
        <f>IF(OR(E138="",G138=""),"",ROUND(MAX(E138-G138,0),2))</f>
        <v/>
      </c>
      <c r="N138" s="225">
        <f>IF(AND(A138="",A137&lt;&gt;"",COUNTIF(A139:$A$200,"&lt;&gt;")=0),ROUND(SUMIF($A$2:A137,"&lt;&gt;",$N$2:N137),2),IF(OR(M138="",C138="",NOT(ISNUMBER($Z$3))),"",ROUND(M138*C138*$Z$3,2)))</f>
        <v/>
      </c>
      <c r="O138" s="231">
        <f>IF(OR(G138="",I138=""),"",ROUND(MAX(G138-I138,0),2))</f>
        <v/>
      </c>
      <c r="P138" s="225">
        <f>IF(AND(A138="",A137&lt;&gt;"",COUNTIF(A139:$A$200,"&lt;&gt;")=0),ROUND(SUMIF($A$2:A137,"&lt;&gt;",$P$2:P137),2),IF(OR(O138="",C138="",NOT(ISNUMBER($Z$4))),"",ROUND(O138*C138*$Z$4,2)))</f>
        <v/>
      </c>
      <c r="Q138" s="231">
        <f>IF(OR(I138="",K138=""),"",ROUND(MAX(I138-K138,0),2))</f>
        <v/>
      </c>
      <c r="R138" s="225">
        <f>IF(AND(A138="",A137&lt;&gt;"",COUNTIF(A139:$A$200,"&lt;&gt;")=0),ROUND(SUMIF($A$2:A137,"&lt;&gt;",$R$2:R137),2),IF(OR(Q138="",C138="",NOT(ISNUMBER($Z$5))),"",ROUND(Q138*C138*$Z$5,2)))</f>
        <v/>
      </c>
      <c r="S138" s="112" t="n"/>
      <c r="T138" s="245" t="n"/>
      <c r="U138" s="233">
        <f>IF(AND(A138="",A137&lt;&gt;"",COUNTIF(A139:$A$200,"&lt;&gt;")=0),"TOTAL",IF(A138="","",IF(AND(G138&lt;&gt;"",E138&lt;&gt;"",G138&gt;E138),"ALERTA: REM_C2&gt;REM_C1",IF(AND(I138&lt;&gt;"",G138&lt;&gt;"",I138&gt;G138),"ALERTA: REM_C3&gt;REM_C2",IF(AND(K138&lt;&gt;"",I138&lt;&gt;"",K138&gt;I138),"ALERTA: REM_C4&gt;REM_C3","OK")))))</f>
        <v/>
      </c>
      <c r="V138" s="233">
        <f>IF(A138="","",IF(B138="","",IF(OR(B138&lt;0,E138&gt;B138,G138&gt;B138,I138&gt;B138,K138&gt;B138),"ALERTA: QTD_INVALIDA","OK")))</f>
        <v/>
      </c>
      <c r="W138" s="17" t="n"/>
      <c r="X138" s="17" t="n"/>
      <c r="Y138" s="17" t="n"/>
      <c r="Z138" s="17" t="n"/>
      <c r="AA138" s="17" t="n"/>
      <c r="AB138" s="231">
        <f>IF(OR(A138="",E138=""),"",ROUND(B138-E138,2))</f>
        <v/>
      </c>
      <c r="AC138" s="225">
        <f>IF(AND(A138="",A137&lt;&gt;"",COUNTIF(A139:$A$200,"&lt;&gt;")=0),ROUND(SUMIF($A$2:A137,"&lt;&gt;",$AC$2:AC137),2),IF(OR(A138="",E138=""),"",ROUND(D138-E138*C138,2)))</f>
        <v/>
      </c>
      <c r="AD138" s="17" t="n"/>
    </row>
    <row r="139">
      <c r="A139" s="227" t="n"/>
      <c r="B139" s="228" t="n"/>
      <c r="C139" s="229" t="n"/>
      <c r="D139" s="225">
        <f>IF(AND(A139="",A138&lt;&gt;"",COUNTIF(A140:$A$200,"&lt;&gt;")=0),ROUND(SUMIF($A$2:A138,"&lt;&gt;",$D$2:D138),2),IF(OR(A139="",B139="",C139=""),"",ROUND(B139*C139,2)))</f>
        <v/>
      </c>
      <c r="E139" s="230" t="n"/>
      <c r="F139" s="225">
        <f>IF(AND(A139="",A138&lt;&gt;"",COUNTIF(A140:$A$200,"&lt;&gt;")=0),ROUND(SUMIF($A$2:A138,"&lt;&gt;",$F$2:F138),2),IF(OR(A139="",E139="",C139="",NOT(ISNUMBER($Z$3))),"",ROUND(E139*C139*$Z$3,2)))</f>
        <v/>
      </c>
      <c r="G139" s="230" t="n"/>
      <c r="H139" s="225">
        <f>IF(AND(A139="",A138&lt;&gt;"",COUNTIF(A140:$A$200,"&lt;&gt;")=0),ROUND(SUMIF($A$2:A138,"&lt;&gt;",$H$2:H138),2),IF(OR(A139="",G139="",C139="",NOT(ISNUMBER($Z$4))),"",ROUND(G139*C139*$Z$4,2)))</f>
        <v/>
      </c>
      <c r="I139" s="230" t="n"/>
      <c r="J139" s="225">
        <f>IF(AND(A139="",A138&lt;&gt;"",COUNTIF(A140:$A$200,"&lt;&gt;")=0),ROUND(SUMIF($A$2:A138,"&lt;&gt;",$J$2:J138),2),IF(OR(A139="",I139="",C139="",NOT(ISNUMBER($Z$5))),"",ROUND(I139*C139*$Z$5,2)))</f>
        <v/>
      </c>
      <c r="K139" s="230" t="n"/>
      <c r="L139" s="225">
        <f>IF(AND(A139="",A138&lt;&gt;"",COUNTIF(A140:$A$200,"&lt;&gt;")=0),ROUND(SUMIF($A$2:A138,"&lt;&gt;",$L$2:L138),2),IF(OR(A139="",K139="",C139="",NOT(ISNUMBER($Z$6))),"",ROUND(K139*C139*$Z$6,2)))</f>
        <v/>
      </c>
      <c r="M139" s="231">
        <f>IF(OR(E139="",G139=""),"",ROUND(MAX(E139-G139,0),2))</f>
        <v/>
      </c>
      <c r="N139" s="225">
        <f>IF(AND(A139="",A138&lt;&gt;"",COUNTIF(A140:$A$200,"&lt;&gt;")=0),ROUND(SUMIF($A$2:A138,"&lt;&gt;",$N$2:N138),2),IF(OR(M139="",C139="",NOT(ISNUMBER($Z$3))),"",ROUND(M139*C139*$Z$3,2)))</f>
        <v/>
      </c>
      <c r="O139" s="231">
        <f>IF(OR(G139="",I139=""),"",ROUND(MAX(G139-I139,0),2))</f>
        <v/>
      </c>
      <c r="P139" s="225">
        <f>IF(AND(A139="",A138&lt;&gt;"",COUNTIF(A140:$A$200,"&lt;&gt;")=0),ROUND(SUMIF($A$2:A138,"&lt;&gt;",$P$2:P138),2),IF(OR(O139="",C139="",NOT(ISNUMBER($Z$4))),"",ROUND(O139*C139*$Z$4,2)))</f>
        <v/>
      </c>
      <c r="Q139" s="231">
        <f>IF(OR(I139="",K139=""),"",ROUND(MAX(I139-K139,0),2))</f>
        <v/>
      </c>
      <c r="R139" s="225">
        <f>IF(AND(A139="",A138&lt;&gt;"",COUNTIF(A140:$A$200,"&lt;&gt;")=0),ROUND(SUMIF($A$2:A138,"&lt;&gt;",$R$2:R138),2),IF(OR(Q139="",C139="",NOT(ISNUMBER($Z$5))),"",ROUND(Q139*C139*$Z$5,2)))</f>
        <v/>
      </c>
      <c r="S139" s="112" t="n"/>
      <c r="T139" s="245" t="n"/>
      <c r="U139" s="233">
        <f>IF(AND(A139="",A138&lt;&gt;"",COUNTIF(A140:$A$200,"&lt;&gt;")=0),"TOTAL",IF(A139="","",IF(AND(G139&lt;&gt;"",E139&lt;&gt;"",G139&gt;E139),"ALERTA: REM_C2&gt;REM_C1",IF(AND(I139&lt;&gt;"",G139&lt;&gt;"",I139&gt;G139),"ALERTA: REM_C3&gt;REM_C2",IF(AND(K139&lt;&gt;"",I139&lt;&gt;"",K139&gt;I139),"ALERTA: REM_C4&gt;REM_C3","OK")))))</f>
        <v/>
      </c>
      <c r="V139" s="233">
        <f>IF(A139="","",IF(B139="","",IF(OR(B139&lt;0,E139&gt;B139,G139&gt;B139,I139&gt;B139,K139&gt;B139),"ALERTA: QTD_INVALIDA","OK")))</f>
        <v/>
      </c>
      <c r="W139" s="17" t="n"/>
      <c r="X139" s="17" t="n"/>
      <c r="Y139" s="17" t="n"/>
      <c r="Z139" s="17" t="n"/>
      <c r="AA139" s="17" t="n"/>
      <c r="AB139" s="231">
        <f>IF(OR(A139="",E139=""),"",ROUND(B139-E139,2))</f>
        <v/>
      </c>
      <c r="AC139" s="225">
        <f>IF(AND(A139="",A138&lt;&gt;"",COUNTIF(A140:$A$200,"&lt;&gt;")=0),ROUND(SUMIF($A$2:A138,"&lt;&gt;",$AC$2:AC138),2),IF(OR(A139="",E139=""),"",ROUND(D139-E139*C139,2)))</f>
        <v/>
      </c>
      <c r="AD139" s="17" t="n"/>
    </row>
    <row r="140">
      <c r="A140" s="227" t="n"/>
      <c r="B140" s="228" t="n"/>
      <c r="C140" s="229" t="n"/>
      <c r="D140" s="225">
        <f>IF(AND(A140="",A139&lt;&gt;"",COUNTIF(A141:$A$200,"&lt;&gt;")=0),ROUND(SUMIF($A$2:A139,"&lt;&gt;",$D$2:D139),2),IF(OR(A140="",B140="",C140=""),"",ROUND(B140*C140,2)))</f>
        <v/>
      </c>
      <c r="E140" s="230" t="n"/>
      <c r="F140" s="225">
        <f>IF(AND(A140="",A139&lt;&gt;"",COUNTIF(A141:$A$200,"&lt;&gt;")=0),ROUND(SUMIF($A$2:A139,"&lt;&gt;",$F$2:F139),2),IF(OR(A140="",E140="",C140="",NOT(ISNUMBER($Z$3))),"",ROUND(E140*C140*$Z$3,2)))</f>
        <v/>
      </c>
      <c r="G140" s="230" t="n"/>
      <c r="H140" s="225">
        <f>IF(AND(A140="",A139&lt;&gt;"",COUNTIF(A141:$A$200,"&lt;&gt;")=0),ROUND(SUMIF($A$2:A139,"&lt;&gt;",$H$2:H139),2),IF(OR(A140="",G140="",C140="",NOT(ISNUMBER($Z$4))),"",ROUND(G140*C140*$Z$4,2)))</f>
        <v/>
      </c>
      <c r="I140" s="230" t="n"/>
      <c r="J140" s="225">
        <f>IF(AND(A140="",A139&lt;&gt;"",COUNTIF(A141:$A$200,"&lt;&gt;")=0),ROUND(SUMIF($A$2:A139,"&lt;&gt;",$J$2:J139),2),IF(OR(A140="",I140="",C140="",NOT(ISNUMBER($Z$5))),"",ROUND(I140*C140*$Z$5,2)))</f>
        <v/>
      </c>
      <c r="K140" s="230" t="n"/>
      <c r="L140" s="225">
        <f>IF(AND(A140="",A139&lt;&gt;"",COUNTIF(A141:$A$200,"&lt;&gt;")=0),ROUND(SUMIF($A$2:A139,"&lt;&gt;",$L$2:L139),2),IF(OR(A140="",K140="",C140="",NOT(ISNUMBER($Z$6))),"",ROUND(K140*C140*$Z$6,2)))</f>
        <v/>
      </c>
      <c r="M140" s="231">
        <f>IF(OR(E140="",G140=""),"",ROUND(MAX(E140-G140,0),2))</f>
        <v/>
      </c>
      <c r="N140" s="225">
        <f>IF(AND(A140="",A139&lt;&gt;"",COUNTIF(A141:$A$200,"&lt;&gt;")=0),ROUND(SUMIF($A$2:A139,"&lt;&gt;",$N$2:N139),2),IF(OR(M140="",C140="",NOT(ISNUMBER($Z$3))),"",ROUND(M140*C140*$Z$3,2)))</f>
        <v/>
      </c>
      <c r="O140" s="231">
        <f>IF(OR(G140="",I140=""),"",ROUND(MAX(G140-I140,0),2))</f>
        <v/>
      </c>
      <c r="P140" s="225">
        <f>IF(AND(A140="",A139&lt;&gt;"",COUNTIF(A141:$A$200,"&lt;&gt;")=0),ROUND(SUMIF($A$2:A139,"&lt;&gt;",$P$2:P139),2),IF(OR(O140="",C140="",NOT(ISNUMBER($Z$4))),"",ROUND(O140*C140*$Z$4,2)))</f>
        <v/>
      </c>
      <c r="Q140" s="231">
        <f>IF(OR(I140="",K140=""),"",ROUND(MAX(I140-K140,0),2))</f>
        <v/>
      </c>
      <c r="R140" s="225">
        <f>IF(AND(A140="",A139&lt;&gt;"",COUNTIF(A141:$A$200,"&lt;&gt;")=0),ROUND(SUMIF($A$2:A139,"&lt;&gt;",$R$2:R139),2),IF(OR(Q140="",C140="",NOT(ISNUMBER($Z$5))),"",ROUND(Q140*C140*$Z$5,2)))</f>
        <v/>
      </c>
      <c r="S140" s="112" t="n"/>
      <c r="T140" s="245" t="n"/>
      <c r="U140" s="233">
        <f>IF(AND(A140="",A139&lt;&gt;"",COUNTIF(A141:$A$200,"&lt;&gt;")=0),"TOTAL",IF(A140="","",IF(AND(G140&lt;&gt;"",E140&lt;&gt;"",G140&gt;E140),"ALERTA: REM_C2&gt;REM_C1",IF(AND(I140&lt;&gt;"",G140&lt;&gt;"",I140&gt;G140),"ALERTA: REM_C3&gt;REM_C2",IF(AND(K140&lt;&gt;"",I140&lt;&gt;"",K140&gt;I140),"ALERTA: REM_C4&gt;REM_C3","OK")))))</f>
        <v/>
      </c>
      <c r="V140" s="233">
        <f>IF(A140="","",IF(B140="","",IF(OR(B140&lt;0,E140&gt;B140,G140&gt;B140,I140&gt;B140,K140&gt;B140),"ALERTA: QTD_INVALIDA","OK")))</f>
        <v/>
      </c>
      <c r="W140" s="17" t="n"/>
      <c r="X140" s="17" t="n"/>
      <c r="Y140" s="17" t="n"/>
      <c r="Z140" s="17" t="n"/>
      <c r="AA140" s="17" t="n"/>
      <c r="AB140" s="231">
        <f>IF(OR(A140="",E140=""),"",ROUND(B140-E140,2))</f>
        <v/>
      </c>
      <c r="AC140" s="225">
        <f>IF(AND(A140="",A139&lt;&gt;"",COUNTIF(A141:$A$200,"&lt;&gt;")=0),ROUND(SUMIF($A$2:A139,"&lt;&gt;",$AC$2:AC139),2),IF(OR(A140="",E140=""),"",ROUND(D140-E140*C140,2)))</f>
        <v/>
      </c>
      <c r="AD140" s="17" t="n"/>
    </row>
    <row r="141">
      <c r="A141" s="227" t="n"/>
      <c r="B141" s="228" t="n"/>
      <c r="C141" s="229" t="n"/>
      <c r="D141" s="225">
        <f>IF(AND(A141="",A140&lt;&gt;"",COUNTIF(A142:$A$200,"&lt;&gt;")=0),ROUND(SUMIF($A$2:A140,"&lt;&gt;",$D$2:D140),2),IF(OR(A141="",B141="",C141=""),"",ROUND(B141*C141,2)))</f>
        <v/>
      </c>
      <c r="E141" s="230" t="n"/>
      <c r="F141" s="225">
        <f>IF(AND(A141="",A140&lt;&gt;"",COUNTIF(A142:$A$200,"&lt;&gt;")=0),ROUND(SUMIF($A$2:A140,"&lt;&gt;",$F$2:F140),2),IF(OR(A141="",E141="",C141="",NOT(ISNUMBER($Z$3))),"",ROUND(E141*C141*$Z$3,2)))</f>
        <v/>
      </c>
      <c r="G141" s="230" t="n"/>
      <c r="H141" s="225">
        <f>IF(AND(A141="",A140&lt;&gt;"",COUNTIF(A142:$A$200,"&lt;&gt;")=0),ROUND(SUMIF($A$2:A140,"&lt;&gt;",$H$2:H140),2),IF(OR(A141="",G141="",C141="",NOT(ISNUMBER($Z$4))),"",ROUND(G141*C141*$Z$4,2)))</f>
        <v/>
      </c>
      <c r="I141" s="230" t="n"/>
      <c r="J141" s="225">
        <f>IF(AND(A141="",A140&lt;&gt;"",COUNTIF(A142:$A$200,"&lt;&gt;")=0),ROUND(SUMIF($A$2:A140,"&lt;&gt;",$J$2:J140),2),IF(OR(A141="",I141="",C141="",NOT(ISNUMBER($Z$5))),"",ROUND(I141*C141*$Z$5,2)))</f>
        <v/>
      </c>
      <c r="K141" s="230" t="n"/>
      <c r="L141" s="225">
        <f>IF(AND(A141="",A140&lt;&gt;"",COUNTIF(A142:$A$200,"&lt;&gt;")=0),ROUND(SUMIF($A$2:A140,"&lt;&gt;",$L$2:L140),2),IF(OR(A141="",K141="",C141="",NOT(ISNUMBER($Z$6))),"",ROUND(K141*C141*$Z$6,2)))</f>
        <v/>
      </c>
      <c r="M141" s="231">
        <f>IF(OR(E141="",G141=""),"",ROUND(MAX(E141-G141,0),2))</f>
        <v/>
      </c>
      <c r="N141" s="225">
        <f>IF(AND(A141="",A140&lt;&gt;"",COUNTIF(A142:$A$200,"&lt;&gt;")=0),ROUND(SUMIF($A$2:A140,"&lt;&gt;",$N$2:N140),2),IF(OR(M141="",C141="",NOT(ISNUMBER($Z$3))),"",ROUND(M141*C141*$Z$3,2)))</f>
        <v/>
      </c>
      <c r="O141" s="231">
        <f>IF(OR(G141="",I141=""),"",ROUND(MAX(G141-I141,0),2))</f>
        <v/>
      </c>
      <c r="P141" s="225">
        <f>IF(AND(A141="",A140&lt;&gt;"",COUNTIF(A142:$A$200,"&lt;&gt;")=0),ROUND(SUMIF($A$2:A140,"&lt;&gt;",$P$2:P140),2),IF(OR(O141="",C141="",NOT(ISNUMBER($Z$4))),"",ROUND(O141*C141*$Z$4,2)))</f>
        <v/>
      </c>
      <c r="Q141" s="231">
        <f>IF(OR(I141="",K141=""),"",ROUND(MAX(I141-K141,0),2))</f>
        <v/>
      </c>
      <c r="R141" s="225">
        <f>IF(AND(A141="",A140&lt;&gt;"",COUNTIF(A142:$A$200,"&lt;&gt;")=0),ROUND(SUMIF($A$2:A140,"&lt;&gt;",$R$2:R140),2),IF(OR(Q141="",C141="",NOT(ISNUMBER($Z$5))),"",ROUND(Q141*C141*$Z$5,2)))</f>
        <v/>
      </c>
      <c r="S141" s="112" t="n"/>
      <c r="T141" s="245" t="n"/>
      <c r="U141" s="233">
        <f>IF(AND(A141="",A140&lt;&gt;"",COUNTIF(A142:$A$200,"&lt;&gt;")=0),"TOTAL",IF(A141="","",IF(AND(G141&lt;&gt;"",E141&lt;&gt;"",G141&gt;E141),"ALERTA: REM_C2&gt;REM_C1",IF(AND(I141&lt;&gt;"",G141&lt;&gt;"",I141&gt;G141),"ALERTA: REM_C3&gt;REM_C2",IF(AND(K141&lt;&gt;"",I141&lt;&gt;"",K141&gt;I141),"ALERTA: REM_C4&gt;REM_C3","OK")))))</f>
        <v/>
      </c>
      <c r="V141" s="233">
        <f>IF(A141="","",IF(B141="","",IF(OR(B141&lt;0,E141&gt;B141,G141&gt;B141,I141&gt;B141,K141&gt;B141),"ALERTA: QTD_INVALIDA","OK")))</f>
        <v/>
      </c>
      <c r="W141" s="17" t="n"/>
      <c r="X141" s="17" t="n"/>
      <c r="Y141" s="17" t="n"/>
      <c r="Z141" s="17" t="n"/>
      <c r="AA141" s="17" t="n"/>
      <c r="AB141" s="231">
        <f>IF(OR(A141="",E141=""),"",ROUND(B141-E141,2))</f>
        <v/>
      </c>
      <c r="AC141" s="225">
        <f>IF(AND(A141="",A140&lt;&gt;"",COUNTIF(A142:$A$200,"&lt;&gt;")=0),ROUND(SUMIF($A$2:A140,"&lt;&gt;",$AC$2:AC140),2),IF(OR(A141="",E141=""),"",ROUND(D141-E141*C141,2)))</f>
        <v/>
      </c>
      <c r="AD141" s="17" t="n"/>
    </row>
    <row r="142">
      <c r="A142" s="227" t="n"/>
      <c r="B142" s="228" t="n"/>
      <c r="C142" s="229" t="n"/>
      <c r="D142" s="225">
        <f>IF(AND(A142="",A141&lt;&gt;"",COUNTIF(A143:$A$200,"&lt;&gt;")=0),ROUND(SUMIF($A$2:A141,"&lt;&gt;",$D$2:D141),2),IF(OR(A142="",B142="",C142=""),"",ROUND(B142*C142,2)))</f>
        <v/>
      </c>
      <c r="E142" s="230" t="n"/>
      <c r="F142" s="225">
        <f>IF(AND(A142="",A141&lt;&gt;"",COUNTIF(A143:$A$200,"&lt;&gt;")=0),ROUND(SUMIF($A$2:A141,"&lt;&gt;",$F$2:F141),2),IF(OR(A142="",E142="",C142="",NOT(ISNUMBER($Z$3))),"",ROUND(E142*C142*$Z$3,2)))</f>
        <v/>
      </c>
      <c r="G142" s="230" t="n"/>
      <c r="H142" s="225">
        <f>IF(AND(A142="",A141&lt;&gt;"",COUNTIF(A143:$A$200,"&lt;&gt;")=0),ROUND(SUMIF($A$2:A141,"&lt;&gt;",$H$2:H141),2),IF(OR(A142="",G142="",C142="",NOT(ISNUMBER($Z$4))),"",ROUND(G142*C142*$Z$4,2)))</f>
        <v/>
      </c>
      <c r="I142" s="230" t="n"/>
      <c r="J142" s="225">
        <f>IF(AND(A142="",A141&lt;&gt;"",COUNTIF(A143:$A$200,"&lt;&gt;")=0),ROUND(SUMIF($A$2:A141,"&lt;&gt;",$J$2:J141),2),IF(OR(A142="",I142="",C142="",NOT(ISNUMBER($Z$5))),"",ROUND(I142*C142*$Z$5,2)))</f>
        <v/>
      </c>
      <c r="K142" s="230" t="n"/>
      <c r="L142" s="225">
        <f>IF(AND(A142="",A141&lt;&gt;"",COUNTIF(A143:$A$200,"&lt;&gt;")=0),ROUND(SUMIF($A$2:A141,"&lt;&gt;",$L$2:L141),2),IF(OR(A142="",K142="",C142="",NOT(ISNUMBER($Z$6))),"",ROUND(K142*C142*$Z$6,2)))</f>
        <v/>
      </c>
      <c r="M142" s="231">
        <f>IF(OR(E142="",G142=""),"",ROUND(MAX(E142-G142,0),2))</f>
        <v/>
      </c>
      <c r="N142" s="225">
        <f>IF(AND(A142="",A141&lt;&gt;"",COUNTIF(A143:$A$200,"&lt;&gt;")=0),ROUND(SUMIF($A$2:A141,"&lt;&gt;",$N$2:N141),2),IF(OR(M142="",C142="",NOT(ISNUMBER($Z$3))),"",ROUND(M142*C142*$Z$3,2)))</f>
        <v/>
      </c>
      <c r="O142" s="231">
        <f>IF(OR(G142="",I142=""),"",ROUND(MAX(G142-I142,0),2))</f>
        <v/>
      </c>
      <c r="P142" s="225">
        <f>IF(AND(A142="",A141&lt;&gt;"",COUNTIF(A143:$A$200,"&lt;&gt;")=0),ROUND(SUMIF($A$2:A141,"&lt;&gt;",$P$2:P141),2),IF(OR(O142="",C142="",NOT(ISNUMBER($Z$4))),"",ROUND(O142*C142*$Z$4,2)))</f>
        <v/>
      </c>
      <c r="Q142" s="231">
        <f>IF(OR(I142="",K142=""),"",ROUND(MAX(I142-K142,0),2))</f>
        <v/>
      </c>
      <c r="R142" s="225">
        <f>IF(AND(A142="",A141&lt;&gt;"",COUNTIF(A143:$A$200,"&lt;&gt;")=0),ROUND(SUMIF($A$2:A141,"&lt;&gt;",$R$2:R141),2),IF(OR(Q142="",C142="",NOT(ISNUMBER($Z$5))),"",ROUND(Q142*C142*$Z$5,2)))</f>
        <v/>
      </c>
      <c r="S142" s="112" t="n"/>
      <c r="T142" s="245" t="n"/>
      <c r="U142" s="233">
        <f>IF(AND(A142="",A141&lt;&gt;"",COUNTIF(A143:$A$200,"&lt;&gt;")=0),"TOTAL",IF(A142="","",IF(AND(G142&lt;&gt;"",E142&lt;&gt;"",G142&gt;E142),"ALERTA: REM_C2&gt;REM_C1",IF(AND(I142&lt;&gt;"",G142&lt;&gt;"",I142&gt;G142),"ALERTA: REM_C3&gt;REM_C2",IF(AND(K142&lt;&gt;"",I142&lt;&gt;"",K142&gt;I142),"ALERTA: REM_C4&gt;REM_C3","OK")))))</f>
        <v/>
      </c>
      <c r="V142" s="233">
        <f>IF(A142="","",IF(B142="","",IF(OR(B142&lt;0,E142&gt;B142,G142&gt;B142,I142&gt;B142,K142&gt;B142),"ALERTA: QTD_INVALIDA","OK")))</f>
        <v/>
      </c>
      <c r="W142" s="17" t="n"/>
      <c r="X142" s="17" t="n"/>
      <c r="Y142" s="17" t="n"/>
      <c r="Z142" s="17" t="n"/>
      <c r="AA142" s="17" t="n"/>
      <c r="AB142" s="231">
        <f>IF(OR(A142="",E142=""),"",ROUND(B142-E142,2))</f>
        <v/>
      </c>
      <c r="AC142" s="225">
        <f>IF(AND(A142="",A141&lt;&gt;"",COUNTIF(A143:$A$200,"&lt;&gt;")=0),ROUND(SUMIF($A$2:A141,"&lt;&gt;",$AC$2:AC141),2),IF(OR(A142="",E142=""),"",ROUND(D142-E142*C142,2)))</f>
        <v/>
      </c>
      <c r="AD142" s="17" t="n"/>
    </row>
    <row r="143">
      <c r="A143" s="227" t="n"/>
      <c r="B143" s="228" t="n"/>
      <c r="C143" s="229" t="n"/>
      <c r="D143" s="225">
        <f>IF(AND(A143="",A142&lt;&gt;"",COUNTIF(A144:$A$200,"&lt;&gt;")=0),ROUND(SUMIF($A$2:A142,"&lt;&gt;",$D$2:D142),2),IF(OR(A143="",B143="",C143=""),"",ROUND(B143*C143,2)))</f>
        <v/>
      </c>
      <c r="E143" s="230" t="n"/>
      <c r="F143" s="225">
        <f>IF(AND(A143="",A142&lt;&gt;"",COUNTIF(A144:$A$200,"&lt;&gt;")=0),ROUND(SUMIF($A$2:A142,"&lt;&gt;",$F$2:F142),2),IF(OR(A143="",E143="",C143="",NOT(ISNUMBER($Z$3))),"",ROUND(E143*C143*$Z$3,2)))</f>
        <v/>
      </c>
      <c r="G143" s="230" t="n"/>
      <c r="H143" s="225">
        <f>IF(AND(A143="",A142&lt;&gt;"",COUNTIF(A144:$A$200,"&lt;&gt;")=0),ROUND(SUMIF($A$2:A142,"&lt;&gt;",$H$2:H142),2),IF(OR(A143="",G143="",C143="",NOT(ISNUMBER($Z$4))),"",ROUND(G143*C143*$Z$4,2)))</f>
        <v/>
      </c>
      <c r="I143" s="230" t="n"/>
      <c r="J143" s="225">
        <f>IF(AND(A143="",A142&lt;&gt;"",COUNTIF(A144:$A$200,"&lt;&gt;")=0),ROUND(SUMIF($A$2:A142,"&lt;&gt;",$J$2:J142),2),IF(OR(A143="",I143="",C143="",NOT(ISNUMBER($Z$5))),"",ROUND(I143*C143*$Z$5,2)))</f>
        <v/>
      </c>
      <c r="K143" s="230" t="n"/>
      <c r="L143" s="225">
        <f>IF(AND(A143="",A142&lt;&gt;"",COUNTIF(A144:$A$200,"&lt;&gt;")=0),ROUND(SUMIF($A$2:A142,"&lt;&gt;",$L$2:L142),2),IF(OR(A143="",K143="",C143="",NOT(ISNUMBER($Z$6))),"",ROUND(K143*C143*$Z$6,2)))</f>
        <v/>
      </c>
      <c r="M143" s="231">
        <f>IF(OR(E143="",G143=""),"",ROUND(MAX(E143-G143,0),2))</f>
        <v/>
      </c>
      <c r="N143" s="225">
        <f>IF(AND(A143="",A142&lt;&gt;"",COUNTIF(A144:$A$200,"&lt;&gt;")=0),ROUND(SUMIF($A$2:A142,"&lt;&gt;",$N$2:N142),2),IF(OR(M143="",C143="",NOT(ISNUMBER($Z$3))),"",ROUND(M143*C143*$Z$3,2)))</f>
        <v/>
      </c>
      <c r="O143" s="231">
        <f>IF(OR(G143="",I143=""),"",ROUND(MAX(G143-I143,0),2))</f>
        <v/>
      </c>
      <c r="P143" s="225">
        <f>IF(AND(A143="",A142&lt;&gt;"",COUNTIF(A144:$A$200,"&lt;&gt;")=0),ROUND(SUMIF($A$2:A142,"&lt;&gt;",$P$2:P142),2),IF(OR(O143="",C143="",NOT(ISNUMBER($Z$4))),"",ROUND(O143*C143*$Z$4,2)))</f>
        <v/>
      </c>
      <c r="Q143" s="231">
        <f>IF(OR(I143="",K143=""),"",ROUND(MAX(I143-K143,0),2))</f>
        <v/>
      </c>
      <c r="R143" s="225">
        <f>IF(AND(A143="",A142&lt;&gt;"",COUNTIF(A144:$A$200,"&lt;&gt;")=0),ROUND(SUMIF($A$2:A142,"&lt;&gt;",$R$2:R142),2),IF(OR(Q143="",C143="",NOT(ISNUMBER($Z$5))),"",ROUND(Q143*C143*$Z$5,2)))</f>
        <v/>
      </c>
      <c r="S143" s="112" t="n"/>
      <c r="T143" s="245" t="n"/>
      <c r="U143" s="233">
        <f>IF(AND(A143="",A142&lt;&gt;"",COUNTIF(A144:$A$200,"&lt;&gt;")=0),"TOTAL",IF(A143="","",IF(AND(G143&lt;&gt;"",E143&lt;&gt;"",G143&gt;E143),"ALERTA: REM_C2&gt;REM_C1",IF(AND(I143&lt;&gt;"",G143&lt;&gt;"",I143&gt;G143),"ALERTA: REM_C3&gt;REM_C2",IF(AND(K143&lt;&gt;"",I143&lt;&gt;"",K143&gt;I143),"ALERTA: REM_C4&gt;REM_C3","OK")))))</f>
        <v/>
      </c>
      <c r="V143" s="233">
        <f>IF(A143="","",IF(B143="","",IF(OR(B143&lt;0,E143&gt;B143,G143&gt;B143,I143&gt;B143,K143&gt;B143),"ALERTA: QTD_INVALIDA","OK")))</f>
        <v/>
      </c>
      <c r="W143" s="17" t="n"/>
      <c r="X143" s="17" t="n"/>
      <c r="Y143" s="17" t="n"/>
      <c r="Z143" s="17" t="n"/>
      <c r="AA143" s="17" t="n"/>
      <c r="AB143" s="231">
        <f>IF(OR(A143="",E143=""),"",ROUND(B143-E143,2))</f>
        <v/>
      </c>
      <c r="AC143" s="225">
        <f>IF(AND(A143="",A142&lt;&gt;"",COUNTIF(A144:$A$200,"&lt;&gt;")=0),ROUND(SUMIF($A$2:A142,"&lt;&gt;",$AC$2:AC142),2),IF(OR(A143="",E143=""),"",ROUND(D143-E143*C143,2)))</f>
        <v/>
      </c>
      <c r="AD143" s="17" t="n"/>
    </row>
    <row r="144">
      <c r="A144" s="227" t="n"/>
      <c r="B144" s="228" t="n"/>
      <c r="C144" s="229" t="n"/>
      <c r="D144" s="225">
        <f>IF(AND(A144="",A143&lt;&gt;"",COUNTIF(A145:$A$200,"&lt;&gt;")=0),ROUND(SUMIF($A$2:A143,"&lt;&gt;",$D$2:D143),2),IF(OR(A144="",B144="",C144=""),"",ROUND(B144*C144,2)))</f>
        <v/>
      </c>
      <c r="E144" s="230" t="n"/>
      <c r="F144" s="225">
        <f>IF(AND(A144="",A143&lt;&gt;"",COUNTIF(A145:$A$200,"&lt;&gt;")=0),ROUND(SUMIF($A$2:A143,"&lt;&gt;",$F$2:F143),2),IF(OR(A144="",E144="",C144="",NOT(ISNUMBER($Z$3))),"",ROUND(E144*C144*$Z$3,2)))</f>
        <v/>
      </c>
      <c r="G144" s="230" t="n"/>
      <c r="H144" s="225">
        <f>IF(AND(A144="",A143&lt;&gt;"",COUNTIF(A145:$A$200,"&lt;&gt;")=0),ROUND(SUMIF($A$2:A143,"&lt;&gt;",$H$2:H143),2),IF(OR(A144="",G144="",C144="",NOT(ISNUMBER($Z$4))),"",ROUND(G144*C144*$Z$4,2)))</f>
        <v/>
      </c>
      <c r="I144" s="230" t="n"/>
      <c r="J144" s="225">
        <f>IF(AND(A144="",A143&lt;&gt;"",COUNTIF(A145:$A$200,"&lt;&gt;")=0),ROUND(SUMIF($A$2:A143,"&lt;&gt;",$J$2:J143),2),IF(OR(A144="",I144="",C144="",NOT(ISNUMBER($Z$5))),"",ROUND(I144*C144*$Z$5,2)))</f>
        <v/>
      </c>
      <c r="K144" s="230" t="n"/>
      <c r="L144" s="225">
        <f>IF(AND(A144="",A143&lt;&gt;"",COUNTIF(A145:$A$200,"&lt;&gt;")=0),ROUND(SUMIF($A$2:A143,"&lt;&gt;",$L$2:L143),2),IF(OR(A144="",K144="",C144="",NOT(ISNUMBER($Z$6))),"",ROUND(K144*C144*$Z$6,2)))</f>
        <v/>
      </c>
      <c r="M144" s="231">
        <f>IF(OR(E144="",G144=""),"",ROUND(MAX(E144-G144,0),2))</f>
        <v/>
      </c>
      <c r="N144" s="225">
        <f>IF(AND(A144="",A143&lt;&gt;"",COUNTIF(A145:$A$200,"&lt;&gt;")=0),ROUND(SUMIF($A$2:A143,"&lt;&gt;",$N$2:N143),2),IF(OR(M144="",C144="",NOT(ISNUMBER($Z$3))),"",ROUND(M144*C144*$Z$3,2)))</f>
        <v/>
      </c>
      <c r="O144" s="231">
        <f>IF(OR(G144="",I144=""),"",ROUND(MAX(G144-I144,0),2))</f>
        <v/>
      </c>
      <c r="P144" s="225">
        <f>IF(AND(A144="",A143&lt;&gt;"",COUNTIF(A145:$A$200,"&lt;&gt;")=0),ROUND(SUMIF($A$2:A143,"&lt;&gt;",$P$2:P143),2),IF(OR(O144="",C144="",NOT(ISNUMBER($Z$4))),"",ROUND(O144*C144*$Z$4,2)))</f>
        <v/>
      </c>
      <c r="Q144" s="231">
        <f>IF(OR(I144="",K144=""),"",ROUND(MAX(I144-K144,0),2))</f>
        <v/>
      </c>
      <c r="R144" s="225">
        <f>IF(AND(A144="",A143&lt;&gt;"",COUNTIF(A145:$A$200,"&lt;&gt;")=0),ROUND(SUMIF($A$2:A143,"&lt;&gt;",$R$2:R143),2),IF(OR(Q144="",C144="",NOT(ISNUMBER($Z$5))),"",ROUND(Q144*C144*$Z$5,2)))</f>
        <v/>
      </c>
      <c r="S144" s="112" t="n"/>
      <c r="T144" s="245" t="n"/>
      <c r="U144" s="233">
        <f>IF(AND(A144="",A143&lt;&gt;"",COUNTIF(A145:$A$200,"&lt;&gt;")=0),"TOTAL",IF(A144="","",IF(AND(G144&lt;&gt;"",E144&lt;&gt;"",G144&gt;E144),"ALERTA: REM_C2&gt;REM_C1",IF(AND(I144&lt;&gt;"",G144&lt;&gt;"",I144&gt;G144),"ALERTA: REM_C3&gt;REM_C2",IF(AND(K144&lt;&gt;"",I144&lt;&gt;"",K144&gt;I144),"ALERTA: REM_C4&gt;REM_C3","OK")))))</f>
        <v/>
      </c>
      <c r="V144" s="233">
        <f>IF(A144="","",IF(B144="","",IF(OR(B144&lt;0,E144&gt;B144,G144&gt;B144,I144&gt;B144,K144&gt;B144),"ALERTA: QTD_INVALIDA","OK")))</f>
        <v/>
      </c>
      <c r="W144" s="17" t="n"/>
      <c r="X144" s="17" t="n"/>
      <c r="Y144" s="17" t="n"/>
      <c r="Z144" s="17" t="n"/>
      <c r="AA144" s="17" t="n"/>
      <c r="AB144" s="231">
        <f>IF(OR(A144="",E144=""),"",ROUND(B144-E144,2))</f>
        <v/>
      </c>
      <c r="AC144" s="225">
        <f>IF(AND(A144="",A143&lt;&gt;"",COUNTIF(A145:$A$200,"&lt;&gt;")=0),ROUND(SUMIF($A$2:A143,"&lt;&gt;",$AC$2:AC143),2),IF(OR(A144="",E144=""),"",ROUND(D144-E144*C144,2)))</f>
        <v/>
      </c>
      <c r="AD144" s="17" t="n"/>
    </row>
    <row r="145">
      <c r="A145" s="227" t="n"/>
      <c r="B145" s="228" t="n"/>
      <c r="C145" s="229" t="n"/>
      <c r="D145" s="225">
        <f>IF(AND(A145="",A144&lt;&gt;"",COUNTIF(A146:$A$200,"&lt;&gt;")=0),ROUND(SUMIF($A$2:A144,"&lt;&gt;",$D$2:D144),2),IF(OR(A145="",B145="",C145=""),"",ROUND(B145*C145,2)))</f>
        <v/>
      </c>
      <c r="E145" s="230" t="n"/>
      <c r="F145" s="225">
        <f>IF(AND(A145="",A144&lt;&gt;"",COUNTIF(A146:$A$200,"&lt;&gt;")=0),ROUND(SUMIF($A$2:A144,"&lt;&gt;",$F$2:F144),2),IF(OR(A145="",E145="",C145="",NOT(ISNUMBER($Z$3))),"",ROUND(E145*C145*$Z$3,2)))</f>
        <v/>
      </c>
      <c r="G145" s="230" t="n"/>
      <c r="H145" s="225">
        <f>IF(AND(A145="",A144&lt;&gt;"",COUNTIF(A146:$A$200,"&lt;&gt;")=0),ROUND(SUMIF($A$2:A144,"&lt;&gt;",$H$2:H144),2),IF(OR(A145="",G145="",C145="",NOT(ISNUMBER($Z$4))),"",ROUND(G145*C145*$Z$4,2)))</f>
        <v/>
      </c>
      <c r="I145" s="230" t="n"/>
      <c r="J145" s="225">
        <f>IF(AND(A145="",A144&lt;&gt;"",COUNTIF(A146:$A$200,"&lt;&gt;")=0),ROUND(SUMIF($A$2:A144,"&lt;&gt;",$J$2:J144),2),IF(OR(A145="",I145="",C145="",NOT(ISNUMBER($Z$5))),"",ROUND(I145*C145*$Z$5,2)))</f>
        <v/>
      </c>
      <c r="K145" s="230" t="n"/>
      <c r="L145" s="225">
        <f>IF(AND(A145="",A144&lt;&gt;"",COUNTIF(A146:$A$200,"&lt;&gt;")=0),ROUND(SUMIF($A$2:A144,"&lt;&gt;",$L$2:L144),2),IF(OR(A145="",K145="",C145="",NOT(ISNUMBER($Z$6))),"",ROUND(K145*C145*$Z$6,2)))</f>
        <v/>
      </c>
      <c r="M145" s="231">
        <f>IF(OR(E145="",G145=""),"",ROUND(MAX(E145-G145,0),2))</f>
        <v/>
      </c>
      <c r="N145" s="225">
        <f>IF(AND(A145="",A144&lt;&gt;"",COUNTIF(A146:$A$200,"&lt;&gt;")=0),ROUND(SUMIF($A$2:A144,"&lt;&gt;",$N$2:N144),2),IF(OR(M145="",C145="",NOT(ISNUMBER($Z$3))),"",ROUND(M145*C145*$Z$3,2)))</f>
        <v/>
      </c>
      <c r="O145" s="231">
        <f>IF(OR(G145="",I145=""),"",ROUND(MAX(G145-I145,0),2))</f>
        <v/>
      </c>
      <c r="P145" s="225">
        <f>IF(AND(A145="",A144&lt;&gt;"",COUNTIF(A146:$A$200,"&lt;&gt;")=0),ROUND(SUMIF($A$2:A144,"&lt;&gt;",$P$2:P144),2),IF(OR(O145="",C145="",NOT(ISNUMBER($Z$4))),"",ROUND(O145*C145*$Z$4,2)))</f>
        <v/>
      </c>
      <c r="Q145" s="231">
        <f>IF(OR(I145="",K145=""),"",ROUND(MAX(I145-K145,0),2))</f>
        <v/>
      </c>
      <c r="R145" s="225">
        <f>IF(AND(A145="",A144&lt;&gt;"",COUNTIF(A146:$A$200,"&lt;&gt;")=0),ROUND(SUMIF($A$2:A144,"&lt;&gt;",$R$2:R144),2),IF(OR(Q145="",C145="",NOT(ISNUMBER($Z$5))),"",ROUND(Q145*C145*$Z$5,2)))</f>
        <v/>
      </c>
      <c r="S145" s="112" t="n"/>
      <c r="T145" s="245" t="n"/>
      <c r="U145" s="233">
        <f>IF(AND(A145="",A144&lt;&gt;"",COUNTIF(A146:$A$200,"&lt;&gt;")=0),"TOTAL",IF(A145="","",IF(AND(G145&lt;&gt;"",E145&lt;&gt;"",G145&gt;E145),"ALERTA: REM_C2&gt;REM_C1",IF(AND(I145&lt;&gt;"",G145&lt;&gt;"",I145&gt;G145),"ALERTA: REM_C3&gt;REM_C2",IF(AND(K145&lt;&gt;"",I145&lt;&gt;"",K145&gt;I145),"ALERTA: REM_C4&gt;REM_C3","OK")))))</f>
        <v/>
      </c>
      <c r="V145" s="233">
        <f>IF(A145="","",IF(B145="","",IF(OR(B145&lt;0,E145&gt;B145,G145&gt;B145,I145&gt;B145,K145&gt;B145),"ALERTA: QTD_INVALIDA","OK")))</f>
        <v/>
      </c>
      <c r="W145" s="17" t="n"/>
      <c r="X145" s="17" t="n"/>
      <c r="Y145" s="17" t="n"/>
      <c r="Z145" s="17" t="n"/>
      <c r="AA145" s="17" t="n"/>
      <c r="AB145" s="231">
        <f>IF(OR(A145="",E145=""),"",ROUND(B145-E145,2))</f>
        <v/>
      </c>
      <c r="AC145" s="225">
        <f>IF(AND(A145="",A144&lt;&gt;"",COUNTIF(A146:$A$200,"&lt;&gt;")=0),ROUND(SUMIF($A$2:A144,"&lt;&gt;",$AC$2:AC144),2),IF(OR(A145="",E145=""),"",ROUND(D145-E145*C145,2)))</f>
        <v/>
      </c>
      <c r="AD145" s="17" t="n"/>
    </row>
    <row r="146">
      <c r="A146" s="227" t="n"/>
      <c r="B146" s="228" t="n"/>
      <c r="C146" s="229" t="n"/>
      <c r="D146" s="225">
        <f>IF(AND(A146="",A145&lt;&gt;"",COUNTIF(A147:$A$200,"&lt;&gt;")=0),ROUND(SUMIF($A$2:A145,"&lt;&gt;",$D$2:D145),2),IF(OR(A146="",B146="",C146=""),"",ROUND(B146*C146,2)))</f>
        <v/>
      </c>
      <c r="E146" s="230" t="n"/>
      <c r="F146" s="225">
        <f>IF(AND(A146="",A145&lt;&gt;"",COUNTIF(A147:$A$200,"&lt;&gt;")=0),ROUND(SUMIF($A$2:A145,"&lt;&gt;",$F$2:F145),2),IF(OR(A146="",E146="",C146="",NOT(ISNUMBER($Z$3))),"",ROUND(E146*C146*$Z$3,2)))</f>
        <v/>
      </c>
      <c r="G146" s="230" t="n"/>
      <c r="H146" s="225">
        <f>IF(AND(A146="",A145&lt;&gt;"",COUNTIF(A147:$A$200,"&lt;&gt;")=0),ROUND(SUMIF($A$2:A145,"&lt;&gt;",$H$2:H145),2),IF(OR(A146="",G146="",C146="",NOT(ISNUMBER($Z$4))),"",ROUND(G146*C146*$Z$4,2)))</f>
        <v/>
      </c>
      <c r="I146" s="230" t="n"/>
      <c r="J146" s="225">
        <f>IF(AND(A146="",A145&lt;&gt;"",COUNTIF(A147:$A$200,"&lt;&gt;")=0),ROUND(SUMIF($A$2:A145,"&lt;&gt;",$J$2:J145),2),IF(OR(A146="",I146="",C146="",NOT(ISNUMBER($Z$5))),"",ROUND(I146*C146*$Z$5,2)))</f>
        <v/>
      </c>
      <c r="K146" s="230" t="n"/>
      <c r="L146" s="225">
        <f>IF(AND(A146="",A145&lt;&gt;"",COUNTIF(A147:$A$200,"&lt;&gt;")=0),ROUND(SUMIF($A$2:A145,"&lt;&gt;",$L$2:L145),2),IF(OR(A146="",K146="",C146="",NOT(ISNUMBER($Z$6))),"",ROUND(K146*C146*$Z$6,2)))</f>
        <v/>
      </c>
      <c r="M146" s="231">
        <f>IF(OR(E146="",G146=""),"",ROUND(MAX(E146-G146,0),2))</f>
        <v/>
      </c>
      <c r="N146" s="225">
        <f>IF(AND(A146="",A145&lt;&gt;"",COUNTIF(A147:$A$200,"&lt;&gt;")=0),ROUND(SUMIF($A$2:A145,"&lt;&gt;",$N$2:N145),2),IF(OR(M146="",C146="",NOT(ISNUMBER($Z$3))),"",ROUND(M146*C146*$Z$3,2)))</f>
        <v/>
      </c>
      <c r="O146" s="231">
        <f>IF(OR(G146="",I146=""),"",ROUND(MAX(G146-I146,0),2))</f>
        <v/>
      </c>
      <c r="P146" s="225">
        <f>IF(AND(A146="",A145&lt;&gt;"",COUNTIF(A147:$A$200,"&lt;&gt;")=0),ROUND(SUMIF($A$2:A145,"&lt;&gt;",$P$2:P145),2),IF(OR(O146="",C146="",NOT(ISNUMBER($Z$4))),"",ROUND(O146*C146*$Z$4,2)))</f>
        <v/>
      </c>
      <c r="Q146" s="231">
        <f>IF(OR(I146="",K146=""),"",ROUND(MAX(I146-K146,0),2))</f>
        <v/>
      </c>
      <c r="R146" s="225">
        <f>IF(AND(A146="",A145&lt;&gt;"",COUNTIF(A147:$A$200,"&lt;&gt;")=0),ROUND(SUMIF($A$2:A145,"&lt;&gt;",$R$2:R145),2),IF(OR(Q146="",C146="",NOT(ISNUMBER($Z$5))),"",ROUND(Q146*C146*$Z$5,2)))</f>
        <v/>
      </c>
      <c r="S146" s="112" t="n"/>
      <c r="T146" s="245" t="n"/>
      <c r="U146" s="233">
        <f>IF(AND(A146="",A145&lt;&gt;"",COUNTIF(A147:$A$200,"&lt;&gt;")=0),"TOTAL",IF(A146="","",IF(AND(G146&lt;&gt;"",E146&lt;&gt;"",G146&gt;E146),"ALERTA: REM_C2&gt;REM_C1",IF(AND(I146&lt;&gt;"",G146&lt;&gt;"",I146&gt;G146),"ALERTA: REM_C3&gt;REM_C2",IF(AND(K146&lt;&gt;"",I146&lt;&gt;"",K146&gt;I146),"ALERTA: REM_C4&gt;REM_C3","OK")))))</f>
        <v/>
      </c>
      <c r="V146" s="233">
        <f>IF(A146="","",IF(B146="","",IF(OR(B146&lt;0,E146&gt;B146,G146&gt;B146,I146&gt;B146,K146&gt;B146),"ALERTA: QTD_INVALIDA","OK")))</f>
        <v/>
      </c>
      <c r="W146" s="17" t="n"/>
      <c r="X146" s="17" t="n"/>
      <c r="Y146" s="17" t="n"/>
      <c r="Z146" s="17" t="n"/>
      <c r="AA146" s="17" t="n"/>
      <c r="AB146" s="231">
        <f>IF(OR(A146="",E146=""),"",ROUND(B146-E146,2))</f>
        <v/>
      </c>
      <c r="AC146" s="225">
        <f>IF(AND(A146="",A145&lt;&gt;"",COUNTIF(A147:$A$200,"&lt;&gt;")=0),ROUND(SUMIF($A$2:A145,"&lt;&gt;",$AC$2:AC145),2),IF(OR(A146="",E146=""),"",ROUND(D146-E146*C146,2)))</f>
        <v/>
      </c>
      <c r="AD146" s="17" t="n"/>
    </row>
    <row r="147">
      <c r="A147" s="227" t="n"/>
      <c r="B147" s="228" t="n"/>
      <c r="C147" s="229" t="n"/>
      <c r="D147" s="225">
        <f>IF(AND(A147="",A146&lt;&gt;"",COUNTIF(A148:$A$200,"&lt;&gt;")=0),ROUND(SUMIF($A$2:A146,"&lt;&gt;",$D$2:D146),2),IF(OR(A147="",B147="",C147=""),"",ROUND(B147*C147,2)))</f>
        <v/>
      </c>
      <c r="E147" s="230" t="n"/>
      <c r="F147" s="225">
        <f>IF(AND(A147="",A146&lt;&gt;"",COUNTIF(A148:$A$200,"&lt;&gt;")=0),ROUND(SUMIF($A$2:A146,"&lt;&gt;",$F$2:F146),2),IF(OR(A147="",E147="",C147="",NOT(ISNUMBER($Z$3))),"",ROUND(E147*C147*$Z$3,2)))</f>
        <v/>
      </c>
      <c r="G147" s="230" t="n"/>
      <c r="H147" s="225">
        <f>IF(AND(A147="",A146&lt;&gt;"",COUNTIF(A148:$A$200,"&lt;&gt;")=0),ROUND(SUMIF($A$2:A146,"&lt;&gt;",$H$2:H146),2),IF(OR(A147="",G147="",C147="",NOT(ISNUMBER($Z$4))),"",ROUND(G147*C147*$Z$4,2)))</f>
        <v/>
      </c>
      <c r="I147" s="230" t="n"/>
      <c r="J147" s="225">
        <f>IF(AND(A147="",A146&lt;&gt;"",COUNTIF(A148:$A$200,"&lt;&gt;")=0),ROUND(SUMIF($A$2:A146,"&lt;&gt;",$J$2:J146),2),IF(OR(A147="",I147="",C147="",NOT(ISNUMBER($Z$5))),"",ROUND(I147*C147*$Z$5,2)))</f>
        <v/>
      </c>
      <c r="K147" s="230" t="n"/>
      <c r="L147" s="225">
        <f>IF(AND(A147="",A146&lt;&gt;"",COUNTIF(A148:$A$200,"&lt;&gt;")=0),ROUND(SUMIF($A$2:A146,"&lt;&gt;",$L$2:L146),2),IF(OR(A147="",K147="",C147="",NOT(ISNUMBER($Z$6))),"",ROUND(K147*C147*$Z$6,2)))</f>
        <v/>
      </c>
      <c r="M147" s="231">
        <f>IF(OR(E147="",G147=""),"",ROUND(MAX(E147-G147,0),2))</f>
        <v/>
      </c>
      <c r="N147" s="225">
        <f>IF(AND(A147="",A146&lt;&gt;"",COUNTIF(A148:$A$200,"&lt;&gt;")=0),ROUND(SUMIF($A$2:A146,"&lt;&gt;",$N$2:N146),2),IF(OR(M147="",C147="",NOT(ISNUMBER($Z$3))),"",ROUND(M147*C147*$Z$3,2)))</f>
        <v/>
      </c>
      <c r="O147" s="231">
        <f>IF(OR(G147="",I147=""),"",ROUND(MAX(G147-I147,0),2))</f>
        <v/>
      </c>
      <c r="P147" s="225">
        <f>IF(AND(A147="",A146&lt;&gt;"",COUNTIF(A148:$A$200,"&lt;&gt;")=0),ROUND(SUMIF($A$2:A146,"&lt;&gt;",$P$2:P146),2),IF(OR(O147="",C147="",NOT(ISNUMBER($Z$4))),"",ROUND(O147*C147*$Z$4,2)))</f>
        <v/>
      </c>
      <c r="Q147" s="231">
        <f>IF(OR(I147="",K147=""),"",ROUND(MAX(I147-K147,0),2))</f>
        <v/>
      </c>
      <c r="R147" s="225">
        <f>IF(AND(A147="",A146&lt;&gt;"",COUNTIF(A148:$A$200,"&lt;&gt;")=0),ROUND(SUMIF($A$2:A146,"&lt;&gt;",$R$2:R146),2),IF(OR(Q147="",C147="",NOT(ISNUMBER($Z$5))),"",ROUND(Q147*C147*$Z$5,2)))</f>
        <v/>
      </c>
      <c r="S147" s="112" t="n"/>
      <c r="T147" s="245" t="n"/>
      <c r="U147" s="233">
        <f>IF(AND(A147="",A146&lt;&gt;"",COUNTIF(A148:$A$200,"&lt;&gt;")=0),"TOTAL",IF(A147="","",IF(AND(G147&lt;&gt;"",E147&lt;&gt;"",G147&gt;E147),"ALERTA: REM_C2&gt;REM_C1",IF(AND(I147&lt;&gt;"",G147&lt;&gt;"",I147&gt;G147),"ALERTA: REM_C3&gt;REM_C2",IF(AND(K147&lt;&gt;"",I147&lt;&gt;"",K147&gt;I147),"ALERTA: REM_C4&gt;REM_C3","OK")))))</f>
        <v/>
      </c>
      <c r="V147" s="233">
        <f>IF(A147="","",IF(B147="","",IF(OR(B147&lt;0,E147&gt;B147,G147&gt;B147,I147&gt;B147,K147&gt;B147),"ALERTA: QTD_INVALIDA","OK")))</f>
        <v/>
      </c>
      <c r="W147" s="17" t="n"/>
      <c r="X147" s="17" t="n"/>
      <c r="Y147" s="17" t="n"/>
      <c r="Z147" s="17" t="n"/>
      <c r="AA147" s="17" t="n"/>
      <c r="AB147" s="231">
        <f>IF(OR(A147="",E147=""),"",ROUND(B147-E147,2))</f>
        <v/>
      </c>
      <c r="AC147" s="225">
        <f>IF(AND(A147="",A146&lt;&gt;"",COUNTIF(A148:$A$200,"&lt;&gt;")=0),ROUND(SUMIF($A$2:A146,"&lt;&gt;",$AC$2:AC146),2),IF(OR(A147="",E147=""),"",ROUND(D147-E147*C147,2)))</f>
        <v/>
      </c>
      <c r="AD147" s="17" t="n"/>
    </row>
    <row r="148">
      <c r="A148" s="227" t="n"/>
      <c r="B148" s="228" t="n"/>
      <c r="C148" s="229" t="n"/>
      <c r="D148" s="225">
        <f>IF(AND(A148="",A147&lt;&gt;"",COUNTIF(A149:$A$200,"&lt;&gt;")=0),ROUND(SUMIF($A$2:A147,"&lt;&gt;",$D$2:D147),2),IF(OR(A148="",B148="",C148=""),"",ROUND(B148*C148,2)))</f>
        <v/>
      </c>
      <c r="E148" s="230" t="n"/>
      <c r="F148" s="225">
        <f>IF(AND(A148="",A147&lt;&gt;"",COUNTIF(A149:$A$200,"&lt;&gt;")=0),ROUND(SUMIF($A$2:A147,"&lt;&gt;",$F$2:F147),2),IF(OR(A148="",E148="",C148="",NOT(ISNUMBER($Z$3))),"",ROUND(E148*C148*$Z$3,2)))</f>
        <v/>
      </c>
      <c r="G148" s="230" t="n"/>
      <c r="H148" s="225">
        <f>IF(AND(A148="",A147&lt;&gt;"",COUNTIF(A149:$A$200,"&lt;&gt;")=0),ROUND(SUMIF($A$2:A147,"&lt;&gt;",$H$2:H147),2),IF(OR(A148="",G148="",C148="",NOT(ISNUMBER($Z$4))),"",ROUND(G148*C148*$Z$4,2)))</f>
        <v/>
      </c>
      <c r="I148" s="230" t="n"/>
      <c r="J148" s="225">
        <f>IF(AND(A148="",A147&lt;&gt;"",COUNTIF(A149:$A$200,"&lt;&gt;")=0),ROUND(SUMIF($A$2:A147,"&lt;&gt;",$J$2:J147),2),IF(OR(A148="",I148="",C148="",NOT(ISNUMBER($Z$5))),"",ROUND(I148*C148*$Z$5,2)))</f>
        <v/>
      </c>
      <c r="K148" s="230" t="n"/>
      <c r="L148" s="225">
        <f>IF(AND(A148="",A147&lt;&gt;"",COUNTIF(A149:$A$200,"&lt;&gt;")=0),ROUND(SUMIF($A$2:A147,"&lt;&gt;",$L$2:L147),2),IF(OR(A148="",K148="",C148="",NOT(ISNUMBER($Z$6))),"",ROUND(K148*C148*$Z$6,2)))</f>
        <v/>
      </c>
      <c r="M148" s="231">
        <f>IF(OR(E148="",G148=""),"",ROUND(MAX(E148-G148,0),2))</f>
        <v/>
      </c>
      <c r="N148" s="225">
        <f>IF(AND(A148="",A147&lt;&gt;"",COUNTIF(A149:$A$200,"&lt;&gt;")=0),ROUND(SUMIF($A$2:A147,"&lt;&gt;",$N$2:N147),2),IF(OR(M148="",C148="",NOT(ISNUMBER($Z$3))),"",ROUND(M148*C148*$Z$3,2)))</f>
        <v/>
      </c>
      <c r="O148" s="231">
        <f>IF(OR(G148="",I148=""),"",ROUND(MAX(G148-I148,0),2))</f>
        <v/>
      </c>
      <c r="P148" s="225">
        <f>IF(AND(A148="",A147&lt;&gt;"",COUNTIF(A149:$A$200,"&lt;&gt;")=0),ROUND(SUMIF($A$2:A147,"&lt;&gt;",$P$2:P147),2),IF(OR(O148="",C148="",NOT(ISNUMBER($Z$4))),"",ROUND(O148*C148*$Z$4,2)))</f>
        <v/>
      </c>
      <c r="Q148" s="231">
        <f>IF(OR(I148="",K148=""),"",ROUND(MAX(I148-K148,0),2))</f>
        <v/>
      </c>
      <c r="R148" s="225">
        <f>IF(AND(A148="",A147&lt;&gt;"",COUNTIF(A149:$A$200,"&lt;&gt;")=0),ROUND(SUMIF($A$2:A147,"&lt;&gt;",$R$2:R147),2),IF(OR(Q148="",C148="",NOT(ISNUMBER($Z$5))),"",ROUND(Q148*C148*$Z$5,2)))</f>
        <v/>
      </c>
      <c r="S148" s="112" t="n"/>
      <c r="T148" s="245" t="n"/>
      <c r="U148" s="233">
        <f>IF(AND(A148="",A147&lt;&gt;"",COUNTIF(A149:$A$200,"&lt;&gt;")=0),"TOTAL",IF(A148="","",IF(AND(G148&lt;&gt;"",E148&lt;&gt;"",G148&gt;E148),"ALERTA: REM_C2&gt;REM_C1",IF(AND(I148&lt;&gt;"",G148&lt;&gt;"",I148&gt;G148),"ALERTA: REM_C3&gt;REM_C2",IF(AND(K148&lt;&gt;"",I148&lt;&gt;"",K148&gt;I148),"ALERTA: REM_C4&gt;REM_C3","OK")))))</f>
        <v/>
      </c>
      <c r="V148" s="233">
        <f>IF(A148="","",IF(B148="","",IF(OR(B148&lt;0,E148&gt;B148,G148&gt;B148,I148&gt;B148,K148&gt;B148),"ALERTA: QTD_INVALIDA","OK")))</f>
        <v/>
      </c>
      <c r="W148" s="17" t="n"/>
      <c r="X148" s="17" t="n"/>
      <c r="Y148" s="17" t="n"/>
      <c r="Z148" s="17" t="n"/>
      <c r="AA148" s="17" t="n"/>
      <c r="AB148" s="231">
        <f>IF(OR(A148="",E148=""),"",ROUND(B148-E148,2))</f>
        <v/>
      </c>
      <c r="AC148" s="225">
        <f>IF(AND(A148="",A147&lt;&gt;"",COUNTIF(A149:$A$200,"&lt;&gt;")=0),ROUND(SUMIF($A$2:A147,"&lt;&gt;",$AC$2:AC147),2),IF(OR(A148="",E148=""),"",ROUND(D148-E148*C148,2)))</f>
        <v/>
      </c>
      <c r="AD148" s="17" t="n"/>
    </row>
    <row r="149">
      <c r="A149" s="227" t="n"/>
      <c r="B149" s="228" t="n"/>
      <c r="C149" s="229" t="n"/>
      <c r="D149" s="225">
        <f>IF(AND(A149="",A148&lt;&gt;"",COUNTIF(A150:$A$200,"&lt;&gt;")=0),ROUND(SUMIF($A$2:A148,"&lt;&gt;",$D$2:D148),2),IF(OR(A149="",B149="",C149=""),"",ROUND(B149*C149,2)))</f>
        <v/>
      </c>
      <c r="E149" s="230" t="n"/>
      <c r="F149" s="225">
        <f>IF(AND(A149="",A148&lt;&gt;"",COUNTIF(A150:$A$200,"&lt;&gt;")=0),ROUND(SUMIF($A$2:A148,"&lt;&gt;",$F$2:F148),2),IF(OR(A149="",E149="",C149="",NOT(ISNUMBER($Z$3))),"",ROUND(E149*C149*$Z$3,2)))</f>
        <v/>
      </c>
      <c r="G149" s="230" t="n"/>
      <c r="H149" s="225">
        <f>IF(AND(A149="",A148&lt;&gt;"",COUNTIF(A150:$A$200,"&lt;&gt;")=0),ROUND(SUMIF($A$2:A148,"&lt;&gt;",$H$2:H148),2),IF(OR(A149="",G149="",C149="",NOT(ISNUMBER($Z$4))),"",ROUND(G149*C149*$Z$4,2)))</f>
        <v/>
      </c>
      <c r="I149" s="230" t="n"/>
      <c r="J149" s="225">
        <f>IF(AND(A149="",A148&lt;&gt;"",COUNTIF(A150:$A$200,"&lt;&gt;")=0),ROUND(SUMIF($A$2:A148,"&lt;&gt;",$J$2:J148),2),IF(OR(A149="",I149="",C149="",NOT(ISNUMBER($Z$5))),"",ROUND(I149*C149*$Z$5,2)))</f>
        <v/>
      </c>
      <c r="K149" s="230" t="n"/>
      <c r="L149" s="225">
        <f>IF(AND(A149="",A148&lt;&gt;"",COUNTIF(A150:$A$200,"&lt;&gt;")=0),ROUND(SUMIF($A$2:A148,"&lt;&gt;",$L$2:L148),2),IF(OR(A149="",K149="",C149="",NOT(ISNUMBER($Z$6))),"",ROUND(K149*C149*$Z$6,2)))</f>
        <v/>
      </c>
      <c r="M149" s="231">
        <f>IF(OR(E149="",G149=""),"",ROUND(MAX(E149-G149,0),2))</f>
        <v/>
      </c>
      <c r="N149" s="225">
        <f>IF(AND(A149="",A148&lt;&gt;"",COUNTIF(A150:$A$200,"&lt;&gt;")=0),ROUND(SUMIF($A$2:A148,"&lt;&gt;",$N$2:N148),2),IF(OR(M149="",C149="",NOT(ISNUMBER($Z$3))),"",ROUND(M149*C149*$Z$3,2)))</f>
        <v/>
      </c>
      <c r="O149" s="231">
        <f>IF(OR(G149="",I149=""),"",ROUND(MAX(G149-I149,0),2))</f>
        <v/>
      </c>
      <c r="P149" s="225">
        <f>IF(AND(A149="",A148&lt;&gt;"",COUNTIF(A150:$A$200,"&lt;&gt;")=0),ROUND(SUMIF($A$2:A148,"&lt;&gt;",$P$2:P148),2),IF(OR(O149="",C149="",NOT(ISNUMBER($Z$4))),"",ROUND(O149*C149*$Z$4,2)))</f>
        <v/>
      </c>
      <c r="Q149" s="231">
        <f>IF(OR(I149="",K149=""),"",ROUND(MAX(I149-K149,0),2))</f>
        <v/>
      </c>
      <c r="R149" s="225">
        <f>IF(AND(A149="",A148&lt;&gt;"",COUNTIF(A150:$A$200,"&lt;&gt;")=0),ROUND(SUMIF($A$2:A148,"&lt;&gt;",$R$2:R148),2),IF(OR(Q149="",C149="",NOT(ISNUMBER($Z$5))),"",ROUND(Q149*C149*$Z$5,2)))</f>
        <v/>
      </c>
      <c r="S149" s="112" t="n"/>
      <c r="T149" s="245" t="n"/>
      <c r="U149" s="233">
        <f>IF(AND(A149="",A148&lt;&gt;"",COUNTIF(A150:$A$200,"&lt;&gt;")=0),"TOTAL",IF(A149="","",IF(AND(G149&lt;&gt;"",E149&lt;&gt;"",G149&gt;E149),"ALERTA: REM_C2&gt;REM_C1",IF(AND(I149&lt;&gt;"",G149&lt;&gt;"",I149&gt;G149),"ALERTA: REM_C3&gt;REM_C2",IF(AND(K149&lt;&gt;"",I149&lt;&gt;"",K149&gt;I149),"ALERTA: REM_C4&gt;REM_C3","OK")))))</f>
        <v/>
      </c>
      <c r="V149" s="233">
        <f>IF(A149="","",IF(B149="","",IF(OR(B149&lt;0,E149&gt;B149,G149&gt;B149,I149&gt;B149,K149&gt;B149),"ALERTA: QTD_INVALIDA","OK")))</f>
        <v/>
      </c>
      <c r="W149" s="17" t="n"/>
      <c r="X149" s="17" t="n"/>
      <c r="Y149" s="17" t="n"/>
      <c r="Z149" s="17" t="n"/>
      <c r="AA149" s="17" t="n"/>
      <c r="AB149" s="231">
        <f>IF(OR(A149="",E149=""),"",ROUND(B149-E149,2))</f>
        <v/>
      </c>
      <c r="AC149" s="225">
        <f>IF(AND(A149="",A148&lt;&gt;"",COUNTIF(A150:$A$200,"&lt;&gt;")=0),ROUND(SUMIF($A$2:A148,"&lt;&gt;",$AC$2:AC148),2),IF(OR(A149="",E149=""),"",ROUND(D149-E149*C149,2)))</f>
        <v/>
      </c>
      <c r="AD149" s="17" t="n"/>
    </row>
    <row r="150">
      <c r="A150" s="227" t="n"/>
      <c r="B150" s="228" t="n"/>
      <c r="C150" s="229" t="n"/>
      <c r="D150" s="225">
        <f>IF(AND(A150="",A149&lt;&gt;"",COUNTIF(A151:$A$200,"&lt;&gt;")=0),ROUND(SUMIF($A$2:A149,"&lt;&gt;",$D$2:D149),2),IF(OR(A150="",B150="",C150=""),"",ROUND(B150*C150,2)))</f>
        <v/>
      </c>
      <c r="E150" s="230" t="n"/>
      <c r="F150" s="225">
        <f>IF(AND(A150="",A149&lt;&gt;"",COUNTIF(A151:$A$200,"&lt;&gt;")=0),ROUND(SUMIF($A$2:A149,"&lt;&gt;",$F$2:F149),2),IF(OR(A150="",E150="",C150="",NOT(ISNUMBER($Z$3))),"",ROUND(E150*C150*$Z$3,2)))</f>
        <v/>
      </c>
      <c r="G150" s="230" t="n"/>
      <c r="H150" s="225">
        <f>IF(AND(A150="",A149&lt;&gt;"",COUNTIF(A151:$A$200,"&lt;&gt;")=0),ROUND(SUMIF($A$2:A149,"&lt;&gt;",$H$2:H149),2),IF(OR(A150="",G150="",C150="",NOT(ISNUMBER($Z$4))),"",ROUND(G150*C150*$Z$4,2)))</f>
        <v/>
      </c>
      <c r="I150" s="230" t="n"/>
      <c r="J150" s="225">
        <f>IF(AND(A150="",A149&lt;&gt;"",COUNTIF(A151:$A$200,"&lt;&gt;")=0),ROUND(SUMIF($A$2:A149,"&lt;&gt;",$J$2:J149),2),IF(OR(A150="",I150="",C150="",NOT(ISNUMBER($Z$5))),"",ROUND(I150*C150*$Z$5,2)))</f>
        <v/>
      </c>
      <c r="K150" s="230" t="n"/>
      <c r="L150" s="225">
        <f>IF(AND(A150="",A149&lt;&gt;"",COUNTIF(A151:$A$200,"&lt;&gt;")=0),ROUND(SUMIF($A$2:A149,"&lt;&gt;",$L$2:L149),2),IF(OR(A150="",K150="",C150="",NOT(ISNUMBER($Z$6))),"",ROUND(K150*C150*$Z$6,2)))</f>
        <v/>
      </c>
      <c r="M150" s="231">
        <f>IF(OR(E150="",G150=""),"",ROUND(MAX(E150-G150,0),2))</f>
        <v/>
      </c>
      <c r="N150" s="225">
        <f>IF(AND(A150="",A149&lt;&gt;"",COUNTIF(A151:$A$200,"&lt;&gt;")=0),ROUND(SUMIF($A$2:A149,"&lt;&gt;",$N$2:N149),2),IF(OR(M150="",C150="",NOT(ISNUMBER($Z$3))),"",ROUND(M150*C150*$Z$3,2)))</f>
        <v/>
      </c>
      <c r="O150" s="231">
        <f>IF(OR(G150="",I150=""),"",ROUND(MAX(G150-I150,0),2))</f>
        <v/>
      </c>
      <c r="P150" s="225">
        <f>IF(AND(A150="",A149&lt;&gt;"",COUNTIF(A151:$A$200,"&lt;&gt;")=0),ROUND(SUMIF($A$2:A149,"&lt;&gt;",$P$2:P149),2),IF(OR(O150="",C150="",NOT(ISNUMBER($Z$4))),"",ROUND(O150*C150*$Z$4,2)))</f>
        <v/>
      </c>
      <c r="Q150" s="231">
        <f>IF(OR(I150="",K150=""),"",ROUND(MAX(I150-K150,0),2))</f>
        <v/>
      </c>
      <c r="R150" s="225">
        <f>IF(AND(A150="",A149&lt;&gt;"",COUNTIF(A151:$A$200,"&lt;&gt;")=0),ROUND(SUMIF($A$2:A149,"&lt;&gt;",$R$2:R149),2),IF(OR(Q150="",C150="",NOT(ISNUMBER($Z$5))),"",ROUND(Q150*C150*$Z$5,2)))</f>
        <v/>
      </c>
      <c r="S150" s="112" t="n"/>
      <c r="T150" s="245" t="n"/>
      <c r="U150" s="233">
        <f>IF(AND(A150="",A149&lt;&gt;"",COUNTIF(A151:$A$200,"&lt;&gt;")=0),"TOTAL",IF(A150="","",IF(AND(G150&lt;&gt;"",E150&lt;&gt;"",G150&gt;E150),"ALERTA: REM_C2&gt;REM_C1",IF(AND(I150&lt;&gt;"",G150&lt;&gt;"",I150&gt;G150),"ALERTA: REM_C3&gt;REM_C2",IF(AND(K150&lt;&gt;"",I150&lt;&gt;"",K150&gt;I150),"ALERTA: REM_C4&gt;REM_C3","OK")))))</f>
        <v/>
      </c>
      <c r="V150" s="233">
        <f>IF(A150="","",IF(B150="","",IF(OR(B150&lt;0,E150&gt;B150,G150&gt;B150,I150&gt;B150,K150&gt;B150),"ALERTA: QTD_INVALIDA","OK")))</f>
        <v/>
      </c>
      <c r="W150" s="17" t="n"/>
      <c r="X150" s="17" t="n"/>
      <c r="Y150" s="17" t="n"/>
      <c r="Z150" s="17" t="n"/>
      <c r="AA150" s="17" t="n"/>
      <c r="AB150" s="231">
        <f>IF(OR(A150="",E150=""),"",ROUND(B150-E150,2))</f>
        <v/>
      </c>
      <c r="AC150" s="225">
        <f>IF(AND(A150="",A149&lt;&gt;"",COUNTIF(A151:$A$200,"&lt;&gt;")=0),ROUND(SUMIF($A$2:A149,"&lt;&gt;",$AC$2:AC149),2),IF(OR(A150="",E150=""),"",ROUND(D150-E150*C150,2)))</f>
        <v/>
      </c>
      <c r="AD150" s="17" t="n"/>
    </row>
    <row r="151">
      <c r="A151" s="227" t="n"/>
      <c r="B151" s="228" t="n"/>
      <c r="C151" s="229" t="n"/>
      <c r="D151" s="225">
        <f>IF(AND(A151="",A150&lt;&gt;"",COUNTIF(A152:$A$200,"&lt;&gt;")=0),ROUND(SUMIF($A$2:A150,"&lt;&gt;",$D$2:D150),2),IF(OR(A151="",B151="",C151=""),"",ROUND(B151*C151,2)))</f>
        <v/>
      </c>
      <c r="E151" s="230" t="n"/>
      <c r="F151" s="225">
        <f>IF(AND(A151="",A150&lt;&gt;"",COUNTIF(A152:$A$200,"&lt;&gt;")=0),ROUND(SUMIF($A$2:A150,"&lt;&gt;",$F$2:F150),2),IF(OR(A151="",E151="",C151="",NOT(ISNUMBER($Z$3))),"",ROUND(E151*C151*$Z$3,2)))</f>
        <v/>
      </c>
      <c r="G151" s="230" t="n"/>
      <c r="H151" s="225">
        <f>IF(AND(A151="",A150&lt;&gt;"",COUNTIF(A152:$A$200,"&lt;&gt;")=0),ROUND(SUMIF($A$2:A150,"&lt;&gt;",$H$2:H150),2),IF(OR(A151="",G151="",C151="",NOT(ISNUMBER($Z$4))),"",ROUND(G151*C151*$Z$4,2)))</f>
        <v/>
      </c>
      <c r="I151" s="230" t="n"/>
      <c r="J151" s="225">
        <f>IF(AND(A151="",A150&lt;&gt;"",COUNTIF(A152:$A$200,"&lt;&gt;")=0),ROUND(SUMIF($A$2:A150,"&lt;&gt;",$J$2:J150),2),IF(OR(A151="",I151="",C151="",NOT(ISNUMBER($Z$5))),"",ROUND(I151*C151*$Z$5,2)))</f>
        <v/>
      </c>
      <c r="K151" s="230" t="n"/>
      <c r="L151" s="225">
        <f>IF(AND(A151="",A150&lt;&gt;"",COUNTIF(A152:$A$200,"&lt;&gt;")=0),ROUND(SUMIF($A$2:A150,"&lt;&gt;",$L$2:L150),2),IF(OR(A151="",K151="",C151="",NOT(ISNUMBER($Z$6))),"",ROUND(K151*C151*$Z$6,2)))</f>
        <v/>
      </c>
      <c r="M151" s="231">
        <f>IF(OR(E151="",G151=""),"",ROUND(MAX(E151-G151,0),2))</f>
        <v/>
      </c>
      <c r="N151" s="225">
        <f>IF(AND(A151="",A150&lt;&gt;"",COUNTIF(A152:$A$200,"&lt;&gt;")=0),ROUND(SUMIF($A$2:A150,"&lt;&gt;",$N$2:N150),2),IF(OR(M151="",C151="",NOT(ISNUMBER($Z$3))),"",ROUND(M151*C151*$Z$3,2)))</f>
        <v/>
      </c>
      <c r="O151" s="231">
        <f>IF(OR(G151="",I151=""),"",ROUND(MAX(G151-I151,0),2))</f>
        <v/>
      </c>
      <c r="P151" s="225">
        <f>IF(AND(A151="",A150&lt;&gt;"",COUNTIF(A152:$A$200,"&lt;&gt;")=0),ROUND(SUMIF($A$2:A150,"&lt;&gt;",$P$2:P150),2),IF(OR(O151="",C151="",NOT(ISNUMBER($Z$4))),"",ROUND(O151*C151*$Z$4,2)))</f>
        <v/>
      </c>
      <c r="Q151" s="231">
        <f>IF(OR(I151="",K151=""),"",ROUND(MAX(I151-K151,0),2))</f>
        <v/>
      </c>
      <c r="R151" s="225">
        <f>IF(AND(A151="",A150&lt;&gt;"",COUNTIF(A152:$A$200,"&lt;&gt;")=0),ROUND(SUMIF($A$2:A150,"&lt;&gt;",$R$2:R150),2),IF(OR(Q151="",C151="",NOT(ISNUMBER($Z$5))),"",ROUND(Q151*C151*$Z$5,2)))</f>
        <v/>
      </c>
      <c r="S151" s="112" t="n"/>
      <c r="T151" s="245" t="n"/>
      <c r="U151" s="233">
        <f>IF(AND(A151="",A150&lt;&gt;"",COUNTIF(A152:$A$200,"&lt;&gt;")=0),"TOTAL",IF(A151="","",IF(AND(G151&lt;&gt;"",E151&lt;&gt;"",G151&gt;E151),"ALERTA: REM_C2&gt;REM_C1",IF(AND(I151&lt;&gt;"",G151&lt;&gt;"",I151&gt;G151),"ALERTA: REM_C3&gt;REM_C2",IF(AND(K151&lt;&gt;"",I151&lt;&gt;"",K151&gt;I151),"ALERTA: REM_C4&gt;REM_C3","OK")))))</f>
        <v/>
      </c>
      <c r="V151" s="233">
        <f>IF(A151="","",IF(B151="","",IF(OR(B151&lt;0,E151&gt;B151,G151&gt;B151,I151&gt;B151,K151&gt;B151),"ALERTA: QTD_INVALIDA","OK")))</f>
        <v/>
      </c>
      <c r="W151" s="17" t="n"/>
      <c r="X151" s="17" t="n"/>
      <c r="Y151" s="17" t="n"/>
      <c r="Z151" s="17" t="n"/>
      <c r="AA151" s="17" t="n"/>
      <c r="AB151" s="231">
        <f>IF(OR(A151="",E151=""),"",ROUND(B151-E151,2))</f>
        <v/>
      </c>
      <c r="AC151" s="225">
        <f>IF(AND(A151="",A150&lt;&gt;"",COUNTIF(A152:$A$200,"&lt;&gt;")=0),ROUND(SUMIF($A$2:A150,"&lt;&gt;",$AC$2:AC150),2),IF(OR(A151="",E151=""),"",ROUND(D151-E151*C151,2)))</f>
        <v/>
      </c>
      <c r="AD151" s="17" t="n"/>
    </row>
    <row r="152">
      <c r="A152" s="227" t="n"/>
      <c r="B152" s="228" t="n"/>
      <c r="C152" s="229" t="n"/>
      <c r="D152" s="225">
        <f>IF(AND(A152="",A151&lt;&gt;"",COUNTIF(A153:$A$200,"&lt;&gt;")=0),ROUND(SUMIF($A$2:A151,"&lt;&gt;",$D$2:D151),2),IF(OR(A152="",B152="",C152=""),"",ROUND(B152*C152,2)))</f>
        <v/>
      </c>
      <c r="E152" s="230" t="n"/>
      <c r="F152" s="225">
        <f>IF(AND(A152="",A151&lt;&gt;"",COUNTIF(A153:$A$200,"&lt;&gt;")=0),ROUND(SUMIF($A$2:A151,"&lt;&gt;",$F$2:F151),2),IF(OR(A152="",E152="",C152="",NOT(ISNUMBER($Z$3))),"",ROUND(E152*C152*$Z$3,2)))</f>
        <v/>
      </c>
      <c r="G152" s="230" t="n"/>
      <c r="H152" s="225">
        <f>IF(AND(A152="",A151&lt;&gt;"",COUNTIF(A153:$A$200,"&lt;&gt;")=0),ROUND(SUMIF($A$2:A151,"&lt;&gt;",$H$2:H151),2),IF(OR(A152="",G152="",C152="",NOT(ISNUMBER($Z$4))),"",ROUND(G152*C152*$Z$4,2)))</f>
        <v/>
      </c>
      <c r="I152" s="230" t="n"/>
      <c r="J152" s="225">
        <f>IF(AND(A152="",A151&lt;&gt;"",COUNTIF(A153:$A$200,"&lt;&gt;")=0),ROUND(SUMIF($A$2:A151,"&lt;&gt;",$J$2:J151),2),IF(OR(A152="",I152="",C152="",NOT(ISNUMBER($Z$5))),"",ROUND(I152*C152*$Z$5,2)))</f>
        <v/>
      </c>
      <c r="K152" s="230" t="n"/>
      <c r="L152" s="225">
        <f>IF(AND(A152="",A151&lt;&gt;"",COUNTIF(A153:$A$200,"&lt;&gt;")=0),ROUND(SUMIF($A$2:A151,"&lt;&gt;",$L$2:L151),2),IF(OR(A152="",K152="",C152="",NOT(ISNUMBER($Z$6))),"",ROUND(K152*C152*$Z$6,2)))</f>
        <v/>
      </c>
      <c r="M152" s="231">
        <f>IF(OR(E152="",G152=""),"",ROUND(MAX(E152-G152,0),2))</f>
        <v/>
      </c>
      <c r="N152" s="225">
        <f>IF(AND(A152="",A151&lt;&gt;"",COUNTIF(A153:$A$200,"&lt;&gt;")=0),ROUND(SUMIF($A$2:A151,"&lt;&gt;",$N$2:N151),2),IF(OR(M152="",C152="",NOT(ISNUMBER($Z$3))),"",ROUND(M152*C152*$Z$3,2)))</f>
        <v/>
      </c>
      <c r="O152" s="231">
        <f>IF(OR(G152="",I152=""),"",ROUND(MAX(G152-I152,0),2))</f>
        <v/>
      </c>
      <c r="P152" s="225">
        <f>IF(AND(A152="",A151&lt;&gt;"",COUNTIF(A153:$A$200,"&lt;&gt;")=0),ROUND(SUMIF($A$2:A151,"&lt;&gt;",$P$2:P151),2),IF(OR(O152="",C152="",NOT(ISNUMBER($Z$4))),"",ROUND(O152*C152*$Z$4,2)))</f>
        <v/>
      </c>
      <c r="Q152" s="231">
        <f>IF(OR(I152="",K152=""),"",ROUND(MAX(I152-K152,0),2))</f>
        <v/>
      </c>
      <c r="R152" s="225">
        <f>IF(AND(A152="",A151&lt;&gt;"",COUNTIF(A153:$A$200,"&lt;&gt;")=0),ROUND(SUMIF($A$2:A151,"&lt;&gt;",$R$2:R151),2),IF(OR(Q152="",C152="",NOT(ISNUMBER($Z$5))),"",ROUND(Q152*C152*$Z$5,2)))</f>
        <v/>
      </c>
      <c r="S152" s="112" t="n"/>
      <c r="T152" s="245" t="n"/>
      <c r="U152" s="233">
        <f>IF(AND(A152="",A151&lt;&gt;"",COUNTIF(A153:$A$200,"&lt;&gt;")=0),"TOTAL",IF(A152="","",IF(AND(G152&lt;&gt;"",E152&lt;&gt;"",G152&gt;E152),"ALERTA: REM_C2&gt;REM_C1",IF(AND(I152&lt;&gt;"",G152&lt;&gt;"",I152&gt;G152),"ALERTA: REM_C3&gt;REM_C2",IF(AND(K152&lt;&gt;"",I152&lt;&gt;"",K152&gt;I152),"ALERTA: REM_C4&gt;REM_C3","OK")))))</f>
        <v/>
      </c>
      <c r="V152" s="233">
        <f>IF(A152="","",IF(B152="","",IF(OR(B152&lt;0,E152&gt;B152,G152&gt;B152,I152&gt;B152,K152&gt;B152),"ALERTA: QTD_INVALIDA","OK")))</f>
        <v/>
      </c>
      <c r="W152" s="17" t="n"/>
      <c r="X152" s="17" t="n"/>
      <c r="Y152" s="17" t="n"/>
      <c r="Z152" s="17" t="n"/>
      <c r="AA152" s="17" t="n"/>
      <c r="AB152" s="231">
        <f>IF(OR(A152="",E152=""),"",ROUND(B152-E152,2))</f>
        <v/>
      </c>
      <c r="AC152" s="225">
        <f>IF(AND(A152="",A151&lt;&gt;"",COUNTIF(A153:$A$200,"&lt;&gt;")=0),ROUND(SUMIF($A$2:A151,"&lt;&gt;",$AC$2:AC151),2),IF(OR(A152="",E152=""),"",ROUND(D152-E152*C152,2)))</f>
        <v/>
      </c>
      <c r="AD152" s="17" t="n"/>
    </row>
    <row r="153">
      <c r="A153" s="227" t="n"/>
      <c r="B153" s="228" t="n"/>
      <c r="C153" s="229" t="n"/>
      <c r="D153" s="225">
        <f>IF(AND(A153="",A152&lt;&gt;"",COUNTIF(A154:$A$200,"&lt;&gt;")=0),ROUND(SUMIF($A$2:A152,"&lt;&gt;",$D$2:D152),2),IF(OR(A153="",B153="",C153=""),"",ROUND(B153*C153,2)))</f>
        <v/>
      </c>
      <c r="E153" s="230" t="n"/>
      <c r="F153" s="225">
        <f>IF(AND(A153="",A152&lt;&gt;"",COUNTIF(A154:$A$200,"&lt;&gt;")=0),ROUND(SUMIF($A$2:A152,"&lt;&gt;",$F$2:F152),2),IF(OR(A153="",E153="",C153="",NOT(ISNUMBER($Z$3))),"",ROUND(E153*C153*$Z$3,2)))</f>
        <v/>
      </c>
      <c r="G153" s="230" t="n"/>
      <c r="H153" s="225">
        <f>IF(AND(A153="",A152&lt;&gt;"",COUNTIF(A154:$A$200,"&lt;&gt;")=0),ROUND(SUMIF($A$2:A152,"&lt;&gt;",$H$2:H152),2),IF(OR(A153="",G153="",C153="",NOT(ISNUMBER($Z$4))),"",ROUND(G153*C153*$Z$4,2)))</f>
        <v/>
      </c>
      <c r="I153" s="230" t="n"/>
      <c r="J153" s="225">
        <f>IF(AND(A153="",A152&lt;&gt;"",COUNTIF(A154:$A$200,"&lt;&gt;")=0),ROUND(SUMIF($A$2:A152,"&lt;&gt;",$J$2:J152),2),IF(OR(A153="",I153="",C153="",NOT(ISNUMBER($Z$5))),"",ROUND(I153*C153*$Z$5,2)))</f>
        <v/>
      </c>
      <c r="K153" s="230" t="n"/>
      <c r="L153" s="225">
        <f>IF(AND(A153="",A152&lt;&gt;"",COUNTIF(A154:$A$200,"&lt;&gt;")=0),ROUND(SUMIF($A$2:A152,"&lt;&gt;",$L$2:L152),2),IF(OR(A153="",K153="",C153="",NOT(ISNUMBER($Z$6))),"",ROUND(K153*C153*$Z$6,2)))</f>
        <v/>
      </c>
      <c r="M153" s="231">
        <f>IF(OR(E153="",G153=""),"",ROUND(MAX(E153-G153,0),2))</f>
        <v/>
      </c>
      <c r="N153" s="225">
        <f>IF(AND(A153="",A152&lt;&gt;"",COUNTIF(A154:$A$200,"&lt;&gt;")=0),ROUND(SUMIF($A$2:A152,"&lt;&gt;",$N$2:N152),2),IF(OR(M153="",C153="",NOT(ISNUMBER($Z$3))),"",ROUND(M153*C153*$Z$3,2)))</f>
        <v/>
      </c>
      <c r="O153" s="231">
        <f>IF(OR(G153="",I153=""),"",ROUND(MAX(G153-I153,0),2))</f>
        <v/>
      </c>
      <c r="P153" s="225">
        <f>IF(AND(A153="",A152&lt;&gt;"",COUNTIF(A154:$A$200,"&lt;&gt;")=0),ROUND(SUMIF($A$2:A152,"&lt;&gt;",$P$2:P152),2),IF(OR(O153="",C153="",NOT(ISNUMBER($Z$4))),"",ROUND(O153*C153*$Z$4,2)))</f>
        <v/>
      </c>
      <c r="Q153" s="231">
        <f>IF(OR(I153="",K153=""),"",ROUND(MAX(I153-K153,0),2))</f>
        <v/>
      </c>
      <c r="R153" s="225">
        <f>IF(AND(A153="",A152&lt;&gt;"",COUNTIF(A154:$A$200,"&lt;&gt;")=0),ROUND(SUMIF($A$2:A152,"&lt;&gt;",$R$2:R152),2),IF(OR(Q153="",C153="",NOT(ISNUMBER($Z$5))),"",ROUND(Q153*C153*$Z$5,2)))</f>
        <v/>
      </c>
      <c r="S153" s="112" t="n"/>
      <c r="T153" s="245" t="n"/>
      <c r="U153" s="233">
        <f>IF(AND(A153="",A152&lt;&gt;"",COUNTIF(A154:$A$200,"&lt;&gt;")=0),"TOTAL",IF(A153="","",IF(AND(G153&lt;&gt;"",E153&lt;&gt;"",G153&gt;E153),"ALERTA: REM_C2&gt;REM_C1",IF(AND(I153&lt;&gt;"",G153&lt;&gt;"",I153&gt;G153),"ALERTA: REM_C3&gt;REM_C2",IF(AND(K153&lt;&gt;"",I153&lt;&gt;"",K153&gt;I153),"ALERTA: REM_C4&gt;REM_C3","OK")))))</f>
        <v/>
      </c>
      <c r="V153" s="233">
        <f>IF(A153="","",IF(B153="","",IF(OR(B153&lt;0,E153&gt;B153,G153&gt;B153,I153&gt;B153,K153&gt;B153),"ALERTA: QTD_INVALIDA","OK")))</f>
        <v/>
      </c>
      <c r="W153" s="17" t="n"/>
      <c r="X153" s="17" t="n"/>
      <c r="Y153" s="17" t="n"/>
      <c r="Z153" s="17" t="n"/>
      <c r="AA153" s="17" t="n"/>
      <c r="AB153" s="231">
        <f>IF(OR(A153="",E153=""),"",ROUND(B153-E153,2))</f>
        <v/>
      </c>
      <c r="AC153" s="225">
        <f>IF(AND(A153="",A152&lt;&gt;"",COUNTIF(A154:$A$200,"&lt;&gt;")=0),ROUND(SUMIF($A$2:A152,"&lt;&gt;",$AC$2:AC152),2),IF(OR(A153="",E153=""),"",ROUND(D153-E153*C153,2)))</f>
        <v/>
      </c>
      <c r="AD153" s="17" t="n"/>
    </row>
    <row r="154">
      <c r="A154" s="227" t="n"/>
      <c r="B154" s="228" t="n"/>
      <c r="C154" s="229" t="n"/>
      <c r="D154" s="225">
        <f>IF(AND(A154="",A153&lt;&gt;"",COUNTIF(A155:$A$200,"&lt;&gt;")=0),ROUND(SUMIF($A$2:A153,"&lt;&gt;",$D$2:D153),2),IF(OR(A154="",B154="",C154=""),"",ROUND(B154*C154,2)))</f>
        <v/>
      </c>
      <c r="E154" s="230" t="n"/>
      <c r="F154" s="225">
        <f>IF(AND(A154="",A153&lt;&gt;"",COUNTIF(A155:$A$200,"&lt;&gt;")=0),ROUND(SUMIF($A$2:A153,"&lt;&gt;",$F$2:F153),2),IF(OR(A154="",E154="",C154="",NOT(ISNUMBER($Z$3))),"",ROUND(E154*C154*$Z$3,2)))</f>
        <v/>
      </c>
      <c r="G154" s="230" t="n"/>
      <c r="H154" s="225">
        <f>IF(AND(A154="",A153&lt;&gt;"",COUNTIF(A155:$A$200,"&lt;&gt;")=0),ROUND(SUMIF($A$2:A153,"&lt;&gt;",$H$2:H153),2),IF(OR(A154="",G154="",C154="",NOT(ISNUMBER($Z$4))),"",ROUND(G154*C154*$Z$4,2)))</f>
        <v/>
      </c>
      <c r="I154" s="230" t="n"/>
      <c r="J154" s="225">
        <f>IF(AND(A154="",A153&lt;&gt;"",COUNTIF(A155:$A$200,"&lt;&gt;")=0),ROUND(SUMIF($A$2:A153,"&lt;&gt;",$J$2:J153),2),IF(OR(A154="",I154="",C154="",NOT(ISNUMBER($Z$5))),"",ROUND(I154*C154*$Z$5,2)))</f>
        <v/>
      </c>
      <c r="K154" s="230" t="n"/>
      <c r="L154" s="225">
        <f>IF(AND(A154="",A153&lt;&gt;"",COUNTIF(A155:$A$200,"&lt;&gt;")=0),ROUND(SUMIF($A$2:A153,"&lt;&gt;",$L$2:L153),2),IF(OR(A154="",K154="",C154="",NOT(ISNUMBER($Z$6))),"",ROUND(K154*C154*$Z$6,2)))</f>
        <v/>
      </c>
      <c r="M154" s="231">
        <f>IF(OR(E154="",G154=""),"",ROUND(MAX(E154-G154,0),2))</f>
        <v/>
      </c>
      <c r="N154" s="225">
        <f>IF(AND(A154="",A153&lt;&gt;"",COUNTIF(A155:$A$200,"&lt;&gt;")=0),ROUND(SUMIF($A$2:A153,"&lt;&gt;",$N$2:N153),2),IF(OR(M154="",C154="",NOT(ISNUMBER($Z$3))),"",ROUND(M154*C154*$Z$3,2)))</f>
        <v/>
      </c>
      <c r="O154" s="231">
        <f>IF(OR(G154="",I154=""),"",ROUND(MAX(G154-I154,0),2))</f>
        <v/>
      </c>
      <c r="P154" s="225">
        <f>IF(AND(A154="",A153&lt;&gt;"",COUNTIF(A155:$A$200,"&lt;&gt;")=0),ROUND(SUMIF($A$2:A153,"&lt;&gt;",$P$2:P153),2),IF(OR(O154="",C154="",NOT(ISNUMBER($Z$4))),"",ROUND(O154*C154*$Z$4,2)))</f>
        <v/>
      </c>
      <c r="Q154" s="231">
        <f>IF(OR(I154="",K154=""),"",ROUND(MAX(I154-K154,0),2))</f>
        <v/>
      </c>
      <c r="R154" s="225">
        <f>IF(AND(A154="",A153&lt;&gt;"",COUNTIF(A155:$A$200,"&lt;&gt;")=0),ROUND(SUMIF($A$2:A153,"&lt;&gt;",$R$2:R153),2),IF(OR(Q154="",C154="",NOT(ISNUMBER($Z$5))),"",ROUND(Q154*C154*$Z$5,2)))</f>
        <v/>
      </c>
      <c r="S154" s="112" t="n"/>
      <c r="T154" s="245" t="n"/>
      <c r="U154" s="233">
        <f>IF(AND(A154="",A153&lt;&gt;"",COUNTIF(A155:$A$200,"&lt;&gt;")=0),"TOTAL",IF(A154="","",IF(AND(G154&lt;&gt;"",E154&lt;&gt;"",G154&gt;E154),"ALERTA: REM_C2&gt;REM_C1",IF(AND(I154&lt;&gt;"",G154&lt;&gt;"",I154&gt;G154),"ALERTA: REM_C3&gt;REM_C2",IF(AND(K154&lt;&gt;"",I154&lt;&gt;"",K154&gt;I154),"ALERTA: REM_C4&gt;REM_C3","OK")))))</f>
        <v/>
      </c>
      <c r="V154" s="233">
        <f>IF(A154="","",IF(B154="","",IF(OR(B154&lt;0,E154&gt;B154,G154&gt;B154,I154&gt;B154,K154&gt;B154),"ALERTA: QTD_INVALIDA","OK")))</f>
        <v/>
      </c>
      <c r="W154" s="17" t="n"/>
      <c r="X154" s="17" t="n"/>
      <c r="Y154" s="17" t="n"/>
      <c r="Z154" s="17" t="n"/>
      <c r="AA154" s="17" t="n"/>
      <c r="AB154" s="231">
        <f>IF(OR(A154="",E154=""),"",ROUND(B154-E154,2))</f>
        <v/>
      </c>
      <c r="AC154" s="225">
        <f>IF(AND(A154="",A153&lt;&gt;"",COUNTIF(A155:$A$200,"&lt;&gt;")=0),ROUND(SUMIF($A$2:A153,"&lt;&gt;",$AC$2:AC153),2),IF(OR(A154="",E154=""),"",ROUND(D154-E154*C154,2)))</f>
        <v/>
      </c>
      <c r="AD154" s="17" t="n"/>
    </row>
    <row r="155">
      <c r="A155" s="227" t="n"/>
      <c r="B155" s="228" t="n"/>
      <c r="C155" s="229" t="n"/>
      <c r="D155" s="225">
        <f>IF(AND(A155="",A154&lt;&gt;"",COUNTIF(A156:$A$200,"&lt;&gt;")=0),ROUND(SUMIF($A$2:A154,"&lt;&gt;",$D$2:D154),2),IF(OR(A155="",B155="",C155=""),"",ROUND(B155*C155,2)))</f>
        <v/>
      </c>
      <c r="E155" s="230" t="n"/>
      <c r="F155" s="225">
        <f>IF(AND(A155="",A154&lt;&gt;"",COUNTIF(A156:$A$200,"&lt;&gt;")=0),ROUND(SUMIF($A$2:A154,"&lt;&gt;",$F$2:F154),2),IF(OR(A155="",E155="",C155="",NOT(ISNUMBER($Z$3))),"",ROUND(E155*C155*$Z$3,2)))</f>
        <v/>
      </c>
      <c r="G155" s="230" t="n"/>
      <c r="H155" s="225">
        <f>IF(AND(A155="",A154&lt;&gt;"",COUNTIF(A156:$A$200,"&lt;&gt;")=0),ROUND(SUMIF($A$2:A154,"&lt;&gt;",$H$2:H154),2),IF(OR(A155="",G155="",C155="",NOT(ISNUMBER($Z$4))),"",ROUND(G155*C155*$Z$4,2)))</f>
        <v/>
      </c>
      <c r="I155" s="230" t="n"/>
      <c r="J155" s="225">
        <f>IF(AND(A155="",A154&lt;&gt;"",COUNTIF(A156:$A$200,"&lt;&gt;")=0),ROUND(SUMIF($A$2:A154,"&lt;&gt;",$J$2:J154),2),IF(OR(A155="",I155="",C155="",NOT(ISNUMBER($Z$5))),"",ROUND(I155*C155*$Z$5,2)))</f>
        <v/>
      </c>
      <c r="K155" s="230" t="n"/>
      <c r="L155" s="225">
        <f>IF(AND(A155="",A154&lt;&gt;"",COUNTIF(A156:$A$200,"&lt;&gt;")=0),ROUND(SUMIF($A$2:A154,"&lt;&gt;",$L$2:L154),2),IF(OR(A155="",K155="",C155="",NOT(ISNUMBER($Z$6))),"",ROUND(K155*C155*$Z$6,2)))</f>
        <v/>
      </c>
      <c r="M155" s="231">
        <f>IF(OR(E155="",G155=""),"",ROUND(MAX(E155-G155,0),2))</f>
        <v/>
      </c>
      <c r="N155" s="225">
        <f>IF(AND(A155="",A154&lt;&gt;"",COUNTIF(A156:$A$200,"&lt;&gt;")=0),ROUND(SUMIF($A$2:A154,"&lt;&gt;",$N$2:N154),2),IF(OR(M155="",C155="",NOT(ISNUMBER($Z$3))),"",ROUND(M155*C155*$Z$3,2)))</f>
        <v/>
      </c>
      <c r="O155" s="231">
        <f>IF(OR(G155="",I155=""),"",ROUND(MAX(G155-I155,0),2))</f>
        <v/>
      </c>
      <c r="P155" s="225">
        <f>IF(AND(A155="",A154&lt;&gt;"",COUNTIF(A156:$A$200,"&lt;&gt;")=0),ROUND(SUMIF($A$2:A154,"&lt;&gt;",$P$2:P154),2),IF(OR(O155="",C155="",NOT(ISNUMBER($Z$4))),"",ROUND(O155*C155*$Z$4,2)))</f>
        <v/>
      </c>
      <c r="Q155" s="231">
        <f>IF(OR(I155="",K155=""),"",ROUND(MAX(I155-K155,0),2))</f>
        <v/>
      </c>
      <c r="R155" s="225">
        <f>IF(AND(A155="",A154&lt;&gt;"",COUNTIF(A156:$A$200,"&lt;&gt;")=0),ROUND(SUMIF($A$2:A154,"&lt;&gt;",$R$2:R154),2),IF(OR(Q155="",C155="",NOT(ISNUMBER($Z$5))),"",ROUND(Q155*C155*$Z$5,2)))</f>
        <v/>
      </c>
      <c r="S155" s="112" t="n"/>
      <c r="T155" s="245" t="n"/>
      <c r="U155" s="233">
        <f>IF(AND(A155="",A154&lt;&gt;"",COUNTIF(A156:$A$200,"&lt;&gt;")=0),"TOTAL",IF(A155="","",IF(AND(G155&lt;&gt;"",E155&lt;&gt;"",G155&gt;E155),"ALERTA: REM_C2&gt;REM_C1",IF(AND(I155&lt;&gt;"",G155&lt;&gt;"",I155&gt;G155),"ALERTA: REM_C3&gt;REM_C2",IF(AND(K155&lt;&gt;"",I155&lt;&gt;"",K155&gt;I155),"ALERTA: REM_C4&gt;REM_C3","OK")))))</f>
        <v/>
      </c>
      <c r="V155" s="233">
        <f>IF(A155="","",IF(B155="","",IF(OR(B155&lt;0,E155&gt;B155,G155&gt;B155,I155&gt;B155,K155&gt;B155),"ALERTA: QTD_INVALIDA","OK")))</f>
        <v/>
      </c>
      <c r="W155" s="17" t="n"/>
      <c r="X155" s="17" t="n"/>
      <c r="Y155" s="17" t="n"/>
      <c r="Z155" s="17" t="n"/>
      <c r="AA155" s="17" t="n"/>
      <c r="AB155" s="231">
        <f>IF(OR(A155="",E155=""),"",ROUND(B155-E155,2))</f>
        <v/>
      </c>
      <c r="AC155" s="225">
        <f>IF(AND(A155="",A154&lt;&gt;"",COUNTIF(A156:$A$200,"&lt;&gt;")=0),ROUND(SUMIF($A$2:A154,"&lt;&gt;",$AC$2:AC154),2),IF(OR(A155="",E155=""),"",ROUND(D155-E155*C155,2)))</f>
        <v/>
      </c>
      <c r="AD155" s="17" t="n"/>
    </row>
    <row r="156">
      <c r="A156" s="227" t="n"/>
      <c r="B156" s="228" t="n"/>
      <c r="C156" s="229" t="n"/>
      <c r="D156" s="225">
        <f>IF(AND(A156="",A155&lt;&gt;"",COUNTIF(A157:$A$200,"&lt;&gt;")=0),ROUND(SUMIF($A$2:A155,"&lt;&gt;",$D$2:D155),2),IF(OR(A156="",B156="",C156=""),"",ROUND(B156*C156,2)))</f>
        <v/>
      </c>
      <c r="E156" s="230" t="n"/>
      <c r="F156" s="225">
        <f>IF(AND(A156="",A155&lt;&gt;"",COUNTIF(A157:$A$200,"&lt;&gt;")=0),ROUND(SUMIF($A$2:A155,"&lt;&gt;",$F$2:F155),2),IF(OR(A156="",E156="",C156="",NOT(ISNUMBER($Z$3))),"",ROUND(E156*C156*$Z$3,2)))</f>
        <v/>
      </c>
      <c r="G156" s="230" t="n"/>
      <c r="H156" s="225">
        <f>IF(AND(A156="",A155&lt;&gt;"",COUNTIF(A157:$A$200,"&lt;&gt;")=0),ROUND(SUMIF($A$2:A155,"&lt;&gt;",$H$2:H155),2),IF(OR(A156="",G156="",C156="",NOT(ISNUMBER($Z$4))),"",ROUND(G156*C156*$Z$4,2)))</f>
        <v/>
      </c>
      <c r="I156" s="230" t="n"/>
      <c r="J156" s="225">
        <f>IF(AND(A156="",A155&lt;&gt;"",COUNTIF(A157:$A$200,"&lt;&gt;")=0),ROUND(SUMIF($A$2:A155,"&lt;&gt;",$J$2:J155),2),IF(OR(A156="",I156="",C156="",NOT(ISNUMBER($Z$5))),"",ROUND(I156*C156*$Z$5,2)))</f>
        <v/>
      </c>
      <c r="K156" s="230" t="n"/>
      <c r="L156" s="225">
        <f>IF(AND(A156="",A155&lt;&gt;"",COUNTIF(A157:$A$200,"&lt;&gt;")=0),ROUND(SUMIF($A$2:A155,"&lt;&gt;",$L$2:L155),2),IF(OR(A156="",K156="",C156="",NOT(ISNUMBER($Z$6))),"",ROUND(K156*C156*$Z$6,2)))</f>
        <v/>
      </c>
      <c r="M156" s="231">
        <f>IF(OR(E156="",G156=""),"",ROUND(MAX(E156-G156,0),2))</f>
        <v/>
      </c>
      <c r="N156" s="225">
        <f>IF(AND(A156="",A155&lt;&gt;"",COUNTIF(A157:$A$200,"&lt;&gt;")=0),ROUND(SUMIF($A$2:A155,"&lt;&gt;",$N$2:N155),2),IF(OR(M156="",C156="",NOT(ISNUMBER($Z$3))),"",ROUND(M156*C156*$Z$3,2)))</f>
        <v/>
      </c>
      <c r="O156" s="231">
        <f>IF(OR(G156="",I156=""),"",ROUND(MAX(G156-I156,0),2))</f>
        <v/>
      </c>
      <c r="P156" s="225">
        <f>IF(AND(A156="",A155&lt;&gt;"",COUNTIF(A157:$A$200,"&lt;&gt;")=0),ROUND(SUMIF($A$2:A155,"&lt;&gt;",$P$2:P155),2),IF(OR(O156="",C156="",NOT(ISNUMBER($Z$4))),"",ROUND(O156*C156*$Z$4,2)))</f>
        <v/>
      </c>
      <c r="Q156" s="231">
        <f>IF(OR(I156="",K156=""),"",ROUND(MAX(I156-K156,0),2))</f>
        <v/>
      </c>
      <c r="R156" s="225">
        <f>IF(AND(A156="",A155&lt;&gt;"",COUNTIF(A157:$A$200,"&lt;&gt;")=0),ROUND(SUMIF($A$2:A155,"&lt;&gt;",$R$2:R155),2),IF(OR(Q156="",C156="",NOT(ISNUMBER($Z$5))),"",ROUND(Q156*C156*$Z$5,2)))</f>
        <v/>
      </c>
      <c r="S156" s="112" t="n"/>
      <c r="T156" s="245" t="n"/>
      <c r="U156" s="233">
        <f>IF(AND(A156="",A155&lt;&gt;"",COUNTIF(A157:$A$200,"&lt;&gt;")=0),"TOTAL",IF(A156="","",IF(AND(G156&lt;&gt;"",E156&lt;&gt;"",G156&gt;E156),"ALERTA: REM_C2&gt;REM_C1",IF(AND(I156&lt;&gt;"",G156&lt;&gt;"",I156&gt;G156),"ALERTA: REM_C3&gt;REM_C2",IF(AND(K156&lt;&gt;"",I156&lt;&gt;"",K156&gt;I156),"ALERTA: REM_C4&gt;REM_C3","OK")))))</f>
        <v/>
      </c>
      <c r="V156" s="233">
        <f>IF(A156="","",IF(B156="","",IF(OR(B156&lt;0,E156&gt;B156,G156&gt;B156,I156&gt;B156,K156&gt;B156),"ALERTA: QTD_INVALIDA","OK")))</f>
        <v/>
      </c>
      <c r="W156" s="17" t="n"/>
      <c r="X156" s="17" t="n"/>
      <c r="Y156" s="17" t="n"/>
      <c r="Z156" s="17" t="n"/>
      <c r="AA156" s="17" t="n"/>
      <c r="AB156" s="231">
        <f>IF(OR(A156="",E156=""),"",ROUND(B156-E156,2))</f>
        <v/>
      </c>
      <c r="AC156" s="225">
        <f>IF(AND(A156="",A155&lt;&gt;"",COUNTIF(A157:$A$200,"&lt;&gt;")=0),ROUND(SUMIF($A$2:A155,"&lt;&gt;",$AC$2:AC155),2),IF(OR(A156="",E156=""),"",ROUND(D156-E156*C156,2)))</f>
        <v/>
      </c>
      <c r="AD156" s="17" t="n"/>
    </row>
    <row r="157">
      <c r="A157" s="227" t="n"/>
      <c r="B157" s="228" t="n"/>
      <c r="C157" s="229" t="n"/>
      <c r="D157" s="225">
        <f>IF(AND(A157="",A156&lt;&gt;"",COUNTIF(A158:$A$200,"&lt;&gt;")=0),ROUND(SUMIF($A$2:A156,"&lt;&gt;",$D$2:D156),2),IF(OR(A157="",B157="",C157=""),"",ROUND(B157*C157,2)))</f>
        <v/>
      </c>
      <c r="E157" s="230" t="n"/>
      <c r="F157" s="225">
        <f>IF(AND(A157="",A156&lt;&gt;"",COUNTIF(A158:$A$200,"&lt;&gt;")=0),ROUND(SUMIF($A$2:A156,"&lt;&gt;",$F$2:F156),2),IF(OR(A157="",E157="",C157="",NOT(ISNUMBER($Z$3))),"",ROUND(E157*C157*$Z$3,2)))</f>
        <v/>
      </c>
      <c r="G157" s="230" t="n"/>
      <c r="H157" s="225">
        <f>IF(AND(A157="",A156&lt;&gt;"",COUNTIF(A158:$A$200,"&lt;&gt;")=0),ROUND(SUMIF($A$2:A156,"&lt;&gt;",$H$2:H156),2),IF(OR(A157="",G157="",C157="",NOT(ISNUMBER($Z$4))),"",ROUND(G157*C157*$Z$4,2)))</f>
        <v/>
      </c>
      <c r="I157" s="230" t="n"/>
      <c r="J157" s="225">
        <f>IF(AND(A157="",A156&lt;&gt;"",COUNTIF(A158:$A$200,"&lt;&gt;")=0),ROUND(SUMIF($A$2:A156,"&lt;&gt;",$J$2:J156),2),IF(OR(A157="",I157="",C157="",NOT(ISNUMBER($Z$5))),"",ROUND(I157*C157*$Z$5,2)))</f>
        <v/>
      </c>
      <c r="K157" s="230" t="n"/>
      <c r="L157" s="225">
        <f>IF(AND(A157="",A156&lt;&gt;"",COUNTIF(A158:$A$200,"&lt;&gt;")=0),ROUND(SUMIF($A$2:A156,"&lt;&gt;",$L$2:L156),2),IF(OR(A157="",K157="",C157="",NOT(ISNUMBER($Z$6))),"",ROUND(K157*C157*$Z$6,2)))</f>
        <v/>
      </c>
      <c r="M157" s="231">
        <f>IF(OR(E157="",G157=""),"",ROUND(MAX(E157-G157,0),2))</f>
        <v/>
      </c>
      <c r="N157" s="225">
        <f>IF(AND(A157="",A156&lt;&gt;"",COUNTIF(A158:$A$200,"&lt;&gt;")=0),ROUND(SUMIF($A$2:A156,"&lt;&gt;",$N$2:N156),2),IF(OR(M157="",C157="",NOT(ISNUMBER($Z$3))),"",ROUND(M157*C157*$Z$3,2)))</f>
        <v/>
      </c>
      <c r="O157" s="231">
        <f>IF(OR(G157="",I157=""),"",ROUND(MAX(G157-I157,0),2))</f>
        <v/>
      </c>
      <c r="P157" s="225">
        <f>IF(AND(A157="",A156&lt;&gt;"",COUNTIF(A158:$A$200,"&lt;&gt;")=0),ROUND(SUMIF($A$2:A156,"&lt;&gt;",$P$2:P156),2),IF(OR(O157="",C157="",NOT(ISNUMBER($Z$4))),"",ROUND(O157*C157*$Z$4,2)))</f>
        <v/>
      </c>
      <c r="Q157" s="231">
        <f>IF(OR(I157="",K157=""),"",ROUND(MAX(I157-K157,0),2))</f>
        <v/>
      </c>
      <c r="R157" s="225">
        <f>IF(AND(A157="",A156&lt;&gt;"",COUNTIF(A158:$A$200,"&lt;&gt;")=0),ROUND(SUMIF($A$2:A156,"&lt;&gt;",$R$2:R156),2),IF(OR(Q157="",C157="",NOT(ISNUMBER($Z$5))),"",ROUND(Q157*C157*$Z$5,2)))</f>
        <v/>
      </c>
      <c r="S157" s="112" t="n"/>
      <c r="T157" s="245" t="n"/>
      <c r="U157" s="233">
        <f>IF(AND(A157="",A156&lt;&gt;"",COUNTIF(A158:$A$200,"&lt;&gt;")=0),"TOTAL",IF(A157="","",IF(AND(G157&lt;&gt;"",E157&lt;&gt;"",G157&gt;E157),"ALERTA: REM_C2&gt;REM_C1",IF(AND(I157&lt;&gt;"",G157&lt;&gt;"",I157&gt;G157),"ALERTA: REM_C3&gt;REM_C2",IF(AND(K157&lt;&gt;"",I157&lt;&gt;"",K157&gt;I157),"ALERTA: REM_C4&gt;REM_C3","OK")))))</f>
        <v/>
      </c>
      <c r="V157" s="233">
        <f>IF(A157="","",IF(B157="","",IF(OR(B157&lt;0,E157&gt;B157,G157&gt;B157,I157&gt;B157,K157&gt;B157),"ALERTA: QTD_INVALIDA","OK")))</f>
        <v/>
      </c>
      <c r="W157" s="17" t="n"/>
      <c r="X157" s="17" t="n"/>
      <c r="Y157" s="17" t="n"/>
      <c r="Z157" s="17" t="n"/>
      <c r="AA157" s="17" t="n"/>
      <c r="AB157" s="231">
        <f>IF(OR(A157="",E157=""),"",ROUND(B157-E157,2))</f>
        <v/>
      </c>
      <c r="AC157" s="225">
        <f>IF(AND(A157="",A156&lt;&gt;"",COUNTIF(A158:$A$200,"&lt;&gt;")=0),ROUND(SUMIF($A$2:A156,"&lt;&gt;",$AC$2:AC156),2),IF(OR(A157="",E157=""),"",ROUND(D157-E157*C157,2)))</f>
        <v/>
      </c>
      <c r="AD157" s="17" t="n"/>
    </row>
    <row r="158">
      <c r="A158" s="227" t="n"/>
      <c r="B158" s="228" t="n"/>
      <c r="C158" s="229" t="n"/>
      <c r="D158" s="225">
        <f>IF(AND(A158="",A157&lt;&gt;"",COUNTIF(A159:$A$200,"&lt;&gt;")=0),ROUND(SUMIF($A$2:A157,"&lt;&gt;",$D$2:D157),2),IF(OR(A158="",B158="",C158=""),"",ROUND(B158*C158,2)))</f>
        <v/>
      </c>
      <c r="E158" s="230" t="n"/>
      <c r="F158" s="225">
        <f>IF(AND(A158="",A157&lt;&gt;"",COUNTIF(A159:$A$200,"&lt;&gt;")=0),ROUND(SUMIF($A$2:A157,"&lt;&gt;",$F$2:F157),2),IF(OR(A158="",E158="",C158="",NOT(ISNUMBER($Z$3))),"",ROUND(E158*C158*$Z$3,2)))</f>
        <v/>
      </c>
      <c r="G158" s="230" t="n"/>
      <c r="H158" s="225">
        <f>IF(AND(A158="",A157&lt;&gt;"",COUNTIF(A159:$A$200,"&lt;&gt;")=0),ROUND(SUMIF($A$2:A157,"&lt;&gt;",$H$2:H157),2),IF(OR(A158="",G158="",C158="",NOT(ISNUMBER($Z$4))),"",ROUND(G158*C158*$Z$4,2)))</f>
        <v/>
      </c>
      <c r="I158" s="230" t="n"/>
      <c r="J158" s="225">
        <f>IF(AND(A158="",A157&lt;&gt;"",COUNTIF(A159:$A$200,"&lt;&gt;")=0),ROUND(SUMIF($A$2:A157,"&lt;&gt;",$J$2:J157),2),IF(OR(A158="",I158="",C158="",NOT(ISNUMBER($Z$5))),"",ROUND(I158*C158*$Z$5,2)))</f>
        <v/>
      </c>
      <c r="K158" s="230" t="n"/>
      <c r="L158" s="225">
        <f>IF(AND(A158="",A157&lt;&gt;"",COUNTIF(A159:$A$200,"&lt;&gt;")=0),ROUND(SUMIF($A$2:A157,"&lt;&gt;",$L$2:L157),2),IF(OR(A158="",K158="",C158="",NOT(ISNUMBER($Z$6))),"",ROUND(K158*C158*$Z$6,2)))</f>
        <v/>
      </c>
      <c r="M158" s="231">
        <f>IF(OR(E158="",G158=""),"",ROUND(MAX(E158-G158,0),2))</f>
        <v/>
      </c>
      <c r="N158" s="225">
        <f>IF(AND(A158="",A157&lt;&gt;"",COUNTIF(A159:$A$200,"&lt;&gt;")=0),ROUND(SUMIF($A$2:A157,"&lt;&gt;",$N$2:N157),2),IF(OR(M158="",C158="",NOT(ISNUMBER($Z$3))),"",ROUND(M158*C158*$Z$3,2)))</f>
        <v/>
      </c>
      <c r="O158" s="231">
        <f>IF(OR(G158="",I158=""),"",ROUND(MAX(G158-I158,0),2))</f>
        <v/>
      </c>
      <c r="P158" s="225">
        <f>IF(AND(A158="",A157&lt;&gt;"",COUNTIF(A159:$A$200,"&lt;&gt;")=0),ROUND(SUMIF($A$2:A157,"&lt;&gt;",$P$2:P157),2),IF(OR(O158="",C158="",NOT(ISNUMBER($Z$4))),"",ROUND(O158*C158*$Z$4,2)))</f>
        <v/>
      </c>
      <c r="Q158" s="231">
        <f>IF(OR(I158="",K158=""),"",ROUND(MAX(I158-K158,0),2))</f>
        <v/>
      </c>
      <c r="R158" s="225">
        <f>IF(AND(A158="",A157&lt;&gt;"",COUNTIF(A159:$A$200,"&lt;&gt;")=0),ROUND(SUMIF($A$2:A157,"&lt;&gt;",$R$2:R157),2),IF(OR(Q158="",C158="",NOT(ISNUMBER($Z$5))),"",ROUND(Q158*C158*$Z$5,2)))</f>
        <v/>
      </c>
      <c r="S158" s="112" t="n"/>
      <c r="T158" s="245" t="n"/>
      <c r="U158" s="233">
        <f>IF(AND(A158="",A157&lt;&gt;"",COUNTIF(A159:$A$200,"&lt;&gt;")=0),"TOTAL",IF(A158="","",IF(AND(G158&lt;&gt;"",E158&lt;&gt;"",G158&gt;E158),"ALERTA: REM_C2&gt;REM_C1",IF(AND(I158&lt;&gt;"",G158&lt;&gt;"",I158&gt;G158),"ALERTA: REM_C3&gt;REM_C2",IF(AND(K158&lt;&gt;"",I158&lt;&gt;"",K158&gt;I158),"ALERTA: REM_C4&gt;REM_C3","OK")))))</f>
        <v/>
      </c>
      <c r="V158" s="233">
        <f>IF(A158="","",IF(B158="","",IF(OR(B158&lt;0,E158&gt;B158,G158&gt;B158,I158&gt;B158,K158&gt;B158),"ALERTA: QTD_INVALIDA","OK")))</f>
        <v/>
      </c>
      <c r="W158" s="17" t="n"/>
      <c r="X158" s="17" t="n"/>
      <c r="Y158" s="17" t="n"/>
      <c r="Z158" s="17" t="n"/>
      <c r="AA158" s="17" t="n"/>
      <c r="AB158" s="231">
        <f>IF(OR(A158="",E158=""),"",ROUND(B158-E158,2))</f>
        <v/>
      </c>
      <c r="AC158" s="225">
        <f>IF(AND(A158="",A157&lt;&gt;"",COUNTIF(A159:$A$200,"&lt;&gt;")=0),ROUND(SUMIF($A$2:A157,"&lt;&gt;",$AC$2:AC157),2),IF(OR(A158="",E158=""),"",ROUND(D158-E158*C158,2)))</f>
        <v/>
      </c>
      <c r="AD158" s="17" t="n"/>
    </row>
    <row r="159">
      <c r="A159" s="227" t="n"/>
      <c r="B159" s="228" t="n"/>
      <c r="C159" s="229" t="n"/>
      <c r="D159" s="225">
        <f>IF(AND(A159="",A158&lt;&gt;"",COUNTIF(A160:$A$200,"&lt;&gt;")=0),ROUND(SUMIF($A$2:A158,"&lt;&gt;",$D$2:D158),2),IF(OR(A159="",B159="",C159=""),"",ROUND(B159*C159,2)))</f>
        <v/>
      </c>
      <c r="E159" s="230" t="n"/>
      <c r="F159" s="225">
        <f>IF(AND(A159="",A158&lt;&gt;"",COUNTIF(A160:$A$200,"&lt;&gt;")=0),ROUND(SUMIF($A$2:A158,"&lt;&gt;",$F$2:F158),2),IF(OR(A159="",E159="",C159="",NOT(ISNUMBER($Z$3))),"",ROUND(E159*C159*$Z$3,2)))</f>
        <v/>
      </c>
      <c r="G159" s="230" t="n"/>
      <c r="H159" s="225">
        <f>IF(AND(A159="",A158&lt;&gt;"",COUNTIF(A160:$A$200,"&lt;&gt;")=0),ROUND(SUMIF($A$2:A158,"&lt;&gt;",$H$2:H158),2),IF(OR(A159="",G159="",C159="",NOT(ISNUMBER($Z$4))),"",ROUND(G159*C159*$Z$4,2)))</f>
        <v/>
      </c>
      <c r="I159" s="230" t="n"/>
      <c r="J159" s="225">
        <f>IF(AND(A159="",A158&lt;&gt;"",COUNTIF(A160:$A$200,"&lt;&gt;")=0),ROUND(SUMIF($A$2:A158,"&lt;&gt;",$J$2:J158),2),IF(OR(A159="",I159="",C159="",NOT(ISNUMBER($Z$5))),"",ROUND(I159*C159*$Z$5,2)))</f>
        <v/>
      </c>
      <c r="K159" s="230" t="n"/>
      <c r="L159" s="225">
        <f>IF(AND(A159="",A158&lt;&gt;"",COUNTIF(A160:$A$200,"&lt;&gt;")=0),ROUND(SUMIF($A$2:A158,"&lt;&gt;",$L$2:L158),2),IF(OR(A159="",K159="",C159="",NOT(ISNUMBER($Z$6))),"",ROUND(K159*C159*$Z$6,2)))</f>
        <v/>
      </c>
      <c r="M159" s="231">
        <f>IF(OR(E159="",G159=""),"",ROUND(MAX(E159-G159,0),2))</f>
        <v/>
      </c>
      <c r="N159" s="225">
        <f>IF(AND(A159="",A158&lt;&gt;"",COUNTIF(A160:$A$200,"&lt;&gt;")=0),ROUND(SUMIF($A$2:A158,"&lt;&gt;",$N$2:N158),2),IF(OR(M159="",C159="",NOT(ISNUMBER($Z$3))),"",ROUND(M159*C159*$Z$3,2)))</f>
        <v/>
      </c>
      <c r="O159" s="231">
        <f>IF(OR(G159="",I159=""),"",ROUND(MAX(G159-I159,0),2))</f>
        <v/>
      </c>
      <c r="P159" s="225">
        <f>IF(AND(A159="",A158&lt;&gt;"",COUNTIF(A160:$A$200,"&lt;&gt;")=0),ROUND(SUMIF($A$2:A158,"&lt;&gt;",$P$2:P158),2),IF(OR(O159="",C159="",NOT(ISNUMBER($Z$4))),"",ROUND(O159*C159*$Z$4,2)))</f>
        <v/>
      </c>
      <c r="Q159" s="231">
        <f>IF(OR(I159="",K159=""),"",ROUND(MAX(I159-K159,0),2))</f>
        <v/>
      </c>
      <c r="R159" s="225">
        <f>IF(AND(A159="",A158&lt;&gt;"",COUNTIF(A160:$A$200,"&lt;&gt;")=0),ROUND(SUMIF($A$2:A158,"&lt;&gt;",$R$2:R158),2),IF(OR(Q159="",C159="",NOT(ISNUMBER($Z$5))),"",ROUND(Q159*C159*$Z$5,2)))</f>
        <v/>
      </c>
      <c r="S159" s="112" t="n"/>
      <c r="T159" s="245" t="n"/>
      <c r="U159" s="233">
        <f>IF(AND(A159="",A158&lt;&gt;"",COUNTIF(A160:$A$200,"&lt;&gt;")=0),"TOTAL",IF(A159="","",IF(AND(G159&lt;&gt;"",E159&lt;&gt;"",G159&gt;E159),"ALERTA: REM_C2&gt;REM_C1",IF(AND(I159&lt;&gt;"",G159&lt;&gt;"",I159&gt;G159),"ALERTA: REM_C3&gt;REM_C2",IF(AND(K159&lt;&gt;"",I159&lt;&gt;"",K159&gt;I159),"ALERTA: REM_C4&gt;REM_C3","OK")))))</f>
        <v/>
      </c>
      <c r="V159" s="233">
        <f>IF(A159="","",IF(B159="","",IF(OR(B159&lt;0,E159&gt;B159,G159&gt;B159,I159&gt;B159,K159&gt;B159),"ALERTA: QTD_INVALIDA","OK")))</f>
        <v/>
      </c>
      <c r="W159" s="17" t="n"/>
      <c r="X159" s="17" t="n"/>
      <c r="Y159" s="17" t="n"/>
      <c r="Z159" s="17" t="n"/>
      <c r="AA159" s="17" t="n"/>
      <c r="AB159" s="231">
        <f>IF(OR(A159="",E159=""),"",ROUND(B159-E159,2))</f>
        <v/>
      </c>
      <c r="AC159" s="225">
        <f>IF(AND(A159="",A158&lt;&gt;"",COUNTIF(A160:$A$200,"&lt;&gt;")=0),ROUND(SUMIF($A$2:A158,"&lt;&gt;",$AC$2:AC158),2),IF(OR(A159="",E159=""),"",ROUND(D159-E159*C159,2)))</f>
        <v/>
      </c>
      <c r="AD159" s="17" t="n"/>
    </row>
    <row r="160">
      <c r="A160" s="227" t="n"/>
      <c r="B160" s="228" t="n"/>
      <c r="C160" s="229" t="n"/>
      <c r="D160" s="225">
        <f>IF(AND(A160="",A159&lt;&gt;"",COUNTIF(A161:$A$200,"&lt;&gt;")=0),ROUND(SUMIF($A$2:A159,"&lt;&gt;",$D$2:D159),2),IF(OR(A160="",B160="",C160=""),"",ROUND(B160*C160,2)))</f>
        <v/>
      </c>
      <c r="E160" s="230" t="n"/>
      <c r="F160" s="225">
        <f>IF(AND(A160="",A159&lt;&gt;"",COUNTIF(A161:$A$200,"&lt;&gt;")=0),ROUND(SUMIF($A$2:A159,"&lt;&gt;",$F$2:F159),2),IF(OR(A160="",E160="",C160="",NOT(ISNUMBER($Z$3))),"",ROUND(E160*C160*$Z$3,2)))</f>
        <v/>
      </c>
      <c r="G160" s="230" t="n"/>
      <c r="H160" s="225">
        <f>IF(AND(A160="",A159&lt;&gt;"",COUNTIF(A161:$A$200,"&lt;&gt;")=0),ROUND(SUMIF($A$2:A159,"&lt;&gt;",$H$2:H159),2),IF(OR(A160="",G160="",C160="",NOT(ISNUMBER($Z$4))),"",ROUND(G160*C160*$Z$4,2)))</f>
        <v/>
      </c>
      <c r="I160" s="230" t="n"/>
      <c r="J160" s="225">
        <f>IF(AND(A160="",A159&lt;&gt;"",COUNTIF(A161:$A$200,"&lt;&gt;")=0),ROUND(SUMIF($A$2:A159,"&lt;&gt;",$J$2:J159),2),IF(OR(A160="",I160="",C160="",NOT(ISNUMBER($Z$5))),"",ROUND(I160*C160*$Z$5,2)))</f>
        <v/>
      </c>
      <c r="K160" s="230" t="n"/>
      <c r="L160" s="225">
        <f>IF(AND(A160="",A159&lt;&gt;"",COUNTIF(A161:$A$200,"&lt;&gt;")=0),ROUND(SUMIF($A$2:A159,"&lt;&gt;",$L$2:L159),2),IF(OR(A160="",K160="",C160="",NOT(ISNUMBER($Z$6))),"",ROUND(K160*C160*$Z$6,2)))</f>
        <v/>
      </c>
      <c r="M160" s="231">
        <f>IF(OR(E160="",G160=""),"",ROUND(MAX(E160-G160,0),2))</f>
        <v/>
      </c>
      <c r="N160" s="225">
        <f>IF(AND(A160="",A159&lt;&gt;"",COUNTIF(A161:$A$200,"&lt;&gt;")=0),ROUND(SUMIF($A$2:A159,"&lt;&gt;",$N$2:N159),2),IF(OR(M160="",C160="",NOT(ISNUMBER($Z$3))),"",ROUND(M160*C160*$Z$3,2)))</f>
        <v/>
      </c>
      <c r="O160" s="231">
        <f>IF(OR(G160="",I160=""),"",ROUND(MAX(G160-I160,0),2))</f>
        <v/>
      </c>
      <c r="P160" s="225">
        <f>IF(AND(A160="",A159&lt;&gt;"",COUNTIF(A161:$A$200,"&lt;&gt;")=0),ROUND(SUMIF($A$2:A159,"&lt;&gt;",$P$2:P159),2),IF(OR(O160="",C160="",NOT(ISNUMBER($Z$4))),"",ROUND(O160*C160*$Z$4,2)))</f>
        <v/>
      </c>
      <c r="Q160" s="231">
        <f>IF(OR(I160="",K160=""),"",ROUND(MAX(I160-K160,0),2))</f>
        <v/>
      </c>
      <c r="R160" s="225">
        <f>IF(AND(A160="",A159&lt;&gt;"",COUNTIF(A161:$A$200,"&lt;&gt;")=0),ROUND(SUMIF($A$2:A159,"&lt;&gt;",$R$2:R159),2),IF(OR(Q160="",C160="",NOT(ISNUMBER($Z$5))),"",ROUND(Q160*C160*$Z$5,2)))</f>
        <v/>
      </c>
      <c r="S160" s="112" t="n"/>
      <c r="T160" s="245" t="n"/>
      <c r="U160" s="233">
        <f>IF(AND(A160="",A159&lt;&gt;"",COUNTIF(A161:$A$200,"&lt;&gt;")=0),"TOTAL",IF(A160="","",IF(AND(G160&lt;&gt;"",E160&lt;&gt;"",G160&gt;E160),"ALERTA: REM_C2&gt;REM_C1",IF(AND(I160&lt;&gt;"",G160&lt;&gt;"",I160&gt;G160),"ALERTA: REM_C3&gt;REM_C2",IF(AND(K160&lt;&gt;"",I160&lt;&gt;"",K160&gt;I160),"ALERTA: REM_C4&gt;REM_C3","OK")))))</f>
        <v/>
      </c>
      <c r="V160" s="233">
        <f>IF(A160="","",IF(B160="","",IF(OR(B160&lt;0,E160&gt;B160,G160&gt;B160,I160&gt;B160,K160&gt;B160),"ALERTA: QTD_INVALIDA","OK")))</f>
        <v/>
      </c>
      <c r="W160" s="17" t="n"/>
      <c r="X160" s="17" t="n"/>
      <c r="Y160" s="17" t="n"/>
      <c r="Z160" s="17" t="n"/>
      <c r="AA160" s="17" t="n"/>
      <c r="AB160" s="231">
        <f>IF(OR(A160="",E160=""),"",ROUND(B160-E160,2))</f>
        <v/>
      </c>
      <c r="AC160" s="225">
        <f>IF(AND(A160="",A159&lt;&gt;"",COUNTIF(A161:$A$200,"&lt;&gt;")=0),ROUND(SUMIF($A$2:A159,"&lt;&gt;",$AC$2:AC159),2),IF(OR(A160="",E160=""),"",ROUND(D160-E160*C160,2)))</f>
        <v/>
      </c>
      <c r="AD160" s="17" t="n"/>
    </row>
    <row r="161">
      <c r="A161" s="227" t="n"/>
      <c r="B161" s="228" t="n"/>
      <c r="C161" s="229" t="n"/>
      <c r="D161" s="225">
        <f>IF(AND(A161="",A160&lt;&gt;"",COUNTIF(A162:$A$200,"&lt;&gt;")=0),ROUND(SUMIF($A$2:A160,"&lt;&gt;",$D$2:D160),2),IF(OR(A161="",B161="",C161=""),"",ROUND(B161*C161,2)))</f>
        <v/>
      </c>
      <c r="E161" s="230" t="n"/>
      <c r="F161" s="225">
        <f>IF(AND(A161="",A160&lt;&gt;"",COUNTIF(A162:$A$200,"&lt;&gt;")=0),ROUND(SUMIF($A$2:A160,"&lt;&gt;",$F$2:F160),2),IF(OR(A161="",E161="",C161="",NOT(ISNUMBER($Z$3))),"",ROUND(E161*C161*$Z$3,2)))</f>
        <v/>
      </c>
      <c r="G161" s="230" t="n"/>
      <c r="H161" s="225">
        <f>IF(AND(A161="",A160&lt;&gt;"",COUNTIF(A162:$A$200,"&lt;&gt;")=0),ROUND(SUMIF($A$2:A160,"&lt;&gt;",$H$2:H160),2),IF(OR(A161="",G161="",C161="",NOT(ISNUMBER($Z$4))),"",ROUND(G161*C161*$Z$4,2)))</f>
        <v/>
      </c>
      <c r="I161" s="230" t="n"/>
      <c r="J161" s="225">
        <f>IF(AND(A161="",A160&lt;&gt;"",COUNTIF(A162:$A$200,"&lt;&gt;")=0),ROUND(SUMIF($A$2:A160,"&lt;&gt;",$J$2:J160),2),IF(OR(A161="",I161="",C161="",NOT(ISNUMBER($Z$5))),"",ROUND(I161*C161*$Z$5,2)))</f>
        <v/>
      </c>
      <c r="K161" s="230" t="n"/>
      <c r="L161" s="225">
        <f>IF(AND(A161="",A160&lt;&gt;"",COUNTIF(A162:$A$200,"&lt;&gt;")=0),ROUND(SUMIF($A$2:A160,"&lt;&gt;",$L$2:L160),2),IF(OR(A161="",K161="",C161="",NOT(ISNUMBER($Z$6))),"",ROUND(K161*C161*$Z$6,2)))</f>
        <v/>
      </c>
      <c r="M161" s="231">
        <f>IF(OR(E161="",G161=""),"",ROUND(MAX(E161-G161,0),2))</f>
        <v/>
      </c>
      <c r="N161" s="225">
        <f>IF(AND(A161="",A160&lt;&gt;"",COUNTIF(A162:$A$200,"&lt;&gt;")=0),ROUND(SUMIF($A$2:A160,"&lt;&gt;",$N$2:N160),2),IF(OR(M161="",C161="",NOT(ISNUMBER($Z$3))),"",ROUND(M161*C161*$Z$3,2)))</f>
        <v/>
      </c>
      <c r="O161" s="231">
        <f>IF(OR(G161="",I161=""),"",ROUND(MAX(G161-I161,0),2))</f>
        <v/>
      </c>
      <c r="P161" s="225">
        <f>IF(AND(A161="",A160&lt;&gt;"",COUNTIF(A162:$A$200,"&lt;&gt;")=0),ROUND(SUMIF($A$2:A160,"&lt;&gt;",$P$2:P160),2),IF(OR(O161="",C161="",NOT(ISNUMBER($Z$4))),"",ROUND(O161*C161*$Z$4,2)))</f>
        <v/>
      </c>
      <c r="Q161" s="231">
        <f>IF(OR(I161="",K161=""),"",ROUND(MAX(I161-K161,0),2))</f>
        <v/>
      </c>
      <c r="R161" s="225">
        <f>IF(AND(A161="",A160&lt;&gt;"",COUNTIF(A162:$A$200,"&lt;&gt;")=0),ROUND(SUMIF($A$2:A160,"&lt;&gt;",$R$2:R160),2),IF(OR(Q161="",C161="",NOT(ISNUMBER($Z$5))),"",ROUND(Q161*C161*$Z$5,2)))</f>
        <v/>
      </c>
      <c r="S161" s="112" t="n"/>
      <c r="T161" s="245" t="n"/>
      <c r="U161" s="233">
        <f>IF(AND(A161="",A160&lt;&gt;"",COUNTIF(A162:$A$200,"&lt;&gt;")=0),"TOTAL",IF(A161="","",IF(AND(G161&lt;&gt;"",E161&lt;&gt;"",G161&gt;E161),"ALERTA: REM_C2&gt;REM_C1",IF(AND(I161&lt;&gt;"",G161&lt;&gt;"",I161&gt;G161),"ALERTA: REM_C3&gt;REM_C2",IF(AND(K161&lt;&gt;"",I161&lt;&gt;"",K161&gt;I161),"ALERTA: REM_C4&gt;REM_C3","OK")))))</f>
        <v/>
      </c>
      <c r="V161" s="233">
        <f>IF(A161="","",IF(B161="","",IF(OR(B161&lt;0,E161&gt;B161,G161&gt;B161,I161&gt;B161,K161&gt;B161),"ALERTA: QTD_INVALIDA","OK")))</f>
        <v/>
      </c>
      <c r="W161" s="17" t="n"/>
      <c r="X161" s="17" t="n"/>
      <c r="Y161" s="17" t="n"/>
      <c r="Z161" s="17" t="n"/>
      <c r="AA161" s="17" t="n"/>
      <c r="AB161" s="231">
        <f>IF(OR(A161="",E161=""),"",ROUND(B161-E161,2))</f>
        <v/>
      </c>
      <c r="AC161" s="225">
        <f>IF(AND(A161="",A160&lt;&gt;"",COUNTIF(A162:$A$200,"&lt;&gt;")=0),ROUND(SUMIF($A$2:A160,"&lt;&gt;",$AC$2:AC160),2),IF(OR(A161="",E161=""),"",ROUND(D161-E161*C161,2)))</f>
        <v/>
      </c>
      <c r="AD161" s="17" t="n"/>
    </row>
    <row r="162">
      <c r="A162" s="227" t="n"/>
      <c r="B162" s="228" t="n"/>
      <c r="C162" s="229" t="n"/>
      <c r="D162" s="225">
        <f>IF(AND(A162="",A161&lt;&gt;"",COUNTIF(A163:$A$200,"&lt;&gt;")=0),ROUND(SUMIF($A$2:A161,"&lt;&gt;",$D$2:D161),2),IF(OR(A162="",B162="",C162=""),"",ROUND(B162*C162,2)))</f>
        <v/>
      </c>
      <c r="E162" s="230" t="n"/>
      <c r="F162" s="225">
        <f>IF(AND(A162="",A161&lt;&gt;"",COUNTIF(A163:$A$200,"&lt;&gt;")=0),ROUND(SUMIF($A$2:A161,"&lt;&gt;",$F$2:F161),2),IF(OR(A162="",E162="",C162="",NOT(ISNUMBER($Z$3))),"",ROUND(E162*C162*$Z$3,2)))</f>
        <v/>
      </c>
      <c r="G162" s="230" t="n"/>
      <c r="H162" s="225">
        <f>IF(AND(A162="",A161&lt;&gt;"",COUNTIF(A163:$A$200,"&lt;&gt;")=0),ROUND(SUMIF($A$2:A161,"&lt;&gt;",$H$2:H161),2),IF(OR(A162="",G162="",C162="",NOT(ISNUMBER($Z$4))),"",ROUND(G162*C162*$Z$4,2)))</f>
        <v/>
      </c>
      <c r="I162" s="230" t="n"/>
      <c r="J162" s="225">
        <f>IF(AND(A162="",A161&lt;&gt;"",COUNTIF(A163:$A$200,"&lt;&gt;")=0),ROUND(SUMIF($A$2:A161,"&lt;&gt;",$J$2:J161),2),IF(OR(A162="",I162="",C162="",NOT(ISNUMBER($Z$5))),"",ROUND(I162*C162*$Z$5,2)))</f>
        <v/>
      </c>
      <c r="K162" s="230" t="n"/>
      <c r="L162" s="225">
        <f>IF(AND(A162="",A161&lt;&gt;"",COUNTIF(A163:$A$200,"&lt;&gt;")=0),ROUND(SUMIF($A$2:A161,"&lt;&gt;",$L$2:L161),2),IF(OR(A162="",K162="",C162="",NOT(ISNUMBER($Z$6))),"",ROUND(K162*C162*$Z$6,2)))</f>
        <v/>
      </c>
      <c r="M162" s="231">
        <f>IF(OR(E162="",G162=""),"",ROUND(MAX(E162-G162,0),2))</f>
        <v/>
      </c>
      <c r="N162" s="225">
        <f>IF(AND(A162="",A161&lt;&gt;"",COUNTIF(A163:$A$200,"&lt;&gt;")=0),ROUND(SUMIF($A$2:A161,"&lt;&gt;",$N$2:N161),2),IF(OR(M162="",C162="",NOT(ISNUMBER($Z$3))),"",ROUND(M162*C162*$Z$3,2)))</f>
        <v/>
      </c>
      <c r="O162" s="231">
        <f>IF(OR(G162="",I162=""),"",ROUND(MAX(G162-I162,0),2))</f>
        <v/>
      </c>
      <c r="P162" s="225">
        <f>IF(AND(A162="",A161&lt;&gt;"",COUNTIF(A163:$A$200,"&lt;&gt;")=0),ROUND(SUMIF($A$2:A161,"&lt;&gt;",$P$2:P161),2),IF(OR(O162="",C162="",NOT(ISNUMBER($Z$4))),"",ROUND(O162*C162*$Z$4,2)))</f>
        <v/>
      </c>
      <c r="Q162" s="231">
        <f>IF(OR(I162="",K162=""),"",ROUND(MAX(I162-K162,0),2))</f>
        <v/>
      </c>
      <c r="R162" s="225">
        <f>IF(AND(A162="",A161&lt;&gt;"",COUNTIF(A163:$A$200,"&lt;&gt;")=0),ROUND(SUMIF($A$2:A161,"&lt;&gt;",$R$2:R161),2),IF(OR(Q162="",C162="",NOT(ISNUMBER($Z$5))),"",ROUND(Q162*C162*$Z$5,2)))</f>
        <v/>
      </c>
      <c r="S162" s="112" t="n"/>
      <c r="T162" s="245" t="n"/>
      <c r="U162" s="233">
        <f>IF(AND(A162="",A161&lt;&gt;"",COUNTIF(A163:$A$200,"&lt;&gt;")=0),"TOTAL",IF(A162="","",IF(AND(G162&lt;&gt;"",E162&lt;&gt;"",G162&gt;E162),"ALERTA: REM_C2&gt;REM_C1",IF(AND(I162&lt;&gt;"",G162&lt;&gt;"",I162&gt;G162),"ALERTA: REM_C3&gt;REM_C2",IF(AND(K162&lt;&gt;"",I162&lt;&gt;"",K162&gt;I162),"ALERTA: REM_C4&gt;REM_C3","OK")))))</f>
        <v/>
      </c>
      <c r="V162" s="233">
        <f>IF(A162="","",IF(B162="","",IF(OR(B162&lt;0,E162&gt;B162,G162&gt;B162,I162&gt;B162,K162&gt;B162),"ALERTA: QTD_INVALIDA","OK")))</f>
        <v/>
      </c>
      <c r="W162" s="17" t="n"/>
      <c r="X162" s="17" t="n"/>
      <c r="Y162" s="17" t="n"/>
      <c r="Z162" s="17" t="n"/>
      <c r="AA162" s="17" t="n"/>
      <c r="AB162" s="231">
        <f>IF(OR(A162="",E162=""),"",ROUND(B162-E162,2))</f>
        <v/>
      </c>
      <c r="AC162" s="225">
        <f>IF(AND(A162="",A161&lt;&gt;"",COUNTIF(A163:$A$200,"&lt;&gt;")=0),ROUND(SUMIF($A$2:A161,"&lt;&gt;",$AC$2:AC161),2),IF(OR(A162="",E162=""),"",ROUND(D162-E162*C162,2)))</f>
        <v/>
      </c>
      <c r="AD162" s="17" t="n"/>
    </row>
    <row r="163">
      <c r="A163" s="227" t="n"/>
      <c r="B163" s="228" t="n"/>
      <c r="C163" s="229" t="n"/>
      <c r="D163" s="225">
        <f>IF(AND(A163="",A162&lt;&gt;"",COUNTIF(A164:$A$200,"&lt;&gt;")=0),ROUND(SUMIF($A$2:A162,"&lt;&gt;",$D$2:D162),2),IF(OR(A163="",B163="",C163=""),"",ROUND(B163*C163,2)))</f>
        <v/>
      </c>
      <c r="E163" s="230" t="n"/>
      <c r="F163" s="225">
        <f>IF(AND(A163="",A162&lt;&gt;"",COUNTIF(A164:$A$200,"&lt;&gt;")=0),ROUND(SUMIF($A$2:A162,"&lt;&gt;",$F$2:F162),2),IF(OR(A163="",E163="",C163="",NOT(ISNUMBER($Z$3))),"",ROUND(E163*C163*$Z$3,2)))</f>
        <v/>
      </c>
      <c r="G163" s="230" t="n"/>
      <c r="H163" s="225">
        <f>IF(AND(A163="",A162&lt;&gt;"",COUNTIF(A164:$A$200,"&lt;&gt;")=0),ROUND(SUMIF($A$2:A162,"&lt;&gt;",$H$2:H162),2),IF(OR(A163="",G163="",C163="",NOT(ISNUMBER($Z$4))),"",ROUND(G163*C163*$Z$4,2)))</f>
        <v/>
      </c>
      <c r="I163" s="230" t="n"/>
      <c r="J163" s="225">
        <f>IF(AND(A163="",A162&lt;&gt;"",COUNTIF(A164:$A$200,"&lt;&gt;")=0),ROUND(SUMIF($A$2:A162,"&lt;&gt;",$J$2:J162),2),IF(OR(A163="",I163="",C163="",NOT(ISNUMBER($Z$5))),"",ROUND(I163*C163*$Z$5,2)))</f>
        <v/>
      </c>
      <c r="K163" s="230" t="n"/>
      <c r="L163" s="225">
        <f>IF(AND(A163="",A162&lt;&gt;"",COUNTIF(A164:$A$200,"&lt;&gt;")=0),ROUND(SUMIF($A$2:A162,"&lt;&gt;",$L$2:L162),2),IF(OR(A163="",K163="",C163="",NOT(ISNUMBER($Z$6))),"",ROUND(K163*C163*$Z$6,2)))</f>
        <v/>
      </c>
      <c r="M163" s="231">
        <f>IF(OR(E163="",G163=""),"",ROUND(MAX(E163-G163,0),2))</f>
        <v/>
      </c>
      <c r="N163" s="225">
        <f>IF(AND(A163="",A162&lt;&gt;"",COUNTIF(A164:$A$200,"&lt;&gt;")=0),ROUND(SUMIF($A$2:A162,"&lt;&gt;",$N$2:N162),2),IF(OR(M163="",C163="",NOT(ISNUMBER($Z$3))),"",ROUND(M163*C163*$Z$3,2)))</f>
        <v/>
      </c>
      <c r="O163" s="231">
        <f>IF(OR(G163="",I163=""),"",ROUND(MAX(G163-I163,0),2))</f>
        <v/>
      </c>
      <c r="P163" s="225">
        <f>IF(AND(A163="",A162&lt;&gt;"",COUNTIF(A164:$A$200,"&lt;&gt;")=0),ROUND(SUMIF($A$2:A162,"&lt;&gt;",$P$2:P162),2),IF(OR(O163="",C163="",NOT(ISNUMBER($Z$4))),"",ROUND(O163*C163*$Z$4,2)))</f>
        <v/>
      </c>
      <c r="Q163" s="231">
        <f>IF(OR(I163="",K163=""),"",ROUND(MAX(I163-K163,0),2))</f>
        <v/>
      </c>
      <c r="R163" s="225">
        <f>IF(AND(A163="",A162&lt;&gt;"",COUNTIF(A164:$A$200,"&lt;&gt;")=0),ROUND(SUMIF($A$2:A162,"&lt;&gt;",$R$2:R162),2),IF(OR(Q163="",C163="",NOT(ISNUMBER($Z$5))),"",ROUND(Q163*C163*$Z$5,2)))</f>
        <v/>
      </c>
      <c r="S163" s="112" t="n"/>
      <c r="T163" s="245" t="n"/>
      <c r="U163" s="233">
        <f>IF(AND(A163="",A162&lt;&gt;"",COUNTIF(A164:$A$200,"&lt;&gt;")=0),"TOTAL",IF(A163="","",IF(AND(G163&lt;&gt;"",E163&lt;&gt;"",G163&gt;E163),"ALERTA: REM_C2&gt;REM_C1",IF(AND(I163&lt;&gt;"",G163&lt;&gt;"",I163&gt;G163),"ALERTA: REM_C3&gt;REM_C2",IF(AND(K163&lt;&gt;"",I163&lt;&gt;"",K163&gt;I163),"ALERTA: REM_C4&gt;REM_C3","OK")))))</f>
        <v/>
      </c>
      <c r="V163" s="233">
        <f>IF(A163="","",IF(B163="","",IF(OR(B163&lt;0,E163&gt;B163,G163&gt;B163,I163&gt;B163,K163&gt;B163),"ALERTA: QTD_INVALIDA","OK")))</f>
        <v/>
      </c>
      <c r="W163" s="17" t="n"/>
      <c r="X163" s="17" t="n"/>
      <c r="Y163" s="17" t="n"/>
      <c r="Z163" s="17" t="n"/>
      <c r="AA163" s="17" t="n"/>
      <c r="AB163" s="231">
        <f>IF(OR(A163="",E163=""),"",ROUND(B163-E163,2))</f>
        <v/>
      </c>
      <c r="AC163" s="225">
        <f>IF(AND(A163="",A162&lt;&gt;"",COUNTIF(A164:$A$200,"&lt;&gt;")=0),ROUND(SUMIF($A$2:A162,"&lt;&gt;",$AC$2:AC162),2),IF(OR(A163="",E163=""),"",ROUND(D163-E163*C163,2)))</f>
        <v/>
      </c>
      <c r="AD163" s="17" t="n"/>
    </row>
    <row r="164">
      <c r="A164" s="227" t="n"/>
      <c r="B164" s="228" t="n"/>
      <c r="C164" s="229" t="n"/>
      <c r="D164" s="225">
        <f>IF(AND(A164="",A163&lt;&gt;"",COUNTIF(A165:$A$200,"&lt;&gt;")=0),ROUND(SUMIF($A$2:A163,"&lt;&gt;",$D$2:D163),2),IF(OR(A164="",B164="",C164=""),"",ROUND(B164*C164,2)))</f>
        <v/>
      </c>
      <c r="E164" s="230" t="n"/>
      <c r="F164" s="225">
        <f>IF(AND(A164="",A163&lt;&gt;"",COUNTIF(A165:$A$200,"&lt;&gt;")=0),ROUND(SUMIF($A$2:A163,"&lt;&gt;",$F$2:F163),2),IF(OR(A164="",E164="",C164="",NOT(ISNUMBER($Z$3))),"",ROUND(E164*C164*$Z$3,2)))</f>
        <v/>
      </c>
      <c r="G164" s="230" t="n"/>
      <c r="H164" s="225">
        <f>IF(AND(A164="",A163&lt;&gt;"",COUNTIF(A165:$A$200,"&lt;&gt;")=0),ROUND(SUMIF($A$2:A163,"&lt;&gt;",$H$2:H163),2),IF(OR(A164="",G164="",C164="",NOT(ISNUMBER($Z$4))),"",ROUND(G164*C164*$Z$4,2)))</f>
        <v/>
      </c>
      <c r="I164" s="230" t="n"/>
      <c r="J164" s="225">
        <f>IF(AND(A164="",A163&lt;&gt;"",COUNTIF(A165:$A$200,"&lt;&gt;")=0),ROUND(SUMIF($A$2:A163,"&lt;&gt;",$J$2:J163),2),IF(OR(A164="",I164="",C164="",NOT(ISNUMBER($Z$5))),"",ROUND(I164*C164*$Z$5,2)))</f>
        <v/>
      </c>
      <c r="K164" s="230" t="n"/>
      <c r="L164" s="225">
        <f>IF(AND(A164="",A163&lt;&gt;"",COUNTIF(A165:$A$200,"&lt;&gt;")=0),ROUND(SUMIF($A$2:A163,"&lt;&gt;",$L$2:L163),2),IF(OR(A164="",K164="",C164="",NOT(ISNUMBER($Z$6))),"",ROUND(K164*C164*$Z$6,2)))</f>
        <v/>
      </c>
      <c r="M164" s="231">
        <f>IF(OR(E164="",G164=""),"",ROUND(MAX(E164-G164,0),2))</f>
        <v/>
      </c>
      <c r="N164" s="225">
        <f>IF(AND(A164="",A163&lt;&gt;"",COUNTIF(A165:$A$200,"&lt;&gt;")=0),ROUND(SUMIF($A$2:A163,"&lt;&gt;",$N$2:N163),2),IF(OR(M164="",C164="",NOT(ISNUMBER($Z$3))),"",ROUND(M164*C164*$Z$3,2)))</f>
        <v/>
      </c>
      <c r="O164" s="231">
        <f>IF(OR(G164="",I164=""),"",ROUND(MAX(G164-I164,0),2))</f>
        <v/>
      </c>
      <c r="P164" s="225">
        <f>IF(AND(A164="",A163&lt;&gt;"",COUNTIF(A165:$A$200,"&lt;&gt;")=0),ROUND(SUMIF($A$2:A163,"&lt;&gt;",$P$2:P163),2),IF(OR(O164="",C164="",NOT(ISNUMBER($Z$4))),"",ROUND(O164*C164*$Z$4,2)))</f>
        <v/>
      </c>
      <c r="Q164" s="231">
        <f>IF(OR(I164="",K164=""),"",ROUND(MAX(I164-K164,0),2))</f>
        <v/>
      </c>
      <c r="R164" s="225">
        <f>IF(AND(A164="",A163&lt;&gt;"",COUNTIF(A165:$A$200,"&lt;&gt;")=0),ROUND(SUMIF($A$2:A163,"&lt;&gt;",$R$2:R163),2),IF(OR(Q164="",C164="",NOT(ISNUMBER($Z$5))),"",ROUND(Q164*C164*$Z$5,2)))</f>
        <v/>
      </c>
      <c r="S164" s="112" t="n"/>
      <c r="T164" s="245" t="n"/>
      <c r="U164" s="233">
        <f>IF(AND(A164="",A163&lt;&gt;"",COUNTIF(A165:$A$200,"&lt;&gt;")=0),"TOTAL",IF(A164="","",IF(AND(G164&lt;&gt;"",E164&lt;&gt;"",G164&gt;E164),"ALERTA: REM_C2&gt;REM_C1",IF(AND(I164&lt;&gt;"",G164&lt;&gt;"",I164&gt;G164),"ALERTA: REM_C3&gt;REM_C2",IF(AND(K164&lt;&gt;"",I164&lt;&gt;"",K164&gt;I164),"ALERTA: REM_C4&gt;REM_C3","OK")))))</f>
        <v/>
      </c>
      <c r="V164" s="233">
        <f>IF(A164="","",IF(B164="","",IF(OR(B164&lt;0,E164&gt;B164,G164&gt;B164,I164&gt;B164,K164&gt;B164),"ALERTA: QTD_INVALIDA","OK")))</f>
        <v/>
      </c>
      <c r="W164" s="17" t="n"/>
      <c r="X164" s="17" t="n"/>
      <c r="Y164" s="17" t="n"/>
      <c r="Z164" s="17" t="n"/>
      <c r="AA164" s="17" t="n"/>
      <c r="AB164" s="231">
        <f>IF(OR(A164="",E164=""),"",ROUND(B164-E164,2))</f>
        <v/>
      </c>
      <c r="AC164" s="225">
        <f>IF(AND(A164="",A163&lt;&gt;"",COUNTIF(A165:$A$200,"&lt;&gt;")=0),ROUND(SUMIF($A$2:A163,"&lt;&gt;",$AC$2:AC163),2),IF(OR(A164="",E164=""),"",ROUND(D164-E164*C164,2)))</f>
        <v/>
      </c>
      <c r="AD164" s="17" t="n"/>
    </row>
    <row r="165">
      <c r="A165" s="227" t="n"/>
      <c r="B165" s="228" t="n"/>
      <c r="C165" s="229" t="n"/>
      <c r="D165" s="225">
        <f>IF(AND(A165="",A164&lt;&gt;"",COUNTIF(A166:$A$200,"&lt;&gt;")=0),ROUND(SUMIF($A$2:A164,"&lt;&gt;",$D$2:D164),2),IF(OR(A165="",B165="",C165=""),"",ROUND(B165*C165,2)))</f>
        <v/>
      </c>
      <c r="E165" s="230" t="n"/>
      <c r="F165" s="225">
        <f>IF(AND(A165="",A164&lt;&gt;"",COUNTIF(A166:$A$200,"&lt;&gt;")=0),ROUND(SUMIF($A$2:A164,"&lt;&gt;",$F$2:F164),2),IF(OR(A165="",E165="",C165="",NOT(ISNUMBER($Z$3))),"",ROUND(E165*C165*$Z$3,2)))</f>
        <v/>
      </c>
      <c r="G165" s="230" t="n"/>
      <c r="H165" s="225">
        <f>IF(AND(A165="",A164&lt;&gt;"",COUNTIF(A166:$A$200,"&lt;&gt;")=0),ROUND(SUMIF($A$2:A164,"&lt;&gt;",$H$2:H164),2),IF(OR(A165="",G165="",C165="",NOT(ISNUMBER($Z$4))),"",ROUND(G165*C165*$Z$4,2)))</f>
        <v/>
      </c>
      <c r="I165" s="230" t="n"/>
      <c r="J165" s="225">
        <f>IF(AND(A165="",A164&lt;&gt;"",COUNTIF(A166:$A$200,"&lt;&gt;")=0),ROUND(SUMIF($A$2:A164,"&lt;&gt;",$J$2:J164),2),IF(OR(A165="",I165="",C165="",NOT(ISNUMBER($Z$5))),"",ROUND(I165*C165*$Z$5,2)))</f>
        <v/>
      </c>
      <c r="K165" s="230" t="n"/>
      <c r="L165" s="225">
        <f>IF(AND(A165="",A164&lt;&gt;"",COUNTIF(A166:$A$200,"&lt;&gt;")=0),ROUND(SUMIF($A$2:A164,"&lt;&gt;",$L$2:L164),2),IF(OR(A165="",K165="",C165="",NOT(ISNUMBER($Z$6))),"",ROUND(K165*C165*$Z$6,2)))</f>
        <v/>
      </c>
      <c r="M165" s="231">
        <f>IF(OR(E165="",G165=""),"",ROUND(MAX(E165-G165,0),2))</f>
        <v/>
      </c>
      <c r="N165" s="225">
        <f>IF(AND(A165="",A164&lt;&gt;"",COUNTIF(A166:$A$200,"&lt;&gt;")=0),ROUND(SUMIF($A$2:A164,"&lt;&gt;",$N$2:N164),2),IF(OR(M165="",C165="",NOT(ISNUMBER($Z$3))),"",ROUND(M165*C165*$Z$3,2)))</f>
        <v/>
      </c>
      <c r="O165" s="231">
        <f>IF(OR(G165="",I165=""),"",ROUND(MAX(G165-I165,0),2))</f>
        <v/>
      </c>
      <c r="P165" s="225">
        <f>IF(AND(A165="",A164&lt;&gt;"",COUNTIF(A166:$A$200,"&lt;&gt;")=0),ROUND(SUMIF($A$2:A164,"&lt;&gt;",$P$2:P164),2),IF(OR(O165="",C165="",NOT(ISNUMBER($Z$4))),"",ROUND(O165*C165*$Z$4,2)))</f>
        <v/>
      </c>
      <c r="Q165" s="231">
        <f>IF(OR(I165="",K165=""),"",ROUND(MAX(I165-K165,0),2))</f>
        <v/>
      </c>
      <c r="R165" s="225">
        <f>IF(AND(A165="",A164&lt;&gt;"",COUNTIF(A166:$A$200,"&lt;&gt;")=0),ROUND(SUMIF($A$2:A164,"&lt;&gt;",$R$2:R164),2),IF(OR(Q165="",C165="",NOT(ISNUMBER($Z$5))),"",ROUND(Q165*C165*$Z$5,2)))</f>
        <v/>
      </c>
      <c r="S165" s="112" t="n"/>
      <c r="T165" s="245" t="n"/>
      <c r="U165" s="233">
        <f>IF(AND(A165="",A164&lt;&gt;"",COUNTIF(A166:$A$200,"&lt;&gt;")=0),"TOTAL",IF(A165="","",IF(AND(G165&lt;&gt;"",E165&lt;&gt;"",G165&gt;E165),"ALERTA: REM_C2&gt;REM_C1",IF(AND(I165&lt;&gt;"",G165&lt;&gt;"",I165&gt;G165),"ALERTA: REM_C3&gt;REM_C2",IF(AND(K165&lt;&gt;"",I165&lt;&gt;"",K165&gt;I165),"ALERTA: REM_C4&gt;REM_C3","OK")))))</f>
        <v/>
      </c>
      <c r="V165" s="233">
        <f>IF(A165="","",IF(B165="","",IF(OR(B165&lt;0,E165&gt;B165,G165&gt;B165,I165&gt;B165,K165&gt;B165),"ALERTA: QTD_INVALIDA","OK")))</f>
        <v/>
      </c>
      <c r="W165" s="17" t="n"/>
      <c r="X165" s="17" t="n"/>
      <c r="Y165" s="17" t="n"/>
      <c r="Z165" s="17" t="n"/>
      <c r="AA165" s="17" t="n"/>
      <c r="AB165" s="231">
        <f>IF(OR(A165="",E165=""),"",ROUND(B165-E165,2))</f>
        <v/>
      </c>
      <c r="AC165" s="225">
        <f>IF(AND(A165="",A164&lt;&gt;"",COUNTIF(A166:$A$200,"&lt;&gt;")=0),ROUND(SUMIF($A$2:A164,"&lt;&gt;",$AC$2:AC164),2),IF(OR(A165="",E165=""),"",ROUND(D165-E165*C165,2)))</f>
        <v/>
      </c>
      <c r="AD165" s="17" t="n"/>
    </row>
    <row r="166">
      <c r="A166" s="227" t="n"/>
      <c r="B166" s="228" t="n"/>
      <c r="C166" s="229" t="n"/>
      <c r="D166" s="225">
        <f>IF(AND(A166="",A165&lt;&gt;"",COUNTIF(A167:$A$200,"&lt;&gt;")=0),ROUND(SUMIF($A$2:A165,"&lt;&gt;",$D$2:D165),2),IF(OR(A166="",B166="",C166=""),"",ROUND(B166*C166,2)))</f>
        <v/>
      </c>
      <c r="E166" s="230" t="n"/>
      <c r="F166" s="225">
        <f>IF(AND(A166="",A165&lt;&gt;"",COUNTIF(A167:$A$200,"&lt;&gt;")=0),ROUND(SUMIF($A$2:A165,"&lt;&gt;",$F$2:F165),2),IF(OR(A166="",E166="",C166="",NOT(ISNUMBER($Z$3))),"",ROUND(E166*C166*$Z$3,2)))</f>
        <v/>
      </c>
      <c r="G166" s="230" t="n"/>
      <c r="H166" s="225">
        <f>IF(AND(A166="",A165&lt;&gt;"",COUNTIF(A167:$A$200,"&lt;&gt;")=0),ROUND(SUMIF($A$2:A165,"&lt;&gt;",$H$2:H165),2),IF(OR(A166="",G166="",C166="",NOT(ISNUMBER($Z$4))),"",ROUND(G166*C166*$Z$4,2)))</f>
        <v/>
      </c>
      <c r="I166" s="230" t="n"/>
      <c r="J166" s="225">
        <f>IF(AND(A166="",A165&lt;&gt;"",COUNTIF(A167:$A$200,"&lt;&gt;")=0),ROUND(SUMIF($A$2:A165,"&lt;&gt;",$J$2:J165),2),IF(OR(A166="",I166="",C166="",NOT(ISNUMBER($Z$5))),"",ROUND(I166*C166*$Z$5,2)))</f>
        <v/>
      </c>
      <c r="K166" s="230" t="n"/>
      <c r="L166" s="225">
        <f>IF(AND(A166="",A165&lt;&gt;"",COUNTIF(A167:$A$200,"&lt;&gt;")=0),ROUND(SUMIF($A$2:A165,"&lt;&gt;",$L$2:L165),2),IF(OR(A166="",K166="",C166="",NOT(ISNUMBER($Z$6))),"",ROUND(K166*C166*$Z$6,2)))</f>
        <v/>
      </c>
      <c r="M166" s="231">
        <f>IF(OR(E166="",G166=""),"",ROUND(MAX(E166-G166,0),2))</f>
        <v/>
      </c>
      <c r="N166" s="225">
        <f>IF(AND(A166="",A165&lt;&gt;"",COUNTIF(A167:$A$200,"&lt;&gt;")=0),ROUND(SUMIF($A$2:A165,"&lt;&gt;",$N$2:N165),2),IF(OR(M166="",C166="",NOT(ISNUMBER($Z$3))),"",ROUND(M166*C166*$Z$3,2)))</f>
        <v/>
      </c>
      <c r="O166" s="231">
        <f>IF(OR(G166="",I166=""),"",ROUND(MAX(G166-I166,0),2))</f>
        <v/>
      </c>
      <c r="P166" s="225">
        <f>IF(AND(A166="",A165&lt;&gt;"",COUNTIF(A167:$A$200,"&lt;&gt;")=0),ROUND(SUMIF($A$2:A165,"&lt;&gt;",$P$2:P165),2),IF(OR(O166="",C166="",NOT(ISNUMBER($Z$4))),"",ROUND(O166*C166*$Z$4,2)))</f>
        <v/>
      </c>
      <c r="Q166" s="231">
        <f>IF(OR(I166="",K166=""),"",ROUND(MAX(I166-K166,0),2))</f>
        <v/>
      </c>
      <c r="R166" s="225">
        <f>IF(AND(A166="",A165&lt;&gt;"",COUNTIF(A167:$A$200,"&lt;&gt;")=0),ROUND(SUMIF($A$2:A165,"&lt;&gt;",$R$2:R165),2),IF(OR(Q166="",C166="",NOT(ISNUMBER($Z$5))),"",ROUND(Q166*C166*$Z$5,2)))</f>
        <v/>
      </c>
      <c r="S166" s="112" t="n"/>
      <c r="T166" s="245" t="n"/>
      <c r="U166" s="233">
        <f>IF(AND(A166="",A165&lt;&gt;"",COUNTIF(A167:$A$200,"&lt;&gt;")=0),"TOTAL",IF(A166="","",IF(AND(G166&lt;&gt;"",E166&lt;&gt;"",G166&gt;E166),"ALERTA: REM_C2&gt;REM_C1",IF(AND(I166&lt;&gt;"",G166&lt;&gt;"",I166&gt;G166),"ALERTA: REM_C3&gt;REM_C2",IF(AND(K166&lt;&gt;"",I166&lt;&gt;"",K166&gt;I166),"ALERTA: REM_C4&gt;REM_C3","OK")))))</f>
        <v/>
      </c>
      <c r="V166" s="233">
        <f>IF(A166="","",IF(B166="","",IF(OR(B166&lt;0,E166&gt;B166,G166&gt;B166,I166&gt;B166,K166&gt;B166),"ALERTA: QTD_INVALIDA","OK")))</f>
        <v/>
      </c>
      <c r="W166" s="17" t="n"/>
      <c r="X166" s="17" t="n"/>
      <c r="Y166" s="17" t="n"/>
      <c r="Z166" s="17" t="n"/>
      <c r="AA166" s="17" t="n"/>
      <c r="AB166" s="231">
        <f>IF(OR(A166="",E166=""),"",ROUND(B166-E166,2))</f>
        <v/>
      </c>
      <c r="AC166" s="225">
        <f>IF(AND(A166="",A165&lt;&gt;"",COUNTIF(A167:$A$200,"&lt;&gt;")=0),ROUND(SUMIF($A$2:A165,"&lt;&gt;",$AC$2:AC165),2),IF(OR(A166="",E166=""),"",ROUND(D166-E166*C166,2)))</f>
        <v/>
      </c>
      <c r="AD166" s="17" t="n"/>
    </row>
    <row r="167">
      <c r="A167" s="227" t="n"/>
      <c r="B167" s="228" t="n"/>
      <c r="C167" s="229" t="n"/>
      <c r="D167" s="225">
        <f>IF(AND(A167="",A166&lt;&gt;"",COUNTIF(A168:$A$200,"&lt;&gt;")=0),ROUND(SUMIF($A$2:A166,"&lt;&gt;",$D$2:D166),2),IF(OR(A167="",B167="",C167=""),"",ROUND(B167*C167,2)))</f>
        <v/>
      </c>
      <c r="E167" s="230" t="n"/>
      <c r="F167" s="225">
        <f>IF(AND(A167="",A166&lt;&gt;"",COUNTIF(A168:$A$200,"&lt;&gt;")=0),ROUND(SUMIF($A$2:A166,"&lt;&gt;",$F$2:F166),2),IF(OR(A167="",E167="",C167="",NOT(ISNUMBER($Z$3))),"",ROUND(E167*C167*$Z$3,2)))</f>
        <v/>
      </c>
      <c r="G167" s="230" t="n"/>
      <c r="H167" s="225">
        <f>IF(AND(A167="",A166&lt;&gt;"",COUNTIF(A168:$A$200,"&lt;&gt;")=0),ROUND(SUMIF($A$2:A166,"&lt;&gt;",$H$2:H166),2),IF(OR(A167="",G167="",C167="",NOT(ISNUMBER($Z$4))),"",ROUND(G167*C167*$Z$4,2)))</f>
        <v/>
      </c>
      <c r="I167" s="230" t="n"/>
      <c r="J167" s="225">
        <f>IF(AND(A167="",A166&lt;&gt;"",COUNTIF(A168:$A$200,"&lt;&gt;")=0),ROUND(SUMIF($A$2:A166,"&lt;&gt;",$J$2:J166),2),IF(OR(A167="",I167="",C167="",NOT(ISNUMBER($Z$5))),"",ROUND(I167*C167*$Z$5,2)))</f>
        <v/>
      </c>
      <c r="K167" s="230" t="n"/>
      <c r="L167" s="225">
        <f>IF(AND(A167="",A166&lt;&gt;"",COUNTIF(A168:$A$200,"&lt;&gt;")=0),ROUND(SUMIF($A$2:A166,"&lt;&gt;",$L$2:L166),2),IF(OR(A167="",K167="",C167="",NOT(ISNUMBER($Z$6))),"",ROUND(K167*C167*$Z$6,2)))</f>
        <v/>
      </c>
      <c r="M167" s="231">
        <f>IF(OR(E167="",G167=""),"",ROUND(MAX(E167-G167,0),2))</f>
        <v/>
      </c>
      <c r="N167" s="225">
        <f>IF(AND(A167="",A166&lt;&gt;"",COUNTIF(A168:$A$200,"&lt;&gt;")=0),ROUND(SUMIF($A$2:A166,"&lt;&gt;",$N$2:N166),2),IF(OR(M167="",C167="",NOT(ISNUMBER($Z$3))),"",ROUND(M167*C167*$Z$3,2)))</f>
        <v/>
      </c>
      <c r="O167" s="231">
        <f>IF(OR(G167="",I167=""),"",ROUND(MAX(G167-I167,0),2))</f>
        <v/>
      </c>
      <c r="P167" s="225">
        <f>IF(AND(A167="",A166&lt;&gt;"",COUNTIF(A168:$A$200,"&lt;&gt;")=0),ROUND(SUMIF($A$2:A166,"&lt;&gt;",$P$2:P166),2),IF(OR(O167="",C167="",NOT(ISNUMBER($Z$4))),"",ROUND(O167*C167*$Z$4,2)))</f>
        <v/>
      </c>
      <c r="Q167" s="231">
        <f>IF(OR(I167="",K167=""),"",ROUND(MAX(I167-K167,0),2))</f>
        <v/>
      </c>
      <c r="R167" s="225">
        <f>IF(AND(A167="",A166&lt;&gt;"",COUNTIF(A168:$A$200,"&lt;&gt;")=0),ROUND(SUMIF($A$2:A166,"&lt;&gt;",$R$2:R166),2),IF(OR(Q167="",C167="",NOT(ISNUMBER($Z$5))),"",ROUND(Q167*C167*$Z$5,2)))</f>
        <v/>
      </c>
      <c r="S167" s="112" t="n"/>
      <c r="T167" s="245" t="n"/>
      <c r="U167" s="233">
        <f>IF(AND(A167="",A166&lt;&gt;"",COUNTIF(A168:$A$200,"&lt;&gt;")=0),"TOTAL",IF(A167="","",IF(AND(G167&lt;&gt;"",E167&lt;&gt;"",G167&gt;E167),"ALERTA: REM_C2&gt;REM_C1",IF(AND(I167&lt;&gt;"",G167&lt;&gt;"",I167&gt;G167),"ALERTA: REM_C3&gt;REM_C2",IF(AND(K167&lt;&gt;"",I167&lt;&gt;"",K167&gt;I167),"ALERTA: REM_C4&gt;REM_C3","OK")))))</f>
        <v/>
      </c>
      <c r="V167" s="233">
        <f>IF(A167="","",IF(B167="","",IF(OR(B167&lt;0,E167&gt;B167,G167&gt;B167,I167&gt;B167,K167&gt;B167),"ALERTA: QTD_INVALIDA","OK")))</f>
        <v/>
      </c>
      <c r="W167" s="17" t="n"/>
      <c r="X167" s="17" t="n"/>
      <c r="Y167" s="17" t="n"/>
      <c r="Z167" s="17" t="n"/>
      <c r="AA167" s="17" t="n"/>
      <c r="AB167" s="231">
        <f>IF(OR(A167="",E167=""),"",ROUND(B167-E167,2))</f>
        <v/>
      </c>
      <c r="AC167" s="225">
        <f>IF(AND(A167="",A166&lt;&gt;"",COUNTIF(A168:$A$200,"&lt;&gt;")=0),ROUND(SUMIF($A$2:A166,"&lt;&gt;",$AC$2:AC166),2),IF(OR(A167="",E167=""),"",ROUND(D167-E167*C167,2)))</f>
        <v/>
      </c>
      <c r="AD167" s="17" t="n"/>
    </row>
    <row r="168">
      <c r="A168" s="227" t="n"/>
      <c r="B168" s="228" t="n"/>
      <c r="C168" s="229" t="n"/>
      <c r="D168" s="225">
        <f>IF(AND(A168="",A167&lt;&gt;"",COUNTIF(A169:$A$200,"&lt;&gt;")=0),ROUND(SUMIF($A$2:A167,"&lt;&gt;",$D$2:D167),2),IF(OR(A168="",B168="",C168=""),"",ROUND(B168*C168,2)))</f>
        <v/>
      </c>
      <c r="E168" s="230" t="n"/>
      <c r="F168" s="225">
        <f>IF(AND(A168="",A167&lt;&gt;"",COUNTIF(A169:$A$200,"&lt;&gt;")=0),ROUND(SUMIF($A$2:A167,"&lt;&gt;",$F$2:F167),2),IF(OR(A168="",E168="",C168="",NOT(ISNUMBER($Z$3))),"",ROUND(E168*C168*$Z$3,2)))</f>
        <v/>
      </c>
      <c r="G168" s="230" t="n"/>
      <c r="H168" s="225">
        <f>IF(AND(A168="",A167&lt;&gt;"",COUNTIF(A169:$A$200,"&lt;&gt;")=0),ROUND(SUMIF($A$2:A167,"&lt;&gt;",$H$2:H167),2),IF(OR(A168="",G168="",C168="",NOT(ISNUMBER($Z$4))),"",ROUND(G168*C168*$Z$4,2)))</f>
        <v/>
      </c>
      <c r="I168" s="230" t="n"/>
      <c r="J168" s="225">
        <f>IF(AND(A168="",A167&lt;&gt;"",COUNTIF(A169:$A$200,"&lt;&gt;")=0),ROUND(SUMIF($A$2:A167,"&lt;&gt;",$J$2:J167),2),IF(OR(A168="",I168="",C168="",NOT(ISNUMBER($Z$5))),"",ROUND(I168*C168*$Z$5,2)))</f>
        <v/>
      </c>
      <c r="K168" s="230" t="n"/>
      <c r="L168" s="225">
        <f>IF(AND(A168="",A167&lt;&gt;"",COUNTIF(A169:$A$200,"&lt;&gt;")=0),ROUND(SUMIF($A$2:A167,"&lt;&gt;",$L$2:L167),2),IF(OR(A168="",K168="",C168="",NOT(ISNUMBER($Z$6))),"",ROUND(K168*C168*$Z$6,2)))</f>
        <v/>
      </c>
      <c r="M168" s="231">
        <f>IF(OR(E168="",G168=""),"",ROUND(MAX(E168-G168,0),2))</f>
        <v/>
      </c>
      <c r="N168" s="225">
        <f>IF(AND(A168="",A167&lt;&gt;"",COUNTIF(A169:$A$200,"&lt;&gt;")=0),ROUND(SUMIF($A$2:A167,"&lt;&gt;",$N$2:N167),2),IF(OR(M168="",C168="",NOT(ISNUMBER($Z$3))),"",ROUND(M168*C168*$Z$3,2)))</f>
        <v/>
      </c>
      <c r="O168" s="231">
        <f>IF(OR(G168="",I168=""),"",ROUND(MAX(G168-I168,0),2))</f>
        <v/>
      </c>
      <c r="P168" s="225">
        <f>IF(AND(A168="",A167&lt;&gt;"",COUNTIF(A169:$A$200,"&lt;&gt;")=0),ROUND(SUMIF($A$2:A167,"&lt;&gt;",$P$2:P167),2),IF(OR(O168="",C168="",NOT(ISNUMBER($Z$4))),"",ROUND(O168*C168*$Z$4,2)))</f>
        <v/>
      </c>
      <c r="Q168" s="231">
        <f>IF(OR(I168="",K168=""),"",ROUND(MAX(I168-K168,0),2))</f>
        <v/>
      </c>
      <c r="R168" s="225">
        <f>IF(AND(A168="",A167&lt;&gt;"",COUNTIF(A169:$A$200,"&lt;&gt;")=0),ROUND(SUMIF($A$2:A167,"&lt;&gt;",$R$2:R167),2),IF(OR(Q168="",C168="",NOT(ISNUMBER($Z$5))),"",ROUND(Q168*C168*$Z$5,2)))</f>
        <v/>
      </c>
      <c r="S168" s="112" t="n"/>
      <c r="T168" s="245" t="n"/>
      <c r="U168" s="233">
        <f>IF(AND(A168="",A167&lt;&gt;"",COUNTIF(A169:$A$200,"&lt;&gt;")=0),"TOTAL",IF(A168="","",IF(AND(G168&lt;&gt;"",E168&lt;&gt;"",G168&gt;E168),"ALERTA: REM_C2&gt;REM_C1",IF(AND(I168&lt;&gt;"",G168&lt;&gt;"",I168&gt;G168),"ALERTA: REM_C3&gt;REM_C2",IF(AND(K168&lt;&gt;"",I168&lt;&gt;"",K168&gt;I168),"ALERTA: REM_C4&gt;REM_C3","OK")))))</f>
        <v/>
      </c>
      <c r="V168" s="233">
        <f>IF(A168="","",IF(B168="","",IF(OR(B168&lt;0,E168&gt;B168,G168&gt;B168,I168&gt;B168,K168&gt;B168),"ALERTA: QTD_INVALIDA","OK")))</f>
        <v/>
      </c>
      <c r="W168" s="17" t="n"/>
      <c r="X168" s="17" t="n"/>
      <c r="Y168" s="17" t="n"/>
      <c r="Z168" s="17" t="n"/>
      <c r="AA168" s="17" t="n"/>
      <c r="AB168" s="231">
        <f>IF(OR(A168="",E168=""),"",ROUND(B168-E168,2))</f>
        <v/>
      </c>
      <c r="AC168" s="225">
        <f>IF(AND(A168="",A167&lt;&gt;"",COUNTIF(A169:$A$200,"&lt;&gt;")=0),ROUND(SUMIF($A$2:A167,"&lt;&gt;",$AC$2:AC167),2),IF(OR(A168="",E168=""),"",ROUND(D168-E168*C168,2)))</f>
        <v/>
      </c>
      <c r="AD168" s="17" t="n"/>
    </row>
    <row r="169">
      <c r="A169" s="227" t="n"/>
      <c r="B169" s="228" t="n"/>
      <c r="C169" s="229" t="n"/>
      <c r="D169" s="225">
        <f>IF(AND(A169="",A168&lt;&gt;"",COUNTIF(A170:$A$200,"&lt;&gt;")=0),ROUND(SUMIF($A$2:A168,"&lt;&gt;",$D$2:D168),2),IF(OR(A169="",B169="",C169=""),"",ROUND(B169*C169,2)))</f>
        <v/>
      </c>
      <c r="E169" s="230" t="n"/>
      <c r="F169" s="225">
        <f>IF(AND(A169="",A168&lt;&gt;"",COUNTIF(A170:$A$200,"&lt;&gt;")=0),ROUND(SUMIF($A$2:A168,"&lt;&gt;",$F$2:F168),2),IF(OR(A169="",E169="",C169="",NOT(ISNUMBER($Z$3))),"",ROUND(E169*C169*$Z$3,2)))</f>
        <v/>
      </c>
      <c r="G169" s="230" t="n"/>
      <c r="H169" s="225">
        <f>IF(AND(A169="",A168&lt;&gt;"",COUNTIF(A170:$A$200,"&lt;&gt;")=0),ROUND(SUMIF($A$2:A168,"&lt;&gt;",$H$2:H168),2),IF(OR(A169="",G169="",C169="",NOT(ISNUMBER($Z$4))),"",ROUND(G169*C169*$Z$4,2)))</f>
        <v/>
      </c>
      <c r="I169" s="230" t="n"/>
      <c r="J169" s="225">
        <f>IF(AND(A169="",A168&lt;&gt;"",COUNTIF(A170:$A$200,"&lt;&gt;")=0),ROUND(SUMIF($A$2:A168,"&lt;&gt;",$J$2:J168),2),IF(OR(A169="",I169="",C169="",NOT(ISNUMBER($Z$5))),"",ROUND(I169*C169*$Z$5,2)))</f>
        <v/>
      </c>
      <c r="K169" s="230" t="n"/>
      <c r="L169" s="225">
        <f>IF(AND(A169="",A168&lt;&gt;"",COUNTIF(A170:$A$200,"&lt;&gt;")=0),ROUND(SUMIF($A$2:A168,"&lt;&gt;",$L$2:L168),2),IF(OR(A169="",K169="",C169="",NOT(ISNUMBER($Z$6))),"",ROUND(K169*C169*$Z$6,2)))</f>
        <v/>
      </c>
      <c r="M169" s="231">
        <f>IF(OR(E169="",G169=""),"",ROUND(MAX(E169-G169,0),2))</f>
        <v/>
      </c>
      <c r="N169" s="225">
        <f>IF(AND(A169="",A168&lt;&gt;"",COUNTIF(A170:$A$200,"&lt;&gt;")=0),ROUND(SUMIF($A$2:A168,"&lt;&gt;",$N$2:N168),2),IF(OR(M169="",C169="",NOT(ISNUMBER($Z$3))),"",ROUND(M169*C169*$Z$3,2)))</f>
        <v/>
      </c>
      <c r="O169" s="231">
        <f>IF(OR(G169="",I169=""),"",ROUND(MAX(G169-I169,0),2))</f>
        <v/>
      </c>
      <c r="P169" s="225">
        <f>IF(AND(A169="",A168&lt;&gt;"",COUNTIF(A170:$A$200,"&lt;&gt;")=0),ROUND(SUMIF($A$2:A168,"&lt;&gt;",$P$2:P168),2),IF(OR(O169="",C169="",NOT(ISNUMBER($Z$4))),"",ROUND(O169*C169*$Z$4,2)))</f>
        <v/>
      </c>
      <c r="Q169" s="231">
        <f>IF(OR(I169="",K169=""),"",ROUND(MAX(I169-K169,0),2))</f>
        <v/>
      </c>
      <c r="R169" s="225">
        <f>IF(AND(A169="",A168&lt;&gt;"",COUNTIF(A170:$A$200,"&lt;&gt;")=0),ROUND(SUMIF($A$2:A168,"&lt;&gt;",$R$2:R168),2),IF(OR(Q169="",C169="",NOT(ISNUMBER($Z$5))),"",ROUND(Q169*C169*$Z$5,2)))</f>
        <v/>
      </c>
      <c r="S169" s="112" t="n"/>
      <c r="T169" s="245" t="n"/>
      <c r="U169" s="233">
        <f>IF(AND(A169="",A168&lt;&gt;"",COUNTIF(A170:$A$200,"&lt;&gt;")=0),"TOTAL",IF(A169="","",IF(AND(G169&lt;&gt;"",E169&lt;&gt;"",G169&gt;E169),"ALERTA: REM_C2&gt;REM_C1",IF(AND(I169&lt;&gt;"",G169&lt;&gt;"",I169&gt;G169),"ALERTA: REM_C3&gt;REM_C2",IF(AND(K169&lt;&gt;"",I169&lt;&gt;"",K169&gt;I169),"ALERTA: REM_C4&gt;REM_C3","OK")))))</f>
        <v/>
      </c>
      <c r="V169" s="233">
        <f>IF(A169="","",IF(B169="","",IF(OR(B169&lt;0,E169&gt;B169,G169&gt;B169,I169&gt;B169,K169&gt;B169),"ALERTA: QTD_INVALIDA","OK")))</f>
        <v/>
      </c>
      <c r="W169" s="17" t="n"/>
      <c r="X169" s="17" t="n"/>
      <c r="Y169" s="17" t="n"/>
      <c r="Z169" s="17" t="n"/>
      <c r="AA169" s="17" t="n"/>
      <c r="AB169" s="231">
        <f>IF(OR(A169="",E169=""),"",ROUND(B169-E169,2))</f>
        <v/>
      </c>
      <c r="AC169" s="225">
        <f>IF(AND(A169="",A168&lt;&gt;"",COUNTIF(A170:$A$200,"&lt;&gt;")=0),ROUND(SUMIF($A$2:A168,"&lt;&gt;",$AC$2:AC168),2),IF(OR(A169="",E169=""),"",ROUND(D169-E169*C169,2)))</f>
        <v/>
      </c>
      <c r="AD169" s="17" t="n"/>
    </row>
    <row r="170">
      <c r="A170" s="227" t="n"/>
      <c r="B170" s="228" t="n"/>
      <c r="C170" s="229" t="n"/>
      <c r="D170" s="225">
        <f>IF(AND(A170="",A169&lt;&gt;"",COUNTIF(A171:$A$200,"&lt;&gt;")=0),ROUND(SUMIF($A$2:A169,"&lt;&gt;",$D$2:D169),2),IF(OR(A170="",B170="",C170=""),"",ROUND(B170*C170,2)))</f>
        <v/>
      </c>
      <c r="E170" s="230" t="n"/>
      <c r="F170" s="225">
        <f>IF(AND(A170="",A169&lt;&gt;"",COUNTIF(A171:$A$200,"&lt;&gt;")=0),ROUND(SUMIF($A$2:A169,"&lt;&gt;",$F$2:F169),2),IF(OR(A170="",E170="",C170="",NOT(ISNUMBER($Z$3))),"",ROUND(E170*C170*$Z$3,2)))</f>
        <v/>
      </c>
      <c r="G170" s="230" t="n"/>
      <c r="H170" s="225">
        <f>IF(AND(A170="",A169&lt;&gt;"",COUNTIF(A171:$A$200,"&lt;&gt;")=0),ROUND(SUMIF($A$2:A169,"&lt;&gt;",$H$2:H169),2),IF(OR(A170="",G170="",C170="",NOT(ISNUMBER($Z$4))),"",ROUND(G170*C170*$Z$4,2)))</f>
        <v/>
      </c>
      <c r="I170" s="230" t="n"/>
      <c r="J170" s="225">
        <f>IF(AND(A170="",A169&lt;&gt;"",COUNTIF(A171:$A$200,"&lt;&gt;")=0),ROUND(SUMIF($A$2:A169,"&lt;&gt;",$J$2:J169),2),IF(OR(A170="",I170="",C170="",NOT(ISNUMBER($Z$5))),"",ROUND(I170*C170*$Z$5,2)))</f>
        <v/>
      </c>
      <c r="K170" s="230" t="n"/>
      <c r="L170" s="225">
        <f>IF(AND(A170="",A169&lt;&gt;"",COUNTIF(A171:$A$200,"&lt;&gt;")=0),ROUND(SUMIF($A$2:A169,"&lt;&gt;",$L$2:L169),2),IF(OR(A170="",K170="",C170="",NOT(ISNUMBER($Z$6))),"",ROUND(K170*C170*$Z$6,2)))</f>
        <v/>
      </c>
      <c r="M170" s="231">
        <f>IF(OR(E170="",G170=""),"",ROUND(MAX(E170-G170,0),2))</f>
        <v/>
      </c>
      <c r="N170" s="225">
        <f>IF(AND(A170="",A169&lt;&gt;"",COUNTIF(A171:$A$200,"&lt;&gt;")=0),ROUND(SUMIF($A$2:A169,"&lt;&gt;",$N$2:N169),2),IF(OR(M170="",C170="",NOT(ISNUMBER($Z$3))),"",ROUND(M170*C170*$Z$3,2)))</f>
        <v/>
      </c>
      <c r="O170" s="231">
        <f>IF(OR(G170="",I170=""),"",ROUND(MAX(G170-I170,0),2))</f>
        <v/>
      </c>
      <c r="P170" s="225">
        <f>IF(AND(A170="",A169&lt;&gt;"",COUNTIF(A171:$A$200,"&lt;&gt;")=0),ROUND(SUMIF($A$2:A169,"&lt;&gt;",$P$2:P169),2),IF(OR(O170="",C170="",NOT(ISNUMBER($Z$4))),"",ROUND(O170*C170*$Z$4,2)))</f>
        <v/>
      </c>
      <c r="Q170" s="231">
        <f>IF(OR(I170="",K170=""),"",ROUND(MAX(I170-K170,0),2))</f>
        <v/>
      </c>
      <c r="R170" s="225">
        <f>IF(AND(A170="",A169&lt;&gt;"",COUNTIF(A171:$A$200,"&lt;&gt;")=0),ROUND(SUMIF($A$2:A169,"&lt;&gt;",$R$2:R169),2),IF(OR(Q170="",C170="",NOT(ISNUMBER($Z$5))),"",ROUND(Q170*C170*$Z$5,2)))</f>
        <v/>
      </c>
      <c r="S170" s="112" t="n"/>
      <c r="T170" s="245" t="n"/>
      <c r="U170" s="233">
        <f>IF(AND(A170="",A169&lt;&gt;"",COUNTIF(A171:$A$200,"&lt;&gt;")=0),"TOTAL",IF(A170="","",IF(AND(G170&lt;&gt;"",E170&lt;&gt;"",G170&gt;E170),"ALERTA: REM_C2&gt;REM_C1",IF(AND(I170&lt;&gt;"",G170&lt;&gt;"",I170&gt;G170),"ALERTA: REM_C3&gt;REM_C2",IF(AND(K170&lt;&gt;"",I170&lt;&gt;"",K170&gt;I170),"ALERTA: REM_C4&gt;REM_C3","OK")))))</f>
        <v/>
      </c>
      <c r="V170" s="233">
        <f>IF(A170="","",IF(B170="","",IF(OR(B170&lt;0,E170&gt;B170,G170&gt;B170,I170&gt;B170,K170&gt;B170),"ALERTA: QTD_INVALIDA","OK")))</f>
        <v/>
      </c>
      <c r="W170" s="17" t="n"/>
      <c r="X170" s="17" t="n"/>
      <c r="Y170" s="17" t="n"/>
      <c r="Z170" s="17" t="n"/>
      <c r="AA170" s="17" t="n"/>
      <c r="AB170" s="231">
        <f>IF(OR(A170="",E170=""),"",ROUND(B170-E170,2))</f>
        <v/>
      </c>
      <c r="AC170" s="225">
        <f>IF(AND(A170="",A169&lt;&gt;"",COUNTIF(A171:$A$200,"&lt;&gt;")=0),ROUND(SUMIF($A$2:A169,"&lt;&gt;",$AC$2:AC169),2),IF(OR(A170="",E170=""),"",ROUND(D170-E170*C170,2)))</f>
        <v/>
      </c>
      <c r="AD170" s="17" t="n"/>
    </row>
    <row r="171">
      <c r="A171" s="227" t="n"/>
      <c r="B171" s="228" t="n"/>
      <c r="C171" s="229" t="n"/>
      <c r="D171" s="225">
        <f>IF(AND(A171="",A170&lt;&gt;"",COUNTIF(A172:$A$200,"&lt;&gt;")=0),ROUND(SUMIF($A$2:A170,"&lt;&gt;",$D$2:D170),2),IF(OR(A171="",B171="",C171=""),"",ROUND(B171*C171,2)))</f>
        <v/>
      </c>
      <c r="E171" s="230" t="n"/>
      <c r="F171" s="225">
        <f>IF(AND(A171="",A170&lt;&gt;"",COUNTIF(A172:$A$200,"&lt;&gt;")=0),ROUND(SUMIF($A$2:A170,"&lt;&gt;",$F$2:F170),2),IF(OR(A171="",E171="",C171="",NOT(ISNUMBER($Z$3))),"",ROUND(E171*C171*$Z$3,2)))</f>
        <v/>
      </c>
      <c r="G171" s="230" t="n"/>
      <c r="H171" s="225">
        <f>IF(AND(A171="",A170&lt;&gt;"",COUNTIF(A172:$A$200,"&lt;&gt;")=0),ROUND(SUMIF($A$2:A170,"&lt;&gt;",$H$2:H170),2),IF(OR(A171="",G171="",C171="",NOT(ISNUMBER($Z$4))),"",ROUND(G171*C171*$Z$4,2)))</f>
        <v/>
      </c>
      <c r="I171" s="230" t="n"/>
      <c r="J171" s="225">
        <f>IF(AND(A171="",A170&lt;&gt;"",COUNTIF(A172:$A$200,"&lt;&gt;")=0),ROUND(SUMIF($A$2:A170,"&lt;&gt;",$J$2:J170),2),IF(OR(A171="",I171="",C171="",NOT(ISNUMBER($Z$5))),"",ROUND(I171*C171*$Z$5,2)))</f>
        <v/>
      </c>
      <c r="K171" s="230" t="n"/>
      <c r="L171" s="225">
        <f>IF(AND(A171="",A170&lt;&gt;"",COUNTIF(A172:$A$200,"&lt;&gt;")=0),ROUND(SUMIF($A$2:A170,"&lt;&gt;",$L$2:L170),2),IF(OR(A171="",K171="",C171="",NOT(ISNUMBER($Z$6))),"",ROUND(K171*C171*$Z$6,2)))</f>
        <v/>
      </c>
      <c r="M171" s="231">
        <f>IF(OR(E171="",G171=""),"",ROUND(MAX(E171-G171,0),2))</f>
        <v/>
      </c>
      <c r="N171" s="225">
        <f>IF(AND(A171="",A170&lt;&gt;"",COUNTIF(A172:$A$200,"&lt;&gt;")=0),ROUND(SUMIF($A$2:A170,"&lt;&gt;",$N$2:N170),2),IF(OR(M171="",C171="",NOT(ISNUMBER($Z$3))),"",ROUND(M171*C171*$Z$3,2)))</f>
        <v/>
      </c>
      <c r="O171" s="231">
        <f>IF(OR(G171="",I171=""),"",ROUND(MAX(G171-I171,0),2))</f>
        <v/>
      </c>
      <c r="P171" s="225">
        <f>IF(AND(A171="",A170&lt;&gt;"",COUNTIF(A172:$A$200,"&lt;&gt;")=0),ROUND(SUMIF($A$2:A170,"&lt;&gt;",$P$2:P170),2),IF(OR(O171="",C171="",NOT(ISNUMBER($Z$4))),"",ROUND(O171*C171*$Z$4,2)))</f>
        <v/>
      </c>
      <c r="Q171" s="231">
        <f>IF(OR(I171="",K171=""),"",ROUND(MAX(I171-K171,0),2))</f>
        <v/>
      </c>
      <c r="R171" s="225">
        <f>IF(AND(A171="",A170&lt;&gt;"",COUNTIF(A172:$A$200,"&lt;&gt;")=0),ROUND(SUMIF($A$2:A170,"&lt;&gt;",$R$2:R170),2),IF(OR(Q171="",C171="",NOT(ISNUMBER($Z$5))),"",ROUND(Q171*C171*$Z$5,2)))</f>
        <v/>
      </c>
      <c r="S171" s="112" t="n"/>
      <c r="T171" s="245" t="n"/>
      <c r="U171" s="233">
        <f>IF(AND(A171="",A170&lt;&gt;"",COUNTIF(A172:$A$200,"&lt;&gt;")=0),"TOTAL",IF(A171="","",IF(AND(G171&lt;&gt;"",E171&lt;&gt;"",G171&gt;E171),"ALERTA: REM_C2&gt;REM_C1",IF(AND(I171&lt;&gt;"",G171&lt;&gt;"",I171&gt;G171),"ALERTA: REM_C3&gt;REM_C2",IF(AND(K171&lt;&gt;"",I171&lt;&gt;"",K171&gt;I171),"ALERTA: REM_C4&gt;REM_C3","OK")))))</f>
        <v/>
      </c>
      <c r="V171" s="233">
        <f>IF(A171="","",IF(B171="","",IF(OR(B171&lt;0,E171&gt;B171,G171&gt;B171,I171&gt;B171,K171&gt;B171),"ALERTA: QTD_INVALIDA","OK")))</f>
        <v/>
      </c>
      <c r="W171" s="17" t="n"/>
      <c r="X171" s="17" t="n"/>
      <c r="Y171" s="17" t="n"/>
      <c r="Z171" s="17" t="n"/>
      <c r="AA171" s="17" t="n"/>
      <c r="AB171" s="231">
        <f>IF(OR(A171="",E171=""),"",ROUND(B171-E171,2))</f>
        <v/>
      </c>
      <c r="AC171" s="225">
        <f>IF(AND(A171="",A170&lt;&gt;"",COUNTIF(A172:$A$200,"&lt;&gt;")=0),ROUND(SUMIF($A$2:A170,"&lt;&gt;",$AC$2:AC170),2),IF(OR(A171="",E171=""),"",ROUND(D171-E171*C171,2)))</f>
        <v/>
      </c>
      <c r="AD171" s="17" t="n"/>
    </row>
    <row r="172">
      <c r="A172" s="227" t="n"/>
      <c r="B172" s="228" t="n"/>
      <c r="C172" s="229" t="n"/>
      <c r="D172" s="225">
        <f>IF(AND(A172="",A171&lt;&gt;"",COUNTIF(A173:$A$200,"&lt;&gt;")=0),ROUND(SUMIF($A$2:A171,"&lt;&gt;",$D$2:D171),2),IF(OR(A172="",B172="",C172=""),"",ROUND(B172*C172,2)))</f>
        <v/>
      </c>
      <c r="E172" s="230" t="n"/>
      <c r="F172" s="225">
        <f>IF(AND(A172="",A171&lt;&gt;"",COUNTIF(A173:$A$200,"&lt;&gt;")=0),ROUND(SUMIF($A$2:A171,"&lt;&gt;",$F$2:F171),2),IF(OR(A172="",E172="",C172="",NOT(ISNUMBER($Z$3))),"",ROUND(E172*C172*$Z$3,2)))</f>
        <v/>
      </c>
      <c r="G172" s="230" t="n"/>
      <c r="H172" s="225">
        <f>IF(AND(A172="",A171&lt;&gt;"",COUNTIF(A173:$A$200,"&lt;&gt;")=0),ROUND(SUMIF($A$2:A171,"&lt;&gt;",$H$2:H171),2),IF(OR(A172="",G172="",C172="",NOT(ISNUMBER($Z$4))),"",ROUND(G172*C172*$Z$4,2)))</f>
        <v/>
      </c>
      <c r="I172" s="230" t="n"/>
      <c r="J172" s="225">
        <f>IF(AND(A172="",A171&lt;&gt;"",COUNTIF(A173:$A$200,"&lt;&gt;")=0),ROUND(SUMIF($A$2:A171,"&lt;&gt;",$J$2:J171),2),IF(OR(A172="",I172="",C172="",NOT(ISNUMBER($Z$5))),"",ROUND(I172*C172*$Z$5,2)))</f>
        <v/>
      </c>
      <c r="K172" s="230" t="n"/>
      <c r="L172" s="225">
        <f>IF(AND(A172="",A171&lt;&gt;"",COUNTIF(A173:$A$200,"&lt;&gt;")=0),ROUND(SUMIF($A$2:A171,"&lt;&gt;",$L$2:L171),2),IF(OR(A172="",K172="",C172="",NOT(ISNUMBER($Z$6))),"",ROUND(K172*C172*$Z$6,2)))</f>
        <v/>
      </c>
      <c r="M172" s="231">
        <f>IF(OR(E172="",G172=""),"",ROUND(MAX(E172-G172,0),2))</f>
        <v/>
      </c>
      <c r="N172" s="225">
        <f>IF(AND(A172="",A171&lt;&gt;"",COUNTIF(A173:$A$200,"&lt;&gt;")=0),ROUND(SUMIF($A$2:A171,"&lt;&gt;",$N$2:N171),2),IF(OR(M172="",C172="",NOT(ISNUMBER($Z$3))),"",ROUND(M172*C172*$Z$3,2)))</f>
        <v/>
      </c>
      <c r="O172" s="231">
        <f>IF(OR(G172="",I172=""),"",ROUND(MAX(G172-I172,0),2))</f>
        <v/>
      </c>
      <c r="P172" s="225">
        <f>IF(AND(A172="",A171&lt;&gt;"",COUNTIF(A173:$A$200,"&lt;&gt;")=0),ROUND(SUMIF($A$2:A171,"&lt;&gt;",$P$2:P171),2),IF(OR(O172="",C172="",NOT(ISNUMBER($Z$4))),"",ROUND(O172*C172*$Z$4,2)))</f>
        <v/>
      </c>
      <c r="Q172" s="231">
        <f>IF(OR(I172="",K172=""),"",ROUND(MAX(I172-K172,0),2))</f>
        <v/>
      </c>
      <c r="R172" s="225">
        <f>IF(AND(A172="",A171&lt;&gt;"",COUNTIF(A173:$A$200,"&lt;&gt;")=0),ROUND(SUMIF($A$2:A171,"&lt;&gt;",$R$2:R171),2),IF(OR(Q172="",C172="",NOT(ISNUMBER($Z$5))),"",ROUND(Q172*C172*$Z$5,2)))</f>
        <v/>
      </c>
      <c r="S172" s="112" t="n"/>
      <c r="T172" s="245" t="n"/>
      <c r="U172" s="233">
        <f>IF(AND(A172="",A171&lt;&gt;"",COUNTIF(A173:$A$200,"&lt;&gt;")=0),"TOTAL",IF(A172="","",IF(AND(G172&lt;&gt;"",E172&lt;&gt;"",G172&gt;E172),"ALERTA: REM_C2&gt;REM_C1",IF(AND(I172&lt;&gt;"",G172&lt;&gt;"",I172&gt;G172),"ALERTA: REM_C3&gt;REM_C2",IF(AND(K172&lt;&gt;"",I172&lt;&gt;"",K172&gt;I172),"ALERTA: REM_C4&gt;REM_C3","OK")))))</f>
        <v/>
      </c>
      <c r="V172" s="233">
        <f>IF(A172="","",IF(B172="","",IF(OR(B172&lt;0,E172&gt;B172,G172&gt;B172,I172&gt;B172,K172&gt;B172),"ALERTA: QTD_INVALIDA","OK")))</f>
        <v/>
      </c>
      <c r="W172" s="17" t="n"/>
      <c r="X172" s="17" t="n"/>
      <c r="Y172" s="17" t="n"/>
      <c r="Z172" s="17" t="n"/>
      <c r="AA172" s="17" t="n"/>
      <c r="AB172" s="231">
        <f>IF(OR(A172="",E172=""),"",ROUND(B172-E172,2))</f>
        <v/>
      </c>
      <c r="AC172" s="225">
        <f>IF(AND(A172="",A171&lt;&gt;"",COUNTIF(A173:$A$200,"&lt;&gt;")=0),ROUND(SUMIF($A$2:A171,"&lt;&gt;",$AC$2:AC171),2),IF(OR(A172="",E172=""),"",ROUND(D172-E172*C172,2)))</f>
        <v/>
      </c>
      <c r="AD172" s="17" t="n"/>
    </row>
    <row r="173">
      <c r="A173" s="227" t="n"/>
      <c r="B173" s="228" t="n"/>
      <c r="C173" s="229" t="n"/>
      <c r="D173" s="225">
        <f>IF(AND(A173="",A172&lt;&gt;"",COUNTIF(A174:$A$200,"&lt;&gt;")=0),ROUND(SUMIF($A$2:A172,"&lt;&gt;",$D$2:D172),2),IF(OR(A173="",B173="",C173=""),"",ROUND(B173*C173,2)))</f>
        <v/>
      </c>
      <c r="E173" s="230" t="n"/>
      <c r="F173" s="225">
        <f>IF(AND(A173="",A172&lt;&gt;"",COUNTIF(A174:$A$200,"&lt;&gt;")=0),ROUND(SUMIF($A$2:A172,"&lt;&gt;",$F$2:F172),2),IF(OR(A173="",E173="",C173="",NOT(ISNUMBER($Z$3))),"",ROUND(E173*C173*$Z$3,2)))</f>
        <v/>
      </c>
      <c r="G173" s="230" t="n"/>
      <c r="H173" s="225">
        <f>IF(AND(A173="",A172&lt;&gt;"",COUNTIF(A174:$A$200,"&lt;&gt;")=0),ROUND(SUMIF($A$2:A172,"&lt;&gt;",$H$2:H172),2),IF(OR(A173="",G173="",C173="",NOT(ISNUMBER($Z$4))),"",ROUND(G173*C173*$Z$4,2)))</f>
        <v/>
      </c>
      <c r="I173" s="230" t="n"/>
      <c r="J173" s="225">
        <f>IF(AND(A173="",A172&lt;&gt;"",COUNTIF(A174:$A$200,"&lt;&gt;")=0),ROUND(SUMIF($A$2:A172,"&lt;&gt;",$J$2:J172),2),IF(OR(A173="",I173="",C173="",NOT(ISNUMBER($Z$5))),"",ROUND(I173*C173*$Z$5,2)))</f>
        <v/>
      </c>
      <c r="K173" s="230" t="n"/>
      <c r="L173" s="225">
        <f>IF(AND(A173="",A172&lt;&gt;"",COUNTIF(A174:$A$200,"&lt;&gt;")=0),ROUND(SUMIF($A$2:A172,"&lt;&gt;",$L$2:L172),2),IF(OR(A173="",K173="",C173="",NOT(ISNUMBER($Z$6))),"",ROUND(K173*C173*$Z$6,2)))</f>
        <v/>
      </c>
      <c r="M173" s="231">
        <f>IF(OR(E173="",G173=""),"",ROUND(MAX(E173-G173,0),2))</f>
        <v/>
      </c>
      <c r="N173" s="225">
        <f>IF(AND(A173="",A172&lt;&gt;"",COUNTIF(A174:$A$200,"&lt;&gt;")=0),ROUND(SUMIF($A$2:A172,"&lt;&gt;",$N$2:N172),2),IF(OR(M173="",C173="",NOT(ISNUMBER($Z$3))),"",ROUND(M173*C173*$Z$3,2)))</f>
        <v/>
      </c>
      <c r="O173" s="231">
        <f>IF(OR(G173="",I173=""),"",ROUND(MAX(G173-I173,0),2))</f>
        <v/>
      </c>
      <c r="P173" s="225">
        <f>IF(AND(A173="",A172&lt;&gt;"",COUNTIF(A174:$A$200,"&lt;&gt;")=0),ROUND(SUMIF($A$2:A172,"&lt;&gt;",$P$2:P172),2),IF(OR(O173="",C173="",NOT(ISNUMBER($Z$4))),"",ROUND(O173*C173*$Z$4,2)))</f>
        <v/>
      </c>
      <c r="Q173" s="231">
        <f>IF(OR(I173="",K173=""),"",ROUND(MAX(I173-K173,0),2))</f>
        <v/>
      </c>
      <c r="R173" s="225">
        <f>IF(AND(A173="",A172&lt;&gt;"",COUNTIF(A174:$A$200,"&lt;&gt;")=0),ROUND(SUMIF($A$2:A172,"&lt;&gt;",$R$2:R172),2),IF(OR(Q173="",C173="",NOT(ISNUMBER($Z$5))),"",ROUND(Q173*C173*$Z$5,2)))</f>
        <v/>
      </c>
      <c r="S173" s="112" t="n"/>
      <c r="T173" s="245" t="n"/>
      <c r="U173" s="233">
        <f>IF(AND(A173="",A172&lt;&gt;"",COUNTIF(A174:$A$200,"&lt;&gt;")=0),"TOTAL",IF(A173="","",IF(AND(G173&lt;&gt;"",E173&lt;&gt;"",G173&gt;E173),"ALERTA: REM_C2&gt;REM_C1",IF(AND(I173&lt;&gt;"",G173&lt;&gt;"",I173&gt;G173),"ALERTA: REM_C3&gt;REM_C2",IF(AND(K173&lt;&gt;"",I173&lt;&gt;"",K173&gt;I173),"ALERTA: REM_C4&gt;REM_C3","OK")))))</f>
        <v/>
      </c>
      <c r="V173" s="233">
        <f>IF(A173="","",IF(B173="","",IF(OR(B173&lt;0,E173&gt;B173,G173&gt;B173,I173&gt;B173,K173&gt;B173),"ALERTA: QTD_INVALIDA","OK")))</f>
        <v/>
      </c>
      <c r="W173" s="17" t="n"/>
      <c r="X173" s="17" t="n"/>
      <c r="Y173" s="17" t="n"/>
      <c r="Z173" s="17" t="n"/>
      <c r="AA173" s="17" t="n"/>
      <c r="AB173" s="231">
        <f>IF(OR(A173="",E173=""),"",ROUND(B173-E173,2))</f>
        <v/>
      </c>
      <c r="AC173" s="225">
        <f>IF(AND(A173="",A172&lt;&gt;"",COUNTIF(A174:$A$200,"&lt;&gt;")=0),ROUND(SUMIF($A$2:A172,"&lt;&gt;",$AC$2:AC172),2),IF(OR(A173="",E173=""),"",ROUND(D173-E173*C173,2)))</f>
        <v/>
      </c>
      <c r="AD173" s="17" t="n"/>
    </row>
    <row r="174">
      <c r="A174" s="227" t="n"/>
      <c r="B174" s="228" t="n"/>
      <c r="C174" s="229" t="n"/>
      <c r="D174" s="225">
        <f>IF(AND(A174="",A173&lt;&gt;"",COUNTIF(A175:$A$200,"&lt;&gt;")=0),ROUND(SUMIF($A$2:A173,"&lt;&gt;",$D$2:D173),2),IF(OR(A174="",B174="",C174=""),"",ROUND(B174*C174,2)))</f>
        <v/>
      </c>
      <c r="E174" s="230" t="n"/>
      <c r="F174" s="225">
        <f>IF(AND(A174="",A173&lt;&gt;"",COUNTIF(A175:$A$200,"&lt;&gt;")=0),ROUND(SUMIF($A$2:A173,"&lt;&gt;",$F$2:F173),2),IF(OR(A174="",E174="",C174="",NOT(ISNUMBER($Z$3))),"",ROUND(E174*C174*$Z$3,2)))</f>
        <v/>
      </c>
      <c r="G174" s="230" t="n"/>
      <c r="H174" s="225">
        <f>IF(AND(A174="",A173&lt;&gt;"",COUNTIF(A175:$A$200,"&lt;&gt;")=0),ROUND(SUMIF($A$2:A173,"&lt;&gt;",$H$2:H173),2),IF(OR(A174="",G174="",C174="",NOT(ISNUMBER($Z$4))),"",ROUND(G174*C174*$Z$4,2)))</f>
        <v/>
      </c>
      <c r="I174" s="230" t="n"/>
      <c r="J174" s="225">
        <f>IF(AND(A174="",A173&lt;&gt;"",COUNTIF(A175:$A$200,"&lt;&gt;")=0),ROUND(SUMIF($A$2:A173,"&lt;&gt;",$J$2:J173),2),IF(OR(A174="",I174="",C174="",NOT(ISNUMBER($Z$5))),"",ROUND(I174*C174*$Z$5,2)))</f>
        <v/>
      </c>
      <c r="K174" s="230" t="n"/>
      <c r="L174" s="225">
        <f>IF(AND(A174="",A173&lt;&gt;"",COUNTIF(A175:$A$200,"&lt;&gt;")=0),ROUND(SUMIF($A$2:A173,"&lt;&gt;",$L$2:L173),2),IF(OR(A174="",K174="",C174="",NOT(ISNUMBER($Z$6))),"",ROUND(K174*C174*$Z$6,2)))</f>
        <v/>
      </c>
      <c r="M174" s="231">
        <f>IF(OR(E174="",G174=""),"",ROUND(MAX(E174-G174,0),2))</f>
        <v/>
      </c>
      <c r="N174" s="225">
        <f>IF(AND(A174="",A173&lt;&gt;"",COUNTIF(A175:$A$200,"&lt;&gt;")=0),ROUND(SUMIF($A$2:A173,"&lt;&gt;",$N$2:N173),2),IF(OR(M174="",C174="",NOT(ISNUMBER($Z$3))),"",ROUND(M174*C174*$Z$3,2)))</f>
        <v/>
      </c>
      <c r="O174" s="231">
        <f>IF(OR(G174="",I174=""),"",ROUND(MAX(G174-I174,0),2))</f>
        <v/>
      </c>
      <c r="P174" s="225">
        <f>IF(AND(A174="",A173&lt;&gt;"",COUNTIF(A175:$A$200,"&lt;&gt;")=0),ROUND(SUMIF($A$2:A173,"&lt;&gt;",$P$2:P173),2),IF(OR(O174="",C174="",NOT(ISNUMBER($Z$4))),"",ROUND(O174*C174*$Z$4,2)))</f>
        <v/>
      </c>
      <c r="Q174" s="231">
        <f>IF(OR(I174="",K174=""),"",ROUND(MAX(I174-K174,0),2))</f>
        <v/>
      </c>
      <c r="R174" s="225">
        <f>IF(AND(A174="",A173&lt;&gt;"",COUNTIF(A175:$A$200,"&lt;&gt;")=0),ROUND(SUMIF($A$2:A173,"&lt;&gt;",$R$2:R173),2),IF(OR(Q174="",C174="",NOT(ISNUMBER($Z$5))),"",ROUND(Q174*C174*$Z$5,2)))</f>
        <v/>
      </c>
      <c r="S174" s="112" t="n"/>
      <c r="T174" s="245" t="n"/>
      <c r="U174" s="233">
        <f>IF(AND(A174="",A173&lt;&gt;"",COUNTIF(A175:$A$200,"&lt;&gt;")=0),"TOTAL",IF(A174="","",IF(AND(G174&lt;&gt;"",E174&lt;&gt;"",G174&gt;E174),"ALERTA: REM_C2&gt;REM_C1",IF(AND(I174&lt;&gt;"",G174&lt;&gt;"",I174&gt;G174),"ALERTA: REM_C3&gt;REM_C2",IF(AND(K174&lt;&gt;"",I174&lt;&gt;"",K174&gt;I174),"ALERTA: REM_C4&gt;REM_C3","OK")))))</f>
        <v/>
      </c>
      <c r="V174" s="233">
        <f>IF(A174="","",IF(B174="","",IF(OR(B174&lt;0,E174&gt;B174,G174&gt;B174,I174&gt;B174,K174&gt;B174),"ALERTA: QTD_INVALIDA","OK")))</f>
        <v/>
      </c>
      <c r="W174" s="17" t="n"/>
      <c r="X174" s="17" t="n"/>
      <c r="Y174" s="17" t="n"/>
      <c r="Z174" s="17" t="n"/>
      <c r="AA174" s="17" t="n"/>
      <c r="AB174" s="231">
        <f>IF(OR(A174="",E174=""),"",ROUND(B174-E174,2))</f>
        <v/>
      </c>
      <c r="AC174" s="225">
        <f>IF(AND(A174="",A173&lt;&gt;"",COUNTIF(A175:$A$200,"&lt;&gt;")=0),ROUND(SUMIF($A$2:A173,"&lt;&gt;",$AC$2:AC173),2),IF(OR(A174="",E174=""),"",ROUND(D174-E174*C174,2)))</f>
        <v/>
      </c>
      <c r="AD174" s="17" t="n"/>
    </row>
    <row r="175">
      <c r="A175" s="227" t="n"/>
      <c r="B175" s="228" t="n"/>
      <c r="C175" s="229" t="n"/>
      <c r="D175" s="225">
        <f>IF(AND(A175="",A174&lt;&gt;"",COUNTIF(A176:$A$200,"&lt;&gt;")=0),ROUND(SUMIF($A$2:A174,"&lt;&gt;",$D$2:D174),2),IF(OR(A175="",B175="",C175=""),"",ROUND(B175*C175,2)))</f>
        <v/>
      </c>
      <c r="E175" s="230" t="n"/>
      <c r="F175" s="225">
        <f>IF(AND(A175="",A174&lt;&gt;"",COUNTIF(A176:$A$200,"&lt;&gt;")=0),ROUND(SUMIF($A$2:A174,"&lt;&gt;",$F$2:F174),2),IF(OR(A175="",E175="",C175="",NOT(ISNUMBER($Z$3))),"",ROUND(E175*C175*$Z$3,2)))</f>
        <v/>
      </c>
      <c r="G175" s="230" t="n"/>
      <c r="H175" s="225">
        <f>IF(AND(A175="",A174&lt;&gt;"",COUNTIF(A176:$A$200,"&lt;&gt;")=0),ROUND(SUMIF($A$2:A174,"&lt;&gt;",$H$2:H174),2),IF(OR(A175="",G175="",C175="",NOT(ISNUMBER($Z$4))),"",ROUND(G175*C175*$Z$4,2)))</f>
        <v/>
      </c>
      <c r="I175" s="230" t="n"/>
      <c r="J175" s="225">
        <f>IF(AND(A175="",A174&lt;&gt;"",COUNTIF(A176:$A$200,"&lt;&gt;")=0),ROUND(SUMIF($A$2:A174,"&lt;&gt;",$J$2:J174),2),IF(OR(A175="",I175="",C175="",NOT(ISNUMBER($Z$5))),"",ROUND(I175*C175*$Z$5,2)))</f>
        <v/>
      </c>
      <c r="K175" s="230" t="n"/>
      <c r="L175" s="225">
        <f>IF(AND(A175="",A174&lt;&gt;"",COUNTIF(A176:$A$200,"&lt;&gt;")=0),ROUND(SUMIF($A$2:A174,"&lt;&gt;",$L$2:L174),2),IF(OR(A175="",K175="",C175="",NOT(ISNUMBER($Z$6))),"",ROUND(K175*C175*$Z$6,2)))</f>
        <v/>
      </c>
      <c r="M175" s="231">
        <f>IF(OR(E175="",G175=""),"",ROUND(MAX(E175-G175,0),2))</f>
        <v/>
      </c>
      <c r="N175" s="225">
        <f>IF(AND(A175="",A174&lt;&gt;"",COUNTIF(A176:$A$200,"&lt;&gt;")=0),ROUND(SUMIF($A$2:A174,"&lt;&gt;",$N$2:N174),2),IF(OR(M175="",C175="",NOT(ISNUMBER($Z$3))),"",ROUND(M175*C175*$Z$3,2)))</f>
        <v/>
      </c>
      <c r="O175" s="231">
        <f>IF(OR(G175="",I175=""),"",ROUND(MAX(G175-I175,0),2))</f>
        <v/>
      </c>
      <c r="P175" s="225">
        <f>IF(AND(A175="",A174&lt;&gt;"",COUNTIF(A176:$A$200,"&lt;&gt;")=0),ROUND(SUMIF($A$2:A174,"&lt;&gt;",$P$2:P174),2),IF(OR(O175="",C175="",NOT(ISNUMBER($Z$4))),"",ROUND(O175*C175*$Z$4,2)))</f>
        <v/>
      </c>
      <c r="Q175" s="231">
        <f>IF(OR(I175="",K175=""),"",ROUND(MAX(I175-K175,0),2))</f>
        <v/>
      </c>
      <c r="R175" s="225">
        <f>IF(AND(A175="",A174&lt;&gt;"",COUNTIF(A176:$A$200,"&lt;&gt;")=0),ROUND(SUMIF($A$2:A174,"&lt;&gt;",$R$2:R174),2),IF(OR(Q175="",C175="",NOT(ISNUMBER($Z$5))),"",ROUND(Q175*C175*$Z$5,2)))</f>
        <v/>
      </c>
      <c r="S175" s="112" t="n"/>
      <c r="T175" s="245" t="n"/>
      <c r="U175" s="233">
        <f>IF(AND(A175="",A174&lt;&gt;"",COUNTIF(A176:$A$200,"&lt;&gt;")=0),"TOTAL",IF(A175="","",IF(AND(G175&lt;&gt;"",E175&lt;&gt;"",G175&gt;E175),"ALERTA: REM_C2&gt;REM_C1",IF(AND(I175&lt;&gt;"",G175&lt;&gt;"",I175&gt;G175),"ALERTA: REM_C3&gt;REM_C2",IF(AND(K175&lt;&gt;"",I175&lt;&gt;"",K175&gt;I175),"ALERTA: REM_C4&gt;REM_C3","OK")))))</f>
        <v/>
      </c>
      <c r="V175" s="233">
        <f>IF(A175="","",IF(B175="","",IF(OR(B175&lt;0,E175&gt;B175,G175&gt;B175,I175&gt;B175,K175&gt;B175),"ALERTA: QTD_INVALIDA","OK")))</f>
        <v/>
      </c>
      <c r="W175" s="17" t="n"/>
      <c r="X175" s="17" t="n"/>
      <c r="Y175" s="17" t="n"/>
      <c r="Z175" s="17" t="n"/>
      <c r="AA175" s="17" t="n"/>
      <c r="AB175" s="231">
        <f>IF(OR(A175="",E175=""),"",ROUND(B175-E175,2))</f>
        <v/>
      </c>
      <c r="AC175" s="225">
        <f>IF(AND(A175="",A174&lt;&gt;"",COUNTIF(A176:$A$200,"&lt;&gt;")=0),ROUND(SUMIF($A$2:A174,"&lt;&gt;",$AC$2:AC174),2),IF(OR(A175="",E175=""),"",ROUND(D175-E175*C175,2)))</f>
        <v/>
      </c>
      <c r="AD175" s="17" t="n"/>
    </row>
    <row r="176">
      <c r="A176" s="227" t="n"/>
      <c r="B176" s="228" t="n"/>
      <c r="C176" s="229" t="n"/>
      <c r="D176" s="225">
        <f>IF(AND(A176="",A175&lt;&gt;"",COUNTIF(A177:$A$200,"&lt;&gt;")=0),ROUND(SUMIF($A$2:A175,"&lt;&gt;",$D$2:D175),2),IF(OR(A176="",B176="",C176=""),"",ROUND(B176*C176,2)))</f>
        <v/>
      </c>
      <c r="E176" s="230" t="n"/>
      <c r="F176" s="225">
        <f>IF(AND(A176="",A175&lt;&gt;"",COUNTIF(A177:$A$200,"&lt;&gt;")=0),ROUND(SUMIF($A$2:A175,"&lt;&gt;",$F$2:F175),2),IF(OR(A176="",E176="",C176="",NOT(ISNUMBER($Z$3))),"",ROUND(E176*C176*$Z$3,2)))</f>
        <v/>
      </c>
      <c r="G176" s="230" t="n"/>
      <c r="H176" s="225">
        <f>IF(AND(A176="",A175&lt;&gt;"",COUNTIF(A177:$A$200,"&lt;&gt;")=0),ROUND(SUMIF($A$2:A175,"&lt;&gt;",$H$2:H175),2),IF(OR(A176="",G176="",C176="",NOT(ISNUMBER($Z$4))),"",ROUND(G176*C176*$Z$4,2)))</f>
        <v/>
      </c>
      <c r="I176" s="230" t="n"/>
      <c r="J176" s="225">
        <f>IF(AND(A176="",A175&lt;&gt;"",COUNTIF(A177:$A$200,"&lt;&gt;")=0),ROUND(SUMIF($A$2:A175,"&lt;&gt;",$J$2:J175),2),IF(OR(A176="",I176="",C176="",NOT(ISNUMBER($Z$5))),"",ROUND(I176*C176*$Z$5,2)))</f>
        <v/>
      </c>
      <c r="K176" s="230" t="n"/>
      <c r="L176" s="225">
        <f>IF(AND(A176="",A175&lt;&gt;"",COUNTIF(A177:$A$200,"&lt;&gt;")=0),ROUND(SUMIF($A$2:A175,"&lt;&gt;",$L$2:L175),2),IF(OR(A176="",K176="",C176="",NOT(ISNUMBER($Z$6))),"",ROUND(K176*C176*$Z$6,2)))</f>
        <v/>
      </c>
      <c r="M176" s="231">
        <f>IF(OR(E176="",G176=""),"",ROUND(MAX(E176-G176,0),2))</f>
        <v/>
      </c>
      <c r="N176" s="225">
        <f>IF(AND(A176="",A175&lt;&gt;"",COUNTIF(A177:$A$200,"&lt;&gt;")=0),ROUND(SUMIF($A$2:A175,"&lt;&gt;",$N$2:N175),2),IF(OR(M176="",C176="",NOT(ISNUMBER($Z$3))),"",ROUND(M176*C176*$Z$3,2)))</f>
        <v/>
      </c>
      <c r="O176" s="231">
        <f>IF(OR(G176="",I176=""),"",ROUND(MAX(G176-I176,0),2))</f>
        <v/>
      </c>
      <c r="P176" s="225">
        <f>IF(AND(A176="",A175&lt;&gt;"",COUNTIF(A177:$A$200,"&lt;&gt;")=0),ROUND(SUMIF($A$2:A175,"&lt;&gt;",$P$2:P175),2),IF(OR(O176="",C176="",NOT(ISNUMBER($Z$4))),"",ROUND(O176*C176*$Z$4,2)))</f>
        <v/>
      </c>
      <c r="Q176" s="231">
        <f>IF(OR(I176="",K176=""),"",ROUND(MAX(I176-K176,0),2))</f>
        <v/>
      </c>
      <c r="R176" s="225">
        <f>IF(AND(A176="",A175&lt;&gt;"",COUNTIF(A177:$A$200,"&lt;&gt;")=0),ROUND(SUMIF($A$2:A175,"&lt;&gt;",$R$2:R175),2),IF(OR(Q176="",C176="",NOT(ISNUMBER($Z$5))),"",ROUND(Q176*C176*$Z$5,2)))</f>
        <v/>
      </c>
      <c r="S176" s="112" t="n"/>
      <c r="T176" s="245" t="n"/>
      <c r="U176" s="233">
        <f>IF(AND(A176="",A175&lt;&gt;"",COUNTIF(A177:$A$200,"&lt;&gt;")=0),"TOTAL",IF(A176="","",IF(AND(G176&lt;&gt;"",E176&lt;&gt;"",G176&gt;E176),"ALERTA: REM_C2&gt;REM_C1",IF(AND(I176&lt;&gt;"",G176&lt;&gt;"",I176&gt;G176),"ALERTA: REM_C3&gt;REM_C2",IF(AND(K176&lt;&gt;"",I176&lt;&gt;"",K176&gt;I176),"ALERTA: REM_C4&gt;REM_C3","OK")))))</f>
        <v/>
      </c>
      <c r="V176" s="233">
        <f>IF(A176="","",IF(B176="","",IF(OR(B176&lt;0,E176&gt;B176,G176&gt;B176,I176&gt;B176,K176&gt;B176),"ALERTA: QTD_INVALIDA","OK")))</f>
        <v/>
      </c>
      <c r="W176" s="17" t="n"/>
      <c r="X176" s="17" t="n"/>
      <c r="Y176" s="17" t="n"/>
      <c r="Z176" s="17" t="n"/>
      <c r="AA176" s="17" t="n"/>
      <c r="AB176" s="231">
        <f>IF(OR(A176="",E176=""),"",ROUND(B176-E176,2))</f>
        <v/>
      </c>
      <c r="AC176" s="225">
        <f>IF(AND(A176="",A175&lt;&gt;"",COUNTIF(A177:$A$200,"&lt;&gt;")=0),ROUND(SUMIF($A$2:A175,"&lt;&gt;",$AC$2:AC175),2),IF(OR(A176="",E176=""),"",ROUND(D176-E176*C176,2)))</f>
        <v/>
      </c>
      <c r="AD176" s="17" t="n"/>
    </row>
    <row r="177">
      <c r="A177" s="227" t="n"/>
      <c r="B177" s="228" t="n"/>
      <c r="C177" s="229" t="n"/>
      <c r="D177" s="225">
        <f>IF(AND(A177="",A176&lt;&gt;"",COUNTIF(A178:$A$200,"&lt;&gt;")=0),ROUND(SUMIF($A$2:A176,"&lt;&gt;",$D$2:D176),2),IF(OR(A177="",B177="",C177=""),"",ROUND(B177*C177,2)))</f>
        <v/>
      </c>
      <c r="E177" s="230" t="n"/>
      <c r="F177" s="225">
        <f>IF(AND(A177="",A176&lt;&gt;"",COUNTIF(A178:$A$200,"&lt;&gt;")=0),ROUND(SUMIF($A$2:A176,"&lt;&gt;",$F$2:F176),2),IF(OR(A177="",E177="",C177="",NOT(ISNUMBER($Z$3))),"",ROUND(E177*C177*$Z$3,2)))</f>
        <v/>
      </c>
      <c r="G177" s="230" t="n"/>
      <c r="H177" s="225">
        <f>IF(AND(A177="",A176&lt;&gt;"",COUNTIF(A178:$A$200,"&lt;&gt;")=0),ROUND(SUMIF($A$2:A176,"&lt;&gt;",$H$2:H176),2),IF(OR(A177="",G177="",C177="",NOT(ISNUMBER($Z$4))),"",ROUND(G177*C177*$Z$4,2)))</f>
        <v/>
      </c>
      <c r="I177" s="230" t="n"/>
      <c r="J177" s="225">
        <f>IF(AND(A177="",A176&lt;&gt;"",COUNTIF(A178:$A$200,"&lt;&gt;")=0),ROUND(SUMIF($A$2:A176,"&lt;&gt;",$J$2:J176),2),IF(OR(A177="",I177="",C177="",NOT(ISNUMBER($Z$5))),"",ROUND(I177*C177*$Z$5,2)))</f>
        <v/>
      </c>
      <c r="K177" s="230" t="n"/>
      <c r="L177" s="225">
        <f>IF(AND(A177="",A176&lt;&gt;"",COUNTIF(A178:$A$200,"&lt;&gt;")=0),ROUND(SUMIF($A$2:A176,"&lt;&gt;",$L$2:L176),2),IF(OR(A177="",K177="",C177="",NOT(ISNUMBER($Z$6))),"",ROUND(K177*C177*$Z$6,2)))</f>
        <v/>
      </c>
      <c r="M177" s="231">
        <f>IF(OR(E177="",G177=""),"",ROUND(MAX(E177-G177,0),2))</f>
        <v/>
      </c>
      <c r="N177" s="225">
        <f>IF(AND(A177="",A176&lt;&gt;"",COUNTIF(A178:$A$200,"&lt;&gt;")=0),ROUND(SUMIF($A$2:A176,"&lt;&gt;",$N$2:N176),2),IF(OR(M177="",C177="",NOT(ISNUMBER($Z$3))),"",ROUND(M177*C177*$Z$3,2)))</f>
        <v/>
      </c>
      <c r="O177" s="231">
        <f>IF(OR(G177="",I177=""),"",ROUND(MAX(G177-I177,0),2))</f>
        <v/>
      </c>
      <c r="P177" s="225">
        <f>IF(AND(A177="",A176&lt;&gt;"",COUNTIF(A178:$A$200,"&lt;&gt;")=0),ROUND(SUMIF($A$2:A176,"&lt;&gt;",$P$2:P176),2),IF(OR(O177="",C177="",NOT(ISNUMBER($Z$4))),"",ROUND(O177*C177*$Z$4,2)))</f>
        <v/>
      </c>
      <c r="Q177" s="231">
        <f>IF(OR(I177="",K177=""),"",ROUND(MAX(I177-K177,0),2))</f>
        <v/>
      </c>
      <c r="R177" s="225">
        <f>IF(AND(A177="",A176&lt;&gt;"",COUNTIF(A178:$A$200,"&lt;&gt;")=0),ROUND(SUMIF($A$2:A176,"&lt;&gt;",$R$2:R176),2),IF(OR(Q177="",C177="",NOT(ISNUMBER($Z$5))),"",ROUND(Q177*C177*$Z$5,2)))</f>
        <v/>
      </c>
      <c r="S177" s="112" t="n"/>
      <c r="T177" s="245" t="n"/>
      <c r="U177" s="233">
        <f>IF(AND(A177="",A176&lt;&gt;"",COUNTIF(A178:$A$200,"&lt;&gt;")=0),"TOTAL",IF(A177="","",IF(AND(G177&lt;&gt;"",E177&lt;&gt;"",G177&gt;E177),"ALERTA: REM_C2&gt;REM_C1",IF(AND(I177&lt;&gt;"",G177&lt;&gt;"",I177&gt;G177),"ALERTA: REM_C3&gt;REM_C2",IF(AND(K177&lt;&gt;"",I177&lt;&gt;"",K177&gt;I177),"ALERTA: REM_C4&gt;REM_C3","OK")))))</f>
        <v/>
      </c>
      <c r="V177" s="233">
        <f>IF(A177="","",IF(B177="","",IF(OR(B177&lt;0,E177&gt;B177,G177&gt;B177,I177&gt;B177,K177&gt;B177),"ALERTA: QTD_INVALIDA","OK")))</f>
        <v/>
      </c>
      <c r="W177" s="17" t="n"/>
      <c r="X177" s="17" t="n"/>
      <c r="Y177" s="17" t="n"/>
      <c r="Z177" s="17" t="n"/>
      <c r="AA177" s="17" t="n"/>
      <c r="AB177" s="231">
        <f>IF(OR(A177="",E177=""),"",ROUND(B177-E177,2))</f>
        <v/>
      </c>
      <c r="AC177" s="225">
        <f>IF(AND(A177="",A176&lt;&gt;"",COUNTIF(A178:$A$200,"&lt;&gt;")=0),ROUND(SUMIF($A$2:A176,"&lt;&gt;",$AC$2:AC176),2),IF(OR(A177="",E177=""),"",ROUND(D177-E177*C177,2)))</f>
        <v/>
      </c>
      <c r="AD177" s="17" t="n"/>
    </row>
    <row r="178">
      <c r="A178" s="227" t="n"/>
      <c r="B178" s="228" t="n"/>
      <c r="C178" s="229" t="n"/>
      <c r="D178" s="225">
        <f>IF(AND(A178="",A177&lt;&gt;"",COUNTIF(A179:$A$200,"&lt;&gt;")=0),ROUND(SUMIF($A$2:A177,"&lt;&gt;",$D$2:D177),2),IF(OR(A178="",B178="",C178=""),"",ROUND(B178*C178,2)))</f>
        <v/>
      </c>
      <c r="E178" s="230" t="n"/>
      <c r="F178" s="225">
        <f>IF(AND(A178="",A177&lt;&gt;"",COUNTIF(A179:$A$200,"&lt;&gt;")=0),ROUND(SUMIF($A$2:A177,"&lt;&gt;",$F$2:F177),2),IF(OR(A178="",E178="",C178="",NOT(ISNUMBER($Z$3))),"",ROUND(E178*C178*$Z$3,2)))</f>
        <v/>
      </c>
      <c r="G178" s="230" t="n"/>
      <c r="H178" s="225">
        <f>IF(AND(A178="",A177&lt;&gt;"",COUNTIF(A179:$A$200,"&lt;&gt;")=0),ROUND(SUMIF($A$2:A177,"&lt;&gt;",$H$2:H177),2),IF(OR(A178="",G178="",C178="",NOT(ISNUMBER($Z$4))),"",ROUND(G178*C178*$Z$4,2)))</f>
        <v/>
      </c>
      <c r="I178" s="230" t="n"/>
      <c r="J178" s="225">
        <f>IF(AND(A178="",A177&lt;&gt;"",COUNTIF(A179:$A$200,"&lt;&gt;")=0),ROUND(SUMIF($A$2:A177,"&lt;&gt;",$J$2:J177),2),IF(OR(A178="",I178="",C178="",NOT(ISNUMBER($Z$5))),"",ROUND(I178*C178*$Z$5,2)))</f>
        <v/>
      </c>
      <c r="K178" s="230" t="n"/>
      <c r="L178" s="225">
        <f>IF(AND(A178="",A177&lt;&gt;"",COUNTIF(A179:$A$200,"&lt;&gt;")=0),ROUND(SUMIF($A$2:A177,"&lt;&gt;",$L$2:L177),2),IF(OR(A178="",K178="",C178="",NOT(ISNUMBER($Z$6))),"",ROUND(K178*C178*$Z$6,2)))</f>
        <v/>
      </c>
      <c r="M178" s="231">
        <f>IF(OR(E178="",G178=""),"",ROUND(MAX(E178-G178,0),2))</f>
        <v/>
      </c>
      <c r="N178" s="225">
        <f>IF(AND(A178="",A177&lt;&gt;"",COUNTIF(A179:$A$200,"&lt;&gt;")=0),ROUND(SUMIF($A$2:A177,"&lt;&gt;",$N$2:N177),2),IF(OR(M178="",C178="",NOT(ISNUMBER($Z$3))),"",ROUND(M178*C178*$Z$3,2)))</f>
        <v/>
      </c>
      <c r="O178" s="231">
        <f>IF(OR(G178="",I178=""),"",ROUND(MAX(G178-I178,0),2))</f>
        <v/>
      </c>
      <c r="P178" s="225">
        <f>IF(AND(A178="",A177&lt;&gt;"",COUNTIF(A179:$A$200,"&lt;&gt;")=0),ROUND(SUMIF($A$2:A177,"&lt;&gt;",$P$2:P177),2),IF(OR(O178="",C178="",NOT(ISNUMBER($Z$4))),"",ROUND(O178*C178*$Z$4,2)))</f>
        <v/>
      </c>
      <c r="Q178" s="231">
        <f>IF(OR(I178="",K178=""),"",ROUND(MAX(I178-K178,0),2))</f>
        <v/>
      </c>
      <c r="R178" s="225">
        <f>IF(AND(A178="",A177&lt;&gt;"",COUNTIF(A179:$A$200,"&lt;&gt;")=0),ROUND(SUMIF($A$2:A177,"&lt;&gt;",$R$2:R177),2),IF(OR(Q178="",C178="",NOT(ISNUMBER($Z$5))),"",ROUND(Q178*C178*$Z$5,2)))</f>
        <v/>
      </c>
      <c r="S178" s="112" t="n"/>
      <c r="T178" s="245" t="n"/>
      <c r="U178" s="233">
        <f>IF(AND(A178="",A177&lt;&gt;"",COUNTIF(A179:$A$200,"&lt;&gt;")=0),"TOTAL",IF(A178="","",IF(AND(G178&lt;&gt;"",E178&lt;&gt;"",G178&gt;E178),"ALERTA: REM_C2&gt;REM_C1",IF(AND(I178&lt;&gt;"",G178&lt;&gt;"",I178&gt;G178),"ALERTA: REM_C3&gt;REM_C2",IF(AND(K178&lt;&gt;"",I178&lt;&gt;"",K178&gt;I178),"ALERTA: REM_C4&gt;REM_C3","OK")))))</f>
        <v/>
      </c>
      <c r="V178" s="233">
        <f>IF(A178="","",IF(B178="","",IF(OR(B178&lt;0,E178&gt;B178,G178&gt;B178,I178&gt;B178,K178&gt;B178),"ALERTA: QTD_INVALIDA","OK")))</f>
        <v/>
      </c>
      <c r="W178" s="17" t="n"/>
      <c r="X178" s="17" t="n"/>
      <c r="Y178" s="17" t="n"/>
      <c r="Z178" s="17" t="n"/>
      <c r="AA178" s="17" t="n"/>
      <c r="AB178" s="231">
        <f>IF(OR(A178="",E178=""),"",ROUND(B178-E178,2))</f>
        <v/>
      </c>
      <c r="AC178" s="225">
        <f>IF(AND(A178="",A177&lt;&gt;"",COUNTIF(A179:$A$200,"&lt;&gt;")=0),ROUND(SUMIF($A$2:A177,"&lt;&gt;",$AC$2:AC177),2),IF(OR(A178="",E178=""),"",ROUND(D178-E178*C178,2)))</f>
        <v/>
      </c>
      <c r="AD178" s="17" t="n"/>
    </row>
    <row r="179">
      <c r="A179" s="227" t="n"/>
      <c r="B179" s="228" t="n"/>
      <c r="C179" s="229" t="n"/>
      <c r="D179" s="225">
        <f>IF(AND(A179="",A178&lt;&gt;"",COUNTIF(A180:$A$200,"&lt;&gt;")=0),ROUND(SUMIF($A$2:A178,"&lt;&gt;",$D$2:D178),2),IF(OR(A179="",B179="",C179=""),"",ROUND(B179*C179,2)))</f>
        <v/>
      </c>
      <c r="E179" s="230" t="n"/>
      <c r="F179" s="225">
        <f>IF(AND(A179="",A178&lt;&gt;"",COUNTIF(A180:$A$200,"&lt;&gt;")=0),ROUND(SUMIF($A$2:A178,"&lt;&gt;",$F$2:F178),2),IF(OR(A179="",E179="",C179="",NOT(ISNUMBER($Z$3))),"",ROUND(E179*C179*$Z$3,2)))</f>
        <v/>
      </c>
      <c r="G179" s="230" t="n"/>
      <c r="H179" s="225">
        <f>IF(AND(A179="",A178&lt;&gt;"",COUNTIF(A180:$A$200,"&lt;&gt;")=0),ROUND(SUMIF($A$2:A178,"&lt;&gt;",$H$2:H178),2),IF(OR(A179="",G179="",C179="",NOT(ISNUMBER($Z$4))),"",ROUND(G179*C179*$Z$4,2)))</f>
        <v/>
      </c>
      <c r="I179" s="230" t="n"/>
      <c r="J179" s="225">
        <f>IF(AND(A179="",A178&lt;&gt;"",COUNTIF(A180:$A$200,"&lt;&gt;")=0),ROUND(SUMIF($A$2:A178,"&lt;&gt;",$J$2:J178),2),IF(OR(A179="",I179="",C179="",NOT(ISNUMBER($Z$5))),"",ROUND(I179*C179*$Z$5,2)))</f>
        <v/>
      </c>
      <c r="K179" s="230" t="n"/>
      <c r="L179" s="225">
        <f>IF(AND(A179="",A178&lt;&gt;"",COUNTIF(A180:$A$200,"&lt;&gt;")=0),ROUND(SUMIF($A$2:A178,"&lt;&gt;",$L$2:L178),2),IF(OR(A179="",K179="",C179="",NOT(ISNUMBER($Z$6))),"",ROUND(K179*C179*$Z$6,2)))</f>
        <v/>
      </c>
      <c r="M179" s="231">
        <f>IF(OR(E179="",G179=""),"",ROUND(MAX(E179-G179,0),2))</f>
        <v/>
      </c>
      <c r="N179" s="225">
        <f>IF(AND(A179="",A178&lt;&gt;"",COUNTIF(A180:$A$200,"&lt;&gt;")=0),ROUND(SUMIF($A$2:A178,"&lt;&gt;",$N$2:N178),2),IF(OR(M179="",C179="",NOT(ISNUMBER($Z$3))),"",ROUND(M179*C179*$Z$3,2)))</f>
        <v/>
      </c>
      <c r="O179" s="231">
        <f>IF(OR(G179="",I179=""),"",ROUND(MAX(G179-I179,0),2))</f>
        <v/>
      </c>
      <c r="P179" s="225">
        <f>IF(AND(A179="",A178&lt;&gt;"",COUNTIF(A180:$A$200,"&lt;&gt;")=0),ROUND(SUMIF($A$2:A178,"&lt;&gt;",$P$2:P178),2),IF(OR(O179="",C179="",NOT(ISNUMBER($Z$4))),"",ROUND(O179*C179*$Z$4,2)))</f>
        <v/>
      </c>
      <c r="Q179" s="231">
        <f>IF(OR(I179="",K179=""),"",ROUND(MAX(I179-K179,0),2))</f>
        <v/>
      </c>
      <c r="R179" s="225">
        <f>IF(AND(A179="",A178&lt;&gt;"",COUNTIF(A180:$A$200,"&lt;&gt;")=0),ROUND(SUMIF($A$2:A178,"&lt;&gt;",$R$2:R178),2),IF(OR(Q179="",C179="",NOT(ISNUMBER($Z$5))),"",ROUND(Q179*C179*$Z$5,2)))</f>
        <v/>
      </c>
      <c r="S179" s="112" t="n"/>
      <c r="T179" s="245" t="n"/>
      <c r="U179" s="233">
        <f>IF(AND(A179="",A178&lt;&gt;"",COUNTIF(A180:$A$200,"&lt;&gt;")=0),"TOTAL",IF(A179="","",IF(AND(G179&lt;&gt;"",E179&lt;&gt;"",G179&gt;E179),"ALERTA: REM_C2&gt;REM_C1",IF(AND(I179&lt;&gt;"",G179&lt;&gt;"",I179&gt;G179),"ALERTA: REM_C3&gt;REM_C2",IF(AND(K179&lt;&gt;"",I179&lt;&gt;"",K179&gt;I179),"ALERTA: REM_C4&gt;REM_C3","OK")))))</f>
        <v/>
      </c>
      <c r="V179" s="233">
        <f>IF(A179="","",IF(B179="","",IF(OR(B179&lt;0,E179&gt;B179,G179&gt;B179,I179&gt;B179,K179&gt;B179),"ALERTA: QTD_INVALIDA","OK")))</f>
        <v/>
      </c>
      <c r="W179" s="17" t="n"/>
      <c r="X179" s="17" t="n"/>
      <c r="Y179" s="17" t="n"/>
      <c r="Z179" s="17" t="n"/>
      <c r="AA179" s="17" t="n"/>
      <c r="AB179" s="231">
        <f>IF(OR(A179="",E179=""),"",ROUND(B179-E179,2))</f>
        <v/>
      </c>
      <c r="AC179" s="225">
        <f>IF(AND(A179="",A178&lt;&gt;"",COUNTIF(A180:$A$200,"&lt;&gt;")=0),ROUND(SUMIF($A$2:A178,"&lt;&gt;",$AC$2:AC178),2),IF(OR(A179="",E179=""),"",ROUND(D179-E179*C179,2)))</f>
        <v/>
      </c>
      <c r="AD179" s="17" t="n"/>
    </row>
    <row r="180">
      <c r="A180" s="227" t="n"/>
      <c r="B180" s="228" t="n"/>
      <c r="C180" s="229" t="n"/>
      <c r="D180" s="225">
        <f>IF(AND(A180="",A179&lt;&gt;"",COUNTIF(A181:$A$200,"&lt;&gt;")=0),ROUND(SUMIF($A$2:A179,"&lt;&gt;",$D$2:D179),2),IF(OR(A180="",B180="",C180=""),"",ROUND(B180*C180,2)))</f>
        <v/>
      </c>
      <c r="E180" s="230" t="n"/>
      <c r="F180" s="225">
        <f>IF(AND(A180="",A179&lt;&gt;"",COUNTIF(A181:$A$200,"&lt;&gt;")=0),ROUND(SUMIF($A$2:A179,"&lt;&gt;",$F$2:F179),2),IF(OR(A180="",E180="",C180="",NOT(ISNUMBER($Z$3))),"",ROUND(E180*C180*$Z$3,2)))</f>
        <v/>
      </c>
      <c r="G180" s="230" t="n"/>
      <c r="H180" s="225">
        <f>IF(AND(A180="",A179&lt;&gt;"",COUNTIF(A181:$A$200,"&lt;&gt;")=0),ROUND(SUMIF($A$2:A179,"&lt;&gt;",$H$2:H179),2),IF(OR(A180="",G180="",C180="",NOT(ISNUMBER($Z$4))),"",ROUND(G180*C180*$Z$4,2)))</f>
        <v/>
      </c>
      <c r="I180" s="230" t="n"/>
      <c r="J180" s="225">
        <f>IF(AND(A180="",A179&lt;&gt;"",COUNTIF(A181:$A$200,"&lt;&gt;")=0),ROUND(SUMIF($A$2:A179,"&lt;&gt;",$J$2:J179),2),IF(OR(A180="",I180="",C180="",NOT(ISNUMBER($Z$5))),"",ROUND(I180*C180*$Z$5,2)))</f>
        <v/>
      </c>
      <c r="K180" s="230" t="n"/>
      <c r="L180" s="225">
        <f>IF(AND(A180="",A179&lt;&gt;"",COUNTIF(A181:$A$200,"&lt;&gt;")=0),ROUND(SUMIF($A$2:A179,"&lt;&gt;",$L$2:L179),2),IF(OR(A180="",K180="",C180="",NOT(ISNUMBER($Z$6))),"",ROUND(K180*C180*$Z$6,2)))</f>
        <v/>
      </c>
      <c r="M180" s="231">
        <f>IF(OR(E180="",G180=""),"",ROUND(MAX(E180-G180,0),2))</f>
        <v/>
      </c>
      <c r="N180" s="225">
        <f>IF(AND(A180="",A179&lt;&gt;"",COUNTIF(A181:$A$200,"&lt;&gt;")=0),ROUND(SUMIF($A$2:A179,"&lt;&gt;",$N$2:N179),2),IF(OR(M180="",C180="",NOT(ISNUMBER($Z$3))),"",ROUND(M180*C180*$Z$3,2)))</f>
        <v/>
      </c>
      <c r="O180" s="231">
        <f>IF(OR(G180="",I180=""),"",ROUND(MAX(G180-I180,0),2))</f>
        <v/>
      </c>
      <c r="P180" s="225">
        <f>IF(AND(A180="",A179&lt;&gt;"",COUNTIF(A181:$A$200,"&lt;&gt;")=0),ROUND(SUMIF($A$2:A179,"&lt;&gt;",$P$2:P179),2),IF(OR(O180="",C180="",NOT(ISNUMBER($Z$4))),"",ROUND(O180*C180*$Z$4,2)))</f>
        <v/>
      </c>
      <c r="Q180" s="231">
        <f>IF(OR(I180="",K180=""),"",ROUND(MAX(I180-K180,0),2))</f>
        <v/>
      </c>
      <c r="R180" s="225">
        <f>IF(AND(A180="",A179&lt;&gt;"",COUNTIF(A181:$A$200,"&lt;&gt;")=0),ROUND(SUMIF($A$2:A179,"&lt;&gt;",$R$2:R179),2),IF(OR(Q180="",C180="",NOT(ISNUMBER($Z$5))),"",ROUND(Q180*C180*$Z$5,2)))</f>
        <v/>
      </c>
      <c r="S180" s="112" t="n"/>
      <c r="T180" s="245" t="n"/>
      <c r="U180" s="233">
        <f>IF(AND(A180="",A179&lt;&gt;"",COUNTIF(A181:$A$200,"&lt;&gt;")=0),"TOTAL",IF(A180="","",IF(AND(G180&lt;&gt;"",E180&lt;&gt;"",G180&gt;E180),"ALERTA: REM_C2&gt;REM_C1",IF(AND(I180&lt;&gt;"",G180&lt;&gt;"",I180&gt;G180),"ALERTA: REM_C3&gt;REM_C2",IF(AND(K180&lt;&gt;"",I180&lt;&gt;"",K180&gt;I180),"ALERTA: REM_C4&gt;REM_C3","OK")))))</f>
        <v/>
      </c>
      <c r="V180" s="233">
        <f>IF(A180="","",IF(B180="","",IF(OR(B180&lt;0,E180&gt;B180,G180&gt;B180,I180&gt;B180,K180&gt;B180),"ALERTA: QTD_INVALIDA","OK")))</f>
        <v/>
      </c>
      <c r="W180" s="17" t="n"/>
      <c r="X180" s="17" t="n"/>
      <c r="Y180" s="17" t="n"/>
      <c r="Z180" s="17" t="n"/>
      <c r="AA180" s="17" t="n"/>
      <c r="AB180" s="231">
        <f>IF(OR(A180="",E180=""),"",ROUND(B180-E180,2))</f>
        <v/>
      </c>
      <c r="AC180" s="225">
        <f>IF(AND(A180="",A179&lt;&gt;"",COUNTIF(A181:$A$200,"&lt;&gt;")=0),ROUND(SUMIF($A$2:A179,"&lt;&gt;",$AC$2:AC179),2),IF(OR(A180="",E180=""),"",ROUND(D180-E180*C180,2)))</f>
        <v/>
      </c>
      <c r="AD180" s="17" t="n"/>
    </row>
    <row r="181">
      <c r="A181" s="227" t="n"/>
      <c r="B181" s="228" t="n"/>
      <c r="C181" s="229" t="n"/>
      <c r="D181" s="225">
        <f>IF(AND(A181="",A180&lt;&gt;"",COUNTIF(A182:$A$200,"&lt;&gt;")=0),ROUND(SUMIF($A$2:A180,"&lt;&gt;",$D$2:D180),2),IF(OR(A181="",B181="",C181=""),"",ROUND(B181*C181,2)))</f>
        <v/>
      </c>
      <c r="E181" s="230" t="n"/>
      <c r="F181" s="225">
        <f>IF(AND(A181="",A180&lt;&gt;"",COUNTIF(A182:$A$200,"&lt;&gt;")=0),ROUND(SUMIF($A$2:A180,"&lt;&gt;",$F$2:F180),2),IF(OR(A181="",E181="",C181="",NOT(ISNUMBER($Z$3))),"",ROUND(E181*C181*$Z$3,2)))</f>
        <v/>
      </c>
      <c r="G181" s="230" t="n"/>
      <c r="H181" s="225">
        <f>IF(AND(A181="",A180&lt;&gt;"",COUNTIF(A182:$A$200,"&lt;&gt;")=0),ROUND(SUMIF($A$2:A180,"&lt;&gt;",$H$2:H180),2),IF(OR(A181="",G181="",C181="",NOT(ISNUMBER($Z$4))),"",ROUND(G181*C181*$Z$4,2)))</f>
        <v/>
      </c>
      <c r="I181" s="230" t="n"/>
      <c r="J181" s="225">
        <f>IF(AND(A181="",A180&lt;&gt;"",COUNTIF(A182:$A$200,"&lt;&gt;")=0),ROUND(SUMIF($A$2:A180,"&lt;&gt;",$J$2:J180),2),IF(OR(A181="",I181="",C181="",NOT(ISNUMBER($Z$5))),"",ROUND(I181*C181*$Z$5,2)))</f>
        <v/>
      </c>
      <c r="K181" s="230" t="n"/>
      <c r="L181" s="225">
        <f>IF(AND(A181="",A180&lt;&gt;"",COUNTIF(A182:$A$200,"&lt;&gt;")=0),ROUND(SUMIF($A$2:A180,"&lt;&gt;",$L$2:L180),2),IF(OR(A181="",K181="",C181="",NOT(ISNUMBER($Z$6))),"",ROUND(K181*C181*$Z$6,2)))</f>
        <v/>
      </c>
      <c r="M181" s="231">
        <f>IF(OR(E181="",G181=""),"",ROUND(MAX(E181-G181,0),2))</f>
        <v/>
      </c>
      <c r="N181" s="225">
        <f>IF(AND(A181="",A180&lt;&gt;"",COUNTIF(A182:$A$200,"&lt;&gt;")=0),ROUND(SUMIF($A$2:A180,"&lt;&gt;",$N$2:N180),2),IF(OR(M181="",C181="",NOT(ISNUMBER($Z$3))),"",ROUND(M181*C181*$Z$3,2)))</f>
        <v/>
      </c>
      <c r="O181" s="231">
        <f>IF(OR(G181="",I181=""),"",ROUND(MAX(G181-I181,0),2))</f>
        <v/>
      </c>
      <c r="P181" s="225">
        <f>IF(AND(A181="",A180&lt;&gt;"",COUNTIF(A182:$A$200,"&lt;&gt;")=0),ROUND(SUMIF($A$2:A180,"&lt;&gt;",$P$2:P180),2),IF(OR(O181="",C181="",NOT(ISNUMBER($Z$4))),"",ROUND(O181*C181*$Z$4,2)))</f>
        <v/>
      </c>
      <c r="Q181" s="231">
        <f>IF(OR(I181="",K181=""),"",ROUND(MAX(I181-K181,0),2))</f>
        <v/>
      </c>
      <c r="R181" s="225">
        <f>IF(AND(A181="",A180&lt;&gt;"",COUNTIF(A182:$A$200,"&lt;&gt;")=0),ROUND(SUMIF($A$2:A180,"&lt;&gt;",$R$2:R180),2),IF(OR(Q181="",C181="",NOT(ISNUMBER($Z$5))),"",ROUND(Q181*C181*$Z$5,2)))</f>
        <v/>
      </c>
      <c r="S181" s="112" t="n"/>
      <c r="T181" s="245" t="n"/>
      <c r="U181" s="233">
        <f>IF(AND(A181="",A180&lt;&gt;"",COUNTIF(A182:$A$200,"&lt;&gt;")=0),"TOTAL",IF(A181="","",IF(AND(G181&lt;&gt;"",E181&lt;&gt;"",G181&gt;E181),"ALERTA: REM_C2&gt;REM_C1",IF(AND(I181&lt;&gt;"",G181&lt;&gt;"",I181&gt;G181),"ALERTA: REM_C3&gt;REM_C2",IF(AND(K181&lt;&gt;"",I181&lt;&gt;"",K181&gt;I181),"ALERTA: REM_C4&gt;REM_C3","OK")))))</f>
        <v/>
      </c>
      <c r="V181" s="233">
        <f>IF(A181="","",IF(B181="","",IF(OR(B181&lt;0,E181&gt;B181,G181&gt;B181,I181&gt;B181,K181&gt;B181),"ALERTA: QTD_INVALIDA","OK")))</f>
        <v/>
      </c>
      <c r="W181" s="17" t="n"/>
      <c r="X181" s="17" t="n"/>
      <c r="Y181" s="17" t="n"/>
      <c r="Z181" s="17" t="n"/>
      <c r="AA181" s="17" t="n"/>
      <c r="AB181" s="231">
        <f>IF(OR(A181="",E181=""),"",ROUND(B181-E181,2))</f>
        <v/>
      </c>
      <c r="AC181" s="225">
        <f>IF(AND(A181="",A180&lt;&gt;"",COUNTIF(A182:$A$200,"&lt;&gt;")=0),ROUND(SUMIF($A$2:A180,"&lt;&gt;",$AC$2:AC180),2),IF(OR(A181="",E181=""),"",ROUND(D181-E181*C181,2)))</f>
        <v/>
      </c>
      <c r="AD181" s="17" t="n"/>
    </row>
    <row r="182">
      <c r="A182" s="227" t="n"/>
      <c r="B182" s="228" t="n"/>
      <c r="C182" s="229" t="n"/>
      <c r="D182" s="225">
        <f>IF(AND(A182="",A181&lt;&gt;"",COUNTIF(A183:$A$200,"&lt;&gt;")=0),ROUND(SUMIF($A$2:A181,"&lt;&gt;",$D$2:D181),2),IF(OR(A182="",B182="",C182=""),"",ROUND(B182*C182,2)))</f>
        <v/>
      </c>
      <c r="E182" s="230" t="n"/>
      <c r="F182" s="225">
        <f>IF(AND(A182="",A181&lt;&gt;"",COUNTIF(A183:$A$200,"&lt;&gt;")=0),ROUND(SUMIF($A$2:A181,"&lt;&gt;",$F$2:F181),2),IF(OR(A182="",E182="",C182="",NOT(ISNUMBER($Z$3))),"",ROUND(E182*C182*$Z$3,2)))</f>
        <v/>
      </c>
      <c r="G182" s="230" t="n"/>
      <c r="H182" s="225">
        <f>IF(AND(A182="",A181&lt;&gt;"",COUNTIF(A183:$A$200,"&lt;&gt;")=0),ROUND(SUMIF($A$2:A181,"&lt;&gt;",$H$2:H181),2),IF(OR(A182="",G182="",C182="",NOT(ISNUMBER($Z$4))),"",ROUND(G182*C182*$Z$4,2)))</f>
        <v/>
      </c>
      <c r="I182" s="230" t="n"/>
      <c r="J182" s="225">
        <f>IF(AND(A182="",A181&lt;&gt;"",COUNTIF(A183:$A$200,"&lt;&gt;")=0),ROUND(SUMIF($A$2:A181,"&lt;&gt;",$J$2:J181),2),IF(OR(A182="",I182="",C182="",NOT(ISNUMBER($Z$5))),"",ROUND(I182*C182*$Z$5,2)))</f>
        <v/>
      </c>
      <c r="K182" s="230" t="n"/>
      <c r="L182" s="225">
        <f>IF(AND(A182="",A181&lt;&gt;"",COUNTIF(A183:$A$200,"&lt;&gt;")=0),ROUND(SUMIF($A$2:A181,"&lt;&gt;",$L$2:L181),2),IF(OR(A182="",K182="",C182="",NOT(ISNUMBER($Z$6))),"",ROUND(K182*C182*$Z$6,2)))</f>
        <v/>
      </c>
      <c r="M182" s="231">
        <f>IF(OR(E182="",G182=""),"",ROUND(MAX(E182-G182,0),2))</f>
        <v/>
      </c>
      <c r="N182" s="225">
        <f>IF(AND(A182="",A181&lt;&gt;"",COUNTIF(A183:$A$200,"&lt;&gt;")=0),ROUND(SUMIF($A$2:A181,"&lt;&gt;",$N$2:N181),2),IF(OR(M182="",C182="",NOT(ISNUMBER($Z$3))),"",ROUND(M182*C182*$Z$3,2)))</f>
        <v/>
      </c>
      <c r="O182" s="231">
        <f>IF(OR(G182="",I182=""),"",ROUND(MAX(G182-I182,0),2))</f>
        <v/>
      </c>
      <c r="P182" s="225">
        <f>IF(AND(A182="",A181&lt;&gt;"",COUNTIF(A183:$A$200,"&lt;&gt;")=0),ROUND(SUMIF($A$2:A181,"&lt;&gt;",$P$2:P181),2),IF(OR(O182="",C182="",NOT(ISNUMBER($Z$4))),"",ROUND(O182*C182*$Z$4,2)))</f>
        <v/>
      </c>
      <c r="Q182" s="231">
        <f>IF(OR(I182="",K182=""),"",ROUND(MAX(I182-K182,0),2))</f>
        <v/>
      </c>
      <c r="R182" s="225">
        <f>IF(AND(A182="",A181&lt;&gt;"",COUNTIF(A183:$A$200,"&lt;&gt;")=0),ROUND(SUMIF($A$2:A181,"&lt;&gt;",$R$2:R181),2),IF(OR(Q182="",C182="",NOT(ISNUMBER($Z$5))),"",ROUND(Q182*C182*$Z$5,2)))</f>
        <v/>
      </c>
      <c r="S182" s="112" t="n"/>
      <c r="T182" s="245" t="n"/>
      <c r="U182" s="233">
        <f>IF(AND(A182="",A181&lt;&gt;"",COUNTIF(A183:$A$200,"&lt;&gt;")=0),"TOTAL",IF(A182="","",IF(AND(G182&lt;&gt;"",E182&lt;&gt;"",G182&gt;E182),"ALERTA: REM_C2&gt;REM_C1",IF(AND(I182&lt;&gt;"",G182&lt;&gt;"",I182&gt;G182),"ALERTA: REM_C3&gt;REM_C2",IF(AND(K182&lt;&gt;"",I182&lt;&gt;"",K182&gt;I182),"ALERTA: REM_C4&gt;REM_C3","OK")))))</f>
        <v/>
      </c>
      <c r="V182" s="233">
        <f>IF(A182="","",IF(B182="","",IF(OR(B182&lt;0,E182&gt;B182,G182&gt;B182,I182&gt;B182,K182&gt;B182),"ALERTA: QTD_INVALIDA","OK")))</f>
        <v/>
      </c>
      <c r="W182" s="17" t="n"/>
      <c r="X182" s="17" t="n"/>
      <c r="Y182" s="17" t="n"/>
      <c r="Z182" s="17" t="n"/>
      <c r="AA182" s="17" t="n"/>
      <c r="AB182" s="231">
        <f>IF(OR(A182="",E182=""),"",ROUND(B182-E182,2))</f>
        <v/>
      </c>
      <c r="AC182" s="225">
        <f>IF(AND(A182="",A181&lt;&gt;"",COUNTIF(A183:$A$200,"&lt;&gt;")=0),ROUND(SUMIF($A$2:A181,"&lt;&gt;",$AC$2:AC181),2),IF(OR(A182="",E182=""),"",ROUND(D182-E182*C182,2)))</f>
        <v/>
      </c>
      <c r="AD182" s="17" t="n"/>
    </row>
    <row r="183">
      <c r="A183" s="227" t="n"/>
      <c r="B183" s="228" t="n"/>
      <c r="C183" s="229" t="n"/>
      <c r="D183" s="225">
        <f>IF(AND(A183="",A182&lt;&gt;"",COUNTIF(A184:$A$200,"&lt;&gt;")=0),ROUND(SUMIF($A$2:A182,"&lt;&gt;",$D$2:D182),2),IF(OR(A183="",B183="",C183=""),"",ROUND(B183*C183,2)))</f>
        <v/>
      </c>
      <c r="E183" s="230" t="n"/>
      <c r="F183" s="225">
        <f>IF(AND(A183="",A182&lt;&gt;"",COUNTIF(A184:$A$200,"&lt;&gt;")=0),ROUND(SUMIF($A$2:A182,"&lt;&gt;",$F$2:F182),2),IF(OR(A183="",E183="",C183="",NOT(ISNUMBER($Z$3))),"",ROUND(E183*C183*$Z$3,2)))</f>
        <v/>
      </c>
      <c r="G183" s="230" t="n"/>
      <c r="H183" s="225">
        <f>IF(AND(A183="",A182&lt;&gt;"",COUNTIF(A184:$A$200,"&lt;&gt;")=0),ROUND(SUMIF($A$2:A182,"&lt;&gt;",$H$2:H182),2),IF(OR(A183="",G183="",C183="",NOT(ISNUMBER($Z$4))),"",ROUND(G183*C183*$Z$4,2)))</f>
        <v/>
      </c>
      <c r="I183" s="230" t="n"/>
      <c r="J183" s="225">
        <f>IF(AND(A183="",A182&lt;&gt;"",COUNTIF(A184:$A$200,"&lt;&gt;")=0),ROUND(SUMIF($A$2:A182,"&lt;&gt;",$J$2:J182),2),IF(OR(A183="",I183="",C183="",NOT(ISNUMBER($Z$5))),"",ROUND(I183*C183*$Z$5,2)))</f>
        <v/>
      </c>
      <c r="K183" s="230" t="n"/>
      <c r="L183" s="225">
        <f>IF(AND(A183="",A182&lt;&gt;"",COUNTIF(A184:$A$200,"&lt;&gt;")=0),ROUND(SUMIF($A$2:A182,"&lt;&gt;",$L$2:L182),2),IF(OR(A183="",K183="",C183="",NOT(ISNUMBER($Z$6))),"",ROUND(K183*C183*$Z$6,2)))</f>
        <v/>
      </c>
      <c r="M183" s="231">
        <f>IF(OR(E183="",G183=""),"",ROUND(MAX(E183-G183,0),2))</f>
        <v/>
      </c>
      <c r="N183" s="225">
        <f>IF(AND(A183="",A182&lt;&gt;"",COUNTIF(A184:$A$200,"&lt;&gt;")=0),ROUND(SUMIF($A$2:A182,"&lt;&gt;",$N$2:N182),2),IF(OR(M183="",C183="",NOT(ISNUMBER($Z$3))),"",ROUND(M183*C183*$Z$3,2)))</f>
        <v/>
      </c>
      <c r="O183" s="231">
        <f>IF(OR(G183="",I183=""),"",ROUND(MAX(G183-I183,0),2))</f>
        <v/>
      </c>
      <c r="P183" s="225">
        <f>IF(AND(A183="",A182&lt;&gt;"",COUNTIF(A184:$A$200,"&lt;&gt;")=0),ROUND(SUMIF($A$2:A182,"&lt;&gt;",$P$2:P182),2),IF(OR(O183="",C183="",NOT(ISNUMBER($Z$4))),"",ROUND(O183*C183*$Z$4,2)))</f>
        <v/>
      </c>
      <c r="Q183" s="231">
        <f>IF(OR(I183="",K183=""),"",ROUND(MAX(I183-K183,0),2))</f>
        <v/>
      </c>
      <c r="R183" s="225">
        <f>IF(AND(A183="",A182&lt;&gt;"",COUNTIF(A184:$A$200,"&lt;&gt;")=0),ROUND(SUMIF($A$2:A182,"&lt;&gt;",$R$2:R182),2),IF(OR(Q183="",C183="",NOT(ISNUMBER($Z$5))),"",ROUND(Q183*C183*$Z$5,2)))</f>
        <v/>
      </c>
      <c r="S183" s="112" t="n"/>
      <c r="T183" s="245" t="n"/>
      <c r="U183" s="233">
        <f>IF(AND(A183="",A182&lt;&gt;"",COUNTIF(A184:$A$200,"&lt;&gt;")=0),"TOTAL",IF(A183="","",IF(AND(G183&lt;&gt;"",E183&lt;&gt;"",G183&gt;E183),"ALERTA: REM_C2&gt;REM_C1",IF(AND(I183&lt;&gt;"",G183&lt;&gt;"",I183&gt;G183),"ALERTA: REM_C3&gt;REM_C2",IF(AND(K183&lt;&gt;"",I183&lt;&gt;"",K183&gt;I183),"ALERTA: REM_C4&gt;REM_C3","OK")))))</f>
        <v/>
      </c>
      <c r="V183" s="233">
        <f>IF(A183="","",IF(B183="","",IF(OR(B183&lt;0,E183&gt;B183,G183&gt;B183,I183&gt;B183,K183&gt;B183),"ALERTA: QTD_INVALIDA","OK")))</f>
        <v/>
      </c>
      <c r="W183" s="17" t="n"/>
      <c r="X183" s="17" t="n"/>
      <c r="Y183" s="17" t="n"/>
      <c r="Z183" s="17" t="n"/>
      <c r="AA183" s="17" t="n"/>
      <c r="AB183" s="231">
        <f>IF(OR(A183="",E183=""),"",ROUND(B183-E183,2))</f>
        <v/>
      </c>
      <c r="AC183" s="225">
        <f>IF(AND(A183="",A182&lt;&gt;"",COUNTIF(A184:$A$200,"&lt;&gt;")=0),ROUND(SUMIF($A$2:A182,"&lt;&gt;",$AC$2:AC182),2),IF(OR(A183="",E183=""),"",ROUND(D183-E183*C183,2)))</f>
        <v/>
      </c>
      <c r="AD183" s="17" t="n"/>
    </row>
    <row r="184">
      <c r="A184" s="227" t="n"/>
      <c r="B184" s="228" t="n"/>
      <c r="C184" s="229" t="n"/>
      <c r="D184" s="225">
        <f>IF(AND(A184="",A183&lt;&gt;"",COUNTIF(A185:$A$200,"&lt;&gt;")=0),ROUND(SUMIF($A$2:A183,"&lt;&gt;",$D$2:D183),2),IF(OR(A184="",B184="",C184=""),"",ROUND(B184*C184,2)))</f>
        <v/>
      </c>
      <c r="E184" s="230" t="n"/>
      <c r="F184" s="225">
        <f>IF(AND(A184="",A183&lt;&gt;"",COUNTIF(A185:$A$200,"&lt;&gt;")=0),ROUND(SUMIF($A$2:A183,"&lt;&gt;",$F$2:F183),2),IF(OR(A184="",E184="",C184="",NOT(ISNUMBER($Z$3))),"",ROUND(E184*C184*$Z$3,2)))</f>
        <v/>
      </c>
      <c r="G184" s="230" t="n"/>
      <c r="H184" s="225">
        <f>IF(AND(A184="",A183&lt;&gt;"",COUNTIF(A185:$A$200,"&lt;&gt;")=0),ROUND(SUMIF($A$2:A183,"&lt;&gt;",$H$2:H183),2),IF(OR(A184="",G184="",C184="",NOT(ISNUMBER($Z$4))),"",ROUND(G184*C184*$Z$4,2)))</f>
        <v/>
      </c>
      <c r="I184" s="230" t="n"/>
      <c r="J184" s="225">
        <f>IF(AND(A184="",A183&lt;&gt;"",COUNTIF(A185:$A$200,"&lt;&gt;")=0),ROUND(SUMIF($A$2:A183,"&lt;&gt;",$J$2:J183),2),IF(OR(A184="",I184="",C184="",NOT(ISNUMBER($Z$5))),"",ROUND(I184*C184*$Z$5,2)))</f>
        <v/>
      </c>
      <c r="K184" s="230" t="n"/>
      <c r="L184" s="225">
        <f>IF(AND(A184="",A183&lt;&gt;"",COUNTIF(A185:$A$200,"&lt;&gt;")=0),ROUND(SUMIF($A$2:A183,"&lt;&gt;",$L$2:L183),2),IF(OR(A184="",K184="",C184="",NOT(ISNUMBER($Z$6))),"",ROUND(K184*C184*$Z$6,2)))</f>
        <v/>
      </c>
      <c r="M184" s="231">
        <f>IF(OR(E184="",G184=""),"",ROUND(MAX(E184-G184,0),2))</f>
        <v/>
      </c>
      <c r="N184" s="225">
        <f>IF(AND(A184="",A183&lt;&gt;"",COUNTIF(A185:$A$200,"&lt;&gt;")=0),ROUND(SUMIF($A$2:A183,"&lt;&gt;",$N$2:N183),2),IF(OR(M184="",C184="",NOT(ISNUMBER($Z$3))),"",ROUND(M184*C184*$Z$3,2)))</f>
        <v/>
      </c>
      <c r="O184" s="231">
        <f>IF(OR(G184="",I184=""),"",ROUND(MAX(G184-I184,0),2))</f>
        <v/>
      </c>
      <c r="P184" s="225">
        <f>IF(AND(A184="",A183&lt;&gt;"",COUNTIF(A185:$A$200,"&lt;&gt;")=0),ROUND(SUMIF($A$2:A183,"&lt;&gt;",$P$2:P183),2),IF(OR(O184="",C184="",NOT(ISNUMBER($Z$4))),"",ROUND(O184*C184*$Z$4,2)))</f>
        <v/>
      </c>
      <c r="Q184" s="231">
        <f>IF(OR(I184="",K184=""),"",ROUND(MAX(I184-K184,0),2))</f>
        <v/>
      </c>
      <c r="R184" s="225">
        <f>IF(AND(A184="",A183&lt;&gt;"",COUNTIF(A185:$A$200,"&lt;&gt;")=0),ROUND(SUMIF($A$2:A183,"&lt;&gt;",$R$2:R183),2),IF(OR(Q184="",C184="",NOT(ISNUMBER($Z$5))),"",ROUND(Q184*C184*$Z$5,2)))</f>
        <v/>
      </c>
      <c r="S184" s="112" t="n"/>
      <c r="T184" s="245" t="n"/>
      <c r="U184" s="233">
        <f>IF(AND(A184="",A183&lt;&gt;"",COUNTIF(A185:$A$200,"&lt;&gt;")=0),"TOTAL",IF(A184="","",IF(AND(G184&lt;&gt;"",E184&lt;&gt;"",G184&gt;E184),"ALERTA: REM_C2&gt;REM_C1",IF(AND(I184&lt;&gt;"",G184&lt;&gt;"",I184&gt;G184),"ALERTA: REM_C3&gt;REM_C2",IF(AND(K184&lt;&gt;"",I184&lt;&gt;"",K184&gt;I184),"ALERTA: REM_C4&gt;REM_C3","OK")))))</f>
        <v/>
      </c>
      <c r="V184" s="233">
        <f>IF(A184="","",IF(B184="","",IF(OR(B184&lt;0,E184&gt;B184,G184&gt;B184,I184&gt;B184,K184&gt;B184),"ALERTA: QTD_INVALIDA","OK")))</f>
        <v/>
      </c>
      <c r="W184" s="17" t="n"/>
      <c r="X184" s="17" t="n"/>
      <c r="Y184" s="17" t="n"/>
      <c r="Z184" s="17" t="n"/>
      <c r="AA184" s="17" t="n"/>
      <c r="AB184" s="231">
        <f>IF(OR(A184="",E184=""),"",ROUND(B184-E184,2))</f>
        <v/>
      </c>
      <c r="AC184" s="225">
        <f>IF(AND(A184="",A183&lt;&gt;"",COUNTIF(A185:$A$200,"&lt;&gt;")=0),ROUND(SUMIF($A$2:A183,"&lt;&gt;",$AC$2:AC183),2),IF(OR(A184="",E184=""),"",ROUND(D184-E184*C184,2)))</f>
        <v/>
      </c>
      <c r="AD184" s="17" t="n"/>
    </row>
    <row r="185">
      <c r="A185" s="227" t="n"/>
      <c r="B185" s="228" t="n"/>
      <c r="C185" s="229" t="n"/>
      <c r="D185" s="225">
        <f>IF(AND(A185="",A184&lt;&gt;"",COUNTIF(A186:$A$200,"&lt;&gt;")=0),ROUND(SUMIF($A$2:A184,"&lt;&gt;",$D$2:D184),2),IF(OR(A185="",B185="",C185=""),"",ROUND(B185*C185,2)))</f>
        <v/>
      </c>
      <c r="E185" s="230" t="n"/>
      <c r="F185" s="225">
        <f>IF(AND(A185="",A184&lt;&gt;"",COUNTIF(A186:$A$200,"&lt;&gt;")=0),ROUND(SUMIF($A$2:A184,"&lt;&gt;",$F$2:F184),2),IF(OR(A185="",E185="",C185="",NOT(ISNUMBER($Z$3))),"",ROUND(E185*C185*$Z$3,2)))</f>
        <v/>
      </c>
      <c r="G185" s="230" t="n"/>
      <c r="H185" s="225">
        <f>IF(AND(A185="",A184&lt;&gt;"",COUNTIF(A186:$A$200,"&lt;&gt;")=0),ROUND(SUMIF($A$2:A184,"&lt;&gt;",$H$2:H184),2),IF(OR(A185="",G185="",C185="",NOT(ISNUMBER($Z$4))),"",ROUND(G185*C185*$Z$4,2)))</f>
        <v/>
      </c>
      <c r="I185" s="230" t="n"/>
      <c r="J185" s="225">
        <f>IF(AND(A185="",A184&lt;&gt;"",COUNTIF(A186:$A$200,"&lt;&gt;")=0),ROUND(SUMIF($A$2:A184,"&lt;&gt;",$J$2:J184),2),IF(OR(A185="",I185="",C185="",NOT(ISNUMBER($Z$5))),"",ROUND(I185*C185*$Z$5,2)))</f>
        <v/>
      </c>
      <c r="K185" s="230" t="n"/>
      <c r="L185" s="225">
        <f>IF(AND(A185="",A184&lt;&gt;"",COUNTIF(A186:$A$200,"&lt;&gt;")=0),ROUND(SUMIF($A$2:A184,"&lt;&gt;",$L$2:L184),2),IF(OR(A185="",K185="",C185="",NOT(ISNUMBER($Z$6))),"",ROUND(K185*C185*$Z$6,2)))</f>
        <v/>
      </c>
      <c r="M185" s="231">
        <f>IF(OR(E185="",G185=""),"",ROUND(MAX(E185-G185,0),2))</f>
        <v/>
      </c>
      <c r="N185" s="225">
        <f>IF(AND(A185="",A184&lt;&gt;"",COUNTIF(A186:$A$200,"&lt;&gt;")=0),ROUND(SUMIF($A$2:A184,"&lt;&gt;",$N$2:N184),2),IF(OR(M185="",C185="",NOT(ISNUMBER($Z$3))),"",ROUND(M185*C185*$Z$3,2)))</f>
        <v/>
      </c>
      <c r="O185" s="231">
        <f>IF(OR(G185="",I185=""),"",ROUND(MAX(G185-I185,0),2))</f>
        <v/>
      </c>
      <c r="P185" s="225">
        <f>IF(AND(A185="",A184&lt;&gt;"",COUNTIF(A186:$A$200,"&lt;&gt;")=0),ROUND(SUMIF($A$2:A184,"&lt;&gt;",$P$2:P184),2),IF(OR(O185="",C185="",NOT(ISNUMBER($Z$4))),"",ROUND(O185*C185*$Z$4,2)))</f>
        <v/>
      </c>
      <c r="Q185" s="231">
        <f>IF(OR(I185="",K185=""),"",ROUND(MAX(I185-K185,0),2))</f>
        <v/>
      </c>
      <c r="R185" s="225">
        <f>IF(AND(A185="",A184&lt;&gt;"",COUNTIF(A186:$A$200,"&lt;&gt;")=0),ROUND(SUMIF($A$2:A184,"&lt;&gt;",$R$2:R184),2),IF(OR(Q185="",C185="",NOT(ISNUMBER($Z$5))),"",ROUND(Q185*C185*$Z$5,2)))</f>
        <v/>
      </c>
      <c r="S185" s="112" t="n"/>
      <c r="T185" s="245" t="n"/>
      <c r="U185" s="233">
        <f>IF(AND(A185="",A184&lt;&gt;"",COUNTIF(A186:$A$200,"&lt;&gt;")=0),"TOTAL",IF(A185="","",IF(AND(G185&lt;&gt;"",E185&lt;&gt;"",G185&gt;E185),"ALERTA: REM_C2&gt;REM_C1",IF(AND(I185&lt;&gt;"",G185&lt;&gt;"",I185&gt;G185),"ALERTA: REM_C3&gt;REM_C2",IF(AND(K185&lt;&gt;"",I185&lt;&gt;"",K185&gt;I185),"ALERTA: REM_C4&gt;REM_C3","OK")))))</f>
        <v/>
      </c>
      <c r="V185" s="233">
        <f>IF(A185="","",IF(B185="","",IF(OR(B185&lt;0,E185&gt;B185,G185&gt;B185,I185&gt;B185,K185&gt;B185),"ALERTA: QTD_INVALIDA","OK")))</f>
        <v/>
      </c>
      <c r="W185" s="17" t="n"/>
      <c r="X185" s="17" t="n"/>
      <c r="Y185" s="17" t="n"/>
      <c r="Z185" s="17" t="n"/>
      <c r="AA185" s="17" t="n"/>
      <c r="AB185" s="231">
        <f>IF(OR(A185="",E185=""),"",ROUND(B185-E185,2))</f>
        <v/>
      </c>
      <c r="AC185" s="225">
        <f>IF(AND(A185="",A184&lt;&gt;"",COUNTIF(A186:$A$200,"&lt;&gt;")=0),ROUND(SUMIF($A$2:A184,"&lt;&gt;",$AC$2:AC184),2),IF(OR(A185="",E185=""),"",ROUND(D185-E185*C185,2)))</f>
        <v/>
      </c>
      <c r="AD185" s="17" t="n"/>
    </row>
    <row r="186">
      <c r="A186" s="227" t="n"/>
      <c r="B186" s="228" t="n"/>
      <c r="C186" s="229" t="n"/>
      <c r="D186" s="225">
        <f>IF(AND(A186="",A185&lt;&gt;"",COUNTIF(A187:$A$200,"&lt;&gt;")=0),ROUND(SUMIF($A$2:A185,"&lt;&gt;",$D$2:D185),2),IF(OR(A186="",B186="",C186=""),"",ROUND(B186*C186,2)))</f>
        <v/>
      </c>
      <c r="E186" s="230" t="n"/>
      <c r="F186" s="225">
        <f>IF(AND(A186="",A185&lt;&gt;"",COUNTIF(A187:$A$200,"&lt;&gt;")=0),ROUND(SUMIF($A$2:A185,"&lt;&gt;",$F$2:F185),2),IF(OR(A186="",E186="",C186="",NOT(ISNUMBER($Z$3))),"",ROUND(E186*C186*$Z$3,2)))</f>
        <v/>
      </c>
      <c r="G186" s="230" t="n"/>
      <c r="H186" s="225">
        <f>IF(AND(A186="",A185&lt;&gt;"",COUNTIF(A187:$A$200,"&lt;&gt;")=0),ROUND(SUMIF($A$2:A185,"&lt;&gt;",$H$2:H185),2),IF(OR(A186="",G186="",C186="",NOT(ISNUMBER($Z$4))),"",ROUND(G186*C186*$Z$4,2)))</f>
        <v/>
      </c>
      <c r="I186" s="230" t="n"/>
      <c r="J186" s="225">
        <f>IF(AND(A186="",A185&lt;&gt;"",COUNTIF(A187:$A$200,"&lt;&gt;")=0),ROUND(SUMIF($A$2:A185,"&lt;&gt;",$J$2:J185),2),IF(OR(A186="",I186="",C186="",NOT(ISNUMBER($Z$5))),"",ROUND(I186*C186*$Z$5,2)))</f>
        <v/>
      </c>
      <c r="K186" s="230" t="n"/>
      <c r="L186" s="225">
        <f>IF(AND(A186="",A185&lt;&gt;"",COUNTIF(A187:$A$200,"&lt;&gt;")=0),ROUND(SUMIF($A$2:A185,"&lt;&gt;",$L$2:L185),2),IF(OR(A186="",K186="",C186="",NOT(ISNUMBER($Z$6))),"",ROUND(K186*C186*$Z$6,2)))</f>
        <v/>
      </c>
      <c r="M186" s="231">
        <f>IF(OR(E186="",G186=""),"",ROUND(MAX(E186-G186,0),2))</f>
        <v/>
      </c>
      <c r="N186" s="225">
        <f>IF(AND(A186="",A185&lt;&gt;"",COUNTIF(A187:$A$200,"&lt;&gt;")=0),ROUND(SUMIF($A$2:A185,"&lt;&gt;",$N$2:N185),2),IF(OR(M186="",C186="",NOT(ISNUMBER($Z$3))),"",ROUND(M186*C186*$Z$3,2)))</f>
        <v/>
      </c>
      <c r="O186" s="231">
        <f>IF(OR(G186="",I186=""),"",ROUND(MAX(G186-I186,0),2))</f>
        <v/>
      </c>
      <c r="P186" s="225">
        <f>IF(AND(A186="",A185&lt;&gt;"",COUNTIF(A187:$A$200,"&lt;&gt;")=0),ROUND(SUMIF($A$2:A185,"&lt;&gt;",$P$2:P185),2),IF(OR(O186="",C186="",NOT(ISNUMBER($Z$4))),"",ROUND(O186*C186*$Z$4,2)))</f>
        <v/>
      </c>
      <c r="Q186" s="231">
        <f>IF(OR(I186="",K186=""),"",ROUND(MAX(I186-K186,0),2))</f>
        <v/>
      </c>
      <c r="R186" s="225">
        <f>IF(AND(A186="",A185&lt;&gt;"",COUNTIF(A187:$A$200,"&lt;&gt;")=0),ROUND(SUMIF($A$2:A185,"&lt;&gt;",$R$2:R185),2),IF(OR(Q186="",C186="",NOT(ISNUMBER($Z$5))),"",ROUND(Q186*C186*$Z$5,2)))</f>
        <v/>
      </c>
      <c r="S186" s="112" t="n"/>
      <c r="T186" s="245" t="n"/>
      <c r="U186" s="233">
        <f>IF(AND(A186="",A185&lt;&gt;"",COUNTIF(A187:$A$200,"&lt;&gt;")=0),"TOTAL",IF(A186="","",IF(AND(G186&lt;&gt;"",E186&lt;&gt;"",G186&gt;E186),"ALERTA: REM_C2&gt;REM_C1",IF(AND(I186&lt;&gt;"",G186&lt;&gt;"",I186&gt;G186),"ALERTA: REM_C3&gt;REM_C2",IF(AND(K186&lt;&gt;"",I186&lt;&gt;"",K186&gt;I186),"ALERTA: REM_C4&gt;REM_C3","OK")))))</f>
        <v/>
      </c>
      <c r="V186" s="233">
        <f>IF(A186="","",IF(B186="","",IF(OR(B186&lt;0,E186&gt;B186,G186&gt;B186,I186&gt;B186,K186&gt;B186),"ALERTA: QTD_INVALIDA","OK")))</f>
        <v/>
      </c>
      <c r="W186" s="17" t="n"/>
      <c r="X186" s="17" t="n"/>
      <c r="Y186" s="17" t="n"/>
      <c r="Z186" s="17" t="n"/>
      <c r="AA186" s="17" t="n"/>
      <c r="AB186" s="231">
        <f>IF(OR(A186="",E186=""),"",ROUND(B186-E186,2))</f>
        <v/>
      </c>
      <c r="AC186" s="225">
        <f>IF(AND(A186="",A185&lt;&gt;"",COUNTIF(A187:$A$200,"&lt;&gt;")=0),ROUND(SUMIF($A$2:A185,"&lt;&gt;",$AC$2:AC185),2),IF(OR(A186="",E186=""),"",ROUND(D186-E186*C186,2)))</f>
        <v/>
      </c>
      <c r="AD186" s="17" t="n"/>
    </row>
    <row r="187">
      <c r="A187" s="227" t="n"/>
      <c r="B187" s="228" t="n"/>
      <c r="C187" s="229" t="n"/>
      <c r="D187" s="225">
        <f>IF(AND(A187="",A186&lt;&gt;"",COUNTIF(A188:$A$200,"&lt;&gt;")=0),ROUND(SUMIF($A$2:A186,"&lt;&gt;",$D$2:D186),2),IF(OR(A187="",B187="",C187=""),"",ROUND(B187*C187,2)))</f>
        <v/>
      </c>
      <c r="E187" s="230" t="n"/>
      <c r="F187" s="225">
        <f>IF(AND(A187="",A186&lt;&gt;"",COUNTIF(A188:$A$200,"&lt;&gt;")=0),ROUND(SUMIF($A$2:A186,"&lt;&gt;",$F$2:F186),2),IF(OR(A187="",E187="",C187="",NOT(ISNUMBER($Z$3))),"",ROUND(E187*C187*$Z$3,2)))</f>
        <v/>
      </c>
      <c r="G187" s="230" t="n"/>
      <c r="H187" s="225">
        <f>IF(AND(A187="",A186&lt;&gt;"",COUNTIF(A188:$A$200,"&lt;&gt;")=0),ROUND(SUMIF($A$2:A186,"&lt;&gt;",$H$2:H186),2),IF(OR(A187="",G187="",C187="",NOT(ISNUMBER($Z$4))),"",ROUND(G187*C187*$Z$4,2)))</f>
        <v/>
      </c>
      <c r="I187" s="230" t="n"/>
      <c r="J187" s="225">
        <f>IF(AND(A187="",A186&lt;&gt;"",COUNTIF(A188:$A$200,"&lt;&gt;")=0),ROUND(SUMIF($A$2:A186,"&lt;&gt;",$J$2:J186),2),IF(OR(A187="",I187="",C187="",NOT(ISNUMBER($Z$5))),"",ROUND(I187*C187*$Z$5,2)))</f>
        <v/>
      </c>
      <c r="K187" s="230" t="n"/>
      <c r="L187" s="225">
        <f>IF(AND(A187="",A186&lt;&gt;"",COUNTIF(A188:$A$200,"&lt;&gt;")=0),ROUND(SUMIF($A$2:A186,"&lt;&gt;",$L$2:L186),2),IF(OR(A187="",K187="",C187="",NOT(ISNUMBER($Z$6))),"",ROUND(K187*C187*$Z$6,2)))</f>
        <v/>
      </c>
      <c r="M187" s="231">
        <f>IF(OR(E187="",G187=""),"",ROUND(MAX(E187-G187,0),2))</f>
        <v/>
      </c>
      <c r="N187" s="225">
        <f>IF(AND(A187="",A186&lt;&gt;"",COUNTIF(A188:$A$200,"&lt;&gt;")=0),ROUND(SUMIF($A$2:A186,"&lt;&gt;",$N$2:N186),2),IF(OR(M187="",C187="",NOT(ISNUMBER($Z$3))),"",ROUND(M187*C187*$Z$3,2)))</f>
        <v/>
      </c>
      <c r="O187" s="231">
        <f>IF(OR(G187="",I187=""),"",ROUND(MAX(G187-I187,0),2))</f>
        <v/>
      </c>
      <c r="P187" s="225">
        <f>IF(AND(A187="",A186&lt;&gt;"",COUNTIF(A188:$A$200,"&lt;&gt;")=0),ROUND(SUMIF($A$2:A186,"&lt;&gt;",$P$2:P186),2),IF(OR(O187="",C187="",NOT(ISNUMBER($Z$4))),"",ROUND(O187*C187*$Z$4,2)))</f>
        <v/>
      </c>
      <c r="Q187" s="231">
        <f>IF(OR(I187="",K187=""),"",ROUND(MAX(I187-K187,0),2))</f>
        <v/>
      </c>
      <c r="R187" s="225">
        <f>IF(AND(A187="",A186&lt;&gt;"",COUNTIF(A188:$A$200,"&lt;&gt;")=0),ROUND(SUMIF($A$2:A186,"&lt;&gt;",$R$2:R186),2),IF(OR(Q187="",C187="",NOT(ISNUMBER($Z$5))),"",ROUND(Q187*C187*$Z$5,2)))</f>
        <v/>
      </c>
      <c r="S187" s="112" t="n"/>
      <c r="T187" s="245" t="n"/>
      <c r="U187" s="233">
        <f>IF(AND(A187="",A186&lt;&gt;"",COUNTIF(A188:$A$200,"&lt;&gt;")=0),"TOTAL",IF(A187="","",IF(AND(G187&lt;&gt;"",E187&lt;&gt;"",G187&gt;E187),"ALERTA: REM_C2&gt;REM_C1",IF(AND(I187&lt;&gt;"",G187&lt;&gt;"",I187&gt;G187),"ALERTA: REM_C3&gt;REM_C2",IF(AND(K187&lt;&gt;"",I187&lt;&gt;"",K187&gt;I187),"ALERTA: REM_C4&gt;REM_C3","OK")))))</f>
        <v/>
      </c>
      <c r="V187" s="233">
        <f>IF(A187="","",IF(B187="","",IF(OR(B187&lt;0,E187&gt;B187,G187&gt;B187,I187&gt;B187,K187&gt;B187),"ALERTA: QTD_INVALIDA","OK")))</f>
        <v/>
      </c>
      <c r="W187" s="17" t="n"/>
      <c r="X187" s="17" t="n"/>
      <c r="Y187" s="17" t="n"/>
      <c r="Z187" s="17" t="n"/>
      <c r="AA187" s="17" t="n"/>
      <c r="AB187" s="231">
        <f>IF(OR(A187="",E187=""),"",ROUND(B187-E187,2))</f>
        <v/>
      </c>
      <c r="AC187" s="225">
        <f>IF(AND(A187="",A186&lt;&gt;"",COUNTIF(A188:$A$200,"&lt;&gt;")=0),ROUND(SUMIF($A$2:A186,"&lt;&gt;",$AC$2:AC186),2),IF(OR(A187="",E187=""),"",ROUND(D187-E187*C187,2)))</f>
        <v/>
      </c>
      <c r="AD187" s="17" t="n"/>
    </row>
    <row r="188">
      <c r="A188" s="227" t="n"/>
      <c r="B188" s="228" t="n"/>
      <c r="C188" s="229" t="n"/>
      <c r="D188" s="225">
        <f>IF(AND(A188="",A187&lt;&gt;"",COUNTIF(A189:$A$200,"&lt;&gt;")=0),ROUND(SUMIF($A$2:A187,"&lt;&gt;",$D$2:D187),2),IF(OR(A188="",B188="",C188=""),"",ROUND(B188*C188,2)))</f>
        <v/>
      </c>
      <c r="E188" s="230" t="n"/>
      <c r="F188" s="225">
        <f>IF(AND(A188="",A187&lt;&gt;"",COUNTIF(A189:$A$200,"&lt;&gt;")=0),ROUND(SUMIF($A$2:A187,"&lt;&gt;",$F$2:F187),2),IF(OR(A188="",E188="",C188="",NOT(ISNUMBER($Z$3))),"",ROUND(E188*C188*$Z$3,2)))</f>
        <v/>
      </c>
      <c r="G188" s="230" t="n"/>
      <c r="H188" s="225">
        <f>IF(AND(A188="",A187&lt;&gt;"",COUNTIF(A189:$A$200,"&lt;&gt;")=0),ROUND(SUMIF($A$2:A187,"&lt;&gt;",$H$2:H187),2),IF(OR(A188="",G188="",C188="",NOT(ISNUMBER($Z$4))),"",ROUND(G188*C188*$Z$4,2)))</f>
        <v/>
      </c>
      <c r="I188" s="230" t="n"/>
      <c r="J188" s="225">
        <f>IF(AND(A188="",A187&lt;&gt;"",COUNTIF(A189:$A$200,"&lt;&gt;")=0),ROUND(SUMIF($A$2:A187,"&lt;&gt;",$J$2:J187),2),IF(OR(A188="",I188="",C188="",NOT(ISNUMBER($Z$5))),"",ROUND(I188*C188*$Z$5,2)))</f>
        <v/>
      </c>
      <c r="K188" s="230" t="n"/>
      <c r="L188" s="225">
        <f>IF(AND(A188="",A187&lt;&gt;"",COUNTIF(A189:$A$200,"&lt;&gt;")=0),ROUND(SUMIF($A$2:A187,"&lt;&gt;",$L$2:L187),2),IF(OR(A188="",K188="",C188="",NOT(ISNUMBER($Z$6))),"",ROUND(K188*C188*$Z$6,2)))</f>
        <v/>
      </c>
      <c r="M188" s="231">
        <f>IF(OR(E188="",G188=""),"",ROUND(MAX(E188-G188,0),2))</f>
        <v/>
      </c>
      <c r="N188" s="225">
        <f>IF(AND(A188="",A187&lt;&gt;"",COUNTIF(A189:$A$200,"&lt;&gt;")=0),ROUND(SUMIF($A$2:A187,"&lt;&gt;",$N$2:N187),2),IF(OR(M188="",C188="",NOT(ISNUMBER($Z$3))),"",ROUND(M188*C188*$Z$3,2)))</f>
        <v/>
      </c>
      <c r="O188" s="231">
        <f>IF(OR(G188="",I188=""),"",ROUND(MAX(G188-I188,0),2))</f>
        <v/>
      </c>
      <c r="P188" s="225">
        <f>IF(AND(A188="",A187&lt;&gt;"",COUNTIF(A189:$A$200,"&lt;&gt;")=0),ROUND(SUMIF($A$2:A187,"&lt;&gt;",$P$2:P187),2),IF(OR(O188="",C188="",NOT(ISNUMBER($Z$4))),"",ROUND(O188*C188*$Z$4,2)))</f>
        <v/>
      </c>
      <c r="Q188" s="231">
        <f>IF(OR(I188="",K188=""),"",ROUND(MAX(I188-K188,0),2))</f>
        <v/>
      </c>
      <c r="R188" s="225">
        <f>IF(AND(A188="",A187&lt;&gt;"",COUNTIF(A189:$A$200,"&lt;&gt;")=0),ROUND(SUMIF($A$2:A187,"&lt;&gt;",$R$2:R187),2),IF(OR(Q188="",C188="",NOT(ISNUMBER($Z$5))),"",ROUND(Q188*C188*$Z$5,2)))</f>
        <v/>
      </c>
      <c r="S188" s="112" t="n"/>
      <c r="T188" s="245" t="n"/>
      <c r="U188" s="233">
        <f>IF(AND(A188="",A187&lt;&gt;"",COUNTIF(A189:$A$200,"&lt;&gt;")=0),"TOTAL",IF(A188="","",IF(AND(G188&lt;&gt;"",E188&lt;&gt;"",G188&gt;E188),"ALERTA: REM_C2&gt;REM_C1",IF(AND(I188&lt;&gt;"",G188&lt;&gt;"",I188&gt;G188),"ALERTA: REM_C3&gt;REM_C2",IF(AND(K188&lt;&gt;"",I188&lt;&gt;"",K188&gt;I188),"ALERTA: REM_C4&gt;REM_C3","OK")))))</f>
        <v/>
      </c>
      <c r="V188" s="233">
        <f>IF(A188="","",IF(B188="","",IF(OR(B188&lt;0,E188&gt;B188,G188&gt;B188,I188&gt;B188,K188&gt;B188),"ALERTA: QTD_INVALIDA","OK")))</f>
        <v/>
      </c>
      <c r="W188" s="17" t="n"/>
      <c r="X188" s="17" t="n"/>
      <c r="Y188" s="17" t="n"/>
      <c r="Z188" s="17" t="n"/>
      <c r="AA188" s="17" t="n"/>
      <c r="AB188" s="231">
        <f>IF(OR(A188="",E188=""),"",ROUND(B188-E188,2))</f>
        <v/>
      </c>
      <c r="AC188" s="225">
        <f>IF(AND(A188="",A187&lt;&gt;"",COUNTIF(A189:$A$200,"&lt;&gt;")=0),ROUND(SUMIF($A$2:A187,"&lt;&gt;",$AC$2:AC187),2),IF(OR(A188="",E188=""),"",ROUND(D188-E188*C188,2)))</f>
        <v/>
      </c>
      <c r="AD188" s="17" t="n"/>
    </row>
    <row r="189">
      <c r="A189" s="227" t="n"/>
      <c r="B189" s="228" t="n"/>
      <c r="C189" s="229" t="n"/>
      <c r="D189" s="225">
        <f>IF(AND(A189="",A188&lt;&gt;"",COUNTIF(A190:$A$200,"&lt;&gt;")=0),ROUND(SUMIF($A$2:A188,"&lt;&gt;",$D$2:D188),2),IF(OR(A189="",B189="",C189=""),"",ROUND(B189*C189,2)))</f>
        <v/>
      </c>
      <c r="E189" s="230" t="n"/>
      <c r="F189" s="225">
        <f>IF(AND(A189="",A188&lt;&gt;"",COUNTIF(A190:$A$200,"&lt;&gt;")=0),ROUND(SUMIF($A$2:A188,"&lt;&gt;",$F$2:F188),2),IF(OR(A189="",E189="",C189="",NOT(ISNUMBER($Z$3))),"",ROUND(E189*C189*$Z$3,2)))</f>
        <v/>
      </c>
      <c r="G189" s="230" t="n"/>
      <c r="H189" s="225">
        <f>IF(AND(A189="",A188&lt;&gt;"",COUNTIF(A190:$A$200,"&lt;&gt;")=0),ROUND(SUMIF($A$2:A188,"&lt;&gt;",$H$2:H188),2),IF(OR(A189="",G189="",C189="",NOT(ISNUMBER($Z$4))),"",ROUND(G189*C189*$Z$4,2)))</f>
        <v/>
      </c>
      <c r="I189" s="230" t="n"/>
      <c r="J189" s="225">
        <f>IF(AND(A189="",A188&lt;&gt;"",COUNTIF(A190:$A$200,"&lt;&gt;")=0),ROUND(SUMIF($A$2:A188,"&lt;&gt;",$J$2:J188),2),IF(OR(A189="",I189="",C189="",NOT(ISNUMBER($Z$5))),"",ROUND(I189*C189*$Z$5,2)))</f>
        <v/>
      </c>
      <c r="K189" s="230" t="n"/>
      <c r="L189" s="225">
        <f>IF(AND(A189="",A188&lt;&gt;"",COUNTIF(A190:$A$200,"&lt;&gt;")=0),ROUND(SUMIF($A$2:A188,"&lt;&gt;",$L$2:L188),2),IF(OR(A189="",K189="",C189="",NOT(ISNUMBER($Z$6))),"",ROUND(K189*C189*$Z$6,2)))</f>
        <v/>
      </c>
      <c r="M189" s="231">
        <f>IF(OR(E189="",G189=""),"",ROUND(MAX(E189-G189,0),2))</f>
        <v/>
      </c>
      <c r="N189" s="225">
        <f>IF(AND(A189="",A188&lt;&gt;"",COUNTIF(A190:$A$200,"&lt;&gt;")=0),ROUND(SUMIF($A$2:A188,"&lt;&gt;",$N$2:N188),2),IF(OR(M189="",C189="",NOT(ISNUMBER($Z$3))),"",ROUND(M189*C189*$Z$3,2)))</f>
        <v/>
      </c>
      <c r="O189" s="231">
        <f>IF(OR(G189="",I189=""),"",ROUND(MAX(G189-I189,0),2))</f>
        <v/>
      </c>
      <c r="P189" s="225">
        <f>IF(AND(A189="",A188&lt;&gt;"",COUNTIF(A190:$A$200,"&lt;&gt;")=0),ROUND(SUMIF($A$2:A188,"&lt;&gt;",$P$2:P188),2),IF(OR(O189="",C189="",NOT(ISNUMBER($Z$4))),"",ROUND(O189*C189*$Z$4,2)))</f>
        <v/>
      </c>
      <c r="Q189" s="231">
        <f>IF(OR(I189="",K189=""),"",ROUND(MAX(I189-K189,0),2))</f>
        <v/>
      </c>
      <c r="R189" s="225">
        <f>IF(AND(A189="",A188&lt;&gt;"",COUNTIF(A190:$A$200,"&lt;&gt;")=0),ROUND(SUMIF($A$2:A188,"&lt;&gt;",$R$2:R188),2),IF(OR(Q189="",C189="",NOT(ISNUMBER($Z$5))),"",ROUND(Q189*C189*$Z$5,2)))</f>
        <v/>
      </c>
      <c r="S189" s="112" t="n"/>
      <c r="T189" s="245" t="n"/>
      <c r="U189" s="233">
        <f>IF(AND(A189="",A188&lt;&gt;"",COUNTIF(A190:$A$200,"&lt;&gt;")=0),"TOTAL",IF(A189="","",IF(AND(G189&lt;&gt;"",E189&lt;&gt;"",G189&gt;E189),"ALERTA: REM_C2&gt;REM_C1",IF(AND(I189&lt;&gt;"",G189&lt;&gt;"",I189&gt;G189),"ALERTA: REM_C3&gt;REM_C2",IF(AND(K189&lt;&gt;"",I189&lt;&gt;"",K189&gt;I189),"ALERTA: REM_C4&gt;REM_C3","OK")))))</f>
        <v/>
      </c>
      <c r="V189" s="233">
        <f>IF(A189="","",IF(B189="","",IF(OR(B189&lt;0,E189&gt;B189,G189&gt;B189,I189&gt;B189,K189&gt;B189),"ALERTA: QTD_INVALIDA","OK")))</f>
        <v/>
      </c>
      <c r="W189" s="17" t="n"/>
      <c r="X189" s="17" t="n"/>
      <c r="Y189" s="17" t="n"/>
      <c r="Z189" s="17" t="n"/>
      <c r="AA189" s="17" t="n"/>
      <c r="AB189" s="231">
        <f>IF(OR(A189="",E189=""),"",ROUND(B189-E189,2))</f>
        <v/>
      </c>
      <c r="AC189" s="225">
        <f>IF(AND(A189="",A188&lt;&gt;"",COUNTIF(A190:$A$200,"&lt;&gt;")=0),ROUND(SUMIF($A$2:A188,"&lt;&gt;",$AC$2:AC188),2),IF(OR(A189="",E189=""),"",ROUND(D189-E189*C189,2)))</f>
        <v/>
      </c>
      <c r="AD189" s="17" t="n"/>
    </row>
    <row r="190">
      <c r="A190" s="227" t="n"/>
      <c r="B190" s="228" t="n"/>
      <c r="C190" s="229" t="n"/>
      <c r="D190" s="225">
        <f>IF(AND(A190="",A189&lt;&gt;"",COUNTIF(A191:$A$200,"&lt;&gt;")=0),ROUND(SUMIF($A$2:A189,"&lt;&gt;",$D$2:D189),2),IF(OR(A190="",B190="",C190=""),"",ROUND(B190*C190,2)))</f>
        <v/>
      </c>
      <c r="E190" s="230" t="n"/>
      <c r="F190" s="225">
        <f>IF(AND(A190="",A189&lt;&gt;"",COUNTIF(A191:$A$200,"&lt;&gt;")=0),ROUND(SUMIF($A$2:A189,"&lt;&gt;",$F$2:F189),2),IF(OR(A190="",E190="",C190="",NOT(ISNUMBER($Z$3))),"",ROUND(E190*C190*$Z$3,2)))</f>
        <v/>
      </c>
      <c r="G190" s="230" t="n"/>
      <c r="H190" s="225">
        <f>IF(AND(A190="",A189&lt;&gt;"",COUNTIF(A191:$A$200,"&lt;&gt;")=0),ROUND(SUMIF($A$2:A189,"&lt;&gt;",$H$2:H189),2),IF(OR(A190="",G190="",C190="",NOT(ISNUMBER($Z$4))),"",ROUND(G190*C190*$Z$4,2)))</f>
        <v/>
      </c>
      <c r="I190" s="230" t="n"/>
      <c r="J190" s="225">
        <f>IF(AND(A190="",A189&lt;&gt;"",COUNTIF(A191:$A$200,"&lt;&gt;")=0),ROUND(SUMIF($A$2:A189,"&lt;&gt;",$J$2:J189),2),IF(OR(A190="",I190="",C190="",NOT(ISNUMBER($Z$5))),"",ROUND(I190*C190*$Z$5,2)))</f>
        <v/>
      </c>
      <c r="K190" s="230" t="n"/>
      <c r="L190" s="225">
        <f>IF(AND(A190="",A189&lt;&gt;"",COUNTIF(A191:$A$200,"&lt;&gt;")=0),ROUND(SUMIF($A$2:A189,"&lt;&gt;",$L$2:L189),2),IF(OR(A190="",K190="",C190="",NOT(ISNUMBER($Z$6))),"",ROUND(K190*C190*$Z$6,2)))</f>
        <v/>
      </c>
      <c r="M190" s="231">
        <f>IF(OR(E190="",G190=""),"",ROUND(MAX(E190-G190,0),2))</f>
        <v/>
      </c>
      <c r="N190" s="225">
        <f>IF(AND(A190="",A189&lt;&gt;"",COUNTIF(A191:$A$200,"&lt;&gt;")=0),ROUND(SUMIF($A$2:A189,"&lt;&gt;",$N$2:N189),2),IF(OR(M190="",C190="",NOT(ISNUMBER($Z$3))),"",ROUND(M190*C190*$Z$3,2)))</f>
        <v/>
      </c>
      <c r="O190" s="231">
        <f>IF(OR(G190="",I190=""),"",ROUND(MAX(G190-I190,0),2))</f>
        <v/>
      </c>
      <c r="P190" s="225">
        <f>IF(AND(A190="",A189&lt;&gt;"",COUNTIF(A191:$A$200,"&lt;&gt;")=0),ROUND(SUMIF($A$2:A189,"&lt;&gt;",$P$2:P189),2),IF(OR(O190="",C190="",NOT(ISNUMBER($Z$4))),"",ROUND(O190*C190*$Z$4,2)))</f>
        <v/>
      </c>
      <c r="Q190" s="231">
        <f>IF(OR(I190="",K190=""),"",ROUND(MAX(I190-K190,0),2))</f>
        <v/>
      </c>
      <c r="R190" s="225">
        <f>IF(AND(A190="",A189&lt;&gt;"",COUNTIF(A191:$A$200,"&lt;&gt;")=0),ROUND(SUMIF($A$2:A189,"&lt;&gt;",$R$2:R189),2),IF(OR(Q190="",C190="",NOT(ISNUMBER($Z$5))),"",ROUND(Q190*C190*$Z$5,2)))</f>
        <v/>
      </c>
      <c r="S190" s="112" t="n"/>
      <c r="T190" s="245" t="n"/>
      <c r="U190" s="233">
        <f>IF(AND(A190="",A189&lt;&gt;"",COUNTIF(A191:$A$200,"&lt;&gt;")=0),"TOTAL",IF(A190="","",IF(AND(G190&lt;&gt;"",E190&lt;&gt;"",G190&gt;E190),"ALERTA: REM_C2&gt;REM_C1",IF(AND(I190&lt;&gt;"",G190&lt;&gt;"",I190&gt;G190),"ALERTA: REM_C3&gt;REM_C2",IF(AND(K190&lt;&gt;"",I190&lt;&gt;"",K190&gt;I190),"ALERTA: REM_C4&gt;REM_C3","OK")))))</f>
        <v/>
      </c>
      <c r="V190" s="233">
        <f>IF(A190="","",IF(B190="","",IF(OR(B190&lt;0,E190&gt;B190,G190&gt;B190,I190&gt;B190,K190&gt;B190),"ALERTA: QTD_INVALIDA","OK")))</f>
        <v/>
      </c>
      <c r="W190" s="17" t="n"/>
      <c r="X190" s="17" t="n"/>
      <c r="Y190" s="17" t="n"/>
      <c r="Z190" s="17" t="n"/>
      <c r="AA190" s="17" t="n"/>
      <c r="AB190" s="231">
        <f>IF(OR(A190="",E190=""),"",ROUND(B190-E190,2))</f>
        <v/>
      </c>
      <c r="AC190" s="225">
        <f>IF(AND(A190="",A189&lt;&gt;"",COUNTIF(A191:$A$200,"&lt;&gt;")=0),ROUND(SUMIF($A$2:A189,"&lt;&gt;",$AC$2:AC189),2),IF(OR(A190="",E190=""),"",ROUND(D190-E190*C190,2)))</f>
        <v/>
      </c>
      <c r="AD190" s="17" t="n"/>
    </row>
    <row r="191">
      <c r="A191" s="227" t="n"/>
      <c r="B191" s="228" t="n"/>
      <c r="C191" s="229" t="n"/>
      <c r="D191" s="225">
        <f>IF(AND(A191="",A190&lt;&gt;"",COUNTIF(A192:$A$200,"&lt;&gt;")=0),ROUND(SUMIF($A$2:A190,"&lt;&gt;",$D$2:D190),2),IF(OR(A191="",B191="",C191=""),"",ROUND(B191*C191,2)))</f>
        <v/>
      </c>
      <c r="E191" s="230" t="n"/>
      <c r="F191" s="225">
        <f>IF(AND(A191="",A190&lt;&gt;"",COUNTIF(A192:$A$200,"&lt;&gt;")=0),ROUND(SUMIF($A$2:A190,"&lt;&gt;",$F$2:F190),2),IF(OR(A191="",E191="",C191="",NOT(ISNUMBER($Z$3))),"",ROUND(E191*C191*$Z$3,2)))</f>
        <v/>
      </c>
      <c r="G191" s="230" t="n"/>
      <c r="H191" s="225">
        <f>IF(AND(A191="",A190&lt;&gt;"",COUNTIF(A192:$A$200,"&lt;&gt;")=0),ROUND(SUMIF($A$2:A190,"&lt;&gt;",$H$2:H190),2),IF(OR(A191="",G191="",C191="",NOT(ISNUMBER($Z$4))),"",ROUND(G191*C191*$Z$4,2)))</f>
        <v/>
      </c>
      <c r="I191" s="230" t="n"/>
      <c r="J191" s="225">
        <f>IF(AND(A191="",A190&lt;&gt;"",COUNTIF(A192:$A$200,"&lt;&gt;")=0),ROUND(SUMIF($A$2:A190,"&lt;&gt;",$J$2:J190),2),IF(OR(A191="",I191="",C191="",NOT(ISNUMBER($Z$5))),"",ROUND(I191*C191*$Z$5,2)))</f>
        <v/>
      </c>
      <c r="K191" s="230" t="n"/>
      <c r="L191" s="225">
        <f>IF(AND(A191="",A190&lt;&gt;"",COUNTIF(A192:$A$200,"&lt;&gt;")=0),ROUND(SUMIF($A$2:A190,"&lt;&gt;",$L$2:L190),2),IF(OR(A191="",K191="",C191="",NOT(ISNUMBER($Z$6))),"",ROUND(K191*C191*$Z$6,2)))</f>
        <v/>
      </c>
      <c r="M191" s="231">
        <f>IF(OR(E191="",G191=""),"",ROUND(MAX(E191-G191,0),2))</f>
        <v/>
      </c>
      <c r="N191" s="225">
        <f>IF(AND(A191="",A190&lt;&gt;"",COUNTIF(A192:$A$200,"&lt;&gt;")=0),ROUND(SUMIF($A$2:A190,"&lt;&gt;",$N$2:N190),2),IF(OR(M191="",C191="",NOT(ISNUMBER($Z$3))),"",ROUND(M191*C191*$Z$3,2)))</f>
        <v/>
      </c>
      <c r="O191" s="231">
        <f>IF(OR(G191="",I191=""),"",ROUND(MAX(G191-I191,0),2))</f>
        <v/>
      </c>
      <c r="P191" s="225">
        <f>IF(AND(A191="",A190&lt;&gt;"",COUNTIF(A192:$A$200,"&lt;&gt;")=0),ROUND(SUMIF($A$2:A190,"&lt;&gt;",$P$2:P190),2),IF(OR(O191="",C191="",NOT(ISNUMBER($Z$4))),"",ROUND(O191*C191*$Z$4,2)))</f>
        <v/>
      </c>
      <c r="Q191" s="231">
        <f>IF(OR(I191="",K191=""),"",ROUND(MAX(I191-K191,0),2))</f>
        <v/>
      </c>
      <c r="R191" s="225">
        <f>IF(AND(A191="",A190&lt;&gt;"",COUNTIF(A192:$A$200,"&lt;&gt;")=0),ROUND(SUMIF($A$2:A190,"&lt;&gt;",$R$2:R190),2),IF(OR(Q191="",C191="",NOT(ISNUMBER($Z$5))),"",ROUND(Q191*C191*$Z$5,2)))</f>
        <v/>
      </c>
      <c r="S191" s="112" t="n"/>
      <c r="T191" s="245" t="n"/>
      <c r="U191" s="233">
        <f>IF(AND(A191="",A190&lt;&gt;"",COUNTIF(A192:$A$200,"&lt;&gt;")=0),"TOTAL",IF(A191="","",IF(AND(G191&lt;&gt;"",E191&lt;&gt;"",G191&gt;E191),"ALERTA: REM_C2&gt;REM_C1",IF(AND(I191&lt;&gt;"",G191&lt;&gt;"",I191&gt;G191),"ALERTA: REM_C3&gt;REM_C2",IF(AND(K191&lt;&gt;"",I191&lt;&gt;"",K191&gt;I191),"ALERTA: REM_C4&gt;REM_C3","OK")))))</f>
        <v/>
      </c>
      <c r="V191" s="233">
        <f>IF(A191="","",IF(B191="","",IF(OR(B191&lt;0,E191&gt;B191,G191&gt;B191,I191&gt;B191,K191&gt;B191),"ALERTA: QTD_INVALIDA","OK")))</f>
        <v/>
      </c>
      <c r="W191" s="17" t="n"/>
      <c r="X191" s="17" t="n"/>
      <c r="Y191" s="17" t="n"/>
      <c r="Z191" s="17" t="n"/>
      <c r="AA191" s="17" t="n"/>
      <c r="AB191" s="231">
        <f>IF(OR(A191="",E191=""),"",ROUND(B191-E191,2))</f>
        <v/>
      </c>
      <c r="AC191" s="225">
        <f>IF(AND(A191="",A190&lt;&gt;"",COUNTIF(A192:$A$200,"&lt;&gt;")=0),ROUND(SUMIF($A$2:A190,"&lt;&gt;",$AC$2:AC190),2),IF(OR(A191="",E191=""),"",ROUND(D191-E191*C191,2)))</f>
        <v/>
      </c>
      <c r="AD191" s="17" t="n"/>
    </row>
    <row r="192">
      <c r="A192" s="227" t="n"/>
      <c r="B192" s="228" t="n"/>
      <c r="C192" s="229" t="n"/>
      <c r="D192" s="225">
        <f>IF(AND(A192="",A191&lt;&gt;"",COUNTIF(A193:$A$200,"&lt;&gt;")=0),ROUND(SUMIF($A$2:A191,"&lt;&gt;",$D$2:D191),2),IF(OR(A192="",B192="",C192=""),"",ROUND(B192*C192,2)))</f>
        <v/>
      </c>
      <c r="E192" s="230" t="n"/>
      <c r="F192" s="225">
        <f>IF(AND(A192="",A191&lt;&gt;"",COUNTIF(A193:$A$200,"&lt;&gt;")=0),ROUND(SUMIF($A$2:A191,"&lt;&gt;",$F$2:F191),2),IF(OR(A192="",E192="",C192="",NOT(ISNUMBER($Z$3))),"",ROUND(E192*C192*$Z$3,2)))</f>
        <v/>
      </c>
      <c r="G192" s="230" t="n"/>
      <c r="H192" s="225">
        <f>IF(AND(A192="",A191&lt;&gt;"",COUNTIF(A193:$A$200,"&lt;&gt;")=0),ROUND(SUMIF($A$2:A191,"&lt;&gt;",$H$2:H191),2),IF(OR(A192="",G192="",C192="",NOT(ISNUMBER($Z$4))),"",ROUND(G192*C192*$Z$4,2)))</f>
        <v/>
      </c>
      <c r="I192" s="230" t="n"/>
      <c r="J192" s="225">
        <f>IF(AND(A192="",A191&lt;&gt;"",COUNTIF(A193:$A$200,"&lt;&gt;")=0),ROUND(SUMIF($A$2:A191,"&lt;&gt;",$J$2:J191),2),IF(OR(A192="",I192="",C192="",NOT(ISNUMBER($Z$5))),"",ROUND(I192*C192*$Z$5,2)))</f>
        <v/>
      </c>
      <c r="K192" s="230" t="n"/>
      <c r="L192" s="225">
        <f>IF(AND(A192="",A191&lt;&gt;"",COUNTIF(A193:$A$200,"&lt;&gt;")=0),ROUND(SUMIF($A$2:A191,"&lt;&gt;",$L$2:L191),2),IF(OR(A192="",K192="",C192="",NOT(ISNUMBER($Z$6))),"",ROUND(K192*C192*$Z$6,2)))</f>
        <v/>
      </c>
      <c r="M192" s="231">
        <f>IF(OR(E192="",G192=""),"",ROUND(MAX(E192-G192,0),2))</f>
        <v/>
      </c>
      <c r="N192" s="225">
        <f>IF(AND(A192="",A191&lt;&gt;"",COUNTIF(A193:$A$200,"&lt;&gt;")=0),ROUND(SUMIF($A$2:A191,"&lt;&gt;",$N$2:N191),2),IF(OR(M192="",C192="",NOT(ISNUMBER($Z$3))),"",ROUND(M192*C192*$Z$3,2)))</f>
        <v/>
      </c>
      <c r="O192" s="231">
        <f>IF(OR(G192="",I192=""),"",ROUND(MAX(G192-I192,0),2))</f>
        <v/>
      </c>
      <c r="P192" s="225">
        <f>IF(AND(A192="",A191&lt;&gt;"",COUNTIF(A193:$A$200,"&lt;&gt;")=0),ROUND(SUMIF($A$2:A191,"&lt;&gt;",$P$2:P191),2),IF(OR(O192="",C192="",NOT(ISNUMBER($Z$4))),"",ROUND(O192*C192*$Z$4,2)))</f>
        <v/>
      </c>
      <c r="Q192" s="231">
        <f>IF(OR(I192="",K192=""),"",ROUND(MAX(I192-K192,0),2))</f>
        <v/>
      </c>
      <c r="R192" s="225">
        <f>IF(AND(A192="",A191&lt;&gt;"",COUNTIF(A193:$A$200,"&lt;&gt;")=0),ROUND(SUMIF($A$2:A191,"&lt;&gt;",$R$2:R191),2),IF(OR(Q192="",C192="",NOT(ISNUMBER($Z$5))),"",ROUND(Q192*C192*$Z$5,2)))</f>
        <v/>
      </c>
      <c r="S192" s="112" t="n"/>
      <c r="T192" s="245" t="n"/>
      <c r="U192" s="233">
        <f>IF(AND(A192="",A191&lt;&gt;"",COUNTIF(A193:$A$200,"&lt;&gt;")=0),"TOTAL",IF(A192="","",IF(AND(G192&lt;&gt;"",E192&lt;&gt;"",G192&gt;E192),"ALERTA: REM_C2&gt;REM_C1",IF(AND(I192&lt;&gt;"",G192&lt;&gt;"",I192&gt;G192),"ALERTA: REM_C3&gt;REM_C2",IF(AND(K192&lt;&gt;"",I192&lt;&gt;"",K192&gt;I192),"ALERTA: REM_C4&gt;REM_C3","OK")))))</f>
        <v/>
      </c>
      <c r="V192" s="233">
        <f>IF(A192="","",IF(B192="","",IF(OR(B192&lt;0,E192&gt;B192,G192&gt;B192,I192&gt;B192,K192&gt;B192),"ALERTA: QTD_INVALIDA","OK")))</f>
        <v/>
      </c>
      <c r="W192" s="17" t="n"/>
      <c r="X192" s="17" t="n"/>
      <c r="Y192" s="17" t="n"/>
      <c r="Z192" s="17" t="n"/>
      <c r="AA192" s="17" t="n"/>
      <c r="AB192" s="231">
        <f>IF(OR(A192="",E192=""),"",ROUND(B192-E192,2))</f>
        <v/>
      </c>
      <c r="AC192" s="225">
        <f>IF(AND(A192="",A191&lt;&gt;"",COUNTIF(A193:$A$200,"&lt;&gt;")=0),ROUND(SUMIF($A$2:A191,"&lt;&gt;",$AC$2:AC191),2),IF(OR(A192="",E192=""),"",ROUND(D192-E192*C192,2)))</f>
        <v/>
      </c>
      <c r="AD192" s="17" t="n"/>
    </row>
    <row r="193">
      <c r="A193" s="227" t="n"/>
      <c r="B193" s="228" t="n"/>
      <c r="C193" s="229" t="n"/>
      <c r="D193" s="225">
        <f>IF(AND(A193="",A192&lt;&gt;"",COUNTIF(A194:$A$200,"&lt;&gt;")=0),ROUND(SUMIF($A$2:A192,"&lt;&gt;",$D$2:D192),2),IF(OR(A193="",B193="",C193=""),"",ROUND(B193*C193,2)))</f>
        <v/>
      </c>
      <c r="E193" s="230" t="n"/>
      <c r="F193" s="225">
        <f>IF(AND(A193="",A192&lt;&gt;"",COUNTIF(A194:$A$200,"&lt;&gt;")=0),ROUND(SUMIF($A$2:A192,"&lt;&gt;",$F$2:F192),2),IF(OR(A193="",E193="",C193="",NOT(ISNUMBER($Z$3))),"",ROUND(E193*C193*$Z$3,2)))</f>
        <v/>
      </c>
      <c r="G193" s="230" t="n"/>
      <c r="H193" s="225">
        <f>IF(AND(A193="",A192&lt;&gt;"",COUNTIF(A194:$A$200,"&lt;&gt;")=0),ROUND(SUMIF($A$2:A192,"&lt;&gt;",$H$2:H192),2),IF(OR(A193="",G193="",C193="",NOT(ISNUMBER($Z$4))),"",ROUND(G193*C193*$Z$4,2)))</f>
        <v/>
      </c>
      <c r="I193" s="230" t="n"/>
      <c r="J193" s="225">
        <f>IF(AND(A193="",A192&lt;&gt;"",COUNTIF(A194:$A$200,"&lt;&gt;")=0),ROUND(SUMIF($A$2:A192,"&lt;&gt;",$J$2:J192),2),IF(OR(A193="",I193="",C193="",NOT(ISNUMBER($Z$5))),"",ROUND(I193*C193*$Z$5,2)))</f>
        <v/>
      </c>
      <c r="K193" s="230" t="n"/>
      <c r="L193" s="225">
        <f>IF(AND(A193="",A192&lt;&gt;"",COUNTIF(A194:$A$200,"&lt;&gt;")=0),ROUND(SUMIF($A$2:A192,"&lt;&gt;",$L$2:L192),2),IF(OR(A193="",K193="",C193="",NOT(ISNUMBER($Z$6))),"",ROUND(K193*C193*$Z$6,2)))</f>
        <v/>
      </c>
      <c r="M193" s="231">
        <f>IF(OR(E193="",G193=""),"",ROUND(MAX(E193-G193,0),2))</f>
        <v/>
      </c>
      <c r="N193" s="225">
        <f>IF(AND(A193="",A192&lt;&gt;"",COUNTIF(A194:$A$200,"&lt;&gt;")=0),ROUND(SUMIF($A$2:A192,"&lt;&gt;",$N$2:N192),2),IF(OR(M193="",C193="",NOT(ISNUMBER($Z$3))),"",ROUND(M193*C193*$Z$3,2)))</f>
        <v/>
      </c>
      <c r="O193" s="231">
        <f>IF(OR(G193="",I193=""),"",ROUND(MAX(G193-I193,0),2))</f>
        <v/>
      </c>
      <c r="P193" s="225">
        <f>IF(AND(A193="",A192&lt;&gt;"",COUNTIF(A194:$A$200,"&lt;&gt;")=0),ROUND(SUMIF($A$2:A192,"&lt;&gt;",$P$2:P192),2),IF(OR(O193="",C193="",NOT(ISNUMBER($Z$4))),"",ROUND(O193*C193*$Z$4,2)))</f>
        <v/>
      </c>
      <c r="Q193" s="231">
        <f>IF(OR(I193="",K193=""),"",ROUND(MAX(I193-K193,0),2))</f>
        <v/>
      </c>
      <c r="R193" s="225">
        <f>IF(AND(A193="",A192&lt;&gt;"",COUNTIF(A194:$A$200,"&lt;&gt;")=0),ROUND(SUMIF($A$2:A192,"&lt;&gt;",$R$2:R192),2),IF(OR(Q193="",C193="",NOT(ISNUMBER($Z$5))),"",ROUND(Q193*C193*$Z$5,2)))</f>
        <v/>
      </c>
      <c r="S193" s="112" t="n"/>
      <c r="T193" s="245" t="n"/>
      <c r="U193" s="233">
        <f>IF(AND(A193="",A192&lt;&gt;"",COUNTIF(A194:$A$200,"&lt;&gt;")=0),"TOTAL",IF(A193="","",IF(AND(G193&lt;&gt;"",E193&lt;&gt;"",G193&gt;E193),"ALERTA: REM_C2&gt;REM_C1",IF(AND(I193&lt;&gt;"",G193&lt;&gt;"",I193&gt;G193),"ALERTA: REM_C3&gt;REM_C2",IF(AND(K193&lt;&gt;"",I193&lt;&gt;"",K193&gt;I193),"ALERTA: REM_C4&gt;REM_C3","OK")))))</f>
        <v/>
      </c>
      <c r="V193" s="233">
        <f>IF(A193="","",IF(B193="","",IF(OR(B193&lt;0,E193&gt;B193,G193&gt;B193,I193&gt;B193,K193&gt;B193),"ALERTA: QTD_INVALIDA","OK")))</f>
        <v/>
      </c>
      <c r="W193" s="17" t="n"/>
      <c r="X193" s="17" t="n"/>
      <c r="Y193" s="17" t="n"/>
      <c r="Z193" s="17" t="n"/>
      <c r="AA193" s="17" t="n"/>
      <c r="AB193" s="231">
        <f>IF(OR(A193="",E193=""),"",ROUND(B193-E193,2))</f>
        <v/>
      </c>
      <c r="AC193" s="225">
        <f>IF(AND(A193="",A192&lt;&gt;"",COUNTIF(A194:$A$200,"&lt;&gt;")=0),ROUND(SUMIF($A$2:A192,"&lt;&gt;",$AC$2:AC192),2),IF(OR(A193="",E193=""),"",ROUND(D193-E193*C193,2)))</f>
        <v/>
      </c>
      <c r="AD193" s="17" t="n"/>
    </row>
    <row r="194">
      <c r="A194" s="227" t="n"/>
      <c r="B194" s="228" t="n"/>
      <c r="C194" s="229" t="n"/>
      <c r="D194" s="225">
        <f>IF(AND(A194="",A193&lt;&gt;"",COUNTIF(A195:$A$200,"&lt;&gt;")=0),ROUND(SUMIF($A$2:A193,"&lt;&gt;",$D$2:D193),2),IF(OR(A194="",B194="",C194=""),"",ROUND(B194*C194,2)))</f>
        <v/>
      </c>
      <c r="E194" s="230" t="n"/>
      <c r="F194" s="225">
        <f>IF(AND(A194="",A193&lt;&gt;"",COUNTIF(A195:$A$200,"&lt;&gt;")=0),ROUND(SUMIF($A$2:A193,"&lt;&gt;",$F$2:F193),2),IF(OR(A194="",E194="",C194="",NOT(ISNUMBER($Z$3))),"",ROUND(E194*C194*$Z$3,2)))</f>
        <v/>
      </c>
      <c r="G194" s="230" t="n"/>
      <c r="H194" s="225">
        <f>IF(AND(A194="",A193&lt;&gt;"",COUNTIF(A195:$A$200,"&lt;&gt;")=0),ROUND(SUMIF($A$2:A193,"&lt;&gt;",$H$2:H193),2),IF(OR(A194="",G194="",C194="",NOT(ISNUMBER($Z$4))),"",ROUND(G194*C194*$Z$4,2)))</f>
        <v/>
      </c>
      <c r="I194" s="230" t="n"/>
      <c r="J194" s="225">
        <f>IF(AND(A194="",A193&lt;&gt;"",COUNTIF(A195:$A$200,"&lt;&gt;")=0),ROUND(SUMIF($A$2:A193,"&lt;&gt;",$J$2:J193),2),IF(OR(A194="",I194="",C194="",NOT(ISNUMBER($Z$5))),"",ROUND(I194*C194*$Z$5,2)))</f>
        <v/>
      </c>
      <c r="K194" s="230" t="n"/>
      <c r="L194" s="225">
        <f>IF(AND(A194="",A193&lt;&gt;"",COUNTIF(A195:$A$200,"&lt;&gt;")=0),ROUND(SUMIF($A$2:A193,"&lt;&gt;",$L$2:L193),2),IF(OR(A194="",K194="",C194="",NOT(ISNUMBER($Z$6))),"",ROUND(K194*C194*$Z$6,2)))</f>
        <v/>
      </c>
      <c r="M194" s="231">
        <f>IF(OR(E194="",G194=""),"",ROUND(MAX(E194-G194,0),2))</f>
        <v/>
      </c>
      <c r="N194" s="225">
        <f>IF(AND(A194="",A193&lt;&gt;"",COUNTIF(A195:$A$200,"&lt;&gt;")=0),ROUND(SUMIF($A$2:A193,"&lt;&gt;",$N$2:N193),2),IF(OR(M194="",C194="",NOT(ISNUMBER($Z$3))),"",ROUND(M194*C194*$Z$3,2)))</f>
        <v/>
      </c>
      <c r="O194" s="231">
        <f>IF(OR(G194="",I194=""),"",ROUND(MAX(G194-I194,0),2))</f>
        <v/>
      </c>
      <c r="P194" s="225">
        <f>IF(AND(A194="",A193&lt;&gt;"",COUNTIF(A195:$A$200,"&lt;&gt;")=0),ROUND(SUMIF($A$2:A193,"&lt;&gt;",$P$2:P193),2),IF(OR(O194="",C194="",NOT(ISNUMBER($Z$4))),"",ROUND(O194*C194*$Z$4,2)))</f>
        <v/>
      </c>
      <c r="Q194" s="231">
        <f>IF(OR(I194="",K194=""),"",ROUND(MAX(I194-K194,0),2))</f>
        <v/>
      </c>
      <c r="R194" s="225">
        <f>IF(AND(A194="",A193&lt;&gt;"",COUNTIF(A195:$A$200,"&lt;&gt;")=0),ROUND(SUMIF($A$2:A193,"&lt;&gt;",$R$2:R193),2),IF(OR(Q194="",C194="",NOT(ISNUMBER($Z$5))),"",ROUND(Q194*C194*$Z$5,2)))</f>
        <v/>
      </c>
      <c r="S194" s="112" t="n"/>
      <c r="T194" s="245" t="n"/>
      <c r="U194" s="233">
        <f>IF(AND(A194="",A193&lt;&gt;"",COUNTIF(A195:$A$200,"&lt;&gt;")=0),"TOTAL",IF(A194="","",IF(AND(G194&lt;&gt;"",E194&lt;&gt;"",G194&gt;E194),"ALERTA: REM_C2&gt;REM_C1",IF(AND(I194&lt;&gt;"",G194&lt;&gt;"",I194&gt;G194),"ALERTA: REM_C3&gt;REM_C2",IF(AND(K194&lt;&gt;"",I194&lt;&gt;"",K194&gt;I194),"ALERTA: REM_C4&gt;REM_C3","OK")))))</f>
        <v/>
      </c>
      <c r="V194" s="233">
        <f>IF(A194="","",IF(B194="","",IF(OR(B194&lt;0,E194&gt;B194,G194&gt;B194,I194&gt;B194,K194&gt;B194),"ALERTA: QTD_INVALIDA","OK")))</f>
        <v/>
      </c>
      <c r="W194" s="17" t="n"/>
      <c r="X194" s="17" t="n"/>
      <c r="Y194" s="17" t="n"/>
      <c r="Z194" s="17" t="n"/>
      <c r="AA194" s="17" t="n"/>
      <c r="AB194" s="231">
        <f>IF(OR(A194="",E194=""),"",ROUND(B194-E194,2))</f>
        <v/>
      </c>
      <c r="AC194" s="225">
        <f>IF(AND(A194="",A193&lt;&gt;"",COUNTIF(A195:$A$200,"&lt;&gt;")=0),ROUND(SUMIF($A$2:A193,"&lt;&gt;",$AC$2:AC193),2),IF(OR(A194="",E194=""),"",ROUND(D194-E194*C194,2)))</f>
        <v/>
      </c>
      <c r="AD194" s="17" t="n"/>
    </row>
    <row r="195">
      <c r="A195" s="227" t="n"/>
      <c r="B195" s="228" t="n"/>
      <c r="C195" s="229" t="n"/>
      <c r="D195" s="225">
        <f>IF(AND(A195="",A194&lt;&gt;"",COUNTIF(A196:$A$200,"&lt;&gt;")=0),ROUND(SUMIF($A$2:A194,"&lt;&gt;",$D$2:D194),2),IF(OR(A195="",B195="",C195=""),"",ROUND(B195*C195,2)))</f>
        <v/>
      </c>
      <c r="E195" s="230" t="n"/>
      <c r="F195" s="225">
        <f>IF(AND(A195="",A194&lt;&gt;"",COUNTIF(A196:$A$200,"&lt;&gt;")=0),ROUND(SUMIF($A$2:A194,"&lt;&gt;",$F$2:F194),2),IF(OR(A195="",E195="",C195="",NOT(ISNUMBER($Z$3))),"",ROUND(E195*C195*$Z$3,2)))</f>
        <v/>
      </c>
      <c r="G195" s="230" t="n"/>
      <c r="H195" s="225">
        <f>IF(AND(A195="",A194&lt;&gt;"",COUNTIF(A196:$A$200,"&lt;&gt;")=0),ROUND(SUMIF($A$2:A194,"&lt;&gt;",$H$2:H194),2),IF(OR(A195="",G195="",C195="",NOT(ISNUMBER($Z$4))),"",ROUND(G195*C195*$Z$4,2)))</f>
        <v/>
      </c>
      <c r="I195" s="230" t="n"/>
      <c r="J195" s="225">
        <f>IF(AND(A195="",A194&lt;&gt;"",COUNTIF(A196:$A$200,"&lt;&gt;")=0),ROUND(SUMIF($A$2:A194,"&lt;&gt;",$J$2:J194),2),IF(OR(A195="",I195="",C195="",NOT(ISNUMBER($Z$5))),"",ROUND(I195*C195*$Z$5,2)))</f>
        <v/>
      </c>
      <c r="K195" s="230" t="n"/>
      <c r="L195" s="225">
        <f>IF(AND(A195="",A194&lt;&gt;"",COUNTIF(A196:$A$200,"&lt;&gt;")=0),ROUND(SUMIF($A$2:A194,"&lt;&gt;",$L$2:L194),2),IF(OR(A195="",K195="",C195="",NOT(ISNUMBER($Z$6))),"",ROUND(K195*C195*$Z$6,2)))</f>
        <v/>
      </c>
      <c r="M195" s="231">
        <f>IF(OR(E195="",G195=""),"",ROUND(MAX(E195-G195,0),2))</f>
        <v/>
      </c>
      <c r="N195" s="225">
        <f>IF(AND(A195="",A194&lt;&gt;"",COUNTIF(A196:$A$200,"&lt;&gt;")=0),ROUND(SUMIF($A$2:A194,"&lt;&gt;",$N$2:N194),2),IF(OR(M195="",C195="",NOT(ISNUMBER($Z$3))),"",ROUND(M195*C195*$Z$3,2)))</f>
        <v/>
      </c>
      <c r="O195" s="231">
        <f>IF(OR(G195="",I195=""),"",ROUND(MAX(G195-I195,0),2))</f>
        <v/>
      </c>
      <c r="P195" s="225">
        <f>IF(AND(A195="",A194&lt;&gt;"",COUNTIF(A196:$A$200,"&lt;&gt;")=0),ROUND(SUMIF($A$2:A194,"&lt;&gt;",$P$2:P194),2),IF(OR(O195="",C195="",NOT(ISNUMBER($Z$4))),"",ROUND(O195*C195*$Z$4,2)))</f>
        <v/>
      </c>
      <c r="Q195" s="231">
        <f>IF(OR(I195="",K195=""),"",ROUND(MAX(I195-K195,0),2))</f>
        <v/>
      </c>
      <c r="R195" s="225">
        <f>IF(AND(A195="",A194&lt;&gt;"",COUNTIF(A196:$A$200,"&lt;&gt;")=0),ROUND(SUMIF($A$2:A194,"&lt;&gt;",$R$2:R194),2),IF(OR(Q195="",C195="",NOT(ISNUMBER($Z$5))),"",ROUND(Q195*C195*$Z$5,2)))</f>
        <v/>
      </c>
      <c r="S195" s="112" t="n"/>
      <c r="T195" s="245" t="n"/>
      <c r="U195" s="233">
        <f>IF(AND(A195="",A194&lt;&gt;"",COUNTIF(A196:$A$200,"&lt;&gt;")=0),"TOTAL",IF(A195="","",IF(AND(G195&lt;&gt;"",E195&lt;&gt;"",G195&gt;E195),"ALERTA: REM_C2&gt;REM_C1",IF(AND(I195&lt;&gt;"",G195&lt;&gt;"",I195&gt;G195),"ALERTA: REM_C3&gt;REM_C2",IF(AND(K195&lt;&gt;"",I195&lt;&gt;"",K195&gt;I195),"ALERTA: REM_C4&gt;REM_C3","OK")))))</f>
        <v/>
      </c>
      <c r="V195" s="233">
        <f>IF(A195="","",IF(B195="","",IF(OR(B195&lt;0,E195&gt;B195,G195&gt;B195,I195&gt;B195,K195&gt;B195),"ALERTA: QTD_INVALIDA","OK")))</f>
        <v/>
      </c>
      <c r="W195" s="17" t="n"/>
      <c r="X195" s="17" t="n"/>
      <c r="Y195" s="17" t="n"/>
      <c r="Z195" s="17" t="n"/>
      <c r="AA195" s="17" t="n"/>
      <c r="AB195" s="231">
        <f>IF(OR(A195="",E195=""),"",ROUND(B195-E195,2))</f>
        <v/>
      </c>
      <c r="AC195" s="225">
        <f>IF(AND(A195="",A194&lt;&gt;"",COUNTIF(A196:$A$200,"&lt;&gt;")=0),ROUND(SUMIF($A$2:A194,"&lt;&gt;",$AC$2:AC194),2),IF(OR(A195="",E195=""),"",ROUND(D195-E195*C195,2)))</f>
        <v/>
      </c>
      <c r="AD195" s="17" t="n"/>
    </row>
    <row r="196">
      <c r="A196" s="227" t="n"/>
      <c r="B196" s="228" t="n"/>
      <c r="C196" s="229" t="n"/>
      <c r="D196" s="225">
        <f>IF(AND(A196="",A195&lt;&gt;"",COUNTIF(A197:$A$200,"&lt;&gt;")=0),ROUND(SUMIF($A$2:A195,"&lt;&gt;",$D$2:D195),2),IF(OR(A196="",B196="",C196=""),"",ROUND(B196*C196,2)))</f>
        <v/>
      </c>
      <c r="E196" s="230" t="n"/>
      <c r="F196" s="225">
        <f>IF(AND(A196="",A195&lt;&gt;"",COUNTIF(A197:$A$200,"&lt;&gt;")=0),ROUND(SUMIF($A$2:A195,"&lt;&gt;",$F$2:F195),2),IF(OR(A196="",E196="",C196="",NOT(ISNUMBER($Z$3))),"",ROUND(E196*C196*$Z$3,2)))</f>
        <v/>
      </c>
      <c r="G196" s="230" t="n"/>
      <c r="H196" s="225">
        <f>IF(AND(A196="",A195&lt;&gt;"",COUNTIF(A197:$A$200,"&lt;&gt;")=0),ROUND(SUMIF($A$2:A195,"&lt;&gt;",$H$2:H195),2),IF(OR(A196="",G196="",C196="",NOT(ISNUMBER($Z$4))),"",ROUND(G196*C196*$Z$4,2)))</f>
        <v/>
      </c>
      <c r="I196" s="230" t="n"/>
      <c r="J196" s="225">
        <f>IF(AND(A196="",A195&lt;&gt;"",COUNTIF(A197:$A$200,"&lt;&gt;")=0),ROUND(SUMIF($A$2:A195,"&lt;&gt;",$J$2:J195),2),IF(OR(A196="",I196="",C196="",NOT(ISNUMBER($Z$5))),"",ROUND(I196*C196*$Z$5,2)))</f>
        <v/>
      </c>
      <c r="K196" s="230" t="n"/>
      <c r="L196" s="225">
        <f>IF(AND(A196="",A195&lt;&gt;"",COUNTIF(A197:$A$200,"&lt;&gt;")=0),ROUND(SUMIF($A$2:A195,"&lt;&gt;",$L$2:L195),2),IF(OR(A196="",K196="",C196="",NOT(ISNUMBER($Z$6))),"",ROUND(K196*C196*$Z$6,2)))</f>
        <v/>
      </c>
      <c r="M196" s="231">
        <f>IF(OR(E196="",G196=""),"",ROUND(MAX(E196-G196,0),2))</f>
        <v/>
      </c>
      <c r="N196" s="225">
        <f>IF(AND(A196="",A195&lt;&gt;"",COUNTIF(A197:$A$200,"&lt;&gt;")=0),ROUND(SUMIF($A$2:A195,"&lt;&gt;",$N$2:N195),2),IF(OR(M196="",C196="",NOT(ISNUMBER($Z$3))),"",ROUND(M196*C196*$Z$3,2)))</f>
        <v/>
      </c>
      <c r="O196" s="231">
        <f>IF(OR(G196="",I196=""),"",ROUND(MAX(G196-I196,0),2))</f>
        <v/>
      </c>
      <c r="P196" s="225">
        <f>IF(AND(A196="",A195&lt;&gt;"",COUNTIF(A197:$A$200,"&lt;&gt;")=0),ROUND(SUMIF($A$2:A195,"&lt;&gt;",$P$2:P195),2),IF(OR(O196="",C196="",NOT(ISNUMBER($Z$4))),"",ROUND(O196*C196*$Z$4,2)))</f>
        <v/>
      </c>
      <c r="Q196" s="231">
        <f>IF(OR(I196="",K196=""),"",ROUND(MAX(I196-K196,0),2))</f>
        <v/>
      </c>
      <c r="R196" s="225">
        <f>IF(AND(A196="",A195&lt;&gt;"",COUNTIF(A197:$A$200,"&lt;&gt;")=0),ROUND(SUMIF($A$2:A195,"&lt;&gt;",$R$2:R195),2),IF(OR(Q196="",C196="",NOT(ISNUMBER($Z$5))),"",ROUND(Q196*C196*$Z$5,2)))</f>
        <v/>
      </c>
      <c r="S196" s="112" t="n"/>
      <c r="T196" s="245" t="n"/>
      <c r="U196" s="233">
        <f>IF(AND(A196="",A195&lt;&gt;"",COUNTIF(A197:$A$200,"&lt;&gt;")=0),"TOTAL",IF(A196="","",IF(AND(G196&lt;&gt;"",E196&lt;&gt;"",G196&gt;E196),"ALERTA: REM_C2&gt;REM_C1",IF(AND(I196&lt;&gt;"",G196&lt;&gt;"",I196&gt;G196),"ALERTA: REM_C3&gt;REM_C2",IF(AND(K196&lt;&gt;"",I196&lt;&gt;"",K196&gt;I196),"ALERTA: REM_C4&gt;REM_C3","OK")))))</f>
        <v/>
      </c>
      <c r="V196" s="233">
        <f>IF(A196="","",IF(B196="","",IF(OR(B196&lt;0,E196&gt;B196,G196&gt;B196,I196&gt;B196,K196&gt;B196),"ALERTA: QTD_INVALIDA","OK")))</f>
        <v/>
      </c>
      <c r="W196" s="17" t="n"/>
      <c r="X196" s="17" t="n"/>
      <c r="Y196" s="17" t="n"/>
      <c r="Z196" s="17" t="n"/>
      <c r="AA196" s="17" t="n"/>
      <c r="AB196" s="231">
        <f>IF(OR(A196="",E196=""),"",ROUND(B196-E196,2))</f>
        <v/>
      </c>
      <c r="AC196" s="225">
        <f>IF(AND(A196="",A195&lt;&gt;"",COUNTIF(A197:$A$200,"&lt;&gt;")=0),ROUND(SUMIF($A$2:A195,"&lt;&gt;",$AC$2:AC195),2),IF(OR(A196="",E196=""),"",ROUND(D196-E196*C196,2)))</f>
        <v/>
      </c>
      <c r="AD196" s="17" t="n"/>
    </row>
    <row r="197">
      <c r="A197" s="227" t="n"/>
      <c r="B197" s="228" t="n"/>
      <c r="C197" s="229" t="n"/>
      <c r="D197" s="225">
        <f>IF(AND(A197="",A196&lt;&gt;"",COUNTIF(A198:$A$200,"&lt;&gt;")=0),ROUND(SUMIF($A$2:A196,"&lt;&gt;",$D$2:D196),2),IF(OR(A197="",B197="",C197=""),"",ROUND(B197*C197,2)))</f>
        <v/>
      </c>
      <c r="E197" s="230" t="n"/>
      <c r="F197" s="225">
        <f>IF(AND(A197="",A196&lt;&gt;"",COUNTIF(A198:$A$200,"&lt;&gt;")=0),ROUND(SUMIF($A$2:A196,"&lt;&gt;",$F$2:F196),2),IF(OR(A197="",E197="",C197="",NOT(ISNUMBER($Z$3))),"",ROUND(E197*C197*$Z$3,2)))</f>
        <v/>
      </c>
      <c r="G197" s="230" t="n"/>
      <c r="H197" s="225">
        <f>IF(AND(A197="",A196&lt;&gt;"",COUNTIF(A198:$A$200,"&lt;&gt;")=0),ROUND(SUMIF($A$2:A196,"&lt;&gt;",$H$2:H196),2),IF(OR(A197="",G197="",C197="",NOT(ISNUMBER($Z$4))),"",ROUND(G197*C197*$Z$4,2)))</f>
        <v/>
      </c>
      <c r="I197" s="230" t="n"/>
      <c r="J197" s="225">
        <f>IF(AND(A197="",A196&lt;&gt;"",COUNTIF(A198:$A$200,"&lt;&gt;")=0),ROUND(SUMIF($A$2:A196,"&lt;&gt;",$J$2:J196),2),IF(OR(A197="",I197="",C197="",NOT(ISNUMBER($Z$5))),"",ROUND(I197*C197*$Z$5,2)))</f>
        <v/>
      </c>
      <c r="K197" s="230" t="n"/>
      <c r="L197" s="225">
        <f>IF(AND(A197="",A196&lt;&gt;"",COUNTIF(A198:$A$200,"&lt;&gt;")=0),ROUND(SUMIF($A$2:A196,"&lt;&gt;",$L$2:L196),2),IF(OR(A197="",K197="",C197="",NOT(ISNUMBER($Z$6))),"",ROUND(K197*C197*$Z$6,2)))</f>
        <v/>
      </c>
      <c r="M197" s="231">
        <f>IF(OR(E197="",G197=""),"",ROUND(MAX(E197-G197,0),2))</f>
        <v/>
      </c>
      <c r="N197" s="225">
        <f>IF(AND(A197="",A196&lt;&gt;"",COUNTIF(A198:$A$200,"&lt;&gt;")=0),ROUND(SUMIF($A$2:A196,"&lt;&gt;",$N$2:N196),2),IF(OR(M197="",C197="",NOT(ISNUMBER($Z$3))),"",ROUND(M197*C197*$Z$3,2)))</f>
        <v/>
      </c>
      <c r="O197" s="231">
        <f>IF(OR(G197="",I197=""),"",ROUND(MAX(G197-I197,0),2))</f>
        <v/>
      </c>
      <c r="P197" s="225">
        <f>IF(AND(A197="",A196&lt;&gt;"",COUNTIF(A198:$A$200,"&lt;&gt;")=0),ROUND(SUMIF($A$2:A196,"&lt;&gt;",$P$2:P196),2),IF(OR(O197="",C197="",NOT(ISNUMBER($Z$4))),"",ROUND(O197*C197*$Z$4,2)))</f>
        <v/>
      </c>
      <c r="Q197" s="231">
        <f>IF(OR(I197="",K197=""),"",ROUND(MAX(I197-K197,0),2))</f>
        <v/>
      </c>
      <c r="R197" s="225">
        <f>IF(AND(A197="",A196&lt;&gt;"",COUNTIF(A198:$A$200,"&lt;&gt;")=0),ROUND(SUMIF($A$2:A196,"&lt;&gt;",$R$2:R196),2),IF(OR(Q197="",C197="",NOT(ISNUMBER($Z$5))),"",ROUND(Q197*C197*$Z$5,2)))</f>
        <v/>
      </c>
      <c r="S197" s="112" t="n"/>
      <c r="T197" s="245" t="n"/>
      <c r="U197" s="233">
        <f>IF(AND(A197="",A196&lt;&gt;"",COUNTIF(A198:$A$200,"&lt;&gt;")=0),"TOTAL",IF(A197="","",IF(AND(G197&lt;&gt;"",E197&lt;&gt;"",G197&gt;E197),"ALERTA: REM_C2&gt;REM_C1",IF(AND(I197&lt;&gt;"",G197&lt;&gt;"",I197&gt;G197),"ALERTA: REM_C3&gt;REM_C2",IF(AND(K197&lt;&gt;"",I197&lt;&gt;"",K197&gt;I197),"ALERTA: REM_C4&gt;REM_C3","OK")))))</f>
        <v/>
      </c>
      <c r="V197" s="233">
        <f>IF(A197="","",IF(B197="","",IF(OR(B197&lt;0,E197&gt;B197,G197&gt;B197,I197&gt;B197,K197&gt;B197),"ALERTA: QTD_INVALIDA","OK")))</f>
        <v/>
      </c>
      <c r="W197" s="17" t="n"/>
      <c r="X197" s="17" t="n"/>
      <c r="Y197" s="17" t="n"/>
      <c r="Z197" s="17" t="n"/>
      <c r="AA197" s="17" t="n"/>
      <c r="AB197" s="231">
        <f>IF(OR(A197="",E197=""),"",ROUND(B197-E197,2))</f>
        <v/>
      </c>
      <c r="AC197" s="225">
        <f>IF(AND(A197="",A196&lt;&gt;"",COUNTIF(A198:$A$200,"&lt;&gt;")=0),ROUND(SUMIF($A$2:A196,"&lt;&gt;",$AC$2:AC196),2),IF(OR(A197="",E197=""),"",ROUND(D197-E197*C197,2)))</f>
        <v/>
      </c>
      <c r="AD197" s="17" t="n"/>
    </row>
    <row r="198">
      <c r="A198" s="227" t="n"/>
      <c r="B198" s="228" t="n"/>
      <c r="C198" s="229" t="n"/>
      <c r="D198" s="225">
        <f>IF(AND(A198="",A197&lt;&gt;"",COUNTIF(A199:$A$200,"&lt;&gt;")=0),ROUND(SUMIF($A$2:A197,"&lt;&gt;",$D$2:D197),2),IF(OR(A198="",B198="",C198=""),"",ROUND(B198*C198,2)))</f>
        <v/>
      </c>
      <c r="E198" s="230" t="n"/>
      <c r="F198" s="225">
        <f>IF(AND(A198="",A197&lt;&gt;"",COUNTIF(A199:$A$200,"&lt;&gt;")=0),ROUND(SUMIF($A$2:A197,"&lt;&gt;",$F$2:F197),2),IF(OR(A198="",E198="",C198="",NOT(ISNUMBER($Z$3))),"",ROUND(E198*C198*$Z$3,2)))</f>
        <v/>
      </c>
      <c r="G198" s="230" t="n"/>
      <c r="H198" s="225">
        <f>IF(AND(A198="",A197&lt;&gt;"",COUNTIF(A199:$A$200,"&lt;&gt;")=0),ROUND(SUMIF($A$2:A197,"&lt;&gt;",$H$2:H197),2),IF(OR(A198="",G198="",C198="",NOT(ISNUMBER($Z$4))),"",ROUND(G198*C198*$Z$4,2)))</f>
        <v/>
      </c>
      <c r="I198" s="230" t="n"/>
      <c r="J198" s="225">
        <f>IF(AND(A198="",A197&lt;&gt;"",COUNTIF(A199:$A$200,"&lt;&gt;")=0),ROUND(SUMIF($A$2:A197,"&lt;&gt;",$J$2:J197),2),IF(OR(A198="",I198="",C198="",NOT(ISNUMBER($Z$5))),"",ROUND(I198*C198*$Z$5,2)))</f>
        <v/>
      </c>
      <c r="K198" s="230" t="n"/>
      <c r="L198" s="225">
        <f>IF(AND(A198="",A197&lt;&gt;"",COUNTIF(A199:$A$200,"&lt;&gt;")=0),ROUND(SUMIF($A$2:A197,"&lt;&gt;",$L$2:L197),2),IF(OR(A198="",K198="",C198="",NOT(ISNUMBER($Z$6))),"",ROUND(K198*C198*$Z$6,2)))</f>
        <v/>
      </c>
      <c r="M198" s="231">
        <f>IF(OR(E198="",G198=""),"",ROUND(MAX(E198-G198,0),2))</f>
        <v/>
      </c>
      <c r="N198" s="225">
        <f>IF(AND(A198="",A197&lt;&gt;"",COUNTIF(A199:$A$200,"&lt;&gt;")=0),ROUND(SUMIF($A$2:A197,"&lt;&gt;",$N$2:N197),2),IF(OR(M198="",C198="",NOT(ISNUMBER($Z$3))),"",ROUND(M198*C198*$Z$3,2)))</f>
        <v/>
      </c>
      <c r="O198" s="231">
        <f>IF(OR(G198="",I198=""),"",ROUND(MAX(G198-I198,0),2))</f>
        <v/>
      </c>
      <c r="P198" s="225">
        <f>IF(AND(A198="",A197&lt;&gt;"",COUNTIF(A199:$A$200,"&lt;&gt;")=0),ROUND(SUMIF($A$2:A197,"&lt;&gt;",$P$2:P197),2),IF(OR(O198="",C198="",NOT(ISNUMBER($Z$4))),"",ROUND(O198*C198*$Z$4,2)))</f>
        <v/>
      </c>
      <c r="Q198" s="231">
        <f>IF(OR(I198="",K198=""),"",ROUND(MAX(I198-K198,0),2))</f>
        <v/>
      </c>
      <c r="R198" s="225">
        <f>IF(AND(A198="",A197&lt;&gt;"",COUNTIF(A199:$A$200,"&lt;&gt;")=0),ROUND(SUMIF($A$2:A197,"&lt;&gt;",$R$2:R197),2),IF(OR(Q198="",C198="",NOT(ISNUMBER($Z$5))),"",ROUND(Q198*C198*$Z$5,2)))</f>
        <v/>
      </c>
      <c r="S198" s="112" t="n"/>
      <c r="T198" s="245" t="n"/>
      <c r="U198" s="233">
        <f>IF(AND(A198="",A197&lt;&gt;"",COUNTIF(A199:$A$200,"&lt;&gt;")=0),"TOTAL",IF(A198="","",IF(AND(G198&lt;&gt;"",E198&lt;&gt;"",G198&gt;E198),"ALERTA: REM_C2&gt;REM_C1",IF(AND(I198&lt;&gt;"",G198&lt;&gt;"",I198&gt;G198),"ALERTA: REM_C3&gt;REM_C2",IF(AND(K198&lt;&gt;"",I198&lt;&gt;"",K198&gt;I198),"ALERTA: REM_C4&gt;REM_C3","OK")))))</f>
        <v/>
      </c>
      <c r="V198" s="233">
        <f>IF(A198="","",IF(B198="","",IF(OR(B198&lt;0,E198&gt;B198,G198&gt;B198,I198&gt;B198,K198&gt;B198),"ALERTA: QTD_INVALIDA","OK")))</f>
        <v/>
      </c>
      <c r="W198" s="17" t="n"/>
      <c r="X198" s="17" t="n"/>
      <c r="Y198" s="17" t="n"/>
      <c r="Z198" s="17" t="n"/>
      <c r="AA198" s="17" t="n"/>
      <c r="AB198" s="231">
        <f>IF(OR(A198="",E198=""),"",ROUND(B198-E198,2))</f>
        <v/>
      </c>
      <c r="AC198" s="225">
        <f>IF(AND(A198="",A197&lt;&gt;"",COUNTIF(A199:$A$200,"&lt;&gt;")=0),ROUND(SUMIF($A$2:A197,"&lt;&gt;",$AC$2:AC197),2),IF(OR(A198="",E198=""),"",ROUND(D198-E198*C198,2)))</f>
        <v/>
      </c>
      <c r="AD198" s="17" t="n"/>
    </row>
    <row r="199">
      <c r="A199" s="227" t="n"/>
      <c r="B199" s="228" t="n"/>
      <c r="C199" s="229" t="n"/>
      <c r="D199" s="225">
        <f>IF(AND(A199="",A198&lt;&gt;"",COUNTIF(A200:$A$200,"&lt;&gt;")=0),ROUND(SUMIF($A$2:A198,"&lt;&gt;",$D$2:D198),2),IF(OR(A199="",B199="",C199=""),"",ROUND(B199*C199,2)))</f>
        <v/>
      </c>
      <c r="E199" s="230" t="n"/>
      <c r="F199" s="225">
        <f>IF(AND(A199="",A198&lt;&gt;"",COUNTIF(A200:$A$200,"&lt;&gt;")=0),ROUND(SUMIF($A$2:A198,"&lt;&gt;",$F$2:F198),2),IF(OR(A199="",E199="",C199="",NOT(ISNUMBER($Z$3))),"",ROUND(E199*C199*$Z$3,2)))</f>
        <v/>
      </c>
      <c r="G199" s="230" t="n"/>
      <c r="H199" s="225">
        <f>IF(AND(A199="",A198&lt;&gt;"",COUNTIF(A200:$A$200,"&lt;&gt;")=0),ROUND(SUMIF($A$2:A198,"&lt;&gt;",$H$2:H198),2),IF(OR(A199="",G199="",C199="",NOT(ISNUMBER($Z$4))),"",ROUND(G199*C199*$Z$4,2)))</f>
        <v/>
      </c>
      <c r="I199" s="230" t="n"/>
      <c r="J199" s="225">
        <f>IF(AND(A199="",A198&lt;&gt;"",COUNTIF(A200:$A$200,"&lt;&gt;")=0),ROUND(SUMIF($A$2:A198,"&lt;&gt;",$J$2:J198),2),IF(OR(A199="",I199="",C199="",NOT(ISNUMBER($Z$5))),"",ROUND(I199*C199*$Z$5,2)))</f>
        <v/>
      </c>
      <c r="K199" s="230" t="n"/>
      <c r="L199" s="225">
        <f>IF(AND(A199="",A198&lt;&gt;"",COUNTIF(A200:$A$200,"&lt;&gt;")=0),ROUND(SUMIF($A$2:A198,"&lt;&gt;",$L$2:L198),2),IF(OR(A199="",K199="",C199="",NOT(ISNUMBER($Z$6))),"",ROUND(K199*C199*$Z$6,2)))</f>
        <v/>
      </c>
      <c r="M199" s="231">
        <f>IF(OR(E199="",G199=""),"",ROUND(MAX(E199-G199,0),2))</f>
        <v/>
      </c>
      <c r="N199" s="225">
        <f>IF(AND(A199="",A198&lt;&gt;"",COUNTIF(A200:$A$200,"&lt;&gt;")=0),ROUND(SUMIF($A$2:A198,"&lt;&gt;",$N$2:N198),2),IF(OR(M199="",C199="",NOT(ISNUMBER($Z$3))),"",ROUND(M199*C199*$Z$3,2)))</f>
        <v/>
      </c>
      <c r="O199" s="231">
        <f>IF(OR(G199="",I199=""),"",ROUND(MAX(G199-I199,0),2))</f>
        <v/>
      </c>
      <c r="P199" s="225">
        <f>IF(AND(A199="",A198&lt;&gt;"",COUNTIF(A200:$A$200,"&lt;&gt;")=0),ROUND(SUMIF($A$2:A198,"&lt;&gt;",$P$2:P198),2),IF(OR(O199="",C199="",NOT(ISNUMBER($Z$4))),"",ROUND(O199*C199*$Z$4,2)))</f>
        <v/>
      </c>
      <c r="Q199" s="231">
        <f>IF(OR(I199="",K199=""),"",ROUND(MAX(I199-K199,0),2))</f>
        <v/>
      </c>
      <c r="R199" s="225">
        <f>IF(AND(A199="",A198&lt;&gt;"",COUNTIF(A200:$A$200,"&lt;&gt;")=0),ROUND(SUMIF($A$2:A198,"&lt;&gt;",$R$2:R198),2),IF(OR(Q199="",C199="",NOT(ISNUMBER($Z$5))),"",ROUND(Q199*C199*$Z$5,2)))</f>
        <v/>
      </c>
      <c r="S199" s="112" t="n"/>
      <c r="T199" s="245" t="n"/>
      <c r="U199" s="233">
        <f>IF(AND(A199="",A198&lt;&gt;"",COUNTIF(A200:$A$200,"&lt;&gt;")=0),"TOTAL",IF(A199="","",IF(AND(G199&lt;&gt;"",E199&lt;&gt;"",G199&gt;E199),"ALERTA: REM_C2&gt;REM_C1",IF(AND(I199&lt;&gt;"",G199&lt;&gt;"",I199&gt;G199),"ALERTA: REM_C3&gt;REM_C2",IF(AND(K199&lt;&gt;"",I199&lt;&gt;"",K199&gt;I199),"ALERTA: REM_C4&gt;REM_C3","OK")))))</f>
        <v/>
      </c>
      <c r="V199" s="233">
        <f>IF(A199="","",IF(B199="","",IF(OR(B199&lt;0,E199&gt;B199,G199&gt;B199,I199&gt;B199,K199&gt;B199),"ALERTA: QTD_INVALIDA","OK")))</f>
        <v/>
      </c>
      <c r="W199" s="17" t="n"/>
      <c r="X199" s="17" t="n"/>
      <c r="Y199" s="17" t="n"/>
      <c r="Z199" s="17" t="n"/>
      <c r="AA199" s="17" t="n"/>
      <c r="AB199" s="231">
        <f>IF(OR(A199="",E199=""),"",ROUND(B199-E199,2))</f>
        <v/>
      </c>
      <c r="AC199" s="225">
        <f>IF(AND(A199="",A198&lt;&gt;"",COUNTIF(A200:$A$200,"&lt;&gt;")=0),ROUND(SUMIF($A$2:A198,"&lt;&gt;",$AC$2:AC198),2),IF(OR(A199="",E199=""),"",ROUND(D199-E199*C199,2)))</f>
        <v/>
      </c>
      <c r="AD199" s="17" t="n"/>
    </row>
    <row r="200">
      <c r="A200" s="227" t="n"/>
      <c r="B200" s="228" t="n"/>
      <c r="C200" s="229" t="n"/>
      <c r="D200" s="225">
        <f>IF(AND(A200="",A199&lt;&gt;"",COUNTIF(A201:$A$200,"&lt;&gt;")=0),ROUND(SUMIF($A$2:A199,"&lt;&gt;",$D$2:D199),2),IF(OR(A200="",B200="",C200=""),"",ROUND(B200*C200,2)))</f>
        <v/>
      </c>
      <c r="E200" s="230" t="n"/>
      <c r="F200" s="225">
        <f>IF(AND(A200="",A199&lt;&gt;"",COUNTIF(A201:$A$200,"&lt;&gt;")=0),ROUND(SUMIF($A$2:A199,"&lt;&gt;",$F$2:F199),2),IF(OR(A200="",E200="",C200="",NOT(ISNUMBER($Z$3))),"",ROUND(E200*C200*$Z$3,2)))</f>
        <v/>
      </c>
      <c r="G200" s="230" t="n"/>
      <c r="H200" s="225">
        <f>IF(AND(A200="",A199&lt;&gt;"",COUNTIF(A201:$A$200,"&lt;&gt;")=0),ROUND(SUMIF($A$2:A199,"&lt;&gt;",$H$2:H199),2),IF(OR(A200="",G200="",C200="",NOT(ISNUMBER($Z$4))),"",ROUND(G200*C200*$Z$4,2)))</f>
        <v/>
      </c>
      <c r="I200" s="230" t="n"/>
      <c r="J200" s="225">
        <f>IF(AND(A200="",A199&lt;&gt;"",COUNTIF(A201:$A$200,"&lt;&gt;")=0),ROUND(SUMIF($A$2:A199,"&lt;&gt;",$J$2:J199),2),IF(OR(A200="",I200="",C200="",NOT(ISNUMBER($Z$5))),"",ROUND(I200*C200*$Z$5,2)))</f>
        <v/>
      </c>
      <c r="K200" s="230" t="n"/>
      <c r="L200" s="225">
        <f>IF(AND(A200="",A199&lt;&gt;"",COUNTIF(A201:$A$200,"&lt;&gt;")=0),ROUND(SUMIF($A$2:A199,"&lt;&gt;",$L$2:L199),2),IF(OR(A200="",K200="",C200="",NOT(ISNUMBER($Z$6))),"",ROUND(K200*C200*$Z$6,2)))</f>
        <v/>
      </c>
      <c r="M200" s="231">
        <f>IF(OR(E200="",G200=""),"",ROUND(MAX(E200-G200,0),2))</f>
        <v/>
      </c>
      <c r="N200" s="225">
        <f>IF(AND(A200="",A199&lt;&gt;"",COUNTIF(A201:$A$200,"&lt;&gt;")=0),ROUND(SUMIF($A$2:A199,"&lt;&gt;",$N$2:N199),2),IF(OR(M200="",C200="",NOT(ISNUMBER($Z$3))),"",ROUND(M200*C200*$Z$3,2)))</f>
        <v/>
      </c>
      <c r="O200" s="231">
        <f>IF(OR(G200="",I200=""),"",ROUND(MAX(G200-I200,0),2))</f>
        <v/>
      </c>
      <c r="P200" s="225">
        <f>IF(AND(A200="",A199&lt;&gt;"",COUNTIF(A201:$A$200,"&lt;&gt;")=0),ROUND(SUMIF($A$2:A199,"&lt;&gt;",$P$2:P199),2),IF(OR(O200="",C200="",NOT(ISNUMBER($Z$4))),"",ROUND(O200*C200*$Z$4,2)))</f>
        <v/>
      </c>
      <c r="Q200" s="231">
        <f>IF(OR(I200="",K200=""),"",ROUND(MAX(I200-K200,0),2))</f>
        <v/>
      </c>
      <c r="R200" s="225">
        <f>IF(AND(A200="",A199&lt;&gt;"",COUNTIF(A201:$A$200,"&lt;&gt;")=0),ROUND(SUMIF($A$2:A199,"&lt;&gt;",$R$2:R199),2),IF(OR(Q200="",C200="",NOT(ISNUMBER($Z$5))),"",ROUND(Q200*C200*$Z$5,2)))</f>
        <v/>
      </c>
      <c r="S200" s="112" t="n"/>
      <c r="T200" s="245" t="n"/>
      <c r="U200" s="233">
        <f>IF(AND(A200="",A199&lt;&gt;"",COUNTIF(A201:$A$200,"&lt;&gt;")=0),"TOTAL",IF(A200="","",IF(AND(G200&lt;&gt;"",E200&lt;&gt;"",G200&gt;E200),"ALERTA: REM_C2&gt;REM_C1",IF(AND(I200&lt;&gt;"",G200&lt;&gt;"",I200&gt;G200),"ALERTA: REM_C3&gt;REM_C2",IF(AND(K200&lt;&gt;"",I200&lt;&gt;"",K200&gt;I200),"ALERTA: REM_C4&gt;REM_C3","OK")))))</f>
        <v/>
      </c>
      <c r="V200" s="233">
        <f>IF(A200="","",IF(B200="","",IF(OR(B200&lt;0,E200&gt;B200,G200&gt;B200,I200&gt;B200,K200&gt;B200),"ALERTA: QTD_INVALIDA","OK")))</f>
        <v/>
      </c>
      <c r="W200" s="17" t="n"/>
      <c r="X200" s="17" t="n"/>
      <c r="Y200" s="17" t="n"/>
      <c r="Z200" s="17" t="n"/>
      <c r="AA200" s="17" t="n"/>
      <c r="AB200" s="231">
        <f>IF(OR(A200="",E200=""),"",ROUND(B200-E200,2))</f>
        <v/>
      </c>
      <c r="AC200" s="225">
        <f>IF(AND(A200="",A199&lt;&gt;"",COUNTIF(A201:$A$200,"&lt;&gt;")=0),ROUND(SUMIF($A$2:A199,"&lt;&gt;",$AC$2:AC199),2),IF(OR(A200="",E200=""),"",ROUND(D200-E200*C200,2)))</f>
        <v/>
      </c>
      <c r="AD200" s="17" t="n"/>
    </row>
    <row r="201">
      <c r="A201" s="34" t="n"/>
      <c r="B201" s="34" t="n"/>
      <c r="C201" s="34" t="n"/>
      <c r="D201" s="233">
        <f>IF(AND(A201="",A200&lt;&gt;"",COUNTIF(A202:$A$200,"&lt;&gt;")=0),ROUND(SUMIF($A$2:A200,"&lt;&gt;",$D$2:D200),2),IF(OR(A201="",B201="",C201=""),"",ROUND(B201*C201,2)))</f>
        <v/>
      </c>
      <c r="E201" s="35" t="n"/>
      <c r="F201" s="233">
        <f>IF(AND(A201="",A200&lt;&gt;"",COUNTIF(A202:$A$200,"&lt;&gt;")=0),ROUND(SUMIF($A$2:A200,"&lt;&gt;",$F$2:F200),2),IF(OR(A201="",E201="",C201="",NOT(ISNUMBER($Z$3))),"",ROUND(E201*C201*$Z$3,2)))</f>
        <v/>
      </c>
      <c r="G201" s="35" t="n"/>
      <c r="H201" s="233">
        <f>IF(AND(A201="",A200&lt;&gt;"",COUNTIF(A202:$A$200,"&lt;&gt;")=0),ROUND(SUMIF($A$2:A200,"&lt;&gt;",$H$2:H200),2),IF(OR(A201="",G201="",C201="",NOT(ISNUMBER($Z$4))),"",ROUND(G201*C201*$Z$4,2)))</f>
        <v/>
      </c>
      <c r="I201" s="35" t="n"/>
      <c r="J201" s="233">
        <f>IF(AND(A201="",A200&lt;&gt;"",COUNTIF(A202:$A$200,"&lt;&gt;")=0),ROUND(SUMIF($A$2:A200,"&lt;&gt;",$J$2:J200),2),IF(OR(A201="",I201="",C201="",NOT(ISNUMBER($Z$5))),"",ROUND(I201*C201*$Z$5,2)))</f>
        <v/>
      </c>
      <c r="K201" s="35" t="n"/>
      <c r="L201" s="233">
        <f>IF(AND(A201="",A200&lt;&gt;"",COUNTIF(A202:$A$200,"&lt;&gt;")=0),ROUND(SUMIF($A$2:A200,"&lt;&gt;",$L$2:L200),2),IF(OR(A201="",K201="",C201="",NOT(ISNUMBER($Z$6))),"",ROUND(K201*C201*$Z$6,2)))</f>
        <v/>
      </c>
      <c r="M201" s="35" t="n"/>
      <c r="N201" s="233">
        <f>IF(AND(A201="",A200&lt;&gt;"",COUNTIF(A202:$A$200,"&lt;&gt;")=0),ROUND(SUMIF($A$2:A200,"&lt;&gt;",$N$2:N200),2),IF(OR(M201="",C201="",NOT(ISNUMBER($Z$3))),"",ROUND(M201*C201*$Z$3,2)))</f>
        <v/>
      </c>
      <c r="O201" s="22" t="n"/>
      <c r="P201" s="233">
        <f>IF(AND(A201="",A200&lt;&gt;"",COUNTIF(A202:$A$200,"&lt;&gt;")=0),ROUND(SUMIF($A$2:A200,"&lt;&gt;",$P$2:P200),2),IF(OR(O201="",C201="",NOT(ISNUMBER($Z$4))),"",ROUND(O201*C201*$Z$4,2)))</f>
        <v/>
      </c>
      <c r="Q201" s="34" t="n"/>
      <c r="R201" s="233">
        <f>IF(AND(A201="",A200&lt;&gt;"",COUNTIF(A202:$A$200,"&lt;&gt;")=0),ROUND(SUMIF($A$2:A200,"&lt;&gt;",$R$2:R200),2),IF(OR(Q201="",C201="",NOT(ISNUMBER($Z$5))),"",ROUND(Q201*C201*$Z$5,2)))</f>
        <v/>
      </c>
      <c r="S201" s="34" t="n"/>
      <c r="T201" s="34" t="n"/>
      <c r="U201" s="22">
        <f>IF(AND(A201="",A200&lt;&gt;"",COUNTIF(A202:$A$200,"&lt;&gt;")=0),"TOTAL",IF(A201="","",IF(AND(G201&lt;&gt;"",E201&lt;&gt;"",G201&gt;E201),"ALERTA: REM_C2&gt;REM_C1",IF(AND(I201&lt;&gt;"",G201&lt;&gt;"",I201&gt;G201),"ALERTA: REM_C3&gt;REM_C2",IF(AND(K201&lt;&gt;"",I201&lt;&gt;"",K201&gt;I201),"ALERTA: REM_C4&gt;REM_C3","OK")))))</f>
        <v/>
      </c>
      <c r="V201" s="17" t="n"/>
      <c r="W201" s="17" t="n"/>
      <c r="X201" s="17" t="n"/>
      <c r="Y201" s="17" t="n"/>
      <c r="Z201" s="17" t="n"/>
      <c r="AA201" s="17" t="n"/>
      <c r="AB201" s="17" t="n"/>
      <c r="AC201" s="233">
        <f>IF(AND(A201="",A200&lt;&gt;"",COUNTIF(A202:$A$200,"&lt;&gt;")=0),ROUND(SUMIF($A$2:A200,"&lt;&gt;",$AC$2:AC200),2),IF(OR(A201="",E201=""),"",ROUND(D201-E201*C201,2)))</f>
        <v/>
      </c>
      <c r="AD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</row>
  </sheetData>
  <conditionalFormatting sqref="A2:AC201">
    <cfRule type="expression" priority="2" dxfId="19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min="1" max="1"/>
    <col width="20" customWidth="1" min="2" max="2"/>
    <col width="18" customWidth="1" min="3" max="4"/>
    <col width="18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6" customWidth="1" min="13" max="13"/>
    <col width="17" customWidth="1" min="14" max="14"/>
    <col width="18" customWidth="1" min="15" max="15"/>
    <col width="20" customWidth="1" min="16" max="16"/>
    <col width="34" customWidth="1" min="17" max="17"/>
    <col width="10" customWidth="1" min="18" max="18"/>
    <col width="24" customWidth="1" min="19" max="19"/>
    <col width="16" customWidth="1" min="20" max="21"/>
  </cols>
  <sheetData>
    <row r="1" ht="24" customHeight="1">
      <c r="A1" s="363" t="inlineStr">
        <is>
          <t>ITEM</t>
        </is>
      </c>
      <c r="B1" s="364" t="inlineStr">
        <is>
          <t>QTD_CONTRATADA</t>
        </is>
      </c>
      <c r="C1" s="365" t="inlineStr">
        <is>
          <t>VU_ORIGINAL</t>
        </is>
      </c>
      <c r="D1" s="365" t="inlineStr">
        <is>
          <t>VALOR_TOTAL</t>
        </is>
      </c>
      <c r="E1" s="366" t="inlineStr">
        <is>
          <t>QTD_CONS_C0</t>
        </is>
      </c>
      <c r="F1" s="367" t="inlineStr">
        <is>
          <t>VALOR_CONS_C0</t>
        </is>
      </c>
      <c r="G1" s="368" t="inlineStr">
        <is>
          <t>QTD_CONS_C1</t>
        </is>
      </c>
      <c r="H1" s="369" t="inlineStr">
        <is>
          <t>VALOR_CONS_C1</t>
        </is>
      </c>
      <c r="I1" s="366" t="inlineStr">
        <is>
          <t>QTD_CONS_C2</t>
        </is>
      </c>
      <c r="J1" s="367" t="inlineStr">
        <is>
          <t>VALOR_CONS_C2</t>
        </is>
      </c>
      <c r="K1" s="368" t="inlineStr">
        <is>
          <t>QTD_CONS_C3</t>
        </is>
      </c>
      <c r="L1" s="369" t="inlineStr">
        <is>
          <t>VALOR_CONS_C3</t>
        </is>
      </c>
      <c r="M1" s="366" t="inlineStr">
        <is>
          <t>QTD_CONS_C4</t>
        </is>
      </c>
      <c r="N1" s="367" t="inlineStr">
        <is>
          <t>VALOR_CONS_C4</t>
        </is>
      </c>
      <c r="O1" s="364" t="inlineStr">
        <is>
          <t>CONS_QTD_TOTAL</t>
        </is>
      </c>
      <c r="P1" s="365" t="inlineStr">
        <is>
          <t>CONS_VALOR_TOTAL</t>
        </is>
      </c>
      <c r="Q1" s="370" t="inlineStr">
        <is>
          <t>CHECK</t>
        </is>
      </c>
      <c r="R1" s="371" t="inlineStr">
        <is>
          <t>CICLO</t>
        </is>
      </c>
      <c r="S1" s="371" t="inlineStr">
        <is>
          <t>COMPUTAR_NESTA_APURACAO</t>
        </is>
      </c>
      <c r="T1" s="371" t="inlineStr">
        <is>
          <t>FATOR_PROPRIO</t>
        </is>
      </c>
      <c r="U1" s="371" t="inlineStr">
        <is>
          <t>FATOR_ACUMULADO</t>
        </is>
      </c>
      <c r="V1" s="17" t="n"/>
      <c r="W1" s="17" t="n"/>
    </row>
    <row r="2">
      <c r="A2" s="255" t="n"/>
      <c r="B2" s="256" t="n"/>
      <c r="C2" s="257" t="n"/>
      <c r="D2" s="225">
        <f>IF(OR(A2="",B2="",C2=""),"",ROUND(B2*C2,2))</f>
        <v/>
      </c>
      <c r="E2" s="256" t="n"/>
      <c r="F2" s="225">
        <f>IF(OR(A2="",E2="",C2="",NOT(ISNUMBER($U$2))),"",ROUND(E2*C2*$U$2,2))</f>
        <v/>
      </c>
      <c r="G2" s="256" t="n"/>
      <c r="H2" s="225">
        <f>IF(OR(A2="",G2="",C2="",NOT(ISNUMBER($U$3))),"",ROUND(G2*C2*$U$3,2))</f>
        <v/>
      </c>
      <c r="I2" s="256" t="n"/>
      <c r="J2" s="225">
        <f>IF(OR(A2="",I2="",C2="",NOT(ISNUMBER($U$4))),"",ROUND(I2*C2*$U$4,2))</f>
        <v/>
      </c>
      <c r="K2" s="256" t="n"/>
      <c r="L2" s="225">
        <f>IF(OR(A2="",K2="",C2="",NOT(ISNUMBER($U$5))),"",ROUND(K2*C2*$U$5,2))</f>
        <v/>
      </c>
      <c r="M2" s="256" t="n"/>
      <c r="N2" s="225">
        <f>IF(OR(A2="",M2="",C2="",NOT(ISNUMBER($U$6))),"",ROUND(M2*C2*$U$6,2))</f>
        <v/>
      </c>
      <c r="O2" s="231">
        <f>IF(A2="","",SUM(E2,G2,I2,K2,M2))</f>
        <v/>
      </c>
      <c r="P2" s="225">
        <f>IF(A2="","",SUM(F2,H2,J2,L2,N2))</f>
        <v/>
      </c>
      <c r="Q2" s="233">
        <f>IF(A2="","",IF(O2&gt;B2,"DIVERGENCIA: CONSUMO MAIOR QUE CONTRATADO","OK"))</f>
        <v/>
      </c>
      <c r="R2" s="29" t="inlineStr">
        <is>
          <t>C0</t>
        </is>
      </c>
      <c r="S2" s="258">
        <f>parametros!$A$2</f>
        <v/>
      </c>
      <c r="T2" s="259">
        <f>IF(ISNUMBER(parametros!$E$2),parametros!$E$2,"")</f>
        <v/>
      </c>
      <c r="U2" s="260">
        <f>IF(ISNUMBER(parametros!$F$2),parametros!$F$2,"")</f>
        <v/>
      </c>
      <c r="V2" s="19" t="n"/>
      <c r="W2" s="19" t="n"/>
    </row>
    <row r="3">
      <c r="A3" s="255" t="n"/>
      <c r="B3" s="256" t="n"/>
      <c r="C3" s="257" t="n"/>
      <c r="D3" s="225">
        <f>IF(OR(A3="",B3="",C3=""),"",ROUND(B3*C3,2))</f>
        <v/>
      </c>
      <c r="E3" s="256" t="n"/>
      <c r="F3" s="225">
        <f>IF(OR(A3="",E3="",C3="",NOT(ISNUMBER($U$2))),"",ROUND(E3*C3*$U$2,2))</f>
        <v/>
      </c>
      <c r="G3" s="256" t="n"/>
      <c r="H3" s="225">
        <f>IF(OR(A3="",G3="",C3="",NOT(ISNUMBER($U$3))),"",ROUND(G3*C3*$U$3,2))</f>
        <v/>
      </c>
      <c r="I3" s="256" t="n"/>
      <c r="J3" s="225">
        <f>IF(OR(A3="",I3="",C3="",NOT(ISNUMBER($U$4))),"",ROUND(I3*C3*$U$4,2))</f>
        <v/>
      </c>
      <c r="K3" s="256" t="n"/>
      <c r="L3" s="225">
        <f>IF(OR(A3="",K3="",C3="",NOT(ISNUMBER($U$5))),"",ROUND(K3*C3*$U$5,2))</f>
        <v/>
      </c>
      <c r="M3" s="256" t="n"/>
      <c r="N3" s="225">
        <f>IF(OR(A3="",M3="",C3="",NOT(ISNUMBER($U$6))),"",ROUND(M3*C3*$U$6,2))</f>
        <v/>
      </c>
      <c r="O3" s="231">
        <f>IF(A3="","",SUM(E3,G3,I3,K3,M3))</f>
        <v/>
      </c>
      <c r="P3" s="225">
        <f>IF(A3="","",SUM(F3,H3,J3,L3,N3))</f>
        <v/>
      </c>
      <c r="Q3" s="233">
        <f>IF(A3="","",IF(O3&gt;B3,"DIVERGENCIA: CONSUMO MAIOR QUE CONTRATADO","OK"))</f>
        <v/>
      </c>
      <c r="R3" s="29" t="inlineStr">
        <is>
          <t>C1</t>
        </is>
      </c>
      <c r="S3" s="258">
        <f>parametros!$A$3</f>
        <v/>
      </c>
      <c r="T3" s="259">
        <f>IF(ISNUMBER(parametros!$E$3),parametros!$E$3,"")</f>
        <v/>
      </c>
      <c r="U3" s="260">
        <f>IF(ISNUMBER(parametros!$F$3),parametros!$F$3,"")</f>
        <v/>
      </c>
      <c r="V3" s="19" t="n"/>
      <c r="W3" s="19" t="n"/>
    </row>
    <row r="4">
      <c r="A4" s="255" t="n"/>
      <c r="B4" s="256" t="n"/>
      <c r="C4" s="257" t="n"/>
      <c r="D4" s="225">
        <f>IF(OR(A4="",B4="",C4=""),"",ROUND(B4*C4,2))</f>
        <v/>
      </c>
      <c r="E4" s="256" t="n"/>
      <c r="F4" s="225">
        <f>IF(OR(A4="",E4="",C4="",NOT(ISNUMBER($U$2))),"",ROUND(E4*C4*$U$2,2))</f>
        <v/>
      </c>
      <c r="G4" s="256" t="n"/>
      <c r="H4" s="225">
        <f>IF(OR(A4="",G4="",C4="",NOT(ISNUMBER($U$3))),"",ROUND(G4*C4*$U$3,2))</f>
        <v/>
      </c>
      <c r="I4" s="256" t="n"/>
      <c r="J4" s="225">
        <f>IF(OR(A4="",I4="",C4="",NOT(ISNUMBER($U$4))),"",ROUND(I4*C4*$U$4,2))</f>
        <v/>
      </c>
      <c r="K4" s="256" t="n"/>
      <c r="L4" s="225">
        <f>IF(OR(A4="",K4="",C4="",NOT(ISNUMBER($U$5))),"",ROUND(K4*C4*$U$5,2))</f>
        <v/>
      </c>
      <c r="M4" s="256" t="n"/>
      <c r="N4" s="225">
        <f>IF(OR(A4="",M4="",C4="",NOT(ISNUMBER($U$6))),"",ROUND(M4*C4*$U$6,2))</f>
        <v/>
      </c>
      <c r="O4" s="231">
        <f>IF(A4="","",SUM(E4,G4,I4,K4,M4))</f>
        <v/>
      </c>
      <c r="P4" s="225">
        <f>IF(A4="","",SUM(F4,H4,J4,L4,N4))</f>
        <v/>
      </c>
      <c r="Q4" s="233">
        <f>IF(A4="","",IF(O4&gt;B4,"DIVERGENCIA: CONSUMO MAIOR QUE CONTRATADO","OK"))</f>
        <v/>
      </c>
      <c r="R4" s="29" t="inlineStr">
        <is>
          <t>C2</t>
        </is>
      </c>
      <c r="S4" s="258">
        <f>parametros!$A$4</f>
        <v/>
      </c>
      <c r="T4" s="259">
        <f>IF(ISNUMBER(parametros!$E$4),parametros!$E$4,"")</f>
        <v/>
      </c>
      <c r="U4" s="260">
        <f>IF(ISNUMBER(parametros!$F$4),parametros!$F$4,"")</f>
        <v/>
      </c>
      <c r="V4" s="19" t="n"/>
      <c r="W4" s="19" t="n"/>
    </row>
    <row r="5">
      <c r="A5" s="255" t="n"/>
      <c r="B5" s="256" t="n"/>
      <c r="C5" s="257" t="n"/>
      <c r="D5" s="225">
        <f>IF(OR(A5="",B5="",C5=""),"",ROUND(B5*C5,2))</f>
        <v/>
      </c>
      <c r="E5" s="256" t="n"/>
      <c r="F5" s="225">
        <f>IF(OR(A5="",E5="",C5="",NOT(ISNUMBER($U$2))),"",ROUND(E5*C5*$U$2,2))</f>
        <v/>
      </c>
      <c r="G5" s="256" t="n"/>
      <c r="H5" s="225">
        <f>IF(OR(A5="",G5="",C5="",NOT(ISNUMBER($U$3))),"",ROUND(G5*C5*$U$3,2))</f>
        <v/>
      </c>
      <c r="I5" s="256" t="n"/>
      <c r="J5" s="225">
        <f>IF(OR(A5="",I5="",C5="",NOT(ISNUMBER($U$4))),"",ROUND(I5*C5*$U$4,2))</f>
        <v/>
      </c>
      <c r="K5" s="256" t="n"/>
      <c r="L5" s="225">
        <f>IF(OR(A5="",K5="",C5="",NOT(ISNUMBER($U$5))),"",ROUND(K5*C5*$U$5,2))</f>
        <v/>
      </c>
      <c r="M5" s="256" t="n"/>
      <c r="N5" s="225">
        <f>IF(OR(A5="",M5="",C5="",NOT(ISNUMBER($U$6))),"",ROUND(M5*C5*$U$6,2))</f>
        <v/>
      </c>
      <c r="O5" s="231">
        <f>IF(A5="","",SUM(E5,G5,I5,K5,M5))</f>
        <v/>
      </c>
      <c r="P5" s="225">
        <f>IF(A5="","",SUM(F5,H5,J5,L5,N5))</f>
        <v/>
      </c>
      <c r="Q5" s="233">
        <f>IF(A5="","",IF(O5&gt;B5,"DIVERGENCIA: CONSUMO MAIOR QUE CONTRATADO","OK"))</f>
        <v/>
      </c>
      <c r="R5" s="29" t="inlineStr">
        <is>
          <t>C3</t>
        </is>
      </c>
      <c r="S5" s="258">
        <f>parametros!$A$5</f>
        <v/>
      </c>
      <c r="T5" s="259">
        <f>IF(ISNUMBER(parametros!$E$5),parametros!$E$5,"")</f>
        <v/>
      </c>
      <c r="U5" s="260">
        <f>IF(ISNUMBER(parametros!$F$5),parametros!$F$5,"")</f>
        <v/>
      </c>
      <c r="V5" s="19" t="n"/>
      <c r="W5" s="19" t="n"/>
    </row>
    <row r="6">
      <c r="A6" s="255" t="n"/>
      <c r="B6" s="256" t="n"/>
      <c r="C6" s="257" t="n"/>
      <c r="D6" s="225">
        <f>IF(OR(A6="",B6="",C6=""),"",ROUND(B6*C6,2))</f>
        <v/>
      </c>
      <c r="E6" s="256" t="n"/>
      <c r="F6" s="225">
        <f>IF(OR(A6="",E6="",C6="",NOT(ISNUMBER($U$2))),"",ROUND(E6*C6*$U$2,2))</f>
        <v/>
      </c>
      <c r="G6" s="256" t="n"/>
      <c r="H6" s="225">
        <f>IF(OR(A6="",G6="",C6="",NOT(ISNUMBER($U$3))),"",ROUND(G6*C6*$U$3,2))</f>
        <v/>
      </c>
      <c r="I6" s="256" t="n"/>
      <c r="J6" s="225">
        <f>IF(OR(A6="",I6="",C6="",NOT(ISNUMBER($U$4))),"",ROUND(I6*C6*$U$4,2))</f>
        <v/>
      </c>
      <c r="K6" s="256" t="n"/>
      <c r="L6" s="225">
        <f>IF(OR(A6="",K6="",C6="",NOT(ISNUMBER($U$5))),"",ROUND(K6*C6*$U$5,2))</f>
        <v/>
      </c>
      <c r="M6" s="256" t="n"/>
      <c r="N6" s="225">
        <f>IF(OR(A6="",M6="",C6="",NOT(ISNUMBER($U$6))),"",ROUND(M6*C6*$U$6,2))</f>
        <v/>
      </c>
      <c r="O6" s="231">
        <f>IF(A6="","",SUM(E6,G6,I6,K6,M6))</f>
        <v/>
      </c>
      <c r="P6" s="225">
        <f>IF(A6="","",SUM(F6,H6,J6,L6,N6))</f>
        <v/>
      </c>
      <c r="Q6" s="233">
        <f>IF(A6="","",IF(O6&gt;B6,"DIVERGENCIA: CONSUMO MAIOR QUE CONTRATADO","OK"))</f>
        <v/>
      </c>
      <c r="R6" s="29" t="inlineStr">
        <is>
          <t>C4</t>
        </is>
      </c>
      <c r="S6" s="258">
        <f>parametros!$A$6</f>
        <v/>
      </c>
      <c r="T6" s="259">
        <f>IF(ISNUMBER(parametros!$E$6),parametros!$E$6,"")</f>
        <v/>
      </c>
      <c r="U6" s="260">
        <f>IF(ISNUMBER(parametros!$F$6),parametros!$F$6,"")</f>
        <v/>
      </c>
      <c r="V6" s="19" t="n"/>
      <c r="W6" s="19" t="n"/>
    </row>
    <row r="7">
      <c r="A7" s="255" t="n"/>
      <c r="B7" s="256" t="n"/>
      <c r="C7" s="257" t="n"/>
      <c r="D7" s="225">
        <f>IF(OR(A7="",B7="",C7=""),"",ROUND(B7*C7,2))</f>
        <v/>
      </c>
      <c r="E7" s="256" t="n"/>
      <c r="F7" s="225">
        <f>IF(OR(A7="",E7="",C7="",NOT(ISNUMBER($U$2))),"",ROUND(E7*C7*$U$2,2))</f>
        <v/>
      </c>
      <c r="G7" s="256" t="n"/>
      <c r="H7" s="225">
        <f>IF(OR(A7="",G7="",C7="",NOT(ISNUMBER($U$3))),"",ROUND(G7*C7*$U$3,2))</f>
        <v/>
      </c>
      <c r="I7" s="256" t="n"/>
      <c r="J7" s="225">
        <f>IF(OR(A7="",I7="",C7="",NOT(ISNUMBER($U$4))),"",ROUND(I7*C7*$U$4,2))</f>
        <v/>
      </c>
      <c r="K7" s="256" t="n"/>
      <c r="L7" s="225">
        <f>IF(OR(A7="",K7="",C7="",NOT(ISNUMBER($U$5))),"",ROUND(K7*C7*$U$5,2))</f>
        <v/>
      </c>
      <c r="M7" s="256" t="n"/>
      <c r="N7" s="225">
        <f>IF(OR(A7="",M7="",C7="",NOT(ISNUMBER($U$6))),"",ROUND(M7*C7*$U$6,2))</f>
        <v/>
      </c>
      <c r="O7" s="231">
        <f>IF(A7="","",SUM(E7,G7,I7,K7,M7))</f>
        <v/>
      </c>
      <c r="P7" s="225">
        <f>IF(A7="","",SUM(F7,H7,J7,L7,N7))</f>
        <v/>
      </c>
      <c r="Q7" s="233">
        <f>IF(A7="","",IF(O7&gt;B7,"DIVERGENCIA: CONSUMO MAIOR QUE CONTRATADO","OK"))</f>
        <v/>
      </c>
      <c r="R7" s="19" t="n"/>
      <c r="S7" s="19" t="n"/>
      <c r="T7" s="19" t="n"/>
      <c r="U7" s="19" t="n"/>
      <c r="V7" s="19" t="n"/>
      <c r="W7" s="19" t="n"/>
    </row>
    <row r="8">
      <c r="A8" s="255" t="n"/>
      <c r="B8" s="256" t="n"/>
      <c r="C8" s="257" t="n"/>
      <c r="D8" s="225">
        <f>IF(OR(A8="",B8="",C8=""),"",ROUND(B8*C8,2))</f>
        <v/>
      </c>
      <c r="E8" s="256" t="n"/>
      <c r="F8" s="225">
        <f>IF(OR(A8="",E8="",C8="",NOT(ISNUMBER($U$2))),"",ROUND(E8*C8*$U$2,2))</f>
        <v/>
      </c>
      <c r="G8" s="256" t="n"/>
      <c r="H8" s="225">
        <f>IF(OR(A8="",G8="",C8="",NOT(ISNUMBER($U$3))),"",ROUND(G8*C8*$U$3,2))</f>
        <v/>
      </c>
      <c r="I8" s="256" t="n"/>
      <c r="J8" s="225">
        <f>IF(OR(A8="",I8="",C8="",NOT(ISNUMBER($U$4))),"",ROUND(I8*C8*$U$4,2))</f>
        <v/>
      </c>
      <c r="K8" s="256" t="n"/>
      <c r="L8" s="225">
        <f>IF(OR(A8="",K8="",C8="",NOT(ISNUMBER($U$5))),"",ROUND(K8*C8*$U$5,2))</f>
        <v/>
      </c>
      <c r="M8" s="256" t="n"/>
      <c r="N8" s="225">
        <f>IF(OR(A8="",M8="",C8="",NOT(ISNUMBER($U$6))),"",ROUND(M8*C8*$U$6,2))</f>
        <v/>
      </c>
      <c r="O8" s="231">
        <f>IF(A8="","",SUM(E8,G8,I8,K8,M8))</f>
        <v/>
      </c>
      <c r="P8" s="225">
        <f>IF(A8="","",SUM(F8,H8,J8,L8,N8))</f>
        <v/>
      </c>
      <c r="Q8" s="233">
        <f>IF(A8="","",IF(O8&gt;B8,"DIVERGENCIA: CONSUMO MAIOR QUE CONTRATADO","OK"))</f>
        <v/>
      </c>
      <c r="R8" s="19" t="n"/>
      <c r="S8" s="19" t="n"/>
      <c r="T8" s="19" t="n"/>
      <c r="U8" s="19" t="n"/>
      <c r="V8" s="19" t="n"/>
      <c r="W8" s="19" t="n"/>
    </row>
    <row r="9">
      <c r="A9" s="255" t="n"/>
      <c r="B9" s="256" t="n"/>
      <c r="C9" s="257" t="n"/>
      <c r="D9" s="225">
        <f>IF(OR(A9="",B9="",C9=""),"",ROUND(B9*C9,2))</f>
        <v/>
      </c>
      <c r="E9" s="256" t="n"/>
      <c r="F9" s="225">
        <f>IF(OR(A9="",E9="",C9="",NOT(ISNUMBER($U$2))),"",ROUND(E9*C9*$U$2,2))</f>
        <v/>
      </c>
      <c r="G9" s="256" t="n"/>
      <c r="H9" s="225">
        <f>IF(OR(A9="",G9="",C9="",NOT(ISNUMBER($U$3))),"",ROUND(G9*C9*$U$3,2))</f>
        <v/>
      </c>
      <c r="I9" s="256" t="n"/>
      <c r="J9" s="225">
        <f>IF(OR(A9="",I9="",C9="",NOT(ISNUMBER($U$4))),"",ROUND(I9*C9*$U$4,2))</f>
        <v/>
      </c>
      <c r="K9" s="256" t="n"/>
      <c r="L9" s="225">
        <f>IF(OR(A9="",K9="",C9="",NOT(ISNUMBER($U$5))),"",ROUND(K9*C9*$U$5,2))</f>
        <v/>
      </c>
      <c r="M9" s="256" t="n"/>
      <c r="N9" s="225">
        <f>IF(OR(A9="",M9="",C9="",NOT(ISNUMBER($U$6))),"",ROUND(M9*C9*$U$6,2))</f>
        <v/>
      </c>
      <c r="O9" s="231">
        <f>IF(A9="","",SUM(E9,G9,I9,K9,M9))</f>
        <v/>
      </c>
      <c r="P9" s="225">
        <f>IF(A9="","",SUM(F9,H9,J9,L9,N9))</f>
        <v/>
      </c>
      <c r="Q9" s="233">
        <f>IF(A9="","",IF(O9&gt;B9,"DIVERGENCIA: CONSUMO MAIOR QUE CONTRATADO","OK"))</f>
        <v/>
      </c>
      <c r="R9" s="19" t="n"/>
      <c r="S9" s="19" t="n"/>
      <c r="T9" s="19" t="n"/>
      <c r="U9" s="19" t="n"/>
      <c r="V9" s="19" t="n"/>
      <c r="W9" s="19" t="n"/>
    </row>
    <row r="10">
      <c r="A10" s="255" t="n"/>
      <c r="B10" s="256" t="n"/>
      <c r="C10" s="257" t="n"/>
      <c r="D10" s="225">
        <f>IF(OR(A10="",B10="",C10=""),"",ROUND(B10*C10,2))</f>
        <v/>
      </c>
      <c r="E10" s="256" t="n"/>
      <c r="F10" s="225">
        <f>IF(OR(A10="",E10="",C10="",NOT(ISNUMBER($U$2))),"",ROUND(E10*C10*$U$2,2))</f>
        <v/>
      </c>
      <c r="G10" s="256" t="n"/>
      <c r="H10" s="225">
        <f>IF(OR(A10="",G10="",C10="",NOT(ISNUMBER($U$3))),"",ROUND(G10*C10*$U$3,2))</f>
        <v/>
      </c>
      <c r="I10" s="256" t="n"/>
      <c r="J10" s="225">
        <f>IF(OR(A10="",I10="",C10="",NOT(ISNUMBER($U$4))),"",ROUND(I10*C10*$U$4,2))</f>
        <v/>
      </c>
      <c r="K10" s="256" t="n"/>
      <c r="L10" s="225">
        <f>IF(OR(A10="",K10="",C10="",NOT(ISNUMBER($U$5))),"",ROUND(K10*C10*$U$5,2))</f>
        <v/>
      </c>
      <c r="M10" s="256" t="n"/>
      <c r="N10" s="225">
        <f>IF(OR(A10="",M10="",C10="",NOT(ISNUMBER($U$6))),"",ROUND(M10*C10*$U$6,2))</f>
        <v/>
      </c>
      <c r="O10" s="231">
        <f>IF(A10="","",SUM(E10,G10,I10,K10,M10))</f>
        <v/>
      </c>
      <c r="P10" s="225">
        <f>IF(A10="","",SUM(F10,H10,J10,L10,N10))</f>
        <v/>
      </c>
      <c r="Q10" s="233">
        <f>IF(A10="","",IF(O10&gt;B10,"DIVERGENCIA: CONSUMO MAIOR QUE CONTRATADO","OK"))</f>
        <v/>
      </c>
      <c r="R10" s="19" t="n"/>
      <c r="S10" s="19" t="n"/>
      <c r="T10" s="19" t="n"/>
      <c r="U10" s="19" t="n"/>
      <c r="V10" s="19" t="n"/>
      <c r="W10" s="19" t="n"/>
    </row>
    <row r="11">
      <c r="A11" s="255" t="n"/>
      <c r="B11" s="256" t="n"/>
      <c r="C11" s="257" t="n"/>
      <c r="D11" s="225">
        <f>IF(OR(A11="",B11="",C11=""),"",ROUND(B11*C11,2))</f>
        <v/>
      </c>
      <c r="E11" s="256" t="n"/>
      <c r="F11" s="225">
        <f>IF(OR(A11="",E11="",C11="",NOT(ISNUMBER($U$2))),"",ROUND(E11*C11*$U$2,2))</f>
        <v/>
      </c>
      <c r="G11" s="256" t="n"/>
      <c r="H11" s="225">
        <f>IF(OR(A11="",G11="",C11="",NOT(ISNUMBER($U$3))),"",ROUND(G11*C11*$U$3,2))</f>
        <v/>
      </c>
      <c r="I11" s="256" t="n"/>
      <c r="J11" s="225">
        <f>IF(OR(A11="",I11="",C11="",NOT(ISNUMBER($U$4))),"",ROUND(I11*C11*$U$4,2))</f>
        <v/>
      </c>
      <c r="K11" s="256" t="n"/>
      <c r="L11" s="225">
        <f>IF(OR(A11="",K11="",C11="",NOT(ISNUMBER($U$5))),"",ROUND(K11*C11*$U$5,2))</f>
        <v/>
      </c>
      <c r="M11" s="256" t="n"/>
      <c r="N11" s="225">
        <f>IF(OR(A11="",M11="",C11="",NOT(ISNUMBER($U$6))),"",ROUND(M11*C11*$U$6,2))</f>
        <v/>
      </c>
      <c r="O11" s="231">
        <f>IF(A11="","",SUM(E11,G11,I11,K11,M11))</f>
        <v/>
      </c>
      <c r="P11" s="225">
        <f>IF(A11="","",SUM(F11,H11,J11,L11,N11))</f>
        <v/>
      </c>
      <c r="Q11" s="233">
        <f>IF(A11="","",IF(O11&gt;B11,"DIVERGENCIA: CONSUMO MAIOR QUE CONTRATADO","OK"))</f>
        <v/>
      </c>
      <c r="R11" s="19" t="n"/>
      <c r="S11" s="19" t="n"/>
      <c r="T11" s="19" t="n"/>
      <c r="U11" s="19" t="n"/>
      <c r="V11" s="19" t="n"/>
      <c r="W11" s="19" t="n"/>
    </row>
    <row r="12">
      <c r="A12" s="255" t="n"/>
      <c r="B12" s="256" t="n"/>
      <c r="C12" s="257" t="n"/>
      <c r="D12" s="225">
        <f>IF(OR(A12="",B12="",C12=""),"",ROUND(B12*C12,2))</f>
        <v/>
      </c>
      <c r="E12" s="256" t="n"/>
      <c r="F12" s="225">
        <f>IF(OR(A12="",E12="",C12="",NOT(ISNUMBER($U$2))),"",ROUND(E12*C12*$U$2,2))</f>
        <v/>
      </c>
      <c r="G12" s="256" t="n"/>
      <c r="H12" s="225">
        <f>IF(OR(A12="",G12="",C12="",NOT(ISNUMBER($U$3))),"",ROUND(G12*C12*$U$3,2))</f>
        <v/>
      </c>
      <c r="I12" s="256" t="n"/>
      <c r="J12" s="225">
        <f>IF(OR(A12="",I12="",C12="",NOT(ISNUMBER($U$4))),"",ROUND(I12*C12*$U$4,2))</f>
        <v/>
      </c>
      <c r="K12" s="256" t="n"/>
      <c r="L12" s="225">
        <f>IF(OR(A12="",K12="",C12="",NOT(ISNUMBER($U$5))),"",ROUND(K12*C12*$U$5,2))</f>
        <v/>
      </c>
      <c r="M12" s="256" t="n"/>
      <c r="N12" s="225">
        <f>IF(OR(A12="",M12="",C12="",NOT(ISNUMBER($U$6))),"",ROUND(M12*C12*$U$6,2))</f>
        <v/>
      </c>
      <c r="O12" s="231">
        <f>IF(A12="","",SUM(E12,G12,I12,K12,M12))</f>
        <v/>
      </c>
      <c r="P12" s="225">
        <f>IF(A12="","",SUM(F12,H12,J12,L12,N12))</f>
        <v/>
      </c>
      <c r="Q12" s="233">
        <f>IF(A12="","",IF(O12&gt;B12,"DIVERGENCIA: CONSUMO MAIOR QUE CONTRATADO","OK"))</f>
        <v/>
      </c>
      <c r="R12" s="19" t="n"/>
      <c r="S12" s="19" t="n"/>
      <c r="T12" s="19" t="n"/>
      <c r="U12" s="19" t="n"/>
      <c r="V12" s="19" t="n"/>
      <c r="W12" s="19" t="n"/>
    </row>
    <row r="13">
      <c r="A13" s="255" t="n"/>
      <c r="B13" s="256" t="n"/>
      <c r="C13" s="257" t="n"/>
      <c r="D13" s="225">
        <f>IF(OR(A13="",B13="",C13=""),"",ROUND(B13*C13,2))</f>
        <v/>
      </c>
      <c r="E13" s="256" t="n"/>
      <c r="F13" s="225">
        <f>IF(OR(A13="",E13="",C13="",NOT(ISNUMBER($U$2))),"",ROUND(E13*C13*$U$2,2))</f>
        <v/>
      </c>
      <c r="G13" s="256" t="n"/>
      <c r="H13" s="225">
        <f>IF(OR(A13="",G13="",C13="",NOT(ISNUMBER($U$3))),"",ROUND(G13*C13*$U$3,2))</f>
        <v/>
      </c>
      <c r="I13" s="256" t="n"/>
      <c r="J13" s="225">
        <f>IF(OR(A13="",I13="",C13="",NOT(ISNUMBER($U$4))),"",ROUND(I13*C13*$U$4,2))</f>
        <v/>
      </c>
      <c r="K13" s="256" t="n"/>
      <c r="L13" s="225">
        <f>IF(OR(A13="",K13="",C13="",NOT(ISNUMBER($U$5))),"",ROUND(K13*C13*$U$5,2))</f>
        <v/>
      </c>
      <c r="M13" s="256" t="n"/>
      <c r="N13" s="225">
        <f>IF(OR(A13="",M13="",C13="",NOT(ISNUMBER($U$6))),"",ROUND(M13*C13*$U$6,2))</f>
        <v/>
      </c>
      <c r="O13" s="231">
        <f>IF(A13="","",SUM(E13,G13,I13,K13,M13))</f>
        <v/>
      </c>
      <c r="P13" s="225">
        <f>IF(A13="","",SUM(F13,H13,J13,L13,N13))</f>
        <v/>
      </c>
      <c r="Q13" s="233">
        <f>IF(A13="","",IF(O13&gt;B13,"DIVERGENCIA: CONSUMO MAIOR QUE CONTRATADO","OK"))</f>
        <v/>
      </c>
      <c r="R13" s="19" t="n"/>
      <c r="S13" s="19" t="n"/>
      <c r="T13" s="19" t="n"/>
      <c r="U13" s="19" t="n"/>
      <c r="V13" s="19" t="n"/>
      <c r="W13" s="19" t="n"/>
    </row>
    <row r="14">
      <c r="A14" s="255" t="n"/>
      <c r="B14" s="256" t="n"/>
      <c r="C14" s="257" t="n"/>
      <c r="D14" s="225">
        <f>IF(OR(A14="",B14="",C14=""),"",ROUND(B14*C14,2))</f>
        <v/>
      </c>
      <c r="E14" s="256" t="n"/>
      <c r="F14" s="225">
        <f>IF(OR(A14="",E14="",C14="",NOT(ISNUMBER($U$2))),"",ROUND(E14*C14*$U$2,2))</f>
        <v/>
      </c>
      <c r="G14" s="256" t="n"/>
      <c r="H14" s="225">
        <f>IF(OR(A14="",G14="",C14="",NOT(ISNUMBER($U$3))),"",ROUND(G14*C14*$U$3,2))</f>
        <v/>
      </c>
      <c r="I14" s="256" t="n"/>
      <c r="J14" s="225">
        <f>IF(OR(A14="",I14="",C14="",NOT(ISNUMBER($U$4))),"",ROUND(I14*C14*$U$4,2))</f>
        <v/>
      </c>
      <c r="K14" s="256" t="n"/>
      <c r="L14" s="225">
        <f>IF(OR(A14="",K14="",C14="",NOT(ISNUMBER($U$5))),"",ROUND(K14*C14*$U$5,2))</f>
        <v/>
      </c>
      <c r="M14" s="256" t="n"/>
      <c r="N14" s="225">
        <f>IF(OR(A14="",M14="",C14="",NOT(ISNUMBER($U$6))),"",ROUND(M14*C14*$U$6,2))</f>
        <v/>
      </c>
      <c r="O14" s="231">
        <f>IF(A14="","",SUM(E14,G14,I14,K14,M14))</f>
        <v/>
      </c>
      <c r="P14" s="225">
        <f>IF(A14="","",SUM(F14,H14,J14,L14,N14))</f>
        <v/>
      </c>
      <c r="Q14" s="233">
        <f>IF(A14="","",IF(O14&gt;B14,"DIVERGENCIA: CONSUMO MAIOR QUE CONTRATADO","OK"))</f>
        <v/>
      </c>
      <c r="R14" s="19" t="n"/>
      <c r="S14" s="19" t="n"/>
      <c r="T14" s="19" t="n"/>
      <c r="U14" s="19" t="n"/>
      <c r="V14" s="19" t="n"/>
      <c r="W14" s="19" t="n"/>
    </row>
    <row r="15">
      <c r="A15" s="255" t="n"/>
      <c r="B15" s="256" t="n"/>
      <c r="C15" s="257" t="n"/>
      <c r="D15" s="225">
        <f>IF(OR(A15="",B15="",C15=""),"",ROUND(B15*C15,2))</f>
        <v/>
      </c>
      <c r="E15" s="256" t="n"/>
      <c r="F15" s="225">
        <f>IF(OR(A15="",E15="",C15="",NOT(ISNUMBER($U$2))),"",ROUND(E15*C15*$U$2,2))</f>
        <v/>
      </c>
      <c r="G15" s="256" t="n"/>
      <c r="H15" s="225">
        <f>IF(OR(A15="",G15="",C15="",NOT(ISNUMBER($U$3))),"",ROUND(G15*C15*$U$3,2))</f>
        <v/>
      </c>
      <c r="I15" s="256" t="n"/>
      <c r="J15" s="225">
        <f>IF(OR(A15="",I15="",C15="",NOT(ISNUMBER($U$4))),"",ROUND(I15*C15*$U$4,2))</f>
        <v/>
      </c>
      <c r="K15" s="256" t="n"/>
      <c r="L15" s="225">
        <f>IF(OR(A15="",K15="",C15="",NOT(ISNUMBER($U$5))),"",ROUND(K15*C15*$U$5,2))</f>
        <v/>
      </c>
      <c r="M15" s="256" t="n"/>
      <c r="N15" s="225">
        <f>IF(OR(A15="",M15="",C15="",NOT(ISNUMBER($U$6))),"",ROUND(M15*C15*$U$6,2))</f>
        <v/>
      </c>
      <c r="O15" s="231">
        <f>IF(A15="","",SUM(E15,G15,I15,K15,M15))</f>
        <v/>
      </c>
      <c r="P15" s="225">
        <f>IF(A15="","",SUM(F15,H15,J15,L15,N15))</f>
        <v/>
      </c>
      <c r="Q15" s="233">
        <f>IF(A15="","",IF(O15&gt;B15,"DIVERGENCIA: CONSUMO MAIOR QUE CONTRATADO","OK"))</f>
        <v/>
      </c>
      <c r="R15" s="19" t="n"/>
      <c r="S15" s="19" t="n"/>
      <c r="T15" s="19" t="n"/>
      <c r="U15" s="19" t="n"/>
      <c r="V15" s="19" t="n"/>
      <c r="W15" s="19" t="n"/>
    </row>
    <row r="16">
      <c r="A16" s="255" t="n"/>
      <c r="B16" s="256" t="n"/>
      <c r="C16" s="257" t="n"/>
      <c r="D16" s="225">
        <f>IF(OR(A16="",B16="",C16=""),"",ROUND(B16*C16,2))</f>
        <v/>
      </c>
      <c r="E16" s="256" t="n"/>
      <c r="F16" s="225">
        <f>IF(OR(A16="",E16="",C16="",NOT(ISNUMBER($U$2))),"",ROUND(E16*C16*$U$2,2))</f>
        <v/>
      </c>
      <c r="G16" s="256" t="n"/>
      <c r="H16" s="225">
        <f>IF(OR(A16="",G16="",C16="",NOT(ISNUMBER($U$3))),"",ROUND(G16*C16*$U$3,2))</f>
        <v/>
      </c>
      <c r="I16" s="256" t="n"/>
      <c r="J16" s="225">
        <f>IF(OR(A16="",I16="",C16="",NOT(ISNUMBER($U$4))),"",ROUND(I16*C16*$U$4,2))</f>
        <v/>
      </c>
      <c r="K16" s="256" t="n"/>
      <c r="L16" s="225">
        <f>IF(OR(A16="",K16="",C16="",NOT(ISNUMBER($U$5))),"",ROUND(K16*C16*$U$5,2))</f>
        <v/>
      </c>
      <c r="M16" s="256" t="n"/>
      <c r="N16" s="225">
        <f>IF(OR(A16="",M16="",C16="",NOT(ISNUMBER($U$6))),"",ROUND(M16*C16*$U$6,2))</f>
        <v/>
      </c>
      <c r="O16" s="231">
        <f>IF(A16="","",SUM(E16,G16,I16,K16,M16))</f>
        <v/>
      </c>
      <c r="P16" s="225">
        <f>IF(A16="","",SUM(F16,H16,J16,L16,N16))</f>
        <v/>
      </c>
      <c r="Q16" s="233">
        <f>IF(A16="","",IF(O16&gt;B16,"DIVERGENCIA: CONSUMO MAIOR QUE CONTRATADO","OK"))</f>
        <v/>
      </c>
      <c r="R16" s="19" t="n"/>
      <c r="S16" s="19" t="n"/>
      <c r="T16" s="19" t="n"/>
      <c r="U16" s="19" t="n"/>
      <c r="V16" s="19" t="n"/>
      <c r="W16" s="19" t="n"/>
    </row>
    <row r="17">
      <c r="A17" s="255" t="n"/>
      <c r="B17" s="256" t="n"/>
      <c r="C17" s="257" t="n"/>
      <c r="D17" s="225">
        <f>IF(OR(A17="",B17="",C17=""),"",ROUND(B17*C17,2))</f>
        <v/>
      </c>
      <c r="E17" s="256" t="n"/>
      <c r="F17" s="225">
        <f>IF(OR(A17="",E17="",C17="",NOT(ISNUMBER($U$2))),"",ROUND(E17*C17*$U$2,2))</f>
        <v/>
      </c>
      <c r="G17" s="256" t="n"/>
      <c r="H17" s="225">
        <f>IF(OR(A17="",G17="",C17="",NOT(ISNUMBER($U$3))),"",ROUND(G17*C17*$U$3,2))</f>
        <v/>
      </c>
      <c r="I17" s="256" t="n"/>
      <c r="J17" s="225">
        <f>IF(OR(A17="",I17="",C17="",NOT(ISNUMBER($U$4))),"",ROUND(I17*C17*$U$4,2))</f>
        <v/>
      </c>
      <c r="K17" s="256" t="n"/>
      <c r="L17" s="225">
        <f>IF(OR(A17="",K17="",C17="",NOT(ISNUMBER($U$5))),"",ROUND(K17*C17*$U$5,2))</f>
        <v/>
      </c>
      <c r="M17" s="256" t="n"/>
      <c r="N17" s="225">
        <f>IF(OR(A17="",M17="",C17="",NOT(ISNUMBER($U$6))),"",ROUND(M17*C17*$U$6,2))</f>
        <v/>
      </c>
      <c r="O17" s="231">
        <f>IF(A17="","",SUM(E17,G17,I17,K17,M17))</f>
        <v/>
      </c>
      <c r="P17" s="225">
        <f>IF(A17="","",SUM(F17,H17,J17,L17,N17))</f>
        <v/>
      </c>
      <c r="Q17" s="233">
        <f>IF(A17="","",IF(O17&gt;B17,"DIVERGENCIA: CONSUMO MAIOR QUE CONTRATADO","OK"))</f>
        <v/>
      </c>
      <c r="R17" s="19" t="n"/>
      <c r="S17" s="19" t="n"/>
      <c r="T17" s="19" t="n"/>
      <c r="U17" s="19" t="n"/>
      <c r="V17" s="19" t="n"/>
      <c r="W17" s="19" t="n"/>
    </row>
    <row r="18">
      <c r="A18" s="255" t="n"/>
      <c r="B18" s="256" t="n"/>
      <c r="C18" s="257" t="n"/>
      <c r="D18" s="225">
        <f>IF(OR(A18="",B18="",C18=""),"",ROUND(B18*C18,2))</f>
        <v/>
      </c>
      <c r="E18" s="256" t="n"/>
      <c r="F18" s="225">
        <f>IF(OR(A18="",E18="",C18="",NOT(ISNUMBER($U$2))),"",ROUND(E18*C18*$U$2,2))</f>
        <v/>
      </c>
      <c r="G18" s="256" t="n"/>
      <c r="H18" s="225">
        <f>IF(OR(A18="",G18="",C18="",NOT(ISNUMBER($U$3))),"",ROUND(G18*C18*$U$3,2))</f>
        <v/>
      </c>
      <c r="I18" s="256" t="n"/>
      <c r="J18" s="225">
        <f>IF(OR(A18="",I18="",C18="",NOT(ISNUMBER($U$4))),"",ROUND(I18*C18*$U$4,2))</f>
        <v/>
      </c>
      <c r="K18" s="256" t="n"/>
      <c r="L18" s="225">
        <f>IF(OR(A18="",K18="",C18="",NOT(ISNUMBER($U$5))),"",ROUND(K18*C18*$U$5,2))</f>
        <v/>
      </c>
      <c r="M18" s="256" t="n"/>
      <c r="N18" s="225">
        <f>IF(OR(A18="",M18="",C18="",NOT(ISNUMBER($U$6))),"",ROUND(M18*C18*$U$6,2))</f>
        <v/>
      </c>
      <c r="O18" s="231">
        <f>IF(A18="","",SUM(E18,G18,I18,K18,M18))</f>
        <v/>
      </c>
      <c r="P18" s="225">
        <f>IF(A18="","",SUM(F18,H18,J18,L18,N18))</f>
        <v/>
      </c>
      <c r="Q18" s="233">
        <f>IF(A18="","",IF(O18&gt;B18,"DIVERGENCIA: CONSUMO MAIOR QUE CONTRATADO","OK"))</f>
        <v/>
      </c>
      <c r="R18" s="19" t="n"/>
      <c r="S18" s="19" t="n"/>
      <c r="T18" s="19" t="n"/>
      <c r="U18" s="19" t="n"/>
      <c r="V18" s="19" t="n"/>
      <c r="W18" s="19" t="n"/>
    </row>
    <row r="19">
      <c r="A19" s="255" t="n"/>
      <c r="B19" s="256" t="n"/>
      <c r="C19" s="257" t="n"/>
      <c r="D19" s="225">
        <f>IF(OR(A19="",B19="",C19=""),"",ROUND(B19*C19,2))</f>
        <v/>
      </c>
      <c r="E19" s="256" t="n"/>
      <c r="F19" s="225">
        <f>IF(OR(A19="",E19="",C19="",NOT(ISNUMBER($U$2))),"",ROUND(E19*C19*$U$2,2))</f>
        <v/>
      </c>
      <c r="G19" s="256" t="n"/>
      <c r="H19" s="225">
        <f>IF(OR(A19="",G19="",C19="",NOT(ISNUMBER($U$3))),"",ROUND(G19*C19*$U$3,2))</f>
        <v/>
      </c>
      <c r="I19" s="256" t="n"/>
      <c r="J19" s="225">
        <f>IF(OR(A19="",I19="",C19="",NOT(ISNUMBER($U$4))),"",ROUND(I19*C19*$U$4,2))</f>
        <v/>
      </c>
      <c r="K19" s="256" t="n"/>
      <c r="L19" s="225">
        <f>IF(OR(A19="",K19="",C19="",NOT(ISNUMBER($U$5))),"",ROUND(K19*C19*$U$5,2))</f>
        <v/>
      </c>
      <c r="M19" s="256" t="n"/>
      <c r="N19" s="225">
        <f>IF(OR(A19="",M19="",C19="",NOT(ISNUMBER($U$6))),"",ROUND(M19*C19*$U$6,2))</f>
        <v/>
      </c>
      <c r="O19" s="231">
        <f>IF(A19="","",SUM(E19,G19,I19,K19,M19))</f>
        <v/>
      </c>
      <c r="P19" s="225">
        <f>IF(A19="","",SUM(F19,H19,J19,L19,N19))</f>
        <v/>
      </c>
      <c r="Q19" s="233">
        <f>IF(A19="","",IF(O19&gt;B19,"DIVERGENCIA: CONSUMO MAIOR QUE CONTRATADO","OK"))</f>
        <v/>
      </c>
      <c r="R19" s="19" t="n"/>
      <c r="S19" s="19" t="n"/>
      <c r="T19" s="19" t="n"/>
      <c r="U19" s="19" t="n"/>
      <c r="V19" s="19" t="n"/>
      <c r="W19" s="19" t="n"/>
    </row>
    <row r="20">
      <c r="A20" s="255" t="n"/>
      <c r="B20" s="256" t="n"/>
      <c r="C20" s="257" t="n"/>
      <c r="D20" s="225">
        <f>IF(OR(A20="",B20="",C20=""),"",ROUND(B20*C20,2))</f>
        <v/>
      </c>
      <c r="E20" s="256" t="n"/>
      <c r="F20" s="225">
        <f>IF(OR(A20="",E20="",C20="",NOT(ISNUMBER($U$2))),"",ROUND(E20*C20*$U$2,2))</f>
        <v/>
      </c>
      <c r="G20" s="256" t="n"/>
      <c r="H20" s="225">
        <f>IF(OR(A20="",G20="",C20="",NOT(ISNUMBER($U$3))),"",ROUND(G20*C20*$U$3,2))</f>
        <v/>
      </c>
      <c r="I20" s="256" t="n"/>
      <c r="J20" s="225">
        <f>IF(OR(A20="",I20="",C20="",NOT(ISNUMBER($U$4))),"",ROUND(I20*C20*$U$4,2))</f>
        <v/>
      </c>
      <c r="K20" s="256" t="n"/>
      <c r="L20" s="225">
        <f>IF(OR(A20="",K20="",C20="",NOT(ISNUMBER($U$5))),"",ROUND(K20*C20*$U$5,2))</f>
        <v/>
      </c>
      <c r="M20" s="256" t="n"/>
      <c r="N20" s="225">
        <f>IF(OR(A20="",M20="",C20="",NOT(ISNUMBER($U$6))),"",ROUND(M20*C20*$U$6,2))</f>
        <v/>
      </c>
      <c r="O20" s="231">
        <f>IF(A20="","",SUM(E20,G20,I20,K20,M20))</f>
        <v/>
      </c>
      <c r="P20" s="225">
        <f>IF(A20="","",SUM(F20,H20,J20,L20,N20))</f>
        <v/>
      </c>
      <c r="Q20" s="233">
        <f>IF(A20="","",IF(O20&gt;B20,"DIVERGENCIA: CONSUMO MAIOR QUE CONTRATADO","OK"))</f>
        <v/>
      </c>
      <c r="R20" s="19" t="n"/>
      <c r="S20" s="19" t="n"/>
      <c r="T20" s="19" t="n"/>
      <c r="U20" s="19" t="n"/>
      <c r="V20" s="19" t="n"/>
      <c r="W20" s="19" t="n"/>
    </row>
    <row r="21">
      <c r="A21" s="255" t="n"/>
      <c r="B21" s="256" t="n"/>
      <c r="C21" s="257" t="n"/>
      <c r="D21" s="225">
        <f>IF(OR(A21="",B21="",C21=""),"",ROUND(B21*C21,2))</f>
        <v/>
      </c>
      <c r="E21" s="256" t="n"/>
      <c r="F21" s="225">
        <f>IF(OR(A21="",E21="",C21="",NOT(ISNUMBER($U$2))),"",ROUND(E21*C21*$U$2,2))</f>
        <v/>
      </c>
      <c r="G21" s="256" t="n"/>
      <c r="H21" s="225">
        <f>IF(OR(A21="",G21="",C21="",NOT(ISNUMBER($U$3))),"",ROUND(G21*C21*$U$3,2))</f>
        <v/>
      </c>
      <c r="I21" s="256" t="n"/>
      <c r="J21" s="225">
        <f>IF(OR(A21="",I21="",C21="",NOT(ISNUMBER($U$4))),"",ROUND(I21*C21*$U$4,2))</f>
        <v/>
      </c>
      <c r="K21" s="256" t="n"/>
      <c r="L21" s="225">
        <f>IF(OR(A21="",K21="",C21="",NOT(ISNUMBER($U$5))),"",ROUND(K21*C21*$U$5,2))</f>
        <v/>
      </c>
      <c r="M21" s="256" t="n"/>
      <c r="N21" s="225">
        <f>IF(OR(A21="",M21="",C21="",NOT(ISNUMBER($U$6))),"",ROUND(M21*C21*$U$6,2))</f>
        <v/>
      </c>
      <c r="O21" s="231">
        <f>IF(A21="","",SUM(E21,G21,I21,K21,M21))</f>
        <v/>
      </c>
      <c r="P21" s="225">
        <f>IF(A21="","",SUM(F21,H21,J21,L21,N21))</f>
        <v/>
      </c>
      <c r="Q21" s="233">
        <f>IF(A21="","",IF(O21&gt;B21,"DIVERGENCIA: CONSUMO MAIOR QUE CONTRATADO","OK"))</f>
        <v/>
      </c>
      <c r="R21" s="19" t="n"/>
      <c r="S21" s="19" t="n"/>
      <c r="T21" s="19" t="n"/>
      <c r="U21" s="19" t="n"/>
      <c r="V21" s="19" t="n"/>
      <c r="W21" s="19" t="n"/>
    </row>
    <row r="22">
      <c r="A22" s="255" t="n"/>
      <c r="B22" s="256" t="n"/>
      <c r="C22" s="257" t="n"/>
      <c r="D22" s="225">
        <f>IF(OR(A22="",B22="",C22=""),"",ROUND(B22*C22,2))</f>
        <v/>
      </c>
      <c r="E22" s="256" t="n"/>
      <c r="F22" s="225">
        <f>IF(OR(A22="",E22="",C22="",NOT(ISNUMBER($U$2))),"",ROUND(E22*C22*$U$2,2))</f>
        <v/>
      </c>
      <c r="G22" s="256" t="n"/>
      <c r="H22" s="225">
        <f>IF(OR(A22="",G22="",C22="",NOT(ISNUMBER($U$3))),"",ROUND(G22*C22*$U$3,2))</f>
        <v/>
      </c>
      <c r="I22" s="256" t="n"/>
      <c r="J22" s="225">
        <f>IF(OR(A22="",I22="",C22="",NOT(ISNUMBER($U$4))),"",ROUND(I22*C22*$U$4,2))</f>
        <v/>
      </c>
      <c r="K22" s="256" t="n"/>
      <c r="L22" s="225">
        <f>IF(OR(A22="",K22="",C22="",NOT(ISNUMBER($U$5))),"",ROUND(K22*C22*$U$5,2))</f>
        <v/>
      </c>
      <c r="M22" s="256" t="n"/>
      <c r="N22" s="225">
        <f>IF(OR(A22="",M22="",C22="",NOT(ISNUMBER($U$6))),"",ROUND(M22*C22*$U$6,2))</f>
        <v/>
      </c>
      <c r="O22" s="231">
        <f>IF(A22="","",SUM(E22,G22,I22,K22,M22))</f>
        <v/>
      </c>
      <c r="P22" s="225">
        <f>IF(A22="","",SUM(F22,H22,J22,L22,N22))</f>
        <v/>
      </c>
      <c r="Q22" s="233">
        <f>IF(A22="","",IF(O22&gt;B22,"DIVERGENCIA: CONSUMO MAIOR QUE CONTRATADO","OK"))</f>
        <v/>
      </c>
      <c r="R22" s="19" t="n"/>
      <c r="S22" s="19" t="n"/>
      <c r="T22" s="19" t="n"/>
      <c r="U22" s="19" t="n"/>
      <c r="V22" s="19" t="n"/>
      <c r="W22" s="19" t="n"/>
    </row>
    <row r="23">
      <c r="A23" s="255" t="n"/>
      <c r="B23" s="256" t="n"/>
      <c r="C23" s="257" t="n"/>
      <c r="D23" s="225">
        <f>IF(OR(A23="",B23="",C23=""),"",ROUND(B23*C23,2))</f>
        <v/>
      </c>
      <c r="E23" s="256" t="n"/>
      <c r="F23" s="225">
        <f>IF(OR(A23="",E23="",C23="",NOT(ISNUMBER($U$2))),"",ROUND(E23*C23*$U$2,2))</f>
        <v/>
      </c>
      <c r="G23" s="256" t="n"/>
      <c r="H23" s="225">
        <f>IF(OR(A23="",G23="",C23="",NOT(ISNUMBER($U$3))),"",ROUND(G23*C23*$U$3,2))</f>
        <v/>
      </c>
      <c r="I23" s="256" t="n"/>
      <c r="J23" s="225">
        <f>IF(OR(A23="",I23="",C23="",NOT(ISNUMBER($U$4))),"",ROUND(I23*C23*$U$4,2))</f>
        <v/>
      </c>
      <c r="K23" s="256" t="n"/>
      <c r="L23" s="225">
        <f>IF(OR(A23="",K23="",C23="",NOT(ISNUMBER($U$5))),"",ROUND(K23*C23*$U$5,2))</f>
        <v/>
      </c>
      <c r="M23" s="256" t="n"/>
      <c r="N23" s="225">
        <f>IF(OR(A23="",M23="",C23="",NOT(ISNUMBER($U$6))),"",ROUND(M23*C23*$U$6,2))</f>
        <v/>
      </c>
      <c r="O23" s="231">
        <f>IF(A23="","",SUM(E23,G23,I23,K23,M23))</f>
        <v/>
      </c>
      <c r="P23" s="225">
        <f>IF(A23="","",SUM(F23,H23,J23,L23,N23))</f>
        <v/>
      </c>
      <c r="Q23" s="233">
        <f>IF(A23="","",IF(O23&gt;B23,"DIVERGENCIA: CONSUMO MAIOR QUE CONTRATADO","OK"))</f>
        <v/>
      </c>
      <c r="R23" s="19" t="n"/>
      <c r="S23" s="19" t="n"/>
      <c r="T23" s="19" t="n"/>
      <c r="U23" s="19" t="n"/>
      <c r="V23" s="19" t="n"/>
      <c r="W23" s="19" t="n"/>
    </row>
    <row r="24">
      <c r="A24" s="255" t="n"/>
      <c r="B24" s="256" t="n"/>
      <c r="C24" s="257" t="n"/>
      <c r="D24" s="225">
        <f>IF(OR(A24="",B24="",C24=""),"",ROUND(B24*C24,2))</f>
        <v/>
      </c>
      <c r="E24" s="256" t="n"/>
      <c r="F24" s="225">
        <f>IF(OR(A24="",E24="",C24="",NOT(ISNUMBER($U$2))),"",ROUND(E24*C24*$U$2,2))</f>
        <v/>
      </c>
      <c r="G24" s="256" t="n"/>
      <c r="H24" s="225">
        <f>IF(OR(A24="",G24="",C24="",NOT(ISNUMBER($U$3))),"",ROUND(G24*C24*$U$3,2))</f>
        <v/>
      </c>
      <c r="I24" s="256" t="n"/>
      <c r="J24" s="225">
        <f>IF(OR(A24="",I24="",C24="",NOT(ISNUMBER($U$4))),"",ROUND(I24*C24*$U$4,2))</f>
        <v/>
      </c>
      <c r="K24" s="256" t="n"/>
      <c r="L24" s="225">
        <f>IF(OR(A24="",K24="",C24="",NOT(ISNUMBER($U$5))),"",ROUND(K24*C24*$U$5,2))</f>
        <v/>
      </c>
      <c r="M24" s="256" t="n"/>
      <c r="N24" s="225">
        <f>IF(OR(A24="",M24="",C24="",NOT(ISNUMBER($U$6))),"",ROUND(M24*C24*$U$6,2))</f>
        <v/>
      </c>
      <c r="O24" s="231">
        <f>IF(A24="","",SUM(E24,G24,I24,K24,M24))</f>
        <v/>
      </c>
      <c r="P24" s="225">
        <f>IF(A24="","",SUM(F24,H24,J24,L24,N24))</f>
        <v/>
      </c>
      <c r="Q24" s="233">
        <f>IF(A24="","",IF(O24&gt;B24,"DIVERGENCIA: CONSUMO MAIOR QUE CONTRATADO","OK"))</f>
        <v/>
      </c>
      <c r="R24" s="19" t="n"/>
      <c r="S24" s="19" t="n"/>
      <c r="T24" s="19" t="n"/>
      <c r="U24" s="19" t="n"/>
      <c r="V24" s="19" t="n"/>
      <c r="W24" s="19" t="n"/>
    </row>
    <row r="25">
      <c r="A25" s="255" t="n"/>
      <c r="B25" s="256" t="n"/>
      <c r="C25" s="257" t="n"/>
      <c r="D25" s="225">
        <f>IF(OR(A25="",B25="",C25=""),"",ROUND(B25*C25,2))</f>
        <v/>
      </c>
      <c r="E25" s="256" t="n"/>
      <c r="F25" s="225">
        <f>IF(OR(A25="",E25="",C25="",NOT(ISNUMBER($U$2))),"",ROUND(E25*C25*$U$2,2))</f>
        <v/>
      </c>
      <c r="G25" s="256" t="n"/>
      <c r="H25" s="225">
        <f>IF(OR(A25="",G25="",C25="",NOT(ISNUMBER($U$3))),"",ROUND(G25*C25*$U$3,2))</f>
        <v/>
      </c>
      <c r="I25" s="256" t="n"/>
      <c r="J25" s="225">
        <f>IF(OR(A25="",I25="",C25="",NOT(ISNUMBER($U$4))),"",ROUND(I25*C25*$U$4,2))</f>
        <v/>
      </c>
      <c r="K25" s="256" t="n"/>
      <c r="L25" s="225">
        <f>IF(OR(A25="",K25="",C25="",NOT(ISNUMBER($U$5))),"",ROUND(K25*C25*$U$5,2))</f>
        <v/>
      </c>
      <c r="M25" s="256" t="n"/>
      <c r="N25" s="225">
        <f>IF(OR(A25="",M25="",C25="",NOT(ISNUMBER($U$6))),"",ROUND(M25*C25*$U$6,2))</f>
        <v/>
      </c>
      <c r="O25" s="231">
        <f>IF(A25="","",SUM(E25,G25,I25,K25,M25))</f>
        <v/>
      </c>
      <c r="P25" s="225">
        <f>IF(A25="","",SUM(F25,H25,J25,L25,N25))</f>
        <v/>
      </c>
      <c r="Q25" s="233">
        <f>IF(A25="","",IF(O25&gt;B25,"DIVERGENCIA: CONSUMO MAIOR QUE CONTRATADO","OK"))</f>
        <v/>
      </c>
      <c r="R25" s="19" t="n"/>
      <c r="S25" s="19" t="n"/>
      <c r="T25" s="19" t="n"/>
      <c r="U25" s="19" t="n"/>
      <c r="V25" s="19" t="n"/>
      <c r="W25" s="19" t="n"/>
    </row>
    <row r="26">
      <c r="A26" s="255" t="n"/>
      <c r="B26" s="256" t="n"/>
      <c r="C26" s="257" t="n"/>
      <c r="D26" s="225">
        <f>IF(OR(A26="",B26="",C26=""),"",ROUND(B26*C26,2))</f>
        <v/>
      </c>
      <c r="E26" s="256" t="n"/>
      <c r="F26" s="225">
        <f>IF(OR(A26="",E26="",C26="",NOT(ISNUMBER($U$2))),"",ROUND(E26*C26*$U$2,2))</f>
        <v/>
      </c>
      <c r="G26" s="256" t="n"/>
      <c r="H26" s="225">
        <f>IF(OR(A26="",G26="",C26="",NOT(ISNUMBER($U$3))),"",ROUND(G26*C26*$U$3,2))</f>
        <v/>
      </c>
      <c r="I26" s="256" t="n"/>
      <c r="J26" s="225">
        <f>IF(OR(A26="",I26="",C26="",NOT(ISNUMBER($U$4))),"",ROUND(I26*C26*$U$4,2))</f>
        <v/>
      </c>
      <c r="K26" s="256" t="n"/>
      <c r="L26" s="225">
        <f>IF(OR(A26="",K26="",C26="",NOT(ISNUMBER($U$5))),"",ROUND(K26*C26*$U$5,2))</f>
        <v/>
      </c>
      <c r="M26" s="256" t="n"/>
      <c r="N26" s="225">
        <f>IF(OR(A26="",M26="",C26="",NOT(ISNUMBER($U$6))),"",ROUND(M26*C26*$U$6,2))</f>
        <v/>
      </c>
      <c r="O26" s="231">
        <f>IF(A26="","",SUM(E26,G26,I26,K26,M26))</f>
        <v/>
      </c>
      <c r="P26" s="225">
        <f>IF(A26="","",SUM(F26,H26,J26,L26,N26))</f>
        <v/>
      </c>
      <c r="Q26" s="233">
        <f>IF(A26="","",IF(O26&gt;B26,"DIVERGENCIA: CONSUMO MAIOR QUE CONTRATADO","OK"))</f>
        <v/>
      </c>
      <c r="R26" s="19" t="n"/>
      <c r="S26" s="19" t="n"/>
      <c r="T26" s="19" t="n"/>
      <c r="U26" s="19" t="n"/>
      <c r="V26" s="19" t="n"/>
      <c r="W26" s="19" t="n"/>
    </row>
    <row r="27">
      <c r="A27" s="255" t="n"/>
      <c r="B27" s="256" t="n"/>
      <c r="C27" s="257" t="n"/>
      <c r="D27" s="225">
        <f>IF(OR(A27="",B27="",C27=""),"",ROUND(B27*C27,2))</f>
        <v/>
      </c>
      <c r="E27" s="256" t="n"/>
      <c r="F27" s="225">
        <f>IF(OR(A27="",E27="",C27="",NOT(ISNUMBER($U$2))),"",ROUND(E27*C27*$U$2,2))</f>
        <v/>
      </c>
      <c r="G27" s="256" t="n"/>
      <c r="H27" s="225">
        <f>IF(OR(A27="",G27="",C27="",NOT(ISNUMBER($U$3))),"",ROUND(G27*C27*$U$3,2))</f>
        <v/>
      </c>
      <c r="I27" s="256" t="n"/>
      <c r="J27" s="225">
        <f>IF(OR(A27="",I27="",C27="",NOT(ISNUMBER($U$4))),"",ROUND(I27*C27*$U$4,2))</f>
        <v/>
      </c>
      <c r="K27" s="256" t="n"/>
      <c r="L27" s="225">
        <f>IF(OR(A27="",K27="",C27="",NOT(ISNUMBER($U$5))),"",ROUND(K27*C27*$U$5,2))</f>
        <v/>
      </c>
      <c r="M27" s="256" t="n"/>
      <c r="N27" s="225">
        <f>IF(OR(A27="",M27="",C27="",NOT(ISNUMBER($U$6))),"",ROUND(M27*C27*$U$6,2))</f>
        <v/>
      </c>
      <c r="O27" s="231">
        <f>IF(A27="","",SUM(E27,G27,I27,K27,M27))</f>
        <v/>
      </c>
      <c r="P27" s="225">
        <f>IF(A27="","",SUM(F27,H27,J27,L27,N27))</f>
        <v/>
      </c>
      <c r="Q27" s="233">
        <f>IF(A27="","",IF(O27&gt;B27,"DIVERGENCIA: CONSUMO MAIOR QUE CONTRATADO","OK"))</f>
        <v/>
      </c>
      <c r="R27" s="19" t="n"/>
      <c r="S27" s="19" t="n"/>
      <c r="T27" s="19" t="n"/>
      <c r="U27" s="19" t="n"/>
      <c r="V27" s="19" t="n"/>
      <c r="W27" s="19" t="n"/>
    </row>
    <row r="28">
      <c r="A28" s="255" t="n"/>
      <c r="B28" s="256" t="n"/>
      <c r="C28" s="257" t="n"/>
      <c r="D28" s="225">
        <f>IF(OR(A28="",B28="",C28=""),"",ROUND(B28*C28,2))</f>
        <v/>
      </c>
      <c r="E28" s="256" t="n"/>
      <c r="F28" s="225">
        <f>IF(OR(A28="",E28="",C28="",NOT(ISNUMBER($U$2))),"",ROUND(E28*C28*$U$2,2))</f>
        <v/>
      </c>
      <c r="G28" s="256" t="n"/>
      <c r="H28" s="225">
        <f>IF(OR(A28="",G28="",C28="",NOT(ISNUMBER($U$3))),"",ROUND(G28*C28*$U$3,2))</f>
        <v/>
      </c>
      <c r="I28" s="256" t="n"/>
      <c r="J28" s="225">
        <f>IF(OR(A28="",I28="",C28="",NOT(ISNUMBER($U$4))),"",ROUND(I28*C28*$U$4,2))</f>
        <v/>
      </c>
      <c r="K28" s="256" t="n"/>
      <c r="L28" s="225">
        <f>IF(OR(A28="",K28="",C28="",NOT(ISNUMBER($U$5))),"",ROUND(K28*C28*$U$5,2))</f>
        <v/>
      </c>
      <c r="M28" s="256" t="n"/>
      <c r="N28" s="225">
        <f>IF(OR(A28="",M28="",C28="",NOT(ISNUMBER($U$6))),"",ROUND(M28*C28*$U$6,2))</f>
        <v/>
      </c>
      <c r="O28" s="231">
        <f>IF(A28="","",SUM(E28,G28,I28,K28,M28))</f>
        <v/>
      </c>
      <c r="P28" s="225">
        <f>IF(A28="","",SUM(F28,H28,J28,L28,N28))</f>
        <v/>
      </c>
      <c r="Q28" s="233">
        <f>IF(A28="","",IF(O28&gt;B28,"DIVERGENCIA: CONSUMO MAIOR QUE CONTRATADO","OK"))</f>
        <v/>
      </c>
      <c r="R28" s="19" t="n"/>
      <c r="S28" s="19" t="n"/>
      <c r="T28" s="19" t="n"/>
      <c r="U28" s="19" t="n"/>
      <c r="V28" s="19" t="n"/>
      <c r="W28" s="19" t="n"/>
    </row>
    <row r="29">
      <c r="A29" s="255" t="n"/>
      <c r="B29" s="256" t="n"/>
      <c r="C29" s="257" t="n"/>
      <c r="D29" s="225">
        <f>IF(OR(A29="",B29="",C29=""),"",ROUND(B29*C29,2))</f>
        <v/>
      </c>
      <c r="E29" s="256" t="n"/>
      <c r="F29" s="225">
        <f>IF(OR(A29="",E29="",C29="",NOT(ISNUMBER($U$2))),"",ROUND(E29*C29*$U$2,2))</f>
        <v/>
      </c>
      <c r="G29" s="256" t="n"/>
      <c r="H29" s="225">
        <f>IF(OR(A29="",G29="",C29="",NOT(ISNUMBER($U$3))),"",ROUND(G29*C29*$U$3,2))</f>
        <v/>
      </c>
      <c r="I29" s="256" t="n"/>
      <c r="J29" s="225">
        <f>IF(OR(A29="",I29="",C29="",NOT(ISNUMBER($U$4))),"",ROUND(I29*C29*$U$4,2))</f>
        <v/>
      </c>
      <c r="K29" s="256" t="n"/>
      <c r="L29" s="225">
        <f>IF(OR(A29="",K29="",C29="",NOT(ISNUMBER($U$5))),"",ROUND(K29*C29*$U$5,2))</f>
        <v/>
      </c>
      <c r="M29" s="256" t="n"/>
      <c r="N29" s="225">
        <f>IF(OR(A29="",M29="",C29="",NOT(ISNUMBER($U$6))),"",ROUND(M29*C29*$U$6,2))</f>
        <v/>
      </c>
      <c r="O29" s="231">
        <f>IF(A29="","",SUM(E29,G29,I29,K29,M29))</f>
        <v/>
      </c>
      <c r="P29" s="225">
        <f>IF(A29="","",SUM(F29,H29,J29,L29,N29))</f>
        <v/>
      </c>
      <c r="Q29" s="233">
        <f>IF(A29="","",IF(O29&gt;B29,"DIVERGENCIA: CONSUMO MAIOR QUE CONTRATADO","OK"))</f>
        <v/>
      </c>
      <c r="R29" s="19" t="n"/>
      <c r="S29" s="19" t="n"/>
      <c r="T29" s="19" t="n"/>
      <c r="U29" s="19" t="n"/>
      <c r="V29" s="19" t="n"/>
      <c r="W29" s="19" t="n"/>
    </row>
    <row r="30">
      <c r="A30" s="255" t="n"/>
      <c r="B30" s="256" t="n"/>
      <c r="C30" s="257" t="n"/>
      <c r="D30" s="225">
        <f>IF(OR(A30="",B30="",C30=""),"",ROUND(B30*C30,2))</f>
        <v/>
      </c>
      <c r="E30" s="256" t="n"/>
      <c r="F30" s="225">
        <f>IF(OR(A30="",E30="",C30="",NOT(ISNUMBER($U$2))),"",ROUND(E30*C30*$U$2,2))</f>
        <v/>
      </c>
      <c r="G30" s="256" t="n"/>
      <c r="H30" s="225">
        <f>IF(OR(A30="",G30="",C30="",NOT(ISNUMBER($U$3))),"",ROUND(G30*C30*$U$3,2))</f>
        <v/>
      </c>
      <c r="I30" s="256" t="n"/>
      <c r="J30" s="225">
        <f>IF(OR(A30="",I30="",C30="",NOT(ISNUMBER($U$4))),"",ROUND(I30*C30*$U$4,2))</f>
        <v/>
      </c>
      <c r="K30" s="256" t="n"/>
      <c r="L30" s="225">
        <f>IF(OR(A30="",K30="",C30="",NOT(ISNUMBER($U$5))),"",ROUND(K30*C30*$U$5,2))</f>
        <v/>
      </c>
      <c r="M30" s="256" t="n"/>
      <c r="N30" s="225">
        <f>IF(OR(A30="",M30="",C30="",NOT(ISNUMBER($U$6))),"",ROUND(M30*C30*$U$6,2))</f>
        <v/>
      </c>
      <c r="O30" s="231">
        <f>IF(A30="","",SUM(E30,G30,I30,K30,M30))</f>
        <v/>
      </c>
      <c r="P30" s="225">
        <f>IF(A30="","",SUM(F30,H30,J30,L30,N30))</f>
        <v/>
      </c>
      <c r="Q30" s="233">
        <f>IF(A30="","",IF(O30&gt;B30,"DIVERGENCIA: CONSUMO MAIOR QUE CONTRATADO","OK"))</f>
        <v/>
      </c>
      <c r="R30" s="19" t="n"/>
      <c r="S30" s="19" t="n"/>
      <c r="T30" s="19" t="n"/>
      <c r="U30" s="19" t="n"/>
      <c r="V30" s="19" t="n"/>
      <c r="W30" s="19" t="n"/>
    </row>
    <row r="31">
      <c r="A31" s="255" t="n"/>
      <c r="B31" s="256" t="n"/>
      <c r="C31" s="257" t="n"/>
      <c r="D31" s="225">
        <f>IF(OR(A31="",B31="",C31=""),"",ROUND(B31*C31,2))</f>
        <v/>
      </c>
      <c r="E31" s="256" t="n"/>
      <c r="F31" s="225">
        <f>IF(OR(A31="",E31="",C31="",NOT(ISNUMBER($U$2))),"",ROUND(E31*C31*$U$2,2))</f>
        <v/>
      </c>
      <c r="G31" s="256" t="n"/>
      <c r="H31" s="225">
        <f>IF(OR(A31="",G31="",C31="",NOT(ISNUMBER($U$3))),"",ROUND(G31*C31*$U$3,2))</f>
        <v/>
      </c>
      <c r="I31" s="256" t="n"/>
      <c r="J31" s="225">
        <f>IF(OR(A31="",I31="",C31="",NOT(ISNUMBER($U$4))),"",ROUND(I31*C31*$U$4,2))</f>
        <v/>
      </c>
      <c r="K31" s="256" t="n"/>
      <c r="L31" s="225">
        <f>IF(OR(A31="",K31="",C31="",NOT(ISNUMBER($U$5))),"",ROUND(K31*C31*$U$5,2))</f>
        <v/>
      </c>
      <c r="M31" s="256" t="n"/>
      <c r="N31" s="225">
        <f>IF(OR(A31="",M31="",C31="",NOT(ISNUMBER($U$6))),"",ROUND(M31*C31*$U$6,2))</f>
        <v/>
      </c>
      <c r="O31" s="231">
        <f>IF(A31="","",SUM(E31,G31,I31,K31,M31))</f>
        <v/>
      </c>
      <c r="P31" s="225">
        <f>IF(A31="","",SUM(F31,H31,J31,L31,N31))</f>
        <v/>
      </c>
      <c r="Q31" s="233">
        <f>IF(A31="","",IF(O31&gt;B31,"DIVERGENCIA: CONSUMO MAIOR QUE CONTRATADO","OK"))</f>
        <v/>
      </c>
      <c r="R31" s="19" t="n"/>
      <c r="S31" s="19" t="n"/>
      <c r="T31" s="19" t="n"/>
      <c r="U31" s="19" t="n"/>
      <c r="V31" s="19" t="n"/>
      <c r="W31" s="19" t="n"/>
    </row>
    <row r="32">
      <c r="A32" s="255" t="n"/>
      <c r="B32" s="256" t="n"/>
      <c r="C32" s="257" t="n"/>
      <c r="D32" s="225">
        <f>IF(OR(A32="",B32="",C32=""),"",ROUND(B32*C32,2))</f>
        <v/>
      </c>
      <c r="E32" s="256" t="n"/>
      <c r="F32" s="225">
        <f>IF(OR(A32="",E32="",C32="",NOT(ISNUMBER($U$2))),"",ROUND(E32*C32*$U$2,2))</f>
        <v/>
      </c>
      <c r="G32" s="256" t="n"/>
      <c r="H32" s="225">
        <f>IF(OR(A32="",G32="",C32="",NOT(ISNUMBER($U$3))),"",ROUND(G32*C32*$U$3,2))</f>
        <v/>
      </c>
      <c r="I32" s="256" t="n"/>
      <c r="J32" s="225">
        <f>IF(OR(A32="",I32="",C32="",NOT(ISNUMBER($U$4))),"",ROUND(I32*C32*$U$4,2))</f>
        <v/>
      </c>
      <c r="K32" s="256" t="n"/>
      <c r="L32" s="225">
        <f>IF(OR(A32="",K32="",C32="",NOT(ISNUMBER($U$5))),"",ROUND(K32*C32*$U$5,2))</f>
        <v/>
      </c>
      <c r="M32" s="256" t="n"/>
      <c r="N32" s="225">
        <f>IF(OR(A32="",M32="",C32="",NOT(ISNUMBER($U$6))),"",ROUND(M32*C32*$U$6,2))</f>
        <v/>
      </c>
      <c r="O32" s="231">
        <f>IF(A32="","",SUM(E32,G32,I32,K32,M32))</f>
        <v/>
      </c>
      <c r="P32" s="225">
        <f>IF(A32="","",SUM(F32,H32,J32,L32,N32))</f>
        <v/>
      </c>
      <c r="Q32" s="233">
        <f>IF(A32="","",IF(O32&gt;B32,"DIVERGENCIA: CONSUMO MAIOR QUE CONTRATADO","OK"))</f>
        <v/>
      </c>
      <c r="R32" s="19" t="n"/>
      <c r="S32" s="19" t="n"/>
      <c r="T32" s="19" t="n"/>
      <c r="U32" s="19" t="n"/>
      <c r="V32" s="19" t="n"/>
      <c r="W32" s="19" t="n"/>
    </row>
    <row r="33">
      <c r="A33" s="255" t="n"/>
      <c r="B33" s="256" t="n"/>
      <c r="C33" s="257" t="n"/>
      <c r="D33" s="225">
        <f>IF(OR(A33="",B33="",C33=""),"",ROUND(B33*C33,2))</f>
        <v/>
      </c>
      <c r="E33" s="256" t="n"/>
      <c r="F33" s="225">
        <f>IF(OR(A33="",E33="",C33="",NOT(ISNUMBER($U$2))),"",ROUND(E33*C33*$U$2,2))</f>
        <v/>
      </c>
      <c r="G33" s="256" t="n"/>
      <c r="H33" s="225">
        <f>IF(OR(A33="",G33="",C33="",NOT(ISNUMBER($U$3))),"",ROUND(G33*C33*$U$3,2))</f>
        <v/>
      </c>
      <c r="I33" s="256" t="n"/>
      <c r="J33" s="225">
        <f>IF(OR(A33="",I33="",C33="",NOT(ISNUMBER($U$4))),"",ROUND(I33*C33*$U$4,2))</f>
        <v/>
      </c>
      <c r="K33" s="256" t="n"/>
      <c r="L33" s="225">
        <f>IF(OR(A33="",K33="",C33="",NOT(ISNUMBER($U$5))),"",ROUND(K33*C33*$U$5,2))</f>
        <v/>
      </c>
      <c r="M33" s="256" t="n"/>
      <c r="N33" s="225">
        <f>IF(OR(A33="",M33="",C33="",NOT(ISNUMBER($U$6))),"",ROUND(M33*C33*$U$6,2))</f>
        <v/>
      </c>
      <c r="O33" s="231">
        <f>IF(A33="","",SUM(E33,G33,I33,K33,M33))</f>
        <v/>
      </c>
      <c r="P33" s="225">
        <f>IF(A33="","",SUM(F33,H33,J33,L33,N33))</f>
        <v/>
      </c>
      <c r="Q33" s="233">
        <f>IF(A33="","",IF(O33&gt;B33,"DIVERGENCIA: CONSUMO MAIOR QUE CONTRATADO","OK"))</f>
        <v/>
      </c>
      <c r="R33" s="19" t="n"/>
      <c r="S33" s="19" t="n"/>
      <c r="T33" s="19" t="n"/>
      <c r="U33" s="19" t="n"/>
      <c r="V33" s="19" t="n"/>
      <c r="W33" s="19" t="n"/>
    </row>
    <row r="34">
      <c r="A34" s="255" t="n"/>
      <c r="B34" s="256" t="n"/>
      <c r="C34" s="257" t="n"/>
      <c r="D34" s="225">
        <f>IF(OR(A34="",B34="",C34=""),"",ROUND(B34*C34,2))</f>
        <v/>
      </c>
      <c r="E34" s="256" t="n"/>
      <c r="F34" s="225">
        <f>IF(OR(A34="",E34="",C34="",NOT(ISNUMBER($U$2))),"",ROUND(E34*C34*$U$2,2))</f>
        <v/>
      </c>
      <c r="G34" s="256" t="n"/>
      <c r="H34" s="225">
        <f>IF(OR(A34="",G34="",C34="",NOT(ISNUMBER($U$3))),"",ROUND(G34*C34*$U$3,2))</f>
        <v/>
      </c>
      <c r="I34" s="256" t="n"/>
      <c r="J34" s="225">
        <f>IF(OR(A34="",I34="",C34="",NOT(ISNUMBER($U$4))),"",ROUND(I34*C34*$U$4,2))</f>
        <v/>
      </c>
      <c r="K34" s="256" t="n"/>
      <c r="L34" s="225">
        <f>IF(OR(A34="",K34="",C34="",NOT(ISNUMBER($U$5))),"",ROUND(K34*C34*$U$5,2))</f>
        <v/>
      </c>
      <c r="M34" s="256" t="n"/>
      <c r="N34" s="225">
        <f>IF(OR(A34="",M34="",C34="",NOT(ISNUMBER($U$6))),"",ROUND(M34*C34*$U$6,2))</f>
        <v/>
      </c>
      <c r="O34" s="231">
        <f>IF(A34="","",SUM(E34,G34,I34,K34,M34))</f>
        <v/>
      </c>
      <c r="P34" s="225">
        <f>IF(A34="","",SUM(F34,H34,J34,L34,N34))</f>
        <v/>
      </c>
      <c r="Q34" s="233">
        <f>IF(A34="","",IF(O34&gt;B34,"DIVERGENCIA: CONSUMO MAIOR QUE CONTRATADO","OK"))</f>
        <v/>
      </c>
      <c r="R34" s="19" t="n"/>
      <c r="S34" s="19" t="n"/>
      <c r="T34" s="19" t="n"/>
      <c r="U34" s="19" t="n"/>
      <c r="V34" s="19" t="n"/>
      <c r="W34" s="19" t="n"/>
    </row>
    <row r="35">
      <c r="A35" s="255" t="n"/>
      <c r="B35" s="256" t="n"/>
      <c r="C35" s="257" t="n"/>
      <c r="D35" s="225">
        <f>IF(OR(A35="",B35="",C35=""),"",ROUND(B35*C35,2))</f>
        <v/>
      </c>
      <c r="E35" s="256" t="n"/>
      <c r="F35" s="225">
        <f>IF(OR(A35="",E35="",C35="",NOT(ISNUMBER($U$2))),"",ROUND(E35*C35*$U$2,2))</f>
        <v/>
      </c>
      <c r="G35" s="256" t="n"/>
      <c r="H35" s="225">
        <f>IF(OR(A35="",G35="",C35="",NOT(ISNUMBER($U$3))),"",ROUND(G35*C35*$U$3,2))</f>
        <v/>
      </c>
      <c r="I35" s="256" t="n"/>
      <c r="J35" s="225">
        <f>IF(OR(A35="",I35="",C35="",NOT(ISNUMBER($U$4))),"",ROUND(I35*C35*$U$4,2))</f>
        <v/>
      </c>
      <c r="K35" s="256" t="n"/>
      <c r="L35" s="225">
        <f>IF(OR(A35="",K35="",C35="",NOT(ISNUMBER($U$5))),"",ROUND(K35*C35*$U$5,2))</f>
        <v/>
      </c>
      <c r="M35" s="256" t="n"/>
      <c r="N35" s="225">
        <f>IF(OR(A35="",M35="",C35="",NOT(ISNUMBER($U$6))),"",ROUND(M35*C35*$U$6,2))</f>
        <v/>
      </c>
      <c r="O35" s="231">
        <f>IF(A35="","",SUM(E35,G35,I35,K35,M35))</f>
        <v/>
      </c>
      <c r="P35" s="225">
        <f>IF(A35="","",SUM(F35,H35,J35,L35,N35))</f>
        <v/>
      </c>
      <c r="Q35" s="233">
        <f>IF(A35="","",IF(O35&gt;B35,"DIVERGENCIA: CONSUMO MAIOR QUE CONTRATADO","OK"))</f>
        <v/>
      </c>
      <c r="R35" s="19" t="n"/>
      <c r="S35" s="19" t="n"/>
      <c r="T35" s="19" t="n"/>
      <c r="U35" s="19" t="n"/>
      <c r="V35" s="19" t="n"/>
      <c r="W35" s="19" t="n"/>
    </row>
    <row r="36">
      <c r="A36" s="255" t="n"/>
      <c r="B36" s="256" t="n"/>
      <c r="C36" s="257" t="n"/>
      <c r="D36" s="225">
        <f>IF(OR(A36="",B36="",C36=""),"",ROUND(B36*C36,2))</f>
        <v/>
      </c>
      <c r="E36" s="256" t="n"/>
      <c r="F36" s="225">
        <f>IF(OR(A36="",E36="",C36="",NOT(ISNUMBER($U$2))),"",ROUND(E36*C36*$U$2,2))</f>
        <v/>
      </c>
      <c r="G36" s="256" t="n"/>
      <c r="H36" s="225">
        <f>IF(OR(A36="",G36="",C36="",NOT(ISNUMBER($U$3))),"",ROUND(G36*C36*$U$3,2))</f>
        <v/>
      </c>
      <c r="I36" s="256" t="n"/>
      <c r="J36" s="225">
        <f>IF(OR(A36="",I36="",C36="",NOT(ISNUMBER($U$4))),"",ROUND(I36*C36*$U$4,2))</f>
        <v/>
      </c>
      <c r="K36" s="256" t="n"/>
      <c r="L36" s="225">
        <f>IF(OR(A36="",K36="",C36="",NOT(ISNUMBER($U$5))),"",ROUND(K36*C36*$U$5,2))</f>
        <v/>
      </c>
      <c r="M36" s="256" t="n"/>
      <c r="N36" s="225">
        <f>IF(OR(A36="",M36="",C36="",NOT(ISNUMBER($U$6))),"",ROUND(M36*C36*$U$6,2))</f>
        <v/>
      </c>
      <c r="O36" s="231">
        <f>IF(A36="","",SUM(E36,G36,I36,K36,M36))</f>
        <v/>
      </c>
      <c r="P36" s="225">
        <f>IF(A36="","",SUM(F36,H36,J36,L36,N36))</f>
        <v/>
      </c>
      <c r="Q36" s="233">
        <f>IF(A36="","",IF(O36&gt;B36,"DIVERGENCIA: CONSUMO MAIOR QUE CONTRATADO","OK"))</f>
        <v/>
      </c>
      <c r="R36" s="19" t="n"/>
      <c r="S36" s="19" t="n"/>
      <c r="T36" s="19" t="n"/>
      <c r="U36" s="19" t="n"/>
      <c r="V36" s="19" t="n"/>
      <c r="W36" s="19" t="n"/>
    </row>
    <row r="37">
      <c r="A37" s="255" t="n"/>
      <c r="B37" s="256" t="n"/>
      <c r="C37" s="257" t="n"/>
      <c r="D37" s="225">
        <f>IF(OR(A37="",B37="",C37=""),"",ROUND(B37*C37,2))</f>
        <v/>
      </c>
      <c r="E37" s="256" t="n"/>
      <c r="F37" s="225">
        <f>IF(OR(A37="",E37="",C37="",NOT(ISNUMBER($U$2))),"",ROUND(E37*C37*$U$2,2))</f>
        <v/>
      </c>
      <c r="G37" s="256" t="n"/>
      <c r="H37" s="225">
        <f>IF(OR(A37="",G37="",C37="",NOT(ISNUMBER($U$3))),"",ROUND(G37*C37*$U$3,2))</f>
        <v/>
      </c>
      <c r="I37" s="256" t="n"/>
      <c r="J37" s="225">
        <f>IF(OR(A37="",I37="",C37="",NOT(ISNUMBER($U$4))),"",ROUND(I37*C37*$U$4,2))</f>
        <v/>
      </c>
      <c r="K37" s="256" t="n"/>
      <c r="L37" s="225">
        <f>IF(OR(A37="",K37="",C37="",NOT(ISNUMBER($U$5))),"",ROUND(K37*C37*$U$5,2))</f>
        <v/>
      </c>
      <c r="M37" s="256" t="n"/>
      <c r="N37" s="225">
        <f>IF(OR(A37="",M37="",C37="",NOT(ISNUMBER($U$6))),"",ROUND(M37*C37*$U$6,2))</f>
        <v/>
      </c>
      <c r="O37" s="231">
        <f>IF(A37="","",SUM(E37,G37,I37,K37,M37))</f>
        <v/>
      </c>
      <c r="P37" s="225">
        <f>IF(A37="","",SUM(F37,H37,J37,L37,N37))</f>
        <v/>
      </c>
      <c r="Q37" s="233">
        <f>IF(A37="","",IF(O37&gt;B37,"DIVERGENCIA: CONSUMO MAIOR QUE CONTRATADO","OK"))</f>
        <v/>
      </c>
      <c r="R37" s="19" t="n"/>
      <c r="S37" s="19" t="n"/>
      <c r="T37" s="19" t="n"/>
      <c r="U37" s="19" t="n"/>
      <c r="V37" s="19" t="n"/>
      <c r="W37" s="19" t="n"/>
    </row>
    <row r="38">
      <c r="A38" s="255" t="n"/>
      <c r="B38" s="256" t="n"/>
      <c r="C38" s="257" t="n"/>
      <c r="D38" s="225">
        <f>IF(OR(A38="",B38="",C38=""),"",ROUND(B38*C38,2))</f>
        <v/>
      </c>
      <c r="E38" s="256" t="n"/>
      <c r="F38" s="225">
        <f>IF(OR(A38="",E38="",C38="",NOT(ISNUMBER($U$2))),"",ROUND(E38*C38*$U$2,2))</f>
        <v/>
      </c>
      <c r="G38" s="256" t="n"/>
      <c r="H38" s="225">
        <f>IF(OR(A38="",G38="",C38="",NOT(ISNUMBER($U$3))),"",ROUND(G38*C38*$U$3,2))</f>
        <v/>
      </c>
      <c r="I38" s="256" t="n"/>
      <c r="J38" s="225">
        <f>IF(OR(A38="",I38="",C38="",NOT(ISNUMBER($U$4))),"",ROUND(I38*C38*$U$4,2))</f>
        <v/>
      </c>
      <c r="K38" s="256" t="n"/>
      <c r="L38" s="225">
        <f>IF(OR(A38="",K38="",C38="",NOT(ISNUMBER($U$5))),"",ROUND(K38*C38*$U$5,2))</f>
        <v/>
      </c>
      <c r="M38" s="256" t="n"/>
      <c r="N38" s="225">
        <f>IF(OR(A38="",M38="",C38="",NOT(ISNUMBER($U$6))),"",ROUND(M38*C38*$U$6,2))</f>
        <v/>
      </c>
      <c r="O38" s="231">
        <f>IF(A38="","",SUM(E38,G38,I38,K38,M38))</f>
        <v/>
      </c>
      <c r="P38" s="225">
        <f>IF(A38="","",SUM(F38,H38,J38,L38,N38))</f>
        <v/>
      </c>
      <c r="Q38" s="233">
        <f>IF(A38="","",IF(O38&gt;B38,"DIVERGENCIA: CONSUMO MAIOR QUE CONTRATADO","OK"))</f>
        <v/>
      </c>
      <c r="R38" s="19" t="n"/>
      <c r="S38" s="19" t="n"/>
      <c r="T38" s="19" t="n"/>
      <c r="U38" s="19" t="n"/>
      <c r="V38" s="19" t="n"/>
      <c r="W38" s="19" t="n"/>
    </row>
    <row r="39">
      <c r="A39" s="255" t="n"/>
      <c r="B39" s="256" t="n"/>
      <c r="C39" s="257" t="n"/>
      <c r="D39" s="225">
        <f>IF(OR(A39="",B39="",C39=""),"",ROUND(B39*C39,2))</f>
        <v/>
      </c>
      <c r="E39" s="256" t="n"/>
      <c r="F39" s="225">
        <f>IF(OR(A39="",E39="",C39="",NOT(ISNUMBER($U$2))),"",ROUND(E39*C39*$U$2,2))</f>
        <v/>
      </c>
      <c r="G39" s="256" t="n"/>
      <c r="H39" s="225">
        <f>IF(OR(A39="",G39="",C39="",NOT(ISNUMBER($U$3))),"",ROUND(G39*C39*$U$3,2))</f>
        <v/>
      </c>
      <c r="I39" s="256" t="n"/>
      <c r="J39" s="225">
        <f>IF(OR(A39="",I39="",C39="",NOT(ISNUMBER($U$4))),"",ROUND(I39*C39*$U$4,2))</f>
        <v/>
      </c>
      <c r="K39" s="256" t="n"/>
      <c r="L39" s="225">
        <f>IF(OR(A39="",K39="",C39="",NOT(ISNUMBER($U$5))),"",ROUND(K39*C39*$U$5,2))</f>
        <v/>
      </c>
      <c r="M39" s="256" t="n"/>
      <c r="N39" s="225">
        <f>IF(OR(A39="",M39="",C39="",NOT(ISNUMBER($U$6))),"",ROUND(M39*C39*$U$6,2))</f>
        <v/>
      </c>
      <c r="O39" s="231">
        <f>IF(A39="","",SUM(E39,G39,I39,K39,M39))</f>
        <v/>
      </c>
      <c r="P39" s="225">
        <f>IF(A39="","",SUM(F39,H39,J39,L39,N39))</f>
        <v/>
      </c>
      <c r="Q39" s="233">
        <f>IF(A39="","",IF(O39&gt;B39,"DIVERGENCIA: CONSUMO MAIOR QUE CONTRATADO","OK"))</f>
        <v/>
      </c>
      <c r="R39" s="19" t="n"/>
      <c r="S39" s="19" t="n"/>
      <c r="T39" s="19" t="n"/>
      <c r="U39" s="19" t="n"/>
      <c r="V39" s="19" t="n"/>
      <c r="W39" s="19" t="n"/>
    </row>
    <row r="40">
      <c r="A40" s="255" t="n"/>
      <c r="B40" s="256" t="n"/>
      <c r="C40" s="257" t="n"/>
      <c r="D40" s="225">
        <f>IF(OR(A40="",B40="",C40=""),"",ROUND(B40*C40,2))</f>
        <v/>
      </c>
      <c r="E40" s="256" t="n"/>
      <c r="F40" s="225">
        <f>IF(OR(A40="",E40="",C40="",NOT(ISNUMBER($U$2))),"",ROUND(E40*C40*$U$2,2))</f>
        <v/>
      </c>
      <c r="G40" s="256" t="n"/>
      <c r="H40" s="225">
        <f>IF(OR(A40="",G40="",C40="",NOT(ISNUMBER($U$3))),"",ROUND(G40*C40*$U$3,2))</f>
        <v/>
      </c>
      <c r="I40" s="256" t="n"/>
      <c r="J40" s="225">
        <f>IF(OR(A40="",I40="",C40="",NOT(ISNUMBER($U$4))),"",ROUND(I40*C40*$U$4,2))</f>
        <v/>
      </c>
      <c r="K40" s="256" t="n"/>
      <c r="L40" s="225">
        <f>IF(OR(A40="",K40="",C40="",NOT(ISNUMBER($U$5))),"",ROUND(K40*C40*$U$5,2))</f>
        <v/>
      </c>
      <c r="M40" s="256" t="n"/>
      <c r="N40" s="225">
        <f>IF(OR(A40="",M40="",C40="",NOT(ISNUMBER($U$6))),"",ROUND(M40*C40*$U$6,2))</f>
        <v/>
      </c>
      <c r="O40" s="231">
        <f>IF(A40="","",SUM(E40,G40,I40,K40,M40))</f>
        <v/>
      </c>
      <c r="P40" s="225">
        <f>IF(A40="","",SUM(F40,H40,J40,L40,N40))</f>
        <v/>
      </c>
      <c r="Q40" s="233">
        <f>IF(A40="","",IF(O40&gt;B40,"DIVERGENCIA: CONSUMO MAIOR QUE CONTRATADO","OK"))</f>
        <v/>
      </c>
      <c r="R40" s="19" t="n"/>
      <c r="S40" s="19" t="n"/>
      <c r="T40" s="19" t="n"/>
      <c r="U40" s="19" t="n"/>
      <c r="V40" s="19" t="n"/>
      <c r="W40" s="19" t="n"/>
    </row>
    <row r="41">
      <c r="A41" s="255" t="n"/>
      <c r="B41" s="256" t="n"/>
      <c r="C41" s="257" t="n"/>
      <c r="D41" s="225">
        <f>IF(OR(A41="",B41="",C41=""),"",ROUND(B41*C41,2))</f>
        <v/>
      </c>
      <c r="E41" s="256" t="n"/>
      <c r="F41" s="225">
        <f>IF(OR(A41="",E41="",C41="",NOT(ISNUMBER($U$2))),"",ROUND(E41*C41*$U$2,2))</f>
        <v/>
      </c>
      <c r="G41" s="256" t="n"/>
      <c r="H41" s="225">
        <f>IF(OR(A41="",G41="",C41="",NOT(ISNUMBER($U$3))),"",ROUND(G41*C41*$U$3,2))</f>
        <v/>
      </c>
      <c r="I41" s="256" t="n"/>
      <c r="J41" s="225">
        <f>IF(OR(A41="",I41="",C41="",NOT(ISNUMBER($U$4))),"",ROUND(I41*C41*$U$4,2))</f>
        <v/>
      </c>
      <c r="K41" s="256" t="n"/>
      <c r="L41" s="225">
        <f>IF(OR(A41="",K41="",C41="",NOT(ISNUMBER($U$5))),"",ROUND(K41*C41*$U$5,2))</f>
        <v/>
      </c>
      <c r="M41" s="256" t="n"/>
      <c r="N41" s="225">
        <f>IF(OR(A41="",M41="",C41="",NOT(ISNUMBER($U$6))),"",ROUND(M41*C41*$U$6,2))</f>
        <v/>
      </c>
      <c r="O41" s="231">
        <f>IF(A41="","",SUM(E41,G41,I41,K41,M41))</f>
        <v/>
      </c>
      <c r="P41" s="225">
        <f>IF(A41="","",SUM(F41,H41,J41,L41,N41))</f>
        <v/>
      </c>
      <c r="Q41" s="233">
        <f>IF(A41="","",IF(O41&gt;B41,"DIVERGENCIA: CONSUMO MAIOR QUE CONTRATADO","OK"))</f>
        <v/>
      </c>
      <c r="R41" s="19" t="n"/>
      <c r="S41" s="19" t="n"/>
      <c r="T41" s="19" t="n"/>
      <c r="U41" s="19" t="n"/>
      <c r="V41" s="19" t="n"/>
      <c r="W41" s="19" t="n"/>
    </row>
    <row r="42">
      <c r="A42" s="255" t="n"/>
      <c r="B42" s="256" t="n"/>
      <c r="C42" s="257" t="n"/>
      <c r="D42" s="225">
        <f>IF(OR(A42="",B42="",C42=""),"",ROUND(B42*C42,2))</f>
        <v/>
      </c>
      <c r="E42" s="256" t="n"/>
      <c r="F42" s="225">
        <f>IF(OR(A42="",E42="",C42="",NOT(ISNUMBER($U$2))),"",ROUND(E42*C42*$U$2,2))</f>
        <v/>
      </c>
      <c r="G42" s="256" t="n"/>
      <c r="H42" s="225">
        <f>IF(OR(A42="",G42="",C42="",NOT(ISNUMBER($U$3))),"",ROUND(G42*C42*$U$3,2))</f>
        <v/>
      </c>
      <c r="I42" s="256" t="n"/>
      <c r="J42" s="225">
        <f>IF(OR(A42="",I42="",C42="",NOT(ISNUMBER($U$4))),"",ROUND(I42*C42*$U$4,2))</f>
        <v/>
      </c>
      <c r="K42" s="256" t="n"/>
      <c r="L42" s="225">
        <f>IF(OR(A42="",K42="",C42="",NOT(ISNUMBER($U$5))),"",ROUND(K42*C42*$U$5,2))</f>
        <v/>
      </c>
      <c r="M42" s="256" t="n"/>
      <c r="N42" s="225">
        <f>IF(OR(A42="",M42="",C42="",NOT(ISNUMBER($U$6))),"",ROUND(M42*C42*$U$6,2))</f>
        <v/>
      </c>
      <c r="O42" s="231">
        <f>IF(A42="","",SUM(E42,G42,I42,K42,M42))</f>
        <v/>
      </c>
      <c r="P42" s="225">
        <f>IF(A42="","",SUM(F42,H42,J42,L42,N42))</f>
        <v/>
      </c>
      <c r="Q42" s="233">
        <f>IF(A42="","",IF(O42&gt;B42,"DIVERGENCIA: CONSUMO MAIOR QUE CONTRATADO","OK"))</f>
        <v/>
      </c>
      <c r="R42" s="19" t="n"/>
      <c r="S42" s="19" t="n"/>
      <c r="T42" s="19" t="n"/>
      <c r="U42" s="19" t="n"/>
      <c r="V42" s="19" t="n"/>
      <c r="W42" s="19" t="n"/>
    </row>
    <row r="43">
      <c r="A43" s="255" t="n"/>
      <c r="B43" s="256" t="n"/>
      <c r="C43" s="257" t="n"/>
      <c r="D43" s="225">
        <f>IF(OR(A43="",B43="",C43=""),"",ROUND(B43*C43,2))</f>
        <v/>
      </c>
      <c r="E43" s="256" t="n"/>
      <c r="F43" s="225">
        <f>IF(OR(A43="",E43="",C43="",NOT(ISNUMBER($U$2))),"",ROUND(E43*C43*$U$2,2))</f>
        <v/>
      </c>
      <c r="G43" s="256" t="n"/>
      <c r="H43" s="225">
        <f>IF(OR(A43="",G43="",C43="",NOT(ISNUMBER($U$3))),"",ROUND(G43*C43*$U$3,2))</f>
        <v/>
      </c>
      <c r="I43" s="256" t="n"/>
      <c r="J43" s="225">
        <f>IF(OR(A43="",I43="",C43="",NOT(ISNUMBER($U$4))),"",ROUND(I43*C43*$U$4,2))</f>
        <v/>
      </c>
      <c r="K43" s="256" t="n"/>
      <c r="L43" s="225">
        <f>IF(OR(A43="",K43="",C43="",NOT(ISNUMBER($U$5))),"",ROUND(K43*C43*$U$5,2))</f>
        <v/>
      </c>
      <c r="M43" s="256" t="n"/>
      <c r="N43" s="225">
        <f>IF(OR(A43="",M43="",C43="",NOT(ISNUMBER($U$6))),"",ROUND(M43*C43*$U$6,2))</f>
        <v/>
      </c>
      <c r="O43" s="231">
        <f>IF(A43="","",SUM(E43,G43,I43,K43,M43))</f>
        <v/>
      </c>
      <c r="P43" s="225">
        <f>IF(A43="","",SUM(F43,H43,J43,L43,N43))</f>
        <v/>
      </c>
      <c r="Q43" s="233">
        <f>IF(A43="","",IF(O43&gt;B43,"DIVERGENCIA: CONSUMO MAIOR QUE CONTRATADO","OK"))</f>
        <v/>
      </c>
      <c r="R43" s="19" t="n"/>
      <c r="S43" s="19" t="n"/>
      <c r="T43" s="19" t="n"/>
      <c r="U43" s="19" t="n"/>
      <c r="V43" s="19" t="n"/>
      <c r="W43" s="19" t="n"/>
    </row>
    <row r="44">
      <c r="A44" s="255" t="n"/>
      <c r="B44" s="256" t="n"/>
      <c r="C44" s="257" t="n"/>
      <c r="D44" s="225">
        <f>IF(OR(A44="",B44="",C44=""),"",ROUND(B44*C44,2))</f>
        <v/>
      </c>
      <c r="E44" s="256" t="n"/>
      <c r="F44" s="225">
        <f>IF(OR(A44="",E44="",C44="",NOT(ISNUMBER($U$2))),"",ROUND(E44*C44*$U$2,2))</f>
        <v/>
      </c>
      <c r="G44" s="256" t="n"/>
      <c r="H44" s="225">
        <f>IF(OR(A44="",G44="",C44="",NOT(ISNUMBER($U$3))),"",ROUND(G44*C44*$U$3,2))</f>
        <v/>
      </c>
      <c r="I44" s="256" t="n"/>
      <c r="J44" s="225">
        <f>IF(OR(A44="",I44="",C44="",NOT(ISNUMBER($U$4))),"",ROUND(I44*C44*$U$4,2))</f>
        <v/>
      </c>
      <c r="K44" s="256" t="n"/>
      <c r="L44" s="225">
        <f>IF(OR(A44="",K44="",C44="",NOT(ISNUMBER($U$5))),"",ROUND(K44*C44*$U$5,2))</f>
        <v/>
      </c>
      <c r="M44" s="256" t="n"/>
      <c r="N44" s="225">
        <f>IF(OR(A44="",M44="",C44="",NOT(ISNUMBER($U$6))),"",ROUND(M44*C44*$U$6,2))</f>
        <v/>
      </c>
      <c r="O44" s="231">
        <f>IF(A44="","",SUM(E44,G44,I44,K44,M44))</f>
        <v/>
      </c>
      <c r="P44" s="225">
        <f>IF(A44="","",SUM(F44,H44,J44,L44,N44))</f>
        <v/>
      </c>
      <c r="Q44" s="233">
        <f>IF(A44="","",IF(O44&gt;B44,"DIVERGENCIA: CONSUMO MAIOR QUE CONTRATADO","OK"))</f>
        <v/>
      </c>
      <c r="R44" s="19" t="n"/>
      <c r="S44" s="19" t="n"/>
      <c r="T44" s="19" t="n"/>
      <c r="U44" s="19" t="n"/>
      <c r="V44" s="19" t="n"/>
      <c r="W44" s="19" t="n"/>
    </row>
    <row r="45">
      <c r="A45" s="255" t="n"/>
      <c r="B45" s="256" t="n"/>
      <c r="C45" s="257" t="n"/>
      <c r="D45" s="225">
        <f>IF(OR(A45="",B45="",C45=""),"",ROUND(B45*C45,2))</f>
        <v/>
      </c>
      <c r="E45" s="256" t="n"/>
      <c r="F45" s="225">
        <f>IF(OR(A45="",E45="",C45="",NOT(ISNUMBER($U$2))),"",ROUND(E45*C45*$U$2,2))</f>
        <v/>
      </c>
      <c r="G45" s="256" t="n"/>
      <c r="H45" s="225">
        <f>IF(OR(A45="",G45="",C45="",NOT(ISNUMBER($U$3))),"",ROUND(G45*C45*$U$3,2))</f>
        <v/>
      </c>
      <c r="I45" s="256" t="n"/>
      <c r="J45" s="225">
        <f>IF(OR(A45="",I45="",C45="",NOT(ISNUMBER($U$4))),"",ROUND(I45*C45*$U$4,2))</f>
        <v/>
      </c>
      <c r="K45" s="256" t="n"/>
      <c r="L45" s="225">
        <f>IF(OR(A45="",K45="",C45="",NOT(ISNUMBER($U$5))),"",ROUND(K45*C45*$U$5,2))</f>
        <v/>
      </c>
      <c r="M45" s="256" t="n"/>
      <c r="N45" s="225">
        <f>IF(OR(A45="",M45="",C45="",NOT(ISNUMBER($U$6))),"",ROUND(M45*C45*$U$6,2))</f>
        <v/>
      </c>
      <c r="O45" s="231">
        <f>IF(A45="","",SUM(E45,G45,I45,K45,M45))</f>
        <v/>
      </c>
      <c r="P45" s="225">
        <f>IF(A45="","",SUM(F45,H45,J45,L45,N45))</f>
        <v/>
      </c>
      <c r="Q45" s="233">
        <f>IF(A45="","",IF(O45&gt;B45,"DIVERGENCIA: CONSUMO MAIOR QUE CONTRATADO","OK"))</f>
        <v/>
      </c>
      <c r="R45" s="19" t="n"/>
      <c r="S45" s="19" t="n"/>
      <c r="T45" s="19" t="n"/>
      <c r="U45" s="19" t="n"/>
      <c r="V45" s="19" t="n"/>
      <c r="W45" s="19" t="n"/>
    </row>
    <row r="46">
      <c r="A46" s="255" t="n"/>
      <c r="B46" s="256" t="n"/>
      <c r="C46" s="257" t="n"/>
      <c r="D46" s="225">
        <f>IF(OR(A46="",B46="",C46=""),"",ROUND(B46*C46,2))</f>
        <v/>
      </c>
      <c r="E46" s="256" t="n"/>
      <c r="F46" s="225">
        <f>IF(OR(A46="",E46="",C46="",NOT(ISNUMBER($U$2))),"",ROUND(E46*C46*$U$2,2))</f>
        <v/>
      </c>
      <c r="G46" s="256" t="n"/>
      <c r="H46" s="225">
        <f>IF(OR(A46="",G46="",C46="",NOT(ISNUMBER($U$3))),"",ROUND(G46*C46*$U$3,2))</f>
        <v/>
      </c>
      <c r="I46" s="256" t="n"/>
      <c r="J46" s="225">
        <f>IF(OR(A46="",I46="",C46="",NOT(ISNUMBER($U$4))),"",ROUND(I46*C46*$U$4,2))</f>
        <v/>
      </c>
      <c r="K46" s="256" t="n"/>
      <c r="L46" s="225">
        <f>IF(OR(A46="",K46="",C46="",NOT(ISNUMBER($U$5))),"",ROUND(K46*C46*$U$5,2))</f>
        <v/>
      </c>
      <c r="M46" s="256" t="n"/>
      <c r="N46" s="225">
        <f>IF(OR(A46="",M46="",C46="",NOT(ISNUMBER($U$6))),"",ROUND(M46*C46*$U$6,2))</f>
        <v/>
      </c>
      <c r="O46" s="231">
        <f>IF(A46="","",SUM(E46,G46,I46,K46,M46))</f>
        <v/>
      </c>
      <c r="P46" s="225">
        <f>IF(A46="","",SUM(F46,H46,J46,L46,N46))</f>
        <v/>
      </c>
      <c r="Q46" s="233">
        <f>IF(A46="","",IF(O46&gt;B46,"DIVERGENCIA: CONSUMO MAIOR QUE CONTRATADO","OK"))</f>
        <v/>
      </c>
      <c r="R46" s="19" t="n"/>
      <c r="S46" s="19" t="n"/>
      <c r="T46" s="19" t="n"/>
      <c r="U46" s="19" t="n"/>
      <c r="V46" s="19" t="n"/>
      <c r="W46" s="19" t="n"/>
    </row>
    <row r="47">
      <c r="A47" s="255" t="n"/>
      <c r="B47" s="256" t="n"/>
      <c r="C47" s="257" t="n"/>
      <c r="D47" s="225">
        <f>IF(OR(A47="",B47="",C47=""),"",ROUND(B47*C47,2))</f>
        <v/>
      </c>
      <c r="E47" s="256" t="n"/>
      <c r="F47" s="225">
        <f>IF(OR(A47="",E47="",C47="",NOT(ISNUMBER($U$2))),"",ROUND(E47*C47*$U$2,2))</f>
        <v/>
      </c>
      <c r="G47" s="256" t="n"/>
      <c r="H47" s="225">
        <f>IF(OR(A47="",G47="",C47="",NOT(ISNUMBER($U$3))),"",ROUND(G47*C47*$U$3,2))</f>
        <v/>
      </c>
      <c r="I47" s="256" t="n"/>
      <c r="J47" s="225">
        <f>IF(OR(A47="",I47="",C47="",NOT(ISNUMBER($U$4))),"",ROUND(I47*C47*$U$4,2))</f>
        <v/>
      </c>
      <c r="K47" s="256" t="n"/>
      <c r="L47" s="225">
        <f>IF(OR(A47="",K47="",C47="",NOT(ISNUMBER($U$5))),"",ROUND(K47*C47*$U$5,2))</f>
        <v/>
      </c>
      <c r="M47" s="256" t="n"/>
      <c r="N47" s="225">
        <f>IF(OR(A47="",M47="",C47="",NOT(ISNUMBER($U$6))),"",ROUND(M47*C47*$U$6,2))</f>
        <v/>
      </c>
      <c r="O47" s="231">
        <f>IF(A47="","",SUM(E47,G47,I47,K47,M47))</f>
        <v/>
      </c>
      <c r="P47" s="225">
        <f>IF(A47="","",SUM(F47,H47,J47,L47,N47))</f>
        <v/>
      </c>
      <c r="Q47" s="233">
        <f>IF(A47="","",IF(O47&gt;B47,"DIVERGENCIA: CONSUMO MAIOR QUE CONTRATADO","OK"))</f>
        <v/>
      </c>
      <c r="R47" s="19" t="n"/>
      <c r="S47" s="19" t="n"/>
      <c r="T47" s="19" t="n"/>
      <c r="U47" s="19" t="n"/>
      <c r="V47" s="19" t="n"/>
      <c r="W47" s="19" t="n"/>
    </row>
    <row r="48">
      <c r="A48" s="255" t="n"/>
      <c r="B48" s="256" t="n"/>
      <c r="C48" s="257" t="n"/>
      <c r="D48" s="225">
        <f>IF(OR(A48="",B48="",C48=""),"",ROUND(B48*C48,2))</f>
        <v/>
      </c>
      <c r="E48" s="256" t="n"/>
      <c r="F48" s="225">
        <f>IF(OR(A48="",E48="",C48="",NOT(ISNUMBER($U$2))),"",ROUND(E48*C48*$U$2,2))</f>
        <v/>
      </c>
      <c r="G48" s="256" t="n"/>
      <c r="H48" s="225">
        <f>IF(OR(A48="",G48="",C48="",NOT(ISNUMBER($U$3))),"",ROUND(G48*C48*$U$3,2))</f>
        <v/>
      </c>
      <c r="I48" s="256" t="n"/>
      <c r="J48" s="225">
        <f>IF(OR(A48="",I48="",C48="",NOT(ISNUMBER($U$4))),"",ROUND(I48*C48*$U$4,2))</f>
        <v/>
      </c>
      <c r="K48" s="256" t="n"/>
      <c r="L48" s="225">
        <f>IF(OR(A48="",K48="",C48="",NOT(ISNUMBER($U$5))),"",ROUND(K48*C48*$U$5,2))</f>
        <v/>
      </c>
      <c r="M48" s="256" t="n"/>
      <c r="N48" s="225">
        <f>IF(OR(A48="",M48="",C48="",NOT(ISNUMBER($U$6))),"",ROUND(M48*C48*$U$6,2))</f>
        <v/>
      </c>
      <c r="O48" s="231">
        <f>IF(A48="","",SUM(E48,G48,I48,K48,M48))</f>
        <v/>
      </c>
      <c r="P48" s="225">
        <f>IF(A48="","",SUM(F48,H48,J48,L48,N48))</f>
        <v/>
      </c>
      <c r="Q48" s="233">
        <f>IF(A48="","",IF(O48&gt;B48,"DIVERGENCIA: CONSUMO MAIOR QUE CONTRATADO","OK"))</f>
        <v/>
      </c>
      <c r="R48" s="19" t="n"/>
      <c r="S48" s="19" t="n"/>
      <c r="T48" s="19" t="n"/>
      <c r="U48" s="19" t="n"/>
      <c r="V48" s="19" t="n"/>
      <c r="W48" s="19" t="n"/>
    </row>
    <row r="49">
      <c r="A49" s="255" t="n"/>
      <c r="B49" s="256" t="n"/>
      <c r="C49" s="257" t="n"/>
      <c r="D49" s="225">
        <f>IF(OR(A49="",B49="",C49=""),"",ROUND(B49*C49,2))</f>
        <v/>
      </c>
      <c r="E49" s="256" t="n"/>
      <c r="F49" s="225">
        <f>IF(OR(A49="",E49="",C49="",NOT(ISNUMBER($U$2))),"",ROUND(E49*C49*$U$2,2))</f>
        <v/>
      </c>
      <c r="G49" s="256" t="n"/>
      <c r="H49" s="225">
        <f>IF(OR(A49="",G49="",C49="",NOT(ISNUMBER($U$3))),"",ROUND(G49*C49*$U$3,2))</f>
        <v/>
      </c>
      <c r="I49" s="256" t="n"/>
      <c r="J49" s="225">
        <f>IF(OR(A49="",I49="",C49="",NOT(ISNUMBER($U$4))),"",ROUND(I49*C49*$U$4,2))</f>
        <v/>
      </c>
      <c r="K49" s="256" t="n"/>
      <c r="L49" s="225">
        <f>IF(OR(A49="",K49="",C49="",NOT(ISNUMBER($U$5))),"",ROUND(K49*C49*$U$5,2))</f>
        <v/>
      </c>
      <c r="M49" s="256" t="n"/>
      <c r="N49" s="225">
        <f>IF(OR(A49="",M49="",C49="",NOT(ISNUMBER($U$6))),"",ROUND(M49*C49*$U$6,2))</f>
        <v/>
      </c>
      <c r="O49" s="231">
        <f>IF(A49="","",SUM(E49,G49,I49,K49,M49))</f>
        <v/>
      </c>
      <c r="P49" s="225">
        <f>IF(A49="","",SUM(F49,H49,J49,L49,N49))</f>
        <v/>
      </c>
      <c r="Q49" s="233">
        <f>IF(A49="","",IF(O49&gt;B49,"DIVERGENCIA: CONSUMO MAIOR QUE CONTRATADO","OK"))</f>
        <v/>
      </c>
      <c r="R49" s="19" t="n"/>
      <c r="S49" s="19" t="n"/>
      <c r="T49" s="19" t="n"/>
      <c r="U49" s="19" t="n"/>
      <c r="V49" s="19" t="n"/>
      <c r="W49" s="19" t="n"/>
    </row>
    <row r="50">
      <c r="A50" s="255" t="n"/>
      <c r="B50" s="256" t="n"/>
      <c r="C50" s="257" t="n"/>
      <c r="D50" s="225">
        <f>IF(OR(A50="",B50="",C50=""),"",ROUND(B50*C50,2))</f>
        <v/>
      </c>
      <c r="E50" s="256" t="n"/>
      <c r="F50" s="225">
        <f>IF(OR(A50="",E50="",C50="",NOT(ISNUMBER($U$2))),"",ROUND(E50*C50*$U$2,2))</f>
        <v/>
      </c>
      <c r="G50" s="256" t="n"/>
      <c r="H50" s="225">
        <f>IF(OR(A50="",G50="",C50="",NOT(ISNUMBER($U$3))),"",ROUND(G50*C50*$U$3,2))</f>
        <v/>
      </c>
      <c r="I50" s="256" t="n"/>
      <c r="J50" s="225">
        <f>IF(OR(A50="",I50="",C50="",NOT(ISNUMBER($U$4))),"",ROUND(I50*C50*$U$4,2))</f>
        <v/>
      </c>
      <c r="K50" s="256" t="n"/>
      <c r="L50" s="225">
        <f>IF(OR(A50="",K50="",C50="",NOT(ISNUMBER($U$5))),"",ROUND(K50*C50*$U$5,2))</f>
        <v/>
      </c>
      <c r="M50" s="256" t="n"/>
      <c r="N50" s="225">
        <f>IF(OR(A50="",M50="",C50="",NOT(ISNUMBER($U$6))),"",ROUND(M50*C50*$U$6,2))</f>
        <v/>
      </c>
      <c r="O50" s="231">
        <f>IF(A50="","",SUM(E50,G50,I50,K50,M50))</f>
        <v/>
      </c>
      <c r="P50" s="225">
        <f>IF(A50="","",SUM(F50,H50,J50,L50,N50))</f>
        <v/>
      </c>
      <c r="Q50" s="233">
        <f>IF(A50="","",IF(O50&gt;B50,"DIVERGENCIA: CONSUMO MAIOR QUE CONTRATADO","OK"))</f>
        <v/>
      </c>
      <c r="R50" s="19" t="n"/>
      <c r="S50" s="19" t="n"/>
      <c r="T50" s="19" t="n"/>
      <c r="U50" s="19" t="n"/>
      <c r="V50" s="19" t="n"/>
      <c r="W50" s="19" t="n"/>
    </row>
    <row r="51">
      <c r="A51" s="255" t="n"/>
      <c r="B51" s="256" t="n"/>
      <c r="C51" s="257" t="n"/>
      <c r="D51" s="225">
        <f>IF(OR(A51="",B51="",C51=""),"",ROUND(B51*C51,2))</f>
        <v/>
      </c>
      <c r="E51" s="256" t="n"/>
      <c r="F51" s="225">
        <f>IF(OR(A51="",E51="",C51="",NOT(ISNUMBER($U$2))),"",ROUND(E51*C51*$U$2,2))</f>
        <v/>
      </c>
      <c r="G51" s="256" t="n"/>
      <c r="H51" s="225">
        <f>IF(OR(A51="",G51="",C51="",NOT(ISNUMBER($U$3))),"",ROUND(G51*C51*$U$3,2))</f>
        <v/>
      </c>
      <c r="I51" s="256" t="n"/>
      <c r="J51" s="225">
        <f>IF(OR(A51="",I51="",C51="",NOT(ISNUMBER($U$4))),"",ROUND(I51*C51*$U$4,2))</f>
        <v/>
      </c>
      <c r="K51" s="256" t="n"/>
      <c r="L51" s="225">
        <f>IF(OR(A51="",K51="",C51="",NOT(ISNUMBER($U$5))),"",ROUND(K51*C51*$U$5,2))</f>
        <v/>
      </c>
      <c r="M51" s="256" t="n"/>
      <c r="N51" s="225">
        <f>IF(OR(A51="",M51="",C51="",NOT(ISNUMBER($U$6))),"",ROUND(M51*C51*$U$6,2))</f>
        <v/>
      </c>
      <c r="O51" s="231">
        <f>IF(A51="","",SUM(E51,G51,I51,K51,M51))</f>
        <v/>
      </c>
      <c r="P51" s="225">
        <f>IF(A51="","",SUM(F51,H51,J51,L51,N51))</f>
        <v/>
      </c>
      <c r="Q51" s="233">
        <f>IF(A51="","",IF(O51&gt;B51,"DIVERGENCIA: CONSUMO MAIOR QUE CONTRATADO","OK"))</f>
        <v/>
      </c>
      <c r="R51" s="19" t="n"/>
      <c r="S51" s="19" t="n"/>
      <c r="T51" s="19" t="n"/>
      <c r="U51" s="19" t="n"/>
      <c r="V51" s="19" t="n"/>
      <c r="W51" s="19" t="n"/>
    </row>
    <row r="52">
      <c r="A52" s="255" t="n"/>
      <c r="B52" s="256" t="n"/>
      <c r="C52" s="257" t="n"/>
      <c r="D52" s="225">
        <f>IF(OR(A52="",B52="",C52=""),"",ROUND(B52*C52,2))</f>
        <v/>
      </c>
      <c r="E52" s="256" t="n"/>
      <c r="F52" s="225">
        <f>IF(OR(A52="",E52="",C52="",NOT(ISNUMBER($U$2))),"",ROUND(E52*C52*$U$2,2))</f>
        <v/>
      </c>
      <c r="G52" s="256" t="n"/>
      <c r="H52" s="225">
        <f>IF(OR(A52="",G52="",C52="",NOT(ISNUMBER($U$3))),"",ROUND(G52*C52*$U$3,2))</f>
        <v/>
      </c>
      <c r="I52" s="256" t="n"/>
      <c r="J52" s="225">
        <f>IF(OR(A52="",I52="",C52="",NOT(ISNUMBER($U$4))),"",ROUND(I52*C52*$U$4,2))</f>
        <v/>
      </c>
      <c r="K52" s="256" t="n"/>
      <c r="L52" s="225">
        <f>IF(OR(A52="",K52="",C52="",NOT(ISNUMBER($U$5))),"",ROUND(K52*C52*$U$5,2))</f>
        <v/>
      </c>
      <c r="M52" s="256" t="n"/>
      <c r="N52" s="225">
        <f>IF(OR(A52="",M52="",C52="",NOT(ISNUMBER($U$6))),"",ROUND(M52*C52*$U$6,2))</f>
        <v/>
      </c>
      <c r="O52" s="231">
        <f>IF(A52="","",SUM(E52,G52,I52,K52,M52))</f>
        <v/>
      </c>
      <c r="P52" s="225">
        <f>IF(A52="","",SUM(F52,H52,J52,L52,N52))</f>
        <v/>
      </c>
      <c r="Q52" s="233">
        <f>IF(A52="","",IF(O52&gt;B52,"DIVERGENCIA: CONSUMO MAIOR QUE CONTRATADO","OK"))</f>
        <v/>
      </c>
      <c r="R52" s="19" t="n"/>
      <c r="S52" s="19" t="n"/>
      <c r="T52" s="19" t="n"/>
      <c r="U52" s="19" t="n"/>
      <c r="V52" s="19" t="n"/>
      <c r="W52" s="19" t="n"/>
    </row>
    <row r="53">
      <c r="A53" s="255" t="n"/>
      <c r="B53" s="256" t="n"/>
      <c r="C53" s="257" t="n"/>
      <c r="D53" s="225">
        <f>IF(OR(A53="",B53="",C53=""),"",ROUND(B53*C53,2))</f>
        <v/>
      </c>
      <c r="E53" s="256" t="n"/>
      <c r="F53" s="225">
        <f>IF(OR(A53="",E53="",C53="",NOT(ISNUMBER($U$2))),"",ROUND(E53*C53*$U$2,2))</f>
        <v/>
      </c>
      <c r="G53" s="256" t="n"/>
      <c r="H53" s="225">
        <f>IF(OR(A53="",G53="",C53="",NOT(ISNUMBER($U$3))),"",ROUND(G53*C53*$U$3,2))</f>
        <v/>
      </c>
      <c r="I53" s="256" t="n"/>
      <c r="J53" s="225">
        <f>IF(OR(A53="",I53="",C53="",NOT(ISNUMBER($U$4))),"",ROUND(I53*C53*$U$4,2))</f>
        <v/>
      </c>
      <c r="K53" s="256" t="n"/>
      <c r="L53" s="225">
        <f>IF(OR(A53="",K53="",C53="",NOT(ISNUMBER($U$5))),"",ROUND(K53*C53*$U$5,2))</f>
        <v/>
      </c>
      <c r="M53" s="256" t="n"/>
      <c r="N53" s="225">
        <f>IF(OR(A53="",M53="",C53="",NOT(ISNUMBER($U$6))),"",ROUND(M53*C53*$U$6,2))</f>
        <v/>
      </c>
      <c r="O53" s="231">
        <f>IF(A53="","",SUM(E53,G53,I53,K53,M53))</f>
        <v/>
      </c>
      <c r="P53" s="225">
        <f>IF(A53="","",SUM(F53,H53,J53,L53,N53))</f>
        <v/>
      </c>
      <c r="Q53" s="233">
        <f>IF(A53="","",IF(O53&gt;B53,"DIVERGENCIA: CONSUMO MAIOR QUE CONTRATADO","OK"))</f>
        <v/>
      </c>
      <c r="R53" s="19" t="n"/>
      <c r="S53" s="19" t="n"/>
      <c r="T53" s="19" t="n"/>
      <c r="U53" s="19" t="n"/>
      <c r="V53" s="19" t="n"/>
      <c r="W53" s="19" t="n"/>
    </row>
    <row r="54">
      <c r="A54" s="255" t="n"/>
      <c r="B54" s="256" t="n"/>
      <c r="C54" s="257" t="n"/>
      <c r="D54" s="225">
        <f>IF(OR(A54="",B54="",C54=""),"",ROUND(B54*C54,2))</f>
        <v/>
      </c>
      <c r="E54" s="256" t="n"/>
      <c r="F54" s="225">
        <f>IF(OR(A54="",E54="",C54="",NOT(ISNUMBER($U$2))),"",ROUND(E54*C54*$U$2,2))</f>
        <v/>
      </c>
      <c r="G54" s="256" t="n"/>
      <c r="H54" s="225">
        <f>IF(OR(A54="",G54="",C54="",NOT(ISNUMBER($U$3))),"",ROUND(G54*C54*$U$3,2))</f>
        <v/>
      </c>
      <c r="I54" s="256" t="n"/>
      <c r="J54" s="225">
        <f>IF(OR(A54="",I54="",C54="",NOT(ISNUMBER($U$4))),"",ROUND(I54*C54*$U$4,2))</f>
        <v/>
      </c>
      <c r="K54" s="256" t="n"/>
      <c r="L54" s="225">
        <f>IF(OR(A54="",K54="",C54="",NOT(ISNUMBER($U$5))),"",ROUND(K54*C54*$U$5,2))</f>
        <v/>
      </c>
      <c r="M54" s="256" t="n"/>
      <c r="N54" s="225">
        <f>IF(OR(A54="",M54="",C54="",NOT(ISNUMBER($U$6))),"",ROUND(M54*C54*$U$6,2))</f>
        <v/>
      </c>
      <c r="O54" s="231">
        <f>IF(A54="","",SUM(E54,G54,I54,K54,M54))</f>
        <v/>
      </c>
      <c r="P54" s="225">
        <f>IF(A54="","",SUM(F54,H54,J54,L54,N54))</f>
        <v/>
      </c>
      <c r="Q54" s="233">
        <f>IF(A54="","",IF(O54&gt;B54,"DIVERGENCIA: CONSUMO MAIOR QUE CONTRATADO","OK"))</f>
        <v/>
      </c>
      <c r="R54" s="19" t="n"/>
      <c r="S54" s="19" t="n"/>
      <c r="T54" s="19" t="n"/>
      <c r="U54" s="19" t="n"/>
      <c r="V54" s="19" t="n"/>
      <c r="W54" s="19" t="n"/>
    </row>
    <row r="55">
      <c r="A55" s="255" t="n"/>
      <c r="B55" s="256" t="n"/>
      <c r="C55" s="257" t="n"/>
      <c r="D55" s="225">
        <f>IF(OR(A55="",B55="",C55=""),"",ROUND(B55*C55,2))</f>
        <v/>
      </c>
      <c r="E55" s="256" t="n"/>
      <c r="F55" s="225">
        <f>IF(OR(A55="",E55="",C55="",NOT(ISNUMBER($U$2))),"",ROUND(E55*C55*$U$2,2))</f>
        <v/>
      </c>
      <c r="G55" s="256" t="n"/>
      <c r="H55" s="225">
        <f>IF(OR(A55="",G55="",C55="",NOT(ISNUMBER($U$3))),"",ROUND(G55*C55*$U$3,2))</f>
        <v/>
      </c>
      <c r="I55" s="256" t="n"/>
      <c r="J55" s="225">
        <f>IF(OR(A55="",I55="",C55="",NOT(ISNUMBER($U$4))),"",ROUND(I55*C55*$U$4,2))</f>
        <v/>
      </c>
      <c r="K55" s="256" t="n"/>
      <c r="L55" s="225">
        <f>IF(OR(A55="",K55="",C55="",NOT(ISNUMBER($U$5))),"",ROUND(K55*C55*$U$5,2))</f>
        <v/>
      </c>
      <c r="M55" s="256" t="n"/>
      <c r="N55" s="225">
        <f>IF(OR(A55="",M55="",C55="",NOT(ISNUMBER($U$6))),"",ROUND(M55*C55*$U$6,2))</f>
        <v/>
      </c>
      <c r="O55" s="231">
        <f>IF(A55="","",SUM(E55,G55,I55,K55,M55))</f>
        <v/>
      </c>
      <c r="P55" s="225">
        <f>IF(A55="","",SUM(F55,H55,J55,L55,N55))</f>
        <v/>
      </c>
      <c r="Q55" s="233">
        <f>IF(A55="","",IF(O55&gt;B55,"DIVERGENCIA: CONSUMO MAIOR QUE CONTRATADO","OK"))</f>
        <v/>
      </c>
      <c r="R55" s="19" t="n"/>
      <c r="S55" s="19" t="n"/>
      <c r="T55" s="19" t="n"/>
      <c r="U55" s="19" t="n"/>
      <c r="V55" s="19" t="n"/>
      <c r="W55" s="19" t="n"/>
    </row>
    <row r="56">
      <c r="A56" s="255" t="n"/>
      <c r="B56" s="256" t="n"/>
      <c r="C56" s="257" t="n"/>
      <c r="D56" s="225">
        <f>IF(OR(A56="",B56="",C56=""),"",ROUND(B56*C56,2))</f>
        <v/>
      </c>
      <c r="E56" s="256" t="n"/>
      <c r="F56" s="225">
        <f>IF(OR(A56="",E56="",C56="",NOT(ISNUMBER($U$2))),"",ROUND(E56*C56*$U$2,2))</f>
        <v/>
      </c>
      <c r="G56" s="256" t="n"/>
      <c r="H56" s="225">
        <f>IF(OR(A56="",G56="",C56="",NOT(ISNUMBER($U$3))),"",ROUND(G56*C56*$U$3,2))</f>
        <v/>
      </c>
      <c r="I56" s="256" t="n"/>
      <c r="J56" s="225">
        <f>IF(OR(A56="",I56="",C56="",NOT(ISNUMBER($U$4))),"",ROUND(I56*C56*$U$4,2))</f>
        <v/>
      </c>
      <c r="K56" s="256" t="n"/>
      <c r="L56" s="225">
        <f>IF(OR(A56="",K56="",C56="",NOT(ISNUMBER($U$5))),"",ROUND(K56*C56*$U$5,2))</f>
        <v/>
      </c>
      <c r="M56" s="256" t="n"/>
      <c r="N56" s="225">
        <f>IF(OR(A56="",M56="",C56="",NOT(ISNUMBER($U$6))),"",ROUND(M56*C56*$U$6,2))</f>
        <v/>
      </c>
      <c r="O56" s="231">
        <f>IF(A56="","",SUM(E56,G56,I56,K56,M56))</f>
        <v/>
      </c>
      <c r="P56" s="225">
        <f>IF(A56="","",SUM(F56,H56,J56,L56,N56))</f>
        <v/>
      </c>
      <c r="Q56" s="233">
        <f>IF(A56="","",IF(O56&gt;B56,"DIVERGENCIA: CONSUMO MAIOR QUE CONTRATADO","OK"))</f>
        <v/>
      </c>
      <c r="R56" s="19" t="n"/>
      <c r="S56" s="19" t="n"/>
      <c r="T56" s="19" t="n"/>
      <c r="U56" s="19" t="n"/>
      <c r="V56" s="19" t="n"/>
      <c r="W56" s="19" t="n"/>
    </row>
    <row r="57">
      <c r="A57" s="255" t="n"/>
      <c r="B57" s="256" t="n"/>
      <c r="C57" s="257" t="n"/>
      <c r="D57" s="225">
        <f>IF(OR(A57="",B57="",C57=""),"",ROUND(B57*C57,2))</f>
        <v/>
      </c>
      <c r="E57" s="256" t="n"/>
      <c r="F57" s="225">
        <f>IF(OR(A57="",E57="",C57="",NOT(ISNUMBER($U$2))),"",ROUND(E57*C57*$U$2,2))</f>
        <v/>
      </c>
      <c r="G57" s="256" t="n"/>
      <c r="H57" s="225">
        <f>IF(OR(A57="",G57="",C57="",NOT(ISNUMBER($U$3))),"",ROUND(G57*C57*$U$3,2))</f>
        <v/>
      </c>
      <c r="I57" s="256" t="n"/>
      <c r="J57" s="225">
        <f>IF(OR(A57="",I57="",C57="",NOT(ISNUMBER($U$4))),"",ROUND(I57*C57*$U$4,2))</f>
        <v/>
      </c>
      <c r="K57" s="256" t="n"/>
      <c r="L57" s="225">
        <f>IF(OR(A57="",K57="",C57="",NOT(ISNUMBER($U$5))),"",ROUND(K57*C57*$U$5,2))</f>
        <v/>
      </c>
      <c r="M57" s="256" t="n"/>
      <c r="N57" s="225">
        <f>IF(OR(A57="",M57="",C57="",NOT(ISNUMBER($U$6))),"",ROUND(M57*C57*$U$6,2))</f>
        <v/>
      </c>
      <c r="O57" s="231">
        <f>IF(A57="","",SUM(E57,G57,I57,K57,M57))</f>
        <v/>
      </c>
      <c r="P57" s="225">
        <f>IF(A57="","",SUM(F57,H57,J57,L57,N57))</f>
        <v/>
      </c>
      <c r="Q57" s="233">
        <f>IF(A57="","",IF(O57&gt;B57,"DIVERGENCIA: CONSUMO MAIOR QUE CONTRATADO","OK"))</f>
        <v/>
      </c>
      <c r="R57" s="19" t="n"/>
      <c r="S57" s="19" t="n"/>
      <c r="T57" s="19" t="n"/>
      <c r="U57" s="19" t="n"/>
      <c r="V57" s="19" t="n"/>
      <c r="W57" s="19" t="n"/>
    </row>
    <row r="58">
      <c r="A58" s="255" t="n"/>
      <c r="B58" s="256" t="n"/>
      <c r="C58" s="257" t="n"/>
      <c r="D58" s="225">
        <f>IF(OR(A58="",B58="",C58=""),"",ROUND(B58*C58,2))</f>
        <v/>
      </c>
      <c r="E58" s="256" t="n"/>
      <c r="F58" s="225">
        <f>IF(OR(A58="",E58="",C58="",NOT(ISNUMBER($U$2))),"",ROUND(E58*C58*$U$2,2))</f>
        <v/>
      </c>
      <c r="G58" s="256" t="n"/>
      <c r="H58" s="225">
        <f>IF(OR(A58="",G58="",C58="",NOT(ISNUMBER($U$3))),"",ROUND(G58*C58*$U$3,2))</f>
        <v/>
      </c>
      <c r="I58" s="256" t="n"/>
      <c r="J58" s="225">
        <f>IF(OR(A58="",I58="",C58="",NOT(ISNUMBER($U$4))),"",ROUND(I58*C58*$U$4,2))</f>
        <v/>
      </c>
      <c r="K58" s="256" t="n"/>
      <c r="L58" s="225">
        <f>IF(OR(A58="",K58="",C58="",NOT(ISNUMBER($U$5))),"",ROUND(K58*C58*$U$5,2))</f>
        <v/>
      </c>
      <c r="M58" s="256" t="n"/>
      <c r="N58" s="225">
        <f>IF(OR(A58="",M58="",C58="",NOT(ISNUMBER($U$6))),"",ROUND(M58*C58*$U$6,2))</f>
        <v/>
      </c>
      <c r="O58" s="231">
        <f>IF(A58="","",SUM(E58,G58,I58,K58,M58))</f>
        <v/>
      </c>
      <c r="P58" s="225">
        <f>IF(A58="","",SUM(F58,H58,J58,L58,N58))</f>
        <v/>
      </c>
      <c r="Q58" s="233">
        <f>IF(A58="","",IF(O58&gt;B58,"DIVERGENCIA: CONSUMO MAIOR QUE CONTRATADO","OK"))</f>
        <v/>
      </c>
      <c r="R58" s="19" t="n"/>
      <c r="S58" s="19" t="n"/>
      <c r="T58" s="19" t="n"/>
      <c r="U58" s="19" t="n"/>
      <c r="V58" s="19" t="n"/>
      <c r="W58" s="19" t="n"/>
    </row>
    <row r="59">
      <c r="A59" s="255" t="n"/>
      <c r="B59" s="256" t="n"/>
      <c r="C59" s="257" t="n"/>
      <c r="D59" s="225">
        <f>IF(OR(A59="",B59="",C59=""),"",ROUND(B59*C59,2))</f>
        <v/>
      </c>
      <c r="E59" s="256" t="n"/>
      <c r="F59" s="225">
        <f>IF(OR(A59="",E59="",C59="",NOT(ISNUMBER($U$2))),"",ROUND(E59*C59*$U$2,2))</f>
        <v/>
      </c>
      <c r="G59" s="256" t="n"/>
      <c r="H59" s="225">
        <f>IF(OR(A59="",G59="",C59="",NOT(ISNUMBER($U$3))),"",ROUND(G59*C59*$U$3,2))</f>
        <v/>
      </c>
      <c r="I59" s="256" t="n"/>
      <c r="J59" s="225">
        <f>IF(OR(A59="",I59="",C59="",NOT(ISNUMBER($U$4))),"",ROUND(I59*C59*$U$4,2))</f>
        <v/>
      </c>
      <c r="K59" s="256" t="n"/>
      <c r="L59" s="225">
        <f>IF(OR(A59="",K59="",C59="",NOT(ISNUMBER($U$5))),"",ROUND(K59*C59*$U$5,2))</f>
        <v/>
      </c>
      <c r="M59" s="256" t="n"/>
      <c r="N59" s="225">
        <f>IF(OR(A59="",M59="",C59="",NOT(ISNUMBER($U$6))),"",ROUND(M59*C59*$U$6,2))</f>
        <v/>
      </c>
      <c r="O59" s="231">
        <f>IF(A59="","",SUM(E59,G59,I59,K59,M59))</f>
        <v/>
      </c>
      <c r="P59" s="225">
        <f>IF(A59="","",SUM(F59,H59,J59,L59,N59))</f>
        <v/>
      </c>
      <c r="Q59" s="233">
        <f>IF(A59="","",IF(O59&gt;B59,"DIVERGENCIA: CONSUMO MAIOR QUE CONTRATADO","OK"))</f>
        <v/>
      </c>
      <c r="R59" s="19" t="n"/>
      <c r="S59" s="19" t="n"/>
      <c r="T59" s="19" t="n"/>
      <c r="U59" s="19" t="n"/>
      <c r="V59" s="19" t="n"/>
      <c r="W59" s="19" t="n"/>
    </row>
    <row r="60">
      <c r="A60" s="255" t="n"/>
      <c r="B60" s="256" t="n"/>
      <c r="C60" s="257" t="n"/>
      <c r="D60" s="225">
        <f>IF(OR(A60="",B60="",C60=""),"",ROUND(B60*C60,2))</f>
        <v/>
      </c>
      <c r="E60" s="256" t="n"/>
      <c r="F60" s="225">
        <f>IF(OR(A60="",E60="",C60="",NOT(ISNUMBER($U$2))),"",ROUND(E60*C60*$U$2,2))</f>
        <v/>
      </c>
      <c r="G60" s="256" t="n"/>
      <c r="H60" s="225">
        <f>IF(OR(A60="",G60="",C60="",NOT(ISNUMBER($U$3))),"",ROUND(G60*C60*$U$3,2))</f>
        <v/>
      </c>
      <c r="I60" s="256" t="n"/>
      <c r="J60" s="225">
        <f>IF(OR(A60="",I60="",C60="",NOT(ISNUMBER($U$4))),"",ROUND(I60*C60*$U$4,2))</f>
        <v/>
      </c>
      <c r="K60" s="256" t="n"/>
      <c r="L60" s="225">
        <f>IF(OR(A60="",K60="",C60="",NOT(ISNUMBER($U$5))),"",ROUND(K60*C60*$U$5,2))</f>
        <v/>
      </c>
      <c r="M60" s="256" t="n"/>
      <c r="N60" s="225">
        <f>IF(OR(A60="",M60="",C60="",NOT(ISNUMBER($U$6))),"",ROUND(M60*C60*$U$6,2))</f>
        <v/>
      </c>
      <c r="O60" s="231">
        <f>IF(A60="","",SUM(E60,G60,I60,K60,M60))</f>
        <v/>
      </c>
      <c r="P60" s="225">
        <f>IF(A60="","",SUM(F60,H60,J60,L60,N60))</f>
        <v/>
      </c>
      <c r="Q60" s="233">
        <f>IF(A60="","",IF(O60&gt;B60,"DIVERGENCIA: CONSUMO MAIOR QUE CONTRATADO","OK"))</f>
        <v/>
      </c>
      <c r="R60" s="19" t="n"/>
      <c r="S60" s="19" t="n"/>
      <c r="T60" s="19" t="n"/>
      <c r="U60" s="19" t="n"/>
      <c r="V60" s="19" t="n"/>
      <c r="W60" s="19" t="n"/>
    </row>
    <row r="61">
      <c r="A61" s="255" t="n"/>
      <c r="B61" s="256" t="n"/>
      <c r="C61" s="257" t="n"/>
      <c r="D61" s="225">
        <f>IF(OR(A61="",B61="",C61=""),"",ROUND(B61*C61,2))</f>
        <v/>
      </c>
      <c r="E61" s="256" t="n"/>
      <c r="F61" s="225">
        <f>IF(OR(A61="",E61="",C61="",NOT(ISNUMBER($U$2))),"",ROUND(E61*C61*$U$2,2))</f>
        <v/>
      </c>
      <c r="G61" s="256" t="n"/>
      <c r="H61" s="225">
        <f>IF(OR(A61="",G61="",C61="",NOT(ISNUMBER($U$3))),"",ROUND(G61*C61*$U$3,2))</f>
        <v/>
      </c>
      <c r="I61" s="256" t="n"/>
      <c r="J61" s="225">
        <f>IF(OR(A61="",I61="",C61="",NOT(ISNUMBER($U$4))),"",ROUND(I61*C61*$U$4,2))</f>
        <v/>
      </c>
      <c r="K61" s="256" t="n"/>
      <c r="L61" s="225">
        <f>IF(OR(A61="",K61="",C61="",NOT(ISNUMBER($U$5))),"",ROUND(K61*C61*$U$5,2))</f>
        <v/>
      </c>
      <c r="M61" s="256" t="n"/>
      <c r="N61" s="225">
        <f>IF(OR(A61="",M61="",C61="",NOT(ISNUMBER($U$6))),"",ROUND(M61*C61*$U$6,2))</f>
        <v/>
      </c>
      <c r="O61" s="231">
        <f>IF(A61="","",SUM(E61,G61,I61,K61,M61))</f>
        <v/>
      </c>
      <c r="P61" s="225">
        <f>IF(A61="","",SUM(F61,H61,J61,L61,N61))</f>
        <v/>
      </c>
      <c r="Q61" s="233">
        <f>IF(A61="","",IF(O61&gt;B61,"DIVERGENCIA: CONSUMO MAIOR QUE CONTRATADO","OK"))</f>
        <v/>
      </c>
      <c r="R61" s="19" t="n"/>
      <c r="S61" s="19" t="n"/>
      <c r="T61" s="19" t="n"/>
      <c r="U61" s="19" t="n"/>
      <c r="V61" s="19" t="n"/>
      <c r="W61" s="19" t="n"/>
    </row>
    <row r="62">
      <c r="A62" s="255" t="n"/>
      <c r="B62" s="256" t="n"/>
      <c r="C62" s="257" t="n"/>
      <c r="D62" s="225">
        <f>IF(OR(A62="",B62="",C62=""),"",ROUND(B62*C62,2))</f>
        <v/>
      </c>
      <c r="E62" s="256" t="n"/>
      <c r="F62" s="225">
        <f>IF(OR(A62="",E62="",C62="",NOT(ISNUMBER($U$2))),"",ROUND(E62*C62*$U$2,2))</f>
        <v/>
      </c>
      <c r="G62" s="256" t="n"/>
      <c r="H62" s="225">
        <f>IF(OR(A62="",G62="",C62="",NOT(ISNUMBER($U$3))),"",ROUND(G62*C62*$U$3,2))</f>
        <v/>
      </c>
      <c r="I62" s="256" t="n"/>
      <c r="J62" s="225">
        <f>IF(OR(A62="",I62="",C62="",NOT(ISNUMBER($U$4))),"",ROUND(I62*C62*$U$4,2))</f>
        <v/>
      </c>
      <c r="K62" s="256" t="n"/>
      <c r="L62" s="225">
        <f>IF(OR(A62="",K62="",C62="",NOT(ISNUMBER($U$5))),"",ROUND(K62*C62*$U$5,2))</f>
        <v/>
      </c>
      <c r="M62" s="256" t="n"/>
      <c r="N62" s="225">
        <f>IF(OR(A62="",M62="",C62="",NOT(ISNUMBER($U$6))),"",ROUND(M62*C62*$U$6,2))</f>
        <v/>
      </c>
      <c r="O62" s="231">
        <f>IF(A62="","",SUM(E62,G62,I62,K62,M62))</f>
        <v/>
      </c>
      <c r="P62" s="225">
        <f>IF(A62="","",SUM(F62,H62,J62,L62,N62))</f>
        <v/>
      </c>
      <c r="Q62" s="233">
        <f>IF(A62="","",IF(O62&gt;B62,"DIVERGENCIA: CONSUMO MAIOR QUE CONTRATADO","OK"))</f>
        <v/>
      </c>
      <c r="R62" s="19" t="n"/>
      <c r="S62" s="19" t="n"/>
      <c r="T62" s="19" t="n"/>
      <c r="U62" s="19" t="n"/>
      <c r="V62" s="19" t="n"/>
      <c r="W62" s="19" t="n"/>
    </row>
    <row r="63">
      <c r="A63" s="255" t="n"/>
      <c r="B63" s="256" t="n"/>
      <c r="C63" s="257" t="n"/>
      <c r="D63" s="225">
        <f>IF(OR(A63="",B63="",C63=""),"",ROUND(B63*C63,2))</f>
        <v/>
      </c>
      <c r="E63" s="256" t="n"/>
      <c r="F63" s="225">
        <f>IF(OR(A63="",E63="",C63="",NOT(ISNUMBER($U$2))),"",ROUND(E63*C63*$U$2,2))</f>
        <v/>
      </c>
      <c r="G63" s="256" t="n"/>
      <c r="H63" s="225">
        <f>IF(OR(A63="",G63="",C63="",NOT(ISNUMBER($U$3))),"",ROUND(G63*C63*$U$3,2))</f>
        <v/>
      </c>
      <c r="I63" s="256" t="n"/>
      <c r="J63" s="225">
        <f>IF(OR(A63="",I63="",C63="",NOT(ISNUMBER($U$4))),"",ROUND(I63*C63*$U$4,2))</f>
        <v/>
      </c>
      <c r="K63" s="256" t="n"/>
      <c r="L63" s="225">
        <f>IF(OR(A63="",K63="",C63="",NOT(ISNUMBER($U$5))),"",ROUND(K63*C63*$U$5,2))</f>
        <v/>
      </c>
      <c r="M63" s="256" t="n"/>
      <c r="N63" s="225">
        <f>IF(OR(A63="",M63="",C63="",NOT(ISNUMBER($U$6))),"",ROUND(M63*C63*$U$6,2))</f>
        <v/>
      </c>
      <c r="O63" s="231">
        <f>IF(A63="","",SUM(E63,G63,I63,K63,M63))</f>
        <v/>
      </c>
      <c r="P63" s="225">
        <f>IF(A63="","",SUM(F63,H63,J63,L63,N63))</f>
        <v/>
      </c>
      <c r="Q63" s="233">
        <f>IF(A63="","",IF(O63&gt;B63,"DIVERGENCIA: CONSUMO MAIOR QUE CONTRATADO","OK"))</f>
        <v/>
      </c>
      <c r="R63" s="19" t="n"/>
      <c r="S63" s="19" t="n"/>
      <c r="T63" s="19" t="n"/>
      <c r="U63" s="19" t="n"/>
      <c r="V63" s="19" t="n"/>
      <c r="W63" s="19" t="n"/>
    </row>
    <row r="64">
      <c r="A64" s="255" t="n"/>
      <c r="B64" s="256" t="n"/>
      <c r="C64" s="257" t="n"/>
      <c r="D64" s="225">
        <f>IF(OR(A64="",B64="",C64=""),"",ROUND(B64*C64,2))</f>
        <v/>
      </c>
      <c r="E64" s="256" t="n"/>
      <c r="F64" s="225">
        <f>IF(OR(A64="",E64="",C64="",NOT(ISNUMBER($U$2))),"",ROUND(E64*C64*$U$2,2))</f>
        <v/>
      </c>
      <c r="G64" s="256" t="n"/>
      <c r="H64" s="225">
        <f>IF(OR(A64="",G64="",C64="",NOT(ISNUMBER($U$3))),"",ROUND(G64*C64*$U$3,2))</f>
        <v/>
      </c>
      <c r="I64" s="256" t="n"/>
      <c r="J64" s="225">
        <f>IF(OR(A64="",I64="",C64="",NOT(ISNUMBER($U$4))),"",ROUND(I64*C64*$U$4,2))</f>
        <v/>
      </c>
      <c r="K64" s="256" t="n"/>
      <c r="L64" s="225">
        <f>IF(OR(A64="",K64="",C64="",NOT(ISNUMBER($U$5))),"",ROUND(K64*C64*$U$5,2))</f>
        <v/>
      </c>
      <c r="M64" s="256" t="n"/>
      <c r="N64" s="225">
        <f>IF(OR(A64="",M64="",C64="",NOT(ISNUMBER($U$6))),"",ROUND(M64*C64*$U$6,2))</f>
        <v/>
      </c>
      <c r="O64" s="231">
        <f>IF(A64="","",SUM(E64,G64,I64,K64,M64))</f>
        <v/>
      </c>
      <c r="P64" s="225">
        <f>IF(A64="","",SUM(F64,H64,J64,L64,N64))</f>
        <v/>
      </c>
      <c r="Q64" s="233">
        <f>IF(A64="","",IF(O64&gt;B64,"DIVERGENCIA: CONSUMO MAIOR QUE CONTRATADO","OK"))</f>
        <v/>
      </c>
      <c r="R64" s="19" t="n"/>
      <c r="S64" s="19" t="n"/>
      <c r="T64" s="19" t="n"/>
      <c r="U64" s="19" t="n"/>
      <c r="V64" s="19" t="n"/>
      <c r="W64" s="19" t="n"/>
    </row>
    <row r="65">
      <c r="A65" s="255" t="n"/>
      <c r="B65" s="256" t="n"/>
      <c r="C65" s="257" t="n"/>
      <c r="D65" s="225">
        <f>IF(OR(A65="",B65="",C65=""),"",ROUND(B65*C65,2))</f>
        <v/>
      </c>
      <c r="E65" s="256" t="n"/>
      <c r="F65" s="225">
        <f>IF(OR(A65="",E65="",C65="",NOT(ISNUMBER($U$2))),"",ROUND(E65*C65*$U$2,2))</f>
        <v/>
      </c>
      <c r="G65" s="256" t="n"/>
      <c r="H65" s="225">
        <f>IF(OR(A65="",G65="",C65="",NOT(ISNUMBER($U$3))),"",ROUND(G65*C65*$U$3,2))</f>
        <v/>
      </c>
      <c r="I65" s="256" t="n"/>
      <c r="J65" s="225">
        <f>IF(OR(A65="",I65="",C65="",NOT(ISNUMBER($U$4))),"",ROUND(I65*C65*$U$4,2))</f>
        <v/>
      </c>
      <c r="K65" s="256" t="n"/>
      <c r="L65" s="225">
        <f>IF(OR(A65="",K65="",C65="",NOT(ISNUMBER($U$5))),"",ROUND(K65*C65*$U$5,2))</f>
        <v/>
      </c>
      <c r="M65" s="256" t="n"/>
      <c r="N65" s="225">
        <f>IF(OR(A65="",M65="",C65="",NOT(ISNUMBER($U$6))),"",ROUND(M65*C65*$U$6,2))</f>
        <v/>
      </c>
      <c r="O65" s="231">
        <f>IF(A65="","",SUM(E65,G65,I65,K65,M65))</f>
        <v/>
      </c>
      <c r="P65" s="225">
        <f>IF(A65="","",SUM(F65,H65,J65,L65,N65))</f>
        <v/>
      </c>
      <c r="Q65" s="233">
        <f>IF(A65="","",IF(O65&gt;B65,"DIVERGENCIA: CONSUMO MAIOR QUE CONTRATADO","OK"))</f>
        <v/>
      </c>
      <c r="R65" s="19" t="n"/>
      <c r="S65" s="19" t="n"/>
      <c r="T65" s="19" t="n"/>
      <c r="U65" s="19" t="n"/>
      <c r="V65" s="19" t="n"/>
      <c r="W65" s="19" t="n"/>
    </row>
    <row r="66">
      <c r="A66" s="255" t="n"/>
      <c r="B66" s="256" t="n"/>
      <c r="C66" s="257" t="n"/>
      <c r="D66" s="225">
        <f>IF(OR(A66="",B66="",C66=""),"",ROUND(B66*C66,2))</f>
        <v/>
      </c>
      <c r="E66" s="256" t="n"/>
      <c r="F66" s="225">
        <f>IF(OR(A66="",E66="",C66="",NOT(ISNUMBER($U$2))),"",ROUND(E66*C66*$U$2,2))</f>
        <v/>
      </c>
      <c r="G66" s="256" t="n"/>
      <c r="H66" s="225">
        <f>IF(OR(A66="",G66="",C66="",NOT(ISNUMBER($U$3))),"",ROUND(G66*C66*$U$3,2))</f>
        <v/>
      </c>
      <c r="I66" s="256" t="n"/>
      <c r="J66" s="225">
        <f>IF(OR(A66="",I66="",C66="",NOT(ISNUMBER($U$4))),"",ROUND(I66*C66*$U$4,2))</f>
        <v/>
      </c>
      <c r="K66" s="256" t="n"/>
      <c r="L66" s="225">
        <f>IF(OR(A66="",K66="",C66="",NOT(ISNUMBER($U$5))),"",ROUND(K66*C66*$U$5,2))</f>
        <v/>
      </c>
      <c r="M66" s="256" t="n"/>
      <c r="N66" s="225">
        <f>IF(OR(A66="",M66="",C66="",NOT(ISNUMBER($U$6))),"",ROUND(M66*C66*$U$6,2))</f>
        <v/>
      </c>
      <c r="O66" s="231">
        <f>IF(A66="","",SUM(E66,G66,I66,K66,M66))</f>
        <v/>
      </c>
      <c r="P66" s="225">
        <f>IF(A66="","",SUM(F66,H66,J66,L66,N66))</f>
        <v/>
      </c>
      <c r="Q66" s="233">
        <f>IF(A66="","",IF(O66&gt;B66,"DIVERGENCIA: CONSUMO MAIOR QUE CONTRATADO","OK"))</f>
        <v/>
      </c>
      <c r="R66" s="19" t="n"/>
      <c r="S66" s="19" t="n"/>
      <c r="T66" s="19" t="n"/>
      <c r="U66" s="19" t="n"/>
      <c r="V66" s="19" t="n"/>
      <c r="W66" s="19" t="n"/>
    </row>
    <row r="67">
      <c r="A67" s="255" t="n"/>
      <c r="B67" s="256" t="n"/>
      <c r="C67" s="257" t="n"/>
      <c r="D67" s="225">
        <f>IF(OR(A67="",B67="",C67=""),"",ROUND(B67*C67,2))</f>
        <v/>
      </c>
      <c r="E67" s="256" t="n"/>
      <c r="F67" s="225">
        <f>IF(OR(A67="",E67="",C67="",NOT(ISNUMBER($U$2))),"",ROUND(E67*C67*$U$2,2))</f>
        <v/>
      </c>
      <c r="G67" s="256" t="n"/>
      <c r="H67" s="225">
        <f>IF(OR(A67="",G67="",C67="",NOT(ISNUMBER($U$3))),"",ROUND(G67*C67*$U$3,2))</f>
        <v/>
      </c>
      <c r="I67" s="256" t="n"/>
      <c r="J67" s="225">
        <f>IF(OR(A67="",I67="",C67="",NOT(ISNUMBER($U$4))),"",ROUND(I67*C67*$U$4,2))</f>
        <v/>
      </c>
      <c r="K67" s="256" t="n"/>
      <c r="L67" s="225">
        <f>IF(OR(A67="",K67="",C67="",NOT(ISNUMBER($U$5))),"",ROUND(K67*C67*$U$5,2))</f>
        <v/>
      </c>
      <c r="M67" s="256" t="n"/>
      <c r="N67" s="225">
        <f>IF(OR(A67="",M67="",C67="",NOT(ISNUMBER($U$6))),"",ROUND(M67*C67*$U$6,2))</f>
        <v/>
      </c>
      <c r="O67" s="231">
        <f>IF(A67="","",SUM(E67,G67,I67,K67,M67))</f>
        <v/>
      </c>
      <c r="P67" s="225">
        <f>IF(A67="","",SUM(F67,H67,J67,L67,N67))</f>
        <v/>
      </c>
      <c r="Q67" s="233">
        <f>IF(A67="","",IF(O67&gt;B67,"DIVERGENCIA: CONSUMO MAIOR QUE CONTRATADO","OK"))</f>
        <v/>
      </c>
      <c r="R67" s="19" t="n"/>
      <c r="S67" s="19" t="n"/>
      <c r="T67" s="19" t="n"/>
      <c r="U67" s="19" t="n"/>
      <c r="V67" s="19" t="n"/>
      <c r="W67" s="19" t="n"/>
    </row>
    <row r="68">
      <c r="A68" s="255" t="n"/>
      <c r="B68" s="256" t="n"/>
      <c r="C68" s="257" t="n"/>
      <c r="D68" s="225">
        <f>IF(OR(A68="",B68="",C68=""),"",ROUND(B68*C68,2))</f>
        <v/>
      </c>
      <c r="E68" s="256" t="n"/>
      <c r="F68" s="225">
        <f>IF(OR(A68="",E68="",C68="",NOT(ISNUMBER($U$2))),"",ROUND(E68*C68*$U$2,2))</f>
        <v/>
      </c>
      <c r="G68" s="256" t="n"/>
      <c r="H68" s="225">
        <f>IF(OR(A68="",G68="",C68="",NOT(ISNUMBER($U$3))),"",ROUND(G68*C68*$U$3,2))</f>
        <v/>
      </c>
      <c r="I68" s="256" t="n"/>
      <c r="J68" s="225">
        <f>IF(OR(A68="",I68="",C68="",NOT(ISNUMBER($U$4))),"",ROUND(I68*C68*$U$4,2))</f>
        <v/>
      </c>
      <c r="K68" s="256" t="n"/>
      <c r="L68" s="225">
        <f>IF(OR(A68="",K68="",C68="",NOT(ISNUMBER($U$5))),"",ROUND(K68*C68*$U$5,2))</f>
        <v/>
      </c>
      <c r="M68" s="256" t="n"/>
      <c r="N68" s="225">
        <f>IF(OR(A68="",M68="",C68="",NOT(ISNUMBER($U$6))),"",ROUND(M68*C68*$U$6,2))</f>
        <v/>
      </c>
      <c r="O68" s="231">
        <f>IF(A68="","",SUM(E68,G68,I68,K68,M68))</f>
        <v/>
      </c>
      <c r="P68" s="225">
        <f>IF(A68="","",SUM(F68,H68,J68,L68,N68))</f>
        <v/>
      </c>
      <c r="Q68" s="233">
        <f>IF(A68="","",IF(O68&gt;B68,"DIVERGENCIA: CONSUMO MAIOR QUE CONTRATADO","OK"))</f>
        <v/>
      </c>
      <c r="R68" s="19" t="n"/>
      <c r="S68" s="19" t="n"/>
      <c r="T68" s="19" t="n"/>
      <c r="U68" s="19" t="n"/>
      <c r="V68" s="19" t="n"/>
      <c r="W68" s="19" t="n"/>
    </row>
    <row r="69">
      <c r="A69" s="255" t="n"/>
      <c r="B69" s="256" t="n"/>
      <c r="C69" s="257" t="n"/>
      <c r="D69" s="225">
        <f>IF(OR(A69="",B69="",C69=""),"",ROUND(B69*C69,2))</f>
        <v/>
      </c>
      <c r="E69" s="256" t="n"/>
      <c r="F69" s="225">
        <f>IF(OR(A69="",E69="",C69="",NOT(ISNUMBER($U$2))),"",ROUND(E69*C69*$U$2,2))</f>
        <v/>
      </c>
      <c r="G69" s="256" t="n"/>
      <c r="H69" s="225">
        <f>IF(OR(A69="",G69="",C69="",NOT(ISNUMBER($U$3))),"",ROUND(G69*C69*$U$3,2))</f>
        <v/>
      </c>
      <c r="I69" s="256" t="n"/>
      <c r="J69" s="225">
        <f>IF(OR(A69="",I69="",C69="",NOT(ISNUMBER($U$4))),"",ROUND(I69*C69*$U$4,2))</f>
        <v/>
      </c>
      <c r="K69" s="256" t="n"/>
      <c r="L69" s="225">
        <f>IF(OR(A69="",K69="",C69="",NOT(ISNUMBER($U$5))),"",ROUND(K69*C69*$U$5,2))</f>
        <v/>
      </c>
      <c r="M69" s="256" t="n"/>
      <c r="N69" s="225">
        <f>IF(OR(A69="",M69="",C69="",NOT(ISNUMBER($U$6))),"",ROUND(M69*C69*$U$6,2))</f>
        <v/>
      </c>
      <c r="O69" s="231">
        <f>IF(A69="","",SUM(E69,G69,I69,K69,M69))</f>
        <v/>
      </c>
      <c r="P69" s="225">
        <f>IF(A69="","",SUM(F69,H69,J69,L69,N69))</f>
        <v/>
      </c>
      <c r="Q69" s="233">
        <f>IF(A69="","",IF(O69&gt;B69,"DIVERGENCIA: CONSUMO MAIOR QUE CONTRATADO","OK"))</f>
        <v/>
      </c>
      <c r="R69" s="19" t="n"/>
      <c r="S69" s="19" t="n"/>
      <c r="T69" s="19" t="n"/>
      <c r="U69" s="19" t="n"/>
      <c r="V69" s="19" t="n"/>
      <c r="W69" s="19" t="n"/>
    </row>
    <row r="70">
      <c r="A70" s="255" t="n"/>
      <c r="B70" s="256" t="n"/>
      <c r="C70" s="257" t="n"/>
      <c r="D70" s="225">
        <f>IF(OR(A70="",B70="",C70=""),"",ROUND(B70*C70,2))</f>
        <v/>
      </c>
      <c r="E70" s="256" t="n"/>
      <c r="F70" s="225">
        <f>IF(OR(A70="",E70="",C70="",NOT(ISNUMBER($U$2))),"",ROUND(E70*C70*$U$2,2))</f>
        <v/>
      </c>
      <c r="G70" s="256" t="n"/>
      <c r="H70" s="225">
        <f>IF(OR(A70="",G70="",C70="",NOT(ISNUMBER($U$3))),"",ROUND(G70*C70*$U$3,2))</f>
        <v/>
      </c>
      <c r="I70" s="256" t="n"/>
      <c r="J70" s="225">
        <f>IF(OR(A70="",I70="",C70="",NOT(ISNUMBER($U$4))),"",ROUND(I70*C70*$U$4,2))</f>
        <v/>
      </c>
      <c r="K70" s="256" t="n"/>
      <c r="L70" s="225">
        <f>IF(OR(A70="",K70="",C70="",NOT(ISNUMBER($U$5))),"",ROUND(K70*C70*$U$5,2))</f>
        <v/>
      </c>
      <c r="M70" s="256" t="n"/>
      <c r="N70" s="225">
        <f>IF(OR(A70="",M70="",C70="",NOT(ISNUMBER($U$6))),"",ROUND(M70*C70*$U$6,2))</f>
        <v/>
      </c>
      <c r="O70" s="231">
        <f>IF(A70="","",SUM(E70,G70,I70,K70,M70))</f>
        <v/>
      </c>
      <c r="P70" s="225">
        <f>IF(A70="","",SUM(F70,H70,J70,L70,N70))</f>
        <v/>
      </c>
      <c r="Q70" s="233">
        <f>IF(A70="","",IF(O70&gt;B70,"DIVERGENCIA: CONSUMO MAIOR QUE CONTRATADO","OK"))</f>
        <v/>
      </c>
      <c r="R70" s="19" t="n"/>
      <c r="S70" s="19" t="n"/>
      <c r="T70" s="19" t="n"/>
      <c r="U70" s="19" t="n"/>
      <c r="V70" s="19" t="n"/>
      <c r="W70" s="19" t="n"/>
    </row>
    <row r="71">
      <c r="A71" s="255" t="n"/>
      <c r="B71" s="256" t="n"/>
      <c r="C71" s="257" t="n"/>
      <c r="D71" s="225">
        <f>IF(OR(A71="",B71="",C71=""),"",ROUND(B71*C71,2))</f>
        <v/>
      </c>
      <c r="E71" s="256" t="n"/>
      <c r="F71" s="225">
        <f>IF(OR(A71="",E71="",C71="",NOT(ISNUMBER($U$2))),"",ROUND(E71*C71*$U$2,2))</f>
        <v/>
      </c>
      <c r="G71" s="256" t="n"/>
      <c r="H71" s="225">
        <f>IF(OR(A71="",G71="",C71="",NOT(ISNUMBER($U$3))),"",ROUND(G71*C71*$U$3,2))</f>
        <v/>
      </c>
      <c r="I71" s="256" t="n"/>
      <c r="J71" s="225">
        <f>IF(OR(A71="",I71="",C71="",NOT(ISNUMBER($U$4))),"",ROUND(I71*C71*$U$4,2))</f>
        <v/>
      </c>
      <c r="K71" s="256" t="n"/>
      <c r="L71" s="225">
        <f>IF(OR(A71="",K71="",C71="",NOT(ISNUMBER($U$5))),"",ROUND(K71*C71*$U$5,2))</f>
        <v/>
      </c>
      <c r="M71" s="256" t="n"/>
      <c r="N71" s="225">
        <f>IF(OR(A71="",M71="",C71="",NOT(ISNUMBER($U$6))),"",ROUND(M71*C71*$U$6,2))</f>
        <v/>
      </c>
      <c r="O71" s="231">
        <f>IF(A71="","",SUM(E71,G71,I71,K71,M71))</f>
        <v/>
      </c>
      <c r="P71" s="225">
        <f>IF(A71="","",SUM(F71,H71,J71,L71,N71))</f>
        <v/>
      </c>
      <c r="Q71" s="233">
        <f>IF(A71="","",IF(O71&gt;B71,"DIVERGENCIA: CONSUMO MAIOR QUE CONTRATADO","OK"))</f>
        <v/>
      </c>
      <c r="R71" s="19" t="n"/>
      <c r="S71" s="19" t="n"/>
      <c r="T71" s="19" t="n"/>
      <c r="U71" s="19" t="n"/>
      <c r="V71" s="19" t="n"/>
      <c r="W71" s="19" t="n"/>
    </row>
    <row r="72">
      <c r="A72" s="255" t="n"/>
      <c r="B72" s="256" t="n"/>
      <c r="C72" s="257" t="n"/>
      <c r="D72" s="225">
        <f>IF(OR(A72="",B72="",C72=""),"",ROUND(B72*C72,2))</f>
        <v/>
      </c>
      <c r="E72" s="256" t="n"/>
      <c r="F72" s="225">
        <f>IF(OR(A72="",E72="",C72="",NOT(ISNUMBER($U$2))),"",ROUND(E72*C72*$U$2,2))</f>
        <v/>
      </c>
      <c r="G72" s="256" t="n"/>
      <c r="H72" s="225">
        <f>IF(OR(A72="",G72="",C72="",NOT(ISNUMBER($U$3))),"",ROUND(G72*C72*$U$3,2))</f>
        <v/>
      </c>
      <c r="I72" s="256" t="n"/>
      <c r="J72" s="225">
        <f>IF(OR(A72="",I72="",C72="",NOT(ISNUMBER($U$4))),"",ROUND(I72*C72*$U$4,2))</f>
        <v/>
      </c>
      <c r="K72" s="256" t="n"/>
      <c r="L72" s="225">
        <f>IF(OR(A72="",K72="",C72="",NOT(ISNUMBER($U$5))),"",ROUND(K72*C72*$U$5,2))</f>
        <v/>
      </c>
      <c r="M72" s="256" t="n"/>
      <c r="N72" s="225">
        <f>IF(OR(A72="",M72="",C72="",NOT(ISNUMBER($U$6))),"",ROUND(M72*C72*$U$6,2))</f>
        <v/>
      </c>
      <c r="O72" s="231">
        <f>IF(A72="","",SUM(E72,G72,I72,K72,M72))</f>
        <v/>
      </c>
      <c r="P72" s="225">
        <f>IF(A72="","",SUM(F72,H72,J72,L72,N72))</f>
        <v/>
      </c>
      <c r="Q72" s="233">
        <f>IF(A72="","",IF(O72&gt;B72,"DIVERGENCIA: CONSUMO MAIOR QUE CONTRATADO","OK"))</f>
        <v/>
      </c>
      <c r="R72" s="19" t="n"/>
      <c r="S72" s="19" t="n"/>
      <c r="T72" s="19" t="n"/>
      <c r="U72" s="19" t="n"/>
      <c r="V72" s="19" t="n"/>
      <c r="W72" s="19" t="n"/>
    </row>
    <row r="73">
      <c r="A73" s="255" t="n"/>
      <c r="B73" s="256" t="n"/>
      <c r="C73" s="257" t="n"/>
      <c r="D73" s="225">
        <f>IF(OR(A73="",B73="",C73=""),"",ROUND(B73*C73,2))</f>
        <v/>
      </c>
      <c r="E73" s="256" t="n"/>
      <c r="F73" s="225">
        <f>IF(OR(A73="",E73="",C73="",NOT(ISNUMBER($U$2))),"",ROUND(E73*C73*$U$2,2))</f>
        <v/>
      </c>
      <c r="G73" s="256" t="n"/>
      <c r="H73" s="225">
        <f>IF(OR(A73="",G73="",C73="",NOT(ISNUMBER($U$3))),"",ROUND(G73*C73*$U$3,2))</f>
        <v/>
      </c>
      <c r="I73" s="256" t="n"/>
      <c r="J73" s="225">
        <f>IF(OR(A73="",I73="",C73="",NOT(ISNUMBER($U$4))),"",ROUND(I73*C73*$U$4,2))</f>
        <v/>
      </c>
      <c r="K73" s="256" t="n"/>
      <c r="L73" s="225">
        <f>IF(OR(A73="",K73="",C73="",NOT(ISNUMBER($U$5))),"",ROUND(K73*C73*$U$5,2))</f>
        <v/>
      </c>
      <c r="M73" s="256" t="n"/>
      <c r="N73" s="225">
        <f>IF(OR(A73="",M73="",C73="",NOT(ISNUMBER($U$6))),"",ROUND(M73*C73*$U$6,2))</f>
        <v/>
      </c>
      <c r="O73" s="231">
        <f>IF(A73="","",SUM(E73,G73,I73,K73,M73))</f>
        <v/>
      </c>
      <c r="P73" s="225">
        <f>IF(A73="","",SUM(F73,H73,J73,L73,N73))</f>
        <v/>
      </c>
      <c r="Q73" s="233">
        <f>IF(A73="","",IF(O73&gt;B73,"DIVERGENCIA: CONSUMO MAIOR QUE CONTRATADO","OK"))</f>
        <v/>
      </c>
      <c r="R73" s="19" t="n"/>
      <c r="S73" s="19" t="n"/>
      <c r="T73" s="19" t="n"/>
      <c r="U73" s="19" t="n"/>
      <c r="V73" s="19" t="n"/>
      <c r="W73" s="19" t="n"/>
    </row>
    <row r="74">
      <c r="A74" s="255" t="n"/>
      <c r="B74" s="256" t="n"/>
      <c r="C74" s="257" t="n"/>
      <c r="D74" s="225">
        <f>IF(OR(A74="",B74="",C74=""),"",ROUND(B74*C74,2))</f>
        <v/>
      </c>
      <c r="E74" s="256" t="n"/>
      <c r="F74" s="225">
        <f>IF(OR(A74="",E74="",C74="",NOT(ISNUMBER($U$2))),"",ROUND(E74*C74*$U$2,2))</f>
        <v/>
      </c>
      <c r="G74" s="256" t="n"/>
      <c r="H74" s="225">
        <f>IF(OR(A74="",G74="",C74="",NOT(ISNUMBER($U$3))),"",ROUND(G74*C74*$U$3,2))</f>
        <v/>
      </c>
      <c r="I74" s="256" t="n"/>
      <c r="J74" s="225">
        <f>IF(OR(A74="",I74="",C74="",NOT(ISNUMBER($U$4))),"",ROUND(I74*C74*$U$4,2))</f>
        <v/>
      </c>
      <c r="K74" s="256" t="n"/>
      <c r="L74" s="225">
        <f>IF(OR(A74="",K74="",C74="",NOT(ISNUMBER($U$5))),"",ROUND(K74*C74*$U$5,2))</f>
        <v/>
      </c>
      <c r="M74" s="256" t="n"/>
      <c r="N74" s="225">
        <f>IF(OR(A74="",M74="",C74="",NOT(ISNUMBER($U$6))),"",ROUND(M74*C74*$U$6,2))</f>
        <v/>
      </c>
      <c r="O74" s="231">
        <f>IF(A74="","",SUM(E74,G74,I74,K74,M74))</f>
        <v/>
      </c>
      <c r="P74" s="225">
        <f>IF(A74="","",SUM(F74,H74,J74,L74,N74))</f>
        <v/>
      </c>
      <c r="Q74" s="233">
        <f>IF(A74="","",IF(O74&gt;B74,"DIVERGENCIA: CONSUMO MAIOR QUE CONTRATADO","OK"))</f>
        <v/>
      </c>
      <c r="R74" s="19" t="n"/>
      <c r="S74" s="19" t="n"/>
      <c r="T74" s="19" t="n"/>
      <c r="U74" s="19" t="n"/>
      <c r="V74" s="19" t="n"/>
      <c r="W74" s="19" t="n"/>
    </row>
    <row r="75">
      <c r="A75" s="255" t="n"/>
      <c r="B75" s="256" t="n"/>
      <c r="C75" s="257" t="n"/>
      <c r="D75" s="225">
        <f>IF(OR(A75="",B75="",C75=""),"",ROUND(B75*C75,2))</f>
        <v/>
      </c>
      <c r="E75" s="256" t="n"/>
      <c r="F75" s="225">
        <f>IF(OR(A75="",E75="",C75="",NOT(ISNUMBER($U$2))),"",ROUND(E75*C75*$U$2,2))</f>
        <v/>
      </c>
      <c r="G75" s="256" t="n"/>
      <c r="H75" s="225">
        <f>IF(OR(A75="",G75="",C75="",NOT(ISNUMBER($U$3))),"",ROUND(G75*C75*$U$3,2))</f>
        <v/>
      </c>
      <c r="I75" s="256" t="n"/>
      <c r="J75" s="225">
        <f>IF(OR(A75="",I75="",C75="",NOT(ISNUMBER($U$4))),"",ROUND(I75*C75*$U$4,2))</f>
        <v/>
      </c>
      <c r="K75" s="256" t="n"/>
      <c r="L75" s="225">
        <f>IF(OR(A75="",K75="",C75="",NOT(ISNUMBER($U$5))),"",ROUND(K75*C75*$U$5,2))</f>
        <v/>
      </c>
      <c r="M75" s="256" t="n"/>
      <c r="N75" s="225">
        <f>IF(OR(A75="",M75="",C75="",NOT(ISNUMBER($U$6))),"",ROUND(M75*C75*$U$6,2))</f>
        <v/>
      </c>
      <c r="O75" s="231">
        <f>IF(A75="","",SUM(E75,G75,I75,K75,M75))</f>
        <v/>
      </c>
      <c r="P75" s="225">
        <f>IF(A75="","",SUM(F75,H75,J75,L75,N75))</f>
        <v/>
      </c>
      <c r="Q75" s="233">
        <f>IF(A75="","",IF(O75&gt;B75,"DIVERGENCIA: CONSUMO MAIOR QUE CONTRATADO","OK"))</f>
        <v/>
      </c>
      <c r="R75" s="19" t="n"/>
      <c r="S75" s="19" t="n"/>
      <c r="T75" s="19" t="n"/>
      <c r="U75" s="19" t="n"/>
      <c r="V75" s="19" t="n"/>
      <c r="W75" s="19" t="n"/>
    </row>
    <row r="76">
      <c r="A76" s="255" t="n"/>
      <c r="B76" s="256" t="n"/>
      <c r="C76" s="257" t="n"/>
      <c r="D76" s="225">
        <f>IF(OR(A76="",B76="",C76=""),"",ROUND(B76*C76,2))</f>
        <v/>
      </c>
      <c r="E76" s="256" t="n"/>
      <c r="F76" s="225">
        <f>IF(OR(A76="",E76="",C76="",NOT(ISNUMBER($U$2))),"",ROUND(E76*C76*$U$2,2))</f>
        <v/>
      </c>
      <c r="G76" s="256" t="n"/>
      <c r="H76" s="225">
        <f>IF(OR(A76="",G76="",C76="",NOT(ISNUMBER($U$3))),"",ROUND(G76*C76*$U$3,2))</f>
        <v/>
      </c>
      <c r="I76" s="256" t="n"/>
      <c r="J76" s="225">
        <f>IF(OR(A76="",I76="",C76="",NOT(ISNUMBER($U$4))),"",ROUND(I76*C76*$U$4,2))</f>
        <v/>
      </c>
      <c r="K76" s="256" t="n"/>
      <c r="L76" s="225">
        <f>IF(OR(A76="",K76="",C76="",NOT(ISNUMBER($U$5))),"",ROUND(K76*C76*$U$5,2))</f>
        <v/>
      </c>
      <c r="M76" s="256" t="n"/>
      <c r="N76" s="225">
        <f>IF(OR(A76="",M76="",C76="",NOT(ISNUMBER($U$6))),"",ROUND(M76*C76*$U$6,2))</f>
        <v/>
      </c>
      <c r="O76" s="231">
        <f>IF(A76="","",SUM(E76,G76,I76,K76,M76))</f>
        <v/>
      </c>
      <c r="P76" s="225">
        <f>IF(A76="","",SUM(F76,H76,J76,L76,N76))</f>
        <v/>
      </c>
      <c r="Q76" s="233">
        <f>IF(A76="","",IF(O76&gt;B76,"DIVERGENCIA: CONSUMO MAIOR QUE CONTRATADO","OK"))</f>
        <v/>
      </c>
      <c r="R76" s="19" t="n"/>
      <c r="S76" s="19" t="n"/>
      <c r="T76" s="19" t="n"/>
      <c r="U76" s="19" t="n"/>
      <c r="V76" s="19" t="n"/>
      <c r="W76" s="19" t="n"/>
    </row>
    <row r="77">
      <c r="A77" s="255" t="n"/>
      <c r="B77" s="256" t="n"/>
      <c r="C77" s="257" t="n"/>
      <c r="D77" s="225">
        <f>IF(OR(A77="",B77="",C77=""),"",ROUND(B77*C77,2))</f>
        <v/>
      </c>
      <c r="E77" s="256" t="n"/>
      <c r="F77" s="225">
        <f>IF(OR(A77="",E77="",C77="",NOT(ISNUMBER($U$2))),"",ROUND(E77*C77*$U$2,2))</f>
        <v/>
      </c>
      <c r="G77" s="256" t="n"/>
      <c r="H77" s="225">
        <f>IF(OR(A77="",G77="",C77="",NOT(ISNUMBER($U$3))),"",ROUND(G77*C77*$U$3,2))</f>
        <v/>
      </c>
      <c r="I77" s="256" t="n"/>
      <c r="J77" s="225">
        <f>IF(OR(A77="",I77="",C77="",NOT(ISNUMBER($U$4))),"",ROUND(I77*C77*$U$4,2))</f>
        <v/>
      </c>
      <c r="K77" s="256" t="n"/>
      <c r="L77" s="225">
        <f>IF(OR(A77="",K77="",C77="",NOT(ISNUMBER($U$5))),"",ROUND(K77*C77*$U$5,2))</f>
        <v/>
      </c>
      <c r="M77" s="256" t="n"/>
      <c r="N77" s="225">
        <f>IF(OR(A77="",M77="",C77="",NOT(ISNUMBER($U$6))),"",ROUND(M77*C77*$U$6,2))</f>
        <v/>
      </c>
      <c r="O77" s="231">
        <f>IF(A77="","",SUM(E77,G77,I77,K77,M77))</f>
        <v/>
      </c>
      <c r="P77" s="225">
        <f>IF(A77="","",SUM(F77,H77,J77,L77,N77))</f>
        <v/>
      </c>
      <c r="Q77" s="233">
        <f>IF(A77="","",IF(O77&gt;B77,"DIVERGENCIA: CONSUMO MAIOR QUE CONTRATADO","OK"))</f>
        <v/>
      </c>
      <c r="R77" s="19" t="n"/>
      <c r="S77" s="19" t="n"/>
      <c r="T77" s="19" t="n"/>
      <c r="U77" s="19" t="n"/>
      <c r="V77" s="19" t="n"/>
      <c r="W77" s="19" t="n"/>
    </row>
    <row r="78">
      <c r="A78" s="255" t="n"/>
      <c r="B78" s="256" t="n"/>
      <c r="C78" s="257" t="n"/>
      <c r="D78" s="225">
        <f>IF(OR(A78="",B78="",C78=""),"",ROUND(B78*C78,2))</f>
        <v/>
      </c>
      <c r="E78" s="256" t="n"/>
      <c r="F78" s="225">
        <f>IF(OR(A78="",E78="",C78="",NOT(ISNUMBER($U$2))),"",ROUND(E78*C78*$U$2,2))</f>
        <v/>
      </c>
      <c r="G78" s="256" t="n"/>
      <c r="H78" s="225">
        <f>IF(OR(A78="",G78="",C78="",NOT(ISNUMBER($U$3))),"",ROUND(G78*C78*$U$3,2))</f>
        <v/>
      </c>
      <c r="I78" s="256" t="n"/>
      <c r="J78" s="225">
        <f>IF(OR(A78="",I78="",C78="",NOT(ISNUMBER($U$4))),"",ROUND(I78*C78*$U$4,2))</f>
        <v/>
      </c>
      <c r="K78" s="256" t="n"/>
      <c r="L78" s="225">
        <f>IF(OR(A78="",K78="",C78="",NOT(ISNUMBER($U$5))),"",ROUND(K78*C78*$U$5,2))</f>
        <v/>
      </c>
      <c r="M78" s="256" t="n"/>
      <c r="N78" s="225">
        <f>IF(OR(A78="",M78="",C78="",NOT(ISNUMBER($U$6))),"",ROUND(M78*C78*$U$6,2))</f>
        <v/>
      </c>
      <c r="O78" s="231">
        <f>IF(A78="","",SUM(E78,G78,I78,K78,M78))</f>
        <v/>
      </c>
      <c r="P78" s="225">
        <f>IF(A78="","",SUM(F78,H78,J78,L78,N78))</f>
        <v/>
      </c>
      <c r="Q78" s="233">
        <f>IF(A78="","",IF(O78&gt;B78,"DIVERGENCIA: CONSUMO MAIOR QUE CONTRATADO","OK"))</f>
        <v/>
      </c>
      <c r="R78" s="19" t="n"/>
      <c r="S78" s="19" t="n"/>
      <c r="T78" s="19" t="n"/>
      <c r="U78" s="19" t="n"/>
      <c r="V78" s="19" t="n"/>
      <c r="W78" s="19" t="n"/>
    </row>
    <row r="79">
      <c r="A79" s="255" t="n"/>
      <c r="B79" s="256" t="n"/>
      <c r="C79" s="257" t="n"/>
      <c r="D79" s="225">
        <f>IF(OR(A79="",B79="",C79=""),"",ROUND(B79*C79,2))</f>
        <v/>
      </c>
      <c r="E79" s="256" t="n"/>
      <c r="F79" s="225">
        <f>IF(OR(A79="",E79="",C79="",NOT(ISNUMBER($U$2))),"",ROUND(E79*C79*$U$2,2))</f>
        <v/>
      </c>
      <c r="G79" s="256" t="n"/>
      <c r="H79" s="225">
        <f>IF(OR(A79="",G79="",C79="",NOT(ISNUMBER($U$3))),"",ROUND(G79*C79*$U$3,2))</f>
        <v/>
      </c>
      <c r="I79" s="256" t="n"/>
      <c r="J79" s="225">
        <f>IF(OR(A79="",I79="",C79="",NOT(ISNUMBER($U$4))),"",ROUND(I79*C79*$U$4,2))</f>
        <v/>
      </c>
      <c r="K79" s="256" t="n"/>
      <c r="L79" s="225">
        <f>IF(OR(A79="",K79="",C79="",NOT(ISNUMBER($U$5))),"",ROUND(K79*C79*$U$5,2))</f>
        <v/>
      </c>
      <c r="M79" s="256" t="n"/>
      <c r="N79" s="225">
        <f>IF(OR(A79="",M79="",C79="",NOT(ISNUMBER($U$6))),"",ROUND(M79*C79*$U$6,2))</f>
        <v/>
      </c>
      <c r="O79" s="231">
        <f>IF(A79="","",SUM(E79,G79,I79,K79,M79))</f>
        <v/>
      </c>
      <c r="P79" s="225">
        <f>IF(A79="","",SUM(F79,H79,J79,L79,N79))</f>
        <v/>
      </c>
      <c r="Q79" s="233">
        <f>IF(A79="","",IF(O79&gt;B79,"DIVERGENCIA: CONSUMO MAIOR QUE CONTRATADO","OK"))</f>
        <v/>
      </c>
      <c r="R79" s="19" t="n"/>
      <c r="S79" s="19" t="n"/>
      <c r="T79" s="19" t="n"/>
      <c r="U79" s="19" t="n"/>
      <c r="V79" s="19" t="n"/>
      <c r="W79" s="19" t="n"/>
    </row>
    <row r="80">
      <c r="A80" s="255" t="n"/>
      <c r="B80" s="256" t="n"/>
      <c r="C80" s="257" t="n"/>
      <c r="D80" s="225">
        <f>IF(OR(A80="",B80="",C80=""),"",ROUND(B80*C80,2))</f>
        <v/>
      </c>
      <c r="E80" s="256" t="n"/>
      <c r="F80" s="225">
        <f>IF(OR(A80="",E80="",C80="",NOT(ISNUMBER($U$2))),"",ROUND(E80*C80*$U$2,2))</f>
        <v/>
      </c>
      <c r="G80" s="256" t="n"/>
      <c r="H80" s="225">
        <f>IF(OR(A80="",G80="",C80="",NOT(ISNUMBER($U$3))),"",ROUND(G80*C80*$U$3,2))</f>
        <v/>
      </c>
      <c r="I80" s="256" t="n"/>
      <c r="J80" s="225">
        <f>IF(OR(A80="",I80="",C80="",NOT(ISNUMBER($U$4))),"",ROUND(I80*C80*$U$4,2))</f>
        <v/>
      </c>
      <c r="K80" s="256" t="n"/>
      <c r="L80" s="225">
        <f>IF(OR(A80="",K80="",C80="",NOT(ISNUMBER($U$5))),"",ROUND(K80*C80*$U$5,2))</f>
        <v/>
      </c>
      <c r="M80" s="256" t="n"/>
      <c r="N80" s="225">
        <f>IF(OR(A80="",M80="",C80="",NOT(ISNUMBER($U$6))),"",ROUND(M80*C80*$U$6,2))</f>
        <v/>
      </c>
      <c r="O80" s="231">
        <f>IF(A80="","",SUM(E80,G80,I80,K80,M80))</f>
        <v/>
      </c>
      <c r="P80" s="225">
        <f>IF(A80="","",SUM(F80,H80,J80,L80,N80))</f>
        <v/>
      </c>
      <c r="Q80" s="233">
        <f>IF(A80="","",IF(O80&gt;B80,"DIVERGENCIA: CONSUMO MAIOR QUE CONTRATADO","OK"))</f>
        <v/>
      </c>
      <c r="R80" s="19" t="n"/>
      <c r="S80" s="19" t="n"/>
      <c r="T80" s="19" t="n"/>
      <c r="U80" s="19" t="n"/>
      <c r="V80" s="19" t="n"/>
      <c r="W80" s="19" t="n"/>
    </row>
    <row r="81">
      <c r="A81" s="255" t="n"/>
      <c r="B81" s="256" t="n"/>
      <c r="C81" s="257" t="n"/>
      <c r="D81" s="225">
        <f>IF(OR(A81="",B81="",C81=""),"",ROUND(B81*C81,2))</f>
        <v/>
      </c>
      <c r="E81" s="256" t="n"/>
      <c r="F81" s="225">
        <f>IF(OR(A81="",E81="",C81="",NOT(ISNUMBER($U$2))),"",ROUND(E81*C81*$U$2,2))</f>
        <v/>
      </c>
      <c r="G81" s="256" t="n"/>
      <c r="H81" s="225">
        <f>IF(OR(A81="",G81="",C81="",NOT(ISNUMBER($U$3))),"",ROUND(G81*C81*$U$3,2))</f>
        <v/>
      </c>
      <c r="I81" s="256" t="n"/>
      <c r="J81" s="225">
        <f>IF(OR(A81="",I81="",C81="",NOT(ISNUMBER($U$4))),"",ROUND(I81*C81*$U$4,2))</f>
        <v/>
      </c>
      <c r="K81" s="256" t="n"/>
      <c r="L81" s="225">
        <f>IF(OR(A81="",K81="",C81="",NOT(ISNUMBER($U$5))),"",ROUND(K81*C81*$U$5,2))</f>
        <v/>
      </c>
      <c r="M81" s="256" t="n"/>
      <c r="N81" s="225">
        <f>IF(OR(A81="",M81="",C81="",NOT(ISNUMBER($U$6))),"",ROUND(M81*C81*$U$6,2))</f>
        <v/>
      </c>
      <c r="O81" s="231">
        <f>IF(A81="","",SUM(E81,G81,I81,K81,M81))</f>
        <v/>
      </c>
      <c r="P81" s="225">
        <f>IF(A81="","",SUM(F81,H81,J81,L81,N81))</f>
        <v/>
      </c>
      <c r="Q81" s="233">
        <f>IF(A81="","",IF(O81&gt;B81,"DIVERGENCIA: CONSUMO MAIOR QUE CONTRATADO","OK"))</f>
        <v/>
      </c>
      <c r="R81" s="19" t="n"/>
      <c r="S81" s="19" t="n"/>
      <c r="T81" s="19" t="n"/>
      <c r="U81" s="19" t="n"/>
      <c r="V81" s="19" t="n"/>
      <c r="W81" s="19" t="n"/>
    </row>
    <row r="82">
      <c r="A82" s="255" t="n"/>
      <c r="B82" s="256" t="n"/>
      <c r="C82" s="257" t="n"/>
      <c r="D82" s="225">
        <f>IF(OR(A82="",B82="",C82=""),"",ROUND(B82*C82,2))</f>
        <v/>
      </c>
      <c r="E82" s="256" t="n"/>
      <c r="F82" s="225">
        <f>IF(OR(A82="",E82="",C82="",NOT(ISNUMBER($U$2))),"",ROUND(E82*C82*$U$2,2))</f>
        <v/>
      </c>
      <c r="G82" s="256" t="n"/>
      <c r="H82" s="225">
        <f>IF(OR(A82="",G82="",C82="",NOT(ISNUMBER($U$3))),"",ROUND(G82*C82*$U$3,2))</f>
        <v/>
      </c>
      <c r="I82" s="256" t="n"/>
      <c r="J82" s="225">
        <f>IF(OR(A82="",I82="",C82="",NOT(ISNUMBER($U$4))),"",ROUND(I82*C82*$U$4,2))</f>
        <v/>
      </c>
      <c r="K82" s="256" t="n"/>
      <c r="L82" s="225">
        <f>IF(OR(A82="",K82="",C82="",NOT(ISNUMBER($U$5))),"",ROUND(K82*C82*$U$5,2))</f>
        <v/>
      </c>
      <c r="M82" s="256" t="n"/>
      <c r="N82" s="225">
        <f>IF(OR(A82="",M82="",C82="",NOT(ISNUMBER($U$6))),"",ROUND(M82*C82*$U$6,2))</f>
        <v/>
      </c>
      <c r="O82" s="231">
        <f>IF(A82="","",SUM(E82,G82,I82,K82,M82))</f>
        <v/>
      </c>
      <c r="P82" s="225">
        <f>IF(A82="","",SUM(F82,H82,J82,L82,N82))</f>
        <v/>
      </c>
      <c r="Q82" s="233">
        <f>IF(A82="","",IF(O82&gt;B82,"DIVERGENCIA: CONSUMO MAIOR QUE CONTRATADO","OK"))</f>
        <v/>
      </c>
      <c r="R82" s="19" t="n"/>
      <c r="S82" s="19" t="n"/>
      <c r="T82" s="19" t="n"/>
      <c r="U82" s="19" t="n"/>
      <c r="V82" s="19" t="n"/>
      <c r="W82" s="19" t="n"/>
    </row>
    <row r="83">
      <c r="A83" s="255" t="n"/>
      <c r="B83" s="256" t="n"/>
      <c r="C83" s="257" t="n"/>
      <c r="D83" s="225">
        <f>IF(OR(A83="",B83="",C83=""),"",ROUND(B83*C83,2))</f>
        <v/>
      </c>
      <c r="E83" s="256" t="n"/>
      <c r="F83" s="225">
        <f>IF(OR(A83="",E83="",C83="",NOT(ISNUMBER($U$2))),"",ROUND(E83*C83*$U$2,2))</f>
        <v/>
      </c>
      <c r="G83" s="256" t="n"/>
      <c r="H83" s="225">
        <f>IF(OR(A83="",G83="",C83="",NOT(ISNUMBER($U$3))),"",ROUND(G83*C83*$U$3,2))</f>
        <v/>
      </c>
      <c r="I83" s="256" t="n"/>
      <c r="J83" s="225">
        <f>IF(OR(A83="",I83="",C83="",NOT(ISNUMBER($U$4))),"",ROUND(I83*C83*$U$4,2))</f>
        <v/>
      </c>
      <c r="K83" s="256" t="n"/>
      <c r="L83" s="225">
        <f>IF(OR(A83="",K83="",C83="",NOT(ISNUMBER($U$5))),"",ROUND(K83*C83*$U$5,2))</f>
        <v/>
      </c>
      <c r="M83" s="256" t="n"/>
      <c r="N83" s="225">
        <f>IF(OR(A83="",M83="",C83="",NOT(ISNUMBER($U$6))),"",ROUND(M83*C83*$U$6,2))</f>
        <v/>
      </c>
      <c r="O83" s="231">
        <f>IF(A83="","",SUM(E83,G83,I83,K83,M83))</f>
        <v/>
      </c>
      <c r="P83" s="225">
        <f>IF(A83="","",SUM(F83,H83,J83,L83,N83))</f>
        <v/>
      </c>
      <c r="Q83" s="233">
        <f>IF(A83="","",IF(O83&gt;B83,"DIVERGENCIA: CONSUMO MAIOR QUE CONTRATADO","OK"))</f>
        <v/>
      </c>
      <c r="R83" s="19" t="n"/>
      <c r="S83" s="19" t="n"/>
      <c r="T83" s="19" t="n"/>
      <c r="U83" s="19" t="n"/>
      <c r="V83" s="19" t="n"/>
      <c r="W83" s="19" t="n"/>
    </row>
    <row r="84">
      <c r="A84" s="255" t="n"/>
      <c r="B84" s="256" t="n"/>
      <c r="C84" s="257" t="n"/>
      <c r="D84" s="225">
        <f>IF(OR(A84="",B84="",C84=""),"",ROUND(B84*C84,2))</f>
        <v/>
      </c>
      <c r="E84" s="256" t="n"/>
      <c r="F84" s="225">
        <f>IF(OR(A84="",E84="",C84="",NOT(ISNUMBER($U$2))),"",ROUND(E84*C84*$U$2,2))</f>
        <v/>
      </c>
      <c r="G84" s="256" t="n"/>
      <c r="H84" s="225">
        <f>IF(OR(A84="",G84="",C84="",NOT(ISNUMBER($U$3))),"",ROUND(G84*C84*$U$3,2))</f>
        <v/>
      </c>
      <c r="I84" s="256" t="n"/>
      <c r="J84" s="225">
        <f>IF(OR(A84="",I84="",C84="",NOT(ISNUMBER($U$4))),"",ROUND(I84*C84*$U$4,2))</f>
        <v/>
      </c>
      <c r="K84" s="256" t="n"/>
      <c r="L84" s="225">
        <f>IF(OR(A84="",K84="",C84="",NOT(ISNUMBER($U$5))),"",ROUND(K84*C84*$U$5,2))</f>
        <v/>
      </c>
      <c r="M84" s="256" t="n"/>
      <c r="N84" s="225">
        <f>IF(OR(A84="",M84="",C84="",NOT(ISNUMBER($U$6))),"",ROUND(M84*C84*$U$6,2))</f>
        <v/>
      </c>
      <c r="O84" s="231">
        <f>IF(A84="","",SUM(E84,G84,I84,K84,M84))</f>
        <v/>
      </c>
      <c r="P84" s="225">
        <f>IF(A84="","",SUM(F84,H84,J84,L84,N84))</f>
        <v/>
      </c>
      <c r="Q84" s="233">
        <f>IF(A84="","",IF(O84&gt;B84,"DIVERGENCIA: CONSUMO MAIOR QUE CONTRATADO","OK"))</f>
        <v/>
      </c>
      <c r="R84" s="19" t="n"/>
      <c r="S84" s="19" t="n"/>
      <c r="T84" s="19" t="n"/>
      <c r="U84" s="19" t="n"/>
      <c r="V84" s="19" t="n"/>
      <c r="W84" s="19" t="n"/>
    </row>
    <row r="85">
      <c r="A85" s="255" t="n"/>
      <c r="B85" s="256" t="n"/>
      <c r="C85" s="257" t="n"/>
      <c r="D85" s="225">
        <f>IF(OR(A85="",B85="",C85=""),"",ROUND(B85*C85,2))</f>
        <v/>
      </c>
      <c r="E85" s="256" t="n"/>
      <c r="F85" s="225">
        <f>IF(OR(A85="",E85="",C85="",NOT(ISNUMBER($U$2))),"",ROUND(E85*C85*$U$2,2))</f>
        <v/>
      </c>
      <c r="G85" s="256" t="n"/>
      <c r="H85" s="225">
        <f>IF(OR(A85="",G85="",C85="",NOT(ISNUMBER($U$3))),"",ROUND(G85*C85*$U$3,2))</f>
        <v/>
      </c>
      <c r="I85" s="256" t="n"/>
      <c r="J85" s="225">
        <f>IF(OR(A85="",I85="",C85="",NOT(ISNUMBER($U$4))),"",ROUND(I85*C85*$U$4,2))</f>
        <v/>
      </c>
      <c r="K85" s="256" t="n"/>
      <c r="L85" s="225">
        <f>IF(OR(A85="",K85="",C85="",NOT(ISNUMBER($U$5))),"",ROUND(K85*C85*$U$5,2))</f>
        <v/>
      </c>
      <c r="M85" s="256" t="n"/>
      <c r="N85" s="225">
        <f>IF(OR(A85="",M85="",C85="",NOT(ISNUMBER($U$6))),"",ROUND(M85*C85*$U$6,2))</f>
        <v/>
      </c>
      <c r="O85" s="231">
        <f>IF(A85="","",SUM(E85,G85,I85,K85,M85))</f>
        <v/>
      </c>
      <c r="P85" s="225">
        <f>IF(A85="","",SUM(F85,H85,J85,L85,N85))</f>
        <v/>
      </c>
      <c r="Q85" s="233">
        <f>IF(A85="","",IF(O85&gt;B85,"DIVERGENCIA: CONSUMO MAIOR QUE CONTRATADO","OK"))</f>
        <v/>
      </c>
      <c r="R85" s="19" t="n"/>
      <c r="S85" s="19" t="n"/>
      <c r="T85" s="19" t="n"/>
      <c r="U85" s="19" t="n"/>
      <c r="V85" s="19" t="n"/>
      <c r="W85" s="19" t="n"/>
    </row>
    <row r="86">
      <c r="A86" s="255" t="n"/>
      <c r="B86" s="256" t="n"/>
      <c r="C86" s="257" t="n"/>
      <c r="D86" s="225">
        <f>IF(OR(A86="",B86="",C86=""),"",ROUND(B86*C86,2))</f>
        <v/>
      </c>
      <c r="E86" s="256" t="n"/>
      <c r="F86" s="225">
        <f>IF(OR(A86="",E86="",C86="",NOT(ISNUMBER($U$2))),"",ROUND(E86*C86*$U$2,2))</f>
        <v/>
      </c>
      <c r="G86" s="256" t="n"/>
      <c r="H86" s="225">
        <f>IF(OR(A86="",G86="",C86="",NOT(ISNUMBER($U$3))),"",ROUND(G86*C86*$U$3,2))</f>
        <v/>
      </c>
      <c r="I86" s="256" t="n"/>
      <c r="J86" s="225">
        <f>IF(OR(A86="",I86="",C86="",NOT(ISNUMBER($U$4))),"",ROUND(I86*C86*$U$4,2))</f>
        <v/>
      </c>
      <c r="K86" s="256" t="n"/>
      <c r="L86" s="225">
        <f>IF(OR(A86="",K86="",C86="",NOT(ISNUMBER($U$5))),"",ROUND(K86*C86*$U$5,2))</f>
        <v/>
      </c>
      <c r="M86" s="256" t="n"/>
      <c r="N86" s="225">
        <f>IF(OR(A86="",M86="",C86="",NOT(ISNUMBER($U$6))),"",ROUND(M86*C86*$U$6,2))</f>
        <v/>
      </c>
      <c r="O86" s="231">
        <f>IF(A86="","",SUM(E86,G86,I86,K86,M86))</f>
        <v/>
      </c>
      <c r="P86" s="225">
        <f>IF(A86="","",SUM(F86,H86,J86,L86,N86))</f>
        <v/>
      </c>
      <c r="Q86" s="233">
        <f>IF(A86="","",IF(O86&gt;B86,"DIVERGENCIA: CONSUMO MAIOR QUE CONTRATADO","OK"))</f>
        <v/>
      </c>
      <c r="R86" s="19" t="n"/>
      <c r="S86" s="19" t="n"/>
      <c r="T86" s="19" t="n"/>
      <c r="U86" s="19" t="n"/>
      <c r="V86" s="19" t="n"/>
      <c r="W86" s="19" t="n"/>
    </row>
    <row r="87">
      <c r="A87" s="255" t="n"/>
      <c r="B87" s="256" t="n"/>
      <c r="C87" s="257" t="n"/>
      <c r="D87" s="225">
        <f>IF(OR(A87="",B87="",C87=""),"",ROUND(B87*C87,2))</f>
        <v/>
      </c>
      <c r="E87" s="256" t="n"/>
      <c r="F87" s="225">
        <f>IF(OR(A87="",E87="",C87="",NOT(ISNUMBER($U$2))),"",ROUND(E87*C87*$U$2,2))</f>
        <v/>
      </c>
      <c r="G87" s="256" t="n"/>
      <c r="H87" s="225">
        <f>IF(OR(A87="",G87="",C87="",NOT(ISNUMBER($U$3))),"",ROUND(G87*C87*$U$3,2))</f>
        <v/>
      </c>
      <c r="I87" s="256" t="n"/>
      <c r="J87" s="225">
        <f>IF(OR(A87="",I87="",C87="",NOT(ISNUMBER($U$4))),"",ROUND(I87*C87*$U$4,2))</f>
        <v/>
      </c>
      <c r="K87" s="256" t="n"/>
      <c r="L87" s="225">
        <f>IF(OR(A87="",K87="",C87="",NOT(ISNUMBER($U$5))),"",ROUND(K87*C87*$U$5,2))</f>
        <v/>
      </c>
      <c r="M87" s="256" t="n"/>
      <c r="N87" s="225">
        <f>IF(OR(A87="",M87="",C87="",NOT(ISNUMBER($U$6))),"",ROUND(M87*C87*$U$6,2))</f>
        <v/>
      </c>
      <c r="O87" s="231">
        <f>IF(A87="","",SUM(E87,G87,I87,K87,M87))</f>
        <v/>
      </c>
      <c r="P87" s="225">
        <f>IF(A87="","",SUM(F87,H87,J87,L87,N87))</f>
        <v/>
      </c>
      <c r="Q87" s="233">
        <f>IF(A87="","",IF(O87&gt;B87,"DIVERGENCIA: CONSUMO MAIOR QUE CONTRATADO","OK"))</f>
        <v/>
      </c>
      <c r="R87" s="19" t="n"/>
      <c r="S87" s="19" t="n"/>
      <c r="T87" s="19" t="n"/>
      <c r="U87" s="19" t="n"/>
      <c r="V87" s="19" t="n"/>
      <c r="W87" s="19" t="n"/>
    </row>
    <row r="88">
      <c r="A88" s="255" t="n"/>
      <c r="B88" s="256" t="n"/>
      <c r="C88" s="257" t="n"/>
      <c r="D88" s="225">
        <f>IF(OR(A88="",B88="",C88=""),"",ROUND(B88*C88,2))</f>
        <v/>
      </c>
      <c r="E88" s="256" t="n"/>
      <c r="F88" s="225">
        <f>IF(OR(A88="",E88="",C88="",NOT(ISNUMBER($U$2))),"",ROUND(E88*C88*$U$2,2))</f>
        <v/>
      </c>
      <c r="G88" s="256" t="n"/>
      <c r="H88" s="225">
        <f>IF(OR(A88="",G88="",C88="",NOT(ISNUMBER($U$3))),"",ROUND(G88*C88*$U$3,2))</f>
        <v/>
      </c>
      <c r="I88" s="256" t="n"/>
      <c r="J88" s="225">
        <f>IF(OR(A88="",I88="",C88="",NOT(ISNUMBER($U$4))),"",ROUND(I88*C88*$U$4,2))</f>
        <v/>
      </c>
      <c r="K88" s="256" t="n"/>
      <c r="L88" s="225">
        <f>IF(OR(A88="",K88="",C88="",NOT(ISNUMBER($U$5))),"",ROUND(K88*C88*$U$5,2))</f>
        <v/>
      </c>
      <c r="M88" s="256" t="n"/>
      <c r="N88" s="225">
        <f>IF(OR(A88="",M88="",C88="",NOT(ISNUMBER($U$6))),"",ROUND(M88*C88*$U$6,2))</f>
        <v/>
      </c>
      <c r="O88" s="231">
        <f>IF(A88="","",SUM(E88,G88,I88,K88,M88))</f>
        <v/>
      </c>
      <c r="P88" s="225">
        <f>IF(A88="","",SUM(F88,H88,J88,L88,N88))</f>
        <v/>
      </c>
      <c r="Q88" s="233">
        <f>IF(A88="","",IF(O88&gt;B88,"DIVERGENCIA: CONSUMO MAIOR QUE CONTRATADO","OK"))</f>
        <v/>
      </c>
      <c r="R88" s="19" t="n"/>
      <c r="S88" s="19" t="n"/>
      <c r="T88" s="19" t="n"/>
      <c r="U88" s="19" t="n"/>
      <c r="V88" s="19" t="n"/>
      <c r="W88" s="19" t="n"/>
    </row>
    <row r="89">
      <c r="A89" s="255" t="n"/>
      <c r="B89" s="256" t="n"/>
      <c r="C89" s="257" t="n"/>
      <c r="D89" s="225">
        <f>IF(OR(A89="",B89="",C89=""),"",ROUND(B89*C89,2))</f>
        <v/>
      </c>
      <c r="E89" s="256" t="n"/>
      <c r="F89" s="225">
        <f>IF(OR(A89="",E89="",C89="",NOT(ISNUMBER($U$2))),"",ROUND(E89*C89*$U$2,2))</f>
        <v/>
      </c>
      <c r="G89" s="256" t="n"/>
      <c r="H89" s="225">
        <f>IF(OR(A89="",G89="",C89="",NOT(ISNUMBER($U$3))),"",ROUND(G89*C89*$U$3,2))</f>
        <v/>
      </c>
      <c r="I89" s="256" t="n"/>
      <c r="J89" s="225">
        <f>IF(OR(A89="",I89="",C89="",NOT(ISNUMBER($U$4))),"",ROUND(I89*C89*$U$4,2))</f>
        <v/>
      </c>
      <c r="K89" s="256" t="n"/>
      <c r="L89" s="225">
        <f>IF(OR(A89="",K89="",C89="",NOT(ISNUMBER($U$5))),"",ROUND(K89*C89*$U$5,2))</f>
        <v/>
      </c>
      <c r="M89" s="256" t="n"/>
      <c r="N89" s="225">
        <f>IF(OR(A89="",M89="",C89="",NOT(ISNUMBER($U$6))),"",ROUND(M89*C89*$U$6,2))</f>
        <v/>
      </c>
      <c r="O89" s="231">
        <f>IF(A89="","",SUM(E89,G89,I89,K89,M89))</f>
        <v/>
      </c>
      <c r="P89" s="225">
        <f>IF(A89="","",SUM(F89,H89,J89,L89,N89))</f>
        <v/>
      </c>
      <c r="Q89" s="233">
        <f>IF(A89="","",IF(O89&gt;B89,"DIVERGENCIA: CONSUMO MAIOR QUE CONTRATADO","OK"))</f>
        <v/>
      </c>
      <c r="R89" s="19" t="n"/>
      <c r="S89" s="19" t="n"/>
      <c r="T89" s="19" t="n"/>
      <c r="U89" s="19" t="n"/>
      <c r="V89" s="19" t="n"/>
      <c r="W89" s="19" t="n"/>
    </row>
    <row r="90">
      <c r="A90" s="255" t="n"/>
      <c r="B90" s="256" t="n"/>
      <c r="C90" s="257" t="n"/>
      <c r="D90" s="225">
        <f>IF(OR(A90="",B90="",C90=""),"",ROUND(B90*C90,2))</f>
        <v/>
      </c>
      <c r="E90" s="256" t="n"/>
      <c r="F90" s="225">
        <f>IF(OR(A90="",E90="",C90="",NOT(ISNUMBER($U$2))),"",ROUND(E90*C90*$U$2,2))</f>
        <v/>
      </c>
      <c r="G90" s="256" t="n"/>
      <c r="H90" s="225">
        <f>IF(OR(A90="",G90="",C90="",NOT(ISNUMBER($U$3))),"",ROUND(G90*C90*$U$3,2))</f>
        <v/>
      </c>
      <c r="I90" s="256" t="n"/>
      <c r="J90" s="225">
        <f>IF(OR(A90="",I90="",C90="",NOT(ISNUMBER($U$4))),"",ROUND(I90*C90*$U$4,2))</f>
        <v/>
      </c>
      <c r="K90" s="256" t="n"/>
      <c r="L90" s="225">
        <f>IF(OR(A90="",K90="",C90="",NOT(ISNUMBER($U$5))),"",ROUND(K90*C90*$U$5,2))</f>
        <v/>
      </c>
      <c r="M90" s="256" t="n"/>
      <c r="N90" s="225">
        <f>IF(OR(A90="",M90="",C90="",NOT(ISNUMBER($U$6))),"",ROUND(M90*C90*$U$6,2))</f>
        <v/>
      </c>
      <c r="O90" s="231">
        <f>IF(A90="","",SUM(E90,G90,I90,K90,M90))</f>
        <v/>
      </c>
      <c r="P90" s="225">
        <f>IF(A90="","",SUM(F90,H90,J90,L90,N90))</f>
        <v/>
      </c>
      <c r="Q90" s="233">
        <f>IF(A90="","",IF(O90&gt;B90,"DIVERGENCIA: CONSUMO MAIOR QUE CONTRATADO","OK"))</f>
        <v/>
      </c>
      <c r="R90" s="19" t="n"/>
      <c r="S90" s="19" t="n"/>
      <c r="T90" s="19" t="n"/>
      <c r="U90" s="19" t="n"/>
      <c r="V90" s="19" t="n"/>
      <c r="W90" s="19" t="n"/>
    </row>
    <row r="91">
      <c r="A91" s="255" t="n"/>
      <c r="B91" s="256" t="n"/>
      <c r="C91" s="257" t="n"/>
      <c r="D91" s="225">
        <f>IF(OR(A91="",B91="",C91=""),"",ROUND(B91*C91,2))</f>
        <v/>
      </c>
      <c r="E91" s="256" t="n"/>
      <c r="F91" s="225">
        <f>IF(OR(A91="",E91="",C91="",NOT(ISNUMBER($U$2))),"",ROUND(E91*C91*$U$2,2))</f>
        <v/>
      </c>
      <c r="G91" s="256" t="n"/>
      <c r="H91" s="225">
        <f>IF(OR(A91="",G91="",C91="",NOT(ISNUMBER($U$3))),"",ROUND(G91*C91*$U$3,2))</f>
        <v/>
      </c>
      <c r="I91" s="256" t="n"/>
      <c r="J91" s="225">
        <f>IF(OR(A91="",I91="",C91="",NOT(ISNUMBER($U$4))),"",ROUND(I91*C91*$U$4,2))</f>
        <v/>
      </c>
      <c r="K91" s="256" t="n"/>
      <c r="L91" s="225">
        <f>IF(OR(A91="",K91="",C91="",NOT(ISNUMBER($U$5))),"",ROUND(K91*C91*$U$5,2))</f>
        <v/>
      </c>
      <c r="M91" s="256" t="n"/>
      <c r="N91" s="225">
        <f>IF(OR(A91="",M91="",C91="",NOT(ISNUMBER($U$6))),"",ROUND(M91*C91*$U$6,2))</f>
        <v/>
      </c>
      <c r="O91" s="231">
        <f>IF(A91="","",SUM(E91,G91,I91,K91,M91))</f>
        <v/>
      </c>
      <c r="P91" s="225">
        <f>IF(A91="","",SUM(F91,H91,J91,L91,N91))</f>
        <v/>
      </c>
      <c r="Q91" s="233">
        <f>IF(A91="","",IF(O91&gt;B91,"DIVERGENCIA: CONSUMO MAIOR QUE CONTRATADO","OK"))</f>
        <v/>
      </c>
      <c r="R91" s="19" t="n"/>
      <c r="S91" s="19" t="n"/>
      <c r="T91" s="19" t="n"/>
      <c r="U91" s="19" t="n"/>
      <c r="V91" s="19" t="n"/>
      <c r="W91" s="19" t="n"/>
    </row>
    <row r="92">
      <c r="A92" s="255" t="n"/>
      <c r="B92" s="256" t="n"/>
      <c r="C92" s="257" t="n"/>
      <c r="D92" s="225">
        <f>IF(OR(A92="",B92="",C92=""),"",ROUND(B92*C92,2))</f>
        <v/>
      </c>
      <c r="E92" s="256" t="n"/>
      <c r="F92" s="225">
        <f>IF(OR(A92="",E92="",C92="",NOT(ISNUMBER($U$2))),"",ROUND(E92*C92*$U$2,2))</f>
        <v/>
      </c>
      <c r="G92" s="256" t="n"/>
      <c r="H92" s="225">
        <f>IF(OR(A92="",G92="",C92="",NOT(ISNUMBER($U$3))),"",ROUND(G92*C92*$U$3,2))</f>
        <v/>
      </c>
      <c r="I92" s="256" t="n"/>
      <c r="J92" s="225">
        <f>IF(OR(A92="",I92="",C92="",NOT(ISNUMBER($U$4))),"",ROUND(I92*C92*$U$4,2))</f>
        <v/>
      </c>
      <c r="K92" s="256" t="n"/>
      <c r="L92" s="225">
        <f>IF(OR(A92="",K92="",C92="",NOT(ISNUMBER($U$5))),"",ROUND(K92*C92*$U$5,2))</f>
        <v/>
      </c>
      <c r="M92" s="256" t="n"/>
      <c r="N92" s="225">
        <f>IF(OR(A92="",M92="",C92="",NOT(ISNUMBER($U$6))),"",ROUND(M92*C92*$U$6,2))</f>
        <v/>
      </c>
      <c r="O92" s="231">
        <f>IF(A92="","",SUM(E92,G92,I92,K92,M92))</f>
        <v/>
      </c>
      <c r="P92" s="225">
        <f>IF(A92="","",SUM(F92,H92,J92,L92,N92))</f>
        <v/>
      </c>
      <c r="Q92" s="233">
        <f>IF(A92="","",IF(O92&gt;B92,"DIVERGENCIA: CONSUMO MAIOR QUE CONTRATADO","OK"))</f>
        <v/>
      </c>
      <c r="R92" s="19" t="n"/>
      <c r="S92" s="19" t="n"/>
      <c r="T92" s="19" t="n"/>
      <c r="U92" s="19" t="n"/>
      <c r="V92" s="19" t="n"/>
      <c r="W92" s="19" t="n"/>
    </row>
    <row r="93">
      <c r="A93" s="255" t="n"/>
      <c r="B93" s="256" t="n"/>
      <c r="C93" s="257" t="n"/>
      <c r="D93" s="225">
        <f>IF(OR(A93="",B93="",C93=""),"",ROUND(B93*C93,2))</f>
        <v/>
      </c>
      <c r="E93" s="256" t="n"/>
      <c r="F93" s="225">
        <f>IF(OR(A93="",E93="",C93="",NOT(ISNUMBER($U$2))),"",ROUND(E93*C93*$U$2,2))</f>
        <v/>
      </c>
      <c r="G93" s="256" t="n"/>
      <c r="H93" s="225">
        <f>IF(OR(A93="",G93="",C93="",NOT(ISNUMBER($U$3))),"",ROUND(G93*C93*$U$3,2))</f>
        <v/>
      </c>
      <c r="I93" s="256" t="n"/>
      <c r="J93" s="225">
        <f>IF(OR(A93="",I93="",C93="",NOT(ISNUMBER($U$4))),"",ROUND(I93*C93*$U$4,2))</f>
        <v/>
      </c>
      <c r="K93" s="256" t="n"/>
      <c r="L93" s="225">
        <f>IF(OR(A93="",K93="",C93="",NOT(ISNUMBER($U$5))),"",ROUND(K93*C93*$U$5,2))</f>
        <v/>
      </c>
      <c r="M93" s="256" t="n"/>
      <c r="N93" s="225">
        <f>IF(OR(A93="",M93="",C93="",NOT(ISNUMBER($U$6))),"",ROUND(M93*C93*$U$6,2))</f>
        <v/>
      </c>
      <c r="O93" s="231">
        <f>IF(A93="","",SUM(E93,G93,I93,K93,M93))</f>
        <v/>
      </c>
      <c r="P93" s="225">
        <f>IF(A93="","",SUM(F93,H93,J93,L93,N93))</f>
        <v/>
      </c>
      <c r="Q93" s="233">
        <f>IF(A93="","",IF(O93&gt;B93,"DIVERGENCIA: CONSUMO MAIOR QUE CONTRATADO","OK"))</f>
        <v/>
      </c>
      <c r="R93" s="19" t="n"/>
      <c r="S93" s="19" t="n"/>
      <c r="T93" s="19" t="n"/>
      <c r="U93" s="19" t="n"/>
      <c r="V93" s="19" t="n"/>
      <c r="W93" s="19" t="n"/>
    </row>
    <row r="94">
      <c r="A94" s="255" t="n"/>
      <c r="B94" s="256" t="n"/>
      <c r="C94" s="257" t="n"/>
      <c r="D94" s="225">
        <f>IF(OR(A94="",B94="",C94=""),"",ROUND(B94*C94,2))</f>
        <v/>
      </c>
      <c r="E94" s="256" t="n"/>
      <c r="F94" s="225">
        <f>IF(OR(A94="",E94="",C94="",NOT(ISNUMBER($U$2))),"",ROUND(E94*C94*$U$2,2))</f>
        <v/>
      </c>
      <c r="G94" s="256" t="n"/>
      <c r="H94" s="225">
        <f>IF(OR(A94="",G94="",C94="",NOT(ISNUMBER($U$3))),"",ROUND(G94*C94*$U$3,2))</f>
        <v/>
      </c>
      <c r="I94" s="256" t="n"/>
      <c r="J94" s="225">
        <f>IF(OR(A94="",I94="",C94="",NOT(ISNUMBER($U$4))),"",ROUND(I94*C94*$U$4,2))</f>
        <v/>
      </c>
      <c r="K94" s="256" t="n"/>
      <c r="L94" s="225">
        <f>IF(OR(A94="",K94="",C94="",NOT(ISNUMBER($U$5))),"",ROUND(K94*C94*$U$5,2))</f>
        <v/>
      </c>
      <c r="M94" s="256" t="n"/>
      <c r="N94" s="225">
        <f>IF(OR(A94="",M94="",C94="",NOT(ISNUMBER($U$6))),"",ROUND(M94*C94*$U$6,2))</f>
        <v/>
      </c>
      <c r="O94" s="231">
        <f>IF(A94="","",SUM(E94,G94,I94,K94,M94))</f>
        <v/>
      </c>
      <c r="P94" s="225">
        <f>IF(A94="","",SUM(F94,H94,J94,L94,N94))</f>
        <v/>
      </c>
      <c r="Q94" s="233">
        <f>IF(A94="","",IF(O94&gt;B94,"DIVERGENCIA: CONSUMO MAIOR QUE CONTRATADO","OK"))</f>
        <v/>
      </c>
      <c r="R94" s="19" t="n"/>
      <c r="S94" s="19" t="n"/>
      <c r="T94" s="19" t="n"/>
      <c r="U94" s="19" t="n"/>
      <c r="V94" s="19" t="n"/>
      <c r="W94" s="19" t="n"/>
    </row>
    <row r="95">
      <c r="A95" s="255" t="n"/>
      <c r="B95" s="256" t="n"/>
      <c r="C95" s="257" t="n"/>
      <c r="D95" s="225">
        <f>IF(OR(A95="",B95="",C95=""),"",ROUND(B95*C95,2))</f>
        <v/>
      </c>
      <c r="E95" s="256" t="n"/>
      <c r="F95" s="225">
        <f>IF(OR(A95="",E95="",C95="",NOT(ISNUMBER($U$2))),"",ROUND(E95*C95*$U$2,2))</f>
        <v/>
      </c>
      <c r="G95" s="256" t="n"/>
      <c r="H95" s="225">
        <f>IF(OR(A95="",G95="",C95="",NOT(ISNUMBER($U$3))),"",ROUND(G95*C95*$U$3,2))</f>
        <v/>
      </c>
      <c r="I95" s="256" t="n"/>
      <c r="J95" s="225">
        <f>IF(OR(A95="",I95="",C95="",NOT(ISNUMBER($U$4))),"",ROUND(I95*C95*$U$4,2))</f>
        <v/>
      </c>
      <c r="K95" s="256" t="n"/>
      <c r="L95" s="225">
        <f>IF(OR(A95="",K95="",C95="",NOT(ISNUMBER($U$5))),"",ROUND(K95*C95*$U$5,2))</f>
        <v/>
      </c>
      <c r="M95" s="256" t="n"/>
      <c r="N95" s="225">
        <f>IF(OR(A95="",M95="",C95="",NOT(ISNUMBER($U$6))),"",ROUND(M95*C95*$U$6,2))</f>
        <v/>
      </c>
      <c r="O95" s="231">
        <f>IF(A95="","",SUM(E95,G95,I95,K95,M95))</f>
        <v/>
      </c>
      <c r="P95" s="225">
        <f>IF(A95="","",SUM(F95,H95,J95,L95,N95))</f>
        <v/>
      </c>
      <c r="Q95" s="233">
        <f>IF(A95="","",IF(O95&gt;B95,"DIVERGENCIA: CONSUMO MAIOR QUE CONTRATADO","OK"))</f>
        <v/>
      </c>
      <c r="R95" s="19" t="n"/>
      <c r="S95" s="19" t="n"/>
      <c r="T95" s="19" t="n"/>
      <c r="U95" s="19" t="n"/>
      <c r="V95" s="19" t="n"/>
      <c r="W95" s="19" t="n"/>
    </row>
    <row r="96">
      <c r="A96" s="255" t="n"/>
      <c r="B96" s="256" t="n"/>
      <c r="C96" s="257" t="n"/>
      <c r="D96" s="225">
        <f>IF(OR(A96="",B96="",C96=""),"",ROUND(B96*C96,2))</f>
        <v/>
      </c>
      <c r="E96" s="256" t="n"/>
      <c r="F96" s="225">
        <f>IF(OR(A96="",E96="",C96="",NOT(ISNUMBER($U$2))),"",ROUND(E96*C96*$U$2,2))</f>
        <v/>
      </c>
      <c r="G96" s="256" t="n"/>
      <c r="H96" s="225">
        <f>IF(OR(A96="",G96="",C96="",NOT(ISNUMBER($U$3))),"",ROUND(G96*C96*$U$3,2))</f>
        <v/>
      </c>
      <c r="I96" s="256" t="n"/>
      <c r="J96" s="225">
        <f>IF(OR(A96="",I96="",C96="",NOT(ISNUMBER($U$4))),"",ROUND(I96*C96*$U$4,2))</f>
        <v/>
      </c>
      <c r="K96" s="256" t="n"/>
      <c r="L96" s="225">
        <f>IF(OR(A96="",K96="",C96="",NOT(ISNUMBER($U$5))),"",ROUND(K96*C96*$U$5,2))</f>
        <v/>
      </c>
      <c r="M96" s="256" t="n"/>
      <c r="N96" s="225">
        <f>IF(OR(A96="",M96="",C96="",NOT(ISNUMBER($U$6))),"",ROUND(M96*C96*$U$6,2))</f>
        <v/>
      </c>
      <c r="O96" s="231">
        <f>IF(A96="","",SUM(E96,G96,I96,K96,M96))</f>
        <v/>
      </c>
      <c r="P96" s="225">
        <f>IF(A96="","",SUM(F96,H96,J96,L96,N96))</f>
        <v/>
      </c>
      <c r="Q96" s="233">
        <f>IF(A96="","",IF(O96&gt;B96,"DIVERGENCIA: CONSUMO MAIOR QUE CONTRATADO","OK"))</f>
        <v/>
      </c>
      <c r="R96" s="19" t="n"/>
      <c r="S96" s="19" t="n"/>
      <c r="T96" s="19" t="n"/>
      <c r="U96" s="19" t="n"/>
      <c r="V96" s="19" t="n"/>
      <c r="W96" s="19" t="n"/>
    </row>
    <row r="97">
      <c r="A97" s="255" t="n"/>
      <c r="B97" s="256" t="n"/>
      <c r="C97" s="257" t="n"/>
      <c r="D97" s="225">
        <f>IF(OR(A97="",B97="",C97=""),"",ROUND(B97*C97,2))</f>
        <v/>
      </c>
      <c r="E97" s="256" t="n"/>
      <c r="F97" s="225">
        <f>IF(OR(A97="",E97="",C97="",NOT(ISNUMBER($U$2))),"",ROUND(E97*C97*$U$2,2))</f>
        <v/>
      </c>
      <c r="G97" s="256" t="n"/>
      <c r="H97" s="225">
        <f>IF(OR(A97="",G97="",C97="",NOT(ISNUMBER($U$3))),"",ROUND(G97*C97*$U$3,2))</f>
        <v/>
      </c>
      <c r="I97" s="256" t="n"/>
      <c r="J97" s="225">
        <f>IF(OR(A97="",I97="",C97="",NOT(ISNUMBER($U$4))),"",ROUND(I97*C97*$U$4,2))</f>
        <v/>
      </c>
      <c r="K97" s="256" t="n"/>
      <c r="L97" s="225">
        <f>IF(OR(A97="",K97="",C97="",NOT(ISNUMBER($U$5))),"",ROUND(K97*C97*$U$5,2))</f>
        <v/>
      </c>
      <c r="M97" s="256" t="n"/>
      <c r="N97" s="225">
        <f>IF(OR(A97="",M97="",C97="",NOT(ISNUMBER($U$6))),"",ROUND(M97*C97*$U$6,2))</f>
        <v/>
      </c>
      <c r="O97" s="231">
        <f>IF(A97="","",SUM(E97,G97,I97,K97,M97))</f>
        <v/>
      </c>
      <c r="P97" s="225">
        <f>IF(A97="","",SUM(F97,H97,J97,L97,N97))</f>
        <v/>
      </c>
      <c r="Q97" s="233">
        <f>IF(A97="","",IF(O97&gt;B97,"DIVERGENCIA: CONSUMO MAIOR QUE CONTRATADO","OK"))</f>
        <v/>
      </c>
      <c r="R97" s="19" t="n"/>
      <c r="S97" s="19" t="n"/>
      <c r="T97" s="19" t="n"/>
      <c r="U97" s="19" t="n"/>
      <c r="V97" s="19" t="n"/>
      <c r="W97" s="19" t="n"/>
    </row>
    <row r="98">
      <c r="A98" s="255" t="n"/>
      <c r="B98" s="256" t="n"/>
      <c r="C98" s="257" t="n"/>
      <c r="D98" s="225">
        <f>IF(OR(A98="",B98="",C98=""),"",ROUND(B98*C98,2))</f>
        <v/>
      </c>
      <c r="E98" s="256" t="n"/>
      <c r="F98" s="225">
        <f>IF(OR(A98="",E98="",C98="",NOT(ISNUMBER($U$2))),"",ROUND(E98*C98*$U$2,2))</f>
        <v/>
      </c>
      <c r="G98" s="256" t="n"/>
      <c r="H98" s="225">
        <f>IF(OR(A98="",G98="",C98="",NOT(ISNUMBER($U$3))),"",ROUND(G98*C98*$U$3,2))</f>
        <v/>
      </c>
      <c r="I98" s="256" t="n"/>
      <c r="J98" s="225">
        <f>IF(OR(A98="",I98="",C98="",NOT(ISNUMBER($U$4))),"",ROUND(I98*C98*$U$4,2))</f>
        <v/>
      </c>
      <c r="K98" s="256" t="n"/>
      <c r="L98" s="225">
        <f>IF(OR(A98="",K98="",C98="",NOT(ISNUMBER($U$5))),"",ROUND(K98*C98*$U$5,2))</f>
        <v/>
      </c>
      <c r="M98" s="256" t="n"/>
      <c r="N98" s="225">
        <f>IF(OR(A98="",M98="",C98="",NOT(ISNUMBER($U$6))),"",ROUND(M98*C98*$U$6,2))</f>
        <v/>
      </c>
      <c r="O98" s="231">
        <f>IF(A98="","",SUM(E98,G98,I98,K98,M98))</f>
        <v/>
      </c>
      <c r="P98" s="225">
        <f>IF(A98="","",SUM(F98,H98,J98,L98,N98))</f>
        <v/>
      </c>
      <c r="Q98" s="233">
        <f>IF(A98="","",IF(O98&gt;B98,"DIVERGENCIA: CONSUMO MAIOR QUE CONTRATADO","OK"))</f>
        <v/>
      </c>
      <c r="R98" s="19" t="n"/>
      <c r="S98" s="19" t="n"/>
      <c r="T98" s="19" t="n"/>
      <c r="U98" s="19" t="n"/>
      <c r="V98" s="19" t="n"/>
      <c r="W98" s="19" t="n"/>
    </row>
    <row r="99">
      <c r="A99" s="255" t="n"/>
      <c r="B99" s="256" t="n"/>
      <c r="C99" s="257" t="n"/>
      <c r="D99" s="225">
        <f>IF(OR(A99="",B99="",C99=""),"",ROUND(B99*C99,2))</f>
        <v/>
      </c>
      <c r="E99" s="256" t="n"/>
      <c r="F99" s="225">
        <f>IF(OR(A99="",E99="",C99="",NOT(ISNUMBER($U$2))),"",ROUND(E99*C99*$U$2,2))</f>
        <v/>
      </c>
      <c r="G99" s="256" t="n"/>
      <c r="H99" s="225">
        <f>IF(OR(A99="",G99="",C99="",NOT(ISNUMBER($U$3))),"",ROUND(G99*C99*$U$3,2))</f>
        <v/>
      </c>
      <c r="I99" s="256" t="n"/>
      <c r="J99" s="225">
        <f>IF(OR(A99="",I99="",C99="",NOT(ISNUMBER($U$4))),"",ROUND(I99*C99*$U$4,2))</f>
        <v/>
      </c>
      <c r="K99" s="256" t="n"/>
      <c r="L99" s="225">
        <f>IF(OR(A99="",K99="",C99="",NOT(ISNUMBER($U$5))),"",ROUND(K99*C99*$U$5,2))</f>
        <v/>
      </c>
      <c r="M99" s="256" t="n"/>
      <c r="N99" s="225">
        <f>IF(OR(A99="",M99="",C99="",NOT(ISNUMBER($U$6))),"",ROUND(M99*C99*$U$6,2))</f>
        <v/>
      </c>
      <c r="O99" s="231">
        <f>IF(A99="","",SUM(E99,G99,I99,K99,M99))</f>
        <v/>
      </c>
      <c r="P99" s="225">
        <f>IF(A99="","",SUM(F99,H99,J99,L99,N99))</f>
        <v/>
      </c>
      <c r="Q99" s="233">
        <f>IF(A99="","",IF(O99&gt;B99,"DIVERGENCIA: CONSUMO MAIOR QUE CONTRATADO","OK"))</f>
        <v/>
      </c>
      <c r="R99" s="19" t="n"/>
      <c r="S99" s="19" t="n"/>
      <c r="T99" s="19" t="n"/>
      <c r="U99" s="19" t="n"/>
      <c r="V99" s="19" t="n"/>
      <c r="W99" s="19" t="n"/>
    </row>
    <row r="100">
      <c r="A100" s="255" t="n"/>
      <c r="B100" s="256" t="n"/>
      <c r="C100" s="257" t="n"/>
      <c r="D100" s="225">
        <f>IF(OR(A100="",B100="",C100=""),"",ROUND(B100*C100,2))</f>
        <v/>
      </c>
      <c r="E100" s="256" t="n"/>
      <c r="F100" s="225">
        <f>IF(OR(A100="",E100="",C100="",NOT(ISNUMBER($U$2))),"",ROUND(E100*C100*$U$2,2))</f>
        <v/>
      </c>
      <c r="G100" s="256" t="n"/>
      <c r="H100" s="225">
        <f>IF(OR(A100="",G100="",C100="",NOT(ISNUMBER($U$3))),"",ROUND(G100*C100*$U$3,2))</f>
        <v/>
      </c>
      <c r="I100" s="256" t="n"/>
      <c r="J100" s="225">
        <f>IF(OR(A100="",I100="",C100="",NOT(ISNUMBER($U$4))),"",ROUND(I100*C100*$U$4,2))</f>
        <v/>
      </c>
      <c r="K100" s="256" t="n"/>
      <c r="L100" s="225">
        <f>IF(OR(A100="",K100="",C100="",NOT(ISNUMBER($U$5))),"",ROUND(K100*C100*$U$5,2))</f>
        <v/>
      </c>
      <c r="M100" s="256" t="n"/>
      <c r="N100" s="225">
        <f>IF(OR(A100="",M100="",C100="",NOT(ISNUMBER($U$6))),"",ROUND(M100*C100*$U$6,2))</f>
        <v/>
      </c>
      <c r="O100" s="231">
        <f>IF(A100="","",SUM(E100,G100,I100,K100,M100))</f>
        <v/>
      </c>
      <c r="P100" s="225">
        <f>IF(A100="","",SUM(F100,H100,J100,L100,N100))</f>
        <v/>
      </c>
      <c r="Q100" s="233">
        <f>IF(A100="","",IF(O100&gt;B100,"DIVERGENCIA: CONSUMO MAIOR QUE CONTRATADO","OK"))</f>
        <v/>
      </c>
      <c r="R100" s="19" t="n"/>
      <c r="S100" s="19" t="n"/>
      <c r="T100" s="19" t="n"/>
      <c r="U100" s="19" t="n"/>
      <c r="V100" s="19" t="n"/>
      <c r="W100" s="19" t="n"/>
    </row>
    <row r="101">
      <c r="A101" s="255" t="n"/>
      <c r="B101" s="256" t="n"/>
      <c r="C101" s="257" t="n"/>
      <c r="D101" s="225">
        <f>IF(OR(A101="",B101="",C101=""),"",ROUND(B101*C101,2))</f>
        <v/>
      </c>
      <c r="E101" s="256" t="n"/>
      <c r="F101" s="225">
        <f>IF(OR(A101="",E101="",C101="",NOT(ISNUMBER($U$2))),"",ROUND(E101*C101*$U$2,2))</f>
        <v/>
      </c>
      <c r="G101" s="256" t="n"/>
      <c r="H101" s="225">
        <f>IF(OR(A101="",G101="",C101="",NOT(ISNUMBER($U$3))),"",ROUND(G101*C101*$U$3,2))</f>
        <v/>
      </c>
      <c r="I101" s="256" t="n"/>
      <c r="J101" s="225">
        <f>IF(OR(A101="",I101="",C101="",NOT(ISNUMBER($U$4))),"",ROUND(I101*C101*$U$4,2))</f>
        <v/>
      </c>
      <c r="K101" s="256" t="n"/>
      <c r="L101" s="225">
        <f>IF(OR(A101="",K101="",C101="",NOT(ISNUMBER($U$5))),"",ROUND(K101*C101*$U$5,2))</f>
        <v/>
      </c>
      <c r="M101" s="256" t="n"/>
      <c r="N101" s="225">
        <f>IF(OR(A101="",M101="",C101="",NOT(ISNUMBER($U$6))),"",ROUND(M101*C101*$U$6,2))</f>
        <v/>
      </c>
      <c r="O101" s="231">
        <f>IF(A101="","",SUM(E101,G101,I101,K101,M101))</f>
        <v/>
      </c>
      <c r="P101" s="225">
        <f>IF(A101="","",SUM(F101,H101,J101,L101,N101))</f>
        <v/>
      </c>
      <c r="Q101" s="233">
        <f>IF(A101="","",IF(O101&gt;B101,"DIVERGENCIA: CONSUMO MAIOR QUE CONTRATADO","OK"))</f>
        <v/>
      </c>
      <c r="R101" s="36" t="n"/>
      <c r="S101" s="36" t="n"/>
      <c r="T101" s="36" t="n"/>
      <c r="U101" s="36" t="n"/>
      <c r="V101" s="36" t="n"/>
      <c r="W101" s="36" t="n"/>
    </row>
    <row r="102">
      <c r="A102" s="255" t="n"/>
      <c r="B102" s="256" t="n"/>
      <c r="C102" s="257" t="n"/>
      <c r="D102" s="225">
        <f>IF(OR(A102="",B102="",C102=""),"",ROUND(B102*C102,2))</f>
        <v/>
      </c>
      <c r="E102" s="256" t="n"/>
      <c r="F102" s="225">
        <f>IF(OR(A102="",E102="",C102="",NOT(ISNUMBER($U$2))),"",ROUND(E102*C102*$U$2,2))</f>
        <v/>
      </c>
      <c r="G102" s="256" t="n"/>
      <c r="H102" s="225">
        <f>IF(OR(A102="",G102="",C102="",NOT(ISNUMBER($U$3))),"",ROUND(G102*C102*$U$3,2))</f>
        <v/>
      </c>
      <c r="I102" s="256" t="n"/>
      <c r="J102" s="225">
        <f>IF(OR(A102="",I102="",C102="",NOT(ISNUMBER($U$4))),"",ROUND(I102*C102*$U$4,2))</f>
        <v/>
      </c>
      <c r="K102" s="256" t="n"/>
      <c r="L102" s="225">
        <f>IF(OR(A102="",K102="",C102="",NOT(ISNUMBER($U$5))),"",ROUND(K102*C102*$U$5,2))</f>
        <v/>
      </c>
      <c r="M102" s="256" t="n"/>
      <c r="N102" s="225">
        <f>IF(OR(A102="",M102="",C102="",NOT(ISNUMBER($U$6))),"",ROUND(M102*C102*$U$6,2))</f>
        <v/>
      </c>
      <c r="O102" s="231">
        <f>IF(A102="","",SUM(E102,G102,I102,K102,M102))</f>
        <v/>
      </c>
      <c r="P102" s="225">
        <f>IF(A102="","",SUM(F102,H102,J102,L102,N102))</f>
        <v/>
      </c>
      <c r="Q102" s="233">
        <f>IF(A102="","",IF(O102&gt;B102,"DIVERGENCIA: CONSUMO MAIOR QUE CONTRATADO","OK"))</f>
        <v/>
      </c>
      <c r="R102" s="36" t="n"/>
      <c r="S102" s="36" t="n"/>
      <c r="T102" s="36" t="n"/>
      <c r="U102" s="36" t="n"/>
      <c r="V102" s="36" t="n"/>
      <c r="W102" s="36" t="n"/>
    </row>
    <row r="103">
      <c r="A103" s="255" t="n"/>
      <c r="B103" s="256" t="n"/>
      <c r="C103" s="257" t="n"/>
      <c r="D103" s="225">
        <f>IF(OR(A103="",B103="",C103=""),"",ROUND(B103*C103,2))</f>
        <v/>
      </c>
      <c r="E103" s="256" t="n"/>
      <c r="F103" s="225">
        <f>IF(OR(A103="",E103="",C103="",NOT(ISNUMBER($U$2))),"",ROUND(E103*C103*$U$2,2))</f>
        <v/>
      </c>
      <c r="G103" s="256" t="n"/>
      <c r="H103" s="225">
        <f>IF(OR(A103="",G103="",C103="",NOT(ISNUMBER($U$3))),"",ROUND(G103*C103*$U$3,2))</f>
        <v/>
      </c>
      <c r="I103" s="256" t="n"/>
      <c r="J103" s="225">
        <f>IF(OR(A103="",I103="",C103="",NOT(ISNUMBER($U$4))),"",ROUND(I103*C103*$U$4,2))</f>
        <v/>
      </c>
      <c r="K103" s="256" t="n"/>
      <c r="L103" s="225">
        <f>IF(OR(A103="",K103="",C103="",NOT(ISNUMBER($U$5))),"",ROUND(K103*C103*$U$5,2))</f>
        <v/>
      </c>
      <c r="M103" s="256" t="n"/>
      <c r="N103" s="225">
        <f>IF(OR(A103="",M103="",C103="",NOT(ISNUMBER($U$6))),"",ROUND(M103*C103*$U$6,2))</f>
        <v/>
      </c>
      <c r="O103" s="231">
        <f>IF(A103="","",SUM(E103,G103,I103,K103,M103))</f>
        <v/>
      </c>
      <c r="P103" s="225">
        <f>IF(A103="","",SUM(F103,H103,J103,L103,N103))</f>
        <v/>
      </c>
      <c r="Q103" s="233">
        <f>IF(A103="","",IF(O103&gt;B103,"DIVERGENCIA: CONSUMO MAIOR QUE CONTRATADO","OK"))</f>
        <v/>
      </c>
      <c r="R103" s="36" t="n"/>
      <c r="S103" s="36" t="n"/>
      <c r="T103" s="36" t="n"/>
      <c r="U103" s="36" t="n"/>
      <c r="V103" s="36" t="n"/>
      <c r="W103" s="36" t="n"/>
    </row>
    <row r="104">
      <c r="A104" s="255" t="n"/>
      <c r="B104" s="256" t="n"/>
      <c r="C104" s="257" t="n"/>
      <c r="D104" s="225">
        <f>IF(OR(A104="",B104="",C104=""),"",ROUND(B104*C104,2))</f>
        <v/>
      </c>
      <c r="E104" s="256" t="n"/>
      <c r="F104" s="225">
        <f>IF(OR(A104="",E104="",C104="",NOT(ISNUMBER($U$2))),"",ROUND(E104*C104*$U$2,2))</f>
        <v/>
      </c>
      <c r="G104" s="256" t="n"/>
      <c r="H104" s="225">
        <f>IF(OR(A104="",G104="",C104="",NOT(ISNUMBER($U$3))),"",ROUND(G104*C104*$U$3,2))</f>
        <v/>
      </c>
      <c r="I104" s="256" t="n"/>
      <c r="J104" s="225">
        <f>IF(OR(A104="",I104="",C104="",NOT(ISNUMBER($U$4))),"",ROUND(I104*C104*$U$4,2))</f>
        <v/>
      </c>
      <c r="K104" s="256" t="n"/>
      <c r="L104" s="225">
        <f>IF(OR(A104="",K104="",C104="",NOT(ISNUMBER($U$5))),"",ROUND(K104*C104*$U$5,2))</f>
        <v/>
      </c>
      <c r="M104" s="256" t="n"/>
      <c r="N104" s="225">
        <f>IF(OR(A104="",M104="",C104="",NOT(ISNUMBER($U$6))),"",ROUND(M104*C104*$U$6,2))</f>
        <v/>
      </c>
      <c r="O104" s="231">
        <f>IF(A104="","",SUM(E104,G104,I104,K104,M104))</f>
        <v/>
      </c>
      <c r="P104" s="225">
        <f>IF(A104="","",SUM(F104,H104,J104,L104,N104))</f>
        <v/>
      </c>
      <c r="Q104" s="233">
        <f>IF(A104="","",IF(O104&gt;B104,"DIVERGENCIA: CONSUMO MAIOR QUE CONTRATADO","OK"))</f>
        <v/>
      </c>
      <c r="R104" s="36" t="n"/>
      <c r="S104" s="36" t="n"/>
      <c r="T104" s="36" t="n"/>
      <c r="U104" s="36" t="n"/>
      <c r="V104" s="36" t="n"/>
      <c r="W104" s="36" t="n"/>
    </row>
    <row r="105">
      <c r="A105" s="255" t="n"/>
      <c r="B105" s="256" t="n"/>
      <c r="C105" s="257" t="n"/>
      <c r="D105" s="225">
        <f>IF(OR(A105="",B105="",C105=""),"",ROUND(B105*C105,2))</f>
        <v/>
      </c>
      <c r="E105" s="256" t="n"/>
      <c r="F105" s="225">
        <f>IF(OR(A105="",E105="",C105="",NOT(ISNUMBER($U$2))),"",ROUND(E105*C105*$U$2,2))</f>
        <v/>
      </c>
      <c r="G105" s="256" t="n"/>
      <c r="H105" s="225">
        <f>IF(OR(A105="",G105="",C105="",NOT(ISNUMBER($U$3))),"",ROUND(G105*C105*$U$3,2))</f>
        <v/>
      </c>
      <c r="I105" s="256" t="n"/>
      <c r="J105" s="225">
        <f>IF(OR(A105="",I105="",C105="",NOT(ISNUMBER($U$4))),"",ROUND(I105*C105*$U$4,2))</f>
        <v/>
      </c>
      <c r="K105" s="256" t="n"/>
      <c r="L105" s="225">
        <f>IF(OR(A105="",K105="",C105="",NOT(ISNUMBER($U$5))),"",ROUND(K105*C105*$U$5,2))</f>
        <v/>
      </c>
      <c r="M105" s="256" t="n"/>
      <c r="N105" s="225">
        <f>IF(OR(A105="",M105="",C105="",NOT(ISNUMBER($U$6))),"",ROUND(M105*C105*$U$6,2))</f>
        <v/>
      </c>
      <c r="O105" s="231">
        <f>IF(A105="","",SUM(E105,G105,I105,K105,M105))</f>
        <v/>
      </c>
      <c r="P105" s="225">
        <f>IF(A105="","",SUM(F105,H105,J105,L105,N105))</f>
        <v/>
      </c>
      <c r="Q105" s="233">
        <f>IF(A105="","",IF(O105&gt;B105,"DIVERGENCIA: CONSUMO MAIOR QUE CONTRATADO","OK"))</f>
        <v/>
      </c>
      <c r="R105" s="36" t="n"/>
      <c r="S105" s="36" t="n"/>
      <c r="T105" s="36" t="n"/>
      <c r="U105" s="36" t="n"/>
      <c r="V105" s="36" t="n"/>
      <c r="W105" s="36" t="n"/>
    </row>
    <row r="106">
      <c r="A106" s="255" t="n"/>
      <c r="B106" s="256" t="n"/>
      <c r="C106" s="257" t="n"/>
      <c r="D106" s="225">
        <f>IF(OR(A106="",B106="",C106=""),"",ROUND(B106*C106,2))</f>
        <v/>
      </c>
      <c r="E106" s="256" t="n"/>
      <c r="F106" s="225">
        <f>IF(OR(A106="",E106="",C106="",NOT(ISNUMBER($U$2))),"",ROUND(E106*C106*$U$2,2))</f>
        <v/>
      </c>
      <c r="G106" s="256" t="n"/>
      <c r="H106" s="225">
        <f>IF(OR(A106="",G106="",C106="",NOT(ISNUMBER($U$3))),"",ROUND(G106*C106*$U$3,2))</f>
        <v/>
      </c>
      <c r="I106" s="256" t="n"/>
      <c r="J106" s="225">
        <f>IF(OR(A106="",I106="",C106="",NOT(ISNUMBER($U$4))),"",ROUND(I106*C106*$U$4,2))</f>
        <v/>
      </c>
      <c r="K106" s="256" t="n"/>
      <c r="L106" s="225">
        <f>IF(OR(A106="",K106="",C106="",NOT(ISNUMBER($U$5))),"",ROUND(K106*C106*$U$5,2))</f>
        <v/>
      </c>
      <c r="M106" s="256" t="n"/>
      <c r="N106" s="225">
        <f>IF(OR(A106="",M106="",C106="",NOT(ISNUMBER($U$6))),"",ROUND(M106*C106*$U$6,2))</f>
        <v/>
      </c>
      <c r="O106" s="231">
        <f>IF(A106="","",SUM(E106,G106,I106,K106,M106))</f>
        <v/>
      </c>
      <c r="P106" s="225">
        <f>IF(A106="","",SUM(F106,H106,J106,L106,N106))</f>
        <v/>
      </c>
      <c r="Q106" s="233">
        <f>IF(A106="","",IF(O106&gt;B106,"DIVERGENCIA: CONSUMO MAIOR QUE CONTRATADO","OK"))</f>
        <v/>
      </c>
      <c r="R106" s="36" t="n"/>
      <c r="S106" s="36" t="n"/>
      <c r="T106" s="36" t="n"/>
      <c r="U106" s="36" t="n"/>
      <c r="V106" s="36" t="n"/>
      <c r="W106" s="36" t="n"/>
    </row>
    <row r="107">
      <c r="A107" s="255" t="n"/>
      <c r="B107" s="256" t="n"/>
      <c r="C107" s="257" t="n"/>
      <c r="D107" s="225">
        <f>IF(OR(A107="",B107="",C107=""),"",ROUND(B107*C107,2))</f>
        <v/>
      </c>
      <c r="E107" s="256" t="n"/>
      <c r="F107" s="225">
        <f>IF(OR(A107="",E107="",C107="",NOT(ISNUMBER($U$2))),"",ROUND(E107*C107*$U$2,2))</f>
        <v/>
      </c>
      <c r="G107" s="256" t="n"/>
      <c r="H107" s="225">
        <f>IF(OR(A107="",G107="",C107="",NOT(ISNUMBER($U$3))),"",ROUND(G107*C107*$U$3,2))</f>
        <v/>
      </c>
      <c r="I107" s="256" t="n"/>
      <c r="J107" s="225">
        <f>IF(OR(A107="",I107="",C107="",NOT(ISNUMBER($U$4))),"",ROUND(I107*C107*$U$4,2))</f>
        <v/>
      </c>
      <c r="K107" s="256" t="n"/>
      <c r="L107" s="225">
        <f>IF(OR(A107="",K107="",C107="",NOT(ISNUMBER($U$5))),"",ROUND(K107*C107*$U$5,2))</f>
        <v/>
      </c>
      <c r="M107" s="256" t="n"/>
      <c r="N107" s="225">
        <f>IF(OR(A107="",M107="",C107="",NOT(ISNUMBER($U$6))),"",ROUND(M107*C107*$U$6,2))</f>
        <v/>
      </c>
      <c r="O107" s="231">
        <f>IF(A107="","",SUM(E107,G107,I107,K107,M107))</f>
        <v/>
      </c>
      <c r="P107" s="225">
        <f>IF(A107="","",SUM(F107,H107,J107,L107,N107))</f>
        <v/>
      </c>
      <c r="Q107" s="233">
        <f>IF(A107="","",IF(O107&gt;B107,"DIVERGENCIA: CONSUMO MAIOR QUE CONTRATADO","OK"))</f>
        <v/>
      </c>
      <c r="R107" s="36" t="n"/>
      <c r="S107" s="36" t="n"/>
      <c r="T107" s="36" t="n"/>
      <c r="U107" s="36" t="n"/>
      <c r="V107" s="36" t="n"/>
      <c r="W107" s="36" t="n"/>
    </row>
    <row r="108">
      <c r="A108" s="255" t="n"/>
      <c r="B108" s="256" t="n"/>
      <c r="C108" s="257" t="n"/>
      <c r="D108" s="225">
        <f>IF(OR(A108="",B108="",C108=""),"",ROUND(B108*C108,2))</f>
        <v/>
      </c>
      <c r="E108" s="256" t="n"/>
      <c r="F108" s="225">
        <f>IF(OR(A108="",E108="",C108="",NOT(ISNUMBER($U$2))),"",ROUND(E108*C108*$U$2,2))</f>
        <v/>
      </c>
      <c r="G108" s="256" t="n"/>
      <c r="H108" s="225">
        <f>IF(OR(A108="",G108="",C108="",NOT(ISNUMBER($U$3))),"",ROUND(G108*C108*$U$3,2))</f>
        <v/>
      </c>
      <c r="I108" s="256" t="n"/>
      <c r="J108" s="225">
        <f>IF(OR(A108="",I108="",C108="",NOT(ISNUMBER($U$4))),"",ROUND(I108*C108*$U$4,2))</f>
        <v/>
      </c>
      <c r="K108" s="256" t="n"/>
      <c r="L108" s="225">
        <f>IF(OR(A108="",K108="",C108="",NOT(ISNUMBER($U$5))),"",ROUND(K108*C108*$U$5,2))</f>
        <v/>
      </c>
      <c r="M108" s="256" t="n"/>
      <c r="N108" s="225">
        <f>IF(OR(A108="",M108="",C108="",NOT(ISNUMBER($U$6))),"",ROUND(M108*C108*$U$6,2))</f>
        <v/>
      </c>
      <c r="O108" s="231">
        <f>IF(A108="","",SUM(E108,G108,I108,K108,M108))</f>
        <v/>
      </c>
      <c r="P108" s="225">
        <f>IF(A108="","",SUM(F108,H108,J108,L108,N108))</f>
        <v/>
      </c>
      <c r="Q108" s="233">
        <f>IF(A108="","",IF(O108&gt;B108,"DIVERGENCIA: CONSUMO MAIOR QUE CONTRATADO","OK"))</f>
        <v/>
      </c>
      <c r="R108" s="36" t="n"/>
      <c r="S108" s="36" t="n"/>
      <c r="T108" s="36" t="n"/>
      <c r="U108" s="36" t="n"/>
      <c r="V108" s="36" t="n"/>
      <c r="W108" s="36" t="n"/>
    </row>
    <row r="109">
      <c r="A109" s="255" t="n"/>
      <c r="B109" s="256" t="n"/>
      <c r="C109" s="257" t="n"/>
      <c r="D109" s="225">
        <f>IF(OR(A109="",B109="",C109=""),"",ROUND(B109*C109,2))</f>
        <v/>
      </c>
      <c r="E109" s="256" t="n"/>
      <c r="F109" s="225">
        <f>IF(OR(A109="",E109="",C109="",NOT(ISNUMBER($U$2))),"",ROUND(E109*C109*$U$2,2))</f>
        <v/>
      </c>
      <c r="G109" s="256" t="n"/>
      <c r="H109" s="225">
        <f>IF(OR(A109="",G109="",C109="",NOT(ISNUMBER($U$3))),"",ROUND(G109*C109*$U$3,2))</f>
        <v/>
      </c>
      <c r="I109" s="256" t="n"/>
      <c r="J109" s="225">
        <f>IF(OR(A109="",I109="",C109="",NOT(ISNUMBER($U$4))),"",ROUND(I109*C109*$U$4,2))</f>
        <v/>
      </c>
      <c r="K109" s="256" t="n"/>
      <c r="L109" s="225">
        <f>IF(OR(A109="",K109="",C109="",NOT(ISNUMBER($U$5))),"",ROUND(K109*C109*$U$5,2))</f>
        <v/>
      </c>
      <c r="M109" s="256" t="n"/>
      <c r="N109" s="225">
        <f>IF(OR(A109="",M109="",C109="",NOT(ISNUMBER($U$6))),"",ROUND(M109*C109*$U$6,2))</f>
        <v/>
      </c>
      <c r="O109" s="231">
        <f>IF(A109="","",SUM(E109,G109,I109,K109,M109))</f>
        <v/>
      </c>
      <c r="P109" s="225">
        <f>IF(A109="","",SUM(F109,H109,J109,L109,N109))</f>
        <v/>
      </c>
      <c r="Q109" s="233">
        <f>IF(A109="","",IF(O109&gt;B109,"DIVERGENCIA: CONSUMO MAIOR QUE CONTRATADO","OK"))</f>
        <v/>
      </c>
      <c r="R109" s="36" t="n"/>
      <c r="S109" s="36" t="n"/>
      <c r="T109" s="36" t="n"/>
      <c r="U109" s="36" t="n"/>
      <c r="V109" s="36" t="n"/>
      <c r="W109" s="36" t="n"/>
    </row>
    <row r="110">
      <c r="A110" s="255" t="n"/>
      <c r="B110" s="256" t="n"/>
      <c r="C110" s="257" t="n"/>
      <c r="D110" s="225">
        <f>IF(OR(A110="",B110="",C110=""),"",ROUND(B110*C110,2))</f>
        <v/>
      </c>
      <c r="E110" s="256" t="n"/>
      <c r="F110" s="225">
        <f>IF(OR(A110="",E110="",C110="",NOT(ISNUMBER($U$2))),"",ROUND(E110*C110*$U$2,2))</f>
        <v/>
      </c>
      <c r="G110" s="256" t="n"/>
      <c r="H110" s="225">
        <f>IF(OR(A110="",G110="",C110="",NOT(ISNUMBER($U$3))),"",ROUND(G110*C110*$U$3,2))</f>
        <v/>
      </c>
      <c r="I110" s="256" t="n"/>
      <c r="J110" s="225">
        <f>IF(OR(A110="",I110="",C110="",NOT(ISNUMBER($U$4))),"",ROUND(I110*C110*$U$4,2))</f>
        <v/>
      </c>
      <c r="K110" s="256" t="n"/>
      <c r="L110" s="225">
        <f>IF(OR(A110="",K110="",C110="",NOT(ISNUMBER($U$5))),"",ROUND(K110*C110*$U$5,2))</f>
        <v/>
      </c>
      <c r="M110" s="256" t="n"/>
      <c r="N110" s="225">
        <f>IF(OR(A110="",M110="",C110="",NOT(ISNUMBER($U$6))),"",ROUND(M110*C110*$U$6,2))</f>
        <v/>
      </c>
      <c r="O110" s="231">
        <f>IF(A110="","",SUM(E110,G110,I110,K110,M110))</f>
        <v/>
      </c>
      <c r="P110" s="225">
        <f>IF(A110="","",SUM(F110,H110,J110,L110,N110))</f>
        <v/>
      </c>
      <c r="Q110" s="233">
        <f>IF(A110="","",IF(O110&gt;B110,"DIVERGENCIA: CONSUMO MAIOR QUE CONTRATADO","OK"))</f>
        <v/>
      </c>
      <c r="R110" s="36" t="n"/>
      <c r="S110" s="36" t="n"/>
      <c r="T110" s="36" t="n"/>
      <c r="U110" s="36" t="n"/>
      <c r="V110" s="36" t="n"/>
      <c r="W110" s="36" t="n"/>
    </row>
    <row r="111">
      <c r="A111" s="255" t="n"/>
      <c r="B111" s="256" t="n"/>
      <c r="C111" s="257" t="n"/>
      <c r="D111" s="225">
        <f>IF(OR(A111="",B111="",C111=""),"",ROUND(B111*C111,2))</f>
        <v/>
      </c>
      <c r="E111" s="256" t="n"/>
      <c r="F111" s="225">
        <f>IF(OR(A111="",E111="",C111="",NOT(ISNUMBER($U$2))),"",ROUND(E111*C111*$U$2,2))</f>
        <v/>
      </c>
      <c r="G111" s="256" t="n"/>
      <c r="H111" s="225">
        <f>IF(OR(A111="",G111="",C111="",NOT(ISNUMBER($U$3))),"",ROUND(G111*C111*$U$3,2))</f>
        <v/>
      </c>
      <c r="I111" s="256" t="n"/>
      <c r="J111" s="225">
        <f>IF(OR(A111="",I111="",C111="",NOT(ISNUMBER($U$4))),"",ROUND(I111*C111*$U$4,2))</f>
        <v/>
      </c>
      <c r="K111" s="256" t="n"/>
      <c r="L111" s="225">
        <f>IF(OR(A111="",K111="",C111="",NOT(ISNUMBER($U$5))),"",ROUND(K111*C111*$U$5,2))</f>
        <v/>
      </c>
      <c r="M111" s="256" t="n"/>
      <c r="N111" s="225">
        <f>IF(OR(A111="",M111="",C111="",NOT(ISNUMBER($U$6))),"",ROUND(M111*C111*$U$6,2))</f>
        <v/>
      </c>
      <c r="O111" s="231">
        <f>IF(A111="","",SUM(E111,G111,I111,K111,M111))</f>
        <v/>
      </c>
      <c r="P111" s="225">
        <f>IF(A111="","",SUM(F111,H111,J111,L111,N111))</f>
        <v/>
      </c>
      <c r="Q111" s="233">
        <f>IF(A111="","",IF(O111&gt;B111,"DIVERGENCIA: CONSUMO MAIOR QUE CONTRATADO","OK"))</f>
        <v/>
      </c>
      <c r="R111" s="36" t="n"/>
      <c r="S111" s="36" t="n"/>
      <c r="T111" s="36" t="n"/>
      <c r="U111" s="36" t="n"/>
      <c r="V111" s="36" t="n"/>
      <c r="W111" s="36" t="n"/>
    </row>
    <row r="112">
      <c r="A112" s="255" t="n"/>
      <c r="B112" s="256" t="n"/>
      <c r="C112" s="257" t="n"/>
      <c r="D112" s="225">
        <f>IF(OR(A112="",B112="",C112=""),"",ROUND(B112*C112,2))</f>
        <v/>
      </c>
      <c r="E112" s="256" t="n"/>
      <c r="F112" s="225">
        <f>IF(OR(A112="",E112="",C112="",NOT(ISNUMBER($U$2))),"",ROUND(E112*C112*$U$2,2))</f>
        <v/>
      </c>
      <c r="G112" s="256" t="n"/>
      <c r="H112" s="225">
        <f>IF(OR(A112="",G112="",C112="",NOT(ISNUMBER($U$3))),"",ROUND(G112*C112*$U$3,2))</f>
        <v/>
      </c>
      <c r="I112" s="256" t="n"/>
      <c r="J112" s="225">
        <f>IF(OR(A112="",I112="",C112="",NOT(ISNUMBER($U$4))),"",ROUND(I112*C112*$U$4,2))</f>
        <v/>
      </c>
      <c r="K112" s="256" t="n"/>
      <c r="L112" s="225">
        <f>IF(OR(A112="",K112="",C112="",NOT(ISNUMBER($U$5))),"",ROUND(K112*C112*$U$5,2))</f>
        <v/>
      </c>
      <c r="M112" s="256" t="n"/>
      <c r="N112" s="225">
        <f>IF(OR(A112="",M112="",C112="",NOT(ISNUMBER($U$6))),"",ROUND(M112*C112*$U$6,2))</f>
        <v/>
      </c>
      <c r="O112" s="231">
        <f>IF(A112="","",SUM(E112,G112,I112,K112,M112))</f>
        <v/>
      </c>
      <c r="P112" s="225">
        <f>IF(A112="","",SUM(F112,H112,J112,L112,N112))</f>
        <v/>
      </c>
      <c r="Q112" s="233">
        <f>IF(A112="","",IF(O112&gt;B112,"DIVERGENCIA: CONSUMO MAIOR QUE CONTRATADO","OK"))</f>
        <v/>
      </c>
      <c r="R112" s="36" t="n"/>
      <c r="S112" s="36" t="n"/>
      <c r="T112" s="36" t="n"/>
      <c r="U112" s="36" t="n"/>
      <c r="V112" s="36" t="n"/>
      <c r="W112" s="36" t="n"/>
    </row>
    <row r="113">
      <c r="A113" s="255" t="n"/>
      <c r="B113" s="256" t="n"/>
      <c r="C113" s="257" t="n"/>
      <c r="D113" s="225">
        <f>IF(OR(A113="",B113="",C113=""),"",ROUND(B113*C113,2))</f>
        <v/>
      </c>
      <c r="E113" s="256" t="n"/>
      <c r="F113" s="225">
        <f>IF(OR(A113="",E113="",C113="",NOT(ISNUMBER($U$2))),"",ROUND(E113*C113*$U$2,2))</f>
        <v/>
      </c>
      <c r="G113" s="256" t="n"/>
      <c r="H113" s="225">
        <f>IF(OR(A113="",G113="",C113="",NOT(ISNUMBER($U$3))),"",ROUND(G113*C113*$U$3,2))</f>
        <v/>
      </c>
      <c r="I113" s="256" t="n"/>
      <c r="J113" s="225">
        <f>IF(OR(A113="",I113="",C113="",NOT(ISNUMBER($U$4))),"",ROUND(I113*C113*$U$4,2))</f>
        <v/>
      </c>
      <c r="K113" s="256" t="n"/>
      <c r="L113" s="225">
        <f>IF(OR(A113="",K113="",C113="",NOT(ISNUMBER($U$5))),"",ROUND(K113*C113*$U$5,2))</f>
        <v/>
      </c>
      <c r="M113" s="256" t="n"/>
      <c r="N113" s="225">
        <f>IF(OR(A113="",M113="",C113="",NOT(ISNUMBER($U$6))),"",ROUND(M113*C113*$U$6,2))</f>
        <v/>
      </c>
      <c r="O113" s="231">
        <f>IF(A113="","",SUM(E113,G113,I113,K113,M113))</f>
        <v/>
      </c>
      <c r="P113" s="225">
        <f>IF(A113="","",SUM(F113,H113,J113,L113,N113))</f>
        <v/>
      </c>
      <c r="Q113" s="233">
        <f>IF(A113="","",IF(O113&gt;B113,"DIVERGENCIA: CONSUMO MAIOR QUE CONTRATADO","OK"))</f>
        <v/>
      </c>
      <c r="R113" s="36" t="n"/>
      <c r="S113" s="36" t="n"/>
      <c r="T113" s="36" t="n"/>
      <c r="U113" s="36" t="n"/>
      <c r="V113" s="36" t="n"/>
      <c r="W113" s="36" t="n"/>
    </row>
    <row r="114">
      <c r="A114" s="255" t="n"/>
      <c r="B114" s="256" t="n"/>
      <c r="C114" s="257" t="n"/>
      <c r="D114" s="225">
        <f>IF(OR(A114="",B114="",C114=""),"",ROUND(B114*C114,2))</f>
        <v/>
      </c>
      <c r="E114" s="256" t="n"/>
      <c r="F114" s="225">
        <f>IF(OR(A114="",E114="",C114="",NOT(ISNUMBER($U$2))),"",ROUND(E114*C114*$U$2,2))</f>
        <v/>
      </c>
      <c r="G114" s="256" t="n"/>
      <c r="H114" s="225">
        <f>IF(OR(A114="",G114="",C114="",NOT(ISNUMBER($U$3))),"",ROUND(G114*C114*$U$3,2))</f>
        <v/>
      </c>
      <c r="I114" s="256" t="n"/>
      <c r="J114" s="225">
        <f>IF(OR(A114="",I114="",C114="",NOT(ISNUMBER($U$4))),"",ROUND(I114*C114*$U$4,2))</f>
        <v/>
      </c>
      <c r="K114" s="256" t="n"/>
      <c r="L114" s="225">
        <f>IF(OR(A114="",K114="",C114="",NOT(ISNUMBER($U$5))),"",ROUND(K114*C114*$U$5,2))</f>
        <v/>
      </c>
      <c r="M114" s="256" t="n"/>
      <c r="N114" s="225">
        <f>IF(OR(A114="",M114="",C114="",NOT(ISNUMBER($U$6))),"",ROUND(M114*C114*$U$6,2))</f>
        <v/>
      </c>
      <c r="O114" s="231">
        <f>IF(A114="","",SUM(E114,G114,I114,K114,M114))</f>
        <v/>
      </c>
      <c r="P114" s="225">
        <f>IF(A114="","",SUM(F114,H114,J114,L114,N114))</f>
        <v/>
      </c>
      <c r="Q114" s="233">
        <f>IF(A114="","",IF(O114&gt;B114,"DIVERGENCIA: CONSUMO MAIOR QUE CONTRATADO","OK"))</f>
        <v/>
      </c>
      <c r="R114" s="36" t="n"/>
      <c r="S114" s="36" t="n"/>
      <c r="T114" s="36" t="n"/>
      <c r="U114" s="36" t="n"/>
      <c r="V114" s="36" t="n"/>
      <c r="W114" s="36" t="n"/>
    </row>
    <row r="115">
      <c r="A115" s="255" t="n"/>
      <c r="B115" s="256" t="n"/>
      <c r="C115" s="257" t="n"/>
      <c r="D115" s="225">
        <f>IF(OR(A115="",B115="",C115=""),"",ROUND(B115*C115,2))</f>
        <v/>
      </c>
      <c r="E115" s="256" t="n"/>
      <c r="F115" s="225">
        <f>IF(OR(A115="",E115="",C115="",NOT(ISNUMBER($U$2))),"",ROUND(E115*C115*$U$2,2))</f>
        <v/>
      </c>
      <c r="G115" s="256" t="n"/>
      <c r="H115" s="225">
        <f>IF(OR(A115="",G115="",C115="",NOT(ISNUMBER($U$3))),"",ROUND(G115*C115*$U$3,2))</f>
        <v/>
      </c>
      <c r="I115" s="256" t="n"/>
      <c r="J115" s="225">
        <f>IF(OR(A115="",I115="",C115="",NOT(ISNUMBER($U$4))),"",ROUND(I115*C115*$U$4,2))</f>
        <v/>
      </c>
      <c r="K115" s="256" t="n"/>
      <c r="L115" s="225">
        <f>IF(OR(A115="",K115="",C115="",NOT(ISNUMBER($U$5))),"",ROUND(K115*C115*$U$5,2))</f>
        <v/>
      </c>
      <c r="M115" s="256" t="n"/>
      <c r="N115" s="225">
        <f>IF(OR(A115="",M115="",C115="",NOT(ISNUMBER($U$6))),"",ROUND(M115*C115*$U$6,2))</f>
        <v/>
      </c>
      <c r="O115" s="231">
        <f>IF(A115="","",SUM(E115,G115,I115,K115,M115))</f>
        <v/>
      </c>
      <c r="P115" s="225">
        <f>IF(A115="","",SUM(F115,H115,J115,L115,N115))</f>
        <v/>
      </c>
      <c r="Q115" s="233">
        <f>IF(A115="","",IF(O115&gt;B115,"DIVERGENCIA: CONSUMO MAIOR QUE CONTRATADO","OK"))</f>
        <v/>
      </c>
      <c r="R115" s="36" t="n"/>
      <c r="S115" s="36" t="n"/>
      <c r="T115" s="36" t="n"/>
      <c r="U115" s="36" t="n"/>
      <c r="V115" s="36" t="n"/>
      <c r="W115" s="36" t="n"/>
    </row>
    <row r="116">
      <c r="A116" s="255" t="n"/>
      <c r="B116" s="256" t="n"/>
      <c r="C116" s="257" t="n"/>
      <c r="D116" s="225">
        <f>IF(OR(A116="",B116="",C116=""),"",ROUND(B116*C116,2))</f>
        <v/>
      </c>
      <c r="E116" s="256" t="n"/>
      <c r="F116" s="225">
        <f>IF(OR(A116="",E116="",C116="",NOT(ISNUMBER($U$2))),"",ROUND(E116*C116*$U$2,2))</f>
        <v/>
      </c>
      <c r="G116" s="256" t="n"/>
      <c r="H116" s="225">
        <f>IF(OR(A116="",G116="",C116="",NOT(ISNUMBER($U$3))),"",ROUND(G116*C116*$U$3,2))</f>
        <v/>
      </c>
      <c r="I116" s="256" t="n"/>
      <c r="J116" s="225">
        <f>IF(OR(A116="",I116="",C116="",NOT(ISNUMBER($U$4))),"",ROUND(I116*C116*$U$4,2))</f>
        <v/>
      </c>
      <c r="K116" s="256" t="n"/>
      <c r="L116" s="225">
        <f>IF(OR(A116="",K116="",C116="",NOT(ISNUMBER($U$5))),"",ROUND(K116*C116*$U$5,2))</f>
        <v/>
      </c>
      <c r="M116" s="256" t="n"/>
      <c r="N116" s="225">
        <f>IF(OR(A116="",M116="",C116="",NOT(ISNUMBER($U$6))),"",ROUND(M116*C116*$U$6,2))</f>
        <v/>
      </c>
      <c r="O116" s="231">
        <f>IF(A116="","",SUM(E116,G116,I116,K116,M116))</f>
        <v/>
      </c>
      <c r="P116" s="225">
        <f>IF(A116="","",SUM(F116,H116,J116,L116,N116))</f>
        <v/>
      </c>
      <c r="Q116" s="233">
        <f>IF(A116="","",IF(O116&gt;B116,"DIVERGENCIA: CONSUMO MAIOR QUE CONTRATADO","OK"))</f>
        <v/>
      </c>
      <c r="R116" s="36" t="n"/>
      <c r="S116" s="36" t="n"/>
      <c r="T116" s="36" t="n"/>
      <c r="U116" s="36" t="n"/>
      <c r="V116" s="36" t="n"/>
      <c r="W116" s="36" t="n"/>
    </row>
    <row r="117">
      <c r="A117" s="255" t="n"/>
      <c r="B117" s="256" t="n"/>
      <c r="C117" s="257" t="n"/>
      <c r="D117" s="225">
        <f>IF(OR(A117="",B117="",C117=""),"",ROUND(B117*C117,2))</f>
        <v/>
      </c>
      <c r="E117" s="256" t="n"/>
      <c r="F117" s="225">
        <f>IF(OR(A117="",E117="",C117="",NOT(ISNUMBER($U$2))),"",ROUND(E117*C117*$U$2,2))</f>
        <v/>
      </c>
      <c r="G117" s="256" t="n"/>
      <c r="H117" s="225">
        <f>IF(OR(A117="",G117="",C117="",NOT(ISNUMBER($U$3))),"",ROUND(G117*C117*$U$3,2))</f>
        <v/>
      </c>
      <c r="I117" s="256" t="n"/>
      <c r="J117" s="225">
        <f>IF(OR(A117="",I117="",C117="",NOT(ISNUMBER($U$4))),"",ROUND(I117*C117*$U$4,2))</f>
        <v/>
      </c>
      <c r="K117" s="256" t="n"/>
      <c r="L117" s="225">
        <f>IF(OR(A117="",K117="",C117="",NOT(ISNUMBER($U$5))),"",ROUND(K117*C117*$U$5,2))</f>
        <v/>
      </c>
      <c r="M117" s="256" t="n"/>
      <c r="N117" s="225">
        <f>IF(OR(A117="",M117="",C117="",NOT(ISNUMBER($U$6))),"",ROUND(M117*C117*$U$6,2))</f>
        <v/>
      </c>
      <c r="O117" s="231">
        <f>IF(A117="","",SUM(E117,G117,I117,K117,M117))</f>
        <v/>
      </c>
      <c r="P117" s="225">
        <f>IF(A117="","",SUM(F117,H117,J117,L117,N117))</f>
        <v/>
      </c>
      <c r="Q117" s="233">
        <f>IF(A117="","",IF(O117&gt;B117,"DIVERGENCIA: CONSUMO MAIOR QUE CONTRATADO","OK"))</f>
        <v/>
      </c>
      <c r="R117" s="36" t="n"/>
      <c r="S117" s="36" t="n"/>
      <c r="T117" s="36" t="n"/>
      <c r="U117" s="36" t="n"/>
      <c r="V117" s="36" t="n"/>
      <c r="W117" s="36" t="n"/>
    </row>
    <row r="118">
      <c r="A118" s="255" t="n"/>
      <c r="B118" s="256" t="n"/>
      <c r="C118" s="257" t="n"/>
      <c r="D118" s="225">
        <f>IF(OR(A118="",B118="",C118=""),"",ROUND(B118*C118,2))</f>
        <v/>
      </c>
      <c r="E118" s="256" t="n"/>
      <c r="F118" s="225">
        <f>IF(OR(A118="",E118="",C118="",NOT(ISNUMBER($U$2))),"",ROUND(E118*C118*$U$2,2))</f>
        <v/>
      </c>
      <c r="G118" s="256" t="n"/>
      <c r="H118" s="225">
        <f>IF(OR(A118="",G118="",C118="",NOT(ISNUMBER($U$3))),"",ROUND(G118*C118*$U$3,2))</f>
        <v/>
      </c>
      <c r="I118" s="256" t="n"/>
      <c r="J118" s="225">
        <f>IF(OR(A118="",I118="",C118="",NOT(ISNUMBER($U$4))),"",ROUND(I118*C118*$U$4,2))</f>
        <v/>
      </c>
      <c r="K118" s="256" t="n"/>
      <c r="L118" s="225">
        <f>IF(OR(A118="",K118="",C118="",NOT(ISNUMBER($U$5))),"",ROUND(K118*C118*$U$5,2))</f>
        <v/>
      </c>
      <c r="M118" s="256" t="n"/>
      <c r="N118" s="225">
        <f>IF(OR(A118="",M118="",C118="",NOT(ISNUMBER($U$6))),"",ROUND(M118*C118*$U$6,2))</f>
        <v/>
      </c>
      <c r="O118" s="231">
        <f>IF(A118="","",SUM(E118,G118,I118,K118,M118))</f>
        <v/>
      </c>
      <c r="P118" s="225">
        <f>IF(A118="","",SUM(F118,H118,J118,L118,N118))</f>
        <v/>
      </c>
      <c r="Q118" s="233">
        <f>IF(A118="","",IF(O118&gt;B118,"DIVERGENCIA: CONSUMO MAIOR QUE CONTRATADO","OK"))</f>
        <v/>
      </c>
      <c r="R118" s="36" t="n"/>
      <c r="S118" s="36" t="n"/>
      <c r="T118" s="36" t="n"/>
      <c r="U118" s="36" t="n"/>
      <c r="V118" s="36" t="n"/>
      <c r="W118" s="36" t="n"/>
    </row>
    <row r="119">
      <c r="A119" s="255" t="n"/>
      <c r="B119" s="256" t="n"/>
      <c r="C119" s="257" t="n"/>
      <c r="D119" s="225">
        <f>IF(OR(A119="",B119="",C119=""),"",ROUND(B119*C119,2))</f>
        <v/>
      </c>
      <c r="E119" s="256" t="n"/>
      <c r="F119" s="225">
        <f>IF(OR(A119="",E119="",C119="",NOT(ISNUMBER($U$2))),"",ROUND(E119*C119*$U$2,2))</f>
        <v/>
      </c>
      <c r="G119" s="256" t="n"/>
      <c r="H119" s="225">
        <f>IF(OR(A119="",G119="",C119="",NOT(ISNUMBER($U$3))),"",ROUND(G119*C119*$U$3,2))</f>
        <v/>
      </c>
      <c r="I119" s="256" t="n"/>
      <c r="J119" s="225">
        <f>IF(OR(A119="",I119="",C119="",NOT(ISNUMBER($U$4))),"",ROUND(I119*C119*$U$4,2))</f>
        <v/>
      </c>
      <c r="K119" s="256" t="n"/>
      <c r="L119" s="225">
        <f>IF(OR(A119="",K119="",C119="",NOT(ISNUMBER($U$5))),"",ROUND(K119*C119*$U$5,2))</f>
        <v/>
      </c>
      <c r="M119" s="256" t="n"/>
      <c r="N119" s="225">
        <f>IF(OR(A119="",M119="",C119="",NOT(ISNUMBER($U$6))),"",ROUND(M119*C119*$U$6,2))</f>
        <v/>
      </c>
      <c r="O119" s="231">
        <f>IF(A119="","",SUM(E119,G119,I119,K119,M119))</f>
        <v/>
      </c>
      <c r="P119" s="225">
        <f>IF(A119="","",SUM(F119,H119,J119,L119,N119))</f>
        <v/>
      </c>
      <c r="Q119" s="233">
        <f>IF(A119="","",IF(O119&gt;B119,"DIVERGENCIA: CONSUMO MAIOR QUE CONTRATADO","OK"))</f>
        <v/>
      </c>
      <c r="R119" s="36" t="n"/>
      <c r="S119" s="36" t="n"/>
      <c r="T119" s="36" t="n"/>
      <c r="U119" s="36" t="n"/>
      <c r="V119" s="36" t="n"/>
      <c r="W119" s="36" t="n"/>
    </row>
    <row r="120">
      <c r="A120" s="255" t="n"/>
      <c r="B120" s="256" t="n"/>
      <c r="C120" s="257" t="n"/>
      <c r="D120" s="225">
        <f>IF(OR(A120="",B120="",C120=""),"",ROUND(B120*C120,2))</f>
        <v/>
      </c>
      <c r="E120" s="256" t="n"/>
      <c r="F120" s="225">
        <f>IF(OR(A120="",E120="",C120="",NOT(ISNUMBER($U$2))),"",ROUND(E120*C120*$U$2,2))</f>
        <v/>
      </c>
      <c r="G120" s="256" t="n"/>
      <c r="H120" s="225">
        <f>IF(OR(A120="",G120="",C120="",NOT(ISNUMBER($U$3))),"",ROUND(G120*C120*$U$3,2))</f>
        <v/>
      </c>
      <c r="I120" s="256" t="n"/>
      <c r="J120" s="225">
        <f>IF(OR(A120="",I120="",C120="",NOT(ISNUMBER($U$4))),"",ROUND(I120*C120*$U$4,2))</f>
        <v/>
      </c>
      <c r="K120" s="256" t="n"/>
      <c r="L120" s="225">
        <f>IF(OR(A120="",K120="",C120="",NOT(ISNUMBER($U$5))),"",ROUND(K120*C120*$U$5,2))</f>
        <v/>
      </c>
      <c r="M120" s="256" t="n"/>
      <c r="N120" s="225">
        <f>IF(OR(A120="",M120="",C120="",NOT(ISNUMBER($U$6))),"",ROUND(M120*C120*$U$6,2))</f>
        <v/>
      </c>
      <c r="O120" s="231">
        <f>IF(A120="","",SUM(E120,G120,I120,K120,M120))</f>
        <v/>
      </c>
      <c r="P120" s="225">
        <f>IF(A120="","",SUM(F120,H120,J120,L120,N120))</f>
        <v/>
      </c>
      <c r="Q120" s="233">
        <f>IF(A120="","",IF(O120&gt;B120,"DIVERGENCIA: CONSUMO MAIOR QUE CONTRATADO","OK"))</f>
        <v/>
      </c>
      <c r="R120" s="36" t="n"/>
      <c r="S120" s="36" t="n"/>
      <c r="T120" s="36" t="n"/>
      <c r="U120" s="36" t="n"/>
      <c r="V120" s="36" t="n"/>
      <c r="W120" s="36" t="n"/>
    </row>
    <row r="121">
      <c r="A121" s="255" t="n"/>
      <c r="B121" s="256" t="n"/>
      <c r="C121" s="257" t="n"/>
      <c r="D121" s="225">
        <f>IF(OR(A121="",B121="",C121=""),"",ROUND(B121*C121,2))</f>
        <v/>
      </c>
      <c r="E121" s="256" t="n"/>
      <c r="F121" s="225">
        <f>IF(OR(A121="",E121="",C121="",NOT(ISNUMBER($U$2))),"",ROUND(E121*C121*$U$2,2))</f>
        <v/>
      </c>
      <c r="G121" s="256" t="n"/>
      <c r="H121" s="225">
        <f>IF(OR(A121="",G121="",C121="",NOT(ISNUMBER($U$3))),"",ROUND(G121*C121*$U$3,2))</f>
        <v/>
      </c>
      <c r="I121" s="256" t="n"/>
      <c r="J121" s="225">
        <f>IF(OR(A121="",I121="",C121="",NOT(ISNUMBER($U$4))),"",ROUND(I121*C121*$U$4,2))</f>
        <v/>
      </c>
      <c r="K121" s="256" t="n"/>
      <c r="L121" s="225">
        <f>IF(OR(A121="",K121="",C121="",NOT(ISNUMBER($U$5))),"",ROUND(K121*C121*$U$5,2))</f>
        <v/>
      </c>
      <c r="M121" s="256" t="n"/>
      <c r="N121" s="225">
        <f>IF(OR(A121="",M121="",C121="",NOT(ISNUMBER($U$6))),"",ROUND(M121*C121*$U$6,2))</f>
        <v/>
      </c>
      <c r="O121" s="231">
        <f>IF(A121="","",SUM(E121,G121,I121,K121,M121))</f>
        <v/>
      </c>
      <c r="P121" s="225">
        <f>IF(A121="","",SUM(F121,H121,J121,L121,N121))</f>
        <v/>
      </c>
      <c r="Q121" s="233">
        <f>IF(A121="","",IF(O121&gt;B121,"DIVERGENCIA: CONSUMO MAIOR QUE CONTRATADO","OK"))</f>
        <v/>
      </c>
      <c r="R121" s="36" t="n"/>
      <c r="S121" s="36" t="n"/>
      <c r="T121" s="36" t="n"/>
      <c r="U121" s="36" t="n"/>
      <c r="V121" s="36" t="n"/>
      <c r="W121" s="36" t="n"/>
    </row>
    <row r="122">
      <c r="A122" s="255" t="n"/>
      <c r="B122" s="256" t="n"/>
      <c r="C122" s="257" t="n"/>
      <c r="D122" s="225">
        <f>IF(OR(A122="",B122="",C122=""),"",ROUND(B122*C122,2))</f>
        <v/>
      </c>
      <c r="E122" s="256" t="n"/>
      <c r="F122" s="225">
        <f>IF(OR(A122="",E122="",C122="",NOT(ISNUMBER($U$2))),"",ROUND(E122*C122*$U$2,2))</f>
        <v/>
      </c>
      <c r="G122" s="256" t="n"/>
      <c r="H122" s="225">
        <f>IF(OR(A122="",G122="",C122="",NOT(ISNUMBER($U$3))),"",ROUND(G122*C122*$U$3,2))</f>
        <v/>
      </c>
      <c r="I122" s="256" t="n"/>
      <c r="J122" s="225">
        <f>IF(OR(A122="",I122="",C122="",NOT(ISNUMBER($U$4))),"",ROUND(I122*C122*$U$4,2))</f>
        <v/>
      </c>
      <c r="K122" s="256" t="n"/>
      <c r="L122" s="225">
        <f>IF(OR(A122="",K122="",C122="",NOT(ISNUMBER($U$5))),"",ROUND(K122*C122*$U$5,2))</f>
        <v/>
      </c>
      <c r="M122" s="256" t="n"/>
      <c r="N122" s="225">
        <f>IF(OR(A122="",M122="",C122="",NOT(ISNUMBER($U$6))),"",ROUND(M122*C122*$U$6,2))</f>
        <v/>
      </c>
      <c r="O122" s="231">
        <f>IF(A122="","",SUM(E122,G122,I122,K122,M122))</f>
        <v/>
      </c>
      <c r="P122" s="225">
        <f>IF(A122="","",SUM(F122,H122,J122,L122,N122))</f>
        <v/>
      </c>
      <c r="Q122" s="233">
        <f>IF(A122="","",IF(O122&gt;B122,"DIVERGENCIA: CONSUMO MAIOR QUE CONTRATADO","OK"))</f>
        <v/>
      </c>
      <c r="R122" s="36" t="n"/>
      <c r="S122" s="36" t="n"/>
      <c r="T122" s="36" t="n"/>
      <c r="U122" s="36" t="n"/>
      <c r="V122" s="36" t="n"/>
      <c r="W122" s="36" t="n"/>
    </row>
    <row r="123">
      <c r="A123" s="255" t="n"/>
      <c r="B123" s="256" t="n"/>
      <c r="C123" s="257" t="n"/>
      <c r="D123" s="225">
        <f>IF(OR(A123="",B123="",C123=""),"",ROUND(B123*C123,2))</f>
        <v/>
      </c>
      <c r="E123" s="256" t="n"/>
      <c r="F123" s="225">
        <f>IF(OR(A123="",E123="",C123="",NOT(ISNUMBER($U$2))),"",ROUND(E123*C123*$U$2,2))</f>
        <v/>
      </c>
      <c r="G123" s="256" t="n"/>
      <c r="H123" s="225">
        <f>IF(OR(A123="",G123="",C123="",NOT(ISNUMBER($U$3))),"",ROUND(G123*C123*$U$3,2))</f>
        <v/>
      </c>
      <c r="I123" s="256" t="n"/>
      <c r="J123" s="225">
        <f>IF(OR(A123="",I123="",C123="",NOT(ISNUMBER($U$4))),"",ROUND(I123*C123*$U$4,2))</f>
        <v/>
      </c>
      <c r="K123" s="256" t="n"/>
      <c r="L123" s="225">
        <f>IF(OR(A123="",K123="",C123="",NOT(ISNUMBER($U$5))),"",ROUND(K123*C123*$U$5,2))</f>
        <v/>
      </c>
      <c r="M123" s="256" t="n"/>
      <c r="N123" s="225">
        <f>IF(OR(A123="",M123="",C123="",NOT(ISNUMBER($U$6))),"",ROUND(M123*C123*$U$6,2))</f>
        <v/>
      </c>
      <c r="O123" s="231">
        <f>IF(A123="","",SUM(E123,G123,I123,K123,M123))</f>
        <v/>
      </c>
      <c r="P123" s="225">
        <f>IF(A123="","",SUM(F123,H123,J123,L123,N123))</f>
        <v/>
      </c>
      <c r="Q123" s="233">
        <f>IF(A123="","",IF(O123&gt;B123,"DIVERGENCIA: CONSUMO MAIOR QUE CONTRATADO","OK"))</f>
        <v/>
      </c>
      <c r="R123" s="36" t="n"/>
      <c r="S123" s="36" t="n"/>
      <c r="T123" s="36" t="n"/>
      <c r="U123" s="36" t="n"/>
      <c r="V123" s="36" t="n"/>
      <c r="W123" s="36" t="n"/>
    </row>
    <row r="124">
      <c r="A124" s="255" t="n"/>
      <c r="B124" s="256" t="n"/>
      <c r="C124" s="257" t="n"/>
      <c r="D124" s="225">
        <f>IF(OR(A124="",B124="",C124=""),"",ROUND(B124*C124,2))</f>
        <v/>
      </c>
      <c r="E124" s="256" t="n"/>
      <c r="F124" s="225">
        <f>IF(OR(A124="",E124="",C124="",NOT(ISNUMBER($U$2))),"",ROUND(E124*C124*$U$2,2))</f>
        <v/>
      </c>
      <c r="G124" s="256" t="n"/>
      <c r="H124" s="225">
        <f>IF(OR(A124="",G124="",C124="",NOT(ISNUMBER($U$3))),"",ROUND(G124*C124*$U$3,2))</f>
        <v/>
      </c>
      <c r="I124" s="256" t="n"/>
      <c r="J124" s="225">
        <f>IF(OR(A124="",I124="",C124="",NOT(ISNUMBER($U$4))),"",ROUND(I124*C124*$U$4,2))</f>
        <v/>
      </c>
      <c r="K124" s="256" t="n"/>
      <c r="L124" s="225">
        <f>IF(OR(A124="",K124="",C124="",NOT(ISNUMBER($U$5))),"",ROUND(K124*C124*$U$5,2))</f>
        <v/>
      </c>
      <c r="M124" s="256" t="n"/>
      <c r="N124" s="225">
        <f>IF(OR(A124="",M124="",C124="",NOT(ISNUMBER($U$6))),"",ROUND(M124*C124*$U$6,2))</f>
        <v/>
      </c>
      <c r="O124" s="231">
        <f>IF(A124="","",SUM(E124,G124,I124,K124,M124))</f>
        <v/>
      </c>
      <c r="P124" s="225">
        <f>IF(A124="","",SUM(F124,H124,J124,L124,N124))</f>
        <v/>
      </c>
      <c r="Q124" s="233">
        <f>IF(A124="","",IF(O124&gt;B124,"DIVERGENCIA: CONSUMO MAIOR QUE CONTRATADO","OK"))</f>
        <v/>
      </c>
      <c r="R124" s="36" t="n"/>
      <c r="S124" s="36" t="n"/>
      <c r="T124" s="36" t="n"/>
      <c r="U124" s="36" t="n"/>
      <c r="V124" s="36" t="n"/>
      <c r="W124" s="36" t="n"/>
    </row>
    <row r="125">
      <c r="A125" s="255" t="n"/>
      <c r="B125" s="256" t="n"/>
      <c r="C125" s="257" t="n"/>
      <c r="D125" s="225">
        <f>IF(OR(A125="",B125="",C125=""),"",ROUND(B125*C125,2))</f>
        <v/>
      </c>
      <c r="E125" s="256" t="n"/>
      <c r="F125" s="225">
        <f>IF(OR(A125="",E125="",C125="",NOT(ISNUMBER($U$2))),"",ROUND(E125*C125*$U$2,2))</f>
        <v/>
      </c>
      <c r="G125" s="256" t="n"/>
      <c r="H125" s="225">
        <f>IF(OR(A125="",G125="",C125="",NOT(ISNUMBER($U$3))),"",ROUND(G125*C125*$U$3,2))</f>
        <v/>
      </c>
      <c r="I125" s="256" t="n"/>
      <c r="J125" s="225">
        <f>IF(OR(A125="",I125="",C125="",NOT(ISNUMBER($U$4))),"",ROUND(I125*C125*$U$4,2))</f>
        <v/>
      </c>
      <c r="K125" s="256" t="n"/>
      <c r="L125" s="225">
        <f>IF(OR(A125="",K125="",C125="",NOT(ISNUMBER($U$5))),"",ROUND(K125*C125*$U$5,2))</f>
        <v/>
      </c>
      <c r="M125" s="256" t="n"/>
      <c r="N125" s="225">
        <f>IF(OR(A125="",M125="",C125="",NOT(ISNUMBER($U$6))),"",ROUND(M125*C125*$U$6,2))</f>
        <v/>
      </c>
      <c r="O125" s="231">
        <f>IF(A125="","",SUM(E125,G125,I125,K125,M125))</f>
        <v/>
      </c>
      <c r="P125" s="225">
        <f>IF(A125="","",SUM(F125,H125,J125,L125,N125))</f>
        <v/>
      </c>
      <c r="Q125" s="233">
        <f>IF(A125="","",IF(O125&gt;B125,"DIVERGENCIA: CONSUMO MAIOR QUE CONTRATADO","OK"))</f>
        <v/>
      </c>
      <c r="R125" s="36" t="n"/>
      <c r="S125" s="36" t="n"/>
      <c r="T125" s="36" t="n"/>
      <c r="U125" s="36" t="n"/>
      <c r="V125" s="36" t="n"/>
      <c r="W125" s="36" t="n"/>
    </row>
    <row r="126">
      <c r="A126" s="255" t="n"/>
      <c r="B126" s="256" t="n"/>
      <c r="C126" s="257" t="n"/>
      <c r="D126" s="225">
        <f>IF(OR(A126="",B126="",C126=""),"",ROUND(B126*C126,2))</f>
        <v/>
      </c>
      <c r="E126" s="256" t="n"/>
      <c r="F126" s="225">
        <f>IF(OR(A126="",E126="",C126="",NOT(ISNUMBER($U$2))),"",ROUND(E126*C126*$U$2,2))</f>
        <v/>
      </c>
      <c r="G126" s="256" t="n"/>
      <c r="H126" s="225">
        <f>IF(OR(A126="",G126="",C126="",NOT(ISNUMBER($U$3))),"",ROUND(G126*C126*$U$3,2))</f>
        <v/>
      </c>
      <c r="I126" s="256" t="n"/>
      <c r="J126" s="225">
        <f>IF(OR(A126="",I126="",C126="",NOT(ISNUMBER($U$4))),"",ROUND(I126*C126*$U$4,2))</f>
        <v/>
      </c>
      <c r="K126" s="256" t="n"/>
      <c r="L126" s="225">
        <f>IF(OR(A126="",K126="",C126="",NOT(ISNUMBER($U$5))),"",ROUND(K126*C126*$U$5,2))</f>
        <v/>
      </c>
      <c r="M126" s="256" t="n"/>
      <c r="N126" s="225">
        <f>IF(OR(A126="",M126="",C126="",NOT(ISNUMBER($U$6))),"",ROUND(M126*C126*$U$6,2))</f>
        <v/>
      </c>
      <c r="O126" s="231">
        <f>IF(A126="","",SUM(E126,G126,I126,K126,M126))</f>
        <v/>
      </c>
      <c r="P126" s="225">
        <f>IF(A126="","",SUM(F126,H126,J126,L126,N126))</f>
        <v/>
      </c>
      <c r="Q126" s="233">
        <f>IF(A126="","",IF(O126&gt;B126,"DIVERGENCIA: CONSUMO MAIOR QUE CONTRATADO","OK"))</f>
        <v/>
      </c>
      <c r="R126" s="36" t="n"/>
      <c r="S126" s="36" t="n"/>
      <c r="T126" s="36" t="n"/>
      <c r="U126" s="36" t="n"/>
      <c r="V126" s="36" t="n"/>
      <c r="W126" s="36" t="n"/>
    </row>
    <row r="127">
      <c r="A127" s="255" t="n"/>
      <c r="B127" s="256" t="n"/>
      <c r="C127" s="257" t="n"/>
      <c r="D127" s="225">
        <f>IF(OR(A127="",B127="",C127=""),"",ROUND(B127*C127,2))</f>
        <v/>
      </c>
      <c r="E127" s="256" t="n"/>
      <c r="F127" s="225">
        <f>IF(OR(A127="",E127="",C127="",NOT(ISNUMBER($U$2))),"",ROUND(E127*C127*$U$2,2))</f>
        <v/>
      </c>
      <c r="G127" s="256" t="n"/>
      <c r="H127" s="225">
        <f>IF(OR(A127="",G127="",C127="",NOT(ISNUMBER($U$3))),"",ROUND(G127*C127*$U$3,2))</f>
        <v/>
      </c>
      <c r="I127" s="256" t="n"/>
      <c r="J127" s="225">
        <f>IF(OR(A127="",I127="",C127="",NOT(ISNUMBER($U$4))),"",ROUND(I127*C127*$U$4,2))</f>
        <v/>
      </c>
      <c r="K127" s="256" t="n"/>
      <c r="L127" s="225">
        <f>IF(OR(A127="",K127="",C127="",NOT(ISNUMBER($U$5))),"",ROUND(K127*C127*$U$5,2))</f>
        <v/>
      </c>
      <c r="M127" s="256" t="n"/>
      <c r="N127" s="225">
        <f>IF(OR(A127="",M127="",C127="",NOT(ISNUMBER($U$6))),"",ROUND(M127*C127*$U$6,2))</f>
        <v/>
      </c>
      <c r="O127" s="231">
        <f>IF(A127="","",SUM(E127,G127,I127,K127,M127))</f>
        <v/>
      </c>
      <c r="P127" s="225">
        <f>IF(A127="","",SUM(F127,H127,J127,L127,N127))</f>
        <v/>
      </c>
      <c r="Q127" s="233">
        <f>IF(A127="","",IF(O127&gt;B127,"DIVERGENCIA: CONSUMO MAIOR QUE CONTRATADO","OK"))</f>
        <v/>
      </c>
      <c r="R127" s="36" t="n"/>
      <c r="S127" s="36" t="n"/>
      <c r="T127" s="36" t="n"/>
      <c r="U127" s="36" t="n"/>
      <c r="V127" s="36" t="n"/>
      <c r="W127" s="36" t="n"/>
    </row>
    <row r="128">
      <c r="A128" s="255" t="n"/>
      <c r="B128" s="256" t="n"/>
      <c r="C128" s="257" t="n"/>
      <c r="D128" s="225">
        <f>IF(OR(A128="",B128="",C128=""),"",ROUND(B128*C128,2))</f>
        <v/>
      </c>
      <c r="E128" s="256" t="n"/>
      <c r="F128" s="225">
        <f>IF(OR(A128="",E128="",C128="",NOT(ISNUMBER($U$2))),"",ROUND(E128*C128*$U$2,2))</f>
        <v/>
      </c>
      <c r="G128" s="256" t="n"/>
      <c r="H128" s="225">
        <f>IF(OR(A128="",G128="",C128="",NOT(ISNUMBER($U$3))),"",ROUND(G128*C128*$U$3,2))</f>
        <v/>
      </c>
      <c r="I128" s="256" t="n"/>
      <c r="J128" s="225">
        <f>IF(OR(A128="",I128="",C128="",NOT(ISNUMBER($U$4))),"",ROUND(I128*C128*$U$4,2))</f>
        <v/>
      </c>
      <c r="K128" s="256" t="n"/>
      <c r="L128" s="225">
        <f>IF(OR(A128="",K128="",C128="",NOT(ISNUMBER($U$5))),"",ROUND(K128*C128*$U$5,2))</f>
        <v/>
      </c>
      <c r="M128" s="256" t="n"/>
      <c r="N128" s="225">
        <f>IF(OR(A128="",M128="",C128="",NOT(ISNUMBER($U$6))),"",ROUND(M128*C128*$U$6,2))</f>
        <v/>
      </c>
      <c r="O128" s="231">
        <f>IF(A128="","",SUM(E128,G128,I128,K128,M128))</f>
        <v/>
      </c>
      <c r="P128" s="225">
        <f>IF(A128="","",SUM(F128,H128,J128,L128,N128))</f>
        <v/>
      </c>
      <c r="Q128" s="233">
        <f>IF(A128="","",IF(O128&gt;B128,"DIVERGENCIA: CONSUMO MAIOR QUE CONTRATADO","OK"))</f>
        <v/>
      </c>
      <c r="R128" s="36" t="n"/>
      <c r="S128" s="36" t="n"/>
      <c r="T128" s="36" t="n"/>
      <c r="U128" s="36" t="n"/>
      <c r="V128" s="36" t="n"/>
      <c r="W128" s="36" t="n"/>
    </row>
    <row r="129">
      <c r="A129" s="255" t="n"/>
      <c r="B129" s="256" t="n"/>
      <c r="C129" s="257" t="n"/>
      <c r="D129" s="225">
        <f>IF(OR(A129="",B129="",C129=""),"",ROUND(B129*C129,2))</f>
        <v/>
      </c>
      <c r="E129" s="256" t="n"/>
      <c r="F129" s="225">
        <f>IF(OR(A129="",E129="",C129="",NOT(ISNUMBER($U$2))),"",ROUND(E129*C129*$U$2,2))</f>
        <v/>
      </c>
      <c r="G129" s="256" t="n"/>
      <c r="H129" s="225">
        <f>IF(OR(A129="",G129="",C129="",NOT(ISNUMBER($U$3))),"",ROUND(G129*C129*$U$3,2))</f>
        <v/>
      </c>
      <c r="I129" s="256" t="n"/>
      <c r="J129" s="225">
        <f>IF(OR(A129="",I129="",C129="",NOT(ISNUMBER($U$4))),"",ROUND(I129*C129*$U$4,2))</f>
        <v/>
      </c>
      <c r="K129" s="256" t="n"/>
      <c r="L129" s="225">
        <f>IF(OR(A129="",K129="",C129="",NOT(ISNUMBER($U$5))),"",ROUND(K129*C129*$U$5,2))</f>
        <v/>
      </c>
      <c r="M129" s="256" t="n"/>
      <c r="N129" s="225">
        <f>IF(OR(A129="",M129="",C129="",NOT(ISNUMBER($U$6))),"",ROUND(M129*C129*$U$6,2))</f>
        <v/>
      </c>
      <c r="O129" s="231">
        <f>IF(A129="","",SUM(E129,G129,I129,K129,M129))</f>
        <v/>
      </c>
      <c r="P129" s="225">
        <f>IF(A129="","",SUM(F129,H129,J129,L129,N129))</f>
        <v/>
      </c>
      <c r="Q129" s="233">
        <f>IF(A129="","",IF(O129&gt;B129,"DIVERGENCIA: CONSUMO MAIOR QUE CONTRATADO","OK"))</f>
        <v/>
      </c>
      <c r="R129" s="36" t="n"/>
      <c r="S129" s="36" t="n"/>
      <c r="T129" s="36" t="n"/>
      <c r="U129" s="36" t="n"/>
      <c r="V129" s="36" t="n"/>
      <c r="W129" s="36" t="n"/>
    </row>
    <row r="130">
      <c r="A130" s="255" t="n"/>
      <c r="B130" s="256" t="n"/>
      <c r="C130" s="257" t="n"/>
      <c r="D130" s="225">
        <f>IF(OR(A130="",B130="",C130=""),"",ROUND(B130*C130,2))</f>
        <v/>
      </c>
      <c r="E130" s="256" t="n"/>
      <c r="F130" s="225">
        <f>IF(OR(A130="",E130="",C130="",NOT(ISNUMBER($U$2))),"",ROUND(E130*C130*$U$2,2))</f>
        <v/>
      </c>
      <c r="G130" s="256" t="n"/>
      <c r="H130" s="225">
        <f>IF(OR(A130="",G130="",C130="",NOT(ISNUMBER($U$3))),"",ROUND(G130*C130*$U$3,2))</f>
        <v/>
      </c>
      <c r="I130" s="256" t="n"/>
      <c r="J130" s="225">
        <f>IF(OR(A130="",I130="",C130="",NOT(ISNUMBER($U$4))),"",ROUND(I130*C130*$U$4,2))</f>
        <v/>
      </c>
      <c r="K130" s="256" t="n"/>
      <c r="L130" s="225">
        <f>IF(OR(A130="",K130="",C130="",NOT(ISNUMBER($U$5))),"",ROUND(K130*C130*$U$5,2))</f>
        <v/>
      </c>
      <c r="M130" s="256" t="n"/>
      <c r="N130" s="225">
        <f>IF(OR(A130="",M130="",C130="",NOT(ISNUMBER($U$6))),"",ROUND(M130*C130*$U$6,2))</f>
        <v/>
      </c>
      <c r="O130" s="231">
        <f>IF(A130="","",SUM(E130,G130,I130,K130,M130))</f>
        <v/>
      </c>
      <c r="P130" s="225">
        <f>IF(A130="","",SUM(F130,H130,J130,L130,N130))</f>
        <v/>
      </c>
      <c r="Q130" s="233">
        <f>IF(A130="","",IF(O130&gt;B130,"DIVERGENCIA: CONSUMO MAIOR QUE CONTRATADO","OK"))</f>
        <v/>
      </c>
      <c r="R130" s="36" t="n"/>
      <c r="S130" s="36" t="n"/>
      <c r="T130" s="36" t="n"/>
      <c r="U130" s="36" t="n"/>
      <c r="V130" s="36" t="n"/>
      <c r="W130" s="36" t="n"/>
    </row>
    <row r="131">
      <c r="A131" s="255" t="n"/>
      <c r="B131" s="256" t="n"/>
      <c r="C131" s="257" t="n"/>
      <c r="D131" s="225">
        <f>IF(OR(A131="",B131="",C131=""),"",ROUND(B131*C131,2))</f>
        <v/>
      </c>
      <c r="E131" s="256" t="n"/>
      <c r="F131" s="225">
        <f>IF(OR(A131="",E131="",C131="",NOT(ISNUMBER($U$2))),"",ROUND(E131*C131*$U$2,2))</f>
        <v/>
      </c>
      <c r="G131" s="256" t="n"/>
      <c r="H131" s="225">
        <f>IF(OR(A131="",G131="",C131="",NOT(ISNUMBER($U$3))),"",ROUND(G131*C131*$U$3,2))</f>
        <v/>
      </c>
      <c r="I131" s="256" t="n"/>
      <c r="J131" s="225">
        <f>IF(OR(A131="",I131="",C131="",NOT(ISNUMBER($U$4))),"",ROUND(I131*C131*$U$4,2))</f>
        <v/>
      </c>
      <c r="K131" s="256" t="n"/>
      <c r="L131" s="225">
        <f>IF(OR(A131="",K131="",C131="",NOT(ISNUMBER($U$5))),"",ROUND(K131*C131*$U$5,2))</f>
        <v/>
      </c>
      <c r="M131" s="256" t="n"/>
      <c r="N131" s="225">
        <f>IF(OR(A131="",M131="",C131="",NOT(ISNUMBER($U$6))),"",ROUND(M131*C131*$U$6,2))</f>
        <v/>
      </c>
      <c r="O131" s="231">
        <f>IF(A131="","",SUM(E131,G131,I131,K131,M131))</f>
        <v/>
      </c>
      <c r="P131" s="225">
        <f>IF(A131="","",SUM(F131,H131,J131,L131,N131))</f>
        <v/>
      </c>
      <c r="Q131" s="233">
        <f>IF(A131="","",IF(O131&gt;B131,"DIVERGENCIA: CONSUMO MAIOR QUE CONTRATADO","OK"))</f>
        <v/>
      </c>
      <c r="R131" s="36" t="n"/>
      <c r="S131" s="36" t="n"/>
      <c r="T131" s="36" t="n"/>
      <c r="U131" s="36" t="n"/>
      <c r="V131" s="36" t="n"/>
      <c r="W131" s="36" t="n"/>
    </row>
    <row r="132">
      <c r="A132" s="255" t="n"/>
      <c r="B132" s="256" t="n"/>
      <c r="C132" s="257" t="n"/>
      <c r="D132" s="225">
        <f>IF(OR(A132="",B132="",C132=""),"",ROUND(B132*C132,2))</f>
        <v/>
      </c>
      <c r="E132" s="256" t="n"/>
      <c r="F132" s="225">
        <f>IF(OR(A132="",E132="",C132="",NOT(ISNUMBER($U$2))),"",ROUND(E132*C132*$U$2,2))</f>
        <v/>
      </c>
      <c r="G132" s="256" t="n"/>
      <c r="H132" s="225">
        <f>IF(OR(A132="",G132="",C132="",NOT(ISNUMBER($U$3))),"",ROUND(G132*C132*$U$3,2))</f>
        <v/>
      </c>
      <c r="I132" s="256" t="n"/>
      <c r="J132" s="225">
        <f>IF(OR(A132="",I132="",C132="",NOT(ISNUMBER($U$4))),"",ROUND(I132*C132*$U$4,2))</f>
        <v/>
      </c>
      <c r="K132" s="256" t="n"/>
      <c r="L132" s="225">
        <f>IF(OR(A132="",K132="",C132="",NOT(ISNUMBER($U$5))),"",ROUND(K132*C132*$U$5,2))</f>
        <v/>
      </c>
      <c r="M132" s="256" t="n"/>
      <c r="N132" s="225">
        <f>IF(OR(A132="",M132="",C132="",NOT(ISNUMBER($U$6))),"",ROUND(M132*C132*$U$6,2))</f>
        <v/>
      </c>
      <c r="O132" s="231">
        <f>IF(A132="","",SUM(E132,G132,I132,K132,M132))</f>
        <v/>
      </c>
      <c r="P132" s="225">
        <f>IF(A132="","",SUM(F132,H132,J132,L132,N132))</f>
        <v/>
      </c>
      <c r="Q132" s="233">
        <f>IF(A132="","",IF(O132&gt;B132,"DIVERGENCIA: CONSUMO MAIOR QUE CONTRATADO","OK"))</f>
        <v/>
      </c>
      <c r="R132" s="36" t="n"/>
      <c r="S132" s="36" t="n"/>
      <c r="T132" s="36" t="n"/>
      <c r="U132" s="36" t="n"/>
      <c r="V132" s="36" t="n"/>
      <c r="W132" s="36" t="n"/>
    </row>
    <row r="133">
      <c r="A133" s="255" t="n"/>
      <c r="B133" s="256" t="n"/>
      <c r="C133" s="257" t="n"/>
      <c r="D133" s="225">
        <f>IF(OR(A133="",B133="",C133=""),"",ROUND(B133*C133,2))</f>
        <v/>
      </c>
      <c r="E133" s="256" t="n"/>
      <c r="F133" s="225">
        <f>IF(OR(A133="",E133="",C133="",NOT(ISNUMBER($U$2))),"",ROUND(E133*C133*$U$2,2))</f>
        <v/>
      </c>
      <c r="G133" s="256" t="n"/>
      <c r="H133" s="225">
        <f>IF(OR(A133="",G133="",C133="",NOT(ISNUMBER($U$3))),"",ROUND(G133*C133*$U$3,2))</f>
        <v/>
      </c>
      <c r="I133" s="256" t="n"/>
      <c r="J133" s="225">
        <f>IF(OR(A133="",I133="",C133="",NOT(ISNUMBER($U$4))),"",ROUND(I133*C133*$U$4,2))</f>
        <v/>
      </c>
      <c r="K133" s="256" t="n"/>
      <c r="L133" s="225">
        <f>IF(OR(A133="",K133="",C133="",NOT(ISNUMBER($U$5))),"",ROUND(K133*C133*$U$5,2))</f>
        <v/>
      </c>
      <c r="M133" s="256" t="n"/>
      <c r="N133" s="225">
        <f>IF(OR(A133="",M133="",C133="",NOT(ISNUMBER($U$6))),"",ROUND(M133*C133*$U$6,2))</f>
        <v/>
      </c>
      <c r="O133" s="231">
        <f>IF(A133="","",SUM(E133,G133,I133,K133,M133))</f>
        <v/>
      </c>
      <c r="P133" s="225">
        <f>IF(A133="","",SUM(F133,H133,J133,L133,N133))</f>
        <v/>
      </c>
      <c r="Q133" s="233">
        <f>IF(A133="","",IF(O133&gt;B133,"DIVERGENCIA: CONSUMO MAIOR QUE CONTRATADO","OK"))</f>
        <v/>
      </c>
      <c r="R133" s="36" t="n"/>
      <c r="S133" s="36" t="n"/>
      <c r="T133" s="36" t="n"/>
      <c r="U133" s="36" t="n"/>
      <c r="V133" s="36" t="n"/>
      <c r="W133" s="36" t="n"/>
    </row>
    <row r="134">
      <c r="A134" s="255" t="n"/>
      <c r="B134" s="256" t="n"/>
      <c r="C134" s="257" t="n"/>
      <c r="D134" s="225">
        <f>IF(OR(A134="",B134="",C134=""),"",ROUND(B134*C134,2))</f>
        <v/>
      </c>
      <c r="E134" s="256" t="n"/>
      <c r="F134" s="225">
        <f>IF(OR(A134="",E134="",C134="",NOT(ISNUMBER($U$2))),"",ROUND(E134*C134*$U$2,2))</f>
        <v/>
      </c>
      <c r="G134" s="256" t="n"/>
      <c r="H134" s="225">
        <f>IF(OR(A134="",G134="",C134="",NOT(ISNUMBER($U$3))),"",ROUND(G134*C134*$U$3,2))</f>
        <v/>
      </c>
      <c r="I134" s="256" t="n"/>
      <c r="J134" s="225">
        <f>IF(OR(A134="",I134="",C134="",NOT(ISNUMBER($U$4))),"",ROUND(I134*C134*$U$4,2))</f>
        <v/>
      </c>
      <c r="K134" s="256" t="n"/>
      <c r="L134" s="225">
        <f>IF(OR(A134="",K134="",C134="",NOT(ISNUMBER($U$5))),"",ROUND(K134*C134*$U$5,2))</f>
        <v/>
      </c>
      <c r="M134" s="256" t="n"/>
      <c r="N134" s="225">
        <f>IF(OR(A134="",M134="",C134="",NOT(ISNUMBER($U$6))),"",ROUND(M134*C134*$U$6,2))</f>
        <v/>
      </c>
      <c r="O134" s="231">
        <f>IF(A134="","",SUM(E134,G134,I134,K134,M134))</f>
        <v/>
      </c>
      <c r="P134" s="225">
        <f>IF(A134="","",SUM(F134,H134,J134,L134,N134))</f>
        <v/>
      </c>
      <c r="Q134" s="233">
        <f>IF(A134="","",IF(O134&gt;B134,"DIVERGENCIA: CONSUMO MAIOR QUE CONTRATADO","OK"))</f>
        <v/>
      </c>
      <c r="R134" s="36" t="n"/>
      <c r="S134" s="36" t="n"/>
      <c r="T134" s="36" t="n"/>
      <c r="U134" s="36" t="n"/>
      <c r="V134" s="36" t="n"/>
      <c r="W134" s="36" t="n"/>
    </row>
    <row r="135">
      <c r="A135" s="255" t="n"/>
      <c r="B135" s="256" t="n"/>
      <c r="C135" s="257" t="n"/>
      <c r="D135" s="225">
        <f>IF(OR(A135="",B135="",C135=""),"",ROUND(B135*C135,2))</f>
        <v/>
      </c>
      <c r="E135" s="256" t="n"/>
      <c r="F135" s="225">
        <f>IF(OR(A135="",E135="",C135="",NOT(ISNUMBER($U$2))),"",ROUND(E135*C135*$U$2,2))</f>
        <v/>
      </c>
      <c r="G135" s="256" t="n"/>
      <c r="H135" s="225">
        <f>IF(OR(A135="",G135="",C135="",NOT(ISNUMBER($U$3))),"",ROUND(G135*C135*$U$3,2))</f>
        <v/>
      </c>
      <c r="I135" s="256" t="n"/>
      <c r="J135" s="225">
        <f>IF(OR(A135="",I135="",C135="",NOT(ISNUMBER($U$4))),"",ROUND(I135*C135*$U$4,2))</f>
        <v/>
      </c>
      <c r="K135" s="256" t="n"/>
      <c r="L135" s="225">
        <f>IF(OR(A135="",K135="",C135="",NOT(ISNUMBER($U$5))),"",ROUND(K135*C135*$U$5,2))</f>
        <v/>
      </c>
      <c r="M135" s="256" t="n"/>
      <c r="N135" s="225">
        <f>IF(OR(A135="",M135="",C135="",NOT(ISNUMBER($U$6))),"",ROUND(M135*C135*$U$6,2))</f>
        <v/>
      </c>
      <c r="O135" s="231">
        <f>IF(A135="","",SUM(E135,G135,I135,K135,M135))</f>
        <v/>
      </c>
      <c r="P135" s="225">
        <f>IF(A135="","",SUM(F135,H135,J135,L135,N135))</f>
        <v/>
      </c>
      <c r="Q135" s="233">
        <f>IF(A135="","",IF(O135&gt;B135,"DIVERGENCIA: CONSUMO MAIOR QUE CONTRATADO","OK"))</f>
        <v/>
      </c>
      <c r="R135" s="36" t="n"/>
      <c r="S135" s="36" t="n"/>
      <c r="T135" s="36" t="n"/>
      <c r="U135" s="36" t="n"/>
      <c r="V135" s="36" t="n"/>
      <c r="W135" s="36" t="n"/>
    </row>
    <row r="136">
      <c r="A136" s="255" t="n"/>
      <c r="B136" s="256" t="n"/>
      <c r="C136" s="257" t="n"/>
      <c r="D136" s="225">
        <f>IF(OR(A136="",B136="",C136=""),"",ROUND(B136*C136,2))</f>
        <v/>
      </c>
      <c r="E136" s="256" t="n"/>
      <c r="F136" s="225">
        <f>IF(OR(A136="",E136="",C136="",NOT(ISNUMBER($U$2))),"",ROUND(E136*C136*$U$2,2))</f>
        <v/>
      </c>
      <c r="G136" s="256" t="n"/>
      <c r="H136" s="225">
        <f>IF(OR(A136="",G136="",C136="",NOT(ISNUMBER($U$3))),"",ROUND(G136*C136*$U$3,2))</f>
        <v/>
      </c>
      <c r="I136" s="256" t="n"/>
      <c r="J136" s="225">
        <f>IF(OR(A136="",I136="",C136="",NOT(ISNUMBER($U$4))),"",ROUND(I136*C136*$U$4,2))</f>
        <v/>
      </c>
      <c r="K136" s="256" t="n"/>
      <c r="L136" s="225">
        <f>IF(OR(A136="",K136="",C136="",NOT(ISNUMBER($U$5))),"",ROUND(K136*C136*$U$5,2))</f>
        <v/>
      </c>
      <c r="M136" s="256" t="n"/>
      <c r="N136" s="225">
        <f>IF(OR(A136="",M136="",C136="",NOT(ISNUMBER($U$6))),"",ROUND(M136*C136*$U$6,2))</f>
        <v/>
      </c>
      <c r="O136" s="231">
        <f>IF(A136="","",SUM(E136,G136,I136,K136,M136))</f>
        <v/>
      </c>
      <c r="P136" s="225">
        <f>IF(A136="","",SUM(F136,H136,J136,L136,N136))</f>
        <v/>
      </c>
      <c r="Q136" s="233">
        <f>IF(A136="","",IF(O136&gt;B136,"DIVERGENCIA: CONSUMO MAIOR QUE CONTRATADO","OK"))</f>
        <v/>
      </c>
      <c r="R136" s="36" t="n"/>
      <c r="S136" s="36" t="n"/>
      <c r="T136" s="36" t="n"/>
      <c r="U136" s="36" t="n"/>
      <c r="V136" s="36" t="n"/>
      <c r="W136" s="36" t="n"/>
    </row>
    <row r="137">
      <c r="A137" s="255" t="n"/>
      <c r="B137" s="256" t="n"/>
      <c r="C137" s="257" t="n"/>
      <c r="D137" s="225">
        <f>IF(OR(A137="",B137="",C137=""),"",ROUND(B137*C137,2))</f>
        <v/>
      </c>
      <c r="E137" s="256" t="n"/>
      <c r="F137" s="225">
        <f>IF(OR(A137="",E137="",C137="",NOT(ISNUMBER($U$2))),"",ROUND(E137*C137*$U$2,2))</f>
        <v/>
      </c>
      <c r="G137" s="256" t="n"/>
      <c r="H137" s="225">
        <f>IF(OR(A137="",G137="",C137="",NOT(ISNUMBER($U$3))),"",ROUND(G137*C137*$U$3,2))</f>
        <v/>
      </c>
      <c r="I137" s="256" t="n"/>
      <c r="J137" s="225">
        <f>IF(OR(A137="",I137="",C137="",NOT(ISNUMBER($U$4))),"",ROUND(I137*C137*$U$4,2))</f>
        <v/>
      </c>
      <c r="K137" s="256" t="n"/>
      <c r="L137" s="225">
        <f>IF(OR(A137="",K137="",C137="",NOT(ISNUMBER($U$5))),"",ROUND(K137*C137*$U$5,2))</f>
        <v/>
      </c>
      <c r="M137" s="256" t="n"/>
      <c r="N137" s="225">
        <f>IF(OR(A137="",M137="",C137="",NOT(ISNUMBER($U$6))),"",ROUND(M137*C137*$U$6,2))</f>
        <v/>
      </c>
      <c r="O137" s="231">
        <f>IF(A137="","",SUM(E137,G137,I137,K137,M137))</f>
        <v/>
      </c>
      <c r="P137" s="225">
        <f>IF(A137="","",SUM(F137,H137,J137,L137,N137))</f>
        <v/>
      </c>
      <c r="Q137" s="233">
        <f>IF(A137="","",IF(O137&gt;B137,"DIVERGENCIA: CONSUMO MAIOR QUE CONTRATADO","OK"))</f>
        <v/>
      </c>
      <c r="R137" s="36" t="n"/>
      <c r="S137" s="36" t="n"/>
      <c r="T137" s="36" t="n"/>
      <c r="U137" s="36" t="n"/>
      <c r="V137" s="36" t="n"/>
      <c r="W137" s="36" t="n"/>
    </row>
    <row r="138">
      <c r="A138" s="255" t="n"/>
      <c r="B138" s="256" t="n"/>
      <c r="C138" s="257" t="n"/>
      <c r="D138" s="225">
        <f>IF(OR(A138="",B138="",C138=""),"",ROUND(B138*C138,2))</f>
        <v/>
      </c>
      <c r="E138" s="256" t="n"/>
      <c r="F138" s="225">
        <f>IF(OR(A138="",E138="",C138="",NOT(ISNUMBER($U$2))),"",ROUND(E138*C138*$U$2,2))</f>
        <v/>
      </c>
      <c r="G138" s="256" t="n"/>
      <c r="H138" s="225">
        <f>IF(OR(A138="",G138="",C138="",NOT(ISNUMBER($U$3))),"",ROUND(G138*C138*$U$3,2))</f>
        <v/>
      </c>
      <c r="I138" s="256" t="n"/>
      <c r="J138" s="225">
        <f>IF(OR(A138="",I138="",C138="",NOT(ISNUMBER($U$4))),"",ROUND(I138*C138*$U$4,2))</f>
        <v/>
      </c>
      <c r="K138" s="256" t="n"/>
      <c r="L138" s="225">
        <f>IF(OR(A138="",K138="",C138="",NOT(ISNUMBER($U$5))),"",ROUND(K138*C138*$U$5,2))</f>
        <v/>
      </c>
      <c r="M138" s="256" t="n"/>
      <c r="N138" s="225">
        <f>IF(OR(A138="",M138="",C138="",NOT(ISNUMBER($U$6))),"",ROUND(M138*C138*$U$6,2))</f>
        <v/>
      </c>
      <c r="O138" s="231">
        <f>IF(A138="","",SUM(E138,G138,I138,K138,M138))</f>
        <v/>
      </c>
      <c r="P138" s="225">
        <f>IF(A138="","",SUM(F138,H138,J138,L138,N138))</f>
        <v/>
      </c>
      <c r="Q138" s="233">
        <f>IF(A138="","",IF(O138&gt;B138,"DIVERGENCIA: CONSUMO MAIOR QUE CONTRATADO","OK"))</f>
        <v/>
      </c>
      <c r="R138" s="36" t="n"/>
      <c r="S138" s="36" t="n"/>
      <c r="T138" s="36" t="n"/>
      <c r="U138" s="36" t="n"/>
      <c r="V138" s="36" t="n"/>
      <c r="W138" s="36" t="n"/>
    </row>
    <row r="139">
      <c r="A139" s="255" t="n"/>
      <c r="B139" s="256" t="n"/>
      <c r="C139" s="257" t="n"/>
      <c r="D139" s="225">
        <f>IF(OR(A139="",B139="",C139=""),"",ROUND(B139*C139,2))</f>
        <v/>
      </c>
      <c r="E139" s="256" t="n"/>
      <c r="F139" s="225">
        <f>IF(OR(A139="",E139="",C139="",NOT(ISNUMBER($U$2))),"",ROUND(E139*C139*$U$2,2))</f>
        <v/>
      </c>
      <c r="G139" s="256" t="n"/>
      <c r="H139" s="225">
        <f>IF(OR(A139="",G139="",C139="",NOT(ISNUMBER($U$3))),"",ROUND(G139*C139*$U$3,2))</f>
        <v/>
      </c>
      <c r="I139" s="256" t="n"/>
      <c r="J139" s="225">
        <f>IF(OR(A139="",I139="",C139="",NOT(ISNUMBER($U$4))),"",ROUND(I139*C139*$U$4,2))</f>
        <v/>
      </c>
      <c r="K139" s="256" t="n"/>
      <c r="L139" s="225">
        <f>IF(OR(A139="",K139="",C139="",NOT(ISNUMBER($U$5))),"",ROUND(K139*C139*$U$5,2))</f>
        <v/>
      </c>
      <c r="M139" s="256" t="n"/>
      <c r="N139" s="225">
        <f>IF(OR(A139="",M139="",C139="",NOT(ISNUMBER($U$6))),"",ROUND(M139*C139*$U$6,2))</f>
        <v/>
      </c>
      <c r="O139" s="231">
        <f>IF(A139="","",SUM(E139,G139,I139,K139,M139))</f>
        <v/>
      </c>
      <c r="P139" s="225">
        <f>IF(A139="","",SUM(F139,H139,J139,L139,N139))</f>
        <v/>
      </c>
      <c r="Q139" s="233">
        <f>IF(A139="","",IF(O139&gt;B139,"DIVERGENCIA: CONSUMO MAIOR QUE CONTRATADO","OK"))</f>
        <v/>
      </c>
      <c r="R139" s="36" t="n"/>
      <c r="S139" s="36" t="n"/>
      <c r="T139" s="36" t="n"/>
      <c r="U139" s="36" t="n"/>
      <c r="V139" s="36" t="n"/>
      <c r="W139" s="36" t="n"/>
    </row>
    <row r="140">
      <c r="A140" s="255" t="n"/>
      <c r="B140" s="256" t="n"/>
      <c r="C140" s="257" t="n"/>
      <c r="D140" s="225">
        <f>IF(OR(A140="",B140="",C140=""),"",ROUND(B140*C140,2))</f>
        <v/>
      </c>
      <c r="E140" s="256" t="n"/>
      <c r="F140" s="225">
        <f>IF(OR(A140="",E140="",C140="",NOT(ISNUMBER($U$2))),"",ROUND(E140*C140*$U$2,2))</f>
        <v/>
      </c>
      <c r="G140" s="256" t="n"/>
      <c r="H140" s="225">
        <f>IF(OR(A140="",G140="",C140="",NOT(ISNUMBER($U$3))),"",ROUND(G140*C140*$U$3,2))</f>
        <v/>
      </c>
      <c r="I140" s="256" t="n"/>
      <c r="J140" s="225">
        <f>IF(OR(A140="",I140="",C140="",NOT(ISNUMBER($U$4))),"",ROUND(I140*C140*$U$4,2))</f>
        <v/>
      </c>
      <c r="K140" s="256" t="n"/>
      <c r="L140" s="225">
        <f>IF(OR(A140="",K140="",C140="",NOT(ISNUMBER($U$5))),"",ROUND(K140*C140*$U$5,2))</f>
        <v/>
      </c>
      <c r="M140" s="256" t="n"/>
      <c r="N140" s="225">
        <f>IF(OR(A140="",M140="",C140="",NOT(ISNUMBER($U$6))),"",ROUND(M140*C140*$U$6,2))</f>
        <v/>
      </c>
      <c r="O140" s="231">
        <f>IF(A140="","",SUM(E140,G140,I140,K140,M140))</f>
        <v/>
      </c>
      <c r="P140" s="225">
        <f>IF(A140="","",SUM(F140,H140,J140,L140,N140))</f>
        <v/>
      </c>
      <c r="Q140" s="233">
        <f>IF(A140="","",IF(O140&gt;B140,"DIVERGENCIA: CONSUMO MAIOR QUE CONTRATADO","OK"))</f>
        <v/>
      </c>
      <c r="R140" s="36" t="n"/>
      <c r="S140" s="36" t="n"/>
      <c r="T140" s="36" t="n"/>
      <c r="U140" s="36" t="n"/>
      <c r="V140" s="36" t="n"/>
      <c r="W140" s="36" t="n"/>
    </row>
    <row r="141">
      <c r="A141" s="255" t="n"/>
      <c r="B141" s="256" t="n"/>
      <c r="C141" s="257" t="n"/>
      <c r="D141" s="225">
        <f>IF(OR(A141="",B141="",C141=""),"",ROUND(B141*C141,2))</f>
        <v/>
      </c>
      <c r="E141" s="256" t="n"/>
      <c r="F141" s="225">
        <f>IF(OR(A141="",E141="",C141="",NOT(ISNUMBER($U$2))),"",ROUND(E141*C141*$U$2,2))</f>
        <v/>
      </c>
      <c r="G141" s="256" t="n"/>
      <c r="H141" s="225">
        <f>IF(OR(A141="",G141="",C141="",NOT(ISNUMBER($U$3))),"",ROUND(G141*C141*$U$3,2))</f>
        <v/>
      </c>
      <c r="I141" s="256" t="n"/>
      <c r="J141" s="225">
        <f>IF(OR(A141="",I141="",C141="",NOT(ISNUMBER($U$4))),"",ROUND(I141*C141*$U$4,2))</f>
        <v/>
      </c>
      <c r="K141" s="256" t="n"/>
      <c r="L141" s="225">
        <f>IF(OR(A141="",K141="",C141="",NOT(ISNUMBER($U$5))),"",ROUND(K141*C141*$U$5,2))</f>
        <v/>
      </c>
      <c r="M141" s="256" t="n"/>
      <c r="N141" s="225">
        <f>IF(OR(A141="",M141="",C141="",NOT(ISNUMBER($U$6))),"",ROUND(M141*C141*$U$6,2))</f>
        <v/>
      </c>
      <c r="O141" s="231">
        <f>IF(A141="","",SUM(E141,G141,I141,K141,M141))</f>
        <v/>
      </c>
      <c r="P141" s="225">
        <f>IF(A141="","",SUM(F141,H141,J141,L141,N141))</f>
        <v/>
      </c>
      <c r="Q141" s="233">
        <f>IF(A141="","",IF(O141&gt;B141,"DIVERGENCIA: CONSUMO MAIOR QUE CONTRATADO","OK"))</f>
        <v/>
      </c>
      <c r="R141" s="36" t="n"/>
      <c r="S141" s="36" t="n"/>
      <c r="T141" s="36" t="n"/>
      <c r="U141" s="36" t="n"/>
      <c r="V141" s="36" t="n"/>
      <c r="W141" s="36" t="n"/>
    </row>
    <row r="142">
      <c r="A142" s="255" t="n"/>
      <c r="B142" s="256" t="n"/>
      <c r="C142" s="257" t="n"/>
      <c r="D142" s="225">
        <f>IF(OR(A142="",B142="",C142=""),"",ROUND(B142*C142,2))</f>
        <v/>
      </c>
      <c r="E142" s="256" t="n"/>
      <c r="F142" s="225">
        <f>IF(OR(A142="",E142="",C142="",NOT(ISNUMBER($U$2))),"",ROUND(E142*C142*$U$2,2))</f>
        <v/>
      </c>
      <c r="G142" s="256" t="n"/>
      <c r="H142" s="225">
        <f>IF(OR(A142="",G142="",C142="",NOT(ISNUMBER($U$3))),"",ROUND(G142*C142*$U$3,2))</f>
        <v/>
      </c>
      <c r="I142" s="256" t="n"/>
      <c r="J142" s="225">
        <f>IF(OR(A142="",I142="",C142="",NOT(ISNUMBER($U$4))),"",ROUND(I142*C142*$U$4,2))</f>
        <v/>
      </c>
      <c r="K142" s="256" t="n"/>
      <c r="L142" s="225">
        <f>IF(OR(A142="",K142="",C142="",NOT(ISNUMBER($U$5))),"",ROUND(K142*C142*$U$5,2))</f>
        <v/>
      </c>
      <c r="M142" s="256" t="n"/>
      <c r="N142" s="225">
        <f>IF(OR(A142="",M142="",C142="",NOT(ISNUMBER($U$6))),"",ROUND(M142*C142*$U$6,2))</f>
        <v/>
      </c>
      <c r="O142" s="231">
        <f>IF(A142="","",SUM(E142,G142,I142,K142,M142))</f>
        <v/>
      </c>
      <c r="P142" s="225">
        <f>IF(A142="","",SUM(F142,H142,J142,L142,N142))</f>
        <v/>
      </c>
      <c r="Q142" s="233">
        <f>IF(A142="","",IF(O142&gt;B142,"DIVERGENCIA: CONSUMO MAIOR QUE CONTRATADO","OK"))</f>
        <v/>
      </c>
      <c r="R142" s="36" t="n"/>
      <c r="S142" s="36" t="n"/>
      <c r="T142" s="36" t="n"/>
      <c r="U142" s="36" t="n"/>
      <c r="V142" s="36" t="n"/>
      <c r="W142" s="36" t="n"/>
    </row>
    <row r="143">
      <c r="A143" s="255" t="n"/>
      <c r="B143" s="256" t="n"/>
      <c r="C143" s="257" t="n"/>
      <c r="D143" s="225">
        <f>IF(OR(A143="",B143="",C143=""),"",ROUND(B143*C143,2))</f>
        <v/>
      </c>
      <c r="E143" s="256" t="n"/>
      <c r="F143" s="225">
        <f>IF(OR(A143="",E143="",C143="",NOT(ISNUMBER($U$2))),"",ROUND(E143*C143*$U$2,2))</f>
        <v/>
      </c>
      <c r="G143" s="256" t="n"/>
      <c r="H143" s="225">
        <f>IF(OR(A143="",G143="",C143="",NOT(ISNUMBER($U$3))),"",ROUND(G143*C143*$U$3,2))</f>
        <v/>
      </c>
      <c r="I143" s="256" t="n"/>
      <c r="J143" s="225">
        <f>IF(OR(A143="",I143="",C143="",NOT(ISNUMBER($U$4))),"",ROUND(I143*C143*$U$4,2))</f>
        <v/>
      </c>
      <c r="K143" s="256" t="n"/>
      <c r="L143" s="225">
        <f>IF(OR(A143="",K143="",C143="",NOT(ISNUMBER($U$5))),"",ROUND(K143*C143*$U$5,2))</f>
        <v/>
      </c>
      <c r="M143" s="256" t="n"/>
      <c r="N143" s="225">
        <f>IF(OR(A143="",M143="",C143="",NOT(ISNUMBER($U$6))),"",ROUND(M143*C143*$U$6,2))</f>
        <v/>
      </c>
      <c r="O143" s="231">
        <f>IF(A143="","",SUM(E143,G143,I143,K143,M143))</f>
        <v/>
      </c>
      <c r="P143" s="225">
        <f>IF(A143="","",SUM(F143,H143,J143,L143,N143))</f>
        <v/>
      </c>
      <c r="Q143" s="233">
        <f>IF(A143="","",IF(O143&gt;B143,"DIVERGENCIA: CONSUMO MAIOR QUE CONTRATADO","OK"))</f>
        <v/>
      </c>
      <c r="R143" s="36" t="n"/>
      <c r="S143" s="36" t="n"/>
      <c r="T143" s="36" t="n"/>
      <c r="U143" s="36" t="n"/>
      <c r="V143" s="36" t="n"/>
      <c r="W143" s="36" t="n"/>
    </row>
    <row r="144">
      <c r="A144" s="255" t="n"/>
      <c r="B144" s="256" t="n"/>
      <c r="C144" s="257" t="n"/>
      <c r="D144" s="225">
        <f>IF(OR(A144="",B144="",C144=""),"",ROUND(B144*C144,2))</f>
        <v/>
      </c>
      <c r="E144" s="256" t="n"/>
      <c r="F144" s="225">
        <f>IF(OR(A144="",E144="",C144="",NOT(ISNUMBER($U$2))),"",ROUND(E144*C144*$U$2,2))</f>
        <v/>
      </c>
      <c r="G144" s="256" t="n"/>
      <c r="H144" s="225">
        <f>IF(OR(A144="",G144="",C144="",NOT(ISNUMBER($U$3))),"",ROUND(G144*C144*$U$3,2))</f>
        <v/>
      </c>
      <c r="I144" s="256" t="n"/>
      <c r="J144" s="225">
        <f>IF(OR(A144="",I144="",C144="",NOT(ISNUMBER($U$4))),"",ROUND(I144*C144*$U$4,2))</f>
        <v/>
      </c>
      <c r="K144" s="256" t="n"/>
      <c r="L144" s="225">
        <f>IF(OR(A144="",K144="",C144="",NOT(ISNUMBER($U$5))),"",ROUND(K144*C144*$U$5,2))</f>
        <v/>
      </c>
      <c r="M144" s="256" t="n"/>
      <c r="N144" s="225">
        <f>IF(OR(A144="",M144="",C144="",NOT(ISNUMBER($U$6))),"",ROUND(M144*C144*$U$6,2))</f>
        <v/>
      </c>
      <c r="O144" s="231">
        <f>IF(A144="","",SUM(E144,G144,I144,K144,M144))</f>
        <v/>
      </c>
      <c r="P144" s="225">
        <f>IF(A144="","",SUM(F144,H144,J144,L144,N144))</f>
        <v/>
      </c>
      <c r="Q144" s="233">
        <f>IF(A144="","",IF(O144&gt;B144,"DIVERGENCIA: CONSUMO MAIOR QUE CONTRATADO","OK"))</f>
        <v/>
      </c>
      <c r="R144" s="36" t="n"/>
      <c r="S144" s="36" t="n"/>
      <c r="T144" s="36" t="n"/>
      <c r="U144" s="36" t="n"/>
      <c r="V144" s="36" t="n"/>
      <c r="W144" s="36" t="n"/>
    </row>
    <row r="145">
      <c r="A145" s="255" t="n"/>
      <c r="B145" s="256" t="n"/>
      <c r="C145" s="257" t="n"/>
      <c r="D145" s="225">
        <f>IF(OR(A145="",B145="",C145=""),"",ROUND(B145*C145,2))</f>
        <v/>
      </c>
      <c r="E145" s="256" t="n"/>
      <c r="F145" s="225">
        <f>IF(OR(A145="",E145="",C145="",NOT(ISNUMBER($U$2))),"",ROUND(E145*C145*$U$2,2))</f>
        <v/>
      </c>
      <c r="G145" s="256" t="n"/>
      <c r="H145" s="225">
        <f>IF(OR(A145="",G145="",C145="",NOT(ISNUMBER($U$3))),"",ROUND(G145*C145*$U$3,2))</f>
        <v/>
      </c>
      <c r="I145" s="256" t="n"/>
      <c r="J145" s="225">
        <f>IF(OR(A145="",I145="",C145="",NOT(ISNUMBER($U$4))),"",ROUND(I145*C145*$U$4,2))</f>
        <v/>
      </c>
      <c r="K145" s="256" t="n"/>
      <c r="L145" s="225">
        <f>IF(OR(A145="",K145="",C145="",NOT(ISNUMBER($U$5))),"",ROUND(K145*C145*$U$5,2))</f>
        <v/>
      </c>
      <c r="M145" s="256" t="n"/>
      <c r="N145" s="225">
        <f>IF(OR(A145="",M145="",C145="",NOT(ISNUMBER($U$6))),"",ROUND(M145*C145*$U$6,2))</f>
        <v/>
      </c>
      <c r="O145" s="231">
        <f>IF(A145="","",SUM(E145,G145,I145,K145,M145))</f>
        <v/>
      </c>
      <c r="P145" s="225">
        <f>IF(A145="","",SUM(F145,H145,J145,L145,N145))</f>
        <v/>
      </c>
      <c r="Q145" s="233">
        <f>IF(A145="","",IF(O145&gt;B145,"DIVERGENCIA: CONSUMO MAIOR QUE CONTRATADO","OK"))</f>
        <v/>
      </c>
      <c r="R145" s="36" t="n"/>
      <c r="S145" s="36" t="n"/>
      <c r="T145" s="36" t="n"/>
      <c r="U145" s="36" t="n"/>
      <c r="V145" s="36" t="n"/>
      <c r="W145" s="36" t="n"/>
    </row>
    <row r="146">
      <c r="A146" s="255" t="n"/>
      <c r="B146" s="256" t="n"/>
      <c r="C146" s="257" t="n"/>
      <c r="D146" s="225">
        <f>IF(OR(A146="",B146="",C146=""),"",ROUND(B146*C146,2))</f>
        <v/>
      </c>
      <c r="E146" s="256" t="n"/>
      <c r="F146" s="225">
        <f>IF(OR(A146="",E146="",C146="",NOT(ISNUMBER($U$2))),"",ROUND(E146*C146*$U$2,2))</f>
        <v/>
      </c>
      <c r="G146" s="256" t="n"/>
      <c r="H146" s="225">
        <f>IF(OR(A146="",G146="",C146="",NOT(ISNUMBER($U$3))),"",ROUND(G146*C146*$U$3,2))</f>
        <v/>
      </c>
      <c r="I146" s="256" t="n"/>
      <c r="J146" s="225">
        <f>IF(OR(A146="",I146="",C146="",NOT(ISNUMBER($U$4))),"",ROUND(I146*C146*$U$4,2))</f>
        <v/>
      </c>
      <c r="K146" s="256" t="n"/>
      <c r="L146" s="225">
        <f>IF(OR(A146="",K146="",C146="",NOT(ISNUMBER($U$5))),"",ROUND(K146*C146*$U$5,2))</f>
        <v/>
      </c>
      <c r="M146" s="256" t="n"/>
      <c r="N146" s="225">
        <f>IF(OR(A146="",M146="",C146="",NOT(ISNUMBER($U$6))),"",ROUND(M146*C146*$U$6,2))</f>
        <v/>
      </c>
      <c r="O146" s="231">
        <f>IF(A146="","",SUM(E146,G146,I146,K146,M146))</f>
        <v/>
      </c>
      <c r="P146" s="225">
        <f>IF(A146="","",SUM(F146,H146,J146,L146,N146))</f>
        <v/>
      </c>
      <c r="Q146" s="233">
        <f>IF(A146="","",IF(O146&gt;B146,"DIVERGENCIA: CONSUMO MAIOR QUE CONTRATADO","OK"))</f>
        <v/>
      </c>
      <c r="R146" s="36" t="n"/>
      <c r="S146" s="36" t="n"/>
      <c r="T146" s="36" t="n"/>
      <c r="U146" s="36" t="n"/>
      <c r="V146" s="36" t="n"/>
      <c r="W146" s="36" t="n"/>
    </row>
    <row r="147">
      <c r="A147" s="255" t="n"/>
      <c r="B147" s="256" t="n"/>
      <c r="C147" s="257" t="n"/>
      <c r="D147" s="225">
        <f>IF(OR(A147="",B147="",C147=""),"",ROUND(B147*C147,2))</f>
        <v/>
      </c>
      <c r="E147" s="256" t="n"/>
      <c r="F147" s="225">
        <f>IF(OR(A147="",E147="",C147="",NOT(ISNUMBER($U$2))),"",ROUND(E147*C147*$U$2,2))</f>
        <v/>
      </c>
      <c r="G147" s="256" t="n"/>
      <c r="H147" s="225">
        <f>IF(OR(A147="",G147="",C147="",NOT(ISNUMBER($U$3))),"",ROUND(G147*C147*$U$3,2))</f>
        <v/>
      </c>
      <c r="I147" s="256" t="n"/>
      <c r="J147" s="225">
        <f>IF(OR(A147="",I147="",C147="",NOT(ISNUMBER($U$4))),"",ROUND(I147*C147*$U$4,2))</f>
        <v/>
      </c>
      <c r="K147" s="256" t="n"/>
      <c r="L147" s="225">
        <f>IF(OR(A147="",K147="",C147="",NOT(ISNUMBER($U$5))),"",ROUND(K147*C147*$U$5,2))</f>
        <v/>
      </c>
      <c r="M147" s="256" t="n"/>
      <c r="N147" s="225">
        <f>IF(OR(A147="",M147="",C147="",NOT(ISNUMBER($U$6))),"",ROUND(M147*C147*$U$6,2))</f>
        <v/>
      </c>
      <c r="O147" s="231">
        <f>IF(A147="","",SUM(E147,G147,I147,K147,M147))</f>
        <v/>
      </c>
      <c r="P147" s="225">
        <f>IF(A147="","",SUM(F147,H147,J147,L147,N147))</f>
        <v/>
      </c>
      <c r="Q147" s="233">
        <f>IF(A147="","",IF(O147&gt;B147,"DIVERGENCIA: CONSUMO MAIOR QUE CONTRATADO","OK"))</f>
        <v/>
      </c>
      <c r="R147" s="36" t="n"/>
      <c r="S147" s="36" t="n"/>
      <c r="T147" s="36" t="n"/>
      <c r="U147" s="36" t="n"/>
      <c r="V147" s="36" t="n"/>
      <c r="W147" s="36" t="n"/>
    </row>
    <row r="148">
      <c r="A148" s="255" t="n"/>
      <c r="B148" s="256" t="n"/>
      <c r="C148" s="257" t="n"/>
      <c r="D148" s="225">
        <f>IF(OR(A148="",B148="",C148=""),"",ROUND(B148*C148,2))</f>
        <v/>
      </c>
      <c r="E148" s="256" t="n"/>
      <c r="F148" s="225">
        <f>IF(OR(A148="",E148="",C148="",NOT(ISNUMBER($U$2))),"",ROUND(E148*C148*$U$2,2))</f>
        <v/>
      </c>
      <c r="G148" s="256" t="n"/>
      <c r="H148" s="225">
        <f>IF(OR(A148="",G148="",C148="",NOT(ISNUMBER($U$3))),"",ROUND(G148*C148*$U$3,2))</f>
        <v/>
      </c>
      <c r="I148" s="256" t="n"/>
      <c r="J148" s="225">
        <f>IF(OR(A148="",I148="",C148="",NOT(ISNUMBER($U$4))),"",ROUND(I148*C148*$U$4,2))</f>
        <v/>
      </c>
      <c r="K148" s="256" t="n"/>
      <c r="L148" s="225">
        <f>IF(OR(A148="",K148="",C148="",NOT(ISNUMBER($U$5))),"",ROUND(K148*C148*$U$5,2))</f>
        <v/>
      </c>
      <c r="M148" s="256" t="n"/>
      <c r="N148" s="225">
        <f>IF(OR(A148="",M148="",C148="",NOT(ISNUMBER($U$6))),"",ROUND(M148*C148*$U$6,2))</f>
        <v/>
      </c>
      <c r="O148" s="231">
        <f>IF(A148="","",SUM(E148,G148,I148,K148,M148))</f>
        <v/>
      </c>
      <c r="P148" s="225">
        <f>IF(A148="","",SUM(F148,H148,J148,L148,N148))</f>
        <v/>
      </c>
      <c r="Q148" s="233">
        <f>IF(A148="","",IF(O148&gt;B148,"DIVERGENCIA: CONSUMO MAIOR QUE CONTRATADO","OK"))</f>
        <v/>
      </c>
      <c r="R148" s="36" t="n"/>
      <c r="S148" s="36" t="n"/>
      <c r="T148" s="36" t="n"/>
      <c r="U148" s="36" t="n"/>
      <c r="V148" s="36" t="n"/>
      <c r="W148" s="36" t="n"/>
    </row>
    <row r="149">
      <c r="A149" s="255" t="n"/>
      <c r="B149" s="256" t="n"/>
      <c r="C149" s="257" t="n"/>
      <c r="D149" s="225">
        <f>IF(OR(A149="",B149="",C149=""),"",ROUND(B149*C149,2))</f>
        <v/>
      </c>
      <c r="E149" s="256" t="n"/>
      <c r="F149" s="225">
        <f>IF(OR(A149="",E149="",C149="",NOT(ISNUMBER($U$2))),"",ROUND(E149*C149*$U$2,2))</f>
        <v/>
      </c>
      <c r="G149" s="256" t="n"/>
      <c r="H149" s="225">
        <f>IF(OR(A149="",G149="",C149="",NOT(ISNUMBER($U$3))),"",ROUND(G149*C149*$U$3,2))</f>
        <v/>
      </c>
      <c r="I149" s="256" t="n"/>
      <c r="J149" s="225">
        <f>IF(OR(A149="",I149="",C149="",NOT(ISNUMBER($U$4))),"",ROUND(I149*C149*$U$4,2))</f>
        <v/>
      </c>
      <c r="K149" s="256" t="n"/>
      <c r="L149" s="225">
        <f>IF(OR(A149="",K149="",C149="",NOT(ISNUMBER($U$5))),"",ROUND(K149*C149*$U$5,2))</f>
        <v/>
      </c>
      <c r="M149" s="256" t="n"/>
      <c r="N149" s="225">
        <f>IF(OR(A149="",M149="",C149="",NOT(ISNUMBER($U$6))),"",ROUND(M149*C149*$U$6,2))</f>
        <v/>
      </c>
      <c r="O149" s="231">
        <f>IF(A149="","",SUM(E149,G149,I149,K149,M149))</f>
        <v/>
      </c>
      <c r="P149" s="225">
        <f>IF(A149="","",SUM(F149,H149,J149,L149,N149))</f>
        <v/>
      </c>
      <c r="Q149" s="233">
        <f>IF(A149="","",IF(O149&gt;B149,"DIVERGENCIA: CONSUMO MAIOR QUE CONTRATADO","OK"))</f>
        <v/>
      </c>
      <c r="R149" s="36" t="n"/>
      <c r="S149" s="36" t="n"/>
      <c r="T149" s="36" t="n"/>
      <c r="U149" s="36" t="n"/>
      <c r="V149" s="36" t="n"/>
      <c r="W149" s="36" t="n"/>
    </row>
    <row r="150">
      <c r="A150" s="255" t="n"/>
      <c r="B150" s="256" t="n"/>
      <c r="C150" s="257" t="n"/>
      <c r="D150" s="225">
        <f>IF(OR(A150="",B150="",C150=""),"",ROUND(B150*C150,2))</f>
        <v/>
      </c>
      <c r="E150" s="256" t="n"/>
      <c r="F150" s="225">
        <f>IF(OR(A150="",E150="",C150="",NOT(ISNUMBER($U$2))),"",ROUND(E150*C150*$U$2,2))</f>
        <v/>
      </c>
      <c r="G150" s="256" t="n"/>
      <c r="H150" s="225">
        <f>IF(OR(A150="",G150="",C150="",NOT(ISNUMBER($U$3))),"",ROUND(G150*C150*$U$3,2))</f>
        <v/>
      </c>
      <c r="I150" s="256" t="n"/>
      <c r="J150" s="225">
        <f>IF(OR(A150="",I150="",C150="",NOT(ISNUMBER($U$4))),"",ROUND(I150*C150*$U$4,2))</f>
        <v/>
      </c>
      <c r="K150" s="256" t="n"/>
      <c r="L150" s="225">
        <f>IF(OR(A150="",K150="",C150="",NOT(ISNUMBER($U$5))),"",ROUND(K150*C150*$U$5,2))</f>
        <v/>
      </c>
      <c r="M150" s="256" t="n"/>
      <c r="N150" s="225">
        <f>IF(OR(A150="",M150="",C150="",NOT(ISNUMBER($U$6))),"",ROUND(M150*C150*$U$6,2))</f>
        <v/>
      </c>
      <c r="O150" s="231">
        <f>IF(A150="","",SUM(E150,G150,I150,K150,M150))</f>
        <v/>
      </c>
      <c r="P150" s="225">
        <f>IF(A150="","",SUM(F150,H150,J150,L150,N150))</f>
        <v/>
      </c>
      <c r="Q150" s="233">
        <f>IF(A150="","",IF(O150&gt;B150,"DIVERGENCIA: CONSUMO MAIOR QUE CONTRATADO","OK"))</f>
        <v/>
      </c>
      <c r="R150" s="36" t="n"/>
      <c r="S150" s="36" t="n"/>
      <c r="T150" s="36" t="n"/>
      <c r="U150" s="36" t="n"/>
      <c r="V150" s="36" t="n"/>
      <c r="W150" s="36" t="n"/>
    </row>
    <row r="151">
      <c r="A151" s="255" t="n"/>
      <c r="B151" s="256" t="n"/>
      <c r="C151" s="257" t="n"/>
      <c r="D151" s="225">
        <f>IF(OR(A151="",B151="",C151=""),"",ROUND(B151*C151,2))</f>
        <v/>
      </c>
      <c r="E151" s="256" t="n"/>
      <c r="F151" s="225">
        <f>IF(OR(A151="",E151="",C151="",NOT(ISNUMBER($U$2))),"",ROUND(E151*C151*$U$2,2))</f>
        <v/>
      </c>
      <c r="G151" s="256" t="n"/>
      <c r="H151" s="225">
        <f>IF(OR(A151="",G151="",C151="",NOT(ISNUMBER($U$3))),"",ROUND(G151*C151*$U$3,2))</f>
        <v/>
      </c>
      <c r="I151" s="256" t="n"/>
      <c r="J151" s="225">
        <f>IF(OR(A151="",I151="",C151="",NOT(ISNUMBER($U$4))),"",ROUND(I151*C151*$U$4,2))</f>
        <v/>
      </c>
      <c r="K151" s="256" t="n"/>
      <c r="L151" s="225">
        <f>IF(OR(A151="",K151="",C151="",NOT(ISNUMBER($U$5))),"",ROUND(K151*C151*$U$5,2))</f>
        <v/>
      </c>
      <c r="M151" s="256" t="n"/>
      <c r="N151" s="225">
        <f>IF(OR(A151="",M151="",C151="",NOT(ISNUMBER($U$6))),"",ROUND(M151*C151*$U$6,2))</f>
        <v/>
      </c>
      <c r="O151" s="231">
        <f>IF(A151="","",SUM(E151,G151,I151,K151,M151))</f>
        <v/>
      </c>
      <c r="P151" s="225">
        <f>IF(A151="","",SUM(F151,H151,J151,L151,N151))</f>
        <v/>
      </c>
      <c r="Q151" s="233">
        <f>IF(A151="","",IF(O151&gt;B151,"DIVERGENCIA: CONSUMO MAIOR QUE CONTRATADO","OK"))</f>
        <v/>
      </c>
      <c r="R151" s="36" t="n"/>
      <c r="S151" s="36" t="n"/>
      <c r="T151" s="36" t="n"/>
      <c r="U151" s="36" t="n"/>
      <c r="V151" s="36" t="n"/>
      <c r="W151" s="36" t="n"/>
    </row>
    <row r="152">
      <c r="A152" s="255" t="n"/>
      <c r="B152" s="256" t="n"/>
      <c r="C152" s="257" t="n"/>
      <c r="D152" s="225">
        <f>IF(OR(A152="",B152="",C152=""),"",ROUND(B152*C152,2))</f>
        <v/>
      </c>
      <c r="E152" s="256" t="n"/>
      <c r="F152" s="225">
        <f>IF(OR(A152="",E152="",C152="",NOT(ISNUMBER($U$2))),"",ROUND(E152*C152*$U$2,2))</f>
        <v/>
      </c>
      <c r="G152" s="256" t="n"/>
      <c r="H152" s="225">
        <f>IF(OR(A152="",G152="",C152="",NOT(ISNUMBER($U$3))),"",ROUND(G152*C152*$U$3,2))</f>
        <v/>
      </c>
      <c r="I152" s="256" t="n"/>
      <c r="J152" s="225">
        <f>IF(OR(A152="",I152="",C152="",NOT(ISNUMBER($U$4))),"",ROUND(I152*C152*$U$4,2))</f>
        <v/>
      </c>
      <c r="K152" s="256" t="n"/>
      <c r="L152" s="225">
        <f>IF(OR(A152="",K152="",C152="",NOT(ISNUMBER($U$5))),"",ROUND(K152*C152*$U$5,2))</f>
        <v/>
      </c>
      <c r="M152" s="256" t="n"/>
      <c r="N152" s="225">
        <f>IF(OR(A152="",M152="",C152="",NOT(ISNUMBER($U$6))),"",ROUND(M152*C152*$U$6,2))</f>
        <v/>
      </c>
      <c r="O152" s="231">
        <f>IF(A152="","",SUM(E152,G152,I152,K152,M152))</f>
        <v/>
      </c>
      <c r="P152" s="225">
        <f>IF(A152="","",SUM(F152,H152,J152,L152,N152))</f>
        <v/>
      </c>
      <c r="Q152" s="233">
        <f>IF(A152="","",IF(O152&gt;B152,"DIVERGENCIA: CONSUMO MAIOR QUE CONTRATADO","OK"))</f>
        <v/>
      </c>
      <c r="R152" s="36" t="n"/>
      <c r="S152" s="36" t="n"/>
      <c r="T152" s="36" t="n"/>
      <c r="U152" s="36" t="n"/>
      <c r="V152" s="36" t="n"/>
      <c r="W152" s="36" t="n"/>
    </row>
    <row r="153">
      <c r="A153" s="255" t="n"/>
      <c r="B153" s="256" t="n"/>
      <c r="C153" s="257" t="n"/>
      <c r="D153" s="225">
        <f>IF(OR(A153="",B153="",C153=""),"",ROUND(B153*C153,2))</f>
        <v/>
      </c>
      <c r="E153" s="256" t="n"/>
      <c r="F153" s="225">
        <f>IF(OR(A153="",E153="",C153="",NOT(ISNUMBER($U$2))),"",ROUND(E153*C153*$U$2,2))</f>
        <v/>
      </c>
      <c r="G153" s="256" t="n"/>
      <c r="H153" s="225">
        <f>IF(OR(A153="",G153="",C153="",NOT(ISNUMBER($U$3))),"",ROUND(G153*C153*$U$3,2))</f>
        <v/>
      </c>
      <c r="I153" s="256" t="n"/>
      <c r="J153" s="225">
        <f>IF(OR(A153="",I153="",C153="",NOT(ISNUMBER($U$4))),"",ROUND(I153*C153*$U$4,2))</f>
        <v/>
      </c>
      <c r="K153" s="256" t="n"/>
      <c r="L153" s="225">
        <f>IF(OR(A153="",K153="",C153="",NOT(ISNUMBER($U$5))),"",ROUND(K153*C153*$U$5,2))</f>
        <v/>
      </c>
      <c r="M153" s="256" t="n"/>
      <c r="N153" s="225">
        <f>IF(OR(A153="",M153="",C153="",NOT(ISNUMBER($U$6))),"",ROUND(M153*C153*$U$6,2))</f>
        <v/>
      </c>
      <c r="O153" s="231">
        <f>IF(A153="","",SUM(E153,G153,I153,K153,M153))</f>
        <v/>
      </c>
      <c r="P153" s="225">
        <f>IF(A153="","",SUM(F153,H153,J153,L153,N153))</f>
        <v/>
      </c>
      <c r="Q153" s="233">
        <f>IF(A153="","",IF(O153&gt;B153,"DIVERGENCIA: CONSUMO MAIOR QUE CONTRATADO","OK"))</f>
        <v/>
      </c>
      <c r="R153" s="36" t="n"/>
      <c r="S153" s="36" t="n"/>
      <c r="T153" s="36" t="n"/>
      <c r="U153" s="36" t="n"/>
      <c r="V153" s="36" t="n"/>
      <c r="W153" s="36" t="n"/>
    </row>
    <row r="154">
      <c r="A154" s="255" t="n"/>
      <c r="B154" s="256" t="n"/>
      <c r="C154" s="257" t="n"/>
      <c r="D154" s="225">
        <f>IF(OR(A154="",B154="",C154=""),"",ROUND(B154*C154,2))</f>
        <v/>
      </c>
      <c r="E154" s="256" t="n"/>
      <c r="F154" s="225">
        <f>IF(OR(A154="",E154="",C154="",NOT(ISNUMBER($U$2))),"",ROUND(E154*C154*$U$2,2))</f>
        <v/>
      </c>
      <c r="G154" s="256" t="n"/>
      <c r="H154" s="225">
        <f>IF(OR(A154="",G154="",C154="",NOT(ISNUMBER($U$3))),"",ROUND(G154*C154*$U$3,2))</f>
        <v/>
      </c>
      <c r="I154" s="256" t="n"/>
      <c r="J154" s="225">
        <f>IF(OR(A154="",I154="",C154="",NOT(ISNUMBER($U$4))),"",ROUND(I154*C154*$U$4,2))</f>
        <v/>
      </c>
      <c r="K154" s="256" t="n"/>
      <c r="L154" s="225">
        <f>IF(OR(A154="",K154="",C154="",NOT(ISNUMBER($U$5))),"",ROUND(K154*C154*$U$5,2))</f>
        <v/>
      </c>
      <c r="M154" s="256" t="n"/>
      <c r="N154" s="225">
        <f>IF(OR(A154="",M154="",C154="",NOT(ISNUMBER($U$6))),"",ROUND(M154*C154*$U$6,2))</f>
        <v/>
      </c>
      <c r="O154" s="231">
        <f>IF(A154="","",SUM(E154,G154,I154,K154,M154))</f>
        <v/>
      </c>
      <c r="P154" s="225">
        <f>IF(A154="","",SUM(F154,H154,J154,L154,N154))</f>
        <v/>
      </c>
      <c r="Q154" s="233">
        <f>IF(A154="","",IF(O154&gt;B154,"DIVERGENCIA: CONSUMO MAIOR QUE CONTRATADO","OK"))</f>
        <v/>
      </c>
      <c r="R154" s="36" t="n"/>
      <c r="S154" s="36" t="n"/>
      <c r="T154" s="36" t="n"/>
      <c r="U154" s="36" t="n"/>
      <c r="V154" s="36" t="n"/>
      <c r="W154" s="36" t="n"/>
    </row>
    <row r="155">
      <c r="A155" s="255" t="n"/>
      <c r="B155" s="256" t="n"/>
      <c r="C155" s="257" t="n"/>
      <c r="D155" s="225">
        <f>IF(OR(A155="",B155="",C155=""),"",ROUND(B155*C155,2))</f>
        <v/>
      </c>
      <c r="E155" s="256" t="n"/>
      <c r="F155" s="225">
        <f>IF(OR(A155="",E155="",C155="",NOT(ISNUMBER($U$2))),"",ROUND(E155*C155*$U$2,2))</f>
        <v/>
      </c>
      <c r="G155" s="256" t="n"/>
      <c r="H155" s="225">
        <f>IF(OR(A155="",G155="",C155="",NOT(ISNUMBER($U$3))),"",ROUND(G155*C155*$U$3,2))</f>
        <v/>
      </c>
      <c r="I155" s="256" t="n"/>
      <c r="J155" s="225">
        <f>IF(OR(A155="",I155="",C155="",NOT(ISNUMBER($U$4))),"",ROUND(I155*C155*$U$4,2))</f>
        <v/>
      </c>
      <c r="K155" s="256" t="n"/>
      <c r="L155" s="225">
        <f>IF(OR(A155="",K155="",C155="",NOT(ISNUMBER($U$5))),"",ROUND(K155*C155*$U$5,2))</f>
        <v/>
      </c>
      <c r="M155" s="256" t="n"/>
      <c r="N155" s="225">
        <f>IF(OR(A155="",M155="",C155="",NOT(ISNUMBER($U$6))),"",ROUND(M155*C155*$U$6,2))</f>
        <v/>
      </c>
      <c r="O155" s="231">
        <f>IF(A155="","",SUM(E155,G155,I155,K155,M155))</f>
        <v/>
      </c>
      <c r="P155" s="225">
        <f>IF(A155="","",SUM(F155,H155,J155,L155,N155))</f>
        <v/>
      </c>
      <c r="Q155" s="233">
        <f>IF(A155="","",IF(O155&gt;B155,"DIVERGENCIA: CONSUMO MAIOR QUE CONTRATADO","OK"))</f>
        <v/>
      </c>
      <c r="R155" s="36" t="n"/>
      <c r="S155" s="36" t="n"/>
      <c r="T155" s="36" t="n"/>
      <c r="U155" s="36" t="n"/>
      <c r="V155" s="36" t="n"/>
      <c r="W155" s="36" t="n"/>
    </row>
    <row r="156">
      <c r="A156" s="255" t="n"/>
      <c r="B156" s="256" t="n"/>
      <c r="C156" s="257" t="n"/>
      <c r="D156" s="225">
        <f>IF(OR(A156="",B156="",C156=""),"",ROUND(B156*C156,2))</f>
        <v/>
      </c>
      <c r="E156" s="256" t="n"/>
      <c r="F156" s="225">
        <f>IF(OR(A156="",E156="",C156="",NOT(ISNUMBER($U$2))),"",ROUND(E156*C156*$U$2,2))</f>
        <v/>
      </c>
      <c r="G156" s="256" t="n"/>
      <c r="H156" s="225">
        <f>IF(OR(A156="",G156="",C156="",NOT(ISNUMBER($U$3))),"",ROUND(G156*C156*$U$3,2))</f>
        <v/>
      </c>
      <c r="I156" s="256" t="n"/>
      <c r="J156" s="225">
        <f>IF(OR(A156="",I156="",C156="",NOT(ISNUMBER($U$4))),"",ROUND(I156*C156*$U$4,2))</f>
        <v/>
      </c>
      <c r="K156" s="256" t="n"/>
      <c r="L156" s="225">
        <f>IF(OR(A156="",K156="",C156="",NOT(ISNUMBER($U$5))),"",ROUND(K156*C156*$U$5,2))</f>
        <v/>
      </c>
      <c r="M156" s="256" t="n"/>
      <c r="N156" s="225">
        <f>IF(OR(A156="",M156="",C156="",NOT(ISNUMBER($U$6))),"",ROUND(M156*C156*$U$6,2))</f>
        <v/>
      </c>
      <c r="O156" s="231">
        <f>IF(A156="","",SUM(E156,G156,I156,K156,M156))</f>
        <v/>
      </c>
      <c r="P156" s="225">
        <f>IF(A156="","",SUM(F156,H156,J156,L156,N156))</f>
        <v/>
      </c>
      <c r="Q156" s="233">
        <f>IF(A156="","",IF(O156&gt;B156,"DIVERGENCIA: CONSUMO MAIOR QUE CONTRATADO","OK"))</f>
        <v/>
      </c>
      <c r="R156" s="36" t="n"/>
      <c r="S156" s="36" t="n"/>
      <c r="T156" s="36" t="n"/>
      <c r="U156" s="36" t="n"/>
      <c r="V156" s="36" t="n"/>
      <c r="W156" s="36" t="n"/>
    </row>
    <row r="157">
      <c r="A157" s="255" t="n"/>
      <c r="B157" s="256" t="n"/>
      <c r="C157" s="257" t="n"/>
      <c r="D157" s="225">
        <f>IF(OR(A157="",B157="",C157=""),"",ROUND(B157*C157,2))</f>
        <v/>
      </c>
      <c r="E157" s="256" t="n"/>
      <c r="F157" s="225">
        <f>IF(OR(A157="",E157="",C157="",NOT(ISNUMBER($U$2))),"",ROUND(E157*C157*$U$2,2))</f>
        <v/>
      </c>
      <c r="G157" s="256" t="n"/>
      <c r="H157" s="225">
        <f>IF(OR(A157="",G157="",C157="",NOT(ISNUMBER($U$3))),"",ROUND(G157*C157*$U$3,2))</f>
        <v/>
      </c>
      <c r="I157" s="256" t="n"/>
      <c r="J157" s="225">
        <f>IF(OR(A157="",I157="",C157="",NOT(ISNUMBER($U$4))),"",ROUND(I157*C157*$U$4,2))</f>
        <v/>
      </c>
      <c r="K157" s="256" t="n"/>
      <c r="L157" s="225">
        <f>IF(OR(A157="",K157="",C157="",NOT(ISNUMBER($U$5))),"",ROUND(K157*C157*$U$5,2))</f>
        <v/>
      </c>
      <c r="M157" s="256" t="n"/>
      <c r="N157" s="225">
        <f>IF(OR(A157="",M157="",C157="",NOT(ISNUMBER($U$6))),"",ROUND(M157*C157*$U$6,2))</f>
        <v/>
      </c>
      <c r="O157" s="231">
        <f>IF(A157="","",SUM(E157,G157,I157,K157,M157))</f>
        <v/>
      </c>
      <c r="P157" s="225">
        <f>IF(A157="","",SUM(F157,H157,J157,L157,N157))</f>
        <v/>
      </c>
      <c r="Q157" s="233">
        <f>IF(A157="","",IF(O157&gt;B157,"DIVERGENCIA: CONSUMO MAIOR QUE CONTRATADO","OK"))</f>
        <v/>
      </c>
      <c r="R157" s="36" t="n"/>
      <c r="S157" s="36" t="n"/>
      <c r="T157" s="36" t="n"/>
      <c r="U157" s="36" t="n"/>
      <c r="V157" s="36" t="n"/>
      <c r="W157" s="36" t="n"/>
    </row>
    <row r="158">
      <c r="A158" s="255" t="n"/>
      <c r="B158" s="256" t="n"/>
      <c r="C158" s="257" t="n"/>
      <c r="D158" s="225">
        <f>IF(OR(A158="",B158="",C158=""),"",ROUND(B158*C158,2))</f>
        <v/>
      </c>
      <c r="E158" s="256" t="n"/>
      <c r="F158" s="225">
        <f>IF(OR(A158="",E158="",C158="",NOT(ISNUMBER($U$2))),"",ROUND(E158*C158*$U$2,2))</f>
        <v/>
      </c>
      <c r="G158" s="256" t="n"/>
      <c r="H158" s="225">
        <f>IF(OR(A158="",G158="",C158="",NOT(ISNUMBER($U$3))),"",ROUND(G158*C158*$U$3,2))</f>
        <v/>
      </c>
      <c r="I158" s="256" t="n"/>
      <c r="J158" s="225">
        <f>IF(OR(A158="",I158="",C158="",NOT(ISNUMBER($U$4))),"",ROUND(I158*C158*$U$4,2))</f>
        <v/>
      </c>
      <c r="K158" s="256" t="n"/>
      <c r="L158" s="225">
        <f>IF(OR(A158="",K158="",C158="",NOT(ISNUMBER($U$5))),"",ROUND(K158*C158*$U$5,2))</f>
        <v/>
      </c>
      <c r="M158" s="256" t="n"/>
      <c r="N158" s="225">
        <f>IF(OR(A158="",M158="",C158="",NOT(ISNUMBER($U$6))),"",ROUND(M158*C158*$U$6,2))</f>
        <v/>
      </c>
      <c r="O158" s="231">
        <f>IF(A158="","",SUM(E158,G158,I158,K158,M158))</f>
        <v/>
      </c>
      <c r="P158" s="225">
        <f>IF(A158="","",SUM(F158,H158,J158,L158,N158))</f>
        <v/>
      </c>
      <c r="Q158" s="233">
        <f>IF(A158="","",IF(O158&gt;B158,"DIVERGENCIA: CONSUMO MAIOR QUE CONTRATADO","OK"))</f>
        <v/>
      </c>
      <c r="R158" s="36" t="n"/>
      <c r="S158" s="36" t="n"/>
      <c r="T158" s="36" t="n"/>
      <c r="U158" s="36" t="n"/>
      <c r="V158" s="36" t="n"/>
      <c r="W158" s="36" t="n"/>
    </row>
    <row r="159">
      <c r="A159" s="255" t="n"/>
      <c r="B159" s="256" t="n"/>
      <c r="C159" s="257" t="n"/>
      <c r="D159" s="225">
        <f>IF(OR(A159="",B159="",C159=""),"",ROUND(B159*C159,2))</f>
        <v/>
      </c>
      <c r="E159" s="256" t="n"/>
      <c r="F159" s="225">
        <f>IF(OR(A159="",E159="",C159="",NOT(ISNUMBER($U$2))),"",ROUND(E159*C159*$U$2,2))</f>
        <v/>
      </c>
      <c r="G159" s="256" t="n"/>
      <c r="H159" s="225">
        <f>IF(OR(A159="",G159="",C159="",NOT(ISNUMBER($U$3))),"",ROUND(G159*C159*$U$3,2))</f>
        <v/>
      </c>
      <c r="I159" s="256" t="n"/>
      <c r="J159" s="225">
        <f>IF(OR(A159="",I159="",C159="",NOT(ISNUMBER($U$4))),"",ROUND(I159*C159*$U$4,2))</f>
        <v/>
      </c>
      <c r="K159" s="256" t="n"/>
      <c r="L159" s="225">
        <f>IF(OR(A159="",K159="",C159="",NOT(ISNUMBER($U$5))),"",ROUND(K159*C159*$U$5,2))</f>
        <v/>
      </c>
      <c r="M159" s="256" t="n"/>
      <c r="N159" s="225">
        <f>IF(OR(A159="",M159="",C159="",NOT(ISNUMBER($U$6))),"",ROUND(M159*C159*$U$6,2))</f>
        <v/>
      </c>
      <c r="O159" s="231">
        <f>IF(A159="","",SUM(E159,G159,I159,K159,M159))</f>
        <v/>
      </c>
      <c r="P159" s="225">
        <f>IF(A159="","",SUM(F159,H159,J159,L159,N159))</f>
        <v/>
      </c>
      <c r="Q159" s="233">
        <f>IF(A159="","",IF(O159&gt;B159,"DIVERGENCIA: CONSUMO MAIOR QUE CONTRATADO","OK"))</f>
        <v/>
      </c>
      <c r="R159" s="36" t="n"/>
      <c r="S159" s="36" t="n"/>
      <c r="T159" s="36" t="n"/>
      <c r="U159" s="36" t="n"/>
      <c r="V159" s="36" t="n"/>
      <c r="W159" s="36" t="n"/>
    </row>
    <row r="160">
      <c r="A160" s="255" t="n"/>
      <c r="B160" s="256" t="n"/>
      <c r="C160" s="257" t="n"/>
      <c r="D160" s="225">
        <f>IF(OR(A160="",B160="",C160=""),"",ROUND(B160*C160,2))</f>
        <v/>
      </c>
      <c r="E160" s="256" t="n"/>
      <c r="F160" s="225">
        <f>IF(OR(A160="",E160="",C160="",NOT(ISNUMBER($U$2))),"",ROUND(E160*C160*$U$2,2))</f>
        <v/>
      </c>
      <c r="G160" s="256" t="n"/>
      <c r="H160" s="225">
        <f>IF(OR(A160="",G160="",C160="",NOT(ISNUMBER($U$3))),"",ROUND(G160*C160*$U$3,2))</f>
        <v/>
      </c>
      <c r="I160" s="256" t="n"/>
      <c r="J160" s="225">
        <f>IF(OR(A160="",I160="",C160="",NOT(ISNUMBER($U$4))),"",ROUND(I160*C160*$U$4,2))</f>
        <v/>
      </c>
      <c r="K160" s="256" t="n"/>
      <c r="L160" s="225">
        <f>IF(OR(A160="",K160="",C160="",NOT(ISNUMBER($U$5))),"",ROUND(K160*C160*$U$5,2))</f>
        <v/>
      </c>
      <c r="M160" s="256" t="n"/>
      <c r="N160" s="225">
        <f>IF(OR(A160="",M160="",C160="",NOT(ISNUMBER($U$6))),"",ROUND(M160*C160*$U$6,2))</f>
        <v/>
      </c>
      <c r="O160" s="231">
        <f>IF(A160="","",SUM(E160,G160,I160,K160,M160))</f>
        <v/>
      </c>
      <c r="P160" s="225">
        <f>IF(A160="","",SUM(F160,H160,J160,L160,N160))</f>
        <v/>
      </c>
      <c r="Q160" s="233">
        <f>IF(A160="","",IF(O160&gt;B160,"DIVERGENCIA: CONSUMO MAIOR QUE CONTRATADO","OK"))</f>
        <v/>
      </c>
      <c r="R160" s="36" t="n"/>
      <c r="S160" s="36" t="n"/>
      <c r="T160" s="36" t="n"/>
      <c r="U160" s="36" t="n"/>
      <c r="V160" s="36" t="n"/>
      <c r="W160" s="36" t="n"/>
    </row>
    <row r="161">
      <c r="A161" s="255" t="n"/>
      <c r="B161" s="256" t="n"/>
      <c r="C161" s="257" t="n"/>
      <c r="D161" s="225">
        <f>IF(OR(A161="",B161="",C161=""),"",ROUND(B161*C161,2))</f>
        <v/>
      </c>
      <c r="E161" s="256" t="n"/>
      <c r="F161" s="225">
        <f>IF(OR(A161="",E161="",C161="",NOT(ISNUMBER($U$2))),"",ROUND(E161*C161*$U$2,2))</f>
        <v/>
      </c>
      <c r="G161" s="256" t="n"/>
      <c r="H161" s="225">
        <f>IF(OR(A161="",G161="",C161="",NOT(ISNUMBER($U$3))),"",ROUND(G161*C161*$U$3,2))</f>
        <v/>
      </c>
      <c r="I161" s="256" t="n"/>
      <c r="J161" s="225">
        <f>IF(OR(A161="",I161="",C161="",NOT(ISNUMBER($U$4))),"",ROUND(I161*C161*$U$4,2))</f>
        <v/>
      </c>
      <c r="K161" s="256" t="n"/>
      <c r="L161" s="225">
        <f>IF(OR(A161="",K161="",C161="",NOT(ISNUMBER($U$5))),"",ROUND(K161*C161*$U$5,2))</f>
        <v/>
      </c>
      <c r="M161" s="256" t="n"/>
      <c r="N161" s="225">
        <f>IF(OR(A161="",M161="",C161="",NOT(ISNUMBER($U$6))),"",ROUND(M161*C161*$U$6,2))</f>
        <v/>
      </c>
      <c r="O161" s="231">
        <f>IF(A161="","",SUM(E161,G161,I161,K161,M161))</f>
        <v/>
      </c>
      <c r="P161" s="225">
        <f>IF(A161="","",SUM(F161,H161,J161,L161,N161))</f>
        <v/>
      </c>
      <c r="Q161" s="233">
        <f>IF(A161="","",IF(O161&gt;B161,"DIVERGENCIA: CONSUMO MAIOR QUE CONTRATADO","OK"))</f>
        <v/>
      </c>
      <c r="R161" s="36" t="n"/>
      <c r="S161" s="36" t="n"/>
      <c r="T161" s="36" t="n"/>
      <c r="U161" s="36" t="n"/>
      <c r="V161" s="36" t="n"/>
      <c r="W161" s="36" t="n"/>
    </row>
    <row r="162">
      <c r="A162" s="255" t="n"/>
      <c r="B162" s="256" t="n"/>
      <c r="C162" s="257" t="n"/>
      <c r="D162" s="225">
        <f>IF(OR(A162="",B162="",C162=""),"",ROUND(B162*C162,2))</f>
        <v/>
      </c>
      <c r="E162" s="256" t="n"/>
      <c r="F162" s="225">
        <f>IF(OR(A162="",E162="",C162="",NOT(ISNUMBER($U$2))),"",ROUND(E162*C162*$U$2,2))</f>
        <v/>
      </c>
      <c r="G162" s="256" t="n"/>
      <c r="H162" s="225">
        <f>IF(OR(A162="",G162="",C162="",NOT(ISNUMBER($U$3))),"",ROUND(G162*C162*$U$3,2))</f>
        <v/>
      </c>
      <c r="I162" s="256" t="n"/>
      <c r="J162" s="225">
        <f>IF(OR(A162="",I162="",C162="",NOT(ISNUMBER($U$4))),"",ROUND(I162*C162*$U$4,2))</f>
        <v/>
      </c>
      <c r="K162" s="256" t="n"/>
      <c r="L162" s="225">
        <f>IF(OR(A162="",K162="",C162="",NOT(ISNUMBER($U$5))),"",ROUND(K162*C162*$U$5,2))</f>
        <v/>
      </c>
      <c r="M162" s="256" t="n"/>
      <c r="N162" s="225">
        <f>IF(OR(A162="",M162="",C162="",NOT(ISNUMBER($U$6))),"",ROUND(M162*C162*$U$6,2))</f>
        <v/>
      </c>
      <c r="O162" s="231">
        <f>IF(A162="","",SUM(E162,G162,I162,K162,M162))</f>
        <v/>
      </c>
      <c r="P162" s="225">
        <f>IF(A162="","",SUM(F162,H162,J162,L162,N162))</f>
        <v/>
      </c>
      <c r="Q162" s="233">
        <f>IF(A162="","",IF(O162&gt;B162,"DIVERGENCIA: CONSUMO MAIOR QUE CONTRATADO","OK"))</f>
        <v/>
      </c>
      <c r="R162" s="36" t="n"/>
      <c r="S162" s="36" t="n"/>
      <c r="T162" s="36" t="n"/>
      <c r="U162" s="36" t="n"/>
      <c r="V162" s="36" t="n"/>
      <c r="W162" s="36" t="n"/>
    </row>
    <row r="163">
      <c r="A163" s="255" t="n"/>
      <c r="B163" s="256" t="n"/>
      <c r="C163" s="257" t="n"/>
      <c r="D163" s="225">
        <f>IF(OR(A163="",B163="",C163=""),"",ROUND(B163*C163,2))</f>
        <v/>
      </c>
      <c r="E163" s="256" t="n"/>
      <c r="F163" s="225">
        <f>IF(OR(A163="",E163="",C163="",NOT(ISNUMBER($U$2))),"",ROUND(E163*C163*$U$2,2))</f>
        <v/>
      </c>
      <c r="G163" s="256" t="n"/>
      <c r="H163" s="225">
        <f>IF(OR(A163="",G163="",C163="",NOT(ISNUMBER($U$3))),"",ROUND(G163*C163*$U$3,2))</f>
        <v/>
      </c>
      <c r="I163" s="256" t="n"/>
      <c r="J163" s="225">
        <f>IF(OR(A163="",I163="",C163="",NOT(ISNUMBER($U$4))),"",ROUND(I163*C163*$U$4,2))</f>
        <v/>
      </c>
      <c r="K163" s="256" t="n"/>
      <c r="L163" s="225">
        <f>IF(OR(A163="",K163="",C163="",NOT(ISNUMBER($U$5))),"",ROUND(K163*C163*$U$5,2))</f>
        <v/>
      </c>
      <c r="M163" s="256" t="n"/>
      <c r="N163" s="225">
        <f>IF(OR(A163="",M163="",C163="",NOT(ISNUMBER($U$6))),"",ROUND(M163*C163*$U$6,2))</f>
        <v/>
      </c>
      <c r="O163" s="231">
        <f>IF(A163="","",SUM(E163,G163,I163,K163,M163))</f>
        <v/>
      </c>
      <c r="P163" s="225">
        <f>IF(A163="","",SUM(F163,H163,J163,L163,N163))</f>
        <v/>
      </c>
      <c r="Q163" s="233">
        <f>IF(A163="","",IF(O163&gt;B163,"DIVERGENCIA: CONSUMO MAIOR QUE CONTRATADO","OK"))</f>
        <v/>
      </c>
      <c r="R163" s="36" t="n"/>
      <c r="S163" s="36" t="n"/>
      <c r="T163" s="36" t="n"/>
      <c r="U163" s="36" t="n"/>
      <c r="V163" s="36" t="n"/>
      <c r="W163" s="36" t="n"/>
    </row>
    <row r="164">
      <c r="A164" s="255" t="n"/>
      <c r="B164" s="256" t="n"/>
      <c r="C164" s="257" t="n"/>
      <c r="D164" s="225">
        <f>IF(OR(A164="",B164="",C164=""),"",ROUND(B164*C164,2))</f>
        <v/>
      </c>
      <c r="E164" s="256" t="n"/>
      <c r="F164" s="225">
        <f>IF(OR(A164="",E164="",C164="",NOT(ISNUMBER($U$2))),"",ROUND(E164*C164*$U$2,2))</f>
        <v/>
      </c>
      <c r="G164" s="256" t="n"/>
      <c r="H164" s="225">
        <f>IF(OR(A164="",G164="",C164="",NOT(ISNUMBER($U$3))),"",ROUND(G164*C164*$U$3,2))</f>
        <v/>
      </c>
      <c r="I164" s="256" t="n"/>
      <c r="J164" s="225">
        <f>IF(OR(A164="",I164="",C164="",NOT(ISNUMBER($U$4))),"",ROUND(I164*C164*$U$4,2))</f>
        <v/>
      </c>
      <c r="K164" s="256" t="n"/>
      <c r="L164" s="225">
        <f>IF(OR(A164="",K164="",C164="",NOT(ISNUMBER($U$5))),"",ROUND(K164*C164*$U$5,2))</f>
        <v/>
      </c>
      <c r="M164" s="256" t="n"/>
      <c r="N164" s="225">
        <f>IF(OR(A164="",M164="",C164="",NOT(ISNUMBER($U$6))),"",ROUND(M164*C164*$U$6,2))</f>
        <v/>
      </c>
      <c r="O164" s="231">
        <f>IF(A164="","",SUM(E164,G164,I164,K164,M164))</f>
        <v/>
      </c>
      <c r="P164" s="225">
        <f>IF(A164="","",SUM(F164,H164,J164,L164,N164))</f>
        <v/>
      </c>
      <c r="Q164" s="233">
        <f>IF(A164="","",IF(O164&gt;B164,"DIVERGENCIA: CONSUMO MAIOR QUE CONTRATADO","OK"))</f>
        <v/>
      </c>
      <c r="R164" s="36" t="n"/>
      <c r="S164" s="36" t="n"/>
      <c r="T164" s="36" t="n"/>
      <c r="U164" s="36" t="n"/>
      <c r="V164" s="36" t="n"/>
      <c r="W164" s="36" t="n"/>
    </row>
    <row r="165">
      <c r="A165" s="255" t="n"/>
      <c r="B165" s="256" t="n"/>
      <c r="C165" s="257" t="n"/>
      <c r="D165" s="225">
        <f>IF(OR(A165="",B165="",C165=""),"",ROUND(B165*C165,2))</f>
        <v/>
      </c>
      <c r="E165" s="256" t="n"/>
      <c r="F165" s="225">
        <f>IF(OR(A165="",E165="",C165="",NOT(ISNUMBER($U$2))),"",ROUND(E165*C165*$U$2,2))</f>
        <v/>
      </c>
      <c r="G165" s="256" t="n"/>
      <c r="H165" s="225">
        <f>IF(OR(A165="",G165="",C165="",NOT(ISNUMBER($U$3))),"",ROUND(G165*C165*$U$3,2))</f>
        <v/>
      </c>
      <c r="I165" s="256" t="n"/>
      <c r="J165" s="225">
        <f>IF(OR(A165="",I165="",C165="",NOT(ISNUMBER($U$4))),"",ROUND(I165*C165*$U$4,2))</f>
        <v/>
      </c>
      <c r="K165" s="256" t="n"/>
      <c r="L165" s="225">
        <f>IF(OR(A165="",K165="",C165="",NOT(ISNUMBER($U$5))),"",ROUND(K165*C165*$U$5,2))</f>
        <v/>
      </c>
      <c r="M165" s="256" t="n"/>
      <c r="N165" s="225">
        <f>IF(OR(A165="",M165="",C165="",NOT(ISNUMBER($U$6))),"",ROUND(M165*C165*$U$6,2))</f>
        <v/>
      </c>
      <c r="O165" s="231">
        <f>IF(A165="","",SUM(E165,G165,I165,K165,M165))</f>
        <v/>
      </c>
      <c r="P165" s="225">
        <f>IF(A165="","",SUM(F165,H165,J165,L165,N165))</f>
        <v/>
      </c>
      <c r="Q165" s="233">
        <f>IF(A165="","",IF(O165&gt;B165,"DIVERGENCIA: CONSUMO MAIOR QUE CONTRATADO","OK"))</f>
        <v/>
      </c>
      <c r="R165" s="36" t="n"/>
      <c r="S165" s="36" t="n"/>
      <c r="T165" s="36" t="n"/>
      <c r="U165" s="36" t="n"/>
      <c r="V165" s="36" t="n"/>
      <c r="W165" s="36" t="n"/>
    </row>
    <row r="166">
      <c r="A166" s="255" t="n"/>
      <c r="B166" s="256" t="n"/>
      <c r="C166" s="257" t="n"/>
      <c r="D166" s="225">
        <f>IF(OR(A166="",B166="",C166=""),"",ROUND(B166*C166,2))</f>
        <v/>
      </c>
      <c r="E166" s="256" t="n"/>
      <c r="F166" s="225">
        <f>IF(OR(A166="",E166="",C166="",NOT(ISNUMBER($U$2))),"",ROUND(E166*C166*$U$2,2))</f>
        <v/>
      </c>
      <c r="G166" s="256" t="n"/>
      <c r="H166" s="225">
        <f>IF(OR(A166="",G166="",C166="",NOT(ISNUMBER($U$3))),"",ROUND(G166*C166*$U$3,2))</f>
        <v/>
      </c>
      <c r="I166" s="256" t="n"/>
      <c r="J166" s="225">
        <f>IF(OR(A166="",I166="",C166="",NOT(ISNUMBER($U$4))),"",ROUND(I166*C166*$U$4,2))</f>
        <v/>
      </c>
      <c r="K166" s="256" t="n"/>
      <c r="L166" s="225">
        <f>IF(OR(A166="",K166="",C166="",NOT(ISNUMBER($U$5))),"",ROUND(K166*C166*$U$5,2))</f>
        <v/>
      </c>
      <c r="M166" s="256" t="n"/>
      <c r="N166" s="225">
        <f>IF(OR(A166="",M166="",C166="",NOT(ISNUMBER($U$6))),"",ROUND(M166*C166*$U$6,2))</f>
        <v/>
      </c>
      <c r="O166" s="231">
        <f>IF(A166="","",SUM(E166,G166,I166,K166,M166))</f>
        <v/>
      </c>
      <c r="P166" s="225">
        <f>IF(A166="","",SUM(F166,H166,J166,L166,N166))</f>
        <v/>
      </c>
      <c r="Q166" s="233">
        <f>IF(A166="","",IF(O166&gt;B166,"DIVERGENCIA: CONSUMO MAIOR QUE CONTRATADO","OK"))</f>
        <v/>
      </c>
      <c r="R166" s="36" t="n"/>
      <c r="S166" s="36" t="n"/>
      <c r="T166" s="36" t="n"/>
      <c r="U166" s="36" t="n"/>
      <c r="V166" s="36" t="n"/>
      <c r="W166" s="36" t="n"/>
    </row>
    <row r="167">
      <c r="A167" s="255" t="n"/>
      <c r="B167" s="256" t="n"/>
      <c r="C167" s="257" t="n"/>
      <c r="D167" s="225">
        <f>IF(OR(A167="",B167="",C167=""),"",ROUND(B167*C167,2))</f>
        <v/>
      </c>
      <c r="E167" s="256" t="n"/>
      <c r="F167" s="225">
        <f>IF(OR(A167="",E167="",C167="",NOT(ISNUMBER($U$2))),"",ROUND(E167*C167*$U$2,2))</f>
        <v/>
      </c>
      <c r="G167" s="256" t="n"/>
      <c r="H167" s="225">
        <f>IF(OR(A167="",G167="",C167="",NOT(ISNUMBER($U$3))),"",ROUND(G167*C167*$U$3,2))</f>
        <v/>
      </c>
      <c r="I167" s="256" t="n"/>
      <c r="J167" s="225">
        <f>IF(OR(A167="",I167="",C167="",NOT(ISNUMBER($U$4))),"",ROUND(I167*C167*$U$4,2))</f>
        <v/>
      </c>
      <c r="K167" s="256" t="n"/>
      <c r="L167" s="225">
        <f>IF(OR(A167="",K167="",C167="",NOT(ISNUMBER($U$5))),"",ROUND(K167*C167*$U$5,2))</f>
        <v/>
      </c>
      <c r="M167" s="256" t="n"/>
      <c r="N167" s="225">
        <f>IF(OR(A167="",M167="",C167="",NOT(ISNUMBER($U$6))),"",ROUND(M167*C167*$U$6,2))</f>
        <v/>
      </c>
      <c r="O167" s="231">
        <f>IF(A167="","",SUM(E167,G167,I167,K167,M167))</f>
        <v/>
      </c>
      <c r="P167" s="225">
        <f>IF(A167="","",SUM(F167,H167,J167,L167,N167))</f>
        <v/>
      </c>
      <c r="Q167" s="233">
        <f>IF(A167="","",IF(O167&gt;B167,"DIVERGENCIA: CONSUMO MAIOR QUE CONTRATADO","OK"))</f>
        <v/>
      </c>
      <c r="R167" s="36" t="n"/>
      <c r="S167" s="36" t="n"/>
      <c r="T167" s="36" t="n"/>
      <c r="U167" s="36" t="n"/>
      <c r="V167" s="36" t="n"/>
      <c r="W167" s="36" t="n"/>
    </row>
    <row r="168">
      <c r="A168" s="255" t="n"/>
      <c r="B168" s="256" t="n"/>
      <c r="C168" s="257" t="n"/>
      <c r="D168" s="225">
        <f>IF(OR(A168="",B168="",C168=""),"",ROUND(B168*C168,2))</f>
        <v/>
      </c>
      <c r="E168" s="256" t="n"/>
      <c r="F168" s="225">
        <f>IF(OR(A168="",E168="",C168="",NOT(ISNUMBER($U$2))),"",ROUND(E168*C168*$U$2,2))</f>
        <v/>
      </c>
      <c r="G168" s="256" t="n"/>
      <c r="H168" s="225">
        <f>IF(OR(A168="",G168="",C168="",NOT(ISNUMBER($U$3))),"",ROUND(G168*C168*$U$3,2))</f>
        <v/>
      </c>
      <c r="I168" s="256" t="n"/>
      <c r="J168" s="225">
        <f>IF(OR(A168="",I168="",C168="",NOT(ISNUMBER($U$4))),"",ROUND(I168*C168*$U$4,2))</f>
        <v/>
      </c>
      <c r="K168" s="256" t="n"/>
      <c r="L168" s="225">
        <f>IF(OR(A168="",K168="",C168="",NOT(ISNUMBER($U$5))),"",ROUND(K168*C168*$U$5,2))</f>
        <v/>
      </c>
      <c r="M168" s="256" t="n"/>
      <c r="N168" s="225">
        <f>IF(OR(A168="",M168="",C168="",NOT(ISNUMBER($U$6))),"",ROUND(M168*C168*$U$6,2))</f>
        <v/>
      </c>
      <c r="O168" s="231">
        <f>IF(A168="","",SUM(E168,G168,I168,K168,M168))</f>
        <v/>
      </c>
      <c r="P168" s="225">
        <f>IF(A168="","",SUM(F168,H168,J168,L168,N168))</f>
        <v/>
      </c>
      <c r="Q168" s="233">
        <f>IF(A168="","",IF(O168&gt;B168,"DIVERGENCIA: CONSUMO MAIOR QUE CONTRATADO","OK"))</f>
        <v/>
      </c>
      <c r="R168" s="36" t="n"/>
      <c r="S168" s="36" t="n"/>
      <c r="T168" s="36" t="n"/>
      <c r="U168" s="36" t="n"/>
      <c r="V168" s="36" t="n"/>
      <c r="W168" s="36" t="n"/>
    </row>
    <row r="169">
      <c r="A169" s="255" t="n"/>
      <c r="B169" s="256" t="n"/>
      <c r="C169" s="257" t="n"/>
      <c r="D169" s="225">
        <f>IF(OR(A169="",B169="",C169=""),"",ROUND(B169*C169,2))</f>
        <v/>
      </c>
      <c r="E169" s="256" t="n"/>
      <c r="F169" s="225">
        <f>IF(OR(A169="",E169="",C169="",NOT(ISNUMBER($U$2))),"",ROUND(E169*C169*$U$2,2))</f>
        <v/>
      </c>
      <c r="G169" s="256" t="n"/>
      <c r="H169" s="225">
        <f>IF(OR(A169="",G169="",C169="",NOT(ISNUMBER($U$3))),"",ROUND(G169*C169*$U$3,2))</f>
        <v/>
      </c>
      <c r="I169" s="256" t="n"/>
      <c r="J169" s="225">
        <f>IF(OR(A169="",I169="",C169="",NOT(ISNUMBER($U$4))),"",ROUND(I169*C169*$U$4,2))</f>
        <v/>
      </c>
      <c r="K169" s="256" t="n"/>
      <c r="L169" s="225">
        <f>IF(OR(A169="",K169="",C169="",NOT(ISNUMBER($U$5))),"",ROUND(K169*C169*$U$5,2))</f>
        <v/>
      </c>
      <c r="M169" s="256" t="n"/>
      <c r="N169" s="225">
        <f>IF(OR(A169="",M169="",C169="",NOT(ISNUMBER($U$6))),"",ROUND(M169*C169*$U$6,2))</f>
        <v/>
      </c>
      <c r="O169" s="231">
        <f>IF(A169="","",SUM(E169,G169,I169,K169,M169))</f>
        <v/>
      </c>
      <c r="P169" s="225">
        <f>IF(A169="","",SUM(F169,H169,J169,L169,N169))</f>
        <v/>
      </c>
      <c r="Q169" s="233">
        <f>IF(A169="","",IF(O169&gt;B169,"DIVERGENCIA: CONSUMO MAIOR QUE CONTRATADO","OK"))</f>
        <v/>
      </c>
      <c r="R169" s="36" t="n"/>
      <c r="S169" s="36" t="n"/>
      <c r="T169" s="36" t="n"/>
      <c r="U169" s="36" t="n"/>
      <c r="V169" s="36" t="n"/>
      <c r="W169" s="36" t="n"/>
    </row>
    <row r="170">
      <c r="A170" s="255" t="n"/>
      <c r="B170" s="256" t="n"/>
      <c r="C170" s="257" t="n"/>
      <c r="D170" s="225">
        <f>IF(OR(A170="",B170="",C170=""),"",ROUND(B170*C170,2))</f>
        <v/>
      </c>
      <c r="E170" s="256" t="n"/>
      <c r="F170" s="225">
        <f>IF(OR(A170="",E170="",C170="",NOT(ISNUMBER($U$2))),"",ROUND(E170*C170*$U$2,2))</f>
        <v/>
      </c>
      <c r="G170" s="256" t="n"/>
      <c r="H170" s="225">
        <f>IF(OR(A170="",G170="",C170="",NOT(ISNUMBER($U$3))),"",ROUND(G170*C170*$U$3,2))</f>
        <v/>
      </c>
      <c r="I170" s="256" t="n"/>
      <c r="J170" s="225">
        <f>IF(OR(A170="",I170="",C170="",NOT(ISNUMBER($U$4))),"",ROUND(I170*C170*$U$4,2))</f>
        <v/>
      </c>
      <c r="K170" s="256" t="n"/>
      <c r="L170" s="225">
        <f>IF(OR(A170="",K170="",C170="",NOT(ISNUMBER($U$5))),"",ROUND(K170*C170*$U$5,2))</f>
        <v/>
      </c>
      <c r="M170" s="256" t="n"/>
      <c r="N170" s="225">
        <f>IF(OR(A170="",M170="",C170="",NOT(ISNUMBER($U$6))),"",ROUND(M170*C170*$U$6,2))</f>
        <v/>
      </c>
      <c r="O170" s="231">
        <f>IF(A170="","",SUM(E170,G170,I170,K170,M170))</f>
        <v/>
      </c>
      <c r="P170" s="225">
        <f>IF(A170="","",SUM(F170,H170,J170,L170,N170))</f>
        <v/>
      </c>
      <c r="Q170" s="233">
        <f>IF(A170="","",IF(O170&gt;B170,"DIVERGENCIA: CONSUMO MAIOR QUE CONTRATADO","OK"))</f>
        <v/>
      </c>
      <c r="R170" s="36" t="n"/>
      <c r="S170" s="36" t="n"/>
      <c r="T170" s="36" t="n"/>
      <c r="U170" s="36" t="n"/>
      <c r="V170" s="36" t="n"/>
      <c r="W170" s="36" t="n"/>
    </row>
    <row r="171">
      <c r="A171" s="255" t="n"/>
      <c r="B171" s="256" t="n"/>
      <c r="C171" s="257" t="n"/>
      <c r="D171" s="225">
        <f>IF(OR(A171="",B171="",C171=""),"",ROUND(B171*C171,2))</f>
        <v/>
      </c>
      <c r="E171" s="256" t="n"/>
      <c r="F171" s="225">
        <f>IF(OR(A171="",E171="",C171="",NOT(ISNUMBER($U$2))),"",ROUND(E171*C171*$U$2,2))</f>
        <v/>
      </c>
      <c r="G171" s="256" t="n"/>
      <c r="H171" s="225">
        <f>IF(OR(A171="",G171="",C171="",NOT(ISNUMBER($U$3))),"",ROUND(G171*C171*$U$3,2))</f>
        <v/>
      </c>
      <c r="I171" s="256" t="n"/>
      <c r="J171" s="225">
        <f>IF(OR(A171="",I171="",C171="",NOT(ISNUMBER($U$4))),"",ROUND(I171*C171*$U$4,2))</f>
        <v/>
      </c>
      <c r="K171" s="256" t="n"/>
      <c r="L171" s="225">
        <f>IF(OR(A171="",K171="",C171="",NOT(ISNUMBER($U$5))),"",ROUND(K171*C171*$U$5,2))</f>
        <v/>
      </c>
      <c r="M171" s="256" t="n"/>
      <c r="N171" s="225">
        <f>IF(OR(A171="",M171="",C171="",NOT(ISNUMBER($U$6))),"",ROUND(M171*C171*$U$6,2))</f>
        <v/>
      </c>
      <c r="O171" s="231">
        <f>IF(A171="","",SUM(E171,G171,I171,K171,M171))</f>
        <v/>
      </c>
      <c r="P171" s="225">
        <f>IF(A171="","",SUM(F171,H171,J171,L171,N171))</f>
        <v/>
      </c>
      <c r="Q171" s="233">
        <f>IF(A171="","",IF(O171&gt;B171,"DIVERGENCIA: CONSUMO MAIOR QUE CONTRATADO","OK"))</f>
        <v/>
      </c>
      <c r="R171" s="36" t="n"/>
      <c r="S171" s="36" t="n"/>
      <c r="T171" s="36" t="n"/>
      <c r="U171" s="36" t="n"/>
      <c r="V171" s="36" t="n"/>
      <c r="W171" s="36" t="n"/>
    </row>
    <row r="172">
      <c r="A172" s="255" t="n"/>
      <c r="B172" s="256" t="n"/>
      <c r="C172" s="257" t="n"/>
      <c r="D172" s="225">
        <f>IF(OR(A172="",B172="",C172=""),"",ROUND(B172*C172,2))</f>
        <v/>
      </c>
      <c r="E172" s="256" t="n"/>
      <c r="F172" s="225">
        <f>IF(OR(A172="",E172="",C172="",NOT(ISNUMBER($U$2))),"",ROUND(E172*C172*$U$2,2))</f>
        <v/>
      </c>
      <c r="G172" s="256" t="n"/>
      <c r="H172" s="225">
        <f>IF(OR(A172="",G172="",C172="",NOT(ISNUMBER($U$3))),"",ROUND(G172*C172*$U$3,2))</f>
        <v/>
      </c>
      <c r="I172" s="256" t="n"/>
      <c r="J172" s="225">
        <f>IF(OR(A172="",I172="",C172="",NOT(ISNUMBER($U$4))),"",ROUND(I172*C172*$U$4,2))</f>
        <v/>
      </c>
      <c r="K172" s="256" t="n"/>
      <c r="L172" s="225">
        <f>IF(OR(A172="",K172="",C172="",NOT(ISNUMBER($U$5))),"",ROUND(K172*C172*$U$5,2))</f>
        <v/>
      </c>
      <c r="M172" s="256" t="n"/>
      <c r="N172" s="225">
        <f>IF(OR(A172="",M172="",C172="",NOT(ISNUMBER($U$6))),"",ROUND(M172*C172*$U$6,2))</f>
        <v/>
      </c>
      <c r="O172" s="231">
        <f>IF(A172="","",SUM(E172,G172,I172,K172,M172))</f>
        <v/>
      </c>
      <c r="P172" s="225">
        <f>IF(A172="","",SUM(F172,H172,J172,L172,N172))</f>
        <v/>
      </c>
      <c r="Q172" s="233">
        <f>IF(A172="","",IF(O172&gt;B172,"DIVERGENCIA: CONSUMO MAIOR QUE CONTRATADO","OK"))</f>
        <v/>
      </c>
      <c r="R172" s="36" t="n"/>
      <c r="S172" s="36" t="n"/>
      <c r="T172" s="36" t="n"/>
      <c r="U172" s="36" t="n"/>
      <c r="V172" s="36" t="n"/>
      <c r="W172" s="36" t="n"/>
    </row>
    <row r="173">
      <c r="A173" s="255" t="n"/>
      <c r="B173" s="256" t="n"/>
      <c r="C173" s="257" t="n"/>
      <c r="D173" s="225">
        <f>IF(OR(A173="",B173="",C173=""),"",ROUND(B173*C173,2))</f>
        <v/>
      </c>
      <c r="E173" s="256" t="n"/>
      <c r="F173" s="225">
        <f>IF(OR(A173="",E173="",C173="",NOT(ISNUMBER($U$2))),"",ROUND(E173*C173*$U$2,2))</f>
        <v/>
      </c>
      <c r="G173" s="256" t="n"/>
      <c r="H173" s="225">
        <f>IF(OR(A173="",G173="",C173="",NOT(ISNUMBER($U$3))),"",ROUND(G173*C173*$U$3,2))</f>
        <v/>
      </c>
      <c r="I173" s="256" t="n"/>
      <c r="J173" s="225">
        <f>IF(OR(A173="",I173="",C173="",NOT(ISNUMBER($U$4))),"",ROUND(I173*C173*$U$4,2))</f>
        <v/>
      </c>
      <c r="K173" s="256" t="n"/>
      <c r="L173" s="225">
        <f>IF(OR(A173="",K173="",C173="",NOT(ISNUMBER($U$5))),"",ROUND(K173*C173*$U$5,2))</f>
        <v/>
      </c>
      <c r="M173" s="256" t="n"/>
      <c r="N173" s="225">
        <f>IF(OR(A173="",M173="",C173="",NOT(ISNUMBER($U$6))),"",ROUND(M173*C173*$U$6,2))</f>
        <v/>
      </c>
      <c r="O173" s="231">
        <f>IF(A173="","",SUM(E173,G173,I173,K173,M173))</f>
        <v/>
      </c>
      <c r="P173" s="225">
        <f>IF(A173="","",SUM(F173,H173,J173,L173,N173))</f>
        <v/>
      </c>
      <c r="Q173" s="233">
        <f>IF(A173="","",IF(O173&gt;B173,"DIVERGENCIA: CONSUMO MAIOR QUE CONTRATADO","OK"))</f>
        <v/>
      </c>
      <c r="R173" s="36" t="n"/>
      <c r="S173" s="36" t="n"/>
      <c r="T173" s="36" t="n"/>
      <c r="U173" s="36" t="n"/>
      <c r="V173" s="36" t="n"/>
      <c r="W173" s="36" t="n"/>
    </row>
    <row r="174">
      <c r="A174" s="255" t="n"/>
      <c r="B174" s="256" t="n"/>
      <c r="C174" s="257" t="n"/>
      <c r="D174" s="225">
        <f>IF(OR(A174="",B174="",C174=""),"",ROUND(B174*C174,2))</f>
        <v/>
      </c>
      <c r="E174" s="256" t="n"/>
      <c r="F174" s="225">
        <f>IF(OR(A174="",E174="",C174="",NOT(ISNUMBER($U$2))),"",ROUND(E174*C174*$U$2,2))</f>
        <v/>
      </c>
      <c r="G174" s="256" t="n"/>
      <c r="H174" s="225">
        <f>IF(OR(A174="",G174="",C174="",NOT(ISNUMBER($U$3))),"",ROUND(G174*C174*$U$3,2))</f>
        <v/>
      </c>
      <c r="I174" s="256" t="n"/>
      <c r="J174" s="225">
        <f>IF(OR(A174="",I174="",C174="",NOT(ISNUMBER($U$4))),"",ROUND(I174*C174*$U$4,2))</f>
        <v/>
      </c>
      <c r="K174" s="256" t="n"/>
      <c r="L174" s="225">
        <f>IF(OR(A174="",K174="",C174="",NOT(ISNUMBER($U$5))),"",ROUND(K174*C174*$U$5,2))</f>
        <v/>
      </c>
      <c r="M174" s="256" t="n"/>
      <c r="N174" s="225">
        <f>IF(OR(A174="",M174="",C174="",NOT(ISNUMBER($U$6))),"",ROUND(M174*C174*$U$6,2))</f>
        <v/>
      </c>
      <c r="O174" s="231">
        <f>IF(A174="","",SUM(E174,G174,I174,K174,M174))</f>
        <v/>
      </c>
      <c r="P174" s="225">
        <f>IF(A174="","",SUM(F174,H174,J174,L174,N174))</f>
        <v/>
      </c>
      <c r="Q174" s="233">
        <f>IF(A174="","",IF(O174&gt;B174,"DIVERGENCIA: CONSUMO MAIOR QUE CONTRATADO","OK"))</f>
        <v/>
      </c>
      <c r="R174" s="36" t="n"/>
      <c r="S174" s="36" t="n"/>
      <c r="T174" s="36" t="n"/>
      <c r="U174" s="36" t="n"/>
      <c r="V174" s="36" t="n"/>
      <c r="W174" s="36" t="n"/>
    </row>
    <row r="175">
      <c r="A175" s="255" t="n"/>
      <c r="B175" s="256" t="n"/>
      <c r="C175" s="257" t="n"/>
      <c r="D175" s="225">
        <f>IF(OR(A175="",B175="",C175=""),"",ROUND(B175*C175,2))</f>
        <v/>
      </c>
      <c r="E175" s="256" t="n"/>
      <c r="F175" s="225">
        <f>IF(OR(A175="",E175="",C175="",NOT(ISNUMBER($U$2))),"",ROUND(E175*C175*$U$2,2))</f>
        <v/>
      </c>
      <c r="G175" s="256" t="n"/>
      <c r="H175" s="225">
        <f>IF(OR(A175="",G175="",C175="",NOT(ISNUMBER($U$3))),"",ROUND(G175*C175*$U$3,2))</f>
        <v/>
      </c>
      <c r="I175" s="256" t="n"/>
      <c r="J175" s="225">
        <f>IF(OR(A175="",I175="",C175="",NOT(ISNUMBER($U$4))),"",ROUND(I175*C175*$U$4,2))</f>
        <v/>
      </c>
      <c r="K175" s="256" t="n"/>
      <c r="L175" s="225">
        <f>IF(OR(A175="",K175="",C175="",NOT(ISNUMBER($U$5))),"",ROUND(K175*C175*$U$5,2))</f>
        <v/>
      </c>
      <c r="M175" s="256" t="n"/>
      <c r="N175" s="225">
        <f>IF(OR(A175="",M175="",C175="",NOT(ISNUMBER($U$6))),"",ROUND(M175*C175*$U$6,2))</f>
        <v/>
      </c>
      <c r="O175" s="231">
        <f>IF(A175="","",SUM(E175,G175,I175,K175,M175))</f>
        <v/>
      </c>
      <c r="P175" s="225">
        <f>IF(A175="","",SUM(F175,H175,J175,L175,N175))</f>
        <v/>
      </c>
      <c r="Q175" s="233">
        <f>IF(A175="","",IF(O175&gt;B175,"DIVERGENCIA: CONSUMO MAIOR QUE CONTRATADO","OK"))</f>
        <v/>
      </c>
      <c r="R175" s="36" t="n"/>
      <c r="S175" s="36" t="n"/>
      <c r="T175" s="36" t="n"/>
      <c r="U175" s="36" t="n"/>
      <c r="V175" s="36" t="n"/>
      <c r="W175" s="36" t="n"/>
    </row>
    <row r="176">
      <c r="A176" s="255" t="n"/>
      <c r="B176" s="256" t="n"/>
      <c r="C176" s="257" t="n"/>
      <c r="D176" s="225">
        <f>IF(OR(A176="",B176="",C176=""),"",ROUND(B176*C176,2))</f>
        <v/>
      </c>
      <c r="E176" s="256" t="n"/>
      <c r="F176" s="225">
        <f>IF(OR(A176="",E176="",C176="",NOT(ISNUMBER($U$2))),"",ROUND(E176*C176*$U$2,2))</f>
        <v/>
      </c>
      <c r="G176" s="256" t="n"/>
      <c r="H176" s="225">
        <f>IF(OR(A176="",G176="",C176="",NOT(ISNUMBER($U$3))),"",ROUND(G176*C176*$U$3,2))</f>
        <v/>
      </c>
      <c r="I176" s="256" t="n"/>
      <c r="J176" s="225">
        <f>IF(OR(A176="",I176="",C176="",NOT(ISNUMBER($U$4))),"",ROUND(I176*C176*$U$4,2))</f>
        <v/>
      </c>
      <c r="K176" s="256" t="n"/>
      <c r="L176" s="225">
        <f>IF(OR(A176="",K176="",C176="",NOT(ISNUMBER($U$5))),"",ROUND(K176*C176*$U$5,2))</f>
        <v/>
      </c>
      <c r="M176" s="256" t="n"/>
      <c r="N176" s="225">
        <f>IF(OR(A176="",M176="",C176="",NOT(ISNUMBER($U$6))),"",ROUND(M176*C176*$U$6,2))</f>
        <v/>
      </c>
      <c r="O176" s="231">
        <f>IF(A176="","",SUM(E176,G176,I176,K176,M176))</f>
        <v/>
      </c>
      <c r="P176" s="225">
        <f>IF(A176="","",SUM(F176,H176,J176,L176,N176))</f>
        <v/>
      </c>
      <c r="Q176" s="233">
        <f>IF(A176="","",IF(O176&gt;B176,"DIVERGENCIA: CONSUMO MAIOR QUE CONTRATADO","OK"))</f>
        <v/>
      </c>
      <c r="R176" s="36" t="n"/>
      <c r="S176" s="36" t="n"/>
      <c r="T176" s="36" t="n"/>
      <c r="U176" s="36" t="n"/>
      <c r="V176" s="36" t="n"/>
      <c r="W176" s="36" t="n"/>
    </row>
    <row r="177">
      <c r="A177" s="255" t="n"/>
      <c r="B177" s="256" t="n"/>
      <c r="C177" s="257" t="n"/>
      <c r="D177" s="225">
        <f>IF(OR(A177="",B177="",C177=""),"",ROUND(B177*C177,2))</f>
        <v/>
      </c>
      <c r="E177" s="256" t="n"/>
      <c r="F177" s="225">
        <f>IF(OR(A177="",E177="",C177="",NOT(ISNUMBER($U$2))),"",ROUND(E177*C177*$U$2,2))</f>
        <v/>
      </c>
      <c r="G177" s="256" t="n"/>
      <c r="H177" s="225">
        <f>IF(OR(A177="",G177="",C177="",NOT(ISNUMBER($U$3))),"",ROUND(G177*C177*$U$3,2))</f>
        <v/>
      </c>
      <c r="I177" s="256" t="n"/>
      <c r="J177" s="225">
        <f>IF(OR(A177="",I177="",C177="",NOT(ISNUMBER($U$4))),"",ROUND(I177*C177*$U$4,2))</f>
        <v/>
      </c>
      <c r="K177" s="256" t="n"/>
      <c r="L177" s="225">
        <f>IF(OR(A177="",K177="",C177="",NOT(ISNUMBER($U$5))),"",ROUND(K177*C177*$U$5,2))</f>
        <v/>
      </c>
      <c r="M177" s="256" t="n"/>
      <c r="N177" s="225">
        <f>IF(OR(A177="",M177="",C177="",NOT(ISNUMBER($U$6))),"",ROUND(M177*C177*$U$6,2))</f>
        <v/>
      </c>
      <c r="O177" s="231">
        <f>IF(A177="","",SUM(E177,G177,I177,K177,M177))</f>
        <v/>
      </c>
      <c r="P177" s="225">
        <f>IF(A177="","",SUM(F177,H177,J177,L177,N177))</f>
        <v/>
      </c>
      <c r="Q177" s="233">
        <f>IF(A177="","",IF(O177&gt;B177,"DIVERGENCIA: CONSUMO MAIOR QUE CONTRATADO","OK"))</f>
        <v/>
      </c>
      <c r="R177" s="36" t="n"/>
      <c r="S177" s="36" t="n"/>
      <c r="T177" s="36" t="n"/>
      <c r="U177" s="36" t="n"/>
      <c r="V177" s="36" t="n"/>
      <c r="W177" s="36" t="n"/>
    </row>
    <row r="178">
      <c r="A178" s="255" t="n"/>
      <c r="B178" s="256" t="n"/>
      <c r="C178" s="257" t="n"/>
      <c r="D178" s="225">
        <f>IF(OR(A178="",B178="",C178=""),"",ROUND(B178*C178,2))</f>
        <v/>
      </c>
      <c r="E178" s="256" t="n"/>
      <c r="F178" s="225">
        <f>IF(OR(A178="",E178="",C178="",NOT(ISNUMBER($U$2))),"",ROUND(E178*C178*$U$2,2))</f>
        <v/>
      </c>
      <c r="G178" s="256" t="n"/>
      <c r="H178" s="225">
        <f>IF(OR(A178="",G178="",C178="",NOT(ISNUMBER($U$3))),"",ROUND(G178*C178*$U$3,2))</f>
        <v/>
      </c>
      <c r="I178" s="256" t="n"/>
      <c r="J178" s="225">
        <f>IF(OR(A178="",I178="",C178="",NOT(ISNUMBER($U$4))),"",ROUND(I178*C178*$U$4,2))</f>
        <v/>
      </c>
      <c r="K178" s="256" t="n"/>
      <c r="L178" s="225">
        <f>IF(OR(A178="",K178="",C178="",NOT(ISNUMBER($U$5))),"",ROUND(K178*C178*$U$5,2))</f>
        <v/>
      </c>
      <c r="M178" s="256" t="n"/>
      <c r="N178" s="225">
        <f>IF(OR(A178="",M178="",C178="",NOT(ISNUMBER($U$6))),"",ROUND(M178*C178*$U$6,2))</f>
        <v/>
      </c>
      <c r="O178" s="231">
        <f>IF(A178="","",SUM(E178,G178,I178,K178,M178))</f>
        <v/>
      </c>
      <c r="P178" s="225">
        <f>IF(A178="","",SUM(F178,H178,J178,L178,N178))</f>
        <v/>
      </c>
      <c r="Q178" s="233">
        <f>IF(A178="","",IF(O178&gt;B178,"DIVERGENCIA: CONSUMO MAIOR QUE CONTRATADO","OK"))</f>
        <v/>
      </c>
      <c r="R178" s="36" t="n"/>
      <c r="S178" s="36" t="n"/>
      <c r="T178" s="36" t="n"/>
      <c r="U178" s="36" t="n"/>
      <c r="V178" s="36" t="n"/>
      <c r="W178" s="36" t="n"/>
    </row>
    <row r="179">
      <c r="A179" s="255" t="n"/>
      <c r="B179" s="256" t="n"/>
      <c r="C179" s="257" t="n"/>
      <c r="D179" s="225">
        <f>IF(OR(A179="",B179="",C179=""),"",ROUND(B179*C179,2))</f>
        <v/>
      </c>
      <c r="E179" s="256" t="n"/>
      <c r="F179" s="225">
        <f>IF(OR(A179="",E179="",C179="",NOT(ISNUMBER($U$2))),"",ROUND(E179*C179*$U$2,2))</f>
        <v/>
      </c>
      <c r="G179" s="256" t="n"/>
      <c r="H179" s="225">
        <f>IF(OR(A179="",G179="",C179="",NOT(ISNUMBER($U$3))),"",ROUND(G179*C179*$U$3,2))</f>
        <v/>
      </c>
      <c r="I179" s="256" t="n"/>
      <c r="J179" s="225">
        <f>IF(OR(A179="",I179="",C179="",NOT(ISNUMBER($U$4))),"",ROUND(I179*C179*$U$4,2))</f>
        <v/>
      </c>
      <c r="K179" s="256" t="n"/>
      <c r="L179" s="225">
        <f>IF(OR(A179="",K179="",C179="",NOT(ISNUMBER($U$5))),"",ROUND(K179*C179*$U$5,2))</f>
        <v/>
      </c>
      <c r="M179" s="256" t="n"/>
      <c r="N179" s="225">
        <f>IF(OR(A179="",M179="",C179="",NOT(ISNUMBER($U$6))),"",ROUND(M179*C179*$U$6,2))</f>
        <v/>
      </c>
      <c r="O179" s="231">
        <f>IF(A179="","",SUM(E179,G179,I179,K179,M179))</f>
        <v/>
      </c>
      <c r="P179" s="225">
        <f>IF(A179="","",SUM(F179,H179,J179,L179,N179))</f>
        <v/>
      </c>
      <c r="Q179" s="233">
        <f>IF(A179="","",IF(O179&gt;B179,"DIVERGENCIA: CONSUMO MAIOR QUE CONTRATADO","OK"))</f>
        <v/>
      </c>
      <c r="R179" s="36" t="n"/>
      <c r="S179" s="36" t="n"/>
      <c r="T179" s="36" t="n"/>
      <c r="U179" s="36" t="n"/>
      <c r="V179" s="36" t="n"/>
      <c r="W179" s="36" t="n"/>
    </row>
    <row r="180">
      <c r="A180" s="255" t="n"/>
      <c r="B180" s="256" t="n"/>
      <c r="C180" s="257" t="n"/>
      <c r="D180" s="225">
        <f>IF(OR(A180="",B180="",C180=""),"",ROUND(B180*C180,2))</f>
        <v/>
      </c>
      <c r="E180" s="256" t="n"/>
      <c r="F180" s="225">
        <f>IF(OR(A180="",E180="",C180="",NOT(ISNUMBER($U$2))),"",ROUND(E180*C180*$U$2,2))</f>
        <v/>
      </c>
      <c r="G180" s="256" t="n"/>
      <c r="H180" s="225">
        <f>IF(OR(A180="",G180="",C180="",NOT(ISNUMBER($U$3))),"",ROUND(G180*C180*$U$3,2))</f>
        <v/>
      </c>
      <c r="I180" s="256" t="n"/>
      <c r="J180" s="225">
        <f>IF(OR(A180="",I180="",C180="",NOT(ISNUMBER($U$4))),"",ROUND(I180*C180*$U$4,2))</f>
        <v/>
      </c>
      <c r="K180" s="256" t="n"/>
      <c r="L180" s="225">
        <f>IF(OR(A180="",K180="",C180="",NOT(ISNUMBER($U$5))),"",ROUND(K180*C180*$U$5,2))</f>
        <v/>
      </c>
      <c r="M180" s="256" t="n"/>
      <c r="N180" s="225">
        <f>IF(OR(A180="",M180="",C180="",NOT(ISNUMBER($U$6))),"",ROUND(M180*C180*$U$6,2))</f>
        <v/>
      </c>
      <c r="O180" s="231">
        <f>IF(A180="","",SUM(E180,G180,I180,K180,M180))</f>
        <v/>
      </c>
      <c r="P180" s="225">
        <f>IF(A180="","",SUM(F180,H180,J180,L180,N180))</f>
        <v/>
      </c>
      <c r="Q180" s="233">
        <f>IF(A180="","",IF(O180&gt;B180,"DIVERGENCIA: CONSUMO MAIOR QUE CONTRATADO","OK"))</f>
        <v/>
      </c>
      <c r="R180" s="36" t="n"/>
      <c r="S180" s="36" t="n"/>
      <c r="T180" s="36" t="n"/>
      <c r="U180" s="36" t="n"/>
      <c r="V180" s="36" t="n"/>
      <c r="W180" s="36" t="n"/>
    </row>
    <row r="181">
      <c r="A181" s="255" t="n"/>
      <c r="B181" s="256" t="n"/>
      <c r="C181" s="257" t="n"/>
      <c r="D181" s="225">
        <f>IF(OR(A181="",B181="",C181=""),"",ROUND(B181*C181,2))</f>
        <v/>
      </c>
      <c r="E181" s="256" t="n"/>
      <c r="F181" s="225">
        <f>IF(OR(A181="",E181="",C181="",NOT(ISNUMBER($U$2))),"",ROUND(E181*C181*$U$2,2))</f>
        <v/>
      </c>
      <c r="G181" s="256" t="n"/>
      <c r="H181" s="225">
        <f>IF(OR(A181="",G181="",C181="",NOT(ISNUMBER($U$3))),"",ROUND(G181*C181*$U$3,2))</f>
        <v/>
      </c>
      <c r="I181" s="256" t="n"/>
      <c r="J181" s="225">
        <f>IF(OR(A181="",I181="",C181="",NOT(ISNUMBER($U$4))),"",ROUND(I181*C181*$U$4,2))</f>
        <v/>
      </c>
      <c r="K181" s="256" t="n"/>
      <c r="L181" s="225">
        <f>IF(OR(A181="",K181="",C181="",NOT(ISNUMBER($U$5))),"",ROUND(K181*C181*$U$5,2))</f>
        <v/>
      </c>
      <c r="M181" s="256" t="n"/>
      <c r="N181" s="225">
        <f>IF(OR(A181="",M181="",C181="",NOT(ISNUMBER($U$6))),"",ROUND(M181*C181*$U$6,2))</f>
        <v/>
      </c>
      <c r="O181" s="231">
        <f>IF(A181="","",SUM(E181,G181,I181,K181,M181))</f>
        <v/>
      </c>
      <c r="P181" s="225">
        <f>IF(A181="","",SUM(F181,H181,J181,L181,N181))</f>
        <v/>
      </c>
      <c r="Q181" s="233">
        <f>IF(A181="","",IF(O181&gt;B181,"DIVERGENCIA: CONSUMO MAIOR QUE CONTRATADO","OK"))</f>
        <v/>
      </c>
      <c r="R181" s="36" t="n"/>
      <c r="S181" s="36" t="n"/>
      <c r="T181" s="36" t="n"/>
      <c r="U181" s="36" t="n"/>
      <c r="V181" s="36" t="n"/>
      <c r="W181" s="36" t="n"/>
    </row>
    <row r="182">
      <c r="A182" s="255" t="n"/>
      <c r="B182" s="256" t="n"/>
      <c r="C182" s="257" t="n"/>
      <c r="D182" s="225">
        <f>IF(OR(A182="",B182="",C182=""),"",ROUND(B182*C182,2))</f>
        <v/>
      </c>
      <c r="E182" s="256" t="n"/>
      <c r="F182" s="225">
        <f>IF(OR(A182="",E182="",C182="",NOT(ISNUMBER($U$2))),"",ROUND(E182*C182*$U$2,2))</f>
        <v/>
      </c>
      <c r="G182" s="256" t="n"/>
      <c r="H182" s="225">
        <f>IF(OR(A182="",G182="",C182="",NOT(ISNUMBER($U$3))),"",ROUND(G182*C182*$U$3,2))</f>
        <v/>
      </c>
      <c r="I182" s="256" t="n"/>
      <c r="J182" s="225">
        <f>IF(OR(A182="",I182="",C182="",NOT(ISNUMBER($U$4))),"",ROUND(I182*C182*$U$4,2))</f>
        <v/>
      </c>
      <c r="K182" s="256" t="n"/>
      <c r="L182" s="225">
        <f>IF(OR(A182="",K182="",C182="",NOT(ISNUMBER($U$5))),"",ROUND(K182*C182*$U$5,2))</f>
        <v/>
      </c>
      <c r="M182" s="256" t="n"/>
      <c r="N182" s="225">
        <f>IF(OR(A182="",M182="",C182="",NOT(ISNUMBER($U$6))),"",ROUND(M182*C182*$U$6,2))</f>
        <v/>
      </c>
      <c r="O182" s="231">
        <f>IF(A182="","",SUM(E182,G182,I182,K182,M182))</f>
        <v/>
      </c>
      <c r="P182" s="225">
        <f>IF(A182="","",SUM(F182,H182,J182,L182,N182))</f>
        <v/>
      </c>
      <c r="Q182" s="233">
        <f>IF(A182="","",IF(O182&gt;B182,"DIVERGENCIA: CONSUMO MAIOR QUE CONTRATADO","OK"))</f>
        <v/>
      </c>
      <c r="R182" s="36" t="n"/>
      <c r="S182" s="36" t="n"/>
      <c r="T182" s="36" t="n"/>
      <c r="U182" s="36" t="n"/>
      <c r="V182" s="36" t="n"/>
      <c r="W182" s="36" t="n"/>
    </row>
    <row r="183">
      <c r="A183" s="255" t="n"/>
      <c r="B183" s="256" t="n"/>
      <c r="C183" s="257" t="n"/>
      <c r="D183" s="225">
        <f>IF(OR(A183="",B183="",C183=""),"",ROUND(B183*C183,2))</f>
        <v/>
      </c>
      <c r="E183" s="256" t="n"/>
      <c r="F183" s="225">
        <f>IF(OR(A183="",E183="",C183="",NOT(ISNUMBER($U$2))),"",ROUND(E183*C183*$U$2,2))</f>
        <v/>
      </c>
      <c r="G183" s="256" t="n"/>
      <c r="H183" s="225">
        <f>IF(OR(A183="",G183="",C183="",NOT(ISNUMBER($U$3))),"",ROUND(G183*C183*$U$3,2))</f>
        <v/>
      </c>
      <c r="I183" s="256" t="n"/>
      <c r="J183" s="225">
        <f>IF(OR(A183="",I183="",C183="",NOT(ISNUMBER($U$4))),"",ROUND(I183*C183*$U$4,2))</f>
        <v/>
      </c>
      <c r="K183" s="256" t="n"/>
      <c r="L183" s="225">
        <f>IF(OR(A183="",K183="",C183="",NOT(ISNUMBER($U$5))),"",ROUND(K183*C183*$U$5,2))</f>
        <v/>
      </c>
      <c r="M183" s="256" t="n"/>
      <c r="N183" s="225">
        <f>IF(OR(A183="",M183="",C183="",NOT(ISNUMBER($U$6))),"",ROUND(M183*C183*$U$6,2))</f>
        <v/>
      </c>
      <c r="O183" s="231">
        <f>IF(A183="","",SUM(E183,G183,I183,K183,M183))</f>
        <v/>
      </c>
      <c r="P183" s="225">
        <f>IF(A183="","",SUM(F183,H183,J183,L183,N183))</f>
        <v/>
      </c>
      <c r="Q183" s="233">
        <f>IF(A183="","",IF(O183&gt;B183,"DIVERGENCIA: CONSUMO MAIOR QUE CONTRATADO","OK"))</f>
        <v/>
      </c>
      <c r="R183" s="36" t="n"/>
      <c r="S183" s="36" t="n"/>
      <c r="T183" s="36" t="n"/>
      <c r="U183" s="36" t="n"/>
      <c r="V183" s="36" t="n"/>
      <c r="W183" s="36" t="n"/>
    </row>
    <row r="184">
      <c r="A184" s="255" t="n"/>
      <c r="B184" s="256" t="n"/>
      <c r="C184" s="257" t="n"/>
      <c r="D184" s="225">
        <f>IF(OR(A184="",B184="",C184=""),"",ROUND(B184*C184,2))</f>
        <v/>
      </c>
      <c r="E184" s="256" t="n"/>
      <c r="F184" s="225">
        <f>IF(OR(A184="",E184="",C184="",NOT(ISNUMBER($U$2))),"",ROUND(E184*C184*$U$2,2))</f>
        <v/>
      </c>
      <c r="G184" s="256" t="n"/>
      <c r="H184" s="225">
        <f>IF(OR(A184="",G184="",C184="",NOT(ISNUMBER($U$3))),"",ROUND(G184*C184*$U$3,2))</f>
        <v/>
      </c>
      <c r="I184" s="256" t="n"/>
      <c r="J184" s="225">
        <f>IF(OR(A184="",I184="",C184="",NOT(ISNUMBER($U$4))),"",ROUND(I184*C184*$U$4,2))</f>
        <v/>
      </c>
      <c r="K184" s="256" t="n"/>
      <c r="L184" s="225">
        <f>IF(OR(A184="",K184="",C184="",NOT(ISNUMBER($U$5))),"",ROUND(K184*C184*$U$5,2))</f>
        <v/>
      </c>
      <c r="M184" s="256" t="n"/>
      <c r="N184" s="225">
        <f>IF(OR(A184="",M184="",C184="",NOT(ISNUMBER($U$6))),"",ROUND(M184*C184*$U$6,2))</f>
        <v/>
      </c>
      <c r="O184" s="231">
        <f>IF(A184="","",SUM(E184,G184,I184,K184,M184))</f>
        <v/>
      </c>
      <c r="P184" s="225">
        <f>IF(A184="","",SUM(F184,H184,J184,L184,N184))</f>
        <v/>
      </c>
      <c r="Q184" s="233">
        <f>IF(A184="","",IF(O184&gt;B184,"DIVERGENCIA: CONSUMO MAIOR QUE CONTRATADO","OK"))</f>
        <v/>
      </c>
      <c r="R184" s="36" t="n"/>
      <c r="S184" s="36" t="n"/>
      <c r="T184" s="36" t="n"/>
      <c r="U184" s="36" t="n"/>
      <c r="V184" s="36" t="n"/>
      <c r="W184" s="36" t="n"/>
    </row>
    <row r="185">
      <c r="A185" s="255" t="n"/>
      <c r="B185" s="256" t="n"/>
      <c r="C185" s="257" t="n"/>
      <c r="D185" s="225">
        <f>IF(OR(A185="",B185="",C185=""),"",ROUND(B185*C185,2))</f>
        <v/>
      </c>
      <c r="E185" s="256" t="n"/>
      <c r="F185" s="225">
        <f>IF(OR(A185="",E185="",C185="",NOT(ISNUMBER($U$2))),"",ROUND(E185*C185*$U$2,2))</f>
        <v/>
      </c>
      <c r="G185" s="256" t="n"/>
      <c r="H185" s="225">
        <f>IF(OR(A185="",G185="",C185="",NOT(ISNUMBER($U$3))),"",ROUND(G185*C185*$U$3,2))</f>
        <v/>
      </c>
      <c r="I185" s="256" t="n"/>
      <c r="J185" s="225">
        <f>IF(OR(A185="",I185="",C185="",NOT(ISNUMBER($U$4))),"",ROUND(I185*C185*$U$4,2))</f>
        <v/>
      </c>
      <c r="K185" s="256" t="n"/>
      <c r="L185" s="225">
        <f>IF(OR(A185="",K185="",C185="",NOT(ISNUMBER($U$5))),"",ROUND(K185*C185*$U$5,2))</f>
        <v/>
      </c>
      <c r="M185" s="256" t="n"/>
      <c r="N185" s="225">
        <f>IF(OR(A185="",M185="",C185="",NOT(ISNUMBER($U$6))),"",ROUND(M185*C185*$U$6,2))</f>
        <v/>
      </c>
      <c r="O185" s="231">
        <f>IF(A185="","",SUM(E185,G185,I185,K185,M185))</f>
        <v/>
      </c>
      <c r="P185" s="225">
        <f>IF(A185="","",SUM(F185,H185,J185,L185,N185))</f>
        <v/>
      </c>
      <c r="Q185" s="233">
        <f>IF(A185="","",IF(O185&gt;B185,"DIVERGENCIA: CONSUMO MAIOR QUE CONTRATADO","OK"))</f>
        <v/>
      </c>
      <c r="R185" s="36" t="n"/>
      <c r="S185" s="36" t="n"/>
      <c r="T185" s="36" t="n"/>
      <c r="U185" s="36" t="n"/>
      <c r="V185" s="36" t="n"/>
      <c r="W185" s="36" t="n"/>
    </row>
    <row r="186">
      <c r="A186" s="255" t="n"/>
      <c r="B186" s="256" t="n"/>
      <c r="C186" s="257" t="n"/>
      <c r="D186" s="225">
        <f>IF(OR(A186="",B186="",C186=""),"",ROUND(B186*C186,2))</f>
        <v/>
      </c>
      <c r="E186" s="256" t="n"/>
      <c r="F186" s="225">
        <f>IF(OR(A186="",E186="",C186="",NOT(ISNUMBER($U$2))),"",ROUND(E186*C186*$U$2,2))</f>
        <v/>
      </c>
      <c r="G186" s="256" t="n"/>
      <c r="H186" s="225">
        <f>IF(OR(A186="",G186="",C186="",NOT(ISNUMBER($U$3))),"",ROUND(G186*C186*$U$3,2))</f>
        <v/>
      </c>
      <c r="I186" s="256" t="n"/>
      <c r="J186" s="225">
        <f>IF(OR(A186="",I186="",C186="",NOT(ISNUMBER($U$4))),"",ROUND(I186*C186*$U$4,2))</f>
        <v/>
      </c>
      <c r="K186" s="256" t="n"/>
      <c r="L186" s="225">
        <f>IF(OR(A186="",K186="",C186="",NOT(ISNUMBER($U$5))),"",ROUND(K186*C186*$U$5,2))</f>
        <v/>
      </c>
      <c r="M186" s="256" t="n"/>
      <c r="N186" s="225">
        <f>IF(OR(A186="",M186="",C186="",NOT(ISNUMBER($U$6))),"",ROUND(M186*C186*$U$6,2))</f>
        <v/>
      </c>
      <c r="O186" s="231">
        <f>IF(A186="","",SUM(E186,G186,I186,K186,M186))</f>
        <v/>
      </c>
      <c r="P186" s="225">
        <f>IF(A186="","",SUM(F186,H186,J186,L186,N186))</f>
        <v/>
      </c>
      <c r="Q186" s="233">
        <f>IF(A186="","",IF(O186&gt;B186,"DIVERGENCIA: CONSUMO MAIOR QUE CONTRATADO","OK"))</f>
        <v/>
      </c>
      <c r="R186" s="36" t="n"/>
      <c r="S186" s="36" t="n"/>
      <c r="T186" s="36" t="n"/>
      <c r="U186" s="36" t="n"/>
      <c r="V186" s="36" t="n"/>
      <c r="W186" s="36" t="n"/>
    </row>
    <row r="187">
      <c r="A187" s="255" t="n"/>
      <c r="B187" s="256" t="n"/>
      <c r="C187" s="257" t="n"/>
      <c r="D187" s="225">
        <f>IF(OR(A187="",B187="",C187=""),"",ROUND(B187*C187,2))</f>
        <v/>
      </c>
      <c r="E187" s="256" t="n"/>
      <c r="F187" s="225">
        <f>IF(OR(A187="",E187="",C187="",NOT(ISNUMBER($U$2))),"",ROUND(E187*C187*$U$2,2))</f>
        <v/>
      </c>
      <c r="G187" s="256" t="n"/>
      <c r="H187" s="225">
        <f>IF(OR(A187="",G187="",C187="",NOT(ISNUMBER($U$3))),"",ROUND(G187*C187*$U$3,2))</f>
        <v/>
      </c>
      <c r="I187" s="256" t="n"/>
      <c r="J187" s="225">
        <f>IF(OR(A187="",I187="",C187="",NOT(ISNUMBER($U$4))),"",ROUND(I187*C187*$U$4,2))</f>
        <v/>
      </c>
      <c r="K187" s="256" t="n"/>
      <c r="L187" s="225">
        <f>IF(OR(A187="",K187="",C187="",NOT(ISNUMBER($U$5))),"",ROUND(K187*C187*$U$5,2))</f>
        <v/>
      </c>
      <c r="M187" s="256" t="n"/>
      <c r="N187" s="225">
        <f>IF(OR(A187="",M187="",C187="",NOT(ISNUMBER($U$6))),"",ROUND(M187*C187*$U$6,2))</f>
        <v/>
      </c>
      <c r="O187" s="231">
        <f>IF(A187="","",SUM(E187,G187,I187,K187,M187))</f>
        <v/>
      </c>
      <c r="P187" s="225">
        <f>IF(A187="","",SUM(F187,H187,J187,L187,N187))</f>
        <v/>
      </c>
      <c r="Q187" s="233">
        <f>IF(A187="","",IF(O187&gt;B187,"DIVERGENCIA: CONSUMO MAIOR QUE CONTRATADO","OK"))</f>
        <v/>
      </c>
      <c r="R187" s="36" t="n"/>
      <c r="S187" s="36" t="n"/>
      <c r="T187" s="36" t="n"/>
      <c r="U187" s="36" t="n"/>
      <c r="V187" s="36" t="n"/>
      <c r="W187" s="36" t="n"/>
    </row>
    <row r="188">
      <c r="A188" s="255" t="n"/>
      <c r="B188" s="256" t="n"/>
      <c r="C188" s="257" t="n"/>
      <c r="D188" s="225">
        <f>IF(OR(A188="",B188="",C188=""),"",ROUND(B188*C188,2))</f>
        <v/>
      </c>
      <c r="E188" s="256" t="n"/>
      <c r="F188" s="225">
        <f>IF(OR(A188="",E188="",C188="",NOT(ISNUMBER($U$2))),"",ROUND(E188*C188*$U$2,2))</f>
        <v/>
      </c>
      <c r="G188" s="256" t="n"/>
      <c r="H188" s="225">
        <f>IF(OR(A188="",G188="",C188="",NOT(ISNUMBER($U$3))),"",ROUND(G188*C188*$U$3,2))</f>
        <v/>
      </c>
      <c r="I188" s="256" t="n"/>
      <c r="J188" s="225">
        <f>IF(OR(A188="",I188="",C188="",NOT(ISNUMBER($U$4))),"",ROUND(I188*C188*$U$4,2))</f>
        <v/>
      </c>
      <c r="K188" s="256" t="n"/>
      <c r="L188" s="225">
        <f>IF(OR(A188="",K188="",C188="",NOT(ISNUMBER($U$5))),"",ROUND(K188*C188*$U$5,2))</f>
        <v/>
      </c>
      <c r="M188" s="256" t="n"/>
      <c r="N188" s="225">
        <f>IF(OR(A188="",M188="",C188="",NOT(ISNUMBER($U$6))),"",ROUND(M188*C188*$U$6,2))</f>
        <v/>
      </c>
      <c r="O188" s="231">
        <f>IF(A188="","",SUM(E188,G188,I188,K188,M188))</f>
        <v/>
      </c>
      <c r="P188" s="225">
        <f>IF(A188="","",SUM(F188,H188,J188,L188,N188))</f>
        <v/>
      </c>
      <c r="Q188" s="233">
        <f>IF(A188="","",IF(O188&gt;B188,"DIVERGENCIA: CONSUMO MAIOR QUE CONTRATADO","OK"))</f>
        <v/>
      </c>
      <c r="R188" s="36" t="n"/>
      <c r="S188" s="36" t="n"/>
      <c r="T188" s="36" t="n"/>
      <c r="U188" s="36" t="n"/>
      <c r="V188" s="36" t="n"/>
      <c r="W188" s="36" t="n"/>
    </row>
    <row r="189">
      <c r="A189" s="255" t="n"/>
      <c r="B189" s="256" t="n"/>
      <c r="C189" s="257" t="n"/>
      <c r="D189" s="225">
        <f>IF(OR(A189="",B189="",C189=""),"",ROUND(B189*C189,2))</f>
        <v/>
      </c>
      <c r="E189" s="256" t="n"/>
      <c r="F189" s="225">
        <f>IF(OR(A189="",E189="",C189="",NOT(ISNUMBER($U$2))),"",ROUND(E189*C189*$U$2,2))</f>
        <v/>
      </c>
      <c r="G189" s="256" t="n"/>
      <c r="H189" s="225">
        <f>IF(OR(A189="",G189="",C189="",NOT(ISNUMBER($U$3))),"",ROUND(G189*C189*$U$3,2))</f>
        <v/>
      </c>
      <c r="I189" s="256" t="n"/>
      <c r="J189" s="225">
        <f>IF(OR(A189="",I189="",C189="",NOT(ISNUMBER($U$4))),"",ROUND(I189*C189*$U$4,2))</f>
        <v/>
      </c>
      <c r="K189" s="256" t="n"/>
      <c r="L189" s="225">
        <f>IF(OR(A189="",K189="",C189="",NOT(ISNUMBER($U$5))),"",ROUND(K189*C189*$U$5,2))</f>
        <v/>
      </c>
      <c r="M189" s="256" t="n"/>
      <c r="N189" s="225">
        <f>IF(OR(A189="",M189="",C189="",NOT(ISNUMBER($U$6))),"",ROUND(M189*C189*$U$6,2))</f>
        <v/>
      </c>
      <c r="O189" s="231">
        <f>IF(A189="","",SUM(E189,G189,I189,K189,M189))</f>
        <v/>
      </c>
      <c r="P189" s="225">
        <f>IF(A189="","",SUM(F189,H189,J189,L189,N189))</f>
        <v/>
      </c>
      <c r="Q189" s="233">
        <f>IF(A189="","",IF(O189&gt;B189,"DIVERGENCIA: CONSUMO MAIOR QUE CONTRATADO","OK"))</f>
        <v/>
      </c>
      <c r="R189" s="36" t="n"/>
      <c r="S189" s="36" t="n"/>
      <c r="T189" s="36" t="n"/>
      <c r="U189" s="36" t="n"/>
      <c r="V189" s="36" t="n"/>
      <c r="W189" s="36" t="n"/>
    </row>
    <row r="190">
      <c r="A190" s="255" t="n"/>
      <c r="B190" s="256" t="n"/>
      <c r="C190" s="257" t="n"/>
      <c r="D190" s="225">
        <f>IF(OR(A190="",B190="",C190=""),"",ROUND(B190*C190,2))</f>
        <v/>
      </c>
      <c r="E190" s="256" t="n"/>
      <c r="F190" s="225">
        <f>IF(OR(A190="",E190="",C190="",NOT(ISNUMBER($U$2))),"",ROUND(E190*C190*$U$2,2))</f>
        <v/>
      </c>
      <c r="G190" s="256" t="n"/>
      <c r="H190" s="225">
        <f>IF(OR(A190="",G190="",C190="",NOT(ISNUMBER($U$3))),"",ROUND(G190*C190*$U$3,2))</f>
        <v/>
      </c>
      <c r="I190" s="256" t="n"/>
      <c r="J190" s="225">
        <f>IF(OR(A190="",I190="",C190="",NOT(ISNUMBER($U$4))),"",ROUND(I190*C190*$U$4,2))</f>
        <v/>
      </c>
      <c r="K190" s="256" t="n"/>
      <c r="L190" s="225">
        <f>IF(OR(A190="",K190="",C190="",NOT(ISNUMBER($U$5))),"",ROUND(K190*C190*$U$5,2))</f>
        <v/>
      </c>
      <c r="M190" s="256" t="n"/>
      <c r="N190" s="225">
        <f>IF(OR(A190="",M190="",C190="",NOT(ISNUMBER($U$6))),"",ROUND(M190*C190*$U$6,2))</f>
        <v/>
      </c>
      <c r="O190" s="231">
        <f>IF(A190="","",SUM(E190,G190,I190,K190,M190))</f>
        <v/>
      </c>
      <c r="P190" s="225">
        <f>IF(A190="","",SUM(F190,H190,J190,L190,N190))</f>
        <v/>
      </c>
      <c r="Q190" s="233">
        <f>IF(A190="","",IF(O190&gt;B190,"DIVERGENCIA: CONSUMO MAIOR QUE CONTRATADO","OK"))</f>
        <v/>
      </c>
      <c r="R190" s="36" t="n"/>
      <c r="S190" s="36" t="n"/>
      <c r="T190" s="36" t="n"/>
      <c r="U190" s="36" t="n"/>
      <c r="V190" s="36" t="n"/>
      <c r="W190" s="36" t="n"/>
    </row>
    <row r="191">
      <c r="A191" s="255" t="n"/>
      <c r="B191" s="256" t="n"/>
      <c r="C191" s="257" t="n"/>
      <c r="D191" s="225">
        <f>IF(OR(A191="",B191="",C191=""),"",ROUND(B191*C191,2))</f>
        <v/>
      </c>
      <c r="E191" s="256" t="n"/>
      <c r="F191" s="225">
        <f>IF(OR(A191="",E191="",C191="",NOT(ISNUMBER($U$2))),"",ROUND(E191*C191*$U$2,2))</f>
        <v/>
      </c>
      <c r="G191" s="256" t="n"/>
      <c r="H191" s="225">
        <f>IF(OR(A191="",G191="",C191="",NOT(ISNUMBER($U$3))),"",ROUND(G191*C191*$U$3,2))</f>
        <v/>
      </c>
      <c r="I191" s="256" t="n"/>
      <c r="J191" s="225">
        <f>IF(OR(A191="",I191="",C191="",NOT(ISNUMBER($U$4))),"",ROUND(I191*C191*$U$4,2))</f>
        <v/>
      </c>
      <c r="K191" s="256" t="n"/>
      <c r="L191" s="225">
        <f>IF(OR(A191="",K191="",C191="",NOT(ISNUMBER($U$5))),"",ROUND(K191*C191*$U$5,2))</f>
        <v/>
      </c>
      <c r="M191" s="256" t="n"/>
      <c r="N191" s="225">
        <f>IF(OR(A191="",M191="",C191="",NOT(ISNUMBER($U$6))),"",ROUND(M191*C191*$U$6,2))</f>
        <v/>
      </c>
      <c r="O191" s="231">
        <f>IF(A191="","",SUM(E191,G191,I191,K191,M191))</f>
        <v/>
      </c>
      <c r="P191" s="225">
        <f>IF(A191="","",SUM(F191,H191,J191,L191,N191))</f>
        <v/>
      </c>
      <c r="Q191" s="233">
        <f>IF(A191="","",IF(O191&gt;B191,"DIVERGENCIA: CONSUMO MAIOR QUE CONTRATADO","OK"))</f>
        <v/>
      </c>
      <c r="R191" s="36" t="n"/>
      <c r="S191" s="36" t="n"/>
      <c r="T191" s="36" t="n"/>
      <c r="U191" s="36" t="n"/>
      <c r="V191" s="36" t="n"/>
      <c r="W191" s="36" t="n"/>
    </row>
    <row r="192">
      <c r="A192" s="255" t="n"/>
      <c r="B192" s="256" t="n"/>
      <c r="C192" s="257" t="n"/>
      <c r="D192" s="225">
        <f>IF(OR(A192="",B192="",C192=""),"",ROUND(B192*C192,2))</f>
        <v/>
      </c>
      <c r="E192" s="256" t="n"/>
      <c r="F192" s="225">
        <f>IF(OR(A192="",E192="",C192="",NOT(ISNUMBER($U$2))),"",ROUND(E192*C192*$U$2,2))</f>
        <v/>
      </c>
      <c r="G192" s="256" t="n"/>
      <c r="H192" s="225">
        <f>IF(OR(A192="",G192="",C192="",NOT(ISNUMBER($U$3))),"",ROUND(G192*C192*$U$3,2))</f>
        <v/>
      </c>
      <c r="I192" s="256" t="n"/>
      <c r="J192" s="225">
        <f>IF(OR(A192="",I192="",C192="",NOT(ISNUMBER($U$4))),"",ROUND(I192*C192*$U$4,2))</f>
        <v/>
      </c>
      <c r="K192" s="256" t="n"/>
      <c r="L192" s="225">
        <f>IF(OR(A192="",K192="",C192="",NOT(ISNUMBER($U$5))),"",ROUND(K192*C192*$U$5,2))</f>
        <v/>
      </c>
      <c r="M192" s="256" t="n"/>
      <c r="N192" s="225">
        <f>IF(OR(A192="",M192="",C192="",NOT(ISNUMBER($U$6))),"",ROUND(M192*C192*$U$6,2))</f>
        <v/>
      </c>
      <c r="O192" s="231">
        <f>IF(A192="","",SUM(E192,G192,I192,K192,M192))</f>
        <v/>
      </c>
      <c r="P192" s="225">
        <f>IF(A192="","",SUM(F192,H192,J192,L192,N192))</f>
        <v/>
      </c>
      <c r="Q192" s="233">
        <f>IF(A192="","",IF(O192&gt;B192,"DIVERGENCIA: CONSUMO MAIOR QUE CONTRATADO","OK"))</f>
        <v/>
      </c>
      <c r="R192" s="36" t="n"/>
      <c r="S192" s="36" t="n"/>
      <c r="T192" s="36" t="n"/>
      <c r="U192" s="36" t="n"/>
      <c r="V192" s="36" t="n"/>
      <c r="W192" s="36" t="n"/>
    </row>
    <row r="193">
      <c r="A193" s="255" t="n"/>
      <c r="B193" s="256" t="n"/>
      <c r="C193" s="257" t="n"/>
      <c r="D193" s="225">
        <f>IF(OR(A193="",B193="",C193=""),"",ROUND(B193*C193,2))</f>
        <v/>
      </c>
      <c r="E193" s="256" t="n"/>
      <c r="F193" s="225">
        <f>IF(OR(A193="",E193="",C193="",NOT(ISNUMBER($U$2))),"",ROUND(E193*C193*$U$2,2))</f>
        <v/>
      </c>
      <c r="G193" s="256" t="n"/>
      <c r="H193" s="225">
        <f>IF(OR(A193="",G193="",C193="",NOT(ISNUMBER($U$3))),"",ROUND(G193*C193*$U$3,2))</f>
        <v/>
      </c>
      <c r="I193" s="256" t="n"/>
      <c r="J193" s="225">
        <f>IF(OR(A193="",I193="",C193="",NOT(ISNUMBER($U$4))),"",ROUND(I193*C193*$U$4,2))</f>
        <v/>
      </c>
      <c r="K193" s="256" t="n"/>
      <c r="L193" s="225">
        <f>IF(OR(A193="",K193="",C193="",NOT(ISNUMBER($U$5))),"",ROUND(K193*C193*$U$5,2))</f>
        <v/>
      </c>
      <c r="M193" s="256" t="n"/>
      <c r="N193" s="225">
        <f>IF(OR(A193="",M193="",C193="",NOT(ISNUMBER($U$6))),"",ROUND(M193*C193*$U$6,2))</f>
        <v/>
      </c>
      <c r="O193" s="231">
        <f>IF(A193="","",SUM(E193,G193,I193,K193,M193))</f>
        <v/>
      </c>
      <c r="P193" s="225">
        <f>IF(A193="","",SUM(F193,H193,J193,L193,N193))</f>
        <v/>
      </c>
      <c r="Q193" s="233">
        <f>IF(A193="","",IF(O193&gt;B193,"DIVERGENCIA: CONSUMO MAIOR QUE CONTRATADO","OK"))</f>
        <v/>
      </c>
      <c r="R193" s="36" t="n"/>
      <c r="S193" s="36" t="n"/>
      <c r="T193" s="36" t="n"/>
      <c r="U193" s="36" t="n"/>
      <c r="V193" s="36" t="n"/>
      <c r="W193" s="36" t="n"/>
    </row>
    <row r="194">
      <c r="A194" s="255" t="n"/>
      <c r="B194" s="256" t="n"/>
      <c r="C194" s="257" t="n"/>
      <c r="D194" s="225">
        <f>IF(OR(A194="",B194="",C194=""),"",ROUND(B194*C194,2))</f>
        <v/>
      </c>
      <c r="E194" s="256" t="n"/>
      <c r="F194" s="225">
        <f>IF(OR(A194="",E194="",C194="",NOT(ISNUMBER($U$2))),"",ROUND(E194*C194*$U$2,2))</f>
        <v/>
      </c>
      <c r="G194" s="256" t="n"/>
      <c r="H194" s="225">
        <f>IF(OR(A194="",G194="",C194="",NOT(ISNUMBER($U$3))),"",ROUND(G194*C194*$U$3,2))</f>
        <v/>
      </c>
      <c r="I194" s="256" t="n"/>
      <c r="J194" s="225">
        <f>IF(OR(A194="",I194="",C194="",NOT(ISNUMBER($U$4))),"",ROUND(I194*C194*$U$4,2))</f>
        <v/>
      </c>
      <c r="K194" s="256" t="n"/>
      <c r="L194" s="225">
        <f>IF(OR(A194="",K194="",C194="",NOT(ISNUMBER($U$5))),"",ROUND(K194*C194*$U$5,2))</f>
        <v/>
      </c>
      <c r="M194" s="256" t="n"/>
      <c r="N194" s="225">
        <f>IF(OR(A194="",M194="",C194="",NOT(ISNUMBER($U$6))),"",ROUND(M194*C194*$U$6,2))</f>
        <v/>
      </c>
      <c r="O194" s="231">
        <f>IF(A194="","",SUM(E194,G194,I194,K194,M194))</f>
        <v/>
      </c>
      <c r="P194" s="225">
        <f>IF(A194="","",SUM(F194,H194,J194,L194,N194))</f>
        <v/>
      </c>
      <c r="Q194" s="233">
        <f>IF(A194="","",IF(O194&gt;B194,"DIVERGENCIA: CONSUMO MAIOR QUE CONTRATADO","OK"))</f>
        <v/>
      </c>
      <c r="R194" s="36" t="n"/>
      <c r="S194" s="36" t="n"/>
      <c r="T194" s="36" t="n"/>
      <c r="U194" s="36" t="n"/>
      <c r="V194" s="36" t="n"/>
      <c r="W194" s="36" t="n"/>
    </row>
    <row r="195">
      <c r="A195" s="255" t="n"/>
      <c r="B195" s="256" t="n"/>
      <c r="C195" s="257" t="n"/>
      <c r="D195" s="225">
        <f>IF(OR(A195="",B195="",C195=""),"",ROUND(B195*C195,2))</f>
        <v/>
      </c>
      <c r="E195" s="256" t="n"/>
      <c r="F195" s="225">
        <f>IF(OR(A195="",E195="",C195="",NOT(ISNUMBER($U$2))),"",ROUND(E195*C195*$U$2,2))</f>
        <v/>
      </c>
      <c r="G195" s="256" t="n"/>
      <c r="H195" s="225">
        <f>IF(OR(A195="",G195="",C195="",NOT(ISNUMBER($U$3))),"",ROUND(G195*C195*$U$3,2))</f>
        <v/>
      </c>
      <c r="I195" s="256" t="n"/>
      <c r="J195" s="225">
        <f>IF(OR(A195="",I195="",C195="",NOT(ISNUMBER($U$4))),"",ROUND(I195*C195*$U$4,2))</f>
        <v/>
      </c>
      <c r="K195" s="256" t="n"/>
      <c r="L195" s="225">
        <f>IF(OR(A195="",K195="",C195="",NOT(ISNUMBER($U$5))),"",ROUND(K195*C195*$U$5,2))</f>
        <v/>
      </c>
      <c r="M195" s="256" t="n"/>
      <c r="N195" s="225">
        <f>IF(OR(A195="",M195="",C195="",NOT(ISNUMBER($U$6))),"",ROUND(M195*C195*$U$6,2))</f>
        <v/>
      </c>
      <c r="O195" s="231">
        <f>IF(A195="","",SUM(E195,G195,I195,K195,M195))</f>
        <v/>
      </c>
      <c r="P195" s="225">
        <f>IF(A195="","",SUM(F195,H195,J195,L195,N195))</f>
        <v/>
      </c>
      <c r="Q195" s="233">
        <f>IF(A195="","",IF(O195&gt;B195,"DIVERGENCIA: CONSUMO MAIOR QUE CONTRATADO","OK"))</f>
        <v/>
      </c>
      <c r="R195" s="36" t="n"/>
      <c r="S195" s="36" t="n"/>
      <c r="T195" s="36" t="n"/>
      <c r="U195" s="36" t="n"/>
      <c r="V195" s="36" t="n"/>
      <c r="W195" s="36" t="n"/>
    </row>
    <row r="196">
      <c r="A196" s="255" t="n"/>
      <c r="B196" s="256" t="n"/>
      <c r="C196" s="257" t="n"/>
      <c r="D196" s="225">
        <f>IF(OR(A196="",B196="",C196=""),"",ROUND(B196*C196,2))</f>
        <v/>
      </c>
      <c r="E196" s="256" t="n"/>
      <c r="F196" s="225">
        <f>IF(OR(A196="",E196="",C196="",NOT(ISNUMBER($U$2))),"",ROUND(E196*C196*$U$2,2))</f>
        <v/>
      </c>
      <c r="G196" s="256" t="n"/>
      <c r="H196" s="225">
        <f>IF(OR(A196="",G196="",C196="",NOT(ISNUMBER($U$3))),"",ROUND(G196*C196*$U$3,2))</f>
        <v/>
      </c>
      <c r="I196" s="256" t="n"/>
      <c r="J196" s="225">
        <f>IF(OR(A196="",I196="",C196="",NOT(ISNUMBER($U$4))),"",ROUND(I196*C196*$U$4,2))</f>
        <v/>
      </c>
      <c r="K196" s="256" t="n"/>
      <c r="L196" s="225">
        <f>IF(OR(A196="",K196="",C196="",NOT(ISNUMBER($U$5))),"",ROUND(K196*C196*$U$5,2))</f>
        <v/>
      </c>
      <c r="M196" s="256" t="n"/>
      <c r="N196" s="225">
        <f>IF(OR(A196="",M196="",C196="",NOT(ISNUMBER($U$6))),"",ROUND(M196*C196*$U$6,2))</f>
        <v/>
      </c>
      <c r="O196" s="231">
        <f>IF(A196="","",SUM(E196,G196,I196,K196,M196))</f>
        <v/>
      </c>
      <c r="P196" s="225">
        <f>IF(A196="","",SUM(F196,H196,J196,L196,N196))</f>
        <v/>
      </c>
      <c r="Q196" s="233">
        <f>IF(A196="","",IF(O196&gt;B196,"DIVERGENCIA: CONSUMO MAIOR QUE CONTRATADO","OK"))</f>
        <v/>
      </c>
      <c r="R196" s="36" t="n"/>
      <c r="S196" s="36" t="n"/>
      <c r="T196" s="36" t="n"/>
      <c r="U196" s="36" t="n"/>
      <c r="V196" s="36" t="n"/>
      <c r="W196" s="36" t="n"/>
    </row>
    <row r="197">
      <c r="A197" s="255" t="n"/>
      <c r="B197" s="256" t="n"/>
      <c r="C197" s="257" t="n"/>
      <c r="D197" s="225">
        <f>IF(OR(A197="",B197="",C197=""),"",ROUND(B197*C197,2))</f>
        <v/>
      </c>
      <c r="E197" s="256" t="n"/>
      <c r="F197" s="225">
        <f>IF(OR(A197="",E197="",C197="",NOT(ISNUMBER($U$2))),"",ROUND(E197*C197*$U$2,2))</f>
        <v/>
      </c>
      <c r="G197" s="256" t="n"/>
      <c r="H197" s="225">
        <f>IF(OR(A197="",G197="",C197="",NOT(ISNUMBER($U$3))),"",ROUND(G197*C197*$U$3,2))</f>
        <v/>
      </c>
      <c r="I197" s="256" t="n"/>
      <c r="J197" s="225">
        <f>IF(OR(A197="",I197="",C197="",NOT(ISNUMBER($U$4))),"",ROUND(I197*C197*$U$4,2))</f>
        <v/>
      </c>
      <c r="K197" s="256" t="n"/>
      <c r="L197" s="225">
        <f>IF(OR(A197="",K197="",C197="",NOT(ISNUMBER($U$5))),"",ROUND(K197*C197*$U$5,2))</f>
        <v/>
      </c>
      <c r="M197" s="256" t="n"/>
      <c r="N197" s="225">
        <f>IF(OR(A197="",M197="",C197="",NOT(ISNUMBER($U$6))),"",ROUND(M197*C197*$U$6,2))</f>
        <v/>
      </c>
      <c r="O197" s="231">
        <f>IF(A197="","",SUM(E197,G197,I197,K197,M197))</f>
        <v/>
      </c>
      <c r="P197" s="225">
        <f>IF(A197="","",SUM(F197,H197,J197,L197,N197))</f>
        <v/>
      </c>
      <c r="Q197" s="233">
        <f>IF(A197="","",IF(O197&gt;B197,"DIVERGENCIA: CONSUMO MAIOR QUE CONTRATADO","OK"))</f>
        <v/>
      </c>
      <c r="R197" s="36" t="n"/>
      <c r="S197" s="36" t="n"/>
      <c r="T197" s="36" t="n"/>
      <c r="U197" s="36" t="n"/>
      <c r="V197" s="36" t="n"/>
      <c r="W197" s="36" t="n"/>
    </row>
    <row r="198">
      <c r="A198" s="255" t="n"/>
      <c r="B198" s="256" t="n"/>
      <c r="C198" s="257" t="n"/>
      <c r="D198" s="225">
        <f>IF(OR(A198="",B198="",C198=""),"",ROUND(B198*C198,2))</f>
        <v/>
      </c>
      <c r="E198" s="256" t="n"/>
      <c r="F198" s="225">
        <f>IF(OR(A198="",E198="",C198="",NOT(ISNUMBER($U$2))),"",ROUND(E198*C198*$U$2,2))</f>
        <v/>
      </c>
      <c r="G198" s="256" t="n"/>
      <c r="H198" s="225">
        <f>IF(OR(A198="",G198="",C198="",NOT(ISNUMBER($U$3))),"",ROUND(G198*C198*$U$3,2))</f>
        <v/>
      </c>
      <c r="I198" s="256" t="n"/>
      <c r="J198" s="225">
        <f>IF(OR(A198="",I198="",C198="",NOT(ISNUMBER($U$4))),"",ROUND(I198*C198*$U$4,2))</f>
        <v/>
      </c>
      <c r="K198" s="256" t="n"/>
      <c r="L198" s="225">
        <f>IF(OR(A198="",K198="",C198="",NOT(ISNUMBER($U$5))),"",ROUND(K198*C198*$U$5,2))</f>
        <v/>
      </c>
      <c r="M198" s="256" t="n"/>
      <c r="N198" s="225">
        <f>IF(OR(A198="",M198="",C198="",NOT(ISNUMBER($U$6))),"",ROUND(M198*C198*$U$6,2))</f>
        <v/>
      </c>
      <c r="O198" s="231">
        <f>IF(A198="","",SUM(E198,G198,I198,K198,M198))</f>
        <v/>
      </c>
      <c r="P198" s="225">
        <f>IF(A198="","",SUM(F198,H198,J198,L198,N198))</f>
        <v/>
      </c>
      <c r="Q198" s="233">
        <f>IF(A198="","",IF(O198&gt;B198,"DIVERGENCIA: CONSUMO MAIOR QUE CONTRATADO","OK"))</f>
        <v/>
      </c>
      <c r="R198" s="36" t="n"/>
      <c r="S198" s="36" t="n"/>
      <c r="T198" s="36" t="n"/>
      <c r="U198" s="36" t="n"/>
      <c r="V198" s="36" t="n"/>
      <c r="W198" s="36" t="n"/>
    </row>
    <row r="199">
      <c r="A199" s="255" t="n"/>
      <c r="B199" s="256" t="n"/>
      <c r="C199" s="257" t="n"/>
      <c r="D199" s="225">
        <f>IF(OR(A199="",B199="",C199=""),"",ROUND(B199*C199,2))</f>
        <v/>
      </c>
      <c r="E199" s="256" t="n"/>
      <c r="F199" s="225">
        <f>IF(OR(A199="",E199="",C199="",NOT(ISNUMBER($U$2))),"",ROUND(E199*C199*$U$2,2))</f>
        <v/>
      </c>
      <c r="G199" s="256" t="n"/>
      <c r="H199" s="225">
        <f>IF(OR(A199="",G199="",C199="",NOT(ISNUMBER($U$3))),"",ROUND(G199*C199*$U$3,2))</f>
        <v/>
      </c>
      <c r="I199" s="256" t="n"/>
      <c r="J199" s="225">
        <f>IF(OR(A199="",I199="",C199="",NOT(ISNUMBER($U$4))),"",ROUND(I199*C199*$U$4,2))</f>
        <v/>
      </c>
      <c r="K199" s="256" t="n"/>
      <c r="L199" s="225">
        <f>IF(OR(A199="",K199="",C199="",NOT(ISNUMBER($U$5))),"",ROUND(K199*C199*$U$5,2))</f>
        <v/>
      </c>
      <c r="M199" s="256" t="n"/>
      <c r="N199" s="225">
        <f>IF(OR(A199="",M199="",C199="",NOT(ISNUMBER($U$6))),"",ROUND(M199*C199*$U$6,2))</f>
        <v/>
      </c>
      <c r="O199" s="231">
        <f>IF(A199="","",SUM(E199,G199,I199,K199,M199))</f>
        <v/>
      </c>
      <c r="P199" s="225">
        <f>IF(A199="","",SUM(F199,H199,J199,L199,N199))</f>
        <v/>
      </c>
      <c r="Q199" s="233">
        <f>IF(A199="","",IF(O199&gt;B199,"DIVERGENCIA: CONSUMO MAIOR QUE CONTRATADO","OK"))</f>
        <v/>
      </c>
      <c r="R199" s="36" t="n"/>
      <c r="S199" s="36" t="n"/>
      <c r="T199" s="36" t="n"/>
      <c r="U199" s="36" t="n"/>
      <c r="V199" s="36" t="n"/>
      <c r="W199" s="36" t="n"/>
    </row>
    <row r="200">
      <c r="A200" s="255" t="n"/>
      <c r="B200" s="256" t="n"/>
      <c r="C200" s="257" t="n"/>
      <c r="D200" s="225">
        <f>IF(OR(A200="",B200="",C200=""),"",ROUND(B200*C200,2))</f>
        <v/>
      </c>
      <c r="E200" s="256" t="n"/>
      <c r="F200" s="225">
        <f>IF(OR(A200="",E200="",C200="",NOT(ISNUMBER($U$2))),"",ROUND(E200*C200*$U$2,2))</f>
        <v/>
      </c>
      <c r="G200" s="256" t="n"/>
      <c r="H200" s="225">
        <f>IF(OR(A200="",G200="",C200="",NOT(ISNUMBER($U$3))),"",ROUND(G200*C200*$U$3,2))</f>
        <v/>
      </c>
      <c r="I200" s="256" t="n"/>
      <c r="J200" s="225">
        <f>IF(OR(A200="",I200="",C200="",NOT(ISNUMBER($U$4))),"",ROUND(I200*C200*$U$4,2))</f>
        <v/>
      </c>
      <c r="K200" s="256" t="n"/>
      <c r="L200" s="225">
        <f>IF(OR(A200="",K200="",C200="",NOT(ISNUMBER($U$5))),"",ROUND(K200*C200*$U$5,2))</f>
        <v/>
      </c>
      <c r="M200" s="256" t="n"/>
      <c r="N200" s="225">
        <f>IF(OR(A200="",M200="",C200="",NOT(ISNUMBER($U$6))),"",ROUND(M200*C200*$U$6,2))</f>
        <v/>
      </c>
      <c r="O200" s="231">
        <f>IF(A200="","",SUM(E200,G200,I200,K200,M200))</f>
        <v/>
      </c>
      <c r="P200" s="225">
        <f>IF(A200="","",SUM(F200,H200,J200,L200,N200))</f>
        <v/>
      </c>
      <c r="Q200" s="233">
        <f>IF(A200="","",IF(O200&gt;B200,"DIVERGENCIA: CONSUMO MAIOR QUE CONTRATADO","OK"))</f>
        <v/>
      </c>
      <c r="R200" s="36" t="n"/>
      <c r="S200" s="36" t="n"/>
      <c r="T200" s="36" t="n"/>
      <c r="U200" s="36" t="n"/>
      <c r="V200" s="36" t="n"/>
      <c r="W200" s="3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22.81640625" defaultRowHeight="14.5"/>
  <cols>
    <col width="16" customWidth="1" min="1" max="1"/>
    <col width="16" customWidth="1" min="2" max="2"/>
    <col width="18" customWidth="1" min="3" max="3"/>
    <col width="18" customWidth="1" min="4" max="4"/>
    <col width="20" customWidth="1" min="5" max="5"/>
    <col width="24" customWidth="1" min="6" max="6"/>
    <col width="28" customWidth="1" min="7" max="7"/>
    <col width="26" customWidth="1" min="8" max="8"/>
    <col width="20" customWidth="1" min="9" max="9"/>
    <col width="30" customWidth="1" min="10" max="10"/>
    <col width="30" customWidth="1" min="11" max="11"/>
    <col width="21.453125" customWidth="1" min="12" max="12"/>
  </cols>
  <sheetData>
    <row r="1" ht="25.5" customHeight="1">
      <c r="A1" s="126" t="inlineStr">
        <is>
          <t>DATA_PC</t>
        </is>
      </c>
      <c r="B1" s="126" t="inlineStr">
        <is>
          <t>CICLO_PC</t>
        </is>
      </c>
      <c r="C1" s="126" t="inlineStr">
        <is>
          <t>VALOR_PC</t>
        </is>
      </c>
      <c r="D1" s="126" t="inlineStr">
        <is>
          <t>FATOR_ACUMULADO</t>
        </is>
      </c>
      <c r="E1" s="126" t="inlineStr">
        <is>
          <t>VALOR_ATUALIZADO</t>
        </is>
      </c>
      <c r="F1" s="54" t="inlineStr">
        <is>
          <t>PC_PAGO_A_CONTRATADA</t>
        </is>
      </c>
      <c r="G1" s="54" t="inlineStr">
        <is>
          <t>RETROATIVO_RECONHECIDO_A_PAGAR</t>
        </is>
      </c>
      <c r="H1" s="54" t="inlineStr">
        <is>
          <t>VALOR_ATUALIZADO_EM_ANALISE</t>
        </is>
      </c>
      <c r="I1" s="54" t="inlineStr">
        <is>
          <t>DELTA_POTENCIAL</t>
        </is>
      </c>
      <c r="J1" s="54" t="inlineStr">
        <is>
          <t>CHECK_PC_FINANCEIRO</t>
        </is>
      </c>
      <c r="K1" s="17" t="n"/>
      <c r="L1" s="37" t="inlineStr">
        <is>
          <t>CICLO</t>
        </is>
      </c>
      <c r="M1" s="37" t="inlineStr">
        <is>
          <t>QTD_PC</t>
        </is>
      </c>
      <c r="N1" s="37" t="inlineStr">
        <is>
          <t>VALOR_PC_TOTAL</t>
        </is>
      </c>
      <c r="O1" s="37" t="inlineStr">
        <is>
          <t>VALOR_ATUALIZADO_TOTAL</t>
        </is>
      </c>
      <c r="P1" s="37" t="inlineStr">
        <is>
          <t>RETROATIVO_RECONHECIDO_A_PAGAR</t>
        </is>
      </c>
      <c r="Q1" s="37" t="inlineStr">
        <is>
          <t>VALOR_ATUALIZADO_EM_ANALISE</t>
        </is>
      </c>
      <c r="R1" s="37" t="inlineStr">
        <is>
          <t>DELTA_POTENCIAL</t>
        </is>
      </c>
      <c r="S1" s="37" t="inlineStr">
        <is>
          <t>QTD_COM_CHECK</t>
        </is>
      </c>
      <c r="T1" s="36" t="n"/>
      <c r="U1" s="38" t="inlineStr">
        <is>
          <t>COMPUTA_VTA</t>
        </is>
      </c>
      <c r="V1" s="38" t="inlineStr">
        <is>
          <t>TIPO_PARCELA</t>
        </is>
      </c>
      <c r="W1" s="38" t="inlineStr">
        <is>
          <t>ORIGEM_DADO</t>
        </is>
      </c>
      <c r="X1" s="38" t="inlineStr">
        <is>
          <t>TIPO_FINANCEIRO</t>
        </is>
      </c>
      <c r="Y1" s="38" t="inlineStr">
        <is>
          <t>FONTE_PARCELA</t>
        </is>
      </c>
      <c r="Z1" s="38" t="inlineStr">
        <is>
          <t>JA_REFLETIDO_EM</t>
        </is>
      </c>
      <c r="AA1" s="38" t="inlineStr">
        <is>
          <t>STATUS_CONSOLIDACAO</t>
        </is>
      </c>
      <c r="AB1" s="38" t="inlineStr">
        <is>
          <t>JUSTIFICATIVA_VTA</t>
        </is>
      </c>
    </row>
    <row r="2" ht="25.5" customHeight="1">
      <c r="A2" s="261" t="n"/>
      <c r="B2" s="262">
        <f>IF(A2="","",IF(OR(A2&lt;MIN(parametros!$C$2:$C$6),A2&gt;MAX(parametros!$D$2:$D$6)),"Fora dos ciclos",LOOKUP(A2,parametros!$C$2:$C$6,parametros!$B$2:$B$6)))</f>
        <v/>
      </c>
      <c r="C2" s="263" t="n"/>
      <c r="D2" s="224">
        <f>IF(B2="","",IFERROR(VLOOKUP(B2,parametros!$A$11:$E$15,5,0),""))</f>
        <v/>
      </c>
      <c r="E2" s="225">
        <f>IF(OR(C2="",D2=""),"",ROUND(C2*D2,2))</f>
        <v/>
      </c>
      <c r="F2" s="264" t="n"/>
      <c r="G2" s="241">
        <f>IF(F2="Sim",IF(OR(E2="",C2=""),"",ROUND(E2-C2,2)),0)</f>
        <v/>
      </c>
      <c r="H2" s="241">
        <f>IF(F2="Nao",IF(E2="","",E2),0)</f>
        <v/>
      </c>
      <c r="I2" s="241">
        <f>IF(F2="Nao",IF(OR(E2="",C2=""),"",ROUND(E2-C2,2)),0)</f>
        <v/>
      </c>
      <c r="J2" s="244">
        <f>IF(COUNTA(A2:F2)=0,"",IF(A2="","DATA_PC vazia",IF(OR(B2="",B2="Fora dos ciclos"),"CICLO_PC nao identificado",IF(OR(C2="",C2=0),"VALOR_PC vazio ou zero",IF(AND(F2&lt;&gt;"Sim",F2&lt;&gt;"Nao"),"PC_PAGO_A_CONTRATADA invalido","OK")))))</f>
        <v/>
      </c>
      <c r="K2" s="19" t="n"/>
      <c r="L2" s="265" t="inlineStr">
        <is>
          <t>C0</t>
        </is>
      </c>
      <c r="M2" s="266">
        <f>COUNTIF($B$2:$B$100,L2)</f>
        <v/>
      </c>
      <c r="N2" s="267">
        <f>SUMIF($B$2:$B$100,L2,$C$2:$C$100)</f>
        <v/>
      </c>
      <c r="O2" s="267">
        <f>SUMIF($B$2:$B$100,L2,$E$2:$E$100)</f>
        <v/>
      </c>
      <c r="P2" s="267">
        <f>SUMIF($B$2:$B$100,L2,$G$2:$G$100)</f>
        <v/>
      </c>
      <c r="Q2" s="267">
        <f>SUMIF($B$2:$B$100,L2,$H$2:$H$100)</f>
        <v/>
      </c>
      <c r="R2" s="267">
        <f>SUMIF($B$2:$B$100,L2,$I$2:$I$100)</f>
        <v/>
      </c>
      <c r="S2" s="266">
        <f>COUNTIFS($B$2:$B$100,L2,$J$2:$J$100,"&lt;&gt;OK",$J$2:$J$100,"&lt;&gt;")</f>
        <v/>
      </c>
      <c r="T2" s="19" t="n"/>
      <c r="U2" s="268" t="inlineStr">
        <is>
          <t>Nao</t>
        </is>
      </c>
      <c r="V2" s="268" t="inlineStr">
        <is>
          <t>PC em analise</t>
        </is>
      </c>
      <c r="W2" s="268" t="inlineStr">
        <is>
          <t>Pedido de Compra</t>
        </is>
      </c>
      <c r="X2" s="269" t="inlineStr">
        <is>
          <t>Impacto Potencial</t>
        </is>
      </c>
      <c r="Y2" s="269" t="inlineStr">
        <is>
          <t>PC</t>
        </is>
      </c>
      <c r="Z2" s="269" t="inlineStr">
        <is>
          <t>Nao</t>
        </is>
      </c>
      <c r="AA2" s="269" t="inlineStr">
        <is>
          <t>NAO_COMPUTADO</t>
        </is>
      </c>
      <c r="AB2" s="270" t="inlineStr">
        <is>
          <t>Estrutura Fase 1: sem impacto no VTA oficial</t>
        </is>
      </c>
    </row>
    <row r="3" ht="25.5" customHeight="1">
      <c r="A3" s="261" t="n"/>
      <c r="B3" s="262">
        <f>IF(A3="","",IF(OR(A3&lt;MIN(parametros!$C$2:$C$6),A3&gt;MAX(parametros!$D$2:$D$6)),"Fora dos ciclos",LOOKUP(A3,parametros!$C$2:$C$6,parametros!$B$2:$B$6)))</f>
        <v/>
      </c>
      <c r="C3" s="263" t="n"/>
      <c r="D3" s="224">
        <f>IF(B3="","",IFERROR(VLOOKUP(B3,parametros!$A$11:$E$15,5,0),""))</f>
        <v/>
      </c>
      <c r="E3" s="225">
        <f>IF(OR(C3="",D3=""),"",ROUND(C3*D3,2))</f>
        <v/>
      </c>
      <c r="F3" s="264" t="n"/>
      <c r="G3" s="241">
        <f>IF(F3="Sim",IF(OR(E3="",C3=""),"",ROUND(E3-C3,2)),0)</f>
        <v/>
      </c>
      <c r="H3" s="241">
        <f>IF(F3="Nao",IF(E3="","",E3),0)</f>
        <v/>
      </c>
      <c r="I3" s="241">
        <f>IF(F3="Nao",IF(OR(E3="",C3=""),"",ROUND(E3-C3,2)),0)</f>
        <v/>
      </c>
      <c r="J3" s="244">
        <f>IF(COUNTA(A3:F3)=0,"",IF(A3="","DATA_PC vazia",IF(OR(B3="",B3="Fora dos ciclos"),"CICLO_PC nao identificado",IF(OR(C3="",C3=0),"VALOR_PC vazio ou zero",IF(AND(F3&lt;&gt;"Sim",F3&lt;&gt;"Nao"),"PC_PAGO_A_CONTRATADA invalido","OK")))))</f>
        <v/>
      </c>
      <c r="K3" s="19" t="n"/>
      <c r="L3" s="265" t="inlineStr">
        <is>
          <t>C1</t>
        </is>
      </c>
      <c r="M3" s="266">
        <f>COUNTIF($B$2:$B$100,L3)</f>
        <v/>
      </c>
      <c r="N3" s="267">
        <f>SUMIF($B$2:$B$100,L3,$C$2:$C$100)</f>
        <v/>
      </c>
      <c r="O3" s="267">
        <f>SUMIF($B$2:$B$100,L3,$E$2:$E$100)</f>
        <v/>
      </c>
      <c r="P3" s="267">
        <f>SUMIF($B$2:$B$100,L3,$G$2:$G$100)</f>
        <v/>
      </c>
      <c r="Q3" s="267">
        <f>SUMIF($B$2:$B$100,L3,$H$2:$H$100)</f>
        <v/>
      </c>
      <c r="R3" s="267">
        <f>SUMIF($B$2:$B$100,L3,$I$2:$I$100)</f>
        <v/>
      </c>
      <c r="S3" s="266">
        <f>COUNTIFS($B$2:$B$100,L3,$J$2:$J$100,"&lt;&gt;OK",$J$2:$J$100,"&lt;&gt;")</f>
        <v/>
      </c>
      <c r="T3" s="19" t="n"/>
      <c r="U3" s="268" t="inlineStr">
        <is>
          <t>Nao</t>
        </is>
      </c>
      <c r="V3" s="268" t="inlineStr">
        <is>
          <t>PC em analise</t>
        </is>
      </c>
      <c r="W3" s="268" t="inlineStr">
        <is>
          <t>Pedido de Compra</t>
        </is>
      </c>
      <c r="X3" s="269" t="inlineStr">
        <is>
          <t>Impacto Potencial</t>
        </is>
      </c>
      <c r="Y3" s="269" t="inlineStr">
        <is>
          <t>PC</t>
        </is>
      </c>
      <c r="Z3" s="269" t="inlineStr">
        <is>
          <t>Nao</t>
        </is>
      </c>
      <c r="AA3" s="269" t="inlineStr">
        <is>
          <t>NAO_COMPUTADO</t>
        </is>
      </c>
      <c r="AB3" s="270" t="inlineStr">
        <is>
          <t>Estrutura Fase 1: sem impacto no VTA oficial</t>
        </is>
      </c>
    </row>
    <row r="4" ht="25.5" customHeight="1">
      <c r="A4" s="261" t="n"/>
      <c r="B4" s="262">
        <f>IF(A4="","",IF(OR(A4&lt;MIN(parametros!$C$2:$C$6),A4&gt;MAX(parametros!$D$2:$D$6)),"Fora dos ciclos",LOOKUP(A4,parametros!$C$2:$C$6,parametros!$B$2:$B$6)))</f>
        <v/>
      </c>
      <c r="C4" s="263" t="n"/>
      <c r="D4" s="224">
        <f>IF(B4="","",IFERROR(VLOOKUP(B4,parametros!$A$11:$E$15,5,0),""))</f>
        <v/>
      </c>
      <c r="E4" s="225">
        <f>IF(OR(C4="",D4=""),"",ROUND(C4*D4,2))</f>
        <v/>
      </c>
      <c r="F4" s="264" t="n"/>
      <c r="G4" s="241">
        <f>IF(F4="Sim",IF(OR(E4="",C4=""),"",ROUND(E4-C4,2)),0)</f>
        <v/>
      </c>
      <c r="H4" s="241">
        <f>IF(F4="Nao",IF(E4="","",E4),0)</f>
        <v/>
      </c>
      <c r="I4" s="241">
        <f>IF(F4="Nao",IF(OR(E4="",C4=""),"",ROUND(E4-C4,2)),0)</f>
        <v/>
      </c>
      <c r="J4" s="244">
        <f>IF(COUNTA(A4:F4)=0,"",IF(A4="","DATA_PC vazia",IF(OR(B4="",B4="Fora dos ciclos"),"CICLO_PC nao identificado",IF(OR(C4="",C4=0),"VALOR_PC vazio ou zero",IF(AND(F4&lt;&gt;"Sim",F4&lt;&gt;"Nao"),"PC_PAGO_A_CONTRATADA invalido","OK")))))</f>
        <v/>
      </c>
      <c r="K4" s="19" t="n"/>
      <c r="L4" s="265" t="inlineStr">
        <is>
          <t>C2</t>
        </is>
      </c>
      <c r="M4" s="266">
        <f>COUNTIF($B$2:$B$100,L4)</f>
        <v/>
      </c>
      <c r="N4" s="267">
        <f>SUMIF($B$2:$B$100,L4,$C$2:$C$100)</f>
        <v/>
      </c>
      <c r="O4" s="267">
        <f>SUMIF($B$2:$B$100,L4,$E$2:$E$100)</f>
        <v/>
      </c>
      <c r="P4" s="267">
        <f>SUMIF($B$2:$B$100,L4,$G$2:$G$100)</f>
        <v/>
      </c>
      <c r="Q4" s="267">
        <f>SUMIF($B$2:$B$100,L4,$H$2:$H$100)</f>
        <v/>
      </c>
      <c r="R4" s="267">
        <f>SUMIF($B$2:$B$100,L4,$I$2:$I$100)</f>
        <v/>
      </c>
      <c r="S4" s="266">
        <f>COUNTIFS($B$2:$B$100,L4,$J$2:$J$100,"&lt;&gt;OK",$J$2:$J$100,"&lt;&gt;")</f>
        <v/>
      </c>
      <c r="T4" s="19" t="n"/>
      <c r="U4" s="268" t="inlineStr">
        <is>
          <t>Nao</t>
        </is>
      </c>
      <c r="V4" s="268" t="inlineStr">
        <is>
          <t>PC em analise</t>
        </is>
      </c>
      <c r="W4" s="268" t="inlineStr">
        <is>
          <t>Pedido de Compra</t>
        </is>
      </c>
      <c r="X4" s="269" t="inlineStr">
        <is>
          <t>Impacto Potencial</t>
        </is>
      </c>
      <c r="Y4" s="269" t="inlineStr">
        <is>
          <t>PC</t>
        </is>
      </c>
      <c r="Z4" s="269" t="inlineStr">
        <is>
          <t>Nao</t>
        </is>
      </c>
      <c r="AA4" s="269" t="inlineStr">
        <is>
          <t>NAO_COMPUTADO</t>
        </is>
      </c>
      <c r="AB4" s="270" t="inlineStr">
        <is>
          <t>Estrutura Fase 1: sem impacto no VTA oficial</t>
        </is>
      </c>
    </row>
    <row r="5" ht="25.5" customHeight="1">
      <c r="A5" s="261" t="n"/>
      <c r="B5" s="262">
        <f>IF(A5="","",IF(OR(A5&lt;MIN(parametros!$C$2:$C$6),A5&gt;MAX(parametros!$D$2:$D$6)),"Fora dos ciclos",LOOKUP(A5,parametros!$C$2:$C$6,parametros!$B$2:$B$6)))</f>
        <v/>
      </c>
      <c r="C5" s="263" t="n"/>
      <c r="D5" s="224">
        <f>IF(B5="","",IFERROR(VLOOKUP(B5,parametros!$A$11:$E$15,5,0),""))</f>
        <v/>
      </c>
      <c r="E5" s="225">
        <f>IF(OR(C5="",D5=""),"",ROUND(C5*D5,2))</f>
        <v/>
      </c>
      <c r="F5" s="264" t="n"/>
      <c r="G5" s="241">
        <f>IF(F5="Sim",IF(OR(E5="",C5=""),"",ROUND(E5-C5,2)),0)</f>
        <v/>
      </c>
      <c r="H5" s="241">
        <f>IF(F5="Nao",IF(E5="","",E5),0)</f>
        <v/>
      </c>
      <c r="I5" s="241">
        <f>IF(F5="Nao",IF(OR(E5="",C5=""),"",ROUND(E5-C5,2)),0)</f>
        <v/>
      </c>
      <c r="J5" s="244">
        <f>IF(COUNTA(A5:F5)=0,"",IF(A5="","DATA_PC vazia",IF(OR(B5="",B5="Fora dos ciclos"),"CICLO_PC nao identificado",IF(OR(C5="",C5=0),"VALOR_PC vazio ou zero",IF(AND(F5&lt;&gt;"Sim",F5&lt;&gt;"Nao"),"PC_PAGO_A_CONTRATADA invalido","OK")))))</f>
        <v/>
      </c>
      <c r="K5" s="19" t="n"/>
      <c r="L5" s="265" t="inlineStr">
        <is>
          <t>C3</t>
        </is>
      </c>
      <c r="M5" s="266">
        <f>COUNTIF($B$2:$B$100,L5)</f>
        <v/>
      </c>
      <c r="N5" s="267">
        <f>SUMIF($B$2:$B$100,L5,$C$2:$C$100)</f>
        <v/>
      </c>
      <c r="O5" s="267">
        <f>SUMIF($B$2:$B$100,L5,$E$2:$E$100)</f>
        <v/>
      </c>
      <c r="P5" s="267">
        <f>SUMIF($B$2:$B$100,L5,$G$2:$G$100)</f>
        <v/>
      </c>
      <c r="Q5" s="267">
        <f>SUMIF($B$2:$B$100,L5,$H$2:$H$100)</f>
        <v/>
      </c>
      <c r="R5" s="267">
        <f>SUMIF($B$2:$B$100,L5,$I$2:$I$100)</f>
        <v/>
      </c>
      <c r="S5" s="266">
        <f>COUNTIFS($B$2:$B$100,L5,$J$2:$J$100,"&lt;&gt;OK",$J$2:$J$100,"&lt;&gt;")</f>
        <v/>
      </c>
      <c r="T5" s="19" t="n"/>
      <c r="U5" s="268" t="inlineStr">
        <is>
          <t>Nao</t>
        </is>
      </c>
      <c r="V5" s="268" t="inlineStr">
        <is>
          <t>PC em analise</t>
        </is>
      </c>
      <c r="W5" s="268" t="inlineStr">
        <is>
          <t>Pedido de Compra</t>
        </is>
      </c>
      <c r="X5" s="269" t="inlineStr">
        <is>
          <t>Impacto Potencial</t>
        </is>
      </c>
      <c r="Y5" s="269" t="inlineStr">
        <is>
          <t>PC</t>
        </is>
      </c>
      <c r="Z5" s="269" t="inlineStr">
        <is>
          <t>Nao</t>
        </is>
      </c>
      <c r="AA5" s="269" t="inlineStr">
        <is>
          <t>NAO_COMPUTADO</t>
        </is>
      </c>
      <c r="AB5" s="270" t="inlineStr">
        <is>
          <t>Estrutura Fase 1: sem impacto no VTA oficial</t>
        </is>
      </c>
    </row>
    <row r="6" ht="25.5" customHeight="1">
      <c r="A6" s="261" t="n"/>
      <c r="B6" s="262">
        <f>IF(A6="","",IF(OR(A6&lt;MIN(parametros!$C$2:$C$6),A6&gt;MAX(parametros!$D$2:$D$6)),"Fora dos ciclos",LOOKUP(A6,parametros!$C$2:$C$6,parametros!$B$2:$B$6)))</f>
        <v/>
      </c>
      <c r="C6" s="263" t="n"/>
      <c r="D6" s="224">
        <f>IF(B6="","",IFERROR(VLOOKUP(B6,parametros!$A$11:$E$15,5,0),""))</f>
        <v/>
      </c>
      <c r="E6" s="225">
        <f>IF(OR(C6="",D6=""),"",ROUND(C6*D6,2))</f>
        <v/>
      </c>
      <c r="F6" s="264" t="n"/>
      <c r="G6" s="241">
        <f>IF(F6="Sim",IF(OR(E6="",C6=""),"",ROUND(E6-C6,2)),0)</f>
        <v/>
      </c>
      <c r="H6" s="241">
        <f>IF(F6="Nao",IF(E6="","",E6),0)</f>
        <v/>
      </c>
      <c r="I6" s="241">
        <f>IF(F6="Nao",IF(OR(E6="",C6=""),"",ROUND(E6-C6,2)),0)</f>
        <v/>
      </c>
      <c r="J6" s="244">
        <f>IF(COUNTA(A6:F6)=0,"",IF(A6="","DATA_PC vazia",IF(OR(B6="",B6="Fora dos ciclos"),"CICLO_PC nao identificado",IF(OR(C6="",C6=0),"VALOR_PC vazio ou zero",IF(AND(F6&lt;&gt;"Sim",F6&lt;&gt;"Nao"),"PC_PAGO_A_CONTRATADA invalido","OK")))))</f>
        <v/>
      </c>
      <c r="K6" s="19" t="n"/>
      <c r="L6" s="265" t="inlineStr">
        <is>
          <t>C4</t>
        </is>
      </c>
      <c r="M6" s="266">
        <f>COUNTIF($B$2:$B$100,L6)</f>
        <v/>
      </c>
      <c r="N6" s="267">
        <f>SUMIF($B$2:$B$100,L6,$C$2:$C$100)</f>
        <v/>
      </c>
      <c r="O6" s="267">
        <f>SUMIF($B$2:$B$100,L6,$E$2:$E$100)</f>
        <v/>
      </c>
      <c r="P6" s="267">
        <f>SUMIF($B$2:$B$100,L6,$G$2:$G$100)</f>
        <v/>
      </c>
      <c r="Q6" s="267">
        <f>SUMIF($B$2:$B$100,L6,$H$2:$H$100)</f>
        <v/>
      </c>
      <c r="R6" s="267">
        <f>SUMIF($B$2:$B$100,L6,$I$2:$I$100)</f>
        <v/>
      </c>
      <c r="S6" s="266">
        <f>COUNTIFS($B$2:$B$100,L6,$J$2:$J$100,"&lt;&gt;OK",$J$2:$J$100,"&lt;&gt;")</f>
        <v/>
      </c>
      <c r="T6" s="19" t="n"/>
      <c r="U6" s="268" t="inlineStr">
        <is>
          <t>Nao</t>
        </is>
      </c>
      <c r="V6" s="268" t="inlineStr">
        <is>
          <t>PC em analise</t>
        </is>
      </c>
      <c r="W6" s="268" t="inlineStr">
        <is>
          <t>Pedido de Compra</t>
        </is>
      </c>
      <c r="X6" s="269" t="inlineStr">
        <is>
          <t>Impacto Potencial</t>
        </is>
      </c>
      <c r="Y6" s="269" t="inlineStr">
        <is>
          <t>PC</t>
        </is>
      </c>
      <c r="Z6" s="269" t="inlineStr">
        <is>
          <t>Nao</t>
        </is>
      </c>
      <c r="AA6" s="269" t="inlineStr">
        <is>
          <t>NAO_COMPUTADO</t>
        </is>
      </c>
      <c r="AB6" s="270" t="inlineStr">
        <is>
          <t>Estrutura Fase 1: sem impacto no VTA oficial</t>
        </is>
      </c>
    </row>
    <row r="7" ht="25.5" customHeight="1">
      <c r="A7" s="261" t="n"/>
      <c r="B7" s="262">
        <f>IF(A7="","",IF(OR(A7&lt;MIN(parametros!$C$2:$C$6),A7&gt;MAX(parametros!$D$2:$D$6)),"Fora dos ciclos",LOOKUP(A7,parametros!$C$2:$C$6,parametros!$B$2:$B$6)))</f>
        <v/>
      </c>
      <c r="C7" s="263" t="n"/>
      <c r="D7" s="224">
        <f>IF(B7="","",IFERROR(VLOOKUP(B7,parametros!$A$11:$E$15,5,0),""))</f>
        <v/>
      </c>
      <c r="E7" s="225">
        <f>IF(OR(C7="",D7=""),"",ROUND(C7*D7,2))</f>
        <v/>
      </c>
      <c r="F7" s="264" t="n"/>
      <c r="G7" s="241">
        <f>IF(F7="Sim",IF(OR(E7="",C7=""),"",ROUND(E7-C7,2)),0)</f>
        <v/>
      </c>
      <c r="H7" s="241">
        <f>IF(F7="Nao",IF(E7="","",E7),0)</f>
        <v/>
      </c>
      <c r="I7" s="241">
        <f>IF(F7="Nao",IF(OR(E7="",C7=""),"",ROUND(E7-C7,2)),0)</f>
        <v/>
      </c>
      <c r="J7" s="244">
        <f>IF(COUNTA(A7:F7)=0,"",IF(A7="","DATA_PC vazia",IF(OR(B7="",B7="Fora dos ciclos"),"CICLO_PC nao identificado",IF(OR(C7="",C7=0),"VALOR_PC vazio ou zero",IF(AND(F7&lt;&gt;"Sim",F7&lt;&gt;"Nao"),"PC_PAGO_A_CONTRATADA invalido","OK")))))</f>
        <v/>
      </c>
      <c r="K7" s="19" t="n"/>
      <c r="L7" s="45" t="inlineStr">
        <is>
          <t>TOTAL</t>
        </is>
      </c>
      <c r="M7" s="46">
        <f>SUM(M2:M6)</f>
        <v/>
      </c>
      <c r="N7" s="271">
        <f>SUM(N2:N6)</f>
        <v/>
      </c>
      <c r="O7" s="271">
        <f>SUM(O2:O6)</f>
        <v/>
      </c>
      <c r="P7" s="271">
        <f>SUM(P2:P6)</f>
        <v/>
      </c>
      <c r="Q7" s="271">
        <f>SUM(Q2:Q6)</f>
        <v/>
      </c>
      <c r="R7" s="271">
        <f>SUM(R2:R6)</f>
        <v/>
      </c>
      <c r="S7" s="46">
        <f>SUM(S2:S6)</f>
        <v/>
      </c>
      <c r="T7" s="19" t="n"/>
      <c r="U7" s="268" t="inlineStr">
        <is>
          <t>Nao</t>
        </is>
      </c>
      <c r="V7" s="268" t="inlineStr">
        <is>
          <t>PC em analise</t>
        </is>
      </c>
      <c r="W7" s="268" t="inlineStr">
        <is>
          <t>Pedido de Compra</t>
        </is>
      </c>
      <c r="X7" s="269" t="inlineStr">
        <is>
          <t>Impacto Potencial</t>
        </is>
      </c>
      <c r="Y7" s="269" t="inlineStr">
        <is>
          <t>PC</t>
        </is>
      </c>
      <c r="Z7" s="269" t="inlineStr">
        <is>
          <t>Nao</t>
        </is>
      </c>
      <c r="AA7" s="269" t="inlineStr">
        <is>
          <t>NAO_COMPUTADO</t>
        </is>
      </c>
      <c r="AB7" s="270" t="inlineStr">
        <is>
          <t>Estrutura Fase 1: sem impacto no VTA oficial</t>
        </is>
      </c>
    </row>
    <row r="8" ht="25.5" customHeight="1">
      <c r="A8" s="261" t="n"/>
      <c r="B8" s="262">
        <f>IF(A8="","",IF(OR(A8&lt;MIN(parametros!$C$2:$C$6),A8&gt;MAX(parametros!$D$2:$D$6)),"Fora dos ciclos",LOOKUP(A8,parametros!$C$2:$C$6,parametros!$B$2:$B$6)))</f>
        <v/>
      </c>
      <c r="C8" s="263" t="n"/>
      <c r="D8" s="224">
        <f>IF(B8="","",IFERROR(VLOOKUP(B8,parametros!$A$11:$E$15,5,0),""))</f>
        <v/>
      </c>
      <c r="E8" s="225">
        <f>IF(OR(C8="",D8=""),"",ROUND(C8*D8,2))</f>
        <v/>
      </c>
      <c r="F8" s="264" t="n"/>
      <c r="G8" s="241">
        <f>IF(F8="Sim",IF(OR(E8="",C8=""),"",ROUND(E8-C8,2)),0)</f>
        <v/>
      </c>
      <c r="H8" s="241">
        <f>IF(F8="Nao",IF(E8="","",E8),0)</f>
        <v/>
      </c>
      <c r="I8" s="241">
        <f>IF(F8="Nao",IF(OR(E8="",C8=""),"",ROUND(E8-C8,2)),0)</f>
        <v/>
      </c>
      <c r="J8" s="244">
        <f>IF(COUNTA(A8:F8)=0,"",IF(A8="","DATA_PC vazia",IF(OR(B8="",B8="Fora dos ciclos"),"CICLO_PC nao identificado",IF(OR(C8="",C8=0),"VALOR_PC vazio ou zero",IF(AND(F8&lt;&gt;"Sim",F8&lt;&gt;"Nao"),"PC_PAGO_A_CONTRATADA invalido","OK")))))</f>
        <v/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268" t="inlineStr">
        <is>
          <t>Nao</t>
        </is>
      </c>
      <c r="V8" s="268" t="inlineStr">
        <is>
          <t>PC em analise</t>
        </is>
      </c>
      <c r="W8" s="268" t="inlineStr">
        <is>
          <t>Pedido de Compra</t>
        </is>
      </c>
      <c r="X8" s="269" t="inlineStr">
        <is>
          <t>Impacto Potencial</t>
        </is>
      </c>
      <c r="Y8" s="269" t="inlineStr">
        <is>
          <t>PC</t>
        </is>
      </c>
      <c r="Z8" s="269" t="inlineStr">
        <is>
          <t>Nao</t>
        </is>
      </c>
      <c r="AA8" s="269" t="inlineStr">
        <is>
          <t>NAO_COMPUTADO</t>
        </is>
      </c>
      <c r="AB8" s="270" t="inlineStr">
        <is>
          <t>Estrutura Fase 1: sem impacto no VTA oficial</t>
        </is>
      </c>
    </row>
    <row r="9" ht="25.5" customHeight="1">
      <c r="A9" s="261" t="n"/>
      <c r="B9" s="262">
        <f>IF(A9="","",IF(OR(A9&lt;MIN(parametros!$C$2:$C$6),A9&gt;MAX(parametros!$D$2:$D$6)),"Fora dos ciclos",LOOKUP(A9,parametros!$C$2:$C$6,parametros!$B$2:$B$6)))</f>
        <v/>
      </c>
      <c r="C9" s="263" t="n"/>
      <c r="D9" s="224">
        <f>IF(B9="","",IFERROR(VLOOKUP(B9,parametros!$A$11:$E$15,5,0),""))</f>
        <v/>
      </c>
      <c r="E9" s="225">
        <f>IF(OR(C9="",D9=""),"",ROUND(C9*D9,2))</f>
        <v/>
      </c>
      <c r="F9" s="264" t="n"/>
      <c r="G9" s="241">
        <f>IF(F9="Sim",IF(OR(E9="",C9=""),"",ROUND(E9-C9,2)),0)</f>
        <v/>
      </c>
      <c r="H9" s="241">
        <f>IF(F9="Nao",IF(E9="","",E9),0)</f>
        <v/>
      </c>
      <c r="I9" s="241">
        <f>IF(F9="Nao",IF(OR(E9="",C9=""),"",ROUND(E9-C9,2)),0)</f>
        <v/>
      </c>
      <c r="J9" s="244">
        <f>IF(COUNTA(A9:F9)=0,"",IF(A9="","DATA_PC vazia",IF(OR(B9="",B9="Fora dos ciclos"),"CICLO_PC nao identificado",IF(OR(C9="",C9=0),"VALOR_PC vazio ou zero",IF(AND(F9&lt;&gt;"Sim",F9&lt;&gt;"Nao"),"PC_PAGO_A_CONTRATADA invalido","OK")))))</f>
        <v/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268" t="inlineStr">
        <is>
          <t>Nao</t>
        </is>
      </c>
      <c r="V9" s="268" t="inlineStr">
        <is>
          <t>PC em analise</t>
        </is>
      </c>
      <c r="W9" s="268" t="inlineStr">
        <is>
          <t>Pedido de Compra</t>
        </is>
      </c>
      <c r="X9" s="269" t="inlineStr">
        <is>
          <t>Impacto Potencial</t>
        </is>
      </c>
      <c r="Y9" s="269" t="inlineStr">
        <is>
          <t>PC</t>
        </is>
      </c>
      <c r="Z9" s="269" t="inlineStr">
        <is>
          <t>Nao</t>
        </is>
      </c>
      <c r="AA9" s="269" t="inlineStr">
        <is>
          <t>NAO_COMPUTADO</t>
        </is>
      </c>
      <c r="AB9" s="270" t="inlineStr">
        <is>
          <t>Estrutura Fase 1: sem impacto no VTA oficial</t>
        </is>
      </c>
    </row>
    <row r="10" ht="25.5" customHeight="1">
      <c r="A10" s="261" t="n"/>
      <c r="B10" s="262">
        <f>IF(A10="","",IF(OR(A10&lt;MIN(parametros!$C$2:$C$6),A10&gt;MAX(parametros!$D$2:$D$6)),"Fora dos ciclos",LOOKUP(A10,parametros!$C$2:$C$6,parametros!$B$2:$B$6)))</f>
        <v/>
      </c>
      <c r="C10" s="263" t="n"/>
      <c r="D10" s="224">
        <f>IF(B10="","",IFERROR(VLOOKUP(B10,parametros!$A$11:$E$15,5,0),""))</f>
        <v/>
      </c>
      <c r="E10" s="225">
        <f>IF(OR(C10="",D10=""),"",ROUND(C10*D10,2))</f>
        <v/>
      </c>
      <c r="F10" s="264" t="n"/>
      <c r="G10" s="241">
        <f>IF(F10="Sim",IF(OR(E10="",C10=""),"",ROUND(E10-C10,2)),0)</f>
        <v/>
      </c>
      <c r="H10" s="241">
        <f>IF(F10="Nao",IF(E10="","",E10),0)</f>
        <v/>
      </c>
      <c r="I10" s="241">
        <f>IF(F10="Nao",IF(OR(E10="",C10=""),"",ROUND(E10-C10,2)),0)</f>
        <v/>
      </c>
      <c r="J10" s="244">
        <f>IF(COUNTA(A10:F10)=0,"",IF(A10="","DATA_PC vazia",IF(OR(B10="",B10="Fora dos ciclos"),"CICLO_PC nao identificado",IF(OR(C10="",C10=0),"VALOR_PC vazio ou zero",IF(AND(F10&lt;&gt;"Sim",F10&lt;&gt;"Nao"),"PC_PAGO_A_CONTRATADA invalido","OK")))))</f>
        <v/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68" t="inlineStr">
        <is>
          <t>Nao</t>
        </is>
      </c>
      <c r="V10" s="268" t="inlineStr">
        <is>
          <t>PC em analise</t>
        </is>
      </c>
      <c r="W10" s="268" t="inlineStr">
        <is>
          <t>Pedido de Compra</t>
        </is>
      </c>
      <c r="X10" s="269" t="inlineStr">
        <is>
          <t>Impacto Potencial</t>
        </is>
      </c>
      <c r="Y10" s="269" t="inlineStr">
        <is>
          <t>PC</t>
        </is>
      </c>
      <c r="Z10" s="269" t="inlineStr">
        <is>
          <t>Nao</t>
        </is>
      </c>
      <c r="AA10" s="269" t="inlineStr">
        <is>
          <t>NAO_COMPUTADO</t>
        </is>
      </c>
      <c r="AB10" s="270" t="inlineStr">
        <is>
          <t>Estrutura Fase 1: sem impacto no VTA oficial</t>
        </is>
      </c>
    </row>
    <row r="11" ht="25.5" customHeight="1">
      <c r="A11" s="261" t="n"/>
      <c r="B11" s="262">
        <f>IF(A11="","",IF(OR(A11&lt;MIN(parametros!$C$2:$C$6),A11&gt;MAX(parametros!$D$2:$D$6)),"Fora dos ciclos",LOOKUP(A11,parametros!$C$2:$C$6,parametros!$B$2:$B$6)))</f>
        <v/>
      </c>
      <c r="C11" s="263" t="n"/>
      <c r="D11" s="224">
        <f>IF(B11="","",IFERROR(VLOOKUP(B11,parametros!$A$11:$E$15,5,0),""))</f>
        <v/>
      </c>
      <c r="E11" s="225">
        <f>IF(OR(C11="",D11=""),"",ROUND(C11*D11,2))</f>
        <v/>
      </c>
      <c r="F11" s="264" t="n"/>
      <c r="G11" s="241">
        <f>IF(F11="Sim",IF(OR(E11="",C11=""),"",ROUND(E11-C11,2)),0)</f>
        <v/>
      </c>
      <c r="H11" s="241">
        <f>IF(F11="Nao",IF(E11="","",E11),0)</f>
        <v/>
      </c>
      <c r="I11" s="241">
        <f>IF(F11="Nao",IF(OR(E11="",C11=""),"",ROUND(E11-C11,2)),0)</f>
        <v/>
      </c>
      <c r="J11" s="244">
        <f>IF(COUNTA(A11:F11)=0,"",IF(A11="","DATA_PC vazia",IF(OR(B11="",B11="Fora dos ciclos"),"CICLO_PC nao identificado",IF(OR(C11="",C11=0),"VALOR_PC vazio ou zero",IF(AND(F11&lt;&gt;"Sim",F11&lt;&gt;"Nao"),"PC_PAGO_A_CONTRATADA invalido","OK")))))</f>
        <v/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68" t="inlineStr">
        <is>
          <t>Nao</t>
        </is>
      </c>
      <c r="V11" s="268" t="inlineStr">
        <is>
          <t>PC em analise</t>
        </is>
      </c>
      <c r="W11" s="268" t="inlineStr">
        <is>
          <t>Pedido de Compra</t>
        </is>
      </c>
      <c r="X11" s="269" t="inlineStr">
        <is>
          <t>Impacto Potencial</t>
        </is>
      </c>
      <c r="Y11" s="269" t="inlineStr">
        <is>
          <t>PC</t>
        </is>
      </c>
      <c r="Z11" s="269" t="inlineStr">
        <is>
          <t>Nao</t>
        </is>
      </c>
      <c r="AA11" s="269" t="inlineStr">
        <is>
          <t>NAO_COMPUTADO</t>
        </is>
      </c>
      <c r="AB11" s="270" t="inlineStr">
        <is>
          <t>Estrutura Fase 1: sem impacto no VTA oficial</t>
        </is>
      </c>
    </row>
    <row r="12" ht="25.5" customHeight="1">
      <c r="A12" s="261" t="n"/>
      <c r="B12" s="262">
        <f>IF(A12="","",IF(OR(A12&lt;MIN(parametros!$C$2:$C$6),A12&gt;MAX(parametros!$D$2:$D$6)),"Fora dos ciclos",LOOKUP(A12,parametros!$C$2:$C$6,parametros!$B$2:$B$6)))</f>
        <v/>
      </c>
      <c r="C12" s="263" t="n"/>
      <c r="D12" s="224">
        <f>IF(B12="","",IFERROR(VLOOKUP(B12,parametros!$A$11:$E$15,5,0),""))</f>
        <v/>
      </c>
      <c r="E12" s="225">
        <f>IF(OR(C12="",D12=""),"",ROUND(C12*D12,2))</f>
        <v/>
      </c>
      <c r="F12" s="264" t="n"/>
      <c r="G12" s="241">
        <f>IF(F12="Sim",IF(OR(E12="",C12=""),"",ROUND(E12-C12,2)),0)</f>
        <v/>
      </c>
      <c r="H12" s="241">
        <f>IF(F12="Nao",IF(E12="","",E12),0)</f>
        <v/>
      </c>
      <c r="I12" s="241">
        <f>IF(F12="Nao",IF(OR(E12="",C12=""),"",ROUND(E12-C12,2)),0)</f>
        <v/>
      </c>
      <c r="J12" s="244">
        <f>IF(COUNTA(A12:F12)=0,"",IF(A12="","DATA_PC vazia",IF(OR(B12="",B12="Fora dos ciclos"),"CICLO_PC nao identificado",IF(OR(C12="",C12=0),"VALOR_PC vazio ou zero",IF(AND(F12&lt;&gt;"Sim",F12&lt;&gt;"Nao"),"PC_PAGO_A_CONTRATADA invalido","OK")))))</f>
        <v/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68" t="inlineStr">
        <is>
          <t>Nao</t>
        </is>
      </c>
      <c r="V12" s="268" t="inlineStr">
        <is>
          <t>PC em analise</t>
        </is>
      </c>
      <c r="W12" s="268" t="inlineStr">
        <is>
          <t>Pedido de Compra</t>
        </is>
      </c>
      <c r="X12" s="269" t="inlineStr">
        <is>
          <t>Impacto Potencial</t>
        </is>
      </c>
      <c r="Y12" s="269" t="inlineStr">
        <is>
          <t>PC</t>
        </is>
      </c>
      <c r="Z12" s="269" t="inlineStr">
        <is>
          <t>Nao</t>
        </is>
      </c>
      <c r="AA12" s="269" t="inlineStr">
        <is>
          <t>NAO_COMPUTADO</t>
        </is>
      </c>
      <c r="AB12" s="270" t="inlineStr">
        <is>
          <t>Estrutura Fase 1: sem impacto no VTA oficial</t>
        </is>
      </c>
    </row>
    <row r="13" ht="25.5" customHeight="1">
      <c r="A13" s="261" t="n"/>
      <c r="B13" s="262">
        <f>IF(A13="","",IF(OR(A13&lt;MIN(parametros!$C$2:$C$6),A13&gt;MAX(parametros!$D$2:$D$6)),"Fora dos ciclos",LOOKUP(A13,parametros!$C$2:$C$6,parametros!$B$2:$B$6)))</f>
        <v/>
      </c>
      <c r="C13" s="263" t="n"/>
      <c r="D13" s="224">
        <f>IF(B13="","",IFERROR(VLOOKUP(B13,parametros!$A$11:$E$15,5,0),""))</f>
        <v/>
      </c>
      <c r="E13" s="225">
        <f>IF(OR(C13="",D13=""),"",ROUND(C13*D13,2))</f>
        <v/>
      </c>
      <c r="F13" s="264" t="n"/>
      <c r="G13" s="241">
        <f>IF(F13="Sim",IF(OR(E13="",C13=""),"",ROUND(E13-C13,2)),0)</f>
        <v/>
      </c>
      <c r="H13" s="241">
        <f>IF(F13="Nao",IF(E13="","",E13),0)</f>
        <v/>
      </c>
      <c r="I13" s="241">
        <f>IF(F13="Nao",IF(OR(E13="",C13=""),"",ROUND(E13-C13,2)),0)</f>
        <v/>
      </c>
      <c r="J13" s="244">
        <f>IF(COUNTA(A13:F13)=0,"",IF(A13="","DATA_PC vazia",IF(OR(B13="",B13="Fora dos ciclos"),"CICLO_PC nao identificado",IF(OR(C13="",C13=0),"VALOR_PC vazio ou zero",IF(AND(F13&lt;&gt;"Sim",F13&lt;&gt;"Nao"),"PC_PAGO_A_CONTRATADA invalido","OK")))))</f>
        <v/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68" t="inlineStr">
        <is>
          <t>Nao</t>
        </is>
      </c>
      <c r="V13" s="268" t="inlineStr">
        <is>
          <t>PC em analise</t>
        </is>
      </c>
      <c r="W13" s="268" t="inlineStr">
        <is>
          <t>Pedido de Compra</t>
        </is>
      </c>
      <c r="X13" s="269" t="inlineStr">
        <is>
          <t>Impacto Potencial</t>
        </is>
      </c>
      <c r="Y13" s="269" t="inlineStr">
        <is>
          <t>PC</t>
        </is>
      </c>
      <c r="Z13" s="269" t="inlineStr">
        <is>
          <t>Nao</t>
        </is>
      </c>
      <c r="AA13" s="269" t="inlineStr">
        <is>
          <t>NAO_COMPUTADO</t>
        </is>
      </c>
      <c r="AB13" s="270" t="inlineStr">
        <is>
          <t>Estrutura Fase 1: sem impacto no VTA oficial</t>
        </is>
      </c>
    </row>
    <row r="14" ht="25.5" customHeight="1">
      <c r="A14" s="261" t="n"/>
      <c r="B14" s="262">
        <f>IF(A14="","",IF(OR(A14&lt;MIN(parametros!$C$2:$C$6),A14&gt;MAX(parametros!$D$2:$D$6)),"Fora dos ciclos",LOOKUP(A14,parametros!$C$2:$C$6,parametros!$B$2:$B$6)))</f>
        <v/>
      </c>
      <c r="C14" s="263" t="n"/>
      <c r="D14" s="224">
        <f>IF(B14="","",IFERROR(VLOOKUP(B14,parametros!$A$11:$E$15,5,0),""))</f>
        <v/>
      </c>
      <c r="E14" s="225">
        <f>IF(OR(C14="",D14=""),"",ROUND(C14*D14,2))</f>
        <v/>
      </c>
      <c r="F14" s="264" t="n"/>
      <c r="G14" s="241">
        <f>IF(F14="Sim",IF(OR(E14="",C14=""),"",ROUND(E14-C14,2)),0)</f>
        <v/>
      </c>
      <c r="H14" s="241">
        <f>IF(F14="Nao",IF(E14="","",E14),0)</f>
        <v/>
      </c>
      <c r="I14" s="241">
        <f>IF(F14="Nao",IF(OR(E14="",C14=""),"",ROUND(E14-C14,2)),0)</f>
        <v/>
      </c>
      <c r="J14" s="244">
        <f>IF(COUNTA(A14:F14)=0,"",IF(A14="","DATA_PC vazia",IF(OR(B14="",B14="Fora dos ciclos"),"CICLO_PC nao identificado",IF(OR(C14="",C14=0),"VALOR_PC vazio ou zero",IF(AND(F14&lt;&gt;"Sim",F14&lt;&gt;"Nao"),"PC_PAGO_A_CONTRATADA invalido","OK")))))</f>
        <v/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68" t="inlineStr">
        <is>
          <t>Nao</t>
        </is>
      </c>
      <c r="V14" s="268" t="inlineStr">
        <is>
          <t>PC em analise</t>
        </is>
      </c>
      <c r="W14" s="268" t="inlineStr">
        <is>
          <t>Pedido de Compra</t>
        </is>
      </c>
      <c r="X14" s="269" t="inlineStr">
        <is>
          <t>Impacto Potencial</t>
        </is>
      </c>
      <c r="Y14" s="269" t="inlineStr">
        <is>
          <t>PC</t>
        </is>
      </c>
      <c r="Z14" s="269" t="inlineStr">
        <is>
          <t>Nao</t>
        </is>
      </c>
      <c r="AA14" s="269" t="inlineStr">
        <is>
          <t>NAO_COMPUTADO</t>
        </is>
      </c>
      <c r="AB14" s="270" t="inlineStr">
        <is>
          <t>Estrutura Fase 1: sem impacto no VTA oficial</t>
        </is>
      </c>
    </row>
    <row r="15" ht="25.5" customHeight="1">
      <c r="A15" s="261" t="n"/>
      <c r="B15" s="262">
        <f>IF(A15="","",IF(OR(A15&lt;MIN(parametros!$C$2:$C$6),A15&gt;MAX(parametros!$D$2:$D$6)),"Fora dos ciclos",LOOKUP(A15,parametros!$C$2:$C$6,parametros!$B$2:$B$6)))</f>
        <v/>
      </c>
      <c r="C15" s="263" t="n"/>
      <c r="D15" s="224">
        <f>IF(B15="","",IFERROR(VLOOKUP(B15,parametros!$A$11:$E$15,5,0),""))</f>
        <v/>
      </c>
      <c r="E15" s="225">
        <f>IF(OR(C15="",D15=""),"",ROUND(C15*D15,2))</f>
        <v/>
      </c>
      <c r="F15" s="264" t="n"/>
      <c r="G15" s="241">
        <f>IF(F15="Sim",IF(OR(E15="",C15=""),"",ROUND(E15-C15,2)),0)</f>
        <v/>
      </c>
      <c r="H15" s="241">
        <f>IF(F15="Nao",IF(E15="","",E15),0)</f>
        <v/>
      </c>
      <c r="I15" s="241">
        <f>IF(F15="Nao",IF(OR(E15="",C15=""),"",ROUND(E15-C15,2)),0)</f>
        <v/>
      </c>
      <c r="J15" s="244">
        <f>IF(COUNTA(A15:F15)=0,"",IF(A15="","DATA_PC vazia",IF(OR(B15="",B15="Fora dos ciclos"),"CICLO_PC nao identificado",IF(OR(C15="",C15=0),"VALOR_PC vazio ou zero",IF(AND(F15&lt;&gt;"Sim",F15&lt;&gt;"Nao"),"PC_PAGO_A_CONTRATADA invalido","OK")))))</f>
        <v/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68" t="inlineStr">
        <is>
          <t>Nao</t>
        </is>
      </c>
      <c r="V15" s="268" t="inlineStr">
        <is>
          <t>PC em analise</t>
        </is>
      </c>
      <c r="W15" s="268" t="inlineStr">
        <is>
          <t>Pedido de Compra</t>
        </is>
      </c>
      <c r="X15" s="269" t="inlineStr">
        <is>
          <t>Impacto Potencial</t>
        </is>
      </c>
      <c r="Y15" s="269" t="inlineStr">
        <is>
          <t>PC</t>
        </is>
      </c>
      <c r="Z15" s="269" t="inlineStr">
        <is>
          <t>Nao</t>
        </is>
      </c>
      <c r="AA15" s="269" t="inlineStr">
        <is>
          <t>NAO_COMPUTADO</t>
        </is>
      </c>
      <c r="AB15" s="270" t="inlineStr">
        <is>
          <t>Estrutura Fase 1: sem impacto no VTA oficial</t>
        </is>
      </c>
    </row>
    <row r="16" ht="25.5" customHeight="1">
      <c r="A16" s="261" t="n"/>
      <c r="B16" s="262">
        <f>IF(A16="","",IF(OR(A16&lt;MIN(parametros!$C$2:$C$6),A16&gt;MAX(parametros!$D$2:$D$6)),"Fora dos ciclos",LOOKUP(A16,parametros!$C$2:$C$6,parametros!$B$2:$B$6)))</f>
        <v/>
      </c>
      <c r="C16" s="263" t="n"/>
      <c r="D16" s="224">
        <f>IF(B16="","",IFERROR(VLOOKUP(B16,parametros!$A$11:$E$15,5,0),""))</f>
        <v/>
      </c>
      <c r="E16" s="225">
        <f>IF(OR(C16="",D16=""),"",ROUND(C16*D16,2))</f>
        <v/>
      </c>
      <c r="F16" s="264" t="n"/>
      <c r="G16" s="241">
        <f>IF(F16="Sim",IF(OR(E16="",C16=""),"",ROUND(E16-C16,2)),0)</f>
        <v/>
      </c>
      <c r="H16" s="241">
        <f>IF(F16="Nao",IF(E16="","",E16),0)</f>
        <v/>
      </c>
      <c r="I16" s="241">
        <f>IF(F16="Nao",IF(OR(E16="",C16=""),"",ROUND(E16-C16,2)),0)</f>
        <v/>
      </c>
      <c r="J16" s="244">
        <f>IF(COUNTA(A16:F16)=0,"",IF(A16="","DATA_PC vazia",IF(OR(B16="",B16="Fora dos ciclos"),"CICLO_PC nao identificado",IF(OR(C16="",C16=0),"VALOR_PC vazio ou zero",IF(AND(F16&lt;&gt;"Sim",F16&lt;&gt;"Nao"),"PC_PAGO_A_CONTRATADA invalido","OK")))))</f>
        <v/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68" t="inlineStr">
        <is>
          <t>Nao</t>
        </is>
      </c>
      <c r="V16" s="268" t="inlineStr">
        <is>
          <t>PC em analise</t>
        </is>
      </c>
      <c r="W16" s="268" t="inlineStr">
        <is>
          <t>Pedido de Compra</t>
        </is>
      </c>
      <c r="X16" s="269" t="inlineStr">
        <is>
          <t>Impacto Potencial</t>
        </is>
      </c>
      <c r="Y16" s="269" t="inlineStr">
        <is>
          <t>PC</t>
        </is>
      </c>
      <c r="Z16" s="269" t="inlineStr">
        <is>
          <t>Nao</t>
        </is>
      </c>
      <c r="AA16" s="269" t="inlineStr">
        <is>
          <t>NAO_COMPUTADO</t>
        </is>
      </c>
      <c r="AB16" s="270" t="inlineStr">
        <is>
          <t>Estrutura Fase 1: sem impacto no VTA oficial</t>
        </is>
      </c>
    </row>
    <row r="17" ht="25.5" customHeight="1">
      <c r="A17" s="261" t="n"/>
      <c r="B17" s="262">
        <f>IF(A17="","",IF(OR(A17&lt;MIN(parametros!$C$2:$C$6),A17&gt;MAX(parametros!$D$2:$D$6)),"Fora dos ciclos",LOOKUP(A17,parametros!$C$2:$C$6,parametros!$B$2:$B$6)))</f>
        <v/>
      </c>
      <c r="C17" s="263" t="n"/>
      <c r="D17" s="224">
        <f>IF(B17="","",IFERROR(VLOOKUP(B17,parametros!$A$11:$E$15,5,0),""))</f>
        <v/>
      </c>
      <c r="E17" s="225">
        <f>IF(OR(C17="",D17=""),"",ROUND(C17*D17,2))</f>
        <v/>
      </c>
      <c r="F17" s="264" t="n"/>
      <c r="G17" s="241">
        <f>IF(F17="Sim",IF(OR(E17="",C17=""),"",ROUND(E17-C17,2)),0)</f>
        <v/>
      </c>
      <c r="H17" s="241">
        <f>IF(F17="Nao",IF(E17="","",E17),0)</f>
        <v/>
      </c>
      <c r="I17" s="241">
        <f>IF(F17="Nao",IF(OR(E17="",C17=""),"",ROUND(E17-C17,2)),0)</f>
        <v/>
      </c>
      <c r="J17" s="244">
        <f>IF(COUNTA(A17:F17)=0,"",IF(A17="","DATA_PC vazia",IF(OR(B17="",B17="Fora dos ciclos"),"CICLO_PC nao identificado",IF(OR(C17="",C17=0),"VALOR_PC vazio ou zero",IF(AND(F17&lt;&gt;"Sim",F17&lt;&gt;"Nao"),"PC_PAGO_A_CONTRATADA invalido","OK")))))</f>
        <v/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68" t="inlineStr">
        <is>
          <t>Nao</t>
        </is>
      </c>
      <c r="V17" s="268" t="inlineStr">
        <is>
          <t>PC em analise</t>
        </is>
      </c>
      <c r="W17" s="268" t="inlineStr">
        <is>
          <t>Pedido de Compra</t>
        </is>
      </c>
      <c r="X17" s="269" t="inlineStr">
        <is>
          <t>Impacto Potencial</t>
        </is>
      </c>
      <c r="Y17" s="269" t="inlineStr">
        <is>
          <t>PC</t>
        </is>
      </c>
      <c r="Z17" s="269" t="inlineStr">
        <is>
          <t>Nao</t>
        </is>
      </c>
      <c r="AA17" s="269" t="inlineStr">
        <is>
          <t>NAO_COMPUTADO</t>
        </is>
      </c>
      <c r="AB17" s="270" t="inlineStr">
        <is>
          <t>Estrutura Fase 1: sem impacto no VTA oficial</t>
        </is>
      </c>
    </row>
    <row r="18" ht="25.5" customHeight="1">
      <c r="A18" s="261" t="n"/>
      <c r="B18" s="262">
        <f>IF(A18="","",IF(OR(A18&lt;MIN(parametros!$C$2:$C$6),A18&gt;MAX(parametros!$D$2:$D$6)),"Fora dos ciclos",LOOKUP(A18,parametros!$C$2:$C$6,parametros!$B$2:$B$6)))</f>
        <v/>
      </c>
      <c r="C18" s="263" t="n"/>
      <c r="D18" s="224">
        <f>IF(B18="","",IFERROR(VLOOKUP(B18,parametros!$A$11:$E$15,5,0),""))</f>
        <v/>
      </c>
      <c r="E18" s="225">
        <f>IF(OR(C18="",D18=""),"",ROUND(C18*D18,2))</f>
        <v/>
      </c>
      <c r="F18" s="264" t="n"/>
      <c r="G18" s="241">
        <f>IF(F18="Sim",IF(OR(E18="",C18=""),"",ROUND(E18-C18,2)),0)</f>
        <v/>
      </c>
      <c r="H18" s="241">
        <f>IF(F18="Nao",IF(E18="","",E18),0)</f>
        <v/>
      </c>
      <c r="I18" s="241">
        <f>IF(F18="Nao",IF(OR(E18="",C18=""),"",ROUND(E18-C18,2)),0)</f>
        <v/>
      </c>
      <c r="J18" s="244">
        <f>IF(COUNTA(A18:F18)=0,"",IF(A18="","DATA_PC vazia",IF(OR(B18="",B18="Fora dos ciclos"),"CICLO_PC nao identificado",IF(OR(C18="",C18=0),"VALOR_PC vazio ou zero",IF(AND(F18&lt;&gt;"Sim",F18&lt;&gt;"Nao"),"PC_PAGO_A_CONTRATADA invalido","OK")))))</f>
        <v/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68" t="inlineStr">
        <is>
          <t>Nao</t>
        </is>
      </c>
      <c r="V18" s="268" t="inlineStr">
        <is>
          <t>PC em analise</t>
        </is>
      </c>
      <c r="W18" s="268" t="inlineStr">
        <is>
          <t>Pedido de Compra</t>
        </is>
      </c>
      <c r="X18" s="269" t="inlineStr">
        <is>
          <t>Impacto Potencial</t>
        </is>
      </c>
      <c r="Y18" s="269" t="inlineStr">
        <is>
          <t>PC</t>
        </is>
      </c>
      <c r="Z18" s="269" t="inlineStr">
        <is>
          <t>Nao</t>
        </is>
      </c>
      <c r="AA18" s="269" t="inlineStr">
        <is>
          <t>NAO_COMPUTADO</t>
        </is>
      </c>
      <c r="AB18" s="270" t="inlineStr">
        <is>
          <t>Estrutura Fase 1: sem impacto no VTA oficial</t>
        </is>
      </c>
    </row>
    <row r="19" ht="25.5" customHeight="1">
      <c r="A19" s="261" t="n"/>
      <c r="B19" s="262">
        <f>IF(A19="","",IF(OR(A19&lt;MIN(parametros!$C$2:$C$6),A19&gt;MAX(parametros!$D$2:$D$6)),"Fora dos ciclos",LOOKUP(A19,parametros!$C$2:$C$6,parametros!$B$2:$B$6)))</f>
        <v/>
      </c>
      <c r="C19" s="263" t="n"/>
      <c r="D19" s="224">
        <f>IF(B19="","",IFERROR(VLOOKUP(B19,parametros!$A$11:$E$15,5,0),""))</f>
        <v/>
      </c>
      <c r="E19" s="225">
        <f>IF(OR(C19="",D19=""),"",ROUND(C19*D19,2))</f>
        <v/>
      </c>
      <c r="F19" s="264" t="n"/>
      <c r="G19" s="241">
        <f>IF(F19="Sim",IF(OR(E19="",C19=""),"",ROUND(E19-C19,2)),0)</f>
        <v/>
      </c>
      <c r="H19" s="241">
        <f>IF(F19="Nao",IF(E19="","",E19),0)</f>
        <v/>
      </c>
      <c r="I19" s="241">
        <f>IF(F19="Nao",IF(OR(E19="",C19=""),"",ROUND(E19-C19,2)),0)</f>
        <v/>
      </c>
      <c r="J19" s="244">
        <f>IF(COUNTA(A19:F19)=0,"",IF(A19="","DATA_PC vazia",IF(OR(B19="",B19="Fora dos ciclos"),"CICLO_PC nao identificado",IF(OR(C19="",C19=0),"VALOR_PC vazio ou zero",IF(AND(F19&lt;&gt;"Sim",F19&lt;&gt;"Nao"),"PC_PAGO_A_CONTRATADA invalido","OK")))))</f>
        <v/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68" t="inlineStr">
        <is>
          <t>Nao</t>
        </is>
      </c>
      <c r="V19" s="268" t="inlineStr">
        <is>
          <t>PC em analise</t>
        </is>
      </c>
      <c r="W19" s="268" t="inlineStr">
        <is>
          <t>Pedido de Compra</t>
        </is>
      </c>
      <c r="X19" s="269" t="inlineStr">
        <is>
          <t>Impacto Potencial</t>
        </is>
      </c>
      <c r="Y19" s="269" t="inlineStr">
        <is>
          <t>PC</t>
        </is>
      </c>
      <c r="Z19" s="269" t="inlineStr">
        <is>
          <t>Nao</t>
        </is>
      </c>
      <c r="AA19" s="269" t="inlineStr">
        <is>
          <t>NAO_COMPUTADO</t>
        </is>
      </c>
      <c r="AB19" s="270" t="inlineStr">
        <is>
          <t>Estrutura Fase 1: sem impacto no VTA oficial</t>
        </is>
      </c>
    </row>
    <row r="20" ht="25.5" customHeight="1">
      <c r="A20" s="261" t="n"/>
      <c r="B20" s="262">
        <f>IF(A20="","",IF(OR(A20&lt;MIN(parametros!$C$2:$C$6),A20&gt;MAX(parametros!$D$2:$D$6)),"Fora dos ciclos",LOOKUP(A20,parametros!$C$2:$C$6,parametros!$B$2:$B$6)))</f>
        <v/>
      </c>
      <c r="C20" s="263" t="n"/>
      <c r="D20" s="224">
        <f>IF(B20="","",IFERROR(VLOOKUP(B20,parametros!$A$11:$E$15,5,0),""))</f>
        <v/>
      </c>
      <c r="E20" s="225">
        <f>IF(OR(C20="",D20=""),"",ROUND(C20*D20,2))</f>
        <v/>
      </c>
      <c r="F20" s="264" t="n"/>
      <c r="G20" s="241">
        <f>IF(F20="Sim",IF(OR(E20="",C20=""),"",ROUND(E20-C20,2)),0)</f>
        <v/>
      </c>
      <c r="H20" s="241">
        <f>IF(F20="Nao",IF(E20="","",E20),0)</f>
        <v/>
      </c>
      <c r="I20" s="241">
        <f>IF(F20="Nao",IF(OR(E20="",C20=""),"",ROUND(E20-C20,2)),0)</f>
        <v/>
      </c>
      <c r="J20" s="244">
        <f>IF(COUNTA(A20:F20)=0,"",IF(A20="","DATA_PC vazia",IF(OR(B20="",B20="Fora dos ciclos"),"CICLO_PC nao identificado",IF(OR(C20="",C20=0),"VALOR_PC vazio ou zero",IF(AND(F20&lt;&gt;"Sim",F20&lt;&gt;"Nao"),"PC_PAGO_A_CONTRATADA invalido","OK")))))</f>
        <v/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68" t="inlineStr">
        <is>
          <t>Nao</t>
        </is>
      </c>
      <c r="V20" s="268" t="inlineStr">
        <is>
          <t>PC em analise</t>
        </is>
      </c>
      <c r="W20" s="268" t="inlineStr">
        <is>
          <t>Pedido de Compra</t>
        </is>
      </c>
      <c r="X20" s="269" t="inlineStr">
        <is>
          <t>Impacto Potencial</t>
        </is>
      </c>
      <c r="Y20" s="269" t="inlineStr">
        <is>
          <t>PC</t>
        </is>
      </c>
      <c r="Z20" s="269" t="inlineStr">
        <is>
          <t>Nao</t>
        </is>
      </c>
      <c r="AA20" s="269" t="inlineStr">
        <is>
          <t>NAO_COMPUTADO</t>
        </is>
      </c>
      <c r="AB20" s="270" t="inlineStr">
        <is>
          <t>Estrutura Fase 1: sem impacto no VTA oficial</t>
        </is>
      </c>
    </row>
    <row r="21" ht="25.5" customHeight="1">
      <c r="A21" s="261" t="n"/>
      <c r="B21" s="262">
        <f>IF(A21="","",IF(OR(A21&lt;MIN(parametros!$C$2:$C$6),A21&gt;MAX(parametros!$D$2:$D$6)),"Fora dos ciclos",LOOKUP(A21,parametros!$C$2:$C$6,parametros!$B$2:$B$6)))</f>
        <v/>
      </c>
      <c r="C21" s="263" t="n"/>
      <c r="D21" s="224">
        <f>IF(B21="","",IFERROR(VLOOKUP(B21,parametros!$A$11:$E$15,5,0),""))</f>
        <v/>
      </c>
      <c r="E21" s="225">
        <f>IF(OR(C21="",D21=""),"",ROUND(C21*D21,2))</f>
        <v/>
      </c>
      <c r="F21" s="264" t="n"/>
      <c r="G21" s="241">
        <f>IF(F21="Sim",IF(OR(E21="",C21=""),"",ROUND(E21-C21,2)),0)</f>
        <v/>
      </c>
      <c r="H21" s="241">
        <f>IF(F21="Nao",IF(E21="","",E21),0)</f>
        <v/>
      </c>
      <c r="I21" s="241">
        <f>IF(F21="Nao",IF(OR(E21="",C21=""),"",ROUND(E21-C21,2)),0)</f>
        <v/>
      </c>
      <c r="J21" s="244">
        <f>IF(COUNTA(A21:F21)=0,"",IF(A21="","DATA_PC vazia",IF(OR(B21="",B21="Fora dos ciclos"),"CICLO_PC nao identificado",IF(OR(C21="",C21=0),"VALOR_PC vazio ou zero",IF(AND(F21&lt;&gt;"Sim",F21&lt;&gt;"Nao"),"PC_PAGO_A_CONTRATADA invalido","OK")))))</f>
        <v/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68" t="inlineStr">
        <is>
          <t>Nao</t>
        </is>
      </c>
      <c r="V21" s="268" t="inlineStr">
        <is>
          <t>PC em analise</t>
        </is>
      </c>
      <c r="W21" s="268" t="inlineStr">
        <is>
          <t>Pedido de Compra</t>
        </is>
      </c>
      <c r="X21" s="269" t="inlineStr">
        <is>
          <t>Impacto Potencial</t>
        </is>
      </c>
      <c r="Y21" s="269" t="inlineStr">
        <is>
          <t>PC</t>
        </is>
      </c>
      <c r="Z21" s="269" t="inlineStr">
        <is>
          <t>Nao</t>
        </is>
      </c>
      <c r="AA21" s="269" t="inlineStr">
        <is>
          <t>NAO_COMPUTADO</t>
        </is>
      </c>
      <c r="AB21" s="270" t="inlineStr">
        <is>
          <t>Estrutura Fase 1: sem impacto no VTA oficial</t>
        </is>
      </c>
    </row>
    <row r="22" ht="25.5" customHeight="1">
      <c r="A22" s="261" t="n"/>
      <c r="B22" s="262">
        <f>IF(A22="","",IF(OR(A22&lt;MIN(parametros!$C$2:$C$6),A22&gt;MAX(parametros!$D$2:$D$6)),"Fora dos ciclos",LOOKUP(A22,parametros!$C$2:$C$6,parametros!$B$2:$B$6)))</f>
        <v/>
      </c>
      <c r="C22" s="263" t="n"/>
      <c r="D22" s="224">
        <f>IF(B22="","",IFERROR(VLOOKUP(B22,parametros!$A$11:$E$15,5,0),""))</f>
        <v/>
      </c>
      <c r="E22" s="225">
        <f>IF(OR(C22="",D22=""),"",ROUND(C22*D22,2))</f>
        <v/>
      </c>
      <c r="F22" s="264" t="n"/>
      <c r="G22" s="241">
        <f>IF(F22="Sim",IF(OR(E22="",C22=""),"",ROUND(E22-C22,2)),0)</f>
        <v/>
      </c>
      <c r="H22" s="241">
        <f>IF(F22="Nao",IF(E22="","",E22),0)</f>
        <v/>
      </c>
      <c r="I22" s="241">
        <f>IF(F22="Nao",IF(OR(E22="",C22=""),"",ROUND(E22-C22,2)),0)</f>
        <v/>
      </c>
      <c r="J22" s="244">
        <f>IF(COUNTA(A22:F22)=0,"",IF(A22="","DATA_PC vazia",IF(OR(B22="",B22="Fora dos ciclos"),"CICLO_PC nao identificado",IF(OR(C22="",C22=0),"VALOR_PC vazio ou zero",IF(AND(F22&lt;&gt;"Sim",F22&lt;&gt;"Nao"),"PC_PAGO_A_CONTRATADA invalido","OK")))))</f>
        <v/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68" t="inlineStr">
        <is>
          <t>Nao</t>
        </is>
      </c>
      <c r="V22" s="268" t="inlineStr">
        <is>
          <t>PC em analise</t>
        </is>
      </c>
      <c r="W22" s="268" t="inlineStr">
        <is>
          <t>Pedido de Compra</t>
        </is>
      </c>
      <c r="X22" s="269" t="inlineStr">
        <is>
          <t>Impacto Potencial</t>
        </is>
      </c>
      <c r="Y22" s="269" t="inlineStr">
        <is>
          <t>PC</t>
        </is>
      </c>
      <c r="Z22" s="269" t="inlineStr">
        <is>
          <t>Nao</t>
        </is>
      </c>
      <c r="AA22" s="269" t="inlineStr">
        <is>
          <t>NAO_COMPUTADO</t>
        </is>
      </c>
      <c r="AB22" s="270" t="inlineStr">
        <is>
          <t>Estrutura Fase 1: sem impacto no VTA oficial</t>
        </is>
      </c>
    </row>
    <row r="23" ht="25.5" customHeight="1">
      <c r="A23" s="261" t="n"/>
      <c r="B23" s="262">
        <f>IF(A23="","",IF(OR(A23&lt;MIN(parametros!$C$2:$C$6),A23&gt;MAX(parametros!$D$2:$D$6)),"Fora dos ciclos",LOOKUP(A23,parametros!$C$2:$C$6,parametros!$B$2:$B$6)))</f>
        <v/>
      </c>
      <c r="C23" s="263" t="n"/>
      <c r="D23" s="224">
        <f>IF(B23="","",IFERROR(VLOOKUP(B23,parametros!$A$11:$E$15,5,0),""))</f>
        <v/>
      </c>
      <c r="E23" s="225">
        <f>IF(OR(C23="",D23=""),"",ROUND(C23*D23,2))</f>
        <v/>
      </c>
      <c r="F23" s="264" t="n"/>
      <c r="G23" s="241">
        <f>IF(F23="Sim",IF(OR(E23="",C23=""),"",ROUND(E23-C23,2)),0)</f>
        <v/>
      </c>
      <c r="H23" s="241">
        <f>IF(F23="Nao",IF(E23="","",E23),0)</f>
        <v/>
      </c>
      <c r="I23" s="241">
        <f>IF(F23="Nao",IF(OR(E23="",C23=""),"",ROUND(E23-C23,2)),0)</f>
        <v/>
      </c>
      <c r="J23" s="244">
        <f>IF(COUNTA(A23:F23)=0,"",IF(A23="","DATA_PC vazia",IF(OR(B23="",B23="Fora dos ciclos"),"CICLO_PC nao identificado",IF(OR(C23="",C23=0),"VALOR_PC vazio ou zero",IF(AND(F23&lt;&gt;"Sim",F23&lt;&gt;"Nao"),"PC_PAGO_A_CONTRATADA invalido","OK")))))</f>
        <v/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68" t="inlineStr">
        <is>
          <t>Nao</t>
        </is>
      </c>
      <c r="V23" s="268" t="inlineStr">
        <is>
          <t>PC em analise</t>
        </is>
      </c>
      <c r="W23" s="268" t="inlineStr">
        <is>
          <t>Pedido de Compra</t>
        </is>
      </c>
      <c r="X23" s="269" t="inlineStr">
        <is>
          <t>Impacto Potencial</t>
        </is>
      </c>
      <c r="Y23" s="269" t="inlineStr">
        <is>
          <t>PC</t>
        </is>
      </c>
      <c r="Z23" s="269" t="inlineStr">
        <is>
          <t>Nao</t>
        </is>
      </c>
      <c r="AA23" s="269" t="inlineStr">
        <is>
          <t>NAO_COMPUTADO</t>
        </is>
      </c>
      <c r="AB23" s="270" t="inlineStr">
        <is>
          <t>Estrutura Fase 1: sem impacto no VTA oficial</t>
        </is>
      </c>
    </row>
    <row r="24" ht="25.5" customHeight="1">
      <c r="A24" s="261" t="n"/>
      <c r="B24" s="262">
        <f>IF(A24="","",IF(OR(A24&lt;MIN(parametros!$C$2:$C$6),A24&gt;MAX(parametros!$D$2:$D$6)),"Fora dos ciclos",LOOKUP(A24,parametros!$C$2:$C$6,parametros!$B$2:$B$6)))</f>
        <v/>
      </c>
      <c r="C24" s="263" t="n"/>
      <c r="D24" s="224">
        <f>IF(B24="","",IFERROR(VLOOKUP(B24,parametros!$A$11:$E$15,5,0),""))</f>
        <v/>
      </c>
      <c r="E24" s="225">
        <f>IF(OR(C24="",D24=""),"",ROUND(C24*D24,2))</f>
        <v/>
      </c>
      <c r="F24" s="264" t="n"/>
      <c r="G24" s="241">
        <f>IF(F24="Sim",IF(OR(E24="",C24=""),"",ROUND(E24-C24,2)),0)</f>
        <v/>
      </c>
      <c r="H24" s="241">
        <f>IF(F24="Nao",IF(E24="","",E24),0)</f>
        <v/>
      </c>
      <c r="I24" s="241">
        <f>IF(F24="Nao",IF(OR(E24="",C24=""),"",ROUND(E24-C24,2)),0)</f>
        <v/>
      </c>
      <c r="J24" s="244">
        <f>IF(COUNTA(A24:F24)=0,"",IF(A24="","DATA_PC vazia",IF(OR(B24="",B24="Fora dos ciclos"),"CICLO_PC nao identificado",IF(OR(C24="",C24=0),"VALOR_PC vazio ou zero",IF(AND(F24&lt;&gt;"Sim",F24&lt;&gt;"Nao"),"PC_PAGO_A_CONTRATADA invalido","OK")))))</f>
        <v/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68" t="inlineStr">
        <is>
          <t>Nao</t>
        </is>
      </c>
      <c r="V24" s="268" t="inlineStr">
        <is>
          <t>PC em analise</t>
        </is>
      </c>
      <c r="W24" s="268" t="inlineStr">
        <is>
          <t>Pedido de Compra</t>
        </is>
      </c>
      <c r="X24" s="269" t="inlineStr">
        <is>
          <t>Impacto Potencial</t>
        </is>
      </c>
      <c r="Y24" s="269" t="inlineStr">
        <is>
          <t>PC</t>
        </is>
      </c>
      <c r="Z24" s="269" t="inlineStr">
        <is>
          <t>Nao</t>
        </is>
      </c>
      <c r="AA24" s="269" t="inlineStr">
        <is>
          <t>NAO_COMPUTADO</t>
        </is>
      </c>
      <c r="AB24" s="270" t="inlineStr">
        <is>
          <t>Estrutura Fase 1: sem impacto no VTA oficial</t>
        </is>
      </c>
    </row>
    <row r="25" ht="25.5" customHeight="1">
      <c r="A25" s="261" t="n"/>
      <c r="B25" s="262">
        <f>IF(A25="","",IF(OR(A25&lt;MIN(parametros!$C$2:$C$6),A25&gt;MAX(parametros!$D$2:$D$6)),"Fora dos ciclos",LOOKUP(A25,parametros!$C$2:$C$6,parametros!$B$2:$B$6)))</f>
        <v/>
      </c>
      <c r="C25" s="263" t="n"/>
      <c r="D25" s="224">
        <f>IF(B25="","",IFERROR(VLOOKUP(B25,parametros!$A$11:$E$15,5,0),""))</f>
        <v/>
      </c>
      <c r="E25" s="225">
        <f>IF(OR(C25="",D25=""),"",ROUND(C25*D25,2))</f>
        <v/>
      </c>
      <c r="F25" s="264" t="n"/>
      <c r="G25" s="241">
        <f>IF(F25="Sim",IF(OR(E25="",C25=""),"",ROUND(E25-C25,2)),0)</f>
        <v/>
      </c>
      <c r="H25" s="241">
        <f>IF(F25="Nao",IF(E25="","",E25),0)</f>
        <v/>
      </c>
      <c r="I25" s="241">
        <f>IF(F25="Nao",IF(OR(E25="",C25=""),"",ROUND(E25-C25,2)),0)</f>
        <v/>
      </c>
      <c r="J25" s="244">
        <f>IF(COUNTA(A25:F25)=0,"",IF(A25="","DATA_PC vazia",IF(OR(B25="",B25="Fora dos ciclos"),"CICLO_PC nao identificado",IF(OR(C25="",C25=0),"VALOR_PC vazio ou zero",IF(AND(F25&lt;&gt;"Sim",F25&lt;&gt;"Nao"),"PC_PAGO_A_CONTRATADA invalido","OK")))))</f>
        <v/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68" t="inlineStr">
        <is>
          <t>Nao</t>
        </is>
      </c>
      <c r="V25" s="268" t="inlineStr">
        <is>
          <t>PC em analise</t>
        </is>
      </c>
      <c r="W25" s="268" t="inlineStr">
        <is>
          <t>Pedido de Compra</t>
        </is>
      </c>
      <c r="X25" s="269" t="inlineStr">
        <is>
          <t>Impacto Potencial</t>
        </is>
      </c>
      <c r="Y25" s="269" t="inlineStr">
        <is>
          <t>PC</t>
        </is>
      </c>
      <c r="Z25" s="269" t="inlineStr">
        <is>
          <t>Nao</t>
        </is>
      </c>
      <c r="AA25" s="269" t="inlineStr">
        <is>
          <t>NAO_COMPUTADO</t>
        </is>
      </c>
      <c r="AB25" s="270" t="inlineStr">
        <is>
          <t>Estrutura Fase 1: sem impacto no VTA oficial</t>
        </is>
      </c>
    </row>
    <row r="26" ht="25.5" customHeight="1">
      <c r="A26" s="261" t="n"/>
      <c r="B26" s="262">
        <f>IF(A26="","",IF(OR(A26&lt;MIN(parametros!$C$2:$C$6),A26&gt;MAX(parametros!$D$2:$D$6)),"Fora dos ciclos",LOOKUP(A26,parametros!$C$2:$C$6,parametros!$B$2:$B$6)))</f>
        <v/>
      </c>
      <c r="C26" s="263" t="n"/>
      <c r="D26" s="224">
        <f>IF(B26="","",IFERROR(VLOOKUP(B26,parametros!$A$11:$E$15,5,0),""))</f>
        <v/>
      </c>
      <c r="E26" s="225">
        <f>IF(OR(C26="",D26=""),"",ROUND(C26*D26,2))</f>
        <v/>
      </c>
      <c r="F26" s="264" t="n"/>
      <c r="G26" s="241">
        <f>IF(F26="Sim",IF(OR(E26="",C26=""),"",ROUND(E26-C26,2)),0)</f>
        <v/>
      </c>
      <c r="H26" s="241">
        <f>IF(F26="Nao",IF(E26="","",E26),0)</f>
        <v/>
      </c>
      <c r="I26" s="241">
        <f>IF(F26="Nao",IF(OR(E26="",C26=""),"",ROUND(E26-C26,2)),0)</f>
        <v/>
      </c>
      <c r="J26" s="244">
        <f>IF(COUNTA(A26:F26)=0,"",IF(A26="","DATA_PC vazia",IF(OR(B26="",B26="Fora dos ciclos"),"CICLO_PC nao identificado",IF(OR(C26="",C26=0),"VALOR_PC vazio ou zero",IF(AND(F26&lt;&gt;"Sim",F26&lt;&gt;"Nao"),"PC_PAGO_A_CONTRATADA invalido","OK")))))</f>
        <v/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68" t="inlineStr">
        <is>
          <t>Nao</t>
        </is>
      </c>
      <c r="V26" s="268" t="inlineStr">
        <is>
          <t>PC em analise</t>
        </is>
      </c>
      <c r="W26" s="268" t="inlineStr">
        <is>
          <t>Pedido de Compra</t>
        </is>
      </c>
      <c r="X26" s="269" t="inlineStr">
        <is>
          <t>Impacto Potencial</t>
        </is>
      </c>
      <c r="Y26" s="269" t="inlineStr">
        <is>
          <t>PC</t>
        </is>
      </c>
      <c r="Z26" s="269" t="inlineStr">
        <is>
          <t>Nao</t>
        </is>
      </c>
      <c r="AA26" s="269" t="inlineStr">
        <is>
          <t>NAO_COMPUTADO</t>
        </is>
      </c>
      <c r="AB26" s="270" t="inlineStr">
        <is>
          <t>Estrutura Fase 1: sem impacto no VTA oficial</t>
        </is>
      </c>
    </row>
    <row r="27" ht="25.5" customHeight="1">
      <c r="A27" s="261" t="n"/>
      <c r="B27" s="262">
        <f>IF(A27="","",IF(OR(A27&lt;MIN(parametros!$C$2:$C$6),A27&gt;MAX(parametros!$D$2:$D$6)),"Fora dos ciclos",LOOKUP(A27,parametros!$C$2:$C$6,parametros!$B$2:$B$6)))</f>
        <v/>
      </c>
      <c r="C27" s="263" t="n"/>
      <c r="D27" s="224">
        <f>IF(B27="","",IFERROR(VLOOKUP(B27,parametros!$A$11:$E$15,5,0),""))</f>
        <v/>
      </c>
      <c r="E27" s="225">
        <f>IF(OR(C27="",D27=""),"",ROUND(C27*D27,2))</f>
        <v/>
      </c>
      <c r="F27" s="264" t="n"/>
      <c r="G27" s="241">
        <f>IF(F27="Sim",IF(OR(E27="",C27=""),"",ROUND(E27-C27,2)),0)</f>
        <v/>
      </c>
      <c r="H27" s="241">
        <f>IF(F27="Nao",IF(E27="","",E27),0)</f>
        <v/>
      </c>
      <c r="I27" s="241">
        <f>IF(F27="Nao",IF(OR(E27="",C27=""),"",ROUND(E27-C27,2)),0)</f>
        <v/>
      </c>
      <c r="J27" s="244">
        <f>IF(COUNTA(A27:F27)=0,"",IF(A27="","DATA_PC vazia",IF(OR(B27="",B27="Fora dos ciclos"),"CICLO_PC nao identificado",IF(OR(C27="",C27=0),"VALOR_PC vazio ou zero",IF(AND(F27&lt;&gt;"Sim",F27&lt;&gt;"Nao"),"PC_PAGO_A_CONTRATADA invalido","OK")))))</f>
        <v/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68" t="inlineStr">
        <is>
          <t>Nao</t>
        </is>
      </c>
      <c r="V27" s="268" t="inlineStr">
        <is>
          <t>PC em analise</t>
        </is>
      </c>
      <c r="W27" s="268" t="inlineStr">
        <is>
          <t>Pedido de Compra</t>
        </is>
      </c>
      <c r="X27" s="269" t="inlineStr">
        <is>
          <t>Impacto Potencial</t>
        </is>
      </c>
      <c r="Y27" s="269" t="inlineStr">
        <is>
          <t>PC</t>
        </is>
      </c>
      <c r="Z27" s="269" t="inlineStr">
        <is>
          <t>Nao</t>
        </is>
      </c>
      <c r="AA27" s="269" t="inlineStr">
        <is>
          <t>NAO_COMPUTADO</t>
        </is>
      </c>
      <c r="AB27" s="270" t="inlineStr">
        <is>
          <t>Estrutura Fase 1: sem impacto no VTA oficial</t>
        </is>
      </c>
    </row>
    <row r="28" ht="25.5" customHeight="1">
      <c r="A28" s="261" t="n"/>
      <c r="B28" s="262">
        <f>IF(A28="","",IF(OR(A28&lt;MIN(parametros!$C$2:$C$6),A28&gt;MAX(parametros!$D$2:$D$6)),"Fora dos ciclos",LOOKUP(A28,parametros!$C$2:$C$6,parametros!$B$2:$B$6)))</f>
        <v/>
      </c>
      <c r="C28" s="263" t="n"/>
      <c r="D28" s="224">
        <f>IF(B28="","",IFERROR(VLOOKUP(B28,parametros!$A$11:$E$15,5,0),""))</f>
        <v/>
      </c>
      <c r="E28" s="225">
        <f>IF(OR(C28="",D28=""),"",ROUND(C28*D28,2))</f>
        <v/>
      </c>
      <c r="F28" s="264" t="n"/>
      <c r="G28" s="241">
        <f>IF(F28="Sim",IF(OR(E28="",C28=""),"",ROUND(E28-C28,2)),0)</f>
        <v/>
      </c>
      <c r="H28" s="241">
        <f>IF(F28="Nao",IF(E28="","",E28),0)</f>
        <v/>
      </c>
      <c r="I28" s="241">
        <f>IF(F28="Nao",IF(OR(E28="",C28=""),"",ROUND(E28-C28,2)),0)</f>
        <v/>
      </c>
      <c r="J28" s="244">
        <f>IF(COUNTA(A28:F28)=0,"",IF(A28="","DATA_PC vazia",IF(OR(B28="",B28="Fora dos ciclos"),"CICLO_PC nao identificado",IF(OR(C28="",C28=0),"VALOR_PC vazio ou zero",IF(AND(F28&lt;&gt;"Sim",F28&lt;&gt;"Nao"),"PC_PAGO_A_CONTRATADA invalido","OK")))))</f>
        <v/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68" t="inlineStr">
        <is>
          <t>Nao</t>
        </is>
      </c>
      <c r="V28" s="268" t="inlineStr">
        <is>
          <t>PC em analise</t>
        </is>
      </c>
      <c r="W28" s="268" t="inlineStr">
        <is>
          <t>Pedido de Compra</t>
        </is>
      </c>
      <c r="X28" s="269" t="inlineStr">
        <is>
          <t>Impacto Potencial</t>
        </is>
      </c>
      <c r="Y28" s="269" t="inlineStr">
        <is>
          <t>PC</t>
        </is>
      </c>
      <c r="Z28" s="269" t="inlineStr">
        <is>
          <t>Nao</t>
        </is>
      </c>
      <c r="AA28" s="269" t="inlineStr">
        <is>
          <t>NAO_COMPUTADO</t>
        </is>
      </c>
      <c r="AB28" s="270" t="inlineStr">
        <is>
          <t>Estrutura Fase 1: sem impacto no VTA oficial</t>
        </is>
      </c>
    </row>
    <row r="29" ht="25.5" customHeight="1">
      <c r="A29" s="261" t="n"/>
      <c r="B29" s="262">
        <f>IF(A29="","",IF(OR(A29&lt;MIN(parametros!$C$2:$C$6),A29&gt;MAX(parametros!$D$2:$D$6)),"Fora dos ciclos",LOOKUP(A29,parametros!$C$2:$C$6,parametros!$B$2:$B$6)))</f>
        <v/>
      </c>
      <c r="C29" s="263" t="n"/>
      <c r="D29" s="224">
        <f>IF(B29="","",IFERROR(VLOOKUP(B29,parametros!$A$11:$E$15,5,0),""))</f>
        <v/>
      </c>
      <c r="E29" s="225">
        <f>IF(OR(C29="",D29=""),"",ROUND(C29*D29,2))</f>
        <v/>
      </c>
      <c r="F29" s="264" t="n"/>
      <c r="G29" s="241">
        <f>IF(F29="Sim",IF(OR(E29="",C29=""),"",ROUND(E29-C29,2)),0)</f>
        <v/>
      </c>
      <c r="H29" s="241">
        <f>IF(F29="Nao",IF(E29="","",E29),0)</f>
        <v/>
      </c>
      <c r="I29" s="241">
        <f>IF(F29="Nao",IF(OR(E29="",C29=""),"",ROUND(E29-C29,2)),0)</f>
        <v/>
      </c>
      <c r="J29" s="244">
        <f>IF(COUNTA(A29:F29)=0,"",IF(A29="","DATA_PC vazia",IF(OR(B29="",B29="Fora dos ciclos"),"CICLO_PC nao identificado",IF(OR(C29="",C29=0),"VALOR_PC vazio ou zero",IF(AND(F29&lt;&gt;"Sim",F29&lt;&gt;"Nao"),"PC_PAGO_A_CONTRATADA invalido","OK")))))</f>
        <v/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68" t="inlineStr">
        <is>
          <t>Nao</t>
        </is>
      </c>
      <c r="V29" s="268" t="inlineStr">
        <is>
          <t>PC em analise</t>
        </is>
      </c>
      <c r="W29" s="268" t="inlineStr">
        <is>
          <t>Pedido de Compra</t>
        </is>
      </c>
      <c r="X29" s="269" t="inlineStr">
        <is>
          <t>Impacto Potencial</t>
        </is>
      </c>
      <c r="Y29" s="269" t="inlineStr">
        <is>
          <t>PC</t>
        </is>
      </c>
      <c r="Z29" s="269" t="inlineStr">
        <is>
          <t>Nao</t>
        </is>
      </c>
      <c r="AA29" s="269" t="inlineStr">
        <is>
          <t>NAO_COMPUTADO</t>
        </is>
      </c>
      <c r="AB29" s="270" t="inlineStr">
        <is>
          <t>Estrutura Fase 1: sem impacto no VTA oficial</t>
        </is>
      </c>
    </row>
    <row r="30" ht="25.5" customHeight="1">
      <c r="A30" s="261" t="n"/>
      <c r="B30" s="262">
        <f>IF(A30="","",IF(OR(A30&lt;MIN(parametros!$C$2:$C$6),A30&gt;MAX(parametros!$D$2:$D$6)),"Fora dos ciclos",LOOKUP(A30,parametros!$C$2:$C$6,parametros!$B$2:$B$6)))</f>
        <v/>
      </c>
      <c r="C30" s="263" t="n"/>
      <c r="D30" s="224">
        <f>IF(B30="","",IFERROR(VLOOKUP(B30,parametros!$A$11:$E$15,5,0),""))</f>
        <v/>
      </c>
      <c r="E30" s="225">
        <f>IF(OR(C30="",D30=""),"",ROUND(C30*D30,2))</f>
        <v/>
      </c>
      <c r="F30" s="264" t="n"/>
      <c r="G30" s="241">
        <f>IF(F30="Sim",IF(OR(E30="",C30=""),"",ROUND(E30-C30,2)),0)</f>
        <v/>
      </c>
      <c r="H30" s="241">
        <f>IF(F30="Nao",IF(E30="","",E30),0)</f>
        <v/>
      </c>
      <c r="I30" s="241">
        <f>IF(F30="Nao",IF(OR(E30="",C30=""),"",ROUND(E30-C30,2)),0)</f>
        <v/>
      </c>
      <c r="J30" s="244">
        <f>IF(COUNTA(A30:F30)=0,"",IF(A30="","DATA_PC vazia",IF(OR(B30="",B30="Fora dos ciclos"),"CICLO_PC nao identificado",IF(OR(C30="",C30=0),"VALOR_PC vazio ou zero",IF(AND(F30&lt;&gt;"Sim",F30&lt;&gt;"Nao"),"PC_PAGO_A_CONTRATADA invalido","OK")))))</f>
        <v/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68" t="inlineStr">
        <is>
          <t>Nao</t>
        </is>
      </c>
      <c r="V30" s="268" t="inlineStr">
        <is>
          <t>PC em analise</t>
        </is>
      </c>
      <c r="W30" s="268" t="inlineStr">
        <is>
          <t>Pedido de Compra</t>
        </is>
      </c>
      <c r="X30" s="269" t="inlineStr">
        <is>
          <t>Impacto Potencial</t>
        </is>
      </c>
      <c r="Y30" s="269" t="inlineStr">
        <is>
          <t>PC</t>
        </is>
      </c>
      <c r="Z30" s="269" t="inlineStr">
        <is>
          <t>Nao</t>
        </is>
      </c>
      <c r="AA30" s="269" t="inlineStr">
        <is>
          <t>NAO_COMPUTADO</t>
        </is>
      </c>
      <c r="AB30" s="270" t="inlineStr">
        <is>
          <t>Estrutura Fase 1: sem impacto no VTA oficial</t>
        </is>
      </c>
    </row>
    <row r="31" ht="25.5" customHeight="1">
      <c r="A31" s="261" t="n"/>
      <c r="B31" s="262">
        <f>IF(A31="","",IF(OR(A31&lt;MIN(parametros!$C$2:$C$6),A31&gt;MAX(parametros!$D$2:$D$6)),"Fora dos ciclos",LOOKUP(A31,parametros!$C$2:$C$6,parametros!$B$2:$B$6)))</f>
        <v/>
      </c>
      <c r="C31" s="263" t="n"/>
      <c r="D31" s="224">
        <f>IF(B31="","",IFERROR(VLOOKUP(B31,parametros!$A$11:$E$15,5,0),""))</f>
        <v/>
      </c>
      <c r="E31" s="225">
        <f>IF(OR(C31="",D31=""),"",ROUND(C31*D31,2))</f>
        <v/>
      </c>
      <c r="F31" s="264" t="n"/>
      <c r="G31" s="241">
        <f>IF(F31="Sim",IF(OR(E31="",C31=""),"",ROUND(E31-C31,2)),0)</f>
        <v/>
      </c>
      <c r="H31" s="241">
        <f>IF(F31="Nao",IF(E31="","",E31),0)</f>
        <v/>
      </c>
      <c r="I31" s="241">
        <f>IF(F31="Nao",IF(OR(E31="",C31=""),"",ROUND(E31-C31,2)),0)</f>
        <v/>
      </c>
      <c r="J31" s="244">
        <f>IF(COUNTA(A31:F31)=0,"",IF(A31="","DATA_PC vazia",IF(OR(B31="",B31="Fora dos ciclos"),"CICLO_PC nao identificado",IF(OR(C31="",C31=0),"VALOR_PC vazio ou zero",IF(AND(F31&lt;&gt;"Sim",F31&lt;&gt;"Nao"),"PC_PAGO_A_CONTRATADA invalido","OK")))))</f>
        <v/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68" t="inlineStr">
        <is>
          <t>Nao</t>
        </is>
      </c>
      <c r="V31" s="268" t="inlineStr">
        <is>
          <t>PC em analise</t>
        </is>
      </c>
      <c r="W31" s="268" t="inlineStr">
        <is>
          <t>Pedido de Compra</t>
        </is>
      </c>
      <c r="X31" s="269" t="inlineStr">
        <is>
          <t>Impacto Potencial</t>
        </is>
      </c>
      <c r="Y31" s="269" t="inlineStr">
        <is>
          <t>PC</t>
        </is>
      </c>
      <c r="Z31" s="269" t="inlineStr">
        <is>
          <t>Nao</t>
        </is>
      </c>
      <c r="AA31" s="269" t="inlineStr">
        <is>
          <t>NAO_COMPUTADO</t>
        </is>
      </c>
      <c r="AB31" s="270" t="inlineStr">
        <is>
          <t>Estrutura Fase 1: sem impacto no VTA oficial</t>
        </is>
      </c>
    </row>
    <row r="32" ht="25.5" customHeight="1">
      <c r="A32" s="261" t="n"/>
      <c r="B32" s="262">
        <f>IF(A32="","",IF(OR(A32&lt;MIN(parametros!$C$2:$C$6),A32&gt;MAX(parametros!$D$2:$D$6)),"Fora dos ciclos",LOOKUP(A32,parametros!$C$2:$C$6,parametros!$B$2:$B$6)))</f>
        <v/>
      </c>
      <c r="C32" s="263" t="n"/>
      <c r="D32" s="224">
        <f>IF(B32="","",IFERROR(VLOOKUP(B32,parametros!$A$11:$E$15,5,0),""))</f>
        <v/>
      </c>
      <c r="E32" s="225">
        <f>IF(OR(C32="",D32=""),"",ROUND(C32*D32,2))</f>
        <v/>
      </c>
      <c r="F32" s="264" t="n"/>
      <c r="G32" s="241">
        <f>IF(F32="Sim",IF(OR(E32="",C32=""),"",ROUND(E32-C32,2)),0)</f>
        <v/>
      </c>
      <c r="H32" s="241">
        <f>IF(F32="Nao",IF(E32="","",E32),0)</f>
        <v/>
      </c>
      <c r="I32" s="241">
        <f>IF(F32="Nao",IF(OR(E32="",C32=""),"",ROUND(E32-C32,2)),0)</f>
        <v/>
      </c>
      <c r="J32" s="244">
        <f>IF(COUNTA(A32:F32)=0,"",IF(A32="","DATA_PC vazia",IF(OR(B32="",B32="Fora dos ciclos"),"CICLO_PC nao identificado",IF(OR(C32="",C32=0),"VALOR_PC vazio ou zero",IF(AND(F32&lt;&gt;"Sim",F32&lt;&gt;"Nao"),"PC_PAGO_A_CONTRATADA invalido","OK")))))</f>
        <v/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68" t="inlineStr">
        <is>
          <t>Nao</t>
        </is>
      </c>
      <c r="V32" s="268" t="inlineStr">
        <is>
          <t>PC em analise</t>
        </is>
      </c>
      <c r="W32" s="268" t="inlineStr">
        <is>
          <t>Pedido de Compra</t>
        </is>
      </c>
      <c r="X32" s="269" t="inlineStr">
        <is>
          <t>Impacto Potencial</t>
        </is>
      </c>
      <c r="Y32" s="269" t="inlineStr">
        <is>
          <t>PC</t>
        </is>
      </c>
      <c r="Z32" s="269" t="inlineStr">
        <is>
          <t>Nao</t>
        </is>
      </c>
      <c r="AA32" s="269" t="inlineStr">
        <is>
          <t>NAO_COMPUTADO</t>
        </is>
      </c>
      <c r="AB32" s="270" t="inlineStr">
        <is>
          <t>Estrutura Fase 1: sem impacto no VTA oficial</t>
        </is>
      </c>
    </row>
    <row r="33" ht="25.5" customHeight="1">
      <c r="A33" s="261" t="n"/>
      <c r="B33" s="262">
        <f>IF(A33="","",IF(OR(A33&lt;MIN(parametros!$C$2:$C$6),A33&gt;MAX(parametros!$D$2:$D$6)),"Fora dos ciclos",LOOKUP(A33,parametros!$C$2:$C$6,parametros!$B$2:$B$6)))</f>
        <v/>
      </c>
      <c r="C33" s="263" t="n"/>
      <c r="D33" s="224">
        <f>IF(B33="","",IFERROR(VLOOKUP(B33,parametros!$A$11:$E$15,5,0),""))</f>
        <v/>
      </c>
      <c r="E33" s="225">
        <f>IF(OR(C33="",D33=""),"",ROUND(C33*D33,2))</f>
        <v/>
      </c>
      <c r="F33" s="264" t="n"/>
      <c r="G33" s="241">
        <f>IF(F33="Sim",IF(OR(E33="",C33=""),"",ROUND(E33-C33,2)),0)</f>
        <v/>
      </c>
      <c r="H33" s="241">
        <f>IF(F33="Nao",IF(E33="","",E33),0)</f>
        <v/>
      </c>
      <c r="I33" s="241">
        <f>IF(F33="Nao",IF(OR(E33="",C33=""),"",ROUND(E33-C33,2)),0)</f>
        <v/>
      </c>
      <c r="J33" s="244">
        <f>IF(COUNTA(A33:F33)=0,"",IF(A33="","DATA_PC vazia",IF(OR(B33="",B33="Fora dos ciclos"),"CICLO_PC nao identificado",IF(OR(C33="",C33=0),"VALOR_PC vazio ou zero",IF(AND(F33&lt;&gt;"Sim",F33&lt;&gt;"Nao"),"PC_PAGO_A_CONTRATADA invalido","OK")))))</f>
        <v/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68" t="inlineStr">
        <is>
          <t>Nao</t>
        </is>
      </c>
      <c r="V33" s="268" t="inlineStr">
        <is>
          <t>PC em analise</t>
        </is>
      </c>
      <c r="W33" s="268" t="inlineStr">
        <is>
          <t>Pedido de Compra</t>
        </is>
      </c>
      <c r="X33" s="269" t="inlineStr">
        <is>
          <t>Impacto Potencial</t>
        </is>
      </c>
      <c r="Y33" s="269" t="inlineStr">
        <is>
          <t>PC</t>
        </is>
      </c>
      <c r="Z33" s="269" t="inlineStr">
        <is>
          <t>Nao</t>
        </is>
      </c>
      <c r="AA33" s="269" t="inlineStr">
        <is>
          <t>NAO_COMPUTADO</t>
        </is>
      </c>
      <c r="AB33" s="270" t="inlineStr">
        <is>
          <t>Estrutura Fase 1: sem impacto no VTA oficial</t>
        </is>
      </c>
    </row>
    <row r="34" ht="25.5" customHeight="1">
      <c r="A34" s="261" t="n"/>
      <c r="B34" s="262">
        <f>IF(A34="","",IF(OR(A34&lt;MIN(parametros!$C$2:$C$6),A34&gt;MAX(parametros!$D$2:$D$6)),"Fora dos ciclos",LOOKUP(A34,parametros!$C$2:$C$6,parametros!$B$2:$B$6)))</f>
        <v/>
      </c>
      <c r="C34" s="263" t="n"/>
      <c r="D34" s="224">
        <f>IF(B34="","",IFERROR(VLOOKUP(B34,parametros!$A$11:$E$15,5,0),""))</f>
        <v/>
      </c>
      <c r="E34" s="225">
        <f>IF(OR(C34="",D34=""),"",ROUND(C34*D34,2))</f>
        <v/>
      </c>
      <c r="F34" s="264" t="n"/>
      <c r="G34" s="241">
        <f>IF(F34="Sim",IF(OR(E34="",C34=""),"",ROUND(E34-C34,2)),0)</f>
        <v/>
      </c>
      <c r="H34" s="241">
        <f>IF(F34="Nao",IF(E34="","",E34),0)</f>
        <v/>
      </c>
      <c r="I34" s="241">
        <f>IF(F34="Nao",IF(OR(E34="",C34=""),"",ROUND(E34-C34,2)),0)</f>
        <v/>
      </c>
      <c r="J34" s="244">
        <f>IF(COUNTA(A34:F34)=0,"",IF(A34="","DATA_PC vazia",IF(OR(B34="",B34="Fora dos ciclos"),"CICLO_PC nao identificado",IF(OR(C34="",C34=0),"VALOR_PC vazio ou zero",IF(AND(F34&lt;&gt;"Sim",F34&lt;&gt;"Nao"),"PC_PAGO_A_CONTRATADA invalido","OK")))))</f>
        <v/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68" t="inlineStr">
        <is>
          <t>Nao</t>
        </is>
      </c>
      <c r="V34" s="268" t="inlineStr">
        <is>
          <t>PC em analise</t>
        </is>
      </c>
      <c r="W34" s="268" t="inlineStr">
        <is>
          <t>Pedido de Compra</t>
        </is>
      </c>
      <c r="X34" s="269" t="inlineStr">
        <is>
          <t>Impacto Potencial</t>
        </is>
      </c>
      <c r="Y34" s="269" t="inlineStr">
        <is>
          <t>PC</t>
        </is>
      </c>
      <c r="Z34" s="269" t="inlineStr">
        <is>
          <t>Nao</t>
        </is>
      </c>
      <c r="AA34" s="269" t="inlineStr">
        <is>
          <t>NAO_COMPUTADO</t>
        </is>
      </c>
      <c r="AB34" s="270" t="inlineStr">
        <is>
          <t>Estrutura Fase 1: sem impacto no VTA oficial</t>
        </is>
      </c>
    </row>
    <row r="35" ht="25.5" customHeight="1">
      <c r="A35" s="261" t="n"/>
      <c r="B35" s="262">
        <f>IF(A35="","",IF(OR(A35&lt;MIN(parametros!$C$2:$C$6),A35&gt;MAX(parametros!$D$2:$D$6)),"Fora dos ciclos",LOOKUP(A35,parametros!$C$2:$C$6,parametros!$B$2:$B$6)))</f>
        <v/>
      </c>
      <c r="C35" s="263" t="n"/>
      <c r="D35" s="224">
        <f>IF(B35="","",IFERROR(VLOOKUP(B35,parametros!$A$11:$E$15,5,0),""))</f>
        <v/>
      </c>
      <c r="E35" s="225">
        <f>IF(OR(C35="",D35=""),"",ROUND(C35*D35,2))</f>
        <v/>
      </c>
      <c r="F35" s="264" t="n"/>
      <c r="G35" s="241">
        <f>IF(F35="Sim",IF(OR(E35="",C35=""),"",ROUND(E35-C35,2)),0)</f>
        <v/>
      </c>
      <c r="H35" s="241">
        <f>IF(F35="Nao",IF(E35="","",E35),0)</f>
        <v/>
      </c>
      <c r="I35" s="241">
        <f>IF(F35="Nao",IF(OR(E35="",C35=""),"",ROUND(E35-C35,2)),0)</f>
        <v/>
      </c>
      <c r="J35" s="244">
        <f>IF(COUNTA(A35:F35)=0,"",IF(A35="","DATA_PC vazia",IF(OR(B35="",B35="Fora dos ciclos"),"CICLO_PC nao identificado",IF(OR(C35="",C35=0),"VALOR_PC vazio ou zero",IF(AND(F35&lt;&gt;"Sim",F35&lt;&gt;"Nao"),"PC_PAGO_A_CONTRATADA invalido","OK")))))</f>
        <v/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68" t="inlineStr">
        <is>
          <t>Nao</t>
        </is>
      </c>
      <c r="V35" s="268" t="inlineStr">
        <is>
          <t>PC em analise</t>
        </is>
      </c>
      <c r="W35" s="268" t="inlineStr">
        <is>
          <t>Pedido de Compra</t>
        </is>
      </c>
      <c r="X35" s="269" t="inlineStr">
        <is>
          <t>Impacto Potencial</t>
        </is>
      </c>
      <c r="Y35" s="269" t="inlineStr">
        <is>
          <t>PC</t>
        </is>
      </c>
      <c r="Z35" s="269" t="inlineStr">
        <is>
          <t>Nao</t>
        </is>
      </c>
      <c r="AA35" s="269" t="inlineStr">
        <is>
          <t>NAO_COMPUTADO</t>
        </is>
      </c>
      <c r="AB35" s="270" t="inlineStr">
        <is>
          <t>Estrutura Fase 1: sem impacto no VTA oficial</t>
        </is>
      </c>
    </row>
    <row r="36" ht="25.5" customHeight="1">
      <c r="A36" s="261" t="n"/>
      <c r="B36" s="262">
        <f>IF(A36="","",IF(OR(A36&lt;MIN(parametros!$C$2:$C$6),A36&gt;MAX(parametros!$D$2:$D$6)),"Fora dos ciclos",LOOKUP(A36,parametros!$C$2:$C$6,parametros!$B$2:$B$6)))</f>
        <v/>
      </c>
      <c r="C36" s="263" t="n"/>
      <c r="D36" s="224">
        <f>IF(B36="","",IFERROR(VLOOKUP(B36,parametros!$A$11:$E$15,5,0),""))</f>
        <v/>
      </c>
      <c r="E36" s="225">
        <f>IF(OR(C36="",D36=""),"",ROUND(C36*D36,2))</f>
        <v/>
      </c>
      <c r="F36" s="264" t="n"/>
      <c r="G36" s="241">
        <f>IF(F36="Sim",IF(OR(E36="",C36=""),"",ROUND(E36-C36,2)),0)</f>
        <v/>
      </c>
      <c r="H36" s="241">
        <f>IF(F36="Nao",IF(E36="","",E36),0)</f>
        <v/>
      </c>
      <c r="I36" s="241">
        <f>IF(F36="Nao",IF(OR(E36="",C36=""),"",ROUND(E36-C36,2)),0)</f>
        <v/>
      </c>
      <c r="J36" s="244">
        <f>IF(COUNTA(A36:F36)=0,"",IF(A36="","DATA_PC vazia",IF(OR(B36="",B36="Fora dos ciclos"),"CICLO_PC nao identificado",IF(OR(C36="",C36=0),"VALOR_PC vazio ou zero",IF(AND(F36&lt;&gt;"Sim",F36&lt;&gt;"Nao"),"PC_PAGO_A_CONTRATADA invalido","OK")))))</f>
        <v/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68" t="inlineStr">
        <is>
          <t>Nao</t>
        </is>
      </c>
      <c r="V36" s="268" t="inlineStr">
        <is>
          <t>PC em analise</t>
        </is>
      </c>
      <c r="W36" s="268" t="inlineStr">
        <is>
          <t>Pedido de Compra</t>
        </is>
      </c>
      <c r="X36" s="269" t="inlineStr">
        <is>
          <t>Impacto Potencial</t>
        </is>
      </c>
      <c r="Y36" s="269" t="inlineStr">
        <is>
          <t>PC</t>
        </is>
      </c>
      <c r="Z36" s="269" t="inlineStr">
        <is>
          <t>Nao</t>
        </is>
      </c>
      <c r="AA36" s="269" t="inlineStr">
        <is>
          <t>NAO_COMPUTADO</t>
        </is>
      </c>
      <c r="AB36" s="270" t="inlineStr">
        <is>
          <t>Estrutura Fase 1: sem impacto no VTA oficial</t>
        </is>
      </c>
    </row>
    <row r="37" ht="25.5" customHeight="1">
      <c r="A37" s="261" t="n"/>
      <c r="B37" s="262">
        <f>IF(A37="","",IF(OR(A37&lt;MIN(parametros!$C$2:$C$6),A37&gt;MAX(parametros!$D$2:$D$6)),"Fora dos ciclos",LOOKUP(A37,parametros!$C$2:$C$6,parametros!$B$2:$B$6)))</f>
        <v/>
      </c>
      <c r="C37" s="263" t="n"/>
      <c r="D37" s="224">
        <f>IF(B37="","",IFERROR(VLOOKUP(B37,parametros!$A$11:$E$15,5,0),""))</f>
        <v/>
      </c>
      <c r="E37" s="225">
        <f>IF(OR(C37="",D37=""),"",ROUND(C37*D37,2))</f>
        <v/>
      </c>
      <c r="F37" s="264" t="n"/>
      <c r="G37" s="241">
        <f>IF(F37="Sim",IF(OR(E37="",C37=""),"",ROUND(E37-C37,2)),0)</f>
        <v/>
      </c>
      <c r="H37" s="241">
        <f>IF(F37="Nao",IF(E37="","",E37),0)</f>
        <v/>
      </c>
      <c r="I37" s="241">
        <f>IF(F37="Nao",IF(OR(E37="",C37=""),"",ROUND(E37-C37,2)),0)</f>
        <v/>
      </c>
      <c r="J37" s="244">
        <f>IF(COUNTA(A37:F37)=0,"",IF(A37="","DATA_PC vazia",IF(OR(B37="",B37="Fora dos ciclos"),"CICLO_PC nao identificado",IF(OR(C37="",C37=0),"VALOR_PC vazio ou zero",IF(AND(F37&lt;&gt;"Sim",F37&lt;&gt;"Nao"),"PC_PAGO_A_CONTRATADA invalido","OK")))))</f>
        <v/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68" t="inlineStr">
        <is>
          <t>Nao</t>
        </is>
      </c>
      <c r="V37" s="268" t="inlineStr">
        <is>
          <t>PC em analise</t>
        </is>
      </c>
      <c r="W37" s="268" t="inlineStr">
        <is>
          <t>Pedido de Compra</t>
        </is>
      </c>
      <c r="X37" s="269" t="inlineStr">
        <is>
          <t>Impacto Potencial</t>
        </is>
      </c>
      <c r="Y37" s="269" t="inlineStr">
        <is>
          <t>PC</t>
        </is>
      </c>
      <c r="Z37" s="269" t="inlineStr">
        <is>
          <t>Nao</t>
        </is>
      </c>
      <c r="AA37" s="269" t="inlineStr">
        <is>
          <t>NAO_COMPUTADO</t>
        </is>
      </c>
      <c r="AB37" s="270" t="inlineStr">
        <is>
          <t>Estrutura Fase 1: sem impacto no VTA oficial</t>
        </is>
      </c>
    </row>
    <row r="38" ht="25.5" customHeight="1">
      <c r="A38" s="261" t="n"/>
      <c r="B38" s="262">
        <f>IF(A38="","",IF(OR(A38&lt;MIN(parametros!$C$2:$C$6),A38&gt;MAX(parametros!$D$2:$D$6)),"Fora dos ciclos",LOOKUP(A38,parametros!$C$2:$C$6,parametros!$B$2:$B$6)))</f>
        <v/>
      </c>
      <c r="C38" s="263" t="n"/>
      <c r="D38" s="224">
        <f>IF(B38="","",IFERROR(VLOOKUP(B38,parametros!$A$11:$E$15,5,0),""))</f>
        <v/>
      </c>
      <c r="E38" s="225">
        <f>IF(OR(C38="",D38=""),"",ROUND(C38*D38,2))</f>
        <v/>
      </c>
      <c r="F38" s="264" t="n"/>
      <c r="G38" s="241">
        <f>IF(F38="Sim",IF(OR(E38="",C38=""),"",ROUND(E38-C38,2)),0)</f>
        <v/>
      </c>
      <c r="H38" s="241">
        <f>IF(F38="Nao",IF(E38="","",E38),0)</f>
        <v/>
      </c>
      <c r="I38" s="241">
        <f>IF(F38="Nao",IF(OR(E38="",C38=""),"",ROUND(E38-C38,2)),0)</f>
        <v/>
      </c>
      <c r="J38" s="244">
        <f>IF(COUNTA(A38:F38)=0,"",IF(A38="","DATA_PC vazia",IF(OR(B38="",B38="Fora dos ciclos"),"CICLO_PC nao identificado",IF(OR(C38="",C38=0),"VALOR_PC vazio ou zero",IF(AND(F38&lt;&gt;"Sim",F38&lt;&gt;"Nao"),"PC_PAGO_A_CONTRATADA invalido","OK")))))</f>
        <v/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68" t="inlineStr">
        <is>
          <t>Nao</t>
        </is>
      </c>
      <c r="V38" s="268" t="inlineStr">
        <is>
          <t>PC em analise</t>
        </is>
      </c>
      <c r="W38" s="268" t="inlineStr">
        <is>
          <t>Pedido de Compra</t>
        </is>
      </c>
      <c r="X38" s="269" t="inlineStr">
        <is>
          <t>Impacto Potencial</t>
        </is>
      </c>
      <c r="Y38" s="269" t="inlineStr">
        <is>
          <t>PC</t>
        </is>
      </c>
      <c r="Z38" s="269" t="inlineStr">
        <is>
          <t>Nao</t>
        </is>
      </c>
      <c r="AA38" s="269" t="inlineStr">
        <is>
          <t>NAO_COMPUTADO</t>
        </is>
      </c>
      <c r="AB38" s="270" t="inlineStr">
        <is>
          <t>Estrutura Fase 1: sem impacto no VTA oficial</t>
        </is>
      </c>
    </row>
    <row r="39" ht="25.5" customHeight="1">
      <c r="A39" s="261" t="n"/>
      <c r="B39" s="262">
        <f>IF(A39="","",IF(OR(A39&lt;MIN(parametros!$C$2:$C$6),A39&gt;MAX(parametros!$D$2:$D$6)),"Fora dos ciclos",LOOKUP(A39,parametros!$C$2:$C$6,parametros!$B$2:$B$6)))</f>
        <v/>
      </c>
      <c r="C39" s="263" t="n"/>
      <c r="D39" s="224">
        <f>IF(B39="","",IFERROR(VLOOKUP(B39,parametros!$A$11:$E$15,5,0),""))</f>
        <v/>
      </c>
      <c r="E39" s="225">
        <f>IF(OR(C39="",D39=""),"",ROUND(C39*D39,2))</f>
        <v/>
      </c>
      <c r="F39" s="264" t="n"/>
      <c r="G39" s="241">
        <f>IF(F39="Sim",IF(OR(E39="",C39=""),"",ROUND(E39-C39,2)),0)</f>
        <v/>
      </c>
      <c r="H39" s="241">
        <f>IF(F39="Nao",IF(E39="","",E39),0)</f>
        <v/>
      </c>
      <c r="I39" s="241">
        <f>IF(F39="Nao",IF(OR(E39="",C39=""),"",ROUND(E39-C39,2)),0)</f>
        <v/>
      </c>
      <c r="J39" s="244">
        <f>IF(COUNTA(A39:F39)=0,"",IF(A39="","DATA_PC vazia",IF(OR(B39="",B39="Fora dos ciclos"),"CICLO_PC nao identificado",IF(OR(C39="",C39=0),"VALOR_PC vazio ou zero",IF(AND(F39&lt;&gt;"Sim",F39&lt;&gt;"Nao"),"PC_PAGO_A_CONTRATADA invalido","OK")))))</f>
        <v/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68" t="inlineStr">
        <is>
          <t>Nao</t>
        </is>
      </c>
      <c r="V39" s="268" t="inlineStr">
        <is>
          <t>PC em analise</t>
        </is>
      </c>
      <c r="W39" s="268" t="inlineStr">
        <is>
          <t>Pedido de Compra</t>
        </is>
      </c>
      <c r="X39" s="269" t="inlineStr">
        <is>
          <t>Impacto Potencial</t>
        </is>
      </c>
      <c r="Y39" s="269" t="inlineStr">
        <is>
          <t>PC</t>
        </is>
      </c>
      <c r="Z39" s="269" t="inlineStr">
        <is>
          <t>Nao</t>
        </is>
      </c>
      <c r="AA39" s="269" t="inlineStr">
        <is>
          <t>NAO_COMPUTADO</t>
        </is>
      </c>
      <c r="AB39" s="270" t="inlineStr">
        <is>
          <t>Estrutura Fase 1: sem impacto no VTA oficial</t>
        </is>
      </c>
    </row>
    <row r="40" ht="25.5" customHeight="1">
      <c r="A40" s="261" t="n"/>
      <c r="B40" s="262">
        <f>IF(A40="","",IF(OR(A40&lt;MIN(parametros!$C$2:$C$6),A40&gt;MAX(parametros!$D$2:$D$6)),"Fora dos ciclos",LOOKUP(A40,parametros!$C$2:$C$6,parametros!$B$2:$B$6)))</f>
        <v/>
      </c>
      <c r="C40" s="263" t="n"/>
      <c r="D40" s="224">
        <f>IF(B40="","",IFERROR(VLOOKUP(B40,parametros!$A$11:$E$15,5,0),""))</f>
        <v/>
      </c>
      <c r="E40" s="225">
        <f>IF(OR(C40="",D40=""),"",ROUND(C40*D40,2))</f>
        <v/>
      </c>
      <c r="F40" s="264" t="n"/>
      <c r="G40" s="241">
        <f>IF(F40="Sim",IF(OR(E40="",C40=""),"",ROUND(E40-C40,2)),0)</f>
        <v/>
      </c>
      <c r="H40" s="241">
        <f>IF(F40="Nao",IF(E40="","",E40),0)</f>
        <v/>
      </c>
      <c r="I40" s="241">
        <f>IF(F40="Nao",IF(OR(E40="",C40=""),"",ROUND(E40-C40,2)),0)</f>
        <v/>
      </c>
      <c r="J40" s="244">
        <f>IF(COUNTA(A40:F40)=0,"",IF(A40="","DATA_PC vazia",IF(OR(B40="",B40="Fora dos ciclos"),"CICLO_PC nao identificado",IF(OR(C40="",C40=0),"VALOR_PC vazio ou zero",IF(AND(F40&lt;&gt;"Sim",F40&lt;&gt;"Nao"),"PC_PAGO_A_CONTRATADA invalido","OK")))))</f>
        <v/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68" t="inlineStr">
        <is>
          <t>Nao</t>
        </is>
      </c>
      <c r="V40" s="268" t="inlineStr">
        <is>
          <t>PC em analise</t>
        </is>
      </c>
      <c r="W40" s="268" t="inlineStr">
        <is>
          <t>Pedido de Compra</t>
        </is>
      </c>
      <c r="X40" s="269" t="inlineStr">
        <is>
          <t>Impacto Potencial</t>
        </is>
      </c>
      <c r="Y40" s="269" t="inlineStr">
        <is>
          <t>PC</t>
        </is>
      </c>
      <c r="Z40" s="269" t="inlineStr">
        <is>
          <t>Nao</t>
        </is>
      </c>
      <c r="AA40" s="269" t="inlineStr">
        <is>
          <t>NAO_COMPUTADO</t>
        </is>
      </c>
      <c r="AB40" s="270" t="inlineStr">
        <is>
          <t>Estrutura Fase 1: sem impacto no VTA oficial</t>
        </is>
      </c>
    </row>
    <row r="41" ht="25.5" customHeight="1">
      <c r="A41" s="261" t="n"/>
      <c r="B41" s="262">
        <f>IF(A41="","",IF(OR(A41&lt;MIN(parametros!$C$2:$C$6),A41&gt;MAX(parametros!$D$2:$D$6)),"Fora dos ciclos",LOOKUP(A41,parametros!$C$2:$C$6,parametros!$B$2:$B$6)))</f>
        <v/>
      </c>
      <c r="C41" s="263" t="n"/>
      <c r="D41" s="224">
        <f>IF(B41="","",IFERROR(VLOOKUP(B41,parametros!$A$11:$E$15,5,0),""))</f>
        <v/>
      </c>
      <c r="E41" s="225">
        <f>IF(OR(C41="",D41=""),"",ROUND(C41*D41,2))</f>
        <v/>
      </c>
      <c r="F41" s="264" t="n"/>
      <c r="G41" s="241">
        <f>IF(F41="Sim",IF(OR(E41="",C41=""),"",ROUND(E41-C41,2)),0)</f>
        <v/>
      </c>
      <c r="H41" s="241">
        <f>IF(F41="Nao",IF(E41="","",E41),0)</f>
        <v/>
      </c>
      <c r="I41" s="241">
        <f>IF(F41="Nao",IF(OR(E41="",C41=""),"",ROUND(E41-C41,2)),0)</f>
        <v/>
      </c>
      <c r="J41" s="244">
        <f>IF(COUNTA(A41:F41)=0,"",IF(A41="","DATA_PC vazia",IF(OR(B41="",B41="Fora dos ciclos"),"CICLO_PC nao identificado",IF(OR(C41="",C41=0),"VALOR_PC vazio ou zero",IF(AND(F41&lt;&gt;"Sim",F41&lt;&gt;"Nao"),"PC_PAGO_A_CONTRATADA invalido","OK")))))</f>
        <v/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68" t="inlineStr">
        <is>
          <t>Nao</t>
        </is>
      </c>
      <c r="V41" s="268" t="inlineStr">
        <is>
          <t>PC em analise</t>
        </is>
      </c>
      <c r="W41" s="268" t="inlineStr">
        <is>
          <t>Pedido de Compra</t>
        </is>
      </c>
      <c r="X41" s="269" t="inlineStr">
        <is>
          <t>Impacto Potencial</t>
        </is>
      </c>
      <c r="Y41" s="269" t="inlineStr">
        <is>
          <t>PC</t>
        </is>
      </c>
      <c r="Z41" s="269" t="inlineStr">
        <is>
          <t>Nao</t>
        </is>
      </c>
      <c r="AA41" s="269" t="inlineStr">
        <is>
          <t>NAO_COMPUTADO</t>
        </is>
      </c>
      <c r="AB41" s="270" t="inlineStr">
        <is>
          <t>Estrutura Fase 1: sem impacto no VTA oficial</t>
        </is>
      </c>
    </row>
    <row r="42" ht="25.5" customHeight="1">
      <c r="A42" s="261" t="n"/>
      <c r="B42" s="262">
        <f>IF(A42="","",IF(OR(A42&lt;MIN(parametros!$C$2:$C$6),A42&gt;MAX(parametros!$D$2:$D$6)),"Fora dos ciclos",LOOKUP(A42,parametros!$C$2:$C$6,parametros!$B$2:$B$6)))</f>
        <v/>
      </c>
      <c r="C42" s="263" t="n"/>
      <c r="D42" s="224">
        <f>IF(B42="","",IFERROR(VLOOKUP(B42,parametros!$A$11:$E$15,5,0),""))</f>
        <v/>
      </c>
      <c r="E42" s="225">
        <f>IF(OR(C42="",D42=""),"",ROUND(C42*D42,2))</f>
        <v/>
      </c>
      <c r="F42" s="264" t="n"/>
      <c r="G42" s="241">
        <f>IF(F42="Sim",IF(OR(E42="",C42=""),"",ROUND(E42-C42,2)),0)</f>
        <v/>
      </c>
      <c r="H42" s="241">
        <f>IF(F42="Nao",IF(E42="","",E42),0)</f>
        <v/>
      </c>
      <c r="I42" s="241">
        <f>IF(F42="Nao",IF(OR(E42="",C42=""),"",ROUND(E42-C42,2)),0)</f>
        <v/>
      </c>
      <c r="J42" s="244">
        <f>IF(COUNTA(A42:F42)=0,"",IF(A42="","DATA_PC vazia",IF(OR(B42="",B42="Fora dos ciclos"),"CICLO_PC nao identificado",IF(OR(C42="",C42=0),"VALOR_PC vazio ou zero",IF(AND(F42&lt;&gt;"Sim",F42&lt;&gt;"Nao"),"PC_PAGO_A_CONTRATADA invalido","OK")))))</f>
        <v/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68" t="inlineStr">
        <is>
          <t>Nao</t>
        </is>
      </c>
      <c r="V42" s="268" t="inlineStr">
        <is>
          <t>PC em analise</t>
        </is>
      </c>
      <c r="W42" s="268" t="inlineStr">
        <is>
          <t>Pedido de Compra</t>
        </is>
      </c>
      <c r="X42" s="269" t="inlineStr">
        <is>
          <t>Impacto Potencial</t>
        </is>
      </c>
      <c r="Y42" s="269" t="inlineStr">
        <is>
          <t>PC</t>
        </is>
      </c>
      <c r="Z42" s="269" t="inlineStr">
        <is>
          <t>Nao</t>
        </is>
      </c>
      <c r="AA42" s="269" t="inlineStr">
        <is>
          <t>NAO_COMPUTADO</t>
        </is>
      </c>
      <c r="AB42" s="270" t="inlineStr">
        <is>
          <t>Estrutura Fase 1: sem impacto no VTA oficial</t>
        </is>
      </c>
    </row>
    <row r="43" ht="25.5" customHeight="1">
      <c r="A43" s="261" t="n"/>
      <c r="B43" s="262">
        <f>IF(A43="","",IF(OR(A43&lt;MIN(parametros!$C$2:$C$6),A43&gt;MAX(parametros!$D$2:$D$6)),"Fora dos ciclos",LOOKUP(A43,parametros!$C$2:$C$6,parametros!$B$2:$B$6)))</f>
        <v/>
      </c>
      <c r="C43" s="263" t="n"/>
      <c r="D43" s="224">
        <f>IF(B43="","",IFERROR(VLOOKUP(B43,parametros!$A$11:$E$15,5,0),""))</f>
        <v/>
      </c>
      <c r="E43" s="225">
        <f>IF(OR(C43="",D43=""),"",ROUND(C43*D43,2))</f>
        <v/>
      </c>
      <c r="F43" s="264" t="n"/>
      <c r="G43" s="241">
        <f>IF(F43="Sim",IF(OR(E43="",C43=""),"",ROUND(E43-C43,2)),0)</f>
        <v/>
      </c>
      <c r="H43" s="241">
        <f>IF(F43="Nao",IF(E43="","",E43),0)</f>
        <v/>
      </c>
      <c r="I43" s="241">
        <f>IF(F43="Nao",IF(OR(E43="",C43=""),"",ROUND(E43-C43,2)),0)</f>
        <v/>
      </c>
      <c r="J43" s="244">
        <f>IF(COUNTA(A43:F43)=0,"",IF(A43="","DATA_PC vazia",IF(OR(B43="",B43="Fora dos ciclos"),"CICLO_PC nao identificado",IF(OR(C43="",C43=0),"VALOR_PC vazio ou zero",IF(AND(F43&lt;&gt;"Sim",F43&lt;&gt;"Nao"),"PC_PAGO_A_CONTRATADA invalido","OK")))))</f>
        <v/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68" t="inlineStr">
        <is>
          <t>Nao</t>
        </is>
      </c>
      <c r="V43" s="268" t="inlineStr">
        <is>
          <t>PC em analise</t>
        </is>
      </c>
      <c r="W43" s="268" t="inlineStr">
        <is>
          <t>Pedido de Compra</t>
        </is>
      </c>
      <c r="X43" s="269" t="inlineStr">
        <is>
          <t>Impacto Potencial</t>
        </is>
      </c>
      <c r="Y43" s="269" t="inlineStr">
        <is>
          <t>PC</t>
        </is>
      </c>
      <c r="Z43" s="269" t="inlineStr">
        <is>
          <t>Nao</t>
        </is>
      </c>
      <c r="AA43" s="269" t="inlineStr">
        <is>
          <t>NAO_COMPUTADO</t>
        </is>
      </c>
      <c r="AB43" s="270" t="inlineStr">
        <is>
          <t>Estrutura Fase 1: sem impacto no VTA oficial</t>
        </is>
      </c>
    </row>
    <row r="44" ht="25.5" customHeight="1">
      <c r="A44" s="261" t="n"/>
      <c r="B44" s="262">
        <f>IF(A44="","",IF(OR(A44&lt;MIN(parametros!$C$2:$C$6),A44&gt;MAX(parametros!$D$2:$D$6)),"Fora dos ciclos",LOOKUP(A44,parametros!$C$2:$C$6,parametros!$B$2:$B$6)))</f>
        <v/>
      </c>
      <c r="C44" s="263" t="n"/>
      <c r="D44" s="224">
        <f>IF(B44="","",IFERROR(VLOOKUP(B44,parametros!$A$11:$E$15,5,0),""))</f>
        <v/>
      </c>
      <c r="E44" s="225">
        <f>IF(OR(C44="",D44=""),"",ROUND(C44*D44,2))</f>
        <v/>
      </c>
      <c r="F44" s="264" t="n"/>
      <c r="G44" s="241">
        <f>IF(F44="Sim",IF(OR(E44="",C44=""),"",ROUND(E44-C44,2)),0)</f>
        <v/>
      </c>
      <c r="H44" s="241">
        <f>IF(F44="Nao",IF(E44="","",E44),0)</f>
        <v/>
      </c>
      <c r="I44" s="241">
        <f>IF(F44="Nao",IF(OR(E44="",C44=""),"",ROUND(E44-C44,2)),0)</f>
        <v/>
      </c>
      <c r="J44" s="244">
        <f>IF(COUNTA(A44:F44)=0,"",IF(A44="","DATA_PC vazia",IF(OR(B44="",B44="Fora dos ciclos"),"CICLO_PC nao identificado",IF(OR(C44="",C44=0),"VALOR_PC vazio ou zero",IF(AND(F44&lt;&gt;"Sim",F44&lt;&gt;"Nao"),"PC_PAGO_A_CONTRATADA invalido","OK")))))</f>
        <v/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68" t="inlineStr">
        <is>
          <t>Nao</t>
        </is>
      </c>
      <c r="V44" s="268" t="inlineStr">
        <is>
          <t>PC em analise</t>
        </is>
      </c>
      <c r="W44" s="268" t="inlineStr">
        <is>
          <t>Pedido de Compra</t>
        </is>
      </c>
      <c r="X44" s="269" t="inlineStr">
        <is>
          <t>Impacto Potencial</t>
        </is>
      </c>
      <c r="Y44" s="269" t="inlineStr">
        <is>
          <t>PC</t>
        </is>
      </c>
      <c r="Z44" s="269" t="inlineStr">
        <is>
          <t>Nao</t>
        </is>
      </c>
      <c r="AA44" s="269" t="inlineStr">
        <is>
          <t>NAO_COMPUTADO</t>
        </is>
      </c>
      <c r="AB44" s="270" t="inlineStr">
        <is>
          <t>Estrutura Fase 1: sem impacto no VTA oficial</t>
        </is>
      </c>
    </row>
    <row r="45" ht="25.5" customHeight="1">
      <c r="A45" s="261" t="n"/>
      <c r="B45" s="262">
        <f>IF(A45="","",IF(OR(A45&lt;MIN(parametros!$C$2:$C$6),A45&gt;MAX(parametros!$D$2:$D$6)),"Fora dos ciclos",LOOKUP(A45,parametros!$C$2:$C$6,parametros!$B$2:$B$6)))</f>
        <v/>
      </c>
      <c r="C45" s="263" t="n"/>
      <c r="D45" s="224">
        <f>IF(B45="","",IFERROR(VLOOKUP(B45,parametros!$A$11:$E$15,5,0),""))</f>
        <v/>
      </c>
      <c r="E45" s="225">
        <f>IF(OR(C45="",D45=""),"",ROUND(C45*D45,2))</f>
        <v/>
      </c>
      <c r="F45" s="264" t="n"/>
      <c r="G45" s="241">
        <f>IF(F45="Sim",IF(OR(E45="",C45=""),"",ROUND(E45-C45,2)),0)</f>
        <v/>
      </c>
      <c r="H45" s="241">
        <f>IF(F45="Nao",IF(E45="","",E45),0)</f>
        <v/>
      </c>
      <c r="I45" s="241">
        <f>IF(F45="Nao",IF(OR(E45="",C45=""),"",ROUND(E45-C45,2)),0)</f>
        <v/>
      </c>
      <c r="J45" s="244">
        <f>IF(COUNTA(A45:F45)=0,"",IF(A45="","DATA_PC vazia",IF(OR(B45="",B45="Fora dos ciclos"),"CICLO_PC nao identificado",IF(OR(C45="",C45=0),"VALOR_PC vazio ou zero",IF(AND(F45&lt;&gt;"Sim",F45&lt;&gt;"Nao"),"PC_PAGO_A_CONTRATADA invalido","OK")))))</f>
        <v/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68" t="inlineStr">
        <is>
          <t>Nao</t>
        </is>
      </c>
      <c r="V45" s="268" t="inlineStr">
        <is>
          <t>PC em analise</t>
        </is>
      </c>
      <c r="W45" s="268" t="inlineStr">
        <is>
          <t>Pedido de Compra</t>
        </is>
      </c>
      <c r="X45" s="269" t="inlineStr">
        <is>
          <t>Impacto Potencial</t>
        </is>
      </c>
      <c r="Y45" s="269" t="inlineStr">
        <is>
          <t>PC</t>
        </is>
      </c>
      <c r="Z45" s="269" t="inlineStr">
        <is>
          <t>Nao</t>
        </is>
      </c>
      <c r="AA45" s="269" t="inlineStr">
        <is>
          <t>NAO_COMPUTADO</t>
        </is>
      </c>
      <c r="AB45" s="270" t="inlineStr">
        <is>
          <t>Estrutura Fase 1: sem impacto no VTA oficial</t>
        </is>
      </c>
    </row>
    <row r="46" ht="25.5" customHeight="1">
      <c r="A46" s="261" t="n"/>
      <c r="B46" s="262">
        <f>IF(A46="","",IF(OR(A46&lt;MIN(parametros!$C$2:$C$6),A46&gt;MAX(parametros!$D$2:$D$6)),"Fora dos ciclos",LOOKUP(A46,parametros!$C$2:$C$6,parametros!$B$2:$B$6)))</f>
        <v/>
      </c>
      <c r="C46" s="263" t="n"/>
      <c r="D46" s="224">
        <f>IF(B46="","",IFERROR(VLOOKUP(B46,parametros!$A$11:$E$15,5,0),""))</f>
        <v/>
      </c>
      <c r="E46" s="225">
        <f>IF(OR(C46="",D46=""),"",ROUND(C46*D46,2))</f>
        <v/>
      </c>
      <c r="F46" s="264" t="n"/>
      <c r="G46" s="241">
        <f>IF(F46="Sim",IF(OR(E46="",C46=""),"",ROUND(E46-C46,2)),0)</f>
        <v/>
      </c>
      <c r="H46" s="241">
        <f>IF(F46="Nao",IF(E46="","",E46),0)</f>
        <v/>
      </c>
      <c r="I46" s="241">
        <f>IF(F46="Nao",IF(OR(E46="",C46=""),"",ROUND(E46-C46,2)),0)</f>
        <v/>
      </c>
      <c r="J46" s="244">
        <f>IF(COUNTA(A46:F46)=0,"",IF(A46="","DATA_PC vazia",IF(OR(B46="",B46="Fora dos ciclos"),"CICLO_PC nao identificado",IF(OR(C46="",C46=0),"VALOR_PC vazio ou zero",IF(AND(F46&lt;&gt;"Sim",F46&lt;&gt;"Nao"),"PC_PAGO_A_CONTRATADA invalido","OK")))))</f>
        <v/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68" t="inlineStr">
        <is>
          <t>Nao</t>
        </is>
      </c>
      <c r="V46" s="268" t="inlineStr">
        <is>
          <t>PC em analise</t>
        </is>
      </c>
      <c r="W46" s="268" t="inlineStr">
        <is>
          <t>Pedido de Compra</t>
        </is>
      </c>
      <c r="X46" s="269" t="inlineStr">
        <is>
          <t>Impacto Potencial</t>
        </is>
      </c>
      <c r="Y46" s="269" t="inlineStr">
        <is>
          <t>PC</t>
        </is>
      </c>
      <c r="Z46" s="269" t="inlineStr">
        <is>
          <t>Nao</t>
        </is>
      </c>
      <c r="AA46" s="269" t="inlineStr">
        <is>
          <t>NAO_COMPUTADO</t>
        </is>
      </c>
      <c r="AB46" s="270" t="inlineStr">
        <is>
          <t>Estrutura Fase 1: sem impacto no VTA oficial</t>
        </is>
      </c>
    </row>
    <row r="47" ht="25.5" customHeight="1">
      <c r="A47" s="261" t="n"/>
      <c r="B47" s="262">
        <f>IF(A47="","",IF(OR(A47&lt;MIN(parametros!$C$2:$C$6),A47&gt;MAX(parametros!$D$2:$D$6)),"Fora dos ciclos",LOOKUP(A47,parametros!$C$2:$C$6,parametros!$B$2:$B$6)))</f>
        <v/>
      </c>
      <c r="C47" s="263" t="n"/>
      <c r="D47" s="224">
        <f>IF(B47="","",IFERROR(VLOOKUP(B47,parametros!$A$11:$E$15,5,0),""))</f>
        <v/>
      </c>
      <c r="E47" s="225">
        <f>IF(OR(C47="",D47=""),"",ROUND(C47*D47,2))</f>
        <v/>
      </c>
      <c r="F47" s="264" t="n"/>
      <c r="G47" s="241">
        <f>IF(F47="Sim",IF(OR(E47="",C47=""),"",ROUND(E47-C47,2)),0)</f>
        <v/>
      </c>
      <c r="H47" s="241">
        <f>IF(F47="Nao",IF(E47="","",E47),0)</f>
        <v/>
      </c>
      <c r="I47" s="241">
        <f>IF(F47="Nao",IF(OR(E47="",C47=""),"",ROUND(E47-C47,2)),0)</f>
        <v/>
      </c>
      <c r="J47" s="244">
        <f>IF(COUNTA(A47:F47)=0,"",IF(A47="","DATA_PC vazia",IF(OR(B47="",B47="Fora dos ciclos"),"CICLO_PC nao identificado",IF(OR(C47="",C47=0),"VALOR_PC vazio ou zero",IF(AND(F47&lt;&gt;"Sim",F47&lt;&gt;"Nao"),"PC_PAGO_A_CONTRATADA invalido","OK")))))</f>
        <v/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68" t="inlineStr">
        <is>
          <t>Nao</t>
        </is>
      </c>
      <c r="V47" s="268" t="inlineStr">
        <is>
          <t>PC em analise</t>
        </is>
      </c>
      <c r="W47" s="268" t="inlineStr">
        <is>
          <t>Pedido de Compra</t>
        </is>
      </c>
      <c r="X47" s="269" t="inlineStr">
        <is>
          <t>Impacto Potencial</t>
        </is>
      </c>
      <c r="Y47" s="269" t="inlineStr">
        <is>
          <t>PC</t>
        </is>
      </c>
      <c r="Z47" s="269" t="inlineStr">
        <is>
          <t>Nao</t>
        </is>
      </c>
      <c r="AA47" s="269" t="inlineStr">
        <is>
          <t>NAO_COMPUTADO</t>
        </is>
      </c>
      <c r="AB47" s="270" t="inlineStr">
        <is>
          <t>Estrutura Fase 1: sem impacto no VTA oficial</t>
        </is>
      </c>
    </row>
    <row r="48" ht="25.5" customHeight="1">
      <c r="A48" s="261" t="n"/>
      <c r="B48" s="262">
        <f>IF(A48="","",IF(OR(A48&lt;MIN(parametros!$C$2:$C$6),A48&gt;MAX(parametros!$D$2:$D$6)),"Fora dos ciclos",LOOKUP(A48,parametros!$C$2:$C$6,parametros!$B$2:$B$6)))</f>
        <v/>
      </c>
      <c r="C48" s="263" t="n"/>
      <c r="D48" s="224">
        <f>IF(B48="","",IFERROR(VLOOKUP(B48,parametros!$A$11:$E$15,5,0),""))</f>
        <v/>
      </c>
      <c r="E48" s="225">
        <f>IF(OR(C48="",D48=""),"",ROUND(C48*D48,2))</f>
        <v/>
      </c>
      <c r="F48" s="264" t="n"/>
      <c r="G48" s="241">
        <f>IF(F48="Sim",IF(OR(E48="",C48=""),"",ROUND(E48-C48,2)),0)</f>
        <v/>
      </c>
      <c r="H48" s="241">
        <f>IF(F48="Nao",IF(E48="","",E48),0)</f>
        <v/>
      </c>
      <c r="I48" s="241">
        <f>IF(F48="Nao",IF(OR(E48="",C48=""),"",ROUND(E48-C48,2)),0)</f>
        <v/>
      </c>
      <c r="J48" s="244">
        <f>IF(COUNTA(A48:F48)=0,"",IF(A48="","DATA_PC vazia",IF(OR(B48="",B48="Fora dos ciclos"),"CICLO_PC nao identificado",IF(OR(C48="",C48=0),"VALOR_PC vazio ou zero",IF(AND(F48&lt;&gt;"Sim",F48&lt;&gt;"Nao"),"PC_PAGO_A_CONTRATADA invalido","OK")))))</f>
        <v/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68" t="inlineStr">
        <is>
          <t>Nao</t>
        </is>
      </c>
      <c r="V48" s="268" t="inlineStr">
        <is>
          <t>PC em analise</t>
        </is>
      </c>
      <c r="W48" s="268" t="inlineStr">
        <is>
          <t>Pedido de Compra</t>
        </is>
      </c>
      <c r="X48" s="269" t="inlineStr">
        <is>
          <t>Impacto Potencial</t>
        </is>
      </c>
      <c r="Y48" s="269" t="inlineStr">
        <is>
          <t>PC</t>
        </is>
      </c>
      <c r="Z48" s="269" t="inlineStr">
        <is>
          <t>Nao</t>
        </is>
      </c>
      <c r="AA48" s="269" t="inlineStr">
        <is>
          <t>NAO_COMPUTADO</t>
        </is>
      </c>
      <c r="AB48" s="270" t="inlineStr">
        <is>
          <t>Estrutura Fase 1: sem impacto no VTA oficial</t>
        </is>
      </c>
    </row>
    <row r="49" ht="25.5" customHeight="1">
      <c r="A49" s="261" t="n"/>
      <c r="B49" s="262">
        <f>IF(A49="","",IF(OR(A49&lt;MIN(parametros!$C$2:$C$6),A49&gt;MAX(parametros!$D$2:$D$6)),"Fora dos ciclos",LOOKUP(A49,parametros!$C$2:$C$6,parametros!$B$2:$B$6)))</f>
        <v/>
      </c>
      <c r="C49" s="263" t="n"/>
      <c r="D49" s="224">
        <f>IF(B49="","",IFERROR(VLOOKUP(B49,parametros!$A$11:$E$15,5,0),""))</f>
        <v/>
      </c>
      <c r="E49" s="225">
        <f>IF(OR(C49="",D49=""),"",ROUND(C49*D49,2))</f>
        <v/>
      </c>
      <c r="F49" s="264" t="n"/>
      <c r="G49" s="241">
        <f>IF(F49="Sim",IF(OR(E49="",C49=""),"",ROUND(E49-C49,2)),0)</f>
        <v/>
      </c>
      <c r="H49" s="241">
        <f>IF(F49="Nao",IF(E49="","",E49),0)</f>
        <v/>
      </c>
      <c r="I49" s="241">
        <f>IF(F49="Nao",IF(OR(E49="",C49=""),"",ROUND(E49-C49,2)),0)</f>
        <v/>
      </c>
      <c r="J49" s="244">
        <f>IF(COUNTA(A49:F49)=0,"",IF(A49="","DATA_PC vazia",IF(OR(B49="",B49="Fora dos ciclos"),"CICLO_PC nao identificado",IF(OR(C49="",C49=0),"VALOR_PC vazio ou zero",IF(AND(F49&lt;&gt;"Sim",F49&lt;&gt;"Nao"),"PC_PAGO_A_CONTRATADA invalido","OK")))))</f>
        <v/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68" t="inlineStr">
        <is>
          <t>Nao</t>
        </is>
      </c>
      <c r="V49" s="268" t="inlineStr">
        <is>
          <t>PC em analise</t>
        </is>
      </c>
      <c r="W49" s="268" t="inlineStr">
        <is>
          <t>Pedido de Compra</t>
        </is>
      </c>
      <c r="X49" s="269" t="inlineStr">
        <is>
          <t>Impacto Potencial</t>
        </is>
      </c>
      <c r="Y49" s="269" t="inlineStr">
        <is>
          <t>PC</t>
        </is>
      </c>
      <c r="Z49" s="269" t="inlineStr">
        <is>
          <t>Nao</t>
        </is>
      </c>
      <c r="AA49" s="269" t="inlineStr">
        <is>
          <t>NAO_COMPUTADO</t>
        </is>
      </c>
      <c r="AB49" s="270" t="inlineStr">
        <is>
          <t>Estrutura Fase 1: sem impacto no VTA oficial</t>
        </is>
      </c>
    </row>
    <row r="50" ht="25.5" customHeight="1">
      <c r="A50" s="261" t="n"/>
      <c r="B50" s="262">
        <f>IF(A50="","",IF(OR(A50&lt;MIN(parametros!$C$2:$C$6),A50&gt;MAX(parametros!$D$2:$D$6)),"Fora dos ciclos",LOOKUP(A50,parametros!$C$2:$C$6,parametros!$B$2:$B$6)))</f>
        <v/>
      </c>
      <c r="C50" s="263" t="n"/>
      <c r="D50" s="224">
        <f>IF(B50="","",IFERROR(VLOOKUP(B50,parametros!$A$11:$E$15,5,0),""))</f>
        <v/>
      </c>
      <c r="E50" s="225">
        <f>IF(OR(C50="",D50=""),"",ROUND(C50*D50,2))</f>
        <v/>
      </c>
      <c r="F50" s="264" t="n"/>
      <c r="G50" s="241">
        <f>IF(F50="Sim",IF(OR(E50="",C50=""),"",ROUND(E50-C50,2)),0)</f>
        <v/>
      </c>
      <c r="H50" s="241">
        <f>IF(F50="Nao",IF(E50="","",E50),0)</f>
        <v/>
      </c>
      <c r="I50" s="241">
        <f>IF(F50="Nao",IF(OR(E50="",C50=""),"",ROUND(E50-C50,2)),0)</f>
        <v/>
      </c>
      <c r="J50" s="244">
        <f>IF(COUNTA(A50:F50)=0,"",IF(A50="","DATA_PC vazia",IF(OR(B50="",B50="Fora dos ciclos"),"CICLO_PC nao identificado",IF(OR(C50="",C50=0),"VALOR_PC vazio ou zero",IF(AND(F50&lt;&gt;"Sim",F50&lt;&gt;"Nao"),"PC_PAGO_A_CONTRATADA invalido","OK")))))</f>
        <v/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68" t="inlineStr">
        <is>
          <t>Nao</t>
        </is>
      </c>
      <c r="V50" s="268" t="inlineStr">
        <is>
          <t>PC em analise</t>
        </is>
      </c>
      <c r="W50" s="268" t="inlineStr">
        <is>
          <t>Pedido de Compra</t>
        </is>
      </c>
      <c r="X50" s="269" t="inlineStr">
        <is>
          <t>Impacto Potencial</t>
        </is>
      </c>
      <c r="Y50" s="269" t="inlineStr">
        <is>
          <t>PC</t>
        </is>
      </c>
      <c r="Z50" s="269" t="inlineStr">
        <is>
          <t>Nao</t>
        </is>
      </c>
      <c r="AA50" s="269" t="inlineStr">
        <is>
          <t>NAO_COMPUTADO</t>
        </is>
      </c>
      <c r="AB50" s="270" t="inlineStr">
        <is>
          <t>Estrutura Fase 1: sem impacto no VTA oficial</t>
        </is>
      </c>
    </row>
    <row r="51" ht="25.5" customHeight="1">
      <c r="A51" s="261" t="n"/>
      <c r="B51" s="262">
        <f>IF(A51="","",IF(OR(A51&lt;MIN(parametros!$C$2:$C$6),A51&gt;MAX(parametros!$D$2:$D$6)),"Fora dos ciclos",LOOKUP(A51,parametros!$C$2:$C$6,parametros!$B$2:$B$6)))</f>
        <v/>
      </c>
      <c r="C51" s="263" t="n"/>
      <c r="D51" s="224">
        <f>IF(B51="","",IFERROR(VLOOKUP(B51,parametros!$A$11:$E$15,5,0),""))</f>
        <v/>
      </c>
      <c r="E51" s="225">
        <f>IF(OR(C51="",D51=""),"",ROUND(C51*D51,2))</f>
        <v/>
      </c>
      <c r="F51" s="264" t="n"/>
      <c r="G51" s="241">
        <f>IF(F51="Sim",IF(OR(E51="",C51=""),"",ROUND(E51-C51,2)),0)</f>
        <v/>
      </c>
      <c r="H51" s="241">
        <f>IF(F51="Nao",IF(E51="","",E51),0)</f>
        <v/>
      </c>
      <c r="I51" s="241">
        <f>IF(F51="Nao",IF(OR(E51="",C51=""),"",ROUND(E51-C51,2)),0)</f>
        <v/>
      </c>
      <c r="J51" s="244">
        <f>IF(COUNTA(A51:F51)=0,"",IF(A51="","DATA_PC vazia",IF(OR(B51="",B51="Fora dos ciclos"),"CICLO_PC nao identificado",IF(OR(C51="",C51=0),"VALOR_PC vazio ou zero",IF(AND(F51&lt;&gt;"Sim",F51&lt;&gt;"Nao"),"PC_PAGO_A_CONTRATADA invalido","OK")))))</f>
        <v/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68" t="inlineStr">
        <is>
          <t>Nao</t>
        </is>
      </c>
      <c r="V51" s="268" t="inlineStr">
        <is>
          <t>PC em analise</t>
        </is>
      </c>
      <c r="W51" s="268" t="inlineStr">
        <is>
          <t>Pedido de Compra</t>
        </is>
      </c>
      <c r="X51" s="269" t="inlineStr">
        <is>
          <t>Impacto Potencial</t>
        </is>
      </c>
      <c r="Y51" s="269" t="inlineStr">
        <is>
          <t>PC</t>
        </is>
      </c>
      <c r="Z51" s="269" t="inlineStr">
        <is>
          <t>Nao</t>
        </is>
      </c>
      <c r="AA51" s="269" t="inlineStr">
        <is>
          <t>NAO_COMPUTADO</t>
        </is>
      </c>
      <c r="AB51" s="270" t="inlineStr">
        <is>
          <t>Estrutura Fase 1: sem impacto no VTA oficial</t>
        </is>
      </c>
    </row>
    <row r="52" ht="25.5" customHeight="1">
      <c r="A52" s="261" t="n"/>
      <c r="B52" s="262">
        <f>IF(A52="","",IF(OR(A52&lt;MIN(parametros!$C$2:$C$6),A52&gt;MAX(parametros!$D$2:$D$6)),"Fora dos ciclos",LOOKUP(A52,parametros!$C$2:$C$6,parametros!$B$2:$B$6)))</f>
        <v/>
      </c>
      <c r="C52" s="263" t="n"/>
      <c r="D52" s="224">
        <f>IF(B52="","",IFERROR(VLOOKUP(B52,parametros!$A$11:$E$15,5,0),""))</f>
        <v/>
      </c>
      <c r="E52" s="225">
        <f>IF(OR(C52="",D52=""),"",ROUND(C52*D52,2))</f>
        <v/>
      </c>
      <c r="F52" s="264" t="n"/>
      <c r="G52" s="241">
        <f>IF(F52="Sim",IF(OR(E52="",C52=""),"",ROUND(E52-C52,2)),0)</f>
        <v/>
      </c>
      <c r="H52" s="241">
        <f>IF(F52="Nao",IF(E52="","",E52),0)</f>
        <v/>
      </c>
      <c r="I52" s="241">
        <f>IF(F52="Nao",IF(OR(E52="",C52=""),"",ROUND(E52-C52,2)),0)</f>
        <v/>
      </c>
      <c r="J52" s="244">
        <f>IF(COUNTA(A52:F52)=0,"",IF(A52="","DATA_PC vazia",IF(OR(B52="",B52="Fora dos ciclos"),"CICLO_PC nao identificado",IF(OR(C52="",C52=0),"VALOR_PC vazio ou zero",IF(AND(F52&lt;&gt;"Sim",F52&lt;&gt;"Nao"),"PC_PAGO_A_CONTRATADA invalido","OK")))))</f>
        <v/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68" t="inlineStr">
        <is>
          <t>Nao</t>
        </is>
      </c>
      <c r="V52" s="268" t="inlineStr">
        <is>
          <t>PC em analise</t>
        </is>
      </c>
      <c r="W52" s="268" t="inlineStr">
        <is>
          <t>Pedido de Compra</t>
        </is>
      </c>
      <c r="X52" s="269" t="inlineStr">
        <is>
          <t>Impacto Potencial</t>
        </is>
      </c>
      <c r="Y52" s="269" t="inlineStr">
        <is>
          <t>PC</t>
        </is>
      </c>
      <c r="Z52" s="269" t="inlineStr">
        <is>
          <t>Nao</t>
        </is>
      </c>
      <c r="AA52" s="269" t="inlineStr">
        <is>
          <t>NAO_COMPUTADO</t>
        </is>
      </c>
      <c r="AB52" s="270" t="inlineStr">
        <is>
          <t>Estrutura Fase 1: sem impacto no VTA oficial</t>
        </is>
      </c>
    </row>
    <row r="53" ht="25.5" customHeight="1">
      <c r="A53" s="261" t="n"/>
      <c r="B53" s="262">
        <f>IF(A53="","",IF(OR(A53&lt;MIN(parametros!$C$2:$C$6),A53&gt;MAX(parametros!$D$2:$D$6)),"Fora dos ciclos",LOOKUP(A53,parametros!$C$2:$C$6,parametros!$B$2:$B$6)))</f>
        <v/>
      </c>
      <c r="C53" s="263" t="n"/>
      <c r="D53" s="224">
        <f>IF(B53="","",IFERROR(VLOOKUP(B53,parametros!$A$11:$E$15,5,0),""))</f>
        <v/>
      </c>
      <c r="E53" s="225">
        <f>IF(OR(C53="",D53=""),"",ROUND(C53*D53,2))</f>
        <v/>
      </c>
      <c r="F53" s="264" t="n"/>
      <c r="G53" s="241">
        <f>IF(F53="Sim",IF(OR(E53="",C53=""),"",ROUND(E53-C53,2)),0)</f>
        <v/>
      </c>
      <c r="H53" s="241">
        <f>IF(F53="Nao",IF(E53="","",E53),0)</f>
        <v/>
      </c>
      <c r="I53" s="241">
        <f>IF(F53="Nao",IF(OR(E53="",C53=""),"",ROUND(E53-C53,2)),0)</f>
        <v/>
      </c>
      <c r="J53" s="244">
        <f>IF(COUNTA(A53:F53)=0,"",IF(A53="","DATA_PC vazia",IF(OR(B53="",B53="Fora dos ciclos"),"CICLO_PC nao identificado",IF(OR(C53="",C53=0),"VALOR_PC vazio ou zero",IF(AND(F53&lt;&gt;"Sim",F53&lt;&gt;"Nao"),"PC_PAGO_A_CONTRATADA invalido","OK")))))</f>
        <v/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68" t="inlineStr">
        <is>
          <t>Nao</t>
        </is>
      </c>
      <c r="V53" s="268" t="inlineStr">
        <is>
          <t>PC em analise</t>
        </is>
      </c>
      <c r="W53" s="268" t="inlineStr">
        <is>
          <t>Pedido de Compra</t>
        </is>
      </c>
      <c r="X53" s="269" t="inlineStr">
        <is>
          <t>Impacto Potencial</t>
        </is>
      </c>
      <c r="Y53" s="269" t="inlineStr">
        <is>
          <t>PC</t>
        </is>
      </c>
      <c r="Z53" s="269" t="inlineStr">
        <is>
          <t>Nao</t>
        </is>
      </c>
      <c r="AA53" s="269" t="inlineStr">
        <is>
          <t>NAO_COMPUTADO</t>
        </is>
      </c>
      <c r="AB53" s="270" t="inlineStr">
        <is>
          <t>Estrutura Fase 1: sem impacto no VTA oficial</t>
        </is>
      </c>
    </row>
    <row r="54" ht="25.5" customHeight="1">
      <c r="A54" s="261" t="n"/>
      <c r="B54" s="262">
        <f>IF(A54="","",IF(OR(A54&lt;MIN(parametros!$C$2:$C$6),A54&gt;MAX(parametros!$D$2:$D$6)),"Fora dos ciclos",LOOKUP(A54,parametros!$C$2:$C$6,parametros!$B$2:$B$6)))</f>
        <v/>
      </c>
      <c r="C54" s="263" t="n"/>
      <c r="D54" s="224">
        <f>IF(B54="","",IFERROR(VLOOKUP(B54,parametros!$A$11:$E$15,5,0),""))</f>
        <v/>
      </c>
      <c r="E54" s="225">
        <f>IF(OR(C54="",D54=""),"",ROUND(C54*D54,2))</f>
        <v/>
      </c>
      <c r="F54" s="264" t="n"/>
      <c r="G54" s="241">
        <f>IF(F54="Sim",IF(OR(E54="",C54=""),"",ROUND(E54-C54,2)),0)</f>
        <v/>
      </c>
      <c r="H54" s="241">
        <f>IF(F54="Nao",IF(E54="","",E54),0)</f>
        <v/>
      </c>
      <c r="I54" s="241">
        <f>IF(F54="Nao",IF(OR(E54="",C54=""),"",ROUND(E54-C54,2)),0)</f>
        <v/>
      </c>
      <c r="J54" s="244">
        <f>IF(COUNTA(A54:F54)=0,"",IF(A54="","DATA_PC vazia",IF(OR(B54="",B54="Fora dos ciclos"),"CICLO_PC nao identificado",IF(OR(C54="",C54=0),"VALOR_PC vazio ou zero",IF(AND(F54&lt;&gt;"Sim",F54&lt;&gt;"Nao"),"PC_PAGO_A_CONTRATADA invalido","OK")))))</f>
        <v/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68" t="inlineStr">
        <is>
          <t>Nao</t>
        </is>
      </c>
      <c r="V54" s="268" t="inlineStr">
        <is>
          <t>PC em analise</t>
        </is>
      </c>
      <c r="W54" s="268" t="inlineStr">
        <is>
          <t>Pedido de Compra</t>
        </is>
      </c>
      <c r="X54" s="269" t="inlineStr">
        <is>
          <t>Impacto Potencial</t>
        </is>
      </c>
      <c r="Y54" s="269" t="inlineStr">
        <is>
          <t>PC</t>
        </is>
      </c>
      <c r="Z54" s="269" t="inlineStr">
        <is>
          <t>Nao</t>
        </is>
      </c>
      <c r="AA54" s="269" t="inlineStr">
        <is>
          <t>NAO_COMPUTADO</t>
        </is>
      </c>
      <c r="AB54" s="270" t="inlineStr">
        <is>
          <t>Estrutura Fase 1: sem impacto no VTA oficial</t>
        </is>
      </c>
    </row>
    <row r="55" ht="25.5" customHeight="1">
      <c r="A55" s="261" t="n"/>
      <c r="B55" s="262">
        <f>IF(A55="","",IF(OR(A55&lt;MIN(parametros!$C$2:$C$6),A55&gt;MAX(parametros!$D$2:$D$6)),"Fora dos ciclos",LOOKUP(A55,parametros!$C$2:$C$6,parametros!$B$2:$B$6)))</f>
        <v/>
      </c>
      <c r="C55" s="263" t="n"/>
      <c r="D55" s="224">
        <f>IF(B55="","",IFERROR(VLOOKUP(B55,parametros!$A$11:$E$15,5,0),""))</f>
        <v/>
      </c>
      <c r="E55" s="225">
        <f>IF(OR(C55="",D55=""),"",ROUND(C55*D55,2))</f>
        <v/>
      </c>
      <c r="F55" s="264" t="n"/>
      <c r="G55" s="241">
        <f>IF(F55="Sim",IF(OR(E55="",C55=""),"",ROUND(E55-C55,2)),0)</f>
        <v/>
      </c>
      <c r="H55" s="241">
        <f>IF(F55="Nao",IF(E55="","",E55),0)</f>
        <v/>
      </c>
      <c r="I55" s="241">
        <f>IF(F55="Nao",IF(OR(E55="",C55=""),"",ROUND(E55-C55,2)),0)</f>
        <v/>
      </c>
      <c r="J55" s="244">
        <f>IF(COUNTA(A55:F55)=0,"",IF(A55="","DATA_PC vazia",IF(OR(B55="",B55="Fora dos ciclos"),"CICLO_PC nao identificado",IF(OR(C55="",C55=0),"VALOR_PC vazio ou zero",IF(AND(F55&lt;&gt;"Sim",F55&lt;&gt;"Nao"),"PC_PAGO_A_CONTRATADA invalido","OK")))))</f>
        <v/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68" t="inlineStr">
        <is>
          <t>Nao</t>
        </is>
      </c>
      <c r="V55" s="268" t="inlineStr">
        <is>
          <t>PC em analise</t>
        </is>
      </c>
      <c r="W55" s="268" t="inlineStr">
        <is>
          <t>Pedido de Compra</t>
        </is>
      </c>
      <c r="X55" s="269" t="inlineStr">
        <is>
          <t>Impacto Potencial</t>
        </is>
      </c>
      <c r="Y55" s="269" t="inlineStr">
        <is>
          <t>PC</t>
        </is>
      </c>
      <c r="Z55" s="269" t="inlineStr">
        <is>
          <t>Nao</t>
        </is>
      </c>
      <c r="AA55" s="269" t="inlineStr">
        <is>
          <t>NAO_COMPUTADO</t>
        </is>
      </c>
      <c r="AB55" s="270" t="inlineStr">
        <is>
          <t>Estrutura Fase 1: sem impacto no VTA oficial</t>
        </is>
      </c>
    </row>
    <row r="56" ht="25.5" customHeight="1">
      <c r="A56" s="261" t="n"/>
      <c r="B56" s="262">
        <f>IF(A56="","",IF(OR(A56&lt;MIN(parametros!$C$2:$C$6),A56&gt;MAX(parametros!$D$2:$D$6)),"Fora dos ciclos",LOOKUP(A56,parametros!$C$2:$C$6,parametros!$B$2:$B$6)))</f>
        <v/>
      </c>
      <c r="C56" s="263" t="n"/>
      <c r="D56" s="224">
        <f>IF(B56="","",IFERROR(VLOOKUP(B56,parametros!$A$11:$E$15,5,0),""))</f>
        <v/>
      </c>
      <c r="E56" s="225">
        <f>IF(OR(C56="",D56=""),"",ROUND(C56*D56,2))</f>
        <v/>
      </c>
      <c r="F56" s="264" t="n"/>
      <c r="G56" s="241">
        <f>IF(F56="Sim",IF(OR(E56="",C56=""),"",ROUND(E56-C56,2)),0)</f>
        <v/>
      </c>
      <c r="H56" s="241">
        <f>IF(F56="Nao",IF(E56="","",E56),0)</f>
        <v/>
      </c>
      <c r="I56" s="241">
        <f>IF(F56="Nao",IF(OR(E56="",C56=""),"",ROUND(E56-C56,2)),0)</f>
        <v/>
      </c>
      <c r="J56" s="244">
        <f>IF(COUNTA(A56:F56)=0,"",IF(A56="","DATA_PC vazia",IF(OR(B56="",B56="Fora dos ciclos"),"CICLO_PC nao identificado",IF(OR(C56="",C56=0),"VALOR_PC vazio ou zero",IF(AND(F56&lt;&gt;"Sim",F56&lt;&gt;"Nao"),"PC_PAGO_A_CONTRATADA invalido","OK")))))</f>
        <v/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68" t="inlineStr">
        <is>
          <t>Nao</t>
        </is>
      </c>
      <c r="V56" s="268" t="inlineStr">
        <is>
          <t>PC em analise</t>
        </is>
      </c>
      <c r="W56" s="268" t="inlineStr">
        <is>
          <t>Pedido de Compra</t>
        </is>
      </c>
      <c r="X56" s="269" t="inlineStr">
        <is>
          <t>Impacto Potencial</t>
        </is>
      </c>
      <c r="Y56" s="269" t="inlineStr">
        <is>
          <t>PC</t>
        </is>
      </c>
      <c r="Z56" s="269" t="inlineStr">
        <is>
          <t>Nao</t>
        </is>
      </c>
      <c r="AA56" s="269" t="inlineStr">
        <is>
          <t>NAO_COMPUTADO</t>
        </is>
      </c>
      <c r="AB56" s="270" t="inlineStr">
        <is>
          <t>Estrutura Fase 1: sem impacto no VTA oficial</t>
        </is>
      </c>
    </row>
    <row r="57" ht="25.5" customHeight="1">
      <c r="A57" s="261" t="n"/>
      <c r="B57" s="262">
        <f>IF(A57="","",IF(OR(A57&lt;MIN(parametros!$C$2:$C$6),A57&gt;MAX(parametros!$D$2:$D$6)),"Fora dos ciclos",LOOKUP(A57,parametros!$C$2:$C$6,parametros!$B$2:$B$6)))</f>
        <v/>
      </c>
      <c r="C57" s="263" t="n"/>
      <c r="D57" s="224">
        <f>IF(B57="","",IFERROR(VLOOKUP(B57,parametros!$A$11:$E$15,5,0),""))</f>
        <v/>
      </c>
      <c r="E57" s="225">
        <f>IF(OR(C57="",D57=""),"",ROUND(C57*D57,2))</f>
        <v/>
      </c>
      <c r="F57" s="264" t="n"/>
      <c r="G57" s="241">
        <f>IF(F57="Sim",IF(OR(E57="",C57=""),"",ROUND(E57-C57,2)),0)</f>
        <v/>
      </c>
      <c r="H57" s="241">
        <f>IF(F57="Nao",IF(E57="","",E57),0)</f>
        <v/>
      </c>
      <c r="I57" s="241">
        <f>IF(F57="Nao",IF(OR(E57="",C57=""),"",ROUND(E57-C57,2)),0)</f>
        <v/>
      </c>
      <c r="J57" s="244">
        <f>IF(COUNTA(A57:F57)=0,"",IF(A57="","DATA_PC vazia",IF(OR(B57="",B57="Fora dos ciclos"),"CICLO_PC nao identificado",IF(OR(C57="",C57=0),"VALOR_PC vazio ou zero",IF(AND(F57&lt;&gt;"Sim",F57&lt;&gt;"Nao"),"PC_PAGO_A_CONTRATADA invalido","OK")))))</f>
        <v/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68" t="inlineStr">
        <is>
          <t>Nao</t>
        </is>
      </c>
      <c r="V57" s="268" t="inlineStr">
        <is>
          <t>PC em analise</t>
        </is>
      </c>
      <c r="W57" s="268" t="inlineStr">
        <is>
          <t>Pedido de Compra</t>
        </is>
      </c>
      <c r="X57" s="269" t="inlineStr">
        <is>
          <t>Impacto Potencial</t>
        </is>
      </c>
      <c r="Y57" s="269" t="inlineStr">
        <is>
          <t>PC</t>
        </is>
      </c>
      <c r="Z57" s="269" t="inlineStr">
        <is>
          <t>Nao</t>
        </is>
      </c>
      <c r="AA57" s="269" t="inlineStr">
        <is>
          <t>NAO_COMPUTADO</t>
        </is>
      </c>
      <c r="AB57" s="270" t="inlineStr">
        <is>
          <t>Estrutura Fase 1: sem impacto no VTA oficial</t>
        </is>
      </c>
    </row>
    <row r="58" ht="25.5" customHeight="1">
      <c r="A58" s="261" t="n"/>
      <c r="B58" s="262">
        <f>IF(A58="","",IF(OR(A58&lt;MIN(parametros!$C$2:$C$6),A58&gt;MAX(parametros!$D$2:$D$6)),"Fora dos ciclos",LOOKUP(A58,parametros!$C$2:$C$6,parametros!$B$2:$B$6)))</f>
        <v/>
      </c>
      <c r="C58" s="263" t="n"/>
      <c r="D58" s="224">
        <f>IF(B58="","",IFERROR(VLOOKUP(B58,parametros!$A$11:$E$15,5,0),""))</f>
        <v/>
      </c>
      <c r="E58" s="225">
        <f>IF(OR(C58="",D58=""),"",ROUND(C58*D58,2))</f>
        <v/>
      </c>
      <c r="F58" s="264" t="n"/>
      <c r="G58" s="241">
        <f>IF(F58="Sim",IF(OR(E58="",C58=""),"",ROUND(E58-C58,2)),0)</f>
        <v/>
      </c>
      <c r="H58" s="241">
        <f>IF(F58="Nao",IF(E58="","",E58),0)</f>
        <v/>
      </c>
      <c r="I58" s="241">
        <f>IF(F58="Nao",IF(OR(E58="",C58=""),"",ROUND(E58-C58,2)),0)</f>
        <v/>
      </c>
      <c r="J58" s="244">
        <f>IF(COUNTA(A58:F58)=0,"",IF(A58="","DATA_PC vazia",IF(OR(B58="",B58="Fora dos ciclos"),"CICLO_PC nao identificado",IF(OR(C58="",C58=0),"VALOR_PC vazio ou zero",IF(AND(F58&lt;&gt;"Sim",F58&lt;&gt;"Nao"),"PC_PAGO_A_CONTRATADA invalido","OK")))))</f>
        <v/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68" t="inlineStr">
        <is>
          <t>Nao</t>
        </is>
      </c>
      <c r="V58" s="268" t="inlineStr">
        <is>
          <t>PC em analise</t>
        </is>
      </c>
      <c r="W58" s="268" t="inlineStr">
        <is>
          <t>Pedido de Compra</t>
        </is>
      </c>
      <c r="X58" s="269" t="inlineStr">
        <is>
          <t>Impacto Potencial</t>
        </is>
      </c>
      <c r="Y58" s="269" t="inlineStr">
        <is>
          <t>PC</t>
        </is>
      </c>
      <c r="Z58" s="269" t="inlineStr">
        <is>
          <t>Nao</t>
        </is>
      </c>
      <c r="AA58" s="269" t="inlineStr">
        <is>
          <t>NAO_COMPUTADO</t>
        </is>
      </c>
      <c r="AB58" s="270" t="inlineStr">
        <is>
          <t>Estrutura Fase 1: sem impacto no VTA oficial</t>
        </is>
      </c>
    </row>
    <row r="59" ht="25.5" customHeight="1">
      <c r="A59" s="261" t="n"/>
      <c r="B59" s="262">
        <f>IF(A59="","",IF(OR(A59&lt;MIN(parametros!$C$2:$C$6),A59&gt;MAX(parametros!$D$2:$D$6)),"Fora dos ciclos",LOOKUP(A59,parametros!$C$2:$C$6,parametros!$B$2:$B$6)))</f>
        <v/>
      </c>
      <c r="C59" s="263" t="n"/>
      <c r="D59" s="224">
        <f>IF(B59="","",IFERROR(VLOOKUP(B59,parametros!$A$11:$E$15,5,0),""))</f>
        <v/>
      </c>
      <c r="E59" s="225">
        <f>IF(OR(C59="",D59=""),"",ROUND(C59*D59,2))</f>
        <v/>
      </c>
      <c r="F59" s="264" t="n"/>
      <c r="G59" s="241">
        <f>IF(F59="Sim",IF(OR(E59="",C59=""),"",ROUND(E59-C59,2)),0)</f>
        <v/>
      </c>
      <c r="H59" s="241">
        <f>IF(F59="Nao",IF(E59="","",E59),0)</f>
        <v/>
      </c>
      <c r="I59" s="241">
        <f>IF(F59="Nao",IF(OR(E59="",C59=""),"",ROUND(E59-C59,2)),0)</f>
        <v/>
      </c>
      <c r="J59" s="244">
        <f>IF(COUNTA(A59:F59)=0,"",IF(A59="","DATA_PC vazia",IF(OR(B59="",B59="Fora dos ciclos"),"CICLO_PC nao identificado",IF(OR(C59="",C59=0),"VALOR_PC vazio ou zero",IF(AND(F59&lt;&gt;"Sim",F59&lt;&gt;"Nao"),"PC_PAGO_A_CONTRATADA invalido","OK")))))</f>
        <v/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68" t="inlineStr">
        <is>
          <t>Nao</t>
        </is>
      </c>
      <c r="V59" s="268" t="inlineStr">
        <is>
          <t>PC em analise</t>
        </is>
      </c>
      <c r="W59" s="268" t="inlineStr">
        <is>
          <t>Pedido de Compra</t>
        </is>
      </c>
      <c r="X59" s="269" t="inlineStr">
        <is>
          <t>Impacto Potencial</t>
        </is>
      </c>
      <c r="Y59" s="269" t="inlineStr">
        <is>
          <t>PC</t>
        </is>
      </c>
      <c r="Z59" s="269" t="inlineStr">
        <is>
          <t>Nao</t>
        </is>
      </c>
      <c r="AA59" s="269" t="inlineStr">
        <is>
          <t>NAO_COMPUTADO</t>
        </is>
      </c>
      <c r="AB59" s="270" t="inlineStr">
        <is>
          <t>Estrutura Fase 1: sem impacto no VTA oficial</t>
        </is>
      </c>
    </row>
    <row r="60" ht="25.5" customHeight="1">
      <c r="A60" s="261" t="n"/>
      <c r="B60" s="262">
        <f>IF(A60="","",IF(OR(A60&lt;MIN(parametros!$C$2:$C$6),A60&gt;MAX(parametros!$D$2:$D$6)),"Fora dos ciclos",LOOKUP(A60,parametros!$C$2:$C$6,parametros!$B$2:$B$6)))</f>
        <v/>
      </c>
      <c r="C60" s="263" t="n"/>
      <c r="D60" s="224">
        <f>IF(B60="","",IFERROR(VLOOKUP(B60,parametros!$A$11:$E$15,5,0),""))</f>
        <v/>
      </c>
      <c r="E60" s="225">
        <f>IF(OR(C60="",D60=""),"",ROUND(C60*D60,2))</f>
        <v/>
      </c>
      <c r="F60" s="264" t="n"/>
      <c r="G60" s="241">
        <f>IF(F60="Sim",IF(OR(E60="",C60=""),"",ROUND(E60-C60,2)),0)</f>
        <v/>
      </c>
      <c r="H60" s="241">
        <f>IF(F60="Nao",IF(E60="","",E60),0)</f>
        <v/>
      </c>
      <c r="I60" s="241">
        <f>IF(F60="Nao",IF(OR(E60="",C60=""),"",ROUND(E60-C60,2)),0)</f>
        <v/>
      </c>
      <c r="J60" s="244">
        <f>IF(COUNTA(A60:F60)=0,"",IF(A60="","DATA_PC vazia",IF(OR(B60="",B60="Fora dos ciclos"),"CICLO_PC nao identificado",IF(OR(C60="",C60=0),"VALOR_PC vazio ou zero",IF(AND(F60&lt;&gt;"Sim",F60&lt;&gt;"Nao"),"PC_PAGO_A_CONTRATADA invalido","OK")))))</f>
        <v/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68" t="inlineStr">
        <is>
          <t>Nao</t>
        </is>
      </c>
      <c r="V60" s="268" t="inlineStr">
        <is>
          <t>PC em analise</t>
        </is>
      </c>
      <c r="W60" s="268" t="inlineStr">
        <is>
          <t>Pedido de Compra</t>
        </is>
      </c>
      <c r="X60" s="269" t="inlineStr">
        <is>
          <t>Impacto Potencial</t>
        </is>
      </c>
      <c r="Y60" s="269" t="inlineStr">
        <is>
          <t>PC</t>
        </is>
      </c>
      <c r="Z60" s="269" t="inlineStr">
        <is>
          <t>Nao</t>
        </is>
      </c>
      <c r="AA60" s="269" t="inlineStr">
        <is>
          <t>NAO_COMPUTADO</t>
        </is>
      </c>
      <c r="AB60" s="270" t="inlineStr">
        <is>
          <t>Estrutura Fase 1: sem impacto no VTA oficial</t>
        </is>
      </c>
    </row>
    <row r="61" ht="25.5" customHeight="1">
      <c r="A61" s="261" t="n"/>
      <c r="B61" s="262">
        <f>IF(A61="","",IF(OR(A61&lt;MIN(parametros!$C$2:$C$6),A61&gt;MAX(parametros!$D$2:$D$6)),"Fora dos ciclos",LOOKUP(A61,parametros!$C$2:$C$6,parametros!$B$2:$B$6)))</f>
        <v/>
      </c>
      <c r="C61" s="263" t="n"/>
      <c r="D61" s="224">
        <f>IF(B61="","",IFERROR(VLOOKUP(B61,parametros!$A$11:$E$15,5,0),""))</f>
        <v/>
      </c>
      <c r="E61" s="225">
        <f>IF(OR(C61="",D61=""),"",ROUND(C61*D61,2))</f>
        <v/>
      </c>
      <c r="F61" s="264" t="n"/>
      <c r="G61" s="241">
        <f>IF(F61="Sim",IF(OR(E61="",C61=""),"",ROUND(E61-C61,2)),0)</f>
        <v/>
      </c>
      <c r="H61" s="241">
        <f>IF(F61="Nao",IF(E61="","",E61),0)</f>
        <v/>
      </c>
      <c r="I61" s="241">
        <f>IF(F61="Nao",IF(OR(E61="",C61=""),"",ROUND(E61-C61,2)),0)</f>
        <v/>
      </c>
      <c r="J61" s="244">
        <f>IF(COUNTA(A61:F61)=0,"",IF(A61="","DATA_PC vazia",IF(OR(B61="",B61="Fora dos ciclos"),"CICLO_PC nao identificado",IF(OR(C61="",C61=0),"VALOR_PC vazio ou zero",IF(AND(F61&lt;&gt;"Sim",F61&lt;&gt;"Nao"),"PC_PAGO_A_CONTRATADA invalido","OK")))))</f>
        <v/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268" t="inlineStr">
        <is>
          <t>Nao</t>
        </is>
      </c>
      <c r="V61" s="268" t="inlineStr">
        <is>
          <t>PC em analise</t>
        </is>
      </c>
      <c r="W61" s="268" t="inlineStr">
        <is>
          <t>Pedido de Compra</t>
        </is>
      </c>
      <c r="X61" s="269" t="inlineStr">
        <is>
          <t>Impacto Potencial</t>
        </is>
      </c>
      <c r="Y61" s="269" t="inlineStr">
        <is>
          <t>PC</t>
        </is>
      </c>
      <c r="Z61" s="269" t="inlineStr">
        <is>
          <t>Nao</t>
        </is>
      </c>
      <c r="AA61" s="269" t="inlineStr">
        <is>
          <t>NAO_COMPUTADO</t>
        </is>
      </c>
      <c r="AB61" s="270" t="inlineStr">
        <is>
          <t>Estrutura Fase 1: sem impacto no VTA oficial</t>
        </is>
      </c>
    </row>
    <row r="62" ht="25.5" customHeight="1">
      <c r="A62" s="261" t="n"/>
      <c r="B62" s="262">
        <f>IF(A62="","",IF(OR(A62&lt;MIN(parametros!$C$2:$C$6),A62&gt;MAX(parametros!$D$2:$D$6)),"Fora dos ciclos",LOOKUP(A62,parametros!$C$2:$C$6,parametros!$B$2:$B$6)))</f>
        <v/>
      </c>
      <c r="C62" s="263" t="n"/>
      <c r="D62" s="224">
        <f>IF(B62="","",IFERROR(VLOOKUP(B62,parametros!$A$11:$E$15,5,0),""))</f>
        <v/>
      </c>
      <c r="E62" s="225">
        <f>IF(OR(C62="",D62=""),"",ROUND(C62*D62,2))</f>
        <v/>
      </c>
      <c r="F62" s="264" t="n"/>
      <c r="G62" s="241">
        <f>IF(F62="Sim",IF(OR(E62="",C62=""),"",ROUND(E62-C62,2)),0)</f>
        <v/>
      </c>
      <c r="H62" s="241">
        <f>IF(F62="Nao",IF(E62="","",E62),0)</f>
        <v/>
      </c>
      <c r="I62" s="241">
        <f>IF(F62="Nao",IF(OR(E62="",C62=""),"",ROUND(E62-C62,2)),0)</f>
        <v/>
      </c>
      <c r="J62" s="244">
        <f>IF(COUNTA(A62:F62)=0,"",IF(A62="","DATA_PC vazia",IF(OR(B62="",B62="Fora dos ciclos"),"CICLO_PC nao identificado",IF(OR(C62="",C62=0),"VALOR_PC vazio ou zero",IF(AND(F62&lt;&gt;"Sim",F62&lt;&gt;"Nao"),"PC_PAGO_A_CONTRATADA invalido","OK")))))</f>
        <v/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268" t="inlineStr">
        <is>
          <t>Nao</t>
        </is>
      </c>
      <c r="V62" s="268" t="inlineStr">
        <is>
          <t>PC em analise</t>
        </is>
      </c>
      <c r="W62" s="268" t="inlineStr">
        <is>
          <t>Pedido de Compra</t>
        </is>
      </c>
      <c r="X62" s="269" t="inlineStr">
        <is>
          <t>Impacto Potencial</t>
        </is>
      </c>
      <c r="Y62" s="269" t="inlineStr">
        <is>
          <t>PC</t>
        </is>
      </c>
      <c r="Z62" s="269" t="inlineStr">
        <is>
          <t>Nao</t>
        </is>
      </c>
      <c r="AA62" s="269" t="inlineStr">
        <is>
          <t>NAO_COMPUTADO</t>
        </is>
      </c>
      <c r="AB62" s="270" t="inlineStr">
        <is>
          <t>Estrutura Fase 1: sem impacto no VTA oficial</t>
        </is>
      </c>
    </row>
    <row r="63" ht="25.5" customHeight="1">
      <c r="A63" s="261" t="n"/>
      <c r="B63" s="262">
        <f>IF(A63="","",IF(OR(A63&lt;MIN(parametros!$C$2:$C$6),A63&gt;MAX(parametros!$D$2:$D$6)),"Fora dos ciclos",LOOKUP(A63,parametros!$C$2:$C$6,parametros!$B$2:$B$6)))</f>
        <v/>
      </c>
      <c r="C63" s="263" t="n"/>
      <c r="D63" s="224">
        <f>IF(B63="","",IFERROR(VLOOKUP(B63,parametros!$A$11:$E$15,5,0),""))</f>
        <v/>
      </c>
      <c r="E63" s="225">
        <f>IF(OR(C63="",D63=""),"",ROUND(C63*D63,2))</f>
        <v/>
      </c>
      <c r="F63" s="264" t="n"/>
      <c r="G63" s="241">
        <f>IF(F63="Sim",IF(OR(E63="",C63=""),"",ROUND(E63-C63,2)),0)</f>
        <v/>
      </c>
      <c r="H63" s="241">
        <f>IF(F63="Nao",IF(E63="","",E63),0)</f>
        <v/>
      </c>
      <c r="I63" s="241">
        <f>IF(F63="Nao",IF(OR(E63="",C63=""),"",ROUND(E63-C63,2)),0)</f>
        <v/>
      </c>
      <c r="J63" s="244">
        <f>IF(COUNTA(A63:F63)=0,"",IF(A63="","DATA_PC vazia",IF(OR(B63="",B63="Fora dos ciclos"),"CICLO_PC nao identificado",IF(OR(C63="",C63=0),"VALOR_PC vazio ou zero",IF(AND(F63&lt;&gt;"Sim",F63&lt;&gt;"Nao"),"PC_PAGO_A_CONTRATADA invalido","OK")))))</f>
        <v/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268" t="inlineStr">
        <is>
          <t>Nao</t>
        </is>
      </c>
      <c r="V63" s="268" t="inlineStr">
        <is>
          <t>PC em analise</t>
        </is>
      </c>
      <c r="W63" s="268" t="inlineStr">
        <is>
          <t>Pedido de Compra</t>
        </is>
      </c>
      <c r="X63" s="269" t="inlineStr">
        <is>
          <t>Impacto Potencial</t>
        </is>
      </c>
      <c r="Y63" s="269" t="inlineStr">
        <is>
          <t>PC</t>
        </is>
      </c>
      <c r="Z63" s="269" t="inlineStr">
        <is>
          <t>Nao</t>
        </is>
      </c>
      <c r="AA63" s="269" t="inlineStr">
        <is>
          <t>NAO_COMPUTADO</t>
        </is>
      </c>
      <c r="AB63" s="270" t="inlineStr">
        <is>
          <t>Estrutura Fase 1: sem impacto no VTA oficial</t>
        </is>
      </c>
    </row>
    <row r="64" ht="25.5" customHeight="1">
      <c r="A64" s="261" t="n"/>
      <c r="B64" s="262">
        <f>IF(A64="","",IF(OR(A64&lt;MIN(parametros!$C$2:$C$6),A64&gt;MAX(parametros!$D$2:$D$6)),"Fora dos ciclos",LOOKUP(A64,parametros!$C$2:$C$6,parametros!$B$2:$B$6)))</f>
        <v/>
      </c>
      <c r="C64" s="263" t="n"/>
      <c r="D64" s="224">
        <f>IF(B64="","",IFERROR(VLOOKUP(B64,parametros!$A$11:$E$15,5,0),""))</f>
        <v/>
      </c>
      <c r="E64" s="225">
        <f>IF(OR(C64="",D64=""),"",ROUND(C64*D64,2))</f>
        <v/>
      </c>
      <c r="F64" s="264" t="n"/>
      <c r="G64" s="241">
        <f>IF(F64="Sim",IF(OR(E64="",C64=""),"",ROUND(E64-C64,2)),0)</f>
        <v/>
      </c>
      <c r="H64" s="241">
        <f>IF(F64="Nao",IF(E64="","",E64),0)</f>
        <v/>
      </c>
      <c r="I64" s="241">
        <f>IF(F64="Nao",IF(OR(E64="",C64=""),"",ROUND(E64-C64,2)),0)</f>
        <v/>
      </c>
      <c r="J64" s="244">
        <f>IF(COUNTA(A64:F64)=0,"",IF(A64="","DATA_PC vazia",IF(OR(B64="",B64="Fora dos ciclos"),"CICLO_PC nao identificado",IF(OR(C64="",C64=0),"VALOR_PC vazio ou zero",IF(AND(F64&lt;&gt;"Sim",F64&lt;&gt;"Nao"),"PC_PAGO_A_CONTRATADA invalido","OK")))))</f>
        <v/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268" t="inlineStr">
        <is>
          <t>Nao</t>
        </is>
      </c>
      <c r="V64" s="268" t="inlineStr">
        <is>
          <t>PC em analise</t>
        </is>
      </c>
      <c r="W64" s="268" t="inlineStr">
        <is>
          <t>Pedido de Compra</t>
        </is>
      </c>
      <c r="X64" s="269" t="inlineStr">
        <is>
          <t>Impacto Potencial</t>
        </is>
      </c>
      <c r="Y64" s="269" t="inlineStr">
        <is>
          <t>PC</t>
        </is>
      </c>
      <c r="Z64" s="269" t="inlineStr">
        <is>
          <t>Nao</t>
        </is>
      </c>
      <c r="AA64" s="269" t="inlineStr">
        <is>
          <t>NAO_COMPUTADO</t>
        </is>
      </c>
      <c r="AB64" s="270" t="inlineStr">
        <is>
          <t>Estrutura Fase 1: sem impacto no VTA oficial</t>
        </is>
      </c>
    </row>
    <row r="65" ht="25.5" customHeight="1">
      <c r="A65" s="261" t="n"/>
      <c r="B65" s="262">
        <f>IF(A65="","",IF(OR(A65&lt;MIN(parametros!$C$2:$C$6),A65&gt;MAX(parametros!$D$2:$D$6)),"Fora dos ciclos",LOOKUP(A65,parametros!$C$2:$C$6,parametros!$B$2:$B$6)))</f>
        <v/>
      </c>
      <c r="C65" s="263" t="n"/>
      <c r="D65" s="224">
        <f>IF(B65="","",IFERROR(VLOOKUP(B65,parametros!$A$11:$E$15,5,0),""))</f>
        <v/>
      </c>
      <c r="E65" s="225">
        <f>IF(OR(C65="",D65=""),"",ROUND(C65*D65,2))</f>
        <v/>
      </c>
      <c r="F65" s="264" t="n"/>
      <c r="G65" s="241">
        <f>IF(F65="Sim",IF(OR(E65="",C65=""),"",ROUND(E65-C65,2)),0)</f>
        <v/>
      </c>
      <c r="H65" s="241">
        <f>IF(F65="Nao",IF(E65="","",E65),0)</f>
        <v/>
      </c>
      <c r="I65" s="241">
        <f>IF(F65="Nao",IF(OR(E65="",C65=""),"",ROUND(E65-C65,2)),0)</f>
        <v/>
      </c>
      <c r="J65" s="244">
        <f>IF(COUNTA(A65:F65)=0,"",IF(A65="","DATA_PC vazia",IF(OR(B65="",B65="Fora dos ciclos"),"CICLO_PC nao identificado",IF(OR(C65="",C65=0),"VALOR_PC vazio ou zero",IF(AND(F65&lt;&gt;"Sim",F65&lt;&gt;"Nao"),"PC_PAGO_A_CONTRATADA invalido","OK")))))</f>
        <v/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268" t="inlineStr">
        <is>
          <t>Nao</t>
        </is>
      </c>
      <c r="V65" s="268" t="inlineStr">
        <is>
          <t>PC em analise</t>
        </is>
      </c>
      <c r="W65" s="268" t="inlineStr">
        <is>
          <t>Pedido de Compra</t>
        </is>
      </c>
      <c r="X65" s="269" t="inlineStr">
        <is>
          <t>Impacto Potencial</t>
        </is>
      </c>
      <c r="Y65" s="269" t="inlineStr">
        <is>
          <t>PC</t>
        </is>
      </c>
      <c r="Z65" s="269" t="inlineStr">
        <is>
          <t>Nao</t>
        </is>
      </c>
      <c r="AA65" s="269" t="inlineStr">
        <is>
          <t>NAO_COMPUTADO</t>
        </is>
      </c>
      <c r="AB65" s="270" t="inlineStr">
        <is>
          <t>Estrutura Fase 1: sem impacto no VTA oficial</t>
        </is>
      </c>
    </row>
    <row r="66" ht="25.5" customHeight="1">
      <c r="A66" s="261" t="n"/>
      <c r="B66" s="262">
        <f>IF(A66="","",IF(OR(A66&lt;MIN(parametros!$C$2:$C$6),A66&gt;MAX(parametros!$D$2:$D$6)),"Fora dos ciclos",LOOKUP(A66,parametros!$C$2:$C$6,parametros!$B$2:$B$6)))</f>
        <v/>
      </c>
      <c r="C66" s="263" t="n"/>
      <c r="D66" s="224">
        <f>IF(B66="","",IFERROR(VLOOKUP(B66,parametros!$A$11:$E$15,5,0),""))</f>
        <v/>
      </c>
      <c r="E66" s="225">
        <f>IF(OR(C66="",D66=""),"",ROUND(C66*D66,2))</f>
        <v/>
      </c>
      <c r="F66" s="264" t="n"/>
      <c r="G66" s="241">
        <f>IF(F66="Sim",IF(OR(E66="",C66=""),"",ROUND(E66-C66,2)),0)</f>
        <v/>
      </c>
      <c r="H66" s="241">
        <f>IF(F66="Nao",IF(E66="","",E66),0)</f>
        <v/>
      </c>
      <c r="I66" s="241">
        <f>IF(F66="Nao",IF(OR(E66="",C66=""),"",ROUND(E66-C66,2)),0)</f>
        <v/>
      </c>
      <c r="J66" s="244">
        <f>IF(COUNTA(A66:F66)=0,"",IF(A66="","DATA_PC vazia",IF(OR(B66="",B66="Fora dos ciclos"),"CICLO_PC nao identificado",IF(OR(C66="",C66=0),"VALOR_PC vazio ou zero",IF(AND(F66&lt;&gt;"Sim",F66&lt;&gt;"Nao"),"PC_PAGO_A_CONTRATADA invalido","OK")))))</f>
        <v/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268" t="inlineStr">
        <is>
          <t>Nao</t>
        </is>
      </c>
      <c r="V66" s="268" t="inlineStr">
        <is>
          <t>PC em analise</t>
        </is>
      </c>
      <c r="W66" s="268" t="inlineStr">
        <is>
          <t>Pedido de Compra</t>
        </is>
      </c>
      <c r="X66" s="269" t="inlineStr">
        <is>
          <t>Impacto Potencial</t>
        </is>
      </c>
      <c r="Y66" s="269" t="inlineStr">
        <is>
          <t>PC</t>
        </is>
      </c>
      <c r="Z66" s="269" t="inlineStr">
        <is>
          <t>Nao</t>
        </is>
      </c>
      <c r="AA66" s="269" t="inlineStr">
        <is>
          <t>NAO_COMPUTADO</t>
        </is>
      </c>
      <c r="AB66" s="270" t="inlineStr">
        <is>
          <t>Estrutura Fase 1: sem impacto no VTA oficial</t>
        </is>
      </c>
    </row>
    <row r="67" ht="25.5" customHeight="1">
      <c r="A67" s="261" t="n"/>
      <c r="B67" s="262">
        <f>IF(A67="","",IF(OR(A67&lt;MIN(parametros!$C$2:$C$6),A67&gt;MAX(parametros!$D$2:$D$6)),"Fora dos ciclos",LOOKUP(A67,parametros!$C$2:$C$6,parametros!$B$2:$B$6)))</f>
        <v/>
      </c>
      <c r="C67" s="263" t="n"/>
      <c r="D67" s="224">
        <f>IF(B67="","",IFERROR(VLOOKUP(B67,parametros!$A$11:$E$15,5,0),""))</f>
        <v/>
      </c>
      <c r="E67" s="225">
        <f>IF(OR(C67="",D67=""),"",ROUND(C67*D67,2))</f>
        <v/>
      </c>
      <c r="F67" s="264" t="n"/>
      <c r="G67" s="241">
        <f>IF(F67="Sim",IF(OR(E67="",C67=""),"",ROUND(E67-C67,2)),0)</f>
        <v/>
      </c>
      <c r="H67" s="241">
        <f>IF(F67="Nao",IF(E67="","",E67),0)</f>
        <v/>
      </c>
      <c r="I67" s="241">
        <f>IF(F67="Nao",IF(OR(E67="",C67=""),"",ROUND(E67-C67,2)),0)</f>
        <v/>
      </c>
      <c r="J67" s="244">
        <f>IF(COUNTA(A67:F67)=0,"",IF(A67="","DATA_PC vazia",IF(OR(B67="",B67="Fora dos ciclos"),"CICLO_PC nao identificado",IF(OR(C67="",C67=0),"VALOR_PC vazio ou zero",IF(AND(F67&lt;&gt;"Sim",F67&lt;&gt;"Nao"),"PC_PAGO_A_CONTRATADA invalido","OK")))))</f>
        <v/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268" t="inlineStr">
        <is>
          <t>Nao</t>
        </is>
      </c>
      <c r="V67" s="268" t="inlineStr">
        <is>
          <t>PC em analise</t>
        </is>
      </c>
      <c r="W67" s="268" t="inlineStr">
        <is>
          <t>Pedido de Compra</t>
        </is>
      </c>
      <c r="X67" s="269" t="inlineStr">
        <is>
          <t>Impacto Potencial</t>
        </is>
      </c>
      <c r="Y67" s="269" t="inlineStr">
        <is>
          <t>PC</t>
        </is>
      </c>
      <c r="Z67" s="269" t="inlineStr">
        <is>
          <t>Nao</t>
        </is>
      </c>
      <c r="AA67" s="269" t="inlineStr">
        <is>
          <t>NAO_COMPUTADO</t>
        </is>
      </c>
      <c r="AB67" s="270" t="inlineStr">
        <is>
          <t>Estrutura Fase 1: sem impacto no VTA oficial</t>
        </is>
      </c>
    </row>
    <row r="68" ht="25.5" customHeight="1">
      <c r="A68" s="261" t="n"/>
      <c r="B68" s="262">
        <f>IF(A68="","",IF(OR(A68&lt;MIN(parametros!$C$2:$C$6),A68&gt;MAX(parametros!$D$2:$D$6)),"Fora dos ciclos",LOOKUP(A68,parametros!$C$2:$C$6,parametros!$B$2:$B$6)))</f>
        <v/>
      </c>
      <c r="C68" s="263" t="n"/>
      <c r="D68" s="224">
        <f>IF(B68="","",IFERROR(VLOOKUP(B68,parametros!$A$11:$E$15,5,0),""))</f>
        <v/>
      </c>
      <c r="E68" s="225">
        <f>IF(OR(C68="",D68=""),"",ROUND(C68*D68,2))</f>
        <v/>
      </c>
      <c r="F68" s="264" t="n"/>
      <c r="G68" s="241">
        <f>IF(F68="Sim",IF(OR(E68="",C68=""),"",ROUND(E68-C68,2)),0)</f>
        <v/>
      </c>
      <c r="H68" s="241">
        <f>IF(F68="Nao",IF(E68="","",E68),0)</f>
        <v/>
      </c>
      <c r="I68" s="241">
        <f>IF(F68="Nao",IF(OR(E68="",C68=""),"",ROUND(E68-C68,2)),0)</f>
        <v/>
      </c>
      <c r="J68" s="244">
        <f>IF(COUNTA(A68:F68)=0,"",IF(A68="","DATA_PC vazia",IF(OR(B68="",B68="Fora dos ciclos"),"CICLO_PC nao identificado",IF(OR(C68="",C68=0),"VALOR_PC vazio ou zero",IF(AND(F68&lt;&gt;"Sim",F68&lt;&gt;"Nao"),"PC_PAGO_A_CONTRATADA invalido","OK")))))</f>
        <v/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268" t="inlineStr">
        <is>
          <t>Nao</t>
        </is>
      </c>
      <c r="V68" s="268" t="inlineStr">
        <is>
          <t>PC em analise</t>
        </is>
      </c>
      <c r="W68" s="268" t="inlineStr">
        <is>
          <t>Pedido de Compra</t>
        </is>
      </c>
      <c r="X68" s="269" t="inlineStr">
        <is>
          <t>Impacto Potencial</t>
        </is>
      </c>
      <c r="Y68" s="269" t="inlineStr">
        <is>
          <t>PC</t>
        </is>
      </c>
      <c r="Z68" s="269" t="inlineStr">
        <is>
          <t>Nao</t>
        </is>
      </c>
      <c r="AA68" s="269" t="inlineStr">
        <is>
          <t>NAO_COMPUTADO</t>
        </is>
      </c>
      <c r="AB68" s="270" t="inlineStr">
        <is>
          <t>Estrutura Fase 1: sem impacto no VTA oficial</t>
        </is>
      </c>
    </row>
    <row r="69" ht="25.5" customHeight="1">
      <c r="A69" s="261" t="n"/>
      <c r="B69" s="262">
        <f>IF(A69="","",IF(OR(A69&lt;MIN(parametros!$C$2:$C$6),A69&gt;MAX(parametros!$D$2:$D$6)),"Fora dos ciclos",LOOKUP(A69,parametros!$C$2:$C$6,parametros!$B$2:$B$6)))</f>
        <v/>
      </c>
      <c r="C69" s="263" t="n"/>
      <c r="D69" s="224">
        <f>IF(B69="","",IFERROR(VLOOKUP(B69,parametros!$A$11:$E$15,5,0),""))</f>
        <v/>
      </c>
      <c r="E69" s="225">
        <f>IF(OR(C69="",D69=""),"",ROUND(C69*D69,2))</f>
        <v/>
      </c>
      <c r="F69" s="264" t="n"/>
      <c r="G69" s="241">
        <f>IF(F69="Sim",IF(OR(E69="",C69=""),"",ROUND(E69-C69,2)),0)</f>
        <v/>
      </c>
      <c r="H69" s="241">
        <f>IF(F69="Nao",IF(E69="","",E69),0)</f>
        <v/>
      </c>
      <c r="I69" s="241">
        <f>IF(F69="Nao",IF(OR(E69="",C69=""),"",ROUND(E69-C69,2)),0)</f>
        <v/>
      </c>
      <c r="J69" s="244">
        <f>IF(COUNTA(A69:F69)=0,"",IF(A69="","DATA_PC vazia",IF(OR(B69="",B69="Fora dos ciclos"),"CICLO_PC nao identificado",IF(OR(C69="",C69=0),"VALOR_PC vazio ou zero",IF(AND(F69&lt;&gt;"Sim",F69&lt;&gt;"Nao"),"PC_PAGO_A_CONTRATADA invalido","OK")))))</f>
        <v/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268" t="inlineStr">
        <is>
          <t>Nao</t>
        </is>
      </c>
      <c r="V69" s="268" t="inlineStr">
        <is>
          <t>PC em analise</t>
        </is>
      </c>
      <c r="W69" s="268" t="inlineStr">
        <is>
          <t>Pedido de Compra</t>
        </is>
      </c>
      <c r="X69" s="269" t="inlineStr">
        <is>
          <t>Impacto Potencial</t>
        </is>
      </c>
      <c r="Y69" s="269" t="inlineStr">
        <is>
          <t>PC</t>
        </is>
      </c>
      <c r="Z69" s="269" t="inlineStr">
        <is>
          <t>Nao</t>
        </is>
      </c>
      <c r="AA69" s="269" t="inlineStr">
        <is>
          <t>NAO_COMPUTADO</t>
        </is>
      </c>
      <c r="AB69" s="270" t="inlineStr">
        <is>
          <t>Estrutura Fase 1: sem impacto no VTA oficial</t>
        </is>
      </c>
    </row>
    <row r="70" ht="25.5" customHeight="1">
      <c r="A70" s="261" t="n"/>
      <c r="B70" s="262">
        <f>IF(A70="","",IF(OR(A70&lt;MIN(parametros!$C$2:$C$6),A70&gt;MAX(parametros!$D$2:$D$6)),"Fora dos ciclos",LOOKUP(A70,parametros!$C$2:$C$6,parametros!$B$2:$B$6)))</f>
        <v/>
      </c>
      <c r="C70" s="263" t="n"/>
      <c r="D70" s="224">
        <f>IF(B70="","",IFERROR(VLOOKUP(B70,parametros!$A$11:$E$15,5,0),""))</f>
        <v/>
      </c>
      <c r="E70" s="225">
        <f>IF(OR(C70="",D70=""),"",ROUND(C70*D70,2))</f>
        <v/>
      </c>
      <c r="F70" s="264" t="n"/>
      <c r="G70" s="241">
        <f>IF(F70="Sim",IF(OR(E70="",C70=""),"",ROUND(E70-C70,2)),0)</f>
        <v/>
      </c>
      <c r="H70" s="241">
        <f>IF(F70="Nao",IF(E70="","",E70),0)</f>
        <v/>
      </c>
      <c r="I70" s="241">
        <f>IF(F70="Nao",IF(OR(E70="",C70=""),"",ROUND(E70-C70,2)),0)</f>
        <v/>
      </c>
      <c r="J70" s="244">
        <f>IF(COUNTA(A70:F70)=0,"",IF(A70="","DATA_PC vazia",IF(OR(B70="",B70="Fora dos ciclos"),"CICLO_PC nao identificado",IF(OR(C70="",C70=0),"VALOR_PC vazio ou zero",IF(AND(F70&lt;&gt;"Sim",F70&lt;&gt;"Nao"),"PC_PAGO_A_CONTRATADA invalido","OK")))))</f>
        <v/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268" t="inlineStr">
        <is>
          <t>Nao</t>
        </is>
      </c>
      <c r="V70" s="268" t="inlineStr">
        <is>
          <t>PC em analise</t>
        </is>
      </c>
      <c r="W70" s="268" t="inlineStr">
        <is>
          <t>Pedido de Compra</t>
        </is>
      </c>
      <c r="X70" s="269" t="inlineStr">
        <is>
          <t>Impacto Potencial</t>
        </is>
      </c>
      <c r="Y70" s="269" t="inlineStr">
        <is>
          <t>PC</t>
        </is>
      </c>
      <c r="Z70" s="269" t="inlineStr">
        <is>
          <t>Nao</t>
        </is>
      </c>
      <c r="AA70" s="269" t="inlineStr">
        <is>
          <t>NAO_COMPUTADO</t>
        </is>
      </c>
      <c r="AB70" s="270" t="inlineStr">
        <is>
          <t>Estrutura Fase 1: sem impacto no VTA oficial</t>
        </is>
      </c>
    </row>
    <row r="71" ht="25.5" customHeight="1">
      <c r="A71" s="261" t="n"/>
      <c r="B71" s="262">
        <f>IF(A71="","",IF(OR(A71&lt;MIN(parametros!$C$2:$C$6),A71&gt;MAX(parametros!$D$2:$D$6)),"Fora dos ciclos",LOOKUP(A71,parametros!$C$2:$C$6,parametros!$B$2:$B$6)))</f>
        <v/>
      </c>
      <c r="C71" s="263" t="n"/>
      <c r="D71" s="224">
        <f>IF(B71="","",IFERROR(VLOOKUP(B71,parametros!$A$11:$E$15,5,0),""))</f>
        <v/>
      </c>
      <c r="E71" s="225">
        <f>IF(OR(C71="",D71=""),"",ROUND(C71*D71,2))</f>
        <v/>
      </c>
      <c r="F71" s="264" t="n"/>
      <c r="G71" s="241">
        <f>IF(F71="Sim",IF(OR(E71="",C71=""),"",ROUND(E71-C71,2)),0)</f>
        <v/>
      </c>
      <c r="H71" s="241">
        <f>IF(F71="Nao",IF(E71="","",E71),0)</f>
        <v/>
      </c>
      <c r="I71" s="241">
        <f>IF(F71="Nao",IF(OR(E71="",C71=""),"",ROUND(E71-C71,2)),0)</f>
        <v/>
      </c>
      <c r="J71" s="244">
        <f>IF(COUNTA(A71:F71)=0,"",IF(A71="","DATA_PC vazia",IF(OR(B71="",B71="Fora dos ciclos"),"CICLO_PC nao identificado",IF(OR(C71="",C71=0),"VALOR_PC vazio ou zero",IF(AND(F71&lt;&gt;"Sim",F71&lt;&gt;"Nao"),"PC_PAGO_A_CONTRATADA invalido","OK")))))</f>
        <v/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268" t="inlineStr">
        <is>
          <t>Nao</t>
        </is>
      </c>
      <c r="V71" s="268" t="inlineStr">
        <is>
          <t>PC em analise</t>
        </is>
      </c>
      <c r="W71" s="268" t="inlineStr">
        <is>
          <t>Pedido de Compra</t>
        </is>
      </c>
      <c r="X71" s="269" t="inlineStr">
        <is>
          <t>Impacto Potencial</t>
        </is>
      </c>
      <c r="Y71" s="269" t="inlineStr">
        <is>
          <t>PC</t>
        </is>
      </c>
      <c r="Z71" s="269" t="inlineStr">
        <is>
          <t>Nao</t>
        </is>
      </c>
      <c r="AA71" s="269" t="inlineStr">
        <is>
          <t>NAO_COMPUTADO</t>
        </is>
      </c>
      <c r="AB71" s="270" t="inlineStr">
        <is>
          <t>Estrutura Fase 1: sem impacto no VTA oficial</t>
        </is>
      </c>
    </row>
    <row r="72" ht="25.5" customHeight="1">
      <c r="A72" s="261" t="n"/>
      <c r="B72" s="262">
        <f>IF(A72="","",IF(OR(A72&lt;MIN(parametros!$C$2:$C$6),A72&gt;MAX(parametros!$D$2:$D$6)),"Fora dos ciclos",LOOKUP(A72,parametros!$C$2:$C$6,parametros!$B$2:$B$6)))</f>
        <v/>
      </c>
      <c r="C72" s="263" t="n"/>
      <c r="D72" s="224">
        <f>IF(B72="","",IFERROR(VLOOKUP(B72,parametros!$A$11:$E$15,5,0),""))</f>
        <v/>
      </c>
      <c r="E72" s="225">
        <f>IF(OR(C72="",D72=""),"",ROUND(C72*D72,2))</f>
        <v/>
      </c>
      <c r="F72" s="264" t="n"/>
      <c r="G72" s="241">
        <f>IF(F72="Sim",IF(OR(E72="",C72=""),"",ROUND(E72-C72,2)),0)</f>
        <v/>
      </c>
      <c r="H72" s="241">
        <f>IF(F72="Nao",IF(E72="","",E72),0)</f>
        <v/>
      </c>
      <c r="I72" s="241">
        <f>IF(F72="Nao",IF(OR(E72="",C72=""),"",ROUND(E72-C72,2)),0)</f>
        <v/>
      </c>
      <c r="J72" s="244">
        <f>IF(COUNTA(A72:F72)=0,"",IF(A72="","DATA_PC vazia",IF(OR(B72="",B72="Fora dos ciclos"),"CICLO_PC nao identificado",IF(OR(C72="",C72=0),"VALOR_PC vazio ou zero",IF(AND(F72&lt;&gt;"Sim",F72&lt;&gt;"Nao"),"PC_PAGO_A_CONTRATADA invalido","OK")))))</f>
        <v/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268" t="inlineStr">
        <is>
          <t>Nao</t>
        </is>
      </c>
      <c r="V72" s="268" t="inlineStr">
        <is>
          <t>PC em analise</t>
        </is>
      </c>
      <c r="W72" s="268" t="inlineStr">
        <is>
          <t>Pedido de Compra</t>
        </is>
      </c>
      <c r="X72" s="269" t="inlineStr">
        <is>
          <t>Impacto Potencial</t>
        </is>
      </c>
      <c r="Y72" s="269" t="inlineStr">
        <is>
          <t>PC</t>
        </is>
      </c>
      <c r="Z72" s="269" t="inlineStr">
        <is>
          <t>Nao</t>
        </is>
      </c>
      <c r="AA72" s="269" t="inlineStr">
        <is>
          <t>NAO_COMPUTADO</t>
        </is>
      </c>
      <c r="AB72" s="270" t="inlineStr">
        <is>
          <t>Estrutura Fase 1: sem impacto no VTA oficial</t>
        </is>
      </c>
    </row>
    <row r="73" ht="25.5" customHeight="1">
      <c r="A73" s="261" t="n"/>
      <c r="B73" s="262">
        <f>IF(A73="","",IF(OR(A73&lt;MIN(parametros!$C$2:$C$6),A73&gt;MAX(parametros!$D$2:$D$6)),"Fora dos ciclos",LOOKUP(A73,parametros!$C$2:$C$6,parametros!$B$2:$B$6)))</f>
        <v/>
      </c>
      <c r="C73" s="263" t="n"/>
      <c r="D73" s="224">
        <f>IF(B73="","",IFERROR(VLOOKUP(B73,parametros!$A$11:$E$15,5,0),""))</f>
        <v/>
      </c>
      <c r="E73" s="225">
        <f>IF(OR(C73="",D73=""),"",ROUND(C73*D73,2))</f>
        <v/>
      </c>
      <c r="F73" s="264" t="n"/>
      <c r="G73" s="241">
        <f>IF(F73="Sim",IF(OR(E73="",C73=""),"",ROUND(E73-C73,2)),0)</f>
        <v/>
      </c>
      <c r="H73" s="241">
        <f>IF(F73="Nao",IF(E73="","",E73),0)</f>
        <v/>
      </c>
      <c r="I73" s="241">
        <f>IF(F73="Nao",IF(OR(E73="",C73=""),"",ROUND(E73-C73,2)),0)</f>
        <v/>
      </c>
      <c r="J73" s="244">
        <f>IF(COUNTA(A73:F73)=0,"",IF(A73="","DATA_PC vazia",IF(OR(B73="",B73="Fora dos ciclos"),"CICLO_PC nao identificado",IF(OR(C73="",C73=0),"VALOR_PC vazio ou zero",IF(AND(F73&lt;&gt;"Sim",F73&lt;&gt;"Nao"),"PC_PAGO_A_CONTRATADA invalido","OK")))))</f>
        <v/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268" t="inlineStr">
        <is>
          <t>Nao</t>
        </is>
      </c>
      <c r="V73" s="268" t="inlineStr">
        <is>
          <t>PC em analise</t>
        </is>
      </c>
      <c r="W73" s="268" t="inlineStr">
        <is>
          <t>Pedido de Compra</t>
        </is>
      </c>
      <c r="X73" s="269" t="inlineStr">
        <is>
          <t>Impacto Potencial</t>
        </is>
      </c>
      <c r="Y73" s="269" t="inlineStr">
        <is>
          <t>PC</t>
        </is>
      </c>
      <c r="Z73" s="269" t="inlineStr">
        <is>
          <t>Nao</t>
        </is>
      </c>
      <c r="AA73" s="269" t="inlineStr">
        <is>
          <t>NAO_COMPUTADO</t>
        </is>
      </c>
      <c r="AB73" s="270" t="inlineStr">
        <is>
          <t>Estrutura Fase 1: sem impacto no VTA oficial</t>
        </is>
      </c>
    </row>
    <row r="74" ht="25.5" customHeight="1">
      <c r="A74" s="261" t="n"/>
      <c r="B74" s="262">
        <f>IF(A74="","",IF(OR(A74&lt;MIN(parametros!$C$2:$C$6),A74&gt;MAX(parametros!$D$2:$D$6)),"Fora dos ciclos",LOOKUP(A74,parametros!$C$2:$C$6,parametros!$B$2:$B$6)))</f>
        <v/>
      </c>
      <c r="C74" s="263" t="n"/>
      <c r="D74" s="224">
        <f>IF(B74="","",IFERROR(VLOOKUP(B74,parametros!$A$11:$E$15,5,0),""))</f>
        <v/>
      </c>
      <c r="E74" s="225">
        <f>IF(OR(C74="",D74=""),"",ROUND(C74*D74,2))</f>
        <v/>
      </c>
      <c r="F74" s="264" t="n"/>
      <c r="G74" s="241">
        <f>IF(F74="Sim",IF(OR(E74="",C74=""),"",ROUND(E74-C74,2)),0)</f>
        <v/>
      </c>
      <c r="H74" s="241">
        <f>IF(F74="Nao",IF(E74="","",E74),0)</f>
        <v/>
      </c>
      <c r="I74" s="241">
        <f>IF(F74="Nao",IF(OR(E74="",C74=""),"",ROUND(E74-C74,2)),0)</f>
        <v/>
      </c>
      <c r="J74" s="244">
        <f>IF(COUNTA(A74:F74)=0,"",IF(A74="","DATA_PC vazia",IF(OR(B74="",B74="Fora dos ciclos"),"CICLO_PC nao identificado",IF(OR(C74="",C74=0),"VALOR_PC vazio ou zero",IF(AND(F74&lt;&gt;"Sim",F74&lt;&gt;"Nao"),"PC_PAGO_A_CONTRATADA invalido","OK")))))</f>
        <v/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268" t="inlineStr">
        <is>
          <t>Nao</t>
        </is>
      </c>
      <c r="V74" s="268" t="inlineStr">
        <is>
          <t>PC em analise</t>
        </is>
      </c>
      <c r="W74" s="268" t="inlineStr">
        <is>
          <t>Pedido de Compra</t>
        </is>
      </c>
      <c r="X74" s="269" t="inlineStr">
        <is>
          <t>Impacto Potencial</t>
        </is>
      </c>
      <c r="Y74" s="269" t="inlineStr">
        <is>
          <t>PC</t>
        </is>
      </c>
      <c r="Z74" s="269" t="inlineStr">
        <is>
          <t>Nao</t>
        </is>
      </c>
      <c r="AA74" s="269" t="inlineStr">
        <is>
          <t>NAO_COMPUTADO</t>
        </is>
      </c>
      <c r="AB74" s="270" t="inlineStr">
        <is>
          <t>Estrutura Fase 1: sem impacto no VTA oficial</t>
        </is>
      </c>
    </row>
    <row r="75" ht="25.5" customHeight="1">
      <c r="A75" s="261" t="n"/>
      <c r="B75" s="262">
        <f>IF(A75="","",IF(OR(A75&lt;MIN(parametros!$C$2:$C$6),A75&gt;MAX(parametros!$D$2:$D$6)),"Fora dos ciclos",LOOKUP(A75,parametros!$C$2:$C$6,parametros!$B$2:$B$6)))</f>
        <v/>
      </c>
      <c r="C75" s="263" t="n"/>
      <c r="D75" s="224">
        <f>IF(B75="","",IFERROR(VLOOKUP(B75,parametros!$A$11:$E$15,5,0),""))</f>
        <v/>
      </c>
      <c r="E75" s="225">
        <f>IF(OR(C75="",D75=""),"",ROUND(C75*D75,2))</f>
        <v/>
      </c>
      <c r="F75" s="264" t="n"/>
      <c r="G75" s="241">
        <f>IF(F75="Sim",IF(OR(E75="",C75=""),"",ROUND(E75-C75,2)),0)</f>
        <v/>
      </c>
      <c r="H75" s="241">
        <f>IF(F75="Nao",IF(E75="","",E75),0)</f>
        <v/>
      </c>
      <c r="I75" s="241">
        <f>IF(F75="Nao",IF(OR(E75="",C75=""),"",ROUND(E75-C75,2)),0)</f>
        <v/>
      </c>
      <c r="J75" s="244">
        <f>IF(COUNTA(A75:F75)=0,"",IF(A75="","DATA_PC vazia",IF(OR(B75="",B75="Fora dos ciclos"),"CICLO_PC nao identificado",IF(OR(C75="",C75=0),"VALOR_PC vazio ou zero",IF(AND(F75&lt;&gt;"Sim",F75&lt;&gt;"Nao"),"PC_PAGO_A_CONTRATADA invalido","OK")))))</f>
        <v/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268" t="inlineStr">
        <is>
          <t>Nao</t>
        </is>
      </c>
      <c r="V75" s="268" t="inlineStr">
        <is>
          <t>PC em analise</t>
        </is>
      </c>
      <c r="W75" s="268" t="inlineStr">
        <is>
          <t>Pedido de Compra</t>
        </is>
      </c>
      <c r="X75" s="269" t="inlineStr">
        <is>
          <t>Impacto Potencial</t>
        </is>
      </c>
      <c r="Y75" s="269" t="inlineStr">
        <is>
          <t>PC</t>
        </is>
      </c>
      <c r="Z75" s="269" t="inlineStr">
        <is>
          <t>Nao</t>
        </is>
      </c>
      <c r="AA75" s="269" t="inlineStr">
        <is>
          <t>NAO_COMPUTADO</t>
        </is>
      </c>
      <c r="AB75" s="270" t="inlineStr">
        <is>
          <t>Estrutura Fase 1: sem impacto no VTA oficial</t>
        </is>
      </c>
    </row>
    <row r="76" ht="25.5" customHeight="1">
      <c r="A76" s="261" t="n"/>
      <c r="B76" s="262">
        <f>IF(A76="","",IF(OR(A76&lt;MIN(parametros!$C$2:$C$6),A76&gt;MAX(parametros!$D$2:$D$6)),"Fora dos ciclos",LOOKUP(A76,parametros!$C$2:$C$6,parametros!$B$2:$B$6)))</f>
        <v/>
      </c>
      <c r="C76" s="263" t="n"/>
      <c r="D76" s="224">
        <f>IF(B76="","",IFERROR(VLOOKUP(B76,parametros!$A$11:$E$15,5,0),""))</f>
        <v/>
      </c>
      <c r="E76" s="225">
        <f>IF(OR(C76="",D76=""),"",ROUND(C76*D76,2))</f>
        <v/>
      </c>
      <c r="F76" s="264" t="n"/>
      <c r="G76" s="241">
        <f>IF(F76="Sim",IF(OR(E76="",C76=""),"",ROUND(E76-C76,2)),0)</f>
        <v/>
      </c>
      <c r="H76" s="241">
        <f>IF(F76="Nao",IF(E76="","",E76),0)</f>
        <v/>
      </c>
      <c r="I76" s="241">
        <f>IF(F76="Nao",IF(OR(E76="",C76=""),"",ROUND(E76-C76,2)),0)</f>
        <v/>
      </c>
      <c r="J76" s="244">
        <f>IF(COUNTA(A76:F76)=0,"",IF(A76="","DATA_PC vazia",IF(OR(B76="",B76="Fora dos ciclos"),"CICLO_PC nao identificado",IF(OR(C76="",C76=0),"VALOR_PC vazio ou zero",IF(AND(F76&lt;&gt;"Sim",F76&lt;&gt;"Nao"),"PC_PAGO_A_CONTRATADA invalido","OK")))))</f>
        <v/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268" t="inlineStr">
        <is>
          <t>Nao</t>
        </is>
      </c>
      <c r="V76" s="268" t="inlineStr">
        <is>
          <t>PC em analise</t>
        </is>
      </c>
      <c r="W76" s="268" t="inlineStr">
        <is>
          <t>Pedido de Compra</t>
        </is>
      </c>
      <c r="X76" s="269" t="inlineStr">
        <is>
          <t>Impacto Potencial</t>
        </is>
      </c>
      <c r="Y76" s="269" t="inlineStr">
        <is>
          <t>PC</t>
        </is>
      </c>
      <c r="Z76" s="269" t="inlineStr">
        <is>
          <t>Nao</t>
        </is>
      </c>
      <c r="AA76" s="269" t="inlineStr">
        <is>
          <t>NAO_COMPUTADO</t>
        </is>
      </c>
      <c r="AB76" s="270" t="inlineStr">
        <is>
          <t>Estrutura Fase 1: sem impacto no VTA oficial</t>
        </is>
      </c>
    </row>
    <row r="77" ht="25.5" customHeight="1">
      <c r="A77" s="261" t="n"/>
      <c r="B77" s="262">
        <f>IF(A77="","",IF(OR(A77&lt;MIN(parametros!$C$2:$C$6),A77&gt;MAX(parametros!$D$2:$D$6)),"Fora dos ciclos",LOOKUP(A77,parametros!$C$2:$C$6,parametros!$B$2:$B$6)))</f>
        <v/>
      </c>
      <c r="C77" s="263" t="n"/>
      <c r="D77" s="224">
        <f>IF(B77="","",IFERROR(VLOOKUP(B77,parametros!$A$11:$E$15,5,0),""))</f>
        <v/>
      </c>
      <c r="E77" s="225">
        <f>IF(OR(C77="",D77=""),"",ROUND(C77*D77,2))</f>
        <v/>
      </c>
      <c r="F77" s="264" t="n"/>
      <c r="G77" s="241">
        <f>IF(F77="Sim",IF(OR(E77="",C77=""),"",ROUND(E77-C77,2)),0)</f>
        <v/>
      </c>
      <c r="H77" s="241">
        <f>IF(F77="Nao",IF(E77="","",E77),0)</f>
        <v/>
      </c>
      <c r="I77" s="241">
        <f>IF(F77="Nao",IF(OR(E77="",C77=""),"",ROUND(E77-C77,2)),0)</f>
        <v/>
      </c>
      <c r="J77" s="244">
        <f>IF(COUNTA(A77:F77)=0,"",IF(A77="","DATA_PC vazia",IF(OR(B77="",B77="Fora dos ciclos"),"CICLO_PC nao identificado",IF(OR(C77="",C77=0),"VALOR_PC vazio ou zero",IF(AND(F77&lt;&gt;"Sim",F77&lt;&gt;"Nao"),"PC_PAGO_A_CONTRATADA invalido","OK")))))</f>
        <v/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268" t="inlineStr">
        <is>
          <t>Nao</t>
        </is>
      </c>
      <c r="V77" s="268" t="inlineStr">
        <is>
          <t>PC em analise</t>
        </is>
      </c>
      <c r="W77" s="268" t="inlineStr">
        <is>
          <t>Pedido de Compra</t>
        </is>
      </c>
      <c r="X77" s="269" t="inlineStr">
        <is>
          <t>Impacto Potencial</t>
        </is>
      </c>
      <c r="Y77" s="269" t="inlineStr">
        <is>
          <t>PC</t>
        </is>
      </c>
      <c r="Z77" s="269" t="inlineStr">
        <is>
          <t>Nao</t>
        </is>
      </c>
      <c r="AA77" s="269" t="inlineStr">
        <is>
          <t>NAO_COMPUTADO</t>
        </is>
      </c>
      <c r="AB77" s="270" t="inlineStr">
        <is>
          <t>Estrutura Fase 1: sem impacto no VTA oficial</t>
        </is>
      </c>
    </row>
    <row r="78" ht="25.5" customHeight="1">
      <c r="A78" s="261" t="n"/>
      <c r="B78" s="262">
        <f>IF(A78="","",IF(OR(A78&lt;MIN(parametros!$C$2:$C$6),A78&gt;MAX(parametros!$D$2:$D$6)),"Fora dos ciclos",LOOKUP(A78,parametros!$C$2:$C$6,parametros!$B$2:$B$6)))</f>
        <v/>
      </c>
      <c r="C78" s="263" t="n"/>
      <c r="D78" s="224">
        <f>IF(B78="","",IFERROR(VLOOKUP(B78,parametros!$A$11:$E$15,5,0),""))</f>
        <v/>
      </c>
      <c r="E78" s="225">
        <f>IF(OR(C78="",D78=""),"",ROUND(C78*D78,2))</f>
        <v/>
      </c>
      <c r="F78" s="264" t="n"/>
      <c r="G78" s="241">
        <f>IF(F78="Sim",IF(OR(E78="",C78=""),"",ROUND(E78-C78,2)),0)</f>
        <v/>
      </c>
      <c r="H78" s="241">
        <f>IF(F78="Nao",IF(E78="","",E78),0)</f>
        <v/>
      </c>
      <c r="I78" s="241">
        <f>IF(F78="Nao",IF(OR(E78="",C78=""),"",ROUND(E78-C78,2)),0)</f>
        <v/>
      </c>
      <c r="J78" s="244">
        <f>IF(COUNTA(A78:F78)=0,"",IF(A78="","DATA_PC vazia",IF(OR(B78="",B78="Fora dos ciclos"),"CICLO_PC nao identificado",IF(OR(C78="",C78=0),"VALOR_PC vazio ou zero",IF(AND(F78&lt;&gt;"Sim",F78&lt;&gt;"Nao"),"PC_PAGO_A_CONTRATADA invalido","OK")))))</f>
        <v/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268" t="inlineStr">
        <is>
          <t>Nao</t>
        </is>
      </c>
      <c r="V78" s="268" t="inlineStr">
        <is>
          <t>PC em analise</t>
        </is>
      </c>
      <c r="W78" s="268" t="inlineStr">
        <is>
          <t>Pedido de Compra</t>
        </is>
      </c>
      <c r="X78" s="269" t="inlineStr">
        <is>
          <t>Impacto Potencial</t>
        </is>
      </c>
      <c r="Y78" s="269" t="inlineStr">
        <is>
          <t>PC</t>
        </is>
      </c>
      <c r="Z78" s="269" t="inlineStr">
        <is>
          <t>Nao</t>
        </is>
      </c>
      <c r="AA78" s="269" t="inlineStr">
        <is>
          <t>NAO_COMPUTADO</t>
        </is>
      </c>
      <c r="AB78" s="270" t="inlineStr">
        <is>
          <t>Estrutura Fase 1: sem impacto no VTA oficial</t>
        </is>
      </c>
    </row>
    <row r="79" ht="25.5" customHeight="1">
      <c r="A79" s="261" t="n"/>
      <c r="B79" s="262">
        <f>IF(A79="","",IF(OR(A79&lt;MIN(parametros!$C$2:$C$6),A79&gt;MAX(parametros!$D$2:$D$6)),"Fora dos ciclos",LOOKUP(A79,parametros!$C$2:$C$6,parametros!$B$2:$B$6)))</f>
        <v/>
      </c>
      <c r="C79" s="263" t="n"/>
      <c r="D79" s="224">
        <f>IF(B79="","",IFERROR(VLOOKUP(B79,parametros!$A$11:$E$15,5,0),""))</f>
        <v/>
      </c>
      <c r="E79" s="225">
        <f>IF(OR(C79="",D79=""),"",ROUND(C79*D79,2))</f>
        <v/>
      </c>
      <c r="F79" s="264" t="n"/>
      <c r="G79" s="241">
        <f>IF(F79="Sim",IF(OR(E79="",C79=""),"",ROUND(E79-C79,2)),0)</f>
        <v/>
      </c>
      <c r="H79" s="241">
        <f>IF(F79="Nao",IF(E79="","",E79),0)</f>
        <v/>
      </c>
      <c r="I79" s="241">
        <f>IF(F79="Nao",IF(OR(E79="",C79=""),"",ROUND(E79-C79,2)),0)</f>
        <v/>
      </c>
      <c r="J79" s="244">
        <f>IF(COUNTA(A79:F79)=0,"",IF(A79="","DATA_PC vazia",IF(OR(B79="",B79="Fora dos ciclos"),"CICLO_PC nao identificado",IF(OR(C79="",C79=0),"VALOR_PC vazio ou zero",IF(AND(F79&lt;&gt;"Sim",F79&lt;&gt;"Nao"),"PC_PAGO_A_CONTRATADA invalido","OK")))))</f>
        <v/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268" t="inlineStr">
        <is>
          <t>Nao</t>
        </is>
      </c>
      <c r="V79" s="268" t="inlineStr">
        <is>
          <t>PC em analise</t>
        </is>
      </c>
      <c r="W79" s="268" t="inlineStr">
        <is>
          <t>Pedido de Compra</t>
        </is>
      </c>
      <c r="X79" s="269" t="inlineStr">
        <is>
          <t>Impacto Potencial</t>
        </is>
      </c>
      <c r="Y79" s="269" t="inlineStr">
        <is>
          <t>PC</t>
        </is>
      </c>
      <c r="Z79" s="269" t="inlineStr">
        <is>
          <t>Nao</t>
        </is>
      </c>
      <c r="AA79" s="269" t="inlineStr">
        <is>
          <t>NAO_COMPUTADO</t>
        </is>
      </c>
      <c r="AB79" s="270" t="inlineStr">
        <is>
          <t>Estrutura Fase 1: sem impacto no VTA oficial</t>
        </is>
      </c>
    </row>
    <row r="80" ht="25.5" customHeight="1">
      <c r="A80" s="261" t="n"/>
      <c r="B80" s="262">
        <f>IF(A80="","",IF(OR(A80&lt;MIN(parametros!$C$2:$C$6),A80&gt;MAX(parametros!$D$2:$D$6)),"Fora dos ciclos",LOOKUP(A80,parametros!$C$2:$C$6,parametros!$B$2:$B$6)))</f>
        <v/>
      </c>
      <c r="C80" s="263" t="n"/>
      <c r="D80" s="224">
        <f>IF(B80="","",IFERROR(VLOOKUP(B80,parametros!$A$11:$E$15,5,0),""))</f>
        <v/>
      </c>
      <c r="E80" s="225">
        <f>IF(OR(C80="",D80=""),"",ROUND(C80*D80,2))</f>
        <v/>
      </c>
      <c r="F80" s="264" t="n"/>
      <c r="G80" s="241">
        <f>IF(F80="Sim",IF(OR(E80="",C80=""),"",ROUND(E80-C80,2)),0)</f>
        <v/>
      </c>
      <c r="H80" s="241">
        <f>IF(F80="Nao",IF(E80="","",E80),0)</f>
        <v/>
      </c>
      <c r="I80" s="241">
        <f>IF(F80="Nao",IF(OR(E80="",C80=""),"",ROUND(E80-C80,2)),0)</f>
        <v/>
      </c>
      <c r="J80" s="244">
        <f>IF(COUNTA(A80:F80)=0,"",IF(A80="","DATA_PC vazia",IF(OR(B80="",B80="Fora dos ciclos"),"CICLO_PC nao identificado",IF(OR(C80="",C80=0),"VALOR_PC vazio ou zero",IF(AND(F80&lt;&gt;"Sim",F80&lt;&gt;"Nao"),"PC_PAGO_A_CONTRATADA invalido","OK")))))</f>
        <v/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268" t="inlineStr">
        <is>
          <t>Nao</t>
        </is>
      </c>
      <c r="V80" s="268" t="inlineStr">
        <is>
          <t>PC em analise</t>
        </is>
      </c>
      <c r="W80" s="268" t="inlineStr">
        <is>
          <t>Pedido de Compra</t>
        </is>
      </c>
      <c r="X80" s="269" t="inlineStr">
        <is>
          <t>Impacto Potencial</t>
        </is>
      </c>
      <c r="Y80" s="269" t="inlineStr">
        <is>
          <t>PC</t>
        </is>
      </c>
      <c r="Z80" s="269" t="inlineStr">
        <is>
          <t>Nao</t>
        </is>
      </c>
      <c r="AA80" s="269" t="inlineStr">
        <is>
          <t>NAO_COMPUTADO</t>
        </is>
      </c>
      <c r="AB80" s="270" t="inlineStr">
        <is>
          <t>Estrutura Fase 1: sem impacto no VTA oficial</t>
        </is>
      </c>
    </row>
    <row r="81" ht="25.5" customHeight="1">
      <c r="A81" s="261" t="n"/>
      <c r="B81" s="262">
        <f>IF(A81="","",IF(OR(A81&lt;MIN(parametros!$C$2:$C$6),A81&gt;MAX(parametros!$D$2:$D$6)),"Fora dos ciclos",LOOKUP(A81,parametros!$C$2:$C$6,parametros!$B$2:$B$6)))</f>
        <v/>
      </c>
      <c r="C81" s="263" t="n"/>
      <c r="D81" s="224">
        <f>IF(B81="","",IFERROR(VLOOKUP(B81,parametros!$A$11:$E$15,5,0),""))</f>
        <v/>
      </c>
      <c r="E81" s="225">
        <f>IF(OR(C81="",D81=""),"",ROUND(C81*D81,2))</f>
        <v/>
      </c>
      <c r="F81" s="264" t="n"/>
      <c r="G81" s="241">
        <f>IF(F81="Sim",IF(OR(E81="",C81=""),"",ROUND(E81-C81,2)),0)</f>
        <v/>
      </c>
      <c r="H81" s="241">
        <f>IF(F81="Nao",IF(E81="","",E81),0)</f>
        <v/>
      </c>
      <c r="I81" s="241">
        <f>IF(F81="Nao",IF(OR(E81="",C81=""),"",ROUND(E81-C81,2)),0)</f>
        <v/>
      </c>
      <c r="J81" s="244">
        <f>IF(COUNTA(A81:F81)=0,"",IF(A81="","DATA_PC vazia",IF(OR(B81="",B81="Fora dos ciclos"),"CICLO_PC nao identificado",IF(OR(C81="",C81=0),"VALOR_PC vazio ou zero",IF(AND(F81&lt;&gt;"Sim",F81&lt;&gt;"Nao"),"PC_PAGO_A_CONTRATADA invalido","OK")))))</f>
        <v/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268" t="inlineStr">
        <is>
          <t>Nao</t>
        </is>
      </c>
      <c r="V81" s="268" t="inlineStr">
        <is>
          <t>PC em analise</t>
        </is>
      </c>
      <c r="W81" s="268" t="inlineStr">
        <is>
          <t>Pedido de Compra</t>
        </is>
      </c>
      <c r="X81" s="269" t="inlineStr">
        <is>
          <t>Impacto Potencial</t>
        </is>
      </c>
      <c r="Y81" s="269" t="inlineStr">
        <is>
          <t>PC</t>
        </is>
      </c>
      <c r="Z81" s="269" t="inlineStr">
        <is>
          <t>Nao</t>
        </is>
      </c>
      <c r="AA81" s="269" t="inlineStr">
        <is>
          <t>NAO_COMPUTADO</t>
        </is>
      </c>
      <c r="AB81" s="270" t="inlineStr">
        <is>
          <t>Estrutura Fase 1: sem impacto no VTA oficial</t>
        </is>
      </c>
    </row>
    <row r="82" ht="25.5" customHeight="1">
      <c r="A82" s="261" t="n"/>
      <c r="B82" s="262">
        <f>IF(A82="","",IF(OR(A82&lt;MIN(parametros!$C$2:$C$6),A82&gt;MAX(parametros!$D$2:$D$6)),"Fora dos ciclos",LOOKUP(A82,parametros!$C$2:$C$6,parametros!$B$2:$B$6)))</f>
        <v/>
      </c>
      <c r="C82" s="263" t="n"/>
      <c r="D82" s="224">
        <f>IF(B82="","",IFERROR(VLOOKUP(B82,parametros!$A$11:$E$15,5,0),""))</f>
        <v/>
      </c>
      <c r="E82" s="225">
        <f>IF(OR(C82="",D82=""),"",ROUND(C82*D82,2))</f>
        <v/>
      </c>
      <c r="F82" s="264" t="n"/>
      <c r="G82" s="241">
        <f>IF(F82="Sim",IF(OR(E82="",C82=""),"",ROUND(E82-C82,2)),0)</f>
        <v/>
      </c>
      <c r="H82" s="241">
        <f>IF(F82="Nao",IF(E82="","",E82),0)</f>
        <v/>
      </c>
      <c r="I82" s="241">
        <f>IF(F82="Nao",IF(OR(E82="",C82=""),"",ROUND(E82-C82,2)),0)</f>
        <v/>
      </c>
      <c r="J82" s="244">
        <f>IF(COUNTA(A82:F82)=0,"",IF(A82="","DATA_PC vazia",IF(OR(B82="",B82="Fora dos ciclos"),"CICLO_PC nao identificado",IF(OR(C82="",C82=0),"VALOR_PC vazio ou zero",IF(AND(F82&lt;&gt;"Sim",F82&lt;&gt;"Nao"),"PC_PAGO_A_CONTRATADA invalido","OK")))))</f>
        <v/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268" t="inlineStr">
        <is>
          <t>Nao</t>
        </is>
      </c>
      <c r="V82" s="268" t="inlineStr">
        <is>
          <t>PC em analise</t>
        </is>
      </c>
      <c r="W82" s="268" t="inlineStr">
        <is>
          <t>Pedido de Compra</t>
        </is>
      </c>
      <c r="X82" s="269" t="inlineStr">
        <is>
          <t>Impacto Potencial</t>
        </is>
      </c>
      <c r="Y82" s="269" t="inlineStr">
        <is>
          <t>PC</t>
        </is>
      </c>
      <c r="Z82" s="269" t="inlineStr">
        <is>
          <t>Nao</t>
        </is>
      </c>
      <c r="AA82" s="269" t="inlineStr">
        <is>
          <t>NAO_COMPUTADO</t>
        </is>
      </c>
      <c r="AB82" s="270" t="inlineStr">
        <is>
          <t>Estrutura Fase 1: sem impacto no VTA oficial</t>
        </is>
      </c>
    </row>
    <row r="83" ht="25.5" customHeight="1">
      <c r="A83" s="261" t="n"/>
      <c r="B83" s="262">
        <f>IF(A83="","",IF(OR(A83&lt;MIN(parametros!$C$2:$C$6),A83&gt;MAX(parametros!$D$2:$D$6)),"Fora dos ciclos",LOOKUP(A83,parametros!$C$2:$C$6,parametros!$B$2:$B$6)))</f>
        <v/>
      </c>
      <c r="C83" s="263" t="n"/>
      <c r="D83" s="224">
        <f>IF(B83="","",IFERROR(VLOOKUP(B83,parametros!$A$11:$E$15,5,0),""))</f>
        <v/>
      </c>
      <c r="E83" s="225">
        <f>IF(OR(C83="",D83=""),"",ROUND(C83*D83,2))</f>
        <v/>
      </c>
      <c r="F83" s="264" t="n"/>
      <c r="G83" s="241">
        <f>IF(F83="Sim",IF(OR(E83="",C83=""),"",ROUND(E83-C83,2)),0)</f>
        <v/>
      </c>
      <c r="H83" s="241">
        <f>IF(F83="Nao",IF(E83="","",E83),0)</f>
        <v/>
      </c>
      <c r="I83" s="241">
        <f>IF(F83="Nao",IF(OR(E83="",C83=""),"",ROUND(E83-C83,2)),0)</f>
        <v/>
      </c>
      <c r="J83" s="244">
        <f>IF(COUNTA(A83:F83)=0,"",IF(A83="","DATA_PC vazia",IF(OR(B83="",B83="Fora dos ciclos"),"CICLO_PC nao identificado",IF(OR(C83="",C83=0),"VALOR_PC vazio ou zero",IF(AND(F83&lt;&gt;"Sim",F83&lt;&gt;"Nao"),"PC_PAGO_A_CONTRATADA invalido","OK")))))</f>
        <v/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268" t="inlineStr">
        <is>
          <t>Nao</t>
        </is>
      </c>
      <c r="V83" s="268" t="inlineStr">
        <is>
          <t>PC em analise</t>
        </is>
      </c>
      <c r="W83" s="268" t="inlineStr">
        <is>
          <t>Pedido de Compra</t>
        </is>
      </c>
      <c r="X83" s="269" t="inlineStr">
        <is>
          <t>Impacto Potencial</t>
        </is>
      </c>
      <c r="Y83" s="269" t="inlineStr">
        <is>
          <t>PC</t>
        </is>
      </c>
      <c r="Z83" s="269" t="inlineStr">
        <is>
          <t>Nao</t>
        </is>
      </c>
      <c r="AA83" s="269" t="inlineStr">
        <is>
          <t>NAO_COMPUTADO</t>
        </is>
      </c>
      <c r="AB83" s="270" t="inlineStr">
        <is>
          <t>Estrutura Fase 1: sem impacto no VTA oficial</t>
        </is>
      </c>
    </row>
    <row r="84" ht="25.5" customHeight="1">
      <c r="A84" s="261" t="n"/>
      <c r="B84" s="262">
        <f>IF(A84="","",IF(OR(A84&lt;MIN(parametros!$C$2:$C$6),A84&gt;MAX(parametros!$D$2:$D$6)),"Fora dos ciclos",LOOKUP(A84,parametros!$C$2:$C$6,parametros!$B$2:$B$6)))</f>
        <v/>
      </c>
      <c r="C84" s="263" t="n"/>
      <c r="D84" s="224">
        <f>IF(B84="","",IFERROR(VLOOKUP(B84,parametros!$A$11:$E$15,5,0),""))</f>
        <v/>
      </c>
      <c r="E84" s="225">
        <f>IF(OR(C84="",D84=""),"",ROUND(C84*D84,2))</f>
        <v/>
      </c>
      <c r="F84" s="264" t="n"/>
      <c r="G84" s="241">
        <f>IF(F84="Sim",IF(OR(E84="",C84=""),"",ROUND(E84-C84,2)),0)</f>
        <v/>
      </c>
      <c r="H84" s="241">
        <f>IF(F84="Nao",IF(E84="","",E84),0)</f>
        <v/>
      </c>
      <c r="I84" s="241">
        <f>IF(F84="Nao",IF(OR(E84="",C84=""),"",ROUND(E84-C84,2)),0)</f>
        <v/>
      </c>
      <c r="J84" s="244">
        <f>IF(COUNTA(A84:F84)=0,"",IF(A84="","DATA_PC vazia",IF(OR(B84="",B84="Fora dos ciclos"),"CICLO_PC nao identificado",IF(OR(C84="",C84=0),"VALOR_PC vazio ou zero",IF(AND(F84&lt;&gt;"Sim",F84&lt;&gt;"Nao"),"PC_PAGO_A_CONTRATADA invalido","OK")))))</f>
        <v/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268" t="inlineStr">
        <is>
          <t>Nao</t>
        </is>
      </c>
      <c r="V84" s="268" t="inlineStr">
        <is>
          <t>PC em analise</t>
        </is>
      </c>
      <c r="W84" s="268" t="inlineStr">
        <is>
          <t>Pedido de Compra</t>
        </is>
      </c>
      <c r="X84" s="269" t="inlineStr">
        <is>
          <t>Impacto Potencial</t>
        </is>
      </c>
      <c r="Y84" s="269" t="inlineStr">
        <is>
          <t>PC</t>
        </is>
      </c>
      <c r="Z84" s="269" t="inlineStr">
        <is>
          <t>Nao</t>
        </is>
      </c>
      <c r="AA84" s="269" t="inlineStr">
        <is>
          <t>NAO_COMPUTADO</t>
        </is>
      </c>
      <c r="AB84" s="270" t="inlineStr">
        <is>
          <t>Estrutura Fase 1: sem impacto no VTA oficial</t>
        </is>
      </c>
    </row>
    <row r="85" ht="25.5" customHeight="1">
      <c r="A85" s="261" t="n"/>
      <c r="B85" s="262">
        <f>IF(A85="","",IF(OR(A85&lt;MIN(parametros!$C$2:$C$6),A85&gt;MAX(parametros!$D$2:$D$6)),"Fora dos ciclos",LOOKUP(A85,parametros!$C$2:$C$6,parametros!$B$2:$B$6)))</f>
        <v/>
      </c>
      <c r="C85" s="263" t="n"/>
      <c r="D85" s="224">
        <f>IF(B85="","",IFERROR(VLOOKUP(B85,parametros!$A$11:$E$15,5,0),""))</f>
        <v/>
      </c>
      <c r="E85" s="225">
        <f>IF(OR(C85="",D85=""),"",ROUND(C85*D85,2))</f>
        <v/>
      </c>
      <c r="F85" s="264" t="n"/>
      <c r="G85" s="241">
        <f>IF(F85="Sim",IF(OR(E85="",C85=""),"",ROUND(E85-C85,2)),0)</f>
        <v/>
      </c>
      <c r="H85" s="241">
        <f>IF(F85="Nao",IF(E85="","",E85),0)</f>
        <v/>
      </c>
      <c r="I85" s="241">
        <f>IF(F85="Nao",IF(OR(E85="",C85=""),"",ROUND(E85-C85,2)),0)</f>
        <v/>
      </c>
      <c r="J85" s="244">
        <f>IF(COUNTA(A85:F85)=0,"",IF(A85="","DATA_PC vazia",IF(OR(B85="",B85="Fora dos ciclos"),"CICLO_PC nao identificado",IF(OR(C85="",C85=0),"VALOR_PC vazio ou zero",IF(AND(F85&lt;&gt;"Sim",F85&lt;&gt;"Nao"),"PC_PAGO_A_CONTRATADA invalido","OK")))))</f>
        <v/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268" t="inlineStr">
        <is>
          <t>Nao</t>
        </is>
      </c>
      <c r="V85" s="268" t="inlineStr">
        <is>
          <t>PC em analise</t>
        </is>
      </c>
      <c r="W85" s="268" t="inlineStr">
        <is>
          <t>Pedido de Compra</t>
        </is>
      </c>
      <c r="X85" s="269" t="inlineStr">
        <is>
          <t>Impacto Potencial</t>
        </is>
      </c>
      <c r="Y85" s="269" t="inlineStr">
        <is>
          <t>PC</t>
        </is>
      </c>
      <c r="Z85" s="269" t="inlineStr">
        <is>
          <t>Nao</t>
        </is>
      </c>
      <c r="AA85" s="269" t="inlineStr">
        <is>
          <t>NAO_COMPUTADO</t>
        </is>
      </c>
      <c r="AB85" s="270" t="inlineStr">
        <is>
          <t>Estrutura Fase 1: sem impacto no VTA oficial</t>
        </is>
      </c>
    </row>
    <row r="86" ht="25.5" customHeight="1">
      <c r="A86" s="261" t="n"/>
      <c r="B86" s="262">
        <f>IF(A86="","",IF(OR(A86&lt;MIN(parametros!$C$2:$C$6),A86&gt;MAX(parametros!$D$2:$D$6)),"Fora dos ciclos",LOOKUP(A86,parametros!$C$2:$C$6,parametros!$B$2:$B$6)))</f>
        <v/>
      </c>
      <c r="C86" s="263" t="n"/>
      <c r="D86" s="224">
        <f>IF(B86="","",IFERROR(VLOOKUP(B86,parametros!$A$11:$E$15,5,0),""))</f>
        <v/>
      </c>
      <c r="E86" s="225">
        <f>IF(OR(C86="",D86=""),"",ROUND(C86*D86,2))</f>
        <v/>
      </c>
      <c r="F86" s="264" t="n"/>
      <c r="G86" s="241">
        <f>IF(F86="Sim",IF(OR(E86="",C86=""),"",ROUND(E86-C86,2)),0)</f>
        <v/>
      </c>
      <c r="H86" s="241">
        <f>IF(F86="Nao",IF(E86="","",E86),0)</f>
        <v/>
      </c>
      <c r="I86" s="241">
        <f>IF(F86="Nao",IF(OR(E86="",C86=""),"",ROUND(E86-C86,2)),0)</f>
        <v/>
      </c>
      <c r="J86" s="244">
        <f>IF(COUNTA(A86:F86)=0,"",IF(A86="","DATA_PC vazia",IF(OR(B86="",B86="Fora dos ciclos"),"CICLO_PC nao identificado",IF(OR(C86="",C86=0),"VALOR_PC vazio ou zero",IF(AND(F86&lt;&gt;"Sim",F86&lt;&gt;"Nao"),"PC_PAGO_A_CONTRATADA invalido","OK")))))</f>
        <v/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268" t="inlineStr">
        <is>
          <t>Nao</t>
        </is>
      </c>
      <c r="V86" s="268" t="inlineStr">
        <is>
          <t>PC em analise</t>
        </is>
      </c>
      <c r="W86" s="268" t="inlineStr">
        <is>
          <t>Pedido de Compra</t>
        </is>
      </c>
      <c r="X86" s="269" t="inlineStr">
        <is>
          <t>Impacto Potencial</t>
        </is>
      </c>
      <c r="Y86" s="269" t="inlineStr">
        <is>
          <t>PC</t>
        </is>
      </c>
      <c r="Z86" s="269" t="inlineStr">
        <is>
          <t>Nao</t>
        </is>
      </c>
      <c r="AA86" s="269" t="inlineStr">
        <is>
          <t>NAO_COMPUTADO</t>
        </is>
      </c>
      <c r="AB86" s="270" t="inlineStr">
        <is>
          <t>Estrutura Fase 1: sem impacto no VTA oficial</t>
        </is>
      </c>
    </row>
    <row r="87" ht="25.5" customHeight="1">
      <c r="A87" s="261" t="n"/>
      <c r="B87" s="262">
        <f>IF(A87="","",IF(OR(A87&lt;MIN(parametros!$C$2:$C$6),A87&gt;MAX(parametros!$D$2:$D$6)),"Fora dos ciclos",LOOKUP(A87,parametros!$C$2:$C$6,parametros!$B$2:$B$6)))</f>
        <v/>
      </c>
      <c r="C87" s="263" t="n"/>
      <c r="D87" s="224">
        <f>IF(B87="","",IFERROR(VLOOKUP(B87,parametros!$A$11:$E$15,5,0),""))</f>
        <v/>
      </c>
      <c r="E87" s="225">
        <f>IF(OR(C87="",D87=""),"",ROUND(C87*D87,2))</f>
        <v/>
      </c>
      <c r="F87" s="264" t="n"/>
      <c r="G87" s="241">
        <f>IF(F87="Sim",IF(OR(E87="",C87=""),"",ROUND(E87-C87,2)),0)</f>
        <v/>
      </c>
      <c r="H87" s="241">
        <f>IF(F87="Nao",IF(E87="","",E87),0)</f>
        <v/>
      </c>
      <c r="I87" s="241">
        <f>IF(F87="Nao",IF(OR(E87="",C87=""),"",ROUND(E87-C87,2)),0)</f>
        <v/>
      </c>
      <c r="J87" s="244">
        <f>IF(COUNTA(A87:F87)=0,"",IF(A87="","DATA_PC vazia",IF(OR(B87="",B87="Fora dos ciclos"),"CICLO_PC nao identificado",IF(OR(C87="",C87=0),"VALOR_PC vazio ou zero",IF(AND(F87&lt;&gt;"Sim",F87&lt;&gt;"Nao"),"PC_PAGO_A_CONTRATADA invalido","OK")))))</f>
        <v/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268" t="inlineStr">
        <is>
          <t>Nao</t>
        </is>
      </c>
      <c r="V87" s="268" t="inlineStr">
        <is>
          <t>PC em analise</t>
        </is>
      </c>
      <c r="W87" s="268" t="inlineStr">
        <is>
          <t>Pedido de Compra</t>
        </is>
      </c>
      <c r="X87" s="269" t="inlineStr">
        <is>
          <t>Impacto Potencial</t>
        </is>
      </c>
      <c r="Y87" s="269" t="inlineStr">
        <is>
          <t>PC</t>
        </is>
      </c>
      <c r="Z87" s="269" t="inlineStr">
        <is>
          <t>Nao</t>
        </is>
      </c>
      <c r="AA87" s="269" t="inlineStr">
        <is>
          <t>NAO_COMPUTADO</t>
        </is>
      </c>
      <c r="AB87" s="270" t="inlineStr">
        <is>
          <t>Estrutura Fase 1: sem impacto no VTA oficial</t>
        </is>
      </c>
    </row>
    <row r="88" ht="25.5" customHeight="1">
      <c r="A88" s="261" t="n"/>
      <c r="B88" s="262">
        <f>IF(A88="","",IF(OR(A88&lt;MIN(parametros!$C$2:$C$6),A88&gt;MAX(parametros!$D$2:$D$6)),"Fora dos ciclos",LOOKUP(A88,parametros!$C$2:$C$6,parametros!$B$2:$B$6)))</f>
        <v/>
      </c>
      <c r="C88" s="263" t="n"/>
      <c r="D88" s="224">
        <f>IF(B88="","",IFERROR(VLOOKUP(B88,parametros!$A$11:$E$15,5,0),""))</f>
        <v/>
      </c>
      <c r="E88" s="225">
        <f>IF(OR(C88="",D88=""),"",ROUND(C88*D88,2))</f>
        <v/>
      </c>
      <c r="F88" s="264" t="n"/>
      <c r="G88" s="241">
        <f>IF(F88="Sim",IF(OR(E88="",C88=""),"",ROUND(E88-C88,2)),0)</f>
        <v/>
      </c>
      <c r="H88" s="241">
        <f>IF(F88="Nao",IF(E88="","",E88),0)</f>
        <v/>
      </c>
      <c r="I88" s="241">
        <f>IF(F88="Nao",IF(OR(E88="",C88=""),"",ROUND(E88-C88,2)),0)</f>
        <v/>
      </c>
      <c r="J88" s="244">
        <f>IF(COUNTA(A88:F88)=0,"",IF(A88="","DATA_PC vazia",IF(OR(B88="",B88="Fora dos ciclos"),"CICLO_PC nao identificado",IF(OR(C88="",C88=0),"VALOR_PC vazio ou zero",IF(AND(F88&lt;&gt;"Sim",F88&lt;&gt;"Nao"),"PC_PAGO_A_CONTRATADA invalido","OK")))))</f>
        <v/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268" t="inlineStr">
        <is>
          <t>Nao</t>
        </is>
      </c>
      <c r="V88" s="268" t="inlineStr">
        <is>
          <t>PC em analise</t>
        </is>
      </c>
      <c r="W88" s="268" t="inlineStr">
        <is>
          <t>Pedido de Compra</t>
        </is>
      </c>
      <c r="X88" s="269" t="inlineStr">
        <is>
          <t>Impacto Potencial</t>
        </is>
      </c>
      <c r="Y88" s="269" t="inlineStr">
        <is>
          <t>PC</t>
        </is>
      </c>
      <c r="Z88" s="269" t="inlineStr">
        <is>
          <t>Nao</t>
        </is>
      </c>
      <c r="AA88" s="269" t="inlineStr">
        <is>
          <t>NAO_COMPUTADO</t>
        </is>
      </c>
      <c r="AB88" s="270" t="inlineStr">
        <is>
          <t>Estrutura Fase 1: sem impacto no VTA oficial</t>
        </is>
      </c>
    </row>
    <row r="89" ht="25.5" customHeight="1">
      <c r="A89" s="261" t="n"/>
      <c r="B89" s="262">
        <f>IF(A89="","",IF(OR(A89&lt;MIN(parametros!$C$2:$C$6),A89&gt;MAX(parametros!$D$2:$D$6)),"Fora dos ciclos",LOOKUP(A89,parametros!$C$2:$C$6,parametros!$B$2:$B$6)))</f>
        <v/>
      </c>
      <c r="C89" s="263" t="n"/>
      <c r="D89" s="224">
        <f>IF(B89="","",IFERROR(VLOOKUP(B89,parametros!$A$11:$E$15,5,0),""))</f>
        <v/>
      </c>
      <c r="E89" s="225">
        <f>IF(OR(C89="",D89=""),"",ROUND(C89*D89,2))</f>
        <v/>
      </c>
      <c r="F89" s="264" t="n"/>
      <c r="G89" s="241">
        <f>IF(F89="Sim",IF(OR(E89="",C89=""),"",ROUND(E89-C89,2)),0)</f>
        <v/>
      </c>
      <c r="H89" s="241">
        <f>IF(F89="Nao",IF(E89="","",E89),0)</f>
        <v/>
      </c>
      <c r="I89" s="241">
        <f>IF(F89="Nao",IF(OR(E89="",C89=""),"",ROUND(E89-C89,2)),0)</f>
        <v/>
      </c>
      <c r="J89" s="244">
        <f>IF(COUNTA(A89:F89)=0,"",IF(A89="","DATA_PC vazia",IF(OR(B89="",B89="Fora dos ciclos"),"CICLO_PC nao identificado",IF(OR(C89="",C89=0),"VALOR_PC vazio ou zero",IF(AND(F89&lt;&gt;"Sim",F89&lt;&gt;"Nao"),"PC_PAGO_A_CONTRATADA invalido","OK")))))</f>
        <v/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268" t="inlineStr">
        <is>
          <t>Nao</t>
        </is>
      </c>
      <c r="V89" s="268" t="inlineStr">
        <is>
          <t>PC em analise</t>
        </is>
      </c>
      <c r="W89" s="268" t="inlineStr">
        <is>
          <t>Pedido de Compra</t>
        </is>
      </c>
      <c r="X89" s="269" t="inlineStr">
        <is>
          <t>Impacto Potencial</t>
        </is>
      </c>
      <c r="Y89" s="269" t="inlineStr">
        <is>
          <t>PC</t>
        </is>
      </c>
      <c r="Z89" s="269" t="inlineStr">
        <is>
          <t>Nao</t>
        </is>
      </c>
      <c r="AA89" s="269" t="inlineStr">
        <is>
          <t>NAO_COMPUTADO</t>
        </is>
      </c>
      <c r="AB89" s="270" t="inlineStr">
        <is>
          <t>Estrutura Fase 1: sem impacto no VTA oficial</t>
        </is>
      </c>
    </row>
    <row r="90" ht="25.5" customHeight="1">
      <c r="A90" s="261" t="n"/>
      <c r="B90" s="262">
        <f>IF(A90="","",IF(OR(A90&lt;MIN(parametros!$C$2:$C$6),A90&gt;MAX(parametros!$D$2:$D$6)),"Fora dos ciclos",LOOKUP(A90,parametros!$C$2:$C$6,parametros!$B$2:$B$6)))</f>
        <v/>
      </c>
      <c r="C90" s="263" t="n"/>
      <c r="D90" s="224">
        <f>IF(B90="","",IFERROR(VLOOKUP(B90,parametros!$A$11:$E$15,5,0),""))</f>
        <v/>
      </c>
      <c r="E90" s="225">
        <f>IF(OR(C90="",D90=""),"",ROUND(C90*D90,2))</f>
        <v/>
      </c>
      <c r="F90" s="264" t="n"/>
      <c r="G90" s="241">
        <f>IF(F90="Sim",IF(OR(E90="",C90=""),"",ROUND(E90-C90,2)),0)</f>
        <v/>
      </c>
      <c r="H90" s="241">
        <f>IF(F90="Nao",IF(E90="","",E90),0)</f>
        <v/>
      </c>
      <c r="I90" s="241">
        <f>IF(F90="Nao",IF(OR(E90="",C90=""),"",ROUND(E90-C90,2)),0)</f>
        <v/>
      </c>
      <c r="J90" s="244">
        <f>IF(COUNTA(A90:F90)=0,"",IF(A90="","DATA_PC vazia",IF(OR(B90="",B90="Fora dos ciclos"),"CICLO_PC nao identificado",IF(OR(C90="",C90=0),"VALOR_PC vazio ou zero",IF(AND(F90&lt;&gt;"Sim",F90&lt;&gt;"Nao"),"PC_PAGO_A_CONTRATADA invalido","OK")))))</f>
        <v/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268" t="inlineStr">
        <is>
          <t>Nao</t>
        </is>
      </c>
      <c r="V90" s="268" t="inlineStr">
        <is>
          <t>PC em analise</t>
        </is>
      </c>
      <c r="W90" s="268" t="inlineStr">
        <is>
          <t>Pedido de Compra</t>
        </is>
      </c>
      <c r="X90" s="269" t="inlineStr">
        <is>
          <t>Impacto Potencial</t>
        </is>
      </c>
      <c r="Y90" s="269" t="inlineStr">
        <is>
          <t>PC</t>
        </is>
      </c>
      <c r="Z90" s="269" t="inlineStr">
        <is>
          <t>Nao</t>
        </is>
      </c>
      <c r="AA90" s="269" t="inlineStr">
        <is>
          <t>NAO_COMPUTADO</t>
        </is>
      </c>
      <c r="AB90" s="270" t="inlineStr">
        <is>
          <t>Estrutura Fase 1: sem impacto no VTA oficial</t>
        </is>
      </c>
    </row>
    <row r="91" ht="25.5" customHeight="1">
      <c r="A91" s="261" t="n"/>
      <c r="B91" s="262">
        <f>IF(A91="","",IF(OR(A91&lt;MIN(parametros!$C$2:$C$6),A91&gt;MAX(parametros!$D$2:$D$6)),"Fora dos ciclos",LOOKUP(A91,parametros!$C$2:$C$6,parametros!$B$2:$B$6)))</f>
        <v/>
      </c>
      <c r="C91" s="263" t="n"/>
      <c r="D91" s="224">
        <f>IF(B91="","",IFERROR(VLOOKUP(B91,parametros!$A$11:$E$15,5,0),""))</f>
        <v/>
      </c>
      <c r="E91" s="225">
        <f>IF(OR(C91="",D91=""),"",ROUND(C91*D91,2))</f>
        <v/>
      </c>
      <c r="F91" s="264" t="n"/>
      <c r="G91" s="241">
        <f>IF(F91="Sim",IF(OR(E91="",C91=""),"",ROUND(E91-C91,2)),0)</f>
        <v/>
      </c>
      <c r="H91" s="241">
        <f>IF(F91="Nao",IF(E91="","",E91),0)</f>
        <v/>
      </c>
      <c r="I91" s="241">
        <f>IF(F91="Nao",IF(OR(E91="",C91=""),"",ROUND(E91-C91,2)),0)</f>
        <v/>
      </c>
      <c r="J91" s="244">
        <f>IF(COUNTA(A91:F91)=0,"",IF(A91="","DATA_PC vazia",IF(OR(B91="",B91="Fora dos ciclos"),"CICLO_PC nao identificado",IF(OR(C91="",C91=0),"VALOR_PC vazio ou zero",IF(AND(F91&lt;&gt;"Sim",F91&lt;&gt;"Nao"),"PC_PAGO_A_CONTRATADA invalido","OK")))))</f>
        <v/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68" t="inlineStr">
        <is>
          <t>Nao</t>
        </is>
      </c>
      <c r="V91" s="268" t="inlineStr">
        <is>
          <t>PC em analise</t>
        </is>
      </c>
      <c r="W91" s="268" t="inlineStr">
        <is>
          <t>Pedido de Compra</t>
        </is>
      </c>
      <c r="X91" s="269" t="inlineStr">
        <is>
          <t>Impacto Potencial</t>
        </is>
      </c>
      <c r="Y91" s="269" t="inlineStr">
        <is>
          <t>PC</t>
        </is>
      </c>
      <c r="Z91" s="269" t="inlineStr">
        <is>
          <t>Nao</t>
        </is>
      </c>
      <c r="AA91" s="269" t="inlineStr">
        <is>
          <t>NAO_COMPUTADO</t>
        </is>
      </c>
      <c r="AB91" s="270" t="inlineStr">
        <is>
          <t>Estrutura Fase 1: sem impacto no VTA oficial</t>
        </is>
      </c>
    </row>
    <row r="92" ht="25.5" customHeight="1">
      <c r="A92" s="261" t="n"/>
      <c r="B92" s="262">
        <f>IF(A92="","",IF(OR(A92&lt;MIN(parametros!$C$2:$C$6),A92&gt;MAX(parametros!$D$2:$D$6)),"Fora dos ciclos",LOOKUP(A92,parametros!$C$2:$C$6,parametros!$B$2:$B$6)))</f>
        <v/>
      </c>
      <c r="C92" s="263" t="n"/>
      <c r="D92" s="224">
        <f>IF(B92="","",IFERROR(VLOOKUP(B92,parametros!$A$11:$E$15,5,0),""))</f>
        <v/>
      </c>
      <c r="E92" s="225">
        <f>IF(OR(C92="",D92=""),"",ROUND(C92*D92,2))</f>
        <v/>
      </c>
      <c r="F92" s="264" t="n"/>
      <c r="G92" s="241">
        <f>IF(F92="Sim",IF(OR(E92="",C92=""),"",ROUND(E92-C92,2)),0)</f>
        <v/>
      </c>
      <c r="H92" s="241">
        <f>IF(F92="Nao",IF(E92="","",E92),0)</f>
        <v/>
      </c>
      <c r="I92" s="241">
        <f>IF(F92="Nao",IF(OR(E92="",C92=""),"",ROUND(E92-C92,2)),0)</f>
        <v/>
      </c>
      <c r="J92" s="244">
        <f>IF(COUNTA(A92:F92)=0,"",IF(A92="","DATA_PC vazia",IF(OR(B92="",B92="Fora dos ciclos"),"CICLO_PC nao identificado",IF(OR(C92="",C92=0),"VALOR_PC vazio ou zero",IF(AND(F92&lt;&gt;"Sim",F92&lt;&gt;"Nao"),"PC_PAGO_A_CONTRATADA invalido","OK")))))</f>
        <v/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68" t="inlineStr">
        <is>
          <t>Nao</t>
        </is>
      </c>
      <c r="V92" s="268" t="inlineStr">
        <is>
          <t>PC em analise</t>
        </is>
      </c>
      <c r="W92" s="268" t="inlineStr">
        <is>
          <t>Pedido de Compra</t>
        </is>
      </c>
      <c r="X92" s="269" t="inlineStr">
        <is>
          <t>Impacto Potencial</t>
        </is>
      </c>
      <c r="Y92" s="269" t="inlineStr">
        <is>
          <t>PC</t>
        </is>
      </c>
      <c r="Z92" s="269" t="inlineStr">
        <is>
          <t>Nao</t>
        </is>
      </c>
      <c r="AA92" s="269" t="inlineStr">
        <is>
          <t>NAO_COMPUTADO</t>
        </is>
      </c>
      <c r="AB92" s="270" t="inlineStr">
        <is>
          <t>Estrutura Fase 1: sem impacto no VTA oficial</t>
        </is>
      </c>
    </row>
    <row r="93" ht="25.5" customHeight="1">
      <c r="A93" s="261" t="n"/>
      <c r="B93" s="262">
        <f>IF(A93="","",IF(OR(A93&lt;MIN(parametros!$C$2:$C$6),A93&gt;MAX(parametros!$D$2:$D$6)),"Fora dos ciclos",LOOKUP(A93,parametros!$C$2:$C$6,parametros!$B$2:$B$6)))</f>
        <v/>
      </c>
      <c r="C93" s="263" t="n"/>
      <c r="D93" s="224">
        <f>IF(B93="","",IFERROR(VLOOKUP(B93,parametros!$A$11:$E$15,5,0),""))</f>
        <v/>
      </c>
      <c r="E93" s="225">
        <f>IF(OR(C93="",D93=""),"",ROUND(C93*D93,2))</f>
        <v/>
      </c>
      <c r="F93" s="264" t="n"/>
      <c r="G93" s="241">
        <f>IF(F93="Sim",IF(OR(E93="",C93=""),"",ROUND(E93-C93,2)),0)</f>
        <v/>
      </c>
      <c r="H93" s="241">
        <f>IF(F93="Nao",IF(E93="","",E93),0)</f>
        <v/>
      </c>
      <c r="I93" s="241">
        <f>IF(F93="Nao",IF(OR(E93="",C93=""),"",ROUND(E93-C93,2)),0)</f>
        <v/>
      </c>
      <c r="J93" s="244">
        <f>IF(COUNTA(A93:F93)=0,"",IF(A93="","DATA_PC vazia",IF(OR(B93="",B93="Fora dos ciclos"),"CICLO_PC nao identificado",IF(OR(C93="",C93=0),"VALOR_PC vazio ou zero",IF(AND(F93&lt;&gt;"Sim",F93&lt;&gt;"Nao"),"PC_PAGO_A_CONTRATADA invalido","OK")))))</f>
        <v/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68" t="inlineStr">
        <is>
          <t>Nao</t>
        </is>
      </c>
      <c r="V93" s="268" t="inlineStr">
        <is>
          <t>PC em analise</t>
        </is>
      </c>
      <c r="W93" s="268" t="inlineStr">
        <is>
          <t>Pedido de Compra</t>
        </is>
      </c>
      <c r="X93" s="269" t="inlineStr">
        <is>
          <t>Impacto Potencial</t>
        </is>
      </c>
      <c r="Y93" s="269" t="inlineStr">
        <is>
          <t>PC</t>
        </is>
      </c>
      <c r="Z93" s="269" t="inlineStr">
        <is>
          <t>Nao</t>
        </is>
      </c>
      <c r="AA93" s="269" t="inlineStr">
        <is>
          <t>NAO_COMPUTADO</t>
        </is>
      </c>
      <c r="AB93" s="270" t="inlineStr">
        <is>
          <t>Estrutura Fase 1: sem impacto no VTA oficial</t>
        </is>
      </c>
    </row>
    <row r="94" ht="25.5" customHeight="1">
      <c r="A94" s="261" t="n"/>
      <c r="B94" s="262">
        <f>IF(A94="","",IF(OR(A94&lt;MIN(parametros!$C$2:$C$6),A94&gt;MAX(parametros!$D$2:$D$6)),"Fora dos ciclos",LOOKUP(A94,parametros!$C$2:$C$6,parametros!$B$2:$B$6)))</f>
        <v/>
      </c>
      <c r="C94" s="263" t="n"/>
      <c r="D94" s="224">
        <f>IF(B94="","",IFERROR(VLOOKUP(B94,parametros!$A$11:$E$15,5,0),""))</f>
        <v/>
      </c>
      <c r="E94" s="225">
        <f>IF(OR(C94="",D94=""),"",ROUND(C94*D94,2))</f>
        <v/>
      </c>
      <c r="F94" s="264" t="n"/>
      <c r="G94" s="241">
        <f>IF(F94="Sim",IF(OR(E94="",C94=""),"",ROUND(E94-C94,2)),0)</f>
        <v/>
      </c>
      <c r="H94" s="241">
        <f>IF(F94="Nao",IF(E94="","",E94),0)</f>
        <v/>
      </c>
      <c r="I94" s="241">
        <f>IF(F94="Nao",IF(OR(E94="",C94=""),"",ROUND(E94-C94,2)),0)</f>
        <v/>
      </c>
      <c r="J94" s="244">
        <f>IF(COUNTA(A94:F94)=0,"",IF(A94="","DATA_PC vazia",IF(OR(B94="",B94="Fora dos ciclos"),"CICLO_PC nao identificado",IF(OR(C94="",C94=0),"VALOR_PC vazio ou zero",IF(AND(F94&lt;&gt;"Sim",F94&lt;&gt;"Nao"),"PC_PAGO_A_CONTRATADA invalido","OK")))))</f>
        <v/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68" t="inlineStr">
        <is>
          <t>Nao</t>
        </is>
      </c>
      <c r="V94" s="268" t="inlineStr">
        <is>
          <t>PC em analise</t>
        </is>
      </c>
      <c r="W94" s="268" t="inlineStr">
        <is>
          <t>Pedido de Compra</t>
        </is>
      </c>
      <c r="X94" s="269" t="inlineStr">
        <is>
          <t>Impacto Potencial</t>
        </is>
      </c>
      <c r="Y94" s="269" t="inlineStr">
        <is>
          <t>PC</t>
        </is>
      </c>
      <c r="Z94" s="269" t="inlineStr">
        <is>
          <t>Nao</t>
        </is>
      </c>
      <c r="AA94" s="269" t="inlineStr">
        <is>
          <t>NAO_COMPUTADO</t>
        </is>
      </c>
      <c r="AB94" s="270" t="inlineStr">
        <is>
          <t>Estrutura Fase 1: sem impacto no VTA oficial</t>
        </is>
      </c>
    </row>
    <row r="95" ht="25.5" customHeight="1">
      <c r="A95" s="261" t="n"/>
      <c r="B95" s="262">
        <f>IF(A95="","",IF(OR(A95&lt;MIN(parametros!$C$2:$C$6),A95&gt;MAX(parametros!$D$2:$D$6)),"Fora dos ciclos",LOOKUP(A95,parametros!$C$2:$C$6,parametros!$B$2:$B$6)))</f>
        <v/>
      </c>
      <c r="C95" s="263" t="n"/>
      <c r="D95" s="224">
        <f>IF(B95="","",IFERROR(VLOOKUP(B95,parametros!$A$11:$E$15,5,0),""))</f>
        <v/>
      </c>
      <c r="E95" s="225">
        <f>IF(OR(C95="",D95=""),"",ROUND(C95*D95,2))</f>
        <v/>
      </c>
      <c r="F95" s="264" t="n"/>
      <c r="G95" s="241">
        <f>IF(F95="Sim",IF(OR(E95="",C95=""),"",ROUND(E95-C95,2)),0)</f>
        <v/>
      </c>
      <c r="H95" s="241">
        <f>IF(F95="Nao",IF(E95="","",E95),0)</f>
        <v/>
      </c>
      <c r="I95" s="241">
        <f>IF(F95="Nao",IF(OR(E95="",C95=""),"",ROUND(E95-C95,2)),0)</f>
        <v/>
      </c>
      <c r="J95" s="244">
        <f>IF(COUNTA(A95:F95)=0,"",IF(A95="","DATA_PC vazia",IF(OR(B95="",B95="Fora dos ciclos"),"CICLO_PC nao identificado",IF(OR(C95="",C95=0),"VALOR_PC vazio ou zero",IF(AND(F95&lt;&gt;"Sim",F95&lt;&gt;"Nao"),"PC_PAGO_A_CONTRATADA invalido","OK")))))</f>
        <v/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68" t="inlineStr">
        <is>
          <t>Nao</t>
        </is>
      </c>
      <c r="V95" s="268" t="inlineStr">
        <is>
          <t>PC em analise</t>
        </is>
      </c>
      <c r="W95" s="268" t="inlineStr">
        <is>
          <t>Pedido de Compra</t>
        </is>
      </c>
      <c r="X95" s="269" t="inlineStr">
        <is>
          <t>Impacto Potencial</t>
        </is>
      </c>
      <c r="Y95" s="269" t="inlineStr">
        <is>
          <t>PC</t>
        </is>
      </c>
      <c r="Z95" s="269" t="inlineStr">
        <is>
          <t>Nao</t>
        </is>
      </c>
      <c r="AA95" s="269" t="inlineStr">
        <is>
          <t>NAO_COMPUTADO</t>
        </is>
      </c>
      <c r="AB95" s="270" t="inlineStr">
        <is>
          <t>Estrutura Fase 1: sem impacto no VTA oficial</t>
        </is>
      </c>
    </row>
    <row r="96" ht="25.5" customHeight="1">
      <c r="A96" s="261" t="n"/>
      <c r="B96" s="262">
        <f>IF(A96="","",IF(OR(A96&lt;MIN(parametros!$C$2:$C$6),A96&gt;MAX(parametros!$D$2:$D$6)),"Fora dos ciclos",LOOKUP(A96,parametros!$C$2:$C$6,parametros!$B$2:$B$6)))</f>
        <v/>
      </c>
      <c r="C96" s="263" t="n"/>
      <c r="D96" s="224">
        <f>IF(B96="","",IFERROR(VLOOKUP(B96,parametros!$A$11:$E$15,5,0),""))</f>
        <v/>
      </c>
      <c r="E96" s="225">
        <f>IF(OR(C96="",D96=""),"",ROUND(C96*D96,2))</f>
        <v/>
      </c>
      <c r="F96" s="264" t="n"/>
      <c r="G96" s="241">
        <f>IF(F96="Sim",IF(OR(E96="",C96=""),"",ROUND(E96-C96,2)),0)</f>
        <v/>
      </c>
      <c r="H96" s="241">
        <f>IF(F96="Nao",IF(E96="","",E96),0)</f>
        <v/>
      </c>
      <c r="I96" s="241">
        <f>IF(F96="Nao",IF(OR(E96="",C96=""),"",ROUND(E96-C96,2)),0)</f>
        <v/>
      </c>
      <c r="J96" s="244">
        <f>IF(COUNTA(A96:F96)=0,"",IF(A96="","DATA_PC vazia",IF(OR(B96="",B96="Fora dos ciclos"),"CICLO_PC nao identificado",IF(OR(C96="",C96=0),"VALOR_PC vazio ou zero",IF(AND(F96&lt;&gt;"Sim",F96&lt;&gt;"Nao"),"PC_PAGO_A_CONTRATADA invalido","OK")))))</f>
        <v/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268" t="inlineStr">
        <is>
          <t>Nao</t>
        </is>
      </c>
      <c r="V96" s="268" t="inlineStr">
        <is>
          <t>PC em analise</t>
        </is>
      </c>
      <c r="W96" s="268" t="inlineStr">
        <is>
          <t>Pedido de Compra</t>
        </is>
      </c>
      <c r="X96" s="269" t="inlineStr">
        <is>
          <t>Impacto Potencial</t>
        </is>
      </c>
      <c r="Y96" s="269" t="inlineStr">
        <is>
          <t>PC</t>
        </is>
      </c>
      <c r="Z96" s="269" t="inlineStr">
        <is>
          <t>Nao</t>
        </is>
      </c>
      <c r="AA96" s="269" t="inlineStr">
        <is>
          <t>NAO_COMPUTADO</t>
        </is>
      </c>
      <c r="AB96" s="270" t="inlineStr">
        <is>
          <t>Estrutura Fase 1: sem impacto no VTA oficial</t>
        </is>
      </c>
    </row>
    <row r="97" ht="25.5" customHeight="1">
      <c r="A97" s="261" t="n"/>
      <c r="B97" s="262">
        <f>IF(A97="","",IF(OR(A97&lt;MIN(parametros!$C$2:$C$6),A97&gt;MAX(parametros!$D$2:$D$6)),"Fora dos ciclos",LOOKUP(A97,parametros!$C$2:$C$6,parametros!$B$2:$B$6)))</f>
        <v/>
      </c>
      <c r="C97" s="263" t="n"/>
      <c r="D97" s="224">
        <f>IF(B97="","",IFERROR(VLOOKUP(B97,parametros!$A$11:$E$15,5,0),""))</f>
        <v/>
      </c>
      <c r="E97" s="225">
        <f>IF(OR(C97="",D97=""),"",ROUND(C97*D97,2))</f>
        <v/>
      </c>
      <c r="F97" s="264" t="n"/>
      <c r="G97" s="241">
        <f>IF(F97="Sim",IF(OR(E97="",C97=""),"",ROUND(E97-C97,2)),0)</f>
        <v/>
      </c>
      <c r="H97" s="241">
        <f>IF(F97="Nao",IF(E97="","",E97),0)</f>
        <v/>
      </c>
      <c r="I97" s="241">
        <f>IF(F97="Nao",IF(OR(E97="",C97=""),"",ROUND(E97-C97,2)),0)</f>
        <v/>
      </c>
      <c r="J97" s="244">
        <f>IF(COUNTA(A97:F97)=0,"",IF(A97="","DATA_PC vazia",IF(OR(B97="",B97="Fora dos ciclos"),"CICLO_PC nao identificado",IF(OR(C97="",C97=0),"VALOR_PC vazio ou zero",IF(AND(F97&lt;&gt;"Sim",F97&lt;&gt;"Nao"),"PC_PAGO_A_CONTRATADA invalido","OK")))))</f>
        <v/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268" t="inlineStr">
        <is>
          <t>Nao</t>
        </is>
      </c>
      <c r="V97" s="268" t="inlineStr">
        <is>
          <t>PC em analise</t>
        </is>
      </c>
      <c r="W97" s="268" t="inlineStr">
        <is>
          <t>Pedido de Compra</t>
        </is>
      </c>
      <c r="X97" s="269" t="inlineStr">
        <is>
          <t>Impacto Potencial</t>
        </is>
      </c>
      <c r="Y97" s="269" t="inlineStr">
        <is>
          <t>PC</t>
        </is>
      </c>
      <c r="Z97" s="269" t="inlineStr">
        <is>
          <t>Nao</t>
        </is>
      </c>
      <c r="AA97" s="269" t="inlineStr">
        <is>
          <t>NAO_COMPUTADO</t>
        </is>
      </c>
      <c r="AB97" s="270" t="inlineStr">
        <is>
          <t>Estrutura Fase 1: sem impacto no VTA oficial</t>
        </is>
      </c>
    </row>
    <row r="98" ht="25.5" customHeight="1">
      <c r="A98" s="261" t="n"/>
      <c r="B98" s="262">
        <f>IF(A98="","",IF(OR(A98&lt;MIN(parametros!$C$2:$C$6),A98&gt;MAX(parametros!$D$2:$D$6)),"Fora dos ciclos",LOOKUP(A98,parametros!$C$2:$C$6,parametros!$B$2:$B$6)))</f>
        <v/>
      </c>
      <c r="C98" s="263" t="n"/>
      <c r="D98" s="224">
        <f>IF(B98="","",IFERROR(VLOOKUP(B98,parametros!$A$11:$E$15,5,0),""))</f>
        <v/>
      </c>
      <c r="E98" s="225">
        <f>IF(OR(C98="",D98=""),"",ROUND(C98*D98,2))</f>
        <v/>
      </c>
      <c r="F98" s="264" t="n"/>
      <c r="G98" s="241">
        <f>IF(F98="Sim",IF(OR(E98="",C98=""),"",ROUND(E98-C98,2)),0)</f>
        <v/>
      </c>
      <c r="H98" s="241">
        <f>IF(F98="Nao",IF(E98="","",E98),0)</f>
        <v/>
      </c>
      <c r="I98" s="241">
        <f>IF(F98="Nao",IF(OR(E98="",C98=""),"",ROUND(E98-C98,2)),0)</f>
        <v/>
      </c>
      <c r="J98" s="244">
        <f>IF(COUNTA(A98:F98)=0,"",IF(A98="","DATA_PC vazia",IF(OR(B98="",B98="Fora dos ciclos"),"CICLO_PC nao identificado",IF(OR(C98="",C98=0),"VALOR_PC vazio ou zero",IF(AND(F98&lt;&gt;"Sim",F98&lt;&gt;"Nao"),"PC_PAGO_A_CONTRATADA invalido","OK")))))</f>
        <v/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268" t="inlineStr">
        <is>
          <t>Nao</t>
        </is>
      </c>
      <c r="V98" s="268" t="inlineStr">
        <is>
          <t>PC em analise</t>
        </is>
      </c>
      <c r="W98" s="268" t="inlineStr">
        <is>
          <t>Pedido de Compra</t>
        </is>
      </c>
      <c r="X98" s="269" t="inlineStr">
        <is>
          <t>Impacto Potencial</t>
        </is>
      </c>
      <c r="Y98" s="269" t="inlineStr">
        <is>
          <t>PC</t>
        </is>
      </c>
      <c r="Z98" s="269" t="inlineStr">
        <is>
          <t>Nao</t>
        </is>
      </c>
      <c r="AA98" s="269" t="inlineStr">
        <is>
          <t>NAO_COMPUTADO</t>
        </is>
      </c>
      <c r="AB98" s="270" t="inlineStr">
        <is>
          <t>Estrutura Fase 1: sem impacto no VTA oficial</t>
        </is>
      </c>
    </row>
    <row r="99" ht="25.5" customHeight="1">
      <c r="A99" s="261" t="n"/>
      <c r="B99" s="262">
        <f>IF(A99="","",IF(OR(A99&lt;MIN(parametros!$C$2:$C$6),A99&gt;MAX(parametros!$D$2:$D$6)),"Fora dos ciclos",LOOKUP(A99,parametros!$C$2:$C$6,parametros!$B$2:$B$6)))</f>
        <v/>
      </c>
      <c r="C99" s="263" t="n"/>
      <c r="D99" s="224">
        <f>IF(B99="","",IFERROR(VLOOKUP(B99,parametros!$A$11:$E$15,5,0),""))</f>
        <v/>
      </c>
      <c r="E99" s="225">
        <f>IF(OR(C99="",D99=""),"",ROUND(C99*D99,2))</f>
        <v/>
      </c>
      <c r="F99" s="264" t="n"/>
      <c r="G99" s="241">
        <f>IF(F99="Sim",IF(OR(E99="",C99=""),"",ROUND(E99-C99,2)),0)</f>
        <v/>
      </c>
      <c r="H99" s="241">
        <f>IF(F99="Nao",IF(E99="","",E99),0)</f>
        <v/>
      </c>
      <c r="I99" s="241">
        <f>IF(F99="Nao",IF(OR(E99="",C99=""),"",ROUND(E99-C99,2)),0)</f>
        <v/>
      </c>
      <c r="J99" s="244">
        <f>IF(COUNTA(A99:F99)=0,"",IF(A99="","DATA_PC vazia",IF(OR(B99="",B99="Fora dos ciclos"),"CICLO_PC nao identificado",IF(OR(C99="",C99=0),"VALOR_PC vazio ou zero",IF(AND(F99&lt;&gt;"Sim",F99&lt;&gt;"Nao"),"PC_PAGO_A_CONTRATADA invalido","OK")))))</f>
        <v/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268" t="inlineStr">
        <is>
          <t>Nao</t>
        </is>
      </c>
      <c r="V99" s="268" t="inlineStr">
        <is>
          <t>PC em analise</t>
        </is>
      </c>
      <c r="W99" s="268" t="inlineStr">
        <is>
          <t>Pedido de Compra</t>
        </is>
      </c>
      <c r="X99" s="269" t="inlineStr">
        <is>
          <t>Impacto Potencial</t>
        </is>
      </c>
      <c r="Y99" s="269" t="inlineStr">
        <is>
          <t>PC</t>
        </is>
      </c>
      <c r="Z99" s="269" t="inlineStr">
        <is>
          <t>Nao</t>
        </is>
      </c>
      <c r="AA99" s="269" t="inlineStr">
        <is>
          <t>NAO_COMPUTADO</t>
        </is>
      </c>
      <c r="AB99" s="270" t="inlineStr">
        <is>
          <t>Estrutura Fase 1: sem impacto no VTA oficial</t>
        </is>
      </c>
    </row>
    <row r="100" ht="25.5" customHeight="1">
      <c r="A100" s="261" t="n"/>
      <c r="B100" s="262">
        <f>IF(A100="","",IF(OR(A100&lt;MIN(parametros!$C$2:$C$6),A100&gt;MAX(parametros!$D$2:$D$6)),"Fora dos ciclos",LOOKUP(A100,parametros!$C$2:$C$6,parametros!$B$2:$B$6)))</f>
        <v/>
      </c>
      <c r="C100" s="263" t="n"/>
      <c r="D100" s="224">
        <f>IF(B100="","",IFERROR(VLOOKUP(B100,parametros!$A$11:$E$15,5,0),""))</f>
        <v/>
      </c>
      <c r="E100" s="225">
        <f>IF(OR(C100="",D100=""),"",ROUND(C100*D100,2))</f>
        <v/>
      </c>
      <c r="F100" s="264" t="n"/>
      <c r="G100" s="241">
        <f>IF(F100="Sim",IF(OR(E100="",C100=""),"",ROUND(E100-C100,2)),0)</f>
        <v/>
      </c>
      <c r="H100" s="241">
        <f>IF(F100="Nao",IF(E100="","",E100),0)</f>
        <v/>
      </c>
      <c r="I100" s="241">
        <f>IF(F100="Nao",IF(OR(E100="",C100=""),"",ROUND(E100-C100,2)),0)</f>
        <v/>
      </c>
      <c r="J100" s="244">
        <f>IF(COUNTA(A100:F100)=0,"",IF(A100="","DATA_PC vazia",IF(OR(B100="",B100="Fora dos ciclos"),"CICLO_PC nao identificado",IF(OR(C100="",C100=0),"VALOR_PC vazio ou zero",IF(AND(F100&lt;&gt;"Sim",F100&lt;&gt;"Nao"),"PC_PAGO_A_CONTRATADA invalido","OK")))))</f>
        <v/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68" t="inlineStr">
        <is>
          <t>Nao</t>
        </is>
      </c>
      <c r="V100" s="268" t="inlineStr">
        <is>
          <t>PC em analise</t>
        </is>
      </c>
      <c r="W100" s="268" t="inlineStr">
        <is>
          <t>Pedido de Compra</t>
        </is>
      </c>
      <c r="X100" s="269" t="inlineStr">
        <is>
          <t>Impacto Potencial</t>
        </is>
      </c>
      <c r="Y100" s="269" t="inlineStr">
        <is>
          <t>PC</t>
        </is>
      </c>
      <c r="Z100" s="269" t="inlineStr">
        <is>
          <t>Nao</t>
        </is>
      </c>
      <c r="AA100" s="269" t="inlineStr">
        <is>
          <t>NAO_COMPUTADO</t>
        </is>
      </c>
      <c r="AB100" s="270" t="inlineStr">
        <is>
          <t>Estrutura Fase 1: sem impacto no VTA oficial</t>
        </is>
      </c>
    </row>
    <row r="101">
      <c r="A101" s="56" t="n"/>
      <c r="B101" s="57" t="n"/>
      <c r="C101" s="272" t="n"/>
      <c r="D101" s="273" t="n"/>
      <c r="E101" s="274" t="n"/>
      <c r="F101" s="61" t="n"/>
      <c r="G101" s="275" t="n"/>
      <c r="H101" s="275" t="n"/>
      <c r="I101" s="275" t="n"/>
      <c r="J101" s="62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36" t="n"/>
      <c r="U101" s="36" t="n"/>
      <c r="V101" s="36" t="n"/>
      <c r="W101" s="36" t="n"/>
      <c r="X101" s="36" t="n"/>
      <c r="Y101" s="36" t="n"/>
      <c r="Z101" s="36" t="n"/>
      <c r="AA101" s="36" t="n"/>
      <c r="AB101" s="36" t="n"/>
    </row>
    <row r="102">
      <c r="A102" s="48" t="n"/>
      <c r="B102" s="49" t="n"/>
      <c r="C102" s="17" t="n"/>
      <c r="D102" s="49" t="n"/>
      <c r="E102" s="49" t="n"/>
      <c r="F102" s="17" t="n"/>
      <c r="G102" s="17" t="n"/>
      <c r="H102" s="49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36" t="n"/>
      <c r="U102" s="36" t="n"/>
      <c r="V102" s="36" t="n"/>
      <c r="W102" s="36" t="n"/>
      <c r="X102" s="36" t="n"/>
      <c r="Y102" s="36" t="n"/>
      <c r="Z102" s="36" t="n"/>
      <c r="AA102" s="36" t="n"/>
      <c r="AB102" s="36" t="n"/>
    </row>
    <row r="103">
      <c r="A103" s="48" t="n"/>
      <c r="B103" s="49" t="n"/>
      <c r="C103" s="17" t="n"/>
      <c r="D103" s="49" t="n"/>
      <c r="E103" s="49" t="n"/>
      <c r="F103" s="17" t="n"/>
      <c r="G103" s="17" t="n"/>
      <c r="H103" s="49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36" t="n"/>
      <c r="U103" s="36" t="n"/>
      <c r="V103" s="36" t="n"/>
      <c r="W103" s="36" t="n"/>
      <c r="X103" s="36" t="n"/>
      <c r="Y103" s="36" t="n"/>
      <c r="Z103" s="36" t="n"/>
      <c r="AA103" s="36" t="n"/>
      <c r="AB103" s="36" t="n"/>
    </row>
    <row r="104">
      <c r="A104" s="48" t="n"/>
      <c r="B104" s="49" t="n"/>
      <c r="C104" s="17" t="n"/>
      <c r="D104" s="49" t="n"/>
      <c r="E104" s="49" t="n"/>
      <c r="F104" s="17" t="n"/>
      <c r="G104" s="17" t="n"/>
      <c r="H104" s="49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36" t="n"/>
      <c r="U104" s="36" t="n"/>
      <c r="V104" s="36" t="n"/>
      <c r="W104" s="36" t="n"/>
      <c r="X104" s="36" t="n"/>
      <c r="Y104" s="36" t="n"/>
      <c r="Z104" s="36" t="n"/>
      <c r="AA104" s="36" t="n"/>
      <c r="AB104" s="36" t="n"/>
    </row>
    <row r="105">
      <c r="A105" s="48" t="n"/>
      <c r="B105" s="49" t="n"/>
      <c r="C105" s="17" t="n"/>
      <c r="D105" s="49" t="n"/>
      <c r="E105" s="49" t="n"/>
      <c r="F105" s="17" t="n"/>
      <c r="G105" s="17" t="n"/>
      <c r="H105" s="49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36" t="n"/>
      <c r="U105" s="36" t="n"/>
      <c r="V105" s="36" t="n"/>
      <c r="W105" s="36" t="n"/>
      <c r="X105" s="36" t="n"/>
      <c r="Y105" s="36" t="n"/>
      <c r="Z105" s="36" t="n"/>
      <c r="AA105" s="36" t="n"/>
      <c r="AB105" s="36" t="n"/>
    </row>
    <row r="106">
      <c r="A106" s="48" t="n"/>
      <c r="B106" s="49" t="n"/>
      <c r="C106" s="17" t="n"/>
      <c r="D106" s="49" t="n"/>
      <c r="E106" s="49" t="n"/>
      <c r="F106" s="17" t="n"/>
      <c r="G106" s="17" t="n"/>
      <c r="H106" s="49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36" t="n"/>
      <c r="U106" s="36" t="n"/>
      <c r="V106" s="36" t="n"/>
      <c r="W106" s="36" t="n"/>
      <c r="X106" s="36" t="n"/>
      <c r="Y106" s="36" t="n"/>
      <c r="Z106" s="36" t="n"/>
      <c r="AA106" s="36" t="n"/>
      <c r="AB106" s="36" t="n"/>
    </row>
    <row r="107">
      <c r="A107" s="48" t="n"/>
      <c r="B107" s="49" t="n"/>
      <c r="C107" s="17" t="n"/>
      <c r="D107" s="49" t="n"/>
      <c r="E107" s="49" t="n"/>
      <c r="F107" s="17" t="n"/>
      <c r="G107" s="17" t="n"/>
      <c r="H107" s="49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36" t="n"/>
      <c r="U107" s="36" t="n"/>
      <c r="V107" s="36" t="n"/>
      <c r="W107" s="36" t="n"/>
      <c r="X107" s="36" t="n"/>
      <c r="Y107" s="36" t="n"/>
      <c r="Z107" s="36" t="n"/>
      <c r="AA107" s="36" t="n"/>
      <c r="AB107" s="36" t="n"/>
    </row>
    <row r="108">
      <c r="A108" s="48" t="n"/>
      <c r="B108" s="49" t="n"/>
      <c r="C108" s="17" t="n"/>
      <c r="D108" s="49" t="n"/>
      <c r="E108" s="49" t="n"/>
      <c r="F108" s="17" t="n"/>
      <c r="G108" s="17" t="n"/>
      <c r="H108" s="49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36" t="n"/>
      <c r="U108" s="36" t="n"/>
      <c r="V108" s="36" t="n"/>
      <c r="W108" s="36" t="n"/>
      <c r="X108" s="36" t="n"/>
      <c r="Y108" s="36" t="n"/>
      <c r="Z108" s="36" t="n"/>
      <c r="AA108" s="36" t="n"/>
      <c r="AB108" s="36" t="n"/>
    </row>
    <row r="109">
      <c r="A109" s="48" t="n"/>
      <c r="B109" s="49" t="n"/>
      <c r="C109" s="17" t="n"/>
      <c r="D109" s="49" t="n"/>
      <c r="E109" s="49" t="n"/>
      <c r="F109" s="17" t="n"/>
      <c r="G109" s="17" t="n"/>
      <c r="H109" s="49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</row>
    <row r="110">
      <c r="A110" s="48" t="n"/>
      <c r="B110" s="49" t="n"/>
      <c r="C110" s="17" t="n"/>
      <c r="D110" s="49" t="n"/>
      <c r="E110" s="49" t="n"/>
      <c r="F110" s="17" t="n"/>
      <c r="G110" s="17" t="n"/>
      <c r="H110" s="49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36" t="n"/>
      <c r="U110" s="36" t="n"/>
      <c r="V110" s="36" t="n"/>
      <c r="W110" s="36" t="n"/>
      <c r="X110" s="36" t="n"/>
      <c r="Y110" s="36" t="n"/>
      <c r="Z110" s="36" t="n"/>
      <c r="AA110" s="36" t="n"/>
      <c r="AB110" s="36" t="n"/>
    </row>
    <row r="111">
      <c r="A111" s="48" t="n"/>
      <c r="B111" s="49" t="n"/>
      <c r="C111" s="17" t="n"/>
      <c r="D111" s="49" t="n"/>
      <c r="E111" s="49" t="n"/>
      <c r="F111" s="17" t="n"/>
      <c r="G111" s="17" t="n"/>
      <c r="H111" s="49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36" t="n"/>
      <c r="U111" s="36" t="n"/>
      <c r="V111" s="36" t="n"/>
      <c r="W111" s="36" t="n"/>
      <c r="X111" s="36" t="n"/>
      <c r="Y111" s="36" t="n"/>
      <c r="Z111" s="36" t="n"/>
      <c r="AA111" s="36" t="n"/>
      <c r="AB111" s="36" t="n"/>
    </row>
    <row r="112">
      <c r="A112" s="48" t="n"/>
      <c r="B112" s="49" t="n"/>
      <c r="C112" s="17" t="n"/>
      <c r="D112" s="49" t="n"/>
      <c r="E112" s="49" t="n"/>
      <c r="F112" s="17" t="n"/>
      <c r="G112" s="17" t="n"/>
      <c r="H112" s="49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36" t="n"/>
      <c r="U112" s="36" t="n"/>
      <c r="V112" s="36" t="n"/>
      <c r="W112" s="36" t="n"/>
      <c r="X112" s="36" t="n"/>
      <c r="Y112" s="36" t="n"/>
      <c r="Z112" s="36" t="n"/>
      <c r="AA112" s="36" t="n"/>
      <c r="AB112" s="36" t="n"/>
    </row>
    <row r="113">
      <c r="A113" s="48" t="n"/>
      <c r="B113" s="49" t="n"/>
      <c r="C113" s="17" t="n"/>
      <c r="D113" s="49" t="n"/>
      <c r="E113" s="49" t="n"/>
      <c r="F113" s="17" t="n"/>
      <c r="G113" s="17" t="n"/>
      <c r="H113" s="49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36" t="n"/>
      <c r="U113" s="36" t="n"/>
      <c r="V113" s="36" t="n"/>
      <c r="W113" s="36" t="n"/>
      <c r="X113" s="36" t="n"/>
      <c r="Y113" s="36" t="n"/>
      <c r="Z113" s="36" t="n"/>
      <c r="AA113" s="36" t="n"/>
      <c r="AB113" s="36" t="n"/>
    </row>
    <row r="114">
      <c r="A114" s="48" t="n"/>
      <c r="B114" s="49" t="n"/>
      <c r="C114" s="17" t="n"/>
      <c r="D114" s="49" t="n"/>
      <c r="E114" s="49" t="n"/>
      <c r="F114" s="17" t="n"/>
      <c r="G114" s="17" t="n"/>
      <c r="H114" s="49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36" t="n"/>
      <c r="U114" s="36" t="n"/>
      <c r="V114" s="36" t="n"/>
      <c r="W114" s="36" t="n"/>
      <c r="X114" s="36" t="n"/>
      <c r="Y114" s="36" t="n"/>
      <c r="Z114" s="36" t="n"/>
      <c r="AA114" s="36" t="n"/>
      <c r="AB114" s="36" t="n"/>
    </row>
    <row r="115">
      <c r="A115" s="48" t="n"/>
      <c r="B115" s="49" t="n"/>
      <c r="C115" s="17" t="n"/>
      <c r="D115" s="49" t="n"/>
      <c r="E115" s="49" t="n"/>
      <c r="F115" s="17" t="n"/>
      <c r="G115" s="17" t="n"/>
      <c r="H115" s="49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36" t="n"/>
      <c r="U115" s="36" t="n"/>
      <c r="V115" s="36" t="n"/>
      <c r="W115" s="36" t="n"/>
      <c r="X115" s="36" t="n"/>
      <c r="Y115" s="36" t="n"/>
      <c r="Z115" s="36" t="n"/>
      <c r="AA115" s="36" t="n"/>
      <c r="AB115" s="36" t="n"/>
    </row>
    <row r="116">
      <c r="A116" s="48" t="n"/>
      <c r="B116" s="49" t="n"/>
      <c r="C116" s="17" t="n"/>
      <c r="D116" s="49" t="n"/>
      <c r="E116" s="49" t="n"/>
      <c r="F116" s="17" t="n"/>
      <c r="G116" s="17" t="n"/>
      <c r="H116" s="49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</row>
    <row r="117">
      <c r="A117" s="48" t="n"/>
      <c r="B117" s="49" t="n"/>
      <c r="C117" s="17" t="n"/>
      <c r="D117" s="49" t="n"/>
      <c r="E117" s="49" t="n"/>
      <c r="F117" s="17" t="n"/>
      <c r="G117" s="17" t="n"/>
      <c r="H117" s="49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36" t="n"/>
      <c r="U117" s="36" t="n"/>
      <c r="V117" s="36" t="n"/>
      <c r="W117" s="36" t="n"/>
      <c r="X117" s="36" t="n"/>
      <c r="Y117" s="36" t="n"/>
      <c r="Z117" s="36" t="n"/>
      <c r="AA117" s="36" t="n"/>
      <c r="AB117" s="36" t="n"/>
    </row>
    <row r="118">
      <c r="A118" s="48" t="n"/>
      <c r="B118" s="49" t="n"/>
      <c r="C118" s="17" t="n"/>
      <c r="D118" s="49" t="n"/>
      <c r="E118" s="49" t="n"/>
      <c r="F118" s="17" t="n"/>
      <c r="G118" s="17" t="n"/>
      <c r="H118" s="49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36" t="n"/>
      <c r="U118" s="36" t="n"/>
      <c r="V118" s="36" t="n"/>
      <c r="W118" s="36" t="n"/>
      <c r="X118" s="36" t="n"/>
      <c r="Y118" s="36" t="n"/>
      <c r="Z118" s="36" t="n"/>
      <c r="AA118" s="36" t="n"/>
      <c r="AB118" s="36" t="n"/>
    </row>
    <row r="119">
      <c r="A119" s="48" t="n"/>
      <c r="B119" s="49" t="n"/>
      <c r="C119" s="17" t="n"/>
      <c r="D119" s="49" t="n"/>
      <c r="E119" s="49" t="n"/>
      <c r="F119" s="17" t="n"/>
      <c r="G119" s="17" t="n"/>
      <c r="H119" s="49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36" t="n"/>
      <c r="U119" s="36" t="n"/>
      <c r="V119" s="36" t="n"/>
      <c r="W119" s="36" t="n"/>
      <c r="X119" s="36" t="n"/>
      <c r="Y119" s="36" t="n"/>
      <c r="Z119" s="36" t="n"/>
      <c r="AA119" s="36" t="n"/>
      <c r="AB119" s="36" t="n"/>
    </row>
    <row r="120">
      <c r="A120" s="48" t="n"/>
      <c r="B120" s="49" t="n"/>
      <c r="C120" s="17" t="n"/>
      <c r="D120" s="49" t="n"/>
      <c r="E120" s="49" t="n"/>
      <c r="F120" s="17" t="n"/>
      <c r="G120" s="17" t="n"/>
      <c r="H120" s="49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</row>
    <row r="121">
      <c r="A121" s="48" t="n"/>
      <c r="B121" s="49" t="n"/>
      <c r="C121" s="17" t="n"/>
      <c r="D121" s="49" t="n"/>
      <c r="E121" s="49" t="n"/>
      <c r="F121" s="17" t="n"/>
      <c r="G121" s="17" t="n"/>
      <c r="H121" s="49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36" t="n"/>
      <c r="U121" s="36" t="n"/>
      <c r="V121" s="36" t="n"/>
      <c r="W121" s="36" t="n"/>
      <c r="X121" s="36" t="n"/>
      <c r="Y121" s="36" t="n"/>
      <c r="Z121" s="36" t="n"/>
      <c r="AA121" s="36" t="n"/>
      <c r="AB121" s="36" t="n"/>
    </row>
    <row r="122">
      <c r="A122" s="48" t="n"/>
      <c r="B122" s="49" t="n"/>
      <c r="C122" s="17" t="n"/>
      <c r="D122" s="49" t="n"/>
      <c r="E122" s="49" t="n"/>
      <c r="F122" s="17" t="n"/>
      <c r="G122" s="17" t="n"/>
      <c r="H122" s="49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36" t="n"/>
      <c r="U122" s="36" t="n"/>
      <c r="V122" s="36" t="n"/>
      <c r="W122" s="36" t="n"/>
      <c r="X122" s="36" t="n"/>
      <c r="Y122" s="36" t="n"/>
      <c r="Z122" s="36" t="n"/>
      <c r="AA122" s="36" t="n"/>
      <c r="AB122" s="36" t="n"/>
    </row>
    <row r="123">
      <c r="A123" s="48" t="n"/>
      <c r="B123" s="49" t="n"/>
      <c r="C123" s="17" t="n"/>
      <c r="D123" s="49" t="n"/>
      <c r="E123" s="49" t="n"/>
      <c r="F123" s="17" t="n"/>
      <c r="G123" s="17" t="n"/>
      <c r="H123" s="49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36" t="n"/>
      <c r="U123" s="36" t="n"/>
      <c r="V123" s="36" t="n"/>
      <c r="W123" s="36" t="n"/>
      <c r="X123" s="36" t="n"/>
      <c r="Y123" s="36" t="n"/>
      <c r="Z123" s="36" t="n"/>
      <c r="AA123" s="36" t="n"/>
      <c r="AB123" s="36" t="n"/>
    </row>
    <row r="124">
      <c r="A124" s="48" t="n"/>
      <c r="B124" s="49" t="n"/>
      <c r="C124" s="17" t="n"/>
      <c r="D124" s="49" t="n"/>
      <c r="E124" s="49" t="n"/>
      <c r="F124" s="17" t="n"/>
      <c r="G124" s="17" t="n"/>
      <c r="H124" s="49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36" t="n"/>
      <c r="U124" s="36" t="n"/>
      <c r="V124" s="36" t="n"/>
      <c r="W124" s="36" t="n"/>
      <c r="X124" s="36" t="n"/>
      <c r="Y124" s="36" t="n"/>
      <c r="Z124" s="36" t="n"/>
      <c r="AA124" s="36" t="n"/>
      <c r="AB124" s="36" t="n"/>
    </row>
    <row r="125">
      <c r="A125" s="48" t="n"/>
      <c r="B125" s="49" t="n"/>
      <c r="C125" s="17" t="n"/>
      <c r="D125" s="49" t="n"/>
      <c r="E125" s="49" t="n"/>
      <c r="F125" s="17" t="n"/>
      <c r="G125" s="17" t="n"/>
      <c r="H125" s="49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36" t="n"/>
      <c r="U125" s="36" t="n"/>
      <c r="V125" s="36" t="n"/>
      <c r="W125" s="36" t="n"/>
      <c r="X125" s="36" t="n"/>
      <c r="Y125" s="36" t="n"/>
      <c r="Z125" s="36" t="n"/>
      <c r="AA125" s="36" t="n"/>
      <c r="AB125" s="36" t="n"/>
    </row>
    <row r="126">
      <c r="A126" s="48" t="n"/>
      <c r="B126" s="49" t="n"/>
      <c r="C126" s="17" t="n"/>
      <c r="D126" s="49" t="n"/>
      <c r="E126" s="49" t="n"/>
      <c r="F126" s="17" t="n"/>
      <c r="G126" s="17" t="n"/>
      <c r="H126" s="49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36" t="n"/>
      <c r="U126" s="36" t="n"/>
      <c r="V126" s="36" t="n"/>
      <c r="W126" s="36" t="n"/>
      <c r="X126" s="36" t="n"/>
      <c r="Y126" s="36" t="n"/>
      <c r="Z126" s="36" t="n"/>
      <c r="AA126" s="36" t="n"/>
      <c r="AB126" s="36" t="n"/>
    </row>
    <row r="127">
      <c r="A127" s="48" t="n"/>
      <c r="B127" s="49" t="n"/>
      <c r="C127" s="17" t="n"/>
      <c r="D127" s="49" t="n"/>
      <c r="E127" s="49" t="n"/>
      <c r="F127" s="17" t="n"/>
      <c r="G127" s="17" t="n"/>
      <c r="H127" s="49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36" t="n"/>
      <c r="U127" s="36" t="n"/>
      <c r="V127" s="36" t="n"/>
      <c r="W127" s="36" t="n"/>
      <c r="X127" s="36" t="n"/>
      <c r="Y127" s="36" t="n"/>
      <c r="Z127" s="36" t="n"/>
      <c r="AA127" s="36" t="n"/>
      <c r="AB127" s="36" t="n"/>
    </row>
    <row r="128">
      <c r="A128" s="48" t="n"/>
      <c r="B128" s="49" t="n"/>
      <c r="C128" s="17" t="n"/>
      <c r="D128" s="49" t="n"/>
      <c r="E128" s="49" t="n"/>
      <c r="F128" s="17" t="n"/>
      <c r="G128" s="17" t="n"/>
      <c r="H128" s="49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36" t="n"/>
      <c r="U128" s="36" t="n"/>
      <c r="V128" s="36" t="n"/>
      <c r="W128" s="36" t="n"/>
      <c r="X128" s="36" t="n"/>
      <c r="Y128" s="36" t="n"/>
      <c r="Z128" s="36" t="n"/>
      <c r="AA128" s="36" t="n"/>
      <c r="AB128" s="36" t="n"/>
    </row>
    <row r="129">
      <c r="A129" s="48" t="n"/>
      <c r="B129" s="49" t="n"/>
      <c r="C129" s="17" t="n"/>
      <c r="D129" s="49" t="n"/>
      <c r="E129" s="49" t="n"/>
      <c r="F129" s="17" t="n"/>
      <c r="G129" s="17" t="n"/>
      <c r="H129" s="49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</row>
    <row r="130">
      <c r="A130" s="48" t="n"/>
      <c r="B130" s="49" t="n"/>
      <c r="C130" s="17" t="n"/>
      <c r="D130" s="49" t="n"/>
      <c r="E130" s="49" t="n"/>
      <c r="F130" s="17" t="n"/>
      <c r="G130" s="17" t="n"/>
      <c r="H130" s="49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36" t="n"/>
      <c r="U130" s="36" t="n"/>
      <c r="V130" s="36" t="n"/>
      <c r="W130" s="36" t="n"/>
      <c r="X130" s="36" t="n"/>
      <c r="Y130" s="36" t="n"/>
      <c r="Z130" s="36" t="n"/>
      <c r="AA130" s="36" t="n"/>
      <c r="AB130" s="36" t="n"/>
    </row>
    <row r="131">
      <c r="A131" s="48" t="n"/>
      <c r="B131" s="49" t="n"/>
      <c r="C131" s="17" t="n"/>
      <c r="D131" s="49" t="n"/>
      <c r="E131" s="49" t="n"/>
      <c r="F131" s="17" t="n"/>
      <c r="G131" s="17" t="n"/>
      <c r="H131" s="49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36" t="n"/>
      <c r="U131" s="36" t="n"/>
      <c r="V131" s="36" t="n"/>
      <c r="W131" s="36" t="n"/>
      <c r="X131" s="36" t="n"/>
      <c r="Y131" s="36" t="n"/>
      <c r="Z131" s="36" t="n"/>
      <c r="AA131" s="36" t="n"/>
      <c r="AB131" s="36" t="n"/>
    </row>
    <row r="132">
      <c r="A132" s="48" t="n"/>
      <c r="B132" s="49" t="n"/>
      <c r="C132" s="17" t="n"/>
      <c r="D132" s="49" t="n"/>
      <c r="E132" s="49" t="n"/>
      <c r="F132" s="17" t="n"/>
      <c r="G132" s="17" t="n"/>
      <c r="H132" s="49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36" t="n"/>
      <c r="U132" s="36" t="n"/>
      <c r="V132" s="36" t="n"/>
      <c r="W132" s="36" t="n"/>
      <c r="X132" s="36" t="n"/>
      <c r="Y132" s="36" t="n"/>
      <c r="Z132" s="36" t="n"/>
      <c r="AA132" s="36" t="n"/>
      <c r="AB132" s="36" t="n"/>
    </row>
    <row r="133">
      <c r="A133" s="48" t="n"/>
      <c r="B133" s="49" t="n"/>
      <c r="C133" s="17" t="n"/>
      <c r="D133" s="49" t="n"/>
      <c r="E133" s="49" t="n"/>
      <c r="F133" s="17" t="n"/>
      <c r="G133" s="17" t="n"/>
      <c r="H133" s="49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36" t="n"/>
      <c r="U133" s="36" t="n"/>
      <c r="V133" s="36" t="n"/>
      <c r="W133" s="36" t="n"/>
      <c r="X133" s="36" t="n"/>
      <c r="Y133" s="36" t="n"/>
      <c r="Z133" s="36" t="n"/>
      <c r="AA133" s="36" t="n"/>
      <c r="AB133" s="36" t="n"/>
    </row>
    <row r="134">
      <c r="A134" s="48" t="n"/>
      <c r="B134" s="49" t="n"/>
      <c r="C134" s="17" t="n"/>
      <c r="D134" s="49" t="n"/>
      <c r="E134" s="49" t="n"/>
      <c r="F134" s="17" t="n"/>
      <c r="G134" s="17" t="n"/>
      <c r="H134" s="49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36" t="n"/>
      <c r="U134" s="36" t="n"/>
      <c r="V134" s="36" t="n"/>
      <c r="W134" s="36" t="n"/>
      <c r="X134" s="36" t="n"/>
      <c r="Y134" s="36" t="n"/>
      <c r="Z134" s="36" t="n"/>
      <c r="AA134" s="36" t="n"/>
      <c r="AB134" s="36" t="n"/>
    </row>
    <row r="135">
      <c r="A135" s="48" t="n"/>
      <c r="B135" s="49" t="n"/>
      <c r="C135" s="17" t="n"/>
      <c r="D135" s="49" t="n"/>
      <c r="E135" s="49" t="n"/>
      <c r="F135" s="17" t="n"/>
      <c r="G135" s="17" t="n"/>
      <c r="H135" s="49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36" t="n"/>
      <c r="U135" s="36" t="n"/>
      <c r="V135" s="36" t="n"/>
      <c r="W135" s="36" t="n"/>
      <c r="X135" s="36" t="n"/>
      <c r="Y135" s="36" t="n"/>
      <c r="Z135" s="36" t="n"/>
      <c r="AA135" s="36" t="n"/>
      <c r="AB135" s="36" t="n"/>
    </row>
    <row r="136">
      <c r="A136" s="48" t="n"/>
      <c r="B136" s="49" t="n"/>
      <c r="C136" s="17" t="n"/>
      <c r="D136" s="49" t="n"/>
      <c r="E136" s="49" t="n"/>
      <c r="F136" s="17" t="n"/>
      <c r="G136" s="17" t="n"/>
      <c r="H136" s="49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36" t="n"/>
      <c r="U136" s="36" t="n"/>
      <c r="V136" s="36" t="n"/>
      <c r="W136" s="36" t="n"/>
      <c r="X136" s="36" t="n"/>
      <c r="Y136" s="36" t="n"/>
      <c r="Z136" s="36" t="n"/>
      <c r="AA136" s="36" t="n"/>
      <c r="AB136" s="36" t="n"/>
    </row>
    <row r="137">
      <c r="A137" s="48" t="n"/>
      <c r="B137" s="49" t="n"/>
      <c r="C137" s="17" t="n"/>
      <c r="D137" s="49" t="n"/>
      <c r="E137" s="49" t="n"/>
      <c r="F137" s="17" t="n"/>
      <c r="G137" s="17" t="n"/>
      <c r="H137" s="49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36" t="n"/>
      <c r="U137" s="36" t="n"/>
      <c r="V137" s="36" t="n"/>
      <c r="W137" s="36" t="n"/>
      <c r="X137" s="36" t="n"/>
      <c r="Y137" s="36" t="n"/>
      <c r="Z137" s="36" t="n"/>
      <c r="AA137" s="36" t="n"/>
      <c r="AB137" s="36" t="n"/>
    </row>
    <row r="138">
      <c r="A138" s="48" t="n"/>
      <c r="B138" s="49" t="n"/>
      <c r="C138" s="17" t="n"/>
      <c r="D138" s="49" t="n"/>
      <c r="E138" s="49" t="n"/>
      <c r="F138" s="17" t="n"/>
      <c r="G138" s="17" t="n"/>
      <c r="H138" s="49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36" t="n"/>
      <c r="U138" s="36" t="n"/>
      <c r="V138" s="36" t="n"/>
      <c r="W138" s="36" t="n"/>
      <c r="X138" s="36" t="n"/>
      <c r="Y138" s="36" t="n"/>
      <c r="Z138" s="36" t="n"/>
      <c r="AA138" s="36" t="n"/>
      <c r="AB138" s="36" t="n"/>
    </row>
    <row r="139">
      <c r="A139" s="48" t="n"/>
      <c r="B139" s="49" t="n"/>
      <c r="C139" s="17" t="n"/>
      <c r="D139" s="49" t="n"/>
      <c r="E139" s="49" t="n"/>
      <c r="F139" s="17" t="n"/>
      <c r="G139" s="17" t="n"/>
      <c r="H139" s="49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36" t="n"/>
      <c r="U139" s="36" t="n"/>
      <c r="V139" s="36" t="n"/>
      <c r="W139" s="36" t="n"/>
      <c r="X139" s="36" t="n"/>
      <c r="Y139" s="36" t="n"/>
      <c r="Z139" s="36" t="n"/>
      <c r="AA139" s="36" t="n"/>
      <c r="AB139" s="36" t="n"/>
    </row>
    <row r="140">
      <c r="A140" s="48" t="n"/>
      <c r="B140" s="49" t="n"/>
      <c r="C140" s="17" t="n"/>
      <c r="D140" s="49" t="n"/>
      <c r="E140" s="49" t="n"/>
      <c r="F140" s="17" t="n"/>
      <c r="G140" s="17" t="n"/>
      <c r="H140" s="49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36" t="n"/>
      <c r="U140" s="36" t="n"/>
      <c r="V140" s="36" t="n"/>
      <c r="W140" s="36" t="n"/>
      <c r="X140" s="36" t="n"/>
      <c r="Y140" s="36" t="n"/>
      <c r="Z140" s="36" t="n"/>
      <c r="AA140" s="36" t="n"/>
      <c r="AB140" s="36" t="n"/>
    </row>
    <row r="141">
      <c r="A141" s="48" t="n"/>
      <c r="B141" s="49" t="n"/>
      <c r="C141" s="17" t="n"/>
      <c r="D141" s="49" t="n"/>
      <c r="E141" s="49" t="n"/>
      <c r="F141" s="17" t="n"/>
      <c r="G141" s="17" t="n"/>
      <c r="H141" s="49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36" t="n"/>
      <c r="U141" s="36" t="n"/>
      <c r="V141" s="36" t="n"/>
      <c r="W141" s="36" t="n"/>
      <c r="X141" s="36" t="n"/>
      <c r="Y141" s="36" t="n"/>
      <c r="Z141" s="36" t="n"/>
      <c r="AA141" s="36" t="n"/>
      <c r="AB141" s="36" t="n"/>
    </row>
    <row r="142">
      <c r="A142" s="48" t="n"/>
      <c r="B142" s="49" t="n"/>
      <c r="C142" s="17" t="n"/>
      <c r="D142" s="49" t="n"/>
      <c r="E142" s="49" t="n"/>
      <c r="F142" s="17" t="n"/>
      <c r="G142" s="17" t="n"/>
      <c r="H142" s="49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36" t="n"/>
      <c r="U142" s="36" t="n"/>
      <c r="V142" s="36" t="n"/>
      <c r="W142" s="36" t="n"/>
      <c r="X142" s="36" t="n"/>
      <c r="Y142" s="36" t="n"/>
      <c r="Z142" s="36" t="n"/>
      <c r="AA142" s="36" t="n"/>
      <c r="AB142" s="36" t="n"/>
    </row>
    <row r="143">
      <c r="A143" s="48" t="n"/>
      <c r="B143" s="49" t="n"/>
      <c r="C143" s="17" t="n"/>
      <c r="D143" s="49" t="n"/>
      <c r="E143" s="49" t="n"/>
      <c r="F143" s="17" t="n"/>
      <c r="G143" s="17" t="n"/>
      <c r="H143" s="49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36" t="n"/>
      <c r="U143" s="36" t="n"/>
      <c r="V143" s="36" t="n"/>
      <c r="W143" s="36" t="n"/>
      <c r="X143" s="36" t="n"/>
      <c r="Y143" s="36" t="n"/>
      <c r="Z143" s="36" t="n"/>
      <c r="AA143" s="36" t="n"/>
      <c r="AB143" s="36" t="n"/>
    </row>
    <row r="144">
      <c r="A144" s="48" t="n"/>
      <c r="B144" s="49" t="n"/>
      <c r="C144" s="17" t="n"/>
      <c r="D144" s="49" t="n"/>
      <c r="E144" s="49" t="n"/>
      <c r="F144" s="17" t="n"/>
      <c r="G144" s="17" t="n"/>
      <c r="H144" s="49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36" t="n"/>
      <c r="U144" s="36" t="n"/>
      <c r="V144" s="36" t="n"/>
      <c r="W144" s="36" t="n"/>
      <c r="X144" s="36" t="n"/>
      <c r="Y144" s="36" t="n"/>
      <c r="Z144" s="36" t="n"/>
      <c r="AA144" s="36" t="n"/>
      <c r="AB144" s="36" t="n"/>
    </row>
    <row r="145">
      <c r="A145" s="48" t="n"/>
      <c r="B145" s="49" t="n"/>
      <c r="C145" s="17" t="n"/>
      <c r="D145" s="49" t="n"/>
      <c r="E145" s="49" t="n"/>
      <c r="F145" s="17" t="n"/>
      <c r="G145" s="17" t="n"/>
      <c r="H145" s="49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36" t="n"/>
      <c r="U145" s="36" t="n"/>
      <c r="V145" s="36" t="n"/>
      <c r="W145" s="36" t="n"/>
      <c r="X145" s="36" t="n"/>
      <c r="Y145" s="36" t="n"/>
      <c r="Z145" s="36" t="n"/>
      <c r="AA145" s="36" t="n"/>
      <c r="AB145" s="36" t="n"/>
    </row>
    <row r="146">
      <c r="A146" s="48" t="n"/>
      <c r="B146" s="49" t="n"/>
      <c r="C146" s="17" t="n"/>
      <c r="D146" s="49" t="n"/>
      <c r="E146" s="49" t="n"/>
      <c r="F146" s="17" t="n"/>
      <c r="G146" s="17" t="n"/>
      <c r="H146" s="49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</row>
    <row r="147">
      <c r="A147" s="48" t="n"/>
      <c r="B147" s="49" t="n"/>
      <c r="C147" s="17" t="n"/>
      <c r="D147" s="49" t="n"/>
      <c r="E147" s="49" t="n"/>
      <c r="F147" s="17" t="n"/>
      <c r="G147" s="17" t="n"/>
      <c r="H147" s="49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36" t="n"/>
      <c r="U147" s="36" t="n"/>
      <c r="V147" s="36" t="n"/>
      <c r="W147" s="36" t="n"/>
      <c r="X147" s="36" t="n"/>
      <c r="Y147" s="36" t="n"/>
      <c r="Z147" s="36" t="n"/>
      <c r="AA147" s="36" t="n"/>
      <c r="AB147" s="36" t="n"/>
    </row>
    <row r="148">
      <c r="A148" s="48" t="n"/>
      <c r="B148" s="49" t="n"/>
      <c r="C148" s="17" t="n"/>
      <c r="D148" s="49" t="n"/>
      <c r="E148" s="49" t="n"/>
      <c r="F148" s="17" t="n"/>
      <c r="G148" s="17" t="n"/>
      <c r="H148" s="49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36" t="n"/>
      <c r="U148" s="36" t="n"/>
      <c r="V148" s="36" t="n"/>
      <c r="W148" s="36" t="n"/>
      <c r="X148" s="36" t="n"/>
      <c r="Y148" s="36" t="n"/>
      <c r="Z148" s="36" t="n"/>
      <c r="AA148" s="36" t="n"/>
      <c r="AB148" s="36" t="n"/>
    </row>
    <row r="149">
      <c r="A149" s="48" t="n"/>
      <c r="B149" s="49" t="n"/>
      <c r="C149" s="17" t="n"/>
      <c r="D149" s="49" t="n"/>
      <c r="E149" s="49" t="n"/>
      <c r="F149" s="17" t="n"/>
      <c r="G149" s="17" t="n"/>
      <c r="H149" s="49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36" t="n"/>
      <c r="U149" s="36" t="n"/>
      <c r="V149" s="36" t="n"/>
      <c r="W149" s="36" t="n"/>
      <c r="X149" s="36" t="n"/>
      <c r="Y149" s="36" t="n"/>
      <c r="Z149" s="36" t="n"/>
      <c r="AA149" s="36" t="n"/>
      <c r="AB149" s="36" t="n"/>
    </row>
    <row r="150">
      <c r="A150" s="48" t="n"/>
      <c r="B150" s="49" t="n"/>
      <c r="C150" s="17" t="n"/>
      <c r="D150" s="49" t="n"/>
      <c r="E150" s="49" t="n"/>
      <c r="F150" s="17" t="n"/>
      <c r="G150" s="17" t="n"/>
      <c r="H150" s="49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36" t="n"/>
      <c r="U150" s="36" t="n"/>
      <c r="V150" s="36" t="n"/>
      <c r="W150" s="36" t="n"/>
      <c r="X150" s="36" t="n"/>
      <c r="Y150" s="36" t="n"/>
      <c r="Z150" s="36" t="n"/>
      <c r="AA150" s="36" t="n"/>
      <c r="AB150" s="36" t="n"/>
    </row>
    <row r="151">
      <c r="A151" s="48" t="n"/>
      <c r="B151" s="49" t="n"/>
      <c r="C151" s="17" t="n"/>
      <c r="D151" s="49" t="n"/>
      <c r="E151" s="49" t="n"/>
      <c r="F151" s="17" t="n"/>
      <c r="G151" s="17" t="n"/>
      <c r="H151" s="49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36" t="n"/>
      <c r="U151" s="36" t="n"/>
      <c r="V151" s="36" t="n"/>
      <c r="W151" s="36" t="n"/>
      <c r="X151" s="36" t="n"/>
      <c r="Y151" s="36" t="n"/>
      <c r="Z151" s="36" t="n"/>
      <c r="AA151" s="36" t="n"/>
      <c r="AB151" s="36" t="n"/>
    </row>
    <row r="152">
      <c r="A152" s="48" t="n"/>
      <c r="B152" s="49" t="n"/>
      <c r="C152" s="17" t="n"/>
      <c r="D152" s="49" t="n"/>
      <c r="E152" s="49" t="n"/>
      <c r="F152" s="17" t="n"/>
      <c r="G152" s="17" t="n"/>
      <c r="H152" s="49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36" t="n"/>
      <c r="U152" s="36" t="n"/>
      <c r="V152" s="36" t="n"/>
      <c r="W152" s="36" t="n"/>
      <c r="X152" s="36" t="n"/>
      <c r="Y152" s="36" t="n"/>
      <c r="Z152" s="36" t="n"/>
      <c r="AA152" s="36" t="n"/>
      <c r="AB152" s="36" t="n"/>
    </row>
    <row r="153">
      <c r="A153" s="48" t="n"/>
      <c r="B153" s="49" t="n"/>
      <c r="C153" s="17" t="n"/>
      <c r="D153" s="49" t="n"/>
      <c r="E153" s="49" t="n"/>
      <c r="F153" s="17" t="n"/>
      <c r="G153" s="17" t="n"/>
      <c r="H153" s="49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36" t="n"/>
      <c r="U153" s="36" t="n"/>
      <c r="V153" s="36" t="n"/>
      <c r="W153" s="36" t="n"/>
      <c r="X153" s="36" t="n"/>
      <c r="Y153" s="36" t="n"/>
      <c r="Z153" s="36" t="n"/>
      <c r="AA153" s="36" t="n"/>
      <c r="AB153" s="36" t="n"/>
    </row>
    <row r="154">
      <c r="A154" s="48" t="n"/>
      <c r="B154" s="49" t="n"/>
      <c r="C154" s="17" t="n"/>
      <c r="D154" s="49" t="n"/>
      <c r="E154" s="49" t="n"/>
      <c r="F154" s="17" t="n"/>
      <c r="G154" s="17" t="n"/>
      <c r="H154" s="49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36" t="n"/>
      <c r="U154" s="36" t="n"/>
      <c r="V154" s="36" t="n"/>
      <c r="W154" s="36" t="n"/>
      <c r="X154" s="36" t="n"/>
      <c r="Y154" s="36" t="n"/>
      <c r="Z154" s="36" t="n"/>
      <c r="AA154" s="36" t="n"/>
      <c r="AB154" s="36" t="n"/>
    </row>
    <row r="155">
      <c r="A155" s="48" t="n"/>
      <c r="B155" s="49" t="n"/>
      <c r="C155" s="17" t="n"/>
      <c r="D155" s="49" t="n"/>
      <c r="E155" s="49" t="n"/>
      <c r="F155" s="17" t="n"/>
      <c r="G155" s="17" t="n"/>
      <c r="H155" s="49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36" t="n"/>
      <c r="U155" s="36" t="n"/>
      <c r="V155" s="36" t="n"/>
      <c r="W155" s="36" t="n"/>
      <c r="X155" s="36" t="n"/>
      <c r="Y155" s="36" t="n"/>
      <c r="Z155" s="36" t="n"/>
      <c r="AA155" s="36" t="n"/>
      <c r="AB155" s="36" t="n"/>
    </row>
    <row r="156">
      <c r="A156" s="48" t="n"/>
      <c r="B156" s="49" t="n"/>
      <c r="C156" s="17" t="n"/>
      <c r="D156" s="49" t="n"/>
      <c r="E156" s="49" t="n"/>
      <c r="F156" s="17" t="n"/>
      <c r="G156" s="17" t="n"/>
      <c r="H156" s="49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36" t="n"/>
      <c r="U156" s="36" t="n"/>
      <c r="V156" s="36" t="n"/>
      <c r="W156" s="36" t="n"/>
      <c r="X156" s="36" t="n"/>
      <c r="Y156" s="36" t="n"/>
      <c r="Z156" s="36" t="n"/>
      <c r="AA156" s="36" t="n"/>
      <c r="AB156" s="36" t="n"/>
    </row>
    <row r="157">
      <c r="A157" s="48" t="n"/>
      <c r="B157" s="49" t="n"/>
      <c r="C157" s="17" t="n"/>
      <c r="D157" s="49" t="n"/>
      <c r="E157" s="49" t="n"/>
      <c r="F157" s="17" t="n"/>
      <c r="G157" s="17" t="n"/>
      <c r="H157" s="49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36" t="n"/>
      <c r="U157" s="36" t="n"/>
      <c r="V157" s="36" t="n"/>
      <c r="W157" s="36" t="n"/>
      <c r="X157" s="36" t="n"/>
      <c r="Y157" s="36" t="n"/>
      <c r="Z157" s="36" t="n"/>
      <c r="AA157" s="36" t="n"/>
      <c r="AB157" s="36" t="n"/>
    </row>
    <row r="158">
      <c r="A158" s="48" t="n"/>
      <c r="B158" s="49" t="n"/>
      <c r="C158" s="17" t="n"/>
      <c r="D158" s="49" t="n"/>
      <c r="E158" s="49" t="n"/>
      <c r="F158" s="17" t="n"/>
      <c r="G158" s="17" t="n"/>
      <c r="H158" s="49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36" t="n"/>
      <c r="U158" s="36" t="n"/>
      <c r="V158" s="36" t="n"/>
      <c r="W158" s="36" t="n"/>
      <c r="X158" s="36" t="n"/>
      <c r="Y158" s="36" t="n"/>
      <c r="Z158" s="36" t="n"/>
      <c r="AA158" s="36" t="n"/>
      <c r="AB158" s="36" t="n"/>
    </row>
    <row r="159">
      <c r="A159" s="48" t="n"/>
      <c r="B159" s="49" t="n"/>
      <c r="C159" s="17" t="n"/>
      <c r="D159" s="49" t="n"/>
      <c r="E159" s="49" t="n"/>
      <c r="F159" s="17" t="n"/>
      <c r="G159" s="17" t="n"/>
      <c r="H159" s="49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36" t="n"/>
      <c r="U159" s="36" t="n"/>
      <c r="V159" s="36" t="n"/>
      <c r="W159" s="36" t="n"/>
      <c r="X159" s="36" t="n"/>
      <c r="Y159" s="36" t="n"/>
      <c r="Z159" s="36" t="n"/>
      <c r="AA159" s="36" t="n"/>
      <c r="AB159" s="36" t="n"/>
    </row>
    <row r="160">
      <c r="A160" s="48" t="n"/>
      <c r="B160" s="49" t="n"/>
      <c r="C160" s="17" t="n"/>
      <c r="D160" s="49" t="n"/>
      <c r="E160" s="49" t="n"/>
      <c r="F160" s="17" t="n"/>
      <c r="G160" s="17" t="n"/>
      <c r="H160" s="49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36" t="n"/>
      <c r="U160" s="36" t="n"/>
      <c r="V160" s="36" t="n"/>
      <c r="W160" s="36" t="n"/>
      <c r="X160" s="36" t="n"/>
      <c r="Y160" s="36" t="n"/>
      <c r="Z160" s="36" t="n"/>
      <c r="AA160" s="36" t="n"/>
      <c r="AB160" s="36" t="n"/>
    </row>
    <row r="161">
      <c r="A161" s="48" t="n"/>
      <c r="B161" s="49" t="n"/>
      <c r="C161" s="17" t="n"/>
      <c r="D161" s="49" t="n"/>
      <c r="E161" s="49" t="n"/>
      <c r="F161" s="17" t="n"/>
      <c r="G161" s="17" t="n"/>
      <c r="H161" s="49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36" t="n"/>
      <c r="U161" s="36" t="n"/>
      <c r="V161" s="36" t="n"/>
      <c r="W161" s="36" t="n"/>
      <c r="X161" s="36" t="n"/>
      <c r="Y161" s="36" t="n"/>
      <c r="Z161" s="36" t="n"/>
      <c r="AA161" s="36" t="n"/>
      <c r="AB161" s="36" t="n"/>
    </row>
    <row r="162">
      <c r="A162" s="48" t="n"/>
      <c r="B162" s="49" t="n"/>
      <c r="C162" s="17" t="n"/>
      <c r="D162" s="49" t="n"/>
      <c r="E162" s="49" t="n"/>
      <c r="F162" s="17" t="n"/>
      <c r="G162" s="17" t="n"/>
      <c r="H162" s="49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36" t="n"/>
      <c r="U162" s="36" t="n"/>
      <c r="V162" s="36" t="n"/>
      <c r="W162" s="36" t="n"/>
      <c r="X162" s="36" t="n"/>
      <c r="Y162" s="36" t="n"/>
      <c r="Z162" s="36" t="n"/>
      <c r="AA162" s="36" t="n"/>
      <c r="AB162" s="36" t="n"/>
    </row>
    <row r="163">
      <c r="A163" s="48" t="n"/>
      <c r="B163" s="49" t="n"/>
      <c r="C163" s="17" t="n"/>
      <c r="D163" s="49" t="n"/>
      <c r="E163" s="49" t="n"/>
      <c r="F163" s="17" t="n"/>
      <c r="G163" s="17" t="n"/>
      <c r="H163" s="49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36" t="n"/>
      <c r="U163" s="36" t="n"/>
      <c r="V163" s="36" t="n"/>
      <c r="W163" s="36" t="n"/>
      <c r="X163" s="36" t="n"/>
      <c r="Y163" s="36" t="n"/>
      <c r="Z163" s="36" t="n"/>
      <c r="AA163" s="36" t="n"/>
      <c r="AB163" s="36" t="n"/>
    </row>
    <row r="164">
      <c r="A164" s="48" t="n"/>
      <c r="B164" s="49" t="n"/>
      <c r="C164" s="17" t="n"/>
      <c r="D164" s="49" t="n"/>
      <c r="E164" s="49" t="n"/>
      <c r="F164" s="17" t="n"/>
      <c r="G164" s="17" t="n"/>
      <c r="H164" s="49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36" t="n"/>
      <c r="U164" s="36" t="n"/>
      <c r="V164" s="36" t="n"/>
      <c r="W164" s="36" t="n"/>
      <c r="X164" s="36" t="n"/>
      <c r="Y164" s="36" t="n"/>
      <c r="Z164" s="36" t="n"/>
      <c r="AA164" s="36" t="n"/>
      <c r="AB164" s="36" t="n"/>
    </row>
    <row r="165">
      <c r="A165" s="48" t="n"/>
      <c r="B165" s="49" t="n"/>
      <c r="C165" s="17" t="n"/>
      <c r="D165" s="49" t="n"/>
      <c r="E165" s="49" t="n"/>
      <c r="F165" s="17" t="n"/>
      <c r="G165" s="17" t="n"/>
      <c r="H165" s="49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36" t="n"/>
      <c r="U165" s="36" t="n"/>
      <c r="V165" s="36" t="n"/>
      <c r="W165" s="36" t="n"/>
      <c r="X165" s="36" t="n"/>
      <c r="Y165" s="36" t="n"/>
      <c r="Z165" s="36" t="n"/>
      <c r="AA165" s="36" t="n"/>
      <c r="AB165" s="36" t="n"/>
    </row>
    <row r="166">
      <c r="A166" s="48" t="n"/>
      <c r="B166" s="49" t="n"/>
      <c r="C166" s="17" t="n"/>
      <c r="D166" s="49" t="n"/>
      <c r="E166" s="49" t="n"/>
      <c r="F166" s="17" t="n"/>
      <c r="G166" s="17" t="n"/>
      <c r="H166" s="49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36" t="n"/>
      <c r="U166" s="36" t="n"/>
      <c r="V166" s="36" t="n"/>
      <c r="W166" s="36" t="n"/>
      <c r="X166" s="36" t="n"/>
      <c r="Y166" s="36" t="n"/>
      <c r="Z166" s="36" t="n"/>
      <c r="AA166" s="36" t="n"/>
      <c r="AB166" s="36" t="n"/>
    </row>
    <row r="167">
      <c r="A167" s="48" t="n"/>
      <c r="B167" s="49" t="n"/>
      <c r="C167" s="17" t="n"/>
      <c r="D167" s="49" t="n"/>
      <c r="E167" s="49" t="n"/>
      <c r="F167" s="17" t="n"/>
      <c r="G167" s="17" t="n"/>
      <c r="H167" s="49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36" t="n"/>
      <c r="U167" s="36" t="n"/>
      <c r="V167" s="36" t="n"/>
      <c r="W167" s="36" t="n"/>
      <c r="X167" s="36" t="n"/>
      <c r="Y167" s="36" t="n"/>
      <c r="Z167" s="36" t="n"/>
      <c r="AA167" s="36" t="n"/>
      <c r="AB167" s="36" t="n"/>
    </row>
    <row r="168">
      <c r="A168" s="48" t="n"/>
      <c r="B168" s="49" t="n"/>
      <c r="C168" s="17" t="n"/>
      <c r="D168" s="49" t="n"/>
      <c r="E168" s="49" t="n"/>
      <c r="F168" s="17" t="n"/>
      <c r="G168" s="17" t="n"/>
      <c r="H168" s="49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36" t="n"/>
      <c r="U168" s="36" t="n"/>
      <c r="V168" s="36" t="n"/>
      <c r="W168" s="36" t="n"/>
      <c r="X168" s="36" t="n"/>
      <c r="Y168" s="36" t="n"/>
      <c r="Z168" s="36" t="n"/>
      <c r="AA168" s="36" t="n"/>
      <c r="AB168" s="36" t="n"/>
    </row>
    <row r="169">
      <c r="A169" s="48" t="n"/>
      <c r="B169" s="49" t="n"/>
      <c r="C169" s="17" t="n"/>
      <c r="D169" s="49" t="n"/>
      <c r="E169" s="49" t="n"/>
      <c r="F169" s="17" t="n"/>
      <c r="G169" s="17" t="n"/>
      <c r="H169" s="49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36" t="n"/>
      <c r="U169" s="36" t="n"/>
      <c r="V169" s="36" t="n"/>
      <c r="W169" s="36" t="n"/>
      <c r="X169" s="36" t="n"/>
      <c r="Y169" s="36" t="n"/>
      <c r="Z169" s="36" t="n"/>
      <c r="AA169" s="36" t="n"/>
      <c r="AB169" s="36" t="n"/>
    </row>
    <row r="170">
      <c r="A170" s="48" t="n"/>
      <c r="B170" s="49" t="n"/>
      <c r="C170" s="17" t="n"/>
      <c r="D170" s="49" t="n"/>
      <c r="E170" s="49" t="n"/>
      <c r="F170" s="17" t="n"/>
      <c r="G170" s="17" t="n"/>
      <c r="H170" s="49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36" t="n"/>
      <c r="U170" s="36" t="n"/>
      <c r="V170" s="36" t="n"/>
      <c r="W170" s="36" t="n"/>
      <c r="X170" s="36" t="n"/>
      <c r="Y170" s="36" t="n"/>
      <c r="Z170" s="36" t="n"/>
      <c r="AA170" s="36" t="n"/>
      <c r="AB170" s="36" t="n"/>
    </row>
    <row r="171">
      <c r="A171" s="48" t="n"/>
      <c r="B171" s="49" t="n"/>
      <c r="C171" s="17" t="n"/>
      <c r="D171" s="49" t="n"/>
      <c r="E171" s="49" t="n"/>
      <c r="F171" s="17" t="n"/>
      <c r="G171" s="17" t="n"/>
      <c r="H171" s="49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36" t="n"/>
      <c r="U171" s="36" t="n"/>
      <c r="V171" s="36" t="n"/>
      <c r="W171" s="36" t="n"/>
      <c r="X171" s="36" t="n"/>
      <c r="Y171" s="36" t="n"/>
      <c r="Z171" s="36" t="n"/>
      <c r="AA171" s="36" t="n"/>
      <c r="AB171" s="36" t="n"/>
    </row>
    <row r="172">
      <c r="A172" s="48" t="n"/>
      <c r="B172" s="49" t="n"/>
      <c r="C172" s="17" t="n"/>
      <c r="D172" s="49" t="n"/>
      <c r="E172" s="49" t="n"/>
      <c r="F172" s="17" t="n"/>
      <c r="G172" s="17" t="n"/>
      <c r="H172" s="49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36" t="n"/>
      <c r="U172" s="36" t="n"/>
      <c r="V172" s="36" t="n"/>
      <c r="W172" s="36" t="n"/>
      <c r="X172" s="36" t="n"/>
      <c r="Y172" s="36" t="n"/>
      <c r="Z172" s="36" t="n"/>
      <c r="AA172" s="36" t="n"/>
      <c r="AB172" s="36" t="n"/>
    </row>
    <row r="173">
      <c r="A173" s="48" t="n"/>
      <c r="B173" s="49" t="n"/>
      <c r="C173" s="17" t="n"/>
      <c r="D173" s="49" t="n"/>
      <c r="E173" s="49" t="n"/>
      <c r="F173" s="17" t="n"/>
      <c r="G173" s="17" t="n"/>
      <c r="H173" s="49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36" t="n"/>
      <c r="U173" s="36" t="n"/>
      <c r="V173" s="36" t="n"/>
      <c r="W173" s="36" t="n"/>
      <c r="X173" s="36" t="n"/>
      <c r="Y173" s="36" t="n"/>
      <c r="Z173" s="36" t="n"/>
      <c r="AA173" s="36" t="n"/>
      <c r="AB173" s="36" t="n"/>
    </row>
    <row r="174">
      <c r="A174" s="48" t="n"/>
      <c r="B174" s="49" t="n"/>
      <c r="C174" s="17" t="n"/>
      <c r="D174" s="49" t="n"/>
      <c r="E174" s="49" t="n"/>
      <c r="F174" s="17" t="n"/>
      <c r="G174" s="17" t="n"/>
      <c r="H174" s="49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36" t="n"/>
      <c r="U174" s="36" t="n"/>
      <c r="V174" s="36" t="n"/>
      <c r="W174" s="36" t="n"/>
      <c r="X174" s="36" t="n"/>
      <c r="Y174" s="36" t="n"/>
      <c r="Z174" s="36" t="n"/>
      <c r="AA174" s="36" t="n"/>
      <c r="AB174" s="36" t="n"/>
    </row>
    <row r="175">
      <c r="A175" s="48" t="n"/>
      <c r="B175" s="49" t="n"/>
      <c r="C175" s="17" t="n"/>
      <c r="D175" s="49" t="n"/>
      <c r="E175" s="49" t="n"/>
      <c r="F175" s="17" t="n"/>
      <c r="G175" s="17" t="n"/>
      <c r="H175" s="49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36" t="n"/>
      <c r="U175" s="36" t="n"/>
      <c r="V175" s="36" t="n"/>
      <c r="W175" s="36" t="n"/>
      <c r="X175" s="36" t="n"/>
      <c r="Y175" s="36" t="n"/>
      <c r="Z175" s="36" t="n"/>
      <c r="AA175" s="36" t="n"/>
      <c r="AB175" s="36" t="n"/>
    </row>
    <row r="176">
      <c r="A176" s="48" t="n"/>
      <c r="B176" s="49" t="n"/>
      <c r="C176" s="17" t="n"/>
      <c r="D176" s="49" t="n"/>
      <c r="E176" s="49" t="n"/>
      <c r="F176" s="17" t="n"/>
      <c r="G176" s="17" t="n"/>
      <c r="H176" s="49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36" t="n"/>
      <c r="U176" s="36" t="n"/>
      <c r="V176" s="36" t="n"/>
      <c r="W176" s="36" t="n"/>
      <c r="X176" s="36" t="n"/>
      <c r="Y176" s="36" t="n"/>
      <c r="Z176" s="36" t="n"/>
      <c r="AA176" s="36" t="n"/>
      <c r="AB176" s="36" t="n"/>
    </row>
    <row r="177">
      <c r="A177" s="48" t="n"/>
      <c r="B177" s="49" t="n"/>
      <c r="C177" s="17" t="n"/>
      <c r="D177" s="49" t="n"/>
      <c r="E177" s="49" t="n"/>
      <c r="F177" s="17" t="n"/>
      <c r="G177" s="17" t="n"/>
      <c r="H177" s="49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36" t="n"/>
      <c r="U177" s="36" t="n"/>
      <c r="V177" s="36" t="n"/>
      <c r="W177" s="36" t="n"/>
      <c r="X177" s="36" t="n"/>
      <c r="Y177" s="36" t="n"/>
      <c r="Z177" s="36" t="n"/>
      <c r="AA177" s="36" t="n"/>
      <c r="AB177" s="36" t="n"/>
    </row>
    <row r="178">
      <c r="A178" s="48" t="n"/>
      <c r="B178" s="49" t="n"/>
      <c r="C178" s="17" t="n"/>
      <c r="D178" s="49" t="n"/>
      <c r="E178" s="49" t="n"/>
      <c r="F178" s="17" t="n"/>
      <c r="G178" s="17" t="n"/>
      <c r="H178" s="49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36" t="n"/>
      <c r="U178" s="36" t="n"/>
      <c r="V178" s="36" t="n"/>
      <c r="W178" s="36" t="n"/>
      <c r="X178" s="36" t="n"/>
      <c r="Y178" s="36" t="n"/>
      <c r="Z178" s="36" t="n"/>
      <c r="AA178" s="36" t="n"/>
      <c r="AB178" s="36" t="n"/>
    </row>
    <row r="179">
      <c r="A179" s="48" t="n"/>
      <c r="B179" s="49" t="n"/>
      <c r="C179" s="17" t="n"/>
      <c r="D179" s="49" t="n"/>
      <c r="E179" s="49" t="n"/>
      <c r="F179" s="17" t="n"/>
      <c r="G179" s="17" t="n"/>
      <c r="H179" s="49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36" t="n"/>
      <c r="U179" s="36" t="n"/>
      <c r="V179" s="36" t="n"/>
      <c r="W179" s="36" t="n"/>
      <c r="X179" s="36" t="n"/>
      <c r="Y179" s="36" t="n"/>
      <c r="Z179" s="36" t="n"/>
      <c r="AA179" s="36" t="n"/>
      <c r="AB179" s="36" t="n"/>
    </row>
    <row r="180">
      <c r="A180" s="48" t="n"/>
      <c r="B180" s="49" t="n"/>
      <c r="C180" s="17" t="n"/>
      <c r="D180" s="49" t="n"/>
      <c r="E180" s="49" t="n"/>
      <c r="F180" s="17" t="n"/>
      <c r="G180" s="17" t="n"/>
      <c r="H180" s="49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36" t="n"/>
      <c r="U180" s="36" t="n"/>
      <c r="V180" s="36" t="n"/>
      <c r="W180" s="36" t="n"/>
      <c r="X180" s="36" t="n"/>
      <c r="Y180" s="36" t="n"/>
      <c r="Z180" s="36" t="n"/>
      <c r="AA180" s="36" t="n"/>
      <c r="AB180" s="36" t="n"/>
    </row>
    <row r="181">
      <c r="A181" s="48" t="n"/>
      <c r="B181" s="49" t="n"/>
      <c r="C181" s="17" t="n"/>
      <c r="D181" s="49" t="n"/>
      <c r="E181" s="49" t="n"/>
      <c r="F181" s="17" t="n"/>
      <c r="G181" s="17" t="n"/>
      <c r="H181" s="49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36" t="n"/>
      <c r="U181" s="36" t="n"/>
      <c r="V181" s="36" t="n"/>
      <c r="W181" s="36" t="n"/>
      <c r="X181" s="36" t="n"/>
      <c r="Y181" s="36" t="n"/>
      <c r="Z181" s="36" t="n"/>
      <c r="AA181" s="36" t="n"/>
      <c r="AB181" s="36" t="n"/>
    </row>
    <row r="182">
      <c r="A182" s="48" t="n"/>
      <c r="B182" s="49" t="n"/>
      <c r="C182" s="17" t="n"/>
      <c r="D182" s="49" t="n"/>
      <c r="E182" s="49" t="n"/>
      <c r="F182" s="17" t="n"/>
      <c r="G182" s="17" t="n"/>
      <c r="H182" s="49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36" t="n"/>
      <c r="U182" s="36" t="n"/>
      <c r="V182" s="36" t="n"/>
      <c r="W182" s="36" t="n"/>
      <c r="X182" s="36" t="n"/>
      <c r="Y182" s="36" t="n"/>
      <c r="Z182" s="36" t="n"/>
      <c r="AA182" s="36" t="n"/>
      <c r="AB182" s="36" t="n"/>
    </row>
    <row r="183">
      <c r="A183" s="48" t="n"/>
      <c r="B183" s="49" t="n"/>
      <c r="C183" s="17" t="n"/>
      <c r="D183" s="49" t="n"/>
      <c r="E183" s="49" t="n"/>
      <c r="F183" s="17" t="n"/>
      <c r="G183" s="17" t="n"/>
      <c r="H183" s="49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36" t="n"/>
      <c r="U183" s="36" t="n"/>
      <c r="V183" s="36" t="n"/>
      <c r="W183" s="36" t="n"/>
      <c r="X183" s="36" t="n"/>
      <c r="Y183" s="36" t="n"/>
      <c r="Z183" s="36" t="n"/>
      <c r="AA183" s="36" t="n"/>
      <c r="AB183" s="36" t="n"/>
    </row>
    <row r="184">
      <c r="A184" s="48" t="n"/>
      <c r="B184" s="49" t="n"/>
      <c r="C184" s="17" t="n"/>
      <c r="D184" s="49" t="n"/>
      <c r="E184" s="49" t="n"/>
      <c r="F184" s="17" t="n"/>
      <c r="G184" s="17" t="n"/>
      <c r="H184" s="49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36" t="n"/>
      <c r="U184" s="36" t="n"/>
      <c r="V184" s="36" t="n"/>
      <c r="W184" s="36" t="n"/>
      <c r="X184" s="36" t="n"/>
      <c r="Y184" s="36" t="n"/>
      <c r="Z184" s="36" t="n"/>
      <c r="AA184" s="36" t="n"/>
      <c r="AB184" s="36" t="n"/>
    </row>
    <row r="185">
      <c r="A185" s="48" t="n"/>
      <c r="B185" s="49" t="n"/>
      <c r="C185" s="17" t="n"/>
      <c r="D185" s="49" t="n"/>
      <c r="E185" s="49" t="n"/>
      <c r="F185" s="17" t="n"/>
      <c r="G185" s="17" t="n"/>
      <c r="H185" s="49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36" t="n"/>
      <c r="U185" s="36" t="n"/>
      <c r="V185" s="36" t="n"/>
      <c r="W185" s="36" t="n"/>
      <c r="X185" s="36" t="n"/>
      <c r="Y185" s="36" t="n"/>
      <c r="Z185" s="36" t="n"/>
      <c r="AA185" s="36" t="n"/>
      <c r="AB185" s="36" t="n"/>
    </row>
    <row r="186">
      <c r="A186" s="48" t="n"/>
      <c r="B186" s="49" t="n"/>
      <c r="C186" s="17" t="n"/>
      <c r="D186" s="49" t="n"/>
      <c r="E186" s="49" t="n"/>
      <c r="F186" s="17" t="n"/>
      <c r="G186" s="17" t="n"/>
      <c r="H186" s="49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36" t="n"/>
      <c r="U186" s="36" t="n"/>
      <c r="V186" s="36" t="n"/>
      <c r="W186" s="36" t="n"/>
      <c r="X186" s="36" t="n"/>
      <c r="Y186" s="36" t="n"/>
      <c r="Z186" s="36" t="n"/>
      <c r="AA186" s="36" t="n"/>
      <c r="AB186" s="36" t="n"/>
    </row>
    <row r="187">
      <c r="A187" s="48" t="n"/>
      <c r="B187" s="49" t="n"/>
      <c r="C187" s="17" t="n"/>
      <c r="D187" s="49" t="n"/>
      <c r="E187" s="49" t="n"/>
      <c r="F187" s="17" t="n"/>
      <c r="G187" s="17" t="n"/>
      <c r="H187" s="49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36" t="n"/>
      <c r="U187" s="36" t="n"/>
      <c r="V187" s="36" t="n"/>
      <c r="W187" s="36" t="n"/>
      <c r="X187" s="36" t="n"/>
      <c r="Y187" s="36" t="n"/>
      <c r="Z187" s="36" t="n"/>
      <c r="AA187" s="36" t="n"/>
      <c r="AB187" s="36" t="n"/>
    </row>
    <row r="188">
      <c r="A188" s="48" t="n"/>
      <c r="B188" s="49" t="n"/>
      <c r="C188" s="17" t="n"/>
      <c r="D188" s="49" t="n"/>
      <c r="E188" s="49" t="n"/>
      <c r="F188" s="17" t="n"/>
      <c r="G188" s="17" t="n"/>
      <c r="H188" s="49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36" t="n"/>
      <c r="U188" s="36" t="n"/>
      <c r="V188" s="36" t="n"/>
      <c r="W188" s="36" t="n"/>
      <c r="X188" s="36" t="n"/>
      <c r="Y188" s="36" t="n"/>
      <c r="Z188" s="36" t="n"/>
      <c r="AA188" s="36" t="n"/>
      <c r="AB188" s="36" t="n"/>
    </row>
    <row r="189">
      <c r="A189" s="48" t="n"/>
      <c r="B189" s="49" t="n"/>
      <c r="C189" s="17" t="n"/>
      <c r="D189" s="49" t="n"/>
      <c r="E189" s="49" t="n"/>
      <c r="F189" s="17" t="n"/>
      <c r="G189" s="17" t="n"/>
      <c r="H189" s="49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36" t="n"/>
      <c r="U189" s="36" t="n"/>
      <c r="V189" s="36" t="n"/>
      <c r="W189" s="36" t="n"/>
      <c r="X189" s="36" t="n"/>
      <c r="Y189" s="36" t="n"/>
      <c r="Z189" s="36" t="n"/>
      <c r="AA189" s="36" t="n"/>
      <c r="AB189" s="36" t="n"/>
    </row>
    <row r="190">
      <c r="A190" s="48" t="n"/>
      <c r="B190" s="49" t="n"/>
      <c r="C190" s="17" t="n"/>
      <c r="D190" s="49" t="n"/>
      <c r="E190" s="49" t="n"/>
      <c r="F190" s="17" t="n"/>
      <c r="G190" s="17" t="n"/>
      <c r="H190" s="49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36" t="n"/>
      <c r="U190" s="36" t="n"/>
      <c r="V190" s="36" t="n"/>
      <c r="W190" s="36" t="n"/>
      <c r="X190" s="36" t="n"/>
      <c r="Y190" s="36" t="n"/>
      <c r="Z190" s="36" t="n"/>
      <c r="AA190" s="36" t="n"/>
      <c r="AB190" s="36" t="n"/>
    </row>
    <row r="191">
      <c r="A191" s="48" t="n"/>
      <c r="B191" s="49" t="n"/>
      <c r="C191" s="17" t="n"/>
      <c r="D191" s="49" t="n"/>
      <c r="E191" s="49" t="n"/>
      <c r="F191" s="17" t="n"/>
      <c r="G191" s="17" t="n"/>
      <c r="H191" s="49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36" t="n"/>
      <c r="U191" s="36" t="n"/>
      <c r="V191" s="36" t="n"/>
      <c r="W191" s="36" t="n"/>
      <c r="X191" s="36" t="n"/>
      <c r="Y191" s="36" t="n"/>
      <c r="Z191" s="36" t="n"/>
      <c r="AA191" s="36" t="n"/>
      <c r="AB191" s="36" t="n"/>
    </row>
    <row r="192">
      <c r="A192" s="48" t="n"/>
      <c r="B192" s="49" t="n"/>
      <c r="C192" s="17" t="n"/>
      <c r="D192" s="49" t="n"/>
      <c r="E192" s="49" t="n"/>
      <c r="F192" s="17" t="n"/>
      <c r="G192" s="17" t="n"/>
      <c r="H192" s="49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36" t="n"/>
      <c r="U192" s="36" t="n"/>
      <c r="V192" s="36" t="n"/>
      <c r="W192" s="36" t="n"/>
      <c r="X192" s="36" t="n"/>
      <c r="Y192" s="36" t="n"/>
      <c r="Z192" s="36" t="n"/>
      <c r="AA192" s="36" t="n"/>
      <c r="AB192" s="36" t="n"/>
    </row>
    <row r="193">
      <c r="A193" s="48" t="n"/>
      <c r="B193" s="49" t="n"/>
      <c r="C193" s="17" t="n"/>
      <c r="D193" s="49" t="n"/>
      <c r="E193" s="49" t="n"/>
      <c r="F193" s="17" t="n"/>
      <c r="G193" s="17" t="n"/>
      <c r="H193" s="49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36" t="n"/>
      <c r="U193" s="36" t="n"/>
      <c r="V193" s="36" t="n"/>
      <c r="W193" s="36" t="n"/>
      <c r="X193" s="36" t="n"/>
      <c r="Y193" s="36" t="n"/>
      <c r="Z193" s="36" t="n"/>
      <c r="AA193" s="36" t="n"/>
      <c r="AB193" s="36" t="n"/>
    </row>
    <row r="194">
      <c r="A194" s="48" t="n"/>
      <c r="B194" s="49" t="n"/>
      <c r="C194" s="17" t="n"/>
      <c r="D194" s="49" t="n"/>
      <c r="E194" s="49" t="n"/>
      <c r="F194" s="17" t="n"/>
      <c r="G194" s="17" t="n"/>
      <c r="H194" s="49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36" t="n"/>
      <c r="U194" s="36" t="n"/>
      <c r="V194" s="36" t="n"/>
      <c r="W194" s="36" t="n"/>
      <c r="X194" s="36" t="n"/>
      <c r="Y194" s="36" t="n"/>
      <c r="Z194" s="36" t="n"/>
      <c r="AA194" s="36" t="n"/>
      <c r="AB194" s="36" t="n"/>
    </row>
    <row r="195">
      <c r="A195" s="48" t="n"/>
      <c r="B195" s="49" t="n"/>
      <c r="C195" s="17" t="n"/>
      <c r="D195" s="49" t="n"/>
      <c r="E195" s="49" t="n"/>
      <c r="F195" s="17" t="n"/>
      <c r="G195" s="17" t="n"/>
      <c r="H195" s="49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36" t="n"/>
      <c r="U195" s="36" t="n"/>
      <c r="V195" s="36" t="n"/>
      <c r="W195" s="36" t="n"/>
      <c r="X195" s="36" t="n"/>
      <c r="Y195" s="36" t="n"/>
      <c r="Z195" s="36" t="n"/>
      <c r="AA195" s="36" t="n"/>
      <c r="AB195" s="36" t="n"/>
    </row>
    <row r="196">
      <c r="A196" s="48" t="n"/>
      <c r="B196" s="49" t="n"/>
      <c r="C196" s="17" t="n"/>
      <c r="D196" s="49" t="n"/>
      <c r="E196" s="49" t="n"/>
      <c r="F196" s="17" t="n"/>
      <c r="G196" s="17" t="n"/>
      <c r="H196" s="49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36" t="n"/>
      <c r="U196" s="36" t="n"/>
      <c r="V196" s="36" t="n"/>
      <c r="W196" s="36" t="n"/>
      <c r="X196" s="36" t="n"/>
      <c r="Y196" s="36" t="n"/>
      <c r="Z196" s="36" t="n"/>
      <c r="AA196" s="36" t="n"/>
      <c r="AB196" s="36" t="n"/>
    </row>
    <row r="197">
      <c r="A197" s="48" t="n"/>
      <c r="B197" s="49" t="n"/>
      <c r="C197" s="17" t="n"/>
      <c r="D197" s="49" t="n"/>
      <c r="E197" s="49" t="n"/>
      <c r="F197" s="17" t="n"/>
      <c r="G197" s="17" t="n"/>
      <c r="H197" s="49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36" t="n"/>
      <c r="U197" s="36" t="n"/>
      <c r="V197" s="36" t="n"/>
      <c r="W197" s="36" t="n"/>
      <c r="X197" s="36" t="n"/>
      <c r="Y197" s="36" t="n"/>
      <c r="Z197" s="36" t="n"/>
      <c r="AA197" s="36" t="n"/>
      <c r="AB197" s="36" t="n"/>
    </row>
    <row r="198">
      <c r="A198" s="48" t="n"/>
      <c r="B198" s="49" t="n"/>
      <c r="C198" s="17" t="n"/>
      <c r="D198" s="49" t="n"/>
      <c r="E198" s="49" t="n"/>
      <c r="F198" s="17" t="n"/>
      <c r="G198" s="17" t="n"/>
      <c r="H198" s="49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36" t="n"/>
      <c r="U198" s="36" t="n"/>
      <c r="V198" s="36" t="n"/>
      <c r="W198" s="36" t="n"/>
      <c r="X198" s="36" t="n"/>
      <c r="Y198" s="36" t="n"/>
      <c r="Z198" s="36" t="n"/>
      <c r="AA198" s="36" t="n"/>
      <c r="AB198" s="36" t="n"/>
    </row>
    <row r="199">
      <c r="A199" s="48" t="n"/>
      <c r="B199" s="49" t="n"/>
      <c r="C199" s="17" t="n"/>
      <c r="D199" s="49" t="n"/>
      <c r="E199" s="49" t="n"/>
      <c r="F199" s="17" t="n"/>
      <c r="G199" s="17" t="n"/>
      <c r="H199" s="49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36" t="n"/>
      <c r="U199" s="36" t="n"/>
      <c r="V199" s="36" t="n"/>
      <c r="W199" s="36" t="n"/>
      <c r="X199" s="36" t="n"/>
      <c r="Y199" s="36" t="n"/>
      <c r="Z199" s="36" t="n"/>
      <c r="AA199" s="36" t="n"/>
      <c r="AB199" s="36" t="n"/>
    </row>
    <row r="200">
      <c r="A200" s="48" t="n"/>
      <c r="B200" s="49" t="n"/>
      <c r="C200" s="17" t="n"/>
      <c r="D200" s="49" t="n"/>
      <c r="E200" s="49" t="n"/>
      <c r="F200" s="17" t="n"/>
      <c r="G200" s="17" t="n"/>
      <c r="H200" s="49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36" t="n"/>
      <c r="U200" s="36" t="n"/>
      <c r="V200" s="36" t="n"/>
      <c r="W200" s="36" t="n"/>
      <c r="X200" s="36" t="n"/>
      <c r="Y200" s="36" t="n"/>
      <c r="Z200" s="36" t="n"/>
      <c r="AA200" s="36" t="n"/>
      <c r="AB200" s="36" t="n"/>
    </row>
    <row r="201">
      <c r="A201" s="48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36" t="n"/>
      <c r="U201" s="36" t="n"/>
      <c r="V201" s="36" t="n"/>
      <c r="W201" s="36" t="n"/>
      <c r="X201" s="36" t="n"/>
      <c r="Y201" s="36" t="n"/>
      <c r="Z201" s="36" t="n"/>
      <c r="AA201" s="36" t="n"/>
      <c r="AB201" s="36" t="n"/>
    </row>
    <row r="202">
      <c r="A202" s="48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36" t="n"/>
      <c r="U202" s="36" t="n"/>
      <c r="V202" s="36" t="n"/>
      <c r="W202" s="36" t="n"/>
      <c r="X202" s="36" t="n"/>
      <c r="Y202" s="36" t="n"/>
      <c r="Z202" s="36" t="n"/>
      <c r="AA202" s="36" t="n"/>
      <c r="AB202" s="36" t="n"/>
    </row>
    <row r="203">
      <c r="A203" s="48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36" t="n"/>
      <c r="U203" s="36" t="n"/>
      <c r="V203" s="36" t="n"/>
      <c r="W203" s="36" t="n"/>
      <c r="X203" s="36" t="n"/>
      <c r="Y203" s="36" t="n"/>
      <c r="Z203" s="36" t="n"/>
      <c r="AA203" s="36" t="n"/>
      <c r="AB203" s="36" t="n"/>
    </row>
    <row r="204">
      <c r="A204" s="48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36" t="n"/>
      <c r="U204" s="36" t="n"/>
      <c r="V204" s="36" t="n"/>
      <c r="W204" s="36" t="n"/>
      <c r="X204" s="36" t="n"/>
      <c r="Y204" s="36" t="n"/>
      <c r="Z204" s="36" t="n"/>
      <c r="AA204" s="36" t="n"/>
      <c r="AB204" s="36" t="n"/>
    </row>
    <row r="205">
      <c r="A205" s="48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36" t="n"/>
      <c r="U205" s="36" t="n"/>
      <c r="V205" s="36" t="n"/>
      <c r="W205" s="36" t="n"/>
      <c r="X205" s="36" t="n"/>
      <c r="Y205" s="36" t="n"/>
      <c r="Z205" s="36" t="n"/>
      <c r="AA205" s="36" t="n"/>
      <c r="AB205" s="36" t="n"/>
    </row>
    <row r="206">
      <c r="A206" s="48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36" t="n"/>
      <c r="U206" s="36" t="n"/>
      <c r="V206" s="36" t="n"/>
      <c r="W206" s="36" t="n"/>
      <c r="X206" s="36" t="n"/>
      <c r="Y206" s="36" t="n"/>
      <c r="Z206" s="36" t="n"/>
      <c r="AA206" s="36" t="n"/>
      <c r="AB206" s="36" t="n"/>
    </row>
    <row r="207">
      <c r="A207" s="48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36" t="n"/>
      <c r="U207" s="36" t="n"/>
      <c r="V207" s="36" t="n"/>
      <c r="W207" s="36" t="n"/>
      <c r="X207" s="36" t="n"/>
      <c r="Y207" s="36" t="n"/>
      <c r="Z207" s="36" t="n"/>
      <c r="AA207" s="36" t="n"/>
      <c r="AB207" s="36" t="n"/>
    </row>
    <row r="208">
      <c r="A208" s="48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36" t="n"/>
      <c r="U208" s="36" t="n"/>
      <c r="V208" s="36" t="n"/>
      <c r="W208" s="36" t="n"/>
      <c r="X208" s="36" t="n"/>
      <c r="Y208" s="36" t="n"/>
      <c r="Z208" s="36" t="n"/>
      <c r="AA208" s="36" t="n"/>
      <c r="AB208" s="36" t="n"/>
    </row>
    <row r="209">
      <c r="A209" s="48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36" t="n"/>
      <c r="U209" s="36" t="n"/>
      <c r="V209" s="36" t="n"/>
      <c r="W209" s="36" t="n"/>
      <c r="X209" s="36" t="n"/>
      <c r="Y209" s="36" t="n"/>
      <c r="Z209" s="36" t="n"/>
      <c r="AA209" s="36" t="n"/>
      <c r="AB209" s="36" t="n"/>
    </row>
    <row r="210">
      <c r="A210" s="48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36" t="n"/>
      <c r="U210" s="36" t="n"/>
      <c r="V210" s="36" t="n"/>
      <c r="W210" s="36" t="n"/>
      <c r="X210" s="36" t="n"/>
      <c r="Y210" s="36" t="n"/>
      <c r="Z210" s="36" t="n"/>
      <c r="AA210" s="36" t="n"/>
      <c r="AB210" s="36" t="n"/>
    </row>
  </sheetData>
  <dataValidations count="1">
    <dataValidation sqref="F2:F1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min="1" max="1"/>
    <col width="18" customWidth="1" min="2" max="2"/>
    <col width="16" customWidth="1" min="3" max="3"/>
    <col width="30" customWidth="1" min="4" max="4"/>
    <col width="25" customWidth="1" min="5" max="5"/>
    <col width="22" customWidth="1" min="6" max="6"/>
    <col width="24" customWidth="1" min="7" max="8"/>
    <col width="24" customWidth="1" min="8" max="8"/>
    <col width="22" customWidth="1" min="9" max="9"/>
    <col width="25" customWidth="1" min="10" max="11"/>
    <col width="25" customWidth="1" min="11" max="11"/>
  </cols>
  <sheetData>
    <row r="1" ht="40" customHeight="1">
      <c r="A1" s="186" t="inlineStr">
        <is>
          <t>Item</t>
        </is>
      </c>
      <c r="B1" s="186" t="inlineStr">
        <is>
          <t>Data do aditivo</t>
        </is>
      </c>
      <c r="C1" s="186" t="inlineStr">
        <is>
          <t>Ciclo/Marco</t>
        </is>
      </c>
      <c r="D1" s="186" t="inlineStr">
        <is>
          <t>Tipo de alteracao (Acrescimo / Supressao)</t>
        </is>
      </c>
      <c r="E1" s="131" t="inlineStr">
        <is>
          <t>Quantidade acrescida/suprimida</t>
        </is>
      </c>
      <c r="F1" s="276" t="inlineStr">
        <is>
          <t>Valor unitario original</t>
        </is>
      </c>
      <c r="G1" s="276" t="inlineStr">
        <is>
          <t>Valor original da alteracao</t>
        </is>
      </c>
      <c r="H1" s="186" t="inlineStr">
        <is>
          <t>Aplicar reajuste? (Sim/Nao)</t>
        </is>
      </c>
      <c r="I1" s="186" t="inlineStr">
        <is>
          <t>Fator acumulado aplicavel</t>
        </is>
      </c>
      <c r="J1" s="276" t="inlineStr">
        <is>
          <t>Valor atualizado da alteracao</t>
        </is>
      </c>
      <c r="K1" s="186" t="inlineStr">
        <is>
          <t>Considerado no calculo (Sim/Nao)</t>
        </is>
      </c>
    </row>
    <row r="2" ht="15.9" customHeight="1">
      <c r="A2" s="277" t="n"/>
      <c r="B2" s="278" t="n"/>
      <c r="C2" s="262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277" t="n"/>
      <c r="E2" s="279" t="n"/>
      <c r="F2" s="280">
        <f>IF(A2="","",IFERROR(VLOOKUP(A2,itens_Remanesc!$A:$C,3,0),""))</f>
        <v/>
      </c>
      <c r="G2" s="280">
        <f>IF(OR(E2="",F2=""),"",ROUND(E2*F2,2))</f>
        <v/>
      </c>
      <c r="H2" s="277" t="n"/>
      <c r="I2" s="205">
        <f>IFERROR(VLOOKUP(C2,parametros!$B:$F,5,0),"")</f>
        <v/>
      </c>
      <c r="J2" s="280">
        <f>IF(G2="","",ROUND(IF(OR(UPPER(D2)="SUPRESSAO",UPPER(D2)="DECRESCIMO"),-1,1)*G2*IF(AND(UPPER(H2)="SIM",ISNUMBER(I2)),I2,1),2))</f>
        <v/>
      </c>
      <c r="K2" s="277" t="n"/>
    </row>
    <row r="3" ht="15.9" customHeight="1">
      <c r="A3" s="277" t="n"/>
      <c r="B3" s="278" t="n"/>
      <c r="C3" s="262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277" t="n"/>
      <c r="E3" s="279" t="n"/>
      <c r="F3" s="280">
        <f>IF(A3="","",IFERROR(VLOOKUP(A3,itens_Remanesc!$A:$C,3,0),""))</f>
        <v/>
      </c>
      <c r="G3" s="280">
        <f>IF(OR(E3="",F3=""),"",ROUND(E3*F3,2))</f>
        <v/>
      </c>
      <c r="H3" s="277" t="n"/>
      <c r="I3" s="205">
        <f>IFERROR(VLOOKUP(C3,parametros!$B:$F,5,0),"")</f>
        <v/>
      </c>
      <c r="J3" s="280">
        <f>IF(G3="","",ROUND(IF(OR(UPPER(D3)="SUPRESSAO",UPPER(D3)="DECRESCIMO"),-1,1)*G3*IF(AND(UPPER(H3)="SIM",ISNUMBER(I3)),I3,1),2))</f>
        <v/>
      </c>
      <c r="K3" s="277" t="n"/>
    </row>
    <row r="4" ht="15.9" customHeight="1">
      <c r="A4" s="277" t="n"/>
      <c r="B4" s="278" t="n"/>
      <c r="C4" s="262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277" t="n"/>
      <c r="E4" s="279" t="n"/>
      <c r="F4" s="280">
        <f>IF(A4="","",IFERROR(VLOOKUP(A4,itens_Remanesc!$A:$C,3,0),""))</f>
        <v/>
      </c>
      <c r="G4" s="280">
        <f>IF(OR(E4="",F4=""),"",ROUND(E4*F4,2))</f>
        <v/>
      </c>
      <c r="H4" s="277" t="n"/>
      <c r="I4" s="205">
        <f>IFERROR(VLOOKUP(C4,parametros!$B:$F,5,0),"")</f>
        <v/>
      </c>
      <c r="J4" s="280">
        <f>IF(G4="","",ROUND(IF(OR(UPPER(D4)="SUPRESSAO",UPPER(D4)="DECRESCIMO"),-1,1)*G4*IF(AND(UPPER(H4)="SIM",ISNUMBER(I4)),I4,1),2))</f>
        <v/>
      </c>
      <c r="K4" s="277" t="n"/>
    </row>
    <row r="5" ht="15.9" customHeight="1">
      <c r="A5" s="277" t="n"/>
      <c r="B5" s="278" t="n"/>
      <c r="C5" s="262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277" t="n"/>
      <c r="E5" s="279" t="n"/>
      <c r="F5" s="280">
        <f>IF(A5="","",IFERROR(VLOOKUP(A5,itens_Remanesc!$A:$C,3,0),""))</f>
        <v/>
      </c>
      <c r="G5" s="280">
        <f>IF(OR(E5="",F5=""),"",ROUND(E5*F5,2))</f>
        <v/>
      </c>
      <c r="H5" s="277" t="n"/>
      <c r="I5" s="205">
        <f>IFERROR(VLOOKUP(C5,parametros!$B:$F,5,0),"")</f>
        <v/>
      </c>
      <c r="J5" s="280">
        <f>IF(G5="","",ROUND(IF(OR(UPPER(D5)="SUPRESSAO",UPPER(D5)="DECRESCIMO"),-1,1)*G5*IF(AND(UPPER(H5)="SIM",ISNUMBER(I5)),I5,1),2))</f>
        <v/>
      </c>
      <c r="K5" s="277" t="n"/>
    </row>
    <row r="6" ht="15.9" customHeight="1">
      <c r="A6" s="277" t="n"/>
      <c r="B6" s="278" t="n"/>
      <c r="C6" s="262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277" t="n"/>
      <c r="E6" s="279" t="n"/>
      <c r="F6" s="280">
        <f>IF(A6="","",IFERROR(VLOOKUP(A6,itens_Remanesc!$A:$C,3,0),""))</f>
        <v/>
      </c>
      <c r="G6" s="280">
        <f>IF(OR(E6="",F6=""),"",ROUND(E6*F6,2))</f>
        <v/>
      </c>
      <c r="H6" s="277" t="n"/>
      <c r="I6" s="205">
        <f>IFERROR(VLOOKUP(C6,parametros!$B:$F,5,0),"")</f>
        <v/>
      </c>
      <c r="J6" s="280">
        <f>IF(G6="","",ROUND(IF(OR(UPPER(D6)="SUPRESSAO",UPPER(D6)="DECRESCIMO"),-1,1)*G6*IF(AND(UPPER(H6)="SIM",ISNUMBER(I6)),I6,1),2))</f>
        <v/>
      </c>
      <c r="K6" s="277" t="n"/>
    </row>
    <row r="7" ht="15.9" customHeight="1">
      <c r="A7" s="277" t="n"/>
      <c r="B7" s="278" t="n"/>
      <c r="C7" s="262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277" t="n"/>
      <c r="E7" s="279" t="n"/>
      <c r="F7" s="280">
        <f>IF(A7="","",IFERROR(VLOOKUP(A7,itens_Remanesc!$A:$C,3,0),""))</f>
        <v/>
      </c>
      <c r="G7" s="280">
        <f>IF(OR(E7="",F7=""),"",ROUND(E7*F7,2))</f>
        <v/>
      </c>
      <c r="H7" s="277" t="n"/>
      <c r="I7" s="205">
        <f>IFERROR(VLOOKUP(C7,parametros!$B:$F,5,0),"")</f>
        <v/>
      </c>
      <c r="J7" s="280">
        <f>IF(G7="","",ROUND(IF(OR(UPPER(D7)="SUPRESSAO",UPPER(D7)="DECRESCIMO"),-1,1)*G7*IF(AND(UPPER(H7)="SIM",ISNUMBER(I7)),I7,1),2))</f>
        <v/>
      </c>
      <c r="K7" s="277" t="n"/>
    </row>
    <row r="8" ht="15.9" customHeight="1">
      <c r="A8" s="277" t="n"/>
      <c r="B8" s="278" t="n"/>
      <c r="C8" s="262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277" t="n"/>
      <c r="E8" s="279" t="n"/>
      <c r="F8" s="280">
        <f>IF(A8="","",IFERROR(VLOOKUP(A8,itens_Remanesc!$A:$C,3,0),""))</f>
        <v/>
      </c>
      <c r="G8" s="280">
        <f>IF(OR(E8="",F8=""),"",ROUND(E8*F8,2))</f>
        <v/>
      </c>
      <c r="H8" s="277" t="n"/>
      <c r="I8" s="205">
        <f>IFERROR(VLOOKUP(C8,parametros!$B:$F,5,0),"")</f>
        <v/>
      </c>
      <c r="J8" s="280">
        <f>IF(G8="","",ROUND(IF(OR(UPPER(D8)="SUPRESSAO",UPPER(D8)="DECRESCIMO"),-1,1)*G8*IF(AND(UPPER(H8)="SIM",ISNUMBER(I8)),I8,1),2))</f>
        <v/>
      </c>
      <c r="K8" s="277" t="n"/>
    </row>
    <row r="9" ht="15.9" customHeight="1">
      <c r="A9" s="277" t="n"/>
      <c r="B9" s="278" t="n"/>
      <c r="C9" s="262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277" t="n"/>
      <c r="E9" s="279" t="n"/>
      <c r="F9" s="280">
        <f>IF(A9="","",IFERROR(VLOOKUP(A9,itens_Remanesc!$A:$C,3,0),""))</f>
        <v/>
      </c>
      <c r="G9" s="280">
        <f>IF(OR(E9="",F9=""),"",ROUND(E9*F9,2))</f>
        <v/>
      </c>
      <c r="H9" s="277" t="n"/>
      <c r="I9" s="205">
        <f>IFERROR(VLOOKUP(C9,parametros!$B:$F,5,0),"")</f>
        <v/>
      </c>
      <c r="J9" s="280">
        <f>IF(G9="","",ROUND(IF(OR(UPPER(D9)="SUPRESSAO",UPPER(D9)="DECRESCIMO"),-1,1)*G9*IF(AND(UPPER(H9)="SIM",ISNUMBER(I9)),I9,1),2))</f>
        <v/>
      </c>
      <c r="K9" s="277" t="n"/>
    </row>
    <row r="10" ht="15.9" customHeight="1">
      <c r="A10" s="277" t="n"/>
      <c r="B10" s="278" t="n"/>
      <c r="C10" s="262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277" t="n"/>
      <c r="E10" s="279" t="n"/>
      <c r="F10" s="280">
        <f>IF(A10="","",IFERROR(VLOOKUP(A10,itens_Remanesc!$A:$C,3,0),""))</f>
        <v/>
      </c>
      <c r="G10" s="280">
        <f>IF(OR(E10="",F10=""),"",ROUND(E10*F10,2))</f>
        <v/>
      </c>
      <c r="H10" s="277" t="n"/>
      <c r="I10" s="205">
        <f>IFERROR(VLOOKUP(C10,parametros!$B:$F,5,0),"")</f>
        <v/>
      </c>
      <c r="J10" s="280">
        <f>IF(G10="","",ROUND(IF(OR(UPPER(D10)="SUPRESSAO",UPPER(D10)="DECRESCIMO"),-1,1)*G10*IF(AND(UPPER(H10)="SIM",ISNUMBER(I10)),I10,1),2))</f>
        <v/>
      </c>
      <c r="K10" s="277" t="n"/>
    </row>
    <row r="11" ht="15.9" customHeight="1">
      <c r="A11" s="277" t="n"/>
      <c r="B11" s="278" t="n"/>
      <c r="C11" s="262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277" t="n"/>
      <c r="E11" s="279" t="n"/>
      <c r="F11" s="280">
        <f>IF(A11="","",IFERROR(VLOOKUP(A11,itens_Remanesc!$A:$C,3,0),""))</f>
        <v/>
      </c>
      <c r="G11" s="280">
        <f>IF(OR(E11="",F11=""),"",ROUND(E11*F11,2))</f>
        <v/>
      </c>
      <c r="H11" s="277" t="n"/>
      <c r="I11" s="205">
        <f>IFERROR(VLOOKUP(C11,parametros!$B:$F,5,0),"")</f>
        <v/>
      </c>
      <c r="J11" s="280">
        <f>IF(G11="","",ROUND(IF(OR(UPPER(D11)="SUPRESSAO",UPPER(D11)="DECRESCIMO"),-1,1)*G11*IF(AND(UPPER(H11)="SIM",ISNUMBER(I11)),I11,1),2))</f>
        <v/>
      </c>
      <c r="K11" s="277" t="n"/>
    </row>
    <row r="12" ht="15.9" customHeight="1">
      <c r="A12" s="277" t="n"/>
      <c r="B12" s="278" t="n"/>
      <c r="C12" s="262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277" t="n"/>
      <c r="E12" s="279" t="n"/>
      <c r="F12" s="280">
        <f>IF(A12="","",IFERROR(VLOOKUP(A12,itens_Remanesc!$A:$C,3,0),""))</f>
        <v/>
      </c>
      <c r="G12" s="280">
        <f>IF(OR(E12="",F12=""),"",ROUND(E12*F12,2))</f>
        <v/>
      </c>
      <c r="H12" s="277" t="n"/>
      <c r="I12" s="205">
        <f>IFERROR(VLOOKUP(C12,parametros!$B:$F,5,0),"")</f>
        <v/>
      </c>
      <c r="J12" s="280">
        <f>IF(G12="","",ROUND(IF(OR(UPPER(D12)="SUPRESSAO",UPPER(D12)="DECRESCIMO"),-1,1)*G12*IF(AND(UPPER(H12)="SIM",ISNUMBER(I12)),I12,1),2))</f>
        <v/>
      </c>
      <c r="K12" s="277" t="n"/>
    </row>
    <row r="13" ht="15.9" customHeight="1">
      <c r="A13" s="277" t="n"/>
      <c r="B13" s="278" t="n"/>
      <c r="C13" s="262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277" t="n"/>
      <c r="E13" s="279" t="n"/>
      <c r="F13" s="280">
        <f>IF(A13="","",IFERROR(VLOOKUP(A13,itens_Remanesc!$A:$C,3,0),""))</f>
        <v/>
      </c>
      <c r="G13" s="280">
        <f>IF(OR(E13="",F13=""),"",ROUND(E13*F13,2))</f>
        <v/>
      </c>
      <c r="H13" s="277" t="n"/>
      <c r="I13" s="205">
        <f>IFERROR(VLOOKUP(C13,parametros!$B:$F,5,0),"")</f>
        <v/>
      </c>
      <c r="J13" s="280">
        <f>IF(G13="","",ROUND(IF(OR(UPPER(D13)="SUPRESSAO",UPPER(D13)="DECRESCIMO"),-1,1)*G13*IF(AND(UPPER(H13)="SIM",ISNUMBER(I13)),I13,1),2))</f>
        <v/>
      </c>
      <c r="K13" s="277" t="n"/>
    </row>
    <row r="14" ht="15.9" customHeight="1">
      <c r="A14" s="277" t="n"/>
      <c r="B14" s="278" t="n"/>
      <c r="C14" s="262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277" t="n"/>
      <c r="E14" s="279" t="n"/>
      <c r="F14" s="280">
        <f>IF(A14="","",IFERROR(VLOOKUP(A14,itens_Remanesc!$A:$C,3,0),""))</f>
        <v/>
      </c>
      <c r="G14" s="280">
        <f>IF(OR(E14="",F14=""),"",ROUND(E14*F14,2))</f>
        <v/>
      </c>
      <c r="H14" s="277" t="n"/>
      <c r="I14" s="205">
        <f>IFERROR(VLOOKUP(C14,parametros!$B:$F,5,0),"")</f>
        <v/>
      </c>
      <c r="J14" s="280">
        <f>IF(G14="","",ROUND(IF(OR(UPPER(D14)="SUPRESSAO",UPPER(D14)="DECRESCIMO"),-1,1)*G14*IF(AND(UPPER(H14)="SIM",ISNUMBER(I14)),I14,1),2))</f>
        <v/>
      </c>
      <c r="K14" s="277" t="n"/>
    </row>
    <row r="15" ht="15.9" customHeight="1">
      <c r="A15" s="277" t="n"/>
      <c r="B15" s="278" t="n"/>
      <c r="C15" s="262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277" t="n"/>
      <c r="E15" s="279" t="n"/>
      <c r="F15" s="280">
        <f>IF(A15="","",IFERROR(VLOOKUP(A15,itens_Remanesc!$A:$C,3,0),""))</f>
        <v/>
      </c>
      <c r="G15" s="280">
        <f>IF(OR(E15="",F15=""),"",ROUND(E15*F15,2))</f>
        <v/>
      </c>
      <c r="H15" s="277" t="n"/>
      <c r="I15" s="205">
        <f>IFERROR(VLOOKUP(C15,parametros!$B:$F,5,0),"")</f>
        <v/>
      </c>
      <c r="J15" s="280">
        <f>IF(G15="","",ROUND(IF(OR(UPPER(D15)="SUPRESSAO",UPPER(D15)="DECRESCIMO"),-1,1)*G15*IF(AND(UPPER(H15)="SIM",ISNUMBER(I15)),I15,1),2))</f>
        <v/>
      </c>
      <c r="K15" s="277" t="n"/>
    </row>
    <row r="16" ht="15.9" customHeight="1">
      <c r="A16" s="277" t="n"/>
      <c r="B16" s="278" t="n"/>
      <c r="C16" s="262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277" t="n"/>
      <c r="E16" s="279" t="n"/>
      <c r="F16" s="280">
        <f>IF(A16="","",IFERROR(VLOOKUP(A16,itens_Remanesc!$A:$C,3,0),""))</f>
        <v/>
      </c>
      <c r="G16" s="280">
        <f>IF(OR(E16="",F16=""),"",ROUND(E16*F16,2))</f>
        <v/>
      </c>
      <c r="H16" s="277" t="n"/>
      <c r="I16" s="205">
        <f>IFERROR(VLOOKUP(C16,parametros!$B:$F,5,0),"")</f>
        <v/>
      </c>
      <c r="J16" s="280">
        <f>IF(G16="","",ROUND(IF(OR(UPPER(D16)="SUPRESSAO",UPPER(D16)="DECRESCIMO"),-1,1)*G16*IF(AND(UPPER(H16)="SIM",ISNUMBER(I16)),I16,1),2))</f>
        <v/>
      </c>
      <c r="K16" s="277" t="n"/>
    </row>
    <row r="17" ht="15.9" customHeight="1">
      <c r="A17" s="277" t="n"/>
      <c r="B17" s="278" t="n"/>
      <c r="C17" s="262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277" t="n"/>
      <c r="E17" s="279" t="n"/>
      <c r="F17" s="280">
        <f>IF(A17="","",IFERROR(VLOOKUP(A17,itens_Remanesc!$A:$C,3,0),""))</f>
        <v/>
      </c>
      <c r="G17" s="280">
        <f>IF(OR(E17="",F17=""),"",ROUND(E17*F17,2))</f>
        <v/>
      </c>
      <c r="H17" s="277" t="n"/>
      <c r="I17" s="205">
        <f>IFERROR(VLOOKUP(C17,parametros!$B:$F,5,0),"")</f>
        <v/>
      </c>
      <c r="J17" s="280">
        <f>IF(G17="","",ROUND(IF(OR(UPPER(D17)="SUPRESSAO",UPPER(D17)="DECRESCIMO"),-1,1)*G17*IF(AND(UPPER(H17)="SIM",ISNUMBER(I17)),I17,1),2))</f>
        <v/>
      </c>
      <c r="K17" s="277" t="n"/>
    </row>
    <row r="18" ht="15.9" customHeight="1">
      <c r="A18" s="277" t="n"/>
      <c r="B18" s="278" t="n"/>
      <c r="C18" s="262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277" t="n"/>
      <c r="E18" s="279" t="n"/>
      <c r="F18" s="280">
        <f>IF(A18="","",IFERROR(VLOOKUP(A18,itens_Remanesc!$A:$C,3,0),""))</f>
        <v/>
      </c>
      <c r="G18" s="280">
        <f>IF(OR(E18="",F18=""),"",ROUND(E18*F18,2))</f>
        <v/>
      </c>
      <c r="H18" s="277" t="n"/>
      <c r="I18" s="205">
        <f>IFERROR(VLOOKUP(C18,parametros!$B:$F,5,0),"")</f>
        <v/>
      </c>
      <c r="J18" s="280">
        <f>IF(G18="","",ROUND(IF(OR(UPPER(D18)="SUPRESSAO",UPPER(D18)="DECRESCIMO"),-1,1)*G18*IF(AND(UPPER(H18)="SIM",ISNUMBER(I18)),I18,1),2))</f>
        <v/>
      </c>
      <c r="K18" s="277" t="n"/>
    </row>
    <row r="19" ht="15.9" customHeight="1">
      <c r="A19" s="277" t="n"/>
      <c r="B19" s="278" t="n"/>
      <c r="C19" s="262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277" t="n"/>
      <c r="E19" s="279" t="n"/>
      <c r="F19" s="280">
        <f>IF(A19="","",IFERROR(VLOOKUP(A19,itens_Remanesc!$A:$C,3,0),""))</f>
        <v/>
      </c>
      <c r="G19" s="280">
        <f>IF(OR(E19="",F19=""),"",ROUND(E19*F19,2))</f>
        <v/>
      </c>
      <c r="H19" s="277" t="n"/>
      <c r="I19" s="205">
        <f>IFERROR(VLOOKUP(C19,parametros!$B:$F,5,0),"")</f>
        <v/>
      </c>
      <c r="J19" s="280">
        <f>IF(G19="","",ROUND(IF(OR(UPPER(D19)="SUPRESSAO",UPPER(D19)="DECRESCIMO"),-1,1)*G19*IF(AND(UPPER(H19)="SIM",ISNUMBER(I19)),I19,1),2))</f>
        <v/>
      </c>
      <c r="K19" s="277" t="n"/>
    </row>
    <row r="20" ht="15.9" customHeight="1">
      <c r="A20" s="277" t="n"/>
      <c r="B20" s="278" t="n"/>
      <c r="C20" s="262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277" t="n"/>
      <c r="E20" s="279" t="n"/>
      <c r="F20" s="280">
        <f>IF(A20="","",IFERROR(VLOOKUP(A20,itens_Remanesc!$A:$C,3,0),""))</f>
        <v/>
      </c>
      <c r="G20" s="280">
        <f>IF(OR(E20="",F20=""),"",ROUND(E20*F20,2))</f>
        <v/>
      </c>
      <c r="H20" s="277" t="n"/>
      <c r="I20" s="205">
        <f>IFERROR(VLOOKUP(C20,parametros!$B:$F,5,0),"")</f>
        <v/>
      </c>
      <c r="J20" s="280">
        <f>IF(G20="","",ROUND(IF(OR(UPPER(D20)="SUPRESSAO",UPPER(D20)="DECRESCIMO"),-1,1)*G20*IF(AND(UPPER(H20)="SIM",ISNUMBER(I20)),I20,1),2))</f>
        <v/>
      </c>
      <c r="K20" s="277" t="n"/>
    </row>
    <row r="21" ht="15.9" customHeight="1">
      <c r="A21" s="277" t="n"/>
      <c r="B21" s="278" t="n"/>
      <c r="C21" s="262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277" t="n"/>
      <c r="E21" s="279" t="n"/>
      <c r="F21" s="280">
        <f>IF(A21="","",IFERROR(VLOOKUP(A21,itens_Remanesc!$A:$C,3,0),""))</f>
        <v/>
      </c>
      <c r="G21" s="280">
        <f>IF(OR(E21="",F21=""),"",ROUND(E21*F21,2))</f>
        <v/>
      </c>
      <c r="H21" s="277" t="n"/>
      <c r="I21" s="205">
        <f>IFERROR(VLOOKUP(C21,parametros!$B:$F,5,0),"")</f>
        <v/>
      </c>
      <c r="J21" s="280">
        <f>IF(G21="","",ROUND(IF(OR(UPPER(D21)="SUPRESSAO",UPPER(D21)="DECRESCIMO"),-1,1)*G21*IF(AND(UPPER(H21)="SIM",ISNUMBER(I21)),I21,1),2))</f>
        <v/>
      </c>
      <c r="K21" s="277" t="n"/>
    </row>
    <row r="22" ht="15.9" customHeight="1">
      <c r="A22" s="277" t="n"/>
      <c r="B22" s="278" t="n"/>
      <c r="C22" s="262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277" t="n"/>
      <c r="E22" s="279" t="n"/>
      <c r="F22" s="280">
        <f>IF(A22="","",IFERROR(VLOOKUP(A22,itens_Remanesc!$A:$C,3,0),""))</f>
        <v/>
      </c>
      <c r="G22" s="280">
        <f>IF(OR(E22="",F22=""),"",ROUND(E22*F22,2))</f>
        <v/>
      </c>
      <c r="H22" s="277" t="n"/>
      <c r="I22" s="205">
        <f>IFERROR(VLOOKUP(C22,parametros!$B:$F,5,0),"")</f>
        <v/>
      </c>
      <c r="J22" s="280">
        <f>IF(G22="","",ROUND(IF(OR(UPPER(D22)="SUPRESSAO",UPPER(D22)="DECRESCIMO"),-1,1)*G22*IF(AND(UPPER(H22)="SIM",ISNUMBER(I22)),I22,1),2))</f>
        <v/>
      </c>
      <c r="K22" s="277" t="n"/>
    </row>
    <row r="23" ht="15.9" customHeight="1">
      <c r="A23" s="277" t="n"/>
      <c r="B23" s="278" t="n"/>
      <c r="C23" s="262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277" t="n"/>
      <c r="E23" s="279" t="n"/>
      <c r="F23" s="280">
        <f>IF(A23="","",IFERROR(VLOOKUP(A23,itens_Remanesc!$A:$C,3,0),""))</f>
        <v/>
      </c>
      <c r="G23" s="280">
        <f>IF(OR(E23="",F23=""),"",ROUND(E23*F23,2))</f>
        <v/>
      </c>
      <c r="H23" s="277" t="n"/>
      <c r="I23" s="205">
        <f>IFERROR(VLOOKUP(C23,parametros!$B:$F,5,0),"")</f>
        <v/>
      </c>
      <c r="J23" s="280">
        <f>IF(G23="","",ROUND(IF(OR(UPPER(D23)="SUPRESSAO",UPPER(D23)="DECRESCIMO"),-1,1)*G23*IF(AND(UPPER(H23)="SIM",ISNUMBER(I23)),I23,1),2))</f>
        <v/>
      </c>
      <c r="K23" s="277" t="n"/>
    </row>
    <row r="24" ht="15.9" customHeight="1">
      <c r="A24" s="277" t="n"/>
      <c r="B24" s="278" t="n"/>
      <c r="C24" s="262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277" t="n"/>
      <c r="E24" s="279" t="n"/>
      <c r="F24" s="280">
        <f>IF(A24="","",IFERROR(VLOOKUP(A24,itens_Remanesc!$A:$C,3,0),""))</f>
        <v/>
      </c>
      <c r="G24" s="280">
        <f>IF(OR(E24="",F24=""),"",ROUND(E24*F24,2))</f>
        <v/>
      </c>
      <c r="H24" s="277" t="n"/>
      <c r="I24" s="205">
        <f>IFERROR(VLOOKUP(C24,parametros!$B:$F,5,0),"")</f>
        <v/>
      </c>
      <c r="J24" s="280">
        <f>IF(G24="","",ROUND(IF(OR(UPPER(D24)="SUPRESSAO",UPPER(D24)="DECRESCIMO"),-1,1)*G24*IF(AND(UPPER(H24)="SIM",ISNUMBER(I24)),I24,1),2))</f>
        <v/>
      </c>
      <c r="K24" s="277" t="n"/>
    </row>
    <row r="25" ht="15.9" customHeight="1">
      <c r="A25" s="277" t="n"/>
      <c r="B25" s="278" t="n"/>
      <c r="C25" s="262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277" t="n"/>
      <c r="E25" s="279" t="n"/>
      <c r="F25" s="280">
        <f>IF(A25="","",IFERROR(VLOOKUP(A25,itens_Remanesc!$A:$C,3,0),""))</f>
        <v/>
      </c>
      <c r="G25" s="280">
        <f>IF(OR(E25="",F25=""),"",ROUND(E25*F25,2))</f>
        <v/>
      </c>
      <c r="H25" s="277" t="n"/>
      <c r="I25" s="205">
        <f>IFERROR(VLOOKUP(C25,parametros!$B:$F,5,0),"")</f>
        <v/>
      </c>
      <c r="J25" s="280">
        <f>IF(G25="","",ROUND(IF(OR(UPPER(D25)="SUPRESSAO",UPPER(D25)="DECRESCIMO"),-1,1)*G25*IF(AND(UPPER(H25)="SIM",ISNUMBER(I25)),I25,1),2))</f>
        <v/>
      </c>
      <c r="K25" s="277" t="n"/>
    </row>
    <row r="26" ht="15.9" customHeight="1">
      <c r="A26" s="277" t="n"/>
      <c r="B26" s="278" t="n"/>
      <c r="C26" s="262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277" t="n"/>
      <c r="E26" s="279" t="n"/>
      <c r="F26" s="280">
        <f>IF(A26="","",IFERROR(VLOOKUP(A26,itens_Remanesc!$A:$C,3,0),""))</f>
        <v/>
      </c>
      <c r="G26" s="280">
        <f>IF(OR(E26="",F26=""),"",ROUND(E26*F26,2))</f>
        <v/>
      </c>
      <c r="H26" s="277" t="n"/>
      <c r="I26" s="205">
        <f>IFERROR(VLOOKUP(C26,parametros!$B:$F,5,0),"")</f>
        <v/>
      </c>
      <c r="J26" s="280">
        <f>IF(G26="","",ROUND(IF(OR(UPPER(D26)="SUPRESSAO",UPPER(D26)="DECRESCIMO"),-1,1)*G26*IF(AND(UPPER(H26)="SIM",ISNUMBER(I26)),I26,1),2))</f>
        <v/>
      </c>
      <c r="K26" s="277" t="n"/>
    </row>
    <row r="27" ht="15.9" customHeight="1">
      <c r="A27" s="277" t="n"/>
      <c r="B27" s="278" t="n"/>
      <c r="C27" s="262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277" t="n"/>
      <c r="E27" s="279" t="n"/>
      <c r="F27" s="280">
        <f>IF(A27="","",IFERROR(VLOOKUP(A27,itens_Remanesc!$A:$C,3,0),""))</f>
        <v/>
      </c>
      <c r="G27" s="280">
        <f>IF(OR(E27="",F27=""),"",ROUND(E27*F27,2))</f>
        <v/>
      </c>
      <c r="H27" s="277" t="n"/>
      <c r="I27" s="205">
        <f>IFERROR(VLOOKUP(C27,parametros!$B:$F,5,0),"")</f>
        <v/>
      </c>
      <c r="J27" s="280">
        <f>IF(G27="","",ROUND(IF(OR(UPPER(D27)="SUPRESSAO",UPPER(D27)="DECRESCIMO"),-1,1)*G27*IF(AND(UPPER(H27)="SIM",ISNUMBER(I27)),I27,1),2))</f>
        <v/>
      </c>
      <c r="K27" s="277" t="n"/>
    </row>
    <row r="28" ht="15.9" customHeight="1">
      <c r="A28" s="277" t="n"/>
      <c r="B28" s="278" t="n"/>
      <c r="C28" s="262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277" t="n"/>
      <c r="E28" s="279" t="n"/>
      <c r="F28" s="280">
        <f>IF(A28="","",IFERROR(VLOOKUP(A28,itens_Remanesc!$A:$C,3,0),""))</f>
        <v/>
      </c>
      <c r="G28" s="280">
        <f>IF(OR(E28="",F28=""),"",ROUND(E28*F28,2))</f>
        <v/>
      </c>
      <c r="H28" s="277" t="n"/>
      <c r="I28" s="205">
        <f>IFERROR(VLOOKUP(C28,parametros!$B:$F,5,0),"")</f>
        <v/>
      </c>
      <c r="J28" s="280">
        <f>IF(G28="","",ROUND(IF(OR(UPPER(D28)="SUPRESSAO",UPPER(D28)="DECRESCIMO"),-1,1)*G28*IF(AND(UPPER(H28)="SIM",ISNUMBER(I28)),I28,1),2))</f>
        <v/>
      </c>
      <c r="K28" s="277" t="n"/>
    </row>
    <row r="29" ht="15.9" customHeight="1">
      <c r="A29" s="277" t="n"/>
      <c r="B29" s="278" t="n"/>
      <c r="C29" s="262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277" t="n"/>
      <c r="E29" s="279" t="n"/>
      <c r="F29" s="280">
        <f>IF(A29="","",IFERROR(VLOOKUP(A29,itens_Remanesc!$A:$C,3,0),""))</f>
        <v/>
      </c>
      <c r="G29" s="280">
        <f>IF(OR(E29="",F29=""),"",ROUND(E29*F29,2))</f>
        <v/>
      </c>
      <c r="H29" s="277" t="n"/>
      <c r="I29" s="205">
        <f>IFERROR(VLOOKUP(C29,parametros!$B:$F,5,0),"")</f>
        <v/>
      </c>
      <c r="J29" s="280">
        <f>IF(G29="","",ROUND(IF(OR(UPPER(D29)="SUPRESSAO",UPPER(D29)="DECRESCIMO"),-1,1)*G29*IF(AND(UPPER(H29)="SIM",ISNUMBER(I29)),I29,1),2))</f>
        <v/>
      </c>
      <c r="K29" s="277" t="n"/>
    </row>
    <row r="30" ht="15.9" customHeight="1">
      <c r="A30" s="277" t="n"/>
      <c r="B30" s="278" t="n"/>
      <c r="C30" s="262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277" t="n"/>
      <c r="E30" s="279" t="n"/>
      <c r="F30" s="280">
        <f>IF(A30="","",IFERROR(VLOOKUP(A30,itens_Remanesc!$A:$C,3,0),""))</f>
        <v/>
      </c>
      <c r="G30" s="280">
        <f>IF(OR(E30="",F30=""),"",ROUND(E30*F30,2))</f>
        <v/>
      </c>
      <c r="H30" s="277" t="n"/>
      <c r="I30" s="205">
        <f>IFERROR(VLOOKUP(C30,parametros!$B:$F,5,0),"")</f>
        <v/>
      </c>
      <c r="J30" s="280">
        <f>IF(G30="","",ROUND(IF(OR(UPPER(D30)="SUPRESSAO",UPPER(D30)="DECRESCIMO"),-1,1)*G30*IF(AND(UPPER(H30)="SIM",ISNUMBER(I30)),I30,1),2))</f>
        <v/>
      </c>
      <c r="K30" s="277" t="n"/>
    </row>
    <row r="31" ht="15.9" customHeight="1">
      <c r="A31" s="277" t="n"/>
      <c r="B31" s="278" t="n"/>
      <c r="C31" s="262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277" t="n"/>
      <c r="E31" s="279" t="n"/>
      <c r="F31" s="280">
        <f>IF(A31="","",IFERROR(VLOOKUP(A31,itens_Remanesc!$A:$C,3,0),""))</f>
        <v/>
      </c>
      <c r="G31" s="280">
        <f>IF(OR(E31="",F31=""),"",ROUND(E31*F31,2))</f>
        <v/>
      </c>
      <c r="H31" s="277" t="n"/>
      <c r="I31" s="205">
        <f>IFERROR(VLOOKUP(C31,parametros!$B:$F,5,0),"")</f>
        <v/>
      </c>
      <c r="J31" s="280">
        <f>IF(G31="","",ROUND(IF(OR(UPPER(D31)="SUPRESSAO",UPPER(D31)="DECRESCIMO"),-1,1)*G31*IF(AND(UPPER(H31)="SIM",ISNUMBER(I31)),I31,1),2))</f>
        <v/>
      </c>
      <c r="K31" s="277" t="n"/>
    </row>
    <row r="32" ht="15.9" customHeight="1">
      <c r="A32" s="277" t="n"/>
      <c r="B32" s="278" t="n"/>
      <c r="C32" s="262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277" t="n"/>
      <c r="E32" s="279" t="n"/>
      <c r="F32" s="280">
        <f>IF(A32="","",IFERROR(VLOOKUP(A32,itens_Remanesc!$A:$C,3,0),""))</f>
        <v/>
      </c>
      <c r="G32" s="280">
        <f>IF(OR(E32="",F32=""),"",ROUND(E32*F32,2))</f>
        <v/>
      </c>
      <c r="H32" s="277" t="n"/>
      <c r="I32" s="205">
        <f>IFERROR(VLOOKUP(C32,parametros!$B:$F,5,0),"")</f>
        <v/>
      </c>
      <c r="J32" s="280">
        <f>IF(G32="","",ROUND(IF(OR(UPPER(D32)="SUPRESSAO",UPPER(D32)="DECRESCIMO"),-1,1)*G32*IF(AND(UPPER(H32)="SIM",ISNUMBER(I32)),I32,1),2))</f>
        <v/>
      </c>
      <c r="K32" s="277" t="n"/>
    </row>
    <row r="33" ht="15.9" customHeight="1">
      <c r="A33" s="277" t="n"/>
      <c r="B33" s="278" t="n"/>
      <c r="C33" s="262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277" t="n"/>
      <c r="E33" s="279" t="n"/>
      <c r="F33" s="280">
        <f>IF(A33="","",IFERROR(VLOOKUP(A33,itens_Remanesc!$A:$C,3,0),""))</f>
        <v/>
      </c>
      <c r="G33" s="280">
        <f>IF(OR(E33="",F33=""),"",ROUND(E33*F33,2))</f>
        <v/>
      </c>
      <c r="H33" s="277" t="n"/>
      <c r="I33" s="205">
        <f>IFERROR(VLOOKUP(C33,parametros!$B:$F,5,0),"")</f>
        <v/>
      </c>
      <c r="J33" s="280">
        <f>IF(G33="","",ROUND(IF(OR(UPPER(D33)="SUPRESSAO",UPPER(D33)="DECRESCIMO"),-1,1)*G33*IF(AND(UPPER(H33)="SIM",ISNUMBER(I33)),I33,1),2))</f>
        <v/>
      </c>
      <c r="K33" s="277" t="n"/>
    </row>
    <row r="34" ht="15.9" customHeight="1">
      <c r="A34" s="277" t="n"/>
      <c r="B34" s="278" t="n"/>
      <c r="C34" s="262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277" t="n"/>
      <c r="E34" s="279" t="n"/>
      <c r="F34" s="280">
        <f>IF(A34="","",IFERROR(VLOOKUP(A34,itens_Remanesc!$A:$C,3,0),""))</f>
        <v/>
      </c>
      <c r="G34" s="280">
        <f>IF(OR(E34="",F34=""),"",ROUND(E34*F34,2))</f>
        <v/>
      </c>
      <c r="H34" s="277" t="n"/>
      <c r="I34" s="205">
        <f>IFERROR(VLOOKUP(C34,parametros!$B:$F,5,0),"")</f>
        <v/>
      </c>
      <c r="J34" s="280">
        <f>IF(G34="","",ROUND(IF(OR(UPPER(D34)="SUPRESSAO",UPPER(D34)="DECRESCIMO"),-1,1)*G34*IF(AND(UPPER(H34)="SIM",ISNUMBER(I34)),I34,1),2))</f>
        <v/>
      </c>
      <c r="K34" s="277" t="n"/>
    </row>
    <row r="35" ht="15.9" customHeight="1">
      <c r="A35" s="277" t="n"/>
      <c r="B35" s="278" t="n"/>
      <c r="C35" s="262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277" t="n"/>
      <c r="E35" s="279" t="n"/>
      <c r="F35" s="280">
        <f>IF(A35="","",IFERROR(VLOOKUP(A35,itens_Remanesc!$A:$C,3,0),""))</f>
        <v/>
      </c>
      <c r="G35" s="280">
        <f>IF(OR(E35="",F35=""),"",ROUND(E35*F35,2))</f>
        <v/>
      </c>
      <c r="H35" s="277" t="n"/>
      <c r="I35" s="205">
        <f>IFERROR(VLOOKUP(C35,parametros!$B:$F,5,0),"")</f>
        <v/>
      </c>
      <c r="J35" s="280">
        <f>IF(G35="","",ROUND(IF(OR(UPPER(D35)="SUPRESSAO",UPPER(D35)="DECRESCIMO"),-1,1)*G35*IF(AND(UPPER(H35)="SIM",ISNUMBER(I35)),I35,1),2))</f>
        <v/>
      </c>
      <c r="K35" s="277" t="n"/>
    </row>
    <row r="36" ht="15.9" customHeight="1">
      <c r="A36" s="277" t="n"/>
      <c r="B36" s="278" t="n"/>
      <c r="C36" s="262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277" t="n"/>
      <c r="E36" s="279" t="n"/>
      <c r="F36" s="280">
        <f>IF(A36="","",IFERROR(VLOOKUP(A36,itens_Remanesc!$A:$C,3,0),""))</f>
        <v/>
      </c>
      <c r="G36" s="280">
        <f>IF(OR(E36="",F36=""),"",ROUND(E36*F36,2))</f>
        <v/>
      </c>
      <c r="H36" s="277" t="n"/>
      <c r="I36" s="205">
        <f>IFERROR(VLOOKUP(C36,parametros!$B:$F,5,0),"")</f>
        <v/>
      </c>
      <c r="J36" s="280">
        <f>IF(G36="","",ROUND(IF(OR(UPPER(D36)="SUPRESSAO",UPPER(D36)="DECRESCIMO"),-1,1)*G36*IF(AND(UPPER(H36)="SIM",ISNUMBER(I36)),I36,1),2))</f>
        <v/>
      </c>
      <c r="K36" s="277" t="n"/>
    </row>
    <row r="37" ht="15.9" customHeight="1">
      <c r="A37" s="277" t="n"/>
      <c r="B37" s="278" t="n"/>
      <c r="C37" s="262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277" t="n"/>
      <c r="E37" s="279" t="n"/>
      <c r="F37" s="280">
        <f>IF(A37="","",IFERROR(VLOOKUP(A37,itens_Remanesc!$A:$C,3,0),""))</f>
        <v/>
      </c>
      <c r="G37" s="280">
        <f>IF(OR(E37="",F37=""),"",ROUND(E37*F37,2))</f>
        <v/>
      </c>
      <c r="H37" s="277" t="n"/>
      <c r="I37" s="205">
        <f>IFERROR(VLOOKUP(C37,parametros!$B:$F,5,0),"")</f>
        <v/>
      </c>
      <c r="J37" s="280">
        <f>IF(G37="","",ROUND(IF(OR(UPPER(D37)="SUPRESSAO",UPPER(D37)="DECRESCIMO"),-1,1)*G37*IF(AND(UPPER(H37)="SIM",ISNUMBER(I37)),I37,1),2))</f>
        <v/>
      </c>
      <c r="K37" s="277" t="n"/>
    </row>
    <row r="38" ht="15.9" customHeight="1">
      <c r="A38" s="277" t="n"/>
      <c r="B38" s="278" t="n"/>
      <c r="C38" s="262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277" t="n"/>
      <c r="E38" s="279" t="n"/>
      <c r="F38" s="280">
        <f>IF(A38="","",IFERROR(VLOOKUP(A38,itens_Remanesc!$A:$C,3,0),""))</f>
        <v/>
      </c>
      <c r="G38" s="280">
        <f>IF(OR(E38="",F38=""),"",ROUND(E38*F38,2))</f>
        <v/>
      </c>
      <c r="H38" s="277" t="n"/>
      <c r="I38" s="205">
        <f>IFERROR(VLOOKUP(C38,parametros!$B:$F,5,0),"")</f>
        <v/>
      </c>
      <c r="J38" s="280">
        <f>IF(G38="","",ROUND(IF(OR(UPPER(D38)="SUPRESSAO",UPPER(D38)="DECRESCIMO"),-1,1)*G38*IF(AND(UPPER(H38)="SIM",ISNUMBER(I38)),I38,1),2))</f>
        <v/>
      </c>
      <c r="K38" s="277" t="n"/>
    </row>
    <row r="39" ht="15.9" customHeight="1">
      <c r="A39" s="277" t="n"/>
      <c r="B39" s="278" t="n"/>
      <c r="C39" s="262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277" t="n"/>
      <c r="E39" s="279" t="n"/>
      <c r="F39" s="280">
        <f>IF(A39="","",IFERROR(VLOOKUP(A39,itens_Remanesc!$A:$C,3,0),""))</f>
        <v/>
      </c>
      <c r="G39" s="280">
        <f>IF(OR(E39="",F39=""),"",ROUND(E39*F39,2))</f>
        <v/>
      </c>
      <c r="H39" s="277" t="n"/>
      <c r="I39" s="205">
        <f>IFERROR(VLOOKUP(C39,parametros!$B:$F,5,0),"")</f>
        <v/>
      </c>
      <c r="J39" s="280">
        <f>IF(G39="","",ROUND(IF(OR(UPPER(D39)="SUPRESSAO",UPPER(D39)="DECRESCIMO"),-1,1)*G39*IF(AND(UPPER(H39)="SIM",ISNUMBER(I39)),I39,1),2))</f>
        <v/>
      </c>
      <c r="K39" s="277" t="n"/>
    </row>
    <row r="40" ht="15.9" customHeight="1">
      <c r="A40" s="277" t="n"/>
      <c r="B40" s="278" t="n"/>
      <c r="C40" s="262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277" t="n"/>
      <c r="E40" s="279" t="n"/>
      <c r="F40" s="280">
        <f>IF(A40="","",IFERROR(VLOOKUP(A40,itens_Remanesc!$A:$C,3,0),""))</f>
        <v/>
      </c>
      <c r="G40" s="280">
        <f>IF(OR(E40="",F40=""),"",ROUND(E40*F40,2))</f>
        <v/>
      </c>
      <c r="H40" s="277" t="n"/>
      <c r="I40" s="205">
        <f>IFERROR(VLOOKUP(C40,parametros!$B:$F,5,0),"")</f>
        <v/>
      </c>
      <c r="J40" s="280">
        <f>IF(G40="","",ROUND(IF(OR(UPPER(D40)="SUPRESSAO",UPPER(D40)="DECRESCIMO"),-1,1)*G40*IF(AND(UPPER(H40)="SIM",ISNUMBER(I40)),I40,1),2))</f>
        <v/>
      </c>
      <c r="K40" s="277" t="n"/>
    </row>
    <row r="41" ht="15.9" customHeight="1">
      <c r="A41" s="277" t="n"/>
      <c r="B41" s="278" t="n"/>
      <c r="C41" s="262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277" t="n"/>
      <c r="E41" s="279" t="n"/>
      <c r="F41" s="280">
        <f>IF(A41="","",IFERROR(VLOOKUP(A41,itens_Remanesc!$A:$C,3,0),""))</f>
        <v/>
      </c>
      <c r="G41" s="280">
        <f>IF(OR(E41="",F41=""),"",ROUND(E41*F41,2))</f>
        <v/>
      </c>
      <c r="H41" s="277" t="n"/>
      <c r="I41" s="205">
        <f>IFERROR(VLOOKUP(C41,parametros!$B:$F,5,0),"")</f>
        <v/>
      </c>
      <c r="J41" s="280">
        <f>IF(G41="","",ROUND(IF(OR(UPPER(D41)="SUPRESSAO",UPPER(D41)="DECRESCIMO"),-1,1)*G41*IF(AND(UPPER(H41)="SIM",ISNUMBER(I41)),I41,1),2))</f>
        <v/>
      </c>
      <c r="K41" s="277" t="n"/>
    </row>
    <row r="42" ht="15.9" customHeight="1">
      <c r="A42" s="277" t="n"/>
      <c r="B42" s="278" t="n"/>
      <c r="C42" s="262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277" t="n"/>
      <c r="E42" s="279" t="n"/>
      <c r="F42" s="280">
        <f>IF(A42="","",IFERROR(VLOOKUP(A42,itens_Remanesc!$A:$C,3,0),""))</f>
        <v/>
      </c>
      <c r="G42" s="280">
        <f>IF(OR(E42="",F42=""),"",ROUND(E42*F42,2))</f>
        <v/>
      </c>
      <c r="H42" s="277" t="n"/>
      <c r="I42" s="205">
        <f>IFERROR(VLOOKUP(C42,parametros!$B:$F,5,0),"")</f>
        <v/>
      </c>
      <c r="J42" s="280">
        <f>IF(G42="","",ROUND(IF(OR(UPPER(D42)="SUPRESSAO",UPPER(D42)="DECRESCIMO"),-1,1)*G42*IF(AND(UPPER(H42)="SIM",ISNUMBER(I42)),I42,1),2))</f>
        <v/>
      </c>
      <c r="K42" s="277" t="n"/>
    </row>
    <row r="43" ht="15.9" customHeight="1">
      <c r="A43" s="277" t="n"/>
      <c r="B43" s="278" t="n"/>
      <c r="C43" s="262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277" t="n"/>
      <c r="E43" s="279" t="n"/>
      <c r="F43" s="280">
        <f>IF(A43="","",IFERROR(VLOOKUP(A43,itens_Remanesc!$A:$C,3,0),""))</f>
        <v/>
      </c>
      <c r="G43" s="280">
        <f>IF(OR(E43="",F43=""),"",ROUND(E43*F43,2))</f>
        <v/>
      </c>
      <c r="H43" s="277" t="n"/>
      <c r="I43" s="205">
        <f>IFERROR(VLOOKUP(C43,parametros!$B:$F,5,0),"")</f>
        <v/>
      </c>
      <c r="J43" s="280">
        <f>IF(G43="","",ROUND(IF(OR(UPPER(D43)="SUPRESSAO",UPPER(D43)="DECRESCIMO"),-1,1)*G43*IF(AND(UPPER(H43)="SIM",ISNUMBER(I43)),I43,1),2))</f>
        <v/>
      </c>
      <c r="K43" s="277" t="n"/>
    </row>
    <row r="44" ht="15.9" customHeight="1">
      <c r="A44" s="277" t="n"/>
      <c r="B44" s="278" t="n"/>
      <c r="C44" s="262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277" t="n"/>
      <c r="E44" s="279" t="n"/>
      <c r="F44" s="280">
        <f>IF(A44="","",IFERROR(VLOOKUP(A44,itens_Remanesc!$A:$C,3,0),""))</f>
        <v/>
      </c>
      <c r="G44" s="280">
        <f>IF(OR(E44="",F44=""),"",ROUND(E44*F44,2))</f>
        <v/>
      </c>
      <c r="H44" s="277" t="n"/>
      <c r="I44" s="205">
        <f>IFERROR(VLOOKUP(C44,parametros!$B:$F,5,0),"")</f>
        <v/>
      </c>
      <c r="J44" s="280">
        <f>IF(G44="","",ROUND(IF(OR(UPPER(D44)="SUPRESSAO",UPPER(D44)="DECRESCIMO"),-1,1)*G44*IF(AND(UPPER(H44)="SIM",ISNUMBER(I44)),I44,1),2))</f>
        <v/>
      </c>
      <c r="K44" s="277" t="n"/>
    </row>
    <row r="45" ht="15.9" customHeight="1">
      <c r="A45" s="277" t="n"/>
      <c r="B45" s="278" t="n"/>
      <c r="C45" s="262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277" t="n"/>
      <c r="E45" s="279" t="n"/>
      <c r="F45" s="280">
        <f>IF(A45="","",IFERROR(VLOOKUP(A45,itens_Remanesc!$A:$C,3,0),""))</f>
        <v/>
      </c>
      <c r="G45" s="280">
        <f>IF(OR(E45="",F45=""),"",ROUND(E45*F45,2))</f>
        <v/>
      </c>
      <c r="H45" s="277" t="n"/>
      <c r="I45" s="205">
        <f>IFERROR(VLOOKUP(C45,parametros!$B:$F,5,0),"")</f>
        <v/>
      </c>
      <c r="J45" s="280">
        <f>IF(G45="","",ROUND(IF(OR(UPPER(D45)="SUPRESSAO",UPPER(D45)="DECRESCIMO"),-1,1)*G45*IF(AND(UPPER(H45)="SIM",ISNUMBER(I45)),I45,1),2))</f>
        <v/>
      </c>
      <c r="K45" s="277" t="n"/>
    </row>
    <row r="46" ht="15.9" customHeight="1">
      <c r="A46" s="277" t="n"/>
      <c r="B46" s="278" t="n"/>
      <c r="C46" s="262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277" t="n"/>
      <c r="E46" s="279" t="n"/>
      <c r="F46" s="280">
        <f>IF(A46="","",IFERROR(VLOOKUP(A46,itens_Remanesc!$A:$C,3,0),""))</f>
        <v/>
      </c>
      <c r="G46" s="280">
        <f>IF(OR(E46="",F46=""),"",ROUND(E46*F46,2))</f>
        <v/>
      </c>
      <c r="H46" s="277" t="n"/>
      <c r="I46" s="205">
        <f>IFERROR(VLOOKUP(C46,parametros!$B:$F,5,0),"")</f>
        <v/>
      </c>
      <c r="J46" s="280">
        <f>IF(G46="","",ROUND(IF(OR(UPPER(D46)="SUPRESSAO",UPPER(D46)="DECRESCIMO"),-1,1)*G46*IF(AND(UPPER(H46)="SIM",ISNUMBER(I46)),I46,1),2))</f>
        <v/>
      </c>
      <c r="K46" s="277" t="n"/>
    </row>
    <row r="47" ht="15.9" customHeight="1">
      <c r="A47" s="277" t="n"/>
      <c r="B47" s="278" t="n"/>
      <c r="C47" s="262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277" t="n"/>
      <c r="E47" s="279" t="n"/>
      <c r="F47" s="280">
        <f>IF(A47="","",IFERROR(VLOOKUP(A47,itens_Remanesc!$A:$C,3,0),""))</f>
        <v/>
      </c>
      <c r="G47" s="280">
        <f>IF(OR(E47="",F47=""),"",ROUND(E47*F47,2))</f>
        <v/>
      </c>
      <c r="H47" s="277" t="n"/>
      <c r="I47" s="205">
        <f>IFERROR(VLOOKUP(C47,parametros!$B:$F,5,0),"")</f>
        <v/>
      </c>
      <c r="J47" s="280">
        <f>IF(G47="","",ROUND(IF(OR(UPPER(D47)="SUPRESSAO",UPPER(D47)="DECRESCIMO"),-1,1)*G47*IF(AND(UPPER(H47)="SIM",ISNUMBER(I47)),I47,1),2))</f>
        <v/>
      </c>
      <c r="K47" s="277" t="n"/>
    </row>
    <row r="48" ht="15.9" customHeight="1">
      <c r="A48" s="277" t="n"/>
      <c r="B48" s="278" t="n"/>
      <c r="C48" s="262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277" t="n"/>
      <c r="E48" s="279" t="n"/>
      <c r="F48" s="280">
        <f>IF(A48="","",IFERROR(VLOOKUP(A48,itens_Remanesc!$A:$C,3,0),""))</f>
        <v/>
      </c>
      <c r="G48" s="280">
        <f>IF(OR(E48="",F48=""),"",ROUND(E48*F48,2))</f>
        <v/>
      </c>
      <c r="H48" s="277" t="n"/>
      <c r="I48" s="205">
        <f>IFERROR(VLOOKUP(C48,parametros!$B:$F,5,0),"")</f>
        <v/>
      </c>
      <c r="J48" s="280">
        <f>IF(G48="","",ROUND(IF(OR(UPPER(D48)="SUPRESSAO",UPPER(D48)="DECRESCIMO"),-1,1)*G48*IF(AND(UPPER(H48)="SIM",ISNUMBER(I48)),I48,1),2))</f>
        <v/>
      </c>
      <c r="K48" s="277" t="n"/>
    </row>
    <row r="49" ht="15.9" customHeight="1">
      <c r="A49" s="277" t="n"/>
      <c r="B49" s="278" t="n"/>
      <c r="C49" s="262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277" t="n"/>
      <c r="E49" s="279" t="n"/>
      <c r="F49" s="280">
        <f>IF(A49="","",IFERROR(VLOOKUP(A49,itens_Remanesc!$A:$C,3,0),""))</f>
        <v/>
      </c>
      <c r="G49" s="280">
        <f>IF(OR(E49="",F49=""),"",ROUND(E49*F49,2))</f>
        <v/>
      </c>
      <c r="H49" s="277" t="n"/>
      <c r="I49" s="205">
        <f>IFERROR(VLOOKUP(C49,parametros!$B:$F,5,0),"")</f>
        <v/>
      </c>
      <c r="J49" s="280">
        <f>IF(G49="","",ROUND(IF(OR(UPPER(D49)="SUPRESSAO",UPPER(D49)="DECRESCIMO"),-1,1)*G49*IF(AND(UPPER(H49)="SIM",ISNUMBER(I49)),I49,1),2))</f>
        <v/>
      </c>
      <c r="K49" s="277" t="n"/>
    </row>
    <row r="50" ht="15.9" customHeight="1">
      <c r="A50" s="277" t="n"/>
      <c r="B50" s="278" t="n"/>
      <c r="C50" s="262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277" t="n"/>
      <c r="E50" s="279" t="n"/>
      <c r="F50" s="280">
        <f>IF(A50="","",IFERROR(VLOOKUP(A50,itens_Remanesc!$A:$C,3,0),""))</f>
        <v/>
      </c>
      <c r="G50" s="280">
        <f>IF(OR(E50="",F50=""),"",ROUND(E50*F50,2))</f>
        <v/>
      </c>
      <c r="H50" s="277" t="n"/>
      <c r="I50" s="205">
        <f>IFERROR(VLOOKUP(C50,parametros!$B:$F,5,0),"")</f>
        <v/>
      </c>
      <c r="J50" s="280">
        <f>IF(G50="","",ROUND(IF(OR(UPPER(D50)="SUPRESSAO",UPPER(D50)="DECRESCIMO"),-1,1)*G50*IF(AND(UPPER(H50)="SIM",ISNUMBER(I50)),I50,1),2))</f>
        <v/>
      </c>
      <c r="K50" s="277" t="n"/>
    </row>
    <row r="51" ht="15.9" customHeight="1">
      <c r="A51" s="277" t="n"/>
      <c r="B51" s="278" t="n"/>
      <c r="C51" s="262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277" t="n"/>
      <c r="E51" s="279" t="n"/>
      <c r="F51" s="280">
        <f>IF(A51="","",IFERROR(VLOOKUP(A51,itens_Remanesc!$A:$C,3,0),""))</f>
        <v/>
      </c>
      <c r="G51" s="280">
        <f>IF(OR(E51="",F51=""),"",ROUND(E51*F51,2))</f>
        <v/>
      </c>
      <c r="H51" s="277" t="n"/>
      <c r="I51" s="205">
        <f>IFERROR(VLOOKUP(C51,parametros!$B:$F,5,0),"")</f>
        <v/>
      </c>
      <c r="J51" s="280">
        <f>IF(G51="","",ROUND(IF(OR(UPPER(D51)="SUPRESSAO",UPPER(D51)="DECRESCIMO"),-1,1)*G51*IF(AND(UPPER(H51)="SIM",ISNUMBER(I51)),I51,1),2))</f>
        <v/>
      </c>
      <c r="K51" s="277" t="n"/>
    </row>
    <row r="52" ht="15.9" customHeight="1">
      <c r="A52" s="277" t="n"/>
      <c r="B52" s="278" t="n"/>
      <c r="C52" s="262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277" t="n"/>
      <c r="E52" s="279" t="n"/>
      <c r="F52" s="280">
        <f>IF(A52="","",IFERROR(VLOOKUP(A52,itens_Remanesc!$A:$C,3,0),""))</f>
        <v/>
      </c>
      <c r="G52" s="280">
        <f>IF(OR(E52="",F52=""),"",ROUND(E52*F52,2))</f>
        <v/>
      </c>
      <c r="H52" s="277" t="n"/>
      <c r="I52" s="205">
        <f>IFERROR(VLOOKUP(C52,parametros!$B:$F,5,0),"")</f>
        <v/>
      </c>
      <c r="J52" s="280">
        <f>IF(G52="","",ROUND(IF(OR(UPPER(D52)="SUPRESSAO",UPPER(D52)="DECRESCIMO"),-1,1)*G52*IF(AND(UPPER(H52)="SIM",ISNUMBER(I52)),I52,1),2))</f>
        <v/>
      </c>
      <c r="K52" s="277" t="n"/>
    </row>
    <row r="53" ht="15.9" customHeight="1">
      <c r="A53" s="277" t="n"/>
      <c r="B53" s="278" t="n"/>
      <c r="C53" s="262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277" t="n"/>
      <c r="E53" s="279" t="n"/>
      <c r="F53" s="280">
        <f>IF(A53="","",IFERROR(VLOOKUP(A53,itens_Remanesc!$A:$C,3,0),""))</f>
        <v/>
      </c>
      <c r="G53" s="280">
        <f>IF(OR(E53="",F53=""),"",ROUND(E53*F53,2))</f>
        <v/>
      </c>
      <c r="H53" s="277" t="n"/>
      <c r="I53" s="205">
        <f>IFERROR(VLOOKUP(C53,parametros!$B:$F,5,0),"")</f>
        <v/>
      </c>
      <c r="J53" s="280">
        <f>IF(G53="","",ROUND(IF(OR(UPPER(D53)="SUPRESSAO",UPPER(D53)="DECRESCIMO"),-1,1)*G53*IF(AND(UPPER(H53)="SIM",ISNUMBER(I53)),I53,1),2))</f>
        <v/>
      </c>
      <c r="K53" s="277" t="n"/>
    </row>
    <row r="54" ht="15.9" customHeight="1">
      <c r="A54" s="277" t="n"/>
      <c r="B54" s="278" t="n"/>
      <c r="C54" s="262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277" t="n"/>
      <c r="E54" s="279" t="n"/>
      <c r="F54" s="280">
        <f>IF(A54="","",IFERROR(VLOOKUP(A54,itens_Remanesc!$A:$C,3,0),""))</f>
        <v/>
      </c>
      <c r="G54" s="280">
        <f>IF(OR(E54="",F54=""),"",ROUND(E54*F54,2))</f>
        <v/>
      </c>
      <c r="H54" s="277" t="n"/>
      <c r="I54" s="205">
        <f>IFERROR(VLOOKUP(C54,parametros!$B:$F,5,0),"")</f>
        <v/>
      </c>
      <c r="J54" s="280">
        <f>IF(G54="","",ROUND(IF(OR(UPPER(D54)="SUPRESSAO",UPPER(D54)="DECRESCIMO"),-1,1)*G54*IF(AND(UPPER(H54)="SIM",ISNUMBER(I54)),I54,1),2))</f>
        <v/>
      </c>
      <c r="K54" s="277" t="n"/>
    </row>
    <row r="55" ht="15.9" customHeight="1">
      <c r="A55" s="277" t="n"/>
      <c r="B55" s="278" t="n"/>
      <c r="C55" s="262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277" t="n"/>
      <c r="E55" s="279" t="n"/>
      <c r="F55" s="280">
        <f>IF(A55="","",IFERROR(VLOOKUP(A55,itens_Remanesc!$A:$C,3,0),""))</f>
        <v/>
      </c>
      <c r="G55" s="280">
        <f>IF(OR(E55="",F55=""),"",ROUND(E55*F55,2))</f>
        <v/>
      </c>
      <c r="H55" s="277" t="n"/>
      <c r="I55" s="205">
        <f>IFERROR(VLOOKUP(C55,parametros!$B:$F,5,0),"")</f>
        <v/>
      </c>
      <c r="J55" s="280">
        <f>IF(G55="","",ROUND(IF(OR(UPPER(D55)="SUPRESSAO",UPPER(D55)="DECRESCIMO"),-1,1)*G55*IF(AND(UPPER(H55)="SIM",ISNUMBER(I55)),I55,1),2))</f>
        <v/>
      </c>
      <c r="K55" s="277" t="n"/>
    </row>
    <row r="56" ht="15.9" customHeight="1">
      <c r="A56" s="277" t="n"/>
      <c r="B56" s="278" t="n"/>
      <c r="C56" s="262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277" t="n"/>
      <c r="E56" s="279" t="n"/>
      <c r="F56" s="280">
        <f>IF(A56="","",IFERROR(VLOOKUP(A56,itens_Remanesc!$A:$C,3,0),""))</f>
        <v/>
      </c>
      <c r="G56" s="280">
        <f>IF(OR(E56="",F56=""),"",ROUND(E56*F56,2))</f>
        <v/>
      </c>
      <c r="H56" s="277" t="n"/>
      <c r="I56" s="205">
        <f>IFERROR(VLOOKUP(C56,parametros!$B:$F,5,0),"")</f>
        <v/>
      </c>
      <c r="J56" s="280">
        <f>IF(G56="","",ROUND(IF(OR(UPPER(D56)="SUPRESSAO",UPPER(D56)="DECRESCIMO"),-1,1)*G56*IF(AND(UPPER(H56)="SIM",ISNUMBER(I56)),I56,1),2))</f>
        <v/>
      </c>
      <c r="K56" s="277" t="n"/>
    </row>
    <row r="57" ht="15.9" customHeight="1">
      <c r="A57" s="277" t="n"/>
      <c r="B57" s="278" t="n"/>
      <c r="C57" s="262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277" t="n"/>
      <c r="E57" s="279" t="n"/>
      <c r="F57" s="280">
        <f>IF(A57="","",IFERROR(VLOOKUP(A57,itens_Remanesc!$A:$C,3,0),""))</f>
        <v/>
      </c>
      <c r="G57" s="280">
        <f>IF(OR(E57="",F57=""),"",ROUND(E57*F57,2))</f>
        <v/>
      </c>
      <c r="H57" s="277" t="n"/>
      <c r="I57" s="205">
        <f>IFERROR(VLOOKUP(C57,parametros!$B:$F,5,0),"")</f>
        <v/>
      </c>
      <c r="J57" s="280">
        <f>IF(G57="","",ROUND(IF(OR(UPPER(D57)="SUPRESSAO",UPPER(D57)="DECRESCIMO"),-1,1)*G57*IF(AND(UPPER(H57)="SIM",ISNUMBER(I57)),I57,1),2))</f>
        <v/>
      </c>
      <c r="K57" s="277" t="n"/>
    </row>
    <row r="58" ht="15.9" customHeight="1">
      <c r="A58" s="277" t="n"/>
      <c r="B58" s="278" t="n"/>
      <c r="C58" s="262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277" t="n"/>
      <c r="E58" s="279" t="n"/>
      <c r="F58" s="280">
        <f>IF(A58="","",IFERROR(VLOOKUP(A58,itens_Remanesc!$A:$C,3,0),""))</f>
        <v/>
      </c>
      <c r="G58" s="280">
        <f>IF(OR(E58="",F58=""),"",ROUND(E58*F58,2))</f>
        <v/>
      </c>
      <c r="H58" s="277" t="n"/>
      <c r="I58" s="205">
        <f>IFERROR(VLOOKUP(C58,parametros!$B:$F,5,0),"")</f>
        <v/>
      </c>
      <c r="J58" s="280">
        <f>IF(G58="","",ROUND(IF(OR(UPPER(D58)="SUPRESSAO",UPPER(D58)="DECRESCIMO"),-1,1)*G58*IF(AND(UPPER(H58)="SIM",ISNUMBER(I58)),I58,1),2))</f>
        <v/>
      </c>
      <c r="K58" s="277" t="n"/>
    </row>
    <row r="59" ht="15.9" customHeight="1">
      <c r="A59" s="277" t="n"/>
      <c r="B59" s="278" t="n"/>
      <c r="C59" s="262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277" t="n"/>
      <c r="E59" s="279" t="n"/>
      <c r="F59" s="280">
        <f>IF(A59="","",IFERROR(VLOOKUP(A59,itens_Remanesc!$A:$C,3,0),""))</f>
        <v/>
      </c>
      <c r="G59" s="280">
        <f>IF(OR(E59="",F59=""),"",ROUND(E59*F59,2))</f>
        <v/>
      </c>
      <c r="H59" s="277" t="n"/>
      <c r="I59" s="205">
        <f>IFERROR(VLOOKUP(C59,parametros!$B:$F,5,0),"")</f>
        <v/>
      </c>
      <c r="J59" s="280">
        <f>IF(G59="","",ROUND(IF(OR(UPPER(D59)="SUPRESSAO",UPPER(D59)="DECRESCIMO"),-1,1)*G59*IF(AND(UPPER(H59)="SIM",ISNUMBER(I59)),I59,1),2))</f>
        <v/>
      </c>
      <c r="K59" s="277" t="n"/>
    </row>
    <row r="60" ht="15.9" customHeight="1">
      <c r="A60" s="277" t="n"/>
      <c r="B60" s="278" t="n"/>
      <c r="C60" s="262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277" t="n"/>
      <c r="E60" s="279" t="n"/>
      <c r="F60" s="280">
        <f>IF(A60="","",IFERROR(VLOOKUP(A60,itens_Remanesc!$A:$C,3,0),""))</f>
        <v/>
      </c>
      <c r="G60" s="280">
        <f>IF(OR(E60="",F60=""),"",ROUND(E60*F60,2))</f>
        <v/>
      </c>
      <c r="H60" s="277" t="n"/>
      <c r="I60" s="205">
        <f>IFERROR(VLOOKUP(C60,parametros!$B:$F,5,0),"")</f>
        <v/>
      </c>
      <c r="J60" s="280">
        <f>IF(G60="","",ROUND(IF(OR(UPPER(D60)="SUPRESSAO",UPPER(D60)="DECRESCIMO"),-1,1)*G60*IF(AND(UPPER(H60)="SIM",ISNUMBER(I60)),I60,1),2))</f>
        <v/>
      </c>
      <c r="K60" s="277" t="n"/>
    </row>
    <row r="61" ht="15.9" customHeight="1">
      <c r="A61" s="277" t="n"/>
      <c r="B61" s="278" t="n"/>
      <c r="C61" s="262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277" t="n"/>
      <c r="E61" s="279" t="n"/>
      <c r="F61" s="280">
        <f>IF(A61="","",IFERROR(VLOOKUP(A61,itens_Remanesc!$A:$C,3,0),""))</f>
        <v/>
      </c>
      <c r="G61" s="280">
        <f>IF(OR(E61="",F61=""),"",ROUND(E61*F61,2))</f>
        <v/>
      </c>
      <c r="H61" s="277" t="n"/>
      <c r="I61" s="205">
        <f>IFERROR(VLOOKUP(C61,parametros!$B:$F,5,0),"")</f>
        <v/>
      </c>
      <c r="J61" s="280">
        <f>IF(G61="","",ROUND(IF(OR(UPPER(D61)="SUPRESSAO",UPPER(D61)="DECRESCIMO"),-1,1)*G61*IF(AND(UPPER(H61)="SIM",ISNUMBER(I61)),I61,1),2))</f>
        <v/>
      </c>
      <c r="K61" s="277" t="n"/>
    </row>
    <row r="62" ht="15.9" customHeight="1">
      <c r="A62" s="277" t="n"/>
      <c r="B62" s="278" t="n"/>
      <c r="C62" s="262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277" t="n"/>
      <c r="E62" s="279" t="n"/>
      <c r="F62" s="280">
        <f>IF(A62="","",IFERROR(VLOOKUP(A62,itens_Remanesc!$A:$C,3,0),""))</f>
        <v/>
      </c>
      <c r="G62" s="280">
        <f>IF(OR(E62="",F62=""),"",ROUND(E62*F62,2))</f>
        <v/>
      </c>
      <c r="H62" s="277" t="n"/>
      <c r="I62" s="205">
        <f>IFERROR(VLOOKUP(C62,parametros!$B:$F,5,0),"")</f>
        <v/>
      </c>
      <c r="J62" s="280">
        <f>IF(G62="","",ROUND(IF(OR(UPPER(D62)="SUPRESSAO",UPPER(D62)="DECRESCIMO"),-1,1)*G62*IF(AND(UPPER(H62)="SIM",ISNUMBER(I62)),I62,1),2))</f>
        <v/>
      </c>
      <c r="K62" s="277" t="n"/>
    </row>
    <row r="63" ht="15.9" customHeight="1">
      <c r="A63" s="277" t="n"/>
      <c r="B63" s="278" t="n"/>
      <c r="C63" s="262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277" t="n"/>
      <c r="E63" s="279" t="n"/>
      <c r="F63" s="280">
        <f>IF(A63="","",IFERROR(VLOOKUP(A63,itens_Remanesc!$A:$C,3,0),""))</f>
        <v/>
      </c>
      <c r="G63" s="280">
        <f>IF(OR(E63="",F63=""),"",ROUND(E63*F63,2))</f>
        <v/>
      </c>
      <c r="H63" s="277" t="n"/>
      <c r="I63" s="205">
        <f>IFERROR(VLOOKUP(C63,parametros!$B:$F,5,0),"")</f>
        <v/>
      </c>
      <c r="J63" s="280">
        <f>IF(G63="","",ROUND(IF(OR(UPPER(D63)="SUPRESSAO",UPPER(D63)="DECRESCIMO"),-1,1)*G63*IF(AND(UPPER(H63)="SIM",ISNUMBER(I63)),I63,1),2))</f>
        <v/>
      </c>
      <c r="K63" s="277" t="n"/>
    </row>
    <row r="64" ht="15.9" customHeight="1">
      <c r="A64" s="277" t="n"/>
      <c r="B64" s="278" t="n"/>
      <c r="C64" s="262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277" t="n"/>
      <c r="E64" s="279" t="n"/>
      <c r="F64" s="280">
        <f>IF(A64="","",IFERROR(VLOOKUP(A64,itens_Remanesc!$A:$C,3,0),""))</f>
        <v/>
      </c>
      <c r="G64" s="280">
        <f>IF(OR(E64="",F64=""),"",ROUND(E64*F64,2))</f>
        <v/>
      </c>
      <c r="H64" s="277" t="n"/>
      <c r="I64" s="205">
        <f>IFERROR(VLOOKUP(C64,parametros!$B:$F,5,0),"")</f>
        <v/>
      </c>
      <c r="J64" s="280">
        <f>IF(G64="","",ROUND(IF(OR(UPPER(D64)="SUPRESSAO",UPPER(D64)="DECRESCIMO"),-1,1)*G64*IF(AND(UPPER(H64)="SIM",ISNUMBER(I64)),I64,1),2))</f>
        <v/>
      </c>
      <c r="K64" s="277" t="n"/>
    </row>
    <row r="65" ht="15.9" customHeight="1">
      <c r="A65" s="277" t="n"/>
      <c r="B65" s="278" t="n"/>
      <c r="C65" s="262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277" t="n"/>
      <c r="E65" s="279" t="n"/>
      <c r="F65" s="280">
        <f>IF(A65="","",IFERROR(VLOOKUP(A65,itens_Remanesc!$A:$C,3,0),""))</f>
        <v/>
      </c>
      <c r="G65" s="280">
        <f>IF(OR(E65="",F65=""),"",ROUND(E65*F65,2))</f>
        <v/>
      </c>
      <c r="H65" s="277" t="n"/>
      <c r="I65" s="205">
        <f>IFERROR(VLOOKUP(C65,parametros!$B:$F,5,0),"")</f>
        <v/>
      </c>
      <c r="J65" s="280">
        <f>IF(G65="","",ROUND(IF(OR(UPPER(D65)="SUPRESSAO",UPPER(D65)="DECRESCIMO"),-1,1)*G65*IF(AND(UPPER(H65)="SIM",ISNUMBER(I65)),I65,1),2))</f>
        <v/>
      </c>
      <c r="K65" s="277" t="n"/>
    </row>
    <row r="66" ht="15.9" customHeight="1">
      <c r="A66" s="277" t="n"/>
      <c r="B66" s="278" t="n"/>
      <c r="C66" s="262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277" t="n"/>
      <c r="E66" s="279" t="n"/>
      <c r="F66" s="280">
        <f>IF(A66="","",IFERROR(VLOOKUP(A66,itens_Remanesc!$A:$C,3,0),""))</f>
        <v/>
      </c>
      <c r="G66" s="280">
        <f>IF(OR(E66="",F66=""),"",ROUND(E66*F66,2))</f>
        <v/>
      </c>
      <c r="H66" s="277" t="n"/>
      <c r="I66" s="205">
        <f>IFERROR(VLOOKUP(C66,parametros!$B:$F,5,0),"")</f>
        <v/>
      </c>
      <c r="J66" s="280">
        <f>IF(G66="","",ROUND(IF(OR(UPPER(D66)="SUPRESSAO",UPPER(D66)="DECRESCIMO"),-1,1)*G66*IF(AND(UPPER(H66)="SIM",ISNUMBER(I66)),I66,1),2))</f>
        <v/>
      </c>
      <c r="K66" s="277" t="n"/>
    </row>
    <row r="67" ht="15.9" customHeight="1">
      <c r="A67" s="277" t="n"/>
      <c r="B67" s="278" t="n"/>
      <c r="C67" s="262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277" t="n"/>
      <c r="E67" s="279" t="n"/>
      <c r="F67" s="280">
        <f>IF(A67="","",IFERROR(VLOOKUP(A67,itens_Remanesc!$A:$C,3,0),""))</f>
        <v/>
      </c>
      <c r="G67" s="280">
        <f>IF(OR(E67="",F67=""),"",ROUND(E67*F67,2))</f>
        <v/>
      </c>
      <c r="H67" s="277" t="n"/>
      <c r="I67" s="205">
        <f>IFERROR(VLOOKUP(C67,parametros!$B:$F,5,0),"")</f>
        <v/>
      </c>
      <c r="J67" s="280">
        <f>IF(G67="","",ROUND(IF(OR(UPPER(D67)="SUPRESSAO",UPPER(D67)="DECRESCIMO"),-1,1)*G67*IF(AND(UPPER(H67)="SIM",ISNUMBER(I67)),I67,1),2))</f>
        <v/>
      </c>
      <c r="K67" s="277" t="n"/>
    </row>
    <row r="68" ht="15.9" customHeight="1">
      <c r="A68" s="277" t="n"/>
      <c r="B68" s="278" t="n"/>
      <c r="C68" s="262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277" t="n"/>
      <c r="E68" s="279" t="n"/>
      <c r="F68" s="280">
        <f>IF(A68="","",IFERROR(VLOOKUP(A68,itens_Remanesc!$A:$C,3,0),""))</f>
        <v/>
      </c>
      <c r="G68" s="280">
        <f>IF(OR(E68="",F68=""),"",ROUND(E68*F68,2))</f>
        <v/>
      </c>
      <c r="H68" s="277" t="n"/>
      <c r="I68" s="205">
        <f>IFERROR(VLOOKUP(C68,parametros!$B:$F,5,0),"")</f>
        <v/>
      </c>
      <c r="J68" s="280">
        <f>IF(G68="","",ROUND(IF(OR(UPPER(D68)="SUPRESSAO",UPPER(D68)="DECRESCIMO"),-1,1)*G68*IF(AND(UPPER(H68)="SIM",ISNUMBER(I68)),I68,1),2))</f>
        <v/>
      </c>
      <c r="K68" s="277" t="n"/>
    </row>
    <row r="69" ht="15.9" customHeight="1">
      <c r="A69" s="277" t="n"/>
      <c r="B69" s="278" t="n"/>
      <c r="C69" s="262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277" t="n"/>
      <c r="E69" s="279" t="n"/>
      <c r="F69" s="280">
        <f>IF(A69="","",IFERROR(VLOOKUP(A69,itens_Remanesc!$A:$C,3,0),""))</f>
        <v/>
      </c>
      <c r="G69" s="280">
        <f>IF(OR(E69="",F69=""),"",ROUND(E69*F69,2))</f>
        <v/>
      </c>
      <c r="H69" s="277" t="n"/>
      <c r="I69" s="205">
        <f>IFERROR(VLOOKUP(C69,parametros!$B:$F,5,0),"")</f>
        <v/>
      </c>
      <c r="J69" s="280">
        <f>IF(G69="","",ROUND(IF(OR(UPPER(D69)="SUPRESSAO",UPPER(D69)="DECRESCIMO"),-1,1)*G69*IF(AND(UPPER(H69)="SIM",ISNUMBER(I69)),I69,1),2))</f>
        <v/>
      </c>
      <c r="K69" s="277" t="n"/>
    </row>
    <row r="70" ht="15.9" customHeight="1">
      <c r="A70" s="277" t="n"/>
      <c r="B70" s="278" t="n"/>
      <c r="C70" s="262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277" t="n"/>
      <c r="E70" s="279" t="n"/>
      <c r="F70" s="280">
        <f>IF(A70="","",IFERROR(VLOOKUP(A70,itens_Remanesc!$A:$C,3,0),""))</f>
        <v/>
      </c>
      <c r="G70" s="280">
        <f>IF(OR(E70="",F70=""),"",ROUND(E70*F70,2))</f>
        <v/>
      </c>
      <c r="H70" s="277" t="n"/>
      <c r="I70" s="205">
        <f>IFERROR(VLOOKUP(C70,parametros!$B:$F,5,0),"")</f>
        <v/>
      </c>
      <c r="J70" s="280">
        <f>IF(G70="","",ROUND(IF(OR(UPPER(D70)="SUPRESSAO",UPPER(D70)="DECRESCIMO"),-1,1)*G70*IF(AND(UPPER(H70)="SIM",ISNUMBER(I70)),I70,1),2))</f>
        <v/>
      </c>
      <c r="K70" s="277" t="n"/>
    </row>
    <row r="71" ht="15.9" customHeight="1">
      <c r="A71" s="277" t="n"/>
      <c r="B71" s="278" t="n"/>
      <c r="C71" s="262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277" t="n"/>
      <c r="E71" s="279" t="n"/>
      <c r="F71" s="280">
        <f>IF(A71="","",IFERROR(VLOOKUP(A71,itens_Remanesc!$A:$C,3,0),""))</f>
        <v/>
      </c>
      <c r="G71" s="280">
        <f>IF(OR(E71="",F71=""),"",ROUND(E71*F71,2))</f>
        <v/>
      </c>
      <c r="H71" s="277" t="n"/>
      <c r="I71" s="205">
        <f>IFERROR(VLOOKUP(C71,parametros!$B:$F,5,0),"")</f>
        <v/>
      </c>
      <c r="J71" s="280">
        <f>IF(G71="","",ROUND(IF(OR(UPPER(D71)="SUPRESSAO",UPPER(D71)="DECRESCIMO"),-1,1)*G71*IF(AND(UPPER(H71)="SIM",ISNUMBER(I71)),I71,1),2))</f>
        <v/>
      </c>
      <c r="K71" s="277" t="n"/>
    </row>
    <row r="72" ht="15.9" customHeight="1">
      <c r="A72" s="277" t="n"/>
      <c r="B72" s="278" t="n"/>
      <c r="C72" s="262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277" t="n"/>
      <c r="E72" s="279" t="n"/>
      <c r="F72" s="280">
        <f>IF(A72="","",IFERROR(VLOOKUP(A72,itens_Remanesc!$A:$C,3,0),""))</f>
        <v/>
      </c>
      <c r="G72" s="280">
        <f>IF(OR(E72="",F72=""),"",ROUND(E72*F72,2))</f>
        <v/>
      </c>
      <c r="H72" s="277" t="n"/>
      <c r="I72" s="205">
        <f>IFERROR(VLOOKUP(C72,parametros!$B:$F,5,0),"")</f>
        <v/>
      </c>
      <c r="J72" s="280">
        <f>IF(G72="","",ROUND(IF(OR(UPPER(D72)="SUPRESSAO",UPPER(D72)="DECRESCIMO"),-1,1)*G72*IF(AND(UPPER(H72)="SIM",ISNUMBER(I72)),I72,1),2))</f>
        <v/>
      </c>
      <c r="K72" s="277" t="n"/>
    </row>
    <row r="73" ht="15.9" customHeight="1">
      <c r="A73" s="277" t="n"/>
      <c r="B73" s="278" t="n"/>
      <c r="C73" s="262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277" t="n"/>
      <c r="E73" s="279" t="n"/>
      <c r="F73" s="280">
        <f>IF(A73="","",IFERROR(VLOOKUP(A73,itens_Remanesc!$A:$C,3,0),""))</f>
        <v/>
      </c>
      <c r="G73" s="280">
        <f>IF(OR(E73="",F73=""),"",ROUND(E73*F73,2))</f>
        <v/>
      </c>
      <c r="H73" s="277" t="n"/>
      <c r="I73" s="205">
        <f>IFERROR(VLOOKUP(C73,parametros!$B:$F,5,0),"")</f>
        <v/>
      </c>
      <c r="J73" s="280">
        <f>IF(G73="","",ROUND(IF(OR(UPPER(D73)="SUPRESSAO",UPPER(D73)="DECRESCIMO"),-1,1)*G73*IF(AND(UPPER(H73)="SIM",ISNUMBER(I73)),I73,1),2))</f>
        <v/>
      </c>
      <c r="K73" s="277" t="n"/>
    </row>
    <row r="74" ht="15.9" customHeight="1">
      <c r="A74" s="277" t="n"/>
      <c r="B74" s="278" t="n"/>
      <c r="C74" s="262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277" t="n"/>
      <c r="E74" s="279" t="n"/>
      <c r="F74" s="280">
        <f>IF(A74="","",IFERROR(VLOOKUP(A74,itens_Remanesc!$A:$C,3,0),""))</f>
        <v/>
      </c>
      <c r="G74" s="280">
        <f>IF(OR(E74="",F74=""),"",ROUND(E74*F74,2))</f>
        <v/>
      </c>
      <c r="H74" s="277" t="n"/>
      <c r="I74" s="205">
        <f>IFERROR(VLOOKUP(C74,parametros!$B:$F,5,0),"")</f>
        <v/>
      </c>
      <c r="J74" s="280">
        <f>IF(G74="","",ROUND(IF(OR(UPPER(D74)="SUPRESSAO",UPPER(D74)="DECRESCIMO"),-1,1)*G74*IF(AND(UPPER(H74)="SIM",ISNUMBER(I74)),I74,1),2))</f>
        <v/>
      </c>
      <c r="K74" s="277" t="n"/>
    </row>
    <row r="75" ht="15.9" customHeight="1">
      <c r="A75" s="277" t="n"/>
      <c r="B75" s="278" t="n"/>
      <c r="C75" s="262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277" t="n"/>
      <c r="E75" s="279" t="n"/>
      <c r="F75" s="280">
        <f>IF(A75="","",IFERROR(VLOOKUP(A75,itens_Remanesc!$A:$C,3,0),""))</f>
        <v/>
      </c>
      <c r="G75" s="280">
        <f>IF(OR(E75="",F75=""),"",ROUND(E75*F75,2))</f>
        <v/>
      </c>
      <c r="H75" s="277" t="n"/>
      <c r="I75" s="205">
        <f>IFERROR(VLOOKUP(C75,parametros!$B:$F,5,0),"")</f>
        <v/>
      </c>
      <c r="J75" s="280">
        <f>IF(G75="","",ROUND(IF(OR(UPPER(D75)="SUPRESSAO",UPPER(D75)="DECRESCIMO"),-1,1)*G75*IF(AND(UPPER(H75)="SIM",ISNUMBER(I75)),I75,1),2))</f>
        <v/>
      </c>
      <c r="K75" s="277" t="n"/>
    </row>
    <row r="76" ht="15.9" customHeight="1">
      <c r="A76" s="277" t="n"/>
      <c r="B76" s="278" t="n"/>
      <c r="C76" s="262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277" t="n"/>
      <c r="E76" s="279" t="n"/>
      <c r="F76" s="280">
        <f>IF(A76="","",IFERROR(VLOOKUP(A76,itens_Remanesc!$A:$C,3,0),""))</f>
        <v/>
      </c>
      <c r="G76" s="280">
        <f>IF(OR(E76="",F76=""),"",ROUND(E76*F76,2))</f>
        <v/>
      </c>
      <c r="H76" s="277" t="n"/>
      <c r="I76" s="205">
        <f>IFERROR(VLOOKUP(C76,parametros!$B:$F,5,0),"")</f>
        <v/>
      </c>
      <c r="J76" s="280">
        <f>IF(G76="","",ROUND(IF(OR(UPPER(D76)="SUPRESSAO",UPPER(D76)="DECRESCIMO"),-1,1)*G76*IF(AND(UPPER(H76)="SIM",ISNUMBER(I76)),I76,1),2))</f>
        <v/>
      </c>
      <c r="K76" s="277" t="n"/>
    </row>
    <row r="77" ht="15.9" customHeight="1">
      <c r="A77" s="277" t="n"/>
      <c r="B77" s="278" t="n"/>
      <c r="C77" s="262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277" t="n"/>
      <c r="E77" s="279" t="n"/>
      <c r="F77" s="280">
        <f>IF(A77="","",IFERROR(VLOOKUP(A77,itens_Remanesc!$A:$C,3,0),""))</f>
        <v/>
      </c>
      <c r="G77" s="280">
        <f>IF(OR(E77="",F77=""),"",ROUND(E77*F77,2))</f>
        <v/>
      </c>
      <c r="H77" s="277" t="n"/>
      <c r="I77" s="205">
        <f>IFERROR(VLOOKUP(C77,parametros!$B:$F,5,0),"")</f>
        <v/>
      </c>
      <c r="J77" s="280">
        <f>IF(G77="","",ROUND(IF(OR(UPPER(D77)="SUPRESSAO",UPPER(D77)="DECRESCIMO"),-1,1)*G77*IF(AND(UPPER(H77)="SIM",ISNUMBER(I77)),I77,1),2))</f>
        <v/>
      </c>
      <c r="K77" s="277" t="n"/>
    </row>
    <row r="78" ht="15.9" customHeight="1">
      <c r="A78" s="277" t="n"/>
      <c r="B78" s="278" t="n"/>
      <c r="C78" s="262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277" t="n"/>
      <c r="E78" s="279" t="n"/>
      <c r="F78" s="280">
        <f>IF(A78="","",IFERROR(VLOOKUP(A78,itens_Remanesc!$A:$C,3,0),""))</f>
        <v/>
      </c>
      <c r="G78" s="280">
        <f>IF(OR(E78="",F78=""),"",ROUND(E78*F78,2))</f>
        <v/>
      </c>
      <c r="H78" s="277" t="n"/>
      <c r="I78" s="205">
        <f>IFERROR(VLOOKUP(C78,parametros!$B:$F,5,0),"")</f>
        <v/>
      </c>
      <c r="J78" s="280">
        <f>IF(G78="","",ROUND(IF(OR(UPPER(D78)="SUPRESSAO",UPPER(D78)="DECRESCIMO"),-1,1)*G78*IF(AND(UPPER(H78)="SIM",ISNUMBER(I78)),I78,1),2))</f>
        <v/>
      </c>
      <c r="K78" s="277" t="n"/>
    </row>
    <row r="79" ht="15.9" customHeight="1">
      <c r="A79" s="277" t="n"/>
      <c r="B79" s="278" t="n"/>
      <c r="C79" s="262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277" t="n"/>
      <c r="E79" s="279" t="n"/>
      <c r="F79" s="280">
        <f>IF(A79="","",IFERROR(VLOOKUP(A79,itens_Remanesc!$A:$C,3,0),""))</f>
        <v/>
      </c>
      <c r="G79" s="280">
        <f>IF(OR(E79="",F79=""),"",ROUND(E79*F79,2))</f>
        <v/>
      </c>
      <c r="H79" s="277" t="n"/>
      <c r="I79" s="205">
        <f>IFERROR(VLOOKUP(C79,parametros!$B:$F,5,0),"")</f>
        <v/>
      </c>
      <c r="J79" s="280">
        <f>IF(G79="","",ROUND(IF(OR(UPPER(D79)="SUPRESSAO",UPPER(D79)="DECRESCIMO"),-1,1)*G79*IF(AND(UPPER(H79)="SIM",ISNUMBER(I79)),I79,1),2))</f>
        <v/>
      </c>
      <c r="K79" s="277" t="n"/>
    </row>
    <row r="80" ht="15.9" customHeight="1">
      <c r="A80" s="277" t="n"/>
      <c r="B80" s="278" t="n"/>
      <c r="C80" s="262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277" t="n"/>
      <c r="E80" s="279" t="n"/>
      <c r="F80" s="280">
        <f>IF(A80="","",IFERROR(VLOOKUP(A80,itens_Remanesc!$A:$C,3,0),""))</f>
        <v/>
      </c>
      <c r="G80" s="280">
        <f>IF(OR(E80="",F80=""),"",ROUND(E80*F80,2))</f>
        <v/>
      </c>
      <c r="H80" s="277" t="n"/>
      <c r="I80" s="205">
        <f>IFERROR(VLOOKUP(C80,parametros!$B:$F,5,0),"")</f>
        <v/>
      </c>
      <c r="J80" s="280">
        <f>IF(G80="","",ROUND(IF(OR(UPPER(D80)="SUPRESSAO",UPPER(D80)="DECRESCIMO"),-1,1)*G80*IF(AND(UPPER(H80)="SIM",ISNUMBER(I80)),I80,1),2))</f>
        <v/>
      </c>
      <c r="K80" s="277" t="n"/>
    </row>
    <row r="81" ht="15.9" customHeight="1">
      <c r="A81" s="277" t="n"/>
      <c r="B81" s="278" t="n"/>
      <c r="C81" s="262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277" t="n"/>
      <c r="E81" s="279" t="n"/>
      <c r="F81" s="280">
        <f>IF(A81="","",IFERROR(VLOOKUP(A81,itens_Remanesc!$A:$C,3,0),""))</f>
        <v/>
      </c>
      <c r="G81" s="280">
        <f>IF(OR(E81="",F81=""),"",ROUND(E81*F81,2))</f>
        <v/>
      </c>
      <c r="H81" s="277" t="n"/>
      <c r="I81" s="205">
        <f>IFERROR(VLOOKUP(C81,parametros!$B:$F,5,0),"")</f>
        <v/>
      </c>
      <c r="J81" s="280">
        <f>IF(G81="","",ROUND(IF(OR(UPPER(D81)="SUPRESSAO",UPPER(D81)="DECRESCIMO"),-1,1)*G81*IF(AND(UPPER(H81)="SIM",ISNUMBER(I81)),I81,1),2))</f>
        <v/>
      </c>
      <c r="K81" s="277" t="n"/>
    </row>
    <row r="82" ht="15.9" customHeight="1">
      <c r="A82" s="277" t="n"/>
      <c r="B82" s="278" t="n"/>
      <c r="C82" s="262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277" t="n"/>
      <c r="E82" s="279" t="n"/>
      <c r="F82" s="280">
        <f>IF(A82="","",IFERROR(VLOOKUP(A82,itens_Remanesc!$A:$C,3,0),""))</f>
        <v/>
      </c>
      <c r="G82" s="280">
        <f>IF(OR(E82="",F82=""),"",ROUND(E82*F82,2))</f>
        <v/>
      </c>
      <c r="H82" s="277" t="n"/>
      <c r="I82" s="205">
        <f>IFERROR(VLOOKUP(C82,parametros!$B:$F,5,0),"")</f>
        <v/>
      </c>
      <c r="J82" s="280">
        <f>IF(G82="","",ROUND(IF(OR(UPPER(D82)="SUPRESSAO",UPPER(D82)="DECRESCIMO"),-1,1)*G82*IF(AND(UPPER(H82)="SIM",ISNUMBER(I82)),I82,1),2))</f>
        <v/>
      </c>
      <c r="K82" s="277" t="n"/>
    </row>
    <row r="83" ht="15.9" customHeight="1">
      <c r="A83" s="277" t="n"/>
      <c r="B83" s="278" t="n"/>
      <c r="C83" s="262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277" t="n"/>
      <c r="E83" s="279" t="n"/>
      <c r="F83" s="280">
        <f>IF(A83="","",IFERROR(VLOOKUP(A83,itens_Remanesc!$A:$C,3,0),""))</f>
        <v/>
      </c>
      <c r="G83" s="280">
        <f>IF(OR(E83="",F83=""),"",ROUND(E83*F83,2))</f>
        <v/>
      </c>
      <c r="H83" s="277" t="n"/>
      <c r="I83" s="205">
        <f>IFERROR(VLOOKUP(C83,parametros!$B:$F,5,0),"")</f>
        <v/>
      </c>
      <c r="J83" s="280">
        <f>IF(G83="","",ROUND(IF(OR(UPPER(D83)="SUPRESSAO",UPPER(D83)="DECRESCIMO"),-1,1)*G83*IF(AND(UPPER(H83)="SIM",ISNUMBER(I83)),I83,1),2))</f>
        <v/>
      </c>
      <c r="K83" s="277" t="n"/>
    </row>
    <row r="84" ht="15.9" customHeight="1">
      <c r="A84" s="277" t="n"/>
      <c r="B84" s="278" t="n"/>
      <c r="C84" s="262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277" t="n"/>
      <c r="E84" s="279" t="n"/>
      <c r="F84" s="280">
        <f>IF(A84="","",IFERROR(VLOOKUP(A84,itens_Remanesc!$A:$C,3,0),""))</f>
        <v/>
      </c>
      <c r="G84" s="280">
        <f>IF(OR(E84="",F84=""),"",ROUND(E84*F84,2))</f>
        <v/>
      </c>
      <c r="H84" s="277" t="n"/>
      <c r="I84" s="205">
        <f>IFERROR(VLOOKUP(C84,parametros!$B:$F,5,0),"")</f>
        <v/>
      </c>
      <c r="J84" s="280">
        <f>IF(G84="","",ROUND(IF(OR(UPPER(D84)="SUPRESSAO",UPPER(D84)="DECRESCIMO"),-1,1)*G84*IF(AND(UPPER(H84)="SIM",ISNUMBER(I84)),I84,1),2))</f>
        <v/>
      </c>
      <c r="K84" s="277" t="n"/>
    </row>
    <row r="85" ht="15.9" customHeight="1">
      <c r="A85" s="277" t="n"/>
      <c r="B85" s="278" t="n"/>
      <c r="C85" s="262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277" t="n"/>
      <c r="E85" s="279" t="n"/>
      <c r="F85" s="280">
        <f>IF(A85="","",IFERROR(VLOOKUP(A85,itens_Remanesc!$A:$C,3,0),""))</f>
        <v/>
      </c>
      <c r="G85" s="280">
        <f>IF(OR(E85="",F85=""),"",ROUND(E85*F85,2))</f>
        <v/>
      </c>
      <c r="H85" s="277" t="n"/>
      <c r="I85" s="205">
        <f>IFERROR(VLOOKUP(C85,parametros!$B:$F,5,0),"")</f>
        <v/>
      </c>
      <c r="J85" s="280">
        <f>IF(G85="","",ROUND(IF(OR(UPPER(D85)="SUPRESSAO",UPPER(D85)="DECRESCIMO"),-1,1)*G85*IF(AND(UPPER(H85)="SIM",ISNUMBER(I85)),I85,1),2))</f>
        <v/>
      </c>
      <c r="K85" s="277" t="n"/>
    </row>
    <row r="86" ht="15.9" customHeight="1">
      <c r="A86" s="277" t="n"/>
      <c r="B86" s="278" t="n"/>
      <c r="C86" s="262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277" t="n"/>
      <c r="E86" s="279" t="n"/>
      <c r="F86" s="280">
        <f>IF(A86="","",IFERROR(VLOOKUP(A86,itens_Remanesc!$A:$C,3,0),""))</f>
        <v/>
      </c>
      <c r="G86" s="280">
        <f>IF(OR(E86="",F86=""),"",ROUND(E86*F86,2))</f>
        <v/>
      </c>
      <c r="H86" s="277" t="n"/>
      <c r="I86" s="205">
        <f>IFERROR(VLOOKUP(C86,parametros!$B:$F,5,0),"")</f>
        <v/>
      </c>
      <c r="J86" s="280">
        <f>IF(G86="","",ROUND(IF(OR(UPPER(D86)="SUPRESSAO",UPPER(D86)="DECRESCIMO"),-1,1)*G86*IF(AND(UPPER(H86)="SIM",ISNUMBER(I86)),I86,1),2))</f>
        <v/>
      </c>
      <c r="K86" s="277" t="n"/>
    </row>
    <row r="87" ht="15.9" customHeight="1">
      <c r="A87" s="277" t="n"/>
      <c r="B87" s="278" t="n"/>
      <c r="C87" s="262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277" t="n"/>
      <c r="E87" s="279" t="n"/>
      <c r="F87" s="280">
        <f>IF(A87="","",IFERROR(VLOOKUP(A87,itens_Remanesc!$A:$C,3,0),""))</f>
        <v/>
      </c>
      <c r="G87" s="280">
        <f>IF(OR(E87="",F87=""),"",ROUND(E87*F87,2))</f>
        <v/>
      </c>
      <c r="H87" s="277" t="n"/>
      <c r="I87" s="205">
        <f>IFERROR(VLOOKUP(C87,parametros!$B:$F,5,0),"")</f>
        <v/>
      </c>
      <c r="J87" s="280">
        <f>IF(G87="","",ROUND(IF(OR(UPPER(D87)="SUPRESSAO",UPPER(D87)="DECRESCIMO"),-1,1)*G87*IF(AND(UPPER(H87)="SIM",ISNUMBER(I87)),I87,1),2))</f>
        <v/>
      </c>
      <c r="K87" s="277" t="n"/>
    </row>
    <row r="88" ht="15.9" customHeight="1">
      <c r="A88" s="277" t="n"/>
      <c r="B88" s="278" t="n"/>
      <c r="C88" s="262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277" t="n"/>
      <c r="E88" s="279" t="n"/>
      <c r="F88" s="280">
        <f>IF(A88="","",IFERROR(VLOOKUP(A88,itens_Remanesc!$A:$C,3,0),""))</f>
        <v/>
      </c>
      <c r="G88" s="280">
        <f>IF(OR(E88="",F88=""),"",ROUND(E88*F88,2))</f>
        <v/>
      </c>
      <c r="H88" s="277" t="n"/>
      <c r="I88" s="205">
        <f>IFERROR(VLOOKUP(C88,parametros!$B:$F,5,0),"")</f>
        <v/>
      </c>
      <c r="J88" s="280">
        <f>IF(G88="","",ROUND(IF(OR(UPPER(D88)="SUPRESSAO",UPPER(D88)="DECRESCIMO"),-1,1)*G88*IF(AND(UPPER(H88)="SIM",ISNUMBER(I88)),I88,1),2))</f>
        <v/>
      </c>
      <c r="K88" s="277" t="n"/>
    </row>
    <row r="89" ht="15.9" customHeight="1">
      <c r="A89" s="277" t="n"/>
      <c r="B89" s="278" t="n"/>
      <c r="C89" s="262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277" t="n"/>
      <c r="E89" s="279" t="n"/>
      <c r="F89" s="280">
        <f>IF(A89="","",IFERROR(VLOOKUP(A89,itens_Remanesc!$A:$C,3,0),""))</f>
        <v/>
      </c>
      <c r="G89" s="280">
        <f>IF(OR(E89="",F89=""),"",ROUND(E89*F89,2))</f>
        <v/>
      </c>
      <c r="H89" s="277" t="n"/>
      <c r="I89" s="205">
        <f>IFERROR(VLOOKUP(C89,parametros!$B:$F,5,0),"")</f>
        <v/>
      </c>
      <c r="J89" s="280">
        <f>IF(G89="","",ROUND(IF(OR(UPPER(D89)="SUPRESSAO",UPPER(D89)="DECRESCIMO"),-1,1)*G89*IF(AND(UPPER(H89)="SIM",ISNUMBER(I89)),I89,1),2))</f>
        <v/>
      </c>
      <c r="K89" s="277" t="n"/>
    </row>
    <row r="90" ht="15.9" customHeight="1">
      <c r="A90" s="277" t="n"/>
      <c r="B90" s="278" t="n"/>
      <c r="C90" s="262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277" t="n"/>
      <c r="E90" s="279" t="n"/>
      <c r="F90" s="280">
        <f>IF(A90="","",IFERROR(VLOOKUP(A90,itens_Remanesc!$A:$C,3,0),""))</f>
        <v/>
      </c>
      <c r="G90" s="280">
        <f>IF(OR(E90="",F90=""),"",ROUND(E90*F90,2))</f>
        <v/>
      </c>
      <c r="H90" s="277" t="n"/>
      <c r="I90" s="205">
        <f>IFERROR(VLOOKUP(C90,parametros!$B:$F,5,0),"")</f>
        <v/>
      </c>
      <c r="J90" s="280">
        <f>IF(G90="","",ROUND(IF(OR(UPPER(D90)="SUPRESSAO",UPPER(D90)="DECRESCIMO"),-1,1)*G90*IF(AND(UPPER(H90)="SIM",ISNUMBER(I90)),I90,1),2))</f>
        <v/>
      </c>
      <c r="K90" s="277" t="n"/>
    </row>
    <row r="91" ht="15.9" customHeight="1">
      <c r="A91" s="277" t="n"/>
      <c r="B91" s="278" t="n"/>
      <c r="C91" s="262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277" t="n"/>
      <c r="E91" s="279" t="n"/>
      <c r="F91" s="280">
        <f>IF(A91="","",IFERROR(VLOOKUP(A91,itens_Remanesc!$A:$C,3,0),""))</f>
        <v/>
      </c>
      <c r="G91" s="280">
        <f>IF(OR(E91="",F91=""),"",ROUND(E91*F91,2))</f>
        <v/>
      </c>
      <c r="H91" s="277" t="n"/>
      <c r="I91" s="205">
        <f>IFERROR(VLOOKUP(C91,parametros!$B:$F,5,0),"")</f>
        <v/>
      </c>
      <c r="J91" s="280">
        <f>IF(G91="","",ROUND(IF(OR(UPPER(D91)="SUPRESSAO",UPPER(D91)="DECRESCIMO"),-1,1)*G91*IF(AND(UPPER(H91)="SIM",ISNUMBER(I91)),I91,1),2))</f>
        <v/>
      </c>
      <c r="K91" s="277" t="n"/>
    </row>
    <row r="92" ht="15.9" customHeight="1">
      <c r="A92" s="277" t="n"/>
      <c r="B92" s="278" t="n"/>
      <c r="C92" s="262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277" t="n"/>
      <c r="E92" s="279" t="n"/>
      <c r="F92" s="280">
        <f>IF(A92="","",IFERROR(VLOOKUP(A92,itens_Remanesc!$A:$C,3,0),""))</f>
        <v/>
      </c>
      <c r="G92" s="280">
        <f>IF(OR(E92="",F92=""),"",ROUND(E92*F92,2))</f>
        <v/>
      </c>
      <c r="H92" s="277" t="n"/>
      <c r="I92" s="205">
        <f>IFERROR(VLOOKUP(C92,parametros!$B:$F,5,0),"")</f>
        <v/>
      </c>
      <c r="J92" s="280">
        <f>IF(G92="","",ROUND(IF(OR(UPPER(D92)="SUPRESSAO",UPPER(D92)="DECRESCIMO"),-1,1)*G92*IF(AND(UPPER(H92)="SIM",ISNUMBER(I92)),I92,1),2))</f>
        <v/>
      </c>
      <c r="K92" s="277" t="n"/>
    </row>
    <row r="93" ht="15.9" customHeight="1">
      <c r="A93" s="277" t="n"/>
      <c r="B93" s="278" t="n"/>
      <c r="C93" s="262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277" t="n"/>
      <c r="E93" s="279" t="n"/>
      <c r="F93" s="280">
        <f>IF(A93="","",IFERROR(VLOOKUP(A93,itens_Remanesc!$A:$C,3,0),""))</f>
        <v/>
      </c>
      <c r="G93" s="280">
        <f>IF(OR(E93="",F93=""),"",ROUND(E93*F93,2))</f>
        <v/>
      </c>
      <c r="H93" s="277" t="n"/>
      <c r="I93" s="205">
        <f>IFERROR(VLOOKUP(C93,parametros!$B:$F,5,0),"")</f>
        <v/>
      </c>
      <c r="J93" s="280">
        <f>IF(G93="","",ROUND(IF(OR(UPPER(D93)="SUPRESSAO",UPPER(D93)="DECRESCIMO"),-1,1)*G93*IF(AND(UPPER(H93)="SIM",ISNUMBER(I93)),I93,1),2))</f>
        <v/>
      </c>
      <c r="K93" s="277" t="n"/>
    </row>
    <row r="94" ht="15.9" customHeight="1">
      <c r="A94" s="277" t="n"/>
      <c r="B94" s="278" t="n"/>
      <c r="C94" s="262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277" t="n"/>
      <c r="E94" s="279" t="n"/>
      <c r="F94" s="280">
        <f>IF(A94="","",IFERROR(VLOOKUP(A94,itens_Remanesc!$A:$C,3,0),""))</f>
        <v/>
      </c>
      <c r="G94" s="280">
        <f>IF(OR(E94="",F94=""),"",ROUND(E94*F94,2))</f>
        <v/>
      </c>
      <c r="H94" s="277" t="n"/>
      <c r="I94" s="205">
        <f>IFERROR(VLOOKUP(C94,parametros!$B:$F,5,0),"")</f>
        <v/>
      </c>
      <c r="J94" s="280">
        <f>IF(G94="","",ROUND(IF(OR(UPPER(D94)="SUPRESSAO",UPPER(D94)="DECRESCIMO"),-1,1)*G94*IF(AND(UPPER(H94)="SIM",ISNUMBER(I94)),I94,1),2))</f>
        <v/>
      </c>
      <c r="K94" s="277" t="n"/>
    </row>
    <row r="95" ht="15.9" customHeight="1">
      <c r="A95" s="277" t="n"/>
      <c r="B95" s="278" t="n"/>
      <c r="C95" s="262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277" t="n"/>
      <c r="E95" s="279" t="n"/>
      <c r="F95" s="280">
        <f>IF(A95="","",IFERROR(VLOOKUP(A95,itens_Remanesc!$A:$C,3,0),""))</f>
        <v/>
      </c>
      <c r="G95" s="280">
        <f>IF(OR(E95="",F95=""),"",ROUND(E95*F95,2))</f>
        <v/>
      </c>
      <c r="H95" s="277" t="n"/>
      <c r="I95" s="205">
        <f>IFERROR(VLOOKUP(C95,parametros!$B:$F,5,0),"")</f>
        <v/>
      </c>
      <c r="J95" s="280">
        <f>IF(G95="","",ROUND(IF(OR(UPPER(D95)="SUPRESSAO",UPPER(D95)="DECRESCIMO"),-1,1)*G95*IF(AND(UPPER(H95)="SIM",ISNUMBER(I95)),I95,1),2))</f>
        <v/>
      </c>
      <c r="K95" s="277" t="n"/>
    </row>
    <row r="96" ht="15.9" customHeight="1">
      <c r="A96" s="277" t="n"/>
      <c r="B96" s="278" t="n"/>
      <c r="C96" s="262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277" t="n"/>
      <c r="E96" s="279" t="n"/>
      <c r="F96" s="280">
        <f>IF(A96="","",IFERROR(VLOOKUP(A96,itens_Remanesc!$A:$C,3,0),""))</f>
        <v/>
      </c>
      <c r="G96" s="280">
        <f>IF(OR(E96="",F96=""),"",ROUND(E96*F96,2))</f>
        <v/>
      </c>
      <c r="H96" s="277" t="n"/>
      <c r="I96" s="205">
        <f>IFERROR(VLOOKUP(C96,parametros!$B:$F,5,0),"")</f>
        <v/>
      </c>
      <c r="J96" s="280">
        <f>IF(G96="","",ROUND(IF(OR(UPPER(D96)="SUPRESSAO",UPPER(D96)="DECRESCIMO"),-1,1)*G96*IF(AND(UPPER(H96)="SIM",ISNUMBER(I96)),I96,1),2))</f>
        <v/>
      </c>
      <c r="K96" s="277" t="n"/>
    </row>
    <row r="97" ht="15.9" customHeight="1">
      <c r="A97" s="277" t="n"/>
      <c r="B97" s="278" t="n"/>
      <c r="C97" s="262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277" t="n"/>
      <c r="E97" s="279" t="n"/>
      <c r="F97" s="280">
        <f>IF(A97="","",IFERROR(VLOOKUP(A97,itens_Remanesc!$A:$C,3,0),""))</f>
        <v/>
      </c>
      <c r="G97" s="280">
        <f>IF(OR(E97="",F97=""),"",ROUND(E97*F97,2))</f>
        <v/>
      </c>
      <c r="H97" s="277" t="n"/>
      <c r="I97" s="205">
        <f>IFERROR(VLOOKUP(C97,parametros!$B:$F,5,0),"")</f>
        <v/>
      </c>
      <c r="J97" s="280">
        <f>IF(G97="","",ROUND(IF(OR(UPPER(D97)="SUPRESSAO",UPPER(D97)="DECRESCIMO"),-1,1)*G97*IF(AND(UPPER(H97)="SIM",ISNUMBER(I97)),I97,1),2))</f>
        <v/>
      </c>
      <c r="K97" s="277" t="n"/>
    </row>
    <row r="98" ht="15.9" customHeight="1">
      <c r="A98" s="277" t="n"/>
      <c r="B98" s="278" t="n"/>
      <c r="C98" s="262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277" t="n"/>
      <c r="E98" s="279" t="n"/>
      <c r="F98" s="280">
        <f>IF(A98="","",IFERROR(VLOOKUP(A98,itens_Remanesc!$A:$C,3,0),""))</f>
        <v/>
      </c>
      <c r="G98" s="280">
        <f>IF(OR(E98="",F98=""),"",ROUND(E98*F98,2))</f>
        <v/>
      </c>
      <c r="H98" s="277" t="n"/>
      <c r="I98" s="205">
        <f>IFERROR(VLOOKUP(C98,parametros!$B:$F,5,0),"")</f>
        <v/>
      </c>
      <c r="J98" s="280">
        <f>IF(G98="","",ROUND(IF(OR(UPPER(D98)="SUPRESSAO",UPPER(D98)="DECRESCIMO"),-1,1)*G98*IF(AND(UPPER(H98)="SIM",ISNUMBER(I98)),I98,1),2))</f>
        <v/>
      </c>
      <c r="K98" s="277" t="n"/>
    </row>
    <row r="99" ht="15.9" customHeight="1">
      <c r="A99" s="277" t="n"/>
      <c r="B99" s="278" t="n"/>
      <c r="C99" s="262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277" t="n"/>
      <c r="E99" s="279" t="n"/>
      <c r="F99" s="280">
        <f>IF(A99="","",IFERROR(VLOOKUP(A99,itens_Remanesc!$A:$C,3,0),""))</f>
        <v/>
      </c>
      <c r="G99" s="280">
        <f>IF(OR(E99="",F99=""),"",ROUND(E99*F99,2))</f>
        <v/>
      </c>
      <c r="H99" s="277" t="n"/>
      <c r="I99" s="205">
        <f>IFERROR(VLOOKUP(C99,parametros!$B:$F,5,0),"")</f>
        <v/>
      </c>
      <c r="J99" s="280">
        <f>IF(G99="","",ROUND(IF(OR(UPPER(D99)="SUPRESSAO",UPPER(D99)="DECRESCIMO"),-1,1)*G99*IF(AND(UPPER(H99)="SIM",ISNUMBER(I99)),I99,1),2))</f>
        <v/>
      </c>
      <c r="K99" s="277" t="n"/>
    </row>
    <row r="100" ht="15.9" customHeight="1">
      <c r="A100" s="277" t="n"/>
      <c r="B100" s="278" t="n"/>
      <c r="C100" s="262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277" t="n"/>
      <c r="E100" s="279" t="n"/>
      <c r="F100" s="280">
        <f>IF(A100="","",IFERROR(VLOOKUP(A100,itens_Remanesc!$A:$C,3,0),""))</f>
        <v/>
      </c>
      <c r="G100" s="280">
        <f>IF(OR(E100="",F100=""),"",ROUND(E100*F100,2))</f>
        <v/>
      </c>
      <c r="H100" s="277" t="n"/>
      <c r="I100" s="205">
        <f>IFERROR(VLOOKUP(C100,parametros!$B:$F,5,0),"")</f>
        <v/>
      </c>
      <c r="J100" s="280">
        <f>IF(G100="","",ROUND(IF(OR(UPPER(D100)="SUPRESSAO",UPPER(D100)="DECRESCIMO"),-1,1)*G100*IF(AND(UPPER(H100)="SIM",ISNUMBER(I100)),I100,1),2))</f>
        <v/>
      </c>
      <c r="K100" s="277" t="n"/>
    </row>
    <row r="101" ht="15.9" customHeight="1">
      <c r="A101" s="277" t="n"/>
      <c r="B101" s="278" t="n"/>
      <c r="C101" s="262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277" t="n"/>
      <c r="E101" s="279" t="n"/>
      <c r="F101" s="280">
        <f>IF(A101="","",IFERROR(VLOOKUP(A101,itens_Remanesc!$A:$C,3,0),""))</f>
        <v/>
      </c>
      <c r="G101" s="280">
        <f>IF(OR(E101="",F101=""),"",ROUND(E101*F101,2))</f>
        <v/>
      </c>
      <c r="H101" s="277" t="n"/>
      <c r="I101" s="205">
        <f>IFERROR(VLOOKUP(C101,parametros!$B:$F,5,0),"")</f>
        <v/>
      </c>
      <c r="J101" s="280">
        <f>IF(G101="","",ROUND(IF(OR(UPPER(D101)="SUPRESSAO",UPPER(D101)="DECRESCIMO"),-1,1)*G101*IF(AND(UPPER(H101)="SIM",ISNUMBER(I101)),I101,1),2))</f>
        <v/>
      </c>
      <c r="K101" s="277" t="n"/>
    </row>
    <row r="102" ht="15.9" customHeight="1">
      <c r="A102" s="277" t="n"/>
      <c r="B102" s="278" t="n"/>
      <c r="C102" s="262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277" t="n"/>
      <c r="E102" s="279" t="n"/>
      <c r="F102" s="280">
        <f>IF(A102="","",IFERROR(VLOOKUP(A102,itens_Remanesc!$A:$C,3,0),""))</f>
        <v/>
      </c>
      <c r="G102" s="280">
        <f>IF(OR(E102="",F102=""),"",ROUND(E102*F102,2))</f>
        <v/>
      </c>
      <c r="H102" s="277" t="n"/>
      <c r="I102" s="205">
        <f>IFERROR(VLOOKUP(C102,parametros!$B:$F,5,0),"")</f>
        <v/>
      </c>
      <c r="J102" s="280">
        <f>IF(G102="","",ROUND(IF(OR(UPPER(D102)="SUPRESSAO",UPPER(D102)="DECRESCIMO"),-1,1)*G102*IF(AND(UPPER(H102)="SIM",ISNUMBER(I102)),I102,1),2))</f>
        <v/>
      </c>
      <c r="K102" s="277" t="n"/>
    </row>
    <row r="103" ht="15.9" customHeight="1">
      <c r="A103" s="277" t="n"/>
      <c r="B103" s="278" t="n"/>
      <c r="C103" s="262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277" t="n"/>
      <c r="E103" s="279" t="n"/>
      <c r="F103" s="280">
        <f>IF(A103="","",IFERROR(VLOOKUP(A103,itens_Remanesc!$A:$C,3,0),""))</f>
        <v/>
      </c>
      <c r="G103" s="280">
        <f>IF(OR(E103="",F103=""),"",ROUND(E103*F103,2))</f>
        <v/>
      </c>
      <c r="H103" s="277" t="n"/>
      <c r="I103" s="205">
        <f>IFERROR(VLOOKUP(C103,parametros!$B:$F,5,0),"")</f>
        <v/>
      </c>
      <c r="J103" s="280">
        <f>IF(G103="","",ROUND(IF(OR(UPPER(D103)="SUPRESSAO",UPPER(D103)="DECRESCIMO"),-1,1)*G103*IF(AND(UPPER(H103)="SIM",ISNUMBER(I103)),I103,1),2))</f>
        <v/>
      </c>
      <c r="K103" s="277" t="n"/>
    </row>
    <row r="104" ht="15.9" customHeight="1">
      <c r="A104" s="277" t="n"/>
      <c r="B104" s="278" t="n"/>
      <c r="C104" s="262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277" t="n"/>
      <c r="E104" s="279" t="n"/>
      <c r="F104" s="280">
        <f>IF(A104="","",IFERROR(VLOOKUP(A104,itens_Remanesc!$A:$C,3,0),""))</f>
        <v/>
      </c>
      <c r="G104" s="280">
        <f>IF(OR(E104="",F104=""),"",ROUND(E104*F104,2))</f>
        <v/>
      </c>
      <c r="H104" s="277" t="n"/>
      <c r="I104" s="205">
        <f>IFERROR(VLOOKUP(C104,parametros!$B:$F,5,0),"")</f>
        <v/>
      </c>
      <c r="J104" s="280">
        <f>IF(G104="","",ROUND(IF(OR(UPPER(D104)="SUPRESSAO",UPPER(D104)="DECRESCIMO"),-1,1)*G104*IF(AND(UPPER(H104)="SIM",ISNUMBER(I104)),I104,1),2))</f>
        <v/>
      </c>
      <c r="K104" s="277" t="n"/>
    </row>
    <row r="105" ht="15.9" customHeight="1">
      <c r="A105" s="277" t="n"/>
      <c r="B105" s="278" t="n"/>
      <c r="C105" s="262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277" t="n"/>
      <c r="E105" s="279" t="n"/>
      <c r="F105" s="280">
        <f>IF(A105="","",IFERROR(VLOOKUP(A105,itens_Remanesc!$A:$C,3,0),""))</f>
        <v/>
      </c>
      <c r="G105" s="280">
        <f>IF(OR(E105="",F105=""),"",ROUND(E105*F105,2))</f>
        <v/>
      </c>
      <c r="H105" s="277" t="n"/>
      <c r="I105" s="205">
        <f>IFERROR(VLOOKUP(C105,parametros!$B:$F,5,0),"")</f>
        <v/>
      </c>
      <c r="J105" s="280">
        <f>IF(G105="","",ROUND(IF(OR(UPPER(D105)="SUPRESSAO",UPPER(D105)="DECRESCIMO"),-1,1)*G105*IF(AND(UPPER(H105)="SIM",ISNUMBER(I105)),I105,1),2))</f>
        <v/>
      </c>
      <c r="K105" s="277" t="n"/>
    </row>
    <row r="106" ht="15.9" customHeight="1">
      <c r="A106" s="277" t="n"/>
      <c r="B106" s="278" t="n"/>
      <c r="C106" s="262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277" t="n"/>
      <c r="E106" s="279" t="n"/>
      <c r="F106" s="280">
        <f>IF(A106="","",IFERROR(VLOOKUP(A106,itens_Remanesc!$A:$C,3,0),""))</f>
        <v/>
      </c>
      <c r="G106" s="280">
        <f>IF(OR(E106="",F106=""),"",ROUND(E106*F106,2))</f>
        <v/>
      </c>
      <c r="H106" s="277" t="n"/>
      <c r="I106" s="205">
        <f>IFERROR(VLOOKUP(C106,parametros!$B:$F,5,0),"")</f>
        <v/>
      </c>
      <c r="J106" s="280">
        <f>IF(G106="","",ROUND(IF(OR(UPPER(D106)="SUPRESSAO",UPPER(D106)="DECRESCIMO"),-1,1)*G106*IF(AND(UPPER(H106)="SIM",ISNUMBER(I106)),I106,1),2))</f>
        <v/>
      </c>
      <c r="K106" s="277" t="n"/>
    </row>
    <row r="107" ht="15.9" customHeight="1">
      <c r="A107" s="277" t="n"/>
      <c r="B107" s="278" t="n"/>
      <c r="C107" s="262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277" t="n"/>
      <c r="E107" s="279" t="n"/>
      <c r="F107" s="280">
        <f>IF(A107="","",IFERROR(VLOOKUP(A107,itens_Remanesc!$A:$C,3,0),""))</f>
        <v/>
      </c>
      <c r="G107" s="280">
        <f>IF(OR(E107="",F107=""),"",ROUND(E107*F107,2))</f>
        <v/>
      </c>
      <c r="H107" s="277" t="n"/>
      <c r="I107" s="205">
        <f>IFERROR(VLOOKUP(C107,parametros!$B:$F,5,0),"")</f>
        <v/>
      </c>
      <c r="J107" s="280">
        <f>IF(G107="","",ROUND(IF(OR(UPPER(D107)="SUPRESSAO",UPPER(D107)="DECRESCIMO"),-1,1)*G107*IF(AND(UPPER(H107)="SIM",ISNUMBER(I107)),I107,1),2))</f>
        <v/>
      </c>
      <c r="K107" s="277" t="n"/>
    </row>
    <row r="108" ht="15.9" customHeight="1">
      <c r="A108" s="277" t="n"/>
      <c r="B108" s="278" t="n"/>
      <c r="C108" s="262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277" t="n"/>
      <c r="E108" s="279" t="n"/>
      <c r="F108" s="280">
        <f>IF(A108="","",IFERROR(VLOOKUP(A108,itens_Remanesc!$A:$C,3,0),""))</f>
        <v/>
      </c>
      <c r="G108" s="280">
        <f>IF(OR(E108="",F108=""),"",ROUND(E108*F108,2))</f>
        <v/>
      </c>
      <c r="H108" s="277" t="n"/>
      <c r="I108" s="205">
        <f>IFERROR(VLOOKUP(C108,parametros!$B:$F,5,0),"")</f>
        <v/>
      </c>
      <c r="J108" s="280">
        <f>IF(G108="","",ROUND(IF(OR(UPPER(D108)="SUPRESSAO",UPPER(D108)="DECRESCIMO"),-1,1)*G108*IF(AND(UPPER(H108)="SIM",ISNUMBER(I108)),I108,1),2))</f>
        <v/>
      </c>
      <c r="K108" s="277" t="n"/>
    </row>
    <row r="109" ht="15.9" customHeight="1">
      <c r="A109" s="277" t="n"/>
      <c r="B109" s="278" t="n"/>
      <c r="C109" s="262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277" t="n"/>
      <c r="E109" s="279" t="n"/>
      <c r="F109" s="280">
        <f>IF(A109="","",IFERROR(VLOOKUP(A109,itens_Remanesc!$A:$C,3,0),""))</f>
        <v/>
      </c>
      <c r="G109" s="280">
        <f>IF(OR(E109="",F109=""),"",ROUND(E109*F109,2))</f>
        <v/>
      </c>
      <c r="H109" s="277" t="n"/>
      <c r="I109" s="205">
        <f>IFERROR(VLOOKUP(C109,parametros!$B:$F,5,0),"")</f>
        <v/>
      </c>
      <c r="J109" s="280">
        <f>IF(G109="","",ROUND(IF(OR(UPPER(D109)="SUPRESSAO",UPPER(D109)="DECRESCIMO"),-1,1)*G109*IF(AND(UPPER(H109)="SIM",ISNUMBER(I109)),I109,1),2))</f>
        <v/>
      </c>
      <c r="K109" s="277" t="n"/>
    </row>
    <row r="110" ht="15.9" customHeight="1">
      <c r="A110" s="277" t="n"/>
      <c r="B110" s="278" t="n"/>
      <c r="C110" s="262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277" t="n"/>
      <c r="E110" s="279" t="n"/>
      <c r="F110" s="280">
        <f>IF(A110="","",IFERROR(VLOOKUP(A110,itens_Remanesc!$A:$C,3,0),""))</f>
        <v/>
      </c>
      <c r="G110" s="280">
        <f>IF(OR(E110="",F110=""),"",ROUND(E110*F110,2))</f>
        <v/>
      </c>
      <c r="H110" s="277" t="n"/>
      <c r="I110" s="205">
        <f>IFERROR(VLOOKUP(C110,parametros!$B:$F,5,0),"")</f>
        <v/>
      </c>
      <c r="J110" s="280">
        <f>IF(G110="","",ROUND(IF(OR(UPPER(D110)="SUPRESSAO",UPPER(D110)="DECRESCIMO"),-1,1)*G110*IF(AND(UPPER(H110)="SIM",ISNUMBER(I110)),I110,1),2))</f>
        <v/>
      </c>
      <c r="K110" s="277" t="n"/>
    </row>
    <row r="111" ht="15.9" customHeight="1">
      <c r="A111" s="277" t="n"/>
      <c r="B111" s="278" t="n"/>
      <c r="C111" s="262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277" t="n"/>
      <c r="E111" s="279" t="n"/>
      <c r="F111" s="280">
        <f>IF(A111="","",IFERROR(VLOOKUP(A111,itens_Remanesc!$A:$C,3,0),""))</f>
        <v/>
      </c>
      <c r="G111" s="280">
        <f>IF(OR(E111="",F111=""),"",ROUND(E111*F111,2))</f>
        <v/>
      </c>
      <c r="H111" s="277" t="n"/>
      <c r="I111" s="205">
        <f>IFERROR(VLOOKUP(C111,parametros!$B:$F,5,0),"")</f>
        <v/>
      </c>
      <c r="J111" s="280">
        <f>IF(G111="","",ROUND(IF(OR(UPPER(D111)="SUPRESSAO",UPPER(D111)="DECRESCIMO"),-1,1)*G111*IF(AND(UPPER(H111)="SIM",ISNUMBER(I111)),I111,1),2))</f>
        <v/>
      </c>
      <c r="K111" s="277" t="n"/>
    </row>
    <row r="112" ht="15.9" customHeight="1">
      <c r="A112" s="277" t="n"/>
      <c r="B112" s="278" t="n"/>
      <c r="C112" s="262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277" t="n"/>
      <c r="E112" s="279" t="n"/>
      <c r="F112" s="280">
        <f>IF(A112="","",IFERROR(VLOOKUP(A112,itens_Remanesc!$A:$C,3,0),""))</f>
        <v/>
      </c>
      <c r="G112" s="280">
        <f>IF(OR(E112="",F112=""),"",ROUND(E112*F112,2))</f>
        <v/>
      </c>
      <c r="H112" s="277" t="n"/>
      <c r="I112" s="205">
        <f>IFERROR(VLOOKUP(C112,parametros!$B:$F,5,0),"")</f>
        <v/>
      </c>
      <c r="J112" s="280">
        <f>IF(G112="","",ROUND(IF(OR(UPPER(D112)="SUPRESSAO",UPPER(D112)="DECRESCIMO"),-1,1)*G112*IF(AND(UPPER(H112)="SIM",ISNUMBER(I112)),I112,1),2))</f>
        <v/>
      </c>
      <c r="K112" s="277" t="n"/>
    </row>
    <row r="113" ht="15.9" customHeight="1">
      <c r="A113" s="277" t="n"/>
      <c r="B113" s="278" t="n"/>
      <c r="C113" s="262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277" t="n"/>
      <c r="E113" s="279" t="n"/>
      <c r="F113" s="280">
        <f>IF(A113="","",IFERROR(VLOOKUP(A113,itens_Remanesc!$A:$C,3,0),""))</f>
        <v/>
      </c>
      <c r="G113" s="280">
        <f>IF(OR(E113="",F113=""),"",ROUND(E113*F113,2))</f>
        <v/>
      </c>
      <c r="H113" s="277" t="n"/>
      <c r="I113" s="205">
        <f>IFERROR(VLOOKUP(C113,parametros!$B:$F,5,0),"")</f>
        <v/>
      </c>
      <c r="J113" s="280">
        <f>IF(G113="","",ROUND(IF(OR(UPPER(D113)="SUPRESSAO",UPPER(D113)="DECRESCIMO"),-1,1)*G113*IF(AND(UPPER(H113)="SIM",ISNUMBER(I113)),I113,1),2))</f>
        <v/>
      </c>
      <c r="K113" s="277" t="n"/>
    </row>
    <row r="114" ht="15.9" customHeight="1">
      <c r="A114" s="277" t="n"/>
      <c r="B114" s="278" t="n"/>
      <c r="C114" s="262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277" t="n"/>
      <c r="E114" s="279" t="n"/>
      <c r="F114" s="280">
        <f>IF(A114="","",IFERROR(VLOOKUP(A114,itens_Remanesc!$A:$C,3,0),""))</f>
        <v/>
      </c>
      <c r="G114" s="280">
        <f>IF(OR(E114="",F114=""),"",ROUND(E114*F114,2))</f>
        <v/>
      </c>
      <c r="H114" s="277" t="n"/>
      <c r="I114" s="205">
        <f>IFERROR(VLOOKUP(C114,parametros!$B:$F,5,0),"")</f>
        <v/>
      </c>
      <c r="J114" s="280">
        <f>IF(G114="","",ROUND(IF(OR(UPPER(D114)="SUPRESSAO",UPPER(D114)="DECRESCIMO"),-1,1)*G114*IF(AND(UPPER(H114)="SIM",ISNUMBER(I114)),I114,1),2))</f>
        <v/>
      </c>
      <c r="K114" s="277" t="n"/>
    </row>
    <row r="115" ht="15.9" customHeight="1">
      <c r="A115" s="277" t="n"/>
      <c r="B115" s="278" t="n"/>
      <c r="C115" s="262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277" t="n"/>
      <c r="E115" s="279" t="n"/>
      <c r="F115" s="280">
        <f>IF(A115="","",IFERROR(VLOOKUP(A115,itens_Remanesc!$A:$C,3,0),""))</f>
        <v/>
      </c>
      <c r="G115" s="280">
        <f>IF(OR(E115="",F115=""),"",ROUND(E115*F115,2))</f>
        <v/>
      </c>
      <c r="H115" s="277" t="n"/>
      <c r="I115" s="205">
        <f>IFERROR(VLOOKUP(C115,parametros!$B:$F,5,0),"")</f>
        <v/>
      </c>
      <c r="J115" s="280">
        <f>IF(G115="","",ROUND(IF(OR(UPPER(D115)="SUPRESSAO",UPPER(D115)="DECRESCIMO"),-1,1)*G115*IF(AND(UPPER(H115)="SIM",ISNUMBER(I115)),I115,1),2))</f>
        <v/>
      </c>
      <c r="K115" s="277" t="n"/>
    </row>
    <row r="116" ht="15.9" customHeight="1">
      <c r="A116" s="277" t="n"/>
      <c r="B116" s="278" t="n"/>
      <c r="C116" s="262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277" t="n"/>
      <c r="E116" s="279" t="n"/>
      <c r="F116" s="280">
        <f>IF(A116="","",IFERROR(VLOOKUP(A116,itens_Remanesc!$A:$C,3,0),""))</f>
        <v/>
      </c>
      <c r="G116" s="280">
        <f>IF(OR(E116="",F116=""),"",ROUND(E116*F116,2))</f>
        <v/>
      </c>
      <c r="H116" s="277" t="n"/>
      <c r="I116" s="205">
        <f>IFERROR(VLOOKUP(C116,parametros!$B:$F,5,0),"")</f>
        <v/>
      </c>
      <c r="J116" s="280">
        <f>IF(G116="","",ROUND(IF(OR(UPPER(D116)="SUPRESSAO",UPPER(D116)="DECRESCIMO"),-1,1)*G116*IF(AND(UPPER(H116)="SIM",ISNUMBER(I116)),I116,1),2))</f>
        <v/>
      </c>
      <c r="K116" s="277" t="n"/>
    </row>
    <row r="117" ht="15.9" customHeight="1">
      <c r="A117" s="277" t="n"/>
      <c r="B117" s="278" t="n"/>
      <c r="C117" s="262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277" t="n"/>
      <c r="E117" s="279" t="n"/>
      <c r="F117" s="280">
        <f>IF(A117="","",IFERROR(VLOOKUP(A117,itens_Remanesc!$A:$C,3,0),""))</f>
        <v/>
      </c>
      <c r="G117" s="280">
        <f>IF(OR(E117="",F117=""),"",ROUND(E117*F117,2))</f>
        <v/>
      </c>
      <c r="H117" s="277" t="n"/>
      <c r="I117" s="205">
        <f>IFERROR(VLOOKUP(C117,parametros!$B:$F,5,0),"")</f>
        <v/>
      </c>
      <c r="J117" s="280">
        <f>IF(G117="","",ROUND(IF(OR(UPPER(D117)="SUPRESSAO",UPPER(D117)="DECRESCIMO"),-1,1)*G117*IF(AND(UPPER(H117)="SIM",ISNUMBER(I117)),I117,1),2))</f>
        <v/>
      </c>
      <c r="K117" s="277" t="n"/>
    </row>
    <row r="118" ht="15.9" customHeight="1">
      <c r="A118" s="277" t="n"/>
      <c r="B118" s="278" t="n"/>
      <c r="C118" s="262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277" t="n"/>
      <c r="E118" s="279" t="n"/>
      <c r="F118" s="280">
        <f>IF(A118="","",IFERROR(VLOOKUP(A118,itens_Remanesc!$A:$C,3,0),""))</f>
        <v/>
      </c>
      <c r="G118" s="280">
        <f>IF(OR(E118="",F118=""),"",ROUND(E118*F118,2))</f>
        <v/>
      </c>
      <c r="H118" s="277" t="n"/>
      <c r="I118" s="205">
        <f>IFERROR(VLOOKUP(C118,parametros!$B:$F,5,0),"")</f>
        <v/>
      </c>
      <c r="J118" s="280">
        <f>IF(G118="","",ROUND(IF(OR(UPPER(D118)="SUPRESSAO",UPPER(D118)="DECRESCIMO"),-1,1)*G118*IF(AND(UPPER(H118)="SIM",ISNUMBER(I118)),I118,1),2))</f>
        <v/>
      </c>
      <c r="K118" s="277" t="n"/>
    </row>
    <row r="119" ht="15.9" customHeight="1">
      <c r="A119" s="277" t="n"/>
      <c r="B119" s="278" t="n"/>
      <c r="C119" s="262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277" t="n"/>
      <c r="E119" s="279" t="n"/>
      <c r="F119" s="280">
        <f>IF(A119="","",IFERROR(VLOOKUP(A119,itens_Remanesc!$A:$C,3,0),""))</f>
        <v/>
      </c>
      <c r="G119" s="280">
        <f>IF(OR(E119="",F119=""),"",ROUND(E119*F119,2))</f>
        <v/>
      </c>
      <c r="H119" s="277" t="n"/>
      <c r="I119" s="205">
        <f>IFERROR(VLOOKUP(C119,parametros!$B:$F,5,0),"")</f>
        <v/>
      </c>
      <c r="J119" s="280">
        <f>IF(G119="","",ROUND(IF(OR(UPPER(D119)="SUPRESSAO",UPPER(D119)="DECRESCIMO"),-1,1)*G119*IF(AND(UPPER(H119)="SIM",ISNUMBER(I119)),I119,1),2))</f>
        <v/>
      </c>
      <c r="K119" s="277" t="n"/>
    </row>
    <row r="120" ht="15.9" customHeight="1">
      <c r="A120" s="277" t="n"/>
      <c r="B120" s="278" t="n"/>
      <c r="C120" s="262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277" t="n"/>
      <c r="E120" s="279" t="n"/>
      <c r="F120" s="280">
        <f>IF(A120="","",IFERROR(VLOOKUP(A120,itens_Remanesc!$A:$C,3,0),""))</f>
        <v/>
      </c>
      <c r="G120" s="280">
        <f>IF(OR(E120="",F120=""),"",ROUND(E120*F120,2))</f>
        <v/>
      </c>
      <c r="H120" s="277" t="n"/>
      <c r="I120" s="205">
        <f>IFERROR(VLOOKUP(C120,parametros!$B:$F,5,0),"")</f>
        <v/>
      </c>
      <c r="J120" s="280">
        <f>IF(G120="","",ROUND(IF(OR(UPPER(D120)="SUPRESSAO",UPPER(D120)="DECRESCIMO"),-1,1)*G120*IF(AND(UPPER(H120)="SIM",ISNUMBER(I120)),I120,1),2))</f>
        <v/>
      </c>
      <c r="K120" s="277" t="n"/>
    </row>
    <row r="121" ht="15.9" customHeight="1">
      <c r="A121" s="277" t="n"/>
      <c r="B121" s="278" t="n"/>
      <c r="C121" s="262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277" t="n"/>
      <c r="E121" s="279" t="n"/>
      <c r="F121" s="280">
        <f>IF(A121="","",IFERROR(VLOOKUP(A121,itens_Remanesc!$A:$C,3,0),""))</f>
        <v/>
      </c>
      <c r="G121" s="280">
        <f>IF(OR(E121="",F121=""),"",ROUND(E121*F121,2))</f>
        <v/>
      </c>
      <c r="H121" s="277" t="n"/>
      <c r="I121" s="205">
        <f>IFERROR(VLOOKUP(C121,parametros!$B:$F,5,0),"")</f>
        <v/>
      </c>
      <c r="J121" s="280">
        <f>IF(G121="","",ROUND(IF(OR(UPPER(D121)="SUPRESSAO",UPPER(D121)="DECRESCIMO"),-1,1)*G121*IF(AND(UPPER(H121)="SIM",ISNUMBER(I121)),I121,1),2))</f>
        <v/>
      </c>
      <c r="K121" s="277" t="n"/>
    </row>
    <row r="122" ht="15.9" customHeight="1">
      <c r="A122" s="277" t="n"/>
      <c r="B122" s="278" t="n"/>
      <c r="C122" s="262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277" t="n"/>
      <c r="E122" s="279" t="n"/>
      <c r="F122" s="280">
        <f>IF(A122="","",IFERROR(VLOOKUP(A122,itens_Remanesc!$A:$C,3,0),""))</f>
        <v/>
      </c>
      <c r="G122" s="280">
        <f>IF(OR(E122="",F122=""),"",ROUND(E122*F122,2))</f>
        <v/>
      </c>
      <c r="H122" s="277" t="n"/>
      <c r="I122" s="205">
        <f>IFERROR(VLOOKUP(C122,parametros!$B:$F,5,0),"")</f>
        <v/>
      </c>
      <c r="J122" s="280">
        <f>IF(G122="","",ROUND(IF(OR(UPPER(D122)="SUPRESSAO",UPPER(D122)="DECRESCIMO"),-1,1)*G122*IF(AND(UPPER(H122)="SIM",ISNUMBER(I122)),I122,1),2))</f>
        <v/>
      </c>
      <c r="K122" s="277" t="n"/>
    </row>
    <row r="123" ht="15.9" customHeight="1">
      <c r="A123" s="277" t="n"/>
      <c r="B123" s="278" t="n"/>
      <c r="C123" s="262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277" t="n"/>
      <c r="E123" s="279" t="n"/>
      <c r="F123" s="280">
        <f>IF(A123="","",IFERROR(VLOOKUP(A123,itens_Remanesc!$A:$C,3,0),""))</f>
        <v/>
      </c>
      <c r="G123" s="280">
        <f>IF(OR(E123="",F123=""),"",ROUND(E123*F123,2))</f>
        <v/>
      </c>
      <c r="H123" s="277" t="n"/>
      <c r="I123" s="205">
        <f>IFERROR(VLOOKUP(C123,parametros!$B:$F,5,0),"")</f>
        <v/>
      </c>
      <c r="J123" s="280">
        <f>IF(G123="","",ROUND(IF(OR(UPPER(D123)="SUPRESSAO",UPPER(D123)="DECRESCIMO"),-1,1)*G123*IF(AND(UPPER(H123)="SIM",ISNUMBER(I123)),I123,1),2))</f>
        <v/>
      </c>
      <c r="K123" s="277" t="n"/>
    </row>
    <row r="124" ht="15.9" customHeight="1">
      <c r="A124" s="277" t="n"/>
      <c r="B124" s="278" t="n"/>
      <c r="C124" s="262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277" t="n"/>
      <c r="E124" s="279" t="n"/>
      <c r="F124" s="280">
        <f>IF(A124="","",IFERROR(VLOOKUP(A124,itens_Remanesc!$A:$C,3,0),""))</f>
        <v/>
      </c>
      <c r="G124" s="280">
        <f>IF(OR(E124="",F124=""),"",ROUND(E124*F124,2))</f>
        <v/>
      </c>
      <c r="H124" s="277" t="n"/>
      <c r="I124" s="205">
        <f>IFERROR(VLOOKUP(C124,parametros!$B:$F,5,0),"")</f>
        <v/>
      </c>
      <c r="J124" s="280">
        <f>IF(G124="","",ROUND(IF(OR(UPPER(D124)="SUPRESSAO",UPPER(D124)="DECRESCIMO"),-1,1)*G124*IF(AND(UPPER(H124)="SIM",ISNUMBER(I124)),I124,1),2))</f>
        <v/>
      </c>
      <c r="K124" s="277" t="n"/>
    </row>
    <row r="125" ht="15.9" customHeight="1">
      <c r="A125" s="277" t="n"/>
      <c r="B125" s="278" t="n"/>
      <c r="C125" s="262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277" t="n"/>
      <c r="E125" s="279" t="n"/>
      <c r="F125" s="280">
        <f>IF(A125="","",IFERROR(VLOOKUP(A125,itens_Remanesc!$A:$C,3,0),""))</f>
        <v/>
      </c>
      <c r="G125" s="280">
        <f>IF(OR(E125="",F125=""),"",ROUND(E125*F125,2))</f>
        <v/>
      </c>
      <c r="H125" s="277" t="n"/>
      <c r="I125" s="205">
        <f>IFERROR(VLOOKUP(C125,parametros!$B:$F,5,0),"")</f>
        <v/>
      </c>
      <c r="J125" s="280">
        <f>IF(G125="","",ROUND(IF(OR(UPPER(D125)="SUPRESSAO",UPPER(D125)="DECRESCIMO"),-1,1)*G125*IF(AND(UPPER(H125)="SIM",ISNUMBER(I125)),I125,1),2))</f>
        <v/>
      </c>
      <c r="K125" s="277" t="n"/>
    </row>
    <row r="126" ht="15.9" customHeight="1">
      <c r="A126" s="277" t="n"/>
      <c r="B126" s="278" t="n"/>
      <c r="C126" s="262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277" t="n"/>
      <c r="E126" s="279" t="n"/>
      <c r="F126" s="280">
        <f>IF(A126="","",IFERROR(VLOOKUP(A126,itens_Remanesc!$A:$C,3,0),""))</f>
        <v/>
      </c>
      <c r="G126" s="280">
        <f>IF(OR(E126="",F126=""),"",ROUND(E126*F126,2))</f>
        <v/>
      </c>
      <c r="H126" s="277" t="n"/>
      <c r="I126" s="205">
        <f>IFERROR(VLOOKUP(C126,parametros!$B:$F,5,0),"")</f>
        <v/>
      </c>
      <c r="J126" s="280">
        <f>IF(G126="","",ROUND(IF(OR(UPPER(D126)="SUPRESSAO",UPPER(D126)="DECRESCIMO"),-1,1)*G126*IF(AND(UPPER(H126)="SIM",ISNUMBER(I126)),I126,1),2))</f>
        <v/>
      </c>
      <c r="K126" s="277" t="n"/>
    </row>
    <row r="127" ht="15.9" customHeight="1">
      <c r="A127" s="277" t="n"/>
      <c r="B127" s="278" t="n"/>
      <c r="C127" s="262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277" t="n"/>
      <c r="E127" s="279" t="n"/>
      <c r="F127" s="280">
        <f>IF(A127="","",IFERROR(VLOOKUP(A127,itens_Remanesc!$A:$C,3,0),""))</f>
        <v/>
      </c>
      <c r="G127" s="280">
        <f>IF(OR(E127="",F127=""),"",ROUND(E127*F127,2))</f>
        <v/>
      </c>
      <c r="H127" s="277" t="n"/>
      <c r="I127" s="205">
        <f>IFERROR(VLOOKUP(C127,parametros!$B:$F,5,0),"")</f>
        <v/>
      </c>
      <c r="J127" s="280">
        <f>IF(G127="","",ROUND(IF(OR(UPPER(D127)="SUPRESSAO",UPPER(D127)="DECRESCIMO"),-1,1)*G127*IF(AND(UPPER(H127)="SIM",ISNUMBER(I127)),I127,1),2))</f>
        <v/>
      </c>
      <c r="K127" s="277" t="n"/>
    </row>
    <row r="128" ht="15.9" customHeight="1">
      <c r="A128" s="277" t="n"/>
      <c r="B128" s="278" t="n"/>
      <c r="C128" s="262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277" t="n"/>
      <c r="E128" s="279" t="n"/>
      <c r="F128" s="280">
        <f>IF(A128="","",IFERROR(VLOOKUP(A128,itens_Remanesc!$A:$C,3,0),""))</f>
        <v/>
      </c>
      <c r="G128" s="280">
        <f>IF(OR(E128="",F128=""),"",ROUND(E128*F128,2))</f>
        <v/>
      </c>
      <c r="H128" s="277" t="n"/>
      <c r="I128" s="205">
        <f>IFERROR(VLOOKUP(C128,parametros!$B:$F,5,0),"")</f>
        <v/>
      </c>
      <c r="J128" s="280">
        <f>IF(G128="","",ROUND(IF(OR(UPPER(D128)="SUPRESSAO",UPPER(D128)="DECRESCIMO"),-1,1)*G128*IF(AND(UPPER(H128)="SIM",ISNUMBER(I128)),I128,1),2))</f>
        <v/>
      </c>
      <c r="K128" s="277" t="n"/>
    </row>
    <row r="129" ht="15.9" customHeight="1">
      <c r="A129" s="277" t="n"/>
      <c r="B129" s="278" t="n"/>
      <c r="C129" s="262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277" t="n"/>
      <c r="E129" s="279" t="n"/>
      <c r="F129" s="280">
        <f>IF(A129="","",IFERROR(VLOOKUP(A129,itens_Remanesc!$A:$C,3,0),""))</f>
        <v/>
      </c>
      <c r="G129" s="280">
        <f>IF(OR(E129="",F129=""),"",ROUND(E129*F129,2))</f>
        <v/>
      </c>
      <c r="H129" s="277" t="n"/>
      <c r="I129" s="205">
        <f>IFERROR(VLOOKUP(C129,parametros!$B:$F,5,0),"")</f>
        <v/>
      </c>
      <c r="J129" s="280">
        <f>IF(G129="","",ROUND(IF(OR(UPPER(D129)="SUPRESSAO",UPPER(D129)="DECRESCIMO"),-1,1)*G129*IF(AND(UPPER(H129)="SIM",ISNUMBER(I129)),I129,1),2))</f>
        <v/>
      </c>
      <c r="K129" s="277" t="n"/>
    </row>
    <row r="130" ht="15.9" customHeight="1">
      <c r="A130" s="277" t="n"/>
      <c r="B130" s="278" t="n"/>
      <c r="C130" s="262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277" t="n"/>
      <c r="E130" s="279" t="n"/>
      <c r="F130" s="280">
        <f>IF(A130="","",IFERROR(VLOOKUP(A130,itens_Remanesc!$A:$C,3,0),""))</f>
        <v/>
      </c>
      <c r="G130" s="280">
        <f>IF(OR(E130="",F130=""),"",ROUND(E130*F130,2))</f>
        <v/>
      </c>
      <c r="H130" s="277" t="n"/>
      <c r="I130" s="205">
        <f>IFERROR(VLOOKUP(C130,parametros!$B:$F,5,0),"")</f>
        <v/>
      </c>
      <c r="J130" s="280">
        <f>IF(G130="","",ROUND(IF(OR(UPPER(D130)="SUPRESSAO",UPPER(D130)="DECRESCIMO"),-1,1)*G130*IF(AND(UPPER(H130)="SIM",ISNUMBER(I130)),I130,1),2))</f>
        <v/>
      </c>
      <c r="K130" s="277" t="n"/>
    </row>
    <row r="131" ht="15.9" customHeight="1">
      <c r="A131" s="277" t="n"/>
      <c r="B131" s="278" t="n"/>
      <c r="C131" s="262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277" t="n"/>
      <c r="E131" s="279" t="n"/>
      <c r="F131" s="280">
        <f>IF(A131="","",IFERROR(VLOOKUP(A131,itens_Remanesc!$A:$C,3,0),""))</f>
        <v/>
      </c>
      <c r="G131" s="280">
        <f>IF(OR(E131="",F131=""),"",ROUND(E131*F131,2))</f>
        <v/>
      </c>
      <c r="H131" s="277" t="n"/>
      <c r="I131" s="205">
        <f>IFERROR(VLOOKUP(C131,parametros!$B:$F,5,0),"")</f>
        <v/>
      </c>
      <c r="J131" s="280">
        <f>IF(G131="","",ROUND(IF(OR(UPPER(D131)="SUPRESSAO",UPPER(D131)="DECRESCIMO"),-1,1)*G131*IF(AND(UPPER(H131)="SIM",ISNUMBER(I131)),I131,1),2))</f>
        <v/>
      </c>
      <c r="K131" s="277" t="n"/>
    </row>
    <row r="132" ht="15.9" customHeight="1">
      <c r="A132" s="277" t="n"/>
      <c r="B132" s="278" t="n"/>
      <c r="C132" s="262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277" t="n"/>
      <c r="E132" s="279" t="n"/>
      <c r="F132" s="280">
        <f>IF(A132="","",IFERROR(VLOOKUP(A132,itens_Remanesc!$A:$C,3,0),""))</f>
        <v/>
      </c>
      <c r="G132" s="280">
        <f>IF(OR(E132="",F132=""),"",ROUND(E132*F132,2))</f>
        <v/>
      </c>
      <c r="H132" s="277" t="n"/>
      <c r="I132" s="205">
        <f>IFERROR(VLOOKUP(C132,parametros!$B:$F,5,0),"")</f>
        <v/>
      </c>
      <c r="J132" s="280">
        <f>IF(G132="","",ROUND(IF(OR(UPPER(D132)="SUPRESSAO",UPPER(D132)="DECRESCIMO"),-1,1)*G132*IF(AND(UPPER(H132)="SIM",ISNUMBER(I132)),I132,1),2))</f>
        <v/>
      </c>
      <c r="K132" s="277" t="n"/>
    </row>
    <row r="133" ht="15.9" customHeight="1">
      <c r="A133" s="277" t="n"/>
      <c r="B133" s="278" t="n"/>
      <c r="C133" s="262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277" t="n"/>
      <c r="E133" s="279" t="n"/>
      <c r="F133" s="280">
        <f>IF(A133="","",IFERROR(VLOOKUP(A133,itens_Remanesc!$A:$C,3,0),""))</f>
        <v/>
      </c>
      <c r="G133" s="280">
        <f>IF(OR(E133="",F133=""),"",ROUND(E133*F133,2))</f>
        <v/>
      </c>
      <c r="H133" s="277" t="n"/>
      <c r="I133" s="205">
        <f>IFERROR(VLOOKUP(C133,parametros!$B:$F,5,0),"")</f>
        <v/>
      </c>
      <c r="J133" s="280">
        <f>IF(G133="","",ROUND(IF(OR(UPPER(D133)="SUPRESSAO",UPPER(D133)="DECRESCIMO"),-1,1)*G133*IF(AND(UPPER(H133)="SIM",ISNUMBER(I133)),I133,1),2))</f>
        <v/>
      </c>
      <c r="K133" s="277" t="n"/>
    </row>
    <row r="134" ht="15.9" customHeight="1">
      <c r="A134" s="277" t="n"/>
      <c r="B134" s="278" t="n"/>
      <c r="C134" s="262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277" t="n"/>
      <c r="E134" s="279" t="n"/>
      <c r="F134" s="280">
        <f>IF(A134="","",IFERROR(VLOOKUP(A134,itens_Remanesc!$A:$C,3,0),""))</f>
        <v/>
      </c>
      <c r="G134" s="280">
        <f>IF(OR(E134="",F134=""),"",ROUND(E134*F134,2))</f>
        <v/>
      </c>
      <c r="H134" s="277" t="n"/>
      <c r="I134" s="205">
        <f>IFERROR(VLOOKUP(C134,parametros!$B:$F,5,0),"")</f>
        <v/>
      </c>
      <c r="J134" s="280">
        <f>IF(G134="","",ROUND(IF(OR(UPPER(D134)="SUPRESSAO",UPPER(D134)="DECRESCIMO"),-1,1)*G134*IF(AND(UPPER(H134)="SIM",ISNUMBER(I134)),I134,1),2))</f>
        <v/>
      </c>
      <c r="K134" s="277" t="n"/>
    </row>
    <row r="135" ht="15.9" customHeight="1">
      <c r="A135" s="277" t="n"/>
      <c r="B135" s="278" t="n"/>
      <c r="C135" s="262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277" t="n"/>
      <c r="E135" s="279" t="n"/>
      <c r="F135" s="280">
        <f>IF(A135="","",IFERROR(VLOOKUP(A135,itens_Remanesc!$A:$C,3,0),""))</f>
        <v/>
      </c>
      <c r="G135" s="280">
        <f>IF(OR(E135="",F135=""),"",ROUND(E135*F135,2))</f>
        <v/>
      </c>
      <c r="H135" s="277" t="n"/>
      <c r="I135" s="205">
        <f>IFERROR(VLOOKUP(C135,parametros!$B:$F,5,0),"")</f>
        <v/>
      </c>
      <c r="J135" s="280">
        <f>IF(G135="","",ROUND(IF(OR(UPPER(D135)="SUPRESSAO",UPPER(D135)="DECRESCIMO"),-1,1)*G135*IF(AND(UPPER(H135)="SIM",ISNUMBER(I135)),I135,1),2))</f>
        <v/>
      </c>
      <c r="K135" s="277" t="n"/>
    </row>
    <row r="136" ht="15.9" customHeight="1">
      <c r="A136" s="277" t="n"/>
      <c r="B136" s="278" t="n"/>
      <c r="C136" s="262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277" t="n"/>
      <c r="E136" s="279" t="n"/>
      <c r="F136" s="280">
        <f>IF(A136="","",IFERROR(VLOOKUP(A136,itens_Remanesc!$A:$C,3,0),""))</f>
        <v/>
      </c>
      <c r="G136" s="280">
        <f>IF(OR(E136="",F136=""),"",ROUND(E136*F136,2))</f>
        <v/>
      </c>
      <c r="H136" s="277" t="n"/>
      <c r="I136" s="205">
        <f>IFERROR(VLOOKUP(C136,parametros!$B:$F,5,0),"")</f>
        <v/>
      </c>
      <c r="J136" s="280">
        <f>IF(G136="","",ROUND(IF(OR(UPPER(D136)="SUPRESSAO",UPPER(D136)="DECRESCIMO"),-1,1)*G136*IF(AND(UPPER(H136)="SIM",ISNUMBER(I136)),I136,1),2))</f>
        <v/>
      </c>
      <c r="K136" s="277" t="n"/>
    </row>
    <row r="137" ht="15.9" customHeight="1">
      <c r="A137" s="277" t="n"/>
      <c r="B137" s="278" t="n"/>
      <c r="C137" s="262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277" t="n"/>
      <c r="E137" s="279" t="n"/>
      <c r="F137" s="280">
        <f>IF(A137="","",IFERROR(VLOOKUP(A137,itens_Remanesc!$A:$C,3,0),""))</f>
        <v/>
      </c>
      <c r="G137" s="280">
        <f>IF(OR(E137="",F137=""),"",ROUND(E137*F137,2))</f>
        <v/>
      </c>
      <c r="H137" s="277" t="n"/>
      <c r="I137" s="205">
        <f>IFERROR(VLOOKUP(C137,parametros!$B:$F,5,0),"")</f>
        <v/>
      </c>
      <c r="J137" s="280">
        <f>IF(G137="","",ROUND(IF(OR(UPPER(D137)="SUPRESSAO",UPPER(D137)="DECRESCIMO"),-1,1)*G137*IF(AND(UPPER(H137)="SIM",ISNUMBER(I137)),I137,1),2))</f>
        <v/>
      </c>
      <c r="K137" s="277" t="n"/>
    </row>
    <row r="138" ht="15.9" customHeight="1">
      <c r="A138" s="277" t="n"/>
      <c r="B138" s="278" t="n"/>
      <c r="C138" s="262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277" t="n"/>
      <c r="E138" s="279" t="n"/>
      <c r="F138" s="280">
        <f>IF(A138="","",IFERROR(VLOOKUP(A138,itens_Remanesc!$A:$C,3,0),""))</f>
        <v/>
      </c>
      <c r="G138" s="280">
        <f>IF(OR(E138="",F138=""),"",ROUND(E138*F138,2))</f>
        <v/>
      </c>
      <c r="H138" s="277" t="n"/>
      <c r="I138" s="205">
        <f>IFERROR(VLOOKUP(C138,parametros!$B:$F,5,0),"")</f>
        <v/>
      </c>
      <c r="J138" s="280">
        <f>IF(G138="","",ROUND(IF(OR(UPPER(D138)="SUPRESSAO",UPPER(D138)="DECRESCIMO"),-1,1)*G138*IF(AND(UPPER(H138)="SIM",ISNUMBER(I138)),I138,1),2))</f>
        <v/>
      </c>
      <c r="K138" s="277" t="n"/>
    </row>
    <row r="139" ht="15.9" customHeight="1">
      <c r="A139" s="277" t="n"/>
      <c r="B139" s="278" t="n"/>
      <c r="C139" s="262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277" t="n"/>
      <c r="E139" s="279" t="n"/>
      <c r="F139" s="280">
        <f>IF(A139="","",IFERROR(VLOOKUP(A139,itens_Remanesc!$A:$C,3,0),""))</f>
        <v/>
      </c>
      <c r="G139" s="280">
        <f>IF(OR(E139="",F139=""),"",ROUND(E139*F139,2))</f>
        <v/>
      </c>
      <c r="H139" s="277" t="n"/>
      <c r="I139" s="205">
        <f>IFERROR(VLOOKUP(C139,parametros!$B:$F,5,0),"")</f>
        <v/>
      </c>
      <c r="J139" s="280">
        <f>IF(G139="","",ROUND(IF(OR(UPPER(D139)="SUPRESSAO",UPPER(D139)="DECRESCIMO"),-1,1)*G139*IF(AND(UPPER(H139)="SIM",ISNUMBER(I139)),I139,1),2))</f>
        <v/>
      </c>
      <c r="K139" s="277" t="n"/>
    </row>
    <row r="140" ht="15.9" customHeight="1">
      <c r="A140" s="277" t="n"/>
      <c r="B140" s="278" t="n"/>
      <c r="C140" s="262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277" t="n"/>
      <c r="E140" s="279" t="n"/>
      <c r="F140" s="280">
        <f>IF(A140="","",IFERROR(VLOOKUP(A140,itens_Remanesc!$A:$C,3,0),""))</f>
        <v/>
      </c>
      <c r="G140" s="280">
        <f>IF(OR(E140="",F140=""),"",ROUND(E140*F140,2))</f>
        <v/>
      </c>
      <c r="H140" s="277" t="n"/>
      <c r="I140" s="205">
        <f>IFERROR(VLOOKUP(C140,parametros!$B:$F,5,0),"")</f>
        <v/>
      </c>
      <c r="J140" s="280">
        <f>IF(G140="","",ROUND(IF(OR(UPPER(D140)="SUPRESSAO",UPPER(D140)="DECRESCIMO"),-1,1)*G140*IF(AND(UPPER(H140)="SIM",ISNUMBER(I140)),I140,1),2))</f>
        <v/>
      </c>
      <c r="K140" s="277" t="n"/>
    </row>
    <row r="141" ht="15.9" customHeight="1">
      <c r="A141" s="277" t="n"/>
      <c r="B141" s="278" t="n"/>
      <c r="C141" s="262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277" t="n"/>
      <c r="E141" s="279" t="n"/>
      <c r="F141" s="280">
        <f>IF(A141="","",IFERROR(VLOOKUP(A141,itens_Remanesc!$A:$C,3,0),""))</f>
        <v/>
      </c>
      <c r="G141" s="280">
        <f>IF(OR(E141="",F141=""),"",ROUND(E141*F141,2))</f>
        <v/>
      </c>
      <c r="H141" s="277" t="n"/>
      <c r="I141" s="205">
        <f>IFERROR(VLOOKUP(C141,parametros!$B:$F,5,0),"")</f>
        <v/>
      </c>
      <c r="J141" s="280">
        <f>IF(G141="","",ROUND(IF(OR(UPPER(D141)="SUPRESSAO",UPPER(D141)="DECRESCIMO"),-1,1)*G141*IF(AND(UPPER(H141)="SIM",ISNUMBER(I141)),I141,1),2))</f>
        <v/>
      </c>
      <c r="K141" s="277" t="n"/>
    </row>
    <row r="142" ht="15.9" customHeight="1">
      <c r="A142" s="277" t="n"/>
      <c r="B142" s="278" t="n"/>
      <c r="C142" s="262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277" t="n"/>
      <c r="E142" s="279" t="n"/>
      <c r="F142" s="280">
        <f>IF(A142="","",IFERROR(VLOOKUP(A142,itens_Remanesc!$A:$C,3,0),""))</f>
        <v/>
      </c>
      <c r="G142" s="280">
        <f>IF(OR(E142="",F142=""),"",ROUND(E142*F142,2))</f>
        <v/>
      </c>
      <c r="H142" s="277" t="n"/>
      <c r="I142" s="205">
        <f>IFERROR(VLOOKUP(C142,parametros!$B:$F,5,0),"")</f>
        <v/>
      </c>
      <c r="J142" s="280">
        <f>IF(G142="","",ROUND(IF(OR(UPPER(D142)="SUPRESSAO",UPPER(D142)="DECRESCIMO"),-1,1)*G142*IF(AND(UPPER(H142)="SIM",ISNUMBER(I142)),I142,1),2))</f>
        <v/>
      </c>
      <c r="K142" s="277" t="n"/>
    </row>
    <row r="143" ht="15.9" customHeight="1">
      <c r="A143" s="277" t="n"/>
      <c r="B143" s="278" t="n"/>
      <c r="C143" s="262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277" t="n"/>
      <c r="E143" s="279" t="n"/>
      <c r="F143" s="280">
        <f>IF(A143="","",IFERROR(VLOOKUP(A143,itens_Remanesc!$A:$C,3,0),""))</f>
        <v/>
      </c>
      <c r="G143" s="280">
        <f>IF(OR(E143="",F143=""),"",ROUND(E143*F143,2))</f>
        <v/>
      </c>
      <c r="H143" s="277" t="n"/>
      <c r="I143" s="205">
        <f>IFERROR(VLOOKUP(C143,parametros!$B:$F,5,0),"")</f>
        <v/>
      </c>
      <c r="J143" s="280">
        <f>IF(G143="","",ROUND(IF(OR(UPPER(D143)="SUPRESSAO",UPPER(D143)="DECRESCIMO"),-1,1)*G143*IF(AND(UPPER(H143)="SIM",ISNUMBER(I143)),I143,1),2))</f>
        <v/>
      </c>
      <c r="K143" s="277" t="n"/>
    </row>
    <row r="144" ht="15.9" customHeight="1">
      <c r="A144" s="277" t="n"/>
      <c r="B144" s="278" t="n"/>
      <c r="C144" s="262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277" t="n"/>
      <c r="E144" s="279" t="n"/>
      <c r="F144" s="280">
        <f>IF(A144="","",IFERROR(VLOOKUP(A144,itens_Remanesc!$A:$C,3,0),""))</f>
        <v/>
      </c>
      <c r="G144" s="280">
        <f>IF(OR(E144="",F144=""),"",ROUND(E144*F144,2))</f>
        <v/>
      </c>
      <c r="H144" s="277" t="n"/>
      <c r="I144" s="205">
        <f>IFERROR(VLOOKUP(C144,parametros!$B:$F,5,0),"")</f>
        <v/>
      </c>
      <c r="J144" s="280">
        <f>IF(G144="","",ROUND(IF(OR(UPPER(D144)="SUPRESSAO",UPPER(D144)="DECRESCIMO"),-1,1)*G144*IF(AND(UPPER(H144)="SIM",ISNUMBER(I144)),I144,1),2))</f>
        <v/>
      </c>
      <c r="K144" s="277" t="n"/>
    </row>
    <row r="145" ht="15.9" customHeight="1">
      <c r="A145" s="277" t="n"/>
      <c r="B145" s="278" t="n"/>
      <c r="C145" s="262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277" t="n"/>
      <c r="E145" s="279" t="n"/>
      <c r="F145" s="280">
        <f>IF(A145="","",IFERROR(VLOOKUP(A145,itens_Remanesc!$A:$C,3,0),""))</f>
        <v/>
      </c>
      <c r="G145" s="280">
        <f>IF(OR(E145="",F145=""),"",ROUND(E145*F145,2))</f>
        <v/>
      </c>
      <c r="H145" s="277" t="n"/>
      <c r="I145" s="205">
        <f>IFERROR(VLOOKUP(C145,parametros!$B:$F,5,0),"")</f>
        <v/>
      </c>
      <c r="J145" s="280">
        <f>IF(G145="","",ROUND(IF(OR(UPPER(D145)="SUPRESSAO",UPPER(D145)="DECRESCIMO"),-1,1)*G145*IF(AND(UPPER(H145)="SIM",ISNUMBER(I145)),I145,1),2))</f>
        <v/>
      </c>
      <c r="K145" s="277" t="n"/>
    </row>
    <row r="146" ht="15.9" customHeight="1">
      <c r="A146" s="277" t="n"/>
      <c r="B146" s="278" t="n"/>
      <c r="C146" s="262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277" t="n"/>
      <c r="E146" s="279" t="n"/>
      <c r="F146" s="280">
        <f>IF(A146="","",IFERROR(VLOOKUP(A146,itens_Remanesc!$A:$C,3,0),""))</f>
        <v/>
      </c>
      <c r="G146" s="280">
        <f>IF(OR(E146="",F146=""),"",ROUND(E146*F146,2))</f>
        <v/>
      </c>
      <c r="H146" s="277" t="n"/>
      <c r="I146" s="205">
        <f>IFERROR(VLOOKUP(C146,parametros!$B:$F,5,0),"")</f>
        <v/>
      </c>
      <c r="J146" s="280">
        <f>IF(G146="","",ROUND(IF(OR(UPPER(D146)="SUPRESSAO",UPPER(D146)="DECRESCIMO"),-1,1)*G146*IF(AND(UPPER(H146)="SIM",ISNUMBER(I146)),I146,1),2))</f>
        <v/>
      </c>
      <c r="K146" s="277" t="n"/>
    </row>
    <row r="147" ht="15.9" customHeight="1">
      <c r="A147" s="277" t="n"/>
      <c r="B147" s="278" t="n"/>
      <c r="C147" s="262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277" t="n"/>
      <c r="E147" s="279" t="n"/>
      <c r="F147" s="280">
        <f>IF(A147="","",IFERROR(VLOOKUP(A147,itens_Remanesc!$A:$C,3,0),""))</f>
        <v/>
      </c>
      <c r="G147" s="280">
        <f>IF(OR(E147="",F147=""),"",ROUND(E147*F147,2))</f>
        <v/>
      </c>
      <c r="H147" s="277" t="n"/>
      <c r="I147" s="205">
        <f>IFERROR(VLOOKUP(C147,parametros!$B:$F,5,0),"")</f>
        <v/>
      </c>
      <c r="J147" s="280">
        <f>IF(G147="","",ROUND(IF(OR(UPPER(D147)="SUPRESSAO",UPPER(D147)="DECRESCIMO"),-1,1)*G147*IF(AND(UPPER(H147)="SIM",ISNUMBER(I147)),I147,1),2))</f>
        <v/>
      </c>
      <c r="K147" s="277" t="n"/>
    </row>
    <row r="148" ht="15.9" customHeight="1">
      <c r="A148" s="277" t="n"/>
      <c r="B148" s="278" t="n"/>
      <c r="C148" s="262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277" t="n"/>
      <c r="E148" s="279" t="n"/>
      <c r="F148" s="280">
        <f>IF(A148="","",IFERROR(VLOOKUP(A148,itens_Remanesc!$A:$C,3,0),""))</f>
        <v/>
      </c>
      <c r="G148" s="280">
        <f>IF(OR(E148="",F148=""),"",ROUND(E148*F148,2))</f>
        <v/>
      </c>
      <c r="H148" s="277" t="n"/>
      <c r="I148" s="205">
        <f>IFERROR(VLOOKUP(C148,parametros!$B:$F,5,0),"")</f>
        <v/>
      </c>
      <c r="J148" s="280">
        <f>IF(G148="","",ROUND(IF(OR(UPPER(D148)="SUPRESSAO",UPPER(D148)="DECRESCIMO"),-1,1)*G148*IF(AND(UPPER(H148)="SIM",ISNUMBER(I148)),I148,1),2))</f>
        <v/>
      </c>
      <c r="K148" s="277" t="n"/>
    </row>
    <row r="149" ht="15.9" customHeight="1">
      <c r="A149" s="277" t="n"/>
      <c r="B149" s="278" t="n"/>
      <c r="C149" s="262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277" t="n"/>
      <c r="E149" s="279" t="n"/>
      <c r="F149" s="280">
        <f>IF(A149="","",IFERROR(VLOOKUP(A149,itens_Remanesc!$A:$C,3,0),""))</f>
        <v/>
      </c>
      <c r="G149" s="280">
        <f>IF(OR(E149="",F149=""),"",ROUND(E149*F149,2))</f>
        <v/>
      </c>
      <c r="H149" s="277" t="n"/>
      <c r="I149" s="205">
        <f>IFERROR(VLOOKUP(C149,parametros!$B:$F,5,0),"")</f>
        <v/>
      </c>
      <c r="J149" s="280">
        <f>IF(G149="","",ROUND(IF(OR(UPPER(D149)="SUPRESSAO",UPPER(D149)="DECRESCIMO"),-1,1)*G149*IF(AND(UPPER(H149)="SIM",ISNUMBER(I149)),I149,1),2))</f>
        <v/>
      </c>
      <c r="K149" s="277" t="n"/>
    </row>
    <row r="150" ht="15.9" customHeight="1">
      <c r="A150" s="277" t="n"/>
      <c r="B150" s="278" t="n"/>
      <c r="C150" s="262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277" t="n"/>
      <c r="E150" s="279" t="n"/>
      <c r="F150" s="280">
        <f>IF(A150="","",IFERROR(VLOOKUP(A150,itens_Remanesc!$A:$C,3,0),""))</f>
        <v/>
      </c>
      <c r="G150" s="280">
        <f>IF(OR(E150="",F150=""),"",ROUND(E150*F150,2))</f>
        <v/>
      </c>
      <c r="H150" s="277" t="n"/>
      <c r="I150" s="205">
        <f>IFERROR(VLOOKUP(C150,parametros!$B:$F,5,0),"")</f>
        <v/>
      </c>
      <c r="J150" s="280">
        <f>IF(G150="","",ROUND(IF(OR(UPPER(D150)="SUPRESSAO",UPPER(D150)="DECRESCIMO"),-1,1)*G150*IF(AND(UPPER(H150)="SIM",ISNUMBER(I150)),I150,1),2))</f>
        <v/>
      </c>
      <c r="K150" s="277" t="n"/>
    </row>
    <row r="151" ht="15.9" customHeight="1">
      <c r="A151" s="277" t="n"/>
      <c r="B151" s="278" t="n"/>
      <c r="C151" s="262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277" t="n"/>
      <c r="E151" s="279" t="n"/>
      <c r="F151" s="280">
        <f>IF(A151="","",IFERROR(VLOOKUP(A151,itens_Remanesc!$A:$C,3,0),""))</f>
        <v/>
      </c>
      <c r="G151" s="280">
        <f>IF(OR(E151="",F151=""),"",ROUND(E151*F151,2))</f>
        <v/>
      </c>
      <c r="H151" s="277" t="n"/>
      <c r="I151" s="205">
        <f>IFERROR(VLOOKUP(C151,parametros!$B:$F,5,0),"")</f>
        <v/>
      </c>
      <c r="J151" s="280">
        <f>IF(G151="","",ROUND(IF(OR(UPPER(D151)="SUPRESSAO",UPPER(D151)="DECRESCIMO"),-1,1)*G151*IF(AND(UPPER(H151)="SIM",ISNUMBER(I151)),I151,1),2))</f>
        <v/>
      </c>
      <c r="K151" s="277" t="n"/>
    </row>
    <row r="152" ht="15.9" customHeight="1">
      <c r="A152" s="277" t="n"/>
      <c r="B152" s="278" t="n"/>
      <c r="C152" s="262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277" t="n"/>
      <c r="E152" s="279" t="n"/>
      <c r="F152" s="280">
        <f>IF(A152="","",IFERROR(VLOOKUP(A152,itens_Remanesc!$A:$C,3,0),""))</f>
        <v/>
      </c>
      <c r="G152" s="280">
        <f>IF(OR(E152="",F152=""),"",ROUND(E152*F152,2))</f>
        <v/>
      </c>
      <c r="H152" s="277" t="n"/>
      <c r="I152" s="205">
        <f>IFERROR(VLOOKUP(C152,parametros!$B:$F,5,0),"")</f>
        <v/>
      </c>
      <c r="J152" s="280">
        <f>IF(G152="","",ROUND(IF(OR(UPPER(D152)="SUPRESSAO",UPPER(D152)="DECRESCIMO"),-1,1)*G152*IF(AND(UPPER(H152)="SIM",ISNUMBER(I152)),I152,1),2))</f>
        <v/>
      </c>
      <c r="K152" s="277" t="n"/>
    </row>
    <row r="153" ht="15.9" customHeight="1">
      <c r="A153" s="277" t="n"/>
      <c r="B153" s="278" t="n"/>
      <c r="C153" s="262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277" t="n"/>
      <c r="E153" s="279" t="n"/>
      <c r="F153" s="280">
        <f>IF(A153="","",IFERROR(VLOOKUP(A153,itens_Remanesc!$A:$C,3,0),""))</f>
        <v/>
      </c>
      <c r="G153" s="280">
        <f>IF(OR(E153="",F153=""),"",ROUND(E153*F153,2))</f>
        <v/>
      </c>
      <c r="H153" s="277" t="n"/>
      <c r="I153" s="205">
        <f>IFERROR(VLOOKUP(C153,parametros!$B:$F,5,0),"")</f>
        <v/>
      </c>
      <c r="J153" s="280">
        <f>IF(G153="","",ROUND(IF(OR(UPPER(D153)="SUPRESSAO",UPPER(D153)="DECRESCIMO"),-1,1)*G153*IF(AND(UPPER(H153)="SIM",ISNUMBER(I153)),I153,1),2))</f>
        <v/>
      </c>
      <c r="K153" s="277" t="n"/>
    </row>
    <row r="154" ht="15.9" customHeight="1">
      <c r="A154" s="277" t="n"/>
      <c r="B154" s="278" t="n"/>
      <c r="C154" s="262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277" t="n"/>
      <c r="E154" s="279" t="n"/>
      <c r="F154" s="280">
        <f>IF(A154="","",IFERROR(VLOOKUP(A154,itens_Remanesc!$A:$C,3,0),""))</f>
        <v/>
      </c>
      <c r="G154" s="280">
        <f>IF(OR(E154="",F154=""),"",ROUND(E154*F154,2))</f>
        <v/>
      </c>
      <c r="H154" s="277" t="n"/>
      <c r="I154" s="205">
        <f>IFERROR(VLOOKUP(C154,parametros!$B:$F,5,0),"")</f>
        <v/>
      </c>
      <c r="J154" s="280">
        <f>IF(G154="","",ROUND(IF(OR(UPPER(D154)="SUPRESSAO",UPPER(D154)="DECRESCIMO"),-1,1)*G154*IF(AND(UPPER(H154)="SIM",ISNUMBER(I154)),I154,1),2))</f>
        <v/>
      </c>
      <c r="K154" s="277" t="n"/>
    </row>
    <row r="155" ht="15.9" customHeight="1">
      <c r="A155" s="277" t="n"/>
      <c r="B155" s="278" t="n"/>
      <c r="C155" s="262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277" t="n"/>
      <c r="E155" s="279" t="n"/>
      <c r="F155" s="280">
        <f>IF(A155="","",IFERROR(VLOOKUP(A155,itens_Remanesc!$A:$C,3,0),""))</f>
        <v/>
      </c>
      <c r="G155" s="280">
        <f>IF(OR(E155="",F155=""),"",ROUND(E155*F155,2))</f>
        <v/>
      </c>
      <c r="H155" s="277" t="n"/>
      <c r="I155" s="205">
        <f>IFERROR(VLOOKUP(C155,parametros!$B:$F,5,0),"")</f>
        <v/>
      </c>
      <c r="J155" s="280">
        <f>IF(G155="","",ROUND(IF(OR(UPPER(D155)="SUPRESSAO",UPPER(D155)="DECRESCIMO"),-1,1)*G155*IF(AND(UPPER(H155)="SIM",ISNUMBER(I155)),I155,1),2))</f>
        <v/>
      </c>
      <c r="K155" s="277" t="n"/>
    </row>
    <row r="156" ht="15.9" customHeight="1">
      <c r="A156" s="277" t="n"/>
      <c r="B156" s="278" t="n"/>
      <c r="C156" s="262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277" t="n"/>
      <c r="E156" s="279" t="n"/>
      <c r="F156" s="280">
        <f>IF(A156="","",IFERROR(VLOOKUP(A156,itens_Remanesc!$A:$C,3,0),""))</f>
        <v/>
      </c>
      <c r="G156" s="280">
        <f>IF(OR(E156="",F156=""),"",ROUND(E156*F156,2))</f>
        <v/>
      </c>
      <c r="H156" s="277" t="n"/>
      <c r="I156" s="205">
        <f>IFERROR(VLOOKUP(C156,parametros!$B:$F,5,0),"")</f>
        <v/>
      </c>
      <c r="J156" s="280">
        <f>IF(G156="","",ROUND(IF(OR(UPPER(D156)="SUPRESSAO",UPPER(D156)="DECRESCIMO"),-1,1)*G156*IF(AND(UPPER(H156)="SIM",ISNUMBER(I156)),I156,1),2))</f>
        <v/>
      </c>
      <c r="K156" s="277" t="n"/>
    </row>
    <row r="157" ht="15.9" customHeight="1">
      <c r="A157" s="277" t="n"/>
      <c r="B157" s="278" t="n"/>
      <c r="C157" s="262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277" t="n"/>
      <c r="E157" s="279" t="n"/>
      <c r="F157" s="280">
        <f>IF(A157="","",IFERROR(VLOOKUP(A157,itens_Remanesc!$A:$C,3,0),""))</f>
        <v/>
      </c>
      <c r="G157" s="280">
        <f>IF(OR(E157="",F157=""),"",ROUND(E157*F157,2))</f>
        <v/>
      </c>
      <c r="H157" s="277" t="n"/>
      <c r="I157" s="205">
        <f>IFERROR(VLOOKUP(C157,parametros!$B:$F,5,0),"")</f>
        <v/>
      </c>
      <c r="J157" s="280">
        <f>IF(G157="","",ROUND(IF(OR(UPPER(D157)="SUPRESSAO",UPPER(D157)="DECRESCIMO"),-1,1)*G157*IF(AND(UPPER(H157)="SIM",ISNUMBER(I157)),I157,1),2))</f>
        <v/>
      </c>
      <c r="K157" s="277" t="n"/>
    </row>
    <row r="158" ht="15.9" customHeight="1">
      <c r="A158" s="277" t="n"/>
      <c r="B158" s="278" t="n"/>
      <c r="C158" s="262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277" t="n"/>
      <c r="E158" s="279" t="n"/>
      <c r="F158" s="280">
        <f>IF(A158="","",IFERROR(VLOOKUP(A158,itens_Remanesc!$A:$C,3,0),""))</f>
        <v/>
      </c>
      <c r="G158" s="280">
        <f>IF(OR(E158="",F158=""),"",ROUND(E158*F158,2))</f>
        <v/>
      </c>
      <c r="H158" s="277" t="n"/>
      <c r="I158" s="205">
        <f>IFERROR(VLOOKUP(C158,parametros!$B:$F,5,0),"")</f>
        <v/>
      </c>
      <c r="J158" s="280">
        <f>IF(G158="","",ROUND(IF(OR(UPPER(D158)="SUPRESSAO",UPPER(D158)="DECRESCIMO"),-1,1)*G158*IF(AND(UPPER(H158)="SIM",ISNUMBER(I158)),I158,1),2))</f>
        <v/>
      </c>
      <c r="K158" s="277" t="n"/>
    </row>
    <row r="159" ht="15.9" customHeight="1">
      <c r="A159" s="277" t="n"/>
      <c r="B159" s="278" t="n"/>
      <c r="C159" s="262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277" t="n"/>
      <c r="E159" s="279" t="n"/>
      <c r="F159" s="280">
        <f>IF(A159="","",IFERROR(VLOOKUP(A159,itens_Remanesc!$A:$C,3,0),""))</f>
        <v/>
      </c>
      <c r="G159" s="280">
        <f>IF(OR(E159="",F159=""),"",ROUND(E159*F159,2))</f>
        <v/>
      </c>
      <c r="H159" s="277" t="n"/>
      <c r="I159" s="205">
        <f>IFERROR(VLOOKUP(C159,parametros!$B:$F,5,0),"")</f>
        <v/>
      </c>
      <c r="J159" s="280">
        <f>IF(G159="","",ROUND(IF(OR(UPPER(D159)="SUPRESSAO",UPPER(D159)="DECRESCIMO"),-1,1)*G159*IF(AND(UPPER(H159)="SIM",ISNUMBER(I159)),I159,1),2))</f>
        <v/>
      </c>
      <c r="K159" s="277" t="n"/>
    </row>
    <row r="160" ht="15.9" customHeight="1">
      <c r="A160" s="277" t="n"/>
      <c r="B160" s="278" t="n"/>
      <c r="C160" s="262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277" t="n"/>
      <c r="E160" s="279" t="n"/>
      <c r="F160" s="280">
        <f>IF(A160="","",IFERROR(VLOOKUP(A160,itens_Remanesc!$A:$C,3,0),""))</f>
        <v/>
      </c>
      <c r="G160" s="280">
        <f>IF(OR(E160="",F160=""),"",ROUND(E160*F160,2))</f>
        <v/>
      </c>
      <c r="H160" s="277" t="n"/>
      <c r="I160" s="205">
        <f>IFERROR(VLOOKUP(C160,parametros!$B:$F,5,0),"")</f>
        <v/>
      </c>
      <c r="J160" s="280">
        <f>IF(G160="","",ROUND(IF(OR(UPPER(D160)="SUPRESSAO",UPPER(D160)="DECRESCIMO"),-1,1)*G160*IF(AND(UPPER(H160)="SIM",ISNUMBER(I160)),I160,1),2))</f>
        <v/>
      </c>
      <c r="K160" s="277" t="n"/>
    </row>
    <row r="161" ht="15.9" customHeight="1">
      <c r="A161" s="277" t="n"/>
      <c r="B161" s="278" t="n"/>
      <c r="C161" s="262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277" t="n"/>
      <c r="E161" s="279" t="n"/>
      <c r="F161" s="280">
        <f>IF(A161="","",IFERROR(VLOOKUP(A161,itens_Remanesc!$A:$C,3,0),""))</f>
        <v/>
      </c>
      <c r="G161" s="280">
        <f>IF(OR(E161="",F161=""),"",ROUND(E161*F161,2))</f>
        <v/>
      </c>
      <c r="H161" s="277" t="n"/>
      <c r="I161" s="205">
        <f>IFERROR(VLOOKUP(C161,parametros!$B:$F,5,0),"")</f>
        <v/>
      </c>
      <c r="J161" s="280">
        <f>IF(G161="","",ROUND(IF(OR(UPPER(D161)="SUPRESSAO",UPPER(D161)="DECRESCIMO"),-1,1)*G161*IF(AND(UPPER(H161)="SIM",ISNUMBER(I161)),I161,1),2))</f>
        <v/>
      </c>
      <c r="K161" s="277" t="n"/>
    </row>
    <row r="162" ht="15.9" customHeight="1">
      <c r="A162" s="277" t="n"/>
      <c r="B162" s="278" t="n"/>
      <c r="C162" s="262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277" t="n"/>
      <c r="E162" s="279" t="n"/>
      <c r="F162" s="280">
        <f>IF(A162="","",IFERROR(VLOOKUP(A162,itens_Remanesc!$A:$C,3,0),""))</f>
        <v/>
      </c>
      <c r="G162" s="280">
        <f>IF(OR(E162="",F162=""),"",ROUND(E162*F162,2))</f>
        <v/>
      </c>
      <c r="H162" s="277" t="n"/>
      <c r="I162" s="205">
        <f>IFERROR(VLOOKUP(C162,parametros!$B:$F,5,0),"")</f>
        <v/>
      </c>
      <c r="J162" s="280">
        <f>IF(G162="","",ROUND(IF(OR(UPPER(D162)="SUPRESSAO",UPPER(D162)="DECRESCIMO"),-1,1)*G162*IF(AND(UPPER(H162)="SIM",ISNUMBER(I162)),I162,1),2))</f>
        <v/>
      </c>
      <c r="K162" s="277" t="n"/>
    </row>
    <row r="163" ht="15.9" customHeight="1">
      <c r="A163" s="277" t="n"/>
      <c r="B163" s="278" t="n"/>
      <c r="C163" s="262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277" t="n"/>
      <c r="E163" s="279" t="n"/>
      <c r="F163" s="280">
        <f>IF(A163="","",IFERROR(VLOOKUP(A163,itens_Remanesc!$A:$C,3,0),""))</f>
        <v/>
      </c>
      <c r="G163" s="280">
        <f>IF(OR(E163="",F163=""),"",ROUND(E163*F163,2))</f>
        <v/>
      </c>
      <c r="H163" s="277" t="n"/>
      <c r="I163" s="205">
        <f>IFERROR(VLOOKUP(C163,parametros!$B:$F,5,0),"")</f>
        <v/>
      </c>
      <c r="J163" s="280">
        <f>IF(G163="","",ROUND(IF(OR(UPPER(D163)="SUPRESSAO",UPPER(D163)="DECRESCIMO"),-1,1)*G163*IF(AND(UPPER(H163)="SIM",ISNUMBER(I163)),I163,1),2))</f>
        <v/>
      </c>
      <c r="K163" s="277" t="n"/>
    </row>
    <row r="164" ht="15.9" customHeight="1">
      <c r="A164" s="277" t="n"/>
      <c r="B164" s="278" t="n"/>
      <c r="C164" s="262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277" t="n"/>
      <c r="E164" s="279" t="n"/>
      <c r="F164" s="280">
        <f>IF(A164="","",IFERROR(VLOOKUP(A164,itens_Remanesc!$A:$C,3,0),""))</f>
        <v/>
      </c>
      <c r="G164" s="280">
        <f>IF(OR(E164="",F164=""),"",ROUND(E164*F164,2))</f>
        <v/>
      </c>
      <c r="H164" s="277" t="n"/>
      <c r="I164" s="205">
        <f>IFERROR(VLOOKUP(C164,parametros!$B:$F,5,0),"")</f>
        <v/>
      </c>
      <c r="J164" s="280">
        <f>IF(G164="","",ROUND(IF(OR(UPPER(D164)="SUPRESSAO",UPPER(D164)="DECRESCIMO"),-1,1)*G164*IF(AND(UPPER(H164)="SIM",ISNUMBER(I164)),I164,1),2))</f>
        <v/>
      </c>
      <c r="K164" s="277" t="n"/>
    </row>
    <row r="165" ht="15.9" customHeight="1">
      <c r="A165" s="277" t="n"/>
      <c r="B165" s="278" t="n"/>
      <c r="C165" s="262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277" t="n"/>
      <c r="E165" s="279" t="n"/>
      <c r="F165" s="280">
        <f>IF(A165="","",IFERROR(VLOOKUP(A165,itens_Remanesc!$A:$C,3,0),""))</f>
        <v/>
      </c>
      <c r="G165" s="280">
        <f>IF(OR(E165="",F165=""),"",ROUND(E165*F165,2))</f>
        <v/>
      </c>
      <c r="H165" s="277" t="n"/>
      <c r="I165" s="205">
        <f>IFERROR(VLOOKUP(C165,parametros!$B:$F,5,0),"")</f>
        <v/>
      </c>
      <c r="J165" s="280">
        <f>IF(G165="","",ROUND(IF(OR(UPPER(D165)="SUPRESSAO",UPPER(D165)="DECRESCIMO"),-1,1)*G165*IF(AND(UPPER(H165)="SIM",ISNUMBER(I165)),I165,1),2))</f>
        <v/>
      </c>
      <c r="K165" s="277" t="n"/>
    </row>
    <row r="166" ht="15.9" customHeight="1">
      <c r="A166" s="277" t="n"/>
      <c r="B166" s="278" t="n"/>
      <c r="C166" s="262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277" t="n"/>
      <c r="E166" s="279" t="n"/>
      <c r="F166" s="280">
        <f>IF(A166="","",IFERROR(VLOOKUP(A166,itens_Remanesc!$A:$C,3,0),""))</f>
        <v/>
      </c>
      <c r="G166" s="280">
        <f>IF(OR(E166="",F166=""),"",ROUND(E166*F166,2))</f>
        <v/>
      </c>
      <c r="H166" s="277" t="n"/>
      <c r="I166" s="205">
        <f>IFERROR(VLOOKUP(C166,parametros!$B:$F,5,0),"")</f>
        <v/>
      </c>
      <c r="J166" s="280">
        <f>IF(G166="","",ROUND(IF(OR(UPPER(D166)="SUPRESSAO",UPPER(D166)="DECRESCIMO"),-1,1)*G166*IF(AND(UPPER(H166)="SIM",ISNUMBER(I166)),I166,1),2))</f>
        <v/>
      </c>
      <c r="K166" s="277" t="n"/>
    </row>
    <row r="167" ht="15.9" customHeight="1">
      <c r="A167" s="277" t="n"/>
      <c r="B167" s="278" t="n"/>
      <c r="C167" s="262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277" t="n"/>
      <c r="E167" s="279" t="n"/>
      <c r="F167" s="280">
        <f>IF(A167="","",IFERROR(VLOOKUP(A167,itens_Remanesc!$A:$C,3,0),""))</f>
        <v/>
      </c>
      <c r="G167" s="280">
        <f>IF(OR(E167="",F167=""),"",ROUND(E167*F167,2))</f>
        <v/>
      </c>
      <c r="H167" s="277" t="n"/>
      <c r="I167" s="205">
        <f>IFERROR(VLOOKUP(C167,parametros!$B:$F,5,0),"")</f>
        <v/>
      </c>
      <c r="J167" s="280">
        <f>IF(G167="","",ROUND(IF(OR(UPPER(D167)="SUPRESSAO",UPPER(D167)="DECRESCIMO"),-1,1)*G167*IF(AND(UPPER(H167)="SIM",ISNUMBER(I167)),I167,1),2))</f>
        <v/>
      </c>
      <c r="K167" s="277" t="n"/>
    </row>
    <row r="168" ht="15.9" customHeight="1">
      <c r="A168" s="277" t="n"/>
      <c r="B168" s="278" t="n"/>
      <c r="C168" s="262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277" t="n"/>
      <c r="E168" s="279" t="n"/>
      <c r="F168" s="280">
        <f>IF(A168="","",IFERROR(VLOOKUP(A168,itens_Remanesc!$A:$C,3,0),""))</f>
        <v/>
      </c>
      <c r="G168" s="280">
        <f>IF(OR(E168="",F168=""),"",ROUND(E168*F168,2))</f>
        <v/>
      </c>
      <c r="H168" s="277" t="n"/>
      <c r="I168" s="205">
        <f>IFERROR(VLOOKUP(C168,parametros!$B:$F,5,0),"")</f>
        <v/>
      </c>
      <c r="J168" s="280">
        <f>IF(G168="","",ROUND(IF(OR(UPPER(D168)="SUPRESSAO",UPPER(D168)="DECRESCIMO"),-1,1)*G168*IF(AND(UPPER(H168)="SIM",ISNUMBER(I168)),I168,1),2))</f>
        <v/>
      </c>
      <c r="K168" s="277" t="n"/>
    </row>
    <row r="169" ht="15.9" customHeight="1">
      <c r="A169" s="277" t="n"/>
      <c r="B169" s="278" t="n"/>
      <c r="C169" s="262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277" t="n"/>
      <c r="E169" s="279" t="n"/>
      <c r="F169" s="280">
        <f>IF(A169="","",IFERROR(VLOOKUP(A169,itens_Remanesc!$A:$C,3,0),""))</f>
        <v/>
      </c>
      <c r="G169" s="280">
        <f>IF(OR(E169="",F169=""),"",ROUND(E169*F169,2))</f>
        <v/>
      </c>
      <c r="H169" s="277" t="n"/>
      <c r="I169" s="205">
        <f>IFERROR(VLOOKUP(C169,parametros!$B:$F,5,0),"")</f>
        <v/>
      </c>
      <c r="J169" s="280">
        <f>IF(G169="","",ROUND(IF(OR(UPPER(D169)="SUPRESSAO",UPPER(D169)="DECRESCIMO"),-1,1)*G169*IF(AND(UPPER(H169)="SIM",ISNUMBER(I169)),I169,1),2))</f>
        <v/>
      </c>
      <c r="K169" s="277" t="n"/>
    </row>
    <row r="170" ht="15.9" customHeight="1">
      <c r="A170" s="277" t="n"/>
      <c r="B170" s="278" t="n"/>
      <c r="C170" s="262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277" t="n"/>
      <c r="E170" s="279" t="n"/>
      <c r="F170" s="280">
        <f>IF(A170="","",IFERROR(VLOOKUP(A170,itens_Remanesc!$A:$C,3,0),""))</f>
        <v/>
      </c>
      <c r="G170" s="280">
        <f>IF(OR(E170="",F170=""),"",ROUND(E170*F170,2))</f>
        <v/>
      </c>
      <c r="H170" s="277" t="n"/>
      <c r="I170" s="205">
        <f>IFERROR(VLOOKUP(C170,parametros!$B:$F,5,0),"")</f>
        <v/>
      </c>
      <c r="J170" s="280">
        <f>IF(G170="","",ROUND(IF(OR(UPPER(D170)="SUPRESSAO",UPPER(D170)="DECRESCIMO"),-1,1)*G170*IF(AND(UPPER(H170)="SIM",ISNUMBER(I170)),I170,1),2))</f>
        <v/>
      </c>
      <c r="K170" s="277" t="n"/>
    </row>
    <row r="171" ht="15.9" customHeight="1">
      <c r="A171" s="277" t="n"/>
      <c r="B171" s="278" t="n"/>
      <c r="C171" s="262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277" t="n"/>
      <c r="E171" s="279" t="n"/>
      <c r="F171" s="280">
        <f>IF(A171="","",IFERROR(VLOOKUP(A171,itens_Remanesc!$A:$C,3,0),""))</f>
        <v/>
      </c>
      <c r="G171" s="280">
        <f>IF(OR(E171="",F171=""),"",ROUND(E171*F171,2))</f>
        <v/>
      </c>
      <c r="H171" s="277" t="n"/>
      <c r="I171" s="205">
        <f>IFERROR(VLOOKUP(C171,parametros!$B:$F,5,0),"")</f>
        <v/>
      </c>
      <c r="J171" s="280">
        <f>IF(G171="","",ROUND(IF(OR(UPPER(D171)="SUPRESSAO",UPPER(D171)="DECRESCIMO"),-1,1)*G171*IF(AND(UPPER(H171)="SIM",ISNUMBER(I171)),I171,1),2))</f>
        <v/>
      </c>
      <c r="K171" s="277" t="n"/>
    </row>
    <row r="172" ht="15.9" customHeight="1">
      <c r="A172" s="277" t="n"/>
      <c r="B172" s="278" t="n"/>
      <c r="C172" s="262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277" t="n"/>
      <c r="E172" s="279" t="n"/>
      <c r="F172" s="280">
        <f>IF(A172="","",IFERROR(VLOOKUP(A172,itens_Remanesc!$A:$C,3,0),""))</f>
        <v/>
      </c>
      <c r="G172" s="280">
        <f>IF(OR(E172="",F172=""),"",ROUND(E172*F172,2))</f>
        <v/>
      </c>
      <c r="H172" s="277" t="n"/>
      <c r="I172" s="205">
        <f>IFERROR(VLOOKUP(C172,parametros!$B:$F,5,0),"")</f>
        <v/>
      </c>
      <c r="J172" s="280">
        <f>IF(G172="","",ROUND(IF(OR(UPPER(D172)="SUPRESSAO",UPPER(D172)="DECRESCIMO"),-1,1)*G172*IF(AND(UPPER(H172)="SIM",ISNUMBER(I172)),I172,1),2))</f>
        <v/>
      </c>
      <c r="K172" s="277" t="n"/>
    </row>
    <row r="173" ht="15.9" customHeight="1">
      <c r="A173" s="277" t="n"/>
      <c r="B173" s="278" t="n"/>
      <c r="C173" s="262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277" t="n"/>
      <c r="E173" s="279" t="n"/>
      <c r="F173" s="280">
        <f>IF(A173="","",IFERROR(VLOOKUP(A173,itens_Remanesc!$A:$C,3,0),""))</f>
        <v/>
      </c>
      <c r="G173" s="280">
        <f>IF(OR(E173="",F173=""),"",ROUND(E173*F173,2))</f>
        <v/>
      </c>
      <c r="H173" s="277" t="n"/>
      <c r="I173" s="205">
        <f>IFERROR(VLOOKUP(C173,parametros!$B:$F,5,0),"")</f>
        <v/>
      </c>
      <c r="J173" s="280">
        <f>IF(G173="","",ROUND(IF(OR(UPPER(D173)="SUPRESSAO",UPPER(D173)="DECRESCIMO"),-1,1)*G173*IF(AND(UPPER(H173)="SIM",ISNUMBER(I173)),I173,1),2))</f>
        <v/>
      </c>
      <c r="K173" s="277" t="n"/>
    </row>
    <row r="174" ht="15.9" customHeight="1">
      <c r="A174" s="277" t="n"/>
      <c r="B174" s="278" t="n"/>
      <c r="C174" s="262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277" t="n"/>
      <c r="E174" s="279" t="n"/>
      <c r="F174" s="280">
        <f>IF(A174="","",IFERROR(VLOOKUP(A174,itens_Remanesc!$A:$C,3,0),""))</f>
        <v/>
      </c>
      <c r="G174" s="280">
        <f>IF(OR(E174="",F174=""),"",ROUND(E174*F174,2))</f>
        <v/>
      </c>
      <c r="H174" s="277" t="n"/>
      <c r="I174" s="205">
        <f>IFERROR(VLOOKUP(C174,parametros!$B:$F,5,0),"")</f>
        <v/>
      </c>
      <c r="J174" s="280">
        <f>IF(G174="","",ROUND(IF(OR(UPPER(D174)="SUPRESSAO",UPPER(D174)="DECRESCIMO"),-1,1)*G174*IF(AND(UPPER(H174)="SIM",ISNUMBER(I174)),I174,1),2))</f>
        <v/>
      </c>
      <c r="K174" s="277" t="n"/>
    </row>
    <row r="175" ht="15.9" customHeight="1">
      <c r="A175" s="277" t="n"/>
      <c r="B175" s="278" t="n"/>
      <c r="C175" s="262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277" t="n"/>
      <c r="E175" s="279" t="n"/>
      <c r="F175" s="280">
        <f>IF(A175="","",IFERROR(VLOOKUP(A175,itens_Remanesc!$A:$C,3,0),""))</f>
        <v/>
      </c>
      <c r="G175" s="280">
        <f>IF(OR(E175="",F175=""),"",ROUND(E175*F175,2))</f>
        <v/>
      </c>
      <c r="H175" s="277" t="n"/>
      <c r="I175" s="205">
        <f>IFERROR(VLOOKUP(C175,parametros!$B:$F,5,0),"")</f>
        <v/>
      </c>
      <c r="J175" s="280">
        <f>IF(G175="","",ROUND(IF(OR(UPPER(D175)="SUPRESSAO",UPPER(D175)="DECRESCIMO"),-1,1)*G175*IF(AND(UPPER(H175)="SIM",ISNUMBER(I175)),I175,1),2))</f>
        <v/>
      </c>
      <c r="K175" s="277" t="n"/>
    </row>
    <row r="176" ht="15.9" customHeight="1">
      <c r="A176" s="277" t="n"/>
      <c r="B176" s="278" t="n"/>
      <c r="C176" s="262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277" t="n"/>
      <c r="E176" s="279" t="n"/>
      <c r="F176" s="280">
        <f>IF(A176="","",IFERROR(VLOOKUP(A176,itens_Remanesc!$A:$C,3,0),""))</f>
        <v/>
      </c>
      <c r="G176" s="280">
        <f>IF(OR(E176="",F176=""),"",ROUND(E176*F176,2))</f>
        <v/>
      </c>
      <c r="H176" s="277" t="n"/>
      <c r="I176" s="205">
        <f>IFERROR(VLOOKUP(C176,parametros!$B:$F,5,0),"")</f>
        <v/>
      </c>
      <c r="J176" s="280">
        <f>IF(G176="","",ROUND(IF(OR(UPPER(D176)="SUPRESSAO",UPPER(D176)="DECRESCIMO"),-1,1)*G176*IF(AND(UPPER(H176)="SIM",ISNUMBER(I176)),I176,1),2))</f>
        <v/>
      </c>
      <c r="K176" s="277" t="n"/>
    </row>
    <row r="177" ht="15.9" customHeight="1">
      <c r="A177" s="277" t="n"/>
      <c r="B177" s="278" t="n"/>
      <c r="C177" s="262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277" t="n"/>
      <c r="E177" s="279" t="n"/>
      <c r="F177" s="280">
        <f>IF(A177="","",IFERROR(VLOOKUP(A177,itens_Remanesc!$A:$C,3,0),""))</f>
        <v/>
      </c>
      <c r="G177" s="280">
        <f>IF(OR(E177="",F177=""),"",ROUND(E177*F177,2))</f>
        <v/>
      </c>
      <c r="H177" s="277" t="n"/>
      <c r="I177" s="205">
        <f>IFERROR(VLOOKUP(C177,parametros!$B:$F,5,0),"")</f>
        <v/>
      </c>
      <c r="J177" s="280">
        <f>IF(G177="","",ROUND(IF(OR(UPPER(D177)="SUPRESSAO",UPPER(D177)="DECRESCIMO"),-1,1)*G177*IF(AND(UPPER(H177)="SIM",ISNUMBER(I177)),I177,1),2))</f>
        <v/>
      </c>
      <c r="K177" s="277" t="n"/>
    </row>
    <row r="178" ht="15.9" customHeight="1">
      <c r="A178" s="277" t="n"/>
      <c r="B178" s="278" t="n"/>
      <c r="C178" s="262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277" t="n"/>
      <c r="E178" s="279" t="n"/>
      <c r="F178" s="280">
        <f>IF(A178="","",IFERROR(VLOOKUP(A178,itens_Remanesc!$A:$C,3,0),""))</f>
        <v/>
      </c>
      <c r="G178" s="280">
        <f>IF(OR(E178="",F178=""),"",ROUND(E178*F178,2))</f>
        <v/>
      </c>
      <c r="H178" s="277" t="n"/>
      <c r="I178" s="205">
        <f>IFERROR(VLOOKUP(C178,parametros!$B:$F,5,0),"")</f>
        <v/>
      </c>
      <c r="J178" s="280">
        <f>IF(G178="","",ROUND(IF(OR(UPPER(D178)="SUPRESSAO",UPPER(D178)="DECRESCIMO"),-1,1)*G178*IF(AND(UPPER(H178)="SIM",ISNUMBER(I178)),I178,1),2))</f>
        <v/>
      </c>
      <c r="K178" s="277" t="n"/>
    </row>
    <row r="179" ht="15.9" customHeight="1">
      <c r="A179" s="277" t="n"/>
      <c r="B179" s="278" t="n"/>
      <c r="C179" s="262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277" t="n"/>
      <c r="E179" s="279" t="n"/>
      <c r="F179" s="280">
        <f>IF(A179="","",IFERROR(VLOOKUP(A179,itens_Remanesc!$A:$C,3,0),""))</f>
        <v/>
      </c>
      <c r="G179" s="280">
        <f>IF(OR(E179="",F179=""),"",ROUND(E179*F179,2))</f>
        <v/>
      </c>
      <c r="H179" s="277" t="n"/>
      <c r="I179" s="205">
        <f>IFERROR(VLOOKUP(C179,parametros!$B:$F,5,0),"")</f>
        <v/>
      </c>
      <c r="J179" s="280">
        <f>IF(G179="","",ROUND(IF(OR(UPPER(D179)="SUPRESSAO",UPPER(D179)="DECRESCIMO"),-1,1)*G179*IF(AND(UPPER(H179)="SIM",ISNUMBER(I179)),I179,1),2))</f>
        <v/>
      </c>
      <c r="K179" s="277" t="n"/>
    </row>
    <row r="180" ht="15.9" customHeight="1">
      <c r="A180" s="277" t="n"/>
      <c r="B180" s="278" t="n"/>
      <c r="C180" s="262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277" t="n"/>
      <c r="E180" s="279" t="n"/>
      <c r="F180" s="280">
        <f>IF(A180="","",IFERROR(VLOOKUP(A180,itens_Remanesc!$A:$C,3,0),""))</f>
        <v/>
      </c>
      <c r="G180" s="280">
        <f>IF(OR(E180="",F180=""),"",ROUND(E180*F180,2))</f>
        <v/>
      </c>
      <c r="H180" s="277" t="n"/>
      <c r="I180" s="205">
        <f>IFERROR(VLOOKUP(C180,parametros!$B:$F,5,0),"")</f>
        <v/>
      </c>
      <c r="J180" s="280">
        <f>IF(G180="","",ROUND(IF(OR(UPPER(D180)="SUPRESSAO",UPPER(D180)="DECRESCIMO"),-1,1)*G180*IF(AND(UPPER(H180)="SIM",ISNUMBER(I180)),I180,1),2))</f>
        <v/>
      </c>
      <c r="K180" s="277" t="n"/>
    </row>
    <row r="181" ht="15.9" customHeight="1">
      <c r="A181" s="277" t="n"/>
      <c r="B181" s="278" t="n"/>
      <c r="C181" s="262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277" t="n"/>
      <c r="E181" s="279" t="n"/>
      <c r="F181" s="280">
        <f>IF(A181="","",IFERROR(VLOOKUP(A181,itens_Remanesc!$A:$C,3,0),""))</f>
        <v/>
      </c>
      <c r="G181" s="280">
        <f>IF(OR(E181="",F181=""),"",ROUND(E181*F181,2))</f>
        <v/>
      </c>
      <c r="H181" s="277" t="n"/>
      <c r="I181" s="205">
        <f>IFERROR(VLOOKUP(C181,parametros!$B:$F,5,0),"")</f>
        <v/>
      </c>
      <c r="J181" s="280">
        <f>IF(G181="","",ROUND(IF(OR(UPPER(D181)="SUPRESSAO",UPPER(D181)="DECRESCIMO"),-1,1)*G181*IF(AND(UPPER(H181)="SIM",ISNUMBER(I181)),I181,1),2))</f>
        <v/>
      </c>
      <c r="K181" s="277" t="n"/>
    </row>
    <row r="182" ht="15.9" customHeight="1">
      <c r="A182" s="277" t="n"/>
      <c r="B182" s="278" t="n"/>
      <c r="C182" s="262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277" t="n"/>
      <c r="E182" s="279" t="n"/>
      <c r="F182" s="280">
        <f>IF(A182="","",IFERROR(VLOOKUP(A182,itens_Remanesc!$A:$C,3,0),""))</f>
        <v/>
      </c>
      <c r="G182" s="280">
        <f>IF(OR(E182="",F182=""),"",ROUND(E182*F182,2))</f>
        <v/>
      </c>
      <c r="H182" s="277" t="n"/>
      <c r="I182" s="205">
        <f>IFERROR(VLOOKUP(C182,parametros!$B:$F,5,0),"")</f>
        <v/>
      </c>
      <c r="J182" s="280">
        <f>IF(G182="","",ROUND(IF(OR(UPPER(D182)="SUPRESSAO",UPPER(D182)="DECRESCIMO"),-1,1)*G182*IF(AND(UPPER(H182)="SIM",ISNUMBER(I182)),I182,1),2))</f>
        <v/>
      </c>
      <c r="K182" s="277" t="n"/>
    </row>
    <row r="183" ht="15.9" customHeight="1">
      <c r="A183" s="277" t="n"/>
      <c r="B183" s="278" t="n"/>
      <c r="C183" s="262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277" t="n"/>
      <c r="E183" s="279" t="n"/>
      <c r="F183" s="280">
        <f>IF(A183="","",IFERROR(VLOOKUP(A183,itens_Remanesc!$A:$C,3,0),""))</f>
        <v/>
      </c>
      <c r="G183" s="280">
        <f>IF(OR(E183="",F183=""),"",ROUND(E183*F183,2))</f>
        <v/>
      </c>
      <c r="H183" s="277" t="n"/>
      <c r="I183" s="205">
        <f>IFERROR(VLOOKUP(C183,parametros!$B:$F,5,0),"")</f>
        <v/>
      </c>
      <c r="J183" s="280">
        <f>IF(G183="","",ROUND(IF(OR(UPPER(D183)="SUPRESSAO",UPPER(D183)="DECRESCIMO"),-1,1)*G183*IF(AND(UPPER(H183)="SIM",ISNUMBER(I183)),I183,1),2))</f>
        <v/>
      </c>
      <c r="K183" s="277" t="n"/>
    </row>
    <row r="184" ht="15.9" customHeight="1">
      <c r="A184" s="277" t="n"/>
      <c r="B184" s="278" t="n"/>
      <c r="C184" s="262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277" t="n"/>
      <c r="E184" s="279" t="n"/>
      <c r="F184" s="280">
        <f>IF(A184="","",IFERROR(VLOOKUP(A184,itens_Remanesc!$A:$C,3,0),""))</f>
        <v/>
      </c>
      <c r="G184" s="280">
        <f>IF(OR(E184="",F184=""),"",ROUND(E184*F184,2))</f>
        <v/>
      </c>
      <c r="H184" s="277" t="n"/>
      <c r="I184" s="205">
        <f>IFERROR(VLOOKUP(C184,parametros!$B:$F,5,0),"")</f>
        <v/>
      </c>
      <c r="J184" s="280">
        <f>IF(G184="","",ROUND(IF(OR(UPPER(D184)="SUPRESSAO",UPPER(D184)="DECRESCIMO"),-1,1)*G184*IF(AND(UPPER(H184)="SIM",ISNUMBER(I184)),I184,1),2))</f>
        <v/>
      </c>
      <c r="K184" s="277" t="n"/>
    </row>
    <row r="185" ht="15.9" customHeight="1">
      <c r="A185" s="277" t="n"/>
      <c r="B185" s="278" t="n"/>
      <c r="C185" s="262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277" t="n"/>
      <c r="E185" s="279" t="n"/>
      <c r="F185" s="280">
        <f>IF(A185="","",IFERROR(VLOOKUP(A185,itens_Remanesc!$A:$C,3,0),""))</f>
        <v/>
      </c>
      <c r="G185" s="280">
        <f>IF(OR(E185="",F185=""),"",ROUND(E185*F185,2))</f>
        <v/>
      </c>
      <c r="H185" s="277" t="n"/>
      <c r="I185" s="205">
        <f>IFERROR(VLOOKUP(C185,parametros!$B:$F,5,0),"")</f>
        <v/>
      </c>
      <c r="J185" s="280">
        <f>IF(G185="","",ROUND(IF(OR(UPPER(D185)="SUPRESSAO",UPPER(D185)="DECRESCIMO"),-1,1)*G185*IF(AND(UPPER(H185)="SIM",ISNUMBER(I185)),I185,1),2))</f>
        <v/>
      </c>
      <c r="K185" s="277" t="n"/>
    </row>
    <row r="186" ht="15.9" customHeight="1">
      <c r="A186" s="277" t="n"/>
      <c r="B186" s="278" t="n"/>
      <c r="C186" s="262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277" t="n"/>
      <c r="E186" s="279" t="n"/>
      <c r="F186" s="280">
        <f>IF(A186="","",IFERROR(VLOOKUP(A186,itens_Remanesc!$A:$C,3,0),""))</f>
        <v/>
      </c>
      <c r="G186" s="280">
        <f>IF(OR(E186="",F186=""),"",ROUND(E186*F186,2))</f>
        <v/>
      </c>
      <c r="H186" s="277" t="n"/>
      <c r="I186" s="205">
        <f>IFERROR(VLOOKUP(C186,parametros!$B:$F,5,0),"")</f>
        <v/>
      </c>
      <c r="J186" s="280">
        <f>IF(G186="","",ROUND(IF(OR(UPPER(D186)="SUPRESSAO",UPPER(D186)="DECRESCIMO"),-1,1)*G186*IF(AND(UPPER(H186)="SIM",ISNUMBER(I186)),I186,1),2))</f>
        <v/>
      </c>
      <c r="K186" s="277" t="n"/>
    </row>
    <row r="187" ht="15.9" customHeight="1">
      <c r="A187" s="277" t="n"/>
      <c r="B187" s="278" t="n"/>
      <c r="C187" s="262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277" t="n"/>
      <c r="E187" s="279" t="n"/>
      <c r="F187" s="280">
        <f>IF(A187="","",IFERROR(VLOOKUP(A187,itens_Remanesc!$A:$C,3,0),""))</f>
        <v/>
      </c>
      <c r="G187" s="280">
        <f>IF(OR(E187="",F187=""),"",ROUND(E187*F187,2))</f>
        <v/>
      </c>
      <c r="H187" s="277" t="n"/>
      <c r="I187" s="205">
        <f>IFERROR(VLOOKUP(C187,parametros!$B:$F,5,0),"")</f>
        <v/>
      </c>
      <c r="J187" s="280">
        <f>IF(G187="","",ROUND(IF(OR(UPPER(D187)="SUPRESSAO",UPPER(D187)="DECRESCIMO"),-1,1)*G187*IF(AND(UPPER(H187)="SIM",ISNUMBER(I187)),I187,1),2))</f>
        <v/>
      </c>
      <c r="K187" s="277" t="n"/>
    </row>
    <row r="188" ht="15.9" customHeight="1">
      <c r="A188" s="277" t="n"/>
      <c r="B188" s="278" t="n"/>
      <c r="C188" s="262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277" t="n"/>
      <c r="E188" s="279" t="n"/>
      <c r="F188" s="280">
        <f>IF(A188="","",IFERROR(VLOOKUP(A188,itens_Remanesc!$A:$C,3,0),""))</f>
        <v/>
      </c>
      <c r="G188" s="280">
        <f>IF(OR(E188="",F188=""),"",ROUND(E188*F188,2))</f>
        <v/>
      </c>
      <c r="H188" s="277" t="n"/>
      <c r="I188" s="205">
        <f>IFERROR(VLOOKUP(C188,parametros!$B:$F,5,0),"")</f>
        <v/>
      </c>
      <c r="J188" s="280">
        <f>IF(G188="","",ROUND(IF(OR(UPPER(D188)="SUPRESSAO",UPPER(D188)="DECRESCIMO"),-1,1)*G188*IF(AND(UPPER(H188)="SIM",ISNUMBER(I188)),I188,1),2))</f>
        <v/>
      </c>
      <c r="K188" s="277" t="n"/>
    </row>
    <row r="189" ht="15.9" customHeight="1">
      <c r="A189" s="277" t="n"/>
      <c r="B189" s="278" t="n"/>
      <c r="C189" s="262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277" t="n"/>
      <c r="E189" s="279" t="n"/>
      <c r="F189" s="280">
        <f>IF(A189="","",IFERROR(VLOOKUP(A189,itens_Remanesc!$A:$C,3,0),""))</f>
        <v/>
      </c>
      <c r="G189" s="280">
        <f>IF(OR(E189="",F189=""),"",ROUND(E189*F189,2))</f>
        <v/>
      </c>
      <c r="H189" s="277" t="n"/>
      <c r="I189" s="205">
        <f>IFERROR(VLOOKUP(C189,parametros!$B:$F,5,0),"")</f>
        <v/>
      </c>
      <c r="J189" s="280">
        <f>IF(G189="","",ROUND(IF(OR(UPPER(D189)="SUPRESSAO",UPPER(D189)="DECRESCIMO"),-1,1)*G189*IF(AND(UPPER(H189)="SIM",ISNUMBER(I189)),I189,1),2))</f>
        <v/>
      </c>
      <c r="K189" s="277" t="n"/>
    </row>
    <row r="190" ht="15.9" customHeight="1">
      <c r="A190" s="277" t="n"/>
      <c r="B190" s="278" t="n"/>
      <c r="C190" s="262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277" t="n"/>
      <c r="E190" s="279" t="n"/>
      <c r="F190" s="280">
        <f>IF(A190="","",IFERROR(VLOOKUP(A190,itens_Remanesc!$A:$C,3,0),""))</f>
        <v/>
      </c>
      <c r="G190" s="280">
        <f>IF(OR(E190="",F190=""),"",ROUND(E190*F190,2))</f>
        <v/>
      </c>
      <c r="H190" s="277" t="n"/>
      <c r="I190" s="205">
        <f>IFERROR(VLOOKUP(C190,parametros!$B:$F,5,0),"")</f>
        <v/>
      </c>
      <c r="J190" s="280">
        <f>IF(G190="","",ROUND(IF(OR(UPPER(D190)="SUPRESSAO",UPPER(D190)="DECRESCIMO"),-1,1)*G190*IF(AND(UPPER(H190)="SIM",ISNUMBER(I190)),I190,1),2))</f>
        <v/>
      </c>
      <c r="K190" s="277" t="n"/>
    </row>
    <row r="191" ht="15.9" customHeight="1">
      <c r="A191" s="277" t="n"/>
      <c r="B191" s="278" t="n"/>
      <c r="C191" s="262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277" t="n"/>
      <c r="E191" s="279" t="n"/>
      <c r="F191" s="280">
        <f>IF(A191="","",IFERROR(VLOOKUP(A191,itens_Remanesc!$A:$C,3,0),""))</f>
        <v/>
      </c>
      <c r="G191" s="280">
        <f>IF(OR(E191="",F191=""),"",ROUND(E191*F191,2))</f>
        <v/>
      </c>
      <c r="H191" s="277" t="n"/>
      <c r="I191" s="205">
        <f>IFERROR(VLOOKUP(C191,parametros!$B:$F,5,0),"")</f>
        <v/>
      </c>
      <c r="J191" s="280">
        <f>IF(G191="","",ROUND(IF(OR(UPPER(D191)="SUPRESSAO",UPPER(D191)="DECRESCIMO"),-1,1)*G191*IF(AND(UPPER(H191)="SIM",ISNUMBER(I191)),I191,1),2))</f>
        <v/>
      </c>
      <c r="K191" s="277" t="n"/>
    </row>
    <row r="192" ht="15.9" customHeight="1">
      <c r="A192" s="277" t="n"/>
      <c r="B192" s="278" t="n"/>
      <c r="C192" s="262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277" t="n"/>
      <c r="E192" s="279" t="n"/>
      <c r="F192" s="280">
        <f>IF(A192="","",IFERROR(VLOOKUP(A192,itens_Remanesc!$A:$C,3,0),""))</f>
        <v/>
      </c>
      <c r="G192" s="280">
        <f>IF(OR(E192="",F192=""),"",ROUND(E192*F192,2))</f>
        <v/>
      </c>
      <c r="H192" s="277" t="n"/>
      <c r="I192" s="205">
        <f>IFERROR(VLOOKUP(C192,parametros!$B:$F,5,0),"")</f>
        <v/>
      </c>
      <c r="J192" s="280">
        <f>IF(G192="","",ROUND(IF(OR(UPPER(D192)="SUPRESSAO",UPPER(D192)="DECRESCIMO"),-1,1)*G192*IF(AND(UPPER(H192)="SIM",ISNUMBER(I192)),I192,1),2))</f>
        <v/>
      </c>
      <c r="K192" s="277" t="n"/>
    </row>
    <row r="193" ht="15.9" customHeight="1">
      <c r="A193" s="277" t="n"/>
      <c r="B193" s="278" t="n"/>
      <c r="C193" s="262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277" t="n"/>
      <c r="E193" s="279" t="n"/>
      <c r="F193" s="280">
        <f>IF(A193="","",IFERROR(VLOOKUP(A193,itens_Remanesc!$A:$C,3,0),""))</f>
        <v/>
      </c>
      <c r="G193" s="280">
        <f>IF(OR(E193="",F193=""),"",ROUND(E193*F193,2))</f>
        <v/>
      </c>
      <c r="H193" s="277" t="n"/>
      <c r="I193" s="205">
        <f>IFERROR(VLOOKUP(C193,parametros!$B:$F,5,0),"")</f>
        <v/>
      </c>
      <c r="J193" s="280">
        <f>IF(G193="","",ROUND(IF(OR(UPPER(D193)="SUPRESSAO",UPPER(D193)="DECRESCIMO"),-1,1)*G193*IF(AND(UPPER(H193)="SIM",ISNUMBER(I193)),I193,1),2))</f>
        <v/>
      </c>
      <c r="K193" s="277" t="n"/>
    </row>
    <row r="194" ht="15.9" customHeight="1">
      <c r="A194" s="277" t="n"/>
      <c r="B194" s="278" t="n"/>
      <c r="C194" s="262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277" t="n"/>
      <c r="E194" s="279" t="n"/>
      <c r="F194" s="280">
        <f>IF(A194="","",IFERROR(VLOOKUP(A194,itens_Remanesc!$A:$C,3,0),""))</f>
        <v/>
      </c>
      <c r="G194" s="280">
        <f>IF(OR(E194="",F194=""),"",ROUND(E194*F194,2))</f>
        <v/>
      </c>
      <c r="H194" s="277" t="n"/>
      <c r="I194" s="205">
        <f>IFERROR(VLOOKUP(C194,parametros!$B:$F,5,0),"")</f>
        <v/>
      </c>
      <c r="J194" s="280">
        <f>IF(G194="","",ROUND(IF(OR(UPPER(D194)="SUPRESSAO",UPPER(D194)="DECRESCIMO"),-1,1)*G194*IF(AND(UPPER(H194)="SIM",ISNUMBER(I194)),I194,1),2))</f>
        <v/>
      </c>
      <c r="K194" s="277" t="n"/>
    </row>
    <row r="195" ht="15.9" customHeight="1">
      <c r="A195" s="277" t="n"/>
      <c r="B195" s="278" t="n"/>
      <c r="C195" s="262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277" t="n"/>
      <c r="E195" s="279" t="n"/>
      <c r="F195" s="280">
        <f>IF(A195="","",IFERROR(VLOOKUP(A195,itens_Remanesc!$A:$C,3,0),""))</f>
        <v/>
      </c>
      <c r="G195" s="280">
        <f>IF(OR(E195="",F195=""),"",ROUND(E195*F195,2))</f>
        <v/>
      </c>
      <c r="H195" s="277" t="n"/>
      <c r="I195" s="205">
        <f>IFERROR(VLOOKUP(C195,parametros!$B:$F,5,0),"")</f>
        <v/>
      </c>
      <c r="J195" s="280">
        <f>IF(G195="","",ROUND(IF(OR(UPPER(D195)="SUPRESSAO",UPPER(D195)="DECRESCIMO"),-1,1)*G195*IF(AND(UPPER(H195)="SIM",ISNUMBER(I195)),I195,1),2))</f>
        <v/>
      </c>
      <c r="K195" s="277" t="n"/>
    </row>
    <row r="196" ht="15.9" customHeight="1">
      <c r="A196" s="277" t="n"/>
      <c r="B196" s="278" t="n"/>
      <c r="C196" s="262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277" t="n"/>
      <c r="E196" s="279" t="n"/>
      <c r="F196" s="280">
        <f>IF(A196="","",IFERROR(VLOOKUP(A196,itens_Remanesc!$A:$C,3,0),""))</f>
        <v/>
      </c>
      <c r="G196" s="280">
        <f>IF(OR(E196="",F196=""),"",ROUND(E196*F196,2))</f>
        <v/>
      </c>
      <c r="H196" s="277" t="n"/>
      <c r="I196" s="205">
        <f>IFERROR(VLOOKUP(C196,parametros!$B:$F,5,0),"")</f>
        <v/>
      </c>
      <c r="J196" s="280">
        <f>IF(G196="","",ROUND(IF(OR(UPPER(D196)="SUPRESSAO",UPPER(D196)="DECRESCIMO"),-1,1)*G196*IF(AND(UPPER(H196)="SIM",ISNUMBER(I196)),I196,1),2))</f>
        <v/>
      </c>
      <c r="K196" s="277" t="n"/>
    </row>
    <row r="197" ht="15.9" customHeight="1">
      <c r="A197" s="277" t="n"/>
      <c r="B197" s="278" t="n"/>
      <c r="C197" s="262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277" t="n"/>
      <c r="E197" s="279" t="n"/>
      <c r="F197" s="280">
        <f>IF(A197="","",IFERROR(VLOOKUP(A197,itens_Remanesc!$A:$C,3,0),""))</f>
        <v/>
      </c>
      <c r="G197" s="280">
        <f>IF(OR(E197="",F197=""),"",ROUND(E197*F197,2))</f>
        <v/>
      </c>
      <c r="H197" s="277" t="n"/>
      <c r="I197" s="205">
        <f>IFERROR(VLOOKUP(C197,parametros!$B:$F,5,0),"")</f>
        <v/>
      </c>
      <c r="J197" s="280">
        <f>IF(G197="","",ROUND(IF(OR(UPPER(D197)="SUPRESSAO",UPPER(D197)="DECRESCIMO"),-1,1)*G197*IF(AND(UPPER(H197)="SIM",ISNUMBER(I197)),I197,1),2))</f>
        <v/>
      </c>
      <c r="K197" s="277" t="n"/>
    </row>
    <row r="198" ht="15.9" customHeight="1">
      <c r="A198" s="277" t="n"/>
      <c r="B198" s="278" t="n"/>
      <c r="C198" s="262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277" t="n"/>
      <c r="E198" s="279" t="n"/>
      <c r="F198" s="280">
        <f>IF(A198="","",IFERROR(VLOOKUP(A198,itens_Remanesc!$A:$C,3,0),""))</f>
        <v/>
      </c>
      <c r="G198" s="280">
        <f>IF(OR(E198="",F198=""),"",ROUND(E198*F198,2))</f>
        <v/>
      </c>
      <c r="H198" s="277" t="n"/>
      <c r="I198" s="205">
        <f>IFERROR(VLOOKUP(C198,parametros!$B:$F,5,0),"")</f>
        <v/>
      </c>
      <c r="J198" s="280">
        <f>IF(G198="","",ROUND(IF(OR(UPPER(D198)="SUPRESSAO",UPPER(D198)="DECRESCIMO"),-1,1)*G198*IF(AND(UPPER(H198)="SIM",ISNUMBER(I198)),I198,1),2))</f>
        <v/>
      </c>
      <c r="K198" s="277" t="n"/>
    </row>
    <row r="199" ht="15.9" customHeight="1">
      <c r="A199" s="277" t="n"/>
      <c r="B199" s="278" t="n"/>
      <c r="C199" s="262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277" t="n"/>
      <c r="E199" s="279" t="n"/>
      <c r="F199" s="280">
        <f>IF(A199="","",IFERROR(VLOOKUP(A199,itens_Remanesc!$A:$C,3,0),""))</f>
        <v/>
      </c>
      <c r="G199" s="280">
        <f>IF(OR(E199="",F199=""),"",ROUND(E199*F199,2))</f>
        <v/>
      </c>
      <c r="H199" s="277" t="n"/>
      <c r="I199" s="205">
        <f>IFERROR(VLOOKUP(C199,parametros!$B:$F,5,0),"")</f>
        <v/>
      </c>
      <c r="J199" s="280">
        <f>IF(G199="","",ROUND(IF(OR(UPPER(D199)="SUPRESSAO",UPPER(D199)="DECRESCIMO"),-1,1)*G199*IF(AND(UPPER(H199)="SIM",ISNUMBER(I199)),I199,1),2))</f>
        <v/>
      </c>
      <c r="K199" s="277" t="n"/>
    </row>
    <row r="200" ht="15.9" customHeight="1">
      <c r="A200" s="277" t="n"/>
      <c r="B200" s="278" t="n"/>
      <c r="C200" s="262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277" t="n"/>
      <c r="E200" s="279" t="n"/>
      <c r="F200" s="280">
        <f>IF(A200="","",IFERROR(VLOOKUP(A200,itens_Remanesc!$A:$C,3,0),""))</f>
        <v/>
      </c>
      <c r="G200" s="280">
        <f>IF(OR(E200="",F200=""),"",ROUND(E200*F200,2))</f>
        <v/>
      </c>
      <c r="H200" s="277" t="n"/>
      <c r="I200" s="205">
        <f>IFERROR(VLOOKUP(C200,parametros!$B:$F,5,0),"")</f>
        <v/>
      </c>
      <c r="J200" s="280">
        <f>IF(G200="","",ROUND(IF(OR(UPPER(D200)="SUPRESSAO",UPPER(D200)="DECRESCIMO"),-1,1)*G200*IF(AND(UPPER(H200)="SIM",ISNUMBER(I200)),I200,1),2))</f>
        <v/>
      </c>
      <c r="K200" s="277" t="n"/>
    </row>
  </sheetData>
  <conditionalFormatting sqref="A2:K200">
    <cfRule type="expression" priority="7" dxfId="10">
      <formula>OR(LEFT(UPPER($D2),6)="SUPRES",LEFT(UPPER($D2),4)="DECR")</formula>
    </cfRule>
    <cfRule type="expression" priority="7" dxfId="20">
      <formula>OR(LEFT(UPPER($D2),6)="SUPRES",LEFT(UPPER($D2),4)="DECR")</formula>
    </cfRule>
    <cfRule type="expression" priority="8" dxfId="20">
      <formula>OR(LEFT(UPPER($D2),6)="SUPRES",LEFT(UPPER($D2),4)="DECR")</formula>
    </cfRule>
    <cfRule type="expression" priority="9" dxfId="20">
      <formula>OR(LEFT(UPPER($D2),6)="SUPRES",LEFT(UPPER($D2),4)="DECR")</formula>
    </cfRule>
    <cfRule type="expression" priority="10" dxfId="20">
      <formula>OR(LEFT(UPPER($D2),6)="SUPRES",LEFT(UPPER($D2),4)="DECR")</formula>
    </cfRule>
    <cfRule type="expression" priority="11" dxfId="20">
      <formula>OR(LEFT(UPPER($D2),6)="SUPRES",LEFT(UPPER($D2),4)="DECR")</formula>
    </cfRule>
  </conditionalFormatting>
  <conditionalFormatting sqref="C2:C200">
    <cfRule type="expression" priority="8" dxfId="9">
      <formula>UPPER($C2)="C0"</formula>
    </cfRule>
    <cfRule type="expression" priority="9" dxfId="8">
      <formula>UPPER($C2)="C1"</formula>
    </cfRule>
    <cfRule type="expression" priority="10" dxfId="7">
      <formula>UPPER($C2)="C2"</formula>
    </cfRule>
    <cfRule type="expression" priority="11" dxfId="6">
      <formula>UPPER($C2)="C3"</formula>
    </cfRule>
    <cfRule type="expression" priority="12" dxfId="5">
      <formula>UPPER($C2)="C4"</formula>
    </cfRule>
  </conditionalFormatting>
  <dataValidations count="3">
    <dataValidation sqref="D2:D200" showDropDown="0" showInputMessage="0" showErrorMessage="0" allowBlank="1" type="list">
      <formula1>"Acrescimo,Supressao"</formula1>
    </dataValidation>
    <dataValidation sqref="H2:H200" showDropDown="0" showInputMessage="0" showErrorMessage="0" allowBlank="1" type="list">
      <formula1>"Sim,Nao"</formula1>
    </dataValidation>
    <dataValidation sqref="K2:K200" showDropDown="0" showInputMessage="0" showErrorMessage="0" allowBlank="1" type="list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ColWidth="8.54296875" defaultRowHeight="14.5"/>
  <cols>
    <col width="8" customWidth="1" min="1" max="1"/>
    <col width="14" customWidth="1" min="2" max="2"/>
    <col width="12" customWidth="1" min="3" max="3"/>
    <col width="15" customWidth="1" min="4" max="4"/>
    <col width="14" customWidth="1" min="5" max="5"/>
    <col width="12" customWidth="1" min="6" max="6"/>
    <col width="15" customWidth="1" min="7" max="7"/>
    <col width="14" customWidth="1" min="8" max="8"/>
    <col width="12" customWidth="1" min="9" max="9"/>
    <col width="18.1796875" customWidth="1" min="10" max="10"/>
    <col width="14" customWidth="1" min="11" max="11"/>
    <col width="12" customWidth="1" min="12" max="12"/>
    <col width="15" customWidth="1" min="13" max="13"/>
    <col width="14" customWidth="1" min="14" max="14"/>
    <col width="12" customWidth="1" min="15" max="15"/>
    <col width="15" customWidth="1" min="16" max="16"/>
  </cols>
  <sheetData>
    <row r="1" ht="30" customHeight="1">
      <c r="A1" s="186" t="inlineStr">
        <is>
          <t>Item</t>
        </is>
      </c>
      <c r="B1" s="186" t="inlineStr">
        <is>
          <t>C0</t>
        </is>
      </c>
      <c r="C1" s="187" t="n"/>
      <c r="D1" s="188" t="n"/>
      <c r="E1" s="186" t="inlineStr">
        <is>
          <t>C1</t>
        </is>
      </c>
      <c r="F1" s="187" t="n"/>
      <c r="G1" s="188" t="n"/>
      <c r="H1" s="186" t="inlineStr">
        <is>
          <t>C2</t>
        </is>
      </c>
      <c r="I1" s="187" t="n"/>
      <c r="J1" s="188" t="n"/>
      <c r="K1" s="186" t="inlineStr">
        <is>
          <t>C3</t>
        </is>
      </c>
      <c r="L1" s="187" t="n"/>
      <c r="M1" s="188" t="n"/>
      <c r="N1" s="186" t="inlineStr">
        <is>
          <t>C4</t>
        </is>
      </c>
      <c r="O1" s="187" t="n"/>
      <c r="P1" s="188" t="n"/>
    </row>
    <row r="2">
      <c r="A2" s="189" t="n"/>
      <c r="B2" s="137" t="inlineStr">
        <is>
          <t>VU atualizado</t>
        </is>
      </c>
      <c r="C2" s="137" t="inlineStr">
        <is>
          <t>Qtd restante</t>
        </is>
      </c>
      <c r="D2" s="137" t="inlineStr">
        <is>
          <t>Total R$</t>
        </is>
      </c>
      <c r="E2" s="138" t="inlineStr">
        <is>
          <t>VU atualizado</t>
        </is>
      </c>
      <c r="F2" s="138" t="inlineStr">
        <is>
          <t>Qtd restante</t>
        </is>
      </c>
      <c r="G2" s="138" t="inlineStr">
        <is>
          <t>Total R$</t>
        </is>
      </c>
      <c r="H2" s="137" t="inlineStr">
        <is>
          <t>VU atualizado</t>
        </is>
      </c>
      <c r="I2" s="137" t="inlineStr">
        <is>
          <t>Qtd restante</t>
        </is>
      </c>
      <c r="J2" s="137" t="inlineStr">
        <is>
          <t>Total R$</t>
        </is>
      </c>
      <c r="K2" s="138" t="inlineStr">
        <is>
          <t>VU atualizado</t>
        </is>
      </c>
      <c r="L2" s="138" t="inlineStr">
        <is>
          <t>Qtd restante</t>
        </is>
      </c>
      <c r="M2" s="138" t="inlineStr">
        <is>
          <t>Total R$</t>
        </is>
      </c>
      <c r="N2" s="137" t="inlineStr">
        <is>
          <t>VU atualizado</t>
        </is>
      </c>
      <c r="O2" s="137" t="inlineStr">
        <is>
          <t>Qtd restante</t>
        </is>
      </c>
      <c r="P2" s="137" t="inlineStr">
        <is>
          <t>Total R$</t>
        </is>
      </c>
    </row>
    <row r="3">
      <c r="A3" s="281">
        <f>IF(FALSE,"TOTAL",IF(itens_Remanesc!A2="","",itens_Remanesc!A2))</f>
        <v/>
      </c>
      <c r="B3" s="282">
        <f>IF(OR(itens_Remanesc!A2="",NOT(ISNUMBER(parametros!$F$2))),"",ROUND(itens_Remanesc!C2*parametros!$F$2,2))</f>
        <v/>
      </c>
      <c r="C3" s="283">
        <f>IF(itens_Remanesc!A2="","",itens_Remanesc!B2)</f>
        <v/>
      </c>
      <c r="D3" s="282">
        <f>IF(A3="TOTAL",ROUND(SUM($D$3:D2),2),IF(A3="","",ROUND(B3*C3,2)))</f>
        <v/>
      </c>
      <c r="E3" s="284">
        <f>IF(OR(itens_Remanesc!A2="",NOT(ISNUMBER(parametros!$F$3))),"",ROUND(itens_Remanesc!C2*parametros!$F$3,2))</f>
        <v/>
      </c>
      <c r="F3" s="285">
        <f>IF(itens_Remanesc!A2="","",itens_Remanesc!E2)</f>
        <v/>
      </c>
      <c r="G3" s="284">
        <f>IF(A3="TOTAL",ROUND(SUM($G$3:G2),2),IF(OR(A3="",E3="",F3=""),"",ROUND(E3*F3,2)))</f>
        <v/>
      </c>
      <c r="H3" s="282">
        <f>IF(OR(itens_Remanesc!A2="",NOT(ISNUMBER(parametros!$F$4))),"",ROUND(itens_Remanesc!C2*parametros!$F$4,2))</f>
        <v/>
      </c>
      <c r="I3" s="283">
        <f>IF(itens_Remanesc!A2="","",itens_Remanesc!G2)</f>
        <v/>
      </c>
      <c r="J3" s="286">
        <f>IF(A3="TOTAL",ROUND(SUM($J$3:J2),2),IF(OR(A3="",H3="",I3=""),"",ROUND(H3*I3,2)))</f>
        <v/>
      </c>
      <c r="K3" s="284">
        <f>IF(OR(itens_Remanesc!A2="",NOT(ISNUMBER(parametros!$F$5))),"",ROUND(itens_Remanesc!C2*parametros!$F$5,2))</f>
        <v/>
      </c>
      <c r="L3" s="285">
        <f>IF(itens_Remanesc!A2="","",itens_Remanesc!I2)</f>
        <v/>
      </c>
      <c r="M3" s="287">
        <f>IF(A3="TOTAL",ROUND(SUM($M$3:M2),2),IF(OR(A3="",K3="",L3=""),"",ROUND(K3*L3,2)))</f>
        <v/>
      </c>
      <c r="N3" s="282">
        <f>IF(OR(itens_Remanesc!A2="",NOT(ISNUMBER(parametros!$F$6))),"",ROUND(itens_Remanesc!C2*parametros!$F$6,2))</f>
        <v/>
      </c>
      <c r="O3" s="283">
        <f>IF(itens_Remanesc!A2="","",itens_Remanesc!K2)</f>
        <v/>
      </c>
      <c r="P3" s="286">
        <f>IF(A3="TOTAL",ROUND(SUM($P$3:P2),2),IF(OR(A3="",N3="",O3=""),"",ROUND(N3*O3,2)))</f>
        <v/>
      </c>
    </row>
    <row r="4">
      <c r="A4" s="281">
        <f>IF(AND(itens_Remanesc!A3="",itens_Remanesc!A2&lt;&gt;"",COUNTIF(itens_Remanesc!A4:$A$200,"&lt;&gt;")=0),"TOTAL",IF(itens_Remanesc!A3="","",itens_Remanesc!A3))</f>
        <v/>
      </c>
      <c r="B4" s="282">
        <f>IF(OR(itens_Remanesc!A3="",NOT(ISNUMBER(parametros!$F$2))),"",ROUND(itens_Remanesc!C3*parametros!$F$2,2))</f>
        <v/>
      </c>
      <c r="C4" s="283">
        <f>IF(itens_Remanesc!A3="","",itens_Remanesc!B3)</f>
        <v/>
      </c>
      <c r="D4" s="282">
        <f>IF(A4="TOTAL",ROUND(SUM($D$3:D3),2),IF(A4="","",ROUND(B4*C4,2)))</f>
        <v/>
      </c>
      <c r="E4" s="284">
        <f>IF(OR(itens_Remanesc!A3="",NOT(ISNUMBER(parametros!$F$3))),"",ROUND(itens_Remanesc!C3*parametros!$F$3,2))</f>
        <v/>
      </c>
      <c r="F4" s="285">
        <f>IF(itens_Remanesc!A3="","",itens_Remanesc!E3)</f>
        <v/>
      </c>
      <c r="G4" s="284">
        <f>IF(A4="TOTAL",ROUND(SUM($G$3:G3),2),IF(OR(A4="",E4="",F4=""),"",ROUND(E4*F4,2)))</f>
        <v/>
      </c>
      <c r="H4" s="282">
        <f>IF(OR(itens_Remanesc!A3="",NOT(ISNUMBER(parametros!$F$4))),"",ROUND(itens_Remanesc!C3*parametros!$F$4,2))</f>
        <v/>
      </c>
      <c r="I4" s="283">
        <f>IF(itens_Remanesc!A3="","",itens_Remanesc!G3)</f>
        <v/>
      </c>
      <c r="J4" s="286">
        <f>IF(A4="TOTAL",ROUND(SUM($J$3:J3),2),IF(OR(A4="",H4="",I4=""),"",ROUND(H4*I4,2)))</f>
        <v/>
      </c>
      <c r="K4" s="284">
        <f>IF(OR(itens_Remanesc!A3="",NOT(ISNUMBER(parametros!$F$5))),"",ROUND(itens_Remanesc!C3*parametros!$F$5,2))</f>
        <v/>
      </c>
      <c r="L4" s="285">
        <f>IF(itens_Remanesc!A3="","",itens_Remanesc!I3)</f>
        <v/>
      </c>
      <c r="M4" s="287">
        <f>IF(A4="TOTAL",ROUND(SUM($M$3:M3),2),IF(OR(A4="",K4="",L4=""),"",ROUND(K4*L4,2)))</f>
        <v/>
      </c>
      <c r="N4" s="282">
        <f>IF(OR(itens_Remanesc!A3="",NOT(ISNUMBER(parametros!$F$6))),"",ROUND(itens_Remanesc!C3*parametros!$F$6,2))</f>
        <v/>
      </c>
      <c r="O4" s="283">
        <f>IF(itens_Remanesc!A3="","",itens_Remanesc!K3)</f>
        <v/>
      </c>
      <c r="P4" s="286">
        <f>IF(A4="TOTAL",ROUND(SUM($P$3:P3),2),IF(OR(A4="",N4="",O4=""),"",ROUND(N4*O4,2)))</f>
        <v/>
      </c>
    </row>
    <row r="5">
      <c r="A5" s="281">
        <f>IF(AND(itens_Remanesc!A4="",itens_Remanesc!A3&lt;&gt;"",COUNTIF(itens_Remanesc!A5:$A$200,"&lt;&gt;")=0),"TOTAL",IF(itens_Remanesc!A4="","",itens_Remanesc!A4))</f>
        <v/>
      </c>
      <c r="B5" s="282">
        <f>IF(OR(itens_Remanesc!A4="",NOT(ISNUMBER(parametros!$F$2))),"",ROUND(itens_Remanesc!C4*parametros!$F$2,2))</f>
        <v/>
      </c>
      <c r="C5" s="283">
        <f>IF(itens_Remanesc!A4="","",itens_Remanesc!B4)</f>
        <v/>
      </c>
      <c r="D5" s="282">
        <f>IF(A5="TOTAL",ROUND(SUM($D$3:D4),2),IF(A5="","",ROUND(B5*C5,2)))</f>
        <v/>
      </c>
      <c r="E5" s="284">
        <f>IF(OR(itens_Remanesc!A4="",NOT(ISNUMBER(parametros!$F$3))),"",ROUND(itens_Remanesc!C4*parametros!$F$3,2))</f>
        <v/>
      </c>
      <c r="F5" s="285">
        <f>IF(itens_Remanesc!A4="","",itens_Remanesc!E4)</f>
        <v/>
      </c>
      <c r="G5" s="284">
        <f>IF(A5="TOTAL",ROUND(SUM($G$3:G4),2),IF(OR(A5="",E5="",F5=""),"",ROUND(E5*F5,2)))</f>
        <v/>
      </c>
      <c r="H5" s="282">
        <f>IF(OR(itens_Remanesc!A4="",NOT(ISNUMBER(parametros!$F$4))),"",ROUND(itens_Remanesc!C4*parametros!$F$4,2))</f>
        <v/>
      </c>
      <c r="I5" s="283">
        <f>IF(itens_Remanesc!A4="","",itens_Remanesc!G4)</f>
        <v/>
      </c>
      <c r="J5" s="286">
        <f>IF(A5="TOTAL",ROUND(SUM($J$3:J4),2),IF(OR(A5="",H5="",I5=""),"",ROUND(H5*I5,2)))</f>
        <v/>
      </c>
      <c r="K5" s="284">
        <f>IF(OR(itens_Remanesc!A4="",NOT(ISNUMBER(parametros!$F$5))),"",ROUND(itens_Remanesc!C4*parametros!$F$5,2))</f>
        <v/>
      </c>
      <c r="L5" s="285">
        <f>IF(itens_Remanesc!A4="","",itens_Remanesc!I4)</f>
        <v/>
      </c>
      <c r="M5" s="287">
        <f>IF(A5="TOTAL",ROUND(SUM($M$3:M4),2),IF(OR(A5="",K5="",L5=""),"",ROUND(K5*L5,2)))</f>
        <v/>
      </c>
      <c r="N5" s="282">
        <f>IF(OR(itens_Remanesc!A4="",NOT(ISNUMBER(parametros!$F$6))),"",ROUND(itens_Remanesc!C4*parametros!$F$6,2))</f>
        <v/>
      </c>
      <c r="O5" s="283">
        <f>IF(itens_Remanesc!A4="","",itens_Remanesc!K4)</f>
        <v/>
      </c>
      <c r="P5" s="286">
        <f>IF(A5="TOTAL",ROUND(SUM($P$3:P4),2),IF(OR(A5="",N5="",O5=""),"",ROUND(N5*O5,2)))</f>
        <v/>
      </c>
    </row>
    <row r="6">
      <c r="A6" s="281">
        <f>IF(AND(itens_Remanesc!A5="",itens_Remanesc!A4&lt;&gt;"",COUNTIF(itens_Remanesc!A6:$A$200,"&lt;&gt;")=0),"TOTAL",IF(itens_Remanesc!A5="","",itens_Remanesc!A5))</f>
        <v/>
      </c>
      <c r="B6" s="282">
        <f>IF(OR(itens_Remanesc!A5="",NOT(ISNUMBER(parametros!$F$2))),"",ROUND(itens_Remanesc!C5*parametros!$F$2,2))</f>
        <v/>
      </c>
      <c r="C6" s="283">
        <f>IF(itens_Remanesc!A5="","",itens_Remanesc!B5)</f>
        <v/>
      </c>
      <c r="D6" s="282">
        <f>IF(A6="TOTAL",ROUND(SUM($D$3:D5),2),IF(A6="","",ROUND(B6*C6,2)))</f>
        <v/>
      </c>
      <c r="E6" s="284">
        <f>IF(OR(itens_Remanesc!A5="",NOT(ISNUMBER(parametros!$F$3))),"",ROUND(itens_Remanesc!C5*parametros!$F$3,2))</f>
        <v/>
      </c>
      <c r="F6" s="285">
        <f>IF(itens_Remanesc!A5="","",itens_Remanesc!E5)</f>
        <v/>
      </c>
      <c r="G6" s="284">
        <f>IF(A6="TOTAL",ROUND(SUM($G$3:G5),2),IF(OR(A6="",E6="",F6=""),"",ROUND(E6*F6,2)))</f>
        <v/>
      </c>
      <c r="H6" s="282">
        <f>IF(OR(itens_Remanesc!A5="",NOT(ISNUMBER(parametros!$F$4))),"",ROUND(itens_Remanesc!C5*parametros!$F$4,2))</f>
        <v/>
      </c>
      <c r="I6" s="283">
        <f>IF(itens_Remanesc!A5="","",itens_Remanesc!G5)</f>
        <v/>
      </c>
      <c r="J6" s="286">
        <f>IF(A6="TOTAL",ROUND(SUM($J$3:J5),2),IF(OR(A6="",H6="",I6=""),"",ROUND(H6*I6,2)))</f>
        <v/>
      </c>
      <c r="K6" s="284">
        <f>IF(OR(itens_Remanesc!A5="",NOT(ISNUMBER(parametros!$F$5))),"",ROUND(itens_Remanesc!C5*parametros!$F$5,2))</f>
        <v/>
      </c>
      <c r="L6" s="285">
        <f>IF(itens_Remanesc!A5="","",itens_Remanesc!I5)</f>
        <v/>
      </c>
      <c r="M6" s="287">
        <f>IF(A6="TOTAL",ROUND(SUM($M$3:M5),2),IF(OR(A6="",K6="",L6=""),"",ROUND(K6*L6,2)))</f>
        <v/>
      </c>
      <c r="N6" s="282">
        <f>IF(OR(itens_Remanesc!A5="",NOT(ISNUMBER(parametros!$F$6))),"",ROUND(itens_Remanesc!C5*parametros!$F$6,2))</f>
        <v/>
      </c>
      <c r="O6" s="283">
        <f>IF(itens_Remanesc!A5="","",itens_Remanesc!K5)</f>
        <v/>
      </c>
      <c r="P6" s="286">
        <f>IF(A6="TOTAL",ROUND(SUM($P$3:P5),2),IF(OR(A6="",N6="",O6=""),"",ROUND(N6*O6,2)))</f>
        <v/>
      </c>
    </row>
    <row r="7">
      <c r="A7" s="281">
        <f>IF(AND(itens_Remanesc!A6="",itens_Remanesc!A5&lt;&gt;"",COUNTIF(itens_Remanesc!A7:$A$200,"&lt;&gt;")=0),"TOTAL",IF(itens_Remanesc!A6="","",itens_Remanesc!A6))</f>
        <v/>
      </c>
      <c r="B7" s="282">
        <f>IF(OR(itens_Remanesc!A6="",NOT(ISNUMBER(parametros!$F$2))),"",ROUND(itens_Remanesc!C6*parametros!$F$2,2))</f>
        <v/>
      </c>
      <c r="C7" s="283">
        <f>IF(itens_Remanesc!A6="","",itens_Remanesc!B6)</f>
        <v/>
      </c>
      <c r="D7" s="282">
        <f>IF(A7="TOTAL",ROUND(SUM($D$3:D6),2),IF(A7="","",ROUND(B7*C7,2)))</f>
        <v/>
      </c>
      <c r="E7" s="284">
        <f>IF(OR(itens_Remanesc!A6="",NOT(ISNUMBER(parametros!$F$3))),"",ROUND(itens_Remanesc!C6*parametros!$F$3,2))</f>
        <v/>
      </c>
      <c r="F7" s="285">
        <f>IF(itens_Remanesc!A6="","",itens_Remanesc!E6)</f>
        <v/>
      </c>
      <c r="G7" s="284">
        <f>IF(A7="TOTAL",ROUND(SUM($G$3:G6),2),IF(OR(A7="",E7="",F7=""),"",ROUND(E7*F7,2)))</f>
        <v/>
      </c>
      <c r="H7" s="282">
        <f>IF(OR(itens_Remanesc!A6="",NOT(ISNUMBER(parametros!$F$4))),"",ROUND(itens_Remanesc!C6*parametros!$F$4,2))</f>
        <v/>
      </c>
      <c r="I7" s="283">
        <f>IF(itens_Remanesc!A6="","",itens_Remanesc!G6)</f>
        <v/>
      </c>
      <c r="J7" s="286">
        <f>IF(A7="TOTAL",ROUND(SUM($J$3:J6),2),IF(OR(A7="",H7="",I7=""),"",ROUND(H7*I7,2)))</f>
        <v/>
      </c>
      <c r="K7" s="284">
        <f>IF(OR(itens_Remanesc!A6="",NOT(ISNUMBER(parametros!$F$5))),"",ROUND(itens_Remanesc!C6*parametros!$F$5,2))</f>
        <v/>
      </c>
      <c r="L7" s="285">
        <f>IF(itens_Remanesc!A6="","",itens_Remanesc!I6)</f>
        <v/>
      </c>
      <c r="M7" s="287">
        <f>IF(A7="TOTAL",ROUND(SUM($M$3:M6),2),IF(OR(A7="",K7="",L7=""),"",ROUND(K7*L7,2)))</f>
        <v/>
      </c>
      <c r="N7" s="282">
        <f>IF(OR(itens_Remanesc!A6="",NOT(ISNUMBER(parametros!$F$6))),"",ROUND(itens_Remanesc!C6*parametros!$F$6,2))</f>
        <v/>
      </c>
      <c r="O7" s="283">
        <f>IF(itens_Remanesc!A6="","",itens_Remanesc!K6)</f>
        <v/>
      </c>
      <c r="P7" s="286">
        <f>IF(A7="TOTAL",ROUND(SUM($P$3:P6),2),IF(OR(A7="",N7="",O7=""),"",ROUND(N7*O7,2)))</f>
        <v/>
      </c>
    </row>
    <row r="8">
      <c r="A8" s="281">
        <f>IF(AND(itens_Remanesc!A7="",itens_Remanesc!A6&lt;&gt;"",COUNTIF(itens_Remanesc!A8:$A$200,"&lt;&gt;")=0),"TOTAL",IF(itens_Remanesc!A7="","",itens_Remanesc!A7))</f>
        <v/>
      </c>
      <c r="B8" s="282">
        <f>IF(OR(itens_Remanesc!A7="",NOT(ISNUMBER(parametros!$F$2))),"",ROUND(itens_Remanesc!C7*parametros!$F$2,2))</f>
        <v/>
      </c>
      <c r="C8" s="283">
        <f>IF(itens_Remanesc!A7="","",itens_Remanesc!B7)</f>
        <v/>
      </c>
      <c r="D8" s="282">
        <f>IF(A8="TOTAL",ROUND(SUM($D$3:D7),2),IF(A8="","",ROUND(B8*C8,2)))</f>
        <v/>
      </c>
      <c r="E8" s="284">
        <f>IF(OR(itens_Remanesc!A7="",NOT(ISNUMBER(parametros!$F$3))),"",ROUND(itens_Remanesc!C7*parametros!$F$3,2))</f>
        <v/>
      </c>
      <c r="F8" s="285">
        <f>IF(itens_Remanesc!A7="","",itens_Remanesc!E7)</f>
        <v/>
      </c>
      <c r="G8" s="284">
        <f>IF(A8="TOTAL",ROUND(SUM($G$3:G7),2),IF(OR(A8="",E8="",F8=""),"",ROUND(E8*F8,2)))</f>
        <v/>
      </c>
      <c r="H8" s="282">
        <f>IF(OR(itens_Remanesc!A7="",NOT(ISNUMBER(parametros!$F$4))),"",ROUND(itens_Remanesc!C7*parametros!$F$4,2))</f>
        <v/>
      </c>
      <c r="I8" s="283">
        <f>IF(itens_Remanesc!A7="","",itens_Remanesc!G7)</f>
        <v/>
      </c>
      <c r="J8" s="286">
        <f>IF(A8="TOTAL",ROUND(SUM($J$3:J7),2),IF(OR(A8="",H8="",I8=""),"",ROUND(H8*I8,2)))</f>
        <v/>
      </c>
      <c r="K8" s="284">
        <f>IF(OR(itens_Remanesc!A7="",NOT(ISNUMBER(parametros!$F$5))),"",ROUND(itens_Remanesc!C7*parametros!$F$5,2))</f>
        <v/>
      </c>
      <c r="L8" s="285">
        <f>IF(itens_Remanesc!A7="","",itens_Remanesc!I7)</f>
        <v/>
      </c>
      <c r="M8" s="287">
        <f>IF(A8="TOTAL",ROUND(SUM($M$3:M7),2),IF(OR(A8="",K8="",L8=""),"",ROUND(K8*L8,2)))</f>
        <v/>
      </c>
      <c r="N8" s="282">
        <f>IF(OR(itens_Remanesc!A7="",NOT(ISNUMBER(parametros!$F$6))),"",ROUND(itens_Remanesc!C7*parametros!$F$6,2))</f>
        <v/>
      </c>
      <c r="O8" s="283">
        <f>IF(itens_Remanesc!A7="","",itens_Remanesc!K7)</f>
        <v/>
      </c>
      <c r="P8" s="286">
        <f>IF(A8="TOTAL",ROUND(SUM($P$3:P7),2),IF(OR(A8="",N8="",O8=""),"",ROUND(N8*O8,2)))</f>
        <v/>
      </c>
    </row>
    <row r="9">
      <c r="A9" s="281">
        <f>IF(AND(itens_Remanesc!A8="",itens_Remanesc!A7&lt;&gt;"",COUNTIF(itens_Remanesc!A9:$A$200,"&lt;&gt;")=0),"TOTAL",IF(itens_Remanesc!A8="","",itens_Remanesc!A8))</f>
        <v/>
      </c>
      <c r="B9" s="282">
        <f>IF(OR(itens_Remanesc!A8="",NOT(ISNUMBER(parametros!$F$2))),"",ROUND(itens_Remanesc!C8*parametros!$F$2,2))</f>
        <v/>
      </c>
      <c r="C9" s="283">
        <f>IF(itens_Remanesc!A8="","",itens_Remanesc!B8)</f>
        <v/>
      </c>
      <c r="D9" s="282">
        <f>IF(A9="TOTAL",ROUND(SUM($D$3:D8),2),IF(A9="","",ROUND(B9*C9,2)))</f>
        <v/>
      </c>
      <c r="E9" s="284">
        <f>IF(OR(itens_Remanesc!A8="",NOT(ISNUMBER(parametros!$F$3))),"",ROUND(itens_Remanesc!C8*parametros!$F$3,2))</f>
        <v/>
      </c>
      <c r="F9" s="285">
        <f>IF(itens_Remanesc!A8="","",itens_Remanesc!E8)</f>
        <v/>
      </c>
      <c r="G9" s="284">
        <f>IF(A9="TOTAL",ROUND(SUM($G$3:G8),2),IF(OR(A9="",E9="",F9=""),"",ROUND(E9*F9,2)))</f>
        <v/>
      </c>
      <c r="H9" s="282">
        <f>IF(OR(itens_Remanesc!A8="",NOT(ISNUMBER(parametros!$F$4))),"",ROUND(itens_Remanesc!C8*parametros!$F$4,2))</f>
        <v/>
      </c>
      <c r="I9" s="283">
        <f>IF(itens_Remanesc!A8="","",itens_Remanesc!G8)</f>
        <v/>
      </c>
      <c r="J9" s="286">
        <f>IF(A9="TOTAL",ROUND(SUM($J$3:J8),2),IF(OR(A9="",H9="",I9=""),"",ROUND(H9*I9,2)))</f>
        <v/>
      </c>
      <c r="K9" s="284">
        <f>IF(OR(itens_Remanesc!A8="",NOT(ISNUMBER(parametros!$F$5))),"",ROUND(itens_Remanesc!C8*parametros!$F$5,2))</f>
        <v/>
      </c>
      <c r="L9" s="285">
        <f>IF(itens_Remanesc!A8="","",itens_Remanesc!I8)</f>
        <v/>
      </c>
      <c r="M9" s="287">
        <f>IF(A9="TOTAL",ROUND(SUM($M$3:M8),2),IF(OR(A9="",K9="",L9=""),"",ROUND(K9*L9,2)))</f>
        <v/>
      </c>
      <c r="N9" s="282">
        <f>IF(OR(itens_Remanesc!A8="",NOT(ISNUMBER(parametros!$F$6))),"",ROUND(itens_Remanesc!C8*parametros!$F$6,2))</f>
        <v/>
      </c>
      <c r="O9" s="283">
        <f>IF(itens_Remanesc!A8="","",itens_Remanesc!K8)</f>
        <v/>
      </c>
      <c r="P9" s="286">
        <f>IF(A9="TOTAL",ROUND(SUM($P$3:P8),2),IF(OR(A9="",N9="",O9=""),"",ROUND(N9*O9,2)))</f>
        <v/>
      </c>
    </row>
    <row r="10">
      <c r="A10" s="281">
        <f>IF(AND(itens_Remanesc!A9="",itens_Remanesc!A8&lt;&gt;"",COUNTIF(itens_Remanesc!A10:$A$200,"&lt;&gt;")=0),"TOTAL",IF(itens_Remanesc!A9="","",itens_Remanesc!A9))</f>
        <v/>
      </c>
      <c r="B10" s="282">
        <f>IF(OR(itens_Remanesc!A9="",NOT(ISNUMBER(parametros!$F$2))),"",ROUND(itens_Remanesc!C9*parametros!$F$2,2))</f>
        <v/>
      </c>
      <c r="C10" s="283">
        <f>IF(itens_Remanesc!A9="","",itens_Remanesc!B9)</f>
        <v/>
      </c>
      <c r="D10" s="282">
        <f>IF(A10="TOTAL",ROUND(SUM($D$3:D9),2),IF(A10="","",ROUND(B10*C10,2)))</f>
        <v/>
      </c>
      <c r="E10" s="284">
        <f>IF(OR(itens_Remanesc!A9="",NOT(ISNUMBER(parametros!$F$3))),"",ROUND(itens_Remanesc!C9*parametros!$F$3,2))</f>
        <v/>
      </c>
      <c r="F10" s="285">
        <f>IF(itens_Remanesc!A9="","",itens_Remanesc!E9)</f>
        <v/>
      </c>
      <c r="G10" s="284">
        <f>IF(A10="TOTAL",ROUND(SUM($G$3:G9),2),IF(OR(A10="",E10="",F10=""),"",ROUND(E10*F10,2)))</f>
        <v/>
      </c>
      <c r="H10" s="282">
        <f>IF(OR(itens_Remanesc!A9="",NOT(ISNUMBER(parametros!$F$4))),"",ROUND(itens_Remanesc!C9*parametros!$F$4,2))</f>
        <v/>
      </c>
      <c r="I10" s="283">
        <f>IF(itens_Remanesc!A9="","",itens_Remanesc!G9)</f>
        <v/>
      </c>
      <c r="J10" s="286">
        <f>IF(A10="TOTAL",ROUND(SUM($J$3:J9),2),IF(OR(A10="",H10="",I10=""),"",ROUND(H10*I10,2)))</f>
        <v/>
      </c>
      <c r="K10" s="284">
        <f>IF(OR(itens_Remanesc!A9="",NOT(ISNUMBER(parametros!$F$5))),"",ROUND(itens_Remanesc!C9*parametros!$F$5,2))</f>
        <v/>
      </c>
      <c r="L10" s="285">
        <f>IF(itens_Remanesc!A9="","",itens_Remanesc!I9)</f>
        <v/>
      </c>
      <c r="M10" s="287">
        <f>IF(A10="TOTAL",ROUND(SUM($M$3:M9),2),IF(OR(A10="",K10="",L10=""),"",ROUND(K10*L10,2)))</f>
        <v/>
      </c>
      <c r="N10" s="282">
        <f>IF(OR(itens_Remanesc!A9="",NOT(ISNUMBER(parametros!$F$6))),"",ROUND(itens_Remanesc!C9*parametros!$F$6,2))</f>
        <v/>
      </c>
      <c r="O10" s="283">
        <f>IF(itens_Remanesc!A9="","",itens_Remanesc!K9)</f>
        <v/>
      </c>
      <c r="P10" s="286">
        <f>IF(A10="TOTAL",ROUND(SUM($P$3:P9),2),IF(OR(A10="",N10="",O10=""),"",ROUND(N10*O10,2)))</f>
        <v/>
      </c>
    </row>
    <row r="11">
      <c r="A11" s="281">
        <f>IF(AND(itens_Remanesc!A10="",itens_Remanesc!A9&lt;&gt;"",COUNTIF(itens_Remanesc!A11:$A$200,"&lt;&gt;")=0),"TOTAL",IF(itens_Remanesc!A10="","",itens_Remanesc!A10))</f>
        <v/>
      </c>
      <c r="B11" s="282">
        <f>IF(OR(itens_Remanesc!A10="",NOT(ISNUMBER(parametros!$F$2))),"",ROUND(itens_Remanesc!C10*parametros!$F$2,2))</f>
        <v/>
      </c>
      <c r="C11" s="283">
        <f>IF(itens_Remanesc!A10="","",itens_Remanesc!B10)</f>
        <v/>
      </c>
      <c r="D11" s="282">
        <f>IF(A11="TOTAL",ROUND(SUM($D$3:D10),2),IF(A11="","",ROUND(B11*C11,2)))</f>
        <v/>
      </c>
      <c r="E11" s="284">
        <f>IF(OR(itens_Remanesc!A10="",NOT(ISNUMBER(parametros!$F$3))),"",ROUND(itens_Remanesc!C10*parametros!$F$3,2))</f>
        <v/>
      </c>
      <c r="F11" s="285">
        <f>IF(itens_Remanesc!A10="","",itens_Remanesc!E10)</f>
        <v/>
      </c>
      <c r="G11" s="284">
        <f>IF(A11="TOTAL",ROUND(SUM($G$3:G10),2),IF(OR(A11="",E11="",F11=""),"",ROUND(E11*F11,2)))</f>
        <v/>
      </c>
      <c r="H11" s="282">
        <f>IF(OR(itens_Remanesc!A10="",NOT(ISNUMBER(parametros!$F$4))),"",ROUND(itens_Remanesc!C10*parametros!$F$4,2))</f>
        <v/>
      </c>
      <c r="I11" s="283">
        <f>IF(itens_Remanesc!A10="","",itens_Remanesc!G10)</f>
        <v/>
      </c>
      <c r="J11" s="286">
        <f>IF(A11="TOTAL",ROUND(SUM($J$3:J10),2),IF(OR(A11="",H11="",I11=""),"",ROUND(H11*I11,2)))</f>
        <v/>
      </c>
      <c r="K11" s="284">
        <f>IF(OR(itens_Remanesc!A10="",NOT(ISNUMBER(parametros!$F$5))),"",ROUND(itens_Remanesc!C10*parametros!$F$5,2))</f>
        <v/>
      </c>
      <c r="L11" s="285">
        <f>IF(itens_Remanesc!A10="","",itens_Remanesc!I10)</f>
        <v/>
      </c>
      <c r="M11" s="287">
        <f>IF(A11="TOTAL",ROUND(SUM($M$3:M10),2),IF(OR(A11="",K11="",L11=""),"",ROUND(K11*L11,2)))</f>
        <v/>
      </c>
      <c r="N11" s="282">
        <f>IF(OR(itens_Remanesc!A10="",NOT(ISNUMBER(parametros!$F$6))),"",ROUND(itens_Remanesc!C10*parametros!$F$6,2))</f>
        <v/>
      </c>
      <c r="O11" s="283">
        <f>IF(itens_Remanesc!A10="","",itens_Remanesc!K10)</f>
        <v/>
      </c>
      <c r="P11" s="286">
        <f>IF(A11="TOTAL",ROUND(SUM($P$3:P10),2),IF(OR(A11="",N11="",O11=""),"",ROUND(N11*O11,2)))</f>
        <v/>
      </c>
    </row>
    <row r="12">
      <c r="A12" s="281">
        <f>IF(AND(itens_Remanesc!A11="",itens_Remanesc!A10&lt;&gt;"",COUNTIF(itens_Remanesc!A12:$A$200,"&lt;&gt;")=0),"TOTAL",IF(itens_Remanesc!A11="","",itens_Remanesc!A11))</f>
        <v/>
      </c>
      <c r="B12" s="282">
        <f>IF(OR(itens_Remanesc!A11="",NOT(ISNUMBER(parametros!$F$2))),"",ROUND(itens_Remanesc!C11*parametros!$F$2,2))</f>
        <v/>
      </c>
      <c r="C12" s="283">
        <f>IF(itens_Remanesc!A11="","",itens_Remanesc!B11)</f>
        <v/>
      </c>
      <c r="D12" s="282">
        <f>IF(A12="TOTAL",ROUND(SUM($D$3:D11),2),IF(A12="","",ROUND(B12*C12,2)))</f>
        <v/>
      </c>
      <c r="E12" s="284">
        <f>IF(OR(itens_Remanesc!A11="",NOT(ISNUMBER(parametros!$F$3))),"",ROUND(itens_Remanesc!C11*parametros!$F$3,2))</f>
        <v/>
      </c>
      <c r="F12" s="285">
        <f>IF(itens_Remanesc!A11="","",itens_Remanesc!E11)</f>
        <v/>
      </c>
      <c r="G12" s="284">
        <f>IF(A12="TOTAL",ROUND(SUM($G$3:G11),2),IF(OR(A12="",E12="",F12=""),"",ROUND(E12*F12,2)))</f>
        <v/>
      </c>
      <c r="H12" s="282">
        <f>IF(OR(itens_Remanesc!A11="",NOT(ISNUMBER(parametros!$F$4))),"",ROUND(itens_Remanesc!C11*parametros!$F$4,2))</f>
        <v/>
      </c>
      <c r="I12" s="283">
        <f>IF(itens_Remanesc!A11="","",itens_Remanesc!G11)</f>
        <v/>
      </c>
      <c r="J12" s="286">
        <f>IF(A12="TOTAL",ROUND(SUM($J$3:J11),2),IF(OR(A12="",H12="",I12=""),"",ROUND(H12*I12,2)))</f>
        <v/>
      </c>
      <c r="K12" s="284">
        <f>IF(OR(itens_Remanesc!A11="",NOT(ISNUMBER(parametros!$F$5))),"",ROUND(itens_Remanesc!C11*parametros!$F$5,2))</f>
        <v/>
      </c>
      <c r="L12" s="285">
        <f>IF(itens_Remanesc!A11="","",itens_Remanesc!I11)</f>
        <v/>
      </c>
      <c r="M12" s="284">
        <f>IF(A12="TOTAL",ROUND(SUM($M$3:M11),2),IF(OR(A12="",K12="",L12=""),"",ROUND(K12*L12,2)))</f>
        <v/>
      </c>
      <c r="N12" s="282">
        <f>IF(OR(itens_Remanesc!A11="",NOT(ISNUMBER(parametros!$F$6))),"",ROUND(itens_Remanesc!C11*parametros!$F$6,2))</f>
        <v/>
      </c>
      <c r="O12" s="283">
        <f>IF(itens_Remanesc!A11="","",itens_Remanesc!K11)</f>
        <v/>
      </c>
      <c r="P12" s="286">
        <f>IF(A12="TOTAL",ROUND(SUM($P$3:P11),2),IF(OR(A12="",N12="",O12=""),"",ROUND(N12*O12,2)))</f>
        <v/>
      </c>
    </row>
    <row r="13">
      <c r="A13" s="281">
        <f>IF(AND(itens_Remanesc!A12="",itens_Remanesc!A11&lt;&gt;"",COUNTIF(itens_Remanesc!A13:$A$200,"&lt;&gt;")=0),"TOTAL",IF(itens_Remanesc!A12="","",itens_Remanesc!A12))</f>
        <v/>
      </c>
      <c r="B13" s="282">
        <f>IF(OR(itens_Remanesc!A12="",NOT(ISNUMBER(parametros!$F$2))),"",ROUND(itens_Remanesc!C12*parametros!$F$2,2))</f>
        <v/>
      </c>
      <c r="C13" s="283">
        <f>IF(itens_Remanesc!A12="","",itens_Remanesc!B12)</f>
        <v/>
      </c>
      <c r="D13" s="282">
        <f>IF(A13="TOTAL",ROUND(SUM($D$3:D12),2),IF(A13="","",ROUND(B13*C13,2)))</f>
        <v/>
      </c>
      <c r="E13" s="284">
        <f>IF(OR(itens_Remanesc!A12="",NOT(ISNUMBER(parametros!$F$3))),"",ROUND(itens_Remanesc!C12*parametros!$F$3,2))</f>
        <v/>
      </c>
      <c r="F13" s="285">
        <f>IF(itens_Remanesc!A12="","",itens_Remanesc!E12)</f>
        <v/>
      </c>
      <c r="G13" s="284">
        <f>IF(A13="TOTAL",ROUND(SUM($G$3:G12),2),IF(OR(A13="",E13="",F13=""),"",ROUND(E13*F13,2)))</f>
        <v/>
      </c>
      <c r="H13" s="282">
        <f>IF(OR(itens_Remanesc!A12="",NOT(ISNUMBER(parametros!$F$4))),"",ROUND(itens_Remanesc!C12*parametros!$F$4,2))</f>
        <v/>
      </c>
      <c r="I13" s="283">
        <f>IF(itens_Remanesc!A12="","",itens_Remanesc!G12)</f>
        <v/>
      </c>
      <c r="J13" s="282">
        <f>IF(A13="TOTAL",ROUND(SUM($J$3:J12),2),IF(OR(A13="",H13="",I13=""),"",ROUND(H13*I13,2)))</f>
        <v/>
      </c>
      <c r="K13" s="284">
        <f>IF(OR(itens_Remanesc!A12="",NOT(ISNUMBER(parametros!$F$5))),"",ROUND(itens_Remanesc!C12*parametros!$F$5,2))</f>
        <v/>
      </c>
      <c r="L13" s="285">
        <f>IF(itens_Remanesc!A12="","",itens_Remanesc!I12)</f>
        <v/>
      </c>
      <c r="M13" s="284">
        <f>IF(A13="TOTAL",ROUND(SUM($M$3:M12),2),IF(OR(A13="",K13="",L13=""),"",ROUND(K13*L13,2)))</f>
        <v/>
      </c>
      <c r="N13" s="282">
        <f>IF(OR(itens_Remanesc!A12="",NOT(ISNUMBER(parametros!$F$6))),"",ROUND(itens_Remanesc!C12*parametros!$F$6,2))</f>
        <v/>
      </c>
      <c r="O13" s="283">
        <f>IF(itens_Remanesc!A12="","",itens_Remanesc!K12)</f>
        <v/>
      </c>
      <c r="P13" s="282">
        <f>IF(A13="TOTAL",ROUND(SUM($P$3:P12),2),IF(OR(A13="",N13="",O13=""),"",ROUND(N13*O13,2)))</f>
        <v/>
      </c>
    </row>
    <row r="14">
      <c r="A14" s="281">
        <f>IF(AND(itens_Remanesc!A13="",itens_Remanesc!A12&lt;&gt;"",COUNTIF(itens_Remanesc!A14:$A$200,"&lt;&gt;")=0),"TOTAL",IF(itens_Remanesc!A13="","",itens_Remanesc!A13))</f>
        <v/>
      </c>
      <c r="B14" s="282">
        <f>IF(OR(itens_Remanesc!A13="",NOT(ISNUMBER(parametros!$F$2))),"",ROUND(itens_Remanesc!C13*parametros!$F$2,2))</f>
        <v/>
      </c>
      <c r="C14" s="283">
        <f>IF(itens_Remanesc!A13="","",itens_Remanesc!B13)</f>
        <v/>
      </c>
      <c r="D14" s="282">
        <f>IF(A14="TOTAL",ROUND(SUM($D$3:D13),2),IF(A14="","",ROUND(B14*C14,2)))</f>
        <v/>
      </c>
      <c r="E14" s="284">
        <f>IF(OR(itens_Remanesc!A13="",NOT(ISNUMBER(parametros!$F$3))),"",ROUND(itens_Remanesc!C13*parametros!$F$3,2))</f>
        <v/>
      </c>
      <c r="F14" s="285">
        <f>IF(itens_Remanesc!A13="","",itens_Remanesc!E13)</f>
        <v/>
      </c>
      <c r="G14" s="284">
        <f>IF(A14="TOTAL",ROUND(SUM($G$3:G13),2),IF(OR(A14="",E14="",F14=""),"",ROUND(E14*F14,2)))</f>
        <v/>
      </c>
      <c r="H14" s="282">
        <f>IF(OR(itens_Remanesc!A13="",NOT(ISNUMBER(parametros!$F$4))),"",ROUND(itens_Remanesc!C13*parametros!$F$4,2))</f>
        <v/>
      </c>
      <c r="I14" s="283">
        <f>IF(itens_Remanesc!A13="","",itens_Remanesc!G13)</f>
        <v/>
      </c>
      <c r="J14" s="282">
        <f>IF(A14="TOTAL",ROUND(SUM($J$3:J13),2),IF(OR(A14="",H14="",I14=""),"",ROUND(H14*I14,2)))</f>
        <v/>
      </c>
      <c r="K14" s="284">
        <f>IF(OR(itens_Remanesc!A13="",NOT(ISNUMBER(parametros!$F$5))),"",ROUND(itens_Remanesc!C13*parametros!$F$5,2))</f>
        <v/>
      </c>
      <c r="L14" s="285">
        <f>IF(itens_Remanesc!A13="","",itens_Remanesc!I13)</f>
        <v/>
      </c>
      <c r="M14" s="284">
        <f>IF(A14="TOTAL",ROUND(SUM($M$3:M13),2),IF(OR(A14="",K14="",L14=""),"",ROUND(K14*L14,2)))</f>
        <v/>
      </c>
      <c r="N14" s="282">
        <f>IF(OR(itens_Remanesc!A13="",NOT(ISNUMBER(parametros!$F$6))),"",ROUND(itens_Remanesc!C13*parametros!$F$6,2))</f>
        <v/>
      </c>
      <c r="O14" s="283">
        <f>IF(itens_Remanesc!A13="","",itens_Remanesc!K13)</f>
        <v/>
      </c>
      <c r="P14" s="282">
        <f>IF(A14="TOTAL",ROUND(SUM($P$3:P13),2),IF(OR(A14="",N14="",O14=""),"",ROUND(N14*O14,2)))</f>
        <v/>
      </c>
    </row>
    <row r="15">
      <c r="A15" s="281">
        <f>IF(AND(itens_Remanesc!A14="",itens_Remanesc!A13&lt;&gt;"",COUNTIF(itens_Remanesc!A15:$A$200,"&lt;&gt;")=0),"TOTAL",IF(itens_Remanesc!A14="","",itens_Remanesc!A14))</f>
        <v/>
      </c>
      <c r="B15" s="282">
        <f>IF(OR(itens_Remanesc!A14="",NOT(ISNUMBER(parametros!$F$2))),"",ROUND(itens_Remanesc!C14*parametros!$F$2,2))</f>
        <v/>
      </c>
      <c r="C15" s="283">
        <f>IF(itens_Remanesc!A14="","",itens_Remanesc!B14)</f>
        <v/>
      </c>
      <c r="D15" s="282">
        <f>IF(A15="TOTAL",ROUND(SUM($D$3:D14),2),IF(A15="","",ROUND(B15*C15,2)))</f>
        <v/>
      </c>
      <c r="E15" s="284">
        <f>IF(OR(itens_Remanesc!A14="",NOT(ISNUMBER(parametros!$F$3))),"",ROUND(itens_Remanesc!C14*parametros!$F$3,2))</f>
        <v/>
      </c>
      <c r="F15" s="285">
        <f>IF(itens_Remanesc!A14="","",itens_Remanesc!E14)</f>
        <v/>
      </c>
      <c r="G15" s="284">
        <f>IF(A15="TOTAL",ROUND(SUM($G$3:G14),2),IF(OR(A15="",E15="",F15=""),"",ROUND(E15*F15,2)))</f>
        <v/>
      </c>
      <c r="H15" s="282">
        <f>IF(OR(itens_Remanesc!A14="",NOT(ISNUMBER(parametros!$F$4))),"",ROUND(itens_Remanesc!C14*parametros!$F$4,2))</f>
        <v/>
      </c>
      <c r="I15" s="283">
        <f>IF(itens_Remanesc!A14="","",itens_Remanesc!G14)</f>
        <v/>
      </c>
      <c r="J15" s="282">
        <f>IF(A15="TOTAL",ROUND(SUM($J$3:J14),2),IF(OR(A15="",H15="",I15=""),"",ROUND(H15*I15,2)))</f>
        <v/>
      </c>
      <c r="K15" s="284">
        <f>IF(OR(itens_Remanesc!A14="",NOT(ISNUMBER(parametros!$F$5))),"",ROUND(itens_Remanesc!C14*parametros!$F$5,2))</f>
        <v/>
      </c>
      <c r="L15" s="285">
        <f>IF(itens_Remanesc!A14="","",itens_Remanesc!I14)</f>
        <v/>
      </c>
      <c r="M15" s="284">
        <f>IF(A15="TOTAL",ROUND(SUM($M$3:M14),2),IF(OR(A15="",K15="",L15=""),"",ROUND(K15*L15,2)))</f>
        <v/>
      </c>
      <c r="N15" s="282">
        <f>IF(OR(itens_Remanesc!A14="",NOT(ISNUMBER(parametros!$F$6))),"",ROUND(itens_Remanesc!C14*parametros!$F$6,2))</f>
        <v/>
      </c>
      <c r="O15" s="283">
        <f>IF(itens_Remanesc!A14="","",itens_Remanesc!K14)</f>
        <v/>
      </c>
      <c r="P15" s="282">
        <f>IF(A15="TOTAL",ROUND(SUM($P$3:P14),2),IF(OR(A15="",N15="",O15=""),"",ROUND(N15*O15,2)))</f>
        <v/>
      </c>
    </row>
    <row r="16">
      <c r="A16" s="281">
        <f>IF(AND(itens_Remanesc!A15="",itens_Remanesc!A14&lt;&gt;"",COUNTIF(itens_Remanesc!A16:$A$200,"&lt;&gt;")=0),"TOTAL",IF(itens_Remanesc!A15="","",itens_Remanesc!A15))</f>
        <v/>
      </c>
      <c r="B16" s="282">
        <f>IF(OR(itens_Remanesc!A15="",NOT(ISNUMBER(parametros!$F$2))),"",ROUND(itens_Remanesc!C15*parametros!$F$2,2))</f>
        <v/>
      </c>
      <c r="C16" s="283">
        <f>IF(itens_Remanesc!A15="","",itens_Remanesc!B15)</f>
        <v/>
      </c>
      <c r="D16" s="282">
        <f>IF(A16="TOTAL",ROUND(SUM($D$3:D15),2),IF(A16="","",ROUND(B16*C16,2)))</f>
        <v/>
      </c>
      <c r="E16" s="284">
        <f>IF(OR(itens_Remanesc!A15="",NOT(ISNUMBER(parametros!$F$3))),"",ROUND(itens_Remanesc!C15*parametros!$F$3,2))</f>
        <v/>
      </c>
      <c r="F16" s="285">
        <f>IF(itens_Remanesc!A15="","",itens_Remanesc!E15)</f>
        <v/>
      </c>
      <c r="G16" s="284">
        <f>IF(A16="TOTAL",ROUND(SUM($G$3:G15),2),IF(OR(A16="",E16="",F16=""),"",ROUND(E16*F16,2)))</f>
        <v/>
      </c>
      <c r="H16" s="282">
        <f>IF(OR(itens_Remanesc!A15="",NOT(ISNUMBER(parametros!$F$4))),"",ROUND(itens_Remanesc!C15*parametros!$F$4,2))</f>
        <v/>
      </c>
      <c r="I16" s="283">
        <f>IF(itens_Remanesc!A15="","",itens_Remanesc!G15)</f>
        <v/>
      </c>
      <c r="J16" s="282">
        <f>IF(A16="TOTAL",ROUND(SUM($J$3:J15),2),IF(OR(A16="",H16="",I16=""),"",ROUND(H16*I16,2)))</f>
        <v/>
      </c>
      <c r="K16" s="284">
        <f>IF(OR(itens_Remanesc!A15="",NOT(ISNUMBER(parametros!$F$5))),"",ROUND(itens_Remanesc!C15*parametros!$F$5,2))</f>
        <v/>
      </c>
      <c r="L16" s="285">
        <f>IF(itens_Remanesc!A15="","",itens_Remanesc!I15)</f>
        <v/>
      </c>
      <c r="M16" s="284">
        <f>IF(A16="TOTAL",ROUND(SUM($M$3:M15),2),IF(OR(A16="",K16="",L16=""),"",ROUND(K16*L16,2)))</f>
        <v/>
      </c>
      <c r="N16" s="282">
        <f>IF(OR(itens_Remanesc!A15="",NOT(ISNUMBER(parametros!$F$6))),"",ROUND(itens_Remanesc!C15*parametros!$F$6,2))</f>
        <v/>
      </c>
      <c r="O16" s="283">
        <f>IF(itens_Remanesc!A15="","",itens_Remanesc!K15)</f>
        <v/>
      </c>
      <c r="P16" s="282">
        <f>IF(A16="TOTAL",ROUND(SUM($P$3:P15),2),IF(OR(A16="",N16="",O16=""),"",ROUND(N16*O16,2)))</f>
        <v/>
      </c>
    </row>
    <row r="17">
      <c r="A17" s="281">
        <f>IF(AND(itens_Remanesc!A16="",itens_Remanesc!A15&lt;&gt;"",COUNTIF(itens_Remanesc!A17:$A$200,"&lt;&gt;")=0),"TOTAL",IF(itens_Remanesc!A16="","",itens_Remanesc!A16))</f>
        <v/>
      </c>
      <c r="B17" s="282">
        <f>IF(OR(itens_Remanesc!A16="",NOT(ISNUMBER(parametros!$F$2))),"",ROUND(itens_Remanesc!C16*parametros!$F$2,2))</f>
        <v/>
      </c>
      <c r="C17" s="283">
        <f>IF(itens_Remanesc!A16="","",itens_Remanesc!B16)</f>
        <v/>
      </c>
      <c r="D17" s="282">
        <f>IF(A17="TOTAL",ROUND(SUM($D$3:D16),2),IF(A17="","",ROUND(B17*C17,2)))</f>
        <v/>
      </c>
      <c r="E17" s="284">
        <f>IF(OR(itens_Remanesc!A16="",NOT(ISNUMBER(parametros!$F$3))),"",ROUND(itens_Remanesc!C16*parametros!$F$3,2))</f>
        <v/>
      </c>
      <c r="F17" s="285">
        <f>IF(itens_Remanesc!A16="","",itens_Remanesc!E16)</f>
        <v/>
      </c>
      <c r="G17" s="284">
        <f>IF(A17="TOTAL",ROUND(SUM($G$3:G16),2),IF(OR(A17="",E17="",F17=""),"",ROUND(E17*F17,2)))</f>
        <v/>
      </c>
      <c r="H17" s="282">
        <f>IF(OR(itens_Remanesc!A16="",NOT(ISNUMBER(parametros!$F$4))),"",ROUND(itens_Remanesc!C16*parametros!$F$4,2))</f>
        <v/>
      </c>
      <c r="I17" s="283">
        <f>IF(itens_Remanesc!A16="","",itens_Remanesc!G16)</f>
        <v/>
      </c>
      <c r="J17" s="282">
        <f>IF(A17="TOTAL",ROUND(SUM($J$3:J16),2),IF(OR(A17="",H17="",I17=""),"",ROUND(H17*I17,2)))</f>
        <v/>
      </c>
      <c r="K17" s="284">
        <f>IF(OR(itens_Remanesc!A16="",NOT(ISNUMBER(parametros!$F$5))),"",ROUND(itens_Remanesc!C16*parametros!$F$5,2))</f>
        <v/>
      </c>
      <c r="L17" s="285">
        <f>IF(itens_Remanesc!A16="","",itens_Remanesc!I16)</f>
        <v/>
      </c>
      <c r="M17" s="284">
        <f>IF(A17="TOTAL",ROUND(SUM($M$3:M16),2),IF(OR(A17="",K17="",L17=""),"",ROUND(K17*L17,2)))</f>
        <v/>
      </c>
      <c r="N17" s="282">
        <f>IF(OR(itens_Remanesc!A16="",NOT(ISNUMBER(parametros!$F$6))),"",ROUND(itens_Remanesc!C16*parametros!$F$6,2))</f>
        <v/>
      </c>
      <c r="O17" s="283">
        <f>IF(itens_Remanesc!A16="","",itens_Remanesc!K16)</f>
        <v/>
      </c>
      <c r="P17" s="282">
        <f>IF(A17="TOTAL",ROUND(SUM($P$3:P16),2),IF(OR(A17="",N17="",O17=""),"",ROUND(N17*O17,2)))</f>
        <v/>
      </c>
    </row>
    <row r="18">
      <c r="A18" s="281">
        <f>IF(AND(itens_Remanesc!A17="",itens_Remanesc!A16&lt;&gt;"",COUNTIF(itens_Remanesc!A18:$A$200,"&lt;&gt;")=0),"TOTAL",IF(itens_Remanesc!A17="","",itens_Remanesc!A17))</f>
        <v/>
      </c>
      <c r="B18" s="282">
        <f>IF(OR(itens_Remanesc!A17="",NOT(ISNUMBER(parametros!$F$2))),"",ROUND(itens_Remanesc!C17*parametros!$F$2,2))</f>
        <v/>
      </c>
      <c r="C18" s="283">
        <f>IF(itens_Remanesc!A17="","",itens_Remanesc!B17)</f>
        <v/>
      </c>
      <c r="D18" s="282">
        <f>IF(A18="TOTAL",ROUND(SUM($D$3:D17),2),IF(A18="","",ROUND(B18*C18,2)))</f>
        <v/>
      </c>
      <c r="E18" s="284">
        <f>IF(OR(itens_Remanesc!A17="",NOT(ISNUMBER(parametros!$F$3))),"",ROUND(itens_Remanesc!C17*parametros!$F$3,2))</f>
        <v/>
      </c>
      <c r="F18" s="285">
        <f>IF(itens_Remanesc!A17="","",itens_Remanesc!E17)</f>
        <v/>
      </c>
      <c r="G18" s="284">
        <f>IF(A18="TOTAL",ROUND(SUM($G$3:G17),2),IF(OR(A18="",E18="",F18=""),"",ROUND(E18*F18,2)))</f>
        <v/>
      </c>
      <c r="H18" s="282">
        <f>IF(OR(itens_Remanesc!A17="",NOT(ISNUMBER(parametros!$F$4))),"",ROUND(itens_Remanesc!C17*parametros!$F$4,2))</f>
        <v/>
      </c>
      <c r="I18" s="283">
        <f>IF(itens_Remanesc!A17="","",itens_Remanesc!G17)</f>
        <v/>
      </c>
      <c r="J18" s="282">
        <f>IF(A18="TOTAL",ROUND(SUM($J$3:J17),2),IF(OR(A18="",H18="",I18=""),"",ROUND(H18*I18,2)))</f>
        <v/>
      </c>
      <c r="K18" s="284">
        <f>IF(OR(itens_Remanesc!A17="",NOT(ISNUMBER(parametros!$F$5))),"",ROUND(itens_Remanesc!C17*parametros!$F$5,2))</f>
        <v/>
      </c>
      <c r="L18" s="285">
        <f>IF(itens_Remanesc!A17="","",itens_Remanesc!I17)</f>
        <v/>
      </c>
      <c r="M18" s="284">
        <f>IF(A18="TOTAL",ROUND(SUM($M$3:M17),2),IF(OR(A18="",K18="",L18=""),"",ROUND(K18*L18,2)))</f>
        <v/>
      </c>
      <c r="N18" s="282">
        <f>IF(OR(itens_Remanesc!A17="",NOT(ISNUMBER(parametros!$F$6))),"",ROUND(itens_Remanesc!C17*parametros!$F$6,2))</f>
        <v/>
      </c>
      <c r="O18" s="283">
        <f>IF(itens_Remanesc!A17="","",itens_Remanesc!K17)</f>
        <v/>
      </c>
      <c r="P18" s="282">
        <f>IF(A18="TOTAL",ROUND(SUM($P$3:P17),2),IF(OR(A18="",N18="",O18=""),"",ROUND(N18*O18,2)))</f>
        <v/>
      </c>
    </row>
    <row r="19">
      <c r="A19" s="281">
        <f>IF(AND(itens_Remanesc!A18="",itens_Remanesc!A17&lt;&gt;"",COUNTIF(itens_Remanesc!A19:$A$200,"&lt;&gt;")=0),"TOTAL",IF(itens_Remanesc!A18="","",itens_Remanesc!A18))</f>
        <v/>
      </c>
      <c r="B19" s="282">
        <f>IF(OR(itens_Remanesc!A18="",NOT(ISNUMBER(parametros!$F$2))),"",ROUND(itens_Remanesc!C18*parametros!$F$2,2))</f>
        <v/>
      </c>
      <c r="C19" s="283">
        <f>IF(itens_Remanesc!A18="","",itens_Remanesc!B18)</f>
        <v/>
      </c>
      <c r="D19" s="282">
        <f>IF(A19="TOTAL",ROUND(SUM($D$3:D18),2),IF(A19="","",ROUND(B19*C19,2)))</f>
        <v/>
      </c>
      <c r="E19" s="284">
        <f>IF(OR(itens_Remanesc!A18="",NOT(ISNUMBER(parametros!$F$3))),"",ROUND(itens_Remanesc!C18*parametros!$F$3,2))</f>
        <v/>
      </c>
      <c r="F19" s="285">
        <f>IF(itens_Remanesc!A18="","",itens_Remanesc!E18)</f>
        <v/>
      </c>
      <c r="G19" s="284">
        <f>IF(A19="TOTAL",ROUND(SUM($G$3:G18),2),IF(OR(A19="",E19="",F19=""),"",ROUND(E19*F19,2)))</f>
        <v/>
      </c>
      <c r="H19" s="282">
        <f>IF(OR(itens_Remanesc!A18="",NOT(ISNUMBER(parametros!$F$4))),"",ROUND(itens_Remanesc!C18*parametros!$F$4,2))</f>
        <v/>
      </c>
      <c r="I19" s="283">
        <f>IF(itens_Remanesc!A18="","",itens_Remanesc!G18)</f>
        <v/>
      </c>
      <c r="J19" s="282">
        <f>IF(A19="TOTAL",ROUND(SUM($J$3:J18),2),IF(OR(A19="",H19="",I19=""),"",ROUND(H19*I19,2)))</f>
        <v/>
      </c>
      <c r="K19" s="284">
        <f>IF(OR(itens_Remanesc!A18="",NOT(ISNUMBER(parametros!$F$5))),"",ROUND(itens_Remanesc!C18*parametros!$F$5,2))</f>
        <v/>
      </c>
      <c r="L19" s="285">
        <f>IF(itens_Remanesc!A18="","",itens_Remanesc!I18)</f>
        <v/>
      </c>
      <c r="M19" s="284">
        <f>IF(A19="TOTAL",ROUND(SUM($M$3:M18),2),IF(OR(A19="",K19="",L19=""),"",ROUND(K19*L19,2)))</f>
        <v/>
      </c>
      <c r="N19" s="282">
        <f>IF(OR(itens_Remanesc!A18="",NOT(ISNUMBER(parametros!$F$6))),"",ROUND(itens_Remanesc!C18*parametros!$F$6,2))</f>
        <v/>
      </c>
      <c r="O19" s="283">
        <f>IF(itens_Remanesc!A18="","",itens_Remanesc!K18)</f>
        <v/>
      </c>
      <c r="P19" s="282">
        <f>IF(A19="TOTAL",ROUND(SUM($P$3:P18),2),IF(OR(A19="",N19="",O19=""),"",ROUND(N19*O19,2)))</f>
        <v/>
      </c>
    </row>
    <row r="20">
      <c r="A20" s="281">
        <f>IF(AND(itens_Remanesc!A19="",itens_Remanesc!A18&lt;&gt;"",COUNTIF(itens_Remanesc!A20:$A$200,"&lt;&gt;")=0),"TOTAL",IF(itens_Remanesc!A19="","",itens_Remanesc!A19))</f>
        <v/>
      </c>
      <c r="B20" s="282">
        <f>IF(OR(itens_Remanesc!A19="",NOT(ISNUMBER(parametros!$F$2))),"",ROUND(itens_Remanesc!C19*parametros!$F$2,2))</f>
        <v/>
      </c>
      <c r="C20" s="283">
        <f>IF(itens_Remanesc!A19="","",itens_Remanesc!B19)</f>
        <v/>
      </c>
      <c r="D20" s="282">
        <f>IF(A20="TOTAL",ROUND(SUM($D$3:D19),2),IF(A20="","",ROUND(B20*C20,2)))</f>
        <v/>
      </c>
      <c r="E20" s="284">
        <f>IF(OR(itens_Remanesc!A19="",NOT(ISNUMBER(parametros!$F$3))),"",ROUND(itens_Remanesc!C19*parametros!$F$3,2))</f>
        <v/>
      </c>
      <c r="F20" s="285">
        <f>IF(itens_Remanesc!A19="","",itens_Remanesc!E19)</f>
        <v/>
      </c>
      <c r="G20" s="284">
        <f>IF(A20="TOTAL",ROUND(SUM($G$3:G19),2),IF(OR(A20="",E20="",F20=""),"",ROUND(E20*F20,2)))</f>
        <v/>
      </c>
      <c r="H20" s="282">
        <f>IF(OR(itens_Remanesc!A19="",NOT(ISNUMBER(parametros!$F$4))),"",ROUND(itens_Remanesc!C19*parametros!$F$4,2))</f>
        <v/>
      </c>
      <c r="I20" s="283">
        <f>IF(itens_Remanesc!A19="","",itens_Remanesc!G19)</f>
        <v/>
      </c>
      <c r="J20" s="282">
        <f>IF(A20="TOTAL",ROUND(SUM($J$3:J19),2),IF(OR(A20="",H20="",I20=""),"",ROUND(H20*I20,2)))</f>
        <v/>
      </c>
      <c r="K20" s="284">
        <f>IF(OR(itens_Remanesc!A19="",NOT(ISNUMBER(parametros!$F$5))),"",ROUND(itens_Remanesc!C19*parametros!$F$5,2))</f>
        <v/>
      </c>
      <c r="L20" s="285">
        <f>IF(itens_Remanesc!A19="","",itens_Remanesc!I19)</f>
        <v/>
      </c>
      <c r="M20" s="284">
        <f>IF(A20="TOTAL",ROUND(SUM($M$3:M19),2),IF(OR(A20="",K20="",L20=""),"",ROUND(K20*L20,2)))</f>
        <v/>
      </c>
      <c r="N20" s="282">
        <f>IF(OR(itens_Remanesc!A19="",NOT(ISNUMBER(parametros!$F$6))),"",ROUND(itens_Remanesc!C19*parametros!$F$6,2))</f>
        <v/>
      </c>
      <c r="O20" s="283">
        <f>IF(itens_Remanesc!A19="","",itens_Remanesc!K19)</f>
        <v/>
      </c>
      <c r="P20" s="282">
        <f>IF(A20="TOTAL",ROUND(SUM($P$3:P19),2),IF(OR(A20="",N20="",O20=""),"",ROUND(N20*O20,2)))</f>
        <v/>
      </c>
    </row>
    <row r="21">
      <c r="A21" s="281">
        <f>IF(AND(itens_Remanesc!A20="",itens_Remanesc!A19&lt;&gt;"",COUNTIF(itens_Remanesc!A21:$A$200,"&lt;&gt;")=0),"TOTAL",IF(itens_Remanesc!A20="","",itens_Remanesc!A20))</f>
        <v/>
      </c>
      <c r="B21" s="282">
        <f>IF(OR(itens_Remanesc!A20="",NOT(ISNUMBER(parametros!$F$2))),"",ROUND(itens_Remanesc!C20*parametros!$F$2,2))</f>
        <v/>
      </c>
      <c r="C21" s="283">
        <f>IF(itens_Remanesc!A20="","",itens_Remanesc!B20)</f>
        <v/>
      </c>
      <c r="D21" s="282">
        <f>IF(A21="TOTAL",ROUND(SUM($D$3:D20),2),IF(A21="","",ROUND(B21*C21,2)))</f>
        <v/>
      </c>
      <c r="E21" s="284">
        <f>IF(OR(itens_Remanesc!A20="",NOT(ISNUMBER(parametros!$F$3))),"",ROUND(itens_Remanesc!C20*parametros!$F$3,2))</f>
        <v/>
      </c>
      <c r="F21" s="285">
        <f>IF(itens_Remanesc!A20="","",itens_Remanesc!E20)</f>
        <v/>
      </c>
      <c r="G21" s="284">
        <f>IF(A21="TOTAL",ROUND(SUM($G$3:G20),2),IF(OR(A21="",E21="",F21=""),"",ROUND(E21*F21,2)))</f>
        <v/>
      </c>
      <c r="H21" s="282">
        <f>IF(OR(itens_Remanesc!A20="",NOT(ISNUMBER(parametros!$F$4))),"",ROUND(itens_Remanesc!C20*parametros!$F$4,2))</f>
        <v/>
      </c>
      <c r="I21" s="283">
        <f>IF(itens_Remanesc!A20="","",itens_Remanesc!G20)</f>
        <v/>
      </c>
      <c r="J21" s="282">
        <f>IF(A21="TOTAL",ROUND(SUM($J$3:J20),2),IF(OR(A21="",H21="",I21=""),"",ROUND(H21*I21,2)))</f>
        <v/>
      </c>
      <c r="K21" s="284">
        <f>IF(OR(itens_Remanesc!A20="",NOT(ISNUMBER(parametros!$F$5))),"",ROUND(itens_Remanesc!C20*parametros!$F$5,2))</f>
        <v/>
      </c>
      <c r="L21" s="285">
        <f>IF(itens_Remanesc!A20="","",itens_Remanesc!I20)</f>
        <v/>
      </c>
      <c r="M21" s="284">
        <f>IF(A21="TOTAL",ROUND(SUM($M$3:M20),2),IF(OR(A21="",K21="",L21=""),"",ROUND(K21*L21,2)))</f>
        <v/>
      </c>
      <c r="N21" s="282">
        <f>IF(OR(itens_Remanesc!A20="",NOT(ISNUMBER(parametros!$F$6))),"",ROUND(itens_Remanesc!C20*parametros!$F$6,2))</f>
        <v/>
      </c>
      <c r="O21" s="283">
        <f>IF(itens_Remanesc!A20="","",itens_Remanesc!K20)</f>
        <v/>
      </c>
      <c r="P21" s="282">
        <f>IF(A21="TOTAL",ROUND(SUM($P$3:P20),2),IF(OR(A21="",N21="",O21=""),"",ROUND(N21*O21,2)))</f>
        <v/>
      </c>
    </row>
    <row r="22">
      <c r="A22" s="281">
        <f>IF(AND(itens_Remanesc!A21="",itens_Remanesc!A20&lt;&gt;"",COUNTIF(itens_Remanesc!A22:$A$200,"&lt;&gt;")=0),"TOTAL",IF(itens_Remanesc!A21="","",itens_Remanesc!A21))</f>
        <v/>
      </c>
      <c r="B22" s="282">
        <f>IF(OR(itens_Remanesc!A21="",NOT(ISNUMBER(parametros!$F$2))),"",ROUND(itens_Remanesc!C21*parametros!$F$2,2))</f>
        <v/>
      </c>
      <c r="C22" s="283">
        <f>IF(itens_Remanesc!A21="","",itens_Remanesc!B21)</f>
        <v/>
      </c>
      <c r="D22" s="282">
        <f>IF(A22="TOTAL",ROUND(SUM($D$3:D21),2),IF(A22="","",ROUND(B22*C22,2)))</f>
        <v/>
      </c>
      <c r="E22" s="284">
        <f>IF(OR(itens_Remanesc!A21="",NOT(ISNUMBER(parametros!$F$3))),"",ROUND(itens_Remanesc!C21*parametros!$F$3,2))</f>
        <v/>
      </c>
      <c r="F22" s="285">
        <f>IF(itens_Remanesc!A21="","",itens_Remanesc!E21)</f>
        <v/>
      </c>
      <c r="G22" s="284">
        <f>IF(A22="TOTAL",ROUND(SUM($G$3:G21),2),IF(OR(A22="",E22="",F22=""),"",ROUND(E22*F22,2)))</f>
        <v/>
      </c>
      <c r="H22" s="282">
        <f>IF(OR(itens_Remanesc!A21="",NOT(ISNUMBER(parametros!$F$4))),"",ROUND(itens_Remanesc!C21*parametros!$F$4,2))</f>
        <v/>
      </c>
      <c r="I22" s="283">
        <f>IF(itens_Remanesc!A21="","",itens_Remanesc!G21)</f>
        <v/>
      </c>
      <c r="J22" s="282">
        <f>IF(A22="TOTAL",ROUND(SUM($J$3:J21),2),IF(OR(A22="",H22="",I22=""),"",ROUND(H22*I22,2)))</f>
        <v/>
      </c>
      <c r="K22" s="284">
        <f>IF(OR(itens_Remanesc!A21="",NOT(ISNUMBER(parametros!$F$5))),"",ROUND(itens_Remanesc!C21*parametros!$F$5,2))</f>
        <v/>
      </c>
      <c r="L22" s="285">
        <f>IF(itens_Remanesc!A21="","",itens_Remanesc!I21)</f>
        <v/>
      </c>
      <c r="M22" s="284">
        <f>IF(A22="TOTAL",ROUND(SUM($M$3:M21),2),IF(OR(A22="",K22="",L22=""),"",ROUND(K22*L22,2)))</f>
        <v/>
      </c>
      <c r="N22" s="282">
        <f>IF(OR(itens_Remanesc!A21="",NOT(ISNUMBER(parametros!$F$6))),"",ROUND(itens_Remanesc!C21*parametros!$F$6,2))</f>
        <v/>
      </c>
      <c r="O22" s="283">
        <f>IF(itens_Remanesc!A21="","",itens_Remanesc!K21)</f>
        <v/>
      </c>
      <c r="P22" s="282">
        <f>IF(A22="TOTAL",ROUND(SUM($P$3:P21),2),IF(OR(A22="",N22="",O22=""),"",ROUND(N22*O22,2)))</f>
        <v/>
      </c>
    </row>
    <row r="23">
      <c r="A23" s="281">
        <f>IF(AND(itens_Remanesc!A22="",itens_Remanesc!A21&lt;&gt;"",COUNTIF(itens_Remanesc!A23:$A$200,"&lt;&gt;")=0),"TOTAL",IF(itens_Remanesc!A22="","",itens_Remanesc!A22))</f>
        <v/>
      </c>
      <c r="B23" s="282">
        <f>IF(OR(itens_Remanesc!A22="",NOT(ISNUMBER(parametros!$F$2))),"",ROUND(itens_Remanesc!C22*parametros!$F$2,2))</f>
        <v/>
      </c>
      <c r="C23" s="283">
        <f>IF(itens_Remanesc!A22="","",itens_Remanesc!B22)</f>
        <v/>
      </c>
      <c r="D23" s="282">
        <f>IF(A23="TOTAL",ROUND(SUM($D$3:D22),2),IF(A23="","",ROUND(B23*C23,2)))</f>
        <v/>
      </c>
      <c r="E23" s="284">
        <f>IF(OR(itens_Remanesc!A22="",NOT(ISNUMBER(parametros!$F$3))),"",ROUND(itens_Remanesc!C22*parametros!$F$3,2))</f>
        <v/>
      </c>
      <c r="F23" s="285">
        <f>IF(itens_Remanesc!A22="","",itens_Remanesc!E22)</f>
        <v/>
      </c>
      <c r="G23" s="284">
        <f>IF(A23="TOTAL",ROUND(SUM($G$3:G22),2),IF(OR(A23="",E23="",F23=""),"",ROUND(E23*F23,2)))</f>
        <v/>
      </c>
      <c r="H23" s="282">
        <f>IF(OR(itens_Remanesc!A22="",NOT(ISNUMBER(parametros!$F$4))),"",ROUND(itens_Remanesc!C22*parametros!$F$4,2))</f>
        <v/>
      </c>
      <c r="I23" s="283">
        <f>IF(itens_Remanesc!A22="","",itens_Remanesc!G22)</f>
        <v/>
      </c>
      <c r="J23" s="282">
        <f>IF(A23="TOTAL",ROUND(SUM($J$3:J22),2),IF(OR(A23="",H23="",I23=""),"",ROUND(H23*I23,2)))</f>
        <v/>
      </c>
      <c r="K23" s="284">
        <f>IF(OR(itens_Remanesc!A22="",NOT(ISNUMBER(parametros!$F$5))),"",ROUND(itens_Remanesc!C22*parametros!$F$5,2))</f>
        <v/>
      </c>
      <c r="L23" s="285">
        <f>IF(itens_Remanesc!A22="","",itens_Remanesc!I22)</f>
        <v/>
      </c>
      <c r="M23" s="284">
        <f>IF(A23="TOTAL",ROUND(SUM($M$3:M22),2),IF(OR(A23="",K23="",L23=""),"",ROUND(K23*L23,2)))</f>
        <v/>
      </c>
      <c r="N23" s="282">
        <f>IF(OR(itens_Remanesc!A22="",NOT(ISNUMBER(parametros!$F$6))),"",ROUND(itens_Remanesc!C22*parametros!$F$6,2))</f>
        <v/>
      </c>
      <c r="O23" s="283">
        <f>IF(itens_Remanesc!A22="","",itens_Remanesc!K22)</f>
        <v/>
      </c>
      <c r="P23" s="282">
        <f>IF(A23="TOTAL",ROUND(SUM($P$3:P22),2),IF(OR(A23="",N23="",O23=""),"",ROUND(N23*O23,2)))</f>
        <v/>
      </c>
    </row>
    <row r="24">
      <c r="A24" s="281">
        <f>IF(AND(itens_Remanesc!A23="",itens_Remanesc!A22&lt;&gt;"",COUNTIF(itens_Remanesc!A24:$A$200,"&lt;&gt;")=0),"TOTAL",IF(itens_Remanesc!A23="","",itens_Remanesc!A23))</f>
        <v/>
      </c>
      <c r="B24" s="282">
        <f>IF(OR(itens_Remanesc!A23="",NOT(ISNUMBER(parametros!$F$2))),"",ROUND(itens_Remanesc!C23*parametros!$F$2,2))</f>
        <v/>
      </c>
      <c r="C24" s="283">
        <f>IF(itens_Remanesc!A23="","",itens_Remanesc!B23)</f>
        <v/>
      </c>
      <c r="D24" s="282">
        <f>IF(A24="TOTAL",ROUND(SUM($D$3:D23),2),IF(A24="","",ROUND(B24*C24,2)))</f>
        <v/>
      </c>
      <c r="E24" s="284">
        <f>IF(OR(itens_Remanesc!A23="",NOT(ISNUMBER(parametros!$F$3))),"",ROUND(itens_Remanesc!C23*parametros!$F$3,2))</f>
        <v/>
      </c>
      <c r="F24" s="285">
        <f>IF(itens_Remanesc!A23="","",itens_Remanesc!E23)</f>
        <v/>
      </c>
      <c r="G24" s="284">
        <f>IF(A24="TOTAL",ROUND(SUM($G$3:G23),2),IF(OR(A24="",E24="",F24=""),"",ROUND(E24*F24,2)))</f>
        <v/>
      </c>
      <c r="H24" s="282">
        <f>IF(OR(itens_Remanesc!A23="",NOT(ISNUMBER(parametros!$F$4))),"",ROUND(itens_Remanesc!C23*parametros!$F$4,2))</f>
        <v/>
      </c>
      <c r="I24" s="283">
        <f>IF(itens_Remanesc!A23="","",itens_Remanesc!G23)</f>
        <v/>
      </c>
      <c r="J24" s="282">
        <f>IF(A24="TOTAL",ROUND(SUM($J$3:J23),2),IF(OR(A24="",H24="",I24=""),"",ROUND(H24*I24,2)))</f>
        <v/>
      </c>
      <c r="K24" s="284">
        <f>IF(OR(itens_Remanesc!A23="",NOT(ISNUMBER(parametros!$F$5))),"",ROUND(itens_Remanesc!C23*parametros!$F$5,2))</f>
        <v/>
      </c>
      <c r="L24" s="285">
        <f>IF(itens_Remanesc!A23="","",itens_Remanesc!I23)</f>
        <v/>
      </c>
      <c r="M24" s="284">
        <f>IF(A24="TOTAL",ROUND(SUM($M$3:M23),2),IF(OR(A24="",K24="",L24=""),"",ROUND(K24*L24,2)))</f>
        <v/>
      </c>
      <c r="N24" s="282">
        <f>IF(OR(itens_Remanesc!A23="",NOT(ISNUMBER(parametros!$F$6))),"",ROUND(itens_Remanesc!C23*parametros!$F$6,2))</f>
        <v/>
      </c>
      <c r="O24" s="283">
        <f>IF(itens_Remanesc!A23="","",itens_Remanesc!K23)</f>
        <v/>
      </c>
      <c r="P24" s="282">
        <f>IF(A24="TOTAL",ROUND(SUM($P$3:P23),2),IF(OR(A24="",N24="",O24=""),"",ROUND(N24*O24,2)))</f>
        <v/>
      </c>
    </row>
    <row r="25">
      <c r="A25" s="281">
        <f>IF(AND(itens_Remanesc!A24="",itens_Remanesc!A23&lt;&gt;"",COUNTIF(itens_Remanesc!A25:$A$200,"&lt;&gt;")=0),"TOTAL",IF(itens_Remanesc!A24="","",itens_Remanesc!A24))</f>
        <v/>
      </c>
      <c r="B25" s="282">
        <f>IF(OR(itens_Remanesc!A24="",NOT(ISNUMBER(parametros!$F$2))),"",ROUND(itens_Remanesc!C24*parametros!$F$2,2))</f>
        <v/>
      </c>
      <c r="C25" s="283">
        <f>IF(itens_Remanesc!A24="","",itens_Remanesc!B24)</f>
        <v/>
      </c>
      <c r="D25" s="282">
        <f>IF(A25="TOTAL",ROUND(SUM($D$3:D24),2),IF(A25="","",ROUND(B25*C25,2)))</f>
        <v/>
      </c>
      <c r="E25" s="284">
        <f>IF(OR(itens_Remanesc!A24="",NOT(ISNUMBER(parametros!$F$3))),"",ROUND(itens_Remanesc!C24*parametros!$F$3,2))</f>
        <v/>
      </c>
      <c r="F25" s="285">
        <f>IF(itens_Remanesc!A24="","",itens_Remanesc!E24)</f>
        <v/>
      </c>
      <c r="G25" s="284">
        <f>IF(A25="TOTAL",ROUND(SUM($G$3:G24),2),IF(OR(A25="",E25="",F25=""),"",ROUND(E25*F25,2)))</f>
        <v/>
      </c>
      <c r="H25" s="282">
        <f>IF(OR(itens_Remanesc!A24="",NOT(ISNUMBER(parametros!$F$4))),"",ROUND(itens_Remanesc!C24*parametros!$F$4,2))</f>
        <v/>
      </c>
      <c r="I25" s="283">
        <f>IF(itens_Remanesc!A24="","",itens_Remanesc!G24)</f>
        <v/>
      </c>
      <c r="J25" s="282">
        <f>IF(A25="TOTAL",ROUND(SUM($J$3:J24),2),IF(OR(A25="",H25="",I25=""),"",ROUND(H25*I25,2)))</f>
        <v/>
      </c>
      <c r="K25" s="284">
        <f>IF(OR(itens_Remanesc!A24="",NOT(ISNUMBER(parametros!$F$5))),"",ROUND(itens_Remanesc!C24*parametros!$F$5,2))</f>
        <v/>
      </c>
      <c r="L25" s="285">
        <f>IF(itens_Remanesc!A24="","",itens_Remanesc!I24)</f>
        <v/>
      </c>
      <c r="M25" s="284">
        <f>IF(A25="TOTAL",ROUND(SUM($M$3:M24),2),IF(OR(A25="",K25="",L25=""),"",ROUND(K25*L25,2)))</f>
        <v/>
      </c>
      <c r="N25" s="282">
        <f>IF(OR(itens_Remanesc!A24="",NOT(ISNUMBER(parametros!$F$6))),"",ROUND(itens_Remanesc!C24*parametros!$F$6,2))</f>
        <v/>
      </c>
      <c r="O25" s="283">
        <f>IF(itens_Remanesc!A24="","",itens_Remanesc!K24)</f>
        <v/>
      </c>
      <c r="P25" s="282">
        <f>IF(A25="TOTAL",ROUND(SUM($P$3:P24),2),IF(OR(A25="",N25="",O25=""),"",ROUND(N25*O25,2)))</f>
        <v/>
      </c>
    </row>
    <row r="26">
      <c r="A26" s="281">
        <f>IF(AND(itens_Remanesc!A25="",itens_Remanesc!A24&lt;&gt;"",COUNTIF(itens_Remanesc!A26:$A$200,"&lt;&gt;")=0),"TOTAL",IF(itens_Remanesc!A25="","",itens_Remanesc!A25))</f>
        <v/>
      </c>
      <c r="B26" s="282">
        <f>IF(OR(itens_Remanesc!A25="",NOT(ISNUMBER(parametros!$F$2))),"",ROUND(itens_Remanesc!C25*parametros!$F$2,2))</f>
        <v/>
      </c>
      <c r="C26" s="283">
        <f>IF(itens_Remanesc!A25="","",itens_Remanesc!B25)</f>
        <v/>
      </c>
      <c r="D26" s="282">
        <f>IF(A26="TOTAL",ROUND(SUM($D$3:D25),2),IF(A26="","",ROUND(B26*C26,2)))</f>
        <v/>
      </c>
      <c r="E26" s="284">
        <f>IF(OR(itens_Remanesc!A25="",NOT(ISNUMBER(parametros!$F$3))),"",ROUND(itens_Remanesc!C25*parametros!$F$3,2))</f>
        <v/>
      </c>
      <c r="F26" s="285">
        <f>IF(itens_Remanesc!A25="","",itens_Remanesc!E25)</f>
        <v/>
      </c>
      <c r="G26" s="284">
        <f>IF(A26="TOTAL",ROUND(SUM($G$3:G25),2),IF(OR(A26="",E26="",F26=""),"",ROUND(E26*F26,2)))</f>
        <v/>
      </c>
      <c r="H26" s="282">
        <f>IF(OR(itens_Remanesc!A25="",NOT(ISNUMBER(parametros!$F$4))),"",ROUND(itens_Remanesc!C25*parametros!$F$4,2))</f>
        <v/>
      </c>
      <c r="I26" s="283">
        <f>IF(itens_Remanesc!A25="","",itens_Remanesc!G25)</f>
        <v/>
      </c>
      <c r="J26" s="282">
        <f>IF(A26="TOTAL",ROUND(SUM($J$3:J25),2),IF(OR(A26="",H26="",I26=""),"",ROUND(H26*I26,2)))</f>
        <v/>
      </c>
      <c r="K26" s="284">
        <f>IF(OR(itens_Remanesc!A25="",NOT(ISNUMBER(parametros!$F$5))),"",ROUND(itens_Remanesc!C25*parametros!$F$5,2))</f>
        <v/>
      </c>
      <c r="L26" s="285">
        <f>IF(itens_Remanesc!A25="","",itens_Remanesc!I25)</f>
        <v/>
      </c>
      <c r="M26" s="284">
        <f>IF(A26="TOTAL",ROUND(SUM($M$3:M25),2),IF(OR(A26="",K26="",L26=""),"",ROUND(K26*L26,2)))</f>
        <v/>
      </c>
      <c r="N26" s="282">
        <f>IF(OR(itens_Remanesc!A25="",NOT(ISNUMBER(parametros!$F$6))),"",ROUND(itens_Remanesc!C25*parametros!$F$6,2))</f>
        <v/>
      </c>
      <c r="O26" s="283">
        <f>IF(itens_Remanesc!A25="","",itens_Remanesc!K25)</f>
        <v/>
      </c>
      <c r="P26" s="282">
        <f>IF(A26="TOTAL",ROUND(SUM($P$3:P25),2),IF(OR(A26="",N26="",O26=""),"",ROUND(N26*O26,2)))</f>
        <v/>
      </c>
    </row>
    <row r="27">
      <c r="A27" s="281">
        <f>IF(AND(itens_Remanesc!A26="",itens_Remanesc!A25&lt;&gt;"",COUNTIF(itens_Remanesc!A27:$A$200,"&lt;&gt;")=0),"TOTAL",IF(itens_Remanesc!A26="","",itens_Remanesc!A26))</f>
        <v/>
      </c>
      <c r="B27" s="282">
        <f>IF(OR(itens_Remanesc!A26="",NOT(ISNUMBER(parametros!$F$2))),"",ROUND(itens_Remanesc!C26*parametros!$F$2,2))</f>
        <v/>
      </c>
      <c r="C27" s="283">
        <f>IF(itens_Remanesc!A26="","",itens_Remanesc!B26)</f>
        <v/>
      </c>
      <c r="D27" s="282">
        <f>IF(A27="TOTAL",ROUND(SUM($D$3:D26),2),IF(A27="","",ROUND(B27*C27,2)))</f>
        <v/>
      </c>
      <c r="E27" s="284">
        <f>IF(OR(itens_Remanesc!A26="",NOT(ISNUMBER(parametros!$F$3))),"",ROUND(itens_Remanesc!C26*parametros!$F$3,2))</f>
        <v/>
      </c>
      <c r="F27" s="285">
        <f>IF(itens_Remanesc!A26="","",itens_Remanesc!E26)</f>
        <v/>
      </c>
      <c r="G27" s="284">
        <f>IF(A27="TOTAL",ROUND(SUM($G$3:G26),2),IF(OR(A27="",E27="",F27=""),"",ROUND(E27*F27,2)))</f>
        <v/>
      </c>
      <c r="H27" s="282">
        <f>IF(OR(itens_Remanesc!A26="",NOT(ISNUMBER(parametros!$F$4))),"",ROUND(itens_Remanesc!C26*parametros!$F$4,2))</f>
        <v/>
      </c>
      <c r="I27" s="283">
        <f>IF(itens_Remanesc!A26="","",itens_Remanesc!G26)</f>
        <v/>
      </c>
      <c r="J27" s="282">
        <f>IF(A27="TOTAL",ROUND(SUM($J$3:J26),2),IF(OR(A27="",H27="",I27=""),"",ROUND(H27*I27,2)))</f>
        <v/>
      </c>
      <c r="K27" s="284">
        <f>IF(OR(itens_Remanesc!A26="",NOT(ISNUMBER(parametros!$F$5))),"",ROUND(itens_Remanesc!C26*parametros!$F$5,2))</f>
        <v/>
      </c>
      <c r="L27" s="285">
        <f>IF(itens_Remanesc!A26="","",itens_Remanesc!I26)</f>
        <v/>
      </c>
      <c r="M27" s="284">
        <f>IF(A27="TOTAL",ROUND(SUM($M$3:M26),2),IF(OR(A27="",K27="",L27=""),"",ROUND(K27*L27,2)))</f>
        <v/>
      </c>
      <c r="N27" s="282">
        <f>IF(OR(itens_Remanesc!A26="",NOT(ISNUMBER(parametros!$F$6))),"",ROUND(itens_Remanesc!C26*parametros!$F$6,2))</f>
        <v/>
      </c>
      <c r="O27" s="283">
        <f>IF(itens_Remanesc!A26="","",itens_Remanesc!K26)</f>
        <v/>
      </c>
      <c r="P27" s="282">
        <f>IF(A27="TOTAL",ROUND(SUM($P$3:P26),2),IF(OR(A27="",N27="",O27=""),"",ROUND(N27*O27,2)))</f>
        <v/>
      </c>
    </row>
    <row r="28">
      <c r="A28" s="281">
        <f>IF(AND(itens_Remanesc!A27="",itens_Remanesc!A26&lt;&gt;"",COUNTIF(itens_Remanesc!A28:$A$200,"&lt;&gt;")=0),"TOTAL",IF(itens_Remanesc!A27="","",itens_Remanesc!A27))</f>
        <v/>
      </c>
      <c r="B28" s="282">
        <f>IF(OR(itens_Remanesc!A27="",NOT(ISNUMBER(parametros!$F$2))),"",ROUND(itens_Remanesc!C27*parametros!$F$2,2))</f>
        <v/>
      </c>
      <c r="C28" s="283">
        <f>IF(itens_Remanesc!A27="","",itens_Remanesc!B27)</f>
        <v/>
      </c>
      <c r="D28" s="282">
        <f>IF(A28="TOTAL",ROUND(SUM($D$3:D27),2),IF(A28="","",ROUND(B28*C28,2)))</f>
        <v/>
      </c>
      <c r="E28" s="284">
        <f>IF(OR(itens_Remanesc!A27="",NOT(ISNUMBER(parametros!$F$3))),"",ROUND(itens_Remanesc!C27*parametros!$F$3,2))</f>
        <v/>
      </c>
      <c r="F28" s="285">
        <f>IF(itens_Remanesc!A27="","",itens_Remanesc!E27)</f>
        <v/>
      </c>
      <c r="G28" s="284">
        <f>IF(A28="TOTAL",ROUND(SUM($G$3:G27),2),IF(OR(A28="",E28="",F28=""),"",ROUND(E28*F28,2)))</f>
        <v/>
      </c>
      <c r="H28" s="282">
        <f>IF(OR(itens_Remanesc!A27="",NOT(ISNUMBER(parametros!$F$4))),"",ROUND(itens_Remanesc!C27*parametros!$F$4,2))</f>
        <v/>
      </c>
      <c r="I28" s="283">
        <f>IF(itens_Remanesc!A27="","",itens_Remanesc!G27)</f>
        <v/>
      </c>
      <c r="J28" s="282">
        <f>IF(A28="TOTAL",ROUND(SUM($J$3:J27),2),IF(OR(A28="",H28="",I28=""),"",ROUND(H28*I28,2)))</f>
        <v/>
      </c>
      <c r="K28" s="284">
        <f>IF(OR(itens_Remanesc!A27="",NOT(ISNUMBER(parametros!$F$5))),"",ROUND(itens_Remanesc!C27*parametros!$F$5,2))</f>
        <v/>
      </c>
      <c r="L28" s="285">
        <f>IF(itens_Remanesc!A27="","",itens_Remanesc!I27)</f>
        <v/>
      </c>
      <c r="M28" s="284">
        <f>IF(A28="TOTAL",ROUND(SUM($M$3:M27),2),IF(OR(A28="",K28="",L28=""),"",ROUND(K28*L28,2)))</f>
        <v/>
      </c>
      <c r="N28" s="282">
        <f>IF(OR(itens_Remanesc!A27="",NOT(ISNUMBER(parametros!$F$6))),"",ROUND(itens_Remanesc!C27*parametros!$F$6,2))</f>
        <v/>
      </c>
      <c r="O28" s="283">
        <f>IF(itens_Remanesc!A27="","",itens_Remanesc!K27)</f>
        <v/>
      </c>
      <c r="P28" s="282">
        <f>IF(A28="TOTAL",ROUND(SUM($P$3:P27),2),IF(OR(A28="",N28="",O28=""),"",ROUND(N28*O28,2)))</f>
        <v/>
      </c>
    </row>
    <row r="29">
      <c r="A29" s="281">
        <f>IF(AND(itens_Remanesc!A28="",itens_Remanesc!A27&lt;&gt;"",COUNTIF(itens_Remanesc!A29:$A$200,"&lt;&gt;")=0),"TOTAL",IF(itens_Remanesc!A28="","",itens_Remanesc!A28))</f>
        <v/>
      </c>
      <c r="B29" s="282">
        <f>IF(OR(itens_Remanesc!A28="",NOT(ISNUMBER(parametros!$F$2))),"",ROUND(itens_Remanesc!C28*parametros!$F$2,2))</f>
        <v/>
      </c>
      <c r="C29" s="283">
        <f>IF(itens_Remanesc!A28="","",itens_Remanesc!B28)</f>
        <v/>
      </c>
      <c r="D29" s="282">
        <f>IF(A29="TOTAL",ROUND(SUM($D$3:D28),2),IF(A29="","",ROUND(B29*C29,2)))</f>
        <v/>
      </c>
      <c r="E29" s="284">
        <f>IF(OR(itens_Remanesc!A28="",NOT(ISNUMBER(parametros!$F$3))),"",ROUND(itens_Remanesc!C28*parametros!$F$3,2))</f>
        <v/>
      </c>
      <c r="F29" s="285">
        <f>IF(itens_Remanesc!A28="","",itens_Remanesc!E28)</f>
        <v/>
      </c>
      <c r="G29" s="284">
        <f>IF(A29="TOTAL",ROUND(SUM($G$3:G28),2),IF(OR(A29="",E29="",F29=""),"",ROUND(E29*F29,2)))</f>
        <v/>
      </c>
      <c r="H29" s="282">
        <f>IF(OR(itens_Remanesc!A28="",NOT(ISNUMBER(parametros!$F$4))),"",ROUND(itens_Remanesc!C28*parametros!$F$4,2))</f>
        <v/>
      </c>
      <c r="I29" s="283">
        <f>IF(itens_Remanesc!A28="","",itens_Remanesc!G28)</f>
        <v/>
      </c>
      <c r="J29" s="282">
        <f>IF(A29="TOTAL",ROUND(SUM($J$3:J28),2),IF(OR(A29="",H29="",I29=""),"",ROUND(H29*I29,2)))</f>
        <v/>
      </c>
      <c r="K29" s="284">
        <f>IF(OR(itens_Remanesc!A28="",NOT(ISNUMBER(parametros!$F$5))),"",ROUND(itens_Remanesc!C28*parametros!$F$5,2))</f>
        <v/>
      </c>
      <c r="L29" s="285">
        <f>IF(itens_Remanesc!A28="","",itens_Remanesc!I28)</f>
        <v/>
      </c>
      <c r="M29" s="284">
        <f>IF(A29="TOTAL",ROUND(SUM($M$3:M28),2),IF(OR(A29="",K29="",L29=""),"",ROUND(K29*L29,2)))</f>
        <v/>
      </c>
      <c r="N29" s="282">
        <f>IF(OR(itens_Remanesc!A28="",NOT(ISNUMBER(parametros!$F$6))),"",ROUND(itens_Remanesc!C28*parametros!$F$6,2))</f>
        <v/>
      </c>
      <c r="O29" s="283">
        <f>IF(itens_Remanesc!A28="","",itens_Remanesc!K28)</f>
        <v/>
      </c>
      <c r="P29" s="282">
        <f>IF(A29="TOTAL",ROUND(SUM($P$3:P28),2),IF(OR(A29="",N29="",O29=""),"",ROUND(N29*O29,2)))</f>
        <v/>
      </c>
    </row>
    <row r="30">
      <c r="A30" s="281">
        <f>IF(AND(itens_Remanesc!A29="",itens_Remanesc!A28&lt;&gt;"",COUNTIF(itens_Remanesc!A30:$A$200,"&lt;&gt;")=0),"TOTAL",IF(itens_Remanesc!A29="","",itens_Remanesc!A29))</f>
        <v/>
      </c>
      <c r="B30" s="282">
        <f>IF(OR(itens_Remanesc!A29="",NOT(ISNUMBER(parametros!$F$2))),"",ROUND(itens_Remanesc!C29*parametros!$F$2,2))</f>
        <v/>
      </c>
      <c r="C30" s="283">
        <f>IF(itens_Remanesc!A29="","",itens_Remanesc!B29)</f>
        <v/>
      </c>
      <c r="D30" s="282">
        <f>IF(A30="TOTAL",ROUND(SUM($D$3:D29),2),IF(A30="","",ROUND(B30*C30,2)))</f>
        <v/>
      </c>
      <c r="E30" s="284">
        <f>IF(OR(itens_Remanesc!A29="",NOT(ISNUMBER(parametros!$F$3))),"",ROUND(itens_Remanesc!C29*parametros!$F$3,2))</f>
        <v/>
      </c>
      <c r="F30" s="285">
        <f>IF(itens_Remanesc!A29="","",itens_Remanesc!E29)</f>
        <v/>
      </c>
      <c r="G30" s="284">
        <f>IF(A30="TOTAL",ROUND(SUM($G$3:G29),2),IF(OR(A30="",E30="",F30=""),"",ROUND(E30*F30,2)))</f>
        <v/>
      </c>
      <c r="H30" s="282">
        <f>IF(OR(itens_Remanesc!A29="",NOT(ISNUMBER(parametros!$F$4))),"",ROUND(itens_Remanesc!C29*parametros!$F$4,2))</f>
        <v/>
      </c>
      <c r="I30" s="283">
        <f>IF(itens_Remanesc!A29="","",itens_Remanesc!G29)</f>
        <v/>
      </c>
      <c r="J30" s="282">
        <f>IF(A30="TOTAL",ROUND(SUM($J$3:J29),2),IF(OR(A30="",H30="",I30=""),"",ROUND(H30*I30,2)))</f>
        <v/>
      </c>
      <c r="K30" s="284">
        <f>IF(OR(itens_Remanesc!A29="",NOT(ISNUMBER(parametros!$F$5))),"",ROUND(itens_Remanesc!C29*parametros!$F$5,2))</f>
        <v/>
      </c>
      <c r="L30" s="285">
        <f>IF(itens_Remanesc!A29="","",itens_Remanesc!I29)</f>
        <v/>
      </c>
      <c r="M30" s="284">
        <f>IF(A30="TOTAL",ROUND(SUM($M$3:M29),2),IF(OR(A30="",K30="",L30=""),"",ROUND(K30*L30,2)))</f>
        <v/>
      </c>
      <c r="N30" s="282">
        <f>IF(OR(itens_Remanesc!A29="",NOT(ISNUMBER(parametros!$F$6))),"",ROUND(itens_Remanesc!C29*parametros!$F$6,2))</f>
        <v/>
      </c>
      <c r="O30" s="283">
        <f>IF(itens_Remanesc!A29="","",itens_Remanesc!K29)</f>
        <v/>
      </c>
      <c r="P30" s="282">
        <f>IF(A30="TOTAL",ROUND(SUM($P$3:P29),2),IF(OR(A30="",N30="",O30=""),"",ROUND(N30*O30,2)))</f>
        <v/>
      </c>
    </row>
    <row r="31">
      <c r="A31" s="281">
        <f>IF(AND(itens_Remanesc!A30="",itens_Remanesc!A29&lt;&gt;"",COUNTIF(itens_Remanesc!A31:$A$200,"&lt;&gt;")=0),"TOTAL",IF(itens_Remanesc!A30="","",itens_Remanesc!A30))</f>
        <v/>
      </c>
      <c r="B31" s="282">
        <f>IF(OR(itens_Remanesc!A30="",NOT(ISNUMBER(parametros!$F$2))),"",ROUND(itens_Remanesc!C30*parametros!$F$2,2))</f>
        <v/>
      </c>
      <c r="C31" s="283">
        <f>IF(itens_Remanesc!A30="","",itens_Remanesc!B30)</f>
        <v/>
      </c>
      <c r="D31" s="282">
        <f>IF(A31="TOTAL",ROUND(SUM($D$3:D30),2),IF(A31="","",ROUND(B31*C31,2)))</f>
        <v/>
      </c>
      <c r="E31" s="284">
        <f>IF(OR(itens_Remanesc!A30="",NOT(ISNUMBER(parametros!$F$3))),"",ROUND(itens_Remanesc!C30*parametros!$F$3,2))</f>
        <v/>
      </c>
      <c r="F31" s="285">
        <f>IF(itens_Remanesc!A30="","",itens_Remanesc!E30)</f>
        <v/>
      </c>
      <c r="G31" s="284">
        <f>IF(A31="TOTAL",ROUND(SUM($G$3:G30),2),IF(OR(A31="",E31="",F31=""),"",ROUND(E31*F31,2)))</f>
        <v/>
      </c>
      <c r="H31" s="282">
        <f>IF(OR(itens_Remanesc!A30="",NOT(ISNUMBER(parametros!$F$4))),"",ROUND(itens_Remanesc!C30*parametros!$F$4,2))</f>
        <v/>
      </c>
      <c r="I31" s="283">
        <f>IF(itens_Remanesc!A30="","",itens_Remanesc!G30)</f>
        <v/>
      </c>
      <c r="J31" s="282">
        <f>IF(A31="TOTAL",ROUND(SUM($J$3:J30),2),IF(OR(A31="",H31="",I31=""),"",ROUND(H31*I31,2)))</f>
        <v/>
      </c>
      <c r="K31" s="284">
        <f>IF(OR(itens_Remanesc!A30="",NOT(ISNUMBER(parametros!$F$5))),"",ROUND(itens_Remanesc!C30*parametros!$F$5,2))</f>
        <v/>
      </c>
      <c r="L31" s="285">
        <f>IF(itens_Remanesc!A30="","",itens_Remanesc!I30)</f>
        <v/>
      </c>
      <c r="M31" s="284">
        <f>IF(A31="TOTAL",ROUND(SUM($M$3:M30),2),IF(OR(A31="",K31="",L31=""),"",ROUND(K31*L31,2)))</f>
        <v/>
      </c>
      <c r="N31" s="282">
        <f>IF(OR(itens_Remanesc!A30="",NOT(ISNUMBER(parametros!$F$6))),"",ROUND(itens_Remanesc!C30*parametros!$F$6,2))</f>
        <v/>
      </c>
      <c r="O31" s="283">
        <f>IF(itens_Remanesc!A30="","",itens_Remanesc!K30)</f>
        <v/>
      </c>
      <c r="P31" s="282">
        <f>IF(A31="TOTAL",ROUND(SUM($P$3:P30),2),IF(OR(A31="",N31="",O31=""),"",ROUND(N31*O31,2)))</f>
        <v/>
      </c>
    </row>
    <row r="32">
      <c r="A32" s="281">
        <f>IF(AND(itens_Remanesc!A31="",itens_Remanesc!A30&lt;&gt;"",COUNTIF(itens_Remanesc!A32:$A$200,"&lt;&gt;")=0),"TOTAL",IF(itens_Remanesc!A31="","",itens_Remanesc!A31))</f>
        <v/>
      </c>
      <c r="B32" s="282">
        <f>IF(OR(itens_Remanesc!A31="",NOT(ISNUMBER(parametros!$F$2))),"",ROUND(itens_Remanesc!C31*parametros!$F$2,2))</f>
        <v/>
      </c>
      <c r="C32" s="283">
        <f>IF(itens_Remanesc!A31="","",itens_Remanesc!B31)</f>
        <v/>
      </c>
      <c r="D32" s="282">
        <f>IF(A32="TOTAL",ROUND(SUM($D$3:D31),2),IF(A32="","",ROUND(B32*C32,2)))</f>
        <v/>
      </c>
      <c r="E32" s="284">
        <f>IF(OR(itens_Remanesc!A31="",NOT(ISNUMBER(parametros!$F$3))),"",ROUND(itens_Remanesc!C31*parametros!$F$3,2))</f>
        <v/>
      </c>
      <c r="F32" s="285">
        <f>IF(itens_Remanesc!A31="","",itens_Remanesc!E31)</f>
        <v/>
      </c>
      <c r="G32" s="284">
        <f>IF(A32="TOTAL",ROUND(SUM($G$3:G31),2),IF(OR(A32="",E32="",F32=""),"",ROUND(E32*F32,2)))</f>
        <v/>
      </c>
      <c r="H32" s="282">
        <f>IF(OR(itens_Remanesc!A31="",NOT(ISNUMBER(parametros!$F$4))),"",ROUND(itens_Remanesc!C31*parametros!$F$4,2))</f>
        <v/>
      </c>
      <c r="I32" s="283">
        <f>IF(itens_Remanesc!A31="","",itens_Remanesc!G31)</f>
        <v/>
      </c>
      <c r="J32" s="282">
        <f>IF(A32="TOTAL",ROUND(SUM($J$3:J31),2),IF(OR(A32="",H32="",I32=""),"",ROUND(H32*I32,2)))</f>
        <v/>
      </c>
      <c r="K32" s="284">
        <f>IF(OR(itens_Remanesc!A31="",NOT(ISNUMBER(parametros!$F$5))),"",ROUND(itens_Remanesc!C31*parametros!$F$5,2))</f>
        <v/>
      </c>
      <c r="L32" s="285">
        <f>IF(itens_Remanesc!A31="","",itens_Remanesc!I31)</f>
        <v/>
      </c>
      <c r="M32" s="284">
        <f>IF(A32="TOTAL",ROUND(SUM($M$3:M31),2),IF(OR(A32="",K32="",L32=""),"",ROUND(K32*L32,2)))</f>
        <v/>
      </c>
      <c r="N32" s="282">
        <f>IF(OR(itens_Remanesc!A31="",NOT(ISNUMBER(parametros!$F$6))),"",ROUND(itens_Remanesc!C31*parametros!$F$6,2))</f>
        <v/>
      </c>
      <c r="O32" s="283">
        <f>IF(itens_Remanesc!A31="","",itens_Remanesc!K31)</f>
        <v/>
      </c>
      <c r="P32" s="282">
        <f>IF(A32="TOTAL",ROUND(SUM($P$3:P31),2),IF(OR(A32="",N32="",O32=""),"",ROUND(N32*O32,2)))</f>
        <v/>
      </c>
    </row>
    <row r="33">
      <c r="A33" s="288">
        <f>IF(AND(itens_Remanesc!A32="",itens_Remanesc!A31&lt;&gt;"",COUNTIF(itens_Remanesc!A33:$A$200,"&lt;&gt;")=0),"TOTAL",IF(itens_Remanesc!A32="","",itens_Remanesc!A32))</f>
        <v/>
      </c>
      <c r="B33" s="282">
        <f>IF(OR(itens_Remanesc!A32="",NOT(ISNUMBER(parametros!$F$2))),"",ROUND(itens_Remanesc!C32*parametros!$F$2,2))</f>
        <v/>
      </c>
      <c r="C33" s="283">
        <f>IF(itens_Remanesc!A32="","",itens_Remanesc!B32)</f>
        <v/>
      </c>
      <c r="D33" s="282">
        <f>IF(A33="TOTAL",ROUND(SUM($D$3:D32),2),IF(A33="","",ROUND(B33*C33,2)))</f>
        <v/>
      </c>
      <c r="E33" s="284">
        <f>IF(OR(itens_Remanesc!A32="",NOT(ISNUMBER(parametros!$F$3))),"",ROUND(itens_Remanesc!C32*parametros!$F$3,2))</f>
        <v/>
      </c>
      <c r="F33" s="285">
        <f>IF(itens_Remanesc!A32="","",itens_Remanesc!E32)</f>
        <v/>
      </c>
      <c r="G33" s="284">
        <f>IF(A33="TOTAL",ROUND(SUM($G$3:G32),2),IF(OR(A33="",E33="",F33=""),"",ROUND(E33*F33,2)))</f>
        <v/>
      </c>
      <c r="H33" s="282">
        <f>IF(OR(itens_Remanesc!A32="",NOT(ISNUMBER(parametros!$F$4))),"",ROUND(itens_Remanesc!C32*parametros!$F$4,2))</f>
        <v/>
      </c>
      <c r="I33" s="283">
        <f>IF(itens_Remanesc!A32="","",itens_Remanesc!G32)</f>
        <v/>
      </c>
      <c r="J33" s="282">
        <f>IF(A33="TOTAL",ROUND(SUM($J$3:J32),2),IF(OR(A33="",H33="",I33=""),"",ROUND(H33*I33,2)))</f>
        <v/>
      </c>
      <c r="K33" s="284">
        <f>IF(OR(itens_Remanesc!A32="",NOT(ISNUMBER(parametros!$F$5))),"",ROUND(itens_Remanesc!C32*parametros!$F$5,2))</f>
        <v/>
      </c>
      <c r="L33" s="285">
        <f>IF(itens_Remanesc!A32="","",itens_Remanesc!I32)</f>
        <v/>
      </c>
      <c r="M33" s="284">
        <f>IF(A33="TOTAL",ROUND(SUM($M$3:M32),2),IF(OR(A33="",K33="",L33=""),"",ROUND(K33*L33,2)))</f>
        <v/>
      </c>
      <c r="N33" s="282">
        <f>IF(OR(itens_Remanesc!A32="",NOT(ISNUMBER(parametros!$F$6))),"",ROUND(itens_Remanesc!C32*parametros!$F$6,2))</f>
        <v/>
      </c>
      <c r="O33" s="283">
        <f>IF(itens_Remanesc!A32="","",itens_Remanesc!K32)</f>
        <v/>
      </c>
      <c r="P33" s="282">
        <f>IF(A33="TOTAL",ROUND(SUM($P$3:P32),2),IF(OR(A33="",N33="",O33=""),"",ROUND(N33*O33,2)))</f>
        <v/>
      </c>
    </row>
    <row r="34">
      <c r="A34" s="281">
        <f>IF(AND(itens_Remanesc!A33="",itens_Remanesc!A32&lt;&gt;"",COUNTIF(itens_Remanesc!A34:$A$200,"&lt;&gt;")=0),"TOTAL",IF(itens_Remanesc!A33="","",itens_Remanesc!A33))</f>
        <v/>
      </c>
      <c r="B34" s="282">
        <f>IF(OR(itens_Remanesc!A33="",NOT(ISNUMBER(parametros!$F$2))),"",ROUND(itens_Remanesc!C33*parametros!$F$2,2))</f>
        <v/>
      </c>
      <c r="C34" s="283">
        <f>IF(itens_Remanesc!A33="","",itens_Remanesc!B33)</f>
        <v/>
      </c>
      <c r="D34" s="282">
        <f>IF(A34="TOTAL",ROUND(SUM($D$3:D33),2),IF(A34="","",ROUND(B34*C34,2)))</f>
        <v/>
      </c>
      <c r="E34" s="284">
        <f>IF(OR(itens_Remanesc!A33="",NOT(ISNUMBER(parametros!$F$3))),"",ROUND(itens_Remanesc!C33*parametros!$F$3,2))</f>
        <v/>
      </c>
      <c r="F34" s="285">
        <f>IF(itens_Remanesc!A33="","",itens_Remanesc!E33)</f>
        <v/>
      </c>
      <c r="G34" s="284">
        <f>IF(A34="TOTAL",ROUND(SUM($G$3:G33),2),IF(OR(A34="",E34="",F34=""),"",ROUND(E34*F34,2)))</f>
        <v/>
      </c>
      <c r="H34" s="282">
        <f>IF(OR(itens_Remanesc!A33="",NOT(ISNUMBER(parametros!$F$4))),"",ROUND(itens_Remanesc!C33*parametros!$F$4,2))</f>
        <v/>
      </c>
      <c r="I34" s="283">
        <f>IF(itens_Remanesc!A33="","",itens_Remanesc!G33)</f>
        <v/>
      </c>
      <c r="J34" s="282">
        <f>IF(A34="TOTAL",ROUND(SUM($J$3:J33),2),IF(OR(A34="",H34="",I34=""),"",ROUND(H34*I34,2)))</f>
        <v/>
      </c>
      <c r="K34" s="284">
        <f>IF(OR(itens_Remanesc!A33="",NOT(ISNUMBER(parametros!$F$5))),"",ROUND(itens_Remanesc!C33*parametros!$F$5,2))</f>
        <v/>
      </c>
      <c r="L34" s="285">
        <f>IF(itens_Remanesc!A33="","",itens_Remanesc!I33)</f>
        <v/>
      </c>
      <c r="M34" s="284">
        <f>IF(A34="TOTAL",ROUND(SUM($M$3:M33),2),IF(OR(A34="",K34="",L34=""),"",ROUND(K34*L34,2)))</f>
        <v/>
      </c>
      <c r="N34" s="282">
        <f>IF(OR(itens_Remanesc!A33="",NOT(ISNUMBER(parametros!$F$6))),"",ROUND(itens_Remanesc!C33*parametros!$F$6,2))</f>
        <v/>
      </c>
      <c r="O34" s="283">
        <f>IF(itens_Remanesc!A33="","",itens_Remanesc!K33)</f>
        <v/>
      </c>
      <c r="P34" s="282">
        <f>IF(A34="TOTAL",ROUND(SUM($P$3:P33),2),IF(OR(A34="",N34="",O34=""),"",ROUND(N34*O34,2)))</f>
        <v/>
      </c>
    </row>
    <row r="35">
      <c r="A35" s="281">
        <f>IF(AND(itens_Remanesc!A34="",itens_Remanesc!A33&lt;&gt;"",COUNTIF(itens_Remanesc!A35:$A$200,"&lt;&gt;")=0),"TOTAL",IF(itens_Remanesc!A34="","",itens_Remanesc!A34))</f>
        <v/>
      </c>
      <c r="B35" s="282">
        <f>IF(OR(itens_Remanesc!A34="",NOT(ISNUMBER(parametros!$F$2))),"",ROUND(itens_Remanesc!C34*parametros!$F$2,2))</f>
        <v/>
      </c>
      <c r="C35" s="283">
        <f>IF(itens_Remanesc!A34="","",itens_Remanesc!B34)</f>
        <v/>
      </c>
      <c r="D35" s="282">
        <f>IF(A35="TOTAL",ROUND(SUM($D$3:D34),2),IF(A35="","",ROUND(B35*C35,2)))</f>
        <v/>
      </c>
      <c r="E35" s="284">
        <f>IF(OR(itens_Remanesc!A34="",NOT(ISNUMBER(parametros!$F$3))),"",ROUND(itens_Remanesc!C34*parametros!$F$3,2))</f>
        <v/>
      </c>
      <c r="F35" s="285">
        <f>IF(itens_Remanesc!A34="","",itens_Remanesc!E34)</f>
        <v/>
      </c>
      <c r="G35" s="284">
        <f>IF(A35="TOTAL",ROUND(SUM($G$3:G34),2),IF(OR(A35="",E35="",F35=""),"",ROUND(E35*F35,2)))</f>
        <v/>
      </c>
      <c r="H35" s="282">
        <f>IF(OR(itens_Remanesc!A34="",NOT(ISNUMBER(parametros!$F$4))),"",ROUND(itens_Remanesc!C34*parametros!$F$4,2))</f>
        <v/>
      </c>
      <c r="I35" s="283">
        <f>IF(itens_Remanesc!A34="","",itens_Remanesc!G34)</f>
        <v/>
      </c>
      <c r="J35" s="282">
        <f>IF(A35="TOTAL",ROUND(SUM($J$3:J34),2),IF(OR(A35="",H35="",I35=""),"",ROUND(H35*I35,2)))</f>
        <v/>
      </c>
      <c r="K35" s="284">
        <f>IF(OR(itens_Remanesc!A34="",NOT(ISNUMBER(parametros!$F$5))),"",ROUND(itens_Remanesc!C34*parametros!$F$5,2))</f>
        <v/>
      </c>
      <c r="L35" s="285">
        <f>IF(itens_Remanesc!A34="","",itens_Remanesc!I34)</f>
        <v/>
      </c>
      <c r="M35" s="284">
        <f>IF(A35="TOTAL",ROUND(SUM($M$3:M34),2),IF(OR(A35="",K35="",L35=""),"",ROUND(K35*L35,2)))</f>
        <v/>
      </c>
      <c r="N35" s="282">
        <f>IF(OR(itens_Remanesc!A34="",NOT(ISNUMBER(parametros!$F$6))),"",ROUND(itens_Remanesc!C34*parametros!$F$6,2))</f>
        <v/>
      </c>
      <c r="O35" s="283">
        <f>IF(itens_Remanesc!A34="","",itens_Remanesc!K34)</f>
        <v/>
      </c>
      <c r="P35" s="282">
        <f>IF(A35="TOTAL",ROUND(SUM($P$3:P34),2),IF(OR(A35="",N35="",O35=""),"",ROUND(N35*O35,2)))</f>
        <v/>
      </c>
    </row>
    <row r="36">
      <c r="A36" s="281">
        <f>IF(AND(itens_Remanesc!A35="",itens_Remanesc!A34&lt;&gt;"",COUNTIF(itens_Remanesc!A36:$A$200,"&lt;&gt;")=0),"TOTAL",IF(itens_Remanesc!A35="","",itens_Remanesc!A35))</f>
        <v/>
      </c>
      <c r="B36" s="282">
        <f>IF(OR(itens_Remanesc!A35="",NOT(ISNUMBER(parametros!$F$2))),"",ROUND(itens_Remanesc!C35*parametros!$F$2,2))</f>
        <v/>
      </c>
      <c r="C36" s="283">
        <f>IF(itens_Remanesc!A35="","",itens_Remanesc!B35)</f>
        <v/>
      </c>
      <c r="D36" s="282">
        <f>IF(A36="TOTAL",ROUND(SUM($D$3:D35),2),IF(A36="","",ROUND(B36*C36,2)))</f>
        <v/>
      </c>
      <c r="E36" s="284">
        <f>IF(OR(itens_Remanesc!A35="",NOT(ISNUMBER(parametros!$F$3))),"",ROUND(itens_Remanesc!C35*parametros!$F$3,2))</f>
        <v/>
      </c>
      <c r="F36" s="285">
        <f>IF(itens_Remanesc!A35="","",itens_Remanesc!E35)</f>
        <v/>
      </c>
      <c r="G36" s="284">
        <f>IF(A36="TOTAL",ROUND(SUM($G$3:G35),2),IF(OR(A36="",E36="",F36=""),"",ROUND(E36*F36,2)))</f>
        <v/>
      </c>
      <c r="H36" s="282">
        <f>IF(OR(itens_Remanesc!A35="",NOT(ISNUMBER(parametros!$F$4))),"",ROUND(itens_Remanesc!C35*parametros!$F$4,2))</f>
        <v/>
      </c>
      <c r="I36" s="283">
        <f>IF(itens_Remanesc!A35="","",itens_Remanesc!G35)</f>
        <v/>
      </c>
      <c r="J36" s="282">
        <f>IF(A36="TOTAL",ROUND(SUM($J$3:J35),2),IF(OR(A36="",H36="",I36=""),"",ROUND(H36*I36,2)))</f>
        <v/>
      </c>
      <c r="K36" s="284">
        <f>IF(OR(itens_Remanesc!A35="",NOT(ISNUMBER(parametros!$F$5))),"",ROUND(itens_Remanesc!C35*parametros!$F$5,2))</f>
        <v/>
      </c>
      <c r="L36" s="285">
        <f>IF(itens_Remanesc!A35="","",itens_Remanesc!I35)</f>
        <v/>
      </c>
      <c r="M36" s="284">
        <f>IF(A36="TOTAL",ROUND(SUM($M$3:M35),2),IF(OR(A36="",K36="",L36=""),"",ROUND(K36*L36,2)))</f>
        <v/>
      </c>
      <c r="N36" s="282">
        <f>IF(OR(itens_Remanesc!A35="",NOT(ISNUMBER(parametros!$F$6))),"",ROUND(itens_Remanesc!C35*parametros!$F$6,2))</f>
        <v/>
      </c>
      <c r="O36" s="283">
        <f>IF(itens_Remanesc!A35="","",itens_Remanesc!K35)</f>
        <v/>
      </c>
      <c r="P36" s="282">
        <f>IF(A36="TOTAL",ROUND(SUM($P$3:P35),2),IF(OR(A36="",N36="",O36=""),"",ROUND(N36*O36,2)))</f>
        <v/>
      </c>
    </row>
    <row r="37">
      <c r="A37" s="281">
        <f>IF(AND(itens_Remanesc!A36="",itens_Remanesc!A35&lt;&gt;"",COUNTIF(itens_Remanesc!A37:$A$200,"&lt;&gt;")=0),"TOTAL",IF(itens_Remanesc!A36="","",itens_Remanesc!A36))</f>
        <v/>
      </c>
      <c r="B37" s="282">
        <f>IF(OR(itens_Remanesc!A36="",NOT(ISNUMBER(parametros!$F$2))),"",ROUND(itens_Remanesc!C36*parametros!$F$2,2))</f>
        <v/>
      </c>
      <c r="C37" s="283">
        <f>IF(itens_Remanesc!A36="","",itens_Remanesc!B36)</f>
        <v/>
      </c>
      <c r="D37" s="282">
        <f>IF(A37="TOTAL",ROUND(SUM($D$3:D36),2),IF(A37="","",ROUND(B37*C37,2)))</f>
        <v/>
      </c>
      <c r="E37" s="284">
        <f>IF(OR(itens_Remanesc!A36="",NOT(ISNUMBER(parametros!$F$3))),"",ROUND(itens_Remanesc!C36*parametros!$F$3,2))</f>
        <v/>
      </c>
      <c r="F37" s="285">
        <f>IF(itens_Remanesc!A36="","",itens_Remanesc!E36)</f>
        <v/>
      </c>
      <c r="G37" s="284">
        <f>IF(A37="TOTAL",ROUND(SUM($G$3:G36),2),IF(OR(A37="",E37="",F37=""),"",ROUND(E37*F37,2)))</f>
        <v/>
      </c>
      <c r="H37" s="282">
        <f>IF(OR(itens_Remanesc!A36="",NOT(ISNUMBER(parametros!$F$4))),"",ROUND(itens_Remanesc!C36*parametros!$F$4,2))</f>
        <v/>
      </c>
      <c r="I37" s="283">
        <f>IF(itens_Remanesc!A36="","",itens_Remanesc!G36)</f>
        <v/>
      </c>
      <c r="J37" s="282">
        <f>IF(A37="TOTAL",ROUND(SUM($J$3:J36),2),IF(OR(A37="",H37="",I37=""),"",ROUND(H37*I37,2)))</f>
        <v/>
      </c>
      <c r="K37" s="284">
        <f>IF(OR(itens_Remanesc!A36="",NOT(ISNUMBER(parametros!$F$5))),"",ROUND(itens_Remanesc!C36*parametros!$F$5,2))</f>
        <v/>
      </c>
      <c r="L37" s="285">
        <f>IF(itens_Remanesc!A36="","",itens_Remanesc!I36)</f>
        <v/>
      </c>
      <c r="M37" s="284">
        <f>IF(A37="TOTAL",ROUND(SUM($M$3:M36),2),IF(OR(A37="",K37="",L37=""),"",ROUND(K37*L37,2)))</f>
        <v/>
      </c>
      <c r="N37" s="282">
        <f>IF(OR(itens_Remanesc!A36="",NOT(ISNUMBER(parametros!$F$6))),"",ROUND(itens_Remanesc!C36*parametros!$F$6,2))</f>
        <v/>
      </c>
      <c r="O37" s="283">
        <f>IF(itens_Remanesc!A36="","",itens_Remanesc!K36)</f>
        <v/>
      </c>
      <c r="P37" s="282">
        <f>IF(A37="TOTAL",ROUND(SUM($P$3:P36),2),IF(OR(A37="",N37="",O37=""),"",ROUND(N37*O37,2)))</f>
        <v/>
      </c>
    </row>
    <row r="38">
      <c r="A38" s="281">
        <f>IF(AND(itens_Remanesc!A37="",itens_Remanesc!A36&lt;&gt;"",COUNTIF(itens_Remanesc!A38:$A$200,"&lt;&gt;")=0),"TOTAL",IF(itens_Remanesc!A37="","",itens_Remanesc!A37))</f>
        <v/>
      </c>
      <c r="B38" s="282">
        <f>IF(OR(itens_Remanesc!A37="",NOT(ISNUMBER(parametros!$F$2))),"",ROUND(itens_Remanesc!C37*parametros!$F$2,2))</f>
        <v/>
      </c>
      <c r="C38" s="283">
        <f>IF(itens_Remanesc!A37="","",itens_Remanesc!B37)</f>
        <v/>
      </c>
      <c r="D38" s="282">
        <f>IF(A38="TOTAL",ROUND(SUM($D$3:D37),2),IF(A38="","",ROUND(B38*C38,2)))</f>
        <v/>
      </c>
      <c r="E38" s="284">
        <f>IF(OR(itens_Remanesc!A37="",NOT(ISNUMBER(parametros!$F$3))),"",ROUND(itens_Remanesc!C37*parametros!$F$3,2))</f>
        <v/>
      </c>
      <c r="F38" s="285">
        <f>IF(itens_Remanesc!A37="","",itens_Remanesc!E37)</f>
        <v/>
      </c>
      <c r="G38" s="284">
        <f>IF(A38="TOTAL",ROUND(SUM($G$3:G37),2),IF(OR(A38="",E38="",F38=""),"",ROUND(E38*F38,2)))</f>
        <v/>
      </c>
      <c r="H38" s="282">
        <f>IF(OR(itens_Remanesc!A37="",NOT(ISNUMBER(parametros!$F$4))),"",ROUND(itens_Remanesc!C37*parametros!$F$4,2))</f>
        <v/>
      </c>
      <c r="I38" s="283">
        <f>IF(itens_Remanesc!A37="","",itens_Remanesc!G37)</f>
        <v/>
      </c>
      <c r="J38" s="282">
        <f>IF(A38="TOTAL",ROUND(SUM($J$3:J37),2),IF(OR(A38="",H38="",I38=""),"",ROUND(H38*I38,2)))</f>
        <v/>
      </c>
      <c r="K38" s="284">
        <f>IF(OR(itens_Remanesc!A37="",NOT(ISNUMBER(parametros!$F$5))),"",ROUND(itens_Remanesc!C37*parametros!$F$5,2))</f>
        <v/>
      </c>
      <c r="L38" s="285">
        <f>IF(itens_Remanesc!A37="","",itens_Remanesc!I37)</f>
        <v/>
      </c>
      <c r="M38" s="284">
        <f>IF(A38="TOTAL",ROUND(SUM($M$3:M37),2),IF(OR(A38="",K38="",L38=""),"",ROUND(K38*L38,2)))</f>
        <v/>
      </c>
      <c r="N38" s="282">
        <f>IF(OR(itens_Remanesc!A37="",NOT(ISNUMBER(parametros!$F$6))),"",ROUND(itens_Remanesc!C37*parametros!$F$6,2))</f>
        <v/>
      </c>
      <c r="O38" s="283">
        <f>IF(itens_Remanesc!A37="","",itens_Remanesc!K37)</f>
        <v/>
      </c>
      <c r="P38" s="282">
        <f>IF(A38="TOTAL",ROUND(SUM($P$3:P37),2),IF(OR(A38="",N38="",O38=""),"",ROUND(N38*O38,2)))</f>
        <v/>
      </c>
    </row>
    <row r="39">
      <c r="A39" s="281">
        <f>IF(AND(itens_Remanesc!A38="",itens_Remanesc!A37&lt;&gt;"",COUNTIF(itens_Remanesc!A39:$A$200,"&lt;&gt;")=0),"TOTAL",IF(itens_Remanesc!A38="","",itens_Remanesc!A38))</f>
        <v/>
      </c>
      <c r="B39" s="282">
        <f>IF(OR(itens_Remanesc!A38="",NOT(ISNUMBER(parametros!$F$2))),"",ROUND(itens_Remanesc!C38*parametros!$F$2,2))</f>
        <v/>
      </c>
      <c r="C39" s="283">
        <f>IF(itens_Remanesc!A38="","",itens_Remanesc!B38)</f>
        <v/>
      </c>
      <c r="D39" s="282">
        <f>IF(A39="TOTAL",ROUND(SUM($D$3:D38),2),IF(A39="","",ROUND(B39*C39,2)))</f>
        <v/>
      </c>
      <c r="E39" s="284">
        <f>IF(OR(itens_Remanesc!A38="",NOT(ISNUMBER(parametros!$F$3))),"",ROUND(itens_Remanesc!C38*parametros!$F$3,2))</f>
        <v/>
      </c>
      <c r="F39" s="285">
        <f>IF(itens_Remanesc!A38="","",itens_Remanesc!E38)</f>
        <v/>
      </c>
      <c r="G39" s="284">
        <f>IF(A39="TOTAL",ROUND(SUM($G$3:G38),2),IF(OR(A39="",E39="",F39=""),"",ROUND(E39*F39,2)))</f>
        <v/>
      </c>
      <c r="H39" s="282">
        <f>IF(OR(itens_Remanesc!A38="",NOT(ISNUMBER(parametros!$F$4))),"",ROUND(itens_Remanesc!C38*parametros!$F$4,2))</f>
        <v/>
      </c>
      <c r="I39" s="283">
        <f>IF(itens_Remanesc!A38="","",itens_Remanesc!G38)</f>
        <v/>
      </c>
      <c r="J39" s="282">
        <f>IF(A39="TOTAL",ROUND(SUM($J$3:J38),2),IF(OR(A39="",H39="",I39=""),"",ROUND(H39*I39,2)))</f>
        <v/>
      </c>
      <c r="K39" s="284">
        <f>IF(OR(itens_Remanesc!A38="",NOT(ISNUMBER(parametros!$F$5))),"",ROUND(itens_Remanesc!C38*parametros!$F$5,2))</f>
        <v/>
      </c>
      <c r="L39" s="285">
        <f>IF(itens_Remanesc!A38="","",itens_Remanesc!I38)</f>
        <v/>
      </c>
      <c r="M39" s="284">
        <f>IF(A39="TOTAL",ROUND(SUM($M$3:M38),2),IF(OR(A39="",K39="",L39=""),"",ROUND(K39*L39,2)))</f>
        <v/>
      </c>
      <c r="N39" s="282">
        <f>IF(OR(itens_Remanesc!A38="",NOT(ISNUMBER(parametros!$F$6))),"",ROUND(itens_Remanesc!C38*parametros!$F$6,2))</f>
        <v/>
      </c>
      <c r="O39" s="283">
        <f>IF(itens_Remanesc!A38="","",itens_Remanesc!K38)</f>
        <v/>
      </c>
      <c r="P39" s="282">
        <f>IF(A39="TOTAL",ROUND(SUM($P$3:P38),2),IF(OR(A39="",N39="",O39=""),"",ROUND(N39*O39,2)))</f>
        <v/>
      </c>
    </row>
    <row r="40">
      <c r="A40" s="281">
        <f>IF(AND(itens_Remanesc!A39="",itens_Remanesc!A38&lt;&gt;"",COUNTIF(itens_Remanesc!A40:$A$200,"&lt;&gt;")=0),"TOTAL",IF(itens_Remanesc!A39="","",itens_Remanesc!A39))</f>
        <v/>
      </c>
      <c r="B40" s="282">
        <f>IF(OR(itens_Remanesc!A39="",NOT(ISNUMBER(parametros!$F$2))),"",ROUND(itens_Remanesc!C39*parametros!$F$2,2))</f>
        <v/>
      </c>
      <c r="C40" s="283">
        <f>IF(itens_Remanesc!A39="","",itens_Remanesc!B39)</f>
        <v/>
      </c>
      <c r="D40" s="282">
        <f>IF(A40="TOTAL",ROUND(SUM($D$3:D39),2),IF(A40="","",ROUND(B40*C40,2)))</f>
        <v/>
      </c>
      <c r="E40" s="284">
        <f>IF(OR(itens_Remanesc!A39="",NOT(ISNUMBER(parametros!$F$3))),"",ROUND(itens_Remanesc!C39*parametros!$F$3,2))</f>
        <v/>
      </c>
      <c r="F40" s="285">
        <f>IF(itens_Remanesc!A39="","",itens_Remanesc!E39)</f>
        <v/>
      </c>
      <c r="G40" s="284">
        <f>IF(A40="TOTAL",ROUND(SUM($G$3:G39),2),IF(OR(A40="",E40="",F40=""),"",ROUND(E40*F40,2)))</f>
        <v/>
      </c>
      <c r="H40" s="282">
        <f>IF(OR(itens_Remanesc!A39="",NOT(ISNUMBER(parametros!$F$4))),"",ROUND(itens_Remanesc!C39*parametros!$F$4,2))</f>
        <v/>
      </c>
      <c r="I40" s="283">
        <f>IF(itens_Remanesc!A39="","",itens_Remanesc!G39)</f>
        <v/>
      </c>
      <c r="J40" s="282">
        <f>IF(A40="TOTAL",ROUND(SUM($J$3:J39),2),IF(OR(A40="",H40="",I40=""),"",ROUND(H40*I40,2)))</f>
        <v/>
      </c>
      <c r="K40" s="284">
        <f>IF(OR(itens_Remanesc!A39="",NOT(ISNUMBER(parametros!$F$5))),"",ROUND(itens_Remanesc!C39*parametros!$F$5,2))</f>
        <v/>
      </c>
      <c r="L40" s="285">
        <f>IF(itens_Remanesc!A39="","",itens_Remanesc!I39)</f>
        <v/>
      </c>
      <c r="M40" s="284">
        <f>IF(A40="TOTAL",ROUND(SUM($M$3:M39),2),IF(OR(A40="",K40="",L40=""),"",ROUND(K40*L40,2)))</f>
        <v/>
      </c>
      <c r="N40" s="282">
        <f>IF(OR(itens_Remanesc!A39="",NOT(ISNUMBER(parametros!$F$6))),"",ROUND(itens_Remanesc!C39*parametros!$F$6,2))</f>
        <v/>
      </c>
      <c r="O40" s="283">
        <f>IF(itens_Remanesc!A39="","",itens_Remanesc!K39)</f>
        <v/>
      </c>
      <c r="P40" s="282">
        <f>IF(A40="TOTAL",ROUND(SUM($P$3:P39),2),IF(OR(A40="",N40="",O40=""),"",ROUND(N40*O40,2)))</f>
        <v/>
      </c>
    </row>
    <row r="41">
      <c r="A41" s="281">
        <f>IF(AND(itens_Remanesc!A40="",itens_Remanesc!A39&lt;&gt;"",COUNTIF(itens_Remanesc!A41:$A$200,"&lt;&gt;")=0),"TOTAL",IF(itens_Remanesc!A40="","",itens_Remanesc!A40))</f>
        <v/>
      </c>
      <c r="B41" s="282">
        <f>IF(OR(itens_Remanesc!A40="",NOT(ISNUMBER(parametros!$F$2))),"",ROUND(itens_Remanesc!C40*parametros!$F$2,2))</f>
        <v/>
      </c>
      <c r="C41" s="283">
        <f>IF(itens_Remanesc!A40="","",itens_Remanesc!B40)</f>
        <v/>
      </c>
      <c r="D41" s="282">
        <f>IF(A41="TOTAL",ROUND(SUM($D$3:D40),2),IF(A41="","",ROUND(B41*C41,2)))</f>
        <v/>
      </c>
      <c r="E41" s="284">
        <f>IF(OR(itens_Remanesc!A40="",NOT(ISNUMBER(parametros!$F$3))),"",ROUND(itens_Remanesc!C40*parametros!$F$3,2))</f>
        <v/>
      </c>
      <c r="F41" s="285">
        <f>IF(itens_Remanesc!A40="","",itens_Remanesc!E40)</f>
        <v/>
      </c>
      <c r="G41" s="284">
        <f>IF(A41="TOTAL",ROUND(SUM($G$3:G40),2),IF(OR(A41="",E41="",F41=""),"",ROUND(E41*F41,2)))</f>
        <v/>
      </c>
      <c r="H41" s="282">
        <f>IF(OR(itens_Remanesc!A40="",NOT(ISNUMBER(parametros!$F$4))),"",ROUND(itens_Remanesc!C40*parametros!$F$4,2))</f>
        <v/>
      </c>
      <c r="I41" s="283">
        <f>IF(itens_Remanesc!A40="","",itens_Remanesc!G40)</f>
        <v/>
      </c>
      <c r="J41" s="282">
        <f>IF(A41="TOTAL",ROUND(SUM($J$3:J40),2),IF(OR(A41="",H41="",I41=""),"",ROUND(H41*I41,2)))</f>
        <v/>
      </c>
      <c r="K41" s="284">
        <f>IF(OR(itens_Remanesc!A40="",NOT(ISNUMBER(parametros!$F$5))),"",ROUND(itens_Remanesc!C40*parametros!$F$5,2))</f>
        <v/>
      </c>
      <c r="L41" s="285">
        <f>IF(itens_Remanesc!A40="","",itens_Remanesc!I40)</f>
        <v/>
      </c>
      <c r="M41" s="284">
        <f>IF(A41="TOTAL",ROUND(SUM($M$3:M40),2),IF(OR(A41="",K41="",L41=""),"",ROUND(K41*L41,2)))</f>
        <v/>
      </c>
      <c r="N41" s="282">
        <f>IF(OR(itens_Remanesc!A40="",NOT(ISNUMBER(parametros!$F$6))),"",ROUND(itens_Remanesc!C40*parametros!$F$6,2))</f>
        <v/>
      </c>
      <c r="O41" s="283">
        <f>IF(itens_Remanesc!A40="","",itens_Remanesc!K40)</f>
        <v/>
      </c>
      <c r="P41" s="282">
        <f>IF(A41="TOTAL",ROUND(SUM($P$3:P40),2),IF(OR(A41="",N41="",O41=""),"",ROUND(N41*O41,2)))</f>
        <v/>
      </c>
    </row>
    <row r="42">
      <c r="A42" s="281">
        <f>IF(AND(itens_Remanesc!A41="",itens_Remanesc!A40&lt;&gt;"",COUNTIF(itens_Remanesc!A42:$A$200,"&lt;&gt;")=0),"TOTAL",IF(itens_Remanesc!A41="","",itens_Remanesc!A41))</f>
        <v/>
      </c>
      <c r="B42" s="282">
        <f>IF(OR(itens_Remanesc!A41="",NOT(ISNUMBER(parametros!$F$2))),"",ROUND(itens_Remanesc!C41*parametros!$F$2,2))</f>
        <v/>
      </c>
      <c r="C42" s="283">
        <f>IF(itens_Remanesc!A41="","",itens_Remanesc!B41)</f>
        <v/>
      </c>
      <c r="D42" s="282">
        <f>IF(A42="TOTAL",ROUND(SUM($D$3:D41),2),IF(A42="","",ROUND(B42*C42,2)))</f>
        <v/>
      </c>
      <c r="E42" s="284">
        <f>IF(OR(itens_Remanesc!A41="",NOT(ISNUMBER(parametros!$F$3))),"",ROUND(itens_Remanesc!C41*parametros!$F$3,2))</f>
        <v/>
      </c>
      <c r="F42" s="285">
        <f>IF(itens_Remanesc!A41="","",itens_Remanesc!E41)</f>
        <v/>
      </c>
      <c r="G42" s="284">
        <f>IF(A42="TOTAL",ROUND(SUM($G$3:G41),2),IF(OR(A42="",E42="",F42=""),"",ROUND(E42*F42,2)))</f>
        <v/>
      </c>
      <c r="H42" s="282">
        <f>IF(OR(itens_Remanesc!A41="",NOT(ISNUMBER(parametros!$F$4))),"",ROUND(itens_Remanesc!C41*parametros!$F$4,2))</f>
        <v/>
      </c>
      <c r="I42" s="283">
        <f>IF(itens_Remanesc!A41="","",itens_Remanesc!G41)</f>
        <v/>
      </c>
      <c r="J42" s="282">
        <f>IF(A42="TOTAL",ROUND(SUM($J$3:J41),2),IF(OR(A42="",H42="",I42=""),"",ROUND(H42*I42,2)))</f>
        <v/>
      </c>
      <c r="K42" s="284">
        <f>IF(OR(itens_Remanesc!A41="",NOT(ISNUMBER(parametros!$F$5))),"",ROUND(itens_Remanesc!C41*parametros!$F$5,2))</f>
        <v/>
      </c>
      <c r="L42" s="285">
        <f>IF(itens_Remanesc!A41="","",itens_Remanesc!I41)</f>
        <v/>
      </c>
      <c r="M42" s="284">
        <f>IF(A42="TOTAL",ROUND(SUM($M$3:M41),2),IF(OR(A42="",K42="",L42=""),"",ROUND(K42*L42,2)))</f>
        <v/>
      </c>
      <c r="N42" s="282">
        <f>IF(OR(itens_Remanesc!A41="",NOT(ISNUMBER(parametros!$F$6))),"",ROUND(itens_Remanesc!C41*parametros!$F$6,2))</f>
        <v/>
      </c>
      <c r="O42" s="283">
        <f>IF(itens_Remanesc!A41="","",itens_Remanesc!K41)</f>
        <v/>
      </c>
      <c r="P42" s="282">
        <f>IF(A42="TOTAL",ROUND(SUM($P$3:P41),2),IF(OR(A42="",N42="",O42=""),"",ROUND(N42*O42,2)))</f>
        <v/>
      </c>
    </row>
    <row r="43">
      <c r="A43" s="281">
        <f>IF(AND(itens_Remanesc!A42="",itens_Remanesc!A41&lt;&gt;"",COUNTIF(itens_Remanesc!A43:$A$200,"&lt;&gt;")=0),"TOTAL",IF(itens_Remanesc!A42="","",itens_Remanesc!A42))</f>
        <v/>
      </c>
      <c r="B43" s="282">
        <f>IF(OR(itens_Remanesc!A42="",NOT(ISNUMBER(parametros!$F$2))),"",ROUND(itens_Remanesc!C42*parametros!$F$2,2))</f>
        <v/>
      </c>
      <c r="C43" s="283">
        <f>IF(itens_Remanesc!A42="","",itens_Remanesc!B42)</f>
        <v/>
      </c>
      <c r="D43" s="282">
        <f>IF(A43="TOTAL",ROUND(SUM($D$3:D42),2),IF(A43="","",ROUND(B43*C43,2)))</f>
        <v/>
      </c>
      <c r="E43" s="284">
        <f>IF(OR(itens_Remanesc!A42="",NOT(ISNUMBER(parametros!$F$3))),"",ROUND(itens_Remanesc!C42*parametros!$F$3,2))</f>
        <v/>
      </c>
      <c r="F43" s="285">
        <f>IF(itens_Remanesc!A42="","",itens_Remanesc!E42)</f>
        <v/>
      </c>
      <c r="G43" s="284">
        <f>IF(A43="TOTAL",ROUND(SUM($G$3:G42),2),IF(OR(A43="",E43="",F43=""),"",ROUND(E43*F43,2)))</f>
        <v/>
      </c>
      <c r="H43" s="282">
        <f>IF(OR(itens_Remanesc!A42="",NOT(ISNUMBER(parametros!$F$4))),"",ROUND(itens_Remanesc!C42*parametros!$F$4,2))</f>
        <v/>
      </c>
      <c r="I43" s="283">
        <f>IF(itens_Remanesc!A42="","",itens_Remanesc!G42)</f>
        <v/>
      </c>
      <c r="J43" s="282">
        <f>IF(A43="TOTAL",ROUND(SUM($J$3:J42),2),IF(OR(A43="",H43="",I43=""),"",ROUND(H43*I43,2)))</f>
        <v/>
      </c>
      <c r="K43" s="284">
        <f>IF(OR(itens_Remanesc!A42="",NOT(ISNUMBER(parametros!$F$5))),"",ROUND(itens_Remanesc!C42*parametros!$F$5,2))</f>
        <v/>
      </c>
      <c r="L43" s="285">
        <f>IF(itens_Remanesc!A42="","",itens_Remanesc!I42)</f>
        <v/>
      </c>
      <c r="M43" s="284">
        <f>IF(A43="TOTAL",ROUND(SUM($M$3:M42),2),IF(OR(A43="",K43="",L43=""),"",ROUND(K43*L43,2)))</f>
        <v/>
      </c>
      <c r="N43" s="282">
        <f>IF(OR(itens_Remanesc!A42="",NOT(ISNUMBER(parametros!$F$6))),"",ROUND(itens_Remanesc!C42*parametros!$F$6,2))</f>
        <v/>
      </c>
      <c r="O43" s="283">
        <f>IF(itens_Remanesc!A42="","",itens_Remanesc!K42)</f>
        <v/>
      </c>
      <c r="P43" s="282">
        <f>IF(A43="TOTAL",ROUND(SUM($P$3:P42),2),IF(OR(A43="",N43="",O43=""),"",ROUND(N43*O43,2)))</f>
        <v/>
      </c>
    </row>
    <row r="44">
      <c r="A44" s="281">
        <f>IF(AND(itens_Remanesc!A43="",itens_Remanesc!A42&lt;&gt;"",COUNTIF(itens_Remanesc!A44:$A$200,"&lt;&gt;")=0),"TOTAL",IF(itens_Remanesc!A43="","",itens_Remanesc!A43))</f>
        <v/>
      </c>
      <c r="B44" s="282">
        <f>IF(OR(itens_Remanesc!A43="",NOT(ISNUMBER(parametros!$F$2))),"",ROUND(itens_Remanesc!C43*parametros!$F$2,2))</f>
        <v/>
      </c>
      <c r="C44" s="283">
        <f>IF(itens_Remanesc!A43="","",itens_Remanesc!B43)</f>
        <v/>
      </c>
      <c r="D44" s="282">
        <f>IF(A44="TOTAL",ROUND(SUM($D$3:D43),2),IF(A44="","",ROUND(B44*C44,2)))</f>
        <v/>
      </c>
      <c r="E44" s="284">
        <f>IF(OR(itens_Remanesc!A43="",NOT(ISNUMBER(parametros!$F$3))),"",ROUND(itens_Remanesc!C43*parametros!$F$3,2))</f>
        <v/>
      </c>
      <c r="F44" s="285">
        <f>IF(itens_Remanesc!A43="","",itens_Remanesc!E43)</f>
        <v/>
      </c>
      <c r="G44" s="284">
        <f>IF(A44="TOTAL",ROUND(SUM($G$3:G43),2),IF(OR(A44="",E44="",F44=""),"",ROUND(E44*F44,2)))</f>
        <v/>
      </c>
      <c r="H44" s="282">
        <f>IF(OR(itens_Remanesc!A43="",NOT(ISNUMBER(parametros!$F$4))),"",ROUND(itens_Remanesc!C43*parametros!$F$4,2))</f>
        <v/>
      </c>
      <c r="I44" s="283">
        <f>IF(itens_Remanesc!A43="","",itens_Remanesc!G43)</f>
        <v/>
      </c>
      <c r="J44" s="282">
        <f>IF(A44="TOTAL",ROUND(SUM($J$3:J43),2),IF(OR(A44="",H44="",I44=""),"",ROUND(H44*I44,2)))</f>
        <v/>
      </c>
      <c r="K44" s="284">
        <f>IF(OR(itens_Remanesc!A43="",NOT(ISNUMBER(parametros!$F$5))),"",ROUND(itens_Remanesc!C43*parametros!$F$5,2))</f>
        <v/>
      </c>
      <c r="L44" s="285">
        <f>IF(itens_Remanesc!A43="","",itens_Remanesc!I43)</f>
        <v/>
      </c>
      <c r="M44" s="284">
        <f>IF(A44="TOTAL",ROUND(SUM($M$3:M43),2),IF(OR(A44="",K44="",L44=""),"",ROUND(K44*L44,2)))</f>
        <v/>
      </c>
      <c r="N44" s="282">
        <f>IF(OR(itens_Remanesc!A43="",NOT(ISNUMBER(parametros!$F$6))),"",ROUND(itens_Remanesc!C43*parametros!$F$6,2))</f>
        <v/>
      </c>
      <c r="O44" s="283">
        <f>IF(itens_Remanesc!A43="","",itens_Remanesc!K43)</f>
        <v/>
      </c>
      <c r="P44" s="282">
        <f>IF(A44="TOTAL",ROUND(SUM($P$3:P43),2),IF(OR(A44="",N44="",O44=""),"",ROUND(N44*O44,2)))</f>
        <v/>
      </c>
    </row>
    <row r="45">
      <c r="A45" s="281">
        <f>IF(AND(itens_Remanesc!A44="",itens_Remanesc!A43&lt;&gt;"",COUNTIF(itens_Remanesc!A45:$A$200,"&lt;&gt;")=0),"TOTAL",IF(itens_Remanesc!A44="","",itens_Remanesc!A44))</f>
        <v/>
      </c>
      <c r="B45" s="282">
        <f>IF(OR(itens_Remanesc!A44="",NOT(ISNUMBER(parametros!$F$2))),"",ROUND(itens_Remanesc!C44*parametros!$F$2,2))</f>
        <v/>
      </c>
      <c r="C45" s="283">
        <f>IF(itens_Remanesc!A44="","",itens_Remanesc!B44)</f>
        <v/>
      </c>
      <c r="D45" s="282">
        <f>IF(A45="TOTAL",ROUND(SUM($D$3:D44),2),IF(A45="","",ROUND(B45*C45,2)))</f>
        <v/>
      </c>
      <c r="E45" s="284">
        <f>IF(OR(itens_Remanesc!A44="",NOT(ISNUMBER(parametros!$F$3))),"",ROUND(itens_Remanesc!C44*parametros!$F$3,2))</f>
        <v/>
      </c>
      <c r="F45" s="285">
        <f>IF(itens_Remanesc!A44="","",itens_Remanesc!E44)</f>
        <v/>
      </c>
      <c r="G45" s="284">
        <f>IF(A45="TOTAL",ROUND(SUM($G$3:G44),2),IF(OR(A45="",E45="",F45=""),"",ROUND(E45*F45,2)))</f>
        <v/>
      </c>
      <c r="H45" s="282">
        <f>IF(OR(itens_Remanesc!A44="",NOT(ISNUMBER(parametros!$F$4))),"",ROUND(itens_Remanesc!C44*parametros!$F$4,2))</f>
        <v/>
      </c>
      <c r="I45" s="283">
        <f>IF(itens_Remanesc!A44="","",itens_Remanesc!G44)</f>
        <v/>
      </c>
      <c r="J45" s="282">
        <f>IF(A45="TOTAL",ROUND(SUM($J$3:J44),2),IF(OR(A45="",H45="",I45=""),"",ROUND(H45*I45,2)))</f>
        <v/>
      </c>
      <c r="K45" s="284">
        <f>IF(OR(itens_Remanesc!A44="",NOT(ISNUMBER(parametros!$F$5))),"",ROUND(itens_Remanesc!C44*parametros!$F$5,2))</f>
        <v/>
      </c>
      <c r="L45" s="285">
        <f>IF(itens_Remanesc!A44="","",itens_Remanesc!I44)</f>
        <v/>
      </c>
      <c r="M45" s="284">
        <f>IF(A45="TOTAL",ROUND(SUM($M$3:M44),2),IF(OR(A45="",K45="",L45=""),"",ROUND(K45*L45,2)))</f>
        <v/>
      </c>
      <c r="N45" s="282">
        <f>IF(OR(itens_Remanesc!A44="",NOT(ISNUMBER(parametros!$F$6))),"",ROUND(itens_Remanesc!C44*parametros!$F$6,2))</f>
        <v/>
      </c>
      <c r="O45" s="283">
        <f>IF(itens_Remanesc!A44="","",itens_Remanesc!K44)</f>
        <v/>
      </c>
      <c r="P45" s="282">
        <f>IF(A45="TOTAL",ROUND(SUM($P$3:P44),2),IF(OR(A45="",N45="",O45=""),"",ROUND(N45*O45,2)))</f>
        <v/>
      </c>
    </row>
    <row r="46">
      <c r="A46" s="281">
        <f>IF(AND(itens_Remanesc!A45="",itens_Remanesc!A44&lt;&gt;"",COUNTIF(itens_Remanesc!A46:$A$200,"&lt;&gt;")=0),"TOTAL",IF(itens_Remanesc!A45="","",itens_Remanesc!A45))</f>
        <v/>
      </c>
      <c r="B46" s="282">
        <f>IF(OR(itens_Remanesc!A45="",NOT(ISNUMBER(parametros!$F$2))),"",ROUND(itens_Remanesc!C45*parametros!$F$2,2))</f>
        <v/>
      </c>
      <c r="C46" s="283">
        <f>IF(itens_Remanesc!A45="","",itens_Remanesc!B45)</f>
        <v/>
      </c>
      <c r="D46" s="282">
        <f>IF(A46="TOTAL",ROUND(SUM($D$3:D45),2),IF(A46="","",ROUND(B46*C46,2)))</f>
        <v/>
      </c>
      <c r="E46" s="284">
        <f>IF(OR(itens_Remanesc!A45="",NOT(ISNUMBER(parametros!$F$3))),"",ROUND(itens_Remanesc!C45*parametros!$F$3,2))</f>
        <v/>
      </c>
      <c r="F46" s="285">
        <f>IF(itens_Remanesc!A45="","",itens_Remanesc!E45)</f>
        <v/>
      </c>
      <c r="G46" s="284">
        <f>IF(A46="TOTAL",ROUND(SUM($G$3:G45),2),IF(OR(A46="",E46="",F46=""),"",ROUND(E46*F46,2)))</f>
        <v/>
      </c>
      <c r="H46" s="282">
        <f>IF(OR(itens_Remanesc!A45="",NOT(ISNUMBER(parametros!$F$4))),"",ROUND(itens_Remanesc!C45*parametros!$F$4,2))</f>
        <v/>
      </c>
      <c r="I46" s="283">
        <f>IF(itens_Remanesc!A45="","",itens_Remanesc!G45)</f>
        <v/>
      </c>
      <c r="J46" s="282">
        <f>IF(A46="TOTAL",ROUND(SUM($J$3:J45),2),IF(OR(A46="",H46="",I46=""),"",ROUND(H46*I46,2)))</f>
        <v/>
      </c>
      <c r="K46" s="284">
        <f>IF(OR(itens_Remanesc!A45="",NOT(ISNUMBER(parametros!$F$5))),"",ROUND(itens_Remanesc!C45*parametros!$F$5,2))</f>
        <v/>
      </c>
      <c r="L46" s="285">
        <f>IF(itens_Remanesc!A45="","",itens_Remanesc!I45)</f>
        <v/>
      </c>
      <c r="M46" s="284">
        <f>IF(A46="TOTAL",ROUND(SUM($M$3:M45),2),IF(OR(A46="",K46="",L46=""),"",ROUND(K46*L46,2)))</f>
        <v/>
      </c>
      <c r="N46" s="282">
        <f>IF(OR(itens_Remanesc!A45="",NOT(ISNUMBER(parametros!$F$6))),"",ROUND(itens_Remanesc!C45*parametros!$F$6,2))</f>
        <v/>
      </c>
      <c r="O46" s="283">
        <f>IF(itens_Remanesc!A45="","",itens_Remanesc!K45)</f>
        <v/>
      </c>
      <c r="P46" s="282">
        <f>IF(A46="TOTAL",ROUND(SUM($P$3:P45),2),IF(OR(A46="",N46="",O46=""),"",ROUND(N46*O46,2)))</f>
        <v/>
      </c>
    </row>
    <row r="47">
      <c r="A47" s="281">
        <f>IF(AND(itens_Remanesc!A46="",itens_Remanesc!A45&lt;&gt;"",COUNTIF(itens_Remanesc!A47:$A$200,"&lt;&gt;")=0),"TOTAL",IF(itens_Remanesc!A46="","",itens_Remanesc!A46))</f>
        <v/>
      </c>
      <c r="B47" s="282">
        <f>IF(OR(itens_Remanesc!A46="",NOT(ISNUMBER(parametros!$F$2))),"",ROUND(itens_Remanesc!C46*parametros!$F$2,2))</f>
        <v/>
      </c>
      <c r="C47" s="283">
        <f>IF(itens_Remanesc!A46="","",itens_Remanesc!B46)</f>
        <v/>
      </c>
      <c r="D47" s="282">
        <f>IF(A47="TOTAL",ROUND(SUM($D$3:D46),2),IF(A47="","",ROUND(B47*C47,2)))</f>
        <v/>
      </c>
      <c r="E47" s="284">
        <f>IF(OR(itens_Remanesc!A46="",NOT(ISNUMBER(parametros!$F$3))),"",ROUND(itens_Remanesc!C46*parametros!$F$3,2))</f>
        <v/>
      </c>
      <c r="F47" s="285">
        <f>IF(itens_Remanesc!A46="","",itens_Remanesc!E46)</f>
        <v/>
      </c>
      <c r="G47" s="284">
        <f>IF(A47="TOTAL",ROUND(SUM($G$3:G46),2),IF(OR(A47="",E47="",F47=""),"",ROUND(E47*F47,2)))</f>
        <v/>
      </c>
      <c r="H47" s="282">
        <f>IF(OR(itens_Remanesc!A46="",NOT(ISNUMBER(parametros!$F$4))),"",ROUND(itens_Remanesc!C46*parametros!$F$4,2))</f>
        <v/>
      </c>
      <c r="I47" s="283">
        <f>IF(itens_Remanesc!A46="","",itens_Remanesc!G46)</f>
        <v/>
      </c>
      <c r="J47" s="282">
        <f>IF(A47="TOTAL",ROUND(SUM($J$3:J46),2),IF(OR(A47="",H47="",I47=""),"",ROUND(H47*I47,2)))</f>
        <v/>
      </c>
      <c r="K47" s="284">
        <f>IF(OR(itens_Remanesc!A46="",NOT(ISNUMBER(parametros!$F$5))),"",ROUND(itens_Remanesc!C46*parametros!$F$5,2))</f>
        <v/>
      </c>
      <c r="L47" s="285">
        <f>IF(itens_Remanesc!A46="","",itens_Remanesc!I46)</f>
        <v/>
      </c>
      <c r="M47" s="284">
        <f>IF(A47="TOTAL",ROUND(SUM($M$3:M46),2),IF(OR(A47="",K47="",L47=""),"",ROUND(K47*L47,2)))</f>
        <v/>
      </c>
      <c r="N47" s="282">
        <f>IF(OR(itens_Remanesc!A46="",NOT(ISNUMBER(parametros!$F$6))),"",ROUND(itens_Remanesc!C46*parametros!$F$6,2))</f>
        <v/>
      </c>
      <c r="O47" s="283">
        <f>IF(itens_Remanesc!A46="","",itens_Remanesc!K46)</f>
        <v/>
      </c>
      <c r="P47" s="282">
        <f>IF(A47="TOTAL",ROUND(SUM($P$3:P46),2),IF(OR(A47="",N47="",O47=""),"",ROUND(N47*O47,2)))</f>
        <v/>
      </c>
    </row>
    <row r="48">
      <c r="A48" s="281">
        <f>IF(AND(itens_Remanesc!A47="",itens_Remanesc!A46&lt;&gt;"",COUNTIF(itens_Remanesc!A48:$A$200,"&lt;&gt;")=0),"TOTAL",IF(itens_Remanesc!A47="","",itens_Remanesc!A47))</f>
        <v/>
      </c>
      <c r="B48" s="282">
        <f>IF(OR(itens_Remanesc!A47="",NOT(ISNUMBER(parametros!$F$2))),"",ROUND(itens_Remanesc!C47*parametros!$F$2,2))</f>
        <v/>
      </c>
      <c r="C48" s="283">
        <f>IF(itens_Remanesc!A47="","",itens_Remanesc!B47)</f>
        <v/>
      </c>
      <c r="D48" s="282">
        <f>IF(A48="TOTAL",ROUND(SUM($D$3:D47),2),IF(A48="","",ROUND(B48*C48,2)))</f>
        <v/>
      </c>
      <c r="E48" s="284">
        <f>IF(OR(itens_Remanesc!A47="",NOT(ISNUMBER(parametros!$F$3))),"",ROUND(itens_Remanesc!C47*parametros!$F$3,2))</f>
        <v/>
      </c>
      <c r="F48" s="285">
        <f>IF(itens_Remanesc!A47="","",itens_Remanesc!E47)</f>
        <v/>
      </c>
      <c r="G48" s="284">
        <f>IF(A48="TOTAL",ROUND(SUM($G$3:G47),2),IF(OR(A48="",E48="",F48=""),"",ROUND(E48*F48,2)))</f>
        <v/>
      </c>
      <c r="H48" s="282">
        <f>IF(OR(itens_Remanesc!A47="",NOT(ISNUMBER(parametros!$F$4))),"",ROUND(itens_Remanesc!C47*parametros!$F$4,2))</f>
        <v/>
      </c>
      <c r="I48" s="283">
        <f>IF(itens_Remanesc!A47="","",itens_Remanesc!G47)</f>
        <v/>
      </c>
      <c r="J48" s="282">
        <f>IF(A48="TOTAL",ROUND(SUM($J$3:J47),2),IF(OR(A48="",H48="",I48=""),"",ROUND(H48*I48,2)))</f>
        <v/>
      </c>
      <c r="K48" s="284">
        <f>IF(OR(itens_Remanesc!A47="",NOT(ISNUMBER(parametros!$F$5))),"",ROUND(itens_Remanesc!C47*parametros!$F$5,2))</f>
        <v/>
      </c>
      <c r="L48" s="285">
        <f>IF(itens_Remanesc!A47="","",itens_Remanesc!I47)</f>
        <v/>
      </c>
      <c r="M48" s="284">
        <f>IF(A48="TOTAL",ROUND(SUM($M$3:M47),2),IF(OR(A48="",K48="",L48=""),"",ROUND(K48*L48,2)))</f>
        <v/>
      </c>
      <c r="N48" s="282">
        <f>IF(OR(itens_Remanesc!A47="",NOT(ISNUMBER(parametros!$F$6))),"",ROUND(itens_Remanesc!C47*parametros!$F$6,2))</f>
        <v/>
      </c>
      <c r="O48" s="283">
        <f>IF(itens_Remanesc!A47="","",itens_Remanesc!K47)</f>
        <v/>
      </c>
      <c r="P48" s="282">
        <f>IF(A48="TOTAL",ROUND(SUM($P$3:P47),2),IF(OR(A48="",N48="",O48=""),"",ROUND(N48*O48,2)))</f>
        <v/>
      </c>
    </row>
    <row r="49">
      <c r="A49" s="281">
        <f>IF(AND(itens_Remanesc!A48="",itens_Remanesc!A47&lt;&gt;"",COUNTIF(itens_Remanesc!A49:$A$200,"&lt;&gt;")=0),"TOTAL",IF(itens_Remanesc!A48="","",itens_Remanesc!A48))</f>
        <v/>
      </c>
      <c r="B49" s="282">
        <f>IF(OR(itens_Remanesc!A48="",NOT(ISNUMBER(parametros!$F$2))),"",ROUND(itens_Remanesc!C48*parametros!$F$2,2))</f>
        <v/>
      </c>
      <c r="C49" s="283">
        <f>IF(itens_Remanesc!A48="","",itens_Remanesc!B48)</f>
        <v/>
      </c>
      <c r="D49" s="282">
        <f>IF(A49="TOTAL",ROUND(SUM($D$3:D48),2),IF(A49="","",ROUND(B49*C49,2)))</f>
        <v/>
      </c>
      <c r="E49" s="284">
        <f>IF(OR(itens_Remanesc!A48="",NOT(ISNUMBER(parametros!$F$3))),"",ROUND(itens_Remanesc!C48*parametros!$F$3,2))</f>
        <v/>
      </c>
      <c r="F49" s="285">
        <f>IF(itens_Remanesc!A48="","",itens_Remanesc!E48)</f>
        <v/>
      </c>
      <c r="G49" s="284">
        <f>IF(A49="TOTAL",ROUND(SUM($G$3:G48),2),IF(OR(A49="",E49="",F49=""),"",ROUND(E49*F49,2)))</f>
        <v/>
      </c>
      <c r="H49" s="282">
        <f>IF(OR(itens_Remanesc!A48="",NOT(ISNUMBER(parametros!$F$4))),"",ROUND(itens_Remanesc!C48*parametros!$F$4,2))</f>
        <v/>
      </c>
      <c r="I49" s="283">
        <f>IF(itens_Remanesc!A48="","",itens_Remanesc!G48)</f>
        <v/>
      </c>
      <c r="J49" s="282">
        <f>IF(A49="TOTAL",ROUND(SUM($J$3:J48),2),IF(OR(A49="",H49="",I49=""),"",ROUND(H49*I49,2)))</f>
        <v/>
      </c>
      <c r="K49" s="284">
        <f>IF(OR(itens_Remanesc!A48="",NOT(ISNUMBER(parametros!$F$5))),"",ROUND(itens_Remanesc!C48*parametros!$F$5,2))</f>
        <v/>
      </c>
      <c r="L49" s="285">
        <f>IF(itens_Remanesc!A48="","",itens_Remanesc!I48)</f>
        <v/>
      </c>
      <c r="M49" s="284">
        <f>IF(A49="TOTAL",ROUND(SUM($M$3:M48),2),IF(OR(A49="",K49="",L49=""),"",ROUND(K49*L49,2)))</f>
        <v/>
      </c>
      <c r="N49" s="282">
        <f>IF(OR(itens_Remanesc!A48="",NOT(ISNUMBER(parametros!$F$6))),"",ROUND(itens_Remanesc!C48*parametros!$F$6,2))</f>
        <v/>
      </c>
      <c r="O49" s="283">
        <f>IF(itens_Remanesc!A48="","",itens_Remanesc!K48)</f>
        <v/>
      </c>
      <c r="P49" s="282">
        <f>IF(A49="TOTAL",ROUND(SUM($P$3:P48),2),IF(OR(A49="",N49="",O49=""),"",ROUND(N49*O49,2)))</f>
        <v/>
      </c>
    </row>
    <row r="50">
      <c r="A50" s="281">
        <f>IF(AND(itens_Remanesc!A49="",itens_Remanesc!A48&lt;&gt;"",COUNTIF(itens_Remanesc!A50:$A$200,"&lt;&gt;")=0),"TOTAL",IF(itens_Remanesc!A49="","",itens_Remanesc!A49))</f>
        <v/>
      </c>
      <c r="B50" s="282">
        <f>IF(OR(itens_Remanesc!A49="",NOT(ISNUMBER(parametros!$F$2))),"",ROUND(itens_Remanesc!C49*parametros!$F$2,2))</f>
        <v/>
      </c>
      <c r="C50" s="283">
        <f>IF(itens_Remanesc!A49="","",itens_Remanesc!B49)</f>
        <v/>
      </c>
      <c r="D50" s="282">
        <f>IF(A50="TOTAL",ROUND(SUM($D$3:D49),2),IF(A50="","",ROUND(B50*C50,2)))</f>
        <v/>
      </c>
      <c r="E50" s="284">
        <f>IF(OR(itens_Remanesc!A49="",NOT(ISNUMBER(parametros!$F$3))),"",ROUND(itens_Remanesc!C49*parametros!$F$3,2))</f>
        <v/>
      </c>
      <c r="F50" s="285">
        <f>IF(itens_Remanesc!A49="","",itens_Remanesc!E49)</f>
        <v/>
      </c>
      <c r="G50" s="284">
        <f>IF(A50="TOTAL",ROUND(SUM($G$3:G49),2),IF(OR(A50="",E50="",F50=""),"",ROUND(E50*F50,2)))</f>
        <v/>
      </c>
      <c r="H50" s="282">
        <f>IF(OR(itens_Remanesc!A49="",NOT(ISNUMBER(parametros!$F$4))),"",ROUND(itens_Remanesc!C49*parametros!$F$4,2))</f>
        <v/>
      </c>
      <c r="I50" s="283">
        <f>IF(itens_Remanesc!A49="","",itens_Remanesc!G49)</f>
        <v/>
      </c>
      <c r="J50" s="282">
        <f>IF(A50="TOTAL",ROUND(SUM($J$3:J49),2),IF(OR(A50="",H50="",I50=""),"",ROUND(H50*I50,2)))</f>
        <v/>
      </c>
      <c r="K50" s="284">
        <f>IF(OR(itens_Remanesc!A49="",NOT(ISNUMBER(parametros!$F$5))),"",ROUND(itens_Remanesc!C49*parametros!$F$5,2))</f>
        <v/>
      </c>
      <c r="L50" s="285">
        <f>IF(itens_Remanesc!A49="","",itens_Remanesc!I49)</f>
        <v/>
      </c>
      <c r="M50" s="284">
        <f>IF(A50="TOTAL",ROUND(SUM($M$3:M49),2),IF(OR(A50="",K50="",L50=""),"",ROUND(K50*L50,2)))</f>
        <v/>
      </c>
      <c r="N50" s="282">
        <f>IF(OR(itens_Remanesc!A49="",NOT(ISNUMBER(parametros!$F$6))),"",ROUND(itens_Remanesc!C49*parametros!$F$6,2))</f>
        <v/>
      </c>
      <c r="O50" s="283">
        <f>IF(itens_Remanesc!A49="","",itens_Remanesc!K49)</f>
        <v/>
      </c>
      <c r="P50" s="282">
        <f>IF(A50="TOTAL",ROUND(SUM($P$3:P49),2),IF(OR(A50="",N50="",O50=""),"",ROUND(N50*O50,2)))</f>
        <v/>
      </c>
    </row>
    <row r="51">
      <c r="A51" s="281">
        <f>IF(AND(itens_Remanesc!A50="",itens_Remanesc!A49&lt;&gt;"",COUNTIF(itens_Remanesc!A51:$A$200,"&lt;&gt;")=0),"TOTAL",IF(itens_Remanesc!A50="","",itens_Remanesc!A50))</f>
        <v/>
      </c>
      <c r="B51" s="282">
        <f>IF(OR(itens_Remanesc!A50="",NOT(ISNUMBER(parametros!$F$2))),"",ROUND(itens_Remanesc!C50*parametros!$F$2,2))</f>
        <v/>
      </c>
      <c r="C51" s="283">
        <f>IF(itens_Remanesc!A50="","",itens_Remanesc!B50)</f>
        <v/>
      </c>
      <c r="D51" s="282">
        <f>IF(A51="TOTAL",ROUND(SUM($D$3:D50),2),IF(A51="","",ROUND(B51*C51,2)))</f>
        <v/>
      </c>
      <c r="E51" s="284">
        <f>IF(OR(itens_Remanesc!A50="",NOT(ISNUMBER(parametros!$F$3))),"",ROUND(itens_Remanesc!C50*parametros!$F$3,2))</f>
        <v/>
      </c>
      <c r="F51" s="285">
        <f>IF(itens_Remanesc!A50="","",itens_Remanesc!E50)</f>
        <v/>
      </c>
      <c r="G51" s="284">
        <f>IF(A51="TOTAL",ROUND(SUM($G$3:G50),2),IF(OR(A51="",E51="",F51=""),"",ROUND(E51*F51,2)))</f>
        <v/>
      </c>
      <c r="H51" s="282">
        <f>IF(OR(itens_Remanesc!A50="",NOT(ISNUMBER(parametros!$F$4))),"",ROUND(itens_Remanesc!C50*parametros!$F$4,2))</f>
        <v/>
      </c>
      <c r="I51" s="283">
        <f>IF(itens_Remanesc!A50="","",itens_Remanesc!G50)</f>
        <v/>
      </c>
      <c r="J51" s="282">
        <f>IF(A51="TOTAL",ROUND(SUM($J$3:J50),2),IF(OR(A51="",H51="",I51=""),"",ROUND(H51*I51,2)))</f>
        <v/>
      </c>
      <c r="K51" s="284">
        <f>IF(OR(itens_Remanesc!A50="",NOT(ISNUMBER(parametros!$F$5))),"",ROUND(itens_Remanesc!C50*parametros!$F$5,2))</f>
        <v/>
      </c>
      <c r="L51" s="285">
        <f>IF(itens_Remanesc!A50="","",itens_Remanesc!I50)</f>
        <v/>
      </c>
      <c r="M51" s="284">
        <f>IF(A51="TOTAL",ROUND(SUM($M$3:M50),2),IF(OR(A51="",K51="",L51=""),"",ROUND(K51*L51,2)))</f>
        <v/>
      </c>
      <c r="N51" s="282">
        <f>IF(OR(itens_Remanesc!A50="",NOT(ISNUMBER(parametros!$F$6))),"",ROUND(itens_Remanesc!C50*parametros!$F$6,2))</f>
        <v/>
      </c>
      <c r="O51" s="283">
        <f>IF(itens_Remanesc!A50="","",itens_Remanesc!K50)</f>
        <v/>
      </c>
      <c r="P51" s="282">
        <f>IF(A51="TOTAL",ROUND(SUM($P$3:P50),2),IF(OR(A51="",N51="",O51=""),"",ROUND(N51*O51,2)))</f>
        <v/>
      </c>
    </row>
    <row r="52">
      <c r="A52" s="281">
        <f>IF(AND(itens_Remanesc!A51="",itens_Remanesc!A50&lt;&gt;"",COUNTIF(itens_Remanesc!A52:$A$200,"&lt;&gt;")=0),"TOTAL",IF(itens_Remanesc!A51="","",itens_Remanesc!A51))</f>
        <v/>
      </c>
      <c r="B52" s="282">
        <f>IF(OR(itens_Remanesc!A51="",NOT(ISNUMBER(parametros!$F$2))),"",ROUND(itens_Remanesc!C51*parametros!$F$2,2))</f>
        <v/>
      </c>
      <c r="C52" s="283">
        <f>IF(itens_Remanesc!A51="","",itens_Remanesc!B51)</f>
        <v/>
      </c>
      <c r="D52" s="282">
        <f>IF(A52="TOTAL",ROUND(SUM($D$3:D51),2),IF(A52="","",ROUND(B52*C52,2)))</f>
        <v/>
      </c>
      <c r="E52" s="284">
        <f>IF(OR(itens_Remanesc!A51="",NOT(ISNUMBER(parametros!$F$3))),"",ROUND(itens_Remanesc!C51*parametros!$F$3,2))</f>
        <v/>
      </c>
      <c r="F52" s="285">
        <f>IF(itens_Remanesc!A51="","",itens_Remanesc!E51)</f>
        <v/>
      </c>
      <c r="G52" s="284">
        <f>IF(A52="TOTAL",ROUND(SUM($G$3:G51),2),IF(OR(A52="",E52="",F52=""),"",ROUND(E52*F52,2)))</f>
        <v/>
      </c>
      <c r="H52" s="282">
        <f>IF(OR(itens_Remanesc!A51="",NOT(ISNUMBER(parametros!$F$4))),"",ROUND(itens_Remanesc!C51*parametros!$F$4,2))</f>
        <v/>
      </c>
      <c r="I52" s="283">
        <f>IF(itens_Remanesc!A51="","",itens_Remanesc!G51)</f>
        <v/>
      </c>
      <c r="J52" s="282">
        <f>IF(A52="TOTAL",ROUND(SUM($J$3:J51),2),IF(OR(A52="",H52="",I52=""),"",ROUND(H52*I52,2)))</f>
        <v/>
      </c>
      <c r="K52" s="284">
        <f>IF(OR(itens_Remanesc!A51="",NOT(ISNUMBER(parametros!$F$5))),"",ROUND(itens_Remanesc!C51*parametros!$F$5,2))</f>
        <v/>
      </c>
      <c r="L52" s="285">
        <f>IF(itens_Remanesc!A51="","",itens_Remanesc!I51)</f>
        <v/>
      </c>
      <c r="M52" s="284">
        <f>IF(A52="TOTAL",ROUND(SUM($M$3:M51),2),IF(OR(A52="",K52="",L52=""),"",ROUND(K52*L52,2)))</f>
        <v/>
      </c>
      <c r="N52" s="282">
        <f>IF(OR(itens_Remanesc!A51="",NOT(ISNUMBER(parametros!$F$6))),"",ROUND(itens_Remanesc!C51*parametros!$F$6,2))</f>
        <v/>
      </c>
      <c r="O52" s="283">
        <f>IF(itens_Remanesc!A51="","",itens_Remanesc!K51)</f>
        <v/>
      </c>
      <c r="P52" s="282">
        <f>IF(A52="TOTAL",ROUND(SUM($P$3:P51),2),IF(OR(A52="",N52="",O52=""),"",ROUND(N52*O52,2)))</f>
        <v/>
      </c>
    </row>
    <row r="53">
      <c r="A53" s="281">
        <f>IF(AND(itens_Remanesc!A52="",itens_Remanesc!A51&lt;&gt;"",COUNTIF(itens_Remanesc!A53:$A$200,"&lt;&gt;")=0),"TOTAL",IF(itens_Remanesc!A52="","",itens_Remanesc!A52))</f>
        <v/>
      </c>
      <c r="B53" s="282">
        <f>IF(OR(itens_Remanesc!A52="",NOT(ISNUMBER(parametros!$F$2))),"",ROUND(itens_Remanesc!C52*parametros!$F$2,2))</f>
        <v/>
      </c>
      <c r="C53" s="283">
        <f>IF(itens_Remanesc!A52="","",itens_Remanesc!B52)</f>
        <v/>
      </c>
      <c r="D53" s="282">
        <f>IF(A53="TOTAL",ROUND(SUM($D$3:D52),2),IF(A53="","",ROUND(B53*C53,2)))</f>
        <v/>
      </c>
      <c r="E53" s="284">
        <f>IF(OR(itens_Remanesc!A52="",NOT(ISNUMBER(parametros!$F$3))),"",ROUND(itens_Remanesc!C52*parametros!$F$3,2))</f>
        <v/>
      </c>
      <c r="F53" s="285">
        <f>IF(itens_Remanesc!A52="","",itens_Remanesc!E52)</f>
        <v/>
      </c>
      <c r="G53" s="284">
        <f>IF(A53="TOTAL",ROUND(SUM($G$3:G52),2),IF(OR(A53="",E53="",F53=""),"",ROUND(E53*F53,2)))</f>
        <v/>
      </c>
      <c r="H53" s="282">
        <f>IF(OR(itens_Remanesc!A52="",NOT(ISNUMBER(parametros!$F$4))),"",ROUND(itens_Remanesc!C52*parametros!$F$4,2))</f>
        <v/>
      </c>
      <c r="I53" s="283">
        <f>IF(itens_Remanesc!A52="","",itens_Remanesc!G52)</f>
        <v/>
      </c>
      <c r="J53" s="282">
        <f>IF(A53="TOTAL",ROUND(SUM($J$3:J52),2),IF(OR(A53="",H53="",I53=""),"",ROUND(H53*I53,2)))</f>
        <v/>
      </c>
      <c r="K53" s="284">
        <f>IF(OR(itens_Remanesc!A52="",NOT(ISNUMBER(parametros!$F$5))),"",ROUND(itens_Remanesc!C52*parametros!$F$5,2))</f>
        <v/>
      </c>
      <c r="L53" s="285">
        <f>IF(itens_Remanesc!A52="","",itens_Remanesc!I52)</f>
        <v/>
      </c>
      <c r="M53" s="284">
        <f>IF(A53="TOTAL",ROUND(SUM($M$3:M52),2),IF(OR(A53="",K53="",L53=""),"",ROUND(K53*L53,2)))</f>
        <v/>
      </c>
      <c r="N53" s="282">
        <f>IF(OR(itens_Remanesc!A52="",NOT(ISNUMBER(parametros!$F$6))),"",ROUND(itens_Remanesc!C52*parametros!$F$6,2))</f>
        <v/>
      </c>
      <c r="O53" s="283">
        <f>IF(itens_Remanesc!A52="","",itens_Remanesc!K52)</f>
        <v/>
      </c>
      <c r="P53" s="282">
        <f>IF(A53="TOTAL",ROUND(SUM($P$3:P52),2),IF(OR(A53="",N53="",O53=""),"",ROUND(N53*O53,2)))</f>
        <v/>
      </c>
    </row>
    <row r="54">
      <c r="A54" s="281">
        <f>IF(AND(itens_Remanesc!A53="",itens_Remanesc!A52&lt;&gt;"",COUNTIF(itens_Remanesc!A54:$A$200,"&lt;&gt;")=0),"TOTAL",IF(itens_Remanesc!A53="","",itens_Remanesc!A53))</f>
        <v/>
      </c>
      <c r="B54" s="282">
        <f>IF(OR(itens_Remanesc!A53="",NOT(ISNUMBER(parametros!$F$2))),"",ROUND(itens_Remanesc!C53*parametros!$F$2,2))</f>
        <v/>
      </c>
      <c r="C54" s="283">
        <f>IF(itens_Remanesc!A53="","",itens_Remanesc!B53)</f>
        <v/>
      </c>
      <c r="D54" s="282">
        <f>IF(A54="TOTAL",ROUND(SUM($D$3:D53),2),IF(A54="","",ROUND(B54*C54,2)))</f>
        <v/>
      </c>
      <c r="E54" s="284">
        <f>IF(OR(itens_Remanesc!A53="",NOT(ISNUMBER(parametros!$F$3))),"",ROUND(itens_Remanesc!C53*parametros!$F$3,2))</f>
        <v/>
      </c>
      <c r="F54" s="285">
        <f>IF(itens_Remanesc!A53="","",itens_Remanesc!E53)</f>
        <v/>
      </c>
      <c r="G54" s="284">
        <f>IF(A54="TOTAL",ROUND(SUM($G$3:G53),2),IF(OR(A54="",E54="",F54=""),"",ROUND(E54*F54,2)))</f>
        <v/>
      </c>
      <c r="H54" s="282">
        <f>IF(OR(itens_Remanesc!A53="",NOT(ISNUMBER(parametros!$F$4))),"",ROUND(itens_Remanesc!C53*parametros!$F$4,2))</f>
        <v/>
      </c>
      <c r="I54" s="283">
        <f>IF(itens_Remanesc!A53="","",itens_Remanesc!G53)</f>
        <v/>
      </c>
      <c r="J54" s="282">
        <f>IF(A54="TOTAL",ROUND(SUM($J$3:J53),2),IF(OR(A54="",H54="",I54=""),"",ROUND(H54*I54,2)))</f>
        <v/>
      </c>
      <c r="K54" s="284">
        <f>IF(OR(itens_Remanesc!A53="",NOT(ISNUMBER(parametros!$F$5))),"",ROUND(itens_Remanesc!C53*parametros!$F$5,2))</f>
        <v/>
      </c>
      <c r="L54" s="285">
        <f>IF(itens_Remanesc!A53="","",itens_Remanesc!I53)</f>
        <v/>
      </c>
      <c r="M54" s="284">
        <f>IF(A54="TOTAL",ROUND(SUM($M$3:M53),2),IF(OR(A54="",K54="",L54=""),"",ROUND(K54*L54,2)))</f>
        <v/>
      </c>
      <c r="N54" s="282">
        <f>IF(OR(itens_Remanesc!A53="",NOT(ISNUMBER(parametros!$F$6))),"",ROUND(itens_Remanesc!C53*parametros!$F$6,2))</f>
        <v/>
      </c>
      <c r="O54" s="283">
        <f>IF(itens_Remanesc!A53="","",itens_Remanesc!K53)</f>
        <v/>
      </c>
      <c r="P54" s="282">
        <f>IF(A54="TOTAL",ROUND(SUM($P$3:P53),2),IF(OR(A54="",N54="",O54=""),"",ROUND(N54*O54,2)))</f>
        <v/>
      </c>
    </row>
    <row r="55">
      <c r="A55" s="281">
        <f>IF(AND(itens_Remanesc!A54="",itens_Remanesc!A53&lt;&gt;"",COUNTIF(itens_Remanesc!A55:$A$200,"&lt;&gt;")=0),"TOTAL",IF(itens_Remanesc!A54="","",itens_Remanesc!A54))</f>
        <v/>
      </c>
      <c r="B55" s="282">
        <f>IF(OR(itens_Remanesc!A54="",NOT(ISNUMBER(parametros!$F$2))),"",ROUND(itens_Remanesc!C54*parametros!$F$2,2))</f>
        <v/>
      </c>
      <c r="C55" s="283">
        <f>IF(itens_Remanesc!A54="","",itens_Remanesc!B54)</f>
        <v/>
      </c>
      <c r="D55" s="282">
        <f>IF(A55="TOTAL",ROUND(SUM($D$3:D54),2),IF(A55="","",ROUND(B55*C55,2)))</f>
        <v/>
      </c>
      <c r="E55" s="284">
        <f>IF(OR(itens_Remanesc!A54="",NOT(ISNUMBER(parametros!$F$3))),"",ROUND(itens_Remanesc!C54*parametros!$F$3,2))</f>
        <v/>
      </c>
      <c r="F55" s="285">
        <f>IF(itens_Remanesc!A54="","",itens_Remanesc!E54)</f>
        <v/>
      </c>
      <c r="G55" s="284">
        <f>IF(A55="TOTAL",ROUND(SUM($G$3:G54),2),IF(OR(A55="",E55="",F55=""),"",ROUND(E55*F55,2)))</f>
        <v/>
      </c>
      <c r="H55" s="282">
        <f>IF(OR(itens_Remanesc!A54="",NOT(ISNUMBER(parametros!$F$4))),"",ROUND(itens_Remanesc!C54*parametros!$F$4,2))</f>
        <v/>
      </c>
      <c r="I55" s="283">
        <f>IF(itens_Remanesc!A54="","",itens_Remanesc!G54)</f>
        <v/>
      </c>
      <c r="J55" s="282">
        <f>IF(A55="TOTAL",ROUND(SUM($J$3:J54),2),IF(OR(A55="",H55="",I55=""),"",ROUND(H55*I55,2)))</f>
        <v/>
      </c>
      <c r="K55" s="284">
        <f>IF(OR(itens_Remanesc!A54="",NOT(ISNUMBER(parametros!$F$5))),"",ROUND(itens_Remanesc!C54*parametros!$F$5,2))</f>
        <v/>
      </c>
      <c r="L55" s="285">
        <f>IF(itens_Remanesc!A54="","",itens_Remanesc!I54)</f>
        <v/>
      </c>
      <c r="M55" s="284">
        <f>IF(A55="TOTAL",ROUND(SUM($M$3:M54),2),IF(OR(A55="",K55="",L55=""),"",ROUND(K55*L55,2)))</f>
        <v/>
      </c>
      <c r="N55" s="282">
        <f>IF(OR(itens_Remanesc!A54="",NOT(ISNUMBER(parametros!$F$6))),"",ROUND(itens_Remanesc!C54*parametros!$F$6,2))</f>
        <v/>
      </c>
      <c r="O55" s="283">
        <f>IF(itens_Remanesc!A54="","",itens_Remanesc!K54)</f>
        <v/>
      </c>
      <c r="P55" s="282">
        <f>IF(A55="TOTAL",ROUND(SUM($P$3:P54),2),IF(OR(A55="",N55="",O55=""),"",ROUND(N55*O55,2)))</f>
        <v/>
      </c>
    </row>
    <row r="56">
      <c r="A56" s="281">
        <f>IF(AND(itens_Remanesc!A55="",itens_Remanesc!A54&lt;&gt;"",COUNTIF(itens_Remanesc!A56:$A$200,"&lt;&gt;")=0),"TOTAL",IF(itens_Remanesc!A55="","",itens_Remanesc!A55))</f>
        <v/>
      </c>
      <c r="B56" s="282">
        <f>IF(OR(itens_Remanesc!A55="",NOT(ISNUMBER(parametros!$F$2))),"",ROUND(itens_Remanesc!C55*parametros!$F$2,2))</f>
        <v/>
      </c>
      <c r="C56" s="283">
        <f>IF(itens_Remanesc!A55="","",itens_Remanesc!B55)</f>
        <v/>
      </c>
      <c r="D56" s="282">
        <f>IF(A56="TOTAL",ROUND(SUM($D$3:D55),2),IF(A56="","",ROUND(B56*C56,2)))</f>
        <v/>
      </c>
      <c r="E56" s="284">
        <f>IF(OR(itens_Remanesc!A55="",NOT(ISNUMBER(parametros!$F$3))),"",ROUND(itens_Remanesc!C55*parametros!$F$3,2))</f>
        <v/>
      </c>
      <c r="F56" s="285">
        <f>IF(itens_Remanesc!A55="","",itens_Remanesc!E55)</f>
        <v/>
      </c>
      <c r="G56" s="284">
        <f>IF(A56="TOTAL",ROUND(SUM($G$3:G55),2),IF(OR(A56="",E56="",F56=""),"",ROUND(E56*F56,2)))</f>
        <v/>
      </c>
      <c r="H56" s="282">
        <f>IF(OR(itens_Remanesc!A55="",NOT(ISNUMBER(parametros!$F$4))),"",ROUND(itens_Remanesc!C55*parametros!$F$4,2))</f>
        <v/>
      </c>
      <c r="I56" s="283">
        <f>IF(itens_Remanesc!A55="","",itens_Remanesc!G55)</f>
        <v/>
      </c>
      <c r="J56" s="282">
        <f>IF(A56="TOTAL",ROUND(SUM($J$3:J55),2),IF(OR(A56="",H56="",I56=""),"",ROUND(H56*I56,2)))</f>
        <v/>
      </c>
      <c r="K56" s="284">
        <f>IF(OR(itens_Remanesc!A55="",NOT(ISNUMBER(parametros!$F$5))),"",ROUND(itens_Remanesc!C55*parametros!$F$5,2))</f>
        <v/>
      </c>
      <c r="L56" s="285">
        <f>IF(itens_Remanesc!A55="","",itens_Remanesc!I55)</f>
        <v/>
      </c>
      <c r="M56" s="284">
        <f>IF(A56="TOTAL",ROUND(SUM($M$3:M55),2),IF(OR(A56="",K56="",L56=""),"",ROUND(K56*L56,2)))</f>
        <v/>
      </c>
      <c r="N56" s="282">
        <f>IF(OR(itens_Remanesc!A55="",NOT(ISNUMBER(parametros!$F$6))),"",ROUND(itens_Remanesc!C55*parametros!$F$6,2))</f>
        <v/>
      </c>
      <c r="O56" s="283">
        <f>IF(itens_Remanesc!A55="","",itens_Remanesc!K55)</f>
        <v/>
      </c>
      <c r="P56" s="282">
        <f>IF(A56="TOTAL",ROUND(SUM($P$3:P55),2),IF(OR(A56="",N56="",O56=""),"",ROUND(N56*O56,2)))</f>
        <v/>
      </c>
    </row>
    <row r="57">
      <c r="A57" s="281">
        <f>IF(AND(itens_Remanesc!A56="",itens_Remanesc!A55&lt;&gt;"",COUNTIF(itens_Remanesc!A57:$A$200,"&lt;&gt;")=0),"TOTAL",IF(itens_Remanesc!A56="","",itens_Remanesc!A56))</f>
        <v/>
      </c>
      <c r="B57" s="282">
        <f>IF(OR(itens_Remanesc!A56="",NOT(ISNUMBER(parametros!$F$2))),"",ROUND(itens_Remanesc!C56*parametros!$F$2,2))</f>
        <v/>
      </c>
      <c r="C57" s="283">
        <f>IF(itens_Remanesc!A56="","",itens_Remanesc!B56)</f>
        <v/>
      </c>
      <c r="D57" s="282">
        <f>IF(A57="TOTAL",ROUND(SUM($D$3:D56),2),IF(A57="","",ROUND(B57*C57,2)))</f>
        <v/>
      </c>
      <c r="E57" s="284">
        <f>IF(OR(itens_Remanesc!A56="",NOT(ISNUMBER(parametros!$F$3))),"",ROUND(itens_Remanesc!C56*parametros!$F$3,2))</f>
        <v/>
      </c>
      <c r="F57" s="285">
        <f>IF(itens_Remanesc!A56="","",itens_Remanesc!E56)</f>
        <v/>
      </c>
      <c r="G57" s="284">
        <f>IF(A57="TOTAL",ROUND(SUM($G$3:G56),2),IF(OR(A57="",E57="",F57=""),"",ROUND(E57*F57,2)))</f>
        <v/>
      </c>
      <c r="H57" s="282">
        <f>IF(OR(itens_Remanesc!A56="",NOT(ISNUMBER(parametros!$F$4))),"",ROUND(itens_Remanesc!C56*parametros!$F$4,2))</f>
        <v/>
      </c>
      <c r="I57" s="283">
        <f>IF(itens_Remanesc!A56="","",itens_Remanesc!G56)</f>
        <v/>
      </c>
      <c r="J57" s="282">
        <f>IF(A57="TOTAL",ROUND(SUM($J$3:J56),2),IF(OR(A57="",H57="",I57=""),"",ROUND(H57*I57,2)))</f>
        <v/>
      </c>
      <c r="K57" s="284">
        <f>IF(OR(itens_Remanesc!A56="",NOT(ISNUMBER(parametros!$F$5))),"",ROUND(itens_Remanesc!C56*parametros!$F$5,2))</f>
        <v/>
      </c>
      <c r="L57" s="285">
        <f>IF(itens_Remanesc!A56="","",itens_Remanesc!I56)</f>
        <v/>
      </c>
      <c r="M57" s="284">
        <f>IF(A57="TOTAL",ROUND(SUM($M$3:M56),2),IF(OR(A57="",K57="",L57=""),"",ROUND(K57*L57,2)))</f>
        <v/>
      </c>
      <c r="N57" s="282">
        <f>IF(OR(itens_Remanesc!A56="",NOT(ISNUMBER(parametros!$F$6))),"",ROUND(itens_Remanesc!C56*parametros!$F$6,2))</f>
        <v/>
      </c>
      <c r="O57" s="283">
        <f>IF(itens_Remanesc!A56="","",itens_Remanesc!K56)</f>
        <v/>
      </c>
      <c r="P57" s="282">
        <f>IF(A57="TOTAL",ROUND(SUM($P$3:P56),2),IF(OR(A57="",N57="",O57=""),"",ROUND(N57*O57,2)))</f>
        <v/>
      </c>
    </row>
    <row r="58">
      <c r="A58" s="281">
        <f>IF(AND(itens_Remanesc!A57="",itens_Remanesc!A56&lt;&gt;"",COUNTIF(itens_Remanesc!A58:$A$200,"&lt;&gt;")=0),"TOTAL",IF(itens_Remanesc!A57="","",itens_Remanesc!A57))</f>
        <v/>
      </c>
      <c r="B58" s="282">
        <f>IF(OR(itens_Remanesc!A57="",NOT(ISNUMBER(parametros!$F$2))),"",ROUND(itens_Remanesc!C57*parametros!$F$2,2))</f>
        <v/>
      </c>
      <c r="C58" s="283">
        <f>IF(itens_Remanesc!A57="","",itens_Remanesc!B57)</f>
        <v/>
      </c>
      <c r="D58" s="282">
        <f>IF(A58="TOTAL",ROUND(SUM($D$3:D57),2),IF(A58="","",ROUND(B58*C58,2)))</f>
        <v/>
      </c>
      <c r="E58" s="284">
        <f>IF(OR(itens_Remanesc!A57="",NOT(ISNUMBER(parametros!$F$3))),"",ROUND(itens_Remanesc!C57*parametros!$F$3,2))</f>
        <v/>
      </c>
      <c r="F58" s="285">
        <f>IF(itens_Remanesc!A57="","",itens_Remanesc!E57)</f>
        <v/>
      </c>
      <c r="G58" s="284">
        <f>IF(A58="TOTAL",ROUND(SUM($G$3:G57),2),IF(OR(A58="",E58="",F58=""),"",ROUND(E58*F58,2)))</f>
        <v/>
      </c>
      <c r="H58" s="282">
        <f>IF(OR(itens_Remanesc!A57="",NOT(ISNUMBER(parametros!$F$4))),"",ROUND(itens_Remanesc!C57*parametros!$F$4,2))</f>
        <v/>
      </c>
      <c r="I58" s="283">
        <f>IF(itens_Remanesc!A57="","",itens_Remanesc!G57)</f>
        <v/>
      </c>
      <c r="J58" s="282">
        <f>IF(A58="TOTAL",ROUND(SUM($J$3:J57),2),IF(OR(A58="",H58="",I58=""),"",ROUND(H58*I58,2)))</f>
        <v/>
      </c>
      <c r="K58" s="284">
        <f>IF(OR(itens_Remanesc!A57="",NOT(ISNUMBER(parametros!$F$5))),"",ROUND(itens_Remanesc!C57*parametros!$F$5,2))</f>
        <v/>
      </c>
      <c r="L58" s="285">
        <f>IF(itens_Remanesc!A57="","",itens_Remanesc!I57)</f>
        <v/>
      </c>
      <c r="M58" s="284">
        <f>IF(A58="TOTAL",ROUND(SUM($M$3:M57),2),IF(OR(A58="",K58="",L58=""),"",ROUND(K58*L58,2)))</f>
        <v/>
      </c>
      <c r="N58" s="282">
        <f>IF(OR(itens_Remanesc!A57="",NOT(ISNUMBER(parametros!$F$6))),"",ROUND(itens_Remanesc!C57*parametros!$F$6,2))</f>
        <v/>
      </c>
      <c r="O58" s="283">
        <f>IF(itens_Remanesc!A57="","",itens_Remanesc!K57)</f>
        <v/>
      </c>
      <c r="P58" s="282">
        <f>IF(A58="TOTAL",ROUND(SUM($P$3:P57),2),IF(OR(A58="",N58="",O58=""),"",ROUND(N58*O58,2)))</f>
        <v/>
      </c>
    </row>
    <row r="59">
      <c r="A59" s="281">
        <f>IF(AND(itens_Remanesc!A58="",itens_Remanesc!A57&lt;&gt;"",COUNTIF(itens_Remanesc!A59:$A$200,"&lt;&gt;")=0),"TOTAL",IF(itens_Remanesc!A58="","",itens_Remanesc!A58))</f>
        <v/>
      </c>
      <c r="B59" s="282">
        <f>IF(OR(itens_Remanesc!A58="",NOT(ISNUMBER(parametros!$F$2))),"",ROUND(itens_Remanesc!C58*parametros!$F$2,2))</f>
        <v/>
      </c>
      <c r="C59" s="283">
        <f>IF(itens_Remanesc!A58="","",itens_Remanesc!B58)</f>
        <v/>
      </c>
      <c r="D59" s="282">
        <f>IF(A59="TOTAL",ROUND(SUM($D$3:D58),2),IF(A59="","",ROUND(B59*C59,2)))</f>
        <v/>
      </c>
      <c r="E59" s="284">
        <f>IF(OR(itens_Remanesc!A58="",NOT(ISNUMBER(parametros!$F$3))),"",ROUND(itens_Remanesc!C58*parametros!$F$3,2))</f>
        <v/>
      </c>
      <c r="F59" s="285">
        <f>IF(itens_Remanesc!A58="","",itens_Remanesc!E58)</f>
        <v/>
      </c>
      <c r="G59" s="284">
        <f>IF(A59="TOTAL",ROUND(SUM($G$3:G58),2),IF(OR(A59="",E59="",F59=""),"",ROUND(E59*F59,2)))</f>
        <v/>
      </c>
      <c r="H59" s="282">
        <f>IF(OR(itens_Remanesc!A58="",NOT(ISNUMBER(parametros!$F$4))),"",ROUND(itens_Remanesc!C58*parametros!$F$4,2))</f>
        <v/>
      </c>
      <c r="I59" s="283">
        <f>IF(itens_Remanesc!A58="","",itens_Remanesc!G58)</f>
        <v/>
      </c>
      <c r="J59" s="282">
        <f>IF(A59="TOTAL",ROUND(SUM($J$3:J58),2),IF(OR(A59="",H59="",I59=""),"",ROUND(H59*I59,2)))</f>
        <v/>
      </c>
      <c r="K59" s="284">
        <f>IF(OR(itens_Remanesc!A58="",NOT(ISNUMBER(parametros!$F$5))),"",ROUND(itens_Remanesc!C58*parametros!$F$5,2))</f>
        <v/>
      </c>
      <c r="L59" s="285">
        <f>IF(itens_Remanesc!A58="","",itens_Remanesc!I58)</f>
        <v/>
      </c>
      <c r="M59" s="284">
        <f>IF(A59="TOTAL",ROUND(SUM($M$3:M58),2),IF(OR(A59="",K59="",L59=""),"",ROUND(K59*L59,2)))</f>
        <v/>
      </c>
      <c r="N59" s="282">
        <f>IF(OR(itens_Remanesc!A58="",NOT(ISNUMBER(parametros!$F$6))),"",ROUND(itens_Remanesc!C58*parametros!$F$6,2))</f>
        <v/>
      </c>
      <c r="O59" s="283">
        <f>IF(itens_Remanesc!A58="","",itens_Remanesc!K58)</f>
        <v/>
      </c>
      <c r="P59" s="282">
        <f>IF(A59="TOTAL",ROUND(SUM($P$3:P58),2),IF(OR(A59="",N59="",O59=""),"",ROUND(N59*O59,2)))</f>
        <v/>
      </c>
    </row>
    <row r="60">
      <c r="A60" s="281">
        <f>IF(AND(itens_Remanesc!A59="",itens_Remanesc!A58&lt;&gt;"",COUNTIF(itens_Remanesc!A60:$A$200,"&lt;&gt;")=0),"TOTAL",IF(itens_Remanesc!A59="","",itens_Remanesc!A59))</f>
        <v/>
      </c>
      <c r="B60" s="282">
        <f>IF(OR(itens_Remanesc!A59="",NOT(ISNUMBER(parametros!$F$2))),"",ROUND(itens_Remanesc!C59*parametros!$F$2,2))</f>
        <v/>
      </c>
      <c r="C60" s="283">
        <f>IF(itens_Remanesc!A59="","",itens_Remanesc!B59)</f>
        <v/>
      </c>
      <c r="D60" s="282">
        <f>IF(A60="TOTAL",ROUND(SUM($D$3:D59),2),IF(A60="","",ROUND(B60*C60,2)))</f>
        <v/>
      </c>
      <c r="E60" s="284">
        <f>IF(OR(itens_Remanesc!A59="",NOT(ISNUMBER(parametros!$F$3))),"",ROUND(itens_Remanesc!C59*parametros!$F$3,2))</f>
        <v/>
      </c>
      <c r="F60" s="285">
        <f>IF(itens_Remanesc!A59="","",itens_Remanesc!E59)</f>
        <v/>
      </c>
      <c r="G60" s="284">
        <f>IF(A60="TOTAL",ROUND(SUM($G$3:G59),2),IF(OR(A60="",E60="",F60=""),"",ROUND(E60*F60,2)))</f>
        <v/>
      </c>
      <c r="H60" s="282">
        <f>IF(OR(itens_Remanesc!A59="",NOT(ISNUMBER(parametros!$F$4))),"",ROUND(itens_Remanesc!C59*parametros!$F$4,2))</f>
        <v/>
      </c>
      <c r="I60" s="283">
        <f>IF(itens_Remanesc!A59="","",itens_Remanesc!G59)</f>
        <v/>
      </c>
      <c r="J60" s="282">
        <f>IF(A60="TOTAL",ROUND(SUM($J$3:J59),2),IF(OR(A60="",H60="",I60=""),"",ROUND(H60*I60,2)))</f>
        <v/>
      </c>
      <c r="K60" s="284">
        <f>IF(OR(itens_Remanesc!A59="",NOT(ISNUMBER(parametros!$F$5))),"",ROUND(itens_Remanesc!C59*parametros!$F$5,2))</f>
        <v/>
      </c>
      <c r="L60" s="285">
        <f>IF(itens_Remanesc!A59="","",itens_Remanesc!I59)</f>
        <v/>
      </c>
      <c r="M60" s="284">
        <f>IF(A60="TOTAL",ROUND(SUM($M$3:M59),2),IF(OR(A60="",K60="",L60=""),"",ROUND(K60*L60,2)))</f>
        <v/>
      </c>
      <c r="N60" s="282">
        <f>IF(OR(itens_Remanesc!A59="",NOT(ISNUMBER(parametros!$F$6))),"",ROUND(itens_Remanesc!C59*parametros!$F$6,2))</f>
        <v/>
      </c>
      <c r="O60" s="283">
        <f>IF(itens_Remanesc!A59="","",itens_Remanesc!K59)</f>
        <v/>
      </c>
      <c r="P60" s="282">
        <f>IF(A60="TOTAL",ROUND(SUM($P$3:P59),2),IF(OR(A60="",N60="",O60=""),"",ROUND(N60*O60,2)))</f>
        <v/>
      </c>
    </row>
    <row r="61">
      <c r="A61" s="281">
        <f>IF(AND(itens_Remanesc!A60="",itens_Remanesc!A59&lt;&gt;"",COUNTIF(itens_Remanesc!A61:$A$200,"&lt;&gt;")=0),"TOTAL",IF(itens_Remanesc!A60="","",itens_Remanesc!A60))</f>
        <v/>
      </c>
      <c r="B61" s="282">
        <f>IF(OR(itens_Remanesc!A60="",NOT(ISNUMBER(parametros!$F$2))),"",ROUND(itens_Remanesc!C60*parametros!$F$2,2))</f>
        <v/>
      </c>
      <c r="C61" s="283">
        <f>IF(itens_Remanesc!A60="","",itens_Remanesc!B60)</f>
        <v/>
      </c>
      <c r="D61" s="282">
        <f>IF(A61="TOTAL",ROUND(SUM($D$3:D60),2),IF(A61="","",ROUND(B61*C61,2)))</f>
        <v/>
      </c>
      <c r="E61" s="284">
        <f>IF(OR(itens_Remanesc!A60="",NOT(ISNUMBER(parametros!$F$3))),"",ROUND(itens_Remanesc!C60*parametros!$F$3,2))</f>
        <v/>
      </c>
      <c r="F61" s="285">
        <f>IF(itens_Remanesc!A60="","",itens_Remanesc!E60)</f>
        <v/>
      </c>
      <c r="G61" s="284">
        <f>IF(A61="TOTAL",ROUND(SUM($G$3:G60),2),IF(OR(A61="",E61="",F61=""),"",ROUND(E61*F61,2)))</f>
        <v/>
      </c>
      <c r="H61" s="282">
        <f>IF(OR(itens_Remanesc!A60="",NOT(ISNUMBER(parametros!$F$4))),"",ROUND(itens_Remanesc!C60*parametros!$F$4,2))</f>
        <v/>
      </c>
      <c r="I61" s="283">
        <f>IF(itens_Remanesc!A60="","",itens_Remanesc!G60)</f>
        <v/>
      </c>
      <c r="J61" s="282">
        <f>IF(A61="TOTAL",ROUND(SUM($J$3:J60),2),IF(OR(A61="",H61="",I61=""),"",ROUND(H61*I61,2)))</f>
        <v/>
      </c>
      <c r="K61" s="284">
        <f>IF(OR(itens_Remanesc!A60="",NOT(ISNUMBER(parametros!$F$5))),"",ROUND(itens_Remanesc!C60*parametros!$F$5,2))</f>
        <v/>
      </c>
      <c r="L61" s="285">
        <f>IF(itens_Remanesc!A60="","",itens_Remanesc!I60)</f>
        <v/>
      </c>
      <c r="M61" s="284">
        <f>IF(A61="TOTAL",ROUND(SUM($M$3:M60),2),IF(OR(A61="",K61="",L61=""),"",ROUND(K61*L61,2)))</f>
        <v/>
      </c>
      <c r="N61" s="282">
        <f>IF(OR(itens_Remanesc!A60="",NOT(ISNUMBER(parametros!$F$6))),"",ROUND(itens_Remanesc!C60*parametros!$F$6,2))</f>
        <v/>
      </c>
      <c r="O61" s="283">
        <f>IF(itens_Remanesc!A60="","",itens_Remanesc!K60)</f>
        <v/>
      </c>
      <c r="P61" s="282">
        <f>IF(A61="TOTAL",ROUND(SUM($P$3:P60),2),IF(OR(A61="",N61="",O61=""),"",ROUND(N61*O61,2)))</f>
        <v/>
      </c>
    </row>
    <row r="62">
      <c r="A62" s="281">
        <f>IF(AND(itens_Remanesc!A61="",itens_Remanesc!A60&lt;&gt;"",COUNTIF(itens_Remanesc!A62:$A$200,"&lt;&gt;")=0),"TOTAL",IF(itens_Remanesc!A61="","",itens_Remanesc!A61))</f>
        <v/>
      </c>
      <c r="B62" s="282">
        <f>IF(OR(itens_Remanesc!A61="",NOT(ISNUMBER(parametros!$F$2))),"",ROUND(itens_Remanesc!C61*parametros!$F$2,2))</f>
        <v/>
      </c>
      <c r="C62" s="283">
        <f>IF(itens_Remanesc!A61="","",itens_Remanesc!B61)</f>
        <v/>
      </c>
      <c r="D62" s="282">
        <f>IF(A62="TOTAL",ROUND(SUM($D$3:D61),2),IF(A62="","",ROUND(B62*C62,2)))</f>
        <v/>
      </c>
      <c r="E62" s="284">
        <f>IF(OR(itens_Remanesc!A61="",NOT(ISNUMBER(parametros!$F$3))),"",ROUND(itens_Remanesc!C61*parametros!$F$3,2))</f>
        <v/>
      </c>
      <c r="F62" s="285">
        <f>IF(itens_Remanesc!A61="","",itens_Remanesc!E61)</f>
        <v/>
      </c>
      <c r="G62" s="284">
        <f>IF(A62="TOTAL",ROUND(SUM($G$3:G61),2),IF(OR(A62="",E62="",F62=""),"",ROUND(E62*F62,2)))</f>
        <v/>
      </c>
      <c r="H62" s="282">
        <f>IF(OR(itens_Remanesc!A61="",NOT(ISNUMBER(parametros!$F$4))),"",ROUND(itens_Remanesc!C61*parametros!$F$4,2))</f>
        <v/>
      </c>
      <c r="I62" s="283">
        <f>IF(itens_Remanesc!A61="","",itens_Remanesc!G61)</f>
        <v/>
      </c>
      <c r="J62" s="282">
        <f>IF(A62="TOTAL",ROUND(SUM($J$3:J61),2),IF(OR(A62="",H62="",I62=""),"",ROUND(H62*I62,2)))</f>
        <v/>
      </c>
      <c r="K62" s="284">
        <f>IF(OR(itens_Remanesc!A61="",NOT(ISNUMBER(parametros!$F$5))),"",ROUND(itens_Remanesc!C61*parametros!$F$5,2))</f>
        <v/>
      </c>
      <c r="L62" s="285">
        <f>IF(itens_Remanesc!A61="","",itens_Remanesc!I61)</f>
        <v/>
      </c>
      <c r="M62" s="284">
        <f>IF(A62="TOTAL",ROUND(SUM($M$3:M61),2),IF(OR(A62="",K62="",L62=""),"",ROUND(K62*L62,2)))</f>
        <v/>
      </c>
      <c r="N62" s="282">
        <f>IF(OR(itens_Remanesc!A61="",NOT(ISNUMBER(parametros!$F$6))),"",ROUND(itens_Remanesc!C61*parametros!$F$6,2))</f>
        <v/>
      </c>
      <c r="O62" s="283">
        <f>IF(itens_Remanesc!A61="","",itens_Remanesc!K61)</f>
        <v/>
      </c>
      <c r="P62" s="282">
        <f>IF(A62="TOTAL",ROUND(SUM($P$3:P61),2),IF(OR(A62="",N62="",O62=""),"",ROUND(N62*O62,2)))</f>
        <v/>
      </c>
    </row>
    <row r="63">
      <c r="A63" s="281">
        <f>IF(AND(itens_Remanesc!A62="",itens_Remanesc!A61&lt;&gt;"",COUNTIF(itens_Remanesc!A63:$A$200,"&lt;&gt;")=0),"TOTAL",IF(itens_Remanesc!A62="","",itens_Remanesc!A62))</f>
        <v/>
      </c>
      <c r="B63" s="282">
        <f>IF(OR(itens_Remanesc!A62="",NOT(ISNUMBER(parametros!$F$2))),"",ROUND(itens_Remanesc!C62*parametros!$F$2,2))</f>
        <v/>
      </c>
      <c r="C63" s="283">
        <f>IF(itens_Remanesc!A62="","",itens_Remanesc!B62)</f>
        <v/>
      </c>
      <c r="D63" s="282">
        <f>IF(A63="TOTAL",ROUND(SUM($D$3:D62),2),IF(A63="","",ROUND(B63*C63,2)))</f>
        <v/>
      </c>
      <c r="E63" s="284">
        <f>IF(OR(itens_Remanesc!A62="",NOT(ISNUMBER(parametros!$F$3))),"",ROUND(itens_Remanesc!C62*parametros!$F$3,2))</f>
        <v/>
      </c>
      <c r="F63" s="285">
        <f>IF(itens_Remanesc!A62="","",itens_Remanesc!E62)</f>
        <v/>
      </c>
      <c r="G63" s="284">
        <f>IF(A63="TOTAL",ROUND(SUM($G$3:G62),2),IF(OR(A63="",E63="",F63=""),"",ROUND(E63*F63,2)))</f>
        <v/>
      </c>
      <c r="H63" s="282">
        <f>IF(OR(itens_Remanesc!A62="",NOT(ISNUMBER(parametros!$F$4))),"",ROUND(itens_Remanesc!C62*parametros!$F$4,2))</f>
        <v/>
      </c>
      <c r="I63" s="283">
        <f>IF(itens_Remanesc!A62="","",itens_Remanesc!G62)</f>
        <v/>
      </c>
      <c r="J63" s="282">
        <f>IF(A63="TOTAL",ROUND(SUM($J$3:J62),2),IF(OR(A63="",H63="",I63=""),"",ROUND(H63*I63,2)))</f>
        <v/>
      </c>
      <c r="K63" s="284">
        <f>IF(OR(itens_Remanesc!A62="",NOT(ISNUMBER(parametros!$F$5))),"",ROUND(itens_Remanesc!C62*parametros!$F$5,2))</f>
        <v/>
      </c>
      <c r="L63" s="285">
        <f>IF(itens_Remanesc!A62="","",itens_Remanesc!I62)</f>
        <v/>
      </c>
      <c r="M63" s="284">
        <f>IF(A63="TOTAL",ROUND(SUM($M$3:M62),2),IF(OR(A63="",K63="",L63=""),"",ROUND(K63*L63,2)))</f>
        <v/>
      </c>
      <c r="N63" s="282">
        <f>IF(OR(itens_Remanesc!A62="",NOT(ISNUMBER(parametros!$F$6))),"",ROUND(itens_Remanesc!C62*parametros!$F$6,2))</f>
        <v/>
      </c>
      <c r="O63" s="283">
        <f>IF(itens_Remanesc!A62="","",itens_Remanesc!K62)</f>
        <v/>
      </c>
      <c r="P63" s="282">
        <f>IF(A63="TOTAL",ROUND(SUM($P$3:P62),2),IF(OR(A63="",N63="",O63=""),"",ROUND(N63*O63,2)))</f>
        <v/>
      </c>
    </row>
    <row r="64">
      <c r="A64" s="281">
        <f>IF(AND(itens_Remanesc!A63="",itens_Remanesc!A62&lt;&gt;"",COUNTIF(itens_Remanesc!A64:$A$200,"&lt;&gt;")=0),"TOTAL",IF(itens_Remanesc!A63="","",itens_Remanesc!A63))</f>
        <v/>
      </c>
      <c r="B64" s="282">
        <f>IF(OR(itens_Remanesc!A63="",NOT(ISNUMBER(parametros!$F$2))),"",ROUND(itens_Remanesc!C63*parametros!$F$2,2))</f>
        <v/>
      </c>
      <c r="C64" s="283">
        <f>IF(itens_Remanesc!A63="","",itens_Remanesc!B63)</f>
        <v/>
      </c>
      <c r="D64" s="282">
        <f>IF(A64="TOTAL",ROUND(SUM($D$3:D63),2),IF(A64="","",ROUND(B64*C64,2)))</f>
        <v/>
      </c>
      <c r="E64" s="284">
        <f>IF(OR(itens_Remanesc!A63="",NOT(ISNUMBER(parametros!$F$3))),"",ROUND(itens_Remanesc!C63*parametros!$F$3,2))</f>
        <v/>
      </c>
      <c r="F64" s="285">
        <f>IF(itens_Remanesc!A63="","",itens_Remanesc!E63)</f>
        <v/>
      </c>
      <c r="G64" s="284">
        <f>IF(A64="TOTAL",ROUND(SUM($G$3:G63),2),IF(OR(A64="",E64="",F64=""),"",ROUND(E64*F64,2)))</f>
        <v/>
      </c>
      <c r="H64" s="282">
        <f>IF(OR(itens_Remanesc!A63="",NOT(ISNUMBER(parametros!$F$4))),"",ROUND(itens_Remanesc!C63*parametros!$F$4,2))</f>
        <v/>
      </c>
      <c r="I64" s="283">
        <f>IF(itens_Remanesc!A63="","",itens_Remanesc!G63)</f>
        <v/>
      </c>
      <c r="J64" s="282">
        <f>IF(A64="TOTAL",ROUND(SUM($J$3:J63),2),IF(OR(A64="",H64="",I64=""),"",ROUND(H64*I64,2)))</f>
        <v/>
      </c>
      <c r="K64" s="284">
        <f>IF(OR(itens_Remanesc!A63="",NOT(ISNUMBER(parametros!$F$5))),"",ROUND(itens_Remanesc!C63*parametros!$F$5,2))</f>
        <v/>
      </c>
      <c r="L64" s="285">
        <f>IF(itens_Remanesc!A63="","",itens_Remanesc!I63)</f>
        <v/>
      </c>
      <c r="M64" s="284">
        <f>IF(A64="TOTAL",ROUND(SUM($M$3:M63),2),IF(OR(A64="",K64="",L64=""),"",ROUND(K64*L64,2)))</f>
        <v/>
      </c>
      <c r="N64" s="282">
        <f>IF(OR(itens_Remanesc!A63="",NOT(ISNUMBER(parametros!$F$6))),"",ROUND(itens_Remanesc!C63*parametros!$F$6,2))</f>
        <v/>
      </c>
      <c r="O64" s="283">
        <f>IF(itens_Remanesc!A63="","",itens_Remanesc!K63)</f>
        <v/>
      </c>
      <c r="P64" s="282">
        <f>IF(A64="TOTAL",ROUND(SUM($P$3:P63),2),IF(OR(A64="",N64="",O64=""),"",ROUND(N64*O64,2)))</f>
        <v/>
      </c>
    </row>
    <row r="65">
      <c r="A65" s="281">
        <f>IF(AND(itens_Remanesc!A64="",itens_Remanesc!A63&lt;&gt;"",COUNTIF(itens_Remanesc!A65:$A$200,"&lt;&gt;")=0),"TOTAL",IF(itens_Remanesc!A64="","",itens_Remanesc!A64))</f>
        <v/>
      </c>
      <c r="B65" s="282">
        <f>IF(OR(itens_Remanesc!A64="",NOT(ISNUMBER(parametros!$F$2))),"",ROUND(itens_Remanesc!C64*parametros!$F$2,2))</f>
        <v/>
      </c>
      <c r="C65" s="283">
        <f>IF(itens_Remanesc!A64="","",itens_Remanesc!B64)</f>
        <v/>
      </c>
      <c r="D65" s="282">
        <f>IF(A65="TOTAL",ROUND(SUM($D$3:D64),2),IF(A65="","",ROUND(B65*C65,2)))</f>
        <v/>
      </c>
      <c r="E65" s="284">
        <f>IF(OR(itens_Remanesc!A64="",NOT(ISNUMBER(parametros!$F$3))),"",ROUND(itens_Remanesc!C64*parametros!$F$3,2))</f>
        <v/>
      </c>
      <c r="F65" s="285">
        <f>IF(itens_Remanesc!A64="","",itens_Remanesc!E64)</f>
        <v/>
      </c>
      <c r="G65" s="284">
        <f>IF(A65="TOTAL",ROUND(SUM($G$3:G64),2),IF(OR(A65="",E65="",F65=""),"",ROUND(E65*F65,2)))</f>
        <v/>
      </c>
      <c r="H65" s="282">
        <f>IF(OR(itens_Remanesc!A64="",NOT(ISNUMBER(parametros!$F$4))),"",ROUND(itens_Remanesc!C64*parametros!$F$4,2))</f>
        <v/>
      </c>
      <c r="I65" s="283">
        <f>IF(itens_Remanesc!A64="","",itens_Remanesc!G64)</f>
        <v/>
      </c>
      <c r="J65" s="282">
        <f>IF(A65="TOTAL",ROUND(SUM($J$3:J64),2),IF(OR(A65="",H65="",I65=""),"",ROUND(H65*I65,2)))</f>
        <v/>
      </c>
      <c r="K65" s="284">
        <f>IF(OR(itens_Remanesc!A64="",NOT(ISNUMBER(parametros!$F$5))),"",ROUND(itens_Remanesc!C64*parametros!$F$5,2))</f>
        <v/>
      </c>
      <c r="L65" s="285">
        <f>IF(itens_Remanesc!A64="","",itens_Remanesc!I64)</f>
        <v/>
      </c>
      <c r="M65" s="284">
        <f>IF(A65="TOTAL",ROUND(SUM($M$3:M64),2),IF(OR(A65="",K65="",L65=""),"",ROUND(K65*L65,2)))</f>
        <v/>
      </c>
      <c r="N65" s="282">
        <f>IF(OR(itens_Remanesc!A64="",NOT(ISNUMBER(parametros!$F$6))),"",ROUND(itens_Remanesc!C64*parametros!$F$6,2))</f>
        <v/>
      </c>
      <c r="O65" s="283">
        <f>IF(itens_Remanesc!A64="","",itens_Remanesc!K64)</f>
        <v/>
      </c>
      <c r="P65" s="282">
        <f>IF(A65="TOTAL",ROUND(SUM($P$3:P64),2),IF(OR(A65="",N65="",O65=""),"",ROUND(N65*O65,2)))</f>
        <v/>
      </c>
    </row>
    <row r="66">
      <c r="A66" s="281">
        <f>IF(AND(itens_Remanesc!A65="",itens_Remanesc!A64&lt;&gt;"",COUNTIF(itens_Remanesc!A66:$A$200,"&lt;&gt;")=0),"TOTAL",IF(itens_Remanesc!A65="","",itens_Remanesc!A65))</f>
        <v/>
      </c>
      <c r="B66" s="282">
        <f>IF(OR(itens_Remanesc!A65="",NOT(ISNUMBER(parametros!$F$2))),"",ROUND(itens_Remanesc!C65*parametros!$F$2,2))</f>
        <v/>
      </c>
      <c r="C66" s="283">
        <f>IF(itens_Remanesc!A65="","",itens_Remanesc!B65)</f>
        <v/>
      </c>
      <c r="D66" s="282">
        <f>IF(A66="TOTAL",ROUND(SUM($D$3:D65),2),IF(A66="","",ROUND(B66*C66,2)))</f>
        <v/>
      </c>
      <c r="E66" s="284">
        <f>IF(OR(itens_Remanesc!A65="",NOT(ISNUMBER(parametros!$F$3))),"",ROUND(itens_Remanesc!C65*parametros!$F$3,2))</f>
        <v/>
      </c>
      <c r="F66" s="285">
        <f>IF(itens_Remanesc!A65="","",itens_Remanesc!E65)</f>
        <v/>
      </c>
      <c r="G66" s="284">
        <f>IF(A66="TOTAL",ROUND(SUM($G$3:G65),2),IF(OR(A66="",E66="",F66=""),"",ROUND(E66*F66,2)))</f>
        <v/>
      </c>
      <c r="H66" s="282">
        <f>IF(OR(itens_Remanesc!A65="",NOT(ISNUMBER(parametros!$F$4))),"",ROUND(itens_Remanesc!C65*parametros!$F$4,2))</f>
        <v/>
      </c>
      <c r="I66" s="283">
        <f>IF(itens_Remanesc!A65="","",itens_Remanesc!G65)</f>
        <v/>
      </c>
      <c r="J66" s="282">
        <f>IF(A66="TOTAL",ROUND(SUM($J$3:J65),2),IF(OR(A66="",H66="",I66=""),"",ROUND(H66*I66,2)))</f>
        <v/>
      </c>
      <c r="K66" s="284">
        <f>IF(OR(itens_Remanesc!A65="",NOT(ISNUMBER(parametros!$F$5))),"",ROUND(itens_Remanesc!C65*parametros!$F$5,2))</f>
        <v/>
      </c>
      <c r="L66" s="285">
        <f>IF(itens_Remanesc!A65="","",itens_Remanesc!I65)</f>
        <v/>
      </c>
      <c r="M66" s="284">
        <f>IF(A66="TOTAL",ROUND(SUM($M$3:M65),2),IF(OR(A66="",K66="",L66=""),"",ROUND(K66*L66,2)))</f>
        <v/>
      </c>
      <c r="N66" s="282">
        <f>IF(OR(itens_Remanesc!A65="",NOT(ISNUMBER(parametros!$F$6))),"",ROUND(itens_Remanesc!C65*parametros!$F$6,2))</f>
        <v/>
      </c>
      <c r="O66" s="283">
        <f>IF(itens_Remanesc!A65="","",itens_Remanesc!K65)</f>
        <v/>
      </c>
      <c r="P66" s="282">
        <f>IF(A66="TOTAL",ROUND(SUM($P$3:P65),2),IF(OR(A66="",N66="",O66=""),"",ROUND(N66*O66,2)))</f>
        <v/>
      </c>
    </row>
    <row r="67">
      <c r="A67" s="281">
        <f>IF(AND(itens_Remanesc!A66="",itens_Remanesc!A65&lt;&gt;"",COUNTIF(itens_Remanesc!A67:$A$200,"&lt;&gt;")=0),"TOTAL",IF(itens_Remanesc!A66="","",itens_Remanesc!A66))</f>
        <v/>
      </c>
      <c r="B67" s="282">
        <f>IF(OR(itens_Remanesc!A66="",NOT(ISNUMBER(parametros!$F$2))),"",ROUND(itens_Remanesc!C66*parametros!$F$2,2))</f>
        <v/>
      </c>
      <c r="C67" s="283">
        <f>IF(itens_Remanesc!A66="","",itens_Remanesc!B66)</f>
        <v/>
      </c>
      <c r="D67" s="282">
        <f>IF(A67="TOTAL",ROUND(SUM($D$3:D66),2),IF(A67="","",ROUND(B67*C67,2)))</f>
        <v/>
      </c>
      <c r="E67" s="284">
        <f>IF(OR(itens_Remanesc!A66="",NOT(ISNUMBER(parametros!$F$3))),"",ROUND(itens_Remanesc!C66*parametros!$F$3,2))</f>
        <v/>
      </c>
      <c r="F67" s="285">
        <f>IF(itens_Remanesc!A66="","",itens_Remanesc!E66)</f>
        <v/>
      </c>
      <c r="G67" s="284">
        <f>IF(A67="TOTAL",ROUND(SUM($G$3:G66),2),IF(OR(A67="",E67="",F67=""),"",ROUND(E67*F67,2)))</f>
        <v/>
      </c>
      <c r="H67" s="282">
        <f>IF(OR(itens_Remanesc!A66="",NOT(ISNUMBER(parametros!$F$4))),"",ROUND(itens_Remanesc!C66*parametros!$F$4,2))</f>
        <v/>
      </c>
      <c r="I67" s="283">
        <f>IF(itens_Remanesc!A66="","",itens_Remanesc!G66)</f>
        <v/>
      </c>
      <c r="J67" s="282">
        <f>IF(A67="TOTAL",ROUND(SUM($J$3:J66),2),IF(OR(A67="",H67="",I67=""),"",ROUND(H67*I67,2)))</f>
        <v/>
      </c>
      <c r="K67" s="284">
        <f>IF(OR(itens_Remanesc!A66="",NOT(ISNUMBER(parametros!$F$5))),"",ROUND(itens_Remanesc!C66*parametros!$F$5,2))</f>
        <v/>
      </c>
      <c r="L67" s="285">
        <f>IF(itens_Remanesc!A66="","",itens_Remanesc!I66)</f>
        <v/>
      </c>
      <c r="M67" s="284">
        <f>IF(A67="TOTAL",ROUND(SUM($M$3:M66),2),IF(OR(A67="",K67="",L67=""),"",ROUND(K67*L67,2)))</f>
        <v/>
      </c>
      <c r="N67" s="282">
        <f>IF(OR(itens_Remanesc!A66="",NOT(ISNUMBER(parametros!$F$6))),"",ROUND(itens_Remanesc!C66*parametros!$F$6,2))</f>
        <v/>
      </c>
      <c r="O67" s="283">
        <f>IF(itens_Remanesc!A66="","",itens_Remanesc!K66)</f>
        <v/>
      </c>
      <c r="P67" s="282">
        <f>IF(A67="TOTAL",ROUND(SUM($P$3:P66),2),IF(OR(A67="",N67="",O67=""),"",ROUND(N67*O67,2)))</f>
        <v/>
      </c>
    </row>
    <row r="68">
      <c r="A68" s="281">
        <f>IF(AND(itens_Remanesc!A67="",itens_Remanesc!A66&lt;&gt;"",COUNTIF(itens_Remanesc!A68:$A$200,"&lt;&gt;")=0),"TOTAL",IF(itens_Remanesc!A67="","",itens_Remanesc!A67))</f>
        <v/>
      </c>
      <c r="B68" s="282">
        <f>IF(OR(itens_Remanesc!A67="",NOT(ISNUMBER(parametros!$F$2))),"",ROUND(itens_Remanesc!C67*parametros!$F$2,2))</f>
        <v/>
      </c>
      <c r="C68" s="283">
        <f>IF(itens_Remanesc!A67="","",itens_Remanesc!B67)</f>
        <v/>
      </c>
      <c r="D68" s="282">
        <f>IF(A68="TOTAL",ROUND(SUM($D$3:D67),2),IF(A68="","",ROUND(B68*C68,2)))</f>
        <v/>
      </c>
      <c r="E68" s="284">
        <f>IF(OR(itens_Remanesc!A67="",NOT(ISNUMBER(parametros!$F$3))),"",ROUND(itens_Remanesc!C67*parametros!$F$3,2))</f>
        <v/>
      </c>
      <c r="F68" s="285">
        <f>IF(itens_Remanesc!A67="","",itens_Remanesc!E67)</f>
        <v/>
      </c>
      <c r="G68" s="284">
        <f>IF(A68="TOTAL",ROUND(SUM($G$3:G67),2),IF(OR(A68="",E68="",F68=""),"",ROUND(E68*F68,2)))</f>
        <v/>
      </c>
      <c r="H68" s="282">
        <f>IF(OR(itens_Remanesc!A67="",NOT(ISNUMBER(parametros!$F$4))),"",ROUND(itens_Remanesc!C67*parametros!$F$4,2))</f>
        <v/>
      </c>
      <c r="I68" s="283">
        <f>IF(itens_Remanesc!A67="","",itens_Remanesc!G67)</f>
        <v/>
      </c>
      <c r="J68" s="282">
        <f>IF(A68="TOTAL",ROUND(SUM($J$3:J67),2),IF(OR(A68="",H68="",I68=""),"",ROUND(H68*I68,2)))</f>
        <v/>
      </c>
      <c r="K68" s="284">
        <f>IF(OR(itens_Remanesc!A67="",NOT(ISNUMBER(parametros!$F$5))),"",ROUND(itens_Remanesc!C67*parametros!$F$5,2))</f>
        <v/>
      </c>
      <c r="L68" s="285">
        <f>IF(itens_Remanesc!A67="","",itens_Remanesc!I67)</f>
        <v/>
      </c>
      <c r="M68" s="284">
        <f>IF(A68="TOTAL",ROUND(SUM($M$3:M67),2),IF(OR(A68="",K68="",L68=""),"",ROUND(K68*L68,2)))</f>
        <v/>
      </c>
      <c r="N68" s="282">
        <f>IF(OR(itens_Remanesc!A67="",NOT(ISNUMBER(parametros!$F$6))),"",ROUND(itens_Remanesc!C67*parametros!$F$6,2))</f>
        <v/>
      </c>
      <c r="O68" s="283">
        <f>IF(itens_Remanesc!A67="","",itens_Remanesc!K67)</f>
        <v/>
      </c>
      <c r="P68" s="282">
        <f>IF(A68="TOTAL",ROUND(SUM($P$3:P67),2),IF(OR(A68="",N68="",O68=""),"",ROUND(N68*O68,2)))</f>
        <v/>
      </c>
    </row>
    <row r="69">
      <c r="A69" s="281">
        <f>IF(AND(itens_Remanesc!A68="",itens_Remanesc!A67&lt;&gt;"",COUNTIF(itens_Remanesc!A69:$A$200,"&lt;&gt;")=0),"TOTAL",IF(itens_Remanesc!A68="","",itens_Remanesc!A68))</f>
        <v/>
      </c>
      <c r="B69" s="282">
        <f>IF(OR(itens_Remanesc!A68="",NOT(ISNUMBER(parametros!$F$2))),"",ROUND(itens_Remanesc!C68*parametros!$F$2,2))</f>
        <v/>
      </c>
      <c r="C69" s="283">
        <f>IF(itens_Remanesc!A68="","",itens_Remanesc!B68)</f>
        <v/>
      </c>
      <c r="D69" s="282">
        <f>IF(A69="TOTAL",ROUND(SUM($D$3:D68),2),IF(A69="","",ROUND(B69*C69,2)))</f>
        <v/>
      </c>
      <c r="E69" s="284">
        <f>IF(OR(itens_Remanesc!A68="",NOT(ISNUMBER(parametros!$F$3))),"",ROUND(itens_Remanesc!C68*parametros!$F$3,2))</f>
        <v/>
      </c>
      <c r="F69" s="285">
        <f>IF(itens_Remanesc!A68="","",itens_Remanesc!E68)</f>
        <v/>
      </c>
      <c r="G69" s="284">
        <f>IF(A69="TOTAL",ROUND(SUM($G$3:G68),2),IF(OR(A69="",E69="",F69=""),"",ROUND(E69*F69,2)))</f>
        <v/>
      </c>
      <c r="H69" s="282">
        <f>IF(OR(itens_Remanesc!A68="",NOT(ISNUMBER(parametros!$F$4))),"",ROUND(itens_Remanesc!C68*parametros!$F$4,2))</f>
        <v/>
      </c>
      <c r="I69" s="283">
        <f>IF(itens_Remanesc!A68="","",itens_Remanesc!G68)</f>
        <v/>
      </c>
      <c r="J69" s="282">
        <f>IF(A69="TOTAL",ROUND(SUM($J$3:J68),2),IF(OR(A69="",H69="",I69=""),"",ROUND(H69*I69,2)))</f>
        <v/>
      </c>
      <c r="K69" s="284">
        <f>IF(OR(itens_Remanesc!A68="",NOT(ISNUMBER(parametros!$F$5))),"",ROUND(itens_Remanesc!C68*parametros!$F$5,2))</f>
        <v/>
      </c>
      <c r="L69" s="285">
        <f>IF(itens_Remanesc!A68="","",itens_Remanesc!I68)</f>
        <v/>
      </c>
      <c r="M69" s="284">
        <f>IF(A69="TOTAL",ROUND(SUM($M$3:M68),2),IF(OR(A69="",K69="",L69=""),"",ROUND(K69*L69,2)))</f>
        <v/>
      </c>
      <c r="N69" s="282">
        <f>IF(OR(itens_Remanesc!A68="",NOT(ISNUMBER(parametros!$F$6))),"",ROUND(itens_Remanesc!C68*parametros!$F$6,2))</f>
        <v/>
      </c>
      <c r="O69" s="283">
        <f>IF(itens_Remanesc!A68="","",itens_Remanesc!K68)</f>
        <v/>
      </c>
      <c r="P69" s="282">
        <f>IF(A69="TOTAL",ROUND(SUM($P$3:P68),2),IF(OR(A69="",N69="",O69=""),"",ROUND(N69*O69,2)))</f>
        <v/>
      </c>
    </row>
    <row r="70">
      <c r="A70" s="281">
        <f>IF(AND(itens_Remanesc!A69="",itens_Remanesc!A68&lt;&gt;"",COUNTIF(itens_Remanesc!A70:$A$200,"&lt;&gt;")=0),"TOTAL",IF(itens_Remanesc!A69="","",itens_Remanesc!A69))</f>
        <v/>
      </c>
      <c r="B70" s="282">
        <f>IF(OR(itens_Remanesc!A69="",NOT(ISNUMBER(parametros!$F$2))),"",ROUND(itens_Remanesc!C69*parametros!$F$2,2))</f>
        <v/>
      </c>
      <c r="C70" s="283">
        <f>IF(itens_Remanesc!A69="","",itens_Remanesc!B69)</f>
        <v/>
      </c>
      <c r="D70" s="282">
        <f>IF(A70="TOTAL",ROUND(SUM($D$3:D69),2),IF(A70="","",ROUND(B70*C70,2)))</f>
        <v/>
      </c>
      <c r="E70" s="284">
        <f>IF(OR(itens_Remanesc!A69="",NOT(ISNUMBER(parametros!$F$3))),"",ROUND(itens_Remanesc!C69*parametros!$F$3,2))</f>
        <v/>
      </c>
      <c r="F70" s="285">
        <f>IF(itens_Remanesc!A69="","",itens_Remanesc!E69)</f>
        <v/>
      </c>
      <c r="G70" s="284">
        <f>IF(A70="TOTAL",ROUND(SUM($G$3:G69),2),IF(OR(A70="",E70="",F70=""),"",ROUND(E70*F70,2)))</f>
        <v/>
      </c>
      <c r="H70" s="282">
        <f>IF(OR(itens_Remanesc!A69="",NOT(ISNUMBER(parametros!$F$4))),"",ROUND(itens_Remanesc!C69*parametros!$F$4,2))</f>
        <v/>
      </c>
      <c r="I70" s="283">
        <f>IF(itens_Remanesc!A69="","",itens_Remanesc!G69)</f>
        <v/>
      </c>
      <c r="J70" s="282">
        <f>IF(A70="TOTAL",ROUND(SUM($J$3:J69),2),IF(OR(A70="",H70="",I70=""),"",ROUND(H70*I70,2)))</f>
        <v/>
      </c>
      <c r="K70" s="284">
        <f>IF(OR(itens_Remanesc!A69="",NOT(ISNUMBER(parametros!$F$5))),"",ROUND(itens_Remanesc!C69*parametros!$F$5,2))</f>
        <v/>
      </c>
      <c r="L70" s="285">
        <f>IF(itens_Remanesc!A69="","",itens_Remanesc!I69)</f>
        <v/>
      </c>
      <c r="M70" s="284">
        <f>IF(A70="TOTAL",ROUND(SUM($M$3:M69),2),IF(OR(A70="",K70="",L70=""),"",ROUND(K70*L70,2)))</f>
        <v/>
      </c>
      <c r="N70" s="282">
        <f>IF(OR(itens_Remanesc!A69="",NOT(ISNUMBER(parametros!$F$6))),"",ROUND(itens_Remanesc!C69*parametros!$F$6,2))</f>
        <v/>
      </c>
      <c r="O70" s="283">
        <f>IF(itens_Remanesc!A69="","",itens_Remanesc!K69)</f>
        <v/>
      </c>
      <c r="P70" s="282">
        <f>IF(A70="TOTAL",ROUND(SUM($P$3:P69),2),IF(OR(A70="",N70="",O70=""),"",ROUND(N70*O70,2)))</f>
        <v/>
      </c>
    </row>
    <row r="71">
      <c r="A71" s="281">
        <f>IF(AND(itens_Remanesc!A70="",itens_Remanesc!A69&lt;&gt;"",COUNTIF(itens_Remanesc!A71:$A$200,"&lt;&gt;")=0),"TOTAL",IF(itens_Remanesc!A70="","",itens_Remanesc!A70))</f>
        <v/>
      </c>
      <c r="B71" s="282">
        <f>IF(OR(itens_Remanesc!A70="",NOT(ISNUMBER(parametros!$F$2))),"",ROUND(itens_Remanesc!C70*parametros!$F$2,2))</f>
        <v/>
      </c>
      <c r="C71" s="283">
        <f>IF(itens_Remanesc!A70="","",itens_Remanesc!B70)</f>
        <v/>
      </c>
      <c r="D71" s="282">
        <f>IF(A71="TOTAL",ROUND(SUM($D$3:D70),2),IF(A71="","",ROUND(B71*C71,2)))</f>
        <v/>
      </c>
      <c r="E71" s="284">
        <f>IF(OR(itens_Remanesc!A70="",NOT(ISNUMBER(parametros!$F$3))),"",ROUND(itens_Remanesc!C70*parametros!$F$3,2))</f>
        <v/>
      </c>
      <c r="F71" s="285">
        <f>IF(itens_Remanesc!A70="","",itens_Remanesc!E70)</f>
        <v/>
      </c>
      <c r="G71" s="284">
        <f>IF(A71="TOTAL",ROUND(SUM($G$3:G70),2),IF(OR(A71="",E71="",F71=""),"",ROUND(E71*F71,2)))</f>
        <v/>
      </c>
      <c r="H71" s="282">
        <f>IF(OR(itens_Remanesc!A70="",NOT(ISNUMBER(parametros!$F$4))),"",ROUND(itens_Remanesc!C70*parametros!$F$4,2))</f>
        <v/>
      </c>
      <c r="I71" s="283">
        <f>IF(itens_Remanesc!A70="","",itens_Remanesc!G70)</f>
        <v/>
      </c>
      <c r="J71" s="282">
        <f>IF(A71="TOTAL",ROUND(SUM($J$3:J70),2),IF(OR(A71="",H71="",I71=""),"",ROUND(H71*I71,2)))</f>
        <v/>
      </c>
      <c r="K71" s="284">
        <f>IF(OR(itens_Remanesc!A70="",NOT(ISNUMBER(parametros!$F$5))),"",ROUND(itens_Remanesc!C70*parametros!$F$5,2))</f>
        <v/>
      </c>
      <c r="L71" s="285">
        <f>IF(itens_Remanesc!A70="","",itens_Remanesc!I70)</f>
        <v/>
      </c>
      <c r="M71" s="284">
        <f>IF(A71="TOTAL",ROUND(SUM($M$3:M70),2),IF(OR(A71="",K71="",L71=""),"",ROUND(K71*L71,2)))</f>
        <v/>
      </c>
      <c r="N71" s="282">
        <f>IF(OR(itens_Remanesc!A70="",NOT(ISNUMBER(parametros!$F$6))),"",ROUND(itens_Remanesc!C70*parametros!$F$6,2))</f>
        <v/>
      </c>
      <c r="O71" s="283">
        <f>IF(itens_Remanesc!A70="","",itens_Remanesc!K70)</f>
        <v/>
      </c>
      <c r="P71" s="282">
        <f>IF(A71="TOTAL",ROUND(SUM($P$3:P70),2),IF(OR(A71="",N71="",O71=""),"",ROUND(N71*O71,2)))</f>
        <v/>
      </c>
    </row>
    <row r="72">
      <c r="A72" s="281">
        <f>IF(AND(itens_Remanesc!A71="",itens_Remanesc!A70&lt;&gt;"",COUNTIF(itens_Remanesc!A72:$A$200,"&lt;&gt;")=0),"TOTAL",IF(itens_Remanesc!A71="","",itens_Remanesc!A71))</f>
        <v/>
      </c>
      <c r="B72" s="282">
        <f>IF(OR(itens_Remanesc!A71="",NOT(ISNUMBER(parametros!$F$2))),"",ROUND(itens_Remanesc!C71*parametros!$F$2,2))</f>
        <v/>
      </c>
      <c r="C72" s="283">
        <f>IF(itens_Remanesc!A71="","",itens_Remanesc!B71)</f>
        <v/>
      </c>
      <c r="D72" s="282">
        <f>IF(A72="TOTAL",ROUND(SUM($D$3:D71),2),IF(A72="","",ROUND(B72*C72,2)))</f>
        <v/>
      </c>
      <c r="E72" s="284">
        <f>IF(OR(itens_Remanesc!A71="",NOT(ISNUMBER(parametros!$F$3))),"",ROUND(itens_Remanesc!C71*parametros!$F$3,2))</f>
        <v/>
      </c>
      <c r="F72" s="285">
        <f>IF(itens_Remanesc!A71="","",itens_Remanesc!E71)</f>
        <v/>
      </c>
      <c r="G72" s="284">
        <f>IF(A72="TOTAL",ROUND(SUM($G$3:G71),2),IF(OR(A72="",E72="",F72=""),"",ROUND(E72*F72,2)))</f>
        <v/>
      </c>
      <c r="H72" s="282">
        <f>IF(OR(itens_Remanesc!A71="",NOT(ISNUMBER(parametros!$F$4))),"",ROUND(itens_Remanesc!C71*parametros!$F$4,2))</f>
        <v/>
      </c>
      <c r="I72" s="283">
        <f>IF(itens_Remanesc!A71="","",itens_Remanesc!G71)</f>
        <v/>
      </c>
      <c r="J72" s="282">
        <f>IF(A72="TOTAL",ROUND(SUM($J$3:J71),2),IF(OR(A72="",H72="",I72=""),"",ROUND(H72*I72,2)))</f>
        <v/>
      </c>
      <c r="K72" s="284">
        <f>IF(OR(itens_Remanesc!A71="",NOT(ISNUMBER(parametros!$F$5))),"",ROUND(itens_Remanesc!C71*parametros!$F$5,2))</f>
        <v/>
      </c>
      <c r="L72" s="285">
        <f>IF(itens_Remanesc!A71="","",itens_Remanesc!I71)</f>
        <v/>
      </c>
      <c r="M72" s="284">
        <f>IF(A72="TOTAL",ROUND(SUM($M$3:M71),2),IF(OR(A72="",K72="",L72=""),"",ROUND(K72*L72,2)))</f>
        <v/>
      </c>
      <c r="N72" s="282">
        <f>IF(OR(itens_Remanesc!A71="",NOT(ISNUMBER(parametros!$F$6))),"",ROUND(itens_Remanesc!C71*parametros!$F$6,2))</f>
        <v/>
      </c>
      <c r="O72" s="283">
        <f>IF(itens_Remanesc!A71="","",itens_Remanesc!K71)</f>
        <v/>
      </c>
      <c r="P72" s="282">
        <f>IF(A72="TOTAL",ROUND(SUM($P$3:P71),2),IF(OR(A72="",N72="",O72=""),"",ROUND(N72*O72,2)))</f>
        <v/>
      </c>
    </row>
    <row r="73">
      <c r="A73" s="281">
        <f>IF(AND(itens_Remanesc!A72="",itens_Remanesc!A71&lt;&gt;"",COUNTIF(itens_Remanesc!A73:$A$200,"&lt;&gt;")=0),"TOTAL",IF(itens_Remanesc!A72="","",itens_Remanesc!A72))</f>
        <v/>
      </c>
      <c r="B73" s="282">
        <f>IF(OR(itens_Remanesc!A72="",NOT(ISNUMBER(parametros!$F$2))),"",ROUND(itens_Remanesc!C72*parametros!$F$2,2))</f>
        <v/>
      </c>
      <c r="C73" s="283">
        <f>IF(itens_Remanesc!A72="","",itens_Remanesc!B72)</f>
        <v/>
      </c>
      <c r="D73" s="282">
        <f>IF(A73="TOTAL",ROUND(SUM($D$3:D72),2),IF(A73="","",ROUND(B73*C73,2)))</f>
        <v/>
      </c>
      <c r="E73" s="284">
        <f>IF(OR(itens_Remanesc!A72="",NOT(ISNUMBER(parametros!$F$3))),"",ROUND(itens_Remanesc!C72*parametros!$F$3,2))</f>
        <v/>
      </c>
      <c r="F73" s="285">
        <f>IF(itens_Remanesc!A72="","",itens_Remanesc!E72)</f>
        <v/>
      </c>
      <c r="G73" s="284">
        <f>IF(A73="TOTAL",ROUND(SUM($G$3:G72),2),IF(OR(A73="",E73="",F73=""),"",ROUND(E73*F73,2)))</f>
        <v/>
      </c>
      <c r="H73" s="282">
        <f>IF(OR(itens_Remanesc!A72="",NOT(ISNUMBER(parametros!$F$4))),"",ROUND(itens_Remanesc!C72*parametros!$F$4,2))</f>
        <v/>
      </c>
      <c r="I73" s="283">
        <f>IF(itens_Remanesc!A72="","",itens_Remanesc!G72)</f>
        <v/>
      </c>
      <c r="J73" s="282">
        <f>IF(A73="TOTAL",ROUND(SUM($J$3:J72),2),IF(OR(A73="",H73="",I73=""),"",ROUND(H73*I73,2)))</f>
        <v/>
      </c>
      <c r="K73" s="284">
        <f>IF(OR(itens_Remanesc!A72="",NOT(ISNUMBER(parametros!$F$5))),"",ROUND(itens_Remanesc!C72*parametros!$F$5,2))</f>
        <v/>
      </c>
      <c r="L73" s="285">
        <f>IF(itens_Remanesc!A72="","",itens_Remanesc!I72)</f>
        <v/>
      </c>
      <c r="M73" s="284">
        <f>IF(A73="TOTAL",ROUND(SUM($M$3:M72),2),IF(OR(A73="",K73="",L73=""),"",ROUND(K73*L73,2)))</f>
        <v/>
      </c>
      <c r="N73" s="282">
        <f>IF(OR(itens_Remanesc!A72="",NOT(ISNUMBER(parametros!$F$6))),"",ROUND(itens_Remanesc!C72*parametros!$F$6,2))</f>
        <v/>
      </c>
      <c r="O73" s="283">
        <f>IF(itens_Remanesc!A72="","",itens_Remanesc!K72)</f>
        <v/>
      </c>
      <c r="P73" s="282">
        <f>IF(A73="TOTAL",ROUND(SUM($P$3:P72),2),IF(OR(A73="",N73="",O73=""),"",ROUND(N73*O73,2)))</f>
        <v/>
      </c>
    </row>
    <row r="74">
      <c r="A74" s="281">
        <f>IF(AND(itens_Remanesc!A73="",itens_Remanesc!A72&lt;&gt;"",COUNTIF(itens_Remanesc!A74:$A$200,"&lt;&gt;")=0),"TOTAL",IF(itens_Remanesc!A73="","",itens_Remanesc!A73))</f>
        <v/>
      </c>
      <c r="B74" s="282">
        <f>IF(OR(itens_Remanesc!A73="",NOT(ISNUMBER(parametros!$F$2))),"",ROUND(itens_Remanesc!C73*parametros!$F$2,2))</f>
        <v/>
      </c>
      <c r="C74" s="283">
        <f>IF(itens_Remanesc!A73="","",itens_Remanesc!B73)</f>
        <v/>
      </c>
      <c r="D74" s="282">
        <f>IF(A74="TOTAL",ROUND(SUM($D$3:D73),2),IF(A74="","",ROUND(B74*C74,2)))</f>
        <v/>
      </c>
      <c r="E74" s="284">
        <f>IF(OR(itens_Remanesc!A73="",NOT(ISNUMBER(parametros!$F$3))),"",ROUND(itens_Remanesc!C73*parametros!$F$3,2))</f>
        <v/>
      </c>
      <c r="F74" s="285">
        <f>IF(itens_Remanesc!A73="","",itens_Remanesc!E73)</f>
        <v/>
      </c>
      <c r="G74" s="284">
        <f>IF(A74="TOTAL",ROUND(SUM($G$3:G73),2),IF(OR(A74="",E74="",F74=""),"",ROUND(E74*F74,2)))</f>
        <v/>
      </c>
      <c r="H74" s="282">
        <f>IF(OR(itens_Remanesc!A73="",NOT(ISNUMBER(parametros!$F$4))),"",ROUND(itens_Remanesc!C73*parametros!$F$4,2))</f>
        <v/>
      </c>
      <c r="I74" s="283">
        <f>IF(itens_Remanesc!A73="","",itens_Remanesc!G73)</f>
        <v/>
      </c>
      <c r="J74" s="282">
        <f>IF(A74="TOTAL",ROUND(SUM($J$3:J73),2),IF(OR(A74="",H74="",I74=""),"",ROUND(H74*I74,2)))</f>
        <v/>
      </c>
      <c r="K74" s="284">
        <f>IF(OR(itens_Remanesc!A73="",NOT(ISNUMBER(parametros!$F$5))),"",ROUND(itens_Remanesc!C73*parametros!$F$5,2))</f>
        <v/>
      </c>
      <c r="L74" s="285">
        <f>IF(itens_Remanesc!A73="","",itens_Remanesc!I73)</f>
        <v/>
      </c>
      <c r="M74" s="284">
        <f>IF(A74="TOTAL",ROUND(SUM($M$3:M73),2),IF(OR(A74="",K74="",L74=""),"",ROUND(K74*L74,2)))</f>
        <v/>
      </c>
      <c r="N74" s="282">
        <f>IF(OR(itens_Remanesc!A73="",NOT(ISNUMBER(parametros!$F$6))),"",ROUND(itens_Remanesc!C73*parametros!$F$6,2))</f>
        <v/>
      </c>
      <c r="O74" s="283">
        <f>IF(itens_Remanesc!A73="","",itens_Remanesc!K73)</f>
        <v/>
      </c>
      <c r="P74" s="282">
        <f>IF(A74="TOTAL",ROUND(SUM($P$3:P73),2),IF(OR(A74="",N74="",O74=""),"",ROUND(N74*O74,2)))</f>
        <v/>
      </c>
    </row>
    <row r="75">
      <c r="A75" s="281">
        <f>IF(AND(itens_Remanesc!A74="",itens_Remanesc!A73&lt;&gt;"",COUNTIF(itens_Remanesc!A75:$A$200,"&lt;&gt;")=0),"TOTAL",IF(itens_Remanesc!A74="","",itens_Remanesc!A74))</f>
        <v/>
      </c>
      <c r="B75" s="282">
        <f>IF(OR(itens_Remanesc!A74="",NOT(ISNUMBER(parametros!$F$2))),"",ROUND(itens_Remanesc!C74*parametros!$F$2,2))</f>
        <v/>
      </c>
      <c r="C75" s="283">
        <f>IF(itens_Remanesc!A74="","",itens_Remanesc!B74)</f>
        <v/>
      </c>
      <c r="D75" s="282">
        <f>IF(A75="TOTAL",ROUND(SUM($D$3:D74),2),IF(A75="","",ROUND(B75*C75,2)))</f>
        <v/>
      </c>
      <c r="E75" s="284">
        <f>IF(OR(itens_Remanesc!A74="",NOT(ISNUMBER(parametros!$F$3))),"",ROUND(itens_Remanesc!C74*parametros!$F$3,2))</f>
        <v/>
      </c>
      <c r="F75" s="285">
        <f>IF(itens_Remanesc!A74="","",itens_Remanesc!E74)</f>
        <v/>
      </c>
      <c r="G75" s="284">
        <f>IF(A75="TOTAL",ROUND(SUM($G$3:G74),2),IF(OR(A75="",E75="",F75=""),"",ROUND(E75*F75,2)))</f>
        <v/>
      </c>
      <c r="H75" s="282">
        <f>IF(OR(itens_Remanesc!A74="",NOT(ISNUMBER(parametros!$F$4))),"",ROUND(itens_Remanesc!C74*parametros!$F$4,2))</f>
        <v/>
      </c>
      <c r="I75" s="283">
        <f>IF(itens_Remanesc!A74="","",itens_Remanesc!G74)</f>
        <v/>
      </c>
      <c r="J75" s="282">
        <f>IF(A75="TOTAL",ROUND(SUM($J$3:J74),2),IF(OR(A75="",H75="",I75=""),"",ROUND(H75*I75,2)))</f>
        <v/>
      </c>
      <c r="K75" s="284">
        <f>IF(OR(itens_Remanesc!A74="",NOT(ISNUMBER(parametros!$F$5))),"",ROUND(itens_Remanesc!C74*parametros!$F$5,2))</f>
        <v/>
      </c>
      <c r="L75" s="285">
        <f>IF(itens_Remanesc!A74="","",itens_Remanesc!I74)</f>
        <v/>
      </c>
      <c r="M75" s="284">
        <f>IF(A75="TOTAL",ROUND(SUM($M$3:M74),2),IF(OR(A75="",K75="",L75=""),"",ROUND(K75*L75,2)))</f>
        <v/>
      </c>
      <c r="N75" s="282">
        <f>IF(OR(itens_Remanesc!A74="",NOT(ISNUMBER(parametros!$F$6))),"",ROUND(itens_Remanesc!C74*parametros!$F$6,2))</f>
        <v/>
      </c>
      <c r="O75" s="283">
        <f>IF(itens_Remanesc!A74="","",itens_Remanesc!K74)</f>
        <v/>
      </c>
      <c r="P75" s="282">
        <f>IF(A75="TOTAL",ROUND(SUM($P$3:P74),2),IF(OR(A75="",N75="",O75=""),"",ROUND(N75*O75,2)))</f>
        <v/>
      </c>
    </row>
    <row r="76">
      <c r="A76" s="281">
        <f>IF(AND(itens_Remanesc!A75="",itens_Remanesc!A74&lt;&gt;"",COUNTIF(itens_Remanesc!A76:$A$200,"&lt;&gt;")=0),"TOTAL",IF(itens_Remanesc!A75="","",itens_Remanesc!A75))</f>
        <v/>
      </c>
      <c r="B76" s="282">
        <f>IF(OR(itens_Remanesc!A75="",NOT(ISNUMBER(parametros!$F$2))),"",ROUND(itens_Remanesc!C75*parametros!$F$2,2))</f>
        <v/>
      </c>
      <c r="C76" s="283">
        <f>IF(itens_Remanesc!A75="","",itens_Remanesc!B75)</f>
        <v/>
      </c>
      <c r="D76" s="282">
        <f>IF(A76="TOTAL",ROUND(SUM($D$3:D75),2),IF(A76="","",ROUND(B76*C76,2)))</f>
        <v/>
      </c>
      <c r="E76" s="284">
        <f>IF(OR(itens_Remanesc!A75="",NOT(ISNUMBER(parametros!$F$3))),"",ROUND(itens_Remanesc!C75*parametros!$F$3,2))</f>
        <v/>
      </c>
      <c r="F76" s="285">
        <f>IF(itens_Remanesc!A75="","",itens_Remanesc!E75)</f>
        <v/>
      </c>
      <c r="G76" s="284">
        <f>IF(A76="TOTAL",ROUND(SUM($G$3:G75),2),IF(OR(A76="",E76="",F76=""),"",ROUND(E76*F76,2)))</f>
        <v/>
      </c>
      <c r="H76" s="282">
        <f>IF(OR(itens_Remanesc!A75="",NOT(ISNUMBER(parametros!$F$4))),"",ROUND(itens_Remanesc!C75*parametros!$F$4,2))</f>
        <v/>
      </c>
      <c r="I76" s="283">
        <f>IF(itens_Remanesc!A75="","",itens_Remanesc!G75)</f>
        <v/>
      </c>
      <c r="J76" s="282">
        <f>IF(A76="TOTAL",ROUND(SUM($J$3:J75),2),IF(OR(A76="",H76="",I76=""),"",ROUND(H76*I76,2)))</f>
        <v/>
      </c>
      <c r="K76" s="284">
        <f>IF(OR(itens_Remanesc!A75="",NOT(ISNUMBER(parametros!$F$5))),"",ROUND(itens_Remanesc!C75*parametros!$F$5,2))</f>
        <v/>
      </c>
      <c r="L76" s="285">
        <f>IF(itens_Remanesc!A75="","",itens_Remanesc!I75)</f>
        <v/>
      </c>
      <c r="M76" s="284">
        <f>IF(A76="TOTAL",ROUND(SUM($M$3:M75),2),IF(OR(A76="",K76="",L76=""),"",ROUND(K76*L76,2)))</f>
        <v/>
      </c>
      <c r="N76" s="282">
        <f>IF(OR(itens_Remanesc!A75="",NOT(ISNUMBER(parametros!$F$6))),"",ROUND(itens_Remanesc!C75*parametros!$F$6,2))</f>
        <v/>
      </c>
      <c r="O76" s="283">
        <f>IF(itens_Remanesc!A75="","",itens_Remanesc!K75)</f>
        <v/>
      </c>
      <c r="P76" s="282">
        <f>IF(A76="TOTAL",ROUND(SUM($P$3:P75),2),IF(OR(A76="",N76="",O76=""),"",ROUND(N76*O76,2)))</f>
        <v/>
      </c>
    </row>
    <row r="77">
      <c r="A77" s="281">
        <f>IF(AND(itens_Remanesc!A76="",itens_Remanesc!A75&lt;&gt;"",COUNTIF(itens_Remanesc!A77:$A$200,"&lt;&gt;")=0),"TOTAL",IF(itens_Remanesc!A76="","",itens_Remanesc!A76))</f>
        <v/>
      </c>
      <c r="B77" s="282">
        <f>IF(OR(itens_Remanesc!A76="",NOT(ISNUMBER(parametros!$F$2))),"",ROUND(itens_Remanesc!C76*parametros!$F$2,2))</f>
        <v/>
      </c>
      <c r="C77" s="283">
        <f>IF(itens_Remanesc!A76="","",itens_Remanesc!B76)</f>
        <v/>
      </c>
      <c r="D77" s="282">
        <f>IF(A77="TOTAL",ROUND(SUM($D$3:D76),2),IF(A77="","",ROUND(B77*C77,2)))</f>
        <v/>
      </c>
      <c r="E77" s="284">
        <f>IF(OR(itens_Remanesc!A76="",NOT(ISNUMBER(parametros!$F$3))),"",ROUND(itens_Remanesc!C76*parametros!$F$3,2))</f>
        <v/>
      </c>
      <c r="F77" s="285">
        <f>IF(itens_Remanesc!A76="","",itens_Remanesc!E76)</f>
        <v/>
      </c>
      <c r="G77" s="284">
        <f>IF(A77="TOTAL",ROUND(SUM($G$3:G76),2),IF(OR(A77="",E77="",F77=""),"",ROUND(E77*F77,2)))</f>
        <v/>
      </c>
      <c r="H77" s="282">
        <f>IF(OR(itens_Remanesc!A76="",NOT(ISNUMBER(parametros!$F$4))),"",ROUND(itens_Remanesc!C76*parametros!$F$4,2))</f>
        <v/>
      </c>
      <c r="I77" s="283">
        <f>IF(itens_Remanesc!A76="","",itens_Remanesc!G76)</f>
        <v/>
      </c>
      <c r="J77" s="282">
        <f>IF(A77="TOTAL",ROUND(SUM($J$3:J76),2),IF(OR(A77="",H77="",I77=""),"",ROUND(H77*I77,2)))</f>
        <v/>
      </c>
      <c r="K77" s="284">
        <f>IF(OR(itens_Remanesc!A76="",NOT(ISNUMBER(parametros!$F$5))),"",ROUND(itens_Remanesc!C76*parametros!$F$5,2))</f>
        <v/>
      </c>
      <c r="L77" s="285">
        <f>IF(itens_Remanesc!A76="","",itens_Remanesc!I76)</f>
        <v/>
      </c>
      <c r="M77" s="284">
        <f>IF(A77="TOTAL",ROUND(SUM($M$3:M76),2),IF(OR(A77="",K77="",L77=""),"",ROUND(K77*L77,2)))</f>
        <v/>
      </c>
      <c r="N77" s="282">
        <f>IF(OR(itens_Remanesc!A76="",NOT(ISNUMBER(parametros!$F$6))),"",ROUND(itens_Remanesc!C76*parametros!$F$6,2))</f>
        <v/>
      </c>
      <c r="O77" s="283">
        <f>IF(itens_Remanesc!A76="","",itens_Remanesc!K76)</f>
        <v/>
      </c>
      <c r="P77" s="282">
        <f>IF(A77="TOTAL",ROUND(SUM($P$3:P76),2),IF(OR(A77="",N77="",O77=""),"",ROUND(N77*O77,2)))</f>
        <v/>
      </c>
    </row>
    <row r="78">
      <c r="A78" s="281">
        <f>IF(AND(itens_Remanesc!A77="",itens_Remanesc!A76&lt;&gt;"",COUNTIF(itens_Remanesc!A78:$A$200,"&lt;&gt;")=0),"TOTAL",IF(itens_Remanesc!A77="","",itens_Remanesc!A77))</f>
        <v/>
      </c>
      <c r="B78" s="282">
        <f>IF(OR(itens_Remanesc!A77="",NOT(ISNUMBER(parametros!$F$2))),"",ROUND(itens_Remanesc!C77*parametros!$F$2,2))</f>
        <v/>
      </c>
      <c r="C78" s="283">
        <f>IF(itens_Remanesc!A77="","",itens_Remanesc!B77)</f>
        <v/>
      </c>
      <c r="D78" s="282">
        <f>IF(A78="TOTAL",ROUND(SUM($D$3:D77),2),IF(A78="","",ROUND(B78*C78,2)))</f>
        <v/>
      </c>
      <c r="E78" s="284">
        <f>IF(OR(itens_Remanesc!A77="",NOT(ISNUMBER(parametros!$F$3))),"",ROUND(itens_Remanesc!C77*parametros!$F$3,2))</f>
        <v/>
      </c>
      <c r="F78" s="285">
        <f>IF(itens_Remanesc!A77="","",itens_Remanesc!E77)</f>
        <v/>
      </c>
      <c r="G78" s="284">
        <f>IF(A78="TOTAL",ROUND(SUM($G$3:G77),2),IF(OR(A78="",E78="",F78=""),"",ROUND(E78*F78,2)))</f>
        <v/>
      </c>
      <c r="H78" s="282">
        <f>IF(OR(itens_Remanesc!A77="",NOT(ISNUMBER(parametros!$F$4))),"",ROUND(itens_Remanesc!C77*parametros!$F$4,2))</f>
        <v/>
      </c>
      <c r="I78" s="283">
        <f>IF(itens_Remanesc!A77="","",itens_Remanesc!G77)</f>
        <v/>
      </c>
      <c r="J78" s="282">
        <f>IF(A78="TOTAL",ROUND(SUM($J$3:J77),2),IF(OR(A78="",H78="",I78=""),"",ROUND(H78*I78,2)))</f>
        <v/>
      </c>
      <c r="K78" s="284">
        <f>IF(OR(itens_Remanesc!A77="",NOT(ISNUMBER(parametros!$F$5))),"",ROUND(itens_Remanesc!C77*parametros!$F$5,2))</f>
        <v/>
      </c>
      <c r="L78" s="285">
        <f>IF(itens_Remanesc!A77="","",itens_Remanesc!I77)</f>
        <v/>
      </c>
      <c r="M78" s="284">
        <f>IF(A78="TOTAL",ROUND(SUM($M$3:M77),2),IF(OR(A78="",K78="",L78=""),"",ROUND(K78*L78,2)))</f>
        <v/>
      </c>
      <c r="N78" s="282">
        <f>IF(OR(itens_Remanesc!A77="",NOT(ISNUMBER(parametros!$F$6))),"",ROUND(itens_Remanesc!C77*parametros!$F$6,2))</f>
        <v/>
      </c>
      <c r="O78" s="283">
        <f>IF(itens_Remanesc!A77="","",itens_Remanesc!K77)</f>
        <v/>
      </c>
      <c r="P78" s="282">
        <f>IF(A78="TOTAL",ROUND(SUM($P$3:P77),2),IF(OR(A78="",N78="",O78=""),"",ROUND(N78*O78,2)))</f>
        <v/>
      </c>
    </row>
    <row r="79">
      <c r="A79" s="281">
        <f>IF(AND(itens_Remanesc!A78="",itens_Remanesc!A77&lt;&gt;"",COUNTIF(itens_Remanesc!A79:$A$200,"&lt;&gt;")=0),"TOTAL",IF(itens_Remanesc!A78="","",itens_Remanesc!A78))</f>
        <v/>
      </c>
      <c r="B79" s="282">
        <f>IF(OR(itens_Remanesc!A78="",NOT(ISNUMBER(parametros!$F$2))),"",ROUND(itens_Remanesc!C78*parametros!$F$2,2))</f>
        <v/>
      </c>
      <c r="C79" s="283">
        <f>IF(itens_Remanesc!A78="","",itens_Remanesc!B78)</f>
        <v/>
      </c>
      <c r="D79" s="282">
        <f>IF(A79="TOTAL",ROUND(SUM($D$3:D78),2),IF(A79="","",ROUND(B79*C79,2)))</f>
        <v/>
      </c>
      <c r="E79" s="284">
        <f>IF(OR(itens_Remanesc!A78="",NOT(ISNUMBER(parametros!$F$3))),"",ROUND(itens_Remanesc!C78*parametros!$F$3,2))</f>
        <v/>
      </c>
      <c r="F79" s="285">
        <f>IF(itens_Remanesc!A78="","",itens_Remanesc!E78)</f>
        <v/>
      </c>
      <c r="G79" s="284">
        <f>IF(A79="TOTAL",ROUND(SUM($G$3:G78),2),IF(OR(A79="",E79="",F79=""),"",ROUND(E79*F79,2)))</f>
        <v/>
      </c>
      <c r="H79" s="282">
        <f>IF(OR(itens_Remanesc!A78="",NOT(ISNUMBER(parametros!$F$4))),"",ROUND(itens_Remanesc!C78*parametros!$F$4,2))</f>
        <v/>
      </c>
      <c r="I79" s="283">
        <f>IF(itens_Remanesc!A78="","",itens_Remanesc!G78)</f>
        <v/>
      </c>
      <c r="J79" s="282">
        <f>IF(A79="TOTAL",ROUND(SUM($J$3:J78),2),IF(OR(A79="",H79="",I79=""),"",ROUND(H79*I79,2)))</f>
        <v/>
      </c>
      <c r="K79" s="284">
        <f>IF(OR(itens_Remanesc!A78="",NOT(ISNUMBER(parametros!$F$5))),"",ROUND(itens_Remanesc!C78*parametros!$F$5,2))</f>
        <v/>
      </c>
      <c r="L79" s="285">
        <f>IF(itens_Remanesc!A78="","",itens_Remanesc!I78)</f>
        <v/>
      </c>
      <c r="M79" s="284">
        <f>IF(A79="TOTAL",ROUND(SUM($M$3:M78),2),IF(OR(A79="",K79="",L79=""),"",ROUND(K79*L79,2)))</f>
        <v/>
      </c>
      <c r="N79" s="282">
        <f>IF(OR(itens_Remanesc!A78="",NOT(ISNUMBER(parametros!$F$6))),"",ROUND(itens_Remanesc!C78*parametros!$F$6,2))</f>
        <v/>
      </c>
      <c r="O79" s="283">
        <f>IF(itens_Remanesc!A78="","",itens_Remanesc!K78)</f>
        <v/>
      </c>
      <c r="P79" s="282">
        <f>IF(A79="TOTAL",ROUND(SUM($P$3:P78),2),IF(OR(A79="",N79="",O79=""),"",ROUND(N79*O79,2)))</f>
        <v/>
      </c>
    </row>
    <row r="80">
      <c r="A80" s="281">
        <f>IF(AND(itens_Remanesc!A79="",itens_Remanesc!A78&lt;&gt;"",COUNTIF(itens_Remanesc!A80:$A$200,"&lt;&gt;")=0),"TOTAL",IF(itens_Remanesc!A79="","",itens_Remanesc!A79))</f>
        <v/>
      </c>
      <c r="B80" s="282">
        <f>IF(OR(itens_Remanesc!A79="",NOT(ISNUMBER(parametros!$F$2))),"",ROUND(itens_Remanesc!C79*parametros!$F$2,2))</f>
        <v/>
      </c>
      <c r="C80" s="283">
        <f>IF(itens_Remanesc!A79="","",itens_Remanesc!B79)</f>
        <v/>
      </c>
      <c r="D80" s="282">
        <f>IF(A80="TOTAL",ROUND(SUM($D$3:D79),2),IF(A80="","",ROUND(B80*C80,2)))</f>
        <v/>
      </c>
      <c r="E80" s="284">
        <f>IF(OR(itens_Remanesc!A79="",NOT(ISNUMBER(parametros!$F$3))),"",ROUND(itens_Remanesc!C79*parametros!$F$3,2))</f>
        <v/>
      </c>
      <c r="F80" s="285">
        <f>IF(itens_Remanesc!A79="","",itens_Remanesc!E79)</f>
        <v/>
      </c>
      <c r="G80" s="284">
        <f>IF(A80="TOTAL",ROUND(SUM($G$3:G79),2),IF(OR(A80="",E80="",F80=""),"",ROUND(E80*F80,2)))</f>
        <v/>
      </c>
      <c r="H80" s="282">
        <f>IF(OR(itens_Remanesc!A79="",NOT(ISNUMBER(parametros!$F$4))),"",ROUND(itens_Remanesc!C79*parametros!$F$4,2))</f>
        <v/>
      </c>
      <c r="I80" s="283">
        <f>IF(itens_Remanesc!A79="","",itens_Remanesc!G79)</f>
        <v/>
      </c>
      <c r="J80" s="282">
        <f>IF(A80="TOTAL",ROUND(SUM($J$3:J79),2),IF(OR(A80="",H80="",I80=""),"",ROUND(H80*I80,2)))</f>
        <v/>
      </c>
      <c r="K80" s="284">
        <f>IF(OR(itens_Remanesc!A79="",NOT(ISNUMBER(parametros!$F$5))),"",ROUND(itens_Remanesc!C79*parametros!$F$5,2))</f>
        <v/>
      </c>
      <c r="L80" s="285">
        <f>IF(itens_Remanesc!A79="","",itens_Remanesc!I79)</f>
        <v/>
      </c>
      <c r="M80" s="284">
        <f>IF(A80="TOTAL",ROUND(SUM($M$3:M79),2),IF(OR(A80="",K80="",L80=""),"",ROUND(K80*L80,2)))</f>
        <v/>
      </c>
      <c r="N80" s="282">
        <f>IF(OR(itens_Remanesc!A79="",NOT(ISNUMBER(parametros!$F$6))),"",ROUND(itens_Remanesc!C79*parametros!$F$6,2))</f>
        <v/>
      </c>
      <c r="O80" s="283">
        <f>IF(itens_Remanesc!A79="","",itens_Remanesc!K79)</f>
        <v/>
      </c>
      <c r="P80" s="282">
        <f>IF(A80="TOTAL",ROUND(SUM($P$3:P79),2),IF(OR(A80="",N80="",O80=""),"",ROUND(N80*O80,2)))</f>
        <v/>
      </c>
    </row>
    <row r="81">
      <c r="A81" s="281">
        <f>IF(AND(itens_Remanesc!A80="",itens_Remanesc!A79&lt;&gt;"",COUNTIF(itens_Remanesc!A81:$A$200,"&lt;&gt;")=0),"TOTAL",IF(itens_Remanesc!A80="","",itens_Remanesc!A80))</f>
        <v/>
      </c>
      <c r="B81" s="282">
        <f>IF(OR(itens_Remanesc!A80="",NOT(ISNUMBER(parametros!$F$2))),"",ROUND(itens_Remanesc!C80*parametros!$F$2,2))</f>
        <v/>
      </c>
      <c r="C81" s="283">
        <f>IF(itens_Remanesc!A80="","",itens_Remanesc!B80)</f>
        <v/>
      </c>
      <c r="D81" s="282">
        <f>IF(A81="TOTAL",ROUND(SUM($D$3:D80),2),IF(A81="","",ROUND(B81*C81,2)))</f>
        <v/>
      </c>
      <c r="E81" s="284">
        <f>IF(OR(itens_Remanesc!A80="",NOT(ISNUMBER(parametros!$F$3))),"",ROUND(itens_Remanesc!C80*parametros!$F$3,2))</f>
        <v/>
      </c>
      <c r="F81" s="285">
        <f>IF(itens_Remanesc!A80="","",itens_Remanesc!E80)</f>
        <v/>
      </c>
      <c r="G81" s="284">
        <f>IF(A81="TOTAL",ROUND(SUM($G$3:G80),2),IF(OR(A81="",E81="",F81=""),"",ROUND(E81*F81,2)))</f>
        <v/>
      </c>
      <c r="H81" s="282">
        <f>IF(OR(itens_Remanesc!A80="",NOT(ISNUMBER(parametros!$F$4))),"",ROUND(itens_Remanesc!C80*parametros!$F$4,2))</f>
        <v/>
      </c>
      <c r="I81" s="283">
        <f>IF(itens_Remanesc!A80="","",itens_Remanesc!G80)</f>
        <v/>
      </c>
      <c r="J81" s="282">
        <f>IF(A81="TOTAL",ROUND(SUM($J$3:J80),2),IF(OR(A81="",H81="",I81=""),"",ROUND(H81*I81,2)))</f>
        <v/>
      </c>
      <c r="K81" s="284">
        <f>IF(OR(itens_Remanesc!A80="",NOT(ISNUMBER(parametros!$F$5))),"",ROUND(itens_Remanesc!C80*parametros!$F$5,2))</f>
        <v/>
      </c>
      <c r="L81" s="285">
        <f>IF(itens_Remanesc!A80="","",itens_Remanesc!I80)</f>
        <v/>
      </c>
      <c r="M81" s="284">
        <f>IF(A81="TOTAL",ROUND(SUM($M$3:M80),2),IF(OR(A81="",K81="",L81=""),"",ROUND(K81*L81,2)))</f>
        <v/>
      </c>
      <c r="N81" s="282">
        <f>IF(OR(itens_Remanesc!A80="",NOT(ISNUMBER(parametros!$F$6))),"",ROUND(itens_Remanesc!C80*parametros!$F$6,2))</f>
        <v/>
      </c>
      <c r="O81" s="283">
        <f>IF(itens_Remanesc!A80="","",itens_Remanesc!K80)</f>
        <v/>
      </c>
      <c r="P81" s="282">
        <f>IF(A81="TOTAL",ROUND(SUM($P$3:P80),2),IF(OR(A81="",N81="",O81=""),"",ROUND(N81*O81,2)))</f>
        <v/>
      </c>
    </row>
    <row r="82">
      <c r="A82" s="281">
        <f>IF(AND(itens_Remanesc!A81="",itens_Remanesc!A80&lt;&gt;"",COUNTIF(itens_Remanesc!A82:$A$200,"&lt;&gt;")=0),"TOTAL",IF(itens_Remanesc!A81="","",itens_Remanesc!A81))</f>
        <v/>
      </c>
      <c r="B82" s="282">
        <f>IF(OR(itens_Remanesc!A81="",NOT(ISNUMBER(parametros!$F$2))),"",ROUND(itens_Remanesc!C81*parametros!$F$2,2))</f>
        <v/>
      </c>
      <c r="C82" s="283">
        <f>IF(itens_Remanesc!A81="","",itens_Remanesc!B81)</f>
        <v/>
      </c>
      <c r="D82" s="282">
        <f>IF(A82="TOTAL",ROUND(SUM($D$3:D81),2),IF(A82="","",ROUND(B82*C82,2)))</f>
        <v/>
      </c>
      <c r="E82" s="284">
        <f>IF(OR(itens_Remanesc!A81="",NOT(ISNUMBER(parametros!$F$3))),"",ROUND(itens_Remanesc!C81*parametros!$F$3,2))</f>
        <v/>
      </c>
      <c r="F82" s="285">
        <f>IF(itens_Remanesc!A81="","",itens_Remanesc!E81)</f>
        <v/>
      </c>
      <c r="G82" s="284">
        <f>IF(A82="TOTAL",ROUND(SUM($G$3:G81),2),IF(OR(A82="",E82="",F82=""),"",ROUND(E82*F82,2)))</f>
        <v/>
      </c>
      <c r="H82" s="282">
        <f>IF(OR(itens_Remanesc!A81="",NOT(ISNUMBER(parametros!$F$4))),"",ROUND(itens_Remanesc!C81*parametros!$F$4,2))</f>
        <v/>
      </c>
      <c r="I82" s="283">
        <f>IF(itens_Remanesc!A81="","",itens_Remanesc!G81)</f>
        <v/>
      </c>
      <c r="J82" s="282">
        <f>IF(A82="TOTAL",ROUND(SUM($J$3:J81),2),IF(OR(A82="",H82="",I82=""),"",ROUND(H82*I82,2)))</f>
        <v/>
      </c>
      <c r="K82" s="284">
        <f>IF(OR(itens_Remanesc!A81="",NOT(ISNUMBER(parametros!$F$5))),"",ROUND(itens_Remanesc!C81*parametros!$F$5,2))</f>
        <v/>
      </c>
      <c r="L82" s="285">
        <f>IF(itens_Remanesc!A81="","",itens_Remanesc!I81)</f>
        <v/>
      </c>
      <c r="M82" s="284">
        <f>IF(A82="TOTAL",ROUND(SUM($M$3:M81),2),IF(OR(A82="",K82="",L82=""),"",ROUND(K82*L82,2)))</f>
        <v/>
      </c>
      <c r="N82" s="282">
        <f>IF(OR(itens_Remanesc!A81="",NOT(ISNUMBER(parametros!$F$6))),"",ROUND(itens_Remanesc!C81*parametros!$F$6,2))</f>
        <v/>
      </c>
      <c r="O82" s="283">
        <f>IF(itens_Remanesc!A81="","",itens_Remanesc!K81)</f>
        <v/>
      </c>
      <c r="P82" s="282">
        <f>IF(A82="TOTAL",ROUND(SUM($P$3:P81),2),IF(OR(A82="",N82="",O82=""),"",ROUND(N82*O82,2)))</f>
        <v/>
      </c>
    </row>
    <row r="83">
      <c r="A83" s="281">
        <f>IF(AND(itens_Remanesc!A82="",itens_Remanesc!A81&lt;&gt;"",COUNTIF(itens_Remanesc!A83:$A$200,"&lt;&gt;")=0),"TOTAL",IF(itens_Remanesc!A82="","",itens_Remanesc!A82))</f>
        <v/>
      </c>
      <c r="B83" s="282">
        <f>IF(OR(itens_Remanesc!A82="",NOT(ISNUMBER(parametros!$F$2))),"",ROUND(itens_Remanesc!C82*parametros!$F$2,2))</f>
        <v/>
      </c>
      <c r="C83" s="283">
        <f>IF(itens_Remanesc!A82="","",itens_Remanesc!B82)</f>
        <v/>
      </c>
      <c r="D83" s="282">
        <f>IF(A83="TOTAL",ROUND(SUM($D$3:D82),2),IF(A83="","",ROUND(B83*C83,2)))</f>
        <v/>
      </c>
      <c r="E83" s="284">
        <f>IF(OR(itens_Remanesc!A82="",NOT(ISNUMBER(parametros!$F$3))),"",ROUND(itens_Remanesc!C82*parametros!$F$3,2))</f>
        <v/>
      </c>
      <c r="F83" s="285">
        <f>IF(itens_Remanesc!A82="","",itens_Remanesc!E82)</f>
        <v/>
      </c>
      <c r="G83" s="284">
        <f>IF(A83="TOTAL",ROUND(SUM($G$3:G82),2),IF(OR(A83="",E83="",F83=""),"",ROUND(E83*F83,2)))</f>
        <v/>
      </c>
      <c r="H83" s="282">
        <f>IF(OR(itens_Remanesc!A82="",NOT(ISNUMBER(parametros!$F$4))),"",ROUND(itens_Remanesc!C82*parametros!$F$4,2))</f>
        <v/>
      </c>
      <c r="I83" s="283">
        <f>IF(itens_Remanesc!A82="","",itens_Remanesc!G82)</f>
        <v/>
      </c>
      <c r="J83" s="282">
        <f>IF(A83="TOTAL",ROUND(SUM($J$3:J82),2),IF(OR(A83="",H83="",I83=""),"",ROUND(H83*I83,2)))</f>
        <v/>
      </c>
      <c r="K83" s="284">
        <f>IF(OR(itens_Remanesc!A82="",NOT(ISNUMBER(parametros!$F$5))),"",ROUND(itens_Remanesc!C82*parametros!$F$5,2))</f>
        <v/>
      </c>
      <c r="L83" s="285">
        <f>IF(itens_Remanesc!A82="","",itens_Remanesc!I82)</f>
        <v/>
      </c>
      <c r="M83" s="284">
        <f>IF(A83="TOTAL",ROUND(SUM($M$3:M82),2),IF(OR(A83="",K83="",L83=""),"",ROUND(K83*L83,2)))</f>
        <v/>
      </c>
      <c r="N83" s="282">
        <f>IF(OR(itens_Remanesc!A82="",NOT(ISNUMBER(parametros!$F$6))),"",ROUND(itens_Remanesc!C82*parametros!$F$6,2))</f>
        <v/>
      </c>
      <c r="O83" s="283">
        <f>IF(itens_Remanesc!A82="","",itens_Remanesc!K82)</f>
        <v/>
      </c>
      <c r="P83" s="282">
        <f>IF(A83="TOTAL",ROUND(SUM($P$3:P82),2),IF(OR(A83="",N83="",O83=""),"",ROUND(N83*O83,2)))</f>
        <v/>
      </c>
    </row>
    <row r="84">
      <c r="A84" s="281">
        <f>IF(AND(itens_Remanesc!A83="",itens_Remanesc!A82&lt;&gt;"",COUNTIF(itens_Remanesc!A84:$A$200,"&lt;&gt;")=0),"TOTAL",IF(itens_Remanesc!A83="","",itens_Remanesc!A83))</f>
        <v/>
      </c>
      <c r="B84" s="282">
        <f>IF(OR(itens_Remanesc!A83="",NOT(ISNUMBER(parametros!$F$2))),"",ROUND(itens_Remanesc!C83*parametros!$F$2,2))</f>
        <v/>
      </c>
      <c r="C84" s="283">
        <f>IF(itens_Remanesc!A83="","",itens_Remanesc!B83)</f>
        <v/>
      </c>
      <c r="D84" s="282">
        <f>IF(A84="TOTAL",ROUND(SUM($D$3:D83),2),IF(A84="","",ROUND(B84*C84,2)))</f>
        <v/>
      </c>
      <c r="E84" s="284">
        <f>IF(OR(itens_Remanesc!A83="",NOT(ISNUMBER(parametros!$F$3))),"",ROUND(itens_Remanesc!C83*parametros!$F$3,2))</f>
        <v/>
      </c>
      <c r="F84" s="285">
        <f>IF(itens_Remanesc!A83="","",itens_Remanesc!E83)</f>
        <v/>
      </c>
      <c r="G84" s="284">
        <f>IF(A84="TOTAL",ROUND(SUM($G$3:G83),2),IF(OR(A84="",E84="",F84=""),"",ROUND(E84*F84,2)))</f>
        <v/>
      </c>
      <c r="H84" s="282">
        <f>IF(OR(itens_Remanesc!A83="",NOT(ISNUMBER(parametros!$F$4))),"",ROUND(itens_Remanesc!C83*parametros!$F$4,2))</f>
        <v/>
      </c>
      <c r="I84" s="283">
        <f>IF(itens_Remanesc!A83="","",itens_Remanesc!G83)</f>
        <v/>
      </c>
      <c r="J84" s="282">
        <f>IF(A84="TOTAL",ROUND(SUM($J$3:J83),2),IF(OR(A84="",H84="",I84=""),"",ROUND(H84*I84,2)))</f>
        <v/>
      </c>
      <c r="K84" s="284">
        <f>IF(OR(itens_Remanesc!A83="",NOT(ISNUMBER(parametros!$F$5))),"",ROUND(itens_Remanesc!C83*parametros!$F$5,2))</f>
        <v/>
      </c>
      <c r="L84" s="285">
        <f>IF(itens_Remanesc!A83="","",itens_Remanesc!I83)</f>
        <v/>
      </c>
      <c r="M84" s="284">
        <f>IF(A84="TOTAL",ROUND(SUM($M$3:M83),2),IF(OR(A84="",K84="",L84=""),"",ROUND(K84*L84,2)))</f>
        <v/>
      </c>
      <c r="N84" s="282">
        <f>IF(OR(itens_Remanesc!A83="",NOT(ISNUMBER(parametros!$F$6))),"",ROUND(itens_Remanesc!C83*parametros!$F$6,2))</f>
        <v/>
      </c>
      <c r="O84" s="283">
        <f>IF(itens_Remanesc!A83="","",itens_Remanesc!K83)</f>
        <v/>
      </c>
      <c r="P84" s="282">
        <f>IF(A84="TOTAL",ROUND(SUM($P$3:P83),2),IF(OR(A84="",N84="",O84=""),"",ROUND(N84*O84,2)))</f>
        <v/>
      </c>
    </row>
    <row r="85">
      <c r="A85" s="281">
        <f>IF(AND(itens_Remanesc!A84="",itens_Remanesc!A83&lt;&gt;"",COUNTIF(itens_Remanesc!A85:$A$200,"&lt;&gt;")=0),"TOTAL",IF(itens_Remanesc!A84="","",itens_Remanesc!A84))</f>
        <v/>
      </c>
      <c r="B85" s="282">
        <f>IF(OR(itens_Remanesc!A84="",NOT(ISNUMBER(parametros!$F$2))),"",ROUND(itens_Remanesc!C84*parametros!$F$2,2))</f>
        <v/>
      </c>
      <c r="C85" s="283">
        <f>IF(itens_Remanesc!A84="","",itens_Remanesc!B84)</f>
        <v/>
      </c>
      <c r="D85" s="282">
        <f>IF(A85="TOTAL",ROUND(SUM($D$3:D84),2),IF(A85="","",ROUND(B85*C85,2)))</f>
        <v/>
      </c>
      <c r="E85" s="284">
        <f>IF(OR(itens_Remanesc!A84="",NOT(ISNUMBER(parametros!$F$3))),"",ROUND(itens_Remanesc!C84*parametros!$F$3,2))</f>
        <v/>
      </c>
      <c r="F85" s="285">
        <f>IF(itens_Remanesc!A84="","",itens_Remanesc!E84)</f>
        <v/>
      </c>
      <c r="G85" s="284">
        <f>IF(A85="TOTAL",ROUND(SUM($G$3:G84),2),IF(OR(A85="",E85="",F85=""),"",ROUND(E85*F85,2)))</f>
        <v/>
      </c>
      <c r="H85" s="282">
        <f>IF(OR(itens_Remanesc!A84="",NOT(ISNUMBER(parametros!$F$4))),"",ROUND(itens_Remanesc!C84*parametros!$F$4,2))</f>
        <v/>
      </c>
      <c r="I85" s="283">
        <f>IF(itens_Remanesc!A84="","",itens_Remanesc!G84)</f>
        <v/>
      </c>
      <c r="J85" s="282">
        <f>IF(A85="TOTAL",ROUND(SUM($J$3:J84),2),IF(OR(A85="",H85="",I85=""),"",ROUND(H85*I85,2)))</f>
        <v/>
      </c>
      <c r="K85" s="284">
        <f>IF(OR(itens_Remanesc!A84="",NOT(ISNUMBER(parametros!$F$5))),"",ROUND(itens_Remanesc!C84*parametros!$F$5,2))</f>
        <v/>
      </c>
      <c r="L85" s="285">
        <f>IF(itens_Remanesc!A84="","",itens_Remanesc!I84)</f>
        <v/>
      </c>
      <c r="M85" s="284">
        <f>IF(A85="TOTAL",ROUND(SUM($M$3:M84),2),IF(OR(A85="",K85="",L85=""),"",ROUND(K85*L85,2)))</f>
        <v/>
      </c>
      <c r="N85" s="282">
        <f>IF(OR(itens_Remanesc!A84="",NOT(ISNUMBER(parametros!$F$6))),"",ROUND(itens_Remanesc!C84*parametros!$F$6,2))</f>
        <v/>
      </c>
      <c r="O85" s="283">
        <f>IF(itens_Remanesc!A84="","",itens_Remanesc!K84)</f>
        <v/>
      </c>
      <c r="P85" s="282">
        <f>IF(A85="TOTAL",ROUND(SUM($P$3:P84),2),IF(OR(A85="",N85="",O85=""),"",ROUND(N85*O85,2)))</f>
        <v/>
      </c>
    </row>
    <row r="86">
      <c r="A86" s="281">
        <f>IF(AND(itens_Remanesc!A85="",itens_Remanesc!A84&lt;&gt;"",COUNTIF(itens_Remanesc!A86:$A$200,"&lt;&gt;")=0),"TOTAL",IF(itens_Remanesc!A85="","",itens_Remanesc!A85))</f>
        <v/>
      </c>
      <c r="B86" s="282">
        <f>IF(OR(itens_Remanesc!A85="",NOT(ISNUMBER(parametros!$F$2))),"",ROUND(itens_Remanesc!C85*parametros!$F$2,2))</f>
        <v/>
      </c>
      <c r="C86" s="283">
        <f>IF(itens_Remanesc!A85="","",itens_Remanesc!B85)</f>
        <v/>
      </c>
      <c r="D86" s="282">
        <f>IF(A86="TOTAL",ROUND(SUM($D$3:D85),2),IF(A86="","",ROUND(B86*C86,2)))</f>
        <v/>
      </c>
      <c r="E86" s="284">
        <f>IF(OR(itens_Remanesc!A85="",NOT(ISNUMBER(parametros!$F$3))),"",ROUND(itens_Remanesc!C85*parametros!$F$3,2))</f>
        <v/>
      </c>
      <c r="F86" s="285">
        <f>IF(itens_Remanesc!A85="","",itens_Remanesc!E85)</f>
        <v/>
      </c>
      <c r="G86" s="284">
        <f>IF(A86="TOTAL",ROUND(SUM($G$3:G85),2),IF(OR(A86="",E86="",F86=""),"",ROUND(E86*F86,2)))</f>
        <v/>
      </c>
      <c r="H86" s="282">
        <f>IF(OR(itens_Remanesc!A85="",NOT(ISNUMBER(parametros!$F$4))),"",ROUND(itens_Remanesc!C85*parametros!$F$4,2))</f>
        <v/>
      </c>
      <c r="I86" s="283">
        <f>IF(itens_Remanesc!A85="","",itens_Remanesc!G85)</f>
        <v/>
      </c>
      <c r="J86" s="282">
        <f>IF(A86="TOTAL",ROUND(SUM($J$3:J85),2),IF(OR(A86="",H86="",I86=""),"",ROUND(H86*I86,2)))</f>
        <v/>
      </c>
      <c r="K86" s="284">
        <f>IF(OR(itens_Remanesc!A85="",NOT(ISNUMBER(parametros!$F$5))),"",ROUND(itens_Remanesc!C85*parametros!$F$5,2))</f>
        <v/>
      </c>
      <c r="L86" s="285">
        <f>IF(itens_Remanesc!A85="","",itens_Remanesc!I85)</f>
        <v/>
      </c>
      <c r="M86" s="284">
        <f>IF(A86="TOTAL",ROUND(SUM($M$3:M85),2),IF(OR(A86="",K86="",L86=""),"",ROUND(K86*L86,2)))</f>
        <v/>
      </c>
      <c r="N86" s="282">
        <f>IF(OR(itens_Remanesc!A85="",NOT(ISNUMBER(parametros!$F$6))),"",ROUND(itens_Remanesc!C85*parametros!$F$6,2))</f>
        <v/>
      </c>
      <c r="O86" s="283">
        <f>IF(itens_Remanesc!A85="","",itens_Remanesc!K85)</f>
        <v/>
      </c>
      <c r="P86" s="282">
        <f>IF(A86="TOTAL",ROUND(SUM($P$3:P85),2),IF(OR(A86="",N86="",O86=""),"",ROUND(N86*O86,2)))</f>
        <v/>
      </c>
    </row>
    <row r="87">
      <c r="A87" s="281">
        <f>IF(AND(itens_Remanesc!A86="",itens_Remanesc!A85&lt;&gt;"",COUNTIF(itens_Remanesc!A87:$A$200,"&lt;&gt;")=0),"TOTAL",IF(itens_Remanesc!A86="","",itens_Remanesc!A86))</f>
        <v/>
      </c>
      <c r="B87" s="282">
        <f>IF(OR(itens_Remanesc!A86="",NOT(ISNUMBER(parametros!$F$2))),"",ROUND(itens_Remanesc!C86*parametros!$F$2,2))</f>
        <v/>
      </c>
      <c r="C87" s="283">
        <f>IF(itens_Remanesc!A86="","",itens_Remanesc!B86)</f>
        <v/>
      </c>
      <c r="D87" s="282">
        <f>IF(A87="TOTAL",ROUND(SUM($D$3:D86),2),IF(A87="","",ROUND(B87*C87,2)))</f>
        <v/>
      </c>
      <c r="E87" s="284">
        <f>IF(OR(itens_Remanesc!A86="",NOT(ISNUMBER(parametros!$F$3))),"",ROUND(itens_Remanesc!C86*parametros!$F$3,2))</f>
        <v/>
      </c>
      <c r="F87" s="285">
        <f>IF(itens_Remanesc!A86="","",itens_Remanesc!E86)</f>
        <v/>
      </c>
      <c r="G87" s="284">
        <f>IF(A87="TOTAL",ROUND(SUM($G$3:G86),2),IF(OR(A87="",E87="",F87=""),"",ROUND(E87*F87,2)))</f>
        <v/>
      </c>
      <c r="H87" s="282">
        <f>IF(OR(itens_Remanesc!A86="",NOT(ISNUMBER(parametros!$F$4))),"",ROUND(itens_Remanesc!C86*parametros!$F$4,2))</f>
        <v/>
      </c>
      <c r="I87" s="283">
        <f>IF(itens_Remanesc!A86="","",itens_Remanesc!G86)</f>
        <v/>
      </c>
      <c r="J87" s="282">
        <f>IF(A87="TOTAL",ROUND(SUM($J$3:J86),2),IF(OR(A87="",H87="",I87=""),"",ROUND(H87*I87,2)))</f>
        <v/>
      </c>
      <c r="K87" s="284">
        <f>IF(OR(itens_Remanesc!A86="",NOT(ISNUMBER(parametros!$F$5))),"",ROUND(itens_Remanesc!C86*parametros!$F$5,2))</f>
        <v/>
      </c>
      <c r="L87" s="285">
        <f>IF(itens_Remanesc!A86="","",itens_Remanesc!I86)</f>
        <v/>
      </c>
      <c r="M87" s="284">
        <f>IF(A87="TOTAL",ROUND(SUM($M$3:M86),2),IF(OR(A87="",K87="",L87=""),"",ROUND(K87*L87,2)))</f>
        <v/>
      </c>
      <c r="N87" s="282">
        <f>IF(OR(itens_Remanesc!A86="",NOT(ISNUMBER(parametros!$F$6))),"",ROUND(itens_Remanesc!C86*parametros!$F$6,2))</f>
        <v/>
      </c>
      <c r="O87" s="283">
        <f>IF(itens_Remanesc!A86="","",itens_Remanesc!K86)</f>
        <v/>
      </c>
      <c r="P87" s="282">
        <f>IF(A87="TOTAL",ROUND(SUM($P$3:P86),2),IF(OR(A87="",N87="",O87=""),"",ROUND(N87*O87,2)))</f>
        <v/>
      </c>
    </row>
    <row r="88">
      <c r="A88" s="281">
        <f>IF(AND(itens_Remanesc!A87="",itens_Remanesc!A86&lt;&gt;"",COUNTIF(itens_Remanesc!A88:$A$200,"&lt;&gt;")=0),"TOTAL",IF(itens_Remanesc!A87="","",itens_Remanesc!A87))</f>
        <v/>
      </c>
      <c r="B88" s="282">
        <f>IF(OR(itens_Remanesc!A87="",NOT(ISNUMBER(parametros!$F$2))),"",ROUND(itens_Remanesc!C87*parametros!$F$2,2))</f>
        <v/>
      </c>
      <c r="C88" s="283">
        <f>IF(itens_Remanesc!A87="","",itens_Remanesc!B87)</f>
        <v/>
      </c>
      <c r="D88" s="282">
        <f>IF(A88="TOTAL",ROUND(SUM($D$3:D87),2),IF(A88="","",ROUND(B88*C88,2)))</f>
        <v/>
      </c>
      <c r="E88" s="284">
        <f>IF(OR(itens_Remanesc!A87="",NOT(ISNUMBER(parametros!$F$3))),"",ROUND(itens_Remanesc!C87*parametros!$F$3,2))</f>
        <v/>
      </c>
      <c r="F88" s="285">
        <f>IF(itens_Remanesc!A87="","",itens_Remanesc!E87)</f>
        <v/>
      </c>
      <c r="G88" s="284">
        <f>IF(A88="TOTAL",ROUND(SUM($G$3:G87),2),IF(OR(A88="",E88="",F88=""),"",ROUND(E88*F88,2)))</f>
        <v/>
      </c>
      <c r="H88" s="282">
        <f>IF(OR(itens_Remanesc!A87="",NOT(ISNUMBER(parametros!$F$4))),"",ROUND(itens_Remanesc!C87*parametros!$F$4,2))</f>
        <v/>
      </c>
      <c r="I88" s="283">
        <f>IF(itens_Remanesc!A87="","",itens_Remanesc!G87)</f>
        <v/>
      </c>
      <c r="J88" s="282">
        <f>IF(A88="TOTAL",ROUND(SUM($J$3:J87),2),IF(OR(A88="",H88="",I88=""),"",ROUND(H88*I88,2)))</f>
        <v/>
      </c>
      <c r="K88" s="284">
        <f>IF(OR(itens_Remanesc!A87="",NOT(ISNUMBER(parametros!$F$5))),"",ROUND(itens_Remanesc!C87*parametros!$F$5,2))</f>
        <v/>
      </c>
      <c r="L88" s="285">
        <f>IF(itens_Remanesc!A87="","",itens_Remanesc!I87)</f>
        <v/>
      </c>
      <c r="M88" s="284">
        <f>IF(A88="TOTAL",ROUND(SUM($M$3:M87),2),IF(OR(A88="",K88="",L88=""),"",ROUND(K88*L88,2)))</f>
        <v/>
      </c>
      <c r="N88" s="282">
        <f>IF(OR(itens_Remanesc!A87="",NOT(ISNUMBER(parametros!$F$6))),"",ROUND(itens_Remanesc!C87*parametros!$F$6,2))</f>
        <v/>
      </c>
      <c r="O88" s="283">
        <f>IF(itens_Remanesc!A87="","",itens_Remanesc!K87)</f>
        <v/>
      </c>
      <c r="P88" s="282">
        <f>IF(A88="TOTAL",ROUND(SUM($P$3:P87),2),IF(OR(A88="",N88="",O88=""),"",ROUND(N88*O88,2)))</f>
        <v/>
      </c>
    </row>
    <row r="89">
      <c r="A89" s="281">
        <f>IF(AND(itens_Remanesc!A88="",itens_Remanesc!A87&lt;&gt;"",COUNTIF(itens_Remanesc!A89:$A$200,"&lt;&gt;")=0),"TOTAL",IF(itens_Remanesc!A88="","",itens_Remanesc!A88))</f>
        <v/>
      </c>
      <c r="B89" s="282">
        <f>IF(OR(itens_Remanesc!A88="",NOT(ISNUMBER(parametros!$F$2))),"",ROUND(itens_Remanesc!C88*parametros!$F$2,2))</f>
        <v/>
      </c>
      <c r="C89" s="283">
        <f>IF(itens_Remanesc!A88="","",itens_Remanesc!B88)</f>
        <v/>
      </c>
      <c r="D89" s="282">
        <f>IF(A89="TOTAL",ROUND(SUM($D$3:D88),2),IF(A89="","",ROUND(B89*C89,2)))</f>
        <v/>
      </c>
      <c r="E89" s="284">
        <f>IF(OR(itens_Remanesc!A88="",NOT(ISNUMBER(parametros!$F$3))),"",ROUND(itens_Remanesc!C88*parametros!$F$3,2))</f>
        <v/>
      </c>
      <c r="F89" s="285">
        <f>IF(itens_Remanesc!A88="","",itens_Remanesc!E88)</f>
        <v/>
      </c>
      <c r="G89" s="284">
        <f>IF(A89="TOTAL",ROUND(SUM($G$3:G88),2),IF(OR(A89="",E89="",F89=""),"",ROUND(E89*F89,2)))</f>
        <v/>
      </c>
      <c r="H89" s="282">
        <f>IF(OR(itens_Remanesc!A88="",NOT(ISNUMBER(parametros!$F$4))),"",ROUND(itens_Remanesc!C88*parametros!$F$4,2))</f>
        <v/>
      </c>
      <c r="I89" s="283">
        <f>IF(itens_Remanesc!A88="","",itens_Remanesc!G88)</f>
        <v/>
      </c>
      <c r="J89" s="282">
        <f>IF(A89="TOTAL",ROUND(SUM($J$3:J88),2),IF(OR(A89="",H89="",I89=""),"",ROUND(H89*I89,2)))</f>
        <v/>
      </c>
      <c r="K89" s="284">
        <f>IF(OR(itens_Remanesc!A88="",NOT(ISNUMBER(parametros!$F$5))),"",ROUND(itens_Remanesc!C88*parametros!$F$5,2))</f>
        <v/>
      </c>
      <c r="L89" s="285">
        <f>IF(itens_Remanesc!A88="","",itens_Remanesc!I88)</f>
        <v/>
      </c>
      <c r="M89" s="284">
        <f>IF(A89="TOTAL",ROUND(SUM($M$3:M88),2),IF(OR(A89="",K89="",L89=""),"",ROUND(K89*L89,2)))</f>
        <v/>
      </c>
      <c r="N89" s="282">
        <f>IF(OR(itens_Remanesc!A88="",NOT(ISNUMBER(parametros!$F$6))),"",ROUND(itens_Remanesc!C88*parametros!$F$6,2))</f>
        <v/>
      </c>
      <c r="O89" s="283">
        <f>IF(itens_Remanesc!A88="","",itens_Remanesc!K88)</f>
        <v/>
      </c>
      <c r="P89" s="282">
        <f>IF(A89="TOTAL",ROUND(SUM($P$3:P88),2),IF(OR(A89="",N89="",O89=""),"",ROUND(N89*O89,2)))</f>
        <v/>
      </c>
    </row>
    <row r="90">
      <c r="A90" s="281">
        <f>IF(AND(itens_Remanesc!A89="",itens_Remanesc!A88&lt;&gt;"",COUNTIF(itens_Remanesc!A90:$A$200,"&lt;&gt;")=0),"TOTAL",IF(itens_Remanesc!A89="","",itens_Remanesc!A89))</f>
        <v/>
      </c>
      <c r="B90" s="282">
        <f>IF(OR(itens_Remanesc!A89="",NOT(ISNUMBER(parametros!$F$2))),"",ROUND(itens_Remanesc!C89*parametros!$F$2,2))</f>
        <v/>
      </c>
      <c r="C90" s="283">
        <f>IF(itens_Remanesc!A89="","",itens_Remanesc!B89)</f>
        <v/>
      </c>
      <c r="D90" s="282">
        <f>IF(A90="TOTAL",ROUND(SUM($D$3:D89),2),IF(A90="","",ROUND(B90*C90,2)))</f>
        <v/>
      </c>
      <c r="E90" s="284">
        <f>IF(OR(itens_Remanesc!A89="",NOT(ISNUMBER(parametros!$F$3))),"",ROUND(itens_Remanesc!C89*parametros!$F$3,2))</f>
        <v/>
      </c>
      <c r="F90" s="285">
        <f>IF(itens_Remanesc!A89="","",itens_Remanesc!E89)</f>
        <v/>
      </c>
      <c r="G90" s="284">
        <f>IF(A90="TOTAL",ROUND(SUM($G$3:G89),2),IF(OR(A90="",E90="",F90=""),"",ROUND(E90*F90,2)))</f>
        <v/>
      </c>
      <c r="H90" s="282">
        <f>IF(OR(itens_Remanesc!A89="",NOT(ISNUMBER(parametros!$F$4))),"",ROUND(itens_Remanesc!C89*parametros!$F$4,2))</f>
        <v/>
      </c>
      <c r="I90" s="283">
        <f>IF(itens_Remanesc!A89="","",itens_Remanesc!G89)</f>
        <v/>
      </c>
      <c r="J90" s="282">
        <f>IF(A90="TOTAL",ROUND(SUM($J$3:J89),2),IF(OR(A90="",H90="",I90=""),"",ROUND(H90*I90,2)))</f>
        <v/>
      </c>
      <c r="K90" s="284">
        <f>IF(OR(itens_Remanesc!A89="",NOT(ISNUMBER(parametros!$F$5))),"",ROUND(itens_Remanesc!C89*parametros!$F$5,2))</f>
        <v/>
      </c>
      <c r="L90" s="285">
        <f>IF(itens_Remanesc!A89="","",itens_Remanesc!I89)</f>
        <v/>
      </c>
      <c r="M90" s="284">
        <f>IF(A90="TOTAL",ROUND(SUM($M$3:M89),2),IF(OR(A90="",K90="",L90=""),"",ROUND(K90*L90,2)))</f>
        <v/>
      </c>
      <c r="N90" s="282">
        <f>IF(OR(itens_Remanesc!A89="",NOT(ISNUMBER(parametros!$F$6))),"",ROUND(itens_Remanesc!C89*parametros!$F$6,2))</f>
        <v/>
      </c>
      <c r="O90" s="283">
        <f>IF(itens_Remanesc!A89="","",itens_Remanesc!K89)</f>
        <v/>
      </c>
      <c r="P90" s="282">
        <f>IF(A90="TOTAL",ROUND(SUM($P$3:P89),2),IF(OR(A90="",N90="",O90=""),"",ROUND(N90*O90,2)))</f>
        <v/>
      </c>
    </row>
    <row r="91">
      <c r="A91" s="281">
        <f>IF(AND(itens_Remanesc!A90="",itens_Remanesc!A89&lt;&gt;"",COUNTIF(itens_Remanesc!A91:$A$200,"&lt;&gt;")=0),"TOTAL",IF(itens_Remanesc!A90="","",itens_Remanesc!A90))</f>
        <v/>
      </c>
      <c r="B91" s="282">
        <f>IF(OR(itens_Remanesc!A90="",NOT(ISNUMBER(parametros!$F$2))),"",ROUND(itens_Remanesc!C90*parametros!$F$2,2))</f>
        <v/>
      </c>
      <c r="C91" s="283">
        <f>IF(itens_Remanesc!A90="","",itens_Remanesc!B90)</f>
        <v/>
      </c>
      <c r="D91" s="282">
        <f>IF(A91="TOTAL",ROUND(SUM($D$3:D90),2),IF(A91="","",ROUND(B91*C91,2)))</f>
        <v/>
      </c>
      <c r="E91" s="284">
        <f>IF(OR(itens_Remanesc!A90="",NOT(ISNUMBER(parametros!$F$3))),"",ROUND(itens_Remanesc!C90*parametros!$F$3,2))</f>
        <v/>
      </c>
      <c r="F91" s="285">
        <f>IF(itens_Remanesc!A90="","",itens_Remanesc!E90)</f>
        <v/>
      </c>
      <c r="G91" s="284">
        <f>IF(A91="TOTAL",ROUND(SUM($G$3:G90),2),IF(OR(A91="",E91="",F91=""),"",ROUND(E91*F91,2)))</f>
        <v/>
      </c>
      <c r="H91" s="282">
        <f>IF(OR(itens_Remanesc!A90="",NOT(ISNUMBER(parametros!$F$4))),"",ROUND(itens_Remanesc!C90*parametros!$F$4,2))</f>
        <v/>
      </c>
      <c r="I91" s="283">
        <f>IF(itens_Remanesc!A90="","",itens_Remanesc!G90)</f>
        <v/>
      </c>
      <c r="J91" s="282">
        <f>IF(A91="TOTAL",ROUND(SUM($J$3:J90),2),IF(OR(A91="",H91="",I91=""),"",ROUND(H91*I91,2)))</f>
        <v/>
      </c>
      <c r="K91" s="284">
        <f>IF(OR(itens_Remanesc!A90="",NOT(ISNUMBER(parametros!$F$5))),"",ROUND(itens_Remanesc!C90*parametros!$F$5,2))</f>
        <v/>
      </c>
      <c r="L91" s="285">
        <f>IF(itens_Remanesc!A90="","",itens_Remanesc!I90)</f>
        <v/>
      </c>
      <c r="M91" s="284">
        <f>IF(A91="TOTAL",ROUND(SUM($M$3:M90),2),IF(OR(A91="",K91="",L91=""),"",ROUND(K91*L91,2)))</f>
        <v/>
      </c>
      <c r="N91" s="282">
        <f>IF(OR(itens_Remanesc!A90="",NOT(ISNUMBER(parametros!$F$6))),"",ROUND(itens_Remanesc!C90*parametros!$F$6,2))</f>
        <v/>
      </c>
      <c r="O91" s="283">
        <f>IF(itens_Remanesc!A90="","",itens_Remanesc!K90)</f>
        <v/>
      </c>
      <c r="P91" s="282">
        <f>IF(A91="TOTAL",ROUND(SUM($P$3:P90),2),IF(OR(A91="",N91="",O91=""),"",ROUND(N91*O91,2)))</f>
        <v/>
      </c>
    </row>
    <row r="92">
      <c r="A92" s="281">
        <f>IF(AND(itens_Remanesc!A91="",itens_Remanesc!A90&lt;&gt;"",COUNTIF(itens_Remanesc!A92:$A$200,"&lt;&gt;")=0),"TOTAL",IF(itens_Remanesc!A91="","",itens_Remanesc!A91))</f>
        <v/>
      </c>
      <c r="B92" s="282">
        <f>IF(OR(itens_Remanesc!A91="",NOT(ISNUMBER(parametros!$F$2))),"",ROUND(itens_Remanesc!C91*parametros!$F$2,2))</f>
        <v/>
      </c>
      <c r="C92" s="283">
        <f>IF(itens_Remanesc!A91="","",itens_Remanesc!B91)</f>
        <v/>
      </c>
      <c r="D92" s="282">
        <f>IF(A92="TOTAL",ROUND(SUM($D$3:D91),2),IF(A92="","",ROUND(B92*C92,2)))</f>
        <v/>
      </c>
      <c r="E92" s="284">
        <f>IF(OR(itens_Remanesc!A91="",NOT(ISNUMBER(parametros!$F$3))),"",ROUND(itens_Remanesc!C91*parametros!$F$3,2))</f>
        <v/>
      </c>
      <c r="F92" s="285">
        <f>IF(itens_Remanesc!A91="","",itens_Remanesc!E91)</f>
        <v/>
      </c>
      <c r="G92" s="284">
        <f>IF(A92="TOTAL",ROUND(SUM($G$3:G91),2),IF(OR(A92="",E92="",F92=""),"",ROUND(E92*F92,2)))</f>
        <v/>
      </c>
      <c r="H92" s="282">
        <f>IF(OR(itens_Remanesc!A91="",NOT(ISNUMBER(parametros!$F$4))),"",ROUND(itens_Remanesc!C91*parametros!$F$4,2))</f>
        <v/>
      </c>
      <c r="I92" s="283">
        <f>IF(itens_Remanesc!A91="","",itens_Remanesc!G91)</f>
        <v/>
      </c>
      <c r="J92" s="282">
        <f>IF(A92="TOTAL",ROUND(SUM($J$3:J91),2),IF(OR(A92="",H92="",I92=""),"",ROUND(H92*I92,2)))</f>
        <v/>
      </c>
      <c r="K92" s="284">
        <f>IF(OR(itens_Remanesc!A91="",NOT(ISNUMBER(parametros!$F$5))),"",ROUND(itens_Remanesc!C91*parametros!$F$5,2))</f>
        <v/>
      </c>
      <c r="L92" s="285">
        <f>IF(itens_Remanesc!A91="","",itens_Remanesc!I91)</f>
        <v/>
      </c>
      <c r="M92" s="284">
        <f>IF(A92="TOTAL",ROUND(SUM($M$3:M91),2),IF(OR(A92="",K92="",L92=""),"",ROUND(K92*L92,2)))</f>
        <v/>
      </c>
      <c r="N92" s="282">
        <f>IF(OR(itens_Remanesc!A91="",NOT(ISNUMBER(parametros!$F$6))),"",ROUND(itens_Remanesc!C91*parametros!$F$6,2))</f>
        <v/>
      </c>
      <c r="O92" s="283">
        <f>IF(itens_Remanesc!A91="","",itens_Remanesc!K91)</f>
        <v/>
      </c>
      <c r="P92" s="282">
        <f>IF(A92="TOTAL",ROUND(SUM($P$3:P91),2),IF(OR(A92="",N92="",O92=""),"",ROUND(N92*O92,2)))</f>
        <v/>
      </c>
    </row>
    <row r="93">
      <c r="A93" s="281">
        <f>IF(AND(itens_Remanesc!A92="",itens_Remanesc!A91&lt;&gt;"",COUNTIF(itens_Remanesc!A93:$A$200,"&lt;&gt;")=0),"TOTAL",IF(itens_Remanesc!A92="","",itens_Remanesc!A92))</f>
        <v/>
      </c>
      <c r="B93" s="282">
        <f>IF(OR(itens_Remanesc!A92="",NOT(ISNUMBER(parametros!$F$2))),"",ROUND(itens_Remanesc!C92*parametros!$F$2,2))</f>
        <v/>
      </c>
      <c r="C93" s="283">
        <f>IF(itens_Remanesc!A92="","",itens_Remanesc!B92)</f>
        <v/>
      </c>
      <c r="D93" s="282">
        <f>IF(A93="TOTAL",ROUND(SUM($D$3:D92),2),IF(A93="","",ROUND(B93*C93,2)))</f>
        <v/>
      </c>
      <c r="E93" s="284">
        <f>IF(OR(itens_Remanesc!A92="",NOT(ISNUMBER(parametros!$F$3))),"",ROUND(itens_Remanesc!C92*parametros!$F$3,2))</f>
        <v/>
      </c>
      <c r="F93" s="285">
        <f>IF(itens_Remanesc!A92="","",itens_Remanesc!E92)</f>
        <v/>
      </c>
      <c r="G93" s="284">
        <f>IF(A93="TOTAL",ROUND(SUM($G$3:G92),2),IF(OR(A93="",E93="",F93=""),"",ROUND(E93*F93,2)))</f>
        <v/>
      </c>
      <c r="H93" s="282">
        <f>IF(OR(itens_Remanesc!A92="",NOT(ISNUMBER(parametros!$F$4))),"",ROUND(itens_Remanesc!C92*parametros!$F$4,2))</f>
        <v/>
      </c>
      <c r="I93" s="283">
        <f>IF(itens_Remanesc!A92="","",itens_Remanesc!G92)</f>
        <v/>
      </c>
      <c r="J93" s="282">
        <f>IF(A93="TOTAL",ROUND(SUM($J$3:J92),2),IF(OR(A93="",H93="",I93=""),"",ROUND(H93*I93,2)))</f>
        <v/>
      </c>
      <c r="K93" s="284">
        <f>IF(OR(itens_Remanesc!A92="",NOT(ISNUMBER(parametros!$F$5))),"",ROUND(itens_Remanesc!C92*parametros!$F$5,2))</f>
        <v/>
      </c>
      <c r="L93" s="285">
        <f>IF(itens_Remanesc!A92="","",itens_Remanesc!I92)</f>
        <v/>
      </c>
      <c r="M93" s="284">
        <f>IF(A93="TOTAL",ROUND(SUM($M$3:M92),2),IF(OR(A93="",K93="",L93=""),"",ROUND(K93*L93,2)))</f>
        <v/>
      </c>
      <c r="N93" s="282">
        <f>IF(OR(itens_Remanesc!A92="",NOT(ISNUMBER(parametros!$F$6))),"",ROUND(itens_Remanesc!C92*parametros!$F$6,2))</f>
        <v/>
      </c>
      <c r="O93" s="283">
        <f>IF(itens_Remanesc!A92="","",itens_Remanesc!K92)</f>
        <v/>
      </c>
      <c r="P93" s="282">
        <f>IF(A93="TOTAL",ROUND(SUM($P$3:P92),2),IF(OR(A93="",N93="",O93=""),"",ROUND(N93*O93,2)))</f>
        <v/>
      </c>
    </row>
    <row r="94">
      <c r="A94" s="281">
        <f>IF(AND(itens_Remanesc!A93="",itens_Remanesc!A92&lt;&gt;"",COUNTIF(itens_Remanesc!A94:$A$200,"&lt;&gt;")=0),"TOTAL",IF(itens_Remanesc!A93="","",itens_Remanesc!A93))</f>
        <v/>
      </c>
      <c r="B94" s="282">
        <f>IF(OR(itens_Remanesc!A93="",NOT(ISNUMBER(parametros!$F$2))),"",ROUND(itens_Remanesc!C93*parametros!$F$2,2))</f>
        <v/>
      </c>
      <c r="C94" s="283">
        <f>IF(itens_Remanesc!A93="","",itens_Remanesc!B93)</f>
        <v/>
      </c>
      <c r="D94" s="282">
        <f>IF(A94="TOTAL",ROUND(SUM($D$3:D93),2),IF(A94="","",ROUND(B94*C94,2)))</f>
        <v/>
      </c>
      <c r="E94" s="284">
        <f>IF(OR(itens_Remanesc!A93="",NOT(ISNUMBER(parametros!$F$3))),"",ROUND(itens_Remanesc!C93*parametros!$F$3,2))</f>
        <v/>
      </c>
      <c r="F94" s="285">
        <f>IF(itens_Remanesc!A93="","",itens_Remanesc!E93)</f>
        <v/>
      </c>
      <c r="G94" s="284">
        <f>IF(A94="TOTAL",ROUND(SUM($G$3:G93),2),IF(OR(A94="",E94="",F94=""),"",ROUND(E94*F94,2)))</f>
        <v/>
      </c>
      <c r="H94" s="282">
        <f>IF(OR(itens_Remanesc!A93="",NOT(ISNUMBER(parametros!$F$4))),"",ROUND(itens_Remanesc!C93*parametros!$F$4,2))</f>
        <v/>
      </c>
      <c r="I94" s="283">
        <f>IF(itens_Remanesc!A93="","",itens_Remanesc!G93)</f>
        <v/>
      </c>
      <c r="J94" s="282">
        <f>IF(A94="TOTAL",ROUND(SUM($J$3:J93),2),IF(OR(A94="",H94="",I94=""),"",ROUND(H94*I94,2)))</f>
        <v/>
      </c>
      <c r="K94" s="284">
        <f>IF(OR(itens_Remanesc!A93="",NOT(ISNUMBER(parametros!$F$5))),"",ROUND(itens_Remanesc!C93*parametros!$F$5,2))</f>
        <v/>
      </c>
      <c r="L94" s="285">
        <f>IF(itens_Remanesc!A93="","",itens_Remanesc!I93)</f>
        <v/>
      </c>
      <c r="M94" s="284">
        <f>IF(A94="TOTAL",ROUND(SUM($M$3:M93),2),IF(OR(A94="",K94="",L94=""),"",ROUND(K94*L94,2)))</f>
        <v/>
      </c>
      <c r="N94" s="282">
        <f>IF(OR(itens_Remanesc!A93="",NOT(ISNUMBER(parametros!$F$6))),"",ROUND(itens_Remanesc!C93*parametros!$F$6,2))</f>
        <v/>
      </c>
      <c r="O94" s="283">
        <f>IF(itens_Remanesc!A93="","",itens_Remanesc!K93)</f>
        <v/>
      </c>
      <c r="P94" s="282">
        <f>IF(A94="TOTAL",ROUND(SUM($P$3:P93),2),IF(OR(A94="",N94="",O94=""),"",ROUND(N94*O94,2)))</f>
        <v/>
      </c>
    </row>
    <row r="95">
      <c r="A95" s="281">
        <f>IF(AND(itens_Remanesc!A94="",itens_Remanesc!A93&lt;&gt;"",COUNTIF(itens_Remanesc!A95:$A$200,"&lt;&gt;")=0),"TOTAL",IF(itens_Remanesc!A94="","",itens_Remanesc!A94))</f>
        <v/>
      </c>
      <c r="B95" s="282">
        <f>IF(OR(itens_Remanesc!A94="",NOT(ISNUMBER(parametros!$F$2))),"",ROUND(itens_Remanesc!C94*parametros!$F$2,2))</f>
        <v/>
      </c>
      <c r="C95" s="283">
        <f>IF(itens_Remanesc!A94="","",itens_Remanesc!B94)</f>
        <v/>
      </c>
      <c r="D95" s="282">
        <f>IF(A95="TOTAL",ROUND(SUM($D$3:D94),2),IF(A95="","",ROUND(B95*C95,2)))</f>
        <v/>
      </c>
      <c r="E95" s="284">
        <f>IF(OR(itens_Remanesc!A94="",NOT(ISNUMBER(parametros!$F$3))),"",ROUND(itens_Remanesc!C94*parametros!$F$3,2))</f>
        <v/>
      </c>
      <c r="F95" s="285">
        <f>IF(itens_Remanesc!A94="","",itens_Remanesc!E94)</f>
        <v/>
      </c>
      <c r="G95" s="284">
        <f>IF(A95="TOTAL",ROUND(SUM($G$3:G94),2),IF(OR(A95="",E95="",F95=""),"",ROUND(E95*F95,2)))</f>
        <v/>
      </c>
      <c r="H95" s="282">
        <f>IF(OR(itens_Remanesc!A94="",NOT(ISNUMBER(parametros!$F$4))),"",ROUND(itens_Remanesc!C94*parametros!$F$4,2))</f>
        <v/>
      </c>
      <c r="I95" s="283">
        <f>IF(itens_Remanesc!A94="","",itens_Remanesc!G94)</f>
        <v/>
      </c>
      <c r="J95" s="282">
        <f>IF(A95="TOTAL",ROUND(SUM($J$3:J94),2),IF(OR(A95="",H95="",I95=""),"",ROUND(H95*I95,2)))</f>
        <v/>
      </c>
      <c r="K95" s="284">
        <f>IF(OR(itens_Remanesc!A94="",NOT(ISNUMBER(parametros!$F$5))),"",ROUND(itens_Remanesc!C94*parametros!$F$5,2))</f>
        <v/>
      </c>
      <c r="L95" s="285">
        <f>IF(itens_Remanesc!A94="","",itens_Remanesc!I94)</f>
        <v/>
      </c>
      <c r="M95" s="284">
        <f>IF(A95="TOTAL",ROUND(SUM($M$3:M94),2),IF(OR(A95="",K95="",L95=""),"",ROUND(K95*L95,2)))</f>
        <v/>
      </c>
      <c r="N95" s="282">
        <f>IF(OR(itens_Remanesc!A94="",NOT(ISNUMBER(parametros!$F$6))),"",ROUND(itens_Remanesc!C94*parametros!$F$6,2))</f>
        <v/>
      </c>
      <c r="O95" s="283">
        <f>IF(itens_Remanesc!A94="","",itens_Remanesc!K94)</f>
        <v/>
      </c>
      <c r="P95" s="282">
        <f>IF(A95="TOTAL",ROUND(SUM($P$3:P94),2),IF(OR(A95="",N95="",O95=""),"",ROUND(N95*O95,2)))</f>
        <v/>
      </c>
    </row>
    <row r="96">
      <c r="A96" s="281">
        <f>IF(AND(itens_Remanesc!A95="",itens_Remanesc!A94&lt;&gt;"",COUNTIF(itens_Remanesc!A96:$A$200,"&lt;&gt;")=0),"TOTAL",IF(itens_Remanesc!A95="","",itens_Remanesc!A95))</f>
        <v/>
      </c>
      <c r="B96" s="282">
        <f>IF(OR(itens_Remanesc!A95="",NOT(ISNUMBER(parametros!$F$2))),"",ROUND(itens_Remanesc!C95*parametros!$F$2,2))</f>
        <v/>
      </c>
      <c r="C96" s="283">
        <f>IF(itens_Remanesc!A95="","",itens_Remanesc!B95)</f>
        <v/>
      </c>
      <c r="D96" s="282">
        <f>IF(A96="TOTAL",ROUND(SUM($D$3:D95),2),IF(A96="","",ROUND(B96*C96,2)))</f>
        <v/>
      </c>
      <c r="E96" s="284">
        <f>IF(OR(itens_Remanesc!A95="",NOT(ISNUMBER(parametros!$F$3))),"",ROUND(itens_Remanesc!C95*parametros!$F$3,2))</f>
        <v/>
      </c>
      <c r="F96" s="285">
        <f>IF(itens_Remanesc!A95="","",itens_Remanesc!E95)</f>
        <v/>
      </c>
      <c r="G96" s="284">
        <f>IF(A96="TOTAL",ROUND(SUM($G$3:G95),2),IF(OR(A96="",E96="",F96=""),"",ROUND(E96*F96,2)))</f>
        <v/>
      </c>
      <c r="H96" s="282">
        <f>IF(OR(itens_Remanesc!A95="",NOT(ISNUMBER(parametros!$F$4))),"",ROUND(itens_Remanesc!C95*parametros!$F$4,2))</f>
        <v/>
      </c>
      <c r="I96" s="283">
        <f>IF(itens_Remanesc!A95="","",itens_Remanesc!G95)</f>
        <v/>
      </c>
      <c r="J96" s="282">
        <f>IF(A96="TOTAL",ROUND(SUM($J$3:J95),2),IF(OR(A96="",H96="",I96=""),"",ROUND(H96*I96,2)))</f>
        <v/>
      </c>
      <c r="K96" s="284">
        <f>IF(OR(itens_Remanesc!A95="",NOT(ISNUMBER(parametros!$F$5))),"",ROUND(itens_Remanesc!C95*parametros!$F$5,2))</f>
        <v/>
      </c>
      <c r="L96" s="285">
        <f>IF(itens_Remanesc!A95="","",itens_Remanesc!I95)</f>
        <v/>
      </c>
      <c r="M96" s="284">
        <f>IF(A96="TOTAL",ROUND(SUM($M$3:M95),2),IF(OR(A96="",K96="",L96=""),"",ROUND(K96*L96,2)))</f>
        <v/>
      </c>
      <c r="N96" s="282">
        <f>IF(OR(itens_Remanesc!A95="",NOT(ISNUMBER(parametros!$F$6))),"",ROUND(itens_Remanesc!C95*parametros!$F$6,2))</f>
        <v/>
      </c>
      <c r="O96" s="283">
        <f>IF(itens_Remanesc!A95="","",itens_Remanesc!K95)</f>
        <v/>
      </c>
      <c r="P96" s="282">
        <f>IF(A96="TOTAL",ROUND(SUM($P$3:P95),2),IF(OR(A96="",N96="",O96=""),"",ROUND(N96*O96,2)))</f>
        <v/>
      </c>
    </row>
    <row r="97">
      <c r="A97" s="281">
        <f>IF(AND(itens_Remanesc!A96="",itens_Remanesc!A95&lt;&gt;"",COUNTIF(itens_Remanesc!A97:$A$200,"&lt;&gt;")=0),"TOTAL",IF(itens_Remanesc!A96="","",itens_Remanesc!A96))</f>
        <v/>
      </c>
      <c r="B97" s="282">
        <f>IF(OR(itens_Remanesc!A96="",NOT(ISNUMBER(parametros!$F$2))),"",ROUND(itens_Remanesc!C96*parametros!$F$2,2))</f>
        <v/>
      </c>
      <c r="C97" s="283">
        <f>IF(itens_Remanesc!A96="","",itens_Remanesc!B96)</f>
        <v/>
      </c>
      <c r="D97" s="282">
        <f>IF(A97="TOTAL",ROUND(SUM($D$3:D96),2),IF(A97="","",ROUND(B97*C97,2)))</f>
        <v/>
      </c>
      <c r="E97" s="284">
        <f>IF(OR(itens_Remanesc!A96="",NOT(ISNUMBER(parametros!$F$3))),"",ROUND(itens_Remanesc!C96*parametros!$F$3,2))</f>
        <v/>
      </c>
      <c r="F97" s="285">
        <f>IF(itens_Remanesc!A96="","",itens_Remanesc!E96)</f>
        <v/>
      </c>
      <c r="G97" s="284">
        <f>IF(A97="TOTAL",ROUND(SUM($G$3:G96),2),IF(OR(A97="",E97="",F97=""),"",ROUND(E97*F97,2)))</f>
        <v/>
      </c>
      <c r="H97" s="282">
        <f>IF(OR(itens_Remanesc!A96="",NOT(ISNUMBER(parametros!$F$4))),"",ROUND(itens_Remanesc!C96*parametros!$F$4,2))</f>
        <v/>
      </c>
      <c r="I97" s="283">
        <f>IF(itens_Remanesc!A96="","",itens_Remanesc!G96)</f>
        <v/>
      </c>
      <c r="J97" s="282">
        <f>IF(A97="TOTAL",ROUND(SUM($J$3:J96),2),IF(OR(A97="",H97="",I97=""),"",ROUND(H97*I97,2)))</f>
        <v/>
      </c>
      <c r="K97" s="284">
        <f>IF(OR(itens_Remanesc!A96="",NOT(ISNUMBER(parametros!$F$5))),"",ROUND(itens_Remanesc!C96*parametros!$F$5,2))</f>
        <v/>
      </c>
      <c r="L97" s="285">
        <f>IF(itens_Remanesc!A96="","",itens_Remanesc!I96)</f>
        <v/>
      </c>
      <c r="M97" s="284">
        <f>IF(A97="TOTAL",ROUND(SUM($M$3:M96),2),IF(OR(A97="",K97="",L97=""),"",ROUND(K97*L97,2)))</f>
        <v/>
      </c>
      <c r="N97" s="282">
        <f>IF(OR(itens_Remanesc!A96="",NOT(ISNUMBER(parametros!$F$6))),"",ROUND(itens_Remanesc!C96*parametros!$F$6,2))</f>
        <v/>
      </c>
      <c r="O97" s="283">
        <f>IF(itens_Remanesc!A96="","",itens_Remanesc!K96)</f>
        <v/>
      </c>
      <c r="P97" s="282">
        <f>IF(A97="TOTAL",ROUND(SUM($P$3:P96),2),IF(OR(A97="",N97="",O97=""),"",ROUND(N97*O97,2)))</f>
        <v/>
      </c>
    </row>
    <row r="98">
      <c r="A98" s="281">
        <f>IF(AND(itens_Remanesc!A97="",itens_Remanesc!A96&lt;&gt;"",COUNTIF(itens_Remanesc!A98:$A$200,"&lt;&gt;")=0),"TOTAL",IF(itens_Remanesc!A97="","",itens_Remanesc!A97))</f>
        <v/>
      </c>
      <c r="B98" s="282">
        <f>IF(OR(itens_Remanesc!A97="",NOT(ISNUMBER(parametros!$F$2))),"",ROUND(itens_Remanesc!C97*parametros!$F$2,2))</f>
        <v/>
      </c>
      <c r="C98" s="283">
        <f>IF(itens_Remanesc!A97="","",itens_Remanesc!B97)</f>
        <v/>
      </c>
      <c r="D98" s="282">
        <f>IF(A98="TOTAL",ROUND(SUM($D$3:D97),2),IF(A98="","",ROUND(B98*C98,2)))</f>
        <v/>
      </c>
      <c r="E98" s="284">
        <f>IF(OR(itens_Remanesc!A97="",NOT(ISNUMBER(parametros!$F$3))),"",ROUND(itens_Remanesc!C97*parametros!$F$3,2))</f>
        <v/>
      </c>
      <c r="F98" s="285">
        <f>IF(itens_Remanesc!A97="","",itens_Remanesc!E97)</f>
        <v/>
      </c>
      <c r="G98" s="284">
        <f>IF(A98="TOTAL",ROUND(SUM($G$3:G97),2),IF(OR(A98="",E98="",F98=""),"",ROUND(E98*F98,2)))</f>
        <v/>
      </c>
      <c r="H98" s="282">
        <f>IF(OR(itens_Remanesc!A97="",NOT(ISNUMBER(parametros!$F$4))),"",ROUND(itens_Remanesc!C97*parametros!$F$4,2))</f>
        <v/>
      </c>
      <c r="I98" s="283">
        <f>IF(itens_Remanesc!A97="","",itens_Remanesc!G97)</f>
        <v/>
      </c>
      <c r="J98" s="282">
        <f>IF(A98="TOTAL",ROUND(SUM($J$3:J97),2),IF(OR(A98="",H98="",I98=""),"",ROUND(H98*I98,2)))</f>
        <v/>
      </c>
      <c r="K98" s="284">
        <f>IF(OR(itens_Remanesc!A97="",NOT(ISNUMBER(parametros!$F$5))),"",ROUND(itens_Remanesc!C97*parametros!$F$5,2))</f>
        <v/>
      </c>
      <c r="L98" s="285">
        <f>IF(itens_Remanesc!A97="","",itens_Remanesc!I97)</f>
        <v/>
      </c>
      <c r="M98" s="284">
        <f>IF(A98="TOTAL",ROUND(SUM($M$3:M97),2),IF(OR(A98="",K98="",L98=""),"",ROUND(K98*L98,2)))</f>
        <v/>
      </c>
      <c r="N98" s="282">
        <f>IF(OR(itens_Remanesc!A97="",NOT(ISNUMBER(parametros!$F$6))),"",ROUND(itens_Remanesc!C97*parametros!$F$6,2))</f>
        <v/>
      </c>
      <c r="O98" s="283">
        <f>IF(itens_Remanesc!A97="","",itens_Remanesc!K97)</f>
        <v/>
      </c>
      <c r="P98" s="282">
        <f>IF(A98="TOTAL",ROUND(SUM($P$3:P97),2),IF(OR(A98="",N98="",O98=""),"",ROUND(N98*O98,2)))</f>
        <v/>
      </c>
    </row>
    <row r="99">
      <c r="A99" s="281">
        <f>IF(AND(itens_Remanesc!A98="",itens_Remanesc!A97&lt;&gt;"",COUNTIF(itens_Remanesc!A99:$A$200,"&lt;&gt;")=0),"TOTAL",IF(itens_Remanesc!A98="","",itens_Remanesc!A98))</f>
        <v/>
      </c>
      <c r="B99" s="282">
        <f>IF(OR(itens_Remanesc!A98="",NOT(ISNUMBER(parametros!$F$2))),"",ROUND(itens_Remanesc!C98*parametros!$F$2,2))</f>
        <v/>
      </c>
      <c r="C99" s="283">
        <f>IF(itens_Remanesc!A98="","",itens_Remanesc!B98)</f>
        <v/>
      </c>
      <c r="D99" s="282">
        <f>IF(A99="TOTAL",ROUND(SUM($D$3:D98),2),IF(A99="","",ROUND(B99*C99,2)))</f>
        <v/>
      </c>
      <c r="E99" s="284">
        <f>IF(OR(itens_Remanesc!A98="",NOT(ISNUMBER(parametros!$F$3))),"",ROUND(itens_Remanesc!C98*parametros!$F$3,2))</f>
        <v/>
      </c>
      <c r="F99" s="285">
        <f>IF(itens_Remanesc!A98="","",itens_Remanesc!E98)</f>
        <v/>
      </c>
      <c r="G99" s="284">
        <f>IF(A99="TOTAL",ROUND(SUM($G$3:G98),2),IF(OR(A99="",E99="",F99=""),"",ROUND(E99*F99,2)))</f>
        <v/>
      </c>
      <c r="H99" s="282">
        <f>IF(OR(itens_Remanesc!A98="",NOT(ISNUMBER(parametros!$F$4))),"",ROUND(itens_Remanesc!C98*parametros!$F$4,2))</f>
        <v/>
      </c>
      <c r="I99" s="283">
        <f>IF(itens_Remanesc!A98="","",itens_Remanesc!G98)</f>
        <v/>
      </c>
      <c r="J99" s="282">
        <f>IF(A99="TOTAL",ROUND(SUM($J$3:J98),2),IF(OR(A99="",H99="",I99=""),"",ROUND(H99*I99,2)))</f>
        <v/>
      </c>
      <c r="K99" s="284">
        <f>IF(OR(itens_Remanesc!A98="",NOT(ISNUMBER(parametros!$F$5))),"",ROUND(itens_Remanesc!C98*parametros!$F$5,2))</f>
        <v/>
      </c>
      <c r="L99" s="285">
        <f>IF(itens_Remanesc!A98="","",itens_Remanesc!I98)</f>
        <v/>
      </c>
      <c r="M99" s="284">
        <f>IF(A99="TOTAL",ROUND(SUM($M$3:M98),2),IF(OR(A99="",K99="",L99=""),"",ROUND(K99*L99,2)))</f>
        <v/>
      </c>
      <c r="N99" s="282">
        <f>IF(OR(itens_Remanesc!A98="",NOT(ISNUMBER(parametros!$F$6))),"",ROUND(itens_Remanesc!C98*parametros!$F$6,2))</f>
        <v/>
      </c>
      <c r="O99" s="283">
        <f>IF(itens_Remanesc!A98="","",itens_Remanesc!K98)</f>
        <v/>
      </c>
      <c r="P99" s="282">
        <f>IF(A99="TOTAL",ROUND(SUM($P$3:P98),2),IF(OR(A99="",N99="",O99=""),"",ROUND(N99*O99,2)))</f>
        <v/>
      </c>
    </row>
    <row r="100">
      <c r="A100" s="281">
        <f>IF(AND(itens_Remanesc!A99="",itens_Remanesc!A98&lt;&gt;"",COUNTIF(itens_Remanesc!A100:$A$200,"&lt;&gt;")=0),"TOTAL",IF(itens_Remanesc!A99="","",itens_Remanesc!A99))</f>
        <v/>
      </c>
      <c r="B100" s="282">
        <f>IF(OR(itens_Remanesc!A99="",NOT(ISNUMBER(parametros!$F$2))),"",ROUND(itens_Remanesc!C99*parametros!$F$2,2))</f>
        <v/>
      </c>
      <c r="C100" s="283">
        <f>IF(itens_Remanesc!A99="","",itens_Remanesc!B99)</f>
        <v/>
      </c>
      <c r="D100" s="282">
        <f>IF(A100="TOTAL",ROUND(SUM($D$3:D99),2),IF(A100="","",ROUND(B100*C100,2)))</f>
        <v/>
      </c>
      <c r="E100" s="284">
        <f>IF(OR(itens_Remanesc!A99="",NOT(ISNUMBER(parametros!$F$3))),"",ROUND(itens_Remanesc!C99*parametros!$F$3,2))</f>
        <v/>
      </c>
      <c r="F100" s="285">
        <f>IF(itens_Remanesc!A99="","",itens_Remanesc!E99)</f>
        <v/>
      </c>
      <c r="G100" s="284">
        <f>IF(A100="TOTAL",ROUND(SUM($G$3:G99),2),IF(OR(A100="",E100="",F100=""),"",ROUND(E100*F100,2)))</f>
        <v/>
      </c>
      <c r="H100" s="282">
        <f>IF(OR(itens_Remanesc!A99="",NOT(ISNUMBER(parametros!$F$4))),"",ROUND(itens_Remanesc!C99*parametros!$F$4,2))</f>
        <v/>
      </c>
      <c r="I100" s="283">
        <f>IF(itens_Remanesc!A99="","",itens_Remanesc!G99)</f>
        <v/>
      </c>
      <c r="J100" s="282">
        <f>IF(A100="TOTAL",ROUND(SUM($J$3:J99),2),IF(OR(A100="",H100="",I100=""),"",ROUND(H100*I100,2)))</f>
        <v/>
      </c>
      <c r="K100" s="284">
        <f>IF(OR(itens_Remanesc!A99="",NOT(ISNUMBER(parametros!$F$5))),"",ROUND(itens_Remanesc!C99*parametros!$F$5,2))</f>
        <v/>
      </c>
      <c r="L100" s="285">
        <f>IF(itens_Remanesc!A99="","",itens_Remanesc!I99)</f>
        <v/>
      </c>
      <c r="M100" s="284">
        <f>IF(A100="TOTAL",ROUND(SUM($M$3:M99),2),IF(OR(A100="",K100="",L100=""),"",ROUND(K100*L100,2)))</f>
        <v/>
      </c>
      <c r="N100" s="282">
        <f>IF(OR(itens_Remanesc!A99="",NOT(ISNUMBER(parametros!$F$6))),"",ROUND(itens_Remanesc!C99*parametros!$F$6,2))</f>
        <v/>
      </c>
      <c r="O100" s="283">
        <f>IF(itens_Remanesc!A99="","",itens_Remanesc!K99)</f>
        <v/>
      </c>
      <c r="P100" s="282">
        <f>IF(A100="TOTAL",ROUND(SUM($P$3:P99),2),IF(OR(A100="",N100="",O100=""),"",ROUND(N100*O100,2)))</f>
        <v/>
      </c>
    </row>
    <row r="101">
      <c r="A101" s="281">
        <f>IF(AND(itens_Remanesc!A100="",itens_Remanesc!A99&lt;&gt;"",COUNTIF(itens_Remanesc!A101:$A$200,"&lt;&gt;")=0),"TOTAL",IF(itens_Remanesc!A100="","",itens_Remanesc!A100))</f>
        <v/>
      </c>
      <c r="B101" s="282">
        <f>IF(OR(itens_Remanesc!A100="",NOT(ISNUMBER(parametros!$F$2))),"",ROUND(itens_Remanesc!C100*parametros!$F$2,2))</f>
        <v/>
      </c>
      <c r="C101" s="283">
        <f>IF(itens_Remanesc!A100="","",itens_Remanesc!B100)</f>
        <v/>
      </c>
      <c r="D101" s="282">
        <f>IF(A101="TOTAL",ROUND(SUM($D$3:D100),2),IF(A101="","",ROUND(B101*C101,2)))</f>
        <v/>
      </c>
      <c r="E101" s="284">
        <f>IF(OR(itens_Remanesc!A100="",NOT(ISNUMBER(parametros!$F$3))),"",ROUND(itens_Remanesc!C100*parametros!$F$3,2))</f>
        <v/>
      </c>
      <c r="F101" s="285">
        <f>IF(itens_Remanesc!A100="","",itens_Remanesc!E100)</f>
        <v/>
      </c>
      <c r="G101" s="284">
        <f>IF(A101="TOTAL",ROUND(SUM($G$3:G100),2),IF(OR(A101="",E101="",F101=""),"",ROUND(E101*F101,2)))</f>
        <v/>
      </c>
      <c r="H101" s="282">
        <f>IF(OR(itens_Remanesc!A100="",NOT(ISNUMBER(parametros!$F$4))),"",ROUND(itens_Remanesc!C100*parametros!$F$4,2))</f>
        <v/>
      </c>
      <c r="I101" s="283">
        <f>IF(itens_Remanesc!A100="","",itens_Remanesc!G100)</f>
        <v/>
      </c>
      <c r="J101" s="282">
        <f>IF(A101="TOTAL",ROUND(SUM($J$3:J100),2),IF(OR(A101="",H101="",I101=""),"",ROUND(H101*I101,2)))</f>
        <v/>
      </c>
      <c r="K101" s="284">
        <f>IF(OR(itens_Remanesc!A100="",NOT(ISNUMBER(parametros!$F$5))),"",ROUND(itens_Remanesc!C100*parametros!$F$5,2))</f>
        <v/>
      </c>
      <c r="L101" s="285">
        <f>IF(itens_Remanesc!A100="","",itens_Remanesc!I100)</f>
        <v/>
      </c>
      <c r="M101" s="284">
        <f>IF(A101="TOTAL",ROUND(SUM($M$3:M100),2),IF(OR(A101="",K101="",L101=""),"",ROUND(K101*L101,2)))</f>
        <v/>
      </c>
      <c r="N101" s="282">
        <f>IF(OR(itens_Remanesc!A100="",NOT(ISNUMBER(parametros!$F$6))),"",ROUND(itens_Remanesc!C100*parametros!$F$6,2))</f>
        <v/>
      </c>
      <c r="O101" s="283">
        <f>IF(itens_Remanesc!A100="","",itens_Remanesc!K100)</f>
        <v/>
      </c>
      <c r="P101" s="282">
        <f>IF(A101="TOTAL",ROUND(SUM($P$3:P100),2),IF(OR(A101="",N101="",O101=""),"",ROUND(N101*O101,2)))</f>
        <v/>
      </c>
    </row>
    <row r="102">
      <c r="A102" s="281">
        <f>IF(AND(itens_Remanesc!A101="",itens_Remanesc!A100&lt;&gt;"",COUNTIF(itens_Remanesc!A102:$A$200,"&lt;&gt;")=0),"TOTAL",IF(itens_Remanesc!A101="","",itens_Remanesc!A101))</f>
        <v/>
      </c>
      <c r="B102" s="282">
        <f>IF(OR(itens_Remanesc!A101="",NOT(ISNUMBER(parametros!$F$2))),"",ROUND(itens_Remanesc!C101*parametros!$F$2,2))</f>
        <v/>
      </c>
      <c r="C102" s="283">
        <f>IF(itens_Remanesc!A101="","",itens_Remanesc!B101)</f>
        <v/>
      </c>
      <c r="D102" s="282">
        <f>IF(A102="TOTAL",ROUND(SUM($D$3:D101),2),IF(A102="","",ROUND(B102*C102,2)))</f>
        <v/>
      </c>
      <c r="E102" s="284">
        <f>IF(OR(itens_Remanesc!A101="",NOT(ISNUMBER(parametros!$F$3))),"",ROUND(itens_Remanesc!C101*parametros!$F$3,2))</f>
        <v/>
      </c>
      <c r="F102" s="285">
        <f>IF(itens_Remanesc!A101="","",itens_Remanesc!E101)</f>
        <v/>
      </c>
      <c r="G102" s="284">
        <f>IF(A102="TOTAL",ROUND(SUM($G$3:G101),2),IF(OR(A102="",E102="",F102=""),"",ROUND(E102*F102,2)))</f>
        <v/>
      </c>
      <c r="H102" s="282">
        <f>IF(OR(itens_Remanesc!A101="",NOT(ISNUMBER(parametros!$F$4))),"",ROUND(itens_Remanesc!C101*parametros!$F$4,2))</f>
        <v/>
      </c>
      <c r="I102" s="283">
        <f>IF(itens_Remanesc!A101="","",itens_Remanesc!G101)</f>
        <v/>
      </c>
      <c r="J102" s="282">
        <f>IF(A102="TOTAL",ROUND(SUM($J$3:J101),2),IF(OR(A102="",H102="",I102=""),"",ROUND(H102*I102,2)))</f>
        <v/>
      </c>
      <c r="K102" s="284">
        <f>IF(OR(itens_Remanesc!A101="",NOT(ISNUMBER(parametros!$F$5))),"",ROUND(itens_Remanesc!C101*parametros!$F$5,2))</f>
        <v/>
      </c>
      <c r="L102" s="285">
        <f>IF(itens_Remanesc!A101="","",itens_Remanesc!I101)</f>
        <v/>
      </c>
      <c r="M102" s="284">
        <f>IF(A102="TOTAL",ROUND(SUM($M$3:M101),2),IF(OR(A102="",K102="",L102=""),"",ROUND(K102*L102,2)))</f>
        <v/>
      </c>
      <c r="N102" s="282">
        <f>IF(OR(itens_Remanesc!A101="",NOT(ISNUMBER(parametros!$F$6))),"",ROUND(itens_Remanesc!C101*parametros!$F$6,2))</f>
        <v/>
      </c>
      <c r="O102" s="283">
        <f>IF(itens_Remanesc!A101="","",itens_Remanesc!K101)</f>
        <v/>
      </c>
      <c r="P102" s="282">
        <f>IF(A102="TOTAL",ROUND(SUM($P$3:P101),2),IF(OR(A102="",N102="",O102=""),"",ROUND(N102*O102,2)))</f>
        <v/>
      </c>
    </row>
    <row r="103">
      <c r="A103" s="281">
        <f>IF(AND(itens_Remanesc!A102="",itens_Remanesc!A101&lt;&gt;"",COUNTIF(itens_Remanesc!A103:$A$200,"&lt;&gt;")=0),"TOTAL",IF(itens_Remanesc!A102="","",itens_Remanesc!A102))</f>
        <v/>
      </c>
      <c r="B103" s="282">
        <f>IF(OR(itens_Remanesc!A102="",NOT(ISNUMBER(parametros!$F$2))),"",ROUND(itens_Remanesc!C102*parametros!$F$2,2))</f>
        <v/>
      </c>
      <c r="C103" s="283">
        <f>IF(itens_Remanesc!A102="","",itens_Remanesc!B102)</f>
        <v/>
      </c>
      <c r="D103" s="282">
        <f>IF(A103="TOTAL",ROUND(SUM($D$3:D102),2),IF(A103="","",ROUND(B103*C103,2)))</f>
        <v/>
      </c>
      <c r="E103" s="284">
        <f>IF(OR(itens_Remanesc!A102="",NOT(ISNUMBER(parametros!$F$3))),"",ROUND(itens_Remanesc!C102*parametros!$F$3,2))</f>
        <v/>
      </c>
      <c r="F103" s="285">
        <f>IF(itens_Remanesc!A102="","",itens_Remanesc!E102)</f>
        <v/>
      </c>
      <c r="G103" s="284">
        <f>IF(A103="TOTAL",ROUND(SUM($G$3:G102),2),IF(OR(A103="",E103="",F103=""),"",ROUND(E103*F103,2)))</f>
        <v/>
      </c>
      <c r="H103" s="282">
        <f>IF(OR(itens_Remanesc!A102="",NOT(ISNUMBER(parametros!$F$4))),"",ROUND(itens_Remanesc!C102*parametros!$F$4,2))</f>
        <v/>
      </c>
      <c r="I103" s="283">
        <f>IF(itens_Remanesc!A102="","",itens_Remanesc!G102)</f>
        <v/>
      </c>
      <c r="J103" s="282">
        <f>IF(A103="TOTAL",ROUND(SUM($J$3:J102),2),IF(OR(A103="",H103="",I103=""),"",ROUND(H103*I103,2)))</f>
        <v/>
      </c>
      <c r="K103" s="284">
        <f>IF(OR(itens_Remanesc!A102="",NOT(ISNUMBER(parametros!$F$5))),"",ROUND(itens_Remanesc!C102*parametros!$F$5,2))</f>
        <v/>
      </c>
      <c r="L103" s="285">
        <f>IF(itens_Remanesc!A102="","",itens_Remanesc!I102)</f>
        <v/>
      </c>
      <c r="M103" s="284">
        <f>IF(A103="TOTAL",ROUND(SUM($M$3:M102),2),IF(OR(A103="",K103="",L103=""),"",ROUND(K103*L103,2)))</f>
        <v/>
      </c>
      <c r="N103" s="282">
        <f>IF(OR(itens_Remanesc!A102="",NOT(ISNUMBER(parametros!$F$6))),"",ROUND(itens_Remanesc!C102*parametros!$F$6,2))</f>
        <v/>
      </c>
      <c r="O103" s="283">
        <f>IF(itens_Remanesc!A102="","",itens_Remanesc!K102)</f>
        <v/>
      </c>
      <c r="P103" s="282">
        <f>IF(A103="TOTAL",ROUND(SUM($P$3:P102),2),IF(OR(A103="",N103="",O103=""),"",ROUND(N103*O103,2)))</f>
        <v/>
      </c>
    </row>
    <row r="104">
      <c r="A104" s="281">
        <f>IF(AND(itens_Remanesc!A103="",itens_Remanesc!A102&lt;&gt;"",COUNTIF(itens_Remanesc!A104:$A$200,"&lt;&gt;")=0),"TOTAL",IF(itens_Remanesc!A103="","",itens_Remanesc!A103))</f>
        <v/>
      </c>
      <c r="B104" s="282">
        <f>IF(OR(itens_Remanesc!A103="",NOT(ISNUMBER(parametros!$F$2))),"",ROUND(itens_Remanesc!C103*parametros!$F$2,2))</f>
        <v/>
      </c>
      <c r="C104" s="283">
        <f>IF(itens_Remanesc!A103="","",itens_Remanesc!B103)</f>
        <v/>
      </c>
      <c r="D104" s="282">
        <f>IF(A104="TOTAL",ROUND(SUM($D$3:D103),2),IF(A104="","",ROUND(B104*C104,2)))</f>
        <v/>
      </c>
      <c r="E104" s="284">
        <f>IF(OR(itens_Remanesc!A103="",NOT(ISNUMBER(parametros!$F$3))),"",ROUND(itens_Remanesc!C103*parametros!$F$3,2))</f>
        <v/>
      </c>
      <c r="F104" s="285">
        <f>IF(itens_Remanesc!A103="","",itens_Remanesc!E103)</f>
        <v/>
      </c>
      <c r="G104" s="284">
        <f>IF(A104="TOTAL",ROUND(SUM($G$3:G103),2),IF(OR(A104="",E104="",F104=""),"",ROUND(E104*F104,2)))</f>
        <v/>
      </c>
      <c r="H104" s="282">
        <f>IF(OR(itens_Remanesc!A103="",NOT(ISNUMBER(parametros!$F$4))),"",ROUND(itens_Remanesc!C103*parametros!$F$4,2))</f>
        <v/>
      </c>
      <c r="I104" s="283">
        <f>IF(itens_Remanesc!A103="","",itens_Remanesc!G103)</f>
        <v/>
      </c>
      <c r="J104" s="282">
        <f>IF(A104="TOTAL",ROUND(SUM($J$3:J103),2),IF(OR(A104="",H104="",I104=""),"",ROUND(H104*I104,2)))</f>
        <v/>
      </c>
      <c r="K104" s="284">
        <f>IF(OR(itens_Remanesc!A103="",NOT(ISNUMBER(parametros!$F$5))),"",ROUND(itens_Remanesc!C103*parametros!$F$5,2))</f>
        <v/>
      </c>
      <c r="L104" s="285">
        <f>IF(itens_Remanesc!A103="","",itens_Remanesc!I103)</f>
        <v/>
      </c>
      <c r="M104" s="284">
        <f>IF(A104="TOTAL",ROUND(SUM($M$3:M103),2),IF(OR(A104="",K104="",L104=""),"",ROUND(K104*L104,2)))</f>
        <v/>
      </c>
      <c r="N104" s="282">
        <f>IF(OR(itens_Remanesc!A103="",NOT(ISNUMBER(parametros!$F$6))),"",ROUND(itens_Remanesc!C103*parametros!$F$6,2))</f>
        <v/>
      </c>
      <c r="O104" s="283">
        <f>IF(itens_Remanesc!A103="","",itens_Remanesc!K103)</f>
        <v/>
      </c>
      <c r="P104" s="282">
        <f>IF(A104="TOTAL",ROUND(SUM($P$3:P103),2),IF(OR(A104="",N104="",O104=""),"",ROUND(N104*O104,2)))</f>
        <v/>
      </c>
    </row>
    <row r="105">
      <c r="A105" s="281">
        <f>IF(AND(itens_Remanesc!A104="",itens_Remanesc!A103&lt;&gt;"",COUNTIF(itens_Remanesc!A105:$A$200,"&lt;&gt;")=0),"TOTAL",IF(itens_Remanesc!A104="","",itens_Remanesc!A104))</f>
        <v/>
      </c>
      <c r="B105" s="282">
        <f>IF(OR(itens_Remanesc!A104="",NOT(ISNUMBER(parametros!$F$2))),"",ROUND(itens_Remanesc!C104*parametros!$F$2,2))</f>
        <v/>
      </c>
      <c r="C105" s="283">
        <f>IF(itens_Remanesc!A104="","",itens_Remanesc!B104)</f>
        <v/>
      </c>
      <c r="D105" s="282">
        <f>IF(A105="TOTAL",ROUND(SUM($D$3:D104),2),IF(A105="","",ROUND(B105*C105,2)))</f>
        <v/>
      </c>
      <c r="E105" s="284">
        <f>IF(OR(itens_Remanesc!A104="",NOT(ISNUMBER(parametros!$F$3))),"",ROUND(itens_Remanesc!C104*parametros!$F$3,2))</f>
        <v/>
      </c>
      <c r="F105" s="285">
        <f>IF(itens_Remanesc!A104="","",itens_Remanesc!E104)</f>
        <v/>
      </c>
      <c r="G105" s="284">
        <f>IF(A105="TOTAL",ROUND(SUM($G$3:G104),2),IF(OR(A105="",E105="",F105=""),"",ROUND(E105*F105,2)))</f>
        <v/>
      </c>
      <c r="H105" s="282">
        <f>IF(OR(itens_Remanesc!A104="",NOT(ISNUMBER(parametros!$F$4))),"",ROUND(itens_Remanesc!C104*parametros!$F$4,2))</f>
        <v/>
      </c>
      <c r="I105" s="283">
        <f>IF(itens_Remanesc!A104="","",itens_Remanesc!G104)</f>
        <v/>
      </c>
      <c r="J105" s="282">
        <f>IF(A105="TOTAL",ROUND(SUM($J$3:J104),2),IF(OR(A105="",H105="",I105=""),"",ROUND(H105*I105,2)))</f>
        <v/>
      </c>
      <c r="K105" s="284">
        <f>IF(OR(itens_Remanesc!A104="",NOT(ISNUMBER(parametros!$F$5))),"",ROUND(itens_Remanesc!C104*parametros!$F$5,2))</f>
        <v/>
      </c>
      <c r="L105" s="285">
        <f>IF(itens_Remanesc!A104="","",itens_Remanesc!I104)</f>
        <v/>
      </c>
      <c r="M105" s="284">
        <f>IF(A105="TOTAL",ROUND(SUM($M$3:M104),2),IF(OR(A105="",K105="",L105=""),"",ROUND(K105*L105,2)))</f>
        <v/>
      </c>
      <c r="N105" s="282">
        <f>IF(OR(itens_Remanesc!A104="",NOT(ISNUMBER(parametros!$F$6))),"",ROUND(itens_Remanesc!C104*parametros!$F$6,2))</f>
        <v/>
      </c>
      <c r="O105" s="283">
        <f>IF(itens_Remanesc!A104="","",itens_Remanesc!K104)</f>
        <v/>
      </c>
      <c r="P105" s="282">
        <f>IF(A105="TOTAL",ROUND(SUM($P$3:P104),2),IF(OR(A105="",N105="",O105=""),"",ROUND(N105*O105,2)))</f>
        <v/>
      </c>
    </row>
    <row r="106">
      <c r="A106" s="281">
        <f>IF(AND(itens_Remanesc!A105="",itens_Remanesc!A104&lt;&gt;"",COUNTIF(itens_Remanesc!A106:$A$200,"&lt;&gt;")=0),"TOTAL",IF(itens_Remanesc!A105="","",itens_Remanesc!A105))</f>
        <v/>
      </c>
      <c r="B106" s="282">
        <f>IF(OR(itens_Remanesc!A105="",NOT(ISNUMBER(parametros!$F$2))),"",ROUND(itens_Remanesc!C105*parametros!$F$2,2))</f>
        <v/>
      </c>
      <c r="C106" s="283">
        <f>IF(itens_Remanesc!A105="","",itens_Remanesc!B105)</f>
        <v/>
      </c>
      <c r="D106" s="282">
        <f>IF(A106="TOTAL",ROUND(SUM($D$3:D105),2),IF(A106="","",ROUND(B106*C106,2)))</f>
        <v/>
      </c>
      <c r="E106" s="284">
        <f>IF(OR(itens_Remanesc!A105="",NOT(ISNUMBER(parametros!$F$3))),"",ROUND(itens_Remanesc!C105*parametros!$F$3,2))</f>
        <v/>
      </c>
      <c r="F106" s="285">
        <f>IF(itens_Remanesc!A105="","",itens_Remanesc!E105)</f>
        <v/>
      </c>
      <c r="G106" s="284">
        <f>IF(A106="TOTAL",ROUND(SUM($G$3:G105),2),IF(OR(A106="",E106="",F106=""),"",ROUND(E106*F106,2)))</f>
        <v/>
      </c>
      <c r="H106" s="282">
        <f>IF(OR(itens_Remanesc!A105="",NOT(ISNUMBER(parametros!$F$4))),"",ROUND(itens_Remanesc!C105*parametros!$F$4,2))</f>
        <v/>
      </c>
      <c r="I106" s="283">
        <f>IF(itens_Remanesc!A105="","",itens_Remanesc!G105)</f>
        <v/>
      </c>
      <c r="J106" s="282">
        <f>IF(A106="TOTAL",ROUND(SUM($J$3:J105),2),IF(OR(A106="",H106="",I106=""),"",ROUND(H106*I106,2)))</f>
        <v/>
      </c>
      <c r="K106" s="284">
        <f>IF(OR(itens_Remanesc!A105="",NOT(ISNUMBER(parametros!$F$5))),"",ROUND(itens_Remanesc!C105*parametros!$F$5,2))</f>
        <v/>
      </c>
      <c r="L106" s="285">
        <f>IF(itens_Remanesc!A105="","",itens_Remanesc!I105)</f>
        <v/>
      </c>
      <c r="M106" s="284">
        <f>IF(A106="TOTAL",ROUND(SUM($M$3:M105),2),IF(OR(A106="",K106="",L106=""),"",ROUND(K106*L106,2)))</f>
        <v/>
      </c>
      <c r="N106" s="282">
        <f>IF(OR(itens_Remanesc!A105="",NOT(ISNUMBER(parametros!$F$6))),"",ROUND(itens_Remanesc!C105*parametros!$F$6,2))</f>
        <v/>
      </c>
      <c r="O106" s="283">
        <f>IF(itens_Remanesc!A105="","",itens_Remanesc!K105)</f>
        <v/>
      </c>
      <c r="P106" s="282">
        <f>IF(A106="TOTAL",ROUND(SUM($P$3:P105),2),IF(OR(A106="",N106="",O106=""),"",ROUND(N106*O106,2)))</f>
        <v/>
      </c>
    </row>
    <row r="107">
      <c r="A107" s="281">
        <f>IF(AND(itens_Remanesc!A106="",itens_Remanesc!A105&lt;&gt;"",COUNTIF(itens_Remanesc!A107:$A$200,"&lt;&gt;")=0),"TOTAL",IF(itens_Remanesc!A106="","",itens_Remanesc!A106))</f>
        <v/>
      </c>
      <c r="B107" s="282">
        <f>IF(OR(itens_Remanesc!A106="",NOT(ISNUMBER(parametros!$F$2))),"",ROUND(itens_Remanesc!C106*parametros!$F$2,2))</f>
        <v/>
      </c>
      <c r="C107" s="283">
        <f>IF(itens_Remanesc!A106="","",itens_Remanesc!B106)</f>
        <v/>
      </c>
      <c r="D107" s="282">
        <f>IF(A107="TOTAL",ROUND(SUM($D$3:D106),2),IF(A107="","",ROUND(B107*C107,2)))</f>
        <v/>
      </c>
      <c r="E107" s="284">
        <f>IF(OR(itens_Remanesc!A106="",NOT(ISNUMBER(parametros!$F$3))),"",ROUND(itens_Remanesc!C106*parametros!$F$3,2))</f>
        <v/>
      </c>
      <c r="F107" s="285">
        <f>IF(itens_Remanesc!A106="","",itens_Remanesc!E106)</f>
        <v/>
      </c>
      <c r="G107" s="284">
        <f>IF(A107="TOTAL",ROUND(SUM($G$3:G106),2),IF(OR(A107="",E107="",F107=""),"",ROUND(E107*F107,2)))</f>
        <v/>
      </c>
      <c r="H107" s="282">
        <f>IF(OR(itens_Remanesc!A106="",NOT(ISNUMBER(parametros!$F$4))),"",ROUND(itens_Remanesc!C106*parametros!$F$4,2))</f>
        <v/>
      </c>
      <c r="I107" s="283">
        <f>IF(itens_Remanesc!A106="","",itens_Remanesc!G106)</f>
        <v/>
      </c>
      <c r="J107" s="282">
        <f>IF(A107="TOTAL",ROUND(SUM($J$3:J106),2),IF(OR(A107="",H107="",I107=""),"",ROUND(H107*I107,2)))</f>
        <v/>
      </c>
      <c r="K107" s="284">
        <f>IF(OR(itens_Remanesc!A106="",NOT(ISNUMBER(parametros!$F$5))),"",ROUND(itens_Remanesc!C106*parametros!$F$5,2))</f>
        <v/>
      </c>
      <c r="L107" s="285">
        <f>IF(itens_Remanesc!A106="","",itens_Remanesc!I106)</f>
        <v/>
      </c>
      <c r="M107" s="284">
        <f>IF(A107="TOTAL",ROUND(SUM($M$3:M106),2),IF(OR(A107="",K107="",L107=""),"",ROUND(K107*L107,2)))</f>
        <v/>
      </c>
      <c r="N107" s="282">
        <f>IF(OR(itens_Remanesc!A106="",NOT(ISNUMBER(parametros!$F$6))),"",ROUND(itens_Remanesc!C106*parametros!$F$6,2))</f>
        <v/>
      </c>
      <c r="O107" s="283">
        <f>IF(itens_Remanesc!A106="","",itens_Remanesc!K106)</f>
        <v/>
      </c>
      <c r="P107" s="282">
        <f>IF(A107="TOTAL",ROUND(SUM($P$3:P106),2),IF(OR(A107="",N107="",O107=""),"",ROUND(N107*O107,2)))</f>
        <v/>
      </c>
    </row>
    <row r="108">
      <c r="A108" s="281">
        <f>IF(AND(itens_Remanesc!A107="",itens_Remanesc!A106&lt;&gt;"",COUNTIF(itens_Remanesc!A108:$A$200,"&lt;&gt;")=0),"TOTAL",IF(itens_Remanesc!A107="","",itens_Remanesc!A107))</f>
        <v/>
      </c>
      <c r="B108" s="282">
        <f>IF(OR(itens_Remanesc!A107="",NOT(ISNUMBER(parametros!$F$2))),"",ROUND(itens_Remanesc!C107*parametros!$F$2,2))</f>
        <v/>
      </c>
      <c r="C108" s="283">
        <f>IF(itens_Remanesc!A107="","",itens_Remanesc!B107)</f>
        <v/>
      </c>
      <c r="D108" s="282">
        <f>IF(A108="TOTAL",ROUND(SUM($D$3:D107),2),IF(A108="","",ROUND(B108*C108,2)))</f>
        <v/>
      </c>
      <c r="E108" s="284">
        <f>IF(OR(itens_Remanesc!A107="",NOT(ISNUMBER(parametros!$F$3))),"",ROUND(itens_Remanesc!C107*parametros!$F$3,2))</f>
        <v/>
      </c>
      <c r="F108" s="285">
        <f>IF(itens_Remanesc!A107="","",itens_Remanesc!E107)</f>
        <v/>
      </c>
      <c r="G108" s="284">
        <f>IF(A108="TOTAL",ROUND(SUM($G$3:G107),2),IF(OR(A108="",E108="",F108=""),"",ROUND(E108*F108,2)))</f>
        <v/>
      </c>
      <c r="H108" s="282">
        <f>IF(OR(itens_Remanesc!A107="",NOT(ISNUMBER(parametros!$F$4))),"",ROUND(itens_Remanesc!C107*parametros!$F$4,2))</f>
        <v/>
      </c>
      <c r="I108" s="283">
        <f>IF(itens_Remanesc!A107="","",itens_Remanesc!G107)</f>
        <v/>
      </c>
      <c r="J108" s="282">
        <f>IF(A108="TOTAL",ROUND(SUM($J$3:J107),2),IF(OR(A108="",H108="",I108=""),"",ROUND(H108*I108,2)))</f>
        <v/>
      </c>
      <c r="K108" s="284">
        <f>IF(OR(itens_Remanesc!A107="",NOT(ISNUMBER(parametros!$F$5))),"",ROUND(itens_Remanesc!C107*parametros!$F$5,2))</f>
        <v/>
      </c>
      <c r="L108" s="285">
        <f>IF(itens_Remanesc!A107="","",itens_Remanesc!I107)</f>
        <v/>
      </c>
      <c r="M108" s="284">
        <f>IF(A108="TOTAL",ROUND(SUM($M$3:M107),2),IF(OR(A108="",K108="",L108=""),"",ROUND(K108*L108,2)))</f>
        <v/>
      </c>
      <c r="N108" s="282">
        <f>IF(OR(itens_Remanesc!A107="",NOT(ISNUMBER(parametros!$F$6))),"",ROUND(itens_Remanesc!C107*parametros!$F$6,2))</f>
        <v/>
      </c>
      <c r="O108" s="283">
        <f>IF(itens_Remanesc!A107="","",itens_Remanesc!K107)</f>
        <v/>
      </c>
      <c r="P108" s="282">
        <f>IF(A108="TOTAL",ROUND(SUM($P$3:P107),2),IF(OR(A108="",N108="",O108=""),"",ROUND(N108*O108,2)))</f>
        <v/>
      </c>
    </row>
    <row r="109">
      <c r="A109" s="281">
        <f>IF(AND(itens_Remanesc!A108="",itens_Remanesc!A107&lt;&gt;"",COUNTIF(itens_Remanesc!A109:$A$200,"&lt;&gt;")=0),"TOTAL",IF(itens_Remanesc!A108="","",itens_Remanesc!A108))</f>
        <v/>
      </c>
      <c r="B109" s="282">
        <f>IF(OR(itens_Remanesc!A108="",NOT(ISNUMBER(parametros!$F$2))),"",ROUND(itens_Remanesc!C108*parametros!$F$2,2))</f>
        <v/>
      </c>
      <c r="C109" s="283">
        <f>IF(itens_Remanesc!A108="","",itens_Remanesc!B108)</f>
        <v/>
      </c>
      <c r="D109" s="282">
        <f>IF(A109="TOTAL",ROUND(SUM($D$3:D108),2),IF(A109="","",ROUND(B109*C109,2)))</f>
        <v/>
      </c>
      <c r="E109" s="284">
        <f>IF(OR(itens_Remanesc!A108="",NOT(ISNUMBER(parametros!$F$3))),"",ROUND(itens_Remanesc!C108*parametros!$F$3,2))</f>
        <v/>
      </c>
      <c r="F109" s="285">
        <f>IF(itens_Remanesc!A108="","",itens_Remanesc!E108)</f>
        <v/>
      </c>
      <c r="G109" s="284">
        <f>IF(A109="TOTAL",ROUND(SUM($G$3:G108),2),IF(OR(A109="",E109="",F109=""),"",ROUND(E109*F109,2)))</f>
        <v/>
      </c>
      <c r="H109" s="282">
        <f>IF(OR(itens_Remanesc!A108="",NOT(ISNUMBER(parametros!$F$4))),"",ROUND(itens_Remanesc!C108*parametros!$F$4,2))</f>
        <v/>
      </c>
      <c r="I109" s="283">
        <f>IF(itens_Remanesc!A108="","",itens_Remanesc!G108)</f>
        <v/>
      </c>
      <c r="J109" s="282">
        <f>IF(A109="TOTAL",ROUND(SUM($J$3:J108),2),IF(OR(A109="",H109="",I109=""),"",ROUND(H109*I109,2)))</f>
        <v/>
      </c>
      <c r="K109" s="284">
        <f>IF(OR(itens_Remanesc!A108="",NOT(ISNUMBER(parametros!$F$5))),"",ROUND(itens_Remanesc!C108*parametros!$F$5,2))</f>
        <v/>
      </c>
      <c r="L109" s="285">
        <f>IF(itens_Remanesc!A108="","",itens_Remanesc!I108)</f>
        <v/>
      </c>
      <c r="M109" s="284">
        <f>IF(A109="TOTAL",ROUND(SUM($M$3:M108),2),IF(OR(A109="",K109="",L109=""),"",ROUND(K109*L109,2)))</f>
        <v/>
      </c>
      <c r="N109" s="282">
        <f>IF(OR(itens_Remanesc!A108="",NOT(ISNUMBER(parametros!$F$6))),"",ROUND(itens_Remanesc!C108*parametros!$F$6,2))</f>
        <v/>
      </c>
      <c r="O109" s="283">
        <f>IF(itens_Remanesc!A108="","",itens_Remanesc!K108)</f>
        <v/>
      </c>
      <c r="P109" s="282">
        <f>IF(A109="TOTAL",ROUND(SUM($P$3:P108),2),IF(OR(A109="",N109="",O109=""),"",ROUND(N109*O109,2)))</f>
        <v/>
      </c>
    </row>
    <row r="110">
      <c r="A110" s="281">
        <f>IF(AND(itens_Remanesc!A109="",itens_Remanesc!A108&lt;&gt;"",COUNTIF(itens_Remanesc!A110:$A$200,"&lt;&gt;")=0),"TOTAL",IF(itens_Remanesc!A109="","",itens_Remanesc!A109))</f>
        <v/>
      </c>
      <c r="B110" s="282">
        <f>IF(OR(itens_Remanesc!A109="",NOT(ISNUMBER(parametros!$F$2))),"",ROUND(itens_Remanesc!C109*parametros!$F$2,2))</f>
        <v/>
      </c>
      <c r="C110" s="283">
        <f>IF(itens_Remanesc!A109="","",itens_Remanesc!B109)</f>
        <v/>
      </c>
      <c r="D110" s="282">
        <f>IF(A110="TOTAL",ROUND(SUM($D$3:D109),2),IF(A110="","",ROUND(B110*C110,2)))</f>
        <v/>
      </c>
      <c r="E110" s="284">
        <f>IF(OR(itens_Remanesc!A109="",NOT(ISNUMBER(parametros!$F$3))),"",ROUND(itens_Remanesc!C109*parametros!$F$3,2))</f>
        <v/>
      </c>
      <c r="F110" s="285">
        <f>IF(itens_Remanesc!A109="","",itens_Remanesc!E109)</f>
        <v/>
      </c>
      <c r="G110" s="284">
        <f>IF(A110="TOTAL",ROUND(SUM($G$3:G109),2),IF(OR(A110="",E110="",F110=""),"",ROUND(E110*F110,2)))</f>
        <v/>
      </c>
      <c r="H110" s="282">
        <f>IF(OR(itens_Remanesc!A109="",NOT(ISNUMBER(parametros!$F$4))),"",ROUND(itens_Remanesc!C109*parametros!$F$4,2))</f>
        <v/>
      </c>
      <c r="I110" s="283">
        <f>IF(itens_Remanesc!A109="","",itens_Remanesc!G109)</f>
        <v/>
      </c>
      <c r="J110" s="282">
        <f>IF(A110="TOTAL",ROUND(SUM($J$3:J109),2),IF(OR(A110="",H110="",I110=""),"",ROUND(H110*I110,2)))</f>
        <v/>
      </c>
      <c r="K110" s="284">
        <f>IF(OR(itens_Remanesc!A109="",NOT(ISNUMBER(parametros!$F$5))),"",ROUND(itens_Remanesc!C109*parametros!$F$5,2))</f>
        <v/>
      </c>
      <c r="L110" s="285">
        <f>IF(itens_Remanesc!A109="","",itens_Remanesc!I109)</f>
        <v/>
      </c>
      <c r="M110" s="284">
        <f>IF(A110="TOTAL",ROUND(SUM($M$3:M109),2),IF(OR(A110="",K110="",L110=""),"",ROUND(K110*L110,2)))</f>
        <v/>
      </c>
      <c r="N110" s="282">
        <f>IF(OR(itens_Remanesc!A109="",NOT(ISNUMBER(parametros!$F$6))),"",ROUND(itens_Remanesc!C109*parametros!$F$6,2))</f>
        <v/>
      </c>
      <c r="O110" s="283">
        <f>IF(itens_Remanesc!A109="","",itens_Remanesc!K109)</f>
        <v/>
      </c>
      <c r="P110" s="282">
        <f>IF(A110="TOTAL",ROUND(SUM($P$3:P109),2),IF(OR(A110="",N110="",O110=""),"",ROUND(N110*O110,2)))</f>
        <v/>
      </c>
    </row>
    <row r="111">
      <c r="A111" s="281">
        <f>IF(AND(itens_Remanesc!A110="",itens_Remanesc!A109&lt;&gt;"",COUNTIF(itens_Remanesc!A111:$A$200,"&lt;&gt;")=0),"TOTAL",IF(itens_Remanesc!A110="","",itens_Remanesc!A110))</f>
        <v/>
      </c>
      <c r="B111" s="282">
        <f>IF(OR(itens_Remanesc!A110="",NOT(ISNUMBER(parametros!$F$2))),"",ROUND(itens_Remanesc!C110*parametros!$F$2,2))</f>
        <v/>
      </c>
      <c r="C111" s="283">
        <f>IF(itens_Remanesc!A110="","",itens_Remanesc!B110)</f>
        <v/>
      </c>
      <c r="D111" s="282">
        <f>IF(A111="TOTAL",ROUND(SUM($D$3:D110),2),IF(A111="","",ROUND(B111*C111,2)))</f>
        <v/>
      </c>
      <c r="E111" s="284">
        <f>IF(OR(itens_Remanesc!A110="",NOT(ISNUMBER(parametros!$F$3))),"",ROUND(itens_Remanesc!C110*parametros!$F$3,2))</f>
        <v/>
      </c>
      <c r="F111" s="285">
        <f>IF(itens_Remanesc!A110="","",itens_Remanesc!E110)</f>
        <v/>
      </c>
      <c r="G111" s="284">
        <f>IF(A111="TOTAL",ROUND(SUM($G$3:G110),2),IF(OR(A111="",E111="",F111=""),"",ROUND(E111*F111,2)))</f>
        <v/>
      </c>
      <c r="H111" s="282">
        <f>IF(OR(itens_Remanesc!A110="",NOT(ISNUMBER(parametros!$F$4))),"",ROUND(itens_Remanesc!C110*parametros!$F$4,2))</f>
        <v/>
      </c>
      <c r="I111" s="283">
        <f>IF(itens_Remanesc!A110="","",itens_Remanesc!G110)</f>
        <v/>
      </c>
      <c r="J111" s="282">
        <f>IF(A111="TOTAL",ROUND(SUM($J$3:J110),2),IF(OR(A111="",H111="",I111=""),"",ROUND(H111*I111,2)))</f>
        <v/>
      </c>
      <c r="K111" s="284">
        <f>IF(OR(itens_Remanesc!A110="",NOT(ISNUMBER(parametros!$F$5))),"",ROUND(itens_Remanesc!C110*parametros!$F$5,2))</f>
        <v/>
      </c>
      <c r="L111" s="285">
        <f>IF(itens_Remanesc!A110="","",itens_Remanesc!I110)</f>
        <v/>
      </c>
      <c r="M111" s="284">
        <f>IF(A111="TOTAL",ROUND(SUM($M$3:M110),2),IF(OR(A111="",K111="",L111=""),"",ROUND(K111*L111,2)))</f>
        <v/>
      </c>
      <c r="N111" s="282">
        <f>IF(OR(itens_Remanesc!A110="",NOT(ISNUMBER(parametros!$F$6))),"",ROUND(itens_Remanesc!C110*parametros!$F$6,2))</f>
        <v/>
      </c>
      <c r="O111" s="283">
        <f>IF(itens_Remanesc!A110="","",itens_Remanesc!K110)</f>
        <v/>
      </c>
      <c r="P111" s="282">
        <f>IF(A111="TOTAL",ROUND(SUM($P$3:P110),2),IF(OR(A111="",N111="",O111=""),"",ROUND(N111*O111,2)))</f>
        <v/>
      </c>
    </row>
    <row r="112">
      <c r="A112" s="281">
        <f>IF(AND(itens_Remanesc!A111="",itens_Remanesc!A110&lt;&gt;"",COUNTIF(itens_Remanesc!A112:$A$200,"&lt;&gt;")=0),"TOTAL",IF(itens_Remanesc!A111="","",itens_Remanesc!A111))</f>
        <v/>
      </c>
      <c r="B112" s="282">
        <f>IF(OR(itens_Remanesc!A111="",NOT(ISNUMBER(parametros!$F$2))),"",ROUND(itens_Remanesc!C111*parametros!$F$2,2))</f>
        <v/>
      </c>
      <c r="C112" s="283">
        <f>IF(itens_Remanesc!A111="","",itens_Remanesc!B111)</f>
        <v/>
      </c>
      <c r="D112" s="282">
        <f>IF(A112="TOTAL",ROUND(SUM($D$3:D111),2),IF(A112="","",ROUND(B112*C112,2)))</f>
        <v/>
      </c>
      <c r="E112" s="284">
        <f>IF(OR(itens_Remanesc!A111="",NOT(ISNUMBER(parametros!$F$3))),"",ROUND(itens_Remanesc!C111*parametros!$F$3,2))</f>
        <v/>
      </c>
      <c r="F112" s="285">
        <f>IF(itens_Remanesc!A111="","",itens_Remanesc!E111)</f>
        <v/>
      </c>
      <c r="G112" s="284">
        <f>IF(A112="TOTAL",ROUND(SUM($G$3:G111),2),IF(OR(A112="",E112="",F112=""),"",ROUND(E112*F112,2)))</f>
        <v/>
      </c>
      <c r="H112" s="282">
        <f>IF(OR(itens_Remanesc!A111="",NOT(ISNUMBER(parametros!$F$4))),"",ROUND(itens_Remanesc!C111*parametros!$F$4,2))</f>
        <v/>
      </c>
      <c r="I112" s="283">
        <f>IF(itens_Remanesc!A111="","",itens_Remanesc!G111)</f>
        <v/>
      </c>
      <c r="J112" s="282">
        <f>IF(A112="TOTAL",ROUND(SUM($J$3:J111),2),IF(OR(A112="",H112="",I112=""),"",ROUND(H112*I112,2)))</f>
        <v/>
      </c>
      <c r="K112" s="284">
        <f>IF(OR(itens_Remanesc!A111="",NOT(ISNUMBER(parametros!$F$5))),"",ROUND(itens_Remanesc!C111*parametros!$F$5,2))</f>
        <v/>
      </c>
      <c r="L112" s="285">
        <f>IF(itens_Remanesc!A111="","",itens_Remanesc!I111)</f>
        <v/>
      </c>
      <c r="M112" s="284">
        <f>IF(A112="TOTAL",ROUND(SUM($M$3:M111),2),IF(OR(A112="",K112="",L112=""),"",ROUND(K112*L112,2)))</f>
        <v/>
      </c>
      <c r="N112" s="282">
        <f>IF(OR(itens_Remanesc!A111="",NOT(ISNUMBER(parametros!$F$6))),"",ROUND(itens_Remanesc!C111*parametros!$F$6,2))</f>
        <v/>
      </c>
      <c r="O112" s="283">
        <f>IF(itens_Remanesc!A111="","",itens_Remanesc!K111)</f>
        <v/>
      </c>
      <c r="P112" s="282">
        <f>IF(A112="TOTAL",ROUND(SUM($P$3:P111),2),IF(OR(A112="",N112="",O112=""),"",ROUND(N112*O112,2)))</f>
        <v/>
      </c>
    </row>
    <row r="113">
      <c r="A113" s="281">
        <f>IF(AND(itens_Remanesc!A112="",itens_Remanesc!A111&lt;&gt;"",COUNTIF(itens_Remanesc!A113:$A$200,"&lt;&gt;")=0),"TOTAL",IF(itens_Remanesc!A112="","",itens_Remanesc!A112))</f>
        <v/>
      </c>
      <c r="B113" s="282">
        <f>IF(OR(itens_Remanesc!A112="",NOT(ISNUMBER(parametros!$F$2))),"",ROUND(itens_Remanesc!C112*parametros!$F$2,2))</f>
        <v/>
      </c>
      <c r="C113" s="283">
        <f>IF(itens_Remanesc!A112="","",itens_Remanesc!B112)</f>
        <v/>
      </c>
      <c r="D113" s="282">
        <f>IF(A113="TOTAL",ROUND(SUM($D$3:D112),2),IF(A113="","",ROUND(B113*C113,2)))</f>
        <v/>
      </c>
      <c r="E113" s="284">
        <f>IF(OR(itens_Remanesc!A112="",NOT(ISNUMBER(parametros!$F$3))),"",ROUND(itens_Remanesc!C112*parametros!$F$3,2))</f>
        <v/>
      </c>
      <c r="F113" s="285">
        <f>IF(itens_Remanesc!A112="","",itens_Remanesc!E112)</f>
        <v/>
      </c>
      <c r="G113" s="284">
        <f>IF(A113="TOTAL",ROUND(SUM($G$3:G112),2),IF(OR(A113="",E113="",F113=""),"",ROUND(E113*F113,2)))</f>
        <v/>
      </c>
      <c r="H113" s="282">
        <f>IF(OR(itens_Remanesc!A112="",NOT(ISNUMBER(parametros!$F$4))),"",ROUND(itens_Remanesc!C112*parametros!$F$4,2))</f>
        <v/>
      </c>
      <c r="I113" s="283">
        <f>IF(itens_Remanesc!A112="","",itens_Remanesc!G112)</f>
        <v/>
      </c>
      <c r="J113" s="282">
        <f>IF(A113="TOTAL",ROUND(SUM($J$3:J112),2),IF(OR(A113="",H113="",I113=""),"",ROUND(H113*I113,2)))</f>
        <v/>
      </c>
      <c r="K113" s="284">
        <f>IF(OR(itens_Remanesc!A112="",NOT(ISNUMBER(parametros!$F$5))),"",ROUND(itens_Remanesc!C112*parametros!$F$5,2))</f>
        <v/>
      </c>
      <c r="L113" s="285">
        <f>IF(itens_Remanesc!A112="","",itens_Remanesc!I112)</f>
        <v/>
      </c>
      <c r="M113" s="284">
        <f>IF(A113="TOTAL",ROUND(SUM($M$3:M112),2),IF(OR(A113="",K113="",L113=""),"",ROUND(K113*L113,2)))</f>
        <v/>
      </c>
      <c r="N113" s="282">
        <f>IF(OR(itens_Remanesc!A112="",NOT(ISNUMBER(parametros!$F$6))),"",ROUND(itens_Remanesc!C112*parametros!$F$6,2))</f>
        <v/>
      </c>
      <c r="O113" s="283">
        <f>IF(itens_Remanesc!A112="","",itens_Remanesc!K112)</f>
        <v/>
      </c>
      <c r="P113" s="282">
        <f>IF(A113="TOTAL",ROUND(SUM($P$3:P112),2),IF(OR(A113="",N113="",O113=""),"",ROUND(N113*O113,2)))</f>
        <v/>
      </c>
    </row>
    <row r="114">
      <c r="A114" s="281">
        <f>IF(AND(itens_Remanesc!A113="",itens_Remanesc!A112&lt;&gt;"",COUNTIF(itens_Remanesc!A114:$A$200,"&lt;&gt;")=0),"TOTAL",IF(itens_Remanesc!A113="","",itens_Remanesc!A113))</f>
        <v/>
      </c>
      <c r="B114" s="282">
        <f>IF(OR(itens_Remanesc!A113="",NOT(ISNUMBER(parametros!$F$2))),"",ROUND(itens_Remanesc!C113*parametros!$F$2,2))</f>
        <v/>
      </c>
      <c r="C114" s="283">
        <f>IF(itens_Remanesc!A113="","",itens_Remanesc!B113)</f>
        <v/>
      </c>
      <c r="D114" s="282">
        <f>IF(A114="TOTAL",ROUND(SUM($D$3:D113),2),IF(A114="","",ROUND(B114*C114,2)))</f>
        <v/>
      </c>
      <c r="E114" s="284">
        <f>IF(OR(itens_Remanesc!A113="",NOT(ISNUMBER(parametros!$F$3))),"",ROUND(itens_Remanesc!C113*parametros!$F$3,2))</f>
        <v/>
      </c>
      <c r="F114" s="285">
        <f>IF(itens_Remanesc!A113="","",itens_Remanesc!E113)</f>
        <v/>
      </c>
      <c r="G114" s="284">
        <f>IF(A114="TOTAL",ROUND(SUM($G$3:G113),2),IF(OR(A114="",E114="",F114=""),"",ROUND(E114*F114,2)))</f>
        <v/>
      </c>
      <c r="H114" s="282">
        <f>IF(OR(itens_Remanesc!A113="",NOT(ISNUMBER(parametros!$F$4))),"",ROUND(itens_Remanesc!C113*parametros!$F$4,2))</f>
        <v/>
      </c>
      <c r="I114" s="283">
        <f>IF(itens_Remanesc!A113="","",itens_Remanesc!G113)</f>
        <v/>
      </c>
      <c r="J114" s="282">
        <f>IF(A114="TOTAL",ROUND(SUM($J$3:J113),2),IF(OR(A114="",H114="",I114=""),"",ROUND(H114*I114,2)))</f>
        <v/>
      </c>
      <c r="K114" s="284">
        <f>IF(OR(itens_Remanesc!A113="",NOT(ISNUMBER(parametros!$F$5))),"",ROUND(itens_Remanesc!C113*parametros!$F$5,2))</f>
        <v/>
      </c>
      <c r="L114" s="285">
        <f>IF(itens_Remanesc!A113="","",itens_Remanesc!I113)</f>
        <v/>
      </c>
      <c r="M114" s="284">
        <f>IF(A114="TOTAL",ROUND(SUM($M$3:M113),2),IF(OR(A114="",K114="",L114=""),"",ROUND(K114*L114,2)))</f>
        <v/>
      </c>
      <c r="N114" s="282">
        <f>IF(OR(itens_Remanesc!A113="",NOT(ISNUMBER(parametros!$F$6))),"",ROUND(itens_Remanesc!C113*parametros!$F$6,2))</f>
        <v/>
      </c>
      <c r="O114" s="283">
        <f>IF(itens_Remanesc!A113="","",itens_Remanesc!K113)</f>
        <v/>
      </c>
      <c r="P114" s="282">
        <f>IF(A114="TOTAL",ROUND(SUM($P$3:P113),2),IF(OR(A114="",N114="",O114=""),"",ROUND(N114*O114,2)))</f>
        <v/>
      </c>
    </row>
    <row r="115">
      <c r="A115" s="281">
        <f>IF(AND(itens_Remanesc!A114="",itens_Remanesc!A113&lt;&gt;"",COUNTIF(itens_Remanesc!A115:$A$200,"&lt;&gt;")=0),"TOTAL",IF(itens_Remanesc!A114="","",itens_Remanesc!A114))</f>
        <v/>
      </c>
      <c r="B115" s="282">
        <f>IF(OR(itens_Remanesc!A114="",NOT(ISNUMBER(parametros!$F$2))),"",ROUND(itens_Remanesc!C114*parametros!$F$2,2))</f>
        <v/>
      </c>
      <c r="C115" s="283">
        <f>IF(itens_Remanesc!A114="","",itens_Remanesc!B114)</f>
        <v/>
      </c>
      <c r="D115" s="282">
        <f>IF(A115="TOTAL",ROUND(SUM($D$3:D114),2),IF(A115="","",ROUND(B115*C115,2)))</f>
        <v/>
      </c>
      <c r="E115" s="284">
        <f>IF(OR(itens_Remanesc!A114="",NOT(ISNUMBER(parametros!$F$3))),"",ROUND(itens_Remanesc!C114*parametros!$F$3,2))</f>
        <v/>
      </c>
      <c r="F115" s="285">
        <f>IF(itens_Remanesc!A114="","",itens_Remanesc!E114)</f>
        <v/>
      </c>
      <c r="G115" s="284">
        <f>IF(A115="TOTAL",ROUND(SUM($G$3:G114),2),IF(OR(A115="",E115="",F115=""),"",ROUND(E115*F115,2)))</f>
        <v/>
      </c>
      <c r="H115" s="282">
        <f>IF(OR(itens_Remanesc!A114="",NOT(ISNUMBER(parametros!$F$4))),"",ROUND(itens_Remanesc!C114*parametros!$F$4,2))</f>
        <v/>
      </c>
      <c r="I115" s="283">
        <f>IF(itens_Remanesc!A114="","",itens_Remanesc!G114)</f>
        <v/>
      </c>
      <c r="J115" s="282">
        <f>IF(A115="TOTAL",ROUND(SUM($J$3:J114),2),IF(OR(A115="",H115="",I115=""),"",ROUND(H115*I115,2)))</f>
        <v/>
      </c>
      <c r="K115" s="284">
        <f>IF(OR(itens_Remanesc!A114="",NOT(ISNUMBER(parametros!$F$5))),"",ROUND(itens_Remanesc!C114*parametros!$F$5,2))</f>
        <v/>
      </c>
      <c r="L115" s="285">
        <f>IF(itens_Remanesc!A114="","",itens_Remanesc!I114)</f>
        <v/>
      </c>
      <c r="M115" s="284">
        <f>IF(A115="TOTAL",ROUND(SUM($M$3:M114),2),IF(OR(A115="",K115="",L115=""),"",ROUND(K115*L115,2)))</f>
        <v/>
      </c>
      <c r="N115" s="282">
        <f>IF(OR(itens_Remanesc!A114="",NOT(ISNUMBER(parametros!$F$6))),"",ROUND(itens_Remanesc!C114*parametros!$F$6,2))</f>
        <v/>
      </c>
      <c r="O115" s="283">
        <f>IF(itens_Remanesc!A114="","",itens_Remanesc!K114)</f>
        <v/>
      </c>
      <c r="P115" s="282">
        <f>IF(A115="TOTAL",ROUND(SUM($P$3:P114),2),IF(OR(A115="",N115="",O115=""),"",ROUND(N115*O115,2)))</f>
        <v/>
      </c>
    </row>
    <row r="116">
      <c r="A116" s="281">
        <f>IF(AND(itens_Remanesc!A115="",itens_Remanesc!A114&lt;&gt;"",COUNTIF(itens_Remanesc!A116:$A$200,"&lt;&gt;")=0),"TOTAL",IF(itens_Remanesc!A115="","",itens_Remanesc!A115))</f>
        <v/>
      </c>
      <c r="B116" s="282">
        <f>IF(OR(itens_Remanesc!A115="",NOT(ISNUMBER(parametros!$F$2))),"",ROUND(itens_Remanesc!C115*parametros!$F$2,2))</f>
        <v/>
      </c>
      <c r="C116" s="283">
        <f>IF(itens_Remanesc!A115="","",itens_Remanesc!B115)</f>
        <v/>
      </c>
      <c r="D116" s="282">
        <f>IF(A116="TOTAL",ROUND(SUM($D$3:D115),2),IF(A116="","",ROUND(B116*C116,2)))</f>
        <v/>
      </c>
      <c r="E116" s="284">
        <f>IF(OR(itens_Remanesc!A115="",NOT(ISNUMBER(parametros!$F$3))),"",ROUND(itens_Remanesc!C115*parametros!$F$3,2))</f>
        <v/>
      </c>
      <c r="F116" s="285">
        <f>IF(itens_Remanesc!A115="","",itens_Remanesc!E115)</f>
        <v/>
      </c>
      <c r="G116" s="284">
        <f>IF(A116="TOTAL",ROUND(SUM($G$3:G115),2),IF(OR(A116="",E116="",F116=""),"",ROUND(E116*F116,2)))</f>
        <v/>
      </c>
      <c r="H116" s="282">
        <f>IF(OR(itens_Remanesc!A115="",NOT(ISNUMBER(parametros!$F$4))),"",ROUND(itens_Remanesc!C115*parametros!$F$4,2))</f>
        <v/>
      </c>
      <c r="I116" s="283">
        <f>IF(itens_Remanesc!A115="","",itens_Remanesc!G115)</f>
        <v/>
      </c>
      <c r="J116" s="282">
        <f>IF(A116="TOTAL",ROUND(SUM($J$3:J115),2),IF(OR(A116="",H116="",I116=""),"",ROUND(H116*I116,2)))</f>
        <v/>
      </c>
      <c r="K116" s="284">
        <f>IF(OR(itens_Remanesc!A115="",NOT(ISNUMBER(parametros!$F$5))),"",ROUND(itens_Remanesc!C115*parametros!$F$5,2))</f>
        <v/>
      </c>
      <c r="L116" s="285">
        <f>IF(itens_Remanesc!A115="","",itens_Remanesc!I115)</f>
        <v/>
      </c>
      <c r="M116" s="284">
        <f>IF(A116="TOTAL",ROUND(SUM($M$3:M115),2),IF(OR(A116="",K116="",L116=""),"",ROUND(K116*L116,2)))</f>
        <v/>
      </c>
      <c r="N116" s="282">
        <f>IF(OR(itens_Remanesc!A115="",NOT(ISNUMBER(parametros!$F$6))),"",ROUND(itens_Remanesc!C115*parametros!$F$6,2))</f>
        <v/>
      </c>
      <c r="O116" s="283">
        <f>IF(itens_Remanesc!A115="","",itens_Remanesc!K115)</f>
        <v/>
      </c>
      <c r="P116" s="282">
        <f>IF(A116="TOTAL",ROUND(SUM($P$3:P115),2),IF(OR(A116="",N116="",O116=""),"",ROUND(N116*O116,2)))</f>
        <v/>
      </c>
    </row>
    <row r="117">
      <c r="A117" s="281">
        <f>IF(AND(itens_Remanesc!A116="",itens_Remanesc!A115&lt;&gt;"",COUNTIF(itens_Remanesc!A117:$A$200,"&lt;&gt;")=0),"TOTAL",IF(itens_Remanesc!A116="","",itens_Remanesc!A116))</f>
        <v/>
      </c>
      <c r="B117" s="282">
        <f>IF(OR(itens_Remanesc!A116="",NOT(ISNUMBER(parametros!$F$2))),"",ROUND(itens_Remanesc!C116*parametros!$F$2,2))</f>
        <v/>
      </c>
      <c r="C117" s="283">
        <f>IF(itens_Remanesc!A116="","",itens_Remanesc!B116)</f>
        <v/>
      </c>
      <c r="D117" s="282">
        <f>IF(A117="TOTAL",ROUND(SUM($D$3:D116),2),IF(A117="","",ROUND(B117*C117,2)))</f>
        <v/>
      </c>
      <c r="E117" s="284">
        <f>IF(OR(itens_Remanesc!A116="",NOT(ISNUMBER(parametros!$F$3))),"",ROUND(itens_Remanesc!C116*parametros!$F$3,2))</f>
        <v/>
      </c>
      <c r="F117" s="285">
        <f>IF(itens_Remanesc!A116="","",itens_Remanesc!E116)</f>
        <v/>
      </c>
      <c r="G117" s="284">
        <f>IF(A117="TOTAL",ROUND(SUM($G$3:G116),2),IF(OR(A117="",E117="",F117=""),"",ROUND(E117*F117,2)))</f>
        <v/>
      </c>
      <c r="H117" s="282">
        <f>IF(OR(itens_Remanesc!A116="",NOT(ISNUMBER(parametros!$F$4))),"",ROUND(itens_Remanesc!C116*parametros!$F$4,2))</f>
        <v/>
      </c>
      <c r="I117" s="283">
        <f>IF(itens_Remanesc!A116="","",itens_Remanesc!G116)</f>
        <v/>
      </c>
      <c r="J117" s="282">
        <f>IF(A117="TOTAL",ROUND(SUM($J$3:J116),2),IF(OR(A117="",H117="",I117=""),"",ROUND(H117*I117,2)))</f>
        <v/>
      </c>
      <c r="K117" s="284">
        <f>IF(OR(itens_Remanesc!A116="",NOT(ISNUMBER(parametros!$F$5))),"",ROUND(itens_Remanesc!C116*parametros!$F$5,2))</f>
        <v/>
      </c>
      <c r="L117" s="285">
        <f>IF(itens_Remanesc!A116="","",itens_Remanesc!I116)</f>
        <v/>
      </c>
      <c r="M117" s="284">
        <f>IF(A117="TOTAL",ROUND(SUM($M$3:M116),2),IF(OR(A117="",K117="",L117=""),"",ROUND(K117*L117,2)))</f>
        <v/>
      </c>
      <c r="N117" s="282">
        <f>IF(OR(itens_Remanesc!A116="",NOT(ISNUMBER(parametros!$F$6))),"",ROUND(itens_Remanesc!C116*parametros!$F$6,2))</f>
        <v/>
      </c>
      <c r="O117" s="283">
        <f>IF(itens_Remanesc!A116="","",itens_Remanesc!K116)</f>
        <v/>
      </c>
      <c r="P117" s="282">
        <f>IF(A117="TOTAL",ROUND(SUM($P$3:P116),2),IF(OR(A117="",N117="",O117=""),"",ROUND(N117*O117,2)))</f>
        <v/>
      </c>
    </row>
    <row r="118">
      <c r="A118" s="281">
        <f>IF(AND(itens_Remanesc!A117="",itens_Remanesc!A116&lt;&gt;"",COUNTIF(itens_Remanesc!A118:$A$200,"&lt;&gt;")=0),"TOTAL",IF(itens_Remanesc!A117="","",itens_Remanesc!A117))</f>
        <v/>
      </c>
      <c r="B118" s="282">
        <f>IF(OR(itens_Remanesc!A117="",NOT(ISNUMBER(parametros!$F$2))),"",ROUND(itens_Remanesc!C117*parametros!$F$2,2))</f>
        <v/>
      </c>
      <c r="C118" s="283">
        <f>IF(itens_Remanesc!A117="","",itens_Remanesc!B117)</f>
        <v/>
      </c>
      <c r="D118" s="282">
        <f>IF(A118="TOTAL",ROUND(SUM($D$3:D117),2),IF(A118="","",ROUND(B118*C118,2)))</f>
        <v/>
      </c>
      <c r="E118" s="284">
        <f>IF(OR(itens_Remanesc!A117="",NOT(ISNUMBER(parametros!$F$3))),"",ROUND(itens_Remanesc!C117*parametros!$F$3,2))</f>
        <v/>
      </c>
      <c r="F118" s="285">
        <f>IF(itens_Remanesc!A117="","",itens_Remanesc!E117)</f>
        <v/>
      </c>
      <c r="G118" s="284">
        <f>IF(A118="TOTAL",ROUND(SUM($G$3:G117),2),IF(OR(A118="",E118="",F118=""),"",ROUND(E118*F118,2)))</f>
        <v/>
      </c>
      <c r="H118" s="282">
        <f>IF(OR(itens_Remanesc!A117="",NOT(ISNUMBER(parametros!$F$4))),"",ROUND(itens_Remanesc!C117*parametros!$F$4,2))</f>
        <v/>
      </c>
      <c r="I118" s="283">
        <f>IF(itens_Remanesc!A117="","",itens_Remanesc!G117)</f>
        <v/>
      </c>
      <c r="J118" s="282">
        <f>IF(A118="TOTAL",ROUND(SUM($J$3:J117),2),IF(OR(A118="",H118="",I118=""),"",ROUND(H118*I118,2)))</f>
        <v/>
      </c>
      <c r="K118" s="284">
        <f>IF(OR(itens_Remanesc!A117="",NOT(ISNUMBER(parametros!$F$5))),"",ROUND(itens_Remanesc!C117*parametros!$F$5,2))</f>
        <v/>
      </c>
      <c r="L118" s="285">
        <f>IF(itens_Remanesc!A117="","",itens_Remanesc!I117)</f>
        <v/>
      </c>
      <c r="M118" s="284">
        <f>IF(A118="TOTAL",ROUND(SUM($M$3:M117),2),IF(OR(A118="",K118="",L118=""),"",ROUND(K118*L118,2)))</f>
        <v/>
      </c>
      <c r="N118" s="282">
        <f>IF(OR(itens_Remanesc!A117="",NOT(ISNUMBER(parametros!$F$6))),"",ROUND(itens_Remanesc!C117*parametros!$F$6,2))</f>
        <v/>
      </c>
      <c r="O118" s="283">
        <f>IF(itens_Remanesc!A117="","",itens_Remanesc!K117)</f>
        <v/>
      </c>
      <c r="P118" s="282">
        <f>IF(A118="TOTAL",ROUND(SUM($P$3:P117),2),IF(OR(A118="",N118="",O118=""),"",ROUND(N118*O118,2)))</f>
        <v/>
      </c>
    </row>
    <row r="119">
      <c r="A119" s="281">
        <f>IF(AND(itens_Remanesc!A118="",itens_Remanesc!A117&lt;&gt;"",COUNTIF(itens_Remanesc!A119:$A$200,"&lt;&gt;")=0),"TOTAL",IF(itens_Remanesc!A118="","",itens_Remanesc!A118))</f>
        <v/>
      </c>
      <c r="B119" s="282">
        <f>IF(OR(itens_Remanesc!A118="",NOT(ISNUMBER(parametros!$F$2))),"",ROUND(itens_Remanesc!C118*parametros!$F$2,2))</f>
        <v/>
      </c>
      <c r="C119" s="283">
        <f>IF(itens_Remanesc!A118="","",itens_Remanesc!B118)</f>
        <v/>
      </c>
      <c r="D119" s="282">
        <f>IF(A119="TOTAL",ROUND(SUM($D$3:D118),2),IF(A119="","",ROUND(B119*C119,2)))</f>
        <v/>
      </c>
      <c r="E119" s="284">
        <f>IF(OR(itens_Remanesc!A118="",NOT(ISNUMBER(parametros!$F$3))),"",ROUND(itens_Remanesc!C118*parametros!$F$3,2))</f>
        <v/>
      </c>
      <c r="F119" s="285">
        <f>IF(itens_Remanesc!A118="","",itens_Remanesc!E118)</f>
        <v/>
      </c>
      <c r="G119" s="284">
        <f>IF(A119="TOTAL",ROUND(SUM($G$3:G118),2),IF(OR(A119="",E119="",F119=""),"",ROUND(E119*F119,2)))</f>
        <v/>
      </c>
      <c r="H119" s="282">
        <f>IF(OR(itens_Remanesc!A118="",NOT(ISNUMBER(parametros!$F$4))),"",ROUND(itens_Remanesc!C118*parametros!$F$4,2))</f>
        <v/>
      </c>
      <c r="I119" s="283">
        <f>IF(itens_Remanesc!A118="","",itens_Remanesc!G118)</f>
        <v/>
      </c>
      <c r="J119" s="282">
        <f>IF(A119="TOTAL",ROUND(SUM($J$3:J118),2),IF(OR(A119="",H119="",I119=""),"",ROUND(H119*I119,2)))</f>
        <v/>
      </c>
      <c r="K119" s="284">
        <f>IF(OR(itens_Remanesc!A118="",NOT(ISNUMBER(parametros!$F$5))),"",ROUND(itens_Remanesc!C118*parametros!$F$5,2))</f>
        <v/>
      </c>
      <c r="L119" s="285">
        <f>IF(itens_Remanesc!A118="","",itens_Remanesc!I118)</f>
        <v/>
      </c>
      <c r="M119" s="284">
        <f>IF(A119="TOTAL",ROUND(SUM($M$3:M118),2),IF(OR(A119="",K119="",L119=""),"",ROUND(K119*L119,2)))</f>
        <v/>
      </c>
      <c r="N119" s="282">
        <f>IF(OR(itens_Remanesc!A118="",NOT(ISNUMBER(parametros!$F$6))),"",ROUND(itens_Remanesc!C118*parametros!$F$6,2))</f>
        <v/>
      </c>
      <c r="O119" s="283">
        <f>IF(itens_Remanesc!A118="","",itens_Remanesc!K118)</f>
        <v/>
      </c>
      <c r="P119" s="282">
        <f>IF(A119="TOTAL",ROUND(SUM($P$3:P118),2),IF(OR(A119="",N119="",O119=""),"",ROUND(N119*O119,2)))</f>
        <v/>
      </c>
    </row>
    <row r="120">
      <c r="A120" s="281">
        <f>IF(AND(itens_Remanesc!A119="",itens_Remanesc!A118&lt;&gt;"",COUNTIF(itens_Remanesc!A120:$A$200,"&lt;&gt;")=0),"TOTAL",IF(itens_Remanesc!A119="","",itens_Remanesc!A119))</f>
        <v/>
      </c>
      <c r="B120" s="282">
        <f>IF(OR(itens_Remanesc!A119="",NOT(ISNUMBER(parametros!$F$2))),"",ROUND(itens_Remanesc!C119*parametros!$F$2,2))</f>
        <v/>
      </c>
      <c r="C120" s="283">
        <f>IF(itens_Remanesc!A119="","",itens_Remanesc!B119)</f>
        <v/>
      </c>
      <c r="D120" s="282">
        <f>IF(A120="TOTAL",ROUND(SUM($D$3:D119),2),IF(A120="","",ROUND(B120*C120,2)))</f>
        <v/>
      </c>
      <c r="E120" s="284">
        <f>IF(OR(itens_Remanesc!A119="",NOT(ISNUMBER(parametros!$F$3))),"",ROUND(itens_Remanesc!C119*parametros!$F$3,2))</f>
        <v/>
      </c>
      <c r="F120" s="285">
        <f>IF(itens_Remanesc!A119="","",itens_Remanesc!E119)</f>
        <v/>
      </c>
      <c r="G120" s="284">
        <f>IF(A120="TOTAL",ROUND(SUM($G$3:G119),2),IF(OR(A120="",E120="",F120=""),"",ROUND(E120*F120,2)))</f>
        <v/>
      </c>
      <c r="H120" s="282">
        <f>IF(OR(itens_Remanesc!A119="",NOT(ISNUMBER(parametros!$F$4))),"",ROUND(itens_Remanesc!C119*parametros!$F$4,2))</f>
        <v/>
      </c>
      <c r="I120" s="283">
        <f>IF(itens_Remanesc!A119="","",itens_Remanesc!G119)</f>
        <v/>
      </c>
      <c r="J120" s="282">
        <f>IF(A120="TOTAL",ROUND(SUM($J$3:J119),2),IF(OR(A120="",H120="",I120=""),"",ROUND(H120*I120,2)))</f>
        <v/>
      </c>
      <c r="K120" s="284">
        <f>IF(OR(itens_Remanesc!A119="",NOT(ISNUMBER(parametros!$F$5))),"",ROUND(itens_Remanesc!C119*parametros!$F$5,2))</f>
        <v/>
      </c>
      <c r="L120" s="285">
        <f>IF(itens_Remanesc!A119="","",itens_Remanesc!I119)</f>
        <v/>
      </c>
      <c r="M120" s="284">
        <f>IF(A120="TOTAL",ROUND(SUM($M$3:M119),2),IF(OR(A120="",K120="",L120=""),"",ROUND(K120*L120,2)))</f>
        <v/>
      </c>
      <c r="N120" s="282">
        <f>IF(OR(itens_Remanesc!A119="",NOT(ISNUMBER(parametros!$F$6))),"",ROUND(itens_Remanesc!C119*parametros!$F$6,2))</f>
        <v/>
      </c>
      <c r="O120" s="283">
        <f>IF(itens_Remanesc!A119="","",itens_Remanesc!K119)</f>
        <v/>
      </c>
      <c r="P120" s="282">
        <f>IF(A120="TOTAL",ROUND(SUM($P$3:P119),2),IF(OR(A120="",N120="",O120=""),"",ROUND(N120*O120,2)))</f>
        <v/>
      </c>
    </row>
    <row r="121">
      <c r="A121" s="281">
        <f>IF(AND(itens_Remanesc!A120="",itens_Remanesc!A119&lt;&gt;"",COUNTIF(itens_Remanesc!A121:$A$200,"&lt;&gt;")=0),"TOTAL",IF(itens_Remanesc!A120="","",itens_Remanesc!A120))</f>
        <v/>
      </c>
      <c r="B121" s="282">
        <f>IF(OR(itens_Remanesc!A120="",NOT(ISNUMBER(parametros!$F$2))),"",ROUND(itens_Remanesc!C120*parametros!$F$2,2))</f>
        <v/>
      </c>
      <c r="C121" s="283">
        <f>IF(itens_Remanesc!A120="","",itens_Remanesc!B120)</f>
        <v/>
      </c>
      <c r="D121" s="282">
        <f>IF(A121="TOTAL",ROUND(SUM($D$3:D120),2),IF(A121="","",ROUND(B121*C121,2)))</f>
        <v/>
      </c>
      <c r="E121" s="284">
        <f>IF(OR(itens_Remanesc!A120="",NOT(ISNUMBER(parametros!$F$3))),"",ROUND(itens_Remanesc!C120*parametros!$F$3,2))</f>
        <v/>
      </c>
      <c r="F121" s="285">
        <f>IF(itens_Remanesc!A120="","",itens_Remanesc!E120)</f>
        <v/>
      </c>
      <c r="G121" s="284">
        <f>IF(A121="TOTAL",ROUND(SUM($G$3:G120),2),IF(OR(A121="",E121="",F121=""),"",ROUND(E121*F121,2)))</f>
        <v/>
      </c>
      <c r="H121" s="282">
        <f>IF(OR(itens_Remanesc!A120="",NOT(ISNUMBER(parametros!$F$4))),"",ROUND(itens_Remanesc!C120*parametros!$F$4,2))</f>
        <v/>
      </c>
      <c r="I121" s="283">
        <f>IF(itens_Remanesc!A120="","",itens_Remanesc!G120)</f>
        <v/>
      </c>
      <c r="J121" s="282">
        <f>IF(A121="TOTAL",ROUND(SUM($J$3:J120),2),IF(OR(A121="",H121="",I121=""),"",ROUND(H121*I121,2)))</f>
        <v/>
      </c>
      <c r="K121" s="284">
        <f>IF(OR(itens_Remanesc!A120="",NOT(ISNUMBER(parametros!$F$5))),"",ROUND(itens_Remanesc!C120*parametros!$F$5,2))</f>
        <v/>
      </c>
      <c r="L121" s="285">
        <f>IF(itens_Remanesc!A120="","",itens_Remanesc!I120)</f>
        <v/>
      </c>
      <c r="M121" s="284">
        <f>IF(A121="TOTAL",ROUND(SUM($M$3:M120),2),IF(OR(A121="",K121="",L121=""),"",ROUND(K121*L121,2)))</f>
        <v/>
      </c>
      <c r="N121" s="282">
        <f>IF(OR(itens_Remanesc!A120="",NOT(ISNUMBER(parametros!$F$6))),"",ROUND(itens_Remanesc!C120*parametros!$F$6,2))</f>
        <v/>
      </c>
      <c r="O121" s="283">
        <f>IF(itens_Remanesc!A120="","",itens_Remanesc!K120)</f>
        <v/>
      </c>
      <c r="P121" s="282">
        <f>IF(A121="TOTAL",ROUND(SUM($P$3:P120),2),IF(OR(A121="",N121="",O121=""),"",ROUND(N121*O121,2)))</f>
        <v/>
      </c>
    </row>
    <row r="122">
      <c r="A122" s="281">
        <f>IF(AND(itens_Remanesc!A121="",itens_Remanesc!A120&lt;&gt;"",COUNTIF(itens_Remanesc!A122:$A$200,"&lt;&gt;")=0),"TOTAL",IF(itens_Remanesc!A121="","",itens_Remanesc!A121))</f>
        <v/>
      </c>
      <c r="B122" s="282">
        <f>IF(OR(itens_Remanesc!A121="",NOT(ISNUMBER(parametros!$F$2))),"",ROUND(itens_Remanesc!C121*parametros!$F$2,2))</f>
        <v/>
      </c>
      <c r="C122" s="283">
        <f>IF(itens_Remanesc!A121="","",itens_Remanesc!B121)</f>
        <v/>
      </c>
      <c r="D122" s="282">
        <f>IF(A122="TOTAL",ROUND(SUM($D$3:D121),2),IF(A122="","",ROUND(B122*C122,2)))</f>
        <v/>
      </c>
      <c r="E122" s="284">
        <f>IF(OR(itens_Remanesc!A121="",NOT(ISNUMBER(parametros!$F$3))),"",ROUND(itens_Remanesc!C121*parametros!$F$3,2))</f>
        <v/>
      </c>
      <c r="F122" s="285">
        <f>IF(itens_Remanesc!A121="","",itens_Remanesc!E121)</f>
        <v/>
      </c>
      <c r="G122" s="284">
        <f>IF(A122="TOTAL",ROUND(SUM($G$3:G121),2),IF(OR(A122="",E122="",F122=""),"",ROUND(E122*F122,2)))</f>
        <v/>
      </c>
      <c r="H122" s="282">
        <f>IF(OR(itens_Remanesc!A121="",NOT(ISNUMBER(parametros!$F$4))),"",ROUND(itens_Remanesc!C121*parametros!$F$4,2))</f>
        <v/>
      </c>
      <c r="I122" s="283">
        <f>IF(itens_Remanesc!A121="","",itens_Remanesc!G121)</f>
        <v/>
      </c>
      <c r="J122" s="282">
        <f>IF(A122="TOTAL",ROUND(SUM($J$3:J121),2),IF(OR(A122="",H122="",I122=""),"",ROUND(H122*I122,2)))</f>
        <v/>
      </c>
      <c r="K122" s="284">
        <f>IF(OR(itens_Remanesc!A121="",NOT(ISNUMBER(parametros!$F$5))),"",ROUND(itens_Remanesc!C121*parametros!$F$5,2))</f>
        <v/>
      </c>
      <c r="L122" s="285">
        <f>IF(itens_Remanesc!A121="","",itens_Remanesc!I121)</f>
        <v/>
      </c>
      <c r="M122" s="284">
        <f>IF(A122="TOTAL",ROUND(SUM($M$3:M121),2),IF(OR(A122="",K122="",L122=""),"",ROUND(K122*L122,2)))</f>
        <v/>
      </c>
      <c r="N122" s="282">
        <f>IF(OR(itens_Remanesc!A121="",NOT(ISNUMBER(parametros!$F$6))),"",ROUND(itens_Remanesc!C121*parametros!$F$6,2))</f>
        <v/>
      </c>
      <c r="O122" s="283">
        <f>IF(itens_Remanesc!A121="","",itens_Remanesc!K121)</f>
        <v/>
      </c>
      <c r="P122" s="282">
        <f>IF(A122="TOTAL",ROUND(SUM($P$3:P121),2),IF(OR(A122="",N122="",O122=""),"",ROUND(N122*O122,2)))</f>
        <v/>
      </c>
    </row>
    <row r="123">
      <c r="A123" s="281">
        <f>IF(AND(itens_Remanesc!A122="",itens_Remanesc!A121&lt;&gt;"",COUNTIF(itens_Remanesc!A123:$A$200,"&lt;&gt;")=0),"TOTAL",IF(itens_Remanesc!A122="","",itens_Remanesc!A122))</f>
        <v/>
      </c>
      <c r="B123" s="282">
        <f>IF(OR(itens_Remanesc!A122="",NOT(ISNUMBER(parametros!$F$2))),"",ROUND(itens_Remanesc!C122*parametros!$F$2,2))</f>
        <v/>
      </c>
      <c r="C123" s="283">
        <f>IF(itens_Remanesc!A122="","",itens_Remanesc!B122)</f>
        <v/>
      </c>
      <c r="D123" s="282">
        <f>IF(A123="TOTAL",ROUND(SUM($D$3:D122),2),IF(A123="","",ROUND(B123*C123,2)))</f>
        <v/>
      </c>
      <c r="E123" s="284">
        <f>IF(OR(itens_Remanesc!A122="",NOT(ISNUMBER(parametros!$F$3))),"",ROUND(itens_Remanesc!C122*parametros!$F$3,2))</f>
        <v/>
      </c>
      <c r="F123" s="285">
        <f>IF(itens_Remanesc!A122="","",itens_Remanesc!E122)</f>
        <v/>
      </c>
      <c r="G123" s="284">
        <f>IF(A123="TOTAL",ROUND(SUM($G$3:G122),2),IF(OR(A123="",E123="",F123=""),"",ROUND(E123*F123,2)))</f>
        <v/>
      </c>
      <c r="H123" s="282">
        <f>IF(OR(itens_Remanesc!A122="",NOT(ISNUMBER(parametros!$F$4))),"",ROUND(itens_Remanesc!C122*parametros!$F$4,2))</f>
        <v/>
      </c>
      <c r="I123" s="283">
        <f>IF(itens_Remanesc!A122="","",itens_Remanesc!G122)</f>
        <v/>
      </c>
      <c r="J123" s="282">
        <f>IF(A123="TOTAL",ROUND(SUM($J$3:J122),2),IF(OR(A123="",H123="",I123=""),"",ROUND(H123*I123,2)))</f>
        <v/>
      </c>
      <c r="K123" s="284">
        <f>IF(OR(itens_Remanesc!A122="",NOT(ISNUMBER(parametros!$F$5))),"",ROUND(itens_Remanesc!C122*parametros!$F$5,2))</f>
        <v/>
      </c>
      <c r="L123" s="285">
        <f>IF(itens_Remanesc!A122="","",itens_Remanesc!I122)</f>
        <v/>
      </c>
      <c r="M123" s="284">
        <f>IF(A123="TOTAL",ROUND(SUM($M$3:M122),2),IF(OR(A123="",K123="",L123=""),"",ROUND(K123*L123,2)))</f>
        <v/>
      </c>
      <c r="N123" s="282">
        <f>IF(OR(itens_Remanesc!A122="",NOT(ISNUMBER(parametros!$F$6))),"",ROUND(itens_Remanesc!C122*parametros!$F$6,2))</f>
        <v/>
      </c>
      <c r="O123" s="283">
        <f>IF(itens_Remanesc!A122="","",itens_Remanesc!K122)</f>
        <v/>
      </c>
      <c r="P123" s="282">
        <f>IF(A123="TOTAL",ROUND(SUM($P$3:P122),2),IF(OR(A123="",N123="",O123=""),"",ROUND(N123*O123,2)))</f>
        <v/>
      </c>
    </row>
    <row r="124">
      <c r="A124" s="281">
        <f>IF(AND(itens_Remanesc!A123="",itens_Remanesc!A122&lt;&gt;"",COUNTIF(itens_Remanesc!A124:$A$200,"&lt;&gt;")=0),"TOTAL",IF(itens_Remanesc!A123="","",itens_Remanesc!A123))</f>
        <v/>
      </c>
      <c r="B124" s="282">
        <f>IF(OR(itens_Remanesc!A123="",NOT(ISNUMBER(parametros!$F$2))),"",ROUND(itens_Remanesc!C123*parametros!$F$2,2))</f>
        <v/>
      </c>
      <c r="C124" s="283">
        <f>IF(itens_Remanesc!A123="","",itens_Remanesc!B123)</f>
        <v/>
      </c>
      <c r="D124" s="282">
        <f>IF(A124="TOTAL",ROUND(SUM($D$3:D123),2),IF(A124="","",ROUND(B124*C124,2)))</f>
        <v/>
      </c>
      <c r="E124" s="284">
        <f>IF(OR(itens_Remanesc!A123="",NOT(ISNUMBER(parametros!$F$3))),"",ROUND(itens_Remanesc!C123*parametros!$F$3,2))</f>
        <v/>
      </c>
      <c r="F124" s="285">
        <f>IF(itens_Remanesc!A123="","",itens_Remanesc!E123)</f>
        <v/>
      </c>
      <c r="G124" s="284">
        <f>IF(A124="TOTAL",ROUND(SUM($G$3:G123),2),IF(OR(A124="",E124="",F124=""),"",ROUND(E124*F124,2)))</f>
        <v/>
      </c>
      <c r="H124" s="282">
        <f>IF(OR(itens_Remanesc!A123="",NOT(ISNUMBER(parametros!$F$4))),"",ROUND(itens_Remanesc!C123*parametros!$F$4,2))</f>
        <v/>
      </c>
      <c r="I124" s="283">
        <f>IF(itens_Remanesc!A123="","",itens_Remanesc!G123)</f>
        <v/>
      </c>
      <c r="J124" s="282">
        <f>IF(A124="TOTAL",ROUND(SUM($J$3:J123),2),IF(OR(A124="",H124="",I124=""),"",ROUND(H124*I124,2)))</f>
        <v/>
      </c>
      <c r="K124" s="284">
        <f>IF(OR(itens_Remanesc!A123="",NOT(ISNUMBER(parametros!$F$5))),"",ROUND(itens_Remanesc!C123*parametros!$F$5,2))</f>
        <v/>
      </c>
      <c r="L124" s="285">
        <f>IF(itens_Remanesc!A123="","",itens_Remanesc!I123)</f>
        <v/>
      </c>
      <c r="M124" s="284">
        <f>IF(A124="TOTAL",ROUND(SUM($M$3:M123),2),IF(OR(A124="",K124="",L124=""),"",ROUND(K124*L124,2)))</f>
        <v/>
      </c>
      <c r="N124" s="282">
        <f>IF(OR(itens_Remanesc!A123="",NOT(ISNUMBER(parametros!$F$6))),"",ROUND(itens_Remanesc!C123*parametros!$F$6,2))</f>
        <v/>
      </c>
      <c r="O124" s="283">
        <f>IF(itens_Remanesc!A123="","",itens_Remanesc!K123)</f>
        <v/>
      </c>
      <c r="P124" s="282">
        <f>IF(A124="TOTAL",ROUND(SUM($P$3:P123),2),IF(OR(A124="",N124="",O124=""),"",ROUND(N124*O124,2)))</f>
        <v/>
      </c>
    </row>
    <row r="125">
      <c r="A125" s="281">
        <f>IF(AND(itens_Remanesc!A124="",itens_Remanesc!A123&lt;&gt;"",COUNTIF(itens_Remanesc!A125:$A$200,"&lt;&gt;")=0),"TOTAL",IF(itens_Remanesc!A124="","",itens_Remanesc!A124))</f>
        <v/>
      </c>
      <c r="B125" s="282">
        <f>IF(OR(itens_Remanesc!A124="",NOT(ISNUMBER(parametros!$F$2))),"",ROUND(itens_Remanesc!C124*parametros!$F$2,2))</f>
        <v/>
      </c>
      <c r="C125" s="283">
        <f>IF(itens_Remanesc!A124="","",itens_Remanesc!B124)</f>
        <v/>
      </c>
      <c r="D125" s="282">
        <f>IF(A125="TOTAL",ROUND(SUM($D$3:D124),2),IF(A125="","",ROUND(B125*C125,2)))</f>
        <v/>
      </c>
      <c r="E125" s="284">
        <f>IF(OR(itens_Remanesc!A124="",NOT(ISNUMBER(parametros!$F$3))),"",ROUND(itens_Remanesc!C124*parametros!$F$3,2))</f>
        <v/>
      </c>
      <c r="F125" s="285">
        <f>IF(itens_Remanesc!A124="","",itens_Remanesc!E124)</f>
        <v/>
      </c>
      <c r="G125" s="284">
        <f>IF(A125="TOTAL",ROUND(SUM($G$3:G124),2),IF(OR(A125="",E125="",F125=""),"",ROUND(E125*F125,2)))</f>
        <v/>
      </c>
      <c r="H125" s="282">
        <f>IF(OR(itens_Remanesc!A124="",NOT(ISNUMBER(parametros!$F$4))),"",ROUND(itens_Remanesc!C124*parametros!$F$4,2))</f>
        <v/>
      </c>
      <c r="I125" s="283">
        <f>IF(itens_Remanesc!A124="","",itens_Remanesc!G124)</f>
        <v/>
      </c>
      <c r="J125" s="282">
        <f>IF(A125="TOTAL",ROUND(SUM($J$3:J124),2),IF(OR(A125="",H125="",I125=""),"",ROUND(H125*I125,2)))</f>
        <v/>
      </c>
      <c r="K125" s="284">
        <f>IF(OR(itens_Remanesc!A124="",NOT(ISNUMBER(parametros!$F$5))),"",ROUND(itens_Remanesc!C124*parametros!$F$5,2))</f>
        <v/>
      </c>
      <c r="L125" s="285">
        <f>IF(itens_Remanesc!A124="","",itens_Remanesc!I124)</f>
        <v/>
      </c>
      <c r="M125" s="284">
        <f>IF(A125="TOTAL",ROUND(SUM($M$3:M124),2),IF(OR(A125="",K125="",L125=""),"",ROUND(K125*L125,2)))</f>
        <v/>
      </c>
      <c r="N125" s="282">
        <f>IF(OR(itens_Remanesc!A124="",NOT(ISNUMBER(parametros!$F$6))),"",ROUND(itens_Remanesc!C124*parametros!$F$6,2))</f>
        <v/>
      </c>
      <c r="O125" s="283">
        <f>IF(itens_Remanesc!A124="","",itens_Remanesc!K124)</f>
        <v/>
      </c>
      <c r="P125" s="282">
        <f>IF(A125="TOTAL",ROUND(SUM($P$3:P124),2),IF(OR(A125="",N125="",O125=""),"",ROUND(N125*O125,2)))</f>
        <v/>
      </c>
    </row>
    <row r="126">
      <c r="A126" s="281">
        <f>IF(AND(itens_Remanesc!A125="",itens_Remanesc!A124&lt;&gt;"",COUNTIF(itens_Remanesc!A126:$A$200,"&lt;&gt;")=0),"TOTAL",IF(itens_Remanesc!A125="","",itens_Remanesc!A125))</f>
        <v/>
      </c>
      <c r="B126" s="282">
        <f>IF(OR(itens_Remanesc!A125="",NOT(ISNUMBER(parametros!$F$2))),"",ROUND(itens_Remanesc!C125*parametros!$F$2,2))</f>
        <v/>
      </c>
      <c r="C126" s="283">
        <f>IF(itens_Remanesc!A125="","",itens_Remanesc!B125)</f>
        <v/>
      </c>
      <c r="D126" s="282">
        <f>IF(A126="TOTAL",ROUND(SUM($D$3:D125),2),IF(A126="","",ROUND(B126*C126,2)))</f>
        <v/>
      </c>
      <c r="E126" s="284">
        <f>IF(OR(itens_Remanesc!A125="",NOT(ISNUMBER(parametros!$F$3))),"",ROUND(itens_Remanesc!C125*parametros!$F$3,2))</f>
        <v/>
      </c>
      <c r="F126" s="285">
        <f>IF(itens_Remanesc!A125="","",itens_Remanesc!E125)</f>
        <v/>
      </c>
      <c r="G126" s="284">
        <f>IF(A126="TOTAL",ROUND(SUM($G$3:G125),2),IF(OR(A126="",E126="",F126=""),"",ROUND(E126*F126,2)))</f>
        <v/>
      </c>
      <c r="H126" s="282">
        <f>IF(OR(itens_Remanesc!A125="",NOT(ISNUMBER(parametros!$F$4))),"",ROUND(itens_Remanesc!C125*parametros!$F$4,2))</f>
        <v/>
      </c>
      <c r="I126" s="283">
        <f>IF(itens_Remanesc!A125="","",itens_Remanesc!G125)</f>
        <v/>
      </c>
      <c r="J126" s="282">
        <f>IF(A126="TOTAL",ROUND(SUM($J$3:J125),2),IF(OR(A126="",H126="",I126=""),"",ROUND(H126*I126,2)))</f>
        <v/>
      </c>
      <c r="K126" s="284">
        <f>IF(OR(itens_Remanesc!A125="",NOT(ISNUMBER(parametros!$F$5))),"",ROUND(itens_Remanesc!C125*parametros!$F$5,2))</f>
        <v/>
      </c>
      <c r="L126" s="285">
        <f>IF(itens_Remanesc!A125="","",itens_Remanesc!I125)</f>
        <v/>
      </c>
      <c r="M126" s="284">
        <f>IF(A126="TOTAL",ROUND(SUM($M$3:M125),2),IF(OR(A126="",K126="",L126=""),"",ROUND(K126*L126,2)))</f>
        <v/>
      </c>
      <c r="N126" s="282">
        <f>IF(OR(itens_Remanesc!A125="",NOT(ISNUMBER(parametros!$F$6))),"",ROUND(itens_Remanesc!C125*parametros!$F$6,2))</f>
        <v/>
      </c>
      <c r="O126" s="283">
        <f>IF(itens_Remanesc!A125="","",itens_Remanesc!K125)</f>
        <v/>
      </c>
      <c r="P126" s="282">
        <f>IF(A126="TOTAL",ROUND(SUM($P$3:P125),2),IF(OR(A126="",N126="",O126=""),"",ROUND(N126*O126,2)))</f>
        <v/>
      </c>
    </row>
    <row r="127">
      <c r="A127" s="281">
        <f>IF(AND(itens_Remanesc!A126="",itens_Remanesc!A125&lt;&gt;"",COUNTIF(itens_Remanesc!A127:$A$200,"&lt;&gt;")=0),"TOTAL",IF(itens_Remanesc!A126="","",itens_Remanesc!A126))</f>
        <v/>
      </c>
      <c r="B127" s="282">
        <f>IF(OR(itens_Remanesc!A126="",NOT(ISNUMBER(parametros!$F$2))),"",ROUND(itens_Remanesc!C126*parametros!$F$2,2))</f>
        <v/>
      </c>
      <c r="C127" s="283">
        <f>IF(itens_Remanesc!A126="","",itens_Remanesc!B126)</f>
        <v/>
      </c>
      <c r="D127" s="282">
        <f>IF(A127="TOTAL",ROUND(SUM($D$3:D126),2),IF(A127="","",ROUND(B127*C127,2)))</f>
        <v/>
      </c>
      <c r="E127" s="284">
        <f>IF(OR(itens_Remanesc!A126="",NOT(ISNUMBER(parametros!$F$3))),"",ROUND(itens_Remanesc!C126*parametros!$F$3,2))</f>
        <v/>
      </c>
      <c r="F127" s="285">
        <f>IF(itens_Remanesc!A126="","",itens_Remanesc!E126)</f>
        <v/>
      </c>
      <c r="G127" s="284">
        <f>IF(A127="TOTAL",ROUND(SUM($G$3:G126),2),IF(OR(A127="",E127="",F127=""),"",ROUND(E127*F127,2)))</f>
        <v/>
      </c>
      <c r="H127" s="282">
        <f>IF(OR(itens_Remanesc!A126="",NOT(ISNUMBER(parametros!$F$4))),"",ROUND(itens_Remanesc!C126*parametros!$F$4,2))</f>
        <v/>
      </c>
      <c r="I127" s="283">
        <f>IF(itens_Remanesc!A126="","",itens_Remanesc!G126)</f>
        <v/>
      </c>
      <c r="J127" s="282">
        <f>IF(A127="TOTAL",ROUND(SUM($J$3:J126),2),IF(OR(A127="",H127="",I127=""),"",ROUND(H127*I127,2)))</f>
        <v/>
      </c>
      <c r="K127" s="284">
        <f>IF(OR(itens_Remanesc!A126="",NOT(ISNUMBER(parametros!$F$5))),"",ROUND(itens_Remanesc!C126*parametros!$F$5,2))</f>
        <v/>
      </c>
      <c r="L127" s="285">
        <f>IF(itens_Remanesc!A126="","",itens_Remanesc!I126)</f>
        <v/>
      </c>
      <c r="M127" s="284">
        <f>IF(A127="TOTAL",ROUND(SUM($M$3:M126),2),IF(OR(A127="",K127="",L127=""),"",ROUND(K127*L127,2)))</f>
        <v/>
      </c>
      <c r="N127" s="282">
        <f>IF(OR(itens_Remanesc!A126="",NOT(ISNUMBER(parametros!$F$6))),"",ROUND(itens_Remanesc!C126*parametros!$F$6,2))</f>
        <v/>
      </c>
      <c r="O127" s="283">
        <f>IF(itens_Remanesc!A126="","",itens_Remanesc!K126)</f>
        <v/>
      </c>
      <c r="P127" s="282">
        <f>IF(A127="TOTAL",ROUND(SUM($P$3:P126),2),IF(OR(A127="",N127="",O127=""),"",ROUND(N127*O127,2)))</f>
        <v/>
      </c>
    </row>
    <row r="128">
      <c r="A128" s="281">
        <f>IF(AND(itens_Remanesc!A127="",itens_Remanesc!A126&lt;&gt;"",COUNTIF(itens_Remanesc!A128:$A$200,"&lt;&gt;")=0),"TOTAL",IF(itens_Remanesc!A127="","",itens_Remanesc!A127))</f>
        <v/>
      </c>
      <c r="B128" s="282">
        <f>IF(OR(itens_Remanesc!A127="",NOT(ISNUMBER(parametros!$F$2))),"",ROUND(itens_Remanesc!C127*parametros!$F$2,2))</f>
        <v/>
      </c>
      <c r="C128" s="283">
        <f>IF(itens_Remanesc!A127="","",itens_Remanesc!B127)</f>
        <v/>
      </c>
      <c r="D128" s="282">
        <f>IF(A128="TOTAL",ROUND(SUM($D$3:D127),2),IF(A128="","",ROUND(B128*C128,2)))</f>
        <v/>
      </c>
      <c r="E128" s="284">
        <f>IF(OR(itens_Remanesc!A127="",NOT(ISNUMBER(parametros!$F$3))),"",ROUND(itens_Remanesc!C127*parametros!$F$3,2))</f>
        <v/>
      </c>
      <c r="F128" s="285">
        <f>IF(itens_Remanesc!A127="","",itens_Remanesc!E127)</f>
        <v/>
      </c>
      <c r="G128" s="284">
        <f>IF(A128="TOTAL",ROUND(SUM($G$3:G127),2),IF(OR(A128="",E128="",F128=""),"",ROUND(E128*F128,2)))</f>
        <v/>
      </c>
      <c r="H128" s="282">
        <f>IF(OR(itens_Remanesc!A127="",NOT(ISNUMBER(parametros!$F$4))),"",ROUND(itens_Remanesc!C127*parametros!$F$4,2))</f>
        <v/>
      </c>
      <c r="I128" s="283">
        <f>IF(itens_Remanesc!A127="","",itens_Remanesc!G127)</f>
        <v/>
      </c>
      <c r="J128" s="282">
        <f>IF(A128="TOTAL",ROUND(SUM($J$3:J127),2),IF(OR(A128="",H128="",I128=""),"",ROUND(H128*I128,2)))</f>
        <v/>
      </c>
      <c r="K128" s="284">
        <f>IF(OR(itens_Remanesc!A127="",NOT(ISNUMBER(parametros!$F$5))),"",ROUND(itens_Remanesc!C127*parametros!$F$5,2))</f>
        <v/>
      </c>
      <c r="L128" s="285">
        <f>IF(itens_Remanesc!A127="","",itens_Remanesc!I127)</f>
        <v/>
      </c>
      <c r="M128" s="284">
        <f>IF(A128="TOTAL",ROUND(SUM($M$3:M127),2),IF(OR(A128="",K128="",L128=""),"",ROUND(K128*L128,2)))</f>
        <v/>
      </c>
      <c r="N128" s="282">
        <f>IF(OR(itens_Remanesc!A127="",NOT(ISNUMBER(parametros!$F$6))),"",ROUND(itens_Remanesc!C127*parametros!$F$6,2))</f>
        <v/>
      </c>
      <c r="O128" s="283">
        <f>IF(itens_Remanesc!A127="","",itens_Remanesc!K127)</f>
        <v/>
      </c>
      <c r="P128" s="282">
        <f>IF(A128="TOTAL",ROUND(SUM($P$3:P127),2),IF(OR(A128="",N128="",O128=""),"",ROUND(N128*O128,2)))</f>
        <v/>
      </c>
    </row>
    <row r="129">
      <c r="A129" s="281">
        <f>IF(AND(itens_Remanesc!A128="",itens_Remanesc!A127&lt;&gt;"",COUNTIF(itens_Remanesc!A129:$A$200,"&lt;&gt;")=0),"TOTAL",IF(itens_Remanesc!A128="","",itens_Remanesc!A128))</f>
        <v/>
      </c>
      <c r="B129" s="282">
        <f>IF(OR(itens_Remanesc!A128="",NOT(ISNUMBER(parametros!$F$2))),"",ROUND(itens_Remanesc!C128*parametros!$F$2,2))</f>
        <v/>
      </c>
      <c r="C129" s="283">
        <f>IF(itens_Remanesc!A128="","",itens_Remanesc!B128)</f>
        <v/>
      </c>
      <c r="D129" s="282">
        <f>IF(A129="TOTAL",ROUND(SUM($D$3:D128),2),IF(A129="","",ROUND(B129*C129,2)))</f>
        <v/>
      </c>
      <c r="E129" s="284">
        <f>IF(OR(itens_Remanesc!A128="",NOT(ISNUMBER(parametros!$F$3))),"",ROUND(itens_Remanesc!C128*parametros!$F$3,2))</f>
        <v/>
      </c>
      <c r="F129" s="285">
        <f>IF(itens_Remanesc!A128="","",itens_Remanesc!E128)</f>
        <v/>
      </c>
      <c r="G129" s="284">
        <f>IF(A129="TOTAL",ROUND(SUM($G$3:G128),2),IF(OR(A129="",E129="",F129=""),"",ROUND(E129*F129,2)))</f>
        <v/>
      </c>
      <c r="H129" s="282">
        <f>IF(OR(itens_Remanesc!A128="",NOT(ISNUMBER(parametros!$F$4))),"",ROUND(itens_Remanesc!C128*parametros!$F$4,2))</f>
        <v/>
      </c>
      <c r="I129" s="283">
        <f>IF(itens_Remanesc!A128="","",itens_Remanesc!G128)</f>
        <v/>
      </c>
      <c r="J129" s="282">
        <f>IF(A129="TOTAL",ROUND(SUM($J$3:J128),2),IF(OR(A129="",H129="",I129=""),"",ROUND(H129*I129,2)))</f>
        <v/>
      </c>
      <c r="K129" s="284">
        <f>IF(OR(itens_Remanesc!A128="",NOT(ISNUMBER(parametros!$F$5))),"",ROUND(itens_Remanesc!C128*parametros!$F$5,2))</f>
        <v/>
      </c>
      <c r="L129" s="285">
        <f>IF(itens_Remanesc!A128="","",itens_Remanesc!I128)</f>
        <v/>
      </c>
      <c r="M129" s="284">
        <f>IF(A129="TOTAL",ROUND(SUM($M$3:M128),2),IF(OR(A129="",K129="",L129=""),"",ROUND(K129*L129,2)))</f>
        <v/>
      </c>
      <c r="N129" s="282">
        <f>IF(OR(itens_Remanesc!A128="",NOT(ISNUMBER(parametros!$F$6))),"",ROUND(itens_Remanesc!C128*parametros!$F$6,2))</f>
        <v/>
      </c>
      <c r="O129" s="283">
        <f>IF(itens_Remanesc!A128="","",itens_Remanesc!K128)</f>
        <v/>
      </c>
      <c r="P129" s="282">
        <f>IF(A129="TOTAL",ROUND(SUM($P$3:P128),2),IF(OR(A129="",N129="",O129=""),"",ROUND(N129*O129,2)))</f>
        <v/>
      </c>
    </row>
    <row r="130">
      <c r="A130" s="281">
        <f>IF(AND(itens_Remanesc!A129="",itens_Remanesc!A128&lt;&gt;"",COUNTIF(itens_Remanesc!A130:$A$200,"&lt;&gt;")=0),"TOTAL",IF(itens_Remanesc!A129="","",itens_Remanesc!A129))</f>
        <v/>
      </c>
      <c r="B130" s="282">
        <f>IF(OR(itens_Remanesc!A129="",NOT(ISNUMBER(parametros!$F$2))),"",ROUND(itens_Remanesc!C129*parametros!$F$2,2))</f>
        <v/>
      </c>
      <c r="C130" s="283">
        <f>IF(itens_Remanesc!A129="","",itens_Remanesc!B129)</f>
        <v/>
      </c>
      <c r="D130" s="282">
        <f>IF(A130="TOTAL",ROUND(SUM($D$3:D129),2),IF(A130="","",ROUND(B130*C130,2)))</f>
        <v/>
      </c>
      <c r="E130" s="284">
        <f>IF(OR(itens_Remanesc!A129="",NOT(ISNUMBER(parametros!$F$3))),"",ROUND(itens_Remanesc!C129*parametros!$F$3,2))</f>
        <v/>
      </c>
      <c r="F130" s="285">
        <f>IF(itens_Remanesc!A129="","",itens_Remanesc!E129)</f>
        <v/>
      </c>
      <c r="G130" s="284">
        <f>IF(A130="TOTAL",ROUND(SUM($G$3:G129),2),IF(OR(A130="",E130="",F130=""),"",ROUND(E130*F130,2)))</f>
        <v/>
      </c>
      <c r="H130" s="282">
        <f>IF(OR(itens_Remanesc!A129="",NOT(ISNUMBER(parametros!$F$4))),"",ROUND(itens_Remanesc!C129*parametros!$F$4,2))</f>
        <v/>
      </c>
      <c r="I130" s="283">
        <f>IF(itens_Remanesc!A129="","",itens_Remanesc!G129)</f>
        <v/>
      </c>
      <c r="J130" s="282">
        <f>IF(A130="TOTAL",ROUND(SUM($J$3:J129),2),IF(OR(A130="",H130="",I130=""),"",ROUND(H130*I130,2)))</f>
        <v/>
      </c>
      <c r="K130" s="284">
        <f>IF(OR(itens_Remanesc!A129="",NOT(ISNUMBER(parametros!$F$5))),"",ROUND(itens_Remanesc!C129*parametros!$F$5,2))</f>
        <v/>
      </c>
      <c r="L130" s="285">
        <f>IF(itens_Remanesc!A129="","",itens_Remanesc!I129)</f>
        <v/>
      </c>
      <c r="M130" s="284">
        <f>IF(A130="TOTAL",ROUND(SUM($M$3:M129),2),IF(OR(A130="",K130="",L130=""),"",ROUND(K130*L130,2)))</f>
        <v/>
      </c>
      <c r="N130" s="282">
        <f>IF(OR(itens_Remanesc!A129="",NOT(ISNUMBER(parametros!$F$6))),"",ROUND(itens_Remanesc!C129*parametros!$F$6,2))</f>
        <v/>
      </c>
      <c r="O130" s="283">
        <f>IF(itens_Remanesc!A129="","",itens_Remanesc!K129)</f>
        <v/>
      </c>
      <c r="P130" s="282">
        <f>IF(A130="TOTAL",ROUND(SUM($P$3:P129),2),IF(OR(A130="",N130="",O130=""),"",ROUND(N130*O130,2)))</f>
        <v/>
      </c>
    </row>
    <row r="131">
      <c r="A131" s="281">
        <f>IF(AND(itens_Remanesc!A130="",itens_Remanesc!A129&lt;&gt;"",COUNTIF(itens_Remanesc!A131:$A$200,"&lt;&gt;")=0),"TOTAL",IF(itens_Remanesc!A130="","",itens_Remanesc!A130))</f>
        <v/>
      </c>
      <c r="B131" s="282">
        <f>IF(OR(itens_Remanesc!A130="",NOT(ISNUMBER(parametros!$F$2))),"",ROUND(itens_Remanesc!C130*parametros!$F$2,2))</f>
        <v/>
      </c>
      <c r="C131" s="283">
        <f>IF(itens_Remanesc!A130="","",itens_Remanesc!B130)</f>
        <v/>
      </c>
      <c r="D131" s="282">
        <f>IF(A131="TOTAL",ROUND(SUM($D$3:D130),2),IF(A131="","",ROUND(B131*C131,2)))</f>
        <v/>
      </c>
      <c r="E131" s="284">
        <f>IF(OR(itens_Remanesc!A130="",NOT(ISNUMBER(parametros!$F$3))),"",ROUND(itens_Remanesc!C130*parametros!$F$3,2))</f>
        <v/>
      </c>
      <c r="F131" s="285">
        <f>IF(itens_Remanesc!A130="","",itens_Remanesc!E130)</f>
        <v/>
      </c>
      <c r="G131" s="284">
        <f>IF(A131="TOTAL",ROUND(SUM($G$3:G130),2),IF(OR(A131="",E131="",F131=""),"",ROUND(E131*F131,2)))</f>
        <v/>
      </c>
      <c r="H131" s="282">
        <f>IF(OR(itens_Remanesc!A130="",NOT(ISNUMBER(parametros!$F$4))),"",ROUND(itens_Remanesc!C130*parametros!$F$4,2))</f>
        <v/>
      </c>
      <c r="I131" s="283">
        <f>IF(itens_Remanesc!A130="","",itens_Remanesc!G130)</f>
        <v/>
      </c>
      <c r="J131" s="282">
        <f>IF(A131="TOTAL",ROUND(SUM($J$3:J130),2),IF(OR(A131="",H131="",I131=""),"",ROUND(H131*I131,2)))</f>
        <v/>
      </c>
      <c r="K131" s="284">
        <f>IF(OR(itens_Remanesc!A130="",NOT(ISNUMBER(parametros!$F$5))),"",ROUND(itens_Remanesc!C130*parametros!$F$5,2))</f>
        <v/>
      </c>
      <c r="L131" s="285">
        <f>IF(itens_Remanesc!A130="","",itens_Remanesc!I130)</f>
        <v/>
      </c>
      <c r="M131" s="284">
        <f>IF(A131="TOTAL",ROUND(SUM($M$3:M130),2),IF(OR(A131="",K131="",L131=""),"",ROUND(K131*L131,2)))</f>
        <v/>
      </c>
      <c r="N131" s="282">
        <f>IF(OR(itens_Remanesc!A130="",NOT(ISNUMBER(parametros!$F$6))),"",ROUND(itens_Remanesc!C130*parametros!$F$6,2))</f>
        <v/>
      </c>
      <c r="O131" s="283">
        <f>IF(itens_Remanesc!A130="","",itens_Remanesc!K130)</f>
        <v/>
      </c>
      <c r="P131" s="282">
        <f>IF(A131="TOTAL",ROUND(SUM($P$3:P130),2),IF(OR(A131="",N131="",O131=""),"",ROUND(N131*O131,2)))</f>
        <v/>
      </c>
    </row>
    <row r="132">
      <c r="A132" s="281">
        <f>IF(AND(itens_Remanesc!A131="",itens_Remanesc!A130&lt;&gt;"",COUNTIF(itens_Remanesc!A132:$A$200,"&lt;&gt;")=0),"TOTAL",IF(itens_Remanesc!A131="","",itens_Remanesc!A131))</f>
        <v/>
      </c>
      <c r="B132" s="282">
        <f>IF(OR(itens_Remanesc!A131="",NOT(ISNUMBER(parametros!$F$2))),"",ROUND(itens_Remanesc!C131*parametros!$F$2,2))</f>
        <v/>
      </c>
      <c r="C132" s="283">
        <f>IF(itens_Remanesc!A131="","",itens_Remanesc!B131)</f>
        <v/>
      </c>
      <c r="D132" s="282">
        <f>IF(A132="TOTAL",ROUND(SUM($D$3:D131),2),IF(A132="","",ROUND(B132*C132,2)))</f>
        <v/>
      </c>
      <c r="E132" s="284">
        <f>IF(OR(itens_Remanesc!A131="",NOT(ISNUMBER(parametros!$F$3))),"",ROUND(itens_Remanesc!C131*parametros!$F$3,2))</f>
        <v/>
      </c>
      <c r="F132" s="285">
        <f>IF(itens_Remanesc!A131="","",itens_Remanesc!E131)</f>
        <v/>
      </c>
      <c r="G132" s="284">
        <f>IF(A132="TOTAL",ROUND(SUM($G$3:G131),2),IF(OR(A132="",E132="",F132=""),"",ROUND(E132*F132,2)))</f>
        <v/>
      </c>
      <c r="H132" s="282">
        <f>IF(OR(itens_Remanesc!A131="",NOT(ISNUMBER(parametros!$F$4))),"",ROUND(itens_Remanesc!C131*parametros!$F$4,2))</f>
        <v/>
      </c>
      <c r="I132" s="283">
        <f>IF(itens_Remanesc!A131="","",itens_Remanesc!G131)</f>
        <v/>
      </c>
      <c r="J132" s="282">
        <f>IF(A132="TOTAL",ROUND(SUM($J$3:J131),2),IF(OR(A132="",H132="",I132=""),"",ROUND(H132*I132,2)))</f>
        <v/>
      </c>
      <c r="K132" s="284">
        <f>IF(OR(itens_Remanesc!A131="",NOT(ISNUMBER(parametros!$F$5))),"",ROUND(itens_Remanesc!C131*parametros!$F$5,2))</f>
        <v/>
      </c>
      <c r="L132" s="285">
        <f>IF(itens_Remanesc!A131="","",itens_Remanesc!I131)</f>
        <v/>
      </c>
      <c r="M132" s="284">
        <f>IF(A132="TOTAL",ROUND(SUM($M$3:M131),2),IF(OR(A132="",K132="",L132=""),"",ROUND(K132*L132,2)))</f>
        <v/>
      </c>
      <c r="N132" s="282">
        <f>IF(OR(itens_Remanesc!A131="",NOT(ISNUMBER(parametros!$F$6))),"",ROUND(itens_Remanesc!C131*parametros!$F$6,2))</f>
        <v/>
      </c>
      <c r="O132" s="283">
        <f>IF(itens_Remanesc!A131="","",itens_Remanesc!K131)</f>
        <v/>
      </c>
      <c r="P132" s="282">
        <f>IF(A132="TOTAL",ROUND(SUM($P$3:P131),2),IF(OR(A132="",N132="",O132=""),"",ROUND(N132*O132,2)))</f>
        <v/>
      </c>
    </row>
    <row r="133">
      <c r="A133" s="281">
        <f>IF(AND(itens_Remanesc!A132="",itens_Remanesc!A131&lt;&gt;"",COUNTIF(itens_Remanesc!A133:$A$200,"&lt;&gt;")=0),"TOTAL",IF(itens_Remanesc!A132="","",itens_Remanesc!A132))</f>
        <v/>
      </c>
      <c r="B133" s="282">
        <f>IF(OR(itens_Remanesc!A132="",NOT(ISNUMBER(parametros!$F$2))),"",ROUND(itens_Remanesc!C132*parametros!$F$2,2))</f>
        <v/>
      </c>
      <c r="C133" s="283">
        <f>IF(itens_Remanesc!A132="","",itens_Remanesc!B132)</f>
        <v/>
      </c>
      <c r="D133" s="282">
        <f>IF(A133="TOTAL",ROUND(SUM($D$3:D132),2),IF(A133="","",ROUND(B133*C133,2)))</f>
        <v/>
      </c>
      <c r="E133" s="284">
        <f>IF(OR(itens_Remanesc!A132="",NOT(ISNUMBER(parametros!$F$3))),"",ROUND(itens_Remanesc!C132*parametros!$F$3,2))</f>
        <v/>
      </c>
      <c r="F133" s="285">
        <f>IF(itens_Remanesc!A132="","",itens_Remanesc!E132)</f>
        <v/>
      </c>
      <c r="G133" s="284">
        <f>IF(A133="TOTAL",ROUND(SUM($G$3:G132),2),IF(OR(A133="",E133="",F133=""),"",ROUND(E133*F133,2)))</f>
        <v/>
      </c>
      <c r="H133" s="282">
        <f>IF(OR(itens_Remanesc!A132="",NOT(ISNUMBER(parametros!$F$4))),"",ROUND(itens_Remanesc!C132*parametros!$F$4,2))</f>
        <v/>
      </c>
      <c r="I133" s="283">
        <f>IF(itens_Remanesc!A132="","",itens_Remanesc!G132)</f>
        <v/>
      </c>
      <c r="J133" s="282">
        <f>IF(A133="TOTAL",ROUND(SUM($J$3:J132),2),IF(OR(A133="",H133="",I133=""),"",ROUND(H133*I133,2)))</f>
        <v/>
      </c>
      <c r="K133" s="284">
        <f>IF(OR(itens_Remanesc!A132="",NOT(ISNUMBER(parametros!$F$5))),"",ROUND(itens_Remanesc!C132*parametros!$F$5,2))</f>
        <v/>
      </c>
      <c r="L133" s="285">
        <f>IF(itens_Remanesc!A132="","",itens_Remanesc!I132)</f>
        <v/>
      </c>
      <c r="M133" s="284">
        <f>IF(A133="TOTAL",ROUND(SUM($M$3:M132),2),IF(OR(A133="",K133="",L133=""),"",ROUND(K133*L133,2)))</f>
        <v/>
      </c>
      <c r="N133" s="282">
        <f>IF(OR(itens_Remanesc!A132="",NOT(ISNUMBER(parametros!$F$6))),"",ROUND(itens_Remanesc!C132*parametros!$F$6,2))</f>
        <v/>
      </c>
      <c r="O133" s="283">
        <f>IF(itens_Remanesc!A132="","",itens_Remanesc!K132)</f>
        <v/>
      </c>
      <c r="P133" s="282">
        <f>IF(A133="TOTAL",ROUND(SUM($P$3:P132),2),IF(OR(A133="",N133="",O133=""),"",ROUND(N133*O133,2)))</f>
        <v/>
      </c>
    </row>
    <row r="134">
      <c r="A134" s="281">
        <f>IF(AND(itens_Remanesc!A133="",itens_Remanesc!A132&lt;&gt;"",COUNTIF(itens_Remanesc!A134:$A$200,"&lt;&gt;")=0),"TOTAL",IF(itens_Remanesc!A133="","",itens_Remanesc!A133))</f>
        <v/>
      </c>
      <c r="B134" s="282">
        <f>IF(OR(itens_Remanesc!A133="",NOT(ISNUMBER(parametros!$F$2))),"",ROUND(itens_Remanesc!C133*parametros!$F$2,2))</f>
        <v/>
      </c>
      <c r="C134" s="283">
        <f>IF(itens_Remanesc!A133="","",itens_Remanesc!B133)</f>
        <v/>
      </c>
      <c r="D134" s="282">
        <f>IF(A134="TOTAL",ROUND(SUM($D$3:D133),2),IF(A134="","",ROUND(B134*C134,2)))</f>
        <v/>
      </c>
      <c r="E134" s="284">
        <f>IF(OR(itens_Remanesc!A133="",NOT(ISNUMBER(parametros!$F$3))),"",ROUND(itens_Remanesc!C133*parametros!$F$3,2))</f>
        <v/>
      </c>
      <c r="F134" s="285">
        <f>IF(itens_Remanesc!A133="","",itens_Remanesc!E133)</f>
        <v/>
      </c>
      <c r="G134" s="284">
        <f>IF(A134="TOTAL",ROUND(SUM($G$3:G133),2),IF(OR(A134="",E134="",F134=""),"",ROUND(E134*F134,2)))</f>
        <v/>
      </c>
      <c r="H134" s="282">
        <f>IF(OR(itens_Remanesc!A133="",NOT(ISNUMBER(parametros!$F$4))),"",ROUND(itens_Remanesc!C133*parametros!$F$4,2))</f>
        <v/>
      </c>
      <c r="I134" s="283">
        <f>IF(itens_Remanesc!A133="","",itens_Remanesc!G133)</f>
        <v/>
      </c>
      <c r="J134" s="282">
        <f>IF(A134="TOTAL",ROUND(SUM($J$3:J133),2),IF(OR(A134="",H134="",I134=""),"",ROUND(H134*I134,2)))</f>
        <v/>
      </c>
      <c r="K134" s="284">
        <f>IF(OR(itens_Remanesc!A133="",NOT(ISNUMBER(parametros!$F$5))),"",ROUND(itens_Remanesc!C133*parametros!$F$5,2))</f>
        <v/>
      </c>
      <c r="L134" s="285">
        <f>IF(itens_Remanesc!A133="","",itens_Remanesc!I133)</f>
        <v/>
      </c>
      <c r="M134" s="284">
        <f>IF(A134="TOTAL",ROUND(SUM($M$3:M133),2),IF(OR(A134="",K134="",L134=""),"",ROUND(K134*L134,2)))</f>
        <v/>
      </c>
      <c r="N134" s="282">
        <f>IF(OR(itens_Remanesc!A133="",NOT(ISNUMBER(parametros!$F$6))),"",ROUND(itens_Remanesc!C133*parametros!$F$6,2))</f>
        <v/>
      </c>
      <c r="O134" s="283">
        <f>IF(itens_Remanesc!A133="","",itens_Remanesc!K133)</f>
        <v/>
      </c>
      <c r="P134" s="282">
        <f>IF(A134="TOTAL",ROUND(SUM($P$3:P133),2),IF(OR(A134="",N134="",O134=""),"",ROUND(N134*O134,2)))</f>
        <v/>
      </c>
    </row>
    <row r="135">
      <c r="A135" s="281">
        <f>IF(AND(itens_Remanesc!A134="",itens_Remanesc!A133&lt;&gt;"",COUNTIF(itens_Remanesc!A135:$A$200,"&lt;&gt;")=0),"TOTAL",IF(itens_Remanesc!A134="","",itens_Remanesc!A134))</f>
        <v/>
      </c>
      <c r="B135" s="282">
        <f>IF(OR(itens_Remanesc!A134="",NOT(ISNUMBER(parametros!$F$2))),"",ROUND(itens_Remanesc!C134*parametros!$F$2,2))</f>
        <v/>
      </c>
      <c r="C135" s="283">
        <f>IF(itens_Remanesc!A134="","",itens_Remanesc!B134)</f>
        <v/>
      </c>
      <c r="D135" s="282">
        <f>IF(A135="TOTAL",ROUND(SUM($D$3:D134),2),IF(A135="","",ROUND(B135*C135,2)))</f>
        <v/>
      </c>
      <c r="E135" s="284">
        <f>IF(OR(itens_Remanesc!A134="",NOT(ISNUMBER(parametros!$F$3))),"",ROUND(itens_Remanesc!C134*parametros!$F$3,2))</f>
        <v/>
      </c>
      <c r="F135" s="285">
        <f>IF(itens_Remanesc!A134="","",itens_Remanesc!E134)</f>
        <v/>
      </c>
      <c r="G135" s="284">
        <f>IF(A135="TOTAL",ROUND(SUM($G$3:G134),2),IF(OR(A135="",E135="",F135=""),"",ROUND(E135*F135,2)))</f>
        <v/>
      </c>
      <c r="H135" s="282">
        <f>IF(OR(itens_Remanesc!A134="",NOT(ISNUMBER(parametros!$F$4))),"",ROUND(itens_Remanesc!C134*parametros!$F$4,2))</f>
        <v/>
      </c>
      <c r="I135" s="283">
        <f>IF(itens_Remanesc!A134="","",itens_Remanesc!G134)</f>
        <v/>
      </c>
      <c r="J135" s="282">
        <f>IF(A135="TOTAL",ROUND(SUM($J$3:J134),2),IF(OR(A135="",H135="",I135=""),"",ROUND(H135*I135,2)))</f>
        <v/>
      </c>
      <c r="K135" s="284">
        <f>IF(OR(itens_Remanesc!A134="",NOT(ISNUMBER(parametros!$F$5))),"",ROUND(itens_Remanesc!C134*parametros!$F$5,2))</f>
        <v/>
      </c>
      <c r="L135" s="285">
        <f>IF(itens_Remanesc!A134="","",itens_Remanesc!I134)</f>
        <v/>
      </c>
      <c r="M135" s="284">
        <f>IF(A135="TOTAL",ROUND(SUM($M$3:M134),2),IF(OR(A135="",K135="",L135=""),"",ROUND(K135*L135,2)))</f>
        <v/>
      </c>
      <c r="N135" s="282">
        <f>IF(OR(itens_Remanesc!A134="",NOT(ISNUMBER(parametros!$F$6))),"",ROUND(itens_Remanesc!C134*parametros!$F$6,2))</f>
        <v/>
      </c>
      <c r="O135" s="283">
        <f>IF(itens_Remanesc!A134="","",itens_Remanesc!K134)</f>
        <v/>
      </c>
      <c r="P135" s="282">
        <f>IF(A135="TOTAL",ROUND(SUM($P$3:P134),2),IF(OR(A135="",N135="",O135=""),"",ROUND(N135*O135,2)))</f>
        <v/>
      </c>
    </row>
    <row r="136">
      <c r="A136" s="281">
        <f>IF(AND(itens_Remanesc!A135="",itens_Remanesc!A134&lt;&gt;"",COUNTIF(itens_Remanesc!A136:$A$200,"&lt;&gt;")=0),"TOTAL",IF(itens_Remanesc!A135="","",itens_Remanesc!A135))</f>
        <v/>
      </c>
      <c r="B136" s="282">
        <f>IF(OR(itens_Remanesc!A135="",NOT(ISNUMBER(parametros!$F$2))),"",ROUND(itens_Remanesc!C135*parametros!$F$2,2))</f>
        <v/>
      </c>
      <c r="C136" s="283">
        <f>IF(itens_Remanesc!A135="","",itens_Remanesc!B135)</f>
        <v/>
      </c>
      <c r="D136" s="282">
        <f>IF(A136="TOTAL",ROUND(SUM($D$3:D135),2),IF(A136="","",ROUND(B136*C136,2)))</f>
        <v/>
      </c>
      <c r="E136" s="284">
        <f>IF(OR(itens_Remanesc!A135="",NOT(ISNUMBER(parametros!$F$3))),"",ROUND(itens_Remanesc!C135*parametros!$F$3,2))</f>
        <v/>
      </c>
      <c r="F136" s="285">
        <f>IF(itens_Remanesc!A135="","",itens_Remanesc!E135)</f>
        <v/>
      </c>
      <c r="G136" s="284">
        <f>IF(A136="TOTAL",ROUND(SUM($G$3:G135),2),IF(OR(A136="",E136="",F136=""),"",ROUND(E136*F136,2)))</f>
        <v/>
      </c>
      <c r="H136" s="282">
        <f>IF(OR(itens_Remanesc!A135="",NOT(ISNUMBER(parametros!$F$4))),"",ROUND(itens_Remanesc!C135*parametros!$F$4,2))</f>
        <v/>
      </c>
      <c r="I136" s="283">
        <f>IF(itens_Remanesc!A135="","",itens_Remanesc!G135)</f>
        <v/>
      </c>
      <c r="J136" s="282">
        <f>IF(A136="TOTAL",ROUND(SUM($J$3:J135),2),IF(OR(A136="",H136="",I136=""),"",ROUND(H136*I136,2)))</f>
        <v/>
      </c>
      <c r="K136" s="284">
        <f>IF(OR(itens_Remanesc!A135="",NOT(ISNUMBER(parametros!$F$5))),"",ROUND(itens_Remanesc!C135*parametros!$F$5,2))</f>
        <v/>
      </c>
      <c r="L136" s="285">
        <f>IF(itens_Remanesc!A135="","",itens_Remanesc!I135)</f>
        <v/>
      </c>
      <c r="M136" s="284">
        <f>IF(A136="TOTAL",ROUND(SUM($M$3:M135),2),IF(OR(A136="",K136="",L136=""),"",ROUND(K136*L136,2)))</f>
        <v/>
      </c>
      <c r="N136" s="282">
        <f>IF(OR(itens_Remanesc!A135="",NOT(ISNUMBER(parametros!$F$6))),"",ROUND(itens_Remanesc!C135*parametros!$F$6,2))</f>
        <v/>
      </c>
      <c r="O136" s="283">
        <f>IF(itens_Remanesc!A135="","",itens_Remanesc!K135)</f>
        <v/>
      </c>
      <c r="P136" s="282">
        <f>IF(A136="TOTAL",ROUND(SUM($P$3:P135),2),IF(OR(A136="",N136="",O136=""),"",ROUND(N136*O136,2)))</f>
        <v/>
      </c>
    </row>
    <row r="137">
      <c r="A137" s="281">
        <f>IF(AND(itens_Remanesc!A136="",itens_Remanesc!A135&lt;&gt;"",COUNTIF(itens_Remanesc!A137:$A$200,"&lt;&gt;")=0),"TOTAL",IF(itens_Remanesc!A136="","",itens_Remanesc!A136))</f>
        <v/>
      </c>
      <c r="B137" s="282">
        <f>IF(OR(itens_Remanesc!A136="",NOT(ISNUMBER(parametros!$F$2))),"",ROUND(itens_Remanesc!C136*parametros!$F$2,2))</f>
        <v/>
      </c>
      <c r="C137" s="283">
        <f>IF(itens_Remanesc!A136="","",itens_Remanesc!B136)</f>
        <v/>
      </c>
      <c r="D137" s="282">
        <f>IF(A137="TOTAL",ROUND(SUM($D$3:D136),2),IF(A137="","",ROUND(B137*C137,2)))</f>
        <v/>
      </c>
      <c r="E137" s="284">
        <f>IF(OR(itens_Remanesc!A136="",NOT(ISNUMBER(parametros!$F$3))),"",ROUND(itens_Remanesc!C136*parametros!$F$3,2))</f>
        <v/>
      </c>
      <c r="F137" s="285">
        <f>IF(itens_Remanesc!A136="","",itens_Remanesc!E136)</f>
        <v/>
      </c>
      <c r="G137" s="284">
        <f>IF(A137="TOTAL",ROUND(SUM($G$3:G136),2),IF(OR(A137="",E137="",F137=""),"",ROUND(E137*F137,2)))</f>
        <v/>
      </c>
      <c r="H137" s="282">
        <f>IF(OR(itens_Remanesc!A136="",NOT(ISNUMBER(parametros!$F$4))),"",ROUND(itens_Remanesc!C136*parametros!$F$4,2))</f>
        <v/>
      </c>
      <c r="I137" s="283">
        <f>IF(itens_Remanesc!A136="","",itens_Remanesc!G136)</f>
        <v/>
      </c>
      <c r="J137" s="282">
        <f>IF(A137="TOTAL",ROUND(SUM($J$3:J136),2),IF(OR(A137="",H137="",I137=""),"",ROUND(H137*I137,2)))</f>
        <v/>
      </c>
      <c r="K137" s="284">
        <f>IF(OR(itens_Remanesc!A136="",NOT(ISNUMBER(parametros!$F$5))),"",ROUND(itens_Remanesc!C136*parametros!$F$5,2))</f>
        <v/>
      </c>
      <c r="L137" s="285">
        <f>IF(itens_Remanesc!A136="","",itens_Remanesc!I136)</f>
        <v/>
      </c>
      <c r="M137" s="284">
        <f>IF(A137="TOTAL",ROUND(SUM($M$3:M136),2),IF(OR(A137="",K137="",L137=""),"",ROUND(K137*L137,2)))</f>
        <v/>
      </c>
      <c r="N137" s="282">
        <f>IF(OR(itens_Remanesc!A136="",NOT(ISNUMBER(parametros!$F$6))),"",ROUND(itens_Remanesc!C136*parametros!$F$6,2))</f>
        <v/>
      </c>
      <c r="O137" s="283">
        <f>IF(itens_Remanesc!A136="","",itens_Remanesc!K136)</f>
        <v/>
      </c>
      <c r="P137" s="282">
        <f>IF(A137="TOTAL",ROUND(SUM($P$3:P136),2),IF(OR(A137="",N137="",O137=""),"",ROUND(N137*O137,2)))</f>
        <v/>
      </c>
    </row>
    <row r="138">
      <c r="A138" s="281">
        <f>IF(AND(itens_Remanesc!A137="",itens_Remanesc!A136&lt;&gt;"",COUNTIF(itens_Remanesc!A138:$A$200,"&lt;&gt;")=0),"TOTAL",IF(itens_Remanesc!A137="","",itens_Remanesc!A137))</f>
        <v/>
      </c>
      <c r="B138" s="282">
        <f>IF(OR(itens_Remanesc!A137="",NOT(ISNUMBER(parametros!$F$2))),"",ROUND(itens_Remanesc!C137*parametros!$F$2,2))</f>
        <v/>
      </c>
      <c r="C138" s="283">
        <f>IF(itens_Remanesc!A137="","",itens_Remanesc!B137)</f>
        <v/>
      </c>
      <c r="D138" s="282">
        <f>IF(A138="TOTAL",ROUND(SUM($D$3:D137),2),IF(A138="","",ROUND(B138*C138,2)))</f>
        <v/>
      </c>
      <c r="E138" s="284">
        <f>IF(OR(itens_Remanesc!A137="",NOT(ISNUMBER(parametros!$F$3))),"",ROUND(itens_Remanesc!C137*parametros!$F$3,2))</f>
        <v/>
      </c>
      <c r="F138" s="285">
        <f>IF(itens_Remanesc!A137="","",itens_Remanesc!E137)</f>
        <v/>
      </c>
      <c r="G138" s="284">
        <f>IF(A138="TOTAL",ROUND(SUM($G$3:G137),2),IF(OR(A138="",E138="",F138=""),"",ROUND(E138*F138,2)))</f>
        <v/>
      </c>
      <c r="H138" s="282">
        <f>IF(OR(itens_Remanesc!A137="",NOT(ISNUMBER(parametros!$F$4))),"",ROUND(itens_Remanesc!C137*parametros!$F$4,2))</f>
        <v/>
      </c>
      <c r="I138" s="283">
        <f>IF(itens_Remanesc!A137="","",itens_Remanesc!G137)</f>
        <v/>
      </c>
      <c r="J138" s="282">
        <f>IF(A138="TOTAL",ROUND(SUM($J$3:J137),2),IF(OR(A138="",H138="",I138=""),"",ROUND(H138*I138,2)))</f>
        <v/>
      </c>
      <c r="K138" s="284">
        <f>IF(OR(itens_Remanesc!A137="",NOT(ISNUMBER(parametros!$F$5))),"",ROUND(itens_Remanesc!C137*parametros!$F$5,2))</f>
        <v/>
      </c>
      <c r="L138" s="285">
        <f>IF(itens_Remanesc!A137="","",itens_Remanesc!I137)</f>
        <v/>
      </c>
      <c r="M138" s="284">
        <f>IF(A138="TOTAL",ROUND(SUM($M$3:M137),2),IF(OR(A138="",K138="",L138=""),"",ROUND(K138*L138,2)))</f>
        <v/>
      </c>
      <c r="N138" s="282">
        <f>IF(OR(itens_Remanesc!A137="",NOT(ISNUMBER(parametros!$F$6))),"",ROUND(itens_Remanesc!C137*parametros!$F$6,2))</f>
        <v/>
      </c>
      <c r="O138" s="283">
        <f>IF(itens_Remanesc!A137="","",itens_Remanesc!K137)</f>
        <v/>
      </c>
      <c r="P138" s="282">
        <f>IF(A138="TOTAL",ROUND(SUM($P$3:P137),2),IF(OR(A138="",N138="",O138=""),"",ROUND(N138*O138,2)))</f>
        <v/>
      </c>
    </row>
    <row r="139">
      <c r="A139" s="281">
        <f>IF(AND(itens_Remanesc!A138="",itens_Remanesc!A137&lt;&gt;"",COUNTIF(itens_Remanesc!A139:$A$200,"&lt;&gt;")=0),"TOTAL",IF(itens_Remanesc!A138="","",itens_Remanesc!A138))</f>
        <v/>
      </c>
      <c r="B139" s="282">
        <f>IF(OR(itens_Remanesc!A138="",NOT(ISNUMBER(parametros!$F$2))),"",ROUND(itens_Remanesc!C138*parametros!$F$2,2))</f>
        <v/>
      </c>
      <c r="C139" s="283">
        <f>IF(itens_Remanesc!A138="","",itens_Remanesc!B138)</f>
        <v/>
      </c>
      <c r="D139" s="282">
        <f>IF(A139="TOTAL",ROUND(SUM($D$3:D138),2),IF(A139="","",ROUND(B139*C139,2)))</f>
        <v/>
      </c>
      <c r="E139" s="284">
        <f>IF(OR(itens_Remanesc!A138="",NOT(ISNUMBER(parametros!$F$3))),"",ROUND(itens_Remanesc!C138*parametros!$F$3,2))</f>
        <v/>
      </c>
      <c r="F139" s="285">
        <f>IF(itens_Remanesc!A138="","",itens_Remanesc!E138)</f>
        <v/>
      </c>
      <c r="G139" s="284">
        <f>IF(A139="TOTAL",ROUND(SUM($G$3:G138),2),IF(OR(A139="",E139="",F139=""),"",ROUND(E139*F139,2)))</f>
        <v/>
      </c>
      <c r="H139" s="282">
        <f>IF(OR(itens_Remanesc!A138="",NOT(ISNUMBER(parametros!$F$4))),"",ROUND(itens_Remanesc!C138*parametros!$F$4,2))</f>
        <v/>
      </c>
      <c r="I139" s="283">
        <f>IF(itens_Remanesc!A138="","",itens_Remanesc!G138)</f>
        <v/>
      </c>
      <c r="J139" s="282">
        <f>IF(A139="TOTAL",ROUND(SUM($J$3:J138),2),IF(OR(A139="",H139="",I139=""),"",ROUND(H139*I139,2)))</f>
        <v/>
      </c>
      <c r="K139" s="284">
        <f>IF(OR(itens_Remanesc!A138="",NOT(ISNUMBER(parametros!$F$5))),"",ROUND(itens_Remanesc!C138*parametros!$F$5,2))</f>
        <v/>
      </c>
      <c r="L139" s="285">
        <f>IF(itens_Remanesc!A138="","",itens_Remanesc!I138)</f>
        <v/>
      </c>
      <c r="M139" s="284">
        <f>IF(A139="TOTAL",ROUND(SUM($M$3:M138),2),IF(OR(A139="",K139="",L139=""),"",ROUND(K139*L139,2)))</f>
        <v/>
      </c>
      <c r="N139" s="282">
        <f>IF(OR(itens_Remanesc!A138="",NOT(ISNUMBER(parametros!$F$6))),"",ROUND(itens_Remanesc!C138*parametros!$F$6,2))</f>
        <v/>
      </c>
      <c r="O139" s="283">
        <f>IF(itens_Remanesc!A138="","",itens_Remanesc!K138)</f>
        <v/>
      </c>
      <c r="P139" s="282">
        <f>IF(A139="TOTAL",ROUND(SUM($P$3:P138),2),IF(OR(A139="",N139="",O139=""),"",ROUND(N139*O139,2)))</f>
        <v/>
      </c>
    </row>
    <row r="140">
      <c r="A140" s="281">
        <f>IF(AND(itens_Remanesc!A139="",itens_Remanesc!A138&lt;&gt;"",COUNTIF(itens_Remanesc!A140:$A$200,"&lt;&gt;")=0),"TOTAL",IF(itens_Remanesc!A139="","",itens_Remanesc!A139))</f>
        <v/>
      </c>
      <c r="B140" s="282">
        <f>IF(OR(itens_Remanesc!A139="",NOT(ISNUMBER(parametros!$F$2))),"",ROUND(itens_Remanesc!C139*parametros!$F$2,2))</f>
        <v/>
      </c>
      <c r="C140" s="283">
        <f>IF(itens_Remanesc!A139="","",itens_Remanesc!B139)</f>
        <v/>
      </c>
      <c r="D140" s="282">
        <f>IF(A140="TOTAL",ROUND(SUM($D$3:D139),2),IF(A140="","",ROUND(B140*C140,2)))</f>
        <v/>
      </c>
      <c r="E140" s="284">
        <f>IF(OR(itens_Remanesc!A139="",NOT(ISNUMBER(parametros!$F$3))),"",ROUND(itens_Remanesc!C139*parametros!$F$3,2))</f>
        <v/>
      </c>
      <c r="F140" s="285">
        <f>IF(itens_Remanesc!A139="","",itens_Remanesc!E139)</f>
        <v/>
      </c>
      <c r="G140" s="284">
        <f>IF(A140="TOTAL",ROUND(SUM($G$3:G139),2),IF(OR(A140="",E140="",F140=""),"",ROUND(E140*F140,2)))</f>
        <v/>
      </c>
      <c r="H140" s="282">
        <f>IF(OR(itens_Remanesc!A139="",NOT(ISNUMBER(parametros!$F$4))),"",ROUND(itens_Remanesc!C139*parametros!$F$4,2))</f>
        <v/>
      </c>
      <c r="I140" s="283">
        <f>IF(itens_Remanesc!A139="","",itens_Remanesc!G139)</f>
        <v/>
      </c>
      <c r="J140" s="282">
        <f>IF(A140="TOTAL",ROUND(SUM($J$3:J139),2),IF(OR(A140="",H140="",I140=""),"",ROUND(H140*I140,2)))</f>
        <v/>
      </c>
      <c r="K140" s="284">
        <f>IF(OR(itens_Remanesc!A139="",NOT(ISNUMBER(parametros!$F$5))),"",ROUND(itens_Remanesc!C139*parametros!$F$5,2))</f>
        <v/>
      </c>
      <c r="L140" s="285">
        <f>IF(itens_Remanesc!A139="","",itens_Remanesc!I139)</f>
        <v/>
      </c>
      <c r="M140" s="284">
        <f>IF(A140="TOTAL",ROUND(SUM($M$3:M139),2),IF(OR(A140="",K140="",L140=""),"",ROUND(K140*L140,2)))</f>
        <v/>
      </c>
      <c r="N140" s="282">
        <f>IF(OR(itens_Remanesc!A139="",NOT(ISNUMBER(parametros!$F$6))),"",ROUND(itens_Remanesc!C139*parametros!$F$6,2))</f>
        <v/>
      </c>
      <c r="O140" s="283">
        <f>IF(itens_Remanesc!A139="","",itens_Remanesc!K139)</f>
        <v/>
      </c>
      <c r="P140" s="282">
        <f>IF(A140="TOTAL",ROUND(SUM($P$3:P139),2),IF(OR(A140="",N140="",O140=""),"",ROUND(N140*O140,2)))</f>
        <v/>
      </c>
    </row>
    <row r="141">
      <c r="A141" s="281">
        <f>IF(AND(itens_Remanesc!A140="",itens_Remanesc!A139&lt;&gt;"",COUNTIF(itens_Remanesc!A141:$A$200,"&lt;&gt;")=0),"TOTAL",IF(itens_Remanesc!A140="","",itens_Remanesc!A140))</f>
        <v/>
      </c>
      <c r="B141" s="282">
        <f>IF(OR(itens_Remanesc!A140="",NOT(ISNUMBER(parametros!$F$2))),"",ROUND(itens_Remanesc!C140*parametros!$F$2,2))</f>
        <v/>
      </c>
      <c r="C141" s="283">
        <f>IF(itens_Remanesc!A140="","",itens_Remanesc!B140)</f>
        <v/>
      </c>
      <c r="D141" s="282">
        <f>IF(A141="TOTAL",ROUND(SUM($D$3:D140),2),IF(A141="","",ROUND(B141*C141,2)))</f>
        <v/>
      </c>
      <c r="E141" s="284">
        <f>IF(OR(itens_Remanesc!A140="",NOT(ISNUMBER(parametros!$F$3))),"",ROUND(itens_Remanesc!C140*parametros!$F$3,2))</f>
        <v/>
      </c>
      <c r="F141" s="285">
        <f>IF(itens_Remanesc!A140="","",itens_Remanesc!E140)</f>
        <v/>
      </c>
      <c r="G141" s="284">
        <f>IF(A141="TOTAL",ROUND(SUM($G$3:G140),2),IF(OR(A141="",E141="",F141=""),"",ROUND(E141*F141,2)))</f>
        <v/>
      </c>
      <c r="H141" s="282">
        <f>IF(OR(itens_Remanesc!A140="",NOT(ISNUMBER(parametros!$F$4))),"",ROUND(itens_Remanesc!C140*parametros!$F$4,2))</f>
        <v/>
      </c>
      <c r="I141" s="283">
        <f>IF(itens_Remanesc!A140="","",itens_Remanesc!G140)</f>
        <v/>
      </c>
      <c r="J141" s="282">
        <f>IF(A141="TOTAL",ROUND(SUM($J$3:J140),2),IF(OR(A141="",H141="",I141=""),"",ROUND(H141*I141,2)))</f>
        <v/>
      </c>
      <c r="K141" s="284">
        <f>IF(OR(itens_Remanesc!A140="",NOT(ISNUMBER(parametros!$F$5))),"",ROUND(itens_Remanesc!C140*parametros!$F$5,2))</f>
        <v/>
      </c>
      <c r="L141" s="285">
        <f>IF(itens_Remanesc!A140="","",itens_Remanesc!I140)</f>
        <v/>
      </c>
      <c r="M141" s="284">
        <f>IF(A141="TOTAL",ROUND(SUM($M$3:M140),2),IF(OR(A141="",K141="",L141=""),"",ROUND(K141*L141,2)))</f>
        <v/>
      </c>
      <c r="N141" s="282">
        <f>IF(OR(itens_Remanesc!A140="",NOT(ISNUMBER(parametros!$F$6))),"",ROUND(itens_Remanesc!C140*parametros!$F$6,2))</f>
        <v/>
      </c>
      <c r="O141" s="283">
        <f>IF(itens_Remanesc!A140="","",itens_Remanesc!K140)</f>
        <v/>
      </c>
      <c r="P141" s="282">
        <f>IF(A141="TOTAL",ROUND(SUM($P$3:P140),2),IF(OR(A141="",N141="",O141=""),"",ROUND(N141*O141,2)))</f>
        <v/>
      </c>
    </row>
    <row r="142">
      <c r="A142" s="281">
        <f>IF(AND(itens_Remanesc!A141="",itens_Remanesc!A140&lt;&gt;"",COUNTIF(itens_Remanesc!A142:$A$200,"&lt;&gt;")=0),"TOTAL",IF(itens_Remanesc!A141="","",itens_Remanesc!A141))</f>
        <v/>
      </c>
      <c r="B142" s="282">
        <f>IF(OR(itens_Remanesc!A141="",NOT(ISNUMBER(parametros!$F$2))),"",ROUND(itens_Remanesc!C141*parametros!$F$2,2))</f>
        <v/>
      </c>
      <c r="C142" s="283">
        <f>IF(itens_Remanesc!A141="","",itens_Remanesc!B141)</f>
        <v/>
      </c>
      <c r="D142" s="282">
        <f>IF(A142="TOTAL",ROUND(SUM($D$3:D141),2),IF(A142="","",ROUND(B142*C142,2)))</f>
        <v/>
      </c>
      <c r="E142" s="284">
        <f>IF(OR(itens_Remanesc!A141="",NOT(ISNUMBER(parametros!$F$3))),"",ROUND(itens_Remanesc!C141*parametros!$F$3,2))</f>
        <v/>
      </c>
      <c r="F142" s="285">
        <f>IF(itens_Remanesc!A141="","",itens_Remanesc!E141)</f>
        <v/>
      </c>
      <c r="G142" s="284">
        <f>IF(A142="TOTAL",ROUND(SUM($G$3:G141),2),IF(OR(A142="",E142="",F142=""),"",ROUND(E142*F142,2)))</f>
        <v/>
      </c>
      <c r="H142" s="282">
        <f>IF(OR(itens_Remanesc!A141="",NOT(ISNUMBER(parametros!$F$4))),"",ROUND(itens_Remanesc!C141*parametros!$F$4,2))</f>
        <v/>
      </c>
      <c r="I142" s="283">
        <f>IF(itens_Remanesc!A141="","",itens_Remanesc!G141)</f>
        <v/>
      </c>
      <c r="J142" s="282">
        <f>IF(A142="TOTAL",ROUND(SUM($J$3:J141),2),IF(OR(A142="",H142="",I142=""),"",ROUND(H142*I142,2)))</f>
        <v/>
      </c>
      <c r="K142" s="284">
        <f>IF(OR(itens_Remanesc!A141="",NOT(ISNUMBER(parametros!$F$5))),"",ROUND(itens_Remanesc!C141*parametros!$F$5,2))</f>
        <v/>
      </c>
      <c r="L142" s="285">
        <f>IF(itens_Remanesc!A141="","",itens_Remanesc!I141)</f>
        <v/>
      </c>
      <c r="M142" s="284">
        <f>IF(A142="TOTAL",ROUND(SUM($M$3:M141),2),IF(OR(A142="",K142="",L142=""),"",ROUND(K142*L142,2)))</f>
        <v/>
      </c>
      <c r="N142" s="282">
        <f>IF(OR(itens_Remanesc!A141="",NOT(ISNUMBER(parametros!$F$6))),"",ROUND(itens_Remanesc!C141*parametros!$F$6,2))</f>
        <v/>
      </c>
      <c r="O142" s="283">
        <f>IF(itens_Remanesc!A141="","",itens_Remanesc!K141)</f>
        <v/>
      </c>
      <c r="P142" s="282">
        <f>IF(A142="TOTAL",ROUND(SUM($P$3:P141),2),IF(OR(A142="",N142="",O142=""),"",ROUND(N142*O142,2)))</f>
        <v/>
      </c>
    </row>
    <row r="143">
      <c r="A143" s="281">
        <f>IF(AND(itens_Remanesc!A142="",itens_Remanesc!A141&lt;&gt;"",COUNTIF(itens_Remanesc!A143:$A$200,"&lt;&gt;")=0),"TOTAL",IF(itens_Remanesc!A142="","",itens_Remanesc!A142))</f>
        <v/>
      </c>
      <c r="B143" s="282">
        <f>IF(OR(itens_Remanesc!A142="",NOT(ISNUMBER(parametros!$F$2))),"",ROUND(itens_Remanesc!C142*parametros!$F$2,2))</f>
        <v/>
      </c>
      <c r="C143" s="283">
        <f>IF(itens_Remanesc!A142="","",itens_Remanesc!B142)</f>
        <v/>
      </c>
      <c r="D143" s="282">
        <f>IF(A143="TOTAL",ROUND(SUM($D$3:D142),2),IF(A143="","",ROUND(B143*C143,2)))</f>
        <v/>
      </c>
      <c r="E143" s="284">
        <f>IF(OR(itens_Remanesc!A142="",NOT(ISNUMBER(parametros!$F$3))),"",ROUND(itens_Remanesc!C142*parametros!$F$3,2))</f>
        <v/>
      </c>
      <c r="F143" s="285">
        <f>IF(itens_Remanesc!A142="","",itens_Remanesc!E142)</f>
        <v/>
      </c>
      <c r="G143" s="284">
        <f>IF(A143="TOTAL",ROUND(SUM($G$3:G142),2),IF(OR(A143="",E143="",F143=""),"",ROUND(E143*F143,2)))</f>
        <v/>
      </c>
      <c r="H143" s="282">
        <f>IF(OR(itens_Remanesc!A142="",NOT(ISNUMBER(parametros!$F$4))),"",ROUND(itens_Remanesc!C142*parametros!$F$4,2))</f>
        <v/>
      </c>
      <c r="I143" s="283">
        <f>IF(itens_Remanesc!A142="","",itens_Remanesc!G142)</f>
        <v/>
      </c>
      <c r="J143" s="282">
        <f>IF(A143="TOTAL",ROUND(SUM($J$3:J142),2),IF(OR(A143="",H143="",I143=""),"",ROUND(H143*I143,2)))</f>
        <v/>
      </c>
      <c r="K143" s="284">
        <f>IF(OR(itens_Remanesc!A142="",NOT(ISNUMBER(parametros!$F$5))),"",ROUND(itens_Remanesc!C142*parametros!$F$5,2))</f>
        <v/>
      </c>
      <c r="L143" s="285">
        <f>IF(itens_Remanesc!A142="","",itens_Remanesc!I142)</f>
        <v/>
      </c>
      <c r="M143" s="284">
        <f>IF(A143="TOTAL",ROUND(SUM($M$3:M142),2),IF(OR(A143="",K143="",L143=""),"",ROUND(K143*L143,2)))</f>
        <v/>
      </c>
      <c r="N143" s="282">
        <f>IF(OR(itens_Remanesc!A142="",NOT(ISNUMBER(parametros!$F$6))),"",ROUND(itens_Remanesc!C142*parametros!$F$6,2))</f>
        <v/>
      </c>
      <c r="O143" s="283">
        <f>IF(itens_Remanesc!A142="","",itens_Remanesc!K142)</f>
        <v/>
      </c>
      <c r="P143" s="282">
        <f>IF(A143="TOTAL",ROUND(SUM($P$3:P142),2),IF(OR(A143="",N143="",O143=""),"",ROUND(N143*O143,2)))</f>
        <v/>
      </c>
    </row>
    <row r="144">
      <c r="A144" s="281">
        <f>IF(AND(itens_Remanesc!A143="",itens_Remanesc!A142&lt;&gt;"",COUNTIF(itens_Remanesc!A144:$A$200,"&lt;&gt;")=0),"TOTAL",IF(itens_Remanesc!A143="","",itens_Remanesc!A143))</f>
        <v/>
      </c>
      <c r="B144" s="282">
        <f>IF(OR(itens_Remanesc!A143="",NOT(ISNUMBER(parametros!$F$2))),"",ROUND(itens_Remanesc!C143*parametros!$F$2,2))</f>
        <v/>
      </c>
      <c r="C144" s="283">
        <f>IF(itens_Remanesc!A143="","",itens_Remanesc!B143)</f>
        <v/>
      </c>
      <c r="D144" s="282">
        <f>IF(A144="TOTAL",ROUND(SUM($D$3:D143),2),IF(A144="","",ROUND(B144*C144,2)))</f>
        <v/>
      </c>
      <c r="E144" s="284">
        <f>IF(OR(itens_Remanesc!A143="",NOT(ISNUMBER(parametros!$F$3))),"",ROUND(itens_Remanesc!C143*parametros!$F$3,2))</f>
        <v/>
      </c>
      <c r="F144" s="285">
        <f>IF(itens_Remanesc!A143="","",itens_Remanesc!E143)</f>
        <v/>
      </c>
      <c r="G144" s="284">
        <f>IF(A144="TOTAL",ROUND(SUM($G$3:G143),2),IF(OR(A144="",E144="",F144=""),"",ROUND(E144*F144,2)))</f>
        <v/>
      </c>
      <c r="H144" s="282">
        <f>IF(OR(itens_Remanesc!A143="",NOT(ISNUMBER(parametros!$F$4))),"",ROUND(itens_Remanesc!C143*parametros!$F$4,2))</f>
        <v/>
      </c>
      <c r="I144" s="283">
        <f>IF(itens_Remanesc!A143="","",itens_Remanesc!G143)</f>
        <v/>
      </c>
      <c r="J144" s="282">
        <f>IF(A144="TOTAL",ROUND(SUM($J$3:J143),2),IF(OR(A144="",H144="",I144=""),"",ROUND(H144*I144,2)))</f>
        <v/>
      </c>
      <c r="K144" s="284">
        <f>IF(OR(itens_Remanesc!A143="",NOT(ISNUMBER(parametros!$F$5))),"",ROUND(itens_Remanesc!C143*parametros!$F$5,2))</f>
        <v/>
      </c>
      <c r="L144" s="285">
        <f>IF(itens_Remanesc!A143="","",itens_Remanesc!I143)</f>
        <v/>
      </c>
      <c r="M144" s="284">
        <f>IF(A144="TOTAL",ROUND(SUM($M$3:M143),2),IF(OR(A144="",K144="",L144=""),"",ROUND(K144*L144,2)))</f>
        <v/>
      </c>
      <c r="N144" s="282">
        <f>IF(OR(itens_Remanesc!A143="",NOT(ISNUMBER(parametros!$F$6))),"",ROUND(itens_Remanesc!C143*parametros!$F$6,2))</f>
        <v/>
      </c>
      <c r="O144" s="283">
        <f>IF(itens_Remanesc!A143="","",itens_Remanesc!K143)</f>
        <v/>
      </c>
      <c r="P144" s="282">
        <f>IF(A144="TOTAL",ROUND(SUM($P$3:P143),2),IF(OR(A144="",N144="",O144=""),"",ROUND(N144*O144,2)))</f>
        <v/>
      </c>
    </row>
    <row r="145">
      <c r="A145" s="281">
        <f>IF(AND(itens_Remanesc!A144="",itens_Remanesc!A143&lt;&gt;"",COUNTIF(itens_Remanesc!A145:$A$200,"&lt;&gt;")=0),"TOTAL",IF(itens_Remanesc!A144="","",itens_Remanesc!A144))</f>
        <v/>
      </c>
      <c r="B145" s="282">
        <f>IF(OR(itens_Remanesc!A144="",NOT(ISNUMBER(parametros!$F$2))),"",ROUND(itens_Remanesc!C144*parametros!$F$2,2))</f>
        <v/>
      </c>
      <c r="C145" s="283">
        <f>IF(itens_Remanesc!A144="","",itens_Remanesc!B144)</f>
        <v/>
      </c>
      <c r="D145" s="282">
        <f>IF(A145="TOTAL",ROUND(SUM($D$3:D144),2),IF(A145="","",ROUND(B145*C145,2)))</f>
        <v/>
      </c>
      <c r="E145" s="284">
        <f>IF(OR(itens_Remanesc!A144="",NOT(ISNUMBER(parametros!$F$3))),"",ROUND(itens_Remanesc!C144*parametros!$F$3,2))</f>
        <v/>
      </c>
      <c r="F145" s="285">
        <f>IF(itens_Remanesc!A144="","",itens_Remanesc!E144)</f>
        <v/>
      </c>
      <c r="G145" s="284">
        <f>IF(A145="TOTAL",ROUND(SUM($G$3:G144),2),IF(OR(A145="",E145="",F145=""),"",ROUND(E145*F145,2)))</f>
        <v/>
      </c>
      <c r="H145" s="282">
        <f>IF(OR(itens_Remanesc!A144="",NOT(ISNUMBER(parametros!$F$4))),"",ROUND(itens_Remanesc!C144*parametros!$F$4,2))</f>
        <v/>
      </c>
      <c r="I145" s="283">
        <f>IF(itens_Remanesc!A144="","",itens_Remanesc!G144)</f>
        <v/>
      </c>
      <c r="J145" s="282">
        <f>IF(A145="TOTAL",ROUND(SUM($J$3:J144),2),IF(OR(A145="",H145="",I145=""),"",ROUND(H145*I145,2)))</f>
        <v/>
      </c>
      <c r="K145" s="284">
        <f>IF(OR(itens_Remanesc!A144="",NOT(ISNUMBER(parametros!$F$5))),"",ROUND(itens_Remanesc!C144*parametros!$F$5,2))</f>
        <v/>
      </c>
      <c r="L145" s="285">
        <f>IF(itens_Remanesc!A144="","",itens_Remanesc!I144)</f>
        <v/>
      </c>
      <c r="M145" s="284">
        <f>IF(A145="TOTAL",ROUND(SUM($M$3:M144),2),IF(OR(A145="",K145="",L145=""),"",ROUND(K145*L145,2)))</f>
        <v/>
      </c>
      <c r="N145" s="282">
        <f>IF(OR(itens_Remanesc!A144="",NOT(ISNUMBER(parametros!$F$6))),"",ROUND(itens_Remanesc!C144*parametros!$F$6,2))</f>
        <v/>
      </c>
      <c r="O145" s="283">
        <f>IF(itens_Remanesc!A144="","",itens_Remanesc!K144)</f>
        <v/>
      </c>
      <c r="P145" s="282">
        <f>IF(A145="TOTAL",ROUND(SUM($P$3:P144),2),IF(OR(A145="",N145="",O145=""),"",ROUND(N145*O145,2)))</f>
        <v/>
      </c>
    </row>
    <row r="146">
      <c r="A146" s="281">
        <f>IF(AND(itens_Remanesc!A145="",itens_Remanesc!A144&lt;&gt;"",COUNTIF(itens_Remanesc!A146:$A$200,"&lt;&gt;")=0),"TOTAL",IF(itens_Remanesc!A145="","",itens_Remanesc!A145))</f>
        <v/>
      </c>
      <c r="B146" s="282">
        <f>IF(OR(itens_Remanesc!A145="",NOT(ISNUMBER(parametros!$F$2))),"",ROUND(itens_Remanesc!C145*parametros!$F$2,2))</f>
        <v/>
      </c>
      <c r="C146" s="283">
        <f>IF(itens_Remanesc!A145="","",itens_Remanesc!B145)</f>
        <v/>
      </c>
      <c r="D146" s="282">
        <f>IF(A146="TOTAL",ROUND(SUM($D$3:D145),2),IF(A146="","",ROUND(B146*C146,2)))</f>
        <v/>
      </c>
      <c r="E146" s="284">
        <f>IF(OR(itens_Remanesc!A145="",NOT(ISNUMBER(parametros!$F$3))),"",ROUND(itens_Remanesc!C145*parametros!$F$3,2))</f>
        <v/>
      </c>
      <c r="F146" s="285">
        <f>IF(itens_Remanesc!A145="","",itens_Remanesc!E145)</f>
        <v/>
      </c>
      <c r="G146" s="284">
        <f>IF(A146="TOTAL",ROUND(SUM($G$3:G145),2),IF(OR(A146="",E146="",F146=""),"",ROUND(E146*F146,2)))</f>
        <v/>
      </c>
      <c r="H146" s="282">
        <f>IF(OR(itens_Remanesc!A145="",NOT(ISNUMBER(parametros!$F$4))),"",ROUND(itens_Remanesc!C145*parametros!$F$4,2))</f>
        <v/>
      </c>
      <c r="I146" s="283">
        <f>IF(itens_Remanesc!A145="","",itens_Remanesc!G145)</f>
        <v/>
      </c>
      <c r="J146" s="282">
        <f>IF(A146="TOTAL",ROUND(SUM($J$3:J145),2),IF(OR(A146="",H146="",I146=""),"",ROUND(H146*I146,2)))</f>
        <v/>
      </c>
      <c r="K146" s="284">
        <f>IF(OR(itens_Remanesc!A145="",NOT(ISNUMBER(parametros!$F$5))),"",ROUND(itens_Remanesc!C145*parametros!$F$5,2))</f>
        <v/>
      </c>
      <c r="L146" s="285">
        <f>IF(itens_Remanesc!A145="","",itens_Remanesc!I145)</f>
        <v/>
      </c>
      <c r="M146" s="284">
        <f>IF(A146="TOTAL",ROUND(SUM($M$3:M145),2),IF(OR(A146="",K146="",L146=""),"",ROUND(K146*L146,2)))</f>
        <v/>
      </c>
      <c r="N146" s="282">
        <f>IF(OR(itens_Remanesc!A145="",NOT(ISNUMBER(parametros!$F$6))),"",ROUND(itens_Remanesc!C145*parametros!$F$6,2))</f>
        <v/>
      </c>
      <c r="O146" s="283">
        <f>IF(itens_Remanesc!A145="","",itens_Remanesc!K145)</f>
        <v/>
      </c>
      <c r="P146" s="282">
        <f>IF(A146="TOTAL",ROUND(SUM($P$3:P145),2),IF(OR(A146="",N146="",O146=""),"",ROUND(N146*O146,2)))</f>
        <v/>
      </c>
    </row>
    <row r="147">
      <c r="A147" s="281">
        <f>IF(AND(itens_Remanesc!A146="",itens_Remanesc!A145&lt;&gt;"",COUNTIF(itens_Remanesc!A147:$A$200,"&lt;&gt;")=0),"TOTAL",IF(itens_Remanesc!A146="","",itens_Remanesc!A146))</f>
        <v/>
      </c>
      <c r="B147" s="282">
        <f>IF(OR(itens_Remanesc!A146="",NOT(ISNUMBER(parametros!$F$2))),"",ROUND(itens_Remanesc!C146*parametros!$F$2,2))</f>
        <v/>
      </c>
      <c r="C147" s="283">
        <f>IF(itens_Remanesc!A146="","",itens_Remanesc!B146)</f>
        <v/>
      </c>
      <c r="D147" s="282">
        <f>IF(A147="TOTAL",ROUND(SUM($D$3:D146),2),IF(A147="","",ROUND(B147*C147,2)))</f>
        <v/>
      </c>
      <c r="E147" s="284">
        <f>IF(OR(itens_Remanesc!A146="",NOT(ISNUMBER(parametros!$F$3))),"",ROUND(itens_Remanesc!C146*parametros!$F$3,2))</f>
        <v/>
      </c>
      <c r="F147" s="285">
        <f>IF(itens_Remanesc!A146="","",itens_Remanesc!E146)</f>
        <v/>
      </c>
      <c r="G147" s="284">
        <f>IF(A147="TOTAL",ROUND(SUM($G$3:G146),2),IF(OR(A147="",E147="",F147=""),"",ROUND(E147*F147,2)))</f>
        <v/>
      </c>
      <c r="H147" s="282">
        <f>IF(OR(itens_Remanesc!A146="",NOT(ISNUMBER(parametros!$F$4))),"",ROUND(itens_Remanesc!C146*parametros!$F$4,2))</f>
        <v/>
      </c>
      <c r="I147" s="283">
        <f>IF(itens_Remanesc!A146="","",itens_Remanesc!G146)</f>
        <v/>
      </c>
      <c r="J147" s="282">
        <f>IF(A147="TOTAL",ROUND(SUM($J$3:J146),2),IF(OR(A147="",H147="",I147=""),"",ROUND(H147*I147,2)))</f>
        <v/>
      </c>
      <c r="K147" s="284">
        <f>IF(OR(itens_Remanesc!A146="",NOT(ISNUMBER(parametros!$F$5))),"",ROUND(itens_Remanesc!C146*parametros!$F$5,2))</f>
        <v/>
      </c>
      <c r="L147" s="285">
        <f>IF(itens_Remanesc!A146="","",itens_Remanesc!I146)</f>
        <v/>
      </c>
      <c r="M147" s="284">
        <f>IF(A147="TOTAL",ROUND(SUM($M$3:M146),2),IF(OR(A147="",K147="",L147=""),"",ROUND(K147*L147,2)))</f>
        <v/>
      </c>
      <c r="N147" s="282">
        <f>IF(OR(itens_Remanesc!A146="",NOT(ISNUMBER(parametros!$F$6))),"",ROUND(itens_Remanesc!C146*parametros!$F$6,2))</f>
        <v/>
      </c>
      <c r="O147" s="283">
        <f>IF(itens_Remanesc!A146="","",itens_Remanesc!K146)</f>
        <v/>
      </c>
      <c r="P147" s="282">
        <f>IF(A147="TOTAL",ROUND(SUM($P$3:P146),2),IF(OR(A147="",N147="",O147=""),"",ROUND(N147*O147,2)))</f>
        <v/>
      </c>
    </row>
    <row r="148">
      <c r="A148" s="281">
        <f>IF(AND(itens_Remanesc!A147="",itens_Remanesc!A146&lt;&gt;"",COUNTIF(itens_Remanesc!A148:$A$200,"&lt;&gt;")=0),"TOTAL",IF(itens_Remanesc!A147="","",itens_Remanesc!A147))</f>
        <v/>
      </c>
      <c r="B148" s="282">
        <f>IF(OR(itens_Remanesc!A147="",NOT(ISNUMBER(parametros!$F$2))),"",ROUND(itens_Remanesc!C147*parametros!$F$2,2))</f>
        <v/>
      </c>
      <c r="C148" s="283">
        <f>IF(itens_Remanesc!A147="","",itens_Remanesc!B147)</f>
        <v/>
      </c>
      <c r="D148" s="282">
        <f>IF(A148="TOTAL",ROUND(SUM($D$3:D147),2),IF(A148="","",ROUND(B148*C148,2)))</f>
        <v/>
      </c>
      <c r="E148" s="284">
        <f>IF(OR(itens_Remanesc!A147="",NOT(ISNUMBER(parametros!$F$3))),"",ROUND(itens_Remanesc!C147*parametros!$F$3,2))</f>
        <v/>
      </c>
      <c r="F148" s="285">
        <f>IF(itens_Remanesc!A147="","",itens_Remanesc!E147)</f>
        <v/>
      </c>
      <c r="G148" s="284">
        <f>IF(A148="TOTAL",ROUND(SUM($G$3:G147),2),IF(OR(A148="",E148="",F148=""),"",ROUND(E148*F148,2)))</f>
        <v/>
      </c>
      <c r="H148" s="282">
        <f>IF(OR(itens_Remanesc!A147="",NOT(ISNUMBER(parametros!$F$4))),"",ROUND(itens_Remanesc!C147*parametros!$F$4,2))</f>
        <v/>
      </c>
      <c r="I148" s="283">
        <f>IF(itens_Remanesc!A147="","",itens_Remanesc!G147)</f>
        <v/>
      </c>
      <c r="J148" s="282">
        <f>IF(A148="TOTAL",ROUND(SUM($J$3:J147),2),IF(OR(A148="",H148="",I148=""),"",ROUND(H148*I148,2)))</f>
        <v/>
      </c>
      <c r="K148" s="284">
        <f>IF(OR(itens_Remanesc!A147="",NOT(ISNUMBER(parametros!$F$5))),"",ROUND(itens_Remanesc!C147*parametros!$F$5,2))</f>
        <v/>
      </c>
      <c r="L148" s="285">
        <f>IF(itens_Remanesc!A147="","",itens_Remanesc!I147)</f>
        <v/>
      </c>
      <c r="M148" s="284">
        <f>IF(A148="TOTAL",ROUND(SUM($M$3:M147),2),IF(OR(A148="",K148="",L148=""),"",ROUND(K148*L148,2)))</f>
        <v/>
      </c>
      <c r="N148" s="282">
        <f>IF(OR(itens_Remanesc!A147="",NOT(ISNUMBER(parametros!$F$6))),"",ROUND(itens_Remanesc!C147*parametros!$F$6,2))</f>
        <v/>
      </c>
      <c r="O148" s="283">
        <f>IF(itens_Remanesc!A147="","",itens_Remanesc!K147)</f>
        <v/>
      </c>
      <c r="P148" s="282">
        <f>IF(A148="TOTAL",ROUND(SUM($P$3:P147),2),IF(OR(A148="",N148="",O148=""),"",ROUND(N148*O148,2)))</f>
        <v/>
      </c>
    </row>
    <row r="149">
      <c r="A149" s="281">
        <f>IF(AND(itens_Remanesc!A148="",itens_Remanesc!A147&lt;&gt;"",COUNTIF(itens_Remanesc!A149:$A$200,"&lt;&gt;")=0),"TOTAL",IF(itens_Remanesc!A148="","",itens_Remanesc!A148))</f>
        <v/>
      </c>
      <c r="B149" s="282">
        <f>IF(OR(itens_Remanesc!A148="",NOT(ISNUMBER(parametros!$F$2))),"",ROUND(itens_Remanesc!C148*parametros!$F$2,2))</f>
        <v/>
      </c>
      <c r="C149" s="283">
        <f>IF(itens_Remanesc!A148="","",itens_Remanesc!B148)</f>
        <v/>
      </c>
      <c r="D149" s="282">
        <f>IF(A149="TOTAL",ROUND(SUM($D$3:D148),2),IF(A149="","",ROUND(B149*C149,2)))</f>
        <v/>
      </c>
      <c r="E149" s="284">
        <f>IF(OR(itens_Remanesc!A148="",NOT(ISNUMBER(parametros!$F$3))),"",ROUND(itens_Remanesc!C148*parametros!$F$3,2))</f>
        <v/>
      </c>
      <c r="F149" s="285">
        <f>IF(itens_Remanesc!A148="","",itens_Remanesc!E148)</f>
        <v/>
      </c>
      <c r="G149" s="284">
        <f>IF(A149="TOTAL",ROUND(SUM($G$3:G148),2),IF(OR(A149="",E149="",F149=""),"",ROUND(E149*F149,2)))</f>
        <v/>
      </c>
      <c r="H149" s="282">
        <f>IF(OR(itens_Remanesc!A148="",NOT(ISNUMBER(parametros!$F$4))),"",ROUND(itens_Remanesc!C148*parametros!$F$4,2))</f>
        <v/>
      </c>
      <c r="I149" s="283">
        <f>IF(itens_Remanesc!A148="","",itens_Remanesc!G148)</f>
        <v/>
      </c>
      <c r="J149" s="282">
        <f>IF(A149="TOTAL",ROUND(SUM($J$3:J148),2),IF(OR(A149="",H149="",I149=""),"",ROUND(H149*I149,2)))</f>
        <v/>
      </c>
      <c r="K149" s="284">
        <f>IF(OR(itens_Remanesc!A148="",NOT(ISNUMBER(parametros!$F$5))),"",ROUND(itens_Remanesc!C148*parametros!$F$5,2))</f>
        <v/>
      </c>
      <c r="L149" s="285">
        <f>IF(itens_Remanesc!A148="","",itens_Remanesc!I148)</f>
        <v/>
      </c>
      <c r="M149" s="284">
        <f>IF(A149="TOTAL",ROUND(SUM($M$3:M148),2),IF(OR(A149="",K149="",L149=""),"",ROUND(K149*L149,2)))</f>
        <v/>
      </c>
      <c r="N149" s="282">
        <f>IF(OR(itens_Remanesc!A148="",NOT(ISNUMBER(parametros!$F$6))),"",ROUND(itens_Remanesc!C148*parametros!$F$6,2))</f>
        <v/>
      </c>
      <c r="O149" s="283">
        <f>IF(itens_Remanesc!A148="","",itens_Remanesc!K148)</f>
        <v/>
      </c>
      <c r="P149" s="282">
        <f>IF(A149="TOTAL",ROUND(SUM($P$3:P148),2),IF(OR(A149="",N149="",O149=""),"",ROUND(N149*O149,2)))</f>
        <v/>
      </c>
    </row>
    <row r="150">
      <c r="A150" s="281">
        <f>IF(AND(itens_Remanesc!A149="",itens_Remanesc!A148&lt;&gt;"",COUNTIF(itens_Remanesc!A150:$A$200,"&lt;&gt;")=0),"TOTAL",IF(itens_Remanesc!A149="","",itens_Remanesc!A149))</f>
        <v/>
      </c>
      <c r="B150" s="282">
        <f>IF(OR(itens_Remanesc!A149="",NOT(ISNUMBER(parametros!$F$2))),"",ROUND(itens_Remanesc!C149*parametros!$F$2,2))</f>
        <v/>
      </c>
      <c r="C150" s="283">
        <f>IF(itens_Remanesc!A149="","",itens_Remanesc!B149)</f>
        <v/>
      </c>
      <c r="D150" s="282">
        <f>IF(A150="TOTAL",ROUND(SUM($D$3:D149),2),IF(A150="","",ROUND(B150*C150,2)))</f>
        <v/>
      </c>
      <c r="E150" s="284">
        <f>IF(OR(itens_Remanesc!A149="",NOT(ISNUMBER(parametros!$F$3))),"",ROUND(itens_Remanesc!C149*parametros!$F$3,2))</f>
        <v/>
      </c>
      <c r="F150" s="285">
        <f>IF(itens_Remanesc!A149="","",itens_Remanesc!E149)</f>
        <v/>
      </c>
      <c r="G150" s="284">
        <f>IF(A150="TOTAL",ROUND(SUM($G$3:G149),2),IF(OR(A150="",E150="",F150=""),"",ROUND(E150*F150,2)))</f>
        <v/>
      </c>
      <c r="H150" s="282">
        <f>IF(OR(itens_Remanesc!A149="",NOT(ISNUMBER(parametros!$F$4))),"",ROUND(itens_Remanesc!C149*parametros!$F$4,2))</f>
        <v/>
      </c>
      <c r="I150" s="283">
        <f>IF(itens_Remanesc!A149="","",itens_Remanesc!G149)</f>
        <v/>
      </c>
      <c r="J150" s="282">
        <f>IF(A150="TOTAL",ROUND(SUM($J$3:J149),2),IF(OR(A150="",H150="",I150=""),"",ROUND(H150*I150,2)))</f>
        <v/>
      </c>
      <c r="K150" s="284">
        <f>IF(OR(itens_Remanesc!A149="",NOT(ISNUMBER(parametros!$F$5))),"",ROUND(itens_Remanesc!C149*parametros!$F$5,2))</f>
        <v/>
      </c>
      <c r="L150" s="285">
        <f>IF(itens_Remanesc!A149="","",itens_Remanesc!I149)</f>
        <v/>
      </c>
      <c r="M150" s="284">
        <f>IF(A150="TOTAL",ROUND(SUM($M$3:M149),2),IF(OR(A150="",K150="",L150=""),"",ROUND(K150*L150,2)))</f>
        <v/>
      </c>
      <c r="N150" s="282">
        <f>IF(OR(itens_Remanesc!A149="",NOT(ISNUMBER(parametros!$F$6))),"",ROUND(itens_Remanesc!C149*parametros!$F$6,2))</f>
        <v/>
      </c>
      <c r="O150" s="283">
        <f>IF(itens_Remanesc!A149="","",itens_Remanesc!K149)</f>
        <v/>
      </c>
      <c r="P150" s="282">
        <f>IF(A150="TOTAL",ROUND(SUM($P$3:P149),2),IF(OR(A150="",N150="",O150=""),"",ROUND(N150*O150,2)))</f>
        <v/>
      </c>
    </row>
    <row r="151">
      <c r="A151" s="281">
        <f>IF(AND(itens_Remanesc!A150="",itens_Remanesc!A149&lt;&gt;"",COUNTIF(itens_Remanesc!A151:$A$200,"&lt;&gt;")=0),"TOTAL",IF(itens_Remanesc!A150="","",itens_Remanesc!A150))</f>
        <v/>
      </c>
      <c r="B151" s="282">
        <f>IF(OR(itens_Remanesc!A150="",NOT(ISNUMBER(parametros!$F$2))),"",ROUND(itens_Remanesc!C150*parametros!$F$2,2))</f>
        <v/>
      </c>
      <c r="C151" s="283">
        <f>IF(itens_Remanesc!A150="","",itens_Remanesc!B150)</f>
        <v/>
      </c>
      <c r="D151" s="282">
        <f>IF(A151="TOTAL",ROUND(SUM($D$3:D150),2),IF(A151="","",ROUND(B151*C151,2)))</f>
        <v/>
      </c>
      <c r="E151" s="284">
        <f>IF(OR(itens_Remanesc!A150="",NOT(ISNUMBER(parametros!$F$3))),"",ROUND(itens_Remanesc!C150*parametros!$F$3,2))</f>
        <v/>
      </c>
      <c r="F151" s="285">
        <f>IF(itens_Remanesc!A150="","",itens_Remanesc!E150)</f>
        <v/>
      </c>
      <c r="G151" s="284">
        <f>IF(A151="TOTAL",ROUND(SUM($G$3:G150),2),IF(OR(A151="",E151="",F151=""),"",ROUND(E151*F151,2)))</f>
        <v/>
      </c>
      <c r="H151" s="282">
        <f>IF(OR(itens_Remanesc!A150="",NOT(ISNUMBER(parametros!$F$4))),"",ROUND(itens_Remanesc!C150*parametros!$F$4,2))</f>
        <v/>
      </c>
      <c r="I151" s="283">
        <f>IF(itens_Remanesc!A150="","",itens_Remanesc!G150)</f>
        <v/>
      </c>
      <c r="J151" s="282">
        <f>IF(A151="TOTAL",ROUND(SUM($J$3:J150),2),IF(OR(A151="",H151="",I151=""),"",ROUND(H151*I151,2)))</f>
        <v/>
      </c>
      <c r="K151" s="284">
        <f>IF(OR(itens_Remanesc!A150="",NOT(ISNUMBER(parametros!$F$5))),"",ROUND(itens_Remanesc!C150*parametros!$F$5,2))</f>
        <v/>
      </c>
      <c r="L151" s="285">
        <f>IF(itens_Remanesc!A150="","",itens_Remanesc!I150)</f>
        <v/>
      </c>
      <c r="M151" s="284">
        <f>IF(A151="TOTAL",ROUND(SUM($M$3:M150),2),IF(OR(A151="",K151="",L151=""),"",ROUND(K151*L151,2)))</f>
        <v/>
      </c>
      <c r="N151" s="282">
        <f>IF(OR(itens_Remanesc!A150="",NOT(ISNUMBER(parametros!$F$6))),"",ROUND(itens_Remanesc!C150*parametros!$F$6,2))</f>
        <v/>
      </c>
      <c r="O151" s="283">
        <f>IF(itens_Remanesc!A150="","",itens_Remanesc!K150)</f>
        <v/>
      </c>
      <c r="P151" s="282">
        <f>IF(A151="TOTAL",ROUND(SUM($P$3:P150),2),IF(OR(A151="",N151="",O151=""),"",ROUND(N151*O151,2)))</f>
        <v/>
      </c>
    </row>
    <row r="152">
      <c r="A152" s="281">
        <f>IF(AND(itens_Remanesc!A151="",itens_Remanesc!A150&lt;&gt;"",COUNTIF(itens_Remanesc!A152:$A$200,"&lt;&gt;")=0),"TOTAL",IF(itens_Remanesc!A151="","",itens_Remanesc!A151))</f>
        <v/>
      </c>
      <c r="B152" s="282">
        <f>IF(OR(itens_Remanesc!A151="",NOT(ISNUMBER(parametros!$F$2))),"",ROUND(itens_Remanesc!C151*parametros!$F$2,2))</f>
        <v/>
      </c>
      <c r="C152" s="283">
        <f>IF(itens_Remanesc!A151="","",itens_Remanesc!B151)</f>
        <v/>
      </c>
      <c r="D152" s="282">
        <f>IF(A152="TOTAL",ROUND(SUM($D$3:D151),2),IF(A152="","",ROUND(B152*C152,2)))</f>
        <v/>
      </c>
      <c r="E152" s="284">
        <f>IF(OR(itens_Remanesc!A151="",NOT(ISNUMBER(parametros!$F$3))),"",ROUND(itens_Remanesc!C151*parametros!$F$3,2))</f>
        <v/>
      </c>
      <c r="F152" s="285">
        <f>IF(itens_Remanesc!A151="","",itens_Remanesc!E151)</f>
        <v/>
      </c>
      <c r="G152" s="284">
        <f>IF(A152="TOTAL",ROUND(SUM($G$3:G151),2),IF(OR(A152="",E152="",F152=""),"",ROUND(E152*F152,2)))</f>
        <v/>
      </c>
      <c r="H152" s="282">
        <f>IF(OR(itens_Remanesc!A151="",NOT(ISNUMBER(parametros!$F$4))),"",ROUND(itens_Remanesc!C151*parametros!$F$4,2))</f>
        <v/>
      </c>
      <c r="I152" s="283">
        <f>IF(itens_Remanesc!A151="","",itens_Remanesc!G151)</f>
        <v/>
      </c>
      <c r="J152" s="282">
        <f>IF(A152="TOTAL",ROUND(SUM($J$3:J151),2),IF(OR(A152="",H152="",I152=""),"",ROUND(H152*I152,2)))</f>
        <v/>
      </c>
      <c r="K152" s="284">
        <f>IF(OR(itens_Remanesc!A151="",NOT(ISNUMBER(parametros!$F$5))),"",ROUND(itens_Remanesc!C151*parametros!$F$5,2))</f>
        <v/>
      </c>
      <c r="L152" s="285">
        <f>IF(itens_Remanesc!A151="","",itens_Remanesc!I151)</f>
        <v/>
      </c>
      <c r="M152" s="284">
        <f>IF(A152="TOTAL",ROUND(SUM($M$3:M151),2),IF(OR(A152="",K152="",L152=""),"",ROUND(K152*L152,2)))</f>
        <v/>
      </c>
      <c r="N152" s="282">
        <f>IF(OR(itens_Remanesc!A151="",NOT(ISNUMBER(parametros!$F$6))),"",ROUND(itens_Remanesc!C151*parametros!$F$6,2))</f>
        <v/>
      </c>
      <c r="O152" s="283">
        <f>IF(itens_Remanesc!A151="","",itens_Remanesc!K151)</f>
        <v/>
      </c>
      <c r="P152" s="282">
        <f>IF(A152="TOTAL",ROUND(SUM($P$3:P151),2),IF(OR(A152="",N152="",O152=""),"",ROUND(N152*O152,2)))</f>
        <v/>
      </c>
    </row>
    <row r="153">
      <c r="A153" s="281">
        <f>IF(AND(itens_Remanesc!A152="",itens_Remanesc!A151&lt;&gt;"",COUNTIF(itens_Remanesc!A153:$A$200,"&lt;&gt;")=0),"TOTAL",IF(itens_Remanesc!A152="","",itens_Remanesc!A152))</f>
        <v/>
      </c>
      <c r="B153" s="282">
        <f>IF(OR(itens_Remanesc!A152="",NOT(ISNUMBER(parametros!$F$2))),"",ROUND(itens_Remanesc!C152*parametros!$F$2,2))</f>
        <v/>
      </c>
      <c r="C153" s="283">
        <f>IF(itens_Remanesc!A152="","",itens_Remanesc!B152)</f>
        <v/>
      </c>
      <c r="D153" s="282">
        <f>IF(A153="TOTAL",ROUND(SUM($D$3:D152),2),IF(A153="","",ROUND(B153*C153,2)))</f>
        <v/>
      </c>
      <c r="E153" s="284">
        <f>IF(OR(itens_Remanesc!A152="",NOT(ISNUMBER(parametros!$F$3))),"",ROUND(itens_Remanesc!C152*parametros!$F$3,2))</f>
        <v/>
      </c>
      <c r="F153" s="285">
        <f>IF(itens_Remanesc!A152="","",itens_Remanesc!E152)</f>
        <v/>
      </c>
      <c r="G153" s="284">
        <f>IF(A153="TOTAL",ROUND(SUM($G$3:G152),2),IF(OR(A153="",E153="",F153=""),"",ROUND(E153*F153,2)))</f>
        <v/>
      </c>
      <c r="H153" s="282">
        <f>IF(OR(itens_Remanesc!A152="",NOT(ISNUMBER(parametros!$F$4))),"",ROUND(itens_Remanesc!C152*parametros!$F$4,2))</f>
        <v/>
      </c>
      <c r="I153" s="283">
        <f>IF(itens_Remanesc!A152="","",itens_Remanesc!G152)</f>
        <v/>
      </c>
      <c r="J153" s="282">
        <f>IF(A153="TOTAL",ROUND(SUM($J$3:J152),2),IF(OR(A153="",H153="",I153=""),"",ROUND(H153*I153,2)))</f>
        <v/>
      </c>
      <c r="K153" s="284">
        <f>IF(OR(itens_Remanesc!A152="",NOT(ISNUMBER(parametros!$F$5))),"",ROUND(itens_Remanesc!C152*parametros!$F$5,2))</f>
        <v/>
      </c>
      <c r="L153" s="285">
        <f>IF(itens_Remanesc!A152="","",itens_Remanesc!I152)</f>
        <v/>
      </c>
      <c r="M153" s="284">
        <f>IF(A153="TOTAL",ROUND(SUM($M$3:M152),2),IF(OR(A153="",K153="",L153=""),"",ROUND(K153*L153,2)))</f>
        <v/>
      </c>
      <c r="N153" s="282">
        <f>IF(OR(itens_Remanesc!A152="",NOT(ISNUMBER(parametros!$F$6))),"",ROUND(itens_Remanesc!C152*parametros!$F$6,2))</f>
        <v/>
      </c>
      <c r="O153" s="283">
        <f>IF(itens_Remanesc!A152="","",itens_Remanesc!K152)</f>
        <v/>
      </c>
      <c r="P153" s="282">
        <f>IF(A153="TOTAL",ROUND(SUM($P$3:P152),2),IF(OR(A153="",N153="",O153=""),"",ROUND(N153*O153,2)))</f>
        <v/>
      </c>
    </row>
    <row r="154">
      <c r="A154" s="281">
        <f>IF(AND(itens_Remanesc!A153="",itens_Remanesc!A152&lt;&gt;"",COUNTIF(itens_Remanesc!A154:$A$200,"&lt;&gt;")=0),"TOTAL",IF(itens_Remanesc!A153="","",itens_Remanesc!A153))</f>
        <v/>
      </c>
      <c r="B154" s="282">
        <f>IF(OR(itens_Remanesc!A153="",NOT(ISNUMBER(parametros!$F$2))),"",ROUND(itens_Remanesc!C153*parametros!$F$2,2))</f>
        <v/>
      </c>
      <c r="C154" s="283">
        <f>IF(itens_Remanesc!A153="","",itens_Remanesc!B153)</f>
        <v/>
      </c>
      <c r="D154" s="282">
        <f>IF(A154="TOTAL",ROUND(SUM($D$3:D153),2),IF(A154="","",ROUND(B154*C154,2)))</f>
        <v/>
      </c>
      <c r="E154" s="284">
        <f>IF(OR(itens_Remanesc!A153="",NOT(ISNUMBER(parametros!$F$3))),"",ROUND(itens_Remanesc!C153*parametros!$F$3,2))</f>
        <v/>
      </c>
      <c r="F154" s="285">
        <f>IF(itens_Remanesc!A153="","",itens_Remanesc!E153)</f>
        <v/>
      </c>
      <c r="G154" s="284">
        <f>IF(A154="TOTAL",ROUND(SUM($G$3:G153),2),IF(OR(A154="",E154="",F154=""),"",ROUND(E154*F154,2)))</f>
        <v/>
      </c>
      <c r="H154" s="282">
        <f>IF(OR(itens_Remanesc!A153="",NOT(ISNUMBER(parametros!$F$4))),"",ROUND(itens_Remanesc!C153*parametros!$F$4,2))</f>
        <v/>
      </c>
      <c r="I154" s="283">
        <f>IF(itens_Remanesc!A153="","",itens_Remanesc!G153)</f>
        <v/>
      </c>
      <c r="J154" s="282">
        <f>IF(A154="TOTAL",ROUND(SUM($J$3:J153),2),IF(OR(A154="",H154="",I154=""),"",ROUND(H154*I154,2)))</f>
        <v/>
      </c>
      <c r="K154" s="284">
        <f>IF(OR(itens_Remanesc!A153="",NOT(ISNUMBER(parametros!$F$5))),"",ROUND(itens_Remanesc!C153*parametros!$F$5,2))</f>
        <v/>
      </c>
      <c r="L154" s="285">
        <f>IF(itens_Remanesc!A153="","",itens_Remanesc!I153)</f>
        <v/>
      </c>
      <c r="M154" s="284">
        <f>IF(A154="TOTAL",ROUND(SUM($M$3:M153),2),IF(OR(A154="",K154="",L154=""),"",ROUND(K154*L154,2)))</f>
        <v/>
      </c>
      <c r="N154" s="282">
        <f>IF(OR(itens_Remanesc!A153="",NOT(ISNUMBER(parametros!$F$6))),"",ROUND(itens_Remanesc!C153*parametros!$F$6,2))</f>
        <v/>
      </c>
      <c r="O154" s="283">
        <f>IF(itens_Remanesc!A153="","",itens_Remanesc!K153)</f>
        <v/>
      </c>
      <c r="P154" s="282">
        <f>IF(A154="TOTAL",ROUND(SUM($P$3:P153),2),IF(OR(A154="",N154="",O154=""),"",ROUND(N154*O154,2)))</f>
        <v/>
      </c>
    </row>
    <row r="155">
      <c r="A155" s="281">
        <f>IF(AND(itens_Remanesc!A154="",itens_Remanesc!A153&lt;&gt;"",COUNTIF(itens_Remanesc!A155:$A$200,"&lt;&gt;")=0),"TOTAL",IF(itens_Remanesc!A154="","",itens_Remanesc!A154))</f>
        <v/>
      </c>
      <c r="B155" s="282">
        <f>IF(OR(itens_Remanesc!A154="",NOT(ISNUMBER(parametros!$F$2))),"",ROUND(itens_Remanesc!C154*parametros!$F$2,2))</f>
        <v/>
      </c>
      <c r="C155" s="283">
        <f>IF(itens_Remanesc!A154="","",itens_Remanesc!B154)</f>
        <v/>
      </c>
      <c r="D155" s="282">
        <f>IF(A155="TOTAL",ROUND(SUM($D$3:D154),2),IF(A155="","",ROUND(B155*C155,2)))</f>
        <v/>
      </c>
      <c r="E155" s="284">
        <f>IF(OR(itens_Remanesc!A154="",NOT(ISNUMBER(parametros!$F$3))),"",ROUND(itens_Remanesc!C154*parametros!$F$3,2))</f>
        <v/>
      </c>
      <c r="F155" s="285">
        <f>IF(itens_Remanesc!A154="","",itens_Remanesc!E154)</f>
        <v/>
      </c>
      <c r="G155" s="284">
        <f>IF(A155="TOTAL",ROUND(SUM($G$3:G154),2),IF(OR(A155="",E155="",F155=""),"",ROUND(E155*F155,2)))</f>
        <v/>
      </c>
      <c r="H155" s="282">
        <f>IF(OR(itens_Remanesc!A154="",NOT(ISNUMBER(parametros!$F$4))),"",ROUND(itens_Remanesc!C154*parametros!$F$4,2))</f>
        <v/>
      </c>
      <c r="I155" s="283">
        <f>IF(itens_Remanesc!A154="","",itens_Remanesc!G154)</f>
        <v/>
      </c>
      <c r="J155" s="282">
        <f>IF(A155="TOTAL",ROUND(SUM($J$3:J154),2),IF(OR(A155="",H155="",I155=""),"",ROUND(H155*I155,2)))</f>
        <v/>
      </c>
      <c r="K155" s="284">
        <f>IF(OR(itens_Remanesc!A154="",NOT(ISNUMBER(parametros!$F$5))),"",ROUND(itens_Remanesc!C154*parametros!$F$5,2))</f>
        <v/>
      </c>
      <c r="L155" s="285">
        <f>IF(itens_Remanesc!A154="","",itens_Remanesc!I154)</f>
        <v/>
      </c>
      <c r="M155" s="284">
        <f>IF(A155="TOTAL",ROUND(SUM($M$3:M154),2),IF(OR(A155="",K155="",L155=""),"",ROUND(K155*L155,2)))</f>
        <v/>
      </c>
      <c r="N155" s="282">
        <f>IF(OR(itens_Remanesc!A154="",NOT(ISNUMBER(parametros!$F$6))),"",ROUND(itens_Remanesc!C154*parametros!$F$6,2))</f>
        <v/>
      </c>
      <c r="O155" s="283">
        <f>IF(itens_Remanesc!A154="","",itens_Remanesc!K154)</f>
        <v/>
      </c>
      <c r="P155" s="282">
        <f>IF(A155="TOTAL",ROUND(SUM($P$3:P154),2),IF(OR(A155="",N155="",O155=""),"",ROUND(N155*O155,2)))</f>
        <v/>
      </c>
    </row>
    <row r="156">
      <c r="A156" s="281">
        <f>IF(AND(itens_Remanesc!A155="",itens_Remanesc!A154&lt;&gt;"",COUNTIF(itens_Remanesc!A156:$A$200,"&lt;&gt;")=0),"TOTAL",IF(itens_Remanesc!A155="","",itens_Remanesc!A155))</f>
        <v/>
      </c>
      <c r="B156" s="282">
        <f>IF(OR(itens_Remanesc!A155="",NOT(ISNUMBER(parametros!$F$2))),"",ROUND(itens_Remanesc!C155*parametros!$F$2,2))</f>
        <v/>
      </c>
      <c r="C156" s="283">
        <f>IF(itens_Remanesc!A155="","",itens_Remanesc!B155)</f>
        <v/>
      </c>
      <c r="D156" s="282">
        <f>IF(A156="TOTAL",ROUND(SUM($D$3:D155),2),IF(A156="","",ROUND(B156*C156,2)))</f>
        <v/>
      </c>
      <c r="E156" s="284">
        <f>IF(OR(itens_Remanesc!A155="",NOT(ISNUMBER(parametros!$F$3))),"",ROUND(itens_Remanesc!C155*parametros!$F$3,2))</f>
        <v/>
      </c>
      <c r="F156" s="285">
        <f>IF(itens_Remanesc!A155="","",itens_Remanesc!E155)</f>
        <v/>
      </c>
      <c r="G156" s="284">
        <f>IF(A156="TOTAL",ROUND(SUM($G$3:G155),2),IF(OR(A156="",E156="",F156=""),"",ROUND(E156*F156,2)))</f>
        <v/>
      </c>
      <c r="H156" s="282">
        <f>IF(OR(itens_Remanesc!A155="",NOT(ISNUMBER(parametros!$F$4))),"",ROUND(itens_Remanesc!C155*parametros!$F$4,2))</f>
        <v/>
      </c>
      <c r="I156" s="283">
        <f>IF(itens_Remanesc!A155="","",itens_Remanesc!G155)</f>
        <v/>
      </c>
      <c r="J156" s="282">
        <f>IF(A156="TOTAL",ROUND(SUM($J$3:J155),2),IF(OR(A156="",H156="",I156=""),"",ROUND(H156*I156,2)))</f>
        <v/>
      </c>
      <c r="K156" s="284">
        <f>IF(OR(itens_Remanesc!A155="",NOT(ISNUMBER(parametros!$F$5))),"",ROUND(itens_Remanesc!C155*parametros!$F$5,2))</f>
        <v/>
      </c>
      <c r="L156" s="285">
        <f>IF(itens_Remanesc!A155="","",itens_Remanesc!I155)</f>
        <v/>
      </c>
      <c r="M156" s="284">
        <f>IF(A156="TOTAL",ROUND(SUM($M$3:M155),2),IF(OR(A156="",K156="",L156=""),"",ROUND(K156*L156,2)))</f>
        <v/>
      </c>
      <c r="N156" s="282">
        <f>IF(OR(itens_Remanesc!A155="",NOT(ISNUMBER(parametros!$F$6))),"",ROUND(itens_Remanesc!C155*parametros!$F$6,2))</f>
        <v/>
      </c>
      <c r="O156" s="283">
        <f>IF(itens_Remanesc!A155="","",itens_Remanesc!K155)</f>
        <v/>
      </c>
      <c r="P156" s="282">
        <f>IF(A156="TOTAL",ROUND(SUM($P$3:P155),2),IF(OR(A156="",N156="",O156=""),"",ROUND(N156*O156,2)))</f>
        <v/>
      </c>
    </row>
    <row r="157">
      <c r="A157" s="281">
        <f>IF(AND(itens_Remanesc!A156="",itens_Remanesc!A155&lt;&gt;"",COUNTIF(itens_Remanesc!A157:$A$200,"&lt;&gt;")=0),"TOTAL",IF(itens_Remanesc!A156="","",itens_Remanesc!A156))</f>
        <v/>
      </c>
      <c r="B157" s="282">
        <f>IF(OR(itens_Remanesc!A156="",NOT(ISNUMBER(parametros!$F$2))),"",ROUND(itens_Remanesc!C156*parametros!$F$2,2))</f>
        <v/>
      </c>
      <c r="C157" s="283">
        <f>IF(itens_Remanesc!A156="","",itens_Remanesc!B156)</f>
        <v/>
      </c>
      <c r="D157" s="282">
        <f>IF(A157="TOTAL",ROUND(SUM($D$3:D156),2),IF(A157="","",ROUND(B157*C157,2)))</f>
        <v/>
      </c>
      <c r="E157" s="284">
        <f>IF(OR(itens_Remanesc!A156="",NOT(ISNUMBER(parametros!$F$3))),"",ROUND(itens_Remanesc!C156*parametros!$F$3,2))</f>
        <v/>
      </c>
      <c r="F157" s="285">
        <f>IF(itens_Remanesc!A156="","",itens_Remanesc!E156)</f>
        <v/>
      </c>
      <c r="G157" s="284">
        <f>IF(A157="TOTAL",ROUND(SUM($G$3:G156),2),IF(OR(A157="",E157="",F157=""),"",ROUND(E157*F157,2)))</f>
        <v/>
      </c>
      <c r="H157" s="282">
        <f>IF(OR(itens_Remanesc!A156="",NOT(ISNUMBER(parametros!$F$4))),"",ROUND(itens_Remanesc!C156*parametros!$F$4,2))</f>
        <v/>
      </c>
      <c r="I157" s="283">
        <f>IF(itens_Remanesc!A156="","",itens_Remanesc!G156)</f>
        <v/>
      </c>
      <c r="J157" s="282">
        <f>IF(A157="TOTAL",ROUND(SUM($J$3:J156),2),IF(OR(A157="",H157="",I157=""),"",ROUND(H157*I157,2)))</f>
        <v/>
      </c>
      <c r="K157" s="284">
        <f>IF(OR(itens_Remanesc!A156="",NOT(ISNUMBER(parametros!$F$5))),"",ROUND(itens_Remanesc!C156*parametros!$F$5,2))</f>
        <v/>
      </c>
      <c r="L157" s="285">
        <f>IF(itens_Remanesc!A156="","",itens_Remanesc!I156)</f>
        <v/>
      </c>
      <c r="M157" s="284">
        <f>IF(A157="TOTAL",ROUND(SUM($M$3:M156),2),IF(OR(A157="",K157="",L157=""),"",ROUND(K157*L157,2)))</f>
        <v/>
      </c>
      <c r="N157" s="282">
        <f>IF(OR(itens_Remanesc!A156="",NOT(ISNUMBER(parametros!$F$6))),"",ROUND(itens_Remanesc!C156*parametros!$F$6,2))</f>
        <v/>
      </c>
      <c r="O157" s="283">
        <f>IF(itens_Remanesc!A156="","",itens_Remanesc!K156)</f>
        <v/>
      </c>
      <c r="P157" s="282">
        <f>IF(A157="TOTAL",ROUND(SUM($P$3:P156),2),IF(OR(A157="",N157="",O157=""),"",ROUND(N157*O157,2)))</f>
        <v/>
      </c>
    </row>
    <row r="158">
      <c r="A158" s="281">
        <f>IF(AND(itens_Remanesc!A157="",itens_Remanesc!A156&lt;&gt;"",COUNTIF(itens_Remanesc!A158:$A$200,"&lt;&gt;")=0),"TOTAL",IF(itens_Remanesc!A157="","",itens_Remanesc!A157))</f>
        <v/>
      </c>
      <c r="B158" s="282">
        <f>IF(OR(itens_Remanesc!A157="",NOT(ISNUMBER(parametros!$F$2))),"",ROUND(itens_Remanesc!C157*parametros!$F$2,2))</f>
        <v/>
      </c>
      <c r="C158" s="283">
        <f>IF(itens_Remanesc!A157="","",itens_Remanesc!B157)</f>
        <v/>
      </c>
      <c r="D158" s="282">
        <f>IF(A158="TOTAL",ROUND(SUM($D$3:D157),2),IF(A158="","",ROUND(B158*C158,2)))</f>
        <v/>
      </c>
      <c r="E158" s="284">
        <f>IF(OR(itens_Remanesc!A157="",NOT(ISNUMBER(parametros!$F$3))),"",ROUND(itens_Remanesc!C157*parametros!$F$3,2))</f>
        <v/>
      </c>
      <c r="F158" s="285">
        <f>IF(itens_Remanesc!A157="","",itens_Remanesc!E157)</f>
        <v/>
      </c>
      <c r="G158" s="284">
        <f>IF(A158="TOTAL",ROUND(SUM($G$3:G157),2),IF(OR(A158="",E158="",F158=""),"",ROUND(E158*F158,2)))</f>
        <v/>
      </c>
      <c r="H158" s="282">
        <f>IF(OR(itens_Remanesc!A157="",NOT(ISNUMBER(parametros!$F$4))),"",ROUND(itens_Remanesc!C157*parametros!$F$4,2))</f>
        <v/>
      </c>
      <c r="I158" s="283">
        <f>IF(itens_Remanesc!A157="","",itens_Remanesc!G157)</f>
        <v/>
      </c>
      <c r="J158" s="282">
        <f>IF(A158="TOTAL",ROUND(SUM($J$3:J157),2),IF(OR(A158="",H158="",I158=""),"",ROUND(H158*I158,2)))</f>
        <v/>
      </c>
      <c r="K158" s="284">
        <f>IF(OR(itens_Remanesc!A157="",NOT(ISNUMBER(parametros!$F$5))),"",ROUND(itens_Remanesc!C157*parametros!$F$5,2))</f>
        <v/>
      </c>
      <c r="L158" s="285">
        <f>IF(itens_Remanesc!A157="","",itens_Remanesc!I157)</f>
        <v/>
      </c>
      <c r="M158" s="284">
        <f>IF(A158="TOTAL",ROUND(SUM($M$3:M157),2),IF(OR(A158="",K158="",L158=""),"",ROUND(K158*L158,2)))</f>
        <v/>
      </c>
      <c r="N158" s="282">
        <f>IF(OR(itens_Remanesc!A157="",NOT(ISNUMBER(parametros!$F$6))),"",ROUND(itens_Remanesc!C157*parametros!$F$6,2))</f>
        <v/>
      </c>
      <c r="O158" s="283">
        <f>IF(itens_Remanesc!A157="","",itens_Remanesc!K157)</f>
        <v/>
      </c>
      <c r="P158" s="282">
        <f>IF(A158="TOTAL",ROUND(SUM($P$3:P157),2),IF(OR(A158="",N158="",O158=""),"",ROUND(N158*O158,2)))</f>
        <v/>
      </c>
    </row>
    <row r="159">
      <c r="A159" s="281">
        <f>IF(AND(itens_Remanesc!A158="",itens_Remanesc!A157&lt;&gt;"",COUNTIF(itens_Remanesc!A159:$A$200,"&lt;&gt;")=0),"TOTAL",IF(itens_Remanesc!A158="","",itens_Remanesc!A158))</f>
        <v/>
      </c>
      <c r="B159" s="282">
        <f>IF(OR(itens_Remanesc!A158="",NOT(ISNUMBER(parametros!$F$2))),"",ROUND(itens_Remanesc!C158*parametros!$F$2,2))</f>
        <v/>
      </c>
      <c r="C159" s="283">
        <f>IF(itens_Remanesc!A158="","",itens_Remanesc!B158)</f>
        <v/>
      </c>
      <c r="D159" s="282">
        <f>IF(A159="TOTAL",ROUND(SUM($D$3:D158),2),IF(A159="","",ROUND(B159*C159,2)))</f>
        <v/>
      </c>
      <c r="E159" s="284">
        <f>IF(OR(itens_Remanesc!A158="",NOT(ISNUMBER(parametros!$F$3))),"",ROUND(itens_Remanesc!C158*parametros!$F$3,2))</f>
        <v/>
      </c>
      <c r="F159" s="285">
        <f>IF(itens_Remanesc!A158="","",itens_Remanesc!E158)</f>
        <v/>
      </c>
      <c r="G159" s="284">
        <f>IF(A159="TOTAL",ROUND(SUM($G$3:G158),2),IF(OR(A159="",E159="",F159=""),"",ROUND(E159*F159,2)))</f>
        <v/>
      </c>
      <c r="H159" s="282">
        <f>IF(OR(itens_Remanesc!A158="",NOT(ISNUMBER(parametros!$F$4))),"",ROUND(itens_Remanesc!C158*parametros!$F$4,2))</f>
        <v/>
      </c>
      <c r="I159" s="283">
        <f>IF(itens_Remanesc!A158="","",itens_Remanesc!G158)</f>
        <v/>
      </c>
      <c r="J159" s="282">
        <f>IF(A159="TOTAL",ROUND(SUM($J$3:J158),2),IF(OR(A159="",H159="",I159=""),"",ROUND(H159*I159,2)))</f>
        <v/>
      </c>
      <c r="K159" s="284">
        <f>IF(OR(itens_Remanesc!A158="",NOT(ISNUMBER(parametros!$F$5))),"",ROUND(itens_Remanesc!C158*parametros!$F$5,2))</f>
        <v/>
      </c>
      <c r="L159" s="285">
        <f>IF(itens_Remanesc!A158="","",itens_Remanesc!I158)</f>
        <v/>
      </c>
      <c r="M159" s="284">
        <f>IF(A159="TOTAL",ROUND(SUM($M$3:M158),2),IF(OR(A159="",K159="",L159=""),"",ROUND(K159*L159,2)))</f>
        <v/>
      </c>
      <c r="N159" s="282">
        <f>IF(OR(itens_Remanesc!A158="",NOT(ISNUMBER(parametros!$F$6))),"",ROUND(itens_Remanesc!C158*parametros!$F$6,2))</f>
        <v/>
      </c>
      <c r="O159" s="283">
        <f>IF(itens_Remanesc!A158="","",itens_Remanesc!K158)</f>
        <v/>
      </c>
      <c r="P159" s="282">
        <f>IF(A159="TOTAL",ROUND(SUM($P$3:P158),2),IF(OR(A159="",N159="",O159=""),"",ROUND(N159*O159,2)))</f>
        <v/>
      </c>
    </row>
    <row r="160">
      <c r="A160" s="281">
        <f>IF(AND(itens_Remanesc!A159="",itens_Remanesc!A158&lt;&gt;"",COUNTIF(itens_Remanesc!A160:$A$200,"&lt;&gt;")=0),"TOTAL",IF(itens_Remanesc!A159="","",itens_Remanesc!A159))</f>
        <v/>
      </c>
      <c r="B160" s="282">
        <f>IF(OR(itens_Remanesc!A159="",NOT(ISNUMBER(parametros!$F$2))),"",ROUND(itens_Remanesc!C159*parametros!$F$2,2))</f>
        <v/>
      </c>
      <c r="C160" s="283">
        <f>IF(itens_Remanesc!A159="","",itens_Remanesc!B159)</f>
        <v/>
      </c>
      <c r="D160" s="282">
        <f>IF(A160="TOTAL",ROUND(SUM($D$3:D159),2),IF(A160="","",ROUND(B160*C160,2)))</f>
        <v/>
      </c>
      <c r="E160" s="284">
        <f>IF(OR(itens_Remanesc!A159="",NOT(ISNUMBER(parametros!$F$3))),"",ROUND(itens_Remanesc!C159*parametros!$F$3,2))</f>
        <v/>
      </c>
      <c r="F160" s="285">
        <f>IF(itens_Remanesc!A159="","",itens_Remanesc!E159)</f>
        <v/>
      </c>
      <c r="G160" s="284">
        <f>IF(A160="TOTAL",ROUND(SUM($G$3:G159),2),IF(OR(A160="",E160="",F160=""),"",ROUND(E160*F160,2)))</f>
        <v/>
      </c>
      <c r="H160" s="282">
        <f>IF(OR(itens_Remanesc!A159="",NOT(ISNUMBER(parametros!$F$4))),"",ROUND(itens_Remanesc!C159*parametros!$F$4,2))</f>
        <v/>
      </c>
      <c r="I160" s="283">
        <f>IF(itens_Remanesc!A159="","",itens_Remanesc!G159)</f>
        <v/>
      </c>
      <c r="J160" s="282">
        <f>IF(A160="TOTAL",ROUND(SUM($J$3:J159),2),IF(OR(A160="",H160="",I160=""),"",ROUND(H160*I160,2)))</f>
        <v/>
      </c>
      <c r="K160" s="284">
        <f>IF(OR(itens_Remanesc!A159="",NOT(ISNUMBER(parametros!$F$5))),"",ROUND(itens_Remanesc!C159*parametros!$F$5,2))</f>
        <v/>
      </c>
      <c r="L160" s="285">
        <f>IF(itens_Remanesc!A159="","",itens_Remanesc!I159)</f>
        <v/>
      </c>
      <c r="M160" s="284">
        <f>IF(A160="TOTAL",ROUND(SUM($M$3:M159),2),IF(OR(A160="",K160="",L160=""),"",ROUND(K160*L160,2)))</f>
        <v/>
      </c>
      <c r="N160" s="282">
        <f>IF(OR(itens_Remanesc!A159="",NOT(ISNUMBER(parametros!$F$6))),"",ROUND(itens_Remanesc!C159*parametros!$F$6,2))</f>
        <v/>
      </c>
      <c r="O160" s="283">
        <f>IF(itens_Remanesc!A159="","",itens_Remanesc!K159)</f>
        <v/>
      </c>
      <c r="P160" s="282">
        <f>IF(A160="TOTAL",ROUND(SUM($P$3:P159),2),IF(OR(A160="",N160="",O160=""),"",ROUND(N160*O160,2)))</f>
        <v/>
      </c>
    </row>
    <row r="161">
      <c r="A161" s="281">
        <f>IF(AND(itens_Remanesc!A160="",itens_Remanesc!A159&lt;&gt;"",COUNTIF(itens_Remanesc!A161:$A$200,"&lt;&gt;")=0),"TOTAL",IF(itens_Remanesc!A160="","",itens_Remanesc!A160))</f>
        <v/>
      </c>
      <c r="B161" s="282">
        <f>IF(OR(itens_Remanesc!A160="",NOT(ISNUMBER(parametros!$F$2))),"",ROUND(itens_Remanesc!C160*parametros!$F$2,2))</f>
        <v/>
      </c>
      <c r="C161" s="283">
        <f>IF(itens_Remanesc!A160="","",itens_Remanesc!B160)</f>
        <v/>
      </c>
      <c r="D161" s="282">
        <f>IF(A161="TOTAL",ROUND(SUM($D$3:D160),2),IF(A161="","",ROUND(B161*C161,2)))</f>
        <v/>
      </c>
      <c r="E161" s="284">
        <f>IF(OR(itens_Remanesc!A160="",NOT(ISNUMBER(parametros!$F$3))),"",ROUND(itens_Remanesc!C160*parametros!$F$3,2))</f>
        <v/>
      </c>
      <c r="F161" s="285">
        <f>IF(itens_Remanesc!A160="","",itens_Remanesc!E160)</f>
        <v/>
      </c>
      <c r="G161" s="284">
        <f>IF(A161="TOTAL",ROUND(SUM($G$3:G160),2),IF(OR(A161="",E161="",F161=""),"",ROUND(E161*F161,2)))</f>
        <v/>
      </c>
      <c r="H161" s="282">
        <f>IF(OR(itens_Remanesc!A160="",NOT(ISNUMBER(parametros!$F$4))),"",ROUND(itens_Remanesc!C160*parametros!$F$4,2))</f>
        <v/>
      </c>
      <c r="I161" s="283">
        <f>IF(itens_Remanesc!A160="","",itens_Remanesc!G160)</f>
        <v/>
      </c>
      <c r="J161" s="282">
        <f>IF(A161="TOTAL",ROUND(SUM($J$3:J160),2),IF(OR(A161="",H161="",I161=""),"",ROUND(H161*I161,2)))</f>
        <v/>
      </c>
      <c r="K161" s="284">
        <f>IF(OR(itens_Remanesc!A160="",NOT(ISNUMBER(parametros!$F$5))),"",ROUND(itens_Remanesc!C160*parametros!$F$5,2))</f>
        <v/>
      </c>
      <c r="L161" s="285">
        <f>IF(itens_Remanesc!A160="","",itens_Remanesc!I160)</f>
        <v/>
      </c>
      <c r="M161" s="284">
        <f>IF(A161="TOTAL",ROUND(SUM($M$3:M160),2),IF(OR(A161="",K161="",L161=""),"",ROUND(K161*L161,2)))</f>
        <v/>
      </c>
      <c r="N161" s="282">
        <f>IF(OR(itens_Remanesc!A160="",NOT(ISNUMBER(parametros!$F$6))),"",ROUND(itens_Remanesc!C160*parametros!$F$6,2))</f>
        <v/>
      </c>
      <c r="O161" s="283">
        <f>IF(itens_Remanesc!A160="","",itens_Remanesc!K160)</f>
        <v/>
      </c>
      <c r="P161" s="282">
        <f>IF(A161="TOTAL",ROUND(SUM($P$3:P160),2),IF(OR(A161="",N161="",O161=""),"",ROUND(N161*O161,2)))</f>
        <v/>
      </c>
    </row>
    <row r="162">
      <c r="A162" s="281">
        <f>IF(AND(itens_Remanesc!A161="",itens_Remanesc!A160&lt;&gt;"",COUNTIF(itens_Remanesc!A162:$A$200,"&lt;&gt;")=0),"TOTAL",IF(itens_Remanesc!A161="","",itens_Remanesc!A161))</f>
        <v/>
      </c>
      <c r="B162" s="282">
        <f>IF(OR(itens_Remanesc!A161="",NOT(ISNUMBER(parametros!$F$2))),"",ROUND(itens_Remanesc!C161*parametros!$F$2,2))</f>
        <v/>
      </c>
      <c r="C162" s="283">
        <f>IF(itens_Remanesc!A161="","",itens_Remanesc!B161)</f>
        <v/>
      </c>
      <c r="D162" s="282">
        <f>IF(A162="TOTAL",ROUND(SUM($D$3:D161),2),IF(A162="","",ROUND(B162*C162,2)))</f>
        <v/>
      </c>
      <c r="E162" s="284">
        <f>IF(OR(itens_Remanesc!A161="",NOT(ISNUMBER(parametros!$F$3))),"",ROUND(itens_Remanesc!C161*parametros!$F$3,2))</f>
        <v/>
      </c>
      <c r="F162" s="285">
        <f>IF(itens_Remanesc!A161="","",itens_Remanesc!E161)</f>
        <v/>
      </c>
      <c r="G162" s="284">
        <f>IF(A162="TOTAL",ROUND(SUM($G$3:G161),2),IF(OR(A162="",E162="",F162=""),"",ROUND(E162*F162,2)))</f>
        <v/>
      </c>
      <c r="H162" s="282">
        <f>IF(OR(itens_Remanesc!A161="",NOT(ISNUMBER(parametros!$F$4))),"",ROUND(itens_Remanesc!C161*parametros!$F$4,2))</f>
        <v/>
      </c>
      <c r="I162" s="283">
        <f>IF(itens_Remanesc!A161="","",itens_Remanesc!G161)</f>
        <v/>
      </c>
      <c r="J162" s="282">
        <f>IF(A162="TOTAL",ROUND(SUM($J$3:J161),2),IF(OR(A162="",H162="",I162=""),"",ROUND(H162*I162,2)))</f>
        <v/>
      </c>
      <c r="K162" s="284">
        <f>IF(OR(itens_Remanesc!A161="",NOT(ISNUMBER(parametros!$F$5))),"",ROUND(itens_Remanesc!C161*parametros!$F$5,2))</f>
        <v/>
      </c>
      <c r="L162" s="285">
        <f>IF(itens_Remanesc!A161="","",itens_Remanesc!I161)</f>
        <v/>
      </c>
      <c r="M162" s="284">
        <f>IF(A162="TOTAL",ROUND(SUM($M$3:M161),2),IF(OR(A162="",K162="",L162=""),"",ROUND(K162*L162,2)))</f>
        <v/>
      </c>
      <c r="N162" s="282">
        <f>IF(OR(itens_Remanesc!A161="",NOT(ISNUMBER(parametros!$F$6))),"",ROUND(itens_Remanesc!C161*parametros!$F$6,2))</f>
        <v/>
      </c>
      <c r="O162" s="283">
        <f>IF(itens_Remanesc!A161="","",itens_Remanesc!K161)</f>
        <v/>
      </c>
      <c r="P162" s="282">
        <f>IF(A162="TOTAL",ROUND(SUM($P$3:P161),2),IF(OR(A162="",N162="",O162=""),"",ROUND(N162*O162,2)))</f>
        <v/>
      </c>
    </row>
    <row r="163">
      <c r="A163" s="281">
        <f>IF(AND(itens_Remanesc!A162="",itens_Remanesc!A161&lt;&gt;"",COUNTIF(itens_Remanesc!A163:$A$200,"&lt;&gt;")=0),"TOTAL",IF(itens_Remanesc!A162="","",itens_Remanesc!A162))</f>
        <v/>
      </c>
      <c r="B163" s="282">
        <f>IF(OR(itens_Remanesc!A162="",NOT(ISNUMBER(parametros!$F$2))),"",ROUND(itens_Remanesc!C162*parametros!$F$2,2))</f>
        <v/>
      </c>
      <c r="C163" s="283">
        <f>IF(itens_Remanesc!A162="","",itens_Remanesc!B162)</f>
        <v/>
      </c>
      <c r="D163" s="282">
        <f>IF(A163="TOTAL",ROUND(SUM($D$3:D162),2),IF(A163="","",ROUND(B163*C163,2)))</f>
        <v/>
      </c>
      <c r="E163" s="284">
        <f>IF(OR(itens_Remanesc!A162="",NOT(ISNUMBER(parametros!$F$3))),"",ROUND(itens_Remanesc!C162*parametros!$F$3,2))</f>
        <v/>
      </c>
      <c r="F163" s="285">
        <f>IF(itens_Remanesc!A162="","",itens_Remanesc!E162)</f>
        <v/>
      </c>
      <c r="G163" s="284">
        <f>IF(A163="TOTAL",ROUND(SUM($G$3:G162),2),IF(OR(A163="",E163="",F163=""),"",ROUND(E163*F163,2)))</f>
        <v/>
      </c>
      <c r="H163" s="282">
        <f>IF(OR(itens_Remanesc!A162="",NOT(ISNUMBER(parametros!$F$4))),"",ROUND(itens_Remanesc!C162*parametros!$F$4,2))</f>
        <v/>
      </c>
      <c r="I163" s="283">
        <f>IF(itens_Remanesc!A162="","",itens_Remanesc!G162)</f>
        <v/>
      </c>
      <c r="J163" s="282">
        <f>IF(A163="TOTAL",ROUND(SUM($J$3:J162),2),IF(OR(A163="",H163="",I163=""),"",ROUND(H163*I163,2)))</f>
        <v/>
      </c>
      <c r="K163" s="284">
        <f>IF(OR(itens_Remanesc!A162="",NOT(ISNUMBER(parametros!$F$5))),"",ROUND(itens_Remanesc!C162*parametros!$F$5,2))</f>
        <v/>
      </c>
      <c r="L163" s="285">
        <f>IF(itens_Remanesc!A162="","",itens_Remanesc!I162)</f>
        <v/>
      </c>
      <c r="M163" s="284">
        <f>IF(A163="TOTAL",ROUND(SUM($M$3:M162),2),IF(OR(A163="",K163="",L163=""),"",ROUND(K163*L163,2)))</f>
        <v/>
      </c>
      <c r="N163" s="282">
        <f>IF(OR(itens_Remanesc!A162="",NOT(ISNUMBER(parametros!$F$6))),"",ROUND(itens_Remanesc!C162*parametros!$F$6,2))</f>
        <v/>
      </c>
      <c r="O163" s="283">
        <f>IF(itens_Remanesc!A162="","",itens_Remanesc!K162)</f>
        <v/>
      </c>
      <c r="P163" s="282">
        <f>IF(A163="TOTAL",ROUND(SUM($P$3:P162),2),IF(OR(A163="",N163="",O163=""),"",ROUND(N163*O163,2)))</f>
        <v/>
      </c>
    </row>
    <row r="164">
      <c r="A164" s="281">
        <f>IF(AND(itens_Remanesc!A163="",itens_Remanesc!A162&lt;&gt;"",COUNTIF(itens_Remanesc!A164:$A$200,"&lt;&gt;")=0),"TOTAL",IF(itens_Remanesc!A163="","",itens_Remanesc!A163))</f>
        <v/>
      </c>
      <c r="B164" s="282">
        <f>IF(OR(itens_Remanesc!A163="",NOT(ISNUMBER(parametros!$F$2))),"",ROUND(itens_Remanesc!C163*parametros!$F$2,2))</f>
        <v/>
      </c>
      <c r="C164" s="283">
        <f>IF(itens_Remanesc!A163="","",itens_Remanesc!B163)</f>
        <v/>
      </c>
      <c r="D164" s="282">
        <f>IF(A164="TOTAL",ROUND(SUM($D$3:D163),2),IF(A164="","",ROUND(B164*C164,2)))</f>
        <v/>
      </c>
      <c r="E164" s="284">
        <f>IF(OR(itens_Remanesc!A163="",NOT(ISNUMBER(parametros!$F$3))),"",ROUND(itens_Remanesc!C163*parametros!$F$3,2))</f>
        <v/>
      </c>
      <c r="F164" s="285">
        <f>IF(itens_Remanesc!A163="","",itens_Remanesc!E163)</f>
        <v/>
      </c>
      <c r="G164" s="284">
        <f>IF(A164="TOTAL",ROUND(SUM($G$3:G163),2),IF(OR(A164="",E164="",F164=""),"",ROUND(E164*F164,2)))</f>
        <v/>
      </c>
      <c r="H164" s="282">
        <f>IF(OR(itens_Remanesc!A163="",NOT(ISNUMBER(parametros!$F$4))),"",ROUND(itens_Remanesc!C163*parametros!$F$4,2))</f>
        <v/>
      </c>
      <c r="I164" s="283">
        <f>IF(itens_Remanesc!A163="","",itens_Remanesc!G163)</f>
        <v/>
      </c>
      <c r="J164" s="282">
        <f>IF(A164="TOTAL",ROUND(SUM($J$3:J163),2),IF(OR(A164="",H164="",I164=""),"",ROUND(H164*I164,2)))</f>
        <v/>
      </c>
      <c r="K164" s="284">
        <f>IF(OR(itens_Remanesc!A163="",NOT(ISNUMBER(parametros!$F$5))),"",ROUND(itens_Remanesc!C163*parametros!$F$5,2))</f>
        <v/>
      </c>
      <c r="L164" s="285">
        <f>IF(itens_Remanesc!A163="","",itens_Remanesc!I163)</f>
        <v/>
      </c>
      <c r="M164" s="284">
        <f>IF(A164="TOTAL",ROUND(SUM($M$3:M163),2),IF(OR(A164="",K164="",L164=""),"",ROUND(K164*L164,2)))</f>
        <v/>
      </c>
      <c r="N164" s="282">
        <f>IF(OR(itens_Remanesc!A163="",NOT(ISNUMBER(parametros!$F$6))),"",ROUND(itens_Remanesc!C163*parametros!$F$6,2))</f>
        <v/>
      </c>
      <c r="O164" s="283">
        <f>IF(itens_Remanesc!A163="","",itens_Remanesc!K163)</f>
        <v/>
      </c>
      <c r="P164" s="282">
        <f>IF(A164="TOTAL",ROUND(SUM($P$3:P163),2),IF(OR(A164="",N164="",O164=""),"",ROUND(N164*O164,2)))</f>
        <v/>
      </c>
    </row>
    <row r="165">
      <c r="A165" s="281">
        <f>IF(AND(itens_Remanesc!A164="",itens_Remanesc!A163&lt;&gt;"",COUNTIF(itens_Remanesc!A165:$A$200,"&lt;&gt;")=0),"TOTAL",IF(itens_Remanesc!A164="","",itens_Remanesc!A164))</f>
        <v/>
      </c>
      <c r="B165" s="282">
        <f>IF(OR(itens_Remanesc!A164="",NOT(ISNUMBER(parametros!$F$2))),"",ROUND(itens_Remanesc!C164*parametros!$F$2,2))</f>
        <v/>
      </c>
      <c r="C165" s="283">
        <f>IF(itens_Remanesc!A164="","",itens_Remanesc!B164)</f>
        <v/>
      </c>
      <c r="D165" s="282">
        <f>IF(A165="TOTAL",ROUND(SUM($D$3:D164),2),IF(A165="","",ROUND(B165*C165,2)))</f>
        <v/>
      </c>
      <c r="E165" s="284">
        <f>IF(OR(itens_Remanesc!A164="",NOT(ISNUMBER(parametros!$F$3))),"",ROUND(itens_Remanesc!C164*parametros!$F$3,2))</f>
        <v/>
      </c>
      <c r="F165" s="285">
        <f>IF(itens_Remanesc!A164="","",itens_Remanesc!E164)</f>
        <v/>
      </c>
      <c r="G165" s="284">
        <f>IF(A165="TOTAL",ROUND(SUM($G$3:G164),2),IF(OR(A165="",E165="",F165=""),"",ROUND(E165*F165,2)))</f>
        <v/>
      </c>
      <c r="H165" s="282">
        <f>IF(OR(itens_Remanesc!A164="",NOT(ISNUMBER(parametros!$F$4))),"",ROUND(itens_Remanesc!C164*parametros!$F$4,2))</f>
        <v/>
      </c>
      <c r="I165" s="283">
        <f>IF(itens_Remanesc!A164="","",itens_Remanesc!G164)</f>
        <v/>
      </c>
      <c r="J165" s="282">
        <f>IF(A165="TOTAL",ROUND(SUM($J$3:J164),2),IF(OR(A165="",H165="",I165=""),"",ROUND(H165*I165,2)))</f>
        <v/>
      </c>
      <c r="K165" s="284">
        <f>IF(OR(itens_Remanesc!A164="",NOT(ISNUMBER(parametros!$F$5))),"",ROUND(itens_Remanesc!C164*parametros!$F$5,2))</f>
        <v/>
      </c>
      <c r="L165" s="285">
        <f>IF(itens_Remanesc!A164="","",itens_Remanesc!I164)</f>
        <v/>
      </c>
      <c r="M165" s="284">
        <f>IF(A165="TOTAL",ROUND(SUM($M$3:M164),2),IF(OR(A165="",K165="",L165=""),"",ROUND(K165*L165,2)))</f>
        <v/>
      </c>
      <c r="N165" s="282">
        <f>IF(OR(itens_Remanesc!A164="",NOT(ISNUMBER(parametros!$F$6))),"",ROUND(itens_Remanesc!C164*parametros!$F$6,2))</f>
        <v/>
      </c>
      <c r="O165" s="283">
        <f>IF(itens_Remanesc!A164="","",itens_Remanesc!K164)</f>
        <v/>
      </c>
      <c r="P165" s="282">
        <f>IF(A165="TOTAL",ROUND(SUM($P$3:P164),2),IF(OR(A165="",N165="",O165=""),"",ROUND(N165*O165,2)))</f>
        <v/>
      </c>
    </row>
    <row r="166">
      <c r="A166" s="281">
        <f>IF(AND(itens_Remanesc!A165="",itens_Remanesc!A164&lt;&gt;"",COUNTIF(itens_Remanesc!A166:$A$200,"&lt;&gt;")=0),"TOTAL",IF(itens_Remanesc!A165="","",itens_Remanesc!A165))</f>
        <v/>
      </c>
      <c r="B166" s="282">
        <f>IF(OR(itens_Remanesc!A165="",NOT(ISNUMBER(parametros!$F$2))),"",ROUND(itens_Remanesc!C165*parametros!$F$2,2))</f>
        <v/>
      </c>
      <c r="C166" s="283">
        <f>IF(itens_Remanesc!A165="","",itens_Remanesc!B165)</f>
        <v/>
      </c>
      <c r="D166" s="282">
        <f>IF(A166="TOTAL",ROUND(SUM($D$3:D165),2),IF(A166="","",ROUND(B166*C166,2)))</f>
        <v/>
      </c>
      <c r="E166" s="284">
        <f>IF(OR(itens_Remanesc!A165="",NOT(ISNUMBER(parametros!$F$3))),"",ROUND(itens_Remanesc!C165*parametros!$F$3,2))</f>
        <v/>
      </c>
      <c r="F166" s="285">
        <f>IF(itens_Remanesc!A165="","",itens_Remanesc!E165)</f>
        <v/>
      </c>
      <c r="G166" s="284">
        <f>IF(A166="TOTAL",ROUND(SUM($G$3:G165),2),IF(OR(A166="",E166="",F166=""),"",ROUND(E166*F166,2)))</f>
        <v/>
      </c>
      <c r="H166" s="282">
        <f>IF(OR(itens_Remanesc!A165="",NOT(ISNUMBER(parametros!$F$4))),"",ROUND(itens_Remanesc!C165*parametros!$F$4,2))</f>
        <v/>
      </c>
      <c r="I166" s="283">
        <f>IF(itens_Remanesc!A165="","",itens_Remanesc!G165)</f>
        <v/>
      </c>
      <c r="J166" s="282">
        <f>IF(A166="TOTAL",ROUND(SUM($J$3:J165),2),IF(OR(A166="",H166="",I166=""),"",ROUND(H166*I166,2)))</f>
        <v/>
      </c>
      <c r="K166" s="284">
        <f>IF(OR(itens_Remanesc!A165="",NOT(ISNUMBER(parametros!$F$5))),"",ROUND(itens_Remanesc!C165*parametros!$F$5,2))</f>
        <v/>
      </c>
      <c r="L166" s="285">
        <f>IF(itens_Remanesc!A165="","",itens_Remanesc!I165)</f>
        <v/>
      </c>
      <c r="M166" s="284">
        <f>IF(A166="TOTAL",ROUND(SUM($M$3:M165),2),IF(OR(A166="",K166="",L166=""),"",ROUND(K166*L166,2)))</f>
        <v/>
      </c>
      <c r="N166" s="282">
        <f>IF(OR(itens_Remanesc!A165="",NOT(ISNUMBER(parametros!$F$6))),"",ROUND(itens_Remanesc!C165*parametros!$F$6,2))</f>
        <v/>
      </c>
      <c r="O166" s="283">
        <f>IF(itens_Remanesc!A165="","",itens_Remanesc!K165)</f>
        <v/>
      </c>
      <c r="P166" s="282">
        <f>IF(A166="TOTAL",ROUND(SUM($P$3:P165),2),IF(OR(A166="",N166="",O166=""),"",ROUND(N166*O166,2)))</f>
        <v/>
      </c>
    </row>
    <row r="167">
      <c r="A167" s="281">
        <f>IF(AND(itens_Remanesc!A166="",itens_Remanesc!A165&lt;&gt;"",COUNTIF(itens_Remanesc!A167:$A$200,"&lt;&gt;")=0),"TOTAL",IF(itens_Remanesc!A166="","",itens_Remanesc!A166))</f>
        <v/>
      </c>
      <c r="B167" s="282">
        <f>IF(OR(itens_Remanesc!A166="",NOT(ISNUMBER(parametros!$F$2))),"",ROUND(itens_Remanesc!C166*parametros!$F$2,2))</f>
        <v/>
      </c>
      <c r="C167" s="283">
        <f>IF(itens_Remanesc!A166="","",itens_Remanesc!B166)</f>
        <v/>
      </c>
      <c r="D167" s="282">
        <f>IF(A167="TOTAL",ROUND(SUM($D$3:D166),2),IF(A167="","",ROUND(B167*C167,2)))</f>
        <v/>
      </c>
      <c r="E167" s="284">
        <f>IF(OR(itens_Remanesc!A166="",NOT(ISNUMBER(parametros!$F$3))),"",ROUND(itens_Remanesc!C166*parametros!$F$3,2))</f>
        <v/>
      </c>
      <c r="F167" s="285">
        <f>IF(itens_Remanesc!A166="","",itens_Remanesc!E166)</f>
        <v/>
      </c>
      <c r="G167" s="284">
        <f>IF(A167="TOTAL",ROUND(SUM($G$3:G166),2),IF(OR(A167="",E167="",F167=""),"",ROUND(E167*F167,2)))</f>
        <v/>
      </c>
      <c r="H167" s="282">
        <f>IF(OR(itens_Remanesc!A166="",NOT(ISNUMBER(parametros!$F$4))),"",ROUND(itens_Remanesc!C166*parametros!$F$4,2))</f>
        <v/>
      </c>
      <c r="I167" s="283">
        <f>IF(itens_Remanesc!A166="","",itens_Remanesc!G166)</f>
        <v/>
      </c>
      <c r="J167" s="282">
        <f>IF(A167="TOTAL",ROUND(SUM($J$3:J166),2),IF(OR(A167="",H167="",I167=""),"",ROUND(H167*I167,2)))</f>
        <v/>
      </c>
      <c r="K167" s="284">
        <f>IF(OR(itens_Remanesc!A166="",NOT(ISNUMBER(parametros!$F$5))),"",ROUND(itens_Remanesc!C166*parametros!$F$5,2))</f>
        <v/>
      </c>
      <c r="L167" s="285">
        <f>IF(itens_Remanesc!A166="","",itens_Remanesc!I166)</f>
        <v/>
      </c>
      <c r="M167" s="284">
        <f>IF(A167="TOTAL",ROUND(SUM($M$3:M166),2),IF(OR(A167="",K167="",L167=""),"",ROUND(K167*L167,2)))</f>
        <v/>
      </c>
      <c r="N167" s="282">
        <f>IF(OR(itens_Remanesc!A166="",NOT(ISNUMBER(parametros!$F$6))),"",ROUND(itens_Remanesc!C166*parametros!$F$6,2))</f>
        <v/>
      </c>
      <c r="O167" s="283">
        <f>IF(itens_Remanesc!A166="","",itens_Remanesc!K166)</f>
        <v/>
      </c>
      <c r="P167" s="282">
        <f>IF(A167="TOTAL",ROUND(SUM($P$3:P166),2),IF(OR(A167="",N167="",O167=""),"",ROUND(N167*O167,2)))</f>
        <v/>
      </c>
    </row>
    <row r="168">
      <c r="A168" s="281">
        <f>IF(AND(itens_Remanesc!A167="",itens_Remanesc!A166&lt;&gt;"",COUNTIF(itens_Remanesc!A168:$A$200,"&lt;&gt;")=0),"TOTAL",IF(itens_Remanesc!A167="","",itens_Remanesc!A167))</f>
        <v/>
      </c>
      <c r="B168" s="282">
        <f>IF(OR(itens_Remanesc!A167="",NOT(ISNUMBER(parametros!$F$2))),"",ROUND(itens_Remanesc!C167*parametros!$F$2,2))</f>
        <v/>
      </c>
      <c r="C168" s="283">
        <f>IF(itens_Remanesc!A167="","",itens_Remanesc!B167)</f>
        <v/>
      </c>
      <c r="D168" s="282">
        <f>IF(A168="TOTAL",ROUND(SUM($D$3:D167),2),IF(A168="","",ROUND(B168*C168,2)))</f>
        <v/>
      </c>
      <c r="E168" s="284">
        <f>IF(OR(itens_Remanesc!A167="",NOT(ISNUMBER(parametros!$F$3))),"",ROUND(itens_Remanesc!C167*parametros!$F$3,2))</f>
        <v/>
      </c>
      <c r="F168" s="285">
        <f>IF(itens_Remanesc!A167="","",itens_Remanesc!E167)</f>
        <v/>
      </c>
      <c r="G168" s="284">
        <f>IF(A168="TOTAL",ROUND(SUM($G$3:G167),2),IF(OR(A168="",E168="",F168=""),"",ROUND(E168*F168,2)))</f>
        <v/>
      </c>
      <c r="H168" s="282">
        <f>IF(OR(itens_Remanesc!A167="",NOT(ISNUMBER(parametros!$F$4))),"",ROUND(itens_Remanesc!C167*parametros!$F$4,2))</f>
        <v/>
      </c>
      <c r="I168" s="283">
        <f>IF(itens_Remanesc!A167="","",itens_Remanesc!G167)</f>
        <v/>
      </c>
      <c r="J168" s="282">
        <f>IF(A168="TOTAL",ROUND(SUM($J$3:J167),2),IF(OR(A168="",H168="",I168=""),"",ROUND(H168*I168,2)))</f>
        <v/>
      </c>
      <c r="K168" s="284">
        <f>IF(OR(itens_Remanesc!A167="",NOT(ISNUMBER(parametros!$F$5))),"",ROUND(itens_Remanesc!C167*parametros!$F$5,2))</f>
        <v/>
      </c>
      <c r="L168" s="285">
        <f>IF(itens_Remanesc!A167="","",itens_Remanesc!I167)</f>
        <v/>
      </c>
      <c r="M168" s="284">
        <f>IF(A168="TOTAL",ROUND(SUM($M$3:M167),2),IF(OR(A168="",K168="",L168=""),"",ROUND(K168*L168,2)))</f>
        <v/>
      </c>
      <c r="N168" s="282">
        <f>IF(OR(itens_Remanesc!A167="",NOT(ISNUMBER(parametros!$F$6))),"",ROUND(itens_Remanesc!C167*parametros!$F$6,2))</f>
        <v/>
      </c>
      <c r="O168" s="283">
        <f>IF(itens_Remanesc!A167="","",itens_Remanesc!K167)</f>
        <v/>
      </c>
      <c r="P168" s="282">
        <f>IF(A168="TOTAL",ROUND(SUM($P$3:P167),2),IF(OR(A168="",N168="",O168=""),"",ROUND(N168*O168,2)))</f>
        <v/>
      </c>
    </row>
    <row r="169">
      <c r="A169" s="281">
        <f>IF(AND(itens_Remanesc!A168="",itens_Remanesc!A167&lt;&gt;"",COUNTIF(itens_Remanesc!A169:$A$200,"&lt;&gt;")=0),"TOTAL",IF(itens_Remanesc!A168="","",itens_Remanesc!A168))</f>
        <v/>
      </c>
      <c r="B169" s="282">
        <f>IF(OR(itens_Remanesc!A168="",NOT(ISNUMBER(parametros!$F$2))),"",ROUND(itens_Remanesc!C168*parametros!$F$2,2))</f>
        <v/>
      </c>
      <c r="C169" s="283">
        <f>IF(itens_Remanesc!A168="","",itens_Remanesc!B168)</f>
        <v/>
      </c>
      <c r="D169" s="282">
        <f>IF(A169="TOTAL",ROUND(SUM($D$3:D168),2),IF(A169="","",ROUND(B169*C169,2)))</f>
        <v/>
      </c>
      <c r="E169" s="284">
        <f>IF(OR(itens_Remanesc!A168="",NOT(ISNUMBER(parametros!$F$3))),"",ROUND(itens_Remanesc!C168*parametros!$F$3,2))</f>
        <v/>
      </c>
      <c r="F169" s="285">
        <f>IF(itens_Remanesc!A168="","",itens_Remanesc!E168)</f>
        <v/>
      </c>
      <c r="G169" s="284">
        <f>IF(A169="TOTAL",ROUND(SUM($G$3:G168),2),IF(OR(A169="",E169="",F169=""),"",ROUND(E169*F169,2)))</f>
        <v/>
      </c>
      <c r="H169" s="282">
        <f>IF(OR(itens_Remanesc!A168="",NOT(ISNUMBER(parametros!$F$4))),"",ROUND(itens_Remanesc!C168*parametros!$F$4,2))</f>
        <v/>
      </c>
      <c r="I169" s="283">
        <f>IF(itens_Remanesc!A168="","",itens_Remanesc!G168)</f>
        <v/>
      </c>
      <c r="J169" s="282">
        <f>IF(A169="TOTAL",ROUND(SUM($J$3:J168),2),IF(OR(A169="",H169="",I169=""),"",ROUND(H169*I169,2)))</f>
        <v/>
      </c>
      <c r="K169" s="284">
        <f>IF(OR(itens_Remanesc!A168="",NOT(ISNUMBER(parametros!$F$5))),"",ROUND(itens_Remanesc!C168*parametros!$F$5,2))</f>
        <v/>
      </c>
      <c r="L169" s="285">
        <f>IF(itens_Remanesc!A168="","",itens_Remanesc!I168)</f>
        <v/>
      </c>
      <c r="M169" s="284">
        <f>IF(A169="TOTAL",ROUND(SUM($M$3:M168),2),IF(OR(A169="",K169="",L169=""),"",ROUND(K169*L169,2)))</f>
        <v/>
      </c>
      <c r="N169" s="282">
        <f>IF(OR(itens_Remanesc!A168="",NOT(ISNUMBER(parametros!$F$6))),"",ROUND(itens_Remanesc!C168*parametros!$F$6,2))</f>
        <v/>
      </c>
      <c r="O169" s="283">
        <f>IF(itens_Remanesc!A168="","",itens_Remanesc!K168)</f>
        <v/>
      </c>
      <c r="P169" s="282">
        <f>IF(A169="TOTAL",ROUND(SUM($P$3:P168),2),IF(OR(A169="",N169="",O169=""),"",ROUND(N169*O169,2)))</f>
        <v/>
      </c>
    </row>
    <row r="170">
      <c r="A170" s="281">
        <f>IF(AND(itens_Remanesc!A169="",itens_Remanesc!A168&lt;&gt;"",COUNTIF(itens_Remanesc!A170:$A$200,"&lt;&gt;")=0),"TOTAL",IF(itens_Remanesc!A169="","",itens_Remanesc!A169))</f>
        <v/>
      </c>
      <c r="B170" s="282">
        <f>IF(OR(itens_Remanesc!A169="",NOT(ISNUMBER(parametros!$F$2))),"",ROUND(itens_Remanesc!C169*parametros!$F$2,2))</f>
        <v/>
      </c>
      <c r="C170" s="283">
        <f>IF(itens_Remanesc!A169="","",itens_Remanesc!B169)</f>
        <v/>
      </c>
      <c r="D170" s="282">
        <f>IF(A170="TOTAL",ROUND(SUM($D$3:D169),2),IF(A170="","",ROUND(B170*C170,2)))</f>
        <v/>
      </c>
      <c r="E170" s="284">
        <f>IF(OR(itens_Remanesc!A169="",NOT(ISNUMBER(parametros!$F$3))),"",ROUND(itens_Remanesc!C169*parametros!$F$3,2))</f>
        <v/>
      </c>
      <c r="F170" s="285">
        <f>IF(itens_Remanesc!A169="","",itens_Remanesc!E169)</f>
        <v/>
      </c>
      <c r="G170" s="284">
        <f>IF(A170="TOTAL",ROUND(SUM($G$3:G169),2),IF(OR(A170="",E170="",F170=""),"",ROUND(E170*F170,2)))</f>
        <v/>
      </c>
      <c r="H170" s="282">
        <f>IF(OR(itens_Remanesc!A169="",NOT(ISNUMBER(parametros!$F$4))),"",ROUND(itens_Remanesc!C169*parametros!$F$4,2))</f>
        <v/>
      </c>
      <c r="I170" s="283">
        <f>IF(itens_Remanesc!A169="","",itens_Remanesc!G169)</f>
        <v/>
      </c>
      <c r="J170" s="282">
        <f>IF(A170="TOTAL",ROUND(SUM($J$3:J169),2),IF(OR(A170="",H170="",I170=""),"",ROUND(H170*I170,2)))</f>
        <v/>
      </c>
      <c r="K170" s="284">
        <f>IF(OR(itens_Remanesc!A169="",NOT(ISNUMBER(parametros!$F$5))),"",ROUND(itens_Remanesc!C169*parametros!$F$5,2))</f>
        <v/>
      </c>
      <c r="L170" s="285">
        <f>IF(itens_Remanesc!A169="","",itens_Remanesc!I169)</f>
        <v/>
      </c>
      <c r="M170" s="284">
        <f>IF(A170="TOTAL",ROUND(SUM($M$3:M169),2),IF(OR(A170="",K170="",L170=""),"",ROUND(K170*L170,2)))</f>
        <v/>
      </c>
      <c r="N170" s="282">
        <f>IF(OR(itens_Remanesc!A169="",NOT(ISNUMBER(parametros!$F$6))),"",ROUND(itens_Remanesc!C169*parametros!$F$6,2))</f>
        <v/>
      </c>
      <c r="O170" s="283">
        <f>IF(itens_Remanesc!A169="","",itens_Remanesc!K169)</f>
        <v/>
      </c>
      <c r="P170" s="282">
        <f>IF(A170="TOTAL",ROUND(SUM($P$3:P169),2),IF(OR(A170="",N170="",O170=""),"",ROUND(N170*O170,2)))</f>
        <v/>
      </c>
    </row>
    <row r="171">
      <c r="A171" s="281">
        <f>IF(AND(itens_Remanesc!A170="",itens_Remanesc!A169&lt;&gt;"",COUNTIF(itens_Remanesc!A171:$A$200,"&lt;&gt;")=0),"TOTAL",IF(itens_Remanesc!A170="","",itens_Remanesc!A170))</f>
        <v/>
      </c>
      <c r="B171" s="282">
        <f>IF(OR(itens_Remanesc!A170="",NOT(ISNUMBER(parametros!$F$2))),"",ROUND(itens_Remanesc!C170*parametros!$F$2,2))</f>
        <v/>
      </c>
      <c r="C171" s="283">
        <f>IF(itens_Remanesc!A170="","",itens_Remanesc!B170)</f>
        <v/>
      </c>
      <c r="D171" s="282">
        <f>IF(A171="TOTAL",ROUND(SUM($D$3:D170),2),IF(A171="","",ROUND(B171*C171,2)))</f>
        <v/>
      </c>
      <c r="E171" s="284">
        <f>IF(OR(itens_Remanesc!A170="",NOT(ISNUMBER(parametros!$F$3))),"",ROUND(itens_Remanesc!C170*parametros!$F$3,2))</f>
        <v/>
      </c>
      <c r="F171" s="285">
        <f>IF(itens_Remanesc!A170="","",itens_Remanesc!E170)</f>
        <v/>
      </c>
      <c r="G171" s="284">
        <f>IF(A171="TOTAL",ROUND(SUM($G$3:G170),2),IF(OR(A171="",E171="",F171=""),"",ROUND(E171*F171,2)))</f>
        <v/>
      </c>
      <c r="H171" s="282">
        <f>IF(OR(itens_Remanesc!A170="",NOT(ISNUMBER(parametros!$F$4))),"",ROUND(itens_Remanesc!C170*parametros!$F$4,2))</f>
        <v/>
      </c>
      <c r="I171" s="283">
        <f>IF(itens_Remanesc!A170="","",itens_Remanesc!G170)</f>
        <v/>
      </c>
      <c r="J171" s="282">
        <f>IF(A171="TOTAL",ROUND(SUM($J$3:J170),2),IF(OR(A171="",H171="",I171=""),"",ROUND(H171*I171,2)))</f>
        <v/>
      </c>
      <c r="K171" s="284">
        <f>IF(OR(itens_Remanesc!A170="",NOT(ISNUMBER(parametros!$F$5))),"",ROUND(itens_Remanesc!C170*parametros!$F$5,2))</f>
        <v/>
      </c>
      <c r="L171" s="285">
        <f>IF(itens_Remanesc!A170="","",itens_Remanesc!I170)</f>
        <v/>
      </c>
      <c r="M171" s="284">
        <f>IF(A171="TOTAL",ROUND(SUM($M$3:M170),2),IF(OR(A171="",K171="",L171=""),"",ROUND(K171*L171,2)))</f>
        <v/>
      </c>
      <c r="N171" s="282">
        <f>IF(OR(itens_Remanesc!A170="",NOT(ISNUMBER(parametros!$F$6))),"",ROUND(itens_Remanesc!C170*parametros!$F$6,2))</f>
        <v/>
      </c>
      <c r="O171" s="283">
        <f>IF(itens_Remanesc!A170="","",itens_Remanesc!K170)</f>
        <v/>
      </c>
      <c r="P171" s="282">
        <f>IF(A171="TOTAL",ROUND(SUM($P$3:P170),2),IF(OR(A171="",N171="",O171=""),"",ROUND(N171*O171,2)))</f>
        <v/>
      </c>
    </row>
    <row r="172">
      <c r="A172" s="281">
        <f>IF(AND(itens_Remanesc!A171="",itens_Remanesc!A170&lt;&gt;"",COUNTIF(itens_Remanesc!A172:$A$200,"&lt;&gt;")=0),"TOTAL",IF(itens_Remanesc!A171="","",itens_Remanesc!A171))</f>
        <v/>
      </c>
      <c r="B172" s="282">
        <f>IF(OR(itens_Remanesc!A171="",NOT(ISNUMBER(parametros!$F$2))),"",ROUND(itens_Remanesc!C171*parametros!$F$2,2))</f>
        <v/>
      </c>
      <c r="C172" s="283">
        <f>IF(itens_Remanesc!A171="","",itens_Remanesc!B171)</f>
        <v/>
      </c>
      <c r="D172" s="282">
        <f>IF(A172="TOTAL",ROUND(SUM($D$3:D171),2),IF(A172="","",ROUND(B172*C172,2)))</f>
        <v/>
      </c>
      <c r="E172" s="284">
        <f>IF(OR(itens_Remanesc!A171="",NOT(ISNUMBER(parametros!$F$3))),"",ROUND(itens_Remanesc!C171*parametros!$F$3,2))</f>
        <v/>
      </c>
      <c r="F172" s="285">
        <f>IF(itens_Remanesc!A171="","",itens_Remanesc!E171)</f>
        <v/>
      </c>
      <c r="G172" s="284">
        <f>IF(A172="TOTAL",ROUND(SUM($G$3:G171),2),IF(OR(A172="",E172="",F172=""),"",ROUND(E172*F172,2)))</f>
        <v/>
      </c>
      <c r="H172" s="282">
        <f>IF(OR(itens_Remanesc!A171="",NOT(ISNUMBER(parametros!$F$4))),"",ROUND(itens_Remanesc!C171*parametros!$F$4,2))</f>
        <v/>
      </c>
      <c r="I172" s="283">
        <f>IF(itens_Remanesc!A171="","",itens_Remanesc!G171)</f>
        <v/>
      </c>
      <c r="J172" s="282">
        <f>IF(A172="TOTAL",ROUND(SUM($J$3:J171),2),IF(OR(A172="",H172="",I172=""),"",ROUND(H172*I172,2)))</f>
        <v/>
      </c>
      <c r="K172" s="284">
        <f>IF(OR(itens_Remanesc!A171="",NOT(ISNUMBER(parametros!$F$5))),"",ROUND(itens_Remanesc!C171*parametros!$F$5,2))</f>
        <v/>
      </c>
      <c r="L172" s="285">
        <f>IF(itens_Remanesc!A171="","",itens_Remanesc!I171)</f>
        <v/>
      </c>
      <c r="M172" s="284">
        <f>IF(A172="TOTAL",ROUND(SUM($M$3:M171),2),IF(OR(A172="",K172="",L172=""),"",ROUND(K172*L172,2)))</f>
        <v/>
      </c>
      <c r="N172" s="282">
        <f>IF(OR(itens_Remanesc!A171="",NOT(ISNUMBER(parametros!$F$6))),"",ROUND(itens_Remanesc!C171*parametros!$F$6,2))</f>
        <v/>
      </c>
      <c r="O172" s="283">
        <f>IF(itens_Remanesc!A171="","",itens_Remanesc!K171)</f>
        <v/>
      </c>
      <c r="P172" s="282">
        <f>IF(A172="TOTAL",ROUND(SUM($P$3:P171),2),IF(OR(A172="",N172="",O172=""),"",ROUND(N172*O172,2)))</f>
        <v/>
      </c>
    </row>
    <row r="173">
      <c r="A173" s="281">
        <f>IF(AND(itens_Remanesc!A172="",itens_Remanesc!A171&lt;&gt;"",COUNTIF(itens_Remanesc!A173:$A$200,"&lt;&gt;")=0),"TOTAL",IF(itens_Remanesc!A172="","",itens_Remanesc!A172))</f>
        <v/>
      </c>
      <c r="B173" s="282">
        <f>IF(OR(itens_Remanesc!A172="",NOT(ISNUMBER(parametros!$F$2))),"",ROUND(itens_Remanesc!C172*parametros!$F$2,2))</f>
        <v/>
      </c>
      <c r="C173" s="283">
        <f>IF(itens_Remanesc!A172="","",itens_Remanesc!B172)</f>
        <v/>
      </c>
      <c r="D173" s="282">
        <f>IF(A173="TOTAL",ROUND(SUM($D$3:D172),2),IF(A173="","",ROUND(B173*C173,2)))</f>
        <v/>
      </c>
      <c r="E173" s="284">
        <f>IF(OR(itens_Remanesc!A172="",NOT(ISNUMBER(parametros!$F$3))),"",ROUND(itens_Remanesc!C172*parametros!$F$3,2))</f>
        <v/>
      </c>
      <c r="F173" s="285">
        <f>IF(itens_Remanesc!A172="","",itens_Remanesc!E172)</f>
        <v/>
      </c>
      <c r="G173" s="284">
        <f>IF(A173="TOTAL",ROUND(SUM($G$3:G172),2),IF(OR(A173="",E173="",F173=""),"",ROUND(E173*F173,2)))</f>
        <v/>
      </c>
      <c r="H173" s="282">
        <f>IF(OR(itens_Remanesc!A172="",NOT(ISNUMBER(parametros!$F$4))),"",ROUND(itens_Remanesc!C172*parametros!$F$4,2))</f>
        <v/>
      </c>
      <c r="I173" s="283">
        <f>IF(itens_Remanesc!A172="","",itens_Remanesc!G172)</f>
        <v/>
      </c>
      <c r="J173" s="282">
        <f>IF(A173="TOTAL",ROUND(SUM($J$3:J172),2),IF(OR(A173="",H173="",I173=""),"",ROUND(H173*I173,2)))</f>
        <v/>
      </c>
      <c r="K173" s="284">
        <f>IF(OR(itens_Remanesc!A172="",NOT(ISNUMBER(parametros!$F$5))),"",ROUND(itens_Remanesc!C172*parametros!$F$5,2))</f>
        <v/>
      </c>
      <c r="L173" s="285">
        <f>IF(itens_Remanesc!A172="","",itens_Remanesc!I172)</f>
        <v/>
      </c>
      <c r="M173" s="284">
        <f>IF(A173="TOTAL",ROUND(SUM($M$3:M172),2),IF(OR(A173="",K173="",L173=""),"",ROUND(K173*L173,2)))</f>
        <v/>
      </c>
      <c r="N173" s="282">
        <f>IF(OR(itens_Remanesc!A172="",NOT(ISNUMBER(parametros!$F$6))),"",ROUND(itens_Remanesc!C172*parametros!$F$6,2))</f>
        <v/>
      </c>
      <c r="O173" s="283">
        <f>IF(itens_Remanesc!A172="","",itens_Remanesc!K172)</f>
        <v/>
      </c>
      <c r="P173" s="282">
        <f>IF(A173="TOTAL",ROUND(SUM($P$3:P172),2),IF(OR(A173="",N173="",O173=""),"",ROUND(N173*O173,2)))</f>
        <v/>
      </c>
    </row>
    <row r="174">
      <c r="A174" s="281">
        <f>IF(AND(itens_Remanesc!A173="",itens_Remanesc!A172&lt;&gt;"",COUNTIF(itens_Remanesc!A174:$A$200,"&lt;&gt;")=0),"TOTAL",IF(itens_Remanesc!A173="","",itens_Remanesc!A173))</f>
        <v/>
      </c>
      <c r="B174" s="282">
        <f>IF(OR(itens_Remanesc!A173="",NOT(ISNUMBER(parametros!$F$2))),"",ROUND(itens_Remanesc!C173*parametros!$F$2,2))</f>
        <v/>
      </c>
      <c r="C174" s="283">
        <f>IF(itens_Remanesc!A173="","",itens_Remanesc!B173)</f>
        <v/>
      </c>
      <c r="D174" s="282">
        <f>IF(A174="TOTAL",ROUND(SUM($D$3:D173),2),IF(A174="","",ROUND(B174*C174,2)))</f>
        <v/>
      </c>
      <c r="E174" s="284">
        <f>IF(OR(itens_Remanesc!A173="",NOT(ISNUMBER(parametros!$F$3))),"",ROUND(itens_Remanesc!C173*parametros!$F$3,2))</f>
        <v/>
      </c>
      <c r="F174" s="285">
        <f>IF(itens_Remanesc!A173="","",itens_Remanesc!E173)</f>
        <v/>
      </c>
      <c r="G174" s="284">
        <f>IF(A174="TOTAL",ROUND(SUM($G$3:G173),2),IF(OR(A174="",E174="",F174=""),"",ROUND(E174*F174,2)))</f>
        <v/>
      </c>
      <c r="H174" s="282">
        <f>IF(OR(itens_Remanesc!A173="",NOT(ISNUMBER(parametros!$F$4))),"",ROUND(itens_Remanesc!C173*parametros!$F$4,2))</f>
        <v/>
      </c>
      <c r="I174" s="283">
        <f>IF(itens_Remanesc!A173="","",itens_Remanesc!G173)</f>
        <v/>
      </c>
      <c r="J174" s="282">
        <f>IF(A174="TOTAL",ROUND(SUM($J$3:J173),2),IF(OR(A174="",H174="",I174=""),"",ROUND(H174*I174,2)))</f>
        <v/>
      </c>
      <c r="K174" s="284">
        <f>IF(OR(itens_Remanesc!A173="",NOT(ISNUMBER(parametros!$F$5))),"",ROUND(itens_Remanesc!C173*parametros!$F$5,2))</f>
        <v/>
      </c>
      <c r="L174" s="285">
        <f>IF(itens_Remanesc!A173="","",itens_Remanesc!I173)</f>
        <v/>
      </c>
      <c r="M174" s="284">
        <f>IF(A174="TOTAL",ROUND(SUM($M$3:M173),2),IF(OR(A174="",K174="",L174=""),"",ROUND(K174*L174,2)))</f>
        <v/>
      </c>
      <c r="N174" s="282">
        <f>IF(OR(itens_Remanesc!A173="",NOT(ISNUMBER(parametros!$F$6))),"",ROUND(itens_Remanesc!C173*parametros!$F$6,2))</f>
        <v/>
      </c>
      <c r="O174" s="283">
        <f>IF(itens_Remanesc!A173="","",itens_Remanesc!K173)</f>
        <v/>
      </c>
      <c r="P174" s="282">
        <f>IF(A174="TOTAL",ROUND(SUM($P$3:P173),2),IF(OR(A174="",N174="",O174=""),"",ROUND(N174*O174,2)))</f>
        <v/>
      </c>
    </row>
    <row r="175">
      <c r="A175" s="281">
        <f>IF(AND(itens_Remanesc!A174="",itens_Remanesc!A173&lt;&gt;"",COUNTIF(itens_Remanesc!A175:$A$200,"&lt;&gt;")=0),"TOTAL",IF(itens_Remanesc!A174="","",itens_Remanesc!A174))</f>
        <v/>
      </c>
      <c r="B175" s="282">
        <f>IF(OR(itens_Remanesc!A174="",NOT(ISNUMBER(parametros!$F$2))),"",ROUND(itens_Remanesc!C174*parametros!$F$2,2))</f>
        <v/>
      </c>
      <c r="C175" s="283">
        <f>IF(itens_Remanesc!A174="","",itens_Remanesc!B174)</f>
        <v/>
      </c>
      <c r="D175" s="282">
        <f>IF(A175="TOTAL",ROUND(SUM($D$3:D174),2),IF(A175="","",ROUND(B175*C175,2)))</f>
        <v/>
      </c>
      <c r="E175" s="284">
        <f>IF(OR(itens_Remanesc!A174="",NOT(ISNUMBER(parametros!$F$3))),"",ROUND(itens_Remanesc!C174*parametros!$F$3,2))</f>
        <v/>
      </c>
      <c r="F175" s="285">
        <f>IF(itens_Remanesc!A174="","",itens_Remanesc!E174)</f>
        <v/>
      </c>
      <c r="G175" s="284">
        <f>IF(A175="TOTAL",ROUND(SUM($G$3:G174),2),IF(OR(A175="",E175="",F175=""),"",ROUND(E175*F175,2)))</f>
        <v/>
      </c>
      <c r="H175" s="282">
        <f>IF(OR(itens_Remanesc!A174="",NOT(ISNUMBER(parametros!$F$4))),"",ROUND(itens_Remanesc!C174*parametros!$F$4,2))</f>
        <v/>
      </c>
      <c r="I175" s="283">
        <f>IF(itens_Remanesc!A174="","",itens_Remanesc!G174)</f>
        <v/>
      </c>
      <c r="J175" s="282">
        <f>IF(A175="TOTAL",ROUND(SUM($J$3:J174),2),IF(OR(A175="",H175="",I175=""),"",ROUND(H175*I175,2)))</f>
        <v/>
      </c>
      <c r="K175" s="284">
        <f>IF(OR(itens_Remanesc!A174="",NOT(ISNUMBER(parametros!$F$5))),"",ROUND(itens_Remanesc!C174*parametros!$F$5,2))</f>
        <v/>
      </c>
      <c r="L175" s="285">
        <f>IF(itens_Remanesc!A174="","",itens_Remanesc!I174)</f>
        <v/>
      </c>
      <c r="M175" s="284">
        <f>IF(A175="TOTAL",ROUND(SUM($M$3:M174),2),IF(OR(A175="",K175="",L175=""),"",ROUND(K175*L175,2)))</f>
        <v/>
      </c>
      <c r="N175" s="282">
        <f>IF(OR(itens_Remanesc!A174="",NOT(ISNUMBER(parametros!$F$6))),"",ROUND(itens_Remanesc!C174*parametros!$F$6,2))</f>
        <v/>
      </c>
      <c r="O175" s="283">
        <f>IF(itens_Remanesc!A174="","",itens_Remanesc!K174)</f>
        <v/>
      </c>
      <c r="P175" s="282">
        <f>IF(A175="TOTAL",ROUND(SUM($P$3:P174),2),IF(OR(A175="",N175="",O175=""),"",ROUND(N175*O175,2)))</f>
        <v/>
      </c>
    </row>
    <row r="176">
      <c r="A176" s="281">
        <f>IF(AND(itens_Remanesc!A175="",itens_Remanesc!A174&lt;&gt;"",COUNTIF(itens_Remanesc!A176:$A$200,"&lt;&gt;")=0),"TOTAL",IF(itens_Remanesc!A175="","",itens_Remanesc!A175))</f>
        <v/>
      </c>
      <c r="B176" s="282">
        <f>IF(OR(itens_Remanesc!A175="",NOT(ISNUMBER(parametros!$F$2))),"",ROUND(itens_Remanesc!C175*parametros!$F$2,2))</f>
        <v/>
      </c>
      <c r="C176" s="283">
        <f>IF(itens_Remanesc!A175="","",itens_Remanesc!B175)</f>
        <v/>
      </c>
      <c r="D176" s="282">
        <f>IF(A176="TOTAL",ROUND(SUM($D$3:D175),2),IF(A176="","",ROUND(B176*C176,2)))</f>
        <v/>
      </c>
      <c r="E176" s="284">
        <f>IF(OR(itens_Remanesc!A175="",NOT(ISNUMBER(parametros!$F$3))),"",ROUND(itens_Remanesc!C175*parametros!$F$3,2))</f>
        <v/>
      </c>
      <c r="F176" s="285">
        <f>IF(itens_Remanesc!A175="","",itens_Remanesc!E175)</f>
        <v/>
      </c>
      <c r="G176" s="284">
        <f>IF(A176="TOTAL",ROUND(SUM($G$3:G175),2),IF(OR(A176="",E176="",F176=""),"",ROUND(E176*F176,2)))</f>
        <v/>
      </c>
      <c r="H176" s="282">
        <f>IF(OR(itens_Remanesc!A175="",NOT(ISNUMBER(parametros!$F$4))),"",ROUND(itens_Remanesc!C175*parametros!$F$4,2))</f>
        <v/>
      </c>
      <c r="I176" s="283">
        <f>IF(itens_Remanesc!A175="","",itens_Remanesc!G175)</f>
        <v/>
      </c>
      <c r="J176" s="282">
        <f>IF(A176="TOTAL",ROUND(SUM($J$3:J175),2),IF(OR(A176="",H176="",I176=""),"",ROUND(H176*I176,2)))</f>
        <v/>
      </c>
      <c r="K176" s="284">
        <f>IF(OR(itens_Remanesc!A175="",NOT(ISNUMBER(parametros!$F$5))),"",ROUND(itens_Remanesc!C175*parametros!$F$5,2))</f>
        <v/>
      </c>
      <c r="L176" s="285">
        <f>IF(itens_Remanesc!A175="","",itens_Remanesc!I175)</f>
        <v/>
      </c>
      <c r="M176" s="284">
        <f>IF(A176="TOTAL",ROUND(SUM($M$3:M175),2),IF(OR(A176="",K176="",L176=""),"",ROUND(K176*L176,2)))</f>
        <v/>
      </c>
      <c r="N176" s="282">
        <f>IF(OR(itens_Remanesc!A175="",NOT(ISNUMBER(parametros!$F$6))),"",ROUND(itens_Remanesc!C175*parametros!$F$6,2))</f>
        <v/>
      </c>
      <c r="O176" s="283">
        <f>IF(itens_Remanesc!A175="","",itens_Remanesc!K175)</f>
        <v/>
      </c>
      <c r="P176" s="282">
        <f>IF(A176="TOTAL",ROUND(SUM($P$3:P175),2),IF(OR(A176="",N176="",O176=""),"",ROUND(N176*O176,2)))</f>
        <v/>
      </c>
    </row>
    <row r="177">
      <c r="A177" s="281">
        <f>IF(AND(itens_Remanesc!A176="",itens_Remanesc!A175&lt;&gt;"",COUNTIF(itens_Remanesc!A177:$A$200,"&lt;&gt;")=0),"TOTAL",IF(itens_Remanesc!A176="","",itens_Remanesc!A176))</f>
        <v/>
      </c>
      <c r="B177" s="282">
        <f>IF(OR(itens_Remanesc!A176="",NOT(ISNUMBER(parametros!$F$2))),"",ROUND(itens_Remanesc!C176*parametros!$F$2,2))</f>
        <v/>
      </c>
      <c r="C177" s="283">
        <f>IF(itens_Remanesc!A176="","",itens_Remanesc!B176)</f>
        <v/>
      </c>
      <c r="D177" s="282">
        <f>IF(A177="TOTAL",ROUND(SUM($D$3:D176),2),IF(A177="","",ROUND(B177*C177,2)))</f>
        <v/>
      </c>
      <c r="E177" s="284">
        <f>IF(OR(itens_Remanesc!A176="",NOT(ISNUMBER(parametros!$F$3))),"",ROUND(itens_Remanesc!C176*parametros!$F$3,2))</f>
        <v/>
      </c>
      <c r="F177" s="285">
        <f>IF(itens_Remanesc!A176="","",itens_Remanesc!E176)</f>
        <v/>
      </c>
      <c r="G177" s="284">
        <f>IF(A177="TOTAL",ROUND(SUM($G$3:G176),2),IF(OR(A177="",E177="",F177=""),"",ROUND(E177*F177,2)))</f>
        <v/>
      </c>
      <c r="H177" s="282">
        <f>IF(OR(itens_Remanesc!A176="",NOT(ISNUMBER(parametros!$F$4))),"",ROUND(itens_Remanesc!C176*parametros!$F$4,2))</f>
        <v/>
      </c>
      <c r="I177" s="283">
        <f>IF(itens_Remanesc!A176="","",itens_Remanesc!G176)</f>
        <v/>
      </c>
      <c r="J177" s="282">
        <f>IF(A177="TOTAL",ROUND(SUM($J$3:J176),2),IF(OR(A177="",H177="",I177=""),"",ROUND(H177*I177,2)))</f>
        <v/>
      </c>
      <c r="K177" s="284">
        <f>IF(OR(itens_Remanesc!A176="",NOT(ISNUMBER(parametros!$F$5))),"",ROUND(itens_Remanesc!C176*parametros!$F$5,2))</f>
        <v/>
      </c>
      <c r="L177" s="285">
        <f>IF(itens_Remanesc!A176="","",itens_Remanesc!I176)</f>
        <v/>
      </c>
      <c r="M177" s="284">
        <f>IF(A177="TOTAL",ROUND(SUM($M$3:M176),2),IF(OR(A177="",K177="",L177=""),"",ROUND(K177*L177,2)))</f>
        <v/>
      </c>
      <c r="N177" s="282">
        <f>IF(OR(itens_Remanesc!A176="",NOT(ISNUMBER(parametros!$F$6))),"",ROUND(itens_Remanesc!C176*parametros!$F$6,2))</f>
        <v/>
      </c>
      <c r="O177" s="283">
        <f>IF(itens_Remanesc!A176="","",itens_Remanesc!K176)</f>
        <v/>
      </c>
      <c r="P177" s="282">
        <f>IF(A177="TOTAL",ROUND(SUM($P$3:P176),2),IF(OR(A177="",N177="",O177=""),"",ROUND(N177*O177,2)))</f>
        <v/>
      </c>
    </row>
    <row r="178">
      <c r="A178" s="281">
        <f>IF(AND(itens_Remanesc!A177="",itens_Remanesc!A176&lt;&gt;"",COUNTIF(itens_Remanesc!A178:$A$200,"&lt;&gt;")=0),"TOTAL",IF(itens_Remanesc!A177="","",itens_Remanesc!A177))</f>
        <v/>
      </c>
      <c r="B178" s="282">
        <f>IF(OR(itens_Remanesc!A177="",NOT(ISNUMBER(parametros!$F$2))),"",ROUND(itens_Remanesc!C177*parametros!$F$2,2))</f>
        <v/>
      </c>
      <c r="C178" s="283">
        <f>IF(itens_Remanesc!A177="","",itens_Remanesc!B177)</f>
        <v/>
      </c>
      <c r="D178" s="282">
        <f>IF(A178="TOTAL",ROUND(SUM($D$3:D177),2),IF(A178="","",ROUND(B178*C178,2)))</f>
        <v/>
      </c>
      <c r="E178" s="284">
        <f>IF(OR(itens_Remanesc!A177="",NOT(ISNUMBER(parametros!$F$3))),"",ROUND(itens_Remanesc!C177*parametros!$F$3,2))</f>
        <v/>
      </c>
      <c r="F178" s="285">
        <f>IF(itens_Remanesc!A177="","",itens_Remanesc!E177)</f>
        <v/>
      </c>
      <c r="G178" s="284">
        <f>IF(A178="TOTAL",ROUND(SUM($G$3:G177),2),IF(OR(A178="",E178="",F178=""),"",ROUND(E178*F178,2)))</f>
        <v/>
      </c>
      <c r="H178" s="282">
        <f>IF(OR(itens_Remanesc!A177="",NOT(ISNUMBER(parametros!$F$4))),"",ROUND(itens_Remanesc!C177*parametros!$F$4,2))</f>
        <v/>
      </c>
      <c r="I178" s="283">
        <f>IF(itens_Remanesc!A177="","",itens_Remanesc!G177)</f>
        <v/>
      </c>
      <c r="J178" s="282">
        <f>IF(A178="TOTAL",ROUND(SUM($J$3:J177),2),IF(OR(A178="",H178="",I178=""),"",ROUND(H178*I178,2)))</f>
        <v/>
      </c>
      <c r="K178" s="284">
        <f>IF(OR(itens_Remanesc!A177="",NOT(ISNUMBER(parametros!$F$5))),"",ROUND(itens_Remanesc!C177*parametros!$F$5,2))</f>
        <v/>
      </c>
      <c r="L178" s="285">
        <f>IF(itens_Remanesc!A177="","",itens_Remanesc!I177)</f>
        <v/>
      </c>
      <c r="M178" s="284">
        <f>IF(A178="TOTAL",ROUND(SUM($M$3:M177),2),IF(OR(A178="",K178="",L178=""),"",ROUND(K178*L178,2)))</f>
        <v/>
      </c>
      <c r="N178" s="282">
        <f>IF(OR(itens_Remanesc!A177="",NOT(ISNUMBER(parametros!$F$6))),"",ROUND(itens_Remanesc!C177*parametros!$F$6,2))</f>
        <v/>
      </c>
      <c r="O178" s="283">
        <f>IF(itens_Remanesc!A177="","",itens_Remanesc!K177)</f>
        <v/>
      </c>
      <c r="P178" s="282">
        <f>IF(A178="TOTAL",ROUND(SUM($P$3:P177),2),IF(OR(A178="",N178="",O178=""),"",ROUND(N178*O178,2)))</f>
        <v/>
      </c>
    </row>
    <row r="179">
      <c r="A179" s="281">
        <f>IF(AND(itens_Remanesc!A178="",itens_Remanesc!A177&lt;&gt;"",COUNTIF(itens_Remanesc!A179:$A$200,"&lt;&gt;")=0),"TOTAL",IF(itens_Remanesc!A178="","",itens_Remanesc!A178))</f>
        <v/>
      </c>
      <c r="B179" s="282">
        <f>IF(OR(itens_Remanesc!A178="",NOT(ISNUMBER(parametros!$F$2))),"",ROUND(itens_Remanesc!C178*parametros!$F$2,2))</f>
        <v/>
      </c>
      <c r="C179" s="283">
        <f>IF(itens_Remanesc!A178="","",itens_Remanesc!B178)</f>
        <v/>
      </c>
      <c r="D179" s="282">
        <f>IF(A179="TOTAL",ROUND(SUM($D$3:D178),2),IF(A179="","",ROUND(B179*C179,2)))</f>
        <v/>
      </c>
      <c r="E179" s="284">
        <f>IF(OR(itens_Remanesc!A178="",NOT(ISNUMBER(parametros!$F$3))),"",ROUND(itens_Remanesc!C178*parametros!$F$3,2))</f>
        <v/>
      </c>
      <c r="F179" s="285">
        <f>IF(itens_Remanesc!A178="","",itens_Remanesc!E178)</f>
        <v/>
      </c>
      <c r="G179" s="284">
        <f>IF(A179="TOTAL",ROUND(SUM($G$3:G178),2),IF(OR(A179="",E179="",F179=""),"",ROUND(E179*F179,2)))</f>
        <v/>
      </c>
      <c r="H179" s="282">
        <f>IF(OR(itens_Remanesc!A178="",NOT(ISNUMBER(parametros!$F$4))),"",ROUND(itens_Remanesc!C178*parametros!$F$4,2))</f>
        <v/>
      </c>
      <c r="I179" s="283">
        <f>IF(itens_Remanesc!A178="","",itens_Remanesc!G178)</f>
        <v/>
      </c>
      <c r="J179" s="282">
        <f>IF(A179="TOTAL",ROUND(SUM($J$3:J178),2),IF(OR(A179="",H179="",I179=""),"",ROUND(H179*I179,2)))</f>
        <v/>
      </c>
      <c r="K179" s="284">
        <f>IF(OR(itens_Remanesc!A178="",NOT(ISNUMBER(parametros!$F$5))),"",ROUND(itens_Remanesc!C178*parametros!$F$5,2))</f>
        <v/>
      </c>
      <c r="L179" s="285">
        <f>IF(itens_Remanesc!A178="","",itens_Remanesc!I178)</f>
        <v/>
      </c>
      <c r="M179" s="284">
        <f>IF(A179="TOTAL",ROUND(SUM($M$3:M178),2),IF(OR(A179="",K179="",L179=""),"",ROUND(K179*L179,2)))</f>
        <v/>
      </c>
      <c r="N179" s="282">
        <f>IF(OR(itens_Remanesc!A178="",NOT(ISNUMBER(parametros!$F$6))),"",ROUND(itens_Remanesc!C178*parametros!$F$6,2))</f>
        <v/>
      </c>
      <c r="O179" s="283">
        <f>IF(itens_Remanesc!A178="","",itens_Remanesc!K178)</f>
        <v/>
      </c>
      <c r="P179" s="282">
        <f>IF(A179="TOTAL",ROUND(SUM($P$3:P178),2),IF(OR(A179="",N179="",O179=""),"",ROUND(N179*O179,2)))</f>
        <v/>
      </c>
    </row>
    <row r="180">
      <c r="A180" s="281">
        <f>IF(AND(itens_Remanesc!A179="",itens_Remanesc!A178&lt;&gt;"",COUNTIF(itens_Remanesc!A180:$A$200,"&lt;&gt;")=0),"TOTAL",IF(itens_Remanesc!A179="","",itens_Remanesc!A179))</f>
        <v/>
      </c>
      <c r="B180" s="282">
        <f>IF(OR(itens_Remanesc!A179="",NOT(ISNUMBER(parametros!$F$2))),"",ROUND(itens_Remanesc!C179*parametros!$F$2,2))</f>
        <v/>
      </c>
      <c r="C180" s="283">
        <f>IF(itens_Remanesc!A179="","",itens_Remanesc!B179)</f>
        <v/>
      </c>
      <c r="D180" s="282">
        <f>IF(A180="TOTAL",ROUND(SUM($D$3:D179),2),IF(A180="","",ROUND(B180*C180,2)))</f>
        <v/>
      </c>
      <c r="E180" s="284">
        <f>IF(OR(itens_Remanesc!A179="",NOT(ISNUMBER(parametros!$F$3))),"",ROUND(itens_Remanesc!C179*parametros!$F$3,2))</f>
        <v/>
      </c>
      <c r="F180" s="285">
        <f>IF(itens_Remanesc!A179="","",itens_Remanesc!E179)</f>
        <v/>
      </c>
      <c r="G180" s="284">
        <f>IF(A180="TOTAL",ROUND(SUM($G$3:G179),2),IF(OR(A180="",E180="",F180=""),"",ROUND(E180*F180,2)))</f>
        <v/>
      </c>
      <c r="H180" s="282">
        <f>IF(OR(itens_Remanesc!A179="",NOT(ISNUMBER(parametros!$F$4))),"",ROUND(itens_Remanesc!C179*parametros!$F$4,2))</f>
        <v/>
      </c>
      <c r="I180" s="283">
        <f>IF(itens_Remanesc!A179="","",itens_Remanesc!G179)</f>
        <v/>
      </c>
      <c r="J180" s="282">
        <f>IF(A180="TOTAL",ROUND(SUM($J$3:J179),2),IF(OR(A180="",H180="",I180=""),"",ROUND(H180*I180,2)))</f>
        <v/>
      </c>
      <c r="K180" s="284">
        <f>IF(OR(itens_Remanesc!A179="",NOT(ISNUMBER(parametros!$F$5))),"",ROUND(itens_Remanesc!C179*parametros!$F$5,2))</f>
        <v/>
      </c>
      <c r="L180" s="285">
        <f>IF(itens_Remanesc!A179="","",itens_Remanesc!I179)</f>
        <v/>
      </c>
      <c r="M180" s="284">
        <f>IF(A180="TOTAL",ROUND(SUM($M$3:M179),2),IF(OR(A180="",K180="",L180=""),"",ROUND(K180*L180,2)))</f>
        <v/>
      </c>
      <c r="N180" s="282">
        <f>IF(OR(itens_Remanesc!A179="",NOT(ISNUMBER(parametros!$F$6))),"",ROUND(itens_Remanesc!C179*parametros!$F$6,2))</f>
        <v/>
      </c>
      <c r="O180" s="283">
        <f>IF(itens_Remanesc!A179="","",itens_Remanesc!K179)</f>
        <v/>
      </c>
      <c r="P180" s="282">
        <f>IF(A180="TOTAL",ROUND(SUM($P$3:P179),2),IF(OR(A180="",N180="",O180=""),"",ROUND(N180*O180,2)))</f>
        <v/>
      </c>
    </row>
    <row r="181">
      <c r="A181" s="281">
        <f>IF(AND(itens_Remanesc!A180="",itens_Remanesc!A179&lt;&gt;"",COUNTIF(itens_Remanesc!A181:$A$200,"&lt;&gt;")=0),"TOTAL",IF(itens_Remanesc!A180="","",itens_Remanesc!A180))</f>
        <v/>
      </c>
      <c r="B181" s="282">
        <f>IF(OR(itens_Remanesc!A180="",NOT(ISNUMBER(parametros!$F$2))),"",ROUND(itens_Remanesc!C180*parametros!$F$2,2))</f>
        <v/>
      </c>
      <c r="C181" s="283">
        <f>IF(itens_Remanesc!A180="","",itens_Remanesc!B180)</f>
        <v/>
      </c>
      <c r="D181" s="282">
        <f>IF(A181="TOTAL",ROUND(SUM($D$3:D180),2),IF(A181="","",ROUND(B181*C181,2)))</f>
        <v/>
      </c>
      <c r="E181" s="284">
        <f>IF(OR(itens_Remanesc!A180="",NOT(ISNUMBER(parametros!$F$3))),"",ROUND(itens_Remanesc!C180*parametros!$F$3,2))</f>
        <v/>
      </c>
      <c r="F181" s="285">
        <f>IF(itens_Remanesc!A180="","",itens_Remanesc!E180)</f>
        <v/>
      </c>
      <c r="G181" s="284">
        <f>IF(A181="TOTAL",ROUND(SUM($G$3:G180),2),IF(OR(A181="",E181="",F181=""),"",ROUND(E181*F181,2)))</f>
        <v/>
      </c>
      <c r="H181" s="282">
        <f>IF(OR(itens_Remanesc!A180="",NOT(ISNUMBER(parametros!$F$4))),"",ROUND(itens_Remanesc!C180*parametros!$F$4,2))</f>
        <v/>
      </c>
      <c r="I181" s="283">
        <f>IF(itens_Remanesc!A180="","",itens_Remanesc!G180)</f>
        <v/>
      </c>
      <c r="J181" s="282">
        <f>IF(A181="TOTAL",ROUND(SUM($J$3:J180),2),IF(OR(A181="",H181="",I181=""),"",ROUND(H181*I181,2)))</f>
        <v/>
      </c>
      <c r="K181" s="284">
        <f>IF(OR(itens_Remanesc!A180="",NOT(ISNUMBER(parametros!$F$5))),"",ROUND(itens_Remanesc!C180*parametros!$F$5,2))</f>
        <v/>
      </c>
      <c r="L181" s="285">
        <f>IF(itens_Remanesc!A180="","",itens_Remanesc!I180)</f>
        <v/>
      </c>
      <c r="M181" s="284">
        <f>IF(A181="TOTAL",ROUND(SUM($M$3:M180),2),IF(OR(A181="",K181="",L181=""),"",ROUND(K181*L181,2)))</f>
        <v/>
      </c>
      <c r="N181" s="282">
        <f>IF(OR(itens_Remanesc!A180="",NOT(ISNUMBER(parametros!$F$6))),"",ROUND(itens_Remanesc!C180*parametros!$F$6,2))</f>
        <v/>
      </c>
      <c r="O181" s="283">
        <f>IF(itens_Remanesc!A180="","",itens_Remanesc!K180)</f>
        <v/>
      </c>
      <c r="P181" s="282">
        <f>IF(A181="TOTAL",ROUND(SUM($P$3:P180),2),IF(OR(A181="",N181="",O181=""),"",ROUND(N181*O181,2)))</f>
        <v/>
      </c>
    </row>
    <row r="182">
      <c r="A182" s="281">
        <f>IF(AND(itens_Remanesc!A181="",itens_Remanesc!A180&lt;&gt;"",COUNTIF(itens_Remanesc!A182:$A$200,"&lt;&gt;")=0),"TOTAL",IF(itens_Remanesc!A181="","",itens_Remanesc!A181))</f>
        <v/>
      </c>
      <c r="B182" s="282">
        <f>IF(OR(itens_Remanesc!A181="",NOT(ISNUMBER(parametros!$F$2))),"",ROUND(itens_Remanesc!C181*parametros!$F$2,2))</f>
        <v/>
      </c>
      <c r="C182" s="283">
        <f>IF(itens_Remanesc!A181="","",itens_Remanesc!B181)</f>
        <v/>
      </c>
      <c r="D182" s="282">
        <f>IF(A182="TOTAL",ROUND(SUM($D$3:D181),2),IF(A182="","",ROUND(B182*C182,2)))</f>
        <v/>
      </c>
      <c r="E182" s="284">
        <f>IF(OR(itens_Remanesc!A181="",NOT(ISNUMBER(parametros!$F$3))),"",ROUND(itens_Remanesc!C181*parametros!$F$3,2))</f>
        <v/>
      </c>
      <c r="F182" s="285">
        <f>IF(itens_Remanesc!A181="","",itens_Remanesc!E181)</f>
        <v/>
      </c>
      <c r="G182" s="284">
        <f>IF(A182="TOTAL",ROUND(SUM($G$3:G181),2),IF(OR(A182="",E182="",F182=""),"",ROUND(E182*F182,2)))</f>
        <v/>
      </c>
      <c r="H182" s="282">
        <f>IF(OR(itens_Remanesc!A181="",NOT(ISNUMBER(parametros!$F$4))),"",ROUND(itens_Remanesc!C181*parametros!$F$4,2))</f>
        <v/>
      </c>
      <c r="I182" s="283">
        <f>IF(itens_Remanesc!A181="","",itens_Remanesc!G181)</f>
        <v/>
      </c>
      <c r="J182" s="282">
        <f>IF(A182="TOTAL",ROUND(SUM($J$3:J181),2),IF(OR(A182="",H182="",I182=""),"",ROUND(H182*I182,2)))</f>
        <v/>
      </c>
      <c r="K182" s="284">
        <f>IF(OR(itens_Remanesc!A181="",NOT(ISNUMBER(parametros!$F$5))),"",ROUND(itens_Remanesc!C181*parametros!$F$5,2))</f>
        <v/>
      </c>
      <c r="L182" s="285">
        <f>IF(itens_Remanesc!A181="","",itens_Remanesc!I181)</f>
        <v/>
      </c>
      <c r="M182" s="284">
        <f>IF(A182="TOTAL",ROUND(SUM($M$3:M181),2),IF(OR(A182="",K182="",L182=""),"",ROUND(K182*L182,2)))</f>
        <v/>
      </c>
      <c r="N182" s="282">
        <f>IF(OR(itens_Remanesc!A181="",NOT(ISNUMBER(parametros!$F$6))),"",ROUND(itens_Remanesc!C181*parametros!$F$6,2))</f>
        <v/>
      </c>
      <c r="O182" s="283">
        <f>IF(itens_Remanesc!A181="","",itens_Remanesc!K181)</f>
        <v/>
      </c>
      <c r="P182" s="282">
        <f>IF(A182="TOTAL",ROUND(SUM($P$3:P181),2),IF(OR(A182="",N182="",O182=""),"",ROUND(N182*O182,2)))</f>
        <v/>
      </c>
    </row>
    <row r="183">
      <c r="A183" s="281">
        <f>IF(AND(itens_Remanesc!A182="",itens_Remanesc!A181&lt;&gt;"",COUNTIF(itens_Remanesc!A183:$A$200,"&lt;&gt;")=0),"TOTAL",IF(itens_Remanesc!A182="","",itens_Remanesc!A182))</f>
        <v/>
      </c>
      <c r="B183" s="282">
        <f>IF(OR(itens_Remanesc!A182="",NOT(ISNUMBER(parametros!$F$2))),"",ROUND(itens_Remanesc!C182*parametros!$F$2,2))</f>
        <v/>
      </c>
      <c r="C183" s="283">
        <f>IF(itens_Remanesc!A182="","",itens_Remanesc!B182)</f>
        <v/>
      </c>
      <c r="D183" s="282">
        <f>IF(A183="TOTAL",ROUND(SUM($D$3:D182),2),IF(A183="","",ROUND(B183*C183,2)))</f>
        <v/>
      </c>
      <c r="E183" s="284">
        <f>IF(OR(itens_Remanesc!A182="",NOT(ISNUMBER(parametros!$F$3))),"",ROUND(itens_Remanesc!C182*parametros!$F$3,2))</f>
        <v/>
      </c>
      <c r="F183" s="285">
        <f>IF(itens_Remanesc!A182="","",itens_Remanesc!E182)</f>
        <v/>
      </c>
      <c r="G183" s="284">
        <f>IF(A183="TOTAL",ROUND(SUM($G$3:G182),2),IF(OR(A183="",E183="",F183=""),"",ROUND(E183*F183,2)))</f>
        <v/>
      </c>
      <c r="H183" s="282">
        <f>IF(OR(itens_Remanesc!A182="",NOT(ISNUMBER(parametros!$F$4))),"",ROUND(itens_Remanesc!C182*parametros!$F$4,2))</f>
        <v/>
      </c>
      <c r="I183" s="283">
        <f>IF(itens_Remanesc!A182="","",itens_Remanesc!G182)</f>
        <v/>
      </c>
      <c r="J183" s="282">
        <f>IF(A183="TOTAL",ROUND(SUM($J$3:J182),2),IF(OR(A183="",H183="",I183=""),"",ROUND(H183*I183,2)))</f>
        <v/>
      </c>
      <c r="K183" s="284">
        <f>IF(OR(itens_Remanesc!A182="",NOT(ISNUMBER(parametros!$F$5))),"",ROUND(itens_Remanesc!C182*parametros!$F$5,2))</f>
        <v/>
      </c>
      <c r="L183" s="285">
        <f>IF(itens_Remanesc!A182="","",itens_Remanesc!I182)</f>
        <v/>
      </c>
      <c r="M183" s="284">
        <f>IF(A183="TOTAL",ROUND(SUM($M$3:M182),2),IF(OR(A183="",K183="",L183=""),"",ROUND(K183*L183,2)))</f>
        <v/>
      </c>
      <c r="N183" s="282">
        <f>IF(OR(itens_Remanesc!A182="",NOT(ISNUMBER(parametros!$F$6))),"",ROUND(itens_Remanesc!C182*parametros!$F$6,2))</f>
        <v/>
      </c>
      <c r="O183" s="283">
        <f>IF(itens_Remanesc!A182="","",itens_Remanesc!K182)</f>
        <v/>
      </c>
      <c r="P183" s="282">
        <f>IF(A183="TOTAL",ROUND(SUM($P$3:P182),2),IF(OR(A183="",N183="",O183=""),"",ROUND(N183*O183,2)))</f>
        <v/>
      </c>
    </row>
    <row r="184">
      <c r="A184" s="281">
        <f>IF(AND(itens_Remanesc!A183="",itens_Remanesc!A182&lt;&gt;"",COUNTIF(itens_Remanesc!A184:$A$200,"&lt;&gt;")=0),"TOTAL",IF(itens_Remanesc!A183="","",itens_Remanesc!A183))</f>
        <v/>
      </c>
      <c r="B184" s="282">
        <f>IF(OR(itens_Remanesc!A183="",NOT(ISNUMBER(parametros!$F$2))),"",ROUND(itens_Remanesc!C183*parametros!$F$2,2))</f>
        <v/>
      </c>
      <c r="C184" s="283">
        <f>IF(itens_Remanesc!A183="","",itens_Remanesc!B183)</f>
        <v/>
      </c>
      <c r="D184" s="282">
        <f>IF(A184="TOTAL",ROUND(SUM($D$3:D183),2),IF(A184="","",ROUND(B184*C184,2)))</f>
        <v/>
      </c>
      <c r="E184" s="284">
        <f>IF(OR(itens_Remanesc!A183="",NOT(ISNUMBER(parametros!$F$3))),"",ROUND(itens_Remanesc!C183*parametros!$F$3,2))</f>
        <v/>
      </c>
      <c r="F184" s="285">
        <f>IF(itens_Remanesc!A183="","",itens_Remanesc!E183)</f>
        <v/>
      </c>
      <c r="G184" s="284">
        <f>IF(A184="TOTAL",ROUND(SUM($G$3:G183),2),IF(OR(A184="",E184="",F184=""),"",ROUND(E184*F184,2)))</f>
        <v/>
      </c>
      <c r="H184" s="282">
        <f>IF(OR(itens_Remanesc!A183="",NOT(ISNUMBER(parametros!$F$4))),"",ROUND(itens_Remanesc!C183*parametros!$F$4,2))</f>
        <v/>
      </c>
      <c r="I184" s="283">
        <f>IF(itens_Remanesc!A183="","",itens_Remanesc!G183)</f>
        <v/>
      </c>
      <c r="J184" s="282">
        <f>IF(A184="TOTAL",ROUND(SUM($J$3:J183),2),IF(OR(A184="",H184="",I184=""),"",ROUND(H184*I184,2)))</f>
        <v/>
      </c>
      <c r="K184" s="284">
        <f>IF(OR(itens_Remanesc!A183="",NOT(ISNUMBER(parametros!$F$5))),"",ROUND(itens_Remanesc!C183*parametros!$F$5,2))</f>
        <v/>
      </c>
      <c r="L184" s="285">
        <f>IF(itens_Remanesc!A183="","",itens_Remanesc!I183)</f>
        <v/>
      </c>
      <c r="M184" s="284">
        <f>IF(A184="TOTAL",ROUND(SUM($M$3:M183),2),IF(OR(A184="",K184="",L184=""),"",ROUND(K184*L184,2)))</f>
        <v/>
      </c>
      <c r="N184" s="282">
        <f>IF(OR(itens_Remanesc!A183="",NOT(ISNUMBER(parametros!$F$6))),"",ROUND(itens_Remanesc!C183*parametros!$F$6,2))</f>
        <v/>
      </c>
      <c r="O184" s="283">
        <f>IF(itens_Remanesc!A183="","",itens_Remanesc!K183)</f>
        <v/>
      </c>
      <c r="P184" s="282">
        <f>IF(A184="TOTAL",ROUND(SUM($P$3:P183),2),IF(OR(A184="",N184="",O184=""),"",ROUND(N184*O184,2)))</f>
        <v/>
      </c>
    </row>
    <row r="185">
      <c r="A185" s="281">
        <f>IF(AND(itens_Remanesc!A184="",itens_Remanesc!A183&lt;&gt;"",COUNTIF(itens_Remanesc!A185:$A$200,"&lt;&gt;")=0),"TOTAL",IF(itens_Remanesc!A184="","",itens_Remanesc!A184))</f>
        <v/>
      </c>
      <c r="B185" s="282">
        <f>IF(OR(itens_Remanesc!A184="",NOT(ISNUMBER(parametros!$F$2))),"",ROUND(itens_Remanesc!C184*parametros!$F$2,2))</f>
        <v/>
      </c>
      <c r="C185" s="283">
        <f>IF(itens_Remanesc!A184="","",itens_Remanesc!B184)</f>
        <v/>
      </c>
      <c r="D185" s="282">
        <f>IF(A185="TOTAL",ROUND(SUM($D$3:D184),2),IF(A185="","",ROUND(B185*C185,2)))</f>
        <v/>
      </c>
      <c r="E185" s="284">
        <f>IF(OR(itens_Remanesc!A184="",NOT(ISNUMBER(parametros!$F$3))),"",ROUND(itens_Remanesc!C184*parametros!$F$3,2))</f>
        <v/>
      </c>
      <c r="F185" s="285">
        <f>IF(itens_Remanesc!A184="","",itens_Remanesc!E184)</f>
        <v/>
      </c>
      <c r="G185" s="284">
        <f>IF(A185="TOTAL",ROUND(SUM($G$3:G184),2),IF(OR(A185="",E185="",F185=""),"",ROUND(E185*F185,2)))</f>
        <v/>
      </c>
      <c r="H185" s="282">
        <f>IF(OR(itens_Remanesc!A184="",NOT(ISNUMBER(parametros!$F$4))),"",ROUND(itens_Remanesc!C184*parametros!$F$4,2))</f>
        <v/>
      </c>
      <c r="I185" s="283">
        <f>IF(itens_Remanesc!A184="","",itens_Remanesc!G184)</f>
        <v/>
      </c>
      <c r="J185" s="282">
        <f>IF(A185="TOTAL",ROUND(SUM($J$3:J184),2),IF(OR(A185="",H185="",I185=""),"",ROUND(H185*I185,2)))</f>
        <v/>
      </c>
      <c r="K185" s="284">
        <f>IF(OR(itens_Remanesc!A184="",NOT(ISNUMBER(parametros!$F$5))),"",ROUND(itens_Remanesc!C184*parametros!$F$5,2))</f>
        <v/>
      </c>
      <c r="L185" s="285">
        <f>IF(itens_Remanesc!A184="","",itens_Remanesc!I184)</f>
        <v/>
      </c>
      <c r="M185" s="284">
        <f>IF(A185="TOTAL",ROUND(SUM($M$3:M184),2),IF(OR(A185="",K185="",L185=""),"",ROUND(K185*L185,2)))</f>
        <v/>
      </c>
      <c r="N185" s="282">
        <f>IF(OR(itens_Remanesc!A184="",NOT(ISNUMBER(parametros!$F$6))),"",ROUND(itens_Remanesc!C184*parametros!$F$6,2))</f>
        <v/>
      </c>
      <c r="O185" s="283">
        <f>IF(itens_Remanesc!A184="","",itens_Remanesc!K184)</f>
        <v/>
      </c>
      <c r="P185" s="282">
        <f>IF(A185="TOTAL",ROUND(SUM($P$3:P184),2),IF(OR(A185="",N185="",O185=""),"",ROUND(N185*O185,2)))</f>
        <v/>
      </c>
    </row>
    <row r="186">
      <c r="A186" s="281">
        <f>IF(AND(itens_Remanesc!A185="",itens_Remanesc!A184&lt;&gt;"",COUNTIF(itens_Remanesc!A186:$A$200,"&lt;&gt;")=0),"TOTAL",IF(itens_Remanesc!A185="","",itens_Remanesc!A185))</f>
        <v/>
      </c>
      <c r="B186" s="282">
        <f>IF(OR(itens_Remanesc!A185="",NOT(ISNUMBER(parametros!$F$2))),"",ROUND(itens_Remanesc!C185*parametros!$F$2,2))</f>
        <v/>
      </c>
      <c r="C186" s="283">
        <f>IF(itens_Remanesc!A185="","",itens_Remanesc!B185)</f>
        <v/>
      </c>
      <c r="D186" s="282">
        <f>IF(A186="TOTAL",ROUND(SUM($D$3:D185),2),IF(A186="","",ROUND(B186*C186,2)))</f>
        <v/>
      </c>
      <c r="E186" s="284">
        <f>IF(OR(itens_Remanesc!A185="",NOT(ISNUMBER(parametros!$F$3))),"",ROUND(itens_Remanesc!C185*parametros!$F$3,2))</f>
        <v/>
      </c>
      <c r="F186" s="285">
        <f>IF(itens_Remanesc!A185="","",itens_Remanesc!E185)</f>
        <v/>
      </c>
      <c r="G186" s="284">
        <f>IF(A186="TOTAL",ROUND(SUM($G$3:G185),2),IF(OR(A186="",E186="",F186=""),"",ROUND(E186*F186,2)))</f>
        <v/>
      </c>
      <c r="H186" s="282">
        <f>IF(OR(itens_Remanesc!A185="",NOT(ISNUMBER(parametros!$F$4))),"",ROUND(itens_Remanesc!C185*parametros!$F$4,2))</f>
        <v/>
      </c>
      <c r="I186" s="283">
        <f>IF(itens_Remanesc!A185="","",itens_Remanesc!G185)</f>
        <v/>
      </c>
      <c r="J186" s="282">
        <f>IF(A186="TOTAL",ROUND(SUM($J$3:J185),2),IF(OR(A186="",H186="",I186=""),"",ROUND(H186*I186,2)))</f>
        <v/>
      </c>
      <c r="K186" s="284">
        <f>IF(OR(itens_Remanesc!A185="",NOT(ISNUMBER(parametros!$F$5))),"",ROUND(itens_Remanesc!C185*parametros!$F$5,2))</f>
        <v/>
      </c>
      <c r="L186" s="285">
        <f>IF(itens_Remanesc!A185="","",itens_Remanesc!I185)</f>
        <v/>
      </c>
      <c r="M186" s="284">
        <f>IF(A186="TOTAL",ROUND(SUM($M$3:M185),2),IF(OR(A186="",K186="",L186=""),"",ROUND(K186*L186,2)))</f>
        <v/>
      </c>
      <c r="N186" s="282">
        <f>IF(OR(itens_Remanesc!A185="",NOT(ISNUMBER(parametros!$F$6))),"",ROUND(itens_Remanesc!C185*parametros!$F$6,2))</f>
        <v/>
      </c>
      <c r="O186" s="283">
        <f>IF(itens_Remanesc!A185="","",itens_Remanesc!K185)</f>
        <v/>
      </c>
      <c r="P186" s="282">
        <f>IF(A186="TOTAL",ROUND(SUM($P$3:P185),2),IF(OR(A186="",N186="",O186=""),"",ROUND(N186*O186,2)))</f>
        <v/>
      </c>
    </row>
    <row r="187">
      <c r="A187" s="281">
        <f>IF(AND(itens_Remanesc!A186="",itens_Remanesc!A185&lt;&gt;"",COUNTIF(itens_Remanesc!A187:$A$200,"&lt;&gt;")=0),"TOTAL",IF(itens_Remanesc!A186="","",itens_Remanesc!A186))</f>
        <v/>
      </c>
      <c r="B187" s="282">
        <f>IF(OR(itens_Remanesc!A186="",NOT(ISNUMBER(parametros!$F$2))),"",ROUND(itens_Remanesc!C186*parametros!$F$2,2))</f>
        <v/>
      </c>
      <c r="C187" s="283">
        <f>IF(itens_Remanesc!A186="","",itens_Remanesc!B186)</f>
        <v/>
      </c>
      <c r="D187" s="282">
        <f>IF(A187="TOTAL",ROUND(SUM($D$3:D186),2),IF(A187="","",ROUND(B187*C187,2)))</f>
        <v/>
      </c>
      <c r="E187" s="284">
        <f>IF(OR(itens_Remanesc!A186="",NOT(ISNUMBER(parametros!$F$3))),"",ROUND(itens_Remanesc!C186*parametros!$F$3,2))</f>
        <v/>
      </c>
      <c r="F187" s="285">
        <f>IF(itens_Remanesc!A186="","",itens_Remanesc!E186)</f>
        <v/>
      </c>
      <c r="G187" s="284">
        <f>IF(A187="TOTAL",ROUND(SUM($G$3:G186),2),IF(OR(A187="",E187="",F187=""),"",ROUND(E187*F187,2)))</f>
        <v/>
      </c>
      <c r="H187" s="282">
        <f>IF(OR(itens_Remanesc!A186="",NOT(ISNUMBER(parametros!$F$4))),"",ROUND(itens_Remanesc!C186*parametros!$F$4,2))</f>
        <v/>
      </c>
      <c r="I187" s="283">
        <f>IF(itens_Remanesc!A186="","",itens_Remanesc!G186)</f>
        <v/>
      </c>
      <c r="J187" s="282">
        <f>IF(A187="TOTAL",ROUND(SUM($J$3:J186),2),IF(OR(A187="",H187="",I187=""),"",ROUND(H187*I187,2)))</f>
        <v/>
      </c>
      <c r="K187" s="284">
        <f>IF(OR(itens_Remanesc!A186="",NOT(ISNUMBER(parametros!$F$5))),"",ROUND(itens_Remanesc!C186*parametros!$F$5,2))</f>
        <v/>
      </c>
      <c r="L187" s="285">
        <f>IF(itens_Remanesc!A186="","",itens_Remanesc!I186)</f>
        <v/>
      </c>
      <c r="M187" s="284">
        <f>IF(A187="TOTAL",ROUND(SUM($M$3:M186),2),IF(OR(A187="",K187="",L187=""),"",ROUND(K187*L187,2)))</f>
        <v/>
      </c>
      <c r="N187" s="282">
        <f>IF(OR(itens_Remanesc!A186="",NOT(ISNUMBER(parametros!$F$6))),"",ROUND(itens_Remanesc!C186*parametros!$F$6,2))</f>
        <v/>
      </c>
      <c r="O187" s="283">
        <f>IF(itens_Remanesc!A186="","",itens_Remanesc!K186)</f>
        <v/>
      </c>
      <c r="P187" s="282">
        <f>IF(A187="TOTAL",ROUND(SUM($P$3:P186),2),IF(OR(A187="",N187="",O187=""),"",ROUND(N187*O187,2)))</f>
        <v/>
      </c>
    </row>
    <row r="188">
      <c r="A188" s="281">
        <f>IF(AND(itens_Remanesc!A187="",itens_Remanesc!A186&lt;&gt;"",COUNTIF(itens_Remanesc!A188:$A$200,"&lt;&gt;")=0),"TOTAL",IF(itens_Remanesc!A187="","",itens_Remanesc!A187))</f>
        <v/>
      </c>
      <c r="B188" s="282">
        <f>IF(OR(itens_Remanesc!A187="",NOT(ISNUMBER(parametros!$F$2))),"",ROUND(itens_Remanesc!C187*parametros!$F$2,2))</f>
        <v/>
      </c>
      <c r="C188" s="283">
        <f>IF(itens_Remanesc!A187="","",itens_Remanesc!B187)</f>
        <v/>
      </c>
      <c r="D188" s="282">
        <f>IF(A188="TOTAL",ROUND(SUM($D$3:D187),2),IF(A188="","",ROUND(B188*C188,2)))</f>
        <v/>
      </c>
      <c r="E188" s="284">
        <f>IF(OR(itens_Remanesc!A187="",NOT(ISNUMBER(parametros!$F$3))),"",ROUND(itens_Remanesc!C187*parametros!$F$3,2))</f>
        <v/>
      </c>
      <c r="F188" s="285">
        <f>IF(itens_Remanesc!A187="","",itens_Remanesc!E187)</f>
        <v/>
      </c>
      <c r="G188" s="284">
        <f>IF(A188="TOTAL",ROUND(SUM($G$3:G187),2),IF(OR(A188="",E188="",F188=""),"",ROUND(E188*F188,2)))</f>
        <v/>
      </c>
      <c r="H188" s="282">
        <f>IF(OR(itens_Remanesc!A187="",NOT(ISNUMBER(parametros!$F$4))),"",ROUND(itens_Remanesc!C187*parametros!$F$4,2))</f>
        <v/>
      </c>
      <c r="I188" s="283">
        <f>IF(itens_Remanesc!A187="","",itens_Remanesc!G187)</f>
        <v/>
      </c>
      <c r="J188" s="282">
        <f>IF(A188="TOTAL",ROUND(SUM($J$3:J187),2),IF(OR(A188="",H188="",I188=""),"",ROUND(H188*I188,2)))</f>
        <v/>
      </c>
      <c r="K188" s="284">
        <f>IF(OR(itens_Remanesc!A187="",NOT(ISNUMBER(parametros!$F$5))),"",ROUND(itens_Remanesc!C187*parametros!$F$5,2))</f>
        <v/>
      </c>
      <c r="L188" s="285">
        <f>IF(itens_Remanesc!A187="","",itens_Remanesc!I187)</f>
        <v/>
      </c>
      <c r="M188" s="284">
        <f>IF(A188="TOTAL",ROUND(SUM($M$3:M187),2),IF(OR(A188="",K188="",L188=""),"",ROUND(K188*L188,2)))</f>
        <v/>
      </c>
      <c r="N188" s="282">
        <f>IF(OR(itens_Remanesc!A187="",NOT(ISNUMBER(parametros!$F$6))),"",ROUND(itens_Remanesc!C187*parametros!$F$6,2))</f>
        <v/>
      </c>
      <c r="O188" s="283">
        <f>IF(itens_Remanesc!A187="","",itens_Remanesc!K187)</f>
        <v/>
      </c>
      <c r="P188" s="282">
        <f>IF(A188="TOTAL",ROUND(SUM($P$3:P187),2),IF(OR(A188="",N188="",O188=""),"",ROUND(N188*O188,2)))</f>
        <v/>
      </c>
    </row>
    <row r="189">
      <c r="A189" s="281">
        <f>IF(AND(itens_Remanesc!A188="",itens_Remanesc!A187&lt;&gt;"",COUNTIF(itens_Remanesc!A189:$A$200,"&lt;&gt;")=0),"TOTAL",IF(itens_Remanesc!A188="","",itens_Remanesc!A188))</f>
        <v/>
      </c>
      <c r="B189" s="282">
        <f>IF(OR(itens_Remanesc!A188="",NOT(ISNUMBER(parametros!$F$2))),"",ROUND(itens_Remanesc!C188*parametros!$F$2,2))</f>
        <v/>
      </c>
      <c r="C189" s="283">
        <f>IF(itens_Remanesc!A188="","",itens_Remanesc!B188)</f>
        <v/>
      </c>
      <c r="D189" s="282">
        <f>IF(A189="TOTAL",ROUND(SUM($D$3:D188),2),IF(A189="","",ROUND(B189*C189,2)))</f>
        <v/>
      </c>
      <c r="E189" s="284">
        <f>IF(OR(itens_Remanesc!A188="",NOT(ISNUMBER(parametros!$F$3))),"",ROUND(itens_Remanesc!C188*parametros!$F$3,2))</f>
        <v/>
      </c>
      <c r="F189" s="285">
        <f>IF(itens_Remanesc!A188="","",itens_Remanesc!E188)</f>
        <v/>
      </c>
      <c r="G189" s="284">
        <f>IF(A189="TOTAL",ROUND(SUM($G$3:G188),2),IF(OR(A189="",E189="",F189=""),"",ROUND(E189*F189,2)))</f>
        <v/>
      </c>
      <c r="H189" s="282">
        <f>IF(OR(itens_Remanesc!A188="",NOT(ISNUMBER(parametros!$F$4))),"",ROUND(itens_Remanesc!C188*parametros!$F$4,2))</f>
        <v/>
      </c>
      <c r="I189" s="283">
        <f>IF(itens_Remanesc!A188="","",itens_Remanesc!G188)</f>
        <v/>
      </c>
      <c r="J189" s="282">
        <f>IF(A189="TOTAL",ROUND(SUM($J$3:J188),2),IF(OR(A189="",H189="",I189=""),"",ROUND(H189*I189,2)))</f>
        <v/>
      </c>
      <c r="K189" s="284">
        <f>IF(OR(itens_Remanesc!A188="",NOT(ISNUMBER(parametros!$F$5))),"",ROUND(itens_Remanesc!C188*parametros!$F$5,2))</f>
        <v/>
      </c>
      <c r="L189" s="285">
        <f>IF(itens_Remanesc!A188="","",itens_Remanesc!I188)</f>
        <v/>
      </c>
      <c r="M189" s="284">
        <f>IF(A189="TOTAL",ROUND(SUM($M$3:M188),2),IF(OR(A189="",K189="",L189=""),"",ROUND(K189*L189,2)))</f>
        <v/>
      </c>
      <c r="N189" s="282">
        <f>IF(OR(itens_Remanesc!A188="",NOT(ISNUMBER(parametros!$F$6))),"",ROUND(itens_Remanesc!C188*parametros!$F$6,2))</f>
        <v/>
      </c>
      <c r="O189" s="283">
        <f>IF(itens_Remanesc!A188="","",itens_Remanesc!K188)</f>
        <v/>
      </c>
      <c r="P189" s="282">
        <f>IF(A189="TOTAL",ROUND(SUM($P$3:P188),2),IF(OR(A189="",N189="",O189=""),"",ROUND(N189*O189,2)))</f>
        <v/>
      </c>
    </row>
    <row r="190">
      <c r="A190" s="281">
        <f>IF(AND(itens_Remanesc!A189="",itens_Remanesc!A188&lt;&gt;"",COUNTIF(itens_Remanesc!A190:$A$200,"&lt;&gt;")=0),"TOTAL",IF(itens_Remanesc!A189="","",itens_Remanesc!A189))</f>
        <v/>
      </c>
      <c r="B190" s="282">
        <f>IF(OR(itens_Remanesc!A189="",NOT(ISNUMBER(parametros!$F$2))),"",ROUND(itens_Remanesc!C189*parametros!$F$2,2))</f>
        <v/>
      </c>
      <c r="C190" s="283">
        <f>IF(itens_Remanesc!A189="","",itens_Remanesc!B189)</f>
        <v/>
      </c>
      <c r="D190" s="282">
        <f>IF(A190="TOTAL",ROUND(SUM($D$3:D189),2),IF(A190="","",ROUND(B190*C190,2)))</f>
        <v/>
      </c>
      <c r="E190" s="284">
        <f>IF(OR(itens_Remanesc!A189="",NOT(ISNUMBER(parametros!$F$3))),"",ROUND(itens_Remanesc!C189*parametros!$F$3,2))</f>
        <v/>
      </c>
      <c r="F190" s="285">
        <f>IF(itens_Remanesc!A189="","",itens_Remanesc!E189)</f>
        <v/>
      </c>
      <c r="G190" s="284">
        <f>IF(A190="TOTAL",ROUND(SUM($G$3:G189),2),IF(OR(A190="",E190="",F190=""),"",ROUND(E190*F190,2)))</f>
        <v/>
      </c>
      <c r="H190" s="282">
        <f>IF(OR(itens_Remanesc!A189="",NOT(ISNUMBER(parametros!$F$4))),"",ROUND(itens_Remanesc!C189*parametros!$F$4,2))</f>
        <v/>
      </c>
      <c r="I190" s="283">
        <f>IF(itens_Remanesc!A189="","",itens_Remanesc!G189)</f>
        <v/>
      </c>
      <c r="J190" s="282">
        <f>IF(A190="TOTAL",ROUND(SUM($J$3:J189),2),IF(OR(A190="",H190="",I190=""),"",ROUND(H190*I190,2)))</f>
        <v/>
      </c>
      <c r="K190" s="284">
        <f>IF(OR(itens_Remanesc!A189="",NOT(ISNUMBER(parametros!$F$5))),"",ROUND(itens_Remanesc!C189*parametros!$F$5,2))</f>
        <v/>
      </c>
      <c r="L190" s="285">
        <f>IF(itens_Remanesc!A189="","",itens_Remanesc!I189)</f>
        <v/>
      </c>
      <c r="M190" s="284">
        <f>IF(A190="TOTAL",ROUND(SUM($M$3:M189),2),IF(OR(A190="",K190="",L190=""),"",ROUND(K190*L190,2)))</f>
        <v/>
      </c>
      <c r="N190" s="282">
        <f>IF(OR(itens_Remanesc!A189="",NOT(ISNUMBER(parametros!$F$6))),"",ROUND(itens_Remanesc!C189*parametros!$F$6,2))</f>
        <v/>
      </c>
      <c r="O190" s="283">
        <f>IF(itens_Remanesc!A189="","",itens_Remanesc!K189)</f>
        <v/>
      </c>
      <c r="P190" s="282">
        <f>IF(A190="TOTAL",ROUND(SUM($P$3:P189),2),IF(OR(A190="",N190="",O190=""),"",ROUND(N190*O190,2)))</f>
        <v/>
      </c>
    </row>
    <row r="191">
      <c r="A191" s="281">
        <f>IF(AND(itens_Remanesc!A190="",itens_Remanesc!A189&lt;&gt;"",COUNTIF(itens_Remanesc!A191:$A$200,"&lt;&gt;")=0),"TOTAL",IF(itens_Remanesc!A190="","",itens_Remanesc!A190))</f>
        <v/>
      </c>
      <c r="B191" s="282">
        <f>IF(OR(itens_Remanesc!A190="",NOT(ISNUMBER(parametros!$F$2))),"",ROUND(itens_Remanesc!C190*parametros!$F$2,2))</f>
        <v/>
      </c>
      <c r="C191" s="283">
        <f>IF(itens_Remanesc!A190="","",itens_Remanesc!B190)</f>
        <v/>
      </c>
      <c r="D191" s="282">
        <f>IF(A191="TOTAL",ROUND(SUM($D$3:D190),2),IF(A191="","",ROUND(B191*C191,2)))</f>
        <v/>
      </c>
      <c r="E191" s="284">
        <f>IF(OR(itens_Remanesc!A190="",NOT(ISNUMBER(parametros!$F$3))),"",ROUND(itens_Remanesc!C190*parametros!$F$3,2))</f>
        <v/>
      </c>
      <c r="F191" s="285">
        <f>IF(itens_Remanesc!A190="","",itens_Remanesc!E190)</f>
        <v/>
      </c>
      <c r="G191" s="284">
        <f>IF(A191="TOTAL",ROUND(SUM($G$3:G190),2),IF(OR(A191="",E191="",F191=""),"",ROUND(E191*F191,2)))</f>
        <v/>
      </c>
      <c r="H191" s="282">
        <f>IF(OR(itens_Remanesc!A190="",NOT(ISNUMBER(parametros!$F$4))),"",ROUND(itens_Remanesc!C190*parametros!$F$4,2))</f>
        <v/>
      </c>
      <c r="I191" s="283">
        <f>IF(itens_Remanesc!A190="","",itens_Remanesc!G190)</f>
        <v/>
      </c>
      <c r="J191" s="282">
        <f>IF(A191="TOTAL",ROUND(SUM($J$3:J190),2),IF(OR(A191="",H191="",I191=""),"",ROUND(H191*I191,2)))</f>
        <v/>
      </c>
      <c r="K191" s="284">
        <f>IF(OR(itens_Remanesc!A190="",NOT(ISNUMBER(parametros!$F$5))),"",ROUND(itens_Remanesc!C190*parametros!$F$5,2))</f>
        <v/>
      </c>
      <c r="L191" s="285">
        <f>IF(itens_Remanesc!A190="","",itens_Remanesc!I190)</f>
        <v/>
      </c>
      <c r="M191" s="284">
        <f>IF(A191="TOTAL",ROUND(SUM($M$3:M190),2),IF(OR(A191="",K191="",L191=""),"",ROUND(K191*L191,2)))</f>
        <v/>
      </c>
      <c r="N191" s="282">
        <f>IF(OR(itens_Remanesc!A190="",NOT(ISNUMBER(parametros!$F$6))),"",ROUND(itens_Remanesc!C190*parametros!$F$6,2))</f>
        <v/>
      </c>
      <c r="O191" s="283">
        <f>IF(itens_Remanesc!A190="","",itens_Remanesc!K190)</f>
        <v/>
      </c>
      <c r="P191" s="282">
        <f>IF(A191="TOTAL",ROUND(SUM($P$3:P190),2),IF(OR(A191="",N191="",O191=""),"",ROUND(N191*O191,2)))</f>
        <v/>
      </c>
    </row>
    <row r="192">
      <c r="A192" s="281">
        <f>IF(AND(itens_Remanesc!A191="",itens_Remanesc!A190&lt;&gt;"",COUNTIF(itens_Remanesc!A192:$A$200,"&lt;&gt;")=0),"TOTAL",IF(itens_Remanesc!A191="","",itens_Remanesc!A191))</f>
        <v/>
      </c>
      <c r="B192" s="282">
        <f>IF(OR(itens_Remanesc!A191="",NOT(ISNUMBER(parametros!$F$2))),"",ROUND(itens_Remanesc!C191*parametros!$F$2,2))</f>
        <v/>
      </c>
      <c r="C192" s="283">
        <f>IF(itens_Remanesc!A191="","",itens_Remanesc!B191)</f>
        <v/>
      </c>
      <c r="D192" s="282">
        <f>IF(A192="TOTAL",ROUND(SUM($D$3:D191),2),IF(A192="","",ROUND(B192*C192,2)))</f>
        <v/>
      </c>
      <c r="E192" s="284">
        <f>IF(OR(itens_Remanesc!A191="",NOT(ISNUMBER(parametros!$F$3))),"",ROUND(itens_Remanesc!C191*parametros!$F$3,2))</f>
        <v/>
      </c>
      <c r="F192" s="285">
        <f>IF(itens_Remanesc!A191="","",itens_Remanesc!E191)</f>
        <v/>
      </c>
      <c r="G192" s="284">
        <f>IF(A192="TOTAL",ROUND(SUM($G$3:G191),2),IF(OR(A192="",E192="",F192=""),"",ROUND(E192*F192,2)))</f>
        <v/>
      </c>
      <c r="H192" s="282">
        <f>IF(OR(itens_Remanesc!A191="",NOT(ISNUMBER(parametros!$F$4))),"",ROUND(itens_Remanesc!C191*parametros!$F$4,2))</f>
        <v/>
      </c>
      <c r="I192" s="283">
        <f>IF(itens_Remanesc!A191="","",itens_Remanesc!G191)</f>
        <v/>
      </c>
      <c r="J192" s="282">
        <f>IF(A192="TOTAL",ROUND(SUM($J$3:J191),2),IF(OR(A192="",H192="",I192=""),"",ROUND(H192*I192,2)))</f>
        <v/>
      </c>
      <c r="K192" s="284">
        <f>IF(OR(itens_Remanesc!A191="",NOT(ISNUMBER(parametros!$F$5))),"",ROUND(itens_Remanesc!C191*parametros!$F$5,2))</f>
        <v/>
      </c>
      <c r="L192" s="285">
        <f>IF(itens_Remanesc!A191="","",itens_Remanesc!I191)</f>
        <v/>
      </c>
      <c r="M192" s="284">
        <f>IF(A192="TOTAL",ROUND(SUM($M$3:M191),2),IF(OR(A192="",K192="",L192=""),"",ROUND(K192*L192,2)))</f>
        <v/>
      </c>
      <c r="N192" s="282">
        <f>IF(OR(itens_Remanesc!A191="",NOT(ISNUMBER(parametros!$F$6))),"",ROUND(itens_Remanesc!C191*parametros!$F$6,2))</f>
        <v/>
      </c>
      <c r="O192" s="283">
        <f>IF(itens_Remanesc!A191="","",itens_Remanesc!K191)</f>
        <v/>
      </c>
      <c r="P192" s="282">
        <f>IF(A192="TOTAL",ROUND(SUM($P$3:P191),2),IF(OR(A192="",N192="",O192=""),"",ROUND(N192*O192,2)))</f>
        <v/>
      </c>
    </row>
    <row r="193">
      <c r="A193" s="281">
        <f>IF(AND(itens_Remanesc!A192="",itens_Remanesc!A191&lt;&gt;"",COUNTIF(itens_Remanesc!A193:$A$200,"&lt;&gt;")=0),"TOTAL",IF(itens_Remanesc!A192="","",itens_Remanesc!A192))</f>
        <v/>
      </c>
      <c r="B193" s="282">
        <f>IF(OR(itens_Remanesc!A192="",NOT(ISNUMBER(parametros!$F$2))),"",ROUND(itens_Remanesc!C192*parametros!$F$2,2))</f>
        <v/>
      </c>
      <c r="C193" s="283">
        <f>IF(itens_Remanesc!A192="","",itens_Remanesc!B192)</f>
        <v/>
      </c>
      <c r="D193" s="282">
        <f>IF(A193="TOTAL",ROUND(SUM($D$3:D192),2),IF(A193="","",ROUND(B193*C193,2)))</f>
        <v/>
      </c>
      <c r="E193" s="284">
        <f>IF(OR(itens_Remanesc!A192="",NOT(ISNUMBER(parametros!$F$3))),"",ROUND(itens_Remanesc!C192*parametros!$F$3,2))</f>
        <v/>
      </c>
      <c r="F193" s="285">
        <f>IF(itens_Remanesc!A192="","",itens_Remanesc!E192)</f>
        <v/>
      </c>
      <c r="G193" s="284">
        <f>IF(A193="TOTAL",ROUND(SUM($G$3:G192),2),IF(OR(A193="",E193="",F193=""),"",ROUND(E193*F193,2)))</f>
        <v/>
      </c>
      <c r="H193" s="282">
        <f>IF(OR(itens_Remanesc!A192="",NOT(ISNUMBER(parametros!$F$4))),"",ROUND(itens_Remanesc!C192*parametros!$F$4,2))</f>
        <v/>
      </c>
      <c r="I193" s="283">
        <f>IF(itens_Remanesc!A192="","",itens_Remanesc!G192)</f>
        <v/>
      </c>
      <c r="J193" s="282">
        <f>IF(A193="TOTAL",ROUND(SUM($J$3:J192),2),IF(OR(A193="",H193="",I193=""),"",ROUND(H193*I193,2)))</f>
        <v/>
      </c>
      <c r="K193" s="284">
        <f>IF(OR(itens_Remanesc!A192="",NOT(ISNUMBER(parametros!$F$5))),"",ROUND(itens_Remanesc!C192*parametros!$F$5,2))</f>
        <v/>
      </c>
      <c r="L193" s="285">
        <f>IF(itens_Remanesc!A192="","",itens_Remanesc!I192)</f>
        <v/>
      </c>
      <c r="M193" s="284">
        <f>IF(A193="TOTAL",ROUND(SUM($M$3:M192),2),IF(OR(A193="",K193="",L193=""),"",ROUND(K193*L193,2)))</f>
        <v/>
      </c>
      <c r="N193" s="282">
        <f>IF(OR(itens_Remanesc!A192="",NOT(ISNUMBER(parametros!$F$6))),"",ROUND(itens_Remanesc!C192*parametros!$F$6,2))</f>
        <v/>
      </c>
      <c r="O193" s="283">
        <f>IF(itens_Remanesc!A192="","",itens_Remanesc!K192)</f>
        <v/>
      </c>
      <c r="P193" s="282">
        <f>IF(A193="TOTAL",ROUND(SUM($P$3:P192),2),IF(OR(A193="",N193="",O193=""),"",ROUND(N193*O193,2)))</f>
        <v/>
      </c>
    </row>
    <row r="194">
      <c r="A194" s="281">
        <f>IF(AND(itens_Remanesc!A193="",itens_Remanesc!A192&lt;&gt;"",COUNTIF(itens_Remanesc!A194:$A$200,"&lt;&gt;")=0),"TOTAL",IF(itens_Remanesc!A193="","",itens_Remanesc!A193))</f>
        <v/>
      </c>
      <c r="B194" s="282">
        <f>IF(OR(itens_Remanesc!A193="",NOT(ISNUMBER(parametros!$F$2))),"",ROUND(itens_Remanesc!C193*parametros!$F$2,2))</f>
        <v/>
      </c>
      <c r="C194" s="283">
        <f>IF(itens_Remanesc!A193="","",itens_Remanesc!B193)</f>
        <v/>
      </c>
      <c r="D194" s="282">
        <f>IF(A194="TOTAL",ROUND(SUM($D$3:D193),2),IF(A194="","",ROUND(B194*C194,2)))</f>
        <v/>
      </c>
      <c r="E194" s="284">
        <f>IF(OR(itens_Remanesc!A193="",NOT(ISNUMBER(parametros!$F$3))),"",ROUND(itens_Remanesc!C193*parametros!$F$3,2))</f>
        <v/>
      </c>
      <c r="F194" s="285">
        <f>IF(itens_Remanesc!A193="","",itens_Remanesc!E193)</f>
        <v/>
      </c>
      <c r="G194" s="284">
        <f>IF(A194="TOTAL",ROUND(SUM($G$3:G193),2),IF(OR(A194="",E194="",F194=""),"",ROUND(E194*F194,2)))</f>
        <v/>
      </c>
      <c r="H194" s="282">
        <f>IF(OR(itens_Remanesc!A193="",NOT(ISNUMBER(parametros!$F$4))),"",ROUND(itens_Remanesc!C193*parametros!$F$4,2))</f>
        <v/>
      </c>
      <c r="I194" s="283">
        <f>IF(itens_Remanesc!A193="","",itens_Remanesc!G193)</f>
        <v/>
      </c>
      <c r="J194" s="282">
        <f>IF(A194="TOTAL",ROUND(SUM($J$3:J193),2),IF(OR(A194="",H194="",I194=""),"",ROUND(H194*I194,2)))</f>
        <v/>
      </c>
      <c r="K194" s="284">
        <f>IF(OR(itens_Remanesc!A193="",NOT(ISNUMBER(parametros!$F$5))),"",ROUND(itens_Remanesc!C193*parametros!$F$5,2))</f>
        <v/>
      </c>
      <c r="L194" s="285">
        <f>IF(itens_Remanesc!A193="","",itens_Remanesc!I193)</f>
        <v/>
      </c>
      <c r="M194" s="284">
        <f>IF(A194="TOTAL",ROUND(SUM($M$3:M193),2),IF(OR(A194="",K194="",L194=""),"",ROUND(K194*L194,2)))</f>
        <v/>
      </c>
      <c r="N194" s="282">
        <f>IF(OR(itens_Remanesc!A193="",NOT(ISNUMBER(parametros!$F$6))),"",ROUND(itens_Remanesc!C193*parametros!$F$6,2))</f>
        <v/>
      </c>
      <c r="O194" s="283">
        <f>IF(itens_Remanesc!A193="","",itens_Remanesc!K193)</f>
        <v/>
      </c>
      <c r="P194" s="282">
        <f>IF(A194="TOTAL",ROUND(SUM($P$3:P193),2),IF(OR(A194="",N194="",O194=""),"",ROUND(N194*O194,2)))</f>
        <v/>
      </c>
    </row>
    <row r="195">
      <c r="A195" s="281">
        <f>IF(AND(itens_Remanesc!A194="",itens_Remanesc!A193&lt;&gt;"",COUNTIF(itens_Remanesc!A195:$A$200,"&lt;&gt;")=0),"TOTAL",IF(itens_Remanesc!A194="","",itens_Remanesc!A194))</f>
        <v/>
      </c>
      <c r="B195" s="282">
        <f>IF(OR(itens_Remanesc!A194="",NOT(ISNUMBER(parametros!$F$2))),"",ROUND(itens_Remanesc!C194*parametros!$F$2,2))</f>
        <v/>
      </c>
      <c r="C195" s="283">
        <f>IF(itens_Remanesc!A194="","",itens_Remanesc!B194)</f>
        <v/>
      </c>
      <c r="D195" s="282">
        <f>IF(A195="TOTAL",ROUND(SUM($D$3:D194),2),IF(A195="","",ROUND(B195*C195,2)))</f>
        <v/>
      </c>
      <c r="E195" s="284">
        <f>IF(OR(itens_Remanesc!A194="",NOT(ISNUMBER(parametros!$F$3))),"",ROUND(itens_Remanesc!C194*parametros!$F$3,2))</f>
        <v/>
      </c>
      <c r="F195" s="285">
        <f>IF(itens_Remanesc!A194="","",itens_Remanesc!E194)</f>
        <v/>
      </c>
      <c r="G195" s="284">
        <f>IF(A195="TOTAL",ROUND(SUM($G$3:G194),2),IF(OR(A195="",E195="",F195=""),"",ROUND(E195*F195,2)))</f>
        <v/>
      </c>
      <c r="H195" s="282">
        <f>IF(OR(itens_Remanesc!A194="",NOT(ISNUMBER(parametros!$F$4))),"",ROUND(itens_Remanesc!C194*parametros!$F$4,2))</f>
        <v/>
      </c>
      <c r="I195" s="283">
        <f>IF(itens_Remanesc!A194="","",itens_Remanesc!G194)</f>
        <v/>
      </c>
      <c r="J195" s="282">
        <f>IF(A195="TOTAL",ROUND(SUM($J$3:J194),2),IF(OR(A195="",H195="",I195=""),"",ROUND(H195*I195,2)))</f>
        <v/>
      </c>
      <c r="K195" s="284">
        <f>IF(OR(itens_Remanesc!A194="",NOT(ISNUMBER(parametros!$F$5))),"",ROUND(itens_Remanesc!C194*parametros!$F$5,2))</f>
        <v/>
      </c>
      <c r="L195" s="285">
        <f>IF(itens_Remanesc!A194="","",itens_Remanesc!I194)</f>
        <v/>
      </c>
      <c r="M195" s="284">
        <f>IF(A195="TOTAL",ROUND(SUM($M$3:M194),2),IF(OR(A195="",K195="",L195=""),"",ROUND(K195*L195,2)))</f>
        <v/>
      </c>
      <c r="N195" s="282">
        <f>IF(OR(itens_Remanesc!A194="",NOT(ISNUMBER(parametros!$F$6))),"",ROUND(itens_Remanesc!C194*parametros!$F$6,2))</f>
        <v/>
      </c>
      <c r="O195" s="283">
        <f>IF(itens_Remanesc!A194="","",itens_Remanesc!K194)</f>
        <v/>
      </c>
      <c r="P195" s="282">
        <f>IF(A195="TOTAL",ROUND(SUM($P$3:P194),2),IF(OR(A195="",N195="",O195=""),"",ROUND(N195*O195,2)))</f>
        <v/>
      </c>
    </row>
    <row r="196">
      <c r="A196" s="281">
        <f>IF(AND(itens_Remanesc!A195="",itens_Remanesc!A194&lt;&gt;"",COUNTIF(itens_Remanesc!A196:$A$200,"&lt;&gt;")=0),"TOTAL",IF(itens_Remanesc!A195="","",itens_Remanesc!A195))</f>
        <v/>
      </c>
      <c r="B196" s="282">
        <f>IF(OR(itens_Remanesc!A195="",NOT(ISNUMBER(parametros!$F$2))),"",ROUND(itens_Remanesc!C195*parametros!$F$2,2))</f>
        <v/>
      </c>
      <c r="C196" s="283">
        <f>IF(itens_Remanesc!A195="","",itens_Remanesc!B195)</f>
        <v/>
      </c>
      <c r="D196" s="282">
        <f>IF(A196="TOTAL",ROUND(SUM($D$3:D195),2),IF(A196="","",ROUND(B196*C196,2)))</f>
        <v/>
      </c>
      <c r="E196" s="284">
        <f>IF(OR(itens_Remanesc!A195="",NOT(ISNUMBER(parametros!$F$3))),"",ROUND(itens_Remanesc!C195*parametros!$F$3,2))</f>
        <v/>
      </c>
      <c r="F196" s="285">
        <f>IF(itens_Remanesc!A195="","",itens_Remanesc!E195)</f>
        <v/>
      </c>
      <c r="G196" s="284">
        <f>IF(A196="TOTAL",ROUND(SUM($G$3:G195),2),IF(OR(A196="",E196="",F196=""),"",ROUND(E196*F196,2)))</f>
        <v/>
      </c>
      <c r="H196" s="282">
        <f>IF(OR(itens_Remanesc!A195="",NOT(ISNUMBER(parametros!$F$4))),"",ROUND(itens_Remanesc!C195*parametros!$F$4,2))</f>
        <v/>
      </c>
      <c r="I196" s="283">
        <f>IF(itens_Remanesc!A195="","",itens_Remanesc!G195)</f>
        <v/>
      </c>
      <c r="J196" s="282">
        <f>IF(A196="TOTAL",ROUND(SUM($J$3:J195),2),IF(OR(A196="",H196="",I196=""),"",ROUND(H196*I196,2)))</f>
        <v/>
      </c>
      <c r="K196" s="284">
        <f>IF(OR(itens_Remanesc!A195="",NOT(ISNUMBER(parametros!$F$5))),"",ROUND(itens_Remanesc!C195*parametros!$F$5,2))</f>
        <v/>
      </c>
      <c r="L196" s="285">
        <f>IF(itens_Remanesc!A195="","",itens_Remanesc!I195)</f>
        <v/>
      </c>
      <c r="M196" s="284">
        <f>IF(A196="TOTAL",ROUND(SUM($M$3:M195),2),IF(OR(A196="",K196="",L196=""),"",ROUND(K196*L196,2)))</f>
        <v/>
      </c>
      <c r="N196" s="282">
        <f>IF(OR(itens_Remanesc!A195="",NOT(ISNUMBER(parametros!$F$6))),"",ROUND(itens_Remanesc!C195*parametros!$F$6,2))</f>
        <v/>
      </c>
      <c r="O196" s="283">
        <f>IF(itens_Remanesc!A195="","",itens_Remanesc!K195)</f>
        <v/>
      </c>
      <c r="P196" s="282">
        <f>IF(A196="TOTAL",ROUND(SUM($P$3:P195),2),IF(OR(A196="",N196="",O196=""),"",ROUND(N196*O196,2)))</f>
        <v/>
      </c>
    </row>
    <row r="197">
      <c r="A197" s="281">
        <f>IF(AND(itens_Remanesc!A196="",itens_Remanesc!A195&lt;&gt;"",COUNTIF(itens_Remanesc!A197:$A$200,"&lt;&gt;")=0),"TOTAL",IF(itens_Remanesc!A196="","",itens_Remanesc!A196))</f>
        <v/>
      </c>
      <c r="B197" s="282">
        <f>IF(OR(itens_Remanesc!A196="",NOT(ISNUMBER(parametros!$F$2))),"",ROUND(itens_Remanesc!C196*parametros!$F$2,2))</f>
        <v/>
      </c>
      <c r="C197" s="283">
        <f>IF(itens_Remanesc!A196="","",itens_Remanesc!B196)</f>
        <v/>
      </c>
      <c r="D197" s="282">
        <f>IF(A197="TOTAL",ROUND(SUM($D$3:D196),2),IF(A197="","",ROUND(B197*C197,2)))</f>
        <v/>
      </c>
      <c r="E197" s="284">
        <f>IF(OR(itens_Remanesc!A196="",NOT(ISNUMBER(parametros!$F$3))),"",ROUND(itens_Remanesc!C196*parametros!$F$3,2))</f>
        <v/>
      </c>
      <c r="F197" s="285">
        <f>IF(itens_Remanesc!A196="","",itens_Remanesc!E196)</f>
        <v/>
      </c>
      <c r="G197" s="284">
        <f>IF(A197="TOTAL",ROUND(SUM($G$3:G196),2),IF(OR(A197="",E197="",F197=""),"",ROUND(E197*F197,2)))</f>
        <v/>
      </c>
      <c r="H197" s="282">
        <f>IF(OR(itens_Remanesc!A196="",NOT(ISNUMBER(parametros!$F$4))),"",ROUND(itens_Remanesc!C196*parametros!$F$4,2))</f>
        <v/>
      </c>
      <c r="I197" s="283">
        <f>IF(itens_Remanesc!A196="","",itens_Remanesc!G196)</f>
        <v/>
      </c>
      <c r="J197" s="282">
        <f>IF(A197="TOTAL",ROUND(SUM($J$3:J196),2),IF(OR(A197="",H197="",I197=""),"",ROUND(H197*I197,2)))</f>
        <v/>
      </c>
      <c r="K197" s="284">
        <f>IF(OR(itens_Remanesc!A196="",NOT(ISNUMBER(parametros!$F$5))),"",ROUND(itens_Remanesc!C196*parametros!$F$5,2))</f>
        <v/>
      </c>
      <c r="L197" s="285">
        <f>IF(itens_Remanesc!A196="","",itens_Remanesc!I196)</f>
        <v/>
      </c>
      <c r="M197" s="284">
        <f>IF(A197="TOTAL",ROUND(SUM($M$3:M196),2),IF(OR(A197="",K197="",L197=""),"",ROUND(K197*L197,2)))</f>
        <v/>
      </c>
      <c r="N197" s="282">
        <f>IF(OR(itens_Remanesc!A196="",NOT(ISNUMBER(parametros!$F$6))),"",ROUND(itens_Remanesc!C196*parametros!$F$6,2))</f>
        <v/>
      </c>
      <c r="O197" s="283">
        <f>IF(itens_Remanesc!A196="","",itens_Remanesc!K196)</f>
        <v/>
      </c>
      <c r="P197" s="282">
        <f>IF(A197="TOTAL",ROUND(SUM($P$3:P196),2),IF(OR(A197="",N197="",O197=""),"",ROUND(N197*O197,2)))</f>
        <v/>
      </c>
    </row>
    <row r="198">
      <c r="A198" s="281">
        <f>IF(AND(itens_Remanesc!A197="",itens_Remanesc!A196&lt;&gt;"",COUNTIF(itens_Remanesc!A198:$A$200,"&lt;&gt;")=0),"TOTAL",IF(itens_Remanesc!A197="","",itens_Remanesc!A197))</f>
        <v/>
      </c>
      <c r="B198" s="282">
        <f>IF(OR(itens_Remanesc!A197="",NOT(ISNUMBER(parametros!$F$2))),"",ROUND(itens_Remanesc!C197*parametros!$F$2,2))</f>
        <v/>
      </c>
      <c r="C198" s="283">
        <f>IF(itens_Remanesc!A197="","",itens_Remanesc!B197)</f>
        <v/>
      </c>
      <c r="D198" s="282">
        <f>IF(A198="TOTAL",ROUND(SUM($D$3:D197),2),IF(A198="","",ROUND(B198*C198,2)))</f>
        <v/>
      </c>
      <c r="E198" s="284">
        <f>IF(OR(itens_Remanesc!A197="",NOT(ISNUMBER(parametros!$F$3))),"",ROUND(itens_Remanesc!C197*parametros!$F$3,2))</f>
        <v/>
      </c>
      <c r="F198" s="285">
        <f>IF(itens_Remanesc!A197="","",itens_Remanesc!E197)</f>
        <v/>
      </c>
      <c r="G198" s="284">
        <f>IF(A198="TOTAL",ROUND(SUM($G$3:G197),2),IF(OR(A198="",E198="",F198=""),"",ROUND(E198*F198,2)))</f>
        <v/>
      </c>
      <c r="H198" s="282">
        <f>IF(OR(itens_Remanesc!A197="",NOT(ISNUMBER(parametros!$F$4))),"",ROUND(itens_Remanesc!C197*parametros!$F$4,2))</f>
        <v/>
      </c>
      <c r="I198" s="283">
        <f>IF(itens_Remanesc!A197="","",itens_Remanesc!G197)</f>
        <v/>
      </c>
      <c r="J198" s="282">
        <f>IF(A198="TOTAL",ROUND(SUM($J$3:J197),2),IF(OR(A198="",H198="",I198=""),"",ROUND(H198*I198,2)))</f>
        <v/>
      </c>
      <c r="K198" s="284">
        <f>IF(OR(itens_Remanesc!A197="",NOT(ISNUMBER(parametros!$F$5))),"",ROUND(itens_Remanesc!C197*parametros!$F$5,2))</f>
        <v/>
      </c>
      <c r="L198" s="285">
        <f>IF(itens_Remanesc!A197="","",itens_Remanesc!I197)</f>
        <v/>
      </c>
      <c r="M198" s="284">
        <f>IF(A198="TOTAL",ROUND(SUM($M$3:M197),2),IF(OR(A198="",K198="",L198=""),"",ROUND(K198*L198,2)))</f>
        <v/>
      </c>
      <c r="N198" s="282">
        <f>IF(OR(itens_Remanesc!A197="",NOT(ISNUMBER(parametros!$F$6))),"",ROUND(itens_Remanesc!C197*parametros!$F$6,2))</f>
        <v/>
      </c>
      <c r="O198" s="283">
        <f>IF(itens_Remanesc!A197="","",itens_Remanesc!K197)</f>
        <v/>
      </c>
      <c r="P198" s="282">
        <f>IF(A198="TOTAL",ROUND(SUM($P$3:P197),2),IF(OR(A198="",N198="",O198=""),"",ROUND(N198*O198,2)))</f>
        <v/>
      </c>
    </row>
    <row r="199">
      <c r="A199" s="281">
        <f>IF(AND(itens_Remanesc!A198="",itens_Remanesc!A197&lt;&gt;"",COUNTIF(itens_Remanesc!A199:$A$200,"&lt;&gt;")=0),"TOTAL",IF(itens_Remanesc!A198="","",itens_Remanesc!A198))</f>
        <v/>
      </c>
      <c r="B199" s="282">
        <f>IF(OR(itens_Remanesc!A198="",NOT(ISNUMBER(parametros!$F$2))),"",ROUND(itens_Remanesc!C198*parametros!$F$2,2))</f>
        <v/>
      </c>
      <c r="C199" s="283">
        <f>IF(itens_Remanesc!A198="","",itens_Remanesc!B198)</f>
        <v/>
      </c>
      <c r="D199" s="282">
        <f>IF(A199="TOTAL",ROUND(SUM($D$3:D198),2),IF(A199="","",ROUND(B199*C199,2)))</f>
        <v/>
      </c>
      <c r="E199" s="284">
        <f>IF(OR(itens_Remanesc!A198="",NOT(ISNUMBER(parametros!$F$3))),"",ROUND(itens_Remanesc!C198*parametros!$F$3,2))</f>
        <v/>
      </c>
      <c r="F199" s="285">
        <f>IF(itens_Remanesc!A198="","",itens_Remanesc!E198)</f>
        <v/>
      </c>
      <c r="G199" s="284">
        <f>IF(A199="TOTAL",ROUND(SUM($G$3:G198),2),IF(OR(A199="",E199="",F199=""),"",ROUND(E199*F199,2)))</f>
        <v/>
      </c>
      <c r="H199" s="282">
        <f>IF(OR(itens_Remanesc!A198="",NOT(ISNUMBER(parametros!$F$4))),"",ROUND(itens_Remanesc!C198*parametros!$F$4,2))</f>
        <v/>
      </c>
      <c r="I199" s="283">
        <f>IF(itens_Remanesc!A198="","",itens_Remanesc!G198)</f>
        <v/>
      </c>
      <c r="J199" s="282">
        <f>IF(A199="TOTAL",ROUND(SUM($J$3:J198),2),IF(OR(A199="",H199="",I199=""),"",ROUND(H199*I199,2)))</f>
        <v/>
      </c>
      <c r="K199" s="284">
        <f>IF(OR(itens_Remanesc!A198="",NOT(ISNUMBER(parametros!$F$5))),"",ROUND(itens_Remanesc!C198*parametros!$F$5,2))</f>
        <v/>
      </c>
      <c r="L199" s="285">
        <f>IF(itens_Remanesc!A198="","",itens_Remanesc!I198)</f>
        <v/>
      </c>
      <c r="M199" s="284">
        <f>IF(A199="TOTAL",ROUND(SUM($M$3:M198),2),IF(OR(A199="",K199="",L199=""),"",ROUND(K199*L199,2)))</f>
        <v/>
      </c>
      <c r="N199" s="282">
        <f>IF(OR(itens_Remanesc!A198="",NOT(ISNUMBER(parametros!$F$6))),"",ROUND(itens_Remanesc!C198*parametros!$F$6,2))</f>
        <v/>
      </c>
      <c r="O199" s="283">
        <f>IF(itens_Remanesc!A198="","",itens_Remanesc!K198)</f>
        <v/>
      </c>
      <c r="P199" s="282">
        <f>IF(A199="TOTAL",ROUND(SUM($P$3:P198),2),IF(OR(A199="",N199="",O199=""),"",ROUND(N199*O199,2)))</f>
        <v/>
      </c>
    </row>
    <row r="200">
      <c r="A200" s="281">
        <f>IF(AND(itens_Remanesc!A199="",itens_Remanesc!A198&lt;&gt;"",COUNTIF(itens_Remanesc!A200:$A$200,"&lt;&gt;")=0),"TOTAL",IF(itens_Remanesc!A199="","",itens_Remanesc!A199))</f>
        <v/>
      </c>
      <c r="B200" s="282">
        <f>IF(OR(itens_Remanesc!A199="",NOT(ISNUMBER(parametros!$F$2))),"",ROUND(itens_Remanesc!C199*parametros!$F$2,2))</f>
        <v/>
      </c>
      <c r="C200" s="283">
        <f>IF(itens_Remanesc!A199="","",itens_Remanesc!B199)</f>
        <v/>
      </c>
      <c r="D200" s="282">
        <f>IF(A200="TOTAL",ROUND(SUM($D$3:D199),2),IF(A200="","",ROUND(B200*C200,2)))</f>
        <v/>
      </c>
      <c r="E200" s="284">
        <f>IF(OR(itens_Remanesc!A199="",NOT(ISNUMBER(parametros!$F$3))),"",ROUND(itens_Remanesc!C199*parametros!$F$3,2))</f>
        <v/>
      </c>
      <c r="F200" s="285">
        <f>IF(itens_Remanesc!A199="","",itens_Remanesc!E199)</f>
        <v/>
      </c>
      <c r="G200" s="284">
        <f>IF(A200="TOTAL",ROUND(SUM($G$3:G199),2),IF(OR(A200="",E200="",F200=""),"",ROUND(E200*F200,2)))</f>
        <v/>
      </c>
      <c r="H200" s="282">
        <f>IF(OR(itens_Remanesc!A199="",NOT(ISNUMBER(parametros!$F$4))),"",ROUND(itens_Remanesc!C199*parametros!$F$4,2))</f>
        <v/>
      </c>
      <c r="I200" s="283">
        <f>IF(itens_Remanesc!A199="","",itens_Remanesc!G199)</f>
        <v/>
      </c>
      <c r="J200" s="282">
        <f>IF(A200="TOTAL",ROUND(SUM($J$3:J199),2),IF(OR(A200="",H200="",I200=""),"",ROUND(H200*I200,2)))</f>
        <v/>
      </c>
      <c r="K200" s="284">
        <f>IF(OR(itens_Remanesc!A199="",NOT(ISNUMBER(parametros!$F$5))),"",ROUND(itens_Remanesc!C199*parametros!$F$5,2))</f>
        <v/>
      </c>
      <c r="L200" s="285">
        <f>IF(itens_Remanesc!A199="","",itens_Remanesc!I199)</f>
        <v/>
      </c>
      <c r="M200" s="284">
        <f>IF(A200="TOTAL",ROUND(SUM($M$3:M199),2),IF(OR(A200="",K200="",L200=""),"",ROUND(K200*L200,2)))</f>
        <v/>
      </c>
      <c r="N200" s="282">
        <f>IF(OR(itens_Remanesc!A199="",NOT(ISNUMBER(parametros!$F$6))),"",ROUND(itens_Remanesc!C199*parametros!$F$6,2))</f>
        <v/>
      </c>
      <c r="O200" s="283">
        <f>IF(itens_Remanesc!A199="","",itens_Remanesc!K199)</f>
        <v/>
      </c>
      <c r="P200" s="282">
        <f>IF(A200="TOTAL",ROUND(SUM($P$3:P199),2),IF(OR(A200="",N200="",O200=""),"",ROUND(N200*O200,2)))</f>
        <v/>
      </c>
    </row>
    <row r="201">
      <c r="A201" s="281">
        <f>IF(AND(itens_Remanesc!A200="",itens_Remanesc!A199&lt;&gt;"",COUNTIF(itens_Remanesc!A201:$A$200,"&lt;&gt;")=0),"TOTAL",IF(itens_Remanesc!A200="","",itens_Remanesc!A200))</f>
        <v/>
      </c>
      <c r="B201" s="282">
        <f>IF(OR(itens_Remanesc!A200="",NOT(ISNUMBER(parametros!$F$2))),"",ROUND(itens_Remanesc!C200*parametros!$F$2,2))</f>
        <v/>
      </c>
      <c r="C201" s="283">
        <f>IF(itens_Remanesc!A200="","",itens_Remanesc!B200)</f>
        <v/>
      </c>
      <c r="D201" s="282">
        <f>IF(A201="TOTAL",ROUND(SUM($D$3:D200),2),IF(A201="","",ROUND(B201*C201,2)))</f>
        <v/>
      </c>
      <c r="E201" s="284">
        <f>IF(OR(itens_Remanesc!A200="",NOT(ISNUMBER(parametros!$F$3))),"",ROUND(itens_Remanesc!C200*parametros!$F$3,2))</f>
        <v/>
      </c>
      <c r="F201" s="285">
        <f>IF(itens_Remanesc!A200="","",itens_Remanesc!E200)</f>
        <v/>
      </c>
      <c r="G201" s="284">
        <f>IF(A201="TOTAL",ROUND(SUM($G$3:G200),2),IF(OR(A201="",E201="",F201=""),"",ROUND(E201*F201,2)))</f>
        <v/>
      </c>
      <c r="H201" s="282">
        <f>IF(OR(itens_Remanesc!A200="",NOT(ISNUMBER(parametros!$F$4))),"",ROUND(itens_Remanesc!C200*parametros!$F$4,2))</f>
        <v/>
      </c>
      <c r="I201" s="283">
        <f>IF(itens_Remanesc!A200="","",itens_Remanesc!G200)</f>
        <v/>
      </c>
      <c r="J201" s="282">
        <f>IF(A201="TOTAL",ROUND(SUM($J$3:J200),2),IF(OR(A201="",H201="",I201=""),"",ROUND(H201*I201,2)))</f>
        <v/>
      </c>
      <c r="K201" s="284">
        <f>IF(OR(itens_Remanesc!A200="",NOT(ISNUMBER(parametros!$F$5))),"",ROUND(itens_Remanesc!C200*parametros!$F$5,2))</f>
        <v/>
      </c>
      <c r="L201" s="285">
        <f>IF(itens_Remanesc!A200="","",itens_Remanesc!I200)</f>
        <v/>
      </c>
      <c r="M201" s="284">
        <f>IF(A201="TOTAL",ROUND(SUM($M$3:M200),2),IF(OR(A201="",K201="",L201=""),"",ROUND(K201*L201,2)))</f>
        <v/>
      </c>
      <c r="N201" s="282">
        <f>IF(OR(itens_Remanesc!A200="",NOT(ISNUMBER(parametros!$F$6))),"",ROUND(itens_Remanesc!C200*parametros!$F$6,2))</f>
        <v/>
      </c>
      <c r="O201" s="283">
        <f>IF(itens_Remanesc!A200="","",itens_Remanesc!K200)</f>
        <v/>
      </c>
      <c r="P201" s="282">
        <f>IF(A201="TOTAL",ROUND(SUM($P$3:P200),2),IF(OR(A201="",N201="",O201=""),"",ROUND(N201*O201,2)))</f>
        <v/>
      </c>
    </row>
    <row r="202">
      <c r="A202" s="281">
        <f>IF(AND(itens_Remanesc!A201="",itens_Remanesc!A200&lt;&gt;"",COUNTIF(itens_Remanesc!A202:$A$200,"&lt;&gt;")=0),"TOTAL",IF(itens_Remanesc!A201="","",itens_Remanesc!A201))</f>
        <v/>
      </c>
      <c r="B202" s="282">
        <f>IF(OR(itens_Remanesc!A201="",NOT(ISNUMBER(parametros!$F$2))),"",ROUND(itens_Remanesc!C201*parametros!$F$2,2))</f>
        <v/>
      </c>
      <c r="C202" s="283">
        <f>IF(itens_Remanesc!A201="","",itens_Remanesc!B201)</f>
        <v/>
      </c>
      <c r="D202" s="282">
        <f>IF(A202="TOTAL",ROUND(SUM($D$3:D201),2),IF(A202="","",ROUND(B202*C202,2)))</f>
        <v/>
      </c>
      <c r="E202" s="284">
        <f>IF(OR(itens_Remanesc!A201="",NOT(ISNUMBER(parametros!$F$3))),"",ROUND(itens_Remanesc!C201*parametros!$F$3,2))</f>
        <v/>
      </c>
      <c r="F202" s="285">
        <f>IF(itens_Remanesc!A201="","",itens_Remanesc!E201)</f>
        <v/>
      </c>
      <c r="G202" s="284">
        <f>IF(A202="TOTAL",ROUND(SUM($G$3:G201),2),IF(OR(A202="",E202="",F202=""),"",ROUND(E202*F202,2)))</f>
        <v/>
      </c>
      <c r="H202" s="282">
        <f>IF(OR(itens_Remanesc!A201="",NOT(ISNUMBER(parametros!$F$4))),"",ROUND(itens_Remanesc!C201*parametros!$F$4,2))</f>
        <v/>
      </c>
      <c r="I202" s="283">
        <f>IF(itens_Remanesc!A201="","",itens_Remanesc!G201)</f>
        <v/>
      </c>
      <c r="J202" s="282">
        <f>IF(A202="TOTAL",ROUND(SUM($J$3:J201),2),IF(OR(A202="",H202="",I202=""),"",ROUND(H202*I202,2)))</f>
        <v/>
      </c>
      <c r="K202" s="284">
        <f>IF(OR(itens_Remanesc!A201="",NOT(ISNUMBER(parametros!$F$5))),"",ROUND(itens_Remanesc!C201*parametros!$F$5,2))</f>
        <v/>
      </c>
      <c r="L202" s="285">
        <f>IF(itens_Remanesc!A201="","",itens_Remanesc!I201)</f>
        <v/>
      </c>
      <c r="M202" s="284">
        <f>IF(A202="TOTAL",ROUND(SUM($M$3:M201),2),IF(OR(A202="",K202="",L202=""),"",ROUND(K202*L202,2)))</f>
        <v/>
      </c>
      <c r="N202" s="282">
        <f>IF(OR(itens_Remanesc!A201="",NOT(ISNUMBER(parametros!$F$6))),"",ROUND(itens_Remanesc!C201*parametros!$F$6,2))</f>
        <v/>
      </c>
      <c r="O202" s="283">
        <f>IF(itens_Remanesc!A201="","",itens_Remanesc!K201)</f>
        <v/>
      </c>
      <c r="P202" s="282">
        <f>IF(A202="TOTAL",ROUND(SUM($P$3:P201),2),IF(OR(A202="",N202="",O202=""),"",ROUND(N202*O202,2)))</f>
        <v/>
      </c>
    </row>
    <row r="203">
      <c r="A203" s="147" t="n"/>
      <c r="B203" s="147" t="n"/>
      <c r="C203" s="147" t="n"/>
      <c r="D203" s="289" t="n"/>
      <c r="E203" s="147" t="n"/>
      <c r="F203" s="147" t="n"/>
      <c r="G203" s="289" t="n"/>
      <c r="H203" s="147" t="n"/>
      <c r="I203" s="147" t="n"/>
      <c r="J203" s="289" t="n"/>
      <c r="K203" s="147" t="n"/>
      <c r="L203" s="147" t="n"/>
      <c r="M203" s="289" t="n"/>
      <c r="N203" s="147" t="n"/>
      <c r="O203" s="147" t="n"/>
      <c r="P203" s="289" t="n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priority="2" dxfId="19">
      <formula>$A3="TOTAL"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min="1" max="1"/>
    <col width="12" customWidth="1" min="2" max="7"/>
    <col width="16" customWidth="1" min="8" max="8"/>
    <col width="3" customWidth="1" min="9" max="9"/>
    <col width="8" customWidth="1" min="10" max="10"/>
    <col width="14" customWidth="1" min="11" max="11"/>
    <col width="16" customWidth="1" min="12" max="12"/>
    <col width="18" customWidth="1" min="13" max="13"/>
    <col width="30" customWidth="1" min="14" max="14"/>
  </cols>
  <sheetData>
    <row r="1" ht="32" customHeight="1">
      <c r="A1" s="186" t="inlineStr">
        <is>
          <t>ITEM</t>
        </is>
      </c>
      <c r="B1" s="131" t="inlineStr">
        <is>
          <t>QTD</t>
        </is>
      </c>
      <c r="C1" s="276" t="inlineStr">
        <is>
          <t>VU_C0</t>
        </is>
      </c>
      <c r="D1" s="290" t="inlineStr">
        <is>
          <t>VU_C1</t>
        </is>
      </c>
      <c r="E1" s="291" t="inlineStr">
        <is>
          <t>VU_C2</t>
        </is>
      </c>
      <c r="F1" s="290" t="inlineStr">
        <is>
          <t>VU_C3</t>
        </is>
      </c>
      <c r="G1" s="291" t="inlineStr">
        <is>
          <t>VU_C4</t>
        </is>
      </c>
      <c r="H1" s="186" t="inlineStr">
        <is>
          <t>VARIACAO_ACUMULADA</t>
        </is>
      </c>
      <c r="I1" s="16" t="n"/>
      <c r="J1" s="95" t="inlineStr">
        <is>
          <t>CICLO</t>
        </is>
      </c>
      <c r="K1" s="95" t="inlineStr">
        <is>
          <t>FATOR_PROPRIO</t>
        </is>
      </c>
      <c r="L1" s="95" t="inlineStr">
        <is>
          <t>FATOR_ACUMULADO</t>
        </is>
      </c>
      <c r="M1" s="16" t="n"/>
      <c r="N1" s="16" t="n"/>
      <c r="O1" s="17" t="n"/>
    </row>
    <row r="2">
      <c r="A2" s="233">
        <f>IF(itens_Remanesc!A2="","",itens_Remanesc!A2)</f>
        <v/>
      </c>
      <c r="B2" s="231">
        <f>IF(itens_Remanesc!A2="","",itens_Remanesc!B2)</f>
        <v/>
      </c>
      <c r="C2" s="225">
        <f>IF(itens_Remanesc!A2="","",itens_Remanesc!C2)</f>
        <v/>
      </c>
      <c r="D2" s="225">
        <f>IF(OR(A2="",C2="",NOT(ISNUMBER($L$3))),"",ROUND(C2*$L$3,2))</f>
        <v/>
      </c>
      <c r="E2" s="225">
        <f>IF(OR(A2="",C2="",NOT(ISNUMBER($L$4))),"",ROUND(C2*$L$4,2))</f>
        <v/>
      </c>
      <c r="F2" s="225">
        <f>IF(OR(A2="",C2="",NOT(ISNUMBER($L$5))),"",ROUND(C2*$L$5,2))</f>
        <v/>
      </c>
      <c r="G2" s="225">
        <f>IF(OR(A2="",C2="",NOT(ISNUMBER($L$6))),"",ROUND(C2*$L$6,2))</f>
        <v/>
      </c>
      <c r="H2" s="292">
        <f>IF(OR(A2="",C2="",C2=0,NOT(ISNUMBER($L$6))),"",ROUND($L$6-1,4))</f>
        <v/>
      </c>
      <c r="I2" s="51" t="n"/>
      <c r="J2" s="234" t="inlineStr">
        <is>
          <t>C0</t>
        </is>
      </c>
      <c r="K2" s="236">
        <f>IF(ISNUMBER(parametros!$E$2),parametros!$E$2,"")</f>
        <v/>
      </c>
      <c r="L2" s="237">
        <f>IF(ISNUMBER(parametros!$F$2),parametros!$F$2,"")</f>
        <v/>
      </c>
      <c r="M2" s="51" t="n"/>
      <c r="N2" s="51" t="n"/>
      <c r="O2" s="19" t="n"/>
    </row>
    <row r="3">
      <c r="A3" s="233">
        <f>IF(itens_Remanesc!A3="","",itens_Remanesc!A3)</f>
        <v/>
      </c>
      <c r="B3" s="231">
        <f>IF(itens_Remanesc!A3="","",itens_Remanesc!B3)</f>
        <v/>
      </c>
      <c r="C3" s="225">
        <f>IF(itens_Remanesc!A3="","",itens_Remanesc!C3)</f>
        <v/>
      </c>
      <c r="D3" s="225">
        <f>IF(OR(A3="",C3="",NOT(ISNUMBER($L$3))),"",ROUND(C3*$L$3,2))</f>
        <v/>
      </c>
      <c r="E3" s="225">
        <f>IF(OR(A3="",C3="",NOT(ISNUMBER($L$4))),"",ROUND(C3*$L$4,2))</f>
        <v/>
      </c>
      <c r="F3" s="225">
        <f>IF(OR(A3="",C3="",NOT(ISNUMBER($L$5))),"",ROUND(C3*$L$5,2))</f>
        <v/>
      </c>
      <c r="G3" s="225">
        <f>IF(OR(A3="",C3="",NOT(ISNUMBER($L$6))),"",ROUND(C3*$L$6,2))</f>
        <v/>
      </c>
      <c r="H3" s="292">
        <f>IF(OR(A3="",C3="",C3=0,NOT(ISNUMBER($L$6))),"",ROUND($L$6-1,4))</f>
        <v/>
      </c>
      <c r="I3" s="19" t="n"/>
      <c r="J3" s="234" t="inlineStr">
        <is>
          <t>C1</t>
        </is>
      </c>
      <c r="K3" s="236">
        <f>IF(ISNUMBER(parametros!$E$3),parametros!$E$3,"")</f>
        <v/>
      </c>
      <c r="L3" s="237">
        <f>IF(ISNUMBER(parametros!$F$3),parametros!$F$3,"")</f>
        <v/>
      </c>
      <c r="M3" s="19" t="n"/>
      <c r="N3" s="19" t="n"/>
      <c r="O3" s="19" t="n"/>
    </row>
    <row r="4">
      <c r="A4" s="233">
        <f>IF(itens_Remanesc!A4="","",itens_Remanesc!A4)</f>
        <v/>
      </c>
      <c r="B4" s="231">
        <f>IF(itens_Remanesc!A4="","",itens_Remanesc!B4)</f>
        <v/>
      </c>
      <c r="C4" s="225">
        <f>IF(itens_Remanesc!A4="","",itens_Remanesc!C4)</f>
        <v/>
      </c>
      <c r="D4" s="225">
        <f>IF(OR(A4="",C4="",NOT(ISNUMBER($L$3))),"",ROUND(C4*$L$3,2))</f>
        <v/>
      </c>
      <c r="E4" s="225">
        <f>IF(OR(A4="",C4="",NOT(ISNUMBER($L$4))),"",ROUND(C4*$L$4,2))</f>
        <v/>
      </c>
      <c r="F4" s="225">
        <f>IF(OR(A4="",C4="",NOT(ISNUMBER($L$5))),"",ROUND(C4*$L$5,2))</f>
        <v/>
      </c>
      <c r="G4" s="225">
        <f>IF(OR(A4="",C4="",NOT(ISNUMBER($L$6))),"",ROUND(C4*$L$6,2))</f>
        <v/>
      </c>
      <c r="H4" s="292">
        <f>IF(OR(A4="",C4="",C4=0,NOT(ISNUMBER($L$6))),"",ROUND($L$6-1,4))</f>
        <v/>
      </c>
      <c r="I4" s="19" t="n"/>
      <c r="J4" s="234" t="inlineStr">
        <is>
          <t>C2</t>
        </is>
      </c>
      <c r="K4" s="236">
        <f>IF(ISNUMBER(parametros!$E$4),parametros!$E$4,"")</f>
        <v/>
      </c>
      <c r="L4" s="237">
        <f>IF(ISNUMBER(parametros!$F$4),parametros!$F$4,"")</f>
        <v/>
      </c>
      <c r="M4" s="19" t="n"/>
      <c r="N4" s="19" t="n"/>
      <c r="O4" s="19" t="n"/>
    </row>
    <row r="5">
      <c r="A5" s="233">
        <f>IF(itens_Remanesc!A5="","",itens_Remanesc!A5)</f>
        <v/>
      </c>
      <c r="B5" s="231">
        <f>IF(itens_Remanesc!A5="","",itens_Remanesc!B5)</f>
        <v/>
      </c>
      <c r="C5" s="225">
        <f>IF(itens_Remanesc!A5="","",itens_Remanesc!C5)</f>
        <v/>
      </c>
      <c r="D5" s="225">
        <f>IF(OR(A5="",C5="",NOT(ISNUMBER($L$3))),"",ROUND(C5*$L$3,2))</f>
        <v/>
      </c>
      <c r="E5" s="225">
        <f>IF(OR(A5="",C5="",NOT(ISNUMBER($L$4))),"",ROUND(C5*$L$4,2))</f>
        <v/>
      </c>
      <c r="F5" s="225">
        <f>IF(OR(A5="",C5="",NOT(ISNUMBER($L$5))),"",ROUND(C5*$L$5,2))</f>
        <v/>
      </c>
      <c r="G5" s="225">
        <f>IF(OR(A5="",C5="",NOT(ISNUMBER($L$6))),"",ROUND(C5*$L$6,2))</f>
        <v/>
      </c>
      <c r="H5" s="292">
        <f>IF(OR(A5="",C5="",C5=0,NOT(ISNUMBER($L$6))),"",ROUND($L$6-1,4))</f>
        <v/>
      </c>
      <c r="I5" s="19" t="n"/>
      <c r="J5" s="234" t="inlineStr">
        <is>
          <t>C3</t>
        </is>
      </c>
      <c r="K5" s="236">
        <f>IF(ISNUMBER(parametros!$E$5),parametros!$E$5,"")</f>
        <v/>
      </c>
      <c r="L5" s="237">
        <f>IF(ISNUMBER(parametros!$F$5),parametros!$F$5,"")</f>
        <v/>
      </c>
      <c r="M5" s="19" t="n"/>
      <c r="N5" s="19" t="n"/>
      <c r="O5" s="19" t="n"/>
    </row>
    <row r="6">
      <c r="A6" s="233">
        <f>IF(itens_Remanesc!A6="","",itens_Remanesc!A6)</f>
        <v/>
      </c>
      <c r="B6" s="231">
        <f>IF(itens_Remanesc!A6="","",itens_Remanesc!B6)</f>
        <v/>
      </c>
      <c r="C6" s="225">
        <f>IF(itens_Remanesc!A6="","",itens_Remanesc!C6)</f>
        <v/>
      </c>
      <c r="D6" s="225">
        <f>IF(OR(A6="",C6="",NOT(ISNUMBER($L$3))),"",ROUND(C6*$L$3,2))</f>
        <v/>
      </c>
      <c r="E6" s="225">
        <f>IF(OR(A6="",C6="",NOT(ISNUMBER($L$4))),"",ROUND(C6*$L$4,2))</f>
        <v/>
      </c>
      <c r="F6" s="225">
        <f>IF(OR(A6="",C6="",NOT(ISNUMBER($L$5))),"",ROUND(C6*$L$5,2))</f>
        <v/>
      </c>
      <c r="G6" s="225">
        <f>IF(OR(A6="",C6="",NOT(ISNUMBER($L$6))),"",ROUND(C6*$L$6,2))</f>
        <v/>
      </c>
      <c r="H6" s="292">
        <f>IF(OR(A6="",C6="",C6=0,NOT(ISNUMBER($L$6))),"",ROUND($L$6-1,4))</f>
        <v/>
      </c>
      <c r="I6" s="19" t="n"/>
      <c r="J6" s="234" t="inlineStr">
        <is>
          <t>C4</t>
        </is>
      </c>
      <c r="K6" s="236">
        <f>IF(ISNUMBER(parametros!$E$6),parametros!$E$6,"")</f>
        <v/>
      </c>
      <c r="L6" s="237">
        <f>IF(ISNUMBER(parametros!$F$6),parametros!$F$6,"")</f>
        <v/>
      </c>
      <c r="M6" s="19" t="n"/>
      <c r="N6" s="19" t="n"/>
      <c r="O6" s="19" t="n"/>
    </row>
    <row r="7">
      <c r="A7" s="233">
        <f>IF(itens_Remanesc!A7="","",itens_Remanesc!A7)</f>
        <v/>
      </c>
      <c r="B7" s="231">
        <f>IF(itens_Remanesc!A7="","",itens_Remanesc!B7)</f>
        <v/>
      </c>
      <c r="C7" s="225">
        <f>IF(itens_Remanesc!A7="","",itens_Remanesc!C7)</f>
        <v/>
      </c>
      <c r="D7" s="225">
        <f>IF(OR(A7="",C7="",NOT(ISNUMBER($L$3))),"",ROUND(C7*$L$3,2))</f>
        <v/>
      </c>
      <c r="E7" s="225">
        <f>IF(OR(A7="",C7="",NOT(ISNUMBER($L$4))),"",ROUND(C7*$L$4,2))</f>
        <v/>
      </c>
      <c r="F7" s="225">
        <f>IF(OR(A7="",C7="",NOT(ISNUMBER($L$5))),"",ROUND(C7*$L$5,2))</f>
        <v/>
      </c>
      <c r="G7" s="225">
        <f>IF(OR(A7="",C7="",NOT(ISNUMBER($L$6))),"",ROUND(C7*$L$6,2))</f>
        <v/>
      </c>
      <c r="H7" s="292">
        <f>IF(OR(A7="",C7="",C7=0,NOT(ISNUMBER($L$6))),"",ROUND($L$6-1,4))</f>
        <v/>
      </c>
      <c r="I7" s="19" t="n"/>
      <c r="J7" s="19" t="n"/>
      <c r="K7" s="19" t="n"/>
      <c r="L7" s="19" t="n"/>
      <c r="M7" s="19" t="n"/>
      <c r="N7" s="19" t="n"/>
      <c r="O7" s="19" t="n"/>
    </row>
    <row r="8">
      <c r="A8" s="233">
        <f>IF(itens_Remanesc!A8="","",itens_Remanesc!A8)</f>
        <v/>
      </c>
      <c r="B8" s="231">
        <f>IF(itens_Remanesc!A8="","",itens_Remanesc!B8)</f>
        <v/>
      </c>
      <c r="C8" s="225">
        <f>IF(itens_Remanesc!A8="","",itens_Remanesc!C8)</f>
        <v/>
      </c>
      <c r="D8" s="225">
        <f>IF(OR(A8="",C8="",NOT(ISNUMBER($L$3))),"",ROUND(C8*$L$3,2))</f>
        <v/>
      </c>
      <c r="E8" s="225">
        <f>IF(OR(A8="",C8="",NOT(ISNUMBER($L$4))),"",ROUND(C8*$L$4,2))</f>
        <v/>
      </c>
      <c r="F8" s="225">
        <f>IF(OR(A8="",C8="",NOT(ISNUMBER($L$5))),"",ROUND(C8*$L$5,2))</f>
        <v/>
      </c>
      <c r="G8" s="225">
        <f>IF(OR(A8="",C8="",NOT(ISNUMBER($L$6))),"",ROUND(C8*$L$6,2))</f>
        <v/>
      </c>
      <c r="H8" s="292">
        <f>IF(OR(A8="",C8="",C8=0,NOT(ISNUMBER($L$6))),"",ROUND($L$6-1,4))</f>
        <v/>
      </c>
      <c r="I8" s="19" t="n"/>
      <c r="J8" s="19" t="n"/>
      <c r="K8" s="19" t="n"/>
      <c r="L8" s="19" t="n"/>
      <c r="M8" s="19" t="n"/>
      <c r="N8" s="19" t="n"/>
      <c r="O8" s="19" t="n"/>
    </row>
    <row r="9">
      <c r="A9" s="233">
        <f>IF(itens_Remanesc!A9="","",itens_Remanesc!A9)</f>
        <v/>
      </c>
      <c r="B9" s="231">
        <f>IF(itens_Remanesc!A9="","",itens_Remanesc!B9)</f>
        <v/>
      </c>
      <c r="C9" s="225">
        <f>IF(itens_Remanesc!A9="","",itens_Remanesc!C9)</f>
        <v/>
      </c>
      <c r="D9" s="225">
        <f>IF(OR(A9="",C9="",NOT(ISNUMBER($L$3))),"",ROUND(C9*$L$3,2))</f>
        <v/>
      </c>
      <c r="E9" s="225">
        <f>IF(OR(A9="",C9="",NOT(ISNUMBER($L$4))),"",ROUND(C9*$L$4,2))</f>
        <v/>
      </c>
      <c r="F9" s="225">
        <f>IF(OR(A9="",C9="",NOT(ISNUMBER($L$5))),"",ROUND(C9*$L$5,2))</f>
        <v/>
      </c>
      <c r="G9" s="225">
        <f>IF(OR(A9="",C9="",NOT(ISNUMBER($L$6))),"",ROUND(C9*$L$6,2))</f>
        <v/>
      </c>
      <c r="H9" s="292">
        <f>IF(OR(A9="",C9="",C9=0,NOT(ISNUMBER($L$6))),"",ROUND($L$6-1,4))</f>
        <v/>
      </c>
      <c r="I9" s="19" t="n"/>
      <c r="J9" s="19" t="n"/>
      <c r="K9" s="19" t="n"/>
      <c r="L9" s="19" t="n"/>
      <c r="M9" s="19" t="n"/>
      <c r="N9" s="19" t="n"/>
      <c r="O9" s="19" t="n"/>
    </row>
    <row r="10">
      <c r="A10" s="233">
        <f>IF(itens_Remanesc!A10="","",itens_Remanesc!A10)</f>
        <v/>
      </c>
      <c r="B10" s="231">
        <f>IF(itens_Remanesc!A10="","",itens_Remanesc!B10)</f>
        <v/>
      </c>
      <c r="C10" s="225">
        <f>IF(itens_Remanesc!A10="","",itens_Remanesc!C10)</f>
        <v/>
      </c>
      <c r="D10" s="225">
        <f>IF(OR(A10="",C10="",NOT(ISNUMBER($L$3))),"",ROUND(C10*$L$3,2))</f>
        <v/>
      </c>
      <c r="E10" s="225">
        <f>IF(OR(A10="",C10="",NOT(ISNUMBER($L$4))),"",ROUND(C10*$L$4,2))</f>
        <v/>
      </c>
      <c r="F10" s="225">
        <f>IF(OR(A10="",C10="",NOT(ISNUMBER($L$5))),"",ROUND(C10*$L$5,2))</f>
        <v/>
      </c>
      <c r="G10" s="225">
        <f>IF(OR(A10="",C10="",NOT(ISNUMBER($L$6))),"",ROUND(C10*$L$6,2))</f>
        <v/>
      </c>
      <c r="H10" s="292">
        <f>IF(OR(A10="",C10="",C10=0,NOT(ISNUMBER($L$6))),"",ROUND($L$6-1,4))</f>
        <v/>
      </c>
      <c r="I10" s="19" t="n"/>
      <c r="J10" s="19" t="n"/>
      <c r="K10" s="19" t="n"/>
      <c r="L10" s="19" t="n"/>
      <c r="M10" s="19" t="n"/>
      <c r="N10" s="19" t="n"/>
      <c r="O10" s="19" t="n"/>
    </row>
    <row r="11">
      <c r="A11" s="233">
        <f>IF(itens_Remanesc!A11="","",itens_Remanesc!A11)</f>
        <v/>
      </c>
      <c r="B11" s="231">
        <f>IF(itens_Remanesc!A11="","",itens_Remanesc!B11)</f>
        <v/>
      </c>
      <c r="C11" s="225">
        <f>IF(itens_Remanesc!A11="","",itens_Remanesc!C11)</f>
        <v/>
      </c>
      <c r="D11" s="225">
        <f>IF(OR(A11="",C11="",NOT(ISNUMBER($L$3))),"",ROUND(C11*$L$3,2))</f>
        <v/>
      </c>
      <c r="E11" s="225">
        <f>IF(OR(A11="",C11="",NOT(ISNUMBER($L$4))),"",ROUND(C11*$L$4,2))</f>
        <v/>
      </c>
      <c r="F11" s="225">
        <f>IF(OR(A11="",C11="",NOT(ISNUMBER($L$5))),"",ROUND(C11*$L$5,2))</f>
        <v/>
      </c>
      <c r="G11" s="225">
        <f>IF(OR(A11="",C11="",NOT(ISNUMBER($L$6))),"",ROUND(C11*$L$6,2))</f>
        <v/>
      </c>
      <c r="H11" s="292">
        <f>IF(OR(A11="",C11="",C11=0,NOT(ISNUMBER($L$6))),"",ROUND($L$6-1,4))</f>
        <v/>
      </c>
      <c r="I11" s="19" t="n"/>
      <c r="J11" s="19" t="n"/>
      <c r="K11" s="19" t="n"/>
      <c r="L11" s="19" t="n"/>
      <c r="M11" s="19" t="n"/>
      <c r="N11" s="19" t="n"/>
      <c r="O11" s="19" t="n"/>
    </row>
    <row r="12">
      <c r="A12" s="233">
        <f>IF(itens_Remanesc!A12="","",itens_Remanesc!A12)</f>
        <v/>
      </c>
      <c r="B12" s="231">
        <f>IF(itens_Remanesc!A12="","",itens_Remanesc!B12)</f>
        <v/>
      </c>
      <c r="C12" s="225">
        <f>IF(itens_Remanesc!A12="","",itens_Remanesc!C12)</f>
        <v/>
      </c>
      <c r="D12" s="225">
        <f>IF(OR(A12="",C12="",NOT(ISNUMBER($L$3))),"",ROUND(C12*$L$3,2))</f>
        <v/>
      </c>
      <c r="E12" s="225">
        <f>IF(OR(A12="",C12="",NOT(ISNUMBER($L$4))),"",ROUND(C12*$L$4,2))</f>
        <v/>
      </c>
      <c r="F12" s="225">
        <f>IF(OR(A12="",C12="",NOT(ISNUMBER($L$5))),"",ROUND(C12*$L$5,2))</f>
        <v/>
      </c>
      <c r="G12" s="225">
        <f>IF(OR(A12="",C12="",NOT(ISNUMBER($L$6))),"",ROUND(C12*$L$6,2))</f>
        <v/>
      </c>
      <c r="H12" s="292">
        <f>IF(OR(A12="",C12="",C12=0,NOT(ISNUMBER($L$6))),"",ROUND($L$6-1,4))</f>
        <v/>
      </c>
      <c r="I12" s="19" t="n"/>
      <c r="J12" s="19" t="n"/>
      <c r="K12" s="19" t="n"/>
      <c r="L12" s="19" t="n"/>
      <c r="M12" s="19" t="n"/>
      <c r="N12" s="19" t="n"/>
      <c r="O12" s="19" t="n"/>
    </row>
    <row r="13">
      <c r="A13" s="233">
        <f>IF(itens_Remanesc!A13="","",itens_Remanesc!A13)</f>
        <v/>
      </c>
      <c r="B13" s="231">
        <f>IF(itens_Remanesc!A13="","",itens_Remanesc!B13)</f>
        <v/>
      </c>
      <c r="C13" s="225">
        <f>IF(itens_Remanesc!A13="","",itens_Remanesc!C13)</f>
        <v/>
      </c>
      <c r="D13" s="225">
        <f>IF(OR(A13="",C13="",NOT(ISNUMBER($L$3))),"",ROUND(C13*$L$3,2))</f>
        <v/>
      </c>
      <c r="E13" s="225">
        <f>IF(OR(A13="",C13="",NOT(ISNUMBER($L$4))),"",ROUND(C13*$L$4,2))</f>
        <v/>
      </c>
      <c r="F13" s="225">
        <f>IF(OR(A13="",C13="",NOT(ISNUMBER($L$5))),"",ROUND(C13*$L$5,2))</f>
        <v/>
      </c>
      <c r="G13" s="225">
        <f>IF(OR(A13="",C13="",NOT(ISNUMBER($L$6))),"",ROUND(C13*$L$6,2))</f>
        <v/>
      </c>
      <c r="H13" s="292">
        <f>IF(OR(A13="",C13="",C13=0,NOT(ISNUMBER($L$6))),"",ROUND($L$6-1,4))</f>
        <v/>
      </c>
      <c r="I13" s="19" t="n"/>
      <c r="J13" s="19" t="n"/>
      <c r="K13" s="19" t="n"/>
      <c r="L13" s="19" t="n"/>
      <c r="M13" s="19" t="n"/>
      <c r="N13" s="19" t="n"/>
      <c r="O13" s="19" t="n"/>
    </row>
    <row r="14">
      <c r="A14" s="233">
        <f>IF(itens_Remanesc!A14="","",itens_Remanesc!A14)</f>
        <v/>
      </c>
      <c r="B14" s="231">
        <f>IF(itens_Remanesc!A14="","",itens_Remanesc!B14)</f>
        <v/>
      </c>
      <c r="C14" s="225">
        <f>IF(itens_Remanesc!A14="","",itens_Remanesc!C14)</f>
        <v/>
      </c>
      <c r="D14" s="225">
        <f>IF(OR(A14="",C14="",NOT(ISNUMBER($L$3))),"",ROUND(C14*$L$3,2))</f>
        <v/>
      </c>
      <c r="E14" s="225">
        <f>IF(OR(A14="",C14="",NOT(ISNUMBER($L$4))),"",ROUND(C14*$L$4,2))</f>
        <v/>
      </c>
      <c r="F14" s="225">
        <f>IF(OR(A14="",C14="",NOT(ISNUMBER($L$5))),"",ROUND(C14*$L$5,2))</f>
        <v/>
      </c>
      <c r="G14" s="225">
        <f>IF(OR(A14="",C14="",NOT(ISNUMBER($L$6))),"",ROUND(C14*$L$6,2))</f>
        <v/>
      </c>
      <c r="H14" s="292">
        <f>IF(OR(A14="",C14="",C14=0,NOT(ISNUMBER($L$6))),"",ROUND($L$6-1,4))</f>
        <v/>
      </c>
      <c r="I14" s="19" t="n"/>
      <c r="J14" s="19" t="n"/>
      <c r="K14" s="19" t="n"/>
      <c r="L14" s="19" t="n"/>
      <c r="M14" s="19" t="n"/>
      <c r="N14" s="19" t="n"/>
      <c r="O14" s="19" t="n"/>
    </row>
    <row r="15">
      <c r="A15" s="233">
        <f>IF(itens_Remanesc!A15="","",itens_Remanesc!A15)</f>
        <v/>
      </c>
      <c r="B15" s="231">
        <f>IF(itens_Remanesc!A15="","",itens_Remanesc!B15)</f>
        <v/>
      </c>
      <c r="C15" s="225">
        <f>IF(itens_Remanesc!A15="","",itens_Remanesc!C15)</f>
        <v/>
      </c>
      <c r="D15" s="225">
        <f>IF(OR(A15="",C15="",NOT(ISNUMBER($L$3))),"",ROUND(C15*$L$3,2))</f>
        <v/>
      </c>
      <c r="E15" s="225">
        <f>IF(OR(A15="",C15="",NOT(ISNUMBER($L$4))),"",ROUND(C15*$L$4,2))</f>
        <v/>
      </c>
      <c r="F15" s="225">
        <f>IF(OR(A15="",C15="",NOT(ISNUMBER($L$5))),"",ROUND(C15*$L$5,2))</f>
        <v/>
      </c>
      <c r="G15" s="225">
        <f>IF(OR(A15="",C15="",NOT(ISNUMBER($L$6))),"",ROUND(C15*$L$6,2))</f>
        <v/>
      </c>
      <c r="H15" s="292">
        <f>IF(OR(A15="",C15="",C15=0,NOT(ISNUMBER($L$6))),"",ROUND($L$6-1,4))</f>
        <v/>
      </c>
      <c r="I15" s="19" t="n"/>
      <c r="J15" s="19" t="n"/>
      <c r="K15" s="19" t="n"/>
      <c r="L15" s="19" t="n"/>
      <c r="M15" s="19" t="n"/>
      <c r="N15" s="19" t="n"/>
      <c r="O15" s="19" t="n"/>
    </row>
    <row r="16">
      <c r="A16" s="233">
        <f>IF(itens_Remanesc!A16="","",itens_Remanesc!A16)</f>
        <v/>
      </c>
      <c r="B16" s="231">
        <f>IF(itens_Remanesc!A16="","",itens_Remanesc!B16)</f>
        <v/>
      </c>
      <c r="C16" s="225">
        <f>IF(itens_Remanesc!A16="","",itens_Remanesc!C16)</f>
        <v/>
      </c>
      <c r="D16" s="225">
        <f>IF(OR(A16="",C16="",NOT(ISNUMBER($L$3))),"",ROUND(C16*$L$3,2))</f>
        <v/>
      </c>
      <c r="E16" s="225">
        <f>IF(OR(A16="",C16="",NOT(ISNUMBER($L$4))),"",ROUND(C16*$L$4,2))</f>
        <v/>
      </c>
      <c r="F16" s="225">
        <f>IF(OR(A16="",C16="",NOT(ISNUMBER($L$5))),"",ROUND(C16*$L$5,2))</f>
        <v/>
      </c>
      <c r="G16" s="225">
        <f>IF(OR(A16="",C16="",NOT(ISNUMBER($L$6))),"",ROUND(C16*$L$6,2))</f>
        <v/>
      </c>
      <c r="H16" s="292">
        <f>IF(OR(A16="",C16="",C16=0,NOT(ISNUMBER($L$6))),"",ROUND($L$6-1,4))</f>
        <v/>
      </c>
      <c r="I16" s="19" t="n"/>
      <c r="J16" s="19" t="n"/>
      <c r="K16" s="19" t="n"/>
      <c r="L16" s="19" t="n"/>
      <c r="M16" s="19" t="n"/>
      <c r="N16" s="19" t="n"/>
      <c r="O16" s="19" t="n"/>
    </row>
    <row r="17">
      <c r="A17" s="233">
        <f>IF(itens_Remanesc!A17="","",itens_Remanesc!A17)</f>
        <v/>
      </c>
      <c r="B17" s="231">
        <f>IF(itens_Remanesc!A17="","",itens_Remanesc!B17)</f>
        <v/>
      </c>
      <c r="C17" s="225">
        <f>IF(itens_Remanesc!A17="","",itens_Remanesc!C17)</f>
        <v/>
      </c>
      <c r="D17" s="225">
        <f>IF(OR(A17="",C17="",NOT(ISNUMBER($L$3))),"",ROUND(C17*$L$3,2))</f>
        <v/>
      </c>
      <c r="E17" s="225">
        <f>IF(OR(A17="",C17="",NOT(ISNUMBER($L$4))),"",ROUND(C17*$L$4,2))</f>
        <v/>
      </c>
      <c r="F17" s="225">
        <f>IF(OR(A17="",C17="",NOT(ISNUMBER($L$5))),"",ROUND(C17*$L$5,2))</f>
        <v/>
      </c>
      <c r="G17" s="225">
        <f>IF(OR(A17="",C17="",NOT(ISNUMBER($L$6))),"",ROUND(C17*$L$6,2))</f>
        <v/>
      </c>
      <c r="H17" s="292">
        <f>IF(OR(A17="",C17="",C17=0,NOT(ISNUMBER($L$6))),"",ROUND($L$6-1,4))</f>
        <v/>
      </c>
      <c r="I17" s="19" t="n"/>
      <c r="J17" s="19" t="n"/>
      <c r="K17" s="19" t="n"/>
      <c r="L17" s="19" t="n"/>
      <c r="M17" s="19" t="n"/>
      <c r="N17" s="19" t="n"/>
      <c r="O17" s="19" t="n"/>
    </row>
    <row r="18">
      <c r="A18" s="233">
        <f>IF(itens_Remanesc!A18="","",itens_Remanesc!A18)</f>
        <v/>
      </c>
      <c r="B18" s="231">
        <f>IF(itens_Remanesc!A18="","",itens_Remanesc!B18)</f>
        <v/>
      </c>
      <c r="C18" s="225">
        <f>IF(itens_Remanesc!A18="","",itens_Remanesc!C18)</f>
        <v/>
      </c>
      <c r="D18" s="225">
        <f>IF(OR(A18="",C18="",NOT(ISNUMBER($L$3))),"",ROUND(C18*$L$3,2))</f>
        <v/>
      </c>
      <c r="E18" s="225">
        <f>IF(OR(A18="",C18="",NOT(ISNUMBER($L$4))),"",ROUND(C18*$L$4,2))</f>
        <v/>
      </c>
      <c r="F18" s="225">
        <f>IF(OR(A18="",C18="",NOT(ISNUMBER($L$5))),"",ROUND(C18*$L$5,2))</f>
        <v/>
      </c>
      <c r="G18" s="225">
        <f>IF(OR(A18="",C18="",NOT(ISNUMBER($L$6))),"",ROUND(C18*$L$6,2))</f>
        <v/>
      </c>
      <c r="H18" s="292">
        <f>IF(OR(A18="",C18="",C18=0,NOT(ISNUMBER($L$6))),"",ROUND($L$6-1,4))</f>
        <v/>
      </c>
      <c r="I18" s="19" t="n"/>
      <c r="J18" s="19" t="n"/>
      <c r="K18" s="19" t="n"/>
      <c r="L18" s="19" t="n"/>
      <c r="M18" s="19" t="n"/>
      <c r="N18" s="19" t="n"/>
      <c r="O18" s="19" t="n"/>
    </row>
    <row r="19">
      <c r="A19" s="233">
        <f>IF(itens_Remanesc!A19="","",itens_Remanesc!A19)</f>
        <v/>
      </c>
      <c r="B19" s="231">
        <f>IF(itens_Remanesc!A19="","",itens_Remanesc!B19)</f>
        <v/>
      </c>
      <c r="C19" s="225">
        <f>IF(itens_Remanesc!A19="","",itens_Remanesc!C19)</f>
        <v/>
      </c>
      <c r="D19" s="225">
        <f>IF(OR(A19="",C19="",NOT(ISNUMBER($L$3))),"",ROUND(C19*$L$3,2))</f>
        <v/>
      </c>
      <c r="E19" s="225">
        <f>IF(OR(A19="",C19="",NOT(ISNUMBER($L$4))),"",ROUND(C19*$L$4,2))</f>
        <v/>
      </c>
      <c r="F19" s="225">
        <f>IF(OR(A19="",C19="",NOT(ISNUMBER($L$5))),"",ROUND(C19*$L$5,2))</f>
        <v/>
      </c>
      <c r="G19" s="225">
        <f>IF(OR(A19="",C19="",NOT(ISNUMBER($L$6))),"",ROUND(C19*$L$6,2))</f>
        <v/>
      </c>
      <c r="H19" s="292">
        <f>IF(OR(A19="",C19="",C19=0,NOT(ISNUMBER($L$6))),"",ROUND($L$6-1,4))</f>
        <v/>
      </c>
      <c r="I19" s="19" t="n"/>
      <c r="J19" s="19" t="n"/>
      <c r="K19" s="19" t="n"/>
      <c r="L19" s="19" t="n"/>
      <c r="M19" s="19" t="n"/>
      <c r="N19" s="19" t="n"/>
      <c r="O19" s="19" t="n"/>
    </row>
    <row r="20">
      <c r="A20" s="233">
        <f>IF(itens_Remanesc!A20="","",itens_Remanesc!A20)</f>
        <v/>
      </c>
      <c r="B20" s="231">
        <f>IF(itens_Remanesc!A20="","",itens_Remanesc!B20)</f>
        <v/>
      </c>
      <c r="C20" s="225">
        <f>IF(itens_Remanesc!A20="","",itens_Remanesc!C20)</f>
        <v/>
      </c>
      <c r="D20" s="225">
        <f>IF(OR(A20="",C20="",NOT(ISNUMBER($L$3))),"",ROUND(C20*$L$3,2))</f>
        <v/>
      </c>
      <c r="E20" s="225">
        <f>IF(OR(A20="",C20="",NOT(ISNUMBER($L$4))),"",ROUND(C20*$L$4,2))</f>
        <v/>
      </c>
      <c r="F20" s="225">
        <f>IF(OR(A20="",C20="",NOT(ISNUMBER($L$5))),"",ROUND(C20*$L$5,2))</f>
        <v/>
      </c>
      <c r="G20" s="225">
        <f>IF(OR(A20="",C20="",NOT(ISNUMBER($L$6))),"",ROUND(C20*$L$6,2))</f>
        <v/>
      </c>
      <c r="H20" s="292">
        <f>IF(OR(A20="",C20="",C20=0,NOT(ISNUMBER($L$6))),"",ROUND($L$6-1,4))</f>
        <v/>
      </c>
      <c r="I20" s="19" t="n"/>
      <c r="J20" s="19" t="n"/>
      <c r="K20" s="19" t="n"/>
      <c r="L20" s="19" t="n"/>
      <c r="M20" s="19" t="n"/>
      <c r="N20" s="19" t="n"/>
      <c r="O20" s="19" t="n"/>
    </row>
    <row r="21">
      <c r="A21" s="233">
        <f>IF(itens_Remanesc!A21="","",itens_Remanesc!A21)</f>
        <v/>
      </c>
      <c r="B21" s="231">
        <f>IF(itens_Remanesc!A21="","",itens_Remanesc!B21)</f>
        <v/>
      </c>
      <c r="C21" s="225">
        <f>IF(itens_Remanesc!A21="","",itens_Remanesc!C21)</f>
        <v/>
      </c>
      <c r="D21" s="225">
        <f>IF(OR(A21="",C21="",NOT(ISNUMBER($L$3))),"",ROUND(C21*$L$3,2))</f>
        <v/>
      </c>
      <c r="E21" s="225">
        <f>IF(OR(A21="",C21="",NOT(ISNUMBER($L$4))),"",ROUND(C21*$L$4,2))</f>
        <v/>
      </c>
      <c r="F21" s="225">
        <f>IF(OR(A21="",C21="",NOT(ISNUMBER($L$5))),"",ROUND(C21*$L$5,2))</f>
        <v/>
      </c>
      <c r="G21" s="225">
        <f>IF(OR(A21="",C21="",NOT(ISNUMBER($L$6))),"",ROUND(C21*$L$6,2))</f>
        <v/>
      </c>
      <c r="H21" s="292">
        <f>IF(OR(A21="",C21="",C21=0,NOT(ISNUMBER($L$6))),"",ROUND($L$6-1,4))</f>
        <v/>
      </c>
      <c r="I21" s="19" t="n"/>
      <c r="J21" s="19" t="n"/>
      <c r="K21" s="19" t="n"/>
      <c r="L21" s="19" t="n"/>
      <c r="M21" s="19" t="n"/>
      <c r="N21" s="19" t="n"/>
      <c r="O21" s="19" t="n"/>
    </row>
    <row r="22">
      <c r="A22" s="233">
        <f>IF(itens_Remanesc!A22="","",itens_Remanesc!A22)</f>
        <v/>
      </c>
      <c r="B22" s="231">
        <f>IF(itens_Remanesc!A22="","",itens_Remanesc!B22)</f>
        <v/>
      </c>
      <c r="C22" s="225">
        <f>IF(itens_Remanesc!A22="","",itens_Remanesc!C22)</f>
        <v/>
      </c>
      <c r="D22" s="225">
        <f>IF(OR(A22="",C22="",NOT(ISNUMBER($L$3))),"",ROUND(C22*$L$3,2))</f>
        <v/>
      </c>
      <c r="E22" s="225">
        <f>IF(OR(A22="",C22="",NOT(ISNUMBER($L$4))),"",ROUND(C22*$L$4,2))</f>
        <v/>
      </c>
      <c r="F22" s="225">
        <f>IF(OR(A22="",C22="",NOT(ISNUMBER($L$5))),"",ROUND(C22*$L$5,2))</f>
        <v/>
      </c>
      <c r="G22" s="225">
        <f>IF(OR(A22="",C22="",NOT(ISNUMBER($L$6))),"",ROUND(C22*$L$6,2))</f>
        <v/>
      </c>
      <c r="H22" s="292">
        <f>IF(OR(A22="",C22="",C22=0,NOT(ISNUMBER($L$6))),"",ROUND($L$6-1,4))</f>
        <v/>
      </c>
      <c r="I22" s="19" t="n"/>
      <c r="J22" s="19" t="n"/>
      <c r="K22" s="19" t="n"/>
      <c r="L22" s="19" t="n"/>
      <c r="M22" s="19" t="n"/>
      <c r="N22" s="19" t="n"/>
      <c r="O22" s="19" t="n"/>
    </row>
    <row r="23">
      <c r="A23" s="233">
        <f>IF(itens_Remanesc!A23="","",itens_Remanesc!A23)</f>
        <v/>
      </c>
      <c r="B23" s="231">
        <f>IF(itens_Remanesc!A23="","",itens_Remanesc!B23)</f>
        <v/>
      </c>
      <c r="C23" s="225">
        <f>IF(itens_Remanesc!A23="","",itens_Remanesc!C23)</f>
        <v/>
      </c>
      <c r="D23" s="225">
        <f>IF(OR(A23="",C23="",NOT(ISNUMBER($L$3))),"",ROUND(C23*$L$3,2))</f>
        <v/>
      </c>
      <c r="E23" s="225">
        <f>IF(OR(A23="",C23="",NOT(ISNUMBER($L$4))),"",ROUND(C23*$L$4,2))</f>
        <v/>
      </c>
      <c r="F23" s="225">
        <f>IF(OR(A23="",C23="",NOT(ISNUMBER($L$5))),"",ROUND(C23*$L$5,2))</f>
        <v/>
      </c>
      <c r="G23" s="225">
        <f>IF(OR(A23="",C23="",NOT(ISNUMBER($L$6))),"",ROUND(C23*$L$6,2))</f>
        <v/>
      </c>
      <c r="H23" s="292">
        <f>IF(OR(A23="",C23="",C23=0,NOT(ISNUMBER($L$6))),"",ROUND($L$6-1,4))</f>
        <v/>
      </c>
      <c r="I23" s="19" t="n"/>
      <c r="J23" s="19" t="n"/>
      <c r="K23" s="19" t="n"/>
      <c r="L23" s="19" t="n"/>
      <c r="M23" s="19" t="n"/>
      <c r="N23" s="19" t="n"/>
      <c r="O23" s="19" t="n"/>
    </row>
    <row r="24">
      <c r="A24" s="233">
        <f>IF(itens_Remanesc!A24="","",itens_Remanesc!A24)</f>
        <v/>
      </c>
      <c r="B24" s="231">
        <f>IF(itens_Remanesc!A24="","",itens_Remanesc!B24)</f>
        <v/>
      </c>
      <c r="C24" s="225">
        <f>IF(itens_Remanesc!A24="","",itens_Remanesc!C24)</f>
        <v/>
      </c>
      <c r="D24" s="225">
        <f>IF(OR(A24="",C24="",NOT(ISNUMBER($L$3))),"",ROUND(C24*$L$3,2))</f>
        <v/>
      </c>
      <c r="E24" s="225">
        <f>IF(OR(A24="",C24="",NOT(ISNUMBER($L$4))),"",ROUND(C24*$L$4,2))</f>
        <v/>
      </c>
      <c r="F24" s="225">
        <f>IF(OR(A24="",C24="",NOT(ISNUMBER($L$5))),"",ROUND(C24*$L$5,2))</f>
        <v/>
      </c>
      <c r="G24" s="225">
        <f>IF(OR(A24="",C24="",NOT(ISNUMBER($L$6))),"",ROUND(C24*$L$6,2))</f>
        <v/>
      </c>
      <c r="H24" s="292">
        <f>IF(OR(A24="",C24="",C24=0,NOT(ISNUMBER($L$6))),"",ROUND($L$6-1,4))</f>
        <v/>
      </c>
      <c r="I24" s="19" t="n"/>
      <c r="J24" s="19" t="n"/>
      <c r="K24" s="19" t="n"/>
      <c r="L24" s="19" t="n"/>
      <c r="M24" s="19" t="n"/>
      <c r="N24" s="19" t="n"/>
      <c r="O24" s="19" t="n"/>
    </row>
    <row r="25">
      <c r="A25" s="233">
        <f>IF(itens_Remanesc!A25="","",itens_Remanesc!A25)</f>
        <v/>
      </c>
      <c r="B25" s="231">
        <f>IF(itens_Remanesc!A25="","",itens_Remanesc!B25)</f>
        <v/>
      </c>
      <c r="C25" s="225">
        <f>IF(itens_Remanesc!A25="","",itens_Remanesc!C25)</f>
        <v/>
      </c>
      <c r="D25" s="225">
        <f>IF(OR(A25="",C25="",NOT(ISNUMBER($L$3))),"",ROUND(C25*$L$3,2))</f>
        <v/>
      </c>
      <c r="E25" s="225">
        <f>IF(OR(A25="",C25="",NOT(ISNUMBER($L$4))),"",ROUND(C25*$L$4,2))</f>
        <v/>
      </c>
      <c r="F25" s="225">
        <f>IF(OR(A25="",C25="",NOT(ISNUMBER($L$5))),"",ROUND(C25*$L$5,2))</f>
        <v/>
      </c>
      <c r="G25" s="225">
        <f>IF(OR(A25="",C25="",NOT(ISNUMBER($L$6))),"",ROUND(C25*$L$6,2))</f>
        <v/>
      </c>
      <c r="H25" s="292">
        <f>IF(OR(A25="",C25="",C25=0,NOT(ISNUMBER($L$6))),"",ROUND($L$6-1,4))</f>
        <v/>
      </c>
      <c r="I25" s="19" t="n"/>
      <c r="J25" s="19" t="n"/>
      <c r="K25" s="19" t="n"/>
      <c r="L25" s="19" t="n"/>
      <c r="M25" s="19" t="n"/>
      <c r="N25" s="19" t="n"/>
      <c r="O25" s="19" t="n"/>
    </row>
    <row r="26">
      <c r="A26" s="233">
        <f>IF(itens_Remanesc!A26="","",itens_Remanesc!A26)</f>
        <v/>
      </c>
      <c r="B26" s="231">
        <f>IF(itens_Remanesc!A26="","",itens_Remanesc!B26)</f>
        <v/>
      </c>
      <c r="C26" s="225">
        <f>IF(itens_Remanesc!A26="","",itens_Remanesc!C26)</f>
        <v/>
      </c>
      <c r="D26" s="225">
        <f>IF(OR(A26="",C26="",NOT(ISNUMBER($L$3))),"",ROUND(C26*$L$3,2))</f>
        <v/>
      </c>
      <c r="E26" s="225">
        <f>IF(OR(A26="",C26="",NOT(ISNUMBER($L$4))),"",ROUND(C26*$L$4,2))</f>
        <v/>
      </c>
      <c r="F26" s="225">
        <f>IF(OR(A26="",C26="",NOT(ISNUMBER($L$5))),"",ROUND(C26*$L$5,2))</f>
        <v/>
      </c>
      <c r="G26" s="225">
        <f>IF(OR(A26="",C26="",NOT(ISNUMBER($L$6))),"",ROUND(C26*$L$6,2))</f>
        <v/>
      </c>
      <c r="H26" s="292">
        <f>IF(OR(A26="",C26="",C26=0,NOT(ISNUMBER($L$6))),"",ROUND($L$6-1,4))</f>
        <v/>
      </c>
      <c r="I26" s="19" t="n"/>
      <c r="J26" s="19" t="n"/>
      <c r="K26" s="19" t="n"/>
      <c r="L26" s="19" t="n"/>
      <c r="M26" s="19" t="n"/>
      <c r="N26" s="19" t="n"/>
      <c r="O26" s="19" t="n"/>
    </row>
    <row r="27">
      <c r="A27" s="233">
        <f>IF(itens_Remanesc!A27="","",itens_Remanesc!A27)</f>
        <v/>
      </c>
      <c r="B27" s="231">
        <f>IF(itens_Remanesc!A27="","",itens_Remanesc!B27)</f>
        <v/>
      </c>
      <c r="C27" s="225">
        <f>IF(itens_Remanesc!A27="","",itens_Remanesc!C27)</f>
        <v/>
      </c>
      <c r="D27" s="225">
        <f>IF(OR(A27="",C27="",NOT(ISNUMBER($L$3))),"",ROUND(C27*$L$3,2))</f>
        <v/>
      </c>
      <c r="E27" s="225">
        <f>IF(OR(A27="",C27="",NOT(ISNUMBER($L$4))),"",ROUND(C27*$L$4,2))</f>
        <v/>
      </c>
      <c r="F27" s="225">
        <f>IF(OR(A27="",C27="",NOT(ISNUMBER($L$5))),"",ROUND(C27*$L$5,2))</f>
        <v/>
      </c>
      <c r="G27" s="225">
        <f>IF(OR(A27="",C27="",NOT(ISNUMBER($L$6))),"",ROUND(C27*$L$6,2))</f>
        <v/>
      </c>
      <c r="H27" s="292">
        <f>IF(OR(A27="",C27="",C27=0,NOT(ISNUMBER($L$6))),"",ROUND($L$6-1,4))</f>
        <v/>
      </c>
      <c r="I27" s="19" t="n"/>
      <c r="J27" s="19" t="n"/>
      <c r="K27" s="19" t="n"/>
      <c r="L27" s="19" t="n"/>
      <c r="M27" s="19" t="n"/>
      <c r="N27" s="19" t="n"/>
      <c r="O27" s="19" t="n"/>
    </row>
    <row r="28">
      <c r="A28" s="233">
        <f>IF(itens_Remanesc!A28="","",itens_Remanesc!A28)</f>
        <v/>
      </c>
      <c r="B28" s="231">
        <f>IF(itens_Remanesc!A28="","",itens_Remanesc!B28)</f>
        <v/>
      </c>
      <c r="C28" s="225">
        <f>IF(itens_Remanesc!A28="","",itens_Remanesc!C28)</f>
        <v/>
      </c>
      <c r="D28" s="225">
        <f>IF(OR(A28="",C28="",NOT(ISNUMBER($L$3))),"",ROUND(C28*$L$3,2))</f>
        <v/>
      </c>
      <c r="E28" s="225">
        <f>IF(OR(A28="",C28="",NOT(ISNUMBER($L$4))),"",ROUND(C28*$L$4,2))</f>
        <v/>
      </c>
      <c r="F28" s="225">
        <f>IF(OR(A28="",C28="",NOT(ISNUMBER($L$5))),"",ROUND(C28*$L$5,2))</f>
        <v/>
      </c>
      <c r="G28" s="225">
        <f>IF(OR(A28="",C28="",NOT(ISNUMBER($L$6))),"",ROUND(C28*$L$6,2))</f>
        <v/>
      </c>
      <c r="H28" s="292">
        <f>IF(OR(A28="",C28="",C28=0,NOT(ISNUMBER($L$6))),"",ROUND($L$6-1,4))</f>
        <v/>
      </c>
      <c r="I28" s="19" t="n"/>
      <c r="J28" s="19" t="n"/>
      <c r="K28" s="19" t="n"/>
      <c r="L28" s="19" t="n"/>
      <c r="M28" s="19" t="n"/>
      <c r="N28" s="19" t="n"/>
      <c r="O28" s="19" t="n"/>
    </row>
    <row r="29">
      <c r="A29" s="233">
        <f>IF(itens_Remanesc!A29="","",itens_Remanesc!A29)</f>
        <v/>
      </c>
      <c r="B29" s="231">
        <f>IF(itens_Remanesc!A29="","",itens_Remanesc!B29)</f>
        <v/>
      </c>
      <c r="C29" s="225">
        <f>IF(itens_Remanesc!A29="","",itens_Remanesc!C29)</f>
        <v/>
      </c>
      <c r="D29" s="225">
        <f>IF(OR(A29="",C29="",NOT(ISNUMBER($L$3))),"",ROUND(C29*$L$3,2))</f>
        <v/>
      </c>
      <c r="E29" s="225">
        <f>IF(OR(A29="",C29="",NOT(ISNUMBER($L$4))),"",ROUND(C29*$L$4,2))</f>
        <v/>
      </c>
      <c r="F29" s="225">
        <f>IF(OR(A29="",C29="",NOT(ISNUMBER($L$5))),"",ROUND(C29*$L$5,2))</f>
        <v/>
      </c>
      <c r="G29" s="225">
        <f>IF(OR(A29="",C29="",NOT(ISNUMBER($L$6))),"",ROUND(C29*$L$6,2))</f>
        <v/>
      </c>
      <c r="H29" s="292">
        <f>IF(OR(A29="",C29="",C29=0,NOT(ISNUMBER($L$6))),"",ROUND($L$6-1,4))</f>
        <v/>
      </c>
      <c r="I29" s="19" t="n"/>
      <c r="J29" s="19" t="n"/>
      <c r="K29" s="19" t="n"/>
      <c r="L29" s="19" t="n"/>
      <c r="M29" s="19" t="n"/>
      <c r="N29" s="19" t="n"/>
      <c r="O29" s="19" t="n"/>
    </row>
    <row r="30">
      <c r="A30" s="233">
        <f>IF(itens_Remanesc!A30="","",itens_Remanesc!A30)</f>
        <v/>
      </c>
      <c r="B30" s="231">
        <f>IF(itens_Remanesc!A30="","",itens_Remanesc!B30)</f>
        <v/>
      </c>
      <c r="C30" s="225">
        <f>IF(itens_Remanesc!A30="","",itens_Remanesc!C30)</f>
        <v/>
      </c>
      <c r="D30" s="225">
        <f>IF(OR(A30="",C30="",NOT(ISNUMBER($L$3))),"",ROUND(C30*$L$3,2))</f>
        <v/>
      </c>
      <c r="E30" s="225">
        <f>IF(OR(A30="",C30="",NOT(ISNUMBER($L$4))),"",ROUND(C30*$L$4,2))</f>
        <v/>
      </c>
      <c r="F30" s="225">
        <f>IF(OR(A30="",C30="",NOT(ISNUMBER($L$5))),"",ROUND(C30*$L$5,2))</f>
        <v/>
      </c>
      <c r="G30" s="225">
        <f>IF(OR(A30="",C30="",NOT(ISNUMBER($L$6))),"",ROUND(C30*$L$6,2))</f>
        <v/>
      </c>
      <c r="H30" s="292">
        <f>IF(OR(A30="",C30="",C30=0,NOT(ISNUMBER($L$6))),"",ROUND($L$6-1,4))</f>
        <v/>
      </c>
      <c r="I30" s="19" t="n"/>
      <c r="J30" s="19" t="n"/>
      <c r="K30" s="19" t="n"/>
      <c r="L30" s="19" t="n"/>
      <c r="M30" s="19" t="n"/>
      <c r="N30" s="19" t="n"/>
      <c r="O30" s="19" t="n"/>
    </row>
    <row r="31">
      <c r="A31" s="233">
        <f>IF(itens_Remanesc!A31="","",itens_Remanesc!A31)</f>
        <v/>
      </c>
      <c r="B31" s="231">
        <f>IF(itens_Remanesc!A31="","",itens_Remanesc!B31)</f>
        <v/>
      </c>
      <c r="C31" s="225">
        <f>IF(itens_Remanesc!A31="","",itens_Remanesc!C31)</f>
        <v/>
      </c>
      <c r="D31" s="225">
        <f>IF(OR(A31="",C31="",NOT(ISNUMBER($L$3))),"",ROUND(C31*$L$3,2))</f>
        <v/>
      </c>
      <c r="E31" s="225">
        <f>IF(OR(A31="",C31="",NOT(ISNUMBER($L$4))),"",ROUND(C31*$L$4,2))</f>
        <v/>
      </c>
      <c r="F31" s="225">
        <f>IF(OR(A31="",C31="",NOT(ISNUMBER($L$5))),"",ROUND(C31*$L$5,2))</f>
        <v/>
      </c>
      <c r="G31" s="225">
        <f>IF(OR(A31="",C31="",NOT(ISNUMBER($L$6))),"",ROUND(C31*$L$6,2))</f>
        <v/>
      </c>
      <c r="H31" s="292">
        <f>IF(OR(A31="",C31="",C31=0,NOT(ISNUMBER($L$6))),"",ROUND($L$6-1,4))</f>
        <v/>
      </c>
      <c r="I31" s="19" t="n"/>
      <c r="J31" s="19" t="n"/>
      <c r="K31" s="19" t="n"/>
      <c r="L31" s="19" t="n"/>
      <c r="M31" s="19" t="n"/>
      <c r="N31" s="19" t="n"/>
      <c r="O31" s="19" t="n"/>
    </row>
    <row r="32">
      <c r="A32" s="233">
        <f>IF(itens_Remanesc!A32="","",itens_Remanesc!A32)</f>
        <v/>
      </c>
      <c r="B32" s="231">
        <f>IF(itens_Remanesc!A32="","",itens_Remanesc!B32)</f>
        <v/>
      </c>
      <c r="C32" s="225">
        <f>IF(itens_Remanesc!A32="","",itens_Remanesc!C32)</f>
        <v/>
      </c>
      <c r="D32" s="225">
        <f>IF(OR(A32="",C32="",NOT(ISNUMBER($L$3))),"",ROUND(C32*$L$3,2))</f>
        <v/>
      </c>
      <c r="E32" s="225">
        <f>IF(OR(A32="",C32="",NOT(ISNUMBER($L$4))),"",ROUND(C32*$L$4,2))</f>
        <v/>
      </c>
      <c r="F32" s="225">
        <f>IF(OR(A32="",C32="",NOT(ISNUMBER($L$5))),"",ROUND(C32*$L$5,2))</f>
        <v/>
      </c>
      <c r="G32" s="225">
        <f>IF(OR(A32="",C32="",NOT(ISNUMBER($L$6))),"",ROUND(C32*$L$6,2))</f>
        <v/>
      </c>
      <c r="H32" s="292">
        <f>IF(OR(A32="",C32="",C32=0,NOT(ISNUMBER($L$6))),"",ROUND($L$6-1,4))</f>
        <v/>
      </c>
      <c r="I32" s="19" t="n"/>
      <c r="J32" s="19" t="n"/>
      <c r="K32" s="19" t="n"/>
      <c r="L32" s="19" t="n"/>
      <c r="M32" s="19" t="n"/>
      <c r="N32" s="19" t="n"/>
      <c r="O32" s="19" t="n"/>
    </row>
    <row r="33">
      <c r="A33" s="233">
        <f>IF(itens_Remanesc!A33="","",itens_Remanesc!A33)</f>
        <v/>
      </c>
      <c r="B33" s="231">
        <f>IF(itens_Remanesc!A33="","",itens_Remanesc!B33)</f>
        <v/>
      </c>
      <c r="C33" s="225">
        <f>IF(itens_Remanesc!A33="","",itens_Remanesc!C33)</f>
        <v/>
      </c>
      <c r="D33" s="225">
        <f>IF(OR(A33="",C33="",NOT(ISNUMBER($L$3))),"",ROUND(C33*$L$3,2))</f>
        <v/>
      </c>
      <c r="E33" s="225">
        <f>IF(OR(A33="",C33="",NOT(ISNUMBER($L$4))),"",ROUND(C33*$L$4,2))</f>
        <v/>
      </c>
      <c r="F33" s="225">
        <f>IF(OR(A33="",C33="",NOT(ISNUMBER($L$5))),"",ROUND(C33*$L$5,2))</f>
        <v/>
      </c>
      <c r="G33" s="225">
        <f>IF(OR(A33="",C33="",NOT(ISNUMBER($L$6))),"",ROUND(C33*$L$6,2))</f>
        <v/>
      </c>
      <c r="H33" s="292">
        <f>IF(OR(A33="",C33="",C33=0,NOT(ISNUMBER($L$6))),"",ROUND($L$6-1,4))</f>
        <v/>
      </c>
      <c r="I33" s="19" t="n"/>
      <c r="J33" s="19" t="n"/>
      <c r="K33" s="19" t="n"/>
      <c r="L33" s="19" t="n"/>
      <c r="M33" s="19" t="n"/>
      <c r="N33" s="19" t="n"/>
      <c r="O33" s="19" t="n"/>
    </row>
    <row r="34">
      <c r="A34" s="233">
        <f>IF(itens_Remanesc!A34="","",itens_Remanesc!A34)</f>
        <v/>
      </c>
      <c r="B34" s="231">
        <f>IF(itens_Remanesc!A34="","",itens_Remanesc!B34)</f>
        <v/>
      </c>
      <c r="C34" s="225">
        <f>IF(itens_Remanesc!A34="","",itens_Remanesc!C34)</f>
        <v/>
      </c>
      <c r="D34" s="225">
        <f>IF(OR(A34="",C34="",NOT(ISNUMBER($L$3))),"",ROUND(C34*$L$3,2))</f>
        <v/>
      </c>
      <c r="E34" s="225">
        <f>IF(OR(A34="",C34="",NOT(ISNUMBER($L$4))),"",ROUND(C34*$L$4,2))</f>
        <v/>
      </c>
      <c r="F34" s="225">
        <f>IF(OR(A34="",C34="",NOT(ISNUMBER($L$5))),"",ROUND(C34*$L$5,2))</f>
        <v/>
      </c>
      <c r="G34" s="225">
        <f>IF(OR(A34="",C34="",NOT(ISNUMBER($L$6))),"",ROUND(C34*$L$6,2))</f>
        <v/>
      </c>
      <c r="H34" s="292">
        <f>IF(OR(A34="",C34="",C34=0,NOT(ISNUMBER($L$6))),"",ROUND($L$6-1,4))</f>
        <v/>
      </c>
      <c r="I34" s="19" t="n"/>
      <c r="J34" s="19" t="n"/>
      <c r="K34" s="19" t="n"/>
      <c r="L34" s="19" t="n"/>
      <c r="M34" s="19" t="n"/>
      <c r="N34" s="19" t="n"/>
      <c r="O34" s="19" t="n"/>
    </row>
    <row r="35">
      <c r="A35" s="233">
        <f>IF(itens_Remanesc!A35="","",itens_Remanesc!A35)</f>
        <v/>
      </c>
      <c r="B35" s="231">
        <f>IF(itens_Remanesc!A35="","",itens_Remanesc!B35)</f>
        <v/>
      </c>
      <c r="C35" s="225">
        <f>IF(itens_Remanesc!A35="","",itens_Remanesc!C35)</f>
        <v/>
      </c>
      <c r="D35" s="225">
        <f>IF(OR(A35="",C35="",NOT(ISNUMBER($L$3))),"",ROUND(C35*$L$3,2))</f>
        <v/>
      </c>
      <c r="E35" s="225">
        <f>IF(OR(A35="",C35="",NOT(ISNUMBER($L$4))),"",ROUND(C35*$L$4,2))</f>
        <v/>
      </c>
      <c r="F35" s="225">
        <f>IF(OR(A35="",C35="",NOT(ISNUMBER($L$5))),"",ROUND(C35*$L$5,2))</f>
        <v/>
      </c>
      <c r="G35" s="225">
        <f>IF(OR(A35="",C35="",NOT(ISNUMBER($L$6))),"",ROUND(C35*$L$6,2))</f>
        <v/>
      </c>
      <c r="H35" s="292">
        <f>IF(OR(A35="",C35="",C35=0,NOT(ISNUMBER($L$6))),"",ROUND($L$6-1,4))</f>
        <v/>
      </c>
      <c r="I35" s="19" t="n"/>
      <c r="J35" s="19" t="n"/>
      <c r="K35" s="19" t="n"/>
      <c r="L35" s="19" t="n"/>
      <c r="M35" s="19" t="n"/>
      <c r="N35" s="19" t="n"/>
      <c r="O35" s="19" t="n"/>
    </row>
    <row r="36">
      <c r="A36" s="233">
        <f>IF(itens_Remanesc!A36="","",itens_Remanesc!A36)</f>
        <v/>
      </c>
      <c r="B36" s="231">
        <f>IF(itens_Remanesc!A36="","",itens_Remanesc!B36)</f>
        <v/>
      </c>
      <c r="C36" s="225">
        <f>IF(itens_Remanesc!A36="","",itens_Remanesc!C36)</f>
        <v/>
      </c>
      <c r="D36" s="225">
        <f>IF(OR(A36="",C36="",NOT(ISNUMBER($L$3))),"",ROUND(C36*$L$3,2))</f>
        <v/>
      </c>
      <c r="E36" s="225">
        <f>IF(OR(A36="",C36="",NOT(ISNUMBER($L$4))),"",ROUND(C36*$L$4,2))</f>
        <v/>
      </c>
      <c r="F36" s="225">
        <f>IF(OR(A36="",C36="",NOT(ISNUMBER($L$5))),"",ROUND(C36*$L$5,2))</f>
        <v/>
      </c>
      <c r="G36" s="225">
        <f>IF(OR(A36="",C36="",NOT(ISNUMBER($L$6))),"",ROUND(C36*$L$6,2))</f>
        <v/>
      </c>
      <c r="H36" s="292">
        <f>IF(OR(A36="",C36="",C36=0,NOT(ISNUMBER($L$6))),"",ROUND($L$6-1,4))</f>
        <v/>
      </c>
      <c r="I36" s="19" t="n"/>
      <c r="J36" s="19" t="n"/>
      <c r="K36" s="19" t="n"/>
      <c r="L36" s="19" t="n"/>
      <c r="M36" s="19" t="n"/>
      <c r="N36" s="19" t="n"/>
      <c r="O36" s="19" t="n"/>
    </row>
    <row r="37">
      <c r="A37" s="233">
        <f>IF(itens_Remanesc!A37="","",itens_Remanesc!A37)</f>
        <v/>
      </c>
      <c r="B37" s="231">
        <f>IF(itens_Remanesc!A37="","",itens_Remanesc!B37)</f>
        <v/>
      </c>
      <c r="C37" s="225">
        <f>IF(itens_Remanesc!A37="","",itens_Remanesc!C37)</f>
        <v/>
      </c>
      <c r="D37" s="225">
        <f>IF(OR(A37="",C37="",NOT(ISNUMBER($L$3))),"",ROUND(C37*$L$3,2))</f>
        <v/>
      </c>
      <c r="E37" s="225">
        <f>IF(OR(A37="",C37="",NOT(ISNUMBER($L$4))),"",ROUND(C37*$L$4,2))</f>
        <v/>
      </c>
      <c r="F37" s="225">
        <f>IF(OR(A37="",C37="",NOT(ISNUMBER($L$5))),"",ROUND(C37*$L$5,2))</f>
        <v/>
      </c>
      <c r="G37" s="225">
        <f>IF(OR(A37="",C37="",NOT(ISNUMBER($L$6))),"",ROUND(C37*$L$6,2))</f>
        <v/>
      </c>
      <c r="H37" s="292">
        <f>IF(OR(A37="",C37="",C37=0,NOT(ISNUMBER($L$6))),"",ROUND($L$6-1,4))</f>
        <v/>
      </c>
      <c r="I37" s="19" t="n"/>
      <c r="J37" s="19" t="n"/>
      <c r="K37" s="19" t="n"/>
      <c r="L37" s="19" t="n"/>
      <c r="M37" s="19" t="n"/>
      <c r="N37" s="19" t="n"/>
      <c r="O37" s="19" t="n"/>
    </row>
    <row r="38">
      <c r="A38" s="233">
        <f>IF(itens_Remanesc!A38="","",itens_Remanesc!A38)</f>
        <v/>
      </c>
      <c r="B38" s="231">
        <f>IF(itens_Remanesc!A38="","",itens_Remanesc!B38)</f>
        <v/>
      </c>
      <c r="C38" s="225">
        <f>IF(itens_Remanesc!A38="","",itens_Remanesc!C38)</f>
        <v/>
      </c>
      <c r="D38" s="225">
        <f>IF(OR(A38="",C38="",NOT(ISNUMBER($L$3))),"",ROUND(C38*$L$3,2))</f>
        <v/>
      </c>
      <c r="E38" s="225">
        <f>IF(OR(A38="",C38="",NOT(ISNUMBER($L$4))),"",ROUND(C38*$L$4,2))</f>
        <v/>
      </c>
      <c r="F38" s="225">
        <f>IF(OR(A38="",C38="",NOT(ISNUMBER($L$5))),"",ROUND(C38*$L$5,2))</f>
        <v/>
      </c>
      <c r="G38" s="225">
        <f>IF(OR(A38="",C38="",NOT(ISNUMBER($L$6))),"",ROUND(C38*$L$6,2))</f>
        <v/>
      </c>
      <c r="H38" s="292">
        <f>IF(OR(A38="",C38="",C38=0,NOT(ISNUMBER($L$6))),"",ROUND($L$6-1,4))</f>
        <v/>
      </c>
      <c r="I38" s="19" t="n"/>
      <c r="J38" s="19" t="n"/>
      <c r="K38" s="19" t="n"/>
      <c r="L38" s="19" t="n"/>
      <c r="M38" s="19" t="n"/>
      <c r="N38" s="19" t="n"/>
      <c r="O38" s="19" t="n"/>
    </row>
    <row r="39">
      <c r="A39" s="233">
        <f>IF(itens_Remanesc!A39="","",itens_Remanesc!A39)</f>
        <v/>
      </c>
      <c r="B39" s="231">
        <f>IF(itens_Remanesc!A39="","",itens_Remanesc!B39)</f>
        <v/>
      </c>
      <c r="C39" s="225">
        <f>IF(itens_Remanesc!A39="","",itens_Remanesc!C39)</f>
        <v/>
      </c>
      <c r="D39" s="225">
        <f>IF(OR(A39="",C39="",NOT(ISNUMBER($L$3))),"",ROUND(C39*$L$3,2))</f>
        <v/>
      </c>
      <c r="E39" s="225">
        <f>IF(OR(A39="",C39="",NOT(ISNUMBER($L$4))),"",ROUND(C39*$L$4,2))</f>
        <v/>
      </c>
      <c r="F39" s="225">
        <f>IF(OR(A39="",C39="",NOT(ISNUMBER($L$5))),"",ROUND(C39*$L$5,2))</f>
        <v/>
      </c>
      <c r="G39" s="225">
        <f>IF(OR(A39="",C39="",NOT(ISNUMBER($L$6))),"",ROUND(C39*$L$6,2))</f>
        <v/>
      </c>
      <c r="H39" s="292">
        <f>IF(OR(A39="",C39="",C39=0,NOT(ISNUMBER($L$6))),"",ROUND($L$6-1,4))</f>
        <v/>
      </c>
      <c r="I39" s="19" t="n"/>
      <c r="J39" s="19" t="n"/>
      <c r="K39" s="19" t="n"/>
      <c r="L39" s="19" t="n"/>
      <c r="M39" s="19" t="n"/>
      <c r="N39" s="19" t="n"/>
      <c r="O39" s="19" t="n"/>
    </row>
    <row r="40">
      <c r="A40" s="233">
        <f>IF(itens_Remanesc!A40="","",itens_Remanesc!A40)</f>
        <v/>
      </c>
      <c r="B40" s="231">
        <f>IF(itens_Remanesc!A40="","",itens_Remanesc!B40)</f>
        <v/>
      </c>
      <c r="C40" s="225">
        <f>IF(itens_Remanesc!A40="","",itens_Remanesc!C40)</f>
        <v/>
      </c>
      <c r="D40" s="225">
        <f>IF(OR(A40="",C40="",NOT(ISNUMBER($L$3))),"",ROUND(C40*$L$3,2))</f>
        <v/>
      </c>
      <c r="E40" s="225">
        <f>IF(OR(A40="",C40="",NOT(ISNUMBER($L$4))),"",ROUND(C40*$L$4,2))</f>
        <v/>
      </c>
      <c r="F40" s="225">
        <f>IF(OR(A40="",C40="",NOT(ISNUMBER($L$5))),"",ROUND(C40*$L$5,2))</f>
        <v/>
      </c>
      <c r="G40" s="225">
        <f>IF(OR(A40="",C40="",NOT(ISNUMBER($L$6))),"",ROUND(C40*$L$6,2))</f>
        <v/>
      </c>
      <c r="H40" s="292">
        <f>IF(OR(A40="",C40="",C40=0,NOT(ISNUMBER($L$6))),"",ROUND($L$6-1,4))</f>
        <v/>
      </c>
      <c r="I40" s="19" t="n"/>
      <c r="J40" s="19" t="n"/>
      <c r="K40" s="19" t="n"/>
      <c r="L40" s="19" t="n"/>
      <c r="M40" s="19" t="n"/>
      <c r="N40" s="19" t="n"/>
      <c r="O40" s="19" t="n"/>
    </row>
    <row r="41">
      <c r="A41" s="233">
        <f>IF(itens_Remanesc!A41="","",itens_Remanesc!A41)</f>
        <v/>
      </c>
      <c r="B41" s="231">
        <f>IF(itens_Remanesc!A41="","",itens_Remanesc!B41)</f>
        <v/>
      </c>
      <c r="C41" s="225">
        <f>IF(itens_Remanesc!A41="","",itens_Remanesc!C41)</f>
        <v/>
      </c>
      <c r="D41" s="225">
        <f>IF(OR(A41="",C41="",NOT(ISNUMBER($L$3))),"",ROUND(C41*$L$3,2))</f>
        <v/>
      </c>
      <c r="E41" s="225">
        <f>IF(OR(A41="",C41="",NOT(ISNUMBER($L$4))),"",ROUND(C41*$L$4,2))</f>
        <v/>
      </c>
      <c r="F41" s="225">
        <f>IF(OR(A41="",C41="",NOT(ISNUMBER($L$5))),"",ROUND(C41*$L$5,2))</f>
        <v/>
      </c>
      <c r="G41" s="225">
        <f>IF(OR(A41="",C41="",NOT(ISNUMBER($L$6))),"",ROUND(C41*$L$6,2))</f>
        <v/>
      </c>
      <c r="H41" s="292">
        <f>IF(OR(A41="",C41="",C41=0,NOT(ISNUMBER($L$6))),"",ROUND($L$6-1,4))</f>
        <v/>
      </c>
      <c r="I41" s="19" t="n"/>
      <c r="J41" s="19" t="n"/>
      <c r="K41" s="19" t="n"/>
      <c r="L41" s="19" t="n"/>
      <c r="M41" s="19" t="n"/>
      <c r="N41" s="19" t="n"/>
      <c r="O41" s="19" t="n"/>
    </row>
    <row r="42">
      <c r="A42" s="233">
        <f>IF(itens_Remanesc!A42="","",itens_Remanesc!A42)</f>
        <v/>
      </c>
      <c r="B42" s="231">
        <f>IF(itens_Remanesc!A42="","",itens_Remanesc!B42)</f>
        <v/>
      </c>
      <c r="C42" s="225">
        <f>IF(itens_Remanesc!A42="","",itens_Remanesc!C42)</f>
        <v/>
      </c>
      <c r="D42" s="225">
        <f>IF(OR(A42="",C42="",NOT(ISNUMBER($L$3))),"",ROUND(C42*$L$3,2))</f>
        <v/>
      </c>
      <c r="E42" s="225">
        <f>IF(OR(A42="",C42="",NOT(ISNUMBER($L$4))),"",ROUND(C42*$L$4,2))</f>
        <v/>
      </c>
      <c r="F42" s="225">
        <f>IF(OR(A42="",C42="",NOT(ISNUMBER($L$5))),"",ROUND(C42*$L$5,2))</f>
        <v/>
      </c>
      <c r="G42" s="225">
        <f>IF(OR(A42="",C42="",NOT(ISNUMBER($L$6))),"",ROUND(C42*$L$6,2))</f>
        <v/>
      </c>
      <c r="H42" s="292">
        <f>IF(OR(A42="",C42="",C42=0,NOT(ISNUMBER($L$6))),"",ROUND($L$6-1,4))</f>
        <v/>
      </c>
      <c r="I42" s="19" t="n"/>
      <c r="J42" s="19" t="n"/>
      <c r="K42" s="19" t="n"/>
      <c r="L42" s="19" t="n"/>
      <c r="M42" s="19" t="n"/>
      <c r="N42" s="19" t="n"/>
      <c r="O42" s="19" t="n"/>
    </row>
    <row r="43">
      <c r="A43" s="233">
        <f>IF(itens_Remanesc!A43="","",itens_Remanesc!A43)</f>
        <v/>
      </c>
      <c r="B43" s="231">
        <f>IF(itens_Remanesc!A43="","",itens_Remanesc!B43)</f>
        <v/>
      </c>
      <c r="C43" s="225">
        <f>IF(itens_Remanesc!A43="","",itens_Remanesc!C43)</f>
        <v/>
      </c>
      <c r="D43" s="225">
        <f>IF(OR(A43="",C43="",NOT(ISNUMBER($L$3))),"",ROUND(C43*$L$3,2))</f>
        <v/>
      </c>
      <c r="E43" s="225">
        <f>IF(OR(A43="",C43="",NOT(ISNUMBER($L$4))),"",ROUND(C43*$L$4,2))</f>
        <v/>
      </c>
      <c r="F43" s="225">
        <f>IF(OR(A43="",C43="",NOT(ISNUMBER($L$5))),"",ROUND(C43*$L$5,2))</f>
        <v/>
      </c>
      <c r="G43" s="225">
        <f>IF(OR(A43="",C43="",NOT(ISNUMBER($L$6))),"",ROUND(C43*$L$6,2))</f>
        <v/>
      </c>
      <c r="H43" s="292">
        <f>IF(OR(A43="",C43="",C43=0,NOT(ISNUMBER($L$6))),"",ROUND($L$6-1,4))</f>
        <v/>
      </c>
      <c r="I43" s="19" t="n"/>
      <c r="J43" s="19" t="n"/>
      <c r="K43" s="19" t="n"/>
      <c r="L43" s="19" t="n"/>
      <c r="M43" s="19" t="n"/>
      <c r="N43" s="19" t="n"/>
      <c r="O43" s="19" t="n"/>
    </row>
    <row r="44">
      <c r="A44" s="233">
        <f>IF(itens_Remanesc!A44="","",itens_Remanesc!A44)</f>
        <v/>
      </c>
      <c r="B44" s="231">
        <f>IF(itens_Remanesc!A44="","",itens_Remanesc!B44)</f>
        <v/>
      </c>
      <c r="C44" s="225">
        <f>IF(itens_Remanesc!A44="","",itens_Remanesc!C44)</f>
        <v/>
      </c>
      <c r="D44" s="225">
        <f>IF(OR(A44="",C44="",NOT(ISNUMBER($L$3))),"",ROUND(C44*$L$3,2))</f>
        <v/>
      </c>
      <c r="E44" s="225">
        <f>IF(OR(A44="",C44="",NOT(ISNUMBER($L$4))),"",ROUND(C44*$L$4,2))</f>
        <v/>
      </c>
      <c r="F44" s="225">
        <f>IF(OR(A44="",C44="",NOT(ISNUMBER($L$5))),"",ROUND(C44*$L$5,2))</f>
        <v/>
      </c>
      <c r="G44" s="225">
        <f>IF(OR(A44="",C44="",NOT(ISNUMBER($L$6))),"",ROUND(C44*$L$6,2))</f>
        <v/>
      </c>
      <c r="H44" s="292">
        <f>IF(OR(A44="",C44="",C44=0,NOT(ISNUMBER($L$6))),"",ROUND($L$6-1,4))</f>
        <v/>
      </c>
      <c r="I44" s="19" t="n"/>
      <c r="J44" s="19" t="n"/>
      <c r="K44" s="19" t="n"/>
      <c r="L44" s="19" t="n"/>
      <c r="M44" s="19" t="n"/>
      <c r="N44" s="19" t="n"/>
      <c r="O44" s="19" t="n"/>
    </row>
    <row r="45">
      <c r="A45" s="233">
        <f>IF(itens_Remanesc!A45="","",itens_Remanesc!A45)</f>
        <v/>
      </c>
      <c r="B45" s="231">
        <f>IF(itens_Remanesc!A45="","",itens_Remanesc!B45)</f>
        <v/>
      </c>
      <c r="C45" s="225">
        <f>IF(itens_Remanesc!A45="","",itens_Remanesc!C45)</f>
        <v/>
      </c>
      <c r="D45" s="225">
        <f>IF(OR(A45="",C45="",NOT(ISNUMBER($L$3))),"",ROUND(C45*$L$3,2))</f>
        <v/>
      </c>
      <c r="E45" s="225">
        <f>IF(OR(A45="",C45="",NOT(ISNUMBER($L$4))),"",ROUND(C45*$L$4,2))</f>
        <v/>
      </c>
      <c r="F45" s="225">
        <f>IF(OR(A45="",C45="",NOT(ISNUMBER($L$5))),"",ROUND(C45*$L$5,2))</f>
        <v/>
      </c>
      <c r="G45" s="225">
        <f>IF(OR(A45="",C45="",NOT(ISNUMBER($L$6))),"",ROUND(C45*$L$6,2))</f>
        <v/>
      </c>
      <c r="H45" s="292">
        <f>IF(OR(A45="",C45="",C45=0,NOT(ISNUMBER($L$6))),"",ROUND($L$6-1,4))</f>
        <v/>
      </c>
      <c r="I45" s="19" t="n"/>
      <c r="J45" s="19" t="n"/>
      <c r="K45" s="19" t="n"/>
      <c r="L45" s="19" t="n"/>
      <c r="M45" s="19" t="n"/>
      <c r="N45" s="19" t="n"/>
      <c r="O45" s="19" t="n"/>
    </row>
    <row r="46">
      <c r="A46" s="233">
        <f>IF(itens_Remanesc!A46="","",itens_Remanesc!A46)</f>
        <v/>
      </c>
      <c r="B46" s="231">
        <f>IF(itens_Remanesc!A46="","",itens_Remanesc!B46)</f>
        <v/>
      </c>
      <c r="C46" s="225">
        <f>IF(itens_Remanesc!A46="","",itens_Remanesc!C46)</f>
        <v/>
      </c>
      <c r="D46" s="225">
        <f>IF(OR(A46="",C46="",NOT(ISNUMBER($L$3))),"",ROUND(C46*$L$3,2))</f>
        <v/>
      </c>
      <c r="E46" s="225">
        <f>IF(OR(A46="",C46="",NOT(ISNUMBER($L$4))),"",ROUND(C46*$L$4,2))</f>
        <v/>
      </c>
      <c r="F46" s="225">
        <f>IF(OR(A46="",C46="",NOT(ISNUMBER($L$5))),"",ROUND(C46*$L$5,2))</f>
        <v/>
      </c>
      <c r="G46" s="225">
        <f>IF(OR(A46="",C46="",NOT(ISNUMBER($L$6))),"",ROUND(C46*$L$6,2))</f>
        <v/>
      </c>
      <c r="H46" s="292">
        <f>IF(OR(A46="",C46="",C46=0,NOT(ISNUMBER($L$6))),"",ROUND($L$6-1,4))</f>
        <v/>
      </c>
      <c r="I46" s="19" t="n"/>
      <c r="J46" s="19" t="n"/>
      <c r="K46" s="19" t="n"/>
      <c r="L46" s="19" t="n"/>
      <c r="M46" s="19" t="n"/>
      <c r="N46" s="19" t="n"/>
      <c r="O46" s="19" t="n"/>
    </row>
    <row r="47">
      <c r="A47" s="233">
        <f>IF(itens_Remanesc!A47="","",itens_Remanesc!A47)</f>
        <v/>
      </c>
      <c r="B47" s="231">
        <f>IF(itens_Remanesc!A47="","",itens_Remanesc!B47)</f>
        <v/>
      </c>
      <c r="C47" s="225">
        <f>IF(itens_Remanesc!A47="","",itens_Remanesc!C47)</f>
        <v/>
      </c>
      <c r="D47" s="225">
        <f>IF(OR(A47="",C47="",NOT(ISNUMBER($L$3))),"",ROUND(C47*$L$3,2))</f>
        <v/>
      </c>
      <c r="E47" s="225">
        <f>IF(OR(A47="",C47="",NOT(ISNUMBER($L$4))),"",ROUND(C47*$L$4,2))</f>
        <v/>
      </c>
      <c r="F47" s="225">
        <f>IF(OR(A47="",C47="",NOT(ISNUMBER($L$5))),"",ROUND(C47*$L$5,2))</f>
        <v/>
      </c>
      <c r="G47" s="225">
        <f>IF(OR(A47="",C47="",NOT(ISNUMBER($L$6))),"",ROUND(C47*$L$6,2))</f>
        <v/>
      </c>
      <c r="H47" s="292">
        <f>IF(OR(A47="",C47="",C47=0,NOT(ISNUMBER($L$6))),"",ROUND($L$6-1,4))</f>
        <v/>
      </c>
      <c r="I47" s="19" t="n"/>
      <c r="J47" s="19" t="n"/>
      <c r="K47" s="19" t="n"/>
      <c r="L47" s="19" t="n"/>
      <c r="M47" s="19" t="n"/>
      <c r="N47" s="19" t="n"/>
      <c r="O47" s="19" t="n"/>
    </row>
    <row r="48">
      <c r="A48" s="233">
        <f>IF(itens_Remanesc!A48="","",itens_Remanesc!A48)</f>
        <v/>
      </c>
      <c r="B48" s="231">
        <f>IF(itens_Remanesc!A48="","",itens_Remanesc!B48)</f>
        <v/>
      </c>
      <c r="C48" s="225">
        <f>IF(itens_Remanesc!A48="","",itens_Remanesc!C48)</f>
        <v/>
      </c>
      <c r="D48" s="225">
        <f>IF(OR(A48="",C48="",NOT(ISNUMBER($L$3))),"",ROUND(C48*$L$3,2))</f>
        <v/>
      </c>
      <c r="E48" s="225">
        <f>IF(OR(A48="",C48="",NOT(ISNUMBER($L$4))),"",ROUND(C48*$L$4,2))</f>
        <v/>
      </c>
      <c r="F48" s="225">
        <f>IF(OR(A48="",C48="",NOT(ISNUMBER($L$5))),"",ROUND(C48*$L$5,2))</f>
        <v/>
      </c>
      <c r="G48" s="225">
        <f>IF(OR(A48="",C48="",NOT(ISNUMBER($L$6))),"",ROUND(C48*$L$6,2))</f>
        <v/>
      </c>
      <c r="H48" s="292">
        <f>IF(OR(A48="",C48="",C48=0,NOT(ISNUMBER($L$6))),"",ROUND($L$6-1,4))</f>
        <v/>
      </c>
      <c r="I48" s="19" t="n"/>
      <c r="J48" s="19" t="n"/>
      <c r="K48" s="19" t="n"/>
      <c r="L48" s="19" t="n"/>
      <c r="M48" s="19" t="n"/>
      <c r="N48" s="19" t="n"/>
      <c r="O48" s="19" t="n"/>
    </row>
    <row r="49">
      <c r="A49" s="233">
        <f>IF(itens_Remanesc!A49="","",itens_Remanesc!A49)</f>
        <v/>
      </c>
      <c r="B49" s="231">
        <f>IF(itens_Remanesc!A49="","",itens_Remanesc!B49)</f>
        <v/>
      </c>
      <c r="C49" s="225">
        <f>IF(itens_Remanesc!A49="","",itens_Remanesc!C49)</f>
        <v/>
      </c>
      <c r="D49" s="225">
        <f>IF(OR(A49="",C49="",NOT(ISNUMBER($L$3))),"",ROUND(C49*$L$3,2))</f>
        <v/>
      </c>
      <c r="E49" s="225">
        <f>IF(OR(A49="",C49="",NOT(ISNUMBER($L$4))),"",ROUND(C49*$L$4,2))</f>
        <v/>
      </c>
      <c r="F49" s="225">
        <f>IF(OR(A49="",C49="",NOT(ISNUMBER($L$5))),"",ROUND(C49*$L$5,2))</f>
        <v/>
      </c>
      <c r="G49" s="225">
        <f>IF(OR(A49="",C49="",NOT(ISNUMBER($L$6))),"",ROUND(C49*$L$6,2))</f>
        <v/>
      </c>
      <c r="H49" s="292">
        <f>IF(OR(A49="",C49="",C49=0,NOT(ISNUMBER($L$6))),"",ROUND($L$6-1,4))</f>
        <v/>
      </c>
      <c r="I49" s="19" t="n"/>
      <c r="J49" s="19" t="n"/>
      <c r="K49" s="19" t="n"/>
      <c r="L49" s="19" t="n"/>
      <c r="M49" s="19" t="n"/>
      <c r="N49" s="19" t="n"/>
      <c r="O49" s="19" t="n"/>
    </row>
    <row r="50">
      <c r="A50" s="233">
        <f>IF(itens_Remanesc!A50="","",itens_Remanesc!A50)</f>
        <v/>
      </c>
      <c r="B50" s="231">
        <f>IF(itens_Remanesc!A50="","",itens_Remanesc!B50)</f>
        <v/>
      </c>
      <c r="C50" s="225">
        <f>IF(itens_Remanesc!A50="","",itens_Remanesc!C50)</f>
        <v/>
      </c>
      <c r="D50" s="225">
        <f>IF(OR(A50="",C50="",NOT(ISNUMBER($L$3))),"",ROUND(C50*$L$3,2))</f>
        <v/>
      </c>
      <c r="E50" s="225">
        <f>IF(OR(A50="",C50="",NOT(ISNUMBER($L$4))),"",ROUND(C50*$L$4,2))</f>
        <v/>
      </c>
      <c r="F50" s="225">
        <f>IF(OR(A50="",C50="",NOT(ISNUMBER($L$5))),"",ROUND(C50*$L$5,2))</f>
        <v/>
      </c>
      <c r="G50" s="225">
        <f>IF(OR(A50="",C50="",NOT(ISNUMBER($L$6))),"",ROUND(C50*$L$6,2))</f>
        <v/>
      </c>
      <c r="H50" s="292">
        <f>IF(OR(A50="",C50="",C50=0,NOT(ISNUMBER($L$6))),"",ROUND($L$6-1,4))</f>
        <v/>
      </c>
      <c r="I50" s="19" t="n"/>
      <c r="J50" s="19" t="n"/>
      <c r="K50" s="19" t="n"/>
      <c r="L50" s="19" t="n"/>
      <c r="M50" s="19" t="n"/>
      <c r="N50" s="19" t="n"/>
      <c r="O50" s="19" t="n"/>
    </row>
    <row r="51">
      <c r="A51" s="233">
        <f>IF(itens_Remanesc!A51="","",itens_Remanesc!A51)</f>
        <v/>
      </c>
      <c r="B51" s="231">
        <f>IF(itens_Remanesc!A51="","",itens_Remanesc!B51)</f>
        <v/>
      </c>
      <c r="C51" s="225">
        <f>IF(itens_Remanesc!A51="","",itens_Remanesc!C51)</f>
        <v/>
      </c>
      <c r="D51" s="225">
        <f>IF(OR(A51="",C51="",NOT(ISNUMBER($L$3))),"",ROUND(C51*$L$3,2))</f>
        <v/>
      </c>
      <c r="E51" s="225">
        <f>IF(OR(A51="",C51="",NOT(ISNUMBER($L$4))),"",ROUND(C51*$L$4,2))</f>
        <v/>
      </c>
      <c r="F51" s="225">
        <f>IF(OR(A51="",C51="",NOT(ISNUMBER($L$5))),"",ROUND(C51*$L$5,2))</f>
        <v/>
      </c>
      <c r="G51" s="225">
        <f>IF(OR(A51="",C51="",NOT(ISNUMBER($L$6))),"",ROUND(C51*$L$6,2))</f>
        <v/>
      </c>
      <c r="H51" s="292">
        <f>IF(OR(A51="",C51="",C51=0,NOT(ISNUMBER($L$6))),"",ROUND($L$6-1,4))</f>
        <v/>
      </c>
      <c r="I51" s="19" t="n"/>
      <c r="J51" s="19" t="n"/>
      <c r="K51" s="19" t="n"/>
      <c r="L51" s="19" t="n"/>
      <c r="M51" s="19" t="n"/>
      <c r="N51" s="19" t="n"/>
      <c r="O51" s="19" t="n"/>
    </row>
    <row r="52">
      <c r="A52" s="233">
        <f>IF(itens_Remanesc!A52="","",itens_Remanesc!A52)</f>
        <v/>
      </c>
      <c r="B52" s="231">
        <f>IF(itens_Remanesc!A52="","",itens_Remanesc!B52)</f>
        <v/>
      </c>
      <c r="C52" s="225">
        <f>IF(itens_Remanesc!A52="","",itens_Remanesc!C52)</f>
        <v/>
      </c>
      <c r="D52" s="225">
        <f>IF(OR(A52="",C52="",NOT(ISNUMBER($L$3))),"",ROUND(C52*$L$3,2))</f>
        <v/>
      </c>
      <c r="E52" s="225">
        <f>IF(OR(A52="",C52="",NOT(ISNUMBER($L$4))),"",ROUND(C52*$L$4,2))</f>
        <v/>
      </c>
      <c r="F52" s="225">
        <f>IF(OR(A52="",C52="",NOT(ISNUMBER($L$5))),"",ROUND(C52*$L$5,2))</f>
        <v/>
      </c>
      <c r="G52" s="225">
        <f>IF(OR(A52="",C52="",NOT(ISNUMBER($L$6))),"",ROUND(C52*$L$6,2))</f>
        <v/>
      </c>
      <c r="H52" s="292">
        <f>IF(OR(A52="",C52="",C52=0,NOT(ISNUMBER($L$6))),"",ROUND($L$6-1,4))</f>
        <v/>
      </c>
      <c r="I52" s="19" t="n"/>
      <c r="J52" s="19" t="n"/>
      <c r="K52" s="19" t="n"/>
      <c r="L52" s="19" t="n"/>
      <c r="M52" s="19" t="n"/>
      <c r="N52" s="19" t="n"/>
      <c r="O52" s="19" t="n"/>
    </row>
    <row r="53">
      <c r="A53" s="233">
        <f>IF(itens_Remanesc!A53="","",itens_Remanesc!A53)</f>
        <v/>
      </c>
      <c r="B53" s="231">
        <f>IF(itens_Remanesc!A53="","",itens_Remanesc!B53)</f>
        <v/>
      </c>
      <c r="C53" s="225">
        <f>IF(itens_Remanesc!A53="","",itens_Remanesc!C53)</f>
        <v/>
      </c>
      <c r="D53" s="225">
        <f>IF(OR(A53="",C53="",NOT(ISNUMBER($L$3))),"",ROUND(C53*$L$3,2))</f>
        <v/>
      </c>
      <c r="E53" s="225">
        <f>IF(OR(A53="",C53="",NOT(ISNUMBER($L$4))),"",ROUND(C53*$L$4,2))</f>
        <v/>
      </c>
      <c r="F53" s="225">
        <f>IF(OR(A53="",C53="",NOT(ISNUMBER($L$5))),"",ROUND(C53*$L$5,2))</f>
        <v/>
      </c>
      <c r="G53" s="225">
        <f>IF(OR(A53="",C53="",NOT(ISNUMBER($L$6))),"",ROUND(C53*$L$6,2))</f>
        <v/>
      </c>
      <c r="H53" s="292">
        <f>IF(OR(A53="",C53="",C53=0,NOT(ISNUMBER($L$6))),"",ROUND($L$6-1,4))</f>
        <v/>
      </c>
      <c r="I53" s="19" t="n"/>
      <c r="J53" s="19" t="n"/>
      <c r="K53" s="19" t="n"/>
      <c r="L53" s="19" t="n"/>
      <c r="M53" s="19" t="n"/>
      <c r="N53" s="19" t="n"/>
      <c r="O53" s="19" t="n"/>
    </row>
    <row r="54">
      <c r="A54" s="233">
        <f>IF(itens_Remanesc!A54="","",itens_Remanesc!A54)</f>
        <v/>
      </c>
      <c r="B54" s="231">
        <f>IF(itens_Remanesc!A54="","",itens_Remanesc!B54)</f>
        <v/>
      </c>
      <c r="C54" s="225">
        <f>IF(itens_Remanesc!A54="","",itens_Remanesc!C54)</f>
        <v/>
      </c>
      <c r="D54" s="225">
        <f>IF(OR(A54="",C54="",NOT(ISNUMBER($L$3))),"",ROUND(C54*$L$3,2))</f>
        <v/>
      </c>
      <c r="E54" s="225">
        <f>IF(OR(A54="",C54="",NOT(ISNUMBER($L$4))),"",ROUND(C54*$L$4,2))</f>
        <v/>
      </c>
      <c r="F54" s="225">
        <f>IF(OR(A54="",C54="",NOT(ISNUMBER($L$5))),"",ROUND(C54*$L$5,2))</f>
        <v/>
      </c>
      <c r="G54" s="225">
        <f>IF(OR(A54="",C54="",NOT(ISNUMBER($L$6))),"",ROUND(C54*$L$6,2))</f>
        <v/>
      </c>
      <c r="H54" s="292">
        <f>IF(OR(A54="",C54="",C54=0,NOT(ISNUMBER($L$6))),"",ROUND($L$6-1,4))</f>
        <v/>
      </c>
      <c r="I54" s="19" t="n"/>
      <c r="J54" s="19" t="n"/>
      <c r="K54" s="19" t="n"/>
      <c r="L54" s="19" t="n"/>
      <c r="M54" s="19" t="n"/>
      <c r="N54" s="19" t="n"/>
      <c r="O54" s="19" t="n"/>
    </row>
    <row r="55">
      <c r="A55" s="233">
        <f>IF(itens_Remanesc!A55="","",itens_Remanesc!A55)</f>
        <v/>
      </c>
      <c r="B55" s="231">
        <f>IF(itens_Remanesc!A55="","",itens_Remanesc!B55)</f>
        <v/>
      </c>
      <c r="C55" s="225">
        <f>IF(itens_Remanesc!A55="","",itens_Remanesc!C55)</f>
        <v/>
      </c>
      <c r="D55" s="225">
        <f>IF(OR(A55="",C55="",NOT(ISNUMBER($L$3))),"",ROUND(C55*$L$3,2))</f>
        <v/>
      </c>
      <c r="E55" s="225">
        <f>IF(OR(A55="",C55="",NOT(ISNUMBER($L$4))),"",ROUND(C55*$L$4,2))</f>
        <v/>
      </c>
      <c r="F55" s="225">
        <f>IF(OR(A55="",C55="",NOT(ISNUMBER($L$5))),"",ROUND(C55*$L$5,2))</f>
        <v/>
      </c>
      <c r="G55" s="225">
        <f>IF(OR(A55="",C55="",NOT(ISNUMBER($L$6))),"",ROUND(C55*$L$6,2))</f>
        <v/>
      </c>
      <c r="H55" s="292">
        <f>IF(OR(A55="",C55="",C55=0,NOT(ISNUMBER($L$6))),"",ROUND($L$6-1,4))</f>
        <v/>
      </c>
      <c r="I55" s="19" t="n"/>
      <c r="J55" s="19" t="n"/>
      <c r="K55" s="19" t="n"/>
      <c r="L55" s="19" t="n"/>
      <c r="M55" s="19" t="n"/>
      <c r="N55" s="19" t="n"/>
      <c r="O55" s="19" t="n"/>
    </row>
    <row r="56">
      <c r="A56" s="233">
        <f>IF(itens_Remanesc!A56="","",itens_Remanesc!A56)</f>
        <v/>
      </c>
      <c r="B56" s="231">
        <f>IF(itens_Remanesc!A56="","",itens_Remanesc!B56)</f>
        <v/>
      </c>
      <c r="C56" s="225">
        <f>IF(itens_Remanesc!A56="","",itens_Remanesc!C56)</f>
        <v/>
      </c>
      <c r="D56" s="225">
        <f>IF(OR(A56="",C56="",NOT(ISNUMBER($L$3))),"",ROUND(C56*$L$3,2))</f>
        <v/>
      </c>
      <c r="E56" s="225">
        <f>IF(OR(A56="",C56="",NOT(ISNUMBER($L$4))),"",ROUND(C56*$L$4,2))</f>
        <v/>
      </c>
      <c r="F56" s="225">
        <f>IF(OR(A56="",C56="",NOT(ISNUMBER($L$5))),"",ROUND(C56*$L$5,2))</f>
        <v/>
      </c>
      <c r="G56" s="225">
        <f>IF(OR(A56="",C56="",NOT(ISNUMBER($L$6))),"",ROUND(C56*$L$6,2))</f>
        <v/>
      </c>
      <c r="H56" s="292">
        <f>IF(OR(A56="",C56="",C56=0,NOT(ISNUMBER($L$6))),"",ROUND($L$6-1,4))</f>
        <v/>
      </c>
      <c r="I56" s="19" t="n"/>
      <c r="J56" s="19" t="n"/>
      <c r="K56" s="19" t="n"/>
      <c r="L56" s="19" t="n"/>
      <c r="M56" s="19" t="n"/>
      <c r="N56" s="19" t="n"/>
      <c r="O56" s="19" t="n"/>
    </row>
    <row r="57">
      <c r="A57" s="233">
        <f>IF(itens_Remanesc!A57="","",itens_Remanesc!A57)</f>
        <v/>
      </c>
      <c r="B57" s="231">
        <f>IF(itens_Remanesc!A57="","",itens_Remanesc!B57)</f>
        <v/>
      </c>
      <c r="C57" s="225">
        <f>IF(itens_Remanesc!A57="","",itens_Remanesc!C57)</f>
        <v/>
      </c>
      <c r="D57" s="225">
        <f>IF(OR(A57="",C57="",NOT(ISNUMBER($L$3))),"",ROUND(C57*$L$3,2))</f>
        <v/>
      </c>
      <c r="E57" s="225">
        <f>IF(OR(A57="",C57="",NOT(ISNUMBER($L$4))),"",ROUND(C57*$L$4,2))</f>
        <v/>
      </c>
      <c r="F57" s="225">
        <f>IF(OR(A57="",C57="",NOT(ISNUMBER($L$5))),"",ROUND(C57*$L$5,2))</f>
        <v/>
      </c>
      <c r="G57" s="225">
        <f>IF(OR(A57="",C57="",NOT(ISNUMBER($L$6))),"",ROUND(C57*$L$6,2))</f>
        <v/>
      </c>
      <c r="H57" s="292">
        <f>IF(OR(A57="",C57="",C57=0,NOT(ISNUMBER($L$6))),"",ROUND($L$6-1,4))</f>
        <v/>
      </c>
      <c r="I57" s="19" t="n"/>
      <c r="J57" s="19" t="n"/>
      <c r="K57" s="19" t="n"/>
      <c r="L57" s="19" t="n"/>
      <c r="M57" s="19" t="n"/>
      <c r="N57" s="19" t="n"/>
      <c r="O57" s="19" t="n"/>
    </row>
    <row r="58">
      <c r="A58" s="233">
        <f>IF(itens_Remanesc!A58="","",itens_Remanesc!A58)</f>
        <v/>
      </c>
      <c r="B58" s="231">
        <f>IF(itens_Remanesc!A58="","",itens_Remanesc!B58)</f>
        <v/>
      </c>
      <c r="C58" s="225">
        <f>IF(itens_Remanesc!A58="","",itens_Remanesc!C58)</f>
        <v/>
      </c>
      <c r="D58" s="225">
        <f>IF(OR(A58="",C58="",NOT(ISNUMBER($L$3))),"",ROUND(C58*$L$3,2))</f>
        <v/>
      </c>
      <c r="E58" s="225">
        <f>IF(OR(A58="",C58="",NOT(ISNUMBER($L$4))),"",ROUND(C58*$L$4,2))</f>
        <v/>
      </c>
      <c r="F58" s="225">
        <f>IF(OR(A58="",C58="",NOT(ISNUMBER($L$5))),"",ROUND(C58*$L$5,2))</f>
        <v/>
      </c>
      <c r="G58" s="225">
        <f>IF(OR(A58="",C58="",NOT(ISNUMBER($L$6))),"",ROUND(C58*$L$6,2))</f>
        <v/>
      </c>
      <c r="H58" s="292">
        <f>IF(OR(A58="",C58="",C58=0,NOT(ISNUMBER($L$6))),"",ROUND($L$6-1,4))</f>
        <v/>
      </c>
      <c r="I58" s="19" t="n"/>
      <c r="J58" s="19" t="n"/>
      <c r="K58" s="19" t="n"/>
      <c r="L58" s="19" t="n"/>
      <c r="M58" s="19" t="n"/>
      <c r="N58" s="19" t="n"/>
      <c r="O58" s="19" t="n"/>
    </row>
    <row r="59">
      <c r="A59" s="233">
        <f>IF(itens_Remanesc!A59="","",itens_Remanesc!A59)</f>
        <v/>
      </c>
      <c r="B59" s="231">
        <f>IF(itens_Remanesc!A59="","",itens_Remanesc!B59)</f>
        <v/>
      </c>
      <c r="C59" s="225">
        <f>IF(itens_Remanesc!A59="","",itens_Remanesc!C59)</f>
        <v/>
      </c>
      <c r="D59" s="225">
        <f>IF(OR(A59="",C59="",NOT(ISNUMBER($L$3))),"",ROUND(C59*$L$3,2))</f>
        <v/>
      </c>
      <c r="E59" s="225">
        <f>IF(OR(A59="",C59="",NOT(ISNUMBER($L$4))),"",ROUND(C59*$L$4,2))</f>
        <v/>
      </c>
      <c r="F59" s="225">
        <f>IF(OR(A59="",C59="",NOT(ISNUMBER($L$5))),"",ROUND(C59*$L$5,2))</f>
        <v/>
      </c>
      <c r="G59" s="225">
        <f>IF(OR(A59="",C59="",NOT(ISNUMBER($L$6))),"",ROUND(C59*$L$6,2))</f>
        <v/>
      </c>
      <c r="H59" s="292">
        <f>IF(OR(A59="",C59="",C59=0,NOT(ISNUMBER($L$6))),"",ROUND($L$6-1,4))</f>
        <v/>
      </c>
      <c r="I59" s="19" t="n"/>
      <c r="J59" s="19" t="n"/>
      <c r="K59" s="19" t="n"/>
      <c r="L59" s="19" t="n"/>
      <c r="M59" s="19" t="n"/>
      <c r="N59" s="19" t="n"/>
      <c r="O59" s="19" t="n"/>
    </row>
    <row r="60">
      <c r="A60" s="233">
        <f>IF(itens_Remanesc!A60="","",itens_Remanesc!A60)</f>
        <v/>
      </c>
      <c r="B60" s="231">
        <f>IF(itens_Remanesc!A60="","",itens_Remanesc!B60)</f>
        <v/>
      </c>
      <c r="C60" s="225">
        <f>IF(itens_Remanesc!A60="","",itens_Remanesc!C60)</f>
        <v/>
      </c>
      <c r="D60" s="225">
        <f>IF(OR(A60="",C60="",NOT(ISNUMBER($L$3))),"",ROUND(C60*$L$3,2))</f>
        <v/>
      </c>
      <c r="E60" s="225">
        <f>IF(OR(A60="",C60="",NOT(ISNUMBER($L$4))),"",ROUND(C60*$L$4,2))</f>
        <v/>
      </c>
      <c r="F60" s="225">
        <f>IF(OR(A60="",C60="",NOT(ISNUMBER($L$5))),"",ROUND(C60*$L$5,2))</f>
        <v/>
      </c>
      <c r="G60" s="225">
        <f>IF(OR(A60="",C60="",NOT(ISNUMBER($L$6))),"",ROUND(C60*$L$6,2))</f>
        <v/>
      </c>
      <c r="H60" s="292">
        <f>IF(OR(A60="",C60="",C60=0,NOT(ISNUMBER($L$6))),"",ROUND($L$6-1,4))</f>
        <v/>
      </c>
      <c r="I60" s="19" t="n"/>
      <c r="J60" s="19" t="n"/>
      <c r="K60" s="19" t="n"/>
      <c r="L60" s="19" t="n"/>
      <c r="M60" s="19" t="n"/>
      <c r="N60" s="19" t="n"/>
      <c r="O60" s="19" t="n"/>
    </row>
    <row r="61">
      <c r="A61" s="233">
        <f>IF(itens_Remanesc!A61="","",itens_Remanesc!A61)</f>
        <v/>
      </c>
      <c r="B61" s="231">
        <f>IF(itens_Remanesc!A61="","",itens_Remanesc!B61)</f>
        <v/>
      </c>
      <c r="C61" s="225">
        <f>IF(itens_Remanesc!A61="","",itens_Remanesc!C61)</f>
        <v/>
      </c>
      <c r="D61" s="225">
        <f>IF(OR(A61="",C61="",NOT(ISNUMBER($L$3))),"",ROUND(C61*$L$3,2))</f>
        <v/>
      </c>
      <c r="E61" s="225">
        <f>IF(OR(A61="",C61="",NOT(ISNUMBER($L$4))),"",ROUND(C61*$L$4,2))</f>
        <v/>
      </c>
      <c r="F61" s="225">
        <f>IF(OR(A61="",C61="",NOT(ISNUMBER($L$5))),"",ROUND(C61*$L$5,2))</f>
        <v/>
      </c>
      <c r="G61" s="225">
        <f>IF(OR(A61="",C61="",NOT(ISNUMBER($L$6))),"",ROUND(C61*$L$6,2))</f>
        <v/>
      </c>
      <c r="H61" s="292">
        <f>IF(OR(A61="",C61="",C61=0,NOT(ISNUMBER($L$6))),"",ROUND($L$6-1,4))</f>
        <v/>
      </c>
      <c r="I61" s="19" t="n"/>
      <c r="J61" s="19" t="n"/>
      <c r="K61" s="19" t="n"/>
      <c r="L61" s="19" t="n"/>
      <c r="M61" s="19" t="n"/>
      <c r="N61" s="19" t="n"/>
      <c r="O61" s="19" t="n"/>
    </row>
    <row r="62">
      <c r="A62" s="233">
        <f>IF(itens_Remanesc!A62="","",itens_Remanesc!A62)</f>
        <v/>
      </c>
      <c r="B62" s="231">
        <f>IF(itens_Remanesc!A62="","",itens_Remanesc!B62)</f>
        <v/>
      </c>
      <c r="C62" s="225">
        <f>IF(itens_Remanesc!A62="","",itens_Remanesc!C62)</f>
        <v/>
      </c>
      <c r="D62" s="225">
        <f>IF(OR(A62="",C62="",NOT(ISNUMBER($L$3))),"",ROUND(C62*$L$3,2))</f>
        <v/>
      </c>
      <c r="E62" s="225">
        <f>IF(OR(A62="",C62="",NOT(ISNUMBER($L$4))),"",ROUND(C62*$L$4,2))</f>
        <v/>
      </c>
      <c r="F62" s="225">
        <f>IF(OR(A62="",C62="",NOT(ISNUMBER($L$5))),"",ROUND(C62*$L$5,2))</f>
        <v/>
      </c>
      <c r="G62" s="225">
        <f>IF(OR(A62="",C62="",NOT(ISNUMBER($L$6))),"",ROUND(C62*$L$6,2))</f>
        <v/>
      </c>
      <c r="H62" s="292">
        <f>IF(OR(A62="",C62="",C62=0,NOT(ISNUMBER($L$6))),"",ROUND($L$6-1,4))</f>
        <v/>
      </c>
      <c r="I62" s="19" t="n"/>
      <c r="J62" s="19" t="n"/>
      <c r="K62" s="19" t="n"/>
      <c r="L62" s="19" t="n"/>
      <c r="M62" s="19" t="n"/>
      <c r="N62" s="19" t="n"/>
      <c r="O62" s="19" t="n"/>
    </row>
    <row r="63">
      <c r="A63" s="233">
        <f>IF(itens_Remanesc!A63="","",itens_Remanesc!A63)</f>
        <v/>
      </c>
      <c r="B63" s="231">
        <f>IF(itens_Remanesc!A63="","",itens_Remanesc!B63)</f>
        <v/>
      </c>
      <c r="C63" s="225">
        <f>IF(itens_Remanesc!A63="","",itens_Remanesc!C63)</f>
        <v/>
      </c>
      <c r="D63" s="225">
        <f>IF(OR(A63="",C63="",NOT(ISNUMBER($L$3))),"",ROUND(C63*$L$3,2))</f>
        <v/>
      </c>
      <c r="E63" s="225">
        <f>IF(OR(A63="",C63="",NOT(ISNUMBER($L$4))),"",ROUND(C63*$L$4,2))</f>
        <v/>
      </c>
      <c r="F63" s="225">
        <f>IF(OR(A63="",C63="",NOT(ISNUMBER($L$5))),"",ROUND(C63*$L$5,2))</f>
        <v/>
      </c>
      <c r="G63" s="225">
        <f>IF(OR(A63="",C63="",NOT(ISNUMBER($L$6))),"",ROUND(C63*$L$6,2))</f>
        <v/>
      </c>
      <c r="H63" s="292">
        <f>IF(OR(A63="",C63="",C63=0,NOT(ISNUMBER($L$6))),"",ROUND($L$6-1,4))</f>
        <v/>
      </c>
      <c r="I63" s="19" t="n"/>
      <c r="J63" s="19" t="n"/>
      <c r="K63" s="19" t="n"/>
      <c r="L63" s="19" t="n"/>
      <c r="M63" s="19" t="n"/>
      <c r="N63" s="19" t="n"/>
      <c r="O63" s="19" t="n"/>
    </row>
    <row r="64">
      <c r="A64" s="233">
        <f>IF(itens_Remanesc!A64="","",itens_Remanesc!A64)</f>
        <v/>
      </c>
      <c r="B64" s="231">
        <f>IF(itens_Remanesc!A64="","",itens_Remanesc!B64)</f>
        <v/>
      </c>
      <c r="C64" s="225">
        <f>IF(itens_Remanesc!A64="","",itens_Remanesc!C64)</f>
        <v/>
      </c>
      <c r="D64" s="225">
        <f>IF(OR(A64="",C64="",NOT(ISNUMBER($L$3))),"",ROUND(C64*$L$3,2))</f>
        <v/>
      </c>
      <c r="E64" s="225">
        <f>IF(OR(A64="",C64="",NOT(ISNUMBER($L$4))),"",ROUND(C64*$L$4,2))</f>
        <v/>
      </c>
      <c r="F64" s="225">
        <f>IF(OR(A64="",C64="",NOT(ISNUMBER($L$5))),"",ROUND(C64*$L$5,2))</f>
        <v/>
      </c>
      <c r="G64" s="225">
        <f>IF(OR(A64="",C64="",NOT(ISNUMBER($L$6))),"",ROUND(C64*$L$6,2))</f>
        <v/>
      </c>
      <c r="H64" s="292">
        <f>IF(OR(A64="",C64="",C64=0,NOT(ISNUMBER($L$6))),"",ROUND($L$6-1,4))</f>
        <v/>
      </c>
      <c r="I64" s="19" t="n"/>
      <c r="J64" s="19" t="n"/>
      <c r="K64" s="19" t="n"/>
      <c r="L64" s="19" t="n"/>
      <c r="M64" s="19" t="n"/>
      <c r="N64" s="19" t="n"/>
      <c r="O64" s="19" t="n"/>
    </row>
    <row r="65">
      <c r="A65" s="233">
        <f>IF(itens_Remanesc!A65="","",itens_Remanesc!A65)</f>
        <v/>
      </c>
      <c r="B65" s="231">
        <f>IF(itens_Remanesc!A65="","",itens_Remanesc!B65)</f>
        <v/>
      </c>
      <c r="C65" s="225">
        <f>IF(itens_Remanesc!A65="","",itens_Remanesc!C65)</f>
        <v/>
      </c>
      <c r="D65" s="225">
        <f>IF(OR(A65="",C65="",NOT(ISNUMBER($L$3))),"",ROUND(C65*$L$3,2))</f>
        <v/>
      </c>
      <c r="E65" s="225">
        <f>IF(OR(A65="",C65="",NOT(ISNUMBER($L$4))),"",ROUND(C65*$L$4,2))</f>
        <v/>
      </c>
      <c r="F65" s="225">
        <f>IF(OR(A65="",C65="",NOT(ISNUMBER($L$5))),"",ROUND(C65*$L$5,2))</f>
        <v/>
      </c>
      <c r="G65" s="225">
        <f>IF(OR(A65="",C65="",NOT(ISNUMBER($L$6))),"",ROUND(C65*$L$6,2))</f>
        <v/>
      </c>
      <c r="H65" s="292">
        <f>IF(OR(A65="",C65="",C65=0,NOT(ISNUMBER($L$6))),"",ROUND($L$6-1,4))</f>
        <v/>
      </c>
      <c r="I65" s="19" t="n"/>
      <c r="J65" s="19" t="n"/>
      <c r="K65" s="19" t="n"/>
      <c r="L65" s="19" t="n"/>
      <c r="M65" s="19" t="n"/>
      <c r="N65" s="19" t="n"/>
      <c r="O65" s="19" t="n"/>
    </row>
    <row r="66">
      <c r="A66" s="233">
        <f>IF(itens_Remanesc!A66="","",itens_Remanesc!A66)</f>
        <v/>
      </c>
      <c r="B66" s="231">
        <f>IF(itens_Remanesc!A66="","",itens_Remanesc!B66)</f>
        <v/>
      </c>
      <c r="C66" s="225">
        <f>IF(itens_Remanesc!A66="","",itens_Remanesc!C66)</f>
        <v/>
      </c>
      <c r="D66" s="225">
        <f>IF(OR(A66="",C66="",NOT(ISNUMBER($L$3))),"",ROUND(C66*$L$3,2))</f>
        <v/>
      </c>
      <c r="E66" s="225">
        <f>IF(OR(A66="",C66="",NOT(ISNUMBER($L$4))),"",ROUND(C66*$L$4,2))</f>
        <v/>
      </c>
      <c r="F66" s="225">
        <f>IF(OR(A66="",C66="",NOT(ISNUMBER($L$5))),"",ROUND(C66*$L$5,2))</f>
        <v/>
      </c>
      <c r="G66" s="225">
        <f>IF(OR(A66="",C66="",NOT(ISNUMBER($L$6))),"",ROUND(C66*$L$6,2))</f>
        <v/>
      </c>
      <c r="H66" s="292">
        <f>IF(OR(A66="",C66="",C66=0,NOT(ISNUMBER($L$6))),"",ROUND($L$6-1,4))</f>
        <v/>
      </c>
      <c r="I66" s="19" t="n"/>
      <c r="J66" s="19" t="n"/>
      <c r="K66" s="19" t="n"/>
      <c r="L66" s="19" t="n"/>
      <c r="M66" s="19" t="n"/>
      <c r="N66" s="19" t="n"/>
      <c r="O66" s="19" t="n"/>
    </row>
    <row r="67">
      <c r="A67" s="233">
        <f>IF(itens_Remanesc!A67="","",itens_Remanesc!A67)</f>
        <v/>
      </c>
      <c r="B67" s="231">
        <f>IF(itens_Remanesc!A67="","",itens_Remanesc!B67)</f>
        <v/>
      </c>
      <c r="C67" s="225">
        <f>IF(itens_Remanesc!A67="","",itens_Remanesc!C67)</f>
        <v/>
      </c>
      <c r="D67" s="225">
        <f>IF(OR(A67="",C67="",NOT(ISNUMBER($L$3))),"",ROUND(C67*$L$3,2))</f>
        <v/>
      </c>
      <c r="E67" s="225">
        <f>IF(OR(A67="",C67="",NOT(ISNUMBER($L$4))),"",ROUND(C67*$L$4,2))</f>
        <v/>
      </c>
      <c r="F67" s="225">
        <f>IF(OR(A67="",C67="",NOT(ISNUMBER($L$5))),"",ROUND(C67*$L$5,2))</f>
        <v/>
      </c>
      <c r="G67" s="225">
        <f>IF(OR(A67="",C67="",NOT(ISNUMBER($L$6))),"",ROUND(C67*$L$6,2))</f>
        <v/>
      </c>
      <c r="H67" s="292">
        <f>IF(OR(A67="",C67="",C67=0,NOT(ISNUMBER($L$6))),"",ROUND($L$6-1,4))</f>
        <v/>
      </c>
      <c r="I67" s="19" t="n"/>
      <c r="J67" s="19" t="n"/>
      <c r="K67" s="19" t="n"/>
      <c r="L67" s="19" t="n"/>
      <c r="M67" s="19" t="n"/>
      <c r="N67" s="19" t="n"/>
      <c r="O67" s="19" t="n"/>
    </row>
    <row r="68">
      <c r="A68" s="233">
        <f>IF(itens_Remanesc!A68="","",itens_Remanesc!A68)</f>
        <v/>
      </c>
      <c r="B68" s="231">
        <f>IF(itens_Remanesc!A68="","",itens_Remanesc!B68)</f>
        <v/>
      </c>
      <c r="C68" s="225">
        <f>IF(itens_Remanesc!A68="","",itens_Remanesc!C68)</f>
        <v/>
      </c>
      <c r="D68" s="225">
        <f>IF(OR(A68="",C68="",NOT(ISNUMBER($L$3))),"",ROUND(C68*$L$3,2))</f>
        <v/>
      </c>
      <c r="E68" s="225">
        <f>IF(OR(A68="",C68="",NOT(ISNUMBER($L$4))),"",ROUND(C68*$L$4,2))</f>
        <v/>
      </c>
      <c r="F68" s="225">
        <f>IF(OR(A68="",C68="",NOT(ISNUMBER($L$5))),"",ROUND(C68*$L$5,2))</f>
        <v/>
      </c>
      <c r="G68" s="225">
        <f>IF(OR(A68="",C68="",NOT(ISNUMBER($L$6))),"",ROUND(C68*$L$6,2))</f>
        <v/>
      </c>
      <c r="H68" s="292">
        <f>IF(OR(A68="",C68="",C68=0,NOT(ISNUMBER($L$6))),"",ROUND($L$6-1,4))</f>
        <v/>
      </c>
      <c r="I68" s="19" t="n"/>
      <c r="J68" s="19" t="n"/>
      <c r="K68" s="19" t="n"/>
      <c r="L68" s="19" t="n"/>
      <c r="M68" s="19" t="n"/>
      <c r="N68" s="19" t="n"/>
      <c r="O68" s="19" t="n"/>
    </row>
    <row r="69">
      <c r="A69" s="233">
        <f>IF(itens_Remanesc!A69="","",itens_Remanesc!A69)</f>
        <v/>
      </c>
      <c r="B69" s="231">
        <f>IF(itens_Remanesc!A69="","",itens_Remanesc!B69)</f>
        <v/>
      </c>
      <c r="C69" s="225">
        <f>IF(itens_Remanesc!A69="","",itens_Remanesc!C69)</f>
        <v/>
      </c>
      <c r="D69" s="225">
        <f>IF(OR(A69="",C69="",NOT(ISNUMBER($L$3))),"",ROUND(C69*$L$3,2))</f>
        <v/>
      </c>
      <c r="E69" s="225">
        <f>IF(OR(A69="",C69="",NOT(ISNUMBER($L$4))),"",ROUND(C69*$L$4,2))</f>
        <v/>
      </c>
      <c r="F69" s="225">
        <f>IF(OR(A69="",C69="",NOT(ISNUMBER($L$5))),"",ROUND(C69*$L$5,2))</f>
        <v/>
      </c>
      <c r="G69" s="225">
        <f>IF(OR(A69="",C69="",NOT(ISNUMBER($L$6))),"",ROUND(C69*$L$6,2))</f>
        <v/>
      </c>
      <c r="H69" s="292">
        <f>IF(OR(A69="",C69="",C69=0,NOT(ISNUMBER($L$6))),"",ROUND($L$6-1,4))</f>
        <v/>
      </c>
      <c r="I69" s="19" t="n"/>
      <c r="J69" s="19" t="n"/>
      <c r="K69" s="19" t="n"/>
      <c r="L69" s="19" t="n"/>
      <c r="M69" s="19" t="n"/>
      <c r="N69" s="19" t="n"/>
      <c r="O69" s="19" t="n"/>
    </row>
    <row r="70">
      <c r="A70" s="233">
        <f>IF(itens_Remanesc!A70="","",itens_Remanesc!A70)</f>
        <v/>
      </c>
      <c r="B70" s="231">
        <f>IF(itens_Remanesc!A70="","",itens_Remanesc!B70)</f>
        <v/>
      </c>
      <c r="C70" s="225">
        <f>IF(itens_Remanesc!A70="","",itens_Remanesc!C70)</f>
        <v/>
      </c>
      <c r="D70" s="225">
        <f>IF(OR(A70="",C70="",NOT(ISNUMBER($L$3))),"",ROUND(C70*$L$3,2))</f>
        <v/>
      </c>
      <c r="E70" s="225">
        <f>IF(OR(A70="",C70="",NOT(ISNUMBER($L$4))),"",ROUND(C70*$L$4,2))</f>
        <v/>
      </c>
      <c r="F70" s="225">
        <f>IF(OR(A70="",C70="",NOT(ISNUMBER($L$5))),"",ROUND(C70*$L$5,2))</f>
        <v/>
      </c>
      <c r="G70" s="225">
        <f>IF(OR(A70="",C70="",NOT(ISNUMBER($L$6))),"",ROUND(C70*$L$6,2))</f>
        <v/>
      </c>
      <c r="H70" s="292">
        <f>IF(OR(A70="",C70="",C70=0,NOT(ISNUMBER($L$6))),"",ROUND($L$6-1,4))</f>
        <v/>
      </c>
      <c r="I70" s="19" t="n"/>
      <c r="J70" s="19" t="n"/>
      <c r="K70" s="19" t="n"/>
      <c r="L70" s="19" t="n"/>
      <c r="M70" s="19" t="n"/>
      <c r="N70" s="19" t="n"/>
      <c r="O70" s="19" t="n"/>
    </row>
    <row r="71">
      <c r="A71" s="233">
        <f>IF(itens_Remanesc!A71="","",itens_Remanesc!A71)</f>
        <v/>
      </c>
      <c r="B71" s="231">
        <f>IF(itens_Remanesc!A71="","",itens_Remanesc!B71)</f>
        <v/>
      </c>
      <c r="C71" s="225">
        <f>IF(itens_Remanesc!A71="","",itens_Remanesc!C71)</f>
        <v/>
      </c>
      <c r="D71" s="225">
        <f>IF(OR(A71="",C71="",NOT(ISNUMBER($L$3))),"",ROUND(C71*$L$3,2))</f>
        <v/>
      </c>
      <c r="E71" s="225">
        <f>IF(OR(A71="",C71="",NOT(ISNUMBER($L$4))),"",ROUND(C71*$L$4,2))</f>
        <v/>
      </c>
      <c r="F71" s="225">
        <f>IF(OR(A71="",C71="",NOT(ISNUMBER($L$5))),"",ROUND(C71*$L$5,2))</f>
        <v/>
      </c>
      <c r="G71" s="225">
        <f>IF(OR(A71="",C71="",NOT(ISNUMBER($L$6))),"",ROUND(C71*$L$6,2))</f>
        <v/>
      </c>
      <c r="H71" s="292">
        <f>IF(OR(A71="",C71="",C71=0,NOT(ISNUMBER($L$6))),"",ROUND($L$6-1,4))</f>
        <v/>
      </c>
      <c r="I71" s="19" t="n"/>
      <c r="J71" s="19" t="n"/>
      <c r="K71" s="19" t="n"/>
      <c r="L71" s="19" t="n"/>
      <c r="M71" s="19" t="n"/>
      <c r="N71" s="19" t="n"/>
      <c r="O71" s="19" t="n"/>
    </row>
    <row r="72">
      <c r="A72" s="233">
        <f>IF(itens_Remanesc!A72="","",itens_Remanesc!A72)</f>
        <v/>
      </c>
      <c r="B72" s="231">
        <f>IF(itens_Remanesc!A72="","",itens_Remanesc!B72)</f>
        <v/>
      </c>
      <c r="C72" s="225">
        <f>IF(itens_Remanesc!A72="","",itens_Remanesc!C72)</f>
        <v/>
      </c>
      <c r="D72" s="225">
        <f>IF(OR(A72="",C72="",NOT(ISNUMBER($L$3))),"",ROUND(C72*$L$3,2))</f>
        <v/>
      </c>
      <c r="E72" s="225">
        <f>IF(OR(A72="",C72="",NOT(ISNUMBER($L$4))),"",ROUND(C72*$L$4,2))</f>
        <v/>
      </c>
      <c r="F72" s="225">
        <f>IF(OR(A72="",C72="",NOT(ISNUMBER($L$5))),"",ROUND(C72*$L$5,2))</f>
        <v/>
      </c>
      <c r="G72" s="225">
        <f>IF(OR(A72="",C72="",NOT(ISNUMBER($L$6))),"",ROUND(C72*$L$6,2))</f>
        <v/>
      </c>
      <c r="H72" s="292">
        <f>IF(OR(A72="",C72="",C72=0,NOT(ISNUMBER($L$6))),"",ROUND($L$6-1,4))</f>
        <v/>
      </c>
      <c r="I72" s="19" t="n"/>
      <c r="J72" s="19" t="n"/>
      <c r="K72" s="19" t="n"/>
      <c r="L72" s="19" t="n"/>
      <c r="M72" s="19" t="n"/>
      <c r="N72" s="19" t="n"/>
      <c r="O72" s="19" t="n"/>
    </row>
    <row r="73">
      <c r="A73" s="233">
        <f>IF(itens_Remanesc!A73="","",itens_Remanesc!A73)</f>
        <v/>
      </c>
      <c r="B73" s="231">
        <f>IF(itens_Remanesc!A73="","",itens_Remanesc!B73)</f>
        <v/>
      </c>
      <c r="C73" s="225">
        <f>IF(itens_Remanesc!A73="","",itens_Remanesc!C73)</f>
        <v/>
      </c>
      <c r="D73" s="225">
        <f>IF(OR(A73="",C73="",NOT(ISNUMBER($L$3))),"",ROUND(C73*$L$3,2))</f>
        <v/>
      </c>
      <c r="E73" s="225">
        <f>IF(OR(A73="",C73="",NOT(ISNUMBER($L$4))),"",ROUND(C73*$L$4,2))</f>
        <v/>
      </c>
      <c r="F73" s="225">
        <f>IF(OR(A73="",C73="",NOT(ISNUMBER($L$5))),"",ROUND(C73*$L$5,2))</f>
        <v/>
      </c>
      <c r="G73" s="225">
        <f>IF(OR(A73="",C73="",NOT(ISNUMBER($L$6))),"",ROUND(C73*$L$6,2))</f>
        <v/>
      </c>
      <c r="H73" s="292">
        <f>IF(OR(A73="",C73="",C73=0,NOT(ISNUMBER($L$6))),"",ROUND($L$6-1,4))</f>
        <v/>
      </c>
      <c r="I73" s="19" t="n"/>
      <c r="J73" s="19" t="n"/>
      <c r="K73" s="19" t="n"/>
      <c r="L73" s="19" t="n"/>
      <c r="M73" s="19" t="n"/>
      <c r="N73" s="19" t="n"/>
      <c r="O73" s="19" t="n"/>
    </row>
    <row r="74">
      <c r="A74" s="233">
        <f>IF(itens_Remanesc!A74="","",itens_Remanesc!A74)</f>
        <v/>
      </c>
      <c r="B74" s="231">
        <f>IF(itens_Remanesc!A74="","",itens_Remanesc!B74)</f>
        <v/>
      </c>
      <c r="C74" s="225">
        <f>IF(itens_Remanesc!A74="","",itens_Remanesc!C74)</f>
        <v/>
      </c>
      <c r="D74" s="225">
        <f>IF(OR(A74="",C74="",NOT(ISNUMBER($L$3))),"",ROUND(C74*$L$3,2))</f>
        <v/>
      </c>
      <c r="E74" s="225">
        <f>IF(OR(A74="",C74="",NOT(ISNUMBER($L$4))),"",ROUND(C74*$L$4,2))</f>
        <v/>
      </c>
      <c r="F74" s="225">
        <f>IF(OR(A74="",C74="",NOT(ISNUMBER($L$5))),"",ROUND(C74*$L$5,2))</f>
        <v/>
      </c>
      <c r="G74" s="225">
        <f>IF(OR(A74="",C74="",NOT(ISNUMBER($L$6))),"",ROUND(C74*$L$6,2))</f>
        <v/>
      </c>
      <c r="H74" s="292">
        <f>IF(OR(A74="",C74="",C74=0,NOT(ISNUMBER($L$6))),"",ROUND($L$6-1,4))</f>
        <v/>
      </c>
      <c r="I74" s="19" t="n"/>
      <c r="J74" s="19" t="n"/>
      <c r="K74" s="19" t="n"/>
      <c r="L74" s="19" t="n"/>
      <c r="M74" s="19" t="n"/>
      <c r="N74" s="19" t="n"/>
      <c r="O74" s="19" t="n"/>
    </row>
    <row r="75">
      <c r="A75" s="233">
        <f>IF(itens_Remanesc!A75="","",itens_Remanesc!A75)</f>
        <v/>
      </c>
      <c r="B75" s="231">
        <f>IF(itens_Remanesc!A75="","",itens_Remanesc!B75)</f>
        <v/>
      </c>
      <c r="C75" s="225">
        <f>IF(itens_Remanesc!A75="","",itens_Remanesc!C75)</f>
        <v/>
      </c>
      <c r="D75" s="225">
        <f>IF(OR(A75="",C75="",NOT(ISNUMBER($L$3))),"",ROUND(C75*$L$3,2))</f>
        <v/>
      </c>
      <c r="E75" s="225">
        <f>IF(OR(A75="",C75="",NOT(ISNUMBER($L$4))),"",ROUND(C75*$L$4,2))</f>
        <v/>
      </c>
      <c r="F75" s="225">
        <f>IF(OR(A75="",C75="",NOT(ISNUMBER($L$5))),"",ROUND(C75*$L$5,2))</f>
        <v/>
      </c>
      <c r="G75" s="225">
        <f>IF(OR(A75="",C75="",NOT(ISNUMBER($L$6))),"",ROUND(C75*$L$6,2))</f>
        <v/>
      </c>
      <c r="H75" s="292">
        <f>IF(OR(A75="",C75="",C75=0,NOT(ISNUMBER($L$6))),"",ROUND($L$6-1,4))</f>
        <v/>
      </c>
      <c r="I75" s="19" t="n"/>
      <c r="J75" s="19" t="n"/>
      <c r="K75" s="19" t="n"/>
      <c r="L75" s="19" t="n"/>
      <c r="M75" s="19" t="n"/>
      <c r="N75" s="19" t="n"/>
      <c r="O75" s="19" t="n"/>
    </row>
    <row r="76">
      <c r="A76" s="233">
        <f>IF(itens_Remanesc!A76="","",itens_Remanesc!A76)</f>
        <v/>
      </c>
      <c r="B76" s="231">
        <f>IF(itens_Remanesc!A76="","",itens_Remanesc!B76)</f>
        <v/>
      </c>
      <c r="C76" s="225">
        <f>IF(itens_Remanesc!A76="","",itens_Remanesc!C76)</f>
        <v/>
      </c>
      <c r="D76" s="225">
        <f>IF(OR(A76="",C76="",NOT(ISNUMBER($L$3))),"",ROUND(C76*$L$3,2))</f>
        <v/>
      </c>
      <c r="E76" s="225">
        <f>IF(OR(A76="",C76="",NOT(ISNUMBER($L$4))),"",ROUND(C76*$L$4,2))</f>
        <v/>
      </c>
      <c r="F76" s="225">
        <f>IF(OR(A76="",C76="",NOT(ISNUMBER($L$5))),"",ROUND(C76*$L$5,2))</f>
        <v/>
      </c>
      <c r="G76" s="225">
        <f>IF(OR(A76="",C76="",NOT(ISNUMBER($L$6))),"",ROUND(C76*$L$6,2))</f>
        <v/>
      </c>
      <c r="H76" s="292">
        <f>IF(OR(A76="",C76="",C76=0,NOT(ISNUMBER($L$6))),"",ROUND($L$6-1,4))</f>
        <v/>
      </c>
      <c r="I76" s="19" t="n"/>
      <c r="J76" s="19" t="n"/>
      <c r="K76" s="19" t="n"/>
      <c r="L76" s="19" t="n"/>
      <c r="M76" s="19" t="n"/>
      <c r="N76" s="19" t="n"/>
      <c r="O76" s="19" t="n"/>
    </row>
    <row r="77">
      <c r="A77" s="233">
        <f>IF(itens_Remanesc!A77="","",itens_Remanesc!A77)</f>
        <v/>
      </c>
      <c r="B77" s="231">
        <f>IF(itens_Remanesc!A77="","",itens_Remanesc!B77)</f>
        <v/>
      </c>
      <c r="C77" s="225">
        <f>IF(itens_Remanesc!A77="","",itens_Remanesc!C77)</f>
        <v/>
      </c>
      <c r="D77" s="225">
        <f>IF(OR(A77="",C77="",NOT(ISNUMBER($L$3))),"",ROUND(C77*$L$3,2))</f>
        <v/>
      </c>
      <c r="E77" s="225">
        <f>IF(OR(A77="",C77="",NOT(ISNUMBER($L$4))),"",ROUND(C77*$L$4,2))</f>
        <v/>
      </c>
      <c r="F77" s="225">
        <f>IF(OR(A77="",C77="",NOT(ISNUMBER($L$5))),"",ROUND(C77*$L$5,2))</f>
        <v/>
      </c>
      <c r="G77" s="225">
        <f>IF(OR(A77="",C77="",NOT(ISNUMBER($L$6))),"",ROUND(C77*$L$6,2))</f>
        <v/>
      </c>
      <c r="H77" s="292">
        <f>IF(OR(A77="",C77="",C77=0,NOT(ISNUMBER($L$6))),"",ROUND($L$6-1,4))</f>
        <v/>
      </c>
      <c r="I77" s="19" t="n"/>
      <c r="J77" s="19" t="n"/>
      <c r="K77" s="19" t="n"/>
      <c r="L77" s="19" t="n"/>
      <c r="M77" s="19" t="n"/>
      <c r="N77" s="19" t="n"/>
      <c r="O77" s="19" t="n"/>
    </row>
    <row r="78">
      <c r="A78" s="233">
        <f>IF(itens_Remanesc!A78="","",itens_Remanesc!A78)</f>
        <v/>
      </c>
      <c r="B78" s="231">
        <f>IF(itens_Remanesc!A78="","",itens_Remanesc!B78)</f>
        <v/>
      </c>
      <c r="C78" s="225">
        <f>IF(itens_Remanesc!A78="","",itens_Remanesc!C78)</f>
        <v/>
      </c>
      <c r="D78" s="225">
        <f>IF(OR(A78="",C78="",NOT(ISNUMBER($L$3))),"",ROUND(C78*$L$3,2))</f>
        <v/>
      </c>
      <c r="E78" s="225">
        <f>IF(OR(A78="",C78="",NOT(ISNUMBER($L$4))),"",ROUND(C78*$L$4,2))</f>
        <v/>
      </c>
      <c r="F78" s="225">
        <f>IF(OR(A78="",C78="",NOT(ISNUMBER($L$5))),"",ROUND(C78*$L$5,2))</f>
        <v/>
      </c>
      <c r="G78" s="225">
        <f>IF(OR(A78="",C78="",NOT(ISNUMBER($L$6))),"",ROUND(C78*$L$6,2))</f>
        <v/>
      </c>
      <c r="H78" s="292">
        <f>IF(OR(A78="",C78="",C78=0,NOT(ISNUMBER($L$6))),"",ROUND($L$6-1,4))</f>
        <v/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233">
        <f>IF(itens_Remanesc!A79="","",itens_Remanesc!A79)</f>
        <v/>
      </c>
      <c r="B79" s="231">
        <f>IF(itens_Remanesc!A79="","",itens_Remanesc!B79)</f>
        <v/>
      </c>
      <c r="C79" s="225">
        <f>IF(itens_Remanesc!A79="","",itens_Remanesc!C79)</f>
        <v/>
      </c>
      <c r="D79" s="225">
        <f>IF(OR(A79="",C79="",NOT(ISNUMBER($L$3))),"",ROUND(C79*$L$3,2))</f>
        <v/>
      </c>
      <c r="E79" s="225">
        <f>IF(OR(A79="",C79="",NOT(ISNUMBER($L$4))),"",ROUND(C79*$L$4,2))</f>
        <v/>
      </c>
      <c r="F79" s="225">
        <f>IF(OR(A79="",C79="",NOT(ISNUMBER($L$5))),"",ROUND(C79*$L$5,2))</f>
        <v/>
      </c>
      <c r="G79" s="225">
        <f>IF(OR(A79="",C79="",NOT(ISNUMBER($L$6))),"",ROUND(C79*$L$6,2))</f>
        <v/>
      </c>
      <c r="H79" s="292">
        <f>IF(OR(A79="",C79="",C79=0,NOT(ISNUMBER($L$6))),"",ROUND($L$6-1,4))</f>
        <v/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33">
        <f>IF(itens_Remanesc!A80="","",itens_Remanesc!A80)</f>
        <v/>
      </c>
      <c r="B80" s="231">
        <f>IF(itens_Remanesc!A80="","",itens_Remanesc!B80)</f>
        <v/>
      </c>
      <c r="C80" s="225">
        <f>IF(itens_Remanesc!A80="","",itens_Remanesc!C80)</f>
        <v/>
      </c>
      <c r="D80" s="225">
        <f>IF(OR(A80="",C80="",NOT(ISNUMBER($L$3))),"",ROUND(C80*$L$3,2))</f>
        <v/>
      </c>
      <c r="E80" s="225">
        <f>IF(OR(A80="",C80="",NOT(ISNUMBER($L$4))),"",ROUND(C80*$L$4,2))</f>
        <v/>
      </c>
      <c r="F80" s="225">
        <f>IF(OR(A80="",C80="",NOT(ISNUMBER($L$5))),"",ROUND(C80*$L$5,2))</f>
        <v/>
      </c>
      <c r="G80" s="225">
        <f>IF(OR(A80="",C80="",NOT(ISNUMBER($L$6))),"",ROUND(C80*$L$6,2))</f>
        <v/>
      </c>
      <c r="H80" s="292">
        <f>IF(OR(A80="",C80="",C80=0,NOT(ISNUMBER($L$6))),"",ROUND($L$6-1,4))</f>
        <v/>
      </c>
      <c r="I80" s="19" t="n"/>
      <c r="J80" s="19" t="n"/>
      <c r="K80" s="19" t="n"/>
      <c r="L80" s="19" t="n"/>
      <c r="M80" s="19" t="n"/>
      <c r="N80" s="19" t="n"/>
      <c r="O80" s="19" t="n"/>
    </row>
    <row r="81">
      <c r="A81" s="233">
        <f>IF(itens_Remanesc!A81="","",itens_Remanesc!A81)</f>
        <v/>
      </c>
      <c r="B81" s="231">
        <f>IF(itens_Remanesc!A81="","",itens_Remanesc!B81)</f>
        <v/>
      </c>
      <c r="C81" s="225">
        <f>IF(itens_Remanesc!A81="","",itens_Remanesc!C81)</f>
        <v/>
      </c>
      <c r="D81" s="225">
        <f>IF(OR(A81="",C81="",NOT(ISNUMBER($L$3))),"",ROUND(C81*$L$3,2))</f>
        <v/>
      </c>
      <c r="E81" s="225">
        <f>IF(OR(A81="",C81="",NOT(ISNUMBER($L$4))),"",ROUND(C81*$L$4,2))</f>
        <v/>
      </c>
      <c r="F81" s="225">
        <f>IF(OR(A81="",C81="",NOT(ISNUMBER($L$5))),"",ROUND(C81*$L$5,2))</f>
        <v/>
      </c>
      <c r="G81" s="225">
        <f>IF(OR(A81="",C81="",NOT(ISNUMBER($L$6))),"",ROUND(C81*$L$6,2))</f>
        <v/>
      </c>
      <c r="H81" s="292">
        <f>IF(OR(A81="",C81="",C81=0,NOT(ISNUMBER($L$6))),"",ROUND($L$6-1,4))</f>
        <v/>
      </c>
      <c r="I81" s="19" t="n"/>
      <c r="J81" s="19" t="n"/>
      <c r="K81" s="19" t="n"/>
      <c r="L81" s="19" t="n"/>
      <c r="M81" s="19" t="n"/>
      <c r="N81" s="19" t="n"/>
      <c r="O81" s="19" t="n"/>
    </row>
    <row r="82">
      <c r="A82" s="233">
        <f>IF(itens_Remanesc!A82="","",itens_Remanesc!A82)</f>
        <v/>
      </c>
      <c r="B82" s="231">
        <f>IF(itens_Remanesc!A82="","",itens_Remanesc!B82)</f>
        <v/>
      </c>
      <c r="C82" s="225">
        <f>IF(itens_Remanesc!A82="","",itens_Remanesc!C82)</f>
        <v/>
      </c>
      <c r="D82" s="225">
        <f>IF(OR(A82="",C82="",NOT(ISNUMBER($L$3))),"",ROUND(C82*$L$3,2))</f>
        <v/>
      </c>
      <c r="E82" s="225">
        <f>IF(OR(A82="",C82="",NOT(ISNUMBER($L$4))),"",ROUND(C82*$L$4,2))</f>
        <v/>
      </c>
      <c r="F82" s="225">
        <f>IF(OR(A82="",C82="",NOT(ISNUMBER($L$5))),"",ROUND(C82*$L$5,2))</f>
        <v/>
      </c>
      <c r="G82" s="225">
        <f>IF(OR(A82="",C82="",NOT(ISNUMBER($L$6))),"",ROUND(C82*$L$6,2))</f>
        <v/>
      </c>
      <c r="H82" s="292">
        <f>IF(OR(A82="",C82="",C82=0,NOT(ISNUMBER($L$6))),"",ROUND($L$6-1,4))</f>
        <v/>
      </c>
      <c r="I82" s="19" t="n"/>
      <c r="J82" s="19" t="n"/>
      <c r="K82" s="19" t="n"/>
      <c r="L82" s="19" t="n"/>
      <c r="M82" s="19" t="n"/>
      <c r="N82" s="19" t="n"/>
      <c r="O82" s="19" t="n"/>
    </row>
    <row r="83">
      <c r="A83" s="233">
        <f>IF(itens_Remanesc!A83="","",itens_Remanesc!A83)</f>
        <v/>
      </c>
      <c r="B83" s="231">
        <f>IF(itens_Remanesc!A83="","",itens_Remanesc!B83)</f>
        <v/>
      </c>
      <c r="C83" s="225">
        <f>IF(itens_Remanesc!A83="","",itens_Remanesc!C83)</f>
        <v/>
      </c>
      <c r="D83" s="225">
        <f>IF(OR(A83="",C83="",NOT(ISNUMBER($L$3))),"",ROUND(C83*$L$3,2))</f>
        <v/>
      </c>
      <c r="E83" s="225">
        <f>IF(OR(A83="",C83="",NOT(ISNUMBER($L$4))),"",ROUND(C83*$L$4,2))</f>
        <v/>
      </c>
      <c r="F83" s="225">
        <f>IF(OR(A83="",C83="",NOT(ISNUMBER($L$5))),"",ROUND(C83*$L$5,2))</f>
        <v/>
      </c>
      <c r="G83" s="225">
        <f>IF(OR(A83="",C83="",NOT(ISNUMBER($L$6))),"",ROUND(C83*$L$6,2))</f>
        <v/>
      </c>
      <c r="H83" s="292">
        <f>IF(OR(A83="",C83="",C83=0,NOT(ISNUMBER($L$6))),"",ROUND($L$6-1,4))</f>
        <v/>
      </c>
      <c r="I83" s="19" t="n"/>
      <c r="J83" s="19" t="n"/>
      <c r="K83" s="19" t="n"/>
      <c r="L83" s="19" t="n"/>
      <c r="M83" s="19" t="n"/>
      <c r="N83" s="19" t="n"/>
      <c r="O83" s="19" t="n"/>
    </row>
    <row r="84">
      <c r="A84" s="233">
        <f>IF(itens_Remanesc!A84="","",itens_Remanesc!A84)</f>
        <v/>
      </c>
      <c r="B84" s="231">
        <f>IF(itens_Remanesc!A84="","",itens_Remanesc!B84)</f>
        <v/>
      </c>
      <c r="C84" s="225">
        <f>IF(itens_Remanesc!A84="","",itens_Remanesc!C84)</f>
        <v/>
      </c>
      <c r="D84" s="225">
        <f>IF(OR(A84="",C84="",NOT(ISNUMBER($L$3))),"",ROUND(C84*$L$3,2))</f>
        <v/>
      </c>
      <c r="E84" s="225">
        <f>IF(OR(A84="",C84="",NOT(ISNUMBER($L$4))),"",ROUND(C84*$L$4,2))</f>
        <v/>
      </c>
      <c r="F84" s="225">
        <f>IF(OR(A84="",C84="",NOT(ISNUMBER($L$5))),"",ROUND(C84*$L$5,2))</f>
        <v/>
      </c>
      <c r="G84" s="225">
        <f>IF(OR(A84="",C84="",NOT(ISNUMBER($L$6))),"",ROUND(C84*$L$6,2))</f>
        <v/>
      </c>
      <c r="H84" s="292">
        <f>IF(OR(A84="",C84="",C84=0,NOT(ISNUMBER($L$6))),"",ROUND($L$6-1,4))</f>
        <v/>
      </c>
      <c r="I84" s="19" t="n"/>
      <c r="J84" s="19" t="n"/>
      <c r="K84" s="19" t="n"/>
      <c r="L84" s="19" t="n"/>
      <c r="M84" s="19" t="n"/>
      <c r="N84" s="19" t="n"/>
      <c r="O84" s="19" t="n"/>
    </row>
    <row r="85">
      <c r="A85" s="233">
        <f>IF(itens_Remanesc!A85="","",itens_Remanesc!A85)</f>
        <v/>
      </c>
      <c r="B85" s="231">
        <f>IF(itens_Remanesc!A85="","",itens_Remanesc!B85)</f>
        <v/>
      </c>
      <c r="C85" s="225">
        <f>IF(itens_Remanesc!A85="","",itens_Remanesc!C85)</f>
        <v/>
      </c>
      <c r="D85" s="225">
        <f>IF(OR(A85="",C85="",NOT(ISNUMBER($L$3))),"",ROUND(C85*$L$3,2))</f>
        <v/>
      </c>
      <c r="E85" s="225">
        <f>IF(OR(A85="",C85="",NOT(ISNUMBER($L$4))),"",ROUND(C85*$L$4,2))</f>
        <v/>
      </c>
      <c r="F85" s="225">
        <f>IF(OR(A85="",C85="",NOT(ISNUMBER($L$5))),"",ROUND(C85*$L$5,2))</f>
        <v/>
      </c>
      <c r="G85" s="225">
        <f>IF(OR(A85="",C85="",NOT(ISNUMBER($L$6))),"",ROUND(C85*$L$6,2))</f>
        <v/>
      </c>
      <c r="H85" s="292">
        <f>IF(OR(A85="",C85="",C85=0,NOT(ISNUMBER($L$6))),"",ROUND($L$6-1,4))</f>
        <v/>
      </c>
      <c r="I85" s="19" t="n"/>
      <c r="J85" s="19" t="n"/>
      <c r="K85" s="19" t="n"/>
      <c r="L85" s="19" t="n"/>
      <c r="M85" s="19" t="n"/>
      <c r="N85" s="19" t="n"/>
      <c r="O85" s="19" t="n"/>
    </row>
    <row r="86">
      <c r="A86" s="233">
        <f>IF(itens_Remanesc!A86="","",itens_Remanesc!A86)</f>
        <v/>
      </c>
      <c r="B86" s="231">
        <f>IF(itens_Remanesc!A86="","",itens_Remanesc!B86)</f>
        <v/>
      </c>
      <c r="C86" s="225">
        <f>IF(itens_Remanesc!A86="","",itens_Remanesc!C86)</f>
        <v/>
      </c>
      <c r="D86" s="225">
        <f>IF(OR(A86="",C86="",NOT(ISNUMBER($L$3))),"",ROUND(C86*$L$3,2))</f>
        <v/>
      </c>
      <c r="E86" s="225">
        <f>IF(OR(A86="",C86="",NOT(ISNUMBER($L$4))),"",ROUND(C86*$L$4,2))</f>
        <v/>
      </c>
      <c r="F86" s="225">
        <f>IF(OR(A86="",C86="",NOT(ISNUMBER($L$5))),"",ROUND(C86*$L$5,2))</f>
        <v/>
      </c>
      <c r="G86" s="225">
        <f>IF(OR(A86="",C86="",NOT(ISNUMBER($L$6))),"",ROUND(C86*$L$6,2))</f>
        <v/>
      </c>
      <c r="H86" s="292">
        <f>IF(OR(A86="",C86="",C86=0,NOT(ISNUMBER($L$6))),"",ROUND($L$6-1,4))</f>
        <v/>
      </c>
      <c r="I86" s="19" t="n"/>
      <c r="J86" s="19" t="n"/>
      <c r="K86" s="19" t="n"/>
      <c r="L86" s="19" t="n"/>
      <c r="M86" s="19" t="n"/>
      <c r="N86" s="19" t="n"/>
      <c r="O86" s="19" t="n"/>
    </row>
    <row r="87">
      <c r="A87" s="233">
        <f>IF(itens_Remanesc!A87="","",itens_Remanesc!A87)</f>
        <v/>
      </c>
      <c r="B87" s="231">
        <f>IF(itens_Remanesc!A87="","",itens_Remanesc!B87)</f>
        <v/>
      </c>
      <c r="C87" s="225">
        <f>IF(itens_Remanesc!A87="","",itens_Remanesc!C87)</f>
        <v/>
      </c>
      <c r="D87" s="225">
        <f>IF(OR(A87="",C87="",NOT(ISNUMBER($L$3))),"",ROUND(C87*$L$3,2))</f>
        <v/>
      </c>
      <c r="E87" s="225">
        <f>IF(OR(A87="",C87="",NOT(ISNUMBER($L$4))),"",ROUND(C87*$L$4,2))</f>
        <v/>
      </c>
      <c r="F87" s="225">
        <f>IF(OR(A87="",C87="",NOT(ISNUMBER($L$5))),"",ROUND(C87*$L$5,2))</f>
        <v/>
      </c>
      <c r="G87" s="225">
        <f>IF(OR(A87="",C87="",NOT(ISNUMBER($L$6))),"",ROUND(C87*$L$6,2))</f>
        <v/>
      </c>
      <c r="H87" s="292">
        <f>IF(OR(A87="",C87="",C87=0,NOT(ISNUMBER($L$6))),"",ROUND($L$6-1,4))</f>
        <v/>
      </c>
      <c r="I87" s="19" t="n"/>
      <c r="J87" s="19" t="n"/>
      <c r="K87" s="19" t="n"/>
      <c r="L87" s="19" t="n"/>
      <c r="M87" s="19" t="n"/>
      <c r="N87" s="19" t="n"/>
      <c r="O87" s="19" t="n"/>
    </row>
    <row r="88">
      <c r="A88" s="233">
        <f>IF(itens_Remanesc!A88="","",itens_Remanesc!A88)</f>
        <v/>
      </c>
      <c r="B88" s="231">
        <f>IF(itens_Remanesc!A88="","",itens_Remanesc!B88)</f>
        <v/>
      </c>
      <c r="C88" s="225">
        <f>IF(itens_Remanesc!A88="","",itens_Remanesc!C88)</f>
        <v/>
      </c>
      <c r="D88" s="225">
        <f>IF(OR(A88="",C88="",NOT(ISNUMBER($L$3))),"",ROUND(C88*$L$3,2))</f>
        <v/>
      </c>
      <c r="E88" s="225">
        <f>IF(OR(A88="",C88="",NOT(ISNUMBER($L$4))),"",ROUND(C88*$L$4,2))</f>
        <v/>
      </c>
      <c r="F88" s="225">
        <f>IF(OR(A88="",C88="",NOT(ISNUMBER($L$5))),"",ROUND(C88*$L$5,2))</f>
        <v/>
      </c>
      <c r="G88" s="225">
        <f>IF(OR(A88="",C88="",NOT(ISNUMBER($L$6))),"",ROUND(C88*$L$6,2))</f>
        <v/>
      </c>
      <c r="H88" s="292">
        <f>IF(OR(A88="",C88="",C88=0,NOT(ISNUMBER($L$6))),"",ROUND($L$6-1,4))</f>
        <v/>
      </c>
      <c r="I88" s="19" t="n"/>
      <c r="J88" s="19" t="n"/>
      <c r="K88" s="19" t="n"/>
      <c r="L88" s="19" t="n"/>
      <c r="M88" s="19" t="n"/>
      <c r="N88" s="19" t="n"/>
      <c r="O88" s="19" t="n"/>
    </row>
    <row r="89">
      <c r="A89" s="233">
        <f>IF(itens_Remanesc!A89="","",itens_Remanesc!A89)</f>
        <v/>
      </c>
      <c r="B89" s="231">
        <f>IF(itens_Remanesc!A89="","",itens_Remanesc!B89)</f>
        <v/>
      </c>
      <c r="C89" s="225">
        <f>IF(itens_Remanesc!A89="","",itens_Remanesc!C89)</f>
        <v/>
      </c>
      <c r="D89" s="225">
        <f>IF(OR(A89="",C89="",NOT(ISNUMBER($L$3))),"",ROUND(C89*$L$3,2))</f>
        <v/>
      </c>
      <c r="E89" s="225">
        <f>IF(OR(A89="",C89="",NOT(ISNUMBER($L$4))),"",ROUND(C89*$L$4,2))</f>
        <v/>
      </c>
      <c r="F89" s="225">
        <f>IF(OR(A89="",C89="",NOT(ISNUMBER($L$5))),"",ROUND(C89*$L$5,2))</f>
        <v/>
      </c>
      <c r="G89" s="225">
        <f>IF(OR(A89="",C89="",NOT(ISNUMBER($L$6))),"",ROUND(C89*$L$6,2))</f>
        <v/>
      </c>
      <c r="H89" s="292">
        <f>IF(OR(A89="",C89="",C89=0,NOT(ISNUMBER($L$6))),"",ROUND($L$6-1,4))</f>
        <v/>
      </c>
      <c r="I89" s="19" t="n"/>
      <c r="J89" s="19" t="n"/>
      <c r="K89" s="19" t="n"/>
      <c r="L89" s="19" t="n"/>
      <c r="M89" s="19" t="n"/>
      <c r="N89" s="19" t="n"/>
      <c r="O89" s="19" t="n"/>
    </row>
    <row r="90">
      <c r="A90" s="233">
        <f>IF(itens_Remanesc!A90="","",itens_Remanesc!A90)</f>
        <v/>
      </c>
      <c r="B90" s="231">
        <f>IF(itens_Remanesc!A90="","",itens_Remanesc!B90)</f>
        <v/>
      </c>
      <c r="C90" s="225">
        <f>IF(itens_Remanesc!A90="","",itens_Remanesc!C90)</f>
        <v/>
      </c>
      <c r="D90" s="225">
        <f>IF(OR(A90="",C90="",NOT(ISNUMBER($L$3))),"",ROUND(C90*$L$3,2))</f>
        <v/>
      </c>
      <c r="E90" s="225">
        <f>IF(OR(A90="",C90="",NOT(ISNUMBER($L$4))),"",ROUND(C90*$L$4,2))</f>
        <v/>
      </c>
      <c r="F90" s="225">
        <f>IF(OR(A90="",C90="",NOT(ISNUMBER($L$5))),"",ROUND(C90*$L$5,2))</f>
        <v/>
      </c>
      <c r="G90" s="225">
        <f>IF(OR(A90="",C90="",NOT(ISNUMBER($L$6))),"",ROUND(C90*$L$6,2))</f>
        <v/>
      </c>
      <c r="H90" s="292">
        <f>IF(OR(A90="",C90="",C90=0,NOT(ISNUMBER($L$6))),"",ROUND($L$6-1,4))</f>
        <v/>
      </c>
      <c r="I90" s="19" t="n"/>
      <c r="J90" s="19" t="n"/>
      <c r="K90" s="19" t="n"/>
      <c r="L90" s="19" t="n"/>
      <c r="M90" s="19" t="n"/>
      <c r="N90" s="19" t="n"/>
      <c r="O90" s="19" t="n"/>
    </row>
    <row r="91">
      <c r="A91" s="233">
        <f>IF(itens_Remanesc!A91="","",itens_Remanesc!A91)</f>
        <v/>
      </c>
      <c r="B91" s="231">
        <f>IF(itens_Remanesc!A91="","",itens_Remanesc!B91)</f>
        <v/>
      </c>
      <c r="C91" s="225">
        <f>IF(itens_Remanesc!A91="","",itens_Remanesc!C91)</f>
        <v/>
      </c>
      <c r="D91" s="225">
        <f>IF(OR(A91="",C91="",NOT(ISNUMBER($L$3))),"",ROUND(C91*$L$3,2))</f>
        <v/>
      </c>
      <c r="E91" s="225">
        <f>IF(OR(A91="",C91="",NOT(ISNUMBER($L$4))),"",ROUND(C91*$L$4,2))</f>
        <v/>
      </c>
      <c r="F91" s="225">
        <f>IF(OR(A91="",C91="",NOT(ISNUMBER($L$5))),"",ROUND(C91*$L$5,2))</f>
        <v/>
      </c>
      <c r="G91" s="225">
        <f>IF(OR(A91="",C91="",NOT(ISNUMBER($L$6))),"",ROUND(C91*$L$6,2))</f>
        <v/>
      </c>
      <c r="H91" s="292">
        <f>IF(OR(A91="",C91="",C91=0,NOT(ISNUMBER($L$6))),"",ROUND($L$6-1,4))</f>
        <v/>
      </c>
      <c r="I91" s="19" t="n"/>
      <c r="J91" s="19" t="n"/>
      <c r="K91" s="19" t="n"/>
      <c r="L91" s="19" t="n"/>
      <c r="M91" s="19" t="n"/>
      <c r="N91" s="19" t="n"/>
      <c r="O91" s="19" t="n"/>
    </row>
    <row r="92">
      <c r="A92" s="233">
        <f>IF(itens_Remanesc!A92="","",itens_Remanesc!A92)</f>
        <v/>
      </c>
      <c r="B92" s="231">
        <f>IF(itens_Remanesc!A92="","",itens_Remanesc!B92)</f>
        <v/>
      </c>
      <c r="C92" s="225">
        <f>IF(itens_Remanesc!A92="","",itens_Remanesc!C92)</f>
        <v/>
      </c>
      <c r="D92" s="225">
        <f>IF(OR(A92="",C92="",NOT(ISNUMBER($L$3))),"",ROUND(C92*$L$3,2))</f>
        <v/>
      </c>
      <c r="E92" s="225">
        <f>IF(OR(A92="",C92="",NOT(ISNUMBER($L$4))),"",ROUND(C92*$L$4,2))</f>
        <v/>
      </c>
      <c r="F92" s="225">
        <f>IF(OR(A92="",C92="",NOT(ISNUMBER($L$5))),"",ROUND(C92*$L$5,2))</f>
        <v/>
      </c>
      <c r="G92" s="225">
        <f>IF(OR(A92="",C92="",NOT(ISNUMBER($L$6))),"",ROUND(C92*$L$6,2))</f>
        <v/>
      </c>
      <c r="H92" s="292">
        <f>IF(OR(A92="",C92="",C92=0,NOT(ISNUMBER($L$6))),"",ROUND($L$6-1,4))</f>
        <v/>
      </c>
      <c r="I92" s="19" t="n"/>
      <c r="J92" s="19" t="n"/>
      <c r="K92" s="19" t="n"/>
      <c r="L92" s="19" t="n"/>
      <c r="M92" s="19" t="n"/>
      <c r="N92" s="19" t="n"/>
      <c r="O92" s="19" t="n"/>
    </row>
    <row r="93">
      <c r="A93" s="233">
        <f>IF(itens_Remanesc!A93="","",itens_Remanesc!A93)</f>
        <v/>
      </c>
      <c r="B93" s="231">
        <f>IF(itens_Remanesc!A93="","",itens_Remanesc!B93)</f>
        <v/>
      </c>
      <c r="C93" s="225">
        <f>IF(itens_Remanesc!A93="","",itens_Remanesc!C93)</f>
        <v/>
      </c>
      <c r="D93" s="225">
        <f>IF(OR(A93="",C93="",NOT(ISNUMBER($L$3))),"",ROUND(C93*$L$3,2))</f>
        <v/>
      </c>
      <c r="E93" s="225">
        <f>IF(OR(A93="",C93="",NOT(ISNUMBER($L$4))),"",ROUND(C93*$L$4,2))</f>
        <v/>
      </c>
      <c r="F93" s="225">
        <f>IF(OR(A93="",C93="",NOT(ISNUMBER($L$5))),"",ROUND(C93*$L$5,2))</f>
        <v/>
      </c>
      <c r="G93" s="225">
        <f>IF(OR(A93="",C93="",NOT(ISNUMBER($L$6))),"",ROUND(C93*$L$6,2))</f>
        <v/>
      </c>
      <c r="H93" s="292">
        <f>IF(OR(A93="",C93="",C93=0,NOT(ISNUMBER($L$6))),"",ROUND($L$6-1,4))</f>
        <v/>
      </c>
      <c r="I93" s="19" t="n"/>
      <c r="J93" s="19" t="n"/>
      <c r="K93" s="19" t="n"/>
      <c r="L93" s="19" t="n"/>
      <c r="M93" s="19" t="n"/>
      <c r="N93" s="19" t="n"/>
      <c r="O93" s="19" t="n"/>
    </row>
    <row r="94">
      <c r="A94" s="233">
        <f>IF(itens_Remanesc!A94="","",itens_Remanesc!A94)</f>
        <v/>
      </c>
      <c r="B94" s="231">
        <f>IF(itens_Remanesc!A94="","",itens_Remanesc!B94)</f>
        <v/>
      </c>
      <c r="C94" s="225">
        <f>IF(itens_Remanesc!A94="","",itens_Remanesc!C94)</f>
        <v/>
      </c>
      <c r="D94" s="225">
        <f>IF(OR(A94="",C94="",NOT(ISNUMBER($L$3))),"",ROUND(C94*$L$3,2))</f>
        <v/>
      </c>
      <c r="E94" s="225">
        <f>IF(OR(A94="",C94="",NOT(ISNUMBER($L$4))),"",ROUND(C94*$L$4,2))</f>
        <v/>
      </c>
      <c r="F94" s="225">
        <f>IF(OR(A94="",C94="",NOT(ISNUMBER($L$5))),"",ROUND(C94*$L$5,2))</f>
        <v/>
      </c>
      <c r="G94" s="225">
        <f>IF(OR(A94="",C94="",NOT(ISNUMBER($L$6))),"",ROUND(C94*$L$6,2))</f>
        <v/>
      </c>
      <c r="H94" s="292">
        <f>IF(OR(A94="",C94="",C94=0,NOT(ISNUMBER($L$6))),"",ROUND($L$6-1,4))</f>
        <v/>
      </c>
      <c r="I94" s="19" t="n"/>
      <c r="J94" s="19" t="n"/>
      <c r="K94" s="19" t="n"/>
      <c r="L94" s="19" t="n"/>
      <c r="M94" s="19" t="n"/>
      <c r="N94" s="19" t="n"/>
      <c r="O94" s="19" t="n"/>
    </row>
    <row r="95">
      <c r="A95" s="233">
        <f>IF(itens_Remanesc!A95="","",itens_Remanesc!A95)</f>
        <v/>
      </c>
      <c r="B95" s="231">
        <f>IF(itens_Remanesc!A95="","",itens_Remanesc!B95)</f>
        <v/>
      </c>
      <c r="C95" s="225">
        <f>IF(itens_Remanesc!A95="","",itens_Remanesc!C95)</f>
        <v/>
      </c>
      <c r="D95" s="225">
        <f>IF(OR(A95="",C95="",NOT(ISNUMBER($L$3))),"",ROUND(C95*$L$3,2))</f>
        <v/>
      </c>
      <c r="E95" s="225">
        <f>IF(OR(A95="",C95="",NOT(ISNUMBER($L$4))),"",ROUND(C95*$L$4,2))</f>
        <v/>
      </c>
      <c r="F95" s="225">
        <f>IF(OR(A95="",C95="",NOT(ISNUMBER($L$5))),"",ROUND(C95*$L$5,2))</f>
        <v/>
      </c>
      <c r="G95" s="225">
        <f>IF(OR(A95="",C95="",NOT(ISNUMBER($L$6))),"",ROUND(C95*$L$6,2))</f>
        <v/>
      </c>
      <c r="H95" s="292">
        <f>IF(OR(A95="",C95="",C95=0,NOT(ISNUMBER($L$6))),"",ROUND($L$6-1,4))</f>
        <v/>
      </c>
      <c r="I95" s="19" t="n"/>
      <c r="J95" s="19" t="n"/>
      <c r="K95" s="19" t="n"/>
      <c r="L95" s="19" t="n"/>
      <c r="M95" s="19" t="n"/>
      <c r="N95" s="19" t="n"/>
      <c r="O95" s="19" t="n"/>
    </row>
    <row r="96">
      <c r="A96" s="233">
        <f>IF(itens_Remanesc!A96="","",itens_Remanesc!A96)</f>
        <v/>
      </c>
      <c r="B96" s="231">
        <f>IF(itens_Remanesc!A96="","",itens_Remanesc!B96)</f>
        <v/>
      </c>
      <c r="C96" s="225">
        <f>IF(itens_Remanesc!A96="","",itens_Remanesc!C96)</f>
        <v/>
      </c>
      <c r="D96" s="225">
        <f>IF(OR(A96="",C96="",NOT(ISNUMBER($L$3))),"",ROUND(C96*$L$3,2))</f>
        <v/>
      </c>
      <c r="E96" s="225">
        <f>IF(OR(A96="",C96="",NOT(ISNUMBER($L$4))),"",ROUND(C96*$L$4,2))</f>
        <v/>
      </c>
      <c r="F96" s="225">
        <f>IF(OR(A96="",C96="",NOT(ISNUMBER($L$5))),"",ROUND(C96*$L$5,2))</f>
        <v/>
      </c>
      <c r="G96" s="225">
        <f>IF(OR(A96="",C96="",NOT(ISNUMBER($L$6))),"",ROUND(C96*$L$6,2))</f>
        <v/>
      </c>
      <c r="H96" s="292">
        <f>IF(OR(A96="",C96="",C96=0,NOT(ISNUMBER($L$6))),"",ROUND($L$6-1,4))</f>
        <v/>
      </c>
      <c r="I96" s="19" t="n"/>
      <c r="J96" s="19" t="n"/>
      <c r="K96" s="19" t="n"/>
      <c r="L96" s="19" t="n"/>
      <c r="M96" s="19" t="n"/>
      <c r="N96" s="19" t="n"/>
      <c r="O96" s="19" t="n"/>
    </row>
    <row r="97">
      <c r="A97" s="233">
        <f>IF(itens_Remanesc!A97="","",itens_Remanesc!A97)</f>
        <v/>
      </c>
      <c r="B97" s="231">
        <f>IF(itens_Remanesc!A97="","",itens_Remanesc!B97)</f>
        <v/>
      </c>
      <c r="C97" s="225">
        <f>IF(itens_Remanesc!A97="","",itens_Remanesc!C97)</f>
        <v/>
      </c>
      <c r="D97" s="225">
        <f>IF(OR(A97="",C97="",NOT(ISNUMBER($L$3))),"",ROUND(C97*$L$3,2))</f>
        <v/>
      </c>
      <c r="E97" s="225">
        <f>IF(OR(A97="",C97="",NOT(ISNUMBER($L$4))),"",ROUND(C97*$L$4,2))</f>
        <v/>
      </c>
      <c r="F97" s="225">
        <f>IF(OR(A97="",C97="",NOT(ISNUMBER($L$5))),"",ROUND(C97*$L$5,2))</f>
        <v/>
      </c>
      <c r="G97" s="225">
        <f>IF(OR(A97="",C97="",NOT(ISNUMBER($L$6))),"",ROUND(C97*$L$6,2))</f>
        <v/>
      </c>
      <c r="H97" s="292">
        <f>IF(OR(A97="",C97="",C97=0,NOT(ISNUMBER($L$6))),"",ROUND($L$6-1,4))</f>
        <v/>
      </c>
      <c r="I97" s="19" t="n"/>
      <c r="J97" s="19" t="n"/>
      <c r="K97" s="19" t="n"/>
      <c r="L97" s="19" t="n"/>
      <c r="M97" s="19" t="n"/>
      <c r="N97" s="19" t="n"/>
      <c r="O97" s="19" t="n"/>
    </row>
    <row r="98">
      <c r="A98" s="233">
        <f>IF(itens_Remanesc!A98="","",itens_Remanesc!A98)</f>
        <v/>
      </c>
      <c r="B98" s="231">
        <f>IF(itens_Remanesc!A98="","",itens_Remanesc!B98)</f>
        <v/>
      </c>
      <c r="C98" s="225">
        <f>IF(itens_Remanesc!A98="","",itens_Remanesc!C98)</f>
        <v/>
      </c>
      <c r="D98" s="225">
        <f>IF(OR(A98="",C98="",NOT(ISNUMBER($L$3))),"",ROUND(C98*$L$3,2))</f>
        <v/>
      </c>
      <c r="E98" s="225">
        <f>IF(OR(A98="",C98="",NOT(ISNUMBER($L$4))),"",ROUND(C98*$L$4,2))</f>
        <v/>
      </c>
      <c r="F98" s="225">
        <f>IF(OR(A98="",C98="",NOT(ISNUMBER($L$5))),"",ROUND(C98*$L$5,2))</f>
        <v/>
      </c>
      <c r="G98" s="225">
        <f>IF(OR(A98="",C98="",NOT(ISNUMBER($L$6))),"",ROUND(C98*$L$6,2))</f>
        <v/>
      </c>
      <c r="H98" s="292">
        <f>IF(OR(A98="",C98="",C98=0,NOT(ISNUMBER($L$6))),"",ROUND($L$6-1,4))</f>
        <v/>
      </c>
      <c r="I98" s="19" t="n"/>
      <c r="J98" s="19" t="n"/>
      <c r="K98" s="19" t="n"/>
      <c r="L98" s="19" t="n"/>
      <c r="M98" s="19" t="n"/>
      <c r="N98" s="19" t="n"/>
      <c r="O98" s="19" t="n"/>
    </row>
    <row r="99">
      <c r="A99" s="233">
        <f>IF(itens_Remanesc!A99="","",itens_Remanesc!A99)</f>
        <v/>
      </c>
      <c r="B99" s="231">
        <f>IF(itens_Remanesc!A99="","",itens_Remanesc!B99)</f>
        <v/>
      </c>
      <c r="C99" s="225">
        <f>IF(itens_Remanesc!A99="","",itens_Remanesc!C99)</f>
        <v/>
      </c>
      <c r="D99" s="225">
        <f>IF(OR(A99="",C99="",NOT(ISNUMBER($L$3))),"",ROUND(C99*$L$3,2))</f>
        <v/>
      </c>
      <c r="E99" s="225">
        <f>IF(OR(A99="",C99="",NOT(ISNUMBER($L$4))),"",ROUND(C99*$L$4,2))</f>
        <v/>
      </c>
      <c r="F99" s="225">
        <f>IF(OR(A99="",C99="",NOT(ISNUMBER($L$5))),"",ROUND(C99*$L$5,2))</f>
        <v/>
      </c>
      <c r="G99" s="225">
        <f>IF(OR(A99="",C99="",NOT(ISNUMBER($L$6))),"",ROUND(C99*$L$6,2))</f>
        <v/>
      </c>
      <c r="H99" s="292">
        <f>IF(OR(A99="",C99="",C99=0,NOT(ISNUMBER($L$6))),"",ROUND($L$6-1,4))</f>
        <v/>
      </c>
      <c r="I99" s="19" t="n"/>
      <c r="J99" s="19" t="n"/>
      <c r="K99" s="19" t="n"/>
      <c r="L99" s="19" t="n"/>
      <c r="M99" s="19" t="n"/>
      <c r="N99" s="19" t="n"/>
      <c r="O99" s="19" t="n"/>
    </row>
    <row r="100">
      <c r="A100" s="233">
        <f>IF(itens_Remanesc!A100="","",itens_Remanesc!A100)</f>
        <v/>
      </c>
      <c r="B100" s="231">
        <f>IF(itens_Remanesc!A100="","",itens_Remanesc!B100)</f>
        <v/>
      </c>
      <c r="C100" s="225">
        <f>IF(itens_Remanesc!A100="","",itens_Remanesc!C100)</f>
        <v/>
      </c>
      <c r="D100" s="225">
        <f>IF(OR(A100="",C100="",NOT(ISNUMBER($L$3))),"",ROUND(C100*$L$3,2))</f>
        <v/>
      </c>
      <c r="E100" s="225">
        <f>IF(OR(A100="",C100="",NOT(ISNUMBER($L$4))),"",ROUND(C100*$L$4,2))</f>
        <v/>
      </c>
      <c r="F100" s="225">
        <f>IF(OR(A100="",C100="",NOT(ISNUMBER($L$5))),"",ROUND(C100*$L$5,2))</f>
        <v/>
      </c>
      <c r="G100" s="225">
        <f>IF(OR(A100="",C100="",NOT(ISNUMBER($L$6))),"",ROUND(C100*$L$6,2))</f>
        <v/>
      </c>
      <c r="H100" s="292">
        <f>IF(OR(A100="",C100="",C100=0,NOT(ISNUMBER($L$6))),"",ROUND($L$6-1,4))</f>
        <v/>
      </c>
      <c r="I100" s="19" t="n"/>
      <c r="J100" s="19" t="n"/>
      <c r="K100" s="19" t="n"/>
      <c r="L100" s="19" t="n"/>
      <c r="M100" s="19" t="n"/>
      <c r="N100" s="19" t="n"/>
      <c r="O100" s="19" t="n"/>
    </row>
    <row r="101">
      <c r="A101" s="233">
        <f>IF(itens_Remanesc!A101="","",itens_Remanesc!A101)</f>
        <v/>
      </c>
      <c r="B101" s="231">
        <f>IF(itens_Remanesc!A101="","",itens_Remanesc!B101)</f>
        <v/>
      </c>
      <c r="C101" s="225">
        <f>IF(itens_Remanesc!A101="","",itens_Remanesc!C101)</f>
        <v/>
      </c>
      <c r="D101" s="225">
        <f>IF(OR(A101="",C101="",NOT(ISNUMBER($L$3))),"",ROUND(C101*$L$3,2))</f>
        <v/>
      </c>
      <c r="E101" s="225">
        <f>IF(OR(A101="",C101="",NOT(ISNUMBER($L$4))),"",ROUND(C101*$L$4,2))</f>
        <v/>
      </c>
      <c r="F101" s="225">
        <f>IF(OR(A101="",C101="",NOT(ISNUMBER($L$5))),"",ROUND(C101*$L$5,2))</f>
        <v/>
      </c>
      <c r="G101" s="225">
        <f>IF(OR(A101="",C101="",NOT(ISNUMBER($L$6))),"",ROUND(C101*$L$6,2))</f>
        <v/>
      </c>
      <c r="H101" s="292">
        <f>IF(OR(A101="",C101="",C101=0,NOT(ISNUMBER($L$6))),"",ROUND($L$6-1,4))</f>
        <v/>
      </c>
      <c r="I101" s="17" t="n"/>
      <c r="J101" s="17" t="n"/>
      <c r="K101" s="17" t="n"/>
      <c r="L101" s="17" t="n"/>
      <c r="M101" s="17" t="n"/>
      <c r="N101" s="17" t="n"/>
      <c r="O101" s="17" t="n"/>
    </row>
    <row r="102">
      <c r="A102" s="233">
        <f>IF(itens_Remanesc!A102="","",itens_Remanesc!A102)</f>
        <v/>
      </c>
      <c r="B102" s="231">
        <f>IF(itens_Remanesc!A102="","",itens_Remanesc!B102)</f>
        <v/>
      </c>
      <c r="C102" s="225">
        <f>IF(itens_Remanesc!A102="","",itens_Remanesc!C102)</f>
        <v/>
      </c>
      <c r="D102" s="225">
        <f>IF(OR(A102="",C102="",NOT(ISNUMBER($L$3))),"",ROUND(C102*$L$3,2))</f>
        <v/>
      </c>
      <c r="E102" s="225">
        <f>IF(OR(A102="",C102="",NOT(ISNUMBER($L$4))),"",ROUND(C102*$L$4,2))</f>
        <v/>
      </c>
      <c r="F102" s="225">
        <f>IF(OR(A102="",C102="",NOT(ISNUMBER($L$5))),"",ROUND(C102*$L$5,2))</f>
        <v/>
      </c>
      <c r="G102" s="225">
        <f>IF(OR(A102="",C102="",NOT(ISNUMBER($L$6))),"",ROUND(C102*$L$6,2))</f>
        <v/>
      </c>
      <c r="H102" s="292">
        <f>IF(OR(A102="",C102="",C102=0,NOT(ISNUMBER($L$6))),"",ROUND($L$6-1,4))</f>
        <v/>
      </c>
      <c r="I102" s="17" t="n"/>
      <c r="J102" s="17" t="n"/>
      <c r="K102" s="17" t="n"/>
      <c r="L102" s="17" t="n"/>
      <c r="M102" s="17" t="n"/>
      <c r="N102" s="17" t="n"/>
      <c r="O102" s="17" t="n"/>
    </row>
    <row r="103">
      <c r="A103" s="233">
        <f>IF(itens_Remanesc!A103="","",itens_Remanesc!A103)</f>
        <v/>
      </c>
      <c r="B103" s="231">
        <f>IF(itens_Remanesc!A103="","",itens_Remanesc!B103)</f>
        <v/>
      </c>
      <c r="C103" s="225">
        <f>IF(itens_Remanesc!A103="","",itens_Remanesc!C103)</f>
        <v/>
      </c>
      <c r="D103" s="225">
        <f>IF(OR(A103="",C103="",NOT(ISNUMBER($L$3))),"",ROUND(C103*$L$3,2))</f>
        <v/>
      </c>
      <c r="E103" s="225">
        <f>IF(OR(A103="",C103="",NOT(ISNUMBER($L$4))),"",ROUND(C103*$L$4,2))</f>
        <v/>
      </c>
      <c r="F103" s="225">
        <f>IF(OR(A103="",C103="",NOT(ISNUMBER($L$5))),"",ROUND(C103*$L$5,2))</f>
        <v/>
      </c>
      <c r="G103" s="225">
        <f>IF(OR(A103="",C103="",NOT(ISNUMBER($L$6))),"",ROUND(C103*$L$6,2))</f>
        <v/>
      </c>
      <c r="H103" s="292">
        <f>IF(OR(A103="",C103="",C103=0,NOT(ISNUMBER($L$6))),"",ROUND($L$6-1,4))</f>
        <v/>
      </c>
      <c r="I103" s="17" t="n"/>
      <c r="J103" s="17" t="n"/>
      <c r="K103" s="17" t="n"/>
      <c r="L103" s="17" t="n"/>
      <c r="M103" s="17" t="n"/>
      <c r="N103" s="17" t="n"/>
      <c r="O103" s="17" t="n"/>
    </row>
    <row r="104">
      <c r="A104" s="233">
        <f>IF(itens_Remanesc!A104="","",itens_Remanesc!A104)</f>
        <v/>
      </c>
      <c r="B104" s="231">
        <f>IF(itens_Remanesc!A104="","",itens_Remanesc!B104)</f>
        <v/>
      </c>
      <c r="C104" s="225">
        <f>IF(itens_Remanesc!A104="","",itens_Remanesc!C104)</f>
        <v/>
      </c>
      <c r="D104" s="225">
        <f>IF(OR(A104="",C104="",NOT(ISNUMBER($L$3))),"",ROUND(C104*$L$3,2))</f>
        <v/>
      </c>
      <c r="E104" s="225">
        <f>IF(OR(A104="",C104="",NOT(ISNUMBER($L$4))),"",ROUND(C104*$L$4,2))</f>
        <v/>
      </c>
      <c r="F104" s="225">
        <f>IF(OR(A104="",C104="",NOT(ISNUMBER($L$5))),"",ROUND(C104*$L$5,2))</f>
        <v/>
      </c>
      <c r="G104" s="225">
        <f>IF(OR(A104="",C104="",NOT(ISNUMBER($L$6))),"",ROUND(C104*$L$6,2))</f>
        <v/>
      </c>
      <c r="H104" s="292">
        <f>IF(OR(A104="",C104="",C104=0,NOT(ISNUMBER($L$6))),"",ROUND($L$6-1,4))</f>
        <v/>
      </c>
      <c r="I104" s="17" t="n"/>
      <c r="J104" s="17" t="n"/>
      <c r="K104" s="17" t="n"/>
      <c r="L104" s="17" t="n"/>
      <c r="M104" s="17" t="n"/>
      <c r="N104" s="17" t="n"/>
      <c r="O104" s="17" t="n"/>
    </row>
    <row r="105">
      <c r="A105" s="233">
        <f>IF(itens_Remanesc!A105="","",itens_Remanesc!A105)</f>
        <v/>
      </c>
      <c r="B105" s="231">
        <f>IF(itens_Remanesc!A105="","",itens_Remanesc!B105)</f>
        <v/>
      </c>
      <c r="C105" s="225">
        <f>IF(itens_Remanesc!A105="","",itens_Remanesc!C105)</f>
        <v/>
      </c>
      <c r="D105" s="225">
        <f>IF(OR(A105="",C105="",NOT(ISNUMBER($L$3))),"",ROUND(C105*$L$3,2))</f>
        <v/>
      </c>
      <c r="E105" s="225">
        <f>IF(OR(A105="",C105="",NOT(ISNUMBER($L$4))),"",ROUND(C105*$L$4,2))</f>
        <v/>
      </c>
      <c r="F105" s="225">
        <f>IF(OR(A105="",C105="",NOT(ISNUMBER($L$5))),"",ROUND(C105*$L$5,2))</f>
        <v/>
      </c>
      <c r="G105" s="225">
        <f>IF(OR(A105="",C105="",NOT(ISNUMBER($L$6))),"",ROUND(C105*$L$6,2))</f>
        <v/>
      </c>
      <c r="H105" s="292">
        <f>IF(OR(A105="",C105="",C105=0,NOT(ISNUMBER($L$6))),"",ROUND($L$6-1,4))</f>
        <v/>
      </c>
      <c r="I105" s="17" t="n"/>
      <c r="J105" s="17" t="n"/>
      <c r="K105" s="17" t="n"/>
      <c r="L105" s="17" t="n"/>
      <c r="M105" s="17" t="n"/>
      <c r="N105" s="17" t="n"/>
      <c r="O105" s="17" t="n"/>
    </row>
    <row r="106">
      <c r="A106" s="233">
        <f>IF(itens_Remanesc!A106="","",itens_Remanesc!A106)</f>
        <v/>
      </c>
      <c r="B106" s="231">
        <f>IF(itens_Remanesc!A106="","",itens_Remanesc!B106)</f>
        <v/>
      </c>
      <c r="C106" s="225">
        <f>IF(itens_Remanesc!A106="","",itens_Remanesc!C106)</f>
        <v/>
      </c>
      <c r="D106" s="225">
        <f>IF(OR(A106="",C106="",NOT(ISNUMBER($L$3))),"",ROUND(C106*$L$3,2))</f>
        <v/>
      </c>
      <c r="E106" s="225">
        <f>IF(OR(A106="",C106="",NOT(ISNUMBER($L$4))),"",ROUND(C106*$L$4,2))</f>
        <v/>
      </c>
      <c r="F106" s="225">
        <f>IF(OR(A106="",C106="",NOT(ISNUMBER($L$5))),"",ROUND(C106*$L$5,2))</f>
        <v/>
      </c>
      <c r="G106" s="225">
        <f>IF(OR(A106="",C106="",NOT(ISNUMBER($L$6))),"",ROUND(C106*$L$6,2))</f>
        <v/>
      </c>
      <c r="H106" s="292">
        <f>IF(OR(A106="",C106="",C106=0,NOT(ISNUMBER($L$6))),"",ROUND($L$6-1,4))</f>
        <v/>
      </c>
      <c r="I106" s="17" t="n"/>
      <c r="J106" s="17" t="n"/>
      <c r="K106" s="17" t="n"/>
      <c r="L106" s="17" t="n"/>
      <c r="M106" s="17" t="n"/>
      <c r="N106" s="17" t="n"/>
      <c r="O106" s="17" t="n"/>
    </row>
    <row r="107">
      <c r="A107" s="233">
        <f>IF(itens_Remanesc!A107="","",itens_Remanesc!A107)</f>
        <v/>
      </c>
      <c r="B107" s="231">
        <f>IF(itens_Remanesc!A107="","",itens_Remanesc!B107)</f>
        <v/>
      </c>
      <c r="C107" s="225">
        <f>IF(itens_Remanesc!A107="","",itens_Remanesc!C107)</f>
        <v/>
      </c>
      <c r="D107" s="225">
        <f>IF(OR(A107="",C107="",NOT(ISNUMBER($L$3))),"",ROUND(C107*$L$3,2))</f>
        <v/>
      </c>
      <c r="E107" s="225">
        <f>IF(OR(A107="",C107="",NOT(ISNUMBER($L$4))),"",ROUND(C107*$L$4,2))</f>
        <v/>
      </c>
      <c r="F107" s="225">
        <f>IF(OR(A107="",C107="",NOT(ISNUMBER($L$5))),"",ROUND(C107*$L$5,2))</f>
        <v/>
      </c>
      <c r="G107" s="225">
        <f>IF(OR(A107="",C107="",NOT(ISNUMBER($L$6))),"",ROUND(C107*$L$6,2))</f>
        <v/>
      </c>
      <c r="H107" s="292">
        <f>IF(OR(A107="",C107="",C107=0,NOT(ISNUMBER($L$6))),"",ROUND($L$6-1,4))</f>
        <v/>
      </c>
      <c r="I107" s="17" t="n"/>
      <c r="J107" s="17" t="n"/>
      <c r="K107" s="17" t="n"/>
      <c r="L107" s="17" t="n"/>
      <c r="M107" s="17" t="n"/>
      <c r="N107" s="17" t="n"/>
      <c r="O107" s="17" t="n"/>
    </row>
    <row r="108">
      <c r="A108" s="233">
        <f>IF(itens_Remanesc!A108="","",itens_Remanesc!A108)</f>
        <v/>
      </c>
      <c r="B108" s="231">
        <f>IF(itens_Remanesc!A108="","",itens_Remanesc!B108)</f>
        <v/>
      </c>
      <c r="C108" s="225">
        <f>IF(itens_Remanesc!A108="","",itens_Remanesc!C108)</f>
        <v/>
      </c>
      <c r="D108" s="225">
        <f>IF(OR(A108="",C108="",NOT(ISNUMBER($L$3))),"",ROUND(C108*$L$3,2))</f>
        <v/>
      </c>
      <c r="E108" s="225">
        <f>IF(OR(A108="",C108="",NOT(ISNUMBER($L$4))),"",ROUND(C108*$L$4,2))</f>
        <v/>
      </c>
      <c r="F108" s="225">
        <f>IF(OR(A108="",C108="",NOT(ISNUMBER($L$5))),"",ROUND(C108*$L$5,2))</f>
        <v/>
      </c>
      <c r="G108" s="225">
        <f>IF(OR(A108="",C108="",NOT(ISNUMBER($L$6))),"",ROUND(C108*$L$6,2))</f>
        <v/>
      </c>
      <c r="H108" s="292">
        <f>IF(OR(A108="",C108="",C108=0,NOT(ISNUMBER($L$6))),"",ROUND($L$6-1,4))</f>
        <v/>
      </c>
      <c r="I108" s="17" t="n"/>
      <c r="J108" s="17" t="n"/>
      <c r="K108" s="17" t="n"/>
      <c r="L108" s="17" t="n"/>
      <c r="M108" s="17" t="n"/>
      <c r="N108" s="17" t="n"/>
      <c r="O108" s="17" t="n"/>
    </row>
    <row r="109">
      <c r="A109" s="233">
        <f>IF(itens_Remanesc!A109="","",itens_Remanesc!A109)</f>
        <v/>
      </c>
      <c r="B109" s="231">
        <f>IF(itens_Remanesc!A109="","",itens_Remanesc!B109)</f>
        <v/>
      </c>
      <c r="C109" s="225">
        <f>IF(itens_Remanesc!A109="","",itens_Remanesc!C109)</f>
        <v/>
      </c>
      <c r="D109" s="225">
        <f>IF(OR(A109="",C109="",NOT(ISNUMBER($L$3))),"",ROUND(C109*$L$3,2))</f>
        <v/>
      </c>
      <c r="E109" s="225">
        <f>IF(OR(A109="",C109="",NOT(ISNUMBER($L$4))),"",ROUND(C109*$L$4,2))</f>
        <v/>
      </c>
      <c r="F109" s="225">
        <f>IF(OR(A109="",C109="",NOT(ISNUMBER($L$5))),"",ROUND(C109*$L$5,2))</f>
        <v/>
      </c>
      <c r="G109" s="225">
        <f>IF(OR(A109="",C109="",NOT(ISNUMBER($L$6))),"",ROUND(C109*$L$6,2))</f>
        <v/>
      </c>
      <c r="H109" s="292">
        <f>IF(OR(A109="",C109="",C109=0,NOT(ISNUMBER($L$6))),"",ROUND($L$6-1,4))</f>
        <v/>
      </c>
      <c r="I109" s="17" t="n"/>
      <c r="J109" s="17" t="n"/>
      <c r="K109" s="17" t="n"/>
      <c r="L109" s="17" t="n"/>
      <c r="M109" s="17" t="n"/>
      <c r="N109" s="17" t="n"/>
      <c r="O109" s="17" t="n"/>
    </row>
    <row r="110">
      <c r="A110" s="233">
        <f>IF(itens_Remanesc!A110="","",itens_Remanesc!A110)</f>
        <v/>
      </c>
      <c r="B110" s="231">
        <f>IF(itens_Remanesc!A110="","",itens_Remanesc!B110)</f>
        <v/>
      </c>
      <c r="C110" s="225">
        <f>IF(itens_Remanesc!A110="","",itens_Remanesc!C110)</f>
        <v/>
      </c>
      <c r="D110" s="225">
        <f>IF(OR(A110="",C110="",NOT(ISNUMBER($L$3))),"",ROUND(C110*$L$3,2))</f>
        <v/>
      </c>
      <c r="E110" s="225">
        <f>IF(OR(A110="",C110="",NOT(ISNUMBER($L$4))),"",ROUND(C110*$L$4,2))</f>
        <v/>
      </c>
      <c r="F110" s="225">
        <f>IF(OR(A110="",C110="",NOT(ISNUMBER($L$5))),"",ROUND(C110*$L$5,2))</f>
        <v/>
      </c>
      <c r="G110" s="225">
        <f>IF(OR(A110="",C110="",NOT(ISNUMBER($L$6))),"",ROUND(C110*$L$6,2))</f>
        <v/>
      </c>
      <c r="H110" s="292">
        <f>IF(OR(A110="",C110="",C110=0,NOT(ISNUMBER($L$6))),"",ROUND($L$6-1,4))</f>
        <v/>
      </c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233">
        <f>IF(itens_Remanesc!A111="","",itens_Remanesc!A111)</f>
        <v/>
      </c>
      <c r="B111" s="231">
        <f>IF(itens_Remanesc!A111="","",itens_Remanesc!B111)</f>
        <v/>
      </c>
      <c r="C111" s="225">
        <f>IF(itens_Remanesc!A111="","",itens_Remanesc!C111)</f>
        <v/>
      </c>
      <c r="D111" s="225">
        <f>IF(OR(A111="",C111="",NOT(ISNUMBER($L$3))),"",ROUND(C111*$L$3,2))</f>
        <v/>
      </c>
      <c r="E111" s="225">
        <f>IF(OR(A111="",C111="",NOT(ISNUMBER($L$4))),"",ROUND(C111*$L$4,2))</f>
        <v/>
      </c>
      <c r="F111" s="225">
        <f>IF(OR(A111="",C111="",NOT(ISNUMBER($L$5))),"",ROUND(C111*$L$5,2))</f>
        <v/>
      </c>
      <c r="G111" s="225">
        <f>IF(OR(A111="",C111="",NOT(ISNUMBER($L$6))),"",ROUND(C111*$L$6,2))</f>
        <v/>
      </c>
      <c r="H111" s="292">
        <f>IF(OR(A111="",C111="",C111=0,NOT(ISNUMBER($L$6))),"",ROUND($L$6-1,4))</f>
        <v/>
      </c>
      <c r="I111" s="17" t="n"/>
      <c r="J111" s="17" t="n"/>
      <c r="K111" s="17" t="n"/>
      <c r="L111" s="17" t="n"/>
      <c r="M111" s="17" t="n"/>
      <c r="N111" s="17" t="n"/>
      <c r="O111" s="17" t="n"/>
    </row>
    <row r="112">
      <c r="A112" s="233">
        <f>IF(itens_Remanesc!A112="","",itens_Remanesc!A112)</f>
        <v/>
      </c>
      <c r="B112" s="231">
        <f>IF(itens_Remanesc!A112="","",itens_Remanesc!B112)</f>
        <v/>
      </c>
      <c r="C112" s="225">
        <f>IF(itens_Remanesc!A112="","",itens_Remanesc!C112)</f>
        <v/>
      </c>
      <c r="D112" s="225">
        <f>IF(OR(A112="",C112="",NOT(ISNUMBER($L$3))),"",ROUND(C112*$L$3,2))</f>
        <v/>
      </c>
      <c r="E112" s="225">
        <f>IF(OR(A112="",C112="",NOT(ISNUMBER($L$4))),"",ROUND(C112*$L$4,2))</f>
        <v/>
      </c>
      <c r="F112" s="225">
        <f>IF(OR(A112="",C112="",NOT(ISNUMBER($L$5))),"",ROUND(C112*$L$5,2))</f>
        <v/>
      </c>
      <c r="G112" s="225">
        <f>IF(OR(A112="",C112="",NOT(ISNUMBER($L$6))),"",ROUND(C112*$L$6,2))</f>
        <v/>
      </c>
      <c r="H112" s="292">
        <f>IF(OR(A112="",C112="",C112=0,NOT(ISNUMBER($L$6))),"",ROUND($L$6-1,4))</f>
        <v/>
      </c>
      <c r="I112" s="17" t="n"/>
      <c r="J112" s="17" t="n"/>
      <c r="K112" s="17" t="n"/>
      <c r="L112" s="17" t="n"/>
      <c r="M112" s="17" t="n"/>
      <c r="N112" s="17" t="n"/>
      <c r="O112" s="17" t="n"/>
    </row>
    <row r="113">
      <c r="A113" s="233">
        <f>IF(itens_Remanesc!A113="","",itens_Remanesc!A113)</f>
        <v/>
      </c>
      <c r="B113" s="231">
        <f>IF(itens_Remanesc!A113="","",itens_Remanesc!B113)</f>
        <v/>
      </c>
      <c r="C113" s="225">
        <f>IF(itens_Remanesc!A113="","",itens_Remanesc!C113)</f>
        <v/>
      </c>
      <c r="D113" s="225">
        <f>IF(OR(A113="",C113="",NOT(ISNUMBER($L$3))),"",ROUND(C113*$L$3,2))</f>
        <v/>
      </c>
      <c r="E113" s="225">
        <f>IF(OR(A113="",C113="",NOT(ISNUMBER($L$4))),"",ROUND(C113*$L$4,2))</f>
        <v/>
      </c>
      <c r="F113" s="225">
        <f>IF(OR(A113="",C113="",NOT(ISNUMBER($L$5))),"",ROUND(C113*$L$5,2))</f>
        <v/>
      </c>
      <c r="G113" s="225">
        <f>IF(OR(A113="",C113="",NOT(ISNUMBER($L$6))),"",ROUND(C113*$L$6,2))</f>
        <v/>
      </c>
      <c r="H113" s="292">
        <f>IF(OR(A113="",C113="",C113=0,NOT(ISNUMBER($L$6))),"",ROUND($L$6-1,4))</f>
        <v/>
      </c>
      <c r="I113" s="17" t="n"/>
      <c r="J113" s="17" t="n"/>
      <c r="K113" s="17" t="n"/>
      <c r="L113" s="17" t="n"/>
      <c r="M113" s="17" t="n"/>
      <c r="N113" s="17" t="n"/>
      <c r="O113" s="17" t="n"/>
    </row>
    <row r="114">
      <c r="A114" s="233">
        <f>IF(itens_Remanesc!A114="","",itens_Remanesc!A114)</f>
        <v/>
      </c>
      <c r="B114" s="231">
        <f>IF(itens_Remanesc!A114="","",itens_Remanesc!B114)</f>
        <v/>
      </c>
      <c r="C114" s="225">
        <f>IF(itens_Remanesc!A114="","",itens_Remanesc!C114)</f>
        <v/>
      </c>
      <c r="D114" s="225">
        <f>IF(OR(A114="",C114="",NOT(ISNUMBER($L$3))),"",ROUND(C114*$L$3,2))</f>
        <v/>
      </c>
      <c r="E114" s="225">
        <f>IF(OR(A114="",C114="",NOT(ISNUMBER($L$4))),"",ROUND(C114*$L$4,2))</f>
        <v/>
      </c>
      <c r="F114" s="225">
        <f>IF(OR(A114="",C114="",NOT(ISNUMBER($L$5))),"",ROUND(C114*$L$5,2))</f>
        <v/>
      </c>
      <c r="G114" s="225">
        <f>IF(OR(A114="",C114="",NOT(ISNUMBER($L$6))),"",ROUND(C114*$L$6,2))</f>
        <v/>
      </c>
      <c r="H114" s="292">
        <f>IF(OR(A114="",C114="",C114=0,NOT(ISNUMBER($L$6))),"",ROUND($L$6-1,4))</f>
        <v/>
      </c>
      <c r="I114" s="17" t="n"/>
      <c r="J114" s="17" t="n"/>
      <c r="K114" s="17" t="n"/>
      <c r="L114" s="17" t="n"/>
      <c r="M114" s="17" t="n"/>
      <c r="N114" s="17" t="n"/>
      <c r="O114" s="17" t="n"/>
    </row>
    <row r="115">
      <c r="A115" s="233">
        <f>IF(itens_Remanesc!A115="","",itens_Remanesc!A115)</f>
        <v/>
      </c>
      <c r="B115" s="231">
        <f>IF(itens_Remanesc!A115="","",itens_Remanesc!B115)</f>
        <v/>
      </c>
      <c r="C115" s="225">
        <f>IF(itens_Remanesc!A115="","",itens_Remanesc!C115)</f>
        <v/>
      </c>
      <c r="D115" s="225">
        <f>IF(OR(A115="",C115="",NOT(ISNUMBER($L$3))),"",ROUND(C115*$L$3,2))</f>
        <v/>
      </c>
      <c r="E115" s="225">
        <f>IF(OR(A115="",C115="",NOT(ISNUMBER($L$4))),"",ROUND(C115*$L$4,2))</f>
        <v/>
      </c>
      <c r="F115" s="225">
        <f>IF(OR(A115="",C115="",NOT(ISNUMBER($L$5))),"",ROUND(C115*$L$5,2))</f>
        <v/>
      </c>
      <c r="G115" s="225">
        <f>IF(OR(A115="",C115="",NOT(ISNUMBER($L$6))),"",ROUND(C115*$L$6,2))</f>
        <v/>
      </c>
      <c r="H115" s="292">
        <f>IF(OR(A115="",C115="",C115=0,NOT(ISNUMBER($L$6))),"",ROUND($L$6-1,4))</f>
        <v/>
      </c>
      <c r="I115" s="17" t="n"/>
      <c r="J115" s="17" t="n"/>
      <c r="K115" s="17" t="n"/>
      <c r="L115" s="17" t="n"/>
      <c r="M115" s="17" t="n"/>
      <c r="N115" s="17" t="n"/>
      <c r="O115" s="17" t="n"/>
    </row>
    <row r="116">
      <c r="A116" s="233">
        <f>IF(itens_Remanesc!A116="","",itens_Remanesc!A116)</f>
        <v/>
      </c>
      <c r="B116" s="231">
        <f>IF(itens_Remanesc!A116="","",itens_Remanesc!B116)</f>
        <v/>
      </c>
      <c r="C116" s="225">
        <f>IF(itens_Remanesc!A116="","",itens_Remanesc!C116)</f>
        <v/>
      </c>
      <c r="D116" s="225">
        <f>IF(OR(A116="",C116="",NOT(ISNUMBER($L$3))),"",ROUND(C116*$L$3,2))</f>
        <v/>
      </c>
      <c r="E116" s="225">
        <f>IF(OR(A116="",C116="",NOT(ISNUMBER($L$4))),"",ROUND(C116*$L$4,2))</f>
        <v/>
      </c>
      <c r="F116" s="225">
        <f>IF(OR(A116="",C116="",NOT(ISNUMBER($L$5))),"",ROUND(C116*$L$5,2))</f>
        <v/>
      </c>
      <c r="G116" s="225">
        <f>IF(OR(A116="",C116="",NOT(ISNUMBER($L$6))),"",ROUND(C116*$L$6,2))</f>
        <v/>
      </c>
      <c r="H116" s="292">
        <f>IF(OR(A116="",C116="",C116=0,NOT(ISNUMBER($L$6))),"",ROUND($L$6-1,4))</f>
        <v/>
      </c>
      <c r="I116" s="17" t="n"/>
      <c r="J116" s="17" t="n"/>
      <c r="K116" s="17" t="n"/>
      <c r="L116" s="17" t="n"/>
      <c r="M116" s="17" t="n"/>
      <c r="N116" s="17" t="n"/>
      <c r="O116" s="17" t="n"/>
    </row>
    <row r="117">
      <c r="A117" s="233">
        <f>IF(itens_Remanesc!A117="","",itens_Remanesc!A117)</f>
        <v/>
      </c>
      <c r="B117" s="231">
        <f>IF(itens_Remanesc!A117="","",itens_Remanesc!B117)</f>
        <v/>
      </c>
      <c r="C117" s="225">
        <f>IF(itens_Remanesc!A117="","",itens_Remanesc!C117)</f>
        <v/>
      </c>
      <c r="D117" s="225">
        <f>IF(OR(A117="",C117="",NOT(ISNUMBER($L$3))),"",ROUND(C117*$L$3,2))</f>
        <v/>
      </c>
      <c r="E117" s="225">
        <f>IF(OR(A117="",C117="",NOT(ISNUMBER($L$4))),"",ROUND(C117*$L$4,2))</f>
        <v/>
      </c>
      <c r="F117" s="225">
        <f>IF(OR(A117="",C117="",NOT(ISNUMBER($L$5))),"",ROUND(C117*$L$5,2))</f>
        <v/>
      </c>
      <c r="G117" s="225">
        <f>IF(OR(A117="",C117="",NOT(ISNUMBER($L$6))),"",ROUND(C117*$L$6,2))</f>
        <v/>
      </c>
      <c r="H117" s="292">
        <f>IF(OR(A117="",C117="",C117=0,NOT(ISNUMBER($L$6))),"",ROUND($L$6-1,4))</f>
        <v/>
      </c>
      <c r="I117" s="17" t="n"/>
      <c r="J117" s="17" t="n"/>
      <c r="K117" s="17" t="n"/>
      <c r="L117" s="17" t="n"/>
      <c r="M117" s="17" t="n"/>
      <c r="N117" s="17" t="n"/>
      <c r="O117" s="17" t="n"/>
    </row>
    <row r="118">
      <c r="A118" s="233">
        <f>IF(itens_Remanesc!A118="","",itens_Remanesc!A118)</f>
        <v/>
      </c>
      <c r="B118" s="231">
        <f>IF(itens_Remanesc!A118="","",itens_Remanesc!B118)</f>
        <v/>
      </c>
      <c r="C118" s="225">
        <f>IF(itens_Remanesc!A118="","",itens_Remanesc!C118)</f>
        <v/>
      </c>
      <c r="D118" s="225">
        <f>IF(OR(A118="",C118="",NOT(ISNUMBER($L$3))),"",ROUND(C118*$L$3,2))</f>
        <v/>
      </c>
      <c r="E118" s="225">
        <f>IF(OR(A118="",C118="",NOT(ISNUMBER($L$4))),"",ROUND(C118*$L$4,2))</f>
        <v/>
      </c>
      <c r="F118" s="225">
        <f>IF(OR(A118="",C118="",NOT(ISNUMBER($L$5))),"",ROUND(C118*$L$5,2))</f>
        <v/>
      </c>
      <c r="G118" s="225">
        <f>IF(OR(A118="",C118="",NOT(ISNUMBER($L$6))),"",ROUND(C118*$L$6,2))</f>
        <v/>
      </c>
      <c r="H118" s="292">
        <f>IF(OR(A118="",C118="",C118=0,NOT(ISNUMBER($L$6))),"",ROUND($L$6-1,4))</f>
        <v/>
      </c>
      <c r="I118" s="17" t="n"/>
      <c r="J118" s="17" t="n"/>
      <c r="K118" s="17" t="n"/>
      <c r="L118" s="17" t="n"/>
      <c r="M118" s="17" t="n"/>
      <c r="N118" s="17" t="n"/>
      <c r="O118" s="17" t="n"/>
    </row>
    <row r="119">
      <c r="A119" s="233">
        <f>IF(itens_Remanesc!A119="","",itens_Remanesc!A119)</f>
        <v/>
      </c>
      <c r="B119" s="231">
        <f>IF(itens_Remanesc!A119="","",itens_Remanesc!B119)</f>
        <v/>
      </c>
      <c r="C119" s="225">
        <f>IF(itens_Remanesc!A119="","",itens_Remanesc!C119)</f>
        <v/>
      </c>
      <c r="D119" s="225">
        <f>IF(OR(A119="",C119="",NOT(ISNUMBER($L$3))),"",ROUND(C119*$L$3,2))</f>
        <v/>
      </c>
      <c r="E119" s="225">
        <f>IF(OR(A119="",C119="",NOT(ISNUMBER($L$4))),"",ROUND(C119*$L$4,2))</f>
        <v/>
      </c>
      <c r="F119" s="225">
        <f>IF(OR(A119="",C119="",NOT(ISNUMBER($L$5))),"",ROUND(C119*$L$5,2))</f>
        <v/>
      </c>
      <c r="G119" s="225">
        <f>IF(OR(A119="",C119="",NOT(ISNUMBER($L$6))),"",ROUND(C119*$L$6,2))</f>
        <v/>
      </c>
      <c r="H119" s="292">
        <f>IF(OR(A119="",C119="",C119=0,NOT(ISNUMBER($L$6))),"",ROUND($L$6-1,4))</f>
        <v/>
      </c>
      <c r="I119" s="17" t="n"/>
      <c r="J119" s="17" t="n"/>
      <c r="K119" s="17" t="n"/>
      <c r="L119" s="17" t="n"/>
      <c r="M119" s="17" t="n"/>
      <c r="N119" s="17" t="n"/>
      <c r="O119" s="17" t="n"/>
    </row>
    <row r="120">
      <c r="A120" s="233">
        <f>IF(itens_Remanesc!A120="","",itens_Remanesc!A120)</f>
        <v/>
      </c>
      <c r="B120" s="231">
        <f>IF(itens_Remanesc!A120="","",itens_Remanesc!B120)</f>
        <v/>
      </c>
      <c r="C120" s="225">
        <f>IF(itens_Remanesc!A120="","",itens_Remanesc!C120)</f>
        <v/>
      </c>
      <c r="D120" s="225">
        <f>IF(OR(A120="",C120="",NOT(ISNUMBER($L$3))),"",ROUND(C120*$L$3,2))</f>
        <v/>
      </c>
      <c r="E120" s="225">
        <f>IF(OR(A120="",C120="",NOT(ISNUMBER($L$4))),"",ROUND(C120*$L$4,2))</f>
        <v/>
      </c>
      <c r="F120" s="225">
        <f>IF(OR(A120="",C120="",NOT(ISNUMBER($L$5))),"",ROUND(C120*$L$5,2))</f>
        <v/>
      </c>
      <c r="G120" s="225">
        <f>IF(OR(A120="",C120="",NOT(ISNUMBER($L$6))),"",ROUND(C120*$L$6,2))</f>
        <v/>
      </c>
      <c r="H120" s="292">
        <f>IF(OR(A120="",C120="",C120=0,NOT(ISNUMBER($L$6))),"",ROUND($L$6-1,4))</f>
        <v/>
      </c>
      <c r="I120" s="17" t="n"/>
      <c r="J120" s="17" t="n"/>
      <c r="K120" s="17" t="n"/>
      <c r="L120" s="17" t="n"/>
      <c r="M120" s="17" t="n"/>
      <c r="N120" s="17" t="n"/>
      <c r="O120" s="17" t="n"/>
    </row>
    <row r="121">
      <c r="A121" s="233">
        <f>IF(itens_Remanesc!A121="","",itens_Remanesc!A121)</f>
        <v/>
      </c>
      <c r="B121" s="231">
        <f>IF(itens_Remanesc!A121="","",itens_Remanesc!B121)</f>
        <v/>
      </c>
      <c r="C121" s="225">
        <f>IF(itens_Remanesc!A121="","",itens_Remanesc!C121)</f>
        <v/>
      </c>
      <c r="D121" s="225">
        <f>IF(OR(A121="",C121="",NOT(ISNUMBER($L$3))),"",ROUND(C121*$L$3,2))</f>
        <v/>
      </c>
      <c r="E121" s="225">
        <f>IF(OR(A121="",C121="",NOT(ISNUMBER($L$4))),"",ROUND(C121*$L$4,2))</f>
        <v/>
      </c>
      <c r="F121" s="225">
        <f>IF(OR(A121="",C121="",NOT(ISNUMBER($L$5))),"",ROUND(C121*$L$5,2))</f>
        <v/>
      </c>
      <c r="G121" s="225">
        <f>IF(OR(A121="",C121="",NOT(ISNUMBER($L$6))),"",ROUND(C121*$L$6,2))</f>
        <v/>
      </c>
      <c r="H121" s="292">
        <f>IF(OR(A121="",C121="",C121=0,NOT(ISNUMBER($L$6))),"",ROUND($L$6-1,4))</f>
        <v/>
      </c>
      <c r="I121" s="17" t="n"/>
      <c r="J121" s="17" t="n"/>
      <c r="K121" s="17" t="n"/>
      <c r="L121" s="17" t="n"/>
      <c r="M121" s="17" t="n"/>
      <c r="N121" s="17" t="n"/>
      <c r="O121" s="17" t="n"/>
    </row>
    <row r="122">
      <c r="A122" s="233">
        <f>IF(itens_Remanesc!A122="","",itens_Remanesc!A122)</f>
        <v/>
      </c>
      <c r="B122" s="231">
        <f>IF(itens_Remanesc!A122="","",itens_Remanesc!B122)</f>
        <v/>
      </c>
      <c r="C122" s="225">
        <f>IF(itens_Remanesc!A122="","",itens_Remanesc!C122)</f>
        <v/>
      </c>
      <c r="D122" s="225">
        <f>IF(OR(A122="",C122="",NOT(ISNUMBER($L$3))),"",ROUND(C122*$L$3,2))</f>
        <v/>
      </c>
      <c r="E122" s="225">
        <f>IF(OR(A122="",C122="",NOT(ISNUMBER($L$4))),"",ROUND(C122*$L$4,2))</f>
        <v/>
      </c>
      <c r="F122" s="225">
        <f>IF(OR(A122="",C122="",NOT(ISNUMBER($L$5))),"",ROUND(C122*$L$5,2))</f>
        <v/>
      </c>
      <c r="G122" s="225">
        <f>IF(OR(A122="",C122="",NOT(ISNUMBER($L$6))),"",ROUND(C122*$L$6,2))</f>
        <v/>
      </c>
      <c r="H122" s="292">
        <f>IF(OR(A122="",C122="",C122=0,NOT(ISNUMBER($L$6))),"",ROUND($L$6-1,4))</f>
        <v/>
      </c>
      <c r="I122" s="17" t="n"/>
      <c r="J122" s="17" t="n"/>
      <c r="K122" s="17" t="n"/>
      <c r="L122" s="17" t="n"/>
      <c r="M122" s="17" t="n"/>
      <c r="N122" s="17" t="n"/>
      <c r="O122" s="17" t="n"/>
    </row>
    <row r="123">
      <c r="A123" s="233">
        <f>IF(itens_Remanesc!A123="","",itens_Remanesc!A123)</f>
        <v/>
      </c>
      <c r="B123" s="231">
        <f>IF(itens_Remanesc!A123="","",itens_Remanesc!B123)</f>
        <v/>
      </c>
      <c r="C123" s="225">
        <f>IF(itens_Remanesc!A123="","",itens_Remanesc!C123)</f>
        <v/>
      </c>
      <c r="D123" s="225">
        <f>IF(OR(A123="",C123="",NOT(ISNUMBER($L$3))),"",ROUND(C123*$L$3,2))</f>
        <v/>
      </c>
      <c r="E123" s="225">
        <f>IF(OR(A123="",C123="",NOT(ISNUMBER($L$4))),"",ROUND(C123*$L$4,2))</f>
        <v/>
      </c>
      <c r="F123" s="225">
        <f>IF(OR(A123="",C123="",NOT(ISNUMBER($L$5))),"",ROUND(C123*$L$5,2))</f>
        <v/>
      </c>
      <c r="G123" s="225">
        <f>IF(OR(A123="",C123="",NOT(ISNUMBER($L$6))),"",ROUND(C123*$L$6,2))</f>
        <v/>
      </c>
      <c r="H123" s="292">
        <f>IF(OR(A123="",C123="",C123=0,NOT(ISNUMBER($L$6))),"",ROUND($L$6-1,4))</f>
        <v/>
      </c>
      <c r="I123" s="17" t="n"/>
      <c r="J123" s="17" t="n"/>
      <c r="K123" s="17" t="n"/>
      <c r="L123" s="17" t="n"/>
      <c r="M123" s="17" t="n"/>
      <c r="N123" s="17" t="n"/>
      <c r="O123" s="17" t="n"/>
    </row>
    <row r="124">
      <c r="A124" s="233">
        <f>IF(itens_Remanesc!A124="","",itens_Remanesc!A124)</f>
        <v/>
      </c>
      <c r="B124" s="231">
        <f>IF(itens_Remanesc!A124="","",itens_Remanesc!B124)</f>
        <v/>
      </c>
      <c r="C124" s="225">
        <f>IF(itens_Remanesc!A124="","",itens_Remanesc!C124)</f>
        <v/>
      </c>
      <c r="D124" s="225">
        <f>IF(OR(A124="",C124="",NOT(ISNUMBER($L$3))),"",ROUND(C124*$L$3,2))</f>
        <v/>
      </c>
      <c r="E124" s="225">
        <f>IF(OR(A124="",C124="",NOT(ISNUMBER($L$4))),"",ROUND(C124*$L$4,2))</f>
        <v/>
      </c>
      <c r="F124" s="225">
        <f>IF(OR(A124="",C124="",NOT(ISNUMBER($L$5))),"",ROUND(C124*$L$5,2))</f>
        <v/>
      </c>
      <c r="G124" s="225">
        <f>IF(OR(A124="",C124="",NOT(ISNUMBER($L$6))),"",ROUND(C124*$L$6,2))</f>
        <v/>
      </c>
      <c r="H124" s="292">
        <f>IF(OR(A124="",C124="",C124=0,NOT(ISNUMBER($L$6))),"",ROUND($L$6-1,4))</f>
        <v/>
      </c>
      <c r="I124" s="17" t="n"/>
      <c r="J124" s="17" t="n"/>
      <c r="K124" s="17" t="n"/>
      <c r="L124" s="17" t="n"/>
      <c r="M124" s="17" t="n"/>
      <c r="N124" s="17" t="n"/>
      <c r="O124" s="17" t="n"/>
    </row>
    <row r="125">
      <c r="A125" s="233">
        <f>IF(itens_Remanesc!A125="","",itens_Remanesc!A125)</f>
        <v/>
      </c>
      <c r="B125" s="231">
        <f>IF(itens_Remanesc!A125="","",itens_Remanesc!B125)</f>
        <v/>
      </c>
      <c r="C125" s="225">
        <f>IF(itens_Remanesc!A125="","",itens_Remanesc!C125)</f>
        <v/>
      </c>
      <c r="D125" s="225">
        <f>IF(OR(A125="",C125="",NOT(ISNUMBER($L$3))),"",ROUND(C125*$L$3,2))</f>
        <v/>
      </c>
      <c r="E125" s="225">
        <f>IF(OR(A125="",C125="",NOT(ISNUMBER($L$4))),"",ROUND(C125*$L$4,2))</f>
        <v/>
      </c>
      <c r="F125" s="225">
        <f>IF(OR(A125="",C125="",NOT(ISNUMBER($L$5))),"",ROUND(C125*$L$5,2))</f>
        <v/>
      </c>
      <c r="G125" s="225">
        <f>IF(OR(A125="",C125="",NOT(ISNUMBER($L$6))),"",ROUND(C125*$L$6,2))</f>
        <v/>
      </c>
      <c r="H125" s="292">
        <f>IF(OR(A125="",C125="",C125=0,NOT(ISNUMBER($L$6))),"",ROUND($L$6-1,4))</f>
        <v/>
      </c>
      <c r="I125" s="17" t="n"/>
      <c r="J125" s="17" t="n"/>
      <c r="K125" s="17" t="n"/>
      <c r="L125" s="17" t="n"/>
      <c r="M125" s="17" t="n"/>
      <c r="N125" s="17" t="n"/>
      <c r="O125" s="17" t="n"/>
    </row>
    <row r="126">
      <c r="A126" s="233">
        <f>IF(itens_Remanesc!A126="","",itens_Remanesc!A126)</f>
        <v/>
      </c>
      <c r="B126" s="231">
        <f>IF(itens_Remanesc!A126="","",itens_Remanesc!B126)</f>
        <v/>
      </c>
      <c r="C126" s="225">
        <f>IF(itens_Remanesc!A126="","",itens_Remanesc!C126)</f>
        <v/>
      </c>
      <c r="D126" s="225">
        <f>IF(OR(A126="",C126="",NOT(ISNUMBER($L$3))),"",ROUND(C126*$L$3,2))</f>
        <v/>
      </c>
      <c r="E126" s="225">
        <f>IF(OR(A126="",C126="",NOT(ISNUMBER($L$4))),"",ROUND(C126*$L$4,2))</f>
        <v/>
      </c>
      <c r="F126" s="225">
        <f>IF(OR(A126="",C126="",NOT(ISNUMBER($L$5))),"",ROUND(C126*$L$5,2))</f>
        <v/>
      </c>
      <c r="G126" s="225">
        <f>IF(OR(A126="",C126="",NOT(ISNUMBER($L$6))),"",ROUND(C126*$L$6,2))</f>
        <v/>
      </c>
      <c r="H126" s="292">
        <f>IF(OR(A126="",C126="",C126=0,NOT(ISNUMBER($L$6))),"",ROUND($L$6-1,4))</f>
        <v/>
      </c>
      <c r="I126" s="17" t="n"/>
      <c r="J126" s="17" t="n"/>
      <c r="K126" s="17" t="n"/>
      <c r="L126" s="17" t="n"/>
      <c r="M126" s="17" t="n"/>
      <c r="N126" s="17" t="n"/>
      <c r="O126" s="17" t="n"/>
    </row>
    <row r="127">
      <c r="A127" s="233">
        <f>IF(itens_Remanesc!A127="","",itens_Remanesc!A127)</f>
        <v/>
      </c>
      <c r="B127" s="231">
        <f>IF(itens_Remanesc!A127="","",itens_Remanesc!B127)</f>
        <v/>
      </c>
      <c r="C127" s="225">
        <f>IF(itens_Remanesc!A127="","",itens_Remanesc!C127)</f>
        <v/>
      </c>
      <c r="D127" s="225">
        <f>IF(OR(A127="",C127="",NOT(ISNUMBER($L$3))),"",ROUND(C127*$L$3,2))</f>
        <v/>
      </c>
      <c r="E127" s="225">
        <f>IF(OR(A127="",C127="",NOT(ISNUMBER($L$4))),"",ROUND(C127*$L$4,2))</f>
        <v/>
      </c>
      <c r="F127" s="225">
        <f>IF(OR(A127="",C127="",NOT(ISNUMBER($L$5))),"",ROUND(C127*$L$5,2))</f>
        <v/>
      </c>
      <c r="G127" s="225">
        <f>IF(OR(A127="",C127="",NOT(ISNUMBER($L$6))),"",ROUND(C127*$L$6,2))</f>
        <v/>
      </c>
      <c r="H127" s="292">
        <f>IF(OR(A127="",C127="",C127=0,NOT(ISNUMBER($L$6))),"",ROUND($L$6-1,4))</f>
        <v/>
      </c>
      <c r="I127" s="17" t="n"/>
      <c r="J127" s="17" t="n"/>
      <c r="K127" s="17" t="n"/>
      <c r="L127" s="17" t="n"/>
      <c r="M127" s="17" t="n"/>
      <c r="N127" s="17" t="n"/>
      <c r="O127" s="17" t="n"/>
    </row>
    <row r="128">
      <c r="A128" s="233">
        <f>IF(itens_Remanesc!A128="","",itens_Remanesc!A128)</f>
        <v/>
      </c>
      <c r="B128" s="231">
        <f>IF(itens_Remanesc!A128="","",itens_Remanesc!B128)</f>
        <v/>
      </c>
      <c r="C128" s="225">
        <f>IF(itens_Remanesc!A128="","",itens_Remanesc!C128)</f>
        <v/>
      </c>
      <c r="D128" s="225">
        <f>IF(OR(A128="",C128="",NOT(ISNUMBER($L$3))),"",ROUND(C128*$L$3,2))</f>
        <v/>
      </c>
      <c r="E128" s="225">
        <f>IF(OR(A128="",C128="",NOT(ISNUMBER($L$4))),"",ROUND(C128*$L$4,2))</f>
        <v/>
      </c>
      <c r="F128" s="225">
        <f>IF(OR(A128="",C128="",NOT(ISNUMBER($L$5))),"",ROUND(C128*$L$5,2))</f>
        <v/>
      </c>
      <c r="G128" s="225">
        <f>IF(OR(A128="",C128="",NOT(ISNUMBER($L$6))),"",ROUND(C128*$L$6,2))</f>
        <v/>
      </c>
      <c r="H128" s="292">
        <f>IF(OR(A128="",C128="",C128=0,NOT(ISNUMBER($L$6))),"",ROUND($L$6-1,4))</f>
        <v/>
      </c>
      <c r="I128" s="17" t="n"/>
      <c r="J128" s="17" t="n"/>
      <c r="K128" s="17" t="n"/>
      <c r="L128" s="17" t="n"/>
      <c r="M128" s="17" t="n"/>
      <c r="N128" s="17" t="n"/>
      <c r="O128" s="17" t="n"/>
    </row>
    <row r="129">
      <c r="A129" s="233">
        <f>IF(itens_Remanesc!A129="","",itens_Remanesc!A129)</f>
        <v/>
      </c>
      <c r="B129" s="231">
        <f>IF(itens_Remanesc!A129="","",itens_Remanesc!B129)</f>
        <v/>
      </c>
      <c r="C129" s="225">
        <f>IF(itens_Remanesc!A129="","",itens_Remanesc!C129)</f>
        <v/>
      </c>
      <c r="D129" s="225">
        <f>IF(OR(A129="",C129="",NOT(ISNUMBER($L$3))),"",ROUND(C129*$L$3,2))</f>
        <v/>
      </c>
      <c r="E129" s="225">
        <f>IF(OR(A129="",C129="",NOT(ISNUMBER($L$4))),"",ROUND(C129*$L$4,2))</f>
        <v/>
      </c>
      <c r="F129" s="225">
        <f>IF(OR(A129="",C129="",NOT(ISNUMBER($L$5))),"",ROUND(C129*$L$5,2))</f>
        <v/>
      </c>
      <c r="G129" s="225">
        <f>IF(OR(A129="",C129="",NOT(ISNUMBER($L$6))),"",ROUND(C129*$L$6,2))</f>
        <v/>
      </c>
      <c r="H129" s="292">
        <f>IF(OR(A129="",C129="",C129=0,NOT(ISNUMBER($L$6))),"",ROUND($L$6-1,4))</f>
        <v/>
      </c>
      <c r="I129" s="17" t="n"/>
      <c r="J129" s="17" t="n"/>
      <c r="K129" s="17" t="n"/>
      <c r="L129" s="17" t="n"/>
      <c r="M129" s="17" t="n"/>
      <c r="N129" s="17" t="n"/>
      <c r="O129" s="17" t="n"/>
    </row>
    <row r="130">
      <c r="A130" s="233">
        <f>IF(itens_Remanesc!A130="","",itens_Remanesc!A130)</f>
        <v/>
      </c>
      <c r="B130" s="231">
        <f>IF(itens_Remanesc!A130="","",itens_Remanesc!B130)</f>
        <v/>
      </c>
      <c r="C130" s="225">
        <f>IF(itens_Remanesc!A130="","",itens_Remanesc!C130)</f>
        <v/>
      </c>
      <c r="D130" s="225">
        <f>IF(OR(A130="",C130="",NOT(ISNUMBER($L$3))),"",ROUND(C130*$L$3,2))</f>
        <v/>
      </c>
      <c r="E130" s="225">
        <f>IF(OR(A130="",C130="",NOT(ISNUMBER($L$4))),"",ROUND(C130*$L$4,2))</f>
        <v/>
      </c>
      <c r="F130" s="225">
        <f>IF(OR(A130="",C130="",NOT(ISNUMBER($L$5))),"",ROUND(C130*$L$5,2))</f>
        <v/>
      </c>
      <c r="G130" s="225">
        <f>IF(OR(A130="",C130="",NOT(ISNUMBER($L$6))),"",ROUND(C130*$L$6,2))</f>
        <v/>
      </c>
      <c r="H130" s="292">
        <f>IF(OR(A130="",C130="",C130=0,NOT(ISNUMBER($L$6))),"",ROUND($L$6-1,4))</f>
        <v/>
      </c>
      <c r="I130" s="17" t="n"/>
      <c r="J130" s="17" t="n"/>
      <c r="K130" s="17" t="n"/>
      <c r="L130" s="17" t="n"/>
      <c r="M130" s="17" t="n"/>
      <c r="N130" s="17" t="n"/>
      <c r="O130" s="17" t="n"/>
    </row>
    <row r="131">
      <c r="A131" s="233">
        <f>IF(itens_Remanesc!A131="","",itens_Remanesc!A131)</f>
        <v/>
      </c>
      <c r="B131" s="231">
        <f>IF(itens_Remanesc!A131="","",itens_Remanesc!B131)</f>
        <v/>
      </c>
      <c r="C131" s="225">
        <f>IF(itens_Remanesc!A131="","",itens_Remanesc!C131)</f>
        <v/>
      </c>
      <c r="D131" s="225">
        <f>IF(OR(A131="",C131="",NOT(ISNUMBER($L$3))),"",ROUND(C131*$L$3,2))</f>
        <v/>
      </c>
      <c r="E131" s="225">
        <f>IF(OR(A131="",C131="",NOT(ISNUMBER($L$4))),"",ROUND(C131*$L$4,2))</f>
        <v/>
      </c>
      <c r="F131" s="225">
        <f>IF(OR(A131="",C131="",NOT(ISNUMBER($L$5))),"",ROUND(C131*$L$5,2))</f>
        <v/>
      </c>
      <c r="G131" s="225">
        <f>IF(OR(A131="",C131="",NOT(ISNUMBER($L$6))),"",ROUND(C131*$L$6,2))</f>
        <v/>
      </c>
      <c r="H131" s="292">
        <f>IF(OR(A131="",C131="",C131=0,NOT(ISNUMBER($L$6))),"",ROUND($L$6-1,4))</f>
        <v/>
      </c>
      <c r="I131" s="17" t="n"/>
      <c r="J131" s="17" t="n"/>
      <c r="K131" s="17" t="n"/>
      <c r="L131" s="17" t="n"/>
      <c r="M131" s="17" t="n"/>
      <c r="N131" s="17" t="n"/>
      <c r="O131" s="17" t="n"/>
    </row>
    <row r="132">
      <c r="A132" s="233">
        <f>IF(itens_Remanesc!A132="","",itens_Remanesc!A132)</f>
        <v/>
      </c>
      <c r="B132" s="231">
        <f>IF(itens_Remanesc!A132="","",itens_Remanesc!B132)</f>
        <v/>
      </c>
      <c r="C132" s="225">
        <f>IF(itens_Remanesc!A132="","",itens_Remanesc!C132)</f>
        <v/>
      </c>
      <c r="D132" s="225">
        <f>IF(OR(A132="",C132="",NOT(ISNUMBER($L$3))),"",ROUND(C132*$L$3,2))</f>
        <v/>
      </c>
      <c r="E132" s="225">
        <f>IF(OR(A132="",C132="",NOT(ISNUMBER($L$4))),"",ROUND(C132*$L$4,2))</f>
        <v/>
      </c>
      <c r="F132" s="225">
        <f>IF(OR(A132="",C132="",NOT(ISNUMBER($L$5))),"",ROUND(C132*$L$5,2))</f>
        <v/>
      </c>
      <c r="G132" s="225">
        <f>IF(OR(A132="",C132="",NOT(ISNUMBER($L$6))),"",ROUND(C132*$L$6,2))</f>
        <v/>
      </c>
      <c r="H132" s="292">
        <f>IF(OR(A132="",C132="",C132=0,NOT(ISNUMBER($L$6))),"",ROUND($L$6-1,4))</f>
        <v/>
      </c>
      <c r="I132" s="17" t="n"/>
      <c r="J132" s="17" t="n"/>
      <c r="K132" s="17" t="n"/>
      <c r="L132" s="17" t="n"/>
      <c r="M132" s="17" t="n"/>
      <c r="N132" s="17" t="n"/>
      <c r="O132" s="17" t="n"/>
    </row>
    <row r="133">
      <c r="A133" s="233">
        <f>IF(itens_Remanesc!A133="","",itens_Remanesc!A133)</f>
        <v/>
      </c>
      <c r="B133" s="231">
        <f>IF(itens_Remanesc!A133="","",itens_Remanesc!B133)</f>
        <v/>
      </c>
      <c r="C133" s="225">
        <f>IF(itens_Remanesc!A133="","",itens_Remanesc!C133)</f>
        <v/>
      </c>
      <c r="D133" s="225">
        <f>IF(OR(A133="",C133="",NOT(ISNUMBER($L$3))),"",ROUND(C133*$L$3,2))</f>
        <v/>
      </c>
      <c r="E133" s="225">
        <f>IF(OR(A133="",C133="",NOT(ISNUMBER($L$4))),"",ROUND(C133*$L$4,2))</f>
        <v/>
      </c>
      <c r="F133" s="225">
        <f>IF(OR(A133="",C133="",NOT(ISNUMBER($L$5))),"",ROUND(C133*$L$5,2))</f>
        <v/>
      </c>
      <c r="G133" s="225">
        <f>IF(OR(A133="",C133="",NOT(ISNUMBER($L$6))),"",ROUND(C133*$L$6,2))</f>
        <v/>
      </c>
      <c r="H133" s="292">
        <f>IF(OR(A133="",C133="",C133=0,NOT(ISNUMBER($L$6))),"",ROUND($L$6-1,4))</f>
        <v/>
      </c>
      <c r="I133" s="17" t="n"/>
      <c r="J133" s="17" t="n"/>
      <c r="K133" s="17" t="n"/>
      <c r="L133" s="17" t="n"/>
      <c r="M133" s="17" t="n"/>
      <c r="N133" s="17" t="n"/>
      <c r="O133" s="17" t="n"/>
    </row>
    <row r="134">
      <c r="A134" s="233">
        <f>IF(itens_Remanesc!A134="","",itens_Remanesc!A134)</f>
        <v/>
      </c>
      <c r="B134" s="231">
        <f>IF(itens_Remanesc!A134="","",itens_Remanesc!B134)</f>
        <v/>
      </c>
      <c r="C134" s="225">
        <f>IF(itens_Remanesc!A134="","",itens_Remanesc!C134)</f>
        <v/>
      </c>
      <c r="D134" s="225">
        <f>IF(OR(A134="",C134="",NOT(ISNUMBER($L$3))),"",ROUND(C134*$L$3,2))</f>
        <v/>
      </c>
      <c r="E134" s="225">
        <f>IF(OR(A134="",C134="",NOT(ISNUMBER($L$4))),"",ROUND(C134*$L$4,2))</f>
        <v/>
      </c>
      <c r="F134" s="225">
        <f>IF(OR(A134="",C134="",NOT(ISNUMBER($L$5))),"",ROUND(C134*$L$5,2))</f>
        <v/>
      </c>
      <c r="G134" s="225">
        <f>IF(OR(A134="",C134="",NOT(ISNUMBER($L$6))),"",ROUND(C134*$L$6,2))</f>
        <v/>
      </c>
      <c r="H134" s="292">
        <f>IF(OR(A134="",C134="",C134=0,NOT(ISNUMBER($L$6))),"",ROUND($L$6-1,4))</f>
        <v/>
      </c>
      <c r="I134" s="17" t="n"/>
      <c r="J134" s="17" t="n"/>
      <c r="K134" s="17" t="n"/>
      <c r="L134" s="17" t="n"/>
      <c r="M134" s="17" t="n"/>
      <c r="N134" s="17" t="n"/>
      <c r="O134" s="17" t="n"/>
    </row>
    <row r="135">
      <c r="A135" s="233">
        <f>IF(itens_Remanesc!A135="","",itens_Remanesc!A135)</f>
        <v/>
      </c>
      <c r="B135" s="231">
        <f>IF(itens_Remanesc!A135="","",itens_Remanesc!B135)</f>
        <v/>
      </c>
      <c r="C135" s="225">
        <f>IF(itens_Remanesc!A135="","",itens_Remanesc!C135)</f>
        <v/>
      </c>
      <c r="D135" s="225">
        <f>IF(OR(A135="",C135="",NOT(ISNUMBER($L$3))),"",ROUND(C135*$L$3,2))</f>
        <v/>
      </c>
      <c r="E135" s="225">
        <f>IF(OR(A135="",C135="",NOT(ISNUMBER($L$4))),"",ROUND(C135*$L$4,2))</f>
        <v/>
      </c>
      <c r="F135" s="225">
        <f>IF(OR(A135="",C135="",NOT(ISNUMBER($L$5))),"",ROUND(C135*$L$5,2))</f>
        <v/>
      </c>
      <c r="G135" s="225">
        <f>IF(OR(A135="",C135="",NOT(ISNUMBER($L$6))),"",ROUND(C135*$L$6,2))</f>
        <v/>
      </c>
      <c r="H135" s="292">
        <f>IF(OR(A135="",C135="",C135=0,NOT(ISNUMBER($L$6))),"",ROUND($L$6-1,4))</f>
        <v/>
      </c>
      <c r="I135" s="17" t="n"/>
      <c r="J135" s="17" t="n"/>
      <c r="K135" s="17" t="n"/>
      <c r="L135" s="17" t="n"/>
      <c r="M135" s="17" t="n"/>
      <c r="N135" s="17" t="n"/>
      <c r="O135" s="17" t="n"/>
    </row>
    <row r="136">
      <c r="A136" s="233">
        <f>IF(itens_Remanesc!A136="","",itens_Remanesc!A136)</f>
        <v/>
      </c>
      <c r="B136" s="231">
        <f>IF(itens_Remanesc!A136="","",itens_Remanesc!B136)</f>
        <v/>
      </c>
      <c r="C136" s="225">
        <f>IF(itens_Remanesc!A136="","",itens_Remanesc!C136)</f>
        <v/>
      </c>
      <c r="D136" s="225">
        <f>IF(OR(A136="",C136="",NOT(ISNUMBER($L$3))),"",ROUND(C136*$L$3,2))</f>
        <v/>
      </c>
      <c r="E136" s="225">
        <f>IF(OR(A136="",C136="",NOT(ISNUMBER($L$4))),"",ROUND(C136*$L$4,2))</f>
        <v/>
      </c>
      <c r="F136" s="225">
        <f>IF(OR(A136="",C136="",NOT(ISNUMBER($L$5))),"",ROUND(C136*$L$5,2))</f>
        <v/>
      </c>
      <c r="G136" s="225">
        <f>IF(OR(A136="",C136="",NOT(ISNUMBER($L$6))),"",ROUND(C136*$L$6,2))</f>
        <v/>
      </c>
      <c r="H136" s="292">
        <f>IF(OR(A136="",C136="",C136=0,NOT(ISNUMBER($L$6))),"",ROUND($L$6-1,4))</f>
        <v/>
      </c>
      <c r="I136" s="17" t="n"/>
      <c r="J136" s="17" t="n"/>
      <c r="K136" s="17" t="n"/>
      <c r="L136" s="17" t="n"/>
      <c r="M136" s="17" t="n"/>
      <c r="N136" s="17" t="n"/>
      <c r="O136" s="17" t="n"/>
    </row>
    <row r="137">
      <c r="A137" s="233">
        <f>IF(itens_Remanesc!A137="","",itens_Remanesc!A137)</f>
        <v/>
      </c>
      <c r="B137" s="231">
        <f>IF(itens_Remanesc!A137="","",itens_Remanesc!B137)</f>
        <v/>
      </c>
      <c r="C137" s="225">
        <f>IF(itens_Remanesc!A137="","",itens_Remanesc!C137)</f>
        <v/>
      </c>
      <c r="D137" s="225">
        <f>IF(OR(A137="",C137="",NOT(ISNUMBER($L$3))),"",ROUND(C137*$L$3,2))</f>
        <v/>
      </c>
      <c r="E137" s="225">
        <f>IF(OR(A137="",C137="",NOT(ISNUMBER($L$4))),"",ROUND(C137*$L$4,2))</f>
        <v/>
      </c>
      <c r="F137" s="225">
        <f>IF(OR(A137="",C137="",NOT(ISNUMBER($L$5))),"",ROUND(C137*$L$5,2))</f>
        <v/>
      </c>
      <c r="G137" s="225">
        <f>IF(OR(A137="",C137="",NOT(ISNUMBER($L$6))),"",ROUND(C137*$L$6,2))</f>
        <v/>
      </c>
      <c r="H137" s="292">
        <f>IF(OR(A137="",C137="",C137=0,NOT(ISNUMBER($L$6))),"",ROUND($L$6-1,4))</f>
        <v/>
      </c>
      <c r="I137" s="17" t="n"/>
      <c r="J137" s="17" t="n"/>
      <c r="K137" s="17" t="n"/>
      <c r="L137" s="17" t="n"/>
      <c r="M137" s="17" t="n"/>
      <c r="N137" s="17" t="n"/>
      <c r="O137" s="17" t="n"/>
    </row>
    <row r="138">
      <c r="A138" s="233">
        <f>IF(itens_Remanesc!A138="","",itens_Remanesc!A138)</f>
        <v/>
      </c>
      <c r="B138" s="231">
        <f>IF(itens_Remanesc!A138="","",itens_Remanesc!B138)</f>
        <v/>
      </c>
      <c r="C138" s="225">
        <f>IF(itens_Remanesc!A138="","",itens_Remanesc!C138)</f>
        <v/>
      </c>
      <c r="D138" s="225">
        <f>IF(OR(A138="",C138="",NOT(ISNUMBER($L$3))),"",ROUND(C138*$L$3,2))</f>
        <v/>
      </c>
      <c r="E138" s="225">
        <f>IF(OR(A138="",C138="",NOT(ISNUMBER($L$4))),"",ROUND(C138*$L$4,2))</f>
        <v/>
      </c>
      <c r="F138" s="225">
        <f>IF(OR(A138="",C138="",NOT(ISNUMBER($L$5))),"",ROUND(C138*$L$5,2))</f>
        <v/>
      </c>
      <c r="G138" s="225">
        <f>IF(OR(A138="",C138="",NOT(ISNUMBER($L$6))),"",ROUND(C138*$L$6,2))</f>
        <v/>
      </c>
      <c r="H138" s="292">
        <f>IF(OR(A138="",C138="",C138=0,NOT(ISNUMBER($L$6))),"",ROUND($L$6-1,4))</f>
        <v/>
      </c>
      <c r="I138" s="17" t="n"/>
      <c r="J138" s="17" t="n"/>
      <c r="K138" s="17" t="n"/>
      <c r="L138" s="17" t="n"/>
      <c r="M138" s="17" t="n"/>
      <c r="N138" s="17" t="n"/>
      <c r="O138" s="17" t="n"/>
    </row>
    <row r="139">
      <c r="A139" s="233">
        <f>IF(itens_Remanesc!A139="","",itens_Remanesc!A139)</f>
        <v/>
      </c>
      <c r="B139" s="231">
        <f>IF(itens_Remanesc!A139="","",itens_Remanesc!B139)</f>
        <v/>
      </c>
      <c r="C139" s="225">
        <f>IF(itens_Remanesc!A139="","",itens_Remanesc!C139)</f>
        <v/>
      </c>
      <c r="D139" s="225">
        <f>IF(OR(A139="",C139="",NOT(ISNUMBER($L$3))),"",ROUND(C139*$L$3,2))</f>
        <v/>
      </c>
      <c r="E139" s="225">
        <f>IF(OR(A139="",C139="",NOT(ISNUMBER($L$4))),"",ROUND(C139*$L$4,2))</f>
        <v/>
      </c>
      <c r="F139" s="225">
        <f>IF(OR(A139="",C139="",NOT(ISNUMBER($L$5))),"",ROUND(C139*$L$5,2))</f>
        <v/>
      </c>
      <c r="G139" s="225">
        <f>IF(OR(A139="",C139="",NOT(ISNUMBER($L$6))),"",ROUND(C139*$L$6,2))</f>
        <v/>
      </c>
      <c r="H139" s="292">
        <f>IF(OR(A139="",C139="",C139=0,NOT(ISNUMBER($L$6))),"",ROUND($L$6-1,4))</f>
        <v/>
      </c>
      <c r="I139" s="17" t="n"/>
      <c r="J139" s="17" t="n"/>
      <c r="K139" s="17" t="n"/>
      <c r="L139" s="17" t="n"/>
      <c r="M139" s="17" t="n"/>
      <c r="N139" s="17" t="n"/>
      <c r="O139" s="17" t="n"/>
    </row>
    <row r="140">
      <c r="A140" s="233">
        <f>IF(itens_Remanesc!A140="","",itens_Remanesc!A140)</f>
        <v/>
      </c>
      <c r="B140" s="231">
        <f>IF(itens_Remanesc!A140="","",itens_Remanesc!B140)</f>
        <v/>
      </c>
      <c r="C140" s="225">
        <f>IF(itens_Remanesc!A140="","",itens_Remanesc!C140)</f>
        <v/>
      </c>
      <c r="D140" s="225">
        <f>IF(OR(A140="",C140="",NOT(ISNUMBER($L$3))),"",ROUND(C140*$L$3,2))</f>
        <v/>
      </c>
      <c r="E140" s="225">
        <f>IF(OR(A140="",C140="",NOT(ISNUMBER($L$4))),"",ROUND(C140*$L$4,2))</f>
        <v/>
      </c>
      <c r="F140" s="225">
        <f>IF(OR(A140="",C140="",NOT(ISNUMBER($L$5))),"",ROUND(C140*$L$5,2))</f>
        <v/>
      </c>
      <c r="G140" s="225">
        <f>IF(OR(A140="",C140="",NOT(ISNUMBER($L$6))),"",ROUND(C140*$L$6,2))</f>
        <v/>
      </c>
      <c r="H140" s="292">
        <f>IF(OR(A140="",C140="",C140=0,NOT(ISNUMBER($L$6))),"",ROUND($L$6-1,4))</f>
        <v/>
      </c>
      <c r="I140" s="17" t="n"/>
      <c r="J140" s="17" t="n"/>
      <c r="K140" s="17" t="n"/>
      <c r="L140" s="17" t="n"/>
      <c r="M140" s="17" t="n"/>
      <c r="N140" s="17" t="n"/>
      <c r="O140" s="17" t="n"/>
    </row>
    <row r="141">
      <c r="A141" s="233">
        <f>IF(itens_Remanesc!A141="","",itens_Remanesc!A141)</f>
        <v/>
      </c>
      <c r="B141" s="231">
        <f>IF(itens_Remanesc!A141="","",itens_Remanesc!B141)</f>
        <v/>
      </c>
      <c r="C141" s="225">
        <f>IF(itens_Remanesc!A141="","",itens_Remanesc!C141)</f>
        <v/>
      </c>
      <c r="D141" s="225">
        <f>IF(OR(A141="",C141="",NOT(ISNUMBER($L$3))),"",ROUND(C141*$L$3,2))</f>
        <v/>
      </c>
      <c r="E141" s="225">
        <f>IF(OR(A141="",C141="",NOT(ISNUMBER($L$4))),"",ROUND(C141*$L$4,2))</f>
        <v/>
      </c>
      <c r="F141" s="225">
        <f>IF(OR(A141="",C141="",NOT(ISNUMBER($L$5))),"",ROUND(C141*$L$5,2))</f>
        <v/>
      </c>
      <c r="G141" s="225">
        <f>IF(OR(A141="",C141="",NOT(ISNUMBER($L$6))),"",ROUND(C141*$L$6,2))</f>
        <v/>
      </c>
      <c r="H141" s="292">
        <f>IF(OR(A141="",C141="",C141=0,NOT(ISNUMBER($L$6))),"",ROUND($L$6-1,4))</f>
        <v/>
      </c>
      <c r="I141" s="17" t="n"/>
      <c r="J141" s="17" t="n"/>
      <c r="K141" s="17" t="n"/>
      <c r="L141" s="17" t="n"/>
      <c r="M141" s="17" t="n"/>
      <c r="N141" s="17" t="n"/>
      <c r="O141" s="17" t="n"/>
    </row>
    <row r="142">
      <c r="A142" s="233">
        <f>IF(itens_Remanesc!A142="","",itens_Remanesc!A142)</f>
        <v/>
      </c>
      <c r="B142" s="231">
        <f>IF(itens_Remanesc!A142="","",itens_Remanesc!B142)</f>
        <v/>
      </c>
      <c r="C142" s="225">
        <f>IF(itens_Remanesc!A142="","",itens_Remanesc!C142)</f>
        <v/>
      </c>
      <c r="D142" s="225">
        <f>IF(OR(A142="",C142="",NOT(ISNUMBER($L$3))),"",ROUND(C142*$L$3,2))</f>
        <v/>
      </c>
      <c r="E142" s="225">
        <f>IF(OR(A142="",C142="",NOT(ISNUMBER($L$4))),"",ROUND(C142*$L$4,2))</f>
        <v/>
      </c>
      <c r="F142" s="225">
        <f>IF(OR(A142="",C142="",NOT(ISNUMBER($L$5))),"",ROUND(C142*$L$5,2))</f>
        <v/>
      </c>
      <c r="G142" s="225">
        <f>IF(OR(A142="",C142="",NOT(ISNUMBER($L$6))),"",ROUND(C142*$L$6,2))</f>
        <v/>
      </c>
      <c r="H142" s="292">
        <f>IF(OR(A142="",C142="",C142=0,NOT(ISNUMBER($L$6))),"",ROUND($L$6-1,4))</f>
        <v/>
      </c>
      <c r="I142" s="17" t="n"/>
      <c r="J142" s="17" t="n"/>
      <c r="K142" s="17" t="n"/>
      <c r="L142" s="17" t="n"/>
      <c r="M142" s="17" t="n"/>
      <c r="N142" s="17" t="n"/>
      <c r="O142" s="17" t="n"/>
    </row>
    <row r="143">
      <c r="A143" s="233">
        <f>IF(itens_Remanesc!A143="","",itens_Remanesc!A143)</f>
        <v/>
      </c>
      <c r="B143" s="231">
        <f>IF(itens_Remanesc!A143="","",itens_Remanesc!B143)</f>
        <v/>
      </c>
      <c r="C143" s="225">
        <f>IF(itens_Remanesc!A143="","",itens_Remanesc!C143)</f>
        <v/>
      </c>
      <c r="D143" s="225">
        <f>IF(OR(A143="",C143="",NOT(ISNUMBER($L$3))),"",ROUND(C143*$L$3,2))</f>
        <v/>
      </c>
      <c r="E143" s="225">
        <f>IF(OR(A143="",C143="",NOT(ISNUMBER($L$4))),"",ROUND(C143*$L$4,2))</f>
        <v/>
      </c>
      <c r="F143" s="225">
        <f>IF(OR(A143="",C143="",NOT(ISNUMBER($L$5))),"",ROUND(C143*$L$5,2))</f>
        <v/>
      </c>
      <c r="G143" s="225">
        <f>IF(OR(A143="",C143="",NOT(ISNUMBER($L$6))),"",ROUND(C143*$L$6,2))</f>
        <v/>
      </c>
      <c r="H143" s="292">
        <f>IF(OR(A143="",C143="",C143=0,NOT(ISNUMBER($L$6))),"",ROUND($L$6-1,4))</f>
        <v/>
      </c>
      <c r="I143" s="17" t="n"/>
      <c r="J143" s="17" t="n"/>
      <c r="K143" s="17" t="n"/>
      <c r="L143" s="17" t="n"/>
      <c r="M143" s="17" t="n"/>
      <c r="N143" s="17" t="n"/>
      <c r="O143" s="17" t="n"/>
    </row>
    <row r="144">
      <c r="A144" s="233">
        <f>IF(itens_Remanesc!A144="","",itens_Remanesc!A144)</f>
        <v/>
      </c>
      <c r="B144" s="231">
        <f>IF(itens_Remanesc!A144="","",itens_Remanesc!B144)</f>
        <v/>
      </c>
      <c r="C144" s="225">
        <f>IF(itens_Remanesc!A144="","",itens_Remanesc!C144)</f>
        <v/>
      </c>
      <c r="D144" s="225">
        <f>IF(OR(A144="",C144="",NOT(ISNUMBER($L$3))),"",ROUND(C144*$L$3,2))</f>
        <v/>
      </c>
      <c r="E144" s="225">
        <f>IF(OR(A144="",C144="",NOT(ISNUMBER($L$4))),"",ROUND(C144*$L$4,2))</f>
        <v/>
      </c>
      <c r="F144" s="225">
        <f>IF(OR(A144="",C144="",NOT(ISNUMBER($L$5))),"",ROUND(C144*$L$5,2))</f>
        <v/>
      </c>
      <c r="G144" s="225">
        <f>IF(OR(A144="",C144="",NOT(ISNUMBER($L$6))),"",ROUND(C144*$L$6,2))</f>
        <v/>
      </c>
      <c r="H144" s="292">
        <f>IF(OR(A144="",C144="",C144=0,NOT(ISNUMBER($L$6))),"",ROUND($L$6-1,4))</f>
        <v/>
      </c>
      <c r="I144" s="17" t="n"/>
      <c r="J144" s="17" t="n"/>
      <c r="K144" s="17" t="n"/>
      <c r="L144" s="17" t="n"/>
      <c r="M144" s="17" t="n"/>
      <c r="N144" s="17" t="n"/>
      <c r="O144" s="17" t="n"/>
    </row>
    <row r="145">
      <c r="A145" s="233">
        <f>IF(itens_Remanesc!A145="","",itens_Remanesc!A145)</f>
        <v/>
      </c>
      <c r="B145" s="231">
        <f>IF(itens_Remanesc!A145="","",itens_Remanesc!B145)</f>
        <v/>
      </c>
      <c r="C145" s="225">
        <f>IF(itens_Remanesc!A145="","",itens_Remanesc!C145)</f>
        <v/>
      </c>
      <c r="D145" s="225">
        <f>IF(OR(A145="",C145="",NOT(ISNUMBER($L$3))),"",ROUND(C145*$L$3,2))</f>
        <v/>
      </c>
      <c r="E145" s="225">
        <f>IF(OR(A145="",C145="",NOT(ISNUMBER($L$4))),"",ROUND(C145*$L$4,2))</f>
        <v/>
      </c>
      <c r="F145" s="225">
        <f>IF(OR(A145="",C145="",NOT(ISNUMBER($L$5))),"",ROUND(C145*$L$5,2))</f>
        <v/>
      </c>
      <c r="G145" s="225">
        <f>IF(OR(A145="",C145="",NOT(ISNUMBER($L$6))),"",ROUND(C145*$L$6,2))</f>
        <v/>
      </c>
      <c r="H145" s="292">
        <f>IF(OR(A145="",C145="",C145=0,NOT(ISNUMBER($L$6))),"",ROUND($L$6-1,4))</f>
        <v/>
      </c>
      <c r="I145" s="17" t="n"/>
      <c r="J145" s="17" t="n"/>
      <c r="K145" s="17" t="n"/>
      <c r="L145" s="17" t="n"/>
      <c r="M145" s="17" t="n"/>
      <c r="N145" s="17" t="n"/>
      <c r="O145" s="17" t="n"/>
    </row>
    <row r="146">
      <c r="A146" s="233">
        <f>IF(itens_Remanesc!A146="","",itens_Remanesc!A146)</f>
        <v/>
      </c>
      <c r="B146" s="231">
        <f>IF(itens_Remanesc!A146="","",itens_Remanesc!B146)</f>
        <v/>
      </c>
      <c r="C146" s="225">
        <f>IF(itens_Remanesc!A146="","",itens_Remanesc!C146)</f>
        <v/>
      </c>
      <c r="D146" s="225">
        <f>IF(OR(A146="",C146="",NOT(ISNUMBER($L$3))),"",ROUND(C146*$L$3,2))</f>
        <v/>
      </c>
      <c r="E146" s="225">
        <f>IF(OR(A146="",C146="",NOT(ISNUMBER($L$4))),"",ROUND(C146*$L$4,2))</f>
        <v/>
      </c>
      <c r="F146" s="225">
        <f>IF(OR(A146="",C146="",NOT(ISNUMBER($L$5))),"",ROUND(C146*$L$5,2))</f>
        <v/>
      </c>
      <c r="G146" s="225">
        <f>IF(OR(A146="",C146="",NOT(ISNUMBER($L$6))),"",ROUND(C146*$L$6,2))</f>
        <v/>
      </c>
      <c r="H146" s="292">
        <f>IF(OR(A146="",C146="",C146=0,NOT(ISNUMBER($L$6))),"",ROUND($L$6-1,4))</f>
        <v/>
      </c>
      <c r="I146" s="17" t="n"/>
      <c r="J146" s="17" t="n"/>
      <c r="K146" s="17" t="n"/>
      <c r="L146" s="17" t="n"/>
      <c r="M146" s="17" t="n"/>
      <c r="N146" s="17" t="n"/>
      <c r="O146" s="17" t="n"/>
    </row>
    <row r="147">
      <c r="A147" s="233">
        <f>IF(itens_Remanesc!A147="","",itens_Remanesc!A147)</f>
        <v/>
      </c>
      <c r="B147" s="231">
        <f>IF(itens_Remanesc!A147="","",itens_Remanesc!B147)</f>
        <v/>
      </c>
      <c r="C147" s="225">
        <f>IF(itens_Remanesc!A147="","",itens_Remanesc!C147)</f>
        <v/>
      </c>
      <c r="D147" s="225">
        <f>IF(OR(A147="",C147="",NOT(ISNUMBER($L$3))),"",ROUND(C147*$L$3,2))</f>
        <v/>
      </c>
      <c r="E147" s="225">
        <f>IF(OR(A147="",C147="",NOT(ISNUMBER($L$4))),"",ROUND(C147*$L$4,2))</f>
        <v/>
      </c>
      <c r="F147" s="225">
        <f>IF(OR(A147="",C147="",NOT(ISNUMBER($L$5))),"",ROUND(C147*$L$5,2))</f>
        <v/>
      </c>
      <c r="G147" s="225">
        <f>IF(OR(A147="",C147="",NOT(ISNUMBER($L$6))),"",ROUND(C147*$L$6,2))</f>
        <v/>
      </c>
      <c r="H147" s="292">
        <f>IF(OR(A147="",C147="",C147=0,NOT(ISNUMBER($L$6))),"",ROUND($L$6-1,4))</f>
        <v/>
      </c>
      <c r="I147" s="17" t="n"/>
      <c r="J147" s="17" t="n"/>
      <c r="K147" s="17" t="n"/>
      <c r="L147" s="17" t="n"/>
      <c r="M147" s="17" t="n"/>
      <c r="N147" s="17" t="n"/>
      <c r="O147" s="17" t="n"/>
    </row>
    <row r="148">
      <c r="A148" s="233">
        <f>IF(itens_Remanesc!A148="","",itens_Remanesc!A148)</f>
        <v/>
      </c>
      <c r="B148" s="231">
        <f>IF(itens_Remanesc!A148="","",itens_Remanesc!B148)</f>
        <v/>
      </c>
      <c r="C148" s="225">
        <f>IF(itens_Remanesc!A148="","",itens_Remanesc!C148)</f>
        <v/>
      </c>
      <c r="D148" s="225">
        <f>IF(OR(A148="",C148="",NOT(ISNUMBER($L$3))),"",ROUND(C148*$L$3,2))</f>
        <v/>
      </c>
      <c r="E148" s="225">
        <f>IF(OR(A148="",C148="",NOT(ISNUMBER($L$4))),"",ROUND(C148*$L$4,2))</f>
        <v/>
      </c>
      <c r="F148" s="225">
        <f>IF(OR(A148="",C148="",NOT(ISNUMBER($L$5))),"",ROUND(C148*$L$5,2))</f>
        <v/>
      </c>
      <c r="G148" s="225">
        <f>IF(OR(A148="",C148="",NOT(ISNUMBER($L$6))),"",ROUND(C148*$L$6,2))</f>
        <v/>
      </c>
      <c r="H148" s="292">
        <f>IF(OR(A148="",C148="",C148=0,NOT(ISNUMBER($L$6))),"",ROUND($L$6-1,4))</f>
        <v/>
      </c>
      <c r="I148" s="17" t="n"/>
      <c r="J148" s="17" t="n"/>
      <c r="K148" s="17" t="n"/>
      <c r="L148" s="17" t="n"/>
      <c r="M148" s="17" t="n"/>
      <c r="N148" s="17" t="n"/>
      <c r="O148" s="17" t="n"/>
    </row>
    <row r="149">
      <c r="A149" s="233">
        <f>IF(itens_Remanesc!A149="","",itens_Remanesc!A149)</f>
        <v/>
      </c>
      <c r="B149" s="231">
        <f>IF(itens_Remanesc!A149="","",itens_Remanesc!B149)</f>
        <v/>
      </c>
      <c r="C149" s="225">
        <f>IF(itens_Remanesc!A149="","",itens_Remanesc!C149)</f>
        <v/>
      </c>
      <c r="D149" s="225">
        <f>IF(OR(A149="",C149="",NOT(ISNUMBER($L$3))),"",ROUND(C149*$L$3,2))</f>
        <v/>
      </c>
      <c r="E149" s="225">
        <f>IF(OR(A149="",C149="",NOT(ISNUMBER($L$4))),"",ROUND(C149*$L$4,2))</f>
        <v/>
      </c>
      <c r="F149" s="225">
        <f>IF(OR(A149="",C149="",NOT(ISNUMBER($L$5))),"",ROUND(C149*$L$5,2))</f>
        <v/>
      </c>
      <c r="G149" s="225">
        <f>IF(OR(A149="",C149="",NOT(ISNUMBER($L$6))),"",ROUND(C149*$L$6,2))</f>
        <v/>
      </c>
      <c r="H149" s="292">
        <f>IF(OR(A149="",C149="",C149=0,NOT(ISNUMBER($L$6))),"",ROUND($L$6-1,4))</f>
        <v/>
      </c>
      <c r="I149" s="17" t="n"/>
      <c r="J149" s="17" t="n"/>
      <c r="K149" s="17" t="n"/>
      <c r="L149" s="17" t="n"/>
      <c r="M149" s="17" t="n"/>
      <c r="N149" s="17" t="n"/>
      <c r="O149" s="17" t="n"/>
    </row>
    <row r="150">
      <c r="A150" s="233">
        <f>IF(itens_Remanesc!A150="","",itens_Remanesc!A150)</f>
        <v/>
      </c>
      <c r="B150" s="231">
        <f>IF(itens_Remanesc!A150="","",itens_Remanesc!B150)</f>
        <v/>
      </c>
      <c r="C150" s="225">
        <f>IF(itens_Remanesc!A150="","",itens_Remanesc!C150)</f>
        <v/>
      </c>
      <c r="D150" s="225">
        <f>IF(OR(A150="",C150="",NOT(ISNUMBER($L$3))),"",ROUND(C150*$L$3,2))</f>
        <v/>
      </c>
      <c r="E150" s="225">
        <f>IF(OR(A150="",C150="",NOT(ISNUMBER($L$4))),"",ROUND(C150*$L$4,2))</f>
        <v/>
      </c>
      <c r="F150" s="225">
        <f>IF(OR(A150="",C150="",NOT(ISNUMBER($L$5))),"",ROUND(C150*$L$5,2))</f>
        <v/>
      </c>
      <c r="G150" s="225">
        <f>IF(OR(A150="",C150="",NOT(ISNUMBER($L$6))),"",ROUND(C150*$L$6,2))</f>
        <v/>
      </c>
      <c r="H150" s="292">
        <f>IF(OR(A150="",C150="",C150=0,NOT(ISNUMBER($L$6))),"",ROUND($L$6-1,4))</f>
        <v/>
      </c>
      <c r="I150" s="17" t="n"/>
      <c r="J150" s="17" t="n"/>
      <c r="K150" s="17" t="n"/>
      <c r="L150" s="17" t="n"/>
      <c r="M150" s="17" t="n"/>
      <c r="N150" s="17" t="n"/>
      <c r="O150" s="17" t="n"/>
    </row>
    <row r="151">
      <c r="A151" s="233">
        <f>IF(itens_Remanesc!A151="","",itens_Remanesc!A151)</f>
        <v/>
      </c>
      <c r="B151" s="231">
        <f>IF(itens_Remanesc!A151="","",itens_Remanesc!B151)</f>
        <v/>
      </c>
      <c r="C151" s="225">
        <f>IF(itens_Remanesc!A151="","",itens_Remanesc!C151)</f>
        <v/>
      </c>
      <c r="D151" s="225">
        <f>IF(OR(A151="",C151="",NOT(ISNUMBER($L$3))),"",ROUND(C151*$L$3,2))</f>
        <v/>
      </c>
      <c r="E151" s="225">
        <f>IF(OR(A151="",C151="",NOT(ISNUMBER($L$4))),"",ROUND(C151*$L$4,2))</f>
        <v/>
      </c>
      <c r="F151" s="225">
        <f>IF(OR(A151="",C151="",NOT(ISNUMBER($L$5))),"",ROUND(C151*$L$5,2))</f>
        <v/>
      </c>
      <c r="G151" s="225">
        <f>IF(OR(A151="",C151="",NOT(ISNUMBER($L$6))),"",ROUND(C151*$L$6,2))</f>
        <v/>
      </c>
      <c r="H151" s="292">
        <f>IF(OR(A151="",C151="",C151=0,NOT(ISNUMBER($L$6))),"",ROUND($L$6-1,4))</f>
        <v/>
      </c>
      <c r="I151" s="17" t="n"/>
      <c r="J151" s="17" t="n"/>
      <c r="K151" s="17" t="n"/>
      <c r="L151" s="17" t="n"/>
      <c r="M151" s="17" t="n"/>
      <c r="N151" s="17" t="n"/>
      <c r="O151" s="17" t="n"/>
    </row>
    <row r="152">
      <c r="A152" s="233">
        <f>IF(itens_Remanesc!A152="","",itens_Remanesc!A152)</f>
        <v/>
      </c>
      <c r="B152" s="231">
        <f>IF(itens_Remanesc!A152="","",itens_Remanesc!B152)</f>
        <v/>
      </c>
      <c r="C152" s="225">
        <f>IF(itens_Remanesc!A152="","",itens_Remanesc!C152)</f>
        <v/>
      </c>
      <c r="D152" s="225">
        <f>IF(OR(A152="",C152="",NOT(ISNUMBER($L$3))),"",ROUND(C152*$L$3,2))</f>
        <v/>
      </c>
      <c r="E152" s="225">
        <f>IF(OR(A152="",C152="",NOT(ISNUMBER($L$4))),"",ROUND(C152*$L$4,2))</f>
        <v/>
      </c>
      <c r="F152" s="225">
        <f>IF(OR(A152="",C152="",NOT(ISNUMBER($L$5))),"",ROUND(C152*$L$5,2))</f>
        <v/>
      </c>
      <c r="G152" s="225">
        <f>IF(OR(A152="",C152="",NOT(ISNUMBER($L$6))),"",ROUND(C152*$L$6,2))</f>
        <v/>
      </c>
      <c r="H152" s="292">
        <f>IF(OR(A152="",C152="",C152=0,NOT(ISNUMBER($L$6))),"",ROUND($L$6-1,4))</f>
        <v/>
      </c>
      <c r="I152" s="17" t="n"/>
      <c r="J152" s="17" t="n"/>
      <c r="K152" s="17" t="n"/>
      <c r="L152" s="17" t="n"/>
      <c r="M152" s="17" t="n"/>
      <c r="N152" s="17" t="n"/>
      <c r="O152" s="17" t="n"/>
    </row>
    <row r="153">
      <c r="A153" s="233">
        <f>IF(itens_Remanesc!A153="","",itens_Remanesc!A153)</f>
        <v/>
      </c>
      <c r="B153" s="231">
        <f>IF(itens_Remanesc!A153="","",itens_Remanesc!B153)</f>
        <v/>
      </c>
      <c r="C153" s="225">
        <f>IF(itens_Remanesc!A153="","",itens_Remanesc!C153)</f>
        <v/>
      </c>
      <c r="D153" s="225">
        <f>IF(OR(A153="",C153="",NOT(ISNUMBER($L$3))),"",ROUND(C153*$L$3,2))</f>
        <v/>
      </c>
      <c r="E153" s="225">
        <f>IF(OR(A153="",C153="",NOT(ISNUMBER($L$4))),"",ROUND(C153*$L$4,2))</f>
        <v/>
      </c>
      <c r="F153" s="225">
        <f>IF(OR(A153="",C153="",NOT(ISNUMBER($L$5))),"",ROUND(C153*$L$5,2))</f>
        <v/>
      </c>
      <c r="G153" s="225">
        <f>IF(OR(A153="",C153="",NOT(ISNUMBER($L$6))),"",ROUND(C153*$L$6,2))</f>
        <v/>
      </c>
      <c r="H153" s="292">
        <f>IF(OR(A153="",C153="",C153=0,NOT(ISNUMBER($L$6))),"",ROUND($L$6-1,4))</f>
        <v/>
      </c>
      <c r="I153" s="17" t="n"/>
      <c r="J153" s="17" t="n"/>
      <c r="K153" s="17" t="n"/>
      <c r="L153" s="17" t="n"/>
      <c r="M153" s="17" t="n"/>
      <c r="N153" s="17" t="n"/>
      <c r="O153" s="17" t="n"/>
    </row>
    <row r="154">
      <c r="A154" s="233">
        <f>IF(itens_Remanesc!A154="","",itens_Remanesc!A154)</f>
        <v/>
      </c>
      <c r="B154" s="231">
        <f>IF(itens_Remanesc!A154="","",itens_Remanesc!B154)</f>
        <v/>
      </c>
      <c r="C154" s="225">
        <f>IF(itens_Remanesc!A154="","",itens_Remanesc!C154)</f>
        <v/>
      </c>
      <c r="D154" s="225">
        <f>IF(OR(A154="",C154="",NOT(ISNUMBER($L$3))),"",ROUND(C154*$L$3,2))</f>
        <v/>
      </c>
      <c r="E154" s="225">
        <f>IF(OR(A154="",C154="",NOT(ISNUMBER($L$4))),"",ROUND(C154*$L$4,2))</f>
        <v/>
      </c>
      <c r="F154" s="225">
        <f>IF(OR(A154="",C154="",NOT(ISNUMBER($L$5))),"",ROUND(C154*$L$5,2))</f>
        <v/>
      </c>
      <c r="G154" s="225">
        <f>IF(OR(A154="",C154="",NOT(ISNUMBER($L$6))),"",ROUND(C154*$L$6,2))</f>
        <v/>
      </c>
      <c r="H154" s="292">
        <f>IF(OR(A154="",C154="",C154=0,NOT(ISNUMBER($L$6))),"",ROUND($L$6-1,4))</f>
        <v/>
      </c>
      <c r="I154" s="17" t="n"/>
      <c r="J154" s="17" t="n"/>
      <c r="K154" s="17" t="n"/>
      <c r="L154" s="17" t="n"/>
      <c r="M154" s="17" t="n"/>
      <c r="N154" s="17" t="n"/>
      <c r="O154" s="17" t="n"/>
    </row>
    <row r="155">
      <c r="A155" s="233">
        <f>IF(itens_Remanesc!A155="","",itens_Remanesc!A155)</f>
        <v/>
      </c>
      <c r="B155" s="231">
        <f>IF(itens_Remanesc!A155="","",itens_Remanesc!B155)</f>
        <v/>
      </c>
      <c r="C155" s="225">
        <f>IF(itens_Remanesc!A155="","",itens_Remanesc!C155)</f>
        <v/>
      </c>
      <c r="D155" s="225">
        <f>IF(OR(A155="",C155="",NOT(ISNUMBER($L$3))),"",ROUND(C155*$L$3,2))</f>
        <v/>
      </c>
      <c r="E155" s="225">
        <f>IF(OR(A155="",C155="",NOT(ISNUMBER($L$4))),"",ROUND(C155*$L$4,2))</f>
        <v/>
      </c>
      <c r="F155" s="225">
        <f>IF(OR(A155="",C155="",NOT(ISNUMBER($L$5))),"",ROUND(C155*$L$5,2))</f>
        <v/>
      </c>
      <c r="G155" s="225">
        <f>IF(OR(A155="",C155="",NOT(ISNUMBER($L$6))),"",ROUND(C155*$L$6,2))</f>
        <v/>
      </c>
      <c r="H155" s="292">
        <f>IF(OR(A155="",C155="",C155=0,NOT(ISNUMBER($L$6))),"",ROUND($L$6-1,4))</f>
        <v/>
      </c>
      <c r="I155" s="17" t="n"/>
      <c r="J155" s="17" t="n"/>
      <c r="K155" s="17" t="n"/>
      <c r="L155" s="17" t="n"/>
      <c r="M155" s="17" t="n"/>
      <c r="N155" s="17" t="n"/>
      <c r="O155" s="17" t="n"/>
    </row>
    <row r="156">
      <c r="A156" s="233">
        <f>IF(itens_Remanesc!A156="","",itens_Remanesc!A156)</f>
        <v/>
      </c>
      <c r="B156" s="231">
        <f>IF(itens_Remanesc!A156="","",itens_Remanesc!B156)</f>
        <v/>
      </c>
      <c r="C156" s="225">
        <f>IF(itens_Remanesc!A156="","",itens_Remanesc!C156)</f>
        <v/>
      </c>
      <c r="D156" s="225">
        <f>IF(OR(A156="",C156="",NOT(ISNUMBER($L$3))),"",ROUND(C156*$L$3,2))</f>
        <v/>
      </c>
      <c r="E156" s="225">
        <f>IF(OR(A156="",C156="",NOT(ISNUMBER($L$4))),"",ROUND(C156*$L$4,2))</f>
        <v/>
      </c>
      <c r="F156" s="225">
        <f>IF(OR(A156="",C156="",NOT(ISNUMBER($L$5))),"",ROUND(C156*$L$5,2))</f>
        <v/>
      </c>
      <c r="G156" s="225">
        <f>IF(OR(A156="",C156="",NOT(ISNUMBER($L$6))),"",ROUND(C156*$L$6,2))</f>
        <v/>
      </c>
      <c r="H156" s="292">
        <f>IF(OR(A156="",C156="",C156=0,NOT(ISNUMBER($L$6))),"",ROUND($L$6-1,4))</f>
        <v/>
      </c>
      <c r="I156" s="17" t="n"/>
      <c r="J156" s="17" t="n"/>
      <c r="K156" s="17" t="n"/>
      <c r="L156" s="17" t="n"/>
      <c r="M156" s="17" t="n"/>
      <c r="N156" s="17" t="n"/>
      <c r="O156" s="17" t="n"/>
    </row>
    <row r="157">
      <c r="A157" s="233">
        <f>IF(itens_Remanesc!A157="","",itens_Remanesc!A157)</f>
        <v/>
      </c>
      <c r="B157" s="231">
        <f>IF(itens_Remanesc!A157="","",itens_Remanesc!B157)</f>
        <v/>
      </c>
      <c r="C157" s="225">
        <f>IF(itens_Remanesc!A157="","",itens_Remanesc!C157)</f>
        <v/>
      </c>
      <c r="D157" s="225">
        <f>IF(OR(A157="",C157="",NOT(ISNUMBER($L$3))),"",ROUND(C157*$L$3,2))</f>
        <v/>
      </c>
      <c r="E157" s="225">
        <f>IF(OR(A157="",C157="",NOT(ISNUMBER($L$4))),"",ROUND(C157*$L$4,2))</f>
        <v/>
      </c>
      <c r="F157" s="225">
        <f>IF(OR(A157="",C157="",NOT(ISNUMBER($L$5))),"",ROUND(C157*$L$5,2))</f>
        <v/>
      </c>
      <c r="G157" s="225">
        <f>IF(OR(A157="",C157="",NOT(ISNUMBER($L$6))),"",ROUND(C157*$L$6,2))</f>
        <v/>
      </c>
      <c r="H157" s="292">
        <f>IF(OR(A157="",C157="",C157=0,NOT(ISNUMBER($L$6))),"",ROUND($L$6-1,4))</f>
        <v/>
      </c>
      <c r="I157" s="17" t="n"/>
      <c r="J157" s="17" t="n"/>
      <c r="K157" s="17" t="n"/>
      <c r="L157" s="17" t="n"/>
      <c r="M157" s="17" t="n"/>
      <c r="N157" s="17" t="n"/>
      <c r="O157" s="17" t="n"/>
    </row>
    <row r="158">
      <c r="A158" s="233">
        <f>IF(itens_Remanesc!A158="","",itens_Remanesc!A158)</f>
        <v/>
      </c>
      <c r="B158" s="231">
        <f>IF(itens_Remanesc!A158="","",itens_Remanesc!B158)</f>
        <v/>
      </c>
      <c r="C158" s="225">
        <f>IF(itens_Remanesc!A158="","",itens_Remanesc!C158)</f>
        <v/>
      </c>
      <c r="D158" s="225">
        <f>IF(OR(A158="",C158="",NOT(ISNUMBER($L$3))),"",ROUND(C158*$L$3,2))</f>
        <v/>
      </c>
      <c r="E158" s="225">
        <f>IF(OR(A158="",C158="",NOT(ISNUMBER($L$4))),"",ROUND(C158*$L$4,2))</f>
        <v/>
      </c>
      <c r="F158" s="225">
        <f>IF(OR(A158="",C158="",NOT(ISNUMBER($L$5))),"",ROUND(C158*$L$5,2))</f>
        <v/>
      </c>
      <c r="G158" s="225">
        <f>IF(OR(A158="",C158="",NOT(ISNUMBER($L$6))),"",ROUND(C158*$L$6,2))</f>
        <v/>
      </c>
      <c r="H158" s="292">
        <f>IF(OR(A158="",C158="",C158=0,NOT(ISNUMBER($L$6))),"",ROUND($L$6-1,4))</f>
        <v/>
      </c>
      <c r="I158" s="17" t="n"/>
      <c r="J158" s="17" t="n"/>
      <c r="K158" s="17" t="n"/>
      <c r="L158" s="17" t="n"/>
      <c r="M158" s="17" t="n"/>
      <c r="N158" s="17" t="n"/>
      <c r="O158" s="17" t="n"/>
    </row>
    <row r="159">
      <c r="A159" s="233">
        <f>IF(itens_Remanesc!A159="","",itens_Remanesc!A159)</f>
        <v/>
      </c>
      <c r="B159" s="231">
        <f>IF(itens_Remanesc!A159="","",itens_Remanesc!B159)</f>
        <v/>
      </c>
      <c r="C159" s="225">
        <f>IF(itens_Remanesc!A159="","",itens_Remanesc!C159)</f>
        <v/>
      </c>
      <c r="D159" s="225">
        <f>IF(OR(A159="",C159="",NOT(ISNUMBER($L$3))),"",ROUND(C159*$L$3,2))</f>
        <v/>
      </c>
      <c r="E159" s="225">
        <f>IF(OR(A159="",C159="",NOT(ISNUMBER($L$4))),"",ROUND(C159*$L$4,2))</f>
        <v/>
      </c>
      <c r="F159" s="225">
        <f>IF(OR(A159="",C159="",NOT(ISNUMBER($L$5))),"",ROUND(C159*$L$5,2))</f>
        <v/>
      </c>
      <c r="G159" s="225">
        <f>IF(OR(A159="",C159="",NOT(ISNUMBER($L$6))),"",ROUND(C159*$L$6,2))</f>
        <v/>
      </c>
      <c r="H159" s="292">
        <f>IF(OR(A159="",C159="",C159=0,NOT(ISNUMBER($L$6))),"",ROUND($L$6-1,4))</f>
        <v/>
      </c>
      <c r="I159" s="17" t="n"/>
      <c r="J159" s="17" t="n"/>
      <c r="K159" s="17" t="n"/>
      <c r="L159" s="17" t="n"/>
      <c r="M159" s="17" t="n"/>
      <c r="N159" s="17" t="n"/>
      <c r="O159" s="17" t="n"/>
    </row>
    <row r="160">
      <c r="A160" s="233">
        <f>IF(itens_Remanesc!A160="","",itens_Remanesc!A160)</f>
        <v/>
      </c>
      <c r="B160" s="231">
        <f>IF(itens_Remanesc!A160="","",itens_Remanesc!B160)</f>
        <v/>
      </c>
      <c r="C160" s="225">
        <f>IF(itens_Remanesc!A160="","",itens_Remanesc!C160)</f>
        <v/>
      </c>
      <c r="D160" s="225">
        <f>IF(OR(A160="",C160="",NOT(ISNUMBER($L$3))),"",ROUND(C160*$L$3,2))</f>
        <v/>
      </c>
      <c r="E160" s="225">
        <f>IF(OR(A160="",C160="",NOT(ISNUMBER($L$4))),"",ROUND(C160*$L$4,2))</f>
        <v/>
      </c>
      <c r="F160" s="225">
        <f>IF(OR(A160="",C160="",NOT(ISNUMBER($L$5))),"",ROUND(C160*$L$5,2))</f>
        <v/>
      </c>
      <c r="G160" s="225">
        <f>IF(OR(A160="",C160="",NOT(ISNUMBER($L$6))),"",ROUND(C160*$L$6,2))</f>
        <v/>
      </c>
      <c r="H160" s="292">
        <f>IF(OR(A160="",C160="",C160=0,NOT(ISNUMBER($L$6))),"",ROUND($L$6-1,4))</f>
        <v/>
      </c>
      <c r="I160" s="17" t="n"/>
      <c r="J160" s="17" t="n"/>
      <c r="K160" s="17" t="n"/>
      <c r="L160" s="17" t="n"/>
      <c r="M160" s="17" t="n"/>
      <c r="N160" s="17" t="n"/>
      <c r="O160" s="17" t="n"/>
    </row>
    <row r="161">
      <c r="A161" s="233">
        <f>IF(itens_Remanesc!A161="","",itens_Remanesc!A161)</f>
        <v/>
      </c>
      <c r="B161" s="231">
        <f>IF(itens_Remanesc!A161="","",itens_Remanesc!B161)</f>
        <v/>
      </c>
      <c r="C161" s="225">
        <f>IF(itens_Remanesc!A161="","",itens_Remanesc!C161)</f>
        <v/>
      </c>
      <c r="D161" s="225">
        <f>IF(OR(A161="",C161="",NOT(ISNUMBER($L$3))),"",ROUND(C161*$L$3,2))</f>
        <v/>
      </c>
      <c r="E161" s="225">
        <f>IF(OR(A161="",C161="",NOT(ISNUMBER($L$4))),"",ROUND(C161*$L$4,2))</f>
        <v/>
      </c>
      <c r="F161" s="225">
        <f>IF(OR(A161="",C161="",NOT(ISNUMBER($L$5))),"",ROUND(C161*$L$5,2))</f>
        <v/>
      </c>
      <c r="G161" s="225">
        <f>IF(OR(A161="",C161="",NOT(ISNUMBER($L$6))),"",ROUND(C161*$L$6,2))</f>
        <v/>
      </c>
      <c r="H161" s="292">
        <f>IF(OR(A161="",C161="",C161=0,NOT(ISNUMBER($L$6))),"",ROUND($L$6-1,4))</f>
        <v/>
      </c>
      <c r="I161" s="17" t="n"/>
      <c r="J161" s="17" t="n"/>
      <c r="K161" s="17" t="n"/>
      <c r="L161" s="17" t="n"/>
      <c r="M161" s="17" t="n"/>
      <c r="N161" s="17" t="n"/>
      <c r="O161" s="17" t="n"/>
    </row>
    <row r="162">
      <c r="A162" s="233">
        <f>IF(itens_Remanesc!A162="","",itens_Remanesc!A162)</f>
        <v/>
      </c>
      <c r="B162" s="231">
        <f>IF(itens_Remanesc!A162="","",itens_Remanesc!B162)</f>
        <v/>
      </c>
      <c r="C162" s="225">
        <f>IF(itens_Remanesc!A162="","",itens_Remanesc!C162)</f>
        <v/>
      </c>
      <c r="D162" s="225">
        <f>IF(OR(A162="",C162="",NOT(ISNUMBER($L$3))),"",ROUND(C162*$L$3,2))</f>
        <v/>
      </c>
      <c r="E162" s="225">
        <f>IF(OR(A162="",C162="",NOT(ISNUMBER($L$4))),"",ROUND(C162*$L$4,2))</f>
        <v/>
      </c>
      <c r="F162" s="225">
        <f>IF(OR(A162="",C162="",NOT(ISNUMBER($L$5))),"",ROUND(C162*$L$5,2))</f>
        <v/>
      </c>
      <c r="G162" s="225">
        <f>IF(OR(A162="",C162="",NOT(ISNUMBER($L$6))),"",ROUND(C162*$L$6,2))</f>
        <v/>
      </c>
      <c r="H162" s="292">
        <f>IF(OR(A162="",C162="",C162=0,NOT(ISNUMBER($L$6))),"",ROUND($L$6-1,4))</f>
        <v/>
      </c>
      <c r="I162" s="17" t="n"/>
      <c r="J162" s="17" t="n"/>
      <c r="K162" s="17" t="n"/>
      <c r="L162" s="17" t="n"/>
      <c r="M162" s="17" t="n"/>
      <c r="N162" s="17" t="n"/>
      <c r="O162" s="17" t="n"/>
    </row>
    <row r="163">
      <c r="A163" s="233">
        <f>IF(itens_Remanesc!A163="","",itens_Remanesc!A163)</f>
        <v/>
      </c>
      <c r="B163" s="231">
        <f>IF(itens_Remanesc!A163="","",itens_Remanesc!B163)</f>
        <v/>
      </c>
      <c r="C163" s="225">
        <f>IF(itens_Remanesc!A163="","",itens_Remanesc!C163)</f>
        <v/>
      </c>
      <c r="D163" s="225">
        <f>IF(OR(A163="",C163="",NOT(ISNUMBER($L$3))),"",ROUND(C163*$L$3,2))</f>
        <v/>
      </c>
      <c r="E163" s="225">
        <f>IF(OR(A163="",C163="",NOT(ISNUMBER($L$4))),"",ROUND(C163*$L$4,2))</f>
        <v/>
      </c>
      <c r="F163" s="225">
        <f>IF(OR(A163="",C163="",NOT(ISNUMBER($L$5))),"",ROUND(C163*$L$5,2))</f>
        <v/>
      </c>
      <c r="G163" s="225">
        <f>IF(OR(A163="",C163="",NOT(ISNUMBER($L$6))),"",ROUND(C163*$L$6,2))</f>
        <v/>
      </c>
      <c r="H163" s="292">
        <f>IF(OR(A163="",C163="",C163=0,NOT(ISNUMBER($L$6))),"",ROUND($L$6-1,4))</f>
        <v/>
      </c>
      <c r="I163" s="17" t="n"/>
      <c r="J163" s="17" t="n"/>
      <c r="K163" s="17" t="n"/>
      <c r="L163" s="17" t="n"/>
      <c r="M163" s="17" t="n"/>
      <c r="N163" s="17" t="n"/>
      <c r="O163" s="17" t="n"/>
    </row>
    <row r="164">
      <c r="A164" s="233">
        <f>IF(itens_Remanesc!A164="","",itens_Remanesc!A164)</f>
        <v/>
      </c>
      <c r="B164" s="231">
        <f>IF(itens_Remanesc!A164="","",itens_Remanesc!B164)</f>
        <v/>
      </c>
      <c r="C164" s="225">
        <f>IF(itens_Remanesc!A164="","",itens_Remanesc!C164)</f>
        <v/>
      </c>
      <c r="D164" s="225">
        <f>IF(OR(A164="",C164="",NOT(ISNUMBER($L$3))),"",ROUND(C164*$L$3,2))</f>
        <v/>
      </c>
      <c r="E164" s="225">
        <f>IF(OR(A164="",C164="",NOT(ISNUMBER($L$4))),"",ROUND(C164*$L$4,2))</f>
        <v/>
      </c>
      <c r="F164" s="225">
        <f>IF(OR(A164="",C164="",NOT(ISNUMBER($L$5))),"",ROUND(C164*$L$5,2))</f>
        <v/>
      </c>
      <c r="G164" s="225">
        <f>IF(OR(A164="",C164="",NOT(ISNUMBER($L$6))),"",ROUND(C164*$L$6,2))</f>
        <v/>
      </c>
      <c r="H164" s="292">
        <f>IF(OR(A164="",C164="",C164=0,NOT(ISNUMBER($L$6))),"",ROUND($L$6-1,4))</f>
        <v/>
      </c>
      <c r="I164" s="17" t="n"/>
      <c r="J164" s="17" t="n"/>
      <c r="K164" s="17" t="n"/>
      <c r="L164" s="17" t="n"/>
      <c r="M164" s="17" t="n"/>
      <c r="N164" s="17" t="n"/>
      <c r="O164" s="17" t="n"/>
    </row>
    <row r="165">
      <c r="A165" s="233">
        <f>IF(itens_Remanesc!A165="","",itens_Remanesc!A165)</f>
        <v/>
      </c>
      <c r="B165" s="231">
        <f>IF(itens_Remanesc!A165="","",itens_Remanesc!B165)</f>
        <v/>
      </c>
      <c r="C165" s="225">
        <f>IF(itens_Remanesc!A165="","",itens_Remanesc!C165)</f>
        <v/>
      </c>
      <c r="D165" s="225">
        <f>IF(OR(A165="",C165="",NOT(ISNUMBER($L$3))),"",ROUND(C165*$L$3,2))</f>
        <v/>
      </c>
      <c r="E165" s="225">
        <f>IF(OR(A165="",C165="",NOT(ISNUMBER($L$4))),"",ROUND(C165*$L$4,2))</f>
        <v/>
      </c>
      <c r="F165" s="225">
        <f>IF(OR(A165="",C165="",NOT(ISNUMBER($L$5))),"",ROUND(C165*$L$5,2))</f>
        <v/>
      </c>
      <c r="G165" s="225">
        <f>IF(OR(A165="",C165="",NOT(ISNUMBER($L$6))),"",ROUND(C165*$L$6,2))</f>
        <v/>
      </c>
      <c r="H165" s="292">
        <f>IF(OR(A165="",C165="",C165=0,NOT(ISNUMBER($L$6))),"",ROUND($L$6-1,4))</f>
        <v/>
      </c>
      <c r="I165" s="17" t="n"/>
      <c r="J165" s="17" t="n"/>
      <c r="K165" s="17" t="n"/>
      <c r="L165" s="17" t="n"/>
      <c r="M165" s="17" t="n"/>
      <c r="N165" s="17" t="n"/>
      <c r="O165" s="17" t="n"/>
    </row>
    <row r="166">
      <c r="A166" s="233">
        <f>IF(itens_Remanesc!A166="","",itens_Remanesc!A166)</f>
        <v/>
      </c>
      <c r="B166" s="231">
        <f>IF(itens_Remanesc!A166="","",itens_Remanesc!B166)</f>
        <v/>
      </c>
      <c r="C166" s="225">
        <f>IF(itens_Remanesc!A166="","",itens_Remanesc!C166)</f>
        <v/>
      </c>
      <c r="D166" s="225">
        <f>IF(OR(A166="",C166="",NOT(ISNUMBER($L$3))),"",ROUND(C166*$L$3,2))</f>
        <v/>
      </c>
      <c r="E166" s="225">
        <f>IF(OR(A166="",C166="",NOT(ISNUMBER($L$4))),"",ROUND(C166*$L$4,2))</f>
        <v/>
      </c>
      <c r="F166" s="225">
        <f>IF(OR(A166="",C166="",NOT(ISNUMBER($L$5))),"",ROUND(C166*$L$5,2))</f>
        <v/>
      </c>
      <c r="G166" s="225">
        <f>IF(OR(A166="",C166="",NOT(ISNUMBER($L$6))),"",ROUND(C166*$L$6,2))</f>
        <v/>
      </c>
      <c r="H166" s="292">
        <f>IF(OR(A166="",C166="",C166=0,NOT(ISNUMBER($L$6))),"",ROUND($L$6-1,4))</f>
        <v/>
      </c>
      <c r="I166" s="17" t="n"/>
      <c r="J166" s="17" t="n"/>
      <c r="K166" s="17" t="n"/>
      <c r="L166" s="17" t="n"/>
      <c r="M166" s="17" t="n"/>
      <c r="N166" s="17" t="n"/>
      <c r="O166" s="17" t="n"/>
    </row>
    <row r="167">
      <c r="A167" s="233">
        <f>IF(itens_Remanesc!A167="","",itens_Remanesc!A167)</f>
        <v/>
      </c>
      <c r="B167" s="231">
        <f>IF(itens_Remanesc!A167="","",itens_Remanesc!B167)</f>
        <v/>
      </c>
      <c r="C167" s="225">
        <f>IF(itens_Remanesc!A167="","",itens_Remanesc!C167)</f>
        <v/>
      </c>
      <c r="D167" s="225">
        <f>IF(OR(A167="",C167="",NOT(ISNUMBER($L$3))),"",ROUND(C167*$L$3,2))</f>
        <v/>
      </c>
      <c r="E167" s="225">
        <f>IF(OR(A167="",C167="",NOT(ISNUMBER($L$4))),"",ROUND(C167*$L$4,2))</f>
        <v/>
      </c>
      <c r="F167" s="225">
        <f>IF(OR(A167="",C167="",NOT(ISNUMBER($L$5))),"",ROUND(C167*$L$5,2))</f>
        <v/>
      </c>
      <c r="G167" s="225">
        <f>IF(OR(A167="",C167="",NOT(ISNUMBER($L$6))),"",ROUND(C167*$L$6,2))</f>
        <v/>
      </c>
      <c r="H167" s="292">
        <f>IF(OR(A167="",C167="",C167=0,NOT(ISNUMBER($L$6))),"",ROUND($L$6-1,4))</f>
        <v/>
      </c>
      <c r="I167" s="17" t="n"/>
      <c r="J167" s="17" t="n"/>
      <c r="K167" s="17" t="n"/>
      <c r="L167" s="17" t="n"/>
      <c r="M167" s="17" t="n"/>
      <c r="N167" s="17" t="n"/>
      <c r="O167" s="17" t="n"/>
    </row>
    <row r="168">
      <c r="A168" s="233">
        <f>IF(itens_Remanesc!A168="","",itens_Remanesc!A168)</f>
        <v/>
      </c>
      <c r="B168" s="231">
        <f>IF(itens_Remanesc!A168="","",itens_Remanesc!B168)</f>
        <v/>
      </c>
      <c r="C168" s="225">
        <f>IF(itens_Remanesc!A168="","",itens_Remanesc!C168)</f>
        <v/>
      </c>
      <c r="D168" s="225">
        <f>IF(OR(A168="",C168="",NOT(ISNUMBER($L$3))),"",ROUND(C168*$L$3,2))</f>
        <v/>
      </c>
      <c r="E168" s="225">
        <f>IF(OR(A168="",C168="",NOT(ISNUMBER($L$4))),"",ROUND(C168*$L$4,2))</f>
        <v/>
      </c>
      <c r="F168" s="225">
        <f>IF(OR(A168="",C168="",NOT(ISNUMBER($L$5))),"",ROUND(C168*$L$5,2))</f>
        <v/>
      </c>
      <c r="G168" s="225">
        <f>IF(OR(A168="",C168="",NOT(ISNUMBER($L$6))),"",ROUND(C168*$L$6,2))</f>
        <v/>
      </c>
      <c r="H168" s="292">
        <f>IF(OR(A168="",C168="",C168=0,NOT(ISNUMBER($L$6))),"",ROUND($L$6-1,4))</f>
        <v/>
      </c>
      <c r="I168" s="17" t="n"/>
      <c r="J168" s="17" t="n"/>
      <c r="K168" s="17" t="n"/>
      <c r="L168" s="17" t="n"/>
      <c r="M168" s="17" t="n"/>
      <c r="N168" s="17" t="n"/>
      <c r="O168" s="17" t="n"/>
    </row>
    <row r="169">
      <c r="A169" s="233">
        <f>IF(itens_Remanesc!A169="","",itens_Remanesc!A169)</f>
        <v/>
      </c>
      <c r="B169" s="231">
        <f>IF(itens_Remanesc!A169="","",itens_Remanesc!B169)</f>
        <v/>
      </c>
      <c r="C169" s="225">
        <f>IF(itens_Remanesc!A169="","",itens_Remanesc!C169)</f>
        <v/>
      </c>
      <c r="D169" s="225">
        <f>IF(OR(A169="",C169="",NOT(ISNUMBER($L$3))),"",ROUND(C169*$L$3,2))</f>
        <v/>
      </c>
      <c r="E169" s="225">
        <f>IF(OR(A169="",C169="",NOT(ISNUMBER($L$4))),"",ROUND(C169*$L$4,2))</f>
        <v/>
      </c>
      <c r="F169" s="225">
        <f>IF(OR(A169="",C169="",NOT(ISNUMBER($L$5))),"",ROUND(C169*$L$5,2))</f>
        <v/>
      </c>
      <c r="G169" s="225">
        <f>IF(OR(A169="",C169="",NOT(ISNUMBER($L$6))),"",ROUND(C169*$L$6,2))</f>
        <v/>
      </c>
      <c r="H169" s="292">
        <f>IF(OR(A169="",C169="",C169=0,NOT(ISNUMBER($L$6))),"",ROUND($L$6-1,4))</f>
        <v/>
      </c>
      <c r="I169" s="17" t="n"/>
      <c r="J169" s="17" t="n"/>
      <c r="K169" s="17" t="n"/>
      <c r="L169" s="17" t="n"/>
      <c r="M169" s="17" t="n"/>
      <c r="N169" s="17" t="n"/>
      <c r="O169" s="17" t="n"/>
    </row>
    <row r="170">
      <c r="A170" s="233">
        <f>IF(itens_Remanesc!A170="","",itens_Remanesc!A170)</f>
        <v/>
      </c>
      <c r="B170" s="231">
        <f>IF(itens_Remanesc!A170="","",itens_Remanesc!B170)</f>
        <v/>
      </c>
      <c r="C170" s="225">
        <f>IF(itens_Remanesc!A170="","",itens_Remanesc!C170)</f>
        <v/>
      </c>
      <c r="D170" s="225">
        <f>IF(OR(A170="",C170="",NOT(ISNUMBER($L$3))),"",ROUND(C170*$L$3,2))</f>
        <v/>
      </c>
      <c r="E170" s="225">
        <f>IF(OR(A170="",C170="",NOT(ISNUMBER($L$4))),"",ROUND(C170*$L$4,2))</f>
        <v/>
      </c>
      <c r="F170" s="225">
        <f>IF(OR(A170="",C170="",NOT(ISNUMBER($L$5))),"",ROUND(C170*$L$5,2))</f>
        <v/>
      </c>
      <c r="G170" s="225">
        <f>IF(OR(A170="",C170="",NOT(ISNUMBER($L$6))),"",ROUND(C170*$L$6,2))</f>
        <v/>
      </c>
      <c r="H170" s="292">
        <f>IF(OR(A170="",C170="",C170=0,NOT(ISNUMBER($L$6))),"",ROUND($L$6-1,4))</f>
        <v/>
      </c>
      <c r="I170" s="17" t="n"/>
      <c r="J170" s="17" t="n"/>
      <c r="K170" s="17" t="n"/>
      <c r="L170" s="17" t="n"/>
      <c r="M170" s="17" t="n"/>
      <c r="N170" s="17" t="n"/>
      <c r="O170" s="17" t="n"/>
    </row>
    <row r="171">
      <c r="A171" s="233">
        <f>IF(itens_Remanesc!A171="","",itens_Remanesc!A171)</f>
        <v/>
      </c>
      <c r="B171" s="231">
        <f>IF(itens_Remanesc!A171="","",itens_Remanesc!B171)</f>
        <v/>
      </c>
      <c r="C171" s="225">
        <f>IF(itens_Remanesc!A171="","",itens_Remanesc!C171)</f>
        <v/>
      </c>
      <c r="D171" s="225">
        <f>IF(OR(A171="",C171="",NOT(ISNUMBER($L$3))),"",ROUND(C171*$L$3,2))</f>
        <v/>
      </c>
      <c r="E171" s="225">
        <f>IF(OR(A171="",C171="",NOT(ISNUMBER($L$4))),"",ROUND(C171*$L$4,2))</f>
        <v/>
      </c>
      <c r="F171" s="225">
        <f>IF(OR(A171="",C171="",NOT(ISNUMBER($L$5))),"",ROUND(C171*$L$5,2))</f>
        <v/>
      </c>
      <c r="G171" s="225">
        <f>IF(OR(A171="",C171="",NOT(ISNUMBER($L$6))),"",ROUND(C171*$L$6,2))</f>
        <v/>
      </c>
      <c r="H171" s="292">
        <f>IF(OR(A171="",C171="",C171=0,NOT(ISNUMBER($L$6))),"",ROUND($L$6-1,4))</f>
        <v/>
      </c>
      <c r="I171" s="17" t="n"/>
      <c r="J171" s="17" t="n"/>
      <c r="K171" s="17" t="n"/>
      <c r="L171" s="17" t="n"/>
      <c r="M171" s="17" t="n"/>
      <c r="N171" s="17" t="n"/>
      <c r="O171" s="17" t="n"/>
    </row>
    <row r="172">
      <c r="A172" s="233">
        <f>IF(itens_Remanesc!A172="","",itens_Remanesc!A172)</f>
        <v/>
      </c>
      <c r="B172" s="231">
        <f>IF(itens_Remanesc!A172="","",itens_Remanesc!B172)</f>
        <v/>
      </c>
      <c r="C172" s="225">
        <f>IF(itens_Remanesc!A172="","",itens_Remanesc!C172)</f>
        <v/>
      </c>
      <c r="D172" s="225">
        <f>IF(OR(A172="",C172="",NOT(ISNUMBER($L$3))),"",ROUND(C172*$L$3,2))</f>
        <v/>
      </c>
      <c r="E172" s="225">
        <f>IF(OR(A172="",C172="",NOT(ISNUMBER($L$4))),"",ROUND(C172*$L$4,2))</f>
        <v/>
      </c>
      <c r="F172" s="225">
        <f>IF(OR(A172="",C172="",NOT(ISNUMBER($L$5))),"",ROUND(C172*$L$5,2))</f>
        <v/>
      </c>
      <c r="G172" s="225">
        <f>IF(OR(A172="",C172="",NOT(ISNUMBER($L$6))),"",ROUND(C172*$L$6,2))</f>
        <v/>
      </c>
      <c r="H172" s="292">
        <f>IF(OR(A172="",C172="",C172=0,NOT(ISNUMBER($L$6))),"",ROUND($L$6-1,4))</f>
        <v/>
      </c>
      <c r="I172" s="17" t="n"/>
      <c r="J172" s="17" t="n"/>
      <c r="K172" s="17" t="n"/>
      <c r="L172" s="17" t="n"/>
      <c r="M172" s="17" t="n"/>
      <c r="N172" s="17" t="n"/>
      <c r="O172" s="17" t="n"/>
    </row>
    <row r="173">
      <c r="A173" s="233">
        <f>IF(itens_Remanesc!A173="","",itens_Remanesc!A173)</f>
        <v/>
      </c>
      <c r="B173" s="231">
        <f>IF(itens_Remanesc!A173="","",itens_Remanesc!B173)</f>
        <v/>
      </c>
      <c r="C173" s="225">
        <f>IF(itens_Remanesc!A173="","",itens_Remanesc!C173)</f>
        <v/>
      </c>
      <c r="D173" s="225">
        <f>IF(OR(A173="",C173="",NOT(ISNUMBER($L$3))),"",ROUND(C173*$L$3,2))</f>
        <v/>
      </c>
      <c r="E173" s="225">
        <f>IF(OR(A173="",C173="",NOT(ISNUMBER($L$4))),"",ROUND(C173*$L$4,2))</f>
        <v/>
      </c>
      <c r="F173" s="225">
        <f>IF(OR(A173="",C173="",NOT(ISNUMBER($L$5))),"",ROUND(C173*$L$5,2))</f>
        <v/>
      </c>
      <c r="G173" s="225">
        <f>IF(OR(A173="",C173="",NOT(ISNUMBER($L$6))),"",ROUND(C173*$L$6,2))</f>
        <v/>
      </c>
      <c r="H173" s="292">
        <f>IF(OR(A173="",C173="",C173=0,NOT(ISNUMBER($L$6))),"",ROUND($L$6-1,4))</f>
        <v/>
      </c>
      <c r="I173" s="17" t="n"/>
      <c r="J173" s="17" t="n"/>
      <c r="K173" s="17" t="n"/>
      <c r="L173" s="17" t="n"/>
      <c r="M173" s="17" t="n"/>
      <c r="N173" s="17" t="n"/>
      <c r="O173" s="17" t="n"/>
    </row>
    <row r="174">
      <c r="A174" s="233">
        <f>IF(itens_Remanesc!A174="","",itens_Remanesc!A174)</f>
        <v/>
      </c>
      <c r="B174" s="231">
        <f>IF(itens_Remanesc!A174="","",itens_Remanesc!B174)</f>
        <v/>
      </c>
      <c r="C174" s="225">
        <f>IF(itens_Remanesc!A174="","",itens_Remanesc!C174)</f>
        <v/>
      </c>
      <c r="D174" s="225">
        <f>IF(OR(A174="",C174="",NOT(ISNUMBER($L$3))),"",ROUND(C174*$L$3,2))</f>
        <v/>
      </c>
      <c r="E174" s="225">
        <f>IF(OR(A174="",C174="",NOT(ISNUMBER($L$4))),"",ROUND(C174*$L$4,2))</f>
        <v/>
      </c>
      <c r="F174" s="225">
        <f>IF(OR(A174="",C174="",NOT(ISNUMBER($L$5))),"",ROUND(C174*$L$5,2))</f>
        <v/>
      </c>
      <c r="G174" s="225">
        <f>IF(OR(A174="",C174="",NOT(ISNUMBER($L$6))),"",ROUND(C174*$L$6,2))</f>
        <v/>
      </c>
      <c r="H174" s="292">
        <f>IF(OR(A174="",C174="",C174=0,NOT(ISNUMBER($L$6))),"",ROUND($L$6-1,4))</f>
        <v/>
      </c>
      <c r="I174" s="17" t="n"/>
      <c r="J174" s="17" t="n"/>
      <c r="K174" s="17" t="n"/>
      <c r="L174" s="17" t="n"/>
      <c r="M174" s="17" t="n"/>
      <c r="N174" s="17" t="n"/>
      <c r="O174" s="17" t="n"/>
    </row>
    <row r="175">
      <c r="A175" s="233">
        <f>IF(itens_Remanesc!A175="","",itens_Remanesc!A175)</f>
        <v/>
      </c>
      <c r="B175" s="231">
        <f>IF(itens_Remanesc!A175="","",itens_Remanesc!B175)</f>
        <v/>
      </c>
      <c r="C175" s="225">
        <f>IF(itens_Remanesc!A175="","",itens_Remanesc!C175)</f>
        <v/>
      </c>
      <c r="D175" s="225">
        <f>IF(OR(A175="",C175="",NOT(ISNUMBER($L$3))),"",ROUND(C175*$L$3,2))</f>
        <v/>
      </c>
      <c r="E175" s="225">
        <f>IF(OR(A175="",C175="",NOT(ISNUMBER($L$4))),"",ROUND(C175*$L$4,2))</f>
        <v/>
      </c>
      <c r="F175" s="225">
        <f>IF(OR(A175="",C175="",NOT(ISNUMBER($L$5))),"",ROUND(C175*$L$5,2))</f>
        <v/>
      </c>
      <c r="G175" s="225">
        <f>IF(OR(A175="",C175="",NOT(ISNUMBER($L$6))),"",ROUND(C175*$L$6,2))</f>
        <v/>
      </c>
      <c r="H175" s="292">
        <f>IF(OR(A175="",C175="",C175=0,NOT(ISNUMBER($L$6))),"",ROUND($L$6-1,4))</f>
        <v/>
      </c>
      <c r="I175" s="17" t="n"/>
      <c r="J175" s="17" t="n"/>
      <c r="K175" s="17" t="n"/>
      <c r="L175" s="17" t="n"/>
      <c r="M175" s="17" t="n"/>
      <c r="N175" s="17" t="n"/>
      <c r="O175" s="17" t="n"/>
    </row>
    <row r="176">
      <c r="A176" s="233">
        <f>IF(itens_Remanesc!A176="","",itens_Remanesc!A176)</f>
        <v/>
      </c>
      <c r="B176" s="231">
        <f>IF(itens_Remanesc!A176="","",itens_Remanesc!B176)</f>
        <v/>
      </c>
      <c r="C176" s="225">
        <f>IF(itens_Remanesc!A176="","",itens_Remanesc!C176)</f>
        <v/>
      </c>
      <c r="D176" s="225">
        <f>IF(OR(A176="",C176="",NOT(ISNUMBER($L$3))),"",ROUND(C176*$L$3,2))</f>
        <v/>
      </c>
      <c r="E176" s="225">
        <f>IF(OR(A176="",C176="",NOT(ISNUMBER($L$4))),"",ROUND(C176*$L$4,2))</f>
        <v/>
      </c>
      <c r="F176" s="225">
        <f>IF(OR(A176="",C176="",NOT(ISNUMBER($L$5))),"",ROUND(C176*$L$5,2))</f>
        <v/>
      </c>
      <c r="G176" s="225">
        <f>IF(OR(A176="",C176="",NOT(ISNUMBER($L$6))),"",ROUND(C176*$L$6,2))</f>
        <v/>
      </c>
      <c r="H176" s="292">
        <f>IF(OR(A176="",C176="",C176=0,NOT(ISNUMBER($L$6))),"",ROUND($L$6-1,4))</f>
        <v/>
      </c>
      <c r="I176" s="17" t="n"/>
      <c r="J176" s="17" t="n"/>
      <c r="K176" s="17" t="n"/>
      <c r="L176" s="17" t="n"/>
      <c r="M176" s="17" t="n"/>
      <c r="N176" s="17" t="n"/>
      <c r="O176" s="17" t="n"/>
    </row>
    <row r="177">
      <c r="A177" s="233">
        <f>IF(itens_Remanesc!A177="","",itens_Remanesc!A177)</f>
        <v/>
      </c>
      <c r="B177" s="231">
        <f>IF(itens_Remanesc!A177="","",itens_Remanesc!B177)</f>
        <v/>
      </c>
      <c r="C177" s="225">
        <f>IF(itens_Remanesc!A177="","",itens_Remanesc!C177)</f>
        <v/>
      </c>
      <c r="D177" s="225">
        <f>IF(OR(A177="",C177="",NOT(ISNUMBER($L$3))),"",ROUND(C177*$L$3,2))</f>
        <v/>
      </c>
      <c r="E177" s="225">
        <f>IF(OR(A177="",C177="",NOT(ISNUMBER($L$4))),"",ROUND(C177*$L$4,2))</f>
        <v/>
      </c>
      <c r="F177" s="225">
        <f>IF(OR(A177="",C177="",NOT(ISNUMBER($L$5))),"",ROUND(C177*$L$5,2))</f>
        <v/>
      </c>
      <c r="G177" s="225">
        <f>IF(OR(A177="",C177="",NOT(ISNUMBER($L$6))),"",ROUND(C177*$L$6,2))</f>
        <v/>
      </c>
      <c r="H177" s="292">
        <f>IF(OR(A177="",C177="",C177=0,NOT(ISNUMBER($L$6))),"",ROUND($L$6-1,4))</f>
        <v/>
      </c>
      <c r="I177" s="17" t="n"/>
      <c r="J177" s="17" t="n"/>
      <c r="K177" s="17" t="n"/>
      <c r="L177" s="17" t="n"/>
      <c r="M177" s="17" t="n"/>
      <c r="N177" s="17" t="n"/>
      <c r="O177" s="17" t="n"/>
    </row>
    <row r="178">
      <c r="A178" s="233">
        <f>IF(itens_Remanesc!A178="","",itens_Remanesc!A178)</f>
        <v/>
      </c>
      <c r="B178" s="231">
        <f>IF(itens_Remanesc!A178="","",itens_Remanesc!B178)</f>
        <v/>
      </c>
      <c r="C178" s="225">
        <f>IF(itens_Remanesc!A178="","",itens_Remanesc!C178)</f>
        <v/>
      </c>
      <c r="D178" s="225">
        <f>IF(OR(A178="",C178="",NOT(ISNUMBER($L$3))),"",ROUND(C178*$L$3,2))</f>
        <v/>
      </c>
      <c r="E178" s="225">
        <f>IF(OR(A178="",C178="",NOT(ISNUMBER($L$4))),"",ROUND(C178*$L$4,2))</f>
        <v/>
      </c>
      <c r="F178" s="225">
        <f>IF(OR(A178="",C178="",NOT(ISNUMBER($L$5))),"",ROUND(C178*$L$5,2))</f>
        <v/>
      </c>
      <c r="G178" s="225">
        <f>IF(OR(A178="",C178="",NOT(ISNUMBER($L$6))),"",ROUND(C178*$L$6,2))</f>
        <v/>
      </c>
      <c r="H178" s="292">
        <f>IF(OR(A178="",C178="",C178=0,NOT(ISNUMBER($L$6))),"",ROUND($L$6-1,4))</f>
        <v/>
      </c>
      <c r="I178" s="17" t="n"/>
      <c r="J178" s="17" t="n"/>
      <c r="K178" s="17" t="n"/>
      <c r="L178" s="17" t="n"/>
      <c r="M178" s="17" t="n"/>
      <c r="N178" s="17" t="n"/>
      <c r="O178" s="17" t="n"/>
    </row>
    <row r="179">
      <c r="A179" s="233">
        <f>IF(itens_Remanesc!A179="","",itens_Remanesc!A179)</f>
        <v/>
      </c>
      <c r="B179" s="231">
        <f>IF(itens_Remanesc!A179="","",itens_Remanesc!B179)</f>
        <v/>
      </c>
      <c r="C179" s="225">
        <f>IF(itens_Remanesc!A179="","",itens_Remanesc!C179)</f>
        <v/>
      </c>
      <c r="D179" s="225">
        <f>IF(OR(A179="",C179="",NOT(ISNUMBER($L$3))),"",ROUND(C179*$L$3,2))</f>
        <v/>
      </c>
      <c r="E179" s="225">
        <f>IF(OR(A179="",C179="",NOT(ISNUMBER($L$4))),"",ROUND(C179*$L$4,2))</f>
        <v/>
      </c>
      <c r="F179" s="225">
        <f>IF(OR(A179="",C179="",NOT(ISNUMBER($L$5))),"",ROUND(C179*$L$5,2))</f>
        <v/>
      </c>
      <c r="G179" s="225">
        <f>IF(OR(A179="",C179="",NOT(ISNUMBER($L$6))),"",ROUND(C179*$L$6,2))</f>
        <v/>
      </c>
      <c r="H179" s="292">
        <f>IF(OR(A179="",C179="",C179=0,NOT(ISNUMBER($L$6))),"",ROUND($L$6-1,4))</f>
        <v/>
      </c>
      <c r="I179" s="17" t="n"/>
      <c r="J179" s="17" t="n"/>
      <c r="K179" s="17" t="n"/>
      <c r="L179" s="17" t="n"/>
      <c r="M179" s="17" t="n"/>
      <c r="N179" s="17" t="n"/>
      <c r="O179" s="17" t="n"/>
    </row>
    <row r="180">
      <c r="A180" s="233">
        <f>IF(itens_Remanesc!A180="","",itens_Remanesc!A180)</f>
        <v/>
      </c>
      <c r="B180" s="231">
        <f>IF(itens_Remanesc!A180="","",itens_Remanesc!B180)</f>
        <v/>
      </c>
      <c r="C180" s="225">
        <f>IF(itens_Remanesc!A180="","",itens_Remanesc!C180)</f>
        <v/>
      </c>
      <c r="D180" s="225">
        <f>IF(OR(A180="",C180="",NOT(ISNUMBER($L$3))),"",ROUND(C180*$L$3,2))</f>
        <v/>
      </c>
      <c r="E180" s="225">
        <f>IF(OR(A180="",C180="",NOT(ISNUMBER($L$4))),"",ROUND(C180*$L$4,2))</f>
        <v/>
      </c>
      <c r="F180" s="225">
        <f>IF(OR(A180="",C180="",NOT(ISNUMBER($L$5))),"",ROUND(C180*$L$5,2))</f>
        <v/>
      </c>
      <c r="G180" s="225">
        <f>IF(OR(A180="",C180="",NOT(ISNUMBER($L$6))),"",ROUND(C180*$L$6,2))</f>
        <v/>
      </c>
      <c r="H180" s="292">
        <f>IF(OR(A180="",C180="",C180=0,NOT(ISNUMBER($L$6))),"",ROUND($L$6-1,4))</f>
        <v/>
      </c>
      <c r="I180" s="17" t="n"/>
      <c r="J180" s="17" t="n"/>
      <c r="K180" s="17" t="n"/>
      <c r="L180" s="17" t="n"/>
      <c r="M180" s="17" t="n"/>
      <c r="N180" s="17" t="n"/>
      <c r="O180" s="17" t="n"/>
    </row>
    <row r="181">
      <c r="A181" s="233">
        <f>IF(itens_Remanesc!A181="","",itens_Remanesc!A181)</f>
        <v/>
      </c>
      <c r="B181" s="231">
        <f>IF(itens_Remanesc!A181="","",itens_Remanesc!B181)</f>
        <v/>
      </c>
      <c r="C181" s="225">
        <f>IF(itens_Remanesc!A181="","",itens_Remanesc!C181)</f>
        <v/>
      </c>
      <c r="D181" s="225">
        <f>IF(OR(A181="",C181="",NOT(ISNUMBER($L$3))),"",ROUND(C181*$L$3,2))</f>
        <v/>
      </c>
      <c r="E181" s="225">
        <f>IF(OR(A181="",C181="",NOT(ISNUMBER($L$4))),"",ROUND(C181*$L$4,2))</f>
        <v/>
      </c>
      <c r="F181" s="225">
        <f>IF(OR(A181="",C181="",NOT(ISNUMBER($L$5))),"",ROUND(C181*$L$5,2))</f>
        <v/>
      </c>
      <c r="G181" s="225">
        <f>IF(OR(A181="",C181="",NOT(ISNUMBER($L$6))),"",ROUND(C181*$L$6,2))</f>
        <v/>
      </c>
      <c r="H181" s="292">
        <f>IF(OR(A181="",C181="",C181=0,NOT(ISNUMBER($L$6))),"",ROUND($L$6-1,4))</f>
        <v/>
      </c>
      <c r="I181" s="17" t="n"/>
      <c r="J181" s="17" t="n"/>
      <c r="K181" s="17" t="n"/>
      <c r="L181" s="17" t="n"/>
      <c r="M181" s="17" t="n"/>
      <c r="N181" s="17" t="n"/>
      <c r="O181" s="17" t="n"/>
    </row>
    <row r="182">
      <c r="A182" s="233">
        <f>IF(itens_Remanesc!A182="","",itens_Remanesc!A182)</f>
        <v/>
      </c>
      <c r="B182" s="231">
        <f>IF(itens_Remanesc!A182="","",itens_Remanesc!B182)</f>
        <v/>
      </c>
      <c r="C182" s="225">
        <f>IF(itens_Remanesc!A182="","",itens_Remanesc!C182)</f>
        <v/>
      </c>
      <c r="D182" s="225">
        <f>IF(OR(A182="",C182="",NOT(ISNUMBER($L$3))),"",ROUND(C182*$L$3,2))</f>
        <v/>
      </c>
      <c r="E182" s="225">
        <f>IF(OR(A182="",C182="",NOT(ISNUMBER($L$4))),"",ROUND(C182*$L$4,2))</f>
        <v/>
      </c>
      <c r="F182" s="225">
        <f>IF(OR(A182="",C182="",NOT(ISNUMBER($L$5))),"",ROUND(C182*$L$5,2))</f>
        <v/>
      </c>
      <c r="G182" s="225">
        <f>IF(OR(A182="",C182="",NOT(ISNUMBER($L$6))),"",ROUND(C182*$L$6,2))</f>
        <v/>
      </c>
      <c r="H182" s="292">
        <f>IF(OR(A182="",C182="",C182=0,NOT(ISNUMBER($L$6))),"",ROUND($L$6-1,4))</f>
        <v/>
      </c>
      <c r="I182" s="17" t="n"/>
      <c r="J182" s="17" t="n"/>
      <c r="K182" s="17" t="n"/>
      <c r="L182" s="17" t="n"/>
      <c r="M182" s="17" t="n"/>
      <c r="N182" s="17" t="n"/>
      <c r="O182" s="17" t="n"/>
    </row>
    <row r="183">
      <c r="A183" s="233">
        <f>IF(itens_Remanesc!A183="","",itens_Remanesc!A183)</f>
        <v/>
      </c>
      <c r="B183" s="231">
        <f>IF(itens_Remanesc!A183="","",itens_Remanesc!B183)</f>
        <v/>
      </c>
      <c r="C183" s="225">
        <f>IF(itens_Remanesc!A183="","",itens_Remanesc!C183)</f>
        <v/>
      </c>
      <c r="D183" s="225">
        <f>IF(OR(A183="",C183="",NOT(ISNUMBER($L$3))),"",ROUND(C183*$L$3,2))</f>
        <v/>
      </c>
      <c r="E183" s="225">
        <f>IF(OR(A183="",C183="",NOT(ISNUMBER($L$4))),"",ROUND(C183*$L$4,2))</f>
        <v/>
      </c>
      <c r="F183" s="225">
        <f>IF(OR(A183="",C183="",NOT(ISNUMBER($L$5))),"",ROUND(C183*$L$5,2))</f>
        <v/>
      </c>
      <c r="G183" s="225">
        <f>IF(OR(A183="",C183="",NOT(ISNUMBER($L$6))),"",ROUND(C183*$L$6,2))</f>
        <v/>
      </c>
      <c r="H183" s="292">
        <f>IF(OR(A183="",C183="",C183=0,NOT(ISNUMBER($L$6))),"",ROUND($L$6-1,4))</f>
        <v/>
      </c>
      <c r="I183" s="17" t="n"/>
      <c r="J183" s="17" t="n"/>
      <c r="K183" s="17" t="n"/>
      <c r="L183" s="17" t="n"/>
      <c r="M183" s="17" t="n"/>
      <c r="N183" s="17" t="n"/>
      <c r="O183" s="17" t="n"/>
    </row>
    <row r="184">
      <c r="A184" s="233">
        <f>IF(itens_Remanesc!A184="","",itens_Remanesc!A184)</f>
        <v/>
      </c>
      <c r="B184" s="231">
        <f>IF(itens_Remanesc!A184="","",itens_Remanesc!B184)</f>
        <v/>
      </c>
      <c r="C184" s="225">
        <f>IF(itens_Remanesc!A184="","",itens_Remanesc!C184)</f>
        <v/>
      </c>
      <c r="D184" s="225">
        <f>IF(OR(A184="",C184="",NOT(ISNUMBER($L$3))),"",ROUND(C184*$L$3,2))</f>
        <v/>
      </c>
      <c r="E184" s="225">
        <f>IF(OR(A184="",C184="",NOT(ISNUMBER($L$4))),"",ROUND(C184*$L$4,2))</f>
        <v/>
      </c>
      <c r="F184" s="225">
        <f>IF(OR(A184="",C184="",NOT(ISNUMBER($L$5))),"",ROUND(C184*$L$5,2))</f>
        <v/>
      </c>
      <c r="G184" s="225">
        <f>IF(OR(A184="",C184="",NOT(ISNUMBER($L$6))),"",ROUND(C184*$L$6,2))</f>
        <v/>
      </c>
      <c r="H184" s="292">
        <f>IF(OR(A184="",C184="",C184=0,NOT(ISNUMBER($L$6))),"",ROUND($L$6-1,4))</f>
        <v/>
      </c>
      <c r="I184" s="17" t="n"/>
      <c r="J184" s="17" t="n"/>
      <c r="K184" s="17" t="n"/>
      <c r="L184" s="17" t="n"/>
      <c r="M184" s="17" t="n"/>
      <c r="N184" s="17" t="n"/>
      <c r="O184" s="17" t="n"/>
    </row>
    <row r="185">
      <c r="A185" s="233">
        <f>IF(itens_Remanesc!A185="","",itens_Remanesc!A185)</f>
        <v/>
      </c>
      <c r="B185" s="231">
        <f>IF(itens_Remanesc!A185="","",itens_Remanesc!B185)</f>
        <v/>
      </c>
      <c r="C185" s="225">
        <f>IF(itens_Remanesc!A185="","",itens_Remanesc!C185)</f>
        <v/>
      </c>
      <c r="D185" s="225">
        <f>IF(OR(A185="",C185="",NOT(ISNUMBER($L$3))),"",ROUND(C185*$L$3,2))</f>
        <v/>
      </c>
      <c r="E185" s="225">
        <f>IF(OR(A185="",C185="",NOT(ISNUMBER($L$4))),"",ROUND(C185*$L$4,2))</f>
        <v/>
      </c>
      <c r="F185" s="225">
        <f>IF(OR(A185="",C185="",NOT(ISNUMBER($L$5))),"",ROUND(C185*$L$5,2))</f>
        <v/>
      </c>
      <c r="G185" s="225">
        <f>IF(OR(A185="",C185="",NOT(ISNUMBER($L$6))),"",ROUND(C185*$L$6,2))</f>
        <v/>
      </c>
      <c r="H185" s="292">
        <f>IF(OR(A185="",C185="",C185=0,NOT(ISNUMBER($L$6))),"",ROUND($L$6-1,4))</f>
        <v/>
      </c>
      <c r="I185" s="17" t="n"/>
      <c r="J185" s="17" t="n"/>
      <c r="K185" s="17" t="n"/>
      <c r="L185" s="17" t="n"/>
      <c r="M185" s="17" t="n"/>
      <c r="N185" s="17" t="n"/>
      <c r="O185" s="17" t="n"/>
    </row>
    <row r="186">
      <c r="A186" s="233">
        <f>IF(itens_Remanesc!A186="","",itens_Remanesc!A186)</f>
        <v/>
      </c>
      <c r="B186" s="231">
        <f>IF(itens_Remanesc!A186="","",itens_Remanesc!B186)</f>
        <v/>
      </c>
      <c r="C186" s="225">
        <f>IF(itens_Remanesc!A186="","",itens_Remanesc!C186)</f>
        <v/>
      </c>
      <c r="D186" s="225">
        <f>IF(OR(A186="",C186="",NOT(ISNUMBER($L$3))),"",ROUND(C186*$L$3,2))</f>
        <v/>
      </c>
      <c r="E186" s="225">
        <f>IF(OR(A186="",C186="",NOT(ISNUMBER($L$4))),"",ROUND(C186*$L$4,2))</f>
        <v/>
      </c>
      <c r="F186" s="225">
        <f>IF(OR(A186="",C186="",NOT(ISNUMBER($L$5))),"",ROUND(C186*$L$5,2))</f>
        <v/>
      </c>
      <c r="G186" s="225">
        <f>IF(OR(A186="",C186="",NOT(ISNUMBER($L$6))),"",ROUND(C186*$L$6,2))</f>
        <v/>
      </c>
      <c r="H186" s="292">
        <f>IF(OR(A186="",C186="",C186=0,NOT(ISNUMBER($L$6))),"",ROUND($L$6-1,4))</f>
        <v/>
      </c>
      <c r="I186" s="17" t="n"/>
      <c r="J186" s="17" t="n"/>
      <c r="K186" s="17" t="n"/>
      <c r="L186" s="17" t="n"/>
      <c r="M186" s="17" t="n"/>
      <c r="N186" s="17" t="n"/>
      <c r="O186" s="17" t="n"/>
    </row>
    <row r="187">
      <c r="A187" s="233">
        <f>IF(itens_Remanesc!A187="","",itens_Remanesc!A187)</f>
        <v/>
      </c>
      <c r="B187" s="231">
        <f>IF(itens_Remanesc!A187="","",itens_Remanesc!B187)</f>
        <v/>
      </c>
      <c r="C187" s="225">
        <f>IF(itens_Remanesc!A187="","",itens_Remanesc!C187)</f>
        <v/>
      </c>
      <c r="D187" s="225">
        <f>IF(OR(A187="",C187="",NOT(ISNUMBER($L$3))),"",ROUND(C187*$L$3,2))</f>
        <v/>
      </c>
      <c r="E187" s="225">
        <f>IF(OR(A187="",C187="",NOT(ISNUMBER($L$4))),"",ROUND(C187*$L$4,2))</f>
        <v/>
      </c>
      <c r="F187" s="225">
        <f>IF(OR(A187="",C187="",NOT(ISNUMBER($L$5))),"",ROUND(C187*$L$5,2))</f>
        <v/>
      </c>
      <c r="G187" s="225">
        <f>IF(OR(A187="",C187="",NOT(ISNUMBER($L$6))),"",ROUND(C187*$L$6,2))</f>
        <v/>
      </c>
      <c r="H187" s="292">
        <f>IF(OR(A187="",C187="",C187=0,NOT(ISNUMBER($L$6))),"",ROUND($L$6-1,4))</f>
        <v/>
      </c>
      <c r="I187" s="17" t="n"/>
      <c r="J187" s="17" t="n"/>
      <c r="K187" s="17" t="n"/>
      <c r="L187" s="17" t="n"/>
      <c r="M187" s="17" t="n"/>
      <c r="N187" s="17" t="n"/>
      <c r="O187" s="17" t="n"/>
    </row>
    <row r="188">
      <c r="A188" s="233">
        <f>IF(itens_Remanesc!A188="","",itens_Remanesc!A188)</f>
        <v/>
      </c>
      <c r="B188" s="231">
        <f>IF(itens_Remanesc!A188="","",itens_Remanesc!B188)</f>
        <v/>
      </c>
      <c r="C188" s="225">
        <f>IF(itens_Remanesc!A188="","",itens_Remanesc!C188)</f>
        <v/>
      </c>
      <c r="D188" s="225">
        <f>IF(OR(A188="",C188="",NOT(ISNUMBER($L$3))),"",ROUND(C188*$L$3,2))</f>
        <v/>
      </c>
      <c r="E188" s="225">
        <f>IF(OR(A188="",C188="",NOT(ISNUMBER($L$4))),"",ROUND(C188*$L$4,2))</f>
        <v/>
      </c>
      <c r="F188" s="225">
        <f>IF(OR(A188="",C188="",NOT(ISNUMBER($L$5))),"",ROUND(C188*$L$5,2))</f>
        <v/>
      </c>
      <c r="G188" s="225">
        <f>IF(OR(A188="",C188="",NOT(ISNUMBER($L$6))),"",ROUND(C188*$L$6,2))</f>
        <v/>
      </c>
      <c r="H188" s="292">
        <f>IF(OR(A188="",C188="",C188=0,NOT(ISNUMBER($L$6))),"",ROUND($L$6-1,4))</f>
        <v/>
      </c>
      <c r="I188" s="17" t="n"/>
      <c r="J188" s="17" t="n"/>
      <c r="K188" s="17" t="n"/>
      <c r="L188" s="17" t="n"/>
      <c r="M188" s="17" t="n"/>
      <c r="N188" s="17" t="n"/>
      <c r="O188" s="17" t="n"/>
    </row>
    <row r="189">
      <c r="A189" s="233">
        <f>IF(itens_Remanesc!A189="","",itens_Remanesc!A189)</f>
        <v/>
      </c>
      <c r="B189" s="231">
        <f>IF(itens_Remanesc!A189="","",itens_Remanesc!B189)</f>
        <v/>
      </c>
      <c r="C189" s="225">
        <f>IF(itens_Remanesc!A189="","",itens_Remanesc!C189)</f>
        <v/>
      </c>
      <c r="D189" s="225">
        <f>IF(OR(A189="",C189="",NOT(ISNUMBER($L$3))),"",ROUND(C189*$L$3,2))</f>
        <v/>
      </c>
      <c r="E189" s="225">
        <f>IF(OR(A189="",C189="",NOT(ISNUMBER($L$4))),"",ROUND(C189*$L$4,2))</f>
        <v/>
      </c>
      <c r="F189" s="225">
        <f>IF(OR(A189="",C189="",NOT(ISNUMBER($L$5))),"",ROUND(C189*$L$5,2))</f>
        <v/>
      </c>
      <c r="G189" s="225">
        <f>IF(OR(A189="",C189="",NOT(ISNUMBER($L$6))),"",ROUND(C189*$L$6,2))</f>
        <v/>
      </c>
      <c r="H189" s="292">
        <f>IF(OR(A189="",C189="",C189=0,NOT(ISNUMBER($L$6))),"",ROUND($L$6-1,4))</f>
        <v/>
      </c>
      <c r="I189" s="17" t="n"/>
      <c r="J189" s="17" t="n"/>
      <c r="K189" s="17" t="n"/>
      <c r="L189" s="17" t="n"/>
      <c r="M189" s="17" t="n"/>
      <c r="N189" s="17" t="n"/>
      <c r="O189" s="17" t="n"/>
    </row>
    <row r="190">
      <c r="A190" s="233">
        <f>IF(itens_Remanesc!A190="","",itens_Remanesc!A190)</f>
        <v/>
      </c>
      <c r="B190" s="231">
        <f>IF(itens_Remanesc!A190="","",itens_Remanesc!B190)</f>
        <v/>
      </c>
      <c r="C190" s="225">
        <f>IF(itens_Remanesc!A190="","",itens_Remanesc!C190)</f>
        <v/>
      </c>
      <c r="D190" s="225">
        <f>IF(OR(A190="",C190="",NOT(ISNUMBER($L$3))),"",ROUND(C190*$L$3,2))</f>
        <v/>
      </c>
      <c r="E190" s="225">
        <f>IF(OR(A190="",C190="",NOT(ISNUMBER($L$4))),"",ROUND(C190*$L$4,2))</f>
        <v/>
      </c>
      <c r="F190" s="225">
        <f>IF(OR(A190="",C190="",NOT(ISNUMBER($L$5))),"",ROUND(C190*$L$5,2))</f>
        <v/>
      </c>
      <c r="G190" s="225">
        <f>IF(OR(A190="",C190="",NOT(ISNUMBER($L$6))),"",ROUND(C190*$L$6,2))</f>
        <v/>
      </c>
      <c r="H190" s="292">
        <f>IF(OR(A190="",C190="",C190=0,NOT(ISNUMBER($L$6))),"",ROUND($L$6-1,4))</f>
        <v/>
      </c>
      <c r="I190" s="17" t="n"/>
      <c r="J190" s="17" t="n"/>
      <c r="K190" s="17" t="n"/>
      <c r="L190" s="17" t="n"/>
      <c r="M190" s="17" t="n"/>
      <c r="N190" s="17" t="n"/>
      <c r="O190" s="17" t="n"/>
    </row>
    <row r="191">
      <c r="A191" s="233">
        <f>IF(itens_Remanesc!A191="","",itens_Remanesc!A191)</f>
        <v/>
      </c>
      <c r="B191" s="231">
        <f>IF(itens_Remanesc!A191="","",itens_Remanesc!B191)</f>
        <v/>
      </c>
      <c r="C191" s="225">
        <f>IF(itens_Remanesc!A191="","",itens_Remanesc!C191)</f>
        <v/>
      </c>
      <c r="D191" s="225">
        <f>IF(OR(A191="",C191="",NOT(ISNUMBER($L$3))),"",ROUND(C191*$L$3,2))</f>
        <v/>
      </c>
      <c r="E191" s="225">
        <f>IF(OR(A191="",C191="",NOT(ISNUMBER($L$4))),"",ROUND(C191*$L$4,2))</f>
        <v/>
      </c>
      <c r="F191" s="225">
        <f>IF(OR(A191="",C191="",NOT(ISNUMBER($L$5))),"",ROUND(C191*$L$5,2))</f>
        <v/>
      </c>
      <c r="G191" s="225">
        <f>IF(OR(A191="",C191="",NOT(ISNUMBER($L$6))),"",ROUND(C191*$L$6,2))</f>
        <v/>
      </c>
      <c r="H191" s="292">
        <f>IF(OR(A191="",C191="",C191=0,NOT(ISNUMBER($L$6))),"",ROUND($L$6-1,4))</f>
        <v/>
      </c>
      <c r="I191" s="17" t="n"/>
      <c r="J191" s="17" t="n"/>
      <c r="K191" s="17" t="n"/>
      <c r="L191" s="17" t="n"/>
      <c r="M191" s="17" t="n"/>
      <c r="N191" s="17" t="n"/>
      <c r="O191" s="17" t="n"/>
    </row>
    <row r="192">
      <c r="A192" s="233">
        <f>IF(itens_Remanesc!A192="","",itens_Remanesc!A192)</f>
        <v/>
      </c>
      <c r="B192" s="231">
        <f>IF(itens_Remanesc!A192="","",itens_Remanesc!B192)</f>
        <v/>
      </c>
      <c r="C192" s="225">
        <f>IF(itens_Remanesc!A192="","",itens_Remanesc!C192)</f>
        <v/>
      </c>
      <c r="D192" s="225">
        <f>IF(OR(A192="",C192="",NOT(ISNUMBER($L$3))),"",ROUND(C192*$L$3,2))</f>
        <v/>
      </c>
      <c r="E192" s="225">
        <f>IF(OR(A192="",C192="",NOT(ISNUMBER($L$4))),"",ROUND(C192*$L$4,2))</f>
        <v/>
      </c>
      <c r="F192" s="225">
        <f>IF(OR(A192="",C192="",NOT(ISNUMBER($L$5))),"",ROUND(C192*$L$5,2))</f>
        <v/>
      </c>
      <c r="G192" s="225">
        <f>IF(OR(A192="",C192="",NOT(ISNUMBER($L$6))),"",ROUND(C192*$L$6,2))</f>
        <v/>
      </c>
      <c r="H192" s="292">
        <f>IF(OR(A192="",C192="",C192=0,NOT(ISNUMBER($L$6))),"",ROUND($L$6-1,4))</f>
        <v/>
      </c>
      <c r="I192" s="17" t="n"/>
      <c r="J192" s="17" t="n"/>
      <c r="K192" s="17" t="n"/>
      <c r="L192" s="17" t="n"/>
      <c r="M192" s="17" t="n"/>
      <c r="N192" s="17" t="n"/>
      <c r="O192" s="17" t="n"/>
    </row>
    <row r="193">
      <c r="A193" s="233">
        <f>IF(itens_Remanesc!A193="","",itens_Remanesc!A193)</f>
        <v/>
      </c>
      <c r="B193" s="231">
        <f>IF(itens_Remanesc!A193="","",itens_Remanesc!B193)</f>
        <v/>
      </c>
      <c r="C193" s="225">
        <f>IF(itens_Remanesc!A193="","",itens_Remanesc!C193)</f>
        <v/>
      </c>
      <c r="D193" s="225">
        <f>IF(OR(A193="",C193="",NOT(ISNUMBER($L$3))),"",ROUND(C193*$L$3,2))</f>
        <v/>
      </c>
      <c r="E193" s="225">
        <f>IF(OR(A193="",C193="",NOT(ISNUMBER($L$4))),"",ROUND(C193*$L$4,2))</f>
        <v/>
      </c>
      <c r="F193" s="225">
        <f>IF(OR(A193="",C193="",NOT(ISNUMBER($L$5))),"",ROUND(C193*$L$5,2))</f>
        <v/>
      </c>
      <c r="G193" s="225">
        <f>IF(OR(A193="",C193="",NOT(ISNUMBER($L$6))),"",ROUND(C193*$L$6,2))</f>
        <v/>
      </c>
      <c r="H193" s="292">
        <f>IF(OR(A193="",C193="",C193=0,NOT(ISNUMBER($L$6))),"",ROUND($L$6-1,4))</f>
        <v/>
      </c>
      <c r="I193" s="17" t="n"/>
      <c r="J193" s="17" t="n"/>
      <c r="K193" s="17" t="n"/>
      <c r="L193" s="17" t="n"/>
      <c r="M193" s="17" t="n"/>
      <c r="N193" s="17" t="n"/>
      <c r="O193" s="17" t="n"/>
    </row>
    <row r="194">
      <c r="A194" s="233">
        <f>IF(itens_Remanesc!A194="","",itens_Remanesc!A194)</f>
        <v/>
      </c>
      <c r="B194" s="231">
        <f>IF(itens_Remanesc!A194="","",itens_Remanesc!B194)</f>
        <v/>
      </c>
      <c r="C194" s="225">
        <f>IF(itens_Remanesc!A194="","",itens_Remanesc!C194)</f>
        <v/>
      </c>
      <c r="D194" s="225">
        <f>IF(OR(A194="",C194="",NOT(ISNUMBER($L$3))),"",ROUND(C194*$L$3,2))</f>
        <v/>
      </c>
      <c r="E194" s="225">
        <f>IF(OR(A194="",C194="",NOT(ISNUMBER($L$4))),"",ROUND(C194*$L$4,2))</f>
        <v/>
      </c>
      <c r="F194" s="225">
        <f>IF(OR(A194="",C194="",NOT(ISNUMBER($L$5))),"",ROUND(C194*$L$5,2))</f>
        <v/>
      </c>
      <c r="G194" s="225">
        <f>IF(OR(A194="",C194="",NOT(ISNUMBER($L$6))),"",ROUND(C194*$L$6,2))</f>
        <v/>
      </c>
      <c r="H194" s="292">
        <f>IF(OR(A194="",C194="",C194=0,NOT(ISNUMBER($L$6))),"",ROUND($L$6-1,4))</f>
        <v/>
      </c>
      <c r="I194" s="17" t="n"/>
      <c r="J194" s="17" t="n"/>
      <c r="K194" s="17" t="n"/>
      <c r="L194" s="17" t="n"/>
      <c r="M194" s="17" t="n"/>
      <c r="N194" s="17" t="n"/>
      <c r="O194" s="17" t="n"/>
    </row>
    <row r="195">
      <c r="A195" s="233">
        <f>IF(itens_Remanesc!A195="","",itens_Remanesc!A195)</f>
        <v/>
      </c>
      <c r="B195" s="231">
        <f>IF(itens_Remanesc!A195="","",itens_Remanesc!B195)</f>
        <v/>
      </c>
      <c r="C195" s="225">
        <f>IF(itens_Remanesc!A195="","",itens_Remanesc!C195)</f>
        <v/>
      </c>
      <c r="D195" s="225">
        <f>IF(OR(A195="",C195="",NOT(ISNUMBER($L$3))),"",ROUND(C195*$L$3,2))</f>
        <v/>
      </c>
      <c r="E195" s="225">
        <f>IF(OR(A195="",C195="",NOT(ISNUMBER($L$4))),"",ROUND(C195*$L$4,2))</f>
        <v/>
      </c>
      <c r="F195" s="225">
        <f>IF(OR(A195="",C195="",NOT(ISNUMBER($L$5))),"",ROUND(C195*$L$5,2))</f>
        <v/>
      </c>
      <c r="G195" s="225">
        <f>IF(OR(A195="",C195="",NOT(ISNUMBER($L$6))),"",ROUND(C195*$L$6,2))</f>
        <v/>
      </c>
      <c r="H195" s="292">
        <f>IF(OR(A195="",C195="",C195=0,NOT(ISNUMBER($L$6))),"",ROUND($L$6-1,4))</f>
        <v/>
      </c>
      <c r="I195" s="17" t="n"/>
      <c r="J195" s="17" t="n"/>
      <c r="K195" s="17" t="n"/>
      <c r="L195" s="17" t="n"/>
      <c r="M195" s="17" t="n"/>
      <c r="N195" s="17" t="n"/>
      <c r="O195" s="17" t="n"/>
    </row>
    <row r="196">
      <c r="A196" s="233">
        <f>IF(itens_Remanesc!A196="","",itens_Remanesc!A196)</f>
        <v/>
      </c>
      <c r="B196" s="231">
        <f>IF(itens_Remanesc!A196="","",itens_Remanesc!B196)</f>
        <v/>
      </c>
      <c r="C196" s="225">
        <f>IF(itens_Remanesc!A196="","",itens_Remanesc!C196)</f>
        <v/>
      </c>
      <c r="D196" s="225">
        <f>IF(OR(A196="",C196="",NOT(ISNUMBER($L$3))),"",ROUND(C196*$L$3,2))</f>
        <v/>
      </c>
      <c r="E196" s="225">
        <f>IF(OR(A196="",C196="",NOT(ISNUMBER($L$4))),"",ROUND(C196*$L$4,2))</f>
        <v/>
      </c>
      <c r="F196" s="225">
        <f>IF(OR(A196="",C196="",NOT(ISNUMBER($L$5))),"",ROUND(C196*$L$5,2))</f>
        <v/>
      </c>
      <c r="G196" s="225">
        <f>IF(OR(A196="",C196="",NOT(ISNUMBER($L$6))),"",ROUND(C196*$L$6,2))</f>
        <v/>
      </c>
      <c r="H196" s="292">
        <f>IF(OR(A196="",C196="",C196=0,NOT(ISNUMBER($L$6))),"",ROUND($L$6-1,4))</f>
        <v/>
      </c>
      <c r="I196" s="17" t="n"/>
      <c r="J196" s="17" t="n"/>
      <c r="K196" s="17" t="n"/>
      <c r="L196" s="17" t="n"/>
      <c r="M196" s="17" t="n"/>
      <c r="N196" s="17" t="n"/>
      <c r="O196" s="17" t="n"/>
    </row>
    <row r="197">
      <c r="A197" s="233">
        <f>IF(itens_Remanesc!A197="","",itens_Remanesc!A197)</f>
        <v/>
      </c>
      <c r="B197" s="231">
        <f>IF(itens_Remanesc!A197="","",itens_Remanesc!B197)</f>
        <v/>
      </c>
      <c r="C197" s="225">
        <f>IF(itens_Remanesc!A197="","",itens_Remanesc!C197)</f>
        <v/>
      </c>
      <c r="D197" s="225">
        <f>IF(OR(A197="",C197="",NOT(ISNUMBER($L$3))),"",ROUND(C197*$L$3,2))</f>
        <v/>
      </c>
      <c r="E197" s="225">
        <f>IF(OR(A197="",C197="",NOT(ISNUMBER($L$4))),"",ROUND(C197*$L$4,2))</f>
        <v/>
      </c>
      <c r="F197" s="225">
        <f>IF(OR(A197="",C197="",NOT(ISNUMBER($L$5))),"",ROUND(C197*$L$5,2))</f>
        <v/>
      </c>
      <c r="G197" s="225">
        <f>IF(OR(A197="",C197="",NOT(ISNUMBER($L$6))),"",ROUND(C197*$L$6,2))</f>
        <v/>
      </c>
      <c r="H197" s="292">
        <f>IF(OR(A197="",C197="",C197=0,NOT(ISNUMBER($L$6))),"",ROUND($L$6-1,4))</f>
        <v/>
      </c>
      <c r="I197" s="17" t="n"/>
      <c r="J197" s="17" t="n"/>
      <c r="K197" s="17" t="n"/>
      <c r="L197" s="17" t="n"/>
      <c r="M197" s="17" t="n"/>
      <c r="N197" s="17" t="n"/>
      <c r="O197" s="17" t="n"/>
    </row>
    <row r="198">
      <c r="A198" s="233">
        <f>IF(itens_Remanesc!A198="","",itens_Remanesc!A198)</f>
        <v/>
      </c>
      <c r="B198" s="231">
        <f>IF(itens_Remanesc!A198="","",itens_Remanesc!B198)</f>
        <v/>
      </c>
      <c r="C198" s="225">
        <f>IF(itens_Remanesc!A198="","",itens_Remanesc!C198)</f>
        <v/>
      </c>
      <c r="D198" s="225">
        <f>IF(OR(A198="",C198="",NOT(ISNUMBER($L$3))),"",ROUND(C198*$L$3,2))</f>
        <v/>
      </c>
      <c r="E198" s="225">
        <f>IF(OR(A198="",C198="",NOT(ISNUMBER($L$4))),"",ROUND(C198*$L$4,2))</f>
        <v/>
      </c>
      <c r="F198" s="225">
        <f>IF(OR(A198="",C198="",NOT(ISNUMBER($L$5))),"",ROUND(C198*$L$5,2))</f>
        <v/>
      </c>
      <c r="G198" s="225">
        <f>IF(OR(A198="",C198="",NOT(ISNUMBER($L$6))),"",ROUND(C198*$L$6,2))</f>
        <v/>
      </c>
      <c r="H198" s="292">
        <f>IF(OR(A198="",C198="",C198=0,NOT(ISNUMBER($L$6))),"",ROUND($L$6-1,4))</f>
        <v/>
      </c>
      <c r="I198" s="17" t="n"/>
      <c r="J198" s="17" t="n"/>
      <c r="K198" s="17" t="n"/>
      <c r="L198" s="17" t="n"/>
      <c r="M198" s="17" t="n"/>
      <c r="N198" s="17" t="n"/>
      <c r="O198" s="17" t="n"/>
    </row>
    <row r="199">
      <c r="A199" s="233">
        <f>IF(itens_Remanesc!A199="","",itens_Remanesc!A199)</f>
        <v/>
      </c>
      <c r="B199" s="231">
        <f>IF(itens_Remanesc!A199="","",itens_Remanesc!B199)</f>
        <v/>
      </c>
      <c r="C199" s="225">
        <f>IF(itens_Remanesc!A199="","",itens_Remanesc!C199)</f>
        <v/>
      </c>
      <c r="D199" s="225">
        <f>IF(OR(A199="",C199="",NOT(ISNUMBER($L$3))),"",ROUND(C199*$L$3,2))</f>
        <v/>
      </c>
      <c r="E199" s="225">
        <f>IF(OR(A199="",C199="",NOT(ISNUMBER($L$4))),"",ROUND(C199*$L$4,2))</f>
        <v/>
      </c>
      <c r="F199" s="225">
        <f>IF(OR(A199="",C199="",NOT(ISNUMBER($L$5))),"",ROUND(C199*$L$5,2))</f>
        <v/>
      </c>
      <c r="G199" s="225">
        <f>IF(OR(A199="",C199="",NOT(ISNUMBER($L$6))),"",ROUND(C199*$L$6,2))</f>
        <v/>
      </c>
      <c r="H199" s="292">
        <f>IF(OR(A199="",C199="",C199=0,NOT(ISNUMBER($L$6))),"",ROUND($L$6-1,4))</f>
        <v/>
      </c>
      <c r="I199" s="17" t="n"/>
      <c r="J199" s="17" t="n"/>
      <c r="K199" s="17" t="n"/>
      <c r="L199" s="17" t="n"/>
      <c r="M199" s="17" t="n"/>
      <c r="N199" s="17" t="n"/>
      <c r="O199" s="17" t="n"/>
    </row>
    <row r="200">
      <c r="A200" s="233">
        <f>IF(itens_Remanesc!A200="","",itens_Remanesc!A200)</f>
        <v/>
      </c>
      <c r="B200" s="231">
        <f>IF(itens_Remanesc!A200="","",itens_Remanesc!B200)</f>
        <v/>
      </c>
      <c r="C200" s="225">
        <f>IF(itens_Remanesc!A200="","",itens_Remanesc!C200)</f>
        <v/>
      </c>
      <c r="D200" s="225">
        <f>IF(OR(A200="",C200="",NOT(ISNUMBER($L$3))),"",ROUND(C200*$L$3,2))</f>
        <v/>
      </c>
      <c r="E200" s="225">
        <f>IF(OR(A200="",C200="",NOT(ISNUMBER($L$4))),"",ROUND(C200*$L$4,2))</f>
        <v/>
      </c>
      <c r="F200" s="225">
        <f>IF(OR(A200="",C200="",NOT(ISNUMBER($L$5))),"",ROUND(C200*$L$5,2))</f>
        <v/>
      </c>
      <c r="G200" s="225">
        <f>IF(OR(A200="",C200="",NOT(ISNUMBER($L$6))),"",ROUND(C200*$L$6,2))</f>
        <v/>
      </c>
      <c r="H200" s="292">
        <f>IF(OR(A200="",C200="",C200=0,NOT(ISNUMBER($L$6))),"",ROUND($L$6-1,4))</f>
        <v/>
      </c>
      <c r="I200" s="17" t="n"/>
      <c r="J200" s="17" t="n"/>
      <c r="K200" s="17" t="n"/>
      <c r="L200" s="17" t="n"/>
      <c r="M200" s="17" t="n"/>
      <c r="N200" s="17" t="n"/>
      <c r="O200" s="17" t="n"/>
    </row>
    <row r="201">
      <c r="A201" s="17" t="n"/>
      <c r="B201" s="52" t="n"/>
      <c r="C201" s="293" t="n"/>
      <c r="D201" s="293" t="n"/>
      <c r="E201" s="293" t="n"/>
      <c r="F201" s="293" t="n"/>
      <c r="G201" s="293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52" t="n"/>
      <c r="C202" s="293" t="n"/>
      <c r="D202" s="293" t="n"/>
      <c r="E202" s="293" t="n"/>
      <c r="F202" s="293" t="n"/>
      <c r="G202" s="293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52" t="n"/>
      <c r="C203" s="293" t="n"/>
      <c r="D203" s="293" t="n"/>
      <c r="E203" s="293" t="n"/>
      <c r="F203" s="293" t="n"/>
      <c r="G203" s="293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52" t="n"/>
      <c r="C204" s="293" t="n"/>
      <c r="D204" s="293" t="n"/>
      <c r="E204" s="293" t="n"/>
      <c r="F204" s="293" t="n"/>
      <c r="G204" s="293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52" t="n"/>
      <c r="C205" s="293" t="n"/>
      <c r="D205" s="293" t="n"/>
      <c r="E205" s="293" t="n"/>
      <c r="F205" s="293" t="n"/>
      <c r="G205" s="293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52" t="n"/>
      <c r="C206" s="293" t="n"/>
      <c r="D206" s="293" t="n"/>
      <c r="E206" s="293" t="n"/>
      <c r="F206" s="293" t="n"/>
      <c r="G206" s="293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52" t="n"/>
      <c r="C207" s="293" t="n"/>
      <c r="D207" s="293" t="n"/>
      <c r="E207" s="293" t="n"/>
      <c r="F207" s="293" t="n"/>
      <c r="G207" s="293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52" t="n"/>
      <c r="C208" s="293" t="n"/>
      <c r="D208" s="293" t="n"/>
      <c r="E208" s="293" t="n"/>
      <c r="F208" s="293" t="n"/>
      <c r="G208" s="293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52" t="n"/>
      <c r="C209" s="293" t="n"/>
      <c r="D209" s="293" t="n"/>
      <c r="E209" s="293" t="n"/>
      <c r="F209" s="293" t="n"/>
      <c r="G209" s="293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52" t="n"/>
      <c r="C210" s="293" t="n"/>
      <c r="D210" s="293" t="n"/>
      <c r="E210" s="293" t="n"/>
      <c r="F210" s="293" t="n"/>
      <c r="G210" s="293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A1538"/>
    <outlinePr summaryBelow="1" summaryRight="1"/>
    <pageSetUpPr/>
  </sheetPr>
  <dimension ref="A1:Q263"/>
  <sheetViews>
    <sheetView showGridLines="0" workbookViewId="0">
      <selection activeCell="A1" sqref="A1"/>
    </sheetView>
  </sheetViews>
  <sheetFormatPr baseColWidth="8" defaultRowHeight="14.5"/>
  <cols>
    <col width="30" customWidth="1" min="1" max="1"/>
    <col width="18" customWidth="1" min="2" max="2"/>
    <col width="23" customWidth="1" min="3" max="3"/>
    <col width="22" customWidth="1" min="4" max="5"/>
    <col width="30" customWidth="1" min="6" max="6"/>
    <col width="24" customWidth="1" min="7" max="7"/>
    <col width="20" customWidth="1" min="8" max="8"/>
    <col width="16" customWidth="1" min="9" max="9"/>
    <col width="30" customWidth="1" min="10" max="10"/>
    <col width="17" customWidth="1" min="11" max="14"/>
    <col width="18" customWidth="1" min="15" max="17"/>
  </cols>
  <sheetData>
    <row r="1" ht="28" customHeight="1">
      <c r="A1" s="294" t="inlineStr">
        <is>
          <t>RESULTADOS CONSOLIDADOS — REAJUSTE CONTRATUAL</t>
        </is>
      </c>
      <c r="K1" s="151" t="n"/>
      <c r="L1" s="151" t="n"/>
      <c r="M1" s="151" t="n"/>
      <c r="N1" s="151" t="n"/>
      <c r="O1" s="151" t="n"/>
      <c r="P1" s="151" t="n"/>
      <c r="Q1" s="151" t="n"/>
    </row>
    <row r="2" ht="34" customHeight="1">
      <c r="A2" s="295" t="inlineStr">
        <is>
          <t>Regra essencial: resultado incompleto ou manual é preferível a uma conclusão sem base. Nenhuma fonte substitui outra silenciosamente e nenhum método de retroativo é somado a outro.</t>
        </is>
      </c>
      <c r="K2" s="151" t="n"/>
      <c r="L2" s="151" t="n"/>
      <c r="M2" s="151" t="n"/>
      <c r="N2" s="151" t="n"/>
      <c r="O2" s="151" t="n"/>
      <c r="P2" s="151" t="n"/>
      <c r="Q2" s="151" t="n"/>
    </row>
    <row r="3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  <c r="L3" s="151" t="n"/>
      <c r="M3" s="151" t="n"/>
      <c r="N3" s="151" t="n"/>
      <c r="O3" s="151" t="n"/>
      <c r="P3" s="151" t="n"/>
      <c r="Q3" s="151" t="n"/>
    </row>
    <row r="4" ht="24" customHeight="1">
      <c r="A4" s="296" t="inlineStr">
        <is>
          <t>Método oficial do retroativo</t>
        </is>
      </c>
      <c r="B4" s="297" t="inlineStr">
        <is>
          <t>Financeiro</t>
        </is>
      </c>
      <c r="C4" s="296" t="inlineStr">
        <is>
          <t>Tolerância</t>
        </is>
      </c>
      <c r="D4" s="298" t="n">
        <v>0.005</v>
      </c>
      <c r="E4" s="296" t="inlineStr">
        <is>
          <t>Ciclo vigente</t>
        </is>
      </c>
      <c r="F4" s="299">
        <f>UPPER(CONTROLE!B2)</f>
        <v/>
      </c>
      <c r="G4" s="296" t="inlineStr">
        <is>
          <t>Origem do remanescente</t>
        </is>
      </c>
      <c r="H4" s="299">
        <f>IF(CONTROLE!B1="Itens Consumidos","Itens",IF(CONTROLE!B1="Pedidos de Compras","PCs","Informado"))</f>
        <v/>
      </c>
      <c r="I4" s="296" t="inlineStr">
        <is>
          <t>Status geral</t>
        </is>
      </c>
      <c r="J4" s="299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151" t="n"/>
      <c r="L4" s="151" t="n"/>
      <c r="M4" s="151" t="n"/>
      <c r="N4" s="151" t="n"/>
      <c r="O4" s="151" t="n"/>
      <c r="P4" s="151" t="n"/>
      <c r="Q4" s="151" t="n"/>
    </row>
    <row r="5" ht="24" customHeight="1">
      <c r="A5" s="296" t="inlineStr">
        <is>
          <t>Retroativo manual oficial</t>
        </is>
      </c>
      <c r="B5" s="300" t="n"/>
      <c r="C5" s="296" t="inlineStr">
        <is>
          <t>Justificativa do retroativo manual</t>
        </is>
      </c>
      <c r="D5" s="192" t="n"/>
      <c r="E5" s="301" t="n"/>
      <c r="F5" s="301" t="n"/>
      <c r="G5" s="301" t="n"/>
      <c r="H5" s="301" t="n"/>
      <c r="I5" s="301" t="n"/>
      <c r="J5" s="302" t="n"/>
      <c r="K5" s="151" t="n"/>
      <c r="L5" s="151" t="n"/>
      <c r="M5" s="151" t="n"/>
      <c r="N5" s="151" t="n"/>
      <c r="O5" s="151" t="n"/>
      <c r="P5" s="151" t="n"/>
      <c r="Q5" s="151" t="n"/>
    </row>
    <row r="6" ht="34" customHeight="1">
      <c r="A6" s="303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151" t="n"/>
      <c r="L6" s="151" t="n"/>
      <c r="M6" s="151" t="n"/>
      <c r="N6" s="151" t="n"/>
      <c r="O6" s="151" t="n"/>
      <c r="P6" s="151" t="n"/>
      <c r="Q6" s="151" t="n"/>
    </row>
    <row r="7">
      <c r="A7" s="151" t="n"/>
      <c r="B7" s="151" t="n"/>
      <c r="C7" s="151" t="n"/>
      <c r="D7" s="151" t="n"/>
      <c r="E7" s="151" t="n"/>
      <c r="F7" s="151" t="n"/>
      <c r="G7" s="151" t="n"/>
      <c r="H7" s="151" t="n"/>
      <c r="I7" s="151" t="n"/>
      <c r="J7" s="151" t="n"/>
      <c r="K7" s="151" t="n"/>
      <c r="L7" s="151" t="n"/>
      <c r="M7" s="151" t="n"/>
      <c r="N7" s="151" t="n"/>
      <c r="O7" s="151" t="n"/>
      <c r="P7" s="151" t="n"/>
      <c r="Q7" s="151" t="n"/>
    </row>
    <row r="8" ht="24" customHeight="1">
      <c r="A8" s="304" t="inlineStr">
        <is>
          <t>EIXO 1 — VALOR RETROATIVO | um método oficial; os demais são conferência</t>
        </is>
      </c>
      <c r="K8" s="151" t="n"/>
      <c r="L8" s="151" t="n"/>
      <c r="M8" s="151" t="n"/>
      <c r="N8" s="151" t="n"/>
      <c r="O8" s="151" t="n"/>
      <c r="P8" s="151" t="n"/>
      <c r="Q8" s="151" t="n"/>
    </row>
    <row r="9">
      <c r="A9" s="305" t="inlineStr">
        <is>
          <t>Ciclo</t>
        </is>
      </c>
      <c r="B9" s="305" t="inlineStr">
        <is>
          <t>Financeiro pago</t>
        </is>
      </c>
      <c r="C9" s="305" t="inlineStr">
        <is>
          <t>PCs pagos</t>
        </is>
      </c>
      <c r="D9" s="305" t="inlineStr">
        <is>
          <t>Itens consumidos</t>
        </is>
      </c>
      <c r="E9" s="305" t="inlineStr">
        <is>
          <t>Método selecionado</t>
        </is>
      </c>
      <c r="F9" s="305" t="inlineStr">
        <is>
          <t>Situação do ciclo</t>
        </is>
      </c>
      <c r="G9" s="151" t="n"/>
      <c r="H9" s="151" t="n"/>
      <c r="I9" s="151" t="n"/>
      <c r="J9" s="151" t="n"/>
      <c r="K9" s="151" t="n"/>
      <c r="L9" s="151" t="n"/>
      <c r="M9" s="151" t="n"/>
      <c r="N9" s="151" t="n"/>
      <c r="O9" s="151" t="n"/>
      <c r="P9" s="151" t="n"/>
      <c r="Q9" s="151" t="n"/>
    </row>
    <row r="10">
      <c r="A10" s="306" t="inlineStr">
        <is>
          <t>C0</t>
        </is>
      </c>
      <c r="B10" s="307">
        <f>IF(COUNTIFS(financeiro!$B$2:$B$61,"c0",financeiro!$C$2:$C$61,"&gt;0",financeiro!$G$2:$G$61,"Sim")=0,"",ROUND(SUMIFS(financeiro!$F$2:$F$61,financeiro!$B$2:$B$61,"c0",financeiro!$G$2:$G$61,"Sim"),2))</f>
        <v/>
      </c>
      <c r="C10" s="307">
        <f>IF(COUNTIFS(itens_PC!$B$2:$B$100,"C0",itens_PC!$C$2:$C$100,"&gt;0",itens_PC!$F$2:$F$100,"Sim")=0,"",ROUND(SUMIFS(itens_PC!$G$2:$G$100,itens_PC!$B$2:$B$100,"C0",itens_PC!$F$2:$F$100,"Sim"),2))</f>
        <v/>
      </c>
      <c r="D10" s="307">
        <f>IF(COUNTIFS(itens_Consumidos!$E$2:$E$200,"&gt;0")=0,"",0)</f>
        <v/>
      </c>
      <c r="E10" s="307">
        <f>IF($B$4="Financeiro",B10,IF($B$4="PCs",C10,D10))</f>
        <v/>
      </c>
      <c r="F10" s="308">
        <f>IF(COUNT(B10:D10)=0,"SEM BASE",IF(E10="","FONTE OFICIAL AUSENTE","CONFERIR"))</f>
        <v/>
      </c>
      <c r="G10" s="151" t="n"/>
      <c r="H10" s="151" t="n"/>
      <c r="I10" s="151" t="n"/>
      <c r="J10" s="151" t="n"/>
      <c r="K10" s="151" t="n"/>
      <c r="L10" s="151" t="n"/>
      <c r="M10" s="151" t="n"/>
      <c r="N10" s="151" t="n"/>
      <c r="O10" s="151" t="n"/>
      <c r="P10" s="151" t="n"/>
      <c r="Q10" s="151" t="n"/>
    </row>
    <row r="11">
      <c r="A11" s="306" t="inlineStr">
        <is>
          <t>C1</t>
        </is>
      </c>
      <c r="B11" s="307">
        <f>IF(COUNTIFS(financeiro!$B$2:$B$61,"c1",financeiro!$C$2:$C$61,"&gt;0",financeiro!$G$2:$G$61,"Sim")=0,"",ROUND(SUMIFS(financeiro!$F$2:$F$61,financeiro!$B$2:$B$61,"c1",financeiro!$G$2:$G$61,"Sim"),2))</f>
        <v/>
      </c>
      <c r="C11" s="307">
        <f>IF(COUNTIFS(itens_PC!$B$2:$B$100,"C1",itens_PC!$C$2:$C$100,"&gt;0",itens_PC!$F$2:$F$100,"Sim")=0,"",ROUND(SUMIFS(itens_PC!$G$2:$G$100,itens_PC!$B$2:$B$100,"C1",itens_PC!$F$2:$F$100,"Sim"),2))</f>
        <v/>
      </c>
      <c r="D11" s="307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307">
        <f>IF($B$4="Financeiro",B11,IF($B$4="PCs",C11,D11))</f>
        <v/>
      </c>
      <c r="F11" s="308">
        <f>IF(COUNT(B11:D11)=0,"SEM BASE",IF(E11="","FONTE OFICIAL AUSENTE","CONFERIR"))</f>
        <v/>
      </c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</row>
    <row r="12">
      <c r="A12" s="306" t="inlineStr">
        <is>
          <t>C2</t>
        </is>
      </c>
      <c r="B12" s="307">
        <f>IF(COUNTIFS(financeiro!$B$2:$B$61,"c2",financeiro!$C$2:$C$61,"&gt;0",financeiro!$G$2:$G$61,"Sim")=0,"",ROUND(SUMIFS(financeiro!$F$2:$F$61,financeiro!$B$2:$B$61,"c2",financeiro!$G$2:$G$61,"Sim"),2))</f>
        <v/>
      </c>
      <c r="C12" s="307">
        <f>IF(COUNTIFS(itens_PC!$B$2:$B$100,"C2",itens_PC!$C$2:$C$100,"&gt;0",itens_PC!$F$2:$F$100,"Sim")=0,"",ROUND(SUMIFS(itens_PC!$G$2:$G$100,itens_PC!$B$2:$B$100,"C2",itens_PC!$F$2:$F$100,"Sim"),2))</f>
        <v/>
      </c>
      <c r="D12" s="307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307">
        <f>IF($B$4="Financeiro",B12,IF($B$4="PCs",C12,D12))</f>
        <v/>
      </c>
      <c r="F12" s="308">
        <f>IF(COUNT(B12:D12)=0,"SEM BASE",IF(E12="","FONTE OFICIAL AUSENTE","CONFERIR"))</f>
        <v/>
      </c>
      <c r="G12" s="151" t="n"/>
      <c r="H12" s="151" t="n"/>
      <c r="I12" s="151" t="n"/>
      <c r="J12" s="151" t="n"/>
      <c r="K12" s="151" t="n"/>
      <c r="L12" s="151" t="n"/>
      <c r="M12" s="151" t="n"/>
      <c r="N12" s="151" t="n"/>
      <c r="O12" s="151" t="n"/>
      <c r="P12" s="151" t="n"/>
      <c r="Q12" s="151" t="n"/>
    </row>
    <row r="13">
      <c r="A13" s="306" t="inlineStr">
        <is>
          <t>C3</t>
        </is>
      </c>
      <c r="B13" s="307">
        <f>IF(COUNTIFS(financeiro!$B$2:$B$61,"c3",financeiro!$C$2:$C$61,"&gt;0",financeiro!$G$2:$G$61,"Sim")=0,"",ROUND(SUMIFS(financeiro!$F$2:$F$61,financeiro!$B$2:$B$61,"c3",financeiro!$G$2:$G$61,"Sim"),2))</f>
        <v/>
      </c>
      <c r="C13" s="307">
        <f>IF(COUNTIFS(itens_PC!$B$2:$B$100,"C3",itens_PC!$C$2:$C$100,"&gt;0",itens_PC!$F$2:$F$100,"Sim")=0,"",ROUND(SUMIFS(itens_PC!$G$2:$G$100,itens_PC!$B$2:$B$100,"C3",itens_PC!$F$2:$F$100,"Sim"),2))</f>
        <v/>
      </c>
      <c r="D13" s="307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307">
        <f>IF($B$4="Financeiro",B13,IF($B$4="PCs",C13,D13))</f>
        <v/>
      </c>
      <c r="F13" s="308">
        <f>IF(COUNT(B13:D13)=0,"SEM BASE",IF(E13="","FONTE OFICIAL AUSENTE","CONFERIR"))</f>
        <v/>
      </c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</row>
    <row r="14">
      <c r="A14" s="306" t="inlineStr">
        <is>
          <t>C4</t>
        </is>
      </c>
      <c r="B14" s="307">
        <f>IF(COUNTIFS(financeiro!$B$2:$B$61,"c4",financeiro!$C$2:$C$61,"&gt;0",financeiro!$G$2:$G$61,"Sim")=0,"",ROUND(SUMIFS(financeiro!$F$2:$F$61,financeiro!$B$2:$B$61,"c4",financeiro!$G$2:$G$61,"Sim"),2))</f>
        <v/>
      </c>
      <c r="C14" s="307">
        <f>IF(COUNTIFS(itens_PC!$B$2:$B$100,"C4",itens_PC!$C$2:$C$100,"&gt;0",itens_PC!$F$2:$F$100,"Sim")=0,"",ROUND(SUMIFS(itens_PC!$G$2:$G$100,itens_PC!$B$2:$B$100,"C4",itens_PC!$F$2:$F$100,"Sim"),2))</f>
        <v/>
      </c>
      <c r="D14" s="307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307">
        <f>IF($B$4="Financeiro",B14,IF($B$4="PCs",C14,D14))</f>
        <v/>
      </c>
      <c r="F14" s="308">
        <f>IF(COUNT(B14:D14)=0,"SEM BASE",IF(E14="","FONTE OFICIAL AUSENTE","CONFERIR"))</f>
        <v/>
      </c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</row>
    <row r="15">
      <c r="A15" s="309" t="inlineStr">
        <is>
          <t>TOTAL</t>
        </is>
      </c>
      <c r="B15" s="310">
        <f>IF(COUNT(B10:B14)=0,"",ROUND(SUM(B10:B14),2))</f>
        <v/>
      </c>
      <c r="C15" s="310">
        <f>IF(COUNT(C10:C14)=0,"",ROUND(SUM(C10:C14),2))</f>
        <v/>
      </c>
      <c r="D15" s="310">
        <f>IF(COUNT(D10:D14)=0,"",ROUND(SUM(D10:D14),2))</f>
        <v/>
      </c>
      <c r="E15" s="310">
        <f>IF($B$4="Financeiro",B15,IF($B$4="PCs",C15,D15))</f>
        <v/>
      </c>
      <c r="F15" s="311">
        <f>IF(E15="","SEM TOTAL OFICIAL","CONFERIR")</f>
        <v/>
      </c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</row>
    <row r="16">
      <c r="A16" s="299" t="inlineStr">
        <is>
          <t>RETROATIVO OFICIAL</t>
        </is>
      </c>
      <c r="B16" s="312">
        <f>IF(ISNUMBER($B$5),$B$5,E15)</f>
        <v/>
      </c>
      <c r="C16" s="299" t="inlineStr">
        <is>
          <t>Origem</t>
        </is>
      </c>
      <c r="D16" s="299">
        <f>IF(ISNUMBER($B$5),"MANUAL",$B$4)</f>
        <v/>
      </c>
      <c r="E16" s="299" t="inlineStr">
        <is>
          <t>Status</t>
        </is>
      </c>
      <c r="F16" s="299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151" t="n"/>
      <c r="H16" s="151" t="n"/>
      <c r="I16" s="151" t="n"/>
      <c r="J16" s="151" t="n"/>
      <c r="K16" s="151" t="n"/>
      <c r="L16" s="151" t="n"/>
      <c r="M16" s="151" t="n"/>
      <c r="N16" s="151" t="n"/>
      <c r="O16" s="151" t="n"/>
      <c r="P16" s="151" t="n"/>
      <c r="Q16" s="151" t="n"/>
    </row>
    <row r="17" ht="24" customHeight="1">
      <c r="A17" s="313" t="inlineStr">
        <is>
          <t>EIXO 2 — VU REAJUSTADO: evolução cronológica item a item disponível na memória detalhada a partir da linha 62.</t>
        </is>
      </c>
      <c r="K17" s="151" t="n"/>
      <c r="L17" s="151" t="n"/>
      <c r="M17" s="151" t="n"/>
      <c r="N17" s="151" t="n"/>
      <c r="O17" s="151" t="n"/>
      <c r="P17" s="151" t="n"/>
      <c r="Q17" s="151" t="n"/>
    </row>
    <row r="18">
      <c r="A18" s="151" t="n"/>
      <c r="B18" s="151" t="n"/>
      <c r="C18" s="151" t="n"/>
      <c r="D18" s="151" t="n"/>
      <c r="E18" s="151" t="n"/>
      <c r="F18" s="151" t="n"/>
      <c r="G18" s="151" t="n"/>
      <c r="H18" s="151" t="n"/>
      <c r="I18" s="151" t="n"/>
      <c r="J18" s="151" t="n"/>
      <c r="K18" s="151" t="n"/>
      <c r="L18" s="151" t="n"/>
      <c r="M18" s="151" t="n"/>
      <c r="N18" s="151" t="n"/>
      <c r="O18" s="151" t="n"/>
      <c r="P18" s="151" t="n"/>
      <c r="Q18" s="151" t="n"/>
    </row>
    <row r="19" ht="24" customHeight="1">
      <c r="A19" s="304" t="inlineStr">
        <is>
          <t>EIXO 3 — VTA | composição automática somente quando a base é segura</t>
        </is>
      </c>
      <c r="K19" s="151" t="n"/>
      <c r="L19" s="151" t="n"/>
      <c r="M19" s="151" t="n"/>
      <c r="N19" s="151" t="n"/>
      <c r="O19" s="151" t="n"/>
      <c r="P19" s="151" t="n"/>
      <c r="Q19" s="151" t="n"/>
    </row>
    <row r="20">
      <c r="A20" s="296" t="inlineStr">
        <is>
          <t>Valor original do contrato</t>
        </is>
      </c>
      <c r="B20" s="314">
        <f>IF(COUNTIF(itens_Remanesc!$A$2:$A$200,"&lt;&gt;")=0,"",ROUND(SUMIF(itens_Remanesc!$A$2:$A$200,"&lt;&gt;",itens_Remanesc!$D$2:$D$200),2))</f>
        <v/>
      </c>
      <c r="C20" s="152" t="n"/>
      <c r="D20" s="152" t="n"/>
      <c r="E20" s="152" t="n"/>
      <c r="F20" s="152" t="n"/>
      <c r="G20" s="152" t="n"/>
      <c r="H20" s="152" t="n"/>
      <c r="I20" s="152" t="n"/>
      <c r="J20" s="152" t="n"/>
      <c r="K20" s="151" t="n"/>
      <c r="L20" s="151" t="n"/>
      <c r="M20" s="151" t="n"/>
      <c r="N20" s="151" t="n"/>
      <c r="O20" s="151" t="n"/>
      <c r="P20" s="151" t="n"/>
      <c r="Q20" s="151" t="n"/>
    </row>
    <row r="21">
      <c r="A21" s="296" t="inlineStr">
        <is>
          <t>Retroativo oficial</t>
        </is>
      </c>
      <c r="B21" s="314">
        <f>IF(B16="","",B16)</f>
        <v/>
      </c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1" t="n"/>
      <c r="L21" s="151" t="n"/>
      <c r="M21" s="151" t="n"/>
      <c r="N21" s="151" t="n"/>
      <c r="O21" s="151" t="n"/>
      <c r="P21" s="151" t="n"/>
      <c r="Q21" s="151" t="n"/>
    </row>
    <row r="22">
      <c r="A22" s="296" t="inlineStr">
        <is>
          <t>Ajuste do remanescente</t>
        </is>
      </c>
      <c r="B22" s="314">
        <f>IF(OR(C35="",D35=""),"",ROUND(D35-C35,2))</f>
        <v/>
      </c>
      <c r="C22" s="152" t="n"/>
      <c r="D22" s="152" t="n"/>
      <c r="E22" s="152" t="n"/>
      <c r="F22" s="152" t="n"/>
      <c r="G22" s="152" t="n"/>
      <c r="H22" s="152" t="n"/>
      <c r="I22" s="152" t="n"/>
      <c r="J22" s="152" t="n"/>
      <c r="K22" s="151" t="n"/>
      <c r="L22" s="151" t="n"/>
      <c r="M22" s="151" t="n"/>
      <c r="N22" s="151" t="n"/>
      <c r="O22" s="151" t="n"/>
      <c r="P22" s="151" t="n"/>
      <c r="Q22" s="151" t="n"/>
    </row>
    <row r="23">
      <c r="A23" s="296" t="inlineStr">
        <is>
          <t>VTA calculado</t>
        </is>
      </c>
      <c r="B23" s="314">
        <f>IF(OR(B20="",B21="",B22=""),"",ROUND(B20+B21+B22,2))</f>
        <v/>
      </c>
      <c r="C23" s="152" t="n"/>
      <c r="D23" s="152" t="n"/>
      <c r="E23" s="152" t="n"/>
      <c r="F23" s="152" t="n"/>
      <c r="G23" s="152" t="n"/>
      <c r="H23" s="152" t="n"/>
      <c r="I23" s="152" t="n"/>
      <c r="J23" s="152" t="n"/>
      <c r="K23" s="151" t="n"/>
      <c r="L23" s="151" t="n"/>
      <c r="M23" s="151" t="n"/>
      <c r="N23" s="151" t="n"/>
      <c r="O23" s="151" t="n"/>
      <c r="P23" s="151" t="n"/>
      <c r="Q23" s="151" t="n"/>
    </row>
    <row r="24">
      <c r="A24" s="296" t="inlineStr">
        <is>
          <t>Ajuste manual (+/-)</t>
        </is>
      </c>
      <c r="B24" s="300" t="n"/>
      <c r="C24" s="296" t="inlineStr">
        <is>
          <t>Justificativa do ajuste</t>
        </is>
      </c>
      <c r="D24" s="192" t="n"/>
      <c r="E24" s="301" t="n"/>
      <c r="F24" s="301" t="n"/>
      <c r="G24" s="301" t="n"/>
      <c r="H24" s="301" t="n"/>
      <c r="I24" s="301" t="n"/>
      <c r="J24" s="302" t="n"/>
      <c r="K24" s="151" t="n"/>
      <c r="L24" s="151" t="n"/>
      <c r="M24" s="151" t="n"/>
      <c r="N24" s="151" t="n"/>
      <c r="O24" s="151" t="n"/>
      <c r="P24" s="151" t="n"/>
      <c r="Q24" s="151" t="n"/>
    </row>
    <row r="25" ht="26" customHeight="1">
      <c r="A25" s="296" t="inlineStr">
        <is>
          <t>VTA manual oficial</t>
        </is>
      </c>
      <c r="B25" s="300" t="n"/>
      <c r="C25" s="296" t="inlineStr">
        <is>
          <t>Justificativa do VTA manual</t>
        </is>
      </c>
      <c r="D25" s="192" t="n"/>
      <c r="E25" s="301" t="n"/>
      <c r="F25" s="301" t="n"/>
      <c r="G25" s="301" t="n"/>
      <c r="H25" s="301" t="n"/>
      <c r="I25" s="301" t="n"/>
      <c r="J25" s="302" t="n"/>
      <c r="K25" s="151" t="n"/>
      <c r="L25" s="151" t="n"/>
      <c r="M25" s="151" t="n"/>
      <c r="N25" s="151" t="n"/>
      <c r="O25" s="151" t="n"/>
      <c r="P25" s="151" t="n"/>
      <c r="Q25" s="151" t="n"/>
    </row>
    <row r="26">
      <c r="A26" s="296" t="inlineStr">
        <is>
          <t>VTA FINAL</t>
        </is>
      </c>
      <c r="B26" s="315">
        <f>IF(AND(B24&lt;&gt;"",B25&lt;&gt;""),"",IF(ISNUMBER(B25),B25,IF(OR(B23="",AND(B24&lt;&gt;"",NOT(ISNUMBER(B24)))),"",ROUND(B23+IF(ISNUMBER(B24),B24,0),2))))</f>
        <v/>
      </c>
      <c r="C26" s="296" t="inlineStr">
        <is>
          <t>Status</t>
        </is>
      </c>
      <c r="D26" s="152" t="n"/>
      <c r="E26" s="299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/>
      </c>
      <c r="F26" s="301" t="n"/>
      <c r="G26" s="301" t="n"/>
      <c r="H26" s="301" t="n"/>
      <c r="I26" s="301" t="n"/>
      <c r="J26" s="302" t="n"/>
      <c r="K26" s="151" t="n"/>
      <c r="L26" s="151" t="n"/>
      <c r="M26" s="151" t="n"/>
      <c r="N26" s="151" t="n"/>
      <c r="O26" s="151" t="n"/>
      <c r="P26" s="151" t="n"/>
      <c r="Q26" s="151" t="n"/>
    </row>
    <row r="27" ht="34" customHeight="1">
      <c r="A27" s="295" t="inlineStr">
        <is>
          <t>Aditivos marcados como considerados não são somados automaticamente ao VTA: sem confirmação de que a base contratual já os incorpora, a planilha exige cálculo manual para impedir dupla contagem.</t>
        </is>
      </c>
      <c r="K27" s="151" t="n"/>
      <c r="L27" s="151" t="n"/>
      <c r="M27" s="151" t="n"/>
      <c r="N27" s="151" t="n"/>
      <c r="O27" s="151" t="n"/>
      <c r="P27" s="151" t="n"/>
      <c r="Q27" s="151" t="n"/>
    </row>
    <row r="28">
      <c r="A28" s="151" t="n"/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</row>
    <row r="29">
      <c r="A29" s="151" t="n"/>
      <c r="B29" s="151" t="n"/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151" t="n"/>
      <c r="L29" s="151" t="n"/>
      <c r="M29" s="151" t="n"/>
      <c r="N29" s="151" t="n"/>
      <c r="O29" s="151" t="n"/>
      <c r="P29" s="151" t="n"/>
      <c r="Q29" s="151" t="n"/>
    </row>
    <row r="30" ht="24" customHeight="1">
      <c r="A30" s="304" t="inlineStr">
        <is>
          <t>EIXO 4 — QUANTIDADE E VALOR REMANESCENTE | sem e com reajuste</t>
        </is>
      </c>
      <c r="K30" s="151" t="n"/>
      <c r="L30" s="151" t="n"/>
      <c r="M30" s="151" t="n"/>
      <c r="N30" s="151" t="n"/>
      <c r="O30" s="151" t="n"/>
      <c r="P30" s="151" t="n"/>
      <c r="Q30" s="151" t="n"/>
    </row>
    <row r="31">
      <c r="A31" s="305" t="inlineStr">
        <is>
          <t>Fonte</t>
        </is>
      </c>
      <c r="B31" s="305" t="inlineStr">
        <is>
          <t>Quantidade</t>
        </is>
      </c>
      <c r="C31" s="305" t="inlineStr">
        <is>
          <t>Valor sem reajuste</t>
        </is>
      </c>
      <c r="D31" s="305" t="inlineStr">
        <is>
          <t>Valor com reajuste</t>
        </is>
      </c>
      <c r="E31" s="305" t="inlineStr">
        <is>
          <t>Ajuste</t>
        </is>
      </c>
      <c r="F31" s="305" t="inlineStr">
        <is>
          <t>Status / origem</t>
        </is>
      </c>
      <c r="G31" s="151" t="n"/>
      <c r="H31" s="151" t="n"/>
      <c r="I31" s="151" t="n"/>
      <c r="J31" s="151" t="n"/>
      <c r="K31" s="151" t="n"/>
      <c r="L31" s="151" t="n"/>
      <c r="M31" s="151" t="n"/>
      <c r="N31" s="151" t="n"/>
      <c r="O31" s="151" t="n"/>
      <c r="P31" s="151" t="n"/>
      <c r="Q31" s="151" t="n"/>
    </row>
    <row r="32">
      <c r="A32" s="311" t="inlineStr">
        <is>
          <t>Informado em itens_Remanesc</t>
        </is>
      </c>
      <c r="B32" s="316">
        <f>IF(COUNTIF(itens_Remanesc!$A$2:$A$200,"&lt;&gt;")=0,"",ROUND(IF($F$4="C0",SUM(itens_Remanesc!$B$2:$B$200),IF($F$4="C1",SUM(itens_Remanesc!$E$2:$E$200),IF($F$4="C2",SUM(itens_Remanesc!$G$2:$G$200),IF($F$4="C3",SUM(itens_Remanesc!$I$2:$I$200),SUM(itens_Remanesc!$K$2:$K$200))))),2))</f>
        <v/>
      </c>
      <c r="C32" s="317">
        <f>IF(COUNTIF(itens_Remanesc!$A$2:$A$200,"&lt;&gt;")=0,"",ROUND(IF($F$4="C0",SUMPRODUCT(itens_Remanesc!$B$2:$B$200,itens_Remanesc!$C$2:$C$200),IF($F$4="C1",SUMPRODUCT(itens_Remanesc!$E$2:$E$200,itens_Remanesc!$C$2:$C$200),IF($F$4="C2",SUMPRODUCT(itens_Remanesc!$G$2:$G$200,itens_Remanesc!$C$2:$C$200),IF($F$4="C3",SUMPRODUCT(itens_Remanesc!$I$2:$I$200,itens_Remanesc!$C$2:$C$200),SUMPRODUCT(itens_Remanesc!$K$2:$K$200,itens_Remanesc!$C$2:$C$200))))),2))</f>
        <v/>
      </c>
      <c r="D32" s="317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317">
        <f>IF(OR(C32="",D32=""),"",ROUND(D32-C32,2))</f>
        <v/>
      </c>
      <c r="F32" s="318">
        <f>IF(B32="","SEM BASE",IF($H$44&gt;0,"COM ERROS — NÃO CONFIÁVEL","PREENCHIDO"))</f>
        <v/>
      </c>
      <c r="G32" s="151" t="n"/>
      <c r="H32" s="151" t="n"/>
      <c r="I32" s="151" t="n"/>
      <c r="J32" s="151" t="n"/>
      <c r="K32" s="151" t="n"/>
      <c r="L32" s="151" t="n"/>
      <c r="M32" s="151" t="n"/>
      <c r="N32" s="151" t="n"/>
      <c r="O32" s="151" t="n"/>
      <c r="P32" s="151" t="n"/>
      <c r="Q32" s="151" t="n"/>
    </row>
    <row r="33">
      <c r="A33" s="311" t="inlineStr">
        <is>
          <t>Derivado de itens_Consumidos</t>
        </is>
      </c>
      <c r="B33" s="316">
        <f>IF(COUNTIF(itens_Consumidos!$A$2:$A$200,"&lt;&gt;")=0,"",ROUND(SUMPRODUCT((N(itens_Consumidos!$B$2:$B$200)-N(itens_Consumidos!$O$2:$O$200)&gt;0)*(N(itens_Consumidos!$B$2:$B$200)-N(itens_Consumidos!$O$2:$O$200))),2))</f>
        <v/>
      </c>
      <c r="C33" s="317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317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317">
        <f>IF(OR(C33="",D33=""),"",ROUND(D33-C33,2))</f>
        <v/>
      </c>
      <c r="F33" s="318">
        <f>IF(B33="","SEM BASE",IF($F$44&gt;0,"COM ERROS — NÃO CONFIÁVEL","DERIVADO"))</f>
        <v/>
      </c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</row>
    <row r="34" ht="26" customHeight="1">
      <c r="A34" s="311" t="inlineStr">
        <is>
          <t>Físico por PC</t>
        </is>
      </c>
      <c r="B34" s="170" t="n"/>
      <c r="C34" s="319" t="n"/>
      <c r="D34" s="319" t="n"/>
      <c r="E34" s="319" t="n"/>
      <c r="F34" s="318" t="inlineStr">
        <is>
          <t>NÃO DISPONÍVEL — SEM INFERÊNCIA</t>
        </is>
      </c>
      <c r="G34" s="151" t="n"/>
      <c r="H34" s="151" t="n"/>
      <c r="I34" s="151" t="n"/>
      <c r="J34" s="151" t="n"/>
      <c r="K34" s="151" t="n"/>
      <c r="L34" s="151" t="n"/>
      <c r="M34" s="151" t="n"/>
      <c r="N34" s="151" t="n"/>
      <c r="O34" s="151" t="n"/>
      <c r="P34" s="151" t="n"/>
      <c r="Q34" s="151" t="n"/>
    </row>
    <row r="35">
      <c r="A35" s="311" t="inlineStr">
        <is>
          <t>OFICIAL (conforme CONTROLE)</t>
        </is>
      </c>
      <c r="B35" s="316">
        <f>IF(CONTROLE!$B$1="Principal",B32,IF(CONTROLE!$B$1="Itens Consumidos",B33,""))</f>
        <v/>
      </c>
      <c r="C35" s="317">
        <f>IF(CONTROLE!$B$1="Principal",C32,IF(CONTROLE!$B$1="Itens Consumidos",C33,""))</f>
        <v/>
      </c>
      <c r="D35" s="317">
        <f>IF(CONTROLE!$B$1="Principal",D32,IF(CONTROLE!$B$1="Itens Consumidos",D33,""))</f>
        <v/>
      </c>
      <c r="E35" s="317">
        <f>IF(OR(C35="",D35=""),"",ROUND(D35-C35,2))</f>
        <v/>
      </c>
      <c r="F35" s="318">
        <f>IF(CONTROLE!$B$1="Principal","INFORMADO",IF(CONTROLE!$B$1="Itens Consumidos","ITENS","PCs — SEM QUANTIDADE"))</f>
        <v/>
      </c>
      <c r="G35" s="151" t="n"/>
      <c r="H35" s="151" t="n"/>
      <c r="I35" s="151" t="n"/>
      <c r="J35" s="151" t="n"/>
      <c r="K35" s="151" t="n"/>
      <c r="L35" s="151" t="n"/>
      <c r="M35" s="151" t="n"/>
      <c r="N35" s="151" t="n"/>
      <c r="O35" s="151" t="n"/>
      <c r="P35" s="151" t="n"/>
      <c r="Q35" s="151" t="n"/>
    </row>
    <row r="36">
      <c r="A36" s="311" t="inlineStr">
        <is>
          <t>STATUS DO REMANESCENTE</t>
        </is>
      </c>
      <c r="B36" s="197" t="n"/>
      <c r="C36" s="320" t="n"/>
      <c r="D36" s="320" t="n"/>
      <c r="E36" s="321" t="n"/>
      <c r="F36" s="322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/>
      </c>
      <c r="G36" s="151" t="n"/>
      <c r="H36" s="151" t="n"/>
      <c r="I36" s="151" t="n"/>
      <c r="J36" s="151" t="n"/>
      <c r="K36" s="151" t="n"/>
      <c r="L36" s="151" t="n"/>
      <c r="M36" s="151" t="n"/>
      <c r="N36" s="151" t="n"/>
      <c r="O36" s="151" t="n"/>
      <c r="P36" s="151" t="n"/>
      <c r="Q36" s="151" t="n"/>
    </row>
    <row r="37">
      <c r="A37" s="151" t="n"/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151" t="n"/>
      <c r="L37" s="151" t="n"/>
      <c r="M37" s="151" t="n"/>
      <c r="N37" s="151" t="n"/>
      <c r="O37" s="151" t="n"/>
      <c r="P37" s="151" t="n"/>
      <c r="Q37" s="151" t="n"/>
    </row>
    <row r="38">
      <c r="A38" s="151" t="n"/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</row>
    <row r="39">
      <c r="A39" s="151" t="n"/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151" t="n"/>
      <c r="L39" s="151" t="n"/>
      <c r="M39" s="151" t="n"/>
      <c r="N39" s="151" t="n"/>
      <c r="O39" s="151" t="n"/>
      <c r="P39" s="151" t="n"/>
      <c r="Q39" s="151" t="n"/>
    </row>
    <row r="40" ht="24" customHeight="1">
      <c r="A40" s="304" t="inlineStr">
        <is>
          <t>APOIO AO CÁLCULO MANUAL | dados mínimos, sem criar resultado</t>
        </is>
      </c>
      <c r="K40" s="151" t="n"/>
      <c r="L40" s="151" t="n"/>
      <c r="M40" s="151" t="n"/>
      <c r="N40" s="151" t="n"/>
      <c r="O40" s="151" t="n"/>
      <c r="P40" s="151" t="n"/>
      <c r="Q40" s="151" t="n"/>
    </row>
    <row r="41">
      <c r="A41" s="311" t="inlineStr">
        <is>
          <t>Retro Financeiro</t>
        </is>
      </c>
      <c r="B41" s="317">
        <f>IF(B15="","",B15)</f>
        <v/>
      </c>
      <c r="C41" s="323" t="inlineStr">
        <is>
          <t>Retro PCs</t>
        </is>
      </c>
      <c r="D41" s="317">
        <f>IF(C15="","",C15)</f>
        <v/>
      </c>
      <c r="E41" s="323" t="inlineStr">
        <is>
          <t>Retro Itens</t>
        </is>
      </c>
      <c r="F41" s="317">
        <f>IF(D15="","",D15)</f>
        <v/>
      </c>
      <c r="G41" s="323" t="inlineStr">
        <is>
          <t>Retro oficial</t>
        </is>
      </c>
      <c r="H41" s="317">
        <f>IF(B16="","",B16)</f>
        <v/>
      </c>
      <c r="I41" s="311" t="inlineStr">
        <is>
          <t>Status</t>
        </is>
      </c>
      <c r="J41" s="324">
        <f>F16</f>
        <v/>
      </c>
      <c r="K41" s="151" t="n"/>
      <c r="L41" s="151" t="n"/>
      <c r="M41" s="151" t="n"/>
      <c r="N41" s="151" t="n"/>
      <c r="O41" s="151" t="n"/>
      <c r="P41" s="151" t="n"/>
      <c r="Q41" s="151" t="n"/>
    </row>
    <row r="42">
      <c r="A42" s="311" t="inlineStr">
        <is>
          <t>Fator cheio do ciclo</t>
        </is>
      </c>
      <c r="B42" s="325">
        <f>IF($F$4="C0",parametros!$F$2,IF($F$4="C1",parametros!$F$3,IF($F$4="C2",parametros!$F$4,IF($F$4="C3",parametros!$F$5,parametros!$F$6))))</f>
        <v/>
      </c>
      <c r="C42" s="326" t="inlineStr">
        <is>
          <t>Fator da apuração</t>
        </is>
      </c>
      <c r="D42" s="325">
        <f>IF($F$4="C0",parametros!$D$11,IF($F$4="C1",parametros!$D$12,IF($F$4="C2",parametros!$D$13,IF($F$4="C3",parametros!$D$14,parametros!$D$15))))</f>
        <v/>
      </c>
      <c r="E42" s="326" t="inlineStr">
        <is>
          <t>Base praticada</t>
        </is>
      </c>
      <c r="F42" s="325">
        <f>IF(OR(NOT(ISNUMBER(B42)),NOT(ISNUMBER(D42)),D42=0),"",B42/D42)</f>
        <v/>
      </c>
      <c r="G42" s="326" t="inlineStr">
        <is>
          <t>Delta de fator</t>
        </is>
      </c>
      <c r="H42" s="325">
        <f>IF(OR(NOT(ISNUMBER(B42)),NOT(ISNUMBER(F42))),"",B42-F42)</f>
        <v/>
      </c>
      <c r="I42" s="153" t="n"/>
      <c r="J42" s="153" t="n"/>
      <c r="K42" s="151" t="n"/>
      <c r="L42" s="151" t="n"/>
      <c r="M42" s="151" t="n"/>
      <c r="N42" s="151" t="n"/>
      <c r="O42" s="151" t="n"/>
      <c r="P42" s="151" t="n"/>
      <c r="Q42" s="151" t="n"/>
    </row>
    <row r="43">
      <c r="A43" s="153" t="n"/>
      <c r="B43" s="153" t="n"/>
      <c r="C43" s="153" t="n"/>
      <c r="D43" s="153" t="n"/>
      <c r="E43" s="153" t="n"/>
      <c r="F43" s="153" t="n"/>
      <c r="G43" s="153" t="n"/>
      <c r="H43" s="153" t="n"/>
      <c r="I43" s="153" t="n"/>
      <c r="J43" s="153" t="n"/>
      <c r="K43" s="151" t="n"/>
      <c r="L43" s="151" t="n"/>
      <c r="M43" s="151" t="n"/>
      <c r="N43" s="151" t="n"/>
      <c r="O43" s="151" t="n"/>
      <c r="P43" s="151" t="n"/>
      <c r="Q43" s="151" t="n"/>
    </row>
    <row r="44" ht="26" customHeight="1">
      <c r="A44" s="311" t="inlineStr">
        <is>
          <t>Linhas incompletas — Financeiro</t>
        </is>
      </c>
      <c r="B44" s="324">
        <f>SUMPRODUCT(--(financeiro!$C$2:$C$61&lt;&gt;""),--(((financeiro!$B$2:$B$61="")+(financeiro!$G$2:$G$61=""))&gt;0))</f>
        <v/>
      </c>
      <c r="C44" s="311" t="inlineStr">
        <is>
          <t>Erros — PCs</t>
        </is>
      </c>
      <c r="D44" s="324">
        <f>SUMPRODUCT(--(((itens_PC!$A$2:$A$100&lt;&gt;"")+(itens_PC!$C$2:$C$100&lt;&gt;"")+(itens_PC!$F$2:$F$100&lt;&gt;""))&gt;0),--(itens_PC!$J$2:$J$100&lt;&gt;"OK"))</f>
        <v/>
      </c>
      <c r="E44" s="311" t="inlineStr">
        <is>
          <t>Erros — Itens</t>
        </is>
      </c>
      <c r="F44" s="324">
        <f>COUNTIFS(itens_Consumidos!$A$2:$A$200,"&lt;&gt;",itens_Consumidos!$Q$2:$Q$200,"&lt;&gt;OK")+COUNTIFS(itens_Consumidos!$A$2:$A$200,"&lt;&gt;",itens_Consumidos!$C$2:$C$200,"")</f>
        <v/>
      </c>
      <c r="G44" s="311" t="inlineStr">
        <is>
          <t>Erros — Remanescente</t>
        </is>
      </c>
      <c r="H44" s="324">
        <f>COUNTIFS(itens_Remanesc!$A$2:$A$200,"&lt;&gt;",itens_Remanesc!$U$2:$U$200,"&lt;&gt;OK")+COUNTIFS(itens_Remanesc!$A$2:$A$200,"&lt;&gt;",itens_Remanesc!$V$2:$V$200,"&lt;&gt;OK")</f>
        <v/>
      </c>
      <c r="I44" s="311" t="inlineStr">
        <is>
          <t>Itens-base incompletos</t>
        </is>
      </c>
      <c r="J44" s="324">
        <f>COUNTIFS(itens_Remanesc!$A$2:$A$200,"&lt;&gt;",itens_Remanesc!$B$2:$B$200,"")+COUNTIFS(itens_Remanesc!$A$2:$A$200,"&lt;&gt;",itens_Remanesc!$C$2:$C$200,"")</f>
        <v/>
      </c>
      <c r="K44" s="151" t="n"/>
      <c r="L44" s="151" t="n"/>
      <c r="M44" s="151" t="n"/>
      <c r="N44" s="151" t="n"/>
      <c r="O44" s="151" t="n"/>
      <c r="P44" s="151" t="n"/>
      <c r="Q44" s="151" t="n"/>
    </row>
    <row r="45" ht="26" customHeight="1">
      <c r="A45" s="311" t="inlineStr">
        <is>
          <t>Aditivos marcados como considerados</t>
        </is>
      </c>
      <c r="B45" s="324">
        <f>COUNTIF(aditivos!$K$2:$K$200,"Sim")</f>
        <v/>
      </c>
      <c r="C45" s="311" t="inlineStr">
        <is>
          <t>Delta potencial de PCs não pagos</t>
        </is>
      </c>
      <c r="D45" s="317">
        <f>ROUND(SUM(itens_PC!$I$2:$I$100),2)</f>
        <v/>
      </c>
      <c r="E45" s="153" t="n"/>
      <c r="F45" s="153" t="n"/>
      <c r="G45" s="153" t="n"/>
      <c r="H45" s="153" t="n"/>
      <c r="I45" s="153" t="n"/>
      <c r="J45" s="153" t="n"/>
      <c r="K45" s="151" t="n"/>
      <c r="L45" s="151" t="n"/>
      <c r="M45" s="151" t="n"/>
      <c r="N45" s="151" t="n"/>
      <c r="O45" s="151" t="n"/>
      <c r="P45" s="151" t="n"/>
      <c r="Q45" s="151" t="n"/>
    </row>
    <row r="46">
      <c r="A46" s="15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  <c r="K46" s="151" t="n"/>
      <c r="L46" s="151" t="n"/>
      <c r="M46" s="151" t="n"/>
      <c r="N46" s="151" t="n"/>
      <c r="O46" s="151" t="n"/>
      <c r="P46" s="151" t="n"/>
      <c r="Q46" s="151" t="n"/>
    </row>
    <row r="47">
      <c r="A47" s="15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  <c r="K47" s="151" t="n"/>
      <c r="L47" s="151" t="n"/>
      <c r="M47" s="151" t="n"/>
      <c r="N47" s="151" t="n"/>
      <c r="O47" s="151" t="n"/>
      <c r="P47" s="151" t="n"/>
      <c r="Q47" s="151" t="n"/>
    </row>
    <row r="48" ht="34" customHeight="1">
      <c r="A48" s="303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  <c r="K48" s="151" t="n"/>
      <c r="L48" s="151" t="n"/>
      <c r="M48" s="151" t="n"/>
      <c r="N48" s="151" t="n"/>
      <c r="O48" s="151" t="n"/>
      <c r="P48" s="151" t="n"/>
      <c r="Q48" s="151" t="n"/>
    </row>
    <row r="49" ht="34" customHeight="1">
      <c r="A49" s="303" t="inlineStr">
        <is>
          <t>Referência do VTA: valor original do contrato + retroativo oficial + (remanescente atualizado − remanescente em base original). Aditivos ou bases contraditórias impedem o fechamento automático.</t>
        </is>
      </c>
      <c r="K49" s="151" t="n"/>
      <c r="L49" s="151" t="n"/>
      <c r="M49" s="151" t="n"/>
      <c r="N49" s="151" t="n"/>
      <c r="O49" s="151" t="n"/>
      <c r="P49" s="151" t="n"/>
      <c r="Q49" s="151" t="n"/>
    </row>
    <row r="50">
      <c r="A50" s="151" t="n"/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151" t="n"/>
      <c r="L50" s="151" t="n"/>
      <c r="M50" s="151" t="n"/>
      <c r="N50" s="151" t="n"/>
      <c r="O50" s="151" t="n"/>
      <c r="P50" s="151" t="n"/>
      <c r="Q50" s="151" t="n"/>
    </row>
    <row r="51">
      <c r="A51" s="151" t="n"/>
      <c r="B51" s="151" t="n"/>
      <c r="C51" s="151" t="n"/>
      <c r="D51" s="151" t="n"/>
      <c r="E51" s="151" t="n"/>
      <c r="F51" s="151" t="n"/>
      <c r="G51" s="151" t="n"/>
      <c r="H51" s="151" t="n"/>
      <c r="I51" s="151" t="n"/>
      <c r="J51" s="151" t="n"/>
      <c r="K51" s="151" t="n"/>
      <c r="L51" s="151" t="n"/>
      <c r="M51" s="151" t="n"/>
      <c r="N51" s="151" t="n"/>
      <c r="O51" s="151" t="n"/>
      <c r="P51" s="151" t="n"/>
      <c r="Q51" s="151" t="n"/>
    </row>
    <row r="52">
      <c r="A52" s="151" t="n"/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  <c r="L52" s="151" t="n"/>
      <c r="M52" s="151" t="n"/>
      <c r="N52" s="151" t="n"/>
      <c r="O52" s="151" t="n"/>
      <c r="P52" s="151" t="n"/>
      <c r="Q52" s="151" t="n"/>
    </row>
    <row r="53">
      <c r="A53" s="151" t="n"/>
      <c r="B53" s="151" t="n"/>
      <c r="C53" s="151" t="n"/>
      <c r="D53" s="151" t="n"/>
      <c r="E53" s="151" t="n"/>
      <c r="F53" s="151" t="n"/>
      <c r="G53" s="151" t="n"/>
      <c r="H53" s="151" t="n"/>
      <c r="I53" s="151" t="n"/>
      <c r="J53" s="151" t="n"/>
      <c r="K53" s="151" t="n"/>
      <c r="L53" s="151" t="n"/>
      <c r="M53" s="151" t="n"/>
      <c r="N53" s="151" t="n"/>
      <c r="O53" s="151" t="n"/>
      <c r="P53" s="151" t="n"/>
      <c r="Q53" s="151" t="n"/>
    </row>
    <row r="54">
      <c r="A54" s="151" t="n"/>
      <c r="B54" s="151" t="n"/>
      <c r="C54" s="151" t="n"/>
      <c r="D54" s="151" t="n"/>
      <c r="E54" s="151" t="n"/>
      <c r="F54" s="151" t="n"/>
      <c r="G54" s="151" t="n"/>
      <c r="H54" s="151" t="n"/>
      <c r="I54" s="151" t="n"/>
      <c r="J54" s="151" t="n"/>
      <c r="K54" s="151" t="n"/>
      <c r="L54" s="151" t="n"/>
      <c r="M54" s="151" t="n"/>
      <c r="N54" s="151" t="n"/>
      <c r="O54" s="151" t="n"/>
      <c r="P54" s="151" t="n"/>
      <c r="Q54" s="151" t="n"/>
    </row>
    <row r="55">
      <c r="A55" s="151" t="n"/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</row>
    <row r="56">
      <c r="A56" s="151" t="n"/>
      <c r="B56" s="151" t="n"/>
      <c r="C56" s="151" t="n"/>
      <c r="D56" s="151" t="n"/>
      <c r="E56" s="151" t="n"/>
      <c r="F56" s="151" t="n"/>
      <c r="G56" s="151" t="n"/>
      <c r="H56" s="151" t="n"/>
      <c r="I56" s="151" t="n"/>
      <c r="J56" s="151" t="n"/>
      <c r="K56" s="151" t="n"/>
      <c r="L56" s="151" t="n"/>
      <c r="M56" s="151" t="n"/>
      <c r="N56" s="151" t="n"/>
      <c r="O56" s="151" t="n"/>
      <c r="P56" s="151" t="n"/>
      <c r="Q56" s="151" t="n"/>
    </row>
    <row r="57">
      <c r="A57" s="151" t="n"/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  <c r="L57" s="151" t="n"/>
      <c r="M57" s="151" t="n"/>
      <c r="N57" s="151" t="n"/>
      <c r="O57" s="151" t="n"/>
      <c r="P57" s="151" t="n"/>
      <c r="Q57" s="151" t="n"/>
    </row>
    <row r="58">
      <c r="A58" s="151" t="n"/>
      <c r="B58" s="151" t="n"/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  <c r="L58" s="151" t="n"/>
      <c r="M58" s="151" t="n"/>
      <c r="N58" s="151" t="n"/>
      <c r="O58" s="151" t="n"/>
      <c r="P58" s="151" t="n"/>
      <c r="Q58" s="151" t="n"/>
    </row>
    <row r="59">
      <c r="A59" s="151" t="n"/>
      <c r="B59" s="151" t="n"/>
      <c r="C59" s="151" t="n"/>
      <c r="D59" s="151" t="n"/>
      <c r="E59" s="151" t="n"/>
      <c r="F59" s="151" t="n"/>
      <c r="G59" s="151" t="n"/>
      <c r="H59" s="151" t="n"/>
      <c r="I59" s="151" t="n"/>
      <c r="J59" s="151" t="n"/>
      <c r="K59" s="151" t="n"/>
      <c r="L59" s="151" t="n"/>
      <c r="M59" s="151" t="n"/>
      <c r="N59" s="151" t="n"/>
      <c r="O59" s="151" t="n"/>
      <c r="P59" s="151" t="n"/>
      <c r="Q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  <c r="L60" s="151" t="n"/>
      <c r="M60" s="151" t="n"/>
      <c r="N60" s="151" t="n"/>
      <c r="O60" s="151" t="n"/>
      <c r="P60" s="151" t="n"/>
      <c r="Q60" s="151" t="n"/>
    </row>
    <row r="61">
      <c r="A61" s="151" t="n"/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  <c r="L61" s="151" t="n"/>
      <c r="M61" s="151" t="n"/>
      <c r="N61" s="151" t="n"/>
      <c r="O61" s="151" t="n"/>
      <c r="P61" s="151" t="n"/>
      <c r="Q61" s="151" t="n"/>
    </row>
    <row r="62" ht="24" customHeight="1">
      <c r="A62" s="304" t="inlineStr">
        <is>
          <t>EIXO 2 — EVOLUÇÃO DO VU POR ITEM | somente valores unitários</t>
        </is>
      </c>
      <c r="I62" s="151" t="n"/>
      <c r="J62" s="304" t="inlineStr">
        <is>
          <t>MEMÓRIA DO REMANESCENTE POR ITEM</t>
        </is>
      </c>
    </row>
    <row r="63" ht="24" customHeight="1">
      <c r="A63" s="327" t="inlineStr">
        <is>
          <t>ITEM</t>
        </is>
      </c>
      <c r="B63" s="327" t="inlineStr">
        <is>
          <t>QTD BASE</t>
        </is>
      </c>
      <c r="C63" s="327" t="inlineStr">
        <is>
          <t>VU C0</t>
        </is>
      </c>
      <c r="D63" s="327" t="inlineStr">
        <is>
          <t>VU C1</t>
        </is>
      </c>
      <c r="E63" s="327" t="inlineStr">
        <is>
          <t>VU C2</t>
        </is>
      </c>
      <c r="F63" s="327" t="inlineStr">
        <is>
          <t>VU C3</t>
        </is>
      </c>
      <c r="G63" s="327" t="inlineStr">
        <is>
          <t>VU C4</t>
        </is>
      </c>
      <c r="H63" s="327" t="inlineStr">
        <is>
          <t>VARIAÇÃO ACUMULADA</t>
        </is>
      </c>
      <c r="I63" s="151" t="n"/>
      <c r="J63" s="327" t="inlineStr">
        <is>
          <t>ITEM</t>
        </is>
      </c>
      <c r="K63" s="327" t="inlineStr">
        <is>
          <t>QTD INFORMADA</t>
        </is>
      </c>
      <c r="L63" s="327" t="inlineStr">
        <is>
          <t>QTD DERIVADA</t>
        </is>
      </c>
      <c r="M63" s="327" t="inlineStr">
        <is>
          <t>VU ORIGINAL</t>
        </is>
      </c>
      <c r="N63" s="327" t="inlineStr">
        <is>
          <t>VU VIGENTE</t>
        </is>
      </c>
      <c r="O63" s="327" t="inlineStr">
        <is>
          <t>VALOR SEM</t>
        </is>
      </c>
      <c r="P63" s="327" t="inlineStr">
        <is>
          <t>VALOR COM</t>
        </is>
      </c>
      <c r="Q63" s="327" t="inlineStr">
        <is>
          <t>STATUS</t>
        </is>
      </c>
    </row>
    <row r="64">
      <c r="A64" s="328">
        <f>IF(historico_VU!A2="","",historico_VU!A2)</f>
        <v/>
      </c>
      <c r="B64" s="329">
        <f>IF(A64="","",historico_VU!B2)</f>
        <v/>
      </c>
      <c r="C64" s="330">
        <f>IF(A64="","",historico_VU!C2)</f>
        <v/>
      </c>
      <c r="D64" s="330">
        <f>IF(A64="","",historico_VU!D2)</f>
        <v/>
      </c>
      <c r="E64" s="330">
        <f>IF(A64="","",historico_VU!E2)</f>
        <v/>
      </c>
      <c r="F64" s="330">
        <f>IF(A64="","",historico_VU!F2)</f>
        <v/>
      </c>
      <c r="G64" s="330">
        <f>IF(A64="","",historico_VU!G2)</f>
        <v/>
      </c>
      <c r="H64" s="331">
        <f>IF(A64="","",historico_VU!H2)</f>
        <v/>
      </c>
      <c r="I64" s="151" t="n"/>
      <c r="J64" s="328">
        <f>IF(itens_Remanesc!A2="","",itens_Remanesc!A2)</f>
        <v/>
      </c>
      <c r="K64" s="329">
        <f>IF(J64="","",IF($F$4="C0",itens_Remanesc!B2,IF($F$4="C1",itens_Remanesc!E2,IF($F$4="C2",itens_Remanesc!G2,IF($F$4="C3",itens_Remanesc!I2,itens_Remanesc!K2)))))</f>
        <v/>
      </c>
      <c r="L64" s="329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332">
        <f>IF(J64="","",itens_Remanesc!C2)</f>
        <v/>
      </c>
      <c r="N64" s="332">
        <f>IF(J64="","",IF($F$4="C0",historico_VU!C2,IF($F$4="C1",historico_VU!D2,IF($F$4="C2",historico_VU!E2,IF($F$4="C3",historico_VU!F2,historico_VU!G2)))))</f>
        <v/>
      </c>
      <c r="O64" s="332">
        <f>IF(J64="","",IF(CONTROLE!$B$1="Principal",IF(OR(K64="",M64=""),"",ROUND(K64*M64,2)),IF(CONTROLE!$B$1="Itens Consumidos",IF(OR(L64="",M64=""),"",ROUND(L64*M64,2)),"")))</f>
        <v/>
      </c>
      <c r="P64" s="332">
        <f>IF(J64="","",IF(CONTROLE!$B$1="Principal",IF(OR(K64="",N64=""),"",ROUND(K64*N64,2)),IF(CONTROLE!$B$1="Itens Consumidos",IF(OR(L64="",N64=""),"",ROUND(L64*N64,2)),"")))</f>
        <v/>
      </c>
      <c r="Q64" s="333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>
      <c r="A65" s="328">
        <f>IF(historico_VU!A3="","",historico_VU!A3)</f>
        <v/>
      </c>
      <c r="B65" s="329">
        <f>IF(A65="","",historico_VU!B3)</f>
        <v/>
      </c>
      <c r="C65" s="330">
        <f>IF(A65="","",historico_VU!C3)</f>
        <v/>
      </c>
      <c r="D65" s="330">
        <f>IF(A65="","",historico_VU!D3)</f>
        <v/>
      </c>
      <c r="E65" s="330">
        <f>IF(A65="","",historico_VU!E3)</f>
        <v/>
      </c>
      <c r="F65" s="330">
        <f>IF(A65="","",historico_VU!F3)</f>
        <v/>
      </c>
      <c r="G65" s="330">
        <f>IF(A65="","",historico_VU!G3)</f>
        <v/>
      </c>
      <c r="H65" s="331">
        <f>IF(A65="","",historico_VU!H3)</f>
        <v/>
      </c>
      <c r="I65" s="151" t="n"/>
      <c r="J65" s="328">
        <f>IF(itens_Remanesc!A3="","",itens_Remanesc!A3)</f>
        <v/>
      </c>
      <c r="K65" s="329">
        <f>IF(J65="","",IF($F$4="C0",itens_Remanesc!B3,IF($F$4="C1",itens_Remanesc!E3,IF($F$4="C2",itens_Remanesc!G3,IF($F$4="C3",itens_Remanesc!I3,itens_Remanesc!K3)))))</f>
        <v/>
      </c>
      <c r="L65" s="329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332">
        <f>IF(J65="","",itens_Remanesc!C3)</f>
        <v/>
      </c>
      <c r="N65" s="332">
        <f>IF(J65="","",IF($F$4="C0",historico_VU!C3,IF($F$4="C1",historico_VU!D3,IF($F$4="C2",historico_VU!E3,IF($F$4="C3",historico_VU!F3,historico_VU!G3)))))</f>
        <v/>
      </c>
      <c r="O65" s="332">
        <f>IF(J65="","",IF(CONTROLE!$B$1="Principal",IF(OR(K65="",M65=""),"",ROUND(K65*M65,2)),IF(CONTROLE!$B$1="Itens Consumidos",IF(OR(L65="",M65=""),"",ROUND(L65*M65,2)),"")))</f>
        <v/>
      </c>
      <c r="P65" s="332">
        <f>IF(J65="","",IF(CONTROLE!$B$1="Principal",IF(OR(K65="",N65=""),"",ROUND(K65*N65,2)),IF(CONTROLE!$B$1="Itens Consumidos",IF(OR(L65="",N65=""),"",ROUND(L65*N65,2)),"")))</f>
        <v/>
      </c>
      <c r="Q65" s="333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>
      <c r="A66" s="328">
        <f>IF(historico_VU!A4="","",historico_VU!A4)</f>
        <v/>
      </c>
      <c r="B66" s="329">
        <f>IF(A66="","",historico_VU!B4)</f>
        <v/>
      </c>
      <c r="C66" s="330">
        <f>IF(A66="","",historico_VU!C4)</f>
        <v/>
      </c>
      <c r="D66" s="330">
        <f>IF(A66="","",historico_VU!D4)</f>
        <v/>
      </c>
      <c r="E66" s="330">
        <f>IF(A66="","",historico_VU!E4)</f>
        <v/>
      </c>
      <c r="F66" s="330">
        <f>IF(A66="","",historico_VU!F4)</f>
        <v/>
      </c>
      <c r="G66" s="330">
        <f>IF(A66="","",historico_VU!G4)</f>
        <v/>
      </c>
      <c r="H66" s="331">
        <f>IF(A66="","",historico_VU!H4)</f>
        <v/>
      </c>
      <c r="I66" s="151" t="n"/>
      <c r="J66" s="328">
        <f>IF(itens_Remanesc!A4="","",itens_Remanesc!A4)</f>
        <v/>
      </c>
      <c r="K66" s="329">
        <f>IF(J66="","",IF($F$4="C0",itens_Remanesc!B4,IF($F$4="C1",itens_Remanesc!E4,IF($F$4="C2",itens_Remanesc!G4,IF($F$4="C3",itens_Remanesc!I4,itens_Remanesc!K4)))))</f>
        <v/>
      </c>
      <c r="L66" s="329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332">
        <f>IF(J66="","",itens_Remanesc!C4)</f>
        <v/>
      </c>
      <c r="N66" s="332">
        <f>IF(J66="","",IF($F$4="C0",historico_VU!C4,IF($F$4="C1",historico_VU!D4,IF($F$4="C2",historico_VU!E4,IF($F$4="C3",historico_VU!F4,historico_VU!G4)))))</f>
        <v/>
      </c>
      <c r="O66" s="332">
        <f>IF(J66="","",IF(CONTROLE!$B$1="Principal",IF(OR(K66="",M66=""),"",ROUND(K66*M66,2)),IF(CONTROLE!$B$1="Itens Consumidos",IF(OR(L66="",M66=""),"",ROUND(L66*M66,2)),"")))</f>
        <v/>
      </c>
      <c r="P66" s="332">
        <f>IF(J66="","",IF(CONTROLE!$B$1="Principal",IF(OR(K66="",N66=""),"",ROUND(K66*N66,2)),IF(CONTROLE!$B$1="Itens Consumidos",IF(OR(L66="",N66=""),"",ROUND(L66*N66,2)),"")))</f>
        <v/>
      </c>
      <c r="Q66" s="333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>
      <c r="A67" s="328">
        <f>IF(historico_VU!A5="","",historico_VU!A5)</f>
        <v/>
      </c>
      <c r="B67" s="329">
        <f>IF(A67="","",historico_VU!B5)</f>
        <v/>
      </c>
      <c r="C67" s="330">
        <f>IF(A67="","",historico_VU!C5)</f>
        <v/>
      </c>
      <c r="D67" s="330">
        <f>IF(A67="","",historico_VU!D5)</f>
        <v/>
      </c>
      <c r="E67" s="330">
        <f>IF(A67="","",historico_VU!E5)</f>
        <v/>
      </c>
      <c r="F67" s="330">
        <f>IF(A67="","",historico_VU!F5)</f>
        <v/>
      </c>
      <c r="G67" s="330">
        <f>IF(A67="","",historico_VU!G5)</f>
        <v/>
      </c>
      <c r="H67" s="331">
        <f>IF(A67="","",historico_VU!H5)</f>
        <v/>
      </c>
      <c r="I67" s="151" t="n"/>
      <c r="J67" s="328">
        <f>IF(itens_Remanesc!A5="","",itens_Remanesc!A5)</f>
        <v/>
      </c>
      <c r="K67" s="329">
        <f>IF(J67="","",IF($F$4="C0",itens_Remanesc!B5,IF($F$4="C1",itens_Remanesc!E5,IF($F$4="C2",itens_Remanesc!G5,IF($F$4="C3",itens_Remanesc!I5,itens_Remanesc!K5)))))</f>
        <v/>
      </c>
      <c r="L67" s="329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332">
        <f>IF(J67="","",itens_Remanesc!C5)</f>
        <v/>
      </c>
      <c r="N67" s="332">
        <f>IF(J67="","",IF($F$4="C0",historico_VU!C5,IF($F$4="C1",historico_VU!D5,IF($F$4="C2",historico_VU!E5,IF($F$4="C3",historico_VU!F5,historico_VU!G5)))))</f>
        <v/>
      </c>
      <c r="O67" s="332">
        <f>IF(J67="","",IF(CONTROLE!$B$1="Principal",IF(OR(K67="",M67=""),"",ROUND(K67*M67,2)),IF(CONTROLE!$B$1="Itens Consumidos",IF(OR(L67="",M67=""),"",ROUND(L67*M67,2)),"")))</f>
        <v/>
      </c>
      <c r="P67" s="332">
        <f>IF(J67="","",IF(CONTROLE!$B$1="Principal",IF(OR(K67="",N67=""),"",ROUND(K67*N67,2)),IF(CONTROLE!$B$1="Itens Consumidos",IF(OR(L67="",N67=""),"",ROUND(L67*N67,2)),"")))</f>
        <v/>
      </c>
      <c r="Q67" s="333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>
      <c r="A68" s="328">
        <f>IF(historico_VU!A6="","",historico_VU!A6)</f>
        <v/>
      </c>
      <c r="B68" s="329">
        <f>IF(A68="","",historico_VU!B6)</f>
        <v/>
      </c>
      <c r="C68" s="330">
        <f>IF(A68="","",historico_VU!C6)</f>
        <v/>
      </c>
      <c r="D68" s="330">
        <f>IF(A68="","",historico_VU!D6)</f>
        <v/>
      </c>
      <c r="E68" s="330">
        <f>IF(A68="","",historico_VU!E6)</f>
        <v/>
      </c>
      <c r="F68" s="330">
        <f>IF(A68="","",historico_VU!F6)</f>
        <v/>
      </c>
      <c r="G68" s="330">
        <f>IF(A68="","",historico_VU!G6)</f>
        <v/>
      </c>
      <c r="H68" s="331">
        <f>IF(A68="","",historico_VU!H6)</f>
        <v/>
      </c>
      <c r="I68" s="151" t="n"/>
      <c r="J68" s="328">
        <f>IF(itens_Remanesc!A6="","",itens_Remanesc!A6)</f>
        <v/>
      </c>
      <c r="K68" s="329">
        <f>IF(J68="","",IF($F$4="C0",itens_Remanesc!B6,IF($F$4="C1",itens_Remanesc!E6,IF($F$4="C2",itens_Remanesc!G6,IF($F$4="C3",itens_Remanesc!I6,itens_Remanesc!K6)))))</f>
        <v/>
      </c>
      <c r="L68" s="329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332">
        <f>IF(J68="","",itens_Remanesc!C6)</f>
        <v/>
      </c>
      <c r="N68" s="332">
        <f>IF(J68="","",IF($F$4="C0",historico_VU!C6,IF($F$4="C1",historico_VU!D6,IF($F$4="C2",historico_VU!E6,IF($F$4="C3",historico_VU!F6,historico_VU!G6)))))</f>
        <v/>
      </c>
      <c r="O68" s="332">
        <f>IF(J68="","",IF(CONTROLE!$B$1="Principal",IF(OR(K68="",M68=""),"",ROUND(K68*M68,2)),IF(CONTROLE!$B$1="Itens Consumidos",IF(OR(L68="",M68=""),"",ROUND(L68*M68,2)),"")))</f>
        <v/>
      </c>
      <c r="P68" s="332">
        <f>IF(J68="","",IF(CONTROLE!$B$1="Principal",IF(OR(K68="",N68=""),"",ROUND(K68*N68,2)),IF(CONTROLE!$B$1="Itens Consumidos",IF(OR(L68="",N68=""),"",ROUND(L68*N68,2)),"")))</f>
        <v/>
      </c>
      <c r="Q68" s="333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>
      <c r="A69" s="328">
        <f>IF(historico_VU!A7="","",historico_VU!A7)</f>
        <v/>
      </c>
      <c r="B69" s="329">
        <f>IF(A69="","",historico_VU!B7)</f>
        <v/>
      </c>
      <c r="C69" s="330">
        <f>IF(A69="","",historico_VU!C7)</f>
        <v/>
      </c>
      <c r="D69" s="330">
        <f>IF(A69="","",historico_VU!D7)</f>
        <v/>
      </c>
      <c r="E69" s="330">
        <f>IF(A69="","",historico_VU!E7)</f>
        <v/>
      </c>
      <c r="F69" s="330">
        <f>IF(A69="","",historico_VU!F7)</f>
        <v/>
      </c>
      <c r="G69" s="330">
        <f>IF(A69="","",historico_VU!G7)</f>
        <v/>
      </c>
      <c r="H69" s="331">
        <f>IF(A69="","",historico_VU!H7)</f>
        <v/>
      </c>
      <c r="I69" s="151" t="n"/>
      <c r="J69" s="328">
        <f>IF(itens_Remanesc!A7="","",itens_Remanesc!A7)</f>
        <v/>
      </c>
      <c r="K69" s="329">
        <f>IF(J69="","",IF($F$4="C0",itens_Remanesc!B7,IF($F$4="C1",itens_Remanesc!E7,IF($F$4="C2",itens_Remanesc!G7,IF($F$4="C3",itens_Remanesc!I7,itens_Remanesc!K7)))))</f>
        <v/>
      </c>
      <c r="L69" s="329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332">
        <f>IF(J69="","",itens_Remanesc!C7)</f>
        <v/>
      </c>
      <c r="N69" s="332">
        <f>IF(J69="","",IF($F$4="C0",historico_VU!C7,IF($F$4="C1",historico_VU!D7,IF($F$4="C2",historico_VU!E7,IF($F$4="C3",historico_VU!F7,historico_VU!G7)))))</f>
        <v/>
      </c>
      <c r="O69" s="332">
        <f>IF(J69="","",IF(CONTROLE!$B$1="Principal",IF(OR(K69="",M69=""),"",ROUND(K69*M69,2)),IF(CONTROLE!$B$1="Itens Consumidos",IF(OR(L69="",M69=""),"",ROUND(L69*M69,2)),"")))</f>
        <v/>
      </c>
      <c r="P69" s="332">
        <f>IF(J69="","",IF(CONTROLE!$B$1="Principal",IF(OR(K69="",N69=""),"",ROUND(K69*N69,2)),IF(CONTROLE!$B$1="Itens Consumidos",IF(OR(L69="",N69=""),"",ROUND(L69*N69,2)),"")))</f>
        <v/>
      </c>
      <c r="Q69" s="333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>
      <c r="A70" s="328">
        <f>IF(historico_VU!A8="","",historico_VU!A8)</f>
        <v/>
      </c>
      <c r="B70" s="329">
        <f>IF(A70="","",historico_VU!B8)</f>
        <v/>
      </c>
      <c r="C70" s="330">
        <f>IF(A70="","",historico_VU!C8)</f>
        <v/>
      </c>
      <c r="D70" s="330">
        <f>IF(A70="","",historico_VU!D8)</f>
        <v/>
      </c>
      <c r="E70" s="330">
        <f>IF(A70="","",historico_VU!E8)</f>
        <v/>
      </c>
      <c r="F70" s="330">
        <f>IF(A70="","",historico_VU!F8)</f>
        <v/>
      </c>
      <c r="G70" s="330">
        <f>IF(A70="","",historico_VU!G8)</f>
        <v/>
      </c>
      <c r="H70" s="331">
        <f>IF(A70="","",historico_VU!H8)</f>
        <v/>
      </c>
      <c r="I70" s="151" t="n"/>
      <c r="J70" s="328">
        <f>IF(itens_Remanesc!A8="","",itens_Remanesc!A8)</f>
        <v/>
      </c>
      <c r="K70" s="329">
        <f>IF(J70="","",IF($F$4="C0",itens_Remanesc!B8,IF($F$4="C1",itens_Remanesc!E8,IF($F$4="C2",itens_Remanesc!G8,IF($F$4="C3",itens_Remanesc!I8,itens_Remanesc!K8)))))</f>
        <v/>
      </c>
      <c r="L70" s="329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332">
        <f>IF(J70="","",itens_Remanesc!C8)</f>
        <v/>
      </c>
      <c r="N70" s="332">
        <f>IF(J70="","",IF($F$4="C0",historico_VU!C8,IF($F$4="C1",historico_VU!D8,IF($F$4="C2",historico_VU!E8,IF($F$4="C3",historico_VU!F8,historico_VU!G8)))))</f>
        <v/>
      </c>
      <c r="O70" s="332">
        <f>IF(J70="","",IF(CONTROLE!$B$1="Principal",IF(OR(K70="",M70=""),"",ROUND(K70*M70,2)),IF(CONTROLE!$B$1="Itens Consumidos",IF(OR(L70="",M70=""),"",ROUND(L70*M70,2)),"")))</f>
        <v/>
      </c>
      <c r="P70" s="332">
        <f>IF(J70="","",IF(CONTROLE!$B$1="Principal",IF(OR(K70="",N70=""),"",ROUND(K70*N70,2)),IF(CONTROLE!$B$1="Itens Consumidos",IF(OR(L70="",N70=""),"",ROUND(L70*N70,2)),"")))</f>
        <v/>
      </c>
      <c r="Q70" s="333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>
      <c r="A71" s="328">
        <f>IF(historico_VU!A9="","",historico_VU!A9)</f>
        <v/>
      </c>
      <c r="B71" s="329">
        <f>IF(A71="","",historico_VU!B9)</f>
        <v/>
      </c>
      <c r="C71" s="330">
        <f>IF(A71="","",historico_VU!C9)</f>
        <v/>
      </c>
      <c r="D71" s="330">
        <f>IF(A71="","",historico_VU!D9)</f>
        <v/>
      </c>
      <c r="E71" s="330">
        <f>IF(A71="","",historico_VU!E9)</f>
        <v/>
      </c>
      <c r="F71" s="330">
        <f>IF(A71="","",historico_VU!F9)</f>
        <v/>
      </c>
      <c r="G71" s="330">
        <f>IF(A71="","",historico_VU!G9)</f>
        <v/>
      </c>
      <c r="H71" s="331">
        <f>IF(A71="","",historico_VU!H9)</f>
        <v/>
      </c>
      <c r="I71" s="151" t="n"/>
      <c r="J71" s="328">
        <f>IF(itens_Remanesc!A9="","",itens_Remanesc!A9)</f>
        <v/>
      </c>
      <c r="K71" s="329">
        <f>IF(J71="","",IF($F$4="C0",itens_Remanesc!B9,IF($F$4="C1",itens_Remanesc!E9,IF($F$4="C2",itens_Remanesc!G9,IF($F$4="C3",itens_Remanesc!I9,itens_Remanesc!K9)))))</f>
        <v/>
      </c>
      <c r="L71" s="329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332">
        <f>IF(J71="","",itens_Remanesc!C9)</f>
        <v/>
      </c>
      <c r="N71" s="332">
        <f>IF(J71="","",IF($F$4="C0",historico_VU!C9,IF($F$4="C1",historico_VU!D9,IF($F$4="C2",historico_VU!E9,IF($F$4="C3",historico_VU!F9,historico_VU!G9)))))</f>
        <v/>
      </c>
      <c r="O71" s="332">
        <f>IF(J71="","",IF(CONTROLE!$B$1="Principal",IF(OR(K71="",M71=""),"",ROUND(K71*M71,2)),IF(CONTROLE!$B$1="Itens Consumidos",IF(OR(L71="",M71=""),"",ROUND(L71*M71,2)),"")))</f>
        <v/>
      </c>
      <c r="P71" s="332">
        <f>IF(J71="","",IF(CONTROLE!$B$1="Principal",IF(OR(K71="",N71=""),"",ROUND(K71*N71,2)),IF(CONTROLE!$B$1="Itens Consumidos",IF(OR(L71="",N71=""),"",ROUND(L71*N71,2)),"")))</f>
        <v/>
      </c>
      <c r="Q71" s="333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>
      <c r="A72" s="328">
        <f>IF(historico_VU!A10="","",historico_VU!A10)</f>
        <v/>
      </c>
      <c r="B72" s="329">
        <f>IF(A72="","",historico_VU!B10)</f>
        <v/>
      </c>
      <c r="C72" s="330">
        <f>IF(A72="","",historico_VU!C10)</f>
        <v/>
      </c>
      <c r="D72" s="330">
        <f>IF(A72="","",historico_VU!D10)</f>
        <v/>
      </c>
      <c r="E72" s="330">
        <f>IF(A72="","",historico_VU!E10)</f>
        <v/>
      </c>
      <c r="F72" s="330">
        <f>IF(A72="","",historico_VU!F10)</f>
        <v/>
      </c>
      <c r="G72" s="330">
        <f>IF(A72="","",historico_VU!G10)</f>
        <v/>
      </c>
      <c r="H72" s="331">
        <f>IF(A72="","",historico_VU!H10)</f>
        <v/>
      </c>
      <c r="I72" s="151" t="n"/>
      <c r="J72" s="328">
        <f>IF(itens_Remanesc!A10="","",itens_Remanesc!A10)</f>
        <v/>
      </c>
      <c r="K72" s="329">
        <f>IF(J72="","",IF($F$4="C0",itens_Remanesc!B10,IF($F$4="C1",itens_Remanesc!E10,IF($F$4="C2",itens_Remanesc!G10,IF($F$4="C3",itens_Remanesc!I10,itens_Remanesc!K10)))))</f>
        <v/>
      </c>
      <c r="L72" s="329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332">
        <f>IF(J72="","",itens_Remanesc!C10)</f>
        <v/>
      </c>
      <c r="N72" s="332">
        <f>IF(J72="","",IF($F$4="C0",historico_VU!C10,IF($F$4="C1",historico_VU!D10,IF($F$4="C2",historico_VU!E10,IF($F$4="C3",historico_VU!F10,historico_VU!G10)))))</f>
        <v/>
      </c>
      <c r="O72" s="332">
        <f>IF(J72="","",IF(CONTROLE!$B$1="Principal",IF(OR(K72="",M72=""),"",ROUND(K72*M72,2)),IF(CONTROLE!$B$1="Itens Consumidos",IF(OR(L72="",M72=""),"",ROUND(L72*M72,2)),"")))</f>
        <v/>
      </c>
      <c r="P72" s="332">
        <f>IF(J72="","",IF(CONTROLE!$B$1="Principal",IF(OR(K72="",N72=""),"",ROUND(K72*N72,2)),IF(CONTROLE!$B$1="Itens Consumidos",IF(OR(L72="",N72=""),"",ROUND(L72*N72,2)),"")))</f>
        <v/>
      </c>
      <c r="Q72" s="333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>
      <c r="A73" s="328">
        <f>IF(historico_VU!A11="","",historico_VU!A11)</f>
        <v/>
      </c>
      <c r="B73" s="329">
        <f>IF(A73="","",historico_VU!B11)</f>
        <v/>
      </c>
      <c r="C73" s="330">
        <f>IF(A73="","",historico_VU!C11)</f>
        <v/>
      </c>
      <c r="D73" s="330">
        <f>IF(A73="","",historico_VU!D11)</f>
        <v/>
      </c>
      <c r="E73" s="330">
        <f>IF(A73="","",historico_VU!E11)</f>
        <v/>
      </c>
      <c r="F73" s="330">
        <f>IF(A73="","",historico_VU!F11)</f>
        <v/>
      </c>
      <c r="G73" s="330">
        <f>IF(A73="","",historico_VU!G11)</f>
        <v/>
      </c>
      <c r="H73" s="331">
        <f>IF(A73="","",historico_VU!H11)</f>
        <v/>
      </c>
      <c r="I73" s="151" t="n"/>
      <c r="J73" s="328">
        <f>IF(itens_Remanesc!A11="","",itens_Remanesc!A11)</f>
        <v/>
      </c>
      <c r="K73" s="329">
        <f>IF(J73="","",IF($F$4="C0",itens_Remanesc!B11,IF($F$4="C1",itens_Remanesc!E11,IF($F$4="C2",itens_Remanesc!G11,IF($F$4="C3",itens_Remanesc!I11,itens_Remanesc!K11)))))</f>
        <v/>
      </c>
      <c r="L73" s="329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332">
        <f>IF(J73="","",itens_Remanesc!C11)</f>
        <v/>
      </c>
      <c r="N73" s="332">
        <f>IF(J73="","",IF($F$4="C0",historico_VU!C11,IF($F$4="C1",historico_VU!D11,IF($F$4="C2",historico_VU!E11,IF($F$4="C3",historico_VU!F11,historico_VU!G11)))))</f>
        <v/>
      </c>
      <c r="O73" s="332">
        <f>IF(J73="","",IF(CONTROLE!$B$1="Principal",IF(OR(K73="",M73=""),"",ROUND(K73*M73,2)),IF(CONTROLE!$B$1="Itens Consumidos",IF(OR(L73="",M73=""),"",ROUND(L73*M73,2)),"")))</f>
        <v/>
      </c>
      <c r="P73" s="332">
        <f>IF(J73="","",IF(CONTROLE!$B$1="Principal",IF(OR(K73="",N73=""),"",ROUND(K73*N73,2)),IF(CONTROLE!$B$1="Itens Consumidos",IF(OR(L73="",N73=""),"",ROUND(L73*N73,2)),"")))</f>
        <v/>
      </c>
      <c r="Q73" s="333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>
      <c r="A74" s="328">
        <f>IF(historico_VU!A12="","",historico_VU!A12)</f>
        <v/>
      </c>
      <c r="B74" s="329">
        <f>IF(A74="","",historico_VU!B12)</f>
        <v/>
      </c>
      <c r="C74" s="330">
        <f>IF(A74="","",historico_VU!C12)</f>
        <v/>
      </c>
      <c r="D74" s="330">
        <f>IF(A74="","",historico_VU!D12)</f>
        <v/>
      </c>
      <c r="E74" s="330">
        <f>IF(A74="","",historico_VU!E12)</f>
        <v/>
      </c>
      <c r="F74" s="330">
        <f>IF(A74="","",historico_VU!F12)</f>
        <v/>
      </c>
      <c r="G74" s="330">
        <f>IF(A74="","",historico_VU!G12)</f>
        <v/>
      </c>
      <c r="H74" s="331">
        <f>IF(A74="","",historico_VU!H12)</f>
        <v/>
      </c>
      <c r="I74" s="151" t="n"/>
      <c r="J74" s="328">
        <f>IF(itens_Remanesc!A12="","",itens_Remanesc!A12)</f>
        <v/>
      </c>
      <c r="K74" s="329">
        <f>IF(J74="","",IF($F$4="C0",itens_Remanesc!B12,IF($F$4="C1",itens_Remanesc!E12,IF($F$4="C2",itens_Remanesc!G12,IF($F$4="C3",itens_Remanesc!I12,itens_Remanesc!K12)))))</f>
        <v/>
      </c>
      <c r="L74" s="329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332">
        <f>IF(J74="","",itens_Remanesc!C12)</f>
        <v/>
      </c>
      <c r="N74" s="332">
        <f>IF(J74="","",IF($F$4="C0",historico_VU!C12,IF($F$4="C1",historico_VU!D12,IF($F$4="C2",historico_VU!E12,IF($F$4="C3",historico_VU!F12,historico_VU!G12)))))</f>
        <v/>
      </c>
      <c r="O74" s="332">
        <f>IF(J74="","",IF(CONTROLE!$B$1="Principal",IF(OR(K74="",M74=""),"",ROUND(K74*M74,2)),IF(CONTROLE!$B$1="Itens Consumidos",IF(OR(L74="",M74=""),"",ROUND(L74*M74,2)),"")))</f>
        <v/>
      </c>
      <c r="P74" s="332">
        <f>IF(J74="","",IF(CONTROLE!$B$1="Principal",IF(OR(K74="",N74=""),"",ROUND(K74*N74,2)),IF(CONTROLE!$B$1="Itens Consumidos",IF(OR(L74="",N74=""),"",ROUND(L74*N74,2)),"")))</f>
        <v/>
      </c>
      <c r="Q74" s="333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>
      <c r="A75" s="328">
        <f>IF(historico_VU!A13="","",historico_VU!A13)</f>
        <v/>
      </c>
      <c r="B75" s="329">
        <f>IF(A75="","",historico_VU!B13)</f>
        <v/>
      </c>
      <c r="C75" s="330">
        <f>IF(A75="","",historico_VU!C13)</f>
        <v/>
      </c>
      <c r="D75" s="330">
        <f>IF(A75="","",historico_VU!D13)</f>
        <v/>
      </c>
      <c r="E75" s="330">
        <f>IF(A75="","",historico_VU!E13)</f>
        <v/>
      </c>
      <c r="F75" s="330">
        <f>IF(A75="","",historico_VU!F13)</f>
        <v/>
      </c>
      <c r="G75" s="330">
        <f>IF(A75="","",historico_VU!G13)</f>
        <v/>
      </c>
      <c r="H75" s="331">
        <f>IF(A75="","",historico_VU!H13)</f>
        <v/>
      </c>
      <c r="I75" s="151" t="n"/>
      <c r="J75" s="328">
        <f>IF(itens_Remanesc!A13="","",itens_Remanesc!A13)</f>
        <v/>
      </c>
      <c r="K75" s="329">
        <f>IF(J75="","",IF($F$4="C0",itens_Remanesc!B13,IF($F$4="C1",itens_Remanesc!E13,IF($F$4="C2",itens_Remanesc!G13,IF($F$4="C3",itens_Remanesc!I13,itens_Remanesc!K13)))))</f>
        <v/>
      </c>
      <c r="L75" s="329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332">
        <f>IF(J75="","",itens_Remanesc!C13)</f>
        <v/>
      </c>
      <c r="N75" s="332">
        <f>IF(J75="","",IF($F$4="C0",historico_VU!C13,IF($F$4="C1",historico_VU!D13,IF($F$4="C2",historico_VU!E13,IF($F$4="C3",historico_VU!F13,historico_VU!G13)))))</f>
        <v/>
      </c>
      <c r="O75" s="332">
        <f>IF(J75="","",IF(CONTROLE!$B$1="Principal",IF(OR(K75="",M75=""),"",ROUND(K75*M75,2)),IF(CONTROLE!$B$1="Itens Consumidos",IF(OR(L75="",M75=""),"",ROUND(L75*M75,2)),"")))</f>
        <v/>
      </c>
      <c r="P75" s="332">
        <f>IF(J75="","",IF(CONTROLE!$B$1="Principal",IF(OR(K75="",N75=""),"",ROUND(K75*N75,2)),IF(CONTROLE!$B$1="Itens Consumidos",IF(OR(L75="",N75=""),"",ROUND(L75*N75,2)),"")))</f>
        <v/>
      </c>
      <c r="Q75" s="333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>
      <c r="A76" s="328">
        <f>IF(historico_VU!A14="","",historico_VU!A14)</f>
        <v/>
      </c>
      <c r="B76" s="329">
        <f>IF(A76="","",historico_VU!B14)</f>
        <v/>
      </c>
      <c r="C76" s="330">
        <f>IF(A76="","",historico_VU!C14)</f>
        <v/>
      </c>
      <c r="D76" s="330">
        <f>IF(A76="","",historico_VU!D14)</f>
        <v/>
      </c>
      <c r="E76" s="330">
        <f>IF(A76="","",historico_VU!E14)</f>
        <v/>
      </c>
      <c r="F76" s="330">
        <f>IF(A76="","",historico_VU!F14)</f>
        <v/>
      </c>
      <c r="G76" s="330">
        <f>IF(A76="","",historico_VU!G14)</f>
        <v/>
      </c>
      <c r="H76" s="331">
        <f>IF(A76="","",historico_VU!H14)</f>
        <v/>
      </c>
      <c r="I76" s="151" t="n"/>
      <c r="J76" s="328">
        <f>IF(itens_Remanesc!A14="","",itens_Remanesc!A14)</f>
        <v/>
      </c>
      <c r="K76" s="329">
        <f>IF(J76="","",IF($F$4="C0",itens_Remanesc!B14,IF($F$4="C1",itens_Remanesc!E14,IF($F$4="C2",itens_Remanesc!G14,IF($F$4="C3",itens_Remanesc!I14,itens_Remanesc!K14)))))</f>
        <v/>
      </c>
      <c r="L76" s="329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332">
        <f>IF(J76="","",itens_Remanesc!C14)</f>
        <v/>
      </c>
      <c r="N76" s="332">
        <f>IF(J76="","",IF($F$4="C0",historico_VU!C14,IF($F$4="C1",historico_VU!D14,IF($F$4="C2",historico_VU!E14,IF($F$4="C3",historico_VU!F14,historico_VU!G14)))))</f>
        <v/>
      </c>
      <c r="O76" s="332">
        <f>IF(J76="","",IF(CONTROLE!$B$1="Principal",IF(OR(K76="",M76=""),"",ROUND(K76*M76,2)),IF(CONTROLE!$B$1="Itens Consumidos",IF(OR(L76="",M76=""),"",ROUND(L76*M76,2)),"")))</f>
        <v/>
      </c>
      <c r="P76" s="332">
        <f>IF(J76="","",IF(CONTROLE!$B$1="Principal",IF(OR(K76="",N76=""),"",ROUND(K76*N76,2)),IF(CONTROLE!$B$1="Itens Consumidos",IF(OR(L76="",N76=""),"",ROUND(L76*N76,2)),"")))</f>
        <v/>
      </c>
      <c r="Q76" s="333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>
      <c r="A77" s="328">
        <f>IF(historico_VU!A15="","",historico_VU!A15)</f>
        <v/>
      </c>
      <c r="B77" s="329">
        <f>IF(A77="","",historico_VU!B15)</f>
        <v/>
      </c>
      <c r="C77" s="330">
        <f>IF(A77="","",historico_VU!C15)</f>
        <v/>
      </c>
      <c r="D77" s="330">
        <f>IF(A77="","",historico_VU!D15)</f>
        <v/>
      </c>
      <c r="E77" s="330">
        <f>IF(A77="","",historico_VU!E15)</f>
        <v/>
      </c>
      <c r="F77" s="330">
        <f>IF(A77="","",historico_VU!F15)</f>
        <v/>
      </c>
      <c r="G77" s="330">
        <f>IF(A77="","",historico_VU!G15)</f>
        <v/>
      </c>
      <c r="H77" s="331">
        <f>IF(A77="","",historico_VU!H15)</f>
        <v/>
      </c>
      <c r="I77" s="151" t="n"/>
      <c r="J77" s="328">
        <f>IF(itens_Remanesc!A15="","",itens_Remanesc!A15)</f>
        <v/>
      </c>
      <c r="K77" s="329">
        <f>IF(J77="","",IF($F$4="C0",itens_Remanesc!B15,IF($F$4="C1",itens_Remanesc!E15,IF($F$4="C2",itens_Remanesc!G15,IF($F$4="C3",itens_Remanesc!I15,itens_Remanesc!K15)))))</f>
        <v/>
      </c>
      <c r="L77" s="329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332">
        <f>IF(J77="","",itens_Remanesc!C15)</f>
        <v/>
      </c>
      <c r="N77" s="332">
        <f>IF(J77="","",IF($F$4="C0",historico_VU!C15,IF($F$4="C1",historico_VU!D15,IF($F$4="C2",historico_VU!E15,IF($F$4="C3",historico_VU!F15,historico_VU!G15)))))</f>
        <v/>
      </c>
      <c r="O77" s="332">
        <f>IF(J77="","",IF(CONTROLE!$B$1="Principal",IF(OR(K77="",M77=""),"",ROUND(K77*M77,2)),IF(CONTROLE!$B$1="Itens Consumidos",IF(OR(L77="",M77=""),"",ROUND(L77*M77,2)),"")))</f>
        <v/>
      </c>
      <c r="P77" s="332">
        <f>IF(J77="","",IF(CONTROLE!$B$1="Principal",IF(OR(K77="",N77=""),"",ROUND(K77*N77,2)),IF(CONTROLE!$B$1="Itens Consumidos",IF(OR(L77="",N77=""),"",ROUND(L77*N77,2)),"")))</f>
        <v/>
      </c>
      <c r="Q77" s="333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>
      <c r="A78" s="328">
        <f>IF(historico_VU!A16="","",historico_VU!A16)</f>
        <v/>
      </c>
      <c r="B78" s="329">
        <f>IF(A78="","",historico_VU!B16)</f>
        <v/>
      </c>
      <c r="C78" s="330">
        <f>IF(A78="","",historico_VU!C16)</f>
        <v/>
      </c>
      <c r="D78" s="330">
        <f>IF(A78="","",historico_VU!D16)</f>
        <v/>
      </c>
      <c r="E78" s="330">
        <f>IF(A78="","",historico_VU!E16)</f>
        <v/>
      </c>
      <c r="F78" s="330">
        <f>IF(A78="","",historico_VU!F16)</f>
        <v/>
      </c>
      <c r="G78" s="330">
        <f>IF(A78="","",historico_VU!G16)</f>
        <v/>
      </c>
      <c r="H78" s="331">
        <f>IF(A78="","",historico_VU!H16)</f>
        <v/>
      </c>
      <c r="I78" s="151" t="n"/>
      <c r="J78" s="328">
        <f>IF(itens_Remanesc!A16="","",itens_Remanesc!A16)</f>
        <v/>
      </c>
      <c r="K78" s="329">
        <f>IF(J78="","",IF($F$4="C0",itens_Remanesc!B16,IF($F$4="C1",itens_Remanesc!E16,IF($F$4="C2",itens_Remanesc!G16,IF($F$4="C3",itens_Remanesc!I16,itens_Remanesc!K16)))))</f>
        <v/>
      </c>
      <c r="L78" s="329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332">
        <f>IF(J78="","",itens_Remanesc!C16)</f>
        <v/>
      </c>
      <c r="N78" s="332">
        <f>IF(J78="","",IF($F$4="C0",historico_VU!C16,IF($F$4="C1",historico_VU!D16,IF($F$4="C2",historico_VU!E16,IF($F$4="C3",historico_VU!F16,historico_VU!G16)))))</f>
        <v/>
      </c>
      <c r="O78" s="332">
        <f>IF(J78="","",IF(CONTROLE!$B$1="Principal",IF(OR(K78="",M78=""),"",ROUND(K78*M78,2)),IF(CONTROLE!$B$1="Itens Consumidos",IF(OR(L78="",M78=""),"",ROUND(L78*M78,2)),"")))</f>
        <v/>
      </c>
      <c r="P78" s="332">
        <f>IF(J78="","",IF(CONTROLE!$B$1="Principal",IF(OR(K78="",N78=""),"",ROUND(K78*N78,2)),IF(CONTROLE!$B$1="Itens Consumidos",IF(OR(L78="",N78=""),"",ROUND(L78*N78,2)),"")))</f>
        <v/>
      </c>
      <c r="Q78" s="333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>
      <c r="A79" s="328">
        <f>IF(historico_VU!A17="","",historico_VU!A17)</f>
        <v/>
      </c>
      <c r="B79" s="329">
        <f>IF(A79="","",historico_VU!B17)</f>
        <v/>
      </c>
      <c r="C79" s="330">
        <f>IF(A79="","",historico_VU!C17)</f>
        <v/>
      </c>
      <c r="D79" s="330">
        <f>IF(A79="","",historico_VU!D17)</f>
        <v/>
      </c>
      <c r="E79" s="330">
        <f>IF(A79="","",historico_VU!E17)</f>
        <v/>
      </c>
      <c r="F79" s="330">
        <f>IF(A79="","",historico_VU!F17)</f>
        <v/>
      </c>
      <c r="G79" s="330">
        <f>IF(A79="","",historico_VU!G17)</f>
        <v/>
      </c>
      <c r="H79" s="331">
        <f>IF(A79="","",historico_VU!H17)</f>
        <v/>
      </c>
      <c r="I79" s="151" t="n"/>
      <c r="J79" s="328">
        <f>IF(itens_Remanesc!A17="","",itens_Remanesc!A17)</f>
        <v/>
      </c>
      <c r="K79" s="329">
        <f>IF(J79="","",IF($F$4="C0",itens_Remanesc!B17,IF($F$4="C1",itens_Remanesc!E17,IF($F$4="C2",itens_Remanesc!G17,IF($F$4="C3",itens_Remanesc!I17,itens_Remanesc!K17)))))</f>
        <v/>
      </c>
      <c r="L79" s="329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332">
        <f>IF(J79="","",itens_Remanesc!C17)</f>
        <v/>
      </c>
      <c r="N79" s="332">
        <f>IF(J79="","",IF($F$4="C0",historico_VU!C17,IF($F$4="C1",historico_VU!D17,IF($F$4="C2",historico_VU!E17,IF($F$4="C3",historico_VU!F17,historico_VU!G17)))))</f>
        <v/>
      </c>
      <c r="O79" s="332">
        <f>IF(J79="","",IF(CONTROLE!$B$1="Principal",IF(OR(K79="",M79=""),"",ROUND(K79*M79,2)),IF(CONTROLE!$B$1="Itens Consumidos",IF(OR(L79="",M79=""),"",ROUND(L79*M79,2)),"")))</f>
        <v/>
      </c>
      <c r="P79" s="332">
        <f>IF(J79="","",IF(CONTROLE!$B$1="Principal",IF(OR(K79="",N79=""),"",ROUND(K79*N79,2)),IF(CONTROLE!$B$1="Itens Consumidos",IF(OR(L79="",N79=""),"",ROUND(L79*N79,2)),"")))</f>
        <v/>
      </c>
      <c r="Q79" s="333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>
      <c r="A80" s="328">
        <f>IF(historico_VU!A18="","",historico_VU!A18)</f>
        <v/>
      </c>
      <c r="B80" s="329">
        <f>IF(A80="","",historico_VU!B18)</f>
        <v/>
      </c>
      <c r="C80" s="330">
        <f>IF(A80="","",historico_VU!C18)</f>
        <v/>
      </c>
      <c r="D80" s="330">
        <f>IF(A80="","",historico_VU!D18)</f>
        <v/>
      </c>
      <c r="E80" s="330">
        <f>IF(A80="","",historico_VU!E18)</f>
        <v/>
      </c>
      <c r="F80" s="330">
        <f>IF(A80="","",historico_VU!F18)</f>
        <v/>
      </c>
      <c r="G80" s="330">
        <f>IF(A80="","",historico_VU!G18)</f>
        <v/>
      </c>
      <c r="H80" s="331">
        <f>IF(A80="","",historico_VU!H18)</f>
        <v/>
      </c>
      <c r="I80" s="151" t="n"/>
      <c r="J80" s="328">
        <f>IF(itens_Remanesc!A18="","",itens_Remanesc!A18)</f>
        <v/>
      </c>
      <c r="K80" s="329">
        <f>IF(J80="","",IF($F$4="C0",itens_Remanesc!B18,IF($F$4="C1",itens_Remanesc!E18,IF($F$4="C2",itens_Remanesc!G18,IF($F$4="C3",itens_Remanesc!I18,itens_Remanesc!K18)))))</f>
        <v/>
      </c>
      <c r="L80" s="329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332">
        <f>IF(J80="","",itens_Remanesc!C18)</f>
        <v/>
      </c>
      <c r="N80" s="332">
        <f>IF(J80="","",IF($F$4="C0",historico_VU!C18,IF($F$4="C1",historico_VU!D18,IF($F$4="C2",historico_VU!E18,IF($F$4="C3",historico_VU!F18,historico_VU!G18)))))</f>
        <v/>
      </c>
      <c r="O80" s="332">
        <f>IF(J80="","",IF(CONTROLE!$B$1="Principal",IF(OR(K80="",M80=""),"",ROUND(K80*M80,2)),IF(CONTROLE!$B$1="Itens Consumidos",IF(OR(L80="",M80=""),"",ROUND(L80*M80,2)),"")))</f>
        <v/>
      </c>
      <c r="P80" s="332">
        <f>IF(J80="","",IF(CONTROLE!$B$1="Principal",IF(OR(K80="",N80=""),"",ROUND(K80*N80,2)),IF(CONTROLE!$B$1="Itens Consumidos",IF(OR(L80="",N80=""),"",ROUND(L80*N80,2)),"")))</f>
        <v/>
      </c>
      <c r="Q80" s="333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>
      <c r="A81" s="328">
        <f>IF(historico_VU!A19="","",historico_VU!A19)</f>
        <v/>
      </c>
      <c r="B81" s="329">
        <f>IF(A81="","",historico_VU!B19)</f>
        <v/>
      </c>
      <c r="C81" s="330">
        <f>IF(A81="","",historico_VU!C19)</f>
        <v/>
      </c>
      <c r="D81" s="330">
        <f>IF(A81="","",historico_VU!D19)</f>
        <v/>
      </c>
      <c r="E81" s="330">
        <f>IF(A81="","",historico_VU!E19)</f>
        <v/>
      </c>
      <c r="F81" s="330">
        <f>IF(A81="","",historico_VU!F19)</f>
        <v/>
      </c>
      <c r="G81" s="330">
        <f>IF(A81="","",historico_VU!G19)</f>
        <v/>
      </c>
      <c r="H81" s="331">
        <f>IF(A81="","",historico_VU!H19)</f>
        <v/>
      </c>
      <c r="I81" s="151" t="n"/>
      <c r="J81" s="328">
        <f>IF(itens_Remanesc!A19="","",itens_Remanesc!A19)</f>
        <v/>
      </c>
      <c r="K81" s="329">
        <f>IF(J81="","",IF($F$4="C0",itens_Remanesc!B19,IF($F$4="C1",itens_Remanesc!E19,IF($F$4="C2",itens_Remanesc!G19,IF($F$4="C3",itens_Remanesc!I19,itens_Remanesc!K19)))))</f>
        <v/>
      </c>
      <c r="L81" s="329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332">
        <f>IF(J81="","",itens_Remanesc!C19)</f>
        <v/>
      </c>
      <c r="N81" s="332">
        <f>IF(J81="","",IF($F$4="C0",historico_VU!C19,IF($F$4="C1",historico_VU!D19,IF($F$4="C2",historico_VU!E19,IF($F$4="C3",historico_VU!F19,historico_VU!G19)))))</f>
        <v/>
      </c>
      <c r="O81" s="332">
        <f>IF(J81="","",IF(CONTROLE!$B$1="Principal",IF(OR(K81="",M81=""),"",ROUND(K81*M81,2)),IF(CONTROLE!$B$1="Itens Consumidos",IF(OR(L81="",M81=""),"",ROUND(L81*M81,2)),"")))</f>
        <v/>
      </c>
      <c r="P81" s="332">
        <f>IF(J81="","",IF(CONTROLE!$B$1="Principal",IF(OR(K81="",N81=""),"",ROUND(K81*N81,2)),IF(CONTROLE!$B$1="Itens Consumidos",IF(OR(L81="",N81=""),"",ROUND(L81*N81,2)),"")))</f>
        <v/>
      </c>
      <c r="Q81" s="333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>
      <c r="A82" s="328">
        <f>IF(historico_VU!A20="","",historico_VU!A20)</f>
        <v/>
      </c>
      <c r="B82" s="329">
        <f>IF(A82="","",historico_VU!B20)</f>
        <v/>
      </c>
      <c r="C82" s="330">
        <f>IF(A82="","",historico_VU!C20)</f>
        <v/>
      </c>
      <c r="D82" s="330">
        <f>IF(A82="","",historico_VU!D20)</f>
        <v/>
      </c>
      <c r="E82" s="330">
        <f>IF(A82="","",historico_VU!E20)</f>
        <v/>
      </c>
      <c r="F82" s="330">
        <f>IF(A82="","",historico_VU!F20)</f>
        <v/>
      </c>
      <c r="G82" s="330">
        <f>IF(A82="","",historico_VU!G20)</f>
        <v/>
      </c>
      <c r="H82" s="331">
        <f>IF(A82="","",historico_VU!H20)</f>
        <v/>
      </c>
      <c r="I82" s="151" t="n"/>
      <c r="J82" s="328">
        <f>IF(itens_Remanesc!A20="","",itens_Remanesc!A20)</f>
        <v/>
      </c>
      <c r="K82" s="329">
        <f>IF(J82="","",IF($F$4="C0",itens_Remanesc!B20,IF($F$4="C1",itens_Remanesc!E20,IF($F$4="C2",itens_Remanesc!G20,IF($F$4="C3",itens_Remanesc!I20,itens_Remanesc!K20)))))</f>
        <v/>
      </c>
      <c r="L82" s="329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332">
        <f>IF(J82="","",itens_Remanesc!C20)</f>
        <v/>
      </c>
      <c r="N82" s="332">
        <f>IF(J82="","",IF($F$4="C0",historico_VU!C20,IF($F$4="C1",historico_VU!D20,IF($F$4="C2",historico_VU!E20,IF($F$4="C3",historico_VU!F20,historico_VU!G20)))))</f>
        <v/>
      </c>
      <c r="O82" s="332">
        <f>IF(J82="","",IF(CONTROLE!$B$1="Principal",IF(OR(K82="",M82=""),"",ROUND(K82*M82,2)),IF(CONTROLE!$B$1="Itens Consumidos",IF(OR(L82="",M82=""),"",ROUND(L82*M82,2)),"")))</f>
        <v/>
      </c>
      <c r="P82" s="332">
        <f>IF(J82="","",IF(CONTROLE!$B$1="Principal",IF(OR(K82="",N82=""),"",ROUND(K82*N82,2)),IF(CONTROLE!$B$1="Itens Consumidos",IF(OR(L82="",N82=""),"",ROUND(L82*N82,2)),"")))</f>
        <v/>
      </c>
      <c r="Q82" s="333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>
      <c r="A83" s="328">
        <f>IF(historico_VU!A21="","",historico_VU!A21)</f>
        <v/>
      </c>
      <c r="B83" s="329">
        <f>IF(A83="","",historico_VU!B21)</f>
        <v/>
      </c>
      <c r="C83" s="330">
        <f>IF(A83="","",historico_VU!C21)</f>
        <v/>
      </c>
      <c r="D83" s="330">
        <f>IF(A83="","",historico_VU!D21)</f>
        <v/>
      </c>
      <c r="E83" s="330">
        <f>IF(A83="","",historico_VU!E21)</f>
        <v/>
      </c>
      <c r="F83" s="330">
        <f>IF(A83="","",historico_VU!F21)</f>
        <v/>
      </c>
      <c r="G83" s="330">
        <f>IF(A83="","",historico_VU!G21)</f>
        <v/>
      </c>
      <c r="H83" s="331">
        <f>IF(A83="","",historico_VU!H21)</f>
        <v/>
      </c>
      <c r="I83" s="151" t="n"/>
      <c r="J83" s="328">
        <f>IF(itens_Remanesc!A21="","",itens_Remanesc!A21)</f>
        <v/>
      </c>
      <c r="K83" s="329">
        <f>IF(J83="","",IF($F$4="C0",itens_Remanesc!B21,IF($F$4="C1",itens_Remanesc!E21,IF($F$4="C2",itens_Remanesc!G21,IF($F$4="C3",itens_Remanesc!I21,itens_Remanesc!K21)))))</f>
        <v/>
      </c>
      <c r="L83" s="329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332">
        <f>IF(J83="","",itens_Remanesc!C21)</f>
        <v/>
      </c>
      <c r="N83" s="332">
        <f>IF(J83="","",IF($F$4="C0",historico_VU!C21,IF($F$4="C1",historico_VU!D21,IF($F$4="C2",historico_VU!E21,IF($F$4="C3",historico_VU!F21,historico_VU!G21)))))</f>
        <v/>
      </c>
      <c r="O83" s="332">
        <f>IF(J83="","",IF(CONTROLE!$B$1="Principal",IF(OR(K83="",M83=""),"",ROUND(K83*M83,2)),IF(CONTROLE!$B$1="Itens Consumidos",IF(OR(L83="",M83=""),"",ROUND(L83*M83,2)),"")))</f>
        <v/>
      </c>
      <c r="P83" s="332">
        <f>IF(J83="","",IF(CONTROLE!$B$1="Principal",IF(OR(K83="",N83=""),"",ROUND(K83*N83,2)),IF(CONTROLE!$B$1="Itens Consumidos",IF(OR(L83="",N83=""),"",ROUND(L83*N83,2)),"")))</f>
        <v/>
      </c>
      <c r="Q83" s="333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>
      <c r="A84" s="328">
        <f>IF(historico_VU!A22="","",historico_VU!A22)</f>
        <v/>
      </c>
      <c r="B84" s="329">
        <f>IF(A84="","",historico_VU!B22)</f>
        <v/>
      </c>
      <c r="C84" s="330">
        <f>IF(A84="","",historico_VU!C22)</f>
        <v/>
      </c>
      <c r="D84" s="330">
        <f>IF(A84="","",historico_VU!D22)</f>
        <v/>
      </c>
      <c r="E84" s="330">
        <f>IF(A84="","",historico_VU!E22)</f>
        <v/>
      </c>
      <c r="F84" s="330">
        <f>IF(A84="","",historico_VU!F22)</f>
        <v/>
      </c>
      <c r="G84" s="330">
        <f>IF(A84="","",historico_VU!G22)</f>
        <v/>
      </c>
      <c r="H84" s="331">
        <f>IF(A84="","",historico_VU!H22)</f>
        <v/>
      </c>
      <c r="I84" s="151" t="n"/>
      <c r="J84" s="328">
        <f>IF(itens_Remanesc!A22="","",itens_Remanesc!A22)</f>
        <v/>
      </c>
      <c r="K84" s="329">
        <f>IF(J84="","",IF($F$4="C0",itens_Remanesc!B22,IF($F$4="C1",itens_Remanesc!E22,IF($F$4="C2",itens_Remanesc!G22,IF($F$4="C3",itens_Remanesc!I22,itens_Remanesc!K22)))))</f>
        <v/>
      </c>
      <c r="L84" s="329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332">
        <f>IF(J84="","",itens_Remanesc!C22)</f>
        <v/>
      </c>
      <c r="N84" s="332">
        <f>IF(J84="","",IF($F$4="C0",historico_VU!C22,IF($F$4="C1",historico_VU!D22,IF($F$4="C2",historico_VU!E22,IF($F$4="C3",historico_VU!F22,historico_VU!G22)))))</f>
        <v/>
      </c>
      <c r="O84" s="332">
        <f>IF(J84="","",IF(CONTROLE!$B$1="Principal",IF(OR(K84="",M84=""),"",ROUND(K84*M84,2)),IF(CONTROLE!$B$1="Itens Consumidos",IF(OR(L84="",M84=""),"",ROUND(L84*M84,2)),"")))</f>
        <v/>
      </c>
      <c r="P84" s="332">
        <f>IF(J84="","",IF(CONTROLE!$B$1="Principal",IF(OR(K84="",N84=""),"",ROUND(K84*N84,2)),IF(CONTROLE!$B$1="Itens Consumidos",IF(OR(L84="",N84=""),"",ROUND(L84*N84,2)),"")))</f>
        <v/>
      </c>
      <c r="Q84" s="333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>
      <c r="A85" s="328">
        <f>IF(historico_VU!A23="","",historico_VU!A23)</f>
        <v/>
      </c>
      <c r="B85" s="329">
        <f>IF(A85="","",historico_VU!B23)</f>
        <v/>
      </c>
      <c r="C85" s="330">
        <f>IF(A85="","",historico_VU!C23)</f>
        <v/>
      </c>
      <c r="D85" s="330">
        <f>IF(A85="","",historico_VU!D23)</f>
        <v/>
      </c>
      <c r="E85" s="330">
        <f>IF(A85="","",historico_VU!E23)</f>
        <v/>
      </c>
      <c r="F85" s="330">
        <f>IF(A85="","",historico_VU!F23)</f>
        <v/>
      </c>
      <c r="G85" s="330">
        <f>IF(A85="","",historico_VU!G23)</f>
        <v/>
      </c>
      <c r="H85" s="331">
        <f>IF(A85="","",historico_VU!H23)</f>
        <v/>
      </c>
      <c r="I85" s="151" t="n"/>
      <c r="J85" s="328">
        <f>IF(itens_Remanesc!A23="","",itens_Remanesc!A23)</f>
        <v/>
      </c>
      <c r="K85" s="329">
        <f>IF(J85="","",IF($F$4="C0",itens_Remanesc!B23,IF($F$4="C1",itens_Remanesc!E23,IF($F$4="C2",itens_Remanesc!G23,IF($F$4="C3",itens_Remanesc!I23,itens_Remanesc!K23)))))</f>
        <v/>
      </c>
      <c r="L85" s="329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332">
        <f>IF(J85="","",itens_Remanesc!C23)</f>
        <v/>
      </c>
      <c r="N85" s="332">
        <f>IF(J85="","",IF($F$4="C0",historico_VU!C23,IF($F$4="C1",historico_VU!D23,IF($F$4="C2",historico_VU!E23,IF($F$4="C3",historico_VU!F23,historico_VU!G23)))))</f>
        <v/>
      </c>
      <c r="O85" s="332">
        <f>IF(J85="","",IF(CONTROLE!$B$1="Principal",IF(OR(K85="",M85=""),"",ROUND(K85*M85,2)),IF(CONTROLE!$B$1="Itens Consumidos",IF(OR(L85="",M85=""),"",ROUND(L85*M85,2)),"")))</f>
        <v/>
      </c>
      <c r="P85" s="332">
        <f>IF(J85="","",IF(CONTROLE!$B$1="Principal",IF(OR(K85="",N85=""),"",ROUND(K85*N85,2)),IF(CONTROLE!$B$1="Itens Consumidos",IF(OR(L85="",N85=""),"",ROUND(L85*N85,2)),"")))</f>
        <v/>
      </c>
      <c r="Q85" s="333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>
      <c r="A86" s="328">
        <f>IF(historico_VU!A24="","",historico_VU!A24)</f>
        <v/>
      </c>
      <c r="B86" s="329">
        <f>IF(A86="","",historico_VU!B24)</f>
        <v/>
      </c>
      <c r="C86" s="330">
        <f>IF(A86="","",historico_VU!C24)</f>
        <v/>
      </c>
      <c r="D86" s="330">
        <f>IF(A86="","",historico_VU!D24)</f>
        <v/>
      </c>
      <c r="E86" s="330">
        <f>IF(A86="","",historico_VU!E24)</f>
        <v/>
      </c>
      <c r="F86" s="330">
        <f>IF(A86="","",historico_VU!F24)</f>
        <v/>
      </c>
      <c r="G86" s="330">
        <f>IF(A86="","",historico_VU!G24)</f>
        <v/>
      </c>
      <c r="H86" s="331">
        <f>IF(A86="","",historico_VU!H24)</f>
        <v/>
      </c>
      <c r="I86" s="151" t="n"/>
      <c r="J86" s="328">
        <f>IF(itens_Remanesc!A24="","",itens_Remanesc!A24)</f>
        <v/>
      </c>
      <c r="K86" s="329">
        <f>IF(J86="","",IF($F$4="C0",itens_Remanesc!B24,IF($F$4="C1",itens_Remanesc!E24,IF($F$4="C2",itens_Remanesc!G24,IF($F$4="C3",itens_Remanesc!I24,itens_Remanesc!K24)))))</f>
        <v/>
      </c>
      <c r="L86" s="329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332">
        <f>IF(J86="","",itens_Remanesc!C24)</f>
        <v/>
      </c>
      <c r="N86" s="332">
        <f>IF(J86="","",IF($F$4="C0",historico_VU!C24,IF($F$4="C1",historico_VU!D24,IF($F$4="C2",historico_VU!E24,IF($F$4="C3",historico_VU!F24,historico_VU!G24)))))</f>
        <v/>
      </c>
      <c r="O86" s="332">
        <f>IF(J86="","",IF(CONTROLE!$B$1="Principal",IF(OR(K86="",M86=""),"",ROUND(K86*M86,2)),IF(CONTROLE!$B$1="Itens Consumidos",IF(OR(L86="",M86=""),"",ROUND(L86*M86,2)),"")))</f>
        <v/>
      </c>
      <c r="P86" s="332">
        <f>IF(J86="","",IF(CONTROLE!$B$1="Principal",IF(OR(K86="",N86=""),"",ROUND(K86*N86,2)),IF(CONTROLE!$B$1="Itens Consumidos",IF(OR(L86="",N86=""),"",ROUND(L86*N86,2)),"")))</f>
        <v/>
      </c>
      <c r="Q86" s="333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>
      <c r="A87" s="328">
        <f>IF(historico_VU!A25="","",historico_VU!A25)</f>
        <v/>
      </c>
      <c r="B87" s="329">
        <f>IF(A87="","",historico_VU!B25)</f>
        <v/>
      </c>
      <c r="C87" s="330">
        <f>IF(A87="","",historico_VU!C25)</f>
        <v/>
      </c>
      <c r="D87" s="330">
        <f>IF(A87="","",historico_VU!D25)</f>
        <v/>
      </c>
      <c r="E87" s="330">
        <f>IF(A87="","",historico_VU!E25)</f>
        <v/>
      </c>
      <c r="F87" s="330">
        <f>IF(A87="","",historico_VU!F25)</f>
        <v/>
      </c>
      <c r="G87" s="330">
        <f>IF(A87="","",historico_VU!G25)</f>
        <v/>
      </c>
      <c r="H87" s="331">
        <f>IF(A87="","",historico_VU!H25)</f>
        <v/>
      </c>
      <c r="I87" s="151" t="n"/>
      <c r="J87" s="328">
        <f>IF(itens_Remanesc!A25="","",itens_Remanesc!A25)</f>
        <v/>
      </c>
      <c r="K87" s="329">
        <f>IF(J87="","",IF($F$4="C0",itens_Remanesc!B25,IF($F$4="C1",itens_Remanesc!E25,IF($F$4="C2",itens_Remanesc!G25,IF($F$4="C3",itens_Remanesc!I25,itens_Remanesc!K25)))))</f>
        <v/>
      </c>
      <c r="L87" s="329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332">
        <f>IF(J87="","",itens_Remanesc!C25)</f>
        <v/>
      </c>
      <c r="N87" s="332">
        <f>IF(J87="","",IF($F$4="C0",historico_VU!C25,IF($F$4="C1",historico_VU!D25,IF($F$4="C2",historico_VU!E25,IF($F$4="C3",historico_VU!F25,historico_VU!G25)))))</f>
        <v/>
      </c>
      <c r="O87" s="332">
        <f>IF(J87="","",IF(CONTROLE!$B$1="Principal",IF(OR(K87="",M87=""),"",ROUND(K87*M87,2)),IF(CONTROLE!$B$1="Itens Consumidos",IF(OR(L87="",M87=""),"",ROUND(L87*M87,2)),"")))</f>
        <v/>
      </c>
      <c r="P87" s="332">
        <f>IF(J87="","",IF(CONTROLE!$B$1="Principal",IF(OR(K87="",N87=""),"",ROUND(K87*N87,2)),IF(CONTROLE!$B$1="Itens Consumidos",IF(OR(L87="",N87=""),"",ROUND(L87*N87,2)),"")))</f>
        <v/>
      </c>
      <c r="Q87" s="333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>
      <c r="A88" s="328">
        <f>IF(historico_VU!A26="","",historico_VU!A26)</f>
        <v/>
      </c>
      <c r="B88" s="329">
        <f>IF(A88="","",historico_VU!B26)</f>
        <v/>
      </c>
      <c r="C88" s="330">
        <f>IF(A88="","",historico_VU!C26)</f>
        <v/>
      </c>
      <c r="D88" s="330">
        <f>IF(A88="","",historico_VU!D26)</f>
        <v/>
      </c>
      <c r="E88" s="330">
        <f>IF(A88="","",historico_VU!E26)</f>
        <v/>
      </c>
      <c r="F88" s="330">
        <f>IF(A88="","",historico_VU!F26)</f>
        <v/>
      </c>
      <c r="G88" s="330">
        <f>IF(A88="","",historico_VU!G26)</f>
        <v/>
      </c>
      <c r="H88" s="331">
        <f>IF(A88="","",historico_VU!H26)</f>
        <v/>
      </c>
      <c r="I88" s="151" t="n"/>
      <c r="J88" s="328">
        <f>IF(itens_Remanesc!A26="","",itens_Remanesc!A26)</f>
        <v/>
      </c>
      <c r="K88" s="329">
        <f>IF(J88="","",IF($F$4="C0",itens_Remanesc!B26,IF($F$4="C1",itens_Remanesc!E26,IF($F$4="C2",itens_Remanesc!G26,IF($F$4="C3",itens_Remanesc!I26,itens_Remanesc!K26)))))</f>
        <v/>
      </c>
      <c r="L88" s="329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332">
        <f>IF(J88="","",itens_Remanesc!C26)</f>
        <v/>
      </c>
      <c r="N88" s="332">
        <f>IF(J88="","",IF($F$4="C0",historico_VU!C26,IF($F$4="C1",historico_VU!D26,IF($F$4="C2",historico_VU!E26,IF($F$4="C3",historico_VU!F26,historico_VU!G26)))))</f>
        <v/>
      </c>
      <c r="O88" s="332">
        <f>IF(J88="","",IF(CONTROLE!$B$1="Principal",IF(OR(K88="",M88=""),"",ROUND(K88*M88,2)),IF(CONTROLE!$B$1="Itens Consumidos",IF(OR(L88="",M88=""),"",ROUND(L88*M88,2)),"")))</f>
        <v/>
      </c>
      <c r="P88" s="332">
        <f>IF(J88="","",IF(CONTROLE!$B$1="Principal",IF(OR(K88="",N88=""),"",ROUND(K88*N88,2)),IF(CONTROLE!$B$1="Itens Consumidos",IF(OR(L88="",N88=""),"",ROUND(L88*N88,2)),"")))</f>
        <v/>
      </c>
      <c r="Q88" s="333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>
      <c r="A89" s="328">
        <f>IF(historico_VU!A27="","",historico_VU!A27)</f>
        <v/>
      </c>
      <c r="B89" s="329">
        <f>IF(A89="","",historico_VU!B27)</f>
        <v/>
      </c>
      <c r="C89" s="330">
        <f>IF(A89="","",historico_VU!C27)</f>
        <v/>
      </c>
      <c r="D89" s="330">
        <f>IF(A89="","",historico_VU!D27)</f>
        <v/>
      </c>
      <c r="E89" s="330">
        <f>IF(A89="","",historico_VU!E27)</f>
        <v/>
      </c>
      <c r="F89" s="330">
        <f>IF(A89="","",historico_VU!F27)</f>
        <v/>
      </c>
      <c r="G89" s="330">
        <f>IF(A89="","",historico_VU!G27)</f>
        <v/>
      </c>
      <c r="H89" s="331">
        <f>IF(A89="","",historico_VU!H27)</f>
        <v/>
      </c>
      <c r="I89" s="151" t="n"/>
      <c r="J89" s="328">
        <f>IF(itens_Remanesc!A27="","",itens_Remanesc!A27)</f>
        <v/>
      </c>
      <c r="K89" s="329">
        <f>IF(J89="","",IF($F$4="C0",itens_Remanesc!B27,IF($F$4="C1",itens_Remanesc!E27,IF($F$4="C2",itens_Remanesc!G27,IF($F$4="C3",itens_Remanesc!I27,itens_Remanesc!K27)))))</f>
        <v/>
      </c>
      <c r="L89" s="329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332">
        <f>IF(J89="","",itens_Remanesc!C27)</f>
        <v/>
      </c>
      <c r="N89" s="332">
        <f>IF(J89="","",IF($F$4="C0",historico_VU!C27,IF($F$4="C1",historico_VU!D27,IF($F$4="C2",historico_VU!E27,IF($F$4="C3",historico_VU!F27,historico_VU!G27)))))</f>
        <v/>
      </c>
      <c r="O89" s="332">
        <f>IF(J89="","",IF(CONTROLE!$B$1="Principal",IF(OR(K89="",M89=""),"",ROUND(K89*M89,2)),IF(CONTROLE!$B$1="Itens Consumidos",IF(OR(L89="",M89=""),"",ROUND(L89*M89,2)),"")))</f>
        <v/>
      </c>
      <c r="P89" s="332">
        <f>IF(J89="","",IF(CONTROLE!$B$1="Principal",IF(OR(K89="",N89=""),"",ROUND(K89*N89,2)),IF(CONTROLE!$B$1="Itens Consumidos",IF(OR(L89="",N89=""),"",ROUND(L89*N89,2)),"")))</f>
        <v/>
      </c>
      <c r="Q89" s="333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>
      <c r="A90" s="328">
        <f>IF(historico_VU!A28="","",historico_VU!A28)</f>
        <v/>
      </c>
      <c r="B90" s="329">
        <f>IF(A90="","",historico_VU!B28)</f>
        <v/>
      </c>
      <c r="C90" s="330">
        <f>IF(A90="","",historico_VU!C28)</f>
        <v/>
      </c>
      <c r="D90" s="330">
        <f>IF(A90="","",historico_VU!D28)</f>
        <v/>
      </c>
      <c r="E90" s="330">
        <f>IF(A90="","",historico_VU!E28)</f>
        <v/>
      </c>
      <c r="F90" s="330">
        <f>IF(A90="","",historico_VU!F28)</f>
        <v/>
      </c>
      <c r="G90" s="330">
        <f>IF(A90="","",historico_VU!G28)</f>
        <v/>
      </c>
      <c r="H90" s="331">
        <f>IF(A90="","",historico_VU!H28)</f>
        <v/>
      </c>
      <c r="I90" s="151" t="n"/>
      <c r="J90" s="328">
        <f>IF(itens_Remanesc!A28="","",itens_Remanesc!A28)</f>
        <v/>
      </c>
      <c r="K90" s="329">
        <f>IF(J90="","",IF($F$4="C0",itens_Remanesc!B28,IF($F$4="C1",itens_Remanesc!E28,IF($F$4="C2",itens_Remanesc!G28,IF($F$4="C3",itens_Remanesc!I28,itens_Remanesc!K28)))))</f>
        <v/>
      </c>
      <c r="L90" s="329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332">
        <f>IF(J90="","",itens_Remanesc!C28)</f>
        <v/>
      </c>
      <c r="N90" s="332">
        <f>IF(J90="","",IF($F$4="C0",historico_VU!C28,IF($F$4="C1",historico_VU!D28,IF($F$4="C2",historico_VU!E28,IF($F$4="C3",historico_VU!F28,historico_VU!G28)))))</f>
        <v/>
      </c>
      <c r="O90" s="332">
        <f>IF(J90="","",IF(CONTROLE!$B$1="Principal",IF(OR(K90="",M90=""),"",ROUND(K90*M90,2)),IF(CONTROLE!$B$1="Itens Consumidos",IF(OR(L90="",M90=""),"",ROUND(L90*M90,2)),"")))</f>
        <v/>
      </c>
      <c r="P90" s="332">
        <f>IF(J90="","",IF(CONTROLE!$B$1="Principal",IF(OR(K90="",N90=""),"",ROUND(K90*N90,2)),IF(CONTROLE!$B$1="Itens Consumidos",IF(OR(L90="",N90=""),"",ROUND(L90*N90,2)),"")))</f>
        <v/>
      </c>
      <c r="Q90" s="333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>
      <c r="A91" s="328">
        <f>IF(historico_VU!A29="","",historico_VU!A29)</f>
        <v/>
      </c>
      <c r="B91" s="329">
        <f>IF(A91="","",historico_VU!B29)</f>
        <v/>
      </c>
      <c r="C91" s="330">
        <f>IF(A91="","",historico_VU!C29)</f>
        <v/>
      </c>
      <c r="D91" s="330">
        <f>IF(A91="","",historico_VU!D29)</f>
        <v/>
      </c>
      <c r="E91" s="330">
        <f>IF(A91="","",historico_VU!E29)</f>
        <v/>
      </c>
      <c r="F91" s="330">
        <f>IF(A91="","",historico_VU!F29)</f>
        <v/>
      </c>
      <c r="G91" s="330">
        <f>IF(A91="","",historico_VU!G29)</f>
        <v/>
      </c>
      <c r="H91" s="331">
        <f>IF(A91="","",historico_VU!H29)</f>
        <v/>
      </c>
      <c r="I91" s="151" t="n"/>
      <c r="J91" s="328">
        <f>IF(itens_Remanesc!A29="","",itens_Remanesc!A29)</f>
        <v/>
      </c>
      <c r="K91" s="329">
        <f>IF(J91="","",IF($F$4="C0",itens_Remanesc!B29,IF($F$4="C1",itens_Remanesc!E29,IF($F$4="C2",itens_Remanesc!G29,IF($F$4="C3",itens_Remanesc!I29,itens_Remanesc!K29)))))</f>
        <v/>
      </c>
      <c r="L91" s="329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332">
        <f>IF(J91="","",itens_Remanesc!C29)</f>
        <v/>
      </c>
      <c r="N91" s="332">
        <f>IF(J91="","",IF($F$4="C0",historico_VU!C29,IF($F$4="C1",historico_VU!D29,IF($F$4="C2",historico_VU!E29,IF($F$4="C3",historico_VU!F29,historico_VU!G29)))))</f>
        <v/>
      </c>
      <c r="O91" s="332">
        <f>IF(J91="","",IF(CONTROLE!$B$1="Principal",IF(OR(K91="",M91=""),"",ROUND(K91*M91,2)),IF(CONTROLE!$B$1="Itens Consumidos",IF(OR(L91="",M91=""),"",ROUND(L91*M91,2)),"")))</f>
        <v/>
      </c>
      <c r="P91" s="332">
        <f>IF(J91="","",IF(CONTROLE!$B$1="Principal",IF(OR(K91="",N91=""),"",ROUND(K91*N91,2)),IF(CONTROLE!$B$1="Itens Consumidos",IF(OR(L91="",N91=""),"",ROUND(L91*N91,2)),"")))</f>
        <v/>
      </c>
      <c r="Q91" s="333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>
      <c r="A92" s="328">
        <f>IF(historico_VU!A30="","",historico_VU!A30)</f>
        <v/>
      </c>
      <c r="B92" s="329">
        <f>IF(A92="","",historico_VU!B30)</f>
        <v/>
      </c>
      <c r="C92" s="330">
        <f>IF(A92="","",historico_VU!C30)</f>
        <v/>
      </c>
      <c r="D92" s="330">
        <f>IF(A92="","",historico_VU!D30)</f>
        <v/>
      </c>
      <c r="E92" s="330">
        <f>IF(A92="","",historico_VU!E30)</f>
        <v/>
      </c>
      <c r="F92" s="330">
        <f>IF(A92="","",historico_VU!F30)</f>
        <v/>
      </c>
      <c r="G92" s="330">
        <f>IF(A92="","",historico_VU!G30)</f>
        <v/>
      </c>
      <c r="H92" s="331">
        <f>IF(A92="","",historico_VU!H30)</f>
        <v/>
      </c>
      <c r="I92" s="151" t="n"/>
      <c r="J92" s="328">
        <f>IF(itens_Remanesc!A30="","",itens_Remanesc!A30)</f>
        <v/>
      </c>
      <c r="K92" s="329">
        <f>IF(J92="","",IF($F$4="C0",itens_Remanesc!B30,IF($F$4="C1",itens_Remanesc!E30,IF($F$4="C2",itens_Remanesc!G30,IF($F$4="C3",itens_Remanesc!I30,itens_Remanesc!K30)))))</f>
        <v/>
      </c>
      <c r="L92" s="329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332">
        <f>IF(J92="","",itens_Remanesc!C30)</f>
        <v/>
      </c>
      <c r="N92" s="332">
        <f>IF(J92="","",IF($F$4="C0",historico_VU!C30,IF($F$4="C1",historico_VU!D30,IF($F$4="C2",historico_VU!E30,IF($F$4="C3",historico_VU!F30,historico_VU!G30)))))</f>
        <v/>
      </c>
      <c r="O92" s="332">
        <f>IF(J92="","",IF(CONTROLE!$B$1="Principal",IF(OR(K92="",M92=""),"",ROUND(K92*M92,2)),IF(CONTROLE!$B$1="Itens Consumidos",IF(OR(L92="",M92=""),"",ROUND(L92*M92,2)),"")))</f>
        <v/>
      </c>
      <c r="P92" s="332">
        <f>IF(J92="","",IF(CONTROLE!$B$1="Principal",IF(OR(K92="",N92=""),"",ROUND(K92*N92,2)),IF(CONTROLE!$B$1="Itens Consumidos",IF(OR(L92="",N92=""),"",ROUND(L92*N92,2)),"")))</f>
        <v/>
      </c>
      <c r="Q92" s="333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>
      <c r="A93" s="328">
        <f>IF(historico_VU!A31="","",historico_VU!A31)</f>
        <v/>
      </c>
      <c r="B93" s="329">
        <f>IF(A93="","",historico_VU!B31)</f>
        <v/>
      </c>
      <c r="C93" s="330">
        <f>IF(A93="","",historico_VU!C31)</f>
        <v/>
      </c>
      <c r="D93" s="330">
        <f>IF(A93="","",historico_VU!D31)</f>
        <v/>
      </c>
      <c r="E93" s="330">
        <f>IF(A93="","",historico_VU!E31)</f>
        <v/>
      </c>
      <c r="F93" s="330">
        <f>IF(A93="","",historico_VU!F31)</f>
        <v/>
      </c>
      <c r="G93" s="330">
        <f>IF(A93="","",historico_VU!G31)</f>
        <v/>
      </c>
      <c r="H93" s="331">
        <f>IF(A93="","",historico_VU!H31)</f>
        <v/>
      </c>
      <c r="I93" s="151" t="n"/>
      <c r="J93" s="328">
        <f>IF(itens_Remanesc!A31="","",itens_Remanesc!A31)</f>
        <v/>
      </c>
      <c r="K93" s="329">
        <f>IF(J93="","",IF($F$4="C0",itens_Remanesc!B31,IF($F$4="C1",itens_Remanesc!E31,IF($F$4="C2",itens_Remanesc!G31,IF($F$4="C3",itens_Remanesc!I31,itens_Remanesc!K31)))))</f>
        <v/>
      </c>
      <c r="L93" s="329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332">
        <f>IF(J93="","",itens_Remanesc!C31)</f>
        <v/>
      </c>
      <c r="N93" s="332">
        <f>IF(J93="","",IF($F$4="C0",historico_VU!C31,IF($F$4="C1",historico_VU!D31,IF($F$4="C2",historico_VU!E31,IF($F$4="C3",historico_VU!F31,historico_VU!G31)))))</f>
        <v/>
      </c>
      <c r="O93" s="332">
        <f>IF(J93="","",IF(CONTROLE!$B$1="Principal",IF(OR(K93="",M93=""),"",ROUND(K93*M93,2)),IF(CONTROLE!$B$1="Itens Consumidos",IF(OR(L93="",M93=""),"",ROUND(L93*M93,2)),"")))</f>
        <v/>
      </c>
      <c r="P93" s="332">
        <f>IF(J93="","",IF(CONTROLE!$B$1="Principal",IF(OR(K93="",N93=""),"",ROUND(K93*N93,2)),IF(CONTROLE!$B$1="Itens Consumidos",IF(OR(L93="",N93=""),"",ROUND(L93*N93,2)),"")))</f>
        <v/>
      </c>
      <c r="Q93" s="333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>
      <c r="A94" s="328">
        <f>IF(historico_VU!A32="","",historico_VU!A32)</f>
        <v/>
      </c>
      <c r="B94" s="329">
        <f>IF(A94="","",historico_VU!B32)</f>
        <v/>
      </c>
      <c r="C94" s="330">
        <f>IF(A94="","",historico_VU!C32)</f>
        <v/>
      </c>
      <c r="D94" s="330">
        <f>IF(A94="","",historico_VU!D32)</f>
        <v/>
      </c>
      <c r="E94" s="330">
        <f>IF(A94="","",historico_VU!E32)</f>
        <v/>
      </c>
      <c r="F94" s="330">
        <f>IF(A94="","",historico_VU!F32)</f>
        <v/>
      </c>
      <c r="G94" s="330">
        <f>IF(A94="","",historico_VU!G32)</f>
        <v/>
      </c>
      <c r="H94" s="331">
        <f>IF(A94="","",historico_VU!H32)</f>
        <v/>
      </c>
      <c r="I94" s="151" t="n"/>
      <c r="J94" s="328">
        <f>IF(itens_Remanesc!A32="","",itens_Remanesc!A32)</f>
        <v/>
      </c>
      <c r="K94" s="329">
        <f>IF(J94="","",IF($F$4="C0",itens_Remanesc!B32,IF($F$4="C1",itens_Remanesc!E32,IF($F$4="C2",itens_Remanesc!G32,IF($F$4="C3",itens_Remanesc!I32,itens_Remanesc!K32)))))</f>
        <v/>
      </c>
      <c r="L94" s="329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332">
        <f>IF(J94="","",itens_Remanesc!C32)</f>
        <v/>
      </c>
      <c r="N94" s="332">
        <f>IF(J94="","",IF($F$4="C0",historico_VU!C32,IF($F$4="C1",historico_VU!D32,IF($F$4="C2",historico_VU!E32,IF($F$4="C3",historico_VU!F32,historico_VU!G32)))))</f>
        <v/>
      </c>
      <c r="O94" s="332">
        <f>IF(J94="","",IF(CONTROLE!$B$1="Principal",IF(OR(K94="",M94=""),"",ROUND(K94*M94,2)),IF(CONTROLE!$B$1="Itens Consumidos",IF(OR(L94="",M94=""),"",ROUND(L94*M94,2)),"")))</f>
        <v/>
      </c>
      <c r="P94" s="332">
        <f>IF(J94="","",IF(CONTROLE!$B$1="Principal",IF(OR(K94="",N94=""),"",ROUND(K94*N94,2)),IF(CONTROLE!$B$1="Itens Consumidos",IF(OR(L94="",N94=""),"",ROUND(L94*N94,2)),"")))</f>
        <v/>
      </c>
      <c r="Q94" s="333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>
      <c r="A95" s="328">
        <f>IF(historico_VU!A33="","",historico_VU!A33)</f>
        <v/>
      </c>
      <c r="B95" s="329">
        <f>IF(A95="","",historico_VU!B33)</f>
        <v/>
      </c>
      <c r="C95" s="330">
        <f>IF(A95="","",historico_VU!C33)</f>
        <v/>
      </c>
      <c r="D95" s="330">
        <f>IF(A95="","",historico_VU!D33)</f>
        <v/>
      </c>
      <c r="E95" s="330">
        <f>IF(A95="","",historico_VU!E33)</f>
        <v/>
      </c>
      <c r="F95" s="330">
        <f>IF(A95="","",historico_VU!F33)</f>
        <v/>
      </c>
      <c r="G95" s="330">
        <f>IF(A95="","",historico_VU!G33)</f>
        <v/>
      </c>
      <c r="H95" s="331">
        <f>IF(A95="","",historico_VU!H33)</f>
        <v/>
      </c>
      <c r="I95" s="151" t="n"/>
      <c r="J95" s="328">
        <f>IF(itens_Remanesc!A33="","",itens_Remanesc!A33)</f>
        <v/>
      </c>
      <c r="K95" s="329">
        <f>IF(J95="","",IF($F$4="C0",itens_Remanesc!B33,IF($F$4="C1",itens_Remanesc!E33,IF($F$4="C2",itens_Remanesc!G33,IF($F$4="C3",itens_Remanesc!I33,itens_Remanesc!K33)))))</f>
        <v/>
      </c>
      <c r="L95" s="329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332">
        <f>IF(J95="","",itens_Remanesc!C33)</f>
        <v/>
      </c>
      <c r="N95" s="332">
        <f>IF(J95="","",IF($F$4="C0",historico_VU!C33,IF($F$4="C1",historico_VU!D33,IF($F$4="C2",historico_VU!E33,IF($F$4="C3",historico_VU!F33,historico_VU!G33)))))</f>
        <v/>
      </c>
      <c r="O95" s="332">
        <f>IF(J95="","",IF(CONTROLE!$B$1="Principal",IF(OR(K95="",M95=""),"",ROUND(K95*M95,2)),IF(CONTROLE!$B$1="Itens Consumidos",IF(OR(L95="",M95=""),"",ROUND(L95*M95,2)),"")))</f>
        <v/>
      </c>
      <c r="P95" s="332">
        <f>IF(J95="","",IF(CONTROLE!$B$1="Principal",IF(OR(K95="",N95=""),"",ROUND(K95*N95,2)),IF(CONTROLE!$B$1="Itens Consumidos",IF(OR(L95="",N95=""),"",ROUND(L95*N95,2)),"")))</f>
        <v/>
      </c>
      <c r="Q95" s="333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>
      <c r="A96" s="328">
        <f>IF(historico_VU!A34="","",historico_VU!A34)</f>
        <v/>
      </c>
      <c r="B96" s="329">
        <f>IF(A96="","",historico_VU!B34)</f>
        <v/>
      </c>
      <c r="C96" s="330">
        <f>IF(A96="","",historico_VU!C34)</f>
        <v/>
      </c>
      <c r="D96" s="330">
        <f>IF(A96="","",historico_VU!D34)</f>
        <v/>
      </c>
      <c r="E96" s="330">
        <f>IF(A96="","",historico_VU!E34)</f>
        <v/>
      </c>
      <c r="F96" s="330">
        <f>IF(A96="","",historico_VU!F34)</f>
        <v/>
      </c>
      <c r="G96" s="330">
        <f>IF(A96="","",historico_VU!G34)</f>
        <v/>
      </c>
      <c r="H96" s="331">
        <f>IF(A96="","",historico_VU!H34)</f>
        <v/>
      </c>
      <c r="I96" s="151" t="n"/>
      <c r="J96" s="328">
        <f>IF(itens_Remanesc!A34="","",itens_Remanesc!A34)</f>
        <v/>
      </c>
      <c r="K96" s="329">
        <f>IF(J96="","",IF($F$4="C0",itens_Remanesc!B34,IF($F$4="C1",itens_Remanesc!E34,IF($F$4="C2",itens_Remanesc!G34,IF($F$4="C3",itens_Remanesc!I34,itens_Remanesc!K34)))))</f>
        <v/>
      </c>
      <c r="L96" s="329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332">
        <f>IF(J96="","",itens_Remanesc!C34)</f>
        <v/>
      </c>
      <c r="N96" s="332">
        <f>IF(J96="","",IF($F$4="C0",historico_VU!C34,IF($F$4="C1",historico_VU!D34,IF($F$4="C2",historico_VU!E34,IF($F$4="C3",historico_VU!F34,historico_VU!G34)))))</f>
        <v/>
      </c>
      <c r="O96" s="332">
        <f>IF(J96="","",IF(CONTROLE!$B$1="Principal",IF(OR(K96="",M96=""),"",ROUND(K96*M96,2)),IF(CONTROLE!$B$1="Itens Consumidos",IF(OR(L96="",M96=""),"",ROUND(L96*M96,2)),"")))</f>
        <v/>
      </c>
      <c r="P96" s="332">
        <f>IF(J96="","",IF(CONTROLE!$B$1="Principal",IF(OR(K96="",N96=""),"",ROUND(K96*N96,2)),IF(CONTROLE!$B$1="Itens Consumidos",IF(OR(L96="",N96=""),"",ROUND(L96*N96,2)),"")))</f>
        <v/>
      </c>
      <c r="Q96" s="333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>
      <c r="A97" s="328">
        <f>IF(historico_VU!A35="","",historico_VU!A35)</f>
        <v/>
      </c>
      <c r="B97" s="329">
        <f>IF(A97="","",historico_VU!B35)</f>
        <v/>
      </c>
      <c r="C97" s="330">
        <f>IF(A97="","",historico_VU!C35)</f>
        <v/>
      </c>
      <c r="D97" s="330">
        <f>IF(A97="","",historico_VU!D35)</f>
        <v/>
      </c>
      <c r="E97" s="330">
        <f>IF(A97="","",historico_VU!E35)</f>
        <v/>
      </c>
      <c r="F97" s="330">
        <f>IF(A97="","",historico_VU!F35)</f>
        <v/>
      </c>
      <c r="G97" s="330">
        <f>IF(A97="","",historico_VU!G35)</f>
        <v/>
      </c>
      <c r="H97" s="331">
        <f>IF(A97="","",historico_VU!H35)</f>
        <v/>
      </c>
      <c r="I97" s="151" t="n"/>
      <c r="J97" s="328">
        <f>IF(itens_Remanesc!A35="","",itens_Remanesc!A35)</f>
        <v/>
      </c>
      <c r="K97" s="329">
        <f>IF(J97="","",IF($F$4="C0",itens_Remanesc!B35,IF($F$4="C1",itens_Remanesc!E35,IF($F$4="C2",itens_Remanesc!G35,IF($F$4="C3",itens_Remanesc!I35,itens_Remanesc!K35)))))</f>
        <v/>
      </c>
      <c r="L97" s="329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332">
        <f>IF(J97="","",itens_Remanesc!C35)</f>
        <v/>
      </c>
      <c r="N97" s="332">
        <f>IF(J97="","",IF($F$4="C0",historico_VU!C35,IF($F$4="C1",historico_VU!D35,IF($F$4="C2",historico_VU!E35,IF($F$4="C3",historico_VU!F35,historico_VU!G35)))))</f>
        <v/>
      </c>
      <c r="O97" s="332">
        <f>IF(J97="","",IF(CONTROLE!$B$1="Principal",IF(OR(K97="",M97=""),"",ROUND(K97*M97,2)),IF(CONTROLE!$B$1="Itens Consumidos",IF(OR(L97="",M97=""),"",ROUND(L97*M97,2)),"")))</f>
        <v/>
      </c>
      <c r="P97" s="332">
        <f>IF(J97="","",IF(CONTROLE!$B$1="Principal",IF(OR(K97="",N97=""),"",ROUND(K97*N97,2)),IF(CONTROLE!$B$1="Itens Consumidos",IF(OR(L97="",N97=""),"",ROUND(L97*N97,2)),"")))</f>
        <v/>
      </c>
      <c r="Q97" s="333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>
      <c r="A98" s="328">
        <f>IF(historico_VU!A36="","",historico_VU!A36)</f>
        <v/>
      </c>
      <c r="B98" s="329">
        <f>IF(A98="","",historico_VU!B36)</f>
        <v/>
      </c>
      <c r="C98" s="330">
        <f>IF(A98="","",historico_VU!C36)</f>
        <v/>
      </c>
      <c r="D98" s="330">
        <f>IF(A98="","",historico_VU!D36)</f>
        <v/>
      </c>
      <c r="E98" s="330">
        <f>IF(A98="","",historico_VU!E36)</f>
        <v/>
      </c>
      <c r="F98" s="330">
        <f>IF(A98="","",historico_VU!F36)</f>
        <v/>
      </c>
      <c r="G98" s="330">
        <f>IF(A98="","",historico_VU!G36)</f>
        <v/>
      </c>
      <c r="H98" s="331">
        <f>IF(A98="","",historico_VU!H36)</f>
        <v/>
      </c>
      <c r="I98" s="151" t="n"/>
      <c r="J98" s="328">
        <f>IF(itens_Remanesc!A36="","",itens_Remanesc!A36)</f>
        <v/>
      </c>
      <c r="K98" s="329">
        <f>IF(J98="","",IF($F$4="C0",itens_Remanesc!B36,IF($F$4="C1",itens_Remanesc!E36,IF($F$4="C2",itens_Remanesc!G36,IF($F$4="C3",itens_Remanesc!I36,itens_Remanesc!K36)))))</f>
        <v/>
      </c>
      <c r="L98" s="329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332">
        <f>IF(J98="","",itens_Remanesc!C36)</f>
        <v/>
      </c>
      <c r="N98" s="332">
        <f>IF(J98="","",IF($F$4="C0",historico_VU!C36,IF($F$4="C1",historico_VU!D36,IF($F$4="C2",historico_VU!E36,IF($F$4="C3",historico_VU!F36,historico_VU!G36)))))</f>
        <v/>
      </c>
      <c r="O98" s="332">
        <f>IF(J98="","",IF(CONTROLE!$B$1="Principal",IF(OR(K98="",M98=""),"",ROUND(K98*M98,2)),IF(CONTROLE!$B$1="Itens Consumidos",IF(OR(L98="",M98=""),"",ROUND(L98*M98,2)),"")))</f>
        <v/>
      </c>
      <c r="P98" s="332">
        <f>IF(J98="","",IF(CONTROLE!$B$1="Principal",IF(OR(K98="",N98=""),"",ROUND(K98*N98,2)),IF(CONTROLE!$B$1="Itens Consumidos",IF(OR(L98="",N98=""),"",ROUND(L98*N98,2)),"")))</f>
        <v/>
      </c>
      <c r="Q98" s="333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>
      <c r="A99" s="328">
        <f>IF(historico_VU!A37="","",historico_VU!A37)</f>
        <v/>
      </c>
      <c r="B99" s="329">
        <f>IF(A99="","",historico_VU!B37)</f>
        <v/>
      </c>
      <c r="C99" s="330">
        <f>IF(A99="","",historico_VU!C37)</f>
        <v/>
      </c>
      <c r="D99" s="330">
        <f>IF(A99="","",historico_VU!D37)</f>
        <v/>
      </c>
      <c r="E99" s="330">
        <f>IF(A99="","",historico_VU!E37)</f>
        <v/>
      </c>
      <c r="F99" s="330">
        <f>IF(A99="","",historico_VU!F37)</f>
        <v/>
      </c>
      <c r="G99" s="330">
        <f>IF(A99="","",historico_VU!G37)</f>
        <v/>
      </c>
      <c r="H99" s="331">
        <f>IF(A99="","",historico_VU!H37)</f>
        <v/>
      </c>
      <c r="I99" s="151" t="n"/>
      <c r="J99" s="328">
        <f>IF(itens_Remanesc!A37="","",itens_Remanesc!A37)</f>
        <v/>
      </c>
      <c r="K99" s="329">
        <f>IF(J99="","",IF($F$4="C0",itens_Remanesc!B37,IF($F$4="C1",itens_Remanesc!E37,IF($F$4="C2",itens_Remanesc!G37,IF($F$4="C3",itens_Remanesc!I37,itens_Remanesc!K37)))))</f>
        <v/>
      </c>
      <c r="L99" s="329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332">
        <f>IF(J99="","",itens_Remanesc!C37)</f>
        <v/>
      </c>
      <c r="N99" s="332">
        <f>IF(J99="","",IF($F$4="C0",historico_VU!C37,IF($F$4="C1",historico_VU!D37,IF($F$4="C2",historico_VU!E37,IF($F$4="C3",historico_VU!F37,historico_VU!G37)))))</f>
        <v/>
      </c>
      <c r="O99" s="332">
        <f>IF(J99="","",IF(CONTROLE!$B$1="Principal",IF(OR(K99="",M99=""),"",ROUND(K99*M99,2)),IF(CONTROLE!$B$1="Itens Consumidos",IF(OR(L99="",M99=""),"",ROUND(L99*M99,2)),"")))</f>
        <v/>
      </c>
      <c r="P99" s="332">
        <f>IF(J99="","",IF(CONTROLE!$B$1="Principal",IF(OR(K99="",N99=""),"",ROUND(K99*N99,2)),IF(CONTROLE!$B$1="Itens Consumidos",IF(OR(L99="",N99=""),"",ROUND(L99*N99,2)),"")))</f>
        <v/>
      </c>
      <c r="Q99" s="333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>
      <c r="A100" s="328">
        <f>IF(historico_VU!A38="","",historico_VU!A38)</f>
        <v/>
      </c>
      <c r="B100" s="329">
        <f>IF(A100="","",historico_VU!B38)</f>
        <v/>
      </c>
      <c r="C100" s="330">
        <f>IF(A100="","",historico_VU!C38)</f>
        <v/>
      </c>
      <c r="D100" s="330">
        <f>IF(A100="","",historico_VU!D38)</f>
        <v/>
      </c>
      <c r="E100" s="330">
        <f>IF(A100="","",historico_VU!E38)</f>
        <v/>
      </c>
      <c r="F100" s="330">
        <f>IF(A100="","",historico_VU!F38)</f>
        <v/>
      </c>
      <c r="G100" s="330">
        <f>IF(A100="","",historico_VU!G38)</f>
        <v/>
      </c>
      <c r="H100" s="331">
        <f>IF(A100="","",historico_VU!H38)</f>
        <v/>
      </c>
      <c r="I100" s="151" t="n"/>
      <c r="J100" s="328">
        <f>IF(itens_Remanesc!A38="","",itens_Remanesc!A38)</f>
        <v/>
      </c>
      <c r="K100" s="329">
        <f>IF(J100="","",IF($F$4="C0",itens_Remanesc!B38,IF($F$4="C1",itens_Remanesc!E38,IF($F$4="C2",itens_Remanesc!G38,IF($F$4="C3",itens_Remanesc!I38,itens_Remanesc!K38)))))</f>
        <v/>
      </c>
      <c r="L100" s="329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332">
        <f>IF(J100="","",itens_Remanesc!C38)</f>
        <v/>
      </c>
      <c r="N100" s="332">
        <f>IF(J100="","",IF($F$4="C0",historico_VU!C38,IF($F$4="C1",historico_VU!D38,IF($F$4="C2",historico_VU!E38,IF($F$4="C3",historico_VU!F38,historico_VU!G38)))))</f>
        <v/>
      </c>
      <c r="O100" s="332">
        <f>IF(J100="","",IF(CONTROLE!$B$1="Principal",IF(OR(K100="",M100=""),"",ROUND(K100*M100,2)),IF(CONTROLE!$B$1="Itens Consumidos",IF(OR(L100="",M100=""),"",ROUND(L100*M100,2)),"")))</f>
        <v/>
      </c>
      <c r="P100" s="332">
        <f>IF(J100="","",IF(CONTROLE!$B$1="Principal",IF(OR(K100="",N100=""),"",ROUND(K100*N100,2)),IF(CONTROLE!$B$1="Itens Consumidos",IF(OR(L100="",N100=""),"",ROUND(L100*N100,2)),"")))</f>
        <v/>
      </c>
      <c r="Q100" s="333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>
      <c r="A101" s="328">
        <f>IF(historico_VU!A39="","",historico_VU!A39)</f>
        <v/>
      </c>
      <c r="B101" s="329">
        <f>IF(A101="","",historico_VU!B39)</f>
        <v/>
      </c>
      <c r="C101" s="330">
        <f>IF(A101="","",historico_VU!C39)</f>
        <v/>
      </c>
      <c r="D101" s="330">
        <f>IF(A101="","",historico_VU!D39)</f>
        <v/>
      </c>
      <c r="E101" s="330">
        <f>IF(A101="","",historico_VU!E39)</f>
        <v/>
      </c>
      <c r="F101" s="330">
        <f>IF(A101="","",historico_VU!F39)</f>
        <v/>
      </c>
      <c r="G101" s="330">
        <f>IF(A101="","",historico_VU!G39)</f>
        <v/>
      </c>
      <c r="H101" s="331">
        <f>IF(A101="","",historico_VU!H39)</f>
        <v/>
      </c>
      <c r="I101" s="151" t="n"/>
      <c r="J101" s="328">
        <f>IF(itens_Remanesc!A39="","",itens_Remanesc!A39)</f>
        <v/>
      </c>
      <c r="K101" s="329">
        <f>IF(J101="","",IF($F$4="C0",itens_Remanesc!B39,IF($F$4="C1",itens_Remanesc!E39,IF($F$4="C2",itens_Remanesc!G39,IF($F$4="C3",itens_Remanesc!I39,itens_Remanesc!K39)))))</f>
        <v/>
      </c>
      <c r="L101" s="329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332">
        <f>IF(J101="","",itens_Remanesc!C39)</f>
        <v/>
      </c>
      <c r="N101" s="332">
        <f>IF(J101="","",IF($F$4="C0",historico_VU!C39,IF($F$4="C1",historico_VU!D39,IF($F$4="C2",historico_VU!E39,IF($F$4="C3",historico_VU!F39,historico_VU!G39)))))</f>
        <v/>
      </c>
      <c r="O101" s="332">
        <f>IF(J101="","",IF(CONTROLE!$B$1="Principal",IF(OR(K101="",M101=""),"",ROUND(K101*M101,2)),IF(CONTROLE!$B$1="Itens Consumidos",IF(OR(L101="",M101=""),"",ROUND(L101*M101,2)),"")))</f>
        <v/>
      </c>
      <c r="P101" s="332">
        <f>IF(J101="","",IF(CONTROLE!$B$1="Principal",IF(OR(K101="",N101=""),"",ROUND(K101*N101,2)),IF(CONTROLE!$B$1="Itens Consumidos",IF(OR(L101="",N101=""),"",ROUND(L101*N101,2)),"")))</f>
        <v/>
      </c>
      <c r="Q101" s="333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>
      <c r="A102" s="328">
        <f>IF(historico_VU!A40="","",historico_VU!A40)</f>
        <v/>
      </c>
      <c r="B102" s="329">
        <f>IF(A102="","",historico_VU!B40)</f>
        <v/>
      </c>
      <c r="C102" s="330">
        <f>IF(A102="","",historico_VU!C40)</f>
        <v/>
      </c>
      <c r="D102" s="330">
        <f>IF(A102="","",historico_VU!D40)</f>
        <v/>
      </c>
      <c r="E102" s="330">
        <f>IF(A102="","",historico_VU!E40)</f>
        <v/>
      </c>
      <c r="F102" s="330">
        <f>IF(A102="","",historico_VU!F40)</f>
        <v/>
      </c>
      <c r="G102" s="330">
        <f>IF(A102="","",historico_VU!G40)</f>
        <v/>
      </c>
      <c r="H102" s="331">
        <f>IF(A102="","",historico_VU!H40)</f>
        <v/>
      </c>
      <c r="I102" s="151" t="n"/>
      <c r="J102" s="328">
        <f>IF(itens_Remanesc!A40="","",itens_Remanesc!A40)</f>
        <v/>
      </c>
      <c r="K102" s="329">
        <f>IF(J102="","",IF($F$4="C0",itens_Remanesc!B40,IF($F$4="C1",itens_Remanesc!E40,IF($F$4="C2",itens_Remanesc!G40,IF($F$4="C3",itens_Remanesc!I40,itens_Remanesc!K40)))))</f>
        <v/>
      </c>
      <c r="L102" s="329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332">
        <f>IF(J102="","",itens_Remanesc!C40)</f>
        <v/>
      </c>
      <c r="N102" s="332">
        <f>IF(J102="","",IF($F$4="C0",historico_VU!C40,IF($F$4="C1",historico_VU!D40,IF($F$4="C2",historico_VU!E40,IF($F$4="C3",historico_VU!F40,historico_VU!G40)))))</f>
        <v/>
      </c>
      <c r="O102" s="332">
        <f>IF(J102="","",IF(CONTROLE!$B$1="Principal",IF(OR(K102="",M102=""),"",ROUND(K102*M102,2)),IF(CONTROLE!$B$1="Itens Consumidos",IF(OR(L102="",M102=""),"",ROUND(L102*M102,2)),"")))</f>
        <v/>
      </c>
      <c r="P102" s="332">
        <f>IF(J102="","",IF(CONTROLE!$B$1="Principal",IF(OR(K102="",N102=""),"",ROUND(K102*N102,2)),IF(CONTROLE!$B$1="Itens Consumidos",IF(OR(L102="",N102=""),"",ROUND(L102*N102,2)),"")))</f>
        <v/>
      </c>
      <c r="Q102" s="333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>
      <c r="A103" s="328">
        <f>IF(historico_VU!A41="","",historico_VU!A41)</f>
        <v/>
      </c>
      <c r="B103" s="329">
        <f>IF(A103="","",historico_VU!B41)</f>
        <v/>
      </c>
      <c r="C103" s="330">
        <f>IF(A103="","",historico_VU!C41)</f>
        <v/>
      </c>
      <c r="D103" s="330">
        <f>IF(A103="","",historico_VU!D41)</f>
        <v/>
      </c>
      <c r="E103" s="330">
        <f>IF(A103="","",historico_VU!E41)</f>
        <v/>
      </c>
      <c r="F103" s="330">
        <f>IF(A103="","",historico_VU!F41)</f>
        <v/>
      </c>
      <c r="G103" s="330">
        <f>IF(A103="","",historico_VU!G41)</f>
        <v/>
      </c>
      <c r="H103" s="331">
        <f>IF(A103="","",historico_VU!H41)</f>
        <v/>
      </c>
      <c r="I103" s="151" t="n"/>
      <c r="J103" s="328">
        <f>IF(itens_Remanesc!A41="","",itens_Remanesc!A41)</f>
        <v/>
      </c>
      <c r="K103" s="329">
        <f>IF(J103="","",IF($F$4="C0",itens_Remanesc!B41,IF($F$4="C1",itens_Remanesc!E41,IF($F$4="C2",itens_Remanesc!G41,IF($F$4="C3",itens_Remanesc!I41,itens_Remanesc!K41)))))</f>
        <v/>
      </c>
      <c r="L103" s="329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332">
        <f>IF(J103="","",itens_Remanesc!C41)</f>
        <v/>
      </c>
      <c r="N103" s="332">
        <f>IF(J103="","",IF($F$4="C0",historico_VU!C41,IF($F$4="C1",historico_VU!D41,IF($F$4="C2",historico_VU!E41,IF($F$4="C3",historico_VU!F41,historico_VU!G41)))))</f>
        <v/>
      </c>
      <c r="O103" s="332">
        <f>IF(J103="","",IF(CONTROLE!$B$1="Principal",IF(OR(K103="",M103=""),"",ROUND(K103*M103,2)),IF(CONTROLE!$B$1="Itens Consumidos",IF(OR(L103="",M103=""),"",ROUND(L103*M103,2)),"")))</f>
        <v/>
      </c>
      <c r="P103" s="332">
        <f>IF(J103="","",IF(CONTROLE!$B$1="Principal",IF(OR(K103="",N103=""),"",ROUND(K103*N103,2)),IF(CONTROLE!$B$1="Itens Consumidos",IF(OR(L103="",N103=""),"",ROUND(L103*N103,2)),"")))</f>
        <v/>
      </c>
      <c r="Q103" s="333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>
      <c r="A104" s="328">
        <f>IF(historico_VU!A42="","",historico_VU!A42)</f>
        <v/>
      </c>
      <c r="B104" s="329">
        <f>IF(A104="","",historico_VU!B42)</f>
        <v/>
      </c>
      <c r="C104" s="330">
        <f>IF(A104="","",historico_VU!C42)</f>
        <v/>
      </c>
      <c r="D104" s="330">
        <f>IF(A104="","",historico_VU!D42)</f>
        <v/>
      </c>
      <c r="E104" s="330">
        <f>IF(A104="","",historico_VU!E42)</f>
        <v/>
      </c>
      <c r="F104" s="330">
        <f>IF(A104="","",historico_VU!F42)</f>
        <v/>
      </c>
      <c r="G104" s="330">
        <f>IF(A104="","",historico_VU!G42)</f>
        <v/>
      </c>
      <c r="H104" s="331">
        <f>IF(A104="","",historico_VU!H42)</f>
        <v/>
      </c>
      <c r="I104" s="151" t="n"/>
      <c r="J104" s="328">
        <f>IF(itens_Remanesc!A42="","",itens_Remanesc!A42)</f>
        <v/>
      </c>
      <c r="K104" s="329">
        <f>IF(J104="","",IF($F$4="C0",itens_Remanesc!B42,IF($F$4="C1",itens_Remanesc!E42,IF($F$4="C2",itens_Remanesc!G42,IF($F$4="C3",itens_Remanesc!I42,itens_Remanesc!K42)))))</f>
        <v/>
      </c>
      <c r="L104" s="329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332">
        <f>IF(J104="","",itens_Remanesc!C42)</f>
        <v/>
      </c>
      <c r="N104" s="332">
        <f>IF(J104="","",IF($F$4="C0",historico_VU!C42,IF($F$4="C1",historico_VU!D42,IF($F$4="C2",historico_VU!E42,IF($F$4="C3",historico_VU!F42,historico_VU!G42)))))</f>
        <v/>
      </c>
      <c r="O104" s="332">
        <f>IF(J104="","",IF(CONTROLE!$B$1="Principal",IF(OR(K104="",M104=""),"",ROUND(K104*M104,2)),IF(CONTROLE!$B$1="Itens Consumidos",IF(OR(L104="",M104=""),"",ROUND(L104*M104,2)),"")))</f>
        <v/>
      </c>
      <c r="P104" s="332">
        <f>IF(J104="","",IF(CONTROLE!$B$1="Principal",IF(OR(K104="",N104=""),"",ROUND(K104*N104,2)),IF(CONTROLE!$B$1="Itens Consumidos",IF(OR(L104="",N104=""),"",ROUND(L104*N104,2)),"")))</f>
        <v/>
      </c>
      <c r="Q104" s="333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>
      <c r="A105" s="328">
        <f>IF(historico_VU!A43="","",historico_VU!A43)</f>
        <v/>
      </c>
      <c r="B105" s="329">
        <f>IF(A105="","",historico_VU!B43)</f>
        <v/>
      </c>
      <c r="C105" s="330">
        <f>IF(A105="","",historico_VU!C43)</f>
        <v/>
      </c>
      <c r="D105" s="330">
        <f>IF(A105="","",historico_VU!D43)</f>
        <v/>
      </c>
      <c r="E105" s="330">
        <f>IF(A105="","",historico_VU!E43)</f>
        <v/>
      </c>
      <c r="F105" s="330">
        <f>IF(A105="","",historico_VU!F43)</f>
        <v/>
      </c>
      <c r="G105" s="330">
        <f>IF(A105="","",historico_VU!G43)</f>
        <v/>
      </c>
      <c r="H105" s="331">
        <f>IF(A105="","",historico_VU!H43)</f>
        <v/>
      </c>
      <c r="I105" s="151" t="n"/>
      <c r="J105" s="328">
        <f>IF(itens_Remanesc!A43="","",itens_Remanesc!A43)</f>
        <v/>
      </c>
      <c r="K105" s="329">
        <f>IF(J105="","",IF($F$4="C0",itens_Remanesc!B43,IF($F$4="C1",itens_Remanesc!E43,IF($F$4="C2",itens_Remanesc!G43,IF($F$4="C3",itens_Remanesc!I43,itens_Remanesc!K43)))))</f>
        <v/>
      </c>
      <c r="L105" s="329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332">
        <f>IF(J105="","",itens_Remanesc!C43)</f>
        <v/>
      </c>
      <c r="N105" s="332">
        <f>IF(J105="","",IF($F$4="C0",historico_VU!C43,IF($F$4="C1",historico_VU!D43,IF($F$4="C2",historico_VU!E43,IF($F$4="C3",historico_VU!F43,historico_VU!G43)))))</f>
        <v/>
      </c>
      <c r="O105" s="332">
        <f>IF(J105="","",IF(CONTROLE!$B$1="Principal",IF(OR(K105="",M105=""),"",ROUND(K105*M105,2)),IF(CONTROLE!$B$1="Itens Consumidos",IF(OR(L105="",M105=""),"",ROUND(L105*M105,2)),"")))</f>
        <v/>
      </c>
      <c r="P105" s="332">
        <f>IF(J105="","",IF(CONTROLE!$B$1="Principal",IF(OR(K105="",N105=""),"",ROUND(K105*N105,2)),IF(CONTROLE!$B$1="Itens Consumidos",IF(OR(L105="",N105=""),"",ROUND(L105*N105,2)),"")))</f>
        <v/>
      </c>
      <c r="Q105" s="333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>
      <c r="A106" s="328">
        <f>IF(historico_VU!A44="","",historico_VU!A44)</f>
        <v/>
      </c>
      <c r="B106" s="329">
        <f>IF(A106="","",historico_VU!B44)</f>
        <v/>
      </c>
      <c r="C106" s="330">
        <f>IF(A106="","",historico_VU!C44)</f>
        <v/>
      </c>
      <c r="D106" s="330">
        <f>IF(A106="","",historico_VU!D44)</f>
        <v/>
      </c>
      <c r="E106" s="330">
        <f>IF(A106="","",historico_VU!E44)</f>
        <v/>
      </c>
      <c r="F106" s="330">
        <f>IF(A106="","",historico_VU!F44)</f>
        <v/>
      </c>
      <c r="G106" s="330">
        <f>IF(A106="","",historico_VU!G44)</f>
        <v/>
      </c>
      <c r="H106" s="331">
        <f>IF(A106="","",historico_VU!H44)</f>
        <v/>
      </c>
      <c r="I106" s="151" t="n"/>
      <c r="J106" s="328">
        <f>IF(itens_Remanesc!A44="","",itens_Remanesc!A44)</f>
        <v/>
      </c>
      <c r="K106" s="329">
        <f>IF(J106="","",IF($F$4="C0",itens_Remanesc!B44,IF($F$4="C1",itens_Remanesc!E44,IF($F$4="C2",itens_Remanesc!G44,IF($F$4="C3",itens_Remanesc!I44,itens_Remanesc!K44)))))</f>
        <v/>
      </c>
      <c r="L106" s="329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332">
        <f>IF(J106="","",itens_Remanesc!C44)</f>
        <v/>
      </c>
      <c r="N106" s="332">
        <f>IF(J106="","",IF($F$4="C0",historico_VU!C44,IF($F$4="C1",historico_VU!D44,IF($F$4="C2",historico_VU!E44,IF($F$4="C3",historico_VU!F44,historico_VU!G44)))))</f>
        <v/>
      </c>
      <c r="O106" s="332">
        <f>IF(J106="","",IF(CONTROLE!$B$1="Principal",IF(OR(K106="",M106=""),"",ROUND(K106*M106,2)),IF(CONTROLE!$B$1="Itens Consumidos",IF(OR(L106="",M106=""),"",ROUND(L106*M106,2)),"")))</f>
        <v/>
      </c>
      <c r="P106" s="332">
        <f>IF(J106="","",IF(CONTROLE!$B$1="Principal",IF(OR(K106="",N106=""),"",ROUND(K106*N106,2)),IF(CONTROLE!$B$1="Itens Consumidos",IF(OR(L106="",N106=""),"",ROUND(L106*N106,2)),"")))</f>
        <v/>
      </c>
      <c r="Q106" s="333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>
      <c r="A107" s="328">
        <f>IF(historico_VU!A45="","",historico_VU!A45)</f>
        <v/>
      </c>
      <c r="B107" s="329">
        <f>IF(A107="","",historico_VU!B45)</f>
        <v/>
      </c>
      <c r="C107" s="330">
        <f>IF(A107="","",historico_VU!C45)</f>
        <v/>
      </c>
      <c r="D107" s="330">
        <f>IF(A107="","",historico_VU!D45)</f>
        <v/>
      </c>
      <c r="E107" s="330">
        <f>IF(A107="","",historico_VU!E45)</f>
        <v/>
      </c>
      <c r="F107" s="330">
        <f>IF(A107="","",historico_VU!F45)</f>
        <v/>
      </c>
      <c r="G107" s="330">
        <f>IF(A107="","",historico_VU!G45)</f>
        <v/>
      </c>
      <c r="H107" s="331">
        <f>IF(A107="","",historico_VU!H45)</f>
        <v/>
      </c>
      <c r="I107" s="151" t="n"/>
      <c r="J107" s="328">
        <f>IF(itens_Remanesc!A45="","",itens_Remanesc!A45)</f>
        <v/>
      </c>
      <c r="K107" s="329">
        <f>IF(J107="","",IF($F$4="C0",itens_Remanesc!B45,IF($F$4="C1",itens_Remanesc!E45,IF($F$4="C2",itens_Remanesc!G45,IF($F$4="C3",itens_Remanesc!I45,itens_Remanesc!K45)))))</f>
        <v/>
      </c>
      <c r="L107" s="329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332">
        <f>IF(J107="","",itens_Remanesc!C45)</f>
        <v/>
      </c>
      <c r="N107" s="332">
        <f>IF(J107="","",IF($F$4="C0",historico_VU!C45,IF($F$4="C1",historico_VU!D45,IF($F$4="C2",historico_VU!E45,IF($F$4="C3",historico_VU!F45,historico_VU!G45)))))</f>
        <v/>
      </c>
      <c r="O107" s="332">
        <f>IF(J107="","",IF(CONTROLE!$B$1="Principal",IF(OR(K107="",M107=""),"",ROUND(K107*M107,2)),IF(CONTROLE!$B$1="Itens Consumidos",IF(OR(L107="",M107=""),"",ROUND(L107*M107,2)),"")))</f>
        <v/>
      </c>
      <c r="P107" s="332">
        <f>IF(J107="","",IF(CONTROLE!$B$1="Principal",IF(OR(K107="",N107=""),"",ROUND(K107*N107,2)),IF(CONTROLE!$B$1="Itens Consumidos",IF(OR(L107="",N107=""),"",ROUND(L107*N107,2)),"")))</f>
        <v/>
      </c>
      <c r="Q107" s="333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>
      <c r="A108" s="328">
        <f>IF(historico_VU!A46="","",historico_VU!A46)</f>
        <v/>
      </c>
      <c r="B108" s="329">
        <f>IF(A108="","",historico_VU!B46)</f>
        <v/>
      </c>
      <c r="C108" s="330">
        <f>IF(A108="","",historico_VU!C46)</f>
        <v/>
      </c>
      <c r="D108" s="330">
        <f>IF(A108="","",historico_VU!D46)</f>
        <v/>
      </c>
      <c r="E108" s="330">
        <f>IF(A108="","",historico_VU!E46)</f>
        <v/>
      </c>
      <c r="F108" s="330">
        <f>IF(A108="","",historico_VU!F46)</f>
        <v/>
      </c>
      <c r="G108" s="330">
        <f>IF(A108="","",historico_VU!G46)</f>
        <v/>
      </c>
      <c r="H108" s="331">
        <f>IF(A108="","",historico_VU!H46)</f>
        <v/>
      </c>
      <c r="I108" s="151" t="n"/>
      <c r="J108" s="328">
        <f>IF(itens_Remanesc!A46="","",itens_Remanesc!A46)</f>
        <v/>
      </c>
      <c r="K108" s="329">
        <f>IF(J108="","",IF($F$4="C0",itens_Remanesc!B46,IF($F$4="C1",itens_Remanesc!E46,IF($F$4="C2",itens_Remanesc!G46,IF($F$4="C3",itens_Remanesc!I46,itens_Remanesc!K46)))))</f>
        <v/>
      </c>
      <c r="L108" s="329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332">
        <f>IF(J108="","",itens_Remanesc!C46)</f>
        <v/>
      </c>
      <c r="N108" s="332">
        <f>IF(J108="","",IF($F$4="C0",historico_VU!C46,IF($F$4="C1",historico_VU!D46,IF($F$4="C2",historico_VU!E46,IF($F$4="C3",historico_VU!F46,historico_VU!G46)))))</f>
        <v/>
      </c>
      <c r="O108" s="332">
        <f>IF(J108="","",IF(CONTROLE!$B$1="Principal",IF(OR(K108="",M108=""),"",ROUND(K108*M108,2)),IF(CONTROLE!$B$1="Itens Consumidos",IF(OR(L108="",M108=""),"",ROUND(L108*M108,2)),"")))</f>
        <v/>
      </c>
      <c r="P108" s="332">
        <f>IF(J108="","",IF(CONTROLE!$B$1="Principal",IF(OR(K108="",N108=""),"",ROUND(K108*N108,2)),IF(CONTROLE!$B$1="Itens Consumidos",IF(OR(L108="",N108=""),"",ROUND(L108*N108,2)),"")))</f>
        <v/>
      </c>
      <c r="Q108" s="333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>
      <c r="A109" s="328">
        <f>IF(historico_VU!A47="","",historico_VU!A47)</f>
        <v/>
      </c>
      <c r="B109" s="329">
        <f>IF(A109="","",historico_VU!B47)</f>
        <v/>
      </c>
      <c r="C109" s="330">
        <f>IF(A109="","",historico_VU!C47)</f>
        <v/>
      </c>
      <c r="D109" s="330">
        <f>IF(A109="","",historico_VU!D47)</f>
        <v/>
      </c>
      <c r="E109" s="330">
        <f>IF(A109="","",historico_VU!E47)</f>
        <v/>
      </c>
      <c r="F109" s="330">
        <f>IF(A109="","",historico_VU!F47)</f>
        <v/>
      </c>
      <c r="G109" s="330">
        <f>IF(A109="","",historico_VU!G47)</f>
        <v/>
      </c>
      <c r="H109" s="331">
        <f>IF(A109="","",historico_VU!H47)</f>
        <v/>
      </c>
      <c r="I109" s="151" t="n"/>
      <c r="J109" s="328">
        <f>IF(itens_Remanesc!A47="","",itens_Remanesc!A47)</f>
        <v/>
      </c>
      <c r="K109" s="329">
        <f>IF(J109="","",IF($F$4="C0",itens_Remanesc!B47,IF($F$4="C1",itens_Remanesc!E47,IF($F$4="C2",itens_Remanesc!G47,IF($F$4="C3",itens_Remanesc!I47,itens_Remanesc!K47)))))</f>
        <v/>
      </c>
      <c r="L109" s="329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332">
        <f>IF(J109="","",itens_Remanesc!C47)</f>
        <v/>
      </c>
      <c r="N109" s="332">
        <f>IF(J109="","",IF($F$4="C0",historico_VU!C47,IF($F$4="C1",historico_VU!D47,IF($F$4="C2",historico_VU!E47,IF($F$4="C3",historico_VU!F47,historico_VU!G47)))))</f>
        <v/>
      </c>
      <c r="O109" s="332">
        <f>IF(J109="","",IF(CONTROLE!$B$1="Principal",IF(OR(K109="",M109=""),"",ROUND(K109*M109,2)),IF(CONTROLE!$B$1="Itens Consumidos",IF(OR(L109="",M109=""),"",ROUND(L109*M109,2)),"")))</f>
        <v/>
      </c>
      <c r="P109" s="332">
        <f>IF(J109="","",IF(CONTROLE!$B$1="Principal",IF(OR(K109="",N109=""),"",ROUND(K109*N109,2)),IF(CONTROLE!$B$1="Itens Consumidos",IF(OR(L109="",N109=""),"",ROUND(L109*N109,2)),"")))</f>
        <v/>
      </c>
      <c r="Q109" s="333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>
      <c r="A110" s="328">
        <f>IF(historico_VU!A48="","",historico_VU!A48)</f>
        <v/>
      </c>
      <c r="B110" s="329">
        <f>IF(A110="","",historico_VU!B48)</f>
        <v/>
      </c>
      <c r="C110" s="330">
        <f>IF(A110="","",historico_VU!C48)</f>
        <v/>
      </c>
      <c r="D110" s="330">
        <f>IF(A110="","",historico_VU!D48)</f>
        <v/>
      </c>
      <c r="E110" s="330">
        <f>IF(A110="","",historico_VU!E48)</f>
        <v/>
      </c>
      <c r="F110" s="330">
        <f>IF(A110="","",historico_VU!F48)</f>
        <v/>
      </c>
      <c r="G110" s="330">
        <f>IF(A110="","",historico_VU!G48)</f>
        <v/>
      </c>
      <c r="H110" s="331">
        <f>IF(A110="","",historico_VU!H48)</f>
        <v/>
      </c>
      <c r="I110" s="151" t="n"/>
      <c r="J110" s="328">
        <f>IF(itens_Remanesc!A48="","",itens_Remanesc!A48)</f>
        <v/>
      </c>
      <c r="K110" s="329">
        <f>IF(J110="","",IF($F$4="C0",itens_Remanesc!B48,IF($F$4="C1",itens_Remanesc!E48,IF($F$4="C2",itens_Remanesc!G48,IF($F$4="C3",itens_Remanesc!I48,itens_Remanesc!K48)))))</f>
        <v/>
      </c>
      <c r="L110" s="329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332">
        <f>IF(J110="","",itens_Remanesc!C48)</f>
        <v/>
      </c>
      <c r="N110" s="332">
        <f>IF(J110="","",IF($F$4="C0",historico_VU!C48,IF($F$4="C1",historico_VU!D48,IF($F$4="C2",historico_VU!E48,IF($F$4="C3",historico_VU!F48,historico_VU!G48)))))</f>
        <v/>
      </c>
      <c r="O110" s="332">
        <f>IF(J110="","",IF(CONTROLE!$B$1="Principal",IF(OR(K110="",M110=""),"",ROUND(K110*M110,2)),IF(CONTROLE!$B$1="Itens Consumidos",IF(OR(L110="",M110=""),"",ROUND(L110*M110,2)),"")))</f>
        <v/>
      </c>
      <c r="P110" s="332">
        <f>IF(J110="","",IF(CONTROLE!$B$1="Principal",IF(OR(K110="",N110=""),"",ROUND(K110*N110,2)),IF(CONTROLE!$B$1="Itens Consumidos",IF(OR(L110="",N110=""),"",ROUND(L110*N110,2)),"")))</f>
        <v/>
      </c>
      <c r="Q110" s="333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>
      <c r="A111" s="328">
        <f>IF(historico_VU!A49="","",historico_VU!A49)</f>
        <v/>
      </c>
      <c r="B111" s="329">
        <f>IF(A111="","",historico_VU!B49)</f>
        <v/>
      </c>
      <c r="C111" s="330">
        <f>IF(A111="","",historico_VU!C49)</f>
        <v/>
      </c>
      <c r="D111" s="330">
        <f>IF(A111="","",historico_VU!D49)</f>
        <v/>
      </c>
      <c r="E111" s="330">
        <f>IF(A111="","",historico_VU!E49)</f>
        <v/>
      </c>
      <c r="F111" s="330">
        <f>IF(A111="","",historico_VU!F49)</f>
        <v/>
      </c>
      <c r="G111" s="330">
        <f>IF(A111="","",historico_VU!G49)</f>
        <v/>
      </c>
      <c r="H111" s="331">
        <f>IF(A111="","",historico_VU!H49)</f>
        <v/>
      </c>
      <c r="I111" s="151" t="n"/>
      <c r="J111" s="328">
        <f>IF(itens_Remanesc!A49="","",itens_Remanesc!A49)</f>
        <v/>
      </c>
      <c r="K111" s="329">
        <f>IF(J111="","",IF($F$4="C0",itens_Remanesc!B49,IF($F$4="C1",itens_Remanesc!E49,IF($F$4="C2",itens_Remanesc!G49,IF($F$4="C3",itens_Remanesc!I49,itens_Remanesc!K49)))))</f>
        <v/>
      </c>
      <c r="L111" s="329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332">
        <f>IF(J111="","",itens_Remanesc!C49)</f>
        <v/>
      </c>
      <c r="N111" s="332">
        <f>IF(J111="","",IF($F$4="C0",historico_VU!C49,IF($F$4="C1",historico_VU!D49,IF($F$4="C2",historico_VU!E49,IF($F$4="C3",historico_VU!F49,historico_VU!G49)))))</f>
        <v/>
      </c>
      <c r="O111" s="332">
        <f>IF(J111="","",IF(CONTROLE!$B$1="Principal",IF(OR(K111="",M111=""),"",ROUND(K111*M111,2)),IF(CONTROLE!$B$1="Itens Consumidos",IF(OR(L111="",M111=""),"",ROUND(L111*M111,2)),"")))</f>
        <v/>
      </c>
      <c r="P111" s="332">
        <f>IF(J111="","",IF(CONTROLE!$B$1="Principal",IF(OR(K111="",N111=""),"",ROUND(K111*N111,2)),IF(CONTROLE!$B$1="Itens Consumidos",IF(OR(L111="",N111=""),"",ROUND(L111*N111,2)),"")))</f>
        <v/>
      </c>
      <c r="Q111" s="333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>
      <c r="A112" s="328">
        <f>IF(historico_VU!A50="","",historico_VU!A50)</f>
        <v/>
      </c>
      <c r="B112" s="329">
        <f>IF(A112="","",historico_VU!B50)</f>
        <v/>
      </c>
      <c r="C112" s="330">
        <f>IF(A112="","",historico_VU!C50)</f>
        <v/>
      </c>
      <c r="D112" s="330">
        <f>IF(A112="","",historico_VU!D50)</f>
        <v/>
      </c>
      <c r="E112" s="330">
        <f>IF(A112="","",historico_VU!E50)</f>
        <v/>
      </c>
      <c r="F112" s="330">
        <f>IF(A112="","",historico_VU!F50)</f>
        <v/>
      </c>
      <c r="G112" s="330">
        <f>IF(A112="","",historico_VU!G50)</f>
        <v/>
      </c>
      <c r="H112" s="331">
        <f>IF(A112="","",historico_VU!H50)</f>
        <v/>
      </c>
      <c r="I112" s="151" t="n"/>
      <c r="J112" s="328">
        <f>IF(itens_Remanesc!A50="","",itens_Remanesc!A50)</f>
        <v/>
      </c>
      <c r="K112" s="329">
        <f>IF(J112="","",IF($F$4="C0",itens_Remanesc!B50,IF($F$4="C1",itens_Remanesc!E50,IF($F$4="C2",itens_Remanesc!G50,IF($F$4="C3",itens_Remanesc!I50,itens_Remanesc!K50)))))</f>
        <v/>
      </c>
      <c r="L112" s="329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332">
        <f>IF(J112="","",itens_Remanesc!C50)</f>
        <v/>
      </c>
      <c r="N112" s="332">
        <f>IF(J112="","",IF($F$4="C0",historico_VU!C50,IF($F$4="C1",historico_VU!D50,IF($F$4="C2",historico_VU!E50,IF($F$4="C3",historico_VU!F50,historico_VU!G50)))))</f>
        <v/>
      </c>
      <c r="O112" s="332">
        <f>IF(J112="","",IF(CONTROLE!$B$1="Principal",IF(OR(K112="",M112=""),"",ROUND(K112*M112,2)),IF(CONTROLE!$B$1="Itens Consumidos",IF(OR(L112="",M112=""),"",ROUND(L112*M112,2)),"")))</f>
        <v/>
      </c>
      <c r="P112" s="332">
        <f>IF(J112="","",IF(CONTROLE!$B$1="Principal",IF(OR(K112="",N112=""),"",ROUND(K112*N112,2)),IF(CONTROLE!$B$1="Itens Consumidos",IF(OR(L112="",N112=""),"",ROUND(L112*N112,2)),"")))</f>
        <v/>
      </c>
      <c r="Q112" s="333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>
      <c r="A113" s="328">
        <f>IF(historico_VU!A51="","",historico_VU!A51)</f>
        <v/>
      </c>
      <c r="B113" s="329">
        <f>IF(A113="","",historico_VU!B51)</f>
        <v/>
      </c>
      <c r="C113" s="330">
        <f>IF(A113="","",historico_VU!C51)</f>
        <v/>
      </c>
      <c r="D113" s="330">
        <f>IF(A113="","",historico_VU!D51)</f>
        <v/>
      </c>
      <c r="E113" s="330">
        <f>IF(A113="","",historico_VU!E51)</f>
        <v/>
      </c>
      <c r="F113" s="330">
        <f>IF(A113="","",historico_VU!F51)</f>
        <v/>
      </c>
      <c r="G113" s="330">
        <f>IF(A113="","",historico_VU!G51)</f>
        <v/>
      </c>
      <c r="H113" s="331">
        <f>IF(A113="","",historico_VU!H51)</f>
        <v/>
      </c>
      <c r="I113" s="151" t="n"/>
      <c r="J113" s="328">
        <f>IF(itens_Remanesc!A51="","",itens_Remanesc!A51)</f>
        <v/>
      </c>
      <c r="K113" s="329">
        <f>IF(J113="","",IF($F$4="C0",itens_Remanesc!B51,IF($F$4="C1",itens_Remanesc!E51,IF($F$4="C2",itens_Remanesc!G51,IF($F$4="C3",itens_Remanesc!I51,itens_Remanesc!K51)))))</f>
        <v/>
      </c>
      <c r="L113" s="329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332">
        <f>IF(J113="","",itens_Remanesc!C51)</f>
        <v/>
      </c>
      <c r="N113" s="332">
        <f>IF(J113="","",IF($F$4="C0",historico_VU!C51,IF($F$4="C1",historico_VU!D51,IF($F$4="C2",historico_VU!E51,IF($F$4="C3",historico_VU!F51,historico_VU!G51)))))</f>
        <v/>
      </c>
      <c r="O113" s="332">
        <f>IF(J113="","",IF(CONTROLE!$B$1="Principal",IF(OR(K113="",M113=""),"",ROUND(K113*M113,2)),IF(CONTROLE!$B$1="Itens Consumidos",IF(OR(L113="",M113=""),"",ROUND(L113*M113,2)),"")))</f>
        <v/>
      </c>
      <c r="P113" s="332">
        <f>IF(J113="","",IF(CONTROLE!$B$1="Principal",IF(OR(K113="",N113=""),"",ROUND(K113*N113,2)),IF(CONTROLE!$B$1="Itens Consumidos",IF(OR(L113="",N113=""),"",ROUND(L113*N113,2)),"")))</f>
        <v/>
      </c>
      <c r="Q113" s="333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>
      <c r="A114" s="328">
        <f>IF(historico_VU!A52="","",historico_VU!A52)</f>
        <v/>
      </c>
      <c r="B114" s="329">
        <f>IF(A114="","",historico_VU!B52)</f>
        <v/>
      </c>
      <c r="C114" s="330">
        <f>IF(A114="","",historico_VU!C52)</f>
        <v/>
      </c>
      <c r="D114" s="330">
        <f>IF(A114="","",historico_VU!D52)</f>
        <v/>
      </c>
      <c r="E114" s="330">
        <f>IF(A114="","",historico_VU!E52)</f>
        <v/>
      </c>
      <c r="F114" s="330">
        <f>IF(A114="","",historico_VU!F52)</f>
        <v/>
      </c>
      <c r="G114" s="330">
        <f>IF(A114="","",historico_VU!G52)</f>
        <v/>
      </c>
      <c r="H114" s="331">
        <f>IF(A114="","",historico_VU!H52)</f>
        <v/>
      </c>
      <c r="I114" s="151" t="n"/>
      <c r="J114" s="328">
        <f>IF(itens_Remanesc!A52="","",itens_Remanesc!A52)</f>
        <v/>
      </c>
      <c r="K114" s="329">
        <f>IF(J114="","",IF($F$4="C0",itens_Remanesc!B52,IF($F$4="C1",itens_Remanesc!E52,IF($F$4="C2",itens_Remanesc!G52,IF($F$4="C3",itens_Remanesc!I52,itens_Remanesc!K52)))))</f>
        <v/>
      </c>
      <c r="L114" s="329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332">
        <f>IF(J114="","",itens_Remanesc!C52)</f>
        <v/>
      </c>
      <c r="N114" s="332">
        <f>IF(J114="","",IF($F$4="C0",historico_VU!C52,IF($F$4="C1",historico_VU!D52,IF($F$4="C2",historico_VU!E52,IF($F$4="C3",historico_VU!F52,historico_VU!G52)))))</f>
        <v/>
      </c>
      <c r="O114" s="332">
        <f>IF(J114="","",IF(CONTROLE!$B$1="Principal",IF(OR(K114="",M114=""),"",ROUND(K114*M114,2)),IF(CONTROLE!$B$1="Itens Consumidos",IF(OR(L114="",M114=""),"",ROUND(L114*M114,2)),"")))</f>
        <v/>
      </c>
      <c r="P114" s="332">
        <f>IF(J114="","",IF(CONTROLE!$B$1="Principal",IF(OR(K114="",N114=""),"",ROUND(K114*N114,2)),IF(CONTROLE!$B$1="Itens Consumidos",IF(OR(L114="",N114=""),"",ROUND(L114*N114,2)),"")))</f>
        <v/>
      </c>
      <c r="Q114" s="333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>
      <c r="A115" s="328">
        <f>IF(historico_VU!A53="","",historico_VU!A53)</f>
        <v/>
      </c>
      <c r="B115" s="329">
        <f>IF(A115="","",historico_VU!B53)</f>
        <v/>
      </c>
      <c r="C115" s="330">
        <f>IF(A115="","",historico_VU!C53)</f>
        <v/>
      </c>
      <c r="D115" s="330">
        <f>IF(A115="","",historico_VU!D53)</f>
        <v/>
      </c>
      <c r="E115" s="330">
        <f>IF(A115="","",historico_VU!E53)</f>
        <v/>
      </c>
      <c r="F115" s="330">
        <f>IF(A115="","",historico_VU!F53)</f>
        <v/>
      </c>
      <c r="G115" s="330">
        <f>IF(A115="","",historico_VU!G53)</f>
        <v/>
      </c>
      <c r="H115" s="331">
        <f>IF(A115="","",historico_VU!H53)</f>
        <v/>
      </c>
      <c r="I115" s="151" t="n"/>
      <c r="J115" s="328">
        <f>IF(itens_Remanesc!A53="","",itens_Remanesc!A53)</f>
        <v/>
      </c>
      <c r="K115" s="329">
        <f>IF(J115="","",IF($F$4="C0",itens_Remanesc!B53,IF($F$4="C1",itens_Remanesc!E53,IF($F$4="C2",itens_Remanesc!G53,IF($F$4="C3",itens_Remanesc!I53,itens_Remanesc!K53)))))</f>
        <v/>
      </c>
      <c r="L115" s="329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332">
        <f>IF(J115="","",itens_Remanesc!C53)</f>
        <v/>
      </c>
      <c r="N115" s="332">
        <f>IF(J115="","",IF($F$4="C0",historico_VU!C53,IF($F$4="C1",historico_VU!D53,IF($F$4="C2",historico_VU!E53,IF($F$4="C3",historico_VU!F53,historico_VU!G53)))))</f>
        <v/>
      </c>
      <c r="O115" s="332">
        <f>IF(J115="","",IF(CONTROLE!$B$1="Principal",IF(OR(K115="",M115=""),"",ROUND(K115*M115,2)),IF(CONTROLE!$B$1="Itens Consumidos",IF(OR(L115="",M115=""),"",ROUND(L115*M115,2)),"")))</f>
        <v/>
      </c>
      <c r="P115" s="332">
        <f>IF(J115="","",IF(CONTROLE!$B$1="Principal",IF(OR(K115="",N115=""),"",ROUND(K115*N115,2)),IF(CONTROLE!$B$1="Itens Consumidos",IF(OR(L115="",N115=""),"",ROUND(L115*N115,2)),"")))</f>
        <v/>
      </c>
      <c r="Q115" s="333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>
      <c r="A116" s="328">
        <f>IF(historico_VU!A54="","",historico_VU!A54)</f>
        <v/>
      </c>
      <c r="B116" s="329">
        <f>IF(A116="","",historico_VU!B54)</f>
        <v/>
      </c>
      <c r="C116" s="330">
        <f>IF(A116="","",historico_VU!C54)</f>
        <v/>
      </c>
      <c r="D116" s="330">
        <f>IF(A116="","",historico_VU!D54)</f>
        <v/>
      </c>
      <c r="E116" s="330">
        <f>IF(A116="","",historico_VU!E54)</f>
        <v/>
      </c>
      <c r="F116" s="330">
        <f>IF(A116="","",historico_VU!F54)</f>
        <v/>
      </c>
      <c r="G116" s="330">
        <f>IF(A116="","",historico_VU!G54)</f>
        <v/>
      </c>
      <c r="H116" s="331">
        <f>IF(A116="","",historico_VU!H54)</f>
        <v/>
      </c>
      <c r="I116" s="151" t="n"/>
      <c r="J116" s="328">
        <f>IF(itens_Remanesc!A54="","",itens_Remanesc!A54)</f>
        <v/>
      </c>
      <c r="K116" s="329">
        <f>IF(J116="","",IF($F$4="C0",itens_Remanesc!B54,IF($F$4="C1",itens_Remanesc!E54,IF($F$4="C2",itens_Remanesc!G54,IF($F$4="C3",itens_Remanesc!I54,itens_Remanesc!K54)))))</f>
        <v/>
      </c>
      <c r="L116" s="329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332">
        <f>IF(J116="","",itens_Remanesc!C54)</f>
        <v/>
      </c>
      <c r="N116" s="332">
        <f>IF(J116="","",IF($F$4="C0",historico_VU!C54,IF($F$4="C1",historico_VU!D54,IF($F$4="C2",historico_VU!E54,IF($F$4="C3",historico_VU!F54,historico_VU!G54)))))</f>
        <v/>
      </c>
      <c r="O116" s="332">
        <f>IF(J116="","",IF(CONTROLE!$B$1="Principal",IF(OR(K116="",M116=""),"",ROUND(K116*M116,2)),IF(CONTROLE!$B$1="Itens Consumidos",IF(OR(L116="",M116=""),"",ROUND(L116*M116,2)),"")))</f>
        <v/>
      </c>
      <c r="P116" s="332">
        <f>IF(J116="","",IF(CONTROLE!$B$1="Principal",IF(OR(K116="",N116=""),"",ROUND(K116*N116,2)),IF(CONTROLE!$B$1="Itens Consumidos",IF(OR(L116="",N116=""),"",ROUND(L116*N116,2)),"")))</f>
        <v/>
      </c>
      <c r="Q116" s="333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>
      <c r="A117" s="328">
        <f>IF(historico_VU!A55="","",historico_VU!A55)</f>
        <v/>
      </c>
      <c r="B117" s="329">
        <f>IF(A117="","",historico_VU!B55)</f>
        <v/>
      </c>
      <c r="C117" s="330">
        <f>IF(A117="","",historico_VU!C55)</f>
        <v/>
      </c>
      <c r="D117" s="330">
        <f>IF(A117="","",historico_VU!D55)</f>
        <v/>
      </c>
      <c r="E117" s="330">
        <f>IF(A117="","",historico_VU!E55)</f>
        <v/>
      </c>
      <c r="F117" s="330">
        <f>IF(A117="","",historico_VU!F55)</f>
        <v/>
      </c>
      <c r="G117" s="330">
        <f>IF(A117="","",historico_VU!G55)</f>
        <v/>
      </c>
      <c r="H117" s="331">
        <f>IF(A117="","",historico_VU!H55)</f>
        <v/>
      </c>
      <c r="I117" s="151" t="n"/>
      <c r="J117" s="328">
        <f>IF(itens_Remanesc!A55="","",itens_Remanesc!A55)</f>
        <v/>
      </c>
      <c r="K117" s="329">
        <f>IF(J117="","",IF($F$4="C0",itens_Remanesc!B55,IF($F$4="C1",itens_Remanesc!E55,IF($F$4="C2",itens_Remanesc!G55,IF($F$4="C3",itens_Remanesc!I55,itens_Remanesc!K55)))))</f>
        <v/>
      </c>
      <c r="L117" s="329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332">
        <f>IF(J117="","",itens_Remanesc!C55)</f>
        <v/>
      </c>
      <c r="N117" s="332">
        <f>IF(J117="","",IF($F$4="C0",historico_VU!C55,IF($F$4="C1",historico_VU!D55,IF($F$4="C2",historico_VU!E55,IF($F$4="C3",historico_VU!F55,historico_VU!G55)))))</f>
        <v/>
      </c>
      <c r="O117" s="332">
        <f>IF(J117="","",IF(CONTROLE!$B$1="Principal",IF(OR(K117="",M117=""),"",ROUND(K117*M117,2)),IF(CONTROLE!$B$1="Itens Consumidos",IF(OR(L117="",M117=""),"",ROUND(L117*M117,2)),"")))</f>
        <v/>
      </c>
      <c r="P117" s="332">
        <f>IF(J117="","",IF(CONTROLE!$B$1="Principal",IF(OR(K117="",N117=""),"",ROUND(K117*N117,2)),IF(CONTROLE!$B$1="Itens Consumidos",IF(OR(L117="",N117=""),"",ROUND(L117*N117,2)),"")))</f>
        <v/>
      </c>
      <c r="Q117" s="333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>
      <c r="A118" s="328">
        <f>IF(historico_VU!A56="","",historico_VU!A56)</f>
        <v/>
      </c>
      <c r="B118" s="329">
        <f>IF(A118="","",historico_VU!B56)</f>
        <v/>
      </c>
      <c r="C118" s="330">
        <f>IF(A118="","",historico_VU!C56)</f>
        <v/>
      </c>
      <c r="D118" s="330">
        <f>IF(A118="","",historico_VU!D56)</f>
        <v/>
      </c>
      <c r="E118" s="330">
        <f>IF(A118="","",historico_VU!E56)</f>
        <v/>
      </c>
      <c r="F118" s="330">
        <f>IF(A118="","",historico_VU!F56)</f>
        <v/>
      </c>
      <c r="G118" s="330">
        <f>IF(A118="","",historico_VU!G56)</f>
        <v/>
      </c>
      <c r="H118" s="331">
        <f>IF(A118="","",historico_VU!H56)</f>
        <v/>
      </c>
      <c r="I118" s="151" t="n"/>
      <c r="J118" s="328">
        <f>IF(itens_Remanesc!A56="","",itens_Remanesc!A56)</f>
        <v/>
      </c>
      <c r="K118" s="329">
        <f>IF(J118="","",IF($F$4="C0",itens_Remanesc!B56,IF($F$4="C1",itens_Remanesc!E56,IF($F$4="C2",itens_Remanesc!G56,IF($F$4="C3",itens_Remanesc!I56,itens_Remanesc!K56)))))</f>
        <v/>
      </c>
      <c r="L118" s="329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332">
        <f>IF(J118="","",itens_Remanesc!C56)</f>
        <v/>
      </c>
      <c r="N118" s="332">
        <f>IF(J118="","",IF($F$4="C0",historico_VU!C56,IF($F$4="C1",historico_VU!D56,IF($F$4="C2",historico_VU!E56,IF($F$4="C3",historico_VU!F56,historico_VU!G56)))))</f>
        <v/>
      </c>
      <c r="O118" s="332">
        <f>IF(J118="","",IF(CONTROLE!$B$1="Principal",IF(OR(K118="",M118=""),"",ROUND(K118*M118,2)),IF(CONTROLE!$B$1="Itens Consumidos",IF(OR(L118="",M118=""),"",ROUND(L118*M118,2)),"")))</f>
        <v/>
      </c>
      <c r="P118" s="332">
        <f>IF(J118="","",IF(CONTROLE!$B$1="Principal",IF(OR(K118="",N118=""),"",ROUND(K118*N118,2)),IF(CONTROLE!$B$1="Itens Consumidos",IF(OR(L118="",N118=""),"",ROUND(L118*N118,2)),"")))</f>
        <v/>
      </c>
      <c r="Q118" s="333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>
      <c r="A119" s="328">
        <f>IF(historico_VU!A57="","",historico_VU!A57)</f>
        <v/>
      </c>
      <c r="B119" s="329">
        <f>IF(A119="","",historico_VU!B57)</f>
        <v/>
      </c>
      <c r="C119" s="330">
        <f>IF(A119="","",historico_VU!C57)</f>
        <v/>
      </c>
      <c r="D119" s="330">
        <f>IF(A119="","",historico_VU!D57)</f>
        <v/>
      </c>
      <c r="E119" s="330">
        <f>IF(A119="","",historico_VU!E57)</f>
        <v/>
      </c>
      <c r="F119" s="330">
        <f>IF(A119="","",historico_VU!F57)</f>
        <v/>
      </c>
      <c r="G119" s="330">
        <f>IF(A119="","",historico_VU!G57)</f>
        <v/>
      </c>
      <c r="H119" s="331">
        <f>IF(A119="","",historico_VU!H57)</f>
        <v/>
      </c>
      <c r="I119" s="151" t="n"/>
      <c r="J119" s="328">
        <f>IF(itens_Remanesc!A57="","",itens_Remanesc!A57)</f>
        <v/>
      </c>
      <c r="K119" s="329">
        <f>IF(J119="","",IF($F$4="C0",itens_Remanesc!B57,IF($F$4="C1",itens_Remanesc!E57,IF($F$4="C2",itens_Remanesc!G57,IF($F$4="C3",itens_Remanesc!I57,itens_Remanesc!K57)))))</f>
        <v/>
      </c>
      <c r="L119" s="329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332">
        <f>IF(J119="","",itens_Remanesc!C57)</f>
        <v/>
      </c>
      <c r="N119" s="332">
        <f>IF(J119="","",IF($F$4="C0",historico_VU!C57,IF($F$4="C1",historico_VU!D57,IF($F$4="C2",historico_VU!E57,IF($F$4="C3",historico_VU!F57,historico_VU!G57)))))</f>
        <v/>
      </c>
      <c r="O119" s="332">
        <f>IF(J119="","",IF(CONTROLE!$B$1="Principal",IF(OR(K119="",M119=""),"",ROUND(K119*M119,2)),IF(CONTROLE!$B$1="Itens Consumidos",IF(OR(L119="",M119=""),"",ROUND(L119*M119,2)),"")))</f>
        <v/>
      </c>
      <c r="P119" s="332">
        <f>IF(J119="","",IF(CONTROLE!$B$1="Principal",IF(OR(K119="",N119=""),"",ROUND(K119*N119,2)),IF(CONTROLE!$B$1="Itens Consumidos",IF(OR(L119="",N119=""),"",ROUND(L119*N119,2)),"")))</f>
        <v/>
      </c>
      <c r="Q119" s="333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>
      <c r="A120" s="328">
        <f>IF(historico_VU!A58="","",historico_VU!A58)</f>
        <v/>
      </c>
      <c r="B120" s="329">
        <f>IF(A120="","",historico_VU!B58)</f>
        <v/>
      </c>
      <c r="C120" s="330">
        <f>IF(A120="","",historico_VU!C58)</f>
        <v/>
      </c>
      <c r="D120" s="330">
        <f>IF(A120="","",historico_VU!D58)</f>
        <v/>
      </c>
      <c r="E120" s="330">
        <f>IF(A120="","",historico_VU!E58)</f>
        <v/>
      </c>
      <c r="F120" s="330">
        <f>IF(A120="","",historico_VU!F58)</f>
        <v/>
      </c>
      <c r="G120" s="330">
        <f>IF(A120="","",historico_VU!G58)</f>
        <v/>
      </c>
      <c r="H120" s="331">
        <f>IF(A120="","",historico_VU!H58)</f>
        <v/>
      </c>
      <c r="I120" s="151" t="n"/>
      <c r="J120" s="328">
        <f>IF(itens_Remanesc!A58="","",itens_Remanesc!A58)</f>
        <v/>
      </c>
      <c r="K120" s="329">
        <f>IF(J120="","",IF($F$4="C0",itens_Remanesc!B58,IF($F$4="C1",itens_Remanesc!E58,IF($F$4="C2",itens_Remanesc!G58,IF($F$4="C3",itens_Remanesc!I58,itens_Remanesc!K58)))))</f>
        <v/>
      </c>
      <c r="L120" s="329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332">
        <f>IF(J120="","",itens_Remanesc!C58)</f>
        <v/>
      </c>
      <c r="N120" s="332">
        <f>IF(J120="","",IF($F$4="C0",historico_VU!C58,IF($F$4="C1",historico_VU!D58,IF($F$4="C2",historico_VU!E58,IF($F$4="C3",historico_VU!F58,historico_VU!G58)))))</f>
        <v/>
      </c>
      <c r="O120" s="332">
        <f>IF(J120="","",IF(CONTROLE!$B$1="Principal",IF(OR(K120="",M120=""),"",ROUND(K120*M120,2)),IF(CONTROLE!$B$1="Itens Consumidos",IF(OR(L120="",M120=""),"",ROUND(L120*M120,2)),"")))</f>
        <v/>
      </c>
      <c r="P120" s="332">
        <f>IF(J120="","",IF(CONTROLE!$B$1="Principal",IF(OR(K120="",N120=""),"",ROUND(K120*N120,2)),IF(CONTROLE!$B$1="Itens Consumidos",IF(OR(L120="",N120=""),"",ROUND(L120*N120,2)),"")))</f>
        <v/>
      </c>
      <c r="Q120" s="333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>
      <c r="A121" s="328">
        <f>IF(historico_VU!A59="","",historico_VU!A59)</f>
        <v/>
      </c>
      <c r="B121" s="329">
        <f>IF(A121="","",historico_VU!B59)</f>
        <v/>
      </c>
      <c r="C121" s="330">
        <f>IF(A121="","",historico_VU!C59)</f>
        <v/>
      </c>
      <c r="D121" s="330">
        <f>IF(A121="","",historico_VU!D59)</f>
        <v/>
      </c>
      <c r="E121" s="330">
        <f>IF(A121="","",historico_VU!E59)</f>
        <v/>
      </c>
      <c r="F121" s="330">
        <f>IF(A121="","",historico_VU!F59)</f>
        <v/>
      </c>
      <c r="G121" s="330">
        <f>IF(A121="","",historico_VU!G59)</f>
        <v/>
      </c>
      <c r="H121" s="331">
        <f>IF(A121="","",historico_VU!H59)</f>
        <v/>
      </c>
      <c r="I121" s="151" t="n"/>
      <c r="J121" s="328">
        <f>IF(itens_Remanesc!A59="","",itens_Remanesc!A59)</f>
        <v/>
      </c>
      <c r="K121" s="329">
        <f>IF(J121="","",IF($F$4="C0",itens_Remanesc!B59,IF($F$4="C1",itens_Remanesc!E59,IF($F$4="C2",itens_Remanesc!G59,IF($F$4="C3",itens_Remanesc!I59,itens_Remanesc!K59)))))</f>
        <v/>
      </c>
      <c r="L121" s="329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332">
        <f>IF(J121="","",itens_Remanesc!C59)</f>
        <v/>
      </c>
      <c r="N121" s="332">
        <f>IF(J121="","",IF($F$4="C0",historico_VU!C59,IF($F$4="C1",historico_VU!D59,IF($F$4="C2",historico_VU!E59,IF($F$4="C3",historico_VU!F59,historico_VU!G59)))))</f>
        <v/>
      </c>
      <c r="O121" s="332">
        <f>IF(J121="","",IF(CONTROLE!$B$1="Principal",IF(OR(K121="",M121=""),"",ROUND(K121*M121,2)),IF(CONTROLE!$B$1="Itens Consumidos",IF(OR(L121="",M121=""),"",ROUND(L121*M121,2)),"")))</f>
        <v/>
      </c>
      <c r="P121" s="332">
        <f>IF(J121="","",IF(CONTROLE!$B$1="Principal",IF(OR(K121="",N121=""),"",ROUND(K121*N121,2)),IF(CONTROLE!$B$1="Itens Consumidos",IF(OR(L121="",N121=""),"",ROUND(L121*N121,2)),"")))</f>
        <v/>
      </c>
      <c r="Q121" s="333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>
      <c r="A122" s="328">
        <f>IF(historico_VU!A60="","",historico_VU!A60)</f>
        <v/>
      </c>
      <c r="B122" s="329">
        <f>IF(A122="","",historico_VU!B60)</f>
        <v/>
      </c>
      <c r="C122" s="330">
        <f>IF(A122="","",historico_VU!C60)</f>
        <v/>
      </c>
      <c r="D122" s="330">
        <f>IF(A122="","",historico_VU!D60)</f>
        <v/>
      </c>
      <c r="E122" s="330">
        <f>IF(A122="","",historico_VU!E60)</f>
        <v/>
      </c>
      <c r="F122" s="330">
        <f>IF(A122="","",historico_VU!F60)</f>
        <v/>
      </c>
      <c r="G122" s="330">
        <f>IF(A122="","",historico_VU!G60)</f>
        <v/>
      </c>
      <c r="H122" s="331">
        <f>IF(A122="","",historico_VU!H60)</f>
        <v/>
      </c>
      <c r="I122" s="151" t="n"/>
      <c r="J122" s="328">
        <f>IF(itens_Remanesc!A60="","",itens_Remanesc!A60)</f>
        <v/>
      </c>
      <c r="K122" s="329">
        <f>IF(J122="","",IF($F$4="C0",itens_Remanesc!B60,IF($F$4="C1",itens_Remanesc!E60,IF($F$4="C2",itens_Remanesc!G60,IF($F$4="C3",itens_Remanesc!I60,itens_Remanesc!K60)))))</f>
        <v/>
      </c>
      <c r="L122" s="329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332">
        <f>IF(J122="","",itens_Remanesc!C60)</f>
        <v/>
      </c>
      <c r="N122" s="332">
        <f>IF(J122="","",IF($F$4="C0",historico_VU!C60,IF($F$4="C1",historico_VU!D60,IF($F$4="C2",historico_VU!E60,IF($F$4="C3",historico_VU!F60,historico_VU!G60)))))</f>
        <v/>
      </c>
      <c r="O122" s="332">
        <f>IF(J122="","",IF(CONTROLE!$B$1="Principal",IF(OR(K122="",M122=""),"",ROUND(K122*M122,2)),IF(CONTROLE!$B$1="Itens Consumidos",IF(OR(L122="",M122=""),"",ROUND(L122*M122,2)),"")))</f>
        <v/>
      </c>
      <c r="P122" s="332">
        <f>IF(J122="","",IF(CONTROLE!$B$1="Principal",IF(OR(K122="",N122=""),"",ROUND(K122*N122,2)),IF(CONTROLE!$B$1="Itens Consumidos",IF(OR(L122="",N122=""),"",ROUND(L122*N122,2)),"")))</f>
        <v/>
      </c>
      <c r="Q122" s="333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>
      <c r="A123" s="328">
        <f>IF(historico_VU!A61="","",historico_VU!A61)</f>
        <v/>
      </c>
      <c r="B123" s="329">
        <f>IF(A123="","",historico_VU!B61)</f>
        <v/>
      </c>
      <c r="C123" s="330">
        <f>IF(A123="","",historico_VU!C61)</f>
        <v/>
      </c>
      <c r="D123" s="330">
        <f>IF(A123="","",historico_VU!D61)</f>
        <v/>
      </c>
      <c r="E123" s="330">
        <f>IF(A123="","",historico_VU!E61)</f>
        <v/>
      </c>
      <c r="F123" s="330">
        <f>IF(A123="","",historico_VU!F61)</f>
        <v/>
      </c>
      <c r="G123" s="330">
        <f>IF(A123="","",historico_VU!G61)</f>
        <v/>
      </c>
      <c r="H123" s="331">
        <f>IF(A123="","",historico_VU!H61)</f>
        <v/>
      </c>
      <c r="I123" s="151" t="n"/>
      <c r="J123" s="328">
        <f>IF(itens_Remanesc!A61="","",itens_Remanesc!A61)</f>
        <v/>
      </c>
      <c r="K123" s="329">
        <f>IF(J123="","",IF($F$4="C0",itens_Remanesc!B61,IF($F$4="C1",itens_Remanesc!E61,IF($F$4="C2",itens_Remanesc!G61,IF($F$4="C3",itens_Remanesc!I61,itens_Remanesc!K61)))))</f>
        <v/>
      </c>
      <c r="L123" s="329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332">
        <f>IF(J123="","",itens_Remanesc!C61)</f>
        <v/>
      </c>
      <c r="N123" s="332">
        <f>IF(J123="","",IF($F$4="C0",historico_VU!C61,IF($F$4="C1",historico_VU!D61,IF($F$4="C2",historico_VU!E61,IF($F$4="C3",historico_VU!F61,historico_VU!G61)))))</f>
        <v/>
      </c>
      <c r="O123" s="332">
        <f>IF(J123="","",IF(CONTROLE!$B$1="Principal",IF(OR(K123="",M123=""),"",ROUND(K123*M123,2)),IF(CONTROLE!$B$1="Itens Consumidos",IF(OR(L123="",M123=""),"",ROUND(L123*M123,2)),"")))</f>
        <v/>
      </c>
      <c r="P123" s="332">
        <f>IF(J123="","",IF(CONTROLE!$B$1="Principal",IF(OR(K123="",N123=""),"",ROUND(K123*N123,2)),IF(CONTROLE!$B$1="Itens Consumidos",IF(OR(L123="",N123=""),"",ROUND(L123*N123,2)),"")))</f>
        <v/>
      </c>
      <c r="Q123" s="333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>
      <c r="A124" s="328">
        <f>IF(historico_VU!A62="","",historico_VU!A62)</f>
        <v/>
      </c>
      <c r="B124" s="329">
        <f>IF(A124="","",historico_VU!B62)</f>
        <v/>
      </c>
      <c r="C124" s="330">
        <f>IF(A124="","",historico_VU!C62)</f>
        <v/>
      </c>
      <c r="D124" s="330">
        <f>IF(A124="","",historico_VU!D62)</f>
        <v/>
      </c>
      <c r="E124" s="330">
        <f>IF(A124="","",historico_VU!E62)</f>
        <v/>
      </c>
      <c r="F124" s="330">
        <f>IF(A124="","",historico_VU!F62)</f>
        <v/>
      </c>
      <c r="G124" s="330">
        <f>IF(A124="","",historico_VU!G62)</f>
        <v/>
      </c>
      <c r="H124" s="331">
        <f>IF(A124="","",historico_VU!H62)</f>
        <v/>
      </c>
      <c r="I124" s="151" t="n"/>
      <c r="J124" s="328">
        <f>IF(itens_Remanesc!A62="","",itens_Remanesc!A62)</f>
        <v/>
      </c>
      <c r="K124" s="329">
        <f>IF(J124="","",IF($F$4="C0",itens_Remanesc!B62,IF($F$4="C1",itens_Remanesc!E62,IF($F$4="C2",itens_Remanesc!G62,IF($F$4="C3",itens_Remanesc!I62,itens_Remanesc!K62)))))</f>
        <v/>
      </c>
      <c r="L124" s="329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332">
        <f>IF(J124="","",itens_Remanesc!C62)</f>
        <v/>
      </c>
      <c r="N124" s="332">
        <f>IF(J124="","",IF($F$4="C0",historico_VU!C62,IF($F$4="C1",historico_VU!D62,IF($F$4="C2",historico_VU!E62,IF($F$4="C3",historico_VU!F62,historico_VU!G62)))))</f>
        <v/>
      </c>
      <c r="O124" s="332">
        <f>IF(J124="","",IF(CONTROLE!$B$1="Principal",IF(OR(K124="",M124=""),"",ROUND(K124*M124,2)),IF(CONTROLE!$B$1="Itens Consumidos",IF(OR(L124="",M124=""),"",ROUND(L124*M124,2)),"")))</f>
        <v/>
      </c>
      <c r="P124" s="332">
        <f>IF(J124="","",IF(CONTROLE!$B$1="Principal",IF(OR(K124="",N124=""),"",ROUND(K124*N124,2)),IF(CONTROLE!$B$1="Itens Consumidos",IF(OR(L124="",N124=""),"",ROUND(L124*N124,2)),"")))</f>
        <v/>
      </c>
      <c r="Q124" s="333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>
      <c r="A125" s="328">
        <f>IF(historico_VU!A63="","",historico_VU!A63)</f>
        <v/>
      </c>
      <c r="B125" s="329">
        <f>IF(A125="","",historico_VU!B63)</f>
        <v/>
      </c>
      <c r="C125" s="330">
        <f>IF(A125="","",historico_VU!C63)</f>
        <v/>
      </c>
      <c r="D125" s="330">
        <f>IF(A125="","",historico_VU!D63)</f>
        <v/>
      </c>
      <c r="E125" s="330">
        <f>IF(A125="","",historico_VU!E63)</f>
        <v/>
      </c>
      <c r="F125" s="330">
        <f>IF(A125="","",historico_VU!F63)</f>
        <v/>
      </c>
      <c r="G125" s="330">
        <f>IF(A125="","",historico_VU!G63)</f>
        <v/>
      </c>
      <c r="H125" s="331">
        <f>IF(A125="","",historico_VU!H63)</f>
        <v/>
      </c>
      <c r="I125" s="151" t="n"/>
      <c r="J125" s="328">
        <f>IF(itens_Remanesc!A63="","",itens_Remanesc!A63)</f>
        <v/>
      </c>
      <c r="K125" s="329">
        <f>IF(J125="","",IF($F$4="C0",itens_Remanesc!B63,IF($F$4="C1",itens_Remanesc!E63,IF($F$4="C2",itens_Remanesc!G63,IF($F$4="C3",itens_Remanesc!I63,itens_Remanesc!K63)))))</f>
        <v/>
      </c>
      <c r="L125" s="329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332">
        <f>IF(J125="","",itens_Remanesc!C63)</f>
        <v/>
      </c>
      <c r="N125" s="332">
        <f>IF(J125="","",IF($F$4="C0",historico_VU!C63,IF($F$4="C1",historico_VU!D63,IF($F$4="C2",historico_VU!E63,IF($F$4="C3",historico_VU!F63,historico_VU!G63)))))</f>
        <v/>
      </c>
      <c r="O125" s="332">
        <f>IF(J125="","",IF(CONTROLE!$B$1="Principal",IF(OR(K125="",M125=""),"",ROUND(K125*M125,2)),IF(CONTROLE!$B$1="Itens Consumidos",IF(OR(L125="",M125=""),"",ROUND(L125*M125,2)),"")))</f>
        <v/>
      </c>
      <c r="P125" s="332">
        <f>IF(J125="","",IF(CONTROLE!$B$1="Principal",IF(OR(K125="",N125=""),"",ROUND(K125*N125,2)),IF(CONTROLE!$B$1="Itens Consumidos",IF(OR(L125="",N125=""),"",ROUND(L125*N125,2)),"")))</f>
        <v/>
      </c>
      <c r="Q125" s="333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>
      <c r="A126" s="328">
        <f>IF(historico_VU!A64="","",historico_VU!A64)</f>
        <v/>
      </c>
      <c r="B126" s="329">
        <f>IF(A126="","",historico_VU!B64)</f>
        <v/>
      </c>
      <c r="C126" s="330">
        <f>IF(A126="","",historico_VU!C64)</f>
        <v/>
      </c>
      <c r="D126" s="330">
        <f>IF(A126="","",historico_VU!D64)</f>
        <v/>
      </c>
      <c r="E126" s="330">
        <f>IF(A126="","",historico_VU!E64)</f>
        <v/>
      </c>
      <c r="F126" s="330">
        <f>IF(A126="","",historico_VU!F64)</f>
        <v/>
      </c>
      <c r="G126" s="330">
        <f>IF(A126="","",historico_VU!G64)</f>
        <v/>
      </c>
      <c r="H126" s="331">
        <f>IF(A126="","",historico_VU!H64)</f>
        <v/>
      </c>
      <c r="I126" s="151" t="n"/>
      <c r="J126" s="328">
        <f>IF(itens_Remanesc!A64="","",itens_Remanesc!A64)</f>
        <v/>
      </c>
      <c r="K126" s="329">
        <f>IF(J126="","",IF($F$4="C0",itens_Remanesc!B64,IF($F$4="C1",itens_Remanesc!E64,IF($F$4="C2",itens_Remanesc!G64,IF($F$4="C3",itens_Remanesc!I64,itens_Remanesc!K64)))))</f>
        <v/>
      </c>
      <c r="L126" s="329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332">
        <f>IF(J126="","",itens_Remanesc!C64)</f>
        <v/>
      </c>
      <c r="N126" s="332">
        <f>IF(J126="","",IF($F$4="C0",historico_VU!C64,IF($F$4="C1",historico_VU!D64,IF($F$4="C2",historico_VU!E64,IF($F$4="C3",historico_VU!F64,historico_VU!G64)))))</f>
        <v/>
      </c>
      <c r="O126" s="332">
        <f>IF(J126="","",IF(CONTROLE!$B$1="Principal",IF(OR(K126="",M126=""),"",ROUND(K126*M126,2)),IF(CONTROLE!$B$1="Itens Consumidos",IF(OR(L126="",M126=""),"",ROUND(L126*M126,2)),"")))</f>
        <v/>
      </c>
      <c r="P126" s="332">
        <f>IF(J126="","",IF(CONTROLE!$B$1="Principal",IF(OR(K126="",N126=""),"",ROUND(K126*N126,2)),IF(CONTROLE!$B$1="Itens Consumidos",IF(OR(L126="",N126=""),"",ROUND(L126*N126,2)),"")))</f>
        <v/>
      </c>
      <c r="Q126" s="333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>
      <c r="A127" s="328">
        <f>IF(historico_VU!A65="","",historico_VU!A65)</f>
        <v/>
      </c>
      <c r="B127" s="329">
        <f>IF(A127="","",historico_VU!B65)</f>
        <v/>
      </c>
      <c r="C127" s="330">
        <f>IF(A127="","",historico_VU!C65)</f>
        <v/>
      </c>
      <c r="D127" s="330">
        <f>IF(A127="","",historico_VU!D65)</f>
        <v/>
      </c>
      <c r="E127" s="330">
        <f>IF(A127="","",historico_VU!E65)</f>
        <v/>
      </c>
      <c r="F127" s="330">
        <f>IF(A127="","",historico_VU!F65)</f>
        <v/>
      </c>
      <c r="G127" s="330">
        <f>IF(A127="","",historico_VU!G65)</f>
        <v/>
      </c>
      <c r="H127" s="331">
        <f>IF(A127="","",historico_VU!H65)</f>
        <v/>
      </c>
      <c r="I127" s="151" t="n"/>
      <c r="J127" s="328">
        <f>IF(itens_Remanesc!A65="","",itens_Remanesc!A65)</f>
        <v/>
      </c>
      <c r="K127" s="329">
        <f>IF(J127="","",IF($F$4="C0",itens_Remanesc!B65,IF($F$4="C1",itens_Remanesc!E65,IF($F$4="C2",itens_Remanesc!G65,IF($F$4="C3",itens_Remanesc!I65,itens_Remanesc!K65)))))</f>
        <v/>
      </c>
      <c r="L127" s="329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332">
        <f>IF(J127="","",itens_Remanesc!C65)</f>
        <v/>
      </c>
      <c r="N127" s="332">
        <f>IF(J127="","",IF($F$4="C0",historico_VU!C65,IF($F$4="C1",historico_VU!D65,IF($F$4="C2",historico_VU!E65,IF($F$4="C3",historico_VU!F65,historico_VU!G65)))))</f>
        <v/>
      </c>
      <c r="O127" s="332">
        <f>IF(J127="","",IF(CONTROLE!$B$1="Principal",IF(OR(K127="",M127=""),"",ROUND(K127*M127,2)),IF(CONTROLE!$B$1="Itens Consumidos",IF(OR(L127="",M127=""),"",ROUND(L127*M127,2)),"")))</f>
        <v/>
      </c>
      <c r="P127" s="332">
        <f>IF(J127="","",IF(CONTROLE!$B$1="Principal",IF(OR(K127="",N127=""),"",ROUND(K127*N127,2)),IF(CONTROLE!$B$1="Itens Consumidos",IF(OR(L127="",N127=""),"",ROUND(L127*N127,2)),"")))</f>
        <v/>
      </c>
      <c r="Q127" s="333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>
      <c r="A128" s="328">
        <f>IF(historico_VU!A66="","",historico_VU!A66)</f>
        <v/>
      </c>
      <c r="B128" s="329">
        <f>IF(A128="","",historico_VU!B66)</f>
        <v/>
      </c>
      <c r="C128" s="330">
        <f>IF(A128="","",historico_VU!C66)</f>
        <v/>
      </c>
      <c r="D128" s="330">
        <f>IF(A128="","",historico_VU!D66)</f>
        <v/>
      </c>
      <c r="E128" s="330">
        <f>IF(A128="","",historico_VU!E66)</f>
        <v/>
      </c>
      <c r="F128" s="330">
        <f>IF(A128="","",historico_VU!F66)</f>
        <v/>
      </c>
      <c r="G128" s="330">
        <f>IF(A128="","",historico_VU!G66)</f>
        <v/>
      </c>
      <c r="H128" s="331">
        <f>IF(A128="","",historico_VU!H66)</f>
        <v/>
      </c>
      <c r="I128" s="151" t="n"/>
      <c r="J128" s="328">
        <f>IF(itens_Remanesc!A66="","",itens_Remanesc!A66)</f>
        <v/>
      </c>
      <c r="K128" s="329">
        <f>IF(J128="","",IF($F$4="C0",itens_Remanesc!B66,IF($F$4="C1",itens_Remanesc!E66,IF($F$4="C2",itens_Remanesc!G66,IF($F$4="C3",itens_Remanesc!I66,itens_Remanesc!K66)))))</f>
        <v/>
      </c>
      <c r="L128" s="329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332">
        <f>IF(J128="","",itens_Remanesc!C66)</f>
        <v/>
      </c>
      <c r="N128" s="332">
        <f>IF(J128="","",IF($F$4="C0",historico_VU!C66,IF($F$4="C1",historico_VU!D66,IF($F$4="C2",historico_VU!E66,IF($F$4="C3",historico_VU!F66,historico_VU!G66)))))</f>
        <v/>
      </c>
      <c r="O128" s="332">
        <f>IF(J128="","",IF(CONTROLE!$B$1="Principal",IF(OR(K128="",M128=""),"",ROUND(K128*M128,2)),IF(CONTROLE!$B$1="Itens Consumidos",IF(OR(L128="",M128=""),"",ROUND(L128*M128,2)),"")))</f>
        <v/>
      </c>
      <c r="P128" s="332">
        <f>IF(J128="","",IF(CONTROLE!$B$1="Principal",IF(OR(K128="",N128=""),"",ROUND(K128*N128,2)),IF(CONTROLE!$B$1="Itens Consumidos",IF(OR(L128="",N128=""),"",ROUND(L128*N128,2)),"")))</f>
        <v/>
      </c>
      <c r="Q128" s="333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>
      <c r="A129" s="328">
        <f>IF(historico_VU!A67="","",historico_VU!A67)</f>
        <v/>
      </c>
      <c r="B129" s="329">
        <f>IF(A129="","",historico_VU!B67)</f>
        <v/>
      </c>
      <c r="C129" s="330">
        <f>IF(A129="","",historico_VU!C67)</f>
        <v/>
      </c>
      <c r="D129" s="330">
        <f>IF(A129="","",historico_VU!D67)</f>
        <v/>
      </c>
      <c r="E129" s="330">
        <f>IF(A129="","",historico_VU!E67)</f>
        <v/>
      </c>
      <c r="F129" s="330">
        <f>IF(A129="","",historico_VU!F67)</f>
        <v/>
      </c>
      <c r="G129" s="330">
        <f>IF(A129="","",historico_VU!G67)</f>
        <v/>
      </c>
      <c r="H129" s="331">
        <f>IF(A129="","",historico_VU!H67)</f>
        <v/>
      </c>
      <c r="I129" s="151" t="n"/>
      <c r="J129" s="328">
        <f>IF(itens_Remanesc!A67="","",itens_Remanesc!A67)</f>
        <v/>
      </c>
      <c r="K129" s="329">
        <f>IF(J129="","",IF($F$4="C0",itens_Remanesc!B67,IF($F$4="C1",itens_Remanesc!E67,IF($F$4="C2",itens_Remanesc!G67,IF($F$4="C3",itens_Remanesc!I67,itens_Remanesc!K67)))))</f>
        <v/>
      </c>
      <c r="L129" s="329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332">
        <f>IF(J129="","",itens_Remanesc!C67)</f>
        <v/>
      </c>
      <c r="N129" s="332">
        <f>IF(J129="","",IF($F$4="C0",historico_VU!C67,IF($F$4="C1",historico_VU!D67,IF($F$4="C2",historico_VU!E67,IF($F$4="C3",historico_VU!F67,historico_VU!G67)))))</f>
        <v/>
      </c>
      <c r="O129" s="332">
        <f>IF(J129="","",IF(CONTROLE!$B$1="Principal",IF(OR(K129="",M129=""),"",ROUND(K129*M129,2)),IF(CONTROLE!$B$1="Itens Consumidos",IF(OR(L129="",M129=""),"",ROUND(L129*M129,2)),"")))</f>
        <v/>
      </c>
      <c r="P129" s="332">
        <f>IF(J129="","",IF(CONTROLE!$B$1="Principal",IF(OR(K129="",N129=""),"",ROUND(K129*N129,2)),IF(CONTROLE!$B$1="Itens Consumidos",IF(OR(L129="",N129=""),"",ROUND(L129*N129,2)),"")))</f>
        <v/>
      </c>
      <c r="Q129" s="333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>
      <c r="A130" s="328">
        <f>IF(historico_VU!A68="","",historico_VU!A68)</f>
        <v/>
      </c>
      <c r="B130" s="329">
        <f>IF(A130="","",historico_VU!B68)</f>
        <v/>
      </c>
      <c r="C130" s="330">
        <f>IF(A130="","",historico_VU!C68)</f>
        <v/>
      </c>
      <c r="D130" s="330">
        <f>IF(A130="","",historico_VU!D68)</f>
        <v/>
      </c>
      <c r="E130" s="330">
        <f>IF(A130="","",historico_VU!E68)</f>
        <v/>
      </c>
      <c r="F130" s="330">
        <f>IF(A130="","",historico_VU!F68)</f>
        <v/>
      </c>
      <c r="G130" s="330">
        <f>IF(A130="","",historico_VU!G68)</f>
        <v/>
      </c>
      <c r="H130" s="331">
        <f>IF(A130="","",historico_VU!H68)</f>
        <v/>
      </c>
      <c r="I130" s="151" t="n"/>
      <c r="J130" s="328">
        <f>IF(itens_Remanesc!A68="","",itens_Remanesc!A68)</f>
        <v/>
      </c>
      <c r="K130" s="329">
        <f>IF(J130="","",IF($F$4="C0",itens_Remanesc!B68,IF($F$4="C1",itens_Remanesc!E68,IF($F$4="C2",itens_Remanesc!G68,IF($F$4="C3",itens_Remanesc!I68,itens_Remanesc!K68)))))</f>
        <v/>
      </c>
      <c r="L130" s="329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332">
        <f>IF(J130="","",itens_Remanesc!C68)</f>
        <v/>
      </c>
      <c r="N130" s="332">
        <f>IF(J130="","",IF($F$4="C0",historico_VU!C68,IF($F$4="C1",historico_VU!D68,IF($F$4="C2",historico_VU!E68,IF($F$4="C3",historico_VU!F68,historico_VU!G68)))))</f>
        <v/>
      </c>
      <c r="O130" s="332">
        <f>IF(J130="","",IF(CONTROLE!$B$1="Principal",IF(OR(K130="",M130=""),"",ROUND(K130*M130,2)),IF(CONTROLE!$B$1="Itens Consumidos",IF(OR(L130="",M130=""),"",ROUND(L130*M130,2)),"")))</f>
        <v/>
      </c>
      <c r="P130" s="332">
        <f>IF(J130="","",IF(CONTROLE!$B$1="Principal",IF(OR(K130="",N130=""),"",ROUND(K130*N130,2)),IF(CONTROLE!$B$1="Itens Consumidos",IF(OR(L130="",N130=""),"",ROUND(L130*N130,2)),"")))</f>
        <v/>
      </c>
      <c r="Q130" s="333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>
      <c r="A131" s="328">
        <f>IF(historico_VU!A69="","",historico_VU!A69)</f>
        <v/>
      </c>
      <c r="B131" s="329">
        <f>IF(A131="","",historico_VU!B69)</f>
        <v/>
      </c>
      <c r="C131" s="330">
        <f>IF(A131="","",historico_VU!C69)</f>
        <v/>
      </c>
      <c r="D131" s="330">
        <f>IF(A131="","",historico_VU!D69)</f>
        <v/>
      </c>
      <c r="E131" s="330">
        <f>IF(A131="","",historico_VU!E69)</f>
        <v/>
      </c>
      <c r="F131" s="330">
        <f>IF(A131="","",historico_VU!F69)</f>
        <v/>
      </c>
      <c r="G131" s="330">
        <f>IF(A131="","",historico_VU!G69)</f>
        <v/>
      </c>
      <c r="H131" s="331">
        <f>IF(A131="","",historico_VU!H69)</f>
        <v/>
      </c>
      <c r="I131" s="151" t="n"/>
      <c r="J131" s="328">
        <f>IF(itens_Remanesc!A69="","",itens_Remanesc!A69)</f>
        <v/>
      </c>
      <c r="K131" s="329">
        <f>IF(J131="","",IF($F$4="C0",itens_Remanesc!B69,IF($F$4="C1",itens_Remanesc!E69,IF($F$4="C2",itens_Remanesc!G69,IF($F$4="C3",itens_Remanesc!I69,itens_Remanesc!K69)))))</f>
        <v/>
      </c>
      <c r="L131" s="329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332">
        <f>IF(J131="","",itens_Remanesc!C69)</f>
        <v/>
      </c>
      <c r="N131" s="332">
        <f>IF(J131="","",IF($F$4="C0",historico_VU!C69,IF($F$4="C1",historico_VU!D69,IF($F$4="C2",historico_VU!E69,IF($F$4="C3",historico_VU!F69,historico_VU!G69)))))</f>
        <v/>
      </c>
      <c r="O131" s="332">
        <f>IF(J131="","",IF(CONTROLE!$B$1="Principal",IF(OR(K131="",M131=""),"",ROUND(K131*M131,2)),IF(CONTROLE!$B$1="Itens Consumidos",IF(OR(L131="",M131=""),"",ROUND(L131*M131,2)),"")))</f>
        <v/>
      </c>
      <c r="P131" s="332">
        <f>IF(J131="","",IF(CONTROLE!$B$1="Principal",IF(OR(K131="",N131=""),"",ROUND(K131*N131,2)),IF(CONTROLE!$B$1="Itens Consumidos",IF(OR(L131="",N131=""),"",ROUND(L131*N131,2)),"")))</f>
        <v/>
      </c>
      <c r="Q131" s="333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>
      <c r="A132" s="328">
        <f>IF(historico_VU!A70="","",historico_VU!A70)</f>
        <v/>
      </c>
      <c r="B132" s="329">
        <f>IF(A132="","",historico_VU!B70)</f>
        <v/>
      </c>
      <c r="C132" s="330">
        <f>IF(A132="","",historico_VU!C70)</f>
        <v/>
      </c>
      <c r="D132" s="330">
        <f>IF(A132="","",historico_VU!D70)</f>
        <v/>
      </c>
      <c r="E132" s="330">
        <f>IF(A132="","",historico_VU!E70)</f>
        <v/>
      </c>
      <c r="F132" s="330">
        <f>IF(A132="","",historico_VU!F70)</f>
        <v/>
      </c>
      <c r="G132" s="330">
        <f>IF(A132="","",historico_VU!G70)</f>
        <v/>
      </c>
      <c r="H132" s="331">
        <f>IF(A132="","",historico_VU!H70)</f>
        <v/>
      </c>
      <c r="I132" s="151" t="n"/>
      <c r="J132" s="328">
        <f>IF(itens_Remanesc!A70="","",itens_Remanesc!A70)</f>
        <v/>
      </c>
      <c r="K132" s="329">
        <f>IF(J132="","",IF($F$4="C0",itens_Remanesc!B70,IF($F$4="C1",itens_Remanesc!E70,IF($F$4="C2",itens_Remanesc!G70,IF($F$4="C3",itens_Remanesc!I70,itens_Remanesc!K70)))))</f>
        <v/>
      </c>
      <c r="L132" s="329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332">
        <f>IF(J132="","",itens_Remanesc!C70)</f>
        <v/>
      </c>
      <c r="N132" s="332">
        <f>IF(J132="","",IF($F$4="C0",historico_VU!C70,IF($F$4="C1",historico_VU!D70,IF($F$4="C2",historico_VU!E70,IF($F$4="C3",historico_VU!F70,historico_VU!G70)))))</f>
        <v/>
      </c>
      <c r="O132" s="332">
        <f>IF(J132="","",IF(CONTROLE!$B$1="Principal",IF(OR(K132="",M132=""),"",ROUND(K132*M132,2)),IF(CONTROLE!$B$1="Itens Consumidos",IF(OR(L132="",M132=""),"",ROUND(L132*M132,2)),"")))</f>
        <v/>
      </c>
      <c r="P132" s="332">
        <f>IF(J132="","",IF(CONTROLE!$B$1="Principal",IF(OR(K132="",N132=""),"",ROUND(K132*N132,2)),IF(CONTROLE!$B$1="Itens Consumidos",IF(OR(L132="",N132=""),"",ROUND(L132*N132,2)),"")))</f>
        <v/>
      </c>
      <c r="Q132" s="333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>
      <c r="A133" s="328">
        <f>IF(historico_VU!A71="","",historico_VU!A71)</f>
        <v/>
      </c>
      <c r="B133" s="329">
        <f>IF(A133="","",historico_VU!B71)</f>
        <v/>
      </c>
      <c r="C133" s="330">
        <f>IF(A133="","",historico_VU!C71)</f>
        <v/>
      </c>
      <c r="D133" s="330">
        <f>IF(A133="","",historico_VU!D71)</f>
        <v/>
      </c>
      <c r="E133" s="330">
        <f>IF(A133="","",historico_VU!E71)</f>
        <v/>
      </c>
      <c r="F133" s="330">
        <f>IF(A133="","",historico_VU!F71)</f>
        <v/>
      </c>
      <c r="G133" s="330">
        <f>IF(A133="","",historico_VU!G71)</f>
        <v/>
      </c>
      <c r="H133" s="331">
        <f>IF(A133="","",historico_VU!H71)</f>
        <v/>
      </c>
      <c r="I133" s="151" t="n"/>
      <c r="J133" s="328">
        <f>IF(itens_Remanesc!A71="","",itens_Remanesc!A71)</f>
        <v/>
      </c>
      <c r="K133" s="329">
        <f>IF(J133="","",IF($F$4="C0",itens_Remanesc!B71,IF($F$4="C1",itens_Remanesc!E71,IF($F$4="C2",itens_Remanesc!G71,IF($F$4="C3",itens_Remanesc!I71,itens_Remanesc!K71)))))</f>
        <v/>
      </c>
      <c r="L133" s="329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332">
        <f>IF(J133="","",itens_Remanesc!C71)</f>
        <v/>
      </c>
      <c r="N133" s="332">
        <f>IF(J133="","",IF($F$4="C0",historico_VU!C71,IF($F$4="C1",historico_VU!D71,IF($F$4="C2",historico_VU!E71,IF($F$4="C3",historico_VU!F71,historico_VU!G71)))))</f>
        <v/>
      </c>
      <c r="O133" s="332">
        <f>IF(J133="","",IF(CONTROLE!$B$1="Principal",IF(OR(K133="",M133=""),"",ROUND(K133*M133,2)),IF(CONTROLE!$B$1="Itens Consumidos",IF(OR(L133="",M133=""),"",ROUND(L133*M133,2)),"")))</f>
        <v/>
      </c>
      <c r="P133" s="332">
        <f>IF(J133="","",IF(CONTROLE!$B$1="Principal",IF(OR(K133="",N133=""),"",ROUND(K133*N133,2)),IF(CONTROLE!$B$1="Itens Consumidos",IF(OR(L133="",N133=""),"",ROUND(L133*N133,2)),"")))</f>
        <v/>
      </c>
      <c r="Q133" s="333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>
      <c r="A134" s="328">
        <f>IF(historico_VU!A72="","",historico_VU!A72)</f>
        <v/>
      </c>
      <c r="B134" s="329">
        <f>IF(A134="","",historico_VU!B72)</f>
        <v/>
      </c>
      <c r="C134" s="330">
        <f>IF(A134="","",historico_VU!C72)</f>
        <v/>
      </c>
      <c r="D134" s="330">
        <f>IF(A134="","",historico_VU!D72)</f>
        <v/>
      </c>
      <c r="E134" s="330">
        <f>IF(A134="","",historico_VU!E72)</f>
        <v/>
      </c>
      <c r="F134" s="330">
        <f>IF(A134="","",historico_VU!F72)</f>
        <v/>
      </c>
      <c r="G134" s="330">
        <f>IF(A134="","",historico_VU!G72)</f>
        <v/>
      </c>
      <c r="H134" s="331">
        <f>IF(A134="","",historico_VU!H72)</f>
        <v/>
      </c>
      <c r="I134" s="151" t="n"/>
      <c r="J134" s="328">
        <f>IF(itens_Remanesc!A72="","",itens_Remanesc!A72)</f>
        <v/>
      </c>
      <c r="K134" s="329">
        <f>IF(J134="","",IF($F$4="C0",itens_Remanesc!B72,IF($F$4="C1",itens_Remanesc!E72,IF($F$4="C2",itens_Remanesc!G72,IF($F$4="C3",itens_Remanesc!I72,itens_Remanesc!K72)))))</f>
        <v/>
      </c>
      <c r="L134" s="329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332">
        <f>IF(J134="","",itens_Remanesc!C72)</f>
        <v/>
      </c>
      <c r="N134" s="332">
        <f>IF(J134="","",IF($F$4="C0",historico_VU!C72,IF($F$4="C1",historico_VU!D72,IF($F$4="C2",historico_VU!E72,IF($F$4="C3",historico_VU!F72,historico_VU!G72)))))</f>
        <v/>
      </c>
      <c r="O134" s="332">
        <f>IF(J134="","",IF(CONTROLE!$B$1="Principal",IF(OR(K134="",M134=""),"",ROUND(K134*M134,2)),IF(CONTROLE!$B$1="Itens Consumidos",IF(OR(L134="",M134=""),"",ROUND(L134*M134,2)),"")))</f>
        <v/>
      </c>
      <c r="P134" s="332">
        <f>IF(J134="","",IF(CONTROLE!$B$1="Principal",IF(OR(K134="",N134=""),"",ROUND(K134*N134,2)),IF(CONTROLE!$B$1="Itens Consumidos",IF(OR(L134="",N134=""),"",ROUND(L134*N134,2)),"")))</f>
        <v/>
      </c>
      <c r="Q134" s="333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>
      <c r="A135" s="328">
        <f>IF(historico_VU!A73="","",historico_VU!A73)</f>
        <v/>
      </c>
      <c r="B135" s="329">
        <f>IF(A135="","",historico_VU!B73)</f>
        <v/>
      </c>
      <c r="C135" s="330">
        <f>IF(A135="","",historico_VU!C73)</f>
        <v/>
      </c>
      <c r="D135" s="330">
        <f>IF(A135="","",historico_VU!D73)</f>
        <v/>
      </c>
      <c r="E135" s="330">
        <f>IF(A135="","",historico_VU!E73)</f>
        <v/>
      </c>
      <c r="F135" s="330">
        <f>IF(A135="","",historico_VU!F73)</f>
        <v/>
      </c>
      <c r="G135" s="330">
        <f>IF(A135="","",historico_VU!G73)</f>
        <v/>
      </c>
      <c r="H135" s="331">
        <f>IF(A135="","",historico_VU!H73)</f>
        <v/>
      </c>
      <c r="I135" s="151" t="n"/>
      <c r="J135" s="328">
        <f>IF(itens_Remanesc!A73="","",itens_Remanesc!A73)</f>
        <v/>
      </c>
      <c r="K135" s="329">
        <f>IF(J135="","",IF($F$4="C0",itens_Remanesc!B73,IF($F$4="C1",itens_Remanesc!E73,IF($F$4="C2",itens_Remanesc!G73,IF($F$4="C3",itens_Remanesc!I73,itens_Remanesc!K73)))))</f>
        <v/>
      </c>
      <c r="L135" s="329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332">
        <f>IF(J135="","",itens_Remanesc!C73)</f>
        <v/>
      </c>
      <c r="N135" s="332">
        <f>IF(J135="","",IF($F$4="C0",historico_VU!C73,IF($F$4="C1",historico_VU!D73,IF($F$4="C2",historico_VU!E73,IF($F$4="C3",historico_VU!F73,historico_VU!G73)))))</f>
        <v/>
      </c>
      <c r="O135" s="332">
        <f>IF(J135="","",IF(CONTROLE!$B$1="Principal",IF(OR(K135="",M135=""),"",ROUND(K135*M135,2)),IF(CONTROLE!$B$1="Itens Consumidos",IF(OR(L135="",M135=""),"",ROUND(L135*M135,2)),"")))</f>
        <v/>
      </c>
      <c r="P135" s="332">
        <f>IF(J135="","",IF(CONTROLE!$B$1="Principal",IF(OR(K135="",N135=""),"",ROUND(K135*N135,2)),IF(CONTROLE!$B$1="Itens Consumidos",IF(OR(L135="",N135=""),"",ROUND(L135*N135,2)),"")))</f>
        <v/>
      </c>
      <c r="Q135" s="333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>
      <c r="A136" s="328">
        <f>IF(historico_VU!A74="","",historico_VU!A74)</f>
        <v/>
      </c>
      <c r="B136" s="329">
        <f>IF(A136="","",historico_VU!B74)</f>
        <v/>
      </c>
      <c r="C136" s="330">
        <f>IF(A136="","",historico_VU!C74)</f>
        <v/>
      </c>
      <c r="D136" s="330">
        <f>IF(A136="","",historico_VU!D74)</f>
        <v/>
      </c>
      <c r="E136" s="330">
        <f>IF(A136="","",historico_VU!E74)</f>
        <v/>
      </c>
      <c r="F136" s="330">
        <f>IF(A136="","",historico_VU!F74)</f>
        <v/>
      </c>
      <c r="G136" s="330">
        <f>IF(A136="","",historico_VU!G74)</f>
        <v/>
      </c>
      <c r="H136" s="331">
        <f>IF(A136="","",historico_VU!H74)</f>
        <v/>
      </c>
      <c r="I136" s="151" t="n"/>
      <c r="J136" s="328">
        <f>IF(itens_Remanesc!A74="","",itens_Remanesc!A74)</f>
        <v/>
      </c>
      <c r="K136" s="329">
        <f>IF(J136="","",IF($F$4="C0",itens_Remanesc!B74,IF($F$4="C1",itens_Remanesc!E74,IF($F$4="C2",itens_Remanesc!G74,IF($F$4="C3",itens_Remanesc!I74,itens_Remanesc!K74)))))</f>
        <v/>
      </c>
      <c r="L136" s="329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332">
        <f>IF(J136="","",itens_Remanesc!C74)</f>
        <v/>
      </c>
      <c r="N136" s="332">
        <f>IF(J136="","",IF($F$4="C0",historico_VU!C74,IF($F$4="C1",historico_VU!D74,IF($F$4="C2",historico_VU!E74,IF($F$4="C3",historico_VU!F74,historico_VU!G74)))))</f>
        <v/>
      </c>
      <c r="O136" s="332">
        <f>IF(J136="","",IF(CONTROLE!$B$1="Principal",IF(OR(K136="",M136=""),"",ROUND(K136*M136,2)),IF(CONTROLE!$B$1="Itens Consumidos",IF(OR(L136="",M136=""),"",ROUND(L136*M136,2)),"")))</f>
        <v/>
      </c>
      <c r="P136" s="332">
        <f>IF(J136="","",IF(CONTROLE!$B$1="Principal",IF(OR(K136="",N136=""),"",ROUND(K136*N136,2)),IF(CONTROLE!$B$1="Itens Consumidos",IF(OR(L136="",N136=""),"",ROUND(L136*N136,2)),"")))</f>
        <v/>
      </c>
      <c r="Q136" s="333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>
      <c r="A137" s="328">
        <f>IF(historico_VU!A75="","",historico_VU!A75)</f>
        <v/>
      </c>
      <c r="B137" s="329">
        <f>IF(A137="","",historico_VU!B75)</f>
        <v/>
      </c>
      <c r="C137" s="330">
        <f>IF(A137="","",historico_VU!C75)</f>
        <v/>
      </c>
      <c r="D137" s="330">
        <f>IF(A137="","",historico_VU!D75)</f>
        <v/>
      </c>
      <c r="E137" s="330">
        <f>IF(A137="","",historico_VU!E75)</f>
        <v/>
      </c>
      <c r="F137" s="330">
        <f>IF(A137="","",historico_VU!F75)</f>
        <v/>
      </c>
      <c r="G137" s="330">
        <f>IF(A137="","",historico_VU!G75)</f>
        <v/>
      </c>
      <c r="H137" s="331">
        <f>IF(A137="","",historico_VU!H75)</f>
        <v/>
      </c>
      <c r="I137" s="151" t="n"/>
      <c r="J137" s="328">
        <f>IF(itens_Remanesc!A75="","",itens_Remanesc!A75)</f>
        <v/>
      </c>
      <c r="K137" s="329">
        <f>IF(J137="","",IF($F$4="C0",itens_Remanesc!B75,IF($F$4="C1",itens_Remanesc!E75,IF($F$4="C2",itens_Remanesc!G75,IF($F$4="C3",itens_Remanesc!I75,itens_Remanesc!K75)))))</f>
        <v/>
      </c>
      <c r="L137" s="329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332">
        <f>IF(J137="","",itens_Remanesc!C75)</f>
        <v/>
      </c>
      <c r="N137" s="332">
        <f>IF(J137="","",IF($F$4="C0",historico_VU!C75,IF($F$4="C1",historico_VU!D75,IF($F$4="C2",historico_VU!E75,IF($F$4="C3",historico_VU!F75,historico_VU!G75)))))</f>
        <v/>
      </c>
      <c r="O137" s="332">
        <f>IF(J137="","",IF(CONTROLE!$B$1="Principal",IF(OR(K137="",M137=""),"",ROUND(K137*M137,2)),IF(CONTROLE!$B$1="Itens Consumidos",IF(OR(L137="",M137=""),"",ROUND(L137*M137,2)),"")))</f>
        <v/>
      </c>
      <c r="P137" s="332">
        <f>IF(J137="","",IF(CONTROLE!$B$1="Principal",IF(OR(K137="",N137=""),"",ROUND(K137*N137,2)),IF(CONTROLE!$B$1="Itens Consumidos",IF(OR(L137="",N137=""),"",ROUND(L137*N137,2)),"")))</f>
        <v/>
      </c>
      <c r="Q137" s="333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>
      <c r="A138" s="328">
        <f>IF(historico_VU!A76="","",historico_VU!A76)</f>
        <v/>
      </c>
      <c r="B138" s="329">
        <f>IF(A138="","",historico_VU!B76)</f>
        <v/>
      </c>
      <c r="C138" s="330">
        <f>IF(A138="","",historico_VU!C76)</f>
        <v/>
      </c>
      <c r="D138" s="330">
        <f>IF(A138="","",historico_VU!D76)</f>
        <v/>
      </c>
      <c r="E138" s="330">
        <f>IF(A138="","",historico_VU!E76)</f>
        <v/>
      </c>
      <c r="F138" s="330">
        <f>IF(A138="","",historico_VU!F76)</f>
        <v/>
      </c>
      <c r="G138" s="330">
        <f>IF(A138="","",historico_VU!G76)</f>
        <v/>
      </c>
      <c r="H138" s="331">
        <f>IF(A138="","",historico_VU!H76)</f>
        <v/>
      </c>
      <c r="I138" s="151" t="n"/>
      <c r="J138" s="328">
        <f>IF(itens_Remanesc!A76="","",itens_Remanesc!A76)</f>
        <v/>
      </c>
      <c r="K138" s="329">
        <f>IF(J138="","",IF($F$4="C0",itens_Remanesc!B76,IF($F$4="C1",itens_Remanesc!E76,IF($F$4="C2",itens_Remanesc!G76,IF($F$4="C3",itens_Remanesc!I76,itens_Remanesc!K76)))))</f>
        <v/>
      </c>
      <c r="L138" s="329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332">
        <f>IF(J138="","",itens_Remanesc!C76)</f>
        <v/>
      </c>
      <c r="N138" s="332">
        <f>IF(J138="","",IF($F$4="C0",historico_VU!C76,IF($F$4="C1",historico_VU!D76,IF($F$4="C2",historico_VU!E76,IF($F$4="C3",historico_VU!F76,historico_VU!G76)))))</f>
        <v/>
      </c>
      <c r="O138" s="332">
        <f>IF(J138="","",IF(CONTROLE!$B$1="Principal",IF(OR(K138="",M138=""),"",ROUND(K138*M138,2)),IF(CONTROLE!$B$1="Itens Consumidos",IF(OR(L138="",M138=""),"",ROUND(L138*M138,2)),"")))</f>
        <v/>
      </c>
      <c r="P138" s="332">
        <f>IF(J138="","",IF(CONTROLE!$B$1="Principal",IF(OR(K138="",N138=""),"",ROUND(K138*N138,2)),IF(CONTROLE!$B$1="Itens Consumidos",IF(OR(L138="",N138=""),"",ROUND(L138*N138,2)),"")))</f>
        <v/>
      </c>
      <c r="Q138" s="333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>
      <c r="A139" s="328">
        <f>IF(historico_VU!A77="","",historico_VU!A77)</f>
        <v/>
      </c>
      <c r="B139" s="329">
        <f>IF(A139="","",historico_VU!B77)</f>
        <v/>
      </c>
      <c r="C139" s="330">
        <f>IF(A139="","",historico_VU!C77)</f>
        <v/>
      </c>
      <c r="D139" s="330">
        <f>IF(A139="","",historico_VU!D77)</f>
        <v/>
      </c>
      <c r="E139" s="330">
        <f>IF(A139="","",historico_VU!E77)</f>
        <v/>
      </c>
      <c r="F139" s="330">
        <f>IF(A139="","",historico_VU!F77)</f>
        <v/>
      </c>
      <c r="G139" s="330">
        <f>IF(A139="","",historico_VU!G77)</f>
        <v/>
      </c>
      <c r="H139" s="331">
        <f>IF(A139="","",historico_VU!H77)</f>
        <v/>
      </c>
      <c r="I139" s="151" t="n"/>
      <c r="J139" s="328">
        <f>IF(itens_Remanesc!A77="","",itens_Remanesc!A77)</f>
        <v/>
      </c>
      <c r="K139" s="329">
        <f>IF(J139="","",IF($F$4="C0",itens_Remanesc!B77,IF($F$4="C1",itens_Remanesc!E77,IF($F$4="C2",itens_Remanesc!G77,IF($F$4="C3",itens_Remanesc!I77,itens_Remanesc!K77)))))</f>
        <v/>
      </c>
      <c r="L139" s="329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332">
        <f>IF(J139="","",itens_Remanesc!C77)</f>
        <v/>
      </c>
      <c r="N139" s="332">
        <f>IF(J139="","",IF($F$4="C0",historico_VU!C77,IF($F$4="C1",historico_VU!D77,IF($F$4="C2",historico_VU!E77,IF($F$4="C3",historico_VU!F77,historico_VU!G77)))))</f>
        <v/>
      </c>
      <c r="O139" s="332">
        <f>IF(J139="","",IF(CONTROLE!$B$1="Principal",IF(OR(K139="",M139=""),"",ROUND(K139*M139,2)),IF(CONTROLE!$B$1="Itens Consumidos",IF(OR(L139="",M139=""),"",ROUND(L139*M139,2)),"")))</f>
        <v/>
      </c>
      <c r="P139" s="332">
        <f>IF(J139="","",IF(CONTROLE!$B$1="Principal",IF(OR(K139="",N139=""),"",ROUND(K139*N139,2)),IF(CONTROLE!$B$1="Itens Consumidos",IF(OR(L139="",N139=""),"",ROUND(L139*N139,2)),"")))</f>
        <v/>
      </c>
      <c r="Q139" s="333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>
      <c r="A140" s="328">
        <f>IF(historico_VU!A78="","",historico_VU!A78)</f>
        <v/>
      </c>
      <c r="B140" s="329">
        <f>IF(A140="","",historico_VU!B78)</f>
        <v/>
      </c>
      <c r="C140" s="330">
        <f>IF(A140="","",historico_VU!C78)</f>
        <v/>
      </c>
      <c r="D140" s="330">
        <f>IF(A140="","",historico_VU!D78)</f>
        <v/>
      </c>
      <c r="E140" s="330">
        <f>IF(A140="","",historico_VU!E78)</f>
        <v/>
      </c>
      <c r="F140" s="330">
        <f>IF(A140="","",historico_VU!F78)</f>
        <v/>
      </c>
      <c r="G140" s="330">
        <f>IF(A140="","",historico_VU!G78)</f>
        <v/>
      </c>
      <c r="H140" s="331">
        <f>IF(A140="","",historico_VU!H78)</f>
        <v/>
      </c>
      <c r="I140" s="151" t="n"/>
      <c r="J140" s="328">
        <f>IF(itens_Remanesc!A78="","",itens_Remanesc!A78)</f>
        <v/>
      </c>
      <c r="K140" s="329">
        <f>IF(J140="","",IF($F$4="C0",itens_Remanesc!B78,IF($F$4="C1",itens_Remanesc!E78,IF($F$4="C2",itens_Remanesc!G78,IF($F$4="C3",itens_Remanesc!I78,itens_Remanesc!K78)))))</f>
        <v/>
      </c>
      <c r="L140" s="329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332">
        <f>IF(J140="","",itens_Remanesc!C78)</f>
        <v/>
      </c>
      <c r="N140" s="332">
        <f>IF(J140="","",IF($F$4="C0",historico_VU!C78,IF($F$4="C1",historico_VU!D78,IF($F$4="C2",historico_VU!E78,IF($F$4="C3",historico_VU!F78,historico_VU!G78)))))</f>
        <v/>
      </c>
      <c r="O140" s="332">
        <f>IF(J140="","",IF(CONTROLE!$B$1="Principal",IF(OR(K140="",M140=""),"",ROUND(K140*M140,2)),IF(CONTROLE!$B$1="Itens Consumidos",IF(OR(L140="",M140=""),"",ROUND(L140*M140,2)),"")))</f>
        <v/>
      </c>
      <c r="P140" s="332">
        <f>IF(J140="","",IF(CONTROLE!$B$1="Principal",IF(OR(K140="",N140=""),"",ROUND(K140*N140,2)),IF(CONTROLE!$B$1="Itens Consumidos",IF(OR(L140="",N140=""),"",ROUND(L140*N140,2)),"")))</f>
        <v/>
      </c>
      <c r="Q140" s="333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>
      <c r="A141" s="328">
        <f>IF(historico_VU!A79="","",historico_VU!A79)</f>
        <v/>
      </c>
      <c r="B141" s="329">
        <f>IF(A141="","",historico_VU!B79)</f>
        <v/>
      </c>
      <c r="C141" s="330">
        <f>IF(A141="","",historico_VU!C79)</f>
        <v/>
      </c>
      <c r="D141" s="330">
        <f>IF(A141="","",historico_VU!D79)</f>
        <v/>
      </c>
      <c r="E141" s="330">
        <f>IF(A141="","",historico_VU!E79)</f>
        <v/>
      </c>
      <c r="F141" s="330">
        <f>IF(A141="","",historico_VU!F79)</f>
        <v/>
      </c>
      <c r="G141" s="330">
        <f>IF(A141="","",historico_VU!G79)</f>
        <v/>
      </c>
      <c r="H141" s="331">
        <f>IF(A141="","",historico_VU!H79)</f>
        <v/>
      </c>
      <c r="I141" s="151" t="n"/>
      <c r="J141" s="328">
        <f>IF(itens_Remanesc!A79="","",itens_Remanesc!A79)</f>
        <v/>
      </c>
      <c r="K141" s="329">
        <f>IF(J141="","",IF($F$4="C0",itens_Remanesc!B79,IF($F$4="C1",itens_Remanesc!E79,IF($F$4="C2",itens_Remanesc!G79,IF($F$4="C3",itens_Remanesc!I79,itens_Remanesc!K79)))))</f>
        <v/>
      </c>
      <c r="L141" s="329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332">
        <f>IF(J141="","",itens_Remanesc!C79)</f>
        <v/>
      </c>
      <c r="N141" s="332">
        <f>IF(J141="","",IF($F$4="C0",historico_VU!C79,IF($F$4="C1",historico_VU!D79,IF($F$4="C2",historico_VU!E79,IF($F$4="C3",historico_VU!F79,historico_VU!G79)))))</f>
        <v/>
      </c>
      <c r="O141" s="332">
        <f>IF(J141="","",IF(CONTROLE!$B$1="Principal",IF(OR(K141="",M141=""),"",ROUND(K141*M141,2)),IF(CONTROLE!$B$1="Itens Consumidos",IF(OR(L141="",M141=""),"",ROUND(L141*M141,2)),"")))</f>
        <v/>
      </c>
      <c r="P141" s="332">
        <f>IF(J141="","",IF(CONTROLE!$B$1="Principal",IF(OR(K141="",N141=""),"",ROUND(K141*N141,2)),IF(CONTROLE!$B$1="Itens Consumidos",IF(OR(L141="",N141=""),"",ROUND(L141*N141,2)),"")))</f>
        <v/>
      </c>
      <c r="Q141" s="333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>
      <c r="A142" s="328">
        <f>IF(historico_VU!A80="","",historico_VU!A80)</f>
        <v/>
      </c>
      <c r="B142" s="329">
        <f>IF(A142="","",historico_VU!B80)</f>
        <v/>
      </c>
      <c r="C142" s="330">
        <f>IF(A142="","",historico_VU!C80)</f>
        <v/>
      </c>
      <c r="D142" s="330">
        <f>IF(A142="","",historico_VU!D80)</f>
        <v/>
      </c>
      <c r="E142" s="330">
        <f>IF(A142="","",historico_VU!E80)</f>
        <v/>
      </c>
      <c r="F142" s="330">
        <f>IF(A142="","",historico_VU!F80)</f>
        <v/>
      </c>
      <c r="G142" s="330">
        <f>IF(A142="","",historico_VU!G80)</f>
        <v/>
      </c>
      <c r="H142" s="331">
        <f>IF(A142="","",historico_VU!H80)</f>
        <v/>
      </c>
      <c r="I142" s="151" t="n"/>
      <c r="J142" s="328">
        <f>IF(itens_Remanesc!A80="","",itens_Remanesc!A80)</f>
        <v/>
      </c>
      <c r="K142" s="329">
        <f>IF(J142="","",IF($F$4="C0",itens_Remanesc!B80,IF($F$4="C1",itens_Remanesc!E80,IF($F$4="C2",itens_Remanesc!G80,IF($F$4="C3",itens_Remanesc!I80,itens_Remanesc!K80)))))</f>
        <v/>
      </c>
      <c r="L142" s="329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332">
        <f>IF(J142="","",itens_Remanesc!C80)</f>
        <v/>
      </c>
      <c r="N142" s="332">
        <f>IF(J142="","",IF($F$4="C0",historico_VU!C80,IF($F$4="C1",historico_VU!D80,IF($F$4="C2",historico_VU!E80,IF($F$4="C3",historico_VU!F80,historico_VU!G80)))))</f>
        <v/>
      </c>
      <c r="O142" s="332">
        <f>IF(J142="","",IF(CONTROLE!$B$1="Principal",IF(OR(K142="",M142=""),"",ROUND(K142*M142,2)),IF(CONTROLE!$B$1="Itens Consumidos",IF(OR(L142="",M142=""),"",ROUND(L142*M142,2)),"")))</f>
        <v/>
      </c>
      <c r="P142" s="332">
        <f>IF(J142="","",IF(CONTROLE!$B$1="Principal",IF(OR(K142="",N142=""),"",ROUND(K142*N142,2)),IF(CONTROLE!$B$1="Itens Consumidos",IF(OR(L142="",N142=""),"",ROUND(L142*N142,2)),"")))</f>
        <v/>
      </c>
      <c r="Q142" s="333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>
      <c r="A143" s="328">
        <f>IF(historico_VU!A81="","",historico_VU!A81)</f>
        <v/>
      </c>
      <c r="B143" s="329">
        <f>IF(A143="","",historico_VU!B81)</f>
        <v/>
      </c>
      <c r="C143" s="330">
        <f>IF(A143="","",historico_VU!C81)</f>
        <v/>
      </c>
      <c r="D143" s="330">
        <f>IF(A143="","",historico_VU!D81)</f>
        <v/>
      </c>
      <c r="E143" s="330">
        <f>IF(A143="","",historico_VU!E81)</f>
        <v/>
      </c>
      <c r="F143" s="330">
        <f>IF(A143="","",historico_VU!F81)</f>
        <v/>
      </c>
      <c r="G143" s="330">
        <f>IF(A143="","",historico_VU!G81)</f>
        <v/>
      </c>
      <c r="H143" s="331">
        <f>IF(A143="","",historico_VU!H81)</f>
        <v/>
      </c>
      <c r="I143" s="151" t="n"/>
      <c r="J143" s="328">
        <f>IF(itens_Remanesc!A81="","",itens_Remanesc!A81)</f>
        <v/>
      </c>
      <c r="K143" s="329">
        <f>IF(J143="","",IF($F$4="C0",itens_Remanesc!B81,IF($F$4="C1",itens_Remanesc!E81,IF($F$4="C2",itens_Remanesc!G81,IF($F$4="C3",itens_Remanesc!I81,itens_Remanesc!K81)))))</f>
        <v/>
      </c>
      <c r="L143" s="329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332">
        <f>IF(J143="","",itens_Remanesc!C81)</f>
        <v/>
      </c>
      <c r="N143" s="332">
        <f>IF(J143="","",IF($F$4="C0",historico_VU!C81,IF($F$4="C1",historico_VU!D81,IF($F$4="C2",historico_VU!E81,IF($F$4="C3",historico_VU!F81,historico_VU!G81)))))</f>
        <v/>
      </c>
      <c r="O143" s="332">
        <f>IF(J143="","",IF(CONTROLE!$B$1="Principal",IF(OR(K143="",M143=""),"",ROUND(K143*M143,2)),IF(CONTROLE!$B$1="Itens Consumidos",IF(OR(L143="",M143=""),"",ROUND(L143*M143,2)),"")))</f>
        <v/>
      </c>
      <c r="P143" s="332">
        <f>IF(J143="","",IF(CONTROLE!$B$1="Principal",IF(OR(K143="",N143=""),"",ROUND(K143*N143,2)),IF(CONTROLE!$B$1="Itens Consumidos",IF(OR(L143="",N143=""),"",ROUND(L143*N143,2)),"")))</f>
        <v/>
      </c>
      <c r="Q143" s="333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>
      <c r="A144" s="328">
        <f>IF(historico_VU!A82="","",historico_VU!A82)</f>
        <v/>
      </c>
      <c r="B144" s="329">
        <f>IF(A144="","",historico_VU!B82)</f>
        <v/>
      </c>
      <c r="C144" s="330">
        <f>IF(A144="","",historico_VU!C82)</f>
        <v/>
      </c>
      <c r="D144" s="330">
        <f>IF(A144="","",historico_VU!D82)</f>
        <v/>
      </c>
      <c r="E144" s="330">
        <f>IF(A144="","",historico_VU!E82)</f>
        <v/>
      </c>
      <c r="F144" s="330">
        <f>IF(A144="","",historico_VU!F82)</f>
        <v/>
      </c>
      <c r="G144" s="330">
        <f>IF(A144="","",historico_VU!G82)</f>
        <v/>
      </c>
      <c r="H144" s="331">
        <f>IF(A144="","",historico_VU!H82)</f>
        <v/>
      </c>
      <c r="I144" s="151" t="n"/>
      <c r="J144" s="328">
        <f>IF(itens_Remanesc!A82="","",itens_Remanesc!A82)</f>
        <v/>
      </c>
      <c r="K144" s="329">
        <f>IF(J144="","",IF($F$4="C0",itens_Remanesc!B82,IF($F$4="C1",itens_Remanesc!E82,IF($F$4="C2",itens_Remanesc!G82,IF($F$4="C3",itens_Remanesc!I82,itens_Remanesc!K82)))))</f>
        <v/>
      </c>
      <c r="L144" s="329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332">
        <f>IF(J144="","",itens_Remanesc!C82)</f>
        <v/>
      </c>
      <c r="N144" s="332">
        <f>IF(J144="","",IF($F$4="C0",historico_VU!C82,IF($F$4="C1",historico_VU!D82,IF($F$4="C2",historico_VU!E82,IF($F$4="C3",historico_VU!F82,historico_VU!G82)))))</f>
        <v/>
      </c>
      <c r="O144" s="332">
        <f>IF(J144="","",IF(CONTROLE!$B$1="Principal",IF(OR(K144="",M144=""),"",ROUND(K144*M144,2)),IF(CONTROLE!$B$1="Itens Consumidos",IF(OR(L144="",M144=""),"",ROUND(L144*M144,2)),"")))</f>
        <v/>
      </c>
      <c r="P144" s="332">
        <f>IF(J144="","",IF(CONTROLE!$B$1="Principal",IF(OR(K144="",N144=""),"",ROUND(K144*N144,2)),IF(CONTROLE!$B$1="Itens Consumidos",IF(OR(L144="",N144=""),"",ROUND(L144*N144,2)),"")))</f>
        <v/>
      </c>
      <c r="Q144" s="333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>
      <c r="A145" s="328">
        <f>IF(historico_VU!A83="","",historico_VU!A83)</f>
        <v/>
      </c>
      <c r="B145" s="329">
        <f>IF(A145="","",historico_VU!B83)</f>
        <v/>
      </c>
      <c r="C145" s="330">
        <f>IF(A145="","",historico_VU!C83)</f>
        <v/>
      </c>
      <c r="D145" s="330">
        <f>IF(A145="","",historico_VU!D83)</f>
        <v/>
      </c>
      <c r="E145" s="330">
        <f>IF(A145="","",historico_VU!E83)</f>
        <v/>
      </c>
      <c r="F145" s="330">
        <f>IF(A145="","",historico_VU!F83)</f>
        <v/>
      </c>
      <c r="G145" s="330">
        <f>IF(A145="","",historico_VU!G83)</f>
        <v/>
      </c>
      <c r="H145" s="331">
        <f>IF(A145="","",historico_VU!H83)</f>
        <v/>
      </c>
      <c r="I145" s="151" t="n"/>
      <c r="J145" s="328">
        <f>IF(itens_Remanesc!A83="","",itens_Remanesc!A83)</f>
        <v/>
      </c>
      <c r="K145" s="329">
        <f>IF(J145="","",IF($F$4="C0",itens_Remanesc!B83,IF($F$4="C1",itens_Remanesc!E83,IF($F$4="C2",itens_Remanesc!G83,IF($F$4="C3",itens_Remanesc!I83,itens_Remanesc!K83)))))</f>
        <v/>
      </c>
      <c r="L145" s="329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332">
        <f>IF(J145="","",itens_Remanesc!C83)</f>
        <v/>
      </c>
      <c r="N145" s="332">
        <f>IF(J145="","",IF($F$4="C0",historico_VU!C83,IF($F$4="C1",historico_VU!D83,IF($F$4="C2",historico_VU!E83,IF($F$4="C3",historico_VU!F83,historico_VU!G83)))))</f>
        <v/>
      </c>
      <c r="O145" s="332">
        <f>IF(J145="","",IF(CONTROLE!$B$1="Principal",IF(OR(K145="",M145=""),"",ROUND(K145*M145,2)),IF(CONTROLE!$B$1="Itens Consumidos",IF(OR(L145="",M145=""),"",ROUND(L145*M145,2)),"")))</f>
        <v/>
      </c>
      <c r="P145" s="332">
        <f>IF(J145="","",IF(CONTROLE!$B$1="Principal",IF(OR(K145="",N145=""),"",ROUND(K145*N145,2)),IF(CONTROLE!$B$1="Itens Consumidos",IF(OR(L145="",N145=""),"",ROUND(L145*N145,2)),"")))</f>
        <v/>
      </c>
      <c r="Q145" s="333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>
      <c r="A146" s="328">
        <f>IF(historico_VU!A84="","",historico_VU!A84)</f>
        <v/>
      </c>
      <c r="B146" s="329">
        <f>IF(A146="","",historico_VU!B84)</f>
        <v/>
      </c>
      <c r="C146" s="330">
        <f>IF(A146="","",historico_VU!C84)</f>
        <v/>
      </c>
      <c r="D146" s="330">
        <f>IF(A146="","",historico_VU!D84)</f>
        <v/>
      </c>
      <c r="E146" s="330">
        <f>IF(A146="","",historico_VU!E84)</f>
        <v/>
      </c>
      <c r="F146" s="330">
        <f>IF(A146="","",historico_VU!F84)</f>
        <v/>
      </c>
      <c r="G146" s="330">
        <f>IF(A146="","",historico_VU!G84)</f>
        <v/>
      </c>
      <c r="H146" s="331">
        <f>IF(A146="","",historico_VU!H84)</f>
        <v/>
      </c>
      <c r="I146" s="151" t="n"/>
      <c r="J146" s="328">
        <f>IF(itens_Remanesc!A84="","",itens_Remanesc!A84)</f>
        <v/>
      </c>
      <c r="K146" s="329">
        <f>IF(J146="","",IF($F$4="C0",itens_Remanesc!B84,IF($F$4="C1",itens_Remanesc!E84,IF($F$4="C2",itens_Remanesc!G84,IF($F$4="C3",itens_Remanesc!I84,itens_Remanesc!K84)))))</f>
        <v/>
      </c>
      <c r="L146" s="329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332">
        <f>IF(J146="","",itens_Remanesc!C84)</f>
        <v/>
      </c>
      <c r="N146" s="332">
        <f>IF(J146="","",IF($F$4="C0",historico_VU!C84,IF($F$4="C1",historico_VU!D84,IF($F$4="C2",historico_VU!E84,IF($F$4="C3",historico_VU!F84,historico_VU!G84)))))</f>
        <v/>
      </c>
      <c r="O146" s="332">
        <f>IF(J146="","",IF(CONTROLE!$B$1="Principal",IF(OR(K146="",M146=""),"",ROUND(K146*M146,2)),IF(CONTROLE!$B$1="Itens Consumidos",IF(OR(L146="",M146=""),"",ROUND(L146*M146,2)),"")))</f>
        <v/>
      </c>
      <c r="P146" s="332">
        <f>IF(J146="","",IF(CONTROLE!$B$1="Principal",IF(OR(K146="",N146=""),"",ROUND(K146*N146,2)),IF(CONTROLE!$B$1="Itens Consumidos",IF(OR(L146="",N146=""),"",ROUND(L146*N146,2)),"")))</f>
        <v/>
      </c>
      <c r="Q146" s="333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>
      <c r="A147" s="328">
        <f>IF(historico_VU!A85="","",historico_VU!A85)</f>
        <v/>
      </c>
      <c r="B147" s="329">
        <f>IF(A147="","",historico_VU!B85)</f>
        <v/>
      </c>
      <c r="C147" s="330">
        <f>IF(A147="","",historico_VU!C85)</f>
        <v/>
      </c>
      <c r="D147" s="330">
        <f>IF(A147="","",historico_VU!D85)</f>
        <v/>
      </c>
      <c r="E147" s="330">
        <f>IF(A147="","",historico_VU!E85)</f>
        <v/>
      </c>
      <c r="F147" s="330">
        <f>IF(A147="","",historico_VU!F85)</f>
        <v/>
      </c>
      <c r="G147" s="330">
        <f>IF(A147="","",historico_VU!G85)</f>
        <v/>
      </c>
      <c r="H147" s="331">
        <f>IF(A147="","",historico_VU!H85)</f>
        <v/>
      </c>
      <c r="I147" s="151" t="n"/>
      <c r="J147" s="328">
        <f>IF(itens_Remanesc!A85="","",itens_Remanesc!A85)</f>
        <v/>
      </c>
      <c r="K147" s="329">
        <f>IF(J147="","",IF($F$4="C0",itens_Remanesc!B85,IF($F$4="C1",itens_Remanesc!E85,IF($F$4="C2",itens_Remanesc!G85,IF($F$4="C3",itens_Remanesc!I85,itens_Remanesc!K85)))))</f>
        <v/>
      </c>
      <c r="L147" s="329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332">
        <f>IF(J147="","",itens_Remanesc!C85)</f>
        <v/>
      </c>
      <c r="N147" s="332">
        <f>IF(J147="","",IF($F$4="C0",historico_VU!C85,IF($F$4="C1",historico_VU!D85,IF($F$4="C2",historico_VU!E85,IF($F$4="C3",historico_VU!F85,historico_VU!G85)))))</f>
        <v/>
      </c>
      <c r="O147" s="332">
        <f>IF(J147="","",IF(CONTROLE!$B$1="Principal",IF(OR(K147="",M147=""),"",ROUND(K147*M147,2)),IF(CONTROLE!$B$1="Itens Consumidos",IF(OR(L147="",M147=""),"",ROUND(L147*M147,2)),"")))</f>
        <v/>
      </c>
      <c r="P147" s="332">
        <f>IF(J147="","",IF(CONTROLE!$B$1="Principal",IF(OR(K147="",N147=""),"",ROUND(K147*N147,2)),IF(CONTROLE!$B$1="Itens Consumidos",IF(OR(L147="",N147=""),"",ROUND(L147*N147,2)),"")))</f>
        <v/>
      </c>
      <c r="Q147" s="333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>
      <c r="A148" s="328">
        <f>IF(historico_VU!A86="","",historico_VU!A86)</f>
        <v/>
      </c>
      <c r="B148" s="329">
        <f>IF(A148="","",historico_VU!B86)</f>
        <v/>
      </c>
      <c r="C148" s="330">
        <f>IF(A148="","",historico_VU!C86)</f>
        <v/>
      </c>
      <c r="D148" s="330">
        <f>IF(A148="","",historico_VU!D86)</f>
        <v/>
      </c>
      <c r="E148" s="330">
        <f>IF(A148="","",historico_VU!E86)</f>
        <v/>
      </c>
      <c r="F148" s="330">
        <f>IF(A148="","",historico_VU!F86)</f>
        <v/>
      </c>
      <c r="G148" s="330">
        <f>IF(A148="","",historico_VU!G86)</f>
        <v/>
      </c>
      <c r="H148" s="331">
        <f>IF(A148="","",historico_VU!H86)</f>
        <v/>
      </c>
      <c r="I148" s="151" t="n"/>
      <c r="J148" s="328">
        <f>IF(itens_Remanesc!A86="","",itens_Remanesc!A86)</f>
        <v/>
      </c>
      <c r="K148" s="329">
        <f>IF(J148="","",IF($F$4="C0",itens_Remanesc!B86,IF($F$4="C1",itens_Remanesc!E86,IF($F$4="C2",itens_Remanesc!G86,IF($F$4="C3",itens_Remanesc!I86,itens_Remanesc!K86)))))</f>
        <v/>
      </c>
      <c r="L148" s="329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332">
        <f>IF(J148="","",itens_Remanesc!C86)</f>
        <v/>
      </c>
      <c r="N148" s="332">
        <f>IF(J148="","",IF($F$4="C0",historico_VU!C86,IF($F$4="C1",historico_VU!D86,IF($F$4="C2",historico_VU!E86,IF($F$4="C3",historico_VU!F86,historico_VU!G86)))))</f>
        <v/>
      </c>
      <c r="O148" s="332">
        <f>IF(J148="","",IF(CONTROLE!$B$1="Principal",IF(OR(K148="",M148=""),"",ROUND(K148*M148,2)),IF(CONTROLE!$B$1="Itens Consumidos",IF(OR(L148="",M148=""),"",ROUND(L148*M148,2)),"")))</f>
        <v/>
      </c>
      <c r="P148" s="332">
        <f>IF(J148="","",IF(CONTROLE!$B$1="Principal",IF(OR(K148="",N148=""),"",ROUND(K148*N148,2)),IF(CONTROLE!$B$1="Itens Consumidos",IF(OR(L148="",N148=""),"",ROUND(L148*N148,2)),"")))</f>
        <v/>
      </c>
      <c r="Q148" s="333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>
      <c r="A149" s="328">
        <f>IF(historico_VU!A87="","",historico_VU!A87)</f>
        <v/>
      </c>
      <c r="B149" s="329">
        <f>IF(A149="","",historico_VU!B87)</f>
        <v/>
      </c>
      <c r="C149" s="330">
        <f>IF(A149="","",historico_VU!C87)</f>
        <v/>
      </c>
      <c r="D149" s="330">
        <f>IF(A149="","",historico_VU!D87)</f>
        <v/>
      </c>
      <c r="E149" s="330">
        <f>IF(A149="","",historico_VU!E87)</f>
        <v/>
      </c>
      <c r="F149" s="330">
        <f>IF(A149="","",historico_VU!F87)</f>
        <v/>
      </c>
      <c r="G149" s="330">
        <f>IF(A149="","",historico_VU!G87)</f>
        <v/>
      </c>
      <c r="H149" s="331">
        <f>IF(A149="","",historico_VU!H87)</f>
        <v/>
      </c>
      <c r="I149" s="151" t="n"/>
      <c r="J149" s="328">
        <f>IF(itens_Remanesc!A87="","",itens_Remanesc!A87)</f>
        <v/>
      </c>
      <c r="K149" s="329">
        <f>IF(J149="","",IF($F$4="C0",itens_Remanesc!B87,IF($F$4="C1",itens_Remanesc!E87,IF($F$4="C2",itens_Remanesc!G87,IF($F$4="C3",itens_Remanesc!I87,itens_Remanesc!K87)))))</f>
        <v/>
      </c>
      <c r="L149" s="329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332">
        <f>IF(J149="","",itens_Remanesc!C87)</f>
        <v/>
      </c>
      <c r="N149" s="332">
        <f>IF(J149="","",IF($F$4="C0",historico_VU!C87,IF($F$4="C1",historico_VU!D87,IF($F$4="C2",historico_VU!E87,IF($F$4="C3",historico_VU!F87,historico_VU!G87)))))</f>
        <v/>
      </c>
      <c r="O149" s="332">
        <f>IF(J149="","",IF(CONTROLE!$B$1="Principal",IF(OR(K149="",M149=""),"",ROUND(K149*M149,2)),IF(CONTROLE!$B$1="Itens Consumidos",IF(OR(L149="",M149=""),"",ROUND(L149*M149,2)),"")))</f>
        <v/>
      </c>
      <c r="P149" s="332">
        <f>IF(J149="","",IF(CONTROLE!$B$1="Principal",IF(OR(K149="",N149=""),"",ROUND(K149*N149,2)),IF(CONTROLE!$B$1="Itens Consumidos",IF(OR(L149="",N149=""),"",ROUND(L149*N149,2)),"")))</f>
        <v/>
      </c>
      <c r="Q149" s="333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>
      <c r="A150" s="328">
        <f>IF(historico_VU!A88="","",historico_VU!A88)</f>
        <v/>
      </c>
      <c r="B150" s="329">
        <f>IF(A150="","",historico_VU!B88)</f>
        <v/>
      </c>
      <c r="C150" s="330">
        <f>IF(A150="","",historico_VU!C88)</f>
        <v/>
      </c>
      <c r="D150" s="330">
        <f>IF(A150="","",historico_VU!D88)</f>
        <v/>
      </c>
      <c r="E150" s="330">
        <f>IF(A150="","",historico_VU!E88)</f>
        <v/>
      </c>
      <c r="F150" s="330">
        <f>IF(A150="","",historico_VU!F88)</f>
        <v/>
      </c>
      <c r="G150" s="330">
        <f>IF(A150="","",historico_VU!G88)</f>
        <v/>
      </c>
      <c r="H150" s="331">
        <f>IF(A150="","",historico_VU!H88)</f>
        <v/>
      </c>
      <c r="I150" s="151" t="n"/>
      <c r="J150" s="328">
        <f>IF(itens_Remanesc!A88="","",itens_Remanesc!A88)</f>
        <v/>
      </c>
      <c r="K150" s="329">
        <f>IF(J150="","",IF($F$4="C0",itens_Remanesc!B88,IF($F$4="C1",itens_Remanesc!E88,IF($F$4="C2",itens_Remanesc!G88,IF($F$4="C3",itens_Remanesc!I88,itens_Remanesc!K88)))))</f>
        <v/>
      </c>
      <c r="L150" s="329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332">
        <f>IF(J150="","",itens_Remanesc!C88)</f>
        <v/>
      </c>
      <c r="N150" s="332">
        <f>IF(J150="","",IF($F$4="C0",historico_VU!C88,IF($F$4="C1",historico_VU!D88,IF($F$4="C2",historico_VU!E88,IF($F$4="C3",historico_VU!F88,historico_VU!G88)))))</f>
        <v/>
      </c>
      <c r="O150" s="332">
        <f>IF(J150="","",IF(CONTROLE!$B$1="Principal",IF(OR(K150="",M150=""),"",ROUND(K150*M150,2)),IF(CONTROLE!$B$1="Itens Consumidos",IF(OR(L150="",M150=""),"",ROUND(L150*M150,2)),"")))</f>
        <v/>
      </c>
      <c r="P150" s="332">
        <f>IF(J150="","",IF(CONTROLE!$B$1="Principal",IF(OR(K150="",N150=""),"",ROUND(K150*N150,2)),IF(CONTROLE!$B$1="Itens Consumidos",IF(OR(L150="",N150=""),"",ROUND(L150*N150,2)),"")))</f>
        <v/>
      </c>
      <c r="Q150" s="333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>
      <c r="A151" s="328">
        <f>IF(historico_VU!A89="","",historico_VU!A89)</f>
        <v/>
      </c>
      <c r="B151" s="329">
        <f>IF(A151="","",historico_VU!B89)</f>
        <v/>
      </c>
      <c r="C151" s="330">
        <f>IF(A151="","",historico_VU!C89)</f>
        <v/>
      </c>
      <c r="D151" s="330">
        <f>IF(A151="","",historico_VU!D89)</f>
        <v/>
      </c>
      <c r="E151" s="330">
        <f>IF(A151="","",historico_VU!E89)</f>
        <v/>
      </c>
      <c r="F151" s="330">
        <f>IF(A151="","",historico_VU!F89)</f>
        <v/>
      </c>
      <c r="G151" s="330">
        <f>IF(A151="","",historico_VU!G89)</f>
        <v/>
      </c>
      <c r="H151" s="331">
        <f>IF(A151="","",historico_VU!H89)</f>
        <v/>
      </c>
      <c r="I151" s="151" t="n"/>
      <c r="J151" s="328">
        <f>IF(itens_Remanesc!A89="","",itens_Remanesc!A89)</f>
        <v/>
      </c>
      <c r="K151" s="329">
        <f>IF(J151="","",IF($F$4="C0",itens_Remanesc!B89,IF($F$4="C1",itens_Remanesc!E89,IF($F$4="C2",itens_Remanesc!G89,IF($F$4="C3",itens_Remanesc!I89,itens_Remanesc!K89)))))</f>
        <v/>
      </c>
      <c r="L151" s="329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332">
        <f>IF(J151="","",itens_Remanesc!C89)</f>
        <v/>
      </c>
      <c r="N151" s="332">
        <f>IF(J151="","",IF($F$4="C0",historico_VU!C89,IF($F$4="C1",historico_VU!D89,IF($F$4="C2",historico_VU!E89,IF($F$4="C3",historico_VU!F89,historico_VU!G89)))))</f>
        <v/>
      </c>
      <c r="O151" s="332">
        <f>IF(J151="","",IF(CONTROLE!$B$1="Principal",IF(OR(K151="",M151=""),"",ROUND(K151*M151,2)),IF(CONTROLE!$B$1="Itens Consumidos",IF(OR(L151="",M151=""),"",ROUND(L151*M151,2)),"")))</f>
        <v/>
      </c>
      <c r="P151" s="332">
        <f>IF(J151="","",IF(CONTROLE!$B$1="Principal",IF(OR(K151="",N151=""),"",ROUND(K151*N151,2)),IF(CONTROLE!$B$1="Itens Consumidos",IF(OR(L151="",N151=""),"",ROUND(L151*N151,2)),"")))</f>
        <v/>
      </c>
      <c r="Q151" s="333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>
      <c r="A152" s="328">
        <f>IF(historico_VU!A90="","",historico_VU!A90)</f>
        <v/>
      </c>
      <c r="B152" s="329">
        <f>IF(A152="","",historico_VU!B90)</f>
        <v/>
      </c>
      <c r="C152" s="330">
        <f>IF(A152="","",historico_VU!C90)</f>
        <v/>
      </c>
      <c r="D152" s="330">
        <f>IF(A152="","",historico_VU!D90)</f>
        <v/>
      </c>
      <c r="E152" s="330">
        <f>IF(A152="","",historico_VU!E90)</f>
        <v/>
      </c>
      <c r="F152" s="330">
        <f>IF(A152="","",historico_VU!F90)</f>
        <v/>
      </c>
      <c r="G152" s="330">
        <f>IF(A152="","",historico_VU!G90)</f>
        <v/>
      </c>
      <c r="H152" s="331">
        <f>IF(A152="","",historico_VU!H90)</f>
        <v/>
      </c>
      <c r="I152" s="151" t="n"/>
      <c r="J152" s="328">
        <f>IF(itens_Remanesc!A90="","",itens_Remanesc!A90)</f>
        <v/>
      </c>
      <c r="K152" s="329">
        <f>IF(J152="","",IF($F$4="C0",itens_Remanesc!B90,IF($F$4="C1",itens_Remanesc!E90,IF($F$4="C2",itens_Remanesc!G90,IF($F$4="C3",itens_Remanesc!I90,itens_Remanesc!K90)))))</f>
        <v/>
      </c>
      <c r="L152" s="329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332">
        <f>IF(J152="","",itens_Remanesc!C90)</f>
        <v/>
      </c>
      <c r="N152" s="332">
        <f>IF(J152="","",IF($F$4="C0",historico_VU!C90,IF($F$4="C1",historico_VU!D90,IF($F$4="C2",historico_VU!E90,IF($F$4="C3",historico_VU!F90,historico_VU!G90)))))</f>
        <v/>
      </c>
      <c r="O152" s="332">
        <f>IF(J152="","",IF(CONTROLE!$B$1="Principal",IF(OR(K152="",M152=""),"",ROUND(K152*M152,2)),IF(CONTROLE!$B$1="Itens Consumidos",IF(OR(L152="",M152=""),"",ROUND(L152*M152,2)),"")))</f>
        <v/>
      </c>
      <c r="P152" s="332">
        <f>IF(J152="","",IF(CONTROLE!$B$1="Principal",IF(OR(K152="",N152=""),"",ROUND(K152*N152,2)),IF(CONTROLE!$B$1="Itens Consumidos",IF(OR(L152="",N152=""),"",ROUND(L152*N152,2)),"")))</f>
        <v/>
      </c>
      <c r="Q152" s="333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>
      <c r="A153" s="328">
        <f>IF(historico_VU!A91="","",historico_VU!A91)</f>
        <v/>
      </c>
      <c r="B153" s="329">
        <f>IF(A153="","",historico_VU!B91)</f>
        <v/>
      </c>
      <c r="C153" s="330">
        <f>IF(A153="","",historico_VU!C91)</f>
        <v/>
      </c>
      <c r="D153" s="330">
        <f>IF(A153="","",historico_VU!D91)</f>
        <v/>
      </c>
      <c r="E153" s="330">
        <f>IF(A153="","",historico_VU!E91)</f>
        <v/>
      </c>
      <c r="F153" s="330">
        <f>IF(A153="","",historico_VU!F91)</f>
        <v/>
      </c>
      <c r="G153" s="330">
        <f>IF(A153="","",historico_VU!G91)</f>
        <v/>
      </c>
      <c r="H153" s="331">
        <f>IF(A153="","",historico_VU!H91)</f>
        <v/>
      </c>
      <c r="I153" s="151" t="n"/>
      <c r="J153" s="328">
        <f>IF(itens_Remanesc!A91="","",itens_Remanesc!A91)</f>
        <v/>
      </c>
      <c r="K153" s="329">
        <f>IF(J153="","",IF($F$4="C0",itens_Remanesc!B91,IF($F$4="C1",itens_Remanesc!E91,IF($F$4="C2",itens_Remanesc!G91,IF($F$4="C3",itens_Remanesc!I91,itens_Remanesc!K91)))))</f>
        <v/>
      </c>
      <c r="L153" s="329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332">
        <f>IF(J153="","",itens_Remanesc!C91)</f>
        <v/>
      </c>
      <c r="N153" s="332">
        <f>IF(J153="","",IF($F$4="C0",historico_VU!C91,IF($F$4="C1",historico_VU!D91,IF($F$4="C2",historico_VU!E91,IF($F$4="C3",historico_VU!F91,historico_VU!G91)))))</f>
        <v/>
      </c>
      <c r="O153" s="332">
        <f>IF(J153="","",IF(CONTROLE!$B$1="Principal",IF(OR(K153="",M153=""),"",ROUND(K153*M153,2)),IF(CONTROLE!$B$1="Itens Consumidos",IF(OR(L153="",M153=""),"",ROUND(L153*M153,2)),"")))</f>
        <v/>
      </c>
      <c r="P153" s="332">
        <f>IF(J153="","",IF(CONTROLE!$B$1="Principal",IF(OR(K153="",N153=""),"",ROUND(K153*N153,2)),IF(CONTROLE!$B$1="Itens Consumidos",IF(OR(L153="",N153=""),"",ROUND(L153*N153,2)),"")))</f>
        <v/>
      </c>
      <c r="Q153" s="333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>
      <c r="A154" s="328">
        <f>IF(historico_VU!A92="","",historico_VU!A92)</f>
        <v/>
      </c>
      <c r="B154" s="329">
        <f>IF(A154="","",historico_VU!B92)</f>
        <v/>
      </c>
      <c r="C154" s="330">
        <f>IF(A154="","",historico_VU!C92)</f>
        <v/>
      </c>
      <c r="D154" s="330">
        <f>IF(A154="","",historico_VU!D92)</f>
        <v/>
      </c>
      <c r="E154" s="330">
        <f>IF(A154="","",historico_VU!E92)</f>
        <v/>
      </c>
      <c r="F154" s="330">
        <f>IF(A154="","",historico_VU!F92)</f>
        <v/>
      </c>
      <c r="G154" s="330">
        <f>IF(A154="","",historico_VU!G92)</f>
        <v/>
      </c>
      <c r="H154" s="331">
        <f>IF(A154="","",historico_VU!H92)</f>
        <v/>
      </c>
      <c r="I154" s="151" t="n"/>
      <c r="J154" s="328">
        <f>IF(itens_Remanesc!A92="","",itens_Remanesc!A92)</f>
        <v/>
      </c>
      <c r="K154" s="329">
        <f>IF(J154="","",IF($F$4="C0",itens_Remanesc!B92,IF($F$4="C1",itens_Remanesc!E92,IF($F$4="C2",itens_Remanesc!G92,IF($F$4="C3",itens_Remanesc!I92,itens_Remanesc!K92)))))</f>
        <v/>
      </c>
      <c r="L154" s="329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332">
        <f>IF(J154="","",itens_Remanesc!C92)</f>
        <v/>
      </c>
      <c r="N154" s="332">
        <f>IF(J154="","",IF($F$4="C0",historico_VU!C92,IF($F$4="C1",historico_VU!D92,IF($F$4="C2",historico_VU!E92,IF($F$4="C3",historico_VU!F92,historico_VU!G92)))))</f>
        <v/>
      </c>
      <c r="O154" s="332">
        <f>IF(J154="","",IF(CONTROLE!$B$1="Principal",IF(OR(K154="",M154=""),"",ROUND(K154*M154,2)),IF(CONTROLE!$B$1="Itens Consumidos",IF(OR(L154="",M154=""),"",ROUND(L154*M154,2)),"")))</f>
        <v/>
      </c>
      <c r="P154" s="332">
        <f>IF(J154="","",IF(CONTROLE!$B$1="Principal",IF(OR(K154="",N154=""),"",ROUND(K154*N154,2)),IF(CONTROLE!$B$1="Itens Consumidos",IF(OR(L154="",N154=""),"",ROUND(L154*N154,2)),"")))</f>
        <v/>
      </c>
      <c r="Q154" s="333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>
      <c r="A155" s="328">
        <f>IF(historico_VU!A93="","",historico_VU!A93)</f>
        <v/>
      </c>
      <c r="B155" s="329">
        <f>IF(A155="","",historico_VU!B93)</f>
        <v/>
      </c>
      <c r="C155" s="330">
        <f>IF(A155="","",historico_VU!C93)</f>
        <v/>
      </c>
      <c r="D155" s="330">
        <f>IF(A155="","",historico_VU!D93)</f>
        <v/>
      </c>
      <c r="E155" s="330">
        <f>IF(A155="","",historico_VU!E93)</f>
        <v/>
      </c>
      <c r="F155" s="330">
        <f>IF(A155="","",historico_VU!F93)</f>
        <v/>
      </c>
      <c r="G155" s="330">
        <f>IF(A155="","",historico_VU!G93)</f>
        <v/>
      </c>
      <c r="H155" s="331">
        <f>IF(A155="","",historico_VU!H93)</f>
        <v/>
      </c>
      <c r="I155" s="151" t="n"/>
      <c r="J155" s="328">
        <f>IF(itens_Remanesc!A93="","",itens_Remanesc!A93)</f>
        <v/>
      </c>
      <c r="K155" s="329">
        <f>IF(J155="","",IF($F$4="C0",itens_Remanesc!B93,IF($F$4="C1",itens_Remanesc!E93,IF($F$4="C2",itens_Remanesc!G93,IF($F$4="C3",itens_Remanesc!I93,itens_Remanesc!K93)))))</f>
        <v/>
      </c>
      <c r="L155" s="329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332">
        <f>IF(J155="","",itens_Remanesc!C93)</f>
        <v/>
      </c>
      <c r="N155" s="332">
        <f>IF(J155="","",IF($F$4="C0",historico_VU!C93,IF($F$4="C1",historico_VU!D93,IF($F$4="C2",historico_VU!E93,IF($F$4="C3",historico_VU!F93,historico_VU!G93)))))</f>
        <v/>
      </c>
      <c r="O155" s="332">
        <f>IF(J155="","",IF(CONTROLE!$B$1="Principal",IF(OR(K155="",M155=""),"",ROUND(K155*M155,2)),IF(CONTROLE!$B$1="Itens Consumidos",IF(OR(L155="",M155=""),"",ROUND(L155*M155,2)),"")))</f>
        <v/>
      </c>
      <c r="P155" s="332">
        <f>IF(J155="","",IF(CONTROLE!$B$1="Principal",IF(OR(K155="",N155=""),"",ROUND(K155*N155,2)),IF(CONTROLE!$B$1="Itens Consumidos",IF(OR(L155="",N155=""),"",ROUND(L155*N155,2)),"")))</f>
        <v/>
      </c>
      <c r="Q155" s="333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>
      <c r="A156" s="328">
        <f>IF(historico_VU!A94="","",historico_VU!A94)</f>
        <v/>
      </c>
      <c r="B156" s="329">
        <f>IF(A156="","",historico_VU!B94)</f>
        <v/>
      </c>
      <c r="C156" s="330">
        <f>IF(A156="","",historico_VU!C94)</f>
        <v/>
      </c>
      <c r="D156" s="330">
        <f>IF(A156="","",historico_VU!D94)</f>
        <v/>
      </c>
      <c r="E156" s="330">
        <f>IF(A156="","",historico_VU!E94)</f>
        <v/>
      </c>
      <c r="F156" s="330">
        <f>IF(A156="","",historico_VU!F94)</f>
        <v/>
      </c>
      <c r="G156" s="330">
        <f>IF(A156="","",historico_VU!G94)</f>
        <v/>
      </c>
      <c r="H156" s="331">
        <f>IF(A156="","",historico_VU!H94)</f>
        <v/>
      </c>
      <c r="I156" s="151" t="n"/>
      <c r="J156" s="328">
        <f>IF(itens_Remanesc!A94="","",itens_Remanesc!A94)</f>
        <v/>
      </c>
      <c r="K156" s="329">
        <f>IF(J156="","",IF($F$4="C0",itens_Remanesc!B94,IF($F$4="C1",itens_Remanesc!E94,IF($F$4="C2",itens_Remanesc!G94,IF($F$4="C3",itens_Remanesc!I94,itens_Remanesc!K94)))))</f>
        <v/>
      </c>
      <c r="L156" s="329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332">
        <f>IF(J156="","",itens_Remanesc!C94)</f>
        <v/>
      </c>
      <c r="N156" s="332">
        <f>IF(J156="","",IF($F$4="C0",historico_VU!C94,IF($F$4="C1",historico_VU!D94,IF($F$4="C2",historico_VU!E94,IF($F$4="C3",historico_VU!F94,historico_VU!G94)))))</f>
        <v/>
      </c>
      <c r="O156" s="332">
        <f>IF(J156="","",IF(CONTROLE!$B$1="Principal",IF(OR(K156="",M156=""),"",ROUND(K156*M156,2)),IF(CONTROLE!$B$1="Itens Consumidos",IF(OR(L156="",M156=""),"",ROUND(L156*M156,2)),"")))</f>
        <v/>
      </c>
      <c r="P156" s="332">
        <f>IF(J156="","",IF(CONTROLE!$B$1="Principal",IF(OR(K156="",N156=""),"",ROUND(K156*N156,2)),IF(CONTROLE!$B$1="Itens Consumidos",IF(OR(L156="",N156=""),"",ROUND(L156*N156,2)),"")))</f>
        <v/>
      </c>
      <c r="Q156" s="333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>
      <c r="A157" s="328">
        <f>IF(historico_VU!A95="","",historico_VU!A95)</f>
        <v/>
      </c>
      <c r="B157" s="329">
        <f>IF(A157="","",historico_VU!B95)</f>
        <v/>
      </c>
      <c r="C157" s="330">
        <f>IF(A157="","",historico_VU!C95)</f>
        <v/>
      </c>
      <c r="D157" s="330">
        <f>IF(A157="","",historico_VU!D95)</f>
        <v/>
      </c>
      <c r="E157" s="330">
        <f>IF(A157="","",historico_VU!E95)</f>
        <v/>
      </c>
      <c r="F157" s="330">
        <f>IF(A157="","",historico_VU!F95)</f>
        <v/>
      </c>
      <c r="G157" s="330">
        <f>IF(A157="","",historico_VU!G95)</f>
        <v/>
      </c>
      <c r="H157" s="331">
        <f>IF(A157="","",historico_VU!H95)</f>
        <v/>
      </c>
      <c r="I157" s="151" t="n"/>
      <c r="J157" s="328">
        <f>IF(itens_Remanesc!A95="","",itens_Remanesc!A95)</f>
        <v/>
      </c>
      <c r="K157" s="329">
        <f>IF(J157="","",IF($F$4="C0",itens_Remanesc!B95,IF($F$4="C1",itens_Remanesc!E95,IF($F$4="C2",itens_Remanesc!G95,IF($F$4="C3",itens_Remanesc!I95,itens_Remanesc!K95)))))</f>
        <v/>
      </c>
      <c r="L157" s="329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332">
        <f>IF(J157="","",itens_Remanesc!C95)</f>
        <v/>
      </c>
      <c r="N157" s="332">
        <f>IF(J157="","",IF($F$4="C0",historico_VU!C95,IF($F$4="C1",historico_VU!D95,IF($F$4="C2",historico_VU!E95,IF($F$4="C3",historico_VU!F95,historico_VU!G95)))))</f>
        <v/>
      </c>
      <c r="O157" s="332">
        <f>IF(J157="","",IF(CONTROLE!$B$1="Principal",IF(OR(K157="",M157=""),"",ROUND(K157*M157,2)),IF(CONTROLE!$B$1="Itens Consumidos",IF(OR(L157="",M157=""),"",ROUND(L157*M157,2)),"")))</f>
        <v/>
      </c>
      <c r="P157" s="332">
        <f>IF(J157="","",IF(CONTROLE!$B$1="Principal",IF(OR(K157="",N157=""),"",ROUND(K157*N157,2)),IF(CONTROLE!$B$1="Itens Consumidos",IF(OR(L157="",N157=""),"",ROUND(L157*N157,2)),"")))</f>
        <v/>
      </c>
      <c r="Q157" s="333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>
      <c r="A158" s="328">
        <f>IF(historico_VU!A96="","",historico_VU!A96)</f>
        <v/>
      </c>
      <c r="B158" s="329">
        <f>IF(A158="","",historico_VU!B96)</f>
        <v/>
      </c>
      <c r="C158" s="330">
        <f>IF(A158="","",historico_VU!C96)</f>
        <v/>
      </c>
      <c r="D158" s="330">
        <f>IF(A158="","",historico_VU!D96)</f>
        <v/>
      </c>
      <c r="E158" s="330">
        <f>IF(A158="","",historico_VU!E96)</f>
        <v/>
      </c>
      <c r="F158" s="330">
        <f>IF(A158="","",historico_VU!F96)</f>
        <v/>
      </c>
      <c r="G158" s="330">
        <f>IF(A158="","",historico_VU!G96)</f>
        <v/>
      </c>
      <c r="H158" s="331">
        <f>IF(A158="","",historico_VU!H96)</f>
        <v/>
      </c>
      <c r="I158" s="151" t="n"/>
      <c r="J158" s="328">
        <f>IF(itens_Remanesc!A96="","",itens_Remanesc!A96)</f>
        <v/>
      </c>
      <c r="K158" s="329">
        <f>IF(J158="","",IF($F$4="C0",itens_Remanesc!B96,IF($F$4="C1",itens_Remanesc!E96,IF($F$4="C2",itens_Remanesc!G96,IF($F$4="C3",itens_Remanesc!I96,itens_Remanesc!K96)))))</f>
        <v/>
      </c>
      <c r="L158" s="329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332">
        <f>IF(J158="","",itens_Remanesc!C96)</f>
        <v/>
      </c>
      <c r="N158" s="332">
        <f>IF(J158="","",IF($F$4="C0",historico_VU!C96,IF($F$4="C1",historico_VU!D96,IF($F$4="C2",historico_VU!E96,IF($F$4="C3",historico_VU!F96,historico_VU!G96)))))</f>
        <v/>
      </c>
      <c r="O158" s="332">
        <f>IF(J158="","",IF(CONTROLE!$B$1="Principal",IF(OR(K158="",M158=""),"",ROUND(K158*M158,2)),IF(CONTROLE!$B$1="Itens Consumidos",IF(OR(L158="",M158=""),"",ROUND(L158*M158,2)),"")))</f>
        <v/>
      </c>
      <c r="P158" s="332">
        <f>IF(J158="","",IF(CONTROLE!$B$1="Principal",IF(OR(K158="",N158=""),"",ROUND(K158*N158,2)),IF(CONTROLE!$B$1="Itens Consumidos",IF(OR(L158="",N158=""),"",ROUND(L158*N158,2)),"")))</f>
        <v/>
      </c>
      <c r="Q158" s="333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>
      <c r="A159" s="328">
        <f>IF(historico_VU!A97="","",historico_VU!A97)</f>
        <v/>
      </c>
      <c r="B159" s="329">
        <f>IF(A159="","",historico_VU!B97)</f>
        <v/>
      </c>
      <c r="C159" s="330">
        <f>IF(A159="","",historico_VU!C97)</f>
        <v/>
      </c>
      <c r="D159" s="330">
        <f>IF(A159="","",historico_VU!D97)</f>
        <v/>
      </c>
      <c r="E159" s="330">
        <f>IF(A159="","",historico_VU!E97)</f>
        <v/>
      </c>
      <c r="F159" s="330">
        <f>IF(A159="","",historico_VU!F97)</f>
        <v/>
      </c>
      <c r="G159" s="330">
        <f>IF(A159="","",historico_VU!G97)</f>
        <v/>
      </c>
      <c r="H159" s="331">
        <f>IF(A159="","",historico_VU!H97)</f>
        <v/>
      </c>
      <c r="I159" s="151" t="n"/>
      <c r="J159" s="328">
        <f>IF(itens_Remanesc!A97="","",itens_Remanesc!A97)</f>
        <v/>
      </c>
      <c r="K159" s="329">
        <f>IF(J159="","",IF($F$4="C0",itens_Remanesc!B97,IF($F$4="C1",itens_Remanesc!E97,IF($F$4="C2",itens_Remanesc!G97,IF($F$4="C3",itens_Remanesc!I97,itens_Remanesc!K97)))))</f>
        <v/>
      </c>
      <c r="L159" s="329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332">
        <f>IF(J159="","",itens_Remanesc!C97)</f>
        <v/>
      </c>
      <c r="N159" s="332">
        <f>IF(J159="","",IF($F$4="C0",historico_VU!C97,IF($F$4="C1",historico_VU!D97,IF($F$4="C2",historico_VU!E97,IF($F$4="C3",historico_VU!F97,historico_VU!G97)))))</f>
        <v/>
      </c>
      <c r="O159" s="332">
        <f>IF(J159="","",IF(CONTROLE!$B$1="Principal",IF(OR(K159="",M159=""),"",ROUND(K159*M159,2)),IF(CONTROLE!$B$1="Itens Consumidos",IF(OR(L159="",M159=""),"",ROUND(L159*M159,2)),"")))</f>
        <v/>
      </c>
      <c r="P159" s="332">
        <f>IF(J159="","",IF(CONTROLE!$B$1="Principal",IF(OR(K159="",N159=""),"",ROUND(K159*N159,2)),IF(CONTROLE!$B$1="Itens Consumidos",IF(OR(L159="",N159=""),"",ROUND(L159*N159,2)),"")))</f>
        <v/>
      </c>
      <c r="Q159" s="333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>
      <c r="A160" s="328">
        <f>IF(historico_VU!A98="","",historico_VU!A98)</f>
        <v/>
      </c>
      <c r="B160" s="329">
        <f>IF(A160="","",historico_VU!B98)</f>
        <v/>
      </c>
      <c r="C160" s="330">
        <f>IF(A160="","",historico_VU!C98)</f>
        <v/>
      </c>
      <c r="D160" s="330">
        <f>IF(A160="","",historico_VU!D98)</f>
        <v/>
      </c>
      <c r="E160" s="330">
        <f>IF(A160="","",historico_VU!E98)</f>
        <v/>
      </c>
      <c r="F160" s="330">
        <f>IF(A160="","",historico_VU!F98)</f>
        <v/>
      </c>
      <c r="G160" s="330">
        <f>IF(A160="","",historico_VU!G98)</f>
        <v/>
      </c>
      <c r="H160" s="331">
        <f>IF(A160="","",historico_VU!H98)</f>
        <v/>
      </c>
      <c r="I160" s="151" t="n"/>
      <c r="J160" s="328">
        <f>IF(itens_Remanesc!A98="","",itens_Remanesc!A98)</f>
        <v/>
      </c>
      <c r="K160" s="329">
        <f>IF(J160="","",IF($F$4="C0",itens_Remanesc!B98,IF($F$4="C1",itens_Remanesc!E98,IF($F$4="C2",itens_Remanesc!G98,IF($F$4="C3",itens_Remanesc!I98,itens_Remanesc!K98)))))</f>
        <v/>
      </c>
      <c r="L160" s="329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332">
        <f>IF(J160="","",itens_Remanesc!C98)</f>
        <v/>
      </c>
      <c r="N160" s="332">
        <f>IF(J160="","",IF($F$4="C0",historico_VU!C98,IF($F$4="C1",historico_VU!D98,IF($F$4="C2",historico_VU!E98,IF($F$4="C3",historico_VU!F98,historico_VU!G98)))))</f>
        <v/>
      </c>
      <c r="O160" s="332">
        <f>IF(J160="","",IF(CONTROLE!$B$1="Principal",IF(OR(K160="",M160=""),"",ROUND(K160*M160,2)),IF(CONTROLE!$B$1="Itens Consumidos",IF(OR(L160="",M160=""),"",ROUND(L160*M160,2)),"")))</f>
        <v/>
      </c>
      <c r="P160" s="332">
        <f>IF(J160="","",IF(CONTROLE!$B$1="Principal",IF(OR(K160="",N160=""),"",ROUND(K160*N160,2)),IF(CONTROLE!$B$1="Itens Consumidos",IF(OR(L160="",N160=""),"",ROUND(L160*N160,2)),"")))</f>
        <v/>
      </c>
      <c r="Q160" s="333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>
      <c r="A161" s="328">
        <f>IF(historico_VU!A99="","",historico_VU!A99)</f>
        <v/>
      </c>
      <c r="B161" s="329">
        <f>IF(A161="","",historico_VU!B99)</f>
        <v/>
      </c>
      <c r="C161" s="330">
        <f>IF(A161="","",historico_VU!C99)</f>
        <v/>
      </c>
      <c r="D161" s="330">
        <f>IF(A161="","",historico_VU!D99)</f>
        <v/>
      </c>
      <c r="E161" s="330">
        <f>IF(A161="","",historico_VU!E99)</f>
        <v/>
      </c>
      <c r="F161" s="330">
        <f>IF(A161="","",historico_VU!F99)</f>
        <v/>
      </c>
      <c r="G161" s="330">
        <f>IF(A161="","",historico_VU!G99)</f>
        <v/>
      </c>
      <c r="H161" s="331">
        <f>IF(A161="","",historico_VU!H99)</f>
        <v/>
      </c>
      <c r="I161" s="151" t="n"/>
      <c r="J161" s="328">
        <f>IF(itens_Remanesc!A99="","",itens_Remanesc!A99)</f>
        <v/>
      </c>
      <c r="K161" s="329">
        <f>IF(J161="","",IF($F$4="C0",itens_Remanesc!B99,IF($F$4="C1",itens_Remanesc!E99,IF($F$4="C2",itens_Remanesc!G99,IF($F$4="C3",itens_Remanesc!I99,itens_Remanesc!K99)))))</f>
        <v/>
      </c>
      <c r="L161" s="329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332">
        <f>IF(J161="","",itens_Remanesc!C99)</f>
        <v/>
      </c>
      <c r="N161" s="332">
        <f>IF(J161="","",IF($F$4="C0",historico_VU!C99,IF($F$4="C1",historico_VU!D99,IF($F$4="C2",historico_VU!E99,IF($F$4="C3",historico_VU!F99,historico_VU!G99)))))</f>
        <v/>
      </c>
      <c r="O161" s="332">
        <f>IF(J161="","",IF(CONTROLE!$B$1="Principal",IF(OR(K161="",M161=""),"",ROUND(K161*M161,2)),IF(CONTROLE!$B$1="Itens Consumidos",IF(OR(L161="",M161=""),"",ROUND(L161*M161,2)),"")))</f>
        <v/>
      </c>
      <c r="P161" s="332">
        <f>IF(J161="","",IF(CONTROLE!$B$1="Principal",IF(OR(K161="",N161=""),"",ROUND(K161*N161,2)),IF(CONTROLE!$B$1="Itens Consumidos",IF(OR(L161="",N161=""),"",ROUND(L161*N161,2)),"")))</f>
        <v/>
      </c>
      <c r="Q161" s="333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>
      <c r="A162" s="328">
        <f>IF(historico_VU!A100="","",historico_VU!A100)</f>
        <v/>
      </c>
      <c r="B162" s="329">
        <f>IF(A162="","",historico_VU!B100)</f>
        <v/>
      </c>
      <c r="C162" s="330">
        <f>IF(A162="","",historico_VU!C100)</f>
        <v/>
      </c>
      <c r="D162" s="330">
        <f>IF(A162="","",historico_VU!D100)</f>
        <v/>
      </c>
      <c r="E162" s="330">
        <f>IF(A162="","",historico_VU!E100)</f>
        <v/>
      </c>
      <c r="F162" s="330">
        <f>IF(A162="","",historico_VU!F100)</f>
        <v/>
      </c>
      <c r="G162" s="330">
        <f>IF(A162="","",historico_VU!G100)</f>
        <v/>
      </c>
      <c r="H162" s="331">
        <f>IF(A162="","",historico_VU!H100)</f>
        <v/>
      </c>
      <c r="I162" s="151" t="n"/>
      <c r="J162" s="328">
        <f>IF(itens_Remanesc!A100="","",itens_Remanesc!A100)</f>
        <v/>
      </c>
      <c r="K162" s="329">
        <f>IF(J162="","",IF($F$4="C0",itens_Remanesc!B100,IF($F$4="C1",itens_Remanesc!E100,IF($F$4="C2",itens_Remanesc!G100,IF($F$4="C3",itens_Remanesc!I100,itens_Remanesc!K100)))))</f>
        <v/>
      </c>
      <c r="L162" s="329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332">
        <f>IF(J162="","",itens_Remanesc!C100)</f>
        <v/>
      </c>
      <c r="N162" s="332">
        <f>IF(J162="","",IF($F$4="C0",historico_VU!C100,IF($F$4="C1",historico_VU!D100,IF($F$4="C2",historico_VU!E100,IF($F$4="C3",historico_VU!F100,historico_VU!G100)))))</f>
        <v/>
      </c>
      <c r="O162" s="332">
        <f>IF(J162="","",IF(CONTROLE!$B$1="Principal",IF(OR(K162="",M162=""),"",ROUND(K162*M162,2)),IF(CONTROLE!$B$1="Itens Consumidos",IF(OR(L162="",M162=""),"",ROUND(L162*M162,2)),"")))</f>
        <v/>
      </c>
      <c r="P162" s="332">
        <f>IF(J162="","",IF(CONTROLE!$B$1="Principal",IF(OR(K162="",N162=""),"",ROUND(K162*N162,2)),IF(CONTROLE!$B$1="Itens Consumidos",IF(OR(L162="",N162=""),"",ROUND(L162*N162,2)),"")))</f>
        <v/>
      </c>
      <c r="Q162" s="333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>
      <c r="A163" s="328">
        <f>IF(historico_VU!A101="","",historico_VU!A101)</f>
        <v/>
      </c>
      <c r="B163" s="329">
        <f>IF(A163="","",historico_VU!B101)</f>
        <v/>
      </c>
      <c r="C163" s="330">
        <f>IF(A163="","",historico_VU!C101)</f>
        <v/>
      </c>
      <c r="D163" s="330">
        <f>IF(A163="","",historico_VU!D101)</f>
        <v/>
      </c>
      <c r="E163" s="330">
        <f>IF(A163="","",historico_VU!E101)</f>
        <v/>
      </c>
      <c r="F163" s="330">
        <f>IF(A163="","",historico_VU!F101)</f>
        <v/>
      </c>
      <c r="G163" s="330">
        <f>IF(A163="","",historico_VU!G101)</f>
        <v/>
      </c>
      <c r="H163" s="331">
        <f>IF(A163="","",historico_VU!H101)</f>
        <v/>
      </c>
      <c r="I163" s="151" t="n"/>
      <c r="J163" s="328">
        <f>IF(itens_Remanesc!A101="","",itens_Remanesc!A101)</f>
        <v/>
      </c>
      <c r="K163" s="329">
        <f>IF(J163="","",IF($F$4="C0",itens_Remanesc!B101,IF($F$4="C1",itens_Remanesc!E101,IF($F$4="C2",itens_Remanesc!G101,IF($F$4="C3",itens_Remanesc!I101,itens_Remanesc!K101)))))</f>
        <v/>
      </c>
      <c r="L163" s="329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332">
        <f>IF(J163="","",itens_Remanesc!C101)</f>
        <v/>
      </c>
      <c r="N163" s="332">
        <f>IF(J163="","",IF($F$4="C0",historico_VU!C101,IF($F$4="C1",historico_VU!D101,IF($F$4="C2",historico_VU!E101,IF($F$4="C3",historico_VU!F101,historico_VU!G101)))))</f>
        <v/>
      </c>
      <c r="O163" s="332">
        <f>IF(J163="","",IF(CONTROLE!$B$1="Principal",IF(OR(K163="",M163=""),"",ROUND(K163*M163,2)),IF(CONTROLE!$B$1="Itens Consumidos",IF(OR(L163="",M163=""),"",ROUND(L163*M163,2)),"")))</f>
        <v/>
      </c>
      <c r="P163" s="332">
        <f>IF(J163="","",IF(CONTROLE!$B$1="Principal",IF(OR(K163="",N163=""),"",ROUND(K163*N163,2)),IF(CONTROLE!$B$1="Itens Consumidos",IF(OR(L163="",N163=""),"",ROUND(L163*N163,2)),"")))</f>
        <v/>
      </c>
      <c r="Q163" s="333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>
      <c r="A164" s="328">
        <f>IF(historico_VU!A102="","",historico_VU!A102)</f>
        <v/>
      </c>
      <c r="B164" s="329">
        <f>IF(A164="","",historico_VU!B102)</f>
        <v/>
      </c>
      <c r="C164" s="330">
        <f>IF(A164="","",historico_VU!C102)</f>
        <v/>
      </c>
      <c r="D164" s="330">
        <f>IF(A164="","",historico_VU!D102)</f>
        <v/>
      </c>
      <c r="E164" s="330">
        <f>IF(A164="","",historico_VU!E102)</f>
        <v/>
      </c>
      <c r="F164" s="330">
        <f>IF(A164="","",historico_VU!F102)</f>
        <v/>
      </c>
      <c r="G164" s="330">
        <f>IF(A164="","",historico_VU!G102)</f>
        <v/>
      </c>
      <c r="H164" s="331">
        <f>IF(A164="","",historico_VU!H102)</f>
        <v/>
      </c>
      <c r="I164" s="151" t="n"/>
      <c r="J164" s="328">
        <f>IF(itens_Remanesc!A102="","",itens_Remanesc!A102)</f>
        <v/>
      </c>
      <c r="K164" s="329">
        <f>IF(J164="","",IF($F$4="C0",itens_Remanesc!B102,IF($F$4="C1",itens_Remanesc!E102,IF($F$4="C2",itens_Remanesc!G102,IF($F$4="C3",itens_Remanesc!I102,itens_Remanesc!K102)))))</f>
        <v/>
      </c>
      <c r="L164" s="329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332">
        <f>IF(J164="","",itens_Remanesc!C102)</f>
        <v/>
      </c>
      <c r="N164" s="332">
        <f>IF(J164="","",IF($F$4="C0",historico_VU!C102,IF($F$4="C1",historico_VU!D102,IF($F$4="C2",historico_VU!E102,IF($F$4="C3",historico_VU!F102,historico_VU!G102)))))</f>
        <v/>
      </c>
      <c r="O164" s="332">
        <f>IF(J164="","",IF(CONTROLE!$B$1="Principal",IF(OR(K164="",M164=""),"",ROUND(K164*M164,2)),IF(CONTROLE!$B$1="Itens Consumidos",IF(OR(L164="",M164=""),"",ROUND(L164*M164,2)),"")))</f>
        <v/>
      </c>
      <c r="P164" s="332">
        <f>IF(J164="","",IF(CONTROLE!$B$1="Principal",IF(OR(K164="",N164=""),"",ROUND(K164*N164,2)),IF(CONTROLE!$B$1="Itens Consumidos",IF(OR(L164="",N164=""),"",ROUND(L164*N164,2)),"")))</f>
        <v/>
      </c>
      <c r="Q164" s="333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>
      <c r="A165" s="328">
        <f>IF(historico_VU!A103="","",historico_VU!A103)</f>
        <v/>
      </c>
      <c r="B165" s="329">
        <f>IF(A165="","",historico_VU!B103)</f>
        <v/>
      </c>
      <c r="C165" s="330">
        <f>IF(A165="","",historico_VU!C103)</f>
        <v/>
      </c>
      <c r="D165" s="330">
        <f>IF(A165="","",historico_VU!D103)</f>
        <v/>
      </c>
      <c r="E165" s="330">
        <f>IF(A165="","",historico_VU!E103)</f>
        <v/>
      </c>
      <c r="F165" s="330">
        <f>IF(A165="","",historico_VU!F103)</f>
        <v/>
      </c>
      <c r="G165" s="330">
        <f>IF(A165="","",historico_VU!G103)</f>
        <v/>
      </c>
      <c r="H165" s="331">
        <f>IF(A165="","",historico_VU!H103)</f>
        <v/>
      </c>
      <c r="I165" s="151" t="n"/>
      <c r="J165" s="328">
        <f>IF(itens_Remanesc!A103="","",itens_Remanesc!A103)</f>
        <v/>
      </c>
      <c r="K165" s="329">
        <f>IF(J165="","",IF($F$4="C0",itens_Remanesc!B103,IF($F$4="C1",itens_Remanesc!E103,IF($F$4="C2",itens_Remanesc!G103,IF($F$4="C3",itens_Remanesc!I103,itens_Remanesc!K103)))))</f>
        <v/>
      </c>
      <c r="L165" s="329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332">
        <f>IF(J165="","",itens_Remanesc!C103)</f>
        <v/>
      </c>
      <c r="N165" s="332">
        <f>IF(J165="","",IF($F$4="C0",historico_VU!C103,IF($F$4="C1",historico_VU!D103,IF($F$4="C2",historico_VU!E103,IF($F$4="C3",historico_VU!F103,historico_VU!G103)))))</f>
        <v/>
      </c>
      <c r="O165" s="332">
        <f>IF(J165="","",IF(CONTROLE!$B$1="Principal",IF(OR(K165="",M165=""),"",ROUND(K165*M165,2)),IF(CONTROLE!$B$1="Itens Consumidos",IF(OR(L165="",M165=""),"",ROUND(L165*M165,2)),"")))</f>
        <v/>
      </c>
      <c r="P165" s="332">
        <f>IF(J165="","",IF(CONTROLE!$B$1="Principal",IF(OR(K165="",N165=""),"",ROUND(K165*N165,2)),IF(CONTROLE!$B$1="Itens Consumidos",IF(OR(L165="",N165=""),"",ROUND(L165*N165,2)),"")))</f>
        <v/>
      </c>
      <c r="Q165" s="333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>
      <c r="A166" s="328">
        <f>IF(historico_VU!A104="","",historico_VU!A104)</f>
        <v/>
      </c>
      <c r="B166" s="329">
        <f>IF(A166="","",historico_VU!B104)</f>
        <v/>
      </c>
      <c r="C166" s="330">
        <f>IF(A166="","",historico_VU!C104)</f>
        <v/>
      </c>
      <c r="D166" s="330">
        <f>IF(A166="","",historico_VU!D104)</f>
        <v/>
      </c>
      <c r="E166" s="330">
        <f>IF(A166="","",historico_VU!E104)</f>
        <v/>
      </c>
      <c r="F166" s="330">
        <f>IF(A166="","",historico_VU!F104)</f>
        <v/>
      </c>
      <c r="G166" s="330">
        <f>IF(A166="","",historico_VU!G104)</f>
        <v/>
      </c>
      <c r="H166" s="331">
        <f>IF(A166="","",historico_VU!H104)</f>
        <v/>
      </c>
      <c r="I166" s="151" t="n"/>
      <c r="J166" s="328">
        <f>IF(itens_Remanesc!A104="","",itens_Remanesc!A104)</f>
        <v/>
      </c>
      <c r="K166" s="329">
        <f>IF(J166="","",IF($F$4="C0",itens_Remanesc!B104,IF($F$4="C1",itens_Remanesc!E104,IF($F$4="C2",itens_Remanesc!G104,IF($F$4="C3",itens_Remanesc!I104,itens_Remanesc!K104)))))</f>
        <v/>
      </c>
      <c r="L166" s="329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332">
        <f>IF(J166="","",itens_Remanesc!C104)</f>
        <v/>
      </c>
      <c r="N166" s="332">
        <f>IF(J166="","",IF($F$4="C0",historico_VU!C104,IF($F$4="C1",historico_VU!D104,IF($F$4="C2",historico_VU!E104,IF($F$4="C3",historico_VU!F104,historico_VU!G104)))))</f>
        <v/>
      </c>
      <c r="O166" s="332">
        <f>IF(J166="","",IF(CONTROLE!$B$1="Principal",IF(OR(K166="",M166=""),"",ROUND(K166*M166,2)),IF(CONTROLE!$B$1="Itens Consumidos",IF(OR(L166="",M166=""),"",ROUND(L166*M166,2)),"")))</f>
        <v/>
      </c>
      <c r="P166" s="332">
        <f>IF(J166="","",IF(CONTROLE!$B$1="Principal",IF(OR(K166="",N166=""),"",ROUND(K166*N166,2)),IF(CONTROLE!$B$1="Itens Consumidos",IF(OR(L166="",N166=""),"",ROUND(L166*N166,2)),"")))</f>
        <v/>
      </c>
      <c r="Q166" s="333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>
      <c r="A167" s="328">
        <f>IF(historico_VU!A105="","",historico_VU!A105)</f>
        <v/>
      </c>
      <c r="B167" s="329">
        <f>IF(A167="","",historico_VU!B105)</f>
        <v/>
      </c>
      <c r="C167" s="330">
        <f>IF(A167="","",historico_VU!C105)</f>
        <v/>
      </c>
      <c r="D167" s="330">
        <f>IF(A167="","",historico_VU!D105)</f>
        <v/>
      </c>
      <c r="E167" s="330">
        <f>IF(A167="","",historico_VU!E105)</f>
        <v/>
      </c>
      <c r="F167" s="330">
        <f>IF(A167="","",historico_VU!F105)</f>
        <v/>
      </c>
      <c r="G167" s="330">
        <f>IF(A167="","",historico_VU!G105)</f>
        <v/>
      </c>
      <c r="H167" s="331">
        <f>IF(A167="","",historico_VU!H105)</f>
        <v/>
      </c>
      <c r="I167" s="151" t="n"/>
      <c r="J167" s="328">
        <f>IF(itens_Remanesc!A105="","",itens_Remanesc!A105)</f>
        <v/>
      </c>
      <c r="K167" s="329">
        <f>IF(J167="","",IF($F$4="C0",itens_Remanesc!B105,IF($F$4="C1",itens_Remanesc!E105,IF($F$4="C2",itens_Remanesc!G105,IF($F$4="C3",itens_Remanesc!I105,itens_Remanesc!K105)))))</f>
        <v/>
      </c>
      <c r="L167" s="329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332">
        <f>IF(J167="","",itens_Remanesc!C105)</f>
        <v/>
      </c>
      <c r="N167" s="332">
        <f>IF(J167="","",IF($F$4="C0",historico_VU!C105,IF($F$4="C1",historico_VU!D105,IF($F$4="C2",historico_VU!E105,IF($F$4="C3",historico_VU!F105,historico_VU!G105)))))</f>
        <v/>
      </c>
      <c r="O167" s="332">
        <f>IF(J167="","",IF(CONTROLE!$B$1="Principal",IF(OR(K167="",M167=""),"",ROUND(K167*M167,2)),IF(CONTROLE!$B$1="Itens Consumidos",IF(OR(L167="",M167=""),"",ROUND(L167*M167,2)),"")))</f>
        <v/>
      </c>
      <c r="P167" s="332">
        <f>IF(J167="","",IF(CONTROLE!$B$1="Principal",IF(OR(K167="",N167=""),"",ROUND(K167*N167,2)),IF(CONTROLE!$B$1="Itens Consumidos",IF(OR(L167="",N167=""),"",ROUND(L167*N167,2)),"")))</f>
        <v/>
      </c>
      <c r="Q167" s="333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>
      <c r="A168" s="328">
        <f>IF(historico_VU!A106="","",historico_VU!A106)</f>
        <v/>
      </c>
      <c r="B168" s="329">
        <f>IF(A168="","",historico_VU!B106)</f>
        <v/>
      </c>
      <c r="C168" s="330">
        <f>IF(A168="","",historico_VU!C106)</f>
        <v/>
      </c>
      <c r="D168" s="330">
        <f>IF(A168="","",historico_VU!D106)</f>
        <v/>
      </c>
      <c r="E168" s="330">
        <f>IF(A168="","",historico_VU!E106)</f>
        <v/>
      </c>
      <c r="F168" s="330">
        <f>IF(A168="","",historico_VU!F106)</f>
        <v/>
      </c>
      <c r="G168" s="330">
        <f>IF(A168="","",historico_VU!G106)</f>
        <v/>
      </c>
      <c r="H168" s="331">
        <f>IF(A168="","",historico_VU!H106)</f>
        <v/>
      </c>
      <c r="I168" s="151" t="n"/>
      <c r="J168" s="328">
        <f>IF(itens_Remanesc!A106="","",itens_Remanesc!A106)</f>
        <v/>
      </c>
      <c r="K168" s="329">
        <f>IF(J168="","",IF($F$4="C0",itens_Remanesc!B106,IF($F$4="C1",itens_Remanesc!E106,IF($F$4="C2",itens_Remanesc!G106,IF($F$4="C3",itens_Remanesc!I106,itens_Remanesc!K106)))))</f>
        <v/>
      </c>
      <c r="L168" s="329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332">
        <f>IF(J168="","",itens_Remanesc!C106)</f>
        <v/>
      </c>
      <c r="N168" s="332">
        <f>IF(J168="","",IF($F$4="C0",historico_VU!C106,IF($F$4="C1",historico_VU!D106,IF($F$4="C2",historico_VU!E106,IF($F$4="C3",historico_VU!F106,historico_VU!G106)))))</f>
        <v/>
      </c>
      <c r="O168" s="332">
        <f>IF(J168="","",IF(CONTROLE!$B$1="Principal",IF(OR(K168="",M168=""),"",ROUND(K168*M168,2)),IF(CONTROLE!$B$1="Itens Consumidos",IF(OR(L168="",M168=""),"",ROUND(L168*M168,2)),"")))</f>
        <v/>
      </c>
      <c r="P168" s="332">
        <f>IF(J168="","",IF(CONTROLE!$B$1="Principal",IF(OR(K168="",N168=""),"",ROUND(K168*N168,2)),IF(CONTROLE!$B$1="Itens Consumidos",IF(OR(L168="",N168=""),"",ROUND(L168*N168,2)),"")))</f>
        <v/>
      </c>
      <c r="Q168" s="333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>
      <c r="A169" s="328">
        <f>IF(historico_VU!A107="","",historico_VU!A107)</f>
        <v/>
      </c>
      <c r="B169" s="329">
        <f>IF(A169="","",historico_VU!B107)</f>
        <v/>
      </c>
      <c r="C169" s="330">
        <f>IF(A169="","",historico_VU!C107)</f>
        <v/>
      </c>
      <c r="D169" s="330">
        <f>IF(A169="","",historico_VU!D107)</f>
        <v/>
      </c>
      <c r="E169" s="330">
        <f>IF(A169="","",historico_VU!E107)</f>
        <v/>
      </c>
      <c r="F169" s="330">
        <f>IF(A169="","",historico_VU!F107)</f>
        <v/>
      </c>
      <c r="G169" s="330">
        <f>IF(A169="","",historico_VU!G107)</f>
        <v/>
      </c>
      <c r="H169" s="331">
        <f>IF(A169="","",historico_VU!H107)</f>
        <v/>
      </c>
      <c r="I169" s="151" t="n"/>
      <c r="J169" s="328">
        <f>IF(itens_Remanesc!A107="","",itens_Remanesc!A107)</f>
        <v/>
      </c>
      <c r="K169" s="329">
        <f>IF(J169="","",IF($F$4="C0",itens_Remanesc!B107,IF($F$4="C1",itens_Remanesc!E107,IF($F$4="C2",itens_Remanesc!G107,IF($F$4="C3",itens_Remanesc!I107,itens_Remanesc!K107)))))</f>
        <v/>
      </c>
      <c r="L169" s="329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332">
        <f>IF(J169="","",itens_Remanesc!C107)</f>
        <v/>
      </c>
      <c r="N169" s="332">
        <f>IF(J169="","",IF($F$4="C0",historico_VU!C107,IF($F$4="C1",historico_VU!D107,IF($F$4="C2",historico_VU!E107,IF($F$4="C3",historico_VU!F107,historico_VU!G107)))))</f>
        <v/>
      </c>
      <c r="O169" s="332">
        <f>IF(J169="","",IF(CONTROLE!$B$1="Principal",IF(OR(K169="",M169=""),"",ROUND(K169*M169,2)),IF(CONTROLE!$B$1="Itens Consumidos",IF(OR(L169="",M169=""),"",ROUND(L169*M169,2)),"")))</f>
        <v/>
      </c>
      <c r="P169" s="332">
        <f>IF(J169="","",IF(CONTROLE!$B$1="Principal",IF(OR(K169="",N169=""),"",ROUND(K169*N169,2)),IF(CONTROLE!$B$1="Itens Consumidos",IF(OR(L169="",N169=""),"",ROUND(L169*N169,2)),"")))</f>
        <v/>
      </c>
      <c r="Q169" s="333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>
      <c r="A170" s="328">
        <f>IF(historico_VU!A108="","",historico_VU!A108)</f>
        <v/>
      </c>
      <c r="B170" s="329">
        <f>IF(A170="","",historico_VU!B108)</f>
        <v/>
      </c>
      <c r="C170" s="330">
        <f>IF(A170="","",historico_VU!C108)</f>
        <v/>
      </c>
      <c r="D170" s="330">
        <f>IF(A170="","",historico_VU!D108)</f>
        <v/>
      </c>
      <c r="E170" s="330">
        <f>IF(A170="","",historico_VU!E108)</f>
        <v/>
      </c>
      <c r="F170" s="330">
        <f>IF(A170="","",historico_VU!F108)</f>
        <v/>
      </c>
      <c r="G170" s="330">
        <f>IF(A170="","",historico_VU!G108)</f>
        <v/>
      </c>
      <c r="H170" s="331">
        <f>IF(A170="","",historico_VU!H108)</f>
        <v/>
      </c>
      <c r="I170" s="151" t="n"/>
      <c r="J170" s="328">
        <f>IF(itens_Remanesc!A108="","",itens_Remanesc!A108)</f>
        <v/>
      </c>
      <c r="K170" s="329">
        <f>IF(J170="","",IF($F$4="C0",itens_Remanesc!B108,IF($F$4="C1",itens_Remanesc!E108,IF($F$4="C2",itens_Remanesc!G108,IF($F$4="C3",itens_Remanesc!I108,itens_Remanesc!K108)))))</f>
        <v/>
      </c>
      <c r="L170" s="329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332">
        <f>IF(J170="","",itens_Remanesc!C108)</f>
        <v/>
      </c>
      <c r="N170" s="332">
        <f>IF(J170="","",IF($F$4="C0",historico_VU!C108,IF($F$4="C1",historico_VU!D108,IF($F$4="C2",historico_VU!E108,IF($F$4="C3",historico_VU!F108,historico_VU!G108)))))</f>
        <v/>
      </c>
      <c r="O170" s="332">
        <f>IF(J170="","",IF(CONTROLE!$B$1="Principal",IF(OR(K170="",M170=""),"",ROUND(K170*M170,2)),IF(CONTROLE!$B$1="Itens Consumidos",IF(OR(L170="",M170=""),"",ROUND(L170*M170,2)),"")))</f>
        <v/>
      </c>
      <c r="P170" s="332">
        <f>IF(J170="","",IF(CONTROLE!$B$1="Principal",IF(OR(K170="",N170=""),"",ROUND(K170*N170,2)),IF(CONTROLE!$B$1="Itens Consumidos",IF(OR(L170="",N170=""),"",ROUND(L170*N170,2)),"")))</f>
        <v/>
      </c>
      <c r="Q170" s="333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>
      <c r="A171" s="328">
        <f>IF(historico_VU!A109="","",historico_VU!A109)</f>
        <v/>
      </c>
      <c r="B171" s="329">
        <f>IF(A171="","",historico_VU!B109)</f>
        <v/>
      </c>
      <c r="C171" s="330">
        <f>IF(A171="","",historico_VU!C109)</f>
        <v/>
      </c>
      <c r="D171" s="330">
        <f>IF(A171="","",historico_VU!D109)</f>
        <v/>
      </c>
      <c r="E171" s="330">
        <f>IF(A171="","",historico_VU!E109)</f>
        <v/>
      </c>
      <c r="F171" s="330">
        <f>IF(A171="","",historico_VU!F109)</f>
        <v/>
      </c>
      <c r="G171" s="330">
        <f>IF(A171="","",historico_VU!G109)</f>
        <v/>
      </c>
      <c r="H171" s="331">
        <f>IF(A171="","",historico_VU!H109)</f>
        <v/>
      </c>
      <c r="I171" s="151" t="n"/>
      <c r="J171" s="328">
        <f>IF(itens_Remanesc!A109="","",itens_Remanesc!A109)</f>
        <v/>
      </c>
      <c r="K171" s="329">
        <f>IF(J171="","",IF($F$4="C0",itens_Remanesc!B109,IF($F$4="C1",itens_Remanesc!E109,IF($F$4="C2",itens_Remanesc!G109,IF($F$4="C3",itens_Remanesc!I109,itens_Remanesc!K109)))))</f>
        <v/>
      </c>
      <c r="L171" s="329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332">
        <f>IF(J171="","",itens_Remanesc!C109)</f>
        <v/>
      </c>
      <c r="N171" s="332">
        <f>IF(J171="","",IF($F$4="C0",historico_VU!C109,IF($F$4="C1",historico_VU!D109,IF($F$4="C2",historico_VU!E109,IF($F$4="C3",historico_VU!F109,historico_VU!G109)))))</f>
        <v/>
      </c>
      <c r="O171" s="332">
        <f>IF(J171="","",IF(CONTROLE!$B$1="Principal",IF(OR(K171="",M171=""),"",ROUND(K171*M171,2)),IF(CONTROLE!$B$1="Itens Consumidos",IF(OR(L171="",M171=""),"",ROUND(L171*M171,2)),"")))</f>
        <v/>
      </c>
      <c r="P171" s="332">
        <f>IF(J171="","",IF(CONTROLE!$B$1="Principal",IF(OR(K171="",N171=""),"",ROUND(K171*N171,2)),IF(CONTROLE!$B$1="Itens Consumidos",IF(OR(L171="",N171=""),"",ROUND(L171*N171,2)),"")))</f>
        <v/>
      </c>
      <c r="Q171" s="333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>
      <c r="A172" s="328">
        <f>IF(historico_VU!A110="","",historico_VU!A110)</f>
        <v/>
      </c>
      <c r="B172" s="329">
        <f>IF(A172="","",historico_VU!B110)</f>
        <v/>
      </c>
      <c r="C172" s="330">
        <f>IF(A172="","",historico_VU!C110)</f>
        <v/>
      </c>
      <c r="D172" s="330">
        <f>IF(A172="","",historico_VU!D110)</f>
        <v/>
      </c>
      <c r="E172" s="330">
        <f>IF(A172="","",historico_VU!E110)</f>
        <v/>
      </c>
      <c r="F172" s="330">
        <f>IF(A172="","",historico_VU!F110)</f>
        <v/>
      </c>
      <c r="G172" s="330">
        <f>IF(A172="","",historico_VU!G110)</f>
        <v/>
      </c>
      <c r="H172" s="331">
        <f>IF(A172="","",historico_VU!H110)</f>
        <v/>
      </c>
      <c r="I172" s="151" t="n"/>
      <c r="J172" s="328">
        <f>IF(itens_Remanesc!A110="","",itens_Remanesc!A110)</f>
        <v/>
      </c>
      <c r="K172" s="329">
        <f>IF(J172="","",IF($F$4="C0",itens_Remanesc!B110,IF($F$4="C1",itens_Remanesc!E110,IF($F$4="C2",itens_Remanesc!G110,IF($F$4="C3",itens_Remanesc!I110,itens_Remanesc!K110)))))</f>
        <v/>
      </c>
      <c r="L172" s="329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332">
        <f>IF(J172="","",itens_Remanesc!C110)</f>
        <v/>
      </c>
      <c r="N172" s="332">
        <f>IF(J172="","",IF($F$4="C0",historico_VU!C110,IF($F$4="C1",historico_VU!D110,IF($F$4="C2",historico_VU!E110,IF($F$4="C3",historico_VU!F110,historico_VU!G110)))))</f>
        <v/>
      </c>
      <c r="O172" s="332">
        <f>IF(J172="","",IF(CONTROLE!$B$1="Principal",IF(OR(K172="",M172=""),"",ROUND(K172*M172,2)),IF(CONTROLE!$B$1="Itens Consumidos",IF(OR(L172="",M172=""),"",ROUND(L172*M172,2)),"")))</f>
        <v/>
      </c>
      <c r="P172" s="332">
        <f>IF(J172="","",IF(CONTROLE!$B$1="Principal",IF(OR(K172="",N172=""),"",ROUND(K172*N172,2)),IF(CONTROLE!$B$1="Itens Consumidos",IF(OR(L172="",N172=""),"",ROUND(L172*N172,2)),"")))</f>
        <v/>
      </c>
      <c r="Q172" s="333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>
      <c r="A173" s="328">
        <f>IF(historico_VU!A111="","",historico_VU!A111)</f>
        <v/>
      </c>
      <c r="B173" s="329">
        <f>IF(A173="","",historico_VU!B111)</f>
        <v/>
      </c>
      <c r="C173" s="330">
        <f>IF(A173="","",historico_VU!C111)</f>
        <v/>
      </c>
      <c r="D173" s="330">
        <f>IF(A173="","",historico_VU!D111)</f>
        <v/>
      </c>
      <c r="E173" s="330">
        <f>IF(A173="","",historico_VU!E111)</f>
        <v/>
      </c>
      <c r="F173" s="330">
        <f>IF(A173="","",historico_VU!F111)</f>
        <v/>
      </c>
      <c r="G173" s="330">
        <f>IF(A173="","",historico_VU!G111)</f>
        <v/>
      </c>
      <c r="H173" s="331">
        <f>IF(A173="","",historico_VU!H111)</f>
        <v/>
      </c>
      <c r="I173" s="151" t="n"/>
      <c r="J173" s="328">
        <f>IF(itens_Remanesc!A111="","",itens_Remanesc!A111)</f>
        <v/>
      </c>
      <c r="K173" s="329">
        <f>IF(J173="","",IF($F$4="C0",itens_Remanesc!B111,IF($F$4="C1",itens_Remanesc!E111,IF($F$4="C2",itens_Remanesc!G111,IF($F$4="C3",itens_Remanesc!I111,itens_Remanesc!K111)))))</f>
        <v/>
      </c>
      <c r="L173" s="329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332">
        <f>IF(J173="","",itens_Remanesc!C111)</f>
        <v/>
      </c>
      <c r="N173" s="332">
        <f>IF(J173="","",IF($F$4="C0",historico_VU!C111,IF($F$4="C1",historico_VU!D111,IF($F$4="C2",historico_VU!E111,IF($F$4="C3",historico_VU!F111,historico_VU!G111)))))</f>
        <v/>
      </c>
      <c r="O173" s="332">
        <f>IF(J173="","",IF(CONTROLE!$B$1="Principal",IF(OR(K173="",M173=""),"",ROUND(K173*M173,2)),IF(CONTROLE!$B$1="Itens Consumidos",IF(OR(L173="",M173=""),"",ROUND(L173*M173,2)),"")))</f>
        <v/>
      </c>
      <c r="P173" s="332">
        <f>IF(J173="","",IF(CONTROLE!$B$1="Principal",IF(OR(K173="",N173=""),"",ROUND(K173*N173,2)),IF(CONTROLE!$B$1="Itens Consumidos",IF(OR(L173="",N173=""),"",ROUND(L173*N173,2)),"")))</f>
        <v/>
      </c>
      <c r="Q173" s="333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>
      <c r="A174" s="328">
        <f>IF(historico_VU!A112="","",historico_VU!A112)</f>
        <v/>
      </c>
      <c r="B174" s="329">
        <f>IF(A174="","",historico_VU!B112)</f>
        <v/>
      </c>
      <c r="C174" s="330">
        <f>IF(A174="","",historico_VU!C112)</f>
        <v/>
      </c>
      <c r="D174" s="330">
        <f>IF(A174="","",historico_VU!D112)</f>
        <v/>
      </c>
      <c r="E174" s="330">
        <f>IF(A174="","",historico_VU!E112)</f>
        <v/>
      </c>
      <c r="F174" s="330">
        <f>IF(A174="","",historico_VU!F112)</f>
        <v/>
      </c>
      <c r="G174" s="330">
        <f>IF(A174="","",historico_VU!G112)</f>
        <v/>
      </c>
      <c r="H174" s="331">
        <f>IF(A174="","",historico_VU!H112)</f>
        <v/>
      </c>
      <c r="I174" s="151" t="n"/>
      <c r="J174" s="328">
        <f>IF(itens_Remanesc!A112="","",itens_Remanesc!A112)</f>
        <v/>
      </c>
      <c r="K174" s="329">
        <f>IF(J174="","",IF($F$4="C0",itens_Remanesc!B112,IF($F$4="C1",itens_Remanesc!E112,IF($F$4="C2",itens_Remanesc!G112,IF($F$4="C3",itens_Remanesc!I112,itens_Remanesc!K112)))))</f>
        <v/>
      </c>
      <c r="L174" s="329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332">
        <f>IF(J174="","",itens_Remanesc!C112)</f>
        <v/>
      </c>
      <c r="N174" s="332">
        <f>IF(J174="","",IF($F$4="C0",historico_VU!C112,IF($F$4="C1",historico_VU!D112,IF($F$4="C2",historico_VU!E112,IF($F$4="C3",historico_VU!F112,historico_VU!G112)))))</f>
        <v/>
      </c>
      <c r="O174" s="332">
        <f>IF(J174="","",IF(CONTROLE!$B$1="Principal",IF(OR(K174="",M174=""),"",ROUND(K174*M174,2)),IF(CONTROLE!$B$1="Itens Consumidos",IF(OR(L174="",M174=""),"",ROUND(L174*M174,2)),"")))</f>
        <v/>
      </c>
      <c r="P174" s="332">
        <f>IF(J174="","",IF(CONTROLE!$B$1="Principal",IF(OR(K174="",N174=""),"",ROUND(K174*N174,2)),IF(CONTROLE!$B$1="Itens Consumidos",IF(OR(L174="",N174=""),"",ROUND(L174*N174,2)),"")))</f>
        <v/>
      </c>
      <c r="Q174" s="333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>
      <c r="A175" s="328">
        <f>IF(historico_VU!A113="","",historico_VU!A113)</f>
        <v/>
      </c>
      <c r="B175" s="329">
        <f>IF(A175="","",historico_VU!B113)</f>
        <v/>
      </c>
      <c r="C175" s="330">
        <f>IF(A175="","",historico_VU!C113)</f>
        <v/>
      </c>
      <c r="D175" s="330">
        <f>IF(A175="","",historico_VU!D113)</f>
        <v/>
      </c>
      <c r="E175" s="330">
        <f>IF(A175="","",historico_VU!E113)</f>
        <v/>
      </c>
      <c r="F175" s="330">
        <f>IF(A175="","",historico_VU!F113)</f>
        <v/>
      </c>
      <c r="G175" s="330">
        <f>IF(A175="","",historico_VU!G113)</f>
        <v/>
      </c>
      <c r="H175" s="331">
        <f>IF(A175="","",historico_VU!H113)</f>
        <v/>
      </c>
      <c r="I175" s="151" t="n"/>
      <c r="J175" s="328">
        <f>IF(itens_Remanesc!A113="","",itens_Remanesc!A113)</f>
        <v/>
      </c>
      <c r="K175" s="329">
        <f>IF(J175="","",IF($F$4="C0",itens_Remanesc!B113,IF($F$4="C1",itens_Remanesc!E113,IF($F$4="C2",itens_Remanesc!G113,IF($F$4="C3",itens_Remanesc!I113,itens_Remanesc!K113)))))</f>
        <v/>
      </c>
      <c r="L175" s="329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332">
        <f>IF(J175="","",itens_Remanesc!C113)</f>
        <v/>
      </c>
      <c r="N175" s="332">
        <f>IF(J175="","",IF($F$4="C0",historico_VU!C113,IF($F$4="C1",historico_VU!D113,IF($F$4="C2",historico_VU!E113,IF($F$4="C3",historico_VU!F113,historico_VU!G113)))))</f>
        <v/>
      </c>
      <c r="O175" s="332">
        <f>IF(J175="","",IF(CONTROLE!$B$1="Principal",IF(OR(K175="",M175=""),"",ROUND(K175*M175,2)),IF(CONTROLE!$B$1="Itens Consumidos",IF(OR(L175="",M175=""),"",ROUND(L175*M175,2)),"")))</f>
        <v/>
      </c>
      <c r="P175" s="332">
        <f>IF(J175="","",IF(CONTROLE!$B$1="Principal",IF(OR(K175="",N175=""),"",ROUND(K175*N175,2)),IF(CONTROLE!$B$1="Itens Consumidos",IF(OR(L175="",N175=""),"",ROUND(L175*N175,2)),"")))</f>
        <v/>
      </c>
      <c r="Q175" s="333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>
      <c r="A176" s="328">
        <f>IF(historico_VU!A114="","",historico_VU!A114)</f>
        <v/>
      </c>
      <c r="B176" s="329">
        <f>IF(A176="","",historico_VU!B114)</f>
        <v/>
      </c>
      <c r="C176" s="330">
        <f>IF(A176="","",historico_VU!C114)</f>
        <v/>
      </c>
      <c r="D176" s="330">
        <f>IF(A176="","",historico_VU!D114)</f>
        <v/>
      </c>
      <c r="E176" s="330">
        <f>IF(A176="","",historico_VU!E114)</f>
        <v/>
      </c>
      <c r="F176" s="330">
        <f>IF(A176="","",historico_VU!F114)</f>
        <v/>
      </c>
      <c r="G176" s="330">
        <f>IF(A176="","",historico_VU!G114)</f>
        <v/>
      </c>
      <c r="H176" s="331">
        <f>IF(A176="","",historico_VU!H114)</f>
        <v/>
      </c>
      <c r="I176" s="151" t="n"/>
      <c r="J176" s="328">
        <f>IF(itens_Remanesc!A114="","",itens_Remanesc!A114)</f>
        <v/>
      </c>
      <c r="K176" s="329">
        <f>IF(J176="","",IF($F$4="C0",itens_Remanesc!B114,IF($F$4="C1",itens_Remanesc!E114,IF($F$4="C2",itens_Remanesc!G114,IF($F$4="C3",itens_Remanesc!I114,itens_Remanesc!K114)))))</f>
        <v/>
      </c>
      <c r="L176" s="329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332">
        <f>IF(J176="","",itens_Remanesc!C114)</f>
        <v/>
      </c>
      <c r="N176" s="332">
        <f>IF(J176="","",IF($F$4="C0",historico_VU!C114,IF($F$4="C1",historico_VU!D114,IF($F$4="C2",historico_VU!E114,IF($F$4="C3",historico_VU!F114,historico_VU!G114)))))</f>
        <v/>
      </c>
      <c r="O176" s="332">
        <f>IF(J176="","",IF(CONTROLE!$B$1="Principal",IF(OR(K176="",M176=""),"",ROUND(K176*M176,2)),IF(CONTROLE!$B$1="Itens Consumidos",IF(OR(L176="",M176=""),"",ROUND(L176*M176,2)),"")))</f>
        <v/>
      </c>
      <c r="P176" s="332">
        <f>IF(J176="","",IF(CONTROLE!$B$1="Principal",IF(OR(K176="",N176=""),"",ROUND(K176*N176,2)),IF(CONTROLE!$B$1="Itens Consumidos",IF(OR(L176="",N176=""),"",ROUND(L176*N176,2)),"")))</f>
        <v/>
      </c>
      <c r="Q176" s="333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>
      <c r="A177" s="328">
        <f>IF(historico_VU!A115="","",historico_VU!A115)</f>
        <v/>
      </c>
      <c r="B177" s="329">
        <f>IF(A177="","",historico_VU!B115)</f>
        <v/>
      </c>
      <c r="C177" s="330">
        <f>IF(A177="","",historico_VU!C115)</f>
        <v/>
      </c>
      <c r="D177" s="330">
        <f>IF(A177="","",historico_VU!D115)</f>
        <v/>
      </c>
      <c r="E177" s="330">
        <f>IF(A177="","",historico_VU!E115)</f>
        <v/>
      </c>
      <c r="F177" s="330">
        <f>IF(A177="","",historico_VU!F115)</f>
        <v/>
      </c>
      <c r="G177" s="330">
        <f>IF(A177="","",historico_VU!G115)</f>
        <v/>
      </c>
      <c r="H177" s="331">
        <f>IF(A177="","",historico_VU!H115)</f>
        <v/>
      </c>
      <c r="I177" s="151" t="n"/>
      <c r="J177" s="328">
        <f>IF(itens_Remanesc!A115="","",itens_Remanesc!A115)</f>
        <v/>
      </c>
      <c r="K177" s="329">
        <f>IF(J177="","",IF($F$4="C0",itens_Remanesc!B115,IF($F$4="C1",itens_Remanesc!E115,IF($F$4="C2",itens_Remanesc!G115,IF($F$4="C3",itens_Remanesc!I115,itens_Remanesc!K115)))))</f>
        <v/>
      </c>
      <c r="L177" s="329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332">
        <f>IF(J177="","",itens_Remanesc!C115)</f>
        <v/>
      </c>
      <c r="N177" s="332">
        <f>IF(J177="","",IF($F$4="C0",historico_VU!C115,IF($F$4="C1",historico_VU!D115,IF($F$4="C2",historico_VU!E115,IF($F$4="C3",historico_VU!F115,historico_VU!G115)))))</f>
        <v/>
      </c>
      <c r="O177" s="332">
        <f>IF(J177="","",IF(CONTROLE!$B$1="Principal",IF(OR(K177="",M177=""),"",ROUND(K177*M177,2)),IF(CONTROLE!$B$1="Itens Consumidos",IF(OR(L177="",M177=""),"",ROUND(L177*M177,2)),"")))</f>
        <v/>
      </c>
      <c r="P177" s="332">
        <f>IF(J177="","",IF(CONTROLE!$B$1="Principal",IF(OR(K177="",N177=""),"",ROUND(K177*N177,2)),IF(CONTROLE!$B$1="Itens Consumidos",IF(OR(L177="",N177=""),"",ROUND(L177*N177,2)),"")))</f>
        <v/>
      </c>
      <c r="Q177" s="333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>
      <c r="A178" s="328">
        <f>IF(historico_VU!A116="","",historico_VU!A116)</f>
        <v/>
      </c>
      <c r="B178" s="329">
        <f>IF(A178="","",historico_VU!B116)</f>
        <v/>
      </c>
      <c r="C178" s="330">
        <f>IF(A178="","",historico_VU!C116)</f>
        <v/>
      </c>
      <c r="D178" s="330">
        <f>IF(A178="","",historico_VU!D116)</f>
        <v/>
      </c>
      <c r="E178" s="330">
        <f>IF(A178="","",historico_VU!E116)</f>
        <v/>
      </c>
      <c r="F178" s="330">
        <f>IF(A178="","",historico_VU!F116)</f>
        <v/>
      </c>
      <c r="G178" s="330">
        <f>IF(A178="","",historico_VU!G116)</f>
        <v/>
      </c>
      <c r="H178" s="331">
        <f>IF(A178="","",historico_VU!H116)</f>
        <v/>
      </c>
      <c r="I178" s="151" t="n"/>
      <c r="J178" s="328">
        <f>IF(itens_Remanesc!A116="","",itens_Remanesc!A116)</f>
        <v/>
      </c>
      <c r="K178" s="329">
        <f>IF(J178="","",IF($F$4="C0",itens_Remanesc!B116,IF($F$4="C1",itens_Remanesc!E116,IF($F$4="C2",itens_Remanesc!G116,IF($F$4="C3",itens_Remanesc!I116,itens_Remanesc!K116)))))</f>
        <v/>
      </c>
      <c r="L178" s="329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332">
        <f>IF(J178="","",itens_Remanesc!C116)</f>
        <v/>
      </c>
      <c r="N178" s="332">
        <f>IF(J178="","",IF($F$4="C0",historico_VU!C116,IF($F$4="C1",historico_VU!D116,IF($F$4="C2",historico_VU!E116,IF($F$4="C3",historico_VU!F116,historico_VU!G116)))))</f>
        <v/>
      </c>
      <c r="O178" s="332">
        <f>IF(J178="","",IF(CONTROLE!$B$1="Principal",IF(OR(K178="",M178=""),"",ROUND(K178*M178,2)),IF(CONTROLE!$B$1="Itens Consumidos",IF(OR(L178="",M178=""),"",ROUND(L178*M178,2)),"")))</f>
        <v/>
      </c>
      <c r="P178" s="332">
        <f>IF(J178="","",IF(CONTROLE!$B$1="Principal",IF(OR(K178="",N178=""),"",ROUND(K178*N178,2)),IF(CONTROLE!$B$1="Itens Consumidos",IF(OR(L178="",N178=""),"",ROUND(L178*N178,2)),"")))</f>
        <v/>
      </c>
      <c r="Q178" s="333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>
      <c r="A179" s="328">
        <f>IF(historico_VU!A117="","",historico_VU!A117)</f>
        <v/>
      </c>
      <c r="B179" s="329">
        <f>IF(A179="","",historico_VU!B117)</f>
        <v/>
      </c>
      <c r="C179" s="330">
        <f>IF(A179="","",historico_VU!C117)</f>
        <v/>
      </c>
      <c r="D179" s="330">
        <f>IF(A179="","",historico_VU!D117)</f>
        <v/>
      </c>
      <c r="E179" s="330">
        <f>IF(A179="","",historico_VU!E117)</f>
        <v/>
      </c>
      <c r="F179" s="330">
        <f>IF(A179="","",historico_VU!F117)</f>
        <v/>
      </c>
      <c r="G179" s="330">
        <f>IF(A179="","",historico_VU!G117)</f>
        <v/>
      </c>
      <c r="H179" s="331">
        <f>IF(A179="","",historico_VU!H117)</f>
        <v/>
      </c>
      <c r="I179" s="151" t="n"/>
      <c r="J179" s="328">
        <f>IF(itens_Remanesc!A117="","",itens_Remanesc!A117)</f>
        <v/>
      </c>
      <c r="K179" s="329">
        <f>IF(J179="","",IF($F$4="C0",itens_Remanesc!B117,IF($F$4="C1",itens_Remanesc!E117,IF($F$4="C2",itens_Remanesc!G117,IF($F$4="C3",itens_Remanesc!I117,itens_Remanesc!K117)))))</f>
        <v/>
      </c>
      <c r="L179" s="329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332">
        <f>IF(J179="","",itens_Remanesc!C117)</f>
        <v/>
      </c>
      <c r="N179" s="332">
        <f>IF(J179="","",IF($F$4="C0",historico_VU!C117,IF($F$4="C1",historico_VU!D117,IF($F$4="C2",historico_VU!E117,IF($F$4="C3",historico_VU!F117,historico_VU!G117)))))</f>
        <v/>
      </c>
      <c r="O179" s="332">
        <f>IF(J179="","",IF(CONTROLE!$B$1="Principal",IF(OR(K179="",M179=""),"",ROUND(K179*M179,2)),IF(CONTROLE!$B$1="Itens Consumidos",IF(OR(L179="",M179=""),"",ROUND(L179*M179,2)),"")))</f>
        <v/>
      </c>
      <c r="P179" s="332">
        <f>IF(J179="","",IF(CONTROLE!$B$1="Principal",IF(OR(K179="",N179=""),"",ROUND(K179*N179,2)),IF(CONTROLE!$B$1="Itens Consumidos",IF(OR(L179="",N179=""),"",ROUND(L179*N179,2)),"")))</f>
        <v/>
      </c>
      <c r="Q179" s="333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>
      <c r="A180" s="328">
        <f>IF(historico_VU!A118="","",historico_VU!A118)</f>
        <v/>
      </c>
      <c r="B180" s="329">
        <f>IF(A180="","",historico_VU!B118)</f>
        <v/>
      </c>
      <c r="C180" s="330">
        <f>IF(A180="","",historico_VU!C118)</f>
        <v/>
      </c>
      <c r="D180" s="330">
        <f>IF(A180="","",historico_VU!D118)</f>
        <v/>
      </c>
      <c r="E180" s="330">
        <f>IF(A180="","",historico_VU!E118)</f>
        <v/>
      </c>
      <c r="F180" s="330">
        <f>IF(A180="","",historico_VU!F118)</f>
        <v/>
      </c>
      <c r="G180" s="330">
        <f>IF(A180="","",historico_VU!G118)</f>
        <v/>
      </c>
      <c r="H180" s="331">
        <f>IF(A180="","",historico_VU!H118)</f>
        <v/>
      </c>
      <c r="I180" s="151" t="n"/>
      <c r="J180" s="328">
        <f>IF(itens_Remanesc!A118="","",itens_Remanesc!A118)</f>
        <v/>
      </c>
      <c r="K180" s="329">
        <f>IF(J180="","",IF($F$4="C0",itens_Remanesc!B118,IF($F$4="C1",itens_Remanesc!E118,IF($F$4="C2",itens_Remanesc!G118,IF($F$4="C3",itens_Remanesc!I118,itens_Remanesc!K118)))))</f>
        <v/>
      </c>
      <c r="L180" s="329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332">
        <f>IF(J180="","",itens_Remanesc!C118)</f>
        <v/>
      </c>
      <c r="N180" s="332">
        <f>IF(J180="","",IF($F$4="C0",historico_VU!C118,IF($F$4="C1",historico_VU!D118,IF($F$4="C2",historico_VU!E118,IF($F$4="C3",historico_VU!F118,historico_VU!G118)))))</f>
        <v/>
      </c>
      <c r="O180" s="332">
        <f>IF(J180="","",IF(CONTROLE!$B$1="Principal",IF(OR(K180="",M180=""),"",ROUND(K180*M180,2)),IF(CONTROLE!$B$1="Itens Consumidos",IF(OR(L180="",M180=""),"",ROUND(L180*M180,2)),"")))</f>
        <v/>
      </c>
      <c r="P180" s="332">
        <f>IF(J180="","",IF(CONTROLE!$B$1="Principal",IF(OR(K180="",N180=""),"",ROUND(K180*N180,2)),IF(CONTROLE!$B$1="Itens Consumidos",IF(OR(L180="",N180=""),"",ROUND(L180*N180,2)),"")))</f>
        <v/>
      </c>
      <c r="Q180" s="333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>
      <c r="A181" s="328">
        <f>IF(historico_VU!A119="","",historico_VU!A119)</f>
        <v/>
      </c>
      <c r="B181" s="329">
        <f>IF(A181="","",historico_VU!B119)</f>
        <v/>
      </c>
      <c r="C181" s="330">
        <f>IF(A181="","",historico_VU!C119)</f>
        <v/>
      </c>
      <c r="D181" s="330">
        <f>IF(A181="","",historico_VU!D119)</f>
        <v/>
      </c>
      <c r="E181" s="330">
        <f>IF(A181="","",historico_VU!E119)</f>
        <v/>
      </c>
      <c r="F181" s="330">
        <f>IF(A181="","",historico_VU!F119)</f>
        <v/>
      </c>
      <c r="G181" s="330">
        <f>IF(A181="","",historico_VU!G119)</f>
        <v/>
      </c>
      <c r="H181" s="331">
        <f>IF(A181="","",historico_VU!H119)</f>
        <v/>
      </c>
      <c r="I181" s="151" t="n"/>
      <c r="J181" s="328">
        <f>IF(itens_Remanesc!A119="","",itens_Remanesc!A119)</f>
        <v/>
      </c>
      <c r="K181" s="329">
        <f>IF(J181="","",IF($F$4="C0",itens_Remanesc!B119,IF($F$4="C1",itens_Remanesc!E119,IF($F$4="C2",itens_Remanesc!G119,IF($F$4="C3",itens_Remanesc!I119,itens_Remanesc!K119)))))</f>
        <v/>
      </c>
      <c r="L181" s="329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332">
        <f>IF(J181="","",itens_Remanesc!C119)</f>
        <v/>
      </c>
      <c r="N181" s="332">
        <f>IF(J181="","",IF($F$4="C0",historico_VU!C119,IF($F$4="C1",historico_VU!D119,IF($F$4="C2",historico_VU!E119,IF($F$4="C3",historico_VU!F119,historico_VU!G119)))))</f>
        <v/>
      </c>
      <c r="O181" s="332">
        <f>IF(J181="","",IF(CONTROLE!$B$1="Principal",IF(OR(K181="",M181=""),"",ROUND(K181*M181,2)),IF(CONTROLE!$B$1="Itens Consumidos",IF(OR(L181="",M181=""),"",ROUND(L181*M181,2)),"")))</f>
        <v/>
      </c>
      <c r="P181" s="332">
        <f>IF(J181="","",IF(CONTROLE!$B$1="Principal",IF(OR(K181="",N181=""),"",ROUND(K181*N181,2)),IF(CONTROLE!$B$1="Itens Consumidos",IF(OR(L181="",N181=""),"",ROUND(L181*N181,2)),"")))</f>
        <v/>
      </c>
      <c r="Q181" s="333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>
      <c r="A182" s="328">
        <f>IF(historico_VU!A120="","",historico_VU!A120)</f>
        <v/>
      </c>
      <c r="B182" s="329">
        <f>IF(A182="","",historico_VU!B120)</f>
        <v/>
      </c>
      <c r="C182" s="330">
        <f>IF(A182="","",historico_VU!C120)</f>
        <v/>
      </c>
      <c r="D182" s="330">
        <f>IF(A182="","",historico_VU!D120)</f>
        <v/>
      </c>
      <c r="E182" s="330">
        <f>IF(A182="","",historico_VU!E120)</f>
        <v/>
      </c>
      <c r="F182" s="330">
        <f>IF(A182="","",historico_VU!F120)</f>
        <v/>
      </c>
      <c r="G182" s="330">
        <f>IF(A182="","",historico_VU!G120)</f>
        <v/>
      </c>
      <c r="H182" s="331">
        <f>IF(A182="","",historico_VU!H120)</f>
        <v/>
      </c>
      <c r="I182" s="151" t="n"/>
      <c r="J182" s="328">
        <f>IF(itens_Remanesc!A120="","",itens_Remanesc!A120)</f>
        <v/>
      </c>
      <c r="K182" s="329">
        <f>IF(J182="","",IF($F$4="C0",itens_Remanesc!B120,IF($F$4="C1",itens_Remanesc!E120,IF($F$4="C2",itens_Remanesc!G120,IF($F$4="C3",itens_Remanesc!I120,itens_Remanesc!K120)))))</f>
        <v/>
      </c>
      <c r="L182" s="329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332">
        <f>IF(J182="","",itens_Remanesc!C120)</f>
        <v/>
      </c>
      <c r="N182" s="332">
        <f>IF(J182="","",IF($F$4="C0",historico_VU!C120,IF($F$4="C1",historico_VU!D120,IF($F$4="C2",historico_VU!E120,IF($F$4="C3",historico_VU!F120,historico_VU!G120)))))</f>
        <v/>
      </c>
      <c r="O182" s="332">
        <f>IF(J182="","",IF(CONTROLE!$B$1="Principal",IF(OR(K182="",M182=""),"",ROUND(K182*M182,2)),IF(CONTROLE!$B$1="Itens Consumidos",IF(OR(L182="",M182=""),"",ROUND(L182*M182,2)),"")))</f>
        <v/>
      </c>
      <c r="P182" s="332">
        <f>IF(J182="","",IF(CONTROLE!$B$1="Principal",IF(OR(K182="",N182=""),"",ROUND(K182*N182,2)),IF(CONTROLE!$B$1="Itens Consumidos",IF(OR(L182="",N182=""),"",ROUND(L182*N182,2)),"")))</f>
        <v/>
      </c>
      <c r="Q182" s="333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>
      <c r="A183" s="328">
        <f>IF(historico_VU!A121="","",historico_VU!A121)</f>
        <v/>
      </c>
      <c r="B183" s="329">
        <f>IF(A183="","",historico_VU!B121)</f>
        <v/>
      </c>
      <c r="C183" s="330">
        <f>IF(A183="","",historico_VU!C121)</f>
        <v/>
      </c>
      <c r="D183" s="330">
        <f>IF(A183="","",historico_VU!D121)</f>
        <v/>
      </c>
      <c r="E183" s="330">
        <f>IF(A183="","",historico_VU!E121)</f>
        <v/>
      </c>
      <c r="F183" s="330">
        <f>IF(A183="","",historico_VU!F121)</f>
        <v/>
      </c>
      <c r="G183" s="330">
        <f>IF(A183="","",historico_VU!G121)</f>
        <v/>
      </c>
      <c r="H183" s="331">
        <f>IF(A183="","",historico_VU!H121)</f>
        <v/>
      </c>
      <c r="I183" s="151" t="n"/>
      <c r="J183" s="328">
        <f>IF(itens_Remanesc!A121="","",itens_Remanesc!A121)</f>
        <v/>
      </c>
      <c r="K183" s="329">
        <f>IF(J183="","",IF($F$4="C0",itens_Remanesc!B121,IF($F$4="C1",itens_Remanesc!E121,IF($F$4="C2",itens_Remanesc!G121,IF($F$4="C3",itens_Remanesc!I121,itens_Remanesc!K121)))))</f>
        <v/>
      </c>
      <c r="L183" s="329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332">
        <f>IF(J183="","",itens_Remanesc!C121)</f>
        <v/>
      </c>
      <c r="N183" s="332">
        <f>IF(J183="","",IF($F$4="C0",historico_VU!C121,IF($F$4="C1",historico_VU!D121,IF($F$4="C2",historico_VU!E121,IF($F$4="C3",historico_VU!F121,historico_VU!G121)))))</f>
        <v/>
      </c>
      <c r="O183" s="332">
        <f>IF(J183="","",IF(CONTROLE!$B$1="Principal",IF(OR(K183="",M183=""),"",ROUND(K183*M183,2)),IF(CONTROLE!$B$1="Itens Consumidos",IF(OR(L183="",M183=""),"",ROUND(L183*M183,2)),"")))</f>
        <v/>
      </c>
      <c r="P183" s="332">
        <f>IF(J183="","",IF(CONTROLE!$B$1="Principal",IF(OR(K183="",N183=""),"",ROUND(K183*N183,2)),IF(CONTROLE!$B$1="Itens Consumidos",IF(OR(L183="",N183=""),"",ROUND(L183*N183,2)),"")))</f>
        <v/>
      </c>
      <c r="Q183" s="333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>
      <c r="A184" s="328">
        <f>IF(historico_VU!A122="","",historico_VU!A122)</f>
        <v/>
      </c>
      <c r="B184" s="329">
        <f>IF(A184="","",historico_VU!B122)</f>
        <v/>
      </c>
      <c r="C184" s="330">
        <f>IF(A184="","",historico_VU!C122)</f>
        <v/>
      </c>
      <c r="D184" s="330">
        <f>IF(A184="","",historico_VU!D122)</f>
        <v/>
      </c>
      <c r="E184" s="330">
        <f>IF(A184="","",historico_VU!E122)</f>
        <v/>
      </c>
      <c r="F184" s="330">
        <f>IF(A184="","",historico_VU!F122)</f>
        <v/>
      </c>
      <c r="G184" s="330">
        <f>IF(A184="","",historico_VU!G122)</f>
        <v/>
      </c>
      <c r="H184" s="331">
        <f>IF(A184="","",historico_VU!H122)</f>
        <v/>
      </c>
      <c r="I184" s="151" t="n"/>
      <c r="J184" s="328">
        <f>IF(itens_Remanesc!A122="","",itens_Remanesc!A122)</f>
        <v/>
      </c>
      <c r="K184" s="329">
        <f>IF(J184="","",IF($F$4="C0",itens_Remanesc!B122,IF($F$4="C1",itens_Remanesc!E122,IF($F$4="C2",itens_Remanesc!G122,IF($F$4="C3",itens_Remanesc!I122,itens_Remanesc!K122)))))</f>
        <v/>
      </c>
      <c r="L184" s="329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332">
        <f>IF(J184="","",itens_Remanesc!C122)</f>
        <v/>
      </c>
      <c r="N184" s="332">
        <f>IF(J184="","",IF($F$4="C0",historico_VU!C122,IF($F$4="C1",historico_VU!D122,IF($F$4="C2",historico_VU!E122,IF($F$4="C3",historico_VU!F122,historico_VU!G122)))))</f>
        <v/>
      </c>
      <c r="O184" s="332">
        <f>IF(J184="","",IF(CONTROLE!$B$1="Principal",IF(OR(K184="",M184=""),"",ROUND(K184*M184,2)),IF(CONTROLE!$B$1="Itens Consumidos",IF(OR(L184="",M184=""),"",ROUND(L184*M184,2)),"")))</f>
        <v/>
      </c>
      <c r="P184" s="332">
        <f>IF(J184="","",IF(CONTROLE!$B$1="Principal",IF(OR(K184="",N184=""),"",ROUND(K184*N184,2)),IF(CONTROLE!$B$1="Itens Consumidos",IF(OR(L184="",N184=""),"",ROUND(L184*N184,2)),"")))</f>
        <v/>
      </c>
      <c r="Q184" s="333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>
      <c r="A185" s="328">
        <f>IF(historico_VU!A123="","",historico_VU!A123)</f>
        <v/>
      </c>
      <c r="B185" s="329">
        <f>IF(A185="","",historico_VU!B123)</f>
        <v/>
      </c>
      <c r="C185" s="330">
        <f>IF(A185="","",historico_VU!C123)</f>
        <v/>
      </c>
      <c r="D185" s="330">
        <f>IF(A185="","",historico_VU!D123)</f>
        <v/>
      </c>
      <c r="E185" s="330">
        <f>IF(A185="","",historico_VU!E123)</f>
        <v/>
      </c>
      <c r="F185" s="330">
        <f>IF(A185="","",historico_VU!F123)</f>
        <v/>
      </c>
      <c r="G185" s="330">
        <f>IF(A185="","",historico_VU!G123)</f>
        <v/>
      </c>
      <c r="H185" s="331">
        <f>IF(A185="","",historico_VU!H123)</f>
        <v/>
      </c>
      <c r="I185" s="151" t="n"/>
      <c r="J185" s="328">
        <f>IF(itens_Remanesc!A123="","",itens_Remanesc!A123)</f>
        <v/>
      </c>
      <c r="K185" s="329">
        <f>IF(J185="","",IF($F$4="C0",itens_Remanesc!B123,IF($F$4="C1",itens_Remanesc!E123,IF($F$4="C2",itens_Remanesc!G123,IF($F$4="C3",itens_Remanesc!I123,itens_Remanesc!K123)))))</f>
        <v/>
      </c>
      <c r="L185" s="329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332">
        <f>IF(J185="","",itens_Remanesc!C123)</f>
        <v/>
      </c>
      <c r="N185" s="332">
        <f>IF(J185="","",IF($F$4="C0",historico_VU!C123,IF($F$4="C1",historico_VU!D123,IF($F$4="C2",historico_VU!E123,IF($F$4="C3",historico_VU!F123,historico_VU!G123)))))</f>
        <v/>
      </c>
      <c r="O185" s="332">
        <f>IF(J185="","",IF(CONTROLE!$B$1="Principal",IF(OR(K185="",M185=""),"",ROUND(K185*M185,2)),IF(CONTROLE!$B$1="Itens Consumidos",IF(OR(L185="",M185=""),"",ROUND(L185*M185,2)),"")))</f>
        <v/>
      </c>
      <c r="P185" s="332">
        <f>IF(J185="","",IF(CONTROLE!$B$1="Principal",IF(OR(K185="",N185=""),"",ROUND(K185*N185,2)),IF(CONTROLE!$B$1="Itens Consumidos",IF(OR(L185="",N185=""),"",ROUND(L185*N185,2)),"")))</f>
        <v/>
      </c>
      <c r="Q185" s="333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>
      <c r="A186" s="328">
        <f>IF(historico_VU!A124="","",historico_VU!A124)</f>
        <v/>
      </c>
      <c r="B186" s="329">
        <f>IF(A186="","",historico_VU!B124)</f>
        <v/>
      </c>
      <c r="C186" s="330">
        <f>IF(A186="","",historico_VU!C124)</f>
        <v/>
      </c>
      <c r="D186" s="330">
        <f>IF(A186="","",historico_VU!D124)</f>
        <v/>
      </c>
      <c r="E186" s="330">
        <f>IF(A186="","",historico_VU!E124)</f>
        <v/>
      </c>
      <c r="F186" s="330">
        <f>IF(A186="","",historico_VU!F124)</f>
        <v/>
      </c>
      <c r="G186" s="330">
        <f>IF(A186="","",historico_VU!G124)</f>
        <v/>
      </c>
      <c r="H186" s="331">
        <f>IF(A186="","",historico_VU!H124)</f>
        <v/>
      </c>
      <c r="I186" s="151" t="n"/>
      <c r="J186" s="328">
        <f>IF(itens_Remanesc!A124="","",itens_Remanesc!A124)</f>
        <v/>
      </c>
      <c r="K186" s="329">
        <f>IF(J186="","",IF($F$4="C0",itens_Remanesc!B124,IF($F$4="C1",itens_Remanesc!E124,IF($F$4="C2",itens_Remanesc!G124,IF($F$4="C3",itens_Remanesc!I124,itens_Remanesc!K124)))))</f>
        <v/>
      </c>
      <c r="L186" s="329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332">
        <f>IF(J186="","",itens_Remanesc!C124)</f>
        <v/>
      </c>
      <c r="N186" s="332">
        <f>IF(J186="","",IF($F$4="C0",historico_VU!C124,IF($F$4="C1",historico_VU!D124,IF($F$4="C2",historico_VU!E124,IF($F$4="C3",historico_VU!F124,historico_VU!G124)))))</f>
        <v/>
      </c>
      <c r="O186" s="332">
        <f>IF(J186="","",IF(CONTROLE!$B$1="Principal",IF(OR(K186="",M186=""),"",ROUND(K186*M186,2)),IF(CONTROLE!$B$1="Itens Consumidos",IF(OR(L186="",M186=""),"",ROUND(L186*M186,2)),"")))</f>
        <v/>
      </c>
      <c r="P186" s="332">
        <f>IF(J186="","",IF(CONTROLE!$B$1="Principal",IF(OR(K186="",N186=""),"",ROUND(K186*N186,2)),IF(CONTROLE!$B$1="Itens Consumidos",IF(OR(L186="",N186=""),"",ROUND(L186*N186,2)),"")))</f>
        <v/>
      </c>
      <c r="Q186" s="333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>
      <c r="A187" s="328">
        <f>IF(historico_VU!A125="","",historico_VU!A125)</f>
        <v/>
      </c>
      <c r="B187" s="329">
        <f>IF(A187="","",historico_VU!B125)</f>
        <v/>
      </c>
      <c r="C187" s="330">
        <f>IF(A187="","",historico_VU!C125)</f>
        <v/>
      </c>
      <c r="D187" s="330">
        <f>IF(A187="","",historico_VU!D125)</f>
        <v/>
      </c>
      <c r="E187" s="330">
        <f>IF(A187="","",historico_VU!E125)</f>
        <v/>
      </c>
      <c r="F187" s="330">
        <f>IF(A187="","",historico_VU!F125)</f>
        <v/>
      </c>
      <c r="G187" s="330">
        <f>IF(A187="","",historico_VU!G125)</f>
        <v/>
      </c>
      <c r="H187" s="331">
        <f>IF(A187="","",historico_VU!H125)</f>
        <v/>
      </c>
      <c r="I187" s="151" t="n"/>
      <c r="J187" s="328">
        <f>IF(itens_Remanesc!A125="","",itens_Remanesc!A125)</f>
        <v/>
      </c>
      <c r="K187" s="329">
        <f>IF(J187="","",IF($F$4="C0",itens_Remanesc!B125,IF($F$4="C1",itens_Remanesc!E125,IF($F$4="C2",itens_Remanesc!G125,IF($F$4="C3",itens_Remanesc!I125,itens_Remanesc!K125)))))</f>
        <v/>
      </c>
      <c r="L187" s="329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332">
        <f>IF(J187="","",itens_Remanesc!C125)</f>
        <v/>
      </c>
      <c r="N187" s="332">
        <f>IF(J187="","",IF($F$4="C0",historico_VU!C125,IF($F$4="C1",historico_VU!D125,IF($F$4="C2",historico_VU!E125,IF($F$4="C3",historico_VU!F125,historico_VU!G125)))))</f>
        <v/>
      </c>
      <c r="O187" s="332">
        <f>IF(J187="","",IF(CONTROLE!$B$1="Principal",IF(OR(K187="",M187=""),"",ROUND(K187*M187,2)),IF(CONTROLE!$B$1="Itens Consumidos",IF(OR(L187="",M187=""),"",ROUND(L187*M187,2)),"")))</f>
        <v/>
      </c>
      <c r="P187" s="332">
        <f>IF(J187="","",IF(CONTROLE!$B$1="Principal",IF(OR(K187="",N187=""),"",ROUND(K187*N187,2)),IF(CONTROLE!$B$1="Itens Consumidos",IF(OR(L187="",N187=""),"",ROUND(L187*N187,2)),"")))</f>
        <v/>
      </c>
      <c r="Q187" s="333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>
      <c r="A188" s="328">
        <f>IF(historico_VU!A126="","",historico_VU!A126)</f>
        <v/>
      </c>
      <c r="B188" s="329">
        <f>IF(A188="","",historico_VU!B126)</f>
        <v/>
      </c>
      <c r="C188" s="330">
        <f>IF(A188="","",historico_VU!C126)</f>
        <v/>
      </c>
      <c r="D188" s="330">
        <f>IF(A188="","",historico_VU!D126)</f>
        <v/>
      </c>
      <c r="E188" s="330">
        <f>IF(A188="","",historico_VU!E126)</f>
        <v/>
      </c>
      <c r="F188" s="330">
        <f>IF(A188="","",historico_VU!F126)</f>
        <v/>
      </c>
      <c r="G188" s="330">
        <f>IF(A188="","",historico_VU!G126)</f>
        <v/>
      </c>
      <c r="H188" s="331">
        <f>IF(A188="","",historico_VU!H126)</f>
        <v/>
      </c>
      <c r="I188" s="151" t="n"/>
      <c r="J188" s="328">
        <f>IF(itens_Remanesc!A126="","",itens_Remanesc!A126)</f>
        <v/>
      </c>
      <c r="K188" s="329">
        <f>IF(J188="","",IF($F$4="C0",itens_Remanesc!B126,IF($F$4="C1",itens_Remanesc!E126,IF($F$4="C2",itens_Remanesc!G126,IF($F$4="C3",itens_Remanesc!I126,itens_Remanesc!K126)))))</f>
        <v/>
      </c>
      <c r="L188" s="329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332">
        <f>IF(J188="","",itens_Remanesc!C126)</f>
        <v/>
      </c>
      <c r="N188" s="332">
        <f>IF(J188="","",IF($F$4="C0",historico_VU!C126,IF($F$4="C1",historico_VU!D126,IF($F$4="C2",historico_VU!E126,IF($F$4="C3",historico_VU!F126,historico_VU!G126)))))</f>
        <v/>
      </c>
      <c r="O188" s="332">
        <f>IF(J188="","",IF(CONTROLE!$B$1="Principal",IF(OR(K188="",M188=""),"",ROUND(K188*M188,2)),IF(CONTROLE!$B$1="Itens Consumidos",IF(OR(L188="",M188=""),"",ROUND(L188*M188,2)),"")))</f>
        <v/>
      </c>
      <c r="P188" s="332">
        <f>IF(J188="","",IF(CONTROLE!$B$1="Principal",IF(OR(K188="",N188=""),"",ROUND(K188*N188,2)),IF(CONTROLE!$B$1="Itens Consumidos",IF(OR(L188="",N188=""),"",ROUND(L188*N188,2)),"")))</f>
        <v/>
      </c>
      <c r="Q188" s="333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>
      <c r="A189" s="328">
        <f>IF(historico_VU!A127="","",historico_VU!A127)</f>
        <v/>
      </c>
      <c r="B189" s="329">
        <f>IF(A189="","",historico_VU!B127)</f>
        <v/>
      </c>
      <c r="C189" s="330">
        <f>IF(A189="","",historico_VU!C127)</f>
        <v/>
      </c>
      <c r="D189" s="330">
        <f>IF(A189="","",historico_VU!D127)</f>
        <v/>
      </c>
      <c r="E189" s="330">
        <f>IF(A189="","",historico_VU!E127)</f>
        <v/>
      </c>
      <c r="F189" s="330">
        <f>IF(A189="","",historico_VU!F127)</f>
        <v/>
      </c>
      <c r="G189" s="330">
        <f>IF(A189="","",historico_VU!G127)</f>
        <v/>
      </c>
      <c r="H189" s="331">
        <f>IF(A189="","",historico_VU!H127)</f>
        <v/>
      </c>
      <c r="I189" s="151" t="n"/>
      <c r="J189" s="328">
        <f>IF(itens_Remanesc!A127="","",itens_Remanesc!A127)</f>
        <v/>
      </c>
      <c r="K189" s="329">
        <f>IF(J189="","",IF($F$4="C0",itens_Remanesc!B127,IF($F$4="C1",itens_Remanesc!E127,IF($F$4="C2",itens_Remanesc!G127,IF($F$4="C3",itens_Remanesc!I127,itens_Remanesc!K127)))))</f>
        <v/>
      </c>
      <c r="L189" s="329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332">
        <f>IF(J189="","",itens_Remanesc!C127)</f>
        <v/>
      </c>
      <c r="N189" s="332">
        <f>IF(J189="","",IF($F$4="C0",historico_VU!C127,IF($F$4="C1",historico_VU!D127,IF($F$4="C2",historico_VU!E127,IF($F$4="C3",historico_VU!F127,historico_VU!G127)))))</f>
        <v/>
      </c>
      <c r="O189" s="332">
        <f>IF(J189="","",IF(CONTROLE!$B$1="Principal",IF(OR(K189="",M189=""),"",ROUND(K189*M189,2)),IF(CONTROLE!$B$1="Itens Consumidos",IF(OR(L189="",M189=""),"",ROUND(L189*M189,2)),"")))</f>
        <v/>
      </c>
      <c r="P189" s="332">
        <f>IF(J189="","",IF(CONTROLE!$B$1="Principal",IF(OR(K189="",N189=""),"",ROUND(K189*N189,2)),IF(CONTROLE!$B$1="Itens Consumidos",IF(OR(L189="",N189=""),"",ROUND(L189*N189,2)),"")))</f>
        <v/>
      </c>
      <c r="Q189" s="333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>
      <c r="A190" s="328">
        <f>IF(historico_VU!A128="","",historico_VU!A128)</f>
        <v/>
      </c>
      <c r="B190" s="329">
        <f>IF(A190="","",historico_VU!B128)</f>
        <v/>
      </c>
      <c r="C190" s="330">
        <f>IF(A190="","",historico_VU!C128)</f>
        <v/>
      </c>
      <c r="D190" s="330">
        <f>IF(A190="","",historico_VU!D128)</f>
        <v/>
      </c>
      <c r="E190" s="330">
        <f>IF(A190="","",historico_VU!E128)</f>
        <v/>
      </c>
      <c r="F190" s="330">
        <f>IF(A190="","",historico_VU!F128)</f>
        <v/>
      </c>
      <c r="G190" s="330">
        <f>IF(A190="","",historico_VU!G128)</f>
        <v/>
      </c>
      <c r="H190" s="331">
        <f>IF(A190="","",historico_VU!H128)</f>
        <v/>
      </c>
      <c r="I190" s="151" t="n"/>
      <c r="J190" s="328">
        <f>IF(itens_Remanesc!A128="","",itens_Remanesc!A128)</f>
        <v/>
      </c>
      <c r="K190" s="329">
        <f>IF(J190="","",IF($F$4="C0",itens_Remanesc!B128,IF($F$4="C1",itens_Remanesc!E128,IF($F$4="C2",itens_Remanesc!G128,IF($F$4="C3",itens_Remanesc!I128,itens_Remanesc!K128)))))</f>
        <v/>
      </c>
      <c r="L190" s="329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332">
        <f>IF(J190="","",itens_Remanesc!C128)</f>
        <v/>
      </c>
      <c r="N190" s="332">
        <f>IF(J190="","",IF($F$4="C0",historico_VU!C128,IF($F$4="C1",historico_VU!D128,IF($F$4="C2",historico_VU!E128,IF($F$4="C3",historico_VU!F128,historico_VU!G128)))))</f>
        <v/>
      </c>
      <c r="O190" s="332">
        <f>IF(J190="","",IF(CONTROLE!$B$1="Principal",IF(OR(K190="",M190=""),"",ROUND(K190*M190,2)),IF(CONTROLE!$B$1="Itens Consumidos",IF(OR(L190="",M190=""),"",ROUND(L190*M190,2)),"")))</f>
        <v/>
      </c>
      <c r="P190" s="332">
        <f>IF(J190="","",IF(CONTROLE!$B$1="Principal",IF(OR(K190="",N190=""),"",ROUND(K190*N190,2)),IF(CONTROLE!$B$1="Itens Consumidos",IF(OR(L190="",N190=""),"",ROUND(L190*N190,2)),"")))</f>
        <v/>
      </c>
      <c r="Q190" s="333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>
      <c r="A191" s="328">
        <f>IF(historico_VU!A129="","",historico_VU!A129)</f>
        <v/>
      </c>
      <c r="B191" s="329">
        <f>IF(A191="","",historico_VU!B129)</f>
        <v/>
      </c>
      <c r="C191" s="330">
        <f>IF(A191="","",historico_VU!C129)</f>
        <v/>
      </c>
      <c r="D191" s="330">
        <f>IF(A191="","",historico_VU!D129)</f>
        <v/>
      </c>
      <c r="E191" s="330">
        <f>IF(A191="","",historico_VU!E129)</f>
        <v/>
      </c>
      <c r="F191" s="330">
        <f>IF(A191="","",historico_VU!F129)</f>
        <v/>
      </c>
      <c r="G191" s="330">
        <f>IF(A191="","",historico_VU!G129)</f>
        <v/>
      </c>
      <c r="H191" s="331">
        <f>IF(A191="","",historico_VU!H129)</f>
        <v/>
      </c>
      <c r="I191" s="151" t="n"/>
      <c r="J191" s="328">
        <f>IF(itens_Remanesc!A129="","",itens_Remanesc!A129)</f>
        <v/>
      </c>
      <c r="K191" s="329">
        <f>IF(J191="","",IF($F$4="C0",itens_Remanesc!B129,IF($F$4="C1",itens_Remanesc!E129,IF($F$4="C2",itens_Remanesc!G129,IF($F$4="C3",itens_Remanesc!I129,itens_Remanesc!K129)))))</f>
        <v/>
      </c>
      <c r="L191" s="329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332">
        <f>IF(J191="","",itens_Remanesc!C129)</f>
        <v/>
      </c>
      <c r="N191" s="332">
        <f>IF(J191="","",IF($F$4="C0",historico_VU!C129,IF($F$4="C1",historico_VU!D129,IF($F$4="C2",historico_VU!E129,IF($F$4="C3",historico_VU!F129,historico_VU!G129)))))</f>
        <v/>
      </c>
      <c r="O191" s="332">
        <f>IF(J191="","",IF(CONTROLE!$B$1="Principal",IF(OR(K191="",M191=""),"",ROUND(K191*M191,2)),IF(CONTROLE!$B$1="Itens Consumidos",IF(OR(L191="",M191=""),"",ROUND(L191*M191,2)),"")))</f>
        <v/>
      </c>
      <c r="P191" s="332">
        <f>IF(J191="","",IF(CONTROLE!$B$1="Principal",IF(OR(K191="",N191=""),"",ROUND(K191*N191,2)),IF(CONTROLE!$B$1="Itens Consumidos",IF(OR(L191="",N191=""),"",ROUND(L191*N191,2)),"")))</f>
        <v/>
      </c>
      <c r="Q191" s="333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>
      <c r="A192" s="328">
        <f>IF(historico_VU!A130="","",historico_VU!A130)</f>
        <v/>
      </c>
      <c r="B192" s="329">
        <f>IF(A192="","",historico_VU!B130)</f>
        <v/>
      </c>
      <c r="C192" s="330">
        <f>IF(A192="","",historico_VU!C130)</f>
        <v/>
      </c>
      <c r="D192" s="330">
        <f>IF(A192="","",historico_VU!D130)</f>
        <v/>
      </c>
      <c r="E192" s="330">
        <f>IF(A192="","",historico_VU!E130)</f>
        <v/>
      </c>
      <c r="F192" s="330">
        <f>IF(A192="","",historico_VU!F130)</f>
        <v/>
      </c>
      <c r="G192" s="330">
        <f>IF(A192="","",historico_VU!G130)</f>
        <v/>
      </c>
      <c r="H192" s="331">
        <f>IF(A192="","",historico_VU!H130)</f>
        <v/>
      </c>
      <c r="I192" s="151" t="n"/>
      <c r="J192" s="328">
        <f>IF(itens_Remanesc!A130="","",itens_Remanesc!A130)</f>
        <v/>
      </c>
      <c r="K192" s="329">
        <f>IF(J192="","",IF($F$4="C0",itens_Remanesc!B130,IF($F$4="C1",itens_Remanesc!E130,IF($F$4="C2",itens_Remanesc!G130,IF($F$4="C3",itens_Remanesc!I130,itens_Remanesc!K130)))))</f>
        <v/>
      </c>
      <c r="L192" s="329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332">
        <f>IF(J192="","",itens_Remanesc!C130)</f>
        <v/>
      </c>
      <c r="N192" s="332">
        <f>IF(J192="","",IF($F$4="C0",historico_VU!C130,IF($F$4="C1",historico_VU!D130,IF($F$4="C2",historico_VU!E130,IF($F$4="C3",historico_VU!F130,historico_VU!G130)))))</f>
        <v/>
      </c>
      <c r="O192" s="332">
        <f>IF(J192="","",IF(CONTROLE!$B$1="Principal",IF(OR(K192="",M192=""),"",ROUND(K192*M192,2)),IF(CONTROLE!$B$1="Itens Consumidos",IF(OR(L192="",M192=""),"",ROUND(L192*M192,2)),"")))</f>
        <v/>
      </c>
      <c r="P192" s="332">
        <f>IF(J192="","",IF(CONTROLE!$B$1="Principal",IF(OR(K192="",N192=""),"",ROUND(K192*N192,2)),IF(CONTROLE!$B$1="Itens Consumidos",IF(OR(L192="",N192=""),"",ROUND(L192*N192,2)),"")))</f>
        <v/>
      </c>
      <c r="Q192" s="333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>
      <c r="A193" s="328">
        <f>IF(historico_VU!A131="","",historico_VU!A131)</f>
        <v/>
      </c>
      <c r="B193" s="329">
        <f>IF(A193="","",historico_VU!B131)</f>
        <v/>
      </c>
      <c r="C193" s="330">
        <f>IF(A193="","",historico_VU!C131)</f>
        <v/>
      </c>
      <c r="D193" s="330">
        <f>IF(A193="","",historico_VU!D131)</f>
        <v/>
      </c>
      <c r="E193" s="330">
        <f>IF(A193="","",historico_VU!E131)</f>
        <v/>
      </c>
      <c r="F193" s="330">
        <f>IF(A193="","",historico_VU!F131)</f>
        <v/>
      </c>
      <c r="G193" s="330">
        <f>IF(A193="","",historico_VU!G131)</f>
        <v/>
      </c>
      <c r="H193" s="331">
        <f>IF(A193="","",historico_VU!H131)</f>
        <v/>
      </c>
      <c r="I193" s="151" t="n"/>
      <c r="J193" s="328">
        <f>IF(itens_Remanesc!A131="","",itens_Remanesc!A131)</f>
        <v/>
      </c>
      <c r="K193" s="329">
        <f>IF(J193="","",IF($F$4="C0",itens_Remanesc!B131,IF($F$4="C1",itens_Remanesc!E131,IF($F$4="C2",itens_Remanesc!G131,IF($F$4="C3",itens_Remanesc!I131,itens_Remanesc!K131)))))</f>
        <v/>
      </c>
      <c r="L193" s="329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332">
        <f>IF(J193="","",itens_Remanesc!C131)</f>
        <v/>
      </c>
      <c r="N193" s="332">
        <f>IF(J193="","",IF($F$4="C0",historico_VU!C131,IF($F$4="C1",historico_VU!D131,IF($F$4="C2",historico_VU!E131,IF($F$4="C3",historico_VU!F131,historico_VU!G131)))))</f>
        <v/>
      </c>
      <c r="O193" s="332">
        <f>IF(J193="","",IF(CONTROLE!$B$1="Principal",IF(OR(K193="",M193=""),"",ROUND(K193*M193,2)),IF(CONTROLE!$B$1="Itens Consumidos",IF(OR(L193="",M193=""),"",ROUND(L193*M193,2)),"")))</f>
        <v/>
      </c>
      <c r="P193" s="332">
        <f>IF(J193="","",IF(CONTROLE!$B$1="Principal",IF(OR(K193="",N193=""),"",ROUND(K193*N193,2)),IF(CONTROLE!$B$1="Itens Consumidos",IF(OR(L193="",N193=""),"",ROUND(L193*N193,2)),"")))</f>
        <v/>
      </c>
      <c r="Q193" s="333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>
      <c r="A194" s="328">
        <f>IF(historico_VU!A132="","",historico_VU!A132)</f>
        <v/>
      </c>
      <c r="B194" s="329">
        <f>IF(A194="","",historico_VU!B132)</f>
        <v/>
      </c>
      <c r="C194" s="330">
        <f>IF(A194="","",historico_VU!C132)</f>
        <v/>
      </c>
      <c r="D194" s="330">
        <f>IF(A194="","",historico_VU!D132)</f>
        <v/>
      </c>
      <c r="E194" s="330">
        <f>IF(A194="","",historico_VU!E132)</f>
        <v/>
      </c>
      <c r="F194" s="330">
        <f>IF(A194="","",historico_VU!F132)</f>
        <v/>
      </c>
      <c r="G194" s="330">
        <f>IF(A194="","",historico_VU!G132)</f>
        <v/>
      </c>
      <c r="H194" s="331">
        <f>IF(A194="","",historico_VU!H132)</f>
        <v/>
      </c>
      <c r="I194" s="151" t="n"/>
      <c r="J194" s="328">
        <f>IF(itens_Remanesc!A132="","",itens_Remanesc!A132)</f>
        <v/>
      </c>
      <c r="K194" s="329">
        <f>IF(J194="","",IF($F$4="C0",itens_Remanesc!B132,IF($F$4="C1",itens_Remanesc!E132,IF($F$4="C2",itens_Remanesc!G132,IF($F$4="C3",itens_Remanesc!I132,itens_Remanesc!K132)))))</f>
        <v/>
      </c>
      <c r="L194" s="329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332">
        <f>IF(J194="","",itens_Remanesc!C132)</f>
        <v/>
      </c>
      <c r="N194" s="332">
        <f>IF(J194="","",IF($F$4="C0",historico_VU!C132,IF($F$4="C1",historico_VU!D132,IF($F$4="C2",historico_VU!E132,IF($F$4="C3",historico_VU!F132,historico_VU!G132)))))</f>
        <v/>
      </c>
      <c r="O194" s="332">
        <f>IF(J194="","",IF(CONTROLE!$B$1="Principal",IF(OR(K194="",M194=""),"",ROUND(K194*M194,2)),IF(CONTROLE!$B$1="Itens Consumidos",IF(OR(L194="",M194=""),"",ROUND(L194*M194,2)),"")))</f>
        <v/>
      </c>
      <c r="P194" s="332">
        <f>IF(J194="","",IF(CONTROLE!$B$1="Principal",IF(OR(K194="",N194=""),"",ROUND(K194*N194,2)),IF(CONTROLE!$B$1="Itens Consumidos",IF(OR(L194="",N194=""),"",ROUND(L194*N194,2)),"")))</f>
        <v/>
      </c>
      <c r="Q194" s="333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>
      <c r="A195" s="328">
        <f>IF(historico_VU!A133="","",historico_VU!A133)</f>
        <v/>
      </c>
      <c r="B195" s="329">
        <f>IF(A195="","",historico_VU!B133)</f>
        <v/>
      </c>
      <c r="C195" s="330">
        <f>IF(A195="","",historico_VU!C133)</f>
        <v/>
      </c>
      <c r="D195" s="330">
        <f>IF(A195="","",historico_VU!D133)</f>
        <v/>
      </c>
      <c r="E195" s="330">
        <f>IF(A195="","",historico_VU!E133)</f>
        <v/>
      </c>
      <c r="F195" s="330">
        <f>IF(A195="","",historico_VU!F133)</f>
        <v/>
      </c>
      <c r="G195" s="330">
        <f>IF(A195="","",historico_VU!G133)</f>
        <v/>
      </c>
      <c r="H195" s="331">
        <f>IF(A195="","",historico_VU!H133)</f>
        <v/>
      </c>
      <c r="I195" s="151" t="n"/>
      <c r="J195" s="328">
        <f>IF(itens_Remanesc!A133="","",itens_Remanesc!A133)</f>
        <v/>
      </c>
      <c r="K195" s="329">
        <f>IF(J195="","",IF($F$4="C0",itens_Remanesc!B133,IF($F$4="C1",itens_Remanesc!E133,IF($F$4="C2",itens_Remanesc!G133,IF($F$4="C3",itens_Remanesc!I133,itens_Remanesc!K133)))))</f>
        <v/>
      </c>
      <c r="L195" s="329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332">
        <f>IF(J195="","",itens_Remanesc!C133)</f>
        <v/>
      </c>
      <c r="N195" s="332">
        <f>IF(J195="","",IF($F$4="C0",historico_VU!C133,IF($F$4="C1",historico_VU!D133,IF($F$4="C2",historico_VU!E133,IF($F$4="C3",historico_VU!F133,historico_VU!G133)))))</f>
        <v/>
      </c>
      <c r="O195" s="332">
        <f>IF(J195="","",IF(CONTROLE!$B$1="Principal",IF(OR(K195="",M195=""),"",ROUND(K195*M195,2)),IF(CONTROLE!$B$1="Itens Consumidos",IF(OR(L195="",M195=""),"",ROUND(L195*M195,2)),"")))</f>
        <v/>
      </c>
      <c r="P195" s="332">
        <f>IF(J195="","",IF(CONTROLE!$B$1="Principal",IF(OR(K195="",N195=""),"",ROUND(K195*N195,2)),IF(CONTROLE!$B$1="Itens Consumidos",IF(OR(L195="",N195=""),"",ROUND(L195*N195,2)),"")))</f>
        <v/>
      </c>
      <c r="Q195" s="333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>
      <c r="A196" s="328">
        <f>IF(historico_VU!A134="","",historico_VU!A134)</f>
        <v/>
      </c>
      <c r="B196" s="329">
        <f>IF(A196="","",historico_VU!B134)</f>
        <v/>
      </c>
      <c r="C196" s="330">
        <f>IF(A196="","",historico_VU!C134)</f>
        <v/>
      </c>
      <c r="D196" s="330">
        <f>IF(A196="","",historico_VU!D134)</f>
        <v/>
      </c>
      <c r="E196" s="330">
        <f>IF(A196="","",historico_VU!E134)</f>
        <v/>
      </c>
      <c r="F196" s="330">
        <f>IF(A196="","",historico_VU!F134)</f>
        <v/>
      </c>
      <c r="G196" s="330">
        <f>IF(A196="","",historico_VU!G134)</f>
        <v/>
      </c>
      <c r="H196" s="331">
        <f>IF(A196="","",historico_VU!H134)</f>
        <v/>
      </c>
      <c r="I196" s="151" t="n"/>
      <c r="J196" s="328">
        <f>IF(itens_Remanesc!A134="","",itens_Remanesc!A134)</f>
        <v/>
      </c>
      <c r="K196" s="329">
        <f>IF(J196="","",IF($F$4="C0",itens_Remanesc!B134,IF($F$4="C1",itens_Remanesc!E134,IF($F$4="C2",itens_Remanesc!G134,IF($F$4="C3",itens_Remanesc!I134,itens_Remanesc!K134)))))</f>
        <v/>
      </c>
      <c r="L196" s="329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332">
        <f>IF(J196="","",itens_Remanesc!C134)</f>
        <v/>
      </c>
      <c r="N196" s="332">
        <f>IF(J196="","",IF($F$4="C0",historico_VU!C134,IF($F$4="C1",historico_VU!D134,IF($F$4="C2",historico_VU!E134,IF($F$4="C3",historico_VU!F134,historico_VU!G134)))))</f>
        <v/>
      </c>
      <c r="O196" s="332">
        <f>IF(J196="","",IF(CONTROLE!$B$1="Principal",IF(OR(K196="",M196=""),"",ROUND(K196*M196,2)),IF(CONTROLE!$B$1="Itens Consumidos",IF(OR(L196="",M196=""),"",ROUND(L196*M196,2)),"")))</f>
        <v/>
      </c>
      <c r="P196" s="332">
        <f>IF(J196="","",IF(CONTROLE!$B$1="Principal",IF(OR(K196="",N196=""),"",ROUND(K196*N196,2)),IF(CONTROLE!$B$1="Itens Consumidos",IF(OR(L196="",N196=""),"",ROUND(L196*N196,2)),"")))</f>
        <v/>
      </c>
      <c r="Q196" s="333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>
      <c r="A197" s="328">
        <f>IF(historico_VU!A135="","",historico_VU!A135)</f>
        <v/>
      </c>
      <c r="B197" s="329">
        <f>IF(A197="","",historico_VU!B135)</f>
        <v/>
      </c>
      <c r="C197" s="330">
        <f>IF(A197="","",historico_VU!C135)</f>
        <v/>
      </c>
      <c r="D197" s="330">
        <f>IF(A197="","",historico_VU!D135)</f>
        <v/>
      </c>
      <c r="E197" s="330">
        <f>IF(A197="","",historico_VU!E135)</f>
        <v/>
      </c>
      <c r="F197" s="330">
        <f>IF(A197="","",historico_VU!F135)</f>
        <v/>
      </c>
      <c r="G197" s="330">
        <f>IF(A197="","",historico_VU!G135)</f>
        <v/>
      </c>
      <c r="H197" s="331">
        <f>IF(A197="","",historico_VU!H135)</f>
        <v/>
      </c>
      <c r="I197" s="151" t="n"/>
      <c r="J197" s="328">
        <f>IF(itens_Remanesc!A135="","",itens_Remanesc!A135)</f>
        <v/>
      </c>
      <c r="K197" s="329">
        <f>IF(J197="","",IF($F$4="C0",itens_Remanesc!B135,IF($F$4="C1",itens_Remanesc!E135,IF($F$4="C2",itens_Remanesc!G135,IF($F$4="C3",itens_Remanesc!I135,itens_Remanesc!K135)))))</f>
        <v/>
      </c>
      <c r="L197" s="329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332">
        <f>IF(J197="","",itens_Remanesc!C135)</f>
        <v/>
      </c>
      <c r="N197" s="332">
        <f>IF(J197="","",IF($F$4="C0",historico_VU!C135,IF($F$4="C1",historico_VU!D135,IF($F$4="C2",historico_VU!E135,IF($F$4="C3",historico_VU!F135,historico_VU!G135)))))</f>
        <v/>
      </c>
      <c r="O197" s="332">
        <f>IF(J197="","",IF(CONTROLE!$B$1="Principal",IF(OR(K197="",M197=""),"",ROUND(K197*M197,2)),IF(CONTROLE!$B$1="Itens Consumidos",IF(OR(L197="",M197=""),"",ROUND(L197*M197,2)),"")))</f>
        <v/>
      </c>
      <c r="P197" s="332">
        <f>IF(J197="","",IF(CONTROLE!$B$1="Principal",IF(OR(K197="",N197=""),"",ROUND(K197*N197,2)),IF(CONTROLE!$B$1="Itens Consumidos",IF(OR(L197="",N197=""),"",ROUND(L197*N197,2)),"")))</f>
        <v/>
      </c>
      <c r="Q197" s="333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>
      <c r="A198" s="328">
        <f>IF(historico_VU!A136="","",historico_VU!A136)</f>
        <v/>
      </c>
      <c r="B198" s="329">
        <f>IF(A198="","",historico_VU!B136)</f>
        <v/>
      </c>
      <c r="C198" s="330">
        <f>IF(A198="","",historico_VU!C136)</f>
        <v/>
      </c>
      <c r="D198" s="330">
        <f>IF(A198="","",historico_VU!D136)</f>
        <v/>
      </c>
      <c r="E198" s="330">
        <f>IF(A198="","",historico_VU!E136)</f>
        <v/>
      </c>
      <c r="F198" s="330">
        <f>IF(A198="","",historico_VU!F136)</f>
        <v/>
      </c>
      <c r="G198" s="330">
        <f>IF(A198="","",historico_VU!G136)</f>
        <v/>
      </c>
      <c r="H198" s="331">
        <f>IF(A198="","",historico_VU!H136)</f>
        <v/>
      </c>
      <c r="I198" s="151" t="n"/>
      <c r="J198" s="328">
        <f>IF(itens_Remanesc!A136="","",itens_Remanesc!A136)</f>
        <v/>
      </c>
      <c r="K198" s="329">
        <f>IF(J198="","",IF($F$4="C0",itens_Remanesc!B136,IF($F$4="C1",itens_Remanesc!E136,IF($F$4="C2",itens_Remanesc!G136,IF($F$4="C3",itens_Remanesc!I136,itens_Remanesc!K136)))))</f>
        <v/>
      </c>
      <c r="L198" s="329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332">
        <f>IF(J198="","",itens_Remanesc!C136)</f>
        <v/>
      </c>
      <c r="N198" s="332">
        <f>IF(J198="","",IF($F$4="C0",historico_VU!C136,IF($F$4="C1",historico_VU!D136,IF($F$4="C2",historico_VU!E136,IF($F$4="C3",historico_VU!F136,historico_VU!G136)))))</f>
        <v/>
      </c>
      <c r="O198" s="332">
        <f>IF(J198="","",IF(CONTROLE!$B$1="Principal",IF(OR(K198="",M198=""),"",ROUND(K198*M198,2)),IF(CONTROLE!$B$1="Itens Consumidos",IF(OR(L198="",M198=""),"",ROUND(L198*M198,2)),"")))</f>
        <v/>
      </c>
      <c r="P198" s="332">
        <f>IF(J198="","",IF(CONTROLE!$B$1="Principal",IF(OR(K198="",N198=""),"",ROUND(K198*N198,2)),IF(CONTROLE!$B$1="Itens Consumidos",IF(OR(L198="",N198=""),"",ROUND(L198*N198,2)),"")))</f>
        <v/>
      </c>
      <c r="Q198" s="333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>
      <c r="A199" s="328">
        <f>IF(historico_VU!A137="","",historico_VU!A137)</f>
        <v/>
      </c>
      <c r="B199" s="329">
        <f>IF(A199="","",historico_VU!B137)</f>
        <v/>
      </c>
      <c r="C199" s="330">
        <f>IF(A199="","",historico_VU!C137)</f>
        <v/>
      </c>
      <c r="D199" s="330">
        <f>IF(A199="","",historico_VU!D137)</f>
        <v/>
      </c>
      <c r="E199" s="330">
        <f>IF(A199="","",historico_VU!E137)</f>
        <v/>
      </c>
      <c r="F199" s="330">
        <f>IF(A199="","",historico_VU!F137)</f>
        <v/>
      </c>
      <c r="G199" s="330">
        <f>IF(A199="","",historico_VU!G137)</f>
        <v/>
      </c>
      <c r="H199" s="331">
        <f>IF(A199="","",historico_VU!H137)</f>
        <v/>
      </c>
      <c r="I199" s="151" t="n"/>
      <c r="J199" s="328">
        <f>IF(itens_Remanesc!A137="","",itens_Remanesc!A137)</f>
        <v/>
      </c>
      <c r="K199" s="329">
        <f>IF(J199="","",IF($F$4="C0",itens_Remanesc!B137,IF($F$4="C1",itens_Remanesc!E137,IF($F$4="C2",itens_Remanesc!G137,IF($F$4="C3",itens_Remanesc!I137,itens_Remanesc!K137)))))</f>
        <v/>
      </c>
      <c r="L199" s="329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332">
        <f>IF(J199="","",itens_Remanesc!C137)</f>
        <v/>
      </c>
      <c r="N199" s="332">
        <f>IF(J199="","",IF($F$4="C0",historico_VU!C137,IF($F$4="C1",historico_VU!D137,IF($F$4="C2",historico_VU!E137,IF($F$4="C3",historico_VU!F137,historico_VU!G137)))))</f>
        <v/>
      </c>
      <c r="O199" s="332">
        <f>IF(J199="","",IF(CONTROLE!$B$1="Principal",IF(OR(K199="",M199=""),"",ROUND(K199*M199,2)),IF(CONTROLE!$B$1="Itens Consumidos",IF(OR(L199="",M199=""),"",ROUND(L199*M199,2)),"")))</f>
        <v/>
      </c>
      <c r="P199" s="332">
        <f>IF(J199="","",IF(CONTROLE!$B$1="Principal",IF(OR(K199="",N199=""),"",ROUND(K199*N199,2)),IF(CONTROLE!$B$1="Itens Consumidos",IF(OR(L199="",N199=""),"",ROUND(L199*N199,2)),"")))</f>
        <v/>
      </c>
      <c r="Q199" s="333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>
      <c r="A200" s="328">
        <f>IF(historico_VU!A138="","",historico_VU!A138)</f>
        <v/>
      </c>
      <c r="B200" s="329">
        <f>IF(A200="","",historico_VU!B138)</f>
        <v/>
      </c>
      <c r="C200" s="330">
        <f>IF(A200="","",historico_VU!C138)</f>
        <v/>
      </c>
      <c r="D200" s="330">
        <f>IF(A200="","",historico_VU!D138)</f>
        <v/>
      </c>
      <c r="E200" s="330">
        <f>IF(A200="","",historico_VU!E138)</f>
        <v/>
      </c>
      <c r="F200" s="330">
        <f>IF(A200="","",historico_VU!F138)</f>
        <v/>
      </c>
      <c r="G200" s="330">
        <f>IF(A200="","",historico_VU!G138)</f>
        <v/>
      </c>
      <c r="H200" s="331">
        <f>IF(A200="","",historico_VU!H138)</f>
        <v/>
      </c>
      <c r="I200" s="151" t="n"/>
      <c r="J200" s="328">
        <f>IF(itens_Remanesc!A138="","",itens_Remanesc!A138)</f>
        <v/>
      </c>
      <c r="K200" s="329">
        <f>IF(J200="","",IF($F$4="C0",itens_Remanesc!B138,IF($F$4="C1",itens_Remanesc!E138,IF($F$4="C2",itens_Remanesc!G138,IF($F$4="C3",itens_Remanesc!I138,itens_Remanesc!K138)))))</f>
        <v/>
      </c>
      <c r="L200" s="329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332">
        <f>IF(J200="","",itens_Remanesc!C138)</f>
        <v/>
      </c>
      <c r="N200" s="332">
        <f>IF(J200="","",IF($F$4="C0",historico_VU!C138,IF($F$4="C1",historico_VU!D138,IF($F$4="C2",historico_VU!E138,IF($F$4="C3",historico_VU!F138,historico_VU!G138)))))</f>
        <v/>
      </c>
      <c r="O200" s="332">
        <f>IF(J200="","",IF(CONTROLE!$B$1="Principal",IF(OR(K200="",M200=""),"",ROUND(K200*M200,2)),IF(CONTROLE!$B$1="Itens Consumidos",IF(OR(L200="",M200=""),"",ROUND(L200*M200,2)),"")))</f>
        <v/>
      </c>
      <c r="P200" s="332">
        <f>IF(J200="","",IF(CONTROLE!$B$1="Principal",IF(OR(K200="",N200=""),"",ROUND(K200*N200,2)),IF(CONTROLE!$B$1="Itens Consumidos",IF(OR(L200="",N200=""),"",ROUND(L200*N200,2)),"")))</f>
        <v/>
      </c>
      <c r="Q200" s="333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>
      <c r="A201" s="328">
        <f>IF(historico_VU!A139="","",historico_VU!A139)</f>
        <v/>
      </c>
      <c r="B201" s="329">
        <f>IF(A201="","",historico_VU!B139)</f>
        <v/>
      </c>
      <c r="C201" s="330">
        <f>IF(A201="","",historico_VU!C139)</f>
        <v/>
      </c>
      <c r="D201" s="330">
        <f>IF(A201="","",historico_VU!D139)</f>
        <v/>
      </c>
      <c r="E201" s="330">
        <f>IF(A201="","",historico_VU!E139)</f>
        <v/>
      </c>
      <c r="F201" s="330">
        <f>IF(A201="","",historico_VU!F139)</f>
        <v/>
      </c>
      <c r="G201" s="330">
        <f>IF(A201="","",historico_VU!G139)</f>
        <v/>
      </c>
      <c r="H201" s="331">
        <f>IF(A201="","",historico_VU!H139)</f>
        <v/>
      </c>
      <c r="I201" s="151" t="n"/>
      <c r="J201" s="328">
        <f>IF(itens_Remanesc!A139="","",itens_Remanesc!A139)</f>
        <v/>
      </c>
      <c r="K201" s="329">
        <f>IF(J201="","",IF($F$4="C0",itens_Remanesc!B139,IF($F$4="C1",itens_Remanesc!E139,IF($F$4="C2",itens_Remanesc!G139,IF($F$4="C3",itens_Remanesc!I139,itens_Remanesc!K139)))))</f>
        <v/>
      </c>
      <c r="L201" s="329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332">
        <f>IF(J201="","",itens_Remanesc!C139)</f>
        <v/>
      </c>
      <c r="N201" s="332">
        <f>IF(J201="","",IF($F$4="C0",historico_VU!C139,IF($F$4="C1",historico_VU!D139,IF($F$4="C2",historico_VU!E139,IF($F$4="C3",historico_VU!F139,historico_VU!G139)))))</f>
        <v/>
      </c>
      <c r="O201" s="332">
        <f>IF(J201="","",IF(CONTROLE!$B$1="Principal",IF(OR(K201="",M201=""),"",ROUND(K201*M201,2)),IF(CONTROLE!$B$1="Itens Consumidos",IF(OR(L201="",M201=""),"",ROUND(L201*M201,2)),"")))</f>
        <v/>
      </c>
      <c r="P201" s="332">
        <f>IF(J201="","",IF(CONTROLE!$B$1="Principal",IF(OR(K201="",N201=""),"",ROUND(K201*N201,2)),IF(CONTROLE!$B$1="Itens Consumidos",IF(OR(L201="",N201=""),"",ROUND(L201*N201,2)),"")))</f>
        <v/>
      </c>
      <c r="Q201" s="333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>
      <c r="A202" s="328">
        <f>IF(historico_VU!A140="","",historico_VU!A140)</f>
        <v/>
      </c>
      <c r="B202" s="329">
        <f>IF(A202="","",historico_VU!B140)</f>
        <v/>
      </c>
      <c r="C202" s="330">
        <f>IF(A202="","",historico_VU!C140)</f>
        <v/>
      </c>
      <c r="D202" s="330">
        <f>IF(A202="","",historico_VU!D140)</f>
        <v/>
      </c>
      <c r="E202" s="330">
        <f>IF(A202="","",historico_VU!E140)</f>
        <v/>
      </c>
      <c r="F202" s="330">
        <f>IF(A202="","",historico_VU!F140)</f>
        <v/>
      </c>
      <c r="G202" s="330">
        <f>IF(A202="","",historico_VU!G140)</f>
        <v/>
      </c>
      <c r="H202" s="331">
        <f>IF(A202="","",historico_VU!H140)</f>
        <v/>
      </c>
      <c r="I202" s="151" t="n"/>
      <c r="J202" s="328">
        <f>IF(itens_Remanesc!A140="","",itens_Remanesc!A140)</f>
        <v/>
      </c>
      <c r="K202" s="329">
        <f>IF(J202="","",IF($F$4="C0",itens_Remanesc!B140,IF($F$4="C1",itens_Remanesc!E140,IF($F$4="C2",itens_Remanesc!G140,IF($F$4="C3",itens_Remanesc!I140,itens_Remanesc!K140)))))</f>
        <v/>
      </c>
      <c r="L202" s="329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332">
        <f>IF(J202="","",itens_Remanesc!C140)</f>
        <v/>
      </c>
      <c r="N202" s="332">
        <f>IF(J202="","",IF($F$4="C0",historico_VU!C140,IF($F$4="C1",historico_VU!D140,IF($F$4="C2",historico_VU!E140,IF($F$4="C3",historico_VU!F140,historico_VU!G140)))))</f>
        <v/>
      </c>
      <c r="O202" s="332">
        <f>IF(J202="","",IF(CONTROLE!$B$1="Principal",IF(OR(K202="",M202=""),"",ROUND(K202*M202,2)),IF(CONTROLE!$B$1="Itens Consumidos",IF(OR(L202="",M202=""),"",ROUND(L202*M202,2)),"")))</f>
        <v/>
      </c>
      <c r="P202" s="332">
        <f>IF(J202="","",IF(CONTROLE!$B$1="Principal",IF(OR(K202="",N202=""),"",ROUND(K202*N202,2)),IF(CONTROLE!$B$1="Itens Consumidos",IF(OR(L202="",N202=""),"",ROUND(L202*N202,2)),"")))</f>
        <v/>
      </c>
      <c r="Q202" s="333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>
      <c r="A203" s="328">
        <f>IF(historico_VU!A141="","",historico_VU!A141)</f>
        <v/>
      </c>
      <c r="B203" s="329">
        <f>IF(A203="","",historico_VU!B141)</f>
        <v/>
      </c>
      <c r="C203" s="330">
        <f>IF(A203="","",historico_VU!C141)</f>
        <v/>
      </c>
      <c r="D203" s="330">
        <f>IF(A203="","",historico_VU!D141)</f>
        <v/>
      </c>
      <c r="E203" s="330">
        <f>IF(A203="","",historico_VU!E141)</f>
        <v/>
      </c>
      <c r="F203" s="330">
        <f>IF(A203="","",historico_VU!F141)</f>
        <v/>
      </c>
      <c r="G203" s="330">
        <f>IF(A203="","",historico_VU!G141)</f>
        <v/>
      </c>
      <c r="H203" s="331">
        <f>IF(A203="","",historico_VU!H141)</f>
        <v/>
      </c>
      <c r="I203" s="151" t="n"/>
      <c r="J203" s="328">
        <f>IF(itens_Remanesc!A141="","",itens_Remanesc!A141)</f>
        <v/>
      </c>
      <c r="K203" s="329">
        <f>IF(J203="","",IF($F$4="C0",itens_Remanesc!B141,IF($F$4="C1",itens_Remanesc!E141,IF($F$4="C2",itens_Remanesc!G141,IF($F$4="C3",itens_Remanesc!I141,itens_Remanesc!K141)))))</f>
        <v/>
      </c>
      <c r="L203" s="329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332">
        <f>IF(J203="","",itens_Remanesc!C141)</f>
        <v/>
      </c>
      <c r="N203" s="332">
        <f>IF(J203="","",IF($F$4="C0",historico_VU!C141,IF($F$4="C1",historico_VU!D141,IF($F$4="C2",historico_VU!E141,IF($F$4="C3",historico_VU!F141,historico_VU!G141)))))</f>
        <v/>
      </c>
      <c r="O203" s="332">
        <f>IF(J203="","",IF(CONTROLE!$B$1="Principal",IF(OR(K203="",M203=""),"",ROUND(K203*M203,2)),IF(CONTROLE!$B$1="Itens Consumidos",IF(OR(L203="",M203=""),"",ROUND(L203*M203,2)),"")))</f>
        <v/>
      </c>
      <c r="P203" s="332">
        <f>IF(J203="","",IF(CONTROLE!$B$1="Principal",IF(OR(K203="",N203=""),"",ROUND(K203*N203,2)),IF(CONTROLE!$B$1="Itens Consumidos",IF(OR(L203="",N203=""),"",ROUND(L203*N203,2)),"")))</f>
        <v/>
      </c>
      <c r="Q203" s="333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>
      <c r="A204" s="328">
        <f>IF(historico_VU!A142="","",historico_VU!A142)</f>
        <v/>
      </c>
      <c r="B204" s="329">
        <f>IF(A204="","",historico_VU!B142)</f>
        <v/>
      </c>
      <c r="C204" s="330">
        <f>IF(A204="","",historico_VU!C142)</f>
        <v/>
      </c>
      <c r="D204" s="330">
        <f>IF(A204="","",historico_VU!D142)</f>
        <v/>
      </c>
      <c r="E204" s="330">
        <f>IF(A204="","",historico_VU!E142)</f>
        <v/>
      </c>
      <c r="F204" s="330">
        <f>IF(A204="","",historico_VU!F142)</f>
        <v/>
      </c>
      <c r="G204" s="330">
        <f>IF(A204="","",historico_VU!G142)</f>
        <v/>
      </c>
      <c r="H204" s="331">
        <f>IF(A204="","",historico_VU!H142)</f>
        <v/>
      </c>
      <c r="I204" s="151" t="n"/>
      <c r="J204" s="328">
        <f>IF(itens_Remanesc!A142="","",itens_Remanesc!A142)</f>
        <v/>
      </c>
      <c r="K204" s="329">
        <f>IF(J204="","",IF($F$4="C0",itens_Remanesc!B142,IF($F$4="C1",itens_Remanesc!E142,IF($F$4="C2",itens_Remanesc!G142,IF($F$4="C3",itens_Remanesc!I142,itens_Remanesc!K142)))))</f>
        <v/>
      </c>
      <c r="L204" s="329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332">
        <f>IF(J204="","",itens_Remanesc!C142)</f>
        <v/>
      </c>
      <c r="N204" s="332">
        <f>IF(J204="","",IF($F$4="C0",historico_VU!C142,IF($F$4="C1",historico_VU!D142,IF($F$4="C2",historico_VU!E142,IF($F$4="C3",historico_VU!F142,historico_VU!G142)))))</f>
        <v/>
      </c>
      <c r="O204" s="332">
        <f>IF(J204="","",IF(CONTROLE!$B$1="Principal",IF(OR(K204="",M204=""),"",ROUND(K204*M204,2)),IF(CONTROLE!$B$1="Itens Consumidos",IF(OR(L204="",M204=""),"",ROUND(L204*M204,2)),"")))</f>
        <v/>
      </c>
      <c r="P204" s="332">
        <f>IF(J204="","",IF(CONTROLE!$B$1="Principal",IF(OR(K204="",N204=""),"",ROUND(K204*N204,2)),IF(CONTROLE!$B$1="Itens Consumidos",IF(OR(L204="",N204=""),"",ROUND(L204*N204,2)),"")))</f>
        <v/>
      </c>
      <c r="Q204" s="333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>
      <c r="A205" s="328">
        <f>IF(historico_VU!A143="","",historico_VU!A143)</f>
        <v/>
      </c>
      <c r="B205" s="329">
        <f>IF(A205="","",historico_VU!B143)</f>
        <v/>
      </c>
      <c r="C205" s="330">
        <f>IF(A205="","",historico_VU!C143)</f>
        <v/>
      </c>
      <c r="D205" s="330">
        <f>IF(A205="","",historico_VU!D143)</f>
        <v/>
      </c>
      <c r="E205" s="330">
        <f>IF(A205="","",historico_VU!E143)</f>
        <v/>
      </c>
      <c r="F205" s="330">
        <f>IF(A205="","",historico_VU!F143)</f>
        <v/>
      </c>
      <c r="G205" s="330">
        <f>IF(A205="","",historico_VU!G143)</f>
        <v/>
      </c>
      <c r="H205" s="331">
        <f>IF(A205="","",historico_VU!H143)</f>
        <v/>
      </c>
      <c r="I205" s="151" t="n"/>
      <c r="J205" s="328">
        <f>IF(itens_Remanesc!A143="","",itens_Remanesc!A143)</f>
        <v/>
      </c>
      <c r="K205" s="329">
        <f>IF(J205="","",IF($F$4="C0",itens_Remanesc!B143,IF($F$4="C1",itens_Remanesc!E143,IF($F$4="C2",itens_Remanesc!G143,IF($F$4="C3",itens_Remanesc!I143,itens_Remanesc!K143)))))</f>
        <v/>
      </c>
      <c r="L205" s="329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332">
        <f>IF(J205="","",itens_Remanesc!C143)</f>
        <v/>
      </c>
      <c r="N205" s="332">
        <f>IF(J205="","",IF($F$4="C0",historico_VU!C143,IF($F$4="C1",historico_VU!D143,IF($F$4="C2",historico_VU!E143,IF($F$4="C3",historico_VU!F143,historico_VU!G143)))))</f>
        <v/>
      </c>
      <c r="O205" s="332">
        <f>IF(J205="","",IF(CONTROLE!$B$1="Principal",IF(OR(K205="",M205=""),"",ROUND(K205*M205,2)),IF(CONTROLE!$B$1="Itens Consumidos",IF(OR(L205="",M205=""),"",ROUND(L205*M205,2)),"")))</f>
        <v/>
      </c>
      <c r="P205" s="332">
        <f>IF(J205="","",IF(CONTROLE!$B$1="Principal",IF(OR(K205="",N205=""),"",ROUND(K205*N205,2)),IF(CONTROLE!$B$1="Itens Consumidos",IF(OR(L205="",N205=""),"",ROUND(L205*N205,2)),"")))</f>
        <v/>
      </c>
      <c r="Q205" s="333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>
      <c r="A206" s="328">
        <f>IF(historico_VU!A144="","",historico_VU!A144)</f>
        <v/>
      </c>
      <c r="B206" s="329">
        <f>IF(A206="","",historico_VU!B144)</f>
        <v/>
      </c>
      <c r="C206" s="330">
        <f>IF(A206="","",historico_VU!C144)</f>
        <v/>
      </c>
      <c r="D206" s="330">
        <f>IF(A206="","",historico_VU!D144)</f>
        <v/>
      </c>
      <c r="E206" s="330">
        <f>IF(A206="","",historico_VU!E144)</f>
        <v/>
      </c>
      <c r="F206" s="330">
        <f>IF(A206="","",historico_VU!F144)</f>
        <v/>
      </c>
      <c r="G206" s="330">
        <f>IF(A206="","",historico_VU!G144)</f>
        <v/>
      </c>
      <c r="H206" s="331">
        <f>IF(A206="","",historico_VU!H144)</f>
        <v/>
      </c>
      <c r="I206" s="151" t="n"/>
      <c r="J206" s="328">
        <f>IF(itens_Remanesc!A144="","",itens_Remanesc!A144)</f>
        <v/>
      </c>
      <c r="K206" s="329">
        <f>IF(J206="","",IF($F$4="C0",itens_Remanesc!B144,IF($F$4="C1",itens_Remanesc!E144,IF($F$4="C2",itens_Remanesc!G144,IF($F$4="C3",itens_Remanesc!I144,itens_Remanesc!K144)))))</f>
        <v/>
      </c>
      <c r="L206" s="329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332">
        <f>IF(J206="","",itens_Remanesc!C144)</f>
        <v/>
      </c>
      <c r="N206" s="332">
        <f>IF(J206="","",IF($F$4="C0",historico_VU!C144,IF($F$4="C1",historico_VU!D144,IF($F$4="C2",historico_VU!E144,IF($F$4="C3",historico_VU!F144,historico_VU!G144)))))</f>
        <v/>
      </c>
      <c r="O206" s="332">
        <f>IF(J206="","",IF(CONTROLE!$B$1="Principal",IF(OR(K206="",M206=""),"",ROUND(K206*M206,2)),IF(CONTROLE!$B$1="Itens Consumidos",IF(OR(L206="",M206=""),"",ROUND(L206*M206,2)),"")))</f>
        <v/>
      </c>
      <c r="P206" s="332">
        <f>IF(J206="","",IF(CONTROLE!$B$1="Principal",IF(OR(K206="",N206=""),"",ROUND(K206*N206,2)),IF(CONTROLE!$B$1="Itens Consumidos",IF(OR(L206="",N206=""),"",ROUND(L206*N206,2)),"")))</f>
        <v/>
      </c>
      <c r="Q206" s="333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>
      <c r="A207" s="328">
        <f>IF(historico_VU!A145="","",historico_VU!A145)</f>
        <v/>
      </c>
      <c r="B207" s="329">
        <f>IF(A207="","",historico_VU!B145)</f>
        <v/>
      </c>
      <c r="C207" s="330">
        <f>IF(A207="","",historico_VU!C145)</f>
        <v/>
      </c>
      <c r="D207" s="330">
        <f>IF(A207="","",historico_VU!D145)</f>
        <v/>
      </c>
      <c r="E207" s="330">
        <f>IF(A207="","",historico_VU!E145)</f>
        <v/>
      </c>
      <c r="F207" s="330">
        <f>IF(A207="","",historico_VU!F145)</f>
        <v/>
      </c>
      <c r="G207" s="330">
        <f>IF(A207="","",historico_VU!G145)</f>
        <v/>
      </c>
      <c r="H207" s="331">
        <f>IF(A207="","",historico_VU!H145)</f>
        <v/>
      </c>
      <c r="I207" s="151" t="n"/>
      <c r="J207" s="328">
        <f>IF(itens_Remanesc!A145="","",itens_Remanesc!A145)</f>
        <v/>
      </c>
      <c r="K207" s="329">
        <f>IF(J207="","",IF($F$4="C0",itens_Remanesc!B145,IF($F$4="C1",itens_Remanesc!E145,IF($F$4="C2",itens_Remanesc!G145,IF($F$4="C3",itens_Remanesc!I145,itens_Remanesc!K145)))))</f>
        <v/>
      </c>
      <c r="L207" s="329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332">
        <f>IF(J207="","",itens_Remanesc!C145)</f>
        <v/>
      </c>
      <c r="N207" s="332">
        <f>IF(J207="","",IF($F$4="C0",historico_VU!C145,IF($F$4="C1",historico_VU!D145,IF($F$4="C2",historico_VU!E145,IF($F$4="C3",historico_VU!F145,historico_VU!G145)))))</f>
        <v/>
      </c>
      <c r="O207" s="332">
        <f>IF(J207="","",IF(CONTROLE!$B$1="Principal",IF(OR(K207="",M207=""),"",ROUND(K207*M207,2)),IF(CONTROLE!$B$1="Itens Consumidos",IF(OR(L207="",M207=""),"",ROUND(L207*M207,2)),"")))</f>
        <v/>
      </c>
      <c r="P207" s="332">
        <f>IF(J207="","",IF(CONTROLE!$B$1="Principal",IF(OR(K207="",N207=""),"",ROUND(K207*N207,2)),IF(CONTROLE!$B$1="Itens Consumidos",IF(OR(L207="",N207=""),"",ROUND(L207*N207,2)),"")))</f>
        <v/>
      </c>
      <c r="Q207" s="333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>
      <c r="A208" s="328">
        <f>IF(historico_VU!A146="","",historico_VU!A146)</f>
        <v/>
      </c>
      <c r="B208" s="329">
        <f>IF(A208="","",historico_VU!B146)</f>
        <v/>
      </c>
      <c r="C208" s="330">
        <f>IF(A208="","",historico_VU!C146)</f>
        <v/>
      </c>
      <c r="D208" s="330">
        <f>IF(A208="","",historico_VU!D146)</f>
        <v/>
      </c>
      <c r="E208" s="330">
        <f>IF(A208="","",historico_VU!E146)</f>
        <v/>
      </c>
      <c r="F208" s="330">
        <f>IF(A208="","",historico_VU!F146)</f>
        <v/>
      </c>
      <c r="G208" s="330">
        <f>IF(A208="","",historico_VU!G146)</f>
        <v/>
      </c>
      <c r="H208" s="331">
        <f>IF(A208="","",historico_VU!H146)</f>
        <v/>
      </c>
      <c r="I208" s="151" t="n"/>
      <c r="J208" s="328">
        <f>IF(itens_Remanesc!A146="","",itens_Remanesc!A146)</f>
        <v/>
      </c>
      <c r="K208" s="329">
        <f>IF(J208="","",IF($F$4="C0",itens_Remanesc!B146,IF($F$4="C1",itens_Remanesc!E146,IF($F$4="C2",itens_Remanesc!G146,IF($F$4="C3",itens_Remanesc!I146,itens_Remanesc!K146)))))</f>
        <v/>
      </c>
      <c r="L208" s="329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332">
        <f>IF(J208="","",itens_Remanesc!C146)</f>
        <v/>
      </c>
      <c r="N208" s="332">
        <f>IF(J208="","",IF($F$4="C0",historico_VU!C146,IF($F$4="C1",historico_VU!D146,IF($F$4="C2",historico_VU!E146,IF($F$4="C3",historico_VU!F146,historico_VU!G146)))))</f>
        <v/>
      </c>
      <c r="O208" s="332">
        <f>IF(J208="","",IF(CONTROLE!$B$1="Principal",IF(OR(K208="",M208=""),"",ROUND(K208*M208,2)),IF(CONTROLE!$B$1="Itens Consumidos",IF(OR(L208="",M208=""),"",ROUND(L208*M208,2)),"")))</f>
        <v/>
      </c>
      <c r="P208" s="332">
        <f>IF(J208="","",IF(CONTROLE!$B$1="Principal",IF(OR(K208="",N208=""),"",ROUND(K208*N208,2)),IF(CONTROLE!$B$1="Itens Consumidos",IF(OR(L208="",N208=""),"",ROUND(L208*N208,2)),"")))</f>
        <v/>
      </c>
      <c r="Q208" s="333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>
      <c r="A209" s="328">
        <f>IF(historico_VU!A147="","",historico_VU!A147)</f>
        <v/>
      </c>
      <c r="B209" s="329">
        <f>IF(A209="","",historico_VU!B147)</f>
        <v/>
      </c>
      <c r="C209" s="330">
        <f>IF(A209="","",historico_VU!C147)</f>
        <v/>
      </c>
      <c r="D209" s="330">
        <f>IF(A209="","",historico_VU!D147)</f>
        <v/>
      </c>
      <c r="E209" s="330">
        <f>IF(A209="","",historico_VU!E147)</f>
        <v/>
      </c>
      <c r="F209" s="330">
        <f>IF(A209="","",historico_VU!F147)</f>
        <v/>
      </c>
      <c r="G209" s="330">
        <f>IF(A209="","",historico_VU!G147)</f>
        <v/>
      </c>
      <c r="H209" s="331">
        <f>IF(A209="","",historico_VU!H147)</f>
        <v/>
      </c>
      <c r="I209" s="151" t="n"/>
      <c r="J209" s="328">
        <f>IF(itens_Remanesc!A147="","",itens_Remanesc!A147)</f>
        <v/>
      </c>
      <c r="K209" s="329">
        <f>IF(J209="","",IF($F$4="C0",itens_Remanesc!B147,IF($F$4="C1",itens_Remanesc!E147,IF($F$4="C2",itens_Remanesc!G147,IF($F$4="C3",itens_Remanesc!I147,itens_Remanesc!K147)))))</f>
        <v/>
      </c>
      <c r="L209" s="329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332">
        <f>IF(J209="","",itens_Remanesc!C147)</f>
        <v/>
      </c>
      <c r="N209" s="332">
        <f>IF(J209="","",IF($F$4="C0",historico_VU!C147,IF($F$4="C1",historico_VU!D147,IF($F$4="C2",historico_VU!E147,IF($F$4="C3",historico_VU!F147,historico_VU!G147)))))</f>
        <v/>
      </c>
      <c r="O209" s="332">
        <f>IF(J209="","",IF(CONTROLE!$B$1="Principal",IF(OR(K209="",M209=""),"",ROUND(K209*M209,2)),IF(CONTROLE!$B$1="Itens Consumidos",IF(OR(L209="",M209=""),"",ROUND(L209*M209,2)),"")))</f>
        <v/>
      </c>
      <c r="P209" s="332">
        <f>IF(J209="","",IF(CONTROLE!$B$1="Principal",IF(OR(K209="",N209=""),"",ROUND(K209*N209,2)),IF(CONTROLE!$B$1="Itens Consumidos",IF(OR(L209="",N209=""),"",ROUND(L209*N209,2)),"")))</f>
        <v/>
      </c>
      <c r="Q209" s="333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>
      <c r="A210" s="328">
        <f>IF(historico_VU!A148="","",historico_VU!A148)</f>
        <v/>
      </c>
      <c r="B210" s="329">
        <f>IF(A210="","",historico_VU!B148)</f>
        <v/>
      </c>
      <c r="C210" s="330">
        <f>IF(A210="","",historico_VU!C148)</f>
        <v/>
      </c>
      <c r="D210" s="330">
        <f>IF(A210="","",historico_VU!D148)</f>
        <v/>
      </c>
      <c r="E210" s="330">
        <f>IF(A210="","",historico_VU!E148)</f>
        <v/>
      </c>
      <c r="F210" s="330">
        <f>IF(A210="","",historico_VU!F148)</f>
        <v/>
      </c>
      <c r="G210" s="330">
        <f>IF(A210="","",historico_VU!G148)</f>
        <v/>
      </c>
      <c r="H210" s="331">
        <f>IF(A210="","",historico_VU!H148)</f>
        <v/>
      </c>
      <c r="I210" s="151" t="n"/>
      <c r="J210" s="328">
        <f>IF(itens_Remanesc!A148="","",itens_Remanesc!A148)</f>
        <v/>
      </c>
      <c r="K210" s="329">
        <f>IF(J210="","",IF($F$4="C0",itens_Remanesc!B148,IF($F$4="C1",itens_Remanesc!E148,IF($F$4="C2",itens_Remanesc!G148,IF($F$4="C3",itens_Remanesc!I148,itens_Remanesc!K148)))))</f>
        <v/>
      </c>
      <c r="L210" s="329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332">
        <f>IF(J210="","",itens_Remanesc!C148)</f>
        <v/>
      </c>
      <c r="N210" s="332">
        <f>IF(J210="","",IF($F$4="C0",historico_VU!C148,IF($F$4="C1",historico_VU!D148,IF($F$4="C2",historico_VU!E148,IF($F$4="C3",historico_VU!F148,historico_VU!G148)))))</f>
        <v/>
      </c>
      <c r="O210" s="332">
        <f>IF(J210="","",IF(CONTROLE!$B$1="Principal",IF(OR(K210="",M210=""),"",ROUND(K210*M210,2)),IF(CONTROLE!$B$1="Itens Consumidos",IF(OR(L210="",M210=""),"",ROUND(L210*M210,2)),"")))</f>
        <v/>
      </c>
      <c r="P210" s="332">
        <f>IF(J210="","",IF(CONTROLE!$B$1="Principal",IF(OR(K210="",N210=""),"",ROUND(K210*N210,2)),IF(CONTROLE!$B$1="Itens Consumidos",IF(OR(L210="",N210=""),"",ROUND(L210*N210,2)),"")))</f>
        <v/>
      </c>
      <c r="Q210" s="333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>
      <c r="A211" s="328">
        <f>IF(historico_VU!A149="","",historico_VU!A149)</f>
        <v/>
      </c>
      <c r="B211" s="329">
        <f>IF(A211="","",historico_VU!B149)</f>
        <v/>
      </c>
      <c r="C211" s="330">
        <f>IF(A211="","",historico_VU!C149)</f>
        <v/>
      </c>
      <c r="D211" s="330">
        <f>IF(A211="","",historico_VU!D149)</f>
        <v/>
      </c>
      <c r="E211" s="330">
        <f>IF(A211="","",historico_VU!E149)</f>
        <v/>
      </c>
      <c r="F211" s="330">
        <f>IF(A211="","",historico_VU!F149)</f>
        <v/>
      </c>
      <c r="G211" s="330">
        <f>IF(A211="","",historico_VU!G149)</f>
        <v/>
      </c>
      <c r="H211" s="331">
        <f>IF(A211="","",historico_VU!H149)</f>
        <v/>
      </c>
      <c r="I211" s="151" t="n"/>
      <c r="J211" s="328">
        <f>IF(itens_Remanesc!A149="","",itens_Remanesc!A149)</f>
        <v/>
      </c>
      <c r="K211" s="329">
        <f>IF(J211="","",IF($F$4="C0",itens_Remanesc!B149,IF($F$4="C1",itens_Remanesc!E149,IF($F$4="C2",itens_Remanesc!G149,IF($F$4="C3",itens_Remanesc!I149,itens_Remanesc!K149)))))</f>
        <v/>
      </c>
      <c r="L211" s="329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332">
        <f>IF(J211="","",itens_Remanesc!C149)</f>
        <v/>
      </c>
      <c r="N211" s="332">
        <f>IF(J211="","",IF($F$4="C0",historico_VU!C149,IF($F$4="C1",historico_VU!D149,IF($F$4="C2",historico_VU!E149,IF($F$4="C3",historico_VU!F149,historico_VU!G149)))))</f>
        <v/>
      </c>
      <c r="O211" s="332">
        <f>IF(J211="","",IF(CONTROLE!$B$1="Principal",IF(OR(K211="",M211=""),"",ROUND(K211*M211,2)),IF(CONTROLE!$B$1="Itens Consumidos",IF(OR(L211="",M211=""),"",ROUND(L211*M211,2)),"")))</f>
        <v/>
      </c>
      <c r="P211" s="332">
        <f>IF(J211="","",IF(CONTROLE!$B$1="Principal",IF(OR(K211="",N211=""),"",ROUND(K211*N211,2)),IF(CONTROLE!$B$1="Itens Consumidos",IF(OR(L211="",N211=""),"",ROUND(L211*N211,2)),"")))</f>
        <v/>
      </c>
      <c r="Q211" s="333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>
      <c r="A212" s="328">
        <f>IF(historico_VU!A150="","",historico_VU!A150)</f>
        <v/>
      </c>
      <c r="B212" s="329">
        <f>IF(A212="","",historico_VU!B150)</f>
        <v/>
      </c>
      <c r="C212" s="330">
        <f>IF(A212="","",historico_VU!C150)</f>
        <v/>
      </c>
      <c r="D212" s="330">
        <f>IF(A212="","",historico_VU!D150)</f>
        <v/>
      </c>
      <c r="E212" s="330">
        <f>IF(A212="","",historico_VU!E150)</f>
        <v/>
      </c>
      <c r="F212" s="330">
        <f>IF(A212="","",historico_VU!F150)</f>
        <v/>
      </c>
      <c r="G212" s="330">
        <f>IF(A212="","",historico_VU!G150)</f>
        <v/>
      </c>
      <c r="H212" s="331">
        <f>IF(A212="","",historico_VU!H150)</f>
        <v/>
      </c>
      <c r="I212" s="151" t="n"/>
      <c r="J212" s="328">
        <f>IF(itens_Remanesc!A150="","",itens_Remanesc!A150)</f>
        <v/>
      </c>
      <c r="K212" s="329">
        <f>IF(J212="","",IF($F$4="C0",itens_Remanesc!B150,IF($F$4="C1",itens_Remanesc!E150,IF($F$4="C2",itens_Remanesc!G150,IF($F$4="C3",itens_Remanesc!I150,itens_Remanesc!K150)))))</f>
        <v/>
      </c>
      <c r="L212" s="329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332">
        <f>IF(J212="","",itens_Remanesc!C150)</f>
        <v/>
      </c>
      <c r="N212" s="332">
        <f>IF(J212="","",IF($F$4="C0",historico_VU!C150,IF($F$4="C1",historico_VU!D150,IF($F$4="C2",historico_VU!E150,IF($F$4="C3",historico_VU!F150,historico_VU!G150)))))</f>
        <v/>
      </c>
      <c r="O212" s="332">
        <f>IF(J212="","",IF(CONTROLE!$B$1="Principal",IF(OR(K212="",M212=""),"",ROUND(K212*M212,2)),IF(CONTROLE!$B$1="Itens Consumidos",IF(OR(L212="",M212=""),"",ROUND(L212*M212,2)),"")))</f>
        <v/>
      </c>
      <c r="P212" s="332">
        <f>IF(J212="","",IF(CONTROLE!$B$1="Principal",IF(OR(K212="",N212=""),"",ROUND(K212*N212,2)),IF(CONTROLE!$B$1="Itens Consumidos",IF(OR(L212="",N212=""),"",ROUND(L212*N212,2)),"")))</f>
        <v/>
      </c>
      <c r="Q212" s="333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>
      <c r="A213" s="328">
        <f>IF(historico_VU!A151="","",historico_VU!A151)</f>
        <v/>
      </c>
      <c r="B213" s="329">
        <f>IF(A213="","",historico_VU!B151)</f>
        <v/>
      </c>
      <c r="C213" s="330">
        <f>IF(A213="","",historico_VU!C151)</f>
        <v/>
      </c>
      <c r="D213" s="330">
        <f>IF(A213="","",historico_VU!D151)</f>
        <v/>
      </c>
      <c r="E213" s="330">
        <f>IF(A213="","",historico_VU!E151)</f>
        <v/>
      </c>
      <c r="F213" s="330">
        <f>IF(A213="","",historico_VU!F151)</f>
        <v/>
      </c>
      <c r="G213" s="330">
        <f>IF(A213="","",historico_VU!G151)</f>
        <v/>
      </c>
      <c r="H213" s="331">
        <f>IF(A213="","",historico_VU!H151)</f>
        <v/>
      </c>
      <c r="I213" s="151" t="n"/>
      <c r="J213" s="328">
        <f>IF(itens_Remanesc!A151="","",itens_Remanesc!A151)</f>
        <v/>
      </c>
      <c r="K213" s="329">
        <f>IF(J213="","",IF($F$4="C0",itens_Remanesc!B151,IF($F$4="C1",itens_Remanesc!E151,IF($F$4="C2",itens_Remanesc!G151,IF($F$4="C3",itens_Remanesc!I151,itens_Remanesc!K151)))))</f>
        <v/>
      </c>
      <c r="L213" s="329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332">
        <f>IF(J213="","",itens_Remanesc!C151)</f>
        <v/>
      </c>
      <c r="N213" s="332">
        <f>IF(J213="","",IF($F$4="C0",historico_VU!C151,IF($F$4="C1",historico_VU!D151,IF($F$4="C2",historico_VU!E151,IF($F$4="C3",historico_VU!F151,historico_VU!G151)))))</f>
        <v/>
      </c>
      <c r="O213" s="332">
        <f>IF(J213="","",IF(CONTROLE!$B$1="Principal",IF(OR(K213="",M213=""),"",ROUND(K213*M213,2)),IF(CONTROLE!$B$1="Itens Consumidos",IF(OR(L213="",M213=""),"",ROUND(L213*M213,2)),"")))</f>
        <v/>
      </c>
      <c r="P213" s="332">
        <f>IF(J213="","",IF(CONTROLE!$B$1="Principal",IF(OR(K213="",N213=""),"",ROUND(K213*N213,2)),IF(CONTROLE!$B$1="Itens Consumidos",IF(OR(L213="",N213=""),"",ROUND(L213*N213,2)),"")))</f>
        <v/>
      </c>
      <c r="Q213" s="333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>
      <c r="A214" s="328">
        <f>IF(historico_VU!A152="","",historico_VU!A152)</f>
        <v/>
      </c>
      <c r="B214" s="329">
        <f>IF(A214="","",historico_VU!B152)</f>
        <v/>
      </c>
      <c r="C214" s="330">
        <f>IF(A214="","",historico_VU!C152)</f>
        <v/>
      </c>
      <c r="D214" s="330">
        <f>IF(A214="","",historico_VU!D152)</f>
        <v/>
      </c>
      <c r="E214" s="330">
        <f>IF(A214="","",historico_VU!E152)</f>
        <v/>
      </c>
      <c r="F214" s="330">
        <f>IF(A214="","",historico_VU!F152)</f>
        <v/>
      </c>
      <c r="G214" s="330">
        <f>IF(A214="","",historico_VU!G152)</f>
        <v/>
      </c>
      <c r="H214" s="331">
        <f>IF(A214="","",historico_VU!H152)</f>
        <v/>
      </c>
      <c r="I214" s="151" t="n"/>
      <c r="J214" s="328">
        <f>IF(itens_Remanesc!A152="","",itens_Remanesc!A152)</f>
        <v/>
      </c>
      <c r="K214" s="329">
        <f>IF(J214="","",IF($F$4="C0",itens_Remanesc!B152,IF($F$4="C1",itens_Remanesc!E152,IF($F$4="C2",itens_Remanesc!G152,IF($F$4="C3",itens_Remanesc!I152,itens_Remanesc!K152)))))</f>
        <v/>
      </c>
      <c r="L214" s="329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332">
        <f>IF(J214="","",itens_Remanesc!C152)</f>
        <v/>
      </c>
      <c r="N214" s="332">
        <f>IF(J214="","",IF($F$4="C0",historico_VU!C152,IF($F$4="C1",historico_VU!D152,IF($F$4="C2",historico_VU!E152,IF($F$4="C3",historico_VU!F152,historico_VU!G152)))))</f>
        <v/>
      </c>
      <c r="O214" s="332">
        <f>IF(J214="","",IF(CONTROLE!$B$1="Principal",IF(OR(K214="",M214=""),"",ROUND(K214*M214,2)),IF(CONTROLE!$B$1="Itens Consumidos",IF(OR(L214="",M214=""),"",ROUND(L214*M214,2)),"")))</f>
        <v/>
      </c>
      <c r="P214" s="332">
        <f>IF(J214="","",IF(CONTROLE!$B$1="Principal",IF(OR(K214="",N214=""),"",ROUND(K214*N214,2)),IF(CONTROLE!$B$1="Itens Consumidos",IF(OR(L214="",N214=""),"",ROUND(L214*N214,2)),"")))</f>
        <v/>
      </c>
      <c r="Q214" s="333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>
      <c r="A215" s="328">
        <f>IF(historico_VU!A153="","",historico_VU!A153)</f>
        <v/>
      </c>
      <c r="B215" s="329">
        <f>IF(A215="","",historico_VU!B153)</f>
        <v/>
      </c>
      <c r="C215" s="330">
        <f>IF(A215="","",historico_VU!C153)</f>
        <v/>
      </c>
      <c r="D215" s="330">
        <f>IF(A215="","",historico_VU!D153)</f>
        <v/>
      </c>
      <c r="E215" s="330">
        <f>IF(A215="","",historico_VU!E153)</f>
        <v/>
      </c>
      <c r="F215" s="330">
        <f>IF(A215="","",historico_VU!F153)</f>
        <v/>
      </c>
      <c r="G215" s="330">
        <f>IF(A215="","",historico_VU!G153)</f>
        <v/>
      </c>
      <c r="H215" s="331">
        <f>IF(A215="","",historico_VU!H153)</f>
        <v/>
      </c>
      <c r="I215" s="151" t="n"/>
      <c r="J215" s="328">
        <f>IF(itens_Remanesc!A153="","",itens_Remanesc!A153)</f>
        <v/>
      </c>
      <c r="K215" s="329">
        <f>IF(J215="","",IF($F$4="C0",itens_Remanesc!B153,IF($F$4="C1",itens_Remanesc!E153,IF($F$4="C2",itens_Remanesc!G153,IF($F$4="C3",itens_Remanesc!I153,itens_Remanesc!K153)))))</f>
        <v/>
      </c>
      <c r="L215" s="329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332">
        <f>IF(J215="","",itens_Remanesc!C153)</f>
        <v/>
      </c>
      <c r="N215" s="332">
        <f>IF(J215="","",IF($F$4="C0",historico_VU!C153,IF($F$4="C1",historico_VU!D153,IF($F$4="C2",historico_VU!E153,IF($F$4="C3",historico_VU!F153,historico_VU!G153)))))</f>
        <v/>
      </c>
      <c r="O215" s="332">
        <f>IF(J215="","",IF(CONTROLE!$B$1="Principal",IF(OR(K215="",M215=""),"",ROUND(K215*M215,2)),IF(CONTROLE!$B$1="Itens Consumidos",IF(OR(L215="",M215=""),"",ROUND(L215*M215,2)),"")))</f>
        <v/>
      </c>
      <c r="P215" s="332">
        <f>IF(J215="","",IF(CONTROLE!$B$1="Principal",IF(OR(K215="",N215=""),"",ROUND(K215*N215,2)),IF(CONTROLE!$B$1="Itens Consumidos",IF(OR(L215="",N215=""),"",ROUND(L215*N215,2)),"")))</f>
        <v/>
      </c>
      <c r="Q215" s="333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>
      <c r="A216" s="328">
        <f>IF(historico_VU!A154="","",historico_VU!A154)</f>
        <v/>
      </c>
      <c r="B216" s="329">
        <f>IF(A216="","",historico_VU!B154)</f>
        <v/>
      </c>
      <c r="C216" s="330">
        <f>IF(A216="","",historico_VU!C154)</f>
        <v/>
      </c>
      <c r="D216" s="330">
        <f>IF(A216="","",historico_VU!D154)</f>
        <v/>
      </c>
      <c r="E216" s="330">
        <f>IF(A216="","",historico_VU!E154)</f>
        <v/>
      </c>
      <c r="F216" s="330">
        <f>IF(A216="","",historico_VU!F154)</f>
        <v/>
      </c>
      <c r="G216" s="330">
        <f>IF(A216="","",historico_VU!G154)</f>
        <v/>
      </c>
      <c r="H216" s="331">
        <f>IF(A216="","",historico_VU!H154)</f>
        <v/>
      </c>
      <c r="I216" s="151" t="n"/>
      <c r="J216" s="328">
        <f>IF(itens_Remanesc!A154="","",itens_Remanesc!A154)</f>
        <v/>
      </c>
      <c r="K216" s="329">
        <f>IF(J216="","",IF($F$4="C0",itens_Remanesc!B154,IF($F$4="C1",itens_Remanesc!E154,IF($F$4="C2",itens_Remanesc!G154,IF($F$4="C3",itens_Remanesc!I154,itens_Remanesc!K154)))))</f>
        <v/>
      </c>
      <c r="L216" s="329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332">
        <f>IF(J216="","",itens_Remanesc!C154)</f>
        <v/>
      </c>
      <c r="N216" s="332">
        <f>IF(J216="","",IF($F$4="C0",historico_VU!C154,IF($F$4="C1",historico_VU!D154,IF($F$4="C2",historico_VU!E154,IF($F$4="C3",historico_VU!F154,historico_VU!G154)))))</f>
        <v/>
      </c>
      <c r="O216" s="332">
        <f>IF(J216="","",IF(CONTROLE!$B$1="Principal",IF(OR(K216="",M216=""),"",ROUND(K216*M216,2)),IF(CONTROLE!$B$1="Itens Consumidos",IF(OR(L216="",M216=""),"",ROUND(L216*M216,2)),"")))</f>
        <v/>
      </c>
      <c r="P216" s="332">
        <f>IF(J216="","",IF(CONTROLE!$B$1="Principal",IF(OR(K216="",N216=""),"",ROUND(K216*N216,2)),IF(CONTROLE!$B$1="Itens Consumidos",IF(OR(L216="",N216=""),"",ROUND(L216*N216,2)),"")))</f>
        <v/>
      </c>
      <c r="Q216" s="333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>
      <c r="A217" s="328">
        <f>IF(historico_VU!A155="","",historico_VU!A155)</f>
        <v/>
      </c>
      <c r="B217" s="329">
        <f>IF(A217="","",historico_VU!B155)</f>
        <v/>
      </c>
      <c r="C217" s="330">
        <f>IF(A217="","",historico_VU!C155)</f>
        <v/>
      </c>
      <c r="D217" s="330">
        <f>IF(A217="","",historico_VU!D155)</f>
        <v/>
      </c>
      <c r="E217" s="330">
        <f>IF(A217="","",historico_VU!E155)</f>
        <v/>
      </c>
      <c r="F217" s="330">
        <f>IF(A217="","",historico_VU!F155)</f>
        <v/>
      </c>
      <c r="G217" s="330">
        <f>IF(A217="","",historico_VU!G155)</f>
        <v/>
      </c>
      <c r="H217" s="331">
        <f>IF(A217="","",historico_VU!H155)</f>
        <v/>
      </c>
      <c r="I217" s="151" t="n"/>
      <c r="J217" s="328">
        <f>IF(itens_Remanesc!A155="","",itens_Remanesc!A155)</f>
        <v/>
      </c>
      <c r="K217" s="329">
        <f>IF(J217="","",IF($F$4="C0",itens_Remanesc!B155,IF($F$4="C1",itens_Remanesc!E155,IF($F$4="C2",itens_Remanesc!G155,IF($F$4="C3",itens_Remanesc!I155,itens_Remanesc!K155)))))</f>
        <v/>
      </c>
      <c r="L217" s="329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332">
        <f>IF(J217="","",itens_Remanesc!C155)</f>
        <v/>
      </c>
      <c r="N217" s="332">
        <f>IF(J217="","",IF($F$4="C0",historico_VU!C155,IF($F$4="C1",historico_VU!D155,IF($F$4="C2",historico_VU!E155,IF($F$4="C3",historico_VU!F155,historico_VU!G155)))))</f>
        <v/>
      </c>
      <c r="O217" s="332">
        <f>IF(J217="","",IF(CONTROLE!$B$1="Principal",IF(OR(K217="",M217=""),"",ROUND(K217*M217,2)),IF(CONTROLE!$B$1="Itens Consumidos",IF(OR(L217="",M217=""),"",ROUND(L217*M217,2)),"")))</f>
        <v/>
      </c>
      <c r="P217" s="332">
        <f>IF(J217="","",IF(CONTROLE!$B$1="Principal",IF(OR(K217="",N217=""),"",ROUND(K217*N217,2)),IF(CONTROLE!$B$1="Itens Consumidos",IF(OR(L217="",N217=""),"",ROUND(L217*N217,2)),"")))</f>
        <v/>
      </c>
      <c r="Q217" s="333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>
      <c r="A218" s="328">
        <f>IF(historico_VU!A156="","",historico_VU!A156)</f>
        <v/>
      </c>
      <c r="B218" s="329">
        <f>IF(A218="","",historico_VU!B156)</f>
        <v/>
      </c>
      <c r="C218" s="330">
        <f>IF(A218="","",historico_VU!C156)</f>
        <v/>
      </c>
      <c r="D218" s="330">
        <f>IF(A218="","",historico_VU!D156)</f>
        <v/>
      </c>
      <c r="E218" s="330">
        <f>IF(A218="","",historico_VU!E156)</f>
        <v/>
      </c>
      <c r="F218" s="330">
        <f>IF(A218="","",historico_VU!F156)</f>
        <v/>
      </c>
      <c r="G218" s="330">
        <f>IF(A218="","",historico_VU!G156)</f>
        <v/>
      </c>
      <c r="H218" s="331">
        <f>IF(A218="","",historico_VU!H156)</f>
        <v/>
      </c>
      <c r="I218" s="151" t="n"/>
      <c r="J218" s="328">
        <f>IF(itens_Remanesc!A156="","",itens_Remanesc!A156)</f>
        <v/>
      </c>
      <c r="K218" s="329">
        <f>IF(J218="","",IF($F$4="C0",itens_Remanesc!B156,IF($F$4="C1",itens_Remanesc!E156,IF($F$4="C2",itens_Remanesc!G156,IF($F$4="C3",itens_Remanesc!I156,itens_Remanesc!K156)))))</f>
        <v/>
      </c>
      <c r="L218" s="329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332">
        <f>IF(J218="","",itens_Remanesc!C156)</f>
        <v/>
      </c>
      <c r="N218" s="332">
        <f>IF(J218="","",IF($F$4="C0",historico_VU!C156,IF($F$4="C1",historico_VU!D156,IF($F$4="C2",historico_VU!E156,IF($F$4="C3",historico_VU!F156,historico_VU!G156)))))</f>
        <v/>
      </c>
      <c r="O218" s="332">
        <f>IF(J218="","",IF(CONTROLE!$B$1="Principal",IF(OR(K218="",M218=""),"",ROUND(K218*M218,2)),IF(CONTROLE!$B$1="Itens Consumidos",IF(OR(L218="",M218=""),"",ROUND(L218*M218,2)),"")))</f>
        <v/>
      </c>
      <c r="P218" s="332">
        <f>IF(J218="","",IF(CONTROLE!$B$1="Principal",IF(OR(K218="",N218=""),"",ROUND(K218*N218,2)),IF(CONTROLE!$B$1="Itens Consumidos",IF(OR(L218="",N218=""),"",ROUND(L218*N218,2)),"")))</f>
        <v/>
      </c>
      <c r="Q218" s="333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>
      <c r="A219" s="328">
        <f>IF(historico_VU!A157="","",historico_VU!A157)</f>
        <v/>
      </c>
      <c r="B219" s="329">
        <f>IF(A219="","",historico_VU!B157)</f>
        <v/>
      </c>
      <c r="C219" s="330">
        <f>IF(A219="","",historico_VU!C157)</f>
        <v/>
      </c>
      <c r="D219" s="330">
        <f>IF(A219="","",historico_VU!D157)</f>
        <v/>
      </c>
      <c r="E219" s="330">
        <f>IF(A219="","",historico_VU!E157)</f>
        <v/>
      </c>
      <c r="F219" s="330">
        <f>IF(A219="","",historico_VU!F157)</f>
        <v/>
      </c>
      <c r="G219" s="330">
        <f>IF(A219="","",historico_VU!G157)</f>
        <v/>
      </c>
      <c r="H219" s="331">
        <f>IF(A219="","",historico_VU!H157)</f>
        <v/>
      </c>
      <c r="I219" s="151" t="n"/>
      <c r="J219" s="328">
        <f>IF(itens_Remanesc!A157="","",itens_Remanesc!A157)</f>
        <v/>
      </c>
      <c r="K219" s="329">
        <f>IF(J219="","",IF($F$4="C0",itens_Remanesc!B157,IF($F$4="C1",itens_Remanesc!E157,IF($F$4="C2",itens_Remanesc!G157,IF($F$4="C3",itens_Remanesc!I157,itens_Remanesc!K157)))))</f>
        <v/>
      </c>
      <c r="L219" s="329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332">
        <f>IF(J219="","",itens_Remanesc!C157)</f>
        <v/>
      </c>
      <c r="N219" s="332">
        <f>IF(J219="","",IF($F$4="C0",historico_VU!C157,IF($F$4="C1",historico_VU!D157,IF($F$4="C2",historico_VU!E157,IF($F$4="C3",historico_VU!F157,historico_VU!G157)))))</f>
        <v/>
      </c>
      <c r="O219" s="332">
        <f>IF(J219="","",IF(CONTROLE!$B$1="Principal",IF(OR(K219="",M219=""),"",ROUND(K219*M219,2)),IF(CONTROLE!$B$1="Itens Consumidos",IF(OR(L219="",M219=""),"",ROUND(L219*M219,2)),"")))</f>
        <v/>
      </c>
      <c r="P219" s="332">
        <f>IF(J219="","",IF(CONTROLE!$B$1="Principal",IF(OR(K219="",N219=""),"",ROUND(K219*N219,2)),IF(CONTROLE!$B$1="Itens Consumidos",IF(OR(L219="",N219=""),"",ROUND(L219*N219,2)),"")))</f>
        <v/>
      </c>
      <c r="Q219" s="333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>
      <c r="A220" s="328">
        <f>IF(historico_VU!A158="","",historico_VU!A158)</f>
        <v/>
      </c>
      <c r="B220" s="329">
        <f>IF(A220="","",historico_VU!B158)</f>
        <v/>
      </c>
      <c r="C220" s="330">
        <f>IF(A220="","",historico_VU!C158)</f>
        <v/>
      </c>
      <c r="D220" s="330">
        <f>IF(A220="","",historico_VU!D158)</f>
        <v/>
      </c>
      <c r="E220" s="330">
        <f>IF(A220="","",historico_VU!E158)</f>
        <v/>
      </c>
      <c r="F220" s="330">
        <f>IF(A220="","",historico_VU!F158)</f>
        <v/>
      </c>
      <c r="G220" s="330">
        <f>IF(A220="","",historico_VU!G158)</f>
        <v/>
      </c>
      <c r="H220" s="331">
        <f>IF(A220="","",historico_VU!H158)</f>
        <v/>
      </c>
      <c r="I220" s="151" t="n"/>
      <c r="J220" s="328">
        <f>IF(itens_Remanesc!A158="","",itens_Remanesc!A158)</f>
        <v/>
      </c>
      <c r="K220" s="329">
        <f>IF(J220="","",IF($F$4="C0",itens_Remanesc!B158,IF($F$4="C1",itens_Remanesc!E158,IF($F$4="C2",itens_Remanesc!G158,IF($F$4="C3",itens_Remanesc!I158,itens_Remanesc!K158)))))</f>
        <v/>
      </c>
      <c r="L220" s="329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332">
        <f>IF(J220="","",itens_Remanesc!C158)</f>
        <v/>
      </c>
      <c r="N220" s="332">
        <f>IF(J220="","",IF($F$4="C0",historico_VU!C158,IF($F$4="C1",historico_VU!D158,IF($F$4="C2",historico_VU!E158,IF($F$4="C3",historico_VU!F158,historico_VU!G158)))))</f>
        <v/>
      </c>
      <c r="O220" s="332">
        <f>IF(J220="","",IF(CONTROLE!$B$1="Principal",IF(OR(K220="",M220=""),"",ROUND(K220*M220,2)),IF(CONTROLE!$B$1="Itens Consumidos",IF(OR(L220="",M220=""),"",ROUND(L220*M220,2)),"")))</f>
        <v/>
      </c>
      <c r="P220" s="332">
        <f>IF(J220="","",IF(CONTROLE!$B$1="Principal",IF(OR(K220="",N220=""),"",ROUND(K220*N220,2)),IF(CONTROLE!$B$1="Itens Consumidos",IF(OR(L220="",N220=""),"",ROUND(L220*N220,2)),"")))</f>
        <v/>
      </c>
      <c r="Q220" s="333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>
      <c r="A221" s="328">
        <f>IF(historico_VU!A159="","",historico_VU!A159)</f>
        <v/>
      </c>
      <c r="B221" s="329">
        <f>IF(A221="","",historico_VU!B159)</f>
        <v/>
      </c>
      <c r="C221" s="330">
        <f>IF(A221="","",historico_VU!C159)</f>
        <v/>
      </c>
      <c r="D221" s="330">
        <f>IF(A221="","",historico_VU!D159)</f>
        <v/>
      </c>
      <c r="E221" s="330">
        <f>IF(A221="","",historico_VU!E159)</f>
        <v/>
      </c>
      <c r="F221" s="330">
        <f>IF(A221="","",historico_VU!F159)</f>
        <v/>
      </c>
      <c r="G221" s="330">
        <f>IF(A221="","",historico_VU!G159)</f>
        <v/>
      </c>
      <c r="H221" s="331">
        <f>IF(A221="","",historico_VU!H159)</f>
        <v/>
      </c>
      <c r="I221" s="151" t="n"/>
      <c r="J221" s="328">
        <f>IF(itens_Remanesc!A159="","",itens_Remanesc!A159)</f>
        <v/>
      </c>
      <c r="K221" s="329">
        <f>IF(J221="","",IF($F$4="C0",itens_Remanesc!B159,IF($F$4="C1",itens_Remanesc!E159,IF($F$4="C2",itens_Remanesc!G159,IF($F$4="C3",itens_Remanesc!I159,itens_Remanesc!K159)))))</f>
        <v/>
      </c>
      <c r="L221" s="329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332">
        <f>IF(J221="","",itens_Remanesc!C159)</f>
        <v/>
      </c>
      <c r="N221" s="332">
        <f>IF(J221="","",IF($F$4="C0",historico_VU!C159,IF($F$4="C1",historico_VU!D159,IF($F$4="C2",historico_VU!E159,IF($F$4="C3",historico_VU!F159,historico_VU!G159)))))</f>
        <v/>
      </c>
      <c r="O221" s="332">
        <f>IF(J221="","",IF(CONTROLE!$B$1="Principal",IF(OR(K221="",M221=""),"",ROUND(K221*M221,2)),IF(CONTROLE!$B$1="Itens Consumidos",IF(OR(L221="",M221=""),"",ROUND(L221*M221,2)),"")))</f>
        <v/>
      </c>
      <c r="P221" s="332">
        <f>IF(J221="","",IF(CONTROLE!$B$1="Principal",IF(OR(K221="",N221=""),"",ROUND(K221*N221,2)),IF(CONTROLE!$B$1="Itens Consumidos",IF(OR(L221="",N221=""),"",ROUND(L221*N221,2)),"")))</f>
        <v/>
      </c>
      <c r="Q221" s="333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>
      <c r="A222" s="328">
        <f>IF(historico_VU!A160="","",historico_VU!A160)</f>
        <v/>
      </c>
      <c r="B222" s="329">
        <f>IF(A222="","",historico_VU!B160)</f>
        <v/>
      </c>
      <c r="C222" s="330">
        <f>IF(A222="","",historico_VU!C160)</f>
        <v/>
      </c>
      <c r="D222" s="330">
        <f>IF(A222="","",historico_VU!D160)</f>
        <v/>
      </c>
      <c r="E222" s="330">
        <f>IF(A222="","",historico_VU!E160)</f>
        <v/>
      </c>
      <c r="F222" s="330">
        <f>IF(A222="","",historico_VU!F160)</f>
        <v/>
      </c>
      <c r="G222" s="330">
        <f>IF(A222="","",historico_VU!G160)</f>
        <v/>
      </c>
      <c r="H222" s="331">
        <f>IF(A222="","",historico_VU!H160)</f>
        <v/>
      </c>
      <c r="I222" s="151" t="n"/>
      <c r="J222" s="328">
        <f>IF(itens_Remanesc!A160="","",itens_Remanesc!A160)</f>
        <v/>
      </c>
      <c r="K222" s="329">
        <f>IF(J222="","",IF($F$4="C0",itens_Remanesc!B160,IF($F$4="C1",itens_Remanesc!E160,IF($F$4="C2",itens_Remanesc!G160,IF($F$4="C3",itens_Remanesc!I160,itens_Remanesc!K160)))))</f>
        <v/>
      </c>
      <c r="L222" s="329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332">
        <f>IF(J222="","",itens_Remanesc!C160)</f>
        <v/>
      </c>
      <c r="N222" s="332">
        <f>IF(J222="","",IF($F$4="C0",historico_VU!C160,IF($F$4="C1",historico_VU!D160,IF($F$4="C2",historico_VU!E160,IF($F$4="C3",historico_VU!F160,historico_VU!G160)))))</f>
        <v/>
      </c>
      <c r="O222" s="332">
        <f>IF(J222="","",IF(CONTROLE!$B$1="Principal",IF(OR(K222="",M222=""),"",ROUND(K222*M222,2)),IF(CONTROLE!$B$1="Itens Consumidos",IF(OR(L222="",M222=""),"",ROUND(L222*M222,2)),"")))</f>
        <v/>
      </c>
      <c r="P222" s="332">
        <f>IF(J222="","",IF(CONTROLE!$B$1="Principal",IF(OR(K222="",N222=""),"",ROUND(K222*N222,2)),IF(CONTROLE!$B$1="Itens Consumidos",IF(OR(L222="",N222=""),"",ROUND(L222*N222,2)),"")))</f>
        <v/>
      </c>
      <c r="Q222" s="333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>
      <c r="A223" s="328">
        <f>IF(historico_VU!A161="","",historico_VU!A161)</f>
        <v/>
      </c>
      <c r="B223" s="329">
        <f>IF(A223="","",historico_VU!B161)</f>
        <v/>
      </c>
      <c r="C223" s="330">
        <f>IF(A223="","",historico_VU!C161)</f>
        <v/>
      </c>
      <c r="D223" s="330">
        <f>IF(A223="","",historico_VU!D161)</f>
        <v/>
      </c>
      <c r="E223" s="330">
        <f>IF(A223="","",historico_VU!E161)</f>
        <v/>
      </c>
      <c r="F223" s="330">
        <f>IF(A223="","",historico_VU!F161)</f>
        <v/>
      </c>
      <c r="G223" s="330">
        <f>IF(A223="","",historico_VU!G161)</f>
        <v/>
      </c>
      <c r="H223" s="331">
        <f>IF(A223="","",historico_VU!H161)</f>
        <v/>
      </c>
      <c r="I223" s="151" t="n"/>
      <c r="J223" s="328">
        <f>IF(itens_Remanesc!A161="","",itens_Remanesc!A161)</f>
        <v/>
      </c>
      <c r="K223" s="329">
        <f>IF(J223="","",IF($F$4="C0",itens_Remanesc!B161,IF($F$4="C1",itens_Remanesc!E161,IF($F$4="C2",itens_Remanesc!G161,IF($F$4="C3",itens_Remanesc!I161,itens_Remanesc!K161)))))</f>
        <v/>
      </c>
      <c r="L223" s="329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332">
        <f>IF(J223="","",itens_Remanesc!C161)</f>
        <v/>
      </c>
      <c r="N223" s="332">
        <f>IF(J223="","",IF($F$4="C0",historico_VU!C161,IF($F$4="C1",historico_VU!D161,IF($F$4="C2",historico_VU!E161,IF($F$4="C3",historico_VU!F161,historico_VU!G161)))))</f>
        <v/>
      </c>
      <c r="O223" s="332">
        <f>IF(J223="","",IF(CONTROLE!$B$1="Principal",IF(OR(K223="",M223=""),"",ROUND(K223*M223,2)),IF(CONTROLE!$B$1="Itens Consumidos",IF(OR(L223="",M223=""),"",ROUND(L223*M223,2)),"")))</f>
        <v/>
      </c>
      <c r="P223" s="332">
        <f>IF(J223="","",IF(CONTROLE!$B$1="Principal",IF(OR(K223="",N223=""),"",ROUND(K223*N223,2)),IF(CONTROLE!$B$1="Itens Consumidos",IF(OR(L223="",N223=""),"",ROUND(L223*N223,2)),"")))</f>
        <v/>
      </c>
      <c r="Q223" s="333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>
      <c r="A224" s="328">
        <f>IF(historico_VU!A162="","",historico_VU!A162)</f>
        <v/>
      </c>
      <c r="B224" s="329">
        <f>IF(A224="","",historico_VU!B162)</f>
        <v/>
      </c>
      <c r="C224" s="330">
        <f>IF(A224="","",historico_VU!C162)</f>
        <v/>
      </c>
      <c r="D224" s="330">
        <f>IF(A224="","",historico_VU!D162)</f>
        <v/>
      </c>
      <c r="E224" s="330">
        <f>IF(A224="","",historico_VU!E162)</f>
        <v/>
      </c>
      <c r="F224" s="330">
        <f>IF(A224="","",historico_VU!F162)</f>
        <v/>
      </c>
      <c r="G224" s="330">
        <f>IF(A224="","",historico_VU!G162)</f>
        <v/>
      </c>
      <c r="H224" s="331">
        <f>IF(A224="","",historico_VU!H162)</f>
        <v/>
      </c>
      <c r="I224" s="151" t="n"/>
      <c r="J224" s="328">
        <f>IF(itens_Remanesc!A162="","",itens_Remanesc!A162)</f>
        <v/>
      </c>
      <c r="K224" s="329">
        <f>IF(J224="","",IF($F$4="C0",itens_Remanesc!B162,IF($F$4="C1",itens_Remanesc!E162,IF($F$4="C2",itens_Remanesc!G162,IF($F$4="C3",itens_Remanesc!I162,itens_Remanesc!K162)))))</f>
        <v/>
      </c>
      <c r="L224" s="329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332">
        <f>IF(J224="","",itens_Remanesc!C162)</f>
        <v/>
      </c>
      <c r="N224" s="332">
        <f>IF(J224="","",IF($F$4="C0",historico_VU!C162,IF($F$4="C1",historico_VU!D162,IF($F$4="C2",historico_VU!E162,IF($F$4="C3",historico_VU!F162,historico_VU!G162)))))</f>
        <v/>
      </c>
      <c r="O224" s="332">
        <f>IF(J224="","",IF(CONTROLE!$B$1="Principal",IF(OR(K224="",M224=""),"",ROUND(K224*M224,2)),IF(CONTROLE!$B$1="Itens Consumidos",IF(OR(L224="",M224=""),"",ROUND(L224*M224,2)),"")))</f>
        <v/>
      </c>
      <c r="P224" s="332">
        <f>IF(J224="","",IF(CONTROLE!$B$1="Principal",IF(OR(K224="",N224=""),"",ROUND(K224*N224,2)),IF(CONTROLE!$B$1="Itens Consumidos",IF(OR(L224="",N224=""),"",ROUND(L224*N224,2)),"")))</f>
        <v/>
      </c>
      <c r="Q224" s="333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>
      <c r="A225" s="328">
        <f>IF(historico_VU!A163="","",historico_VU!A163)</f>
        <v/>
      </c>
      <c r="B225" s="329">
        <f>IF(A225="","",historico_VU!B163)</f>
        <v/>
      </c>
      <c r="C225" s="330">
        <f>IF(A225="","",historico_VU!C163)</f>
        <v/>
      </c>
      <c r="D225" s="330">
        <f>IF(A225="","",historico_VU!D163)</f>
        <v/>
      </c>
      <c r="E225" s="330">
        <f>IF(A225="","",historico_VU!E163)</f>
        <v/>
      </c>
      <c r="F225" s="330">
        <f>IF(A225="","",historico_VU!F163)</f>
        <v/>
      </c>
      <c r="G225" s="330">
        <f>IF(A225="","",historico_VU!G163)</f>
        <v/>
      </c>
      <c r="H225" s="331">
        <f>IF(A225="","",historico_VU!H163)</f>
        <v/>
      </c>
      <c r="I225" s="151" t="n"/>
      <c r="J225" s="328">
        <f>IF(itens_Remanesc!A163="","",itens_Remanesc!A163)</f>
        <v/>
      </c>
      <c r="K225" s="329">
        <f>IF(J225="","",IF($F$4="C0",itens_Remanesc!B163,IF($F$4="C1",itens_Remanesc!E163,IF($F$4="C2",itens_Remanesc!G163,IF($F$4="C3",itens_Remanesc!I163,itens_Remanesc!K163)))))</f>
        <v/>
      </c>
      <c r="L225" s="329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332">
        <f>IF(J225="","",itens_Remanesc!C163)</f>
        <v/>
      </c>
      <c r="N225" s="332">
        <f>IF(J225="","",IF($F$4="C0",historico_VU!C163,IF($F$4="C1",historico_VU!D163,IF($F$4="C2",historico_VU!E163,IF($F$4="C3",historico_VU!F163,historico_VU!G163)))))</f>
        <v/>
      </c>
      <c r="O225" s="332">
        <f>IF(J225="","",IF(CONTROLE!$B$1="Principal",IF(OR(K225="",M225=""),"",ROUND(K225*M225,2)),IF(CONTROLE!$B$1="Itens Consumidos",IF(OR(L225="",M225=""),"",ROUND(L225*M225,2)),"")))</f>
        <v/>
      </c>
      <c r="P225" s="332">
        <f>IF(J225="","",IF(CONTROLE!$B$1="Principal",IF(OR(K225="",N225=""),"",ROUND(K225*N225,2)),IF(CONTROLE!$B$1="Itens Consumidos",IF(OR(L225="",N225=""),"",ROUND(L225*N225,2)),"")))</f>
        <v/>
      </c>
      <c r="Q225" s="333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>
      <c r="A226" s="328">
        <f>IF(historico_VU!A164="","",historico_VU!A164)</f>
        <v/>
      </c>
      <c r="B226" s="329">
        <f>IF(A226="","",historico_VU!B164)</f>
        <v/>
      </c>
      <c r="C226" s="330">
        <f>IF(A226="","",historico_VU!C164)</f>
        <v/>
      </c>
      <c r="D226" s="330">
        <f>IF(A226="","",historico_VU!D164)</f>
        <v/>
      </c>
      <c r="E226" s="330">
        <f>IF(A226="","",historico_VU!E164)</f>
        <v/>
      </c>
      <c r="F226" s="330">
        <f>IF(A226="","",historico_VU!F164)</f>
        <v/>
      </c>
      <c r="G226" s="330">
        <f>IF(A226="","",historico_VU!G164)</f>
        <v/>
      </c>
      <c r="H226" s="331">
        <f>IF(A226="","",historico_VU!H164)</f>
        <v/>
      </c>
      <c r="I226" s="151" t="n"/>
      <c r="J226" s="328">
        <f>IF(itens_Remanesc!A164="","",itens_Remanesc!A164)</f>
        <v/>
      </c>
      <c r="K226" s="329">
        <f>IF(J226="","",IF($F$4="C0",itens_Remanesc!B164,IF($F$4="C1",itens_Remanesc!E164,IF($F$4="C2",itens_Remanesc!G164,IF($F$4="C3",itens_Remanesc!I164,itens_Remanesc!K164)))))</f>
        <v/>
      </c>
      <c r="L226" s="329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332">
        <f>IF(J226="","",itens_Remanesc!C164)</f>
        <v/>
      </c>
      <c r="N226" s="332">
        <f>IF(J226="","",IF($F$4="C0",historico_VU!C164,IF($F$4="C1",historico_VU!D164,IF($F$4="C2",historico_VU!E164,IF($F$4="C3",historico_VU!F164,historico_VU!G164)))))</f>
        <v/>
      </c>
      <c r="O226" s="332">
        <f>IF(J226="","",IF(CONTROLE!$B$1="Principal",IF(OR(K226="",M226=""),"",ROUND(K226*M226,2)),IF(CONTROLE!$B$1="Itens Consumidos",IF(OR(L226="",M226=""),"",ROUND(L226*M226,2)),"")))</f>
        <v/>
      </c>
      <c r="P226" s="332">
        <f>IF(J226="","",IF(CONTROLE!$B$1="Principal",IF(OR(K226="",N226=""),"",ROUND(K226*N226,2)),IF(CONTROLE!$B$1="Itens Consumidos",IF(OR(L226="",N226=""),"",ROUND(L226*N226,2)),"")))</f>
        <v/>
      </c>
      <c r="Q226" s="333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>
      <c r="A227" s="328">
        <f>IF(historico_VU!A165="","",historico_VU!A165)</f>
        <v/>
      </c>
      <c r="B227" s="329">
        <f>IF(A227="","",historico_VU!B165)</f>
        <v/>
      </c>
      <c r="C227" s="330">
        <f>IF(A227="","",historico_VU!C165)</f>
        <v/>
      </c>
      <c r="D227" s="330">
        <f>IF(A227="","",historico_VU!D165)</f>
        <v/>
      </c>
      <c r="E227" s="330">
        <f>IF(A227="","",historico_VU!E165)</f>
        <v/>
      </c>
      <c r="F227" s="330">
        <f>IF(A227="","",historico_VU!F165)</f>
        <v/>
      </c>
      <c r="G227" s="330">
        <f>IF(A227="","",historico_VU!G165)</f>
        <v/>
      </c>
      <c r="H227" s="331">
        <f>IF(A227="","",historico_VU!H165)</f>
        <v/>
      </c>
      <c r="I227" s="151" t="n"/>
      <c r="J227" s="328">
        <f>IF(itens_Remanesc!A165="","",itens_Remanesc!A165)</f>
        <v/>
      </c>
      <c r="K227" s="329">
        <f>IF(J227="","",IF($F$4="C0",itens_Remanesc!B165,IF($F$4="C1",itens_Remanesc!E165,IF($F$4="C2",itens_Remanesc!G165,IF($F$4="C3",itens_Remanesc!I165,itens_Remanesc!K165)))))</f>
        <v/>
      </c>
      <c r="L227" s="329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332">
        <f>IF(J227="","",itens_Remanesc!C165)</f>
        <v/>
      </c>
      <c r="N227" s="332">
        <f>IF(J227="","",IF($F$4="C0",historico_VU!C165,IF($F$4="C1",historico_VU!D165,IF($F$4="C2",historico_VU!E165,IF($F$4="C3",historico_VU!F165,historico_VU!G165)))))</f>
        <v/>
      </c>
      <c r="O227" s="332">
        <f>IF(J227="","",IF(CONTROLE!$B$1="Principal",IF(OR(K227="",M227=""),"",ROUND(K227*M227,2)),IF(CONTROLE!$B$1="Itens Consumidos",IF(OR(L227="",M227=""),"",ROUND(L227*M227,2)),"")))</f>
        <v/>
      </c>
      <c r="P227" s="332">
        <f>IF(J227="","",IF(CONTROLE!$B$1="Principal",IF(OR(K227="",N227=""),"",ROUND(K227*N227,2)),IF(CONTROLE!$B$1="Itens Consumidos",IF(OR(L227="",N227=""),"",ROUND(L227*N227,2)),"")))</f>
        <v/>
      </c>
      <c r="Q227" s="333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>
      <c r="A228" s="328">
        <f>IF(historico_VU!A166="","",historico_VU!A166)</f>
        <v/>
      </c>
      <c r="B228" s="329">
        <f>IF(A228="","",historico_VU!B166)</f>
        <v/>
      </c>
      <c r="C228" s="330">
        <f>IF(A228="","",historico_VU!C166)</f>
        <v/>
      </c>
      <c r="D228" s="330">
        <f>IF(A228="","",historico_VU!D166)</f>
        <v/>
      </c>
      <c r="E228" s="330">
        <f>IF(A228="","",historico_VU!E166)</f>
        <v/>
      </c>
      <c r="F228" s="330">
        <f>IF(A228="","",historico_VU!F166)</f>
        <v/>
      </c>
      <c r="G228" s="330">
        <f>IF(A228="","",historico_VU!G166)</f>
        <v/>
      </c>
      <c r="H228" s="331">
        <f>IF(A228="","",historico_VU!H166)</f>
        <v/>
      </c>
      <c r="I228" s="151" t="n"/>
      <c r="J228" s="328">
        <f>IF(itens_Remanesc!A166="","",itens_Remanesc!A166)</f>
        <v/>
      </c>
      <c r="K228" s="329">
        <f>IF(J228="","",IF($F$4="C0",itens_Remanesc!B166,IF($F$4="C1",itens_Remanesc!E166,IF($F$4="C2",itens_Remanesc!G166,IF($F$4="C3",itens_Remanesc!I166,itens_Remanesc!K166)))))</f>
        <v/>
      </c>
      <c r="L228" s="329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332">
        <f>IF(J228="","",itens_Remanesc!C166)</f>
        <v/>
      </c>
      <c r="N228" s="332">
        <f>IF(J228="","",IF($F$4="C0",historico_VU!C166,IF($F$4="C1",historico_VU!D166,IF($F$4="C2",historico_VU!E166,IF($F$4="C3",historico_VU!F166,historico_VU!G166)))))</f>
        <v/>
      </c>
      <c r="O228" s="332">
        <f>IF(J228="","",IF(CONTROLE!$B$1="Principal",IF(OR(K228="",M228=""),"",ROUND(K228*M228,2)),IF(CONTROLE!$B$1="Itens Consumidos",IF(OR(L228="",M228=""),"",ROUND(L228*M228,2)),"")))</f>
        <v/>
      </c>
      <c r="P228" s="332">
        <f>IF(J228="","",IF(CONTROLE!$B$1="Principal",IF(OR(K228="",N228=""),"",ROUND(K228*N228,2)),IF(CONTROLE!$B$1="Itens Consumidos",IF(OR(L228="",N228=""),"",ROUND(L228*N228,2)),"")))</f>
        <v/>
      </c>
      <c r="Q228" s="333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>
      <c r="A229" s="328">
        <f>IF(historico_VU!A167="","",historico_VU!A167)</f>
        <v/>
      </c>
      <c r="B229" s="329">
        <f>IF(A229="","",historico_VU!B167)</f>
        <v/>
      </c>
      <c r="C229" s="330">
        <f>IF(A229="","",historico_VU!C167)</f>
        <v/>
      </c>
      <c r="D229" s="330">
        <f>IF(A229="","",historico_VU!D167)</f>
        <v/>
      </c>
      <c r="E229" s="330">
        <f>IF(A229="","",historico_VU!E167)</f>
        <v/>
      </c>
      <c r="F229" s="330">
        <f>IF(A229="","",historico_VU!F167)</f>
        <v/>
      </c>
      <c r="G229" s="330">
        <f>IF(A229="","",historico_VU!G167)</f>
        <v/>
      </c>
      <c r="H229" s="331">
        <f>IF(A229="","",historico_VU!H167)</f>
        <v/>
      </c>
      <c r="I229" s="151" t="n"/>
      <c r="J229" s="328">
        <f>IF(itens_Remanesc!A167="","",itens_Remanesc!A167)</f>
        <v/>
      </c>
      <c r="K229" s="329">
        <f>IF(J229="","",IF($F$4="C0",itens_Remanesc!B167,IF($F$4="C1",itens_Remanesc!E167,IF($F$4="C2",itens_Remanesc!G167,IF($F$4="C3",itens_Remanesc!I167,itens_Remanesc!K167)))))</f>
        <v/>
      </c>
      <c r="L229" s="329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332">
        <f>IF(J229="","",itens_Remanesc!C167)</f>
        <v/>
      </c>
      <c r="N229" s="332">
        <f>IF(J229="","",IF($F$4="C0",historico_VU!C167,IF($F$4="C1",historico_VU!D167,IF($F$4="C2",historico_VU!E167,IF($F$4="C3",historico_VU!F167,historico_VU!G167)))))</f>
        <v/>
      </c>
      <c r="O229" s="332">
        <f>IF(J229="","",IF(CONTROLE!$B$1="Principal",IF(OR(K229="",M229=""),"",ROUND(K229*M229,2)),IF(CONTROLE!$B$1="Itens Consumidos",IF(OR(L229="",M229=""),"",ROUND(L229*M229,2)),"")))</f>
        <v/>
      </c>
      <c r="P229" s="332">
        <f>IF(J229="","",IF(CONTROLE!$B$1="Principal",IF(OR(K229="",N229=""),"",ROUND(K229*N229,2)),IF(CONTROLE!$B$1="Itens Consumidos",IF(OR(L229="",N229=""),"",ROUND(L229*N229,2)),"")))</f>
        <v/>
      </c>
      <c r="Q229" s="333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>
      <c r="A230" s="328">
        <f>IF(historico_VU!A168="","",historico_VU!A168)</f>
        <v/>
      </c>
      <c r="B230" s="329">
        <f>IF(A230="","",historico_VU!B168)</f>
        <v/>
      </c>
      <c r="C230" s="330">
        <f>IF(A230="","",historico_VU!C168)</f>
        <v/>
      </c>
      <c r="D230" s="330">
        <f>IF(A230="","",historico_VU!D168)</f>
        <v/>
      </c>
      <c r="E230" s="330">
        <f>IF(A230="","",historico_VU!E168)</f>
        <v/>
      </c>
      <c r="F230" s="330">
        <f>IF(A230="","",historico_VU!F168)</f>
        <v/>
      </c>
      <c r="G230" s="330">
        <f>IF(A230="","",historico_VU!G168)</f>
        <v/>
      </c>
      <c r="H230" s="331">
        <f>IF(A230="","",historico_VU!H168)</f>
        <v/>
      </c>
      <c r="I230" s="151" t="n"/>
      <c r="J230" s="328">
        <f>IF(itens_Remanesc!A168="","",itens_Remanesc!A168)</f>
        <v/>
      </c>
      <c r="K230" s="329">
        <f>IF(J230="","",IF($F$4="C0",itens_Remanesc!B168,IF($F$4="C1",itens_Remanesc!E168,IF($F$4="C2",itens_Remanesc!G168,IF($F$4="C3",itens_Remanesc!I168,itens_Remanesc!K168)))))</f>
        <v/>
      </c>
      <c r="L230" s="329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332">
        <f>IF(J230="","",itens_Remanesc!C168)</f>
        <v/>
      </c>
      <c r="N230" s="332">
        <f>IF(J230="","",IF($F$4="C0",historico_VU!C168,IF($F$4="C1",historico_VU!D168,IF($F$4="C2",historico_VU!E168,IF($F$4="C3",historico_VU!F168,historico_VU!G168)))))</f>
        <v/>
      </c>
      <c r="O230" s="332">
        <f>IF(J230="","",IF(CONTROLE!$B$1="Principal",IF(OR(K230="",M230=""),"",ROUND(K230*M230,2)),IF(CONTROLE!$B$1="Itens Consumidos",IF(OR(L230="",M230=""),"",ROUND(L230*M230,2)),"")))</f>
        <v/>
      </c>
      <c r="P230" s="332">
        <f>IF(J230="","",IF(CONTROLE!$B$1="Principal",IF(OR(K230="",N230=""),"",ROUND(K230*N230,2)),IF(CONTROLE!$B$1="Itens Consumidos",IF(OR(L230="",N230=""),"",ROUND(L230*N230,2)),"")))</f>
        <v/>
      </c>
      <c r="Q230" s="333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>
      <c r="A231" s="328">
        <f>IF(historico_VU!A169="","",historico_VU!A169)</f>
        <v/>
      </c>
      <c r="B231" s="329">
        <f>IF(A231="","",historico_VU!B169)</f>
        <v/>
      </c>
      <c r="C231" s="330">
        <f>IF(A231="","",historico_VU!C169)</f>
        <v/>
      </c>
      <c r="D231" s="330">
        <f>IF(A231="","",historico_VU!D169)</f>
        <v/>
      </c>
      <c r="E231" s="330">
        <f>IF(A231="","",historico_VU!E169)</f>
        <v/>
      </c>
      <c r="F231" s="330">
        <f>IF(A231="","",historico_VU!F169)</f>
        <v/>
      </c>
      <c r="G231" s="330">
        <f>IF(A231="","",historico_VU!G169)</f>
        <v/>
      </c>
      <c r="H231" s="331">
        <f>IF(A231="","",historico_VU!H169)</f>
        <v/>
      </c>
      <c r="I231" s="151" t="n"/>
      <c r="J231" s="328">
        <f>IF(itens_Remanesc!A169="","",itens_Remanesc!A169)</f>
        <v/>
      </c>
      <c r="K231" s="329">
        <f>IF(J231="","",IF($F$4="C0",itens_Remanesc!B169,IF($F$4="C1",itens_Remanesc!E169,IF($F$4="C2",itens_Remanesc!G169,IF($F$4="C3",itens_Remanesc!I169,itens_Remanesc!K169)))))</f>
        <v/>
      </c>
      <c r="L231" s="329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332">
        <f>IF(J231="","",itens_Remanesc!C169)</f>
        <v/>
      </c>
      <c r="N231" s="332">
        <f>IF(J231="","",IF($F$4="C0",historico_VU!C169,IF($F$4="C1",historico_VU!D169,IF($F$4="C2",historico_VU!E169,IF($F$4="C3",historico_VU!F169,historico_VU!G169)))))</f>
        <v/>
      </c>
      <c r="O231" s="332">
        <f>IF(J231="","",IF(CONTROLE!$B$1="Principal",IF(OR(K231="",M231=""),"",ROUND(K231*M231,2)),IF(CONTROLE!$B$1="Itens Consumidos",IF(OR(L231="",M231=""),"",ROUND(L231*M231,2)),"")))</f>
        <v/>
      </c>
      <c r="P231" s="332">
        <f>IF(J231="","",IF(CONTROLE!$B$1="Principal",IF(OR(K231="",N231=""),"",ROUND(K231*N231,2)),IF(CONTROLE!$B$1="Itens Consumidos",IF(OR(L231="",N231=""),"",ROUND(L231*N231,2)),"")))</f>
        <v/>
      </c>
      <c r="Q231" s="333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>
      <c r="A232" s="328">
        <f>IF(historico_VU!A170="","",historico_VU!A170)</f>
        <v/>
      </c>
      <c r="B232" s="329">
        <f>IF(A232="","",historico_VU!B170)</f>
        <v/>
      </c>
      <c r="C232" s="330">
        <f>IF(A232="","",historico_VU!C170)</f>
        <v/>
      </c>
      <c r="D232" s="330">
        <f>IF(A232="","",historico_VU!D170)</f>
        <v/>
      </c>
      <c r="E232" s="330">
        <f>IF(A232="","",historico_VU!E170)</f>
        <v/>
      </c>
      <c r="F232" s="330">
        <f>IF(A232="","",historico_VU!F170)</f>
        <v/>
      </c>
      <c r="G232" s="330">
        <f>IF(A232="","",historico_VU!G170)</f>
        <v/>
      </c>
      <c r="H232" s="331">
        <f>IF(A232="","",historico_VU!H170)</f>
        <v/>
      </c>
      <c r="I232" s="151" t="n"/>
      <c r="J232" s="328">
        <f>IF(itens_Remanesc!A170="","",itens_Remanesc!A170)</f>
        <v/>
      </c>
      <c r="K232" s="329">
        <f>IF(J232="","",IF($F$4="C0",itens_Remanesc!B170,IF($F$4="C1",itens_Remanesc!E170,IF($F$4="C2",itens_Remanesc!G170,IF($F$4="C3",itens_Remanesc!I170,itens_Remanesc!K170)))))</f>
        <v/>
      </c>
      <c r="L232" s="329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332">
        <f>IF(J232="","",itens_Remanesc!C170)</f>
        <v/>
      </c>
      <c r="N232" s="332">
        <f>IF(J232="","",IF($F$4="C0",historico_VU!C170,IF($F$4="C1",historico_VU!D170,IF($F$4="C2",historico_VU!E170,IF($F$4="C3",historico_VU!F170,historico_VU!G170)))))</f>
        <v/>
      </c>
      <c r="O232" s="332">
        <f>IF(J232="","",IF(CONTROLE!$B$1="Principal",IF(OR(K232="",M232=""),"",ROUND(K232*M232,2)),IF(CONTROLE!$B$1="Itens Consumidos",IF(OR(L232="",M232=""),"",ROUND(L232*M232,2)),"")))</f>
        <v/>
      </c>
      <c r="P232" s="332">
        <f>IF(J232="","",IF(CONTROLE!$B$1="Principal",IF(OR(K232="",N232=""),"",ROUND(K232*N232,2)),IF(CONTROLE!$B$1="Itens Consumidos",IF(OR(L232="",N232=""),"",ROUND(L232*N232,2)),"")))</f>
        <v/>
      </c>
      <c r="Q232" s="333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>
      <c r="A233" s="328">
        <f>IF(historico_VU!A171="","",historico_VU!A171)</f>
        <v/>
      </c>
      <c r="B233" s="329">
        <f>IF(A233="","",historico_VU!B171)</f>
        <v/>
      </c>
      <c r="C233" s="330">
        <f>IF(A233="","",historico_VU!C171)</f>
        <v/>
      </c>
      <c r="D233" s="330">
        <f>IF(A233="","",historico_VU!D171)</f>
        <v/>
      </c>
      <c r="E233" s="330">
        <f>IF(A233="","",historico_VU!E171)</f>
        <v/>
      </c>
      <c r="F233" s="330">
        <f>IF(A233="","",historico_VU!F171)</f>
        <v/>
      </c>
      <c r="G233" s="330">
        <f>IF(A233="","",historico_VU!G171)</f>
        <v/>
      </c>
      <c r="H233" s="331">
        <f>IF(A233="","",historico_VU!H171)</f>
        <v/>
      </c>
      <c r="I233" s="151" t="n"/>
      <c r="J233" s="328">
        <f>IF(itens_Remanesc!A171="","",itens_Remanesc!A171)</f>
        <v/>
      </c>
      <c r="K233" s="329">
        <f>IF(J233="","",IF($F$4="C0",itens_Remanesc!B171,IF($F$4="C1",itens_Remanesc!E171,IF($F$4="C2",itens_Remanesc!G171,IF($F$4="C3",itens_Remanesc!I171,itens_Remanesc!K171)))))</f>
        <v/>
      </c>
      <c r="L233" s="329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332">
        <f>IF(J233="","",itens_Remanesc!C171)</f>
        <v/>
      </c>
      <c r="N233" s="332">
        <f>IF(J233="","",IF($F$4="C0",historico_VU!C171,IF($F$4="C1",historico_VU!D171,IF($F$4="C2",historico_VU!E171,IF($F$4="C3",historico_VU!F171,historico_VU!G171)))))</f>
        <v/>
      </c>
      <c r="O233" s="332">
        <f>IF(J233="","",IF(CONTROLE!$B$1="Principal",IF(OR(K233="",M233=""),"",ROUND(K233*M233,2)),IF(CONTROLE!$B$1="Itens Consumidos",IF(OR(L233="",M233=""),"",ROUND(L233*M233,2)),"")))</f>
        <v/>
      </c>
      <c r="P233" s="332">
        <f>IF(J233="","",IF(CONTROLE!$B$1="Principal",IF(OR(K233="",N233=""),"",ROUND(K233*N233,2)),IF(CONTROLE!$B$1="Itens Consumidos",IF(OR(L233="",N233=""),"",ROUND(L233*N233,2)),"")))</f>
        <v/>
      </c>
      <c r="Q233" s="333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>
      <c r="A234" s="328">
        <f>IF(historico_VU!A172="","",historico_VU!A172)</f>
        <v/>
      </c>
      <c r="B234" s="329">
        <f>IF(A234="","",historico_VU!B172)</f>
        <v/>
      </c>
      <c r="C234" s="330">
        <f>IF(A234="","",historico_VU!C172)</f>
        <v/>
      </c>
      <c r="D234" s="330">
        <f>IF(A234="","",historico_VU!D172)</f>
        <v/>
      </c>
      <c r="E234" s="330">
        <f>IF(A234="","",historico_VU!E172)</f>
        <v/>
      </c>
      <c r="F234" s="330">
        <f>IF(A234="","",historico_VU!F172)</f>
        <v/>
      </c>
      <c r="G234" s="330">
        <f>IF(A234="","",historico_VU!G172)</f>
        <v/>
      </c>
      <c r="H234" s="331">
        <f>IF(A234="","",historico_VU!H172)</f>
        <v/>
      </c>
      <c r="I234" s="151" t="n"/>
      <c r="J234" s="328">
        <f>IF(itens_Remanesc!A172="","",itens_Remanesc!A172)</f>
        <v/>
      </c>
      <c r="K234" s="329">
        <f>IF(J234="","",IF($F$4="C0",itens_Remanesc!B172,IF($F$4="C1",itens_Remanesc!E172,IF($F$4="C2",itens_Remanesc!G172,IF($F$4="C3",itens_Remanesc!I172,itens_Remanesc!K172)))))</f>
        <v/>
      </c>
      <c r="L234" s="329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332">
        <f>IF(J234="","",itens_Remanesc!C172)</f>
        <v/>
      </c>
      <c r="N234" s="332">
        <f>IF(J234="","",IF($F$4="C0",historico_VU!C172,IF($F$4="C1",historico_VU!D172,IF($F$4="C2",historico_VU!E172,IF($F$4="C3",historico_VU!F172,historico_VU!G172)))))</f>
        <v/>
      </c>
      <c r="O234" s="332">
        <f>IF(J234="","",IF(CONTROLE!$B$1="Principal",IF(OR(K234="",M234=""),"",ROUND(K234*M234,2)),IF(CONTROLE!$B$1="Itens Consumidos",IF(OR(L234="",M234=""),"",ROUND(L234*M234,2)),"")))</f>
        <v/>
      </c>
      <c r="P234" s="332">
        <f>IF(J234="","",IF(CONTROLE!$B$1="Principal",IF(OR(K234="",N234=""),"",ROUND(K234*N234,2)),IF(CONTROLE!$B$1="Itens Consumidos",IF(OR(L234="",N234=""),"",ROUND(L234*N234,2)),"")))</f>
        <v/>
      </c>
      <c r="Q234" s="333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>
      <c r="A235" s="328">
        <f>IF(historico_VU!A173="","",historico_VU!A173)</f>
        <v/>
      </c>
      <c r="B235" s="329">
        <f>IF(A235="","",historico_VU!B173)</f>
        <v/>
      </c>
      <c r="C235" s="330">
        <f>IF(A235="","",historico_VU!C173)</f>
        <v/>
      </c>
      <c r="D235" s="330">
        <f>IF(A235="","",historico_VU!D173)</f>
        <v/>
      </c>
      <c r="E235" s="330">
        <f>IF(A235="","",historico_VU!E173)</f>
        <v/>
      </c>
      <c r="F235" s="330">
        <f>IF(A235="","",historico_VU!F173)</f>
        <v/>
      </c>
      <c r="G235" s="330">
        <f>IF(A235="","",historico_VU!G173)</f>
        <v/>
      </c>
      <c r="H235" s="331">
        <f>IF(A235="","",historico_VU!H173)</f>
        <v/>
      </c>
      <c r="I235" s="151" t="n"/>
      <c r="J235" s="328">
        <f>IF(itens_Remanesc!A173="","",itens_Remanesc!A173)</f>
        <v/>
      </c>
      <c r="K235" s="329">
        <f>IF(J235="","",IF($F$4="C0",itens_Remanesc!B173,IF($F$4="C1",itens_Remanesc!E173,IF($F$4="C2",itens_Remanesc!G173,IF($F$4="C3",itens_Remanesc!I173,itens_Remanesc!K173)))))</f>
        <v/>
      </c>
      <c r="L235" s="329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332">
        <f>IF(J235="","",itens_Remanesc!C173)</f>
        <v/>
      </c>
      <c r="N235" s="332">
        <f>IF(J235="","",IF($F$4="C0",historico_VU!C173,IF($F$4="C1",historico_VU!D173,IF($F$4="C2",historico_VU!E173,IF($F$4="C3",historico_VU!F173,historico_VU!G173)))))</f>
        <v/>
      </c>
      <c r="O235" s="332">
        <f>IF(J235="","",IF(CONTROLE!$B$1="Principal",IF(OR(K235="",M235=""),"",ROUND(K235*M235,2)),IF(CONTROLE!$B$1="Itens Consumidos",IF(OR(L235="",M235=""),"",ROUND(L235*M235,2)),"")))</f>
        <v/>
      </c>
      <c r="P235" s="332">
        <f>IF(J235="","",IF(CONTROLE!$B$1="Principal",IF(OR(K235="",N235=""),"",ROUND(K235*N235,2)),IF(CONTROLE!$B$1="Itens Consumidos",IF(OR(L235="",N235=""),"",ROUND(L235*N235,2)),"")))</f>
        <v/>
      </c>
      <c r="Q235" s="333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>
      <c r="A236" s="328">
        <f>IF(historico_VU!A174="","",historico_VU!A174)</f>
        <v/>
      </c>
      <c r="B236" s="329">
        <f>IF(A236="","",historico_VU!B174)</f>
        <v/>
      </c>
      <c r="C236" s="330">
        <f>IF(A236="","",historico_VU!C174)</f>
        <v/>
      </c>
      <c r="D236" s="330">
        <f>IF(A236="","",historico_VU!D174)</f>
        <v/>
      </c>
      <c r="E236" s="330">
        <f>IF(A236="","",historico_VU!E174)</f>
        <v/>
      </c>
      <c r="F236" s="330">
        <f>IF(A236="","",historico_VU!F174)</f>
        <v/>
      </c>
      <c r="G236" s="330">
        <f>IF(A236="","",historico_VU!G174)</f>
        <v/>
      </c>
      <c r="H236" s="331">
        <f>IF(A236="","",historico_VU!H174)</f>
        <v/>
      </c>
      <c r="I236" s="151" t="n"/>
      <c r="J236" s="328">
        <f>IF(itens_Remanesc!A174="","",itens_Remanesc!A174)</f>
        <v/>
      </c>
      <c r="K236" s="329">
        <f>IF(J236="","",IF($F$4="C0",itens_Remanesc!B174,IF($F$4="C1",itens_Remanesc!E174,IF($F$4="C2",itens_Remanesc!G174,IF($F$4="C3",itens_Remanesc!I174,itens_Remanesc!K174)))))</f>
        <v/>
      </c>
      <c r="L236" s="329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332">
        <f>IF(J236="","",itens_Remanesc!C174)</f>
        <v/>
      </c>
      <c r="N236" s="332">
        <f>IF(J236="","",IF($F$4="C0",historico_VU!C174,IF($F$4="C1",historico_VU!D174,IF($F$4="C2",historico_VU!E174,IF($F$4="C3",historico_VU!F174,historico_VU!G174)))))</f>
        <v/>
      </c>
      <c r="O236" s="332">
        <f>IF(J236="","",IF(CONTROLE!$B$1="Principal",IF(OR(K236="",M236=""),"",ROUND(K236*M236,2)),IF(CONTROLE!$B$1="Itens Consumidos",IF(OR(L236="",M236=""),"",ROUND(L236*M236,2)),"")))</f>
        <v/>
      </c>
      <c r="P236" s="332">
        <f>IF(J236="","",IF(CONTROLE!$B$1="Principal",IF(OR(K236="",N236=""),"",ROUND(K236*N236,2)),IF(CONTROLE!$B$1="Itens Consumidos",IF(OR(L236="",N236=""),"",ROUND(L236*N236,2)),"")))</f>
        <v/>
      </c>
      <c r="Q236" s="333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>
      <c r="A237" s="328">
        <f>IF(historico_VU!A175="","",historico_VU!A175)</f>
        <v/>
      </c>
      <c r="B237" s="329">
        <f>IF(A237="","",historico_VU!B175)</f>
        <v/>
      </c>
      <c r="C237" s="330">
        <f>IF(A237="","",historico_VU!C175)</f>
        <v/>
      </c>
      <c r="D237" s="330">
        <f>IF(A237="","",historico_VU!D175)</f>
        <v/>
      </c>
      <c r="E237" s="330">
        <f>IF(A237="","",historico_VU!E175)</f>
        <v/>
      </c>
      <c r="F237" s="330">
        <f>IF(A237="","",historico_VU!F175)</f>
        <v/>
      </c>
      <c r="G237" s="330">
        <f>IF(A237="","",historico_VU!G175)</f>
        <v/>
      </c>
      <c r="H237" s="331">
        <f>IF(A237="","",historico_VU!H175)</f>
        <v/>
      </c>
      <c r="I237" s="151" t="n"/>
      <c r="J237" s="328">
        <f>IF(itens_Remanesc!A175="","",itens_Remanesc!A175)</f>
        <v/>
      </c>
      <c r="K237" s="329">
        <f>IF(J237="","",IF($F$4="C0",itens_Remanesc!B175,IF($F$4="C1",itens_Remanesc!E175,IF($F$4="C2",itens_Remanesc!G175,IF($F$4="C3",itens_Remanesc!I175,itens_Remanesc!K175)))))</f>
        <v/>
      </c>
      <c r="L237" s="329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332">
        <f>IF(J237="","",itens_Remanesc!C175)</f>
        <v/>
      </c>
      <c r="N237" s="332">
        <f>IF(J237="","",IF($F$4="C0",historico_VU!C175,IF($F$4="C1",historico_VU!D175,IF($F$4="C2",historico_VU!E175,IF($F$4="C3",historico_VU!F175,historico_VU!G175)))))</f>
        <v/>
      </c>
      <c r="O237" s="332">
        <f>IF(J237="","",IF(CONTROLE!$B$1="Principal",IF(OR(K237="",M237=""),"",ROUND(K237*M237,2)),IF(CONTROLE!$B$1="Itens Consumidos",IF(OR(L237="",M237=""),"",ROUND(L237*M237,2)),"")))</f>
        <v/>
      </c>
      <c r="P237" s="332">
        <f>IF(J237="","",IF(CONTROLE!$B$1="Principal",IF(OR(K237="",N237=""),"",ROUND(K237*N237,2)),IF(CONTROLE!$B$1="Itens Consumidos",IF(OR(L237="",N237=""),"",ROUND(L237*N237,2)),"")))</f>
        <v/>
      </c>
      <c r="Q237" s="333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>
      <c r="A238" s="328">
        <f>IF(historico_VU!A176="","",historico_VU!A176)</f>
        <v/>
      </c>
      <c r="B238" s="329">
        <f>IF(A238="","",historico_VU!B176)</f>
        <v/>
      </c>
      <c r="C238" s="330">
        <f>IF(A238="","",historico_VU!C176)</f>
        <v/>
      </c>
      <c r="D238" s="330">
        <f>IF(A238="","",historico_VU!D176)</f>
        <v/>
      </c>
      <c r="E238" s="330">
        <f>IF(A238="","",historico_VU!E176)</f>
        <v/>
      </c>
      <c r="F238" s="330">
        <f>IF(A238="","",historico_VU!F176)</f>
        <v/>
      </c>
      <c r="G238" s="330">
        <f>IF(A238="","",historico_VU!G176)</f>
        <v/>
      </c>
      <c r="H238" s="331">
        <f>IF(A238="","",historico_VU!H176)</f>
        <v/>
      </c>
      <c r="I238" s="151" t="n"/>
      <c r="J238" s="328">
        <f>IF(itens_Remanesc!A176="","",itens_Remanesc!A176)</f>
        <v/>
      </c>
      <c r="K238" s="329">
        <f>IF(J238="","",IF($F$4="C0",itens_Remanesc!B176,IF($F$4="C1",itens_Remanesc!E176,IF($F$4="C2",itens_Remanesc!G176,IF($F$4="C3",itens_Remanesc!I176,itens_Remanesc!K176)))))</f>
        <v/>
      </c>
      <c r="L238" s="329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332">
        <f>IF(J238="","",itens_Remanesc!C176)</f>
        <v/>
      </c>
      <c r="N238" s="332">
        <f>IF(J238="","",IF($F$4="C0",historico_VU!C176,IF($F$4="C1",historico_VU!D176,IF($F$4="C2",historico_VU!E176,IF($F$4="C3",historico_VU!F176,historico_VU!G176)))))</f>
        <v/>
      </c>
      <c r="O238" s="332">
        <f>IF(J238="","",IF(CONTROLE!$B$1="Principal",IF(OR(K238="",M238=""),"",ROUND(K238*M238,2)),IF(CONTROLE!$B$1="Itens Consumidos",IF(OR(L238="",M238=""),"",ROUND(L238*M238,2)),"")))</f>
        <v/>
      </c>
      <c r="P238" s="332">
        <f>IF(J238="","",IF(CONTROLE!$B$1="Principal",IF(OR(K238="",N238=""),"",ROUND(K238*N238,2)),IF(CONTROLE!$B$1="Itens Consumidos",IF(OR(L238="",N238=""),"",ROUND(L238*N238,2)),"")))</f>
        <v/>
      </c>
      <c r="Q238" s="333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>
      <c r="A239" s="328">
        <f>IF(historico_VU!A177="","",historico_VU!A177)</f>
        <v/>
      </c>
      <c r="B239" s="329">
        <f>IF(A239="","",historico_VU!B177)</f>
        <v/>
      </c>
      <c r="C239" s="330">
        <f>IF(A239="","",historico_VU!C177)</f>
        <v/>
      </c>
      <c r="D239" s="330">
        <f>IF(A239="","",historico_VU!D177)</f>
        <v/>
      </c>
      <c r="E239" s="330">
        <f>IF(A239="","",historico_VU!E177)</f>
        <v/>
      </c>
      <c r="F239" s="330">
        <f>IF(A239="","",historico_VU!F177)</f>
        <v/>
      </c>
      <c r="G239" s="330">
        <f>IF(A239="","",historico_VU!G177)</f>
        <v/>
      </c>
      <c r="H239" s="331">
        <f>IF(A239="","",historico_VU!H177)</f>
        <v/>
      </c>
      <c r="I239" s="151" t="n"/>
      <c r="J239" s="328">
        <f>IF(itens_Remanesc!A177="","",itens_Remanesc!A177)</f>
        <v/>
      </c>
      <c r="K239" s="329">
        <f>IF(J239="","",IF($F$4="C0",itens_Remanesc!B177,IF($F$4="C1",itens_Remanesc!E177,IF($F$4="C2",itens_Remanesc!G177,IF($F$4="C3",itens_Remanesc!I177,itens_Remanesc!K177)))))</f>
        <v/>
      </c>
      <c r="L239" s="329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332">
        <f>IF(J239="","",itens_Remanesc!C177)</f>
        <v/>
      </c>
      <c r="N239" s="332">
        <f>IF(J239="","",IF($F$4="C0",historico_VU!C177,IF($F$4="C1",historico_VU!D177,IF($F$4="C2",historico_VU!E177,IF($F$4="C3",historico_VU!F177,historico_VU!G177)))))</f>
        <v/>
      </c>
      <c r="O239" s="332">
        <f>IF(J239="","",IF(CONTROLE!$B$1="Principal",IF(OR(K239="",M239=""),"",ROUND(K239*M239,2)),IF(CONTROLE!$B$1="Itens Consumidos",IF(OR(L239="",M239=""),"",ROUND(L239*M239,2)),"")))</f>
        <v/>
      </c>
      <c r="P239" s="332">
        <f>IF(J239="","",IF(CONTROLE!$B$1="Principal",IF(OR(K239="",N239=""),"",ROUND(K239*N239,2)),IF(CONTROLE!$B$1="Itens Consumidos",IF(OR(L239="",N239=""),"",ROUND(L239*N239,2)),"")))</f>
        <v/>
      </c>
      <c r="Q239" s="333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>
      <c r="A240" s="328">
        <f>IF(historico_VU!A178="","",historico_VU!A178)</f>
        <v/>
      </c>
      <c r="B240" s="329">
        <f>IF(A240="","",historico_VU!B178)</f>
        <v/>
      </c>
      <c r="C240" s="330">
        <f>IF(A240="","",historico_VU!C178)</f>
        <v/>
      </c>
      <c r="D240" s="330">
        <f>IF(A240="","",historico_VU!D178)</f>
        <v/>
      </c>
      <c r="E240" s="330">
        <f>IF(A240="","",historico_VU!E178)</f>
        <v/>
      </c>
      <c r="F240" s="330">
        <f>IF(A240="","",historico_VU!F178)</f>
        <v/>
      </c>
      <c r="G240" s="330">
        <f>IF(A240="","",historico_VU!G178)</f>
        <v/>
      </c>
      <c r="H240" s="331">
        <f>IF(A240="","",historico_VU!H178)</f>
        <v/>
      </c>
      <c r="I240" s="151" t="n"/>
      <c r="J240" s="328">
        <f>IF(itens_Remanesc!A178="","",itens_Remanesc!A178)</f>
        <v/>
      </c>
      <c r="K240" s="329">
        <f>IF(J240="","",IF($F$4="C0",itens_Remanesc!B178,IF($F$4="C1",itens_Remanesc!E178,IF($F$4="C2",itens_Remanesc!G178,IF($F$4="C3",itens_Remanesc!I178,itens_Remanesc!K178)))))</f>
        <v/>
      </c>
      <c r="L240" s="329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332">
        <f>IF(J240="","",itens_Remanesc!C178)</f>
        <v/>
      </c>
      <c r="N240" s="332">
        <f>IF(J240="","",IF($F$4="C0",historico_VU!C178,IF($F$4="C1",historico_VU!D178,IF($F$4="C2",historico_VU!E178,IF($F$4="C3",historico_VU!F178,historico_VU!G178)))))</f>
        <v/>
      </c>
      <c r="O240" s="332">
        <f>IF(J240="","",IF(CONTROLE!$B$1="Principal",IF(OR(K240="",M240=""),"",ROUND(K240*M240,2)),IF(CONTROLE!$B$1="Itens Consumidos",IF(OR(L240="",M240=""),"",ROUND(L240*M240,2)),"")))</f>
        <v/>
      </c>
      <c r="P240" s="332">
        <f>IF(J240="","",IF(CONTROLE!$B$1="Principal",IF(OR(K240="",N240=""),"",ROUND(K240*N240,2)),IF(CONTROLE!$B$1="Itens Consumidos",IF(OR(L240="",N240=""),"",ROUND(L240*N240,2)),"")))</f>
        <v/>
      </c>
      <c r="Q240" s="333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>
      <c r="A241" s="328">
        <f>IF(historico_VU!A179="","",historico_VU!A179)</f>
        <v/>
      </c>
      <c r="B241" s="329">
        <f>IF(A241="","",historico_VU!B179)</f>
        <v/>
      </c>
      <c r="C241" s="330">
        <f>IF(A241="","",historico_VU!C179)</f>
        <v/>
      </c>
      <c r="D241" s="330">
        <f>IF(A241="","",historico_VU!D179)</f>
        <v/>
      </c>
      <c r="E241" s="330">
        <f>IF(A241="","",historico_VU!E179)</f>
        <v/>
      </c>
      <c r="F241" s="330">
        <f>IF(A241="","",historico_VU!F179)</f>
        <v/>
      </c>
      <c r="G241" s="330">
        <f>IF(A241="","",historico_VU!G179)</f>
        <v/>
      </c>
      <c r="H241" s="331">
        <f>IF(A241="","",historico_VU!H179)</f>
        <v/>
      </c>
      <c r="I241" s="151" t="n"/>
      <c r="J241" s="328">
        <f>IF(itens_Remanesc!A179="","",itens_Remanesc!A179)</f>
        <v/>
      </c>
      <c r="K241" s="329">
        <f>IF(J241="","",IF($F$4="C0",itens_Remanesc!B179,IF($F$4="C1",itens_Remanesc!E179,IF($F$4="C2",itens_Remanesc!G179,IF($F$4="C3",itens_Remanesc!I179,itens_Remanesc!K179)))))</f>
        <v/>
      </c>
      <c r="L241" s="329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332">
        <f>IF(J241="","",itens_Remanesc!C179)</f>
        <v/>
      </c>
      <c r="N241" s="332">
        <f>IF(J241="","",IF($F$4="C0",historico_VU!C179,IF($F$4="C1",historico_VU!D179,IF($F$4="C2",historico_VU!E179,IF($F$4="C3",historico_VU!F179,historico_VU!G179)))))</f>
        <v/>
      </c>
      <c r="O241" s="332">
        <f>IF(J241="","",IF(CONTROLE!$B$1="Principal",IF(OR(K241="",M241=""),"",ROUND(K241*M241,2)),IF(CONTROLE!$B$1="Itens Consumidos",IF(OR(L241="",M241=""),"",ROUND(L241*M241,2)),"")))</f>
        <v/>
      </c>
      <c r="P241" s="332">
        <f>IF(J241="","",IF(CONTROLE!$B$1="Principal",IF(OR(K241="",N241=""),"",ROUND(K241*N241,2)),IF(CONTROLE!$B$1="Itens Consumidos",IF(OR(L241="",N241=""),"",ROUND(L241*N241,2)),"")))</f>
        <v/>
      </c>
      <c r="Q241" s="333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>
      <c r="A242" s="328">
        <f>IF(historico_VU!A180="","",historico_VU!A180)</f>
        <v/>
      </c>
      <c r="B242" s="329">
        <f>IF(A242="","",historico_VU!B180)</f>
        <v/>
      </c>
      <c r="C242" s="330">
        <f>IF(A242="","",historico_VU!C180)</f>
        <v/>
      </c>
      <c r="D242" s="330">
        <f>IF(A242="","",historico_VU!D180)</f>
        <v/>
      </c>
      <c r="E242" s="330">
        <f>IF(A242="","",historico_VU!E180)</f>
        <v/>
      </c>
      <c r="F242" s="330">
        <f>IF(A242="","",historico_VU!F180)</f>
        <v/>
      </c>
      <c r="G242" s="330">
        <f>IF(A242="","",historico_VU!G180)</f>
        <v/>
      </c>
      <c r="H242" s="331">
        <f>IF(A242="","",historico_VU!H180)</f>
        <v/>
      </c>
      <c r="I242" s="151" t="n"/>
      <c r="J242" s="328">
        <f>IF(itens_Remanesc!A180="","",itens_Remanesc!A180)</f>
        <v/>
      </c>
      <c r="K242" s="329">
        <f>IF(J242="","",IF($F$4="C0",itens_Remanesc!B180,IF($F$4="C1",itens_Remanesc!E180,IF($F$4="C2",itens_Remanesc!G180,IF($F$4="C3",itens_Remanesc!I180,itens_Remanesc!K180)))))</f>
        <v/>
      </c>
      <c r="L242" s="329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332">
        <f>IF(J242="","",itens_Remanesc!C180)</f>
        <v/>
      </c>
      <c r="N242" s="332">
        <f>IF(J242="","",IF($F$4="C0",historico_VU!C180,IF($F$4="C1",historico_VU!D180,IF($F$4="C2",historico_VU!E180,IF($F$4="C3",historico_VU!F180,historico_VU!G180)))))</f>
        <v/>
      </c>
      <c r="O242" s="332">
        <f>IF(J242="","",IF(CONTROLE!$B$1="Principal",IF(OR(K242="",M242=""),"",ROUND(K242*M242,2)),IF(CONTROLE!$B$1="Itens Consumidos",IF(OR(L242="",M242=""),"",ROUND(L242*M242,2)),"")))</f>
        <v/>
      </c>
      <c r="P242" s="332">
        <f>IF(J242="","",IF(CONTROLE!$B$1="Principal",IF(OR(K242="",N242=""),"",ROUND(K242*N242,2)),IF(CONTROLE!$B$1="Itens Consumidos",IF(OR(L242="",N242=""),"",ROUND(L242*N242,2)),"")))</f>
        <v/>
      </c>
      <c r="Q242" s="333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>
      <c r="A243" s="328">
        <f>IF(historico_VU!A181="","",historico_VU!A181)</f>
        <v/>
      </c>
      <c r="B243" s="329">
        <f>IF(A243="","",historico_VU!B181)</f>
        <v/>
      </c>
      <c r="C243" s="330">
        <f>IF(A243="","",historico_VU!C181)</f>
        <v/>
      </c>
      <c r="D243" s="330">
        <f>IF(A243="","",historico_VU!D181)</f>
        <v/>
      </c>
      <c r="E243" s="330">
        <f>IF(A243="","",historico_VU!E181)</f>
        <v/>
      </c>
      <c r="F243" s="330">
        <f>IF(A243="","",historico_VU!F181)</f>
        <v/>
      </c>
      <c r="G243" s="330">
        <f>IF(A243="","",historico_VU!G181)</f>
        <v/>
      </c>
      <c r="H243" s="331">
        <f>IF(A243="","",historico_VU!H181)</f>
        <v/>
      </c>
      <c r="I243" s="151" t="n"/>
      <c r="J243" s="328">
        <f>IF(itens_Remanesc!A181="","",itens_Remanesc!A181)</f>
        <v/>
      </c>
      <c r="K243" s="329">
        <f>IF(J243="","",IF($F$4="C0",itens_Remanesc!B181,IF($F$4="C1",itens_Remanesc!E181,IF($F$4="C2",itens_Remanesc!G181,IF($F$4="C3",itens_Remanesc!I181,itens_Remanesc!K181)))))</f>
        <v/>
      </c>
      <c r="L243" s="329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332">
        <f>IF(J243="","",itens_Remanesc!C181)</f>
        <v/>
      </c>
      <c r="N243" s="332">
        <f>IF(J243="","",IF($F$4="C0",historico_VU!C181,IF($F$4="C1",historico_VU!D181,IF($F$4="C2",historico_VU!E181,IF($F$4="C3",historico_VU!F181,historico_VU!G181)))))</f>
        <v/>
      </c>
      <c r="O243" s="332">
        <f>IF(J243="","",IF(CONTROLE!$B$1="Principal",IF(OR(K243="",M243=""),"",ROUND(K243*M243,2)),IF(CONTROLE!$B$1="Itens Consumidos",IF(OR(L243="",M243=""),"",ROUND(L243*M243,2)),"")))</f>
        <v/>
      </c>
      <c r="P243" s="332">
        <f>IF(J243="","",IF(CONTROLE!$B$1="Principal",IF(OR(K243="",N243=""),"",ROUND(K243*N243,2)),IF(CONTROLE!$B$1="Itens Consumidos",IF(OR(L243="",N243=""),"",ROUND(L243*N243,2)),"")))</f>
        <v/>
      </c>
      <c r="Q243" s="333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>
      <c r="A244" s="328">
        <f>IF(historico_VU!A182="","",historico_VU!A182)</f>
        <v/>
      </c>
      <c r="B244" s="329">
        <f>IF(A244="","",historico_VU!B182)</f>
        <v/>
      </c>
      <c r="C244" s="330">
        <f>IF(A244="","",historico_VU!C182)</f>
        <v/>
      </c>
      <c r="D244" s="330">
        <f>IF(A244="","",historico_VU!D182)</f>
        <v/>
      </c>
      <c r="E244" s="330">
        <f>IF(A244="","",historico_VU!E182)</f>
        <v/>
      </c>
      <c r="F244" s="330">
        <f>IF(A244="","",historico_VU!F182)</f>
        <v/>
      </c>
      <c r="G244" s="330">
        <f>IF(A244="","",historico_VU!G182)</f>
        <v/>
      </c>
      <c r="H244" s="331">
        <f>IF(A244="","",historico_VU!H182)</f>
        <v/>
      </c>
      <c r="I244" s="151" t="n"/>
      <c r="J244" s="328">
        <f>IF(itens_Remanesc!A182="","",itens_Remanesc!A182)</f>
        <v/>
      </c>
      <c r="K244" s="329">
        <f>IF(J244="","",IF($F$4="C0",itens_Remanesc!B182,IF($F$4="C1",itens_Remanesc!E182,IF($F$4="C2",itens_Remanesc!G182,IF($F$4="C3",itens_Remanesc!I182,itens_Remanesc!K182)))))</f>
        <v/>
      </c>
      <c r="L244" s="329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332">
        <f>IF(J244="","",itens_Remanesc!C182)</f>
        <v/>
      </c>
      <c r="N244" s="332">
        <f>IF(J244="","",IF($F$4="C0",historico_VU!C182,IF($F$4="C1",historico_VU!D182,IF($F$4="C2",historico_VU!E182,IF($F$4="C3",historico_VU!F182,historico_VU!G182)))))</f>
        <v/>
      </c>
      <c r="O244" s="332">
        <f>IF(J244="","",IF(CONTROLE!$B$1="Principal",IF(OR(K244="",M244=""),"",ROUND(K244*M244,2)),IF(CONTROLE!$B$1="Itens Consumidos",IF(OR(L244="",M244=""),"",ROUND(L244*M244,2)),"")))</f>
        <v/>
      </c>
      <c r="P244" s="332">
        <f>IF(J244="","",IF(CONTROLE!$B$1="Principal",IF(OR(K244="",N244=""),"",ROUND(K244*N244,2)),IF(CONTROLE!$B$1="Itens Consumidos",IF(OR(L244="",N244=""),"",ROUND(L244*N244,2)),"")))</f>
        <v/>
      </c>
      <c r="Q244" s="333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>
      <c r="A245" s="328">
        <f>IF(historico_VU!A183="","",historico_VU!A183)</f>
        <v/>
      </c>
      <c r="B245" s="329">
        <f>IF(A245="","",historico_VU!B183)</f>
        <v/>
      </c>
      <c r="C245" s="330">
        <f>IF(A245="","",historico_VU!C183)</f>
        <v/>
      </c>
      <c r="D245" s="330">
        <f>IF(A245="","",historico_VU!D183)</f>
        <v/>
      </c>
      <c r="E245" s="330">
        <f>IF(A245="","",historico_VU!E183)</f>
        <v/>
      </c>
      <c r="F245" s="330">
        <f>IF(A245="","",historico_VU!F183)</f>
        <v/>
      </c>
      <c r="G245" s="330">
        <f>IF(A245="","",historico_VU!G183)</f>
        <v/>
      </c>
      <c r="H245" s="331">
        <f>IF(A245="","",historico_VU!H183)</f>
        <v/>
      </c>
      <c r="I245" s="151" t="n"/>
      <c r="J245" s="328">
        <f>IF(itens_Remanesc!A183="","",itens_Remanesc!A183)</f>
        <v/>
      </c>
      <c r="K245" s="329">
        <f>IF(J245="","",IF($F$4="C0",itens_Remanesc!B183,IF($F$4="C1",itens_Remanesc!E183,IF($F$4="C2",itens_Remanesc!G183,IF($F$4="C3",itens_Remanesc!I183,itens_Remanesc!K183)))))</f>
        <v/>
      </c>
      <c r="L245" s="329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332">
        <f>IF(J245="","",itens_Remanesc!C183)</f>
        <v/>
      </c>
      <c r="N245" s="332">
        <f>IF(J245="","",IF($F$4="C0",historico_VU!C183,IF($F$4="C1",historico_VU!D183,IF($F$4="C2",historico_VU!E183,IF($F$4="C3",historico_VU!F183,historico_VU!G183)))))</f>
        <v/>
      </c>
      <c r="O245" s="332">
        <f>IF(J245="","",IF(CONTROLE!$B$1="Principal",IF(OR(K245="",M245=""),"",ROUND(K245*M245,2)),IF(CONTROLE!$B$1="Itens Consumidos",IF(OR(L245="",M245=""),"",ROUND(L245*M245,2)),"")))</f>
        <v/>
      </c>
      <c r="P245" s="332">
        <f>IF(J245="","",IF(CONTROLE!$B$1="Principal",IF(OR(K245="",N245=""),"",ROUND(K245*N245,2)),IF(CONTROLE!$B$1="Itens Consumidos",IF(OR(L245="",N245=""),"",ROUND(L245*N245,2)),"")))</f>
        <v/>
      </c>
      <c r="Q245" s="333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>
      <c r="A246" s="328">
        <f>IF(historico_VU!A184="","",historico_VU!A184)</f>
        <v/>
      </c>
      <c r="B246" s="329">
        <f>IF(A246="","",historico_VU!B184)</f>
        <v/>
      </c>
      <c r="C246" s="330">
        <f>IF(A246="","",historico_VU!C184)</f>
        <v/>
      </c>
      <c r="D246" s="330">
        <f>IF(A246="","",historico_VU!D184)</f>
        <v/>
      </c>
      <c r="E246" s="330">
        <f>IF(A246="","",historico_VU!E184)</f>
        <v/>
      </c>
      <c r="F246" s="330">
        <f>IF(A246="","",historico_VU!F184)</f>
        <v/>
      </c>
      <c r="G246" s="330">
        <f>IF(A246="","",historico_VU!G184)</f>
        <v/>
      </c>
      <c r="H246" s="331">
        <f>IF(A246="","",historico_VU!H184)</f>
        <v/>
      </c>
      <c r="I246" s="151" t="n"/>
      <c r="J246" s="328">
        <f>IF(itens_Remanesc!A184="","",itens_Remanesc!A184)</f>
        <v/>
      </c>
      <c r="K246" s="329">
        <f>IF(J246="","",IF($F$4="C0",itens_Remanesc!B184,IF($F$4="C1",itens_Remanesc!E184,IF($F$4="C2",itens_Remanesc!G184,IF($F$4="C3",itens_Remanesc!I184,itens_Remanesc!K184)))))</f>
        <v/>
      </c>
      <c r="L246" s="329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332">
        <f>IF(J246="","",itens_Remanesc!C184)</f>
        <v/>
      </c>
      <c r="N246" s="332">
        <f>IF(J246="","",IF($F$4="C0",historico_VU!C184,IF($F$4="C1",historico_VU!D184,IF($F$4="C2",historico_VU!E184,IF($F$4="C3",historico_VU!F184,historico_VU!G184)))))</f>
        <v/>
      </c>
      <c r="O246" s="332">
        <f>IF(J246="","",IF(CONTROLE!$B$1="Principal",IF(OR(K246="",M246=""),"",ROUND(K246*M246,2)),IF(CONTROLE!$B$1="Itens Consumidos",IF(OR(L246="",M246=""),"",ROUND(L246*M246,2)),"")))</f>
        <v/>
      </c>
      <c r="P246" s="332">
        <f>IF(J246="","",IF(CONTROLE!$B$1="Principal",IF(OR(K246="",N246=""),"",ROUND(K246*N246,2)),IF(CONTROLE!$B$1="Itens Consumidos",IF(OR(L246="",N246=""),"",ROUND(L246*N246,2)),"")))</f>
        <v/>
      </c>
      <c r="Q246" s="333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>
      <c r="A247" s="328">
        <f>IF(historico_VU!A185="","",historico_VU!A185)</f>
        <v/>
      </c>
      <c r="B247" s="329">
        <f>IF(A247="","",historico_VU!B185)</f>
        <v/>
      </c>
      <c r="C247" s="330">
        <f>IF(A247="","",historico_VU!C185)</f>
        <v/>
      </c>
      <c r="D247" s="330">
        <f>IF(A247="","",historico_VU!D185)</f>
        <v/>
      </c>
      <c r="E247" s="330">
        <f>IF(A247="","",historico_VU!E185)</f>
        <v/>
      </c>
      <c r="F247" s="330">
        <f>IF(A247="","",historico_VU!F185)</f>
        <v/>
      </c>
      <c r="G247" s="330">
        <f>IF(A247="","",historico_VU!G185)</f>
        <v/>
      </c>
      <c r="H247" s="331">
        <f>IF(A247="","",historico_VU!H185)</f>
        <v/>
      </c>
      <c r="I247" s="151" t="n"/>
      <c r="J247" s="328">
        <f>IF(itens_Remanesc!A185="","",itens_Remanesc!A185)</f>
        <v/>
      </c>
      <c r="K247" s="329">
        <f>IF(J247="","",IF($F$4="C0",itens_Remanesc!B185,IF($F$4="C1",itens_Remanesc!E185,IF($F$4="C2",itens_Remanesc!G185,IF($F$4="C3",itens_Remanesc!I185,itens_Remanesc!K185)))))</f>
        <v/>
      </c>
      <c r="L247" s="329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332">
        <f>IF(J247="","",itens_Remanesc!C185)</f>
        <v/>
      </c>
      <c r="N247" s="332">
        <f>IF(J247="","",IF($F$4="C0",historico_VU!C185,IF($F$4="C1",historico_VU!D185,IF($F$4="C2",historico_VU!E185,IF($F$4="C3",historico_VU!F185,historico_VU!G185)))))</f>
        <v/>
      </c>
      <c r="O247" s="332">
        <f>IF(J247="","",IF(CONTROLE!$B$1="Principal",IF(OR(K247="",M247=""),"",ROUND(K247*M247,2)),IF(CONTROLE!$B$1="Itens Consumidos",IF(OR(L247="",M247=""),"",ROUND(L247*M247,2)),"")))</f>
        <v/>
      </c>
      <c r="P247" s="332">
        <f>IF(J247="","",IF(CONTROLE!$B$1="Principal",IF(OR(K247="",N247=""),"",ROUND(K247*N247,2)),IF(CONTROLE!$B$1="Itens Consumidos",IF(OR(L247="",N247=""),"",ROUND(L247*N247,2)),"")))</f>
        <v/>
      </c>
      <c r="Q247" s="333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>
      <c r="A248" s="328">
        <f>IF(historico_VU!A186="","",historico_VU!A186)</f>
        <v/>
      </c>
      <c r="B248" s="329">
        <f>IF(A248="","",historico_VU!B186)</f>
        <v/>
      </c>
      <c r="C248" s="330">
        <f>IF(A248="","",historico_VU!C186)</f>
        <v/>
      </c>
      <c r="D248" s="330">
        <f>IF(A248="","",historico_VU!D186)</f>
        <v/>
      </c>
      <c r="E248" s="330">
        <f>IF(A248="","",historico_VU!E186)</f>
        <v/>
      </c>
      <c r="F248" s="330">
        <f>IF(A248="","",historico_VU!F186)</f>
        <v/>
      </c>
      <c r="G248" s="330">
        <f>IF(A248="","",historico_VU!G186)</f>
        <v/>
      </c>
      <c r="H248" s="331">
        <f>IF(A248="","",historico_VU!H186)</f>
        <v/>
      </c>
      <c r="I248" s="151" t="n"/>
      <c r="J248" s="328">
        <f>IF(itens_Remanesc!A186="","",itens_Remanesc!A186)</f>
        <v/>
      </c>
      <c r="K248" s="329">
        <f>IF(J248="","",IF($F$4="C0",itens_Remanesc!B186,IF($F$4="C1",itens_Remanesc!E186,IF($F$4="C2",itens_Remanesc!G186,IF($F$4="C3",itens_Remanesc!I186,itens_Remanesc!K186)))))</f>
        <v/>
      </c>
      <c r="L248" s="329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332">
        <f>IF(J248="","",itens_Remanesc!C186)</f>
        <v/>
      </c>
      <c r="N248" s="332">
        <f>IF(J248="","",IF($F$4="C0",historico_VU!C186,IF($F$4="C1",historico_VU!D186,IF($F$4="C2",historico_VU!E186,IF($F$4="C3",historico_VU!F186,historico_VU!G186)))))</f>
        <v/>
      </c>
      <c r="O248" s="332">
        <f>IF(J248="","",IF(CONTROLE!$B$1="Principal",IF(OR(K248="",M248=""),"",ROUND(K248*M248,2)),IF(CONTROLE!$B$1="Itens Consumidos",IF(OR(L248="",M248=""),"",ROUND(L248*M248,2)),"")))</f>
        <v/>
      </c>
      <c r="P248" s="332">
        <f>IF(J248="","",IF(CONTROLE!$B$1="Principal",IF(OR(K248="",N248=""),"",ROUND(K248*N248,2)),IF(CONTROLE!$B$1="Itens Consumidos",IF(OR(L248="",N248=""),"",ROUND(L248*N248,2)),"")))</f>
        <v/>
      </c>
      <c r="Q248" s="333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>
      <c r="A249" s="328">
        <f>IF(historico_VU!A187="","",historico_VU!A187)</f>
        <v/>
      </c>
      <c r="B249" s="329">
        <f>IF(A249="","",historico_VU!B187)</f>
        <v/>
      </c>
      <c r="C249" s="330">
        <f>IF(A249="","",historico_VU!C187)</f>
        <v/>
      </c>
      <c r="D249" s="330">
        <f>IF(A249="","",historico_VU!D187)</f>
        <v/>
      </c>
      <c r="E249" s="330">
        <f>IF(A249="","",historico_VU!E187)</f>
        <v/>
      </c>
      <c r="F249" s="330">
        <f>IF(A249="","",historico_VU!F187)</f>
        <v/>
      </c>
      <c r="G249" s="330">
        <f>IF(A249="","",historico_VU!G187)</f>
        <v/>
      </c>
      <c r="H249" s="331">
        <f>IF(A249="","",historico_VU!H187)</f>
        <v/>
      </c>
      <c r="I249" s="151" t="n"/>
      <c r="J249" s="328">
        <f>IF(itens_Remanesc!A187="","",itens_Remanesc!A187)</f>
        <v/>
      </c>
      <c r="K249" s="329">
        <f>IF(J249="","",IF($F$4="C0",itens_Remanesc!B187,IF($F$4="C1",itens_Remanesc!E187,IF($F$4="C2",itens_Remanesc!G187,IF($F$4="C3",itens_Remanesc!I187,itens_Remanesc!K187)))))</f>
        <v/>
      </c>
      <c r="L249" s="329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332">
        <f>IF(J249="","",itens_Remanesc!C187)</f>
        <v/>
      </c>
      <c r="N249" s="332">
        <f>IF(J249="","",IF($F$4="C0",historico_VU!C187,IF($F$4="C1",historico_VU!D187,IF($F$4="C2",historico_VU!E187,IF($F$4="C3",historico_VU!F187,historico_VU!G187)))))</f>
        <v/>
      </c>
      <c r="O249" s="332">
        <f>IF(J249="","",IF(CONTROLE!$B$1="Principal",IF(OR(K249="",M249=""),"",ROUND(K249*M249,2)),IF(CONTROLE!$B$1="Itens Consumidos",IF(OR(L249="",M249=""),"",ROUND(L249*M249,2)),"")))</f>
        <v/>
      </c>
      <c r="P249" s="332">
        <f>IF(J249="","",IF(CONTROLE!$B$1="Principal",IF(OR(K249="",N249=""),"",ROUND(K249*N249,2)),IF(CONTROLE!$B$1="Itens Consumidos",IF(OR(L249="",N249=""),"",ROUND(L249*N249,2)),"")))</f>
        <v/>
      </c>
      <c r="Q249" s="333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>
      <c r="A250" s="328">
        <f>IF(historico_VU!A188="","",historico_VU!A188)</f>
        <v/>
      </c>
      <c r="B250" s="329">
        <f>IF(A250="","",historico_VU!B188)</f>
        <v/>
      </c>
      <c r="C250" s="330">
        <f>IF(A250="","",historico_VU!C188)</f>
        <v/>
      </c>
      <c r="D250" s="330">
        <f>IF(A250="","",historico_VU!D188)</f>
        <v/>
      </c>
      <c r="E250" s="330">
        <f>IF(A250="","",historico_VU!E188)</f>
        <v/>
      </c>
      <c r="F250" s="330">
        <f>IF(A250="","",historico_VU!F188)</f>
        <v/>
      </c>
      <c r="G250" s="330">
        <f>IF(A250="","",historico_VU!G188)</f>
        <v/>
      </c>
      <c r="H250" s="331">
        <f>IF(A250="","",historico_VU!H188)</f>
        <v/>
      </c>
      <c r="I250" s="151" t="n"/>
      <c r="J250" s="328">
        <f>IF(itens_Remanesc!A188="","",itens_Remanesc!A188)</f>
        <v/>
      </c>
      <c r="K250" s="329">
        <f>IF(J250="","",IF($F$4="C0",itens_Remanesc!B188,IF($F$4="C1",itens_Remanesc!E188,IF($F$4="C2",itens_Remanesc!G188,IF($F$4="C3",itens_Remanesc!I188,itens_Remanesc!K188)))))</f>
        <v/>
      </c>
      <c r="L250" s="329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332">
        <f>IF(J250="","",itens_Remanesc!C188)</f>
        <v/>
      </c>
      <c r="N250" s="332">
        <f>IF(J250="","",IF($F$4="C0",historico_VU!C188,IF($F$4="C1",historico_VU!D188,IF($F$4="C2",historico_VU!E188,IF($F$4="C3",historico_VU!F188,historico_VU!G188)))))</f>
        <v/>
      </c>
      <c r="O250" s="332">
        <f>IF(J250="","",IF(CONTROLE!$B$1="Principal",IF(OR(K250="",M250=""),"",ROUND(K250*M250,2)),IF(CONTROLE!$B$1="Itens Consumidos",IF(OR(L250="",M250=""),"",ROUND(L250*M250,2)),"")))</f>
        <v/>
      </c>
      <c r="P250" s="332">
        <f>IF(J250="","",IF(CONTROLE!$B$1="Principal",IF(OR(K250="",N250=""),"",ROUND(K250*N250,2)),IF(CONTROLE!$B$1="Itens Consumidos",IF(OR(L250="",N250=""),"",ROUND(L250*N250,2)),"")))</f>
        <v/>
      </c>
      <c r="Q250" s="333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>
      <c r="A251" s="328">
        <f>IF(historico_VU!A189="","",historico_VU!A189)</f>
        <v/>
      </c>
      <c r="B251" s="329">
        <f>IF(A251="","",historico_VU!B189)</f>
        <v/>
      </c>
      <c r="C251" s="330">
        <f>IF(A251="","",historico_VU!C189)</f>
        <v/>
      </c>
      <c r="D251" s="330">
        <f>IF(A251="","",historico_VU!D189)</f>
        <v/>
      </c>
      <c r="E251" s="330">
        <f>IF(A251="","",historico_VU!E189)</f>
        <v/>
      </c>
      <c r="F251" s="330">
        <f>IF(A251="","",historico_VU!F189)</f>
        <v/>
      </c>
      <c r="G251" s="330">
        <f>IF(A251="","",historico_VU!G189)</f>
        <v/>
      </c>
      <c r="H251" s="331">
        <f>IF(A251="","",historico_VU!H189)</f>
        <v/>
      </c>
      <c r="I251" s="151" t="n"/>
      <c r="J251" s="328">
        <f>IF(itens_Remanesc!A189="","",itens_Remanesc!A189)</f>
        <v/>
      </c>
      <c r="K251" s="329">
        <f>IF(J251="","",IF($F$4="C0",itens_Remanesc!B189,IF($F$4="C1",itens_Remanesc!E189,IF($F$4="C2",itens_Remanesc!G189,IF($F$4="C3",itens_Remanesc!I189,itens_Remanesc!K189)))))</f>
        <v/>
      </c>
      <c r="L251" s="329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332">
        <f>IF(J251="","",itens_Remanesc!C189)</f>
        <v/>
      </c>
      <c r="N251" s="332">
        <f>IF(J251="","",IF($F$4="C0",historico_VU!C189,IF($F$4="C1",historico_VU!D189,IF($F$4="C2",historico_VU!E189,IF($F$4="C3",historico_VU!F189,historico_VU!G189)))))</f>
        <v/>
      </c>
      <c r="O251" s="332">
        <f>IF(J251="","",IF(CONTROLE!$B$1="Principal",IF(OR(K251="",M251=""),"",ROUND(K251*M251,2)),IF(CONTROLE!$B$1="Itens Consumidos",IF(OR(L251="",M251=""),"",ROUND(L251*M251,2)),"")))</f>
        <v/>
      </c>
      <c r="P251" s="332">
        <f>IF(J251="","",IF(CONTROLE!$B$1="Principal",IF(OR(K251="",N251=""),"",ROUND(K251*N251,2)),IF(CONTROLE!$B$1="Itens Consumidos",IF(OR(L251="",N251=""),"",ROUND(L251*N251,2)),"")))</f>
        <v/>
      </c>
      <c r="Q251" s="333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>
      <c r="A252" s="328">
        <f>IF(historico_VU!A190="","",historico_VU!A190)</f>
        <v/>
      </c>
      <c r="B252" s="329">
        <f>IF(A252="","",historico_VU!B190)</f>
        <v/>
      </c>
      <c r="C252" s="330">
        <f>IF(A252="","",historico_VU!C190)</f>
        <v/>
      </c>
      <c r="D252" s="330">
        <f>IF(A252="","",historico_VU!D190)</f>
        <v/>
      </c>
      <c r="E252" s="330">
        <f>IF(A252="","",historico_VU!E190)</f>
        <v/>
      </c>
      <c r="F252" s="330">
        <f>IF(A252="","",historico_VU!F190)</f>
        <v/>
      </c>
      <c r="G252" s="330">
        <f>IF(A252="","",historico_VU!G190)</f>
        <v/>
      </c>
      <c r="H252" s="331">
        <f>IF(A252="","",historico_VU!H190)</f>
        <v/>
      </c>
      <c r="I252" s="151" t="n"/>
      <c r="J252" s="328">
        <f>IF(itens_Remanesc!A190="","",itens_Remanesc!A190)</f>
        <v/>
      </c>
      <c r="K252" s="329">
        <f>IF(J252="","",IF($F$4="C0",itens_Remanesc!B190,IF($F$4="C1",itens_Remanesc!E190,IF($F$4="C2",itens_Remanesc!G190,IF($F$4="C3",itens_Remanesc!I190,itens_Remanesc!K190)))))</f>
        <v/>
      </c>
      <c r="L252" s="329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332">
        <f>IF(J252="","",itens_Remanesc!C190)</f>
        <v/>
      </c>
      <c r="N252" s="332">
        <f>IF(J252="","",IF($F$4="C0",historico_VU!C190,IF($F$4="C1",historico_VU!D190,IF($F$4="C2",historico_VU!E190,IF($F$4="C3",historico_VU!F190,historico_VU!G190)))))</f>
        <v/>
      </c>
      <c r="O252" s="332">
        <f>IF(J252="","",IF(CONTROLE!$B$1="Principal",IF(OR(K252="",M252=""),"",ROUND(K252*M252,2)),IF(CONTROLE!$B$1="Itens Consumidos",IF(OR(L252="",M252=""),"",ROUND(L252*M252,2)),"")))</f>
        <v/>
      </c>
      <c r="P252" s="332">
        <f>IF(J252="","",IF(CONTROLE!$B$1="Principal",IF(OR(K252="",N252=""),"",ROUND(K252*N252,2)),IF(CONTROLE!$B$1="Itens Consumidos",IF(OR(L252="",N252=""),"",ROUND(L252*N252,2)),"")))</f>
        <v/>
      </c>
      <c r="Q252" s="333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>
      <c r="A253" s="328">
        <f>IF(historico_VU!A191="","",historico_VU!A191)</f>
        <v/>
      </c>
      <c r="B253" s="329">
        <f>IF(A253="","",historico_VU!B191)</f>
        <v/>
      </c>
      <c r="C253" s="330">
        <f>IF(A253="","",historico_VU!C191)</f>
        <v/>
      </c>
      <c r="D253" s="330">
        <f>IF(A253="","",historico_VU!D191)</f>
        <v/>
      </c>
      <c r="E253" s="330">
        <f>IF(A253="","",historico_VU!E191)</f>
        <v/>
      </c>
      <c r="F253" s="330">
        <f>IF(A253="","",historico_VU!F191)</f>
        <v/>
      </c>
      <c r="G253" s="330">
        <f>IF(A253="","",historico_VU!G191)</f>
        <v/>
      </c>
      <c r="H253" s="331">
        <f>IF(A253="","",historico_VU!H191)</f>
        <v/>
      </c>
      <c r="I253" s="151" t="n"/>
      <c r="J253" s="328">
        <f>IF(itens_Remanesc!A191="","",itens_Remanesc!A191)</f>
        <v/>
      </c>
      <c r="K253" s="329">
        <f>IF(J253="","",IF($F$4="C0",itens_Remanesc!B191,IF($F$4="C1",itens_Remanesc!E191,IF($F$4="C2",itens_Remanesc!G191,IF($F$4="C3",itens_Remanesc!I191,itens_Remanesc!K191)))))</f>
        <v/>
      </c>
      <c r="L253" s="329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332">
        <f>IF(J253="","",itens_Remanesc!C191)</f>
        <v/>
      </c>
      <c r="N253" s="332">
        <f>IF(J253="","",IF($F$4="C0",historico_VU!C191,IF($F$4="C1",historico_VU!D191,IF($F$4="C2",historico_VU!E191,IF($F$4="C3",historico_VU!F191,historico_VU!G191)))))</f>
        <v/>
      </c>
      <c r="O253" s="332">
        <f>IF(J253="","",IF(CONTROLE!$B$1="Principal",IF(OR(K253="",M253=""),"",ROUND(K253*M253,2)),IF(CONTROLE!$B$1="Itens Consumidos",IF(OR(L253="",M253=""),"",ROUND(L253*M253,2)),"")))</f>
        <v/>
      </c>
      <c r="P253" s="332">
        <f>IF(J253="","",IF(CONTROLE!$B$1="Principal",IF(OR(K253="",N253=""),"",ROUND(K253*N253,2)),IF(CONTROLE!$B$1="Itens Consumidos",IF(OR(L253="",N253=""),"",ROUND(L253*N253,2)),"")))</f>
        <v/>
      </c>
      <c r="Q253" s="333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4">
      <c r="A254" s="328">
        <f>IF(historico_VU!A192="","",historico_VU!A192)</f>
        <v/>
      </c>
      <c r="B254" s="329">
        <f>IF(A254="","",historico_VU!B192)</f>
        <v/>
      </c>
      <c r="C254" s="330">
        <f>IF(A254="","",historico_VU!C192)</f>
        <v/>
      </c>
      <c r="D254" s="330">
        <f>IF(A254="","",historico_VU!D192)</f>
        <v/>
      </c>
      <c r="E254" s="330">
        <f>IF(A254="","",historico_VU!E192)</f>
        <v/>
      </c>
      <c r="F254" s="330">
        <f>IF(A254="","",historico_VU!F192)</f>
        <v/>
      </c>
      <c r="G254" s="330">
        <f>IF(A254="","",historico_VU!G192)</f>
        <v/>
      </c>
      <c r="H254" s="331">
        <f>IF(A254="","",historico_VU!H192)</f>
        <v/>
      </c>
      <c r="I254" s="151" t="n"/>
      <c r="J254" s="328">
        <f>IF(itens_Remanesc!A192="","",itens_Remanesc!A192)</f>
        <v/>
      </c>
      <c r="K254" s="329">
        <f>IF(J254="","",IF($F$4="C0",itens_Remanesc!B192,IF($F$4="C1",itens_Remanesc!E192,IF($F$4="C2",itens_Remanesc!G192,IF($F$4="C3",itens_Remanesc!I192,itens_Remanesc!K192)))))</f>
        <v/>
      </c>
      <c r="L254" s="329">
        <f>IF(J254="","",IF(SUMIF(itens_Consumidos!$A$2:$A$200,J254,itens_Consumidos!$B$2:$B$200)-SUMIF(itens_Consumidos!$A$2:$A$200,J254,itens_Consumidos!$O$2:$O$200)&lt;0,0,SUMIF(itens_Consumidos!$A$2:$A$200,J254,itens_Consumidos!$B$2:$B$200)-SUMIF(itens_Consumidos!$A$2:$A$200,J254,itens_Consumidos!$O$2:$O$200)))</f>
        <v/>
      </c>
      <c r="M254" s="332">
        <f>IF(J254="","",itens_Remanesc!C192)</f>
        <v/>
      </c>
      <c r="N254" s="332">
        <f>IF(J254="","",IF($F$4="C0",historico_VU!C192,IF($F$4="C1",historico_VU!D192,IF($F$4="C2",historico_VU!E192,IF($F$4="C3",historico_VU!F192,historico_VU!G192)))))</f>
        <v/>
      </c>
      <c r="O254" s="332">
        <f>IF(J254="","",IF(CONTROLE!$B$1="Principal",IF(OR(K254="",M254=""),"",ROUND(K254*M254,2)),IF(CONTROLE!$B$1="Itens Consumidos",IF(OR(L254="",M254=""),"",ROUND(L254*M254,2)),"")))</f>
        <v/>
      </c>
      <c r="P254" s="332">
        <f>IF(J254="","",IF(CONTROLE!$B$1="Principal",IF(OR(K254="",N254=""),"",ROUND(K254*N254,2)),IF(CONTROLE!$B$1="Itens Consumidos",IF(OR(L254="",N254=""),"",ROUND(L254*N254,2)),"")))</f>
        <v/>
      </c>
      <c r="Q254" s="333">
        <f>IF(J254="","",IF(OR(M254="",AND(CONTROLE!$B$1="Principal",K254=""),AND(CONTROLE!$B$1="Itens Consumidos",L254="")),"INCOMPLETO",IF(CONTROLE!$B$1="Pedidos de Compras","MANUAL",IF(AND(ISNUMBER(K254),ISNUMBER(L254),ABS(K254-L254)/MAX(ABS(IF(CONTROLE!$B$1="Principal",K254,L254)),1)&gt;$D$4),"DIVERGENTE","OK"))))</f>
        <v/>
      </c>
    </row>
    <row r="255">
      <c r="A255" s="328">
        <f>IF(historico_VU!A193="","",historico_VU!A193)</f>
        <v/>
      </c>
      <c r="B255" s="329">
        <f>IF(A255="","",historico_VU!B193)</f>
        <v/>
      </c>
      <c r="C255" s="330">
        <f>IF(A255="","",historico_VU!C193)</f>
        <v/>
      </c>
      <c r="D255" s="330">
        <f>IF(A255="","",historico_VU!D193)</f>
        <v/>
      </c>
      <c r="E255" s="330">
        <f>IF(A255="","",historico_VU!E193)</f>
        <v/>
      </c>
      <c r="F255" s="330">
        <f>IF(A255="","",historico_VU!F193)</f>
        <v/>
      </c>
      <c r="G255" s="330">
        <f>IF(A255="","",historico_VU!G193)</f>
        <v/>
      </c>
      <c r="H255" s="331">
        <f>IF(A255="","",historico_VU!H193)</f>
        <v/>
      </c>
      <c r="I255" s="151" t="n"/>
      <c r="J255" s="328">
        <f>IF(itens_Remanesc!A193="","",itens_Remanesc!A193)</f>
        <v/>
      </c>
      <c r="K255" s="329">
        <f>IF(J255="","",IF($F$4="C0",itens_Remanesc!B193,IF($F$4="C1",itens_Remanesc!E193,IF($F$4="C2",itens_Remanesc!G193,IF($F$4="C3",itens_Remanesc!I193,itens_Remanesc!K193)))))</f>
        <v/>
      </c>
      <c r="L255" s="329">
        <f>IF(J255="","",IF(SUMIF(itens_Consumidos!$A$2:$A$200,J255,itens_Consumidos!$B$2:$B$200)-SUMIF(itens_Consumidos!$A$2:$A$200,J255,itens_Consumidos!$O$2:$O$200)&lt;0,0,SUMIF(itens_Consumidos!$A$2:$A$200,J255,itens_Consumidos!$B$2:$B$200)-SUMIF(itens_Consumidos!$A$2:$A$200,J255,itens_Consumidos!$O$2:$O$200)))</f>
        <v/>
      </c>
      <c r="M255" s="332">
        <f>IF(J255="","",itens_Remanesc!C193)</f>
        <v/>
      </c>
      <c r="N255" s="332">
        <f>IF(J255="","",IF($F$4="C0",historico_VU!C193,IF($F$4="C1",historico_VU!D193,IF($F$4="C2",historico_VU!E193,IF($F$4="C3",historico_VU!F193,historico_VU!G193)))))</f>
        <v/>
      </c>
      <c r="O255" s="332">
        <f>IF(J255="","",IF(CONTROLE!$B$1="Principal",IF(OR(K255="",M255=""),"",ROUND(K255*M255,2)),IF(CONTROLE!$B$1="Itens Consumidos",IF(OR(L255="",M255=""),"",ROUND(L255*M255,2)),"")))</f>
        <v/>
      </c>
      <c r="P255" s="332">
        <f>IF(J255="","",IF(CONTROLE!$B$1="Principal",IF(OR(K255="",N255=""),"",ROUND(K255*N255,2)),IF(CONTROLE!$B$1="Itens Consumidos",IF(OR(L255="",N255=""),"",ROUND(L255*N255,2)),"")))</f>
        <v/>
      </c>
      <c r="Q255" s="333">
        <f>IF(J255="","",IF(OR(M255="",AND(CONTROLE!$B$1="Principal",K255=""),AND(CONTROLE!$B$1="Itens Consumidos",L255="")),"INCOMPLETO",IF(CONTROLE!$B$1="Pedidos de Compras","MANUAL",IF(AND(ISNUMBER(K255),ISNUMBER(L255),ABS(K255-L255)/MAX(ABS(IF(CONTROLE!$B$1="Principal",K255,L255)),1)&gt;$D$4),"DIVERGENTE","OK"))))</f>
        <v/>
      </c>
    </row>
    <row r="256">
      <c r="A256" s="328">
        <f>IF(historico_VU!A194="","",historico_VU!A194)</f>
        <v/>
      </c>
      <c r="B256" s="329">
        <f>IF(A256="","",historico_VU!B194)</f>
        <v/>
      </c>
      <c r="C256" s="330">
        <f>IF(A256="","",historico_VU!C194)</f>
        <v/>
      </c>
      <c r="D256" s="330">
        <f>IF(A256="","",historico_VU!D194)</f>
        <v/>
      </c>
      <c r="E256" s="330">
        <f>IF(A256="","",historico_VU!E194)</f>
        <v/>
      </c>
      <c r="F256" s="330">
        <f>IF(A256="","",historico_VU!F194)</f>
        <v/>
      </c>
      <c r="G256" s="330">
        <f>IF(A256="","",historico_VU!G194)</f>
        <v/>
      </c>
      <c r="H256" s="331">
        <f>IF(A256="","",historico_VU!H194)</f>
        <v/>
      </c>
      <c r="I256" s="151" t="n"/>
      <c r="J256" s="328">
        <f>IF(itens_Remanesc!A194="","",itens_Remanesc!A194)</f>
        <v/>
      </c>
      <c r="K256" s="329">
        <f>IF(J256="","",IF($F$4="C0",itens_Remanesc!B194,IF($F$4="C1",itens_Remanesc!E194,IF($F$4="C2",itens_Remanesc!G194,IF($F$4="C3",itens_Remanesc!I194,itens_Remanesc!K194)))))</f>
        <v/>
      </c>
      <c r="L256" s="329">
        <f>IF(J256="","",IF(SUMIF(itens_Consumidos!$A$2:$A$200,J256,itens_Consumidos!$B$2:$B$200)-SUMIF(itens_Consumidos!$A$2:$A$200,J256,itens_Consumidos!$O$2:$O$200)&lt;0,0,SUMIF(itens_Consumidos!$A$2:$A$200,J256,itens_Consumidos!$B$2:$B$200)-SUMIF(itens_Consumidos!$A$2:$A$200,J256,itens_Consumidos!$O$2:$O$200)))</f>
        <v/>
      </c>
      <c r="M256" s="332">
        <f>IF(J256="","",itens_Remanesc!C194)</f>
        <v/>
      </c>
      <c r="N256" s="332">
        <f>IF(J256="","",IF($F$4="C0",historico_VU!C194,IF($F$4="C1",historico_VU!D194,IF($F$4="C2",historico_VU!E194,IF($F$4="C3",historico_VU!F194,historico_VU!G194)))))</f>
        <v/>
      </c>
      <c r="O256" s="332">
        <f>IF(J256="","",IF(CONTROLE!$B$1="Principal",IF(OR(K256="",M256=""),"",ROUND(K256*M256,2)),IF(CONTROLE!$B$1="Itens Consumidos",IF(OR(L256="",M256=""),"",ROUND(L256*M256,2)),"")))</f>
        <v/>
      </c>
      <c r="P256" s="332">
        <f>IF(J256="","",IF(CONTROLE!$B$1="Principal",IF(OR(K256="",N256=""),"",ROUND(K256*N256,2)),IF(CONTROLE!$B$1="Itens Consumidos",IF(OR(L256="",N256=""),"",ROUND(L256*N256,2)),"")))</f>
        <v/>
      </c>
      <c r="Q256" s="333">
        <f>IF(J256="","",IF(OR(M256="",AND(CONTROLE!$B$1="Principal",K256=""),AND(CONTROLE!$B$1="Itens Consumidos",L256="")),"INCOMPLETO",IF(CONTROLE!$B$1="Pedidos de Compras","MANUAL",IF(AND(ISNUMBER(K256),ISNUMBER(L256),ABS(K256-L256)/MAX(ABS(IF(CONTROLE!$B$1="Principal",K256,L256)),1)&gt;$D$4),"DIVERGENTE","OK"))))</f>
        <v/>
      </c>
    </row>
    <row r="257">
      <c r="A257" s="328">
        <f>IF(historico_VU!A195="","",historico_VU!A195)</f>
        <v/>
      </c>
      <c r="B257" s="329">
        <f>IF(A257="","",historico_VU!B195)</f>
        <v/>
      </c>
      <c r="C257" s="330">
        <f>IF(A257="","",historico_VU!C195)</f>
        <v/>
      </c>
      <c r="D257" s="330">
        <f>IF(A257="","",historico_VU!D195)</f>
        <v/>
      </c>
      <c r="E257" s="330">
        <f>IF(A257="","",historico_VU!E195)</f>
        <v/>
      </c>
      <c r="F257" s="330">
        <f>IF(A257="","",historico_VU!F195)</f>
        <v/>
      </c>
      <c r="G257" s="330">
        <f>IF(A257="","",historico_VU!G195)</f>
        <v/>
      </c>
      <c r="H257" s="331">
        <f>IF(A257="","",historico_VU!H195)</f>
        <v/>
      </c>
      <c r="I257" s="151" t="n"/>
      <c r="J257" s="328">
        <f>IF(itens_Remanesc!A195="","",itens_Remanesc!A195)</f>
        <v/>
      </c>
      <c r="K257" s="329">
        <f>IF(J257="","",IF($F$4="C0",itens_Remanesc!B195,IF($F$4="C1",itens_Remanesc!E195,IF($F$4="C2",itens_Remanesc!G195,IF($F$4="C3",itens_Remanesc!I195,itens_Remanesc!K195)))))</f>
        <v/>
      </c>
      <c r="L257" s="329">
        <f>IF(J257="","",IF(SUMIF(itens_Consumidos!$A$2:$A$200,J257,itens_Consumidos!$B$2:$B$200)-SUMIF(itens_Consumidos!$A$2:$A$200,J257,itens_Consumidos!$O$2:$O$200)&lt;0,0,SUMIF(itens_Consumidos!$A$2:$A$200,J257,itens_Consumidos!$B$2:$B$200)-SUMIF(itens_Consumidos!$A$2:$A$200,J257,itens_Consumidos!$O$2:$O$200)))</f>
        <v/>
      </c>
      <c r="M257" s="332">
        <f>IF(J257="","",itens_Remanesc!C195)</f>
        <v/>
      </c>
      <c r="N257" s="332">
        <f>IF(J257="","",IF($F$4="C0",historico_VU!C195,IF($F$4="C1",historico_VU!D195,IF($F$4="C2",historico_VU!E195,IF($F$4="C3",historico_VU!F195,historico_VU!G195)))))</f>
        <v/>
      </c>
      <c r="O257" s="332">
        <f>IF(J257="","",IF(CONTROLE!$B$1="Principal",IF(OR(K257="",M257=""),"",ROUND(K257*M257,2)),IF(CONTROLE!$B$1="Itens Consumidos",IF(OR(L257="",M257=""),"",ROUND(L257*M257,2)),"")))</f>
        <v/>
      </c>
      <c r="P257" s="332">
        <f>IF(J257="","",IF(CONTROLE!$B$1="Principal",IF(OR(K257="",N257=""),"",ROUND(K257*N257,2)),IF(CONTROLE!$B$1="Itens Consumidos",IF(OR(L257="",N257=""),"",ROUND(L257*N257,2)),"")))</f>
        <v/>
      </c>
      <c r="Q257" s="333">
        <f>IF(J257="","",IF(OR(M257="",AND(CONTROLE!$B$1="Principal",K257=""),AND(CONTROLE!$B$1="Itens Consumidos",L257="")),"INCOMPLETO",IF(CONTROLE!$B$1="Pedidos de Compras","MANUAL",IF(AND(ISNUMBER(K257),ISNUMBER(L257),ABS(K257-L257)/MAX(ABS(IF(CONTROLE!$B$1="Principal",K257,L257)),1)&gt;$D$4),"DIVERGENTE","OK"))))</f>
        <v/>
      </c>
    </row>
    <row r="258">
      <c r="A258" s="328">
        <f>IF(historico_VU!A196="","",historico_VU!A196)</f>
        <v/>
      </c>
      <c r="B258" s="329">
        <f>IF(A258="","",historico_VU!B196)</f>
        <v/>
      </c>
      <c r="C258" s="330">
        <f>IF(A258="","",historico_VU!C196)</f>
        <v/>
      </c>
      <c r="D258" s="330">
        <f>IF(A258="","",historico_VU!D196)</f>
        <v/>
      </c>
      <c r="E258" s="330">
        <f>IF(A258="","",historico_VU!E196)</f>
        <v/>
      </c>
      <c r="F258" s="330">
        <f>IF(A258="","",historico_VU!F196)</f>
        <v/>
      </c>
      <c r="G258" s="330">
        <f>IF(A258="","",historico_VU!G196)</f>
        <v/>
      </c>
      <c r="H258" s="331">
        <f>IF(A258="","",historico_VU!H196)</f>
        <v/>
      </c>
      <c r="I258" s="151" t="n"/>
      <c r="J258" s="328">
        <f>IF(itens_Remanesc!A196="","",itens_Remanesc!A196)</f>
        <v/>
      </c>
      <c r="K258" s="329">
        <f>IF(J258="","",IF($F$4="C0",itens_Remanesc!B196,IF($F$4="C1",itens_Remanesc!E196,IF($F$4="C2",itens_Remanesc!G196,IF($F$4="C3",itens_Remanesc!I196,itens_Remanesc!K196)))))</f>
        <v/>
      </c>
      <c r="L258" s="329">
        <f>IF(J258="","",IF(SUMIF(itens_Consumidos!$A$2:$A$200,J258,itens_Consumidos!$B$2:$B$200)-SUMIF(itens_Consumidos!$A$2:$A$200,J258,itens_Consumidos!$O$2:$O$200)&lt;0,0,SUMIF(itens_Consumidos!$A$2:$A$200,J258,itens_Consumidos!$B$2:$B$200)-SUMIF(itens_Consumidos!$A$2:$A$200,J258,itens_Consumidos!$O$2:$O$200)))</f>
        <v/>
      </c>
      <c r="M258" s="332">
        <f>IF(J258="","",itens_Remanesc!C196)</f>
        <v/>
      </c>
      <c r="N258" s="332">
        <f>IF(J258="","",IF($F$4="C0",historico_VU!C196,IF($F$4="C1",historico_VU!D196,IF($F$4="C2",historico_VU!E196,IF($F$4="C3",historico_VU!F196,historico_VU!G196)))))</f>
        <v/>
      </c>
      <c r="O258" s="332">
        <f>IF(J258="","",IF(CONTROLE!$B$1="Principal",IF(OR(K258="",M258=""),"",ROUND(K258*M258,2)),IF(CONTROLE!$B$1="Itens Consumidos",IF(OR(L258="",M258=""),"",ROUND(L258*M258,2)),"")))</f>
        <v/>
      </c>
      <c r="P258" s="332">
        <f>IF(J258="","",IF(CONTROLE!$B$1="Principal",IF(OR(K258="",N258=""),"",ROUND(K258*N258,2)),IF(CONTROLE!$B$1="Itens Consumidos",IF(OR(L258="",N258=""),"",ROUND(L258*N258,2)),"")))</f>
        <v/>
      </c>
      <c r="Q258" s="333">
        <f>IF(J258="","",IF(OR(M258="",AND(CONTROLE!$B$1="Principal",K258=""),AND(CONTROLE!$B$1="Itens Consumidos",L258="")),"INCOMPLETO",IF(CONTROLE!$B$1="Pedidos de Compras","MANUAL",IF(AND(ISNUMBER(K258),ISNUMBER(L258),ABS(K258-L258)/MAX(ABS(IF(CONTROLE!$B$1="Principal",K258,L258)),1)&gt;$D$4),"DIVERGENTE","OK"))))</f>
        <v/>
      </c>
    </row>
    <row r="259">
      <c r="A259" s="328">
        <f>IF(historico_VU!A197="","",historico_VU!A197)</f>
        <v/>
      </c>
      <c r="B259" s="329">
        <f>IF(A259="","",historico_VU!B197)</f>
        <v/>
      </c>
      <c r="C259" s="330">
        <f>IF(A259="","",historico_VU!C197)</f>
        <v/>
      </c>
      <c r="D259" s="330">
        <f>IF(A259="","",historico_VU!D197)</f>
        <v/>
      </c>
      <c r="E259" s="330">
        <f>IF(A259="","",historico_VU!E197)</f>
        <v/>
      </c>
      <c r="F259" s="330">
        <f>IF(A259="","",historico_VU!F197)</f>
        <v/>
      </c>
      <c r="G259" s="330">
        <f>IF(A259="","",historico_VU!G197)</f>
        <v/>
      </c>
      <c r="H259" s="331">
        <f>IF(A259="","",historico_VU!H197)</f>
        <v/>
      </c>
      <c r="I259" s="151" t="n"/>
      <c r="J259" s="328">
        <f>IF(itens_Remanesc!A197="","",itens_Remanesc!A197)</f>
        <v/>
      </c>
      <c r="K259" s="329">
        <f>IF(J259="","",IF($F$4="C0",itens_Remanesc!B197,IF($F$4="C1",itens_Remanesc!E197,IF($F$4="C2",itens_Remanesc!G197,IF($F$4="C3",itens_Remanesc!I197,itens_Remanesc!K197)))))</f>
        <v/>
      </c>
      <c r="L259" s="329">
        <f>IF(J259="","",IF(SUMIF(itens_Consumidos!$A$2:$A$200,J259,itens_Consumidos!$B$2:$B$200)-SUMIF(itens_Consumidos!$A$2:$A$200,J259,itens_Consumidos!$O$2:$O$200)&lt;0,0,SUMIF(itens_Consumidos!$A$2:$A$200,J259,itens_Consumidos!$B$2:$B$200)-SUMIF(itens_Consumidos!$A$2:$A$200,J259,itens_Consumidos!$O$2:$O$200)))</f>
        <v/>
      </c>
      <c r="M259" s="332">
        <f>IF(J259="","",itens_Remanesc!C197)</f>
        <v/>
      </c>
      <c r="N259" s="332">
        <f>IF(J259="","",IF($F$4="C0",historico_VU!C197,IF($F$4="C1",historico_VU!D197,IF($F$4="C2",historico_VU!E197,IF($F$4="C3",historico_VU!F197,historico_VU!G197)))))</f>
        <v/>
      </c>
      <c r="O259" s="332">
        <f>IF(J259="","",IF(CONTROLE!$B$1="Principal",IF(OR(K259="",M259=""),"",ROUND(K259*M259,2)),IF(CONTROLE!$B$1="Itens Consumidos",IF(OR(L259="",M259=""),"",ROUND(L259*M259,2)),"")))</f>
        <v/>
      </c>
      <c r="P259" s="332">
        <f>IF(J259="","",IF(CONTROLE!$B$1="Principal",IF(OR(K259="",N259=""),"",ROUND(K259*N259,2)),IF(CONTROLE!$B$1="Itens Consumidos",IF(OR(L259="",N259=""),"",ROUND(L259*N259,2)),"")))</f>
        <v/>
      </c>
      <c r="Q259" s="333">
        <f>IF(J259="","",IF(OR(M259="",AND(CONTROLE!$B$1="Principal",K259=""),AND(CONTROLE!$B$1="Itens Consumidos",L259="")),"INCOMPLETO",IF(CONTROLE!$B$1="Pedidos de Compras","MANUAL",IF(AND(ISNUMBER(K259),ISNUMBER(L259),ABS(K259-L259)/MAX(ABS(IF(CONTROLE!$B$1="Principal",K259,L259)),1)&gt;$D$4),"DIVERGENTE","OK"))))</f>
        <v/>
      </c>
    </row>
    <row r="260">
      <c r="A260" s="328">
        <f>IF(historico_VU!A198="","",historico_VU!A198)</f>
        <v/>
      </c>
      <c r="B260" s="329">
        <f>IF(A260="","",historico_VU!B198)</f>
        <v/>
      </c>
      <c r="C260" s="330">
        <f>IF(A260="","",historico_VU!C198)</f>
        <v/>
      </c>
      <c r="D260" s="330">
        <f>IF(A260="","",historico_VU!D198)</f>
        <v/>
      </c>
      <c r="E260" s="330">
        <f>IF(A260="","",historico_VU!E198)</f>
        <v/>
      </c>
      <c r="F260" s="330">
        <f>IF(A260="","",historico_VU!F198)</f>
        <v/>
      </c>
      <c r="G260" s="330">
        <f>IF(A260="","",historico_VU!G198)</f>
        <v/>
      </c>
      <c r="H260" s="331">
        <f>IF(A260="","",historico_VU!H198)</f>
        <v/>
      </c>
      <c r="I260" s="151" t="n"/>
      <c r="J260" s="328">
        <f>IF(itens_Remanesc!A198="","",itens_Remanesc!A198)</f>
        <v/>
      </c>
      <c r="K260" s="329">
        <f>IF(J260="","",IF($F$4="C0",itens_Remanesc!B198,IF($F$4="C1",itens_Remanesc!E198,IF($F$4="C2",itens_Remanesc!G198,IF($F$4="C3",itens_Remanesc!I198,itens_Remanesc!K198)))))</f>
        <v/>
      </c>
      <c r="L260" s="329">
        <f>IF(J260="","",IF(SUMIF(itens_Consumidos!$A$2:$A$200,J260,itens_Consumidos!$B$2:$B$200)-SUMIF(itens_Consumidos!$A$2:$A$200,J260,itens_Consumidos!$O$2:$O$200)&lt;0,0,SUMIF(itens_Consumidos!$A$2:$A$200,J260,itens_Consumidos!$B$2:$B$200)-SUMIF(itens_Consumidos!$A$2:$A$200,J260,itens_Consumidos!$O$2:$O$200)))</f>
        <v/>
      </c>
      <c r="M260" s="332">
        <f>IF(J260="","",itens_Remanesc!C198)</f>
        <v/>
      </c>
      <c r="N260" s="332">
        <f>IF(J260="","",IF($F$4="C0",historico_VU!C198,IF($F$4="C1",historico_VU!D198,IF($F$4="C2",historico_VU!E198,IF($F$4="C3",historico_VU!F198,historico_VU!G198)))))</f>
        <v/>
      </c>
      <c r="O260" s="332">
        <f>IF(J260="","",IF(CONTROLE!$B$1="Principal",IF(OR(K260="",M260=""),"",ROUND(K260*M260,2)),IF(CONTROLE!$B$1="Itens Consumidos",IF(OR(L260="",M260=""),"",ROUND(L260*M260,2)),"")))</f>
        <v/>
      </c>
      <c r="P260" s="332">
        <f>IF(J260="","",IF(CONTROLE!$B$1="Principal",IF(OR(K260="",N260=""),"",ROUND(K260*N260,2)),IF(CONTROLE!$B$1="Itens Consumidos",IF(OR(L260="",N260=""),"",ROUND(L260*N260,2)),"")))</f>
        <v/>
      </c>
      <c r="Q260" s="333">
        <f>IF(J260="","",IF(OR(M260="",AND(CONTROLE!$B$1="Principal",K260=""),AND(CONTROLE!$B$1="Itens Consumidos",L260="")),"INCOMPLETO",IF(CONTROLE!$B$1="Pedidos de Compras","MANUAL",IF(AND(ISNUMBER(K260),ISNUMBER(L260),ABS(K260-L260)/MAX(ABS(IF(CONTROLE!$B$1="Principal",K260,L260)),1)&gt;$D$4),"DIVERGENTE","OK"))))</f>
        <v/>
      </c>
    </row>
    <row r="261">
      <c r="A261" s="328">
        <f>IF(historico_VU!A199="","",historico_VU!A199)</f>
        <v/>
      </c>
      <c r="B261" s="329">
        <f>IF(A261="","",historico_VU!B199)</f>
        <v/>
      </c>
      <c r="C261" s="330">
        <f>IF(A261="","",historico_VU!C199)</f>
        <v/>
      </c>
      <c r="D261" s="330">
        <f>IF(A261="","",historico_VU!D199)</f>
        <v/>
      </c>
      <c r="E261" s="330">
        <f>IF(A261="","",historico_VU!E199)</f>
        <v/>
      </c>
      <c r="F261" s="330">
        <f>IF(A261="","",historico_VU!F199)</f>
        <v/>
      </c>
      <c r="G261" s="330">
        <f>IF(A261="","",historico_VU!G199)</f>
        <v/>
      </c>
      <c r="H261" s="331">
        <f>IF(A261="","",historico_VU!H199)</f>
        <v/>
      </c>
      <c r="I261" s="151" t="n"/>
      <c r="J261" s="328">
        <f>IF(itens_Remanesc!A199="","",itens_Remanesc!A199)</f>
        <v/>
      </c>
      <c r="K261" s="329">
        <f>IF(J261="","",IF($F$4="C0",itens_Remanesc!B199,IF($F$4="C1",itens_Remanesc!E199,IF($F$4="C2",itens_Remanesc!G199,IF($F$4="C3",itens_Remanesc!I199,itens_Remanesc!K199)))))</f>
        <v/>
      </c>
      <c r="L261" s="329">
        <f>IF(J261="","",IF(SUMIF(itens_Consumidos!$A$2:$A$200,J261,itens_Consumidos!$B$2:$B$200)-SUMIF(itens_Consumidos!$A$2:$A$200,J261,itens_Consumidos!$O$2:$O$200)&lt;0,0,SUMIF(itens_Consumidos!$A$2:$A$200,J261,itens_Consumidos!$B$2:$B$200)-SUMIF(itens_Consumidos!$A$2:$A$200,J261,itens_Consumidos!$O$2:$O$200)))</f>
        <v/>
      </c>
      <c r="M261" s="332">
        <f>IF(J261="","",itens_Remanesc!C199)</f>
        <v/>
      </c>
      <c r="N261" s="332">
        <f>IF(J261="","",IF($F$4="C0",historico_VU!C199,IF($F$4="C1",historico_VU!D199,IF($F$4="C2",historico_VU!E199,IF($F$4="C3",historico_VU!F199,historico_VU!G199)))))</f>
        <v/>
      </c>
      <c r="O261" s="332">
        <f>IF(J261="","",IF(CONTROLE!$B$1="Principal",IF(OR(K261="",M261=""),"",ROUND(K261*M261,2)),IF(CONTROLE!$B$1="Itens Consumidos",IF(OR(L261="",M261=""),"",ROUND(L261*M261,2)),"")))</f>
        <v/>
      </c>
      <c r="P261" s="332">
        <f>IF(J261="","",IF(CONTROLE!$B$1="Principal",IF(OR(K261="",N261=""),"",ROUND(K261*N261,2)),IF(CONTROLE!$B$1="Itens Consumidos",IF(OR(L261="",N261=""),"",ROUND(L261*N261,2)),"")))</f>
        <v/>
      </c>
      <c r="Q261" s="333">
        <f>IF(J261="","",IF(OR(M261="",AND(CONTROLE!$B$1="Principal",K261=""),AND(CONTROLE!$B$1="Itens Consumidos",L261="")),"INCOMPLETO",IF(CONTROLE!$B$1="Pedidos de Compras","MANUAL",IF(AND(ISNUMBER(K261),ISNUMBER(L261),ABS(K261-L261)/MAX(ABS(IF(CONTROLE!$B$1="Principal",K261,L261)),1)&gt;$D$4),"DIVERGENTE","OK"))))</f>
        <v/>
      </c>
    </row>
    <row r="262">
      <c r="A262" s="328">
        <f>IF(historico_VU!A200="","",historico_VU!A200)</f>
        <v/>
      </c>
      <c r="B262" s="329">
        <f>IF(A262="","",historico_VU!B200)</f>
        <v/>
      </c>
      <c r="C262" s="330">
        <f>IF(A262="","",historico_VU!C200)</f>
        <v/>
      </c>
      <c r="D262" s="330">
        <f>IF(A262="","",historico_VU!D200)</f>
        <v/>
      </c>
      <c r="E262" s="330">
        <f>IF(A262="","",historico_VU!E200)</f>
        <v/>
      </c>
      <c r="F262" s="330">
        <f>IF(A262="","",historico_VU!F200)</f>
        <v/>
      </c>
      <c r="G262" s="330">
        <f>IF(A262="","",historico_VU!G200)</f>
        <v/>
      </c>
      <c r="H262" s="331">
        <f>IF(A262="","",historico_VU!H200)</f>
        <v/>
      </c>
      <c r="I262" s="151" t="n"/>
      <c r="J262" s="328">
        <f>IF(itens_Remanesc!A200="","",itens_Remanesc!A200)</f>
        <v/>
      </c>
      <c r="K262" s="329">
        <f>IF(J262="","",IF($F$4="C0",itens_Remanesc!B200,IF($F$4="C1",itens_Remanesc!E200,IF($F$4="C2",itens_Remanesc!G200,IF($F$4="C3",itens_Remanesc!I200,itens_Remanesc!K200)))))</f>
        <v/>
      </c>
      <c r="L262" s="329">
        <f>IF(J262="","",IF(SUMIF(itens_Consumidos!$A$2:$A$200,J262,itens_Consumidos!$B$2:$B$200)-SUMIF(itens_Consumidos!$A$2:$A$200,J262,itens_Consumidos!$O$2:$O$200)&lt;0,0,SUMIF(itens_Consumidos!$A$2:$A$200,J262,itens_Consumidos!$B$2:$B$200)-SUMIF(itens_Consumidos!$A$2:$A$200,J262,itens_Consumidos!$O$2:$O$200)))</f>
        <v/>
      </c>
      <c r="M262" s="332">
        <f>IF(J262="","",itens_Remanesc!C200)</f>
        <v/>
      </c>
      <c r="N262" s="332">
        <f>IF(J262="","",IF($F$4="C0",historico_VU!C200,IF($F$4="C1",historico_VU!D200,IF($F$4="C2",historico_VU!E200,IF($F$4="C3",historico_VU!F200,historico_VU!G200)))))</f>
        <v/>
      </c>
      <c r="O262" s="332">
        <f>IF(J262="","",IF(CONTROLE!$B$1="Principal",IF(OR(K262="",M262=""),"",ROUND(K262*M262,2)),IF(CONTROLE!$B$1="Itens Consumidos",IF(OR(L262="",M262=""),"",ROUND(L262*M262,2)),"")))</f>
        <v/>
      </c>
      <c r="P262" s="332">
        <f>IF(J262="","",IF(CONTROLE!$B$1="Principal",IF(OR(K262="",N262=""),"",ROUND(K262*N262,2)),IF(CONTROLE!$B$1="Itens Consumidos",IF(OR(L262="",N262=""),"",ROUND(L262*N262,2)),"")))</f>
        <v/>
      </c>
      <c r="Q262" s="333">
        <f>IF(J262="","",IF(OR(M262="",AND(CONTROLE!$B$1="Principal",K262=""),AND(CONTROLE!$B$1="Itens Consumidos",L262="")),"INCOMPLETO",IF(CONTROLE!$B$1="Pedidos de Compras","MANUAL",IF(AND(ISNUMBER(K262),ISNUMBER(L262),ABS(K262-L262)/MAX(ABS(IF(CONTROLE!$B$1="Principal",K262,L262)),1)&gt;$D$4),"DIVERGENTE","OK"))))</f>
        <v/>
      </c>
    </row>
    <row r="263">
      <c r="A263" s="328">
        <f>IF(historico_VU!A201="","",historico_VU!A201)</f>
        <v/>
      </c>
      <c r="B263" s="329">
        <f>IF(A263="","",historico_VU!B201)</f>
        <v/>
      </c>
      <c r="C263" s="330">
        <f>IF(A263="","",historico_VU!C201)</f>
        <v/>
      </c>
      <c r="D263" s="330">
        <f>IF(A263="","",historico_VU!D201)</f>
        <v/>
      </c>
      <c r="E263" s="330">
        <f>IF(A263="","",historico_VU!E201)</f>
        <v/>
      </c>
      <c r="F263" s="330">
        <f>IF(A263="","",historico_VU!F201)</f>
        <v/>
      </c>
      <c r="G263" s="330">
        <f>IF(A263="","",historico_VU!G201)</f>
        <v/>
      </c>
      <c r="H263" s="331">
        <f>IF(A263="","",historico_VU!H201)</f>
        <v/>
      </c>
      <c r="I263" s="151" t="n"/>
      <c r="J263" s="328">
        <f>IF(itens_Remanesc!A201="","",itens_Remanesc!A201)</f>
        <v/>
      </c>
      <c r="K263" s="329">
        <f>IF(J263="","",IF($F$4="C0",itens_Remanesc!B201,IF($F$4="C1",itens_Remanesc!E201,IF($F$4="C2",itens_Remanesc!G201,IF($F$4="C3",itens_Remanesc!I201,itens_Remanesc!K201)))))</f>
        <v/>
      </c>
      <c r="L263" s="329">
        <f>IF(J263="","",IF(SUMIF(itens_Consumidos!$A$2:$A$200,J263,itens_Consumidos!$B$2:$B$200)-SUMIF(itens_Consumidos!$A$2:$A$200,J263,itens_Consumidos!$O$2:$O$200)&lt;0,0,SUMIF(itens_Consumidos!$A$2:$A$200,J263,itens_Consumidos!$B$2:$B$200)-SUMIF(itens_Consumidos!$A$2:$A$200,J263,itens_Consumidos!$O$2:$O$200)))</f>
        <v/>
      </c>
      <c r="M263" s="332">
        <f>IF(J263="","",itens_Remanesc!C201)</f>
        <v/>
      </c>
      <c r="N263" s="332">
        <f>IF(J263="","",IF($F$4="C0",historico_VU!C201,IF($F$4="C1",historico_VU!D201,IF($F$4="C2",historico_VU!E201,IF($F$4="C3",historico_VU!F201,historico_VU!G201)))))</f>
        <v/>
      </c>
      <c r="O263" s="332">
        <f>IF(J263="","",IF(CONTROLE!$B$1="Principal",IF(OR(K263="",M263=""),"",ROUND(K263*M263,2)),IF(CONTROLE!$B$1="Itens Consumidos",IF(OR(L263="",M263=""),"",ROUND(L263*M263,2)),"")))</f>
        <v/>
      </c>
      <c r="P263" s="332">
        <f>IF(J263="","",IF(CONTROLE!$B$1="Principal",IF(OR(K263="",N263=""),"",ROUND(K263*N263,2)),IF(CONTROLE!$B$1="Itens Consumidos",IF(OR(L263="",N263=""),"",ROUND(L263*N263,2)),"")))</f>
        <v/>
      </c>
      <c r="Q263" s="333">
        <f>IF(J263="","",IF(OR(M263="",AND(CONTROLE!$B$1="Principal",K263=""),AND(CONTROLE!$B$1="Itens Consumidos",L263="")),"INCOMPLETO",IF(CONTROLE!$B$1="Pedidos de Compras","MANUAL",IF(AND(ISNUMBER(K263),ISNUMBER(L263),ABS(K263-L263)/MAX(ABS(IF(CONTROLE!$B$1="Principal",K263,L263)),1)&gt;$D$4),"DIVERGENTE","OK"))))</f>
        <v/>
      </c>
    </row>
  </sheetData>
  <mergeCells count="18">
    <mergeCell ref="A1:J1"/>
    <mergeCell ref="A62:H62"/>
    <mergeCell ref="B36:E36"/>
    <mergeCell ref="A8:J8"/>
    <mergeCell ref="A6:J6"/>
    <mergeCell ref="A40:J40"/>
    <mergeCell ref="A17:J17"/>
    <mergeCell ref="A27:J27"/>
    <mergeCell ref="A30:J30"/>
    <mergeCell ref="D25:J25"/>
    <mergeCell ref="A48:J48"/>
    <mergeCell ref="D24:J24"/>
    <mergeCell ref="J62:Q62"/>
    <mergeCell ref="A2:J2"/>
    <mergeCell ref="E26:J26"/>
    <mergeCell ref="D5:J5"/>
    <mergeCell ref="A19:J19"/>
    <mergeCell ref="A49:J49"/>
  </mergeCells>
  <conditionalFormatting sqref="E26:J26">
    <cfRule type="expression" priority="3" dxfId="0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0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0">
      <formula>OR(ISNUMBER(SEARCH("MANUAL",F36)),ISNUMBER(SEARCH("DIVERGENTE",F36)),ISNUMBER(SEARCH("INCOMPLETO",F36)))</formula>
    </cfRule>
  </conditionalFormatting>
  <conditionalFormatting sqref="J4">
    <cfRule type="expression" priority="1" dxfId="0">
      <formula>OR(ISNUMBER(SEARCH("MANUAL",J4)),ISNUMBER(SEARCH("DIVERGENTE",J4)),ISNUMBER(SEARCH("INCOMPLETO",J4)),ISNUMBER(SEARCH("CORRIGIR",J4)))</formula>
    </cfRule>
  </conditionalFormatting>
  <conditionalFormatting sqref="Q64:Q263">
    <cfRule type="expression" priority="5" dxfId="0">
      <formula>OR(Q64="DIVERGENTE",Q64="INCOMPLETO",Q64="MANUAL")</formula>
    </cfRule>
  </conditionalFormatting>
  <dataValidations count="2">
    <dataValidation sqref="B4" showDropDown="0" showInputMessage="0" showErrorMessage="0" allowBlank="0" type="list">
      <formula1>"Financeiro,PCs,Itens"</formula1>
    </dataValidation>
    <dataValidation sqref="D4" showDropDown="0" showInputMessage="0" showErrorMessage="0" allowBlank="0" type="decimal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2026-07-14T03:00:23Z</dcterms:modified>
  <cp:lastModifiedBy>Daniel P. da Silva</cp:lastModifiedBy>
</cp:coreProperties>
</file>